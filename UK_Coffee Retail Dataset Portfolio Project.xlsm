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AYODAPO\Documents\"/>
    </mc:Choice>
  </mc:AlternateContent>
  <xr:revisionPtr revIDLastSave="0" documentId="13_ncr:1_{FF07C821-4672-4653-B3A5-C2DB6E2BF05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2" sheetId="6" r:id="rId1"/>
    <sheet name="CoffeeSales" sheetId="1" r:id="rId2"/>
    <sheet name="Dashboard" sheetId="4" r:id="rId3"/>
    <sheet name="Q&amp;A" sheetId="3" r:id="rId4"/>
    <sheet name="Project Brief" sheetId="2" r:id="rId5"/>
    <sheet name="Sheet1" sheetId="5" r:id="rId6"/>
  </sheet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4" l="1"/>
  <c r="B74" i="3"/>
  <c r="Q42" i="4"/>
  <c r="B50" i="4"/>
  <c r="Q41" i="4"/>
  <c r="Q40" i="4"/>
  <c r="J42" i="4"/>
  <c r="Q18" i="1"/>
  <c r="B100" i="3" l="1"/>
  <c r="B99" i="3"/>
  <c r="B98" i="3"/>
  <c r="B97" i="3"/>
  <c r="C94" i="3"/>
  <c r="B94" i="3"/>
  <c r="C93" i="3"/>
  <c r="B93" i="3"/>
  <c r="C92" i="3"/>
  <c r="B92" i="3"/>
  <c r="C91" i="3"/>
  <c r="B91" i="3"/>
  <c r="B70" i="3"/>
  <c r="B69" i="3"/>
  <c r="B67" i="3"/>
  <c r="B66" i="3"/>
  <c r="B65" i="3"/>
  <c r="B64" i="3"/>
  <c r="B63" i="3"/>
  <c r="B62" i="3"/>
  <c r="B28" i="3"/>
  <c r="B23" i="3"/>
  <c r="B107" i="3" s="1"/>
  <c r="B5" i="3"/>
  <c r="B4" i="3"/>
  <c r="K2" i="1"/>
  <c r="B101" i="3" l="1"/>
  <c r="B61" i="3"/>
  <c r="L10" i="1"/>
  <c r="M460" i="1" l="1"/>
  <c r="K2919" i="1" l="1"/>
  <c r="N13" i="1"/>
  <c r="N6" i="1"/>
  <c r="N10" i="1"/>
  <c r="N8" i="1"/>
  <c r="N15" i="1"/>
  <c r="N11" i="1"/>
  <c r="N7" i="1"/>
  <c r="N14" i="1"/>
  <c r="N2" i="1"/>
  <c r="N3" i="1"/>
  <c r="N12" i="1"/>
  <c r="N4" i="1"/>
  <c r="N16" i="1"/>
  <c r="N9" i="1"/>
  <c r="N18" i="1"/>
  <c r="N21" i="1"/>
  <c r="N19" i="1"/>
  <c r="N17" i="1"/>
  <c r="N20" i="1"/>
  <c r="N37" i="1"/>
  <c r="N25" i="1"/>
  <c r="N27" i="1"/>
  <c r="N33" i="1"/>
  <c r="N40" i="1"/>
  <c r="N30" i="1"/>
  <c r="N26" i="1"/>
  <c r="N32" i="1"/>
  <c r="N31" i="1"/>
  <c r="N23" i="1"/>
  <c r="N29" i="1"/>
  <c r="N34" i="1"/>
  <c r="N22" i="1"/>
  <c r="N39" i="1"/>
  <c r="N28" i="1"/>
  <c r="N24" i="1"/>
  <c r="N35" i="1"/>
  <c r="N36" i="1"/>
  <c r="N38" i="1"/>
  <c r="N41" i="1"/>
  <c r="N60" i="1"/>
  <c r="N53" i="1"/>
  <c r="N45" i="1"/>
  <c r="N51" i="1"/>
  <c r="N59" i="1"/>
  <c r="N55" i="1"/>
  <c r="N50" i="1"/>
  <c r="N48" i="1"/>
  <c r="N52" i="1"/>
  <c r="N56" i="1"/>
  <c r="N46" i="1"/>
  <c r="N43" i="1"/>
  <c r="N57" i="1"/>
  <c r="N54" i="1"/>
  <c r="N44" i="1"/>
  <c r="N42" i="1"/>
  <c r="N49" i="1"/>
  <c r="N47" i="1"/>
  <c r="N58" i="1"/>
  <c r="N64" i="1"/>
  <c r="N61" i="1"/>
  <c r="N62" i="1"/>
  <c r="N65" i="1"/>
  <c r="N69" i="1"/>
  <c r="N71" i="1"/>
  <c r="N72" i="1"/>
  <c r="N63" i="1"/>
  <c r="N73" i="1"/>
  <c r="N70" i="1"/>
  <c r="N68" i="1"/>
  <c r="N67" i="1"/>
  <c r="N66" i="1"/>
  <c r="N74" i="1"/>
  <c r="N83" i="1"/>
  <c r="N79" i="1"/>
  <c r="N76" i="1"/>
  <c r="N85" i="1"/>
  <c r="N88" i="1"/>
  <c r="N75" i="1"/>
  <c r="N77" i="1"/>
  <c r="N80" i="1"/>
  <c r="N82" i="1"/>
  <c r="N81" i="1"/>
  <c r="N89" i="1"/>
  <c r="N86" i="1"/>
  <c r="N78" i="1"/>
  <c r="N87" i="1"/>
  <c r="N84" i="1"/>
  <c r="N99" i="1"/>
  <c r="N91" i="1"/>
  <c r="N96" i="1"/>
  <c r="N92" i="1"/>
  <c r="N98" i="1"/>
  <c r="N93" i="1"/>
  <c r="N97" i="1"/>
  <c r="N100" i="1"/>
  <c r="N101" i="1"/>
  <c r="N95" i="1"/>
  <c r="N102" i="1"/>
  <c r="N90" i="1"/>
  <c r="N94" i="1"/>
  <c r="N105" i="1"/>
  <c r="N103" i="1"/>
  <c r="N109" i="1"/>
  <c r="N104" i="1"/>
  <c r="N106" i="1"/>
  <c r="N107" i="1"/>
  <c r="N111" i="1"/>
  <c r="N108" i="1"/>
  <c r="N110" i="1"/>
  <c r="N126" i="1"/>
  <c r="N122" i="1"/>
  <c r="N120" i="1"/>
  <c r="N123" i="1"/>
  <c r="N116" i="1"/>
  <c r="N117" i="1"/>
  <c r="N128" i="1"/>
  <c r="N114" i="1"/>
  <c r="N112" i="1"/>
  <c r="N124" i="1"/>
  <c r="N121" i="1"/>
  <c r="N129" i="1"/>
  <c r="N125" i="1"/>
  <c r="N130" i="1"/>
  <c r="N113" i="1"/>
  <c r="N118" i="1"/>
  <c r="N127" i="1"/>
  <c r="N119" i="1"/>
  <c r="N131" i="1"/>
  <c r="N136" i="1"/>
  <c r="N147" i="1"/>
  <c r="N139" i="1"/>
  <c r="N134" i="1"/>
  <c r="N135" i="1"/>
  <c r="N140" i="1"/>
  <c r="N143" i="1"/>
  <c r="N137" i="1"/>
  <c r="N146" i="1"/>
  <c r="N149" i="1"/>
  <c r="N148" i="1"/>
  <c r="N144" i="1"/>
  <c r="N133" i="1"/>
  <c r="N132" i="1"/>
  <c r="N141" i="1"/>
  <c r="N150" i="1"/>
  <c r="N145" i="1"/>
  <c r="N138" i="1"/>
  <c r="N142" i="1"/>
  <c r="N157" i="1"/>
  <c r="N154" i="1"/>
  <c r="N158" i="1"/>
  <c r="N160" i="1"/>
  <c r="N156" i="1"/>
  <c r="N153" i="1"/>
  <c r="N151" i="1"/>
  <c r="N155" i="1"/>
  <c r="N152" i="1"/>
  <c r="N159" i="1"/>
  <c r="N170" i="1"/>
  <c r="N172" i="1"/>
  <c r="N164" i="1"/>
  <c r="N165" i="1"/>
  <c r="N166" i="1"/>
  <c r="N168" i="1"/>
  <c r="N169" i="1"/>
  <c r="N167" i="1"/>
  <c r="N171" i="1"/>
  <c r="N161" i="1"/>
  <c r="N173" i="1"/>
  <c r="N162" i="1"/>
  <c r="N163" i="1"/>
  <c r="N175" i="1"/>
  <c r="N174" i="1"/>
  <c r="N179" i="1"/>
  <c r="N180" i="1"/>
  <c r="N184" i="1"/>
  <c r="N182" i="1"/>
  <c r="N176" i="1"/>
  <c r="N186" i="1"/>
  <c r="N187" i="1"/>
  <c r="N181" i="1"/>
  <c r="N177" i="1"/>
  <c r="N183" i="1"/>
  <c r="N178" i="1"/>
  <c r="N185" i="1"/>
  <c r="N200" i="1"/>
  <c r="N195" i="1"/>
  <c r="N190" i="1"/>
  <c r="N198" i="1"/>
  <c r="N193" i="1"/>
  <c r="N188" i="1"/>
  <c r="N191" i="1"/>
  <c r="N197" i="1"/>
  <c r="N201" i="1"/>
  <c r="N196" i="1"/>
  <c r="N199" i="1"/>
  <c r="N192" i="1"/>
  <c r="N194" i="1"/>
  <c r="N189" i="1"/>
  <c r="N209" i="1"/>
  <c r="N202" i="1"/>
  <c r="N206" i="1"/>
  <c r="N211" i="1"/>
  <c r="N207" i="1"/>
  <c r="N208" i="1"/>
  <c r="N205" i="1"/>
  <c r="N203" i="1"/>
  <c r="N204" i="1"/>
  <c r="N210" i="1"/>
  <c r="N223" i="1"/>
  <c r="N218" i="1"/>
  <c r="N220" i="1"/>
  <c r="N214" i="1"/>
  <c r="N224" i="1"/>
  <c r="N222" i="1"/>
  <c r="N221" i="1"/>
  <c r="N215" i="1"/>
  <c r="N212" i="1"/>
  <c r="N225" i="1"/>
  <c r="N217" i="1"/>
  <c r="N213" i="1"/>
  <c r="N226" i="1"/>
  <c r="N219" i="1"/>
  <c r="N216" i="1"/>
  <c r="N237" i="1"/>
  <c r="N234" i="1"/>
  <c r="N240" i="1"/>
  <c r="N233" i="1"/>
  <c r="N239" i="1"/>
  <c r="N238" i="1"/>
  <c r="N235" i="1"/>
  <c r="N227" i="1"/>
  <c r="N229" i="1"/>
  <c r="N232" i="1"/>
  <c r="N231" i="1"/>
  <c r="N236" i="1"/>
  <c r="N228" i="1"/>
  <c r="N230" i="1"/>
  <c r="N243" i="1"/>
  <c r="N245" i="1"/>
  <c r="N241" i="1"/>
  <c r="N242" i="1"/>
  <c r="N244" i="1"/>
  <c r="N246" i="1"/>
  <c r="N247" i="1"/>
  <c r="N254" i="1"/>
  <c r="N255" i="1"/>
  <c r="N251" i="1"/>
  <c r="N256" i="1"/>
  <c r="N252" i="1"/>
  <c r="N250" i="1"/>
  <c r="N257" i="1"/>
  <c r="N253" i="1"/>
  <c r="N248" i="1"/>
  <c r="N249" i="1"/>
  <c r="N263" i="1"/>
  <c r="N265" i="1"/>
  <c r="N269" i="1"/>
  <c r="N267" i="1"/>
  <c r="N266" i="1"/>
  <c r="N259" i="1"/>
  <c r="N264" i="1"/>
  <c r="N260" i="1"/>
  <c r="N262" i="1"/>
  <c r="N258" i="1"/>
  <c r="N261" i="1"/>
  <c r="N268" i="1"/>
  <c r="N286" i="1"/>
  <c r="N282" i="1"/>
  <c r="N274" i="1"/>
  <c r="N289" i="1"/>
  <c r="N279" i="1"/>
  <c r="N271" i="1"/>
  <c r="N272" i="1"/>
  <c r="N292" i="1"/>
  <c r="N287" i="1"/>
  <c r="N293" i="1"/>
  <c r="N281" i="1"/>
  <c r="N273" i="1"/>
  <c r="N284" i="1"/>
  <c r="N290" i="1"/>
  <c r="N291" i="1"/>
  <c r="N283" i="1"/>
  <c r="N285" i="1"/>
  <c r="N277" i="1"/>
  <c r="N270" i="1"/>
  <c r="N275" i="1"/>
  <c r="N280" i="1"/>
  <c r="N288" i="1"/>
  <c r="N276" i="1"/>
  <c r="N278" i="1"/>
  <c r="N297" i="1"/>
  <c r="N308" i="1"/>
  <c r="N303" i="1"/>
  <c r="N306" i="1"/>
  <c r="N301" i="1"/>
  <c r="N302" i="1"/>
  <c r="N307" i="1"/>
  <c r="N305" i="1"/>
  <c r="N299" i="1"/>
  <c r="N294" i="1"/>
  <c r="N304" i="1"/>
  <c r="N300" i="1"/>
  <c r="N295" i="1"/>
  <c r="N296" i="1"/>
  <c r="N298" i="1"/>
  <c r="N311" i="1"/>
  <c r="N309" i="1"/>
  <c r="N312" i="1"/>
  <c r="N310" i="1"/>
  <c r="N321" i="1"/>
  <c r="N322" i="1"/>
  <c r="N316" i="1"/>
  <c r="N315" i="1"/>
  <c r="N313" i="1"/>
  <c r="N318" i="1"/>
  <c r="N319" i="1"/>
  <c r="N317" i="1"/>
  <c r="N320" i="1"/>
  <c r="N328" i="1"/>
  <c r="N331" i="1"/>
  <c r="N325" i="1"/>
  <c r="N329" i="1"/>
  <c r="N330" i="1"/>
  <c r="N324" i="1"/>
  <c r="N323" i="1"/>
  <c r="N326" i="1"/>
  <c r="N332" i="1"/>
  <c r="N327" i="1"/>
  <c r="N337" i="1"/>
  <c r="N336" i="1"/>
  <c r="N340" i="1"/>
  <c r="N339" i="1"/>
  <c r="N342" i="1"/>
  <c r="N341" i="1"/>
  <c r="N333" i="1"/>
  <c r="N334" i="1"/>
  <c r="N338" i="1"/>
  <c r="N345" i="1"/>
  <c r="N343" i="1"/>
  <c r="N344" i="1"/>
  <c r="N335" i="1"/>
  <c r="N358" i="1"/>
  <c r="N349" i="1"/>
  <c r="N353" i="1"/>
  <c r="N346" i="1"/>
  <c r="N356" i="1"/>
  <c r="N357" i="1"/>
  <c r="N347" i="1"/>
  <c r="N359" i="1"/>
  <c r="N352" i="1"/>
  <c r="N354" i="1"/>
  <c r="N363" i="1"/>
  <c r="N361" i="1"/>
  <c r="N355" i="1"/>
  <c r="N348" i="1"/>
  <c r="N350" i="1"/>
  <c r="N360" i="1"/>
  <c r="N351" i="1"/>
  <c r="N362" i="1"/>
  <c r="N364" i="1"/>
  <c r="N365" i="1"/>
  <c r="N372" i="1"/>
  <c r="N381" i="1"/>
  <c r="N376" i="1"/>
  <c r="N382" i="1"/>
  <c r="N368" i="1"/>
  <c r="N384" i="1"/>
  <c r="N380" i="1"/>
  <c r="N370" i="1"/>
  <c r="N369" i="1"/>
  <c r="N377" i="1"/>
  <c r="N378" i="1"/>
  <c r="N373" i="1"/>
  <c r="N383" i="1"/>
  <c r="N371" i="1"/>
  <c r="N366" i="1"/>
  <c r="N379" i="1"/>
  <c r="N374" i="1"/>
  <c r="N367" i="1"/>
  <c r="N375" i="1"/>
  <c r="N396" i="1"/>
  <c r="N399" i="1"/>
  <c r="N400" i="1"/>
  <c r="N401" i="1"/>
  <c r="N386" i="1"/>
  <c r="N391" i="1"/>
  <c r="N393" i="1"/>
  <c r="N388" i="1"/>
  <c r="N397" i="1"/>
  <c r="N394" i="1"/>
  <c r="N395" i="1"/>
  <c r="N390" i="1"/>
  <c r="N389" i="1"/>
  <c r="N392" i="1"/>
  <c r="N385" i="1"/>
  <c r="N387" i="1"/>
  <c r="N398" i="1"/>
  <c r="N414" i="1"/>
  <c r="N415" i="1"/>
  <c r="N417" i="1"/>
  <c r="N411" i="1"/>
  <c r="N407" i="1"/>
  <c r="N406" i="1"/>
  <c r="N409" i="1"/>
  <c r="N408" i="1"/>
  <c r="N413" i="1"/>
  <c r="N410" i="1"/>
  <c r="N418" i="1"/>
  <c r="N403" i="1"/>
  <c r="N402" i="1"/>
  <c r="N412" i="1"/>
  <c r="N416" i="1"/>
  <c r="N404" i="1"/>
  <c r="N405" i="1"/>
  <c r="N424" i="1"/>
  <c r="N426" i="1"/>
  <c r="N428" i="1"/>
  <c r="N427" i="1"/>
  <c r="N430" i="1"/>
  <c r="N425" i="1"/>
  <c r="N432" i="1"/>
  <c r="N420" i="1"/>
  <c r="N421" i="1"/>
  <c r="N419" i="1"/>
  <c r="N423" i="1"/>
  <c r="N422" i="1"/>
  <c r="N429" i="1"/>
  <c r="N431" i="1"/>
  <c r="N443" i="1"/>
  <c r="N438" i="1"/>
  <c r="N435" i="1"/>
  <c r="N436" i="1"/>
  <c r="N440" i="1"/>
  <c r="N446" i="1"/>
  <c r="N434" i="1"/>
  <c r="N444" i="1"/>
  <c r="N441" i="1"/>
  <c r="N445" i="1"/>
  <c r="N449" i="1"/>
  <c r="N447" i="1"/>
  <c r="N439" i="1"/>
  <c r="N442" i="1"/>
  <c r="N433" i="1"/>
  <c r="N450" i="1"/>
  <c r="N448" i="1"/>
  <c r="N437" i="1"/>
  <c r="N458" i="1"/>
  <c r="N462" i="1"/>
  <c r="N452" i="1"/>
  <c r="N461" i="1"/>
  <c r="N460" i="1"/>
  <c r="N453" i="1"/>
  <c r="N459" i="1"/>
  <c r="N454" i="1"/>
  <c r="N455" i="1"/>
  <c r="N451" i="1"/>
  <c r="N456" i="1"/>
  <c r="N463" i="1"/>
  <c r="N457" i="1"/>
  <c r="N473" i="1"/>
  <c r="N467" i="1"/>
  <c r="N475" i="1"/>
  <c r="N476" i="1"/>
  <c r="N470" i="1"/>
  <c r="N465" i="1"/>
  <c r="N468" i="1"/>
  <c r="N471" i="1"/>
  <c r="N469" i="1"/>
  <c r="N464" i="1"/>
  <c r="N474" i="1"/>
  <c r="N466" i="1"/>
  <c r="N472" i="1"/>
  <c r="N482" i="1"/>
  <c r="N488" i="1"/>
  <c r="N490" i="1"/>
  <c r="N483" i="1"/>
  <c r="N484" i="1"/>
  <c r="N486" i="1"/>
  <c r="N492" i="1"/>
  <c r="N493" i="1"/>
  <c r="N489" i="1"/>
  <c r="N496" i="1"/>
  <c r="N478" i="1"/>
  <c r="N480" i="1"/>
  <c r="N479" i="1"/>
  <c r="N485" i="1"/>
  <c r="N477" i="1"/>
  <c r="N491" i="1"/>
  <c r="N494" i="1"/>
  <c r="N487" i="1"/>
  <c r="N495" i="1"/>
  <c r="N481" i="1"/>
  <c r="N497" i="1"/>
  <c r="N504" i="1"/>
  <c r="N505" i="1"/>
  <c r="N502" i="1"/>
  <c r="N503" i="1"/>
  <c r="N499" i="1"/>
  <c r="N500" i="1"/>
  <c r="N501" i="1"/>
  <c r="N498" i="1"/>
  <c r="N518" i="1"/>
  <c r="N517" i="1"/>
  <c r="N516" i="1"/>
  <c r="N511" i="1"/>
  <c r="N507" i="1"/>
  <c r="N513" i="1"/>
  <c r="N508" i="1"/>
  <c r="N519" i="1"/>
  <c r="N514" i="1"/>
  <c r="N509" i="1"/>
  <c r="N515" i="1"/>
  <c r="N510" i="1"/>
  <c r="N512" i="1"/>
  <c r="N506" i="1"/>
  <c r="N527" i="1"/>
  <c r="N529" i="1"/>
  <c r="N520" i="1"/>
  <c r="N522" i="1"/>
  <c r="N524" i="1"/>
  <c r="N525" i="1"/>
  <c r="N528" i="1"/>
  <c r="N526" i="1"/>
  <c r="N523" i="1"/>
  <c r="N521" i="1"/>
  <c r="N532" i="1"/>
  <c r="N530" i="1"/>
  <c r="N533" i="1"/>
  <c r="N531" i="1"/>
  <c r="N541" i="1"/>
  <c r="N536" i="1"/>
  <c r="N539" i="1"/>
  <c r="N540" i="1"/>
  <c r="N538" i="1"/>
  <c r="N535" i="1"/>
  <c r="N534" i="1"/>
  <c r="N537" i="1"/>
  <c r="N548" i="1"/>
  <c r="N550" i="1"/>
  <c r="N543" i="1"/>
  <c r="N557" i="1"/>
  <c r="N551" i="1"/>
  <c r="N545" i="1"/>
  <c r="N546" i="1"/>
  <c r="N554" i="1"/>
  <c r="N558" i="1"/>
  <c r="N549" i="1"/>
  <c r="N544" i="1"/>
  <c r="N555" i="1"/>
  <c r="N559" i="1"/>
  <c r="N556" i="1"/>
  <c r="N542" i="1"/>
  <c r="N547" i="1"/>
  <c r="N552" i="1"/>
  <c r="N553" i="1"/>
  <c r="N574" i="1"/>
  <c r="N575" i="1"/>
  <c r="N571" i="1"/>
  <c r="N568" i="1"/>
  <c r="N578" i="1"/>
  <c r="N579" i="1"/>
  <c r="N564" i="1"/>
  <c r="N569" i="1"/>
  <c r="N573" i="1"/>
  <c r="N576" i="1"/>
  <c r="N560" i="1"/>
  <c r="N572" i="1"/>
  <c r="N580" i="1"/>
  <c r="N563" i="1"/>
  <c r="N565" i="1"/>
  <c r="N570" i="1"/>
  <c r="N577" i="1"/>
  <c r="N566" i="1"/>
  <c r="N567" i="1"/>
  <c r="N562" i="1"/>
  <c r="N561" i="1"/>
  <c r="N581" i="1"/>
  <c r="N595" i="1"/>
  <c r="N588" i="1"/>
  <c r="N593" i="1"/>
  <c r="N583" i="1"/>
  <c r="N582" i="1"/>
  <c r="N584" i="1"/>
  <c r="N589" i="1"/>
  <c r="N590" i="1"/>
  <c r="N596" i="1"/>
  <c r="N597" i="1"/>
  <c r="N594" i="1"/>
  <c r="N592" i="1"/>
  <c r="N585" i="1"/>
  <c r="N598" i="1"/>
  <c r="N586" i="1"/>
  <c r="N591" i="1"/>
  <c r="N587" i="1"/>
  <c r="N608" i="1"/>
  <c r="N609" i="1"/>
  <c r="N599" i="1"/>
  <c r="N611" i="1"/>
  <c r="N603" i="1"/>
  <c r="N602" i="1"/>
  <c r="N600" i="1"/>
  <c r="N601" i="1"/>
  <c r="N607" i="1"/>
  <c r="N604" i="1"/>
  <c r="N610" i="1"/>
  <c r="N605" i="1"/>
  <c r="N606" i="1"/>
  <c r="N612" i="1"/>
  <c r="N621" i="1"/>
  <c r="N627" i="1"/>
  <c r="N626" i="1"/>
  <c r="N622" i="1"/>
  <c r="N620" i="1"/>
  <c r="N623" i="1"/>
  <c r="N615" i="1"/>
  <c r="N625" i="1"/>
  <c r="N624" i="1"/>
  <c r="N613" i="1"/>
  <c r="N618" i="1"/>
  <c r="N614" i="1"/>
  <c r="N619" i="1"/>
  <c r="N616" i="1"/>
  <c r="N628" i="1"/>
  <c r="N617" i="1"/>
  <c r="N629" i="1"/>
  <c r="N638" i="1"/>
  <c r="N632" i="1"/>
  <c r="N641" i="1"/>
  <c r="N635" i="1"/>
  <c r="N639" i="1"/>
  <c r="N630" i="1"/>
  <c r="N640" i="1"/>
  <c r="N636" i="1"/>
  <c r="N642" i="1"/>
  <c r="N631" i="1"/>
  <c r="N633" i="1"/>
  <c r="N637" i="1"/>
  <c r="N634" i="1"/>
  <c r="N646" i="1"/>
  <c r="N651" i="1"/>
  <c r="N643" i="1"/>
  <c r="N661" i="1"/>
  <c r="N648" i="1"/>
  <c r="N649" i="1"/>
  <c r="N655" i="1"/>
  <c r="N654" i="1"/>
  <c r="N657" i="1"/>
  <c r="N663" i="1"/>
  <c r="N650" i="1"/>
  <c r="N645" i="1"/>
  <c r="N658" i="1"/>
  <c r="N659" i="1"/>
  <c r="N644" i="1"/>
  <c r="N656" i="1"/>
  <c r="N662" i="1"/>
  <c r="N652" i="1"/>
  <c r="N660" i="1"/>
  <c r="N647" i="1"/>
  <c r="N653" i="1"/>
  <c r="N669" i="1"/>
  <c r="N672" i="1"/>
  <c r="N670" i="1"/>
  <c r="N664" i="1"/>
  <c r="N667" i="1"/>
  <c r="N674" i="1"/>
  <c r="N665" i="1"/>
  <c r="N676" i="1"/>
  <c r="N677" i="1"/>
  <c r="N675" i="1"/>
  <c r="N668" i="1"/>
  <c r="N673" i="1"/>
  <c r="N666" i="1"/>
  <c r="N671" i="1"/>
  <c r="N690" i="1"/>
  <c r="N688" i="1"/>
  <c r="N678" i="1"/>
  <c r="N679" i="1"/>
  <c r="N682" i="1"/>
  <c r="N689" i="1"/>
  <c r="N683" i="1"/>
  <c r="N685" i="1"/>
  <c r="N686" i="1"/>
  <c r="N684" i="1"/>
  <c r="N680" i="1"/>
  <c r="N687" i="1"/>
  <c r="N681" i="1"/>
  <c r="N696" i="1"/>
  <c r="N694" i="1"/>
  <c r="N691" i="1"/>
  <c r="N698" i="1"/>
  <c r="N703" i="1"/>
  <c r="N702" i="1"/>
  <c r="N697" i="1"/>
  <c r="N693" i="1"/>
  <c r="N699" i="1"/>
  <c r="N692" i="1"/>
  <c r="N700" i="1"/>
  <c r="N701" i="1"/>
  <c r="N695" i="1"/>
  <c r="N715" i="1"/>
  <c r="N716" i="1"/>
  <c r="N705" i="1"/>
  <c r="N706" i="1"/>
  <c r="N707" i="1"/>
  <c r="N710" i="1"/>
  <c r="N709" i="1"/>
  <c r="N713" i="1"/>
  <c r="N712" i="1"/>
  <c r="N708" i="1"/>
  <c r="N714" i="1"/>
  <c r="N711" i="1"/>
  <c r="N704" i="1"/>
  <c r="N725" i="1"/>
  <c r="N730" i="1"/>
  <c r="N717" i="1"/>
  <c r="N721" i="1"/>
  <c r="N728" i="1"/>
  <c r="N732" i="1"/>
  <c r="N731" i="1"/>
  <c r="N723" i="1"/>
  <c r="N726" i="1"/>
  <c r="N719" i="1"/>
  <c r="N722" i="1"/>
  <c r="N724" i="1"/>
  <c r="N718" i="1"/>
  <c r="N729" i="1"/>
  <c r="N727" i="1"/>
  <c r="N741" i="1"/>
  <c r="N742" i="1"/>
  <c r="N734" i="1"/>
  <c r="N743" i="1"/>
  <c r="N736" i="1"/>
  <c r="N735" i="1"/>
  <c r="N733" i="1"/>
  <c r="N740" i="1"/>
  <c r="N744" i="1"/>
  <c r="N746" i="1"/>
  <c r="N739" i="1"/>
  <c r="N738" i="1"/>
  <c r="N745" i="1"/>
  <c r="N737" i="1"/>
  <c r="N759" i="1"/>
  <c r="N756" i="1"/>
  <c r="N751" i="1"/>
  <c r="N765" i="1"/>
  <c r="N760" i="1"/>
  <c r="N761" i="1"/>
  <c r="N757" i="1"/>
  <c r="N762" i="1"/>
  <c r="N758" i="1"/>
  <c r="N752" i="1"/>
  <c r="N749" i="1"/>
  <c r="N767" i="1"/>
  <c r="N763" i="1"/>
  <c r="N766" i="1"/>
  <c r="N755" i="1"/>
  <c r="N748" i="1"/>
  <c r="N753" i="1"/>
  <c r="N750" i="1"/>
  <c r="N754" i="1"/>
  <c r="N764" i="1"/>
  <c r="N775" i="1"/>
  <c r="N768" i="1"/>
  <c r="N769" i="1"/>
  <c r="N770" i="1"/>
  <c r="N776" i="1"/>
  <c r="N777" i="1"/>
  <c r="N773" i="1"/>
  <c r="N771" i="1"/>
  <c r="N774" i="1"/>
  <c r="N788" i="1"/>
  <c r="N783" i="1"/>
  <c r="N782" i="1"/>
  <c r="N786" i="1"/>
  <c r="N778" i="1"/>
  <c r="N787" i="1"/>
  <c r="N784" i="1"/>
  <c r="N781" i="1"/>
  <c r="N785" i="1"/>
  <c r="N779" i="1"/>
  <c r="N780" i="1"/>
  <c r="N797" i="1"/>
  <c r="N792" i="1"/>
  <c r="N789" i="1"/>
  <c r="N799" i="1"/>
  <c r="N793" i="1"/>
  <c r="N796" i="1"/>
  <c r="N801" i="1"/>
  <c r="N791" i="1"/>
  <c r="N794" i="1"/>
  <c r="N798" i="1"/>
  <c r="N800" i="1"/>
  <c r="N795" i="1"/>
  <c r="N790" i="1"/>
  <c r="N806" i="1"/>
  <c r="N804" i="1"/>
  <c r="N802" i="1"/>
  <c r="N807" i="1"/>
  <c r="N808" i="1"/>
  <c r="N803" i="1"/>
  <c r="N809" i="1"/>
  <c r="N805" i="1"/>
  <c r="N815" i="1"/>
  <c r="N814" i="1"/>
  <c r="N812" i="1"/>
  <c r="N811" i="1"/>
  <c r="N813" i="1"/>
  <c r="N816" i="1"/>
  <c r="N818" i="1"/>
  <c r="N817" i="1"/>
  <c r="N810" i="1"/>
  <c r="N827" i="1"/>
  <c r="N825" i="1"/>
  <c r="N829" i="1"/>
  <c r="N820" i="1"/>
  <c r="N823" i="1"/>
  <c r="N826" i="1"/>
  <c r="N821" i="1"/>
  <c r="N831" i="1"/>
  <c r="N822" i="1"/>
  <c r="N819" i="1"/>
  <c r="N830" i="1"/>
  <c r="N824" i="1"/>
  <c r="N828" i="1"/>
  <c r="N841" i="1"/>
  <c r="N836" i="1"/>
  <c r="N842" i="1"/>
  <c r="N837" i="1"/>
  <c r="N838" i="1"/>
  <c r="N846" i="1"/>
  <c r="N833" i="1"/>
  <c r="N845" i="1"/>
  <c r="N840" i="1"/>
  <c r="N843" i="1"/>
  <c r="N834" i="1"/>
  <c r="N844" i="1"/>
  <c r="N835" i="1"/>
  <c r="N832" i="1"/>
  <c r="N847" i="1"/>
  <c r="N839" i="1"/>
  <c r="N857" i="1"/>
  <c r="N858" i="1"/>
  <c r="N848" i="1"/>
  <c r="N852" i="1"/>
  <c r="N854" i="1"/>
  <c r="N851" i="1"/>
  <c r="N853" i="1"/>
  <c r="N849" i="1"/>
  <c r="N859" i="1"/>
  <c r="N860" i="1"/>
  <c r="N855" i="1"/>
  <c r="N850" i="1"/>
  <c r="N856" i="1"/>
  <c r="N861" i="1"/>
  <c r="N869" i="1"/>
  <c r="N864" i="1"/>
  <c r="N862" i="1"/>
  <c r="N866" i="1"/>
  <c r="N867" i="1"/>
  <c r="N865" i="1"/>
  <c r="N868" i="1"/>
  <c r="N863" i="1"/>
  <c r="N870" i="1"/>
  <c r="N891" i="1"/>
  <c r="N871" i="1"/>
  <c r="N887" i="1"/>
  <c r="N892" i="1"/>
  <c r="N872" i="1"/>
  <c r="N882" i="1"/>
  <c r="N889" i="1"/>
  <c r="N873" i="1"/>
  <c r="N884" i="1"/>
  <c r="N888" i="1"/>
  <c r="N876" i="1"/>
  <c r="N879" i="1"/>
  <c r="N890" i="1"/>
  <c r="N875" i="1"/>
  <c r="N874" i="1"/>
  <c r="N885" i="1"/>
  <c r="N880" i="1"/>
  <c r="N877" i="1"/>
  <c r="N883" i="1"/>
  <c r="N886" i="1"/>
  <c r="N878" i="1"/>
  <c r="N881" i="1"/>
  <c r="N898" i="1"/>
  <c r="N893" i="1"/>
  <c r="N894" i="1"/>
  <c r="N895" i="1"/>
  <c r="N899" i="1"/>
  <c r="N897" i="1"/>
  <c r="N896" i="1"/>
  <c r="N900" i="1"/>
  <c r="N912" i="1"/>
  <c r="N917" i="1"/>
  <c r="N911" i="1"/>
  <c r="N907" i="1"/>
  <c r="N902" i="1"/>
  <c r="N908" i="1"/>
  <c r="N901" i="1"/>
  <c r="N918" i="1"/>
  <c r="N909" i="1"/>
  <c r="N919" i="1"/>
  <c r="N913" i="1"/>
  <c r="N915" i="1"/>
  <c r="N906" i="1"/>
  <c r="N910" i="1"/>
  <c r="N914" i="1"/>
  <c r="N904" i="1"/>
  <c r="N905" i="1"/>
  <c r="N903" i="1"/>
  <c r="N916" i="1"/>
  <c r="N920" i="1"/>
  <c r="N929" i="1"/>
  <c r="N938" i="1"/>
  <c r="N935" i="1"/>
  <c r="N930" i="1"/>
  <c r="N924" i="1"/>
  <c r="N931" i="1"/>
  <c r="N928" i="1"/>
  <c r="N939" i="1"/>
  <c r="N925" i="1"/>
  <c r="N921" i="1"/>
  <c r="N932" i="1"/>
  <c r="N923" i="1"/>
  <c r="N922" i="1"/>
  <c r="N936" i="1"/>
  <c r="N927" i="1"/>
  <c r="N941" i="1"/>
  <c r="N937" i="1"/>
  <c r="N926" i="1"/>
  <c r="N933" i="1"/>
  <c r="N940" i="1"/>
  <c r="N934" i="1"/>
  <c r="N956" i="1"/>
  <c r="N953" i="1"/>
  <c r="N942" i="1"/>
  <c r="N952" i="1"/>
  <c r="N944" i="1"/>
  <c r="N946" i="1"/>
  <c r="N949" i="1"/>
  <c r="N945" i="1"/>
  <c r="N957" i="1"/>
  <c r="N954" i="1"/>
  <c r="N943" i="1"/>
  <c r="N951" i="1"/>
  <c r="N950" i="1"/>
  <c r="N955" i="1"/>
  <c r="N948" i="1"/>
  <c r="N947" i="1"/>
  <c r="N958" i="1"/>
  <c r="N965" i="1"/>
  <c r="N966" i="1"/>
  <c r="N962" i="1"/>
  <c r="N964" i="1"/>
  <c r="N960" i="1"/>
  <c r="N959" i="1"/>
  <c r="N963" i="1"/>
  <c r="N967" i="1"/>
  <c r="N961" i="1"/>
  <c r="N968" i="1"/>
  <c r="N973" i="1"/>
  <c r="N980" i="1"/>
  <c r="N981" i="1"/>
  <c r="N979" i="1"/>
  <c r="N969" i="1"/>
  <c r="N978" i="1"/>
  <c r="N982" i="1"/>
  <c r="N975" i="1"/>
  <c r="N985" i="1"/>
  <c r="N970" i="1"/>
  <c r="N986" i="1"/>
  <c r="N971" i="1"/>
  <c r="N983" i="1"/>
  <c r="N987" i="1"/>
  <c r="N976" i="1"/>
  <c r="N972" i="1"/>
  <c r="N984" i="1"/>
  <c r="N977" i="1"/>
  <c r="N974" i="1"/>
  <c r="N990" i="1"/>
  <c r="N1002" i="1"/>
  <c r="N999" i="1"/>
  <c r="N997" i="1"/>
  <c r="N989" i="1"/>
  <c r="N995" i="1"/>
  <c r="N992" i="1"/>
  <c r="N996" i="1"/>
  <c r="N1001" i="1"/>
  <c r="N993" i="1"/>
  <c r="N998" i="1"/>
  <c r="N988" i="1"/>
  <c r="N994" i="1"/>
  <c r="N1004" i="1"/>
  <c r="N1003" i="1"/>
  <c r="N1005" i="1"/>
  <c r="N991" i="1"/>
  <c r="N1000" i="1"/>
  <c r="N1007" i="1"/>
  <c r="N1006" i="1"/>
  <c r="N1012" i="1"/>
  <c r="N1009" i="1"/>
  <c r="N1018" i="1"/>
  <c r="N1014" i="1"/>
  <c r="N1015" i="1"/>
  <c r="N1008" i="1"/>
  <c r="N1011" i="1"/>
  <c r="N1010" i="1"/>
  <c r="N1013" i="1"/>
  <c r="N1017" i="1"/>
  <c r="N1019" i="1"/>
  <c r="N1016" i="1"/>
  <c r="N1024" i="1"/>
  <c r="N1022" i="1"/>
  <c r="N1020" i="1"/>
  <c r="N1021" i="1"/>
  <c r="N1023" i="1"/>
  <c r="N1025" i="1"/>
  <c r="N1026" i="1"/>
  <c r="N1027" i="1"/>
  <c r="N1040" i="1"/>
  <c r="N1037" i="1"/>
  <c r="N1033" i="1"/>
  <c r="N1039" i="1"/>
  <c r="N1036" i="1"/>
  <c r="N1028" i="1"/>
  <c r="N1035" i="1"/>
  <c r="N1045" i="1"/>
  <c r="N1038" i="1"/>
  <c r="N1031" i="1"/>
  <c r="N1046" i="1"/>
  <c r="N1032" i="1"/>
  <c r="N1034" i="1"/>
  <c r="N1041" i="1"/>
  <c r="N1044" i="1"/>
  <c r="N1042" i="1"/>
  <c r="N1030" i="1"/>
  <c r="N1043" i="1"/>
  <c r="N1029" i="1"/>
  <c r="N1056" i="1"/>
  <c r="N1053" i="1"/>
  <c r="N1049" i="1"/>
  <c r="N1050" i="1"/>
  <c r="N1051" i="1"/>
  <c r="N1052" i="1"/>
  <c r="N1054" i="1"/>
  <c r="N1048" i="1"/>
  <c r="N1047" i="1"/>
  <c r="N1055" i="1"/>
  <c r="N1058" i="1"/>
  <c r="N1061" i="1"/>
  <c r="N1063" i="1"/>
  <c r="N1060" i="1"/>
  <c r="N1057" i="1"/>
  <c r="N1059" i="1"/>
  <c r="N1064" i="1"/>
  <c r="N1062" i="1"/>
  <c r="N1065" i="1"/>
  <c r="N1074" i="1"/>
  <c r="N1066" i="1"/>
  <c r="N1071" i="1"/>
  <c r="N1073" i="1"/>
  <c r="N1075" i="1"/>
  <c r="N1069" i="1"/>
  <c r="N1070" i="1"/>
  <c r="N1067" i="1"/>
  <c r="N1068" i="1"/>
  <c r="N1072" i="1"/>
  <c r="N1092" i="1"/>
  <c r="N1087" i="1"/>
  <c r="N1088" i="1"/>
  <c r="N1080" i="1"/>
  <c r="N1083" i="1"/>
  <c r="N1091" i="1"/>
  <c r="N1076" i="1"/>
  <c r="N1081" i="1"/>
  <c r="N1090" i="1"/>
  <c r="N1085" i="1"/>
  <c r="N1078" i="1"/>
  <c r="N1086" i="1"/>
  <c r="N1089" i="1"/>
  <c r="N1084" i="1"/>
  <c r="N1079" i="1"/>
  <c r="N1093" i="1"/>
  <c r="N1077" i="1"/>
  <c r="N1082" i="1"/>
  <c r="N1107" i="1"/>
  <c r="N1095" i="1"/>
  <c r="N1102" i="1"/>
  <c r="N1096" i="1"/>
  <c r="N1110" i="1"/>
  <c r="N1103" i="1"/>
  <c r="N1099" i="1"/>
  <c r="N1108" i="1"/>
  <c r="N1105" i="1"/>
  <c r="N1097" i="1"/>
  <c r="N1100" i="1"/>
  <c r="N1104" i="1"/>
  <c r="N1109" i="1"/>
  <c r="N1094" i="1"/>
  <c r="N1098" i="1"/>
  <c r="N1101" i="1"/>
  <c r="N1106" i="1"/>
  <c r="N1120" i="1"/>
  <c r="N1116" i="1"/>
  <c r="N1111" i="1"/>
  <c r="N1121" i="1"/>
  <c r="N1118" i="1"/>
  <c r="N1122" i="1"/>
  <c r="N1117" i="1"/>
  <c r="N1119" i="1"/>
  <c r="N1123" i="1"/>
  <c r="N1112" i="1"/>
  <c r="N1114" i="1"/>
  <c r="N1124" i="1"/>
  <c r="N1113" i="1"/>
  <c r="N1125" i="1"/>
  <c r="N1115" i="1"/>
  <c r="N1126" i="1"/>
  <c r="N1136" i="1"/>
  <c r="N1133" i="1"/>
  <c r="N1128" i="1"/>
  <c r="N1135" i="1"/>
  <c r="N1131" i="1"/>
  <c r="N1130" i="1"/>
  <c r="N1129" i="1"/>
  <c r="N1134" i="1"/>
  <c r="N1137" i="1"/>
  <c r="N1127" i="1"/>
  <c r="N1132" i="1"/>
  <c r="N1158" i="1"/>
  <c r="N1156" i="1"/>
  <c r="N1144" i="1"/>
  <c r="N1154" i="1"/>
  <c r="N1150" i="1"/>
  <c r="N1148" i="1"/>
  <c r="N1142" i="1"/>
  <c r="N1143" i="1"/>
  <c r="N1145" i="1"/>
  <c r="N1146" i="1"/>
  <c r="N1153" i="1"/>
  <c r="N1155" i="1"/>
  <c r="N1160" i="1"/>
  <c r="N1157" i="1"/>
  <c r="N1149" i="1"/>
  <c r="N1161" i="1"/>
  <c r="N1140" i="1"/>
  <c r="N1141" i="1"/>
  <c r="N1162" i="1"/>
  <c r="N1147" i="1"/>
  <c r="N1159" i="1"/>
  <c r="N1138" i="1"/>
  <c r="N1152" i="1"/>
  <c r="N1151" i="1"/>
  <c r="N1139" i="1"/>
  <c r="N1163" i="1"/>
  <c r="N1168" i="1"/>
  <c r="N1171" i="1"/>
  <c r="N1166" i="1"/>
  <c r="N1165" i="1"/>
  <c r="N1170" i="1"/>
  <c r="N1164" i="1"/>
  <c r="N1169" i="1"/>
  <c r="N1172" i="1"/>
  <c r="N1167" i="1"/>
  <c r="N1175" i="1"/>
  <c r="N1176" i="1"/>
  <c r="N1181" i="1"/>
  <c r="N1183" i="1"/>
  <c r="N1180" i="1"/>
  <c r="N1178" i="1"/>
  <c r="N1182" i="1"/>
  <c r="N1173" i="1"/>
  <c r="N1177" i="1"/>
  <c r="N1184" i="1"/>
  <c r="N1185" i="1"/>
  <c r="N1174" i="1"/>
  <c r="N1186" i="1"/>
  <c r="N1179" i="1"/>
  <c r="N1199" i="1"/>
  <c r="N1205" i="1"/>
  <c r="N1208" i="1"/>
  <c r="N1194" i="1"/>
  <c r="N1206" i="1"/>
  <c r="N1195" i="1"/>
  <c r="N1187" i="1"/>
  <c r="N1196" i="1"/>
  <c r="N1207" i="1"/>
  <c r="N1197" i="1"/>
  <c r="N1189" i="1"/>
  <c r="N1209" i="1"/>
  <c r="N1202" i="1"/>
  <c r="N1200" i="1"/>
  <c r="N1193" i="1"/>
  <c r="N1190" i="1"/>
  <c r="N1203" i="1"/>
  <c r="N1188" i="1"/>
  <c r="N1192" i="1"/>
  <c r="N1191" i="1"/>
  <c r="N1204" i="1"/>
  <c r="N1201" i="1"/>
  <c r="N1198" i="1"/>
  <c r="N1215" i="1"/>
  <c r="N1211" i="1"/>
  <c r="N1210" i="1"/>
  <c r="N1216" i="1"/>
  <c r="N1217" i="1"/>
  <c r="N1213" i="1"/>
  <c r="N1212" i="1"/>
  <c r="N1221" i="1"/>
  <c r="N1214" i="1"/>
  <c r="N1218" i="1"/>
  <c r="N1220" i="1"/>
  <c r="N1219" i="1"/>
  <c r="N1222" i="1"/>
  <c r="N1223" i="1"/>
  <c r="N1230" i="1"/>
  <c r="N1227" i="1"/>
  <c r="N1235" i="1"/>
  <c r="N1226" i="1"/>
  <c r="N1234" i="1"/>
  <c r="N1236" i="1"/>
  <c r="N1237" i="1"/>
  <c r="N1232" i="1"/>
  <c r="N1239" i="1"/>
  <c r="N1224" i="1"/>
  <c r="N1225" i="1"/>
  <c r="N1233" i="1"/>
  <c r="N1240" i="1"/>
  <c r="N1228" i="1"/>
  <c r="N1229" i="1"/>
  <c r="N1231" i="1"/>
  <c r="N1238" i="1"/>
  <c r="N1241" i="1"/>
  <c r="N1246" i="1"/>
  <c r="N1249" i="1"/>
  <c r="N1244" i="1"/>
  <c r="N1254" i="1"/>
  <c r="N1256" i="1"/>
  <c r="N1257" i="1"/>
  <c r="N1258" i="1"/>
  <c r="N1251" i="1"/>
  <c r="N1250" i="1"/>
  <c r="N1247" i="1"/>
  <c r="N1255" i="1"/>
  <c r="N1253" i="1"/>
  <c r="N1248" i="1"/>
  <c r="N1245" i="1"/>
  <c r="N1242" i="1"/>
  <c r="N1243" i="1"/>
  <c r="N1252" i="1"/>
  <c r="N1264" i="1"/>
  <c r="N1260" i="1"/>
  <c r="N1266" i="1"/>
  <c r="N1261" i="1"/>
  <c r="N1267" i="1"/>
  <c r="N1262" i="1"/>
  <c r="N1265" i="1"/>
  <c r="N1259" i="1"/>
  <c r="N1263" i="1"/>
  <c r="N1268" i="1"/>
  <c r="N1275" i="1"/>
  <c r="N1278" i="1"/>
  <c r="N1269" i="1"/>
  <c r="N1276" i="1"/>
  <c r="N1272" i="1"/>
  <c r="N1271" i="1"/>
  <c r="N1273" i="1"/>
  <c r="N1270" i="1"/>
  <c r="N1279" i="1"/>
  <c r="N1277" i="1"/>
  <c r="N1274" i="1"/>
  <c r="N1289" i="1"/>
  <c r="N1280" i="1"/>
  <c r="N1281" i="1"/>
  <c r="N1282" i="1"/>
  <c r="N1296" i="1"/>
  <c r="N1287" i="1"/>
  <c r="N1288" i="1"/>
  <c r="N1290" i="1"/>
  <c r="N1294" i="1"/>
  <c r="N1283" i="1"/>
  <c r="N1284" i="1"/>
  <c r="N1295" i="1"/>
  <c r="N1297" i="1"/>
  <c r="N1298" i="1"/>
  <c r="N1291" i="1"/>
  <c r="N1285" i="1"/>
  <c r="N1293" i="1"/>
  <c r="N1292" i="1"/>
  <c r="N1286" i="1"/>
  <c r="N1306" i="1"/>
  <c r="N1307" i="1"/>
  <c r="N1308" i="1"/>
  <c r="N1309" i="1"/>
  <c r="N1300" i="1"/>
  <c r="N1299" i="1"/>
  <c r="N1312" i="1"/>
  <c r="N1305" i="1"/>
  <c r="N1310" i="1"/>
  <c r="N1315" i="1"/>
  <c r="N1313" i="1"/>
  <c r="N1316" i="1"/>
  <c r="N1317" i="1"/>
  <c r="N1301" i="1"/>
  <c r="N1311" i="1"/>
  <c r="N1303" i="1"/>
  <c r="N1314" i="1"/>
  <c r="N1302" i="1"/>
  <c r="N1304" i="1"/>
  <c r="N1324" i="1"/>
  <c r="N1320" i="1"/>
  <c r="N1323" i="1"/>
  <c r="N1318" i="1"/>
  <c r="N1322" i="1"/>
  <c r="N1319" i="1"/>
  <c r="N1326" i="1"/>
  <c r="N1321" i="1"/>
  <c r="N1325" i="1"/>
  <c r="N1327" i="1"/>
  <c r="N1337" i="1"/>
  <c r="N1333" i="1"/>
  <c r="N1332" i="1"/>
  <c r="N1336" i="1"/>
  <c r="N1331" i="1"/>
  <c r="N1330" i="1"/>
  <c r="N1338" i="1"/>
  <c r="N1328" i="1"/>
  <c r="N1334" i="1"/>
  <c r="N1335" i="1"/>
  <c r="N1329" i="1"/>
  <c r="N1339" i="1"/>
  <c r="N1344" i="1"/>
  <c r="N1345" i="1"/>
  <c r="N1341" i="1"/>
  <c r="N1343" i="1"/>
  <c r="N1342" i="1"/>
  <c r="N1349" i="1"/>
  <c r="N1348" i="1"/>
  <c r="N1346" i="1"/>
  <c r="N1350" i="1"/>
  <c r="N1351" i="1"/>
  <c r="N1340" i="1"/>
  <c r="N1347" i="1"/>
  <c r="N1356" i="1"/>
  <c r="N1352" i="1"/>
  <c r="N1357" i="1"/>
  <c r="N1358" i="1"/>
  <c r="N1355" i="1"/>
  <c r="N1354" i="1"/>
  <c r="N1353" i="1"/>
  <c r="N1359" i="1"/>
  <c r="N1362" i="1"/>
  <c r="N1375" i="1"/>
  <c r="N1366" i="1"/>
  <c r="N1364" i="1"/>
  <c r="N1360" i="1"/>
  <c r="N1370" i="1"/>
  <c r="N1374" i="1"/>
  <c r="N1365" i="1"/>
  <c r="N1372" i="1"/>
  <c r="N1361" i="1"/>
  <c r="N1368" i="1"/>
  <c r="N1367" i="1"/>
  <c r="N1373" i="1"/>
  <c r="N1369" i="1"/>
  <c r="N1371" i="1"/>
  <c r="N1363" i="1"/>
  <c r="N1389" i="1"/>
  <c r="N1393" i="1"/>
  <c r="N1376" i="1"/>
  <c r="N1391" i="1"/>
  <c r="N1392" i="1"/>
  <c r="N1377" i="1"/>
  <c r="N1380" i="1"/>
  <c r="N1378" i="1"/>
  <c r="N1381" i="1"/>
  <c r="N1387" i="1"/>
  <c r="N1388" i="1"/>
  <c r="N1383" i="1"/>
  <c r="N1390" i="1"/>
  <c r="N1384" i="1"/>
  <c r="N1379" i="1"/>
  <c r="N1385" i="1"/>
  <c r="N1382" i="1"/>
  <c r="N1386" i="1"/>
  <c r="N1399" i="1"/>
  <c r="N1397" i="1"/>
  <c r="N1402" i="1"/>
  <c r="N1400" i="1"/>
  <c r="N1398" i="1"/>
  <c r="N1396" i="1"/>
  <c r="N1401" i="1"/>
  <c r="N1394" i="1"/>
  <c r="N1395" i="1"/>
  <c r="N1408" i="1"/>
  <c r="N1407" i="1"/>
  <c r="N1405" i="1"/>
  <c r="N1412" i="1"/>
  <c r="N1410" i="1"/>
  <c r="N1406" i="1"/>
  <c r="N1411" i="1"/>
  <c r="N1404" i="1"/>
  <c r="N1413" i="1"/>
  <c r="N1403" i="1"/>
  <c r="N1409" i="1"/>
  <c r="N1414" i="1"/>
  <c r="N1421" i="1"/>
  <c r="N1418" i="1"/>
  <c r="N1431" i="1"/>
  <c r="N1423" i="1"/>
  <c r="N1417" i="1"/>
  <c r="N1419" i="1"/>
  <c r="N1425" i="1"/>
  <c r="N1426" i="1"/>
  <c r="N1422" i="1"/>
  <c r="N1415" i="1"/>
  <c r="N1424" i="1"/>
  <c r="N1416" i="1"/>
  <c r="N1420" i="1"/>
  <c r="N1427" i="1"/>
  <c r="N1428" i="1"/>
  <c r="N1429" i="1"/>
  <c r="N1430" i="1"/>
  <c r="N1441" i="1"/>
  <c r="N1442" i="1"/>
  <c r="N1435" i="1"/>
  <c r="N1445" i="1"/>
  <c r="N1436" i="1"/>
  <c r="N1432" i="1"/>
  <c r="N1440" i="1"/>
  <c r="N1438" i="1"/>
  <c r="N1433" i="1"/>
  <c r="N1439" i="1"/>
  <c r="N1446" i="1"/>
  <c r="N1434" i="1"/>
  <c r="N1437" i="1"/>
  <c r="N1443" i="1"/>
  <c r="N1444" i="1"/>
  <c r="N1447" i="1"/>
  <c r="N1456" i="1"/>
  <c r="N1448" i="1"/>
  <c r="N1462" i="1"/>
  <c r="N1461" i="1"/>
  <c r="N1455" i="1"/>
  <c r="N1457" i="1"/>
  <c r="N1451" i="1"/>
  <c r="N1458" i="1"/>
  <c r="N1459" i="1"/>
  <c r="N1449" i="1"/>
  <c r="N1460" i="1"/>
  <c r="N1450" i="1"/>
  <c r="N1452" i="1"/>
  <c r="N1453" i="1"/>
  <c r="N1454" i="1"/>
  <c r="N1473" i="1"/>
  <c r="N1471" i="1"/>
  <c r="N1476" i="1"/>
  <c r="N1469" i="1"/>
  <c r="N1466" i="1"/>
  <c r="N1474" i="1"/>
  <c r="N1470" i="1"/>
  <c r="N1463" i="1"/>
  <c r="N1472" i="1"/>
  <c r="N1475" i="1"/>
  <c r="N1465" i="1"/>
  <c r="N1467" i="1"/>
  <c r="N1468" i="1"/>
  <c r="N1464" i="1"/>
  <c r="N1481" i="1"/>
  <c r="N1492" i="1"/>
  <c r="N1487" i="1"/>
  <c r="N1493" i="1"/>
  <c r="N1497" i="1"/>
  <c r="N1488" i="1"/>
  <c r="N1478" i="1"/>
  <c r="N1496" i="1"/>
  <c r="N1485" i="1"/>
  <c r="N1479" i="1"/>
  <c r="N1482" i="1"/>
  <c r="N1491" i="1"/>
  <c r="N1486" i="1"/>
  <c r="N1477" i="1"/>
  <c r="N1498" i="1"/>
  <c r="N1489" i="1"/>
  <c r="N1490" i="1"/>
  <c r="N1494" i="1"/>
  <c r="N1480" i="1"/>
  <c r="N1483" i="1"/>
  <c r="N1495" i="1"/>
  <c r="N1484" i="1"/>
  <c r="N1499" i="1"/>
  <c r="N1501" i="1"/>
  <c r="N1503" i="1"/>
  <c r="N1504" i="1"/>
  <c r="N1510" i="1"/>
  <c r="N1507" i="1"/>
  <c r="N1500" i="1"/>
  <c r="N1506" i="1"/>
  <c r="N1502" i="1"/>
  <c r="N1505" i="1"/>
  <c r="N1509" i="1"/>
  <c r="N1508" i="1"/>
  <c r="N1511" i="1"/>
  <c r="N1518" i="1"/>
  <c r="N1512" i="1"/>
  <c r="N1523" i="1"/>
  <c r="N1516" i="1"/>
  <c r="N1517" i="1"/>
  <c r="N1522" i="1"/>
  <c r="N1521" i="1"/>
  <c r="N1519" i="1"/>
  <c r="N1513" i="1"/>
  <c r="N1514" i="1"/>
  <c r="N1515" i="1"/>
  <c r="N1520" i="1"/>
  <c r="N1541" i="1"/>
  <c r="N1537" i="1"/>
  <c r="N1528" i="1"/>
  <c r="N1529" i="1"/>
  <c r="N1530" i="1"/>
  <c r="N1526" i="1"/>
  <c r="N1542" i="1"/>
  <c r="N1531" i="1"/>
  <c r="N1532" i="1"/>
  <c r="N1524" i="1"/>
  <c r="N1540" i="1"/>
  <c r="N1534" i="1"/>
  <c r="N1535" i="1"/>
  <c r="N1533" i="1"/>
  <c r="N1527" i="1"/>
  <c r="N1539" i="1"/>
  <c r="N1536" i="1"/>
  <c r="N1538" i="1"/>
  <c r="N1525" i="1"/>
  <c r="N1549" i="1"/>
  <c r="N1553" i="1"/>
  <c r="N1543" i="1"/>
  <c r="N1544" i="1"/>
  <c r="N1547" i="1"/>
  <c r="N1550" i="1"/>
  <c r="N1551" i="1"/>
  <c r="N1548" i="1"/>
  <c r="N1545" i="1"/>
  <c r="N1546" i="1"/>
  <c r="N1552" i="1"/>
  <c r="N1564" i="1"/>
  <c r="N1559" i="1"/>
  <c r="N1560" i="1"/>
  <c r="N1565" i="1"/>
  <c r="N1563" i="1"/>
  <c r="N1556" i="1"/>
  <c r="N1561" i="1"/>
  <c r="N1558" i="1"/>
  <c r="N1562" i="1"/>
  <c r="N1555" i="1"/>
  <c r="N1557" i="1"/>
  <c r="N1554" i="1"/>
  <c r="N1566" i="1"/>
  <c r="N1579" i="1"/>
  <c r="N1578" i="1"/>
  <c r="N1575" i="1"/>
  <c r="N1571" i="1"/>
  <c r="N1568" i="1"/>
  <c r="N1574" i="1"/>
  <c r="N1572" i="1"/>
  <c r="N1569" i="1"/>
  <c r="N1567" i="1"/>
  <c r="N1577" i="1"/>
  <c r="N1573" i="1"/>
  <c r="N1576" i="1"/>
  <c r="N1570" i="1"/>
  <c r="N1583" i="1"/>
  <c r="N1582" i="1"/>
  <c r="N1584" i="1"/>
  <c r="N1588" i="1"/>
  <c r="N1580" i="1"/>
  <c r="N1587" i="1"/>
  <c r="N1585" i="1"/>
  <c r="N1586" i="1"/>
  <c r="N1589" i="1"/>
  <c r="N1581" i="1"/>
  <c r="N1597" i="1"/>
  <c r="N1599" i="1"/>
  <c r="N1590" i="1"/>
  <c r="N1600" i="1"/>
  <c r="N1593" i="1"/>
  <c r="N1595" i="1"/>
  <c r="N1601" i="1"/>
  <c r="N1594" i="1"/>
  <c r="N1591" i="1"/>
  <c r="N1596" i="1"/>
  <c r="N1603" i="1"/>
  <c r="N1592" i="1"/>
  <c r="N1602" i="1"/>
  <c r="N1598" i="1"/>
  <c r="N1605" i="1"/>
  <c r="N1612" i="1"/>
  <c r="N1606" i="1"/>
  <c r="N1608" i="1"/>
  <c r="N1610" i="1"/>
  <c r="N1611" i="1"/>
  <c r="N1607" i="1"/>
  <c r="N1604" i="1"/>
  <c r="N1609" i="1"/>
  <c r="N1619" i="1"/>
  <c r="N1613" i="1"/>
  <c r="N1614" i="1"/>
  <c r="N1622" i="1"/>
  <c r="N1617" i="1"/>
  <c r="N1615" i="1"/>
  <c r="N1621" i="1"/>
  <c r="N1620" i="1"/>
  <c r="N1618" i="1"/>
  <c r="N1616" i="1"/>
  <c r="N1623" i="1"/>
  <c r="N1637" i="1"/>
  <c r="N1630" i="1"/>
  <c r="N1624" i="1"/>
  <c r="N1635" i="1"/>
  <c r="N1626" i="1"/>
  <c r="N1634" i="1"/>
  <c r="N1625" i="1"/>
  <c r="N1636" i="1"/>
  <c r="N1631" i="1"/>
  <c r="N1627" i="1"/>
  <c r="N1629" i="1"/>
  <c r="N1628" i="1"/>
  <c r="N1632" i="1"/>
  <c r="N1633" i="1"/>
  <c r="N1649" i="1"/>
  <c r="N1644" i="1"/>
  <c r="N1643" i="1"/>
  <c r="N1646" i="1"/>
  <c r="N1640" i="1"/>
  <c r="N1638" i="1"/>
  <c r="N1641" i="1"/>
  <c r="N1648" i="1"/>
  <c r="N1639" i="1"/>
  <c r="N1645" i="1"/>
  <c r="N1653" i="1"/>
  <c r="N1651" i="1"/>
  <c r="N1652" i="1"/>
  <c r="N1642" i="1"/>
  <c r="N1650" i="1"/>
  <c r="N1647" i="1"/>
  <c r="N1656" i="1"/>
  <c r="N1661" i="1"/>
  <c r="N1655" i="1"/>
  <c r="N1657" i="1"/>
  <c r="N1659" i="1"/>
  <c r="N1658" i="1"/>
  <c r="N1660" i="1"/>
  <c r="N1662" i="1"/>
  <c r="N1663" i="1"/>
  <c r="N1654" i="1"/>
  <c r="N1664" i="1"/>
  <c r="N1665" i="1"/>
  <c r="N1683" i="1"/>
  <c r="N1686" i="1"/>
  <c r="N1673" i="1"/>
  <c r="N1671" i="1"/>
  <c r="N1678" i="1"/>
  <c r="N1674" i="1"/>
  <c r="N1672" i="1"/>
  <c r="N1677" i="1"/>
  <c r="N1687" i="1"/>
  <c r="N1668" i="1"/>
  <c r="N1682" i="1"/>
  <c r="N1675" i="1"/>
  <c r="N1676" i="1"/>
  <c r="N1669" i="1"/>
  <c r="N1670" i="1"/>
  <c r="N1681" i="1"/>
  <c r="N1666" i="1"/>
  <c r="N1680" i="1"/>
  <c r="N1684" i="1"/>
  <c r="N1667" i="1"/>
  <c r="N1679" i="1"/>
  <c r="N1685" i="1"/>
  <c r="N1692" i="1"/>
  <c r="N1689" i="1"/>
  <c r="N1693" i="1"/>
  <c r="N1688" i="1"/>
  <c r="N1694" i="1"/>
  <c r="N1700" i="1"/>
  <c r="N1698" i="1"/>
  <c r="N1695" i="1"/>
  <c r="N1699" i="1"/>
  <c r="N1691" i="1"/>
  <c r="N1690" i="1"/>
  <c r="N1701" i="1"/>
  <c r="N1696" i="1"/>
  <c r="N1697" i="1"/>
  <c r="N1712" i="1"/>
  <c r="N1706" i="1"/>
  <c r="N1703" i="1"/>
  <c r="N1709" i="1"/>
  <c r="N1718" i="1"/>
  <c r="N1716" i="1"/>
  <c r="N1708" i="1"/>
  <c r="N1713" i="1"/>
  <c r="N1715" i="1"/>
  <c r="N1717" i="1"/>
  <c r="N1702" i="1"/>
  <c r="N1707" i="1"/>
  <c r="N1714" i="1"/>
  <c r="N1705" i="1"/>
  <c r="N1704" i="1"/>
  <c r="N1711" i="1"/>
  <c r="N1710" i="1"/>
  <c r="N1723" i="1"/>
  <c r="N1725" i="1"/>
  <c r="N1727" i="1"/>
  <c r="N1726" i="1"/>
  <c r="N1719" i="1"/>
  <c r="N1720" i="1"/>
  <c r="N1724" i="1"/>
  <c r="N1722" i="1"/>
  <c r="N1721" i="1"/>
  <c r="N1742" i="1"/>
  <c r="N1728" i="1"/>
  <c r="N1733" i="1"/>
  <c r="N1732" i="1"/>
  <c r="N1738" i="1"/>
  <c r="N1729" i="1"/>
  <c r="N1741" i="1"/>
  <c r="N1730" i="1"/>
  <c r="N1735" i="1"/>
  <c r="N1739" i="1"/>
  <c r="N1737" i="1"/>
  <c r="N1740" i="1"/>
  <c r="N1734" i="1"/>
  <c r="N1731" i="1"/>
  <c r="N1736" i="1"/>
  <c r="N1751" i="1"/>
  <c r="N1752" i="1"/>
  <c r="N1753" i="1"/>
  <c r="N1750" i="1"/>
  <c r="N1748" i="1"/>
  <c r="N1749" i="1"/>
  <c r="N1745" i="1"/>
  <c r="N1755" i="1"/>
  <c r="N1743" i="1"/>
  <c r="N1746" i="1"/>
  <c r="N1756" i="1"/>
  <c r="N1754" i="1"/>
  <c r="N1744" i="1"/>
  <c r="N1747" i="1"/>
  <c r="N1757" i="1"/>
  <c r="N1760" i="1"/>
  <c r="N1768" i="1"/>
  <c r="N1765" i="1"/>
  <c r="N1767" i="1"/>
  <c r="N1759" i="1"/>
  <c r="N1766" i="1"/>
  <c r="N1761" i="1"/>
  <c r="N1764" i="1"/>
  <c r="N1758" i="1"/>
  <c r="N1763" i="1"/>
  <c r="N1762" i="1"/>
  <c r="N1776" i="1"/>
  <c r="N1771" i="1"/>
  <c r="N1772" i="1"/>
  <c r="N1783" i="1"/>
  <c r="N1784" i="1"/>
  <c r="N1781" i="1"/>
  <c r="N1778" i="1"/>
  <c r="N1773" i="1"/>
  <c r="N1779" i="1"/>
  <c r="N1777" i="1"/>
  <c r="N1769" i="1"/>
  <c r="N1782" i="1"/>
  <c r="N1774" i="1"/>
  <c r="N1775" i="1"/>
  <c r="N1770" i="1"/>
  <c r="N1785" i="1"/>
  <c r="N1780" i="1"/>
  <c r="N1788" i="1"/>
  <c r="N1787" i="1"/>
  <c r="N1789" i="1"/>
  <c r="N1786" i="1"/>
  <c r="N1791" i="1"/>
  <c r="N1790" i="1"/>
  <c r="N1799" i="1"/>
  <c r="N1794" i="1"/>
  <c r="N1801" i="1"/>
  <c r="N1798" i="1"/>
  <c r="N1803" i="1"/>
  <c r="N1792" i="1"/>
  <c r="N1804" i="1"/>
  <c r="N1806" i="1"/>
  <c r="N1802" i="1"/>
  <c r="N1795" i="1"/>
  <c r="N1807" i="1"/>
  <c r="N1808" i="1"/>
  <c r="N1796" i="1"/>
  <c r="N1797" i="1"/>
  <c r="N1793" i="1"/>
  <c r="N1805" i="1"/>
  <c r="N1800" i="1"/>
  <c r="N1813" i="1"/>
  <c r="N1814" i="1"/>
  <c r="N1811" i="1"/>
  <c r="N1809" i="1"/>
  <c r="N1812" i="1"/>
  <c r="N1810" i="1"/>
  <c r="N1816" i="1"/>
  <c r="N1818" i="1"/>
  <c r="N1827" i="1"/>
  <c r="N1828" i="1"/>
  <c r="N1826" i="1"/>
  <c r="N1815" i="1"/>
  <c r="N1823" i="1"/>
  <c r="N1817" i="1"/>
  <c r="N1819" i="1"/>
  <c r="N1829" i="1"/>
  <c r="N1830" i="1"/>
  <c r="N1824" i="1"/>
  <c r="N1825" i="1"/>
  <c r="N1821" i="1"/>
  <c r="N1822" i="1"/>
  <c r="N1820" i="1"/>
  <c r="N1837" i="1"/>
  <c r="N1848" i="1"/>
  <c r="N1831" i="1"/>
  <c r="N1842" i="1"/>
  <c r="N1844" i="1"/>
  <c r="N1845" i="1"/>
  <c r="N1846" i="1"/>
  <c r="N1847" i="1"/>
  <c r="N1839" i="1"/>
  <c r="N1838" i="1"/>
  <c r="N1835" i="1"/>
  <c r="N1840" i="1"/>
  <c r="N1832" i="1"/>
  <c r="N1843" i="1"/>
  <c r="N1833" i="1"/>
  <c r="N1834" i="1"/>
  <c r="N1841" i="1"/>
  <c r="N1836" i="1"/>
  <c r="N1854" i="1"/>
  <c r="N1850" i="1"/>
  <c r="N1852" i="1"/>
  <c r="N1858" i="1"/>
  <c r="N1856" i="1"/>
  <c r="N1853" i="1"/>
  <c r="N1855" i="1"/>
  <c r="N1857" i="1"/>
  <c r="N1849" i="1"/>
  <c r="N1851" i="1"/>
  <c r="N1871" i="1"/>
  <c r="N1872" i="1"/>
  <c r="N1874" i="1"/>
  <c r="N1868" i="1"/>
  <c r="N1875" i="1"/>
  <c r="N1862" i="1"/>
  <c r="N1870" i="1"/>
  <c r="N1873" i="1"/>
  <c r="N1864" i="1"/>
  <c r="N1866" i="1"/>
  <c r="N1869" i="1"/>
  <c r="N1860" i="1"/>
  <c r="N1867" i="1"/>
  <c r="N1863" i="1"/>
  <c r="N1859" i="1"/>
  <c r="N1861" i="1"/>
  <c r="N1865" i="1"/>
  <c r="N1888" i="1"/>
  <c r="N1879" i="1"/>
  <c r="N1885" i="1"/>
  <c r="N1880" i="1"/>
  <c r="N1890" i="1"/>
  <c r="N1877" i="1"/>
  <c r="N1887" i="1"/>
  <c r="N1891" i="1"/>
  <c r="N1889" i="1"/>
  <c r="N1881" i="1"/>
  <c r="N1886" i="1"/>
  <c r="N1882" i="1"/>
  <c r="N1884" i="1"/>
  <c r="N1878" i="1"/>
  <c r="N1876" i="1"/>
  <c r="N1883" i="1"/>
  <c r="N1892" i="1"/>
  <c r="N1893" i="1"/>
  <c r="N1900" i="1"/>
  <c r="N1894" i="1"/>
  <c r="N1895" i="1"/>
  <c r="N1897" i="1"/>
  <c r="N1898" i="1"/>
  <c r="N1899" i="1"/>
  <c r="N1896" i="1"/>
  <c r="N1910" i="1"/>
  <c r="N1912" i="1"/>
  <c r="N1911" i="1"/>
  <c r="N1901" i="1"/>
  <c r="N1903" i="1"/>
  <c r="N1904" i="1"/>
  <c r="N1907" i="1"/>
  <c r="N1913" i="1"/>
  <c r="N1908" i="1"/>
  <c r="N1905" i="1"/>
  <c r="N1914" i="1"/>
  <c r="N1909" i="1"/>
  <c r="N1902" i="1"/>
  <c r="N1906" i="1"/>
  <c r="N1915" i="1"/>
  <c r="N1919" i="1"/>
  <c r="N1916" i="1"/>
  <c r="N1917" i="1"/>
  <c r="N1921" i="1"/>
  <c r="N1920" i="1"/>
  <c r="N1922" i="1"/>
  <c r="N1918" i="1"/>
  <c r="N1933" i="1"/>
  <c r="N1931" i="1"/>
  <c r="N1929" i="1"/>
  <c r="N1926" i="1"/>
  <c r="N1930" i="1"/>
  <c r="N1934" i="1"/>
  <c r="N1928" i="1"/>
  <c r="N1923" i="1"/>
  <c r="N1925" i="1"/>
  <c r="N1924" i="1"/>
  <c r="N1927" i="1"/>
  <c r="N1932" i="1"/>
  <c r="N1940" i="1"/>
  <c r="N1937" i="1"/>
  <c r="N1943" i="1"/>
  <c r="N1942" i="1"/>
  <c r="N1941" i="1"/>
  <c r="N1939" i="1"/>
  <c r="N1945" i="1"/>
  <c r="N1938" i="1"/>
  <c r="N1935" i="1"/>
  <c r="N1944" i="1"/>
  <c r="N1936" i="1"/>
  <c r="N1950" i="1"/>
  <c r="N1949" i="1"/>
  <c r="N1946" i="1"/>
  <c r="N1952" i="1"/>
  <c r="N1947" i="1"/>
  <c r="N1951" i="1"/>
  <c r="N1948" i="1"/>
  <c r="N1959" i="1"/>
  <c r="N1963" i="1"/>
  <c r="N1955" i="1"/>
  <c r="N1958" i="1"/>
  <c r="N1962" i="1"/>
  <c r="N1956" i="1"/>
  <c r="N1966" i="1"/>
  <c r="N1960" i="1"/>
  <c r="N1965" i="1"/>
  <c r="N1954" i="1"/>
  <c r="N1953" i="1"/>
  <c r="N1957" i="1"/>
  <c r="N1961" i="1"/>
  <c r="N1964" i="1"/>
  <c r="N1970" i="1"/>
  <c r="N1976" i="1"/>
  <c r="N1967" i="1"/>
  <c r="N1978" i="1"/>
  <c r="N1977" i="1"/>
  <c r="N1972" i="1"/>
  <c r="N1968" i="1"/>
  <c r="N1974" i="1"/>
  <c r="N1971" i="1"/>
  <c r="N1975" i="1"/>
  <c r="N1969" i="1"/>
  <c r="N1973" i="1"/>
  <c r="N1985" i="1"/>
  <c r="N1984" i="1"/>
  <c r="N1980" i="1"/>
  <c r="N1983" i="1"/>
  <c r="N1982" i="1"/>
  <c r="N1981" i="1"/>
  <c r="N1986" i="1"/>
  <c r="N1979" i="1"/>
  <c r="N1996" i="1"/>
  <c r="N1992" i="1"/>
  <c r="N1990" i="1"/>
  <c r="N2002" i="1"/>
  <c r="N1997" i="1"/>
  <c r="N1993" i="1"/>
  <c r="N1994" i="1"/>
  <c r="N2003" i="1"/>
  <c r="N1998" i="1"/>
  <c r="N1988" i="1"/>
  <c r="N1999" i="1"/>
  <c r="N2000" i="1"/>
  <c r="N1989" i="1"/>
  <c r="N1987" i="1"/>
  <c r="N1995" i="1"/>
  <c r="N1991" i="1"/>
  <c r="N2013" i="1"/>
  <c r="N2011" i="1"/>
  <c r="N2016" i="1"/>
  <c r="N2015" i="1"/>
  <c r="N2009" i="1"/>
  <c r="N2004" i="1"/>
  <c r="N2005" i="1"/>
  <c r="N2014" i="1"/>
  <c r="N2012" i="1"/>
  <c r="N2017" i="1"/>
  <c r="N2006" i="1"/>
  <c r="N2007" i="1"/>
  <c r="N2008" i="1"/>
  <c r="N2029" i="1"/>
  <c r="N2019" i="1"/>
  <c r="N2021" i="1"/>
  <c r="N2027" i="1"/>
  <c r="N2024" i="1"/>
  <c r="N2018" i="1"/>
  <c r="N2023" i="1"/>
  <c r="N2020" i="1"/>
  <c r="N2026" i="1"/>
  <c r="N2022" i="1"/>
  <c r="N2028" i="1"/>
  <c r="N2025" i="1"/>
  <c r="N2035" i="1"/>
  <c r="N2036" i="1"/>
  <c r="N2038" i="1"/>
  <c r="N2033" i="1"/>
  <c r="N2030" i="1"/>
  <c r="N2041" i="1"/>
  <c r="N2039" i="1"/>
  <c r="N2031" i="1"/>
  <c r="N2032" i="1"/>
  <c r="N2042" i="1"/>
  <c r="N2037" i="1"/>
  <c r="N2040" i="1"/>
  <c r="N2043" i="1"/>
  <c r="N2051" i="1"/>
  <c r="N2046" i="1"/>
  <c r="N2053" i="1"/>
  <c r="N2047" i="1"/>
  <c r="N2057" i="1"/>
  <c r="N2044" i="1"/>
  <c r="N2049" i="1"/>
  <c r="N2052" i="1"/>
  <c r="N2056" i="1"/>
  <c r="N2050" i="1"/>
  <c r="N2048" i="1"/>
  <c r="N2054" i="1"/>
  <c r="N2045" i="1"/>
  <c r="N2055" i="1"/>
  <c r="N2065" i="1"/>
  <c r="N2062" i="1"/>
  <c r="N2074" i="1"/>
  <c r="N2060" i="1"/>
  <c r="N2058" i="1"/>
  <c r="N2068" i="1"/>
  <c r="N2066" i="1"/>
  <c r="N2059" i="1"/>
  <c r="N2061" i="1"/>
  <c r="N2064" i="1"/>
  <c r="N2067" i="1"/>
  <c r="N2071" i="1"/>
  <c r="N2063" i="1"/>
  <c r="N2073" i="1"/>
  <c r="N2069" i="1"/>
  <c r="N2072" i="1"/>
  <c r="N2080" i="1"/>
  <c r="N2077" i="1"/>
  <c r="N2076" i="1"/>
  <c r="N2081" i="1"/>
  <c r="N2075" i="1"/>
  <c r="N2082" i="1"/>
  <c r="N2078" i="1"/>
  <c r="N2079" i="1"/>
  <c r="N2083" i="1"/>
  <c r="N2092" i="1"/>
  <c r="N2096" i="1"/>
  <c r="N2089" i="1"/>
  <c r="N2090" i="1"/>
  <c r="N2093" i="1"/>
  <c r="N2084" i="1"/>
  <c r="N2088" i="1"/>
  <c r="N2085" i="1"/>
  <c r="N2091" i="1"/>
  <c r="N2094" i="1"/>
  <c r="N2087" i="1"/>
  <c r="N2086" i="1"/>
  <c r="N2095" i="1"/>
  <c r="N2097" i="1"/>
  <c r="N2104" i="1"/>
  <c r="N2103" i="1"/>
  <c r="N2101" i="1"/>
  <c r="N2099" i="1"/>
  <c r="N2098" i="1"/>
  <c r="N2105" i="1"/>
  <c r="N2102" i="1"/>
  <c r="N2100" i="1"/>
  <c r="N2106" i="1"/>
  <c r="N2119" i="1"/>
  <c r="N2117" i="1"/>
  <c r="N2115" i="1"/>
  <c r="N2112" i="1"/>
  <c r="N2114" i="1"/>
  <c r="N2116" i="1"/>
  <c r="N2121" i="1"/>
  <c r="N2110" i="1"/>
  <c r="N2107" i="1"/>
  <c r="N2120" i="1"/>
  <c r="N2108" i="1"/>
  <c r="N2111" i="1"/>
  <c r="N2122" i="1"/>
  <c r="N2113" i="1"/>
  <c r="N2109" i="1"/>
  <c r="N2118" i="1"/>
  <c r="N2123" i="1"/>
  <c r="N2132" i="1"/>
  <c r="N2130" i="1"/>
  <c r="N2128" i="1"/>
  <c r="N2125" i="1"/>
  <c r="N2131" i="1"/>
  <c r="N2126" i="1"/>
  <c r="N2124" i="1"/>
  <c r="N2127" i="1"/>
  <c r="N2129" i="1"/>
  <c r="N2135" i="1"/>
  <c r="N2140" i="1"/>
  <c r="N2144" i="1"/>
  <c r="N2133" i="1"/>
  <c r="N2138" i="1"/>
  <c r="N2134" i="1"/>
  <c r="N2142" i="1"/>
  <c r="N2143" i="1"/>
  <c r="N2141" i="1"/>
  <c r="N2137" i="1"/>
  <c r="N2136" i="1"/>
  <c r="N2139" i="1"/>
  <c r="N2151" i="1"/>
  <c r="N2148" i="1"/>
  <c r="N2146" i="1"/>
  <c r="N2145" i="1"/>
  <c r="N2147" i="1"/>
  <c r="N2149" i="1"/>
  <c r="N2150" i="1"/>
  <c r="N2152" i="1"/>
  <c r="N2159" i="1"/>
  <c r="N2160" i="1"/>
  <c r="N2163" i="1"/>
  <c r="N2162" i="1"/>
  <c r="N2155" i="1"/>
  <c r="N2154" i="1"/>
  <c r="N2158" i="1"/>
  <c r="N2156" i="1"/>
  <c r="N2161" i="1"/>
  <c r="N2164" i="1"/>
  <c r="N2153" i="1"/>
  <c r="N2157" i="1"/>
  <c r="N2165" i="1"/>
  <c r="N2170" i="1"/>
  <c r="N2166" i="1"/>
  <c r="N2167" i="1"/>
  <c r="N2171" i="1"/>
  <c r="N2174" i="1"/>
  <c r="N2168" i="1"/>
  <c r="N2172" i="1"/>
  <c r="N2169" i="1"/>
  <c r="N2173" i="1"/>
  <c r="N2189" i="1"/>
  <c r="N2177" i="1"/>
  <c r="N2181" i="1"/>
  <c r="N2175" i="1"/>
  <c r="N2182" i="1"/>
  <c r="N2183" i="1"/>
  <c r="N2178" i="1"/>
  <c r="N2190" i="1"/>
  <c r="N2179" i="1"/>
  <c r="N2184" i="1"/>
  <c r="N2185" i="1"/>
  <c r="N2187" i="1"/>
  <c r="N2176" i="1"/>
  <c r="N2188" i="1"/>
  <c r="N2191" i="1"/>
  <c r="N2186" i="1"/>
  <c r="N2198" i="1"/>
  <c r="N2194" i="1"/>
  <c r="N2199" i="1"/>
  <c r="N2196" i="1"/>
  <c r="N2193" i="1"/>
  <c r="N2192" i="1"/>
  <c r="N2200" i="1"/>
  <c r="N2201" i="1"/>
  <c r="N2197" i="1"/>
  <c r="N2195" i="1"/>
  <c r="N2205" i="1"/>
  <c r="N2210" i="1"/>
  <c r="N2202" i="1"/>
  <c r="N2203" i="1"/>
  <c r="N2206" i="1"/>
  <c r="N2212" i="1"/>
  <c r="N2208" i="1"/>
  <c r="N2207" i="1"/>
  <c r="N2213" i="1"/>
  <c r="N2214" i="1"/>
  <c r="N2209" i="1"/>
  <c r="N2211" i="1"/>
  <c r="N2204" i="1"/>
  <c r="N2217" i="1"/>
  <c r="N2215" i="1"/>
  <c r="N2225" i="1"/>
  <c r="N2223" i="1"/>
  <c r="N2228" i="1"/>
  <c r="N2218" i="1"/>
  <c r="N2220" i="1"/>
  <c r="N2216" i="1"/>
  <c r="N2226" i="1"/>
  <c r="N2231" i="1"/>
  <c r="N2224" i="1"/>
  <c r="N2229" i="1"/>
  <c r="N2221" i="1"/>
  <c r="N2222" i="1"/>
  <c r="N2227" i="1"/>
  <c r="N2219" i="1"/>
  <c r="N2230" i="1"/>
  <c r="N2254" i="1"/>
  <c r="N2240" i="1"/>
  <c r="N2234" i="1"/>
  <c r="N2232" i="1"/>
  <c r="N2238" i="1"/>
  <c r="N2235" i="1"/>
  <c r="N2250" i="1"/>
  <c r="N2243" i="1"/>
  <c r="N2236" i="1"/>
  <c r="N2237" i="1"/>
  <c r="N2239" i="1"/>
  <c r="N2242" i="1"/>
  <c r="N2244" i="1"/>
  <c r="N2251" i="1"/>
  <c r="N2249" i="1"/>
  <c r="N2245" i="1"/>
  <c r="N2246" i="1"/>
  <c r="N2241" i="1"/>
  <c r="N2247" i="1"/>
  <c r="N2253" i="1"/>
  <c r="N2252" i="1"/>
  <c r="N2233" i="1"/>
  <c r="N2248" i="1"/>
  <c r="N2257" i="1"/>
  <c r="N2264" i="1"/>
  <c r="N2259" i="1"/>
  <c r="N2268" i="1"/>
  <c r="N2255" i="1"/>
  <c r="N2261" i="1"/>
  <c r="N2265" i="1"/>
  <c r="N2269" i="1"/>
  <c r="N2262" i="1"/>
  <c r="N2260" i="1"/>
  <c r="N2258" i="1"/>
  <c r="N2263" i="1"/>
  <c r="N2266" i="1"/>
  <c r="N2256" i="1"/>
  <c r="N2267" i="1"/>
  <c r="N2270" i="1"/>
  <c r="N2280" i="1"/>
  <c r="N2272" i="1"/>
  <c r="N2274" i="1"/>
  <c r="N2281" i="1"/>
  <c r="N2279" i="1"/>
  <c r="N2275" i="1"/>
  <c r="N2278" i="1"/>
  <c r="N2271" i="1"/>
  <c r="N2276" i="1"/>
  <c r="N2273" i="1"/>
  <c r="N2282" i="1"/>
  <c r="N2277" i="1"/>
  <c r="N2284" i="1"/>
  <c r="N2300" i="1"/>
  <c r="N2289" i="1"/>
  <c r="N2293" i="1"/>
  <c r="N2288" i="1"/>
  <c r="N2285" i="1"/>
  <c r="N2295" i="1"/>
  <c r="N2297" i="1"/>
  <c r="N2294" i="1"/>
  <c r="N2298" i="1"/>
  <c r="N2286" i="1"/>
  <c r="N2287" i="1"/>
  <c r="N2283" i="1"/>
  <c r="N2296" i="1"/>
  <c r="N2291" i="1"/>
  <c r="N2290" i="1"/>
  <c r="N2292" i="1"/>
  <c r="N2299" i="1"/>
  <c r="N2301" i="1"/>
  <c r="N2309" i="1"/>
  <c r="N2302" i="1"/>
  <c r="N2306" i="1"/>
  <c r="N2307" i="1"/>
  <c r="N2308" i="1"/>
  <c r="N2305" i="1"/>
  <c r="N2303" i="1"/>
  <c r="N2304" i="1"/>
  <c r="N2315" i="1"/>
  <c r="N2313" i="1"/>
  <c r="N2320" i="1"/>
  <c r="N2321" i="1"/>
  <c r="N2319" i="1"/>
  <c r="N2310" i="1"/>
  <c r="N2323" i="1"/>
  <c r="N2314" i="1"/>
  <c r="N2318" i="1"/>
  <c r="N2322" i="1"/>
  <c r="N2311" i="1"/>
  <c r="N2317" i="1"/>
  <c r="N2312" i="1"/>
  <c r="N2316" i="1"/>
  <c r="N2332" i="1"/>
  <c r="N2331" i="1"/>
  <c r="N2325" i="1"/>
  <c r="N2327" i="1"/>
  <c r="N2336" i="1"/>
  <c r="N2337" i="1"/>
  <c r="N2328" i="1"/>
  <c r="N2338" i="1"/>
  <c r="N2333" i="1"/>
  <c r="N2330" i="1"/>
  <c r="N2324" i="1"/>
  <c r="N2334" i="1"/>
  <c r="N2329" i="1"/>
  <c r="N2335" i="1"/>
  <c r="N2326" i="1"/>
  <c r="N2342" i="1"/>
  <c r="N2339" i="1"/>
  <c r="N2340" i="1"/>
  <c r="N2347" i="1"/>
  <c r="N2341" i="1"/>
  <c r="N2346" i="1"/>
  <c r="N2344" i="1"/>
  <c r="N2348" i="1"/>
  <c r="N2343" i="1"/>
  <c r="N2345" i="1"/>
  <c r="N2349" i="1"/>
  <c r="N2352" i="1"/>
  <c r="N2357" i="1"/>
  <c r="N2355" i="1"/>
  <c r="N2354" i="1"/>
  <c r="N2350" i="1"/>
  <c r="N2353" i="1"/>
  <c r="N2351" i="1"/>
  <c r="N2356" i="1"/>
  <c r="N2360" i="1"/>
  <c r="N2361" i="1"/>
  <c r="N2362" i="1"/>
  <c r="N2365" i="1"/>
  <c r="N2371" i="1"/>
  <c r="N2367" i="1"/>
  <c r="N2366" i="1"/>
  <c r="N2364" i="1"/>
  <c r="N2358" i="1"/>
  <c r="N2368" i="1"/>
  <c r="N2369" i="1"/>
  <c r="N2363" i="1"/>
  <c r="N2370" i="1"/>
  <c r="N2359" i="1"/>
  <c r="N2373" i="1"/>
  <c r="N2374" i="1"/>
  <c r="N2380" i="1"/>
  <c r="N2386" i="1"/>
  <c r="N2384" i="1"/>
  <c r="N2382" i="1"/>
  <c r="N2377" i="1"/>
  <c r="N2381" i="1"/>
  <c r="N2372" i="1"/>
  <c r="N2376" i="1"/>
  <c r="N2378" i="1"/>
  <c r="N2383" i="1"/>
  <c r="N2375" i="1"/>
  <c r="N2379" i="1"/>
  <c r="N2385" i="1"/>
  <c r="N2387" i="1"/>
  <c r="N2395" i="1"/>
  <c r="N2396" i="1"/>
  <c r="N2393" i="1"/>
  <c r="N2397" i="1"/>
  <c r="N2398" i="1"/>
  <c r="N2400" i="1"/>
  <c r="N2391" i="1"/>
  <c r="N2388" i="1"/>
  <c r="N2399" i="1"/>
  <c r="N2389" i="1"/>
  <c r="N2392" i="1"/>
  <c r="N2394" i="1"/>
  <c r="N2390" i="1"/>
  <c r="N2403" i="1"/>
  <c r="N2408" i="1"/>
  <c r="N2401" i="1"/>
  <c r="N2406" i="1"/>
  <c r="N2405" i="1"/>
  <c r="N2407" i="1"/>
  <c r="N2402" i="1"/>
  <c r="N2404" i="1"/>
  <c r="N2414" i="1"/>
  <c r="N2416" i="1"/>
  <c r="N2411" i="1"/>
  <c r="N2409" i="1"/>
  <c r="N2419" i="1"/>
  <c r="N2415" i="1"/>
  <c r="N2413" i="1"/>
  <c r="N2418" i="1"/>
  <c r="N2410" i="1"/>
  <c r="N2412" i="1"/>
  <c r="N2417" i="1"/>
  <c r="N2432" i="1"/>
  <c r="N2426" i="1"/>
  <c r="N2431" i="1"/>
  <c r="N2421" i="1"/>
  <c r="N2436" i="1"/>
  <c r="N2422" i="1"/>
  <c r="N2423" i="1"/>
  <c r="N2433" i="1"/>
  <c r="N2424" i="1"/>
  <c r="N2425" i="1"/>
  <c r="N2429" i="1"/>
  <c r="N2430" i="1"/>
  <c r="N2434" i="1"/>
  <c r="N2427" i="1"/>
  <c r="N2435" i="1"/>
  <c r="N2428" i="1"/>
  <c r="N2420" i="1"/>
  <c r="N2437" i="1"/>
  <c r="N2450" i="1"/>
  <c r="N2451" i="1"/>
  <c r="N2440" i="1"/>
  <c r="N2441" i="1"/>
  <c r="N2449" i="1"/>
  <c r="N2448" i="1"/>
  <c r="N2438" i="1"/>
  <c r="N2446" i="1"/>
  <c r="N2442" i="1"/>
  <c r="N2443" i="1"/>
  <c r="N2447" i="1"/>
  <c r="N2444" i="1"/>
  <c r="N2439" i="1"/>
  <c r="N2452" i="1"/>
  <c r="N2453" i="1"/>
  <c r="N2445" i="1"/>
  <c r="N2458" i="1"/>
  <c r="N2457" i="1"/>
  <c r="N2461" i="1"/>
  <c r="N2459" i="1"/>
  <c r="N2462" i="1"/>
  <c r="N2454" i="1"/>
  <c r="N2456" i="1"/>
  <c r="N2463" i="1"/>
  <c r="N2460" i="1"/>
  <c r="N2464" i="1"/>
  <c r="N2455" i="1"/>
  <c r="N2465" i="1"/>
  <c r="N2469" i="1"/>
  <c r="N2468" i="1"/>
  <c r="N2467" i="1"/>
  <c r="N2466" i="1"/>
  <c r="N2472" i="1"/>
  <c r="N2474" i="1"/>
  <c r="N2477" i="1"/>
  <c r="N2481" i="1"/>
  <c r="N2471" i="1"/>
  <c r="N2473" i="1"/>
  <c r="N2476" i="1"/>
  <c r="N2475" i="1"/>
  <c r="N2479" i="1"/>
  <c r="N2480" i="1"/>
  <c r="N2470" i="1"/>
  <c r="N2478" i="1"/>
  <c r="N2485" i="1"/>
  <c r="N2489" i="1"/>
  <c r="N2486" i="1"/>
  <c r="N2491" i="1"/>
  <c r="N2487" i="1"/>
  <c r="N2483" i="1"/>
  <c r="N2484" i="1"/>
  <c r="N2490" i="1"/>
  <c r="N2482" i="1"/>
  <c r="N2488" i="1"/>
  <c r="N2494" i="1"/>
  <c r="N2493" i="1"/>
  <c r="N2497" i="1"/>
  <c r="N2498" i="1"/>
  <c r="N2501" i="1"/>
  <c r="N2503" i="1"/>
  <c r="N2499" i="1"/>
  <c r="N2506" i="1"/>
  <c r="N2495" i="1"/>
  <c r="N2504" i="1"/>
  <c r="N2505" i="1"/>
  <c r="N2500" i="1"/>
  <c r="N2502" i="1"/>
  <c r="N2496" i="1"/>
  <c r="N2507" i="1"/>
  <c r="N2492" i="1"/>
  <c r="N2522" i="1"/>
  <c r="N2514" i="1"/>
  <c r="N2508" i="1"/>
  <c r="N2519" i="1"/>
  <c r="N2521" i="1"/>
  <c r="N2517" i="1"/>
  <c r="N2513" i="1"/>
  <c r="N2518" i="1"/>
  <c r="N2523" i="1"/>
  <c r="N2509" i="1"/>
  <c r="N2516" i="1"/>
  <c r="N2510" i="1"/>
  <c r="N2511" i="1"/>
  <c r="N2512" i="1"/>
  <c r="N2520" i="1"/>
  <c r="N2515" i="1"/>
  <c r="N2536" i="1"/>
  <c r="N2533" i="1"/>
  <c r="N2530" i="1"/>
  <c r="N2532" i="1"/>
  <c r="N2525" i="1"/>
  <c r="N2524" i="1"/>
  <c r="N2526" i="1"/>
  <c r="N2529" i="1"/>
  <c r="N2535" i="1"/>
  <c r="N2537" i="1"/>
  <c r="N2531" i="1"/>
  <c r="N2527" i="1"/>
  <c r="N2534" i="1"/>
  <c r="N2528" i="1"/>
  <c r="N2538" i="1"/>
  <c r="N2545" i="1"/>
  <c r="N2546" i="1"/>
  <c r="N2540" i="1"/>
  <c r="N2544" i="1"/>
  <c r="N2549" i="1"/>
  <c r="N2543" i="1"/>
  <c r="N2552" i="1"/>
  <c r="N2539" i="1"/>
  <c r="N2547" i="1"/>
  <c r="N2541" i="1"/>
  <c r="N2548" i="1"/>
  <c r="N2551" i="1"/>
  <c r="N2542" i="1"/>
  <c r="N2550" i="1"/>
  <c r="N2553" i="1"/>
  <c r="N2557" i="1"/>
  <c r="N2565" i="1"/>
  <c r="N2566" i="1"/>
  <c r="N2563" i="1"/>
  <c r="N2558" i="1"/>
  <c r="N2561" i="1"/>
  <c r="N2559" i="1"/>
  <c r="N2556" i="1"/>
  <c r="N2560" i="1"/>
  <c r="N2562" i="1"/>
  <c r="N2564" i="1"/>
  <c r="N2555" i="1"/>
  <c r="N2567" i="1"/>
  <c r="N2554" i="1"/>
  <c r="N2576" i="1"/>
  <c r="N2568" i="1"/>
  <c r="N2587" i="1"/>
  <c r="N2578" i="1"/>
  <c r="N2588" i="1"/>
  <c r="N2581" i="1"/>
  <c r="N2586" i="1"/>
  <c r="N2582" i="1"/>
  <c r="N2573" i="1"/>
  <c r="N2580" i="1"/>
  <c r="N2570" i="1"/>
  <c r="N2579" i="1"/>
  <c r="N2569" i="1"/>
  <c r="N2584" i="1"/>
  <c r="N2572" i="1"/>
  <c r="N2585" i="1"/>
  <c r="N2577" i="1"/>
  <c r="N2583" i="1"/>
  <c r="N2574" i="1"/>
  <c r="N2575" i="1"/>
  <c r="N2571" i="1"/>
  <c r="N2596" i="1"/>
  <c r="N2598" i="1"/>
  <c r="N2593" i="1"/>
  <c r="N2590" i="1"/>
  <c r="N2602" i="1"/>
  <c r="N2603" i="1"/>
  <c r="N2594" i="1"/>
  <c r="N2595" i="1"/>
  <c r="N2591" i="1"/>
  <c r="N2601" i="1"/>
  <c r="N2589" i="1"/>
  <c r="N2600" i="1"/>
  <c r="N2599" i="1"/>
  <c r="N2592" i="1"/>
  <c r="N2608" i="1"/>
  <c r="N2611" i="1"/>
  <c r="N2605" i="1"/>
  <c r="N2614" i="1"/>
  <c r="N2617" i="1"/>
  <c r="N2607" i="1"/>
  <c r="N2610" i="1"/>
  <c r="N2616" i="1"/>
  <c r="N2606" i="1"/>
  <c r="N2612" i="1"/>
  <c r="N2618" i="1"/>
  <c r="N2615" i="1"/>
  <c r="N2604" i="1"/>
  <c r="N2619" i="1"/>
  <c r="N2609" i="1"/>
  <c r="N2613" i="1"/>
  <c r="N2632" i="1"/>
  <c r="N2630" i="1"/>
  <c r="N2626" i="1"/>
  <c r="N2620" i="1"/>
  <c r="N2628" i="1"/>
  <c r="N2622" i="1"/>
  <c r="N2625" i="1"/>
  <c r="N2629" i="1"/>
  <c r="N2631" i="1"/>
  <c r="N2623" i="1"/>
  <c r="N2624" i="1"/>
  <c r="N2627" i="1"/>
  <c r="N2621" i="1"/>
  <c r="N2641" i="1"/>
  <c r="N2642" i="1"/>
  <c r="N2635" i="1"/>
  <c r="N2639" i="1"/>
  <c r="N2640" i="1"/>
  <c r="N2633" i="1"/>
  <c r="N2637" i="1"/>
  <c r="N2643" i="1"/>
  <c r="N2638" i="1"/>
  <c r="N2634" i="1"/>
  <c r="N2636" i="1"/>
  <c r="N2649" i="1"/>
  <c r="N2662" i="1"/>
  <c r="N2644" i="1"/>
  <c r="N2650" i="1"/>
  <c r="N2646" i="1"/>
  <c r="N2661" i="1"/>
  <c r="N2658" i="1"/>
  <c r="N2652" i="1"/>
  <c r="N2663" i="1"/>
  <c r="N2660" i="1"/>
  <c r="N2647" i="1"/>
  <c r="N2653" i="1"/>
  <c r="N2651" i="1"/>
  <c r="N2659" i="1"/>
  <c r="N2655" i="1"/>
  <c r="N2656" i="1"/>
  <c r="N2645" i="1"/>
  <c r="N2657" i="1"/>
  <c r="N2648" i="1"/>
  <c r="N2654" i="1"/>
  <c r="N2670" i="1"/>
  <c r="N2671" i="1"/>
  <c r="N2678" i="1"/>
  <c r="N2668" i="1"/>
  <c r="N2673" i="1"/>
  <c r="N2677" i="1"/>
  <c r="N2664" i="1"/>
  <c r="N2679" i="1"/>
  <c r="N2667" i="1"/>
  <c r="N2669" i="1"/>
  <c r="N2680" i="1"/>
  <c r="N2665" i="1"/>
  <c r="N2674" i="1"/>
  <c r="N2666" i="1"/>
  <c r="N2672" i="1"/>
  <c r="N2681" i="1"/>
  <c r="N2675" i="1"/>
  <c r="N2676" i="1"/>
  <c r="N2686" i="1"/>
  <c r="N2683" i="1"/>
  <c r="N2696" i="1"/>
  <c r="N2687" i="1"/>
  <c r="N2688" i="1"/>
  <c r="N2691" i="1"/>
  <c r="N2693" i="1"/>
  <c r="N2682" i="1"/>
  <c r="N2684" i="1"/>
  <c r="N2692" i="1"/>
  <c r="N2685" i="1"/>
  <c r="N2695" i="1"/>
  <c r="N2690" i="1"/>
  <c r="N2689" i="1"/>
  <c r="N2694" i="1"/>
  <c r="N2697" i="1"/>
  <c r="N2699" i="1"/>
  <c r="N2701" i="1"/>
  <c r="N2698" i="1"/>
  <c r="N2702" i="1"/>
  <c r="N2703" i="1"/>
  <c r="N2700" i="1"/>
  <c r="N2713" i="1"/>
  <c r="N2711" i="1"/>
  <c r="N2709" i="1"/>
  <c r="N2706" i="1"/>
  <c r="N2704" i="1"/>
  <c r="N2707" i="1"/>
  <c r="N2712" i="1"/>
  <c r="N2705" i="1"/>
  <c r="N2708" i="1"/>
  <c r="N2710" i="1"/>
  <c r="N2714" i="1"/>
  <c r="N2728" i="1"/>
  <c r="N2723" i="1"/>
  <c r="N2720" i="1"/>
  <c r="N2724" i="1"/>
  <c r="N2717" i="1"/>
  <c r="N2722" i="1"/>
  <c r="N2719" i="1"/>
  <c r="N2725" i="1"/>
  <c r="N2716" i="1"/>
  <c r="N2715" i="1"/>
  <c r="N2727" i="1"/>
  <c r="N2718" i="1"/>
  <c r="N2726" i="1"/>
  <c r="N2721" i="1"/>
  <c r="N2732" i="1"/>
  <c r="N2738" i="1"/>
  <c r="N2733" i="1"/>
  <c r="N2734" i="1"/>
  <c r="N2735" i="1"/>
  <c r="N2736" i="1"/>
  <c r="N2730" i="1"/>
  <c r="N2731" i="1"/>
  <c r="N2737" i="1"/>
  <c r="N2729" i="1"/>
  <c r="N2751" i="1"/>
  <c r="N2739" i="1"/>
  <c r="N2748" i="1"/>
  <c r="N2756" i="1"/>
  <c r="N2742" i="1"/>
  <c r="N2740" i="1"/>
  <c r="N2744" i="1"/>
  <c r="N2745" i="1"/>
  <c r="N2743" i="1"/>
  <c r="N2747" i="1"/>
  <c r="N2755" i="1"/>
  <c r="N2754" i="1"/>
  <c r="N2746" i="1"/>
  <c r="N2750" i="1"/>
  <c r="N2741" i="1"/>
  <c r="N2749" i="1"/>
  <c r="N2763" i="1"/>
  <c r="N2762" i="1"/>
  <c r="N2759" i="1"/>
  <c r="N2760" i="1"/>
  <c r="N2757" i="1"/>
  <c r="N2758" i="1"/>
  <c r="N2761" i="1"/>
  <c r="N2768" i="1"/>
  <c r="N2770" i="1"/>
  <c r="N2767" i="1"/>
  <c r="N2773" i="1"/>
  <c r="N2771" i="1"/>
  <c r="N2769" i="1"/>
  <c r="N2775" i="1"/>
  <c r="N2772" i="1"/>
  <c r="N2766" i="1"/>
  <c r="N2774" i="1"/>
  <c r="N2764" i="1"/>
  <c r="N2781" i="1"/>
  <c r="N2784" i="1"/>
  <c r="N2786" i="1"/>
  <c r="N2776" i="1"/>
  <c r="N2789" i="1"/>
  <c r="N2785" i="1"/>
  <c r="N2782" i="1"/>
  <c r="N2779" i="1"/>
  <c r="N2777" i="1"/>
  <c r="N2783" i="1"/>
  <c r="N2780" i="1"/>
  <c r="N2790" i="1"/>
  <c r="N2778" i="1"/>
  <c r="N2788" i="1"/>
  <c r="N2787" i="1"/>
  <c r="N2798" i="1"/>
  <c r="N2795" i="1"/>
  <c r="N2800" i="1"/>
  <c r="N2796" i="1"/>
  <c r="N2791" i="1"/>
  <c r="N2792" i="1"/>
  <c r="N2793" i="1"/>
  <c r="N2801" i="1"/>
  <c r="N2799" i="1"/>
  <c r="N2797" i="1"/>
  <c r="N2794" i="1"/>
  <c r="N2810" i="1"/>
  <c r="N2809" i="1"/>
  <c r="N2803" i="1"/>
  <c r="N2811" i="1"/>
  <c r="N2806" i="1"/>
  <c r="N2817" i="1"/>
  <c r="N2802" i="1"/>
  <c r="N2807" i="1"/>
  <c r="N2805" i="1"/>
  <c r="N2815" i="1"/>
  <c r="N2808" i="1"/>
  <c r="N2812" i="1"/>
  <c r="N2804" i="1"/>
  <c r="N2814" i="1"/>
  <c r="N2813" i="1"/>
  <c r="N2816" i="1"/>
  <c r="N2820" i="1"/>
  <c r="N2828" i="1"/>
  <c r="N2825" i="1"/>
  <c r="N2826" i="1"/>
  <c r="N2821" i="1"/>
  <c r="N2829" i="1"/>
  <c r="N2819" i="1"/>
  <c r="N2827" i="1"/>
  <c r="N2830" i="1"/>
  <c r="N2822" i="1"/>
  <c r="N2823" i="1"/>
  <c r="N2824" i="1"/>
  <c r="N2831" i="1"/>
  <c r="N2818" i="1"/>
  <c r="N2837" i="1"/>
  <c r="N2842" i="1"/>
  <c r="N2832" i="1"/>
  <c r="N2841" i="1"/>
  <c r="N2835" i="1"/>
  <c r="N2838" i="1"/>
  <c r="N2840" i="1"/>
  <c r="N2843" i="1"/>
  <c r="N2839" i="1"/>
  <c r="N2845" i="1"/>
  <c r="N2844" i="1"/>
  <c r="N2836" i="1"/>
  <c r="N2833" i="1"/>
  <c r="N2834" i="1"/>
  <c r="N2846" i="1"/>
  <c r="N2851" i="1"/>
  <c r="N2855" i="1"/>
  <c r="N2848" i="1"/>
  <c r="N2852" i="1"/>
  <c r="N2849" i="1"/>
  <c r="N2856" i="1"/>
  <c r="N2850" i="1"/>
  <c r="N2847" i="1"/>
  <c r="N2853" i="1"/>
  <c r="N2854" i="1"/>
  <c r="N2857" i="1"/>
  <c r="N2859" i="1"/>
  <c r="N2860" i="1"/>
  <c r="N2863" i="1"/>
  <c r="N2865" i="1"/>
  <c r="N2864" i="1"/>
  <c r="N2862" i="1"/>
  <c r="N2867" i="1"/>
  <c r="N2861" i="1"/>
  <c r="N2866" i="1"/>
  <c r="N2876" i="1"/>
  <c r="N2875" i="1"/>
  <c r="N2880" i="1"/>
  <c r="N2881" i="1"/>
  <c r="N2869" i="1"/>
  <c r="N2871" i="1"/>
  <c r="N2872" i="1"/>
  <c r="N2873" i="1"/>
  <c r="N2878" i="1"/>
  <c r="N2874" i="1"/>
  <c r="N2879" i="1"/>
  <c r="N2868" i="1"/>
  <c r="N2870" i="1"/>
  <c r="N2877" i="1"/>
  <c r="N2882" i="1"/>
  <c r="N2889" i="1"/>
  <c r="N2897" i="1"/>
  <c r="N2891" i="1"/>
  <c r="N2899" i="1"/>
  <c r="N2890" i="1"/>
  <c r="N2894" i="1"/>
  <c r="N2892" i="1"/>
  <c r="N2886" i="1"/>
  <c r="N2885" i="1"/>
  <c r="N2893" i="1"/>
  <c r="N2896" i="1"/>
  <c r="N2887" i="1"/>
  <c r="N2898" i="1"/>
  <c r="N2888" i="1"/>
  <c r="N2883" i="1"/>
  <c r="N2900" i="1"/>
  <c r="N2895" i="1"/>
  <c r="N2901" i="1"/>
  <c r="N2884" i="1"/>
  <c r="N2906" i="1"/>
  <c r="N2905" i="1"/>
  <c r="N2903" i="1"/>
  <c r="N2904" i="1"/>
  <c r="N2902" i="1"/>
  <c r="N2907" i="1"/>
  <c r="N2910" i="1"/>
  <c r="N2917" i="1"/>
  <c r="N2908" i="1"/>
  <c r="N2913" i="1"/>
  <c r="N2909" i="1"/>
  <c r="N2915" i="1"/>
  <c r="N2911" i="1"/>
  <c r="N2914" i="1"/>
  <c r="N2918" i="1"/>
  <c r="N2916" i="1"/>
  <c r="N2912" i="1"/>
  <c r="N2920" i="1"/>
  <c r="N2925" i="1"/>
  <c r="N2923" i="1"/>
  <c r="N2930" i="1"/>
  <c r="N2921" i="1"/>
  <c r="N2935" i="1"/>
  <c r="N2932" i="1"/>
  <c r="N2926" i="1"/>
  <c r="N2933" i="1"/>
  <c r="N2929" i="1"/>
  <c r="N2927" i="1"/>
  <c r="N2934" i="1"/>
  <c r="N2922" i="1"/>
  <c r="N2928" i="1"/>
  <c r="N2924" i="1"/>
  <c r="N2931" i="1"/>
  <c r="N2939" i="1"/>
  <c r="N2944" i="1"/>
  <c r="N2938" i="1"/>
  <c r="N2937" i="1"/>
  <c r="N2946" i="1"/>
  <c r="N2940" i="1"/>
  <c r="N2945" i="1"/>
  <c r="N2942" i="1"/>
  <c r="N2943" i="1"/>
  <c r="N2941" i="1"/>
  <c r="N2936" i="1"/>
  <c r="N2947" i="1"/>
  <c r="N2953" i="1"/>
  <c r="N2952" i="1"/>
  <c r="N2949" i="1"/>
  <c r="N2950" i="1"/>
  <c r="N2948" i="1"/>
  <c r="N2954" i="1"/>
  <c r="N2951" i="1"/>
  <c r="N2964" i="1"/>
  <c r="N2966" i="1"/>
  <c r="N2972" i="1"/>
  <c r="N2974" i="1"/>
  <c r="N2963" i="1"/>
  <c r="N2971" i="1"/>
  <c r="N2961" i="1"/>
  <c r="N2970" i="1"/>
  <c r="N2973" i="1"/>
  <c r="N2962" i="1"/>
  <c r="N2965" i="1"/>
  <c r="N2967" i="1"/>
  <c r="N2958" i="1"/>
  <c r="N2969" i="1"/>
  <c r="N2968" i="1"/>
  <c r="N2959" i="1"/>
  <c r="N2960" i="1"/>
  <c r="N2957" i="1"/>
  <c r="N2955" i="1"/>
  <c r="N2956" i="1"/>
  <c r="N2985" i="1"/>
  <c r="N2977" i="1"/>
  <c r="N2991" i="1"/>
  <c r="N2990" i="1"/>
  <c r="N2988" i="1"/>
  <c r="N2980" i="1"/>
  <c r="N2984" i="1"/>
  <c r="N2982" i="1"/>
  <c r="N2981" i="1"/>
  <c r="N2978" i="1"/>
  <c r="N2987" i="1"/>
  <c r="N2989" i="1"/>
  <c r="N2992" i="1"/>
  <c r="N2975" i="1"/>
  <c r="N2983" i="1"/>
  <c r="N2986" i="1"/>
  <c r="N2979" i="1"/>
  <c r="N2976" i="1"/>
  <c r="N2997" i="1"/>
  <c r="N3001" i="1"/>
  <c r="N2996" i="1"/>
  <c r="N2993" i="1"/>
  <c r="N2999" i="1"/>
  <c r="N3002" i="1"/>
  <c r="N2994" i="1"/>
  <c r="N2995" i="1"/>
  <c r="N3000" i="1"/>
  <c r="N2998" i="1"/>
  <c r="N3003" i="1"/>
  <c r="N3004" i="1"/>
  <c r="N3008" i="1"/>
  <c r="N3014" i="1"/>
  <c r="N3012" i="1"/>
  <c r="N3005" i="1"/>
  <c r="N3011" i="1"/>
  <c r="N3006" i="1"/>
  <c r="N3015" i="1"/>
  <c r="N3009" i="1"/>
  <c r="N3013" i="1"/>
  <c r="N3010" i="1"/>
  <c r="N3007" i="1"/>
  <c r="N3016" i="1"/>
  <c r="N3018" i="1"/>
  <c r="N3028" i="1"/>
  <c r="N3021" i="1"/>
  <c r="N3029" i="1"/>
  <c r="N3034" i="1"/>
  <c r="N3027" i="1"/>
  <c r="N3037" i="1"/>
  <c r="N3033" i="1"/>
  <c r="N3031" i="1"/>
  <c r="N3024" i="1"/>
  <c r="N3022" i="1"/>
  <c r="N3035" i="1"/>
  <c r="N3023" i="1"/>
  <c r="N3032" i="1"/>
  <c r="N3017" i="1"/>
  <c r="N3030" i="1"/>
  <c r="N3025" i="1"/>
  <c r="N3036" i="1"/>
  <c r="N3026" i="1"/>
  <c r="N3020" i="1"/>
  <c r="N3019" i="1"/>
  <c r="N3045" i="1"/>
  <c r="N3052" i="1"/>
  <c r="N3051" i="1"/>
  <c r="N3044" i="1"/>
  <c r="N3043" i="1"/>
  <c r="N3049" i="1"/>
  <c r="N3041" i="1"/>
  <c r="N3038" i="1"/>
  <c r="N3048" i="1"/>
  <c r="N3050" i="1"/>
  <c r="N3039" i="1"/>
  <c r="N3047" i="1"/>
  <c r="N3040" i="1"/>
  <c r="N3046" i="1"/>
  <c r="N3042" i="1"/>
  <c r="N3053" i="1"/>
  <c r="N3057" i="1"/>
  <c r="N3060" i="1"/>
  <c r="N3063" i="1"/>
  <c r="N3054" i="1"/>
  <c r="N3055" i="1"/>
  <c r="N3058" i="1"/>
  <c r="N3062" i="1"/>
  <c r="N3064" i="1"/>
  <c r="N3065" i="1"/>
  <c r="N3059" i="1"/>
  <c r="N3061" i="1"/>
  <c r="N3056" i="1"/>
  <c r="N3068" i="1"/>
  <c r="N3072" i="1"/>
  <c r="N3077" i="1"/>
  <c r="N3067" i="1"/>
  <c r="N3066" i="1"/>
  <c r="N3074" i="1"/>
  <c r="N3078" i="1"/>
  <c r="N3075" i="1"/>
  <c r="N3071" i="1"/>
  <c r="N3070" i="1"/>
  <c r="N3073" i="1"/>
  <c r="N3069" i="1"/>
  <c r="N3076" i="1"/>
  <c r="N3088" i="1"/>
  <c r="N3083" i="1"/>
  <c r="N3084" i="1"/>
  <c r="N3086" i="1"/>
  <c r="N3081" i="1"/>
  <c r="N3085" i="1"/>
  <c r="N3079" i="1"/>
  <c r="N3080" i="1"/>
  <c r="N3089" i="1"/>
  <c r="N3082" i="1"/>
  <c r="N3087" i="1"/>
  <c r="N3101" i="1"/>
  <c r="N3092" i="1"/>
  <c r="N3098" i="1"/>
  <c r="N3094" i="1"/>
  <c r="N3096" i="1"/>
  <c r="N3100" i="1"/>
  <c r="N3090" i="1"/>
  <c r="N3099" i="1"/>
  <c r="N3093" i="1"/>
  <c r="N3097" i="1"/>
  <c r="N3091" i="1"/>
  <c r="N3095" i="1"/>
  <c r="N3112" i="1"/>
  <c r="N3104" i="1"/>
  <c r="N3109" i="1"/>
  <c r="N3102" i="1"/>
  <c r="N3113" i="1"/>
  <c r="N3103" i="1"/>
  <c r="N3114" i="1"/>
  <c r="N3117" i="1"/>
  <c r="N3107" i="1"/>
  <c r="N3118" i="1"/>
  <c r="N3115" i="1"/>
  <c r="N3105" i="1"/>
  <c r="N3119" i="1"/>
  <c r="N3106" i="1"/>
  <c r="N3111" i="1"/>
  <c r="N3108" i="1"/>
  <c r="N3110" i="1"/>
  <c r="N3116" i="1"/>
  <c r="N3120" i="1"/>
  <c r="N3121" i="1"/>
  <c r="N3128" i="1"/>
  <c r="N3126" i="1"/>
  <c r="N3130" i="1"/>
  <c r="N3124" i="1"/>
  <c r="N3122" i="1"/>
  <c r="N3123" i="1"/>
  <c r="N3127" i="1"/>
  <c r="N3125" i="1"/>
  <c r="N3131" i="1"/>
  <c r="N3132" i="1"/>
  <c r="N3141" i="1"/>
  <c r="N3134" i="1"/>
  <c r="N3140" i="1"/>
  <c r="N3138" i="1"/>
  <c r="N3139" i="1"/>
  <c r="N3143" i="1"/>
  <c r="N3135" i="1"/>
  <c r="N3145" i="1"/>
  <c r="N3133" i="1"/>
  <c r="N3144" i="1"/>
  <c r="N3142" i="1"/>
  <c r="N3137" i="1"/>
  <c r="N3136" i="1"/>
  <c r="N3151" i="1"/>
  <c r="N3158" i="1"/>
  <c r="N3148" i="1"/>
  <c r="N3149" i="1"/>
  <c r="N3146" i="1"/>
  <c r="N3156" i="1"/>
  <c r="N3147" i="1"/>
  <c r="N3157" i="1"/>
  <c r="N3153" i="1"/>
  <c r="N3154" i="1"/>
  <c r="N3150" i="1"/>
  <c r="N3155" i="1"/>
  <c r="N3152" i="1"/>
  <c r="N3166" i="1"/>
  <c r="N3162" i="1"/>
  <c r="N3168" i="1"/>
  <c r="N3165" i="1"/>
  <c r="N3164" i="1"/>
  <c r="N3163" i="1"/>
  <c r="N3169" i="1"/>
  <c r="N3160" i="1"/>
  <c r="N3161" i="1"/>
  <c r="N3170" i="1"/>
  <c r="N3159" i="1"/>
  <c r="N3167" i="1"/>
  <c r="N3171" i="1"/>
  <c r="N3182" i="1"/>
  <c r="N3179" i="1"/>
  <c r="N3173" i="1"/>
  <c r="N3176" i="1"/>
  <c r="N3183" i="1"/>
  <c r="N3184" i="1"/>
  <c r="N3177" i="1"/>
  <c r="N3185" i="1"/>
  <c r="N3172" i="1"/>
  <c r="N3175" i="1"/>
  <c r="N3178" i="1"/>
  <c r="N3180" i="1"/>
  <c r="N3181" i="1"/>
  <c r="N3174" i="1"/>
  <c r="N3188" i="1"/>
  <c r="N3187" i="1"/>
  <c r="N3189" i="1"/>
  <c r="N3186" i="1"/>
  <c r="N3196" i="1"/>
  <c r="N3194" i="1"/>
  <c r="N3190" i="1"/>
  <c r="N3192" i="1"/>
  <c r="N3195" i="1"/>
  <c r="N3197" i="1"/>
  <c r="N3191" i="1"/>
  <c r="N3193" i="1"/>
  <c r="N3200" i="1"/>
  <c r="N3202" i="1"/>
  <c r="N3206" i="1"/>
  <c r="N3198" i="1"/>
  <c r="N3214" i="1"/>
  <c r="N3211" i="1"/>
  <c r="N3212" i="1"/>
  <c r="N3213" i="1"/>
  <c r="N3201" i="1"/>
  <c r="N3209" i="1"/>
  <c r="N3199" i="1"/>
  <c r="N3208" i="1"/>
  <c r="N3215" i="1"/>
  <c r="N3203" i="1"/>
  <c r="N3204" i="1"/>
  <c r="N3210" i="1"/>
  <c r="N3205" i="1"/>
  <c r="N3207" i="1"/>
  <c r="N3223" i="1"/>
  <c r="N3217" i="1"/>
  <c r="N3222" i="1"/>
  <c r="N3219" i="1"/>
  <c r="N3220" i="1"/>
  <c r="N3218" i="1"/>
  <c r="N3226" i="1"/>
  <c r="N3224" i="1"/>
  <c r="N3221" i="1"/>
  <c r="N3216" i="1"/>
  <c r="N3225" i="1"/>
  <c r="N3230" i="1"/>
  <c r="N3236" i="1"/>
  <c r="N3227" i="1"/>
  <c r="N3228" i="1"/>
  <c r="N3233" i="1"/>
  <c r="N3229" i="1"/>
  <c r="N3234" i="1"/>
  <c r="N3231" i="1"/>
  <c r="N3237" i="1"/>
  <c r="N3232" i="1"/>
  <c r="N3235" i="1"/>
  <c r="N3239" i="1"/>
  <c r="N3240" i="1"/>
  <c r="N3241" i="1"/>
  <c r="N3238" i="1"/>
  <c r="N3246" i="1"/>
  <c r="N3243" i="1"/>
  <c r="N3242" i="1"/>
  <c r="N3245" i="1"/>
  <c r="N3244" i="1"/>
  <c r="N3249" i="1"/>
  <c r="N3248" i="1"/>
  <c r="N3247" i="1"/>
  <c r="N3255" i="1"/>
  <c r="N3250" i="1"/>
  <c r="N3253" i="1"/>
  <c r="N3259" i="1"/>
  <c r="N3258" i="1"/>
  <c r="N3254" i="1"/>
  <c r="N3251" i="1"/>
  <c r="N3256" i="1"/>
  <c r="N3257" i="1"/>
  <c r="N3252" i="1"/>
  <c r="N3261" i="1"/>
  <c r="N3265" i="1"/>
  <c r="N3271" i="1"/>
  <c r="N3260" i="1"/>
  <c r="N3264" i="1"/>
  <c r="N3268" i="1"/>
  <c r="N3269" i="1"/>
  <c r="N3270" i="1"/>
  <c r="N3262" i="1"/>
  <c r="N3263" i="1"/>
  <c r="N3266" i="1"/>
  <c r="N3267" i="1"/>
  <c r="N3272" i="1"/>
  <c r="N3273" i="1"/>
  <c r="N3274" i="1"/>
  <c r="N3279" i="1"/>
  <c r="N3275" i="1"/>
  <c r="N3280" i="1"/>
  <c r="N3282" i="1"/>
  <c r="N3278" i="1"/>
  <c r="N3281" i="1"/>
  <c r="N3283" i="1"/>
  <c r="N3284" i="1"/>
  <c r="N3277" i="1"/>
  <c r="N3276" i="1"/>
  <c r="N3297" i="1"/>
  <c r="N3299" i="1"/>
  <c r="N3293" i="1"/>
  <c r="N3291" i="1"/>
  <c r="N3289" i="1"/>
  <c r="N3285" i="1"/>
  <c r="N3295" i="1"/>
  <c r="N3298" i="1"/>
  <c r="N3286" i="1"/>
  <c r="N3287" i="1"/>
  <c r="N3294" i="1"/>
  <c r="N3296" i="1"/>
  <c r="N3290" i="1"/>
  <c r="N3300" i="1"/>
  <c r="N3288" i="1"/>
  <c r="N3292" i="1"/>
  <c r="N3311" i="1"/>
  <c r="N3305" i="1"/>
  <c r="N3301" i="1"/>
  <c r="N3309" i="1"/>
  <c r="N3314" i="1"/>
  <c r="N3302" i="1"/>
  <c r="N3306" i="1"/>
  <c r="N3310" i="1"/>
  <c r="N3304" i="1"/>
  <c r="N3316" i="1"/>
  <c r="N3308" i="1"/>
  <c r="N3313" i="1"/>
  <c r="N3315" i="1"/>
  <c r="N3312" i="1"/>
  <c r="N3307" i="1"/>
  <c r="N3303" i="1"/>
  <c r="N3322" i="1"/>
  <c r="N3317" i="1"/>
  <c r="N3319" i="1"/>
  <c r="N3324" i="1"/>
  <c r="N3320" i="1"/>
  <c r="N3326" i="1"/>
  <c r="N3323" i="1"/>
  <c r="N3325" i="1"/>
  <c r="N3321" i="1"/>
  <c r="N3318" i="1"/>
  <c r="N3332" i="1"/>
  <c r="N3334" i="1"/>
  <c r="N3335" i="1"/>
  <c r="N3333" i="1"/>
  <c r="N3329" i="1"/>
  <c r="N3331" i="1"/>
  <c r="N3328" i="1"/>
  <c r="N3330" i="1"/>
  <c r="N3327" i="1"/>
  <c r="N3348" i="1"/>
  <c r="N3339" i="1"/>
  <c r="N3340" i="1"/>
  <c r="N3343" i="1"/>
  <c r="N3341" i="1"/>
  <c r="N3349" i="1"/>
  <c r="N3336" i="1"/>
  <c r="N3346" i="1"/>
  <c r="N3342" i="1"/>
  <c r="N3347" i="1"/>
  <c r="N3350" i="1"/>
  <c r="N3344" i="1"/>
  <c r="N3337" i="1"/>
  <c r="N3351" i="1"/>
  <c r="N3338" i="1"/>
  <c r="N3345" i="1"/>
  <c r="N3363" i="1"/>
  <c r="N3356" i="1"/>
  <c r="N3360" i="1"/>
  <c r="N3358" i="1"/>
  <c r="N3361" i="1"/>
  <c r="N3365" i="1"/>
  <c r="N3353" i="1"/>
  <c r="N3366" i="1"/>
  <c r="N3352" i="1"/>
  <c r="N3368" i="1"/>
  <c r="N3357" i="1"/>
  <c r="N3355" i="1"/>
  <c r="N3364" i="1"/>
  <c r="N3359" i="1"/>
  <c r="N3362" i="1"/>
  <c r="N3354" i="1"/>
  <c r="N3367" i="1"/>
  <c r="N3370" i="1"/>
  <c r="N3371" i="1"/>
  <c r="N3378" i="1"/>
  <c r="N3373" i="1"/>
  <c r="N3377" i="1"/>
  <c r="N3372" i="1"/>
  <c r="N3380" i="1"/>
  <c r="N3374" i="1"/>
  <c r="N3369" i="1"/>
  <c r="N3375" i="1"/>
  <c r="N3376" i="1"/>
  <c r="N3379" i="1"/>
  <c r="N3381" i="1"/>
  <c r="N3385" i="1"/>
  <c r="N3390" i="1"/>
  <c r="N3384" i="1"/>
  <c r="N3382" i="1"/>
  <c r="N3386" i="1"/>
  <c r="N3388" i="1"/>
  <c r="N3391" i="1"/>
  <c r="N3389" i="1"/>
  <c r="N3383" i="1"/>
  <c r="N3387" i="1"/>
  <c r="N3396" i="1"/>
  <c r="N3394" i="1"/>
  <c r="N3392" i="1"/>
  <c r="N3393" i="1"/>
  <c r="N3399" i="1"/>
  <c r="N3400" i="1"/>
  <c r="N3395" i="1"/>
  <c r="N3397" i="1"/>
  <c r="N3401" i="1"/>
  <c r="N3398" i="1"/>
  <c r="N3402" i="1"/>
  <c r="N3411" i="1"/>
  <c r="N3404" i="1"/>
  <c r="N3405" i="1"/>
  <c r="N3403" i="1"/>
  <c r="N3406" i="1"/>
  <c r="N3413" i="1"/>
  <c r="N3409" i="1"/>
  <c r="N3408" i="1"/>
  <c r="N3412" i="1"/>
  <c r="N3407" i="1"/>
  <c r="N3410" i="1"/>
  <c r="N3414" i="1"/>
  <c r="N3421" i="1"/>
  <c r="N3424" i="1"/>
  <c r="N3429" i="1"/>
  <c r="N3416" i="1"/>
  <c r="N3428" i="1"/>
  <c r="N3425" i="1"/>
  <c r="N3415" i="1"/>
  <c r="N3422" i="1"/>
  <c r="N3426" i="1"/>
  <c r="N3418" i="1"/>
  <c r="N3423" i="1"/>
  <c r="N3419" i="1"/>
  <c r="N3430" i="1"/>
  <c r="N3420" i="1"/>
  <c r="N3427" i="1"/>
  <c r="N3417" i="1"/>
  <c r="N3438" i="1"/>
  <c r="N3441" i="1"/>
  <c r="N3431" i="1"/>
  <c r="N3440" i="1"/>
  <c r="N3435" i="1"/>
  <c r="N3442" i="1"/>
  <c r="N3433" i="1"/>
  <c r="N3434" i="1"/>
  <c r="N3437" i="1"/>
  <c r="N3432" i="1"/>
  <c r="N3439" i="1"/>
  <c r="N3436" i="1"/>
  <c r="N3449" i="1"/>
  <c r="N3450" i="1"/>
  <c r="N3455" i="1"/>
  <c r="N3444" i="1"/>
  <c r="N3443" i="1"/>
  <c r="N3447" i="1"/>
  <c r="N3454" i="1"/>
  <c r="N3448" i="1"/>
  <c r="N3453" i="1"/>
  <c r="N3446" i="1"/>
  <c r="N3445" i="1"/>
  <c r="N3451" i="1"/>
  <c r="N3452" i="1"/>
  <c r="N3460" i="1"/>
  <c r="N3461" i="1"/>
  <c r="N3457" i="1"/>
  <c r="N3466" i="1"/>
  <c r="N3462" i="1"/>
  <c r="N3463" i="1"/>
  <c r="N3459" i="1"/>
  <c r="N3464" i="1"/>
  <c r="N3456" i="1"/>
  <c r="N3465" i="1"/>
  <c r="N3458" i="1"/>
  <c r="N3473" i="1"/>
  <c r="N3467" i="1"/>
  <c r="N3475" i="1"/>
  <c r="N3477" i="1"/>
  <c r="N3470" i="1"/>
  <c r="N3474" i="1"/>
  <c r="N3478" i="1"/>
  <c r="N3471" i="1"/>
  <c r="N3469" i="1"/>
  <c r="N3479" i="1"/>
  <c r="N3476" i="1"/>
  <c r="N3468" i="1"/>
  <c r="N3472" i="1"/>
  <c r="N3480" i="1"/>
  <c r="N3490" i="1"/>
  <c r="N3486" i="1"/>
  <c r="N3483" i="1"/>
  <c r="N3481" i="1"/>
  <c r="N3488" i="1"/>
  <c r="N3489" i="1"/>
  <c r="N3487" i="1"/>
  <c r="N3485" i="1"/>
  <c r="N3491" i="1"/>
  <c r="N3482" i="1"/>
  <c r="N3484" i="1"/>
  <c r="N3492" i="1"/>
  <c r="N3497" i="1"/>
  <c r="N3498" i="1"/>
  <c r="N3495" i="1"/>
  <c r="N3494" i="1"/>
  <c r="N3496" i="1"/>
  <c r="N3499" i="1"/>
  <c r="N3500" i="1"/>
  <c r="N3493" i="1"/>
  <c r="N3502" i="1"/>
  <c r="N3509" i="1"/>
  <c r="N3506" i="1"/>
  <c r="N3508" i="1"/>
  <c r="N3510" i="1"/>
  <c r="N3503" i="1"/>
  <c r="N3507" i="1"/>
  <c r="N3504" i="1"/>
  <c r="N3505" i="1"/>
  <c r="N3501" i="1"/>
  <c r="N3519" i="1"/>
  <c r="N3520" i="1"/>
  <c r="N3515" i="1"/>
  <c r="N3525" i="1"/>
  <c r="N3514" i="1"/>
  <c r="N3526" i="1"/>
  <c r="N3527" i="1"/>
  <c r="N3523" i="1"/>
  <c r="N3511" i="1"/>
  <c r="N3524" i="1"/>
  <c r="N3512" i="1"/>
  <c r="N3518" i="1"/>
  <c r="N3513" i="1"/>
  <c r="N3522" i="1"/>
  <c r="N3516" i="1"/>
  <c r="N3517" i="1"/>
  <c r="N3521" i="1"/>
  <c r="N3537" i="1"/>
  <c r="N3535" i="1"/>
  <c r="N3540" i="1"/>
  <c r="N3533" i="1"/>
  <c r="N3529" i="1"/>
  <c r="N3534" i="1"/>
  <c r="N3541" i="1"/>
  <c r="N3538" i="1"/>
  <c r="N3528" i="1"/>
  <c r="N3531" i="1"/>
  <c r="N3536" i="1"/>
  <c r="N3530" i="1"/>
  <c r="N3532" i="1"/>
  <c r="N3539" i="1"/>
  <c r="N3544" i="1"/>
  <c r="N3552" i="1"/>
  <c r="N3558" i="1"/>
  <c r="N3543" i="1"/>
  <c r="N3551" i="1"/>
  <c r="N3548" i="1"/>
  <c r="N3554" i="1"/>
  <c r="N3553" i="1"/>
  <c r="N3555" i="1"/>
  <c r="N3545" i="1"/>
  <c r="N3546" i="1"/>
  <c r="N3542" i="1"/>
  <c r="N3556" i="1"/>
  <c r="N3557" i="1"/>
  <c r="N3549" i="1"/>
  <c r="N3547" i="1"/>
  <c r="N3550" i="1"/>
  <c r="N3567" i="1"/>
  <c r="N3566" i="1"/>
  <c r="N3563" i="1"/>
  <c r="N3561" i="1"/>
  <c r="N3560" i="1"/>
  <c r="N3564" i="1"/>
  <c r="N3568" i="1"/>
  <c r="N3562" i="1"/>
  <c r="N3559" i="1"/>
  <c r="N3565" i="1"/>
  <c r="N3575" i="1"/>
  <c r="N3581" i="1"/>
  <c r="N3574" i="1"/>
  <c r="N3579" i="1"/>
  <c r="N3570" i="1"/>
  <c r="N3571" i="1"/>
  <c r="N3580" i="1"/>
  <c r="N3572" i="1"/>
  <c r="N3577" i="1"/>
  <c r="N3573" i="1"/>
  <c r="N3569" i="1"/>
  <c r="N3576" i="1"/>
  <c r="N3578" i="1"/>
  <c r="N3582" i="1"/>
  <c r="N3583" i="1"/>
  <c r="N3588" i="1"/>
  <c r="N3586" i="1"/>
  <c r="N3584" i="1"/>
  <c r="N3587" i="1"/>
  <c r="N3585" i="1"/>
  <c r="N3589" i="1"/>
  <c r="N3603" i="1"/>
  <c r="N3595" i="1"/>
  <c r="N3592" i="1"/>
  <c r="N3596" i="1"/>
  <c r="N3605" i="1"/>
  <c r="N3608" i="1"/>
  <c r="N3590" i="1"/>
  <c r="N3591" i="1"/>
  <c r="N3606" i="1"/>
  <c r="N3597" i="1"/>
  <c r="N3593" i="1"/>
  <c r="N3594" i="1"/>
  <c r="N3602" i="1"/>
  <c r="N3600" i="1"/>
  <c r="N3598" i="1"/>
  <c r="N3601" i="1"/>
  <c r="N3599" i="1"/>
  <c r="N3604" i="1"/>
  <c r="N3612" i="1"/>
  <c r="N3618" i="1"/>
  <c r="N3610" i="1"/>
  <c r="N3621" i="1"/>
  <c r="N3619" i="1"/>
  <c r="N3617" i="1"/>
  <c r="N3614" i="1"/>
  <c r="N3615" i="1"/>
  <c r="N3611" i="1"/>
  <c r="N3616" i="1"/>
  <c r="N3613" i="1"/>
  <c r="N3620" i="1"/>
  <c r="N3609" i="1"/>
  <c r="N3632" i="1"/>
  <c r="N3641" i="1"/>
  <c r="N3637" i="1"/>
  <c r="N3633" i="1"/>
  <c r="N3634" i="1"/>
  <c r="N3622" i="1"/>
  <c r="N3625" i="1"/>
  <c r="N3628" i="1"/>
  <c r="N3642" i="1"/>
  <c r="N3639" i="1"/>
  <c r="N3626" i="1"/>
  <c r="N3623" i="1"/>
  <c r="N3638" i="1"/>
  <c r="N3627" i="1"/>
  <c r="N3635" i="1"/>
  <c r="N3629" i="1"/>
  <c r="N3630" i="1"/>
  <c r="N3631" i="1"/>
  <c r="N3636" i="1"/>
  <c r="N3640" i="1"/>
  <c r="N3624" i="1"/>
  <c r="N3648" i="1"/>
  <c r="N3644" i="1"/>
  <c r="N3649" i="1"/>
  <c r="N3651" i="1"/>
  <c r="N3643" i="1"/>
  <c r="N3652" i="1"/>
  <c r="N3646" i="1"/>
  <c r="N3650" i="1"/>
  <c r="N3647" i="1"/>
  <c r="N3653" i="1"/>
  <c r="N3654" i="1"/>
  <c r="N3645" i="1"/>
  <c r="N3655" i="1"/>
  <c r="N3658" i="1"/>
  <c r="N3663" i="1"/>
  <c r="N3660" i="1"/>
  <c r="N3659" i="1"/>
  <c r="N3666" i="1"/>
  <c r="N3656" i="1"/>
  <c r="N3662" i="1"/>
  <c r="N3667" i="1"/>
  <c r="N3671" i="1"/>
  <c r="N3657" i="1"/>
  <c r="N3668" i="1"/>
  <c r="N3669" i="1"/>
  <c r="N3670" i="1"/>
  <c r="N3661" i="1"/>
  <c r="N3665" i="1"/>
  <c r="N3664" i="1"/>
  <c r="N3674" i="1"/>
  <c r="N3681" i="1"/>
  <c r="N3676" i="1"/>
  <c r="N3675" i="1"/>
  <c r="N3672" i="1"/>
  <c r="N3680" i="1"/>
  <c r="N3678" i="1"/>
  <c r="N3673" i="1"/>
  <c r="N3679" i="1"/>
  <c r="N3677" i="1"/>
  <c r="N3698" i="1"/>
  <c r="N3690" i="1"/>
  <c r="N3686" i="1"/>
  <c r="N3694" i="1"/>
  <c r="N3688" i="1"/>
  <c r="N3693" i="1"/>
  <c r="N3683" i="1"/>
  <c r="N3691" i="1"/>
  <c r="N3689" i="1"/>
  <c r="N3682" i="1"/>
  <c r="N3684" i="1"/>
  <c r="N3695" i="1"/>
  <c r="N3692" i="1"/>
  <c r="N3697" i="1"/>
  <c r="N3687" i="1"/>
  <c r="N3685" i="1"/>
  <c r="N3696" i="1"/>
  <c r="N3714" i="1"/>
  <c r="N3708" i="1"/>
  <c r="N3712" i="1"/>
  <c r="N3710" i="1"/>
  <c r="N3706" i="1"/>
  <c r="N3699" i="1"/>
  <c r="N3713" i="1"/>
  <c r="N3703" i="1"/>
  <c r="N3709" i="1"/>
  <c r="N3711" i="1"/>
  <c r="N3701" i="1"/>
  <c r="N3707" i="1"/>
  <c r="N3702" i="1"/>
  <c r="N3704" i="1"/>
  <c r="N3705" i="1"/>
  <c r="N3700" i="1"/>
  <c r="N3715" i="1"/>
  <c r="N3716" i="1"/>
  <c r="N3724" i="1"/>
  <c r="N3721" i="1"/>
  <c r="N3719" i="1"/>
  <c r="N3717" i="1"/>
  <c r="N3723" i="1"/>
  <c r="N3720" i="1"/>
  <c r="N3722" i="1"/>
  <c r="N3718" i="1"/>
  <c r="N3737" i="1"/>
  <c r="N3728" i="1"/>
  <c r="N3726" i="1"/>
  <c r="N3730" i="1"/>
  <c r="N3729" i="1"/>
  <c r="N3725" i="1"/>
  <c r="N3733" i="1"/>
  <c r="N3734" i="1"/>
  <c r="N3735" i="1"/>
  <c r="N3738" i="1"/>
  <c r="N3732" i="1"/>
  <c r="N3739" i="1"/>
  <c r="N3727" i="1"/>
  <c r="N3731" i="1"/>
  <c r="N3736" i="1"/>
  <c r="N3740" i="1"/>
  <c r="N3743" i="1"/>
  <c r="N3749" i="1"/>
  <c r="N3742" i="1"/>
  <c r="N3745" i="1"/>
  <c r="N3747" i="1"/>
  <c r="N3746" i="1"/>
  <c r="N3741" i="1"/>
  <c r="N3748" i="1"/>
  <c r="N3751" i="1"/>
  <c r="N3755" i="1"/>
  <c r="N3754" i="1"/>
  <c r="N3752" i="1"/>
  <c r="N3753" i="1"/>
  <c r="N3750" i="1"/>
  <c r="N3765" i="1"/>
  <c r="N3759" i="1"/>
  <c r="N3764" i="1"/>
  <c r="N3760" i="1"/>
  <c r="N3761" i="1"/>
  <c r="N3763" i="1"/>
  <c r="N3758" i="1"/>
  <c r="N3762" i="1"/>
  <c r="N3766" i="1"/>
  <c r="N3756" i="1"/>
  <c r="N3757" i="1"/>
  <c r="N3776" i="1"/>
  <c r="N3769" i="1"/>
  <c r="N3777" i="1"/>
  <c r="N3775" i="1"/>
  <c r="N3773" i="1"/>
  <c r="N3780" i="1"/>
  <c r="N3768" i="1"/>
  <c r="N3771" i="1"/>
  <c r="N3778" i="1"/>
  <c r="N3767" i="1"/>
  <c r="N3779" i="1"/>
  <c r="N3772" i="1"/>
  <c r="N3770" i="1"/>
  <c r="N3774" i="1"/>
  <c r="N3791" i="1"/>
  <c r="N3792" i="1"/>
  <c r="N3790" i="1"/>
  <c r="N3788" i="1"/>
  <c r="N3786" i="1"/>
  <c r="N3782" i="1"/>
  <c r="N3781" i="1"/>
  <c r="N3789" i="1"/>
  <c r="N3784" i="1"/>
  <c r="N3783" i="1"/>
  <c r="N3785" i="1"/>
  <c r="N3787" i="1"/>
  <c r="N3811" i="1"/>
  <c r="N3805" i="1"/>
  <c r="N3800" i="1"/>
  <c r="N3803" i="1"/>
  <c r="N3801" i="1"/>
  <c r="N3795" i="1"/>
  <c r="N3797" i="1"/>
  <c r="N3798" i="1"/>
  <c r="N3807" i="1"/>
  <c r="N3794" i="1"/>
  <c r="N3804" i="1"/>
  <c r="N3793" i="1"/>
  <c r="N3799" i="1"/>
  <c r="N3806" i="1"/>
  <c r="N3796" i="1"/>
  <c r="N3802" i="1"/>
  <c r="N3808" i="1"/>
  <c r="N3809" i="1"/>
  <c r="N3810" i="1"/>
  <c r="N3819" i="1"/>
  <c r="N3817" i="1"/>
  <c r="N3812" i="1"/>
  <c r="N3821" i="1"/>
  <c r="N3815" i="1"/>
  <c r="N3818" i="1"/>
  <c r="N3813" i="1"/>
  <c r="N3820" i="1"/>
  <c r="N3816" i="1"/>
  <c r="N3814" i="1"/>
  <c r="N3835" i="1"/>
  <c r="N3830" i="1"/>
  <c r="N3828" i="1"/>
  <c r="N3827" i="1"/>
  <c r="N3824" i="1"/>
  <c r="N3825" i="1"/>
  <c r="N3829" i="1"/>
  <c r="N3834" i="1"/>
  <c r="N3832" i="1"/>
  <c r="N3836" i="1"/>
  <c r="N3837" i="1"/>
  <c r="N3831" i="1"/>
  <c r="N3822" i="1"/>
  <c r="N3823" i="1"/>
  <c r="N3826" i="1"/>
  <c r="N3833" i="1"/>
  <c r="N3845" i="1"/>
  <c r="N3838" i="1"/>
  <c r="N3850" i="1"/>
  <c r="N3840" i="1"/>
  <c r="N3848" i="1"/>
  <c r="N3851" i="1"/>
  <c r="N3846" i="1"/>
  <c r="N3839" i="1"/>
  <c r="N3841" i="1"/>
  <c r="N3849" i="1"/>
  <c r="N3844" i="1"/>
  <c r="N3843" i="1"/>
  <c r="N3852" i="1"/>
  <c r="N3847" i="1"/>
  <c r="N3842" i="1"/>
  <c r="N3858" i="1"/>
  <c r="N3853" i="1"/>
  <c r="N3859" i="1"/>
  <c r="N3855" i="1"/>
  <c r="N3863" i="1"/>
  <c r="N3857" i="1"/>
  <c r="N3854" i="1"/>
  <c r="N3862" i="1"/>
  <c r="N3860" i="1"/>
  <c r="N3856" i="1"/>
  <c r="N3861" i="1"/>
  <c r="N3869" i="1"/>
  <c r="N3866" i="1"/>
  <c r="N3868" i="1"/>
  <c r="N3864" i="1"/>
  <c r="N3870" i="1"/>
  <c r="N3871" i="1"/>
  <c r="N3873" i="1"/>
  <c r="N3865" i="1"/>
  <c r="N3872" i="1"/>
  <c r="N3867" i="1"/>
  <c r="N3881" i="1"/>
  <c r="N3877" i="1"/>
  <c r="N3884" i="1"/>
  <c r="N3883" i="1"/>
  <c r="N3880" i="1"/>
  <c r="N3875" i="1"/>
  <c r="N3878" i="1"/>
  <c r="N3876" i="1"/>
  <c r="N3874" i="1"/>
  <c r="N3882" i="1"/>
  <c r="N3879" i="1"/>
  <c r="N3888" i="1"/>
  <c r="N3885" i="1"/>
  <c r="N3898" i="1"/>
  <c r="N3890" i="1"/>
  <c r="N3900" i="1"/>
  <c r="N3894" i="1"/>
  <c r="N3897" i="1"/>
  <c r="N3896" i="1"/>
  <c r="N3893" i="1"/>
  <c r="N3895" i="1"/>
  <c r="N3891" i="1"/>
  <c r="N3886" i="1"/>
  <c r="N3892" i="1"/>
  <c r="N3899" i="1"/>
  <c r="N3887" i="1"/>
  <c r="N3889" i="1"/>
  <c r="N3904" i="1"/>
  <c r="N3902" i="1"/>
  <c r="N3908" i="1"/>
  <c r="N3905" i="1"/>
  <c r="N3906" i="1"/>
  <c r="N3913" i="1"/>
  <c r="N3903" i="1"/>
  <c r="N3901" i="1"/>
  <c r="N3909" i="1"/>
  <c r="N3911" i="1"/>
  <c r="N3912" i="1"/>
  <c r="N3910" i="1"/>
  <c r="N3907" i="1"/>
  <c r="N3919" i="1"/>
  <c r="N3914" i="1"/>
  <c r="N3917" i="1"/>
  <c r="N3922" i="1"/>
  <c r="N3915" i="1"/>
  <c r="N3923" i="1"/>
  <c r="N3921" i="1"/>
  <c r="N3918" i="1"/>
  <c r="N3916" i="1"/>
  <c r="N3920" i="1"/>
  <c r="N3932" i="1"/>
  <c r="N3926" i="1"/>
  <c r="N3927" i="1"/>
  <c r="N3929" i="1"/>
  <c r="N3928" i="1"/>
  <c r="N3930" i="1"/>
  <c r="N3931" i="1"/>
  <c r="N3924" i="1"/>
  <c r="N3933" i="1"/>
  <c r="N3925" i="1"/>
  <c r="N3934" i="1"/>
  <c r="N3935" i="1"/>
  <c r="N3944" i="1"/>
  <c r="N3943" i="1"/>
  <c r="N3939" i="1"/>
  <c r="N3938" i="1"/>
  <c r="N3940" i="1"/>
  <c r="N3941" i="1"/>
  <c r="N3937" i="1"/>
  <c r="N3936" i="1"/>
  <c r="N3942" i="1"/>
  <c r="N3950" i="1"/>
  <c r="N3947" i="1"/>
  <c r="N3954" i="1"/>
  <c r="N3948" i="1"/>
  <c r="N3952" i="1"/>
  <c r="N3958" i="1"/>
  <c r="N3945" i="1"/>
  <c r="N3955" i="1"/>
  <c r="N3953" i="1"/>
  <c r="N3956" i="1"/>
  <c r="N3949" i="1"/>
  <c r="N3946" i="1"/>
  <c r="N3957" i="1"/>
  <c r="N3951" i="1"/>
  <c r="N3959" i="1"/>
  <c r="N3974" i="1"/>
  <c r="N3967" i="1"/>
  <c r="N3961" i="1"/>
  <c r="N3968" i="1"/>
  <c r="N3960" i="1"/>
  <c r="N3971" i="1"/>
  <c r="N3970" i="1"/>
  <c r="N3972" i="1"/>
  <c r="N3962" i="1"/>
  <c r="N3966" i="1"/>
  <c r="N3969" i="1"/>
  <c r="N3965" i="1"/>
  <c r="N3964" i="1"/>
  <c r="N3963" i="1"/>
  <c r="N3973" i="1"/>
  <c r="N3982" i="1"/>
  <c r="N3991" i="1"/>
  <c r="N3987" i="1"/>
  <c r="N3981" i="1"/>
  <c r="N3983" i="1"/>
  <c r="N3977" i="1"/>
  <c r="N3988" i="1"/>
  <c r="N3976" i="1"/>
  <c r="N3984" i="1"/>
  <c r="N3989" i="1"/>
  <c r="N3978" i="1"/>
  <c r="N3985" i="1"/>
  <c r="N3975" i="1"/>
  <c r="N3979" i="1"/>
  <c r="N3980" i="1"/>
  <c r="N3990" i="1"/>
  <c r="N3992" i="1"/>
  <c r="N3986" i="1"/>
  <c r="N3998" i="1"/>
  <c r="N3995" i="1"/>
  <c r="N3999" i="1"/>
  <c r="N3996" i="1"/>
  <c r="N4005" i="1"/>
  <c r="N3993" i="1"/>
  <c r="N4003" i="1"/>
  <c r="N4000" i="1"/>
  <c r="N4002" i="1"/>
  <c r="N3994" i="1"/>
  <c r="N4004" i="1"/>
  <c r="N4001" i="1"/>
  <c r="N3997" i="1"/>
  <c r="N4018" i="1"/>
  <c r="N4021" i="1"/>
  <c r="N4012" i="1"/>
  <c r="N4017" i="1"/>
  <c r="N4011" i="1"/>
  <c r="N4016" i="1"/>
  <c r="N4006" i="1"/>
  <c r="N4022" i="1"/>
  <c r="N4020" i="1"/>
  <c r="N4009" i="1"/>
  <c r="N4010" i="1"/>
  <c r="N4015" i="1"/>
  <c r="N4008" i="1"/>
  <c r="N4014" i="1"/>
  <c r="N4013" i="1"/>
  <c r="N4019" i="1"/>
  <c r="N4007" i="1"/>
  <c r="N4040" i="1"/>
  <c r="N4023" i="1"/>
  <c r="N4024" i="1"/>
  <c r="N4039" i="1"/>
  <c r="N4037" i="1"/>
  <c r="N4031" i="1"/>
  <c r="N4029" i="1"/>
  <c r="N4036" i="1"/>
  <c r="N4038" i="1"/>
  <c r="N4035" i="1"/>
  <c r="N4027" i="1"/>
  <c r="N4032" i="1"/>
  <c r="N4025" i="1"/>
  <c r="N4030" i="1"/>
  <c r="N4033" i="1"/>
  <c r="N4041" i="1"/>
  <c r="N4026" i="1"/>
  <c r="N4028" i="1"/>
  <c r="N4034" i="1"/>
  <c r="N4047" i="1"/>
  <c r="N4049" i="1"/>
  <c r="N4043" i="1"/>
  <c r="N4051" i="1"/>
  <c r="N4048" i="1"/>
  <c r="N4050" i="1"/>
  <c r="N4042" i="1"/>
  <c r="N4046" i="1"/>
  <c r="N4044" i="1"/>
  <c r="N4045" i="1"/>
  <c r="N4056" i="1"/>
  <c r="N4060" i="1"/>
  <c r="N4061" i="1"/>
  <c r="N4064" i="1"/>
  <c r="N4052" i="1"/>
  <c r="N4057" i="1"/>
  <c r="N4063" i="1"/>
  <c r="N4054" i="1"/>
  <c r="N4053" i="1"/>
  <c r="N4055" i="1"/>
  <c r="N4058" i="1"/>
  <c r="N4062" i="1"/>
  <c r="N4059" i="1"/>
  <c r="N4073" i="1"/>
  <c r="N4068" i="1"/>
  <c r="N4069" i="1"/>
  <c r="N4070" i="1"/>
  <c r="N4074" i="1"/>
  <c r="N4067" i="1"/>
  <c r="N4071" i="1"/>
  <c r="N4072" i="1"/>
  <c r="N4065" i="1"/>
  <c r="N4066" i="1"/>
  <c r="N4075" i="1"/>
  <c r="N4076" i="1"/>
  <c r="N4082" i="1"/>
  <c r="N4077" i="1"/>
  <c r="N4078" i="1"/>
  <c r="N4081" i="1"/>
  <c r="N4083" i="1"/>
  <c r="N4084" i="1"/>
  <c r="N4079" i="1"/>
  <c r="N4080" i="1"/>
  <c r="N4100" i="1"/>
  <c r="N4097" i="1"/>
  <c r="N4088" i="1"/>
  <c r="N4092" i="1"/>
  <c r="N4086" i="1"/>
  <c r="N4098" i="1"/>
  <c r="N4091" i="1"/>
  <c r="N4093" i="1"/>
  <c r="N4089" i="1"/>
  <c r="N4087" i="1"/>
  <c r="N4094" i="1"/>
  <c r="N4085" i="1"/>
  <c r="N4099" i="1"/>
  <c r="N4090" i="1"/>
  <c r="N4096" i="1"/>
  <c r="N4095" i="1"/>
  <c r="N4107" i="1"/>
  <c r="N4102" i="1"/>
  <c r="N4101" i="1"/>
  <c r="N4110" i="1"/>
  <c r="N4116" i="1"/>
  <c r="N4113" i="1"/>
  <c r="N4111" i="1"/>
  <c r="N4115" i="1"/>
  <c r="N4104" i="1"/>
  <c r="N4109" i="1"/>
  <c r="N4105" i="1"/>
  <c r="N4108" i="1"/>
  <c r="N4114" i="1"/>
  <c r="N4103" i="1"/>
  <c r="N4106" i="1"/>
  <c r="N4112" i="1"/>
  <c r="N4122" i="1"/>
  <c r="N4128" i="1"/>
  <c r="N4117" i="1"/>
  <c r="N4126" i="1"/>
  <c r="N4127" i="1"/>
  <c r="N4123" i="1"/>
  <c r="N4120" i="1"/>
  <c r="N4124" i="1"/>
  <c r="N4118" i="1"/>
  <c r="N4119" i="1"/>
  <c r="N4121" i="1"/>
  <c r="N4125" i="1"/>
  <c r="N4138" i="1"/>
  <c r="N4139" i="1"/>
  <c r="N4140" i="1"/>
  <c r="N4129" i="1"/>
  <c r="N4134" i="1"/>
  <c r="N4130" i="1"/>
  <c r="N4141" i="1"/>
  <c r="N4136" i="1"/>
  <c r="N4135" i="1"/>
  <c r="N4131" i="1"/>
  <c r="N4137" i="1"/>
  <c r="N4133" i="1"/>
  <c r="N4132" i="1"/>
  <c r="N4143" i="1"/>
  <c r="N4155" i="1"/>
  <c r="N4149" i="1"/>
  <c r="N4153" i="1"/>
  <c r="N4148" i="1"/>
  <c r="N4144" i="1"/>
  <c r="N4152" i="1"/>
  <c r="N4151" i="1"/>
  <c r="N4150" i="1"/>
  <c r="N4142" i="1"/>
  <c r="N4145" i="1"/>
  <c r="N4146" i="1"/>
  <c r="N4147" i="1"/>
  <c r="N4154" i="1"/>
  <c r="N4160" i="1"/>
  <c r="N4170" i="1"/>
  <c r="N4175" i="1"/>
  <c r="N4161" i="1"/>
  <c r="N4178" i="1"/>
  <c r="N4163" i="1"/>
  <c r="N4165" i="1"/>
  <c r="N4174" i="1"/>
  <c r="N4164" i="1"/>
  <c r="N4156" i="1"/>
  <c r="N4168" i="1"/>
  <c r="N4159" i="1"/>
  <c r="N4162" i="1"/>
  <c r="N4171" i="1"/>
  <c r="N4172" i="1"/>
  <c r="N4157" i="1"/>
  <c r="N4173" i="1"/>
  <c r="N4169" i="1"/>
  <c r="N4176" i="1"/>
  <c r="N4158" i="1"/>
  <c r="N4177" i="1"/>
  <c r="N4166" i="1"/>
  <c r="N4167" i="1"/>
  <c r="N4190" i="1"/>
  <c r="N4182" i="1"/>
  <c r="N4185" i="1"/>
  <c r="N4179" i="1"/>
  <c r="N4187" i="1"/>
  <c r="N4183" i="1"/>
  <c r="N4186" i="1"/>
  <c r="N4180" i="1"/>
  <c r="N4189" i="1"/>
  <c r="N4181" i="1"/>
  <c r="N4188" i="1"/>
  <c r="N4184" i="1"/>
  <c r="N4194" i="1"/>
  <c r="N4195" i="1"/>
  <c r="N4191" i="1"/>
  <c r="N4196" i="1"/>
  <c r="N4192" i="1"/>
  <c r="N4193" i="1"/>
  <c r="N4207" i="1"/>
  <c r="N4198" i="1"/>
  <c r="N4208" i="1"/>
  <c r="N4211" i="1"/>
  <c r="N4213" i="1"/>
  <c r="N4212" i="1"/>
  <c r="N4203" i="1"/>
  <c r="N4216" i="1"/>
  <c r="N4197" i="1"/>
  <c r="N4214" i="1"/>
  <c r="N4206" i="1"/>
  <c r="N4199" i="1"/>
  <c r="N4204" i="1"/>
  <c r="N4205" i="1"/>
  <c r="N4209" i="1"/>
  <c r="N4202" i="1"/>
  <c r="N4215" i="1"/>
  <c r="N4210" i="1"/>
  <c r="N4200" i="1"/>
  <c r="N4201" i="1"/>
  <c r="N4217" i="1"/>
  <c r="N4228" i="1"/>
  <c r="N4227" i="1"/>
  <c r="N4233" i="1"/>
  <c r="N4236" i="1"/>
  <c r="N4229" i="1"/>
  <c r="N4230" i="1"/>
  <c r="N4225" i="1"/>
  <c r="N4219" i="1"/>
  <c r="N4234" i="1"/>
  <c r="N4220" i="1"/>
  <c r="N4232" i="1"/>
  <c r="N4235" i="1"/>
  <c r="N4237" i="1"/>
  <c r="N4226" i="1"/>
  <c r="N4221" i="1"/>
  <c r="N4218" i="1"/>
  <c r="N4223" i="1"/>
  <c r="N4222" i="1"/>
  <c r="N4231" i="1"/>
  <c r="N4224" i="1"/>
  <c r="N4248" i="1"/>
  <c r="N4238" i="1"/>
  <c r="N4252" i="1"/>
  <c r="N4249" i="1"/>
  <c r="N4256" i="1"/>
  <c r="N4240" i="1"/>
  <c r="N4253" i="1"/>
  <c r="N4245" i="1"/>
  <c r="N4247" i="1"/>
  <c r="N4250" i="1"/>
  <c r="N4241" i="1"/>
  <c r="N4259" i="1"/>
  <c r="N4239" i="1"/>
  <c r="N4242" i="1"/>
  <c r="N4243" i="1"/>
  <c r="N4244" i="1"/>
  <c r="N4257" i="1"/>
  <c r="N4260" i="1"/>
  <c r="N4246" i="1"/>
  <c r="N4261" i="1"/>
  <c r="N4258" i="1"/>
  <c r="N4255" i="1"/>
  <c r="N4254" i="1"/>
  <c r="N4251" i="1"/>
  <c r="N4268" i="1"/>
  <c r="N4266" i="1"/>
  <c r="N4263" i="1"/>
  <c r="N4262" i="1"/>
  <c r="N4271" i="1"/>
  <c r="N4264" i="1"/>
  <c r="N4265" i="1"/>
  <c r="N4270" i="1"/>
  <c r="N4269" i="1"/>
  <c r="N4267" i="1"/>
  <c r="N4272" i="1"/>
  <c r="N4293" i="1"/>
  <c r="N4281" i="1"/>
  <c r="N4282" i="1"/>
  <c r="N4277" i="1"/>
  <c r="N4298" i="1"/>
  <c r="N4273" i="1"/>
  <c r="N4290" i="1"/>
  <c r="N4274" i="1"/>
  <c r="N4291" i="1"/>
  <c r="N4289" i="1"/>
  <c r="N4295" i="1"/>
  <c r="N4292" i="1"/>
  <c r="N4285" i="1"/>
  <c r="N4279" i="1"/>
  <c r="N4294" i="1"/>
  <c r="N4297" i="1"/>
  <c r="N4280" i="1"/>
  <c r="N4283" i="1"/>
  <c r="N4287" i="1"/>
  <c r="N4276" i="1"/>
  <c r="N4278" i="1"/>
  <c r="N4296" i="1"/>
  <c r="N4288" i="1"/>
  <c r="N4286" i="1"/>
  <c r="N4284" i="1"/>
  <c r="N4299" i="1"/>
  <c r="N4309" i="1"/>
  <c r="N4302" i="1"/>
  <c r="N4305" i="1"/>
  <c r="N4303" i="1"/>
  <c r="N4304" i="1"/>
  <c r="N4301" i="1"/>
  <c r="N4306" i="1"/>
  <c r="N4308" i="1"/>
  <c r="N4300" i="1"/>
  <c r="N4307" i="1"/>
  <c r="N4314" i="1"/>
  <c r="N4318" i="1"/>
  <c r="N4320" i="1"/>
  <c r="N4311" i="1"/>
  <c r="N4313" i="1"/>
  <c r="N4316" i="1"/>
  <c r="N4315" i="1"/>
  <c r="N4312" i="1"/>
  <c r="N4317" i="1"/>
  <c r="N4319" i="1"/>
  <c r="N4310" i="1"/>
  <c r="N4321" i="1"/>
  <c r="N4323" i="1"/>
  <c r="N4326" i="1"/>
  <c r="N4336" i="1"/>
  <c r="N4334" i="1"/>
  <c r="N4340" i="1"/>
  <c r="N4337" i="1"/>
  <c r="N4329" i="1"/>
  <c r="N4322" i="1"/>
  <c r="N4327" i="1"/>
  <c r="N4330" i="1"/>
  <c r="N4333" i="1"/>
  <c r="N4332" i="1"/>
  <c r="N4331" i="1"/>
  <c r="N4324" i="1"/>
  <c r="N4328" i="1"/>
  <c r="N4339" i="1"/>
  <c r="N4325" i="1"/>
  <c r="N4335" i="1"/>
  <c r="N4338" i="1"/>
  <c r="N4348" i="1"/>
  <c r="N4349" i="1"/>
  <c r="N4345" i="1"/>
  <c r="N4351" i="1"/>
  <c r="N4347" i="1"/>
  <c r="N4344" i="1"/>
  <c r="N4343" i="1"/>
  <c r="N4342" i="1"/>
  <c r="N4341" i="1"/>
  <c r="N4350" i="1"/>
  <c r="N4346" i="1"/>
  <c r="N4357" i="1"/>
  <c r="N4353" i="1"/>
  <c r="N4355" i="1"/>
  <c r="N4359" i="1"/>
  <c r="N4364" i="1"/>
  <c r="N4361" i="1"/>
  <c r="N4360" i="1"/>
  <c r="N4352" i="1"/>
  <c r="N4362" i="1"/>
  <c r="N4363" i="1"/>
  <c r="N4354" i="1"/>
  <c r="N4356" i="1"/>
  <c r="N4358" i="1"/>
  <c r="N4368" i="1"/>
  <c r="N4375" i="1"/>
  <c r="N4370" i="1"/>
  <c r="N4371" i="1"/>
  <c r="N4373" i="1"/>
  <c r="N4365" i="1"/>
  <c r="N4366" i="1"/>
  <c r="N4369" i="1"/>
  <c r="N4367" i="1"/>
  <c r="N4380" i="1"/>
  <c r="N4379" i="1"/>
  <c r="N4384" i="1"/>
  <c r="N4385" i="1"/>
  <c r="N4376" i="1"/>
  <c r="N4377" i="1"/>
  <c r="N4382" i="1"/>
  <c r="N4372" i="1"/>
  <c r="N4381" i="1"/>
  <c r="N4383" i="1"/>
  <c r="N4378" i="1"/>
  <c r="N4387" i="1"/>
  <c r="N4397" i="1"/>
  <c r="N4388" i="1"/>
  <c r="N4386" i="1"/>
  <c r="N4389" i="1"/>
  <c r="N4396" i="1"/>
  <c r="N4391" i="1"/>
  <c r="N4392" i="1"/>
  <c r="N4395" i="1"/>
  <c r="N4390" i="1"/>
  <c r="N4393" i="1"/>
  <c r="N4394" i="1"/>
  <c r="N4398" i="1"/>
  <c r="N4411" i="1"/>
  <c r="N4405" i="1"/>
  <c r="N4403" i="1"/>
  <c r="N4409" i="1"/>
  <c r="N4399" i="1"/>
  <c r="N4401" i="1"/>
  <c r="N4406" i="1"/>
  <c r="N4404" i="1"/>
  <c r="N4407" i="1"/>
  <c r="N4408" i="1"/>
  <c r="N4400" i="1"/>
  <c r="N4410" i="1"/>
  <c r="N4402" i="1"/>
  <c r="N4421" i="1"/>
  <c r="N4418" i="1"/>
  <c r="N4415" i="1"/>
  <c r="N4424" i="1"/>
  <c r="N4412" i="1"/>
  <c r="N4419" i="1"/>
  <c r="N4413" i="1"/>
  <c r="N4414" i="1"/>
  <c r="N4423" i="1"/>
  <c r="N4417" i="1"/>
  <c r="N4425" i="1"/>
  <c r="N4422" i="1"/>
  <c r="N4420" i="1"/>
  <c r="N4426" i="1"/>
  <c r="N4416" i="1"/>
  <c r="N4439" i="1"/>
  <c r="N4436" i="1"/>
  <c r="N4434" i="1"/>
  <c r="N4440" i="1"/>
  <c r="N4428" i="1"/>
  <c r="N4431" i="1"/>
  <c r="N4432" i="1"/>
  <c r="N4437" i="1"/>
  <c r="N4435" i="1"/>
  <c r="N4441" i="1"/>
  <c r="N4433" i="1"/>
  <c r="N4430" i="1"/>
  <c r="N4429" i="1"/>
  <c r="N4438" i="1"/>
  <c r="N4427" i="1"/>
  <c r="N4452" i="1"/>
  <c r="N4448" i="1"/>
  <c r="N4449" i="1"/>
  <c r="N4445" i="1"/>
  <c r="N4446" i="1"/>
  <c r="N4443" i="1"/>
  <c r="N4454" i="1"/>
  <c r="N4450" i="1"/>
  <c r="N4447" i="1"/>
  <c r="N4451" i="1"/>
  <c r="N4442" i="1"/>
  <c r="N4444" i="1"/>
  <c r="N4453" i="1"/>
  <c r="N4457" i="1"/>
  <c r="N4456" i="1"/>
  <c r="N4465" i="1"/>
  <c r="N4461" i="1"/>
  <c r="N4458" i="1"/>
  <c r="N4459" i="1"/>
  <c r="N4464" i="1"/>
  <c r="N4455" i="1"/>
  <c r="N4462" i="1"/>
  <c r="N4463" i="1"/>
  <c r="N4460" i="1"/>
  <c r="N4471" i="1"/>
  <c r="N4467" i="1"/>
  <c r="N4476" i="1"/>
  <c r="N4474" i="1"/>
  <c r="N4478" i="1"/>
  <c r="N4477" i="1"/>
  <c r="N4466" i="1"/>
  <c r="N4473" i="1"/>
  <c r="N4469" i="1"/>
  <c r="N4472" i="1"/>
  <c r="N4475" i="1"/>
  <c r="N4468" i="1"/>
  <c r="N4470" i="1"/>
  <c r="N4485" i="1"/>
  <c r="N4481" i="1"/>
  <c r="N4483" i="1"/>
  <c r="N4486" i="1"/>
  <c r="N4482" i="1"/>
  <c r="N4479" i="1"/>
  <c r="N4489" i="1"/>
  <c r="N4487" i="1"/>
  <c r="N4484" i="1"/>
  <c r="N4488" i="1"/>
  <c r="N4480" i="1"/>
  <c r="N4492" i="1"/>
  <c r="N4497" i="1"/>
  <c r="N4505" i="1"/>
  <c r="N4502" i="1"/>
  <c r="N4493" i="1"/>
  <c r="N4506" i="1"/>
  <c r="N4500" i="1"/>
  <c r="N4503" i="1"/>
  <c r="N4496" i="1"/>
  <c r="N4491" i="1"/>
  <c r="N4498" i="1"/>
  <c r="N4499" i="1"/>
  <c r="N4490" i="1"/>
  <c r="N4501" i="1"/>
  <c r="N4495" i="1"/>
  <c r="N4494" i="1"/>
  <c r="N4504" i="1"/>
  <c r="N4515" i="1"/>
  <c r="N4517" i="1"/>
  <c r="N4513" i="1"/>
  <c r="N4507" i="1"/>
  <c r="N4520" i="1"/>
  <c r="N4511" i="1"/>
  <c r="N4521" i="1"/>
  <c r="N4508" i="1"/>
  <c r="N4519" i="1"/>
  <c r="N4510" i="1"/>
  <c r="N4512" i="1"/>
  <c r="N4514" i="1"/>
  <c r="N4516" i="1"/>
  <c r="N4518" i="1"/>
  <c r="N4509" i="1"/>
  <c r="N4522" i="1"/>
  <c r="N4533" i="1"/>
  <c r="N4526" i="1"/>
  <c r="N4530" i="1"/>
  <c r="N4525" i="1"/>
  <c r="N4527" i="1"/>
  <c r="N4528" i="1"/>
  <c r="N4529" i="1"/>
  <c r="N4531" i="1"/>
  <c r="N4534" i="1"/>
  <c r="N4523" i="1"/>
  <c r="N4532" i="1"/>
  <c r="N4535" i="1"/>
  <c r="N4524" i="1"/>
  <c r="N4545" i="1"/>
  <c r="N4539" i="1"/>
  <c r="N4544" i="1"/>
  <c r="N4540" i="1"/>
  <c r="N4536" i="1"/>
  <c r="N4537" i="1"/>
  <c r="N4546" i="1"/>
  <c r="N4538" i="1"/>
  <c r="N4541" i="1"/>
  <c r="N4547" i="1"/>
  <c r="N4543" i="1"/>
  <c r="N4548" i="1"/>
  <c r="N4542" i="1"/>
  <c r="N4556" i="1"/>
  <c r="N4549" i="1"/>
  <c r="N4554" i="1"/>
  <c r="N4560" i="1"/>
  <c r="N4563" i="1"/>
  <c r="N4562" i="1"/>
  <c r="N4558" i="1"/>
  <c r="N4553" i="1"/>
  <c r="N4552" i="1"/>
  <c r="N4559" i="1"/>
  <c r="N4551" i="1"/>
  <c r="N4555" i="1"/>
  <c r="N4561" i="1"/>
  <c r="N4550" i="1"/>
  <c r="N4580" i="1"/>
  <c r="N4569" i="1"/>
  <c r="N4579" i="1"/>
  <c r="N4577" i="1"/>
  <c r="N4584" i="1"/>
  <c r="N4564" i="1"/>
  <c r="N4585" i="1"/>
  <c r="N4566" i="1"/>
  <c r="N4581" i="1"/>
  <c r="N4573" i="1"/>
  <c r="N4568" i="1"/>
  <c r="N4582" i="1"/>
  <c r="N4574" i="1"/>
  <c r="N4583" i="1"/>
  <c r="N4570" i="1"/>
  <c r="N4575" i="1"/>
  <c r="N4567" i="1"/>
  <c r="N4576" i="1"/>
  <c r="N4572" i="1"/>
  <c r="N4578" i="1"/>
  <c r="N4571" i="1"/>
  <c r="N4565" i="1"/>
  <c r="N4587" i="1"/>
  <c r="N4594" i="1"/>
  <c r="N4591" i="1"/>
  <c r="N4595" i="1"/>
  <c r="N4596" i="1"/>
  <c r="N4598" i="1"/>
  <c r="N4590" i="1"/>
  <c r="N4601" i="1"/>
  <c r="N4600" i="1"/>
  <c r="N4593" i="1"/>
  <c r="N4586" i="1"/>
  <c r="N4599" i="1"/>
  <c r="N4588" i="1"/>
  <c r="N4589" i="1"/>
  <c r="N4592" i="1"/>
  <c r="N4597" i="1"/>
  <c r="N4614" i="1"/>
  <c r="N4610" i="1"/>
  <c r="N4604" i="1"/>
  <c r="N4605" i="1"/>
  <c r="N4602" i="1"/>
  <c r="N4617" i="1"/>
  <c r="N4612" i="1"/>
  <c r="N4618" i="1"/>
  <c r="N4606" i="1"/>
  <c r="N4609" i="1"/>
  <c r="N4607" i="1"/>
  <c r="N4616" i="1"/>
  <c r="N4615" i="1"/>
  <c r="N4611" i="1"/>
  <c r="N4608" i="1"/>
  <c r="N4603" i="1"/>
  <c r="N4613" i="1"/>
  <c r="N4622" i="1"/>
  <c r="N4626" i="1"/>
  <c r="N4625" i="1"/>
  <c r="N4624" i="1"/>
  <c r="N4633" i="1"/>
  <c r="N4629" i="1"/>
  <c r="N4630" i="1"/>
  <c r="N4623" i="1"/>
  <c r="N4635" i="1"/>
  <c r="N4636" i="1"/>
  <c r="N4634" i="1"/>
  <c r="N4627" i="1"/>
  <c r="N4632" i="1"/>
  <c r="N4628" i="1"/>
  <c r="N4631" i="1"/>
  <c r="N4620" i="1"/>
  <c r="N4621" i="1"/>
  <c r="N4619" i="1"/>
  <c r="N4645" i="1"/>
  <c r="N4643" i="1"/>
  <c r="N4638" i="1"/>
  <c r="N4640" i="1"/>
  <c r="N4648" i="1"/>
  <c r="N4637" i="1"/>
  <c r="N4646" i="1"/>
  <c r="N4639" i="1"/>
  <c r="N4647" i="1"/>
  <c r="N4641" i="1"/>
  <c r="N4644" i="1"/>
  <c r="N4642" i="1"/>
  <c r="N4649" i="1"/>
  <c r="N4653" i="1"/>
  <c r="N4655" i="1"/>
  <c r="N4650" i="1"/>
  <c r="N4654" i="1"/>
  <c r="N4657" i="1"/>
  <c r="N4656" i="1"/>
  <c r="N4658" i="1"/>
  <c r="N4651" i="1"/>
  <c r="N4652" i="1"/>
  <c r="N4659" i="1"/>
  <c r="N4675" i="1"/>
  <c r="N4661" i="1"/>
  <c r="N4673" i="1"/>
  <c r="N4666" i="1"/>
  <c r="N4670" i="1"/>
  <c r="N4660" i="1"/>
  <c r="N4669" i="1"/>
  <c r="N4663" i="1"/>
  <c r="N4676" i="1"/>
  <c r="N4674" i="1"/>
  <c r="N4667" i="1"/>
  <c r="N4671" i="1"/>
  <c r="N4664" i="1"/>
  <c r="N4668" i="1"/>
  <c r="N4662" i="1"/>
  <c r="N4672" i="1"/>
  <c r="N4665" i="1"/>
  <c r="N4689" i="1"/>
  <c r="N4687" i="1"/>
  <c r="N4686" i="1"/>
  <c r="N4680" i="1"/>
  <c r="N4690" i="1"/>
  <c r="N4685" i="1"/>
  <c r="N4677" i="1"/>
  <c r="N4684" i="1"/>
  <c r="N4678" i="1"/>
  <c r="N4688" i="1"/>
  <c r="N4683" i="1"/>
  <c r="N4681" i="1"/>
  <c r="N4679" i="1"/>
  <c r="N4682" i="1"/>
  <c r="N4694" i="1"/>
  <c r="N4698" i="1"/>
  <c r="N4691" i="1"/>
  <c r="N4700" i="1"/>
  <c r="N4704" i="1"/>
  <c r="N4702" i="1"/>
  <c r="N4701" i="1"/>
  <c r="N4699" i="1"/>
  <c r="N4703" i="1"/>
  <c r="N4695" i="1"/>
  <c r="N4692" i="1"/>
  <c r="N4696" i="1"/>
  <c r="N4697" i="1"/>
  <c r="N4705" i="1"/>
  <c r="N4693" i="1"/>
  <c r="N4709" i="1"/>
  <c r="N4714" i="1"/>
  <c r="N4712" i="1"/>
  <c r="N4708" i="1"/>
  <c r="N4710" i="1"/>
  <c r="N4717" i="1"/>
  <c r="N4706" i="1"/>
  <c r="N4713" i="1"/>
  <c r="N4711" i="1"/>
  <c r="N4715" i="1"/>
  <c r="N4707" i="1"/>
  <c r="N4716" i="1"/>
  <c r="N4725" i="1"/>
  <c r="N4720" i="1"/>
  <c r="N4721" i="1"/>
  <c r="N4724" i="1"/>
  <c r="N4727" i="1"/>
  <c r="N4718" i="1"/>
  <c r="N4722" i="1"/>
  <c r="N4719" i="1"/>
  <c r="N4728" i="1"/>
  <c r="N4726" i="1"/>
  <c r="N4729" i="1"/>
  <c r="N4723" i="1"/>
  <c r="N4739" i="1"/>
  <c r="N4735" i="1"/>
  <c r="N4734" i="1"/>
  <c r="N4741" i="1"/>
  <c r="N4742" i="1"/>
  <c r="N4730" i="1"/>
  <c r="N4737" i="1"/>
  <c r="N4740" i="1"/>
  <c r="N4732" i="1"/>
  <c r="N4733" i="1"/>
  <c r="N4731" i="1"/>
  <c r="N4743" i="1"/>
  <c r="N4738" i="1"/>
  <c r="N4736" i="1"/>
  <c r="N4745" i="1"/>
  <c r="N4752" i="1"/>
  <c r="N4744" i="1"/>
  <c r="N4746" i="1"/>
  <c r="N4756" i="1"/>
  <c r="N4747" i="1"/>
  <c r="N4753" i="1"/>
  <c r="N4757" i="1"/>
  <c r="N4754" i="1"/>
  <c r="N4750" i="1"/>
  <c r="N4755" i="1"/>
  <c r="N4749" i="1"/>
  <c r="N4751" i="1"/>
  <c r="N4748" i="1"/>
  <c r="N4762" i="1"/>
  <c r="N4768" i="1"/>
  <c r="N4769" i="1"/>
  <c r="N4766" i="1"/>
  <c r="N4763" i="1"/>
  <c r="N4758" i="1"/>
  <c r="N4767" i="1"/>
  <c r="N4759" i="1"/>
  <c r="N4765" i="1"/>
  <c r="N4760" i="1"/>
  <c r="N4764" i="1"/>
  <c r="N4770" i="1"/>
  <c r="N4775" i="1"/>
  <c r="N4772" i="1"/>
  <c r="N4771" i="1"/>
  <c r="N4779" i="1"/>
  <c r="N4784" i="1"/>
  <c r="N4780" i="1"/>
  <c r="N4776" i="1"/>
  <c r="N4773" i="1"/>
  <c r="N4774" i="1"/>
  <c r="N4777" i="1"/>
  <c r="N4778" i="1"/>
  <c r="N4782" i="1"/>
  <c r="N4783" i="1"/>
  <c r="N4781" i="1"/>
  <c r="N4785" i="1"/>
  <c r="N4794" i="1"/>
  <c r="N4793" i="1"/>
  <c r="N4790" i="1"/>
  <c r="N4792" i="1"/>
  <c r="N4786" i="1"/>
  <c r="N4789" i="1"/>
  <c r="N4791" i="1"/>
  <c r="N4787" i="1"/>
  <c r="N4788" i="1"/>
  <c r="N4797" i="1"/>
  <c r="N4806" i="1"/>
  <c r="N4800" i="1"/>
  <c r="N4799" i="1"/>
  <c r="N4805" i="1"/>
  <c r="N4804" i="1"/>
  <c r="N4798" i="1"/>
  <c r="N4802" i="1"/>
  <c r="N4801" i="1"/>
  <c r="N4803" i="1"/>
  <c r="N4795" i="1"/>
  <c r="N4796" i="1"/>
  <c r="N4807" i="1"/>
  <c r="N4812" i="1"/>
  <c r="N4810" i="1"/>
  <c r="N4816" i="1"/>
  <c r="N4811" i="1"/>
  <c r="N4814" i="1"/>
  <c r="N4809" i="1"/>
  <c r="N4813" i="1"/>
  <c r="N4815" i="1"/>
  <c r="N4808" i="1"/>
  <c r="N4818" i="1"/>
  <c r="N4827" i="1"/>
  <c r="N4830" i="1"/>
  <c r="N4829" i="1"/>
  <c r="N4823" i="1"/>
  <c r="N4831" i="1"/>
  <c r="N4819" i="1"/>
  <c r="N4828" i="1"/>
  <c r="N4826" i="1"/>
  <c r="N4821" i="1"/>
  <c r="N4820" i="1"/>
  <c r="N4817" i="1"/>
  <c r="N4822" i="1"/>
  <c r="N4824" i="1"/>
  <c r="N4825" i="1"/>
  <c r="N4834" i="1"/>
  <c r="N4840" i="1"/>
  <c r="N4837" i="1"/>
  <c r="N4835" i="1"/>
  <c r="N4842" i="1"/>
  <c r="N4847" i="1"/>
  <c r="N4843" i="1"/>
  <c r="N4838" i="1"/>
  <c r="N4848" i="1"/>
  <c r="N4839" i="1"/>
  <c r="N4832" i="1"/>
  <c r="N4841" i="1"/>
  <c r="N4846" i="1"/>
  <c r="N4845" i="1"/>
  <c r="N4836" i="1"/>
  <c r="N4844" i="1"/>
  <c r="N4833" i="1"/>
  <c r="N4853" i="1"/>
  <c r="N4855" i="1"/>
  <c r="N4850" i="1"/>
  <c r="N4859" i="1"/>
  <c r="N4854" i="1"/>
  <c r="N4851" i="1"/>
  <c r="N4852" i="1"/>
  <c r="N4856" i="1"/>
  <c r="N4857" i="1"/>
  <c r="N4849" i="1"/>
  <c r="N4858" i="1"/>
  <c r="N4872" i="1"/>
  <c r="N4867" i="1"/>
  <c r="N4861" i="1"/>
  <c r="N4862" i="1"/>
  <c r="N4863" i="1"/>
  <c r="N4871" i="1"/>
  <c r="N4864" i="1"/>
  <c r="N4868" i="1"/>
  <c r="N4870" i="1"/>
  <c r="N4860" i="1"/>
  <c r="N4865" i="1"/>
  <c r="N4869" i="1"/>
  <c r="N4866" i="1"/>
  <c r="N4875" i="1"/>
  <c r="N4881" i="1"/>
  <c r="N4886" i="1"/>
  <c r="N4889" i="1"/>
  <c r="N4887" i="1"/>
  <c r="N4888" i="1"/>
  <c r="N4879" i="1"/>
  <c r="N4884" i="1"/>
  <c r="N4880" i="1"/>
  <c r="N4876" i="1"/>
  <c r="N4873" i="1"/>
  <c r="N4885" i="1"/>
  <c r="N4882" i="1"/>
  <c r="N4890" i="1"/>
  <c r="N4877" i="1"/>
  <c r="N4874" i="1"/>
  <c r="N4883" i="1"/>
  <c r="N4895" i="1"/>
  <c r="N4893" i="1"/>
  <c r="N4899" i="1"/>
  <c r="N4891" i="1"/>
  <c r="N4894" i="1"/>
  <c r="N4896" i="1"/>
  <c r="N4892" i="1"/>
  <c r="N4898" i="1"/>
  <c r="N4897" i="1"/>
  <c r="N4900" i="1"/>
  <c r="N4914" i="1"/>
  <c r="N4909" i="1"/>
  <c r="N4904" i="1"/>
  <c r="N4917" i="1"/>
  <c r="N4915" i="1"/>
  <c r="N4902" i="1"/>
  <c r="N4912" i="1"/>
  <c r="N4908" i="1"/>
  <c r="N4911" i="1"/>
  <c r="N4918" i="1"/>
  <c r="N4905" i="1"/>
  <c r="N4906" i="1"/>
  <c r="N4913" i="1"/>
  <c r="N4910" i="1"/>
  <c r="N4903" i="1"/>
  <c r="N4901" i="1"/>
  <c r="N4916" i="1"/>
  <c r="N4907" i="1"/>
  <c r="N4927" i="1"/>
  <c r="N4926" i="1"/>
  <c r="N4922" i="1"/>
  <c r="N4924" i="1"/>
  <c r="N4928" i="1"/>
  <c r="N4929" i="1"/>
  <c r="N4920" i="1"/>
  <c r="N4919" i="1"/>
  <c r="N4925" i="1"/>
  <c r="N4921" i="1"/>
  <c r="N4923" i="1"/>
  <c r="N4934" i="1"/>
  <c r="N4932" i="1"/>
  <c r="N4936" i="1"/>
  <c r="N4947" i="1"/>
  <c r="N4937" i="1"/>
  <c r="N4946" i="1"/>
  <c r="N4938" i="1"/>
  <c r="N4930" i="1"/>
  <c r="N4935" i="1"/>
  <c r="N4944" i="1"/>
  <c r="N4941" i="1"/>
  <c r="N4931" i="1"/>
  <c r="N4933" i="1"/>
  <c r="N4945" i="1"/>
  <c r="N4940" i="1"/>
  <c r="N4942" i="1"/>
  <c r="N4943" i="1"/>
  <c r="N4939" i="1"/>
  <c r="N4953" i="1"/>
  <c r="N4958" i="1"/>
  <c r="N4952" i="1"/>
  <c r="N4949" i="1"/>
  <c r="N4951" i="1"/>
  <c r="N4950" i="1"/>
  <c r="N4957" i="1"/>
  <c r="N4955" i="1"/>
  <c r="N4954" i="1"/>
  <c r="N4948" i="1"/>
  <c r="N4956" i="1"/>
  <c r="N4964" i="1"/>
  <c r="N4960" i="1"/>
  <c r="N4966" i="1"/>
  <c r="N4961" i="1"/>
  <c r="N4965" i="1"/>
  <c r="N4962" i="1"/>
  <c r="N4959" i="1"/>
  <c r="N4963" i="1"/>
  <c r="N4978" i="1"/>
  <c r="N4974" i="1"/>
  <c r="N4972" i="1"/>
  <c r="N4973" i="1"/>
  <c r="N4979" i="1"/>
  <c r="N4970" i="1"/>
  <c r="N4976" i="1"/>
  <c r="N4968" i="1"/>
  <c r="N4975" i="1"/>
  <c r="N4971" i="1"/>
  <c r="N4977" i="1"/>
  <c r="N4967" i="1"/>
  <c r="N4969" i="1"/>
  <c r="N4987" i="1"/>
  <c r="N4980" i="1"/>
  <c r="N4981" i="1"/>
  <c r="N4983" i="1"/>
  <c r="N4984" i="1"/>
  <c r="N4982" i="1"/>
  <c r="N4986" i="1"/>
  <c r="N4988" i="1"/>
  <c r="N4985" i="1"/>
  <c r="N4999" i="1"/>
  <c r="N4997" i="1"/>
  <c r="N4993" i="1"/>
  <c r="N5000" i="1"/>
  <c r="N4994" i="1"/>
  <c r="N4992" i="1"/>
  <c r="N4990" i="1"/>
  <c r="N4991" i="1"/>
  <c r="N4995" i="1"/>
  <c r="N4998" i="1"/>
  <c r="N4989" i="1"/>
  <c r="N4996" i="1"/>
  <c r="N5" i="1"/>
  <c r="N3744" i="1"/>
  <c r="N2180" i="1"/>
  <c r="N2597" i="1"/>
  <c r="N115" i="1"/>
  <c r="N4275" i="1"/>
  <c r="N4761" i="1"/>
  <c r="N3129" i="1"/>
  <c r="N4374" i="1"/>
  <c r="N2752" i="1"/>
  <c r="N2753" i="1"/>
  <c r="N720" i="1"/>
  <c r="N2765" i="1"/>
  <c r="N747" i="1"/>
  <c r="N3607" i="1"/>
  <c r="N4878" i="1"/>
  <c r="N772" i="1"/>
  <c r="N2001" i="1"/>
  <c r="N314" i="1"/>
  <c r="N2010" i="1"/>
  <c r="N2034" i="1"/>
  <c r="N2858" i="1"/>
  <c r="N2070" i="1"/>
  <c r="N4557" i="1"/>
  <c r="N2919" i="1"/>
  <c r="M13" i="1"/>
  <c r="M6" i="1"/>
  <c r="M10" i="1"/>
  <c r="M8" i="1"/>
  <c r="M15" i="1"/>
  <c r="M11" i="1"/>
  <c r="M7" i="1"/>
  <c r="M14" i="1"/>
  <c r="M2" i="1"/>
  <c r="M3" i="1"/>
  <c r="M12" i="1"/>
  <c r="M4" i="1"/>
  <c r="M16" i="1"/>
  <c r="M9" i="1"/>
  <c r="M18" i="1"/>
  <c r="M21" i="1"/>
  <c r="M19" i="1"/>
  <c r="M17" i="1"/>
  <c r="M20" i="1"/>
  <c r="M37" i="1"/>
  <c r="M25" i="1"/>
  <c r="M27" i="1"/>
  <c r="M33" i="1"/>
  <c r="M40" i="1"/>
  <c r="M30" i="1"/>
  <c r="M26" i="1"/>
  <c r="M32" i="1"/>
  <c r="M31" i="1"/>
  <c r="M23" i="1"/>
  <c r="M29" i="1"/>
  <c r="M34" i="1"/>
  <c r="M22" i="1"/>
  <c r="M39" i="1"/>
  <c r="M28" i="1"/>
  <c r="M24" i="1"/>
  <c r="M35" i="1"/>
  <c r="M36" i="1"/>
  <c r="M38" i="1"/>
  <c r="M41" i="1"/>
  <c r="M60" i="1"/>
  <c r="M53" i="1"/>
  <c r="M45" i="1"/>
  <c r="M51" i="1"/>
  <c r="M59" i="1"/>
  <c r="M55" i="1"/>
  <c r="M50" i="1"/>
  <c r="M48" i="1"/>
  <c r="M52" i="1"/>
  <c r="M56" i="1"/>
  <c r="M46" i="1"/>
  <c r="M43" i="1"/>
  <c r="M57" i="1"/>
  <c r="M54" i="1"/>
  <c r="M44" i="1"/>
  <c r="M42" i="1"/>
  <c r="M49" i="1"/>
  <c r="M47" i="1"/>
  <c r="M58" i="1"/>
  <c r="M64" i="1"/>
  <c r="M61" i="1"/>
  <c r="M62" i="1"/>
  <c r="M65" i="1"/>
  <c r="M69" i="1"/>
  <c r="M71" i="1"/>
  <c r="M72" i="1"/>
  <c r="M63" i="1"/>
  <c r="M73" i="1"/>
  <c r="M70" i="1"/>
  <c r="M68" i="1"/>
  <c r="M67" i="1"/>
  <c r="M66" i="1"/>
  <c r="M74" i="1"/>
  <c r="M83" i="1"/>
  <c r="M79" i="1"/>
  <c r="M76" i="1"/>
  <c r="M85" i="1"/>
  <c r="M88" i="1"/>
  <c r="M75" i="1"/>
  <c r="M77" i="1"/>
  <c r="M80" i="1"/>
  <c r="M82" i="1"/>
  <c r="M81" i="1"/>
  <c r="M89" i="1"/>
  <c r="M86" i="1"/>
  <c r="M78" i="1"/>
  <c r="M87" i="1"/>
  <c r="M84" i="1"/>
  <c r="M99" i="1"/>
  <c r="M91" i="1"/>
  <c r="M96" i="1"/>
  <c r="M92" i="1"/>
  <c r="M98" i="1"/>
  <c r="M93" i="1"/>
  <c r="M97" i="1"/>
  <c r="M100" i="1"/>
  <c r="M101" i="1"/>
  <c r="M95" i="1"/>
  <c r="M102" i="1"/>
  <c r="M90" i="1"/>
  <c r="M94" i="1"/>
  <c r="M105" i="1"/>
  <c r="M103" i="1"/>
  <c r="M109" i="1"/>
  <c r="M104" i="1"/>
  <c r="M106" i="1"/>
  <c r="M107" i="1"/>
  <c r="M111" i="1"/>
  <c r="M108" i="1"/>
  <c r="M110" i="1"/>
  <c r="M126" i="1"/>
  <c r="M122" i="1"/>
  <c r="M120" i="1"/>
  <c r="M123" i="1"/>
  <c r="M116" i="1"/>
  <c r="M117" i="1"/>
  <c r="M128" i="1"/>
  <c r="M114" i="1"/>
  <c r="M112" i="1"/>
  <c r="M124" i="1"/>
  <c r="M121" i="1"/>
  <c r="M129" i="1"/>
  <c r="M125" i="1"/>
  <c r="M130" i="1"/>
  <c r="M113" i="1"/>
  <c r="M118" i="1"/>
  <c r="M127" i="1"/>
  <c r="M119" i="1"/>
  <c r="M131" i="1"/>
  <c r="M136" i="1"/>
  <c r="M147" i="1"/>
  <c r="M139" i="1"/>
  <c r="M134" i="1"/>
  <c r="M135" i="1"/>
  <c r="M140" i="1"/>
  <c r="M143" i="1"/>
  <c r="M137" i="1"/>
  <c r="M146" i="1"/>
  <c r="M149" i="1"/>
  <c r="M148" i="1"/>
  <c r="M144" i="1"/>
  <c r="M133" i="1"/>
  <c r="M132" i="1"/>
  <c r="M141" i="1"/>
  <c r="M150" i="1"/>
  <c r="M145" i="1"/>
  <c r="M138" i="1"/>
  <c r="M142" i="1"/>
  <c r="M157" i="1"/>
  <c r="M154" i="1"/>
  <c r="M158" i="1"/>
  <c r="M160" i="1"/>
  <c r="M156" i="1"/>
  <c r="M153" i="1"/>
  <c r="M151" i="1"/>
  <c r="M155" i="1"/>
  <c r="M152" i="1"/>
  <c r="M159" i="1"/>
  <c r="M170" i="1"/>
  <c r="M172" i="1"/>
  <c r="M164" i="1"/>
  <c r="M165" i="1"/>
  <c r="M166" i="1"/>
  <c r="M168" i="1"/>
  <c r="M169" i="1"/>
  <c r="M167" i="1"/>
  <c r="M171" i="1"/>
  <c r="M161" i="1"/>
  <c r="M173" i="1"/>
  <c r="M162" i="1"/>
  <c r="M163" i="1"/>
  <c r="M175" i="1"/>
  <c r="M174" i="1"/>
  <c r="M179" i="1"/>
  <c r="M180" i="1"/>
  <c r="M184" i="1"/>
  <c r="M182" i="1"/>
  <c r="M176" i="1"/>
  <c r="M186" i="1"/>
  <c r="M187" i="1"/>
  <c r="M181" i="1"/>
  <c r="M177" i="1"/>
  <c r="M183" i="1"/>
  <c r="M178" i="1"/>
  <c r="M185" i="1"/>
  <c r="M200" i="1"/>
  <c r="M195" i="1"/>
  <c r="M190" i="1"/>
  <c r="M198" i="1"/>
  <c r="M193" i="1"/>
  <c r="M188" i="1"/>
  <c r="M191" i="1"/>
  <c r="M197" i="1"/>
  <c r="M201" i="1"/>
  <c r="M196" i="1"/>
  <c r="M199" i="1"/>
  <c r="M192" i="1"/>
  <c r="M194" i="1"/>
  <c r="M189" i="1"/>
  <c r="M209" i="1"/>
  <c r="M202" i="1"/>
  <c r="M206" i="1"/>
  <c r="M211" i="1"/>
  <c r="M207" i="1"/>
  <c r="M208" i="1"/>
  <c r="M205" i="1"/>
  <c r="M203" i="1"/>
  <c r="M204" i="1"/>
  <c r="M210" i="1"/>
  <c r="M223" i="1"/>
  <c r="M218" i="1"/>
  <c r="M220" i="1"/>
  <c r="M214" i="1"/>
  <c r="M224" i="1"/>
  <c r="M222" i="1"/>
  <c r="M221" i="1"/>
  <c r="M215" i="1"/>
  <c r="M212" i="1"/>
  <c r="M225" i="1"/>
  <c r="M217" i="1"/>
  <c r="M213" i="1"/>
  <c r="M226" i="1"/>
  <c r="M219" i="1"/>
  <c r="M216" i="1"/>
  <c r="M237" i="1"/>
  <c r="M234" i="1"/>
  <c r="M240" i="1"/>
  <c r="M233" i="1"/>
  <c r="M239" i="1"/>
  <c r="M238" i="1"/>
  <c r="M235" i="1"/>
  <c r="M227" i="1"/>
  <c r="M229" i="1"/>
  <c r="M232" i="1"/>
  <c r="M231" i="1"/>
  <c r="M236" i="1"/>
  <c r="M228" i="1"/>
  <c r="M230" i="1"/>
  <c r="M243" i="1"/>
  <c r="M245" i="1"/>
  <c r="M241" i="1"/>
  <c r="M242" i="1"/>
  <c r="M244" i="1"/>
  <c r="M246" i="1"/>
  <c r="M247" i="1"/>
  <c r="M254" i="1"/>
  <c r="M255" i="1"/>
  <c r="M251" i="1"/>
  <c r="M256" i="1"/>
  <c r="M252" i="1"/>
  <c r="M250" i="1"/>
  <c r="M257" i="1"/>
  <c r="M253" i="1"/>
  <c r="M248" i="1"/>
  <c r="M249" i="1"/>
  <c r="M263" i="1"/>
  <c r="M265" i="1"/>
  <c r="M269" i="1"/>
  <c r="M267" i="1"/>
  <c r="M266" i="1"/>
  <c r="M259" i="1"/>
  <c r="M264" i="1"/>
  <c r="M260" i="1"/>
  <c r="M262" i="1"/>
  <c r="M258" i="1"/>
  <c r="M261" i="1"/>
  <c r="M268" i="1"/>
  <c r="M286" i="1"/>
  <c r="M282" i="1"/>
  <c r="M274" i="1"/>
  <c r="M289" i="1"/>
  <c r="M279" i="1"/>
  <c r="M271" i="1"/>
  <c r="M272" i="1"/>
  <c r="M292" i="1"/>
  <c r="M287" i="1"/>
  <c r="M293" i="1"/>
  <c r="M281" i="1"/>
  <c r="M273" i="1"/>
  <c r="M284" i="1"/>
  <c r="M290" i="1"/>
  <c r="M291" i="1"/>
  <c r="M283" i="1"/>
  <c r="M285" i="1"/>
  <c r="M277" i="1"/>
  <c r="M270" i="1"/>
  <c r="M275" i="1"/>
  <c r="M280" i="1"/>
  <c r="M288" i="1"/>
  <c r="M276" i="1"/>
  <c r="M278" i="1"/>
  <c r="M297" i="1"/>
  <c r="M308" i="1"/>
  <c r="M303" i="1"/>
  <c r="M306" i="1"/>
  <c r="M301" i="1"/>
  <c r="M302" i="1"/>
  <c r="M307" i="1"/>
  <c r="M305" i="1"/>
  <c r="M299" i="1"/>
  <c r="M294" i="1"/>
  <c r="M304" i="1"/>
  <c r="M300" i="1"/>
  <c r="M295" i="1"/>
  <c r="M296" i="1"/>
  <c r="M298" i="1"/>
  <c r="M311" i="1"/>
  <c r="M309" i="1"/>
  <c r="M312" i="1"/>
  <c r="M310" i="1"/>
  <c r="M321" i="1"/>
  <c r="M322" i="1"/>
  <c r="M316" i="1"/>
  <c r="M315" i="1"/>
  <c r="M313" i="1"/>
  <c r="M318" i="1"/>
  <c r="M319" i="1"/>
  <c r="M317" i="1"/>
  <c r="M320" i="1"/>
  <c r="M328" i="1"/>
  <c r="M331" i="1"/>
  <c r="M325" i="1"/>
  <c r="M329" i="1"/>
  <c r="M330" i="1"/>
  <c r="M324" i="1"/>
  <c r="M323" i="1"/>
  <c r="M326" i="1"/>
  <c r="M332" i="1"/>
  <c r="M327" i="1"/>
  <c r="M337" i="1"/>
  <c r="M336" i="1"/>
  <c r="M340" i="1"/>
  <c r="M339" i="1"/>
  <c r="M342" i="1"/>
  <c r="M341" i="1"/>
  <c r="M333" i="1"/>
  <c r="M334" i="1"/>
  <c r="M338" i="1"/>
  <c r="M345" i="1"/>
  <c r="M343" i="1"/>
  <c r="M344" i="1"/>
  <c r="M335" i="1"/>
  <c r="M358" i="1"/>
  <c r="M349" i="1"/>
  <c r="M353" i="1"/>
  <c r="M346" i="1"/>
  <c r="M356" i="1"/>
  <c r="M357" i="1"/>
  <c r="M347" i="1"/>
  <c r="M359" i="1"/>
  <c r="M352" i="1"/>
  <c r="M354" i="1"/>
  <c r="M363" i="1"/>
  <c r="M361" i="1"/>
  <c r="M355" i="1"/>
  <c r="M348" i="1"/>
  <c r="M350" i="1"/>
  <c r="M360" i="1"/>
  <c r="M351" i="1"/>
  <c r="M362" i="1"/>
  <c r="M364" i="1"/>
  <c r="M365" i="1"/>
  <c r="M372" i="1"/>
  <c r="M381" i="1"/>
  <c r="M376" i="1"/>
  <c r="M382" i="1"/>
  <c r="M368" i="1"/>
  <c r="M384" i="1"/>
  <c r="M380" i="1"/>
  <c r="M370" i="1"/>
  <c r="M369" i="1"/>
  <c r="M377" i="1"/>
  <c r="M378" i="1"/>
  <c r="M373" i="1"/>
  <c r="M383" i="1"/>
  <c r="M371" i="1"/>
  <c r="M366" i="1"/>
  <c r="M379" i="1"/>
  <c r="M374" i="1"/>
  <c r="M367" i="1"/>
  <c r="M375" i="1"/>
  <c r="M396" i="1"/>
  <c r="M399" i="1"/>
  <c r="M400" i="1"/>
  <c r="M401" i="1"/>
  <c r="M386" i="1"/>
  <c r="M391" i="1"/>
  <c r="M393" i="1"/>
  <c r="M388" i="1"/>
  <c r="M397" i="1"/>
  <c r="M394" i="1"/>
  <c r="M395" i="1"/>
  <c r="M390" i="1"/>
  <c r="M389" i="1"/>
  <c r="M392" i="1"/>
  <c r="M385" i="1"/>
  <c r="M387" i="1"/>
  <c r="M398" i="1"/>
  <c r="M414" i="1"/>
  <c r="M415" i="1"/>
  <c r="M417" i="1"/>
  <c r="M411" i="1"/>
  <c r="M407" i="1"/>
  <c r="M406" i="1"/>
  <c r="M409" i="1"/>
  <c r="M408" i="1"/>
  <c r="M413" i="1"/>
  <c r="M410" i="1"/>
  <c r="M418" i="1"/>
  <c r="M403" i="1"/>
  <c r="M402" i="1"/>
  <c r="M412" i="1"/>
  <c r="M416" i="1"/>
  <c r="M404" i="1"/>
  <c r="M405" i="1"/>
  <c r="M424" i="1"/>
  <c r="M426" i="1"/>
  <c r="M428" i="1"/>
  <c r="M427" i="1"/>
  <c r="M430" i="1"/>
  <c r="M425" i="1"/>
  <c r="M432" i="1"/>
  <c r="M420" i="1"/>
  <c r="M421" i="1"/>
  <c r="M419" i="1"/>
  <c r="M423" i="1"/>
  <c r="M422" i="1"/>
  <c r="M429" i="1"/>
  <c r="M431" i="1"/>
  <c r="M443" i="1"/>
  <c r="M438" i="1"/>
  <c r="M435" i="1"/>
  <c r="M436" i="1"/>
  <c r="M440" i="1"/>
  <c r="M446" i="1"/>
  <c r="M434" i="1"/>
  <c r="M444" i="1"/>
  <c r="M441" i="1"/>
  <c r="M445" i="1"/>
  <c r="M449" i="1"/>
  <c r="M447" i="1"/>
  <c r="M439" i="1"/>
  <c r="M442" i="1"/>
  <c r="M433" i="1"/>
  <c r="M450" i="1"/>
  <c r="M448" i="1"/>
  <c r="M437" i="1"/>
  <c r="M458" i="1"/>
  <c r="M462" i="1"/>
  <c r="M452" i="1"/>
  <c r="M461" i="1"/>
  <c r="M453" i="1"/>
  <c r="M459" i="1"/>
  <c r="M454" i="1"/>
  <c r="M455" i="1"/>
  <c r="M451" i="1"/>
  <c r="M456" i="1"/>
  <c r="M463" i="1"/>
  <c r="M457" i="1"/>
  <c r="M473" i="1"/>
  <c r="M467" i="1"/>
  <c r="M475" i="1"/>
  <c r="M476" i="1"/>
  <c r="M470" i="1"/>
  <c r="M465" i="1"/>
  <c r="M468" i="1"/>
  <c r="M471" i="1"/>
  <c r="M469" i="1"/>
  <c r="M464" i="1"/>
  <c r="M474" i="1"/>
  <c r="M466" i="1"/>
  <c r="M472" i="1"/>
  <c r="M482" i="1"/>
  <c r="M488" i="1"/>
  <c r="M490" i="1"/>
  <c r="M483" i="1"/>
  <c r="M484" i="1"/>
  <c r="M486" i="1"/>
  <c r="M492" i="1"/>
  <c r="M493" i="1"/>
  <c r="M489" i="1"/>
  <c r="M496" i="1"/>
  <c r="M478" i="1"/>
  <c r="M480" i="1"/>
  <c r="M479" i="1"/>
  <c r="M485" i="1"/>
  <c r="M477" i="1"/>
  <c r="M491" i="1"/>
  <c r="M494" i="1"/>
  <c r="M487" i="1"/>
  <c r="M495" i="1"/>
  <c r="M481" i="1"/>
  <c r="M497" i="1"/>
  <c r="M504" i="1"/>
  <c r="M505" i="1"/>
  <c r="M502" i="1"/>
  <c r="M503" i="1"/>
  <c r="M499" i="1"/>
  <c r="M500" i="1"/>
  <c r="M501" i="1"/>
  <c r="M498" i="1"/>
  <c r="M518" i="1"/>
  <c r="M517" i="1"/>
  <c r="M516" i="1"/>
  <c r="M511" i="1"/>
  <c r="M507" i="1"/>
  <c r="M513" i="1"/>
  <c r="M508" i="1"/>
  <c r="M519" i="1"/>
  <c r="M514" i="1"/>
  <c r="M509" i="1"/>
  <c r="M515" i="1"/>
  <c r="M510" i="1"/>
  <c r="M512" i="1"/>
  <c r="M506" i="1"/>
  <c r="M527" i="1"/>
  <c r="M529" i="1"/>
  <c r="M520" i="1"/>
  <c r="M522" i="1"/>
  <c r="M524" i="1"/>
  <c r="M525" i="1"/>
  <c r="M528" i="1"/>
  <c r="M526" i="1"/>
  <c r="M523" i="1"/>
  <c r="M521" i="1"/>
  <c r="M532" i="1"/>
  <c r="M530" i="1"/>
  <c r="M533" i="1"/>
  <c r="M531" i="1"/>
  <c r="M541" i="1"/>
  <c r="M536" i="1"/>
  <c r="M539" i="1"/>
  <c r="M540" i="1"/>
  <c r="M538" i="1"/>
  <c r="M535" i="1"/>
  <c r="M534" i="1"/>
  <c r="M537" i="1"/>
  <c r="M548" i="1"/>
  <c r="M550" i="1"/>
  <c r="M543" i="1"/>
  <c r="M557" i="1"/>
  <c r="M551" i="1"/>
  <c r="M545" i="1"/>
  <c r="M546" i="1"/>
  <c r="M554" i="1"/>
  <c r="M558" i="1"/>
  <c r="M549" i="1"/>
  <c r="M544" i="1"/>
  <c r="M555" i="1"/>
  <c r="M559" i="1"/>
  <c r="M556" i="1"/>
  <c r="M542" i="1"/>
  <c r="M547" i="1"/>
  <c r="M552" i="1"/>
  <c r="M553" i="1"/>
  <c r="M574" i="1"/>
  <c r="M575" i="1"/>
  <c r="M571" i="1"/>
  <c r="M568" i="1"/>
  <c r="M578" i="1"/>
  <c r="M579" i="1"/>
  <c r="M564" i="1"/>
  <c r="M569" i="1"/>
  <c r="M573" i="1"/>
  <c r="M576" i="1"/>
  <c r="M560" i="1"/>
  <c r="M572" i="1"/>
  <c r="M580" i="1"/>
  <c r="M563" i="1"/>
  <c r="M565" i="1"/>
  <c r="M570" i="1"/>
  <c r="M577" i="1"/>
  <c r="M566" i="1"/>
  <c r="M567" i="1"/>
  <c r="M562" i="1"/>
  <c r="M561" i="1"/>
  <c r="M581" i="1"/>
  <c r="M595" i="1"/>
  <c r="M588" i="1"/>
  <c r="M593" i="1"/>
  <c r="M583" i="1"/>
  <c r="M582" i="1"/>
  <c r="M584" i="1"/>
  <c r="M589" i="1"/>
  <c r="M590" i="1"/>
  <c r="M596" i="1"/>
  <c r="M597" i="1"/>
  <c r="M594" i="1"/>
  <c r="M592" i="1"/>
  <c r="M585" i="1"/>
  <c r="M598" i="1"/>
  <c r="M586" i="1"/>
  <c r="M591" i="1"/>
  <c r="M587" i="1"/>
  <c r="M608" i="1"/>
  <c r="M609" i="1"/>
  <c r="M599" i="1"/>
  <c r="M611" i="1"/>
  <c r="M603" i="1"/>
  <c r="M602" i="1"/>
  <c r="M600" i="1"/>
  <c r="M601" i="1"/>
  <c r="M607" i="1"/>
  <c r="M604" i="1"/>
  <c r="M610" i="1"/>
  <c r="M605" i="1"/>
  <c r="M606" i="1"/>
  <c r="M612" i="1"/>
  <c r="M621" i="1"/>
  <c r="M627" i="1"/>
  <c r="M626" i="1"/>
  <c r="M622" i="1"/>
  <c r="M620" i="1"/>
  <c r="M623" i="1"/>
  <c r="M615" i="1"/>
  <c r="M625" i="1"/>
  <c r="M624" i="1"/>
  <c r="M613" i="1"/>
  <c r="M618" i="1"/>
  <c r="M614" i="1"/>
  <c r="M619" i="1"/>
  <c r="M616" i="1"/>
  <c r="M628" i="1"/>
  <c r="M617" i="1"/>
  <c r="M629" i="1"/>
  <c r="M638" i="1"/>
  <c r="M632" i="1"/>
  <c r="M641" i="1"/>
  <c r="M635" i="1"/>
  <c r="M639" i="1"/>
  <c r="M630" i="1"/>
  <c r="M640" i="1"/>
  <c r="M636" i="1"/>
  <c r="M642" i="1"/>
  <c r="M631" i="1"/>
  <c r="M633" i="1"/>
  <c r="M637" i="1"/>
  <c r="M634" i="1"/>
  <c r="M646" i="1"/>
  <c r="M651" i="1"/>
  <c r="M643" i="1"/>
  <c r="M661" i="1"/>
  <c r="M648" i="1"/>
  <c r="M649" i="1"/>
  <c r="M655" i="1"/>
  <c r="M654" i="1"/>
  <c r="M657" i="1"/>
  <c r="M663" i="1"/>
  <c r="M650" i="1"/>
  <c r="M645" i="1"/>
  <c r="M658" i="1"/>
  <c r="M659" i="1"/>
  <c r="M644" i="1"/>
  <c r="M656" i="1"/>
  <c r="M662" i="1"/>
  <c r="M652" i="1"/>
  <c r="M660" i="1"/>
  <c r="M647" i="1"/>
  <c r="M653" i="1"/>
  <c r="M669" i="1"/>
  <c r="M672" i="1"/>
  <c r="M670" i="1"/>
  <c r="M664" i="1"/>
  <c r="M667" i="1"/>
  <c r="M674" i="1"/>
  <c r="M665" i="1"/>
  <c r="M676" i="1"/>
  <c r="M677" i="1"/>
  <c r="M675" i="1"/>
  <c r="M668" i="1"/>
  <c r="M673" i="1"/>
  <c r="M666" i="1"/>
  <c r="M671" i="1"/>
  <c r="M690" i="1"/>
  <c r="M688" i="1"/>
  <c r="M678" i="1"/>
  <c r="M679" i="1"/>
  <c r="M682" i="1"/>
  <c r="M689" i="1"/>
  <c r="M683" i="1"/>
  <c r="M685" i="1"/>
  <c r="M686" i="1"/>
  <c r="M684" i="1"/>
  <c r="M680" i="1"/>
  <c r="M687" i="1"/>
  <c r="M681" i="1"/>
  <c r="M696" i="1"/>
  <c r="M694" i="1"/>
  <c r="M691" i="1"/>
  <c r="M698" i="1"/>
  <c r="M703" i="1"/>
  <c r="M702" i="1"/>
  <c r="M697" i="1"/>
  <c r="M693" i="1"/>
  <c r="M699" i="1"/>
  <c r="M692" i="1"/>
  <c r="M700" i="1"/>
  <c r="M701" i="1"/>
  <c r="M695" i="1"/>
  <c r="M715" i="1"/>
  <c r="M716" i="1"/>
  <c r="M705" i="1"/>
  <c r="M706" i="1"/>
  <c r="M707" i="1"/>
  <c r="M710" i="1"/>
  <c r="M709" i="1"/>
  <c r="M713" i="1"/>
  <c r="M712" i="1"/>
  <c r="M708" i="1"/>
  <c r="M714" i="1"/>
  <c r="M711" i="1"/>
  <c r="M704" i="1"/>
  <c r="M725" i="1"/>
  <c r="M730" i="1"/>
  <c r="M717" i="1"/>
  <c r="M721" i="1"/>
  <c r="M728" i="1"/>
  <c r="M732" i="1"/>
  <c r="M731" i="1"/>
  <c r="M723" i="1"/>
  <c r="M726" i="1"/>
  <c r="M719" i="1"/>
  <c r="M722" i="1"/>
  <c r="M724" i="1"/>
  <c r="M718" i="1"/>
  <c r="M729" i="1"/>
  <c r="M727" i="1"/>
  <c r="M741" i="1"/>
  <c r="M742" i="1"/>
  <c r="M734" i="1"/>
  <c r="M743" i="1"/>
  <c r="M736" i="1"/>
  <c r="M735" i="1"/>
  <c r="M733" i="1"/>
  <c r="M740" i="1"/>
  <c r="M744" i="1"/>
  <c r="M746" i="1"/>
  <c r="M739" i="1"/>
  <c r="M738" i="1"/>
  <c r="M745" i="1"/>
  <c r="M737" i="1"/>
  <c r="M759" i="1"/>
  <c r="M756" i="1"/>
  <c r="M751" i="1"/>
  <c r="M765" i="1"/>
  <c r="M760" i="1"/>
  <c r="M761" i="1"/>
  <c r="M757" i="1"/>
  <c r="M762" i="1"/>
  <c r="M758" i="1"/>
  <c r="M752" i="1"/>
  <c r="M749" i="1"/>
  <c r="M767" i="1"/>
  <c r="M763" i="1"/>
  <c r="M766" i="1"/>
  <c r="M755" i="1"/>
  <c r="M748" i="1"/>
  <c r="M753" i="1"/>
  <c r="M750" i="1"/>
  <c r="M754" i="1"/>
  <c r="M764" i="1"/>
  <c r="M775" i="1"/>
  <c r="M768" i="1"/>
  <c r="M769" i="1"/>
  <c r="M770" i="1"/>
  <c r="M776" i="1"/>
  <c r="M777" i="1"/>
  <c r="M773" i="1"/>
  <c r="M771" i="1"/>
  <c r="M774" i="1"/>
  <c r="M788" i="1"/>
  <c r="M783" i="1"/>
  <c r="M782" i="1"/>
  <c r="M786" i="1"/>
  <c r="M778" i="1"/>
  <c r="M787" i="1"/>
  <c r="M784" i="1"/>
  <c r="M781" i="1"/>
  <c r="M785" i="1"/>
  <c r="M779" i="1"/>
  <c r="M780" i="1"/>
  <c r="M797" i="1"/>
  <c r="M792" i="1"/>
  <c r="M789" i="1"/>
  <c r="M799" i="1"/>
  <c r="M793" i="1"/>
  <c r="M796" i="1"/>
  <c r="M801" i="1"/>
  <c r="M791" i="1"/>
  <c r="M794" i="1"/>
  <c r="M798" i="1"/>
  <c r="M800" i="1"/>
  <c r="M795" i="1"/>
  <c r="M790" i="1"/>
  <c r="M806" i="1"/>
  <c r="M804" i="1"/>
  <c r="M802" i="1"/>
  <c r="M807" i="1"/>
  <c r="M808" i="1"/>
  <c r="M803" i="1"/>
  <c r="M809" i="1"/>
  <c r="M805" i="1"/>
  <c r="M815" i="1"/>
  <c r="M814" i="1"/>
  <c r="M812" i="1"/>
  <c r="M811" i="1"/>
  <c r="M813" i="1"/>
  <c r="M816" i="1"/>
  <c r="M818" i="1"/>
  <c r="M817" i="1"/>
  <c r="M810" i="1"/>
  <c r="M827" i="1"/>
  <c r="M825" i="1"/>
  <c r="M829" i="1"/>
  <c r="M820" i="1"/>
  <c r="M823" i="1"/>
  <c r="M826" i="1"/>
  <c r="M821" i="1"/>
  <c r="M831" i="1"/>
  <c r="M822" i="1"/>
  <c r="M819" i="1"/>
  <c r="M830" i="1"/>
  <c r="M824" i="1"/>
  <c r="M828" i="1"/>
  <c r="M841" i="1"/>
  <c r="M836" i="1"/>
  <c r="M842" i="1"/>
  <c r="M837" i="1"/>
  <c r="M838" i="1"/>
  <c r="M846" i="1"/>
  <c r="M833" i="1"/>
  <c r="M845" i="1"/>
  <c r="M840" i="1"/>
  <c r="M843" i="1"/>
  <c r="M834" i="1"/>
  <c r="M844" i="1"/>
  <c r="M835" i="1"/>
  <c r="M832" i="1"/>
  <c r="M847" i="1"/>
  <c r="M839" i="1"/>
  <c r="M857" i="1"/>
  <c r="M858" i="1"/>
  <c r="M848" i="1"/>
  <c r="M852" i="1"/>
  <c r="M854" i="1"/>
  <c r="M851" i="1"/>
  <c r="M853" i="1"/>
  <c r="M849" i="1"/>
  <c r="M859" i="1"/>
  <c r="M860" i="1"/>
  <c r="M855" i="1"/>
  <c r="M850" i="1"/>
  <c r="M856" i="1"/>
  <c r="M861" i="1"/>
  <c r="M869" i="1"/>
  <c r="M864" i="1"/>
  <c r="M862" i="1"/>
  <c r="M866" i="1"/>
  <c r="M867" i="1"/>
  <c r="M865" i="1"/>
  <c r="M868" i="1"/>
  <c r="M863" i="1"/>
  <c r="M870" i="1"/>
  <c r="M891" i="1"/>
  <c r="M871" i="1"/>
  <c r="M887" i="1"/>
  <c r="M892" i="1"/>
  <c r="M872" i="1"/>
  <c r="M882" i="1"/>
  <c r="M889" i="1"/>
  <c r="M873" i="1"/>
  <c r="M884" i="1"/>
  <c r="M888" i="1"/>
  <c r="M876" i="1"/>
  <c r="M879" i="1"/>
  <c r="M890" i="1"/>
  <c r="M875" i="1"/>
  <c r="M874" i="1"/>
  <c r="M885" i="1"/>
  <c r="M880" i="1"/>
  <c r="M877" i="1"/>
  <c r="M883" i="1"/>
  <c r="M886" i="1"/>
  <c r="M878" i="1"/>
  <c r="M881" i="1"/>
  <c r="M898" i="1"/>
  <c r="M893" i="1"/>
  <c r="M894" i="1"/>
  <c r="M895" i="1"/>
  <c r="M899" i="1"/>
  <c r="M897" i="1"/>
  <c r="M896" i="1"/>
  <c r="M900" i="1"/>
  <c r="M912" i="1"/>
  <c r="M917" i="1"/>
  <c r="M911" i="1"/>
  <c r="M907" i="1"/>
  <c r="M902" i="1"/>
  <c r="M908" i="1"/>
  <c r="M901" i="1"/>
  <c r="M918" i="1"/>
  <c r="M909" i="1"/>
  <c r="M919" i="1"/>
  <c r="M913" i="1"/>
  <c r="M915" i="1"/>
  <c r="M906" i="1"/>
  <c r="M910" i="1"/>
  <c r="M914" i="1"/>
  <c r="M904" i="1"/>
  <c r="M905" i="1"/>
  <c r="M903" i="1"/>
  <c r="M916" i="1"/>
  <c r="M920" i="1"/>
  <c r="M929" i="1"/>
  <c r="M938" i="1"/>
  <c r="M935" i="1"/>
  <c r="M930" i="1"/>
  <c r="M924" i="1"/>
  <c r="M931" i="1"/>
  <c r="M928" i="1"/>
  <c r="M939" i="1"/>
  <c r="M925" i="1"/>
  <c r="M921" i="1"/>
  <c r="M932" i="1"/>
  <c r="M923" i="1"/>
  <c r="M922" i="1"/>
  <c r="M936" i="1"/>
  <c r="M927" i="1"/>
  <c r="M941" i="1"/>
  <c r="M937" i="1"/>
  <c r="M926" i="1"/>
  <c r="M933" i="1"/>
  <c r="M940" i="1"/>
  <c r="M934" i="1"/>
  <c r="M956" i="1"/>
  <c r="M953" i="1"/>
  <c r="M942" i="1"/>
  <c r="M952" i="1"/>
  <c r="M944" i="1"/>
  <c r="M946" i="1"/>
  <c r="M949" i="1"/>
  <c r="M945" i="1"/>
  <c r="M957" i="1"/>
  <c r="M954" i="1"/>
  <c r="M943" i="1"/>
  <c r="M951" i="1"/>
  <c r="M950" i="1"/>
  <c r="M955" i="1"/>
  <c r="M948" i="1"/>
  <c r="M947" i="1"/>
  <c r="M958" i="1"/>
  <c r="M965" i="1"/>
  <c r="M966" i="1"/>
  <c r="M962" i="1"/>
  <c r="M964" i="1"/>
  <c r="M960" i="1"/>
  <c r="M959" i="1"/>
  <c r="M963" i="1"/>
  <c r="M967" i="1"/>
  <c r="M961" i="1"/>
  <c r="M968" i="1"/>
  <c r="M973" i="1"/>
  <c r="M980" i="1"/>
  <c r="M981" i="1"/>
  <c r="M979" i="1"/>
  <c r="M969" i="1"/>
  <c r="M978" i="1"/>
  <c r="M982" i="1"/>
  <c r="M975" i="1"/>
  <c r="M985" i="1"/>
  <c r="M970" i="1"/>
  <c r="M986" i="1"/>
  <c r="M971" i="1"/>
  <c r="M983" i="1"/>
  <c r="M987" i="1"/>
  <c r="M976" i="1"/>
  <c r="M972" i="1"/>
  <c r="M984" i="1"/>
  <c r="M977" i="1"/>
  <c r="M974" i="1"/>
  <c r="M990" i="1"/>
  <c r="M1002" i="1"/>
  <c r="M999" i="1"/>
  <c r="M997" i="1"/>
  <c r="M989" i="1"/>
  <c r="M995" i="1"/>
  <c r="M992" i="1"/>
  <c r="M996" i="1"/>
  <c r="M1001" i="1"/>
  <c r="M993" i="1"/>
  <c r="M998" i="1"/>
  <c r="M988" i="1"/>
  <c r="M994" i="1"/>
  <c r="M1004" i="1"/>
  <c r="M1003" i="1"/>
  <c r="M1005" i="1"/>
  <c r="M991" i="1"/>
  <c r="M1000" i="1"/>
  <c r="M1007" i="1"/>
  <c r="M1006" i="1"/>
  <c r="M1012" i="1"/>
  <c r="M1009" i="1"/>
  <c r="M1018" i="1"/>
  <c r="M1014" i="1"/>
  <c r="M1015" i="1"/>
  <c r="M1008" i="1"/>
  <c r="M1011" i="1"/>
  <c r="M1010" i="1"/>
  <c r="M1013" i="1"/>
  <c r="M1017" i="1"/>
  <c r="M1019" i="1"/>
  <c r="M1016" i="1"/>
  <c r="M1024" i="1"/>
  <c r="M1022" i="1"/>
  <c r="M1020" i="1"/>
  <c r="M1021" i="1"/>
  <c r="M1023" i="1"/>
  <c r="M1025" i="1"/>
  <c r="M1026" i="1"/>
  <c r="M1027" i="1"/>
  <c r="M1040" i="1"/>
  <c r="M1037" i="1"/>
  <c r="M1033" i="1"/>
  <c r="M1039" i="1"/>
  <c r="M1036" i="1"/>
  <c r="M1028" i="1"/>
  <c r="M1035" i="1"/>
  <c r="M1045" i="1"/>
  <c r="M1038" i="1"/>
  <c r="M1031" i="1"/>
  <c r="M1046" i="1"/>
  <c r="M1032" i="1"/>
  <c r="M1034" i="1"/>
  <c r="M1041" i="1"/>
  <c r="M1044" i="1"/>
  <c r="M1042" i="1"/>
  <c r="M1030" i="1"/>
  <c r="M1043" i="1"/>
  <c r="M1029" i="1"/>
  <c r="M1056" i="1"/>
  <c r="M1053" i="1"/>
  <c r="M1049" i="1"/>
  <c r="M1050" i="1"/>
  <c r="M1051" i="1"/>
  <c r="M1052" i="1"/>
  <c r="M1054" i="1"/>
  <c r="M1048" i="1"/>
  <c r="M1047" i="1"/>
  <c r="M1055" i="1"/>
  <c r="M1058" i="1"/>
  <c r="M1061" i="1"/>
  <c r="M1063" i="1"/>
  <c r="M1060" i="1"/>
  <c r="M1057" i="1"/>
  <c r="M1059" i="1"/>
  <c r="M1064" i="1"/>
  <c r="M1062" i="1"/>
  <c r="M1065" i="1"/>
  <c r="M1074" i="1"/>
  <c r="M1066" i="1"/>
  <c r="M1071" i="1"/>
  <c r="M1073" i="1"/>
  <c r="M1075" i="1"/>
  <c r="M1069" i="1"/>
  <c r="M1070" i="1"/>
  <c r="M1067" i="1"/>
  <c r="M1068" i="1"/>
  <c r="M1072" i="1"/>
  <c r="M1092" i="1"/>
  <c r="M1087" i="1"/>
  <c r="M1088" i="1"/>
  <c r="M1080" i="1"/>
  <c r="M1083" i="1"/>
  <c r="M1091" i="1"/>
  <c r="M1076" i="1"/>
  <c r="M1081" i="1"/>
  <c r="M1090" i="1"/>
  <c r="M1085" i="1"/>
  <c r="M1078" i="1"/>
  <c r="M1086" i="1"/>
  <c r="M1089" i="1"/>
  <c r="M1084" i="1"/>
  <c r="M1079" i="1"/>
  <c r="M1093" i="1"/>
  <c r="M1077" i="1"/>
  <c r="M1082" i="1"/>
  <c r="M1107" i="1"/>
  <c r="M1095" i="1"/>
  <c r="M1102" i="1"/>
  <c r="M1096" i="1"/>
  <c r="M1110" i="1"/>
  <c r="M1103" i="1"/>
  <c r="M1099" i="1"/>
  <c r="M1108" i="1"/>
  <c r="M1105" i="1"/>
  <c r="M1097" i="1"/>
  <c r="M1100" i="1"/>
  <c r="M1104" i="1"/>
  <c r="M1109" i="1"/>
  <c r="M1094" i="1"/>
  <c r="M1098" i="1"/>
  <c r="M1101" i="1"/>
  <c r="M1106" i="1"/>
  <c r="M1120" i="1"/>
  <c r="M1116" i="1"/>
  <c r="M1111" i="1"/>
  <c r="M1121" i="1"/>
  <c r="M1118" i="1"/>
  <c r="M1122" i="1"/>
  <c r="M1117" i="1"/>
  <c r="M1119" i="1"/>
  <c r="M1123" i="1"/>
  <c r="M1112" i="1"/>
  <c r="M1114" i="1"/>
  <c r="M1124" i="1"/>
  <c r="M1113" i="1"/>
  <c r="M1125" i="1"/>
  <c r="M1115" i="1"/>
  <c r="M1126" i="1"/>
  <c r="M1136" i="1"/>
  <c r="M1133" i="1"/>
  <c r="M1128" i="1"/>
  <c r="M1135" i="1"/>
  <c r="M1131" i="1"/>
  <c r="M1130" i="1"/>
  <c r="M1129" i="1"/>
  <c r="M1134" i="1"/>
  <c r="M1137" i="1"/>
  <c r="M1127" i="1"/>
  <c r="M1132" i="1"/>
  <c r="M1158" i="1"/>
  <c r="M1156" i="1"/>
  <c r="M1144" i="1"/>
  <c r="M1154" i="1"/>
  <c r="M1150" i="1"/>
  <c r="M1148" i="1"/>
  <c r="M1142" i="1"/>
  <c r="M1143" i="1"/>
  <c r="M1145" i="1"/>
  <c r="M1146" i="1"/>
  <c r="M1153" i="1"/>
  <c r="M1155" i="1"/>
  <c r="M1160" i="1"/>
  <c r="M1157" i="1"/>
  <c r="M1149" i="1"/>
  <c r="M1161" i="1"/>
  <c r="M1140" i="1"/>
  <c r="M1141" i="1"/>
  <c r="M1162" i="1"/>
  <c r="M1147" i="1"/>
  <c r="M1159" i="1"/>
  <c r="M1138" i="1"/>
  <c r="M1152" i="1"/>
  <c r="M1151" i="1"/>
  <c r="M1139" i="1"/>
  <c r="M1163" i="1"/>
  <c r="M1168" i="1"/>
  <c r="M1171" i="1"/>
  <c r="M1166" i="1"/>
  <c r="M1165" i="1"/>
  <c r="M1170" i="1"/>
  <c r="M1164" i="1"/>
  <c r="M1169" i="1"/>
  <c r="M1172" i="1"/>
  <c r="M1167" i="1"/>
  <c r="M1175" i="1"/>
  <c r="M1176" i="1"/>
  <c r="M1181" i="1"/>
  <c r="M1183" i="1"/>
  <c r="M1180" i="1"/>
  <c r="M1178" i="1"/>
  <c r="M1182" i="1"/>
  <c r="M1173" i="1"/>
  <c r="M1177" i="1"/>
  <c r="M1184" i="1"/>
  <c r="M1185" i="1"/>
  <c r="M1174" i="1"/>
  <c r="M1186" i="1"/>
  <c r="M1179" i="1"/>
  <c r="M1199" i="1"/>
  <c r="M1205" i="1"/>
  <c r="M1208" i="1"/>
  <c r="M1194" i="1"/>
  <c r="M1206" i="1"/>
  <c r="M1195" i="1"/>
  <c r="M1187" i="1"/>
  <c r="M1196" i="1"/>
  <c r="M1207" i="1"/>
  <c r="M1197" i="1"/>
  <c r="M1189" i="1"/>
  <c r="M1209" i="1"/>
  <c r="M1202" i="1"/>
  <c r="M1200" i="1"/>
  <c r="M1193" i="1"/>
  <c r="M1190" i="1"/>
  <c r="M1203" i="1"/>
  <c r="M1188" i="1"/>
  <c r="M1192" i="1"/>
  <c r="M1191" i="1"/>
  <c r="M1204" i="1"/>
  <c r="M1201" i="1"/>
  <c r="M1198" i="1"/>
  <c r="M1215" i="1"/>
  <c r="M1211" i="1"/>
  <c r="M1210" i="1"/>
  <c r="M1216" i="1"/>
  <c r="M1217" i="1"/>
  <c r="M1213" i="1"/>
  <c r="M1212" i="1"/>
  <c r="M1221" i="1"/>
  <c r="M1214" i="1"/>
  <c r="M1218" i="1"/>
  <c r="M1220" i="1"/>
  <c r="M1219" i="1"/>
  <c r="M1222" i="1"/>
  <c r="M1223" i="1"/>
  <c r="M1230" i="1"/>
  <c r="M1227" i="1"/>
  <c r="M1235" i="1"/>
  <c r="M1226" i="1"/>
  <c r="M1234" i="1"/>
  <c r="M1236" i="1"/>
  <c r="M1237" i="1"/>
  <c r="M1232" i="1"/>
  <c r="M1239" i="1"/>
  <c r="M1224" i="1"/>
  <c r="M1225" i="1"/>
  <c r="M1233" i="1"/>
  <c r="M1240" i="1"/>
  <c r="M1228" i="1"/>
  <c r="M1229" i="1"/>
  <c r="M1231" i="1"/>
  <c r="M1238" i="1"/>
  <c r="M1241" i="1"/>
  <c r="M1246" i="1"/>
  <c r="M1249" i="1"/>
  <c r="M1244" i="1"/>
  <c r="M1254" i="1"/>
  <c r="M1256" i="1"/>
  <c r="M1257" i="1"/>
  <c r="M1258" i="1"/>
  <c r="M1251" i="1"/>
  <c r="M1250" i="1"/>
  <c r="M1247" i="1"/>
  <c r="M1255" i="1"/>
  <c r="M1253" i="1"/>
  <c r="M1248" i="1"/>
  <c r="M1245" i="1"/>
  <c r="M1242" i="1"/>
  <c r="M1243" i="1"/>
  <c r="M1252" i="1"/>
  <c r="M1264" i="1"/>
  <c r="M1260" i="1"/>
  <c r="M1266" i="1"/>
  <c r="M1261" i="1"/>
  <c r="M1267" i="1"/>
  <c r="M1262" i="1"/>
  <c r="M1265" i="1"/>
  <c r="M1259" i="1"/>
  <c r="M1263" i="1"/>
  <c r="M1268" i="1"/>
  <c r="M1275" i="1"/>
  <c r="M1278" i="1"/>
  <c r="M1269" i="1"/>
  <c r="M1276" i="1"/>
  <c r="M1272" i="1"/>
  <c r="M1271" i="1"/>
  <c r="M1273" i="1"/>
  <c r="M1270" i="1"/>
  <c r="M1279" i="1"/>
  <c r="M1277" i="1"/>
  <c r="M1274" i="1"/>
  <c r="M1289" i="1"/>
  <c r="M1280" i="1"/>
  <c r="M1281" i="1"/>
  <c r="M1282" i="1"/>
  <c r="M1296" i="1"/>
  <c r="M1287" i="1"/>
  <c r="M1288" i="1"/>
  <c r="M1290" i="1"/>
  <c r="M1294" i="1"/>
  <c r="M1283" i="1"/>
  <c r="M1284" i="1"/>
  <c r="M1295" i="1"/>
  <c r="M1297" i="1"/>
  <c r="M1298" i="1"/>
  <c r="M1291" i="1"/>
  <c r="M1285" i="1"/>
  <c r="M1293" i="1"/>
  <c r="M1292" i="1"/>
  <c r="M1286" i="1"/>
  <c r="M1306" i="1"/>
  <c r="M1307" i="1"/>
  <c r="M1308" i="1"/>
  <c r="M1309" i="1"/>
  <c r="M1300" i="1"/>
  <c r="M1299" i="1"/>
  <c r="M1312" i="1"/>
  <c r="M1305" i="1"/>
  <c r="M1310" i="1"/>
  <c r="M1315" i="1"/>
  <c r="M1313" i="1"/>
  <c r="M1316" i="1"/>
  <c r="M1317" i="1"/>
  <c r="M1301" i="1"/>
  <c r="M1311" i="1"/>
  <c r="M1303" i="1"/>
  <c r="M1314" i="1"/>
  <c r="M1302" i="1"/>
  <c r="M1304" i="1"/>
  <c r="M1324" i="1"/>
  <c r="M1320" i="1"/>
  <c r="M1323" i="1"/>
  <c r="M1318" i="1"/>
  <c r="M1322" i="1"/>
  <c r="M1319" i="1"/>
  <c r="M1326" i="1"/>
  <c r="M1321" i="1"/>
  <c r="M1325" i="1"/>
  <c r="M1327" i="1"/>
  <c r="M1337" i="1"/>
  <c r="M1333" i="1"/>
  <c r="M1332" i="1"/>
  <c r="M1336" i="1"/>
  <c r="M1331" i="1"/>
  <c r="M1330" i="1"/>
  <c r="M1338" i="1"/>
  <c r="M1328" i="1"/>
  <c r="M1334" i="1"/>
  <c r="M1335" i="1"/>
  <c r="M1329" i="1"/>
  <c r="M1339" i="1"/>
  <c r="M1344" i="1"/>
  <c r="M1345" i="1"/>
  <c r="M1341" i="1"/>
  <c r="M1343" i="1"/>
  <c r="M1342" i="1"/>
  <c r="M1349" i="1"/>
  <c r="M1348" i="1"/>
  <c r="M1346" i="1"/>
  <c r="M1350" i="1"/>
  <c r="M1351" i="1"/>
  <c r="M1340" i="1"/>
  <c r="M1347" i="1"/>
  <c r="M1356" i="1"/>
  <c r="M1352" i="1"/>
  <c r="M1357" i="1"/>
  <c r="M1358" i="1"/>
  <c r="M1355" i="1"/>
  <c r="M1354" i="1"/>
  <c r="M1353" i="1"/>
  <c r="M1359" i="1"/>
  <c r="M1362" i="1"/>
  <c r="M1375" i="1"/>
  <c r="M1366" i="1"/>
  <c r="M1364" i="1"/>
  <c r="M1360" i="1"/>
  <c r="M1370" i="1"/>
  <c r="M1374" i="1"/>
  <c r="M1365" i="1"/>
  <c r="M1372" i="1"/>
  <c r="M1361" i="1"/>
  <c r="M1368" i="1"/>
  <c r="M1367" i="1"/>
  <c r="M1373" i="1"/>
  <c r="M1369" i="1"/>
  <c r="M1371" i="1"/>
  <c r="M1363" i="1"/>
  <c r="M1389" i="1"/>
  <c r="M1393" i="1"/>
  <c r="M1376" i="1"/>
  <c r="M1391" i="1"/>
  <c r="M1392" i="1"/>
  <c r="M1377" i="1"/>
  <c r="M1380" i="1"/>
  <c r="M1378" i="1"/>
  <c r="M1381" i="1"/>
  <c r="M1387" i="1"/>
  <c r="M1388" i="1"/>
  <c r="M1383" i="1"/>
  <c r="M1390" i="1"/>
  <c r="M1384" i="1"/>
  <c r="M1379" i="1"/>
  <c r="M1385" i="1"/>
  <c r="M1382" i="1"/>
  <c r="M1386" i="1"/>
  <c r="M1399" i="1"/>
  <c r="M1397" i="1"/>
  <c r="M1402" i="1"/>
  <c r="M1400" i="1"/>
  <c r="M1398" i="1"/>
  <c r="M1396" i="1"/>
  <c r="M1401" i="1"/>
  <c r="M1394" i="1"/>
  <c r="M1395" i="1"/>
  <c r="M1408" i="1"/>
  <c r="M1407" i="1"/>
  <c r="M1405" i="1"/>
  <c r="M1412" i="1"/>
  <c r="M1410" i="1"/>
  <c r="M1406" i="1"/>
  <c r="M1411" i="1"/>
  <c r="M1404" i="1"/>
  <c r="M1413" i="1"/>
  <c r="M1403" i="1"/>
  <c r="M1409" i="1"/>
  <c r="M1414" i="1"/>
  <c r="M1421" i="1"/>
  <c r="M1418" i="1"/>
  <c r="M1431" i="1"/>
  <c r="M1423" i="1"/>
  <c r="M1417" i="1"/>
  <c r="M1419" i="1"/>
  <c r="M1425" i="1"/>
  <c r="M1426" i="1"/>
  <c r="M1422" i="1"/>
  <c r="M1415" i="1"/>
  <c r="M1424" i="1"/>
  <c r="M1416" i="1"/>
  <c r="M1420" i="1"/>
  <c r="M1427" i="1"/>
  <c r="M1428" i="1"/>
  <c r="M1429" i="1"/>
  <c r="M1430" i="1"/>
  <c r="M1441" i="1"/>
  <c r="M1442" i="1"/>
  <c r="M1435" i="1"/>
  <c r="M1445" i="1"/>
  <c r="M1436" i="1"/>
  <c r="M1432" i="1"/>
  <c r="M1440" i="1"/>
  <c r="M1438" i="1"/>
  <c r="M1433" i="1"/>
  <c r="M1439" i="1"/>
  <c r="M1446" i="1"/>
  <c r="M1434" i="1"/>
  <c r="M1437" i="1"/>
  <c r="M1443" i="1"/>
  <c r="M1444" i="1"/>
  <c r="M1447" i="1"/>
  <c r="M1456" i="1"/>
  <c r="M1448" i="1"/>
  <c r="M1462" i="1"/>
  <c r="M1461" i="1"/>
  <c r="M1455" i="1"/>
  <c r="M1457" i="1"/>
  <c r="M1451" i="1"/>
  <c r="M1458" i="1"/>
  <c r="M1459" i="1"/>
  <c r="M1449" i="1"/>
  <c r="M1460" i="1"/>
  <c r="M1450" i="1"/>
  <c r="M1452" i="1"/>
  <c r="M1453" i="1"/>
  <c r="M1454" i="1"/>
  <c r="M1473" i="1"/>
  <c r="M1471" i="1"/>
  <c r="M1476" i="1"/>
  <c r="M1469" i="1"/>
  <c r="M1466" i="1"/>
  <c r="M1474" i="1"/>
  <c r="M1470" i="1"/>
  <c r="M1463" i="1"/>
  <c r="M1472" i="1"/>
  <c r="M1475" i="1"/>
  <c r="M1465" i="1"/>
  <c r="M1467" i="1"/>
  <c r="M1468" i="1"/>
  <c r="M1464" i="1"/>
  <c r="M1481" i="1"/>
  <c r="M1492" i="1"/>
  <c r="M1487" i="1"/>
  <c r="M1493" i="1"/>
  <c r="M1497" i="1"/>
  <c r="M1488" i="1"/>
  <c r="M1478" i="1"/>
  <c r="M1496" i="1"/>
  <c r="M1485" i="1"/>
  <c r="M1479" i="1"/>
  <c r="M1482" i="1"/>
  <c r="M1491" i="1"/>
  <c r="M1486" i="1"/>
  <c r="M1477" i="1"/>
  <c r="M1498" i="1"/>
  <c r="M1489" i="1"/>
  <c r="M1490" i="1"/>
  <c r="M1494" i="1"/>
  <c r="M1480" i="1"/>
  <c r="M1483" i="1"/>
  <c r="M1495" i="1"/>
  <c r="M1484" i="1"/>
  <c r="M1499" i="1"/>
  <c r="M1501" i="1"/>
  <c r="M1503" i="1"/>
  <c r="M1504" i="1"/>
  <c r="M1510" i="1"/>
  <c r="M1507" i="1"/>
  <c r="M1500" i="1"/>
  <c r="M1506" i="1"/>
  <c r="M1502" i="1"/>
  <c r="M1505" i="1"/>
  <c r="M1509" i="1"/>
  <c r="M1508" i="1"/>
  <c r="M1511" i="1"/>
  <c r="M1518" i="1"/>
  <c r="M1512" i="1"/>
  <c r="M1523" i="1"/>
  <c r="M1516" i="1"/>
  <c r="M1517" i="1"/>
  <c r="M1522" i="1"/>
  <c r="M1521" i="1"/>
  <c r="M1519" i="1"/>
  <c r="M1513" i="1"/>
  <c r="M1514" i="1"/>
  <c r="M1515" i="1"/>
  <c r="M1520" i="1"/>
  <c r="M1541" i="1"/>
  <c r="M1537" i="1"/>
  <c r="M1528" i="1"/>
  <c r="M1529" i="1"/>
  <c r="M1530" i="1"/>
  <c r="M1526" i="1"/>
  <c r="M1542" i="1"/>
  <c r="M1531" i="1"/>
  <c r="M1532" i="1"/>
  <c r="M1524" i="1"/>
  <c r="M1540" i="1"/>
  <c r="M1534" i="1"/>
  <c r="M1535" i="1"/>
  <c r="M1533" i="1"/>
  <c r="M1527" i="1"/>
  <c r="M1539" i="1"/>
  <c r="M1536" i="1"/>
  <c r="M1538" i="1"/>
  <c r="M1525" i="1"/>
  <c r="M1549" i="1"/>
  <c r="M1553" i="1"/>
  <c r="M1543" i="1"/>
  <c r="M1544" i="1"/>
  <c r="M1547" i="1"/>
  <c r="M1550" i="1"/>
  <c r="M1551" i="1"/>
  <c r="M1548" i="1"/>
  <c r="M1545" i="1"/>
  <c r="M1546" i="1"/>
  <c r="M1552" i="1"/>
  <c r="M1564" i="1"/>
  <c r="M1559" i="1"/>
  <c r="M1560" i="1"/>
  <c r="M1565" i="1"/>
  <c r="M1563" i="1"/>
  <c r="M1556" i="1"/>
  <c r="M1561" i="1"/>
  <c r="M1558" i="1"/>
  <c r="M1562" i="1"/>
  <c r="M1555" i="1"/>
  <c r="M1557" i="1"/>
  <c r="M1554" i="1"/>
  <c r="M1566" i="1"/>
  <c r="M1579" i="1"/>
  <c r="M1578" i="1"/>
  <c r="M1575" i="1"/>
  <c r="M1571" i="1"/>
  <c r="M1568" i="1"/>
  <c r="M1574" i="1"/>
  <c r="M1572" i="1"/>
  <c r="M1569" i="1"/>
  <c r="M1567" i="1"/>
  <c r="M1577" i="1"/>
  <c r="M1573" i="1"/>
  <c r="M1576" i="1"/>
  <c r="M1570" i="1"/>
  <c r="M1583" i="1"/>
  <c r="M1582" i="1"/>
  <c r="M1584" i="1"/>
  <c r="M1588" i="1"/>
  <c r="M1580" i="1"/>
  <c r="M1587" i="1"/>
  <c r="M1585" i="1"/>
  <c r="M1586" i="1"/>
  <c r="M1589" i="1"/>
  <c r="M1581" i="1"/>
  <c r="M1597" i="1"/>
  <c r="M1599" i="1"/>
  <c r="M1590" i="1"/>
  <c r="M1600" i="1"/>
  <c r="M1593" i="1"/>
  <c r="M1595" i="1"/>
  <c r="M1601" i="1"/>
  <c r="M1594" i="1"/>
  <c r="M1591" i="1"/>
  <c r="M1596" i="1"/>
  <c r="M1603" i="1"/>
  <c r="M1592" i="1"/>
  <c r="M1602" i="1"/>
  <c r="M1598" i="1"/>
  <c r="M1605" i="1"/>
  <c r="M1612" i="1"/>
  <c r="M1606" i="1"/>
  <c r="M1608" i="1"/>
  <c r="M1610" i="1"/>
  <c r="M1611" i="1"/>
  <c r="M1607" i="1"/>
  <c r="M1604" i="1"/>
  <c r="M1609" i="1"/>
  <c r="M1619" i="1"/>
  <c r="M1613" i="1"/>
  <c r="M1614" i="1"/>
  <c r="M1622" i="1"/>
  <c r="M1617" i="1"/>
  <c r="M1615" i="1"/>
  <c r="M1621" i="1"/>
  <c r="M1620" i="1"/>
  <c r="M1618" i="1"/>
  <c r="M1616" i="1"/>
  <c r="M1623" i="1"/>
  <c r="M1637" i="1"/>
  <c r="M1630" i="1"/>
  <c r="M1624" i="1"/>
  <c r="M1635" i="1"/>
  <c r="M1626" i="1"/>
  <c r="M1634" i="1"/>
  <c r="M1625" i="1"/>
  <c r="M1636" i="1"/>
  <c r="M1631" i="1"/>
  <c r="M1627" i="1"/>
  <c r="M1629" i="1"/>
  <c r="M1628" i="1"/>
  <c r="M1632" i="1"/>
  <c r="M1633" i="1"/>
  <c r="M1649" i="1"/>
  <c r="M1644" i="1"/>
  <c r="M1643" i="1"/>
  <c r="M1646" i="1"/>
  <c r="M1640" i="1"/>
  <c r="M1638" i="1"/>
  <c r="M1641" i="1"/>
  <c r="M1648" i="1"/>
  <c r="M1639" i="1"/>
  <c r="M1645" i="1"/>
  <c r="M1653" i="1"/>
  <c r="M1651" i="1"/>
  <c r="M1652" i="1"/>
  <c r="M1642" i="1"/>
  <c r="M1650" i="1"/>
  <c r="M1647" i="1"/>
  <c r="M1656" i="1"/>
  <c r="M1661" i="1"/>
  <c r="M1655" i="1"/>
  <c r="M1657" i="1"/>
  <c r="M1659" i="1"/>
  <c r="M1658" i="1"/>
  <c r="M1660" i="1"/>
  <c r="M1662" i="1"/>
  <c r="M1663" i="1"/>
  <c r="M1654" i="1"/>
  <c r="M1664" i="1"/>
  <c r="M1665" i="1"/>
  <c r="M1683" i="1"/>
  <c r="M1686" i="1"/>
  <c r="M1673" i="1"/>
  <c r="M1671" i="1"/>
  <c r="M1678" i="1"/>
  <c r="M1674" i="1"/>
  <c r="M1672" i="1"/>
  <c r="M1677" i="1"/>
  <c r="M1687" i="1"/>
  <c r="M1668" i="1"/>
  <c r="M1682" i="1"/>
  <c r="M1675" i="1"/>
  <c r="M1676" i="1"/>
  <c r="M1669" i="1"/>
  <c r="M1670" i="1"/>
  <c r="M1681" i="1"/>
  <c r="M1666" i="1"/>
  <c r="M1680" i="1"/>
  <c r="M1684" i="1"/>
  <c r="M1667" i="1"/>
  <c r="M1679" i="1"/>
  <c r="M1685" i="1"/>
  <c r="M1692" i="1"/>
  <c r="M1689" i="1"/>
  <c r="M1693" i="1"/>
  <c r="M1688" i="1"/>
  <c r="M1694" i="1"/>
  <c r="M1700" i="1"/>
  <c r="M1698" i="1"/>
  <c r="M1695" i="1"/>
  <c r="M1699" i="1"/>
  <c r="M1691" i="1"/>
  <c r="M1690" i="1"/>
  <c r="M1701" i="1"/>
  <c r="M1696" i="1"/>
  <c r="M1697" i="1"/>
  <c r="M1712" i="1"/>
  <c r="M1706" i="1"/>
  <c r="M1703" i="1"/>
  <c r="M1709" i="1"/>
  <c r="M1718" i="1"/>
  <c r="M1716" i="1"/>
  <c r="M1708" i="1"/>
  <c r="M1713" i="1"/>
  <c r="M1715" i="1"/>
  <c r="M1717" i="1"/>
  <c r="M1702" i="1"/>
  <c r="M1707" i="1"/>
  <c r="M1714" i="1"/>
  <c r="M1705" i="1"/>
  <c r="M1704" i="1"/>
  <c r="M1711" i="1"/>
  <c r="M1710" i="1"/>
  <c r="M1723" i="1"/>
  <c r="M1725" i="1"/>
  <c r="M1727" i="1"/>
  <c r="M1726" i="1"/>
  <c r="M1719" i="1"/>
  <c r="M1720" i="1"/>
  <c r="M1724" i="1"/>
  <c r="M1722" i="1"/>
  <c r="M1721" i="1"/>
  <c r="M1742" i="1"/>
  <c r="M1728" i="1"/>
  <c r="M1733" i="1"/>
  <c r="M1732" i="1"/>
  <c r="M1738" i="1"/>
  <c r="M1729" i="1"/>
  <c r="M1741" i="1"/>
  <c r="M1730" i="1"/>
  <c r="M1735" i="1"/>
  <c r="M1739" i="1"/>
  <c r="M1737" i="1"/>
  <c r="M1740" i="1"/>
  <c r="M1734" i="1"/>
  <c r="M1731" i="1"/>
  <c r="M1736" i="1"/>
  <c r="M1751" i="1"/>
  <c r="M1752" i="1"/>
  <c r="M1753" i="1"/>
  <c r="M1750" i="1"/>
  <c r="M1748" i="1"/>
  <c r="M1749" i="1"/>
  <c r="M1745" i="1"/>
  <c r="M1755" i="1"/>
  <c r="M1743" i="1"/>
  <c r="M1746" i="1"/>
  <c r="M1756" i="1"/>
  <c r="M1754" i="1"/>
  <c r="M1744" i="1"/>
  <c r="M1747" i="1"/>
  <c r="M1757" i="1"/>
  <c r="M1760" i="1"/>
  <c r="M1768" i="1"/>
  <c r="M1765" i="1"/>
  <c r="M1767" i="1"/>
  <c r="M1759" i="1"/>
  <c r="M1766" i="1"/>
  <c r="M1761" i="1"/>
  <c r="M1764" i="1"/>
  <c r="M1758" i="1"/>
  <c r="M1763" i="1"/>
  <c r="M1762" i="1"/>
  <c r="M1776" i="1"/>
  <c r="M1771" i="1"/>
  <c r="M1772" i="1"/>
  <c r="M1783" i="1"/>
  <c r="M1784" i="1"/>
  <c r="M1781" i="1"/>
  <c r="M1778" i="1"/>
  <c r="M1773" i="1"/>
  <c r="M1779" i="1"/>
  <c r="M1777" i="1"/>
  <c r="M1769" i="1"/>
  <c r="M1782" i="1"/>
  <c r="M1774" i="1"/>
  <c r="M1775" i="1"/>
  <c r="M1770" i="1"/>
  <c r="M1785" i="1"/>
  <c r="M1780" i="1"/>
  <c r="M1788" i="1"/>
  <c r="M1787" i="1"/>
  <c r="M1789" i="1"/>
  <c r="M1786" i="1"/>
  <c r="M1791" i="1"/>
  <c r="M1790" i="1"/>
  <c r="M1799" i="1"/>
  <c r="M1794" i="1"/>
  <c r="M1801" i="1"/>
  <c r="M1798" i="1"/>
  <c r="M1803" i="1"/>
  <c r="M1792" i="1"/>
  <c r="M1804" i="1"/>
  <c r="M1806" i="1"/>
  <c r="M1802" i="1"/>
  <c r="M1795" i="1"/>
  <c r="M1807" i="1"/>
  <c r="M1808" i="1"/>
  <c r="M1796" i="1"/>
  <c r="M1797" i="1"/>
  <c r="M1793" i="1"/>
  <c r="M1805" i="1"/>
  <c r="M1800" i="1"/>
  <c r="M1813" i="1"/>
  <c r="M1814" i="1"/>
  <c r="M1811" i="1"/>
  <c r="M1809" i="1"/>
  <c r="M1812" i="1"/>
  <c r="M1810" i="1"/>
  <c r="M1816" i="1"/>
  <c r="M1818" i="1"/>
  <c r="M1827" i="1"/>
  <c r="M1828" i="1"/>
  <c r="M1826" i="1"/>
  <c r="M1815" i="1"/>
  <c r="M1823" i="1"/>
  <c r="M1817" i="1"/>
  <c r="M1819" i="1"/>
  <c r="M1829" i="1"/>
  <c r="M1830" i="1"/>
  <c r="M1824" i="1"/>
  <c r="M1825" i="1"/>
  <c r="M1821" i="1"/>
  <c r="M1822" i="1"/>
  <c r="M1820" i="1"/>
  <c r="M1837" i="1"/>
  <c r="M1848" i="1"/>
  <c r="M1831" i="1"/>
  <c r="M1842" i="1"/>
  <c r="M1844" i="1"/>
  <c r="M1845" i="1"/>
  <c r="M1846" i="1"/>
  <c r="M1847" i="1"/>
  <c r="M1839" i="1"/>
  <c r="M1838" i="1"/>
  <c r="M1835" i="1"/>
  <c r="M1840" i="1"/>
  <c r="M1832" i="1"/>
  <c r="M1843" i="1"/>
  <c r="M1833" i="1"/>
  <c r="M1834" i="1"/>
  <c r="M1841" i="1"/>
  <c r="M1836" i="1"/>
  <c r="M1854" i="1"/>
  <c r="M1850" i="1"/>
  <c r="M1852" i="1"/>
  <c r="M1858" i="1"/>
  <c r="M1856" i="1"/>
  <c r="M1853" i="1"/>
  <c r="M1855" i="1"/>
  <c r="M1857" i="1"/>
  <c r="M1849" i="1"/>
  <c r="M1851" i="1"/>
  <c r="M1871" i="1"/>
  <c r="M1872" i="1"/>
  <c r="M1874" i="1"/>
  <c r="M1868" i="1"/>
  <c r="M1875" i="1"/>
  <c r="M1862" i="1"/>
  <c r="M1870" i="1"/>
  <c r="M1873" i="1"/>
  <c r="M1864" i="1"/>
  <c r="M1866" i="1"/>
  <c r="M1869" i="1"/>
  <c r="M1860" i="1"/>
  <c r="M1867" i="1"/>
  <c r="M1863" i="1"/>
  <c r="M1859" i="1"/>
  <c r="M1861" i="1"/>
  <c r="M1865" i="1"/>
  <c r="M1888" i="1"/>
  <c r="M1879" i="1"/>
  <c r="M1885" i="1"/>
  <c r="M1880" i="1"/>
  <c r="M1890" i="1"/>
  <c r="M1877" i="1"/>
  <c r="M1887" i="1"/>
  <c r="M1891" i="1"/>
  <c r="M1889" i="1"/>
  <c r="M1881" i="1"/>
  <c r="M1886" i="1"/>
  <c r="M1882" i="1"/>
  <c r="M1884" i="1"/>
  <c r="M1878" i="1"/>
  <c r="M1876" i="1"/>
  <c r="M1883" i="1"/>
  <c r="M1892" i="1"/>
  <c r="M1893" i="1"/>
  <c r="M1900" i="1"/>
  <c r="M1894" i="1"/>
  <c r="M1895" i="1"/>
  <c r="M1897" i="1"/>
  <c r="M1898" i="1"/>
  <c r="M1899" i="1"/>
  <c r="M1896" i="1"/>
  <c r="M1910" i="1"/>
  <c r="M1912" i="1"/>
  <c r="M1911" i="1"/>
  <c r="M1901" i="1"/>
  <c r="M1903" i="1"/>
  <c r="M1904" i="1"/>
  <c r="M1907" i="1"/>
  <c r="M1913" i="1"/>
  <c r="M1908" i="1"/>
  <c r="M1905" i="1"/>
  <c r="M1914" i="1"/>
  <c r="M1909" i="1"/>
  <c r="M1902" i="1"/>
  <c r="M1906" i="1"/>
  <c r="M1915" i="1"/>
  <c r="M1919" i="1"/>
  <c r="M1916" i="1"/>
  <c r="M1917" i="1"/>
  <c r="M1921" i="1"/>
  <c r="M1920" i="1"/>
  <c r="M1922" i="1"/>
  <c r="M1918" i="1"/>
  <c r="M1933" i="1"/>
  <c r="M1931" i="1"/>
  <c r="M1929" i="1"/>
  <c r="M1926" i="1"/>
  <c r="M1930" i="1"/>
  <c r="M1934" i="1"/>
  <c r="M1928" i="1"/>
  <c r="M1923" i="1"/>
  <c r="M1925" i="1"/>
  <c r="M1924" i="1"/>
  <c r="M1927" i="1"/>
  <c r="M1932" i="1"/>
  <c r="M1940" i="1"/>
  <c r="M1937" i="1"/>
  <c r="M1943" i="1"/>
  <c r="M1942" i="1"/>
  <c r="M1941" i="1"/>
  <c r="M1939" i="1"/>
  <c r="M1945" i="1"/>
  <c r="M1938" i="1"/>
  <c r="M1935" i="1"/>
  <c r="M1944" i="1"/>
  <c r="M1936" i="1"/>
  <c r="M1950" i="1"/>
  <c r="M1949" i="1"/>
  <c r="M1946" i="1"/>
  <c r="M1952" i="1"/>
  <c r="M1947" i="1"/>
  <c r="M1951" i="1"/>
  <c r="M1948" i="1"/>
  <c r="M1959" i="1"/>
  <c r="M1963" i="1"/>
  <c r="M1955" i="1"/>
  <c r="M1958" i="1"/>
  <c r="M1962" i="1"/>
  <c r="M1956" i="1"/>
  <c r="M1966" i="1"/>
  <c r="M1960" i="1"/>
  <c r="M1965" i="1"/>
  <c r="M1954" i="1"/>
  <c r="M1953" i="1"/>
  <c r="M1957" i="1"/>
  <c r="M1961" i="1"/>
  <c r="M1964" i="1"/>
  <c r="M1970" i="1"/>
  <c r="M1976" i="1"/>
  <c r="M1967" i="1"/>
  <c r="M1978" i="1"/>
  <c r="M1977" i="1"/>
  <c r="M1972" i="1"/>
  <c r="M1968" i="1"/>
  <c r="M1974" i="1"/>
  <c r="M1971" i="1"/>
  <c r="M1975" i="1"/>
  <c r="M1969" i="1"/>
  <c r="M1973" i="1"/>
  <c r="M1985" i="1"/>
  <c r="M1984" i="1"/>
  <c r="M1980" i="1"/>
  <c r="M1983" i="1"/>
  <c r="M1982" i="1"/>
  <c r="M1981" i="1"/>
  <c r="M1986" i="1"/>
  <c r="M1979" i="1"/>
  <c r="M1996" i="1"/>
  <c r="M1992" i="1"/>
  <c r="M1990" i="1"/>
  <c r="M2002" i="1"/>
  <c r="M1997" i="1"/>
  <c r="M1993" i="1"/>
  <c r="M1994" i="1"/>
  <c r="M2003" i="1"/>
  <c r="M1998" i="1"/>
  <c r="M1988" i="1"/>
  <c r="M1999" i="1"/>
  <c r="M2000" i="1"/>
  <c r="M1989" i="1"/>
  <c r="M1987" i="1"/>
  <c r="M1995" i="1"/>
  <c r="M1991" i="1"/>
  <c r="M2013" i="1"/>
  <c r="M2011" i="1"/>
  <c r="M2016" i="1"/>
  <c r="M2015" i="1"/>
  <c r="M2009" i="1"/>
  <c r="M2004" i="1"/>
  <c r="M2005" i="1"/>
  <c r="M2014" i="1"/>
  <c r="M2012" i="1"/>
  <c r="M2017" i="1"/>
  <c r="M2006" i="1"/>
  <c r="M2007" i="1"/>
  <c r="M2008" i="1"/>
  <c r="M2029" i="1"/>
  <c r="M2019" i="1"/>
  <c r="M2021" i="1"/>
  <c r="M2027" i="1"/>
  <c r="M2024" i="1"/>
  <c r="M2018" i="1"/>
  <c r="M2023" i="1"/>
  <c r="M2020" i="1"/>
  <c r="M2026" i="1"/>
  <c r="M2022" i="1"/>
  <c r="M2028" i="1"/>
  <c r="M2025" i="1"/>
  <c r="M2035" i="1"/>
  <c r="M2036" i="1"/>
  <c r="M2038" i="1"/>
  <c r="M2033" i="1"/>
  <c r="M2030" i="1"/>
  <c r="M2041" i="1"/>
  <c r="M2039" i="1"/>
  <c r="M2031" i="1"/>
  <c r="M2032" i="1"/>
  <c r="M2042" i="1"/>
  <c r="M2037" i="1"/>
  <c r="M2040" i="1"/>
  <c r="M2043" i="1"/>
  <c r="M2051" i="1"/>
  <c r="M2046" i="1"/>
  <c r="M2053" i="1"/>
  <c r="M2047" i="1"/>
  <c r="M2057" i="1"/>
  <c r="M2044" i="1"/>
  <c r="M2049" i="1"/>
  <c r="M2052" i="1"/>
  <c r="M2056" i="1"/>
  <c r="M2050" i="1"/>
  <c r="M2048" i="1"/>
  <c r="M2054" i="1"/>
  <c r="M2045" i="1"/>
  <c r="M2055" i="1"/>
  <c r="M2065" i="1"/>
  <c r="M2062" i="1"/>
  <c r="M2074" i="1"/>
  <c r="M2060" i="1"/>
  <c r="M2058" i="1"/>
  <c r="M2068" i="1"/>
  <c r="M2066" i="1"/>
  <c r="M2059" i="1"/>
  <c r="M2061" i="1"/>
  <c r="M2064" i="1"/>
  <c r="M2067" i="1"/>
  <c r="M2071" i="1"/>
  <c r="M2063" i="1"/>
  <c r="M2073" i="1"/>
  <c r="M2069" i="1"/>
  <c r="M2072" i="1"/>
  <c r="M2080" i="1"/>
  <c r="M2077" i="1"/>
  <c r="M2076" i="1"/>
  <c r="M2081" i="1"/>
  <c r="M2075" i="1"/>
  <c r="M2082" i="1"/>
  <c r="M2078" i="1"/>
  <c r="M2079" i="1"/>
  <c r="M2083" i="1"/>
  <c r="M2092" i="1"/>
  <c r="M2096" i="1"/>
  <c r="M2089" i="1"/>
  <c r="M2090" i="1"/>
  <c r="M2093" i="1"/>
  <c r="M2084" i="1"/>
  <c r="M2088" i="1"/>
  <c r="M2085" i="1"/>
  <c r="M2091" i="1"/>
  <c r="M2094" i="1"/>
  <c r="M2087" i="1"/>
  <c r="M2086" i="1"/>
  <c r="M2095" i="1"/>
  <c r="M2097" i="1"/>
  <c r="M2104" i="1"/>
  <c r="M2103" i="1"/>
  <c r="M2101" i="1"/>
  <c r="M2099" i="1"/>
  <c r="M2098" i="1"/>
  <c r="M2105" i="1"/>
  <c r="M2102" i="1"/>
  <c r="M2100" i="1"/>
  <c r="M2106" i="1"/>
  <c r="M2119" i="1"/>
  <c r="M2117" i="1"/>
  <c r="M2115" i="1"/>
  <c r="M2112" i="1"/>
  <c r="M2114" i="1"/>
  <c r="M2116" i="1"/>
  <c r="M2121" i="1"/>
  <c r="M2110" i="1"/>
  <c r="M2107" i="1"/>
  <c r="M2120" i="1"/>
  <c r="M2108" i="1"/>
  <c r="M2111" i="1"/>
  <c r="M2122" i="1"/>
  <c r="M2113" i="1"/>
  <c r="M2109" i="1"/>
  <c r="M2118" i="1"/>
  <c r="M2123" i="1"/>
  <c r="M2132" i="1"/>
  <c r="M2130" i="1"/>
  <c r="M2128" i="1"/>
  <c r="M2125" i="1"/>
  <c r="M2131" i="1"/>
  <c r="M2126" i="1"/>
  <c r="M2124" i="1"/>
  <c r="M2127" i="1"/>
  <c r="M2129" i="1"/>
  <c r="M2135" i="1"/>
  <c r="M2140" i="1"/>
  <c r="M2144" i="1"/>
  <c r="M2133" i="1"/>
  <c r="M2138" i="1"/>
  <c r="M2134" i="1"/>
  <c r="M2142" i="1"/>
  <c r="M2143" i="1"/>
  <c r="M2141" i="1"/>
  <c r="M2137" i="1"/>
  <c r="M2136" i="1"/>
  <c r="M2139" i="1"/>
  <c r="M2151" i="1"/>
  <c r="M2148" i="1"/>
  <c r="M2146" i="1"/>
  <c r="M2145" i="1"/>
  <c r="M2147" i="1"/>
  <c r="M2149" i="1"/>
  <c r="M2150" i="1"/>
  <c r="M2152" i="1"/>
  <c r="M2159" i="1"/>
  <c r="M2160" i="1"/>
  <c r="M2163" i="1"/>
  <c r="M2162" i="1"/>
  <c r="M2155" i="1"/>
  <c r="M2154" i="1"/>
  <c r="M2158" i="1"/>
  <c r="M2156" i="1"/>
  <c r="M2161" i="1"/>
  <c r="M2164" i="1"/>
  <c r="M2153" i="1"/>
  <c r="M2157" i="1"/>
  <c r="M2165" i="1"/>
  <c r="M2170" i="1"/>
  <c r="M2166" i="1"/>
  <c r="M2167" i="1"/>
  <c r="M2171" i="1"/>
  <c r="M2174" i="1"/>
  <c r="M2168" i="1"/>
  <c r="M2172" i="1"/>
  <c r="M2169" i="1"/>
  <c r="M2173" i="1"/>
  <c r="M2189" i="1"/>
  <c r="M2177" i="1"/>
  <c r="M2181" i="1"/>
  <c r="M2175" i="1"/>
  <c r="M2182" i="1"/>
  <c r="M2183" i="1"/>
  <c r="M2178" i="1"/>
  <c r="M2190" i="1"/>
  <c r="M2179" i="1"/>
  <c r="M2184" i="1"/>
  <c r="M2185" i="1"/>
  <c r="M2187" i="1"/>
  <c r="M2176" i="1"/>
  <c r="M2188" i="1"/>
  <c r="M2191" i="1"/>
  <c r="M2186" i="1"/>
  <c r="M2198" i="1"/>
  <c r="M2194" i="1"/>
  <c r="M2199" i="1"/>
  <c r="M2196" i="1"/>
  <c r="M2193" i="1"/>
  <c r="M2192" i="1"/>
  <c r="M2200" i="1"/>
  <c r="M2201" i="1"/>
  <c r="M2197" i="1"/>
  <c r="M2195" i="1"/>
  <c r="M2205" i="1"/>
  <c r="M2210" i="1"/>
  <c r="M2202" i="1"/>
  <c r="M2203" i="1"/>
  <c r="M2206" i="1"/>
  <c r="M2212" i="1"/>
  <c r="M2208" i="1"/>
  <c r="M2207" i="1"/>
  <c r="M2213" i="1"/>
  <c r="M2214" i="1"/>
  <c r="M2209" i="1"/>
  <c r="M2211" i="1"/>
  <c r="M2204" i="1"/>
  <c r="M2217" i="1"/>
  <c r="M2215" i="1"/>
  <c r="M2225" i="1"/>
  <c r="M2223" i="1"/>
  <c r="M2228" i="1"/>
  <c r="M2218" i="1"/>
  <c r="M2220" i="1"/>
  <c r="M2216" i="1"/>
  <c r="M2226" i="1"/>
  <c r="M2231" i="1"/>
  <c r="M2224" i="1"/>
  <c r="M2229" i="1"/>
  <c r="M2221" i="1"/>
  <c r="M2222" i="1"/>
  <c r="M2227" i="1"/>
  <c r="M2219" i="1"/>
  <c r="M2230" i="1"/>
  <c r="M2254" i="1"/>
  <c r="M2240" i="1"/>
  <c r="M2234" i="1"/>
  <c r="M2232" i="1"/>
  <c r="M2238" i="1"/>
  <c r="M2235" i="1"/>
  <c r="M2250" i="1"/>
  <c r="M2243" i="1"/>
  <c r="M2236" i="1"/>
  <c r="M2237" i="1"/>
  <c r="M2239" i="1"/>
  <c r="M2242" i="1"/>
  <c r="M2244" i="1"/>
  <c r="M2251" i="1"/>
  <c r="M2249" i="1"/>
  <c r="M2245" i="1"/>
  <c r="M2246" i="1"/>
  <c r="M2241" i="1"/>
  <c r="M2247" i="1"/>
  <c r="M2253" i="1"/>
  <c r="M2252" i="1"/>
  <c r="M2233" i="1"/>
  <c r="M2248" i="1"/>
  <c r="M2257" i="1"/>
  <c r="M2264" i="1"/>
  <c r="M2259" i="1"/>
  <c r="M2268" i="1"/>
  <c r="M2255" i="1"/>
  <c r="M2261" i="1"/>
  <c r="M2265" i="1"/>
  <c r="M2269" i="1"/>
  <c r="M2262" i="1"/>
  <c r="M2260" i="1"/>
  <c r="M2258" i="1"/>
  <c r="M2263" i="1"/>
  <c r="M2266" i="1"/>
  <c r="M2256" i="1"/>
  <c r="M2267" i="1"/>
  <c r="M2270" i="1"/>
  <c r="M2280" i="1"/>
  <c r="M2272" i="1"/>
  <c r="M2274" i="1"/>
  <c r="M2281" i="1"/>
  <c r="M2279" i="1"/>
  <c r="M2275" i="1"/>
  <c r="M2278" i="1"/>
  <c r="M2271" i="1"/>
  <c r="M2276" i="1"/>
  <c r="M2273" i="1"/>
  <c r="M2282" i="1"/>
  <c r="M2277" i="1"/>
  <c r="M2284" i="1"/>
  <c r="M2300" i="1"/>
  <c r="M2289" i="1"/>
  <c r="M2293" i="1"/>
  <c r="M2288" i="1"/>
  <c r="M2285" i="1"/>
  <c r="M2295" i="1"/>
  <c r="M2297" i="1"/>
  <c r="M2294" i="1"/>
  <c r="M2298" i="1"/>
  <c r="M2286" i="1"/>
  <c r="M2287" i="1"/>
  <c r="M2283" i="1"/>
  <c r="M2296" i="1"/>
  <c r="M2291" i="1"/>
  <c r="M2290" i="1"/>
  <c r="M2292" i="1"/>
  <c r="M2299" i="1"/>
  <c r="M2301" i="1"/>
  <c r="M2309" i="1"/>
  <c r="M2302" i="1"/>
  <c r="M2306" i="1"/>
  <c r="M2307" i="1"/>
  <c r="M2308" i="1"/>
  <c r="M2305" i="1"/>
  <c r="M2303" i="1"/>
  <c r="M2304" i="1"/>
  <c r="M2315" i="1"/>
  <c r="M2313" i="1"/>
  <c r="M2320" i="1"/>
  <c r="M2321" i="1"/>
  <c r="M2319" i="1"/>
  <c r="M2310" i="1"/>
  <c r="M2323" i="1"/>
  <c r="M2314" i="1"/>
  <c r="M2318" i="1"/>
  <c r="M2322" i="1"/>
  <c r="M2311" i="1"/>
  <c r="M2317" i="1"/>
  <c r="M2312" i="1"/>
  <c r="M2316" i="1"/>
  <c r="M2332" i="1"/>
  <c r="M2331" i="1"/>
  <c r="M2325" i="1"/>
  <c r="M2327" i="1"/>
  <c r="M2336" i="1"/>
  <c r="M2337" i="1"/>
  <c r="M2328" i="1"/>
  <c r="M2338" i="1"/>
  <c r="M2333" i="1"/>
  <c r="M2330" i="1"/>
  <c r="M2324" i="1"/>
  <c r="M2334" i="1"/>
  <c r="M2329" i="1"/>
  <c r="M2335" i="1"/>
  <c r="M2326" i="1"/>
  <c r="M2342" i="1"/>
  <c r="M2339" i="1"/>
  <c r="M2340" i="1"/>
  <c r="M2347" i="1"/>
  <c r="M2341" i="1"/>
  <c r="M2346" i="1"/>
  <c r="M2344" i="1"/>
  <c r="M2348" i="1"/>
  <c r="M2343" i="1"/>
  <c r="M2345" i="1"/>
  <c r="M2349" i="1"/>
  <c r="M2352" i="1"/>
  <c r="M2357" i="1"/>
  <c r="M2355" i="1"/>
  <c r="M2354" i="1"/>
  <c r="M2350" i="1"/>
  <c r="M2353" i="1"/>
  <c r="M2351" i="1"/>
  <c r="M2356" i="1"/>
  <c r="M2360" i="1"/>
  <c r="M2361" i="1"/>
  <c r="M2362" i="1"/>
  <c r="M2365" i="1"/>
  <c r="M2371" i="1"/>
  <c r="M2367" i="1"/>
  <c r="M2366" i="1"/>
  <c r="M2364" i="1"/>
  <c r="M2358" i="1"/>
  <c r="M2368" i="1"/>
  <c r="M2369" i="1"/>
  <c r="M2363" i="1"/>
  <c r="M2370" i="1"/>
  <c r="M2359" i="1"/>
  <c r="M2373" i="1"/>
  <c r="M2374" i="1"/>
  <c r="M2380" i="1"/>
  <c r="M2386" i="1"/>
  <c r="M2384" i="1"/>
  <c r="M2382" i="1"/>
  <c r="M2377" i="1"/>
  <c r="M2381" i="1"/>
  <c r="M2372" i="1"/>
  <c r="M2376" i="1"/>
  <c r="M2378" i="1"/>
  <c r="M2383" i="1"/>
  <c r="M2375" i="1"/>
  <c r="M2379" i="1"/>
  <c r="M2385" i="1"/>
  <c r="M2387" i="1"/>
  <c r="M2395" i="1"/>
  <c r="M2396" i="1"/>
  <c r="M2393" i="1"/>
  <c r="M2397" i="1"/>
  <c r="M2398" i="1"/>
  <c r="M2400" i="1"/>
  <c r="M2391" i="1"/>
  <c r="M2388" i="1"/>
  <c r="M2399" i="1"/>
  <c r="M2389" i="1"/>
  <c r="M2392" i="1"/>
  <c r="M2394" i="1"/>
  <c r="M2390" i="1"/>
  <c r="M2403" i="1"/>
  <c r="M2408" i="1"/>
  <c r="M2401" i="1"/>
  <c r="M2406" i="1"/>
  <c r="M2405" i="1"/>
  <c r="M2407" i="1"/>
  <c r="M2402" i="1"/>
  <c r="M2404" i="1"/>
  <c r="M2414" i="1"/>
  <c r="M2416" i="1"/>
  <c r="M2411" i="1"/>
  <c r="M2409" i="1"/>
  <c r="M2419" i="1"/>
  <c r="M2415" i="1"/>
  <c r="M2413" i="1"/>
  <c r="M2418" i="1"/>
  <c r="M2410" i="1"/>
  <c r="M2412" i="1"/>
  <c r="M2417" i="1"/>
  <c r="M2432" i="1"/>
  <c r="M2426" i="1"/>
  <c r="M2431" i="1"/>
  <c r="M2421" i="1"/>
  <c r="M2436" i="1"/>
  <c r="M2422" i="1"/>
  <c r="M2423" i="1"/>
  <c r="M2433" i="1"/>
  <c r="M2424" i="1"/>
  <c r="M2425" i="1"/>
  <c r="M2429" i="1"/>
  <c r="M2430" i="1"/>
  <c r="M2434" i="1"/>
  <c r="M2427" i="1"/>
  <c r="M2435" i="1"/>
  <c r="M2428" i="1"/>
  <c r="M2420" i="1"/>
  <c r="M2437" i="1"/>
  <c r="M2450" i="1"/>
  <c r="M2451" i="1"/>
  <c r="M2440" i="1"/>
  <c r="M2441" i="1"/>
  <c r="M2449" i="1"/>
  <c r="M2448" i="1"/>
  <c r="M2438" i="1"/>
  <c r="M2446" i="1"/>
  <c r="M2442" i="1"/>
  <c r="M2443" i="1"/>
  <c r="M2447" i="1"/>
  <c r="M2444" i="1"/>
  <c r="M2439" i="1"/>
  <c r="M2452" i="1"/>
  <c r="M2453" i="1"/>
  <c r="M2445" i="1"/>
  <c r="M2458" i="1"/>
  <c r="M2457" i="1"/>
  <c r="M2461" i="1"/>
  <c r="M2459" i="1"/>
  <c r="M2462" i="1"/>
  <c r="M2454" i="1"/>
  <c r="M2456" i="1"/>
  <c r="M2463" i="1"/>
  <c r="M2460" i="1"/>
  <c r="M2464" i="1"/>
  <c r="M2455" i="1"/>
  <c r="M2465" i="1"/>
  <c r="M2469" i="1"/>
  <c r="M2468" i="1"/>
  <c r="M2467" i="1"/>
  <c r="M2466" i="1"/>
  <c r="M2472" i="1"/>
  <c r="M2474" i="1"/>
  <c r="M2477" i="1"/>
  <c r="M2481" i="1"/>
  <c r="M2471" i="1"/>
  <c r="M2473" i="1"/>
  <c r="M2476" i="1"/>
  <c r="M2475" i="1"/>
  <c r="M2479" i="1"/>
  <c r="M2480" i="1"/>
  <c r="M2470" i="1"/>
  <c r="M2478" i="1"/>
  <c r="M2485" i="1"/>
  <c r="M2489" i="1"/>
  <c r="M2486" i="1"/>
  <c r="M2491" i="1"/>
  <c r="M2487" i="1"/>
  <c r="M2483" i="1"/>
  <c r="M2484" i="1"/>
  <c r="M2490" i="1"/>
  <c r="M2482" i="1"/>
  <c r="M2488" i="1"/>
  <c r="M2494" i="1"/>
  <c r="M2493" i="1"/>
  <c r="M2497" i="1"/>
  <c r="M2498" i="1"/>
  <c r="M2501" i="1"/>
  <c r="M2503" i="1"/>
  <c r="M2499" i="1"/>
  <c r="M2506" i="1"/>
  <c r="M2495" i="1"/>
  <c r="M2504" i="1"/>
  <c r="M2505" i="1"/>
  <c r="M2500" i="1"/>
  <c r="M2502" i="1"/>
  <c r="M2496" i="1"/>
  <c r="M2507" i="1"/>
  <c r="M2492" i="1"/>
  <c r="M2522" i="1"/>
  <c r="M2514" i="1"/>
  <c r="M2508" i="1"/>
  <c r="M2519" i="1"/>
  <c r="M2521" i="1"/>
  <c r="M2517" i="1"/>
  <c r="M2513" i="1"/>
  <c r="M2518" i="1"/>
  <c r="M2523" i="1"/>
  <c r="M2509" i="1"/>
  <c r="M2516" i="1"/>
  <c r="M2510" i="1"/>
  <c r="M2511" i="1"/>
  <c r="M2512" i="1"/>
  <c r="M2520" i="1"/>
  <c r="M2515" i="1"/>
  <c r="M2536" i="1"/>
  <c r="M2533" i="1"/>
  <c r="M2530" i="1"/>
  <c r="M2532" i="1"/>
  <c r="M2525" i="1"/>
  <c r="M2524" i="1"/>
  <c r="M2526" i="1"/>
  <c r="M2529" i="1"/>
  <c r="M2535" i="1"/>
  <c r="M2537" i="1"/>
  <c r="M2531" i="1"/>
  <c r="M2527" i="1"/>
  <c r="M2534" i="1"/>
  <c r="M2528" i="1"/>
  <c r="M2538" i="1"/>
  <c r="M2545" i="1"/>
  <c r="M2546" i="1"/>
  <c r="M2540" i="1"/>
  <c r="M2544" i="1"/>
  <c r="M2549" i="1"/>
  <c r="M2543" i="1"/>
  <c r="M2552" i="1"/>
  <c r="M2539" i="1"/>
  <c r="M2547" i="1"/>
  <c r="M2541" i="1"/>
  <c r="M2548" i="1"/>
  <c r="M2551" i="1"/>
  <c r="M2542" i="1"/>
  <c r="M2550" i="1"/>
  <c r="M2553" i="1"/>
  <c r="M2557" i="1"/>
  <c r="M2565" i="1"/>
  <c r="M2566" i="1"/>
  <c r="M2563" i="1"/>
  <c r="M2558" i="1"/>
  <c r="M2561" i="1"/>
  <c r="M2559" i="1"/>
  <c r="M2556" i="1"/>
  <c r="M2560" i="1"/>
  <c r="M2562" i="1"/>
  <c r="M2564" i="1"/>
  <c r="M2555" i="1"/>
  <c r="M2567" i="1"/>
  <c r="M2554" i="1"/>
  <c r="M2576" i="1"/>
  <c r="M2568" i="1"/>
  <c r="M2587" i="1"/>
  <c r="M2578" i="1"/>
  <c r="M2588" i="1"/>
  <c r="M2581" i="1"/>
  <c r="M2586" i="1"/>
  <c r="M2582" i="1"/>
  <c r="M2573" i="1"/>
  <c r="M2580" i="1"/>
  <c r="M2570" i="1"/>
  <c r="M2579" i="1"/>
  <c r="M2569" i="1"/>
  <c r="M2584" i="1"/>
  <c r="M2572" i="1"/>
  <c r="M2585" i="1"/>
  <c r="M2577" i="1"/>
  <c r="M2583" i="1"/>
  <c r="M2574" i="1"/>
  <c r="M2575" i="1"/>
  <c r="M2571" i="1"/>
  <c r="M2596" i="1"/>
  <c r="M2598" i="1"/>
  <c r="M2593" i="1"/>
  <c r="M2590" i="1"/>
  <c r="M2602" i="1"/>
  <c r="M2603" i="1"/>
  <c r="M2594" i="1"/>
  <c r="M2595" i="1"/>
  <c r="M2591" i="1"/>
  <c r="M2601" i="1"/>
  <c r="M2589" i="1"/>
  <c r="M2600" i="1"/>
  <c r="M2599" i="1"/>
  <c r="M2592" i="1"/>
  <c r="M2608" i="1"/>
  <c r="M2611" i="1"/>
  <c r="M2605" i="1"/>
  <c r="M2614" i="1"/>
  <c r="M2617" i="1"/>
  <c r="M2607" i="1"/>
  <c r="M2610" i="1"/>
  <c r="M2616" i="1"/>
  <c r="M2606" i="1"/>
  <c r="M2612" i="1"/>
  <c r="M2618" i="1"/>
  <c r="M2615" i="1"/>
  <c r="M2604" i="1"/>
  <c r="M2619" i="1"/>
  <c r="M2609" i="1"/>
  <c r="M2613" i="1"/>
  <c r="M2632" i="1"/>
  <c r="M2630" i="1"/>
  <c r="M2626" i="1"/>
  <c r="M2620" i="1"/>
  <c r="M2628" i="1"/>
  <c r="M2622" i="1"/>
  <c r="M2625" i="1"/>
  <c r="M2629" i="1"/>
  <c r="M2631" i="1"/>
  <c r="M2623" i="1"/>
  <c r="M2624" i="1"/>
  <c r="M2627" i="1"/>
  <c r="M2621" i="1"/>
  <c r="M2641" i="1"/>
  <c r="M2642" i="1"/>
  <c r="M2635" i="1"/>
  <c r="M2639" i="1"/>
  <c r="M2640" i="1"/>
  <c r="M2633" i="1"/>
  <c r="M2637" i="1"/>
  <c r="M2643" i="1"/>
  <c r="M2638" i="1"/>
  <c r="M2634" i="1"/>
  <c r="M2636" i="1"/>
  <c r="M2649" i="1"/>
  <c r="M2662" i="1"/>
  <c r="M2644" i="1"/>
  <c r="M2650" i="1"/>
  <c r="M2646" i="1"/>
  <c r="M2661" i="1"/>
  <c r="M2658" i="1"/>
  <c r="M2652" i="1"/>
  <c r="M2663" i="1"/>
  <c r="M2660" i="1"/>
  <c r="M2647" i="1"/>
  <c r="M2653" i="1"/>
  <c r="M2651" i="1"/>
  <c r="M2659" i="1"/>
  <c r="M2655" i="1"/>
  <c r="M2656" i="1"/>
  <c r="M2645" i="1"/>
  <c r="M2657" i="1"/>
  <c r="M2648" i="1"/>
  <c r="M2654" i="1"/>
  <c r="M2670" i="1"/>
  <c r="M2671" i="1"/>
  <c r="M2678" i="1"/>
  <c r="M2668" i="1"/>
  <c r="M2673" i="1"/>
  <c r="M2677" i="1"/>
  <c r="M2664" i="1"/>
  <c r="M2679" i="1"/>
  <c r="M2667" i="1"/>
  <c r="M2669" i="1"/>
  <c r="M2680" i="1"/>
  <c r="M2665" i="1"/>
  <c r="M2674" i="1"/>
  <c r="M2666" i="1"/>
  <c r="M2672" i="1"/>
  <c r="M2681" i="1"/>
  <c r="M2675" i="1"/>
  <c r="M2676" i="1"/>
  <c r="M2686" i="1"/>
  <c r="M2683" i="1"/>
  <c r="M2696" i="1"/>
  <c r="M2687" i="1"/>
  <c r="M2688" i="1"/>
  <c r="M2691" i="1"/>
  <c r="M2693" i="1"/>
  <c r="M2682" i="1"/>
  <c r="M2684" i="1"/>
  <c r="M2692" i="1"/>
  <c r="M2685" i="1"/>
  <c r="M2695" i="1"/>
  <c r="M2690" i="1"/>
  <c r="M2689" i="1"/>
  <c r="M2694" i="1"/>
  <c r="M2697" i="1"/>
  <c r="M2699" i="1"/>
  <c r="M2701" i="1"/>
  <c r="M2698" i="1"/>
  <c r="M2702" i="1"/>
  <c r="M2703" i="1"/>
  <c r="M2700" i="1"/>
  <c r="M2713" i="1"/>
  <c r="M2711" i="1"/>
  <c r="M2709" i="1"/>
  <c r="M2706" i="1"/>
  <c r="M2704" i="1"/>
  <c r="M2707" i="1"/>
  <c r="M2712" i="1"/>
  <c r="M2705" i="1"/>
  <c r="M2708" i="1"/>
  <c r="M2710" i="1"/>
  <c r="M2714" i="1"/>
  <c r="M2728" i="1"/>
  <c r="M2723" i="1"/>
  <c r="M2720" i="1"/>
  <c r="M2724" i="1"/>
  <c r="M2717" i="1"/>
  <c r="M2722" i="1"/>
  <c r="M2719" i="1"/>
  <c r="M2725" i="1"/>
  <c r="M2716" i="1"/>
  <c r="M2715" i="1"/>
  <c r="M2727" i="1"/>
  <c r="M2718" i="1"/>
  <c r="M2726" i="1"/>
  <c r="M2721" i="1"/>
  <c r="M2732" i="1"/>
  <c r="M2738" i="1"/>
  <c r="M2733" i="1"/>
  <c r="M2734" i="1"/>
  <c r="M2735" i="1"/>
  <c r="M2736" i="1"/>
  <c r="M2730" i="1"/>
  <c r="M2731" i="1"/>
  <c r="M2737" i="1"/>
  <c r="M2729" i="1"/>
  <c r="M2751" i="1"/>
  <c r="M2739" i="1"/>
  <c r="M2748" i="1"/>
  <c r="M2756" i="1"/>
  <c r="M2742" i="1"/>
  <c r="M2740" i="1"/>
  <c r="M2744" i="1"/>
  <c r="M2745" i="1"/>
  <c r="M2743" i="1"/>
  <c r="M2747" i="1"/>
  <c r="M2755" i="1"/>
  <c r="M2754" i="1"/>
  <c r="M2746" i="1"/>
  <c r="M2750" i="1"/>
  <c r="M2741" i="1"/>
  <c r="M2749" i="1"/>
  <c r="M2763" i="1"/>
  <c r="M2762" i="1"/>
  <c r="M2759" i="1"/>
  <c r="M2760" i="1"/>
  <c r="M2757" i="1"/>
  <c r="M2758" i="1"/>
  <c r="M2761" i="1"/>
  <c r="M2768" i="1"/>
  <c r="M2770" i="1"/>
  <c r="M2767" i="1"/>
  <c r="M2773" i="1"/>
  <c r="M2771" i="1"/>
  <c r="M2769" i="1"/>
  <c r="M2775" i="1"/>
  <c r="M2772" i="1"/>
  <c r="M2766" i="1"/>
  <c r="M2774" i="1"/>
  <c r="M2764" i="1"/>
  <c r="M2781" i="1"/>
  <c r="M2784" i="1"/>
  <c r="M2786" i="1"/>
  <c r="M2776" i="1"/>
  <c r="M2789" i="1"/>
  <c r="M2785" i="1"/>
  <c r="M2782" i="1"/>
  <c r="M2779" i="1"/>
  <c r="M2777" i="1"/>
  <c r="M2783" i="1"/>
  <c r="M2780" i="1"/>
  <c r="M2790" i="1"/>
  <c r="M2778" i="1"/>
  <c r="M2788" i="1"/>
  <c r="M2787" i="1"/>
  <c r="M2798" i="1"/>
  <c r="M2795" i="1"/>
  <c r="M2800" i="1"/>
  <c r="M2796" i="1"/>
  <c r="M2791" i="1"/>
  <c r="M2792" i="1"/>
  <c r="M2793" i="1"/>
  <c r="M2801" i="1"/>
  <c r="M2799" i="1"/>
  <c r="M2797" i="1"/>
  <c r="M2794" i="1"/>
  <c r="M2810" i="1"/>
  <c r="M2809" i="1"/>
  <c r="M2803" i="1"/>
  <c r="M2811" i="1"/>
  <c r="M2806" i="1"/>
  <c r="M2817" i="1"/>
  <c r="M2802" i="1"/>
  <c r="M2807" i="1"/>
  <c r="M2805" i="1"/>
  <c r="M2815" i="1"/>
  <c r="M2808" i="1"/>
  <c r="M2812" i="1"/>
  <c r="M2804" i="1"/>
  <c r="M2814" i="1"/>
  <c r="M2813" i="1"/>
  <c r="M2816" i="1"/>
  <c r="M2820" i="1"/>
  <c r="M2828" i="1"/>
  <c r="M2825" i="1"/>
  <c r="M2826" i="1"/>
  <c r="M2821" i="1"/>
  <c r="M2829" i="1"/>
  <c r="M2819" i="1"/>
  <c r="M2827" i="1"/>
  <c r="M2830" i="1"/>
  <c r="M2822" i="1"/>
  <c r="M2823" i="1"/>
  <c r="M2824" i="1"/>
  <c r="M2831" i="1"/>
  <c r="M2818" i="1"/>
  <c r="M2837" i="1"/>
  <c r="M2842" i="1"/>
  <c r="M2832" i="1"/>
  <c r="M2841" i="1"/>
  <c r="M2835" i="1"/>
  <c r="M2838" i="1"/>
  <c r="M2840" i="1"/>
  <c r="M2843" i="1"/>
  <c r="M2839" i="1"/>
  <c r="M2845" i="1"/>
  <c r="M2844" i="1"/>
  <c r="M2836" i="1"/>
  <c r="M2833" i="1"/>
  <c r="M2834" i="1"/>
  <c r="M2846" i="1"/>
  <c r="M2851" i="1"/>
  <c r="M2855" i="1"/>
  <c r="M2848" i="1"/>
  <c r="M2852" i="1"/>
  <c r="M2849" i="1"/>
  <c r="M2856" i="1"/>
  <c r="M2850" i="1"/>
  <c r="M2847" i="1"/>
  <c r="M2853" i="1"/>
  <c r="M2854" i="1"/>
  <c r="M2857" i="1"/>
  <c r="M2859" i="1"/>
  <c r="M2860" i="1"/>
  <c r="M2863" i="1"/>
  <c r="M2865" i="1"/>
  <c r="M2864" i="1"/>
  <c r="M2862" i="1"/>
  <c r="M2867" i="1"/>
  <c r="M2861" i="1"/>
  <c r="M2866" i="1"/>
  <c r="M2876" i="1"/>
  <c r="M2875" i="1"/>
  <c r="M2880" i="1"/>
  <c r="M2881" i="1"/>
  <c r="M2869" i="1"/>
  <c r="M2871" i="1"/>
  <c r="M2872" i="1"/>
  <c r="M2873" i="1"/>
  <c r="M2878" i="1"/>
  <c r="M2874" i="1"/>
  <c r="M2879" i="1"/>
  <c r="M2868" i="1"/>
  <c r="M2870" i="1"/>
  <c r="M2877" i="1"/>
  <c r="M2882" i="1"/>
  <c r="M2889" i="1"/>
  <c r="M2897" i="1"/>
  <c r="M2891" i="1"/>
  <c r="M2899" i="1"/>
  <c r="M2890" i="1"/>
  <c r="M2894" i="1"/>
  <c r="M2892" i="1"/>
  <c r="M2886" i="1"/>
  <c r="M2885" i="1"/>
  <c r="M2893" i="1"/>
  <c r="M2896" i="1"/>
  <c r="M2887" i="1"/>
  <c r="M2898" i="1"/>
  <c r="M2888" i="1"/>
  <c r="M2883" i="1"/>
  <c r="M2900" i="1"/>
  <c r="M2895" i="1"/>
  <c r="M2901" i="1"/>
  <c r="M2884" i="1"/>
  <c r="M2906" i="1"/>
  <c r="M2905" i="1"/>
  <c r="M2903" i="1"/>
  <c r="M2904" i="1"/>
  <c r="M2902" i="1"/>
  <c r="M2907" i="1"/>
  <c r="M2910" i="1"/>
  <c r="M2917" i="1"/>
  <c r="M2908" i="1"/>
  <c r="M2913" i="1"/>
  <c r="M2909" i="1"/>
  <c r="M2915" i="1"/>
  <c r="M2911" i="1"/>
  <c r="M2914" i="1"/>
  <c r="M2918" i="1"/>
  <c r="M2916" i="1"/>
  <c r="M2912" i="1"/>
  <c r="M2920" i="1"/>
  <c r="M2925" i="1"/>
  <c r="M2923" i="1"/>
  <c r="M2930" i="1"/>
  <c r="M2921" i="1"/>
  <c r="M2935" i="1"/>
  <c r="M2932" i="1"/>
  <c r="M2926" i="1"/>
  <c r="M2933" i="1"/>
  <c r="M2929" i="1"/>
  <c r="M2927" i="1"/>
  <c r="M2934" i="1"/>
  <c r="M2922" i="1"/>
  <c r="M2928" i="1"/>
  <c r="M2924" i="1"/>
  <c r="M2931" i="1"/>
  <c r="M2939" i="1"/>
  <c r="M2944" i="1"/>
  <c r="M2938" i="1"/>
  <c r="M2937" i="1"/>
  <c r="M2946" i="1"/>
  <c r="M2940" i="1"/>
  <c r="M2945" i="1"/>
  <c r="M2942" i="1"/>
  <c r="M2943" i="1"/>
  <c r="M2941" i="1"/>
  <c r="M2936" i="1"/>
  <c r="M2947" i="1"/>
  <c r="M2953" i="1"/>
  <c r="M2952" i="1"/>
  <c r="M2949" i="1"/>
  <c r="M2950" i="1"/>
  <c r="M2948" i="1"/>
  <c r="M2954" i="1"/>
  <c r="M2951" i="1"/>
  <c r="M2964" i="1"/>
  <c r="M2966" i="1"/>
  <c r="M2972" i="1"/>
  <c r="M2974" i="1"/>
  <c r="M2963" i="1"/>
  <c r="M2971" i="1"/>
  <c r="M2961" i="1"/>
  <c r="M2970" i="1"/>
  <c r="M2973" i="1"/>
  <c r="M2962" i="1"/>
  <c r="M2965" i="1"/>
  <c r="M2967" i="1"/>
  <c r="M2958" i="1"/>
  <c r="M2969" i="1"/>
  <c r="M2968" i="1"/>
  <c r="M2959" i="1"/>
  <c r="M2960" i="1"/>
  <c r="M2957" i="1"/>
  <c r="M2955" i="1"/>
  <c r="M2956" i="1"/>
  <c r="M2985" i="1"/>
  <c r="M2977" i="1"/>
  <c r="M2991" i="1"/>
  <c r="M2990" i="1"/>
  <c r="M2988" i="1"/>
  <c r="M2980" i="1"/>
  <c r="M2984" i="1"/>
  <c r="M2982" i="1"/>
  <c r="M2981" i="1"/>
  <c r="M2978" i="1"/>
  <c r="M2987" i="1"/>
  <c r="M2989" i="1"/>
  <c r="M2992" i="1"/>
  <c r="M2975" i="1"/>
  <c r="M2983" i="1"/>
  <c r="M2986" i="1"/>
  <c r="M2979" i="1"/>
  <c r="M2976" i="1"/>
  <c r="M2997" i="1"/>
  <c r="M3001" i="1"/>
  <c r="M2996" i="1"/>
  <c r="M2993" i="1"/>
  <c r="M2999" i="1"/>
  <c r="M3002" i="1"/>
  <c r="M2994" i="1"/>
  <c r="M2995" i="1"/>
  <c r="M3000" i="1"/>
  <c r="M2998" i="1"/>
  <c r="M3003" i="1"/>
  <c r="M3004" i="1"/>
  <c r="M3008" i="1"/>
  <c r="M3014" i="1"/>
  <c r="M3012" i="1"/>
  <c r="M3005" i="1"/>
  <c r="M3011" i="1"/>
  <c r="M3006" i="1"/>
  <c r="M3015" i="1"/>
  <c r="M3009" i="1"/>
  <c r="M3013" i="1"/>
  <c r="M3010" i="1"/>
  <c r="M3007" i="1"/>
  <c r="M3016" i="1"/>
  <c r="M3018" i="1"/>
  <c r="M3028" i="1"/>
  <c r="M3021" i="1"/>
  <c r="M3029" i="1"/>
  <c r="M3034" i="1"/>
  <c r="M3027" i="1"/>
  <c r="M3037" i="1"/>
  <c r="M3033" i="1"/>
  <c r="M3031" i="1"/>
  <c r="M3024" i="1"/>
  <c r="M3022" i="1"/>
  <c r="M3035" i="1"/>
  <c r="M3023" i="1"/>
  <c r="M3032" i="1"/>
  <c r="M3017" i="1"/>
  <c r="M3030" i="1"/>
  <c r="M3025" i="1"/>
  <c r="M3036" i="1"/>
  <c r="M3026" i="1"/>
  <c r="M3020" i="1"/>
  <c r="M3019" i="1"/>
  <c r="M3045" i="1"/>
  <c r="M3052" i="1"/>
  <c r="M3051" i="1"/>
  <c r="M3044" i="1"/>
  <c r="M3043" i="1"/>
  <c r="M3049" i="1"/>
  <c r="M3041" i="1"/>
  <c r="M3038" i="1"/>
  <c r="M3048" i="1"/>
  <c r="M3050" i="1"/>
  <c r="M3039" i="1"/>
  <c r="M3047" i="1"/>
  <c r="M3040" i="1"/>
  <c r="M3046" i="1"/>
  <c r="M3042" i="1"/>
  <c r="M3053" i="1"/>
  <c r="M3057" i="1"/>
  <c r="M3060" i="1"/>
  <c r="M3063" i="1"/>
  <c r="M3054" i="1"/>
  <c r="M3055" i="1"/>
  <c r="M3058" i="1"/>
  <c r="M3062" i="1"/>
  <c r="M3064" i="1"/>
  <c r="M3065" i="1"/>
  <c r="M3059" i="1"/>
  <c r="M3061" i="1"/>
  <c r="M3056" i="1"/>
  <c r="M3068" i="1"/>
  <c r="M3072" i="1"/>
  <c r="M3077" i="1"/>
  <c r="M3067" i="1"/>
  <c r="M3066" i="1"/>
  <c r="M3074" i="1"/>
  <c r="M3078" i="1"/>
  <c r="M3075" i="1"/>
  <c r="M3071" i="1"/>
  <c r="M3070" i="1"/>
  <c r="M3073" i="1"/>
  <c r="M3069" i="1"/>
  <c r="M3076" i="1"/>
  <c r="M3088" i="1"/>
  <c r="M3083" i="1"/>
  <c r="M3084" i="1"/>
  <c r="M3086" i="1"/>
  <c r="M3081" i="1"/>
  <c r="M3085" i="1"/>
  <c r="M3079" i="1"/>
  <c r="M3080" i="1"/>
  <c r="M3089" i="1"/>
  <c r="M3082" i="1"/>
  <c r="M3087" i="1"/>
  <c r="M3101" i="1"/>
  <c r="M3092" i="1"/>
  <c r="M3098" i="1"/>
  <c r="M3094" i="1"/>
  <c r="M3096" i="1"/>
  <c r="M3100" i="1"/>
  <c r="M3090" i="1"/>
  <c r="M3099" i="1"/>
  <c r="M3093" i="1"/>
  <c r="M3097" i="1"/>
  <c r="M3091" i="1"/>
  <c r="M3095" i="1"/>
  <c r="M3112" i="1"/>
  <c r="M3104" i="1"/>
  <c r="M3109" i="1"/>
  <c r="M3102" i="1"/>
  <c r="M3113" i="1"/>
  <c r="M3103" i="1"/>
  <c r="M3114" i="1"/>
  <c r="M3117" i="1"/>
  <c r="M3107" i="1"/>
  <c r="M3118" i="1"/>
  <c r="M3115" i="1"/>
  <c r="M3105" i="1"/>
  <c r="M3119" i="1"/>
  <c r="M3106" i="1"/>
  <c r="M3111" i="1"/>
  <c r="M3108" i="1"/>
  <c r="M3110" i="1"/>
  <c r="M3116" i="1"/>
  <c r="M3120" i="1"/>
  <c r="M3121" i="1"/>
  <c r="M3128" i="1"/>
  <c r="M3126" i="1"/>
  <c r="M3130" i="1"/>
  <c r="M3124" i="1"/>
  <c r="M3122" i="1"/>
  <c r="M3123" i="1"/>
  <c r="M3127" i="1"/>
  <c r="M3125" i="1"/>
  <c r="M3131" i="1"/>
  <c r="M3132" i="1"/>
  <c r="M3141" i="1"/>
  <c r="M3134" i="1"/>
  <c r="M3140" i="1"/>
  <c r="M3138" i="1"/>
  <c r="M3139" i="1"/>
  <c r="M3143" i="1"/>
  <c r="M3135" i="1"/>
  <c r="M3145" i="1"/>
  <c r="M3133" i="1"/>
  <c r="M3144" i="1"/>
  <c r="M3142" i="1"/>
  <c r="M3137" i="1"/>
  <c r="M3136" i="1"/>
  <c r="M3151" i="1"/>
  <c r="M3158" i="1"/>
  <c r="M3148" i="1"/>
  <c r="M3149" i="1"/>
  <c r="M3146" i="1"/>
  <c r="M3156" i="1"/>
  <c r="M3147" i="1"/>
  <c r="M3157" i="1"/>
  <c r="M3153" i="1"/>
  <c r="M3154" i="1"/>
  <c r="M3150" i="1"/>
  <c r="M3155" i="1"/>
  <c r="M3152" i="1"/>
  <c r="M3166" i="1"/>
  <c r="M3162" i="1"/>
  <c r="M3168" i="1"/>
  <c r="M3165" i="1"/>
  <c r="M3164" i="1"/>
  <c r="M3163" i="1"/>
  <c r="M3169" i="1"/>
  <c r="M3160" i="1"/>
  <c r="M3161" i="1"/>
  <c r="M3170" i="1"/>
  <c r="M3159" i="1"/>
  <c r="M3167" i="1"/>
  <c r="M3171" i="1"/>
  <c r="M3182" i="1"/>
  <c r="M3179" i="1"/>
  <c r="M3173" i="1"/>
  <c r="M3176" i="1"/>
  <c r="M3183" i="1"/>
  <c r="M3184" i="1"/>
  <c r="M3177" i="1"/>
  <c r="M3185" i="1"/>
  <c r="M3172" i="1"/>
  <c r="M3175" i="1"/>
  <c r="M3178" i="1"/>
  <c r="M3180" i="1"/>
  <c r="M3181" i="1"/>
  <c r="M3174" i="1"/>
  <c r="M3188" i="1"/>
  <c r="M3187" i="1"/>
  <c r="M3189" i="1"/>
  <c r="M3186" i="1"/>
  <c r="M3196" i="1"/>
  <c r="M3194" i="1"/>
  <c r="M3190" i="1"/>
  <c r="M3192" i="1"/>
  <c r="M3195" i="1"/>
  <c r="M3197" i="1"/>
  <c r="M3191" i="1"/>
  <c r="M3193" i="1"/>
  <c r="M3200" i="1"/>
  <c r="M3202" i="1"/>
  <c r="M3206" i="1"/>
  <c r="M3198" i="1"/>
  <c r="M3214" i="1"/>
  <c r="M3211" i="1"/>
  <c r="M3212" i="1"/>
  <c r="M3213" i="1"/>
  <c r="M3201" i="1"/>
  <c r="M3209" i="1"/>
  <c r="M3199" i="1"/>
  <c r="M3208" i="1"/>
  <c r="M3215" i="1"/>
  <c r="M3203" i="1"/>
  <c r="M3204" i="1"/>
  <c r="M3210" i="1"/>
  <c r="M3205" i="1"/>
  <c r="M3207" i="1"/>
  <c r="M3223" i="1"/>
  <c r="M3217" i="1"/>
  <c r="M3222" i="1"/>
  <c r="M3219" i="1"/>
  <c r="M3220" i="1"/>
  <c r="M3218" i="1"/>
  <c r="M3226" i="1"/>
  <c r="M3224" i="1"/>
  <c r="M3221" i="1"/>
  <c r="M3216" i="1"/>
  <c r="M3225" i="1"/>
  <c r="M3230" i="1"/>
  <c r="M3236" i="1"/>
  <c r="M3227" i="1"/>
  <c r="M3228" i="1"/>
  <c r="M3233" i="1"/>
  <c r="M3229" i="1"/>
  <c r="M3234" i="1"/>
  <c r="M3231" i="1"/>
  <c r="M3237" i="1"/>
  <c r="M3232" i="1"/>
  <c r="M3235" i="1"/>
  <c r="M3239" i="1"/>
  <c r="M3240" i="1"/>
  <c r="M3241" i="1"/>
  <c r="M3238" i="1"/>
  <c r="M3246" i="1"/>
  <c r="M3243" i="1"/>
  <c r="M3242" i="1"/>
  <c r="M3245" i="1"/>
  <c r="M3244" i="1"/>
  <c r="M3249" i="1"/>
  <c r="M3248" i="1"/>
  <c r="M3247" i="1"/>
  <c r="M3255" i="1"/>
  <c r="M3250" i="1"/>
  <c r="M3253" i="1"/>
  <c r="M3259" i="1"/>
  <c r="M3258" i="1"/>
  <c r="M3254" i="1"/>
  <c r="M3251" i="1"/>
  <c r="M3256" i="1"/>
  <c r="M3257" i="1"/>
  <c r="M3252" i="1"/>
  <c r="M3261" i="1"/>
  <c r="M3265" i="1"/>
  <c r="M3271" i="1"/>
  <c r="M3260" i="1"/>
  <c r="M3264" i="1"/>
  <c r="M3268" i="1"/>
  <c r="M3269" i="1"/>
  <c r="M3270" i="1"/>
  <c r="M3262" i="1"/>
  <c r="M3263" i="1"/>
  <c r="M3266" i="1"/>
  <c r="M3267" i="1"/>
  <c r="M3272" i="1"/>
  <c r="M3273" i="1"/>
  <c r="M3274" i="1"/>
  <c r="M3279" i="1"/>
  <c r="M3275" i="1"/>
  <c r="M3280" i="1"/>
  <c r="M3282" i="1"/>
  <c r="M3278" i="1"/>
  <c r="M3281" i="1"/>
  <c r="M3283" i="1"/>
  <c r="M3284" i="1"/>
  <c r="M3277" i="1"/>
  <c r="M3276" i="1"/>
  <c r="M3297" i="1"/>
  <c r="M3299" i="1"/>
  <c r="M3293" i="1"/>
  <c r="M3291" i="1"/>
  <c r="M3289" i="1"/>
  <c r="M3285" i="1"/>
  <c r="M3295" i="1"/>
  <c r="M3298" i="1"/>
  <c r="M3286" i="1"/>
  <c r="M3287" i="1"/>
  <c r="M3294" i="1"/>
  <c r="M3296" i="1"/>
  <c r="M3290" i="1"/>
  <c r="M3300" i="1"/>
  <c r="M3288" i="1"/>
  <c r="M3292" i="1"/>
  <c r="M3311" i="1"/>
  <c r="M3305" i="1"/>
  <c r="M3301" i="1"/>
  <c r="M3309" i="1"/>
  <c r="M3314" i="1"/>
  <c r="M3302" i="1"/>
  <c r="M3306" i="1"/>
  <c r="M3310" i="1"/>
  <c r="M3304" i="1"/>
  <c r="M3316" i="1"/>
  <c r="M3308" i="1"/>
  <c r="M3313" i="1"/>
  <c r="M3315" i="1"/>
  <c r="M3312" i="1"/>
  <c r="M3307" i="1"/>
  <c r="M3303" i="1"/>
  <c r="M3322" i="1"/>
  <c r="M3317" i="1"/>
  <c r="M3319" i="1"/>
  <c r="M3324" i="1"/>
  <c r="M3320" i="1"/>
  <c r="M3326" i="1"/>
  <c r="M3323" i="1"/>
  <c r="M3325" i="1"/>
  <c r="M3321" i="1"/>
  <c r="M3318" i="1"/>
  <c r="M3332" i="1"/>
  <c r="M3334" i="1"/>
  <c r="M3335" i="1"/>
  <c r="M3333" i="1"/>
  <c r="M3329" i="1"/>
  <c r="M3331" i="1"/>
  <c r="M3328" i="1"/>
  <c r="M3330" i="1"/>
  <c r="M3327" i="1"/>
  <c r="M3348" i="1"/>
  <c r="M3339" i="1"/>
  <c r="M3340" i="1"/>
  <c r="M3343" i="1"/>
  <c r="M3341" i="1"/>
  <c r="M3349" i="1"/>
  <c r="M3336" i="1"/>
  <c r="M3346" i="1"/>
  <c r="M3342" i="1"/>
  <c r="M3347" i="1"/>
  <c r="M3350" i="1"/>
  <c r="M3344" i="1"/>
  <c r="M3337" i="1"/>
  <c r="M3351" i="1"/>
  <c r="M3338" i="1"/>
  <c r="M3345" i="1"/>
  <c r="M3363" i="1"/>
  <c r="M3356" i="1"/>
  <c r="M3360" i="1"/>
  <c r="M3358" i="1"/>
  <c r="M3361" i="1"/>
  <c r="M3365" i="1"/>
  <c r="M3353" i="1"/>
  <c r="M3366" i="1"/>
  <c r="M3352" i="1"/>
  <c r="M3368" i="1"/>
  <c r="M3357" i="1"/>
  <c r="M3355" i="1"/>
  <c r="M3364" i="1"/>
  <c r="M3359" i="1"/>
  <c r="M3362" i="1"/>
  <c r="M3354" i="1"/>
  <c r="M3367" i="1"/>
  <c r="M3370" i="1"/>
  <c r="M3371" i="1"/>
  <c r="M3378" i="1"/>
  <c r="M3373" i="1"/>
  <c r="M3377" i="1"/>
  <c r="M3372" i="1"/>
  <c r="M3380" i="1"/>
  <c r="M3374" i="1"/>
  <c r="M3369" i="1"/>
  <c r="M3375" i="1"/>
  <c r="M3376" i="1"/>
  <c r="M3379" i="1"/>
  <c r="M3381" i="1"/>
  <c r="M3385" i="1"/>
  <c r="M3390" i="1"/>
  <c r="M3384" i="1"/>
  <c r="M3382" i="1"/>
  <c r="M3386" i="1"/>
  <c r="M3388" i="1"/>
  <c r="M3391" i="1"/>
  <c r="M3389" i="1"/>
  <c r="M3383" i="1"/>
  <c r="M3387" i="1"/>
  <c r="M3396" i="1"/>
  <c r="M3394" i="1"/>
  <c r="M3392" i="1"/>
  <c r="M3393" i="1"/>
  <c r="M3399" i="1"/>
  <c r="M3400" i="1"/>
  <c r="M3395" i="1"/>
  <c r="M3397" i="1"/>
  <c r="M3401" i="1"/>
  <c r="M3398" i="1"/>
  <c r="M3402" i="1"/>
  <c r="M3411" i="1"/>
  <c r="M3404" i="1"/>
  <c r="M3405" i="1"/>
  <c r="M3403" i="1"/>
  <c r="M3406" i="1"/>
  <c r="M3413" i="1"/>
  <c r="M3409" i="1"/>
  <c r="M3408" i="1"/>
  <c r="M3412" i="1"/>
  <c r="M3407" i="1"/>
  <c r="M3410" i="1"/>
  <c r="M3414" i="1"/>
  <c r="M3421" i="1"/>
  <c r="M3424" i="1"/>
  <c r="M3429" i="1"/>
  <c r="M3416" i="1"/>
  <c r="M3428" i="1"/>
  <c r="M3425" i="1"/>
  <c r="M3415" i="1"/>
  <c r="M3422" i="1"/>
  <c r="M3426" i="1"/>
  <c r="M3418" i="1"/>
  <c r="M3423" i="1"/>
  <c r="M3419" i="1"/>
  <c r="M3430" i="1"/>
  <c r="M3420" i="1"/>
  <c r="M3427" i="1"/>
  <c r="M3417" i="1"/>
  <c r="M3438" i="1"/>
  <c r="M3441" i="1"/>
  <c r="M3431" i="1"/>
  <c r="M3440" i="1"/>
  <c r="M3435" i="1"/>
  <c r="M3442" i="1"/>
  <c r="M3433" i="1"/>
  <c r="M3434" i="1"/>
  <c r="M3437" i="1"/>
  <c r="M3432" i="1"/>
  <c r="M3439" i="1"/>
  <c r="M3436" i="1"/>
  <c r="M3449" i="1"/>
  <c r="M3450" i="1"/>
  <c r="M3455" i="1"/>
  <c r="M3444" i="1"/>
  <c r="M3443" i="1"/>
  <c r="M3447" i="1"/>
  <c r="M3454" i="1"/>
  <c r="M3448" i="1"/>
  <c r="M3453" i="1"/>
  <c r="M3446" i="1"/>
  <c r="M3445" i="1"/>
  <c r="M3451" i="1"/>
  <c r="M3452" i="1"/>
  <c r="M3460" i="1"/>
  <c r="M3461" i="1"/>
  <c r="M3457" i="1"/>
  <c r="M3466" i="1"/>
  <c r="M3462" i="1"/>
  <c r="M3463" i="1"/>
  <c r="M3459" i="1"/>
  <c r="M3464" i="1"/>
  <c r="M3456" i="1"/>
  <c r="M3465" i="1"/>
  <c r="M3458" i="1"/>
  <c r="M3473" i="1"/>
  <c r="M3467" i="1"/>
  <c r="M3475" i="1"/>
  <c r="M3477" i="1"/>
  <c r="M3470" i="1"/>
  <c r="M3474" i="1"/>
  <c r="M3478" i="1"/>
  <c r="M3471" i="1"/>
  <c r="M3469" i="1"/>
  <c r="M3479" i="1"/>
  <c r="M3476" i="1"/>
  <c r="M3468" i="1"/>
  <c r="M3472" i="1"/>
  <c r="M3480" i="1"/>
  <c r="M3490" i="1"/>
  <c r="M3486" i="1"/>
  <c r="M3483" i="1"/>
  <c r="M3481" i="1"/>
  <c r="M3488" i="1"/>
  <c r="M3489" i="1"/>
  <c r="M3487" i="1"/>
  <c r="M3485" i="1"/>
  <c r="M3491" i="1"/>
  <c r="M3482" i="1"/>
  <c r="M3484" i="1"/>
  <c r="M3492" i="1"/>
  <c r="M3497" i="1"/>
  <c r="M3498" i="1"/>
  <c r="M3495" i="1"/>
  <c r="M3494" i="1"/>
  <c r="M3496" i="1"/>
  <c r="M3499" i="1"/>
  <c r="M3500" i="1"/>
  <c r="M3493" i="1"/>
  <c r="M3502" i="1"/>
  <c r="M3509" i="1"/>
  <c r="M3506" i="1"/>
  <c r="M3508" i="1"/>
  <c r="M3510" i="1"/>
  <c r="M3503" i="1"/>
  <c r="M3507" i="1"/>
  <c r="M3504" i="1"/>
  <c r="M3505" i="1"/>
  <c r="M3501" i="1"/>
  <c r="M3519" i="1"/>
  <c r="M3520" i="1"/>
  <c r="M3515" i="1"/>
  <c r="M3525" i="1"/>
  <c r="M3514" i="1"/>
  <c r="M3526" i="1"/>
  <c r="M3527" i="1"/>
  <c r="M3523" i="1"/>
  <c r="M3511" i="1"/>
  <c r="M3524" i="1"/>
  <c r="M3512" i="1"/>
  <c r="M3518" i="1"/>
  <c r="M3513" i="1"/>
  <c r="M3522" i="1"/>
  <c r="M3516" i="1"/>
  <c r="M3517" i="1"/>
  <c r="M3521" i="1"/>
  <c r="M3537" i="1"/>
  <c r="M3535" i="1"/>
  <c r="M3540" i="1"/>
  <c r="M3533" i="1"/>
  <c r="M3529" i="1"/>
  <c r="M3534" i="1"/>
  <c r="M3541" i="1"/>
  <c r="M3538" i="1"/>
  <c r="M3528" i="1"/>
  <c r="M3531" i="1"/>
  <c r="M3536" i="1"/>
  <c r="M3530" i="1"/>
  <c r="M3532" i="1"/>
  <c r="M3539" i="1"/>
  <c r="M3544" i="1"/>
  <c r="M3552" i="1"/>
  <c r="M3558" i="1"/>
  <c r="M3543" i="1"/>
  <c r="M3551" i="1"/>
  <c r="M3548" i="1"/>
  <c r="M3554" i="1"/>
  <c r="M3553" i="1"/>
  <c r="M3555" i="1"/>
  <c r="M3545" i="1"/>
  <c r="M3546" i="1"/>
  <c r="M3542" i="1"/>
  <c r="M3556" i="1"/>
  <c r="M3557" i="1"/>
  <c r="M3549" i="1"/>
  <c r="M3547" i="1"/>
  <c r="M3550" i="1"/>
  <c r="M3567" i="1"/>
  <c r="M3566" i="1"/>
  <c r="M3563" i="1"/>
  <c r="M3561" i="1"/>
  <c r="M3560" i="1"/>
  <c r="M3564" i="1"/>
  <c r="M3568" i="1"/>
  <c r="M3562" i="1"/>
  <c r="M3559" i="1"/>
  <c r="M3565" i="1"/>
  <c r="M3575" i="1"/>
  <c r="M3581" i="1"/>
  <c r="M3574" i="1"/>
  <c r="M3579" i="1"/>
  <c r="M3570" i="1"/>
  <c r="M3571" i="1"/>
  <c r="M3580" i="1"/>
  <c r="M3572" i="1"/>
  <c r="M3577" i="1"/>
  <c r="M3573" i="1"/>
  <c r="M3569" i="1"/>
  <c r="M3576" i="1"/>
  <c r="M3578" i="1"/>
  <c r="M3582" i="1"/>
  <c r="M3583" i="1"/>
  <c r="M3588" i="1"/>
  <c r="M3586" i="1"/>
  <c r="M3584" i="1"/>
  <c r="M3587" i="1"/>
  <c r="M3585" i="1"/>
  <c r="M3589" i="1"/>
  <c r="M3603" i="1"/>
  <c r="M3595" i="1"/>
  <c r="M3592" i="1"/>
  <c r="M3596" i="1"/>
  <c r="M3605" i="1"/>
  <c r="M3608" i="1"/>
  <c r="M3590" i="1"/>
  <c r="M3591" i="1"/>
  <c r="M3606" i="1"/>
  <c r="M3597" i="1"/>
  <c r="M3593" i="1"/>
  <c r="M3594" i="1"/>
  <c r="M3602" i="1"/>
  <c r="M3600" i="1"/>
  <c r="M3598" i="1"/>
  <c r="M3601" i="1"/>
  <c r="M3599" i="1"/>
  <c r="M3604" i="1"/>
  <c r="M3612" i="1"/>
  <c r="M3618" i="1"/>
  <c r="M3610" i="1"/>
  <c r="M3621" i="1"/>
  <c r="M3619" i="1"/>
  <c r="M3617" i="1"/>
  <c r="M3614" i="1"/>
  <c r="M3615" i="1"/>
  <c r="M3611" i="1"/>
  <c r="M3616" i="1"/>
  <c r="M3613" i="1"/>
  <c r="M3620" i="1"/>
  <c r="M3609" i="1"/>
  <c r="M3632" i="1"/>
  <c r="M3641" i="1"/>
  <c r="M3637" i="1"/>
  <c r="M3633" i="1"/>
  <c r="M3634" i="1"/>
  <c r="M3622" i="1"/>
  <c r="M3625" i="1"/>
  <c r="M3628" i="1"/>
  <c r="M3642" i="1"/>
  <c r="M3639" i="1"/>
  <c r="M3626" i="1"/>
  <c r="M3623" i="1"/>
  <c r="M3638" i="1"/>
  <c r="M3627" i="1"/>
  <c r="M3635" i="1"/>
  <c r="M3629" i="1"/>
  <c r="M3630" i="1"/>
  <c r="M3631" i="1"/>
  <c r="M3636" i="1"/>
  <c r="M3640" i="1"/>
  <c r="M3624" i="1"/>
  <c r="M3648" i="1"/>
  <c r="M3644" i="1"/>
  <c r="M3649" i="1"/>
  <c r="M3651" i="1"/>
  <c r="M3643" i="1"/>
  <c r="M3652" i="1"/>
  <c r="M3646" i="1"/>
  <c r="M3650" i="1"/>
  <c r="M3647" i="1"/>
  <c r="M3653" i="1"/>
  <c r="M3654" i="1"/>
  <c r="M3645" i="1"/>
  <c r="M3655" i="1"/>
  <c r="M3658" i="1"/>
  <c r="M3663" i="1"/>
  <c r="M3660" i="1"/>
  <c r="M3659" i="1"/>
  <c r="M3666" i="1"/>
  <c r="M3656" i="1"/>
  <c r="M3662" i="1"/>
  <c r="M3667" i="1"/>
  <c r="M3671" i="1"/>
  <c r="M3657" i="1"/>
  <c r="M3668" i="1"/>
  <c r="M3669" i="1"/>
  <c r="M3670" i="1"/>
  <c r="M3661" i="1"/>
  <c r="M3665" i="1"/>
  <c r="M3664" i="1"/>
  <c r="M3674" i="1"/>
  <c r="M3681" i="1"/>
  <c r="M3676" i="1"/>
  <c r="M3675" i="1"/>
  <c r="M3672" i="1"/>
  <c r="M3680" i="1"/>
  <c r="M3678" i="1"/>
  <c r="M3673" i="1"/>
  <c r="M3679" i="1"/>
  <c r="M3677" i="1"/>
  <c r="M3698" i="1"/>
  <c r="M3690" i="1"/>
  <c r="M3686" i="1"/>
  <c r="M3694" i="1"/>
  <c r="M3688" i="1"/>
  <c r="M3693" i="1"/>
  <c r="M3683" i="1"/>
  <c r="M3691" i="1"/>
  <c r="M3689" i="1"/>
  <c r="M3682" i="1"/>
  <c r="M3684" i="1"/>
  <c r="M3695" i="1"/>
  <c r="M3692" i="1"/>
  <c r="M3697" i="1"/>
  <c r="M3687" i="1"/>
  <c r="M3685" i="1"/>
  <c r="M3696" i="1"/>
  <c r="M3714" i="1"/>
  <c r="M3708" i="1"/>
  <c r="M3712" i="1"/>
  <c r="M3710" i="1"/>
  <c r="M3706" i="1"/>
  <c r="M3699" i="1"/>
  <c r="M3713" i="1"/>
  <c r="M3703" i="1"/>
  <c r="M3709" i="1"/>
  <c r="M3711" i="1"/>
  <c r="M3701" i="1"/>
  <c r="M3707" i="1"/>
  <c r="M3702" i="1"/>
  <c r="M3704" i="1"/>
  <c r="M3705" i="1"/>
  <c r="M3700" i="1"/>
  <c r="M3715" i="1"/>
  <c r="M3716" i="1"/>
  <c r="M3724" i="1"/>
  <c r="M3721" i="1"/>
  <c r="M3719" i="1"/>
  <c r="M3717" i="1"/>
  <c r="M3723" i="1"/>
  <c r="M3720" i="1"/>
  <c r="M3722" i="1"/>
  <c r="M3718" i="1"/>
  <c r="M3737" i="1"/>
  <c r="M3728" i="1"/>
  <c r="M3726" i="1"/>
  <c r="M3730" i="1"/>
  <c r="M3729" i="1"/>
  <c r="M3725" i="1"/>
  <c r="M3733" i="1"/>
  <c r="M3734" i="1"/>
  <c r="M3735" i="1"/>
  <c r="M3738" i="1"/>
  <c r="M3732" i="1"/>
  <c r="M3739" i="1"/>
  <c r="M3727" i="1"/>
  <c r="M3731" i="1"/>
  <c r="M3736" i="1"/>
  <c r="M3740" i="1"/>
  <c r="M3743" i="1"/>
  <c r="M3749" i="1"/>
  <c r="M3742" i="1"/>
  <c r="M3745" i="1"/>
  <c r="M3747" i="1"/>
  <c r="M3746" i="1"/>
  <c r="M3741" i="1"/>
  <c r="M3748" i="1"/>
  <c r="M3751" i="1"/>
  <c r="M3755" i="1"/>
  <c r="M3754" i="1"/>
  <c r="M3752" i="1"/>
  <c r="M3753" i="1"/>
  <c r="M3750" i="1"/>
  <c r="M3765" i="1"/>
  <c r="M3759" i="1"/>
  <c r="M3764" i="1"/>
  <c r="M3760" i="1"/>
  <c r="M3761" i="1"/>
  <c r="M3763" i="1"/>
  <c r="M3758" i="1"/>
  <c r="M3762" i="1"/>
  <c r="M3766" i="1"/>
  <c r="M3756" i="1"/>
  <c r="M3757" i="1"/>
  <c r="M3776" i="1"/>
  <c r="M3769" i="1"/>
  <c r="M3777" i="1"/>
  <c r="M3775" i="1"/>
  <c r="M3773" i="1"/>
  <c r="M3780" i="1"/>
  <c r="M3768" i="1"/>
  <c r="M3771" i="1"/>
  <c r="M3778" i="1"/>
  <c r="M3767" i="1"/>
  <c r="M3779" i="1"/>
  <c r="M3772" i="1"/>
  <c r="M3770" i="1"/>
  <c r="M3774" i="1"/>
  <c r="M3791" i="1"/>
  <c r="M3792" i="1"/>
  <c r="M3790" i="1"/>
  <c r="M3788" i="1"/>
  <c r="M3786" i="1"/>
  <c r="M3782" i="1"/>
  <c r="M3781" i="1"/>
  <c r="M3789" i="1"/>
  <c r="M3784" i="1"/>
  <c r="M3783" i="1"/>
  <c r="M3785" i="1"/>
  <c r="M3787" i="1"/>
  <c r="M3811" i="1"/>
  <c r="M3805" i="1"/>
  <c r="M3800" i="1"/>
  <c r="M3803" i="1"/>
  <c r="M3801" i="1"/>
  <c r="M3795" i="1"/>
  <c r="M3797" i="1"/>
  <c r="M3798" i="1"/>
  <c r="M3807" i="1"/>
  <c r="M3794" i="1"/>
  <c r="M3804" i="1"/>
  <c r="M3793" i="1"/>
  <c r="M3799" i="1"/>
  <c r="M3806" i="1"/>
  <c r="M3796" i="1"/>
  <c r="M3802" i="1"/>
  <c r="M3808" i="1"/>
  <c r="M3809" i="1"/>
  <c r="M3810" i="1"/>
  <c r="M3819" i="1"/>
  <c r="M3817" i="1"/>
  <c r="M3812" i="1"/>
  <c r="M3821" i="1"/>
  <c r="M3815" i="1"/>
  <c r="M3818" i="1"/>
  <c r="M3813" i="1"/>
  <c r="M3820" i="1"/>
  <c r="M3816" i="1"/>
  <c r="M3814" i="1"/>
  <c r="M3835" i="1"/>
  <c r="M3830" i="1"/>
  <c r="M3828" i="1"/>
  <c r="M3827" i="1"/>
  <c r="M3824" i="1"/>
  <c r="M3825" i="1"/>
  <c r="M3829" i="1"/>
  <c r="M3834" i="1"/>
  <c r="M3832" i="1"/>
  <c r="M3836" i="1"/>
  <c r="M3837" i="1"/>
  <c r="M3831" i="1"/>
  <c r="M3822" i="1"/>
  <c r="M3823" i="1"/>
  <c r="M3826" i="1"/>
  <c r="M3833" i="1"/>
  <c r="M3845" i="1"/>
  <c r="M3838" i="1"/>
  <c r="M3850" i="1"/>
  <c r="M3840" i="1"/>
  <c r="M3848" i="1"/>
  <c r="M3851" i="1"/>
  <c r="M3846" i="1"/>
  <c r="M3839" i="1"/>
  <c r="M3841" i="1"/>
  <c r="M3849" i="1"/>
  <c r="M3844" i="1"/>
  <c r="M3843" i="1"/>
  <c r="M3852" i="1"/>
  <c r="M3847" i="1"/>
  <c r="M3842" i="1"/>
  <c r="M3858" i="1"/>
  <c r="M3853" i="1"/>
  <c r="M3859" i="1"/>
  <c r="M3855" i="1"/>
  <c r="M3863" i="1"/>
  <c r="M3857" i="1"/>
  <c r="M3854" i="1"/>
  <c r="M3862" i="1"/>
  <c r="M3860" i="1"/>
  <c r="M3856" i="1"/>
  <c r="M3861" i="1"/>
  <c r="M3869" i="1"/>
  <c r="M3866" i="1"/>
  <c r="M3868" i="1"/>
  <c r="M3864" i="1"/>
  <c r="M3870" i="1"/>
  <c r="M3871" i="1"/>
  <c r="M3873" i="1"/>
  <c r="M3865" i="1"/>
  <c r="M3872" i="1"/>
  <c r="M3867" i="1"/>
  <c r="M3881" i="1"/>
  <c r="M3877" i="1"/>
  <c r="M3884" i="1"/>
  <c r="M3883" i="1"/>
  <c r="M3880" i="1"/>
  <c r="M3875" i="1"/>
  <c r="M3878" i="1"/>
  <c r="M3876" i="1"/>
  <c r="M3874" i="1"/>
  <c r="M3882" i="1"/>
  <c r="M3879" i="1"/>
  <c r="M3888" i="1"/>
  <c r="M3885" i="1"/>
  <c r="M3898" i="1"/>
  <c r="M3890" i="1"/>
  <c r="M3900" i="1"/>
  <c r="M3894" i="1"/>
  <c r="M3897" i="1"/>
  <c r="M3896" i="1"/>
  <c r="M3893" i="1"/>
  <c r="M3895" i="1"/>
  <c r="M3891" i="1"/>
  <c r="M3886" i="1"/>
  <c r="M3892" i="1"/>
  <c r="M3899" i="1"/>
  <c r="M3887" i="1"/>
  <c r="M3889" i="1"/>
  <c r="M3904" i="1"/>
  <c r="M3902" i="1"/>
  <c r="M3908" i="1"/>
  <c r="M3905" i="1"/>
  <c r="M3906" i="1"/>
  <c r="M3913" i="1"/>
  <c r="M3903" i="1"/>
  <c r="M3901" i="1"/>
  <c r="M3909" i="1"/>
  <c r="M3911" i="1"/>
  <c r="M3912" i="1"/>
  <c r="M3910" i="1"/>
  <c r="M3907" i="1"/>
  <c r="M3919" i="1"/>
  <c r="M3914" i="1"/>
  <c r="M3917" i="1"/>
  <c r="M3922" i="1"/>
  <c r="M3915" i="1"/>
  <c r="M3923" i="1"/>
  <c r="M3921" i="1"/>
  <c r="M3918" i="1"/>
  <c r="M3916" i="1"/>
  <c r="M3920" i="1"/>
  <c r="M3932" i="1"/>
  <c r="M3926" i="1"/>
  <c r="M3927" i="1"/>
  <c r="M3929" i="1"/>
  <c r="M3928" i="1"/>
  <c r="M3930" i="1"/>
  <c r="M3931" i="1"/>
  <c r="M3924" i="1"/>
  <c r="M3933" i="1"/>
  <c r="M3925" i="1"/>
  <c r="M3934" i="1"/>
  <c r="M3935" i="1"/>
  <c r="M3944" i="1"/>
  <c r="M3943" i="1"/>
  <c r="M3939" i="1"/>
  <c r="M3938" i="1"/>
  <c r="M3940" i="1"/>
  <c r="M3941" i="1"/>
  <c r="M3937" i="1"/>
  <c r="M3936" i="1"/>
  <c r="M3942" i="1"/>
  <c r="M3950" i="1"/>
  <c r="M3947" i="1"/>
  <c r="M3954" i="1"/>
  <c r="M3948" i="1"/>
  <c r="M3952" i="1"/>
  <c r="M3958" i="1"/>
  <c r="M3945" i="1"/>
  <c r="M3955" i="1"/>
  <c r="M3953" i="1"/>
  <c r="M3956" i="1"/>
  <c r="M3949" i="1"/>
  <c r="M3946" i="1"/>
  <c r="M3957" i="1"/>
  <c r="M3951" i="1"/>
  <c r="M3959" i="1"/>
  <c r="M3974" i="1"/>
  <c r="M3967" i="1"/>
  <c r="M3961" i="1"/>
  <c r="M3968" i="1"/>
  <c r="M3960" i="1"/>
  <c r="M3971" i="1"/>
  <c r="M3970" i="1"/>
  <c r="M3972" i="1"/>
  <c r="M3962" i="1"/>
  <c r="M3966" i="1"/>
  <c r="M3969" i="1"/>
  <c r="M3965" i="1"/>
  <c r="M3964" i="1"/>
  <c r="M3963" i="1"/>
  <c r="M3973" i="1"/>
  <c r="M3982" i="1"/>
  <c r="M3991" i="1"/>
  <c r="M3987" i="1"/>
  <c r="M3981" i="1"/>
  <c r="M3983" i="1"/>
  <c r="M3977" i="1"/>
  <c r="M3988" i="1"/>
  <c r="M3976" i="1"/>
  <c r="M3984" i="1"/>
  <c r="M3989" i="1"/>
  <c r="M3978" i="1"/>
  <c r="M3985" i="1"/>
  <c r="M3975" i="1"/>
  <c r="M3979" i="1"/>
  <c r="M3980" i="1"/>
  <c r="M3990" i="1"/>
  <c r="M3992" i="1"/>
  <c r="M3986" i="1"/>
  <c r="M3998" i="1"/>
  <c r="M3995" i="1"/>
  <c r="M3999" i="1"/>
  <c r="M3996" i="1"/>
  <c r="M4005" i="1"/>
  <c r="M3993" i="1"/>
  <c r="M4003" i="1"/>
  <c r="M4000" i="1"/>
  <c r="M4002" i="1"/>
  <c r="M3994" i="1"/>
  <c r="M4004" i="1"/>
  <c r="M4001" i="1"/>
  <c r="M3997" i="1"/>
  <c r="M4018" i="1"/>
  <c r="M4021" i="1"/>
  <c r="M4012" i="1"/>
  <c r="M4017" i="1"/>
  <c r="M4011" i="1"/>
  <c r="M4016" i="1"/>
  <c r="M4006" i="1"/>
  <c r="M4022" i="1"/>
  <c r="M4020" i="1"/>
  <c r="M4009" i="1"/>
  <c r="M4010" i="1"/>
  <c r="M4015" i="1"/>
  <c r="M4008" i="1"/>
  <c r="M4014" i="1"/>
  <c r="M4013" i="1"/>
  <c r="M4019" i="1"/>
  <c r="M4007" i="1"/>
  <c r="M4040" i="1"/>
  <c r="M4023" i="1"/>
  <c r="M4024" i="1"/>
  <c r="M4039" i="1"/>
  <c r="M4037" i="1"/>
  <c r="M4031" i="1"/>
  <c r="M4029" i="1"/>
  <c r="M4036" i="1"/>
  <c r="M4038" i="1"/>
  <c r="M4035" i="1"/>
  <c r="M4027" i="1"/>
  <c r="M4032" i="1"/>
  <c r="M4025" i="1"/>
  <c r="M4030" i="1"/>
  <c r="M4033" i="1"/>
  <c r="M4041" i="1"/>
  <c r="M4026" i="1"/>
  <c r="M4028" i="1"/>
  <c r="M4034" i="1"/>
  <c r="M4047" i="1"/>
  <c r="M4049" i="1"/>
  <c r="M4043" i="1"/>
  <c r="M4051" i="1"/>
  <c r="M4048" i="1"/>
  <c r="M4050" i="1"/>
  <c r="M4042" i="1"/>
  <c r="M4046" i="1"/>
  <c r="M4044" i="1"/>
  <c r="M4045" i="1"/>
  <c r="M4056" i="1"/>
  <c r="M4060" i="1"/>
  <c r="M4061" i="1"/>
  <c r="M4064" i="1"/>
  <c r="M4052" i="1"/>
  <c r="M4057" i="1"/>
  <c r="M4063" i="1"/>
  <c r="M4054" i="1"/>
  <c r="M4053" i="1"/>
  <c r="M4055" i="1"/>
  <c r="M4058" i="1"/>
  <c r="M4062" i="1"/>
  <c r="M4059" i="1"/>
  <c r="M4073" i="1"/>
  <c r="M4068" i="1"/>
  <c r="M4069" i="1"/>
  <c r="M4070" i="1"/>
  <c r="M4074" i="1"/>
  <c r="M4067" i="1"/>
  <c r="M4071" i="1"/>
  <c r="M4072" i="1"/>
  <c r="M4065" i="1"/>
  <c r="M4066" i="1"/>
  <c r="M4075" i="1"/>
  <c r="M4076" i="1"/>
  <c r="M4082" i="1"/>
  <c r="M4077" i="1"/>
  <c r="M4078" i="1"/>
  <c r="M4081" i="1"/>
  <c r="M4083" i="1"/>
  <c r="M4084" i="1"/>
  <c r="M4079" i="1"/>
  <c r="M4080" i="1"/>
  <c r="M4100" i="1"/>
  <c r="M4097" i="1"/>
  <c r="M4088" i="1"/>
  <c r="M4092" i="1"/>
  <c r="M4086" i="1"/>
  <c r="M4098" i="1"/>
  <c r="M4091" i="1"/>
  <c r="M4093" i="1"/>
  <c r="M4089" i="1"/>
  <c r="M4087" i="1"/>
  <c r="M4094" i="1"/>
  <c r="M4085" i="1"/>
  <c r="M4099" i="1"/>
  <c r="M4090" i="1"/>
  <c r="M4096" i="1"/>
  <c r="M4095" i="1"/>
  <c r="M4107" i="1"/>
  <c r="M4102" i="1"/>
  <c r="M4101" i="1"/>
  <c r="M4110" i="1"/>
  <c r="M4116" i="1"/>
  <c r="M4113" i="1"/>
  <c r="M4111" i="1"/>
  <c r="M4115" i="1"/>
  <c r="M4104" i="1"/>
  <c r="M4109" i="1"/>
  <c r="M4105" i="1"/>
  <c r="M4108" i="1"/>
  <c r="M4114" i="1"/>
  <c r="M4103" i="1"/>
  <c r="M4106" i="1"/>
  <c r="M4112" i="1"/>
  <c r="M4122" i="1"/>
  <c r="M4128" i="1"/>
  <c r="M4117" i="1"/>
  <c r="M4126" i="1"/>
  <c r="M4127" i="1"/>
  <c r="M4123" i="1"/>
  <c r="M4120" i="1"/>
  <c r="M4124" i="1"/>
  <c r="M4118" i="1"/>
  <c r="M4119" i="1"/>
  <c r="M4121" i="1"/>
  <c r="M4125" i="1"/>
  <c r="M4138" i="1"/>
  <c r="M4139" i="1"/>
  <c r="M4140" i="1"/>
  <c r="M4129" i="1"/>
  <c r="M4134" i="1"/>
  <c r="M4130" i="1"/>
  <c r="M4141" i="1"/>
  <c r="M4136" i="1"/>
  <c r="M4135" i="1"/>
  <c r="M4131" i="1"/>
  <c r="M4137" i="1"/>
  <c r="M4133" i="1"/>
  <c r="M4132" i="1"/>
  <c r="M4143" i="1"/>
  <c r="M4155" i="1"/>
  <c r="M4149" i="1"/>
  <c r="M4153" i="1"/>
  <c r="M4148" i="1"/>
  <c r="M4144" i="1"/>
  <c r="M4152" i="1"/>
  <c r="M4151" i="1"/>
  <c r="M4150" i="1"/>
  <c r="M4142" i="1"/>
  <c r="M4145" i="1"/>
  <c r="M4146" i="1"/>
  <c r="M4147" i="1"/>
  <c r="M4154" i="1"/>
  <c r="M4160" i="1"/>
  <c r="M4170" i="1"/>
  <c r="M4175" i="1"/>
  <c r="M4161" i="1"/>
  <c r="M4178" i="1"/>
  <c r="M4163" i="1"/>
  <c r="M4165" i="1"/>
  <c r="M4174" i="1"/>
  <c r="M4164" i="1"/>
  <c r="M4156" i="1"/>
  <c r="M4168" i="1"/>
  <c r="M4159" i="1"/>
  <c r="M4162" i="1"/>
  <c r="M4171" i="1"/>
  <c r="M4172" i="1"/>
  <c r="M4157" i="1"/>
  <c r="M4173" i="1"/>
  <c r="M4169" i="1"/>
  <c r="M4176" i="1"/>
  <c r="M4158" i="1"/>
  <c r="M4177" i="1"/>
  <c r="M4166" i="1"/>
  <c r="M4167" i="1"/>
  <c r="M4190" i="1"/>
  <c r="M4182" i="1"/>
  <c r="M4185" i="1"/>
  <c r="M4179" i="1"/>
  <c r="M4187" i="1"/>
  <c r="M4183" i="1"/>
  <c r="M4186" i="1"/>
  <c r="M4180" i="1"/>
  <c r="M4189" i="1"/>
  <c r="M4181" i="1"/>
  <c r="M4188" i="1"/>
  <c r="M4184" i="1"/>
  <c r="M4194" i="1"/>
  <c r="M4195" i="1"/>
  <c r="M4191" i="1"/>
  <c r="M4196" i="1"/>
  <c r="M4192" i="1"/>
  <c r="M4193" i="1"/>
  <c r="M4207" i="1"/>
  <c r="M4198" i="1"/>
  <c r="M4208" i="1"/>
  <c r="M4211" i="1"/>
  <c r="M4213" i="1"/>
  <c r="M4212" i="1"/>
  <c r="M4203" i="1"/>
  <c r="M4216" i="1"/>
  <c r="M4197" i="1"/>
  <c r="M4214" i="1"/>
  <c r="M4206" i="1"/>
  <c r="M4199" i="1"/>
  <c r="M4204" i="1"/>
  <c r="M4205" i="1"/>
  <c r="M4209" i="1"/>
  <c r="M4202" i="1"/>
  <c r="M4215" i="1"/>
  <c r="M4210" i="1"/>
  <c r="M4200" i="1"/>
  <c r="M4201" i="1"/>
  <c r="M4217" i="1"/>
  <c r="M4228" i="1"/>
  <c r="M4227" i="1"/>
  <c r="M4233" i="1"/>
  <c r="M4236" i="1"/>
  <c r="M4229" i="1"/>
  <c r="M4230" i="1"/>
  <c r="M4225" i="1"/>
  <c r="M4219" i="1"/>
  <c r="M4234" i="1"/>
  <c r="M4220" i="1"/>
  <c r="M4232" i="1"/>
  <c r="M4235" i="1"/>
  <c r="M4237" i="1"/>
  <c r="M4226" i="1"/>
  <c r="M4221" i="1"/>
  <c r="M4218" i="1"/>
  <c r="M4223" i="1"/>
  <c r="M4222" i="1"/>
  <c r="M4231" i="1"/>
  <c r="M4224" i="1"/>
  <c r="M4248" i="1"/>
  <c r="M4238" i="1"/>
  <c r="M4252" i="1"/>
  <c r="M4249" i="1"/>
  <c r="M4256" i="1"/>
  <c r="M4240" i="1"/>
  <c r="M4253" i="1"/>
  <c r="M4245" i="1"/>
  <c r="M4247" i="1"/>
  <c r="M4250" i="1"/>
  <c r="M4241" i="1"/>
  <c r="M4259" i="1"/>
  <c r="M4239" i="1"/>
  <c r="M4242" i="1"/>
  <c r="M4243" i="1"/>
  <c r="M4244" i="1"/>
  <c r="M4257" i="1"/>
  <c r="M4260" i="1"/>
  <c r="M4246" i="1"/>
  <c r="M4261" i="1"/>
  <c r="M4258" i="1"/>
  <c r="M4255" i="1"/>
  <c r="M4254" i="1"/>
  <c r="M4251" i="1"/>
  <c r="M4268" i="1"/>
  <c r="M4266" i="1"/>
  <c r="M4263" i="1"/>
  <c r="M4262" i="1"/>
  <c r="M4271" i="1"/>
  <c r="M4264" i="1"/>
  <c r="M4265" i="1"/>
  <c r="M4270" i="1"/>
  <c r="M4269" i="1"/>
  <c r="M4267" i="1"/>
  <c r="M4272" i="1"/>
  <c r="M4293" i="1"/>
  <c r="M4281" i="1"/>
  <c r="M4282" i="1"/>
  <c r="M4277" i="1"/>
  <c r="M4298" i="1"/>
  <c r="M4273" i="1"/>
  <c r="M4290" i="1"/>
  <c r="M4274" i="1"/>
  <c r="M4291" i="1"/>
  <c r="M4289" i="1"/>
  <c r="M4295" i="1"/>
  <c r="M4292" i="1"/>
  <c r="M4285" i="1"/>
  <c r="M4279" i="1"/>
  <c r="M4294" i="1"/>
  <c r="M4297" i="1"/>
  <c r="M4280" i="1"/>
  <c r="M4283" i="1"/>
  <c r="M4287" i="1"/>
  <c r="M4276" i="1"/>
  <c r="M4278" i="1"/>
  <c r="M4296" i="1"/>
  <c r="M4288" i="1"/>
  <c r="M4286" i="1"/>
  <c r="M4284" i="1"/>
  <c r="M4299" i="1"/>
  <c r="M4309" i="1"/>
  <c r="M4302" i="1"/>
  <c r="M4305" i="1"/>
  <c r="M4303" i="1"/>
  <c r="M4304" i="1"/>
  <c r="M4301" i="1"/>
  <c r="M4306" i="1"/>
  <c r="M4308" i="1"/>
  <c r="M4300" i="1"/>
  <c r="M4307" i="1"/>
  <c r="M4314" i="1"/>
  <c r="M4318" i="1"/>
  <c r="M4320" i="1"/>
  <c r="M4311" i="1"/>
  <c r="M4313" i="1"/>
  <c r="M4316" i="1"/>
  <c r="M4315" i="1"/>
  <c r="M4312" i="1"/>
  <c r="M4317" i="1"/>
  <c r="M4319" i="1"/>
  <c r="M4310" i="1"/>
  <c r="M4321" i="1"/>
  <c r="M4323" i="1"/>
  <c r="M4326" i="1"/>
  <c r="M4336" i="1"/>
  <c r="M4334" i="1"/>
  <c r="M4340" i="1"/>
  <c r="M4337" i="1"/>
  <c r="M4329" i="1"/>
  <c r="M4322" i="1"/>
  <c r="M4327" i="1"/>
  <c r="M4330" i="1"/>
  <c r="M4333" i="1"/>
  <c r="M4332" i="1"/>
  <c r="M4331" i="1"/>
  <c r="M4324" i="1"/>
  <c r="M4328" i="1"/>
  <c r="M4339" i="1"/>
  <c r="M4325" i="1"/>
  <c r="M4335" i="1"/>
  <c r="M4338" i="1"/>
  <c r="M4348" i="1"/>
  <c r="M4349" i="1"/>
  <c r="M4345" i="1"/>
  <c r="M4351" i="1"/>
  <c r="M4347" i="1"/>
  <c r="M4344" i="1"/>
  <c r="M4343" i="1"/>
  <c r="M4342" i="1"/>
  <c r="M4341" i="1"/>
  <c r="M4350" i="1"/>
  <c r="M4346" i="1"/>
  <c r="M4357" i="1"/>
  <c r="M4353" i="1"/>
  <c r="M4355" i="1"/>
  <c r="M4359" i="1"/>
  <c r="M4364" i="1"/>
  <c r="M4361" i="1"/>
  <c r="M4360" i="1"/>
  <c r="M4352" i="1"/>
  <c r="M4362" i="1"/>
  <c r="M4363" i="1"/>
  <c r="M4354" i="1"/>
  <c r="M4356" i="1"/>
  <c r="M4358" i="1"/>
  <c r="M4368" i="1"/>
  <c r="M4375" i="1"/>
  <c r="M4370" i="1"/>
  <c r="M4371" i="1"/>
  <c r="M4373" i="1"/>
  <c r="M4365" i="1"/>
  <c r="M4366" i="1"/>
  <c r="M4369" i="1"/>
  <c r="M4367" i="1"/>
  <c r="M4380" i="1"/>
  <c r="M4379" i="1"/>
  <c r="M4384" i="1"/>
  <c r="M4385" i="1"/>
  <c r="M4376" i="1"/>
  <c r="M4377" i="1"/>
  <c r="M4382" i="1"/>
  <c r="M4372" i="1"/>
  <c r="M4381" i="1"/>
  <c r="M4383" i="1"/>
  <c r="M4378" i="1"/>
  <c r="M4387" i="1"/>
  <c r="M4397" i="1"/>
  <c r="M4388" i="1"/>
  <c r="M4386" i="1"/>
  <c r="M4389" i="1"/>
  <c r="M4396" i="1"/>
  <c r="M4391" i="1"/>
  <c r="M4392" i="1"/>
  <c r="M4395" i="1"/>
  <c r="M4390" i="1"/>
  <c r="M4393" i="1"/>
  <c r="M4394" i="1"/>
  <c r="M4398" i="1"/>
  <c r="M4411" i="1"/>
  <c r="M4405" i="1"/>
  <c r="M4403" i="1"/>
  <c r="M4409" i="1"/>
  <c r="M4399" i="1"/>
  <c r="M4401" i="1"/>
  <c r="M4406" i="1"/>
  <c r="M4404" i="1"/>
  <c r="M4407" i="1"/>
  <c r="M4408" i="1"/>
  <c r="M4400" i="1"/>
  <c r="M4410" i="1"/>
  <c r="M4402" i="1"/>
  <c r="M4421" i="1"/>
  <c r="M4418" i="1"/>
  <c r="M4415" i="1"/>
  <c r="M4424" i="1"/>
  <c r="M4412" i="1"/>
  <c r="M4419" i="1"/>
  <c r="M4413" i="1"/>
  <c r="M4414" i="1"/>
  <c r="M4423" i="1"/>
  <c r="M4417" i="1"/>
  <c r="M4425" i="1"/>
  <c r="M4422" i="1"/>
  <c r="M4420" i="1"/>
  <c r="M4426" i="1"/>
  <c r="M4416" i="1"/>
  <c r="M4439" i="1"/>
  <c r="M4436" i="1"/>
  <c r="M4434" i="1"/>
  <c r="M4440" i="1"/>
  <c r="M4428" i="1"/>
  <c r="M4431" i="1"/>
  <c r="M4432" i="1"/>
  <c r="M4437" i="1"/>
  <c r="M4435" i="1"/>
  <c r="M4441" i="1"/>
  <c r="M4433" i="1"/>
  <c r="M4430" i="1"/>
  <c r="M4429" i="1"/>
  <c r="M4438" i="1"/>
  <c r="M4427" i="1"/>
  <c r="M4452" i="1"/>
  <c r="M4448" i="1"/>
  <c r="M4449" i="1"/>
  <c r="M4445" i="1"/>
  <c r="M4446" i="1"/>
  <c r="M4443" i="1"/>
  <c r="M4454" i="1"/>
  <c r="M4450" i="1"/>
  <c r="M4447" i="1"/>
  <c r="M4451" i="1"/>
  <c r="M4442" i="1"/>
  <c r="M4444" i="1"/>
  <c r="M4453" i="1"/>
  <c r="M4457" i="1"/>
  <c r="M4456" i="1"/>
  <c r="M4465" i="1"/>
  <c r="M4461" i="1"/>
  <c r="M4458" i="1"/>
  <c r="M4459" i="1"/>
  <c r="M4464" i="1"/>
  <c r="M4455" i="1"/>
  <c r="M4462" i="1"/>
  <c r="M4463" i="1"/>
  <c r="M4460" i="1"/>
  <c r="M4471" i="1"/>
  <c r="M4467" i="1"/>
  <c r="M4476" i="1"/>
  <c r="M4474" i="1"/>
  <c r="M4478" i="1"/>
  <c r="M4477" i="1"/>
  <c r="M4466" i="1"/>
  <c r="M4473" i="1"/>
  <c r="M4469" i="1"/>
  <c r="M4472" i="1"/>
  <c r="M4475" i="1"/>
  <c r="M4468" i="1"/>
  <c r="M4470" i="1"/>
  <c r="M4485" i="1"/>
  <c r="M4481" i="1"/>
  <c r="M4483" i="1"/>
  <c r="M4486" i="1"/>
  <c r="M4482" i="1"/>
  <c r="M4479" i="1"/>
  <c r="M4489" i="1"/>
  <c r="M4487" i="1"/>
  <c r="M4484" i="1"/>
  <c r="M4488" i="1"/>
  <c r="M4480" i="1"/>
  <c r="M4492" i="1"/>
  <c r="M4497" i="1"/>
  <c r="M4505" i="1"/>
  <c r="M4502" i="1"/>
  <c r="M4493" i="1"/>
  <c r="M4506" i="1"/>
  <c r="M4500" i="1"/>
  <c r="M4503" i="1"/>
  <c r="M4496" i="1"/>
  <c r="M4491" i="1"/>
  <c r="M4498" i="1"/>
  <c r="M4499" i="1"/>
  <c r="M4490" i="1"/>
  <c r="M4501" i="1"/>
  <c r="M4495" i="1"/>
  <c r="M4494" i="1"/>
  <c r="M4504" i="1"/>
  <c r="M4515" i="1"/>
  <c r="M4517" i="1"/>
  <c r="M4513" i="1"/>
  <c r="M4507" i="1"/>
  <c r="M4520" i="1"/>
  <c r="M4511" i="1"/>
  <c r="M4521" i="1"/>
  <c r="M4508" i="1"/>
  <c r="M4519" i="1"/>
  <c r="M4510" i="1"/>
  <c r="M4512" i="1"/>
  <c r="M4514" i="1"/>
  <c r="M4516" i="1"/>
  <c r="M4518" i="1"/>
  <c r="M4509" i="1"/>
  <c r="M4522" i="1"/>
  <c r="M4533" i="1"/>
  <c r="M4526" i="1"/>
  <c r="M4530" i="1"/>
  <c r="M4525" i="1"/>
  <c r="M4527" i="1"/>
  <c r="M4528" i="1"/>
  <c r="M4529" i="1"/>
  <c r="M4531" i="1"/>
  <c r="M4534" i="1"/>
  <c r="M4523" i="1"/>
  <c r="M4532" i="1"/>
  <c r="M4535" i="1"/>
  <c r="M4524" i="1"/>
  <c r="M4545" i="1"/>
  <c r="M4539" i="1"/>
  <c r="M4544" i="1"/>
  <c r="M4540" i="1"/>
  <c r="M4536" i="1"/>
  <c r="M4537" i="1"/>
  <c r="M4546" i="1"/>
  <c r="M4538" i="1"/>
  <c r="M4541" i="1"/>
  <c r="M4547" i="1"/>
  <c r="M4543" i="1"/>
  <c r="M4548" i="1"/>
  <c r="M4542" i="1"/>
  <c r="M4556" i="1"/>
  <c r="M4549" i="1"/>
  <c r="M4554" i="1"/>
  <c r="M4560" i="1"/>
  <c r="M4563" i="1"/>
  <c r="M4562" i="1"/>
  <c r="M4558" i="1"/>
  <c r="M4553" i="1"/>
  <c r="M4552" i="1"/>
  <c r="M4559" i="1"/>
  <c r="M4551" i="1"/>
  <c r="M4555" i="1"/>
  <c r="M4561" i="1"/>
  <c r="M4550" i="1"/>
  <c r="M4580" i="1"/>
  <c r="M4569" i="1"/>
  <c r="M4579" i="1"/>
  <c r="M4577" i="1"/>
  <c r="M4584" i="1"/>
  <c r="M4564" i="1"/>
  <c r="M4585" i="1"/>
  <c r="M4566" i="1"/>
  <c r="M4581" i="1"/>
  <c r="M4573" i="1"/>
  <c r="M4568" i="1"/>
  <c r="M4582" i="1"/>
  <c r="M4574" i="1"/>
  <c r="M4583" i="1"/>
  <c r="M4570" i="1"/>
  <c r="M4575" i="1"/>
  <c r="M4567" i="1"/>
  <c r="M4576" i="1"/>
  <c r="M4572" i="1"/>
  <c r="M4578" i="1"/>
  <c r="M4571" i="1"/>
  <c r="M4565" i="1"/>
  <c r="M4587" i="1"/>
  <c r="M4594" i="1"/>
  <c r="M4591" i="1"/>
  <c r="M4595" i="1"/>
  <c r="M4596" i="1"/>
  <c r="M4598" i="1"/>
  <c r="M4590" i="1"/>
  <c r="M4601" i="1"/>
  <c r="M4600" i="1"/>
  <c r="M4593" i="1"/>
  <c r="M4586" i="1"/>
  <c r="M4599" i="1"/>
  <c r="M4588" i="1"/>
  <c r="M4589" i="1"/>
  <c r="M4592" i="1"/>
  <c r="M4597" i="1"/>
  <c r="M4614" i="1"/>
  <c r="M4610" i="1"/>
  <c r="M4604" i="1"/>
  <c r="M4605" i="1"/>
  <c r="M4602" i="1"/>
  <c r="M4617" i="1"/>
  <c r="M4612" i="1"/>
  <c r="M4618" i="1"/>
  <c r="M4606" i="1"/>
  <c r="M4609" i="1"/>
  <c r="M4607" i="1"/>
  <c r="M4616" i="1"/>
  <c r="M4615" i="1"/>
  <c r="M4611" i="1"/>
  <c r="M4608" i="1"/>
  <c r="M4603" i="1"/>
  <c r="M4613" i="1"/>
  <c r="M4622" i="1"/>
  <c r="M4626" i="1"/>
  <c r="M4625" i="1"/>
  <c r="M4624" i="1"/>
  <c r="M4633" i="1"/>
  <c r="M4629" i="1"/>
  <c r="M4630" i="1"/>
  <c r="M4623" i="1"/>
  <c r="M4635" i="1"/>
  <c r="M4636" i="1"/>
  <c r="M4634" i="1"/>
  <c r="M4627" i="1"/>
  <c r="M4632" i="1"/>
  <c r="M4628" i="1"/>
  <c r="M4631" i="1"/>
  <c r="M4620" i="1"/>
  <c r="M4621" i="1"/>
  <c r="M4619" i="1"/>
  <c r="M4645" i="1"/>
  <c r="M4643" i="1"/>
  <c r="M4638" i="1"/>
  <c r="M4640" i="1"/>
  <c r="M4648" i="1"/>
  <c r="M4637" i="1"/>
  <c r="M4646" i="1"/>
  <c r="M4639" i="1"/>
  <c r="M4647" i="1"/>
  <c r="M4641" i="1"/>
  <c r="M4644" i="1"/>
  <c r="M4642" i="1"/>
  <c r="M4649" i="1"/>
  <c r="M4653" i="1"/>
  <c r="M4655" i="1"/>
  <c r="M4650" i="1"/>
  <c r="M4654" i="1"/>
  <c r="M4657" i="1"/>
  <c r="M4656" i="1"/>
  <c r="M4658" i="1"/>
  <c r="M4651" i="1"/>
  <c r="M4652" i="1"/>
  <c r="M4659" i="1"/>
  <c r="M4675" i="1"/>
  <c r="M4661" i="1"/>
  <c r="M4673" i="1"/>
  <c r="M4666" i="1"/>
  <c r="M4670" i="1"/>
  <c r="M4660" i="1"/>
  <c r="M4669" i="1"/>
  <c r="M4663" i="1"/>
  <c r="M4676" i="1"/>
  <c r="M4674" i="1"/>
  <c r="M4667" i="1"/>
  <c r="M4671" i="1"/>
  <c r="M4664" i="1"/>
  <c r="M4668" i="1"/>
  <c r="M4662" i="1"/>
  <c r="M4672" i="1"/>
  <c r="M4665" i="1"/>
  <c r="M4689" i="1"/>
  <c r="M4687" i="1"/>
  <c r="M4686" i="1"/>
  <c r="M4680" i="1"/>
  <c r="M4690" i="1"/>
  <c r="M4685" i="1"/>
  <c r="M4677" i="1"/>
  <c r="M4684" i="1"/>
  <c r="M4678" i="1"/>
  <c r="M4688" i="1"/>
  <c r="M4683" i="1"/>
  <c r="M4681" i="1"/>
  <c r="M4679" i="1"/>
  <c r="M4682" i="1"/>
  <c r="M4694" i="1"/>
  <c r="M4698" i="1"/>
  <c r="M4691" i="1"/>
  <c r="M4700" i="1"/>
  <c r="M4704" i="1"/>
  <c r="M4702" i="1"/>
  <c r="M4701" i="1"/>
  <c r="M4699" i="1"/>
  <c r="M4703" i="1"/>
  <c r="M4695" i="1"/>
  <c r="M4692" i="1"/>
  <c r="M4696" i="1"/>
  <c r="M4697" i="1"/>
  <c r="M4705" i="1"/>
  <c r="M4693" i="1"/>
  <c r="M4709" i="1"/>
  <c r="M4714" i="1"/>
  <c r="M4712" i="1"/>
  <c r="M4708" i="1"/>
  <c r="M4710" i="1"/>
  <c r="M4717" i="1"/>
  <c r="M4706" i="1"/>
  <c r="M4713" i="1"/>
  <c r="M4711" i="1"/>
  <c r="M4715" i="1"/>
  <c r="M4707" i="1"/>
  <c r="M4716" i="1"/>
  <c r="M4725" i="1"/>
  <c r="M4720" i="1"/>
  <c r="M4721" i="1"/>
  <c r="M4724" i="1"/>
  <c r="M4727" i="1"/>
  <c r="M4718" i="1"/>
  <c r="M4722" i="1"/>
  <c r="M4719" i="1"/>
  <c r="M4728" i="1"/>
  <c r="M4726" i="1"/>
  <c r="M4729" i="1"/>
  <c r="M4723" i="1"/>
  <c r="M4739" i="1"/>
  <c r="M4735" i="1"/>
  <c r="M4734" i="1"/>
  <c r="M4741" i="1"/>
  <c r="M4742" i="1"/>
  <c r="M4730" i="1"/>
  <c r="M4737" i="1"/>
  <c r="M4740" i="1"/>
  <c r="M4732" i="1"/>
  <c r="M4733" i="1"/>
  <c r="M4731" i="1"/>
  <c r="M4743" i="1"/>
  <c r="M4738" i="1"/>
  <c r="M4736" i="1"/>
  <c r="M4745" i="1"/>
  <c r="M4752" i="1"/>
  <c r="M4744" i="1"/>
  <c r="M4746" i="1"/>
  <c r="M4756" i="1"/>
  <c r="M4747" i="1"/>
  <c r="M4753" i="1"/>
  <c r="M4757" i="1"/>
  <c r="M4754" i="1"/>
  <c r="M4750" i="1"/>
  <c r="M4755" i="1"/>
  <c r="M4749" i="1"/>
  <c r="M4751" i="1"/>
  <c r="M4748" i="1"/>
  <c r="M4762" i="1"/>
  <c r="M4768" i="1"/>
  <c r="M4769" i="1"/>
  <c r="M4766" i="1"/>
  <c r="M4763" i="1"/>
  <c r="M4758" i="1"/>
  <c r="M4767" i="1"/>
  <c r="M4759" i="1"/>
  <c r="M4765" i="1"/>
  <c r="M4760" i="1"/>
  <c r="M4764" i="1"/>
  <c r="M4770" i="1"/>
  <c r="M4775" i="1"/>
  <c r="M4772" i="1"/>
  <c r="M4771" i="1"/>
  <c r="M4779" i="1"/>
  <c r="M4784" i="1"/>
  <c r="M4780" i="1"/>
  <c r="M4776" i="1"/>
  <c r="M4773" i="1"/>
  <c r="M4774" i="1"/>
  <c r="M4777" i="1"/>
  <c r="M4778" i="1"/>
  <c r="M4782" i="1"/>
  <c r="M4783" i="1"/>
  <c r="M4781" i="1"/>
  <c r="M4785" i="1"/>
  <c r="M4794" i="1"/>
  <c r="M4793" i="1"/>
  <c r="M4790" i="1"/>
  <c r="M4792" i="1"/>
  <c r="M4786" i="1"/>
  <c r="M4789" i="1"/>
  <c r="M4791" i="1"/>
  <c r="M4787" i="1"/>
  <c r="M4788" i="1"/>
  <c r="M4797" i="1"/>
  <c r="M4806" i="1"/>
  <c r="M4800" i="1"/>
  <c r="M4799" i="1"/>
  <c r="M4805" i="1"/>
  <c r="M4804" i="1"/>
  <c r="M4798" i="1"/>
  <c r="M4802" i="1"/>
  <c r="M4801" i="1"/>
  <c r="M4803" i="1"/>
  <c r="M4795" i="1"/>
  <c r="M4796" i="1"/>
  <c r="M4807" i="1"/>
  <c r="M4812" i="1"/>
  <c r="M4810" i="1"/>
  <c r="M4816" i="1"/>
  <c r="M4811" i="1"/>
  <c r="M4814" i="1"/>
  <c r="M4809" i="1"/>
  <c r="M4813" i="1"/>
  <c r="M4815" i="1"/>
  <c r="M4808" i="1"/>
  <c r="M4818" i="1"/>
  <c r="M4827" i="1"/>
  <c r="M4830" i="1"/>
  <c r="M4829" i="1"/>
  <c r="M4823" i="1"/>
  <c r="M4831" i="1"/>
  <c r="M4819" i="1"/>
  <c r="M4828" i="1"/>
  <c r="M4826" i="1"/>
  <c r="M4821" i="1"/>
  <c r="M4820" i="1"/>
  <c r="M4817" i="1"/>
  <c r="M4822" i="1"/>
  <c r="M4824" i="1"/>
  <c r="M4825" i="1"/>
  <c r="M4834" i="1"/>
  <c r="M4840" i="1"/>
  <c r="M4837" i="1"/>
  <c r="M4835" i="1"/>
  <c r="M4842" i="1"/>
  <c r="M4847" i="1"/>
  <c r="M4843" i="1"/>
  <c r="M4838" i="1"/>
  <c r="M4848" i="1"/>
  <c r="M4839" i="1"/>
  <c r="M4832" i="1"/>
  <c r="M4841" i="1"/>
  <c r="M4846" i="1"/>
  <c r="M4845" i="1"/>
  <c r="M4836" i="1"/>
  <c r="M4844" i="1"/>
  <c r="M4833" i="1"/>
  <c r="M4853" i="1"/>
  <c r="M4855" i="1"/>
  <c r="M4850" i="1"/>
  <c r="M4859" i="1"/>
  <c r="M4854" i="1"/>
  <c r="M4851" i="1"/>
  <c r="M4852" i="1"/>
  <c r="M4856" i="1"/>
  <c r="M4857" i="1"/>
  <c r="M4849" i="1"/>
  <c r="M4858" i="1"/>
  <c r="M4872" i="1"/>
  <c r="M4867" i="1"/>
  <c r="M4861" i="1"/>
  <c r="M4862" i="1"/>
  <c r="M4863" i="1"/>
  <c r="M4871" i="1"/>
  <c r="M4864" i="1"/>
  <c r="M4868" i="1"/>
  <c r="M4870" i="1"/>
  <c r="M4860" i="1"/>
  <c r="M4865" i="1"/>
  <c r="M4869" i="1"/>
  <c r="M4866" i="1"/>
  <c r="M4875" i="1"/>
  <c r="M4881" i="1"/>
  <c r="M4886" i="1"/>
  <c r="M4889" i="1"/>
  <c r="M4887" i="1"/>
  <c r="M4888" i="1"/>
  <c r="M4879" i="1"/>
  <c r="M4884" i="1"/>
  <c r="M4880" i="1"/>
  <c r="M4876" i="1"/>
  <c r="M4873" i="1"/>
  <c r="M4885" i="1"/>
  <c r="M4882" i="1"/>
  <c r="M4890" i="1"/>
  <c r="M4877" i="1"/>
  <c r="M4874" i="1"/>
  <c r="M4883" i="1"/>
  <c r="M4895" i="1"/>
  <c r="M4893" i="1"/>
  <c r="M4899" i="1"/>
  <c r="M4891" i="1"/>
  <c r="M4894" i="1"/>
  <c r="M4896" i="1"/>
  <c r="M4892" i="1"/>
  <c r="M4898" i="1"/>
  <c r="M4897" i="1"/>
  <c r="M4900" i="1"/>
  <c r="M4914" i="1"/>
  <c r="M4909" i="1"/>
  <c r="M4904" i="1"/>
  <c r="M4917" i="1"/>
  <c r="M4915" i="1"/>
  <c r="M4902" i="1"/>
  <c r="M4912" i="1"/>
  <c r="M4908" i="1"/>
  <c r="M4911" i="1"/>
  <c r="M4918" i="1"/>
  <c r="M4905" i="1"/>
  <c r="M4906" i="1"/>
  <c r="M4913" i="1"/>
  <c r="M4910" i="1"/>
  <c r="M4903" i="1"/>
  <c r="M4901" i="1"/>
  <c r="M4916" i="1"/>
  <c r="M4907" i="1"/>
  <c r="M4927" i="1"/>
  <c r="M4926" i="1"/>
  <c r="M4922" i="1"/>
  <c r="M4924" i="1"/>
  <c r="M4928" i="1"/>
  <c r="M4929" i="1"/>
  <c r="M4920" i="1"/>
  <c r="M4919" i="1"/>
  <c r="M4925" i="1"/>
  <c r="M4921" i="1"/>
  <c r="M4923" i="1"/>
  <c r="M4934" i="1"/>
  <c r="M4932" i="1"/>
  <c r="M4936" i="1"/>
  <c r="M4947" i="1"/>
  <c r="M4937" i="1"/>
  <c r="M4946" i="1"/>
  <c r="M4938" i="1"/>
  <c r="M4930" i="1"/>
  <c r="M4935" i="1"/>
  <c r="M4944" i="1"/>
  <c r="M4941" i="1"/>
  <c r="M4931" i="1"/>
  <c r="M4933" i="1"/>
  <c r="M4945" i="1"/>
  <c r="M4940" i="1"/>
  <c r="M4942" i="1"/>
  <c r="M4943" i="1"/>
  <c r="M4939" i="1"/>
  <c r="M4953" i="1"/>
  <c r="M4958" i="1"/>
  <c r="M4952" i="1"/>
  <c r="M4949" i="1"/>
  <c r="M4951" i="1"/>
  <c r="M4950" i="1"/>
  <c r="M4957" i="1"/>
  <c r="M4955" i="1"/>
  <c r="M4954" i="1"/>
  <c r="M4948" i="1"/>
  <c r="M4956" i="1"/>
  <c r="M4964" i="1"/>
  <c r="M4960" i="1"/>
  <c r="M4966" i="1"/>
  <c r="M4961" i="1"/>
  <c r="M4965" i="1"/>
  <c r="M4962" i="1"/>
  <c r="M4959" i="1"/>
  <c r="M4963" i="1"/>
  <c r="M4978" i="1"/>
  <c r="M4974" i="1"/>
  <c r="M4972" i="1"/>
  <c r="M4973" i="1"/>
  <c r="M4979" i="1"/>
  <c r="M4970" i="1"/>
  <c r="M4976" i="1"/>
  <c r="M4968" i="1"/>
  <c r="M4975" i="1"/>
  <c r="M4971" i="1"/>
  <c r="M4977" i="1"/>
  <c r="M4967" i="1"/>
  <c r="M4969" i="1"/>
  <c r="M4987" i="1"/>
  <c r="M4980" i="1"/>
  <c r="M4981" i="1"/>
  <c r="M4983" i="1"/>
  <c r="M4984" i="1"/>
  <c r="M4982" i="1"/>
  <c r="M4986" i="1"/>
  <c r="M4988" i="1"/>
  <c r="M4985" i="1"/>
  <c r="M4999" i="1"/>
  <c r="M4997" i="1"/>
  <c r="M4993" i="1"/>
  <c r="M5000" i="1"/>
  <c r="M4994" i="1"/>
  <c r="M4992" i="1"/>
  <c r="M4990" i="1"/>
  <c r="M4991" i="1"/>
  <c r="M4995" i="1"/>
  <c r="M4998" i="1"/>
  <c r="M4989" i="1"/>
  <c r="M4996" i="1"/>
  <c r="M5" i="1"/>
  <c r="M3744" i="1"/>
  <c r="M2180" i="1"/>
  <c r="M2597" i="1"/>
  <c r="M115" i="1"/>
  <c r="M4275" i="1"/>
  <c r="M4761" i="1"/>
  <c r="M3129" i="1"/>
  <c r="M4374" i="1"/>
  <c r="M2752" i="1"/>
  <c r="M2753" i="1"/>
  <c r="M720" i="1"/>
  <c r="M2765" i="1"/>
  <c r="M747" i="1"/>
  <c r="M3607" i="1"/>
  <c r="M4878" i="1"/>
  <c r="M772" i="1"/>
  <c r="M2001" i="1"/>
  <c r="M314" i="1"/>
  <c r="M2010" i="1"/>
  <c r="M2034" i="1"/>
  <c r="M2858" i="1"/>
  <c r="M2070" i="1"/>
  <c r="M4557" i="1"/>
  <c r="M2919" i="1"/>
  <c r="L13" i="1"/>
  <c r="L6" i="1"/>
  <c r="L8" i="1"/>
  <c r="L15" i="1"/>
  <c r="L11" i="1"/>
  <c r="L7" i="1"/>
  <c r="L14" i="1"/>
  <c r="L2" i="1"/>
  <c r="L3" i="1"/>
  <c r="L12" i="1"/>
  <c r="L4" i="1"/>
  <c r="L16" i="1"/>
  <c r="L9" i="1"/>
  <c r="L18" i="1"/>
  <c r="L21" i="1"/>
  <c r="L19" i="1"/>
  <c r="L17" i="1"/>
  <c r="L20" i="1"/>
  <c r="L37" i="1"/>
  <c r="L25" i="1"/>
  <c r="L27" i="1"/>
  <c r="L33" i="1"/>
  <c r="L40" i="1"/>
  <c r="L30" i="1"/>
  <c r="L26" i="1"/>
  <c r="L32" i="1"/>
  <c r="L31" i="1"/>
  <c r="L23" i="1"/>
  <c r="L29" i="1"/>
  <c r="L34" i="1"/>
  <c r="L22" i="1"/>
  <c r="L39" i="1"/>
  <c r="L28" i="1"/>
  <c r="L24" i="1"/>
  <c r="L35" i="1"/>
  <c r="L36" i="1"/>
  <c r="L38" i="1"/>
  <c r="L41" i="1"/>
  <c r="L60" i="1"/>
  <c r="L53" i="1"/>
  <c r="L45" i="1"/>
  <c r="L51" i="1"/>
  <c r="L59" i="1"/>
  <c r="L55" i="1"/>
  <c r="L50" i="1"/>
  <c r="L48" i="1"/>
  <c r="L52" i="1"/>
  <c r="L56" i="1"/>
  <c r="L46" i="1"/>
  <c r="L43" i="1"/>
  <c r="L57" i="1"/>
  <c r="L54" i="1"/>
  <c r="L44" i="1"/>
  <c r="L42" i="1"/>
  <c r="L49" i="1"/>
  <c r="L47" i="1"/>
  <c r="L58" i="1"/>
  <c r="L64" i="1"/>
  <c r="L61" i="1"/>
  <c r="L62" i="1"/>
  <c r="L65" i="1"/>
  <c r="L69" i="1"/>
  <c r="L71" i="1"/>
  <c r="L72" i="1"/>
  <c r="L63" i="1"/>
  <c r="L73" i="1"/>
  <c r="L70" i="1"/>
  <c r="L68" i="1"/>
  <c r="L67" i="1"/>
  <c r="L66" i="1"/>
  <c r="L74" i="1"/>
  <c r="L83" i="1"/>
  <c r="L79" i="1"/>
  <c r="L76" i="1"/>
  <c r="L85" i="1"/>
  <c r="L88" i="1"/>
  <c r="L75" i="1"/>
  <c r="L77" i="1"/>
  <c r="L80" i="1"/>
  <c r="L82" i="1"/>
  <c r="L81" i="1"/>
  <c r="L89" i="1"/>
  <c r="L86" i="1"/>
  <c r="L78" i="1"/>
  <c r="L87" i="1"/>
  <c r="L84" i="1"/>
  <c r="L99" i="1"/>
  <c r="L91" i="1"/>
  <c r="L96" i="1"/>
  <c r="L92" i="1"/>
  <c r="L98" i="1"/>
  <c r="L93" i="1"/>
  <c r="L97" i="1"/>
  <c r="L100" i="1"/>
  <c r="L101" i="1"/>
  <c r="L95" i="1"/>
  <c r="L102" i="1"/>
  <c r="L90" i="1"/>
  <c r="L94" i="1"/>
  <c r="L105" i="1"/>
  <c r="L103" i="1"/>
  <c r="L109" i="1"/>
  <c r="L104" i="1"/>
  <c r="L106" i="1"/>
  <c r="L107" i="1"/>
  <c r="L111" i="1"/>
  <c r="L108" i="1"/>
  <c r="L110" i="1"/>
  <c r="L126" i="1"/>
  <c r="L122" i="1"/>
  <c r="L120" i="1"/>
  <c r="L123" i="1"/>
  <c r="L116" i="1"/>
  <c r="L117" i="1"/>
  <c r="L128" i="1"/>
  <c r="L114" i="1"/>
  <c r="L112" i="1"/>
  <c r="L124" i="1"/>
  <c r="L121" i="1"/>
  <c r="L129" i="1"/>
  <c r="L125" i="1"/>
  <c r="L130" i="1"/>
  <c r="L113" i="1"/>
  <c r="L118" i="1"/>
  <c r="L127" i="1"/>
  <c r="L119" i="1"/>
  <c r="L131" i="1"/>
  <c r="L136" i="1"/>
  <c r="L147" i="1"/>
  <c r="L139" i="1"/>
  <c r="L134" i="1"/>
  <c r="L135" i="1"/>
  <c r="L140" i="1"/>
  <c r="L143" i="1"/>
  <c r="L137" i="1"/>
  <c r="L146" i="1"/>
  <c r="L149" i="1"/>
  <c r="L148" i="1"/>
  <c r="L144" i="1"/>
  <c r="L133" i="1"/>
  <c r="L132" i="1"/>
  <c r="L141" i="1"/>
  <c r="L150" i="1"/>
  <c r="L145" i="1"/>
  <c r="L138" i="1"/>
  <c r="L142" i="1"/>
  <c r="L157" i="1"/>
  <c r="L154" i="1"/>
  <c r="L158" i="1"/>
  <c r="L160" i="1"/>
  <c r="L156" i="1"/>
  <c r="L153" i="1"/>
  <c r="L151" i="1"/>
  <c r="L155" i="1"/>
  <c r="L152" i="1"/>
  <c r="L159" i="1"/>
  <c r="L170" i="1"/>
  <c r="L172" i="1"/>
  <c r="L164" i="1"/>
  <c r="L165" i="1"/>
  <c r="L166" i="1"/>
  <c r="L168" i="1"/>
  <c r="L169" i="1"/>
  <c r="L167" i="1"/>
  <c r="L171" i="1"/>
  <c r="L161" i="1"/>
  <c r="L173" i="1"/>
  <c r="L162" i="1"/>
  <c r="L163" i="1"/>
  <c r="L175" i="1"/>
  <c r="L174" i="1"/>
  <c r="L179" i="1"/>
  <c r="L180" i="1"/>
  <c r="L184" i="1"/>
  <c r="L182" i="1"/>
  <c r="L176" i="1"/>
  <c r="L186" i="1"/>
  <c r="L187" i="1"/>
  <c r="L181" i="1"/>
  <c r="L177" i="1"/>
  <c r="L183" i="1"/>
  <c r="L178" i="1"/>
  <c r="L185" i="1"/>
  <c r="L200" i="1"/>
  <c r="L195" i="1"/>
  <c r="L190" i="1"/>
  <c r="L198" i="1"/>
  <c r="L193" i="1"/>
  <c r="L188" i="1"/>
  <c r="L191" i="1"/>
  <c r="L197" i="1"/>
  <c r="L201" i="1"/>
  <c r="L196" i="1"/>
  <c r="L199" i="1"/>
  <c r="L192" i="1"/>
  <c r="L194" i="1"/>
  <c r="L189" i="1"/>
  <c r="L209" i="1"/>
  <c r="L202" i="1"/>
  <c r="L206" i="1"/>
  <c r="L211" i="1"/>
  <c r="L207" i="1"/>
  <c r="L208" i="1"/>
  <c r="L205" i="1"/>
  <c r="L203" i="1"/>
  <c r="L204" i="1"/>
  <c r="L210" i="1"/>
  <c r="L223" i="1"/>
  <c r="L218" i="1"/>
  <c r="L220" i="1"/>
  <c r="L214" i="1"/>
  <c r="L224" i="1"/>
  <c r="L222" i="1"/>
  <c r="L221" i="1"/>
  <c r="L215" i="1"/>
  <c r="L212" i="1"/>
  <c r="L225" i="1"/>
  <c r="L217" i="1"/>
  <c r="L213" i="1"/>
  <c r="L226" i="1"/>
  <c r="L219" i="1"/>
  <c r="L216" i="1"/>
  <c r="L237" i="1"/>
  <c r="L234" i="1"/>
  <c r="L240" i="1"/>
  <c r="L233" i="1"/>
  <c r="L239" i="1"/>
  <c r="L238" i="1"/>
  <c r="L235" i="1"/>
  <c r="L227" i="1"/>
  <c r="L229" i="1"/>
  <c r="L232" i="1"/>
  <c r="L231" i="1"/>
  <c r="L236" i="1"/>
  <c r="L228" i="1"/>
  <c r="L230" i="1"/>
  <c r="L243" i="1"/>
  <c r="L245" i="1"/>
  <c r="L241" i="1"/>
  <c r="L242" i="1"/>
  <c r="L244" i="1"/>
  <c r="L246" i="1"/>
  <c r="L247" i="1"/>
  <c r="L254" i="1"/>
  <c r="L255" i="1"/>
  <c r="L251" i="1"/>
  <c r="L256" i="1"/>
  <c r="L252" i="1"/>
  <c r="L250" i="1"/>
  <c r="L257" i="1"/>
  <c r="L253" i="1"/>
  <c r="L248" i="1"/>
  <c r="L249" i="1"/>
  <c r="L263" i="1"/>
  <c r="L265" i="1"/>
  <c r="L269" i="1"/>
  <c r="L267" i="1"/>
  <c r="L266" i="1"/>
  <c r="L259" i="1"/>
  <c r="L264" i="1"/>
  <c r="L260" i="1"/>
  <c r="L262" i="1"/>
  <c r="L258" i="1"/>
  <c r="L261" i="1"/>
  <c r="L268" i="1"/>
  <c r="L286" i="1"/>
  <c r="L282" i="1"/>
  <c r="L274" i="1"/>
  <c r="L289" i="1"/>
  <c r="L279" i="1"/>
  <c r="L271" i="1"/>
  <c r="L272" i="1"/>
  <c r="L292" i="1"/>
  <c r="L287" i="1"/>
  <c r="L293" i="1"/>
  <c r="L281" i="1"/>
  <c r="L273" i="1"/>
  <c r="L284" i="1"/>
  <c r="L290" i="1"/>
  <c r="L291" i="1"/>
  <c r="L283" i="1"/>
  <c r="L285" i="1"/>
  <c r="L277" i="1"/>
  <c r="L270" i="1"/>
  <c r="L275" i="1"/>
  <c r="L280" i="1"/>
  <c r="L288" i="1"/>
  <c r="L276" i="1"/>
  <c r="L278" i="1"/>
  <c r="L297" i="1"/>
  <c r="L308" i="1"/>
  <c r="L303" i="1"/>
  <c r="L306" i="1"/>
  <c r="L301" i="1"/>
  <c r="L302" i="1"/>
  <c r="L307" i="1"/>
  <c r="L305" i="1"/>
  <c r="L299" i="1"/>
  <c r="L294" i="1"/>
  <c r="L304" i="1"/>
  <c r="L300" i="1"/>
  <c r="L295" i="1"/>
  <c r="L296" i="1"/>
  <c r="L298" i="1"/>
  <c r="L311" i="1"/>
  <c r="L309" i="1"/>
  <c r="L312" i="1"/>
  <c r="L310" i="1"/>
  <c r="L321" i="1"/>
  <c r="L322" i="1"/>
  <c r="L316" i="1"/>
  <c r="L315" i="1"/>
  <c r="L313" i="1"/>
  <c r="L318" i="1"/>
  <c r="L319" i="1"/>
  <c r="L317" i="1"/>
  <c r="L320" i="1"/>
  <c r="L328" i="1"/>
  <c r="L331" i="1"/>
  <c r="L325" i="1"/>
  <c r="L329" i="1"/>
  <c r="L330" i="1"/>
  <c r="L324" i="1"/>
  <c r="L323" i="1"/>
  <c r="L326" i="1"/>
  <c r="L332" i="1"/>
  <c r="L327" i="1"/>
  <c r="L337" i="1"/>
  <c r="L336" i="1"/>
  <c r="L340" i="1"/>
  <c r="L339" i="1"/>
  <c r="L342" i="1"/>
  <c r="L341" i="1"/>
  <c r="L333" i="1"/>
  <c r="L334" i="1"/>
  <c r="L338" i="1"/>
  <c r="L345" i="1"/>
  <c r="L343" i="1"/>
  <c r="L344" i="1"/>
  <c r="L335" i="1"/>
  <c r="L358" i="1"/>
  <c r="L349" i="1"/>
  <c r="L353" i="1"/>
  <c r="L346" i="1"/>
  <c r="L356" i="1"/>
  <c r="L357" i="1"/>
  <c r="L347" i="1"/>
  <c r="L359" i="1"/>
  <c r="L352" i="1"/>
  <c r="L354" i="1"/>
  <c r="L363" i="1"/>
  <c r="L361" i="1"/>
  <c r="L355" i="1"/>
  <c r="L348" i="1"/>
  <c r="L350" i="1"/>
  <c r="L360" i="1"/>
  <c r="L351" i="1"/>
  <c r="L362" i="1"/>
  <c r="L364" i="1"/>
  <c r="L365" i="1"/>
  <c r="L372" i="1"/>
  <c r="L381" i="1"/>
  <c r="L376" i="1"/>
  <c r="L382" i="1"/>
  <c r="L368" i="1"/>
  <c r="L384" i="1"/>
  <c r="L380" i="1"/>
  <c r="L370" i="1"/>
  <c r="L369" i="1"/>
  <c r="L377" i="1"/>
  <c r="L378" i="1"/>
  <c r="L373" i="1"/>
  <c r="L383" i="1"/>
  <c r="L371" i="1"/>
  <c r="L366" i="1"/>
  <c r="L379" i="1"/>
  <c r="L374" i="1"/>
  <c r="L367" i="1"/>
  <c r="L375" i="1"/>
  <c r="L396" i="1"/>
  <c r="L399" i="1"/>
  <c r="L400" i="1"/>
  <c r="L401" i="1"/>
  <c r="L386" i="1"/>
  <c r="L391" i="1"/>
  <c r="L393" i="1"/>
  <c r="L388" i="1"/>
  <c r="L397" i="1"/>
  <c r="L394" i="1"/>
  <c r="L395" i="1"/>
  <c r="L390" i="1"/>
  <c r="L389" i="1"/>
  <c r="L392" i="1"/>
  <c r="L385" i="1"/>
  <c r="L387" i="1"/>
  <c r="L398" i="1"/>
  <c r="L414" i="1"/>
  <c r="L415" i="1"/>
  <c r="L417" i="1"/>
  <c r="L411" i="1"/>
  <c r="L407" i="1"/>
  <c r="L406" i="1"/>
  <c r="L409" i="1"/>
  <c r="L408" i="1"/>
  <c r="L413" i="1"/>
  <c r="L410" i="1"/>
  <c r="L418" i="1"/>
  <c r="L403" i="1"/>
  <c r="L402" i="1"/>
  <c r="L412" i="1"/>
  <c r="L416" i="1"/>
  <c r="L404" i="1"/>
  <c r="L405" i="1"/>
  <c r="L424" i="1"/>
  <c r="L426" i="1"/>
  <c r="L428" i="1"/>
  <c r="L427" i="1"/>
  <c r="L430" i="1"/>
  <c r="L425" i="1"/>
  <c r="L432" i="1"/>
  <c r="L420" i="1"/>
  <c r="L421" i="1"/>
  <c r="L419" i="1"/>
  <c r="L423" i="1"/>
  <c r="L422" i="1"/>
  <c r="L429" i="1"/>
  <c r="L431" i="1"/>
  <c r="L443" i="1"/>
  <c r="L438" i="1"/>
  <c r="L435" i="1"/>
  <c r="L436" i="1"/>
  <c r="L440" i="1"/>
  <c r="L446" i="1"/>
  <c r="L434" i="1"/>
  <c r="L444" i="1"/>
  <c r="L441" i="1"/>
  <c r="L445" i="1"/>
  <c r="L449" i="1"/>
  <c r="L447" i="1"/>
  <c r="L439" i="1"/>
  <c r="L442" i="1"/>
  <c r="L433" i="1"/>
  <c r="L450" i="1"/>
  <c r="L448" i="1"/>
  <c r="L437" i="1"/>
  <c r="L458" i="1"/>
  <c r="L462" i="1"/>
  <c r="L452" i="1"/>
  <c r="L461" i="1"/>
  <c r="L460" i="1"/>
  <c r="L453" i="1"/>
  <c r="L459" i="1"/>
  <c r="L454" i="1"/>
  <c r="L455" i="1"/>
  <c r="L451" i="1"/>
  <c r="L456" i="1"/>
  <c r="L463" i="1"/>
  <c r="L457" i="1"/>
  <c r="L473" i="1"/>
  <c r="L467" i="1"/>
  <c r="L475" i="1"/>
  <c r="L476" i="1"/>
  <c r="L470" i="1"/>
  <c r="L465" i="1"/>
  <c r="L468" i="1"/>
  <c r="L471" i="1"/>
  <c r="L469" i="1"/>
  <c r="L464" i="1"/>
  <c r="L474" i="1"/>
  <c r="L466" i="1"/>
  <c r="L472" i="1"/>
  <c r="L482" i="1"/>
  <c r="L488" i="1"/>
  <c r="L490" i="1"/>
  <c r="L483" i="1"/>
  <c r="L484" i="1"/>
  <c r="L486" i="1"/>
  <c r="L492" i="1"/>
  <c r="L493" i="1"/>
  <c r="L489" i="1"/>
  <c r="L496" i="1"/>
  <c r="L478" i="1"/>
  <c r="L480" i="1"/>
  <c r="L479" i="1"/>
  <c r="L485" i="1"/>
  <c r="L477" i="1"/>
  <c r="L491" i="1"/>
  <c r="L494" i="1"/>
  <c r="L487" i="1"/>
  <c r="L495" i="1"/>
  <c r="L481" i="1"/>
  <c r="L497" i="1"/>
  <c r="L504" i="1"/>
  <c r="L505" i="1"/>
  <c r="L502" i="1"/>
  <c r="L503" i="1"/>
  <c r="L499" i="1"/>
  <c r="L500" i="1"/>
  <c r="L501" i="1"/>
  <c r="L498" i="1"/>
  <c r="L518" i="1"/>
  <c r="L517" i="1"/>
  <c r="L516" i="1"/>
  <c r="L511" i="1"/>
  <c r="L507" i="1"/>
  <c r="L513" i="1"/>
  <c r="L508" i="1"/>
  <c r="L519" i="1"/>
  <c r="L514" i="1"/>
  <c r="L509" i="1"/>
  <c r="L515" i="1"/>
  <c r="L510" i="1"/>
  <c r="L512" i="1"/>
  <c r="L506" i="1"/>
  <c r="L527" i="1"/>
  <c r="L529" i="1"/>
  <c r="L520" i="1"/>
  <c r="L522" i="1"/>
  <c r="L524" i="1"/>
  <c r="L525" i="1"/>
  <c r="L528" i="1"/>
  <c r="L526" i="1"/>
  <c r="L523" i="1"/>
  <c r="L521" i="1"/>
  <c r="L532" i="1"/>
  <c r="L530" i="1"/>
  <c r="L533" i="1"/>
  <c r="L531" i="1"/>
  <c r="L541" i="1"/>
  <c r="L536" i="1"/>
  <c r="L539" i="1"/>
  <c r="L540" i="1"/>
  <c r="L538" i="1"/>
  <c r="L535" i="1"/>
  <c r="L534" i="1"/>
  <c r="L537" i="1"/>
  <c r="L548" i="1"/>
  <c r="L550" i="1"/>
  <c r="L543" i="1"/>
  <c r="L557" i="1"/>
  <c r="L551" i="1"/>
  <c r="L545" i="1"/>
  <c r="L546" i="1"/>
  <c r="L554" i="1"/>
  <c r="L558" i="1"/>
  <c r="L549" i="1"/>
  <c r="L544" i="1"/>
  <c r="L555" i="1"/>
  <c r="L559" i="1"/>
  <c r="L556" i="1"/>
  <c r="L542" i="1"/>
  <c r="L547" i="1"/>
  <c r="L552" i="1"/>
  <c r="L553" i="1"/>
  <c r="L574" i="1"/>
  <c r="L575" i="1"/>
  <c r="L571" i="1"/>
  <c r="L568" i="1"/>
  <c r="L578" i="1"/>
  <c r="L579" i="1"/>
  <c r="L564" i="1"/>
  <c r="L569" i="1"/>
  <c r="L573" i="1"/>
  <c r="L576" i="1"/>
  <c r="L560" i="1"/>
  <c r="L572" i="1"/>
  <c r="L580" i="1"/>
  <c r="L563" i="1"/>
  <c r="L565" i="1"/>
  <c r="L570" i="1"/>
  <c r="L577" i="1"/>
  <c r="L566" i="1"/>
  <c r="L567" i="1"/>
  <c r="L562" i="1"/>
  <c r="L561" i="1"/>
  <c r="L581" i="1"/>
  <c r="L595" i="1"/>
  <c r="L588" i="1"/>
  <c r="L593" i="1"/>
  <c r="L583" i="1"/>
  <c r="L582" i="1"/>
  <c r="L584" i="1"/>
  <c r="L589" i="1"/>
  <c r="L590" i="1"/>
  <c r="L596" i="1"/>
  <c r="L597" i="1"/>
  <c r="L594" i="1"/>
  <c r="L592" i="1"/>
  <c r="L585" i="1"/>
  <c r="L598" i="1"/>
  <c r="L586" i="1"/>
  <c r="L591" i="1"/>
  <c r="L587" i="1"/>
  <c r="L608" i="1"/>
  <c r="L609" i="1"/>
  <c r="L599" i="1"/>
  <c r="L611" i="1"/>
  <c r="L603" i="1"/>
  <c r="L602" i="1"/>
  <c r="L600" i="1"/>
  <c r="L601" i="1"/>
  <c r="L607" i="1"/>
  <c r="L604" i="1"/>
  <c r="L610" i="1"/>
  <c r="L605" i="1"/>
  <c r="L606" i="1"/>
  <c r="L612" i="1"/>
  <c r="L621" i="1"/>
  <c r="L627" i="1"/>
  <c r="L626" i="1"/>
  <c r="L622" i="1"/>
  <c r="L620" i="1"/>
  <c r="L623" i="1"/>
  <c r="L615" i="1"/>
  <c r="L625" i="1"/>
  <c r="L624" i="1"/>
  <c r="L613" i="1"/>
  <c r="L618" i="1"/>
  <c r="L614" i="1"/>
  <c r="L619" i="1"/>
  <c r="L616" i="1"/>
  <c r="L628" i="1"/>
  <c r="L617" i="1"/>
  <c r="L629" i="1"/>
  <c r="L638" i="1"/>
  <c r="L632" i="1"/>
  <c r="L641" i="1"/>
  <c r="L635" i="1"/>
  <c r="L639" i="1"/>
  <c r="L630" i="1"/>
  <c r="L640" i="1"/>
  <c r="L636" i="1"/>
  <c r="L642" i="1"/>
  <c r="L631" i="1"/>
  <c r="L633" i="1"/>
  <c r="L637" i="1"/>
  <c r="L634" i="1"/>
  <c r="L646" i="1"/>
  <c r="L651" i="1"/>
  <c r="L643" i="1"/>
  <c r="L661" i="1"/>
  <c r="L648" i="1"/>
  <c r="L649" i="1"/>
  <c r="L655" i="1"/>
  <c r="L654" i="1"/>
  <c r="L657" i="1"/>
  <c r="L663" i="1"/>
  <c r="L650" i="1"/>
  <c r="L645" i="1"/>
  <c r="L658" i="1"/>
  <c r="L659" i="1"/>
  <c r="L644" i="1"/>
  <c r="L656" i="1"/>
  <c r="L662" i="1"/>
  <c r="L652" i="1"/>
  <c r="L660" i="1"/>
  <c r="L647" i="1"/>
  <c r="L653" i="1"/>
  <c r="L669" i="1"/>
  <c r="L672" i="1"/>
  <c r="L670" i="1"/>
  <c r="L664" i="1"/>
  <c r="L667" i="1"/>
  <c r="L674" i="1"/>
  <c r="L665" i="1"/>
  <c r="L676" i="1"/>
  <c r="L677" i="1"/>
  <c r="L675" i="1"/>
  <c r="L668" i="1"/>
  <c r="L673" i="1"/>
  <c r="L666" i="1"/>
  <c r="L671" i="1"/>
  <c r="L690" i="1"/>
  <c r="L688" i="1"/>
  <c r="L678" i="1"/>
  <c r="L679" i="1"/>
  <c r="L682" i="1"/>
  <c r="L689" i="1"/>
  <c r="L683" i="1"/>
  <c r="L685" i="1"/>
  <c r="L686" i="1"/>
  <c r="L684" i="1"/>
  <c r="L680" i="1"/>
  <c r="L687" i="1"/>
  <c r="L681" i="1"/>
  <c r="L696" i="1"/>
  <c r="L694" i="1"/>
  <c r="L691" i="1"/>
  <c r="L698" i="1"/>
  <c r="L703" i="1"/>
  <c r="L702" i="1"/>
  <c r="L697" i="1"/>
  <c r="L693" i="1"/>
  <c r="L699" i="1"/>
  <c r="L692" i="1"/>
  <c r="L700" i="1"/>
  <c r="L701" i="1"/>
  <c r="L695" i="1"/>
  <c r="L715" i="1"/>
  <c r="L716" i="1"/>
  <c r="L705" i="1"/>
  <c r="L706" i="1"/>
  <c r="L707" i="1"/>
  <c r="L710" i="1"/>
  <c r="L709" i="1"/>
  <c r="L713" i="1"/>
  <c r="L712" i="1"/>
  <c r="L708" i="1"/>
  <c r="L714" i="1"/>
  <c r="L711" i="1"/>
  <c r="L704" i="1"/>
  <c r="L725" i="1"/>
  <c r="L730" i="1"/>
  <c r="L717" i="1"/>
  <c r="L721" i="1"/>
  <c r="L728" i="1"/>
  <c r="L732" i="1"/>
  <c r="L731" i="1"/>
  <c r="L723" i="1"/>
  <c r="L726" i="1"/>
  <c r="L719" i="1"/>
  <c r="L722" i="1"/>
  <c r="L724" i="1"/>
  <c r="L718" i="1"/>
  <c r="L729" i="1"/>
  <c r="L727" i="1"/>
  <c r="L741" i="1"/>
  <c r="L742" i="1"/>
  <c r="L734" i="1"/>
  <c r="L743" i="1"/>
  <c r="L736" i="1"/>
  <c r="L735" i="1"/>
  <c r="L733" i="1"/>
  <c r="L740" i="1"/>
  <c r="L744" i="1"/>
  <c r="L746" i="1"/>
  <c r="L739" i="1"/>
  <c r="L738" i="1"/>
  <c r="L745" i="1"/>
  <c r="L737" i="1"/>
  <c r="L759" i="1"/>
  <c r="L756" i="1"/>
  <c r="L751" i="1"/>
  <c r="L765" i="1"/>
  <c r="L760" i="1"/>
  <c r="L761" i="1"/>
  <c r="L757" i="1"/>
  <c r="L762" i="1"/>
  <c r="L758" i="1"/>
  <c r="L752" i="1"/>
  <c r="L749" i="1"/>
  <c r="L767" i="1"/>
  <c r="L763" i="1"/>
  <c r="L766" i="1"/>
  <c r="L755" i="1"/>
  <c r="L748" i="1"/>
  <c r="L753" i="1"/>
  <c r="L750" i="1"/>
  <c r="L754" i="1"/>
  <c r="L764" i="1"/>
  <c r="L775" i="1"/>
  <c r="L768" i="1"/>
  <c r="L769" i="1"/>
  <c r="L770" i="1"/>
  <c r="L776" i="1"/>
  <c r="L777" i="1"/>
  <c r="L773" i="1"/>
  <c r="L771" i="1"/>
  <c r="L774" i="1"/>
  <c r="L788" i="1"/>
  <c r="L783" i="1"/>
  <c r="L782" i="1"/>
  <c r="L786" i="1"/>
  <c r="L778" i="1"/>
  <c r="L787" i="1"/>
  <c r="L784" i="1"/>
  <c r="L781" i="1"/>
  <c r="L785" i="1"/>
  <c r="L779" i="1"/>
  <c r="L780" i="1"/>
  <c r="L797" i="1"/>
  <c r="L792" i="1"/>
  <c r="L789" i="1"/>
  <c r="L799" i="1"/>
  <c r="L793" i="1"/>
  <c r="L796" i="1"/>
  <c r="L801" i="1"/>
  <c r="L791" i="1"/>
  <c r="L794" i="1"/>
  <c r="L798" i="1"/>
  <c r="L800" i="1"/>
  <c r="L795" i="1"/>
  <c r="L790" i="1"/>
  <c r="L806" i="1"/>
  <c r="L804" i="1"/>
  <c r="L802" i="1"/>
  <c r="L807" i="1"/>
  <c r="L808" i="1"/>
  <c r="L803" i="1"/>
  <c r="L809" i="1"/>
  <c r="L805" i="1"/>
  <c r="L815" i="1"/>
  <c r="L814" i="1"/>
  <c r="L812" i="1"/>
  <c r="L811" i="1"/>
  <c r="L813" i="1"/>
  <c r="L816" i="1"/>
  <c r="L818" i="1"/>
  <c r="L817" i="1"/>
  <c r="L810" i="1"/>
  <c r="L827" i="1"/>
  <c r="L825" i="1"/>
  <c r="L829" i="1"/>
  <c r="L820" i="1"/>
  <c r="L823" i="1"/>
  <c r="L826" i="1"/>
  <c r="L821" i="1"/>
  <c r="L831" i="1"/>
  <c r="L822" i="1"/>
  <c r="L819" i="1"/>
  <c r="L830" i="1"/>
  <c r="L824" i="1"/>
  <c r="L828" i="1"/>
  <c r="L841" i="1"/>
  <c r="L836" i="1"/>
  <c r="L842" i="1"/>
  <c r="L837" i="1"/>
  <c r="L838" i="1"/>
  <c r="L846" i="1"/>
  <c r="L833" i="1"/>
  <c r="L845" i="1"/>
  <c r="L840" i="1"/>
  <c r="L843" i="1"/>
  <c r="L834" i="1"/>
  <c r="L844" i="1"/>
  <c r="L835" i="1"/>
  <c r="L832" i="1"/>
  <c r="L847" i="1"/>
  <c r="L839" i="1"/>
  <c r="L857" i="1"/>
  <c r="L858" i="1"/>
  <c r="L848" i="1"/>
  <c r="L852" i="1"/>
  <c r="L854" i="1"/>
  <c r="L851" i="1"/>
  <c r="L853" i="1"/>
  <c r="L849" i="1"/>
  <c r="L859" i="1"/>
  <c r="L860" i="1"/>
  <c r="L855" i="1"/>
  <c r="L850" i="1"/>
  <c r="L856" i="1"/>
  <c r="L861" i="1"/>
  <c r="L869" i="1"/>
  <c r="L864" i="1"/>
  <c r="L862" i="1"/>
  <c r="L866" i="1"/>
  <c r="L867" i="1"/>
  <c r="L865" i="1"/>
  <c r="L868" i="1"/>
  <c r="L863" i="1"/>
  <c r="L870" i="1"/>
  <c r="L891" i="1"/>
  <c r="L871" i="1"/>
  <c r="L887" i="1"/>
  <c r="L892" i="1"/>
  <c r="L872" i="1"/>
  <c r="L882" i="1"/>
  <c r="L889" i="1"/>
  <c r="L873" i="1"/>
  <c r="L884" i="1"/>
  <c r="L888" i="1"/>
  <c r="L876" i="1"/>
  <c r="L879" i="1"/>
  <c r="L890" i="1"/>
  <c r="L875" i="1"/>
  <c r="L874" i="1"/>
  <c r="L885" i="1"/>
  <c r="L880" i="1"/>
  <c r="L877" i="1"/>
  <c r="L883" i="1"/>
  <c r="L886" i="1"/>
  <c r="L878" i="1"/>
  <c r="L881" i="1"/>
  <c r="L898" i="1"/>
  <c r="L893" i="1"/>
  <c r="L894" i="1"/>
  <c r="L895" i="1"/>
  <c r="L899" i="1"/>
  <c r="L897" i="1"/>
  <c r="L896" i="1"/>
  <c r="L900" i="1"/>
  <c r="L912" i="1"/>
  <c r="L917" i="1"/>
  <c r="L911" i="1"/>
  <c r="L907" i="1"/>
  <c r="L902" i="1"/>
  <c r="L908" i="1"/>
  <c r="L901" i="1"/>
  <c r="L918" i="1"/>
  <c r="L909" i="1"/>
  <c r="L919" i="1"/>
  <c r="L913" i="1"/>
  <c r="L915" i="1"/>
  <c r="L906" i="1"/>
  <c r="L910" i="1"/>
  <c r="L914" i="1"/>
  <c r="L904" i="1"/>
  <c r="L905" i="1"/>
  <c r="L903" i="1"/>
  <c r="L916" i="1"/>
  <c r="L920" i="1"/>
  <c r="L929" i="1"/>
  <c r="L938" i="1"/>
  <c r="L935" i="1"/>
  <c r="L930" i="1"/>
  <c r="L924" i="1"/>
  <c r="L931" i="1"/>
  <c r="L928" i="1"/>
  <c r="L939" i="1"/>
  <c r="L925" i="1"/>
  <c r="L921" i="1"/>
  <c r="L932" i="1"/>
  <c r="L923" i="1"/>
  <c r="L922" i="1"/>
  <c r="L936" i="1"/>
  <c r="L927" i="1"/>
  <c r="L941" i="1"/>
  <c r="L937" i="1"/>
  <c r="L926" i="1"/>
  <c r="L933" i="1"/>
  <c r="L940" i="1"/>
  <c r="L934" i="1"/>
  <c r="L956" i="1"/>
  <c r="L953" i="1"/>
  <c r="L942" i="1"/>
  <c r="L952" i="1"/>
  <c r="L944" i="1"/>
  <c r="L946" i="1"/>
  <c r="L949" i="1"/>
  <c r="L945" i="1"/>
  <c r="L957" i="1"/>
  <c r="L954" i="1"/>
  <c r="L943" i="1"/>
  <c r="L951" i="1"/>
  <c r="L950" i="1"/>
  <c r="L955" i="1"/>
  <c r="L948" i="1"/>
  <c r="L947" i="1"/>
  <c r="L958" i="1"/>
  <c r="L965" i="1"/>
  <c r="L966" i="1"/>
  <c r="L962" i="1"/>
  <c r="L964" i="1"/>
  <c r="L960" i="1"/>
  <c r="L959" i="1"/>
  <c r="L963" i="1"/>
  <c r="L967" i="1"/>
  <c r="L961" i="1"/>
  <c r="L968" i="1"/>
  <c r="L973" i="1"/>
  <c r="L980" i="1"/>
  <c r="L981" i="1"/>
  <c r="L979" i="1"/>
  <c r="L969" i="1"/>
  <c r="L978" i="1"/>
  <c r="L982" i="1"/>
  <c r="L975" i="1"/>
  <c r="L985" i="1"/>
  <c r="L970" i="1"/>
  <c r="L986" i="1"/>
  <c r="L971" i="1"/>
  <c r="L983" i="1"/>
  <c r="L987" i="1"/>
  <c r="L976" i="1"/>
  <c r="L972" i="1"/>
  <c r="L984" i="1"/>
  <c r="L977" i="1"/>
  <c r="L974" i="1"/>
  <c r="L990" i="1"/>
  <c r="L1002" i="1"/>
  <c r="L999" i="1"/>
  <c r="L997" i="1"/>
  <c r="L989" i="1"/>
  <c r="L995" i="1"/>
  <c r="L992" i="1"/>
  <c r="L996" i="1"/>
  <c r="L1001" i="1"/>
  <c r="L993" i="1"/>
  <c r="L998" i="1"/>
  <c r="L988" i="1"/>
  <c r="L994" i="1"/>
  <c r="L1004" i="1"/>
  <c r="L1003" i="1"/>
  <c r="L1005" i="1"/>
  <c r="L991" i="1"/>
  <c r="L1000" i="1"/>
  <c r="L1007" i="1"/>
  <c r="L1006" i="1"/>
  <c r="L1012" i="1"/>
  <c r="L1009" i="1"/>
  <c r="L1018" i="1"/>
  <c r="L1014" i="1"/>
  <c r="L1015" i="1"/>
  <c r="L1008" i="1"/>
  <c r="L1011" i="1"/>
  <c r="L1010" i="1"/>
  <c r="L1013" i="1"/>
  <c r="L1017" i="1"/>
  <c r="L1019" i="1"/>
  <c r="L1016" i="1"/>
  <c r="L1024" i="1"/>
  <c r="L1022" i="1"/>
  <c r="L1020" i="1"/>
  <c r="L1021" i="1"/>
  <c r="L1023" i="1"/>
  <c r="L1025" i="1"/>
  <c r="L1026" i="1"/>
  <c r="L1027" i="1"/>
  <c r="L1040" i="1"/>
  <c r="L1037" i="1"/>
  <c r="L1033" i="1"/>
  <c r="L1039" i="1"/>
  <c r="L1036" i="1"/>
  <c r="L1028" i="1"/>
  <c r="L1035" i="1"/>
  <c r="L1045" i="1"/>
  <c r="L1038" i="1"/>
  <c r="L1031" i="1"/>
  <c r="L1046" i="1"/>
  <c r="L1032" i="1"/>
  <c r="L1034" i="1"/>
  <c r="L1041" i="1"/>
  <c r="L1044" i="1"/>
  <c r="L1042" i="1"/>
  <c r="L1030" i="1"/>
  <c r="L1043" i="1"/>
  <c r="L1029" i="1"/>
  <c r="L1056" i="1"/>
  <c r="L1053" i="1"/>
  <c r="L1049" i="1"/>
  <c r="L1050" i="1"/>
  <c r="L1051" i="1"/>
  <c r="L1052" i="1"/>
  <c r="L1054" i="1"/>
  <c r="L1048" i="1"/>
  <c r="L1047" i="1"/>
  <c r="L1055" i="1"/>
  <c r="L1058" i="1"/>
  <c r="L1061" i="1"/>
  <c r="L1063" i="1"/>
  <c r="L1060" i="1"/>
  <c r="L1057" i="1"/>
  <c r="L1059" i="1"/>
  <c r="L1064" i="1"/>
  <c r="L1062" i="1"/>
  <c r="L1065" i="1"/>
  <c r="L1074" i="1"/>
  <c r="L1066" i="1"/>
  <c r="L1071" i="1"/>
  <c r="L1073" i="1"/>
  <c r="L1075" i="1"/>
  <c r="L1069" i="1"/>
  <c r="L1070" i="1"/>
  <c r="L1067" i="1"/>
  <c r="L1068" i="1"/>
  <c r="L1072" i="1"/>
  <c r="L1092" i="1"/>
  <c r="L1087" i="1"/>
  <c r="L1088" i="1"/>
  <c r="L1080" i="1"/>
  <c r="L1083" i="1"/>
  <c r="L1091" i="1"/>
  <c r="L1076" i="1"/>
  <c r="L1081" i="1"/>
  <c r="L1090" i="1"/>
  <c r="L1085" i="1"/>
  <c r="L1078" i="1"/>
  <c r="L1086" i="1"/>
  <c r="L1089" i="1"/>
  <c r="L1084" i="1"/>
  <c r="L1079" i="1"/>
  <c r="L1093" i="1"/>
  <c r="L1077" i="1"/>
  <c r="L1082" i="1"/>
  <c r="L1107" i="1"/>
  <c r="L1095" i="1"/>
  <c r="L1102" i="1"/>
  <c r="L1096" i="1"/>
  <c r="L1110" i="1"/>
  <c r="L1103" i="1"/>
  <c r="L1099" i="1"/>
  <c r="L1108" i="1"/>
  <c r="L1105" i="1"/>
  <c r="L1097" i="1"/>
  <c r="L1100" i="1"/>
  <c r="L1104" i="1"/>
  <c r="L1109" i="1"/>
  <c r="L1094" i="1"/>
  <c r="L1098" i="1"/>
  <c r="L1101" i="1"/>
  <c r="L1106" i="1"/>
  <c r="L1120" i="1"/>
  <c r="L1116" i="1"/>
  <c r="L1111" i="1"/>
  <c r="L1121" i="1"/>
  <c r="L1118" i="1"/>
  <c r="L1122" i="1"/>
  <c r="L1117" i="1"/>
  <c r="L1119" i="1"/>
  <c r="L1123" i="1"/>
  <c r="L1112" i="1"/>
  <c r="L1114" i="1"/>
  <c r="L1124" i="1"/>
  <c r="L1113" i="1"/>
  <c r="L1125" i="1"/>
  <c r="L1115" i="1"/>
  <c r="L1126" i="1"/>
  <c r="L1136" i="1"/>
  <c r="L1133" i="1"/>
  <c r="L1128" i="1"/>
  <c r="L1135" i="1"/>
  <c r="L1131" i="1"/>
  <c r="L1130" i="1"/>
  <c r="L1129" i="1"/>
  <c r="L1134" i="1"/>
  <c r="L1137" i="1"/>
  <c r="L1127" i="1"/>
  <c r="L1132" i="1"/>
  <c r="L1158" i="1"/>
  <c r="L1156" i="1"/>
  <c r="L1144" i="1"/>
  <c r="L1154" i="1"/>
  <c r="L1150" i="1"/>
  <c r="L1148" i="1"/>
  <c r="L1142" i="1"/>
  <c r="L1143" i="1"/>
  <c r="L1145" i="1"/>
  <c r="L1146" i="1"/>
  <c r="L1153" i="1"/>
  <c r="L1155" i="1"/>
  <c r="L1160" i="1"/>
  <c r="L1157" i="1"/>
  <c r="L1149" i="1"/>
  <c r="L1161" i="1"/>
  <c r="L1140" i="1"/>
  <c r="L1141" i="1"/>
  <c r="L1162" i="1"/>
  <c r="L1147" i="1"/>
  <c r="L1159" i="1"/>
  <c r="L1138" i="1"/>
  <c r="L1152" i="1"/>
  <c r="L1151" i="1"/>
  <c r="L1139" i="1"/>
  <c r="L1163" i="1"/>
  <c r="L1168" i="1"/>
  <c r="L1171" i="1"/>
  <c r="L1166" i="1"/>
  <c r="L1165" i="1"/>
  <c r="L1170" i="1"/>
  <c r="L1164" i="1"/>
  <c r="L1169" i="1"/>
  <c r="L1172" i="1"/>
  <c r="L1167" i="1"/>
  <c r="L1175" i="1"/>
  <c r="L1176" i="1"/>
  <c r="L1181" i="1"/>
  <c r="L1183" i="1"/>
  <c r="L1180" i="1"/>
  <c r="L1178" i="1"/>
  <c r="L1182" i="1"/>
  <c r="L1173" i="1"/>
  <c r="L1177" i="1"/>
  <c r="L1184" i="1"/>
  <c r="L1185" i="1"/>
  <c r="L1174" i="1"/>
  <c r="L1186" i="1"/>
  <c r="L1179" i="1"/>
  <c r="L1199" i="1"/>
  <c r="L1205" i="1"/>
  <c r="L1208" i="1"/>
  <c r="L1194" i="1"/>
  <c r="L1206" i="1"/>
  <c r="L1195" i="1"/>
  <c r="L1187" i="1"/>
  <c r="L1196" i="1"/>
  <c r="L1207" i="1"/>
  <c r="L1197" i="1"/>
  <c r="L1189" i="1"/>
  <c r="L1209" i="1"/>
  <c r="L1202" i="1"/>
  <c r="L1200" i="1"/>
  <c r="L1193" i="1"/>
  <c r="L1190" i="1"/>
  <c r="L1203" i="1"/>
  <c r="L1188" i="1"/>
  <c r="L1192" i="1"/>
  <c r="L1191" i="1"/>
  <c r="L1204" i="1"/>
  <c r="L1201" i="1"/>
  <c r="L1198" i="1"/>
  <c r="L1215" i="1"/>
  <c r="L1211" i="1"/>
  <c r="L1210" i="1"/>
  <c r="L1216" i="1"/>
  <c r="L1217" i="1"/>
  <c r="L1213" i="1"/>
  <c r="L1212" i="1"/>
  <c r="L1221" i="1"/>
  <c r="L1214" i="1"/>
  <c r="L1218" i="1"/>
  <c r="L1220" i="1"/>
  <c r="L1219" i="1"/>
  <c r="L1222" i="1"/>
  <c r="L1223" i="1"/>
  <c r="L1230" i="1"/>
  <c r="L1227" i="1"/>
  <c r="L1235" i="1"/>
  <c r="L1226" i="1"/>
  <c r="L1234" i="1"/>
  <c r="L1236" i="1"/>
  <c r="L1237" i="1"/>
  <c r="L1232" i="1"/>
  <c r="L1239" i="1"/>
  <c r="L1224" i="1"/>
  <c r="L1225" i="1"/>
  <c r="L1233" i="1"/>
  <c r="L1240" i="1"/>
  <c r="L1228" i="1"/>
  <c r="L1229" i="1"/>
  <c r="L1231" i="1"/>
  <c r="L1238" i="1"/>
  <c r="L1241" i="1"/>
  <c r="L1246" i="1"/>
  <c r="L1249" i="1"/>
  <c r="L1244" i="1"/>
  <c r="L1254" i="1"/>
  <c r="L1256" i="1"/>
  <c r="L1257" i="1"/>
  <c r="L1258" i="1"/>
  <c r="L1251" i="1"/>
  <c r="L1250" i="1"/>
  <c r="L1247" i="1"/>
  <c r="L1255" i="1"/>
  <c r="L1253" i="1"/>
  <c r="L1248" i="1"/>
  <c r="L1245" i="1"/>
  <c r="L1242" i="1"/>
  <c r="L1243" i="1"/>
  <c r="L1252" i="1"/>
  <c r="L1264" i="1"/>
  <c r="L1260" i="1"/>
  <c r="L1266" i="1"/>
  <c r="L1261" i="1"/>
  <c r="L1267" i="1"/>
  <c r="L1262" i="1"/>
  <c r="L1265" i="1"/>
  <c r="L1259" i="1"/>
  <c r="L1263" i="1"/>
  <c r="L1268" i="1"/>
  <c r="L1275" i="1"/>
  <c r="L1278" i="1"/>
  <c r="L1269" i="1"/>
  <c r="L1276" i="1"/>
  <c r="L1272" i="1"/>
  <c r="L1271" i="1"/>
  <c r="L1273" i="1"/>
  <c r="L1270" i="1"/>
  <c r="L1279" i="1"/>
  <c r="L1277" i="1"/>
  <c r="L1274" i="1"/>
  <c r="L1289" i="1"/>
  <c r="L1280" i="1"/>
  <c r="L1281" i="1"/>
  <c r="L1282" i="1"/>
  <c r="L1296" i="1"/>
  <c r="L1287" i="1"/>
  <c r="L1288" i="1"/>
  <c r="L1290" i="1"/>
  <c r="L1294" i="1"/>
  <c r="L1283" i="1"/>
  <c r="L1284" i="1"/>
  <c r="L1295" i="1"/>
  <c r="L1297" i="1"/>
  <c r="L1298" i="1"/>
  <c r="L1291" i="1"/>
  <c r="L1285" i="1"/>
  <c r="L1293" i="1"/>
  <c r="L1292" i="1"/>
  <c r="L1286" i="1"/>
  <c r="L1306" i="1"/>
  <c r="L1307" i="1"/>
  <c r="L1308" i="1"/>
  <c r="L1309" i="1"/>
  <c r="L1300" i="1"/>
  <c r="L1299" i="1"/>
  <c r="L1312" i="1"/>
  <c r="L1305" i="1"/>
  <c r="L1310" i="1"/>
  <c r="L1315" i="1"/>
  <c r="L1313" i="1"/>
  <c r="L1316" i="1"/>
  <c r="L1317" i="1"/>
  <c r="L1301" i="1"/>
  <c r="L1311" i="1"/>
  <c r="L1303" i="1"/>
  <c r="L1314" i="1"/>
  <c r="L1302" i="1"/>
  <c r="L1304" i="1"/>
  <c r="L1324" i="1"/>
  <c r="L1320" i="1"/>
  <c r="L1323" i="1"/>
  <c r="L1318" i="1"/>
  <c r="L1322" i="1"/>
  <c r="L1319" i="1"/>
  <c r="L1326" i="1"/>
  <c r="L1321" i="1"/>
  <c r="L1325" i="1"/>
  <c r="L1327" i="1"/>
  <c r="L1337" i="1"/>
  <c r="L1333" i="1"/>
  <c r="L1332" i="1"/>
  <c r="L1336" i="1"/>
  <c r="L1331" i="1"/>
  <c r="L1330" i="1"/>
  <c r="L1338" i="1"/>
  <c r="L1328" i="1"/>
  <c r="L1334" i="1"/>
  <c r="L1335" i="1"/>
  <c r="L1329" i="1"/>
  <c r="L1339" i="1"/>
  <c r="L1344" i="1"/>
  <c r="L1345" i="1"/>
  <c r="L1341" i="1"/>
  <c r="L1343" i="1"/>
  <c r="L1342" i="1"/>
  <c r="L1349" i="1"/>
  <c r="L1348" i="1"/>
  <c r="L1346" i="1"/>
  <c r="L1350" i="1"/>
  <c r="L1351" i="1"/>
  <c r="L1340" i="1"/>
  <c r="L1347" i="1"/>
  <c r="L1356" i="1"/>
  <c r="L1352" i="1"/>
  <c r="L1357" i="1"/>
  <c r="L1358" i="1"/>
  <c r="L1355" i="1"/>
  <c r="L1354" i="1"/>
  <c r="L1353" i="1"/>
  <c r="L1359" i="1"/>
  <c r="L1362" i="1"/>
  <c r="L1375" i="1"/>
  <c r="L1366" i="1"/>
  <c r="L1364" i="1"/>
  <c r="L1360" i="1"/>
  <c r="L1370" i="1"/>
  <c r="L1374" i="1"/>
  <c r="L1365" i="1"/>
  <c r="L1372" i="1"/>
  <c r="L1361" i="1"/>
  <c r="L1368" i="1"/>
  <c r="L1367" i="1"/>
  <c r="L1373" i="1"/>
  <c r="L1369" i="1"/>
  <c r="L1371" i="1"/>
  <c r="L1363" i="1"/>
  <c r="L1389" i="1"/>
  <c r="L1393" i="1"/>
  <c r="L1376" i="1"/>
  <c r="L1391" i="1"/>
  <c r="L1392" i="1"/>
  <c r="L1377" i="1"/>
  <c r="L1380" i="1"/>
  <c r="L1378" i="1"/>
  <c r="L1381" i="1"/>
  <c r="L1387" i="1"/>
  <c r="L1388" i="1"/>
  <c r="L1383" i="1"/>
  <c r="L1390" i="1"/>
  <c r="L1384" i="1"/>
  <c r="L1379" i="1"/>
  <c r="L1385" i="1"/>
  <c r="L1382" i="1"/>
  <c r="L1386" i="1"/>
  <c r="L1399" i="1"/>
  <c r="L1397" i="1"/>
  <c r="L1402" i="1"/>
  <c r="L1400" i="1"/>
  <c r="L1398" i="1"/>
  <c r="L1396" i="1"/>
  <c r="L1401" i="1"/>
  <c r="L1394" i="1"/>
  <c r="L1395" i="1"/>
  <c r="L1408" i="1"/>
  <c r="L1407" i="1"/>
  <c r="L1405" i="1"/>
  <c r="L1412" i="1"/>
  <c r="L1410" i="1"/>
  <c r="L1406" i="1"/>
  <c r="L1411" i="1"/>
  <c r="L1404" i="1"/>
  <c r="L1413" i="1"/>
  <c r="L1403" i="1"/>
  <c r="L1409" i="1"/>
  <c r="L1414" i="1"/>
  <c r="L1421" i="1"/>
  <c r="L1418" i="1"/>
  <c r="L1431" i="1"/>
  <c r="L1423" i="1"/>
  <c r="L1417" i="1"/>
  <c r="L1419" i="1"/>
  <c r="L1425" i="1"/>
  <c r="L1426" i="1"/>
  <c r="L1422" i="1"/>
  <c r="L1415" i="1"/>
  <c r="L1424" i="1"/>
  <c r="L1416" i="1"/>
  <c r="L1420" i="1"/>
  <c r="L1427" i="1"/>
  <c r="L1428" i="1"/>
  <c r="L1429" i="1"/>
  <c r="L1430" i="1"/>
  <c r="L1441" i="1"/>
  <c r="L1442" i="1"/>
  <c r="L1435" i="1"/>
  <c r="L1445" i="1"/>
  <c r="L1436" i="1"/>
  <c r="L1432" i="1"/>
  <c r="L1440" i="1"/>
  <c r="L1438" i="1"/>
  <c r="L1433" i="1"/>
  <c r="L1439" i="1"/>
  <c r="L1446" i="1"/>
  <c r="L1434" i="1"/>
  <c r="L1437" i="1"/>
  <c r="L1443" i="1"/>
  <c r="L1444" i="1"/>
  <c r="L1447" i="1"/>
  <c r="L1456" i="1"/>
  <c r="L1448" i="1"/>
  <c r="L1462" i="1"/>
  <c r="L1461" i="1"/>
  <c r="L1455" i="1"/>
  <c r="L1457" i="1"/>
  <c r="L1451" i="1"/>
  <c r="L1458" i="1"/>
  <c r="L1459" i="1"/>
  <c r="L1449" i="1"/>
  <c r="L1460" i="1"/>
  <c r="L1450" i="1"/>
  <c r="L1452" i="1"/>
  <c r="L1453" i="1"/>
  <c r="L1454" i="1"/>
  <c r="L1473" i="1"/>
  <c r="L1471" i="1"/>
  <c r="L1476" i="1"/>
  <c r="L1469" i="1"/>
  <c r="L1466" i="1"/>
  <c r="L1474" i="1"/>
  <c r="L1470" i="1"/>
  <c r="L1463" i="1"/>
  <c r="L1472" i="1"/>
  <c r="L1475" i="1"/>
  <c r="L1465" i="1"/>
  <c r="L1467" i="1"/>
  <c r="L1468" i="1"/>
  <c r="L1464" i="1"/>
  <c r="L1481" i="1"/>
  <c r="L1492" i="1"/>
  <c r="L1487" i="1"/>
  <c r="L1493" i="1"/>
  <c r="L1497" i="1"/>
  <c r="L1488" i="1"/>
  <c r="L1478" i="1"/>
  <c r="L1496" i="1"/>
  <c r="L1485" i="1"/>
  <c r="L1479" i="1"/>
  <c r="L1482" i="1"/>
  <c r="L1491" i="1"/>
  <c r="L1486" i="1"/>
  <c r="L1477" i="1"/>
  <c r="L1498" i="1"/>
  <c r="L1489" i="1"/>
  <c r="L1490" i="1"/>
  <c r="L1494" i="1"/>
  <c r="L1480" i="1"/>
  <c r="L1483" i="1"/>
  <c r="L1495" i="1"/>
  <c r="L1484" i="1"/>
  <c r="L1499" i="1"/>
  <c r="L1501" i="1"/>
  <c r="L1503" i="1"/>
  <c r="L1504" i="1"/>
  <c r="L1510" i="1"/>
  <c r="L1507" i="1"/>
  <c r="L1500" i="1"/>
  <c r="L1506" i="1"/>
  <c r="L1502" i="1"/>
  <c r="L1505" i="1"/>
  <c r="L1509" i="1"/>
  <c r="L1508" i="1"/>
  <c r="L1511" i="1"/>
  <c r="L1518" i="1"/>
  <c r="L1512" i="1"/>
  <c r="L1523" i="1"/>
  <c r="L1516" i="1"/>
  <c r="L1517" i="1"/>
  <c r="L1522" i="1"/>
  <c r="L1521" i="1"/>
  <c r="L1519" i="1"/>
  <c r="L1513" i="1"/>
  <c r="L1514" i="1"/>
  <c r="L1515" i="1"/>
  <c r="L1520" i="1"/>
  <c r="L1541" i="1"/>
  <c r="L1537" i="1"/>
  <c r="L1528" i="1"/>
  <c r="L1529" i="1"/>
  <c r="L1530" i="1"/>
  <c r="L1526" i="1"/>
  <c r="L1542" i="1"/>
  <c r="L1531" i="1"/>
  <c r="L1532" i="1"/>
  <c r="L1524" i="1"/>
  <c r="L1540" i="1"/>
  <c r="L1534" i="1"/>
  <c r="L1535" i="1"/>
  <c r="L1533" i="1"/>
  <c r="L1527" i="1"/>
  <c r="L1539" i="1"/>
  <c r="L1536" i="1"/>
  <c r="L1538" i="1"/>
  <c r="L1525" i="1"/>
  <c r="L1549" i="1"/>
  <c r="L1553" i="1"/>
  <c r="L1543" i="1"/>
  <c r="L1544" i="1"/>
  <c r="L1547" i="1"/>
  <c r="L1550" i="1"/>
  <c r="L1551" i="1"/>
  <c r="L1548" i="1"/>
  <c r="L1545" i="1"/>
  <c r="L1546" i="1"/>
  <c r="L1552" i="1"/>
  <c r="L1564" i="1"/>
  <c r="L1559" i="1"/>
  <c r="L1560" i="1"/>
  <c r="L1565" i="1"/>
  <c r="L1563" i="1"/>
  <c r="L1556" i="1"/>
  <c r="L1561" i="1"/>
  <c r="L1558" i="1"/>
  <c r="L1562" i="1"/>
  <c r="L1555" i="1"/>
  <c r="L1557" i="1"/>
  <c r="L1554" i="1"/>
  <c r="L1566" i="1"/>
  <c r="L1579" i="1"/>
  <c r="L1578" i="1"/>
  <c r="L1575" i="1"/>
  <c r="L1571" i="1"/>
  <c r="L1568" i="1"/>
  <c r="L1574" i="1"/>
  <c r="L1572" i="1"/>
  <c r="L1569" i="1"/>
  <c r="L1567" i="1"/>
  <c r="L1577" i="1"/>
  <c r="L1573" i="1"/>
  <c r="L1576" i="1"/>
  <c r="L1570" i="1"/>
  <c r="L1583" i="1"/>
  <c r="L1582" i="1"/>
  <c r="L1584" i="1"/>
  <c r="L1588" i="1"/>
  <c r="L1580" i="1"/>
  <c r="L1587" i="1"/>
  <c r="L1585" i="1"/>
  <c r="L1586" i="1"/>
  <c r="L1589" i="1"/>
  <c r="L1581" i="1"/>
  <c r="L1597" i="1"/>
  <c r="L1599" i="1"/>
  <c r="L1590" i="1"/>
  <c r="L1600" i="1"/>
  <c r="L1593" i="1"/>
  <c r="L1595" i="1"/>
  <c r="L1601" i="1"/>
  <c r="L1594" i="1"/>
  <c r="L1591" i="1"/>
  <c r="L1596" i="1"/>
  <c r="L1603" i="1"/>
  <c r="L1592" i="1"/>
  <c r="L1602" i="1"/>
  <c r="L1598" i="1"/>
  <c r="L1605" i="1"/>
  <c r="L1612" i="1"/>
  <c r="L1606" i="1"/>
  <c r="L1608" i="1"/>
  <c r="L1610" i="1"/>
  <c r="L1611" i="1"/>
  <c r="L1607" i="1"/>
  <c r="L1604" i="1"/>
  <c r="L1609" i="1"/>
  <c r="L1619" i="1"/>
  <c r="L1613" i="1"/>
  <c r="L1614" i="1"/>
  <c r="L1622" i="1"/>
  <c r="L1617" i="1"/>
  <c r="L1615" i="1"/>
  <c r="L1621" i="1"/>
  <c r="L1620" i="1"/>
  <c r="L1618" i="1"/>
  <c r="L1616" i="1"/>
  <c r="L1623" i="1"/>
  <c r="L1637" i="1"/>
  <c r="L1630" i="1"/>
  <c r="L1624" i="1"/>
  <c r="L1635" i="1"/>
  <c r="L1626" i="1"/>
  <c r="L1634" i="1"/>
  <c r="L1625" i="1"/>
  <c r="L1636" i="1"/>
  <c r="L1631" i="1"/>
  <c r="L1627" i="1"/>
  <c r="L1629" i="1"/>
  <c r="L1628" i="1"/>
  <c r="L1632" i="1"/>
  <c r="L1633" i="1"/>
  <c r="L1649" i="1"/>
  <c r="L1644" i="1"/>
  <c r="L1643" i="1"/>
  <c r="L1646" i="1"/>
  <c r="L1640" i="1"/>
  <c r="L1638" i="1"/>
  <c r="L1641" i="1"/>
  <c r="L1648" i="1"/>
  <c r="L1639" i="1"/>
  <c r="L1645" i="1"/>
  <c r="L1653" i="1"/>
  <c r="L1651" i="1"/>
  <c r="L1652" i="1"/>
  <c r="L1642" i="1"/>
  <c r="L1650" i="1"/>
  <c r="L1647" i="1"/>
  <c r="L1656" i="1"/>
  <c r="L1661" i="1"/>
  <c r="L1655" i="1"/>
  <c r="L1657" i="1"/>
  <c r="L1659" i="1"/>
  <c r="L1658" i="1"/>
  <c r="L1660" i="1"/>
  <c r="L1662" i="1"/>
  <c r="L1663" i="1"/>
  <c r="L1654" i="1"/>
  <c r="L1664" i="1"/>
  <c r="L1665" i="1"/>
  <c r="L1683" i="1"/>
  <c r="L1686" i="1"/>
  <c r="L1673" i="1"/>
  <c r="L1671" i="1"/>
  <c r="L1678" i="1"/>
  <c r="L1674" i="1"/>
  <c r="L1672" i="1"/>
  <c r="L1677" i="1"/>
  <c r="L1687" i="1"/>
  <c r="L1668" i="1"/>
  <c r="L1682" i="1"/>
  <c r="L1675" i="1"/>
  <c r="L1676" i="1"/>
  <c r="L1669" i="1"/>
  <c r="L1670" i="1"/>
  <c r="L1681" i="1"/>
  <c r="L1666" i="1"/>
  <c r="L1680" i="1"/>
  <c r="L1684" i="1"/>
  <c r="L1667" i="1"/>
  <c r="L1679" i="1"/>
  <c r="L1685" i="1"/>
  <c r="L1692" i="1"/>
  <c r="L1689" i="1"/>
  <c r="L1693" i="1"/>
  <c r="L1688" i="1"/>
  <c r="L1694" i="1"/>
  <c r="L1700" i="1"/>
  <c r="L1698" i="1"/>
  <c r="L1695" i="1"/>
  <c r="L1699" i="1"/>
  <c r="L1691" i="1"/>
  <c r="L1690" i="1"/>
  <c r="L1701" i="1"/>
  <c r="L1696" i="1"/>
  <c r="L1697" i="1"/>
  <c r="L1712" i="1"/>
  <c r="L1706" i="1"/>
  <c r="L1703" i="1"/>
  <c r="L1709" i="1"/>
  <c r="L1718" i="1"/>
  <c r="L1716" i="1"/>
  <c r="L1708" i="1"/>
  <c r="L1713" i="1"/>
  <c r="L1715" i="1"/>
  <c r="L1717" i="1"/>
  <c r="L1702" i="1"/>
  <c r="L1707" i="1"/>
  <c r="L1714" i="1"/>
  <c r="L1705" i="1"/>
  <c r="L1704" i="1"/>
  <c r="L1711" i="1"/>
  <c r="L1710" i="1"/>
  <c r="L1723" i="1"/>
  <c r="L1725" i="1"/>
  <c r="L1727" i="1"/>
  <c r="L1726" i="1"/>
  <c r="L1719" i="1"/>
  <c r="L1720" i="1"/>
  <c r="L1724" i="1"/>
  <c r="L1722" i="1"/>
  <c r="L1721" i="1"/>
  <c r="L1742" i="1"/>
  <c r="L1728" i="1"/>
  <c r="L1733" i="1"/>
  <c r="L1732" i="1"/>
  <c r="L1738" i="1"/>
  <c r="L1729" i="1"/>
  <c r="L1741" i="1"/>
  <c r="L1730" i="1"/>
  <c r="L1735" i="1"/>
  <c r="L1739" i="1"/>
  <c r="L1737" i="1"/>
  <c r="L1740" i="1"/>
  <c r="L1734" i="1"/>
  <c r="L1731" i="1"/>
  <c r="L1736" i="1"/>
  <c r="L1751" i="1"/>
  <c r="L1752" i="1"/>
  <c r="L1753" i="1"/>
  <c r="L1750" i="1"/>
  <c r="L1748" i="1"/>
  <c r="L1749" i="1"/>
  <c r="L1745" i="1"/>
  <c r="L1755" i="1"/>
  <c r="L1743" i="1"/>
  <c r="L1746" i="1"/>
  <c r="L1756" i="1"/>
  <c r="L1754" i="1"/>
  <c r="L1744" i="1"/>
  <c r="L1747" i="1"/>
  <c r="L1757" i="1"/>
  <c r="L1760" i="1"/>
  <c r="L1768" i="1"/>
  <c r="L1765" i="1"/>
  <c r="L1767" i="1"/>
  <c r="L1759" i="1"/>
  <c r="L1766" i="1"/>
  <c r="L1761" i="1"/>
  <c r="L1764" i="1"/>
  <c r="L1758" i="1"/>
  <c r="L1763" i="1"/>
  <c r="L1762" i="1"/>
  <c r="L1776" i="1"/>
  <c r="L1771" i="1"/>
  <c r="L1772" i="1"/>
  <c r="L1783" i="1"/>
  <c r="L1784" i="1"/>
  <c r="L1781" i="1"/>
  <c r="L1778" i="1"/>
  <c r="L1773" i="1"/>
  <c r="L1779" i="1"/>
  <c r="L1777" i="1"/>
  <c r="L1769" i="1"/>
  <c r="L1782" i="1"/>
  <c r="L1774" i="1"/>
  <c r="L1775" i="1"/>
  <c r="L1770" i="1"/>
  <c r="L1785" i="1"/>
  <c r="L1780" i="1"/>
  <c r="L1788" i="1"/>
  <c r="L1787" i="1"/>
  <c r="L1789" i="1"/>
  <c r="L1786" i="1"/>
  <c r="L1791" i="1"/>
  <c r="L1790" i="1"/>
  <c r="L1799" i="1"/>
  <c r="L1794" i="1"/>
  <c r="L1801" i="1"/>
  <c r="L1798" i="1"/>
  <c r="L1803" i="1"/>
  <c r="L1792" i="1"/>
  <c r="L1804" i="1"/>
  <c r="L1806" i="1"/>
  <c r="L1802" i="1"/>
  <c r="L1795" i="1"/>
  <c r="L1807" i="1"/>
  <c r="L1808" i="1"/>
  <c r="L1796" i="1"/>
  <c r="L1797" i="1"/>
  <c r="L1793" i="1"/>
  <c r="L1805" i="1"/>
  <c r="L1800" i="1"/>
  <c r="L1813" i="1"/>
  <c r="L1814" i="1"/>
  <c r="L1811" i="1"/>
  <c r="L1809" i="1"/>
  <c r="L1812" i="1"/>
  <c r="L1810" i="1"/>
  <c r="L1816" i="1"/>
  <c r="L1818" i="1"/>
  <c r="L1827" i="1"/>
  <c r="L1828" i="1"/>
  <c r="L1826" i="1"/>
  <c r="L1815" i="1"/>
  <c r="L1823" i="1"/>
  <c r="L1817" i="1"/>
  <c r="L1819" i="1"/>
  <c r="L1829" i="1"/>
  <c r="L1830" i="1"/>
  <c r="L1824" i="1"/>
  <c r="L1825" i="1"/>
  <c r="L1821" i="1"/>
  <c r="L1822" i="1"/>
  <c r="L1820" i="1"/>
  <c r="L1837" i="1"/>
  <c r="L1848" i="1"/>
  <c r="L1831" i="1"/>
  <c r="L1842" i="1"/>
  <c r="L1844" i="1"/>
  <c r="L1845" i="1"/>
  <c r="L1846" i="1"/>
  <c r="L1847" i="1"/>
  <c r="L1839" i="1"/>
  <c r="L1838" i="1"/>
  <c r="L1835" i="1"/>
  <c r="L1840" i="1"/>
  <c r="L1832" i="1"/>
  <c r="L1843" i="1"/>
  <c r="L1833" i="1"/>
  <c r="L1834" i="1"/>
  <c r="L1841" i="1"/>
  <c r="L1836" i="1"/>
  <c r="L1854" i="1"/>
  <c r="L1850" i="1"/>
  <c r="L1852" i="1"/>
  <c r="L1858" i="1"/>
  <c r="L1856" i="1"/>
  <c r="L1853" i="1"/>
  <c r="L1855" i="1"/>
  <c r="L1857" i="1"/>
  <c r="L1849" i="1"/>
  <c r="L1851" i="1"/>
  <c r="L1871" i="1"/>
  <c r="L1872" i="1"/>
  <c r="L1874" i="1"/>
  <c r="L1868" i="1"/>
  <c r="L1875" i="1"/>
  <c r="L1862" i="1"/>
  <c r="L1870" i="1"/>
  <c r="L1873" i="1"/>
  <c r="L1864" i="1"/>
  <c r="L1866" i="1"/>
  <c r="L1869" i="1"/>
  <c r="L1860" i="1"/>
  <c r="L1867" i="1"/>
  <c r="L1863" i="1"/>
  <c r="L1859" i="1"/>
  <c r="L1861" i="1"/>
  <c r="L1865" i="1"/>
  <c r="L1888" i="1"/>
  <c r="L1879" i="1"/>
  <c r="L1885" i="1"/>
  <c r="L1880" i="1"/>
  <c r="L1890" i="1"/>
  <c r="L1877" i="1"/>
  <c r="L1887" i="1"/>
  <c r="L1891" i="1"/>
  <c r="L1889" i="1"/>
  <c r="L1881" i="1"/>
  <c r="L1886" i="1"/>
  <c r="L1882" i="1"/>
  <c r="L1884" i="1"/>
  <c r="L1878" i="1"/>
  <c r="L1876" i="1"/>
  <c r="L1883" i="1"/>
  <c r="L1892" i="1"/>
  <c r="L1893" i="1"/>
  <c r="L1900" i="1"/>
  <c r="L1894" i="1"/>
  <c r="L1895" i="1"/>
  <c r="L1897" i="1"/>
  <c r="L1898" i="1"/>
  <c r="L1899" i="1"/>
  <c r="L1896" i="1"/>
  <c r="L1910" i="1"/>
  <c r="L1912" i="1"/>
  <c r="L1911" i="1"/>
  <c r="L1901" i="1"/>
  <c r="L1903" i="1"/>
  <c r="L1904" i="1"/>
  <c r="L1907" i="1"/>
  <c r="L1913" i="1"/>
  <c r="L1908" i="1"/>
  <c r="L1905" i="1"/>
  <c r="L1914" i="1"/>
  <c r="L1909" i="1"/>
  <c r="L1902" i="1"/>
  <c r="L1906" i="1"/>
  <c r="L1915" i="1"/>
  <c r="L1919" i="1"/>
  <c r="L1916" i="1"/>
  <c r="L1917" i="1"/>
  <c r="L1921" i="1"/>
  <c r="L1920" i="1"/>
  <c r="L1922" i="1"/>
  <c r="L1918" i="1"/>
  <c r="L1933" i="1"/>
  <c r="L1931" i="1"/>
  <c r="L1929" i="1"/>
  <c r="L1926" i="1"/>
  <c r="L1930" i="1"/>
  <c r="L1934" i="1"/>
  <c r="L1928" i="1"/>
  <c r="L1923" i="1"/>
  <c r="L1925" i="1"/>
  <c r="L1924" i="1"/>
  <c r="L1927" i="1"/>
  <c r="L1932" i="1"/>
  <c r="L1940" i="1"/>
  <c r="L1937" i="1"/>
  <c r="L1943" i="1"/>
  <c r="L1942" i="1"/>
  <c r="L1941" i="1"/>
  <c r="L1939" i="1"/>
  <c r="L1945" i="1"/>
  <c r="L1938" i="1"/>
  <c r="L1935" i="1"/>
  <c r="L1944" i="1"/>
  <c r="L1936" i="1"/>
  <c r="L1950" i="1"/>
  <c r="L1949" i="1"/>
  <c r="L1946" i="1"/>
  <c r="L1952" i="1"/>
  <c r="L1947" i="1"/>
  <c r="L1951" i="1"/>
  <c r="L1948" i="1"/>
  <c r="L1959" i="1"/>
  <c r="L1963" i="1"/>
  <c r="L1955" i="1"/>
  <c r="L1958" i="1"/>
  <c r="L1962" i="1"/>
  <c r="L1956" i="1"/>
  <c r="L1966" i="1"/>
  <c r="L1960" i="1"/>
  <c r="L1965" i="1"/>
  <c r="L1954" i="1"/>
  <c r="L1953" i="1"/>
  <c r="L1957" i="1"/>
  <c r="L1961" i="1"/>
  <c r="L1964" i="1"/>
  <c r="L1970" i="1"/>
  <c r="L1976" i="1"/>
  <c r="L1967" i="1"/>
  <c r="L1978" i="1"/>
  <c r="L1977" i="1"/>
  <c r="L1972" i="1"/>
  <c r="L1968" i="1"/>
  <c r="L1974" i="1"/>
  <c r="L1971" i="1"/>
  <c r="L1975" i="1"/>
  <c r="L1969" i="1"/>
  <c r="L1973" i="1"/>
  <c r="L1985" i="1"/>
  <c r="L1984" i="1"/>
  <c r="L1980" i="1"/>
  <c r="L1983" i="1"/>
  <c r="L1982" i="1"/>
  <c r="L1981" i="1"/>
  <c r="L1986" i="1"/>
  <c r="L1979" i="1"/>
  <c r="L1996" i="1"/>
  <c r="L1992" i="1"/>
  <c r="L1990" i="1"/>
  <c r="L2002" i="1"/>
  <c r="L1997" i="1"/>
  <c r="L1993" i="1"/>
  <c r="L1994" i="1"/>
  <c r="L2003" i="1"/>
  <c r="L1998" i="1"/>
  <c r="L1988" i="1"/>
  <c r="L1999" i="1"/>
  <c r="L2000" i="1"/>
  <c r="L1989" i="1"/>
  <c r="L1987" i="1"/>
  <c r="L1995" i="1"/>
  <c r="L1991" i="1"/>
  <c r="L2013" i="1"/>
  <c r="L2011" i="1"/>
  <c r="L2016" i="1"/>
  <c r="L2015" i="1"/>
  <c r="L2009" i="1"/>
  <c r="L2004" i="1"/>
  <c r="L2005" i="1"/>
  <c r="L2014" i="1"/>
  <c r="L2012" i="1"/>
  <c r="L2017" i="1"/>
  <c r="L2006" i="1"/>
  <c r="L2007" i="1"/>
  <c r="L2008" i="1"/>
  <c r="L2029" i="1"/>
  <c r="L2019" i="1"/>
  <c r="L2021" i="1"/>
  <c r="L2027" i="1"/>
  <c r="L2024" i="1"/>
  <c r="L2018" i="1"/>
  <c r="L2023" i="1"/>
  <c r="L2020" i="1"/>
  <c r="L2026" i="1"/>
  <c r="L2022" i="1"/>
  <c r="L2028" i="1"/>
  <c r="L2025" i="1"/>
  <c r="L2035" i="1"/>
  <c r="L2036" i="1"/>
  <c r="L2038" i="1"/>
  <c r="L2033" i="1"/>
  <c r="L2030" i="1"/>
  <c r="L2041" i="1"/>
  <c r="L2039" i="1"/>
  <c r="L2031" i="1"/>
  <c r="L2032" i="1"/>
  <c r="L2042" i="1"/>
  <c r="L2037" i="1"/>
  <c r="L2040" i="1"/>
  <c r="L2043" i="1"/>
  <c r="L2051" i="1"/>
  <c r="L2046" i="1"/>
  <c r="L2053" i="1"/>
  <c r="L2047" i="1"/>
  <c r="L2057" i="1"/>
  <c r="L2044" i="1"/>
  <c r="L2049" i="1"/>
  <c r="L2052" i="1"/>
  <c r="L2056" i="1"/>
  <c r="L2050" i="1"/>
  <c r="L2048" i="1"/>
  <c r="L2054" i="1"/>
  <c r="L2045" i="1"/>
  <c r="L2055" i="1"/>
  <c r="L2065" i="1"/>
  <c r="L2062" i="1"/>
  <c r="L2074" i="1"/>
  <c r="L2060" i="1"/>
  <c r="L2058" i="1"/>
  <c r="L2068" i="1"/>
  <c r="L2066" i="1"/>
  <c r="L2059" i="1"/>
  <c r="L2061" i="1"/>
  <c r="L2064" i="1"/>
  <c r="L2067" i="1"/>
  <c r="L2071" i="1"/>
  <c r="L2063" i="1"/>
  <c r="L2073" i="1"/>
  <c r="L2069" i="1"/>
  <c r="L2072" i="1"/>
  <c r="L2080" i="1"/>
  <c r="L2077" i="1"/>
  <c r="L2076" i="1"/>
  <c r="L2081" i="1"/>
  <c r="L2075" i="1"/>
  <c r="L2082" i="1"/>
  <c r="L2078" i="1"/>
  <c r="L2079" i="1"/>
  <c r="L2083" i="1"/>
  <c r="L2092" i="1"/>
  <c r="L2096" i="1"/>
  <c r="L2089" i="1"/>
  <c r="L2090" i="1"/>
  <c r="L2093" i="1"/>
  <c r="L2084" i="1"/>
  <c r="L2088" i="1"/>
  <c r="L2085" i="1"/>
  <c r="L2091" i="1"/>
  <c r="L2094" i="1"/>
  <c r="L2087" i="1"/>
  <c r="L2086" i="1"/>
  <c r="L2095" i="1"/>
  <c r="L2097" i="1"/>
  <c r="L2104" i="1"/>
  <c r="L2103" i="1"/>
  <c r="L2101" i="1"/>
  <c r="L2099" i="1"/>
  <c r="L2098" i="1"/>
  <c r="L2105" i="1"/>
  <c r="L2102" i="1"/>
  <c r="L2100" i="1"/>
  <c r="L2106" i="1"/>
  <c r="L2119" i="1"/>
  <c r="L2117" i="1"/>
  <c r="L2115" i="1"/>
  <c r="L2112" i="1"/>
  <c r="L2114" i="1"/>
  <c r="L2116" i="1"/>
  <c r="L2121" i="1"/>
  <c r="L2110" i="1"/>
  <c r="L2107" i="1"/>
  <c r="L2120" i="1"/>
  <c r="L2108" i="1"/>
  <c r="L2111" i="1"/>
  <c r="L2122" i="1"/>
  <c r="L2113" i="1"/>
  <c r="L2109" i="1"/>
  <c r="L2118" i="1"/>
  <c r="L2123" i="1"/>
  <c r="L2132" i="1"/>
  <c r="L2130" i="1"/>
  <c r="L2128" i="1"/>
  <c r="L2125" i="1"/>
  <c r="L2131" i="1"/>
  <c r="L2126" i="1"/>
  <c r="L2124" i="1"/>
  <c r="L2127" i="1"/>
  <c r="L2129" i="1"/>
  <c r="L2135" i="1"/>
  <c r="L2140" i="1"/>
  <c r="L2144" i="1"/>
  <c r="L2133" i="1"/>
  <c r="L2138" i="1"/>
  <c r="L2134" i="1"/>
  <c r="L2142" i="1"/>
  <c r="L2143" i="1"/>
  <c r="L2141" i="1"/>
  <c r="L2137" i="1"/>
  <c r="L2136" i="1"/>
  <c r="L2139" i="1"/>
  <c r="L2151" i="1"/>
  <c r="L2148" i="1"/>
  <c r="L2146" i="1"/>
  <c r="L2145" i="1"/>
  <c r="L2147" i="1"/>
  <c r="L2149" i="1"/>
  <c r="L2150" i="1"/>
  <c r="L2152" i="1"/>
  <c r="L2159" i="1"/>
  <c r="L2160" i="1"/>
  <c r="L2163" i="1"/>
  <c r="L2162" i="1"/>
  <c r="L2155" i="1"/>
  <c r="L2154" i="1"/>
  <c r="L2158" i="1"/>
  <c r="L2156" i="1"/>
  <c r="L2161" i="1"/>
  <c r="L2164" i="1"/>
  <c r="L2153" i="1"/>
  <c r="L2157" i="1"/>
  <c r="L2165" i="1"/>
  <c r="L2170" i="1"/>
  <c r="L2166" i="1"/>
  <c r="L2167" i="1"/>
  <c r="L2171" i="1"/>
  <c r="L2174" i="1"/>
  <c r="L2168" i="1"/>
  <c r="L2172" i="1"/>
  <c r="L2169" i="1"/>
  <c r="L2173" i="1"/>
  <c r="L2189" i="1"/>
  <c r="L2177" i="1"/>
  <c r="L2181" i="1"/>
  <c r="L2175" i="1"/>
  <c r="L2182" i="1"/>
  <c r="L2183" i="1"/>
  <c r="L2178" i="1"/>
  <c r="L2190" i="1"/>
  <c r="L2179" i="1"/>
  <c r="L2184" i="1"/>
  <c r="L2185" i="1"/>
  <c r="L2187" i="1"/>
  <c r="L2176" i="1"/>
  <c r="L2188" i="1"/>
  <c r="L2191" i="1"/>
  <c r="L2186" i="1"/>
  <c r="L2198" i="1"/>
  <c r="L2194" i="1"/>
  <c r="L2199" i="1"/>
  <c r="L2196" i="1"/>
  <c r="L2193" i="1"/>
  <c r="L2192" i="1"/>
  <c r="L2200" i="1"/>
  <c r="L2201" i="1"/>
  <c r="L2197" i="1"/>
  <c r="L2195" i="1"/>
  <c r="L2205" i="1"/>
  <c r="L2210" i="1"/>
  <c r="L2202" i="1"/>
  <c r="L2203" i="1"/>
  <c r="L2206" i="1"/>
  <c r="L2212" i="1"/>
  <c r="L2208" i="1"/>
  <c r="L2207" i="1"/>
  <c r="L2213" i="1"/>
  <c r="L2214" i="1"/>
  <c r="L2209" i="1"/>
  <c r="L2211" i="1"/>
  <c r="L2204" i="1"/>
  <c r="L2217" i="1"/>
  <c r="L2215" i="1"/>
  <c r="L2225" i="1"/>
  <c r="L2223" i="1"/>
  <c r="L2228" i="1"/>
  <c r="L2218" i="1"/>
  <c r="L2220" i="1"/>
  <c r="L2216" i="1"/>
  <c r="L2226" i="1"/>
  <c r="L2231" i="1"/>
  <c r="L2224" i="1"/>
  <c r="L2229" i="1"/>
  <c r="L2221" i="1"/>
  <c r="L2222" i="1"/>
  <c r="L2227" i="1"/>
  <c r="L2219" i="1"/>
  <c r="L2230" i="1"/>
  <c r="L2254" i="1"/>
  <c r="L2240" i="1"/>
  <c r="L2234" i="1"/>
  <c r="L2232" i="1"/>
  <c r="L2238" i="1"/>
  <c r="L2235" i="1"/>
  <c r="L2250" i="1"/>
  <c r="L2243" i="1"/>
  <c r="L2236" i="1"/>
  <c r="L2237" i="1"/>
  <c r="L2239" i="1"/>
  <c r="L2242" i="1"/>
  <c r="L2244" i="1"/>
  <c r="L2251" i="1"/>
  <c r="L2249" i="1"/>
  <c r="L2245" i="1"/>
  <c r="L2246" i="1"/>
  <c r="L2241" i="1"/>
  <c r="L2247" i="1"/>
  <c r="L2253" i="1"/>
  <c r="L2252" i="1"/>
  <c r="L2233" i="1"/>
  <c r="L2248" i="1"/>
  <c r="L2257" i="1"/>
  <c r="L2264" i="1"/>
  <c r="L2259" i="1"/>
  <c r="L2268" i="1"/>
  <c r="L2255" i="1"/>
  <c r="L2261" i="1"/>
  <c r="L2265" i="1"/>
  <c r="L2269" i="1"/>
  <c r="L2262" i="1"/>
  <c r="L2260" i="1"/>
  <c r="L2258" i="1"/>
  <c r="L2263" i="1"/>
  <c r="L2266" i="1"/>
  <c r="L2256" i="1"/>
  <c r="L2267" i="1"/>
  <c r="L2270" i="1"/>
  <c r="L2280" i="1"/>
  <c r="L2272" i="1"/>
  <c r="L2274" i="1"/>
  <c r="L2281" i="1"/>
  <c r="L2279" i="1"/>
  <c r="L2275" i="1"/>
  <c r="L2278" i="1"/>
  <c r="L2271" i="1"/>
  <c r="L2276" i="1"/>
  <c r="L2273" i="1"/>
  <c r="L2282" i="1"/>
  <c r="L2277" i="1"/>
  <c r="L2284" i="1"/>
  <c r="L2300" i="1"/>
  <c r="L2289" i="1"/>
  <c r="L2293" i="1"/>
  <c r="L2288" i="1"/>
  <c r="L2285" i="1"/>
  <c r="L2295" i="1"/>
  <c r="L2297" i="1"/>
  <c r="L2294" i="1"/>
  <c r="L2298" i="1"/>
  <c r="L2286" i="1"/>
  <c r="L2287" i="1"/>
  <c r="L2283" i="1"/>
  <c r="L2296" i="1"/>
  <c r="L2291" i="1"/>
  <c r="L2290" i="1"/>
  <c r="L2292" i="1"/>
  <c r="L2299" i="1"/>
  <c r="L2301" i="1"/>
  <c r="L2309" i="1"/>
  <c r="L2302" i="1"/>
  <c r="L2306" i="1"/>
  <c r="L2307" i="1"/>
  <c r="L2308" i="1"/>
  <c r="L2305" i="1"/>
  <c r="L2303" i="1"/>
  <c r="L2304" i="1"/>
  <c r="L2315" i="1"/>
  <c r="L2313" i="1"/>
  <c r="L2320" i="1"/>
  <c r="L2321" i="1"/>
  <c r="L2319" i="1"/>
  <c r="L2310" i="1"/>
  <c r="L2323" i="1"/>
  <c r="L2314" i="1"/>
  <c r="L2318" i="1"/>
  <c r="L2322" i="1"/>
  <c r="L2311" i="1"/>
  <c r="L2317" i="1"/>
  <c r="L2312" i="1"/>
  <c r="L2316" i="1"/>
  <c r="L2332" i="1"/>
  <c r="L2331" i="1"/>
  <c r="L2325" i="1"/>
  <c r="L2327" i="1"/>
  <c r="L2336" i="1"/>
  <c r="L2337" i="1"/>
  <c r="L2328" i="1"/>
  <c r="L2338" i="1"/>
  <c r="L2333" i="1"/>
  <c r="L2330" i="1"/>
  <c r="L2324" i="1"/>
  <c r="L2334" i="1"/>
  <c r="L2329" i="1"/>
  <c r="L2335" i="1"/>
  <c r="L2326" i="1"/>
  <c r="L2342" i="1"/>
  <c r="L2339" i="1"/>
  <c r="L2340" i="1"/>
  <c r="L2347" i="1"/>
  <c r="L2341" i="1"/>
  <c r="L2346" i="1"/>
  <c r="L2344" i="1"/>
  <c r="L2348" i="1"/>
  <c r="L2343" i="1"/>
  <c r="L2345" i="1"/>
  <c r="L2349" i="1"/>
  <c r="L2352" i="1"/>
  <c r="L2357" i="1"/>
  <c r="L2355" i="1"/>
  <c r="L2354" i="1"/>
  <c r="L2350" i="1"/>
  <c r="L2353" i="1"/>
  <c r="L2351" i="1"/>
  <c r="L2356" i="1"/>
  <c r="L2360" i="1"/>
  <c r="L2361" i="1"/>
  <c r="L2362" i="1"/>
  <c r="L2365" i="1"/>
  <c r="L2371" i="1"/>
  <c r="L2367" i="1"/>
  <c r="L2366" i="1"/>
  <c r="L2364" i="1"/>
  <c r="L2358" i="1"/>
  <c r="L2368" i="1"/>
  <c r="L2369" i="1"/>
  <c r="L2363" i="1"/>
  <c r="L2370" i="1"/>
  <c r="L2359" i="1"/>
  <c r="L2373" i="1"/>
  <c r="L2374" i="1"/>
  <c r="L2380" i="1"/>
  <c r="L2386" i="1"/>
  <c r="L2384" i="1"/>
  <c r="L2382" i="1"/>
  <c r="L2377" i="1"/>
  <c r="L2381" i="1"/>
  <c r="L2372" i="1"/>
  <c r="L2376" i="1"/>
  <c r="L2378" i="1"/>
  <c r="L2383" i="1"/>
  <c r="L2375" i="1"/>
  <c r="L2379" i="1"/>
  <c r="L2385" i="1"/>
  <c r="L2387" i="1"/>
  <c r="L2395" i="1"/>
  <c r="L2396" i="1"/>
  <c r="L2393" i="1"/>
  <c r="L2397" i="1"/>
  <c r="L2398" i="1"/>
  <c r="L2400" i="1"/>
  <c r="L2391" i="1"/>
  <c r="L2388" i="1"/>
  <c r="L2399" i="1"/>
  <c r="L2389" i="1"/>
  <c r="L2392" i="1"/>
  <c r="L2394" i="1"/>
  <c r="L2390" i="1"/>
  <c r="L2403" i="1"/>
  <c r="L2408" i="1"/>
  <c r="L2401" i="1"/>
  <c r="L2406" i="1"/>
  <c r="L2405" i="1"/>
  <c r="L2407" i="1"/>
  <c r="L2402" i="1"/>
  <c r="L2404" i="1"/>
  <c r="L2414" i="1"/>
  <c r="L2416" i="1"/>
  <c r="L2411" i="1"/>
  <c r="L2409" i="1"/>
  <c r="L2419" i="1"/>
  <c r="L2415" i="1"/>
  <c r="L2413" i="1"/>
  <c r="L2418" i="1"/>
  <c r="L2410" i="1"/>
  <c r="L2412" i="1"/>
  <c r="L2417" i="1"/>
  <c r="L2432" i="1"/>
  <c r="L2426" i="1"/>
  <c r="L2431" i="1"/>
  <c r="L2421" i="1"/>
  <c r="L2436" i="1"/>
  <c r="L2422" i="1"/>
  <c r="L2423" i="1"/>
  <c r="L2433" i="1"/>
  <c r="L2424" i="1"/>
  <c r="L2425" i="1"/>
  <c r="L2429" i="1"/>
  <c r="L2430" i="1"/>
  <c r="L2434" i="1"/>
  <c r="L2427" i="1"/>
  <c r="L2435" i="1"/>
  <c r="L2428" i="1"/>
  <c r="L2420" i="1"/>
  <c r="L2437" i="1"/>
  <c r="L2450" i="1"/>
  <c r="L2451" i="1"/>
  <c r="L2440" i="1"/>
  <c r="L2441" i="1"/>
  <c r="L2449" i="1"/>
  <c r="L2448" i="1"/>
  <c r="L2438" i="1"/>
  <c r="L2446" i="1"/>
  <c r="L2442" i="1"/>
  <c r="L2443" i="1"/>
  <c r="L2447" i="1"/>
  <c r="L2444" i="1"/>
  <c r="L2439" i="1"/>
  <c r="L2452" i="1"/>
  <c r="L2453" i="1"/>
  <c r="L2445" i="1"/>
  <c r="L2458" i="1"/>
  <c r="L2457" i="1"/>
  <c r="L2461" i="1"/>
  <c r="L2459" i="1"/>
  <c r="L2462" i="1"/>
  <c r="L2454" i="1"/>
  <c r="L2456" i="1"/>
  <c r="L2463" i="1"/>
  <c r="L2460" i="1"/>
  <c r="L2464" i="1"/>
  <c r="L2455" i="1"/>
  <c r="L2465" i="1"/>
  <c r="L2469" i="1"/>
  <c r="L2468" i="1"/>
  <c r="L2467" i="1"/>
  <c r="L2466" i="1"/>
  <c r="L2472" i="1"/>
  <c r="L2474" i="1"/>
  <c r="L2477" i="1"/>
  <c r="L2481" i="1"/>
  <c r="L2471" i="1"/>
  <c r="L2473" i="1"/>
  <c r="L2476" i="1"/>
  <c r="L2475" i="1"/>
  <c r="L2479" i="1"/>
  <c r="L2480" i="1"/>
  <c r="L2470" i="1"/>
  <c r="L2478" i="1"/>
  <c r="L2485" i="1"/>
  <c r="L2489" i="1"/>
  <c r="L2486" i="1"/>
  <c r="L2491" i="1"/>
  <c r="L2487" i="1"/>
  <c r="L2483" i="1"/>
  <c r="L2484" i="1"/>
  <c r="L2490" i="1"/>
  <c r="L2482" i="1"/>
  <c r="L2488" i="1"/>
  <c r="L2494" i="1"/>
  <c r="L2493" i="1"/>
  <c r="L2497" i="1"/>
  <c r="L2498" i="1"/>
  <c r="L2501" i="1"/>
  <c r="L2503" i="1"/>
  <c r="L2499" i="1"/>
  <c r="L2506" i="1"/>
  <c r="L2495" i="1"/>
  <c r="L2504" i="1"/>
  <c r="L2505" i="1"/>
  <c r="L2500" i="1"/>
  <c r="L2502" i="1"/>
  <c r="L2496" i="1"/>
  <c r="L2507" i="1"/>
  <c r="L2492" i="1"/>
  <c r="L2522" i="1"/>
  <c r="L2514" i="1"/>
  <c r="L2508" i="1"/>
  <c r="L2519" i="1"/>
  <c r="L2521" i="1"/>
  <c r="L2517" i="1"/>
  <c r="L2513" i="1"/>
  <c r="L2518" i="1"/>
  <c r="L2523" i="1"/>
  <c r="L2509" i="1"/>
  <c r="L2516" i="1"/>
  <c r="L2510" i="1"/>
  <c r="L2511" i="1"/>
  <c r="L2512" i="1"/>
  <c r="L2520" i="1"/>
  <c r="L2515" i="1"/>
  <c r="L2536" i="1"/>
  <c r="L2533" i="1"/>
  <c r="L2530" i="1"/>
  <c r="L2532" i="1"/>
  <c r="L2525" i="1"/>
  <c r="L2524" i="1"/>
  <c r="L2526" i="1"/>
  <c r="L2529" i="1"/>
  <c r="L2535" i="1"/>
  <c r="L2537" i="1"/>
  <c r="L2531" i="1"/>
  <c r="L2527" i="1"/>
  <c r="L2534" i="1"/>
  <c r="L2528" i="1"/>
  <c r="L2538" i="1"/>
  <c r="L2545" i="1"/>
  <c r="L2546" i="1"/>
  <c r="L2540" i="1"/>
  <c r="L2544" i="1"/>
  <c r="L2549" i="1"/>
  <c r="L2543" i="1"/>
  <c r="L2552" i="1"/>
  <c r="L2539" i="1"/>
  <c r="L2547" i="1"/>
  <c r="L2541" i="1"/>
  <c r="L2548" i="1"/>
  <c r="L2551" i="1"/>
  <c r="L2542" i="1"/>
  <c r="L2550" i="1"/>
  <c r="L2553" i="1"/>
  <c r="L2557" i="1"/>
  <c r="L2565" i="1"/>
  <c r="L2566" i="1"/>
  <c r="L2563" i="1"/>
  <c r="L2558" i="1"/>
  <c r="L2561" i="1"/>
  <c r="L2559" i="1"/>
  <c r="L2556" i="1"/>
  <c r="L2560" i="1"/>
  <c r="L2562" i="1"/>
  <c r="L2564" i="1"/>
  <c r="L2555" i="1"/>
  <c r="L2567" i="1"/>
  <c r="L2554" i="1"/>
  <c r="L2576" i="1"/>
  <c r="L2568" i="1"/>
  <c r="L2587" i="1"/>
  <c r="L2578" i="1"/>
  <c r="L2588" i="1"/>
  <c r="L2581" i="1"/>
  <c r="L2586" i="1"/>
  <c r="L2582" i="1"/>
  <c r="L2573" i="1"/>
  <c r="L2580" i="1"/>
  <c r="L2570" i="1"/>
  <c r="L2579" i="1"/>
  <c r="L2569" i="1"/>
  <c r="L2584" i="1"/>
  <c r="L2572" i="1"/>
  <c r="L2585" i="1"/>
  <c r="L2577" i="1"/>
  <c r="L2583" i="1"/>
  <c r="L2574" i="1"/>
  <c r="L2575" i="1"/>
  <c r="L2571" i="1"/>
  <c r="L2596" i="1"/>
  <c r="L2598" i="1"/>
  <c r="L2593" i="1"/>
  <c r="L2590" i="1"/>
  <c r="L2602" i="1"/>
  <c r="L2603" i="1"/>
  <c r="L2594" i="1"/>
  <c r="L2595" i="1"/>
  <c r="L2591" i="1"/>
  <c r="L2601" i="1"/>
  <c r="L2589" i="1"/>
  <c r="L2600" i="1"/>
  <c r="L2599" i="1"/>
  <c r="L2592" i="1"/>
  <c r="L2608" i="1"/>
  <c r="L2611" i="1"/>
  <c r="L2605" i="1"/>
  <c r="L2614" i="1"/>
  <c r="L2617" i="1"/>
  <c r="L2607" i="1"/>
  <c r="L2610" i="1"/>
  <c r="L2616" i="1"/>
  <c r="L2606" i="1"/>
  <c r="L2612" i="1"/>
  <c r="L2618" i="1"/>
  <c r="L2615" i="1"/>
  <c r="L2604" i="1"/>
  <c r="L2619" i="1"/>
  <c r="L2609" i="1"/>
  <c r="L2613" i="1"/>
  <c r="L2632" i="1"/>
  <c r="L2630" i="1"/>
  <c r="L2626" i="1"/>
  <c r="L2620" i="1"/>
  <c r="L2628" i="1"/>
  <c r="L2622" i="1"/>
  <c r="L2625" i="1"/>
  <c r="L2629" i="1"/>
  <c r="L2631" i="1"/>
  <c r="L2623" i="1"/>
  <c r="L2624" i="1"/>
  <c r="L2627" i="1"/>
  <c r="L2621" i="1"/>
  <c r="L2641" i="1"/>
  <c r="L2642" i="1"/>
  <c r="L2635" i="1"/>
  <c r="L2639" i="1"/>
  <c r="L2640" i="1"/>
  <c r="L2633" i="1"/>
  <c r="L2637" i="1"/>
  <c r="L2643" i="1"/>
  <c r="L2638" i="1"/>
  <c r="L2634" i="1"/>
  <c r="L2636" i="1"/>
  <c r="L2649" i="1"/>
  <c r="L2662" i="1"/>
  <c r="L2644" i="1"/>
  <c r="L2650" i="1"/>
  <c r="L2646" i="1"/>
  <c r="L2661" i="1"/>
  <c r="L2658" i="1"/>
  <c r="L2652" i="1"/>
  <c r="L2663" i="1"/>
  <c r="L2660" i="1"/>
  <c r="L2647" i="1"/>
  <c r="L2653" i="1"/>
  <c r="L2651" i="1"/>
  <c r="L2659" i="1"/>
  <c r="L2655" i="1"/>
  <c r="L2656" i="1"/>
  <c r="L2645" i="1"/>
  <c r="L2657" i="1"/>
  <c r="L2648" i="1"/>
  <c r="L2654" i="1"/>
  <c r="L2670" i="1"/>
  <c r="L2671" i="1"/>
  <c r="L2678" i="1"/>
  <c r="L2668" i="1"/>
  <c r="L2673" i="1"/>
  <c r="L2677" i="1"/>
  <c r="L2664" i="1"/>
  <c r="L2679" i="1"/>
  <c r="L2667" i="1"/>
  <c r="L2669" i="1"/>
  <c r="L2680" i="1"/>
  <c r="L2665" i="1"/>
  <c r="L2674" i="1"/>
  <c r="L2666" i="1"/>
  <c r="L2672" i="1"/>
  <c r="L2681" i="1"/>
  <c r="L2675" i="1"/>
  <c r="L2676" i="1"/>
  <c r="L2686" i="1"/>
  <c r="L2683" i="1"/>
  <c r="L2696" i="1"/>
  <c r="L2687" i="1"/>
  <c r="L2688" i="1"/>
  <c r="L2691" i="1"/>
  <c r="L2693" i="1"/>
  <c r="L2682" i="1"/>
  <c r="L2684" i="1"/>
  <c r="L2692" i="1"/>
  <c r="L2685" i="1"/>
  <c r="L2695" i="1"/>
  <c r="L2690" i="1"/>
  <c r="L2689" i="1"/>
  <c r="L2694" i="1"/>
  <c r="L2697" i="1"/>
  <c r="L2699" i="1"/>
  <c r="L2701" i="1"/>
  <c r="L2698" i="1"/>
  <c r="L2702" i="1"/>
  <c r="L2703" i="1"/>
  <c r="L2700" i="1"/>
  <c r="L2713" i="1"/>
  <c r="L2711" i="1"/>
  <c r="L2709" i="1"/>
  <c r="L2706" i="1"/>
  <c r="L2704" i="1"/>
  <c r="L2707" i="1"/>
  <c r="L2712" i="1"/>
  <c r="L2705" i="1"/>
  <c r="L2708" i="1"/>
  <c r="L2710" i="1"/>
  <c r="L2714" i="1"/>
  <c r="L2728" i="1"/>
  <c r="L2723" i="1"/>
  <c r="L2720" i="1"/>
  <c r="L2724" i="1"/>
  <c r="L2717" i="1"/>
  <c r="L2722" i="1"/>
  <c r="L2719" i="1"/>
  <c r="L2725" i="1"/>
  <c r="L2716" i="1"/>
  <c r="L2715" i="1"/>
  <c r="L2727" i="1"/>
  <c r="L2718" i="1"/>
  <c r="L2726" i="1"/>
  <c r="L2721" i="1"/>
  <c r="L2732" i="1"/>
  <c r="L2738" i="1"/>
  <c r="L2733" i="1"/>
  <c r="L2734" i="1"/>
  <c r="L2735" i="1"/>
  <c r="L2736" i="1"/>
  <c r="L2730" i="1"/>
  <c r="L2731" i="1"/>
  <c r="L2737" i="1"/>
  <c r="L2729" i="1"/>
  <c r="L2751" i="1"/>
  <c r="L2739" i="1"/>
  <c r="L2748" i="1"/>
  <c r="L2756" i="1"/>
  <c r="L2742" i="1"/>
  <c r="L2740" i="1"/>
  <c r="L2744" i="1"/>
  <c r="L2745" i="1"/>
  <c r="L2743" i="1"/>
  <c r="L2747" i="1"/>
  <c r="L2755" i="1"/>
  <c r="L2754" i="1"/>
  <c r="L2746" i="1"/>
  <c r="L2750" i="1"/>
  <c r="L2741" i="1"/>
  <c r="L2749" i="1"/>
  <c r="L2763" i="1"/>
  <c r="L2762" i="1"/>
  <c r="L2759" i="1"/>
  <c r="L2760" i="1"/>
  <c r="L2757" i="1"/>
  <c r="L2758" i="1"/>
  <c r="L2761" i="1"/>
  <c r="L2768" i="1"/>
  <c r="L2770" i="1"/>
  <c r="L2767" i="1"/>
  <c r="L2773" i="1"/>
  <c r="L2771" i="1"/>
  <c r="L2769" i="1"/>
  <c r="L2775" i="1"/>
  <c r="L2772" i="1"/>
  <c r="L2766" i="1"/>
  <c r="L2774" i="1"/>
  <c r="L2764" i="1"/>
  <c r="L2781" i="1"/>
  <c r="L2784" i="1"/>
  <c r="L2786" i="1"/>
  <c r="L2776" i="1"/>
  <c r="L2789" i="1"/>
  <c r="L2785" i="1"/>
  <c r="L2782" i="1"/>
  <c r="L2779" i="1"/>
  <c r="L2777" i="1"/>
  <c r="L2783" i="1"/>
  <c r="L2780" i="1"/>
  <c r="L2790" i="1"/>
  <c r="L2778" i="1"/>
  <c r="L2788" i="1"/>
  <c r="L2787" i="1"/>
  <c r="L2798" i="1"/>
  <c r="L2795" i="1"/>
  <c r="L2800" i="1"/>
  <c r="L2796" i="1"/>
  <c r="L2791" i="1"/>
  <c r="L2792" i="1"/>
  <c r="L2793" i="1"/>
  <c r="L2801" i="1"/>
  <c r="L2799" i="1"/>
  <c r="L2797" i="1"/>
  <c r="L2794" i="1"/>
  <c r="L2810" i="1"/>
  <c r="L2809" i="1"/>
  <c r="L2803" i="1"/>
  <c r="L2811" i="1"/>
  <c r="L2806" i="1"/>
  <c r="L2817" i="1"/>
  <c r="L2802" i="1"/>
  <c r="L2807" i="1"/>
  <c r="L2805" i="1"/>
  <c r="L2815" i="1"/>
  <c r="L2808" i="1"/>
  <c r="L2812" i="1"/>
  <c r="L2804" i="1"/>
  <c r="L2814" i="1"/>
  <c r="L2813" i="1"/>
  <c r="L2816" i="1"/>
  <c r="L2820" i="1"/>
  <c r="L2828" i="1"/>
  <c r="L2825" i="1"/>
  <c r="L2826" i="1"/>
  <c r="L2821" i="1"/>
  <c r="L2829" i="1"/>
  <c r="L2819" i="1"/>
  <c r="L2827" i="1"/>
  <c r="L2830" i="1"/>
  <c r="L2822" i="1"/>
  <c r="L2823" i="1"/>
  <c r="L2824" i="1"/>
  <c r="L2831" i="1"/>
  <c r="L2818" i="1"/>
  <c r="L2837" i="1"/>
  <c r="L2842" i="1"/>
  <c r="L2832" i="1"/>
  <c r="L2841" i="1"/>
  <c r="L2835" i="1"/>
  <c r="L2838" i="1"/>
  <c r="L2840" i="1"/>
  <c r="L2843" i="1"/>
  <c r="L2839" i="1"/>
  <c r="L2845" i="1"/>
  <c r="L2844" i="1"/>
  <c r="L2836" i="1"/>
  <c r="L2833" i="1"/>
  <c r="L2834" i="1"/>
  <c r="L2846" i="1"/>
  <c r="L2851" i="1"/>
  <c r="L2855" i="1"/>
  <c r="L2848" i="1"/>
  <c r="L2852" i="1"/>
  <c r="L2849" i="1"/>
  <c r="L2856" i="1"/>
  <c r="L2850" i="1"/>
  <c r="L2847" i="1"/>
  <c r="L2853" i="1"/>
  <c r="L2854" i="1"/>
  <c r="L2857" i="1"/>
  <c r="L2859" i="1"/>
  <c r="L2860" i="1"/>
  <c r="L2863" i="1"/>
  <c r="L2865" i="1"/>
  <c r="L2864" i="1"/>
  <c r="L2862" i="1"/>
  <c r="L2867" i="1"/>
  <c r="L2861" i="1"/>
  <c r="L2866" i="1"/>
  <c r="L2876" i="1"/>
  <c r="L2875" i="1"/>
  <c r="L2880" i="1"/>
  <c r="L2881" i="1"/>
  <c r="L2869" i="1"/>
  <c r="L2871" i="1"/>
  <c r="L2872" i="1"/>
  <c r="L2873" i="1"/>
  <c r="L2878" i="1"/>
  <c r="L2874" i="1"/>
  <c r="L2879" i="1"/>
  <c r="L2868" i="1"/>
  <c r="L2870" i="1"/>
  <c r="L2877" i="1"/>
  <c r="L2882" i="1"/>
  <c r="L2889" i="1"/>
  <c r="L2897" i="1"/>
  <c r="L2891" i="1"/>
  <c r="L2899" i="1"/>
  <c r="L2890" i="1"/>
  <c r="L2894" i="1"/>
  <c r="L2892" i="1"/>
  <c r="L2886" i="1"/>
  <c r="L2885" i="1"/>
  <c r="L2893" i="1"/>
  <c r="L2896" i="1"/>
  <c r="L2887" i="1"/>
  <c r="L2898" i="1"/>
  <c r="L2888" i="1"/>
  <c r="L2883" i="1"/>
  <c r="L2900" i="1"/>
  <c r="L2895" i="1"/>
  <c r="L2901" i="1"/>
  <c r="L2884" i="1"/>
  <c r="L2906" i="1"/>
  <c r="L2905" i="1"/>
  <c r="L2903" i="1"/>
  <c r="L2904" i="1"/>
  <c r="L2902" i="1"/>
  <c r="L2907" i="1"/>
  <c r="L2910" i="1"/>
  <c r="L2917" i="1"/>
  <c r="L2908" i="1"/>
  <c r="L2913" i="1"/>
  <c r="L2909" i="1"/>
  <c r="L2915" i="1"/>
  <c r="L2911" i="1"/>
  <c r="L2914" i="1"/>
  <c r="L2918" i="1"/>
  <c r="L2916" i="1"/>
  <c r="L2912" i="1"/>
  <c r="L2920" i="1"/>
  <c r="L2925" i="1"/>
  <c r="L2923" i="1"/>
  <c r="L2930" i="1"/>
  <c r="L2921" i="1"/>
  <c r="L2935" i="1"/>
  <c r="L2932" i="1"/>
  <c r="L2926" i="1"/>
  <c r="L2933" i="1"/>
  <c r="L2929" i="1"/>
  <c r="L2927" i="1"/>
  <c r="L2934" i="1"/>
  <c r="L2922" i="1"/>
  <c r="L2928" i="1"/>
  <c r="L2924" i="1"/>
  <c r="L2931" i="1"/>
  <c r="L2939" i="1"/>
  <c r="L2944" i="1"/>
  <c r="L2938" i="1"/>
  <c r="L2937" i="1"/>
  <c r="L2946" i="1"/>
  <c r="L2940" i="1"/>
  <c r="L2945" i="1"/>
  <c r="L2942" i="1"/>
  <c r="L2943" i="1"/>
  <c r="L2941" i="1"/>
  <c r="L2936" i="1"/>
  <c r="L2947" i="1"/>
  <c r="L2953" i="1"/>
  <c r="L2952" i="1"/>
  <c r="L2949" i="1"/>
  <c r="L2950" i="1"/>
  <c r="L2948" i="1"/>
  <c r="L2954" i="1"/>
  <c r="L2951" i="1"/>
  <c r="L2964" i="1"/>
  <c r="L2966" i="1"/>
  <c r="L2972" i="1"/>
  <c r="L2974" i="1"/>
  <c r="L2963" i="1"/>
  <c r="L2971" i="1"/>
  <c r="L2961" i="1"/>
  <c r="L2970" i="1"/>
  <c r="L2973" i="1"/>
  <c r="L2962" i="1"/>
  <c r="L2965" i="1"/>
  <c r="L2967" i="1"/>
  <c r="L2958" i="1"/>
  <c r="L2969" i="1"/>
  <c r="L2968" i="1"/>
  <c r="L2959" i="1"/>
  <c r="L2960" i="1"/>
  <c r="L2957" i="1"/>
  <c r="L2955" i="1"/>
  <c r="L2956" i="1"/>
  <c r="L2985" i="1"/>
  <c r="L2977" i="1"/>
  <c r="L2991" i="1"/>
  <c r="L2990" i="1"/>
  <c r="L2988" i="1"/>
  <c r="L2980" i="1"/>
  <c r="L2984" i="1"/>
  <c r="L2982" i="1"/>
  <c r="L2981" i="1"/>
  <c r="L2978" i="1"/>
  <c r="L2987" i="1"/>
  <c r="L2989" i="1"/>
  <c r="L2992" i="1"/>
  <c r="L2975" i="1"/>
  <c r="L2983" i="1"/>
  <c r="L2986" i="1"/>
  <c r="L2979" i="1"/>
  <c r="L2976" i="1"/>
  <c r="L2997" i="1"/>
  <c r="L3001" i="1"/>
  <c r="L2996" i="1"/>
  <c r="L2993" i="1"/>
  <c r="L2999" i="1"/>
  <c r="L3002" i="1"/>
  <c r="L2994" i="1"/>
  <c r="L2995" i="1"/>
  <c r="L3000" i="1"/>
  <c r="L2998" i="1"/>
  <c r="L3003" i="1"/>
  <c r="L3004" i="1"/>
  <c r="L3008" i="1"/>
  <c r="L3014" i="1"/>
  <c r="L3012" i="1"/>
  <c r="L3005" i="1"/>
  <c r="L3011" i="1"/>
  <c r="L3006" i="1"/>
  <c r="L3015" i="1"/>
  <c r="L3009" i="1"/>
  <c r="L3013" i="1"/>
  <c r="L3010" i="1"/>
  <c r="L3007" i="1"/>
  <c r="L3016" i="1"/>
  <c r="L3018" i="1"/>
  <c r="L3028" i="1"/>
  <c r="L3021" i="1"/>
  <c r="L3029" i="1"/>
  <c r="L3034" i="1"/>
  <c r="L3027" i="1"/>
  <c r="L3037" i="1"/>
  <c r="L3033" i="1"/>
  <c r="L3031" i="1"/>
  <c r="L3024" i="1"/>
  <c r="L3022" i="1"/>
  <c r="L3035" i="1"/>
  <c r="L3023" i="1"/>
  <c r="L3032" i="1"/>
  <c r="L3017" i="1"/>
  <c r="L3030" i="1"/>
  <c r="L3025" i="1"/>
  <c r="L3036" i="1"/>
  <c r="L3026" i="1"/>
  <c r="L3020" i="1"/>
  <c r="L3019" i="1"/>
  <c r="L3045" i="1"/>
  <c r="L3052" i="1"/>
  <c r="L3051" i="1"/>
  <c r="L3044" i="1"/>
  <c r="L3043" i="1"/>
  <c r="L3049" i="1"/>
  <c r="L3041" i="1"/>
  <c r="L3038" i="1"/>
  <c r="L3048" i="1"/>
  <c r="L3050" i="1"/>
  <c r="L3039" i="1"/>
  <c r="L3047" i="1"/>
  <c r="L3040" i="1"/>
  <c r="L3046" i="1"/>
  <c r="L3042" i="1"/>
  <c r="L3053" i="1"/>
  <c r="L3057" i="1"/>
  <c r="L3060" i="1"/>
  <c r="L3063" i="1"/>
  <c r="L3054" i="1"/>
  <c r="L3055" i="1"/>
  <c r="L3058" i="1"/>
  <c r="L3062" i="1"/>
  <c r="L3064" i="1"/>
  <c r="L3065" i="1"/>
  <c r="L3059" i="1"/>
  <c r="L3061" i="1"/>
  <c r="L3056" i="1"/>
  <c r="L3068" i="1"/>
  <c r="L3072" i="1"/>
  <c r="L3077" i="1"/>
  <c r="L3067" i="1"/>
  <c r="L3066" i="1"/>
  <c r="L3074" i="1"/>
  <c r="L3078" i="1"/>
  <c r="L3075" i="1"/>
  <c r="L3071" i="1"/>
  <c r="L3070" i="1"/>
  <c r="L3073" i="1"/>
  <c r="L3069" i="1"/>
  <c r="L3076" i="1"/>
  <c r="L3088" i="1"/>
  <c r="L3083" i="1"/>
  <c r="L3084" i="1"/>
  <c r="L3086" i="1"/>
  <c r="L3081" i="1"/>
  <c r="L3085" i="1"/>
  <c r="L3079" i="1"/>
  <c r="L3080" i="1"/>
  <c r="L3089" i="1"/>
  <c r="L3082" i="1"/>
  <c r="L3087" i="1"/>
  <c r="L3101" i="1"/>
  <c r="L3092" i="1"/>
  <c r="L3098" i="1"/>
  <c r="L3094" i="1"/>
  <c r="L3096" i="1"/>
  <c r="L3100" i="1"/>
  <c r="L3090" i="1"/>
  <c r="L3099" i="1"/>
  <c r="L3093" i="1"/>
  <c r="L3097" i="1"/>
  <c r="L3091" i="1"/>
  <c r="L3095" i="1"/>
  <c r="L3112" i="1"/>
  <c r="L3104" i="1"/>
  <c r="L3109" i="1"/>
  <c r="L3102" i="1"/>
  <c r="L3113" i="1"/>
  <c r="L3103" i="1"/>
  <c r="L3114" i="1"/>
  <c r="L3117" i="1"/>
  <c r="L3107" i="1"/>
  <c r="L3118" i="1"/>
  <c r="L3115" i="1"/>
  <c r="L3105" i="1"/>
  <c r="L3119" i="1"/>
  <c r="L3106" i="1"/>
  <c r="L3111" i="1"/>
  <c r="L3108" i="1"/>
  <c r="L3110" i="1"/>
  <c r="L3116" i="1"/>
  <c r="L3120" i="1"/>
  <c r="L3121" i="1"/>
  <c r="L3128" i="1"/>
  <c r="L3126" i="1"/>
  <c r="L3130" i="1"/>
  <c r="L3124" i="1"/>
  <c r="L3122" i="1"/>
  <c r="L3123" i="1"/>
  <c r="L3127" i="1"/>
  <c r="L3125" i="1"/>
  <c r="L3131" i="1"/>
  <c r="L3132" i="1"/>
  <c r="L3141" i="1"/>
  <c r="L3134" i="1"/>
  <c r="L3140" i="1"/>
  <c r="L3138" i="1"/>
  <c r="L3139" i="1"/>
  <c r="L3143" i="1"/>
  <c r="L3135" i="1"/>
  <c r="L3145" i="1"/>
  <c r="L3133" i="1"/>
  <c r="L3144" i="1"/>
  <c r="L3142" i="1"/>
  <c r="L3137" i="1"/>
  <c r="L3136" i="1"/>
  <c r="L3151" i="1"/>
  <c r="L3158" i="1"/>
  <c r="L3148" i="1"/>
  <c r="L3149" i="1"/>
  <c r="L3146" i="1"/>
  <c r="L3156" i="1"/>
  <c r="L3147" i="1"/>
  <c r="L3157" i="1"/>
  <c r="L3153" i="1"/>
  <c r="L3154" i="1"/>
  <c r="L3150" i="1"/>
  <c r="L3155" i="1"/>
  <c r="L3152" i="1"/>
  <c r="L3166" i="1"/>
  <c r="L3162" i="1"/>
  <c r="L3168" i="1"/>
  <c r="L3165" i="1"/>
  <c r="L3164" i="1"/>
  <c r="L3163" i="1"/>
  <c r="L3169" i="1"/>
  <c r="L3160" i="1"/>
  <c r="L3161" i="1"/>
  <c r="L3170" i="1"/>
  <c r="L3159" i="1"/>
  <c r="L3167" i="1"/>
  <c r="L3171" i="1"/>
  <c r="L3182" i="1"/>
  <c r="L3179" i="1"/>
  <c r="L3173" i="1"/>
  <c r="L3176" i="1"/>
  <c r="L3183" i="1"/>
  <c r="L3184" i="1"/>
  <c r="L3177" i="1"/>
  <c r="L3185" i="1"/>
  <c r="L3172" i="1"/>
  <c r="L3175" i="1"/>
  <c r="L3178" i="1"/>
  <c r="L3180" i="1"/>
  <c r="L3181" i="1"/>
  <c r="L3174" i="1"/>
  <c r="L3188" i="1"/>
  <c r="L3187" i="1"/>
  <c r="L3189" i="1"/>
  <c r="L3186" i="1"/>
  <c r="L3196" i="1"/>
  <c r="L3194" i="1"/>
  <c r="L3190" i="1"/>
  <c r="L3192" i="1"/>
  <c r="L3195" i="1"/>
  <c r="L3197" i="1"/>
  <c r="L3191" i="1"/>
  <c r="L3193" i="1"/>
  <c r="L3200" i="1"/>
  <c r="L3202" i="1"/>
  <c r="L3206" i="1"/>
  <c r="L3198" i="1"/>
  <c r="L3214" i="1"/>
  <c r="L3211" i="1"/>
  <c r="L3212" i="1"/>
  <c r="L3213" i="1"/>
  <c r="L3201" i="1"/>
  <c r="L3209" i="1"/>
  <c r="L3199" i="1"/>
  <c r="L3208" i="1"/>
  <c r="L3215" i="1"/>
  <c r="L3203" i="1"/>
  <c r="L3204" i="1"/>
  <c r="L3210" i="1"/>
  <c r="L3205" i="1"/>
  <c r="L3207" i="1"/>
  <c r="L3223" i="1"/>
  <c r="L3217" i="1"/>
  <c r="L3222" i="1"/>
  <c r="L3219" i="1"/>
  <c r="L3220" i="1"/>
  <c r="L3218" i="1"/>
  <c r="L3226" i="1"/>
  <c r="L3224" i="1"/>
  <c r="L3221" i="1"/>
  <c r="L3216" i="1"/>
  <c r="L3225" i="1"/>
  <c r="L3230" i="1"/>
  <c r="L3236" i="1"/>
  <c r="L3227" i="1"/>
  <c r="L3228" i="1"/>
  <c r="L3233" i="1"/>
  <c r="L3229" i="1"/>
  <c r="L3234" i="1"/>
  <c r="L3231" i="1"/>
  <c r="L3237" i="1"/>
  <c r="L3232" i="1"/>
  <c r="L3235" i="1"/>
  <c r="L3239" i="1"/>
  <c r="L3240" i="1"/>
  <c r="L3241" i="1"/>
  <c r="L3238" i="1"/>
  <c r="L3246" i="1"/>
  <c r="L3243" i="1"/>
  <c r="L3242" i="1"/>
  <c r="L3245" i="1"/>
  <c r="L3244" i="1"/>
  <c r="L3249" i="1"/>
  <c r="L3248" i="1"/>
  <c r="L3247" i="1"/>
  <c r="L3255" i="1"/>
  <c r="L3250" i="1"/>
  <c r="L3253" i="1"/>
  <c r="L3259" i="1"/>
  <c r="L3258" i="1"/>
  <c r="L3254" i="1"/>
  <c r="L3251" i="1"/>
  <c r="L3256" i="1"/>
  <c r="L3257" i="1"/>
  <c r="L3252" i="1"/>
  <c r="L3261" i="1"/>
  <c r="L3265" i="1"/>
  <c r="L3271" i="1"/>
  <c r="L3260" i="1"/>
  <c r="L3264" i="1"/>
  <c r="L3268" i="1"/>
  <c r="L3269" i="1"/>
  <c r="L3270" i="1"/>
  <c r="L3262" i="1"/>
  <c r="L3263" i="1"/>
  <c r="L3266" i="1"/>
  <c r="L3267" i="1"/>
  <c r="L3272" i="1"/>
  <c r="L3273" i="1"/>
  <c r="L3274" i="1"/>
  <c r="L3279" i="1"/>
  <c r="L3275" i="1"/>
  <c r="L3280" i="1"/>
  <c r="L3282" i="1"/>
  <c r="L3278" i="1"/>
  <c r="L3281" i="1"/>
  <c r="L3283" i="1"/>
  <c r="L3284" i="1"/>
  <c r="L3277" i="1"/>
  <c r="L3276" i="1"/>
  <c r="L3297" i="1"/>
  <c r="L3299" i="1"/>
  <c r="L3293" i="1"/>
  <c r="L3291" i="1"/>
  <c r="L3289" i="1"/>
  <c r="L3285" i="1"/>
  <c r="L3295" i="1"/>
  <c r="L3298" i="1"/>
  <c r="L3286" i="1"/>
  <c r="L3287" i="1"/>
  <c r="L3294" i="1"/>
  <c r="L3296" i="1"/>
  <c r="L3290" i="1"/>
  <c r="L3300" i="1"/>
  <c r="L3288" i="1"/>
  <c r="L3292" i="1"/>
  <c r="L3311" i="1"/>
  <c r="L3305" i="1"/>
  <c r="L3301" i="1"/>
  <c r="L3309" i="1"/>
  <c r="L3314" i="1"/>
  <c r="L3302" i="1"/>
  <c r="L3306" i="1"/>
  <c r="L3310" i="1"/>
  <c r="L3304" i="1"/>
  <c r="L3316" i="1"/>
  <c r="L3308" i="1"/>
  <c r="L3313" i="1"/>
  <c r="L3315" i="1"/>
  <c r="L3312" i="1"/>
  <c r="L3307" i="1"/>
  <c r="L3303" i="1"/>
  <c r="L3322" i="1"/>
  <c r="L3317" i="1"/>
  <c r="L3319" i="1"/>
  <c r="L3324" i="1"/>
  <c r="L3320" i="1"/>
  <c r="L3326" i="1"/>
  <c r="L3323" i="1"/>
  <c r="L3325" i="1"/>
  <c r="L3321" i="1"/>
  <c r="L3318" i="1"/>
  <c r="L3332" i="1"/>
  <c r="L3334" i="1"/>
  <c r="L3335" i="1"/>
  <c r="L3333" i="1"/>
  <c r="L3329" i="1"/>
  <c r="L3331" i="1"/>
  <c r="L3328" i="1"/>
  <c r="L3330" i="1"/>
  <c r="L3327" i="1"/>
  <c r="L3348" i="1"/>
  <c r="L3339" i="1"/>
  <c r="L3340" i="1"/>
  <c r="L3343" i="1"/>
  <c r="L3341" i="1"/>
  <c r="L3349" i="1"/>
  <c r="L3336" i="1"/>
  <c r="L3346" i="1"/>
  <c r="L3342" i="1"/>
  <c r="L3347" i="1"/>
  <c r="L3350" i="1"/>
  <c r="L3344" i="1"/>
  <c r="L3337" i="1"/>
  <c r="L3351" i="1"/>
  <c r="L3338" i="1"/>
  <c r="L3345" i="1"/>
  <c r="L3363" i="1"/>
  <c r="L3356" i="1"/>
  <c r="L3360" i="1"/>
  <c r="L3358" i="1"/>
  <c r="L3361" i="1"/>
  <c r="L3365" i="1"/>
  <c r="L3353" i="1"/>
  <c r="L3366" i="1"/>
  <c r="L3352" i="1"/>
  <c r="L3368" i="1"/>
  <c r="L3357" i="1"/>
  <c r="L3355" i="1"/>
  <c r="L3364" i="1"/>
  <c r="L3359" i="1"/>
  <c r="L3362" i="1"/>
  <c r="L3354" i="1"/>
  <c r="L3367" i="1"/>
  <c r="L3370" i="1"/>
  <c r="L3371" i="1"/>
  <c r="L3378" i="1"/>
  <c r="L3373" i="1"/>
  <c r="L3377" i="1"/>
  <c r="L3372" i="1"/>
  <c r="L3380" i="1"/>
  <c r="L3374" i="1"/>
  <c r="L3369" i="1"/>
  <c r="L3375" i="1"/>
  <c r="L3376" i="1"/>
  <c r="L3379" i="1"/>
  <c r="L3381" i="1"/>
  <c r="L3385" i="1"/>
  <c r="L3390" i="1"/>
  <c r="L3384" i="1"/>
  <c r="L3382" i="1"/>
  <c r="L3386" i="1"/>
  <c r="L3388" i="1"/>
  <c r="L3391" i="1"/>
  <c r="L3389" i="1"/>
  <c r="L3383" i="1"/>
  <c r="L3387" i="1"/>
  <c r="L3396" i="1"/>
  <c r="L3394" i="1"/>
  <c r="L3392" i="1"/>
  <c r="L3393" i="1"/>
  <c r="L3399" i="1"/>
  <c r="L3400" i="1"/>
  <c r="L3395" i="1"/>
  <c r="L3397" i="1"/>
  <c r="L3401" i="1"/>
  <c r="L3398" i="1"/>
  <c r="L3402" i="1"/>
  <c r="L3411" i="1"/>
  <c r="L3404" i="1"/>
  <c r="L3405" i="1"/>
  <c r="L3403" i="1"/>
  <c r="L3406" i="1"/>
  <c r="L3413" i="1"/>
  <c r="L3409" i="1"/>
  <c r="L3408" i="1"/>
  <c r="L3412" i="1"/>
  <c r="L3407" i="1"/>
  <c r="L3410" i="1"/>
  <c r="L3414" i="1"/>
  <c r="L3421" i="1"/>
  <c r="L3424" i="1"/>
  <c r="L3429" i="1"/>
  <c r="L3416" i="1"/>
  <c r="L3428" i="1"/>
  <c r="L3425" i="1"/>
  <c r="L3415" i="1"/>
  <c r="L3422" i="1"/>
  <c r="L3426" i="1"/>
  <c r="L3418" i="1"/>
  <c r="L3423" i="1"/>
  <c r="L3419" i="1"/>
  <c r="L3430" i="1"/>
  <c r="L3420" i="1"/>
  <c r="L3427" i="1"/>
  <c r="L3417" i="1"/>
  <c r="L3438" i="1"/>
  <c r="L3441" i="1"/>
  <c r="L3431" i="1"/>
  <c r="L3440" i="1"/>
  <c r="L3435" i="1"/>
  <c r="L3442" i="1"/>
  <c r="L3433" i="1"/>
  <c r="L3434" i="1"/>
  <c r="L3437" i="1"/>
  <c r="L3432" i="1"/>
  <c r="L3439" i="1"/>
  <c r="L3436" i="1"/>
  <c r="L3449" i="1"/>
  <c r="L3450" i="1"/>
  <c r="L3455" i="1"/>
  <c r="L3444" i="1"/>
  <c r="L3443" i="1"/>
  <c r="L3447" i="1"/>
  <c r="L3454" i="1"/>
  <c r="L3448" i="1"/>
  <c r="L3453" i="1"/>
  <c r="L3446" i="1"/>
  <c r="L3445" i="1"/>
  <c r="L3451" i="1"/>
  <c r="L3452" i="1"/>
  <c r="L3460" i="1"/>
  <c r="L3461" i="1"/>
  <c r="L3457" i="1"/>
  <c r="L3466" i="1"/>
  <c r="L3462" i="1"/>
  <c r="L3463" i="1"/>
  <c r="L3459" i="1"/>
  <c r="L3464" i="1"/>
  <c r="L3456" i="1"/>
  <c r="L3465" i="1"/>
  <c r="L3458" i="1"/>
  <c r="L3473" i="1"/>
  <c r="L3467" i="1"/>
  <c r="L3475" i="1"/>
  <c r="L3477" i="1"/>
  <c r="L3470" i="1"/>
  <c r="L3474" i="1"/>
  <c r="L3478" i="1"/>
  <c r="L3471" i="1"/>
  <c r="L3469" i="1"/>
  <c r="L3479" i="1"/>
  <c r="L3476" i="1"/>
  <c r="L3468" i="1"/>
  <c r="L3472" i="1"/>
  <c r="L3480" i="1"/>
  <c r="L3490" i="1"/>
  <c r="L3486" i="1"/>
  <c r="L3483" i="1"/>
  <c r="L3481" i="1"/>
  <c r="L3488" i="1"/>
  <c r="L3489" i="1"/>
  <c r="L3487" i="1"/>
  <c r="L3485" i="1"/>
  <c r="L3491" i="1"/>
  <c r="L3482" i="1"/>
  <c r="L3484" i="1"/>
  <c r="L3492" i="1"/>
  <c r="L3497" i="1"/>
  <c r="L3498" i="1"/>
  <c r="L3495" i="1"/>
  <c r="L3494" i="1"/>
  <c r="L3496" i="1"/>
  <c r="L3499" i="1"/>
  <c r="L3500" i="1"/>
  <c r="L3493" i="1"/>
  <c r="L3502" i="1"/>
  <c r="L3509" i="1"/>
  <c r="L3506" i="1"/>
  <c r="L3508" i="1"/>
  <c r="L3510" i="1"/>
  <c r="L3503" i="1"/>
  <c r="L3507" i="1"/>
  <c r="L3504" i="1"/>
  <c r="L3505" i="1"/>
  <c r="L3501" i="1"/>
  <c r="L3519" i="1"/>
  <c r="L3520" i="1"/>
  <c r="L3515" i="1"/>
  <c r="L3525" i="1"/>
  <c r="L3514" i="1"/>
  <c r="L3526" i="1"/>
  <c r="L3527" i="1"/>
  <c r="L3523" i="1"/>
  <c r="L3511" i="1"/>
  <c r="L3524" i="1"/>
  <c r="L3512" i="1"/>
  <c r="L3518" i="1"/>
  <c r="L3513" i="1"/>
  <c r="L3522" i="1"/>
  <c r="L3516" i="1"/>
  <c r="L3517" i="1"/>
  <c r="L3521" i="1"/>
  <c r="L3537" i="1"/>
  <c r="L3535" i="1"/>
  <c r="L3540" i="1"/>
  <c r="L3533" i="1"/>
  <c r="L3529" i="1"/>
  <c r="L3534" i="1"/>
  <c r="L3541" i="1"/>
  <c r="L3538" i="1"/>
  <c r="L3528" i="1"/>
  <c r="L3531" i="1"/>
  <c r="L3536" i="1"/>
  <c r="L3530" i="1"/>
  <c r="L3532" i="1"/>
  <c r="L3539" i="1"/>
  <c r="L3544" i="1"/>
  <c r="L3552" i="1"/>
  <c r="L3558" i="1"/>
  <c r="L3543" i="1"/>
  <c r="L3551" i="1"/>
  <c r="L3548" i="1"/>
  <c r="L3554" i="1"/>
  <c r="L3553" i="1"/>
  <c r="L3555" i="1"/>
  <c r="L3545" i="1"/>
  <c r="L3546" i="1"/>
  <c r="L3542" i="1"/>
  <c r="L3556" i="1"/>
  <c r="L3557" i="1"/>
  <c r="L3549" i="1"/>
  <c r="L3547" i="1"/>
  <c r="L3550" i="1"/>
  <c r="L3567" i="1"/>
  <c r="L3566" i="1"/>
  <c r="L3563" i="1"/>
  <c r="L3561" i="1"/>
  <c r="L3560" i="1"/>
  <c r="L3564" i="1"/>
  <c r="L3568" i="1"/>
  <c r="L3562" i="1"/>
  <c r="L3559" i="1"/>
  <c r="L3565" i="1"/>
  <c r="L3575" i="1"/>
  <c r="L3581" i="1"/>
  <c r="L3574" i="1"/>
  <c r="L3579" i="1"/>
  <c r="L3570" i="1"/>
  <c r="L3571" i="1"/>
  <c r="L3580" i="1"/>
  <c r="L3572" i="1"/>
  <c r="L3577" i="1"/>
  <c r="L3573" i="1"/>
  <c r="L3569" i="1"/>
  <c r="L3576" i="1"/>
  <c r="L3578" i="1"/>
  <c r="L3582" i="1"/>
  <c r="L3583" i="1"/>
  <c r="L3588" i="1"/>
  <c r="L3586" i="1"/>
  <c r="L3584" i="1"/>
  <c r="L3587" i="1"/>
  <c r="L3585" i="1"/>
  <c r="L3589" i="1"/>
  <c r="L3603" i="1"/>
  <c r="L3595" i="1"/>
  <c r="L3592" i="1"/>
  <c r="L3596" i="1"/>
  <c r="L3605" i="1"/>
  <c r="L3608" i="1"/>
  <c r="L3590" i="1"/>
  <c r="L3591" i="1"/>
  <c r="L3606" i="1"/>
  <c r="L3597" i="1"/>
  <c r="L3593" i="1"/>
  <c r="L3594" i="1"/>
  <c r="L3602" i="1"/>
  <c r="L3600" i="1"/>
  <c r="L3598" i="1"/>
  <c r="L3601" i="1"/>
  <c r="L3599" i="1"/>
  <c r="L3604" i="1"/>
  <c r="L3612" i="1"/>
  <c r="L3618" i="1"/>
  <c r="L3610" i="1"/>
  <c r="L3621" i="1"/>
  <c r="L3619" i="1"/>
  <c r="L3617" i="1"/>
  <c r="L3614" i="1"/>
  <c r="L3615" i="1"/>
  <c r="L3611" i="1"/>
  <c r="L3616" i="1"/>
  <c r="L3613" i="1"/>
  <c r="L3620" i="1"/>
  <c r="L3609" i="1"/>
  <c r="L3632" i="1"/>
  <c r="L3641" i="1"/>
  <c r="L3637" i="1"/>
  <c r="L3633" i="1"/>
  <c r="L3634" i="1"/>
  <c r="L3622" i="1"/>
  <c r="L3625" i="1"/>
  <c r="L3628" i="1"/>
  <c r="L3642" i="1"/>
  <c r="L3639" i="1"/>
  <c r="L3626" i="1"/>
  <c r="L3623" i="1"/>
  <c r="L3638" i="1"/>
  <c r="L3627" i="1"/>
  <c r="L3635" i="1"/>
  <c r="L3629" i="1"/>
  <c r="L3630" i="1"/>
  <c r="L3631" i="1"/>
  <c r="L3636" i="1"/>
  <c r="L3640" i="1"/>
  <c r="L3624" i="1"/>
  <c r="L3648" i="1"/>
  <c r="L3644" i="1"/>
  <c r="L3649" i="1"/>
  <c r="L3651" i="1"/>
  <c r="L3643" i="1"/>
  <c r="L3652" i="1"/>
  <c r="L3646" i="1"/>
  <c r="L3650" i="1"/>
  <c r="L3647" i="1"/>
  <c r="L3653" i="1"/>
  <c r="L3654" i="1"/>
  <c r="L3645" i="1"/>
  <c r="L3655" i="1"/>
  <c r="L3658" i="1"/>
  <c r="L3663" i="1"/>
  <c r="L3660" i="1"/>
  <c r="L3659" i="1"/>
  <c r="L3666" i="1"/>
  <c r="L3656" i="1"/>
  <c r="L3662" i="1"/>
  <c r="L3667" i="1"/>
  <c r="L3671" i="1"/>
  <c r="L3657" i="1"/>
  <c r="L3668" i="1"/>
  <c r="L3669" i="1"/>
  <c r="L3670" i="1"/>
  <c r="L3661" i="1"/>
  <c r="L3665" i="1"/>
  <c r="L3664" i="1"/>
  <c r="L3674" i="1"/>
  <c r="L3681" i="1"/>
  <c r="L3676" i="1"/>
  <c r="L3675" i="1"/>
  <c r="L3672" i="1"/>
  <c r="L3680" i="1"/>
  <c r="L3678" i="1"/>
  <c r="L3673" i="1"/>
  <c r="L3679" i="1"/>
  <c r="L3677" i="1"/>
  <c r="L3698" i="1"/>
  <c r="L3690" i="1"/>
  <c r="L3686" i="1"/>
  <c r="L3694" i="1"/>
  <c r="L3688" i="1"/>
  <c r="L3693" i="1"/>
  <c r="L3683" i="1"/>
  <c r="L3691" i="1"/>
  <c r="L3689" i="1"/>
  <c r="L3682" i="1"/>
  <c r="L3684" i="1"/>
  <c r="L3695" i="1"/>
  <c r="L3692" i="1"/>
  <c r="L3697" i="1"/>
  <c r="L3687" i="1"/>
  <c r="L3685" i="1"/>
  <c r="L3696" i="1"/>
  <c r="L3714" i="1"/>
  <c r="L3708" i="1"/>
  <c r="L3712" i="1"/>
  <c r="L3710" i="1"/>
  <c r="L3706" i="1"/>
  <c r="L3699" i="1"/>
  <c r="L3713" i="1"/>
  <c r="L3703" i="1"/>
  <c r="L3709" i="1"/>
  <c r="L3711" i="1"/>
  <c r="L3701" i="1"/>
  <c r="L3707" i="1"/>
  <c r="L3702" i="1"/>
  <c r="L3704" i="1"/>
  <c r="L3705" i="1"/>
  <c r="L3700" i="1"/>
  <c r="L3715" i="1"/>
  <c r="L3716" i="1"/>
  <c r="L3724" i="1"/>
  <c r="L3721" i="1"/>
  <c r="L3719" i="1"/>
  <c r="L3717" i="1"/>
  <c r="L3723" i="1"/>
  <c r="L3720" i="1"/>
  <c r="L3722" i="1"/>
  <c r="L3718" i="1"/>
  <c r="L3737" i="1"/>
  <c r="L3728" i="1"/>
  <c r="L3726" i="1"/>
  <c r="L3730" i="1"/>
  <c r="L3729" i="1"/>
  <c r="L3725" i="1"/>
  <c r="L3733" i="1"/>
  <c r="L3734" i="1"/>
  <c r="L3735" i="1"/>
  <c r="L3738" i="1"/>
  <c r="L3732" i="1"/>
  <c r="L3739" i="1"/>
  <c r="L3727" i="1"/>
  <c r="L3731" i="1"/>
  <c r="L3736" i="1"/>
  <c r="L3740" i="1"/>
  <c r="L3743" i="1"/>
  <c r="L3749" i="1"/>
  <c r="L3742" i="1"/>
  <c r="L3745" i="1"/>
  <c r="L3747" i="1"/>
  <c r="L3746" i="1"/>
  <c r="L3741" i="1"/>
  <c r="L3748" i="1"/>
  <c r="L3751" i="1"/>
  <c r="L3755" i="1"/>
  <c r="L3754" i="1"/>
  <c r="L3752" i="1"/>
  <c r="L3753" i="1"/>
  <c r="L3750" i="1"/>
  <c r="L3765" i="1"/>
  <c r="L3759" i="1"/>
  <c r="L3764" i="1"/>
  <c r="L3760" i="1"/>
  <c r="L3761" i="1"/>
  <c r="L3763" i="1"/>
  <c r="L3758" i="1"/>
  <c r="L3762" i="1"/>
  <c r="L3766" i="1"/>
  <c r="L3756" i="1"/>
  <c r="L3757" i="1"/>
  <c r="L3776" i="1"/>
  <c r="L3769" i="1"/>
  <c r="L3777" i="1"/>
  <c r="L3775" i="1"/>
  <c r="L3773" i="1"/>
  <c r="L3780" i="1"/>
  <c r="L3768" i="1"/>
  <c r="L3771" i="1"/>
  <c r="L3778" i="1"/>
  <c r="L3767" i="1"/>
  <c r="L3779" i="1"/>
  <c r="L3772" i="1"/>
  <c r="L3770" i="1"/>
  <c r="L3774" i="1"/>
  <c r="L3791" i="1"/>
  <c r="L3792" i="1"/>
  <c r="L3790" i="1"/>
  <c r="L3788" i="1"/>
  <c r="L3786" i="1"/>
  <c r="L3782" i="1"/>
  <c r="L3781" i="1"/>
  <c r="L3789" i="1"/>
  <c r="L3784" i="1"/>
  <c r="L3783" i="1"/>
  <c r="L3785" i="1"/>
  <c r="L3787" i="1"/>
  <c r="L3811" i="1"/>
  <c r="L3805" i="1"/>
  <c r="L3800" i="1"/>
  <c r="L3803" i="1"/>
  <c r="L3801" i="1"/>
  <c r="L3795" i="1"/>
  <c r="L3797" i="1"/>
  <c r="L3798" i="1"/>
  <c r="L3807" i="1"/>
  <c r="L3794" i="1"/>
  <c r="L3804" i="1"/>
  <c r="L3793" i="1"/>
  <c r="L3799" i="1"/>
  <c r="L3806" i="1"/>
  <c r="L3796" i="1"/>
  <c r="L3802" i="1"/>
  <c r="L3808" i="1"/>
  <c r="L3809" i="1"/>
  <c r="L3810" i="1"/>
  <c r="L3819" i="1"/>
  <c r="L3817" i="1"/>
  <c r="L3812" i="1"/>
  <c r="L3821" i="1"/>
  <c r="L3815" i="1"/>
  <c r="L3818" i="1"/>
  <c r="L3813" i="1"/>
  <c r="L3820" i="1"/>
  <c r="L3816" i="1"/>
  <c r="L3814" i="1"/>
  <c r="L3835" i="1"/>
  <c r="L3830" i="1"/>
  <c r="L3828" i="1"/>
  <c r="L3827" i="1"/>
  <c r="L3824" i="1"/>
  <c r="L3825" i="1"/>
  <c r="L3829" i="1"/>
  <c r="L3834" i="1"/>
  <c r="L3832" i="1"/>
  <c r="L3836" i="1"/>
  <c r="L3837" i="1"/>
  <c r="L3831" i="1"/>
  <c r="L3822" i="1"/>
  <c r="L3823" i="1"/>
  <c r="L3826" i="1"/>
  <c r="L3833" i="1"/>
  <c r="L3845" i="1"/>
  <c r="L3838" i="1"/>
  <c r="L3850" i="1"/>
  <c r="L3840" i="1"/>
  <c r="L3848" i="1"/>
  <c r="L3851" i="1"/>
  <c r="L3846" i="1"/>
  <c r="L3839" i="1"/>
  <c r="L3841" i="1"/>
  <c r="L3849" i="1"/>
  <c r="L3844" i="1"/>
  <c r="L3843" i="1"/>
  <c r="L3852" i="1"/>
  <c r="L3847" i="1"/>
  <c r="L3842" i="1"/>
  <c r="L3858" i="1"/>
  <c r="L3853" i="1"/>
  <c r="L3859" i="1"/>
  <c r="L3855" i="1"/>
  <c r="L3863" i="1"/>
  <c r="L3857" i="1"/>
  <c r="L3854" i="1"/>
  <c r="L3862" i="1"/>
  <c r="L3860" i="1"/>
  <c r="L3856" i="1"/>
  <c r="L3861" i="1"/>
  <c r="L3869" i="1"/>
  <c r="L3866" i="1"/>
  <c r="L3868" i="1"/>
  <c r="L3864" i="1"/>
  <c r="L3870" i="1"/>
  <c r="L3871" i="1"/>
  <c r="L3873" i="1"/>
  <c r="L3865" i="1"/>
  <c r="L3872" i="1"/>
  <c r="L3867" i="1"/>
  <c r="L3881" i="1"/>
  <c r="L3877" i="1"/>
  <c r="L3884" i="1"/>
  <c r="L3883" i="1"/>
  <c r="L3880" i="1"/>
  <c r="L3875" i="1"/>
  <c r="L3878" i="1"/>
  <c r="L3876" i="1"/>
  <c r="L3874" i="1"/>
  <c r="L3882" i="1"/>
  <c r="L3879" i="1"/>
  <c r="L3888" i="1"/>
  <c r="L3885" i="1"/>
  <c r="L3898" i="1"/>
  <c r="L3890" i="1"/>
  <c r="L3900" i="1"/>
  <c r="L3894" i="1"/>
  <c r="L3897" i="1"/>
  <c r="L3896" i="1"/>
  <c r="L3893" i="1"/>
  <c r="L3895" i="1"/>
  <c r="L3891" i="1"/>
  <c r="L3886" i="1"/>
  <c r="L3892" i="1"/>
  <c r="L3899" i="1"/>
  <c r="L3887" i="1"/>
  <c r="L3889" i="1"/>
  <c r="L3904" i="1"/>
  <c r="L3902" i="1"/>
  <c r="L3908" i="1"/>
  <c r="L3905" i="1"/>
  <c r="L3906" i="1"/>
  <c r="L3913" i="1"/>
  <c r="L3903" i="1"/>
  <c r="L3901" i="1"/>
  <c r="L3909" i="1"/>
  <c r="L3911" i="1"/>
  <c r="L3912" i="1"/>
  <c r="L3910" i="1"/>
  <c r="L3907" i="1"/>
  <c r="L3919" i="1"/>
  <c r="L3914" i="1"/>
  <c r="L3917" i="1"/>
  <c r="L3922" i="1"/>
  <c r="L3915" i="1"/>
  <c r="L3923" i="1"/>
  <c r="L3921" i="1"/>
  <c r="L3918" i="1"/>
  <c r="L3916" i="1"/>
  <c r="L3920" i="1"/>
  <c r="L3932" i="1"/>
  <c r="L3926" i="1"/>
  <c r="L3927" i="1"/>
  <c r="L3929" i="1"/>
  <c r="L3928" i="1"/>
  <c r="L3930" i="1"/>
  <c r="L3931" i="1"/>
  <c r="L3924" i="1"/>
  <c r="L3933" i="1"/>
  <c r="L3925" i="1"/>
  <c r="L3934" i="1"/>
  <c r="L3935" i="1"/>
  <c r="L3944" i="1"/>
  <c r="L3943" i="1"/>
  <c r="L3939" i="1"/>
  <c r="L3938" i="1"/>
  <c r="L3940" i="1"/>
  <c r="L3941" i="1"/>
  <c r="L3937" i="1"/>
  <c r="L3936" i="1"/>
  <c r="L3942" i="1"/>
  <c r="L3950" i="1"/>
  <c r="L3947" i="1"/>
  <c r="L3954" i="1"/>
  <c r="L3948" i="1"/>
  <c r="L3952" i="1"/>
  <c r="L3958" i="1"/>
  <c r="L3945" i="1"/>
  <c r="L3955" i="1"/>
  <c r="L3953" i="1"/>
  <c r="L3956" i="1"/>
  <c r="L3949" i="1"/>
  <c r="L3946" i="1"/>
  <c r="L3957" i="1"/>
  <c r="L3951" i="1"/>
  <c r="L3959" i="1"/>
  <c r="L3974" i="1"/>
  <c r="L3967" i="1"/>
  <c r="L3961" i="1"/>
  <c r="L3968" i="1"/>
  <c r="L3960" i="1"/>
  <c r="L3971" i="1"/>
  <c r="L3970" i="1"/>
  <c r="L3972" i="1"/>
  <c r="L3962" i="1"/>
  <c r="L3966" i="1"/>
  <c r="L3969" i="1"/>
  <c r="L3965" i="1"/>
  <c r="L3964" i="1"/>
  <c r="L3963" i="1"/>
  <c r="L3973" i="1"/>
  <c r="L3982" i="1"/>
  <c r="L3991" i="1"/>
  <c r="L3987" i="1"/>
  <c r="L3981" i="1"/>
  <c r="L3983" i="1"/>
  <c r="L3977" i="1"/>
  <c r="L3988" i="1"/>
  <c r="L3976" i="1"/>
  <c r="L3984" i="1"/>
  <c r="L3989" i="1"/>
  <c r="L3978" i="1"/>
  <c r="L3985" i="1"/>
  <c r="L3975" i="1"/>
  <c r="L3979" i="1"/>
  <c r="L3980" i="1"/>
  <c r="L3990" i="1"/>
  <c r="L3992" i="1"/>
  <c r="L3986" i="1"/>
  <c r="L3998" i="1"/>
  <c r="L3995" i="1"/>
  <c r="L3999" i="1"/>
  <c r="L3996" i="1"/>
  <c r="L4005" i="1"/>
  <c r="L3993" i="1"/>
  <c r="L4003" i="1"/>
  <c r="L4000" i="1"/>
  <c r="L4002" i="1"/>
  <c r="L3994" i="1"/>
  <c r="L4004" i="1"/>
  <c r="L4001" i="1"/>
  <c r="L3997" i="1"/>
  <c r="L4018" i="1"/>
  <c r="L4021" i="1"/>
  <c r="L4012" i="1"/>
  <c r="L4017" i="1"/>
  <c r="L4011" i="1"/>
  <c r="L4016" i="1"/>
  <c r="L4006" i="1"/>
  <c r="L4022" i="1"/>
  <c r="L4020" i="1"/>
  <c r="L4009" i="1"/>
  <c r="L4010" i="1"/>
  <c r="L4015" i="1"/>
  <c r="L4008" i="1"/>
  <c r="L4014" i="1"/>
  <c r="L4013" i="1"/>
  <c r="L4019" i="1"/>
  <c r="L4007" i="1"/>
  <c r="L4040" i="1"/>
  <c r="L4023" i="1"/>
  <c r="L4024" i="1"/>
  <c r="L4039" i="1"/>
  <c r="L4037" i="1"/>
  <c r="L4031" i="1"/>
  <c r="L4029" i="1"/>
  <c r="L4036" i="1"/>
  <c r="L4038" i="1"/>
  <c r="L4035" i="1"/>
  <c r="L4027" i="1"/>
  <c r="L4032" i="1"/>
  <c r="L4025" i="1"/>
  <c r="L4030" i="1"/>
  <c r="L4033" i="1"/>
  <c r="L4041" i="1"/>
  <c r="L4026" i="1"/>
  <c r="L4028" i="1"/>
  <c r="L4034" i="1"/>
  <c r="L4047" i="1"/>
  <c r="L4049" i="1"/>
  <c r="L4043" i="1"/>
  <c r="L4051" i="1"/>
  <c r="L4048" i="1"/>
  <c r="L4050" i="1"/>
  <c r="L4042" i="1"/>
  <c r="L4046" i="1"/>
  <c r="L4044" i="1"/>
  <c r="L4045" i="1"/>
  <c r="L4056" i="1"/>
  <c r="L4060" i="1"/>
  <c r="L4061" i="1"/>
  <c r="L4064" i="1"/>
  <c r="L4052" i="1"/>
  <c r="L4057" i="1"/>
  <c r="L4063" i="1"/>
  <c r="L4054" i="1"/>
  <c r="L4053" i="1"/>
  <c r="L4055" i="1"/>
  <c r="L4058" i="1"/>
  <c r="L4062" i="1"/>
  <c r="L4059" i="1"/>
  <c r="L4073" i="1"/>
  <c r="L4068" i="1"/>
  <c r="L4069" i="1"/>
  <c r="L4070" i="1"/>
  <c r="L4074" i="1"/>
  <c r="L4067" i="1"/>
  <c r="L4071" i="1"/>
  <c r="L4072" i="1"/>
  <c r="L4065" i="1"/>
  <c r="L4066" i="1"/>
  <c r="L4075" i="1"/>
  <c r="L4076" i="1"/>
  <c r="L4082" i="1"/>
  <c r="L4077" i="1"/>
  <c r="L4078" i="1"/>
  <c r="L4081" i="1"/>
  <c r="L4083" i="1"/>
  <c r="L4084" i="1"/>
  <c r="L4079" i="1"/>
  <c r="L4080" i="1"/>
  <c r="L4100" i="1"/>
  <c r="L4097" i="1"/>
  <c r="L4088" i="1"/>
  <c r="L4092" i="1"/>
  <c r="L4086" i="1"/>
  <c r="L4098" i="1"/>
  <c r="L4091" i="1"/>
  <c r="L4093" i="1"/>
  <c r="L4089" i="1"/>
  <c r="L4087" i="1"/>
  <c r="L4094" i="1"/>
  <c r="L4085" i="1"/>
  <c r="L4099" i="1"/>
  <c r="L4090" i="1"/>
  <c r="L4096" i="1"/>
  <c r="L4095" i="1"/>
  <c r="L4107" i="1"/>
  <c r="L4102" i="1"/>
  <c r="L4101" i="1"/>
  <c r="L4110" i="1"/>
  <c r="L4116" i="1"/>
  <c r="L4113" i="1"/>
  <c r="L4111" i="1"/>
  <c r="L4115" i="1"/>
  <c r="L4104" i="1"/>
  <c r="L4109" i="1"/>
  <c r="L4105" i="1"/>
  <c r="L4108" i="1"/>
  <c r="L4114" i="1"/>
  <c r="L4103" i="1"/>
  <c r="L4106" i="1"/>
  <c r="L4112" i="1"/>
  <c r="L4122" i="1"/>
  <c r="L4128" i="1"/>
  <c r="L4117" i="1"/>
  <c r="L4126" i="1"/>
  <c r="L4127" i="1"/>
  <c r="L4123" i="1"/>
  <c r="L4120" i="1"/>
  <c r="L4124" i="1"/>
  <c r="L4118" i="1"/>
  <c r="L4119" i="1"/>
  <c r="L4121" i="1"/>
  <c r="L4125" i="1"/>
  <c r="L4138" i="1"/>
  <c r="L4139" i="1"/>
  <c r="L4140" i="1"/>
  <c r="L4129" i="1"/>
  <c r="L4134" i="1"/>
  <c r="L4130" i="1"/>
  <c r="L4141" i="1"/>
  <c r="L4136" i="1"/>
  <c r="L4135" i="1"/>
  <c r="L4131" i="1"/>
  <c r="L4137" i="1"/>
  <c r="L4133" i="1"/>
  <c r="L4132" i="1"/>
  <c r="L4143" i="1"/>
  <c r="L4155" i="1"/>
  <c r="L4149" i="1"/>
  <c r="L4153" i="1"/>
  <c r="L4148" i="1"/>
  <c r="L4144" i="1"/>
  <c r="L4152" i="1"/>
  <c r="L4151" i="1"/>
  <c r="L4150" i="1"/>
  <c r="L4142" i="1"/>
  <c r="L4145" i="1"/>
  <c r="L4146" i="1"/>
  <c r="L4147" i="1"/>
  <c r="L4154" i="1"/>
  <c r="L4160" i="1"/>
  <c r="L4170" i="1"/>
  <c r="L4175" i="1"/>
  <c r="L4161" i="1"/>
  <c r="L4178" i="1"/>
  <c r="L4163" i="1"/>
  <c r="L4165" i="1"/>
  <c r="L4174" i="1"/>
  <c r="L4164" i="1"/>
  <c r="L4156" i="1"/>
  <c r="L4168" i="1"/>
  <c r="L4159" i="1"/>
  <c r="L4162" i="1"/>
  <c r="L4171" i="1"/>
  <c r="L4172" i="1"/>
  <c r="L4157" i="1"/>
  <c r="L4173" i="1"/>
  <c r="L4169" i="1"/>
  <c r="L4176" i="1"/>
  <c r="L4158" i="1"/>
  <c r="L4177" i="1"/>
  <c r="L4166" i="1"/>
  <c r="L4167" i="1"/>
  <c r="L4190" i="1"/>
  <c r="L4182" i="1"/>
  <c r="L4185" i="1"/>
  <c r="L4179" i="1"/>
  <c r="L4187" i="1"/>
  <c r="L4183" i="1"/>
  <c r="L4186" i="1"/>
  <c r="L4180" i="1"/>
  <c r="L4189" i="1"/>
  <c r="L4181" i="1"/>
  <c r="L4188" i="1"/>
  <c r="L4184" i="1"/>
  <c r="L4194" i="1"/>
  <c r="L4195" i="1"/>
  <c r="L4191" i="1"/>
  <c r="L4196" i="1"/>
  <c r="L4192" i="1"/>
  <c r="L4193" i="1"/>
  <c r="L4207" i="1"/>
  <c r="L4198" i="1"/>
  <c r="L4208" i="1"/>
  <c r="L4211" i="1"/>
  <c r="L4213" i="1"/>
  <c r="L4212" i="1"/>
  <c r="L4203" i="1"/>
  <c r="L4216" i="1"/>
  <c r="L4197" i="1"/>
  <c r="L4214" i="1"/>
  <c r="L4206" i="1"/>
  <c r="L4199" i="1"/>
  <c r="L4204" i="1"/>
  <c r="L4205" i="1"/>
  <c r="L4209" i="1"/>
  <c r="L4202" i="1"/>
  <c r="L4215" i="1"/>
  <c r="L4210" i="1"/>
  <c r="L4200" i="1"/>
  <c r="L4201" i="1"/>
  <c r="L4217" i="1"/>
  <c r="L4228" i="1"/>
  <c r="L4227" i="1"/>
  <c r="L4233" i="1"/>
  <c r="L4236" i="1"/>
  <c r="L4229" i="1"/>
  <c r="L4230" i="1"/>
  <c r="L4225" i="1"/>
  <c r="L4219" i="1"/>
  <c r="L4234" i="1"/>
  <c r="L4220" i="1"/>
  <c r="L4232" i="1"/>
  <c r="L4235" i="1"/>
  <c r="L4237" i="1"/>
  <c r="L4226" i="1"/>
  <c r="L4221" i="1"/>
  <c r="L4218" i="1"/>
  <c r="L4223" i="1"/>
  <c r="L4222" i="1"/>
  <c r="L4231" i="1"/>
  <c r="L4224" i="1"/>
  <c r="L4248" i="1"/>
  <c r="L4238" i="1"/>
  <c r="L4252" i="1"/>
  <c r="L4249" i="1"/>
  <c r="L4256" i="1"/>
  <c r="L4240" i="1"/>
  <c r="L4253" i="1"/>
  <c r="L4245" i="1"/>
  <c r="L4247" i="1"/>
  <c r="L4250" i="1"/>
  <c r="L4241" i="1"/>
  <c r="L4259" i="1"/>
  <c r="L4239" i="1"/>
  <c r="L4242" i="1"/>
  <c r="L4243" i="1"/>
  <c r="L4244" i="1"/>
  <c r="L4257" i="1"/>
  <c r="L4260" i="1"/>
  <c r="L4246" i="1"/>
  <c r="L4261" i="1"/>
  <c r="L4258" i="1"/>
  <c r="L4255" i="1"/>
  <c r="L4254" i="1"/>
  <c r="L4251" i="1"/>
  <c r="L4268" i="1"/>
  <c r="L4266" i="1"/>
  <c r="L4263" i="1"/>
  <c r="L4262" i="1"/>
  <c r="L4271" i="1"/>
  <c r="L4264" i="1"/>
  <c r="L4265" i="1"/>
  <c r="L4270" i="1"/>
  <c r="L4269" i="1"/>
  <c r="L4267" i="1"/>
  <c r="L4272" i="1"/>
  <c r="L4293" i="1"/>
  <c r="L4281" i="1"/>
  <c r="L4282" i="1"/>
  <c r="L4277" i="1"/>
  <c r="L4298" i="1"/>
  <c r="L4273" i="1"/>
  <c r="L4290" i="1"/>
  <c r="L4274" i="1"/>
  <c r="L4291" i="1"/>
  <c r="L4289" i="1"/>
  <c r="L4295" i="1"/>
  <c r="L4292" i="1"/>
  <c r="L4285" i="1"/>
  <c r="L4279" i="1"/>
  <c r="L4294" i="1"/>
  <c r="L4297" i="1"/>
  <c r="L4280" i="1"/>
  <c r="L4283" i="1"/>
  <c r="L4287" i="1"/>
  <c r="L4276" i="1"/>
  <c r="L4278" i="1"/>
  <c r="L4296" i="1"/>
  <c r="L4288" i="1"/>
  <c r="L4286" i="1"/>
  <c r="L4284" i="1"/>
  <c r="L4299" i="1"/>
  <c r="L4309" i="1"/>
  <c r="L4302" i="1"/>
  <c r="L4305" i="1"/>
  <c r="L4303" i="1"/>
  <c r="L4304" i="1"/>
  <c r="L4301" i="1"/>
  <c r="L4306" i="1"/>
  <c r="L4308" i="1"/>
  <c r="L4300" i="1"/>
  <c r="L4307" i="1"/>
  <c r="L4314" i="1"/>
  <c r="L4318" i="1"/>
  <c r="L4320" i="1"/>
  <c r="L4311" i="1"/>
  <c r="L4313" i="1"/>
  <c r="L4316" i="1"/>
  <c r="L4315" i="1"/>
  <c r="L4312" i="1"/>
  <c r="L4317" i="1"/>
  <c r="L4319" i="1"/>
  <c r="L4310" i="1"/>
  <c r="L4321" i="1"/>
  <c r="L4323" i="1"/>
  <c r="L4326" i="1"/>
  <c r="L4336" i="1"/>
  <c r="L4334" i="1"/>
  <c r="L4340" i="1"/>
  <c r="L4337" i="1"/>
  <c r="L4329" i="1"/>
  <c r="L4322" i="1"/>
  <c r="L4327" i="1"/>
  <c r="L4330" i="1"/>
  <c r="L4333" i="1"/>
  <c r="L4332" i="1"/>
  <c r="L4331" i="1"/>
  <c r="L4324" i="1"/>
  <c r="L4328" i="1"/>
  <c r="L4339" i="1"/>
  <c r="L4325" i="1"/>
  <c r="L4335" i="1"/>
  <c r="L4338" i="1"/>
  <c r="L4348" i="1"/>
  <c r="L4349" i="1"/>
  <c r="L4345" i="1"/>
  <c r="L4351" i="1"/>
  <c r="L4347" i="1"/>
  <c r="L4344" i="1"/>
  <c r="L4343" i="1"/>
  <c r="L4342" i="1"/>
  <c r="L4341" i="1"/>
  <c r="L4350" i="1"/>
  <c r="L4346" i="1"/>
  <c r="L4357" i="1"/>
  <c r="L4353" i="1"/>
  <c r="L4355" i="1"/>
  <c r="L4359" i="1"/>
  <c r="L4364" i="1"/>
  <c r="L4361" i="1"/>
  <c r="L4360" i="1"/>
  <c r="L4352" i="1"/>
  <c r="L4362" i="1"/>
  <c r="L4363" i="1"/>
  <c r="L4354" i="1"/>
  <c r="L4356" i="1"/>
  <c r="L4358" i="1"/>
  <c r="L4368" i="1"/>
  <c r="L4375" i="1"/>
  <c r="L4370" i="1"/>
  <c r="L4371" i="1"/>
  <c r="L4373" i="1"/>
  <c r="L4365" i="1"/>
  <c r="L4366" i="1"/>
  <c r="L4369" i="1"/>
  <c r="L4367" i="1"/>
  <c r="L4380" i="1"/>
  <c r="L4379" i="1"/>
  <c r="L4384" i="1"/>
  <c r="L4385" i="1"/>
  <c r="L4376" i="1"/>
  <c r="L4377" i="1"/>
  <c r="L4382" i="1"/>
  <c r="L4372" i="1"/>
  <c r="L4381" i="1"/>
  <c r="L4383" i="1"/>
  <c r="L4378" i="1"/>
  <c r="L4387" i="1"/>
  <c r="L4397" i="1"/>
  <c r="L4388" i="1"/>
  <c r="L4386" i="1"/>
  <c r="L4389" i="1"/>
  <c r="L4396" i="1"/>
  <c r="L4391" i="1"/>
  <c r="L4392" i="1"/>
  <c r="L4395" i="1"/>
  <c r="L4390" i="1"/>
  <c r="L4393" i="1"/>
  <c r="L4394" i="1"/>
  <c r="L4398" i="1"/>
  <c r="L4411" i="1"/>
  <c r="L4405" i="1"/>
  <c r="L4403" i="1"/>
  <c r="L4409" i="1"/>
  <c r="L4399" i="1"/>
  <c r="L4401" i="1"/>
  <c r="L4406" i="1"/>
  <c r="L4404" i="1"/>
  <c r="L4407" i="1"/>
  <c r="L4408" i="1"/>
  <c r="L4400" i="1"/>
  <c r="L4410" i="1"/>
  <c r="L4402" i="1"/>
  <c r="L4421" i="1"/>
  <c r="L4418" i="1"/>
  <c r="L4415" i="1"/>
  <c r="L4424" i="1"/>
  <c r="L4412" i="1"/>
  <c r="L4419" i="1"/>
  <c r="L4413" i="1"/>
  <c r="L4414" i="1"/>
  <c r="L4423" i="1"/>
  <c r="L4417" i="1"/>
  <c r="L4425" i="1"/>
  <c r="L4422" i="1"/>
  <c r="L4420" i="1"/>
  <c r="L4426" i="1"/>
  <c r="L4416" i="1"/>
  <c r="L4439" i="1"/>
  <c r="L4436" i="1"/>
  <c r="L4434" i="1"/>
  <c r="L4440" i="1"/>
  <c r="L4428" i="1"/>
  <c r="L4431" i="1"/>
  <c r="L4432" i="1"/>
  <c r="L4437" i="1"/>
  <c r="L4435" i="1"/>
  <c r="L4441" i="1"/>
  <c r="L4433" i="1"/>
  <c r="L4430" i="1"/>
  <c r="L4429" i="1"/>
  <c r="L4438" i="1"/>
  <c r="L4427" i="1"/>
  <c r="L4452" i="1"/>
  <c r="L4448" i="1"/>
  <c r="L4449" i="1"/>
  <c r="L4445" i="1"/>
  <c r="L4446" i="1"/>
  <c r="L4443" i="1"/>
  <c r="L4454" i="1"/>
  <c r="L4450" i="1"/>
  <c r="L4447" i="1"/>
  <c r="L4451" i="1"/>
  <c r="L4442" i="1"/>
  <c r="L4444" i="1"/>
  <c r="L4453" i="1"/>
  <c r="L4457" i="1"/>
  <c r="L4456" i="1"/>
  <c r="L4465" i="1"/>
  <c r="L4461" i="1"/>
  <c r="L4458" i="1"/>
  <c r="L4459" i="1"/>
  <c r="L4464" i="1"/>
  <c r="L4455" i="1"/>
  <c r="L4462" i="1"/>
  <c r="L4463" i="1"/>
  <c r="L4460" i="1"/>
  <c r="L4471" i="1"/>
  <c r="L4467" i="1"/>
  <c r="L4476" i="1"/>
  <c r="L4474" i="1"/>
  <c r="L4478" i="1"/>
  <c r="L4477" i="1"/>
  <c r="L4466" i="1"/>
  <c r="L4473" i="1"/>
  <c r="L4469" i="1"/>
  <c r="L4472" i="1"/>
  <c r="L4475" i="1"/>
  <c r="L4468" i="1"/>
  <c r="L4470" i="1"/>
  <c r="L4485" i="1"/>
  <c r="L4481" i="1"/>
  <c r="L4483" i="1"/>
  <c r="L4486" i="1"/>
  <c r="L4482" i="1"/>
  <c r="L4479" i="1"/>
  <c r="L4489" i="1"/>
  <c r="L4487" i="1"/>
  <c r="L4484" i="1"/>
  <c r="L4488" i="1"/>
  <c r="L4480" i="1"/>
  <c r="L4492" i="1"/>
  <c r="L4497" i="1"/>
  <c r="L4505" i="1"/>
  <c r="L4502" i="1"/>
  <c r="L4493" i="1"/>
  <c r="L4506" i="1"/>
  <c r="L4500" i="1"/>
  <c r="L4503" i="1"/>
  <c r="L4496" i="1"/>
  <c r="L4491" i="1"/>
  <c r="L4498" i="1"/>
  <c r="L4499" i="1"/>
  <c r="L4490" i="1"/>
  <c r="L4501" i="1"/>
  <c r="L4495" i="1"/>
  <c r="L4494" i="1"/>
  <c r="L4504" i="1"/>
  <c r="L4515" i="1"/>
  <c r="L4517" i="1"/>
  <c r="L4513" i="1"/>
  <c r="L4507" i="1"/>
  <c r="L4520" i="1"/>
  <c r="L4511" i="1"/>
  <c r="L4521" i="1"/>
  <c r="L4508" i="1"/>
  <c r="L4519" i="1"/>
  <c r="L4510" i="1"/>
  <c r="L4512" i="1"/>
  <c r="L4514" i="1"/>
  <c r="L4516" i="1"/>
  <c r="L4518" i="1"/>
  <c r="L4509" i="1"/>
  <c r="L4522" i="1"/>
  <c r="L4533" i="1"/>
  <c r="L4526" i="1"/>
  <c r="L4530" i="1"/>
  <c r="L4525" i="1"/>
  <c r="L4527" i="1"/>
  <c r="L4528" i="1"/>
  <c r="L4529" i="1"/>
  <c r="L4531" i="1"/>
  <c r="L4534" i="1"/>
  <c r="L4523" i="1"/>
  <c r="L4532" i="1"/>
  <c r="L4535" i="1"/>
  <c r="L4524" i="1"/>
  <c r="L4545" i="1"/>
  <c r="L4539" i="1"/>
  <c r="L4544" i="1"/>
  <c r="L4540" i="1"/>
  <c r="L4536" i="1"/>
  <c r="L4537" i="1"/>
  <c r="L4546" i="1"/>
  <c r="L4538" i="1"/>
  <c r="L4541" i="1"/>
  <c r="L4547" i="1"/>
  <c r="L4543" i="1"/>
  <c r="L4548" i="1"/>
  <c r="L4542" i="1"/>
  <c r="L4556" i="1"/>
  <c r="L4549" i="1"/>
  <c r="L4554" i="1"/>
  <c r="L4560" i="1"/>
  <c r="L4563" i="1"/>
  <c r="L4562" i="1"/>
  <c r="L4558" i="1"/>
  <c r="L4553" i="1"/>
  <c r="L4552" i="1"/>
  <c r="L4559" i="1"/>
  <c r="L4551" i="1"/>
  <c r="L4555" i="1"/>
  <c r="L4561" i="1"/>
  <c r="L4550" i="1"/>
  <c r="L4580" i="1"/>
  <c r="L4569" i="1"/>
  <c r="L4579" i="1"/>
  <c r="L4577" i="1"/>
  <c r="L4584" i="1"/>
  <c r="L4564" i="1"/>
  <c r="L4585" i="1"/>
  <c r="L4566" i="1"/>
  <c r="L4581" i="1"/>
  <c r="L4573" i="1"/>
  <c r="L4568" i="1"/>
  <c r="L4582" i="1"/>
  <c r="L4574" i="1"/>
  <c r="L4583" i="1"/>
  <c r="L4570" i="1"/>
  <c r="L4575" i="1"/>
  <c r="L4567" i="1"/>
  <c r="L4576" i="1"/>
  <c r="L4572" i="1"/>
  <c r="L4578" i="1"/>
  <c r="L4571" i="1"/>
  <c r="L4565" i="1"/>
  <c r="L4587" i="1"/>
  <c r="L4594" i="1"/>
  <c r="L4591" i="1"/>
  <c r="L4595" i="1"/>
  <c r="L4596" i="1"/>
  <c r="L4598" i="1"/>
  <c r="L4590" i="1"/>
  <c r="L4601" i="1"/>
  <c r="L4600" i="1"/>
  <c r="L4593" i="1"/>
  <c r="L4586" i="1"/>
  <c r="L4599" i="1"/>
  <c r="L4588" i="1"/>
  <c r="L4589" i="1"/>
  <c r="L4592" i="1"/>
  <c r="L4597" i="1"/>
  <c r="L4614" i="1"/>
  <c r="L4610" i="1"/>
  <c r="L4604" i="1"/>
  <c r="L4605" i="1"/>
  <c r="L4602" i="1"/>
  <c r="L4617" i="1"/>
  <c r="L4612" i="1"/>
  <c r="L4618" i="1"/>
  <c r="L4606" i="1"/>
  <c r="L4609" i="1"/>
  <c r="L4607" i="1"/>
  <c r="L4616" i="1"/>
  <c r="L4615" i="1"/>
  <c r="L4611" i="1"/>
  <c r="L4608" i="1"/>
  <c r="L4603" i="1"/>
  <c r="L4613" i="1"/>
  <c r="L4622" i="1"/>
  <c r="L4626" i="1"/>
  <c r="L4625" i="1"/>
  <c r="L4624" i="1"/>
  <c r="L4633" i="1"/>
  <c r="L4629" i="1"/>
  <c r="L4630" i="1"/>
  <c r="L4623" i="1"/>
  <c r="L4635" i="1"/>
  <c r="L4636" i="1"/>
  <c r="L4634" i="1"/>
  <c r="L4627" i="1"/>
  <c r="L4632" i="1"/>
  <c r="L4628" i="1"/>
  <c r="L4631" i="1"/>
  <c r="L4620" i="1"/>
  <c r="L4621" i="1"/>
  <c r="L4619" i="1"/>
  <c r="L4645" i="1"/>
  <c r="L4643" i="1"/>
  <c r="L4638" i="1"/>
  <c r="L4640" i="1"/>
  <c r="L4648" i="1"/>
  <c r="L4637" i="1"/>
  <c r="L4646" i="1"/>
  <c r="L4639" i="1"/>
  <c r="L4647" i="1"/>
  <c r="L4641" i="1"/>
  <c r="L4644" i="1"/>
  <c r="L4642" i="1"/>
  <c r="L4649" i="1"/>
  <c r="L4653" i="1"/>
  <c r="L4655" i="1"/>
  <c r="L4650" i="1"/>
  <c r="L4654" i="1"/>
  <c r="L4657" i="1"/>
  <c r="L4656" i="1"/>
  <c r="L4658" i="1"/>
  <c r="L4651" i="1"/>
  <c r="L4652" i="1"/>
  <c r="L4659" i="1"/>
  <c r="L4675" i="1"/>
  <c r="L4661" i="1"/>
  <c r="L4673" i="1"/>
  <c r="L4666" i="1"/>
  <c r="L4670" i="1"/>
  <c r="L4660" i="1"/>
  <c r="L4669" i="1"/>
  <c r="L4663" i="1"/>
  <c r="L4676" i="1"/>
  <c r="L4674" i="1"/>
  <c r="L4667" i="1"/>
  <c r="L4671" i="1"/>
  <c r="L4664" i="1"/>
  <c r="L4668" i="1"/>
  <c r="L4662" i="1"/>
  <c r="L4672" i="1"/>
  <c r="L4665" i="1"/>
  <c r="L4689" i="1"/>
  <c r="L4687" i="1"/>
  <c r="L4686" i="1"/>
  <c r="L4680" i="1"/>
  <c r="L4690" i="1"/>
  <c r="L4685" i="1"/>
  <c r="L4677" i="1"/>
  <c r="L4684" i="1"/>
  <c r="L4678" i="1"/>
  <c r="L4688" i="1"/>
  <c r="L4683" i="1"/>
  <c r="L4681" i="1"/>
  <c r="L4679" i="1"/>
  <c r="L4682" i="1"/>
  <c r="L4694" i="1"/>
  <c r="L4698" i="1"/>
  <c r="L4691" i="1"/>
  <c r="L4700" i="1"/>
  <c r="L4704" i="1"/>
  <c r="L4702" i="1"/>
  <c r="L4701" i="1"/>
  <c r="L4699" i="1"/>
  <c r="L4703" i="1"/>
  <c r="L4695" i="1"/>
  <c r="L4692" i="1"/>
  <c r="L4696" i="1"/>
  <c r="L4697" i="1"/>
  <c r="L4705" i="1"/>
  <c r="L4693" i="1"/>
  <c r="L4709" i="1"/>
  <c r="L4714" i="1"/>
  <c r="L4712" i="1"/>
  <c r="L4708" i="1"/>
  <c r="L4710" i="1"/>
  <c r="L4717" i="1"/>
  <c r="L4706" i="1"/>
  <c r="L4713" i="1"/>
  <c r="L4711" i="1"/>
  <c r="L4715" i="1"/>
  <c r="L4707" i="1"/>
  <c r="L4716" i="1"/>
  <c r="L4725" i="1"/>
  <c r="L4720" i="1"/>
  <c r="L4721" i="1"/>
  <c r="L4724" i="1"/>
  <c r="L4727" i="1"/>
  <c r="L4718" i="1"/>
  <c r="L4722" i="1"/>
  <c r="L4719" i="1"/>
  <c r="L4728" i="1"/>
  <c r="L4726" i="1"/>
  <c r="L4729" i="1"/>
  <c r="L4723" i="1"/>
  <c r="L4739" i="1"/>
  <c r="L4735" i="1"/>
  <c r="L4734" i="1"/>
  <c r="L4741" i="1"/>
  <c r="L4742" i="1"/>
  <c r="L4730" i="1"/>
  <c r="L4737" i="1"/>
  <c r="L4740" i="1"/>
  <c r="L4732" i="1"/>
  <c r="L4733" i="1"/>
  <c r="L4731" i="1"/>
  <c r="L4743" i="1"/>
  <c r="L4738" i="1"/>
  <c r="L4736" i="1"/>
  <c r="L4745" i="1"/>
  <c r="L4752" i="1"/>
  <c r="L4744" i="1"/>
  <c r="L4746" i="1"/>
  <c r="L4756" i="1"/>
  <c r="L4747" i="1"/>
  <c r="L4753" i="1"/>
  <c r="L4757" i="1"/>
  <c r="L4754" i="1"/>
  <c r="L4750" i="1"/>
  <c r="L4755" i="1"/>
  <c r="L4749" i="1"/>
  <c r="L4751" i="1"/>
  <c r="L4748" i="1"/>
  <c r="L4762" i="1"/>
  <c r="L4768" i="1"/>
  <c r="L4769" i="1"/>
  <c r="L4766" i="1"/>
  <c r="L4763" i="1"/>
  <c r="L4758" i="1"/>
  <c r="L4767" i="1"/>
  <c r="L4759" i="1"/>
  <c r="L4765" i="1"/>
  <c r="L4760" i="1"/>
  <c r="L4764" i="1"/>
  <c r="L4770" i="1"/>
  <c r="L4775" i="1"/>
  <c r="L4772" i="1"/>
  <c r="L4771" i="1"/>
  <c r="L4779" i="1"/>
  <c r="L4784" i="1"/>
  <c r="L4780" i="1"/>
  <c r="L4776" i="1"/>
  <c r="L4773" i="1"/>
  <c r="L4774" i="1"/>
  <c r="L4777" i="1"/>
  <c r="L4778" i="1"/>
  <c r="L4782" i="1"/>
  <c r="L4783" i="1"/>
  <c r="L4781" i="1"/>
  <c r="L4785" i="1"/>
  <c r="L4794" i="1"/>
  <c r="L4793" i="1"/>
  <c r="L4790" i="1"/>
  <c r="L4792" i="1"/>
  <c r="L4786" i="1"/>
  <c r="L4789" i="1"/>
  <c r="L4791" i="1"/>
  <c r="L4787" i="1"/>
  <c r="L4788" i="1"/>
  <c r="L4797" i="1"/>
  <c r="L4806" i="1"/>
  <c r="L4800" i="1"/>
  <c r="L4799" i="1"/>
  <c r="L4805" i="1"/>
  <c r="L4804" i="1"/>
  <c r="L4798" i="1"/>
  <c r="L4802" i="1"/>
  <c r="L4801" i="1"/>
  <c r="L4803" i="1"/>
  <c r="L4795" i="1"/>
  <c r="L4796" i="1"/>
  <c r="L4807" i="1"/>
  <c r="L4812" i="1"/>
  <c r="L4810" i="1"/>
  <c r="L4816" i="1"/>
  <c r="L4811" i="1"/>
  <c r="L4814" i="1"/>
  <c r="L4809" i="1"/>
  <c r="L4813" i="1"/>
  <c r="L4815" i="1"/>
  <c r="L4808" i="1"/>
  <c r="L4818" i="1"/>
  <c r="L4827" i="1"/>
  <c r="L4830" i="1"/>
  <c r="L4829" i="1"/>
  <c r="L4823" i="1"/>
  <c r="L4831" i="1"/>
  <c r="L4819" i="1"/>
  <c r="L4828" i="1"/>
  <c r="L4826" i="1"/>
  <c r="L4821" i="1"/>
  <c r="L4820" i="1"/>
  <c r="L4817" i="1"/>
  <c r="L4822" i="1"/>
  <c r="L4824" i="1"/>
  <c r="L4825" i="1"/>
  <c r="L4834" i="1"/>
  <c r="L4840" i="1"/>
  <c r="L4837" i="1"/>
  <c r="L4835" i="1"/>
  <c r="L4842" i="1"/>
  <c r="L4847" i="1"/>
  <c r="L4843" i="1"/>
  <c r="L4838" i="1"/>
  <c r="L4848" i="1"/>
  <c r="L4839" i="1"/>
  <c r="L4832" i="1"/>
  <c r="L4841" i="1"/>
  <c r="L4846" i="1"/>
  <c r="L4845" i="1"/>
  <c r="L4836" i="1"/>
  <c r="L4844" i="1"/>
  <c r="L4833" i="1"/>
  <c r="L4853" i="1"/>
  <c r="L4855" i="1"/>
  <c r="L4850" i="1"/>
  <c r="L4859" i="1"/>
  <c r="L4854" i="1"/>
  <c r="L4851" i="1"/>
  <c r="L4852" i="1"/>
  <c r="L4856" i="1"/>
  <c r="L4857" i="1"/>
  <c r="L4849" i="1"/>
  <c r="L4858" i="1"/>
  <c r="L4872" i="1"/>
  <c r="L4867" i="1"/>
  <c r="L4861" i="1"/>
  <c r="L4862" i="1"/>
  <c r="L4863" i="1"/>
  <c r="L4871" i="1"/>
  <c r="L4864" i="1"/>
  <c r="L4868" i="1"/>
  <c r="L4870" i="1"/>
  <c r="L4860" i="1"/>
  <c r="L4865" i="1"/>
  <c r="L4869" i="1"/>
  <c r="L4866" i="1"/>
  <c r="L4875" i="1"/>
  <c r="L4881" i="1"/>
  <c r="L4886" i="1"/>
  <c r="L4889" i="1"/>
  <c r="L4887" i="1"/>
  <c r="L4888" i="1"/>
  <c r="L4879" i="1"/>
  <c r="L4884" i="1"/>
  <c r="L4880" i="1"/>
  <c r="L4876" i="1"/>
  <c r="L4873" i="1"/>
  <c r="L4885" i="1"/>
  <c r="L4882" i="1"/>
  <c r="L4890" i="1"/>
  <c r="L4877" i="1"/>
  <c r="L4874" i="1"/>
  <c r="L4883" i="1"/>
  <c r="L4895" i="1"/>
  <c r="L4893" i="1"/>
  <c r="L4899" i="1"/>
  <c r="L4891" i="1"/>
  <c r="L4894" i="1"/>
  <c r="L4896" i="1"/>
  <c r="L4892" i="1"/>
  <c r="L4898" i="1"/>
  <c r="L4897" i="1"/>
  <c r="L4900" i="1"/>
  <c r="L4914" i="1"/>
  <c r="L4909" i="1"/>
  <c r="L4904" i="1"/>
  <c r="L4917" i="1"/>
  <c r="L4915" i="1"/>
  <c r="L4902" i="1"/>
  <c r="L4912" i="1"/>
  <c r="L4908" i="1"/>
  <c r="L4911" i="1"/>
  <c r="L4918" i="1"/>
  <c r="L4905" i="1"/>
  <c r="L4906" i="1"/>
  <c r="L4913" i="1"/>
  <c r="L4910" i="1"/>
  <c r="L4903" i="1"/>
  <c r="L4901" i="1"/>
  <c r="L4916" i="1"/>
  <c r="L4907" i="1"/>
  <c r="L4927" i="1"/>
  <c r="L4926" i="1"/>
  <c r="L4922" i="1"/>
  <c r="L4924" i="1"/>
  <c r="L4928" i="1"/>
  <c r="L4929" i="1"/>
  <c r="L4920" i="1"/>
  <c r="L4919" i="1"/>
  <c r="L4925" i="1"/>
  <c r="L4921" i="1"/>
  <c r="L4923" i="1"/>
  <c r="L4934" i="1"/>
  <c r="L4932" i="1"/>
  <c r="L4936" i="1"/>
  <c r="L4947" i="1"/>
  <c r="L4937" i="1"/>
  <c r="L4946" i="1"/>
  <c r="L4938" i="1"/>
  <c r="L4930" i="1"/>
  <c r="L4935" i="1"/>
  <c r="L4944" i="1"/>
  <c r="L4941" i="1"/>
  <c r="L4931" i="1"/>
  <c r="L4933" i="1"/>
  <c r="L4945" i="1"/>
  <c r="L4940" i="1"/>
  <c r="L4942" i="1"/>
  <c r="L4943" i="1"/>
  <c r="L4939" i="1"/>
  <c r="L4953" i="1"/>
  <c r="L4958" i="1"/>
  <c r="L4952" i="1"/>
  <c r="L4949" i="1"/>
  <c r="L4951" i="1"/>
  <c r="L4950" i="1"/>
  <c r="L4957" i="1"/>
  <c r="L4955" i="1"/>
  <c r="L4954" i="1"/>
  <c r="L4948" i="1"/>
  <c r="L4956" i="1"/>
  <c r="L4964" i="1"/>
  <c r="L4960" i="1"/>
  <c r="L4966" i="1"/>
  <c r="L4961" i="1"/>
  <c r="L4965" i="1"/>
  <c r="L4962" i="1"/>
  <c r="L4959" i="1"/>
  <c r="L4963" i="1"/>
  <c r="L4978" i="1"/>
  <c r="L4974" i="1"/>
  <c r="L4972" i="1"/>
  <c r="L4973" i="1"/>
  <c r="L4979" i="1"/>
  <c r="L4970" i="1"/>
  <c r="L4976" i="1"/>
  <c r="L4968" i="1"/>
  <c r="L4975" i="1"/>
  <c r="L4971" i="1"/>
  <c r="L4977" i="1"/>
  <c r="L4967" i="1"/>
  <c r="L4969" i="1"/>
  <c r="L4987" i="1"/>
  <c r="L4980" i="1"/>
  <c r="L4981" i="1"/>
  <c r="L4983" i="1"/>
  <c r="L4984" i="1"/>
  <c r="L4982" i="1"/>
  <c r="L4986" i="1"/>
  <c r="L4988" i="1"/>
  <c r="L4985" i="1"/>
  <c r="L4999" i="1"/>
  <c r="L4997" i="1"/>
  <c r="L4993" i="1"/>
  <c r="L5000" i="1"/>
  <c r="L4994" i="1"/>
  <c r="L4992" i="1"/>
  <c r="L4990" i="1"/>
  <c r="L4991" i="1"/>
  <c r="L4995" i="1"/>
  <c r="L4998" i="1"/>
  <c r="L4989" i="1"/>
  <c r="L4996" i="1"/>
  <c r="L5" i="1"/>
  <c r="L3744" i="1"/>
  <c r="L2180" i="1"/>
  <c r="L2597" i="1"/>
  <c r="L115" i="1"/>
  <c r="L4275" i="1"/>
  <c r="L4761" i="1"/>
  <c r="L3129" i="1"/>
  <c r="L4374" i="1"/>
  <c r="L2752" i="1"/>
  <c r="L2753" i="1"/>
  <c r="L720" i="1"/>
  <c r="L2765" i="1"/>
  <c r="L747" i="1"/>
  <c r="L3607" i="1"/>
  <c r="L4878" i="1"/>
  <c r="L772" i="1"/>
  <c r="L2001" i="1"/>
  <c r="L314" i="1"/>
  <c r="L2010" i="1"/>
  <c r="L2034" i="1"/>
  <c r="L2858" i="1"/>
  <c r="L2070" i="1"/>
  <c r="L4557" i="1"/>
  <c r="L2919" i="1"/>
  <c r="K13" i="1"/>
  <c r="K6" i="1"/>
  <c r="K10" i="1"/>
  <c r="K8" i="1"/>
  <c r="K15" i="1"/>
  <c r="K11" i="1"/>
  <c r="K7" i="1"/>
  <c r="K14" i="1"/>
  <c r="K3" i="1"/>
  <c r="K12" i="1"/>
  <c r="K4" i="1"/>
  <c r="K16" i="1"/>
  <c r="K9" i="1"/>
  <c r="K18" i="1"/>
  <c r="K21" i="1"/>
  <c r="K19" i="1"/>
  <c r="K17" i="1"/>
  <c r="K20" i="1"/>
  <c r="K37" i="1"/>
  <c r="K25" i="1"/>
  <c r="K27" i="1"/>
  <c r="K33" i="1"/>
  <c r="K40" i="1"/>
  <c r="K30" i="1"/>
  <c r="K26" i="1"/>
  <c r="K32" i="1"/>
  <c r="K31" i="1"/>
  <c r="K23" i="1"/>
  <c r="K29" i="1"/>
  <c r="K34" i="1"/>
  <c r="K22" i="1"/>
  <c r="K39" i="1"/>
  <c r="K28" i="1"/>
  <c r="K24" i="1"/>
  <c r="K35" i="1"/>
  <c r="K36" i="1"/>
  <c r="K38" i="1"/>
  <c r="K41" i="1"/>
  <c r="K60" i="1"/>
  <c r="K53" i="1"/>
  <c r="K45" i="1"/>
  <c r="K51" i="1"/>
  <c r="K59" i="1"/>
  <c r="K55" i="1"/>
  <c r="K50" i="1"/>
  <c r="K48" i="1"/>
  <c r="K52" i="1"/>
  <c r="K56" i="1"/>
  <c r="K46" i="1"/>
  <c r="K43" i="1"/>
  <c r="K57" i="1"/>
  <c r="K54" i="1"/>
  <c r="K44" i="1"/>
  <c r="K42" i="1"/>
  <c r="K49" i="1"/>
  <c r="K47" i="1"/>
  <c r="K58" i="1"/>
  <c r="K64" i="1"/>
  <c r="K61" i="1"/>
  <c r="K62" i="1"/>
  <c r="K65" i="1"/>
  <c r="K69" i="1"/>
  <c r="K71" i="1"/>
  <c r="K72" i="1"/>
  <c r="K63" i="1"/>
  <c r="K73" i="1"/>
  <c r="K70" i="1"/>
  <c r="K68" i="1"/>
  <c r="K67" i="1"/>
  <c r="K66" i="1"/>
  <c r="K74" i="1"/>
  <c r="K83" i="1"/>
  <c r="K79" i="1"/>
  <c r="K76" i="1"/>
  <c r="K85" i="1"/>
  <c r="K88" i="1"/>
  <c r="K75" i="1"/>
  <c r="K77" i="1"/>
  <c r="K80" i="1"/>
  <c r="K82" i="1"/>
  <c r="K81" i="1"/>
  <c r="K89" i="1"/>
  <c r="K86" i="1"/>
  <c r="K78" i="1"/>
  <c r="K87" i="1"/>
  <c r="K84" i="1"/>
  <c r="K99" i="1"/>
  <c r="K91" i="1"/>
  <c r="K96" i="1"/>
  <c r="K92" i="1"/>
  <c r="K98" i="1"/>
  <c r="K93" i="1"/>
  <c r="K97" i="1"/>
  <c r="K100" i="1"/>
  <c r="K101" i="1"/>
  <c r="K95" i="1"/>
  <c r="K102" i="1"/>
  <c r="K90" i="1"/>
  <c r="K94" i="1"/>
  <c r="K105" i="1"/>
  <c r="K103" i="1"/>
  <c r="K109" i="1"/>
  <c r="K104" i="1"/>
  <c r="K106" i="1"/>
  <c r="K107" i="1"/>
  <c r="K111" i="1"/>
  <c r="K108" i="1"/>
  <c r="K110" i="1"/>
  <c r="K126" i="1"/>
  <c r="K122" i="1"/>
  <c r="K120" i="1"/>
  <c r="K123" i="1"/>
  <c r="K116" i="1"/>
  <c r="K117" i="1"/>
  <c r="K128" i="1"/>
  <c r="K114" i="1"/>
  <c r="K112" i="1"/>
  <c r="K124" i="1"/>
  <c r="K121" i="1"/>
  <c r="K129" i="1"/>
  <c r="K125" i="1"/>
  <c r="K130" i="1"/>
  <c r="K113" i="1"/>
  <c r="K118" i="1"/>
  <c r="K127" i="1"/>
  <c r="K119" i="1"/>
  <c r="K131" i="1"/>
  <c r="K136" i="1"/>
  <c r="K147" i="1"/>
  <c r="K139" i="1"/>
  <c r="K134" i="1"/>
  <c r="K135" i="1"/>
  <c r="K140" i="1"/>
  <c r="K143" i="1"/>
  <c r="K137" i="1"/>
  <c r="K146" i="1"/>
  <c r="K149" i="1"/>
  <c r="K148" i="1"/>
  <c r="K144" i="1"/>
  <c r="K133" i="1"/>
  <c r="K132" i="1"/>
  <c r="K141" i="1"/>
  <c r="K150" i="1"/>
  <c r="K145" i="1"/>
  <c r="K138" i="1"/>
  <c r="K142" i="1"/>
  <c r="K157" i="1"/>
  <c r="K154" i="1"/>
  <c r="K158" i="1"/>
  <c r="K160" i="1"/>
  <c r="K156" i="1"/>
  <c r="K153" i="1"/>
  <c r="K151" i="1"/>
  <c r="K155" i="1"/>
  <c r="K152" i="1"/>
  <c r="K159" i="1"/>
  <c r="K170" i="1"/>
  <c r="K172" i="1"/>
  <c r="K164" i="1"/>
  <c r="K165" i="1"/>
  <c r="K166" i="1"/>
  <c r="K168" i="1"/>
  <c r="K169" i="1"/>
  <c r="K167" i="1"/>
  <c r="K171" i="1"/>
  <c r="K161" i="1"/>
  <c r="K173" i="1"/>
  <c r="K162" i="1"/>
  <c r="K163" i="1"/>
  <c r="K175" i="1"/>
  <c r="K174" i="1"/>
  <c r="K179" i="1"/>
  <c r="K180" i="1"/>
  <c r="K184" i="1"/>
  <c r="K182" i="1"/>
  <c r="K176" i="1"/>
  <c r="K186" i="1"/>
  <c r="K187" i="1"/>
  <c r="K181" i="1"/>
  <c r="K177" i="1"/>
  <c r="K183" i="1"/>
  <c r="K178" i="1"/>
  <c r="K185" i="1"/>
  <c r="K200" i="1"/>
  <c r="K195" i="1"/>
  <c r="K190" i="1"/>
  <c r="K198" i="1"/>
  <c r="K193" i="1"/>
  <c r="K188" i="1"/>
  <c r="K191" i="1"/>
  <c r="K197" i="1"/>
  <c r="K201" i="1"/>
  <c r="K196" i="1"/>
  <c r="K199" i="1"/>
  <c r="K192" i="1"/>
  <c r="K194" i="1"/>
  <c r="K189" i="1"/>
  <c r="K209" i="1"/>
  <c r="K202" i="1"/>
  <c r="K206" i="1"/>
  <c r="K211" i="1"/>
  <c r="K207" i="1"/>
  <c r="K208" i="1"/>
  <c r="K205" i="1"/>
  <c r="K203" i="1"/>
  <c r="K204" i="1"/>
  <c r="K210" i="1"/>
  <c r="K223" i="1"/>
  <c r="K218" i="1"/>
  <c r="K220" i="1"/>
  <c r="K214" i="1"/>
  <c r="K224" i="1"/>
  <c r="K222" i="1"/>
  <c r="K221" i="1"/>
  <c r="K215" i="1"/>
  <c r="K212" i="1"/>
  <c r="K225" i="1"/>
  <c r="K217" i="1"/>
  <c r="K213" i="1"/>
  <c r="K226" i="1"/>
  <c r="K219" i="1"/>
  <c r="K216" i="1"/>
  <c r="K237" i="1"/>
  <c r="K234" i="1"/>
  <c r="K240" i="1"/>
  <c r="K233" i="1"/>
  <c r="K239" i="1"/>
  <c r="K238" i="1"/>
  <c r="K235" i="1"/>
  <c r="K227" i="1"/>
  <c r="K229" i="1"/>
  <c r="K232" i="1"/>
  <c r="K231" i="1"/>
  <c r="K236" i="1"/>
  <c r="K228" i="1"/>
  <c r="K230" i="1"/>
  <c r="K243" i="1"/>
  <c r="K245" i="1"/>
  <c r="K241" i="1"/>
  <c r="K242" i="1"/>
  <c r="K244" i="1"/>
  <c r="K246" i="1"/>
  <c r="K247" i="1"/>
  <c r="K254" i="1"/>
  <c r="K255" i="1"/>
  <c r="K251" i="1"/>
  <c r="K256" i="1"/>
  <c r="K252" i="1"/>
  <c r="K250" i="1"/>
  <c r="K257" i="1"/>
  <c r="K253" i="1"/>
  <c r="K248" i="1"/>
  <c r="K249" i="1"/>
  <c r="K263" i="1"/>
  <c r="K265" i="1"/>
  <c r="K269" i="1"/>
  <c r="K267" i="1"/>
  <c r="K266" i="1"/>
  <c r="K259" i="1"/>
  <c r="K264" i="1"/>
  <c r="K260" i="1"/>
  <c r="K262" i="1"/>
  <c r="K258" i="1"/>
  <c r="K261" i="1"/>
  <c r="K268" i="1"/>
  <c r="K286" i="1"/>
  <c r="K282" i="1"/>
  <c r="K274" i="1"/>
  <c r="K289" i="1"/>
  <c r="K279" i="1"/>
  <c r="K271" i="1"/>
  <c r="K272" i="1"/>
  <c r="K292" i="1"/>
  <c r="K287" i="1"/>
  <c r="K293" i="1"/>
  <c r="K281" i="1"/>
  <c r="K273" i="1"/>
  <c r="K284" i="1"/>
  <c r="K290" i="1"/>
  <c r="K291" i="1"/>
  <c r="K283" i="1"/>
  <c r="K285" i="1"/>
  <c r="K277" i="1"/>
  <c r="K270" i="1"/>
  <c r="K275" i="1"/>
  <c r="K280" i="1"/>
  <c r="K288" i="1"/>
  <c r="K276" i="1"/>
  <c r="K278" i="1"/>
  <c r="K297" i="1"/>
  <c r="K308" i="1"/>
  <c r="K303" i="1"/>
  <c r="K306" i="1"/>
  <c r="K301" i="1"/>
  <c r="K302" i="1"/>
  <c r="K307" i="1"/>
  <c r="K305" i="1"/>
  <c r="K299" i="1"/>
  <c r="K294" i="1"/>
  <c r="K304" i="1"/>
  <c r="K300" i="1"/>
  <c r="K295" i="1"/>
  <c r="K296" i="1"/>
  <c r="K298" i="1"/>
  <c r="K311" i="1"/>
  <c r="K309" i="1"/>
  <c r="K312" i="1"/>
  <c r="K310" i="1"/>
  <c r="K321" i="1"/>
  <c r="K322" i="1"/>
  <c r="K316" i="1"/>
  <c r="K315" i="1"/>
  <c r="K313" i="1"/>
  <c r="K318" i="1"/>
  <c r="K319" i="1"/>
  <c r="K317" i="1"/>
  <c r="K320" i="1"/>
  <c r="K328" i="1"/>
  <c r="K331" i="1"/>
  <c r="K325" i="1"/>
  <c r="K329" i="1"/>
  <c r="K330" i="1"/>
  <c r="K324" i="1"/>
  <c r="K323" i="1"/>
  <c r="K326" i="1"/>
  <c r="K332" i="1"/>
  <c r="K327" i="1"/>
  <c r="K337" i="1"/>
  <c r="K336" i="1"/>
  <c r="K340" i="1"/>
  <c r="K339" i="1"/>
  <c r="K342" i="1"/>
  <c r="K341" i="1"/>
  <c r="K333" i="1"/>
  <c r="K334" i="1"/>
  <c r="K338" i="1"/>
  <c r="K345" i="1"/>
  <c r="K343" i="1"/>
  <c r="K344" i="1"/>
  <c r="K335" i="1"/>
  <c r="K358" i="1"/>
  <c r="K349" i="1"/>
  <c r="K353" i="1"/>
  <c r="K346" i="1"/>
  <c r="K356" i="1"/>
  <c r="K357" i="1"/>
  <c r="K347" i="1"/>
  <c r="K359" i="1"/>
  <c r="K352" i="1"/>
  <c r="K354" i="1"/>
  <c r="K363" i="1"/>
  <c r="K361" i="1"/>
  <c r="K355" i="1"/>
  <c r="K348" i="1"/>
  <c r="K350" i="1"/>
  <c r="K360" i="1"/>
  <c r="K351" i="1"/>
  <c r="K362" i="1"/>
  <c r="K364" i="1"/>
  <c r="K365" i="1"/>
  <c r="K372" i="1"/>
  <c r="K381" i="1"/>
  <c r="K376" i="1"/>
  <c r="K382" i="1"/>
  <c r="K368" i="1"/>
  <c r="K384" i="1"/>
  <c r="K380" i="1"/>
  <c r="K370" i="1"/>
  <c r="K369" i="1"/>
  <c r="K377" i="1"/>
  <c r="K378" i="1"/>
  <c r="K373" i="1"/>
  <c r="K383" i="1"/>
  <c r="K371" i="1"/>
  <c r="K366" i="1"/>
  <c r="K379" i="1"/>
  <c r="K374" i="1"/>
  <c r="K367" i="1"/>
  <c r="K375" i="1"/>
  <c r="K396" i="1"/>
  <c r="K399" i="1"/>
  <c r="K400" i="1"/>
  <c r="K401" i="1"/>
  <c r="K386" i="1"/>
  <c r="K391" i="1"/>
  <c r="K393" i="1"/>
  <c r="K388" i="1"/>
  <c r="K397" i="1"/>
  <c r="K394" i="1"/>
  <c r="K395" i="1"/>
  <c r="K390" i="1"/>
  <c r="K389" i="1"/>
  <c r="K392" i="1"/>
  <c r="K385" i="1"/>
  <c r="K387" i="1"/>
  <c r="K398" i="1"/>
  <c r="K414" i="1"/>
  <c r="K415" i="1"/>
  <c r="K417" i="1"/>
  <c r="K411" i="1"/>
  <c r="K407" i="1"/>
  <c r="K406" i="1"/>
  <c r="K409" i="1"/>
  <c r="K408" i="1"/>
  <c r="K413" i="1"/>
  <c r="K410" i="1"/>
  <c r="K418" i="1"/>
  <c r="K403" i="1"/>
  <c r="K402" i="1"/>
  <c r="K412" i="1"/>
  <c r="K416" i="1"/>
  <c r="K404" i="1"/>
  <c r="K405" i="1"/>
  <c r="K424" i="1"/>
  <c r="K426" i="1"/>
  <c r="K428" i="1"/>
  <c r="K427" i="1"/>
  <c r="K430" i="1"/>
  <c r="K425" i="1"/>
  <c r="K432" i="1"/>
  <c r="K420" i="1"/>
  <c r="K421" i="1"/>
  <c r="K419" i="1"/>
  <c r="K423" i="1"/>
  <c r="K422" i="1"/>
  <c r="K429" i="1"/>
  <c r="K431" i="1"/>
  <c r="K443" i="1"/>
  <c r="K438" i="1"/>
  <c r="K435" i="1"/>
  <c r="K436" i="1"/>
  <c r="K440" i="1"/>
  <c r="K446" i="1"/>
  <c r="K434" i="1"/>
  <c r="K444" i="1"/>
  <c r="K441" i="1"/>
  <c r="K445" i="1"/>
  <c r="K449" i="1"/>
  <c r="K447" i="1"/>
  <c r="K439" i="1"/>
  <c r="K442" i="1"/>
  <c r="K433" i="1"/>
  <c r="K450" i="1"/>
  <c r="K448" i="1"/>
  <c r="K437" i="1"/>
  <c r="K458" i="1"/>
  <c r="K462" i="1"/>
  <c r="K452" i="1"/>
  <c r="K461" i="1"/>
  <c r="K460" i="1"/>
  <c r="K453" i="1"/>
  <c r="K459" i="1"/>
  <c r="K454" i="1"/>
  <c r="K455" i="1"/>
  <c r="K451" i="1"/>
  <c r="K456" i="1"/>
  <c r="K463" i="1"/>
  <c r="K457" i="1"/>
  <c r="K473" i="1"/>
  <c r="K467" i="1"/>
  <c r="K475" i="1"/>
  <c r="K476" i="1"/>
  <c r="K470" i="1"/>
  <c r="K465" i="1"/>
  <c r="K468" i="1"/>
  <c r="K471" i="1"/>
  <c r="K469" i="1"/>
  <c r="K464" i="1"/>
  <c r="K474" i="1"/>
  <c r="K466" i="1"/>
  <c r="K472" i="1"/>
  <c r="K482" i="1"/>
  <c r="K488" i="1"/>
  <c r="K490" i="1"/>
  <c r="K483" i="1"/>
  <c r="K484" i="1"/>
  <c r="K486" i="1"/>
  <c r="K492" i="1"/>
  <c r="K493" i="1"/>
  <c r="K489" i="1"/>
  <c r="K496" i="1"/>
  <c r="K478" i="1"/>
  <c r="K480" i="1"/>
  <c r="K479" i="1"/>
  <c r="K485" i="1"/>
  <c r="K477" i="1"/>
  <c r="K491" i="1"/>
  <c r="K494" i="1"/>
  <c r="K487" i="1"/>
  <c r="K495" i="1"/>
  <c r="K481" i="1"/>
  <c r="K497" i="1"/>
  <c r="K504" i="1"/>
  <c r="K505" i="1"/>
  <c r="K502" i="1"/>
  <c r="K503" i="1"/>
  <c r="K499" i="1"/>
  <c r="K500" i="1"/>
  <c r="K501" i="1"/>
  <c r="K498" i="1"/>
  <c r="K518" i="1"/>
  <c r="K517" i="1"/>
  <c r="K516" i="1"/>
  <c r="K511" i="1"/>
  <c r="K507" i="1"/>
  <c r="K513" i="1"/>
  <c r="K508" i="1"/>
  <c r="K519" i="1"/>
  <c r="K514" i="1"/>
  <c r="K509" i="1"/>
  <c r="K515" i="1"/>
  <c r="K510" i="1"/>
  <c r="K512" i="1"/>
  <c r="K506" i="1"/>
  <c r="K527" i="1"/>
  <c r="K529" i="1"/>
  <c r="K520" i="1"/>
  <c r="K522" i="1"/>
  <c r="K524" i="1"/>
  <c r="K525" i="1"/>
  <c r="K528" i="1"/>
  <c r="K526" i="1"/>
  <c r="K523" i="1"/>
  <c r="K521" i="1"/>
  <c r="K532" i="1"/>
  <c r="K530" i="1"/>
  <c r="K533" i="1"/>
  <c r="K531" i="1"/>
  <c r="K541" i="1"/>
  <c r="K536" i="1"/>
  <c r="K539" i="1"/>
  <c r="K540" i="1"/>
  <c r="K538" i="1"/>
  <c r="K535" i="1"/>
  <c r="K534" i="1"/>
  <c r="K537" i="1"/>
  <c r="K548" i="1"/>
  <c r="K550" i="1"/>
  <c r="K543" i="1"/>
  <c r="K557" i="1"/>
  <c r="K551" i="1"/>
  <c r="K545" i="1"/>
  <c r="K546" i="1"/>
  <c r="K554" i="1"/>
  <c r="K558" i="1"/>
  <c r="K549" i="1"/>
  <c r="K544" i="1"/>
  <c r="K555" i="1"/>
  <c r="K559" i="1"/>
  <c r="K556" i="1"/>
  <c r="K542" i="1"/>
  <c r="K547" i="1"/>
  <c r="K552" i="1"/>
  <c r="K553" i="1"/>
  <c r="K574" i="1"/>
  <c r="K575" i="1"/>
  <c r="K571" i="1"/>
  <c r="K568" i="1"/>
  <c r="K578" i="1"/>
  <c r="K579" i="1"/>
  <c r="K564" i="1"/>
  <c r="K569" i="1"/>
  <c r="K573" i="1"/>
  <c r="K576" i="1"/>
  <c r="K560" i="1"/>
  <c r="K572" i="1"/>
  <c r="K580" i="1"/>
  <c r="K563" i="1"/>
  <c r="K565" i="1"/>
  <c r="K570" i="1"/>
  <c r="K577" i="1"/>
  <c r="K566" i="1"/>
  <c r="K567" i="1"/>
  <c r="K562" i="1"/>
  <c r="K561" i="1"/>
  <c r="K581" i="1"/>
  <c r="K595" i="1"/>
  <c r="K588" i="1"/>
  <c r="K593" i="1"/>
  <c r="K583" i="1"/>
  <c r="K582" i="1"/>
  <c r="K584" i="1"/>
  <c r="K589" i="1"/>
  <c r="K590" i="1"/>
  <c r="K596" i="1"/>
  <c r="K597" i="1"/>
  <c r="K594" i="1"/>
  <c r="K592" i="1"/>
  <c r="K585" i="1"/>
  <c r="K598" i="1"/>
  <c r="K586" i="1"/>
  <c r="K591" i="1"/>
  <c r="K587" i="1"/>
  <c r="K608" i="1"/>
  <c r="K609" i="1"/>
  <c r="K599" i="1"/>
  <c r="K611" i="1"/>
  <c r="K603" i="1"/>
  <c r="K602" i="1"/>
  <c r="K600" i="1"/>
  <c r="K601" i="1"/>
  <c r="K607" i="1"/>
  <c r="K604" i="1"/>
  <c r="K610" i="1"/>
  <c r="K605" i="1"/>
  <c r="K606" i="1"/>
  <c r="K612" i="1"/>
  <c r="K621" i="1"/>
  <c r="K627" i="1"/>
  <c r="K626" i="1"/>
  <c r="K622" i="1"/>
  <c r="K620" i="1"/>
  <c r="K623" i="1"/>
  <c r="K615" i="1"/>
  <c r="K625" i="1"/>
  <c r="K624" i="1"/>
  <c r="K613" i="1"/>
  <c r="K618" i="1"/>
  <c r="K614" i="1"/>
  <c r="K619" i="1"/>
  <c r="K616" i="1"/>
  <c r="K628" i="1"/>
  <c r="K617" i="1"/>
  <c r="K629" i="1"/>
  <c r="K638" i="1"/>
  <c r="K632" i="1"/>
  <c r="K641" i="1"/>
  <c r="K635" i="1"/>
  <c r="K639" i="1"/>
  <c r="K630" i="1"/>
  <c r="K640" i="1"/>
  <c r="K636" i="1"/>
  <c r="K642" i="1"/>
  <c r="K631" i="1"/>
  <c r="K633" i="1"/>
  <c r="K637" i="1"/>
  <c r="K634" i="1"/>
  <c r="K646" i="1"/>
  <c r="K651" i="1"/>
  <c r="K643" i="1"/>
  <c r="K661" i="1"/>
  <c r="K648" i="1"/>
  <c r="K649" i="1"/>
  <c r="K655" i="1"/>
  <c r="K654" i="1"/>
  <c r="K657" i="1"/>
  <c r="K663" i="1"/>
  <c r="K650" i="1"/>
  <c r="K645" i="1"/>
  <c r="K658" i="1"/>
  <c r="K659" i="1"/>
  <c r="K644" i="1"/>
  <c r="K656" i="1"/>
  <c r="K662" i="1"/>
  <c r="K652" i="1"/>
  <c r="K660" i="1"/>
  <c r="K647" i="1"/>
  <c r="K653" i="1"/>
  <c r="K669" i="1"/>
  <c r="K672" i="1"/>
  <c r="K670" i="1"/>
  <c r="K664" i="1"/>
  <c r="K667" i="1"/>
  <c r="K674" i="1"/>
  <c r="K665" i="1"/>
  <c r="K676" i="1"/>
  <c r="K677" i="1"/>
  <c r="K675" i="1"/>
  <c r="K668" i="1"/>
  <c r="K673" i="1"/>
  <c r="K666" i="1"/>
  <c r="K671" i="1"/>
  <c r="K690" i="1"/>
  <c r="K688" i="1"/>
  <c r="K678" i="1"/>
  <c r="K679" i="1"/>
  <c r="K682" i="1"/>
  <c r="K689" i="1"/>
  <c r="K683" i="1"/>
  <c r="K685" i="1"/>
  <c r="K686" i="1"/>
  <c r="K684" i="1"/>
  <c r="K680" i="1"/>
  <c r="K687" i="1"/>
  <c r="K681" i="1"/>
  <c r="K696" i="1"/>
  <c r="K694" i="1"/>
  <c r="K691" i="1"/>
  <c r="K698" i="1"/>
  <c r="K703" i="1"/>
  <c r="K702" i="1"/>
  <c r="K697" i="1"/>
  <c r="K693" i="1"/>
  <c r="K699" i="1"/>
  <c r="K692" i="1"/>
  <c r="K700" i="1"/>
  <c r="K701" i="1"/>
  <c r="K695" i="1"/>
  <c r="K715" i="1"/>
  <c r="K716" i="1"/>
  <c r="K705" i="1"/>
  <c r="K706" i="1"/>
  <c r="K707" i="1"/>
  <c r="K710" i="1"/>
  <c r="K709" i="1"/>
  <c r="K713" i="1"/>
  <c r="K712" i="1"/>
  <c r="K708" i="1"/>
  <c r="K714" i="1"/>
  <c r="K711" i="1"/>
  <c r="K704" i="1"/>
  <c r="K725" i="1"/>
  <c r="K730" i="1"/>
  <c r="K717" i="1"/>
  <c r="K721" i="1"/>
  <c r="K728" i="1"/>
  <c r="K732" i="1"/>
  <c r="K731" i="1"/>
  <c r="K723" i="1"/>
  <c r="K726" i="1"/>
  <c r="K719" i="1"/>
  <c r="K722" i="1"/>
  <c r="K724" i="1"/>
  <c r="K718" i="1"/>
  <c r="K729" i="1"/>
  <c r="K727" i="1"/>
  <c r="K741" i="1"/>
  <c r="K742" i="1"/>
  <c r="K734" i="1"/>
  <c r="K743" i="1"/>
  <c r="K736" i="1"/>
  <c r="K735" i="1"/>
  <c r="K733" i="1"/>
  <c r="K740" i="1"/>
  <c r="K744" i="1"/>
  <c r="K746" i="1"/>
  <c r="K739" i="1"/>
  <c r="K738" i="1"/>
  <c r="K745" i="1"/>
  <c r="K737" i="1"/>
  <c r="K759" i="1"/>
  <c r="K756" i="1"/>
  <c r="K751" i="1"/>
  <c r="K765" i="1"/>
  <c r="K760" i="1"/>
  <c r="K761" i="1"/>
  <c r="K757" i="1"/>
  <c r="K762" i="1"/>
  <c r="K758" i="1"/>
  <c r="K752" i="1"/>
  <c r="K749" i="1"/>
  <c r="K767" i="1"/>
  <c r="K763" i="1"/>
  <c r="K766" i="1"/>
  <c r="K755" i="1"/>
  <c r="K748" i="1"/>
  <c r="K753" i="1"/>
  <c r="K750" i="1"/>
  <c r="K754" i="1"/>
  <c r="K764" i="1"/>
  <c r="K775" i="1"/>
  <c r="K768" i="1"/>
  <c r="K769" i="1"/>
  <c r="K770" i="1"/>
  <c r="K776" i="1"/>
  <c r="K777" i="1"/>
  <c r="K773" i="1"/>
  <c r="K771" i="1"/>
  <c r="K774" i="1"/>
  <c r="K788" i="1"/>
  <c r="K783" i="1"/>
  <c r="K782" i="1"/>
  <c r="K786" i="1"/>
  <c r="K778" i="1"/>
  <c r="K787" i="1"/>
  <c r="K784" i="1"/>
  <c r="K781" i="1"/>
  <c r="K785" i="1"/>
  <c r="K779" i="1"/>
  <c r="K780" i="1"/>
  <c r="K797" i="1"/>
  <c r="K792" i="1"/>
  <c r="K789" i="1"/>
  <c r="K799" i="1"/>
  <c r="K793" i="1"/>
  <c r="K796" i="1"/>
  <c r="K801" i="1"/>
  <c r="K791" i="1"/>
  <c r="K794" i="1"/>
  <c r="K798" i="1"/>
  <c r="K800" i="1"/>
  <c r="K795" i="1"/>
  <c r="K790" i="1"/>
  <c r="K806" i="1"/>
  <c r="K804" i="1"/>
  <c r="K802" i="1"/>
  <c r="K807" i="1"/>
  <c r="K808" i="1"/>
  <c r="K803" i="1"/>
  <c r="K809" i="1"/>
  <c r="K805" i="1"/>
  <c r="K815" i="1"/>
  <c r="K814" i="1"/>
  <c r="K812" i="1"/>
  <c r="K811" i="1"/>
  <c r="K813" i="1"/>
  <c r="K816" i="1"/>
  <c r="K818" i="1"/>
  <c r="K817" i="1"/>
  <c r="K810" i="1"/>
  <c r="K827" i="1"/>
  <c r="K825" i="1"/>
  <c r="K829" i="1"/>
  <c r="K820" i="1"/>
  <c r="K823" i="1"/>
  <c r="K826" i="1"/>
  <c r="K821" i="1"/>
  <c r="K831" i="1"/>
  <c r="K822" i="1"/>
  <c r="K819" i="1"/>
  <c r="K830" i="1"/>
  <c r="K824" i="1"/>
  <c r="K828" i="1"/>
  <c r="K841" i="1"/>
  <c r="K836" i="1"/>
  <c r="K842" i="1"/>
  <c r="K837" i="1"/>
  <c r="K838" i="1"/>
  <c r="K846" i="1"/>
  <c r="K833" i="1"/>
  <c r="K845" i="1"/>
  <c r="K840" i="1"/>
  <c r="K843" i="1"/>
  <c r="K834" i="1"/>
  <c r="K844" i="1"/>
  <c r="K835" i="1"/>
  <c r="K832" i="1"/>
  <c r="K847" i="1"/>
  <c r="K839" i="1"/>
  <c r="K857" i="1"/>
  <c r="K858" i="1"/>
  <c r="K848" i="1"/>
  <c r="K852" i="1"/>
  <c r="K854" i="1"/>
  <c r="K851" i="1"/>
  <c r="K853" i="1"/>
  <c r="K849" i="1"/>
  <c r="K859" i="1"/>
  <c r="K860" i="1"/>
  <c r="K855" i="1"/>
  <c r="K850" i="1"/>
  <c r="K856" i="1"/>
  <c r="K861" i="1"/>
  <c r="K869" i="1"/>
  <c r="K864" i="1"/>
  <c r="K862" i="1"/>
  <c r="K866" i="1"/>
  <c r="K867" i="1"/>
  <c r="K865" i="1"/>
  <c r="K868" i="1"/>
  <c r="K863" i="1"/>
  <c r="K870" i="1"/>
  <c r="K891" i="1"/>
  <c r="K871" i="1"/>
  <c r="K887" i="1"/>
  <c r="K892" i="1"/>
  <c r="K872" i="1"/>
  <c r="K882" i="1"/>
  <c r="K889" i="1"/>
  <c r="K873" i="1"/>
  <c r="K884" i="1"/>
  <c r="K888" i="1"/>
  <c r="K876" i="1"/>
  <c r="K879" i="1"/>
  <c r="K890" i="1"/>
  <c r="K875" i="1"/>
  <c r="K874" i="1"/>
  <c r="K885" i="1"/>
  <c r="K880" i="1"/>
  <c r="K877" i="1"/>
  <c r="K883" i="1"/>
  <c r="K886" i="1"/>
  <c r="K878" i="1"/>
  <c r="K881" i="1"/>
  <c r="K898" i="1"/>
  <c r="K893" i="1"/>
  <c r="K894" i="1"/>
  <c r="K895" i="1"/>
  <c r="K899" i="1"/>
  <c r="K897" i="1"/>
  <c r="K896" i="1"/>
  <c r="K900" i="1"/>
  <c r="K912" i="1"/>
  <c r="K917" i="1"/>
  <c r="K911" i="1"/>
  <c r="K907" i="1"/>
  <c r="K902" i="1"/>
  <c r="K908" i="1"/>
  <c r="K901" i="1"/>
  <c r="K918" i="1"/>
  <c r="K909" i="1"/>
  <c r="K919" i="1"/>
  <c r="K913" i="1"/>
  <c r="K915" i="1"/>
  <c r="K906" i="1"/>
  <c r="K910" i="1"/>
  <c r="K914" i="1"/>
  <c r="K904" i="1"/>
  <c r="K905" i="1"/>
  <c r="K903" i="1"/>
  <c r="K916" i="1"/>
  <c r="K920" i="1"/>
  <c r="K929" i="1"/>
  <c r="K938" i="1"/>
  <c r="K935" i="1"/>
  <c r="K930" i="1"/>
  <c r="K924" i="1"/>
  <c r="K931" i="1"/>
  <c r="K928" i="1"/>
  <c r="K939" i="1"/>
  <c r="K925" i="1"/>
  <c r="K921" i="1"/>
  <c r="K932" i="1"/>
  <c r="K923" i="1"/>
  <c r="K922" i="1"/>
  <c r="K936" i="1"/>
  <c r="K927" i="1"/>
  <c r="K941" i="1"/>
  <c r="K937" i="1"/>
  <c r="K926" i="1"/>
  <c r="K933" i="1"/>
  <c r="K940" i="1"/>
  <c r="K934" i="1"/>
  <c r="K956" i="1"/>
  <c r="K953" i="1"/>
  <c r="K942" i="1"/>
  <c r="K952" i="1"/>
  <c r="K944" i="1"/>
  <c r="K946" i="1"/>
  <c r="K949" i="1"/>
  <c r="K945" i="1"/>
  <c r="K957" i="1"/>
  <c r="K954" i="1"/>
  <c r="K943" i="1"/>
  <c r="K951" i="1"/>
  <c r="K950" i="1"/>
  <c r="K955" i="1"/>
  <c r="K948" i="1"/>
  <c r="K947" i="1"/>
  <c r="K958" i="1"/>
  <c r="K965" i="1"/>
  <c r="K966" i="1"/>
  <c r="K962" i="1"/>
  <c r="K964" i="1"/>
  <c r="K960" i="1"/>
  <c r="K959" i="1"/>
  <c r="K963" i="1"/>
  <c r="K967" i="1"/>
  <c r="K961" i="1"/>
  <c r="K968" i="1"/>
  <c r="K973" i="1"/>
  <c r="K980" i="1"/>
  <c r="K981" i="1"/>
  <c r="K979" i="1"/>
  <c r="K969" i="1"/>
  <c r="K978" i="1"/>
  <c r="K982" i="1"/>
  <c r="K975" i="1"/>
  <c r="K985" i="1"/>
  <c r="K970" i="1"/>
  <c r="K986" i="1"/>
  <c r="K971" i="1"/>
  <c r="K983" i="1"/>
  <c r="K987" i="1"/>
  <c r="K976" i="1"/>
  <c r="K972" i="1"/>
  <c r="K984" i="1"/>
  <c r="K977" i="1"/>
  <c r="K974" i="1"/>
  <c r="K990" i="1"/>
  <c r="K1002" i="1"/>
  <c r="K999" i="1"/>
  <c r="K997" i="1"/>
  <c r="K989" i="1"/>
  <c r="K995" i="1"/>
  <c r="K992" i="1"/>
  <c r="K996" i="1"/>
  <c r="K1001" i="1"/>
  <c r="K993" i="1"/>
  <c r="K998" i="1"/>
  <c r="K988" i="1"/>
  <c r="K994" i="1"/>
  <c r="K1004" i="1"/>
  <c r="K1003" i="1"/>
  <c r="K1005" i="1"/>
  <c r="K991" i="1"/>
  <c r="K1000" i="1"/>
  <c r="K1007" i="1"/>
  <c r="K1006" i="1"/>
  <c r="K1012" i="1"/>
  <c r="K1009" i="1"/>
  <c r="K1018" i="1"/>
  <c r="K1014" i="1"/>
  <c r="K1015" i="1"/>
  <c r="K1008" i="1"/>
  <c r="K1011" i="1"/>
  <c r="K1010" i="1"/>
  <c r="K1013" i="1"/>
  <c r="K1017" i="1"/>
  <c r="K1019" i="1"/>
  <c r="K1016" i="1"/>
  <c r="K1024" i="1"/>
  <c r="K1022" i="1"/>
  <c r="K1020" i="1"/>
  <c r="K1021" i="1"/>
  <c r="K1023" i="1"/>
  <c r="K1025" i="1"/>
  <c r="K1026" i="1"/>
  <c r="K1027" i="1"/>
  <c r="K1040" i="1"/>
  <c r="K1037" i="1"/>
  <c r="K1033" i="1"/>
  <c r="K1039" i="1"/>
  <c r="K1036" i="1"/>
  <c r="K1028" i="1"/>
  <c r="K1035" i="1"/>
  <c r="K1045" i="1"/>
  <c r="K1038" i="1"/>
  <c r="K1031" i="1"/>
  <c r="K1046" i="1"/>
  <c r="K1032" i="1"/>
  <c r="K1034" i="1"/>
  <c r="K1041" i="1"/>
  <c r="K1044" i="1"/>
  <c r="K1042" i="1"/>
  <c r="K1030" i="1"/>
  <c r="K1043" i="1"/>
  <c r="K1029" i="1"/>
  <c r="K1056" i="1"/>
  <c r="K1053" i="1"/>
  <c r="K1049" i="1"/>
  <c r="K1050" i="1"/>
  <c r="K1051" i="1"/>
  <c r="K1052" i="1"/>
  <c r="K1054" i="1"/>
  <c r="K1048" i="1"/>
  <c r="K1047" i="1"/>
  <c r="K1055" i="1"/>
  <c r="K1058" i="1"/>
  <c r="K1061" i="1"/>
  <c r="K1063" i="1"/>
  <c r="K1060" i="1"/>
  <c r="K1057" i="1"/>
  <c r="K1059" i="1"/>
  <c r="K1064" i="1"/>
  <c r="K1062" i="1"/>
  <c r="K1065" i="1"/>
  <c r="K1074" i="1"/>
  <c r="K1066" i="1"/>
  <c r="K1071" i="1"/>
  <c r="K1073" i="1"/>
  <c r="K1075" i="1"/>
  <c r="K1069" i="1"/>
  <c r="K1070" i="1"/>
  <c r="K1067" i="1"/>
  <c r="K1068" i="1"/>
  <c r="K1072" i="1"/>
  <c r="K1092" i="1"/>
  <c r="K1087" i="1"/>
  <c r="K1088" i="1"/>
  <c r="K1080" i="1"/>
  <c r="K1083" i="1"/>
  <c r="K1091" i="1"/>
  <c r="K1076" i="1"/>
  <c r="K1081" i="1"/>
  <c r="K1090" i="1"/>
  <c r="K1085" i="1"/>
  <c r="K1078" i="1"/>
  <c r="K1086" i="1"/>
  <c r="K1089" i="1"/>
  <c r="K1084" i="1"/>
  <c r="K1079" i="1"/>
  <c r="K1093" i="1"/>
  <c r="K1077" i="1"/>
  <c r="K1082" i="1"/>
  <c r="K1107" i="1"/>
  <c r="K1095" i="1"/>
  <c r="K1102" i="1"/>
  <c r="K1096" i="1"/>
  <c r="K1110" i="1"/>
  <c r="K1103" i="1"/>
  <c r="K1099" i="1"/>
  <c r="K1108" i="1"/>
  <c r="K1105" i="1"/>
  <c r="K1097" i="1"/>
  <c r="K1100" i="1"/>
  <c r="K1104" i="1"/>
  <c r="K1109" i="1"/>
  <c r="K1094" i="1"/>
  <c r="K1098" i="1"/>
  <c r="K1101" i="1"/>
  <c r="K1106" i="1"/>
  <c r="K1120" i="1"/>
  <c r="K1116" i="1"/>
  <c r="K1111" i="1"/>
  <c r="K1121" i="1"/>
  <c r="K1118" i="1"/>
  <c r="K1122" i="1"/>
  <c r="K1117" i="1"/>
  <c r="K1119" i="1"/>
  <c r="K1123" i="1"/>
  <c r="K1112" i="1"/>
  <c r="K1114" i="1"/>
  <c r="K1124" i="1"/>
  <c r="K1113" i="1"/>
  <c r="K1125" i="1"/>
  <c r="K1115" i="1"/>
  <c r="K1126" i="1"/>
  <c r="K1136" i="1"/>
  <c r="K1133" i="1"/>
  <c r="K1128" i="1"/>
  <c r="K1135" i="1"/>
  <c r="K1131" i="1"/>
  <c r="K1130" i="1"/>
  <c r="K1129" i="1"/>
  <c r="K1134" i="1"/>
  <c r="K1137" i="1"/>
  <c r="K1127" i="1"/>
  <c r="K1132" i="1"/>
  <c r="K1158" i="1"/>
  <c r="K1156" i="1"/>
  <c r="K1144" i="1"/>
  <c r="K1154" i="1"/>
  <c r="K1150" i="1"/>
  <c r="K1148" i="1"/>
  <c r="K1142" i="1"/>
  <c r="K1143" i="1"/>
  <c r="K1145" i="1"/>
  <c r="K1146" i="1"/>
  <c r="K1153" i="1"/>
  <c r="K1155" i="1"/>
  <c r="K1160" i="1"/>
  <c r="K1157" i="1"/>
  <c r="K1149" i="1"/>
  <c r="K1161" i="1"/>
  <c r="K1140" i="1"/>
  <c r="K1141" i="1"/>
  <c r="K1162" i="1"/>
  <c r="K1147" i="1"/>
  <c r="K1159" i="1"/>
  <c r="K1138" i="1"/>
  <c r="K1152" i="1"/>
  <c r="K1151" i="1"/>
  <c r="K1139" i="1"/>
  <c r="K1163" i="1"/>
  <c r="K1168" i="1"/>
  <c r="K1171" i="1"/>
  <c r="K1166" i="1"/>
  <c r="K1165" i="1"/>
  <c r="K1170" i="1"/>
  <c r="K1164" i="1"/>
  <c r="K1169" i="1"/>
  <c r="K1172" i="1"/>
  <c r="K1167" i="1"/>
  <c r="K1175" i="1"/>
  <c r="K1176" i="1"/>
  <c r="K1181" i="1"/>
  <c r="K1183" i="1"/>
  <c r="K1180" i="1"/>
  <c r="K1178" i="1"/>
  <c r="K1182" i="1"/>
  <c r="K1173" i="1"/>
  <c r="K1177" i="1"/>
  <c r="K1184" i="1"/>
  <c r="K1185" i="1"/>
  <c r="K1174" i="1"/>
  <c r="K1186" i="1"/>
  <c r="K1179" i="1"/>
  <c r="K1199" i="1"/>
  <c r="K1205" i="1"/>
  <c r="K1208" i="1"/>
  <c r="K1194" i="1"/>
  <c r="K1206" i="1"/>
  <c r="K1195" i="1"/>
  <c r="K1187" i="1"/>
  <c r="K1196" i="1"/>
  <c r="K1207" i="1"/>
  <c r="K1197" i="1"/>
  <c r="K1189" i="1"/>
  <c r="K1209" i="1"/>
  <c r="K1202" i="1"/>
  <c r="K1200" i="1"/>
  <c r="K1193" i="1"/>
  <c r="K1190" i="1"/>
  <c r="K1203" i="1"/>
  <c r="K1188" i="1"/>
  <c r="K1192" i="1"/>
  <c r="K1191" i="1"/>
  <c r="K1204" i="1"/>
  <c r="K1201" i="1"/>
  <c r="K1198" i="1"/>
  <c r="K1215" i="1"/>
  <c r="K1211" i="1"/>
  <c r="K1210" i="1"/>
  <c r="K1216" i="1"/>
  <c r="K1217" i="1"/>
  <c r="K1213" i="1"/>
  <c r="K1212" i="1"/>
  <c r="K1221" i="1"/>
  <c r="K1214" i="1"/>
  <c r="K1218" i="1"/>
  <c r="K1220" i="1"/>
  <c r="K1219" i="1"/>
  <c r="K1222" i="1"/>
  <c r="K1223" i="1"/>
  <c r="K1230" i="1"/>
  <c r="K1227" i="1"/>
  <c r="K1235" i="1"/>
  <c r="K1226" i="1"/>
  <c r="K1234" i="1"/>
  <c r="K1236" i="1"/>
  <c r="K1237" i="1"/>
  <c r="K1232" i="1"/>
  <c r="K1239" i="1"/>
  <c r="K1224" i="1"/>
  <c r="K1225" i="1"/>
  <c r="K1233" i="1"/>
  <c r="K1240" i="1"/>
  <c r="K1228" i="1"/>
  <c r="K1229" i="1"/>
  <c r="K1231" i="1"/>
  <c r="K1238" i="1"/>
  <c r="K1241" i="1"/>
  <c r="K1246" i="1"/>
  <c r="K1249" i="1"/>
  <c r="K1244" i="1"/>
  <c r="K1254" i="1"/>
  <c r="K1256" i="1"/>
  <c r="K1257" i="1"/>
  <c r="K1258" i="1"/>
  <c r="K1251" i="1"/>
  <c r="K1250" i="1"/>
  <c r="K1247" i="1"/>
  <c r="K1255" i="1"/>
  <c r="K1253" i="1"/>
  <c r="K1248" i="1"/>
  <c r="K1245" i="1"/>
  <c r="K1242" i="1"/>
  <c r="K1243" i="1"/>
  <c r="K1252" i="1"/>
  <c r="K1264" i="1"/>
  <c r="K1260" i="1"/>
  <c r="K1266" i="1"/>
  <c r="K1261" i="1"/>
  <c r="K1267" i="1"/>
  <c r="K1262" i="1"/>
  <c r="K1265" i="1"/>
  <c r="K1259" i="1"/>
  <c r="K1263" i="1"/>
  <c r="K1268" i="1"/>
  <c r="K1275" i="1"/>
  <c r="K1278" i="1"/>
  <c r="K1269" i="1"/>
  <c r="K1276" i="1"/>
  <c r="K1272" i="1"/>
  <c r="K1271" i="1"/>
  <c r="K1273" i="1"/>
  <c r="K1270" i="1"/>
  <c r="K1279" i="1"/>
  <c r="K1277" i="1"/>
  <c r="K1274" i="1"/>
  <c r="K1289" i="1"/>
  <c r="K1280" i="1"/>
  <c r="K1281" i="1"/>
  <c r="K1282" i="1"/>
  <c r="K1296" i="1"/>
  <c r="K1287" i="1"/>
  <c r="K1288" i="1"/>
  <c r="K1290" i="1"/>
  <c r="K1294" i="1"/>
  <c r="K1283" i="1"/>
  <c r="K1284" i="1"/>
  <c r="K1295" i="1"/>
  <c r="K1297" i="1"/>
  <c r="K1298" i="1"/>
  <c r="K1291" i="1"/>
  <c r="K1285" i="1"/>
  <c r="K1293" i="1"/>
  <c r="K1292" i="1"/>
  <c r="K1286" i="1"/>
  <c r="K1306" i="1"/>
  <c r="K1307" i="1"/>
  <c r="K1308" i="1"/>
  <c r="K1309" i="1"/>
  <c r="K1300" i="1"/>
  <c r="K1299" i="1"/>
  <c r="K1312" i="1"/>
  <c r="K1305" i="1"/>
  <c r="K1310" i="1"/>
  <c r="K1315" i="1"/>
  <c r="K1313" i="1"/>
  <c r="K1316" i="1"/>
  <c r="K1317" i="1"/>
  <c r="K1301" i="1"/>
  <c r="K1311" i="1"/>
  <c r="K1303" i="1"/>
  <c r="K1314" i="1"/>
  <c r="K1302" i="1"/>
  <c r="K1304" i="1"/>
  <c r="K1324" i="1"/>
  <c r="K1320" i="1"/>
  <c r="K1323" i="1"/>
  <c r="K1318" i="1"/>
  <c r="K1322" i="1"/>
  <c r="K1319" i="1"/>
  <c r="K1326" i="1"/>
  <c r="K1321" i="1"/>
  <c r="K1325" i="1"/>
  <c r="K1327" i="1"/>
  <c r="K1337" i="1"/>
  <c r="K1333" i="1"/>
  <c r="K1332" i="1"/>
  <c r="K1336" i="1"/>
  <c r="K1331" i="1"/>
  <c r="K1330" i="1"/>
  <c r="K1338" i="1"/>
  <c r="K1328" i="1"/>
  <c r="K1334" i="1"/>
  <c r="K1335" i="1"/>
  <c r="K1329" i="1"/>
  <c r="K1339" i="1"/>
  <c r="K1344" i="1"/>
  <c r="K1345" i="1"/>
  <c r="K1341" i="1"/>
  <c r="K1343" i="1"/>
  <c r="K1342" i="1"/>
  <c r="K1349" i="1"/>
  <c r="K1348" i="1"/>
  <c r="K1346" i="1"/>
  <c r="K1350" i="1"/>
  <c r="K1351" i="1"/>
  <c r="K1340" i="1"/>
  <c r="K1347" i="1"/>
  <c r="K1356" i="1"/>
  <c r="K1352" i="1"/>
  <c r="K1357" i="1"/>
  <c r="K1358" i="1"/>
  <c r="K1355" i="1"/>
  <c r="K1354" i="1"/>
  <c r="K1353" i="1"/>
  <c r="K1359" i="1"/>
  <c r="K1362" i="1"/>
  <c r="K1375" i="1"/>
  <c r="K1366" i="1"/>
  <c r="K1364" i="1"/>
  <c r="K1360" i="1"/>
  <c r="K1370" i="1"/>
  <c r="K1374" i="1"/>
  <c r="K1365" i="1"/>
  <c r="K1372" i="1"/>
  <c r="K1361" i="1"/>
  <c r="K1368" i="1"/>
  <c r="K1367" i="1"/>
  <c r="K1373" i="1"/>
  <c r="K1369" i="1"/>
  <c r="K1371" i="1"/>
  <c r="K1363" i="1"/>
  <c r="K1389" i="1"/>
  <c r="K1393" i="1"/>
  <c r="K1376" i="1"/>
  <c r="K1391" i="1"/>
  <c r="K1392" i="1"/>
  <c r="K1377" i="1"/>
  <c r="K1380" i="1"/>
  <c r="K1378" i="1"/>
  <c r="K1381" i="1"/>
  <c r="K1387" i="1"/>
  <c r="K1388" i="1"/>
  <c r="K1383" i="1"/>
  <c r="K1390" i="1"/>
  <c r="K1384" i="1"/>
  <c r="K1379" i="1"/>
  <c r="K1385" i="1"/>
  <c r="K1382" i="1"/>
  <c r="K1386" i="1"/>
  <c r="K1399" i="1"/>
  <c r="K1397" i="1"/>
  <c r="K1402" i="1"/>
  <c r="K1400" i="1"/>
  <c r="K1398" i="1"/>
  <c r="K1396" i="1"/>
  <c r="K1401" i="1"/>
  <c r="K1394" i="1"/>
  <c r="K1395" i="1"/>
  <c r="K1408" i="1"/>
  <c r="K1407" i="1"/>
  <c r="K1405" i="1"/>
  <c r="K1412" i="1"/>
  <c r="K1410" i="1"/>
  <c r="K1406" i="1"/>
  <c r="K1411" i="1"/>
  <c r="K1404" i="1"/>
  <c r="K1413" i="1"/>
  <c r="K1403" i="1"/>
  <c r="K1409" i="1"/>
  <c r="K1414" i="1"/>
  <c r="K1421" i="1"/>
  <c r="K1418" i="1"/>
  <c r="K1431" i="1"/>
  <c r="K1423" i="1"/>
  <c r="K1417" i="1"/>
  <c r="K1419" i="1"/>
  <c r="K1425" i="1"/>
  <c r="K1426" i="1"/>
  <c r="K1422" i="1"/>
  <c r="K1415" i="1"/>
  <c r="K1424" i="1"/>
  <c r="K1416" i="1"/>
  <c r="K1420" i="1"/>
  <c r="K1427" i="1"/>
  <c r="K1428" i="1"/>
  <c r="K1429" i="1"/>
  <c r="K1430" i="1"/>
  <c r="K1441" i="1"/>
  <c r="K1442" i="1"/>
  <c r="K1435" i="1"/>
  <c r="K1445" i="1"/>
  <c r="K1436" i="1"/>
  <c r="K1432" i="1"/>
  <c r="K1440" i="1"/>
  <c r="K1438" i="1"/>
  <c r="K1433" i="1"/>
  <c r="K1439" i="1"/>
  <c r="K1446" i="1"/>
  <c r="K1434" i="1"/>
  <c r="K1437" i="1"/>
  <c r="K1443" i="1"/>
  <c r="K1444" i="1"/>
  <c r="K1447" i="1"/>
  <c r="K1456" i="1"/>
  <c r="K1448" i="1"/>
  <c r="K1462" i="1"/>
  <c r="K1461" i="1"/>
  <c r="K1455" i="1"/>
  <c r="K1457" i="1"/>
  <c r="K1451" i="1"/>
  <c r="K1458" i="1"/>
  <c r="K1459" i="1"/>
  <c r="K1449" i="1"/>
  <c r="K1460" i="1"/>
  <c r="K1450" i="1"/>
  <c r="K1452" i="1"/>
  <c r="K1453" i="1"/>
  <c r="K1454" i="1"/>
  <c r="K1473" i="1"/>
  <c r="K1471" i="1"/>
  <c r="K1476" i="1"/>
  <c r="K1469" i="1"/>
  <c r="K1466" i="1"/>
  <c r="K1474" i="1"/>
  <c r="K1470" i="1"/>
  <c r="K1463" i="1"/>
  <c r="K1472" i="1"/>
  <c r="K1475" i="1"/>
  <c r="K1465" i="1"/>
  <c r="K1467" i="1"/>
  <c r="K1468" i="1"/>
  <c r="K1464" i="1"/>
  <c r="K1481" i="1"/>
  <c r="K1492" i="1"/>
  <c r="K1487" i="1"/>
  <c r="K1493" i="1"/>
  <c r="K1497" i="1"/>
  <c r="K1488" i="1"/>
  <c r="K1478" i="1"/>
  <c r="K1496" i="1"/>
  <c r="K1485" i="1"/>
  <c r="K1479" i="1"/>
  <c r="K1482" i="1"/>
  <c r="K1491" i="1"/>
  <c r="K1486" i="1"/>
  <c r="K1477" i="1"/>
  <c r="K1498" i="1"/>
  <c r="K1489" i="1"/>
  <c r="K1490" i="1"/>
  <c r="K1494" i="1"/>
  <c r="K1480" i="1"/>
  <c r="K1483" i="1"/>
  <c r="K1495" i="1"/>
  <c r="K1484" i="1"/>
  <c r="K1499" i="1"/>
  <c r="K1501" i="1"/>
  <c r="K1503" i="1"/>
  <c r="K1504" i="1"/>
  <c r="K1510" i="1"/>
  <c r="K1507" i="1"/>
  <c r="K1500" i="1"/>
  <c r="K1506" i="1"/>
  <c r="K1502" i="1"/>
  <c r="K1505" i="1"/>
  <c r="K1509" i="1"/>
  <c r="K1508" i="1"/>
  <c r="K1511" i="1"/>
  <c r="K1518" i="1"/>
  <c r="K1512" i="1"/>
  <c r="K1523" i="1"/>
  <c r="K1516" i="1"/>
  <c r="K1517" i="1"/>
  <c r="K1522" i="1"/>
  <c r="K1521" i="1"/>
  <c r="K1519" i="1"/>
  <c r="K1513" i="1"/>
  <c r="K1514" i="1"/>
  <c r="K1515" i="1"/>
  <c r="K1520" i="1"/>
  <c r="K1541" i="1"/>
  <c r="K1537" i="1"/>
  <c r="K1528" i="1"/>
  <c r="K1529" i="1"/>
  <c r="K1530" i="1"/>
  <c r="K1526" i="1"/>
  <c r="K1542" i="1"/>
  <c r="K1531" i="1"/>
  <c r="K1532" i="1"/>
  <c r="K1524" i="1"/>
  <c r="K1540" i="1"/>
  <c r="K1534" i="1"/>
  <c r="K1535" i="1"/>
  <c r="K1533" i="1"/>
  <c r="K1527" i="1"/>
  <c r="K1539" i="1"/>
  <c r="K1536" i="1"/>
  <c r="K1538" i="1"/>
  <c r="K1525" i="1"/>
  <c r="K1549" i="1"/>
  <c r="K1553" i="1"/>
  <c r="K1543" i="1"/>
  <c r="K1544" i="1"/>
  <c r="K1547" i="1"/>
  <c r="K1550" i="1"/>
  <c r="K1551" i="1"/>
  <c r="K1548" i="1"/>
  <c r="K1545" i="1"/>
  <c r="K1546" i="1"/>
  <c r="K1552" i="1"/>
  <c r="K1564" i="1"/>
  <c r="K1559" i="1"/>
  <c r="K1560" i="1"/>
  <c r="K1565" i="1"/>
  <c r="K1563" i="1"/>
  <c r="K1556" i="1"/>
  <c r="K1561" i="1"/>
  <c r="K1558" i="1"/>
  <c r="K1562" i="1"/>
  <c r="K1555" i="1"/>
  <c r="K1557" i="1"/>
  <c r="K1554" i="1"/>
  <c r="K1566" i="1"/>
  <c r="K1579" i="1"/>
  <c r="K1578" i="1"/>
  <c r="K1575" i="1"/>
  <c r="K1571" i="1"/>
  <c r="K1568" i="1"/>
  <c r="K1574" i="1"/>
  <c r="K1572" i="1"/>
  <c r="K1569" i="1"/>
  <c r="K1567" i="1"/>
  <c r="K1577" i="1"/>
  <c r="K1573" i="1"/>
  <c r="K1576" i="1"/>
  <c r="K1570" i="1"/>
  <c r="K1583" i="1"/>
  <c r="K1582" i="1"/>
  <c r="K1584" i="1"/>
  <c r="K1588" i="1"/>
  <c r="K1580" i="1"/>
  <c r="K1587" i="1"/>
  <c r="K1585" i="1"/>
  <c r="K1586" i="1"/>
  <c r="K1589" i="1"/>
  <c r="K1581" i="1"/>
  <c r="K1597" i="1"/>
  <c r="K1599" i="1"/>
  <c r="K1590" i="1"/>
  <c r="K1600" i="1"/>
  <c r="K1593" i="1"/>
  <c r="K1595" i="1"/>
  <c r="K1601" i="1"/>
  <c r="K1594" i="1"/>
  <c r="K1591" i="1"/>
  <c r="K1596" i="1"/>
  <c r="K1603" i="1"/>
  <c r="K1592" i="1"/>
  <c r="K1602" i="1"/>
  <c r="K1598" i="1"/>
  <c r="K1605" i="1"/>
  <c r="K1612" i="1"/>
  <c r="K1606" i="1"/>
  <c r="K1608" i="1"/>
  <c r="K1610" i="1"/>
  <c r="K1611" i="1"/>
  <c r="K1607" i="1"/>
  <c r="K1604" i="1"/>
  <c r="K1609" i="1"/>
  <c r="K1619" i="1"/>
  <c r="K1613" i="1"/>
  <c r="K1614" i="1"/>
  <c r="K1622" i="1"/>
  <c r="K1617" i="1"/>
  <c r="K1615" i="1"/>
  <c r="K1621" i="1"/>
  <c r="K1620" i="1"/>
  <c r="K1618" i="1"/>
  <c r="K1616" i="1"/>
  <c r="K1623" i="1"/>
  <c r="K1637" i="1"/>
  <c r="K1630" i="1"/>
  <c r="K1624" i="1"/>
  <c r="K1635" i="1"/>
  <c r="K1626" i="1"/>
  <c r="K1634" i="1"/>
  <c r="K1625" i="1"/>
  <c r="K1636" i="1"/>
  <c r="K1631" i="1"/>
  <c r="K1627" i="1"/>
  <c r="K1629" i="1"/>
  <c r="K1628" i="1"/>
  <c r="K1632" i="1"/>
  <c r="K1633" i="1"/>
  <c r="K1649" i="1"/>
  <c r="K1644" i="1"/>
  <c r="K1643" i="1"/>
  <c r="K1646" i="1"/>
  <c r="K1640" i="1"/>
  <c r="K1638" i="1"/>
  <c r="K1641" i="1"/>
  <c r="K1648" i="1"/>
  <c r="K1639" i="1"/>
  <c r="K1645" i="1"/>
  <c r="K1653" i="1"/>
  <c r="K1651" i="1"/>
  <c r="K1652" i="1"/>
  <c r="K1642" i="1"/>
  <c r="K1650" i="1"/>
  <c r="K1647" i="1"/>
  <c r="K1656" i="1"/>
  <c r="K1661" i="1"/>
  <c r="K1655" i="1"/>
  <c r="K1657" i="1"/>
  <c r="K1659" i="1"/>
  <c r="K1658" i="1"/>
  <c r="K1660" i="1"/>
  <c r="K1662" i="1"/>
  <c r="K1663" i="1"/>
  <c r="K1654" i="1"/>
  <c r="K1664" i="1"/>
  <c r="K1665" i="1"/>
  <c r="K1683" i="1"/>
  <c r="K1686" i="1"/>
  <c r="K1673" i="1"/>
  <c r="K1671" i="1"/>
  <c r="K1678" i="1"/>
  <c r="K1674" i="1"/>
  <c r="K1672" i="1"/>
  <c r="K1677" i="1"/>
  <c r="K1687" i="1"/>
  <c r="K1668" i="1"/>
  <c r="K1682" i="1"/>
  <c r="K1675" i="1"/>
  <c r="K1676" i="1"/>
  <c r="K1669" i="1"/>
  <c r="K1670" i="1"/>
  <c r="K1681" i="1"/>
  <c r="K1666" i="1"/>
  <c r="K1680" i="1"/>
  <c r="K1684" i="1"/>
  <c r="K1667" i="1"/>
  <c r="K1679" i="1"/>
  <c r="K1685" i="1"/>
  <c r="K1692" i="1"/>
  <c r="K1689" i="1"/>
  <c r="K1693" i="1"/>
  <c r="K1688" i="1"/>
  <c r="K1694" i="1"/>
  <c r="K1700" i="1"/>
  <c r="K1698" i="1"/>
  <c r="K1695" i="1"/>
  <c r="K1699" i="1"/>
  <c r="K1691" i="1"/>
  <c r="K1690" i="1"/>
  <c r="K1701" i="1"/>
  <c r="K1696" i="1"/>
  <c r="K1697" i="1"/>
  <c r="K1712" i="1"/>
  <c r="K1706" i="1"/>
  <c r="K1703" i="1"/>
  <c r="K1709" i="1"/>
  <c r="K1718" i="1"/>
  <c r="K1716" i="1"/>
  <c r="K1708" i="1"/>
  <c r="K1713" i="1"/>
  <c r="K1715" i="1"/>
  <c r="K1717" i="1"/>
  <c r="K1702" i="1"/>
  <c r="K1707" i="1"/>
  <c r="K1714" i="1"/>
  <c r="K1705" i="1"/>
  <c r="K1704" i="1"/>
  <c r="K1711" i="1"/>
  <c r="K1710" i="1"/>
  <c r="K1723" i="1"/>
  <c r="K1725" i="1"/>
  <c r="K1727" i="1"/>
  <c r="K1726" i="1"/>
  <c r="K1719" i="1"/>
  <c r="K1720" i="1"/>
  <c r="K1724" i="1"/>
  <c r="K1722" i="1"/>
  <c r="K1721" i="1"/>
  <c r="K1742" i="1"/>
  <c r="K1728" i="1"/>
  <c r="K1733" i="1"/>
  <c r="K1732" i="1"/>
  <c r="K1738" i="1"/>
  <c r="K1729" i="1"/>
  <c r="K1741" i="1"/>
  <c r="K1730" i="1"/>
  <c r="K1735" i="1"/>
  <c r="K1739" i="1"/>
  <c r="K1737" i="1"/>
  <c r="K1740" i="1"/>
  <c r="K1734" i="1"/>
  <c r="K1731" i="1"/>
  <c r="K1736" i="1"/>
  <c r="K1751" i="1"/>
  <c r="K1752" i="1"/>
  <c r="K1753" i="1"/>
  <c r="K1750" i="1"/>
  <c r="K1748" i="1"/>
  <c r="K1749" i="1"/>
  <c r="K1745" i="1"/>
  <c r="K1755" i="1"/>
  <c r="K1743" i="1"/>
  <c r="K1746" i="1"/>
  <c r="K1756" i="1"/>
  <c r="K1754" i="1"/>
  <c r="K1744" i="1"/>
  <c r="K1747" i="1"/>
  <c r="K1757" i="1"/>
  <c r="K1760" i="1"/>
  <c r="K1768" i="1"/>
  <c r="K1765" i="1"/>
  <c r="K1767" i="1"/>
  <c r="K1759" i="1"/>
  <c r="K1766" i="1"/>
  <c r="K1761" i="1"/>
  <c r="K1764" i="1"/>
  <c r="K1758" i="1"/>
  <c r="K1763" i="1"/>
  <c r="K1762" i="1"/>
  <c r="K1776" i="1"/>
  <c r="K1771" i="1"/>
  <c r="K1772" i="1"/>
  <c r="K1783" i="1"/>
  <c r="K1784" i="1"/>
  <c r="K1781" i="1"/>
  <c r="K1778" i="1"/>
  <c r="K1773" i="1"/>
  <c r="K1779" i="1"/>
  <c r="K1777" i="1"/>
  <c r="K1769" i="1"/>
  <c r="K1782" i="1"/>
  <c r="K1774" i="1"/>
  <c r="K1775" i="1"/>
  <c r="K1770" i="1"/>
  <c r="K1785" i="1"/>
  <c r="K1780" i="1"/>
  <c r="K1788" i="1"/>
  <c r="K1787" i="1"/>
  <c r="K1789" i="1"/>
  <c r="K1786" i="1"/>
  <c r="K1791" i="1"/>
  <c r="K1790" i="1"/>
  <c r="K1799" i="1"/>
  <c r="K1794" i="1"/>
  <c r="K1801" i="1"/>
  <c r="K1798" i="1"/>
  <c r="K1803" i="1"/>
  <c r="K1792" i="1"/>
  <c r="K1804" i="1"/>
  <c r="K1806" i="1"/>
  <c r="K1802" i="1"/>
  <c r="K1795" i="1"/>
  <c r="K1807" i="1"/>
  <c r="K1808" i="1"/>
  <c r="K1796" i="1"/>
  <c r="K1797" i="1"/>
  <c r="K1793" i="1"/>
  <c r="K1805" i="1"/>
  <c r="K1800" i="1"/>
  <c r="K1813" i="1"/>
  <c r="K1814" i="1"/>
  <c r="K1811" i="1"/>
  <c r="K1809" i="1"/>
  <c r="K1812" i="1"/>
  <c r="K1810" i="1"/>
  <c r="K1816" i="1"/>
  <c r="K1818" i="1"/>
  <c r="K1827" i="1"/>
  <c r="K1828" i="1"/>
  <c r="K1826" i="1"/>
  <c r="K1815" i="1"/>
  <c r="K1823" i="1"/>
  <c r="K1817" i="1"/>
  <c r="K1819" i="1"/>
  <c r="K1829" i="1"/>
  <c r="K1830" i="1"/>
  <c r="K1824" i="1"/>
  <c r="K1825" i="1"/>
  <c r="K1821" i="1"/>
  <c r="K1822" i="1"/>
  <c r="K1820" i="1"/>
  <c r="K1837" i="1"/>
  <c r="K1848" i="1"/>
  <c r="K1831" i="1"/>
  <c r="K1842" i="1"/>
  <c r="K1844" i="1"/>
  <c r="K1845" i="1"/>
  <c r="K1846" i="1"/>
  <c r="K1847" i="1"/>
  <c r="K1839" i="1"/>
  <c r="K1838" i="1"/>
  <c r="K1835" i="1"/>
  <c r="K1840" i="1"/>
  <c r="K1832" i="1"/>
  <c r="K1843" i="1"/>
  <c r="K1833" i="1"/>
  <c r="K1834" i="1"/>
  <c r="K1841" i="1"/>
  <c r="K1836" i="1"/>
  <c r="K1854" i="1"/>
  <c r="K1850" i="1"/>
  <c r="K1852" i="1"/>
  <c r="K1858" i="1"/>
  <c r="K1856" i="1"/>
  <c r="K1853" i="1"/>
  <c r="K1855" i="1"/>
  <c r="K1857" i="1"/>
  <c r="K1849" i="1"/>
  <c r="K1851" i="1"/>
  <c r="K1871" i="1"/>
  <c r="K1872" i="1"/>
  <c r="K1874" i="1"/>
  <c r="K1868" i="1"/>
  <c r="K1875" i="1"/>
  <c r="K1862" i="1"/>
  <c r="K1870" i="1"/>
  <c r="K1873" i="1"/>
  <c r="K1864" i="1"/>
  <c r="K1866" i="1"/>
  <c r="K1869" i="1"/>
  <c r="K1860" i="1"/>
  <c r="K1867" i="1"/>
  <c r="K1863" i="1"/>
  <c r="K1859" i="1"/>
  <c r="K1861" i="1"/>
  <c r="K1865" i="1"/>
  <c r="K1888" i="1"/>
  <c r="K1879" i="1"/>
  <c r="K1885" i="1"/>
  <c r="K1880" i="1"/>
  <c r="K1890" i="1"/>
  <c r="K1877" i="1"/>
  <c r="K1887" i="1"/>
  <c r="K1891" i="1"/>
  <c r="K1889" i="1"/>
  <c r="K1881" i="1"/>
  <c r="K1886" i="1"/>
  <c r="K1882" i="1"/>
  <c r="K1884" i="1"/>
  <c r="K1878" i="1"/>
  <c r="K1876" i="1"/>
  <c r="K1883" i="1"/>
  <c r="K1892" i="1"/>
  <c r="K1893" i="1"/>
  <c r="K1900" i="1"/>
  <c r="K1894" i="1"/>
  <c r="K1895" i="1"/>
  <c r="K1897" i="1"/>
  <c r="K1898" i="1"/>
  <c r="K1899" i="1"/>
  <c r="K1896" i="1"/>
  <c r="K1910" i="1"/>
  <c r="K1912" i="1"/>
  <c r="K1911" i="1"/>
  <c r="K1901" i="1"/>
  <c r="K1903" i="1"/>
  <c r="K1904" i="1"/>
  <c r="K1907" i="1"/>
  <c r="K1913" i="1"/>
  <c r="K1908" i="1"/>
  <c r="K1905" i="1"/>
  <c r="K1914" i="1"/>
  <c r="K1909" i="1"/>
  <c r="K1902" i="1"/>
  <c r="K1906" i="1"/>
  <c r="K1915" i="1"/>
  <c r="K1919" i="1"/>
  <c r="K1916" i="1"/>
  <c r="K1917" i="1"/>
  <c r="K1921" i="1"/>
  <c r="K1920" i="1"/>
  <c r="K1922" i="1"/>
  <c r="K1918" i="1"/>
  <c r="K1933" i="1"/>
  <c r="K1931" i="1"/>
  <c r="K1929" i="1"/>
  <c r="K1926" i="1"/>
  <c r="K1930" i="1"/>
  <c r="K1934" i="1"/>
  <c r="K1928" i="1"/>
  <c r="K1923" i="1"/>
  <c r="K1925" i="1"/>
  <c r="K1924" i="1"/>
  <c r="K1927" i="1"/>
  <c r="K1932" i="1"/>
  <c r="K1940" i="1"/>
  <c r="K1937" i="1"/>
  <c r="K1943" i="1"/>
  <c r="K1942" i="1"/>
  <c r="K1941" i="1"/>
  <c r="K1939" i="1"/>
  <c r="K1945" i="1"/>
  <c r="K1938" i="1"/>
  <c r="K1935" i="1"/>
  <c r="K1944" i="1"/>
  <c r="K1936" i="1"/>
  <c r="K1950" i="1"/>
  <c r="K1949" i="1"/>
  <c r="K1946" i="1"/>
  <c r="K1952" i="1"/>
  <c r="K1947" i="1"/>
  <c r="K1951" i="1"/>
  <c r="K1948" i="1"/>
  <c r="K1959" i="1"/>
  <c r="K1963" i="1"/>
  <c r="K1955" i="1"/>
  <c r="K1958" i="1"/>
  <c r="K1962" i="1"/>
  <c r="K1956" i="1"/>
  <c r="K1966" i="1"/>
  <c r="K1960" i="1"/>
  <c r="K1965" i="1"/>
  <c r="K1954" i="1"/>
  <c r="K1953" i="1"/>
  <c r="K1957" i="1"/>
  <c r="K1961" i="1"/>
  <c r="K1964" i="1"/>
  <c r="K1970" i="1"/>
  <c r="K1976" i="1"/>
  <c r="K1967" i="1"/>
  <c r="K1978" i="1"/>
  <c r="K1977" i="1"/>
  <c r="K1972" i="1"/>
  <c r="K1968" i="1"/>
  <c r="K1974" i="1"/>
  <c r="K1971" i="1"/>
  <c r="K1975" i="1"/>
  <c r="K1969" i="1"/>
  <c r="K1973" i="1"/>
  <c r="K1985" i="1"/>
  <c r="K1984" i="1"/>
  <c r="K1980" i="1"/>
  <c r="K1983" i="1"/>
  <c r="K1982" i="1"/>
  <c r="K1981" i="1"/>
  <c r="K1986" i="1"/>
  <c r="K1979" i="1"/>
  <c r="K1996" i="1"/>
  <c r="K1992" i="1"/>
  <c r="K1990" i="1"/>
  <c r="K2002" i="1"/>
  <c r="K1997" i="1"/>
  <c r="K1993" i="1"/>
  <c r="K1994" i="1"/>
  <c r="K2003" i="1"/>
  <c r="K1998" i="1"/>
  <c r="K1988" i="1"/>
  <c r="K1999" i="1"/>
  <c r="K2000" i="1"/>
  <c r="K1989" i="1"/>
  <c r="K1987" i="1"/>
  <c r="K1995" i="1"/>
  <c r="K1991" i="1"/>
  <c r="K2013" i="1"/>
  <c r="K2011" i="1"/>
  <c r="K2016" i="1"/>
  <c r="K2015" i="1"/>
  <c r="K2009" i="1"/>
  <c r="K2004" i="1"/>
  <c r="K2005" i="1"/>
  <c r="K2014" i="1"/>
  <c r="K2012" i="1"/>
  <c r="K2017" i="1"/>
  <c r="K2006" i="1"/>
  <c r="K2007" i="1"/>
  <c r="K2008" i="1"/>
  <c r="K2029" i="1"/>
  <c r="K2019" i="1"/>
  <c r="K2021" i="1"/>
  <c r="K2027" i="1"/>
  <c r="K2024" i="1"/>
  <c r="K2018" i="1"/>
  <c r="K2023" i="1"/>
  <c r="K2020" i="1"/>
  <c r="K2026" i="1"/>
  <c r="K2022" i="1"/>
  <c r="K2028" i="1"/>
  <c r="K2025" i="1"/>
  <c r="K2035" i="1"/>
  <c r="K2036" i="1"/>
  <c r="K2038" i="1"/>
  <c r="K2033" i="1"/>
  <c r="K2030" i="1"/>
  <c r="K2041" i="1"/>
  <c r="K2039" i="1"/>
  <c r="K2031" i="1"/>
  <c r="K2032" i="1"/>
  <c r="K2042" i="1"/>
  <c r="K2037" i="1"/>
  <c r="K2040" i="1"/>
  <c r="K2043" i="1"/>
  <c r="K2051" i="1"/>
  <c r="K2046" i="1"/>
  <c r="K2053" i="1"/>
  <c r="K2047" i="1"/>
  <c r="K2057" i="1"/>
  <c r="K2044" i="1"/>
  <c r="K2049" i="1"/>
  <c r="K2052" i="1"/>
  <c r="K2056" i="1"/>
  <c r="K2050" i="1"/>
  <c r="K2048" i="1"/>
  <c r="K2054" i="1"/>
  <c r="K2045" i="1"/>
  <c r="K2055" i="1"/>
  <c r="K2065" i="1"/>
  <c r="K2062" i="1"/>
  <c r="K2074" i="1"/>
  <c r="K2060" i="1"/>
  <c r="K2058" i="1"/>
  <c r="K2068" i="1"/>
  <c r="K2066" i="1"/>
  <c r="K2059" i="1"/>
  <c r="K2061" i="1"/>
  <c r="K2064" i="1"/>
  <c r="K2067" i="1"/>
  <c r="K2071" i="1"/>
  <c r="K2063" i="1"/>
  <c r="K2073" i="1"/>
  <c r="K2069" i="1"/>
  <c r="K2072" i="1"/>
  <c r="K2080" i="1"/>
  <c r="K2077" i="1"/>
  <c r="K2076" i="1"/>
  <c r="K2081" i="1"/>
  <c r="K2075" i="1"/>
  <c r="K2082" i="1"/>
  <c r="K2078" i="1"/>
  <c r="K2079" i="1"/>
  <c r="K2083" i="1"/>
  <c r="K2092" i="1"/>
  <c r="K2096" i="1"/>
  <c r="K2089" i="1"/>
  <c r="K2090" i="1"/>
  <c r="K2093" i="1"/>
  <c r="K2084" i="1"/>
  <c r="K2088" i="1"/>
  <c r="K2085" i="1"/>
  <c r="K2091" i="1"/>
  <c r="K2094" i="1"/>
  <c r="K2087" i="1"/>
  <c r="K2086" i="1"/>
  <c r="K2095" i="1"/>
  <c r="K2097" i="1"/>
  <c r="K2104" i="1"/>
  <c r="K2103" i="1"/>
  <c r="K2101" i="1"/>
  <c r="K2099" i="1"/>
  <c r="K2098" i="1"/>
  <c r="K2105" i="1"/>
  <c r="K2102" i="1"/>
  <c r="K2100" i="1"/>
  <c r="K2106" i="1"/>
  <c r="K2119" i="1"/>
  <c r="K2117" i="1"/>
  <c r="K2115" i="1"/>
  <c r="K2112" i="1"/>
  <c r="K2114" i="1"/>
  <c r="K2116" i="1"/>
  <c r="K2121" i="1"/>
  <c r="K2110" i="1"/>
  <c r="K2107" i="1"/>
  <c r="K2120" i="1"/>
  <c r="K2108" i="1"/>
  <c r="K2111" i="1"/>
  <c r="K2122" i="1"/>
  <c r="K2113" i="1"/>
  <c r="K2109" i="1"/>
  <c r="K2118" i="1"/>
  <c r="K2123" i="1"/>
  <c r="K2132" i="1"/>
  <c r="K2130" i="1"/>
  <c r="K2128" i="1"/>
  <c r="K2125" i="1"/>
  <c r="K2131" i="1"/>
  <c r="K2126" i="1"/>
  <c r="K2124" i="1"/>
  <c r="K2127" i="1"/>
  <c r="K2129" i="1"/>
  <c r="K2135" i="1"/>
  <c r="K2140" i="1"/>
  <c r="K2144" i="1"/>
  <c r="K2133" i="1"/>
  <c r="K2138" i="1"/>
  <c r="K2134" i="1"/>
  <c r="K2142" i="1"/>
  <c r="K2143" i="1"/>
  <c r="K2141" i="1"/>
  <c r="K2137" i="1"/>
  <c r="K2136" i="1"/>
  <c r="K2139" i="1"/>
  <c r="K2151" i="1"/>
  <c r="K2148" i="1"/>
  <c r="K2146" i="1"/>
  <c r="K2145" i="1"/>
  <c r="K2147" i="1"/>
  <c r="K2149" i="1"/>
  <c r="K2150" i="1"/>
  <c r="K2152" i="1"/>
  <c r="K2159" i="1"/>
  <c r="K2160" i="1"/>
  <c r="K2163" i="1"/>
  <c r="K2162" i="1"/>
  <c r="K2155" i="1"/>
  <c r="K2154" i="1"/>
  <c r="K2158" i="1"/>
  <c r="K2156" i="1"/>
  <c r="K2161" i="1"/>
  <c r="K2164" i="1"/>
  <c r="K2153" i="1"/>
  <c r="K2157" i="1"/>
  <c r="K2165" i="1"/>
  <c r="K2170" i="1"/>
  <c r="K2166" i="1"/>
  <c r="K2167" i="1"/>
  <c r="K2171" i="1"/>
  <c r="K2174" i="1"/>
  <c r="K2168" i="1"/>
  <c r="K2172" i="1"/>
  <c r="K2169" i="1"/>
  <c r="K2173" i="1"/>
  <c r="K2189" i="1"/>
  <c r="K2177" i="1"/>
  <c r="K2181" i="1"/>
  <c r="K2175" i="1"/>
  <c r="K2182" i="1"/>
  <c r="K2183" i="1"/>
  <c r="K2178" i="1"/>
  <c r="K2190" i="1"/>
  <c r="K2179" i="1"/>
  <c r="K2184" i="1"/>
  <c r="K2185" i="1"/>
  <c r="K2187" i="1"/>
  <c r="K2176" i="1"/>
  <c r="K2188" i="1"/>
  <c r="K2191" i="1"/>
  <c r="K2186" i="1"/>
  <c r="K2198" i="1"/>
  <c r="K2194" i="1"/>
  <c r="K2199" i="1"/>
  <c r="K2196" i="1"/>
  <c r="K2193" i="1"/>
  <c r="K2192" i="1"/>
  <c r="K2200" i="1"/>
  <c r="K2201" i="1"/>
  <c r="K2197" i="1"/>
  <c r="K2195" i="1"/>
  <c r="K2205" i="1"/>
  <c r="K2210" i="1"/>
  <c r="K2202" i="1"/>
  <c r="K2203" i="1"/>
  <c r="K2206" i="1"/>
  <c r="K2212" i="1"/>
  <c r="K2208" i="1"/>
  <c r="K2207" i="1"/>
  <c r="K2213" i="1"/>
  <c r="K2214" i="1"/>
  <c r="K2209" i="1"/>
  <c r="K2211" i="1"/>
  <c r="K2204" i="1"/>
  <c r="K2217" i="1"/>
  <c r="K2215" i="1"/>
  <c r="K2225" i="1"/>
  <c r="K2223" i="1"/>
  <c r="K2228" i="1"/>
  <c r="K2218" i="1"/>
  <c r="K2220" i="1"/>
  <c r="K2216" i="1"/>
  <c r="K2226" i="1"/>
  <c r="K2231" i="1"/>
  <c r="K2224" i="1"/>
  <c r="K2229" i="1"/>
  <c r="K2221" i="1"/>
  <c r="K2222" i="1"/>
  <c r="K2227" i="1"/>
  <c r="K2219" i="1"/>
  <c r="K2230" i="1"/>
  <c r="K2254" i="1"/>
  <c r="K2240" i="1"/>
  <c r="K2234" i="1"/>
  <c r="K2232" i="1"/>
  <c r="K2238" i="1"/>
  <c r="K2235" i="1"/>
  <c r="K2250" i="1"/>
  <c r="K2243" i="1"/>
  <c r="K2236" i="1"/>
  <c r="K2237" i="1"/>
  <c r="K2239" i="1"/>
  <c r="K2242" i="1"/>
  <c r="K2244" i="1"/>
  <c r="K2251" i="1"/>
  <c r="K2249" i="1"/>
  <c r="K2245" i="1"/>
  <c r="K2246" i="1"/>
  <c r="K2241" i="1"/>
  <c r="K2247" i="1"/>
  <c r="K2253" i="1"/>
  <c r="K2252" i="1"/>
  <c r="K2233" i="1"/>
  <c r="K2248" i="1"/>
  <c r="K2257" i="1"/>
  <c r="K2264" i="1"/>
  <c r="K2259" i="1"/>
  <c r="K2268" i="1"/>
  <c r="K2255" i="1"/>
  <c r="K2261" i="1"/>
  <c r="K2265" i="1"/>
  <c r="K2269" i="1"/>
  <c r="K2262" i="1"/>
  <c r="K2260" i="1"/>
  <c r="K2258" i="1"/>
  <c r="K2263" i="1"/>
  <c r="K2266" i="1"/>
  <c r="K2256" i="1"/>
  <c r="K2267" i="1"/>
  <c r="K2270" i="1"/>
  <c r="K2280" i="1"/>
  <c r="K2272" i="1"/>
  <c r="K2274" i="1"/>
  <c r="K2281" i="1"/>
  <c r="K2279" i="1"/>
  <c r="K2275" i="1"/>
  <c r="K2278" i="1"/>
  <c r="K2271" i="1"/>
  <c r="K2276" i="1"/>
  <c r="K2273" i="1"/>
  <c r="K2282" i="1"/>
  <c r="K2277" i="1"/>
  <c r="K2284" i="1"/>
  <c r="K2300" i="1"/>
  <c r="K2289" i="1"/>
  <c r="K2293" i="1"/>
  <c r="K2288" i="1"/>
  <c r="K2285" i="1"/>
  <c r="K2295" i="1"/>
  <c r="K2297" i="1"/>
  <c r="K2294" i="1"/>
  <c r="K2298" i="1"/>
  <c r="K2286" i="1"/>
  <c r="K2287" i="1"/>
  <c r="K2283" i="1"/>
  <c r="K2296" i="1"/>
  <c r="K2291" i="1"/>
  <c r="K2290" i="1"/>
  <c r="K2292" i="1"/>
  <c r="K2299" i="1"/>
  <c r="K2301" i="1"/>
  <c r="K2309" i="1"/>
  <c r="K2302" i="1"/>
  <c r="K2306" i="1"/>
  <c r="K2307" i="1"/>
  <c r="K2308" i="1"/>
  <c r="K2305" i="1"/>
  <c r="K2303" i="1"/>
  <c r="K2304" i="1"/>
  <c r="K2315" i="1"/>
  <c r="K2313" i="1"/>
  <c r="K2320" i="1"/>
  <c r="K2321" i="1"/>
  <c r="K2319" i="1"/>
  <c r="K2310" i="1"/>
  <c r="K2323" i="1"/>
  <c r="K2314" i="1"/>
  <c r="K2318" i="1"/>
  <c r="K2322" i="1"/>
  <c r="K2311" i="1"/>
  <c r="K2317" i="1"/>
  <c r="K2312" i="1"/>
  <c r="K2316" i="1"/>
  <c r="K2332" i="1"/>
  <c r="K2331" i="1"/>
  <c r="K2325" i="1"/>
  <c r="K2327" i="1"/>
  <c r="K2336" i="1"/>
  <c r="K2337" i="1"/>
  <c r="K2328" i="1"/>
  <c r="K2338" i="1"/>
  <c r="K2333" i="1"/>
  <c r="K2330" i="1"/>
  <c r="K2324" i="1"/>
  <c r="K2334" i="1"/>
  <c r="K2329" i="1"/>
  <c r="K2335" i="1"/>
  <c r="K2326" i="1"/>
  <c r="K2342" i="1"/>
  <c r="K2339" i="1"/>
  <c r="K2340" i="1"/>
  <c r="K2347" i="1"/>
  <c r="K2341" i="1"/>
  <c r="K2346" i="1"/>
  <c r="K2344" i="1"/>
  <c r="K2348" i="1"/>
  <c r="K2343" i="1"/>
  <c r="K2345" i="1"/>
  <c r="K2349" i="1"/>
  <c r="K2352" i="1"/>
  <c r="K2357" i="1"/>
  <c r="K2355" i="1"/>
  <c r="K2354" i="1"/>
  <c r="K2350" i="1"/>
  <c r="K2353" i="1"/>
  <c r="K2351" i="1"/>
  <c r="K2356" i="1"/>
  <c r="K2360" i="1"/>
  <c r="K2361" i="1"/>
  <c r="K2362" i="1"/>
  <c r="K2365" i="1"/>
  <c r="K2371" i="1"/>
  <c r="K2367" i="1"/>
  <c r="K2366" i="1"/>
  <c r="K2364" i="1"/>
  <c r="K2358" i="1"/>
  <c r="K2368" i="1"/>
  <c r="K2369" i="1"/>
  <c r="K2363" i="1"/>
  <c r="K2370" i="1"/>
  <c r="K2359" i="1"/>
  <c r="K2373" i="1"/>
  <c r="K2374" i="1"/>
  <c r="K2380" i="1"/>
  <c r="K2386" i="1"/>
  <c r="K2384" i="1"/>
  <c r="K2382" i="1"/>
  <c r="K2377" i="1"/>
  <c r="K2381" i="1"/>
  <c r="K2372" i="1"/>
  <c r="K2376" i="1"/>
  <c r="K2378" i="1"/>
  <c r="K2383" i="1"/>
  <c r="K2375" i="1"/>
  <c r="K2379" i="1"/>
  <c r="K2385" i="1"/>
  <c r="K2387" i="1"/>
  <c r="K2395" i="1"/>
  <c r="K2396" i="1"/>
  <c r="K2393" i="1"/>
  <c r="K2397" i="1"/>
  <c r="K2398" i="1"/>
  <c r="K2400" i="1"/>
  <c r="K2391" i="1"/>
  <c r="K2388" i="1"/>
  <c r="K2399" i="1"/>
  <c r="K2389" i="1"/>
  <c r="K2392" i="1"/>
  <c r="K2394" i="1"/>
  <c r="K2390" i="1"/>
  <c r="K2403" i="1"/>
  <c r="K2408" i="1"/>
  <c r="K2401" i="1"/>
  <c r="K2406" i="1"/>
  <c r="K2405" i="1"/>
  <c r="K2407" i="1"/>
  <c r="K2402" i="1"/>
  <c r="K2404" i="1"/>
  <c r="K2414" i="1"/>
  <c r="K2416" i="1"/>
  <c r="K2411" i="1"/>
  <c r="K2409" i="1"/>
  <c r="K2419" i="1"/>
  <c r="K2415" i="1"/>
  <c r="K2413" i="1"/>
  <c r="K2418" i="1"/>
  <c r="K2410" i="1"/>
  <c r="K2412" i="1"/>
  <c r="K2417" i="1"/>
  <c r="K2432" i="1"/>
  <c r="K2426" i="1"/>
  <c r="K2431" i="1"/>
  <c r="K2421" i="1"/>
  <c r="K2436" i="1"/>
  <c r="K2422" i="1"/>
  <c r="K2423" i="1"/>
  <c r="K2433" i="1"/>
  <c r="K2424" i="1"/>
  <c r="K2425" i="1"/>
  <c r="K2429" i="1"/>
  <c r="K2430" i="1"/>
  <c r="K2434" i="1"/>
  <c r="K2427" i="1"/>
  <c r="K2435" i="1"/>
  <c r="K2428" i="1"/>
  <c r="K2420" i="1"/>
  <c r="K2437" i="1"/>
  <c r="K2450" i="1"/>
  <c r="K2451" i="1"/>
  <c r="K2440" i="1"/>
  <c r="K2441" i="1"/>
  <c r="K2449" i="1"/>
  <c r="K2448" i="1"/>
  <c r="K2438" i="1"/>
  <c r="K2446" i="1"/>
  <c r="K2442" i="1"/>
  <c r="K2443" i="1"/>
  <c r="K2447" i="1"/>
  <c r="K2444" i="1"/>
  <c r="K2439" i="1"/>
  <c r="K2452" i="1"/>
  <c r="K2453" i="1"/>
  <c r="K2445" i="1"/>
  <c r="K2458" i="1"/>
  <c r="K2457" i="1"/>
  <c r="K2461" i="1"/>
  <c r="K2459" i="1"/>
  <c r="K2462" i="1"/>
  <c r="K2454" i="1"/>
  <c r="K2456" i="1"/>
  <c r="K2463" i="1"/>
  <c r="K2460" i="1"/>
  <c r="K2464" i="1"/>
  <c r="K2455" i="1"/>
  <c r="K2465" i="1"/>
  <c r="K2469" i="1"/>
  <c r="K2468" i="1"/>
  <c r="K2467" i="1"/>
  <c r="K2466" i="1"/>
  <c r="K2472" i="1"/>
  <c r="K2474" i="1"/>
  <c r="K2477" i="1"/>
  <c r="K2481" i="1"/>
  <c r="K2471" i="1"/>
  <c r="K2473" i="1"/>
  <c r="K2476" i="1"/>
  <c r="K2475" i="1"/>
  <c r="K2479" i="1"/>
  <c r="K2480" i="1"/>
  <c r="K2470" i="1"/>
  <c r="K2478" i="1"/>
  <c r="K2485" i="1"/>
  <c r="K2489" i="1"/>
  <c r="K2486" i="1"/>
  <c r="K2491" i="1"/>
  <c r="K2487" i="1"/>
  <c r="K2483" i="1"/>
  <c r="K2484" i="1"/>
  <c r="K2490" i="1"/>
  <c r="K2482" i="1"/>
  <c r="K2488" i="1"/>
  <c r="K2494" i="1"/>
  <c r="K2493" i="1"/>
  <c r="K2497" i="1"/>
  <c r="K2498" i="1"/>
  <c r="K2501" i="1"/>
  <c r="K2503" i="1"/>
  <c r="K2499" i="1"/>
  <c r="K2506" i="1"/>
  <c r="K2495" i="1"/>
  <c r="K2504" i="1"/>
  <c r="K2505" i="1"/>
  <c r="K2500" i="1"/>
  <c r="K2502" i="1"/>
  <c r="K2496" i="1"/>
  <c r="K2507" i="1"/>
  <c r="K2492" i="1"/>
  <c r="K2522" i="1"/>
  <c r="K2514" i="1"/>
  <c r="K2508" i="1"/>
  <c r="K2519" i="1"/>
  <c r="K2521" i="1"/>
  <c r="K2517" i="1"/>
  <c r="K2513" i="1"/>
  <c r="K2518" i="1"/>
  <c r="K2523" i="1"/>
  <c r="K2509" i="1"/>
  <c r="K2516" i="1"/>
  <c r="K2510" i="1"/>
  <c r="K2511" i="1"/>
  <c r="K2512" i="1"/>
  <c r="K2520" i="1"/>
  <c r="K2515" i="1"/>
  <c r="K2536" i="1"/>
  <c r="K2533" i="1"/>
  <c r="K2530" i="1"/>
  <c r="K2532" i="1"/>
  <c r="K2525" i="1"/>
  <c r="K2524" i="1"/>
  <c r="K2526" i="1"/>
  <c r="K2529" i="1"/>
  <c r="K2535" i="1"/>
  <c r="K2537" i="1"/>
  <c r="K2531" i="1"/>
  <c r="K2527" i="1"/>
  <c r="K2534" i="1"/>
  <c r="K2528" i="1"/>
  <c r="K2538" i="1"/>
  <c r="K2545" i="1"/>
  <c r="K2546" i="1"/>
  <c r="K2540" i="1"/>
  <c r="K2544" i="1"/>
  <c r="K2549" i="1"/>
  <c r="K2543" i="1"/>
  <c r="K2552" i="1"/>
  <c r="K2539" i="1"/>
  <c r="K2547" i="1"/>
  <c r="K2541" i="1"/>
  <c r="K2548" i="1"/>
  <c r="K2551" i="1"/>
  <c r="K2542" i="1"/>
  <c r="K2550" i="1"/>
  <c r="K2553" i="1"/>
  <c r="K2557" i="1"/>
  <c r="K2565" i="1"/>
  <c r="K2566" i="1"/>
  <c r="K2563" i="1"/>
  <c r="K2558" i="1"/>
  <c r="K2561" i="1"/>
  <c r="K2559" i="1"/>
  <c r="K2556" i="1"/>
  <c r="K2560" i="1"/>
  <c r="K2562" i="1"/>
  <c r="K2564" i="1"/>
  <c r="K2555" i="1"/>
  <c r="K2567" i="1"/>
  <c r="K2554" i="1"/>
  <c r="K2576" i="1"/>
  <c r="K2568" i="1"/>
  <c r="K2587" i="1"/>
  <c r="K2578" i="1"/>
  <c r="K2588" i="1"/>
  <c r="K2581" i="1"/>
  <c r="K2586" i="1"/>
  <c r="K2582" i="1"/>
  <c r="K2573" i="1"/>
  <c r="K2580" i="1"/>
  <c r="K2570" i="1"/>
  <c r="K2579" i="1"/>
  <c r="K2569" i="1"/>
  <c r="K2584" i="1"/>
  <c r="K2572" i="1"/>
  <c r="K2585" i="1"/>
  <c r="K2577" i="1"/>
  <c r="K2583" i="1"/>
  <c r="K2574" i="1"/>
  <c r="K2575" i="1"/>
  <c r="K2571" i="1"/>
  <c r="K2596" i="1"/>
  <c r="K2598" i="1"/>
  <c r="K2593" i="1"/>
  <c r="K2590" i="1"/>
  <c r="K2602" i="1"/>
  <c r="K2603" i="1"/>
  <c r="K2594" i="1"/>
  <c r="K2595" i="1"/>
  <c r="K2591" i="1"/>
  <c r="K2601" i="1"/>
  <c r="K2589" i="1"/>
  <c r="K2600" i="1"/>
  <c r="K2599" i="1"/>
  <c r="K2592" i="1"/>
  <c r="K2608" i="1"/>
  <c r="K2611" i="1"/>
  <c r="K2605" i="1"/>
  <c r="K2614" i="1"/>
  <c r="K2617" i="1"/>
  <c r="K2607" i="1"/>
  <c r="K2610" i="1"/>
  <c r="K2616" i="1"/>
  <c r="K2606" i="1"/>
  <c r="K2612" i="1"/>
  <c r="K2618" i="1"/>
  <c r="K2615" i="1"/>
  <c r="K2604" i="1"/>
  <c r="K2619" i="1"/>
  <c r="K2609" i="1"/>
  <c r="K2613" i="1"/>
  <c r="K2632" i="1"/>
  <c r="K2630" i="1"/>
  <c r="K2626" i="1"/>
  <c r="K2620" i="1"/>
  <c r="K2628" i="1"/>
  <c r="K2622" i="1"/>
  <c r="K2625" i="1"/>
  <c r="K2629" i="1"/>
  <c r="K2631" i="1"/>
  <c r="K2623" i="1"/>
  <c r="K2624" i="1"/>
  <c r="K2627" i="1"/>
  <c r="K2621" i="1"/>
  <c r="K2641" i="1"/>
  <c r="K2642" i="1"/>
  <c r="K2635" i="1"/>
  <c r="K2639" i="1"/>
  <c r="K2640" i="1"/>
  <c r="K2633" i="1"/>
  <c r="K2637" i="1"/>
  <c r="K2643" i="1"/>
  <c r="K2638" i="1"/>
  <c r="K2634" i="1"/>
  <c r="K2636" i="1"/>
  <c r="K2649" i="1"/>
  <c r="K2662" i="1"/>
  <c r="K2644" i="1"/>
  <c r="K2650" i="1"/>
  <c r="K2646" i="1"/>
  <c r="K2661" i="1"/>
  <c r="K2658" i="1"/>
  <c r="K2652" i="1"/>
  <c r="K2663" i="1"/>
  <c r="K2660" i="1"/>
  <c r="K2647" i="1"/>
  <c r="K2653" i="1"/>
  <c r="K2651" i="1"/>
  <c r="K2659" i="1"/>
  <c r="K2655" i="1"/>
  <c r="K2656" i="1"/>
  <c r="K2645" i="1"/>
  <c r="K2657" i="1"/>
  <c r="K2648" i="1"/>
  <c r="K2654" i="1"/>
  <c r="K2670" i="1"/>
  <c r="K2671" i="1"/>
  <c r="K2678" i="1"/>
  <c r="K2668" i="1"/>
  <c r="K2673" i="1"/>
  <c r="K2677" i="1"/>
  <c r="K2664" i="1"/>
  <c r="K2679" i="1"/>
  <c r="K2667" i="1"/>
  <c r="K2669" i="1"/>
  <c r="K2680" i="1"/>
  <c r="K2665" i="1"/>
  <c r="K2674" i="1"/>
  <c r="K2666" i="1"/>
  <c r="K2672" i="1"/>
  <c r="K2681" i="1"/>
  <c r="K2675" i="1"/>
  <c r="K2676" i="1"/>
  <c r="K2686" i="1"/>
  <c r="K2683" i="1"/>
  <c r="K2696" i="1"/>
  <c r="K2687" i="1"/>
  <c r="K2688" i="1"/>
  <c r="K2691" i="1"/>
  <c r="K2693" i="1"/>
  <c r="K2682" i="1"/>
  <c r="K2684" i="1"/>
  <c r="K2692" i="1"/>
  <c r="K2685" i="1"/>
  <c r="K2695" i="1"/>
  <c r="K2690" i="1"/>
  <c r="K2689" i="1"/>
  <c r="K2694" i="1"/>
  <c r="K2697" i="1"/>
  <c r="K2699" i="1"/>
  <c r="K2701" i="1"/>
  <c r="K2698" i="1"/>
  <c r="K2702" i="1"/>
  <c r="K2703" i="1"/>
  <c r="K2700" i="1"/>
  <c r="K2713" i="1"/>
  <c r="K2711" i="1"/>
  <c r="K2709" i="1"/>
  <c r="K2706" i="1"/>
  <c r="K2704" i="1"/>
  <c r="K2707" i="1"/>
  <c r="K2712" i="1"/>
  <c r="K2705" i="1"/>
  <c r="K2708" i="1"/>
  <c r="K2710" i="1"/>
  <c r="K2714" i="1"/>
  <c r="K2728" i="1"/>
  <c r="K2723" i="1"/>
  <c r="K2720" i="1"/>
  <c r="K2724" i="1"/>
  <c r="K2717" i="1"/>
  <c r="K2722" i="1"/>
  <c r="K2719" i="1"/>
  <c r="K2725" i="1"/>
  <c r="K2716" i="1"/>
  <c r="K2715" i="1"/>
  <c r="K2727" i="1"/>
  <c r="K2718" i="1"/>
  <c r="K2726" i="1"/>
  <c r="K2721" i="1"/>
  <c r="K2732" i="1"/>
  <c r="K2738" i="1"/>
  <c r="K2733" i="1"/>
  <c r="K2734" i="1"/>
  <c r="K2735" i="1"/>
  <c r="K2736" i="1"/>
  <c r="K2730" i="1"/>
  <c r="K2731" i="1"/>
  <c r="K2737" i="1"/>
  <c r="K2729" i="1"/>
  <c r="K2751" i="1"/>
  <c r="K2739" i="1"/>
  <c r="K2748" i="1"/>
  <c r="K2756" i="1"/>
  <c r="K2742" i="1"/>
  <c r="K2740" i="1"/>
  <c r="K2744" i="1"/>
  <c r="K2745" i="1"/>
  <c r="K2743" i="1"/>
  <c r="K2747" i="1"/>
  <c r="K2755" i="1"/>
  <c r="K2754" i="1"/>
  <c r="K2746" i="1"/>
  <c r="K2750" i="1"/>
  <c r="K2741" i="1"/>
  <c r="K2749" i="1"/>
  <c r="K2763" i="1"/>
  <c r="K2762" i="1"/>
  <c r="K2759" i="1"/>
  <c r="K2760" i="1"/>
  <c r="K2757" i="1"/>
  <c r="K2758" i="1"/>
  <c r="K2761" i="1"/>
  <c r="K2768" i="1"/>
  <c r="K2770" i="1"/>
  <c r="K2767" i="1"/>
  <c r="K2773" i="1"/>
  <c r="K2771" i="1"/>
  <c r="K2769" i="1"/>
  <c r="K2775" i="1"/>
  <c r="K2772" i="1"/>
  <c r="K2766" i="1"/>
  <c r="K2774" i="1"/>
  <c r="K2764" i="1"/>
  <c r="K2781" i="1"/>
  <c r="K2784" i="1"/>
  <c r="K2786" i="1"/>
  <c r="K2776" i="1"/>
  <c r="K2789" i="1"/>
  <c r="K2785" i="1"/>
  <c r="K2782" i="1"/>
  <c r="K2779" i="1"/>
  <c r="K2777" i="1"/>
  <c r="K2783" i="1"/>
  <c r="K2780" i="1"/>
  <c r="K2790" i="1"/>
  <c r="K2778" i="1"/>
  <c r="K2788" i="1"/>
  <c r="K2787" i="1"/>
  <c r="K2798" i="1"/>
  <c r="K2795" i="1"/>
  <c r="K2800" i="1"/>
  <c r="K2796" i="1"/>
  <c r="K2791" i="1"/>
  <c r="K2792" i="1"/>
  <c r="K2793" i="1"/>
  <c r="K2801" i="1"/>
  <c r="K2799" i="1"/>
  <c r="K2797" i="1"/>
  <c r="K2794" i="1"/>
  <c r="K2810" i="1"/>
  <c r="K2809" i="1"/>
  <c r="K2803" i="1"/>
  <c r="K2811" i="1"/>
  <c r="K2806" i="1"/>
  <c r="K2817" i="1"/>
  <c r="K2802" i="1"/>
  <c r="K2807" i="1"/>
  <c r="K2805" i="1"/>
  <c r="K2815" i="1"/>
  <c r="K2808" i="1"/>
  <c r="K2812" i="1"/>
  <c r="K2804" i="1"/>
  <c r="K2814" i="1"/>
  <c r="K2813" i="1"/>
  <c r="K2816" i="1"/>
  <c r="K2820" i="1"/>
  <c r="K2828" i="1"/>
  <c r="K2825" i="1"/>
  <c r="K2826" i="1"/>
  <c r="K2821" i="1"/>
  <c r="K2829" i="1"/>
  <c r="K2819" i="1"/>
  <c r="K2827" i="1"/>
  <c r="K2830" i="1"/>
  <c r="K2822" i="1"/>
  <c r="K2823" i="1"/>
  <c r="K2824" i="1"/>
  <c r="K2831" i="1"/>
  <c r="K2818" i="1"/>
  <c r="K2837" i="1"/>
  <c r="K2842" i="1"/>
  <c r="K2832" i="1"/>
  <c r="K2841" i="1"/>
  <c r="K2835" i="1"/>
  <c r="K2838" i="1"/>
  <c r="K2840" i="1"/>
  <c r="K2843" i="1"/>
  <c r="K2839" i="1"/>
  <c r="K2845" i="1"/>
  <c r="K2844" i="1"/>
  <c r="K2836" i="1"/>
  <c r="K2833" i="1"/>
  <c r="K2834" i="1"/>
  <c r="K2846" i="1"/>
  <c r="K2851" i="1"/>
  <c r="K2855" i="1"/>
  <c r="K2848" i="1"/>
  <c r="K2852" i="1"/>
  <c r="K2849" i="1"/>
  <c r="K2856" i="1"/>
  <c r="K2850" i="1"/>
  <c r="K2847" i="1"/>
  <c r="K2853" i="1"/>
  <c r="K2854" i="1"/>
  <c r="K2857" i="1"/>
  <c r="K2859" i="1"/>
  <c r="K2860" i="1"/>
  <c r="K2863" i="1"/>
  <c r="K2865" i="1"/>
  <c r="K2864" i="1"/>
  <c r="K2862" i="1"/>
  <c r="K2867" i="1"/>
  <c r="K2861" i="1"/>
  <c r="K2866" i="1"/>
  <c r="K2876" i="1"/>
  <c r="K2875" i="1"/>
  <c r="K2880" i="1"/>
  <c r="K2881" i="1"/>
  <c r="K2869" i="1"/>
  <c r="K2871" i="1"/>
  <c r="K2872" i="1"/>
  <c r="K2873" i="1"/>
  <c r="K2878" i="1"/>
  <c r="K2874" i="1"/>
  <c r="K2879" i="1"/>
  <c r="K2868" i="1"/>
  <c r="K2870" i="1"/>
  <c r="K2877" i="1"/>
  <c r="K2882" i="1"/>
  <c r="K2889" i="1"/>
  <c r="K2897" i="1"/>
  <c r="K2891" i="1"/>
  <c r="K2899" i="1"/>
  <c r="K2890" i="1"/>
  <c r="K2894" i="1"/>
  <c r="K2892" i="1"/>
  <c r="K2886" i="1"/>
  <c r="K2885" i="1"/>
  <c r="K2893" i="1"/>
  <c r="K2896" i="1"/>
  <c r="K2887" i="1"/>
  <c r="K2898" i="1"/>
  <c r="K2888" i="1"/>
  <c r="K2883" i="1"/>
  <c r="K2900" i="1"/>
  <c r="K2895" i="1"/>
  <c r="K2901" i="1"/>
  <c r="K2884" i="1"/>
  <c r="K2906" i="1"/>
  <c r="K2905" i="1"/>
  <c r="K2903" i="1"/>
  <c r="K2904" i="1"/>
  <c r="K2902" i="1"/>
  <c r="K2907" i="1"/>
  <c r="K2910" i="1"/>
  <c r="K2917" i="1"/>
  <c r="K2908" i="1"/>
  <c r="K2913" i="1"/>
  <c r="K2909" i="1"/>
  <c r="K2915" i="1"/>
  <c r="K2911" i="1"/>
  <c r="K2914" i="1"/>
  <c r="K2918" i="1"/>
  <c r="K2916" i="1"/>
  <c r="K2912" i="1"/>
  <c r="K2920" i="1"/>
  <c r="K2925" i="1"/>
  <c r="K2923" i="1"/>
  <c r="K2930" i="1"/>
  <c r="K2921" i="1"/>
  <c r="K2935" i="1"/>
  <c r="K2932" i="1"/>
  <c r="K2926" i="1"/>
  <c r="K2933" i="1"/>
  <c r="K2929" i="1"/>
  <c r="K2927" i="1"/>
  <c r="K2934" i="1"/>
  <c r="K2922" i="1"/>
  <c r="K2928" i="1"/>
  <c r="K2924" i="1"/>
  <c r="K2931" i="1"/>
  <c r="K2939" i="1"/>
  <c r="K2944" i="1"/>
  <c r="K2938" i="1"/>
  <c r="K2937" i="1"/>
  <c r="K2946" i="1"/>
  <c r="K2940" i="1"/>
  <c r="K2945" i="1"/>
  <c r="K2942" i="1"/>
  <c r="K2943" i="1"/>
  <c r="K2941" i="1"/>
  <c r="K2936" i="1"/>
  <c r="K2947" i="1"/>
  <c r="K2953" i="1"/>
  <c r="K2952" i="1"/>
  <c r="K2949" i="1"/>
  <c r="K2950" i="1"/>
  <c r="K2948" i="1"/>
  <c r="K2954" i="1"/>
  <c r="K2951" i="1"/>
  <c r="K2964" i="1"/>
  <c r="K2966" i="1"/>
  <c r="K2972" i="1"/>
  <c r="K2974" i="1"/>
  <c r="K2963" i="1"/>
  <c r="K2971" i="1"/>
  <c r="K2961" i="1"/>
  <c r="K2970" i="1"/>
  <c r="K2973" i="1"/>
  <c r="K2962" i="1"/>
  <c r="K2965" i="1"/>
  <c r="K2967" i="1"/>
  <c r="K2958" i="1"/>
  <c r="K2969" i="1"/>
  <c r="K2968" i="1"/>
  <c r="K2959" i="1"/>
  <c r="K2960" i="1"/>
  <c r="K2957" i="1"/>
  <c r="K2955" i="1"/>
  <c r="K2956" i="1"/>
  <c r="K2985" i="1"/>
  <c r="K2977" i="1"/>
  <c r="K2991" i="1"/>
  <c r="K2990" i="1"/>
  <c r="K2988" i="1"/>
  <c r="K2980" i="1"/>
  <c r="K2984" i="1"/>
  <c r="K2982" i="1"/>
  <c r="K2981" i="1"/>
  <c r="K2978" i="1"/>
  <c r="K2987" i="1"/>
  <c r="K2989" i="1"/>
  <c r="K2992" i="1"/>
  <c r="K2975" i="1"/>
  <c r="K2983" i="1"/>
  <c r="K2986" i="1"/>
  <c r="K2979" i="1"/>
  <c r="K2976" i="1"/>
  <c r="K2997" i="1"/>
  <c r="K3001" i="1"/>
  <c r="K2996" i="1"/>
  <c r="K2993" i="1"/>
  <c r="K2999" i="1"/>
  <c r="K3002" i="1"/>
  <c r="K2994" i="1"/>
  <c r="K2995" i="1"/>
  <c r="K3000" i="1"/>
  <c r="K2998" i="1"/>
  <c r="K3003" i="1"/>
  <c r="K3004" i="1"/>
  <c r="K3008" i="1"/>
  <c r="K3014" i="1"/>
  <c r="K3012" i="1"/>
  <c r="K3005" i="1"/>
  <c r="K3011" i="1"/>
  <c r="K3006" i="1"/>
  <c r="K3015" i="1"/>
  <c r="K3009" i="1"/>
  <c r="K3013" i="1"/>
  <c r="K3010" i="1"/>
  <c r="K3007" i="1"/>
  <c r="K3016" i="1"/>
  <c r="K3018" i="1"/>
  <c r="K3028" i="1"/>
  <c r="K3021" i="1"/>
  <c r="K3029" i="1"/>
  <c r="K3034" i="1"/>
  <c r="K3027" i="1"/>
  <c r="K3037" i="1"/>
  <c r="K3033" i="1"/>
  <c r="K3031" i="1"/>
  <c r="K3024" i="1"/>
  <c r="K3022" i="1"/>
  <c r="K3035" i="1"/>
  <c r="K3023" i="1"/>
  <c r="K3032" i="1"/>
  <c r="K3017" i="1"/>
  <c r="K3030" i="1"/>
  <c r="K3025" i="1"/>
  <c r="K3036" i="1"/>
  <c r="K3026" i="1"/>
  <c r="K3020" i="1"/>
  <c r="K3019" i="1"/>
  <c r="K3045" i="1"/>
  <c r="K3052" i="1"/>
  <c r="K3051" i="1"/>
  <c r="K3044" i="1"/>
  <c r="K3043" i="1"/>
  <c r="K3049" i="1"/>
  <c r="K3041" i="1"/>
  <c r="K3038" i="1"/>
  <c r="K3048" i="1"/>
  <c r="K3050" i="1"/>
  <c r="K3039" i="1"/>
  <c r="K3047" i="1"/>
  <c r="K3040" i="1"/>
  <c r="K3046" i="1"/>
  <c r="K3042" i="1"/>
  <c r="K3053" i="1"/>
  <c r="K3057" i="1"/>
  <c r="K3060" i="1"/>
  <c r="K3063" i="1"/>
  <c r="K3054" i="1"/>
  <c r="K3055" i="1"/>
  <c r="K3058" i="1"/>
  <c r="K3062" i="1"/>
  <c r="K3064" i="1"/>
  <c r="K3065" i="1"/>
  <c r="K3059" i="1"/>
  <c r="K3061" i="1"/>
  <c r="K3056" i="1"/>
  <c r="K3068" i="1"/>
  <c r="K3072" i="1"/>
  <c r="K3077" i="1"/>
  <c r="K3067" i="1"/>
  <c r="K3066" i="1"/>
  <c r="K3074" i="1"/>
  <c r="K3078" i="1"/>
  <c r="K3075" i="1"/>
  <c r="K3071" i="1"/>
  <c r="K3070" i="1"/>
  <c r="K3073" i="1"/>
  <c r="K3069" i="1"/>
  <c r="K3076" i="1"/>
  <c r="K3088" i="1"/>
  <c r="K3083" i="1"/>
  <c r="K3084" i="1"/>
  <c r="K3086" i="1"/>
  <c r="K3081" i="1"/>
  <c r="K3085" i="1"/>
  <c r="K3079" i="1"/>
  <c r="K3080" i="1"/>
  <c r="K3089" i="1"/>
  <c r="K3082" i="1"/>
  <c r="K3087" i="1"/>
  <c r="K3101" i="1"/>
  <c r="K3092" i="1"/>
  <c r="K3098" i="1"/>
  <c r="K3094" i="1"/>
  <c r="K3096" i="1"/>
  <c r="K3100" i="1"/>
  <c r="K3090" i="1"/>
  <c r="K3099" i="1"/>
  <c r="K3093" i="1"/>
  <c r="K3097" i="1"/>
  <c r="K3091" i="1"/>
  <c r="K3095" i="1"/>
  <c r="K3112" i="1"/>
  <c r="K3104" i="1"/>
  <c r="K3109" i="1"/>
  <c r="K3102" i="1"/>
  <c r="K3113" i="1"/>
  <c r="K3103" i="1"/>
  <c r="K3114" i="1"/>
  <c r="K3117" i="1"/>
  <c r="K3107" i="1"/>
  <c r="K3118" i="1"/>
  <c r="K3115" i="1"/>
  <c r="K3105" i="1"/>
  <c r="K3119" i="1"/>
  <c r="K3106" i="1"/>
  <c r="K3111" i="1"/>
  <c r="K3108" i="1"/>
  <c r="K3110" i="1"/>
  <c r="K3116" i="1"/>
  <c r="K3120" i="1"/>
  <c r="K3121" i="1"/>
  <c r="K3128" i="1"/>
  <c r="K3126" i="1"/>
  <c r="K3130" i="1"/>
  <c r="K3124" i="1"/>
  <c r="K3122" i="1"/>
  <c r="K3123" i="1"/>
  <c r="K3127" i="1"/>
  <c r="K3125" i="1"/>
  <c r="K3131" i="1"/>
  <c r="K3132" i="1"/>
  <c r="K3141" i="1"/>
  <c r="K3134" i="1"/>
  <c r="K3140" i="1"/>
  <c r="K3138" i="1"/>
  <c r="K3139" i="1"/>
  <c r="K3143" i="1"/>
  <c r="K3135" i="1"/>
  <c r="K3145" i="1"/>
  <c r="K3133" i="1"/>
  <c r="K3144" i="1"/>
  <c r="K3142" i="1"/>
  <c r="K3137" i="1"/>
  <c r="K3136" i="1"/>
  <c r="K3151" i="1"/>
  <c r="K3158" i="1"/>
  <c r="K3148" i="1"/>
  <c r="K3149" i="1"/>
  <c r="K3146" i="1"/>
  <c r="K3156" i="1"/>
  <c r="K3147" i="1"/>
  <c r="K3157" i="1"/>
  <c r="K3153" i="1"/>
  <c r="K3154" i="1"/>
  <c r="K3150" i="1"/>
  <c r="K3155" i="1"/>
  <c r="K3152" i="1"/>
  <c r="K3166" i="1"/>
  <c r="K3162" i="1"/>
  <c r="K3168" i="1"/>
  <c r="K3165" i="1"/>
  <c r="K3164" i="1"/>
  <c r="K3163" i="1"/>
  <c r="K3169" i="1"/>
  <c r="K3160" i="1"/>
  <c r="K3161" i="1"/>
  <c r="K3170" i="1"/>
  <c r="K3159" i="1"/>
  <c r="K3167" i="1"/>
  <c r="K3171" i="1"/>
  <c r="K3182" i="1"/>
  <c r="K3179" i="1"/>
  <c r="K3173" i="1"/>
  <c r="K3176" i="1"/>
  <c r="K3183" i="1"/>
  <c r="K3184" i="1"/>
  <c r="K3177" i="1"/>
  <c r="K3185" i="1"/>
  <c r="K3172" i="1"/>
  <c r="K3175" i="1"/>
  <c r="K3178" i="1"/>
  <c r="K3180" i="1"/>
  <c r="K3181" i="1"/>
  <c r="K3174" i="1"/>
  <c r="K3188" i="1"/>
  <c r="K3187" i="1"/>
  <c r="K3189" i="1"/>
  <c r="K3186" i="1"/>
  <c r="K3196" i="1"/>
  <c r="K3194" i="1"/>
  <c r="K3190" i="1"/>
  <c r="K3192" i="1"/>
  <c r="K3195" i="1"/>
  <c r="K3197" i="1"/>
  <c r="K3191" i="1"/>
  <c r="K3193" i="1"/>
  <c r="K3200" i="1"/>
  <c r="K3202" i="1"/>
  <c r="K3206" i="1"/>
  <c r="K3198" i="1"/>
  <c r="K3214" i="1"/>
  <c r="K3211" i="1"/>
  <c r="K3212" i="1"/>
  <c r="K3213" i="1"/>
  <c r="K3201" i="1"/>
  <c r="K3209" i="1"/>
  <c r="K3199" i="1"/>
  <c r="K3208" i="1"/>
  <c r="K3215" i="1"/>
  <c r="K3203" i="1"/>
  <c r="K3204" i="1"/>
  <c r="K3210" i="1"/>
  <c r="K3205" i="1"/>
  <c r="K3207" i="1"/>
  <c r="K3223" i="1"/>
  <c r="K3217" i="1"/>
  <c r="K3222" i="1"/>
  <c r="K3219" i="1"/>
  <c r="K3220" i="1"/>
  <c r="K3218" i="1"/>
  <c r="K3226" i="1"/>
  <c r="K3224" i="1"/>
  <c r="K3221" i="1"/>
  <c r="K3216" i="1"/>
  <c r="K3225" i="1"/>
  <c r="K3230" i="1"/>
  <c r="K3236" i="1"/>
  <c r="K3227" i="1"/>
  <c r="K3228" i="1"/>
  <c r="K3233" i="1"/>
  <c r="K3229" i="1"/>
  <c r="K3234" i="1"/>
  <c r="K3231" i="1"/>
  <c r="K3237" i="1"/>
  <c r="K3232" i="1"/>
  <c r="K3235" i="1"/>
  <c r="K3239" i="1"/>
  <c r="K3240" i="1"/>
  <c r="K3241" i="1"/>
  <c r="K3238" i="1"/>
  <c r="K3246" i="1"/>
  <c r="K3243" i="1"/>
  <c r="K3242" i="1"/>
  <c r="K3245" i="1"/>
  <c r="K3244" i="1"/>
  <c r="K3249" i="1"/>
  <c r="K3248" i="1"/>
  <c r="K3247" i="1"/>
  <c r="K3255" i="1"/>
  <c r="K3250" i="1"/>
  <c r="K3253" i="1"/>
  <c r="K3259" i="1"/>
  <c r="K3258" i="1"/>
  <c r="K3254" i="1"/>
  <c r="K3251" i="1"/>
  <c r="K3256" i="1"/>
  <c r="K3257" i="1"/>
  <c r="K3252" i="1"/>
  <c r="K3261" i="1"/>
  <c r="K3265" i="1"/>
  <c r="K3271" i="1"/>
  <c r="K3260" i="1"/>
  <c r="K3264" i="1"/>
  <c r="K3268" i="1"/>
  <c r="K3269" i="1"/>
  <c r="K3270" i="1"/>
  <c r="K3262" i="1"/>
  <c r="K3263" i="1"/>
  <c r="K3266" i="1"/>
  <c r="K3267" i="1"/>
  <c r="K3272" i="1"/>
  <c r="K3273" i="1"/>
  <c r="K3274" i="1"/>
  <c r="K3279" i="1"/>
  <c r="K3275" i="1"/>
  <c r="K3280" i="1"/>
  <c r="K3282" i="1"/>
  <c r="K3278" i="1"/>
  <c r="K3281" i="1"/>
  <c r="K3283" i="1"/>
  <c r="K3284" i="1"/>
  <c r="K3277" i="1"/>
  <c r="K3276" i="1"/>
  <c r="K3297" i="1"/>
  <c r="K3299" i="1"/>
  <c r="K3293" i="1"/>
  <c r="K3291" i="1"/>
  <c r="K3289" i="1"/>
  <c r="K3285" i="1"/>
  <c r="K3295" i="1"/>
  <c r="K3298" i="1"/>
  <c r="K3286" i="1"/>
  <c r="K3287" i="1"/>
  <c r="K3294" i="1"/>
  <c r="K3296" i="1"/>
  <c r="K3290" i="1"/>
  <c r="K3300" i="1"/>
  <c r="K3288" i="1"/>
  <c r="K3292" i="1"/>
  <c r="K3311" i="1"/>
  <c r="K3305" i="1"/>
  <c r="K3301" i="1"/>
  <c r="K3309" i="1"/>
  <c r="K3314" i="1"/>
  <c r="K3302" i="1"/>
  <c r="K3306" i="1"/>
  <c r="K3310" i="1"/>
  <c r="K3304" i="1"/>
  <c r="K3316" i="1"/>
  <c r="K3308" i="1"/>
  <c r="K3313" i="1"/>
  <c r="K3315" i="1"/>
  <c r="K3312" i="1"/>
  <c r="K3307" i="1"/>
  <c r="K3303" i="1"/>
  <c r="K3322" i="1"/>
  <c r="K3317" i="1"/>
  <c r="K3319" i="1"/>
  <c r="K3324" i="1"/>
  <c r="K3320" i="1"/>
  <c r="K3326" i="1"/>
  <c r="K3323" i="1"/>
  <c r="K3325" i="1"/>
  <c r="K3321" i="1"/>
  <c r="K3318" i="1"/>
  <c r="K3332" i="1"/>
  <c r="K3334" i="1"/>
  <c r="K3335" i="1"/>
  <c r="K3333" i="1"/>
  <c r="K3329" i="1"/>
  <c r="K3331" i="1"/>
  <c r="K3328" i="1"/>
  <c r="K3330" i="1"/>
  <c r="K3327" i="1"/>
  <c r="K3348" i="1"/>
  <c r="K3339" i="1"/>
  <c r="K3340" i="1"/>
  <c r="K3343" i="1"/>
  <c r="K3341" i="1"/>
  <c r="K3349" i="1"/>
  <c r="K3336" i="1"/>
  <c r="K3346" i="1"/>
  <c r="K3342" i="1"/>
  <c r="K3347" i="1"/>
  <c r="K3350" i="1"/>
  <c r="K3344" i="1"/>
  <c r="K3337" i="1"/>
  <c r="K3351" i="1"/>
  <c r="K3338" i="1"/>
  <c r="K3345" i="1"/>
  <c r="K3363" i="1"/>
  <c r="K3356" i="1"/>
  <c r="K3360" i="1"/>
  <c r="K3358" i="1"/>
  <c r="K3361" i="1"/>
  <c r="K3365" i="1"/>
  <c r="K3353" i="1"/>
  <c r="K3366" i="1"/>
  <c r="K3352" i="1"/>
  <c r="K3368" i="1"/>
  <c r="K3357" i="1"/>
  <c r="K3355" i="1"/>
  <c r="K3364" i="1"/>
  <c r="K3359" i="1"/>
  <c r="K3362" i="1"/>
  <c r="K3354" i="1"/>
  <c r="K3367" i="1"/>
  <c r="K3370" i="1"/>
  <c r="K3371" i="1"/>
  <c r="K3378" i="1"/>
  <c r="K3373" i="1"/>
  <c r="K3377" i="1"/>
  <c r="K3372" i="1"/>
  <c r="K3380" i="1"/>
  <c r="K3374" i="1"/>
  <c r="K3369" i="1"/>
  <c r="K3375" i="1"/>
  <c r="K3376" i="1"/>
  <c r="K3379" i="1"/>
  <c r="K3381" i="1"/>
  <c r="K3385" i="1"/>
  <c r="K3390" i="1"/>
  <c r="K3384" i="1"/>
  <c r="K3382" i="1"/>
  <c r="K3386" i="1"/>
  <c r="K3388" i="1"/>
  <c r="K3391" i="1"/>
  <c r="K3389" i="1"/>
  <c r="K3383" i="1"/>
  <c r="K3387" i="1"/>
  <c r="K3396" i="1"/>
  <c r="K3394" i="1"/>
  <c r="K3392" i="1"/>
  <c r="K3393" i="1"/>
  <c r="K3399" i="1"/>
  <c r="K3400" i="1"/>
  <c r="K3395" i="1"/>
  <c r="K3397" i="1"/>
  <c r="K3401" i="1"/>
  <c r="K3398" i="1"/>
  <c r="K3402" i="1"/>
  <c r="K3411" i="1"/>
  <c r="K3404" i="1"/>
  <c r="K3405" i="1"/>
  <c r="K3403" i="1"/>
  <c r="K3406" i="1"/>
  <c r="K3413" i="1"/>
  <c r="K3409" i="1"/>
  <c r="K3408" i="1"/>
  <c r="K3412" i="1"/>
  <c r="K3407" i="1"/>
  <c r="K3410" i="1"/>
  <c r="K3414" i="1"/>
  <c r="K3421" i="1"/>
  <c r="K3424" i="1"/>
  <c r="K3429" i="1"/>
  <c r="K3416" i="1"/>
  <c r="K3428" i="1"/>
  <c r="K3425" i="1"/>
  <c r="K3415" i="1"/>
  <c r="K3422" i="1"/>
  <c r="K3426" i="1"/>
  <c r="K3418" i="1"/>
  <c r="K3423" i="1"/>
  <c r="K3419" i="1"/>
  <c r="K3430" i="1"/>
  <c r="K3420" i="1"/>
  <c r="K3427" i="1"/>
  <c r="K3417" i="1"/>
  <c r="K3438" i="1"/>
  <c r="K3441" i="1"/>
  <c r="K3431" i="1"/>
  <c r="K3440" i="1"/>
  <c r="K3435" i="1"/>
  <c r="K3442" i="1"/>
  <c r="K3433" i="1"/>
  <c r="K3434" i="1"/>
  <c r="K3437" i="1"/>
  <c r="K3432" i="1"/>
  <c r="K3439" i="1"/>
  <c r="K3436" i="1"/>
  <c r="K3449" i="1"/>
  <c r="K3450" i="1"/>
  <c r="K3455" i="1"/>
  <c r="K3444" i="1"/>
  <c r="K3443" i="1"/>
  <c r="K3447" i="1"/>
  <c r="K3454" i="1"/>
  <c r="K3448" i="1"/>
  <c r="K3453" i="1"/>
  <c r="K3446" i="1"/>
  <c r="K3445" i="1"/>
  <c r="K3451" i="1"/>
  <c r="K3452" i="1"/>
  <c r="K3460" i="1"/>
  <c r="K3461" i="1"/>
  <c r="K3457" i="1"/>
  <c r="K3466" i="1"/>
  <c r="K3462" i="1"/>
  <c r="K3463" i="1"/>
  <c r="K3459" i="1"/>
  <c r="K3464" i="1"/>
  <c r="K3456" i="1"/>
  <c r="K3465" i="1"/>
  <c r="K3458" i="1"/>
  <c r="K3473" i="1"/>
  <c r="K3467" i="1"/>
  <c r="K3475" i="1"/>
  <c r="K3477" i="1"/>
  <c r="K3470" i="1"/>
  <c r="K3474" i="1"/>
  <c r="K3478" i="1"/>
  <c r="K3471" i="1"/>
  <c r="K3469" i="1"/>
  <c r="K3479" i="1"/>
  <c r="K3476" i="1"/>
  <c r="K3468" i="1"/>
  <c r="K3472" i="1"/>
  <c r="K3480" i="1"/>
  <c r="K3490" i="1"/>
  <c r="K3486" i="1"/>
  <c r="K3483" i="1"/>
  <c r="K3481" i="1"/>
  <c r="K3488" i="1"/>
  <c r="K3489" i="1"/>
  <c r="K3487" i="1"/>
  <c r="K3485" i="1"/>
  <c r="K3491" i="1"/>
  <c r="K3482" i="1"/>
  <c r="K3484" i="1"/>
  <c r="K3492" i="1"/>
  <c r="K3497" i="1"/>
  <c r="K3498" i="1"/>
  <c r="K3495" i="1"/>
  <c r="K3494" i="1"/>
  <c r="K3496" i="1"/>
  <c r="K3499" i="1"/>
  <c r="K3500" i="1"/>
  <c r="K3493" i="1"/>
  <c r="K3502" i="1"/>
  <c r="K3509" i="1"/>
  <c r="K3506" i="1"/>
  <c r="K3508" i="1"/>
  <c r="K3510" i="1"/>
  <c r="K3503" i="1"/>
  <c r="K3507" i="1"/>
  <c r="K3504" i="1"/>
  <c r="K3505" i="1"/>
  <c r="K3501" i="1"/>
  <c r="K3519" i="1"/>
  <c r="K3520" i="1"/>
  <c r="K3515" i="1"/>
  <c r="K3525" i="1"/>
  <c r="K3514" i="1"/>
  <c r="K3526" i="1"/>
  <c r="K3527" i="1"/>
  <c r="K3523" i="1"/>
  <c r="K3511" i="1"/>
  <c r="K3524" i="1"/>
  <c r="K3512" i="1"/>
  <c r="K3518" i="1"/>
  <c r="K3513" i="1"/>
  <c r="K3522" i="1"/>
  <c r="K3516" i="1"/>
  <c r="K3517" i="1"/>
  <c r="K3521" i="1"/>
  <c r="K3537" i="1"/>
  <c r="K3535" i="1"/>
  <c r="K3540" i="1"/>
  <c r="K3533" i="1"/>
  <c r="K3529" i="1"/>
  <c r="K3534" i="1"/>
  <c r="K3541" i="1"/>
  <c r="K3538" i="1"/>
  <c r="K3528" i="1"/>
  <c r="K3531" i="1"/>
  <c r="K3536" i="1"/>
  <c r="K3530" i="1"/>
  <c r="K3532" i="1"/>
  <c r="K3539" i="1"/>
  <c r="K3544" i="1"/>
  <c r="K3552" i="1"/>
  <c r="K3558" i="1"/>
  <c r="K3543" i="1"/>
  <c r="K3551" i="1"/>
  <c r="K3548" i="1"/>
  <c r="K3554" i="1"/>
  <c r="K3553" i="1"/>
  <c r="K3555" i="1"/>
  <c r="K3545" i="1"/>
  <c r="K3546" i="1"/>
  <c r="K3542" i="1"/>
  <c r="K3556" i="1"/>
  <c r="K3557" i="1"/>
  <c r="K3549" i="1"/>
  <c r="K3547" i="1"/>
  <c r="K3550" i="1"/>
  <c r="K3567" i="1"/>
  <c r="K3566" i="1"/>
  <c r="K3563" i="1"/>
  <c r="K3561" i="1"/>
  <c r="K3560" i="1"/>
  <c r="K3564" i="1"/>
  <c r="K3568" i="1"/>
  <c r="K3562" i="1"/>
  <c r="K3559" i="1"/>
  <c r="K3565" i="1"/>
  <c r="K3575" i="1"/>
  <c r="K3581" i="1"/>
  <c r="K3574" i="1"/>
  <c r="K3579" i="1"/>
  <c r="K3570" i="1"/>
  <c r="K3571" i="1"/>
  <c r="K3580" i="1"/>
  <c r="K3572" i="1"/>
  <c r="K3577" i="1"/>
  <c r="K3573" i="1"/>
  <c r="K3569" i="1"/>
  <c r="K3576" i="1"/>
  <c r="K3578" i="1"/>
  <c r="K3582" i="1"/>
  <c r="K3583" i="1"/>
  <c r="K3588" i="1"/>
  <c r="K3586" i="1"/>
  <c r="K3584" i="1"/>
  <c r="K3587" i="1"/>
  <c r="K3585" i="1"/>
  <c r="K3589" i="1"/>
  <c r="K3603" i="1"/>
  <c r="K3595" i="1"/>
  <c r="K3592" i="1"/>
  <c r="K3596" i="1"/>
  <c r="K3605" i="1"/>
  <c r="K3608" i="1"/>
  <c r="K3590" i="1"/>
  <c r="K3591" i="1"/>
  <c r="K3606" i="1"/>
  <c r="K3597" i="1"/>
  <c r="K3593" i="1"/>
  <c r="K3594" i="1"/>
  <c r="K3602" i="1"/>
  <c r="K3600" i="1"/>
  <c r="K3598" i="1"/>
  <c r="K3601" i="1"/>
  <c r="K3599" i="1"/>
  <c r="K3604" i="1"/>
  <c r="K3612" i="1"/>
  <c r="K3618" i="1"/>
  <c r="K3610" i="1"/>
  <c r="K3621" i="1"/>
  <c r="K3619" i="1"/>
  <c r="K3617" i="1"/>
  <c r="K3614" i="1"/>
  <c r="K3615" i="1"/>
  <c r="K3611" i="1"/>
  <c r="K3616" i="1"/>
  <c r="K3613" i="1"/>
  <c r="K3620" i="1"/>
  <c r="K3609" i="1"/>
  <c r="K3632" i="1"/>
  <c r="K3641" i="1"/>
  <c r="K3637" i="1"/>
  <c r="K3633" i="1"/>
  <c r="K3634" i="1"/>
  <c r="K3622" i="1"/>
  <c r="K3625" i="1"/>
  <c r="K3628" i="1"/>
  <c r="K3642" i="1"/>
  <c r="K3639" i="1"/>
  <c r="K3626" i="1"/>
  <c r="K3623" i="1"/>
  <c r="K3638" i="1"/>
  <c r="K3627" i="1"/>
  <c r="K3635" i="1"/>
  <c r="K3629" i="1"/>
  <c r="K3630" i="1"/>
  <c r="K3631" i="1"/>
  <c r="K3636" i="1"/>
  <c r="K3640" i="1"/>
  <c r="K3624" i="1"/>
  <c r="K3648" i="1"/>
  <c r="K3644" i="1"/>
  <c r="K3649" i="1"/>
  <c r="K3651" i="1"/>
  <c r="K3643" i="1"/>
  <c r="K3652" i="1"/>
  <c r="K3646" i="1"/>
  <c r="K3650" i="1"/>
  <c r="K3647" i="1"/>
  <c r="K3653" i="1"/>
  <c r="K3654" i="1"/>
  <c r="K3645" i="1"/>
  <c r="K3655" i="1"/>
  <c r="K3658" i="1"/>
  <c r="K3663" i="1"/>
  <c r="K3660" i="1"/>
  <c r="K3659" i="1"/>
  <c r="K3666" i="1"/>
  <c r="K3656" i="1"/>
  <c r="K3662" i="1"/>
  <c r="K3667" i="1"/>
  <c r="K3671" i="1"/>
  <c r="K3657" i="1"/>
  <c r="K3668" i="1"/>
  <c r="K3669" i="1"/>
  <c r="K3670" i="1"/>
  <c r="K3661" i="1"/>
  <c r="K3665" i="1"/>
  <c r="K3664" i="1"/>
  <c r="K3674" i="1"/>
  <c r="K3681" i="1"/>
  <c r="K3676" i="1"/>
  <c r="K3675" i="1"/>
  <c r="K3672" i="1"/>
  <c r="K3680" i="1"/>
  <c r="K3678" i="1"/>
  <c r="K3673" i="1"/>
  <c r="K3679" i="1"/>
  <c r="K3677" i="1"/>
  <c r="K3698" i="1"/>
  <c r="K3690" i="1"/>
  <c r="K3686" i="1"/>
  <c r="K3694" i="1"/>
  <c r="K3688" i="1"/>
  <c r="K3693" i="1"/>
  <c r="K3683" i="1"/>
  <c r="K3691" i="1"/>
  <c r="K3689" i="1"/>
  <c r="K3682" i="1"/>
  <c r="K3684" i="1"/>
  <c r="K3695" i="1"/>
  <c r="K3692" i="1"/>
  <c r="K3697" i="1"/>
  <c r="K3687" i="1"/>
  <c r="K3685" i="1"/>
  <c r="K3696" i="1"/>
  <c r="K3714" i="1"/>
  <c r="K3708" i="1"/>
  <c r="K3712" i="1"/>
  <c r="K3710" i="1"/>
  <c r="K3706" i="1"/>
  <c r="K3699" i="1"/>
  <c r="K3713" i="1"/>
  <c r="K3703" i="1"/>
  <c r="K3709" i="1"/>
  <c r="K3711" i="1"/>
  <c r="K3701" i="1"/>
  <c r="K3707" i="1"/>
  <c r="K3702" i="1"/>
  <c r="K3704" i="1"/>
  <c r="K3705" i="1"/>
  <c r="K3700" i="1"/>
  <c r="K3715" i="1"/>
  <c r="K3716" i="1"/>
  <c r="K3724" i="1"/>
  <c r="K3721" i="1"/>
  <c r="K3719" i="1"/>
  <c r="K3717" i="1"/>
  <c r="K3723" i="1"/>
  <c r="K3720" i="1"/>
  <c r="K3722" i="1"/>
  <c r="K3718" i="1"/>
  <c r="K3737" i="1"/>
  <c r="K3728" i="1"/>
  <c r="K3726" i="1"/>
  <c r="K3730" i="1"/>
  <c r="K3729" i="1"/>
  <c r="K3725" i="1"/>
  <c r="K3733" i="1"/>
  <c r="K3734" i="1"/>
  <c r="K3735" i="1"/>
  <c r="K3738" i="1"/>
  <c r="K3732" i="1"/>
  <c r="K3739" i="1"/>
  <c r="K3727" i="1"/>
  <c r="K3731" i="1"/>
  <c r="K3736" i="1"/>
  <c r="K3740" i="1"/>
  <c r="K3743" i="1"/>
  <c r="K3749" i="1"/>
  <c r="K3742" i="1"/>
  <c r="K3745" i="1"/>
  <c r="K3747" i="1"/>
  <c r="K3746" i="1"/>
  <c r="K3741" i="1"/>
  <c r="K3748" i="1"/>
  <c r="K3751" i="1"/>
  <c r="K3755" i="1"/>
  <c r="K3754" i="1"/>
  <c r="K3752" i="1"/>
  <c r="K3753" i="1"/>
  <c r="K3750" i="1"/>
  <c r="K3765" i="1"/>
  <c r="K3759" i="1"/>
  <c r="K3764" i="1"/>
  <c r="K3760" i="1"/>
  <c r="K3761" i="1"/>
  <c r="K3763" i="1"/>
  <c r="K3758" i="1"/>
  <c r="K3762" i="1"/>
  <c r="K3766" i="1"/>
  <c r="K3756" i="1"/>
  <c r="K3757" i="1"/>
  <c r="K3776" i="1"/>
  <c r="K3769" i="1"/>
  <c r="K3777" i="1"/>
  <c r="K3775" i="1"/>
  <c r="K3773" i="1"/>
  <c r="K3780" i="1"/>
  <c r="K3768" i="1"/>
  <c r="K3771" i="1"/>
  <c r="K3778" i="1"/>
  <c r="K3767" i="1"/>
  <c r="K3779" i="1"/>
  <c r="K3772" i="1"/>
  <c r="K3770" i="1"/>
  <c r="K3774" i="1"/>
  <c r="K3791" i="1"/>
  <c r="K3792" i="1"/>
  <c r="K3790" i="1"/>
  <c r="K3788" i="1"/>
  <c r="K3786" i="1"/>
  <c r="K3782" i="1"/>
  <c r="K3781" i="1"/>
  <c r="K3789" i="1"/>
  <c r="K3784" i="1"/>
  <c r="K3783" i="1"/>
  <c r="K3785" i="1"/>
  <c r="K3787" i="1"/>
  <c r="K3811" i="1"/>
  <c r="K3805" i="1"/>
  <c r="K3800" i="1"/>
  <c r="K3803" i="1"/>
  <c r="K3801" i="1"/>
  <c r="K3795" i="1"/>
  <c r="K3797" i="1"/>
  <c r="K3798" i="1"/>
  <c r="K3807" i="1"/>
  <c r="K3794" i="1"/>
  <c r="K3804" i="1"/>
  <c r="K3793" i="1"/>
  <c r="K3799" i="1"/>
  <c r="K3806" i="1"/>
  <c r="K3796" i="1"/>
  <c r="K3802" i="1"/>
  <c r="K3808" i="1"/>
  <c r="K3809" i="1"/>
  <c r="K3810" i="1"/>
  <c r="K3819" i="1"/>
  <c r="K3817" i="1"/>
  <c r="K3812" i="1"/>
  <c r="K3821" i="1"/>
  <c r="K3815" i="1"/>
  <c r="K3818" i="1"/>
  <c r="K3813" i="1"/>
  <c r="K3820" i="1"/>
  <c r="K3816" i="1"/>
  <c r="K3814" i="1"/>
  <c r="K3835" i="1"/>
  <c r="K3830" i="1"/>
  <c r="K3828" i="1"/>
  <c r="K3827" i="1"/>
  <c r="K3824" i="1"/>
  <c r="K3825" i="1"/>
  <c r="K3829" i="1"/>
  <c r="K3834" i="1"/>
  <c r="K3832" i="1"/>
  <c r="K3836" i="1"/>
  <c r="K3837" i="1"/>
  <c r="K3831" i="1"/>
  <c r="K3822" i="1"/>
  <c r="K3823" i="1"/>
  <c r="K3826" i="1"/>
  <c r="K3833" i="1"/>
  <c r="K3845" i="1"/>
  <c r="K3838" i="1"/>
  <c r="K3850" i="1"/>
  <c r="K3840" i="1"/>
  <c r="K3848" i="1"/>
  <c r="K3851" i="1"/>
  <c r="K3846" i="1"/>
  <c r="K3839" i="1"/>
  <c r="K3841" i="1"/>
  <c r="K3849" i="1"/>
  <c r="K3844" i="1"/>
  <c r="K3843" i="1"/>
  <c r="K3852" i="1"/>
  <c r="K3847" i="1"/>
  <c r="K3842" i="1"/>
  <c r="K3858" i="1"/>
  <c r="K3853" i="1"/>
  <c r="K3859" i="1"/>
  <c r="K3855" i="1"/>
  <c r="K3863" i="1"/>
  <c r="K3857" i="1"/>
  <c r="K3854" i="1"/>
  <c r="K3862" i="1"/>
  <c r="K3860" i="1"/>
  <c r="K3856" i="1"/>
  <c r="K3861" i="1"/>
  <c r="K3869" i="1"/>
  <c r="K3866" i="1"/>
  <c r="K3868" i="1"/>
  <c r="K3864" i="1"/>
  <c r="K3870" i="1"/>
  <c r="K3871" i="1"/>
  <c r="K3873" i="1"/>
  <c r="K3865" i="1"/>
  <c r="K3872" i="1"/>
  <c r="K3867" i="1"/>
  <c r="K3881" i="1"/>
  <c r="K3877" i="1"/>
  <c r="K3884" i="1"/>
  <c r="K3883" i="1"/>
  <c r="K3880" i="1"/>
  <c r="K3875" i="1"/>
  <c r="K3878" i="1"/>
  <c r="K3876" i="1"/>
  <c r="K3874" i="1"/>
  <c r="K3882" i="1"/>
  <c r="K3879" i="1"/>
  <c r="K3888" i="1"/>
  <c r="K3885" i="1"/>
  <c r="K3898" i="1"/>
  <c r="K3890" i="1"/>
  <c r="K3900" i="1"/>
  <c r="K3894" i="1"/>
  <c r="K3897" i="1"/>
  <c r="K3896" i="1"/>
  <c r="K3893" i="1"/>
  <c r="K3895" i="1"/>
  <c r="K3891" i="1"/>
  <c r="K3886" i="1"/>
  <c r="K3892" i="1"/>
  <c r="K3899" i="1"/>
  <c r="K3887" i="1"/>
  <c r="K3889" i="1"/>
  <c r="K3904" i="1"/>
  <c r="K3902" i="1"/>
  <c r="K3908" i="1"/>
  <c r="K3905" i="1"/>
  <c r="K3906" i="1"/>
  <c r="K3913" i="1"/>
  <c r="K3903" i="1"/>
  <c r="K3901" i="1"/>
  <c r="K3909" i="1"/>
  <c r="K3911" i="1"/>
  <c r="K3912" i="1"/>
  <c r="K3910" i="1"/>
  <c r="K3907" i="1"/>
  <c r="K3919" i="1"/>
  <c r="K3914" i="1"/>
  <c r="K3917" i="1"/>
  <c r="K3922" i="1"/>
  <c r="K3915" i="1"/>
  <c r="K3923" i="1"/>
  <c r="K3921" i="1"/>
  <c r="K3918" i="1"/>
  <c r="K3916" i="1"/>
  <c r="K3920" i="1"/>
  <c r="K3932" i="1"/>
  <c r="K3926" i="1"/>
  <c r="K3927" i="1"/>
  <c r="K3929" i="1"/>
  <c r="K3928" i="1"/>
  <c r="K3930" i="1"/>
  <c r="K3931" i="1"/>
  <c r="K3924" i="1"/>
  <c r="K3933" i="1"/>
  <c r="K3925" i="1"/>
  <c r="K3934" i="1"/>
  <c r="K3935" i="1"/>
  <c r="K3944" i="1"/>
  <c r="K3943" i="1"/>
  <c r="K3939" i="1"/>
  <c r="K3938" i="1"/>
  <c r="K3940" i="1"/>
  <c r="K3941" i="1"/>
  <c r="K3937" i="1"/>
  <c r="K3936" i="1"/>
  <c r="K3942" i="1"/>
  <c r="K3950" i="1"/>
  <c r="K3947" i="1"/>
  <c r="K3954" i="1"/>
  <c r="K3948" i="1"/>
  <c r="K3952" i="1"/>
  <c r="K3958" i="1"/>
  <c r="K3945" i="1"/>
  <c r="K3955" i="1"/>
  <c r="K3953" i="1"/>
  <c r="K3956" i="1"/>
  <c r="K3949" i="1"/>
  <c r="K3946" i="1"/>
  <c r="K3957" i="1"/>
  <c r="K3951" i="1"/>
  <c r="K3959" i="1"/>
  <c r="K3974" i="1"/>
  <c r="K3967" i="1"/>
  <c r="K3961" i="1"/>
  <c r="K3968" i="1"/>
  <c r="K3960" i="1"/>
  <c r="K3971" i="1"/>
  <c r="K3970" i="1"/>
  <c r="K3972" i="1"/>
  <c r="K3962" i="1"/>
  <c r="K3966" i="1"/>
  <c r="K3969" i="1"/>
  <c r="K3965" i="1"/>
  <c r="K3964" i="1"/>
  <c r="K3963" i="1"/>
  <c r="K3973" i="1"/>
  <c r="K3982" i="1"/>
  <c r="K3991" i="1"/>
  <c r="K3987" i="1"/>
  <c r="K3981" i="1"/>
  <c r="K3983" i="1"/>
  <c r="K3977" i="1"/>
  <c r="K3988" i="1"/>
  <c r="K3976" i="1"/>
  <c r="K3984" i="1"/>
  <c r="K3989" i="1"/>
  <c r="K3978" i="1"/>
  <c r="K3985" i="1"/>
  <c r="K3975" i="1"/>
  <c r="K3979" i="1"/>
  <c r="K3980" i="1"/>
  <c r="K3990" i="1"/>
  <c r="K3992" i="1"/>
  <c r="K3986" i="1"/>
  <c r="K3998" i="1"/>
  <c r="K3995" i="1"/>
  <c r="K3999" i="1"/>
  <c r="K3996" i="1"/>
  <c r="K4005" i="1"/>
  <c r="K3993" i="1"/>
  <c r="K4003" i="1"/>
  <c r="K4000" i="1"/>
  <c r="K4002" i="1"/>
  <c r="K3994" i="1"/>
  <c r="K4004" i="1"/>
  <c r="K4001" i="1"/>
  <c r="K3997" i="1"/>
  <c r="K4018" i="1"/>
  <c r="K4021" i="1"/>
  <c r="K4012" i="1"/>
  <c r="K4017" i="1"/>
  <c r="K4011" i="1"/>
  <c r="K4016" i="1"/>
  <c r="K4006" i="1"/>
  <c r="K4022" i="1"/>
  <c r="K4020" i="1"/>
  <c r="K4009" i="1"/>
  <c r="K4010" i="1"/>
  <c r="K4015" i="1"/>
  <c r="K4008" i="1"/>
  <c r="K4014" i="1"/>
  <c r="K4013" i="1"/>
  <c r="K4019" i="1"/>
  <c r="K4007" i="1"/>
  <c r="K4040" i="1"/>
  <c r="K4023" i="1"/>
  <c r="K4024" i="1"/>
  <c r="K4039" i="1"/>
  <c r="K4037" i="1"/>
  <c r="K4031" i="1"/>
  <c r="K4029" i="1"/>
  <c r="K4036" i="1"/>
  <c r="K4038" i="1"/>
  <c r="K4035" i="1"/>
  <c r="K4027" i="1"/>
  <c r="K4032" i="1"/>
  <c r="K4025" i="1"/>
  <c r="K4030" i="1"/>
  <c r="K4033" i="1"/>
  <c r="K4041" i="1"/>
  <c r="K4026" i="1"/>
  <c r="K4028" i="1"/>
  <c r="K4034" i="1"/>
  <c r="K4047" i="1"/>
  <c r="K4049" i="1"/>
  <c r="K4043" i="1"/>
  <c r="K4051" i="1"/>
  <c r="K4048" i="1"/>
  <c r="K4050" i="1"/>
  <c r="K4042" i="1"/>
  <c r="K4046" i="1"/>
  <c r="K4044" i="1"/>
  <c r="K4045" i="1"/>
  <c r="K4056" i="1"/>
  <c r="K4060" i="1"/>
  <c r="K4061" i="1"/>
  <c r="K4064" i="1"/>
  <c r="K4052" i="1"/>
  <c r="K4057" i="1"/>
  <c r="K4063" i="1"/>
  <c r="K4054" i="1"/>
  <c r="K4053" i="1"/>
  <c r="K4055" i="1"/>
  <c r="K4058" i="1"/>
  <c r="K4062" i="1"/>
  <c r="K4059" i="1"/>
  <c r="K4073" i="1"/>
  <c r="K4068" i="1"/>
  <c r="K4069" i="1"/>
  <c r="K4070" i="1"/>
  <c r="K4074" i="1"/>
  <c r="K4067" i="1"/>
  <c r="K4071" i="1"/>
  <c r="K4072" i="1"/>
  <c r="K4065" i="1"/>
  <c r="K4066" i="1"/>
  <c r="K4075" i="1"/>
  <c r="K4076" i="1"/>
  <c r="K4082" i="1"/>
  <c r="K4077" i="1"/>
  <c r="K4078" i="1"/>
  <c r="K4081" i="1"/>
  <c r="K4083" i="1"/>
  <c r="K4084" i="1"/>
  <c r="K4079" i="1"/>
  <c r="K4080" i="1"/>
  <c r="K4100" i="1"/>
  <c r="K4097" i="1"/>
  <c r="K4088" i="1"/>
  <c r="K4092" i="1"/>
  <c r="K4086" i="1"/>
  <c r="K4098" i="1"/>
  <c r="K4091" i="1"/>
  <c r="K4093" i="1"/>
  <c r="K4089" i="1"/>
  <c r="K4087" i="1"/>
  <c r="K4094" i="1"/>
  <c r="K4085" i="1"/>
  <c r="K4099" i="1"/>
  <c r="K4090" i="1"/>
  <c r="K4096" i="1"/>
  <c r="K4095" i="1"/>
  <c r="K4107" i="1"/>
  <c r="K4102" i="1"/>
  <c r="K4101" i="1"/>
  <c r="K4110" i="1"/>
  <c r="K4116" i="1"/>
  <c r="K4113" i="1"/>
  <c r="K4111" i="1"/>
  <c r="K4115" i="1"/>
  <c r="K4104" i="1"/>
  <c r="K4109" i="1"/>
  <c r="K4105" i="1"/>
  <c r="K4108" i="1"/>
  <c r="K4114" i="1"/>
  <c r="K4103" i="1"/>
  <c r="K4106" i="1"/>
  <c r="K4112" i="1"/>
  <c r="K4122" i="1"/>
  <c r="K4128" i="1"/>
  <c r="K4117" i="1"/>
  <c r="K4126" i="1"/>
  <c r="K4127" i="1"/>
  <c r="K4123" i="1"/>
  <c r="K4120" i="1"/>
  <c r="K4124" i="1"/>
  <c r="K4118" i="1"/>
  <c r="K4119" i="1"/>
  <c r="K4121" i="1"/>
  <c r="K4125" i="1"/>
  <c r="K4138" i="1"/>
  <c r="K4139" i="1"/>
  <c r="K4140" i="1"/>
  <c r="K4129" i="1"/>
  <c r="K4134" i="1"/>
  <c r="K4130" i="1"/>
  <c r="K4141" i="1"/>
  <c r="K4136" i="1"/>
  <c r="K4135" i="1"/>
  <c r="K4131" i="1"/>
  <c r="K4137" i="1"/>
  <c r="K4133" i="1"/>
  <c r="K4132" i="1"/>
  <c r="K4143" i="1"/>
  <c r="K4155" i="1"/>
  <c r="K4149" i="1"/>
  <c r="K4153" i="1"/>
  <c r="K4148" i="1"/>
  <c r="K4144" i="1"/>
  <c r="K4152" i="1"/>
  <c r="K4151" i="1"/>
  <c r="K4150" i="1"/>
  <c r="K4142" i="1"/>
  <c r="K4145" i="1"/>
  <c r="K4146" i="1"/>
  <c r="K4147" i="1"/>
  <c r="K4154" i="1"/>
  <c r="K4160" i="1"/>
  <c r="K4170" i="1"/>
  <c r="K4175" i="1"/>
  <c r="K4161" i="1"/>
  <c r="K4178" i="1"/>
  <c r="K4163" i="1"/>
  <c r="K4165" i="1"/>
  <c r="K4174" i="1"/>
  <c r="K4164" i="1"/>
  <c r="K4156" i="1"/>
  <c r="K4168" i="1"/>
  <c r="K4159" i="1"/>
  <c r="K4162" i="1"/>
  <c r="K4171" i="1"/>
  <c r="K4172" i="1"/>
  <c r="K4157" i="1"/>
  <c r="K4173" i="1"/>
  <c r="K4169" i="1"/>
  <c r="K4176" i="1"/>
  <c r="K4158" i="1"/>
  <c r="K4177" i="1"/>
  <c r="K4166" i="1"/>
  <c r="K4167" i="1"/>
  <c r="K4190" i="1"/>
  <c r="K4182" i="1"/>
  <c r="K4185" i="1"/>
  <c r="K4179" i="1"/>
  <c r="K4187" i="1"/>
  <c r="K4183" i="1"/>
  <c r="K4186" i="1"/>
  <c r="K4180" i="1"/>
  <c r="K4189" i="1"/>
  <c r="K4181" i="1"/>
  <c r="K4188" i="1"/>
  <c r="K4184" i="1"/>
  <c r="K4194" i="1"/>
  <c r="K4195" i="1"/>
  <c r="K4191" i="1"/>
  <c r="K4196" i="1"/>
  <c r="K4192" i="1"/>
  <c r="K4193" i="1"/>
  <c r="K4207" i="1"/>
  <c r="K4198" i="1"/>
  <c r="K4208" i="1"/>
  <c r="K4211" i="1"/>
  <c r="K4213" i="1"/>
  <c r="K4212" i="1"/>
  <c r="K4203" i="1"/>
  <c r="K4216" i="1"/>
  <c r="K4197" i="1"/>
  <c r="K4214" i="1"/>
  <c r="K4206" i="1"/>
  <c r="K4199" i="1"/>
  <c r="K4204" i="1"/>
  <c r="K4205" i="1"/>
  <c r="K4209" i="1"/>
  <c r="K4202" i="1"/>
  <c r="K4215" i="1"/>
  <c r="K4210" i="1"/>
  <c r="K4200" i="1"/>
  <c r="K4201" i="1"/>
  <c r="K4217" i="1"/>
  <c r="K4228" i="1"/>
  <c r="K4227" i="1"/>
  <c r="K4233" i="1"/>
  <c r="K4236" i="1"/>
  <c r="K4229" i="1"/>
  <c r="K4230" i="1"/>
  <c r="K4225" i="1"/>
  <c r="K4219" i="1"/>
  <c r="K4234" i="1"/>
  <c r="K4220" i="1"/>
  <c r="K4232" i="1"/>
  <c r="K4235" i="1"/>
  <c r="K4237" i="1"/>
  <c r="K4226" i="1"/>
  <c r="K4221" i="1"/>
  <c r="K4218" i="1"/>
  <c r="K4223" i="1"/>
  <c r="K4222" i="1"/>
  <c r="K4231" i="1"/>
  <c r="K4224" i="1"/>
  <c r="K4248" i="1"/>
  <c r="K4238" i="1"/>
  <c r="K4252" i="1"/>
  <c r="K4249" i="1"/>
  <c r="K4256" i="1"/>
  <c r="K4240" i="1"/>
  <c r="K4253" i="1"/>
  <c r="K4245" i="1"/>
  <c r="K4247" i="1"/>
  <c r="K4250" i="1"/>
  <c r="K4241" i="1"/>
  <c r="K4259" i="1"/>
  <c r="K4239" i="1"/>
  <c r="K4242" i="1"/>
  <c r="K4243" i="1"/>
  <c r="K4244" i="1"/>
  <c r="K4257" i="1"/>
  <c r="K4260" i="1"/>
  <c r="K4246" i="1"/>
  <c r="K4261" i="1"/>
  <c r="K4258" i="1"/>
  <c r="K4255" i="1"/>
  <c r="K4254" i="1"/>
  <c r="K4251" i="1"/>
  <c r="K4268" i="1"/>
  <c r="K4266" i="1"/>
  <c r="K4263" i="1"/>
  <c r="K4262" i="1"/>
  <c r="K4271" i="1"/>
  <c r="K4264" i="1"/>
  <c r="K4265" i="1"/>
  <c r="K4270" i="1"/>
  <c r="K4269" i="1"/>
  <c r="K4267" i="1"/>
  <c r="K4272" i="1"/>
  <c r="K4293" i="1"/>
  <c r="K4281" i="1"/>
  <c r="K4282" i="1"/>
  <c r="K4277" i="1"/>
  <c r="K4298" i="1"/>
  <c r="K4273" i="1"/>
  <c r="K4290" i="1"/>
  <c r="K4274" i="1"/>
  <c r="K4291" i="1"/>
  <c r="K4289" i="1"/>
  <c r="K4295" i="1"/>
  <c r="K4292" i="1"/>
  <c r="K4285" i="1"/>
  <c r="K4279" i="1"/>
  <c r="K4294" i="1"/>
  <c r="K4297" i="1"/>
  <c r="K4280" i="1"/>
  <c r="K4283" i="1"/>
  <c r="K4287" i="1"/>
  <c r="K4276" i="1"/>
  <c r="K4278" i="1"/>
  <c r="K4296" i="1"/>
  <c r="K4288" i="1"/>
  <c r="K4286" i="1"/>
  <c r="K4284" i="1"/>
  <c r="K4299" i="1"/>
  <c r="K4309" i="1"/>
  <c r="K4302" i="1"/>
  <c r="K4305" i="1"/>
  <c r="K4303" i="1"/>
  <c r="K4304" i="1"/>
  <c r="K4301" i="1"/>
  <c r="K4306" i="1"/>
  <c r="K4308" i="1"/>
  <c r="K4300" i="1"/>
  <c r="K4307" i="1"/>
  <c r="K4314" i="1"/>
  <c r="K4318" i="1"/>
  <c r="K4320" i="1"/>
  <c r="K4311" i="1"/>
  <c r="K4313" i="1"/>
  <c r="K4316" i="1"/>
  <c r="K4315" i="1"/>
  <c r="K4312" i="1"/>
  <c r="K4317" i="1"/>
  <c r="K4319" i="1"/>
  <c r="K4310" i="1"/>
  <c r="K4321" i="1"/>
  <c r="K4323" i="1"/>
  <c r="K4326" i="1"/>
  <c r="K4336" i="1"/>
  <c r="K4334" i="1"/>
  <c r="K4340" i="1"/>
  <c r="K4337" i="1"/>
  <c r="K4329" i="1"/>
  <c r="K4322" i="1"/>
  <c r="K4327" i="1"/>
  <c r="K4330" i="1"/>
  <c r="K4333" i="1"/>
  <c r="K4332" i="1"/>
  <c r="K4331" i="1"/>
  <c r="K4324" i="1"/>
  <c r="K4328" i="1"/>
  <c r="K4339" i="1"/>
  <c r="K4325" i="1"/>
  <c r="K4335" i="1"/>
  <c r="K4338" i="1"/>
  <c r="K4348" i="1"/>
  <c r="K4349" i="1"/>
  <c r="K4345" i="1"/>
  <c r="K4351" i="1"/>
  <c r="K4347" i="1"/>
  <c r="K4344" i="1"/>
  <c r="K4343" i="1"/>
  <c r="K4342" i="1"/>
  <c r="K4341" i="1"/>
  <c r="K4350" i="1"/>
  <c r="K4346" i="1"/>
  <c r="K4357" i="1"/>
  <c r="K4353" i="1"/>
  <c r="K4355" i="1"/>
  <c r="K4359" i="1"/>
  <c r="K4364" i="1"/>
  <c r="K4361" i="1"/>
  <c r="K4360" i="1"/>
  <c r="K4352" i="1"/>
  <c r="K4362" i="1"/>
  <c r="K4363" i="1"/>
  <c r="K4354" i="1"/>
  <c r="K4356" i="1"/>
  <c r="K4358" i="1"/>
  <c r="K4368" i="1"/>
  <c r="K4375" i="1"/>
  <c r="K4370" i="1"/>
  <c r="K4371" i="1"/>
  <c r="K4373" i="1"/>
  <c r="K4365" i="1"/>
  <c r="K4366" i="1"/>
  <c r="K4369" i="1"/>
  <c r="K4367" i="1"/>
  <c r="K4380" i="1"/>
  <c r="K4379" i="1"/>
  <c r="K4384" i="1"/>
  <c r="K4385" i="1"/>
  <c r="K4376" i="1"/>
  <c r="K4377" i="1"/>
  <c r="K4382" i="1"/>
  <c r="K4372" i="1"/>
  <c r="K4381" i="1"/>
  <c r="K4383" i="1"/>
  <c r="K4378" i="1"/>
  <c r="K4387" i="1"/>
  <c r="K4397" i="1"/>
  <c r="K4388" i="1"/>
  <c r="K4386" i="1"/>
  <c r="K4389" i="1"/>
  <c r="K4396" i="1"/>
  <c r="K4391" i="1"/>
  <c r="K4392" i="1"/>
  <c r="K4395" i="1"/>
  <c r="K4390" i="1"/>
  <c r="K4393" i="1"/>
  <c r="K4394" i="1"/>
  <c r="K4398" i="1"/>
  <c r="K4411" i="1"/>
  <c r="K4405" i="1"/>
  <c r="K4403" i="1"/>
  <c r="K4409" i="1"/>
  <c r="K4399" i="1"/>
  <c r="K4401" i="1"/>
  <c r="K4406" i="1"/>
  <c r="K4404" i="1"/>
  <c r="K4407" i="1"/>
  <c r="K4408" i="1"/>
  <c r="K4400" i="1"/>
  <c r="K4410" i="1"/>
  <c r="K4402" i="1"/>
  <c r="K4421" i="1"/>
  <c r="K4418" i="1"/>
  <c r="K4415" i="1"/>
  <c r="K4424" i="1"/>
  <c r="K4412" i="1"/>
  <c r="K4419" i="1"/>
  <c r="K4413" i="1"/>
  <c r="K4414" i="1"/>
  <c r="K4423" i="1"/>
  <c r="K4417" i="1"/>
  <c r="K4425" i="1"/>
  <c r="K4422" i="1"/>
  <c r="K4420" i="1"/>
  <c r="K4426" i="1"/>
  <c r="K4416" i="1"/>
  <c r="K4439" i="1"/>
  <c r="K4436" i="1"/>
  <c r="K4434" i="1"/>
  <c r="K4440" i="1"/>
  <c r="K4428" i="1"/>
  <c r="K4431" i="1"/>
  <c r="K4432" i="1"/>
  <c r="K4437" i="1"/>
  <c r="K4435" i="1"/>
  <c r="K4441" i="1"/>
  <c r="K4433" i="1"/>
  <c r="K4430" i="1"/>
  <c r="K4429" i="1"/>
  <c r="K4438" i="1"/>
  <c r="K4427" i="1"/>
  <c r="K4452" i="1"/>
  <c r="K4448" i="1"/>
  <c r="K4449" i="1"/>
  <c r="K4445" i="1"/>
  <c r="K4446" i="1"/>
  <c r="K4443" i="1"/>
  <c r="K4454" i="1"/>
  <c r="K4450" i="1"/>
  <c r="K4447" i="1"/>
  <c r="K4451" i="1"/>
  <c r="K4442" i="1"/>
  <c r="K4444" i="1"/>
  <c r="K4453" i="1"/>
  <c r="K4457" i="1"/>
  <c r="K4456" i="1"/>
  <c r="K4465" i="1"/>
  <c r="K4461" i="1"/>
  <c r="K4458" i="1"/>
  <c r="K4459" i="1"/>
  <c r="K4464" i="1"/>
  <c r="K4455" i="1"/>
  <c r="K4462" i="1"/>
  <c r="K4463" i="1"/>
  <c r="K4460" i="1"/>
  <c r="K4471" i="1"/>
  <c r="K4467" i="1"/>
  <c r="K4476" i="1"/>
  <c r="K4474" i="1"/>
  <c r="K4478" i="1"/>
  <c r="K4477" i="1"/>
  <c r="K4466" i="1"/>
  <c r="K4473" i="1"/>
  <c r="K4469" i="1"/>
  <c r="K4472" i="1"/>
  <c r="K4475" i="1"/>
  <c r="K4468" i="1"/>
  <c r="K4470" i="1"/>
  <c r="K4485" i="1"/>
  <c r="K4481" i="1"/>
  <c r="K4483" i="1"/>
  <c r="K4486" i="1"/>
  <c r="K4482" i="1"/>
  <c r="K4479" i="1"/>
  <c r="K4489" i="1"/>
  <c r="K4487" i="1"/>
  <c r="K4484" i="1"/>
  <c r="K4488" i="1"/>
  <c r="K4480" i="1"/>
  <c r="K4492" i="1"/>
  <c r="K4497" i="1"/>
  <c r="K4505" i="1"/>
  <c r="K4502" i="1"/>
  <c r="K4493" i="1"/>
  <c r="K4506" i="1"/>
  <c r="K4500" i="1"/>
  <c r="K4503" i="1"/>
  <c r="K4496" i="1"/>
  <c r="K4491" i="1"/>
  <c r="K4498" i="1"/>
  <c r="K4499" i="1"/>
  <c r="K4490" i="1"/>
  <c r="K4501" i="1"/>
  <c r="K4495" i="1"/>
  <c r="K4494" i="1"/>
  <c r="K4504" i="1"/>
  <c r="K4515" i="1"/>
  <c r="K4517" i="1"/>
  <c r="K4513" i="1"/>
  <c r="K4507" i="1"/>
  <c r="K4520" i="1"/>
  <c r="K4511" i="1"/>
  <c r="K4521" i="1"/>
  <c r="K4508" i="1"/>
  <c r="K4519" i="1"/>
  <c r="K4510" i="1"/>
  <c r="K4512" i="1"/>
  <c r="K4514" i="1"/>
  <c r="K4516" i="1"/>
  <c r="K4518" i="1"/>
  <c r="K4509" i="1"/>
  <c r="K4522" i="1"/>
  <c r="K4533" i="1"/>
  <c r="K4526" i="1"/>
  <c r="K4530" i="1"/>
  <c r="K4525" i="1"/>
  <c r="K4527" i="1"/>
  <c r="K4528" i="1"/>
  <c r="K4529" i="1"/>
  <c r="K4531" i="1"/>
  <c r="K4534" i="1"/>
  <c r="K4523" i="1"/>
  <c r="K4532" i="1"/>
  <c r="K4535" i="1"/>
  <c r="K4524" i="1"/>
  <c r="K4545" i="1"/>
  <c r="K4539" i="1"/>
  <c r="K4544" i="1"/>
  <c r="K4540" i="1"/>
  <c r="K4536" i="1"/>
  <c r="K4537" i="1"/>
  <c r="K4546" i="1"/>
  <c r="K4538" i="1"/>
  <c r="K4541" i="1"/>
  <c r="K4547" i="1"/>
  <c r="K4543" i="1"/>
  <c r="K4548" i="1"/>
  <c r="K4542" i="1"/>
  <c r="K4556" i="1"/>
  <c r="K4549" i="1"/>
  <c r="K4554" i="1"/>
  <c r="K4560" i="1"/>
  <c r="K4563" i="1"/>
  <c r="K4562" i="1"/>
  <c r="K4558" i="1"/>
  <c r="K4553" i="1"/>
  <c r="K4552" i="1"/>
  <c r="K4559" i="1"/>
  <c r="K4551" i="1"/>
  <c r="K4555" i="1"/>
  <c r="K4561" i="1"/>
  <c r="K4550" i="1"/>
  <c r="K4580" i="1"/>
  <c r="K4569" i="1"/>
  <c r="K4579" i="1"/>
  <c r="K4577" i="1"/>
  <c r="K4584" i="1"/>
  <c r="K4564" i="1"/>
  <c r="K4585" i="1"/>
  <c r="K4566" i="1"/>
  <c r="K4581" i="1"/>
  <c r="K4573" i="1"/>
  <c r="K4568" i="1"/>
  <c r="K4582" i="1"/>
  <c r="K4574" i="1"/>
  <c r="K4583" i="1"/>
  <c r="K4570" i="1"/>
  <c r="K4575" i="1"/>
  <c r="K4567" i="1"/>
  <c r="K4576" i="1"/>
  <c r="K4572" i="1"/>
  <c r="K4578" i="1"/>
  <c r="K4571" i="1"/>
  <c r="K4565" i="1"/>
  <c r="K4587" i="1"/>
  <c r="K4594" i="1"/>
  <c r="K4591" i="1"/>
  <c r="K4595" i="1"/>
  <c r="K4596" i="1"/>
  <c r="K4598" i="1"/>
  <c r="K4590" i="1"/>
  <c r="K4601" i="1"/>
  <c r="K4600" i="1"/>
  <c r="K4593" i="1"/>
  <c r="K4586" i="1"/>
  <c r="K4599" i="1"/>
  <c r="K4588" i="1"/>
  <c r="K4589" i="1"/>
  <c r="K4592" i="1"/>
  <c r="K4597" i="1"/>
  <c r="K4614" i="1"/>
  <c r="K4610" i="1"/>
  <c r="K4604" i="1"/>
  <c r="K4605" i="1"/>
  <c r="K4602" i="1"/>
  <c r="K4617" i="1"/>
  <c r="K4612" i="1"/>
  <c r="K4618" i="1"/>
  <c r="K4606" i="1"/>
  <c r="K4609" i="1"/>
  <c r="K4607" i="1"/>
  <c r="K4616" i="1"/>
  <c r="K4615" i="1"/>
  <c r="K4611" i="1"/>
  <c r="K4608" i="1"/>
  <c r="K4603" i="1"/>
  <c r="K4613" i="1"/>
  <c r="K4622" i="1"/>
  <c r="K4626" i="1"/>
  <c r="K4625" i="1"/>
  <c r="K4624" i="1"/>
  <c r="K4633" i="1"/>
  <c r="K4629" i="1"/>
  <c r="K4630" i="1"/>
  <c r="K4623" i="1"/>
  <c r="K4635" i="1"/>
  <c r="K4636" i="1"/>
  <c r="K4634" i="1"/>
  <c r="K4627" i="1"/>
  <c r="K4632" i="1"/>
  <c r="K4628" i="1"/>
  <c r="K4631" i="1"/>
  <c r="K4620" i="1"/>
  <c r="K4621" i="1"/>
  <c r="K4619" i="1"/>
  <c r="K4645" i="1"/>
  <c r="K4643" i="1"/>
  <c r="K4638" i="1"/>
  <c r="K4640" i="1"/>
  <c r="K4648" i="1"/>
  <c r="K4637" i="1"/>
  <c r="K4646" i="1"/>
  <c r="K4639" i="1"/>
  <c r="K4647" i="1"/>
  <c r="K4641" i="1"/>
  <c r="K4644" i="1"/>
  <c r="K4642" i="1"/>
  <c r="K4649" i="1"/>
  <c r="K4653" i="1"/>
  <c r="K4655" i="1"/>
  <c r="K4650" i="1"/>
  <c r="K4654" i="1"/>
  <c r="K4657" i="1"/>
  <c r="K4656" i="1"/>
  <c r="K4658" i="1"/>
  <c r="K4651" i="1"/>
  <c r="K4652" i="1"/>
  <c r="K4659" i="1"/>
  <c r="K4675" i="1"/>
  <c r="K4661" i="1"/>
  <c r="K4673" i="1"/>
  <c r="K4666" i="1"/>
  <c r="K4670" i="1"/>
  <c r="K4660" i="1"/>
  <c r="K4669" i="1"/>
  <c r="K4663" i="1"/>
  <c r="K4676" i="1"/>
  <c r="K4674" i="1"/>
  <c r="K4667" i="1"/>
  <c r="K4671" i="1"/>
  <c r="K4664" i="1"/>
  <c r="K4668" i="1"/>
  <c r="K4662" i="1"/>
  <c r="K4672" i="1"/>
  <c r="K4665" i="1"/>
  <c r="K4689" i="1"/>
  <c r="K4687" i="1"/>
  <c r="K4686" i="1"/>
  <c r="K4680" i="1"/>
  <c r="K4690" i="1"/>
  <c r="K4685" i="1"/>
  <c r="K4677" i="1"/>
  <c r="K4684" i="1"/>
  <c r="K4678" i="1"/>
  <c r="K4688" i="1"/>
  <c r="K4683" i="1"/>
  <c r="K4681" i="1"/>
  <c r="K4679" i="1"/>
  <c r="K4682" i="1"/>
  <c r="K4694" i="1"/>
  <c r="K4698" i="1"/>
  <c r="K4691" i="1"/>
  <c r="K4700" i="1"/>
  <c r="K4704" i="1"/>
  <c r="K4702" i="1"/>
  <c r="K4701" i="1"/>
  <c r="K4699" i="1"/>
  <c r="K4703" i="1"/>
  <c r="K4695" i="1"/>
  <c r="K4692" i="1"/>
  <c r="K4696" i="1"/>
  <c r="K4697" i="1"/>
  <c r="K4705" i="1"/>
  <c r="K4693" i="1"/>
  <c r="K4709" i="1"/>
  <c r="K4714" i="1"/>
  <c r="K4712" i="1"/>
  <c r="K4708" i="1"/>
  <c r="K4710" i="1"/>
  <c r="K4717" i="1"/>
  <c r="K4706" i="1"/>
  <c r="K4713" i="1"/>
  <c r="K4711" i="1"/>
  <c r="K4715" i="1"/>
  <c r="K4707" i="1"/>
  <c r="K4716" i="1"/>
  <c r="K4725" i="1"/>
  <c r="K4720" i="1"/>
  <c r="K4721" i="1"/>
  <c r="K4724" i="1"/>
  <c r="K4727" i="1"/>
  <c r="K4718" i="1"/>
  <c r="K4722" i="1"/>
  <c r="K4719" i="1"/>
  <c r="K4728" i="1"/>
  <c r="K4726" i="1"/>
  <c r="K4729" i="1"/>
  <c r="K4723" i="1"/>
  <c r="K4739" i="1"/>
  <c r="K4735" i="1"/>
  <c r="K4734" i="1"/>
  <c r="K4741" i="1"/>
  <c r="K4742" i="1"/>
  <c r="K4730" i="1"/>
  <c r="K4737" i="1"/>
  <c r="K4740" i="1"/>
  <c r="K4732" i="1"/>
  <c r="K4733" i="1"/>
  <c r="K4731" i="1"/>
  <c r="K4743" i="1"/>
  <c r="K4738" i="1"/>
  <c r="K4736" i="1"/>
  <c r="K4745" i="1"/>
  <c r="K4752" i="1"/>
  <c r="K4744" i="1"/>
  <c r="K4746" i="1"/>
  <c r="K4756" i="1"/>
  <c r="K4747" i="1"/>
  <c r="K4753" i="1"/>
  <c r="K4757" i="1"/>
  <c r="K4754" i="1"/>
  <c r="K4750" i="1"/>
  <c r="K4755" i="1"/>
  <c r="K4749" i="1"/>
  <c r="K4751" i="1"/>
  <c r="K4748" i="1"/>
  <c r="K4762" i="1"/>
  <c r="K4768" i="1"/>
  <c r="K4769" i="1"/>
  <c r="K4766" i="1"/>
  <c r="K4763" i="1"/>
  <c r="K4758" i="1"/>
  <c r="K4767" i="1"/>
  <c r="K4759" i="1"/>
  <c r="K4765" i="1"/>
  <c r="K4760" i="1"/>
  <c r="K4764" i="1"/>
  <c r="K4770" i="1"/>
  <c r="K4775" i="1"/>
  <c r="K4772" i="1"/>
  <c r="K4771" i="1"/>
  <c r="K4779" i="1"/>
  <c r="K4784" i="1"/>
  <c r="K4780" i="1"/>
  <c r="K4776" i="1"/>
  <c r="K4773" i="1"/>
  <c r="K4774" i="1"/>
  <c r="K4777" i="1"/>
  <c r="K4778" i="1"/>
  <c r="K4782" i="1"/>
  <c r="K4783" i="1"/>
  <c r="K4781" i="1"/>
  <c r="K4785" i="1"/>
  <c r="K4794" i="1"/>
  <c r="K4793" i="1"/>
  <c r="K4790" i="1"/>
  <c r="K4792" i="1"/>
  <c r="K4786" i="1"/>
  <c r="K4789" i="1"/>
  <c r="K4791" i="1"/>
  <c r="K4787" i="1"/>
  <c r="K4788" i="1"/>
  <c r="K4797" i="1"/>
  <c r="K4806" i="1"/>
  <c r="K4800" i="1"/>
  <c r="K4799" i="1"/>
  <c r="K4805" i="1"/>
  <c r="K4804" i="1"/>
  <c r="K4798" i="1"/>
  <c r="K4802" i="1"/>
  <c r="K4801" i="1"/>
  <c r="K4803" i="1"/>
  <c r="K4795" i="1"/>
  <c r="K4796" i="1"/>
  <c r="K4807" i="1"/>
  <c r="K4812" i="1"/>
  <c r="K4810" i="1"/>
  <c r="K4816" i="1"/>
  <c r="K4811" i="1"/>
  <c r="K4814" i="1"/>
  <c r="K4809" i="1"/>
  <c r="K4813" i="1"/>
  <c r="K4815" i="1"/>
  <c r="K4808" i="1"/>
  <c r="K4818" i="1"/>
  <c r="K4827" i="1"/>
  <c r="K4830" i="1"/>
  <c r="K4829" i="1"/>
  <c r="K4823" i="1"/>
  <c r="K4831" i="1"/>
  <c r="K4819" i="1"/>
  <c r="K4828" i="1"/>
  <c r="K4826" i="1"/>
  <c r="K4821" i="1"/>
  <c r="K4820" i="1"/>
  <c r="K4817" i="1"/>
  <c r="K4822" i="1"/>
  <c r="K4824" i="1"/>
  <c r="K4825" i="1"/>
  <c r="K4834" i="1"/>
  <c r="K4840" i="1"/>
  <c r="K4837" i="1"/>
  <c r="K4835" i="1"/>
  <c r="K4842" i="1"/>
  <c r="K4847" i="1"/>
  <c r="K4843" i="1"/>
  <c r="K4838" i="1"/>
  <c r="K4848" i="1"/>
  <c r="K4839" i="1"/>
  <c r="K4832" i="1"/>
  <c r="K4841" i="1"/>
  <c r="K4846" i="1"/>
  <c r="K4845" i="1"/>
  <c r="K4836" i="1"/>
  <c r="K4844" i="1"/>
  <c r="K4833" i="1"/>
  <c r="K4853" i="1"/>
  <c r="K4855" i="1"/>
  <c r="K4850" i="1"/>
  <c r="K4859" i="1"/>
  <c r="K4854" i="1"/>
  <c r="K4851" i="1"/>
  <c r="K4852" i="1"/>
  <c r="K4856" i="1"/>
  <c r="K4857" i="1"/>
  <c r="K4849" i="1"/>
  <c r="K4858" i="1"/>
  <c r="K4872" i="1"/>
  <c r="K4867" i="1"/>
  <c r="K4861" i="1"/>
  <c r="K4862" i="1"/>
  <c r="K4863" i="1"/>
  <c r="K4871" i="1"/>
  <c r="K4864" i="1"/>
  <c r="K4868" i="1"/>
  <c r="K4870" i="1"/>
  <c r="K4860" i="1"/>
  <c r="K4865" i="1"/>
  <c r="K4869" i="1"/>
  <c r="K4866" i="1"/>
  <c r="K4875" i="1"/>
  <c r="K4881" i="1"/>
  <c r="K4886" i="1"/>
  <c r="K4889" i="1"/>
  <c r="K4887" i="1"/>
  <c r="K4888" i="1"/>
  <c r="K4879" i="1"/>
  <c r="K4884" i="1"/>
  <c r="K4880" i="1"/>
  <c r="K4876" i="1"/>
  <c r="K4873" i="1"/>
  <c r="K4885" i="1"/>
  <c r="K4882" i="1"/>
  <c r="K4890" i="1"/>
  <c r="K4877" i="1"/>
  <c r="K4874" i="1"/>
  <c r="K4883" i="1"/>
  <c r="K4895" i="1"/>
  <c r="K4893" i="1"/>
  <c r="K4899" i="1"/>
  <c r="K4891" i="1"/>
  <c r="K4894" i="1"/>
  <c r="K4896" i="1"/>
  <c r="K4892" i="1"/>
  <c r="K4898" i="1"/>
  <c r="K4897" i="1"/>
  <c r="K4900" i="1"/>
  <c r="K4914" i="1"/>
  <c r="K4909" i="1"/>
  <c r="K4904" i="1"/>
  <c r="K4917" i="1"/>
  <c r="K4915" i="1"/>
  <c r="K4902" i="1"/>
  <c r="K4912" i="1"/>
  <c r="K4908" i="1"/>
  <c r="K4911" i="1"/>
  <c r="K4918" i="1"/>
  <c r="K4905" i="1"/>
  <c r="K4906" i="1"/>
  <c r="K4913" i="1"/>
  <c r="K4910" i="1"/>
  <c r="K4903" i="1"/>
  <c r="K4901" i="1"/>
  <c r="K4916" i="1"/>
  <c r="K4907" i="1"/>
  <c r="K4927" i="1"/>
  <c r="K4926" i="1"/>
  <c r="K4922" i="1"/>
  <c r="K4924" i="1"/>
  <c r="K4928" i="1"/>
  <c r="K4929" i="1"/>
  <c r="K4920" i="1"/>
  <c r="K4919" i="1"/>
  <c r="K4925" i="1"/>
  <c r="K4921" i="1"/>
  <c r="K4923" i="1"/>
  <c r="K4934" i="1"/>
  <c r="K4932" i="1"/>
  <c r="K4936" i="1"/>
  <c r="K4947" i="1"/>
  <c r="K4937" i="1"/>
  <c r="K4946" i="1"/>
  <c r="K4938" i="1"/>
  <c r="K4930" i="1"/>
  <c r="K4935" i="1"/>
  <c r="K4944" i="1"/>
  <c r="K4941" i="1"/>
  <c r="K4931" i="1"/>
  <c r="K4933" i="1"/>
  <c r="K4945" i="1"/>
  <c r="K4940" i="1"/>
  <c r="K4942" i="1"/>
  <c r="K4943" i="1"/>
  <c r="K4939" i="1"/>
  <c r="K4953" i="1"/>
  <c r="K4958" i="1"/>
  <c r="K4952" i="1"/>
  <c r="K4949" i="1"/>
  <c r="K4951" i="1"/>
  <c r="K4950" i="1"/>
  <c r="K4957" i="1"/>
  <c r="K4955" i="1"/>
  <c r="K4954" i="1"/>
  <c r="K4948" i="1"/>
  <c r="K4956" i="1"/>
  <c r="K4964" i="1"/>
  <c r="K4960" i="1"/>
  <c r="K4966" i="1"/>
  <c r="K4961" i="1"/>
  <c r="K4965" i="1"/>
  <c r="K4962" i="1"/>
  <c r="K4959" i="1"/>
  <c r="K4963" i="1"/>
  <c r="K4978" i="1"/>
  <c r="K4974" i="1"/>
  <c r="K4972" i="1"/>
  <c r="K4973" i="1"/>
  <c r="K4979" i="1"/>
  <c r="K4970" i="1"/>
  <c r="K4976" i="1"/>
  <c r="K4968" i="1"/>
  <c r="K4975" i="1"/>
  <c r="K4971" i="1"/>
  <c r="K4977" i="1"/>
  <c r="K4967" i="1"/>
  <c r="K4969" i="1"/>
  <c r="K4987" i="1"/>
  <c r="K4980" i="1"/>
  <c r="K4981" i="1"/>
  <c r="K4983" i="1"/>
  <c r="K4984" i="1"/>
  <c r="K4982" i="1"/>
  <c r="K4986" i="1"/>
  <c r="K4988" i="1"/>
  <c r="K4985" i="1"/>
  <c r="K4999" i="1"/>
  <c r="K4997" i="1"/>
  <c r="K4993" i="1"/>
  <c r="K5000" i="1"/>
  <c r="K4994" i="1"/>
  <c r="K4992" i="1"/>
  <c r="K4990" i="1"/>
  <c r="K4991" i="1"/>
  <c r="K4995" i="1"/>
  <c r="K4998" i="1"/>
  <c r="K4989" i="1"/>
  <c r="K4996" i="1"/>
  <c r="K5" i="1"/>
  <c r="K3744" i="1"/>
  <c r="K2180" i="1"/>
  <c r="K2597" i="1"/>
  <c r="K115" i="1"/>
  <c r="K4275" i="1"/>
  <c r="K4761" i="1"/>
  <c r="K3129" i="1"/>
  <c r="K4374" i="1"/>
  <c r="K2752" i="1"/>
  <c r="K2753" i="1"/>
  <c r="K720" i="1"/>
  <c r="K2765" i="1"/>
  <c r="K747" i="1"/>
  <c r="K3607" i="1"/>
  <c r="K4878" i="1"/>
  <c r="K772" i="1"/>
  <c r="K2001" i="1"/>
  <c r="K314" i="1"/>
  <c r="K2010" i="1"/>
  <c r="K2034" i="1"/>
  <c r="K2858" i="1"/>
  <c r="K2070" i="1"/>
  <c r="K4557" i="1"/>
  <c r="J22" i="4" l="1"/>
  <c r="Q17" i="4"/>
  <c r="B20" i="4"/>
  <c r="J19" i="4"/>
  <c r="B19" i="4"/>
  <c r="Q19" i="4"/>
  <c r="J20" i="4"/>
  <c r="J18" i="4"/>
  <c r="B17" i="4"/>
  <c r="Q18" i="4"/>
  <c r="B18" i="4"/>
  <c r="J17" i="4"/>
  <c r="J21" i="4"/>
  <c r="Q20" i="4"/>
  <c r="B21" i="4"/>
  <c r="B49" i="4"/>
  <c r="B41" i="4"/>
  <c r="B37" i="3"/>
  <c r="B39" i="3"/>
  <c r="B38" i="3"/>
  <c r="B48" i="4"/>
  <c r="B40" i="4"/>
  <c r="B36" i="3"/>
  <c r="B40" i="3"/>
  <c r="B47" i="4"/>
  <c r="B39" i="4"/>
  <c r="B35" i="3"/>
  <c r="B44" i="4"/>
  <c r="B46" i="4"/>
  <c r="B38" i="4"/>
  <c r="B34" i="3"/>
  <c r="B32" i="3"/>
  <c r="B43" i="4"/>
  <c r="B42" i="4"/>
  <c r="B45" i="4"/>
  <c r="B41" i="3"/>
  <c r="B33" i="3"/>
  <c r="Q19" i="1"/>
  <c r="Q16" i="1"/>
  <c r="B14" i="3"/>
  <c r="B11" i="3"/>
  <c r="B59" i="3"/>
  <c r="B16" i="3"/>
  <c r="B53" i="3"/>
  <c r="B54" i="3"/>
  <c r="B58" i="3"/>
  <c r="B48" i="3"/>
  <c r="B50" i="3"/>
  <c r="B45" i="3"/>
  <c r="B10" i="3"/>
  <c r="B25" i="3"/>
  <c r="B17" i="3"/>
  <c r="B56" i="3"/>
  <c r="B72" i="3"/>
  <c r="B51" i="3"/>
  <c r="B12" i="3"/>
  <c r="B18" i="3"/>
  <c r="B44" i="3"/>
  <c r="B52" i="3"/>
  <c r="B49" i="3"/>
  <c r="B2" i="3"/>
  <c r="B73" i="3"/>
  <c r="B57" i="3"/>
  <c r="B9" i="3"/>
  <c r="B13" i="3"/>
  <c r="B19" i="3"/>
  <c r="B60" i="3"/>
  <c r="B46" i="3"/>
  <c r="B43" i="3"/>
  <c r="B31" i="3"/>
  <c r="B47" i="3"/>
  <c r="B30" i="3"/>
  <c r="B27" i="3" l="1"/>
  <c r="B24" i="3"/>
</calcChain>
</file>

<file path=xl/sharedStrings.xml><?xml version="1.0" encoding="utf-8"?>
<sst xmlns="http://schemas.openxmlformats.org/spreadsheetml/2006/main" count="40191" uniqueCount="6160">
  <si>
    <t>OrderID</t>
  </si>
  <si>
    <t>Date</t>
  </si>
  <si>
    <t>Store</t>
  </si>
  <si>
    <t>City</t>
  </si>
  <si>
    <t>Product</t>
  </si>
  <si>
    <t>Category</t>
  </si>
  <si>
    <t>Qty</t>
  </si>
  <si>
    <t>UnitPriceGBP</t>
  </si>
  <si>
    <t>CustomerID</t>
  </si>
  <si>
    <t>ORD100175</t>
  </si>
  <si>
    <t>Riverside</t>
  </si>
  <si>
    <t>Leeds</t>
  </si>
  <si>
    <t>Espresso</t>
  </si>
  <si>
    <t>Drink</t>
  </si>
  <si>
    <t>Card</t>
  </si>
  <si>
    <t>C1685</t>
  </si>
  <si>
    <t>Stores</t>
  </si>
  <si>
    <t>Total Unit Price Grp</t>
  </si>
  <si>
    <t>Total Qty</t>
  </si>
  <si>
    <t>ORD100247</t>
  </si>
  <si>
    <t>Central</t>
  </si>
  <si>
    <t>Apple Pay</t>
  </si>
  <si>
    <t>C1592</t>
  </si>
  <si>
    <t>ORD100482</t>
  </si>
  <si>
    <t>Station</t>
  </si>
  <si>
    <t>Birmingham</t>
  </si>
  <si>
    <t>Latte</t>
  </si>
  <si>
    <t>C1658</t>
  </si>
  <si>
    <t>ORD100872</t>
  </si>
  <si>
    <t>Bristol</t>
  </si>
  <si>
    <t>Croissant</t>
  </si>
  <si>
    <t>Food</t>
  </si>
  <si>
    <t>C1743</t>
  </si>
  <si>
    <t>ORD101018</t>
  </si>
  <si>
    <t>Muffin</t>
  </si>
  <si>
    <t>C1745</t>
  </si>
  <si>
    <t>High Street</t>
  </si>
  <si>
    <t>ORD101416</t>
  </si>
  <si>
    <t>Manchester</t>
  </si>
  <si>
    <t>Cash</t>
  </si>
  <si>
    <t>C1321</t>
  </si>
  <si>
    <t>ORD102216</t>
  </si>
  <si>
    <t>Cappuccino</t>
  </si>
  <si>
    <t>C1399</t>
  </si>
  <si>
    <t>Number of times sales are made in a particular store</t>
  </si>
  <si>
    <t>Values</t>
  </si>
  <si>
    <t>ORD103190</t>
  </si>
  <si>
    <t>London</t>
  </si>
  <si>
    <t>C1104</t>
  </si>
  <si>
    <t>ORD103281</t>
  </si>
  <si>
    <t>C1134</t>
  </si>
  <si>
    <t>ORD103507</t>
  </si>
  <si>
    <t>C1316</t>
  </si>
  <si>
    <t>ORD103718</t>
  </si>
  <si>
    <t>C1160</t>
  </si>
  <si>
    <t>ORD104386</t>
  </si>
  <si>
    <t>C1892</t>
  </si>
  <si>
    <t>Total</t>
  </si>
  <si>
    <t>ORD104643</t>
  </si>
  <si>
    <t>C1674</t>
  </si>
  <si>
    <t>ORD104910</t>
  </si>
  <si>
    <t>C1661</t>
  </si>
  <si>
    <t>How many times a Payment method is used</t>
  </si>
  <si>
    <t>ORD100373</t>
  </si>
  <si>
    <t>C1882</t>
  </si>
  <si>
    <t>ORD101834</t>
  </si>
  <si>
    <t>C1181</t>
  </si>
  <si>
    <t>ORD102220</t>
  </si>
  <si>
    <t>C1936</t>
  </si>
  <si>
    <t>ORD102477</t>
  </si>
  <si>
    <t>C1869</t>
  </si>
  <si>
    <t>ORD102977</t>
  </si>
  <si>
    <t>C1229</t>
  </si>
  <si>
    <t>ORD100004</t>
  </si>
  <si>
    <t>C1866</t>
  </si>
  <si>
    <t>ORD100017</t>
  </si>
  <si>
    <t>C1255</t>
  </si>
  <si>
    <t>ORD100468</t>
  </si>
  <si>
    <t>C1474</t>
  </si>
  <si>
    <t>ORD100940</t>
  </si>
  <si>
    <t>C1572</t>
  </si>
  <si>
    <t>ORD101045</t>
  </si>
  <si>
    <t>C1547</t>
  </si>
  <si>
    <t>ORD101338</t>
  </si>
  <si>
    <t>C1971</t>
  </si>
  <si>
    <t>ORD101619</t>
  </si>
  <si>
    <t>C1609</t>
  </si>
  <si>
    <t>ORD101624</t>
  </si>
  <si>
    <t>ORD101847</t>
  </si>
  <si>
    <t>C1950</t>
  </si>
  <si>
    <t>ORD101930</t>
  </si>
  <si>
    <t>C1030</t>
  </si>
  <si>
    <t>ORD102319</t>
  </si>
  <si>
    <t>C1933</t>
  </si>
  <si>
    <t>ORD102360</t>
  </si>
  <si>
    <t>C1595</t>
  </si>
  <si>
    <t>ORD102758</t>
  </si>
  <si>
    <t>C1700</t>
  </si>
  <si>
    <t>ORD102834</t>
  </si>
  <si>
    <t>C1516</t>
  </si>
  <si>
    <t>ORD103430</t>
  </si>
  <si>
    <t>C1851</t>
  </si>
  <si>
    <t>ORD103634</t>
  </si>
  <si>
    <t>C1588</t>
  </si>
  <si>
    <t>ORD103709</t>
  </si>
  <si>
    <t>C1622</t>
  </si>
  <si>
    <t>ORD103912</t>
  </si>
  <si>
    <t>C1617</t>
  </si>
  <si>
    <t>ORD104642</t>
  </si>
  <si>
    <t>C1475</t>
  </si>
  <si>
    <t>ORD104672</t>
  </si>
  <si>
    <t>C1127</t>
  </si>
  <si>
    <t>ORD100131</t>
  </si>
  <si>
    <t>C1138</t>
  </si>
  <si>
    <t>ORD100490</t>
  </si>
  <si>
    <t>C1766</t>
  </si>
  <si>
    <t>ORD100680</t>
  </si>
  <si>
    <t>C1039</t>
  </si>
  <si>
    <t>ORD100998</t>
  </si>
  <si>
    <t>C1855</t>
  </si>
  <si>
    <t>ORD101083</t>
  </si>
  <si>
    <t>C1639</t>
  </si>
  <si>
    <t>ORD101282</t>
  </si>
  <si>
    <t>C1702</t>
  </si>
  <si>
    <t>ORD101476</t>
  </si>
  <si>
    <t>C1982</t>
  </si>
  <si>
    <t>ORD101804</t>
  </si>
  <si>
    <t>C1292</t>
  </si>
  <si>
    <t>ORD102831</t>
  </si>
  <si>
    <t>C1504</t>
  </si>
  <si>
    <t>ORD102980</t>
  </si>
  <si>
    <t>C1929</t>
  </si>
  <si>
    <t>ORD103258</t>
  </si>
  <si>
    <t>C1603</t>
  </si>
  <si>
    <t>ORD103331</t>
  </si>
  <si>
    <t>C1202</t>
  </si>
  <si>
    <t>ORD103422</t>
  </si>
  <si>
    <t>ORD103484</t>
  </si>
  <si>
    <t>C1077</t>
  </si>
  <si>
    <t>ORD103638</t>
  </si>
  <si>
    <t>C1307</t>
  </si>
  <si>
    <t>ORD104303</t>
  </si>
  <si>
    <t>C1356</t>
  </si>
  <si>
    <t>ORD104323</t>
  </si>
  <si>
    <t>C1186</t>
  </si>
  <si>
    <t>ORD104328</t>
  </si>
  <si>
    <t>C1284</t>
  </si>
  <si>
    <t>ORD104701</t>
  </si>
  <si>
    <t>C1277</t>
  </si>
  <si>
    <t>ORD100155</t>
  </si>
  <si>
    <t>C1481</t>
  </si>
  <si>
    <t>ORD100411</t>
  </si>
  <si>
    <t>N/A</t>
  </si>
  <si>
    <t>C1358</t>
  </si>
  <si>
    <t>ORD101186</t>
  </si>
  <si>
    <t>C1344</t>
  </si>
  <si>
    <t>ORD101559</t>
  </si>
  <si>
    <t>C1666</t>
  </si>
  <si>
    <t>ORD102076</t>
  </si>
  <si>
    <t>C1928</t>
  </si>
  <si>
    <t>ORD102304</t>
  </si>
  <si>
    <t>C1510</t>
  </si>
  <si>
    <t>ORD102783</t>
  </si>
  <si>
    <t>C1185</t>
  </si>
  <si>
    <t>ORD103837</t>
  </si>
  <si>
    <t>C1839</t>
  </si>
  <si>
    <t>ORD104055</t>
  </si>
  <si>
    <t>C1332</t>
  </si>
  <si>
    <t>ORD104302</t>
  </si>
  <si>
    <t>C1231</t>
  </si>
  <si>
    <t>ORD104337</t>
  </si>
  <si>
    <t>C1023</t>
  </si>
  <si>
    <t>ORD104879</t>
  </si>
  <si>
    <t>C1764</t>
  </si>
  <si>
    <t>ORD104903</t>
  </si>
  <si>
    <t>C1809</t>
  </si>
  <si>
    <t>ORD100085</t>
  </si>
  <si>
    <t>C1366</t>
  </si>
  <si>
    <t>ORD100180</t>
  </si>
  <si>
    <t>C1573</t>
  </si>
  <si>
    <t>ORD100307</t>
  </si>
  <si>
    <t>C1519</t>
  </si>
  <si>
    <t>ORD100400</t>
  </si>
  <si>
    <t>C1781</t>
  </si>
  <si>
    <t>ORD100803</t>
  </si>
  <si>
    <t>C1421</t>
  </si>
  <si>
    <t>ORD101374</t>
  </si>
  <si>
    <t>C1671</t>
  </si>
  <si>
    <t>ORD101871</t>
  </si>
  <si>
    <t>C1846</t>
  </si>
  <si>
    <t>ORD102238</t>
  </si>
  <si>
    <t>C1787</t>
  </si>
  <si>
    <t>ORD102523</t>
  </si>
  <si>
    <t>C1299</t>
  </si>
  <si>
    <t>ORD102922</t>
  </si>
  <si>
    <t>C1072</t>
  </si>
  <si>
    <t>ORD103443</t>
  </si>
  <si>
    <t>ORD103891</t>
  </si>
  <si>
    <t>C1237</t>
  </si>
  <si>
    <t>ORD104006</t>
  </si>
  <si>
    <t>C1428</t>
  </si>
  <si>
    <t>ORD104470</t>
  </si>
  <si>
    <t>C1779</t>
  </si>
  <si>
    <t>ORD104722</t>
  </si>
  <si>
    <t>C1131</t>
  </si>
  <si>
    <t>ORD104975</t>
  </si>
  <si>
    <t>C1712</t>
  </si>
  <si>
    <t>ORD100662</t>
  </si>
  <si>
    <t>C1924</t>
  </si>
  <si>
    <t>ORD101070</t>
  </si>
  <si>
    <t>C1269</t>
  </si>
  <si>
    <t>ORD101250</t>
  </si>
  <si>
    <t>C1157</t>
  </si>
  <si>
    <t>ORD101300</t>
  </si>
  <si>
    <t>C1641</t>
  </si>
  <si>
    <t>ORD101451</t>
  </si>
  <si>
    <t>C1678</t>
  </si>
  <si>
    <t>ORD101564</t>
  </si>
  <si>
    <t>C1629</t>
  </si>
  <si>
    <t>ORD102567</t>
  </si>
  <si>
    <t>C1985</t>
  </si>
  <si>
    <t>ORD103185</t>
  </si>
  <si>
    <t>C1006</t>
  </si>
  <si>
    <t>ORD103736</t>
  </si>
  <si>
    <t>ORD104160</t>
  </si>
  <si>
    <t>C1170</t>
  </si>
  <si>
    <t>ORD104307</t>
  </si>
  <si>
    <t>C1219</t>
  </si>
  <si>
    <t>ORD104515</t>
  </si>
  <si>
    <t>ORD104549</t>
  </si>
  <si>
    <t>C1502</t>
  </si>
  <si>
    <t>ORD100388</t>
  </si>
  <si>
    <t>C1193</t>
  </si>
  <si>
    <t>ORD100849</t>
  </si>
  <si>
    <t>C1607</t>
  </si>
  <si>
    <t>ORD101001</t>
  </si>
  <si>
    <t>ORD101522</t>
  </si>
  <si>
    <t>C1394</t>
  </si>
  <si>
    <t>ORD101791</t>
  </si>
  <si>
    <t>C1931</t>
  </si>
  <si>
    <t>ORD101926</t>
  </si>
  <si>
    <t>C1139</t>
  </si>
  <si>
    <t>ORD102409</t>
  </si>
  <si>
    <t>C1053</t>
  </si>
  <si>
    <t>ORD102737</t>
  </si>
  <si>
    <t>C1799</t>
  </si>
  <si>
    <t>ORD103447</t>
  </si>
  <si>
    <t>C1406</t>
  </si>
  <si>
    <t>ORD100136</t>
  </si>
  <si>
    <t>ORD100313</t>
  </si>
  <si>
    <t>C1699</t>
  </si>
  <si>
    <t>ORD100700</t>
  </si>
  <si>
    <t>C1717</t>
  </si>
  <si>
    <t>ORD100864</t>
  </si>
  <si>
    <t>C1782</t>
  </si>
  <si>
    <t>ORD101424</t>
  </si>
  <si>
    <t>C1763</t>
  </si>
  <si>
    <t>ORD101427</t>
  </si>
  <si>
    <t>C1808</t>
  </si>
  <si>
    <t>ORD101457</t>
  </si>
  <si>
    <t>C1043</t>
  </si>
  <si>
    <t>ORD101743</t>
  </si>
  <si>
    <t>C1327</t>
  </si>
  <si>
    <t>ORD102028</t>
  </si>
  <si>
    <t>ORD102334</t>
  </si>
  <si>
    <t>C1740</t>
  </si>
  <si>
    <t>ORD102534</t>
  </si>
  <si>
    <t>C1612</t>
  </si>
  <si>
    <t>ORD102617</t>
  </si>
  <si>
    <t>C1632</t>
  </si>
  <si>
    <t>ORD103092</t>
  </si>
  <si>
    <t>C1017</t>
  </si>
  <si>
    <t>ORD103203</t>
  </si>
  <si>
    <t>C1183</t>
  </si>
  <si>
    <t>ORD103639</t>
  </si>
  <si>
    <t>C1544</t>
  </si>
  <si>
    <t>ORD103858</t>
  </si>
  <si>
    <t>C1377</t>
  </si>
  <si>
    <t>ORD103963</t>
  </si>
  <si>
    <t>C1387</t>
  </si>
  <si>
    <t>ORD104897</t>
  </si>
  <si>
    <t>C1701</t>
  </si>
  <si>
    <t>ORD100695</t>
  </si>
  <si>
    <t>ORD100783</t>
  </si>
  <si>
    <t>C1753</t>
  </si>
  <si>
    <t>ORD101333</t>
  </si>
  <si>
    <t>C1480</t>
  </si>
  <si>
    <t>ORD101797</t>
  </si>
  <si>
    <t>ORD102051</t>
  </si>
  <si>
    <t>C1894</t>
  </si>
  <si>
    <t>ORD102081</t>
  </si>
  <si>
    <t>ORD102420</t>
  </si>
  <si>
    <t>C1491</t>
  </si>
  <si>
    <t>ORD102690</t>
  </si>
  <si>
    <t>C1655</t>
  </si>
  <si>
    <t>ORD102773</t>
  </si>
  <si>
    <t>C1887</t>
  </si>
  <si>
    <t>ORD102935</t>
  </si>
  <si>
    <t>C1287</t>
  </si>
  <si>
    <t>ORD103283</t>
  </si>
  <si>
    <t>C1593</t>
  </si>
  <si>
    <t>ORD103439</t>
  </si>
  <si>
    <t>C1164</t>
  </si>
  <si>
    <t>ORD103457</t>
  </si>
  <si>
    <t>C1911</t>
  </si>
  <si>
    <t>ORD103555</t>
  </si>
  <si>
    <t>C1962</t>
  </si>
  <si>
    <t>ORD103703</t>
  </si>
  <si>
    <t>C1439</t>
  </si>
  <si>
    <t>ORD104048</t>
  </si>
  <si>
    <t>C1112</t>
  </si>
  <si>
    <t>ORD104185</t>
  </si>
  <si>
    <t>C1693</t>
  </si>
  <si>
    <t>ORD104633</t>
  </si>
  <si>
    <t>C1987</t>
  </si>
  <si>
    <t>ORD104776</t>
  </si>
  <si>
    <t>ORD104869</t>
  </si>
  <si>
    <t>C1467</t>
  </si>
  <si>
    <t>ORD100374</t>
  </si>
  <si>
    <t>C1937</t>
  </si>
  <si>
    <t>ORD100811</t>
  </si>
  <si>
    <t>C1343</t>
  </si>
  <si>
    <t>ORD100967</t>
  </si>
  <si>
    <t>C1375</t>
  </si>
  <si>
    <t>ORD102490</t>
  </si>
  <si>
    <t>ORD103077</t>
  </si>
  <si>
    <t>C1575</t>
  </si>
  <si>
    <t>ORD103224</t>
  </si>
  <si>
    <t>C1898</t>
  </si>
  <si>
    <t>ORD103624</t>
  </si>
  <si>
    <t>ORD103727</t>
  </si>
  <si>
    <t>C1619</t>
  </si>
  <si>
    <t>ORD103791</t>
  </si>
  <si>
    <t>C1165</t>
  </si>
  <si>
    <t>ORD103926</t>
  </si>
  <si>
    <t>ORD100363</t>
  </si>
  <si>
    <t>C1723</t>
  </si>
  <si>
    <t>ORD101177</t>
  </si>
  <si>
    <t>ORD101205</t>
  </si>
  <si>
    <t>C1665</t>
  </si>
  <si>
    <t>ORD102233</t>
  </si>
  <si>
    <t>C1599</t>
  </si>
  <si>
    <t>ORD102397</t>
  </si>
  <si>
    <t>C1805</t>
  </si>
  <si>
    <t>ORD103307</t>
  </si>
  <si>
    <t>C1843</t>
  </si>
  <si>
    <t>ORD103654</t>
  </si>
  <si>
    <t>C1812</t>
  </si>
  <si>
    <t>ORD103944</t>
  </si>
  <si>
    <t>C1318</t>
  </si>
  <si>
    <t>ORD104332</t>
  </si>
  <si>
    <t>C1518</t>
  </si>
  <si>
    <t>ORD104385</t>
  </si>
  <si>
    <t>ORD104490</t>
  </si>
  <si>
    <t>C1569</t>
  </si>
  <si>
    <t>ORD104678</t>
  </si>
  <si>
    <t>C1372</t>
  </si>
  <si>
    <t>ORD104695</t>
  </si>
  <si>
    <t>C1429</t>
  </si>
  <si>
    <t>ORD100005</t>
  </si>
  <si>
    <t>ORD100041</t>
  </si>
  <si>
    <t>ORD100336</t>
  </si>
  <si>
    <t>C1251</t>
  </si>
  <si>
    <t>ORD100707</t>
  </si>
  <si>
    <t>C1216</t>
  </si>
  <si>
    <t>ORD100915</t>
  </si>
  <si>
    <t>C1919</t>
  </si>
  <si>
    <t>ORD101046</t>
  </si>
  <si>
    <t>ORD101092</t>
  </si>
  <si>
    <t>C1605</t>
  </si>
  <si>
    <t>ORD101741</t>
  </si>
  <si>
    <t>ORD102417</t>
  </si>
  <si>
    <t>C1973</t>
  </si>
  <si>
    <t>ORD103600</t>
  </si>
  <si>
    <t>C1182</t>
  </si>
  <si>
    <t>ORD104122</t>
  </si>
  <si>
    <t>C1032</t>
  </si>
  <si>
    <t>ORD104326</t>
  </si>
  <si>
    <t>C1508</t>
  </si>
  <si>
    <t>ORD104407</t>
  </si>
  <si>
    <t>C1645</t>
  </si>
  <si>
    <t>ORD104730</t>
  </si>
  <si>
    <t>C1390</t>
  </si>
  <si>
    <t>ORD100050</t>
  </si>
  <si>
    <t>C1008</t>
  </si>
  <si>
    <t>ORD100772</t>
  </si>
  <si>
    <t>C1559</t>
  </si>
  <si>
    <t>ORD100792</t>
  </si>
  <si>
    <t>C1194</t>
  </si>
  <si>
    <t>ORD101240</t>
  </si>
  <si>
    <t>C1880</t>
  </si>
  <si>
    <t>ORD102253</t>
  </si>
  <si>
    <t>C1984</t>
  </si>
  <si>
    <t>ORD102468</t>
  </si>
  <si>
    <t>C1483</t>
  </si>
  <si>
    <t>ORD102852</t>
  </si>
  <si>
    <t>C1012</t>
  </si>
  <si>
    <t>ORD103761</t>
  </si>
  <si>
    <t>C1719</t>
  </si>
  <si>
    <t>ORD103964</t>
  </si>
  <si>
    <t>C1361</t>
  </si>
  <si>
    <t>ORD103995</t>
  </si>
  <si>
    <t>C1705</t>
  </si>
  <si>
    <t>ORD104609</t>
  </si>
  <si>
    <t>C1912</t>
  </si>
  <si>
    <t>ORD104710</t>
  </si>
  <si>
    <t>C1158</t>
  </si>
  <si>
    <t>ORD104868</t>
  </si>
  <si>
    <t>ORD104935</t>
  </si>
  <si>
    <t>C1844</t>
  </si>
  <si>
    <t>ORD101098</t>
  </si>
  <si>
    <t>C1500</t>
  </si>
  <si>
    <t>ORD101167</t>
  </si>
  <si>
    <t>C1448</t>
  </si>
  <si>
    <t>ORD102139</t>
  </si>
  <si>
    <t>C1582</t>
  </si>
  <si>
    <t>ORD102474</t>
  </si>
  <si>
    <t>C1606</t>
  </si>
  <si>
    <t>ORD102925</t>
  </si>
  <si>
    <t>C1517</t>
  </si>
  <si>
    <t>ORD103172</t>
  </si>
  <si>
    <t>C1802</t>
  </si>
  <si>
    <t>ORD103683</t>
  </si>
  <si>
    <t>C1507</t>
  </si>
  <si>
    <t>ORD104237</t>
  </si>
  <si>
    <t>ORD104792</t>
  </si>
  <si>
    <t>C1680</t>
  </si>
  <si>
    <t>ORD104866</t>
  </si>
  <si>
    <t>C1455</t>
  </si>
  <si>
    <t>ORD100173</t>
  </si>
  <si>
    <t>C1240</t>
  </si>
  <si>
    <t>ORD100251</t>
  </si>
  <si>
    <t>C1659</t>
  </si>
  <si>
    <t>ORD101232</t>
  </si>
  <si>
    <t>C1613</t>
  </si>
  <si>
    <t>ORD101551</t>
  </si>
  <si>
    <t>C1888</t>
  </si>
  <si>
    <t>ORD101855</t>
  </si>
  <si>
    <t>ORD102347</t>
  </si>
  <si>
    <t>C1728</t>
  </si>
  <si>
    <t>ORD102872</t>
  </si>
  <si>
    <t>ORD103265</t>
  </si>
  <si>
    <t>ORD103347</t>
  </si>
  <si>
    <t>C1865</t>
  </si>
  <si>
    <t>ORD103467</t>
  </si>
  <si>
    <t>C1272</t>
  </si>
  <si>
    <t>ORD103723</t>
  </si>
  <si>
    <t>ORD104223</t>
  </si>
  <si>
    <t>C1706</t>
  </si>
  <si>
    <t>ORD104278</t>
  </si>
  <si>
    <t>C1298</t>
  </si>
  <si>
    <t>ORD104367</t>
  </si>
  <si>
    <t>C1761</t>
  </si>
  <si>
    <t>ORD104858</t>
  </si>
  <si>
    <t>C1657</t>
  </si>
  <si>
    <t>ORD100140</t>
  </si>
  <si>
    <t>C1689</t>
  </si>
  <si>
    <t>ORD100249</t>
  </si>
  <si>
    <t>C1200</t>
  </si>
  <si>
    <t>ORD100844</t>
  </si>
  <si>
    <t>C1204</t>
  </si>
  <si>
    <t>ORD100885</t>
  </si>
  <si>
    <t>C1999</t>
  </si>
  <si>
    <t>ORD101230</t>
  </si>
  <si>
    <t>C1144</t>
  </si>
  <si>
    <t>ORD101770</t>
  </si>
  <si>
    <t>C1759</t>
  </si>
  <si>
    <t>ORD101783</t>
  </si>
  <si>
    <t>C1816</t>
  </si>
  <si>
    <t>ORD102148</t>
  </si>
  <si>
    <t>C1540</t>
  </si>
  <si>
    <t>ORD102193</t>
  </si>
  <si>
    <t>C1460</t>
  </si>
  <si>
    <t>ORD102203</t>
  </si>
  <si>
    <t>C1440</t>
  </si>
  <si>
    <t>ORD102661</t>
  </si>
  <si>
    <t>C1223</t>
  </si>
  <si>
    <t>ORD102704</t>
  </si>
  <si>
    <t>C1149</t>
  </si>
  <si>
    <t>ORD103414</t>
  </si>
  <si>
    <t>ORD104626</t>
  </si>
  <si>
    <t>C1486</t>
  </si>
  <si>
    <t>ORD100020</t>
  </si>
  <si>
    <t>ORD100051</t>
  </si>
  <si>
    <t>C1393</t>
  </si>
  <si>
    <t>ORD101557</t>
  </si>
  <si>
    <t>ORD102180</t>
  </si>
  <si>
    <t>ORD102461</t>
  </si>
  <si>
    <t>ORD104457</t>
  </si>
  <si>
    <t>ORD104706</t>
  </si>
  <si>
    <t>C1736</t>
  </si>
  <si>
    <t>ORD101425</t>
  </si>
  <si>
    <t>ORD101739</t>
  </si>
  <si>
    <t>C1826</t>
  </si>
  <si>
    <t>ORD101975</t>
  </si>
  <si>
    <t>C1293</t>
  </si>
  <si>
    <t>ORD102101</t>
  </si>
  <si>
    <t>C1469</t>
  </si>
  <si>
    <t>ORD102333</t>
  </si>
  <si>
    <t>C1407</t>
  </si>
  <si>
    <t>ORD102833</t>
  </si>
  <si>
    <t>C1312</t>
  </si>
  <si>
    <t>ORD103021</t>
  </si>
  <si>
    <t>ORD103816</t>
  </si>
  <si>
    <t>C1162</t>
  </si>
  <si>
    <t>ORD104037</t>
  </si>
  <si>
    <t>C1267</t>
  </si>
  <si>
    <t>ORD104149</t>
  </si>
  <si>
    <t>C1342</t>
  </si>
  <si>
    <t>ORD100320</t>
  </si>
  <si>
    <t>C1172</t>
  </si>
  <si>
    <t>ORD101716</t>
  </si>
  <si>
    <t>ORD101815</t>
  </si>
  <si>
    <t>C1520</t>
  </si>
  <si>
    <t>ORD102169</t>
  </si>
  <si>
    <t>C1853</t>
  </si>
  <si>
    <t>ORD102296</t>
  </si>
  <si>
    <t>ORD102917</t>
  </si>
  <si>
    <t>ORD103031</t>
  </si>
  <si>
    <t>C1903</t>
  </si>
  <si>
    <t>ORD103537</t>
  </si>
  <si>
    <t>ORD104331</t>
  </si>
  <si>
    <t>C1180</t>
  </si>
  <si>
    <t>ORD104347</t>
  </si>
  <si>
    <t>C1548</t>
  </si>
  <si>
    <t>ORD104694</t>
  </si>
  <si>
    <t>C1672</t>
  </si>
  <si>
    <t>ORD104968</t>
  </si>
  <si>
    <t>C1099</t>
  </si>
  <si>
    <t>ORD100097</t>
  </si>
  <si>
    <t>C1290</t>
  </si>
  <si>
    <t>ORD100294</t>
  </si>
  <si>
    <t>C1175</t>
  </si>
  <si>
    <t>ORD100658</t>
  </si>
  <si>
    <t>C1045</t>
  </si>
  <si>
    <t>ORD100666</t>
  </si>
  <si>
    <t>C1184</t>
  </si>
  <si>
    <t>ORD100911</t>
  </si>
  <si>
    <t>ORD101062</t>
  </si>
  <si>
    <t>C1651</t>
  </si>
  <si>
    <t>ORD101400</t>
  </si>
  <si>
    <t>C1848</t>
  </si>
  <si>
    <t>ORD101620</t>
  </si>
  <si>
    <t>C1261</t>
  </si>
  <si>
    <t>ORD101674</t>
  </si>
  <si>
    <t>C1899</t>
  </si>
  <si>
    <t>ORD101698</t>
  </si>
  <si>
    <t>C1205</t>
  </si>
  <si>
    <t>ORD101709</t>
  </si>
  <si>
    <t>C1715</t>
  </si>
  <si>
    <t>ORD101734</t>
  </si>
  <si>
    <t>C1735</t>
  </si>
  <si>
    <t>ORD102469</t>
  </si>
  <si>
    <t>C1630</t>
  </si>
  <si>
    <t>ORD102734</t>
  </si>
  <si>
    <t>C1873</t>
  </si>
  <si>
    <t>ORD103146</t>
  </si>
  <si>
    <t>ORD103151</t>
  </si>
  <si>
    <t>C1946</t>
  </si>
  <si>
    <t>ORD103350</t>
  </si>
  <si>
    <t>ORD103368</t>
  </si>
  <si>
    <t>C1199</t>
  </si>
  <si>
    <t>ORD103543</t>
  </si>
  <si>
    <t>C1820</t>
  </si>
  <si>
    <t>ORD103691</t>
  </si>
  <si>
    <t>ORD103716</t>
  </si>
  <si>
    <t>ORD104316</t>
  </si>
  <si>
    <t>C1179</t>
  </si>
  <si>
    <t>ORD104807</t>
  </si>
  <si>
    <t>C1528</t>
  </si>
  <si>
    <t>ORD104887</t>
  </si>
  <si>
    <t>C1395</t>
  </si>
  <si>
    <t>ORD100222</t>
  </si>
  <si>
    <t>C1777</t>
  </si>
  <si>
    <t>ORD100694</t>
  </si>
  <si>
    <t>C1821</t>
  </si>
  <si>
    <t>ORD101195</t>
  </si>
  <si>
    <t>ORD101331</t>
  </si>
  <si>
    <t>C1785</t>
  </si>
  <si>
    <t>ORD101704</t>
  </si>
  <si>
    <t>C1078</t>
  </si>
  <si>
    <t>ORD101944</t>
  </si>
  <si>
    <t>C1063</t>
  </si>
  <si>
    <t>ORD102105</t>
  </si>
  <si>
    <t>ORD102533</t>
  </si>
  <si>
    <t>C1309</t>
  </si>
  <si>
    <t>ORD102861</t>
  </si>
  <si>
    <t>ORD103356</t>
  </si>
  <si>
    <t>ORD103746</t>
  </si>
  <si>
    <t>C1947</t>
  </si>
  <si>
    <t>ORD104101</t>
  </si>
  <si>
    <t>ORD104104</t>
  </si>
  <si>
    <t>ORD104119</t>
  </si>
  <si>
    <t>ORD104289</t>
  </si>
  <si>
    <t>C1405</t>
  </si>
  <si>
    <t>ORD100295</t>
  </si>
  <si>
    <t>C1401</t>
  </si>
  <si>
    <t>ORD101893</t>
  </si>
  <si>
    <t>C1724</t>
  </si>
  <si>
    <t>ORD102342</t>
  </si>
  <si>
    <t>C1359</t>
  </si>
  <si>
    <t>ORD103883</t>
  </si>
  <si>
    <t>C1675</t>
  </si>
  <si>
    <t>ORD100343</t>
  </si>
  <si>
    <t>C1357</t>
  </si>
  <si>
    <t>ORD100569</t>
  </si>
  <si>
    <t>ORD101351</t>
  </si>
  <si>
    <t>C1499</t>
  </si>
  <si>
    <t>ORD101635</t>
  </si>
  <si>
    <t>ORD102096</t>
  </si>
  <si>
    <t>C1893</t>
  </si>
  <si>
    <t>ORD102625</t>
  </si>
  <si>
    <t>C1840</t>
  </si>
  <si>
    <t>ORD102648</t>
  </si>
  <si>
    <t>ORD102742</t>
  </si>
  <si>
    <t>ORD104444</t>
  </si>
  <si>
    <t>C1837</t>
  </si>
  <si>
    <t>ORD100431</t>
  </si>
  <si>
    <t>C1010</t>
  </si>
  <si>
    <t>ORD100682</t>
  </si>
  <si>
    <t>C1807</t>
  </si>
  <si>
    <t>ORD102206</t>
  </si>
  <si>
    <t>C1268</t>
  </si>
  <si>
    <t>ORD102573</t>
  </si>
  <si>
    <t>C1660</t>
  </si>
  <si>
    <t>ORD102607</t>
  </si>
  <si>
    <t>C1110</t>
  </si>
  <si>
    <t>ORD103591</t>
  </si>
  <si>
    <t>C1320</t>
  </si>
  <si>
    <t>ORD103808</t>
  </si>
  <si>
    <t>C1546</t>
  </si>
  <si>
    <t>ORD103814</t>
  </si>
  <si>
    <t>C1952</t>
  </si>
  <si>
    <t>ORD104644</t>
  </si>
  <si>
    <t>C1768</t>
  </si>
  <si>
    <t>ORD104679</t>
  </si>
  <si>
    <t>ORD100215</t>
  </si>
  <si>
    <t>ORD100820</t>
  </si>
  <si>
    <t>C1783</t>
  </si>
  <si>
    <t>ORD100881</t>
  </si>
  <si>
    <t>C1487</t>
  </si>
  <si>
    <t>ORD101953</t>
  </si>
  <si>
    <t>ORD102164</t>
  </si>
  <si>
    <t>ORD102221</t>
  </si>
  <si>
    <t>C1477</t>
  </si>
  <si>
    <t>ORD102708</t>
  </si>
  <si>
    <t>C1389</t>
  </si>
  <si>
    <t>ORD102869</t>
  </si>
  <si>
    <t>C1522</t>
  </si>
  <si>
    <t>ORD103128</t>
  </si>
  <si>
    <t>C1967</t>
  </si>
  <si>
    <t>ORD103179</t>
  </si>
  <si>
    <t>C1082</t>
  </si>
  <si>
    <t>ORD103821</t>
  </si>
  <si>
    <t>C1055</t>
  </si>
  <si>
    <t>ORD104814</t>
  </si>
  <si>
    <t>C1115</t>
  </si>
  <si>
    <t>ORD104964</t>
  </si>
  <si>
    <t>ORD100207</t>
  </si>
  <si>
    <t>C1589</t>
  </si>
  <si>
    <t>ORD100254</t>
  </si>
  <si>
    <t>ORD100519</t>
  </si>
  <si>
    <t>C1978</t>
  </si>
  <si>
    <t>ORD101437</t>
  </si>
  <si>
    <t>ORD101861</t>
  </si>
  <si>
    <t>C1776</t>
  </si>
  <si>
    <t>ORD102759</t>
  </si>
  <si>
    <t>C1930</t>
  </si>
  <si>
    <t>ORD102803</t>
  </si>
  <si>
    <t>C1611</t>
  </si>
  <si>
    <t>ORD102943</t>
  </si>
  <si>
    <t>C1341</t>
  </si>
  <si>
    <t>ORD103080</t>
  </si>
  <si>
    <t>C1067</t>
  </si>
  <si>
    <t>ORD103251</t>
  </si>
  <si>
    <t>C1221</t>
  </si>
  <si>
    <t>ORD103449</t>
  </si>
  <si>
    <t>C1654</t>
  </si>
  <si>
    <t>ORD103585</t>
  </si>
  <si>
    <t>C1859</t>
  </si>
  <si>
    <t>ORD103910</t>
  </si>
  <si>
    <t>ORD103938</t>
  </si>
  <si>
    <t>C1243</t>
  </si>
  <si>
    <t>ORD104116</t>
  </si>
  <si>
    <t>C1827</t>
  </si>
  <si>
    <t>ORD104359</t>
  </si>
  <si>
    <t>C1226</t>
  </si>
  <si>
    <t>ORD104520</t>
  </si>
  <si>
    <t>ORD104925</t>
  </si>
  <si>
    <t>C1535</t>
  </si>
  <si>
    <t>ORD100000</t>
  </si>
  <si>
    <t>C1031</t>
  </si>
  <si>
    <t>ORD100007</t>
  </si>
  <si>
    <t>C1949</t>
  </si>
  <si>
    <t>ORD100037</t>
  </si>
  <si>
    <t>ORD100233</t>
  </si>
  <si>
    <t>C1647</t>
  </si>
  <si>
    <t>ORD100250</t>
  </si>
  <si>
    <t>C1151</t>
  </si>
  <si>
    <t>ORD100769</t>
  </si>
  <si>
    <t>C1003</t>
  </si>
  <si>
    <t>ORD101064</t>
  </si>
  <si>
    <t>ORD101140</t>
  </si>
  <si>
    <t>C1348</t>
  </si>
  <si>
    <t>ORD101678</t>
  </si>
  <si>
    <t>C1997</t>
  </si>
  <si>
    <t>ORD102287</t>
  </si>
  <si>
    <t>ORD102315</t>
  </si>
  <si>
    <t>C1953</t>
  </si>
  <si>
    <t>ORD102429</t>
  </si>
  <si>
    <t>C1370</t>
  </si>
  <si>
    <t>ORD102878</t>
  </si>
  <si>
    <t>C1249</t>
  </si>
  <si>
    <t>ORD102946</t>
  </si>
  <si>
    <t>C1649</t>
  </si>
  <si>
    <t>ORD103157</t>
  </si>
  <si>
    <t>ORD103378</t>
  </si>
  <si>
    <t>C1109</t>
  </si>
  <si>
    <t>ORD103390</t>
  </si>
  <si>
    <t>ORD103790</t>
  </si>
  <si>
    <t>ORD104253</t>
  </si>
  <si>
    <t>ORD104564</t>
  </si>
  <si>
    <t>C1732</t>
  </si>
  <si>
    <t>ORD104765</t>
  </si>
  <si>
    <t>C1264</t>
  </si>
  <si>
    <t>ORD100285</t>
  </si>
  <si>
    <t>ORD100465</t>
  </si>
  <si>
    <t>ORD100839</t>
  </si>
  <si>
    <t>C1788</t>
  </si>
  <si>
    <t>ORD101169</t>
  </si>
  <si>
    <t>C1897</t>
  </si>
  <si>
    <t>ORD101469</t>
  </si>
  <si>
    <t>C1250</t>
  </si>
  <si>
    <t>ORD101949</t>
  </si>
  <si>
    <t>C1608</t>
  </si>
  <si>
    <t>ORD102088</t>
  </si>
  <si>
    <t>ORD102121</t>
  </si>
  <si>
    <t>C1059</t>
  </si>
  <si>
    <t>ORD102189</t>
  </si>
  <si>
    <t>C1235</t>
  </si>
  <si>
    <t>ORD102279</t>
  </si>
  <si>
    <t>C1362</t>
  </si>
  <si>
    <t>ORD102389</t>
  </si>
  <si>
    <t>C1076</t>
  </si>
  <si>
    <t>ORD102539</t>
  </si>
  <si>
    <t>C1786</t>
  </si>
  <si>
    <t>ORD103369</t>
  </si>
  <si>
    <t>ORD103546</t>
  </si>
  <si>
    <t>C1224</t>
  </si>
  <si>
    <t>ORD103771</t>
  </si>
  <si>
    <t>C1778</t>
  </si>
  <si>
    <t>ORD104687</t>
  </si>
  <si>
    <t>ORD104835</t>
  </si>
  <si>
    <t>C1995</t>
  </si>
  <si>
    <t>ORD100036</t>
  </si>
  <si>
    <t>C1198</t>
  </si>
  <si>
    <t>ORD100187</t>
  </si>
  <si>
    <t>C1476</t>
  </si>
  <si>
    <t>ORD100257</t>
  </si>
  <si>
    <t>C1574</t>
  </si>
  <si>
    <t>ORD100503</t>
  </si>
  <si>
    <t>C1136</t>
  </si>
  <si>
    <t>ORD101041</t>
  </si>
  <si>
    <t>ORD101883</t>
  </si>
  <si>
    <t>C1780</t>
  </si>
  <si>
    <t>ORD101952</t>
  </si>
  <si>
    <t>ORD102338</t>
  </si>
  <si>
    <t>C1303</t>
  </si>
  <si>
    <t>ORD102839</t>
  </si>
  <si>
    <t>C1300</t>
  </si>
  <si>
    <t>ORD102967</t>
  </si>
  <si>
    <t>C1557</t>
  </si>
  <si>
    <t>ORD102986</t>
  </si>
  <si>
    <t>ORD103125</t>
  </si>
  <si>
    <t>C1767</t>
  </si>
  <si>
    <t>ORD103405</t>
  </si>
  <si>
    <t>ORD103501</t>
  </si>
  <si>
    <t>ORD104622</t>
  </si>
  <si>
    <t>C1991</t>
  </si>
  <si>
    <t>ORD104662</t>
  </si>
  <si>
    <t>C1626</t>
  </si>
  <si>
    <t>ORD104977</t>
  </si>
  <si>
    <t>C1722</t>
  </si>
  <si>
    <t>ORD100962</t>
  </si>
  <si>
    <t>C1695</t>
  </si>
  <si>
    <t>ORD101283</t>
  </si>
  <si>
    <t>C1676</t>
  </si>
  <si>
    <t>ORD101601</t>
  </si>
  <si>
    <t>C1153</t>
  </si>
  <si>
    <t>ORD101749</t>
  </si>
  <si>
    <t>C1295</t>
  </si>
  <si>
    <t>ORD101946</t>
  </si>
  <si>
    <t>ORD102214</t>
  </si>
  <si>
    <t>ORD102458</t>
  </si>
  <si>
    <t>ORD102580</t>
  </si>
  <si>
    <t>C1073</t>
  </si>
  <si>
    <t>ORD102897</t>
  </si>
  <si>
    <t>C1102</t>
  </si>
  <si>
    <t>ORD103734</t>
  </si>
  <si>
    <t>C1418</t>
  </si>
  <si>
    <t>ORD104065</t>
  </si>
  <si>
    <t>ORD104132</t>
  </si>
  <si>
    <t>C1315</t>
  </si>
  <si>
    <t>ORD104345</t>
  </si>
  <si>
    <t>C1196</t>
  </si>
  <si>
    <t>ORD104705</t>
  </si>
  <si>
    <t>C1451</t>
  </si>
  <si>
    <t>ORD100033</t>
  </si>
  <si>
    <t>C1567</t>
  </si>
  <si>
    <t>ORD100138</t>
  </si>
  <si>
    <t>ORD100265</t>
  </si>
  <si>
    <t>C1503</t>
  </si>
  <si>
    <t>ORD100528</t>
  </si>
  <si>
    <t>C1004</t>
  </si>
  <si>
    <t>ORD100620</t>
  </si>
  <si>
    <t>C1479</t>
  </si>
  <si>
    <t>ORD100640</t>
  </si>
  <si>
    <t>C1029</t>
  </si>
  <si>
    <t>ORD100702</t>
  </si>
  <si>
    <t>C1752</t>
  </si>
  <si>
    <t>ORD100817</t>
  </si>
  <si>
    <t>ORD101280</t>
  </si>
  <si>
    <t>ORD101612</t>
  </si>
  <si>
    <t>ORD101999</t>
  </si>
  <si>
    <t>C1305</t>
  </si>
  <si>
    <t>ORD102695</t>
  </si>
  <si>
    <t>ORD103363</t>
  </si>
  <si>
    <t>C1489</t>
  </si>
  <si>
    <t>ORD103395</t>
  </si>
  <si>
    <t>ORD103476</t>
  </si>
  <si>
    <t>C1168</t>
  </si>
  <si>
    <t>ORD103730</t>
  </si>
  <si>
    <t>C1383</t>
  </si>
  <si>
    <t>ORD104423</t>
  </si>
  <si>
    <t>C1870</t>
  </si>
  <si>
    <t>ORD104484</t>
  </si>
  <si>
    <t>C1163</t>
  </si>
  <si>
    <t>ORD100292</t>
  </si>
  <si>
    <t>C1562</t>
  </si>
  <si>
    <t>ORD100366</t>
  </si>
  <si>
    <t>C1692</t>
  </si>
  <si>
    <t>ORD101631</t>
  </si>
  <si>
    <t>ORD102213</t>
  </si>
  <si>
    <t>ORD102371</t>
  </si>
  <si>
    <t>ORD102620</t>
  </si>
  <si>
    <t>ORD102722</t>
  </si>
  <si>
    <t>C1354</t>
  </si>
  <si>
    <t>ORD103216</t>
  </si>
  <si>
    <t>C1644</t>
  </si>
  <si>
    <t>ORD103465</t>
  </si>
  <si>
    <t>ORD103519</t>
  </si>
  <si>
    <t>ORD103564</t>
  </si>
  <si>
    <t>C1694</t>
  </si>
  <si>
    <t>ORD104927</t>
  </si>
  <si>
    <t>ORD104984</t>
  </si>
  <si>
    <t>C1954</t>
  </si>
  <si>
    <t>ORD100001</t>
  </si>
  <si>
    <t>ORD100070</t>
  </si>
  <si>
    <t>ORD100635</t>
  </si>
  <si>
    <t>ORD101158</t>
  </si>
  <si>
    <t>C1948</t>
  </si>
  <si>
    <t>ORD101367</t>
  </si>
  <si>
    <t>C1496</t>
  </si>
  <si>
    <t>ORD101714</t>
  </si>
  <si>
    <t>ORD102818</t>
  </si>
  <si>
    <t>ORD103194</t>
  </si>
  <si>
    <t>ORD103198</t>
  </si>
  <si>
    <t>ORD103346</t>
  </si>
  <si>
    <t>ORD103491</t>
  </si>
  <si>
    <t>C1380</t>
  </si>
  <si>
    <t>ORD103558</t>
  </si>
  <si>
    <t>C1801</t>
  </si>
  <si>
    <t>ORD104771</t>
  </si>
  <si>
    <t>C1283</t>
  </si>
  <si>
    <t>ORD100043</t>
  </si>
  <si>
    <t>C1730</t>
  </si>
  <si>
    <t>ORD100117</t>
  </si>
  <si>
    <t>C1133</t>
  </si>
  <si>
    <t>ORD100342</t>
  </si>
  <si>
    <t>C1459</t>
  </si>
  <si>
    <t>ORD100354</t>
  </si>
  <si>
    <t>C1814</t>
  </si>
  <si>
    <t>ORD100573</t>
  </si>
  <si>
    <t>ORD100672</t>
  </si>
  <si>
    <t>C1810</t>
  </si>
  <si>
    <t>ORD100714</t>
  </si>
  <si>
    <t>C1217</t>
  </si>
  <si>
    <t>ORD100725</t>
  </si>
  <si>
    <t>C1815</t>
  </si>
  <si>
    <t>ORD101371</t>
  </si>
  <si>
    <t>C1571</t>
  </si>
  <si>
    <t>ORD101819</t>
  </si>
  <si>
    <t>C1169</t>
  </si>
  <si>
    <t>ORD102136</t>
  </si>
  <si>
    <t>C1725</t>
  </si>
  <si>
    <t>ORD102571</t>
  </si>
  <si>
    <t>ORD103246</t>
  </si>
  <si>
    <t>ORD103353</t>
  </si>
  <si>
    <t>ORD103435</t>
  </si>
  <si>
    <t>C1373</t>
  </si>
  <si>
    <t>ORD103785</t>
  </si>
  <si>
    <t>C1720</t>
  </si>
  <si>
    <t>ORD104318</t>
  </si>
  <si>
    <t>ORD104603</t>
  </si>
  <si>
    <t>ORD104836</t>
  </si>
  <si>
    <t>ORD104872</t>
  </si>
  <si>
    <t>C1391</t>
  </si>
  <si>
    <t>ORD101383</t>
  </si>
  <si>
    <t>C1257</t>
  </si>
  <si>
    <t>ORD101611</t>
  </si>
  <si>
    <t>C1966</t>
  </si>
  <si>
    <t>ORD102366</t>
  </si>
  <si>
    <t>C1098</t>
  </si>
  <si>
    <t>ORD102404</t>
  </si>
  <si>
    <t>ORD102547</t>
  </si>
  <si>
    <t>ORD102608</t>
  </si>
  <si>
    <t>ORD102856</t>
  </si>
  <si>
    <t>ORD102864</t>
  </si>
  <si>
    <t>C1493</t>
  </si>
  <si>
    <t>ORD104209</t>
  </si>
  <si>
    <t>ORD100834</t>
  </si>
  <si>
    <t>C1570</t>
  </si>
  <si>
    <t>ORD100966</t>
  </si>
  <si>
    <t>C1101</t>
  </si>
  <si>
    <t>ORD101621</t>
  </si>
  <si>
    <t>C1849</t>
  </si>
  <si>
    <t>ORD101757</t>
  </si>
  <si>
    <t>C1819</t>
  </si>
  <si>
    <t>ORD102115</t>
  </si>
  <si>
    <t>C1294</t>
  </si>
  <si>
    <t>ORD103839</t>
  </si>
  <si>
    <t>C1090</t>
  </si>
  <si>
    <t>ORD103928</t>
  </si>
  <si>
    <t>ORD103965</t>
  </si>
  <si>
    <t>C1335</t>
  </si>
  <si>
    <t>ORD104220</t>
  </si>
  <si>
    <t>C1322</t>
  </si>
  <si>
    <t>ORD104363</t>
  </si>
  <si>
    <t>C1832</t>
  </si>
  <si>
    <t>ORD104391</t>
  </si>
  <si>
    <t>ORD104443</t>
  </si>
  <si>
    <t>C1945</t>
  </si>
  <si>
    <t>ORD104493</t>
  </si>
  <si>
    <t>C1222</t>
  </si>
  <si>
    <t>ORD104908</t>
  </si>
  <si>
    <t>C1434</t>
  </si>
  <si>
    <t>ORD100804</t>
  </si>
  <si>
    <t>C1534</t>
  </si>
  <si>
    <t>ORD100983</t>
  </si>
  <si>
    <t>C1047</t>
  </si>
  <si>
    <t>ORD100995</t>
  </si>
  <si>
    <t>C1601</t>
  </si>
  <si>
    <t>ORD101313</t>
  </si>
  <si>
    <t>ORD101602</t>
  </si>
  <si>
    <t>ORD101971</t>
  </si>
  <si>
    <t>ORD102073</t>
  </si>
  <si>
    <t>ORD102077</t>
  </si>
  <si>
    <t>ORD102557</t>
  </si>
  <si>
    <t>C1789</t>
  </si>
  <si>
    <t>ORD102785</t>
  </si>
  <si>
    <t>ORD103046</t>
  </si>
  <si>
    <t>C1159</t>
  </si>
  <si>
    <t>ORD103373</t>
  </si>
  <si>
    <t>C1690</t>
  </si>
  <si>
    <t>ORD103410</t>
  </si>
  <si>
    <t>C1111</t>
  </si>
  <si>
    <t>ORD103595</t>
  </si>
  <si>
    <t>ORD100603</t>
  </si>
  <si>
    <t>ORD101066</t>
  </si>
  <si>
    <t>C1750</t>
  </si>
  <si>
    <t>ORD102106</t>
  </si>
  <si>
    <t>ORD102551</t>
  </si>
  <si>
    <t>C1531</t>
  </si>
  <si>
    <t>ORD103116</t>
  </si>
  <si>
    <t>C1331</t>
  </si>
  <si>
    <t>ORD103909</t>
  </si>
  <si>
    <t>C1438</t>
  </si>
  <si>
    <t>ORD104036</t>
  </si>
  <si>
    <t>C1365</t>
  </si>
  <si>
    <t>ORD104985</t>
  </si>
  <si>
    <t>C1171</t>
  </si>
  <si>
    <t>ORD100202</t>
  </si>
  <si>
    <t>C1364</t>
  </si>
  <si>
    <t>ORD101000</t>
  </si>
  <si>
    <t>C1524</t>
  </si>
  <si>
    <t>ORD101372</t>
  </si>
  <si>
    <t>C1652</t>
  </si>
  <si>
    <t>ORD101532</t>
  </si>
  <si>
    <t>ORD101713</t>
  </si>
  <si>
    <t>ORD101765</t>
  </si>
  <si>
    <t>C1314</t>
  </si>
  <si>
    <t>ORD102145</t>
  </si>
  <si>
    <t>C1232</t>
  </si>
  <si>
    <t>ORD102307</t>
  </si>
  <si>
    <t>ORD102832</t>
  </si>
  <si>
    <t>ORD103204</t>
  </si>
  <si>
    <t>ORD103367</t>
  </si>
  <si>
    <t>ORD103630</t>
  </si>
  <si>
    <t>C1212</t>
  </si>
  <si>
    <t>ORD103997</t>
  </si>
  <si>
    <t>C1412</t>
  </si>
  <si>
    <t>ORD104295</t>
  </si>
  <si>
    <t>ORD104649</t>
  </si>
  <si>
    <t>C1677</t>
  </si>
  <si>
    <t>ORD104665</t>
  </si>
  <si>
    <t>C1282</t>
  </si>
  <si>
    <t>ORD104784</t>
  </si>
  <si>
    <t>C1015</t>
  </si>
  <si>
    <t>ORD104902</t>
  </si>
  <si>
    <t>C1276</t>
  </si>
  <si>
    <t>ORD100899</t>
  </si>
  <si>
    <t>C1829</t>
  </si>
  <si>
    <t>ORD100919</t>
  </si>
  <si>
    <t>C1019</t>
  </si>
  <si>
    <t>ORD101539</t>
  </si>
  <si>
    <t>C1210</t>
  </si>
  <si>
    <t>ORD102359</t>
  </si>
  <si>
    <t>C1994</t>
  </si>
  <si>
    <t>ORD102445</t>
  </si>
  <si>
    <t>ORD102456</t>
  </si>
  <si>
    <t>C1980</t>
  </si>
  <si>
    <t>ORD102500</t>
  </si>
  <si>
    <t>ORD102507</t>
  </si>
  <si>
    <t>C1554</t>
  </si>
  <si>
    <t>ORD102685</t>
  </si>
  <si>
    <t>C1585</t>
  </si>
  <si>
    <t>ORD102938</t>
  </si>
  <si>
    <t>ORD103336</t>
  </si>
  <si>
    <t>ORD103345</t>
  </si>
  <si>
    <t>C1208</t>
  </si>
  <si>
    <t>ORD103661</t>
  </si>
  <si>
    <t>C1447</t>
  </si>
  <si>
    <t>ORD103662</t>
  </si>
  <si>
    <t>ORD103990</t>
  </si>
  <si>
    <t>C1285</t>
  </si>
  <si>
    <t>ORD104078</t>
  </si>
  <si>
    <t>C1051</t>
  </si>
  <si>
    <t>ORD104353</t>
  </si>
  <si>
    <t>C1214</t>
  </si>
  <si>
    <t>ORD104530</t>
  </si>
  <si>
    <t>ORD104933</t>
  </si>
  <si>
    <t>ORD104958</t>
  </si>
  <si>
    <t>C1422</t>
  </si>
  <si>
    <t>ORD100164</t>
  </si>
  <si>
    <t>C1862</t>
  </si>
  <si>
    <t>ORD100481</t>
  </si>
  <si>
    <t>C1916</t>
  </si>
  <si>
    <t>ORD100709</t>
  </si>
  <si>
    <t>ORD100925</t>
  </si>
  <si>
    <t>ORD100959</t>
  </si>
  <si>
    <t>ORD101097</t>
  </si>
  <si>
    <t>ORD102130</t>
  </si>
  <si>
    <t>ORD102482</t>
  </si>
  <si>
    <t>C1271</t>
  </si>
  <si>
    <t>ORD102492</t>
  </si>
  <si>
    <t>C1349</t>
  </si>
  <si>
    <t>ORD102584</t>
  </si>
  <si>
    <t>ORD102899</t>
  </si>
  <si>
    <t>ORD102940</t>
  </si>
  <si>
    <t>ORD103206</t>
  </si>
  <si>
    <t>ORD103276</t>
  </si>
  <si>
    <t>C1279</t>
  </si>
  <si>
    <t>ORD103516</t>
  </si>
  <si>
    <t>C1085</t>
  </si>
  <si>
    <t>ORD103915</t>
  </si>
  <si>
    <t>C1951</t>
  </si>
  <si>
    <t>ORD104296</t>
  </si>
  <si>
    <t>ORD104358</t>
  </si>
  <si>
    <t>ORD100612</t>
  </si>
  <si>
    <t>ORD101530</t>
  </si>
  <si>
    <t>C1062</t>
  </si>
  <si>
    <t>ORD101565</t>
  </si>
  <si>
    <t>ORD101608</t>
  </si>
  <si>
    <t>C1711</t>
  </si>
  <si>
    <t>ORD102001</t>
  </si>
  <si>
    <t>ORD102110</t>
  </si>
  <si>
    <t>ORD102141</t>
  </si>
  <si>
    <t>C1297</t>
  </si>
  <si>
    <t>ORD102231</t>
  </si>
  <si>
    <t>C1679</t>
  </si>
  <si>
    <t>ORD102502</t>
  </si>
  <si>
    <t>C1324</t>
  </si>
  <si>
    <t>ORD102640</t>
  </si>
  <si>
    <t>C1648</t>
  </si>
  <si>
    <t>ORD102802</t>
  </si>
  <si>
    <t>ORD103658</t>
  </si>
  <si>
    <t>C1351</t>
  </si>
  <si>
    <t>ORD104047</t>
  </si>
  <si>
    <t>C1727</t>
  </si>
  <si>
    <t>ORD104270</t>
  </si>
  <si>
    <t>C1905</t>
  </si>
  <si>
    <t>ORD100123</t>
  </si>
  <si>
    <t>C1703</t>
  </si>
  <si>
    <t>ORD100177</t>
  </si>
  <si>
    <t>ORD100407</t>
  </si>
  <si>
    <t>C1054</t>
  </si>
  <si>
    <t>ORD100500</t>
  </si>
  <si>
    <t>C1553</t>
  </si>
  <si>
    <t>ORD101120</t>
  </si>
  <si>
    <t>C1876</t>
  </si>
  <si>
    <t>ORD101146</t>
  </si>
  <si>
    <t>C1744</t>
  </si>
  <si>
    <t>ORD101586</t>
  </si>
  <si>
    <t>ORD101780</t>
  </si>
  <si>
    <t>C1488</t>
  </si>
  <si>
    <t>ORD102700</t>
  </si>
  <si>
    <t>C1036</t>
  </si>
  <si>
    <t>ORD103137</t>
  </si>
  <si>
    <t>ORD103165</t>
  </si>
  <si>
    <t>ORD103525</t>
  </si>
  <si>
    <t>C1026</t>
  </si>
  <si>
    <t>ORD103719</t>
  </si>
  <si>
    <t>C1187</t>
  </si>
  <si>
    <t>ORD103750</t>
  </si>
  <si>
    <t>C1427</t>
  </si>
  <si>
    <t>ORD103846</t>
  </si>
  <si>
    <t>C1275</t>
  </si>
  <si>
    <t>ORD104397</t>
  </si>
  <si>
    <t>ORD100116</t>
  </si>
  <si>
    <t>ORD100324</t>
  </si>
  <si>
    <t>C1241</t>
  </si>
  <si>
    <t>ORD100589</t>
  </si>
  <si>
    <t>ORD100590</t>
  </si>
  <si>
    <t>ORD100982</t>
  </si>
  <si>
    <t>ORD101061</t>
  </si>
  <si>
    <t>ORD101875</t>
  </si>
  <si>
    <t>ORD102224</t>
  </si>
  <si>
    <t>ORD102434</t>
  </si>
  <si>
    <t>C1426</t>
  </si>
  <si>
    <t>ORD102936</t>
  </si>
  <si>
    <t>C1772</t>
  </si>
  <si>
    <t>ORD103544</t>
  </si>
  <si>
    <t>C1741</t>
  </si>
  <si>
    <t>ORD104567</t>
  </si>
  <si>
    <t>ORD104664</t>
  </si>
  <si>
    <t>ORD104861</t>
  </si>
  <si>
    <t>ORD100152</t>
  </si>
  <si>
    <t>ORD100169</t>
  </si>
  <si>
    <t>ORD100469</t>
  </si>
  <si>
    <t>ORD100954</t>
  </si>
  <si>
    <t>ORD101552</t>
  </si>
  <si>
    <t>C1352</t>
  </si>
  <si>
    <t>ORD102016</t>
  </si>
  <si>
    <t>C1867</t>
  </si>
  <si>
    <t>ORD102047</t>
  </si>
  <si>
    <t>C1509</t>
  </si>
  <si>
    <t>ORD102065</t>
  </si>
  <si>
    <t>ORD102251</t>
  </si>
  <si>
    <t>ORD102294</t>
  </si>
  <si>
    <t>C1979</t>
  </si>
  <si>
    <t>ORD102373</t>
  </si>
  <si>
    <t>ORD102562</t>
  </si>
  <si>
    <t>C1281</t>
  </si>
  <si>
    <t>ORD103358</t>
  </si>
  <si>
    <t>ORD103579</t>
  </si>
  <si>
    <t>ORD103843</t>
  </si>
  <si>
    <t>C1738</t>
  </si>
  <si>
    <t>ORD104052</t>
  </si>
  <si>
    <t>ORD104177</t>
  </si>
  <si>
    <t>ORD104315</t>
  </si>
  <si>
    <t>C1064</t>
  </si>
  <si>
    <t>ORD104542</t>
  </si>
  <si>
    <t>ORD104589</t>
  </si>
  <si>
    <t>C1552</t>
  </si>
  <si>
    <t>ORD104613</t>
  </si>
  <si>
    <t>C1537</t>
  </si>
  <si>
    <t>ORD100242</t>
  </si>
  <si>
    <t>ORD100264</t>
  </si>
  <si>
    <t>C1350</t>
  </si>
  <si>
    <t>ORD100335</t>
  </si>
  <si>
    <t>C1444</t>
  </si>
  <si>
    <t>ORD100706</t>
  </si>
  <si>
    <t>ORD100786</t>
  </si>
  <si>
    <t>C1071</t>
  </si>
  <si>
    <t>ORD100819</t>
  </si>
  <si>
    <t>C1092</t>
  </si>
  <si>
    <t>ORD101800</t>
  </si>
  <si>
    <t>C1371</t>
  </si>
  <si>
    <t>ORD102357</t>
  </si>
  <si>
    <t>C1363</t>
  </si>
  <si>
    <t>ORD103322</t>
  </si>
  <si>
    <t>C1542</t>
  </si>
  <si>
    <t>ORD103951</t>
  </si>
  <si>
    <t>C1420</t>
  </si>
  <si>
    <t>ORD104300</t>
  </si>
  <si>
    <t>ORD104404</t>
  </si>
  <si>
    <t>ORD104831</t>
  </si>
  <si>
    <t>C1086</t>
  </si>
  <si>
    <t>ORD104946</t>
  </si>
  <si>
    <t>C1095</t>
  </si>
  <si>
    <t>ORD100014</t>
  </si>
  <si>
    <t>C1313</t>
  </si>
  <si>
    <t>ORD100754</t>
  </si>
  <si>
    <t>ORD100908</t>
  </si>
  <si>
    <t>C1132</t>
  </si>
  <si>
    <t>ORD101267</t>
  </si>
  <si>
    <t>ORD101350</t>
  </si>
  <si>
    <t>ORD101478</t>
  </si>
  <si>
    <t>C1891</t>
  </si>
  <si>
    <t>ORD101858</t>
  </si>
  <si>
    <t>C1404</t>
  </si>
  <si>
    <t>ORD101940</t>
  </si>
  <si>
    <t>ORD101961</t>
  </si>
  <si>
    <t>C1147</t>
  </si>
  <si>
    <t>ORD102267</t>
  </si>
  <si>
    <t>C1831</t>
  </si>
  <si>
    <t>ORD102650</t>
  </si>
  <si>
    <t>ORD103431</t>
  </si>
  <si>
    <t>ORD103436</t>
  </si>
  <si>
    <t>ORD100901</t>
  </si>
  <si>
    <t>C1129</t>
  </si>
  <si>
    <t>ORD101707</t>
  </si>
  <si>
    <t>C1201</t>
  </si>
  <si>
    <t>ORD101935</t>
  </si>
  <si>
    <t>C1886</t>
  </si>
  <si>
    <t>ORD102052</t>
  </si>
  <si>
    <t>ORD102056</t>
  </si>
  <si>
    <t>C1960</t>
  </si>
  <si>
    <t>ORD102443</t>
  </si>
  <si>
    <t>C1436</t>
  </si>
  <si>
    <t>ORD102654</t>
  </si>
  <si>
    <t>C1473</t>
  </si>
  <si>
    <t>ORD102664</t>
  </si>
  <si>
    <t>C1541</t>
  </si>
  <si>
    <t>ORD102880</t>
  </si>
  <si>
    <t>C1385</t>
  </si>
  <si>
    <t>ORD104120</t>
  </si>
  <si>
    <t>ORD104408</t>
  </si>
  <si>
    <t>C1941</t>
  </si>
  <si>
    <t>ORD104937</t>
  </si>
  <si>
    <t>C1066</t>
  </si>
  <si>
    <t>ORD104980</t>
  </si>
  <si>
    <t>ORD100012</t>
  </si>
  <si>
    <t>C1624</t>
  </si>
  <si>
    <t>ORD100536</t>
  </si>
  <si>
    <t>ORD101487</t>
  </si>
  <si>
    <t>ORD101517</t>
  </si>
  <si>
    <t>ORD101556</t>
  </si>
  <si>
    <t>C1823</t>
  </si>
  <si>
    <t>ORD101702</t>
  </si>
  <si>
    <t>ORD101831</t>
  </si>
  <si>
    <t>ORD102129</t>
  </si>
  <si>
    <t>C1107</t>
  </si>
  <si>
    <t>ORD102132</t>
  </si>
  <si>
    <t>C1847</t>
  </si>
  <si>
    <t>ORD102147</t>
  </si>
  <si>
    <t>ORD102564</t>
  </si>
  <si>
    <t>ORD103973</t>
  </si>
  <si>
    <t>ORD104393</t>
  </si>
  <si>
    <t>ORD100638</t>
  </si>
  <si>
    <t>C1325</t>
  </si>
  <si>
    <t>ORD100808</t>
  </si>
  <si>
    <t>C1718</t>
  </si>
  <si>
    <t>ORD100972</t>
  </si>
  <si>
    <t>C1932</t>
  </si>
  <si>
    <t>ORD101201</t>
  </si>
  <si>
    <t>ORD101242</t>
  </si>
  <si>
    <t>ORD101884</t>
  </si>
  <si>
    <t>ORD102828</t>
  </si>
  <si>
    <t>ORD102881</t>
  </si>
  <si>
    <t>ORD103316</t>
  </si>
  <si>
    <t>ORD103515</t>
  </si>
  <si>
    <t>C1465</t>
  </si>
  <si>
    <t>ORD103836</t>
  </si>
  <si>
    <t>ORD103855</t>
  </si>
  <si>
    <t>C1713</t>
  </si>
  <si>
    <t>ORD104212</t>
  </si>
  <si>
    <t>C1857</t>
  </si>
  <si>
    <t>ORD104601</t>
  </si>
  <si>
    <t>C1492</t>
  </si>
  <si>
    <t>ORD104860</t>
  </si>
  <si>
    <t>C1883</t>
  </si>
  <si>
    <t>ORD100127</t>
  </si>
  <si>
    <t>C1317</t>
  </si>
  <si>
    <t>ORD100449</t>
  </si>
  <si>
    <t>C1311</t>
  </si>
  <si>
    <t>ORD100927</t>
  </si>
  <si>
    <t>ORD102014</t>
  </si>
  <si>
    <t>ORD102103</t>
  </si>
  <si>
    <t>ORD102470</t>
  </si>
  <si>
    <t>C1650</t>
  </si>
  <si>
    <t>ORD102765</t>
  </si>
  <si>
    <t>ORD103032</t>
  </si>
  <si>
    <t>C1084</t>
  </si>
  <si>
    <t>ORD103412</t>
  </si>
  <si>
    <t>C1749</t>
  </si>
  <si>
    <t>ORD103493</t>
  </si>
  <si>
    <t>ORD104461</t>
  </si>
  <si>
    <t>C1944</t>
  </si>
  <si>
    <t>ORD104628</t>
  </si>
  <si>
    <t>C1794</t>
  </si>
  <si>
    <t>ORD104960</t>
  </si>
  <si>
    <t>C1069</t>
  </si>
  <si>
    <t>ORD104971</t>
  </si>
  <si>
    <t>C1939</t>
  </si>
  <si>
    <t>ORD100184</t>
  </si>
  <si>
    <t>ORD100350</t>
  </si>
  <si>
    <t>ORD100621</t>
  </si>
  <si>
    <t>ORD100770</t>
  </si>
  <si>
    <t>ORD100862</t>
  </si>
  <si>
    <t>C1635</t>
  </si>
  <si>
    <t>ORD101727</t>
  </si>
  <si>
    <t>C1123</t>
  </si>
  <si>
    <t>ORD101916</t>
  </si>
  <si>
    <t>ORD102237</t>
  </si>
  <si>
    <t>C1747</t>
  </si>
  <si>
    <t>ORD102374</t>
  </si>
  <si>
    <t>ORD102452</t>
  </si>
  <si>
    <t>ORD102675</t>
  </si>
  <si>
    <t>ORD102744</t>
  </si>
  <si>
    <t>C1014</t>
  </si>
  <si>
    <t>ORD103097</t>
  </si>
  <si>
    <t>C1028</t>
  </si>
  <si>
    <t>ORD103178</t>
  </si>
  <si>
    <t>C1684</t>
  </si>
  <si>
    <t>ORD103233</t>
  </si>
  <si>
    <t>C1034</t>
  </si>
  <si>
    <t>ORD103379</t>
  </si>
  <si>
    <t>ORD103513</t>
  </si>
  <si>
    <t>C1545</t>
  </si>
  <si>
    <t>ORD104014</t>
  </si>
  <si>
    <t>C1729</t>
  </si>
  <si>
    <t>ORD104552</t>
  </si>
  <si>
    <t>C1340</t>
  </si>
  <si>
    <t>ORD104762</t>
  </si>
  <si>
    <t>ORD100609</t>
  </si>
  <si>
    <t>ORD101020</t>
  </si>
  <si>
    <t>C1485</t>
  </si>
  <si>
    <t>ORD101715</t>
  </si>
  <si>
    <t>C1900</t>
  </si>
  <si>
    <t>ORD103014</t>
  </si>
  <si>
    <t>ORD103357</t>
  </si>
  <si>
    <t>C1653</t>
  </si>
  <si>
    <t>ORD103956</t>
  </si>
  <si>
    <t>C1497</t>
  </si>
  <si>
    <t>ORD104221</t>
  </si>
  <si>
    <t>ORD104446</t>
  </si>
  <si>
    <t>ORD104533</t>
  </si>
  <si>
    <t>C1065</t>
  </si>
  <si>
    <t>ORD100443</t>
  </si>
  <si>
    <t>ORD100463</t>
  </si>
  <si>
    <t>ORD100785</t>
  </si>
  <si>
    <t>ORD100891</t>
  </si>
  <si>
    <t>ORD101198</t>
  </si>
  <si>
    <t>ORD101683</t>
  </si>
  <si>
    <t>ORD101892</t>
  </si>
  <si>
    <t>C1907</t>
  </si>
  <si>
    <t>ORD101973</t>
  </si>
  <si>
    <t>ORD102597</t>
  </si>
  <si>
    <t>C1921</t>
  </si>
  <si>
    <t>ORD103371</t>
  </si>
  <si>
    <t>ORD104024</t>
  </si>
  <si>
    <t>ORD100018</t>
  </si>
  <si>
    <t>C1220</t>
  </si>
  <si>
    <t>ORD100448</t>
  </si>
  <si>
    <t>C1521</t>
  </si>
  <si>
    <t>ORD100934</t>
  </si>
  <si>
    <t>C1792</t>
  </si>
  <si>
    <t>ORD101307</t>
  </si>
  <si>
    <t>ORD101587</t>
  </si>
  <si>
    <t>C1525</t>
  </si>
  <si>
    <t>ORD101984</t>
  </si>
  <si>
    <t>C1192</t>
  </si>
  <si>
    <t>ORD102512</t>
  </si>
  <si>
    <t>C1760</t>
  </si>
  <si>
    <t>ORD102545</t>
  </si>
  <si>
    <t>ORD102709</t>
  </si>
  <si>
    <t>C1663</t>
  </si>
  <si>
    <t>ORD103072</t>
  </si>
  <si>
    <t>ORD104290</t>
  </si>
  <si>
    <t>ORD104349</t>
  </si>
  <si>
    <t>ORD104602</t>
  </si>
  <si>
    <t>C1248</t>
  </si>
  <si>
    <t>ORD100790</t>
  </si>
  <si>
    <t>ORD101498</t>
  </si>
  <si>
    <t>ORD101525</t>
  </si>
  <si>
    <t>ORD101865</t>
  </si>
  <si>
    <t>ORD102255</t>
  </si>
  <si>
    <t>ORD102635</t>
  </si>
  <si>
    <t>C1970</t>
  </si>
  <si>
    <t>ORD103103</t>
  </si>
  <si>
    <t>ORD104598</t>
  </si>
  <si>
    <t>C1707</t>
  </si>
  <si>
    <t>ORD100289</t>
  </si>
  <si>
    <t>C1466</t>
  </si>
  <si>
    <t>ORD101528</t>
  </si>
  <si>
    <t>ORD102149</t>
  </si>
  <si>
    <t>C1804</t>
  </si>
  <si>
    <t>ORD102509</t>
  </si>
  <si>
    <t>C1209</t>
  </si>
  <si>
    <t>ORD102610</t>
  </si>
  <si>
    <t>C1336</t>
  </si>
  <si>
    <t>ORD102961</t>
  </si>
  <si>
    <t>C1398</t>
  </si>
  <si>
    <t>ORD103413</t>
  </si>
  <si>
    <t>C1961</t>
  </si>
  <si>
    <t>ORD104712</t>
  </si>
  <si>
    <t>C1146</t>
  </si>
  <si>
    <t>ORD104727</t>
  </si>
  <si>
    <t>ORD100015</t>
  </si>
  <si>
    <t>ORD100415</t>
  </si>
  <si>
    <t>ORD100715</t>
  </si>
  <si>
    <t>ORD100749</t>
  </si>
  <si>
    <t>C1302</t>
  </si>
  <si>
    <t>ORD100758</t>
  </si>
  <si>
    <t>ORD100794</t>
  </si>
  <si>
    <t>C1057</t>
  </si>
  <si>
    <t>ORD101527</t>
  </si>
  <si>
    <t>C1526</t>
  </si>
  <si>
    <t>ORD102666</t>
  </si>
  <si>
    <t>ORD103042</t>
  </si>
  <si>
    <t>C1443</t>
  </si>
  <si>
    <t>ORD103110</t>
  </si>
  <si>
    <t>ORD103619</t>
  </si>
  <si>
    <t>ORD104437</t>
  </si>
  <si>
    <t>ORD104629</t>
  </si>
  <si>
    <t>ORD100451</t>
  </si>
  <si>
    <t>ORD100579</t>
  </si>
  <si>
    <t>C1463</t>
  </si>
  <si>
    <t>ORD100893</t>
  </si>
  <si>
    <t>C1669</t>
  </si>
  <si>
    <t>ORD101343</t>
  </si>
  <si>
    <t>ORD101890</t>
  </si>
  <si>
    <t>ORD102836</t>
  </si>
  <si>
    <t>ORD103033</t>
  </si>
  <si>
    <t>ORD103138</t>
  </si>
  <si>
    <t>C1289</t>
  </si>
  <si>
    <t>ORD103226</t>
  </si>
  <si>
    <t>C1042</t>
  </si>
  <si>
    <t>ORD103330</t>
  </si>
  <si>
    <t>ORD103793</t>
  </si>
  <si>
    <t>ORD103977</t>
  </si>
  <si>
    <t>ORD104146</t>
  </si>
  <si>
    <t>ORD104362</t>
  </si>
  <si>
    <t>C1576</t>
  </si>
  <si>
    <t>ORD104798</t>
  </si>
  <si>
    <t>ORD104808</t>
  </si>
  <si>
    <t>ORD101409</t>
  </si>
  <si>
    <t>ORD101732</t>
  </si>
  <si>
    <t>ORD102158</t>
  </si>
  <si>
    <t>ORD102860</t>
  </si>
  <si>
    <t>ORD102937</t>
  </si>
  <si>
    <t>ORD103170</t>
  </si>
  <si>
    <t>ORD103180</t>
  </si>
  <si>
    <t>ORD103697</t>
  </si>
  <si>
    <t>C1478</t>
  </si>
  <si>
    <t>ORD103905</t>
  </si>
  <si>
    <t>C1620</t>
  </si>
  <si>
    <t>ORD103945</t>
  </si>
  <si>
    <t>C1842</t>
  </si>
  <si>
    <t>ORD104219</t>
  </si>
  <si>
    <t>ORD104627</t>
  </si>
  <si>
    <t>ORD104904</t>
  </si>
  <si>
    <t>C1580</t>
  </si>
  <si>
    <t>ORD100214</t>
  </si>
  <si>
    <t>C1038</t>
  </si>
  <si>
    <t>ORD100319</t>
  </si>
  <si>
    <t>ORD100780</t>
  </si>
  <si>
    <t>ORD101859</t>
  </si>
  <si>
    <t>ORD102023</t>
  </si>
  <si>
    <t>C1922</t>
  </si>
  <si>
    <t>ORD102029</t>
  </si>
  <si>
    <t>C1940</t>
  </si>
  <si>
    <t>ORD102473</t>
  </si>
  <si>
    <t>C1207</t>
  </si>
  <si>
    <t>ORD102698</t>
  </si>
  <si>
    <t>C1515</t>
  </si>
  <si>
    <t>ORD104112</t>
  </si>
  <si>
    <t>C1234</t>
  </si>
  <si>
    <t>ORD104507</t>
  </si>
  <si>
    <t>ORD100576</t>
  </si>
  <si>
    <t>C1631</t>
  </si>
  <si>
    <t>ORD101482</t>
  </si>
  <si>
    <t>ORD101492</t>
  </si>
  <si>
    <t>ORD101796</t>
  </si>
  <si>
    <t>C1411</t>
  </si>
  <si>
    <t>ORD101860</t>
  </si>
  <si>
    <t>C1643</t>
  </si>
  <si>
    <t>ORD102190</t>
  </si>
  <si>
    <t>C1800</t>
  </si>
  <si>
    <t>ORD102849</t>
  </si>
  <si>
    <t>C1239</t>
  </si>
  <si>
    <t>ORD102875</t>
  </si>
  <si>
    <t>ORD102876</t>
  </si>
  <si>
    <t>C1913</t>
  </si>
  <si>
    <t>ORD102998</t>
  </si>
  <si>
    <t>C1578</t>
  </si>
  <si>
    <t>ORD103191</t>
  </si>
  <si>
    <t>C1397</t>
  </si>
  <si>
    <t>ORD103359</t>
  </si>
  <si>
    <t>C1337</t>
  </si>
  <si>
    <t>ORD103740</t>
  </si>
  <si>
    <t>C1254</t>
  </si>
  <si>
    <t>ORD103850</t>
  </si>
  <si>
    <t>ORD104026</t>
  </si>
  <si>
    <t>C1461</t>
  </si>
  <si>
    <t>ORD104084</t>
  </si>
  <si>
    <t>C1506</t>
  </si>
  <si>
    <t>ORD104087</t>
  </si>
  <si>
    <t>ORD104188</t>
  </si>
  <si>
    <t>ORD104272</t>
  </si>
  <si>
    <t>C1824</t>
  </si>
  <si>
    <t>ORD104384</t>
  </si>
  <si>
    <t>ORD104576</t>
  </si>
  <si>
    <t>C1914</t>
  </si>
  <si>
    <t>ORD104755</t>
  </si>
  <si>
    <t>ORD100647</t>
  </si>
  <si>
    <t>ORD100692</t>
  </si>
  <si>
    <t>ORD101833</t>
  </si>
  <si>
    <t>C1637</t>
  </si>
  <si>
    <t>ORD102143</t>
  </si>
  <si>
    <t>ORD103094</t>
  </si>
  <si>
    <t>ORD103211</t>
  </si>
  <si>
    <t>ORD104708</t>
  </si>
  <si>
    <t>ORD104723</t>
  </si>
  <si>
    <t>ORD100453</t>
  </si>
  <si>
    <t>ORD100515</t>
  </si>
  <si>
    <t>C1879</t>
  </si>
  <si>
    <t>ORD100538</t>
  </si>
  <si>
    <t>ORD100600</t>
  </si>
  <si>
    <t>ORD100883</t>
  </si>
  <si>
    <t>ORD101593</t>
  </si>
  <si>
    <t>C1917</t>
  </si>
  <si>
    <t>ORD101664</t>
  </si>
  <si>
    <t>C1896</t>
  </si>
  <si>
    <t>ORD101764</t>
  </si>
  <si>
    <t>C1119</t>
  </si>
  <si>
    <t>ORD102667</t>
  </si>
  <si>
    <t>ORD102736</t>
  </si>
  <si>
    <t>ORD103262</t>
  </si>
  <si>
    <t>ORD103478</t>
  </si>
  <si>
    <t>ORD103834</t>
  </si>
  <si>
    <t>ORD103994</t>
  </si>
  <si>
    <t>ORD104487</t>
  </si>
  <si>
    <t>ORD104523</t>
  </si>
  <si>
    <t>ORD104753</t>
  </si>
  <si>
    <t>ORD104833</t>
  </si>
  <si>
    <t>ORD104838</t>
  </si>
  <si>
    <t>C1796</t>
  </si>
  <si>
    <t>ORD100062</t>
  </si>
  <si>
    <t>ORD100161</t>
  </si>
  <si>
    <t>C1583</t>
  </si>
  <si>
    <t>ORD100188</t>
  </si>
  <si>
    <t>C1178</t>
  </si>
  <si>
    <t>ORD100204</t>
  </si>
  <si>
    <t>ORD100244</t>
  </si>
  <si>
    <t>ORD100377</t>
  </si>
  <si>
    <t>ORD100393</t>
  </si>
  <si>
    <t>ORD100486</t>
  </si>
  <si>
    <t>ORD101212</t>
  </si>
  <si>
    <t>C1093</t>
  </si>
  <si>
    <t>ORD101545</t>
  </si>
  <si>
    <t>ORD102175</t>
  </si>
  <si>
    <t>C1798</t>
  </si>
  <si>
    <t>ORD102239</t>
  </si>
  <si>
    <t>ORD103008</t>
  </si>
  <si>
    <t>C1413</t>
  </si>
  <si>
    <t>ORD103183</t>
  </si>
  <si>
    <t>ORD103255</t>
  </si>
  <si>
    <t>ORD103298</t>
  </si>
  <si>
    <t>ORD103480</t>
  </si>
  <si>
    <t>ORD103492</t>
  </si>
  <si>
    <t>ORD103835</t>
  </si>
  <si>
    <t>ORD104356</t>
  </si>
  <si>
    <t>C1668</t>
  </si>
  <si>
    <t>ORD104729</t>
  </si>
  <si>
    <t>C1838</t>
  </si>
  <si>
    <t>ORD104850</t>
  </si>
  <si>
    <t>ORD100124</t>
  </si>
  <si>
    <t>ORD100192</t>
  </si>
  <si>
    <t>ORD101468</t>
  </si>
  <si>
    <t>ORD101579</t>
  </si>
  <si>
    <t>ORD102208</t>
  </si>
  <si>
    <t>C1646</t>
  </si>
  <si>
    <t>ORD102311</t>
  </si>
  <si>
    <t>ORD102662</t>
  </si>
  <si>
    <t>C1122</t>
  </si>
  <si>
    <t>ORD102841</t>
  </si>
  <si>
    <t>C1920</t>
  </si>
  <si>
    <t>ORD102874</t>
  </si>
  <si>
    <t>C1278</t>
  </si>
  <si>
    <t>ORD103288</t>
  </si>
  <si>
    <t>ORD104085</t>
  </si>
  <si>
    <t>ORD104298</t>
  </si>
  <si>
    <t>C1696</t>
  </si>
  <si>
    <t>ORD104395</t>
  </si>
  <si>
    <t>ORD104495</t>
  </si>
  <si>
    <t>ORD104562</t>
  </si>
  <si>
    <t>ORD104661</t>
  </si>
  <si>
    <t>ORD100009</t>
  </si>
  <si>
    <t>C1687</t>
  </si>
  <si>
    <t>ORD100561</t>
  </si>
  <si>
    <t>ORD100726</t>
  </si>
  <si>
    <t>C1628</t>
  </si>
  <si>
    <t>ORD101524</t>
  </si>
  <si>
    <t>ORD102674</t>
  </si>
  <si>
    <t>C1714</t>
  </si>
  <si>
    <t>ORD102915</t>
  </si>
  <si>
    <t>C1049</t>
  </si>
  <si>
    <t>ORD103289</t>
  </si>
  <si>
    <t>ORD103896</t>
  </si>
  <si>
    <t>ORD104343</t>
  </si>
  <si>
    <t>ORD104595</t>
  </si>
  <si>
    <t>ORD104647</t>
  </si>
  <si>
    <t>ORD100049</t>
  </si>
  <si>
    <t>C1587</t>
  </si>
  <si>
    <t>ORD100329</t>
  </si>
  <si>
    <t>ORD100367</t>
  </si>
  <si>
    <t>C1754</t>
  </si>
  <si>
    <t>ORD100369</t>
  </si>
  <si>
    <t>C1020</t>
  </si>
  <si>
    <t>ORD100575</t>
  </si>
  <si>
    <t>ORD101110</t>
  </si>
  <si>
    <t>ORD101439</t>
  </si>
  <si>
    <t>C1074</t>
  </si>
  <si>
    <t>ORD101502</t>
  </si>
  <si>
    <t>C1704</t>
  </si>
  <si>
    <t>ORD101626</t>
  </si>
  <si>
    <t>ORD101816</t>
  </si>
  <si>
    <t>ORD102450</t>
  </si>
  <si>
    <t>ORD102976</t>
  </si>
  <si>
    <t>ORD103026</t>
  </si>
  <si>
    <t>C1236</t>
  </si>
  <si>
    <t>ORD103590</t>
  </si>
  <si>
    <t>ORD104464</t>
  </si>
  <si>
    <t>C1007</t>
  </si>
  <si>
    <t>ORD104577</t>
  </si>
  <si>
    <t>ORD104754</t>
  </si>
  <si>
    <t>ORD104849</t>
  </si>
  <si>
    <t>C1333</t>
  </si>
  <si>
    <t>ORD104953</t>
  </si>
  <si>
    <t>ORD100083</t>
  </si>
  <si>
    <t>C1774</t>
  </si>
  <si>
    <t>ORD100144</t>
  </si>
  <si>
    <t>ORD100426</t>
  </si>
  <si>
    <t>ORD100588</t>
  </si>
  <si>
    <t>C1410</t>
  </si>
  <si>
    <t>ORD100738</t>
  </si>
  <si>
    <t>ORD100799</t>
  </si>
  <si>
    <t>C1068</t>
  </si>
  <si>
    <t>ORD100831</t>
  </si>
  <si>
    <t>C1536</t>
  </si>
  <si>
    <t>ORD101500</t>
  </si>
  <si>
    <t>ORD102653</t>
  </si>
  <si>
    <t>C1338</t>
  </si>
  <si>
    <t>ORD102975</t>
  </si>
  <si>
    <t>C1958</t>
  </si>
  <si>
    <t>ORD103025</t>
  </si>
  <si>
    <t>ORD103107</t>
  </si>
  <si>
    <t>ORD103870</t>
  </si>
  <si>
    <t>ORD104083</t>
  </si>
  <si>
    <t>C1161</t>
  </si>
  <si>
    <t>ORD104584</t>
  </si>
  <si>
    <t>C1709</t>
  </si>
  <si>
    <t>ORD104667</t>
  </si>
  <si>
    <t>C1409</t>
  </si>
  <si>
    <t>ORD104880</t>
  </si>
  <si>
    <t>C1120</t>
  </si>
  <si>
    <t>ORD104950</t>
  </si>
  <si>
    <t>ORD100098</t>
  </si>
  <si>
    <t>ORD100139</t>
  </si>
  <si>
    <t>C1964</t>
  </si>
  <si>
    <t>ORD100196</t>
  </si>
  <si>
    <t>C1482</t>
  </si>
  <si>
    <t>ORD100199</t>
  </si>
  <si>
    <t>ORD100571</t>
  </si>
  <si>
    <t>ORD100861</t>
  </si>
  <si>
    <t>C1244</t>
  </si>
  <si>
    <t>ORD101017</t>
  </si>
  <si>
    <t>C1926</t>
  </si>
  <si>
    <t>ORD101615</t>
  </si>
  <si>
    <t>ORD102198</t>
  </si>
  <si>
    <t>C1260</t>
  </si>
  <si>
    <t>ORD102476</t>
  </si>
  <si>
    <t>ORD102691</t>
  </si>
  <si>
    <t>ORD102846</t>
  </si>
  <si>
    <t>C1001</t>
  </si>
  <si>
    <t>ORD102879</t>
  </si>
  <si>
    <t>C1152</t>
  </si>
  <si>
    <t>ORD103419</t>
  </si>
  <si>
    <t>ORD100572</t>
  </si>
  <si>
    <t>ORD101651</t>
  </si>
  <si>
    <t>ORD102612</t>
  </si>
  <si>
    <t>ORD103112</t>
  </si>
  <si>
    <t>ORD103205</t>
  </si>
  <si>
    <t>ORD103241</t>
  </si>
  <si>
    <t>ORD104216</t>
  </si>
  <si>
    <t>C1319</t>
  </si>
  <si>
    <t>ORD104936</t>
  </si>
  <si>
    <t>ORD100060</t>
  </si>
  <si>
    <t>ORD100198</t>
  </si>
  <si>
    <t>ORD100423</t>
  </si>
  <si>
    <t>C1863</t>
  </si>
  <si>
    <t>ORD100552</t>
  </si>
  <si>
    <t>ORD100637</t>
  </si>
  <si>
    <t>C1106</t>
  </si>
  <si>
    <t>ORD100825</t>
  </si>
  <si>
    <t>C1594</t>
  </si>
  <si>
    <t>ORD101603</t>
  </si>
  <si>
    <t>ORD101807</t>
  </si>
  <si>
    <t>C1121</t>
  </si>
  <si>
    <t>ORD101998</t>
  </si>
  <si>
    <t>ORD102234</t>
  </si>
  <si>
    <t>C1935</t>
  </si>
  <si>
    <t>ORD102297</t>
  </si>
  <si>
    <t>C1733</t>
  </si>
  <si>
    <t>ORD102494</t>
  </si>
  <si>
    <t>ORD102618</t>
  </si>
  <si>
    <t>C1633</t>
  </si>
  <si>
    <t>ORD102777</t>
  </si>
  <si>
    <t>C1748</t>
  </si>
  <si>
    <t>ORD103065</t>
  </si>
  <si>
    <t>C1441</t>
  </si>
  <si>
    <t>ORD103245</t>
  </si>
  <si>
    <t>C1710</t>
  </si>
  <si>
    <t>ORD103567</t>
  </si>
  <si>
    <t>ORD104073</t>
  </si>
  <si>
    <t>ORD104655</t>
  </si>
  <si>
    <t>C1667</t>
  </si>
  <si>
    <t>ORD100316</t>
  </si>
  <si>
    <t>ORD101013</t>
  </si>
  <si>
    <t>C1908</t>
  </si>
  <si>
    <t>ORD101668</t>
  </si>
  <si>
    <t>ORD101779</t>
  </si>
  <si>
    <t>ORD102945</t>
  </si>
  <si>
    <t>C1089</t>
  </si>
  <si>
    <t>ORD103066</t>
  </si>
  <si>
    <t>ORD103563</t>
  </si>
  <si>
    <t>ORD103589</t>
  </si>
  <si>
    <t>ORD103692</t>
  </si>
  <si>
    <t>ORD104787</t>
  </si>
  <si>
    <t>C1770</t>
  </si>
  <si>
    <t>ORD100273</t>
  </si>
  <si>
    <t>ORD100748</t>
  </si>
  <si>
    <t>C1323</t>
  </si>
  <si>
    <t>ORD102427</t>
  </si>
  <si>
    <t>ORD102735</t>
  </si>
  <si>
    <t>C1400</t>
  </si>
  <si>
    <t>ORD103303</t>
  </si>
  <si>
    <t>ORD104174</t>
  </si>
  <si>
    <t>ORD104308</t>
  </si>
  <si>
    <t>C1048</t>
  </si>
  <si>
    <t>ORD104905</t>
  </si>
  <si>
    <t>C1484</t>
  </si>
  <si>
    <t>ORD100613</t>
  </si>
  <si>
    <t>ORD100693</t>
  </si>
  <si>
    <t>C1458</t>
  </si>
  <si>
    <t>ORD101479</t>
  </si>
  <si>
    <t>ORD101977</t>
  </si>
  <si>
    <t>C1245</t>
  </si>
  <si>
    <t>ORD103291</t>
  </si>
  <si>
    <t>C1828</t>
  </si>
  <si>
    <t>ORD103362</t>
  </si>
  <si>
    <t>C1591</t>
  </si>
  <si>
    <t>ORD103496</t>
  </si>
  <si>
    <t>C1215</t>
  </si>
  <si>
    <t>ORD103807</t>
  </si>
  <si>
    <t>ORD103876</t>
  </si>
  <si>
    <t>ORD104378</t>
  </si>
  <si>
    <t>ORD104854</t>
  </si>
  <si>
    <t>C1662</t>
  </si>
  <si>
    <t>ORD100253</t>
  </si>
  <si>
    <t>C1018</t>
  </si>
  <si>
    <t>ORD100258</t>
  </si>
  <si>
    <t>ORD100315</t>
  </si>
  <si>
    <t>C1070</t>
  </si>
  <si>
    <t>ORD100550</t>
  </si>
  <si>
    <t>ORD100656</t>
  </si>
  <si>
    <t>C1195</t>
  </si>
  <si>
    <t>ORD100668</t>
  </si>
  <si>
    <t>C1128</t>
  </si>
  <si>
    <t>ORD100724</t>
  </si>
  <si>
    <t>ORD100774</t>
  </si>
  <si>
    <t>ORD102578</t>
  </si>
  <si>
    <t>ORD103370</t>
  </si>
  <si>
    <t>ORD103617</t>
  </si>
  <si>
    <t>ORD103649</t>
  </si>
  <si>
    <t>C1721</t>
  </si>
  <si>
    <t>ORD103800</t>
  </si>
  <si>
    <t>ORD103830</t>
  </si>
  <si>
    <t>ORD103899</t>
  </si>
  <si>
    <t>ORD103986</t>
  </si>
  <si>
    <t>C1265</t>
  </si>
  <si>
    <t>ORD104494</t>
  </si>
  <si>
    <t>ORD104791</t>
  </si>
  <si>
    <t>ORD100274</t>
  </si>
  <si>
    <t>ORD100654</t>
  </si>
  <si>
    <t>ORD100674</t>
  </si>
  <si>
    <t>C1532</t>
  </si>
  <si>
    <t>ORD100874</t>
  </si>
  <si>
    <t>C1470</t>
  </si>
  <si>
    <t>ORD101042</t>
  </si>
  <si>
    <t>C1021</t>
  </si>
  <si>
    <t>ORD101329</t>
  </si>
  <si>
    <t>ORD102519</t>
  </si>
  <si>
    <t>C1934</t>
  </si>
  <si>
    <t>ORD102530</t>
  </si>
  <si>
    <t>ORD102838</t>
  </si>
  <si>
    <t>ORD103090</t>
  </si>
  <si>
    <t>C1080</t>
  </si>
  <si>
    <t>ORD103540</t>
  </si>
  <si>
    <t>C1189</t>
  </si>
  <si>
    <t>ORD103803</t>
  </si>
  <si>
    <t>ORD103941</t>
  </si>
  <si>
    <t>ORD104147</t>
  </si>
  <si>
    <t>ORD104190</t>
  </si>
  <si>
    <t>C1252</t>
  </si>
  <si>
    <t>ORD104381</t>
  </si>
  <si>
    <t>ORD104508</t>
  </si>
  <si>
    <t>C1673</t>
  </si>
  <si>
    <t>ORD101181</t>
  </si>
  <si>
    <t>ORD101315</t>
  </si>
  <si>
    <t>ORD101497</t>
  </si>
  <si>
    <t>ORD101776</t>
  </si>
  <si>
    <t>C1688</t>
  </si>
  <si>
    <t>ORD101846</t>
  </si>
  <si>
    <t>ORD102044</t>
  </si>
  <si>
    <t>ORD102244</t>
  </si>
  <si>
    <t>ORD102380</t>
  </si>
  <si>
    <t>ORD102600</t>
  </si>
  <si>
    <t>ORD103124</t>
  </si>
  <si>
    <t>ORD103571</t>
  </si>
  <si>
    <t>ORD104184</t>
  </si>
  <si>
    <t>ORD104327</t>
  </si>
  <si>
    <t>ORD104724</t>
  </si>
  <si>
    <t>C1871</t>
  </si>
  <si>
    <t>ORD104758</t>
  </si>
  <si>
    <t>ORD100361</t>
  </si>
  <si>
    <t>C1505</t>
  </si>
  <si>
    <t>ORD100739</t>
  </si>
  <si>
    <t>ORD101133</t>
  </si>
  <si>
    <t>ORD101364</t>
  </si>
  <si>
    <t>ORD101645</t>
  </si>
  <si>
    <t>C1125</t>
  </si>
  <si>
    <t>ORD102614</t>
  </si>
  <si>
    <t>ORD102954</t>
  </si>
  <si>
    <t>C1140</t>
  </si>
  <si>
    <t>ORD103208</t>
  </si>
  <si>
    <t>C1266</t>
  </si>
  <si>
    <t>ORD103969</t>
  </si>
  <si>
    <t>C1986</t>
  </si>
  <si>
    <t>ORD104333</t>
  </si>
  <si>
    <t>ORD104440</t>
  </si>
  <si>
    <t>ORD104477</t>
  </si>
  <si>
    <t>ORD100095</t>
  </si>
  <si>
    <t>C1623</t>
  </si>
  <si>
    <t>ORD100507</t>
  </si>
  <si>
    <t>ORD100642</t>
  </si>
  <si>
    <t>C1560</t>
  </si>
  <si>
    <t>ORD101078</t>
  </si>
  <si>
    <t>C1430</t>
  </si>
  <si>
    <t>ORD101115</t>
  </si>
  <si>
    <t>C1367</t>
  </si>
  <si>
    <t>ORD101236</t>
  </si>
  <si>
    <t>C1539</t>
  </si>
  <si>
    <t>ORD101877</t>
  </si>
  <si>
    <t>ORD101885</t>
  </si>
  <si>
    <t>ORD102084</t>
  </si>
  <si>
    <t>ORD102187</t>
  </si>
  <si>
    <t>ORD102364</t>
  </si>
  <si>
    <t>C1495</t>
  </si>
  <si>
    <t>ORD102463</t>
  </si>
  <si>
    <t>C1124</t>
  </si>
  <si>
    <t>ORD102505</t>
  </si>
  <si>
    <t>C1113</t>
  </si>
  <si>
    <t>ORD102682</t>
  </si>
  <si>
    <t>ORD102988</t>
  </si>
  <si>
    <t>C1983</t>
  </si>
  <si>
    <t>ORD103104</t>
  </si>
  <si>
    <t>ORD103360</t>
  </si>
  <si>
    <t>ORD103394</t>
  </si>
  <si>
    <t>ORD103669</t>
  </si>
  <si>
    <t>C1188</t>
  </si>
  <si>
    <t>ORD103720</t>
  </si>
  <si>
    <t>ORD103860</t>
  </si>
  <si>
    <t>ORD104225</t>
  </si>
  <si>
    <t>ORD104379</t>
  </si>
  <si>
    <t>ORD104834</t>
  </si>
  <si>
    <t>ORD104974</t>
  </si>
  <si>
    <t>C1590</t>
  </si>
  <si>
    <t>ORD101489</t>
  </si>
  <si>
    <t>ORD102070</t>
  </si>
  <si>
    <t>C1415</t>
  </si>
  <si>
    <t>ORD102152</t>
  </si>
  <si>
    <t>C1584</t>
  </si>
  <si>
    <t>ORD102721</t>
  </si>
  <si>
    <t>ORD103561</t>
  </si>
  <si>
    <t>ORD103695</t>
  </si>
  <si>
    <t>ORD104077</t>
  </si>
  <si>
    <t>ORD104322</t>
  </si>
  <si>
    <t>C1881</t>
  </si>
  <si>
    <t>ORD104663</t>
  </si>
  <si>
    <t>ORD104811</t>
  </si>
  <si>
    <t>ORD100061</t>
  </si>
  <si>
    <t>ORD100587</t>
  </si>
  <si>
    <t>ORD100591</t>
  </si>
  <si>
    <t>C1386</t>
  </si>
  <si>
    <t>ORD100838</t>
  </si>
  <si>
    <t>ORD101375</t>
  </si>
  <si>
    <t>ORD101546</t>
  </si>
  <si>
    <t>ORD101876</t>
  </si>
  <si>
    <t>ORD102339</t>
  </si>
  <si>
    <t>ORD103531</t>
  </si>
  <si>
    <t>ORD103550</t>
  </si>
  <si>
    <t>C1956</t>
  </si>
  <si>
    <t>ORD103562</t>
  </si>
  <si>
    <t>ORD103576</t>
  </si>
  <si>
    <t>C1288</t>
  </si>
  <si>
    <t>ORD104090</t>
  </si>
  <si>
    <t>ORD104775</t>
  </si>
  <si>
    <t>C1242</t>
  </si>
  <si>
    <t>ORD100496</t>
  </si>
  <si>
    <t>C1746</t>
  </si>
  <si>
    <t>ORD100777</t>
  </si>
  <si>
    <t>ORD100963</t>
  </si>
  <si>
    <t>C1228</t>
  </si>
  <si>
    <t>ORD101044</t>
  </si>
  <si>
    <t>ORD101088</t>
  </si>
  <si>
    <t>ORD101222</t>
  </si>
  <si>
    <t>ORD101456</t>
  </si>
  <si>
    <t>ORD101590</t>
  </si>
  <si>
    <t>C1167</t>
  </si>
  <si>
    <t>ORD101636</t>
  </si>
  <si>
    <t>ORD101758</t>
  </si>
  <si>
    <t>ORD101956</t>
  </si>
  <si>
    <t>ORD102069</t>
  </si>
  <si>
    <t>C1996</t>
  </si>
  <si>
    <t>ORD102382</t>
  </si>
  <si>
    <t>C1369</t>
  </si>
  <si>
    <t>ORD102623</t>
  </si>
  <si>
    <t>C1176</t>
  </si>
  <si>
    <t>ORD102921</t>
  </si>
  <si>
    <t>ORD103314</t>
  </si>
  <si>
    <t>ORD103452</t>
  </si>
  <si>
    <t>ORD103497</t>
  </si>
  <si>
    <t>ORD103593</t>
  </si>
  <si>
    <t>C1378</t>
  </si>
  <si>
    <t>ORD104207</t>
  </si>
  <si>
    <t>C1346</t>
  </si>
  <si>
    <t>ORD104540</t>
  </si>
  <si>
    <t>ORD104619</t>
  </si>
  <si>
    <t>ORD104940</t>
  </si>
  <si>
    <t>ORD100991</t>
  </si>
  <si>
    <t>C1392</t>
  </si>
  <si>
    <t>ORD101141</t>
  </si>
  <si>
    <t>ORD101145</t>
  </si>
  <si>
    <t>ORD102053</t>
  </si>
  <si>
    <t>ORD102586</t>
  </si>
  <si>
    <t>C1334</t>
  </si>
  <si>
    <t>ORD102842</t>
  </si>
  <si>
    <t>C1403</t>
  </si>
  <si>
    <t>ORD103050</t>
  </si>
  <si>
    <t>ORD103302</t>
  </si>
  <si>
    <t>ORD103538</t>
  </si>
  <si>
    <t>ORD103759</t>
  </si>
  <si>
    <t>C1414</t>
  </si>
  <si>
    <t>ORD104258</t>
  </si>
  <si>
    <t>ORD104537</t>
  </si>
  <si>
    <t>ORD104931</t>
  </si>
  <si>
    <t>ORD100217</t>
  </si>
  <si>
    <t>ORD100291</t>
  </si>
  <si>
    <t>ORD100308</t>
  </si>
  <si>
    <t>ORD100585</t>
  </si>
  <si>
    <t>ORD100636</t>
  </si>
  <si>
    <t>ORD101128</t>
  </si>
  <si>
    <t>ORD101604</t>
  </si>
  <si>
    <t>ORD102010</t>
  </si>
  <si>
    <t>ORD102273</t>
  </si>
  <si>
    <t>C1797</t>
  </si>
  <si>
    <t>ORD102465</t>
  </si>
  <si>
    <t>ORD102626</t>
  </si>
  <si>
    <t>ORD102795</t>
  </si>
  <si>
    <t>ORD103472</t>
  </si>
  <si>
    <t>ORD103530</t>
  </si>
  <si>
    <t>ORD103873</t>
  </si>
  <si>
    <t>ORD104137</t>
  </si>
  <si>
    <t>C1513</t>
  </si>
  <si>
    <t>ORD104509</t>
  </si>
  <si>
    <t>C1731</t>
  </si>
  <si>
    <t>ORD100026</t>
  </si>
  <si>
    <t>ORD100252</t>
  </si>
  <si>
    <t>ORD100743</t>
  </si>
  <si>
    <t>ORD101084</t>
  </si>
  <si>
    <t>C1097</t>
  </si>
  <si>
    <t>ORD101319</t>
  </si>
  <si>
    <t>C1096</t>
  </si>
  <si>
    <t>ORD101466</t>
  </si>
  <si>
    <t>C1301</t>
  </si>
  <si>
    <t>ORD101818</t>
  </si>
  <si>
    <t>C1625</t>
  </si>
  <si>
    <t>ORD102072</t>
  </si>
  <si>
    <t>ORD102381</t>
  </si>
  <si>
    <t>ORD103318</t>
  </si>
  <si>
    <t>ORD103403</t>
  </si>
  <si>
    <t>ORD103615</t>
  </si>
  <si>
    <t>ORD103668</t>
  </si>
  <si>
    <t>ORD103712</t>
  </si>
  <si>
    <t>ORD103756</t>
  </si>
  <si>
    <t>ORD104259</t>
  </si>
  <si>
    <t>ORD104829</t>
  </si>
  <si>
    <t>ORD104914</t>
  </si>
  <si>
    <t>C1836</t>
  </si>
  <si>
    <t>ORD100133</t>
  </si>
  <si>
    <t>C1432</t>
  </si>
  <si>
    <t>ORD100990</t>
  </si>
  <si>
    <t>ORD101536</t>
  </si>
  <si>
    <t>ORD101873</t>
  </si>
  <si>
    <t>ORD101947</t>
  </si>
  <si>
    <t>ORD102356</t>
  </si>
  <si>
    <t>ORD104071</t>
  </si>
  <si>
    <t>ORD104340</t>
  </si>
  <si>
    <t>ORD104909</t>
  </si>
  <si>
    <t>ORD100201</t>
  </si>
  <si>
    <t>C1452</t>
  </si>
  <si>
    <t>ORD100282</t>
  </si>
  <si>
    <t>ORD100750</t>
  </si>
  <si>
    <t>ORD101277</t>
  </si>
  <si>
    <t>C1417</t>
  </si>
  <si>
    <t>ORD102171</t>
  </si>
  <si>
    <t>ORD102576</t>
  </si>
  <si>
    <t>ORD102582</t>
  </si>
  <si>
    <t>ORD102981</t>
  </si>
  <si>
    <t>ORD103228</t>
  </si>
  <si>
    <t>ORD104051</t>
  </si>
  <si>
    <t>ORD104528</t>
  </si>
  <si>
    <t>ORD104618</t>
  </si>
  <si>
    <t>ORD100255</t>
  </si>
  <si>
    <t>ORD100379</t>
  </si>
  <si>
    <t>ORD100574</t>
  </si>
  <si>
    <t>ORD100947</t>
  </si>
  <si>
    <t>C1050</t>
  </si>
  <si>
    <t>ORD101127</t>
  </si>
  <si>
    <t>C1923</t>
  </si>
  <si>
    <t>ORD101750</t>
  </si>
  <si>
    <t>ORD101848</t>
  </si>
  <si>
    <t>ORD102050</t>
  </si>
  <si>
    <t>C1972</t>
  </si>
  <si>
    <t>ORD102137</t>
  </si>
  <si>
    <t>ORD102181</t>
  </si>
  <si>
    <t>ORD102246</t>
  </si>
  <si>
    <t>ORD102806</t>
  </si>
  <si>
    <t>C1769</t>
  </si>
  <si>
    <t>ORD103518</t>
  </si>
  <si>
    <t>ORD103853</t>
  </si>
  <si>
    <t>ORD103998</t>
  </si>
  <si>
    <t>ORD104060</t>
  </si>
  <si>
    <t>C1854</t>
  </si>
  <si>
    <t>ORD104118</t>
  </si>
  <si>
    <t>C1852</t>
  </si>
  <si>
    <t>ORD104818</t>
  </si>
  <si>
    <t>ORD104845</t>
  </si>
  <si>
    <t>ORD100447</t>
  </si>
  <si>
    <t>C1306</t>
  </si>
  <si>
    <t>ORD100527</t>
  </si>
  <si>
    <t>ORD100596</t>
  </si>
  <si>
    <t>C1990</t>
  </si>
  <si>
    <t>ORD100664</t>
  </si>
  <si>
    <t>ORD101006</t>
  </si>
  <si>
    <t>ORD101011</t>
  </si>
  <si>
    <t>ORD101705</t>
  </si>
  <si>
    <t>ORD101972</t>
  </si>
  <si>
    <t>ORD102558</t>
  </si>
  <si>
    <t>C1145</t>
  </si>
  <si>
    <t>ORD102778</t>
  </si>
  <si>
    <t>ORD102995</t>
  </si>
  <si>
    <t>C1256</t>
  </si>
  <si>
    <t>ORD103280</t>
  </si>
  <si>
    <t>ORD103320</t>
  </si>
  <si>
    <t>ORD103878</t>
  </si>
  <si>
    <t>ORD103900</t>
  </si>
  <si>
    <t>ORD103940</t>
  </si>
  <si>
    <t>C1490</t>
  </si>
  <si>
    <t>ORD104150</t>
  </si>
  <si>
    <t>ORD104269</t>
  </si>
  <si>
    <t>ORD104325</t>
  </si>
  <si>
    <t>C1155</t>
  </si>
  <si>
    <t>ORD100563</t>
  </si>
  <si>
    <t>ORD100564</t>
  </si>
  <si>
    <t>ORD100974</t>
  </si>
  <si>
    <t>C1156</t>
  </si>
  <si>
    <t>ORD101165</t>
  </si>
  <si>
    <t>ORD101392</t>
  </si>
  <si>
    <t>ORD102513</t>
  </si>
  <si>
    <t>ORD103498</t>
  </si>
  <si>
    <t>C1046</t>
  </si>
  <si>
    <t>ORD104030</t>
  </si>
  <si>
    <t>ORD104067</t>
  </si>
  <si>
    <t>C1083</t>
  </si>
  <si>
    <t>ORD101176</t>
  </si>
  <si>
    <t>ORD101523</t>
  </si>
  <si>
    <t>ORD101901</t>
  </si>
  <si>
    <t>ORD101978</t>
  </si>
  <si>
    <t>ORD102352</t>
  </si>
  <si>
    <t>C1514</t>
  </si>
  <si>
    <t>ORD102481</t>
  </si>
  <si>
    <t>ORD102619</t>
  </si>
  <si>
    <t>ORD103690</t>
  </si>
  <si>
    <t>ORD104012</t>
  </si>
  <si>
    <t>C1977</t>
  </si>
  <si>
    <t>ORD104389</t>
  </si>
  <si>
    <t>C1901</t>
  </si>
  <si>
    <t>ORD104504</t>
  </si>
  <si>
    <t>ORD104684</t>
  </si>
  <si>
    <t>ORD104770</t>
  </si>
  <si>
    <t>ORD100531</t>
  </si>
  <si>
    <t>C1556</t>
  </si>
  <si>
    <t>ORD100764</t>
  </si>
  <si>
    <t>ORD101034</t>
  </si>
  <si>
    <t>ORD101193</t>
  </si>
  <si>
    <t>ORD101326</t>
  </si>
  <si>
    <t>ORD101341</t>
  </si>
  <si>
    <t>ORD101676</t>
  </si>
  <si>
    <t>ORD102166</t>
  </si>
  <si>
    <t>ORD102258</t>
  </si>
  <si>
    <t>ORD102883</t>
  </si>
  <si>
    <t>ORD103752</t>
  </si>
  <si>
    <t>ORD103852</t>
  </si>
  <si>
    <t>ORD100884</t>
  </si>
  <si>
    <t>ORD100996</t>
  </si>
  <si>
    <t>C1902</t>
  </si>
  <si>
    <t>ORD101076</t>
  </si>
  <si>
    <t>ORD101918</t>
  </si>
  <si>
    <t>ORD102055</t>
  </si>
  <si>
    <t>ORD103238</t>
  </si>
  <si>
    <t>ORD103411</t>
  </si>
  <si>
    <t>ORD104369</t>
  </si>
  <si>
    <t>ORD100297</t>
  </si>
  <si>
    <t>ORD101010</t>
  </si>
  <si>
    <t>ORD101432</t>
  </si>
  <si>
    <t>ORD101467</t>
  </si>
  <si>
    <t>C1697</t>
  </si>
  <si>
    <t>ORD101720</t>
  </si>
  <si>
    <t>ORD101761</t>
  </si>
  <si>
    <t>ORD101825</t>
  </si>
  <si>
    <t>C1376</t>
  </si>
  <si>
    <t>ORD101827</t>
  </si>
  <si>
    <t>ORD101854</t>
  </si>
  <si>
    <t>ORD101943</t>
  </si>
  <si>
    <t>ORD102031</t>
  </si>
  <si>
    <t>ORD102844</t>
  </si>
  <si>
    <t>ORD102913</t>
  </si>
  <si>
    <t>ORD103377</t>
  </si>
  <si>
    <t>C1555</t>
  </si>
  <si>
    <t>ORD103889</t>
  </si>
  <si>
    <t>ORD104604</t>
  </si>
  <si>
    <t>ORD100425</t>
  </si>
  <si>
    <t>ORD100523</t>
  </si>
  <si>
    <t>ORD100968</t>
  </si>
  <si>
    <t>ORD101937</t>
  </si>
  <si>
    <t>ORD102128</t>
  </si>
  <si>
    <t>C1308</t>
  </si>
  <si>
    <t>ORD102515</t>
  </si>
  <si>
    <t>ORD103144</t>
  </si>
  <si>
    <t>ORD103361</t>
  </si>
  <si>
    <t>ORD103401</t>
  </si>
  <si>
    <t>ORD103688</t>
  </si>
  <si>
    <t>ORD103784</t>
  </si>
  <si>
    <t>ORD103918</t>
  </si>
  <si>
    <t>ORD104100</t>
  </si>
  <si>
    <t>ORD104170</t>
  </si>
  <si>
    <t>ORD104410</t>
  </si>
  <si>
    <t>ORD104454</t>
  </si>
  <si>
    <t>C1296</t>
  </si>
  <si>
    <t>ORD104917</t>
  </si>
  <si>
    <t>ORD104999</t>
  </si>
  <si>
    <t>ORD100875</t>
  </si>
  <si>
    <t>C1538</t>
  </si>
  <si>
    <t>ORD101336</t>
  </si>
  <si>
    <t>C1739</t>
  </si>
  <si>
    <t>ORD102511</t>
  </si>
  <si>
    <t>ORD103005</t>
  </si>
  <si>
    <t>ORD103156</t>
  </si>
  <si>
    <t>C1197</t>
  </si>
  <si>
    <t>ORD103193</t>
  </si>
  <si>
    <t>ORD104749</t>
  </si>
  <si>
    <t>ORD104934</t>
  </si>
  <si>
    <t>ORD104948</t>
  </si>
  <si>
    <t>C1523</t>
  </si>
  <si>
    <t>ORD100079</t>
  </si>
  <si>
    <t>ORD100390</t>
  </si>
  <si>
    <t>ORD100511</t>
  </si>
  <si>
    <t>ORD101464</t>
  </si>
  <si>
    <t>ORD101990</t>
  </si>
  <si>
    <t>ORD102228</t>
  </si>
  <si>
    <t>C1803</t>
  </si>
  <si>
    <t>ORD102596</t>
  </si>
  <si>
    <t>ORD102820</t>
  </si>
  <si>
    <t>ORD103922</t>
  </si>
  <si>
    <t>ORD104108</t>
  </si>
  <si>
    <t>ORD104213</t>
  </si>
  <si>
    <t>ORD100044</t>
  </si>
  <si>
    <t>ORD100549</t>
  </si>
  <si>
    <t>C1621</t>
  </si>
  <si>
    <t>ORD100623</t>
  </si>
  <si>
    <t>C1258</t>
  </si>
  <si>
    <t>ORD100782</t>
  </si>
  <si>
    <t>ORD101053</t>
  </si>
  <si>
    <t>ORD101208</t>
  </si>
  <si>
    <t>ORD101666</t>
  </si>
  <si>
    <t>ORD102896</t>
  </si>
  <si>
    <t>ORD102909</t>
  </si>
  <si>
    <t>ORD102974</t>
  </si>
  <si>
    <t>ORD103127</t>
  </si>
  <si>
    <t>ORD103176</t>
  </si>
  <si>
    <t>ORD103256</t>
  </si>
  <si>
    <t>ORD103535</t>
  </si>
  <si>
    <t>ORD103572</t>
  </si>
  <si>
    <t>ORD103586</t>
  </si>
  <si>
    <t>ORD103596</t>
  </si>
  <si>
    <t>ORD103599</t>
  </si>
  <si>
    <t>ORD100178</t>
  </si>
  <si>
    <t>ORD100937</t>
  </si>
  <si>
    <t>C1581</t>
  </si>
  <si>
    <t>ORD101379</t>
  </si>
  <si>
    <t>ORD101566</t>
  </si>
  <si>
    <t>ORD101609</t>
  </si>
  <si>
    <t>C1835</t>
  </si>
  <si>
    <t>ORD101929</t>
  </si>
  <si>
    <t>C1246</t>
  </si>
  <si>
    <t>ORD102083</t>
  </si>
  <si>
    <t>C1150</t>
  </si>
  <si>
    <t>ORD102192</t>
  </si>
  <si>
    <t>C1895</t>
  </si>
  <si>
    <t>ORD102676</t>
  </si>
  <si>
    <t>ORD102793</t>
  </si>
  <si>
    <t>C1965</t>
  </si>
  <si>
    <t>ORD102973</t>
  </si>
  <si>
    <t>ORD103004</t>
  </si>
  <si>
    <t>ORD103048</t>
  </si>
  <si>
    <t>ORD103754</t>
  </si>
  <si>
    <t>ORD103946</t>
  </si>
  <si>
    <t>C1563</t>
  </si>
  <si>
    <t>ORD104767</t>
  </si>
  <si>
    <t>C1598</t>
  </si>
  <si>
    <t>ORD100279</t>
  </si>
  <si>
    <t>ORD100530</t>
  </si>
  <si>
    <t>C1959</t>
  </si>
  <si>
    <t>ORD100555</t>
  </si>
  <si>
    <t>ORD100768</t>
  </si>
  <si>
    <t>ORD101588</t>
  </si>
  <si>
    <t>ORD102446</t>
  </si>
  <si>
    <t>C1347</t>
  </si>
  <si>
    <t>ORD102882</t>
  </si>
  <si>
    <t>ORD103188</t>
  </si>
  <si>
    <t>ORD104240</t>
  </si>
  <si>
    <t>C1148</t>
  </si>
  <si>
    <t>ORD104427</t>
  </si>
  <si>
    <t>ORD104568</t>
  </si>
  <si>
    <t>ORD104668</t>
  </si>
  <si>
    <t>ORD104742</t>
  </si>
  <si>
    <t>ORD104746</t>
  </si>
  <si>
    <t>ORD104843</t>
  </si>
  <si>
    <t>ORD101243</t>
  </si>
  <si>
    <t>ORD101505</t>
  </si>
  <si>
    <t>ORD101582</t>
  </si>
  <si>
    <t>C1468</t>
  </si>
  <si>
    <t>ORD102692</t>
  </si>
  <si>
    <t>ORD102914</t>
  </si>
  <si>
    <t>ORD103023</t>
  </si>
  <si>
    <t>ORD103155</t>
  </si>
  <si>
    <t>ORD103849</t>
  </si>
  <si>
    <t>ORD103869</t>
  </si>
  <si>
    <t>C1247</t>
  </si>
  <si>
    <t>ORD104004</t>
  </si>
  <si>
    <t>ORD104176</t>
  </si>
  <si>
    <t>ORD104192</t>
  </si>
  <si>
    <t>ORD104645</t>
  </si>
  <si>
    <t>C1435</t>
  </si>
  <si>
    <t>ORD104939</t>
  </si>
  <si>
    <t>ORD100030</t>
  </si>
  <si>
    <t>ORD100104</t>
  </si>
  <si>
    <t>ORD100394</t>
  </si>
  <si>
    <t>ORD100525</t>
  </si>
  <si>
    <t>C1368</t>
  </si>
  <si>
    <t>ORD100534</t>
  </si>
  <si>
    <t>ORD101101</t>
  </si>
  <si>
    <t>ORD101103</t>
  </si>
  <si>
    <t>ORD101189</t>
  </si>
  <si>
    <t>ORD101210</t>
  </si>
  <si>
    <t>C1382</t>
  </si>
  <si>
    <t>ORD101291</t>
  </si>
  <si>
    <t>ORD101982</t>
  </si>
  <si>
    <t>ORD102035</t>
  </si>
  <si>
    <t>ORD102621</t>
  </si>
  <si>
    <t>ORD102702</t>
  </si>
  <si>
    <t>ORD103787</t>
  </si>
  <si>
    <t>C1471</t>
  </si>
  <si>
    <t>ORD103908</t>
  </si>
  <si>
    <t>ORD103968</t>
  </si>
  <si>
    <t>ORD104094</t>
  </si>
  <si>
    <t>ORD104128</t>
  </si>
  <si>
    <t>ORD104306</t>
  </si>
  <si>
    <t>ORD104797</t>
  </si>
  <si>
    <t>C1878</t>
  </si>
  <si>
    <t>ORD104803</t>
  </si>
  <si>
    <t>ORD100325</t>
  </si>
  <si>
    <t>ORD100344</t>
  </si>
  <si>
    <t>ORD100541</t>
  </si>
  <si>
    <t>ORD100775</t>
  </si>
  <si>
    <t>C1044</t>
  </si>
  <si>
    <t>ORD101460</t>
  </si>
  <si>
    <t>ORD101941</t>
  </si>
  <si>
    <t>ORD102517</t>
  </si>
  <si>
    <t>ORD103039</t>
  </si>
  <si>
    <t>ORD103398</t>
  </si>
  <si>
    <t>ORD104657</t>
  </si>
  <si>
    <t>ORD104801</t>
  </si>
  <si>
    <t>ORD104865</t>
  </si>
  <si>
    <t>ORD100245</t>
  </si>
  <si>
    <t>ORD100416</t>
  </si>
  <si>
    <t>ORD100614</t>
  </si>
  <si>
    <t>ORD100625</t>
  </si>
  <si>
    <t>ORD100932</t>
  </si>
  <si>
    <t>ORD100977</t>
  </si>
  <si>
    <t>ORD101199</t>
  </si>
  <si>
    <t>ORD101293</t>
  </si>
  <si>
    <t>ORD102172</t>
  </si>
  <si>
    <t>ORD102218</t>
  </si>
  <si>
    <t>ORD102730</t>
  </si>
  <si>
    <t>ORD103081</t>
  </si>
  <si>
    <t>ORD104159</t>
  </si>
  <si>
    <t>ORD100278</t>
  </si>
  <si>
    <t>C1105</t>
  </si>
  <si>
    <t>ORD100474</t>
  </si>
  <si>
    <t>C1927</t>
  </si>
  <si>
    <t>ORD100520</t>
  </si>
  <si>
    <t>ORD100900</t>
  </si>
  <si>
    <t>ORD101105</t>
  </si>
  <si>
    <t>ORD101281</t>
  </si>
  <si>
    <t>ORD101642</t>
  </si>
  <si>
    <t>ORD102603</t>
  </si>
  <si>
    <t>ORD102798</t>
  </si>
  <si>
    <t>C1424</t>
  </si>
  <si>
    <t>ORD103095</t>
  </si>
  <si>
    <t>ORD103259</t>
  </si>
  <si>
    <t>ORD103749</t>
  </si>
  <si>
    <t>ORD103992</t>
  </si>
  <si>
    <t>C1884</t>
  </si>
  <si>
    <t>ORD104365</t>
  </si>
  <si>
    <t>ORD104485</t>
  </si>
  <si>
    <t>ORD104846</t>
  </si>
  <si>
    <t>ORD104894</t>
  </si>
  <si>
    <t>ORD104911</t>
  </si>
  <si>
    <t>ORD100176</t>
  </si>
  <si>
    <t>ORD101148</t>
  </si>
  <si>
    <t>ORD101413</t>
  </si>
  <si>
    <t>ORD102877</t>
  </si>
  <si>
    <t>ORD103252</t>
  </si>
  <si>
    <t>ORD103490</t>
  </si>
  <si>
    <t>ORD103689</t>
  </si>
  <si>
    <t>ORD104256</t>
  </si>
  <si>
    <t>ORD104276</t>
  </si>
  <si>
    <t>C1615</t>
  </si>
  <si>
    <t>ORD104301</t>
  </si>
  <si>
    <t>ORD104772</t>
  </si>
  <si>
    <t>ORD100260</t>
  </si>
  <si>
    <t>ORD100626</t>
  </si>
  <si>
    <t>ORD100653</t>
  </si>
  <si>
    <t>ORD101857</t>
  </si>
  <si>
    <t>ORD102046</t>
  </si>
  <si>
    <t>ORD102724</t>
  </si>
  <si>
    <t>C1058</t>
  </si>
  <si>
    <t>ORD103093</t>
  </si>
  <si>
    <t>ORD103174</t>
  </si>
  <si>
    <t>ORD103866</t>
  </si>
  <si>
    <t>C1225</t>
  </si>
  <si>
    <t>ORD103975</t>
  </si>
  <si>
    <t>ORD104154</t>
  </si>
  <si>
    <t>ORD104409</t>
  </si>
  <si>
    <t>ORD104998</t>
  </si>
  <si>
    <t>ORD100345</t>
  </si>
  <si>
    <t>C1230</t>
  </si>
  <si>
    <t>ORD100383</t>
  </si>
  <si>
    <t>ORD100711</t>
  </si>
  <si>
    <t>C1027</t>
  </si>
  <si>
    <t>ORD101036</t>
  </si>
  <si>
    <t>ORD101309</t>
  </si>
  <si>
    <t>ORD101681</t>
  </si>
  <si>
    <t>ORD101769</t>
  </si>
  <si>
    <t>ORD102146</t>
  </si>
  <si>
    <t>ORD102769</t>
  </si>
  <si>
    <t>ORD103755</t>
  </si>
  <si>
    <t>C1734</t>
  </si>
  <si>
    <t>ORD103988</t>
  </si>
  <si>
    <t>ORD104210</t>
  </si>
  <si>
    <t>ORD104930</t>
  </si>
  <si>
    <t>ORD100025</t>
  </si>
  <si>
    <t>C1577</t>
  </si>
  <si>
    <t>ORD100143</t>
  </si>
  <si>
    <t>ORD100458</t>
  </si>
  <si>
    <t>ORD101149</t>
  </si>
  <si>
    <t>ORD101164</t>
  </si>
  <si>
    <t>ORD101618</t>
  </si>
  <si>
    <t>ORD102399</t>
  </si>
  <si>
    <t>ORD102430</t>
  </si>
  <si>
    <t>ORD103035</t>
  </si>
  <si>
    <t>ORD103075</t>
  </si>
  <si>
    <t>ORD100182</t>
  </si>
  <si>
    <t>ORD100414</t>
  </si>
  <si>
    <t>C1686</t>
  </si>
  <si>
    <t>ORD100478</t>
  </si>
  <si>
    <t>C1286</t>
  </si>
  <si>
    <t>ORD100704</t>
  </si>
  <si>
    <t>ORD101417</t>
  </si>
  <si>
    <t>ORD102131</t>
  </si>
  <si>
    <t>C1388</t>
  </si>
  <si>
    <t>ORD102135</t>
  </si>
  <si>
    <t>C1419</t>
  </si>
  <si>
    <t>ORD102318</t>
  </si>
  <si>
    <t>ORD103009</t>
  </si>
  <si>
    <t>ORD103141</t>
  </si>
  <si>
    <t>ORD103375</t>
  </si>
  <si>
    <t>ORD104419</t>
  </si>
  <si>
    <t>ORD104892</t>
  </si>
  <si>
    <t>ORD104961</t>
  </si>
  <si>
    <t>C1213</t>
  </si>
  <si>
    <t>ORD100852</t>
  </si>
  <si>
    <t>ORD100939</t>
  </si>
  <si>
    <t>ORD101340</t>
  </si>
  <si>
    <t>ORD101430</t>
  </si>
  <si>
    <t>ORD102493</t>
  </si>
  <si>
    <t>ORD102627</t>
  </si>
  <si>
    <t>C1291</t>
  </si>
  <si>
    <t>ORD102930</t>
  </si>
  <si>
    <t>ORD103826</t>
  </si>
  <si>
    <t>ORD104161</t>
  </si>
  <si>
    <t>ORD100058</t>
  </si>
  <si>
    <t>C1326</t>
  </si>
  <si>
    <t>ORD100114</t>
  </si>
  <si>
    <t>ORD100898</t>
  </si>
  <si>
    <t>ORD101221</t>
  </si>
  <si>
    <t>ORD102549</t>
  </si>
  <si>
    <t>ORD102892</t>
  </si>
  <si>
    <t>C1751</t>
  </si>
  <si>
    <t>ORD103142</t>
  </si>
  <si>
    <t>ORD103475</t>
  </si>
  <si>
    <t>ORD103578</t>
  </si>
  <si>
    <t>ORD104166</t>
  </si>
  <si>
    <t>ORD100923</t>
  </si>
  <si>
    <t>ORD101194</t>
  </si>
  <si>
    <t>ORD101202</t>
  </si>
  <si>
    <t>ORD101465</t>
  </si>
  <si>
    <t>ORD101562</t>
  </si>
  <si>
    <t>ORD101748</t>
  </si>
  <si>
    <t>ORD102532</t>
  </si>
  <si>
    <t>ORD102727</t>
  </si>
  <si>
    <t>ORD102749</t>
  </si>
  <si>
    <t>ORD102813</t>
  </si>
  <si>
    <t>ORD103061</t>
  </si>
  <si>
    <t>ORD103114</t>
  </si>
  <si>
    <t>ORD103223</t>
  </si>
  <si>
    <t>ORD103402</t>
  </si>
  <si>
    <t>ORD103432</t>
  </si>
  <si>
    <t>C1856</t>
  </si>
  <si>
    <t>ORD100147</t>
  </si>
  <si>
    <t>ORD100355</t>
  </si>
  <si>
    <t>ORD100717</t>
  </si>
  <si>
    <t>C1025</t>
  </si>
  <si>
    <t>ORD100933</t>
  </si>
  <si>
    <t>ORD100964</t>
  </si>
  <si>
    <t>ORD101159</t>
  </si>
  <si>
    <t>ORD101388</t>
  </si>
  <si>
    <t>ORD101452</t>
  </si>
  <si>
    <t>ORD101677</t>
  </si>
  <si>
    <t>ORD101981</t>
  </si>
  <si>
    <t>ORD103503</t>
  </si>
  <si>
    <t>C1040</t>
  </si>
  <si>
    <t>ORD103802</t>
  </si>
  <si>
    <t>ORD103903</t>
  </si>
  <si>
    <t>ORD104435</t>
  </si>
  <si>
    <t>ORD104566</t>
  </si>
  <si>
    <t>ORD104785</t>
  </si>
  <si>
    <t>ORD100798</t>
  </si>
  <si>
    <t>ORD101328</t>
  </si>
  <si>
    <t>ORD101679</t>
  </si>
  <si>
    <t>ORD102057</t>
  </si>
  <si>
    <t>ORD102240</t>
  </si>
  <si>
    <t>ORD102306</t>
  </si>
  <si>
    <t>C1850</t>
  </si>
  <si>
    <t>ORD103753</t>
  </si>
  <si>
    <t>C1614</t>
  </si>
  <si>
    <t>ORD103890</t>
  </si>
  <si>
    <t>ORD104545</t>
  </si>
  <si>
    <t>ORD104660</t>
  </si>
  <si>
    <t>ORD104707</t>
  </si>
  <si>
    <t>ORD104734</t>
  </si>
  <si>
    <t>ORD100410</t>
  </si>
  <si>
    <t>ORD100475</t>
  </si>
  <si>
    <t>C1656</t>
  </si>
  <si>
    <t>ORD100610</t>
  </si>
  <si>
    <t>ORD100773</t>
  </si>
  <si>
    <t>ORD100789</t>
  </si>
  <si>
    <t>ORD100889</t>
  </si>
  <si>
    <t>ORD101109</t>
  </si>
  <si>
    <t>ORD101461</t>
  </si>
  <si>
    <t>C1280</t>
  </si>
  <si>
    <t>ORD101575</t>
  </si>
  <si>
    <t>ORD101576</t>
  </si>
  <si>
    <t>C1384</t>
  </si>
  <si>
    <t>ORD101915</t>
  </si>
  <si>
    <t>ORD102154</t>
  </si>
  <si>
    <t>ORD102249</t>
  </si>
  <si>
    <t>ORD102845</t>
  </si>
  <si>
    <t>ORD103308</t>
  </si>
  <si>
    <t>ORD103648</t>
  </si>
  <si>
    <t>ORD104193</t>
  </si>
  <si>
    <t>C1568</t>
  </si>
  <si>
    <t>ORD104206</t>
  </si>
  <si>
    <t>ORD104281</t>
  </si>
  <si>
    <t>ORD104471</t>
  </si>
  <si>
    <t>ORD104608</t>
  </si>
  <si>
    <t>ORD104885</t>
  </si>
  <si>
    <t>ORD100072</t>
  </si>
  <si>
    <t>ORD100328</t>
  </si>
  <si>
    <t>ORD101051</t>
  </si>
  <si>
    <t>ORD101304</t>
  </si>
  <si>
    <t>ORD101420</t>
  </si>
  <si>
    <t>ORD101436</t>
  </si>
  <si>
    <t>ORD101900</t>
  </si>
  <si>
    <t>ORD102605</t>
  </si>
  <si>
    <t>ORD102764</t>
  </si>
  <si>
    <t>C1813</t>
  </si>
  <si>
    <t>ORD103143</t>
  </si>
  <si>
    <t>C1498</t>
  </si>
  <si>
    <t>ORD103354</t>
  </si>
  <si>
    <t>ORD103471</t>
  </si>
  <si>
    <t>ORD103806</t>
  </si>
  <si>
    <t>ORD104011</t>
  </si>
  <si>
    <t>ORD100064</t>
  </si>
  <si>
    <t>C1992</t>
  </si>
  <si>
    <t>ORD100871</t>
  </si>
  <si>
    <t>ORD101057</t>
  </si>
  <si>
    <t>ORD101311</t>
  </si>
  <si>
    <t>ORD101782</t>
  </si>
  <si>
    <t>ORD101976</t>
  </si>
  <si>
    <t>ORD102054</t>
  </si>
  <si>
    <t>ORD102548</t>
  </si>
  <si>
    <t>C1775</t>
  </si>
  <si>
    <t>ORD102598</t>
  </si>
  <si>
    <t>ORD102810</t>
  </si>
  <si>
    <t>ORD102854</t>
  </si>
  <si>
    <t>ORD103017</t>
  </si>
  <si>
    <t>ORD103162</t>
  </si>
  <si>
    <t>ORD104334</t>
  </si>
  <si>
    <t>ORD104429</t>
  </si>
  <si>
    <t>ORD104538</t>
  </si>
  <si>
    <t>C1402</t>
  </si>
  <si>
    <t>ORD104766</t>
  </si>
  <si>
    <t>ORD100332</t>
  </si>
  <si>
    <t>ORD100639</t>
  </si>
  <si>
    <t>ORD100809</t>
  </si>
  <si>
    <t>ORD101397</t>
  </si>
  <si>
    <t>ORD101480</t>
  </si>
  <si>
    <t>C1868</t>
  </si>
  <si>
    <t>ORD102278</t>
  </si>
  <si>
    <t>ORD102410</t>
  </si>
  <si>
    <t>ORD102741</t>
  </si>
  <si>
    <t>ORD102743</t>
  </si>
  <si>
    <t>ORD100181</t>
  </si>
  <si>
    <t>ORD100450</t>
  </si>
  <si>
    <t>ORD100597</t>
  </si>
  <si>
    <t>ORD101191</t>
  </si>
  <si>
    <t>ORD102406</t>
  </si>
  <si>
    <t>ORD102536</t>
  </si>
  <si>
    <t>ORD102591</t>
  </si>
  <si>
    <t>ORD102982</t>
  </si>
  <si>
    <t>C1274</t>
  </si>
  <si>
    <t>ORD103292</t>
  </si>
  <si>
    <t>C1998</t>
  </si>
  <si>
    <t>ORD103409</t>
  </si>
  <si>
    <t>ORD103702</t>
  </si>
  <si>
    <t>ORD103780</t>
  </si>
  <si>
    <t>ORD104009</t>
  </si>
  <si>
    <t>ORD104636</t>
  </si>
  <si>
    <t>C1052</t>
  </si>
  <si>
    <t>ORD104848</t>
  </si>
  <si>
    <t>ORD100031</t>
  </si>
  <si>
    <t>ORD101035</t>
  </si>
  <si>
    <t>C1586</t>
  </si>
  <si>
    <t>ORD101318</t>
  </si>
  <si>
    <t>ORD101555</t>
  </si>
  <si>
    <t>C1141</t>
  </si>
  <si>
    <t>ORD101902</t>
  </si>
  <si>
    <t>ORD102032</t>
  </si>
  <si>
    <t>ORD102080</t>
  </si>
  <si>
    <t>ORD102119</t>
  </si>
  <si>
    <t>ORD102212</t>
  </si>
  <si>
    <t>ORD103309</t>
  </si>
  <si>
    <t>ORD103488</t>
  </si>
  <si>
    <t>C1103</t>
  </si>
  <si>
    <t>ORD103608</t>
  </si>
  <si>
    <t>ORD104314</t>
  </si>
  <si>
    <t>ORD104534</t>
  </si>
  <si>
    <t>ORD100230</t>
  </si>
  <si>
    <t>C1060</t>
  </si>
  <si>
    <t>ORD100353</t>
  </si>
  <si>
    <t>C1087</t>
  </si>
  <si>
    <t>ORD100480</t>
  </si>
  <si>
    <t>ORD100485</t>
  </si>
  <si>
    <t>ORD100829</t>
  </si>
  <si>
    <t>ORD100855</t>
  </si>
  <si>
    <t>C1013</t>
  </si>
  <si>
    <t>ORD101056</t>
  </si>
  <si>
    <t>ORD102433</t>
  </si>
  <si>
    <t>ORD103177</t>
  </si>
  <si>
    <t>ORD103202</t>
  </si>
  <si>
    <t>ORD103323</t>
  </si>
  <si>
    <t>ORD103934</t>
  </si>
  <si>
    <t>ORD100002</t>
  </si>
  <si>
    <t>ORD100261</t>
  </si>
  <si>
    <t>ORD100339</t>
  </si>
  <si>
    <t>ORD100397</t>
  </si>
  <si>
    <t>ORD100608</t>
  </si>
  <si>
    <t>ORD101751</t>
  </si>
  <si>
    <t>ORD102230</t>
  </si>
  <si>
    <t>ORD102408</t>
  </si>
  <si>
    <t>ORD102460</t>
  </si>
  <si>
    <t>C1206</t>
  </si>
  <si>
    <t>ORD102907</t>
  </si>
  <si>
    <t>ORD102991</t>
  </si>
  <si>
    <t>ORD103663</t>
  </si>
  <si>
    <t>ORD103781</t>
  </si>
  <si>
    <t>ORD103801</t>
  </si>
  <si>
    <t>ORD103838</t>
  </si>
  <si>
    <t>ORD104148</t>
  </si>
  <si>
    <t>ORD104181</t>
  </si>
  <si>
    <t>ORD100006</t>
  </si>
  <si>
    <t>ORD100452</t>
  </si>
  <si>
    <t>ORD100955</t>
  </si>
  <si>
    <t>ORD100975</t>
  </si>
  <si>
    <t>ORD104400</t>
  </si>
  <si>
    <t>ORD104870</t>
  </si>
  <si>
    <t>ORD100148</t>
  </si>
  <si>
    <t>ORD100392</t>
  </si>
  <si>
    <t>C1864</t>
  </si>
  <si>
    <t>ORD100492</t>
  </si>
  <si>
    <t>ORD100618</t>
  </si>
  <si>
    <t>C1698</t>
  </si>
  <si>
    <t>ORD100718</t>
  </si>
  <si>
    <t>ORD100813</t>
  </si>
  <si>
    <t>C1602</t>
  </si>
  <si>
    <t>ORD100859</t>
  </si>
  <si>
    <t>C1834</t>
  </si>
  <si>
    <t>ORD101248</t>
  </si>
  <si>
    <t>ORD101754</t>
  </si>
  <si>
    <t>ORD102521</t>
  </si>
  <si>
    <t>ORD102801</t>
  </si>
  <si>
    <t>ORD103126</t>
  </si>
  <si>
    <t>ORD103632</t>
  </si>
  <si>
    <t>C1016</t>
  </si>
  <si>
    <t>ORD103724</t>
  </si>
  <si>
    <t>C1890</t>
  </si>
  <si>
    <t>ORD103725</t>
  </si>
  <si>
    <t>ORD104364</t>
  </si>
  <si>
    <t>ORD104374</t>
  </si>
  <si>
    <t>ORD100016</t>
  </si>
  <si>
    <t>ORD101771</t>
  </si>
  <si>
    <t>ORD102863</t>
  </si>
  <si>
    <t>C1874</t>
  </si>
  <si>
    <t>ORD103989</t>
  </si>
  <si>
    <t>ORD104514</t>
  </si>
  <si>
    <t>C1968</t>
  </si>
  <si>
    <t>ORD104857</t>
  </si>
  <si>
    <t>ORD100420</t>
  </si>
  <si>
    <t>ORD100432</t>
  </si>
  <si>
    <t>ORD100868</t>
  </si>
  <si>
    <t>ORD101071</t>
  </si>
  <si>
    <t>ORD101438</t>
  </si>
  <si>
    <t>ORD101510</t>
  </si>
  <si>
    <t>ORD101680</t>
  </si>
  <si>
    <t>ORD101993</t>
  </si>
  <si>
    <t>ORD102885</t>
  </si>
  <si>
    <t>C1227</t>
  </si>
  <si>
    <t>ORD103098</t>
  </si>
  <si>
    <t>ORD103167</t>
  </si>
  <si>
    <t>ORD103548</t>
  </si>
  <si>
    <t>ORD103560</t>
  </si>
  <si>
    <t>ORD103681</t>
  </si>
  <si>
    <t>ORD103943</t>
  </si>
  <si>
    <t>ORD104226</t>
  </si>
  <si>
    <t>ORD100159</t>
  </si>
  <si>
    <t>C1262</t>
  </si>
  <si>
    <t>ORD100268</t>
  </si>
  <si>
    <t>ORD100683</t>
  </si>
  <si>
    <t>ORD101332</t>
  </si>
  <si>
    <t>ORD101742</t>
  </si>
  <si>
    <t>ORD101864</t>
  </si>
  <si>
    <t>ORD102327</t>
  </si>
  <si>
    <t>ORD102808</t>
  </si>
  <si>
    <t>C1142</t>
  </si>
  <si>
    <t>ORD102916</t>
  </si>
  <si>
    <t>ORD103052</t>
  </si>
  <si>
    <t>ORD103502</t>
  </si>
  <si>
    <t>ORD103704</t>
  </si>
  <si>
    <t>ORD103840</t>
  </si>
  <si>
    <t>C1806</t>
  </si>
  <si>
    <t>ORD104135</t>
  </si>
  <si>
    <t>ORD104141</t>
  </si>
  <si>
    <t>ORD104227</t>
  </si>
  <si>
    <t>ORD104257</t>
  </si>
  <si>
    <t>C1456</t>
  </si>
  <si>
    <t>ORD104686</t>
  </si>
  <si>
    <t>ORD100673</t>
  </si>
  <si>
    <t>ORD101029</t>
  </si>
  <si>
    <t>ORD101268</t>
  </si>
  <si>
    <t>ORD102118</t>
  </si>
  <si>
    <t>ORD102643</t>
  </si>
  <si>
    <t>ORD103442</t>
  </si>
  <si>
    <t>ORD103653</t>
  </si>
  <si>
    <t>ORD103999</t>
  </si>
  <si>
    <t>ORD104607</t>
  </si>
  <si>
    <t>C1022</t>
  </si>
  <si>
    <t>ORD104779</t>
  </si>
  <si>
    <t>ORD100302</t>
  </si>
  <si>
    <t>ORD101054</t>
  </si>
  <si>
    <t>ORD101225</t>
  </si>
  <si>
    <t>ORD101496</t>
  </si>
  <si>
    <t>C1253</t>
  </si>
  <si>
    <t>ORD101787</t>
  </si>
  <si>
    <t>ORD101844</t>
  </si>
  <si>
    <t>C1969</t>
  </si>
  <si>
    <t>ORD101962</t>
  </si>
  <si>
    <t>C1035</t>
  </si>
  <si>
    <t>ORD102656</t>
  </si>
  <si>
    <t>ORD102884</t>
  </si>
  <si>
    <t>ORD103278</t>
  </si>
  <si>
    <t>ORD103456</t>
  </si>
  <si>
    <t>C1472</t>
  </si>
  <si>
    <t>ORD103672</t>
  </si>
  <si>
    <t>ORD104097</t>
  </si>
  <si>
    <t>ORD104376</t>
  </si>
  <si>
    <t>ORD104553</t>
  </si>
  <si>
    <t>ORD104614</t>
  </si>
  <si>
    <t>ORD104641</t>
  </si>
  <si>
    <t>ORD100039</t>
  </si>
  <si>
    <t>ORD100430</t>
  </si>
  <si>
    <t>ORD100513</t>
  </si>
  <si>
    <t>ORD100848</t>
  </si>
  <si>
    <t>ORD100987</t>
  </si>
  <si>
    <t>ORD101494</t>
  </si>
  <si>
    <t>C1442</t>
  </si>
  <si>
    <t>ORD101923</t>
  </si>
  <si>
    <t>ORD102082</t>
  </si>
  <si>
    <t>ORD102415</t>
  </si>
  <si>
    <t>ORD102538</t>
  </si>
  <si>
    <t>C1118</t>
  </si>
  <si>
    <t>ORD102550</t>
  </si>
  <si>
    <t>ORD102705</t>
  </si>
  <si>
    <t>ORD102859</t>
  </si>
  <si>
    <t>ORD103058</t>
  </si>
  <si>
    <t>ORD103987</t>
  </si>
  <si>
    <t>ORD104496</t>
  </si>
  <si>
    <t>ORD101150</t>
  </si>
  <si>
    <t>ORD101227</t>
  </si>
  <si>
    <t>ORD101259</t>
  </si>
  <si>
    <t>ORD102067</t>
  </si>
  <si>
    <t>ORD102560</t>
  </si>
  <si>
    <t>ORD102787</t>
  </si>
  <si>
    <t>ORD103466</t>
  </si>
  <si>
    <t>C1143</t>
  </si>
  <si>
    <t>ORD103779</t>
  </si>
  <si>
    <t>ORD104556</t>
  </si>
  <si>
    <t>ORD100547</t>
  </si>
  <si>
    <t>ORD100806</t>
  </si>
  <si>
    <t>C1360</t>
  </si>
  <si>
    <t>ORD101589</t>
  </si>
  <si>
    <t>ORD101853</t>
  </si>
  <si>
    <t>ORD102201</t>
  </si>
  <si>
    <t>ORD102358</t>
  </si>
  <si>
    <t>ORD102451</t>
  </si>
  <si>
    <t>C1825</t>
  </si>
  <si>
    <t>ORD102462</t>
  </si>
  <si>
    <t>ORD103250</t>
  </si>
  <si>
    <t>ORD103776</t>
  </si>
  <si>
    <t>ORD103970</t>
  </si>
  <si>
    <t>ORD104277</t>
  </si>
  <si>
    <t>ORD104346</t>
  </si>
  <si>
    <t>ORD104883</t>
  </si>
  <si>
    <t>ORD100516</t>
  </si>
  <si>
    <t>C1756</t>
  </si>
  <si>
    <t>ORD100601</t>
  </si>
  <si>
    <t>C1943</t>
  </si>
  <si>
    <t>ORD100781</t>
  </si>
  <si>
    <t>ORD101143</t>
  </si>
  <si>
    <t>ORD101515</t>
  </si>
  <si>
    <t>ORD103215</t>
  </si>
  <si>
    <t>ORD103657</t>
  </si>
  <si>
    <t>ORD103978</t>
  </si>
  <si>
    <t>ORD100300</t>
  </si>
  <si>
    <t>ORD100506</t>
  </si>
  <si>
    <t>C1938</t>
  </si>
  <si>
    <t>ORD100734</t>
  </si>
  <si>
    <t>ORD100740</t>
  </si>
  <si>
    <t>ORD100788</t>
  </si>
  <si>
    <t>C1425</t>
  </si>
  <si>
    <t>ORD100797</t>
  </si>
  <si>
    <t>C1501</t>
  </si>
  <si>
    <t>ORD101081</t>
  </si>
  <si>
    <t>ORD102155</t>
  </si>
  <si>
    <t>ORD103569</t>
  </si>
  <si>
    <t>ORD104153</t>
  </si>
  <si>
    <t>ORD104199</t>
  </si>
  <si>
    <t>ORD104938</t>
  </si>
  <si>
    <t>ORD100157</t>
  </si>
  <si>
    <t>ORD100275</t>
  </si>
  <si>
    <t>ORD100417</t>
  </si>
  <si>
    <t>ORD101135</t>
  </si>
  <si>
    <t>ORD101906</t>
  </si>
  <si>
    <t>ORD102093</t>
  </si>
  <si>
    <t>ORD102394</t>
  </si>
  <si>
    <t>ORD102814</t>
  </si>
  <si>
    <t>ORD102888</t>
  </si>
  <si>
    <t>ORD103607</t>
  </si>
  <si>
    <t>ORD103811</t>
  </si>
  <si>
    <t>ORD100197</t>
  </si>
  <si>
    <t>ORD100851</t>
  </si>
  <si>
    <t>ORD101175</t>
  </si>
  <si>
    <t>ORD101568</t>
  </si>
  <si>
    <t>C1860</t>
  </si>
  <si>
    <t>ORD103877</t>
  </si>
  <si>
    <t>ORD104204</t>
  </si>
  <si>
    <t>ORD104810</t>
  </si>
  <si>
    <t>ORD100101</t>
  </si>
  <si>
    <t>ORD100171</t>
  </si>
  <si>
    <t>ORD100437</t>
  </si>
  <si>
    <t>C1454</t>
  </si>
  <si>
    <t>ORD100446</t>
  </si>
  <si>
    <t>C1845</t>
  </si>
  <si>
    <t>ORD101262</t>
  </si>
  <si>
    <t>ORD102109</t>
  </si>
  <si>
    <t>ORD102609</t>
  </si>
  <si>
    <t>ORD103130</t>
  </si>
  <si>
    <t>ORD103458</t>
  </si>
  <si>
    <t>C1638</t>
  </si>
  <si>
    <t>ORD103464</t>
  </si>
  <si>
    <t>ORD103732</t>
  </si>
  <si>
    <t>ORD103925</t>
  </si>
  <si>
    <t>C1005</t>
  </si>
  <si>
    <t>ORD104043</t>
  </si>
  <si>
    <t>C1691</t>
  </si>
  <si>
    <t>ORD104822</t>
  </si>
  <si>
    <t>ORD100110</t>
  </si>
  <si>
    <t>ORD100389</t>
  </si>
  <si>
    <t>ORD100882</t>
  </si>
  <si>
    <t>ORD100993</t>
  </si>
  <si>
    <t>ORD101969</t>
  </si>
  <si>
    <t>ORD102516</t>
  </si>
  <si>
    <t>ORD103349</t>
  </si>
  <si>
    <t>ORD103867</t>
  </si>
  <si>
    <t>ORD103921</t>
  </si>
  <si>
    <t>C1203</t>
  </si>
  <si>
    <t>ORD104224</t>
  </si>
  <si>
    <t>ORD104658</t>
  </si>
  <si>
    <t>ORD104945</t>
  </si>
  <si>
    <t>ORD100698</t>
  </si>
  <si>
    <t>ORD100744</t>
  </si>
  <si>
    <t>ORD101246</t>
  </si>
  <si>
    <t>ORD102133</t>
  </si>
  <si>
    <t>C1009</t>
  </si>
  <si>
    <t>ORD102989</t>
  </si>
  <si>
    <t>ORD104344</t>
  </si>
  <si>
    <t>ORD104354</t>
  </si>
  <si>
    <t>ORD104738</t>
  </si>
  <si>
    <t>ORD101063</t>
  </si>
  <si>
    <t>ORD101114</t>
  </si>
  <si>
    <t>ORD101138</t>
  </si>
  <si>
    <t>ORD101352</t>
  </si>
  <si>
    <t>C1462</t>
  </si>
  <si>
    <t>ORD101454</t>
  </si>
  <si>
    <t>ORD101521</t>
  </si>
  <si>
    <t>ORD101670</t>
  </si>
  <si>
    <t>ORD101863</t>
  </si>
  <si>
    <t>C1817</t>
  </si>
  <si>
    <t>ORD102094</t>
  </si>
  <si>
    <t>ORD103044</t>
  </si>
  <si>
    <t>ORD103290</t>
  </si>
  <si>
    <t>ORD103473</t>
  </si>
  <si>
    <t>ORD103794</t>
  </si>
  <si>
    <t>ORD104138</t>
  </si>
  <si>
    <t>ORD104292</t>
  </si>
  <si>
    <t>C1345</t>
  </si>
  <si>
    <t>ORD104731</t>
  </si>
  <si>
    <t>ORD100158</t>
  </si>
  <si>
    <t>C1636</t>
  </si>
  <si>
    <t>ORD101485</t>
  </si>
  <si>
    <t>ORD101504</t>
  </si>
  <si>
    <t>ORD101543</t>
  </si>
  <si>
    <t>ORD102335</t>
  </si>
  <si>
    <t>ORD102495</t>
  </si>
  <si>
    <t>ORD102501</t>
  </si>
  <si>
    <t>ORD102994</t>
  </si>
  <si>
    <t>ORD103169</t>
  </si>
  <si>
    <t>ORD103451</t>
  </si>
  <si>
    <t>ORD104129</t>
  </si>
  <si>
    <t>ORD104467</t>
  </si>
  <si>
    <t>ORD100759</t>
  </si>
  <si>
    <t>ORD101016</t>
  </si>
  <si>
    <t>ORD101025</t>
  </si>
  <si>
    <t>ORD101104</t>
  </si>
  <si>
    <t>ORD101405</t>
  </si>
  <si>
    <t>ORD101592</t>
  </si>
  <si>
    <t>ORD102207</t>
  </si>
  <si>
    <t>ORD103603</t>
  </si>
  <si>
    <t>ORD103760</t>
  </si>
  <si>
    <t>ORD104676</t>
  </si>
  <si>
    <t>ORD104847</t>
  </si>
  <si>
    <t>ORD104959</t>
  </si>
  <si>
    <t>ORD100314</t>
  </si>
  <si>
    <t>ORD100378</t>
  </si>
  <si>
    <t>ORD100690</t>
  </si>
  <si>
    <t>ORD100712</t>
  </si>
  <si>
    <t>C1259</t>
  </si>
  <si>
    <t>ORD101349</t>
  </si>
  <si>
    <t>ORD101474</t>
  </si>
  <si>
    <t>ORD101534</t>
  </si>
  <si>
    <t>ORD101547</t>
  </si>
  <si>
    <t>ORD101671</t>
  </si>
  <si>
    <t>ORD102078</t>
  </si>
  <si>
    <t>ORD102113</t>
  </si>
  <si>
    <t>ORD102527</t>
  </si>
  <si>
    <t>C1453</t>
  </si>
  <si>
    <t>ORD103644</t>
  </si>
  <si>
    <t>ORD100010</t>
  </si>
  <si>
    <t>ORD100836</t>
  </si>
  <si>
    <t>ORD100847</t>
  </si>
  <si>
    <t>C1610</t>
  </si>
  <si>
    <t>ORD101644</t>
  </si>
  <si>
    <t>C1011</t>
  </si>
  <si>
    <t>ORD101908</t>
  </si>
  <si>
    <t>C1529</t>
  </si>
  <si>
    <t>ORD102091</t>
  </si>
  <si>
    <t>ORD102629</t>
  </si>
  <si>
    <t>ORD102748</t>
  </si>
  <si>
    <t>ORD103407</t>
  </si>
  <si>
    <t>ORD103714</t>
  </si>
  <si>
    <t>ORD104145</t>
  </si>
  <si>
    <t>ORD104569</t>
  </si>
  <si>
    <t>ORD104942</t>
  </si>
  <si>
    <t>C1037</t>
  </si>
  <si>
    <t>ORD104986</t>
  </si>
  <si>
    <t>C1811</t>
  </si>
  <si>
    <t>ORD100557</t>
  </si>
  <si>
    <t>ORD101228</t>
  </si>
  <si>
    <t>ORD101286</t>
  </si>
  <si>
    <t>ORD102321</t>
  </si>
  <si>
    <t>ORD102575</t>
  </si>
  <si>
    <t>ORD103243</t>
  </si>
  <si>
    <t>ORD103315</t>
  </si>
  <si>
    <t>C1218</t>
  </si>
  <si>
    <t>ORD103344</t>
  </si>
  <si>
    <t>ORD103952</t>
  </si>
  <si>
    <t>ORD104044</t>
  </si>
  <si>
    <t>ORD104068</t>
  </si>
  <si>
    <t>ORD104099</t>
  </si>
  <si>
    <t>ORD104377</t>
  </si>
  <si>
    <t>ORD104501</t>
  </si>
  <si>
    <t>ORD104893</t>
  </si>
  <si>
    <t>ORD104907</t>
  </si>
  <si>
    <t>ORD100535</t>
  </si>
  <si>
    <t>ORD100582</t>
  </si>
  <si>
    <t>ORD101152</t>
  </si>
  <si>
    <t>ORD102790</t>
  </si>
  <si>
    <t>ORD103418</t>
  </si>
  <si>
    <t>ORD104310</t>
  </si>
  <si>
    <t>C1579</t>
  </si>
  <si>
    <t>ORD104312</t>
  </si>
  <si>
    <t>C1742</t>
  </si>
  <si>
    <t>ORD104366</t>
  </si>
  <si>
    <t>C1464</t>
  </si>
  <si>
    <t>ORD104492</t>
  </si>
  <si>
    <t>ORD100298</t>
  </si>
  <si>
    <t>ORD100372</t>
  </si>
  <si>
    <t>ORD100705</t>
  </si>
  <si>
    <t>C1861</t>
  </si>
  <si>
    <t>ORD101263</t>
  </si>
  <si>
    <t>ORD101872</t>
  </si>
  <si>
    <t>ORD101989</t>
  </si>
  <si>
    <t>ORD102058</t>
  </si>
  <si>
    <t>ORD102756</t>
  </si>
  <si>
    <t>ORD103424</t>
  </si>
  <si>
    <t>ORD103444</t>
  </si>
  <si>
    <t>ORD103775</t>
  </si>
  <si>
    <t>ORD104752</t>
  </si>
  <si>
    <t>ORD104891</t>
  </si>
  <si>
    <t>ORD100086</t>
  </si>
  <si>
    <t>ORD100262</t>
  </si>
  <si>
    <t>C1682</t>
  </si>
  <si>
    <t>ORD101168</t>
  </si>
  <si>
    <t>ORD101535</t>
  </si>
  <si>
    <t>ORD103102</t>
  </si>
  <si>
    <t>C1512</t>
  </si>
  <si>
    <t>ORD103459</t>
  </si>
  <si>
    <t>C1135</t>
  </si>
  <si>
    <t>ORD103469</t>
  </si>
  <si>
    <t>ORD103645</t>
  </si>
  <si>
    <t>C1270</t>
  </si>
  <si>
    <t>ORD104424</t>
  </si>
  <si>
    <t>ORD104757</t>
  </si>
  <si>
    <t>ORD100080</t>
  </si>
  <si>
    <t>ORD100566</t>
  </si>
  <si>
    <t>ORD100595</t>
  </si>
  <si>
    <t>ORD102102</t>
  </si>
  <si>
    <t>ORD102330</t>
  </si>
  <si>
    <t>ORD102706</t>
  </si>
  <si>
    <t>ORD102843</t>
  </si>
  <si>
    <t>ORD102902</t>
  </si>
  <si>
    <t>ORD103913</t>
  </si>
  <si>
    <t>ORD104058</t>
  </si>
  <si>
    <t>ORD104459</t>
  </si>
  <si>
    <t>ORD104623</t>
  </si>
  <si>
    <t>ORD104639</t>
  </si>
  <si>
    <t>ORD104654</t>
  </si>
  <si>
    <t>ORD104826</t>
  </si>
  <si>
    <t>ORD104842</t>
  </si>
  <si>
    <t>ORD100129</t>
  </si>
  <si>
    <t>ORD100200</t>
  </si>
  <si>
    <t>ORD100559</t>
  </si>
  <si>
    <t>ORD101126</t>
  </si>
  <si>
    <t>C1771</t>
  </si>
  <si>
    <t>ORD101254</t>
  </si>
  <si>
    <t>ORD101422</t>
  </si>
  <si>
    <t>ORD102871</t>
  </si>
  <si>
    <t>ORD103423</t>
  </si>
  <si>
    <t>ORD104217</t>
  </si>
  <si>
    <t>ORD104646</t>
  </si>
  <si>
    <t>ORD100445</t>
  </si>
  <si>
    <t>ORD100989</t>
  </si>
  <si>
    <t>ORD101921</t>
  </si>
  <si>
    <t>C1033</t>
  </si>
  <si>
    <t>ORD102478</t>
  </si>
  <si>
    <t>ORD102483</t>
  </si>
  <si>
    <t>ORD102559</t>
  </si>
  <si>
    <t>ORD102655</t>
  </si>
  <si>
    <t>C1000</t>
  </si>
  <si>
    <t>ORD103710</t>
  </si>
  <si>
    <t>ORD103731</t>
  </si>
  <si>
    <t>ORD104010</t>
  </si>
  <si>
    <t>ORD104263</t>
  </si>
  <si>
    <t>ORD104455</t>
  </si>
  <si>
    <t>C1634</t>
  </si>
  <si>
    <t>ORD100130</t>
  </si>
  <si>
    <t>ORD100357</t>
  </si>
  <si>
    <t>C1056</t>
  </si>
  <si>
    <t>ORD100433</t>
  </si>
  <si>
    <t>ORD101346</t>
  </si>
  <si>
    <t>ORD102254</t>
  </si>
  <si>
    <t>C1355</t>
  </si>
  <si>
    <t>ORD102799</t>
  </si>
  <si>
    <t>ORD102931</t>
  </si>
  <si>
    <t>ORD104877</t>
  </si>
  <si>
    <t>ORD100119</t>
  </si>
  <si>
    <t>ORD100301</t>
  </si>
  <si>
    <t>ORD100444</t>
  </si>
  <si>
    <t>ORD100508</t>
  </si>
  <si>
    <t>ORD100524</t>
  </si>
  <si>
    <t>ORD101173</t>
  </si>
  <si>
    <t>ORD101719</t>
  </si>
  <si>
    <t>C1431</t>
  </si>
  <si>
    <t>ORD102435</t>
  </si>
  <si>
    <t>C1024</t>
  </si>
  <si>
    <t>ORD103932</t>
  </si>
  <si>
    <t>ORD104581</t>
  </si>
  <si>
    <t>ORD104884</t>
  </si>
  <si>
    <t>ORD101673</t>
  </si>
  <si>
    <t>ORD102272</t>
  </si>
  <si>
    <t>C1877</t>
  </si>
  <si>
    <t>ORD102837</t>
  </si>
  <si>
    <t>ORD103152</t>
  </si>
  <si>
    <t>ORD103220</t>
  </si>
  <si>
    <t>ORD103365</t>
  </si>
  <si>
    <t>ORD103528</t>
  </si>
  <si>
    <t>ORD103827</t>
  </si>
  <si>
    <t>C1616</t>
  </si>
  <si>
    <t>ORD104027</t>
  </si>
  <si>
    <t>ORD104806</t>
  </si>
  <si>
    <t>C1989</t>
  </si>
  <si>
    <t>ORD100403</t>
  </si>
  <si>
    <t>ORD100456</t>
  </si>
  <si>
    <t>ORD100467</t>
  </si>
  <si>
    <t>ORD100816</t>
  </si>
  <si>
    <t>ORD101652</t>
  </si>
  <si>
    <t>ORD102021</t>
  </si>
  <si>
    <t>ORD102161</t>
  </si>
  <si>
    <t>C1566</t>
  </si>
  <si>
    <t>ORD103427</t>
  </si>
  <si>
    <t>ORD103765</t>
  </si>
  <si>
    <t>ORD103955</t>
  </si>
  <si>
    <t>ORD104245</t>
  </si>
  <si>
    <t>ORD104271</t>
  </si>
  <si>
    <t>C1757</t>
  </si>
  <si>
    <t>ORD104479</t>
  </si>
  <si>
    <t>ORD104696</t>
  </si>
  <si>
    <t>ORD104713</t>
  </si>
  <si>
    <t>ORD104929</t>
  </si>
  <si>
    <t>ORD100047</t>
  </si>
  <si>
    <t>ORD100487</t>
  </si>
  <si>
    <t>ORD101134</t>
  </si>
  <si>
    <t>ORD101224</t>
  </si>
  <si>
    <t>ORD101433</t>
  </si>
  <si>
    <t>ORD102978</t>
  </si>
  <si>
    <t>ORD103189</t>
  </si>
  <si>
    <t>ORD103895</t>
  </si>
  <si>
    <t>C1918</t>
  </si>
  <si>
    <t>ORD104319</t>
  </si>
  <si>
    <t>ORD104827</t>
  </si>
  <si>
    <t>ORD100206</t>
  </si>
  <si>
    <t>ORD100210</t>
  </si>
  <si>
    <t>ORD100461</t>
  </si>
  <si>
    <t>ORD101073</t>
  </si>
  <si>
    <t>ORD101533</t>
  </si>
  <si>
    <t>ORD101693</t>
  </si>
  <si>
    <t>ORD102681</t>
  </si>
  <si>
    <t>ORD104109</t>
  </si>
  <si>
    <t>ORD104189</t>
  </si>
  <si>
    <t>C1833</t>
  </si>
  <si>
    <t>ORD104309</t>
  </si>
  <si>
    <t>ORD104348</t>
  </si>
  <si>
    <t>ORD104565</t>
  </si>
  <si>
    <t>ORD104874</t>
  </si>
  <si>
    <t>C1875</t>
  </si>
  <si>
    <t>ORD100108</t>
  </si>
  <si>
    <t>ORD100234</t>
  </si>
  <si>
    <t>ORD100327</t>
  </si>
  <si>
    <t>ORD100678</t>
  </si>
  <si>
    <t>ORD101216</t>
  </si>
  <si>
    <t>ORD101541</t>
  </si>
  <si>
    <t>ORD102392</t>
  </si>
  <si>
    <t>ORD102544</t>
  </si>
  <si>
    <t>ORD102615</t>
  </si>
  <si>
    <t>ORD102890</t>
  </si>
  <si>
    <t>ORD103074</t>
  </si>
  <si>
    <t>ORD103135</t>
  </si>
  <si>
    <t>ORD103329</t>
  </si>
  <si>
    <t>ORD103526</t>
  </si>
  <si>
    <t>ORD103629</t>
  </si>
  <si>
    <t>ORD103633</t>
  </si>
  <si>
    <t>ORD104820</t>
  </si>
  <si>
    <t>ORD100091</t>
  </si>
  <si>
    <t>ORD100118</t>
  </si>
  <si>
    <t>ORD100227</t>
  </si>
  <si>
    <t>ORD100338</t>
  </si>
  <si>
    <t>ORD100484</t>
  </si>
  <si>
    <t>ORD100495</t>
  </si>
  <si>
    <t>C1530</t>
  </si>
  <si>
    <t>ORD100501</t>
  </si>
  <si>
    <t>ORD100867</t>
  </si>
  <si>
    <t>C1925</t>
  </si>
  <si>
    <t>ORD100921</t>
  </si>
  <si>
    <t>ORD101094</t>
  </si>
  <si>
    <t>ORD101957</t>
  </si>
  <si>
    <t>ORD102030</t>
  </si>
  <si>
    <t>ORD102290</t>
  </si>
  <si>
    <t>ORD102390</t>
  </si>
  <si>
    <t>ORD102421</t>
  </si>
  <si>
    <t>ORD102518</t>
  </si>
  <si>
    <t>ORD102964</t>
  </si>
  <si>
    <t>ORD103201</t>
  </si>
  <si>
    <t>ORD103342</t>
  </si>
  <si>
    <t>ORD103743</t>
  </si>
  <si>
    <t>ORD104503</t>
  </si>
  <si>
    <t>ORD104994</t>
  </si>
  <si>
    <t>ORD100105</t>
  </si>
  <si>
    <t>C1166</t>
  </si>
  <si>
    <t>ORD100907</t>
  </si>
  <si>
    <t>ORD101069</t>
  </si>
  <si>
    <t>ORD101573</t>
  </si>
  <si>
    <t>ORD101628</t>
  </si>
  <si>
    <t>ORD101856</t>
  </si>
  <si>
    <t>C1310</t>
  </si>
  <si>
    <t>ORD101950</t>
  </si>
  <si>
    <t>ORD102000</t>
  </si>
  <si>
    <t>ORD102276</t>
  </si>
  <si>
    <t>ORD102496</t>
  </si>
  <si>
    <t>ORD102970</t>
  </si>
  <si>
    <t>ORD103108</t>
  </si>
  <si>
    <t>ORD103294</t>
  </si>
  <si>
    <t>ORD103385</t>
  </si>
  <si>
    <t>ORD103510</t>
  </si>
  <si>
    <t>ORD103933</t>
  </si>
  <si>
    <t>ORD100078</t>
  </si>
  <si>
    <t>ORD100303</t>
  </si>
  <si>
    <t>ORD100616</t>
  </si>
  <si>
    <t>ORD101481</t>
  </si>
  <si>
    <t>ORD102745</t>
  </si>
  <si>
    <t>ORD102825</t>
  </si>
  <si>
    <t>ORD103631</t>
  </si>
  <si>
    <t>ORD103699</t>
  </si>
  <si>
    <t>ORD104139</t>
  </si>
  <si>
    <t>ORD104266</t>
  </si>
  <si>
    <t>ORD104280</t>
  </si>
  <si>
    <t>ORD104718</t>
  </si>
  <si>
    <t>ORD101015</t>
  </si>
  <si>
    <t>ORD101038</t>
  </si>
  <si>
    <t>ORD101571</t>
  </si>
  <si>
    <t>ORD102426</t>
  </si>
  <si>
    <t>C1416</t>
  </si>
  <si>
    <t>ORD103131</t>
  </si>
  <si>
    <t>ORD103277</t>
  </si>
  <si>
    <t>ORD103454</t>
  </si>
  <si>
    <t>ORD104001</t>
  </si>
  <si>
    <t>ORD104049</t>
  </si>
  <si>
    <t>ORD104157</t>
  </si>
  <si>
    <t>ORD104218</t>
  </si>
  <si>
    <t>ORD104244</t>
  </si>
  <si>
    <t>ORD104251</t>
  </si>
  <si>
    <t>ORD104311</t>
  </si>
  <si>
    <t>ORD104394</t>
  </si>
  <si>
    <t>C1822</t>
  </si>
  <si>
    <t>ORD104403</t>
  </si>
  <si>
    <t>ORD104824</t>
  </si>
  <si>
    <t>C1755</t>
  </si>
  <si>
    <t>ORD104840</t>
  </si>
  <si>
    <t>ORD100076</t>
  </si>
  <si>
    <t>ORD100526</t>
  </si>
  <si>
    <t>ORD101889</t>
  </si>
  <si>
    <t>ORD101967</t>
  </si>
  <si>
    <t>ORD102059</t>
  </si>
  <si>
    <t>ORD103400</t>
  </si>
  <si>
    <t>ORD103609</t>
  </si>
  <si>
    <t>ORD104021</t>
  </si>
  <si>
    <t>ORD104208</t>
  </si>
  <si>
    <t>ORD100024</t>
  </si>
  <si>
    <t>ORD100272</t>
  </si>
  <si>
    <t>ORD100405</t>
  </si>
  <si>
    <t>ORD100756</t>
  </si>
  <si>
    <t>ORD100949</t>
  </si>
  <si>
    <t>ORD100980</t>
  </si>
  <si>
    <t>ORD101790</t>
  </si>
  <si>
    <t>C1088</t>
  </si>
  <si>
    <t>ORD102095</t>
  </si>
  <si>
    <t>ORD102274</t>
  </si>
  <si>
    <t>ORD103049</t>
  </si>
  <si>
    <t>ORD103195</t>
  </si>
  <si>
    <t>C1130</t>
  </si>
  <si>
    <t>ORD103269</t>
  </si>
  <si>
    <t>ORD104198</t>
  </si>
  <si>
    <t>ORD104796</t>
  </si>
  <si>
    <t>C1094</t>
  </si>
  <si>
    <t>ORD100209</t>
  </si>
  <si>
    <t>ORD100266</t>
  </si>
  <si>
    <t>ORD100643</t>
  </si>
  <si>
    <t>C1154</t>
  </si>
  <si>
    <t>ORD101172</t>
  </si>
  <si>
    <t>ORD101484</t>
  </si>
  <si>
    <t>ORD101503</t>
  </si>
  <si>
    <t>ORD101699</t>
  </si>
  <si>
    <t>ORD102529</t>
  </si>
  <si>
    <t>ORD102677</t>
  </si>
  <si>
    <t>C1108</t>
  </si>
  <si>
    <t>ORD102739</t>
  </si>
  <si>
    <t>ORD103327</t>
  </si>
  <si>
    <t>ORD103481</t>
  </si>
  <si>
    <t>ORD103935</t>
  </si>
  <si>
    <t>ORD104574</t>
  </si>
  <si>
    <t>ORD104976</t>
  </si>
  <si>
    <t>ORD100223</t>
  </si>
  <si>
    <t>ORD100365</t>
  </si>
  <si>
    <t>ORD100957</t>
  </si>
  <si>
    <t>ORD101047</t>
  </si>
  <si>
    <t>ORD101938</t>
  </si>
  <si>
    <t>ORD102098</t>
  </si>
  <si>
    <t>ORD102588</t>
  </si>
  <si>
    <t>ORD103786</t>
  </si>
  <si>
    <t>ORD103828</t>
  </si>
  <si>
    <t>ORD104524</t>
  </si>
  <si>
    <t>C1988</t>
  </si>
  <si>
    <t>ORD100371</t>
  </si>
  <si>
    <t>ORD102812</t>
  </si>
  <si>
    <t>C1079</t>
  </si>
  <si>
    <t>ORD103082</t>
  </si>
  <si>
    <t>ORD103088</t>
  </si>
  <si>
    <t>ORD103200</t>
  </si>
  <si>
    <t>ORD103218</t>
  </si>
  <si>
    <t>C1906</t>
  </si>
  <si>
    <t>ORD104338</t>
  </si>
  <si>
    <t>ORD104432</t>
  </si>
  <si>
    <t>ORD104805</t>
  </si>
  <si>
    <t>ORD100236</t>
  </si>
  <si>
    <t>ORD100802</t>
  </si>
  <si>
    <t>ORD101302</t>
  </si>
  <si>
    <t>C1909</t>
  </si>
  <si>
    <t>ORD101594</t>
  </si>
  <si>
    <t>C1664</t>
  </si>
  <si>
    <t>ORD101637</t>
  </si>
  <si>
    <t>ORD101768</t>
  </si>
  <si>
    <t>ORD101786</t>
  </si>
  <si>
    <t>ORD102019</t>
  </si>
  <si>
    <t>ORD102140</t>
  </si>
  <si>
    <t>ORD103221</t>
  </si>
  <si>
    <t>ORD103618</t>
  </si>
  <si>
    <t>ORD103783</t>
  </si>
  <si>
    <t>ORD104426</t>
  </si>
  <si>
    <t>ORD104899</t>
  </si>
  <si>
    <t>ORD100149</t>
  </si>
  <si>
    <t>ORD100312</t>
  </si>
  <si>
    <t>ORD100617</t>
  </si>
  <si>
    <t>ORD101934</t>
  </si>
  <si>
    <t>ORD102188</t>
  </si>
  <si>
    <t>ORD102962</t>
  </si>
  <si>
    <t>ORD103068</t>
  </si>
  <si>
    <t>ORD103166</t>
  </si>
  <si>
    <t>ORD104069</t>
  </si>
  <si>
    <t>ORD104075</t>
  </si>
  <si>
    <t>ORD104095</t>
  </si>
  <si>
    <t>ORD104401</t>
  </si>
  <si>
    <t>ORD104682</t>
  </si>
  <si>
    <t>ORD104735</t>
  </si>
  <si>
    <t>ORD104743</t>
  </si>
  <si>
    <t>ORD100276</t>
  </si>
  <si>
    <t>ORD100424</t>
  </si>
  <si>
    <t>ORD100903</t>
  </si>
  <si>
    <t>ORD101308</t>
  </si>
  <si>
    <t>ORD101788</t>
  </si>
  <si>
    <t>ORD101991</t>
  </si>
  <si>
    <t>ORD102353</t>
  </si>
  <si>
    <t>ORD102375</t>
  </si>
  <si>
    <t>ORD102436</t>
  </si>
  <si>
    <t>ORD103311</t>
  </si>
  <si>
    <t>ORD103874</t>
  </si>
  <si>
    <t>ORD103949</t>
  </si>
  <si>
    <t>ORD104434</t>
  </si>
  <si>
    <t>C1681</t>
  </si>
  <si>
    <t>ORD104593</t>
  </si>
  <si>
    <t>ORD100088</t>
  </si>
  <si>
    <t>ORD100833</t>
  </si>
  <si>
    <t>ORD100905</t>
  </si>
  <si>
    <t>ORD101828</t>
  </si>
  <si>
    <t>ORD102552</t>
  </si>
  <si>
    <t>ORD102997</t>
  </si>
  <si>
    <t>ORD103231</t>
  </si>
  <si>
    <t>ORD103240</t>
  </si>
  <si>
    <t>C1564</t>
  </si>
  <si>
    <t>ORD101004</t>
  </si>
  <si>
    <t>ORD101394</t>
  </si>
  <si>
    <t>ORD101799</t>
  </si>
  <si>
    <t>ORD101965</t>
  </si>
  <si>
    <t>ORD102378</t>
  </si>
  <si>
    <t>ORD103101</t>
  </si>
  <si>
    <t>ORD104017</t>
  </si>
  <si>
    <t>ORD104158</t>
  </si>
  <si>
    <t>C1737</t>
  </si>
  <si>
    <t>ORD104421</t>
  </si>
  <si>
    <t>ORD104615</t>
  </si>
  <si>
    <t>ORD104725</t>
  </si>
  <si>
    <t>ORD100087</t>
  </si>
  <si>
    <t>ORD100429</t>
  </si>
  <si>
    <t>ORD100685</t>
  </si>
  <si>
    <t>ORD100795</t>
  </si>
  <si>
    <t>C1642</t>
  </si>
  <si>
    <t>ORD100938</t>
  </si>
  <si>
    <t>ORD101211</t>
  </si>
  <si>
    <t>ORD101431</t>
  </si>
  <si>
    <t>ORD101442</t>
  </si>
  <si>
    <t>ORD101924</t>
  </si>
  <si>
    <t>ORD102354</t>
  </si>
  <si>
    <t>ORD102569</t>
  </si>
  <si>
    <t>C1872</t>
  </si>
  <si>
    <t>ORD102599</t>
  </si>
  <si>
    <t>ORD103388</t>
  </si>
  <si>
    <t>ORD103598</t>
  </si>
  <si>
    <t>ORD104156</t>
  </si>
  <si>
    <t>ORD104164</t>
  </si>
  <si>
    <t>ORD104638</t>
  </si>
  <si>
    <t>ORD100419</t>
  </si>
  <si>
    <t>ORD100946</t>
  </si>
  <si>
    <t>ORD101039</t>
  </si>
  <si>
    <t>ORD101059</t>
  </si>
  <si>
    <t>ORD101091</t>
  </si>
  <si>
    <t>ORD101287</t>
  </si>
  <si>
    <t>ORD101840</t>
  </si>
  <si>
    <t>ORD102401</t>
  </si>
  <si>
    <t>ORD102444</t>
  </si>
  <si>
    <t>ORD102680</t>
  </si>
  <si>
    <t>ORD103115</t>
  </si>
  <si>
    <t>ORD103514</t>
  </si>
  <si>
    <t>ORD103622</t>
  </si>
  <si>
    <t>ORD103742</t>
  </si>
  <si>
    <t>ORD104254</t>
  </si>
  <si>
    <t>ORD104624</t>
  </si>
  <si>
    <t>ORD104851</t>
  </si>
  <si>
    <t>ORD100241</t>
  </si>
  <si>
    <t>ORD100629</t>
  </si>
  <si>
    <t>ORD101121</t>
  </si>
  <si>
    <t>C1117</t>
  </si>
  <si>
    <t>ORD101396</t>
  </si>
  <si>
    <t>ORD101627</t>
  </si>
  <si>
    <t>ORD101695</t>
  </si>
  <si>
    <t>ORD102343</t>
  </si>
  <si>
    <t>ORD103696</t>
  </si>
  <si>
    <t>ORD103831</t>
  </si>
  <si>
    <t>ORD103959</t>
  </si>
  <si>
    <t>ORD104415</t>
  </si>
  <si>
    <t>ORD100107</t>
  </si>
  <si>
    <t>ORD101360</t>
  </si>
  <si>
    <t>ORD102780</t>
  </si>
  <si>
    <t>ORD103601</t>
  </si>
  <si>
    <t>ORD104452</t>
  </si>
  <si>
    <t>ORD100059</t>
  </si>
  <si>
    <t>C1211</t>
  </si>
  <si>
    <t>ORD100347</t>
  </si>
  <si>
    <t>ORD101060</t>
  </si>
  <si>
    <t>ORD102151</t>
  </si>
  <si>
    <t>ORD102313</t>
  </si>
  <si>
    <t>ORD102788</t>
  </si>
  <si>
    <t>ORD103574</t>
  </si>
  <si>
    <t>ORD103967</t>
  </si>
  <si>
    <t>ORD104162</t>
  </si>
  <si>
    <t>ORD104247</t>
  </si>
  <si>
    <t>ORD104324</t>
  </si>
  <si>
    <t>ORD104783</t>
  </si>
  <si>
    <t>ORD100421</t>
  </si>
  <si>
    <t>ORD101569</t>
  </si>
  <si>
    <t>ORD102085</t>
  </si>
  <si>
    <t>ORD102524</t>
  </si>
  <si>
    <t>ORD103028</t>
  </si>
  <si>
    <t>ORD103120</t>
  </si>
  <si>
    <t>ORD103536</t>
  </si>
  <si>
    <t>ORD103738</t>
  </si>
  <si>
    <t>ORD103984</t>
  </si>
  <si>
    <t>ORD104714</t>
  </si>
  <si>
    <t>ORD100023</t>
  </si>
  <si>
    <t>ORD100172</t>
  </si>
  <si>
    <t>ORD100362</t>
  </si>
  <si>
    <t>ORD100997</t>
  </si>
  <si>
    <t>ORD101187</t>
  </si>
  <si>
    <t>ORD101244</t>
  </si>
  <si>
    <t>ORD101826</t>
  </si>
  <si>
    <t>ORD102475</t>
  </si>
  <si>
    <t>ORD102645</t>
  </si>
  <si>
    <t>C1396</t>
  </si>
  <si>
    <t>ORD102887</t>
  </si>
  <si>
    <t>C1433</t>
  </si>
  <si>
    <t>ORD103301</t>
  </si>
  <si>
    <t>C1858</t>
  </si>
  <si>
    <t>ORD103339</t>
  </si>
  <si>
    <t>ORD103650</t>
  </si>
  <si>
    <t>C1233</t>
  </si>
  <si>
    <t>ORD103983</t>
  </si>
  <si>
    <t>C1549</t>
  </si>
  <si>
    <t>ORD104283</t>
  </si>
  <si>
    <t>ORD104476</t>
  </si>
  <si>
    <t>ORD100442</t>
  </si>
  <si>
    <t>ORD100679</t>
  </si>
  <si>
    <t>C1002</t>
  </si>
  <si>
    <t>ORD100928</t>
  </si>
  <si>
    <t>ORD101153</t>
  </si>
  <si>
    <t>ORD101361</t>
  </si>
  <si>
    <t>ORD101362</t>
  </si>
  <si>
    <t>ORD101917</t>
  </si>
  <si>
    <t>ORD102200</t>
  </si>
  <si>
    <t>ORD102282</t>
  </si>
  <si>
    <t>ORD102574</t>
  </si>
  <si>
    <t>ORD103089</t>
  </si>
  <si>
    <t>ORD103768</t>
  </si>
  <si>
    <t>ORD104007</t>
  </si>
  <si>
    <t>ORD104107</t>
  </si>
  <si>
    <t>ORD104518</t>
  </si>
  <si>
    <t>ORD104966</t>
  </si>
  <si>
    <t>ORD100063</t>
  </si>
  <si>
    <t>ORD100565</t>
  </si>
  <si>
    <t>ORD100670</t>
  </si>
  <si>
    <t>ORD100981</t>
  </si>
  <si>
    <t>ORD101200</t>
  </si>
  <si>
    <t>ORD101235</t>
  </si>
  <si>
    <t>ORD101249</t>
  </si>
  <si>
    <t>ORD101412</t>
  </si>
  <si>
    <t>ORD101516</t>
  </si>
  <si>
    <t>ORD101767</t>
  </si>
  <si>
    <t>ORD102717</t>
  </si>
  <si>
    <t>ORD102763</t>
  </si>
  <si>
    <t>ORD102819</t>
  </si>
  <si>
    <t>ORD102868</t>
  </si>
  <si>
    <t>ORD104635</t>
  </si>
  <si>
    <t>ORD100887</t>
  </si>
  <si>
    <t>ORD101089</t>
  </si>
  <si>
    <t>ORD101144</t>
  </si>
  <si>
    <t>ORD101445</t>
  </si>
  <si>
    <t>ORD101520</t>
  </si>
  <si>
    <t>C1561</t>
  </si>
  <si>
    <t>ORD101654</t>
  </si>
  <si>
    <t>ORD102613</t>
  </si>
  <si>
    <t>ORD102906</t>
  </si>
  <si>
    <t>ORD103123</t>
  </si>
  <si>
    <t>ORD103199</t>
  </si>
  <si>
    <t>ORD103824</t>
  </si>
  <si>
    <t>ORD103887</t>
  </si>
  <si>
    <t>C1976</t>
  </si>
  <si>
    <t>ORD104117</t>
  </si>
  <si>
    <t>ORD104468</t>
  </si>
  <si>
    <t>ORD100259</t>
  </si>
  <si>
    <t>ORD100380</t>
  </si>
  <si>
    <t>ORD100965</t>
  </si>
  <si>
    <t>ORD101002</t>
  </si>
  <si>
    <t>C1061</t>
  </si>
  <si>
    <t>ORD101755</t>
  </si>
  <si>
    <t>ORD102018</t>
  </si>
  <si>
    <t>ORD102071</t>
  </si>
  <si>
    <t>ORD102087</t>
  </si>
  <si>
    <t>C1955</t>
  </si>
  <si>
    <t>ORD102822</t>
  </si>
  <si>
    <t>ORD103071</t>
  </si>
  <si>
    <t>ORD103136</t>
  </si>
  <si>
    <t>ORD103611</t>
  </si>
  <si>
    <t>ORD104451</t>
  </si>
  <si>
    <t>ORD104475</t>
  </si>
  <si>
    <t>C1670</t>
  </si>
  <si>
    <t>ORD104947</t>
  </si>
  <si>
    <t>ORD100102</t>
  </si>
  <si>
    <t>C1353</t>
  </si>
  <si>
    <t>ORD100605</t>
  </si>
  <si>
    <t>ORD100814</t>
  </si>
  <si>
    <t>ORD101271</t>
  </si>
  <si>
    <t>ORD101561</t>
  </si>
  <si>
    <t>ORD101640</t>
  </si>
  <si>
    <t>ORD101835</t>
  </si>
  <si>
    <t>ORD101909</t>
  </si>
  <si>
    <t>ORD102504</t>
  </si>
  <si>
    <t>ORD103171</t>
  </si>
  <si>
    <t>ORD103766</t>
  </si>
  <si>
    <t>ORD103788</t>
  </si>
  <si>
    <t>ORD104350</t>
  </si>
  <si>
    <t>ORD104392</t>
  </si>
  <si>
    <t>ORD104420</t>
  </si>
  <si>
    <t>C1116</t>
  </si>
  <si>
    <t>ORD104472</t>
  </si>
  <si>
    <t>ORD104536</t>
  </si>
  <si>
    <t>ORD104782</t>
  </si>
  <si>
    <t>ORD104817</t>
  </si>
  <si>
    <t>ORD104859</t>
  </si>
  <si>
    <t>ORD104965</t>
  </si>
  <si>
    <t>ORD100391</t>
  </si>
  <si>
    <t>C1726</t>
  </si>
  <si>
    <t>ORD100440</t>
  </si>
  <si>
    <t>ORD100558</t>
  </si>
  <si>
    <t>ORD100661</t>
  </si>
  <si>
    <t>ORD101490</t>
  </si>
  <si>
    <t>ORD101577</t>
  </si>
  <si>
    <t>ORD101660</t>
  </si>
  <si>
    <t>ORD101689</t>
  </si>
  <si>
    <t>ORD101808</t>
  </si>
  <si>
    <t>ORD102042</t>
  </si>
  <si>
    <t>ORD102043</t>
  </si>
  <si>
    <t>ORD102766</t>
  </si>
  <si>
    <t>ORD103981</t>
  </si>
  <si>
    <t>ORD104086</t>
  </si>
  <si>
    <t>ORD100337</t>
  </si>
  <si>
    <t>ORD100358</t>
  </si>
  <si>
    <t>ORD100655</t>
  </si>
  <si>
    <t>ORD100691</t>
  </si>
  <si>
    <t>ORD101440</t>
  </si>
  <si>
    <t>ORD101730</t>
  </si>
  <si>
    <t>ORD102275</t>
  </si>
  <si>
    <t>ORD102292</t>
  </si>
  <si>
    <t>ORD102733</t>
  </si>
  <si>
    <t>ORD102750</t>
  </si>
  <si>
    <t>C1790</t>
  </si>
  <si>
    <t>ORD103606</t>
  </si>
  <si>
    <t>ORD104018</t>
  </si>
  <si>
    <t>ORD104088</t>
  </si>
  <si>
    <t>ORD104631</t>
  </si>
  <si>
    <t>ORD104979</t>
  </si>
  <si>
    <t>ORD104983</t>
  </si>
  <si>
    <t>ORD100150</t>
  </si>
  <si>
    <t>ORD101641</t>
  </si>
  <si>
    <t>ORD102726</t>
  </si>
  <si>
    <t>ORD102729</t>
  </si>
  <si>
    <t>ORD102985</t>
  </si>
  <si>
    <t>ORD102999</t>
  </si>
  <si>
    <t>ORD103016</t>
  </si>
  <si>
    <t>ORD103324</t>
  </si>
  <si>
    <t>ORD103348</t>
  </si>
  <si>
    <t>ORD103701</t>
  </si>
  <si>
    <t>ORD104205</t>
  </si>
  <si>
    <t>ORD104821</t>
  </si>
  <si>
    <t>ORD104828</t>
  </si>
  <si>
    <t>C1408</t>
  </si>
  <si>
    <t>ORD100351</t>
  </si>
  <si>
    <t>ORD100454</t>
  </si>
  <si>
    <t>ORD100945</t>
  </si>
  <si>
    <t>ORD101285</t>
  </si>
  <si>
    <t>ORD101358</t>
  </si>
  <si>
    <t>ORD101945</t>
  </si>
  <si>
    <t>ORD102142</t>
  </si>
  <si>
    <t>ORD102949</t>
  </si>
  <si>
    <t>ORD104274</t>
  </si>
  <si>
    <t>ORD104559</t>
  </si>
  <si>
    <t>ORD104761</t>
  </si>
  <si>
    <t>ORD100022</t>
  </si>
  <si>
    <t>ORD100212</t>
  </si>
  <si>
    <t>ORD100837</t>
  </si>
  <si>
    <t>ORD101607</t>
  </si>
  <si>
    <t>ORD101610</t>
  </si>
  <si>
    <t>ORD101700</t>
  </si>
  <si>
    <t>ORD101789</t>
  </si>
  <si>
    <t>ORD101795</t>
  </si>
  <si>
    <t>ORD102235</t>
  </si>
  <si>
    <t>ORD102351</t>
  </si>
  <si>
    <t>ORD103020</t>
  </si>
  <si>
    <t>ORD103758</t>
  </si>
  <si>
    <t>ORD103888</t>
  </si>
  <si>
    <t>ORD103953</t>
  </si>
  <si>
    <t>ORD103966</t>
  </si>
  <si>
    <t>ORD103971</t>
  </si>
  <si>
    <t>ORD104339</t>
  </si>
  <si>
    <t>ORD104580</t>
  </si>
  <si>
    <t>C1618</t>
  </si>
  <si>
    <t>ORD104764</t>
  </si>
  <si>
    <t>C1957</t>
  </si>
  <si>
    <t>ORD104881</t>
  </si>
  <si>
    <t>ORD100185</t>
  </si>
  <si>
    <t>ORD100556</t>
  </si>
  <si>
    <t>ORD100624</t>
  </si>
  <si>
    <t>ORD100719</t>
  </si>
  <si>
    <t>ORD100880</t>
  </si>
  <si>
    <t>ORD101378</t>
  </si>
  <si>
    <t>ORD101473</t>
  </si>
  <si>
    <t>ORD101491</t>
  </si>
  <si>
    <t>ORD101785</t>
  </si>
  <si>
    <t>ORD102261</t>
  </si>
  <si>
    <t>ORD102325</t>
  </si>
  <si>
    <t>ORD102755</t>
  </si>
  <si>
    <t>ORD102959</t>
  </si>
  <si>
    <t>ORD103670</t>
  </si>
  <si>
    <t>ORD104038</t>
  </si>
  <si>
    <t>ORD104079</t>
  </si>
  <si>
    <t>ORD104711</t>
  </si>
  <si>
    <t>ORD104982</t>
  </si>
  <si>
    <t>ORD100205</t>
  </si>
  <si>
    <t>ORD100385</t>
  </si>
  <si>
    <t>ORD101031</t>
  </si>
  <si>
    <t>ORD101289</t>
  </si>
  <si>
    <t>ORD102252</t>
  </si>
  <si>
    <t>ORD102497</t>
  </si>
  <si>
    <t>ORD102604</t>
  </si>
  <si>
    <t>C1597</t>
  </si>
  <si>
    <t>ORD102647</t>
  </si>
  <si>
    <t>ORD102753</t>
  </si>
  <si>
    <t>ORD103047</t>
  </si>
  <si>
    <t>ORD103219</t>
  </si>
  <si>
    <t>ORD104140</t>
  </si>
  <si>
    <t>ORD104238</t>
  </si>
  <si>
    <t>ORD104317</t>
  </si>
  <si>
    <t>ORD104380</t>
  </si>
  <si>
    <t>ORD104406</t>
  </si>
  <si>
    <t>ORD100151</t>
  </si>
  <si>
    <t>ORD100349</t>
  </si>
  <si>
    <t>ORD102006</t>
  </si>
  <si>
    <t>ORD102122</t>
  </si>
  <si>
    <t>ORD102908</t>
  </si>
  <si>
    <t>ORD104241</t>
  </si>
  <si>
    <t>ORD100713</t>
  </si>
  <si>
    <t>ORD101055</t>
  </si>
  <si>
    <t>ORD101914</t>
  </si>
  <si>
    <t>ORD102379</t>
  </si>
  <si>
    <t>ORD102466</t>
  </si>
  <si>
    <t>ORD103160</t>
  </si>
  <si>
    <t>ORD103441</t>
  </si>
  <si>
    <t>ORD103713</t>
  </si>
  <si>
    <t>C1494</t>
  </si>
  <si>
    <t>ORD103929</t>
  </si>
  <si>
    <t>ORD104732</t>
  </si>
  <si>
    <t>ORD104873</t>
  </si>
  <si>
    <t>ORD100034</t>
  </si>
  <si>
    <t>ORD100402</t>
  </si>
  <si>
    <t>ORD100406</t>
  </si>
  <si>
    <t>ORD100436</t>
  </si>
  <si>
    <t>ORD100810</t>
  </si>
  <si>
    <t>ORD100917</t>
  </si>
  <si>
    <t>ORD100950</t>
  </si>
  <si>
    <t>ORD101162</t>
  </si>
  <si>
    <t>ORD101290</t>
  </si>
  <si>
    <t>ORD101756</t>
  </si>
  <si>
    <t>ORD102262</t>
  </si>
  <si>
    <t>C1795</t>
  </si>
  <si>
    <t>ORD103942</t>
  </si>
  <si>
    <t>ORD104214</t>
  </si>
  <si>
    <t>ORD104990</t>
  </si>
  <si>
    <t>ORD100931</t>
  </si>
  <si>
    <t>ORD101537</t>
  </si>
  <si>
    <t>ORD101616</t>
  </si>
  <si>
    <t>C1273</t>
  </si>
  <si>
    <t>ORD101736</t>
  </si>
  <si>
    <t>ORD101874</t>
  </si>
  <si>
    <t>ORD102893</t>
  </si>
  <si>
    <t>ORD102950</t>
  </si>
  <si>
    <t>ORD103479</t>
  </si>
  <si>
    <t>ORD103980</t>
  </si>
  <si>
    <t>ORD104778</t>
  </si>
  <si>
    <t>ORD100364</t>
  </si>
  <si>
    <t>ORD100543</t>
  </si>
  <si>
    <t>ORD100632</t>
  </si>
  <si>
    <t>ORD101321</t>
  </si>
  <si>
    <t>ORD101402</t>
  </si>
  <si>
    <t>ORD101563</t>
  </si>
  <si>
    <t>ORD101691</t>
  </si>
  <si>
    <t>ORD102587</t>
  </si>
  <si>
    <t>ORD102723</t>
  </si>
  <si>
    <t>C1100</t>
  </si>
  <si>
    <t>ORD103337</t>
  </si>
  <si>
    <t>ORD103428</t>
  </si>
  <si>
    <t>ORD103450</t>
  </si>
  <si>
    <t>ORD103500</t>
  </si>
  <si>
    <t>ORD103549</t>
  </si>
  <si>
    <t>ORD104022</t>
  </si>
  <si>
    <t>ORD104248</t>
  </si>
  <si>
    <t>ORD101014</t>
  </si>
  <si>
    <t>ORD101090</t>
  </si>
  <si>
    <t>ORD101511</t>
  </si>
  <si>
    <t>C1716</t>
  </si>
  <si>
    <t>ORD103222</t>
  </si>
  <si>
    <t>ORD103263</t>
  </si>
  <si>
    <t>ORD103332</t>
  </si>
  <si>
    <t>ORD103832</t>
  </si>
  <si>
    <t>ORD100028</t>
  </si>
  <si>
    <t>ORD100045</t>
  </si>
  <si>
    <t>ORD100331</t>
  </si>
  <si>
    <t>ORD101190</t>
  </si>
  <si>
    <t>ORD101209</t>
  </si>
  <si>
    <t>ORD102117</t>
  </si>
  <si>
    <t>ORD102248</t>
  </si>
  <si>
    <t>ORD102259</t>
  </si>
  <si>
    <t>ORD102491</t>
  </si>
  <si>
    <t>ORD103575</t>
  </si>
  <si>
    <t>ORD104020</t>
  </si>
  <si>
    <t>ORD100306</t>
  </si>
  <si>
    <t>ORD100368</t>
  </si>
  <si>
    <t>ORD100542</t>
  </si>
  <si>
    <t>ORD101185</t>
  </si>
  <si>
    <t>ORD101274</t>
  </si>
  <si>
    <t>ORD101643</t>
  </si>
  <si>
    <t>ORD101685</t>
  </si>
  <si>
    <t>C1793</t>
  </si>
  <si>
    <t>ORD102423</t>
  </si>
  <si>
    <t>ORD102699</t>
  </si>
  <si>
    <t>ORD103010</t>
  </si>
  <si>
    <t>C1330</t>
  </si>
  <si>
    <t>ORD103147</t>
  </si>
  <si>
    <t>ORD103153</t>
  </si>
  <si>
    <t>ORD104460</t>
  </si>
  <si>
    <t>ORD104688</t>
  </si>
  <si>
    <t>ORD104875</t>
  </si>
  <si>
    <t>ORD101334</t>
  </si>
  <si>
    <t>ORD101777</t>
  </si>
  <si>
    <t>ORD101955</t>
  </si>
  <si>
    <t>ORD102958</t>
  </si>
  <si>
    <t>ORD103100</t>
  </si>
  <si>
    <t>ORD103109</t>
  </si>
  <si>
    <t>ORD103747</t>
  </si>
  <si>
    <t>ORD103974</t>
  </si>
  <si>
    <t>ORD104505</t>
  </si>
  <si>
    <t>ORD104543</t>
  </si>
  <si>
    <t>ORD104863</t>
  </si>
  <si>
    <t>ORD100071</t>
  </si>
  <si>
    <t>ORD100628</t>
  </si>
  <si>
    <t>ORD100761</t>
  </si>
  <si>
    <t>ORD100914</t>
  </si>
  <si>
    <t>ORD101347</t>
  </si>
  <si>
    <t>ORD101706</t>
  </si>
  <si>
    <t>ORD101794</t>
  </si>
  <si>
    <t>C1683</t>
  </si>
  <si>
    <t>ORD102099</t>
  </si>
  <si>
    <t>ORD102815</t>
  </si>
  <si>
    <t>ORD102939</t>
  </si>
  <si>
    <t>ORD102990</t>
  </si>
  <si>
    <t>ORD103434</t>
  </si>
  <si>
    <t>ORD104669</t>
  </si>
  <si>
    <t>ORD104699</t>
  </si>
  <si>
    <t>ORD104748</t>
  </si>
  <si>
    <t>ORD104889</t>
  </si>
  <si>
    <t>ORD100168</t>
  </si>
  <si>
    <t>ORD101028</t>
  </si>
  <si>
    <t>ORD101113</t>
  </si>
  <si>
    <t>ORD101237</t>
  </si>
  <si>
    <t>C1177</t>
  </si>
  <si>
    <t>ORD101403</t>
  </si>
  <si>
    <t>ORD102120</t>
  </si>
  <si>
    <t>ORD102295</t>
  </si>
  <si>
    <t>ORD102418</t>
  </si>
  <si>
    <t>ORD102746</t>
  </si>
  <si>
    <t>ORD102775</t>
  </si>
  <si>
    <t>ORD103923</t>
  </si>
  <si>
    <t>ORD103954</t>
  </si>
  <si>
    <t>ORD104422</t>
  </si>
  <si>
    <t>ORD104841</t>
  </si>
  <si>
    <t>ORD100470</t>
  </si>
  <si>
    <t>ORD100548</t>
  </si>
  <si>
    <t>ORD100818</t>
  </si>
  <si>
    <t>ORD100821</t>
  </si>
  <si>
    <t>ORD101411</t>
  </si>
  <si>
    <t>ORD101648</t>
  </si>
  <si>
    <t>ORD101894</t>
  </si>
  <si>
    <t>ORD102651</t>
  </si>
  <si>
    <t>ORD102761</t>
  </si>
  <si>
    <t>ORD103070</t>
  </si>
  <si>
    <t>ORD103570</t>
  </si>
  <si>
    <t>ORD103868</t>
  </si>
  <si>
    <t>ORD104335</t>
  </si>
  <si>
    <t>ORD104488</t>
  </si>
  <si>
    <t>ORD100179</t>
  </si>
  <si>
    <t>ORD100757</t>
  </si>
  <si>
    <t>ORD101027</t>
  </si>
  <si>
    <t>ORD101772</t>
  </si>
  <si>
    <t>ORD102413</t>
  </si>
  <si>
    <t>ORD102479</t>
  </si>
  <si>
    <t>ORD102855</t>
  </si>
  <si>
    <t>C1041</t>
  </si>
  <si>
    <t>ORD103267</t>
  </si>
  <si>
    <t>ORD103520</t>
  </si>
  <si>
    <t>ORD103871</t>
  </si>
  <si>
    <t>ORD104013</t>
  </si>
  <si>
    <t>ORD104373</t>
  </si>
  <si>
    <t>ORD100224</t>
  </si>
  <si>
    <t>C1173</t>
  </si>
  <si>
    <t>ORD100434</t>
  </si>
  <si>
    <t>ORD101163</t>
  </si>
  <si>
    <t>ORD101708</t>
  </si>
  <si>
    <t>ORD102305</t>
  </si>
  <si>
    <t>ORD102686</t>
  </si>
  <si>
    <t>ORD103396</t>
  </si>
  <si>
    <t>ORD103792</t>
  </si>
  <si>
    <t>ORD104438</t>
  </si>
  <si>
    <t>ORD100897</t>
  </si>
  <si>
    <t>ORD101355</t>
  </si>
  <si>
    <t>ORD101369</t>
  </si>
  <si>
    <t>ORD101646</t>
  </si>
  <si>
    <t>C1328</t>
  </si>
  <si>
    <t>ORD101675</t>
  </si>
  <si>
    <t>ORD103087</t>
  </si>
  <si>
    <t>ORD103352</t>
  </si>
  <si>
    <t>ORD103542</t>
  </si>
  <si>
    <t>ORD104029</t>
  </si>
  <si>
    <t>C1762</t>
  </si>
  <si>
    <t>ORD104167</t>
  </si>
  <si>
    <t>ORD104234</t>
  </si>
  <si>
    <t>ORD104305</t>
  </si>
  <si>
    <t>ORD104387</t>
  </si>
  <si>
    <t>ORD104991</t>
  </si>
  <si>
    <t>ORD100494</t>
  </si>
  <si>
    <t>ORD100665</t>
  </si>
  <si>
    <t>ORD100952</t>
  </si>
  <si>
    <t>ORD101161</t>
  </si>
  <si>
    <t>ORD101629</t>
  </si>
  <si>
    <t>ORD101632</t>
  </si>
  <si>
    <t>ORD102038</t>
  </si>
  <si>
    <t>ORD102197</t>
  </si>
  <si>
    <t>ORD102209</t>
  </si>
  <si>
    <t>ORD102332</t>
  </si>
  <si>
    <t>ORD102348</t>
  </si>
  <si>
    <t>ORD103076</t>
  </si>
  <si>
    <t>ORD103150</t>
  </si>
  <si>
    <t>ORD103652</t>
  </si>
  <si>
    <t>ORD104000</t>
  </si>
  <si>
    <t>ORD104143</t>
  </si>
  <si>
    <t>ORD104250</t>
  </si>
  <si>
    <t>ORD104286</t>
  </si>
  <si>
    <t>ORD104680</t>
  </si>
  <si>
    <t>C1339</t>
  </si>
  <si>
    <t>ORD104839</t>
  </si>
  <si>
    <t>ORD101348</t>
  </si>
  <si>
    <t>ORD103210</t>
  </si>
  <si>
    <t>ORD103751</t>
  </si>
  <si>
    <t>ORD104233</t>
  </si>
  <si>
    <t>ORD104456</t>
  </si>
  <si>
    <t>ORD104823</t>
  </si>
  <si>
    <t>ORD100733</t>
  </si>
  <si>
    <t>ORD100807</t>
  </si>
  <si>
    <t>ORD100958</t>
  </si>
  <si>
    <t>ORD101160</t>
  </si>
  <si>
    <t>ORD101238</t>
  </si>
  <si>
    <t>ORD101418</t>
  </si>
  <si>
    <t>ORD101896</t>
  </si>
  <si>
    <t>C1191</t>
  </si>
  <si>
    <t>ORD102024</t>
  </si>
  <si>
    <t>ORD103523</t>
  </si>
  <si>
    <t>ORD103774</t>
  </si>
  <si>
    <t>ORD104570</t>
  </si>
  <si>
    <t>ORD100112</t>
  </si>
  <si>
    <t>ORD100334</t>
  </si>
  <si>
    <t>ORD101179</t>
  </si>
  <si>
    <t>ORD101578</t>
  </si>
  <si>
    <t>ORD101596</t>
  </si>
  <si>
    <t>ORD101837</t>
  </si>
  <si>
    <t>ORD101913</t>
  </si>
  <si>
    <t>ORD102300</t>
  </si>
  <si>
    <t>ORD103163</t>
  </si>
  <si>
    <t>C1263</t>
  </si>
  <si>
    <t>ORD103554</t>
  </si>
  <si>
    <t>ORD103770</t>
  </si>
  <si>
    <t>ORD103897</t>
  </si>
  <si>
    <t>ORD104019</t>
  </si>
  <si>
    <t>ORD104294</t>
  </si>
  <si>
    <t>ORD104666</t>
  </si>
  <si>
    <t>ORD104747</t>
  </si>
  <si>
    <t>ORD100604</t>
  </si>
  <si>
    <t>ORD101370</t>
  </si>
  <si>
    <t>ORD101540</t>
  </si>
  <si>
    <t>ORD101747</t>
  </si>
  <si>
    <t>ORD101778</t>
  </si>
  <si>
    <t>ORD101895</t>
  </si>
  <si>
    <t>ORD103105</t>
  </si>
  <si>
    <t>ORD103809</t>
  </si>
  <si>
    <t>ORD103993</t>
  </si>
  <si>
    <t>ORD104510</t>
  </si>
  <si>
    <t>ORD104928</t>
  </si>
  <si>
    <t>ORD100293</t>
  </si>
  <si>
    <t>ORD100488</t>
  </si>
  <si>
    <t>ORD100745</t>
  </si>
  <si>
    <t>ORD101414</t>
  </si>
  <si>
    <t>ORD102464</t>
  </si>
  <si>
    <t>ORD102628</t>
  </si>
  <si>
    <t>ORD102797</t>
  </si>
  <si>
    <t>ORD103248</t>
  </si>
  <si>
    <t>ORD100193</t>
  </si>
  <si>
    <t>ORD100340</t>
  </si>
  <si>
    <t>ORD100387</t>
  </si>
  <si>
    <t>ORD101139</t>
  </si>
  <si>
    <t>ORD101384</t>
  </si>
  <si>
    <t>ORD101472</t>
  </si>
  <si>
    <t>ORD101595</t>
  </si>
  <si>
    <t>ORD102111</t>
  </si>
  <si>
    <t>ORD102344</t>
  </si>
  <si>
    <t>ORD102862</t>
  </si>
  <si>
    <t>ORD102972</t>
  </si>
  <si>
    <t>ORD103387</t>
  </si>
  <si>
    <t>ORD103733</t>
  </si>
  <si>
    <t>ORD103950</t>
  </si>
  <si>
    <t>ORD103961</t>
  </si>
  <si>
    <t>ORD104003</t>
  </si>
  <si>
    <t>ORD104180</t>
  </si>
  <si>
    <t>ORD104474</t>
  </si>
  <si>
    <t>C1974</t>
  </si>
  <si>
    <t>ORD104572</t>
  </si>
  <si>
    <t>ORD104673</t>
  </si>
  <si>
    <t>ORD100040</t>
  </si>
  <si>
    <t>ORD100166</t>
  </si>
  <si>
    <t>ORD100562</t>
  </si>
  <si>
    <t>ORD100593</t>
  </si>
  <si>
    <t>ORD100763</t>
  </si>
  <si>
    <t>ORD101157</t>
  </si>
  <si>
    <t>ORD101166</t>
  </si>
  <si>
    <t>ORD101330</t>
  </si>
  <si>
    <t>C1773</t>
  </si>
  <si>
    <t>ORD101385</t>
  </si>
  <si>
    <t>ORD101650</t>
  </si>
  <si>
    <t>ORD101735</t>
  </si>
  <si>
    <t>ORD101942</t>
  </si>
  <si>
    <t>ORD102291</t>
  </si>
  <si>
    <t>ORD102341</t>
  </si>
  <si>
    <t>ORD102416</t>
  </si>
  <si>
    <t>ORD102850</t>
  </si>
  <si>
    <t>C1904</t>
  </si>
  <si>
    <t>ORD104231</t>
  </si>
  <si>
    <t>ORD104513</t>
  </si>
  <si>
    <t>ORD100631</t>
  </si>
  <si>
    <t>ORD101117</t>
  </si>
  <si>
    <t>ORD101155</t>
  </si>
  <si>
    <t>ORD101229</t>
  </si>
  <si>
    <t>ORD101514</t>
  </si>
  <si>
    <t>ORD101814</t>
  </si>
  <si>
    <t>ORD102771</t>
  </si>
  <si>
    <t>ORD102857</t>
  </si>
  <si>
    <t>ORD103129</t>
  </si>
  <si>
    <t>ORD103334</t>
  </si>
  <si>
    <t>ORD104997</t>
  </si>
  <si>
    <t>ORD100399</t>
  </si>
  <si>
    <t>ORD101663</t>
  </si>
  <si>
    <t>ORD101849</t>
  </si>
  <si>
    <t>ORD102176</t>
  </si>
  <si>
    <t>C1075</t>
  </si>
  <si>
    <t>ORD102361</t>
  </si>
  <si>
    <t>ORD102870</t>
  </si>
  <si>
    <t>ORD103175</t>
  </si>
  <si>
    <t>ORD103698</t>
  </si>
  <si>
    <t>ORD103861</t>
  </si>
  <si>
    <t>ORD104034</t>
  </si>
  <si>
    <t>ORD104640</t>
  </si>
  <si>
    <t>ORD104774</t>
  </si>
  <si>
    <t>ORD100057</t>
  </si>
  <si>
    <t>ORD100090</t>
  </si>
  <si>
    <t>ORD100121</t>
  </si>
  <si>
    <t>ORD100134</t>
  </si>
  <si>
    <t>ORD100240</t>
  </si>
  <si>
    <t>ORD101251</t>
  </si>
  <si>
    <t>ORD101389</t>
  </si>
  <si>
    <t>ORD101415</t>
  </si>
  <si>
    <t>ORD102320</t>
  </si>
  <si>
    <t>ORD102583</t>
  </si>
  <si>
    <t>ORD102622</t>
  </si>
  <si>
    <t>C1527</t>
  </si>
  <si>
    <t>ORD102786</t>
  </si>
  <si>
    <t>ORD102835</t>
  </si>
  <si>
    <t>ORD103062</t>
  </si>
  <si>
    <t>ORD103121</t>
  </si>
  <si>
    <t>ORD103440</t>
  </si>
  <si>
    <t>ORD103517</t>
  </si>
  <si>
    <t>ORD103823</t>
  </si>
  <si>
    <t>ORD103907</t>
  </si>
  <si>
    <t>ORD104483</t>
  </si>
  <si>
    <t>ORD104573</t>
  </si>
  <si>
    <t>ORD104813</t>
  </si>
  <si>
    <t>ORD100427</t>
  </si>
  <si>
    <t>ORD100676</t>
  </si>
  <si>
    <t>ORD100941</t>
  </si>
  <si>
    <t>ORD101410</t>
  </si>
  <si>
    <t>ORD101659</t>
  </si>
  <si>
    <t>ORD102668</t>
  </si>
  <si>
    <t>ORD102955</t>
  </si>
  <si>
    <t>ORD103628</t>
  </si>
  <si>
    <t>ORD104056</t>
  </si>
  <si>
    <t>ORD104066</t>
  </si>
  <si>
    <t>ORD104144</t>
  </si>
  <si>
    <t>ORD104436</t>
  </si>
  <si>
    <t>ORD104650</t>
  </si>
  <si>
    <t>ORD104674</t>
  </si>
  <si>
    <t>ORD104736</t>
  </si>
  <si>
    <t>ORD104856</t>
  </si>
  <si>
    <t>ORD100066</t>
  </si>
  <si>
    <t>ORD100317</t>
  </si>
  <si>
    <t>ORD100737</t>
  </si>
  <si>
    <t>ORD100742</t>
  </si>
  <si>
    <t>ORD100760</t>
  </si>
  <si>
    <t>ORD100926</t>
  </si>
  <si>
    <t>ORD101435</t>
  </si>
  <si>
    <t>ORD101869</t>
  </si>
  <si>
    <t>ORD101979</t>
  </si>
  <si>
    <t>ORD103207</t>
  </si>
  <si>
    <t>ORD103282</t>
  </si>
  <si>
    <t>ORD103976</t>
  </si>
  <si>
    <t>ORD100093</t>
  </si>
  <si>
    <t>ORD100951</t>
  </si>
  <si>
    <t>ORD101245</t>
  </si>
  <si>
    <t>ORD101373</t>
  </si>
  <si>
    <t>ORD101507</t>
  </si>
  <si>
    <t>ORD101983</t>
  </si>
  <si>
    <t>ORD102485</t>
  </si>
  <si>
    <t>ORD102590</t>
  </si>
  <si>
    <t>ORD103261</t>
  </si>
  <si>
    <t>ORD103446</t>
  </si>
  <si>
    <t>ORD103573</t>
  </si>
  <si>
    <t>ORD103676</t>
  </si>
  <si>
    <t>ORD104550</t>
  </si>
  <si>
    <t>ORD100081</t>
  </si>
  <si>
    <t>C1329</t>
  </si>
  <si>
    <t>ORD100866</t>
  </si>
  <si>
    <t>ORD101239</t>
  </si>
  <si>
    <t>ORD101763</t>
  </si>
  <si>
    <t>ORD101773</t>
  </si>
  <si>
    <t>ORD101933</t>
  </si>
  <si>
    <t>ORD102411</t>
  </si>
  <si>
    <t>C1445</t>
  </si>
  <si>
    <t>ORD103885</t>
  </si>
  <si>
    <t>ORD103916</t>
  </si>
  <si>
    <t>ORD104341</t>
  </si>
  <si>
    <t>ORD104370</t>
  </si>
  <si>
    <t>ORD100111</t>
  </si>
  <si>
    <t>ORD100689</t>
  </si>
  <si>
    <t>ORD101154</t>
  </si>
  <si>
    <t>ORD101696</t>
  </si>
  <si>
    <t>ORD102281</t>
  </si>
  <si>
    <t>ORD102903</t>
  </si>
  <si>
    <t>ORD103462</t>
  </si>
  <si>
    <t>ORD103584</t>
  </si>
  <si>
    <t>ORD103610</t>
  </si>
  <si>
    <t>ORD103620</t>
  </si>
  <si>
    <t>ORD104431</t>
  </si>
  <si>
    <t>ORD104978</t>
  </si>
  <si>
    <t>ORD100517</t>
  </si>
  <si>
    <t>ORD100762</t>
  </si>
  <si>
    <t>ORD100826</t>
  </si>
  <si>
    <t>ORD101223</t>
  </si>
  <si>
    <t>ORD101862</t>
  </si>
  <si>
    <t>ORD102317</t>
  </si>
  <si>
    <t>ORD102384</t>
  </si>
  <si>
    <t>C1708</t>
  </si>
  <si>
    <t>ORD102720</t>
  </si>
  <si>
    <t>ORD103122</t>
  </si>
  <si>
    <t>ORD103417</t>
  </si>
  <si>
    <t>ORD103468</t>
  </si>
  <si>
    <t>ORD103494</t>
  </si>
  <si>
    <t>ORD104054</t>
  </si>
  <si>
    <t>ORD104110</t>
  </si>
  <si>
    <t>ORD104111</t>
  </si>
  <si>
    <t>ORD104525</t>
  </si>
  <si>
    <t>ORD104563</t>
  </si>
  <si>
    <t>ORD104878</t>
  </si>
  <si>
    <t>ORD100065</t>
  </si>
  <si>
    <t>ORD100641</t>
  </si>
  <si>
    <t>ORD100930</t>
  </si>
  <si>
    <t>ORD101116</t>
  </si>
  <si>
    <t>ORD101335</t>
  </si>
  <si>
    <t>ORD102901</t>
  </si>
  <si>
    <t>ORD102948</t>
  </si>
  <si>
    <t>ORD102957</t>
  </si>
  <si>
    <t>ORD104064</t>
  </si>
  <si>
    <t>ORD104482</t>
  </si>
  <si>
    <t>ORD100038</t>
  </si>
  <si>
    <t>C1543</t>
  </si>
  <si>
    <t>ORD100125</t>
  </si>
  <si>
    <t>ORD100611</t>
  </si>
  <si>
    <t>ORD100850</t>
  </si>
  <si>
    <t>ORD100856</t>
  </si>
  <si>
    <t>C1910</t>
  </si>
  <si>
    <t>ORD100942</t>
  </si>
  <si>
    <t>ORD102157</t>
  </si>
  <si>
    <t>ORD102211</t>
  </si>
  <si>
    <t>ORD102247</t>
  </si>
  <si>
    <t>ORD102707</t>
  </si>
  <si>
    <t>ORD102811</t>
  </si>
  <si>
    <t>ORD103592</t>
  </si>
  <si>
    <t>ORD104002</t>
  </si>
  <si>
    <t>ORD104357</t>
  </si>
  <si>
    <t>ORD104886</t>
  </si>
  <si>
    <t>ORD100263</t>
  </si>
  <si>
    <t>ORD100671</t>
  </si>
  <si>
    <t>ORD101118</t>
  </si>
  <si>
    <t>ORD101580</t>
  </si>
  <si>
    <t>ORD102555</t>
  </si>
  <si>
    <t>ORD103118</t>
  </si>
  <si>
    <t>ORD103274</t>
  </si>
  <si>
    <t>ORD103643</t>
  </si>
  <si>
    <t>ORD103728</t>
  </si>
  <si>
    <t>ORD104134</t>
  </si>
  <si>
    <t>ORD104293</t>
  </si>
  <si>
    <t>ORD104355</t>
  </si>
  <si>
    <t>ORD101408</t>
  </si>
  <si>
    <t>ORD101428</t>
  </si>
  <si>
    <t>ORD101968</t>
  </si>
  <si>
    <t>ORD102017</t>
  </si>
  <si>
    <t>ORD102563</t>
  </si>
  <si>
    <t>ORD102966</t>
  </si>
  <si>
    <t>ORD103266</t>
  </si>
  <si>
    <t>ORD103273</t>
  </si>
  <si>
    <t>ORD103293</t>
  </si>
  <si>
    <t>ORD103425</t>
  </si>
  <si>
    <t>ORD104557</t>
  </si>
  <si>
    <t>ORD104739</t>
  </si>
  <si>
    <t>ORD100477</t>
  </si>
  <si>
    <t>ORD100529</t>
  </si>
  <si>
    <t>ORD100586</t>
  </si>
  <si>
    <t>ORD101203</t>
  </si>
  <si>
    <t>ORD101353</t>
  </si>
  <si>
    <t>ORD101407</t>
  </si>
  <si>
    <t>ORD101746</t>
  </si>
  <si>
    <t>ORD102138</t>
  </si>
  <si>
    <t>ORD102160</t>
  </si>
  <si>
    <t>C1446</t>
  </si>
  <si>
    <t>ORD102447</t>
  </si>
  <si>
    <t>ORD103505</t>
  </si>
  <si>
    <t>ORD103678</t>
  </si>
  <si>
    <t>ORD103844</t>
  </si>
  <si>
    <t>ORD104187</t>
  </si>
  <si>
    <t>ORD104551</t>
  </si>
  <si>
    <t>ORD100054</t>
  </si>
  <si>
    <t>ORD100395</t>
  </si>
  <si>
    <t>ORD100560</t>
  </si>
  <si>
    <t>ORD100716</t>
  </si>
  <si>
    <t>ORD101320</t>
  </si>
  <si>
    <t>ORD101395</t>
  </si>
  <si>
    <t>ORD101711</t>
  </si>
  <si>
    <t>ORD101753</t>
  </si>
  <si>
    <t>ORD102236</t>
  </si>
  <si>
    <t>ORD102467</t>
  </si>
  <si>
    <t>ORD103111</t>
  </si>
  <si>
    <t>ORD103534</t>
  </si>
  <si>
    <t>ORD100360</t>
  </si>
  <si>
    <t>ORD100580</t>
  </si>
  <si>
    <t>ORD100741</t>
  </si>
  <si>
    <t>ORD100784</t>
  </si>
  <si>
    <t>ORD100815</t>
  </si>
  <si>
    <t>ORD100870</t>
  </si>
  <si>
    <t>ORD101233</t>
  </si>
  <si>
    <t>ORD101434</t>
  </si>
  <si>
    <t>ORD102025</t>
  </si>
  <si>
    <t>ORD102372</t>
  </si>
  <si>
    <t>ORD102556</t>
  </si>
  <si>
    <t>ORD102767</t>
  </si>
  <si>
    <t>ORD103529</t>
  </si>
  <si>
    <t>ORD103685</t>
  </si>
  <si>
    <t>ORD103726</t>
  </si>
  <si>
    <t>ORD104125</t>
  </si>
  <si>
    <t>ORD104972</t>
  </si>
  <si>
    <t>ORD104973</t>
  </si>
  <si>
    <t>ORD100163</t>
  </si>
  <si>
    <t>ORD100472</t>
  </si>
  <si>
    <t>ORD100805</t>
  </si>
  <si>
    <t>ORD100890</t>
  </si>
  <si>
    <t>ORD100992</t>
  </si>
  <si>
    <t>ORD101337</t>
  </si>
  <si>
    <t>ORD101495</t>
  </si>
  <si>
    <t>ORD101572</t>
  </si>
  <si>
    <t>ORD103380</t>
  </si>
  <si>
    <t>ORD104076</t>
  </si>
  <si>
    <t>ORD104924</t>
  </si>
  <si>
    <t>ORD100796</t>
  </si>
  <si>
    <t>ORD101122</t>
  </si>
  <si>
    <t>ORD101322</t>
  </si>
  <si>
    <t>ORD101426</t>
  </si>
  <si>
    <t>ORD101486</t>
  </si>
  <si>
    <t>ORD101994</t>
  </si>
  <si>
    <t>ORD102638</t>
  </si>
  <si>
    <t>ORD103232</t>
  </si>
  <si>
    <t>ORD104260</t>
  </si>
  <si>
    <t>ORD104756</t>
  </si>
  <si>
    <t>C1600</t>
  </si>
  <si>
    <t>ORD102026</t>
  </si>
  <si>
    <t>ORD102865</t>
  </si>
  <si>
    <t>ORD104211</t>
  </si>
  <si>
    <t>ORD104898</t>
  </si>
  <si>
    <t>C1915</t>
  </si>
  <si>
    <t>ORD100019</t>
  </si>
  <si>
    <t>ORD101866</t>
  </si>
  <si>
    <t>ORD102298</t>
  </si>
  <si>
    <t>ORD103317</t>
  </si>
  <si>
    <t>ORD103597</t>
  </si>
  <si>
    <t>ORD103796</t>
  </si>
  <si>
    <t>ORD104092</t>
  </si>
  <si>
    <t>ORD104103</t>
  </si>
  <si>
    <t>ORD100218</t>
  </si>
  <si>
    <t>ORD100505</t>
  </si>
  <si>
    <t>ORD101215</t>
  </si>
  <si>
    <t>ORD102889</t>
  </si>
  <si>
    <t>ORD102956</t>
  </si>
  <si>
    <t>ORD102987</t>
  </si>
  <si>
    <t>ORD103404</t>
  </si>
  <si>
    <t>ORD103677</t>
  </si>
  <si>
    <t>ORD103763</t>
  </si>
  <si>
    <t>ORD103931</t>
  </si>
  <si>
    <t>ORD101107</t>
  </si>
  <si>
    <t>ORD101851</t>
  </si>
  <si>
    <t>ORD101887</t>
  </si>
  <si>
    <t>ORD102061</t>
  </si>
  <si>
    <t>ORD102177</t>
  </si>
  <si>
    <t>ORD102572</t>
  </si>
  <si>
    <t>ORD103384</t>
  </si>
  <si>
    <t>ORD103399</t>
  </si>
  <si>
    <t>ORD103580</t>
  </si>
  <si>
    <t>ORD103694</t>
  </si>
  <si>
    <t>ORD103857</t>
  </si>
  <si>
    <t>ORD104053</t>
  </si>
  <si>
    <t>ORD104511</t>
  </si>
  <si>
    <t>ORD100286</t>
  </si>
  <si>
    <t>ORD100532</t>
  </si>
  <si>
    <t>ORD101188</t>
  </si>
  <si>
    <t>ORD102971</t>
  </si>
  <si>
    <t>ORD103067</t>
  </si>
  <si>
    <t>ORD103173</t>
  </si>
  <si>
    <t>ORD103527</t>
  </si>
  <si>
    <t>ORD103616</t>
  </si>
  <si>
    <t>ORD103777</t>
  </si>
  <si>
    <t>ORD103962</t>
  </si>
  <si>
    <t>ORD104249</t>
  </si>
  <si>
    <t>ORD104282</t>
  </si>
  <si>
    <t>C1841</t>
  </si>
  <si>
    <t>ORD100109</t>
  </si>
  <si>
    <t>C1374</t>
  </si>
  <si>
    <t>ORD100280</t>
  </si>
  <si>
    <t>C1758</t>
  </si>
  <si>
    <t>ORD100657</t>
  </si>
  <si>
    <t>ORD100824</t>
  </si>
  <si>
    <t>ORD100860</t>
  </si>
  <si>
    <t>ORD102170</t>
  </si>
  <si>
    <t>ORD102368</t>
  </si>
  <si>
    <t>ORD103437</t>
  </si>
  <si>
    <t>ORD103641</t>
  </si>
  <si>
    <t>ORD104040</t>
  </si>
  <si>
    <t>ORD104382</t>
  </si>
  <si>
    <t>ORD104388</t>
  </si>
  <si>
    <t>ORD104578</t>
  </si>
  <si>
    <t>ORD104611</t>
  </si>
  <si>
    <t>ORD104769</t>
  </si>
  <si>
    <t>ORD104993</t>
  </si>
  <si>
    <t>ORD100194</t>
  </si>
  <si>
    <t>ORD100323</t>
  </si>
  <si>
    <t>ORD100509</t>
  </si>
  <si>
    <t>ORD100854</t>
  </si>
  <si>
    <t>ORD100956</t>
  </si>
  <si>
    <t>ORD101023</t>
  </si>
  <si>
    <t>ORD101365</t>
  </si>
  <si>
    <t>ORD101542</t>
  </si>
  <si>
    <t>ORD102011</t>
  </si>
  <si>
    <t>ORD102184</t>
  </si>
  <si>
    <t>ORD103000</t>
  </si>
  <si>
    <t>ORD103069</t>
  </si>
  <si>
    <t>ORD103626</t>
  </si>
  <si>
    <t>ORD103960</t>
  </si>
  <si>
    <t>ORD104448</t>
  </si>
  <si>
    <t>ORD104896</t>
  </si>
  <si>
    <t>ORD100502</t>
  </si>
  <si>
    <t>ORD101560</t>
  </si>
  <si>
    <t>ORD101622</t>
  </si>
  <si>
    <t>ORD102718</t>
  </si>
  <si>
    <t>ORD103271</t>
  </si>
  <si>
    <t>ORD103737</t>
  </si>
  <si>
    <t>ORD104169</t>
  </si>
  <si>
    <t>ORD104222</t>
  </si>
  <si>
    <t>ORD104671</t>
  </si>
  <si>
    <t>ORD104954</t>
  </si>
  <si>
    <t>ORD100460</t>
  </si>
  <si>
    <t>ORD100944</t>
  </si>
  <si>
    <t>ORD101305</t>
  </si>
  <si>
    <t>ORD102388</t>
  </si>
  <si>
    <t>ORD102422</t>
  </si>
  <si>
    <t>ORD102823</t>
  </si>
  <si>
    <t>ORD103034</t>
  </si>
  <si>
    <t>ORD104586</t>
  </si>
  <si>
    <t>ORD104587</t>
  </si>
  <si>
    <t>ORD100835</t>
  </si>
  <si>
    <t>ORD100978</t>
  </si>
  <si>
    <t>ORD100985</t>
  </si>
  <si>
    <t>ORD101710</t>
  </si>
  <si>
    <t>ORD101803</t>
  </si>
  <si>
    <t>ORD102398</t>
  </si>
  <si>
    <t>ORD102428</t>
  </si>
  <si>
    <t>ORD102944</t>
  </si>
  <si>
    <t>ORD103064</t>
  </si>
  <si>
    <t>ORD103227</t>
  </si>
  <si>
    <t>ORD103366</t>
  </si>
  <si>
    <t>ORD103495</t>
  </si>
  <si>
    <t>ORD103551</t>
  </si>
  <si>
    <t>ORD103817</t>
  </si>
  <si>
    <t>ORD103947</t>
  </si>
  <si>
    <t>ORD104585</t>
  </si>
  <si>
    <t>ORD100084</t>
  </si>
  <si>
    <t>ORD100284</t>
  </si>
  <si>
    <t>ORD100660</t>
  </si>
  <si>
    <t>ORD100675</t>
  </si>
  <si>
    <t>ORD101272</t>
  </si>
  <si>
    <t>ORD101381</t>
  </si>
  <si>
    <t>ORD101599</t>
  </si>
  <si>
    <t>ORD101960</t>
  </si>
  <si>
    <t>ORD102537</t>
  </si>
  <si>
    <t>ORD102738</t>
  </si>
  <si>
    <t>ORD103145</t>
  </si>
  <si>
    <t>ORD103242</t>
  </si>
  <si>
    <t>ORD103865</t>
  </si>
  <si>
    <t>ORD104031</t>
  </si>
  <si>
    <t>ORD104268</t>
  </si>
  <si>
    <t>ORD104342</t>
  </si>
  <si>
    <t>ORD104719</t>
  </si>
  <si>
    <t>ORD100359</t>
  </si>
  <si>
    <t>ORD100408</t>
  </si>
  <si>
    <t>ORD100684</t>
  </si>
  <si>
    <t>ORD101151</t>
  </si>
  <si>
    <t>ORD101483</t>
  </si>
  <si>
    <t>ORD102669</t>
  </si>
  <si>
    <t>ORD102794</t>
  </si>
  <si>
    <t>ORD103159</t>
  </si>
  <si>
    <t>ORD103448</t>
  </si>
  <si>
    <t>ORD103499</t>
  </si>
  <si>
    <t>ORD103553</t>
  </si>
  <si>
    <t>ORD104239</t>
  </si>
  <si>
    <t>ORD104439</t>
  </si>
  <si>
    <t>ORD100042</t>
  </si>
  <si>
    <t>ORD102165</t>
  </si>
  <si>
    <t>ORD102804</t>
  </si>
  <si>
    <t>ORD102992</t>
  </si>
  <si>
    <t>C1818</t>
  </si>
  <si>
    <t>ORD103006</t>
  </si>
  <si>
    <t>ORD103057</t>
  </si>
  <si>
    <t>ORD103745</t>
  </si>
  <si>
    <t>ORD104809</t>
  </si>
  <si>
    <t>ORD104943</t>
  </si>
  <si>
    <t>ORD104969</t>
  </si>
  <si>
    <t>ORD100288</t>
  </si>
  <si>
    <t>ORD100823</t>
  </si>
  <si>
    <t>ORD101049</t>
  </si>
  <si>
    <t>ORD101567</t>
  </si>
  <si>
    <t>ORD102328</t>
  </si>
  <si>
    <t>ORD102370</t>
  </si>
  <si>
    <t>ORD103319</t>
  </si>
  <si>
    <t>ORD103333</t>
  </si>
  <si>
    <t>C1449</t>
  </si>
  <si>
    <t>ORD104273</t>
  </si>
  <si>
    <t>ORD104689</t>
  </si>
  <si>
    <t>ORD104981</t>
  </si>
  <si>
    <t>ORD100008</t>
  </si>
  <si>
    <t>ORD100122</t>
  </si>
  <si>
    <t>ORD100211</t>
  </si>
  <si>
    <t>ORD100309</t>
  </si>
  <si>
    <t>ORD101380</t>
  </si>
  <si>
    <t>ORD102449</t>
  </si>
  <si>
    <t>ORD102455</t>
  </si>
  <si>
    <t>ORD102947</t>
  </si>
  <si>
    <t>ORD103187</t>
  </si>
  <si>
    <t>ORD103680</t>
  </si>
  <si>
    <t>ORD103927</t>
  </si>
  <si>
    <t>ORD103985</t>
  </si>
  <si>
    <t>ORD100029</t>
  </si>
  <si>
    <t>ORD100145</t>
  </si>
  <si>
    <t>ORD101843</t>
  </si>
  <si>
    <t>ORD101964</t>
  </si>
  <si>
    <t>ORD102194</t>
  </si>
  <si>
    <t>ORD102337</t>
  </si>
  <si>
    <t>ORD103234</t>
  </si>
  <si>
    <t>ORD103340</t>
  </si>
  <si>
    <t>ORD103391</t>
  </si>
  <si>
    <t>ORD103509</t>
  </si>
  <si>
    <t>ORD103706</t>
  </si>
  <si>
    <t>ORD103911</t>
  </si>
  <si>
    <t>ORD104183</t>
  </si>
  <si>
    <t>ORD104599</t>
  </si>
  <si>
    <t>ORD104890</t>
  </si>
  <si>
    <t>ORD104956</t>
  </si>
  <si>
    <t>ORD100376</t>
  </si>
  <si>
    <t>ORD100888</t>
  </si>
  <si>
    <t>ORD101296</t>
  </si>
  <si>
    <t>ORD101694</t>
  </si>
  <si>
    <t>ORD102015</t>
  </si>
  <si>
    <t>ORD102036</t>
  </si>
  <si>
    <t>ORD102182</t>
  </si>
  <si>
    <t>ORD102711</t>
  </si>
  <si>
    <t>ORD102731</t>
  </si>
  <si>
    <t>ORD103164</t>
  </si>
  <si>
    <t>ORD103673</t>
  </si>
  <si>
    <t>ORD104737</t>
  </si>
  <si>
    <t>ORD100412</t>
  </si>
  <si>
    <t>ORD101106</t>
  </si>
  <si>
    <t>ORD101204</t>
  </si>
  <si>
    <t>ORD101798</t>
  </si>
  <si>
    <t>ORD101910</t>
  </si>
  <si>
    <t>ORD102546</t>
  </si>
  <si>
    <t>ORD102637</t>
  </si>
  <si>
    <t>ORD102789</t>
  </si>
  <si>
    <t>ORD103099</t>
  </si>
  <si>
    <t>ORD104191</t>
  </si>
  <si>
    <t>ORD104744</t>
  </si>
  <si>
    <t>ORD104906</t>
  </si>
  <si>
    <t>ORD104992</t>
  </si>
  <si>
    <t>ORD100304</t>
  </si>
  <si>
    <t>ORD100413</t>
  </si>
  <si>
    <t>ORD100687</t>
  </si>
  <si>
    <t>ORD101665</t>
  </si>
  <si>
    <t>ORD101703</t>
  </si>
  <si>
    <t>ORD102498</t>
  </si>
  <si>
    <t>ORD103140</t>
  </si>
  <si>
    <t>ORD103845</t>
  </si>
  <si>
    <t>ORD103898</t>
  </si>
  <si>
    <t>ORD104741</t>
  </si>
  <si>
    <t>ORD104916</t>
  </si>
  <si>
    <t>ORD100248</t>
  </si>
  <si>
    <t>ORD100381</t>
  </si>
  <si>
    <t>ORD100607</t>
  </si>
  <si>
    <t>ORD100720</t>
  </si>
  <si>
    <t>ORD101284</t>
  </si>
  <si>
    <t>ORD101391</t>
  </si>
  <si>
    <t>ORD101488</t>
  </si>
  <si>
    <t>ORD101728</t>
  </si>
  <si>
    <t>ORD102301</t>
  </si>
  <si>
    <t>ORD102362</t>
  </si>
  <si>
    <t>ORD103924</t>
  </si>
  <si>
    <t>ORD104506</t>
  </si>
  <si>
    <t>ORD104697</t>
  </si>
  <si>
    <t>ORD101142</t>
  </si>
  <si>
    <t>ORD101325</t>
  </si>
  <si>
    <t>ORD101363</t>
  </si>
  <si>
    <t>C1450</t>
  </si>
  <si>
    <t>ORD101656</t>
  </si>
  <si>
    <t>ORD102424</t>
  </si>
  <si>
    <t>ORD102762</t>
  </si>
  <si>
    <t>ORD103197</t>
  </si>
  <si>
    <t>ORD104023</t>
  </si>
  <si>
    <t>ORD104430</t>
  </si>
  <si>
    <t>ORD104500</t>
  </si>
  <si>
    <t>ORD104763</t>
  </si>
  <si>
    <t>ORD104921</t>
  </si>
  <si>
    <t>ORD100052</t>
  </si>
  <si>
    <t>ORD100106</t>
  </si>
  <si>
    <t>ORD100146</t>
  </si>
  <si>
    <t>ORD100708</t>
  </si>
  <si>
    <t>ORD101905</t>
  </si>
  <si>
    <t>ORD102641</t>
  </si>
  <si>
    <t>ORD103613</t>
  </si>
  <si>
    <t>ORD103665</t>
  </si>
  <si>
    <t>ORD104265</t>
  </si>
  <si>
    <t>ORD100003</t>
  </si>
  <si>
    <t>ORD100141</t>
  </si>
  <si>
    <t>ORD101111</t>
  </si>
  <si>
    <t>ORD101226</t>
  </si>
  <si>
    <t>ORD101297</t>
  </si>
  <si>
    <t>ORD101581</t>
  </si>
  <si>
    <t>ORD101649</t>
  </si>
  <si>
    <t>ORD103386</t>
  </si>
  <si>
    <t>ORD104246</t>
  </si>
  <si>
    <t>ORD104466</t>
  </si>
  <si>
    <t>ORD100186</t>
  </si>
  <si>
    <t>ORD100269</t>
  </si>
  <si>
    <t>ORD100732</t>
  </si>
  <si>
    <t>ORD100961</t>
  </si>
  <si>
    <t>ORD101241</t>
  </si>
  <si>
    <t>ORD101266</t>
  </si>
  <si>
    <t>ORD102649</t>
  </si>
  <si>
    <t>ORD102663</t>
  </si>
  <si>
    <t>ORD102918</t>
  </si>
  <si>
    <t>ORD103045</t>
  </si>
  <si>
    <t>ORD103305</t>
  </si>
  <si>
    <t>ORD103383</t>
  </si>
  <si>
    <t>ORD103799</t>
  </si>
  <si>
    <t>ORD104033</t>
  </si>
  <si>
    <t>ORD104173</t>
  </si>
  <si>
    <t>ORD104583</t>
  </si>
  <si>
    <t>ORD104888</t>
  </si>
  <si>
    <t>ORD100190</t>
  </si>
  <si>
    <t>ORD100270</t>
  </si>
  <si>
    <t>ORD100441</t>
  </si>
  <si>
    <t>ORD101531</t>
  </si>
  <si>
    <t>ORD101550</t>
  </si>
  <si>
    <t>ORD101927</t>
  </si>
  <si>
    <t>ORD102066</t>
  </si>
  <si>
    <t>ORD102195</t>
  </si>
  <si>
    <t>ORD103264</t>
  </si>
  <si>
    <t>ORD104016</t>
  </si>
  <si>
    <t>ORD104123</t>
  </si>
  <si>
    <t>ORD104255</t>
  </si>
  <si>
    <t>ORD104605</t>
  </si>
  <si>
    <t>C1627</t>
  </si>
  <si>
    <t>ORD104715</t>
  </si>
  <si>
    <t>ORD100753</t>
  </si>
  <si>
    <t>ORD100812</t>
  </si>
  <si>
    <t>ORD100920</t>
  </si>
  <si>
    <t>ORD102256</t>
  </si>
  <si>
    <t>ORD102355</t>
  </si>
  <si>
    <t>ORD102369</t>
  </si>
  <si>
    <t>C1091</t>
  </si>
  <si>
    <t>ORD102616</t>
  </si>
  <si>
    <t>ORD102830</t>
  </si>
  <si>
    <t>ORD102953</t>
  </si>
  <si>
    <t>ORD102965</t>
  </si>
  <si>
    <t>ORD103511</t>
  </si>
  <si>
    <t>ORD103605</t>
  </si>
  <si>
    <t>ORD103717</t>
  </si>
  <si>
    <t>ORD104039</t>
  </si>
  <si>
    <t>C1765</t>
  </si>
  <si>
    <t>ORD104114</t>
  </si>
  <si>
    <t>ORD104445</t>
  </si>
  <si>
    <t>ORD104988</t>
  </si>
  <si>
    <t>ORD100346</t>
  </si>
  <si>
    <t>ORD100924</t>
  </si>
  <si>
    <t>ORD101554</t>
  </si>
  <si>
    <t>ORD101850</t>
  </si>
  <si>
    <t>ORD101907</t>
  </si>
  <si>
    <t>ORD102703</t>
  </si>
  <si>
    <t>ORD102757</t>
  </si>
  <si>
    <t>ORD103001</t>
  </si>
  <si>
    <t>ORD103863</t>
  </si>
  <si>
    <t>ORD104463</t>
  </si>
  <si>
    <t>ORD100514</t>
  </si>
  <si>
    <t>ORD101256</t>
  </si>
  <si>
    <t>ORD101421</t>
  </si>
  <si>
    <t>ORD101647</t>
  </si>
  <si>
    <t>ORD101731</t>
  </si>
  <si>
    <t>ORD102383</t>
  </si>
  <si>
    <t>ORD102689</t>
  </si>
  <si>
    <t>ORD102910</t>
  </si>
  <si>
    <t>ORD103748</t>
  </si>
  <si>
    <t>ORD103841</t>
  </si>
  <si>
    <t>ORD104313</t>
  </si>
  <si>
    <t>ORD104336</t>
  </si>
  <si>
    <t>ORD104683</t>
  </si>
  <si>
    <t>ORD100290</t>
  </si>
  <si>
    <t>ORD100599</t>
  </si>
  <si>
    <t>ORD101458</t>
  </si>
  <si>
    <t>ORD101811</t>
  </si>
  <si>
    <t>ORD102027</t>
  </si>
  <si>
    <t>ORD102522</t>
  </si>
  <si>
    <t>ORD102672</t>
  </si>
  <si>
    <t>ORD104547</t>
  </si>
  <si>
    <t>ORD100077</t>
  </si>
  <si>
    <t>ORD100256</t>
  </si>
  <si>
    <t>ORD100326</t>
  </si>
  <si>
    <t>ORD100755</t>
  </si>
  <si>
    <t>ORD100857</t>
  </si>
  <si>
    <t>ORD100936</t>
  </si>
  <si>
    <t>ORD100943</t>
  </si>
  <si>
    <t>ORD102683</t>
  </si>
  <si>
    <t>ORD102782</t>
  </si>
  <si>
    <t>ORD103196</t>
  </si>
  <si>
    <t>ORD103313</t>
  </si>
  <si>
    <t>ORD103335</t>
  </si>
  <si>
    <t>ORD103382</t>
  </si>
  <si>
    <t>ORD104178</t>
  </si>
  <si>
    <t>ORD104203</t>
  </si>
  <si>
    <t>ORD104236</t>
  </si>
  <si>
    <t>ORD104252</t>
  </si>
  <si>
    <t>ORD104428</t>
  </si>
  <si>
    <t>C1830</t>
  </si>
  <si>
    <t>ORD100092</t>
  </si>
  <si>
    <t>ORD101682</t>
  </si>
  <si>
    <t>ORD101899</t>
  </si>
  <si>
    <t>ORD102005</t>
  </si>
  <si>
    <t>ORD102167</t>
  </si>
  <si>
    <t>ORD102554</t>
  </si>
  <si>
    <t>ORD102784</t>
  </si>
  <si>
    <t>ORD103687</t>
  </si>
  <si>
    <t>ORD103842</t>
  </si>
  <si>
    <t>ORD104102</t>
  </si>
  <si>
    <t>ORD104526</t>
  </si>
  <si>
    <t>ORD104759</t>
  </si>
  <si>
    <t>ORD104819</t>
  </si>
  <si>
    <t>ORD100728</t>
  </si>
  <si>
    <t>ORD100842</t>
  </si>
  <si>
    <t>ORD101220</t>
  </si>
  <si>
    <t>ORD101723</t>
  </si>
  <si>
    <t>ORD101752</t>
  </si>
  <si>
    <t>ORD101867</t>
  </si>
  <si>
    <t>ORD101922</t>
  </si>
  <si>
    <t>ORD102386</t>
  </si>
  <si>
    <t>ORD102499</t>
  </si>
  <si>
    <t>ORD102566</t>
  </si>
  <si>
    <t>ORD102792</t>
  </si>
  <si>
    <t>ORD102817</t>
  </si>
  <si>
    <t>ORD103029</t>
  </si>
  <si>
    <t>ORD103343</t>
  </si>
  <si>
    <t>ORD103655</t>
  </si>
  <si>
    <t>ORD103886</t>
  </si>
  <si>
    <t>ORD104025</t>
  </si>
  <si>
    <t>ORD104232</t>
  </si>
  <si>
    <t>ORD104486</t>
  </si>
  <si>
    <t>ORD104630</t>
  </si>
  <si>
    <t>ORD100094</t>
  </si>
  <si>
    <t>ORD100746</t>
  </si>
  <si>
    <t>C1437</t>
  </si>
  <si>
    <t>ORD100751</t>
  </si>
  <si>
    <t>ORD101845</t>
  </si>
  <si>
    <t>ORD102770</t>
  </si>
  <si>
    <t>ORD103043</t>
  </si>
  <si>
    <t>ORD103854</t>
  </si>
  <si>
    <t>ORD104098</t>
  </si>
  <si>
    <t>ORD104284</t>
  </si>
  <si>
    <t>ORD104352</t>
  </si>
  <si>
    <t>ORD104659</t>
  </si>
  <si>
    <t>ORD104685</t>
  </si>
  <si>
    <t>ORD104941</t>
  </si>
  <si>
    <t>ORD100137</t>
  </si>
  <si>
    <t>ORD100439</t>
  </si>
  <si>
    <t>ORD101312</t>
  </si>
  <si>
    <t>ORD101446</t>
  </si>
  <si>
    <t>ORD101583</t>
  </si>
  <si>
    <t>ORD102020</t>
  </si>
  <si>
    <t>ORD102173</t>
  </si>
  <si>
    <t>ORD102284</t>
  </si>
  <si>
    <t>ORD102387</t>
  </si>
  <si>
    <t>C1423</t>
  </si>
  <si>
    <t>ORD103184</t>
  </si>
  <si>
    <t>ORD103209</t>
  </si>
  <si>
    <t>C1174</t>
  </si>
  <si>
    <t>ORD103684</t>
  </si>
  <si>
    <t>ORD103715</t>
  </si>
  <si>
    <t>ORD103778</t>
  </si>
  <si>
    <t>ORD104825</t>
  </si>
  <si>
    <t>ORD104871</t>
  </si>
  <si>
    <t>ORD100167</t>
  </si>
  <si>
    <t>ORD100540</t>
  </si>
  <si>
    <t>ORD100971</t>
  </si>
  <si>
    <t>ORD101255</t>
  </si>
  <si>
    <t>ORD101932</t>
  </si>
  <si>
    <t>ORD102232</t>
  </si>
  <si>
    <t>ORD103038</t>
  </si>
  <si>
    <t>ORD103477</t>
  </si>
  <si>
    <t>ORD103522</t>
  </si>
  <si>
    <t>ORD104648</t>
  </si>
  <si>
    <t>ORD100183</t>
  </si>
  <si>
    <t>ORD100225</t>
  </si>
  <si>
    <t>ORD100231</t>
  </si>
  <si>
    <t>ORD100401</t>
  </si>
  <si>
    <t>ORD100960</t>
  </si>
  <si>
    <t>ORD101087</t>
  </si>
  <si>
    <t>ORD101344</t>
  </si>
  <si>
    <t>ORD101951</t>
  </si>
  <si>
    <t>ORD101987</t>
  </si>
  <si>
    <t>ORD102678</t>
  </si>
  <si>
    <t>ORD103019</t>
  </si>
  <si>
    <t>ORD103325</t>
  </si>
  <si>
    <t>ORD103693</t>
  </si>
  <si>
    <t>ORD103700</t>
  </si>
  <si>
    <t>ORD103957</t>
  </si>
  <si>
    <t>ORD104285</t>
  </si>
  <si>
    <t>ORD104497</t>
  </si>
  <si>
    <t>ORD101043</t>
  </si>
  <si>
    <t>ORD101443</t>
  </si>
  <si>
    <t>ORD101499</t>
  </si>
  <si>
    <t>ORD101897</t>
  </si>
  <si>
    <t>ORD102060</t>
  </si>
  <si>
    <t>ORD102134</t>
  </si>
  <si>
    <t>ORD102425</t>
  </si>
  <si>
    <t>ORD102431</t>
  </si>
  <si>
    <t>ORD102487</t>
  </si>
  <si>
    <t>ORD103438</t>
  </si>
  <si>
    <t>ORD103533</t>
  </si>
  <si>
    <t>ORD103991</t>
  </si>
  <si>
    <t>ORD104371</t>
  </si>
  <si>
    <t>ORD104390</t>
  </si>
  <si>
    <t>ORD104610</t>
  </si>
  <si>
    <t>ORD104802</t>
  </si>
  <si>
    <t>ORD104867</t>
  </si>
  <si>
    <t>ORD100649</t>
  </si>
  <si>
    <t>ORD101074</t>
  </si>
  <si>
    <t>ORD101119</t>
  </si>
  <si>
    <t>ORD101178</t>
  </si>
  <si>
    <t>ORD101441</t>
  </si>
  <si>
    <t>ORD102241</t>
  </si>
  <si>
    <t>ORD102657</t>
  </si>
  <si>
    <t>C1551</t>
  </si>
  <si>
    <t>ORD102848</t>
  </si>
  <si>
    <t>ORD104750</t>
  </si>
  <si>
    <t>ORD100318</t>
  </si>
  <si>
    <t>ORD100418</t>
  </si>
  <si>
    <t>ORD100435</t>
  </si>
  <si>
    <t>ORD101398</t>
  </si>
  <si>
    <t>ORD102222</t>
  </si>
  <si>
    <t>ORD102472</t>
  </si>
  <si>
    <t>C1596</t>
  </si>
  <si>
    <t>ORD102968</t>
  </si>
  <si>
    <t>ORD103389</t>
  </si>
  <si>
    <t>ORD104124</t>
  </si>
  <si>
    <t>ORD104512</t>
  </si>
  <si>
    <t>ORD104539</t>
  </si>
  <si>
    <t>ORD104700</t>
  </si>
  <si>
    <t>ORD104721</t>
  </si>
  <si>
    <t>ORD104799</t>
  </si>
  <si>
    <t>ORD104922</t>
  </si>
  <si>
    <t>ORD100013</t>
  </si>
  <si>
    <t>ORD100906</t>
  </si>
  <si>
    <t>ORD101444</t>
  </si>
  <si>
    <t>ORD102407</t>
  </si>
  <si>
    <t>ORD102531</t>
  </si>
  <si>
    <t>ORD103024</t>
  </si>
  <si>
    <t>ORD103086</t>
  </si>
  <si>
    <t>ORD103372</t>
  </si>
  <si>
    <t>ORD104133</t>
  </si>
  <si>
    <t>ORD100271</t>
  </si>
  <si>
    <t>ORD102933</t>
  </si>
  <si>
    <t>ORD103260</t>
  </si>
  <si>
    <t>ORD103445</t>
  </si>
  <si>
    <t>ORD103583</t>
  </si>
  <si>
    <t>ORD104793</t>
  </si>
  <si>
    <t>ORD100910</t>
  </si>
  <si>
    <t>ORD100970</t>
  </si>
  <si>
    <t>ORD101007</t>
  </si>
  <si>
    <t>ORD101136</t>
  </si>
  <si>
    <t>ORD101180</t>
  </si>
  <si>
    <t>ORD103091</t>
  </si>
  <si>
    <t>ORD103894</t>
  </si>
  <si>
    <t>ORD104517</t>
  </si>
  <si>
    <t>ORD104830</t>
  </si>
  <si>
    <t>ORD104915</t>
  </si>
  <si>
    <t>ORD104995</t>
  </si>
  <si>
    <t>ORD100096</t>
  </si>
  <si>
    <t>ORD100239</t>
  </si>
  <si>
    <t>ORD100994</t>
  </si>
  <si>
    <t>ORD101099</t>
  </si>
  <si>
    <t>ORD101147</t>
  </si>
  <si>
    <t>ORD101429</t>
  </si>
  <si>
    <t>ORD101801</t>
  </si>
  <si>
    <t>ORD101936</t>
  </si>
  <si>
    <t>ORD102013</t>
  </si>
  <si>
    <t>ORD102068</t>
  </si>
  <si>
    <t>ORD102242</t>
  </si>
  <si>
    <t>ORD103182</t>
  </si>
  <si>
    <t>ORD104692</t>
  </si>
  <si>
    <t>ORD104789</t>
  </si>
  <si>
    <t>ORD101513</t>
  </si>
  <si>
    <t>ORD102108</t>
  </si>
  <si>
    <t>ORD102226</t>
  </si>
  <si>
    <t>ORD102385</t>
  </si>
  <si>
    <t>ORD102414</t>
  </si>
  <si>
    <t>ORD102807</t>
  </si>
  <si>
    <t>ORD103027</t>
  </si>
  <si>
    <t>ORD103671</t>
  </si>
  <si>
    <t>ORD104008</t>
  </si>
  <si>
    <t>ORD104375</t>
  </si>
  <si>
    <t>ORD104596</t>
  </si>
  <si>
    <t>ORD104844</t>
  </si>
  <si>
    <t>ORD100828</t>
  </si>
  <si>
    <t>ORD101986</t>
  </si>
  <si>
    <t>ORD102045</t>
  </si>
  <si>
    <t>ORD102260</t>
  </si>
  <si>
    <t>ORD102265</t>
  </si>
  <si>
    <t>ORD102376</t>
  </si>
  <si>
    <t>ORD102543</t>
  </si>
  <si>
    <t>ORD102592</t>
  </si>
  <si>
    <t>ORD102611</t>
  </si>
  <si>
    <t>ORD102826</t>
  </si>
  <si>
    <t>ORD103003</t>
  </si>
  <si>
    <t>ORD103055</t>
  </si>
  <si>
    <t>ORD103154</t>
  </si>
  <si>
    <t>ORD103239</t>
  </si>
  <si>
    <t>ORD103406</t>
  </si>
  <si>
    <t>ORD103461</t>
  </si>
  <si>
    <t>ORD103559</t>
  </si>
  <si>
    <t>ORD103767</t>
  </si>
  <si>
    <t>ORD104179</t>
  </si>
  <si>
    <t>ORD100341</t>
  </si>
  <si>
    <t>ORD100865</t>
  </si>
  <si>
    <t>ORD101030</t>
  </si>
  <si>
    <t>ORD101301</t>
  </si>
  <si>
    <t>C1640</t>
  </si>
  <si>
    <t>ORD102049</t>
  </si>
  <si>
    <t>ORD102270</t>
  </si>
  <si>
    <t>ORD102900</t>
  </si>
  <si>
    <t>ORD103161</t>
  </si>
  <si>
    <t>ORD103892</t>
  </si>
  <si>
    <t>ORD104681</t>
  </si>
  <si>
    <t>ORD100074</t>
  </si>
  <si>
    <t>ORD101024</t>
  </si>
  <si>
    <t>ORD101288</t>
  </si>
  <si>
    <t>ORD101314</t>
  </si>
  <si>
    <t>ORD102484</t>
  </si>
  <si>
    <t>ORD102658</t>
  </si>
  <si>
    <t>ORD103041</t>
  </si>
  <si>
    <t>ORD103254</t>
  </si>
  <si>
    <t>ORD103376</t>
  </si>
  <si>
    <t>ORD103812</t>
  </si>
  <si>
    <t>ORD104063</t>
  </si>
  <si>
    <t>ORD104201</t>
  </si>
  <si>
    <t>ORD104412</t>
  </si>
  <si>
    <t>ORD104546</t>
  </si>
  <si>
    <t>ORD104582</t>
  </si>
  <si>
    <t>ORD104781</t>
  </si>
  <si>
    <t>ORD100869</t>
  </si>
  <si>
    <t>ORD101130</t>
  </si>
  <si>
    <t>ORD101684</t>
  </si>
  <si>
    <t>ORD101802</t>
  </si>
  <si>
    <t>ORD101911</t>
  </si>
  <si>
    <t>ORD101912</t>
  </si>
  <si>
    <t>ORD101996</t>
  </si>
  <si>
    <t>ORD102123</t>
  </si>
  <si>
    <t>ORD102329</t>
  </si>
  <si>
    <t>ORD102440</t>
  </si>
  <si>
    <t>ORD102570</t>
  </si>
  <si>
    <t>ORD102821</t>
  </si>
  <si>
    <t>ORD104015</t>
  </si>
  <si>
    <t>ORD104413</t>
  </si>
  <si>
    <t>ORD104594</t>
  </si>
  <si>
    <t>ORD100356</t>
  </si>
  <si>
    <t>ORD101077</t>
  </si>
  <si>
    <t>ORD101079</t>
  </si>
  <si>
    <t>ORD101553</t>
  </si>
  <si>
    <t>ORD101630</t>
  </si>
  <si>
    <t>ORD102486</t>
  </si>
  <si>
    <t>ORD102919</t>
  </si>
  <si>
    <t>ORD103321</t>
  </si>
  <si>
    <t>ORD103708</t>
  </si>
  <si>
    <t>ORD103939</t>
  </si>
  <si>
    <t>ORD104516</t>
  </si>
  <si>
    <t>ORD100048</t>
  </si>
  <si>
    <t>ORD100404</t>
  </si>
  <si>
    <t>ORD101021</t>
  </si>
  <si>
    <t>ORD102183</t>
  </si>
  <si>
    <t>ORD102525</t>
  </si>
  <si>
    <t>ORD103859</t>
  </si>
  <si>
    <t>ORD104196</t>
  </si>
  <si>
    <t>ORD104632</t>
  </si>
  <si>
    <t>ORD104720</t>
  </si>
  <si>
    <t>ORD100333</t>
  </si>
  <si>
    <t>ORD100633</t>
  </si>
  <si>
    <t>ORD100645</t>
  </si>
  <si>
    <t>ORD100752</t>
  </si>
  <si>
    <t>ORD101512</t>
  </si>
  <si>
    <t>ORD101842</t>
  </si>
  <si>
    <t>ORD102816</t>
  </si>
  <si>
    <t>ORD102920</t>
  </si>
  <si>
    <t>ORD103798</t>
  </si>
  <si>
    <t>ORD104074</t>
  </si>
  <si>
    <t>C1963</t>
  </si>
  <si>
    <t>ORD104944</t>
  </si>
  <si>
    <t>ORD100493</t>
  </si>
  <si>
    <t>C1604</t>
  </si>
  <si>
    <t>ORD100522</t>
  </si>
  <si>
    <t>ORD100948</t>
  </si>
  <si>
    <t>ORD101387</t>
  </si>
  <si>
    <t>C1558</t>
  </si>
  <si>
    <t>ORD102041</t>
  </si>
  <si>
    <t>ORD102324</t>
  </si>
  <si>
    <t>ORD102514</t>
  </si>
  <si>
    <t>C1550</t>
  </si>
  <si>
    <t>ORD102561</t>
  </si>
  <si>
    <t>ORD102684</t>
  </si>
  <si>
    <t>C1238</t>
  </si>
  <si>
    <t>ORD102960</t>
  </si>
  <si>
    <t>ORD103486</t>
  </si>
  <si>
    <t>ORD103901</t>
  </si>
  <si>
    <t>ORD104398</t>
  </si>
  <si>
    <t>ORD104498</t>
  </si>
  <si>
    <t>ORD104652</t>
  </si>
  <si>
    <t>ORD104996</t>
  </si>
  <si>
    <t>ORD100765</t>
  </si>
  <si>
    <t>ORD101019</t>
  </si>
  <si>
    <t>ORD101207</t>
  </si>
  <si>
    <t>ORD101419</t>
  </si>
  <si>
    <t>ORD101501</t>
  </si>
  <si>
    <t>ORD101600</t>
  </si>
  <si>
    <t>ORD102269</t>
  </si>
  <si>
    <t>ORD102331</t>
  </si>
  <si>
    <t>ORD102448</t>
  </si>
  <si>
    <t>ORD103635</t>
  </si>
  <si>
    <t>ORD103862</t>
  </si>
  <si>
    <t>ORD104548</t>
  </si>
  <si>
    <t>ORD104740</t>
  </si>
  <si>
    <t>ORD100895</t>
  </si>
  <si>
    <t>ORD101470</t>
  </si>
  <si>
    <t>ORD101870</t>
  </si>
  <si>
    <t>ORD101980</t>
  </si>
  <si>
    <t>ORD102150</t>
  </si>
  <si>
    <t>ORD103040</t>
  </si>
  <si>
    <t>C1975</t>
  </si>
  <si>
    <t>ORD103257</t>
  </si>
  <si>
    <t>ORD103872</t>
  </si>
  <si>
    <t>ORD104062</t>
  </si>
  <si>
    <t>ORD104465</t>
  </si>
  <si>
    <t>ORD100226</t>
  </si>
  <si>
    <t>ORD100237</t>
  </si>
  <si>
    <t>ORD100457</t>
  </si>
  <si>
    <t>ORD100648</t>
  </si>
  <si>
    <t>ORD101086</t>
  </si>
  <si>
    <t>ORD101125</t>
  </si>
  <si>
    <t>ORD102266</t>
  </si>
  <si>
    <t>ORD102454</t>
  </si>
  <si>
    <t>ORD104321</t>
  </si>
  <si>
    <t>ORD104653</t>
  </si>
  <si>
    <t>ORD104693</t>
  </si>
  <si>
    <t>ORD100216</t>
  </si>
  <si>
    <t>ORD100375</t>
  </si>
  <si>
    <t>ORD101838</t>
  </si>
  <si>
    <t>ORD102303</t>
  </si>
  <si>
    <t>ORD102873</t>
  </si>
  <si>
    <t>ORD103310</t>
  </si>
  <si>
    <t>ORD103930</t>
  </si>
  <si>
    <t>ORD104597</t>
  </si>
  <si>
    <t>ORD104794</t>
  </si>
  <si>
    <t>ORD104900</t>
  </si>
  <si>
    <t>ORD100126</t>
  </si>
  <si>
    <t>ORD100232</t>
  </si>
  <si>
    <t>ORD100581</t>
  </si>
  <si>
    <t>ORD101008</t>
  </si>
  <si>
    <t>ORD101725</t>
  </si>
  <si>
    <t>ORD102092</t>
  </si>
  <si>
    <t>ORD102437</t>
  </si>
  <si>
    <t>ORD103272</t>
  </si>
  <si>
    <t>ORD103545</t>
  </si>
  <si>
    <t>ORD103594</t>
  </si>
  <si>
    <t>ORD103914</t>
  </si>
  <si>
    <t>ORD103979</t>
  </si>
  <si>
    <t>ORD104215</t>
  </si>
  <si>
    <t>ORD104625</t>
  </si>
  <si>
    <t>ORD100068</t>
  </si>
  <si>
    <t>ORD100153</t>
  </si>
  <si>
    <t>ORD100615</t>
  </si>
  <si>
    <t>ORD100876</t>
  </si>
  <si>
    <t>ORD101306</t>
  </si>
  <si>
    <t>ORD101506</t>
  </si>
  <si>
    <t>ORD101574</t>
  </si>
  <si>
    <t>ORD101598</t>
  </si>
  <si>
    <t>ORD101836</t>
  </si>
  <si>
    <t>ORD102202</t>
  </si>
  <si>
    <t>ORD102345</t>
  </si>
  <si>
    <t>ORD102796</t>
  </si>
  <si>
    <t>ORD102904</t>
  </si>
  <si>
    <t>ORD103285</t>
  </si>
  <si>
    <t>ORD103539</t>
  </si>
  <si>
    <t>ORD104760</t>
  </si>
  <si>
    <t>ORD100055</t>
  </si>
  <si>
    <t>ORD100103</t>
  </si>
  <si>
    <t>ORD100156</t>
  </si>
  <si>
    <t>ORD100438</t>
  </si>
  <si>
    <t>ORD100602</t>
  </si>
  <si>
    <t>ORD100822</t>
  </si>
  <si>
    <t>ORD101096</t>
  </si>
  <si>
    <t>ORD101354</t>
  </si>
  <si>
    <t>ORD102219</t>
  </si>
  <si>
    <t>ORD103079</t>
  </si>
  <si>
    <t>ORD103295</t>
  </si>
  <si>
    <t>ORD103306</t>
  </si>
  <si>
    <t>ORD103566</t>
  </si>
  <si>
    <t>ORD103711</t>
  </si>
  <si>
    <t>ORD104105</t>
  </si>
  <si>
    <t>ORD104288</t>
  </si>
  <si>
    <t>ORD104480</t>
  </si>
  <si>
    <t>ORD104554</t>
  </si>
  <si>
    <t>ORD100723</t>
  </si>
  <si>
    <t>ORD101264</t>
  </si>
  <si>
    <t>ORD101324</t>
  </si>
  <si>
    <t>ORD101366</t>
  </si>
  <si>
    <t>ORD102196</t>
  </si>
  <si>
    <t>ORD102593</t>
  </si>
  <si>
    <t>ORD102633</t>
  </si>
  <si>
    <t>ORD102646</t>
  </si>
  <si>
    <t>ORD103181</t>
  </si>
  <si>
    <t>ORD103429</t>
  </si>
  <si>
    <t>ORD103623</t>
  </si>
  <si>
    <t>ORD104287</t>
  </si>
  <si>
    <t>ORD104561</t>
  </si>
  <si>
    <t>ORD100766</t>
  </si>
  <si>
    <t>ORD101386</t>
  </si>
  <si>
    <t>ORD102114</t>
  </si>
  <si>
    <t>ORD102153</t>
  </si>
  <si>
    <t>ORD102308</t>
  </si>
  <si>
    <t>ORD102312</t>
  </si>
  <si>
    <t>ORD102911</t>
  </si>
  <si>
    <t>ORD103059</t>
  </si>
  <si>
    <t>ORD103253</t>
  </si>
  <si>
    <t>ORD103660</t>
  </si>
  <si>
    <t>ORD103722</t>
  </si>
  <si>
    <t>ORD103772</t>
  </si>
  <si>
    <t>ORD103815</t>
  </si>
  <si>
    <t>ORD104041</t>
  </si>
  <si>
    <t>ORD104361</t>
  </si>
  <si>
    <t>ORD104745</t>
  </si>
  <si>
    <t>ORD104800</t>
  </si>
  <si>
    <t>ORD100229</t>
  </si>
  <si>
    <t>ORD100305</t>
  </si>
  <si>
    <t>ORD100464</t>
  </si>
  <si>
    <t>ORD100577</t>
  </si>
  <si>
    <t>ORD100584</t>
  </si>
  <si>
    <t>C1885</t>
  </si>
  <si>
    <t>ORD100634</t>
  </si>
  <si>
    <t>ORD100873</t>
  </si>
  <si>
    <t>ORD100976</t>
  </si>
  <si>
    <t>ORD101279</t>
  </si>
  <si>
    <t>ORD101316</t>
  </si>
  <si>
    <t>ORD101406</t>
  </si>
  <si>
    <t>ORD101829</t>
  </si>
  <si>
    <t>ORD102245</t>
  </si>
  <si>
    <t>ORD102314</t>
  </si>
  <si>
    <t>ORD102996</t>
  </si>
  <si>
    <t>ORD104057</t>
  </si>
  <si>
    <t>ORD104299</t>
  </si>
  <si>
    <t>ORD104499</t>
  </si>
  <si>
    <t>ORD104913</t>
  </si>
  <si>
    <t>ORD100032</t>
  </si>
  <si>
    <t>ORD100791</t>
  </si>
  <si>
    <t>ORD101904</t>
  </si>
  <si>
    <t>ORD102932</t>
  </si>
  <si>
    <t>ORD103338</t>
  </si>
  <si>
    <t>ORD103392</t>
  </si>
  <si>
    <t>ORD103508</t>
  </si>
  <si>
    <t>ORD103769</t>
  </si>
  <si>
    <t>ORD104372</t>
  </si>
  <si>
    <t>ORD104591</t>
  </si>
  <si>
    <t>ORD100281</t>
  </si>
  <si>
    <t>ORD100578</t>
  </si>
  <si>
    <t>ORD100776</t>
  </si>
  <si>
    <t>ORD101171</t>
  </si>
  <si>
    <t>ORD101298</t>
  </si>
  <si>
    <t>ORD101726</t>
  </si>
  <si>
    <t>ORD102293</t>
  </si>
  <si>
    <t>ORD102402</t>
  </si>
  <si>
    <t>ORD102457</t>
  </si>
  <si>
    <t>ORD104716</t>
  </si>
  <si>
    <t>ORD104728</t>
  </si>
  <si>
    <t>ORD104895</t>
  </si>
  <si>
    <t>ORD104970</t>
  </si>
  <si>
    <t>ORD101170</t>
  </si>
  <si>
    <t>ORD101327</t>
  </si>
  <si>
    <t>ORD101653</t>
  </si>
  <si>
    <t>ORD101868</t>
  </si>
  <si>
    <t>ORD102280</t>
  </si>
  <si>
    <t>ORD103084</t>
  </si>
  <si>
    <t>ORD103744</t>
  </si>
  <si>
    <t>ORD103917</t>
  </si>
  <si>
    <t>ORD104304</t>
  </si>
  <si>
    <t>ORD104418</t>
  </si>
  <si>
    <t>ORD100243</t>
  </si>
  <si>
    <t>ORD100606</t>
  </si>
  <si>
    <t>ORD100669</t>
  </si>
  <si>
    <t>ORD101299</t>
  </si>
  <si>
    <t>ORD101830</t>
  </si>
  <si>
    <t>ORD102581</t>
  </si>
  <si>
    <t>ORD102774</t>
  </si>
  <si>
    <t>ORD102840</t>
  </si>
  <si>
    <t>ORD103341</t>
  </si>
  <si>
    <t>ORD103642</t>
  </si>
  <si>
    <t>ORD100644</t>
  </si>
  <si>
    <t>ORD101196</t>
  </si>
  <si>
    <t>ORD101939</t>
  </si>
  <si>
    <t>ORD102002</t>
  </si>
  <si>
    <t>ORD102089</t>
  </si>
  <si>
    <t>ORD102412</t>
  </si>
  <si>
    <t>ORD102542</t>
  </si>
  <si>
    <t>ORD103397</t>
  </si>
  <si>
    <t>ORD103408</t>
  </si>
  <si>
    <t>ORD103474</t>
  </si>
  <si>
    <t>ORD103825</t>
  </si>
  <si>
    <t>ORD103851</t>
  </si>
  <si>
    <t>ORD103856</t>
  </si>
  <si>
    <t>ORD104275</t>
  </si>
  <si>
    <t>ORD104634</t>
  </si>
  <si>
    <t>ORD104949</t>
  </si>
  <si>
    <t>ORD100546</t>
  </si>
  <si>
    <t>ORD100886</t>
  </si>
  <si>
    <t>ORD101067</t>
  </si>
  <si>
    <t>ORD101093</t>
  </si>
  <si>
    <t>ORD101356</t>
  </si>
  <si>
    <t>ORD101925</t>
  </si>
  <si>
    <t>ORD102174</t>
  </si>
  <si>
    <t>ORD102316</t>
  </si>
  <si>
    <t>ORD102632</t>
  </si>
  <si>
    <t>ORD102694</t>
  </si>
  <si>
    <t>C1114</t>
  </si>
  <si>
    <t>ORD102714</t>
  </si>
  <si>
    <t>ORD103192</t>
  </si>
  <si>
    <t>ORD103453</t>
  </si>
  <si>
    <t>ORD104399</t>
  </si>
  <si>
    <t>ORD104411</t>
  </si>
  <si>
    <t>ORD104522</t>
  </si>
  <si>
    <t>ORD100154</t>
  </si>
  <si>
    <t>ORD100220</t>
  </si>
  <si>
    <t>ORD100235</t>
  </si>
  <si>
    <t>ORD100779</t>
  </si>
  <si>
    <t>ORD101954</t>
  </si>
  <si>
    <t>ORD102162</t>
  </si>
  <si>
    <t>ORD102541</t>
  </si>
  <si>
    <t>ORD102565</t>
  </si>
  <si>
    <t>ORD103355</t>
  </si>
  <si>
    <t>ORD103612</t>
  </si>
  <si>
    <t>C1381</t>
  </si>
  <si>
    <t>ORD104194</t>
  </si>
  <si>
    <t>ORD104606</t>
  </si>
  <si>
    <t>ORD100462</t>
  </si>
  <si>
    <t>ORD100473</t>
  </si>
  <si>
    <t>ORD100483</t>
  </si>
  <si>
    <t>ORD100916</t>
  </si>
  <si>
    <t>ORD101455</t>
  </si>
  <si>
    <t>ORD101931</t>
  </si>
  <si>
    <t>ORD102867</t>
  </si>
  <si>
    <t>ORD103011</t>
  </si>
  <si>
    <t>ORD104091</t>
  </si>
  <si>
    <t>ORD104291</t>
  </si>
  <si>
    <t>ORD104481</t>
  </si>
  <si>
    <t>ORD104592</t>
  </si>
  <si>
    <t>ORD104912</t>
  </si>
  <si>
    <t>ORD100174</t>
  </si>
  <si>
    <t>ORD100627</t>
  </si>
  <si>
    <t>ORD101475</t>
  </si>
  <si>
    <t>ORD101548</t>
  </si>
  <si>
    <t>ORD101781</t>
  </si>
  <si>
    <t>ORD102112</t>
  </si>
  <si>
    <t>C1784</t>
  </si>
  <si>
    <t>ORD102257</t>
  </si>
  <si>
    <t>ORD102715</t>
  </si>
  <si>
    <t>ORD103582</t>
  </si>
  <si>
    <t>ORD103614</t>
  </si>
  <si>
    <t>ORD103636</t>
  </si>
  <si>
    <t>ORD104171</t>
  </si>
  <si>
    <t>ORD104675</t>
  </si>
  <si>
    <t>ORD104788</t>
  </si>
  <si>
    <t>ORD100165</t>
  </si>
  <si>
    <t>ORD100730</t>
  </si>
  <si>
    <t>ORD100973</t>
  </si>
  <si>
    <t>ORD100988</t>
  </si>
  <si>
    <t>ORD101033</t>
  </si>
  <si>
    <t>ORD101247</t>
  </si>
  <si>
    <t>ORD101317</t>
  </si>
  <si>
    <t>ORD101471</t>
  </si>
  <si>
    <t>C1942</t>
  </si>
  <si>
    <t>ORD101617</t>
  </si>
  <si>
    <t>ORD101661</t>
  </si>
  <si>
    <t>ORD101759</t>
  </si>
  <si>
    <t>ORD101821</t>
  </si>
  <si>
    <t>ORD101958</t>
  </si>
  <si>
    <t>ORD102926</t>
  </si>
  <si>
    <t>ORD102951</t>
  </si>
  <si>
    <t>ORD103275</t>
  </si>
  <si>
    <t>ORD103287</t>
  </si>
  <si>
    <t>ORD103460</t>
  </si>
  <si>
    <t>ORD103489</t>
  </si>
  <si>
    <t>ORD103524</t>
  </si>
  <si>
    <t>ORD103675</t>
  </si>
  <si>
    <t>ORD103818</t>
  </si>
  <si>
    <t>ORD100322</t>
  </si>
  <si>
    <t>ORD100646</t>
  </si>
  <si>
    <t>ORD100953</t>
  </si>
  <si>
    <t>ORD101219</t>
  </si>
  <si>
    <t>ORD101265</t>
  </si>
  <si>
    <t>C1304</t>
  </si>
  <si>
    <t>ORD101463</t>
  </si>
  <si>
    <t>ORD101584</t>
  </si>
  <si>
    <t>ORD101970</t>
  </si>
  <si>
    <t>ORD102713</t>
  </si>
  <si>
    <t>ORD103117</t>
  </si>
  <si>
    <t>ORD103879</t>
  </si>
  <si>
    <t>ORD104142</t>
  </si>
  <si>
    <t>ORD101760</t>
  </si>
  <si>
    <t>ORD101812</t>
  </si>
  <si>
    <t>ORD101878</t>
  </si>
  <si>
    <t>ORD103186</t>
  </si>
  <si>
    <t>ORD103587</t>
  </si>
  <si>
    <t>ORD104450</t>
  </si>
  <si>
    <t>ORD100160</t>
  </si>
  <si>
    <t>ORD100398</t>
  </si>
  <si>
    <t>ORD100651</t>
  </si>
  <si>
    <t>ORD100787</t>
  </si>
  <si>
    <t>ORD101183</t>
  </si>
  <si>
    <t>ORD101634</t>
  </si>
  <si>
    <t>ORD101740</t>
  </si>
  <si>
    <t>ORD101784</t>
  </si>
  <si>
    <t>ORD102003</t>
  </si>
  <si>
    <t>ORD102156</t>
  </si>
  <si>
    <t>ORD102367</t>
  </si>
  <si>
    <t>ORD102688</t>
  </si>
  <si>
    <t>ORD102732</t>
  </si>
  <si>
    <t>C1379</t>
  </si>
  <si>
    <t>ORD103364</t>
  </si>
  <si>
    <t>ORD103982</t>
  </si>
  <si>
    <t>ORD104186</t>
  </si>
  <si>
    <t>ORD104405</t>
  </si>
  <si>
    <t>ORD104617</t>
  </si>
  <si>
    <t>ORD104621</t>
  </si>
  <si>
    <t>ORD104704</t>
  </si>
  <si>
    <t>ORD100056</t>
  </si>
  <si>
    <t>ORD100069</t>
  </si>
  <si>
    <t>ORD100075</t>
  </si>
  <si>
    <t>ORD100162</t>
  </si>
  <si>
    <t>ORD100228</t>
  </si>
  <si>
    <t>ORD100384</t>
  </si>
  <si>
    <t>ORD100721</t>
  </si>
  <si>
    <t>ORD100729</t>
  </si>
  <si>
    <t>ORD101102</t>
  </si>
  <si>
    <t>ORD101206</t>
  </si>
  <si>
    <t>ORD101261</t>
  </si>
  <si>
    <t>ORD101774</t>
  </si>
  <si>
    <t>ORD102086</t>
  </si>
  <si>
    <t>ORD102459</t>
  </si>
  <si>
    <t>ORD102606</t>
  </si>
  <si>
    <t>ORD103235</t>
  </si>
  <si>
    <t>ORD103381</t>
  </si>
  <si>
    <t>ORD103426</t>
  </si>
  <si>
    <t>ORD103621</t>
  </si>
  <si>
    <t>ORD103789</t>
  </si>
  <si>
    <t>ORD104425</t>
  </si>
  <si>
    <t>ORD100099</t>
  </si>
  <si>
    <t>ORD100246</t>
  </si>
  <si>
    <t>ORD101048</t>
  </si>
  <si>
    <t>ORD101453</t>
  </si>
  <si>
    <t>ORD101544</t>
  </si>
  <si>
    <t>ORD101920</t>
  </si>
  <si>
    <t>ORD102185</t>
  </si>
  <si>
    <t>ORD102227</t>
  </si>
  <si>
    <t>ORD102271</t>
  </si>
  <si>
    <t>ORD102288</t>
  </si>
  <si>
    <t>ORD102350</t>
  </si>
  <si>
    <t>ORD102395</t>
  </si>
  <si>
    <t>ORD102568</t>
  </si>
  <si>
    <t>ORD102712</t>
  </si>
  <si>
    <t>ORD102752</t>
  </si>
  <si>
    <t>ORD103521</t>
  </si>
  <si>
    <t>ORD103906</t>
  </si>
  <si>
    <t>ORD103958</t>
  </si>
  <si>
    <t>ORD104127</t>
  </si>
  <si>
    <t>ORD104200</t>
  </si>
  <si>
    <t>ORD104579</t>
  </si>
  <si>
    <t>ORD104691</t>
  </si>
  <si>
    <t>ORD104726</t>
  </si>
  <si>
    <t>ORD104963</t>
  </si>
  <si>
    <t>ORD100499</t>
  </si>
  <si>
    <t>ORD100533</t>
  </si>
  <si>
    <t>ORD100554</t>
  </si>
  <si>
    <t>ORD100567</t>
  </si>
  <si>
    <t>ORD100731</t>
  </si>
  <si>
    <t>ORD101050</t>
  </si>
  <si>
    <t>ORD101662</t>
  </si>
  <si>
    <t>ORD102178</t>
  </si>
  <si>
    <t>ORD103415</t>
  </si>
  <si>
    <t>ORD103804</t>
  </si>
  <si>
    <t>ORD104620</t>
  </si>
  <si>
    <t>ORD100132</t>
  </si>
  <si>
    <t>ORD100518</t>
  </si>
  <si>
    <t>ORD101012</t>
  </si>
  <si>
    <t>ORD101080</t>
  </si>
  <si>
    <t>ORD101184</t>
  </si>
  <si>
    <t>ORD101252</t>
  </si>
  <si>
    <t>ORD101339</t>
  </si>
  <si>
    <t>ORD101377</t>
  </si>
  <si>
    <t>ORD101390</t>
  </si>
  <si>
    <t>ORD101393</t>
  </si>
  <si>
    <t>ORD101605</t>
  </si>
  <si>
    <t>ORD101658</t>
  </si>
  <si>
    <t>ORD101738</t>
  </si>
  <si>
    <t>ORD101880</t>
  </si>
  <si>
    <t>ORD102107</t>
  </si>
  <si>
    <t>ORD102340</t>
  </si>
  <si>
    <t>ORD102716</t>
  </si>
  <si>
    <t>ORD102728</t>
  </si>
  <si>
    <t>ORD102781</t>
  </si>
  <si>
    <t>ORD103132</t>
  </si>
  <si>
    <t>ORD103374</t>
  </si>
  <si>
    <t>ORD103735</t>
  </si>
  <si>
    <t>ORD104267</t>
  </si>
  <si>
    <t>ORD104560</t>
  </si>
  <si>
    <t>ORD104919</t>
  </si>
  <si>
    <t>ORD100089</t>
  </si>
  <si>
    <t>ORD100701</t>
  </si>
  <si>
    <t>ORD100918</t>
  </si>
  <si>
    <t>ORD100999</t>
  </si>
  <si>
    <t>ORD102168</t>
  </si>
  <si>
    <t>ORD102652</t>
  </si>
  <si>
    <t>ORD102983</t>
  </si>
  <si>
    <t>ORD103416</t>
  </si>
  <si>
    <t>ORD103627</t>
  </si>
  <si>
    <t>ORD104702</t>
  </si>
  <si>
    <t>ORD104709</t>
  </si>
  <si>
    <t>ORD100659</t>
  </si>
  <si>
    <t>ORD100677</t>
  </si>
  <si>
    <t>ORD100793</t>
  </si>
  <si>
    <t>ORD100986</t>
  </si>
  <si>
    <t>ORD101404</t>
  </si>
  <si>
    <t>ORD101448</t>
  </si>
  <si>
    <t>ORD101775</t>
  </si>
  <si>
    <t>ORD102074</t>
  </si>
  <si>
    <t>ORD103030</t>
  </si>
  <si>
    <t>ORD103158</t>
  </si>
  <si>
    <t>ORD103482</t>
  </si>
  <si>
    <t>ORD100046</t>
  </si>
  <si>
    <t>ORD100191</t>
  </si>
  <si>
    <t>ORD100330</t>
  </si>
  <si>
    <t>ORD100428</t>
  </si>
  <si>
    <t>ORD100553</t>
  </si>
  <si>
    <t>ORD100650</t>
  </si>
  <si>
    <t>ORD100710</t>
  </si>
  <si>
    <t>ORD101234</t>
  </si>
  <si>
    <t>ORD101357</t>
  </si>
  <si>
    <t>ORD101722</t>
  </si>
  <si>
    <t>ORD101822</t>
  </si>
  <si>
    <t>C1081</t>
  </si>
  <si>
    <t>ORD102309</t>
  </si>
  <si>
    <t>ORD102768</t>
  </si>
  <si>
    <t>ORD102776</t>
  </si>
  <si>
    <t>ORD103556</t>
  </si>
  <si>
    <t>ORD103651</t>
  </si>
  <si>
    <t>ORD103819</t>
  </si>
  <si>
    <t>ORD104297</t>
  </si>
  <si>
    <t>ORD104396</t>
  </si>
  <si>
    <t>ORD104441</t>
  </si>
  <si>
    <t>ORD100128</t>
  </si>
  <si>
    <t>ORD100321</t>
  </si>
  <si>
    <t>ORD101213</t>
  </si>
  <si>
    <t>ORD101477</t>
  </si>
  <si>
    <t>ORD102928</t>
  </si>
  <si>
    <t>ORD103036</t>
  </si>
  <si>
    <t>ORD103053</t>
  </si>
  <si>
    <t>ORD103674</t>
  </si>
  <si>
    <t>ORD104093</t>
  </si>
  <si>
    <t>ORD104502</t>
  </si>
  <si>
    <t>ORD104832</t>
  </si>
  <si>
    <t>ORD100568</t>
  </si>
  <si>
    <t>ORD100619</t>
  </si>
  <si>
    <t>ORD100892</t>
  </si>
  <si>
    <t>ORD101052</t>
  </si>
  <si>
    <t>ORD101273</t>
  </si>
  <si>
    <t>ORD102363</t>
  </si>
  <si>
    <t>ORD102365</t>
  </si>
  <si>
    <t>ORD102506</t>
  </si>
  <si>
    <t>ORD102673</t>
  </si>
  <si>
    <t>ORD103822</t>
  </si>
  <si>
    <t>ORD104527</t>
  </si>
  <si>
    <t>ORD104733</t>
  </si>
  <si>
    <t>ORD104815</t>
  </si>
  <si>
    <t>ORD100409</t>
  </si>
  <si>
    <t>ORD100471</t>
  </si>
  <si>
    <t>ORD100510</t>
  </si>
  <si>
    <t>ORD100912</t>
  </si>
  <si>
    <t>ORD101368</t>
  </si>
  <si>
    <t>ORD101382</t>
  </si>
  <si>
    <t>ORD101447</t>
  </si>
  <si>
    <t>ORD101570</t>
  </si>
  <si>
    <t>ORD101638</t>
  </si>
  <si>
    <t>ORD101687</t>
  </si>
  <si>
    <t>ORD101793</t>
  </si>
  <si>
    <t>ORD102048</t>
  </si>
  <si>
    <t>ORD102126</t>
  </si>
  <si>
    <t>ORD102442</t>
  </si>
  <si>
    <t>ORD103455</t>
  </si>
  <si>
    <t>ORD104082</t>
  </si>
  <si>
    <t>ORD104402</t>
  </si>
  <si>
    <t>ORD104529</t>
  </si>
  <si>
    <t>ORD104590</t>
  </si>
  <si>
    <t>ORD104957</t>
  </si>
  <si>
    <t>ORD100736</t>
  </si>
  <si>
    <t>ORD100877</t>
  </si>
  <si>
    <t>ORD101231</t>
  </si>
  <si>
    <t>ORD101762</t>
  </si>
  <si>
    <t>ORD102215</t>
  </si>
  <si>
    <t>ORD102696</t>
  </si>
  <si>
    <t>ORD102827</t>
  </si>
  <si>
    <t>ORD102929</t>
  </si>
  <si>
    <t>ORD102934</t>
  </si>
  <si>
    <t>ORD104005</t>
  </si>
  <si>
    <t>ORD104600</t>
  </si>
  <si>
    <t>ORD104637</t>
  </si>
  <si>
    <t>ORD100035</t>
  </si>
  <si>
    <t>ORD100142</t>
  </si>
  <si>
    <t>ORD100598</t>
  </si>
  <si>
    <t>ORD100832</t>
  </si>
  <si>
    <t>ORD101824</t>
  </si>
  <si>
    <t>ORD102186</t>
  </si>
  <si>
    <t>ORD102346</t>
  </si>
  <si>
    <t>ORD102528</t>
  </si>
  <si>
    <t>ORD102671</t>
  </si>
  <si>
    <t>ORD102858</t>
  </si>
  <si>
    <t>ORD103015</t>
  </si>
  <si>
    <t>ORD103604</t>
  </si>
  <si>
    <t>ORD103637</t>
  </si>
  <si>
    <t>ORD104172</t>
  </si>
  <si>
    <t>ORD100027</t>
  </si>
  <si>
    <t>ORD101529</t>
  </si>
  <si>
    <t>ORD101686</t>
  </si>
  <si>
    <t>ORD101810</t>
  </si>
  <si>
    <t>ORD101839</t>
  </si>
  <si>
    <t>ORD102100</t>
  </si>
  <si>
    <t>ORD102310</t>
  </si>
  <si>
    <t>ORD102503</t>
  </si>
  <si>
    <t>ORD102719</t>
  </si>
  <si>
    <t>ORD102725</t>
  </si>
  <si>
    <t>ORD102772</t>
  </si>
  <si>
    <t>ORD103326</t>
  </si>
  <si>
    <t>ORD103532</t>
  </si>
  <si>
    <t>ORD103848</t>
  </si>
  <si>
    <t>ORD104442</t>
  </si>
  <si>
    <t>ORD100113</t>
  </si>
  <si>
    <t>ORD100476</t>
  </si>
  <si>
    <t>ORD100594</t>
  </si>
  <si>
    <t>ORD100663</t>
  </si>
  <si>
    <t>ORD100840</t>
  </si>
  <si>
    <t>ORD101697</t>
  </si>
  <si>
    <t>ORD101805</t>
  </si>
  <si>
    <t>ORD101813</t>
  </si>
  <si>
    <t>ORD102079</t>
  </si>
  <si>
    <t>ORD102264</t>
  </si>
  <si>
    <t>ORD102403</t>
  </si>
  <si>
    <t>ORD103299</t>
  </si>
  <si>
    <t>ORD104453</t>
  </si>
  <si>
    <t>ORD104519</t>
  </si>
  <si>
    <t>ORD104790</t>
  </si>
  <si>
    <t>ORD100878</t>
  </si>
  <si>
    <t>ORD101276</t>
  </si>
  <si>
    <t>ORD101963</t>
  </si>
  <si>
    <t>ORD102286</t>
  </si>
  <si>
    <t>ORD102636</t>
  </si>
  <si>
    <t>ORD102979</t>
  </si>
  <si>
    <t>ORD103433</t>
  </si>
  <si>
    <t>ORD103820</t>
  </si>
  <si>
    <t>ORD104050</t>
  </si>
  <si>
    <t>ORD104195</t>
  </si>
  <si>
    <t>ORD104229</t>
  </si>
  <si>
    <t>ORD104360</t>
  </si>
  <si>
    <t>ORD104690</t>
  </si>
  <si>
    <t>ORD101278</t>
  </si>
  <si>
    <t>ORD101948</t>
  </si>
  <si>
    <t>ORD102179</t>
  </si>
  <si>
    <t>ORD102631</t>
  </si>
  <si>
    <t>ORD102665</t>
  </si>
  <si>
    <t>ORD103577</t>
  </si>
  <si>
    <t>ORD103625</t>
  </si>
  <si>
    <t>ORD103875</t>
  </si>
  <si>
    <t>ORD104458</t>
  </si>
  <si>
    <t>ORD104855</t>
  </si>
  <si>
    <t>ORD104962</t>
  </si>
  <si>
    <t>ORD100283</t>
  </si>
  <si>
    <t>ORD100551</t>
  </si>
  <si>
    <t>ORD100846</t>
  </si>
  <si>
    <t>ORD100935</t>
  </si>
  <si>
    <t>ORD102097</t>
  </si>
  <si>
    <t>ORD102223</t>
  </si>
  <si>
    <t>ORD102419</t>
  </si>
  <si>
    <t>ORD102942</t>
  </si>
  <si>
    <t>ORD102963</t>
  </si>
  <si>
    <t>ORD103244</t>
  </si>
  <si>
    <t>ORD103937</t>
  </si>
  <si>
    <t>ORD104197</t>
  </si>
  <si>
    <t>ORD104532</t>
  </si>
  <si>
    <t>ORD100073</t>
  </si>
  <si>
    <t>ORD101005</t>
  </si>
  <si>
    <t>ORD101310</t>
  </si>
  <si>
    <t>ORD101613</t>
  </si>
  <si>
    <t>ORD101997</t>
  </si>
  <si>
    <t>ORD102540</t>
  </si>
  <si>
    <t>ORD103470</t>
  </si>
  <si>
    <t>ORD103512</t>
  </si>
  <si>
    <t>ORD103972</t>
  </si>
  <si>
    <t>ORD104165</t>
  </si>
  <si>
    <t>ORD104575</t>
  </si>
  <si>
    <t>ORD100170</t>
  </si>
  <si>
    <t>ORD101100</t>
  </si>
  <si>
    <t>ORD101399</t>
  </si>
  <si>
    <t>ORD101518</t>
  </si>
  <si>
    <t>ORD101733</t>
  </si>
  <si>
    <t>ORD101841</t>
  </si>
  <si>
    <t>ORD102040</t>
  </si>
  <si>
    <t>ORD102104</t>
  </si>
  <si>
    <t>ORD102116</t>
  </si>
  <si>
    <t>ORD102243</t>
  </si>
  <si>
    <t>ORD102891</t>
  </si>
  <si>
    <t>ORD103679</t>
  </si>
  <si>
    <t>ORD103893</t>
  </si>
  <si>
    <t>ORD104261</t>
  </si>
  <si>
    <t>ORD104330</t>
  </si>
  <si>
    <t>ORD104462</t>
  </si>
  <si>
    <t>ORD104923</t>
  </si>
  <si>
    <t>ORD101108</t>
  </si>
  <si>
    <t>ORD101745</t>
  </si>
  <si>
    <t>ORD101792</t>
  </si>
  <si>
    <t>ORD101817</t>
  </si>
  <si>
    <t>ORD102163</t>
  </si>
  <si>
    <t>ORD102263</t>
  </si>
  <si>
    <t>ORD102299</t>
  </si>
  <si>
    <t>ORD102326</t>
  </si>
  <si>
    <t>ORD102601</t>
  </si>
  <si>
    <t>ORD102809</t>
  </si>
  <si>
    <t>ORD102952</t>
  </si>
  <si>
    <t>ORD103268</t>
  </si>
  <si>
    <t>ORD103667</t>
  </si>
  <si>
    <t>ORD103919</t>
  </si>
  <si>
    <t>ORD104046</t>
  </si>
  <si>
    <t>ORD101218</t>
  </si>
  <si>
    <t>ORD101303</t>
  </si>
  <si>
    <t>ORD101669</t>
  </si>
  <si>
    <t>ORD101718</t>
  </si>
  <si>
    <t>ORD101879</t>
  </si>
  <si>
    <t>ORD102229</t>
  </si>
  <si>
    <t>ORD102594</t>
  </si>
  <si>
    <t>ORD103013</t>
  </si>
  <si>
    <t>ORD103270</t>
  </si>
  <si>
    <t>ORD103297</t>
  </si>
  <si>
    <t>ORD103656</t>
  </si>
  <si>
    <t>ORD104383</t>
  </si>
  <si>
    <t>ORD104447</t>
  </si>
  <si>
    <t>ORD104469</t>
  </si>
  <si>
    <t>ORD100277</t>
  </si>
  <si>
    <t>ORD100841</t>
  </si>
  <si>
    <t>ORD100879</t>
  </si>
  <si>
    <t>ORD101597</t>
  </si>
  <si>
    <t>ORD101737</t>
  </si>
  <si>
    <t>ORD101903</t>
  </si>
  <si>
    <t>ORD102283</t>
  </si>
  <si>
    <t>ORD102396</t>
  </si>
  <si>
    <t>ORD102432</t>
  </si>
  <si>
    <t>ORD102630</t>
  </si>
  <si>
    <t>ORD102824</t>
  </si>
  <si>
    <t>ORD102853</t>
  </si>
  <si>
    <t>ORD103018</t>
  </si>
  <si>
    <t>ORD100213</t>
  </si>
  <si>
    <t>ORD100667</t>
  </si>
  <si>
    <t>ORD100904</t>
  </si>
  <si>
    <t>ORD100929</t>
  </si>
  <si>
    <t>ORD101197</t>
  </si>
  <si>
    <t>ORD101672</t>
  </si>
  <si>
    <t>ORD101688</t>
  </si>
  <si>
    <t>ORD102489</t>
  </si>
  <si>
    <t>ORD102779</t>
  </si>
  <si>
    <t>ORD103485</t>
  </si>
  <si>
    <t>ORD103782</t>
  </si>
  <si>
    <t>ORD103948</t>
  </si>
  <si>
    <t>ORD104070</t>
  </si>
  <si>
    <t>ORD104703</t>
  </si>
  <si>
    <t>ORD100053</t>
  </si>
  <si>
    <t>ORD100115</t>
  </si>
  <si>
    <t>ORD101376</t>
  </si>
  <si>
    <t>ORD101633</t>
  </si>
  <si>
    <t>ORD101667</t>
  </si>
  <si>
    <t>ORD101712</t>
  </si>
  <si>
    <t>ORD101886</t>
  </si>
  <si>
    <t>ORD102033</t>
  </si>
  <si>
    <t>ORD102405</t>
  </si>
  <si>
    <t>ORD102740</t>
  </si>
  <si>
    <t>ORD102791</t>
  </si>
  <si>
    <t>ORD102898</t>
  </si>
  <si>
    <t>ORD103096</t>
  </si>
  <si>
    <t>ORD103279</t>
  </si>
  <si>
    <t>ORD103864</t>
  </si>
  <si>
    <t>ORD104061</t>
  </si>
  <si>
    <t>ORD104151</t>
  </si>
  <si>
    <t>ORD104320</t>
  </si>
  <si>
    <t>ORD104656</t>
  </si>
  <si>
    <t>ORD104786</t>
  </si>
  <si>
    <t>ORD104901</t>
  </si>
  <si>
    <t>ORD104987</t>
  </si>
  <si>
    <t>ORD100067</t>
  </si>
  <si>
    <t>ORD100382</t>
  </si>
  <si>
    <t>ORD100778</t>
  </si>
  <si>
    <t>ORD101295</t>
  </si>
  <si>
    <t>ORD101401</t>
  </si>
  <si>
    <t>ORD101959</t>
  </si>
  <si>
    <t>ORD102393</t>
  </si>
  <si>
    <t>ORD102508</t>
  </si>
  <si>
    <t>ORD102847</t>
  </si>
  <si>
    <t>ORD103133</t>
  </si>
  <si>
    <t>ORD103487</t>
  </si>
  <si>
    <t>ORD103646</t>
  </si>
  <si>
    <t>ORD103810</t>
  </si>
  <si>
    <t>ORD104136</t>
  </si>
  <si>
    <t>ORD104202</t>
  </si>
  <si>
    <t>ORD104612</t>
  </si>
  <si>
    <t>ORD100267</t>
  </si>
  <si>
    <t>ORD100544</t>
  </si>
  <si>
    <t>ORD100688</t>
  </si>
  <si>
    <t>ORD101132</t>
  </si>
  <si>
    <t>ORD101614</t>
  </si>
  <si>
    <t>ORD102008</t>
  </si>
  <si>
    <t>ORD102075</t>
  </si>
  <si>
    <t>ORD102159</t>
  </si>
  <si>
    <t>ORD103557</t>
  </si>
  <si>
    <t>ORD103659</t>
  </si>
  <si>
    <t>ORD103707</t>
  </si>
  <si>
    <t>ORD103739</t>
  </si>
  <si>
    <t>ORD104152</t>
  </si>
  <si>
    <t>ORD104168</t>
  </si>
  <si>
    <t>ORD104414</t>
  </si>
  <si>
    <t>ORD104491</t>
  </si>
  <si>
    <t>ORD104651</t>
  </si>
  <si>
    <t>ORD100310</t>
  </si>
  <si>
    <t>ORD100466</t>
  </si>
  <si>
    <t>ORD100539</t>
  </si>
  <si>
    <t>ORD100696</t>
  </si>
  <si>
    <t>ORD100845</t>
  </si>
  <si>
    <t>ORD101253</t>
  </si>
  <si>
    <t>ORD102250</t>
  </si>
  <si>
    <t>ORD102323</t>
  </si>
  <si>
    <t>ORD102480</t>
  </si>
  <si>
    <t>ORD102659</t>
  </si>
  <si>
    <t>ORD102912</t>
  </si>
  <si>
    <t>ORD103012</t>
  </si>
  <si>
    <t>ORD103060</t>
  </si>
  <si>
    <t>ORD103113</t>
  </si>
  <si>
    <t>ORD103647</t>
  </si>
  <si>
    <t>ORD103882</t>
  </si>
  <si>
    <t>ORD104918</t>
  </si>
  <si>
    <t>ORD104952</t>
  </si>
  <si>
    <t>ORD100195</t>
  </si>
  <si>
    <t>ORD100348</t>
  </si>
  <si>
    <t>ORD100479</t>
  </si>
  <si>
    <t>ORD100622</t>
  </si>
  <si>
    <t>ORD100767</t>
  </si>
  <si>
    <t>ORD101974</t>
  </si>
  <si>
    <t>ORD102205</t>
  </si>
  <si>
    <t>ORD102322</t>
  </si>
  <si>
    <t>ORD102693</t>
  </si>
  <si>
    <t>ORD102754</t>
  </si>
  <si>
    <t>ORD103051</t>
  </si>
  <si>
    <t>ORD103552</t>
  </si>
  <si>
    <t>ORD104777</t>
  </si>
  <si>
    <t>ORD101085</t>
  </si>
  <si>
    <t>ORD101625</t>
  </si>
  <si>
    <t>ORD102577</t>
  </si>
  <si>
    <t>ORD102585</t>
  </si>
  <si>
    <t>ORD102660</t>
  </si>
  <si>
    <t>ORD102866</t>
  </si>
  <si>
    <t>ORD103884</t>
  </si>
  <si>
    <t>ORD104059</t>
  </si>
  <si>
    <t>ORD104433</t>
  </si>
  <si>
    <t>ORD104449</t>
  </si>
  <si>
    <t>ORD100727</t>
  </si>
  <si>
    <t>ORD101174</t>
  </si>
  <si>
    <t>ORD101342</t>
  </si>
  <si>
    <t>ORD101423</t>
  </si>
  <si>
    <t>ORD101450</t>
  </si>
  <si>
    <t>ORD101509</t>
  </si>
  <si>
    <t>ORD101766</t>
  </si>
  <si>
    <t>ORD102009</t>
  </si>
  <si>
    <t>ORD102439</t>
  </si>
  <si>
    <t>ORD102639</t>
  </si>
  <si>
    <t>ORD102751</t>
  </si>
  <si>
    <t>ORD103229</t>
  </si>
  <si>
    <t>ORD103300</t>
  </si>
  <si>
    <t>ORD104175</t>
  </si>
  <si>
    <t>ORD104235</t>
  </si>
  <si>
    <t>ORD104670</t>
  </si>
  <si>
    <t>ORD104751</t>
  </si>
  <si>
    <t>ORD100699</t>
  </si>
  <si>
    <t>ORD100979</t>
  </si>
  <si>
    <t>ORD101585</t>
  </si>
  <si>
    <t>ORD101966</t>
  </si>
  <si>
    <t>ORD101992</t>
  </si>
  <si>
    <t>ORD102302</t>
  </si>
  <si>
    <t>ORD102441</t>
  </si>
  <si>
    <t>ORD102535</t>
  </si>
  <si>
    <t>ORD103664</t>
  </si>
  <si>
    <t>ORD103757</t>
  </si>
  <si>
    <t>ORD103813</t>
  </si>
  <si>
    <t>ORD104544</t>
  </si>
  <si>
    <t>ORD104773</t>
  </si>
  <si>
    <t>ORD104812</t>
  </si>
  <si>
    <t>ORD100545</t>
  </si>
  <si>
    <t>ORD100747</t>
  </si>
  <si>
    <t>ORD101129</t>
  </si>
  <si>
    <t>ORD101137</t>
  </si>
  <si>
    <t>ORD101214</t>
  </si>
  <si>
    <t>ORD101217</t>
  </si>
  <si>
    <t>ORD101270</t>
  </si>
  <si>
    <t>ORD101508</t>
  </si>
  <si>
    <t>ORD101657</t>
  </si>
  <si>
    <t>ORD102004</t>
  </si>
  <si>
    <t>ORD103421</t>
  </si>
  <si>
    <t>ORD103640</t>
  </si>
  <si>
    <t>ORD103721</t>
  </si>
  <si>
    <t>ORD103797</t>
  </si>
  <si>
    <t>ORD104768</t>
  </si>
  <si>
    <t>ORD100082</t>
  </si>
  <si>
    <t>ORD101275</t>
  </si>
  <si>
    <t>ORD102022</t>
  </si>
  <si>
    <t>ORD102595</t>
  </si>
  <si>
    <t>ORD102710</t>
  </si>
  <si>
    <t>ORD103217</t>
  </si>
  <si>
    <t>ORD103666</t>
  </si>
  <si>
    <t>ORD104042</t>
  </si>
  <si>
    <t>ORD104045</t>
  </si>
  <si>
    <t>ORD104131</t>
  </si>
  <si>
    <t>ORD104920</t>
  </si>
  <si>
    <t>ORD104955</t>
  </si>
  <si>
    <t>ORD100497</t>
  </si>
  <si>
    <t>ORD100681</t>
  </si>
  <si>
    <t>ORD101022</t>
  </si>
  <si>
    <t>ORD101123</t>
  </si>
  <si>
    <t>ORD101131</t>
  </si>
  <si>
    <t>ORD101549</t>
  </si>
  <si>
    <t>ORD101881</t>
  </si>
  <si>
    <t>ORD103073</t>
  </si>
  <si>
    <t>ORD103565</t>
  </si>
  <si>
    <t>ORD104106</t>
  </si>
  <si>
    <t>ORD104242</t>
  </si>
  <si>
    <t>ORD104926</t>
  </si>
  <si>
    <t>ORD100189</t>
  </si>
  <si>
    <t>ORD100722</t>
  </si>
  <si>
    <t>ORD100858</t>
  </si>
  <si>
    <t>ORD101040</t>
  </si>
  <si>
    <t>ORD101519</t>
  </si>
  <si>
    <t>ORD102400</t>
  </si>
  <si>
    <t>ORD102905</t>
  </si>
  <si>
    <t>ORD103083</t>
  </si>
  <si>
    <t>ORD103149</t>
  </si>
  <si>
    <t>ORD103351</t>
  </si>
  <si>
    <t>ORD103568</t>
  </si>
  <si>
    <t>ORD103764</t>
  </si>
  <si>
    <t>ORD104081</t>
  </si>
  <si>
    <t>ORD104351</t>
  </si>
  <si>
    <t>ORD100021</t>
  </si>
  <si>
    <t>ORD100504</t>
  </si>
  <si>
    <t>ORD100843</t>
  </si>
  <si>
    <t>ORD101809</t>
  </si>
  <si>
    <t>ORD101820</t>
  </si>
  <si>
    <t>ORD101823</t>
  </si>
  <si>
    <t>ORD101985</t>
  </si>
  <si>
    <t>ORD102037</t>
  </si>
  <si>
    <t>ORD102510</t>
  </si>
  <si>
    <t>ORD103002</t>
  </si>
  <si>
    <t>ORD103212</t>
  </si>
  <si>
    <t>ORD103393</t>
  </si>
  <si>
    <t>ORD103936</t>
  </si>
  <si>
    <t>ORD104795</t>
  </si>
  <si>
    <t>ORD100203</t>
  </si>
  <si>
    <t>ORD100396</t>
  </si>
  <si>
    <t>ORD100902</t>
  </si>
  <si>
    <t>ORD100969</t>
  </si>
  <si>
    <t>ORD101003</t>
  </si>
  <si>
    <t>ORD101459</t>
  </si>
  <si>
    <t>ORD102039</t>
  </si>
  <si>
    <t>ORD102063</t>
  </si>
  <si>
    <t>ORD102969</t>
  </si>
  <si>
    <t>ORD103134</t>
  </si>
  <si>
    <t>ORD103904</t>
  </si>
  <si>
    <t>ORD104989</t>
  </si>
  <si>
    <t>ORD100311</t>
  </si>
  <si>
    <t>ORD100827</t>
  </si>
  <si>
    <t>ORD100853</t>
  </si>
  <si>
    <t>ORD100894</t>
  </si>
  <si>
    <t>ORD101009</t>
  </si>
  <si>
    <t>ORD101112</t>
  </si>
  <si>
    <t>ORD103007</t>
  </si>
  <si>
    <t>ORD103588</t>
  </si>
  <si>
    <t>ORD103762</t>
  </si>
  <si>
    <t>ORD104329</t>
  </si>
  <si>
    <t>ORD104417</t>
  </si>
  <si>
    <t>ORD104558</t>
  </si>
  <si>
    <t>ORD104588</t>
  </si>
  <si>
    <t>ORD104780</t>
  </si>
  <si>
    <t>ORD100287</t>
  </si>
  <si>
    <t>ORD100652</t>
  </si>
  <si>
    <t>ORD102217</t>
  </si>
  <si>
    <t>ORD102277</t>
  </si>
  <si>
    <t>ORD102553</t>
  </si>
  <si>
    <t>ORD103236</t>
  </si>
  <si>
    <t>ORD103296</t>
  </si>
  <si>
    <t>ORD104243</t>
  </si>
  <si>
    <t>ORD104717</t>
  </si>
  <si>
    <t>ORD104864</t>
  </si>
  <si>
    <t>ORD100208</t>
  </si>
  <si>
    <t>ORD100489</t>
  </si>
  <si>
    <t>ORD100801</t>
  </si>
  <si>
    <t>ORD101075</t>
  </si>
  <si>
    <t>ORD101449</t>
  </si>
  <si>
    <t>ORD102210</t>
  </si>
  <si>
    <t>ORD102589</t>
  </si>
  <si>
    <t>ORD102747</t>
  </si>
  <si>
    <t>ORD103225</t>
  </si>
  <si>
    <t>ORD103286</t>
  </si>
  <si>
    <t>ORD104032</t>
  </si>
  <si>
    <t>ORD104163</t>
  </si>
  <si>
    <t>ORD100459</t>
  </si>
  <si>
    <t>ORD100771</t>
  </si>
  <si>
    <t>ORD100830</t>
  </si>
  <si>
    <t>ORD100913</t>
  </si>
  <si>
    <t>ORD101260</t>
  </si>
  <si>
    <t>ORD101690</t>
  </si>
  <si>
    <t>ORD103214</t>
  </si>
  <si>
    <t>ORD103805</t>
  </si>
  <si>
    <t>ORD104230</t>
  </si>
  <si>
    <t>ORD104882</t>
  </si>
  <si>
    <t>C1126</t>
  </si>
  <si>
    <t>ORD100703</t>
  </si>
  <si>
    <t>ORD100984</t>
  </si>
  <si>
    <t>ORD101156</t>
  </si>
  <si>
    <t>ORD101258</t>
  </si>
  <si>
    <t>ORD101591</t>
  </si>
  <si>
    <t>ORD101729</t>
  </si>
  <si>
    <t>ORD102007</t>
  </si>
  <si>
    <t>ORD102438</t>
  </si>
  <si>
    <t>ORD102602</t>
  </si>
  <si>
    <t>ORD103237</t>
  </si>
  <si>
    <t>ORD103463</t>
  </si>
  <si>
    <t>ORD103506</t>
  </si>
  <si>
    <t>ORD103996</t>
  </si>
  <si>
    <t>ORD104616</t>
  </si>
  <si>
    <t>ORD104816</t>
  </si>
  <si>
    <t>ORD100583</t>
  </si>
  <si>
    <t>ORD100630</t>
  </si>
  <si>
    <t>ORD100800</t>
  </si>
  <si>
    <t>ORD101026</t>
  </si>
  <si>
    <t>ORD101124</t>
  </si>
  <si>
    <t>ORD101606</t>
  </si>
  <si>
    <t>ORD101717</t>
  </si>
  <si>
    <t>ORD102062</t>
  </si>
  <si>
    <t>ORD102579</t>
  </si>
  <si>
    <t>ORD102634</t>
  </si>
  <si>
    <t>ORD103063</t>
  </si>
  <si>
    <t>ORD103213</t>
  </si>
  <si>
    <t>ORD103304</t>
  </si>
  <si>
    <t>ORD103581</t>
  </si>
  <si>
    <t>ORD103829</t>
  </si>
  <si>
    <t>ORD104473</t>
  </si>
  <si>
    <t>ORD104489</t>
  </si>
  <si>
    <t>ORD101888</t>
  </si>
  <si>
    <t>ORD102199</t>
  </si>
  <si>
    <t>ORD102204</t>
  </si>
  <si>
    <t>ORD102642</t>
  </si>
  <si>
    <t>ORD102800</t>
  </si>
  <si>
    <t>ORD102895</t>
  </si>
  <si>
    <t>ORD103547</t>
  </si>
  <si>
    <t>ORD104113</t>
  </si>
  <si>
    <t>ORD104126</t>
  </si>
  <si>
    <t>ORD104262</t>
  </si>
  <si>
    <t>ORD104698</t>
  </si>
  <si>
    <t>ORD100512</t>
  </si>
  <si>
    <t>ORD100537</t>
  </si>
  <si>
    <t>ORD101639</t>
  </si>
  <si>
    <t>ORD101744</t>
  </si>
  <si>
    <t>ORD101832</t>
  </si>
  <si>
    <t>ORD102391</t>
  </si>
  <si>
    <t>ORD102701</t>
  </si>
  <si>
    <t>ORD102760</t>
  </si>
  <si>
    <t>ORD103056</t>
  </si>
  <si>
    <t>ORD103312</t>
  </si>
  <si>
    <t>ORD103686</t>
  </si>
  <si>
    <t>ORD104182</t>
  </si>
  <si>
    <t>ORD104521</t>
  </si>
  <si>
    <t>ORD100219</t>
  </si>
  <si>
    <t>ORD101558</t>
  </si>
  <si>
    <t>ORD101806</t>
  </si>
  <si>
    <t>ORD101852</t>
  </si>
  <si>
    <t>ORD102124</t>
  </si>
  <si>
    <t>ORD102336</t>
  </si>
  <si>
    <t>ORD102349</t>
  </si>
  <si>
    <t>ORD102377</t>
  </si>
  <si>
    <t>ORD102851</t>
  </si>
  <si>
    <t>ORD103139</t>
  </si>
  <si>
    <t>ORD103247</t>
  </si>
  <si>
    <t>ORD103420</t>
  </si>
  <si>
    <t>C1137</t>
  </si>
  <si>
    <t>ORD103541</t>
  </si>
  <si>
    <t>ORD104096</t>
  </si>
  <si>
    <t>ORD104541</t>
  </si>
  <si>
    <t>ORD104837</t>
  </si>
  <si>
    <t>ORD100686</t>
  </si>
  <si>
    <t>ORD100909</t>
  </si>
  <si>
    <t>ORD101701</t>
  </si>
  <si>
    <t>ORD102471</t>
  </si>
  <si>
    <t>ORD102894</t>
  </si>
  <si>
    <t>ORD102923</t>
  </si>
  <si>
    <t>ORD102993</t>
  </si>
  <si>
    <t>ORD103037</t>
  </si>
  <si>
    <t>ORD103602</t>
  </si>
  <si>
    <t>ORD104804</t>
  </si>
  <si>
    <t>ORD100011</t>
  </si>
  <si>
    <t>ORD100221</t>
  </si>
  <si>
    <t>ORD100386</t>
  </si>
  <si>
    <t>ORD100570</t>
  </si>
  <si>
    <t>ORD101037</t>
  </si>
  <si>
    <t>ORD101058</t>
  </si>
  <si>
    <t>ORD101068</t>
  </si>
  <si>
    <t>ORD101082</t>
  </si>
  <si>
    <t>ORD101182</t>
  </si>
  <si>
    <t>ORD101882</t>
  </si>
  <si>
    <t>ORD102127</t>
  </si>
  <si>
    <t>ORD102268</t>
  </si>
  <si>
    <t>ORD102670</t>
  </si>
  <si>
    <t>ORD102829</t>
  </si>
  <si>
    <t>ORD103106</t>
  </si>
  <si>
    <t>ORD103148</t>
  </si>
  <si>
    <t>ORD103230</t>
  </si>
  <si>
    <t>ORD104853</t>
  </si>
  <si>
    <t>ORD101032</t>
  </si>
  <si>
    <t>ORD101257</t>
  </si>
  <si>
    <t>ORD101655</t>
  </si>
  <si>
    <t>ORD101898</t>
  </si>
  <si>
    <t>ORD102520</t>
  </si>
  <si>
    <t>ORD102805</t>
  </si>
  <si>
    <t>ORD102984</t>
  </si>
  <si>
    <t>ORD103119</t>
  </si>
  <si>
    <t>ORD103705</t>
  </si>
  <si>
    <t>ORD104072</t>
  </si>
  <si>
    <t>ORD104264</t>
  </si>
  <si>
    <t>ORD100135</t>
  </si>
  <si>
    <t>ORD100352</t>
  </si>
  <si>
    <t>ORD100370</t>
  </si>
  <si>
    <t>ORD100422</t>
  </si>
  <si>
    <t>ORD100735</t>
  </si>
  <si>
    <t>ORD100863</t>
  </si>
  <si>
    <t>ORD101192</t>
  </si>
  <si>
    <t>ORD101538</t>
  </si>
  <si>
    <t>ORD101988</t>
  </si>
  <si>
    <t>ORD102012</t>
  </si>
  <si>
    <t>ORD102034</t>
  </si>
  <si>
    <t>ORD102285</t>
  </si>
  <si>
    <t>ORD102924</t>
  </si>
  <si>
    <t>ORD103902</t>
  </si>
  <si>
    <t>ORD103920</t>
  </si>
  <si>
    <t>ORD104115</t>
  </si>
  <si>
    <t>ORD104852</t>
  </si>
  <si>
    <t>ORD104951</t>
  </si>
  <si>
    <t>ORD100238</t>
  </si>
  <si>
    <t>ORD100491</t>
  </si>
  <si>
    <t>ORD101292</t>
  </si>
  <si>
    <t>ORD101721</t>
  </si>
  <si>
    <t>ORD101995</t>
  </si>
  <si>
    <t>ORD102644</t>
  </si>
  <si>
    <t>ORD102697</t>
  </si>
  <si>
    <t>ORD103833</t>
  </si>
  <si>
    <t>ORD104155</t>
  </si>
  <si>
    <t>ORD104416</t>
  </si>
  <si>
    <t>ORD104571</t>
  </si>
  <si>
    <t>ORD101269</t>
  </si>
  <si>
    <t>C1565</t>
  </si>
  <si>
    <t>ORD101345</t>
  </si>
  <si>
    <t>ORD101919</t>
  </si>
  <si>
    <t>ORD102191</t>
  </si>
  <si>
    <t>ORD102453</t>
  </si>
  <si>
    <t>ORD103078</t>
  </si>
  <si>
    <t>ORD103249</t>
  </si>
  <si>
    <t>ORD103773</t>
  </si>
  <si>
    <t>ORD100455</t>
  </si>
  <si>
    <t>ORD100592</t>
  </si>
  <si>
    <t>ORD101072</t>
  </si>
  <si>
    <t>ORD102225</t>
  </si>
  <si>
    <t>ORD103022</t>
  </si>
  <si>
    <t>ORD103795</t>
  </si>
  <si>
    <t>ORD104028</t>
  </si>
  <si>
    <t>ORD104035</t>
  </si>
  <si>
    <t>ORD104228</t>
  </si>
  <si>
    <t>ORD104368</t>
  </si>
  <si>
    <t>ORD104555</t>
  </si>
  <si>
    <t>ORD104862</t>
  </si>
  <si>
    <t>ORD104967</t>
  </si>
  <si>
    <t>ORD100296</t>
  </si>
  <si>
    <t>ORD101065</t>
  </si>
  <si>
    <t>ORD101526</t>
  </si>
  <si>
    <t>ORD102064</t>
  </si>
  <si>
    <t>ORD103168</t>
  </si>
  <si>
    <t>ORD103504</t>
  </si>
  <si>
    <t>ORD103741</t>
  </si>
  <si>
    <t>ORD103847</t>
  </si>
  <si>
    <t>ORD104089</t>
  </si>
  <si>
    <t>ORD101359</t>
  </si>
  <si>
    <t>ORD101462</t>
  </si>
  <si>
    <t>ORD101623</t>
  </si>
  <si>
    <t>ORD101928</t>
  </si>
  <si>
    <t>ORD102144</t>
  </si>
  <si>
    <t>ORD102624</t>
  </si>
  <si>
    <t>ORD102679</t>
  </si>
  <si>
    <t>ORD102941</t>
  </si>
  <si>
    <t>ORD103054</t>
  </si>
  <si>
    <t>ORD103880</t>
  </si>
  <si>
    <t>ORD104121</t>
  </si>
  <si>
    <t>ORD104535</t>
  </si>
  <si>
    <t>ORD104279</t>
  </si>
  <si>
    <t>ORD103881</t>
  </si>
  <si>
    <t>ORD103284</t>
  </si>
  <si>
    <t>ORD101493</t>
  </si>
  <si>
    <t>ORD104080</t>
  </si>
  <si>
    <t>ORD100896</t>
  </si>
  <si>
    <t>ORD104876</t>
  </si>
  <si>
    <t>ORD102090</t>
  </si>
  <si>
    <t>ORD100100</t>
  </si>
  <si>
    <t>ORD101095</t>
  </si>
  <si>
    <t>ORD104478</t>
  </si>
  <si>
    <t>ORD103085</t>
  </si>
  <si>
    <t>ORD101692</t>
  </si>
  <si>
    <t>ORD100498</t>
  </si>
  <si>
    <t>ORD104677</t>
  </si>
  <si>
    <t>ORD102488</t>
  </si>
  <si>
    <t>ORD103682</t>
  </si>
  <si>
    <t>ORD103483</t>
  </si>
  <si>
    <t>ORD101294</t>
  </si>
  <si>
    <t>ORD100299</t>
  </si>
  <si>
    <t>ORD102289</t>
  </si>
  <si>
    <t>ORD101891</t>
  </si>
  <si>
    <t>ORD100697</t>
  </si>
  <si>
    <t>ORD102886</t>
  </si>
  <si>
    <t>ORD102687</t>
  </si>
  <si>
    <t>UK Coffee Retail Sales Data Cleaning &amp; Analysis Project</t>
  </si>
  <si>
    <t>Objective</t>
  </si>
  <si>
    <t>Clean, prepare, analyse and visualize a retail coffee sales dataset using Microsoft Excel.</t>
  </si>
  <si>
    <t>Project Tasks</t>
  </si>
  <si>
    <t>Part 1: Data Cleaning</t>
  </si>
  <si>
    <t>• Remove duplicate records.</t>
  </si>
  <si>
    <t>• Handle missing values appropriately.</t>
  </si>
  <si>
    <t>• Correct spelling mistakes and typos.</t>
  </si>
  <si>
    <t>• Standardize inconsistent formatting (e.g., Card/card).</t>
  </si>
  <si>
    <t>• Convert the Date column to a consistent date-only format.</t>
  </si>
  <si>
    <t>• Remove unnecessary blank rows and columns.</t>
  </si>
  <si>
    <t>• Ensure all data types are correct.</t>
  </si>
  <si>
    <t>Part 2: Data Preparation</t>
  </si>
  <si>
    <t>Create the following calculated columns before analysis:</t>
  </si>
  <si>
    <t>Revenue = Qty * UnitPriceGBP</t>
  </si>
  <si>
    <t>Formula: =[Qty Cell]*[UnitPriceGBP Cell] (Example: =G2*H2)</t>
  </si>
  <si>
    <t>Month =TEXT(Date,"mmmm")</t>
  </si>
  <si>
    <t>Month Number =MONTH(Date)</t>
  </si>
  <si>
    <t>Day of Week =TEXT(Date,"dddd")</t>
  </si>
  <si>
    <t>Year =YEAR(Date)</t>
  </si>
  <si>
    <t>Average Order Value = Total Revenue / Total Orders</t>
  </si>
  <si>
    <t>Part 3: Business Questions</t>
  </si>
  <si>
    <t>1. How many orders were processed?</t>
  </si>
  <si>
    <t>2. Which product was ordered the most?</t>
  </si>
  <si>
    <t>3. Which product generated the highest revenue?</t>
  </si>
  <si>
    <t>4. Which category generated the highest revenue?</t>
  </si>
  <si>
    <t>5. Which city recorded the highest sales revenue?</t>
  </si>
  <si>
    <t>6. Which store performed best based on revenue?</t>
  </si>
  <si>
    <t>7. Which payment method was used most frequently?</t>
  </si>
  <si>
    <t>8. What is the average order value?</t>
  </si>
  <si>
    <t>9. What is the average quantity sold per order?</t>
  </si>
  <si>
    <t>10. Which month recorded the highest revenue?</t>
  </si>
  <si>
    <t>11. Which month had the highest number of orders?</t>
  </si>
  <si>
    <t>14. Which city sold the highest quantity of products?</t>
  </si>
  <si>
    <t>15. Are drinks or food items more popular?</t>
  </si>
  <si>
    <t>16. Which store sold the highest quantity of products?</t>
  </si>
  <si>
    <t>17. What recommendations would you make to improve business performance?</t>
  </si>
  <si>
    <t>Dashboard Requirements</t>
  </si>
  <si>
    <t>• KPI Cards: Total Revenue, Total Orders, Total Quantity Sold, Average Order Value.</t>
  </si>
  <si>
    <t>• Charts: Monthly Revenue, Revenue by Product, Revenue by City, Revenue by Store, Payment Method Distribution, Category Performance.</t>
  </si>
  <si>
    <t>• Add slicers for City, Store, Product and Payment Method.</t>
  </si>
  <si>
    <t>Revenue</t>
  </si>
  <si>
    <t>Day of Week</t>
  </si>
  <si>
    <t>Month</t>
  </si>
  <si>
    <t>Year</t>
  </si>
  <si>
    <t>Total Revenue</t>
  </si>
  <si>
    <t>Total Orders</t>
  </si>
  <si>
    <t>Average Order Value</t>
  </si>
  <si>
    <t>How many Orders were Processed</t>
  </si>
  <si>
    <t xml:space="preserve"> Which product was ordered the most?</t>
  </si>
  <si>
    <t xml:space="preserve">Numers of times Drink is Ordered </t>
  </si>
  <si>
    <t>Numers of times food is Ordered</t>
  </si>
  <si>
    <t>Which product generated the highest revenue?</t>
  </si>
  <si>
    <t xml:space="preserve">Drink </t>
  </si>
  <si>
    <t>Which category generated the highest revenue?</t>
  </si>
  <si>
    <t>Payment Type</t>
  </si>
  <si>
    <t>Which city recorded the highest sales revenue?</t>
  </si>
  <si>
    <t>Manchester Revenue</t>
  </si>
  <si>
    <t>Leeds Revenue</t>
  </si>
  <si>
    <t>Bristol Revenue</t>
  </si>
  <si>
    <t>Birmingham Revenue</t>
  </si>
  <si>
    <t>London Revenue</t>
  </si>
  <si>
    <t>Which store performed best based on revenue?</t>
  </si>
  <si>
    <t>Central Revenue</t>
  </si>
  <si>
    <t>Riverside Revenue</t>
  </si>
  <si>
    <t>Station Revenue</t>
  </si>
  <si>
    <t>High Street Revenue</t>
  </si>
  <si>
    <t>Which payment method was used most frequently?</t>
  </si>
  <si>
    <t>What is the average order value?</t>
  </si>
  <si>
    <t>What is the average quantity sold per order?</t>
  </si>
  <si>
    <t>Which month Record the highest Revenue</t>
  </si>
  <si>
    <t>January Revenue</t>
  </si>
  <si>
    <t>Feraury Revenue</t>
  </si>
  <si>
    <t>March Revenue</t>
  </si>
  <si>
    <t>April Revenue</t>
  </si>
  <si>
    <t>May Revenue</t>
  </si>
  <si>
    <t>June Revenue</t>
  </si>
  <si>
    <t>July Revenue</t>
  </si>
  <si>
    <t>August Revenue</t>
  </si>
  <si>
    <t>Novemer</t>
  </si>
  <si>
    <t>Septemer Revenue</t>
  </si>
  <si>
    <t>Octoer Revenue</t>
  </si>
  <si>
    <t>Novemer Revenue</t>
  </si>
  <si>
    <t>Decemer Revenue</t>
  </si>
  <si>
    <t xml:space="preserve"> Which month had the highest number of orders?</t>
  </si>
  <si>
    <t>January Order</t>
  </si>
  <si>
    <t>Feruary Order</t>
  </si>
  <si>
    <t>March Order</t>
  </si>
  <si>
    <t>April Order</t>
  </si>
  <si>
    <t>May Order</t>
  </si>
  <si>
    <t>June Order</t>
  </si>
  <si>
    <t>July Order</t>
  </si>
  <si>
    <t>August Order</t>
  </si>
  <si>
    <t>Septemer Order</t>
  </si>
  <si>
    <t>October Order</t>
  </si>
  <si>
    <t>November Order</t>
  </si>
  <si>
    <t>December Order</t>
  </si>
  <si>
    <t>March</t>
  </si>
  <si>
    <t>12. Who are the top 10 customers by spending? Cancelled</t>
  </si>
  <si>
    <t>Question/Calculations</t>
  </si>
  <si>
    <t>Answer</t>
  </si>
  <si>
    <t>Which products had the lowest Revenue?</t>
  </si>
  <si>
    <t>13. Which products had the lowest Revenue?</t>
  </si>
  <si>
    <t>Which city sold the highest quantity of products?</t>
  </si>
  <si>
    <t>Birmingham Qty</t>
  </si>
  <si>
    <t>Bristol Qty</t>
  </si>
  <si>
    <t>Leeds Qty</t>
  </si>
  <si>
    <t>London Qty</t>
  </si>
  <si>
    <t>Manchester Qty</t>
  </si>
  <si>
    <t>N/A Qty</t>
  </si>
  <si>
    <t>Are drinks or food items more popular?</t>
  </si>
  <si>
    <t>What recommendations would you make to improve business performance?</t>
  </si>
  <si>
    <t>Drink Revenue</t>
  </si>
  <si>
    <t>Food Revenue</t>
  </si>
  <si>
    <t>Base on Revenue, Drink has a 71% gap to Food. Suggesting that investment on Drink will generate more incomes than.</t>
  </si>
  <si>
    <t>Total Order</t>
  </si>
  <si>
    <t>Total Quantity sold</t>
  </si>
  <si>
    <t xml:space="preserve">Leeds </t>
  </si>
  <si>
    <t>Products</t>
  </si>
  <si>
    <t xml:space="preserve">Riverside </t>
  </si>
  <si>
    <t xml:space="preserve">Central </t>
  </si>
  <si>
    <t xml:space="preserve">Station </t>
  </si>
  <si>
    <t xml:space="preserve">High Street </t>
  </si>
  <si>
    <t>Stores Name</t>
  </si>
  <si>
    <t>January</t>
  </si>
  <si>
    <t>Feraury</t>
  </si>
  <si>
    <t>April</t>
  </si>
  <si>
    <t>May</t>
  </si>
  <si>
    <t xml:space="preserve">June </t>
  </si>
  <si>
    <t xml:space="preserve">July </t>
  </si>
  <si>
    <t>August</t>
  </si>
  <si>
    <t>October</t>
  </si>
  <si>
    <t xml:space="preserve">November </t>
  </si>
  <si>
    <t xml:space="preserve">December </t>
  </si>
  <si>
    <t>September</t>
  </si>
  <si>
    <t>Times Used</t>
  </si>
  <si>
    <t>Payment Methods</t>
  </si>
  <si>
    <t xml:space="preserve">Category Order </t>
  </si>
  <si>
    <t>No of Times</t>
  </si>
  <si>
    <t>No of times food is Ordered</t>
  </si>
  <si>
    <t xml:space="preserve">No of times Drink is Ordered </t>
  </si>
  <si>
    <t>Total Quantity Sold</t>
  </si>
  <si>
    <t>Row Labels</t>
  </si>
  <si>
    <t>Grand Total</t>
  </si>
  <si>
    <t>Sum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</si>
</sst>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:mm:ss"/>
    <numFmt numFmtId="165" formatCode="_-[$$-409]* #,##0.00_ ;_-[$$-409]* \-#,##0.00\ ;_-[$$-409]* &quot;-&quot;??_ ;_-@_ "/>
    <numFmt numFmtId="166" formatCode="_-[$£-809]* #,##0.00_-;\-[$£-809]* #,##0.00_-;_-[$£-809]* &quot;-&quot;??_-;_-@_-"/>
    <numFmt numFmtId="167" formatCode="_-[$£-809]* #,##0.000_-;\-[$£-809]* #,##0.000_-;_-[$£-809]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 tint="-9.9978637043366805E-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2" borderId="0" xfId="0" applyFont="1" applyFill="1"/>
    <xf numFmtId="0" fontId="0" fillId="0" borderId="0" xfId="0"/>
    <xf numFmtId="0" fontId="3" fillId="3" borderId="0" xfId="0" applyFont="1" applyFill="1"/>
    <xf numFmtId="0" fontId="4" fillId="0" borderId="0" xfId="0" applyFont="1"/>
    <xf numFmtId="0" fontId="5" fillId="2" borderId="0" xfId="0" applyFont="1" applyFill="1"/>
    <xf numFmtId="0" fontId="0" fillId="0" borderId="0" xfId="0" applyNumberFormat="1"/>
    <xf numFmtId="165" fontId="0" fillId="0" borderId="0" xfId="0" applyNumberFormat="1"/>
    <xf numFmtId="165" fontId="5" fillId="2" borderId="0" xfId="0" applyNumberFormat="1" applyFont="1" applyFill="1"/>
    <xf numFmtId="166" fontId="0" fillId="0" borderId="0" xfId="0" applyNumberFormat="1"/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5" borderId="0" xfId="0" applyFont="1" applyFill="1" applyBorder="1"/>
    <xf numFmtId="0" fontId="6" fillId="9" borderId="0" xfId="0" applyFont="1" applyFill="1" applyBorder="1"/>
    <xf numFmtId="0" fontId="0" fillId="6" borderId="0" xfId="0" applyFont="1" applyFill="1"/>
    <xf numFmtId="0" fontId="0" fillId="6" borderId="3" xfId="0" applyFont="1" applyFill="1" applyBorder="1" applyAlignment="1"/>
    <xf numFmtId="0" fontId="0" fillId="6" borderId="1" xfId="0" applyFont="1" applyFill="1" applyBorder="1" applyAlignment="1"/>
    <xf numFmtId="166" fontId="6" fillId="7" borderId="0" xfId="0" applyNumberFormat="1" applyFont="1" applyFill="1"/>
    <xf numFmtId="0" fontId="6" fillId="7" borderId="0" xfId="0" applyFont="1" applyFill="1"/>
    <xf numFmtId="1" fontId="0" fillId="8" borderId="0" xfId="0" applyNumberFormat="1" applyFill="1"/>
    <xf numFmtId="166" fontId="0" fillId="9" borderId="0" xfId="0" applyNumberFormat="1" applyFill="1"/>
    <xf numFmtId="0" fontId="0" fillId="10" borderId="2" xfId="0" applyFont="1" applyFill="1" applyBorder="1"/>
    <xf numFmtId="0" fontId="0" fillId="11" borderId="0" xfId="0" applyFill="1"/>
    <xf numFmtId="166" fontId="0" fillId="5" borderId="0" xfId="0" applyNumberFormat="1" applyFill="1"/>
    <xf numFmtId="0" fontId="0" fillId="12" borderId="0" xfId="0" applyFill="1" applyAlignment="1"/>
    <xf numFmtId="0" fontId="0" fillId="12" borderId="0" xfId="0" applyFill="1" applyAlignment="1">
      <alignment wrapText="1"/>
    </xf>
    <xf numFmtId="0" fontId="0" fillId="12" borderId="0" xfId="0" applyFill="1"/>
    <xf numFmtId="166" fontId="0" fillId="12" borderId="0" xfId="0" applyNumberFormat="1" applyFill="1"/>
    <xf numFmtId="0" fontId="6" fillId="9" borderId="3" xfId="0" applyFont="1" applyFill="1" applyBorder="1"/>
    <xf numFmtId="166" fontId="0" fillId="9" borderId="1" xfId="0" applyNumberFormat="1" applyFont="1" applyFill="1" applyBorder="1"/>
    <xf numFmtId="0" fontId="7" fillId="13" borderId="7" xfId="0" applyFont="1" applyFill="1" applyBorder="1"/>
    <xf numFmtId="166" fontId="0" fillId="14" borderId="1" xfId="0" applyNumberFormat="1" applyFont="1" applyFill="1" applyBorder="1"/>
    <xf numFmtId="167" fontId="0" fillId="0" borderId="0" xfId="0" applyNumberFormat="1"/>
    <xf numFmtId="0" fontId="0" fillId="0" borderId="3" xfId="0" applyFont="1" applyFill="1" applyBorder="1"/>
    <xf numFmtId="166" fontId="0" fillId="0" borderId="1" xfId="0" applyNumberFormat="1" applyFont="1" applyFill="1" applyBorder="1"/>
    <xf numFmtId="166" fontId="0" fillId="0" borderId="0" xfId="0" applyNumberFormat="1" applyFont="1" applyFill="1" applyBorder="1"/>
    <xf numFmtId="166" fontId="0" fillId="0" borderId="8" xfId="0" applyNumberFormat="1" applyFont="1" applyFill="1" applyBorder="1"/>
    <xf numFmtId="0" fontId="0" fillId="15" borderId="2" xfId="0" applyFont="1" applyFill="1" applyBorder="1"/>
    <xf numFmtId="0" fontId="0" fillId="16" borderId="0" xfId="0" applyFill="1"/>
    <xf numFmtId="0" fontId="0" fillId="15" borderId="4" xfId="0" applyFont="1" applyFill="1" applyBorder="1"/>
    <xf numFmtId="0" fontId="0" fillId="17" borderId="0" xfId="0" applyFill="1"/>
    <xf numFmtId="0" fontId="0" fillId="18" borderId="0" xfId="0" applyFill="1"/>
    <xf numFmtId="0" fontId="0" fillId="18" borderId="1" xfId="0" applyFont="1" applyFill="1" applyBorder="1"/>
    <xf numFmtId="0" fontId="0" fillId="19" borderId="0" xfId="0" applyFill="1"/>
    <xf numFmtId="166" fontId="0" fillId="19" borderId="0" xfId="0" applyNumberFormat="1" applyFill="1"/>
    <xf numFmtId="0" fontId="0" fillId="20" borderId="0" xfId="0" applyFill="1"/>
    <xf numFmtId="0" fontId="0" fillId="17" borderId="3" xfId="0" applyFont="1" applyFill="1" applyBorder="1"/>
    <xf numFmtId="166" fontId="0" fillId="17" borderId="1" xfId="0" applyNumberFormat="1" applyFont="1" applyFill="1" applyBorder="1"/>
    <xf numFmtId="0" fontId="0" fillId="21" borderId="0" xfId="0" applyFill="1"/>
    <xf numFmtId="166" fontId="0" fillId="21" borderId="0" xfId="0" applyNumberFormat="1" applyFill="1"/>
    <xf numFmtId="0" fontId="0" fillId="21" borderId="2" xfId="0" applyFont="1" applyFill="1" applyBorder="1"/>
    <xf numFmtId="0" fontId="0" fillId="21" borderId="3" xfId="0" applyFont="1" applyFill="1" applyBorder="1"/>
    <xf numFmtId="166" fontId="0" fillId="21" borderId="1" xfId="0" applyNumberFormat="1" applyFont="1" applyFill="1" applyBorder="1"/>
    <xf numFmtId="0" fontId="0" fillId="18" borderId="3" xfId="0" applyFont="1" applyFill="1" applyBorder="1"/>
    <xf numFmtId="0" fontId="6" fillId="22" borderId="0" xfId="0" applyFont="1" applyFill="1" applyBorder="1"/>
    <xf numFmtId="0" fontId="0" fillId="22" borderId="0" xfId="0" applyFill="1"/>
    <xf numFmtId="0" fontId="0" fillId="21" borderId="5" xfId="0" applyFont="1" applyFill="1" applyBorder="1"/>
    <xf numFmtId="166" fontId="0" fillId="21" borderId="6" xfId="0" applyNumberFormat="1" applyFont="1" applyFill="1" applyBorder="1"/>
    <xf numFmtId="0" fontId="6" fillId="21" borderId="9" xfId="0" applyFont="1" applyFill="1" applyBorder="1"/>
    <xf numFmtId="166" fontId="6" fillId="21" borderId="10" xfId="0" applyNumberFormat="1" applyFont="1" applyFill="1" applyBorder="1"/>
    <xf numFmtId="0" fontId="6" fillId="17" borderId="9" xfId="0" applyFont="1" applyFill="1" applyBorder="1"/>
    <xf numFmtId="166" fontId="6" fillId="17" borderId="10" xfId="0" applyNumberFormat="1" applyFont="1" applyFill="1" applyBorder="1"/>
    <xf numFmtId="0" fontId="0" fillId="17" borderId="5" xfId="0" applyFont="1" applyFill="1" applyBorder="1"/>
    <xf numFmtId="166" fontId="0" fillId="17" borderId="6" xfId="0" applyNumberFormat="1" applyFont="1" applyFill="1" applyBorder="1"/>
    <xf numFmtId="0" fontId="6" fillId="23" borderId="9" xfId="0" applyFont="1" applyFill="1" applyBorder="1"/>
    <xf numFmtId="166" fontId="6" fillId="23" borderId="10" xfId="0" applyNumberFormat="1" applyFont="1" applyFill="1" applyBorder="1"/>
    <xf numFmtId="0" fontId="0" fillId="23" borderId="3" xfId="0" applyFont="1" applyFill="1" applyBorder="1"/>
    <xf numFmtId="166" fontId="0" fillId="23" borderId="1" xfId="0" applyNumberFormat="1" applyFont="1" applyFill="1" applyBorder="1"/>
    <xf numFmtId="0" fontId="0" fillId="23" borderId="5" xfId="0" applyFont="1" applyFill="1" applyBorder="1"/>
    <xf numFmtId="166" fontId="0" fillId="23" borderId="6" xfId="0" applyNumberFormat="1" applyFont="1" applyFill="1" applyBorder="1"/>
    <xf numFmtId="0" fontId="6" fillId="18" borderId="9" xfId="0" applyFont="1" applyFill="1" applyBorder="1"/>
    <xf numFmtId="0" fontId="0" fillId="18" borderId="5" xfId="0" applyFont="1" applyFill="1" applyBorder="1"/>
    <xf numFmtId="0" fontId="0" fillId="24" borderId="3" xfId="0" applyFont="1" applyFill="1" applyBorder="1" applyAlignment="1"/>
    <xf numFmtId="0" fontId="0" fillId="24" borderId="1" xfId="0" applyFont="1" applyFill="1" applyBorder="1" applyAlignment="1"/>
    <xf numFmtId="0" fontId="0" fillId="24" borderId="5" xfId="0" applyFont="1" applyFill="1" applyBorder="1" applyAlignment="1"/>
    <xf numFmtId="0" fontId="0" fillId="24" borderId="6" xfId="0" applyFont="1" applyFill="1" applyBorder="1" applyAlignment="1"/>
    <xf numFmtId="0" fontId="6" fillId="24" borderId="9" xfId="0" applyFont="1" applyFill="1" applyBorder="1" applyAlignment="1"/>
    <xf numFmtId="0" fontId="6" fillId="24" borderId="10" xfId="0" applyFont="1" applyFill="1" applyBorder="1" applyAlignment="1"/>
    <xf numFmtId="0" fontId="0" fillId="18" borderId="6" xfId="0" applyFont="1" applyFill="1" applyBorder="1"/>
    <xf numFmtId="0" fontId="6" fillId="18" borderId="10" xfId="0" applyFont="1" applyFill="1" applyBorder="1"/>
    <xf numFmtId="0" fontId="6" fillId="9" borderId="11" xfId="0" applyFont="1" applyFill="1" applyBorder="1"/>
    <xf numFmtId="0" fontId="8" fillId="18" borderId="5" xfId="0" applyFont="1" applyFill="1" applyBorder="1"/>
    <xf numFmtId="0" fontId="8" fillId="18" borderId="6" xfId="0" applyFont="1" applyFill="1" applyBorder="1"/>
    <xf numFmtId="166" fontId="0" fillId="23" borderId="0" xfId="0" applyNumberFormat="1" applyFill="1"/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63"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strike val="0"/>
        <outline val="0"/>
        <shadow val="0"/>
        <vertAlign val="baseline"/>
        <sz val="11"/>
        <color theme="5" tint="0.39997558519241921"/>
        <name val="Calibri"/>
        <scheme val="minor"/>
      </font>
      <fill>
        <patternFill patternType="solid">
          <fgColor indexed="64"/>
          <bgColor theme="2" tint="-0.7499923703726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 tint="0.49998474074526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 tint="0.49998474074526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 tint="0.499984740745262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£-809]* #,##0.00_-;\-[$£-809]* #,##0.00_-;_-[$£-809]* &quot;-&quot;??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 tint="0.39997558519241921"/>
        </patternFill>
      </fill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£-809]* #,##0.00_-;\-[$£-809]* #,##0.00_-;_-[$£-809]* &quot;-&quot;??_-;_-@_-"/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2" tint="-0.249977111117893"/>
        </patternFill>
      </fill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£-809]* #,##0.00_-;\-[$£-809]* #,##0.00_-;_-[$£-809]* &quot;-&quot;??_-;_-@_-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3999755851924192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[$$-409]* #,##0.00_ ;_-[$$-409]* \-#,##0.00\ ;_-[$$-409]* &quot;-&quot;??_ ;_-@_ "/>
    </dxf>
    <dxf>
      <numFmt numFmtId="166" formatCode="_-[$£-809]* #,##0.00_-;\-[$£-809]* #,##0.00_-;_-[$£-809]* &quot;-&quot;??_-;_-@_-"/>
    </dxf>
    <dxf>
      <numFmt numFmtId="0" formatCode="General"/>
    </dxf>
    <dxf>
      <numFmt numFmtId="0" formatCode="General"/>
    </dxf>
    <dxf>
      <numFmt numFmtId="164" formatCode="yyyy\-mm\-dd\ h:mm:ss"/>
    </dxf>
    <dxf>
      <numFmt numFmtId="19" formatCode="dd/mm/yyyy"/>
    </dxf>
    <dxf>
      <numFmt numFmtId="19" formatCode="dd/mm/yyyy"/>
    </dxf>
    <dxf>
      <font>
        <strike val="0"/>
        <outline val="0"/>
        <shadow val="0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[UK_Coffee_Retail_Dataset_Portfolio_Project (Autosaved)(2) (1).xlsm]Sheet2!PivotTable1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Sheet2!$A$2:$A$4989</c:f>
              <c:strCache>
                <c:ptCount val="4987"/>
                <c:pt idx="0">
                  <c:v>ORD100000</c:v>
                </c:pt>
                <c:pt idx="1">
                  <c:v>ORD100001</c:v>
                </c:pt>
                <c:pt idx="2">
                  <c:v>ORD100002</c:v>
                </c:pt>
                <c:pt idx="3">
                  <c:v>ORD100003</c:v>
                </c:pt>
                <c:pt idx="4">
                  <c:v>ORD100004</c:v>
                </c:pt>
                <c:pt idx="5">
                  <c:v>ORD100005</c:v>
                </c:pt>
                <c:pt idx="6">
                  <c:v>ORD100006</c:v>
                </c:pt>
                <c:pt idx="7">
                  <c:v>ORD100007</c:v>
                </c:pt>
                <c:pt idx="8">
                  <c:v>ORD100008</c:v>
                </c:pt>
                <c:pt idx="9">
                  <c:v>ORD100009</c:v>
                </c:pt>
                <c:pt idx="10">
                  <c:v>ORD100010</c:v>
                </c:pt>
                <c:pt idx="11">
                  <c:v>ORD100011</c:v>
                </c:pt>
                <c:pt idx="12">
                  <c:v>ORD100012</c:v>
                </c:pt>
                <c:pt idx="13">
                  <c:v>ORD100013</c:v>
                </c:pt>
                <c:pt idx="14">
                  <c:v>ORD100014</c:v>
                </c:pt>
                <c:pt idx="15">
                  <c:v>ORD100015</c:v>
                </c:pt>
                <c:pt idx="16">
                  <c:v>ORD100016</c:v>
                </c:pt>
                <c:pt idx="17">
                  <c:v>ORD100017</c:v>
                </c:pt>
                <c:pt idx="18">
                  <c:v>ORD100018</c:v>
                </c:pt>
                <c:pt idx="19">
                  <c:v>ORD100019</c:v>
                </c:pt>
                <c:pt idx="20">
                  <c:v>ORD100020</c:v>
                </c:pt>
                <c:pt idx="21">
                  <c:v>ORD100021</c:v>
                </c:pt>
                <c:pt idx="22">
                  <c:v>ORD100022</c:v>
                </c:pt>
                <c:pt idx="23">
                  <c:v>ORD100023</c:v>
                </c:pt>
                <c:pt idx="24">
                  <c:v>ORD100024</c:v>
                </c:pt>
                <c:pt idx="25">
                  <c:v>ORD100025</c:v>
                </c:pt>
                <c:pt idx="26">
                  <c:v>ORD100026</c:v>
                </c:pt>
                <c:pt idx="27">
                  <c:v>ORD100027</c:v>
                </c:pt>
                <c:pt idx="28">
                  <c:v>ORD100028</c:v>
                </c:pt>
                <c:pt idx="29">
                  <c:v>ORD100029</c:v>
                </c:pt>
                <c:pt idx="30">
                  <c:v>ORD100030</c:v>
                </c:pt>
                <c:pt idx="31">
                  <c:v>ORD100031</c:v>
                </c:pt>
                <c:pt idx="32">
                  <c:v>ORD100032</c:v>
                </c:pt>
                <c:pt idx="33">
                  <c:v>ORD100033</c:v>
                </c:pt>
                <c:pt idx="34">
                  <c:v>ORD100034</c:v>
                </c:pt>
                <c:pt idx="35">
                  <c:v>ORD100035</c:v>
                </c:pt>
                <c:pt idx="36">
                  <c:v>ORD100036</c:v>
                </c:pt>
                <c:pt idx="37">
                  <c:v>ORD100037</c:v>
                </c:pt>
                <c:pt idx="38">
                  <c:v>ORD100038</c:v>
                </c:pt>
                <c:pt idx="39">
                  <c:v>ORD100039</c:v>
                </c:pt>
                <c:pt idx="40">
                  <c:v>ORD100040</c:v>
                </c:pt>
                <c:pt idx="41">
                  <c:v>ORD100041</c:v>
                </c:pt>
                <c:pt idx="42">
                  <c:v>ORD100042</c:v>
                </c:pt>
                <c:pt idx="43">
                  <c:v>ORD100043</c:v>
                </c:pt>
                <c:pt idx="44">
                  <c:v>ORD100044</c:v>
                </c:pt>
                <c:pt idx="45">
                  <c:v>ORD100045</c:v>
                </c:pt>
                <c:pt idx="46">
                  <c:v>ORD100046</c:v>
                </c:pt>
                <c:pt idx="47">
                  <c:v>ORD100047</c:v>
                </c:pt>
                <c:pt idx="48">
                  <c:v>ORD100048</c:v>
                </c:pt>
                <c:pt idx="49">
                  <c:v>ORD100049</c:v>
                </c:pt>
                <c:pt idx="50">
                  <c:v>ORD100050</c:v>
                </c:pt>
                <c:pt idx="51">
                  <c:v>ORD100051</c:v>
                </c:pt>
                <c:pt idx="52">
                  <c:v>ORD100052</c:v>
                </c:pt>
                <c:pt idx="53">
                  <c:v>ORD100053</c:v>
                </c:pt>
                <c:pt idx="54">
                  <c:v>ORD100054</c:v>
                </c:pt>
                <c:pt idx="55">
                  <c:v>ORD100055</c:v>
                </c:pt>
                <c:pt idx="56">
                  <c:v>ORD100056</c:v>
                </c:pt>
                <c:pt idx="57">
                  <c:v>ORD100057</c:v>
                </c:pt>
                <c:pt idx="58">
                  <c:v>ORD100058</c:v>
                </c:pt>
                <c:pt idx="59">
                  <c:v>ORD100059</c:v>
                </c:pt>
                <c:pt idx="60">
                  <c:v>ORD100060</c:v>
                </c:pt>
                <c:pt idx="61">
                  <c:v>ORD100061</c:v>
                </c:pt>
                <c:pt idx="62">
                  <c:v>ORD100062</c:v>
                </c:pt>
                <c:pt idx="63">
                  <c:v>ORD100063</c:v>
                </c:pt>
                <c:pt idx="64">
                  <c:v>ORD100064</c:v>
                </c:pt>
                <c:pt idx="65">
                  <c:v>ORD100065</c:v>
                </c:pt>
                <c:pt idx="66">
                  <c:v>ORD100066</c:v>
                </c:pt>
                <c:pt idx="67">
                  <c:v>ORD100067</c:v>
                </c:pt>
                <c:pt idx="68">
                  <c:v>ORD100068</c:v>
                </c:pt>
                <c:pt idx="69">
                  <c:v>ORD100069</c:v>
                </c:pt>
                <c:pt idx="70">
                  <c:v>ORD100070</c:v>
                </c:pt>
                <c:pt idx="71">
                  <c:v>ORD100071</c:v>
                </c:pt>
                <c:pt idx="72">
                  <c:v>ORD100072</c:v>
                </c:pt>
                <c:pt idx="73">
                  <c:v>ORD100073</c:v>
                </c:pt>
                <c:pt idx="74">
                  <c:v>ORD100074</c:v>
                </c:pt>
                <c:pt idx="75">
                  <c:v>ORD100075</c:v>
                </c:pt>
                <c:pt idx="76">
                  <c:v>ORD100076</c:v>
                </c:pt>
                <c:pt idx="77">
                  <c:v>ORD100077</c:v>
                </c:pt>
                <c:pt idx="78">
                  <c:v>ORD100078</c:v>
                </c:pt>
                <c:pt idx="79">
                  <c:v>ORD100079</c:v>
                </c:pt>
                <c:pt idx="80">
                  <c:v>ORD100080</c:v>
                </c:pt>
                <c:pt idx="81">
                  <c:v>ORD100081</c:v>
                </c:pt>
                <c:pt idx="82">
                  <c:v>ORD100082</c:v>
                </c:pt>
                <c:pt idx="83">
                  <c:v>ORD100083</c:v>
                </c:pt>
                <c:pt idx="84">
                  <c:v>ORD100084</c:v>
                </c:pt>
                <c:pt idx="85">
                  <c:v>ORD100085</c:v>
                </c:pt>
                <c:pt idx="86">
                  <c:v>ORD100086</c:v>
                </c:pt>
                <c:pt idx="87">
                  <c:v>ORD100087</c:v>
                </c:pt>
                <c:pt idx="88">
                  <c:v>ORD100088</c:v>
                </c:pt>
                <c:pt idx="89">
                  <c:v>ORD100089</c:v>
                </c:pt>
                <c:pt idx="90">
                  <c:v>ORD100090</c:v>
                </c:pt>
                <c:pt idx="91">
                  <c:v>ORD100091</c:v>
                </c:pt>
                <c:pt idx="92">
                  <c:v>ORD100092</c:v>
                </c:pt>
                <c:pt idx="93">
                  <c:v>ORD100093</c:v>
                </c:pt>
                <c:pt idx="94">
                  <c:v>ORD100094</c:v>
                </c:pt>
                <c:pt idx="95">
                  <c:v>ORD100095</c:v>
                </c:pt>
                <c:pt idx="96">
                  <c:v>ORD100096</c:v>
                </c:pt>
                <c:pt idx="97">
                  <c:v>ORD100097</c:v>
                </c:pt>
                <c:pt idx="98">
                  <c:v>ORD100098</c:v>
                </c:pt>
                <c:pt idx="99">
                  <c:v>ORD100099</c:v>
                </c:pt>
                <c:pt idx="100">
                  <c:v>ORD100100</c:v>
                </c:pt>
                <c:pt idx="101">
                  <c:v>ORD100101</c:v>
                </c:pt>
                <c:pt idx="102">
                  <c:v>ORD100102</c:v>
                </c:pt>
                <c:pt idx="103">
                  <c:v>ORD100103</c:v>
                </c:pt>
                <c:pt idx="104">
                  <c:v>ORD100104</c:v>
                </c:pt>
                <c:pt idx="105">
                  <c:v>ORD100105</c:v>
                </c:pt>
                <c:pt idx="106">
                  <c:v>ORD100106</c:v>
                </c:pt>
                <c:pt idx="107">
                  <c:v>ORD100107</c:v>
                </c:pt>
                <c:pt idx="108">
                  <c:v>ORD100108</c:v>
                </c:pt>
                <c:pt idx="109">
                  <c:v>ORD100109</c:v>
                </c:pt>
                <c:pt idx="110">
                  <c:v>ORD100110</c:v>
                </c:pt>
                <c:pt idx="111">
                  <c:v>ORD100111</c:v>
                </c:pt>
                <c:pt idx="112">
                  <c:v>ORD100112</c:v>
                </c:pt>
                <c:pt idx="113">
                  <c:v>ORD100113</c:v>
                </c:pt>
                <c:pt idx="114">
                  <c:v>ORD100114</c:v>
                </c:pt>
                <c:pt idx="115">
                  <c:v>ORD100115</c:v>
                </c:pt>
                <c:pt idx="116">
                  <c:v>ORD100116</c:v>
                </c:pt>
                <c:pt idx="117">
                  <c:v>ORD100117</c:v>
                </c:pt>
                <c:pt idx="118">
                  <c:v>ORD100118</c:v>
                </c:pt>
                <c:pt idx="119">
                  <c:v>ORD100119</c:v>
                </c:pt>
                <c:pt idx="120">
                  <c:v>ORD100121</c:v>
                </c:pt>
                <c:pt idx="121">
                  <c:v>ORD100122</c:v>
                </c:pt>
                <c:pt idx="122">
                  <c:v>ORD100123</c:v>
                </c:pt>
                <c:pt idx="123">
                  <c:v>ORD100124</c:v>
                </c:pt>
                <c:pt idx="124">
                  <c:v>ORD100125</c:v>
                </c:pt>
                <c:pt idx="125">
                  <c:v>ORD100126</c:v>
                </c:pt>
                <c:pt idx="126">
                  <c:v>ORD100127</c:v>
                </c:pt>
                <c:pt idx="127">
                  <c:v>ORD100128</c:v>
                </c:pt>
                <c:pt idx="128">
                  <c:v>ORD100129</c:v>
                </c:pt>
                <c:pt idx="129">
                  <c:v>ORD100130</c:v>
                </c:pt>
                <c:pt idx="130">
                  <c:v>ORD100131</c:v>
                </c:pt>
                <c:pt idx="131">
                  <c:v>ORD100132</c:v>
                </c:pt>
                <c:pt idx="132">
                  <c:v>ORD100133</c:v>
                </c:pt>
                <c:pt idx="133">
                  <c:v>ORD100134</c:v>
                </c:pt>
                <c:pt idx="134">
                  <c:v>ORD100135</c:v>
                </c:pt>
                <c:pt idx="135">
                  <c:v>ORD100136</c:v>
                </c:pt>
                <c:pt idx="136">
                  <c:v>ORD100137</c:v>
                </c:pt>
                <c:pt idx="137">
                  <c:v>ORD100138</c:v>
                </c:pt>
                <c:pt idx="138">
                  <c:v>ORD100139</c:v>
                </c:pt>
                <c:pt idx="139">
                  <c:v>ORD100140</c:v>
                </c:pt>
                <c:pt idx="140">
                  <c:v>ORD100141</c:v>
                </c:pt>
                <c:pt idx="141">
                  <c:v>ORD100142</c:v>
                </c:pt>
                <c:pt idx="142">
                  <c:v>ORD100143</c:v>
                </c:pt>
                <c:pt idx="143">
                  <c:v>ORD100144</c:v>
                </c:pt>
                <c:pt idx="144">
                  <c:v>ORD100145</c:v>
                </c:pt>
                <c:pt idx="145">
                  <c:v>ORD100146</c:v>
                </c:pt>
                <c:pt idx="146">
                  <c:v>ORD100147</c:v>
                </c:pt>
                <c:pt idx="147">
                  <c:v>ORD100148</c:v>
                </c:pt>
                <c:pt idx="148">
                  <c:v>ORD100149</c:v>
                </c:pt>
                <c:pt idx="149">
                  <c:v>ORD100150</c:v>
                </c:pt>
                <c:pt idx="150">
                  <c:v>ORD100151</c:v>
                </c:pt>
                <c:pt idx="151">
                  <c:v>ORD100152</c:v>
                </c:pt>
                <c:pt idx="152">
                  <c:v>ORD100153</c:v>
                </c:pt>
                <c:pt idx="153">
                  <c:v>ORD100154</c:v>
                </c:pt>
                <c:pt idx="154">
                  <c:v>ORD100155</c:v>
                </c:pt>
                <c:pt idx="155">
                  <c:v>ORD100156</c:v>
                </c:pt>
                <c:pt idx="156">
                  <c:v>ORD100157</c:v>
                </c:pt>
                <c:pt idx="157">
                  <c:v>ORD100158</c:v>
                </c:pt>
                <c:pt idx="158">
                  <c:v>ORD100159</c:v>
                </c:pt>
                <c:pt idx="159">
                  <c:v>ORD100160</c:v>
                </c:pt>
                <c:pt idx="160">
                  <c:v>ORD100161</c:v>
                </c:pt>
                <c:pt idx="161">
                  <c:v>ORD100162</c:v>
                </c:pt>
                <c:pt idx="162">
                  <c:v>ORD100163</c:v>
                </c:pt>
                <c:pt idx="163">
                  <c:v>ORD100164</c:v>
                </c:pt>
                <c:pt idx="164">
                  <c:v>ORD100165</c:v>
                </c:pt>
                <c:pt idx="165">
                  <c:v>ORD100166</c:v>
                </c:pt>
                <c:pt idx="166">
                  <c:v>ORD100167</c:v>
                </c:pt>
                <c:pt idx="167">
                  <c:v>ORD100168</c:v>
                </c:pt>
                <c:pt idx="168">
                  <c:v>ORD100169</c:v>
                </c:pt>
                <c:pt idx="169">
                  <c:v>ORD100170</c:v>
                </c:pt>
                <c:pt idx="170">
                  <c:v>ORD100171</c:v>
                </c:pt>
                <c:pt idx="171">
                  <c:v>ORD100172</c:v>
                </c:pt>
                <c:pt idx="172">
                  <c:v>ORD100173</c:v>
                </c:pt>
                <c:pt idx="173">
                  <c:v>ORD100174</c:v>
                </c:pt>
                <c:pt idx="174">
                  <c:v>ORD100175</c:v>
                </c:pt>
                <c:pt idx="175">
                  <c:v>ORD100176</c:v>
                </c:pt>
                <c:pt idx="176">
                  <c:v>ORD100177</c:v>
                </c:pt>
                <c:pt idx="177">
                  <c:v>ORD100178</c:v>
                </c:pt>
                <c:pt idx="178">
                  <c:v>ORD100179</c:v>
                </c:pt>
                <c:pt idx="179">
                  <c:v>ORD100180</c:v>
                </c:pt>
                <c:pt idx="180">
                  <c:v>ORD100181</c:v>
                </c:pt>
                <c:pt idx="181">
                  <c:v>ORD100182</c:v>
                </c:pt>
                <c:pt idx="182">
                  <c:v>ORD100183</c:v>
                </c:pt>
                <c:pt idx="183">
                  <c:v>ORD100184</c:v>
                </c:pt>
                <c:pt idx="184">
                  <c:v>ORD100185</c:v>
                </c:pt>
                <c:pt idx="185">
                  <c:v>ORD100186</c:v>
                </c:pt>
                <c:pt idx="186">
                  <c:v>ORD100187</c:v>
                </c:pt>
                <c:pt idx="187">
                  <c:v>ORD100188</c:v>
                </c:pt>
                <c:pt idx="188">
                  <c:v>ORD100189</c:v>
                </c:pt>
                <c:pt idx="189">
                  <c:v>ORD100190</c:v>
                </c:pt>
                <c:pt idx="190">
                  <c:v>ORD100191</c:v>
                </c:pt>
                <c:pt idx="191">
                  <c:v>ORD100192</c:v>
                </c:pt>
                <c:pt idx="192">
                  <c:v>ORD100193</c:v>
                </c:pt>
                <c:pt idx="193">
                  <c:v>ORD100194</c:v>
                </c:pt>
                <c:pt idx="194">
                  <c:v>ORD100195</c:v>
                </c:pt>
                <c:pt idx="195">
                  <c:v>ORD100196</c:v>
                </c:pt>
                <c:pt idx="196">
                  <c:v>ORD100197</c:v>
                </c:pt>
                <c:pt idx="197">
                  <c:v>ORD100198</c:v>
                </c:pt>
                <c:pt idx="198">
                  <c:v>ORD100199</c:v>
                </c:pt>
                <c:pt idx="199">
                  <c:v>ORD100200</c:v>
                </c:pt>
                <c:pt idx="200">
                  <c:v>ORD100201</c:v>
                </c:pt>
                <c:pt idx="201">
                  <c:v>ORD100202</c:v>
                </c:pt>
                <c:pt idx="202">
                  <c:v>ORD100203</c:v>
                </c:pt>
                <c:pt idx="203">
                  <c:v>ORD100204</c:v>
                </c:pt>
                <c:pt idx="204">
                  <c:v>ORD100205</c:v>
                </c:pt>
                <c:pt idx="205">
                  <c:v>ORD100206</c:v>
                </c:pt>
                <c:pt idx="206">
                  <c:v>ORD100207</c:v>
                </c:pt>
                <c:pt idx="207">
                  <c:v>ORD100208</c:v>
                </c:pt>
                <c:pt idx="208">
                  <c:v>ORD100209</c:v>
                </c:pt>
                <c:pt idx="209">
                  <c:v>ORD100210</c:v>
                </c:pt>
                <c:pt idx="210">
                  <c:v>ORD100211</c:v>
                </c:pt>
                <c:pt idx="211">
                  <c:v>ORD100212</c:v>
                </c:pt>
                <c:pt idx="212">
                  <c:v>ORD100213</c:v>
                </c:pt>
                <c:pt idx="213">
                  <c:v>ORD100214</c:v>
                </c:pt>
                <c:pt idx="214">
                  <c:v>ORD100215</c:v>
                </c:pt>
                <c:pt idx="215">
                  <c:v>ORD100216</c:v>
                </c:pt>
                <c:pt idx="216">
                  <c:v>ORD100217</c:v>
                </c:pt>
                <c:pt idx="217">
                  <c:v>ORD100218</c:v>
                </c:pt>
                <c:pt idx="218">
                  <c:v>ORD100219</c:v>
                </c:pt>
                <c:pt idx="219">
                  <c:v>ORD100220</c:v>
                </c:pt>
                <c:pt idx="220">
                  <c:v>ORD100221</c:v>
                </c:pt>
                <c:pt idx="221">
                  <c:v>ORD100222</c:v>
                </c:pt>
                <c:pt idx="222">
                  <c:v>ORD100223</c:v>
                </c:pt>
                <c:pt idx="223">
                  <c:v>ORD100224</c:v>
                </c:pt>
                <c:pt idx="224">
                  <c:v>ORD100225</c:v>
                </c:pt>
                <c:pt idx="225">
                  <c:v>ORD100226</c:v>
                </c:pt>
                <c:pt idx="226">
                  <c:v>ORD100227</c:v>
                </c:pt>
                <c:pt idx="227">
                  <c:v>ORD100228</c:v>
                </c:pt>
                <c:pt idx="228">
                  <c:v>ORD100229</c:v>
                </c:pt>
                <c:pt idx="229">
                  <c:v>ORD100230</c:v>
                </c:pt>
                <c:pt idx="230">
                  <c:v>ORD100231</c:v>
                </c:pt>
                <c:pt idx="231">
                  <c:v>ORD100232</c:v>
                </c:pt>
                <c:pt idx="232">
                  <c:v>ORD100233</c:v>
                </c:pt>
                <c:pt idx="233">
                  <c:v>ORD100234</c:v>
                </c:pt>
                <c:pt idx="234">
                  <c:v>ORD100235</c:v>
                </c:pt>
                <c:pt idx="235">
                  <c:v>ORD100236</c:v>
                </c:pt>
                <c:pt idx="236">
                  <c:v>ORD100237</c:v>
                </c:pt>
                <c:pt idx="237">
                  <c:v>ORD100238</c:v>
                </c:pt>
                <c:pt idx="238">
                  <c:v>ORD100239</c:v>
                </c:pt>
                <c:pt idx="239">
                  <c:v>ORD100240</c:v>
                </c:pt>
                <c:pt idx="240">
                  <c:v>ORD100241</c:v>
                </c:pt>
                <c:pt idx="241">
                  <c:v>ORD100242</c:v>
                </c:pt>
                <c:pt idx="242">
                  <c:v>ORD100243</c:v>
                </c:pt>
                <c:pt idx="243">
                  <c:v>ORD100244</c:v>
                </c:pt>
                <c:pt idx="244">
                  <c:v>ORD100245</c:v>
                </c:pt>
                <c:pt idx="245">
                  <c:v>ORD100246</c:v>
                </c:pt>
                <c:pt idx="246">
                  <c:v>ORD100247</c:v>
                </c:pt>
                <c:pt idx="247">
                  <c:v>ORD100248</c:v>
                </c:pt>
                <c:pt idx="248">
                  <c:v>ORD100249</c:v>
                </c:pt>
                <c:pt idx="249">
                  <c:v>ORD100250</c:v>
                </c:pt>
                <c:pt idx="250">
                  <c:v>ORD100251</c:v>
                </c:pt>
                <c:pt idx="251">
                  <c:v>ORD100252</c:v>
                </c:pt>
                <c:pt idx="252">
                  <c:v>ORD100253</c:v>
                </c:pt>
                <c:pt idx="253">
                  <c:v>ORD100254</c:v>
                </c:pt>
                <c:pt idx="254">
                  <c:v>ORD100255</c:v>
                </c:pt>
                <c:pt idx="255">
                  <c:v>ORD100256</c:v>
                </c:pt>
                <c:pt idx="256">
                  <c:v>ORD100257</c:v>
                </c:pt>
                <c:pt idx="257">
                  <c:v>ORD100258</c:v>
                </c:pt>
                <c:pt idx="258">
                  <c:v>ORD100259</c:v>
                </c:pt>
                <c:pt idx="259">
                  <c:v>ORD100260</c:v>
                </c:pt>
                <c:pt idx="260">
                  <c:v>ORD100261</c:v>
                </c:pt>
                <c:pt idx="261">
                  <c:v>ORD100262</c:v>
                </c:pt>
                <c:pt idx="262">
                  <c:v>ORD100263</c:v>
                </c:pt>
                <c:pt idx="263">
                  <c:v>ORD100264</c:v>
                </c:pt>
                <c:pt idx="264">
                  <c:v>ORD100265</c:v>
                </c:pt>
                <c:pt idx="265">
                  <c:v>ORD100266</c:v>
                </c:pt>
                <c:pt idx="266">
                  <c:v>ORD100267</c:v>
                </c:pt>
                <c:pt idx="267">
                  <c:v>ORD100268</c:v>
                </c:pt>
                <c:pt idx="268">
                  <c:v>ORD100269</c:v>
                </c:pt>
                <c:pt idx="269">
                  <c:v>ORD100270</c:v>
                </c:pt>
                <c:pt idx="270">
                  <c:v>ORD100271</c:v>
                </c:pt>
                <c:pt idx="271">
                  <c:v>ORD100272</c:v>
                </c:pt>
                <c:pt idx="272">
                  <c:v>ORD100273</c:v>
                </c:pt>
                <c:pt idx="273">
                  <c:v>ORD100274</c:v>
                </c:pt>
                <c:pt idx="274">
                  <c:v>ORD100275</c:v>
                </c:pt>
                <c:pt idx="275">
                  <c:v>ORD100276</c:v>
                </c:pt>
                <c:pt idx="276">
                  <c:v>ORD100277</c:v>
                </c:pt>
                <c:pt idx="277">
                  <c:v>ORD100278</c:v>
                </c:pt>
                <c:pt idx="278">
                  <c:v>ORD100279</c:v>
                </c:pt>
                <c:pt idx="279">
                  <c:v>ORD100280</c:v>
                </c:pt>
                <c:pt idx="280">
                  <c:v>ORD100281</c:v>
                </c:pt>
                <c:pt idx="281">
                  <c:v>ORD100282</c:v>
                </c:pt>
                <c:pt idx="282">
                  <c:v>ORD100283</c:v>
                </c:pt>
                <c:pt idx="283">
                  <c:v>ORD100284</c:v>
                </c:pt>
                <c:pt idx="284">
                  <c:v>ORD100285</c:v>
                </c:pt>
                <c:pt idx="285">
                  <c:v>ORD100286</c:v>
                </c:pt>
                <c:pt idx="286">
                  <c:v>ORD100287</c:v>
                </c:pt>
                <c:pt idx="287">
                  <c:v>ORD100288</c:v>
                </c:pt>
                <c:pt idx="288">
                  <c:v>ORD100289</c:v>
                </c:pt>
                <c:pt idx="289">
                  <c:v>ORD100290</c:v>
                </c:pt>
                <c:pt idx="290">
                  <c:v>ORD100291</c:v>
                </c:pt>
                <c:pt idx="291">
                  <c:v>ORD100292</c:v>
                </c:pt>
                <c:pt idx="292">
                  <c:v>ORD100293</c:v>
                </c:pt>
                <c:pt idx="293">
                  <c:v>ORD100294</c:v>
                </c:pt>
                <c:pt idx="294">
                  <c:v>ORD100295</c:v>
                </c:pt>
                <c:pt idx="295">
                  <c:v>ORD100296</c:v>
                </c:pt>
                <c:pt idx="296">
                  <c:v>ORD100297</c:v>
                </c:pt>
                <c:pt idx="297">
                  <c:v>ORD100298</c:v>
                </c:pt>
                <c:pt idx="298">
                  <c:v>ORD100299</c:v>
                </c:pt>
                <c:pt idx="299">
                  <c:v>ORD100300</c:v>
                </c:pt>
                <c:pt idx="300">
                  <c:v>ORD100301</c:v>
                </c:pt>
                <c:pt idx="301">
                  <c:v>ORD100302</c:v>
                </c:pt>
                <c:pt idx="302">
                  <c:v>ORD100303</c:v>
                </c:pt>
                <c:pt idx="303">
                  <c:v>ORD100304</c:v>
                </c:pt>
                <c:pt idx="304">
                  <c:v>ORD100305</c:v>
                </c:pt>
                <c:pt idx="305">
                  <c:v>ORD100306</c:v>
                </c:pt>
                <c:pt idx="306">
                  <c:v>ORD100307</c:v>
                </c:pt>
                <c:pt idx="307">
                  <c:v>ORD100308</c:v>
                </c:pt>
                <c:pt idx="308">
                  <c:v>ORD100309</c:v>
                </c:pt>
                <c:pt idx="309">
                  <c:v>ORD100310</c:v>
                </c:pt>
                <c:pt idx="310">
                  <c:v>ORD100311</c:v>
                </c:pt>
                <c:pt idx="311">
                  <c:v>ORD100312</c:v>
                </c:pt>
                <c:pt idx="312">
                  <c:v>ORD100313</c:v>
                </c:pt>
                <c:pt idx="313">
                  <c:v>ORD100314</c:v>
                </c:pt>
                <c:pt idx="314">
                  <c:v>ORD100315</c:v>
                </c:pt>
                <c:pt idx="315">
                  <c:v>ORD100316</c:v>
                </c:pt>
                <c:pt idx="316">
                  <c:v>ORD100317</c:v>
                </c:pt>
                <c:pt idx="317">
                  <c:v>ORD100318</c:v>
                </c:pt>
                <c:pt idx="318">
                  <c:v>ORD100319</c:v>
                </c:pt>
                <c:pt idx="319">
                  <c:v>ORD100320</c:v>
                </c:pt>
                <c:pt idx="320">
                  <c:v>ORD100321</c:v>
                </c:pt>
                <c:pt idx="321">
                  <c:v>ORD100322</c:v>
                </c:pt>
                <c:pt idx="322">
                  <c:v>ORD100323</c:v>
                </c:pt>
                <c:pt idx="323">
                  <c:v>ORD100324</c:v>
                </c:pt>
                <c:pt idx="324">
                  <c:v>ORD100325</c:v>
                </c:pt>
                <c:pt idx="325">
                  <c:v>ORD100326</c:v>
                </c:pt>
                <c:pt idx="326">
                  <c:v>ORD100327</c:v>
                </c:pt>
                <c:pt idx="327">
                  <c:v>ORD100328</c:v>
                </c:pt>
                <c:pt idx="328">
                  <c:v>ORD100329</c:v>
                </c:pt>
                <c:pt idx="329">
                  <c:v>ORD100330</c:v>
                </c:pt>
                <c:pt idx="330">
                  <c:v>ORD100331</c:v>
                </c:pt>
                <c:pt idx="331">
                  <c:v>ORD100332</c:v>
                </c:pt>
                <c:pt idx="332">
                  <c:v>ORD100333</c:v>
                </c:pt>
                <c:pt idx="333">
                  <c:v>ORD100334</c:v>
                </c:pt>
                <c:pt idx="334">
                  <c:v>ORD100335</c:v>
                </c:pt>
                <c:pt idx="335">
                  <c:v>ORD100336</c:v>
                </c:pt>
                <c:pt idx="336">
                  <c:v>ORD100337</c:v>
                </c:pt>
                <c:pt idx="337">
                  <c:v>ORD100338</c:v>
                </c:pt>
                <c:pt idx="338">
                  <c:v>ORD100339</c:v>
                </c:pt>
                <c:pt idx="339">
                  <c:v>ORD100340</c:v>
                </c:pt>
                <c:pt idx="340">
                  <c:v>ORD100341</c:v>
                </c:pt>
                <c:pt idx="341">
                  <c:v>ORD100342</c:v>
                </c:pt>
                <c:pt idx="342">
                  <c:v>ORD100343</c:v>
                </c:pt>
                <c:pt idx="343">
                  <c:v>ORD100344</c:v>
                </c:pt>
                <c:pt idx="344">
                  <c:v>ORD100345</c:v>
                </c:pt>
                <c:pt idx="345">
                  <c:v>ORD100346</c:v>
                </c:pt>
                <c:pt idx="346">
                  <c:v>ORD100347</c:v>
                </c:pt>
                <c:pt idx="347">
                  <c:v>ORD100348</c:v>
                </c:pt>
                <c:pt idx="348">
                  <c:v>ORD100349</c:v>
                </c:pt>
                <c:pt idx="349">
                  <c:v>ORD100350</c:v>
                </c:pt>
                <c:pt idx="350">
                  <c:v>ORD100351</c:v>
                </c:pt>
                <c:pt idx="351">
                  <c:v>ORD100352</c:v>
                </c:pt>
                <c:pt idx="352">
                  <c:v>ORD100353</c:v>
                </c:pt>
                <c:pt idx="353">
                  <c:v>ORD100354</c:v>
                </c:pt>
                <c:pt idx="354">
                  <c:v>ORD100355</c:v>
                </c:pt>
                <c:pt idx="355">
                  <c:v>ORD100356</c:v>
                </c:pt>
                <c:pt idx="356">
                  <c:v>ORD100357</c:v>
                </c:pt>
                <c:pt idx="357">
                  <c:v>ORD100358</c:v>
                </c:pt>
                <c:pt idx="358">
                  <c:v>ORD100359</c:v>
                </c:pt>
                <c:pt idx="359">
                  <c:v>ORD100360</c:v>
                </c:pt>
                <c:pt idx="360">
                  <c:v>ORD100361</c:v>
                </c:pt>
                <c:pt idx="361">
                  <c:v>ORD100362</c:v>
                </c:pt>
                <c:pt idx="362">
                  <c:v>ORD100363</c:v>
                </c:pt>
                <c:pt idx="363">
                  <c:v>ORD100364</c:v>
                </c:pt>
                <c:pt idx="364">
                  <c:v>ORD100365</c:v>
                </c:pt>
                <c:pt idx="365">
                  <c:v>ORD100366</c:v>
                </c:pt>
                <c:pt idx="366">
                  <c:v>ORD100367</c:v>
                </c:pt>
                <c:pt idx="367">
                  <c:v>ORD100368</c:v>
                </c:pt>
                <c:pt idx="368">
                  <c:v>ORD100369</c:v>
                </c:pt>
                <c:pt idx="369">
                  <c:v>ORD100370</c:v>
                </c:pt>
                <c:pt idx="370">
                  <c:v>ORD100371</c:v>
                </c:pt>
                <c:pt idx="371">
                  <c:v>ORD100372</c:v>
                </c:pt>
                <c:pt idx="372">
                  <c:v>ORD100373</c:v>
                </c:pt>
                <c:pt idx="373">
                  <c:v>ORD100374</c:v>
                </c:pt>
                <c:pt idx="374">
                  <c:v>ORD100375</c:v>
                </c:pt>
                <c:pt idx="375">
                  <c:v>ORD100376</c:v>
                </c:pt>
                <c:pt idx="376">
                  <c:v>ORD100377</c:v>
                </c:pt>
                <c:pt idx="377">
                  <c:v>ORD100378</c:v>
                </c:pt>
                <c:pt idx="378">
                  <c:v>ORD100379</c:v>
                </c:pt>
                <c:pt idx="379">
                  <c:v>ORD100380</c:v>
                </c:pt>
                <c:pt idx="380">
                  <c:v>ORD100381</c:v>
                </c:pt>
                <c:pt idx="381">
                  <c:v>ORD100382</c:v>
                </c:pt>
                <c:pt idx="382">
                  <c:v>ORD100383</c:v>
                </c:pt>
                <c:pt idx="383">
                  <c:v>ORD100384</c:v>
                </c:pt>
                <c:pt idx="384">
                  <c:v>ORD100385</c:v>
                </c:pt>
                <c:pt idx="385">
                  <c:v>ORD100386</c:v>
                </c:pt>
                <c:pt idx="386">
                  <c:v>ORD100387</c:v>
                </c:pt>
                <c:pt idx="387">
                  <c:v>ORD100388</c:v>
                </c:pt>
                <c:pt idx="388">
                  <c:v>ORD100389</c:v>
                </c:pt>
                <c:pt idx="389">
                  <c:v>ORD100390</c:v>
                </c:pt>
                <c:pt idx="390">
                  <c:v>ORD100391</c:v>
                </c:pt>
                <c:pt idx="391">
                  <c:v>ORD100392</c:v>
                </c:pt>
                <c:pt idx="392">
                  <c:v>ORD100393</c:v>
                </c:pt>
                <c:pt idx="393">
                  <c:v>ORD100394</c:v>
                </c:pt>
                <c:pt idx="394">
                  <c:v>ORD100395</c:v>
                </c:pt>
                <c:pt idx="395">
                  <c:v>ORD100396</c:v>
                </c:pt>
                <c:pt idx="396">
                  <c:v>ORD100397</c:v>
                </c:pt>
                <c:pt idx="397">
                  <c:v>ORD100398</c:v>
                </c:pt>
                <c:pt idx="398">
                  <c:v>ORD100399</c:v>
                </c:pt>
                <c:pt idx="399">
                  <c:v>ORD100400</c:v>
                </c:pt>
                <c:pt idx="400">
                  <c:v>ORD100401</c:v>
                </c:pt>
                <c:pt idx="401">
                  <c:v>ORD100402</c:v>
                </c:pt>
                <c:pt idx="402">
                  <c:v>ORD100403</c:v>
                </c:pt>
                <c:pt idx="403">
                  <c:v>ORD100404</c:v>
                </c:pt>
                <c:pt idx="404">
                  <c:v>ORD100405</c:v>
                </c:pt>
                <c:pt idx="405">
                  <c:v>ORD100406</c:v>
                </c:pt>
                <c:pt idx="406">
                  <c:v>ORD100407</c:v>
                </c:pt>
                <c:pt idx="407">
                  <c:v>ORD100408</c:v>
                </c:pt>
                <c:pt idx="408">
                  <c:v>ORD100409</c:v>
                </c:pt>
                <c:pt idx="409">
                  <c:v>ORD100410</c:v>
                </c:pt>
                <c:pt idx="410">
                  <c:v>ORD100411</c:v>
                </c:pt>
                <c:pt idx="411">
                  <c:v>ORD100412</c:v>
                </c:pt>
                <c:pt idx="412">
                  <c:v>ORD100413</c:v>
                </c:pt>
                <c:pt idx="413">
                  <c:v>ORD100414</c:v>
                </c:pt>
                <c:pt idx="414">
                  <c:v>ORD100415</c:v>
                </c:pt>
                <c:pt idx="415">
                  <c:v>ORD100416</c:v>
                </c:pt>
                <c:pt idx="416">
                  <c:v>ORD100417</c:v>
                </c:pt>
                <c:pt idx="417">
                  <c:v>ORD100418</c:v>
                </c:pt>
                <c:pt idx="418">
                  <c:v>ORD100419</c:v>
                </c:pt>
                <c:pt idx="419">
                  <c:v>ORD100420</c:v>
                </c:pt>
                <c:pt idx="420">
                  <c:v>ORD100421</c:v>
                </c:pt>
                <c:pt idx="421">
                  <c:v>ORD100422</c:v>
                </c:pt>
                <c:pt idx="422">
                  <c:v>ORD100423</c:v>
                </c:pt>
                <c:pt idx="423">
                  <c:v>ORD100424</c:v>
                </c:pt>
                <c:pt idx="424">
                  <c:v>ORD100425</c:v>
                </c:pt>
                <c:pt idx="425">
                  <c:v>ORD100426</c:v>
                </c:pt>
                <c:pt idx="426">
                  <c:v>ORD100427</c:v>
                </c:pt>
                <c:pt idx="427">
                  <c:v>ORD100428</c:v>
                </c:pt>
                <c:pt idx="428">
                  <c:v>ORD100429</c:v>
                </c:pt>
                <c:pt idx="429">
                  <c:v>ORD100430</c:v>
                </c:pt>
                <c:pt idx="430">
                  <c:v>ORD100431</c:v>
                </c:pt>
                <c:pt idx="431">
                  <c:v>ORD100432</c:v>
                </c:pt>
                <c:pt idx="432">
                  <c:v>ORD100433</c:v>
                </c:pt>
                <c:pt idx="433">
                  <c:v>ORD100434</c:v>
                </c:pt>
                <c:pt idx="434">
                  <c:v>ORD100435</c:v>
                </c:pt>
                <c:pt idx="435">
                  <c:v>ORD100436</c:v>
                </c:pt>
                <c:pt idx="436">
                  <c:v>ORD100437</c:v>
                </c:pt>
                <c:pt idx="437">
                  <c:v>ORD100438</c:v>
                </c:pt>
                <c:pt idx="438">
                  <c:v>ORD100439</c:v>
                </c:pt>
                <c:pt idx="439">
                  <c:v>ORD100440</c:v>
                </c:pt>
                <c:pt idx="440">
                  <c:v>ORD100441</c:v>
                </c:pt>
                <c:pt idx="441">
                  <c:v>ORD100442</c:v>
                </c:pt>
                <c:pt idx="442">
                  <c:v>ORD100443</c:v>
                </c:pt>
                <c:pt idx="443">
                  <c:v>ORD100444</c:v>
                </c:pt>
                <c:pt idx="444">
                  <c:v>ORD100445</c:v>
                </c:pt>
                <c:pt idx="445">
                  <c:v>ORD100446</c:v>
                </c:pt>
                <c:pt idx="446">
                  <c:v>ORD100447</c:v>
                </c:pt>
                <c:pt idx="447">
                  <c:v>ORD100448</c:v>
                </c:pt>
                <c:pt idx="448">
                  <c:v>ORD100449</c:v>
                </c:pt>
                <c:pt idx="449">
                  <c:v>ORD100450</c:v>
                </c:pt>
                <c:pt idx="450">
                  <c:v>ORD100451</c:v>
                </c:pt>
                <c:pt idx="451">
                  <c:v>ORD100452</c:v>
                </c:pt>
                <c:pt idx="452">
                  <c:v>ORD100453</c:v>
                </c:pt>
                <c:pt idx="453">
                  <c:v>ORD100454</c:v>
                </c:pt>
                <c:pt idx="454">
                  <c:v>ORD100455</c:v>
                </c:pt>
                <c:pt idx="455">
                  <c:v>ORD100456</c:v>
                </c:pt>
                <c:pt idx="456">
                  <c:v>ORD100457</c:v>
                </c:pt>
                <c:pt idx="457">
                  <c:v>ORD100458</c:v>
                </c:pt>
                <c:pt idx="458">
                  <c:v>ORD100459</c:v>
                </c:pt>
                <c:pt idx="459">
                  <c:v>ORD100460</c:v>
                </c:pt>
                <c:pt idx="460">
                  <c:v>ORD100461</c:v>
                </c:pt>
                <c:pt idx="461">
                  <c:v>ORD100462</c:v>
                </c:pt>
                <c:pt idx="462">
                  <c:v>ORD100463</c:v>
                </c:pt>
                <c:pt idx="463">
                  <c:v>ORD100464</c:v>
                </c:pt>
                <c:pt idx="464">
                  <c:v>ORD100465</c:v>
                </c:pt>
                <c:pt idx="465">
                  <c:v>ORD100466</c:v>
                </c:pt>
                <c:pt idx="466">
                  <c:v>ORD100467</c:v>
                </c:pt>
                <c:pt idx="467">
                  <c:v>ORD100468</c:v>
                </c:pt>
                <c:pt idx="468">
                  <c:v>ORD100469</c:v>
                </c:pt>
                <c:pt idx="469">
                  <c:v>ORD100470</c:v>
                </c:pt>
                <c:pt idx="470">
                  <c:v>ORD100471</c:v>
                </c:pt>
                <c:pt idx="471">
                  <c:v>ORD100472</c:v>
                </c:pt>
                <c:pt idx="472">
                  <c:v>ORD100473</c:v>
                </c:pt>
                <c:pt idx="473">
                  <c:v>ORD100474</c:v>
                </c:pt>
                <c:pt idx="474">
                  <c:v>ORD100475</c:v>
                </c:pt>
                <c:pt idx="475">
                  <c:v>ORD100476</c:v>
                </c:pt>
                <c:pt idx="476">
                  <c:v>ORD100477</c:v>
                </c:pt>
                <c:pt idx="477">
                  <c:v>ORD100478</c:v>
                </c:pt>
                <c:pt idx="478">
                  <c:v>ORD100479</c:v>
                </c:pt>
                <c:pt idx="479">
                  <c:v>ORD100480</c:v>
                </c:pt>
                <c:pt idx="480">
                  <c:v>ORD100481</c:v>
                </c:pt>
                <c:pt idx="481">
                  <c:v>ORD100482</c:v>
                </c:pt>
                <c:pt idx="482">
                  <c:v>ORD100483</c:v>
                </c:pt>
                <c:pt idx="483">
                  <c:v>ORD100484</c:v>
                </c:pt>
                <c:pt idx="484">
                  <c:v>ORD100485</c:v>
                </c:pt>
                <c:pt idx="485">
                  <c:v>ORD100486</c:v>
                </c:pt>
                <c:pt idx="486">
                  <c:v>ORD100487</c:v>
                </c:pt>
                <c:pt idx="487">
                  <c:v>ORD100488</c:v>
                </c:pt>
                <c:pt idx="488">
                  <c:v>ORD100489</c:v>
                </c:pt>
                <c:pt idx="489">
                  <c:v>ORD100490</c:v>
                </c:pt>
                <c:pt idx="490">
                  <c:v>ORD100491</c:v>
                </c:pt>
                <c:pt idx="491">
                  <c:v>ORD100492</c:v>
                </c:pt>
                <c:pt idx="492">
                  <c:v>ORD100493</c:v>
                </c:pt>
                <c:pt idx="493">
                  <c:v>ORD100494</c:v>
                </c:pt>
                <c:pt idx="494">
                  <c:v>ORD100495</c:v>
                </c:pt>
                <c:pt idx="495">
                  <c:v>ORD100496</c:v>
                </c:pt>
                <c:pt idx="496">
                  <c:v>ORD100497</c:v>
                </c:pt>
                <c:pt idx="497">
                  <c:v>ORD100498</c:v>
                </c:pt>
                <c:pt idx="498">
                  <c:v>ORD100499</c:v>
                </c:pt>
                <c:pt idx="499">
                  <c:v>ORD100500</c:v>
                </c:pt>
                <c:pt idx="500">
                  <c:v>ORD100501</c:v>
                </c:pt>
                <c:pt idx="501">
                  <c:v>ORD100502</c:v>
                </c:pt>
                <c:pt idx="502">
                  <c:v>ORD100503</c:v>
                </c:pt>
                <c:pt idx="503">
                  <c:v>ORD100504</c:v>
                </c:pt>
                <c:pt idx="504">
                  <c:v>ORD100505</c:v>
                </c:pt>
                <c:pt idx="505">
                  <c:v>ORD100506</c:v>
                </c:pt>
                <c:pt idx="506">
                  <c:v>ORD100507</c:v>
                </c:pt>
                <c:pt idx="507">
                  <c:v>ORD100508</c:v>
                </c:pt>
                <c:pt idx="508">
                  <c:v>ORD100509</c:v>
                </c:pt>
                <c:pt idx="509">
                  <c:v>ORD100510</c:v>
                </c:pt>
                <c:pt idx="510">
                  <c:v>ORD100511</c:v>
                </c:pt>
                <c:pt idx="511">
                  <c:v>ORD100512</c:v>
                </c:pt>
                <c:pt idx="512">
                  <c:v>ORD100513</c:v>
                </c:pt>
                <c:pt idx="513">
                  <c:v>ORD100514</c:v>
                </c:pt>
                <c:pt idx="514">
                  <c:v>ORD100515</c:v>
                </c:pt>
                <c:pt idx="515">
                  <c:v>ORD100516</c:v>
                </c:pt>
                <c:pt idx="516">
                  <c:v>ORD100517</c:v>
                </c:pt>
                <c:pt idx="517">
                  <c:v>ORD100518</c:v>
                </c:pt>
                <c:pt idx="518">
                  <c:v>ORD100519</c:v>
                </c:pt>
                <c:pt idx="519">
                  <c:v>ORD100520</c:v>
                </c:pt>
                <c:pt idx="520">
                  <c:v>ORD100522</c:v>
                </c:pt>
                <c:pt idx="521">
                  <c:v>ORD100523</c:v>
                </c:pt>
                <c:pt idx="522">
                  <c:v>ORD100524</c:v>
                </c:pt>
                <c:pt idx="523">
                  <c:v>ORD100525</c:v>
                </c:pt>
                <c:pt idx="524">
                  <c:v>ORD100526</c:v>
                </c:pt>
                <c:pt idx="525">
                  <c:v>ORD100527</c:v>
                </c:pt>
                <c:pt idx="526">
                  <c:v>ORD100528</c:v>
                </c:pt>
                <c:pt idx="527">
                  <c:v>ORD100529</c:v>
                </c:pt>
                <c:pt idx="528">
                  <c:v>ORD100530</c:v>
                </c:pt>
                <c:pt idx="529">
                  <c:v>ORD100531</c:v>
                </c:pt>
                <c:pt idx="530">
                  <c:v>ORD100532</c:v>
                </c:pt>
                <c:pt idx="531">
                  <c:v>ORD100533</c:v>
                </c:pt>
                <c:pt idx="532">
                  <c:v>ORD100534</c:v>
                </c:pt>
                <c:pt idx="533">
                  <c:v>ORD100535</c:v>
                </c:pt>
                <c:pt idx="534">
                  <c:v>ORD100536</c:v>
                </c:pt>
                <c:pt idx="535">
                  <c:v>ORD100537</c:v>
                </c:pt>
                <c:pt idx="536">
                  <c:v>ORD100538</c:v>
                </c:pt>
                <c:pt idx="537">
                  <c:v>ORD100539</c:v>
                </c:pt>
                <c:pt idx="538">
                  <c:v>ORD100540</c:v>
                </c:pt>
                <c:pt idx="539">
                  <c:v>ORD100541</c:v>
                </c:pt>
                <c:pt idx="540">
                  <c:v>ORD100542</c:v>
                </c:pt>
                <c:pt idx="541">
                  <c:v>ORD100543</c:v>
                </c:pt>
                <c:pt idx="542">
                  <c:v>ORD100544</c:v>
                </c:pt>
                <c:pt idx="543">
                  <c:v>ORD100545</c:v>
                </c:pt>
                <c:pt idx="544">
                  <c:v>ORD100546</c:v>
                </c:pt>
                <c:pt idx="545">
                  <c:v>ORD100547</c:v>
                </c:pt>
                <c:pt idx="546">
                  <c:v>ORD100548</c:v>
                </c:pt>
                <c:pt idx="547">
                  <c:v>ORD100549</c:v>
                </c:pt>
                <c:pt idx="548">
                  <c:v>ORD100550</c:v>
                </c:pt>
                <c:pt idx="549">
                  <c:v>ORD100551</c:v>
                </c:pt>
                <c:pt idx="550">
                  <c:v>ORD100552</c:v>
                </c:pt>
                <c:pt idx="551">
                  <c:v>ORD100553</c:v>
                </c:pt>
                <c:pt idx="552">
                  <c:v>ORD100554</c:v>
                </c:pt>
                <c:pt idx="553">
                  <c:v>ORD100555</c:v>
                </c:pt>
                <c:pt idx="554">
                  <c:v>ORD100556</c:v>
                </c:pt>
                <c:pt idx="555">
                  <c:v>ORD100557</c:v>
                </c:pt>
                <c:pt idx="556">
                  <c:v>ORD100558</c:v>
                </c:pt>
                <c:pt idx="557">
                  <c:v>ORD100559</c:v>
                </c:pt>
                <c:pt idx="558">
                  <c:v>ORD100560</c:v>
                </c:pt>
                <c:pt idx="559">
                  <c:v>ORD100561</c:v>
                </c:pt>
                <c:pt idx="560">
                  <c:v>ORD100562</c:v>
                </c:pt>
                <c:pt idx="561">
                  <c:v>ORD100563</c:v>
                </c:pt>
                <c:pt idx="562">
                  <c:v>ORD100564</c:v>
                </c:pt>
                <c:pt idx="563">
                  <c:v>ORD100565</c:v>
                </c:pt>
                <c:pt idx="564">
                  <c:v>ORD100566</c:v>
                </c:pt>
                <c:pt idx="565">
                  <c:v>ORD100567</c:v>
                </c:pt>
                <c:pt idx="566">
                  <c:v>ORD100568</c:v>
                </c:pt>
                <c:pt idx="567">
                  <c:v>ORD100569</c:v>
                </c:pt>
                <c:pt idx="568">
                  <c:v>ORD100570</c:v>
                </c:pt>
                <c:pt idx="569">
                  <c:v>ORD100571</c:v>
                </c:pt>
                <c:pt idx="570">
                  <c:v>ORD100572</c:v>
                </c:pt>
                <c:pt idx="571">
                  <c:v>ORD100573</c:v>
                </c:pt>
                <c:pt idx="572">
                  <c:v>ORD100574</c:v>
                </c:pt>
                <c:pt idx="573">
                  <c:v>ORD100575</c:v>
                </c:pt>
                <c:pt idx="574">
                  <c:v>ORD100576</c:v>
                </c:pt>
                <c:pt idx="575">
                  <c:v>ORD100577</c:v>
                </c:pt>
                <c:pt idx="576">
                  <c:v>ORD100578</c:v>
                </c:pt>
                <c:pt idx="577">
                  <c:v>ORD100579</c:v>
                </c:pt>
                <c:pt idx="578">
                  <c:v>ORD100580</c:v>
                </c:pt>
                <c:pt idx="579">
                  <c:v>ORD100581</c:v>
                </c:pt>
                <c:pt idx="580">
                  <c:v>ORD100582</c:v>
                </c:pt>
                <c:pt idx="581">
                  <c:v>ORD100583</c:v>
                </c:pt>
                <c:pt idx="582">
                  <c:v>ORD100584</c:v>
                </c:pt>
                <c:pt idx="583">
                  <c:v>ORD100585</c:v>
                </c:pt>
                <c:pt idx="584">
                  <c:v>ORD100586</c:v>
                </c:pt>
                <c:pt idx="585">
                  <c:v>ORD100587</c:v>
                </c:pt>
                <c:pt idx="586">
                  <c:v>ORD100588</c:v>
                </c:pt>
                <c:pt idx="587">
                  <c:v>ORD100589</c:v>
                </c:pt>
                <c:pt idx="588">
                  <c:v>ORD100590</c:v>
                </c:pt>
                <c:pt idx="589">
                  <c:v>ORD100591</c:v>
                </c:pt>
                <c:pt idx="590">
                  <c:v>ORD100592</c:v>
                </c:pt>
                <c:pt idx="591">
                  <c:v>ORD100593</c:v>
                </c:pt>
                <c:pt idx="592">
                  <c:v>ORD100594</c:v>
                </c:pt>
                <c:pt idx="593">
                  <c:v>ORD100595</c:v>
                </c:pt>
                <c:pt idx="594">
                  <c:v>ORD100596</c:v>
                </c:pt>
                <c:pt idx="595">
                  <c:v>ORD100597</c:v>
                </c:pt>
                <c:pt idx="596">
                  <c:v>ORD100598</c:v>
                </c:pt>
                <c:pt idx="597">
                  <c:v>ORD100599</c:v>
                </c:pt>
                <c:pt idx="598">
                  <c:v>ORD100600</c:v>
                </c:pt>
                <c:pt idx="599">
                  <c:v>ORD100601</c:v>
                </c:pt>
                <c:pt idx="600">
                  <c:v>ORD100602</c:v>
                </c:pt>
                <c:pt idx="601">
                  <c:v>ORD100603</c:v>
                </c:pt>
                <c:pt idx="602">
                  <c:v>ORD100604</c:v>
                </c:pt>
                <c:pt idx="603">
                  <c:v>ORD100605</c:v>
                </c:pt>
                <c:pt idx="604">
                  <c:v>ORD100606</c:v>
                </c:pt>
                <c:pt idx="605">
                  <c:v>ORD100607</c:v>
                </c:pt>
                <c:pt idx="606">
                  <c:v>ORD100608</c:v>
                </c:pt>
                <c:pt idx="607">
                  <c:v>ORD100609</c:v>
                </c:pt>
                <c:pt idx="608">
                  <c:v>ORD100610</c:v>
                </c:pt>
                <c:pt idx="609">
                  <c:v>ORD100611</c:v>
                </c:pt>
                <c:pt idx="610">
                  <c:v>ORD100612</c:v>
                </c:pt>
                <c:pt idx="611">
                  <c:v>ORD100613</c:v>
                </c:pt>
                <c:pt idx="612">
                  <c:v>ORD100614</c:v>
                </c:pt>
                <c:pt idx="613">
                  <c:v>ORD100615</c:v>
                </c:pt>
                <c:pt idx="614">
                  <c:v>ORD100616</c:v>
                </c:pt>
                <c:pt idx="615">
                  <c:v>ORD100617</c:v>
                </c:pt>
                <c:pt idx="616">
                  <c:v>ORD100618</c:v>
                </c:pt>
                <c:pt idx="617">
                  <c:v>ORD100619</c:v>
                </c:pt>
                <c:pt idx="618">
                  <c:v>ORD100620</c:v>
                </c:pt>
                <c:pt idx="619">
                  <c:v>ORD100621</c:v>
                </c:pt>
                <c:pt idx="620">
                  <c:v>ORD100622</c:v>
                </c:pt>
                <c:pt idx="621">
                  <c:v>ORD100623</c:v>
                </c:pt>
                <c:pt idx="622">
                  <c:v>ORD100624</c:v>
                </c:pt>
                <c:pt idx="623">
                  <c:v>ORD100625</c:v>
                </c:pt>
                <c:pt idx="624">
                  <c:v>ORD100626</c:v>
                </c:pt>
                <c:pt idx="625">
                  <c:v>ORD100627</c:v>
                </c:pt>
                <c:pt idx="626">
                  <c:v>ORD100628</c:v>
                </c:pt>
                <c:pt idx="627">
                  <c:v>ORD100629</c:v>
                </c:pt>
                <c:pt idx="628">
                  <c:v>ORD100630</c:v>
                </c:pt>
                <c:pt idx="629">
                  <c:v>ORD100631</c:v>
                </c:pt>
                <c:pt idx="630">
                  <c:v>ORD100632</c:v>
                </c:pt>
                <c:pt idx="631">
                  <c:v>ORD100633</c:v>
                </c:pt>
                <c:pt idx="632">
                  <c:v>ORD100634</c:v>
                </c:pt>
                <c:pt idx="633">
                  <c:v>ORD100635</c:v>
                </c:pt>
                <c:pt idx="634">
                  <c:v>ORD100636</c:v>
                </c:pt>
                <c:pt idx="635">
                  <c:v>ORD100637</c:v>
                </c:pt>
                <c:pt idx="636">
                  <c:v>ORD100638</c:v>
                </c:pt>
                <c:pt idx="637">
                  <c:v>ORD100639</c:v>
                </c:pt>
                <c:pt idx="638">
                  <c:v>ORD100640</c:v>
                </c:pt>
                <c:pt idx="639">
                  <c:v>ORD100641</c:v>
                </c:pt>
                <c:pt idx="640">
                  <c:v>ORD100642</c:v>
                </c:pt>
                <c:pt idx="641">
                  <c:v>ORD100643</c:v>
                </c:pt>
                <c:pt idx="642">
                  <c:v>ORD100644</c:v>
                </c:pt>
                <c:pt idx="643">
                  <c:v>ORD100645</c:v>
                </c:pt>
                <c:pt idx="644">
                  <c:v>ORD100646</c:v>
                </c:pt>
                <c:pt idx="645">
                  <c:v>ORD100647</c:v>
                </c:pt>
                <c:pt idx="646">
                  <c:v>ORD100648</c:v>
                </c:pt>
                <c:pt idx="647">
                  <c:v>ORD100649</c:v>
                </c:pt>
                <c:pt idx="648">
                  <c:v>ORD100650</c:v>
                </c:pt>
                <c:pt idx="649">
                  <c:v>ORD100651</c:v>
                </c:pt>
                <c:pt idx="650">
                  <c:v>ORD100652</c:v>
                </c:pt>
                <c:pt idx="651">
                  <c:v>ORD100653</c:v>
                </c:pt>
                <c:pt idx="652">
                  <c:v>ORD100654</c:v>
                </c:pt>
                <c:pt idx="653">
                  <c:v>ORD100655</c:v>
                </c:pt>
                <c:pt idx="654">
                  <c:v>ORD100656</c:v>
                </c:pt>
                <c:pt idx="655">
                  <c:v>ORD100657</c:v>
                </c:pt>
                <c:pt idx="656">
                  <c:v>ORD100658</c:v>
                </c:pt>
                <c:pt idx="657">
                  <c:v>ORD100659</c:v>
                </c:pt>
                <c:pt idx="658">
                  <c:v>ORD100660</c:v>
                </c:pt>
                <c:pt idx="659">
                  <c:v>ORD100661</c:v>
                </c:pt>
                <c:pt idx="660">
                  <c:v>ORD100662</c:v>
                </c:pt>
                <c:pt idx="661">
                  <c:v>ORD100663</c:v>
                </c:pt>
                <c:pt idx="662">
                  <c:v>ORD100664</c:v>
                </c:pt>
                <c:pt idx="663">
                  <c:v>ORD100665</c:v>
                </c:pt>
                <c:pt idx="664">
                  <c:v>ORD100666</c:v>
                </c:pt>
                <c:pt idx="665">
                  <c:v>ORD100667</c:v>
                </c:pt>
                <c:pt idx="666">
                  <c:v>ORD100668</c:v>
                </c:pt>
                <c:pt idx="667">
                  <c:v>ORD100669</c:v>
                </c:pt>
                <c:pt idx="668">
                  <c:v>ORD100670</c:v>
                </c:pt>
                <c:pt idx="669">
                  <c:v>ORD100671</c:v>
                </c:pt>
                <c:pt idx="670">
                  <c:v>ORD100672</c:v>
                </c:pt>
                <c:pt idx="671">
                  <c:v>ORD100673</c:v>
                </c:pt>
                <c:pt idx="672">
                  <c:v>ORD100674</c:v>
                </c:pt>
                <c:pt idx="673">
                  <c:v>ORD100675</c:v>
                </c:pt>
                <c:pt idx="674">
                  <c:v>ORD100676</c:v>
                </c:pt>
                <c:pt idx="675">
                  <c:v>ORD100677</c:v>
                </c:pt>
                <c:pt idx="676">
                  <c:v>ORD100678</c:v>
                </c:pt>
                <c:pt idx="677">
                  <c:v>ORD100679</c:v>
                </c:pt>
                <c:pt idx="678">
                  <c:v>ORD100680</c:v>
                </c:pt>
                <c:pt idx="679">
                  <c:v>ORD100681</c:v>
                </c:pt>
                <c:pt idx="680">
                  <c:v>ORD100682</c:v>
                </c:pt>
                <c:pt idx="681">
                  <c:v>ORD100683</c:v>
                </c:pt>
                <c:pt idx="682">
                  <c:v>ORD100684</c:v>
                </c:pt>
                <c:pt idx="683">
                  <c:v>ORD100685</c:v>
                </c:pt>
                <c:pt idx="684">
                  <c:v>ORD100686</c:v>
                </c:pt>
                <c:pt idx="685">
                  <c:v>ORD100687</c:v>
                </c:pt>
                <c:pt idx="686">
                  <c:v>ORD100688</c:v>
                </c:pt>
                <c:pt idx="687">
                  <c:v>ORD100689</c:v>
                </c:pt>
                <c:pt idx="688">
                  <c:v>ORD100690</c:v>
                </c:pt>
                <c:pt idx="689">
                  <c:v>ORD100691</c:v>
                </c:pt>
                <c:pt idx="690">
                  <c:v>ORD100692</c:v>
                </c:pt>
                <c:pt idx="691">
                  <c:v>ORD100693</c:v>
                </c:pt>
                <c:pt idx="692">
                  <c:v>ORD100694</c:v>
                </c:pt>
                <c:pt idx="693">
                  <c:v>ORD100695</c:v>
                </c:pt>
                <c:pt idx="694">
                  <c:v>ORD100696</c:v>
                </c:pt>
                <c:pt idx="695">
                  <c:v>ORD100697</c:v>
                </c:pt>
                <c:pt idx="696">
                  <c:v>ORD100698</c:v>
                </c:pt>
                <c:pt idx="697">
                  <c:v>ORD100699</c:v>
                </c:pt>
                <c:pt idx="698">
                  <c:v>ORD100700</c:v>
                </c:pt>
                <c:pt idx="699">
                  <c:v>ORD100701</c:v>
                </c:pt>
                <c:pt idx="700">
                  <c:v>ORD100702</c:v>
                </c:pt>
                <c:pt idx="701">
                  <c:v>ORD100703</c:v>
                </c:pt>
                <c:pt idx="702">
                  <c:v>ORD100704</c:v>
                </c:pt>
                <c:pt idx="703">
                  <c:v>ORD100705</c:v>
                </c:pt>
                <c:pt idx="704">
                  <c:v>ORD100706</c:v>
                </c:pt>
                <c:pt idx="705">
                  <c:v>ORD100707</c:v>
                </c:pt>
                <c:pt idx="706">
                  <c:v>ORD100708</c:v>
                </c:pt>
                <c:pt idx="707">
                  <c:v>ORD100709</c:v>
                </c:pt>
                <c:pt idx="708">
                  <c:v>ORD100710</c:v>
                </c:pt>
                <c:pt idx="709">
                  <c:v>ORD100711</c:v>
                </c:pt>
                <c:pt idx="710">
                  <c:v>ORD100712</c:v>
                </c:pt>
                <c:pt idx="711">
                  <c:v>ORD100713</c:v>
                </c:pt>
                <c:pt idx="712">
                  <c:v>ORD100714</c:v>
                </c:pt>
                <c:pt idx="713">
                  <c:v>ORD100715</c:v>
                </c:pt>
                <c:pt idx="714">
                  <c:v>ORD100716</c:v>
                </c:pt>
                <c:pt idx="715">
                  <c:v>ORD100717</c:v>
                </c:pt>
                <c:pt idx="716">
                  <c:v>ORD100718</c:v>
                </c:pt>
                <c:pt idx="717">
                  <c:v>ORD100719</c:v>
                </c:pt>
                <c:pt idx="718">
                  <c:v>ORD100720</c:v>
                </c:pt>
                <c:pt idx="719">
                  <c:v>ORD100721</c:v>
                </c:pt>
                <c:pt idx="720">
                  <c:v>ORD100722</c:v>
                </c:pt>
                <c:pt idx="721">
                  <c:v>ORD100723</c:v>
                </c:pt>
                <c:pt idx="722">
                  <c:v>ORD100724</c:v>
                </c:pt>
                <c:pt idx="723">
                  <c:v>ORD100725</c:v>
                </c:pt>
                <c:pt idx="724">
                  <c:v>ORD100726</c:v>
                </c:pt>
                <c:pt idx="725">
                  <c:v>ORD100727</c:v>
                </c:pt>
                <c:pt idx="726">
                  <c:v>ORD100728</c:v>
                </c:pt>
                <c:pt idx="727">
                  <c:v>ORD100729</c:v>
                </c:pt>
                <c:pt idx="728">
                  <c:v>ORD100730</c:v>
                </c:pt>
                <c:pt idx="729">
                  <c:v>ORD100731</c:v>
                </c:pt>
                <c:pt idx="730">
                  <c:v>ORD100732</c:v>
                </c:pt>
                <c:pt idx="731">
                  <c:v>ORD100733</c:v>
                </c:pt>
                <c:pt idx="732">
                  <c:v>ORD100734</c:v>
                </c:pt>
                <c:pt idx="733">
                  <c:v>ORD100735</c:v>
                </c:pt>
                <c:pt idx="734">
                  <c:v>ORD100736</c:v>
                </c:pt>
                <c:pt idx="735">
                  <c:v>ORD100737</c:v>
                </c:pt>
                <c:pt idx="736">
                  <c:v>ORD100738</c:v>
                </c:pt>
                <c:pt idx="737">
                  <c:v>ORD100739</c:v>
                </c:pt>
                <c:pt idx="738">
                  <c:v>ORD100740</c:v>
                </c:pt>
                <c:pt idx="739">
                  <c:v>ORD100741</c:v>
                </c:pt>
                <c:pt idx="740">
                  <c:v>ORD100742</c:v>
                </c:pt>
                <c:pt idx="741">
                  <c:v>ORD100743</c:v>
                </c:pt>
                <c:pt idx="742">
                  <c:v>ORD100744</c:v>
                </c:pt>
                <c:pt idx="743">
                  <c:v>ORD100745</c:v>
                </c:pt>
                <c:pt idx="744">
                  <c:v>ORD100746</c:v>
                </c:pt>
                <c:pt idx="745">
                  <c:v>ORD100747</c:v>
                </c:pt>
                <c:pt idx="746">
                  <c:v>ORD100748</c:v>
                </c:pt>
                <c:pt idx="747">
                  <c:v>ORD100749</c:v>
                </c:pt>
                <c:pt idx="748">
                  <c:v>ORD100750</c:v>
                </c:pt>
                <c:pt idx="749">
                  <c:v>ORD100751</c:v>
                </c:pt>
                <c:pt idx="750">
                  <c:v>ORD100752</c:v>
                </c:pt>
                <c:pt idx="751">
                  <c:v>ORD100753</c:v>
                </c:pt>
                <c:pt idx="752">
                  <c:v>ORD100754</c:v>
                </c:pt>
                <c:pt idx="753">
                  <c:v>ORD100755</c:v>
                </c:pt>
                <c:pt idx="754">
                  <c:v>ORD100756</c:v>
                </c:pt>
                <c:pt idx="755">
                  <c:v>ORD100757</c:v>
                </c:pt>
                <c:pt idx="756">
                  <c:v>ORD100758</c:v>
                </c:pt>
                <c:pt idx="757">
                  <c:v>ORD100759</c:v>
                </c:pt>
                <c:pt idx="758">
                  <c:v>ORD100760</c:v>
                </c:pt>
                <c:pt idx="759">
                  <c:v>ORD100761</c:v>
                </c:pt>
                <c:pt idx="760">
                  <c:v>ORD100762</c:v>
                </c:pt>
                <c:pt idx="761">
                  <c:v>ORD100763</c:v>
                </c:pt>
                <c:pt idx="762">
                  <c:v>ORD100764</c:v>
                </c:pt>
                <c:pt idx="763">
                  <c:v>ORD100765</c:v>
                </c:pt>
                <c:pt idx="764">
                  <c:v>ORD100766</c:v>
                </c:pt>
                <c:pt idx="765">
                  <c:v>ORD100767</c:v>
                </c:pt>
                <c:pt idx="766">
                  <c:v>ORD100768</c:v>
                </c:pt>
                <c:pt idx="767">
                  <c:v>ORD100769</c:v>
                </c:pt>
                <c:pt idx="768">
                  <c:v>ORD100770</c:v>
                </c:pt>
                <c:pt idx="769">
                  <c:v>ORD100771</c:v>
                </c:pt>
                <c:pt idx="770">
                  <c:v>ORD100772</c:v>
                </c:pt>
                <c:pt idx="771">
                  <c:v>ORD100773</c:v>
                </c:pt>
                <c:pt idx="772">
                  <c:v>ORD100774</c:v>
                </c:pt>
                <c:pt idx="773">
                  <c:v>ORD100775</c:v>
                </c:pt>
                <c:pt idx="774">
                  <c:v>ORD100776</c:v>
                </c:pt>
                <c:pt idx="775">
                  <c:v>ORD100777</c:v>
                </c:pt>
                <c:pt idx="776">
                  <c:v>ORD100778</c:v>
                </c:pt>
                <c:pt idx="777">
                  <c:v>ORD100779</c:v>
                </c:pt>
                <c:pt idx="778">
                  <c:v>ORD100780</c:v>
                </c:pt>
                <c:pt idx="779">
                  <c:v>ORD100781</c:v>
                </c:pt>
                <c:pt idx="780">
                  <c:v>ORD100782</c:v>
                </c:pt>
                <c:pt idx="781">
                  <c:v>ORD100783</c:v>
                </c:pt>
                <c:pt idx="782">
                  <c:v>ORD100784</c:v>
                </c:pt>
                <c:pt idx="783">
                  <c:v>ORD100785</c:v>
                </c:pt>
                <c:pt idx="784">
                  <c:v>ORD100786</c:v>
                </c:pt>
                <c:pt idx="785">
                  <c:v>ORD100787</c:v>
                </c:pt>
                <c:pt idx="786">
                  <c:v>ORD100788</c:v>
                </c:pt>
                <c:pt idx="787">
                  <c:v>ORD100789</c:v>
                </c:pt>
                <c:pt idx="788">
                  <c:v>ORD100790</c:v>
                </c:pt>
                <c:pt idx="789">
                  <c:v>ORD100791</c:v>
                </c:pt>
                <c:pt idx="790">
                  <c:v>ORD100792</c:v>
                </c:pt>
                <c:pt idx="791">
                  <c:v>ORD100793</c:v>
                </c:pt>
                <c:pt idx="792">
                  <c:v>ORD100794</c:v>
                </c:pt>
                <c:pt idx="793">
                  <c:v>ORD100795</c:v>
                </c:pt>
                <c:pt idx="794">
                  <c:v>ORD100796</c:v>
                </c:pt>
                <c:pt idx="795">
                  <c:v>ORD100797</c:v>
                </c:pt>
                <c:pt idx="796">
                  <c:v>ORD100798</c:v>
                </c:pt>
                <c:pt idx="797">
                  <c:v>ORD100799</c:v>
                </c:pt>
                <c:pt idx="798">
                  <c:v>ORD100800</c:v>
                </c:pt>
                <c:pt idx="799">
                  <c:v>ORD100801</c:v>
                </c:pt>
                <c:pt idx="800">
                  <c:v>ORD100802</c:v>
                </c:pt>
                <c:pt idx="801">
                  <c:v>ORD100803</c:v>
                </c:pt>
                <c:pt idx="802">
                  <c:v>ORD100804</c:v>
                </c:pt>
                <c:pt idx="803">
                  <c:v>ORD100805</c:v>
                </c:pt>
                <c:pt idx="804">
                  <c:v>ORD100806</c:v>
                </c:pt>
                <c:pt idx="805">
                  <c:v>ORD100807</c:v>
                </c:pt>
                <c:pt idx="806">
                  <c:v>ORD100808</c:v>
                </c:pt>
                <c:pt idx="807">
                  <c:v>ORD100809</c:v>
                </c:pt>
                <c:pt idx="808">
                  <c:v>ORD100810</c:v>
                </c:pt>
                <c:pt idx="809">
                  <c:v>ORD100811</c:v>
                </c:pt>
                <c:pt idx="810">
                  <c:v>ORD100812</c:v>
                </c:pt>
                <c:pt idx="811">
                  <c:v>ORD100813</c:v>
                </c:pt>
                <c:pt idx="812">
                  <c:v>ORD100814</c:v>
                </c:pt>
                <c:pt idx="813">
                  <c:v>ORD100815</c:v>
                </c:pt>
                <c:pt idx="814">
                  <c:v>ORD100816</c:v>
                </c:pt>
                <c:pt idx="815">
                  <c:v>ORD100817</c:v>
                </c:pt>
                <c:pt idx="816">
                  <c:v>ORD100818</c:v>
                </c:pt>
                <c:pt idx="817">
                  <c:v>ORD100819</c:v>
                </c:pt>
                <c:pt idx="818">
                  <c:v>ORD100820</c:v>
                </c:pt>
                <c:pt idx="819">
                  <c:v>ORD100821</c:v>
                </c:pt>
                <c:pt idx="820">
                  <c:v>ORD100822</c:v>
                </c:pt>
                <c:pt idx="821">
                  <c:v>ORD100823</c:v>
                </c:pt>
                <c:pt idx="822">
                  <c:v>ORD100824</c:v>
                </c:pt>
                <c:pt idx="823">
                  <c:v>ORD100825</c:v>
                </c:pt>
                <c:pt idx="824">
                  <c:v>ORD100826</c:v>
                </c:pt>
                <c:pt idx="825">
                  <c:v>ORD100827</c:v>
                </c:pt>
                <c:pt idx="826">
                  <c:v>ORD100828</c:v>
                </c:pt>
                <c:pt idx="827">
                  <c:v>ORD100829</c:v>
                </c:pt>
                <c:pt idx="828">
                  <c:v>ORD100830</c:v>
                </c:pt>
                <c:pt idx="829">
                  <c:v>ORD100831</c:v>
                </c:pt>
                <c:pt idx="830">
                  <c:v>ORD100832</c:v>
                </c:pt>
                <c:pt idx="831">
                  <c:v>ORD100833</c:v>
                </c:pt>
                <c:pt idx="832">
                  <c:v>ORD100834</c:v>
                </c:pt>
                <c:pt idx="833">
                  <c:v>ORD100835</c:v>
                </c:pt>
                <c:pt idx="834">
                  <c:v>ORD100836</c:v>
                </c:pt>
                <c:pt idx="835">
                  <c:v>ORD100837</c:v>
                </c:pt>
                <c:pt idx="836">
                  <c:v>ORD100838</c:v>
                </c:pt>
                <c:pt idx="837">
                  <c:v>ORD100839</c:v>
                </c:pt>
                <c:pt idx="838">
                  <c:v>ORD100840</c:v>
                </c:pt>
                <c:pt idx="839">
                  <c:v>ORD100841</c:v>
                </c:pt>
                <c:pt idx="840">
                  <c:v>ORD100842</c:v>
                </c:pt>
                <c:pt idx="841">
                  <c:v>ORD100843</c:v>
                </c:pt>
                <c:pt idx="842">
                  <c:v>ORD100844</c:v>
                </c:pt>
                <c:pt idx="843">
                  <c:v>ORD100845</c:v>
                </c:pt>
                <c:pt idx="844">
                  <c:v>ORD100846</c:v>
                </c:pt>
                <c:pt idx="845">
                  <c:v>ORD100847</c:v>
                </c:pt>
                <c:pt idx="846">
                  <c:v>ORD100848</c:v>
                </c:pt>
                <c:pt idx="847">
                  <c:v>ORD100849</c:v>
                </c:pt>
                <c:pt idx="848">
                  <c:v>ORD100850</c:v>
                </c:pt>
                <c:pt idx="849">
                  <c:v>ORD100851</c:v>
                </c:pt>
                <c:pt idx="850">
                  <c:v>ORD100852</c:v>
                </c:pt>
                <c:pt idx="851">
                  <c:v>ORD100853</c:v>
                </c:pt>
                <c:pt idx="852">
                  <c:v>ORD100854</c:v>
                </c:pt>
                <c:pt idx="853">
                  <c:v>ORD100855</c:v>
                </c:pt>
                <c:pt idx="854">
                  <c:v>ORD100856</c:v>
                </c:pt>
                <c:pt idx="855">
                  <c:v>ORD100857</c:v>
                </c:pt>
                <c:pt idx="856">
                  <c:v>ORD100858</c:v>
                </c:pt>
                <c:pt idx="857">
                  <c:v>ORD100859</c:v>
                </c:pt>
                <c:pt idx="858">
                  <c:v>ORD100860</c:v>
                </c:pt>
                <c:pt idx="859">
                  <c:v>ORD100861</c:v>
                </c:pt>
                <c:pt idx="860">
                  <c:v>ORD100862</c:v>
                </c:pt>
                <c:pt idx="861">
                  <c:v>ORD100863</c:v>
                </c:pt>
                <c:pt idx="862">
                  <c:v>ORD100864</c:v>
                </c:pt>
                <c:pt idx="863">
                  <c:v>ORD100865</c:v>
                </c:pt>
                <c:pt idx="864">
                  <c:v>ORD100866</c:v>
                </c:pt>
                <c:pt idx="865">
                  <c:v>ORD100867</c:v>
                </c:pt>
                <c:pt idx="866">
                  <c:v>ORD100868</c:v>
                </c:pt>
                <c:pt idx="867">
                  <c:v>ORD100869</c:v>
                </c:pt>
                <c:pt idx="868">
                  <c:v>ORD100870</c:v>
                </c:pt>
                <c:pt idx="869">
                  <c:v>ORD100871</c:v>
                </c:pt>
                <c:pt idx="870">
                  <c:v>ORD100872</c:v>
                </c:pt>
                <c:pt idx="871">
                  <c:v>ORD100873</c:v>
                </c:pt>
                <c:pt idx="872">
                  <c:v>ORD100874</c:v>
                </c:pt>
                <c:pt idx="873">
                  <c:v>ORD100875</c:v>
                </c:pt>
                <c:pt idx="874">
                  <c:v>ORD100876</c:v>
                </c:pt>
                <c:pt idx="875">
                  <c:v>ORD100877</c:v>
                </c:pt>
                <c:pt idx="876">
                  <c:v>ORD100878</c:v>
                </c:pt>
                <c:pt idx="877">
                  <c:v>ORD100879</c:v>
                </c:pt>
                <c:pt idx="878">
                  <c:v>ORD100880</c:v>
                </c:pt>
                <c:pt idx="879">
                  <c:v>ORD100881</c:v>
                </c:pt>
                <c:pt idx="880">
                  <c:v>ORD100882</c:v>
                </c:pt>
                <c:pt idx="881">
                  <c:v>ORD100883</c:v>
                </c:pt>
                <c:pt idx="882">
                  <c:v>ORD100884</c:v>
                </c:pt>
                <c:pt idx="883">
                  <c:v>ORD100885</c:v>
                </c:pt>
                <c:pt idx="884">
                  <c:v>ORD100886</c:v>
                </c:pt>
                <c:pt idx="885">
                  <c:v>ORD100887</c:v>
                </c:pt>
                <c:pt idx="886">
                  <c:v>ORD100888</c:v>
                </c:pt>
                <c:pt idx="887">
                  <c:v>ORD100889</c:v>
                </c:pt>
                <c:pt idx="888">
                  <c:v>ORD100890</c:v>
                </c:pt>
                <c:pt idx="889">
                  <c:v>ORD100891</c:v>
                </c:pt>
                <c:pt idx="890">
                  <c:v>ORD100892</c:v>
                </c:pt>
                <c:pt idx="891">
                  <c:v>ORD100893</c:v>
                </c:pt>
                <c:pt idx="892">
                  <c:v>ORD100894</c:v>
                </c:pt>
                <c:pt idx="893">
                  <c:v>ORD100895</c:v>
                </c:pt>
                <c:pt idx="894">
                  <c:v>ORD100896</c:v>
                </c:pt>
                <c:pt idx="895">
                  <c:v>ORD100897</c:v>
                </c:pt>
                <c:pt idx="896">
                  <c:v>ORD100898</c:v>
                </c:pt>
                <c:pt idx="897">
                  <c:v>ORD100899</c:v>
                </c:pt>
                <c:pt idx="898">
                  <c:v>ORD100900</c:v>
                </c:pt>
                <c:pt idx="899">
                  <c:v>ORD100901</c:v>
                </c:pt>
                <c:pt idx="900">
                  <c:v>ORD100902</c:v>
                </c:pt>
                <c:pt idx="901">
                  <c:v>ORD100903</c:v>
                </c:pt>
                <c:pt idx="902">
                  <c:v>ORD100904</c:v>
                </c:pt>
                <c:pt idx="903">
                  <c:v>ORD100905</c:v>
                </c:pt>
                <c:pt idx="904">
                  <c:v>ORD100906</c:v>
                </c:pt>
                <c:pt idx="905">
                  <c:v>ORD100907</c:v>
                </c:pt>
                <c:pt idx="906">
                  <c:v>ORD100908</c:v>
                </c:pt>
                <c:pt idx="907">
                  <c:v>ORD100909</c:v>
                </c:pt>
                <c:pt idx="908">
                  <c:v>ORD100910</c:v>
                </c:pt>
                <c:pt idx="909">
                  <c:v>ORD100911</c:v>
                </c:pt>
                <c:pt idx="910">
                  <c:v>ORD100912</c:v>
                </c:pt>
                <c:pt idx="911">
                  <c:v>ORD100913</c:v>
                </c:pt>
                <c:pt idx="912">
                  <c:v>ORD100914</c:v>
                </c:pt>
                <c:pt idx="913">
                  <c:v>ORD100915</c:v>
                </c:pt>
                <c:pt idx="914">
                  <c:v>ORD100916</c:v>
                </c:pt>
                <c:pt idx="915">
                  <c:v>ORD100917</c:v>
                </c:pt>
                <c:pt idx="916">
                  <c:v>ORD100918</c:v>
                </c:pt>
                <c:pt idx="917">
                  <c:v>ORD100919</c:v>
                </c:pt>
                <c:pt idx="918">
                  <c:v>ORD100920</c:v>
                </c:pt>
                <c:pt idx="919">
                  <c:v>ORD100921</c:v>
                </c:pt>
                <c:pt idx="920">
                  <c:v>ORD100923</c:v>
                </c:pt>
                <c:pt idx="921">
                  <c:v>ORD100924</c:v>
                </c:pt>
                <c:pt idx="922">
                  <c:v>ORD100925</c:v>
                </c:pt>
                <c:pt idx="923">
                  <c:v>ORD100926</c:v>
                </c:pt>
                <c:pt idx="924">
                  <c:v>ORD100927</c:v>
                </c:pt>
                <c:pt idx="925">
                  <c:v>ORD100928</c:v>
                </c:pt>
                <c:pt idx="926">
                  <c:v>ORD100929</c:v>
                </c:pt>
                <c:pt idx="927">
                  <c:v>ORD100930</c:v>
                </c:pt>
                <c:pt idx="928">
                  <c:v>ORD100931</c:v>
                </c:pt>
                <c:pt idx="929">
                  <c:v>ORD100932</c:v>
                </c:pt>
                <c:pt idx="930">
                  <c:v>ORD100933</c:v>
                </c:pt>
                <c:pt idx="931">
                  <c:v>ORD100934</c:v>
                </c:pt>
                <c:pt idx="932">
                  <c:v>ORD100935</c:v>
                </c:pt>
                <c:pt idx="933">
                  <c:v>ORD100936</c:v>
                </c:pt>
                <c:pt idx="934">
                  <c:v>ORD100937</c:v>
                </c:pt>
                <c:pt idx="935">
                  <c:v>ORD100938</c:v>
                </c:pt>
                <c:pt idx="936">
                  <c:v>ORD100939</c:v>
                </c:pt>
                <c:pt idx="937">
                  <c:v>ORD100940</c:v>
                </c:pt>
                <c:pt idx="938">
                  <c:v>ORD100941</c:v>
                </c:pt>
                <c:pt idx="939">
                  <c:v>ORD100942</c:v>
                </c:pt>
                <c:pt idx="940">
                  <c:v>ORD100943</c:v>
                </c:pt>
                <c:pt idx="941">
                  <c:v>ORD100944</c:v>
                </c:pt>
                <c:pt idx="942">
                  <c:v>ORD100945</c:v>
                </c:pt>
                <c:pt idx="943">
                  <c:v>ORD100946</c:v>
                </c:pt>
                <c:pt idx="944">
                  <c:v>ORD100947</c:v>
                </c:pt>
                <c:pt idx="945">
                  <c:v>ORD100948</c:v>
                </c:pt>
                <c:pt idx="946">
                  <c:v>ORD100949</c:v>
                </c:pt>
                <c:pt idx="947">
                  <c:v>ORD100950</c:v>
                </c:pt>
                <c:pt idx="948">
                  <c:v>ORD100951</c:v>
                </c:pt>
                <c:pt idx="949">
                  <c:v>ORD100952</c:v>
                </c:pt>
                <c:pt idx="950">
                  <c:v>ORD100953</c:v>
                </c:pt>
                <c:pt idx="951">
                  <c:v>ORD100954</c:v>
                </c:pt>
                <c:pt idx="952">
                  <c:v>ORD100955</c:v>
                </c:pt>
                <c:pt idx="953">
                  <c:v>ORD100956</c:v>
                </c:pt>
                <c:pt idx="954">
                  <c:v>ORD100957</c:v>
                </c:pt>
                <c:pt idx="955">
                  <c:v>ORD100958</c:v>
                </c:pt>
                <c:pt idx="956">
                  <c:v>ORD100959</c:v>
                </c:pt>
                <c:pt idx="957">
                  <c:v>ORD100960</c:v>
                </c:pt>
                <c:pt idx="958">
                  <c:v>ORD100961</c:v>
                </c:pt>
                <c:pt idx="959">
                  <c:v>ORD100962</c:v>
                </c:pt>
                <c:pt idx="960">
                  <c:v>ORD100963</c:v>
                </c:pt>
                <c:pt idx="961">
                  <c:v>ORD100964</c:v>
                </c:pt>
                <c:pt idx="962">
                  <c:v>ORD100965</c:v>
                </c:pt>
                <c:pt idx="963">
                  <c:v>ORD100966</c:v>
                </c:pt>
                <c:pt idx="964">
                  <c:v>ORD100967</c:v>
                </c:pt>
                <c:pt idx="965">
                  <c:v>ORD100968</c:v>
                </c:pt>
                <c:pt idx="966">
                  <c:v>ORD100969</c:v>
                </c:pt>
                <c:pt idx="967">
                  <c:v>ORD100970</c:v>
                </c:pt>
                <c:pt idx="968">
                  <c:v>ORD100971</c:v>
                </c:pt>
                <c:pt idx="969">
                  <c:v>ORD100972</c:v>
                </c:pt>
                <c:pt idx="970">
                  <c:v>ORD100973</c:v>
                </c:pt>
                <c:pt idx="971">
                  <c:v>ORD100974</c:v>
                </c:pt>
                <c:pt idx="972">
                  <c:v>ORD100975</c:v>
                </c:pt>
                <c:pt idx="973">
                  <c:v>ORD100976</c:v>
                </c:pt>
                <c:pt idx="974">
                  <c:v>ORD100977</c:v>
                </c:pt>
                <c:pt idx="975">
                  <c:v>ORD100978</c:v>
                </c:pt>
                <c:pt idx="976">
                  <c:v>ORD100979</c:v>
                </c:pt>
                <c:pt idx="977">
                  <c:v>ORD100980</c:v>
                </c:pt>
                <c:pt idx="978">
                  <c:v>ORD100981</c:v>
                </c:pt>
                <c:pt idx="979">
                  <c:v>ORD100982</c:v>
                </c:pt>
                <c:pt idx="980">
                  <c:v>ORD100983</c:v>
                </c:pt>
                <c:pt idx="981">
                  <c:v>ORD100984</c:v>
                </c:pt>
                <c:pt idx="982">
                  <c:v>ORD100985</c:v>
                </c:pt>
                <c:pt idx="983">
                  <c:v>ORD100986</c:v>
                </c:pt>
                <c:pt idx="984">
                  <c:v>ORD100987</c:v>
                </c:pt>
                <c:pt idx="985">
                  <c:v>ORD100988</c:v>
                </c:pt>
                <c:pt idx="986">
                  <c:v>ORD100989</c:v>
                </c:pt>
                <c:pt idx="987">
                  <c:v>ORD100990</c:v>
                </c:pt>
                <c:pt idx="988">
                  <c:v>ORD100991</c:v>
                </c:pt>
                <c:pt idx="989">
                  <c:v>ORD100992</c:v>
                </c:pt>
                <c:pt idx="990">
                  <c:v>ORD100993</c:v>
                </c:pt>
                <c:pt idx="991">
                  <c:v>ORD100994</c:v>
                </c:pt>
                <c:pt idx="992">
                  <c:v>ORD100995</c:v>
                </c:pt>
                <c:pt idx="993">
                  <c:v>ORD100996</c:v>
                </c:pt>
                <c:pt idx="994">
                  <c:v>ORD100997</c:v>
                </c:pt>
                <c:pt idx="995">
                  <c:v>ORD100998</c:v>
                </c:pt>
                <c:pt idx="996">
                  <c:v>ORD100999</c:v>
                </c:pt>
                <c:pt idx="997">
                  <c:v>ORD101000</c:v>
                </c:pt>
                <c:pt idx="998">
                  <c:v>ORD101001</c:v>
                </c:pt>
                <c:pt idx="999">
                  <c:v>ORD101002</c:v>
                </c:pt>
                <c:pt idx="1000">
                  <c:v>ORD101003</c:v>
                </c:pt>
                <c:pt idx="1001">
                  <c:v>ORD101004</c:v>
                </c:pt>
                <c:pt idx="1002">
                  <c:v>ORD101005</c:v>
                </c:pt>
                <c:pt idx="1003">
                  <c:v>ORD101006</c:v>
                </c:pt>
                <c:pt idx="1004">
                  <c:v>ORD101007</c:v>
                </c:pt>
                <c:pt idx="1005">
                  <c:v>ORD101008</c:v>
                </c:pt>
                <c:pt idx="1006">
                  <c:v>ORD101009</c:v>
                </c:pt>
                <c:pt idx="1007">
                  <c:v>ORD101010</c:v>
                </c:pt>
                <c:pt idx="1008">
                  <c:v>ORD101011</c:v>
                </c:pt>
                <c:pt idx="1009">
                  <c:v>ORD101012</c:v>
                </c:pt>
                <c:pt idx="1010">
                  <c:v>ORD101013</c:v>
                </c:pt>
                <c:pt idx="1011">
                  <c:v>ORD101014</c:v>
                </c:pt>
                <c:pt idx="1012">
                  <c:v>ORD101015</c:v>
                </c:pt>
                <c:pt idx="1013">
                  <c:v>ORD101016</c:v>
                </c:pt>
                <c:pt idx="1014">
                  <c:v>ORD101017</c:v>
                </c:pt>
                <c:pt idx="1015">
                  <c:v>ORD101018</c:v>
                </c:pt>
                <c:pt idx="1016">
                  <c:v>ORD101019</c:v>
                </c:pt>
                <c:pt idx="1017">
                  <c:v>ORD101020</c:v>
                </c:pt>
                <c:pt idx="1018">
                  <c:v>ORD101021</c:v>
                </c:pt>
                <c:pt idx="1019">
                  <c:v>ORD101022</c:v>
                </c:pt>
                <c:pt idx="1020">
                  <c:v>ORD101023</c:v>
                </c:pt>
                <c:pt idx="1021">
                  <c:v>ORD101024</c:v>
                </c:pt>
                <c:pt idx="1022">
                  <c:v>ORD101025</c:v>
                </c:pt>
                <c:pt idx="1023">
                  <c:v>ORD101026</c:v>
                </c:pt>
                <c:pt idx="1024">
                  <c:v>ORD101027</c:v>
                </c:pt>
                <c:pt idx="1025">
                  <c:v>ORD101028</c:v>
                </c:pt>
                <c:pt idx="1026">
                  <c:v>ORD101029</c:v>
                </c:pt>
                <c:pt idx="1027">
                  <c:v>ORD101030</c:v>
                </c:pt>
                <c:pt idx="1028">
                  <c:v>ORD101031</c:v>
                </c:pt>
                <c:pt idx="1029">
                  <c:v>ORD101032</c:v>
                </c:pt>
                <c:pt idx="1030">
                  <c:v>ORD101033</c:v>
                </c:pt>
                <c:pt idx="1031">
                  <c:v>ORD101034</c:v>
                </c:pt>
                <c:pt idx="1032">
                  <c:v>ORD101035</c:v>
                </c:pt>
                <c:pt idx="1033">
                  <c:v>ORD101036</c:v>
                </c:pt>
                <c:pt idx="1034">
                  <c:v>ORD101037</c:v>
                </c:pt>
                <c:pt idx="1035">
                  <c:v>ORD101038</c:v>
                </c:pt>
                <c:pt idx="1036">
                  <c:v>ORD101039</c:v>
                </c:pt>
                <c:pt idx="1037">
                  <c:v>ORD101040</c:v>
                </c:pt>
                <c:pt idx="1038">
                  <c:v>ORD101041</c:v>
                </c:pt>
                <c:pt idx="1039">
                  <c:v>ORD101042</c:v>
                </c:pt>
                <c:pt idx="1040">
                  <c:v>ORD101043</c:v>
                </c:pt>
                <c:pt idx="1041">
                  <c:v>ORD101044</c:v>
                </c:pt>
                <c:pt idx="1042">
                  <c:v>ORD101045</c:v>
                </c:pt>
                <c:pt idx="1043">
                  <c:v>ORD101046</c:v>
                </c:pt>
                <c:pt idx="1044">
                  <c:v>ORD101047</c:v>
                </c:pt>
                <c:pt idx="1045">
                  <c:v>ORD101048</c:v>
                </c:pt>
                <c:pt idx="1046">
                  <c:v>ORD101049</c:v>
                </c:pt>
                <c:pt idx="1047">
                  <c:v>ORD101050</c:v>
                </c:pt>
                <c:pt idx="1048">
                  <c:v>ORD101051</c:v>
                </c:pt>
                <c:pt idx="1049">
                  <c:v>ORD101052</c:v>
                </c:pt>
                <c:pt idx="1050">
                  <c:v>ORD101053</c:v>
                </c:pt>
                <c:pt idx="1051">
                  <c:v>ORD101054</c:v>
                </c:pt>
                <c:pt idx="1052">
                  <c:v>ORD101055</c:v>
                </c:pt>
                <c:pt idx="1053">
                  <c:v>ORD101056</c:v>
                </c:pt>
                <c:pt idx="1054">
                  <c:v>ORD101057</c:v>
                </c:pt>
                <c:pt idx="1055">
                  <c:v>ORD101058</c:v>
                </c:pt>
                <c:pt idx="1056">
                  <c:v>ORD101059</c:v>
                </c:pt>
                <c:pt idx="1057">
                  <c:v>ORD101060</c:v>
                </c:pt>
                <c:pt idx="1058">
                  <c:v>ORD101061</c:v>
                </c:pt>
                <c:pt idx="1059">
                  <c:v>ORD101062</c:v>
                </c:pt>
                <c:pt idx="1060">
                  <c:v>ORD101063</c:v>
                </c:pt>
                <c:pt idx="1061">
                  <c:v>ORD101064</c:v>
                </c:pt>
                <c:pt idx="1062">
                  <c:v>ORD101065</c:v>
                </c:pt>
                <c:pt idx="1063">
                  <c:v>ORD101066</c:v>
                </c:pt>
                <c:pt idx="1064">
                  <c:v>ORD101067</c:v>
                </c:pt>
                <c:pt idx="1065">
                  <c:v>ORD101068</c:v>
                </c:pt>
                <c:pt idx="1066">
                  <c:v>ORD101069</c:v>
                </c:pt>
                <c:pt idx="1067">
                  <c:v>ORD101070</c:v>
                </c:pt>
                <c:pt idx="1068">
                  <c:v>ORD101071</c:v>
                </c:pt>
                <c:pt idx="1069">
                  <c:v>ORD101072</c:v>
                </c:pt>
                <c:pt idx="1070">
                  <c:v>ORD101073</c:v>
                </c:pt>
                <c:pt idx="1071">
                  <c:v>ORD101074</c:v>
                </c:pt>
                <c:pt idx="1072">
                  <c:v>ORD101075</c:v>
                </c:pt>
                <c:pt idx="1073">
                  <c:v>ORD101076</c:v>
                </c:pt>
                <c:pt idx="1074">
                  <c:v>ORD101077</c:v>
                </c:pt>
                <c:pt idx="1075">
                  <c:v>ORD101078</c:v>
                </c:pt>
                <c:pt idx="1076">
                  <c:v>ORD101079</c:v>
                </c:pt>
                <c:pt idx="1077">
                  <c:v>ORD101080</c:v>
                </c:pt>
                <c:pt idx="1078">
                  <c:v>ORD101081</c:v>
                </c:pt>
                <c:pt idx="1079">
                  <c:v>ORD101082</c:v>
                </c:pt>
                <c:pt idx="1080">
                  <c:v>ORD101083</c:v>
                </c:pt>
                <c:pt idx="1081">
                  <c:v>ORD101084</c:v>
                </c:pt>
                <c:pt idx="1082">
                  <c:v>ORD101085</c:v>
                </c:pt>
                <c:pt idx="1083">
                  <c:v>ORD101086</c:v>
                </c:pt>
                <c:pt idx="1084">
                  <c:v>ORD101087</c:v>
                </c:pt>
                <c:pt idx="1085">
                  <c:v>ORD101088</c:v>
                </c:pt>
                <c:pt idx="1086">
                  <c:v>ORD101089</c:v>
                </c:pt>
                <c:pt idx="1087">
                  <c:v>ORD101090</c:v>
                </c:pt>
                <c:pt idx="1088">
                  <c:v>ORD101091</c:v>
                </c:pt>
                <c:pt idx="1089">
                  <c:v>ORD101092</c:v>
                </c:pt>
                <c:pt idx="1090">
                  <c:v>ORD101093</c:v>
                </c:pt>
                <c:pt idx="1091">
                  <c:v>ORD101094</c:v>
                </c:pt>
                <c:pt idx="1092">
                  <c:v>ORD101095</c:v>
                </c:pt>
                <c:pt idx="1093">
                  <c:v>ORD101096</c:v>
                </c:pt>
                <c:pt idx="1094">
                  <c:v>ORD101097</c:v>
                </c:pt>
                <c:pt idx="1095">
                  <c:v>ORD101098</c:v>
                </c:pt>
                <c:pt idx="1096">
                  <c:v>ORD101099</c:v>
                </c:pt>
                <c:pt idx="1097">
                  <c:v>ORD101100</c:v>
                </c:pt>
                <c:pt idx="1098">
                  <c:v>ORD101101</c:v>
                </c:pt>
                <c:pt idx="1099">
                  <c:v>ORD101102</c:v>
                </c:pt>
                <c:pt idx="1100">
                  <c:v>ORD101103</c:v>
                </c:pt>
                <c:pt idx="1101">
                  <c:v>ORD101104</c:v>
                </c:pt>
                <c:pt idx="1102">
                  <c:v>ORD101105</c:v>
                </c:pt>
                <c:pt idx="1103">
                  <c:v>ORD101106</c:v>
                </c:pt>
                <c:pt idx="1104">
                  <c:v>ORD101107</c:v>
                </c:pt>
                <c:pt idx="1105">
                  <c:v>ORD101108</c:v>
                </c:pt>
                <c:pt idx="1106">
                  <c:v>ORD101109</c:v>
                </c:pt>
                <c:pt idx="1107">
                  <c:v>ORD101110</c:v>
                </c:pt>
                <c:pt idx="1108">
                  <c:v>ORD101111</c:v>
                </c:pt>
                <c:pt idx="1109">
                  <c:v>ORD101112</c:v>
                </c:pt>
                <c:pt idx="1110">
                  <c:v>ORD101113</c:v>
                </c:pt>
                <c:pt idx="1111">
                  <c:v>ORD101114</c:v>
                </c:pt>
                <c:pt idx="1112">
                  <c:v>ORD101115</c:v>
                </c:pt>
                <c:pt idx="1113">
                  <c:v>ORD101116</c:v>
                </c:pt>
                <c:pt idx="1114">
                  <c:v>ORD101117</c:v>
                </c:pt>
                <c:pt idx="1115">
                  <c:v>ORD101118</c:v>
                </c:pt>
                <c:pt idx="1116">
                  <c:v>ORD101119</c:v>
                </c:pt>
                <c:pt idx="1117">
                  <c:v>ORD101120</c:v>
                </c:pt>
                <c:pt idx="1118">
                  <c:v>ORD101121</c:v>
                </c:pt>
                <c:pt idx="1119">
                  <c:v>ORD101122</c:v>
                </c:pt>
                <c:pt idx="1120">
                  <c:v>ORD101123</c:v>
                </c:pt>
                <c:pt idx="1121">
                  <c:v>ORD101124</c:v>
                </c:pt>
                <c:pt idx="1122">
                  <c:v>ORD101125</c:v>
                </c:pt>
                <c:pt idx="1123">
                  <c:v>ORD101126</c:v>
                </c:pt>
                <c:pt idx="1124">
                  <c:v>ORD101127</c:v>
                </c:pt>
                <c:pt idx="1125">
                  <c:v>ORD101128</c:v>
                </c:pt>
                <c:pt idx="1126">
                  <c:v>ORD101129</c:v>
                </c:pt>
                <c:pt idx="1127">
                  <c:v>ORD101130</c:v>
                </c:pt>
                <c:pt idx="1128">
                  <c:v>ORD101131</c:v>
                </c:pt>
                <c:pt idx="1129">
                  <c:v>ORD101132</c:v>
                </c:pt>
                <c:pt idx="1130">
                  <c:v>ORD101133</c:v>
                </c:pt>
                <c:pt idx="1131">
                  <c:v>ORD101134</c:v>
                </c:pt>
                <c:pt idx="1132">
                  <c:v>ORD101135</c:v>
                </c:pt>
                <c:pt idx="1133">
                  <c:v>ORD101136</c:v>
                </c:pt>
                <c:pt idx="1134">
                  <c:v>ORD101137</c:v>
                </c:pt>
                <c:pt idx="1135">
                  <c:v>ORD101138</c:v>
                </c:pt>
                <c:pt idx="1136">
                  <c:v>ORD101139</c:v>
                </c:pt>
                <c:pt idx="1137">
                  <c:v>ORD101140</c:v>
                </c:pt>
                <c:pt idx="1138">
                  <c:v>ORD101141</c:v>
                </c:pt>
                <c:pt idx="1139">
                  <c:v>ORD101142</c:v>
                </c:pt>
                <c:pt idx="1140">
                  <c:v>ORD101143</c:v>
                </c:pt>
                <c:pt idx="1141">
                  <c:v>ORD101144</c:v>
                </c:pt>
                <c:pt idx="1142">
                  <c:v>ORD101145</c:v>
                </c:pt>
                <c:pt idx="1143">
                  <c:v>ORD101146</c:v>
                </c:pt>
                <c:pt idx="1144">
                  <c:v>ORD101147</c:v>
                </c:pt>
                <c:pt idx="1145">
                  <c:v>ORD101148</c:v>
                </c:pt>
                <c:pt idx="1146">
                  <c:v>ORD101149</c:v>
                </c:pt>
                <c:pt idx="1147">
                  <c:v>ORD101150</c:v>
                </c:pt>
                <c:pt idx="1148">
                  <c:v>ORD101151</c:v>
                </c:pt>
                <c:pt idx="1149">
                  <c:v>ORD101152</c:v>
                </c:pt>
                <c:pt idx="1150">
                  <c:v>ORD101153</c:v>
                </c:pt>
                <c:pt idx="1151">
                  <c:v>ORD101154</c:v>
                </c:pt>
                <c:pt idx="1152">
                  <c:v>ORD101155</c:v>
                </c:pt>
                <c:pt idx="1153">
                  <c:v>ORD101156</c:v>
                </c:pt>
                <c:pt idx="1154">
                  <c:v>ORD101157</c:v>
                </c:pt>
                <c:pt idx="1155">
                  <c:v>ORD101158</c:v>
                </c:pt>
                <c:pt idx="1156">
                  <c:v>ORD101159</c:v>
                </c:pt>
                <c:pt idx="1157">
                  <c:v>ORD101160</c:v>
                </c:pt>
                <c:pt idx="1158">
                  <c:v>ORD101161</c:v>
                </c:pt>
                <c:pt idx="1159">
                  <c:v>ORD101162</c:v>
                </c:pt>
                <c:pt idx="1160">
                  <c:v>ORD101163</c:v>
                </c:pt>
                <c:pt idx="1161">
                  <c:v>ORD101164</c:v>
                </c:pt>
                <c:pt idx="1162">
                  <c:v>ORD101165</c:v>
                </c:pt>
                <c:pt idx="1163">
                  <c:v>ORD101166</c:v>
                </c:pt>
                <c:pt idx="1164">
                  <c:v>ORD101167</c:v>
                </c:pt>
                <c:pt idx="1165">
                  <c:v>ORD101168</c:v>
                </c:pt>
                <c:pt idx="1166">
                  <c:v>ORD101169</c:v>
                </c:pt>
                <c:pt idx="1167">
                  <c:v>ORD101170</c:v>
                </c:pt>
                <c:pt idx="1168">
                  <c:v>ORD101171</c:v>
                </c:pt>
                <c:pt idx="1169">
                  <c:v>ORD101172</c:v>
                </c:pt>
                <c:pt idx="1170">
                  <c:v>ORD101173</c:v>
                </c:pt>
                <c:pt idx="1171">
                  <c:v>ORD101174</c:v>
                </c:pt>
                <c:pt idx="1172">
                  <c:v>ORD101175</c:v>
                </c:pt>
                <c:pt idx="1173">
                  <c:v>ORD101176</c:v>
                </c:pt>
                <c:pt idx="1174">
                  <c:v>ORD101177</c:v>
                </c:pt>
                <c:pt idx="1175">
                  <c:v>ORD101178</c:v>
                </c:pt>
                <c:pt idx="1176">
                  <c:v>ORD101179</c:v>
                </c:pt>
                <c:pt idx="1177">
                  <c:v>ORD101180</c:v>
                </c:pt>
                <c:pt idx="1178">
                  <c:v>ORD101181</c:v>
                </c:pt>
                <c:pt idx="1179">
                  <c:v>ORD101182</c:v>
                </c:pt>
                <c:pt idx="1180">
                  <c:v>ORD101183</c:v>
                </c:pt>
                <c:pt idx="1181">
                  <c:v>ORD101184</c:v>
                </c:pt>
                <c:pt idx="1182">
                  <c:v>ORD101185</c:v>
                </c:pt>
                <c:pt idx="1183">
                  <c:v>ORD101186</c:v>
                </c:pt>
                <c:pt idx="1184">
                  <c:v>ORD101187</c:v>
                </c:pt>
                <c:pt idx="1185">
                  <c:v>ORD101188</c:v>
                </c:pt>
                <c:pt idx="1186">
                  <c:v>ORD101189</c:v>
                </c:pt>
                <c:pt idx="1187">
                  <c:v>ORD101190</c:v>
                </c:pt>
                <c:pt idx="1188">
                  <c:v>ORD101191</c:v>
                </c:pt>
                <c:pt idx="1189">
                  <c:v>ORD101192</c:v>
                </c:pt>
                <c:pt idx="1190">
                  <c:v>ORD101193</c:v>
                </c:pt>
                <c:pt idx="1191">
                  <c:v>ORD101194</c:v>
                </c:pt>
                <c:pt idx="1192">
                  <c:v>ORD101195</c:v>
                </c:pt>
                <c:pt idx="1193">
                  <c:v>ORD101196</c:v>
                </c:pt>
                <c:pt idx="1194">
                  <c:v>ORD101197</c:v>
                </c:pt>
                <c:pt idx="1195">
                  <c:v>ORD101198</c:v>
                </c:pt>
                <c:pt idx="1196">
                  <c:v>ORD101199</c:v>
                </c:pt>
                <c:pt idx="1197">
                  <c:v>ORD101200</c:v>
                </c:pt>
                <c:pt idx="1198">
                  <c:v>ORD101201</c:v>
                </c:pt>
                <c:pt idx="1199">
                  <c:v>ORD101202</c:v>
                </c:pt>
                <c:pt idx="1200">
                  <c:v>ORD101203</c:v>
                </c:pt>
                <c:pt idx="1201">
                  <c:v>ORD101204</c:v>
                </c:pt>
                <c:pt idx="1202">
                  <c:v>ORD101205</c:v>
                </c:pt>
                <c:pt idx="1203">
                  <c:v>ORD101206</c:v>
                </c:pt>
                <c:pt idx="1204">
                  <c:v>ORD101207</c:v>
                </c:pt>
                <c:pt idx="1205">
                  <c:v>ORD101208</c:v>
                </c:pt>
                <c:pt idx="1206">
                  <c:v>ORD101209</c:v>
                </c:pt>
                <c:pt idx="1207">
                  <c:v>ORD101210</c:v>
                </c:pt>
                <c:pt idx="1208">
                  <c:v>ORD101211</c:v>
                </c:pt>
                <c:pt idx="1209">
                  <c:v>ORD101212</c:v>
                </c:pt>
                <c:pt idx="1210">
                  <c:v>ORD101213</c:v>
                </c:pt>
                <c:pt idx="1211">
                  <c:v>ORD101214</c:v>
                </c:pt>
                <c:pt idx="1212">
                  <c:v>ORD101215</c:v>
                </c:pt>
                <c:pt idx="1213">
                  <c:v>ORD101216</c:v>
                </c:pt>
                <c:pt idx="1214">
                  <c:v>ORD101217</c:v>
                </c:pt>
                <c:pt idx="1215">
                  <c:v>ORD101218</c:v>
                </c:pt>
                <c:pt idx="1216">
                  <c:v>ORD101219</c:v>
                </c:pt>
                <c:pt idx="1217">
                  <c:v>ORD101220</c:v>
                </c:pt>
                <c:pt idx="1218">
                  <c:v>ORD101221</c:v>
                </c:pt>
                <c:pt idx="1219">
                  <c:v>ORD101222</c:v>
                </c:pt>
                <c:pt idx="1220">
                  <c:v>ORD101223</c:v>
                </c:pt>
                <c:pt idx="1221">
                  <c:v>ORD101224</c:v>
                </c:pt>
                <c:pt idx="1222">
                  <c:v>ORD101225</c:v>
                </c:pt>
                <c:pt idx="1223">
                  <c:v>ORD101226</c:v>
                </c:pt>
                <c:pt idx="1224">
                  <c:v>ORD101227</c:v>
                </c:pt>
                <c:pt idx="1225">
                  <c:v>ORD101228</c:v>
                </c:pt>
                <c:pt idx="1226">
                  <c:v>ORD101229</c:v>
                </c:pt>
                <c:pt idx="1227">
                  <c:v>ORD101230</c:v>
                </c:pt>
                <c:pt idx="1228">
                  <c:v>ORD101231</c:v>
                </c:pt>
                <c:pt idx="1229">
                  <c:v>ORD101232</c:v>
                </c:pt>
                <c:pt idx="1230">
                  <c:v>ORD101233</c:v>
                </c:pt>
                <c:pt idx="1231">
                  <c:v>ORD101234</c:v>
                </c:pt>
                <c:pt idx="1232">
                  <c:v>ORD101235</c:v>
                </c:pt>
                <c:pt idx="1233">
                  <c:v>ORD101236</c:v>
                </c:pt>
                <c:pt idx="1234">
                  <c:v>ORD101237</c:v>
                </c:pt>
                <c:pt idx="1235">
                  <c:v>ORD101238</c:v>
                </c:pt>
                <c:pt idx="1236">
                  <c:v>ORD101239</c:v>
                </c:pt>
                <c:pt idx="1237">
                  <c:v>ORD101240</c:v>
                </c:pt>
                <c:pt idx="1238">
                  <c:v>ORD101241</c:v>
                </c:pt>
                <c:pt idx="1239">
                  <c:v>ORD101242</c:v>
                </c:pt>
                <c:pt idx="1240">
                  <c:v>ORD101243</c:v>
                </c:pt>
                <c:pt idx="1241">
                  <c:v>ORD101244</c:v>
                </c:pt>
                <c:pt idx="1242">
                  <c:v>ORD101245</c:v>
                </c:pt>
                <c:pt idx="1243">
                  <c:v>ORD101246</c:v>
                </c:pt>
                <c:pt idx="1244">
                  <c:v>ORD101247</c:v>
                </c:pt>
                <c:pt idx="1245">
                  <c:v>ORD101248</c:v>
                </c:pt>
                <c:pt idx="1246">
                  <c:v>ORD101249</c:v>
                </c:pt>
                <c:pt idx="1247">
                  <c:v>ORD101250</c:v>
                </c:pt>
                <c:pt idx="1248">
                  <c:v>ORD101251</c:v>
                </c:pt>
                <c:pt idx="1249">
                  <c:v>ORD101252</c:v>
                </c:pt>
                <c:pt idx="1250">
                  <c:v>ORD101253</c:v>
                </c:pt>
                <c:pt idx="1251">
                  <c:v>ORD101254</c:v>
                </c:pt>
                <c:pt idx="1252">
                  <c:v>ORD101255</c:v>
                </c:pt>
                <c:pt idx="1253">
                  <c:v>ORD101256</c:v>
                </c:pt>
                <c:pt idx="1254">
                  <c:v>ORD101257</c:v>
                </c:pt>
                <c:pt idx="1255">
                  <c:v>ORD101258</c:v>
                </c:pt>
                <c:pt idx="1256">
                  <c:v>ORD101259</c:v>
                </c:pt>
                <c:pt idx="1257">
                  <c:v>ORD101260</c:v>
                </c:pt>
                <c:pt idx="1258">
                  <c:v>ORD101261</c:v>
                </c:pt>
                <c:pt idx="1259">
                  <c:v>ORD101262</c:v>
                </c:pt>
                <c:pt idx="1260">
                  <c:v>ORD101263</c:v>
                </c:pt>
                <c:pt idx="1261">
                  <c:v>ORD101264</c:v>
                </c:pt>
                <c:pt idx="1262">
                  <c:v>ORD101265</c:v>
                </c:pt>
                <c:pt idx="1263">
                  <c:v>ORD101266</c:v>
                </c:pt>
                <c:pt idx="1264">
                  <c:v>ORD101267</c:v>
                </c:pt>
                <c:pt idx="1265">
                  <c:v>ORD101268</c:v>
                </c:pt>
                <c:pt idx="1266">
                  <c:v>ORD101269</c:v>
                </c:pt>
                <c:pt idx="1267">
                  <c:v>ORD101270</c:v>
                </c:pt>
                <c:pt idx="1268">
                  <c:v>ORD101271</c:v>
                </c:pt>
                <c:pt idx="1269">
                  <c:v>ORD101272</c:v>
                </c:pt>
                <c:pt idx="1270">
                  <c:v>ORD101273</c:v>
                </c:pt>
                <c:pt idx="1271">
                  <c:v>ORD101274</c:v>
                </c:pt>
                <c:pt idx="1272">
                  <c:v>ORD101275</c:v>
                </c:pt>
                <c:pt idx="1273">
                  <c:v>ORD101276</c:v>
                </c:pt>
                <c:pt idx="1274">
                  <c:v>ORD101277</c:v>
                </c:pt>
                <c:pt idx="1275">
                  <c:v>ORD101278</c:v>
                </c:pt>
                <c:pt idx="1276">
                  <c:v>ORD101279</c:v>
                </c:pt>
                <c:pt idx="1277">
                  <c:v>ORD101280</c:v>
                </c:pt>
                <c:pt idx="1278">
                  <c:v>ORD101281</c:v>
                </c:pt>
                <c:pt idx="1279">
                  <c:v>ORD101282</c:v>
                </c:pt>
                <c:pt idx="1280">
                  <c:v>ORD101283</c:v>
                </c:pt>
                <c:pt idx="1281">
                  <c:v>ORD101284</c:v>
                </c:pt>
                <c:pt idx="1282">
                  <c:v>ORD101285</c:v>
                </c:pt>
                <c:pt idx="1283">
                  <c:v>ORD101286</c:v>
                </c:pt>
                <c:pt idx="1284">
                  <c:v>ORD101287</c:v>
                </c:pt>
                <c:pt idx="1285">
                  <c:v>ORD101288</c:v>
                </c:pt>
                <c:pt idx="1286">
                  <c:v>ORD101289</c:v>
                </c:pt>
                <c:pt idx="1287">
                  <c:v>ORD101290</c:v>
                </c:pt>
                <c:pt idx="1288">
                  <c:v>ORD101291</c:v>
                </c:pt>
                <c:pt idx="1289">
                  <c:v>ORD101292</c:v>
                </c:pt>
                <c:pt idx="1290">
                  <c:v>ORD101293</c:v>
                </c:pt>
                <c:pt idx="1291">
                  <c:v>ORD101294</c:v>
                </c:pt>
                <c:pt idx="1292">
                  <c:v>ORD101295</c:v>
                </c:pt>
                <c:pt idx="1293">
                  <c:v>ORD101296</c:v>
                </c:pt>
                <c:pt idx="1294">
                  <c:v>ORD101297</c:v>
                </c:pt>
                <c:pt idx="1295">
                  <c:v>ORD101298</c:v>
                </c:pt>
                <c:pt idx="1296">
                  <c:v>ORD101299</c:v>
                </c:pt>
                <c:pt idx="1297">
                  <c:v>ORD101300</c:v>
                </c:pt>
                <c:pt idx="1298">
                  <c:v>ORD101301</c:v>
                </c:pt>
                <c:pt idx="1299">
                  <c:v>ORD101302</c:v>
                </c:pt>
                <c:pt idx="1300">
                  <c:v>ORD101303</c:v>
                </c:pt>
                <c:pt idx="1301">
                  <c:v>ORD101304</c:v>
                </c:pt>
                <c:pt idx="1302">
                  <c:v>ORD101305</c:v>
                </c:pt>
                <c:pt idx="1303">
                  <c:v>ORD101306</c:v>
                </c:pt>
                <c:pt idx="1304">
                  <c:v>ORD101307</c:v>
                </c:pt>
                <c:pt idx="1305">
                  <c:v>ORD101308</c:v>
                </c:pt>
                <c:pt idx="1306">
                  <c:v>ORD101309</c:v>
                </c:pt>
                <c:pt idx="1307">
                  <c:v>ORD101310</c:v>
                </c:pt>
                <c:pt idx="1308">
                  <c:v>ORD101311</c:v>
                </c:pt>
                <c:pt idx="1309">
                  <c:v>ORD101312</c:v>
                </c:pt>
                <c:pt idx="1310">
                  <c:v>ORD101313</c:v>
                </c:pt>
                <c:pt idx="1311">
                  <c:v>ORD101314</c:v>
                </c:pt>
                <c:pt idx="1312">
                  <c:v>ORD101315</c:v>
                </c:pt>
                <c:pt idx="1313">
                  <c:v>ORD101316</c:v>
                </c:pt>
                <c:pt idx="1314">
                  <c:v>ORD101317</c:v>
                </c:pt>
                <c:pt idx="1315">
                  <c:v>ORD101318</c:v>
                </c:pt>
                <c:pt idx="1316">
                  <c:v>ORD101319</c:v>
                </c:pt>
                <c:pt idx="1317">
                  <c:v>ORD101320</c:v>
                </c:pt>
                <c:pt idx="1318">
                  <c:v>ORD101321</c:v>
                </c:pt>
                <c:pt idx="1319">
                  <c:v>ORD101322</c:v>
                </c:pt>
                <c:pt idx="1320">
                  <c:v>ORD101324</c:v>
                </c:pt>
                <c:pt idx="1321">
                  <c:v>ORD101325</c:v>
                </c:pt>
                <c:pt idx="1322">
                  <c:v>ORD101326</c:v>
                </c:pt>
                <c:pt idx="1323">
                  <c:v>ORD101327</c:v>
                </c:pt>
                <c:pt idx="1324">
                  <c:v>ORD101328</c:v>
                </c:pt>
                <c:pt idx="1325">
                  <c:v>ORD101329</c:v>
                </c:pt>
                <c:pt idx="1326">
                  <c:v>ORD101330</c:v>
                </c:pt>
                <c:pt idx="1327">
                  <c:v>ORD101331</c:v>
                </c:pt>
                <c:pt idx="1328">
                  <c:v>ORD101332</c:v>
                </c:pt>
                <c:pt idx="1329">
                  <c:v>ORD101333</c:v>
                </c:pt>
                <c:pt idx="1330">
                  <c:v>ORD101334</c:v>
                </c:pt>
                <c:pt idx="1331">
                  <c:v>ORD101335</c:v>
                </c:pt>
                <c:pt idx="1332">
                  <c:v>ORD101336</c:v>
                </c:pt>
                <c:pt idx="1333">
                  <c:v>ORD101337</c:v>
                </c:pt>
                <c:pt idx="1334">
                  <c:v>ORD101338</c:v>
                </c:pt>
                <c:pt idx="1335">
                  <c:v>ORD101339</c:v>
                </c:pt>
                <c:pt idx="1336">
                  <c:v>ORD101340</c:v>
                </c:pt>
                <c:pt idx="1337">
                  <c:v>ORD101341</c:v>
                </c:pt>
                <c:pt idx="1338">
                  <c:v>ORD101342</c:v>
                </c:pt>
                <c:pt idx="1339">
                  <c:v>ORD101343</c:v>
                </c:pt>
                <c:pt idx="1340">
                  <c:v>ORD101344</c:v>
                </c:pt>
                <c:pt idx="1341">
                  <c:v>ORD101345</c:v>
                </c:pt>
                <c:pt idx="1342">
                  <c:v>ORD101346</c:v>
                </c:pt>
                <c:pt idx="1343">
                  <c:v>ORD101347</c:v>
                </c:pt>
                <c:pt idx="1344">
                  <c:v>ORD101348</c:v>
                </c:pt>
                <c:pt idx="1345">
                  <c:v>ORD101349</c:v>
                </c:pt>
                <c:pt idx="1346">
                  <c:v>ORD101350</c:v>
                </c:pt>
                <c:pt idx="1347">
                  <c:v>ORD101351</c:v>
                </c:pt>
                <c:pt idx="1348">
                  <c:v>ORD101352</c:v>
                </c:pt>
                <c:pt idx="1349">
                  <c:v>ORD101353</c:v>
                </c:pt>
                <c:pt idx="1350">
                  <c:v>ORD101354</c:v>
                </c:pt>
                <c:pt idx="1351">
                  <c:v>ORD101355</c:v>
                </c:pt>
                <c:pt idx="1352">
                  <c:v>ORD101356</c:v>
                </c:pt>
                <c:pt idx="1353">
                  <c:v>ORD101357</c:v>
                </c:pt>
                <c:pt idx="1354">
                  <c:v>ORD101358</c:v>
                </c:pt>
                <c:pt idx="1355">
                  <c:v>ORD101359</c:v>
                </c:pt>
                <c:pt idx="1356">
                  <c:v>ORD101360</c:v>
                </c:pt>
                <c:pt idx="1357">
                  <c:v>ORD101361</c:v>
                </c:pt>
                <c:pt idx="1358">
                  <c:v>ORD101362</c:v>
                </c:pt>
                <c:pt idx="1359">
                  <c:v>ORD101363</c:v>
                </c:pt>
                <c:pt idx="1360">
                  <c:v>ORD101364</c:v>
                </c:pt>
                <c:pt idx="1361">
                  <c:v>ORD101365</c:v>
                </c:pt>
                <c:pt idx="1362">
                  <c:v>ORD101366</c:v>
                </c:pt>
                <c:pt idx="1363">
                  <c:v>ORD101367</c:v>
                </c:pt>
                <c:pt idx="1364">
                  <c:v>ORD101368</c:v>
                </c:pt>
                <c:pt idx="1365">
                  <c:v>ORD101369</c:v>
                </c:pt>
                <c:pt idx="1366">
                  <c:v>ORD101370</c:v>
                </c:pt>
                <c:pt idx="1367">
                  <c:v>ORD101371</c:v>
                </c:pt>
                <c:pt idx="1368">
                  <c:v>ORD101372</c:v>
                </c:pt>
                <c:pt idx="1369">
                  <c:v>ORD101373</c:v>
                </c:pt>
                <c:pt idx="1370">
                  <c:v>ORD101374</c:v>
                </c:pt>
                <c:pt idx="1371">
                  <c:v>ORD101375</c:v>
                </c:pt>
                <c:pt idx="1372">
                  <c:v>ORD101376</c:v>
                </c:pt>
                <c:pt idx="1373">
                  <c:v>ORD101377</c:v>
                </c:pt>
                <c:pt idx="1374">
                  <c:v>ORD101378</c:v>
                </c:pt>
                <c:pt idx="1375">
                  <c:v>ORD101379</c:v>
                </c:pt>
                <c:pt idx="1376">
                  <c:v>ORD101380</c:v>
                </c:pt>
                <c:pt idx="1377">
                  <c:v>ORD101381</c:v>
                </c:pt>
                <c:pt idx="1378">
                  <c:v>ORD101382</c:v>
                </c:pt>
                <c:pt idx="1379">
                  <c:v>ORD101383</c:v>
                </c:pt>
                <c:pt idx="1380">
                  <c:v>ORD101384</c:v>
                </c:pt>
                <c:pt idx="1381">
                  <c:v>ORD101385</c:v>
                </c:pt>
                <c:pt idx="1382">
                  <c:v>ORD101386</c:v>
                </c:pt>
                <c:pt idx="1383">
                  <c:v>ORD101387</c:v>
                </c:pt>
                <c:pt idx="1384">
                  <c:v>ORD101388</c:v>
                </c:pt>
                <c:pt idx="1385">
                  <c:v>ORD101389</c:v>
                </c:pt>
                <c:pt idx="1386">
                  <c:v>ORD101390</c:v>
                </c:pt>
                <c:pt idx="1387">
                  <c:v>ORD101391</c:v>
                </c:pt>
                <c:pt idx="1388">
                  <c:v>ORD101392</c:v>
                </c:pt>
                <c:pt idx="1389">
                  <c:v>ORD101393</c:v>
                </c:pt>
                <c:pt idx="1390">
                  <c:v>ORD101394</c:v>
                </c:pt>
                <c:pt idx="1391">
                  <c:v>ORD101395</c:v>
                </c:pt>
                <c:pt idx="1392">
                  <c:v>ORD101396</c:v>
                </c:pt>
                <c:pt idx="1393">
                  <c:v>ORD101397</c:v>
                </c:pt>
                <c:pt idx="1394">
                  <c:v>ORD101398</c:v>
                </c:pt>
                <c:pt idx="1395">
                  <c:v>ORD101399</c:v>
                </c:pt>
                <c:pt idx="1396">
                  <c:v>ORD101400</c:v>
                </c:pt>
                <c:pt idx="1397">
                  <c:v>ORD101401</c:v>
                </c:pt>
                <c:pt idx="1398">
                  <c:v>ORD101402</c:v>
                </c:pt>
                <c:pt idx="1399">
                  <c:v>ORD101403</c:v>
                </c:pt>
                <c:pt idx="1400">
                  <c:v>ORD101404</c:v>
                </c:pt>
                <c:pt idx="1401">
                  <c:v>ORD101405</c:v>
                </c:pt>
                <c:pt idx="1402">
                  <c:v>ORD101406</c:v>
                </c:pt>
                <c:pt idx="1403">
                  <c:v>ORD101407</c:v>
                </c:pt>
                <c:pt idx="1404">
                  <c:v>ORD101408</c:v>
                </c:pt>
                <c:pt idx="1405">
                  <c:v>ORD101409</c:v>
                </c:pt>
                <c:pt idx="1406">
                  <c:v>ORD101410</c:v>
                </c:pt>
                <c:pt idx="1407">
                  <c:v>ORD101411</c:v>
                </c:pt>
                <c:pt idx="1408">
                  <c:v>ORD101412</c:v>
                </c:pt>
                <c:pt idx="1409">
                  <c:v>ORD101413</c:v>
                </c:pt>
                <c:pt idx="1410">
                  <c:v>ORD101414</c:v>
                </c:pt>
                <c:pt idx="1411">
                  <c:v>ORD101415</c:v>
                </c:pt>
                <c:pt idx="1412">
                  <c:v>ORD101416</c:v>
                </c:pt>
                <c:pt idx="1413">
                  <c:v>ORD101417</c:v>
                </c:pt>
                <c:pt idx="1414">
                  <c:v>ORD101418</c:v>
                </c:pt>
                <c:pt idx="1415">
                  <c:v>ORD101419</c:v>
                </c:pt>
                <c:pt idx="1416">
                  <c:v>ORD101420</c:v>
                </c:pt>
                <c:pt idx="1417">
                  <c:v>ORD101421</c:v>
                </c:pt>
                <c:pt idx="1418">
                  <c:v>ORD101422</c:v>
                </c:pt>
                <c:pt idx="1419">
                  <c:v>ORD101423</c:v>
                </c:pt>
                <c:pt idx="1420">
                  <c:v>ORD101424</c:v>
                </c:pt>
                <c:pt idx="1421">
                  <c:v>ORD101425</c:v>
                </c:pt>
                <c:pt idx="1422">
                  <c:v>ORD101426</c:v>
                </c:pt>
                <c:pt idx="1423">
                  <c:v>ORD101427</c:v>
                </c:pt>
                <c:pt idx="1424">
                  <c:v>ORD101428</c:v>
                </c:pt>
                <c:pt idx="1425">
                  <c:v>ORD101429</c:v>
                </c:pt>
                <c:pt idx="1426">
                  <c:v>ORD101430</c:v>
                </c:pt>
                <c:pt idx="1427">
                  <c:v>ORD101431</c:v>
                </c:pt>
                <c:pt idx="1428">
                  <c:v>ORD101432</c:v>
                </c:pt>
                <c:pt idx="1429">
                  <c:v>ORD101433</c:v>
                </c:pt>
                <c:pt idx="1430">
                  <c:v>ORD101434</c:v>
                </c:pt>
                <c:pt idx="1431">
                  <c:v>ORD101435</c:v>
                </c:pt>
                <c:pt idx="1432">
                  <c:v>ORD101436</c:v>
                </c:pt>
                <c:pt idx="1433">
                  <c:v>ORD101437</c:v>
                </c:pt>
                <c:pt idx="1434">
                  <c:v>ORD101438</c:v>
                </c:pt>
                <c:pt idx="1435">
                  <c:v>ORD101439</c:v>
                </c:pt>
                <c:pt idx="1436">
                  <c:v>ORD101440</c:v>
                </c:pt>
                <c:pt idx="1437">
                  <c:v>ORD101441</c:v>
                </c:pt>
                <c:pt idx="1438">
                  <c:v>ORD101442</c:v>
                </c:pt>
                <c:pt idx="1439">
                  <c:v>ORD101443</c:v>
                </c:pt>
                <c:pt idx="1440">
                  <c:v>ORD101444</c:v>
                </c:pt>
                <c:pt idx="1441">
                  <c:v>ORD101445</c:v>
                </c:pt>
                <c:pt idx="1442">
                  <c:v>ORD101446</c:v>
                </c:pt>
                <c:pt idx="1443">
                  <c:v>ORD101447</c:v>
                </c:pt>
                <c:pt idx="1444">
                  <c:v>ORD101448</c:v>
                </c:pt>
                <c:pt idx="1445">
                  <c:v>ORD101449</c:v>
                </c:pt>
                <c:pt idx="1446">
                  <c:v>ORD101450</c:v>
                </c:pt>
                <c:pt idx="1447">
                  <c:v>ORD101451</c:v>
                </c:pt>
                <c:pt idx="1448">
                  <c:v>ORD101452</c:v>
                </c:pt>
                <c:pt idx="1449">
                  <c:v>ORD101453</c:v>
                </c:pt>
                <c:pt idx="1450">
                  <c:v>ORD101454</c:v>
                </c:pt>
                <c:pt idx="1451">
                  <c:v>ORD101455</c:v>
                </c:pt>
                <c:pt idx="1452">
                  <c:v>ORD101456</c:v>
                </c:pt>
                <c:pt idx="1453">
                  <c:v>ORD101457</c:v>
                </c:pt>
                <c:pt idx="1454">
                  <c:v>ORD101458</c:v>
                </c:pt>
                <c:pt idx="1455">
                  <c:v>ORD101459</c:v>
                </c:pt>
                <c:pt idx="1456">
                  <c:v>ORD101460</c:v>
                </c:pt>
                <c:pt idx="1457">
                  <c:v>ORD101461</c:v>
                </c:pt>
                <c:pt idx="1458">
                  <c:v>ORD101462</c:v>
                </c:pt>
                <c:pt idx="1459">
                  <c:v>ORD101463</c:v>
                </c:pt>
                <c:pt idx="1460">
                  <c:v>ORD101464</c:v>
                </c:pt>
                <c:pt idx="1461">
                  <c:v>ORD101465</c:v>
                </c:pt>
                <c:pt idx="1462">
                  <c:v>ORD101466</c:v>
                </c:pt>
                <c:pt idx="1463">
                  <c:v>ORD101467</c:v>
                </c:pt>
                <c:pt idx="1464">
                  <c:v>ORD101468</c:v>
                </c:pt>
                <c:pt idx="1465">
                  <c:v>ORD101469</c:v>
                </c:pt>
                <c:pt idx="1466">
                  <c:v>ORD101470</c:v>
                </c:pt>
                <c:pt idx="1467">
                  <c:v>ORD101471</c:v>
                </c:pt>
                <c:pt idx="1468">
                  <c:v>ORD101472</c:v>
                </c:pt>
                <c:pt idx="1469">
                  <c:v>ORD101473</c:v>
                </c:pt>
                <c:pt idx="1470">
                  <c:v>ORD101474</c:v>
                </c:pt>
                <c:pt idx="1471">
                  <c:v>ORD101475</c:v>
                </c:pt>
                <c:pt idx="1472">
                  <c:v>ORD101476</c:v>
                </c:pt>
                <c:pt idx="1473">
                  <c:v>ORD101477</c:v>
                </c:pt>
                <c:pt idx="1474">
                  <c:v>ORD101478</c:v>
                </c:pt>
                <c:pt idx="1475">
                  <c:v>ORD101479</c:v>
                </c:pt>
                <c:pt idx="1476">
                  <c:v>ORD101480</c:v>
                </c:pt>
                <c:pt idx="1477">
                  <c:v>ORD101481</c:v>
                </c:pt>
                <c:pt idx="1478">
                  <c:v>ORD101482</c:v>
                </c:pt>
                <c:pt idx="1479">
                  <c:v>ORD101483</c:v>
                </c:pt>
                <c:pt idx="1480">
                  <c:v>ORD101484</c:v>
                </c:pt>
                <c:pt idx="1481">
                  <c:v>ORD101485</c:v>
                </c:pt>
                <c:pt idx="1482">
                  <c:v>ORD101486</c:v>
                </c:pt>
                <c:pt idx="1483">
                  <c:v>ORD101487</c:v>
                </c:pt>
                <c:pt idx="1484">
                  <c:v>ORD101488</c:v>
                </c:pt>
                <c:pt idx="1485">
                  <c:v>ORD101489</c:v>
                </c:pt>
                <c:pt idx="1486">
                  <c:v>ORD101490</c:v>
                </c:pt>
                <c:pt idx="1487">
                  <c:v>ORD101491</c:v>
                </c:pt>
                <c:pt idx="1488">
                  <c:v>ORD101492</c:v>
                </c:pt>
                <c:pt idx="1489">
                  <c:v>ORD101493</c:v>
                </c:pt>
                <c:pt idx="1490">
                  <c:v>ORD101494</c:v>
                </c:pt>
                <c:pt idx="1491">
                  <c:v>ORD101495</c:v>
                </c:pt>
                <c:pt idx="1492">
                  <c:v>ORD101496</c:v>
                </c:pt>
                <c:pt idx="1493">
                  <c:v>ORD101497</c:v>
                </c:pt>
                <c:pt idx="1494">
                  <c:v>ORD101498</c:v>
                </c:pt>
                <c:pt idx="1495">
                  <c:v>ORD101499</c:v>
                </c:pt>
                <c:pt idx="1496">
                  <c:v>ORD101500</c:v>
                </c:pt>
                <c:pt idx="1497">
                  <c:v>ORD101501</c:v>
                </c:pt>
                <c:pt idx="1498">
                  <c:v>ORD101502</c:v>
                </c:pt>
                <c:pt idx="1499">
                  <c:v>ORD101503</c:v>
                </c:pt>
                <c:pt idx="1500">
                  <c:v>ORD101504</c:v>
                </c:pt>
                <c:pt idx="1501">
                  <c:v>ORD101505</c:v>
                </c:pt>
                <c:pt idx="1502">
                  <c:v>ORD101506</c:v>
                </c:pt>
                <c:pt idx="1503">
                  <c:v>ORD101507</c:v>
                </c:pt>
                <c:pt idx="1504">
                  <c:v>ORD101508</c:v>
                </c:pt>
                <c:pt idx="1505">
                  <c:v>ORD101509</c:v>
                </c:pt>
                <c:pt idx="1506">
                  <c:v>ORD101510</c:v>
                </c:pt>
                <c:pt idx="1507">
                  <c:v>ORD101511</c:v>
                </c:pt>
                <c:pt idx="1508">
                  <c:v>ORD101512</c:v>
                </c:pt>
                <c:pt idx="1509">
                  <c:v>ORD101513</c:v>
                </c:pt>
                <c:pt idx="1510">
                  <c:v>ORD101514</c:v>
                </c:pt>
                <c:pt idx="1511">
                  <c:v>ORD101515</c:v>
                </c:pt>
                <c:pt idx="1512">
                  <c:v>ORD101516</c:v>
                </c:pt>
                <c:pt idx="1513">
                  <c:v>ORD101517</c:v>
                </c:pt>
                <c:pt idx="1514">
                  <c:v>ORD101518</c:v>
                </c:pt>
                <c:pt idx="1515">
                  <c:v>ORD101519</c:v>
                </c:pt>
                <c:pt idx="1516">
                  <c:v>ORD101520</c:v>
                </c:pt>
                <c:pt idx="1517">
                  <c:v>ORD101521</c:v>
                </c:pt>
                <c:pt idx="1518">
                  <c:v>ORD101522</c:v>
                </c:pt>
                <c:pt idx="1519">
                  <c:v>ORD101523</c:v>
                </c:pt>
                <c:pt idx="1520">
                  <c:v>ORD101524</c:v>
                </c:pt>
                <c:pt idx="1521">
                  <c:v>ORD101525</c:v>
                </c:pt>
                <c:pt idx="1522">
                  <c:v>ORD101526</c:v>
                </c:pt>
                <c:pt idx="1523">
                  <c:v>ORD101527</c:v>
                </c:pt>
                <c:pt idx="1524">
                  <c:v>ORD101528</c:v>
                </c:pt>
                <c:pt idx="1525">
                  <c:v>ORD101529</c:v>
                </c:pt>
                <c:pt idx="1526">
                  <c:v>ORD101530</c:v>
                </c:pt>
                <c:pt idx="1527">
                  <c:v>ORD101531</c:v>
                </c:pt>
                <c:pt idx="1528">
                  <c:v>ORD101532</c:v>
                </c:pt>
                <c:pt idx="1529">
                  <c:v>ORD101533</c:v>
                </c:pt>
                <c:pt idx="1530">
                  <c:v>ORD101534</c:v>
                </c:pt>
                <c:pt idx="1531">
                  <c:v>ORD101535</c:v>
                </c:pt>
                <c:pt idx="1532">
                  <c:v>ORD101536</c:v>
                </c:pt>
                <c:pt idx="1533">
                  <c:v>ORD101537</c:v>
                </c:pt>
                <c:pt idx="1534">
                  <c:v>ORD101538</c:v>
                </c:pt>
                <c:pt idx="1535">
                  <c:v>ORD101539</c:v>
                </c:pt>
                <c:pt idx="1536">
                  <c:v>ORD101540</c:v>
                </c:pt>
                <c:pt idx="1537">
                  <c:v>ORD101541</c:v>
                </c:pt>
                <c:pt idx="1538">
                  <c:v>ORD101542</c:v>
                </c:pt>
                <c:pt idx="1539">
                  <c:v>ORD101543</c:v>
                </c:pt>
                <c:pt idx="1540">
                  <c:v>ORD101544</c:v>
                </c:pt>
                <c:pt idx="1541">
                  <c:v>ORD101545</c:v>
                </c:pt>
                <c:pt idx="1542">
                  <c:v>ORD101546</c:v>
                </c:pt>
                <c:pt idx="1543">
                  <c:v>ORD101547</c:v>
                </c:pt>
                <c:pt idx="1544">
                  <c:v>ORD101548</c:v>
                </c:pt>
                <c:pt idx="1545">
                  <c:v>ORD101549</c:v>
                </c:pt>
                <c:pt idx="1546">
                  <c:v>ORD101550</c:v>
                </c:pt>
                <c:pt idx="1547">
                  <c:v>ORD101551</c:v>
                </c:pt>
                <c:pt idx="1548">
                  <c:v>ORD101552</c:v>
                </c:pt>
                <c:pt idx="1549">
                  <c:v>ORD101553</c:v>
                </c:pt>
                <c:pt idx="1550">
                  <c:v>ORD101554</c:v>
                </c:pt>
                <c:pt idx="1551">
                  <c:v>ORD101555</c:v>
                </c:pt>
                <c:pt idx="1552">
                  <c:v>ORD101556</c:v>
                </c:pt>
                <c:pt idx="1553">
                  <c:v>ORD101557</c:v>
                </c:pt>
                <c:pt idx="1554">
                  <c:v>ORD101558</c:v>
                </c:pt>
                <c:pt idx="1555">
                  <c:v>ORD101559</c:v>
                </c:pt>
                <c:pt idx="1556">
                  <c:v>ORD101560</c:v>
                </c:pt>
                <c:pt idx="1557">
                  <c:v>ORD101561</c:v>
                </c:pt>
                <c:pt idx="1558">
                  <c:v>ORD101562</c:v>
                </c:pt>
                <c:pt idx="1559">
                  <c:v>ORD101563</c:v>
                </c:pt>
                <c:pt idx="1560">
                  <c:v>ORD101564</c:v>
                </c:pt>
                <c:pt idx="1561">
                  <c:v>ORD101565</c:v>
                </c:pt>
                <c:pt idx="1562">
                  <c:v>ORD101566</c:v>
                </c:pt>
                <c:pt idx="1563">
                  <c:v>ORD101567</c:v>
                </c:pt>
                <c:pt idx="1564">
                  <c:v>ORD101568</c:v>
                </c:pt>
                <c:pt idx="1565">
                  <c:v>ORD101569</c:v>
                </c:pt>
                <c:pt idx="1566">
                  <c:v>ORD101570</c:v>
                </c:pt>
                <c:pt idx="1567">
                  <c:v>ORD101571</c:v>
                </c:pt>
                <c:pt idx="1568">
                  <c:v>ORD101572</c:v>
                </c:pt>
                <c:pt idx="1569">
                  <c:v>ORD101573</c:v>
                </c:pt>
                <c:pt idx="1570">
                  <c:v>ORD101574</c:v>
                </c:pt>
                <c:pt idx="1571">
                  <c:v>ORD101575</c:v>
                </c:pt>
                <c:pt idx="1572">
                  <c:v>ORD101576</c:v>
                </c:pt>
                <c:pt idx="1573">
                  <c:v>ORD101577</c:v>
                </c:pt>
                <c:pt idx="1574">
                  <c:v>ORD101578</c:v>
                </c:pt>
                <c:pt idx="1575">
                  <c:v>ORD101579</c:v>
                </c:pt>
                <c:pt idx="1576">
                  <c:v>ORD101580</c:v>
                </c:pt>
                <c:pt idx="1577">
                  <c:v>ORD101581</c:v>
                </c:pt>
                <c:pt idx="1578">
                  <c:v>ORD101582</c:v>
                </c:pt>
                <c:pt idx="1579">
                  <c:v>ORD101583</c:v>
                </c:pt>
                <c:pt idx="1580">
                  <c:v>ORD101584</c:v>
                </c:pt>
                <c:pt idx="1581">
                  <c:v>ORD101585</c:v>
                </c:pt>
                <c:pt idx="1582">
                  <c:v>ORD101586</c:v>
                </c:pt>
                <c:pt idx="1583">
                  <c:v>ORD101587</c:v>
                </c:pt>
                <c:pt idx="1584">
                  <c:v>ORD101588</c:v>
                </c:pt>
                <c:pt idx="1585">
                  <c:v>ORD101589</c:v>
                </c:pt>
                <c:pt idx="1586">
                  <c:v>ORD101590</c:v>
                </c:pt>
                <c:pt idx="1587">
                  <c:v>ORD101591</c:v>
                </c:pt>
                <c:pt idx="1588">
                  <c:v>ORD101592</c:v>
                </c:pt>
                <c:pt idx="1589">
                  <c:v>ORD101593</c:v>
                </c:pt>
                <c:pt idx="1590">
                  <c:v>ORD101594</c:v>
                </c:pt>
                <c:pt idx="1591">
                  <c:v>ORD101595</c:v>
                </c:pt>
                <c:pt idx="1592">
                  <c:v>ORD101596</c:v>
                </c:pt>
                <c:pt idx="1593">
                  <c:v>ORD101597</c:v>
                </c:pt>
                <c:pt idx="1594">
                  <c:v>ORD101598</c:v>
                </c:pt>
                <c:pt idx="1595">
                  <c:v>ORD101599</c:v>
                </c:pt>
                <c:pt idx="1596">
                  <c:v>ORD101600</c:v>
                </c:pt>
                <c:pt idx="1597">
                  <c:v>ORD101601</c:v>
                </c:pt>
                <c:pt idx="1598">
                  <c:v>ORD101602</c:v>
                </c:pt>
                <c:pt idx="1599">
                  <c:v>ORD101603</c:v>
                </c:pt>
                <c:pt idx="1600">
                  <c:v>ORD101604</c:v>
                </c:pt>
                <c:pt idx="1601">
                  <c:v>ORD101605</c:v>
                </c:pt>
                <c:pt idx="1602">
                  <c:v>ORD101606</c:v>
                </c:pt>
                <c:pt idx="1603">
                  <c:v>ORD101607</c:v>
                </c:pt>
                <c:pt idx="1604">
                  <c:v>ORD101608</c:v>
                </c:pt>
                <c:pt idx="1605">
                  <c:v>ORD101609</c:v>
                </c:pt>
                <c:pt idx="1606">
                  <c:v>ORD101610</c:v>
                </c:pt>
                <c:pt idx="1607">
                  <c:v>ORD101611</c:v>
                </c:pt>
                <c:pt idx="1608">
                  <c:v>ORD101612</c:v>
                </c:pt>
                <c:pt idx="1609">
                  <c:v>ORD101613</c:v>
                </c:pt>
                <c:pt idx="1610">
                  <c:v>ORD101614</c:v>
                </c:pt>
                <c:pt idx="1611">
                  <c:v>ORD101615</c:v>
                </c:pt>
                <c:pt idx="1612">
                  <c:v>ORD101616</c:v>
                </c:pt>
                <c:pt idx="1613">
                  <c:v>ORD101617</c:v>
                </c:pt>
                <c:pt idx="1614">
                  <c:v>ORD101618</c:v>
                </c:pt>
                <c:pt idx="1615">
                  <c:v>ORD101619</c:v>
                </c:pt>
                <c:pt idx="1616">
                  <c:v>ORD101620</c:v>
                </c:pt>
                <c:pt idx="1617">
                  <c:v>ORD101621</c:v>
                </c:pt>
                <c:pt idx="1618">
                  <c:v>ORD101622</c:v>
                </c:pt>
                <c:pt idx="1619">
                  <c:v>ORD101623</c:v>
                </c:pt>
                <c:pt idx="1620">
                  <c:v>ORD101624</c:v>
                </c:pt>
                <c:pt idx="1621">
                  <c:v>ORD101625</c:v>
                </c:pt>
                <c:pt idx="1622">
                  <c:v>ORD101626</c:v>
                </c:pt>
                <c:pt idx="1623">
                  <c:v>ORD101627</c:v>
                </c:pt>
                <c:pt idx="1624">
                  <c:v>ORD101628</c:v>
                </c:pt>
                <c:pt idx="1625">
                  <c:v>ORD101629</c:v>
                </c:pt>
                <c:pt idx="1626">
                  <c:v>ORD101630</c:v>
                </c:pt>
                <c:pt idx="1627">
                  <c:v>ORD101631</c:v>
                </c:pt>
                <c:pt idx="1628">
                  <c:v>ORD101632</c:v>
                </c:pt>
                <c:pt idx="1629">
                  <c:v>ORD101633</c:v>
                </c:pt>
                <c:pt idx="1630">
                  <c:v>ORD101634</c:v>
                </c:pt>
                <c:pt idx="1631">
                  <c:v>ORD101635</c:v>
                </c:pt>
                <c:pt idx="1632">
                  <c:v>ORD101636</c:v>
                </c:pt>
                <c:pt idx="1633">
                  <c:v>ORD101637</c:v>
                </c:pt>
                <c:pt idx="1634">
                  <c:v>ORD101638</c:v>
                </c:pt>
                <c:pt idx="1635">
                  <c:v>ORD101639</c:v>
                </c:pt>
                <c:pt idx="1636">
                  <c:v>ORD101640</c:v>
                </c:pt>
                <c:pt idx="1637">
                  <c:v>ORD101641</c:v>
                </c:pt>
                <c:pt idx="1638">
                  <c:v>ORD101642</c:v>
                </c:pt>
                <c:pt idx="1639">
                  <c:v>ORD101643</c:v>
                </c:pt>
                <c:pt idx="1640">
                  <c:v>ORD101644</c:v>
                </c:pt>
                <c:pt idx="1641">
                  <c:v>ORD101645</c:v>
                </c:pt>
                <c:pt idx="1642">
                  <c:v>ORD101646</c:v>
                </c:pt>
                <c:pt idx="1643">
                  <c:v>ORD101647</c:v>
                </c:pt>
                <c:pt idx="1644">
                  <c:v>ORD101648</c:v>
                </c:pt>
                <c:pt idx="1645">
                  <c:v>ORD101649</c:v>
                </c:pt>
                <c:pt idx="1646">
                  <c:v>ORD101650</c:v>
                </c:pt>
                <c:pt idx="1647">
                  <c:v>ORD101651</c:v>
                </c:pt>
                <c:pt idx="1648">
                  <c:v>ORD101652</c:v>
                </c:pt>
                <c:pt idx="1649">
                  <c:v>ORD101653</c:v>
                </c:pt>
                <c:pt idx="1650">
                  <c:v>ORD101654</c:v>
                </c:pt>
                <c:pt idx="1651">
                  <c:v>ORD101655</c:v>
                </c:pt>
                <c:pt idx="1652">
                  <c:v>ORD101656</c:v>
                </c:pt>
                <c:pt idx="1653">
                  <c:v>ORD101657</c:v>
                </c:pt>
                <c:pt idx="1654">
                  <c:v>ORD101658</c:v>
                </c:pt>
                <c:pt idx="1655">
                  <c:v>ORD101659</c:v>
                </c:pt>
                <c:pt idx="1656">
                  <c:v>ORD101660</c:v>
                </c:pt>
                <c:pt idx="1657">
                  <c:v>ORD101661</c:v>
                </c:pt>
                <c:pt idx="1658">
                  <c:v>ORD101662</c:v>
                </c:pt>
                <c:pt idx="1659">
                  <c:v>ORD101663</c:v>
                </c:pt>
                <c:pt idx="1660">
                  <c:v>ORD101664</c:v>
                </c:pt>
                <c:pt idx="1661">
                  <c:v>ORD101665</c:v>
                </c:pt>
                <c:pt idx="1662">
                  <c:v>ORD101666</c:v>
                </c:pt>
                <c:pt idx="1663">
                  <c:v>ORD101667</c:v>
                </c:pt>
                <c:pt idx="1664">
                  <c:v>ORD101668</c:v>
                </c:pt>
                <c:pt idx="1665">
                  <c:v>ORD101669</c:v>
                </c:pt>
                <c:pt idx="1666">
                  <c:v>ORD101670</c:v>
                </c:pt>
                <c:pt idx="1667">
                  <c:v>ORD101671</c:v>
                </c:pt>
                <c:pt idx="1668">
                  <c:v>ORD101672</c:v>
                </c:pt>
                <c:pt idx="1669">
                  <c:v>ORD101673</c:v>
                </c:pt>
                <c:pt idx="1670">
                  <c:v>ORD101674</c:v>
                </c:pt>
                <c:pt idx="1671">
                  <c:v>ORD101675</c:v>
                </c:pt>
                <c:pt idx="1672">
                  <c:v>ORD101676</c:v>
                </c:pt>
                <c:pt idx="1673">
                  <c:v>ORD101677</c:v>
                </c:pt>
                <c:pt idx="1674">
                  <c:v>ORD101678</c:v>
                </c:pt>
                <c:pt idx="1675">
                  <c:v>ORD101679</c:v>
                </c:pt>
                <c:pt idx="1676">
                  <c:v>ORD101680</c:v>
                </c:pt>
                <c:pt idx="1677">
                  <c:v>ORD101681</c:v>
                </c:pt>
                <c:pt idx="1678">
                  <c:v>ORD101682</c:v>
                </c:pt>
                <c:pt idx="1679">
                  <c:v>ORD101683</c:v>
                </c:pt>
                <c:pt idx="1680">
                  <c:v>ORD101684</c:v>
                </c:pt>
                <c:pt idx="1681">
                  <c:v>ORD101685</c:v>
                </c:pt>
                <c:pt idx="1682">
                  <c:v>ORD101686</c:v>
                </c:pt>
                <c:pt idx="1683">
                  <c:v>ORD101687</c:v>
                </c:pt>
                <c:pt idx="1684">
                  <c:v>ORD101688</c:v>
                </c:pt>
                <c:pt idx="1685">
                  <c:v>ORD101689</c:v>
                </c:pt>
                <c:pt idx="1686">
                  <c:v>ORD101690</c:v>
                </c:pt>
                <c:pt idx="1687">
                  <c:v>ORD101691</c:v>
                </c:pt>
                <c:pt idx="1688">
                  <c:v>ORD101692</c:v>
                </c:pt>
                <c:pt idx="1689">
                  <c:v>ORD101693</c:v>
                </c:pt>
                <c:pt idx="1690">
                  <c:v>ORD101694</c:v>
                </c:pt>
                <c:pt idx="1691">
                  <c:v>ORD101695</c:v>
                </c:pt>
                <c:pt idx="1692">
                  <c:v>ORD101696</c:v>
                </c:pt>
                <c:pt idx="1693">
                  <c:v>ORD101697</c:v>
                </c:pt>
                <c:pt idx="1694">
                  <c:v>ORD101698</c:v>
                </c:pt>
                <c:pt idx="1695">
                  <c:v>ORD101699</c:v>
                </c:pt>
                <c:pt idx="1696">
                  <c:v>ORD101700</c:v>
                </c:pt>
                <c:pt idx="1697">
                  <c:v>ORD101701</c:v>
                </c:pt>
                <c:pt idx="1698">
                  <c:v>ORD101702</c:v>
                </c:pt>
                <c:pt idx="1699">
                  <c:v>ORD101703</c:v>
                </c:pt>
                <c:pt idx="1700">
                  <c:v>ORD101704</c:v>
                </c:pt>
                <c:pt idx="1701">
                  <c:v>ORD101705</c:v>
                </c:pt>
                <c:pt idx="1702">
                  <c:v>ORD101706</c:v>
                </c:pt>
                <c:pt idx="1703">
                  <c:v>ORD101707</c:v>
                </c:pt>
                <c:pt idx="1704">
                  <c:v>ORD101708</c:v>
                </c:pt>
                <c:pt idx="1705">
                  <c:v>ORD101709</c:v>
                </c:pt>
                <c:pt idx="1706">
                  <c:v>ORD101710</c:v>
                </c:pt>
                <c:pt idx="1707">
                  <c:v>ORD101711</c:v>
                </c:pt>
                <c:pt idx="1708">
                  <c:v>ORD101712</c:v>
                </c:pt>
                <c:pt idx="1709">
                  <c:v>ORD101713</c:v>
                </c:pt>
                <c:pt idx="1710">
                  <c:v>ORD101714</c:v>
                </c:pt>
                <c:pt idx="1711">
                  <c:v>ORD101715</c:v>
                </c:pt>
                <c:pt idx="1712">
                  <c:v>ORD101716</c:v>
                </c:pt>
                <c:pt idx="1713">
                  <c:v>ORD101717</c:v>
                </c:pt>
                <c:pt idx="1714">
                  <c:v>ORD101718</c:v>
                </c:pt>
                <c:pt idx="1715">
                  <c:v>ORD101719</c:v>
                </c:pt>
                <c:pt idx="1716">
                  <c:v>ORD101720</c:v>
                </c:pt>
                <c:pt idx="1717">
                  <c:v>ORD101721</c:v>
                </c:pt>
                <c:pt idx="1718">
                  <c:v>ORD101722</c:v>
                </c:pt>
                <c:pt idx="1719">
                  <c:v>ORD101723</c:v>
                </c:pt>
                <c:pt idx="1720">
                  <c:v>ORD101725</c:v>
                </c:pt>
                <c:pt idx="1721">
                  <c:v>ORD101726</c:v>
                </c:pt>
                <c:pt idx="1722">
                  <c:v>ORD101727</c:v>
                </c:pt>
                <c:pt idx="1723">
                  <c:v>ORD101728</c:v>
                </c:pt>
                <c:pt idx="1724">
                  <c:v>ORD101729</c:v>
                </c:pt>
                <c:pt idx="1725">
                  <c:v>ORD101730</c:v>
                </c:pt>
                <c:pt idx="1726">
                  <c:v>ORD101731</c:v>
                </c:pt>
                <c:pt idx="1727">
                  <c:v>ORD101732</c:v>
                </c:pt>
                <c:pt idx="1728">
                  <c:v>ORD101733</c:v>
                </c:pt>
                <c:pt idx="1729">
                  <c:v>ORD101734</c:v>
                </c:pt>
                <c:pt idx="1730">
                  <c:v>ORD101735</c:v>
                </c:pt>
                <c:pt idx="1731">
                  <c:v>ORD101736</c:v>
                </c:pt>
                <c:pt idx="1732">
                  <c:v>ORD101737</c:v>
                </c:pt>
                <c:pt idx="1733">
                  <c:v>ORD101738</c:v>
                </c:pt>
                <c:pt idx="1734">
                  <c:v>ORD101739</c:v>
                </c:pt>
                <c:pt idx="1735">
                  <c:v>ORD101740</c:v>
                </c:pt>
                <c:pt idx="1736">
                  <c:v>ORD101741</c:v>
                </c:pt>
                <c:pt idx="1737">
                  <c:v>ORD101742</c:v>
                </c:pt>
                <c:pt idx="1738">
                  <c:v>ORD101743</c:v>
                </c:pt>
                <c:pt idx="1739">
                  <c:v>ORD101744</c:v>
                </c:pt>
                <c:pt idx="1740">
                  <c:v>ORD101745</c:v>
                </c:pt>
                <c:pt idx="1741">
                  <c:v>ORD101746</c:v>
                </c:pt>
                <c:pt idx="1742">
                  <c:v>ORD101747</c:v>
                </c:pt>
                <c:pt idx="1743">
                  <c:v>ORD101748</c:v>
                </c:pt>
                <c:pt idx="1744">
                  <c:v>ORD101749</c:v>
                </c:pt>
                <c:pt idx="1745">
                  <c:v>ORD101750</c:v>
                </c:pt>
                <c:pt idx="1746">
                  <c:v>ORD101751</c:v>
                </c:pt>
                <c:pt idx="1747">
                  <c:v>ORD101752</c:v>
                </c:pt>
                <c:pt idx="1748">
                  <c:v>ORD101753</c:v>
                </c:pt>
                <c:pt idx="1749">
                  <c:v>ORD101754</c:v>
                </c:pt>
                <c:pt idx="1750">
                  <c:v>ORD101755</c:v>
                </c:pt>
                <c:pt idx="1751">
                  <c:v>ORD101756</c:v>
                </c:pt>
                <c:pt idx="1752">
                  <c:v>ORD101757</c:v>
                </c:pt>
                <c:pt idx="1753">
                  <c:v>ORD101758</c:v>
                </c:pt>
                <c:pt idx="1754">
                  <c:v>ORD101759</c:v>
                </c:pt>
                <c:pt idx="1755">
                  <c:v>ORD101760</c:v>
                </c:pt>
                <c:pt idx="1756">
                  <c:v>ORD101761</c:v>
                </c:pt>
                <c:pt idx="1757">
                  <c:v>ORD101762</c:v>
                </c:pt>
                <c:pt idx="1758">
                  <c:v>ORD101763</c:v>
                </c:pt>
                <c:pt idx="1759">
                  <c:v>ORD101764</c:v>
                </c:pt>
                <c:pt idx="1760">
                  <c:v>ORD101765</c:v>
                </c:pt>
                <c:pt idx="1761">
                  <c:v>ORD101766</c:v>
                </c:pt>
                <c:pt idx="1762">
                  <c:v>ORD101767</c:v>
                </c:pt>
                <c:pt idx="1763">
                  <c:v>ORD101768</c:v>
                </c:pt>
                <c:pt idx="1764">
                  <c:v>ORD101769</c:v>
                </c:pt>
                <c:pt idx="1765">
                  <c:v>ORD101770</c:v>
                </c:pt>
                <c:pt idx="1766">
                  <c:v>ORD101771</c:v>
                </c:pt>
                <c:pt idx="1767">
                  <c:v>ORD101772</c:v>
                </c:pt>
                <c:pt idx="1768">
                  <c:v>ORD101773</c:v>
                </c:pt>
                <c:pt idx="1769">
                  <c:v>ORD101774</c:v>
                </c:pt>
                <c:pt idx="1770">
                  <c:v>ORD101775</c:v>
                </c:pt>
                <c:pt idx="1771">
                  <c:v>ORD101776</c:v>
                </c:pt>
                <c:pt idx="1772">
                  <c:v>ORD101777</c:v>
                </c:pt>
                <c:pt idx="1773">
                  <c:v>ORD101778</c:v>
                </c:pt>
                <c:pt idx="1774">
                  <c:v>ORD101779</c:v>
                </c:pt>
                <c:pt idx="1775">
                  <c:v>ORD101780</c:v>
                </c:pt>
                <c:pt idx="1776">
                  <c:v>ORD101781</c:v>
                </c:pt>
                <c:pt idx="1777">
                  <c:v>ORD101782</c:v>
                </c:pt>
                <c:pt idx="1778">
                  <c:v>ORD101783</c:v>
                </c:pt>
                <c:pt idx="1779">
                  <c:v>ORD101784</c:v>
                </c:pt>
                <c:pt idx="1780">
                  <c:v>ORD101785</c:v>
                </c:pt>
                <c:pt idx="1781">
                  <c:v>ORD101786</c:v>
                </c:pt>
                <c:pt idx="1782">
                  <c:v>ORD101787</c:v>
                </c:pt>
                <c:pt idx="1783">
                  <c:v>ORD101788</c:v>
                </c:pt>
                <c:pt idx="1784">
                  <c:v>ORD101789</c:v>
                </c:pt>
                <c:pt idx="1785">
                  <c:v>ORD101790</c:v>
                </c:pt>
                <c:pt idx="1786">
                  <c:v>ORD101791</c:v>
                </c:pt>
                <c:pt idx="1787">
                  <c:v>ORD101792</c:v>
                </c:pt>
                <c:pt idx="1788">
                  <c:v>ORD101793</c:v>
                </c:pt>
                <c:pt idx="1789">
                  <c:v>ORD101794</c:v>
                </c:pt>
                <c:pt idx="1790">
                  <c:v>ORD101795</c:v>
                </c:pt>
                <c:pt idx="1791">
                  <c:v>ORD101796</c:v>
                </c:pt>
                <c:pt idx="1792">
                  <c:v>ORD101797</c:v>
                </c:pt>
                <c:pt idx="1793">
                  <c:v>ORD101798</c:v>
                </c:pt>
                <c:pt idx="1794">
                  <c:v>ORD101799</c:v>
                </c:pt>
                <c:pt idx="1795">
                  <c:v>ORD101800</c:v>
                </c:pt>
                <c:pt idx="1796">
                  <c:v>ORD101801</c:v>
                </c:pt>
                <c:pt idx="1797">
                  <c:v>ORD101802</c:v>
                </c:pt>
                <c:pt idx="1798">
                  <c:v>ORD101803</c:v>
                </c:pt>
                <c:pt idx="1799">
                  <c:v>ORD101804</c:v>
                </c:pt>
                <c:pt idx="1800">
                  <c:v>ORD101805</c:v>
                </c:pt>
                <c:pt idx="1801">
                  <c:v>ORD101806</c:v>
                </c:pt>
                <c:pt idx="1802">
                  <c:v>ORD101807</c:v>
                </c:pt>
                <c:pt idx="1803">
                  <c:v>ORD101808</c:v>
                </c:pt>
                <c:pt idx="1804">
                  <c:v>ORD101809</c:v>
                </c:pt>
                <c:pt idx="1805">
                  <c:v>ORD101810</c:v>
                </c:pt>
                <c:pt idx="1806">
                  <c:v>ORD101811</c:v>
                </c:pt>
                <c:pt idx="1807">
                  <c:v>ORD101812</c:v>
                </c:pt>
                <c:pt idx="1808">
                  <c:v>ORD101813</c:v>
                </c:pt>
                <c:pt idx="1809">
                  <c:v>ORD101814</c:v>
                </c:pt>
                <c:pt idx="1810">
                  <c:v>ORD101815</c:v>
                </c:pt>
                <c:pt idx="1811">
                  <c:v>ORD101816</c:v>
                </c:pt>
                <c:pt idx="1812">
                  <c:v>ORD101817</c:v>
                </c:pt>
                <c:pt idx="1813">
                  <c:v>ORD101818</c:v>
                </c:pt>
                <c:pt idx="1814">
                  <c:v>ORD101819</c:v>
                </c:pt>
                <c:pt idx="1815">
                  <c:v>ORD101820</c:v>
                </c:pt>
                <c:pt idx="1816">
                  <c:v>ORD101821</c:v>
                </c:pt>
                <c:pt idx="1817">
                  <c:v>ORD101822</c:v>
                </c:pt>
                <c:pt idx="1818">
                  <c:v>ORD101823</c:v>
                </c:pt>
                <c:pt idx="1819">
                  <c:v>ORD101824</c:v>
                </c:pt>
                <c:pt idx="1820">
                  <c:v>ORD101825</c:v>
                </c:pt>
                <c:pt idx="1821">
                  <c:v>ORD101826</c:v>
                </c:pt>
                <c:pt idx="1822">
                  <c:v>ORD101827</c:v>
                </c:pt>
                <c:pt idx="1823">
                  <c:v>ORD101828</c:v>
                </c:pt>
                <c:pt idx="1824">
                  <c:v>ORD101829</c:v>
                </c:pt>
                <c:pt idx="1825">
                  <c:v>ORD101830</c:v>
                </c:pt>
                <c:pt idx="1826">
                  <c:v>ORD101831</c:v>
                </c:pt>
                <c:pt idx="1827">
                  <c:v>ORD101832</c:v>
                </c:pt>
                <c:pt idx="1828">
                  <c:v>ORD101833</c:v>
                </c:pt>
                <c:pt idx="1829">
                  <c:v>ORD101834</c:v>
                </c:pt>
                <c:pt idx="1830">
                  <c:v>ORD101835</c:v>
                </c:pt>
                <c:pt idx="1831">
                  <c:v>ORD101836</c:v>
                </c:pt>
                <c:pt idx="1832">
                  <c:v>ORD101837</c:v>
                </c:pt>
                <c:pt idx="1833">
                  <c:v>ORD101838</c:v>
                </c:pt>
                <c:pt idx="1834">
                  <c:v>ORD101839</c:v>
                </c:pt>
                <c:pt idx="1835">
                  <c:v>ORD101840</c:v>
                </c:pt>
                <c:pt idx="1836">
                  <c:v>ORD101841</c:v>
                </c:pt>
                <c:pt idx="1837">
                  <c:v>ORD101842</c:v>
                </c:pt>
                <c:pt idx="1838">
                  <c:v>ORD101843</c:v>
                </c:pt>
                <c:pt idx="1839">
                  <c:v>ORD101844</c:v>
                </c:pt>
                <c:pt idx="1840">
                  <c:v>ORD101845</c:v>
                </c:pt>
                <c:pt idx="1841">
                  <c:v>ORD101846</c:v>
                </c:pt>
                <c:pt idx="1842">
                  <c:v>ORD101847</c:v>
                </c:pt>
                <c:pt idx="1843">
                  <c:v>ORD101848</c:v>
                </c:pt>
                <c:pt idx="1844">
                  <c:v>ORD101849</c:v>
                </c:pt>
                <c:pt idx="1845">
                  <c:v>ORD101850</c:v>
                </c:pt>
                <c:pt idx="1846">
                  <c:v>ORD101851</c:v>
                </c:pt>
                <c:pt idx="1847">
                  <c:v>ORD101852</c:v>
                </c:pt>
                <c:pt idx="1848">
                  <c:v>ORD101853</c:v>
                </c:pt>
                <c:pt idx="1849">
                  <c:v>ORD101854</c:v>
                </c:pt>
                <c:pt idx="1850">
                  <c:v>ORD101855</c:v>
                </c:pt>
                <c:pt idx="1851">
                  <c:v>ORD101856</c:v>
                </c:pt>
                <c:pt idx="1852">
                  <c:v>ORD101857</c:v>
                </c:pt>
                <c:pt idx="1853">
                  <c:v>ORD101858</c:v>
                </c:pt>
                <c:pt idx="1854">
                  <c:v>ORD101859</c:v>
                </c:pt>
                <c:pt idx="1855">
                  <c:v>ORD101860</c:v>
                </c:pt>
                <c:pt idx="1856">
                  <c:v>ORD101861</c:v>
                </c:pt>
                <c:pt idx="1857">
                  <c:v>ORD101862</c:v>
                </c:pt>
                <c:pt idx="1858">
                  <c:v>ORD101863</c:v>
                </c:pt>
                <c:pt idx="1859">
                  <c:v>ORD101864</c:v>
                </c:pt>
                <c:pt idx="1860">
                  <c:v>ORD101865</c:v>
                </c:pt>
                <c:pt idx="1861">
                  <c:v>ORD101866</c:v>
                </c:pt>
                <c:pt idx="1862">
                  <c:v>ORD101867</c:v>
                </c:pt>
                <c:pt idx="1863">
                  <c:v>ORD101868</c:v>
                </c:pt>
                <c:pt idx="1864">
                  <c:v>ORD101869</c:v>
                </c:pt>
                <c:pt idx="1865">
                  <c:v>ORD101870</c:v>
                </c:pt>
                <c:pt idx="1866">
                  <c:v>ORD101871</c:v>
                </c:pt>
                <c:pt idx="1867">
                  <c:v>ORD101872</c:v>
                </c:pt>
                <c:pt idx="1868">
                  <c:v>ORD101873</c:v>
                </c:pt>
                <c:pt idx="1869">
                  <c:v>ORD101874</c:v>
                </c:pt>
                <c:pt idx="1870">
                  <c:v>ORD101875</c:v>
                </c:pt>
                <c:pt idx="1871">
                  <c:v>ORD101876</c:v>
                </c:pt>
                <c:pt idx="1872">
                  <c:v>ORD101877</c:v>
                </c:pt>
                <c:pt idx="1873">
                  <c:v>ORD101878</c:v>
                </c:pt>
                <c:pt idx="1874">
                  <c:v>ORD101879</c:v>
                </c:pt>
                <c:pt idx="1875">
                  <c:v>ORD101880</c:v>
                </c:pt>
                <c:pt idx="1876">
                  <c:v>ORD101881</c:v>
                </c:pt>
                <c:pt idx="1877">
                  <c:v>ORD101882</c:v>
                </c:pt>
                <c:pt idx="1878">
                  <c:v>ORD101883</c:v>
                </c:pt>
                <c:pt idx="1879">
                  <c:v>ORD101884</c:v>
                </c:pt>
                <c:pt idx="1880">
                  <c:v>ORD101885</c:v>
                </c:pt>
                <c:pt idx="1881">
                  <c:v>ORD101886</c:v>
                </c:pt>
                <c:pt idx="1882">
                  <c:v>ORD101887</c:v>
                </c:pt>
                <c:pt idx="1883">
                  <c:v>ORD101888</c:v>
                </c:pt>
                <c:pt idx="1884">
                  <c:v>ORD101889</c:v>
                </c:pt>
                <c:pt idx="1885">
                  <c:v>ORD101890</c:v>
                </c:pt>
                <c:pt idx="1886">
                  <c:v>ORD101891</c:v>
                </c:pt>
                <c:pt idx="1887">
                  <c:v>ORD101892</c:v>
                </c:pt>
                <c:pt idx="1888">
                  <c:v>ORD101893</c:v>
                </c:pt>
                <c:pt idx="1889">
                  <c:v>ORD101894</c:v>
                </c:pt>
                <c:pt idx="1890">
                  <c:v>ORD101895</c:v>
                </c:pt>
                <c:pt idx="1891">
                  <c:v>ORD101896</c:v>
                </c:pt>
                <c:pt idx="1892">
                  <c:v>ORD101897</c:v>
                </c:pt>
                <c:pt idx="1893">
                  <c:v>ORD101898</c:v>
                </c:pt>
                <c:pt idx="1894">
                  <c:v>ORD101899</c:v>
                </c:pt>
                <c:pt idx="1895">
                  <c:v>ORD101900</c:v>
                </c:pt>
                <c:pt idx="1896">
                  <c:v>ORD101901</c:v>
                </c:pt>
                <c:pt idx="1897">
                  <c:v>ORD101902</c:v>
                </c:pt>
                <c:pt idx="1898">
                  <c:v>ORD101903</c:v>
                </c:pt>
                <c:pt idx="1899">
                  <c:v>ORD101904</c:v>
                </c:pt>
                <c:pt idx="1900">
                  <c:v>ORD101905</c:v>
                </c:pt>
                <c:pt idx="1901">
                  <c:v>ORD101906</c:v>
                </c:pt>
                <c:pt idx="1902">
                  <c:v>ORD101907</c:v>
                </c:pt>
                <c:pt idx="1903">
                  <c:v>ORD101908</c:v>
                </c:pt>
                <c:pt idx="1904">
                  <c:v>ORD101909</c:v>
                </c:pt>
                <c:pt idx="1905">
                  <c:v>ORD101910</c:v>
                </c:pt>
                <c:pt idx="1906">
                  <c:v>ORD101911</c:v>
                </c:pt>
                <c:pt idx="1907">
                  <c:v>ORD101912</c:v>
                </c:pt>
                <c:pt idx="1908">
                  <c:v>ORD101913</c:v>
                </c:pt>
                <c:pt idx="1909">
                  <c:v>ORD101914</c:v>
                </c:pt>
                <c:pt idx="1910">
                  <c:v>ORD101915</c:v>
                </c:pt>
                <c:pt idx="1911">
                  <c:v>ORD101916</c:v>
                </c:pt>
                <c:pt idx="1912">
                  <c:v>ORD101917</c:v>
                </c:pt>
                <c:pt idx="1913">
                  <c:v>ORD101918</c:v>
                </c:pt>
                <c:pt idx="1914">
                  <c:v>ORD101919</c:v>
                </c:pt>
                <c:pt idx="1915">
                  <c:v>ORD101920</c:v>
                </c:pt>
                <c:pt idx="1916">
                  <c:v>ORD101921</c:v>
                </c:pt>
                <c:pt idx="1917">
                  <c:v>ORD101922</c:v>
                </c:pt>
                <c:pt idx="1918">
                  <c:v>ORD101923</c:v>
                </c:pt>
                <c:pt idx="1919">
                  <c:v>ORD101924</c:v>
                </c:pt>
                <c:pt idx="1920">
                  <c:v>ORD101925</c:v>
                </c:pt>
                <c:pt idx="1921">
                  <c:v>ORD101926</c:v>
                </c:pt>
                <c:pt idx="1922">
                  <c:v>ORD101927</c:v>
                </c:pt>
                <c:pt idx="1923">
                  <c:v>ORD101928</c:v>
                </c:pt>
                <c:pt idx="1924">
                  <c:v>ORD101929</c:v>
                </c:pt>
                <c:pt idx="1925">
                  <c:v>ORD101930</c:v>
                </c:pt>
                <c:pt idx="1926">
                  <c:v>ORD101931</c:v>
                </c:pt>
                <c:pt idx="1927">
                  <c:v>ORD101932</c:v>
                </c:pt>
                <c:pt idx="1928">
                  <c:v>ORD101933</c:v>
                </c:pt>
                <c:pt idx="1929">
                  <c:v>ORD101934</c:v>
                </c:pt>
                <c:pt idx="1930">
                  <c:v>ORD101935</c:v>
                </c:pt>
                <c:pt idx="1931">
                  <c:v>ORD101936</c:v>
                </c:pt>
                <c:pt idx="1932">
                  <c:v>ORD101937</c:v>
                </c:pt>
                <c:pt idx="1933">
                  <c:v>ORD101938</c:v>
                </c:pt>
                <c:pt idx="1934">
                  <c:v>ORD101939</c:v>
                </c:pt>
                <c:pt idx="1935">
                  <c:v>ORD101940</c:v>
                </c:pt>
                <c:pt idx="1936">
                  <c:v>ORD101941</c:v>
                </c:pt>
                <c:pt idx="1937">
                  <c:v>ORD101942</c:v>
                </c:pt>
                <c:pt idx="1938">
                  <c:v>ORD101943</c:v>
                </c:pt>
                <c:pt idx="1939">
                  <c:v>ORD101944</c:v>
                </c:pt>
                <c:pt idx="1940">
                  <c:v>ORD101945</c:v>
                </c:pt>
                <c:pt idx="1941">
                  <c:v>ORD101946</c:v>
                </c:pt>
                <c:pt idx="1942">
                  <c:v>ORD101947</c:v>
                </c:pt>
                <c:pt idx="1943">
                  <c:v>ORD101948</c:v>
                </c:pt>
                <c:pt idx="1944">
                  <c:v>ORD101949</c:v>
                </c:pt>
                <c:pt idx="1945">
                  <c:v>ORD101950</c:v>
                </c:pt>
                <c:pt idx="1946">
                  <c:v>ORD101951</c:v>
                </c:pt>
                <c:pt idx="1947">
                  <c:v>ORD101952</c:v>
                </c:pt>
                <c:pt idx="1948">
                  <c:v>ORD101953</c:v>
                </c:pt>
                <c:pt idx="1949">
                  <c:v>ORD101954</c:v>
                </c:pt>
                <c:pt idx="1950">
                  <c:v>ORD101955</c:v>
                </c:pt>
                <c:pt idx="1951">
                  <c:v>ORD101956</c:v>
                </c:pt>
                <c:pt idx="1952">
                  <c:v>ORD101957</c:v>
                </c:pt>
                <c:pt idx="1953">
                  <c:v>ORD101958</c:v>
                </c:pt>
                <c:pt idx="1954">
                  <c:v>ORD101959</c:v>
                </c:pt>
                <c:pt idx="1955">
                  <c:v>ORD101960</c:v>
                </c:pt>
                <c:pt idx="1956">
                  <c:v>ORD101961</c:v>
                </c:pt>
                <c:pt idx="1957">
                  <c:v>ORD101962</c:v>
                </c:pt>
                <c:pt idx="1958">
                  <c:v>ORD101963</c:v>
                </c:pt>
                <c:pt idx="1959">
                  <c:v>ORD101964</c:v>
                </c:pt>
                <c:pt idx="1960">
                  <c:v>ORD101965</c:v>
                </c:pt>
                <c:pt idx="1961">
                  <c:v>ORD101966</c:v>
                </c:pt>
                <c:pt idx="1962">
                  <c:v>ORD101967</c:v>
                </c:pt>
                <c:pt idx="1963">
                  <c:v>ORD101968</c:v>
                </c:pt>
                <c:pt idx="1964">
                  <c:v>ORD101969</c:v>
                </c:pt>
                <c:pt idx="1965">
                  <c:v>ORD101970</c:v>
                </c:pt>
                <c:pt idx="1966">
                  <c:v>ORD101971</c:v>
                </c:pt>
                <c:pt idx="1967">
                  <c:v>ORD101972</c:v>
                </c:pt>
                <c:pt idx="1968">
                  <c:v>ORD101973</c:v>
                </c:pt>
                <c:pt idx="1969">
                  <c:v>ORD101974</c:v>
                </c:pt>
                <c:pt idx="1970">
                  <c:v>ORD101975</c:v>
                </c:pt>
                <c:pt idx="1971">
                  <c:v>ORD101976</c:v>
                </c:pt>
                <c:pt idx="1972">
                  <c:v>ORD101977</c:v>
                </c:pt>
                <c:pt idx="1973">
                  <c:v>ORD101978</c:v>
                </c:pt>
                <c:pt idx="1974">
                  <c:v>ORD101979</c:v>
                </c:pt>
                <c:pt idx="1975">
                  <c:v>ORD101980</c:v>
                </c:pt>
                <c:pt idx="1976">
                  <c:v>ORD101981</c:v>
                </c:pt>
                <c:pt idx="1977">
                  <c:v>ORD101982</c:v>
                </c:pt>
                <c:pt idx="1978">
                  <c:v>ORD101983</c:v>
                </c:pt>
                <c:pt idx="1979">
                  <c:v>ORD101984</c:v>
                </c:pt>
                <c:pt idx="1980">
                  <c:v>ORD101985</c:v>
                </c:pt>
                <c:pt idx="1981">
                  <c:v>ORD101986</c:v>
                </c:pt>
                <c:pt idx="1982">
                  <c:v>ORD101987</c:v>
                </c:pt>
                <c:pt idx="1983">
                  <c:v>ORD101988</c:v>
                </c:pt>
                <c:pt idx="1984">
                  <c:v>ORD101989</c:v>
                </c:pt>
                <c:pt idx="1985">
                  <c:v>ORD101990</c:v>
                </c:pt>
                <c:pt idx="1986">
                  <c:v>ORD101991</c:v>
                </c:pt>
                <c:pt idx="1987">
                  <c:v>ORD101992</c:v>
                </c:pt>
                <c:pt idx="1988">
                  <c:v>ORD101993</c:v>
                </c:pt>
                <c:pt idx="1989">
                  <c:v>ORD101994</c:v>
                </c:pt>
                <c:pt idx="1990">
                  <c:v>ORD101995</c:v>
                </c:pt>
                <c:pt idx="1991">
                  <c:v>ORD101996</c:v>
                </c:pt>
                <c:pt idx="1992">
                  <c:v>ORD101997</c:v>
                </c:pt>
                <c:pt idx="1993">
                  <c:v>ORD101998</c:v>
                </c:pt>
                <c:pt idx="1994">
                  <c:v>ORD101999</c:v>
                </c:pt>
                <c:pt idx="1995">
                  <c:v>ORD102000</c:v>
                </c:pt>
                <c:pt idx="1996">
                  <c:v>ORD102001</c:v>
                </c:pt>
                <c:pt idx="1997">
                  <c:v>ORD102002</c:v>
                </c:pt>
                <c:pt idx="1998">
                  <c:v>ORD102003</c:v>
                </c:pt>
                <c:pt idx="1999">
                  <c:v>ORD102004</c:v>
                </c:pt>
                <c:pt idx="2000">
                  <c:v>ORD102005</c:v>
                </c:pt>
                <c:pt idx="2001">
                  <c:v>ORD102006</c:v>
                </c:pt>
                <c:pt idx="2002">
                  <c:v>ORD102007</c:v>
                </c:pt>
                <c:pt idx="2003">
                  <c:v>ORD102008</c:v>
                </c:pt>
                <c:pt idx="2004">
                  <c:v>ORD102009</c:v>
                </c:pt>
                <c:pt idx="2005">
                  <c:v>ORD102010</c:v>
                </c:pt>
                <c:pt idx="2006">
                  <c:v>ORD102011</c:v>
                </c:pt>
                <c:pt idx="2007">
                  <c:v>ORD102012</c:v>
                </c:pt>
                <c:pt idx="2008">
                  <c:v>ORD102013</c:v>
                </c:pt>
                <c:pt idx="2009">
                  <c:v>ORD102014</c:v>
                </c:pt>
                <c:pt idx="2010">
                  <c:v>ORD102015</c:v>
                </c:pt>
                <c:pt idx="2011">
                  <c:v>ORD102016</c:v>
                </c:pt>
                <c:pt idx="2012">
                  <c:v>ORD102017</c:v>
                </c:pt>
                <c:pt idx="2013">
                  <c:v>ORD102018</c:v>
                </c:pt>
                <c:pt idx="2014">
                  <c:v>ORD102019</c:v>
                </c:pt>
                <c:pt idx="2015">
                  <c:v>ORD102020</c:v>
                </c:pt>
                <c:pt idx="2016">
                  <c:v>ORD102021</c:v>
                </c:pt>
                <c:pt idx="2017">
                  <c:v>ORD102022</c:v>
                </c:pt>
                <c:pt idx="2018">
                  <c:v>ORD102023</c:v>
                </c:pt>
                <c:pt idx="2019">
                  <c:v>ORD102024</c:v>
                </c:pt>
                <c:pt idx="2020">
                  <c:v>ORD102025</c:v>
                </c:pt>
                <c:pt idx="2021">
                  <c:v>ORD102026</c:v>
                </c:pt>
                <c:pt idx="2022">
                  <c:v>ORD102027</c:v>
                </c:pt>
                <c:pt idx="2023">
                  <c:v>ORD102028</c:v>
                </c:pt>
                <c:pt idx="2024">
                  <c:v>ORD102029</c:v>
                </c:pt>
                <c:pt idx="2025">
                  <c:v>ORD102030</c:v>
                </c:pt>
                <c:pt idx="2026">
                  <c:v>ORD102031</c:v>
                </c:pt>
                <c:pt idx="2027">
                  <c:v>ORD102032</c:v>
                </c:pt>
                <c:pt idx="2028">
                  <c:v>ORD102033</c:v>
                </c:pt>
                <c:pt idx="2029">
                  <c:v>ORD102034</c:v>
                </c:pt>
                <c:pt idx="2030">
                  <c:v>ORD102035</c:v>
                </c:pt>
                <c:pt idx="2031">
                  <c:v>ORD102036</c:v>
                </c:pt>
                <c:pt idx="2032">
                  <c:v>ORD102037</c:v>
                </c:pt>
                <c:pt idx="2033">
                  <c:v>ORD102038</c:v>
                </c:pt>
                <c:pt idx="2034">
                  <c:v>ORD102039</c:v>
                </c:pt>
                <c:pt idx="2035">
                  <c:v>ORD102040</c:v>
                </c:pt>
                <c:pt idx="2036">
                  <c:v>ORD102041</c:v>
                </c:pt>
                <c:pt idx="2037">
                  <c:v>ORD102042</c:v>
                </c:pt>
                <c:pt idx="2038">
                  <c:v>ORD102043</c:v>
                </c:pt>
                <c:pt idx="2039">
                  <c:v>ORD102044</c:v>
                </c:pt>
                <c:pt idx="2040">
                  <c:v>ORD102045</c:v>
                </c:pt>
                <c:pt idx="2041">
                  <c:v>ORD102046</c:v>
                </c:pt>
                <c:pt idx="2042">
                  <c:v>ORD102047</c:v>
                </c:pt>
                <c:pt idx="2043">
                  <c:v>ORD102048</c:v>
                </c:pt>
                <c:pt idx="2044">
                  <c:v>ORD102049</c:v>
                </c:pt>
                <c:pt idx="2045">
                  <c:v>ORD102050</c:v>
                </c:pt>
                <c:pt idx="2046">
                  <c:v>ORD102051</c:v>
                </c:pt>
                <c:pt idx="2047">
                  <c:v>ORD102052</c:v>
                </c:pt>
                <c:pt idx="2048">
                  <c:v>ORD102053</c:v>
                </c:pt>
                <c:pt idx="2049">
                  <c:v>ORD102054</c:v>
                </c:pt>
                <c:pt idx="2050">
                  <c:v>ORD102055</c:v>
                </c:pt>
                <c:pt idx="2051">
                  <c:v>ORD102056</c:v>
                </c:pt>
                <c:pt idx="2052">
                  <c:v>ORD102057</c:v>
                </c:pt>
                <c:pt idx="2053">
                  <c:v>ORD102058</c:v>
                </c:pt>
                <c:pt idx="2054">
                  <c:v>ORD102059</c:v>
                </c:pt>
                <c:pt idx="2055">
                  <c:v>ORD102060</c:v>
                </c:pt>
                <c:pt idx="2056">
                  <c:v>ORD102061</c:v>
                </c:pt>
                <c:pt idx="2057">
                  <c:v>ORD102062</c:v>
                </c:pt>
                <c:pt idx="2058">
                  <c:v>ORD102063</c:v>
                </c:pt>
                <c:pt idx="2059">
                  <c:v>ORD102064</c:v>
                </c:pt>
                <c:pt idx="2060">
                  <c:v>ORD102065</c:v>
                </c:pt>
                <c:pt idx="2061">
                  <c:v>ORD102066</c:v>
                </c:pt>
                <c:pt idx="2062">
                  <c:v>ORD102067</c:v>
                </c:pt>
                <c:pt idx="2063">
                  <c:v>ORD102068</c:v>
                </c:pt>
                <c:pt idx="2064">
                  <c:v>ORD102069</c:v>
                </c:pt>
                <c:pt idx="2065">
                  <c:v>ORD102070</c:v>
                </c:pt>
                <c:pt idx="2066">
                  <c:v>ORD102071</c:v>
                </c:pt>
                <c:pt idx="2067">
                  <c:v>ORD102072</c:v>
                </c:pt>
                <c:pt idx="2068">
                  <c:v>ORD102073</c:v>
                </c:pt>
                <c:pt idx="2069">
                  <c:v>ORD102074</c:v>
                </c:pt>
                <c:pt idx="2070">
                  <c:v>ORD102075</c:v>
                </c:pt>
                <c:pt idx="2071">
                  <c:v>ORD102076</c:v>
                </c:pt>
                <c:pt idx="2072">
                  <c:v>ORD102077</c:v>
                </c:pt>
                <c:pt idx="2073">
                  <c:v>ORD102078</c:v>
                </c:pt>
                <c:pt idx="2074">
                  <c:v>ORD102079</c:v>
                </c:pt>
                <c:pt idx="2075">
                  <c:v>ORD102080</c:v>
                </c:pt>
                <c:pt idx="2076">
                  <c:v>ORD102081</c:v>
                </c:pt>
                <c:pt idx="2077">
                  <c:v>ORD102082</c:v>
                </c:pt>
                <c:pt idx="2078">
                  <c:v>ORD102083</c:v>
                </c:pt>
                <c:pt idx="2079">
                  <c:v>ORD102084</c:v>
                </c:pt>
                <c:pt idx="2080">
                  <c:v>ORD102085</c:v>
                </c:pt>
                <c:pt idx="2081">
                  <c:v>ORD102086</c:v>
                </c:pt>
                <c:pt idx="2082">
                  <c:v>ORD102087</c:v>
                </c:pt>
                <c:pt idx="2083">
                  <c:v>ORD102088</c:v>
                </c:pt>
                <c:pt idx="2084">
                  <c:v>ORD102089</c:v>
                </c:pt>
                <c:pt idx="2085">
                  <c:v>ORD102090</c:v>
                </c:pt>
                <c:pt idx="2086">
                  <c:v>ORD102091</c:v>
                </c:pt>
                <c:pt idx="2087">
                  <c:v>ORD102092</c:v>
                </c:pt>
                <c:pt idx="2088">
                  <c:v>ORD102093</c:v>
                </c:pt>
                <c:pt idx="2089">
                  <c:v>ORD102094</c:v>
                </c:pt>
                <c:pt idx="2090">
                  <c:v>ORD102095</c:v>
                </c:pt>
                <c:pt idx="2091">
                  <c:v>ORD102096</c:v>
                </c:pt>
                <c:pt idx="2092">
                  <c:v>ORD102097</c:v>
                </c:pt>
                <c:pt idx="2093">
                  <c:v>ORD102098</c:v>
                </c:pt>
                <c:pt idx="2094">
                  <c:v>ORD102099</c:v>
                </c:pt>
                <c:pt idx="2095">
                  <c:v>ORD102100</c:v>
                </c:pt>
                <c:pt idx="2096">
                  <c:v>ORD102101</c:v>
                </c:pt>
                <c:pt idx="2097">
                  <c:v>ORD102102</c:v>
                </c:pt>
                <c:pt idx="2098">
                  <c:v>ORD102103</c:v>
                </c:pt>
                <c:pt idx="2099">
                  <c:v>ORD102104</c:v>
                </c:pt>
                <c:pt idx="2100">
                  <c:v>ORD102105</c:v>
                </c:pt>
                <c:pt idx="2101">
                  <c:v>ORD102106</c:v>
                </c:pt>
                <c:pt idx="2102">
                  <c:v>ORD102107</c:v>
                </c:pt>
                <c:pt idx="2103">
                  <c:v>ORD102108</c:v>
                </c:pt>
                <c:pt idx="2104">
                  <c:v>ORD102109</c:v>
                </c:pt>
                <c:pt idx="2105">
                  <c:v>ORD102110</c:v>
                </c:pt>
                <c:pt idx="2106">
                  <c:v>ORD102111</c:v>
                </c:pt>
                <c:pt idx="2107">
                  <c:v>ORD102112</c:v>
                </c:pt>
                <c:pt idx="2108">
                  <c:v>ORD102113</c:v>
                </c:pt>
                <c:pt idx="2109">
                  <c:v>ORD102114</c:v>
                </c:pt>
                <c:pt idx="2110">
                  <c:v>ORD102115</c:v>
                </c:pt>
                <c:pt idx="2111">
                  <c:v>ORD102116</c:v>
                </c:pt>
                <c:pt idx="2112">
                  <c:v>ORD102117</c:v>
                </c:pt>
                <c:pt idx="2113">
                  <c:v>ORD102118</c:v>
                </c:pt>
                <c:pt idx="2114">
                  <c:v>ORD102119</c:v>
                </c:pt>
                <c:pt idx="2115">
                  <c:v>ORD102120</c:v>
                </c:pt>
                <c:pt idx="2116">
                  <c:v>ORD102121</c:v>
                </c:pt>
                <c:pt idx="2117">
                  <c:v>ORD102122</c:v>
                </c:pt>
                <c:pt idx="2118">
                  <c:v>ORD102123</c:v>
                </c:pt>
                <c:pt idx="2119">
                  <c:v>ORD102124</c:v>
                </c:pt>
                <c:pt idx="2120">
                  <c:v>ORD102126</c:v>
                </c:pt>
                <c:pt idx="2121">
                  <c:v>ORD102127</c:v>
                </c:pt>
                <c:pt idx="2122">
                  <c:v>ORD102128</c:v>
                </c:pt>
                <c:pt idx="2123">
                  <c:v>ORD102129</c:v>
                </c:pt>
                <c:pt idx="2124">
                  <c:v>ORD102130</c:v>
                </c:pt>
                <c:pt idx="2125">
                  <c:v>ORD102131</c:v>
                </c:pt>
                <c:pt idx="2126">
                  <c:v>ORD102132</c:v>
                </c:pt>
                <c:pt idx="2127">
                  <c:v>ORD102133</c:v>
                </c:pt>
                <c:pt idx="2128">
                  <c:v>ORD102134</c:v>
                </c:pt>
                <c:pt idx="2129">
                  <c:v>ORD102135</c:v>
                </c:pt>
                <c:pt idx="2130">
                  <c:v>ORD102136</c:v>
                </c:pt>
                <c:pt idx="2131">
                  <c:v>ORD102137</c:v>
                </c:pt>
                <c:pt idx="2132">
                  <c:v>ORD102138</c:v>
                </c:pt>
                <c:pt idx="2133">
                  <c:v>ORD102139</c:v>
                </c:pt>
                <c:pt idx="2134">
                  <c:v>ORD102140</c:v>
                </c:pt>
                <c:pt idx="2135">
                  <c:v>ORD102141</c:v>
                </c:pt>
                <c:pt idx="2136">
                  <c:v>ORD102142</c:v>
                </c:pt>
                <c:pt idx="2137">
                  <c:v>ORD102143</c:v>
                </c:pt>
                <c:pt idx="2138">
                  <c:v>ORD102144</c:v>
                </c:pt>
                <c:pt idx="2139">
                  <c:v>ORD102145</c:v>
                </c:pt>
                <c:pt idx="2140">
                  <c:v>ORD102146</c:v>
                </c:pt>
                <c:pt idx="2141">
                  <c:v>ORD102147</c:v>
                </c:pt>
                <c:pt idx="2142">
                  <c:v>ORD102148</c:v>
                </c:pt>
                <c:pt idx="2143">
                  <c:v>ORD102149</c:v>
                </c:pt>
                <c:pt idx="2144">
                  <c:v>ORD102150</c:v>
                </c:pt>
                <c:pt idx="2145">
                  <c:v>ORD102151</c:v>
                </c:pt>
                <c:pt idx="2146">
                  <c:v>ORD102152</c:v>
                </c:pt>
                <c:pt idx="2147">
                  <c:v>ORD102153</c:v>
                </c:pt>
                <c:pt idx="2148">
                  <c:v>ORD102154</c:v>
                </c:pt>
                <c:pt idx="2149">
                  <c:v>ORD102155</c:v>
                </c:pt>
                <c:pt idx="2150">
                  <c:v>ORD102156</c:v>
                </c:pt>
                <c:pt idx="2151">
                  <c:v>ORD102157</c:v>
                </c:pt>
                <c:pt idx="2152">
                  <c:v>ORD102158</c:v>
                </c:pt>
                <c:pt idx="2153">
                  <c:v>ORD102159</c:v>
                </c:pt>
                <c:pt idx="2154">
                  <c:v>ORD102160</c:v>
                </c:pt>
                <c:pt idx="2155">
                  <c:v>ORD102161</c:v>
                </c:pt>
                <c:pt idx="2156">
                  <c:v>ORD102162</c:v>
                </c:pt>
                <c:pt idx="2157">
                  <c:v>ORD102163</c:v>
                </c:pt>
                <c:pt idx="2158">
                  <c:v>ORD102164</c:v>
                </c:pt>
                <c:pt idx="2159">
                  <c:v>ORD102165</c:v>
                </c:pt>
                <c:pt idx="2160">
                  <c:v>ORD102166</c:v>
                </c:pt>
                <c:pt idx="2161">
                  <c:v>ORD102167</c:v>
                </c:pt>
                <c:pt idx="2162">
                  <c:v>ORD102168</c:v>
                </c:pt>
                <c:pt idx="2163">
                  <c:v>ORD102169</c:v>
                </c:pt>
                <c:pt idx="2164">
                  <c:v>ORD102170</c:v>
                </c:pt>
                <c:pt idx="2165">
                  <c:v>ORD102171</c:v>
                </c:pt>
                <c:pt idx="2166">
                  <c:v>ORD102172</c:v>
                </c:pt>
                <c:pt idx="2167">
                  <c:v>ORD102173</c:v>
                </c:pt>
                <c:pt idx="2168">
                  <c:v>ORD102174</c:v>
                </c:pt>
                <c:pt idx="2169">
                  <c:v>ORD102175</c:v>
                </c:pt>
                <c:pt idx="2170">
                  <c:v>ORD102176</c:v>
                </c:pt>
                <c:pt idx="2171">
                  <c:v>ORD102177</c:v>
                </c:pt>
                <c:pt idx="2172">
                  <c:v>ORD102178</c:v>
                </c:pt>
                <c:pt idx="2173">
                  <c:v>ORD102179</c:v>
                </c:pt>
                <c:pt idx="2174">
                  <c:v>ORD102180</c:v>
                </c:pt>
                <c:pt idx="2175">
                  <c:v>ORD102181</c:v>
                </c:pt>
                <c:pt idx="2176">
                  <c:v>ORD102182</c:v>
                </c:pt>
                <c:pt idx="2177">
                  <c:v>ORD102183</c:v>
                </c:pt>
                <c:pt idx="2178">
                  <c:v>ORD102184</c:v>
                </c:pt>
                <c:pt idx="2179">
                  <c:v>ORD102185</c:v>
                </c:pt>
                <c:pt idx="2180">
                  <c:v>ORD102186</c:v>
                </c:pt>
                <c:pt idx="2181">
                  <c:v>ORD102187</c:v>
                </c:pt>
                <c:pt idx="2182">
                  <c:v>ORD102188</c:v>
                </c:pt>
                <c:pt idx="2183">
                  <c:v>ORD102189</c:v>
                </c:pt>
                <c:pt idx="2184">
                  <c:v>ORD102190</c:v>
                </c:pt>
                <c:pt idx="2185">
                  <c:v>ORD102191</c:v>
                </c:pt>
                <c:pt idx="2186">
                  <c:v>ORD102192</c:v>
                </c:pt>
                <c:pt idx="2187">
                  <c:v>ORD102193</c:v>
                </c:pt>
                <c:pt idx="2188">
                  <c:v>ORD102194</c:v>
                </c:pt>
                <c:pt idx="2189">
                  <c:v>ORD102195</c:v>
                </c:pt>
                <c:pt idx="2190">
                  <c:v>ORD102196</c:v>
                </c:pt>
                <c:pt idx="2191">
                  <c:v>ORD102197</c:v>
                </c:pt>
                <c:pt idx="2192">
                  <c:v>ORD102198</c:v>
                </c:pt>
                <c:pt idx="2193">
                  <c:v>ORD102199</c:v>
                </c:pt>
                <c:pt idx="2194">
                  <c:v>ORD102200</c:v>
                </c:pt>
                <c:pt idx="2195">
                  <c:v>ORD102201</c:v>
                </c:pt>
                <c:pt idx="2196">
                  <c:v>ORD102202</c:v>
                </c:pt>
                <c:pt idx="2197">
                  <c:v>ORD102203</c:v>
                </c:pt>
                <c:pt idx="2198">
                  <c:v>ORD102204</c:v>
                </c:pt>
                <c:pt idx="2199">
                  <c:v>ORD102205</c:v>
                </c:pt>
                <c:pt idx="2200">
                  <c:v>ORD102206</c:v>
                </c:pt>
                <c:pt idx="2201">
                  <c:v>ORD102207</c:v>
                </c:pt>
                <c:pt idx="2202">
                  <c:v>ORD102208</c:v>
                </c:pt>
                <c:pt idx="2203">
                  <c:v>ORD102209</c:v>
                </c:pt>
                <c:pt idx="2204">
                  <c:v>ORD102210</c:v>
                </c:pt>
                <c:pt idx="2205">
                  <c:v>ORD102211</c:v>
                </c:pt>
                <c:pt idx="2206">
                  <c:v>ORD102212</c:v>
                </c:pt>
                <c:pt idx="2207">
                  <c:v>ORD102213</c:v>
                </c:pt>
                <c:pt idx="2208">
                  <c:v>ORD102214</c:v>
                </c:pt>
                <c:pt idx="2209">
                  <c:v>ORD102215</c:v>
                </c:pt>
                <c:pt idx="2210">
                  <c:v>ORD102216</c:v>
                </c:pt>
                <c:pt idx="2211">
                  <c:v>ORD102217</c:v>
                </c:pt>
                <c:pt idx="2212">
                  <c:v>ORD102218</c:v>
                </c:pt>
                <c:pt idx="2213">
                  <c:v>ORD102219</c:v>
                </c:pt>
                <c:pt idx="2214">
                  <c:v>ORD102220</c:v>
                </c:pt>
                <c:pt idx="2215">
                  <c:v>ORD102221</c:v>
                </c:pt>
                <c:pt idx="2216">
                  <c:v>ORD102222</c:v>
                </c:pt>
                <c:pt idx="2217">
                  <c:v>ORD102223</c:v>
                </c:pt>
                <c:pt idx="2218">
                  <c:v>ORD102224</c:v>
                </c:pt>
                <c:pt idx="2219">
                  <c:v>ORD102225</c:v>
                </c:pt>
                <c:pt idx="2220">
                  <c:v>ORD102226</c:v>
                </c:pt>
                <c:pt idx="2221">
                  <c:v>ORD102227</c:v>
                </c:pt>
                <c:pt idx="2222">
                  <c:v>ORD102228</c:v>
                </c:pt>
                <c:pt idx="2223">
                  <c:v>ORD102229</c:v>
                </c:pt>
                <c:pt idx="2224">
                  <c:v>ORD102230</c:v>
                </c:pt>
                <c:pt idx="2225">
                  <c:v>ORD102231</c:v>
                </c:pt>
                <c:pt idx="2226">
                  <c:v>ORD102232</c:v>
                </c:pt>
                <c:pt idx="2227">
                  <c:v>ORD102233</c:v>
                </c:pt>
                <c:pt idx="2228">
                  <c:v>ORD102234</c:v>
                </c:pt>
                <c:pt idx="2229">
                  <c:v>ORD102235</c:v>
                </c:pt>
                <c:pt idx="2230">
                  <c:v>ORD102236</c:v>
                </c:pt>
                <c:pt idx="2231">
                  <c:v>ORD102237</c:v>
                </c:pt>
                <c:pt idx="2232">
                  <c:v>ORD102238</c:v>
                </c:pt>
                <c:pt idx="2233">
                  <c:v>ORD102239</c:v>
                </c:pt>
                <c:pt idx="2234">
                  <c:v>ORD102240</c:v>
                </c:pt>
                <c:pt idx="2235">
                  <c:v>ORD102241</c:v>
                </c:pt>
                <c:pt idx="2236">
                  <c:v>ORD102242</c:v>
                </c:pt>
                <c:pt idx="2237">
                  <c:v>ORD102243</c:v>
                </c:pt>
                <c:pt idx="2238">
                  <c:v>ORD102244</c:v>
                </c:pt>
                <c:pt idx="2239">
                  <c:v>ORD102245</c:v>
                </c:pt>
                <c:pt idx="2240">
                  <c:v>ORD102246</c:v>
                </c:pt>
                <c:pt idx="2241">
                  <c:v>ORD102247</c:v>
                </c:pt>
                <c:pt idx="2242">
                  <c:v>ORD102248</c:v>
                </c:pt>
                <c:pt idx="2243">
                  <c:v>ORD102249</c:v>
                </c:pt>
                <c:pt idx="2244">
                  <c:v>ORD102250</c:v>
                </c:pt>
                <c:pt idx="2245">
                  <c:v>ORD102251</c:v>
                </c:pt>
                <c:pt idx="2246">
                  <c:v>ORD102252</c:v>
                </c:pt>
                <c:pt idx="2247">
                  <c:v>ORD102253</c:v>
                </c:pt>
                <c:pt idx="2248">
                  <c:v>ORD102254</c:v>
                </c:pt>
                <c:pt idx="2249">
                  <c:v>ORD102255</c:v>
                </c:pt>
                <c:pt idx="2250">
                  <c:v>ORD102256</c:v>
                </c:pt>
                <c:pt idx="2251">
                  <c:v>ORD102257</c:v>
                </c:pt>
                <c:pt idx="2252">
                  <c:v>ORD102258</c:v>
                </c:pt>
                <c:pt idx="2253">
                  <c:v>ORD102259</c:v>
                </c:pt>
                <c:pt idx="2254">
                  <c:v>ORD102260</c:v>
                </c:pt>
                <c:pt idx="2255">
                  <c:v>ORD102261</c:v>
                </c:pt>
                <c:pt idx="2256">
                  <c:v>ORD102262</c:v>
                </c:pt>
                <c:pt idx="2257">
                  <c:v>ORD102263</c:v>
                </c:pt>
                <c:pt idx="2258">
                  <c:v>ORD102264</c:v>
                </c:pt>
                <c:pt idx="2259">
                  <c:v>ORD102265</c:v>
                </c:pt>
                <c:pt idx="2260">
                  <c:v>ORD102266</c:v>
                </c:pt>
                <c:pt idx="2261">
                  <c:v>ORD102267</c:v>
                </c:pt>
                <c:pt idx="2262">
                  <c:v>ORD102268</c:v>
                </c:pt>
                <c:pt idx="2263">
                  <c:v>ORD102269</c:v>
                </c:pt>
                <c:pt idx="2264">
                  <c:v>ORD102270</c:v>
                </c:pt>
                <c:pt idx="2265">
                  <c:v>ORD102271</c:v>
                </c:pt>
                <c:pt idx="2266">
                  <c:v>ORD102272</c:v>
                </c:pt>
                <c:pt idx="2267">
                  <c:v>ORD102273</c:v>
                </c:pt>
                <c:pt idx="2268">
                  <c:v>ORD102274</c:v>
                </c:pt>
                <c:pt idx="2269">
                  <c:v>ORD102275</c:v>
                </c:pt>
                <c:pt idx="2270">
                  <c:v>ORD102276</c:v>
                </c:pt>
                <c:pt idx="2271">
                  <c:v>ORD102277</c:v>
                </c:pt>
                <c:pt idx="2272">
                  <c:v>ORD102278</c:v>
                </c:pt>
                <c:pt idx="2273">
                  <c:v>ORD102279</c:v>
                </c:pt>
                <c:pt idx="2274">
                  <c:v>ORD102280</c:v>
                </c:pt>
                <c:pt idx="2275">
                  <c:v>ORD102281</c:v>
                </c:pt>
                <c:pt idx="2276">
                  <c:v>ORD102282</c:v>
                </c:pt>
                <c:pt idx="2277">
                  <c:v>ORD102283</c:v>
                </c:pt>
                <c:pt idx="2278">
                  <c:v>ORD102284</c:v>
                </c:pt>
                <c:pt idx="2279">
                  <c:v>ORD102285</c:v>
                </c:pt>
                <c:pt idx="2280">
                  <c:v>ORD102286</c:v>
                </c:pt>
                <c:pt idx="2281">
                  <c:v>ORD102287</c:v>
                </c:pt>
                <c:pt idx="2282">
                  <c:v>ORD102288</c:v>
                </c:pt>
                <c:pt idx="2283">
                  <c:v>ORD102289</c:v>
                </c:pt>
                <c:pt idx="2284">
                  <c:v>ORD102290</c:v>
                </c:pt>
                <c:pt idx="2285">
                  <c:v>ORD102291</c:v>
                </c:pt>
                <c:pt idx="2286">
                  <c:v>ORD102292</c:v>
                </c:pt>
                <c:pt idx="2287">
                  <c:v>ORD102293</c:v>
                </c:pt>
                <c:pt idx="2288">
                  <c:v>ORD102294</c:v>
                </c:pt>
                <c:pt idx="2289">
                  <c:v>ORD102295</c:v>
                </c:pt>
                <c:pt idx="2290">
                  <c:v>ORD102296</c:v>
                </c:pt>
                <c:pt idx="2291">
                  <c:v>ORD102297</c:v>
                </c:pt>
                <c:pt idx="2292">
                  <c:v>ORD102298</c:v>
                </c:pt>
                <c:pt idx="2293">
                  <c:v>ORD102299</c:v>
                </c:pt>
                <c:pt idx="2294">
                  <c:v>ORD102300</c:v>
                </c:pt>
                <c:pt idx="2295">
                  <c:v>ORD102301</c:v>
                </c:pt>
                <c:pt idx="2296">
                  <c:v>ORD102302</c:v>
                </c:pt>
                <c:pt idx="2297">
                  <c:v>ORD102303</c:v>
                </c:pt>
                <c:pt idx="2298">
                  <c:v>ORD102304</c:v>
                </c:pt>
                <c:pt idx="2299">
                  <c:v>ORD102305</c:v>
                </c:pt>
                <c:pt idx="2300">
                  <c:v>ORD102306</c:v>
                </c:pt>
                <c:pt idx="2301">
                  <c:v>ORD102307</c:v>
                </c:pt>
                <c:pt idx="2302">
                  <c:v>ORD102308</c:v>
                </c:pt>
                <c:pt idx="2303">
                  <c:v>ORD102309</c:v>
                </c:pt>
                <c:pt idx="2304">
                  <c:v>ORD102310</c:v>
                </c:pt>
                <c:pt idx="2305">
                  <c:v>ORD102311</c:v>
                </c:pt>
                <c:pt idx="2306">
                  <c:v>ORD102312</c:v>
                </c:pt>
                <c:pt idx="2307">
                  <c:v>ORD102313</c:v>
                </c:pt>
                <c:pt idx="2308">
                  <c:v>ORD102314</c:v>
                </c:pt>
                <c:pt idx="2309">
                  <c:v>ORD102315</c:v>
                </c:pt>
                <c:pt idx="2310">
                  <c:v>ORD102316</c:v>
                </c:pt>
                <c:pt idx="2311">
                  <c:v>ORD102317</c:v>
                </c:pt>
                <c:pt idx="2312">
                  <c:v>ORD102318</c:v>
                </c:pt>
                <c:pt idx="2313">
                  <c:v>ORD102319</c:v>
                </c:pt>
                <c:pt idx="2314">
                  <c:v>ORD102320</c:v>
                </c:pt>
                <c:pt idx="2315">
                  <c:v>ORD102321</c:v>
                </c:pt>
                <c:pt idx="2316">
                  <c:v>ORD102322</c:v>
                </c:pt>
                <c:pt idx="2317">
                  <c:v>ORD102323</c:v>
                </c:pt>
                <c:pt idx="2318">
                  <c:v>ORD102324</c:v>
                </c:pt>
                <c:pt idx="2319">
                  <c:v>ORD102325</c:v>
                </c:pt>
                <c:pt idx="2320">
                  <c:v>ORD102326</c:v>
                </c:pt>
                <c:pt idx="2321">
                  <c:v>ORD102327</c:v>
                </c:pt>
                <c:pt idx="2322">
                  <c:v>ORD102328</c:v>
                </c:pt>
                <c:pt idx="2323">
                  <c:v>ORD102329</c:v>
                </c:pt>
                <c:pt idx="2324">
                  <c:v>ORD102330</c:v>
                </c:pt>
                <c:pt idx="2325">
                  <c:v>ORD102331</c:v>
                </c:pt>
                <c:pt idx="2326">
                  <c:v>ORD102332</c:v>
                </c:pt>
                <c:pt idx="2327">
                  <c:v>ORD102333</c:v>
                </c:pt>
                <c:pt idx="2328">
                  <c:v>ORD102334</c:v>
                </c:pt>
                <c:pt idx="2329">
                  <c:v>ORD102335</c:v>
                </c:pt>
                <c:pt idx="2330">
                  <c:v>ORD102336</c:v>
                </c:pt>
                <c:pt idx="2331">
                  <c:v>ORD102337</c:v>
                </c:pt>
                <c:pt idx="2332">
                  <c:v>ORD102338</c:v>
                </c:pt>
                <c:pt idx="2333">
                  <c:v>ORD102339</c:v>
                </c:pt>
                <c:pt idx="2334">
                  <c:v>ORD102340</c:v>
                </c:pt>
                <c:pt idx="2335">
                  <c:v>ORD102341</c:v>
                </c:pt>
                <c:pt idx="2336">
                  <c:v>ORD102342</c:v>
                </c:pt>
                <c:pt idx="2337">
                  <c:v>ORD102343</c:v>
                </c:pt>
                <c:pt idx="2338">
                  <c:v>ORD102344</c:v>
                </c:pt>
                <c:pt idx="2339">
                  <c:v>ORD102345</c:v>
                </c:pt>
                <c:pt idx="2340">
                  <c:v>ORD102346</c:v>
                </c:pt>
                <c:pt idx="2341">
                  <c:v>ORD102347</c:v>
                </c:pt>
                <c:pt idx="2342">
                  <c:v>ORD102348</c:v>
                </c:pt>
                <c:pt idx="2343">
                  <c:v>ORD102349</c:v>
                </c:pt>
                <c:pt idx="2344">
                  <c:v>ORD102350</c:v>
                </c:pt>
                <c:pt idx="2345">
                  <c:v>ORD102351</c:v>
                </c:pt>
                <c:pt idx="2346">
                  <c:v>ORD102352</c:v>
                </c:pt>
                <c:pt idx="2347">
                  <c:v>ORD102353</c:v>
                </c:pt>
                <c:pt idx="2348">
                  <c:v>ORD102354</c:v>
                </c:pt>
                <c:pt idx="2349">
                  <c:v>ORD102355</c:v>
                </c:pt>
                <c:pt idx="2350">
                  <c:v>ORD102356</c:v>
                </c:pt>
                <c:pt idx="2351">
                  <c:v>ORD102357</c:v>
                </c:pt>
                <c:pt idx="2352">
                  <c:v>ORD102358</c:v>
                </c:pt>
                <c:pt idx="2353">
                  <c:v>ORD102359</c:v>
                </c:pt>
                <c:pt idx="2354">
                  <c:v>ORD102360</c:v>
                </c:pt>
                <c:pt idx="2355">
                  <c:v>ORD102361</c:v>
                </c:pt>
                <c:pt idx="2356">
                  <c:v>ORD102362</c:v>
                </c:pt>
                <c:pt idx="2357">
                  <c:v>ORD102363</c:v>
                </c:pt>
                <c:pt idx="2358">
                  <c:v>ORD102364</c:v>
                </c:pt>
                <c:pt idx="2359">
                  <c:v>ORD102365</c:v>
                </c:pt>
                <c:pt idx="2360">
                  <c:v>ORD102366</c:v>
                </c:pt>
                <c:pt idx="2361">
                  <c:v>ORD102367</c:v>
                </c:pt>
                <c:pt idx="2362">
                  <c:v>ORD102368</c:v>
                </c:pt>
                <c:pt idx="2363">
                  <c:v>ORD102369</c:v>
                </c:pt>
                <c:pt idx="2364">
                  <c:v>ORD102370</c:v>
                </c:pt>
                <c:pt idx="2365">
                  <c:v>ORD102371</c:v>
                </c:pt>
                <c:pt idx="2366">
                  <c:v>ORD102372</c:v>
                </c:pt>
                <c:pt idx="2367">
                  <c:v>ORD102373</c:v>
                </c:pt>
                <c:pt idx="2368">
                  <c:v>ORD102374</c:v>
                </c:pt>
                <c:pt idx="2369">
                  <c:v>ORD102375</c:v>
                </c:pt>
                <c:pt idx="2370">
                  <c:v>ORD102376</c:v>
                </c:pt>
                <c:pt idx="2371">
                  <c:v>ORD102377</c:v>
                </c:pt>
                <c:pt idx="2372">
                  <c:v>ORD102378</c:v>
                </c:pt>
                <c:pt idx="2373">
                  <c:v>ORD102379</c:v>
                </c:pt>
                <c:pt idx="2374">
                  <c:v>ORD102380</c:v>
                </c:pt>
                <c:pt idx="2375">
                  <c:v>ORD102381</c:v>
                </c:pt>
                <c:pt idx="2376">
                  <c:v>ORD102382</c:v>
                </c:pt>
                <c:pt idx="2377">
                  <c:v>ORD102383</c:v>
                </c:pt>
                <c:pt idx="2378">
                  <c:v>ORD102384</c:v>
                </c:pt>
                <c:pt idx="2379">
                  <c:v>ORD102385</c:v>
                </c:pt>
                <c:pt idx="2380">
                  <c:v>ORD102386</c:v>
                </c:pt>
                <c:pt idx="2381">
                  <c:v>ORD102387</c:v>
                </c:pt>
                <c:pt idx="2382">
                  <c:v>ORD102388</c:v>
                </c:pt>
                <c:pt idx="2383">
                  <c:v>ORD102389</c:v>
                </c:pt>
                <c:pt idx="2384">
                  <c:v>ORD102390</c:v>
                </c:pt>
                <c:pt idx="2385">
                  <c:v>ORD102391</c:v>
                </c:pt>
                <c:pt idx="2386">
                  <c:v>ORD102392</c:v>
                </c:pt>
                <c:pt idx="2387">
                  <c:v>ORD102393</c:v>
                </c:pt>
                <c:pt idx="2388">
                  <c:v>ORD102394</c:v>
                </c:pt>
                <c:pt idx="2389">
                  <c:v>ORD102395</c:v>
                </c:pt>
                <c:pt idx="2390">
                  <c:v>ORD102396</c:v>
                </c:pt>
                <c:pt idx="2391">
                  <c:v>ORD102397</c:v>
                </c:pt>
                <c:pt idx="2392">
                  <c:v>ORD102398</c:v>
                </c:pt>
                <c:pt idx="2393">
                  <c:v>ORD102399</c:v>
                </c:pt>
                <c:pt idx="2394">
                  <c:v>ORD102400</c:v>
                </c:pt>
                <c:pt idx="2395">
                  <c:v>ORD102401</c:v>
                </c:pt>
                <c:pt idx="2396">
                  <c:v>ORD102402</c:v>
                </c:pt>
                <c:pt idx="2397">
                  <c:v>ORD102403</c:v>
                </c:pt>
                <c:pt idx="2398">
                  <c:v>ORD102404</c:v>
                </c:pt>
                <c:pt idx="2399">
                  <c:v>ORD102405</c:v>
                </c:pt>
                <c:pt idx="2400">
                  <c:v>ORD102406</c:v>
                </c:pt>
                <c:pt idx="2401">
                  <c:v>ORD102407</c:v>
                </c:pt>
                <c:pt idx="2402">
                  <c:v>ORD102408</c:v>
                </c:pt>
                <c:pt idx="2403">
                  <c:v>ORD102409</c:v>
                </c:pt>
                <c:pt idx="2404">
                  <c:v>ORD102410</c:v>
                </c:pt>
                <c:pt idx="2405">
                  <c:v>ORD102411</c:v>
                </c:pt>
                <c:pt idx="2406">
                  <c:v>ORD102412</c:v>
                </c:pt>
                <c:pt idx="2407">
                  <c:v>ORD102413</c:v>
                </c:pt>
                <c:pt idx="2408">
                  <c:v>ORD102414</c:v>
                </c:pt>
                <c:pt idx="2409">
                  <c:v>ORD102415</c:v>
                </c:pt>
                <c:pt idx="2410">
                  <c:v>ORD102416</c:v>
                </c:pt>
                <c:pt idx="2411">
                  <c:v>ORD102417</c:v>
                </c:pt>
                <c:pt idx="2412">
                  <c:v>ORD102418</c:v>
                </c:pt>
                <c:pt idx="2413">
                  <c:v>ORD102419</c:v>
                </c:pt>
                <c:pt idx="2414">
                  <c:v>ORD102420</c:v>
                </c:pt>
                <c:pt idx="2415">
                  <c:v>ORD102421</c:v>
                </c:pt>
                <c:pt idx="2416">
                  <c:v>ORD102422</c:v>
                </c:pt>
                <c:pt idx="2417">
                  <c:v>ORD102423</c:v>
                </c:pt>
                <c:pt idx="2418">
                  <c:v>ORD102424</c:v>
                </c:pt>
                <c:pt idx="2419">
                  <c:v>ORD102425</c:v>
                </c:pt>
                <c:pt idx="2420">
                  <c:v>ORD102426</c:v>
                </c:pt>
                <c:pt idx="2421">
                  <c:v>ORD102427</c:v>
                </c:pt>
                <c:pt idx="2422">
                  <c:v>ORD102428</c:v>
                </c:pt>
                <c:pt idx="2423">
                  <c:v>ORD102429</c:v>
                </c:pt>
                <c:pt idx="2424">
                  <c:v>ORD102430</c:v>
                </c:pt>
                <c:pt idx="2425">
                  <c:v>ORD102431</c:v>
                </c:pt>
                <c:pt idx="2426">
                  <c:v>ORD102432</c:v>
                </c:pt>
                <c:pt idx="2427">
                  <c:v>ORD102433</c:v>
                </c:pt>
                <c:pt idx="2428">
                  <c:v>ORD102434</c:v>
                </c:pt>
                <c:pt idx="2429">
                  <c:v>ORD102435</c:v>
                </c:pt>
                <c:pt idx="2430">
                  <c:v>ORD102436</c:v>
                </c:pt>
                <c:pt idx="2431">
                  <c:v>ORD102437</c:v>
                </c:pt>
                <c:pt idx="2432">
                  <c:v>ORD102438</c:v>
                </c:pt>
                <c:pt idx="2433">
                  <c:v>ORD102439</c:v>
                </c:pt>
                <c:pt idx="2434">
                  <c:v>ORD102440</c:v>
                </c:pt>
                <c:pt idx="2435">
                  <c:v>ORD102441</c:v>
                </c:pt>
                <c:pt idx="2436">
                  <c:v>ORD102442</c:v>
                </c:pt>
                <c:pt idx="2437">
                  <c:v>ORD102443</c:v>
                </c:pt>
                <c:pt idx="2438">
                  <c:v>ORD102444</c:v>
                </c:pt>
                <c:pt idx="2439">
                  <c:v>ORD102445</c:v>
                </c:pt>
                <c:pt idx="2440">
                  <c:v>ORD102446</c:v>
                </c:pt>
                <c:pt idx="2441">
                  <c:v>ORD102447</c:v>
                </c:pt>
                <c:pt idx="2442">
                  <c:v>ORD102448</c:v>
                </c:pt>
                <c:pt idx="2443">
                  <c:v>ORD102449</c:v>
                </c:pt>
                <c:pt idx="2444">
                  <c:v>ORD102450</c:v>
                </c:pt>
                <c:pt idx="2445">
                  <c:v>ORD102451</c:v>
                </c:pt>
                <c:pt idx="2446">
                  <c:v>ORD102452</c:v>
                </c:pt>
                <c:pt idx="2447">
                  <c:v>ORD102453</c:v>
                </c:pt>
                <c:pt idx="2448">
                  <c:v>ORD102454</c:v>
                </c:pt>
                <c:pt idx="2449">
                  <c:v>ORD102455</c:v>
                </c:pt>
                <c:pt idx="2450">
                  <c:v>ORD102456</c:v>
                </c:pt>
                <c:pt idx="2451">
                  <c:v>ORD102457</c:v>
                </c:pt>
                <c:pt idx="2452">
                  <c:v>ORD102458</c:v>
                </c:pt>
                <c:pt idx="2453">
                  <c:v>ORD102459</c:v>
                </c:pt>
                <c:pt idx="2454">
                  <c:v>ORD102460</c:v>
                </c:pt>
                <c:pt idx="2455">
                  <c:v>ORD102461</c:v>
                </c:pt>
                <c:pt idx="2456">
                  <c:v>ORD102462</c:v>
                </c:pt>
                <c:pt idx="2457">
                  <c:v>ORD102463</c:v>
                </c:pt>
                <c:pt idx="2458">
                  <c:v>ORD102464</c:v>
                </c:pt>
                <c:pt idx="2459">
                  <c:v>ORD102465</c:v>
                </c:pt>
                <c:pt idx="2460">
                  <c:v>ORD102466</c:v>
                </c:pt>
                <c:pt idx="2461">
                  <c:v>ORD102467</c:v>
                </c:pt>
                <c:pt idx="2462">
                  <c:v>ORD102468</c:v>
                </c:pt>
                <c:pt idx="2463">
                  <c:v>ORD102469</c:v>
                </c:pt>
                <c:pt idx="2464">
                  <c:v>ORD102470</c:v>
                </c:pt>
                <c:pt idx="2465">
                  <c:v>ORD102471</c:v>
                </c:pt>
                <c:pt idx="2466">
                  <c:v>ORD102472</c:v>
                </c:pt>
                <c:pt idx="2467">
                  <c:v>ORD102473</c:v>
                </c:pt>
                <c:pt idx="2468">
                  <c:v>ORD102474</c:v>
                </c:pt>
                <c:pt idx="2469">
                  <c:v>ORD102475</c:v>
                </c:pt>
                <c:pt idx="2470">
                  <c:v>ORD102476</c:v>
                </c:pt>
                <c:pt idx="2471">
                  <c:v>ORD102477</c:v>
                </c:pt>
                <c:pt idx="2472">
                  <c:v>ORD102478</c:v>
                </c:pt>
                <c:pt idx="2473">
                  <c:v>ORD102479</c:v>
                </c:pt>
                <c:pt idx="2474">
                  <c:v>ORD102480</c:v>
                </c:pt>
                <c:pt idx="2475">
                  <c:v>ORD102481</c:v>
                </c:pt>
                <c:pt idx="2476">
                  <c:v>ORD102482</c:v>
                </c:pt>
                <c:pt idx="2477">
                  <c:v>ORD102483</c:v>
                </c:pt>
                <c:pt idx="2478">
                  <c:v>ORD102484</c:v>
                </c:pt>
                <c:pt idx="2479">
                  <c:v>ORD102485</c:v>
                </c:pt>
                <c:pt idx="2480">
                  <c:v>ORD102486</c:v>
                </c:pt>
                <c:pt idx="2481">
                  <c:v>ORD102487</c:v>
                </c:pt>
                <c:pt idx="2482">
                  <c:v>ORD102488</c:v>
                </c:pt>
                <c:pt idx="2483">
                  <c:v>ORD102489</c:v>
                </c:pt>
                <c:pt idx="2484">
                  <c:v>ORD102490</c:v>
                </c:pt>
                <c:pt idx="2485">
                  <c:v>ORD102491</c:v>
                </c:pt>
                <c:pt idx="2486">
                  <c:v>ORD102492</c:v>
                </c:pt>
                <c:pt idx="2487">
                  <c:v>ORD102493</c:v>
                </c:pt>
                <c:pt idx="2488">
                  <c:v>ORD102494</c:v>
                </c:pt>
                <c:pt idx="2489">
                  <c:v>ORD102495</c:v>
                </c:pt>
                <c:pt idx="2490">
                  <c:v>ORD102496</c:v>
                </c:pt>
                <c:pt idx="2491">
                  <c:v>ORD102497</c:v>
                </c:pt>
                <c:pt idx="2492">
                  <c:v>ORD102498</c:v>
                </c:pt>
                <c:pt idx="2493">
                  <c:v>ORD102499</c:v>
                </c:pt>
                <c:pt idx="2494">
                  <c:v>ORD102500</c:v>
                </c:pt>
                <c:pt idx="2495">
                  <c:v>ORD102501</c:v>
                </c:pt>
                <c:pt idx="2496">
                  <c:v>ORD102502</c:v>
                </c:pt>
                <c:pt idx="2497">
                  <c:v>ORD102503</c:v>
                </c:pt>
                <c:pt idx="2498">
                  <c:v>ORD102504</c:v>
                </c:pt>
                <c:pt idx="2499">
                  <c:v>ORD102505</c:v>
                </c:pt>
                <c:pt idx="2500">
                  <c:v>ORD102506</c:v>
                </c:pt>
                <c:pt idx="2501">
                  <c:v>ORD102507</c:v>
                </c:pt>
                <c:pt idx="2502">
                  <c:v>ORD102508</c:v>
                </c:pt>
                <c:pt idx="2503">
                  <c:v>ORD102509</c:v>
                </c:pt>
                <c:pt idx="2504">
                  <c:v>ORD102510</c:v>
                </c:pt>
                <c:pt idx="2505">
                  <c:v>ORD102511</c:v>
                </c:pt>
                <c:pt idx="2506">
                  <c:v>ORD102512</c:v>
                </c:pt>
                <c:pt idx="2507">
                  <c:v>ORD102513</c:v>
                </c:pt>
                <c:pt idx="2508">
                  <c:v>ORD102514</c:v>
                </c:pt>
                <c:pt idx="2509">
                  <c:v>ORD102515</c:v>
                </c:pt>
                <c:pt idx="2510">
                  <c:v>ORD102516</c:v>
                </c:pt>
                <c:pt idx="2511">
                  <c:v>ORD102517</c:v>
                </c:pt>
                <c:pt idx="2512">
                  <c:v>ORD102518</c:v>
                </c:pt>
                <c:pt idx="2513">
                  <c:v>ORD102519</c:v>
                </c:pt>
                <c:pt idx="2514">
                  <c:v>ORD102520</c:v>
                </c:pt>
                <c:pt idx="2515">
                  <c:v>ORD102521</c:v>
                </c:pt>
                <c:pt idx="2516">
                  <c:v>ORD102522</c:v>
                </c:pt>
                <c:pt idx="2517">
                  <c:v>ORD102523</c:v>
                </c:pt>
                <c:pt idx="2518">
                  <c:v>ORD102524</c:v>
                </c:pt>
                <c:pt idx="2519">
                  <c:v>ORD102525</c:v>
                </c:pt>
                <c:pt idx="2520">
                  <c:v>ORD102527</c:v>
                </c:pt>
                <c:pt idx="2521">
                  <c:v>ORD102528</c:v>
                </c:pt>
                <c:pt idx="2522">
                  <c:v>ORD102529</c:v>
                </c:pt>
                <c:pt idx="2523">
                  <c:v>ORD102530</c:v>
                </c:pt>
                <c:pt idx="2524">
                  <c:v>ORD102531</c:v>
                </c:pt>
                <c:pt idx="2525">
                  <c:v>ORD102532</c:v>
                </c:pt>
                <c:pt idx="2526">
                  <c:v>ORD102533</c:v>
                </c:pt>
                <c:pt idx="2527">
                  <c:v>ORD102534</c:v>
                </c:pt>
                <c:pt idx="2528">
                  <c:v>ORD102535</c:v>
                </c:pt>
                <c:pt idx="2529">
                  <c:v>ORD102536</c:v>
                </c:pt>
                <c:pt idx="2530">
                  <c:v>ORD102537</c:v>
                </c:pt>
                <c:pt idx="2531">
                  <c:v>ORD102538</c:v>
                </c:pt>
                <c:pt idx="2532">
                  <c:v>ORD102539</c:v>
                </c:pt>
                <c:pt idx="2533">
                  <c:v>ORD102540</c:v>
                </c:pt>
                <c:pt idx="2534">
                  <c:v>ORD102541</c:v>
                </c:pt>
                <c:pt idx="2535">
                  <c:v>ORD102542</c:v>
                </c:pt>
                <c:pt idx="2536">
                  <c:v>ORD102543</c:v>
                </c:pt>
                <c:pt idx="2537">
                  <c:v>ORD102544</c:v>
                </c:pt>
                <c:pt idx="2538">
                  <c:v>ORD102545</c:v>
                </c:pt>
                <c:pt idx="2539">
                  <c:v>ORD102546</c:v>
                </c:pt>
                <c:pt idx="2540">
                  <c:v>ORD102547</c:v>
                </c:pt>
                <c:pt idx="2541">
                  <c:v>ORD102548</c:v>
                </c:pt>
                <c:pt idx="2542">
                  <c:v>ORD102549</c:v>
                </c:pt>
                <c:pt idx="2543">
                  <c:v>ORD102550</c:v>
                </c:pt>
                <c:pt idx="2544">
                  <c:v>ORD102551</c:v>
                </c:pt>
                <c:pt idx="2545">
                  <c:v>ORD102552</c:v>
                </c:pt>
                <c:pt idx="2546">
                  <c:v>ORD102553</c:v>
                </c:pt>
                <c:pt idx="2547">
                  <c:v>ORD102554</c:v>
                </c:pt>
                <c:pt idx="2548">
                  <c:v>ORD102555</c:v>
                </c:pt>
                <c:pt idx="2549">
                  <c:v>ORD102556</c:v>
                </c:pt>
                <c:pt idx="2550">
                  <c:v>ORD102557</c:v>
                </c:pt>
                <c:pt idx="2551">
                  <c:v>ORD102558</c:v>
                </c:pt>
                <c:pt idx="2552">
                  <c:v>ORD102559</c:v>
                </c:pt>
                <c:pt idx="2553">
                  <c:v>ORD102560</c:v>
                </c:pt>
                <c:pt idx="2554">
                  <c:v>ORD102561</c:v>
                </c:pt>
                <c:pt idx="2555">
                  <c:v>ORD102562</c:v>
                </c:pt>
                <c:pt idx="2556">
                  <c:v>ORD102563</c:v>
                </c:pt>
                <c:pt idx="2557">
                  <c:v>ORD102564</c:v>
                </c:pt>
                <c:pt idx="2558">
                  <c:v>ORD102565</c:v>
                </c:pt>
                <c:pt idx="2559">
                  <c:v>ORD102566</c:v>
                </c:pt>
                <c:pt idx="2560">
                  <c:v>ORD102567</c:v>
                </c:pt>
                <c:pt idx="2561">
                  <c:v>ORD102568</c:v>
                </c:pt>
                <c:pt idx="2562">
                  <c:v>ORD102569</c:v>
                </c:pt>
                <c:pt idx="2563">
                  <c:v>ORD102570</c:v>
                </c:pt>
                <c:pt idx="2564">
                  <c:v>ORD102571</c:v>
                </c:pt>
                <c:pt idx="2565">
                  <c:v>ORD102572</c:v>
                </c:pt>
                <c:pt idx="2566">
                  <c:v>ORD102573</c:v>
                </c:pt>
                <c:pt idx="2567">
                  <c:v>ORD102574</c:v>
                </c:pt>
                <c:pt idx="2568">
                  <c:v>ORD102575</c:v>
                </c:pt>
                <c:pt idx="2569">
                  <c:v>ORD102576</c:v>
                </c:pt>
                <c:pt idx="2570">
                  <c:v>ORD102577</c:v>
                </c:pt>
                <c:pt idx="2571">
                  <c:v>ORD102578</c:v>
                </c:pt>
                <c:pt idx="2572">
                  <c:v>ORD102579</c:v>
                </c:pt>
                <c:pt idx="2573">
                  <c:v>ORD102580</c:v>
                </c:pt>
                <c:pt idx="2574">
                  <c:v>ORD102581</c:v>
                </c:pt>
                <c:pt idx="2575">
                  <c:v>ORD102582</c:v>
                </c:pt>
                <c:pt idx="2576">
                  <c:v>ORD102583</c:v>
                </c:pt>
                <c:pt idx="2577">
                  <c:v>ORD102584</c:v>
                </c:pt>
                <c:pt idx="2578">
                  <c:v>ORD102585</c:v>
                </c:pt>
                <c:pt idx="2579">
                  <c:v>ORD102586</c:v>
                </c:pt>
                <c:pt idx="2580">
                  <c:v>ORD102587</c:v>
                </c:pt>
                <c:pt idx="2581">
                  <c:v>ORD102588</c:v>
                </c:pt>
                <c:pt idx="2582">
                  <c:v>ORD102589</c:v>
                </c:pt>
                <c:pt idx="2583">
                  <c:v>ORD102590</c:v>
                </c:pt>
                <c:pt idx="2584">
                  <c:v>ORD102591</c:v>
                </c:pt>
                <c:pt idx="2585">
                  <c:v>ORD102592</c:v>
                </c:pt>
                <c:pt idx="2586">
                  <c:v>ORD102593</c:v>
                </c:pt>
                <c:pt idx="2587">
                  <c:v>ORD102594</c:v>
                </c:pt>
                <c:pt idx="2588">
                  <c:v>ORD102595</c:v>
                </c:pt>
                <c:pt idx="2589">
                  <c:v>ORD102596</c:v>
                </c:pt>
                <c:pt idx="2590">
                  <c:v>ORD102597</c:v>
                </c:pt>
                <c:pt idx="2591">
                  <c:v>ORD102598</c:v>
                </c:pt>
                <c:pt idx="2592">
                  <c:v>ORD102599</c:v>
                </c:pt>
                <c:pt idx="2593">
                  <c:v>ORD102600</c:v>
                </c:pt>
                <c:pt idx="2594">
                  <c:v>ORD102601</c:v>
                </c:pt>
                <c:pt idx="2595">
                  <c:v>ORD102602</c:v>
                </c:pt>
                <c:pt idx="2596">
                  <c:v>ORD102603</c:v>
                </c:pt>
                <c:pt idx="2597">
                  <c:v>ORD102604</c:v>
                </c:pt>
                <c:pt idx="2598">
                  <c:v>ORD102605</c:v>
                </c:pt>
                <c:pt idx="2599">
                  <c:v>ORD102606</c:v>
                </c:pt>
                <c:pt idx="2600">
                  <c:v>ORD102607</c:v>
                </c:pt>
                <c:pt idx="2601">
                  <c:v>ORD102608</c:v>
                </c:pt>
                <c:pt idx="2602">
                  <c:v>ORD102609</c:v>
                </c:pt>
                <c:pt idx="2603">
                  <c:v>ORD102610</c:v>
                </c:pt>
                <c:pt idx="2604">
                  <c:v>ORD102611</c:v>
                </c:pt>
                <c:pt idx="2605">
                  <c:v>ORD102612</c:v>
                </c:pt>
                <c:pt idx="2606">
                  <c:v>ORD102613</c:v>
                </c:pt>
                <c:pt idx="2607">
                  <c:v>ORD102614</c:v>
                </c:pt>
                <c:pt idx="2608">
                  <c:v>ORD102615</c:v>
                </c:pt>
                <c:pt idx="2609">
                  <c:v>ORD102616</c:v>
                </c:pt>
                <c:pt idx="2610">
                  <c:v>ORD102617</c:v>
                </c:pt>
                <c:pt idx="2611">
                  <c:v>ORD102618</c:v>
                </c:pt>
                <c:pt idx="2612">
                  <c:v>ORD102619</c:v>
                </c:pt>
                <c:pt idx="2613">
                  <c:v>ORD102620</c:v>
                </c:pt>
                <c:pt idx="2614">
                  <c:v>ORD102621</c:v>
                </c:pt>
                <c:pt idx="2615">
                  <c:v>ORD102622</c:v>
                </c:pt>
                <c:pt idx="2616">
                  <c:v>ORD102623</c:v>
                </c:pt>
                <c:pt idx="2617">
                  <c:v>ORD102624</c:v>
                </c:pt>
                <c:pt idx="2618">
                  <c:v>ORD102625</c:v>
                </c:pt>
                <c:pt idx="2619">
                  <c:v>ORD102626</c:v>
                </c:pt>
                <c:pt idx="2620">
                  <c:v>ORD102627</c:v>
                </c:pt>
                <c:pt idx="2621">
                  <c:v>ORD102628</c:v>
                </c:pt>
                <c:pt idx="2622">
                  <c:v>ORD102629</c:v>
                </c:pt>
                <c:pt idx="2623">
                  <c:v>ORD102630</c:v>
                </c:pt>
                <c:pt idx="2624">
                  <c:v>ORD102631</c:v>
                </c:pt>
                <c:pt idx="2625">
                  <c:v>ORD102632</c:v>
                </c:pt>
                <c:pt idx="2626">
                  <c:v>ORD102633</c:v>
                </c:pt>
                <c:pt idx="2627">
                  <c:v>ORD102634</c:v>
                </c:pt>
                <c:pt idx="2628">
                  <c:v>ORD102635</c:v>
                </c:pt>
                <c:pt idx="2629">
                  <c:v>ORD102636</c:v>
                </c:pt>
                <c:pt idx="2630">
                  <c:v>ORD102637</c:v>
                </c:pt>
                <c:pt idx="2631">
                  <c:v>ORD102638</c:v>
                </c:pt>
                <c:pt idx="2632">
                  <c:v>ORD102639</c:v>
                </c:pt>
                <c:pt idx="2633">
                  <c:v>ORD102640</c:v>
                </c:pt>
                <c:pt idx="2634">
                  <c:v>ORD102641</c:v>
                </c:pt>
                <c:pt idx="2635">
                  <c:v>ORD102642</c:v>
                </c:pt>
                <c:pt idx="2636">
                  <c:v>ORD102643</c:v>
                </c:pt>
                <c:pt idx="2637">
                  <c:v>ORD102644</c:v>
                </c:pt>
                <c:pt idx="2638">
                  <c:v>ORD102645</c:v>
                </c:pt>
                <c:pt idx="2639">
                  <c:v>ORD102646</c:v>
                </c:pt>
                <c:pt idx="2640">
                  <c:v>ORD102647</c:v>
                </c:pt>
                <c:pt idx="2641">
                  <c:v>ORD102648</c:v>
                </c:pt>
                <c:pt idx="2642">
                  <c:v>ORD102649</c:v>
                </c:pt>
                <c:pt idx="2643">
                  <c:v>ORD102650</c:v>
                </c:pt>
                <c:pt idx="2644">
                  <c:v>ORD102651</c:v>
                </c:pt>
                <c:pt idx="2645">
                  <c:v>ORD102652</c:v>
                </c:pt>
                <c:pt idx="2646">
                  <c:v>ORD102653</c:v>
                </c:pt>
                <c:pt idx="2647">
                  <c:v>ORD102654</c:v>
                </c:pt>
                <c:pt idx="2648">
                  <c:v>ORD102655</c:v>
                </c:pt>
                <c:pt idx="2649">
                  <c:v>ORD102656</c:v>
                </c:pt>
                <c:pt idx="2650">
                  <c:v>ORD102657</c:v>
                </c:pt>
                <c:pt idx="2651">
                  <c:v>ORD102658</c:v>
                </c:pt>
                <c:pt idx="2652">
                  <c:v>ORD102659</c:v>
                </c:pt>
                <c:pt idx="2653">
                  <c:v>ORD102660</c:v>
                </c:pt>
                <c:pt idx="2654">
                  <c:v>ORD102661</c:v>
                </c:pt>
                <c:pt idx="2655">
                  <c:v>ORD102662</c:v>
                </c:pt>
                <c:pt idx="2656">
                  <c:v>ORD102663</c:v>
                </c:pt>
                <c:pt idx="2657">
                  <c:v>ORD102664</c:v>
                </c:pt>
                <c:pt idx="2658">
                  <c:v>ORD102665</c:v>
                </c:pt>
                <c:pt idx="2659">
                  <c:v>ORD102666</c:v>
                </c:pt>
                <c:pt idx="2660">
                  <c:v>ORD102667</c:v>
                </c:pt>
                <c:pt idx="2661">
                  <c:v>ORD102668</c:v>
                </c:pt>
                <c:pt idx="2662">
                  <c:v>ORD102669</c:v>
                </c:pt>
                <c:pt idx="2663">
                  <c:v>ORD102670</c:v>
                </c:pt>
                <c:pt idx="2664">
                  <c:v>ORD102671</c:v>
                </c:pt>
                <c:pt idx="2665">
                  <c:v>ORD102672</c:v>
                </c:pt>
                <c:pt idx="2666">
                  <c:v>ORD102673</c:v>
                </c:pt>
                <c:pt idx="2667">
                  <c:v>ORD102674</c:v>
                </c:pt>
                <c:pt idx="2668">
                  <c:v>ORD102675</c:v>
                </c:pt>
                <c:pt idx="2669">
                  <c:v>ORD102676</c:v>
                </c:pt>
                <c:pt idx="2670">
                  <c:v>ORD102677</c:v>
                </c:pt>
                <c:pt idx="2671">
                  <c:v>ORD102678</c:v>
                </c:pt>
                <c:pt idx="2672">
                  <c:v>ORD102679</c:v>
                </c:pt>
                <c:pt idx="2673">
                  <c:v>ORD102680</c:v>
                </c:pt>
                <c:pt idx="2674">
                  <c:v>ORD102681</c:v>
                </c:pt>
                <c:pt idx="2675">
                  <c:v>ORD102682</c:v>
                </c:pt>
                <c:pt idx="2676">
                  <c:v>ORD102683</c:v>
                </c:pt>
                <c:pt idx="2677">
                  <c:v>ORD102684</c:v>
                </c:pt>
                <c:pt idx="2678">
                  <c:v>ORD102685</c:v>
                </c:pt>
                <c:pt idx="2679">
                  <c:v>ORD102686</c:v>
                </c:pt>
                <c:pt idx="2680">
                  <c:v>ORD102687</c:v>
                </c:pt>
                <c:pt idx="2681">
                  <c:v>ORD102688</c:v>
                </c:pt>
                <c:pt idx="2682">
                  <c:v>ORD102689</c:v>
                </c:pt>
                <c:pt idx="2683">
                  <c:v>ORD102690</c:v>
                </c:pt>
                <c:pt idx="2684">
                  <c:v>ORD102691</c:v>
                </c:pt>
                <c:pt idx="2685">
                  <c:v>ORD102692</c:v>
                </c:pt>
                <c:pt idx="2686">
                  <c:v>ORD102693</c:v>
                </c:pt>
                <c:pt idx="2687">
                  <c:v>ORD102694</c:v>
                </c:pt>
                <c:pt idx="2688">
                  <c:v>ORD102695</c:v>
                </c:pt>
                <c:pt idx="2689">
                  <c:v>ORD102696</c:v>
                </c:pt>
                <c:pt idx="2690">
                  <c:v>ORD102697</c:v>
                </c:pt>
                <c:pt idx="2691">
                  <c:v>ORD102698</c:v>
                </c:pt>
                <c:pt idx="2692">
                  <c:v>ORD102699</c:v>
                </c:pt>
                <c:pt idx="2693">
                  <c:v>ORD102700</c:v>
                </c:pt>
                <c:pt idx="2694">
                  <c:v>ORD102701</c:v>
                </c:pt>
                <c:pt idx="2695">
                  <c:v>ORD102702</c:v>
                </c:pt>
                <c:pt idx="2696">
                  <c:v>ORD102703</c:v>
                </c:pt>
                <c:pt idx="2697">
                  <c:v>ORD102704</c:v>
                </c:pt>
                <c:pt idx="2698">
                  <c:v>ORD102705</c:v>
                </c:pt>
                <c:pt idx="2699">
                  <c:v>ORD102706</c:v>
                </c:pt>
                <c:pt idx="2700">
                  <c:v>ORD102707</c:v>
                </c:pt>
                <c:pt idx="2701">
                  <c:v>ORD102708</c:v>
                </c:pt>
                <c:pt idx="2702">
                  <c:v>ORD102709</c:v>
                </c:pt>
                <c:pt idx="2703">
                  <c:v>ORD102710</c:v>
                </c:pt>
                <c:pt idx="2704">
                  <c:v>ORD102711</c:v>
                </c:pt>
                <c:pt idx="2705">
                  <c:v>ORD102712</c:v>
                </c:pt>
                <c:pt idx="2706">
                  <c:v>ORD102713</c:v>
                </c:pt>
                <c:pt idx="2707">
                  <c:v>ORD102714</c:v>
                </c:pt>
                <c:pt idx="2708">
                  <c:v>ORD102715</c:v>
                </c:pt>
                <c:pt idx="2709">
                  <c:v>ORD102716</c:v>
                </c:pt>
                <c:pt idx="2710">
                  <c:v>ORD102717</c:v>
                </c:pt>
                <c:pt idx="2711">
                  <c:v>ORD102718</c:v>
                </c:pt>
                <c:pt idx="2712">
                  <c:v>ORD102719</c:v>
                </c:pt>
                <c:pt idx="2713">
                  <c:v>ORD102720</c:v>
                </c:pt>
                <c:pt idx="2714">
                  <c:v>ORD102721</c:v>
                </c:pt>
                <c:pt idx="2715">
                  <c:v>ORD102722</c:v>
                </c:pt>
                <c:pt idx="2716">
                  <c:v>ORD102723</c:v>
                </c:pt>
                <c:pt idx="2717">
                  <c:v>ORD102724</c:v>
                </c:pt>
                <c:pt idx="2718">
                  <c:v>ORD102725</c:v>
                </c:pt>
                <c:pt idx="2719">
                  <c:v>ORD102726</c:v>
                </c:pt>
                <c:pt idx="2720">
                  <c:v>ORD102727</c:v>
                </c:pt>
                <c:pt idx="2721">
                  <c:v>ORD102728</c:v>
                </c:pt>
                <c:pt idx="2722">
                  <c:v>ORD102729</c:v>
                </c:pt>
                <c:pt idx="2723">
                  <c:v>ORD102730</c:v>
                </c:pt>
                <c:pt idx="2724">
                  <c:v>ORD102731</c:v>
                </c:pt>
                <c:pt idx="2725">
                  <c:v>ORD102732</c:v>
                </c:pt>
                <c:pt idx="2726">
                  <c:v>ORD102733</c:v>
                </c:pt>
                <c:pt idx="2727">
                  <c:v>ORD102734</c:v>
                </c:pt>
                <c:pt idx="2728">
                  <c:v>ORD102735</c:v>
                </c:pt>
                <c:pt idx="2729">
                  <c:v>ORD102736</c:v>
                </c:pt>
                <c:pt idx="2730">
                  <c:v>ORD102737</c:v>
                </c:pt>
                <c:pt idx="2731">
                  <c:v>ORD102738</c:v>
                </c:pt>
                <c:pt idx="2732">
                  <c:v>ORD102739</c:v>
                </c:pt>
                <c:pt idx="2733">
                  <c:v>ORD102740</c:v>
                </c:pt>
                <c:pt idx="2734">
                  <c:v>ORD102741</c:v>
                </c:pt>
                <c:pt idx="2735">
                  <c:v>ORD102742</c:v>
                </c:pt>
                <c:pt idx="2736">
                  <c:v>ORD102743</c:v>
                </c:pt>
                <c:pt idx="2737">
                  <c:v>ORD102744</c:v>
                </c:pt>
                <c:pt idx="2738">
                  <c:v>ORD102745</c:v>
                </c:pt>
                <c:pt idx="2739">
                  <c:v>ORD102746</c:v>
                </c:pt>
                <c:pt idx="2740">
                  <c:v>ORD102747</c:v>
                </c:pt>
                <c:pt idx="2741">
                  <c:v>ORD102748</c:v>
                </c:pt>
                <c:pt idx="2742">
                  <c:v>ORD102749</c:v>
                </c:pt>
                <c:pt idx="2743">
                  <c:v>ORD102750</c:v>
                </c:pt>
                <c:pt idx="2744">
                  <c:v>ORD102751</c:v>
                </c:pt>
                <c:pt idx="2745">
                  <c:v>ORD102752</c:v>
                </c:pt>
                <c:pt idx="2746">
                  <c:v>ORD102753</c:v>
                </c:pt>
                <c:pt idx="2747">
                  <c:v>ORD102754</c:v>
                </c:pt>
                <c:pt idx="2748">
                  <c:v>ORD102755</c:v>
                </c:pt>
                <c:pt idx="2749">
                  <c:v>ORD102756</c:v>
                </c:pt>
                <c:pt idx="2750">
                  <c:v>ORD102757</c:v>
                </c:pt>
                <c:pt idx="2751">
                  <c:v>ORD102758</c:v>
                </c:pt>
                <c:pt idx="2752">
                  <c:v>ORD102759</c:v>
                </c:pt>
                <c:pt idx="2753">
                  <c:v>ORD102760</c:v>
                </c:pt>
                <c:pt idx="2754">
                  <c:v>ORD102761</c:v>
                </c:pt>
                <c:pt idx="2755">
                  <c:v>ORD102762</c:v>
                </c:pt>
                <c:pt idx="2756">
                  <c:v>ORD102763</c:v>
                </c:pt>
                <c:pt idx="2757">
                  <c:v>ORD102764</c:v>
                </c:pt>
                <c:pt idx="2758">
                  <c:v>ORD102765</c:v>
                </c:pt>
                <c:pt idx="2759">
                  <c:v>ORD102766</c:v>
                </c:pt>
                <c:pt idx="2760">
                  <c:v>ORD102767</c:v>
                </c:pt>
                <c:pt idx="2761">
                  <c:v>ORD102768</c:v>
                </c:pt>
                <c:pt idx="2762">
                  <c:v>ORD102769</c:v>
                </c:pt>
                <c:pt idx="2763">
                  <c:v>ORD102770</c:v>
                </c:pt>
                <c:pt idx="2764">
                  <c:v>ORD102771</c:v>
                </c:pt>
                <c:pt idx="2765">
                  <c:v>ORD102772</c:v>
                </c:pt>
                <c:pt idx="2766">
                  <c:v>ORD102773</c:v>
                </c:pt>
                <c:pt idx="2767">
                  <c:v>ORD102774</c:v>
                </c:pt>
                <c:pt idx="2768">
                  <c:v>ORD102775</c:v>
                </c:pt>
                <c:pt idx="2769">
                  <c:v>ORD102776</c:v>
                </c:pt>
                <c:pt idx="2770">
                  <c:v>ORD102777</c:v>
                </c:pt>
                <c:pt idx="2771">
                  <c:v>ORD102778</c:v>
                </c:pt>
                <c:pt idx="2772">
                  <c:v>ORD102779</c:v>
                </c:pt>
                <c:pt idx="2773">
                  <c:v>ORD102780</c:v>
                </c:pt>
                <c:pt idx="2774">
                  <c:v>ORD102781</c:v>
                </c:pt>
                <c:pt idx="2775">
                  <c:v>ORD102782</c:v>
                </c:pt>
                <c:pt idx="2776">
                  <c:v>ORD102783</c:v>
                </c:pt>
                <c:pt idx="2777">
                  <c:v>ORD102784</c:v>
                </c:pt>
                <c:pt idx="2778">
                  <c:v>ORD102785</c:v>
                </c:pt>
                <c:pt idx="2779">
                  <c:v>ORD102786</c:v>
                </c:pt>
                <c:pt idx="2780">
                  <c:v>ORD102787</c:v>
                </c:pt>
                <c:pt idx="2781">
                  <c:v>ORD102788</c:v>
                </c:pt>
                <c:pt idx="2782">
                  <c:v>ORD102789</c:v>
                </c:pt>
                <c:pt idx="2783">
                  <c:v>ORD102790</c:v>
                </c:pt>
                <c:pt idx="2784">
                  <c:v>ORD102791</c:v>
                </c:pt>
                <c:pt idx="2785">
                  <c:v>ORD102792</c:v>
                </c:pt>
                <c:pt idx="2786">
                  <c:v>ORD102793</c:v>
                </c:pt>
                <c:pt idx="2787">
                  <c:v>ORD102794</c:v>
                </c:pt>
                <c:pt idx="2788">
                  <c:v>ORD102795</c:v>
                </c:pt>
                <c:pt idx="2789">
                  <c:v>ORD102796</c:v>
                </c:pt>
                <c:pt idx="2790">
                  <c:v>ORD102797</c:v>
                </c:pt>
                <c:pt idx="2791">
                  <c:v>ORD102798</c:v>
                </c:pt>
                <c:pt idx="2792">
                  <c:v>ORD102799</c:v>
                </c:pt>
                <c:pt idx="2793">
                  <c:v>ORD102800</c:v>
                </c:pt>
                <c:pt idx="2794">
                  <c:v>ORD102801</c:v>
                </c:pt>
                <c:pt idx="2795">
                  <c:v>ORD102802</c:v>
                </c:pt>
                <c:pt idx="2796">
                  <c:v>ORD102803</c:v>
                </c:pt>
                <c:pt idx="2797">
                  <c:v>ORD102804</c:v>
                </c:pt>
                <c:pt idx="2798">
                  <c:v>ORD102805</c:v>
                </c:pt>
                <c:pt idx="2799">
                  <c:v>ORD102806</c:v>
                </c:pt>
                <c:pt idx="2800">
                  <c:v>ORD102807</c:v>
                </c:pt>
                <c:pt idx="2801">
                  <c:v>ORD102808</c:v>
                </c:pt>
                <c:pt idx="2802">
                  <c:v>ORD102809</c:v>
                </c:pt>
                <c:pt idx="2803">
                  <c:v>ORD102810</c:v>
                </c:pt>
                <c:pt idx="2804">
                  <c:v>ORD102811</c:v>
                </c:pt>
                <c:pt idx="2805">
                  <c:v>ORD102812</c:v>
                </c:pt>
                <c:pt idx="2806">
                  <c:v>ORD102813</c:v>
                </c:pt>
                <c:pt idx="2807">
                  <c:v>ORD102814</c:v>
                </c:pt>
                <c:pt idx="2808">
                  <c:v>ORD102815</c:v>
                </c:pt>
                <c:pt idx="2809">
                  <c:v>ORD102816</c:v>
                </c:pt>
                <c:pt idx="2810">
                  <c:v>ORD102817</c:v>
                </c:pt>
                <c:pt idx="2811">
                  <c:v>ORD102818</c:v>
                </c:pt>
                <c:pt idx="2812">
                  <c:v>ORD102819</c:v>
                </c:pt>
                <c:pt idx="2813">
                  <c:v>ORD102820</c:v>
                </c:pt>
                <c:pt idx="2814">
                  <c:v>ORD102821</c:v>
                </c:pt>
                <c:pt idx="2815">
                  <c:v>ORD102822</c:v>
                </c:pt>
                <c:pt idx="2816">
                  <c:v>ORD102823</c:v>
                </c:pt>
                <c:pt idx="2817">
                  <c:v>ORD102824</c:v>
                </c:pt>
                <c:pt idx="2818">
                  <c:v>ORD102825</c:v>
                </c:pt>
                <c:pt idx="2819">
                  <c:v>ORD102826</c:v>
                </c:pt>
                <c:pt idx="2820">
                  <c:v>ORD102827</c:v>
                </c:pt>
                <c:pt idx="2821">
                  <c:v>ORD102828</c:v>
                </c:pt>
                <c:pt idx="2822">
                  <c:v>ORD102829</c:v>
                </c:pt>
                <c:pt idx="2823">
                  <c:v>ORD102830</c:v>
                </c:pt>
                <c:pt idx="2824">
                  <c:v>ORD102831</c:v>
                </c:pt>
                <c:pt idx="2825">
                  <c:v>ORD102832</c:v>
                </c:pt>
                <c:pt idx="2826">
                  <c:v>ORD102833</c:v>
                </c:pt>
                <c:pt idx="2827">
                  <c:v>ORD102834</c:v>
                </c:pt>
                <c:pt idx="2828">
                  <c:v>ORD102835</c:v>
                </c:pt>
                <c:pt idx="2829">
                  <c:v>ORD102836</c:v>
                </c:pt>
                <c:pt idx="2830">
                  <c:v>ORD102837</c:v>
                </c:pt>
                <c:pt idx="2831">
                  <c:v>ORD102838</c:v>
                </c:pt>
                <c:pt idx="2832">
                  <c:v>ORD102839</c:v>
                </c:pt>
                <c:pt idx="2833">
                  <c:v>ORD102840</c:v>
                </c:pt>
                <c:pt idx="2834">
                  <c:v>ORD102841</c:v>
                </c:pt>
                <c:pt idx="2835">
                  <c:v>ORD102842</c:v>
                </c:pt>
                <c:pt idx="2836">
                  <c:v>ORD102843</c:v>
                </c:pt>
                <c:pt idx="2837">
                  <c:v>ORD102844</c:v>
                </c:pt>
                <c:pt idx="2838">
                  <c:v>ORD102845</c:v>
                </c:pt>
                <c:pt idx="2839">
                  <c:v>ORD102846</c:v>
                </c:pt>
                <c:pt idx="2840">
                  <c:v>ORD102847</c:v>
                </c:pt>
                <c:pt idx="2841">
                  <c:v>ORD102848</c:v>
                </c:pt>
                <c:pt idx="2842">
                  <c:v>ORD102849</c:v>
                </c:pt>
                <c:pt idx="2843">
                  <c:v>ORD102850</c:v>
                </c:pt>
                <c:pt idx="2844">
                  <c:v>ORD102851</c:v>
                </c:pt>
                <c:pt idx="2845">
                  <c:v>ORD102852</c:v>
                </c:pt>
                <c:pt idx="2846">
                  <c:v>ORD102853</c:v>
                </c:pt>
                <c:pt idx="2847">
                  <c:v>ORD102854</c:v>
                </c:pt>
                <c:pt idx="2848">
                  <c:v>ORD102855</c:v>
                </c:pt>
                <c:pt idx="2849">
                  <c:v>ORD102856</c:v>
                </c:pt>
                <c:pt idx="2850">
                  <c:v>ORD102857</c:v>
                </c:pt>
                <c:pt idx="2851">
                  <c:v>ORD102858</c:v>
                </c:pt>
                <c:pt idx="2852">
                  <c:v>ORD102859</c:v>
                </c:pt>
                <c:pt idx="2853">
                  <c:v>ORD102860</c:v>
                </c:pt>
                <c:pt idx="2854">
                  <c:v>ORD102861</c:v>
                </c:pt>
                <c:pt idx="2855">
                  <c:v>ORD102862</c:v>
                </c:pt>
                <c:pt idx="2856">
                  <c:v>ORD102863</c:v>
                </c:pt>
                <c:pt idx="2857">
                  <c:v>ORD102864</c:v>
                </c:pt>
                <c:pt idx="2858">
                  <c:v>ORD102865</c:v>
                </c:pt>
                <c:pt idx="2859">
                  <c:v>ORD102866</c:v>
                </c:pt>
                <c:pt idx="2860">
                  <c:v>ORD102867</c:v>
                </c:pt>
                <c:pt idx="2861">
                  <c:v>ORD102868</c:v>
                </c:pt>
                <c:pt idx="2862">
                  <c:v>ORD102869</c:v>
                </c:pt>
                <c:pt idx="2863">
                  <c:v>ORD102870</c:v>
                </c:pt>
                <c:pt idx="2864">
                  <c:v>ORD102871</c:v>
                </c:pt>
                <c:pt idx="2865">
                  <c:v>ORD102872</c:v>
                </c:pt>
                <c:pt idx="2866">
                  <c:v>ORD102873</c:v>
                </c:pt>
                <c:pt idx="2867">
                  <c:v>ORD102874</c:v>
                </c:pt>
                <c:pt idx="2868">
                  <c:v>ORD102875</c:v>
                </c:pt>
                <c:pt idx="2869">
                  <c:v>ORD102876</c:v>
                </c:pt>
                <c:pt idx="2870">
                  <c:v>ORD102877</c:v>
                </c:pt>
                <c:pt idx="2871">
                  <c:v>ORD102878</c:v>
                </c:pt>
                <c:pt idx="2872">
                  <c:v>ORD102879</c:v>
                </c:pt>
                <c:pt idx="2873">
                  <c:v>ORD102880</c:v>
                </c:pt>
                <c:pt idx="2874">
                  <c:v>ORD102881</c:v>
                </c:pt>
                <c:pt idx="2875">
                  <c:v>ORD102882</c:v>
                </c:pt>
                <c:pt idx="2876">
                  <c:v>ORD102883</c:v>
                </c:pt>
                <c:pt idx="2877">
                  <c:v>ORD102884</c:v>
                </c:pt>
                <c:pt idx="2878">
                  <c:v>ORD102885</c:v>
                </c:pt>
                <c:pt idx="2879">
                  <c:v>ORD102886</c:v>
                </c:pt>
                <c:pt idx="2880">
                  <c:v>ORD102887</c:v>
                </c:pt>
                <c:pt idx="2881">
                  <c:v>ORD102888</c:v>
                </c:pt>
                <c:pt idx="2882">
                  <c:v>ORD102889</c:v>
                </c:pt>
                <c:pt idx="2883">
                  <c:v>ORD102890</c:v>
                </c:pt>
                <c:pt idx="2884">
                  <c:v>ORD102891</c:v>
                </c:pt>
                <c:pt idx="2885">
                  <c:v>ORD102892</c:v>
                </c:pt>
                <c:pt idx="2886">
                  <c:v>ORD102893</c:v>
                </c:pt>
                <c:pt idx="2887">
                  <c:v>ORD102894</c:v>
                </c:pt>
                <c:pt idx="2888">
                  <c:v>ORD102895</c:v>
                </c:pt>
                <c:pt idx="2889">
                  <c:v>ORD102896</c:v>
                </c:pt>
                <c:pt idx="2890">
                  <c:v>ORD102897</c:v>
                </c:pt>
                <c:pt idx="2891">
                  <c:v>ORD102898</c:v>
                </c:pt>
                <c:pt idx="2892">
                  <c:v>ORD102899</c:v>
                </c:pt>
                <c:pt idx="2893">
                  <c:v>ORD102900</c:v>
                </c:pt>
                <c:pt idx="2894">
                  <c:v>ORD102901</c:v>
                </c:pt>
                <c:pt idx="2895">
                  <c:v>ORD102902</c:v>
                </c:pt>
                <c:pt idx="2896">
                  <c:v>ORD102903</c:v>
                </c:pt>
                <c:pt idx="2897">
                  <c:v>ORD102904</c:v>
                </c:pt>
                <c:pt idx="2898">
                  <c:v>ORD102905</c:v>
                </c:pt>
                <c:pt idx="2899">
                  <c:v>ORD102906</c:v>
                </c:pt>
                <c:pt idx="2900">
                  <c:v>ORD102907</c:v>
                </c:pt>
                <c:pt idx="2901">
                  <c:v>ORD102908</c:v>
                </c:pt>
                <c:pt idx="2902">
                  <c:v>ORD102909</c:v>
                </c:pt>
                <c:pt idx="2903">
                  <c:v>ORD102910</c:v>
                </c:pt>
                <c:pt idx="2904">
                  <c:v>ORD102911</c:v>
                </c:pt>
                <c:pt idx="2905">
                  <c:v>ORD102912</c:v>
                </c:pt>
                <c:pt idx="2906">
                  <c:v>ORD102913</c:v>
                </c:pt>
                <c:pt idx="2907">
                  <c:v>ORD102914</c:v>
                </c:pt>
                <c:pt idx="2908">
                  <c:v>ORD102915</c:v>
                </c:pt>
                <c:pt idx="2909">
                  <c:v>ORD102916</c:v>
                </c:pt>
                <c:pt idx="2910">
                  <c:v>ORD102917</c:v>
                </c:pt>
                <c:pt idx="2911">
                  <c:v>ORD102918</c:v>
                </c:pt>
                <c:pt idx="2912">
                  <c:v>ORD102919</c:v>
                </c:pt>
                <c:pt idx="2913">
                  <c:v>ORD102920</c:v>
                </c:pt>
                <c:pt idx="2914">
                  <c:v>ORD102921</c:v>
                </c:pt>
                <c:pt idx="2915">
                  <c:v>ORD102922</c:v>
                </c:pt>
                <c:pt idx="2916">
                  <c:v>ORD102923</c:v>
                </c:pt>
                <c:pt idx="2917">
                  <c:v>ORD102924</c:v>
                </c:pt>
                <c:pt idx="2918">
                  <c:v>ORD102925</c:v>
                </c:pt>
                <c:pt idx="2919">
                  <c:v>ORD102926</c:v>
                </c:pt>
                <c:pt idx="2920">
                  <c:v>ORD102928</c:v>
                </c:pt>
                <c:pt idx="2921">
                  <c:v>ORD102929</c:v>
                </c:pt>
                <c:pt idx="2922">
                  <c:v>ORD102930</c:v>
                </c:pt>
                <c:pt idx="2923">
                  <c:v>ORD102931</c:v>
                </c:pt>
                <c:pt idx="2924">
                  <c:v>ORD102932</c:v>
                </c:pt>
                <c:pt idx="2925">
                  <c:v>ORD102933</c:v>
                </c:pt>
                <c:pt idx="2926">
                  <c:v>ORD102934</c:v>
                </c:pt>
                <c:pt idx="2927">
                  <c:v>ORD102935</c:v>
                </c:pt>
                <c:pt idx="2928">
                  <c:v>ORD102936</c:v>
                </c:pt>
                <c:pt idx="2929">
                  <c:v>ORD102937</c:v>
                </c:pt>
                <c:pt idx="2930">
                  <c:v>ORD102938</c:v>
                </c:pt>
                <c:pt idx="2931">
                  <c:v>ORD102939</c:v>
                </c:pt>
                <c:pt idx="2932">
                  <c:v>ORD102940</c:v>
                </c:pt>
                <c:pt idx="2933">
                  <c:v>ORD102941</c:v>
                </c:pt>
                <c:pt idx="2934">
                  <c:v>ORD102942</c:v>
                </c:pt>
                <c:pt idx="2935">
                  <c:v>ORD102943</c:v>
                </c:pt>
                <c:pt idx="2936">
                  <c:v>ORD102944</c:v>
                </c:pt>
                <c:pt idx="2937">
                  <c:v>ORD102945</c:v>
                </c:pt>
                <c:pt idx="2938">
                  <c:v>ORD102946</c:v>
                </c:pt>
                <c:pt idx="2939">
                  <c:v>ORD102947</c:v>
                </c:pt>
                <c:pt idx="2940">
                  <c:v>ORD102948</c:v>
                </c:pt>
                <c:pt idx="2941">
                  <c:v>ORD102949</c:v>
                </c:pt>
                <c:pt idx="2942">
                  <c:v>ORD102950</c:v>
                </c:pt>
                <c:pt idx="2943">
                  <c:v>ORD102951</c:v>
                </c:pt>
                <c:pt idx="2944">
                  <c:v>ORD102952</c:v>
                </c:pt>
                <c:pt idx="2945">
                  <c:v>ORD102953</c:v>
                </c:pt>
                <c:pt idx="2946">
                  <c:v>ORD102954</c:v>
                </c:pt>
                <c:pt idx="2947">
                  <c:v>ORD102955</c:v>
                </c:pt>
                <c:pt idx="2948">
                  <c:v>ORD102956</c:v>
                </c:pt>
                <c:pt idx="2949">
                  <c:v>ORD102957</c:v>
                </c:pt>
                <c:pt idx="2950">
                  <c:v>ORD102958</c:v>
                </c:pt>
                <c:pt idx="2951">
                  <c:v>ORD102959</c:v>
                </c:pt>
                <c:pt idx="2952">
                  <c:v>ORD102960</c:v>
                </c:pt>
                <c:pt idx="2953">
                  <c:v>ORD102961</c:v>
                </c:pt>
                <c:pt idx="2954">
                  <c:v>ORD102962</c:v>
                </c:pt>
                <c:pt idx="2955">
                  <c:v>ORD102963</c:v>
                </c:pt>
                <c:pt idx="2956">
                  <c:v>ORD102964</c:v>
                </c:pt>
                <c:pt idx="2957">
                  <c:v>ORD102965</c:v>
                </c:pt>
                <c:pt idx="2958">
                  <c:v>ORD102966</c:v>
                </c:pt>
                <c:pt idx="2959">
                  <c:v>ORD102967</c:v>
                </c:pt>
                <c:pt idx="2960">
                  <c:v>ORD102968</c:v>
                </c:pt>
                <c:pt idx="2961">
                  <c:v>ORD102969</c:v>
                </c:pt>
                <c:pt idx="2962">
                  <c:v>ORD102970</c:v>
                </c:pt>
                <c:pt idx="2963">
                  <c:v>ORD102971</c:v>
                </c:pt>
                <c:pt idx="2964">
                  <c:v>ORD102972</c:v>
                </c:pt>
                <c:pt idx="2965">
                  <c:v>ORD102973</c:v>
                </c:pt>
                <c:pt idx="2966">
                  <c:v>ORD102974</c:v>
                </c:pt>
                <c:pt idx="2967">
                  <c:v>ORD102975</c:v>
                </c:pt>
                <c:pt idx="2968">
                  <c:v>ORD102976</c:v>
                </c:pt>
                <c:pt idx="2969">
                  <c:v>ORD102977</c:v>
                </c:pt>
                <c:pt idx="2970">
                  <c:v>ORD102978</c:v>
                </c:pt>
                <c:pt idx="2971">
                  <c:v>ORD102979</c:v>
                </c:pt>
                <c:pt idx="2972">
                  <c:v>ORD102980</c:v>
                </c:pt>
                <c:pt idx="2973">
                  <c:v>ORD102981</c:v>
                </c:pt>
                <c:pt idx="2974">
                  <c:v>ORD102982</c:v>
                </c:pt>
                <c:pt idx="2975">
                  <c:v>ORD102983</c:v>
                </c:pt>
                <c:pt idx="2976">
                  <c:v>ORD102984</c:v>
                </c:pt>
                <c:pt idx="2977">
                  <c:v>ORD102985</c:v>
                </c:pt>
                <c:pt idx="2978">
                  <c:v>ORD102986</c:v>
                </c:pt>
                <c:pt idx="2979">
                  <c:v>ORD102987</c:v>
                </c:pt>
                <c:pt idx="2980">
                  <c:v>ORD102988</c:v>
                </c:pt>
                <c:pt idx="2981">
                  <c:v>ORD102989</c:v>
                </c:pt>
                <c:pt idx="2982">
                  <c:v>ORD102990</c:v>
                </c:pt>
                <c:pt idx="2983">
                  <c:v>ORD102991</c:v>
                </c:pt>
                <c:pt idx="2984">
                  <c:v>ORD102992</c:v>
                </c:pt>
                <c:pt idx="2985">
                  <c:v>ORD102993</c:v>
                </c:pt>
                <c:pt idx="2986">
                  <c:v>ORD102994</c:v>
                </c:pt>
                <c:pt idx="2987">
                  <c:v>ORD102995</c:v>
                </c:pt>
                <c:pt idx="2988">
                  <c:v>ORD102996</c:v>
                </c:pt>
                <c:pt idx="2989">
                  <c:v>ORD102997</c:v>
                </c:pt>
                <c:pt idx="2990">
                  <c:v>ORD102998</c:v>
                </c:pt>
                <c:pt idx="2991">
                  <c:v>ORD102999</c:v>
                </c:pt>
                <c:pt idx="2992">
                  <c:v>ORD103000</c:v>
                </c:pt>
                <c:pt idx="2993">
                  <c:v>ORD103001</c:v>
                </c:pt>
                <c:pt idx="2994">
                  <c:v>ORD103002</c:v>
                </c:pt>
                <c:pt idx="2995">
                  <c:v>ORD103003</c:v>
                </c:pt>
                <c:pt idx="2996">
                  <c:v>ORD103004</c:v>
                </c:pt>
                <c:pt idx="2997">
                  <c:v>ORD103005</c:v>
                </c:pt>
                <c:pt idx="2998">
                  <c:v>ORD103006</c:v>
                </c:pt>
                <c:pt idx="2999">
                  <c:v>ORD103007</c:v>
                </c:pt>
                <c:pt idx="3000">
                  <c:v>ORD103008</c:v>
                </c:pt>
                <c:pt idx="3001">
                  <c:v>ORD103009</c:v>
                </c:pt>
                <c:pt idx="3002">
                  <c:v>ORD103010</c:v>
                </c:pt>
                <c:pt idx="3003">
                  <c:v>ORD103011</c:v>
                </c:pt>
                <c:pt idx="3004">
                  <c:v>ORD103012</c:v>
                </c:pt>
                <c:pt idx="3005">
                  <c:v>ORD103013</c:v>
                </c:pt>
                <c:pt idx="3006">
                  <c:v>ORD103014</c:v>
                </c:pt>
                <c:pt idx="3007">
                  <c:v>ORD103015</c:v>
                </c:pt>
                <c:pt idx="3008">
                  <c:v>ORD103016</c:v>
                </c:pt>
                <c:pt idx="3009">
                  <c:v>ORD103017</c:v>
                </c:pt>
                <c:pt idx="3010">
                  <c:v>ORD103018</c:v>
                </c:pt>
                <c:pt idx="3011">
                  <c:v>ORD103019</c:v>
                </c:pt>
                <c:pt idx="3012">
                  <c:v>ORD103020</c:v>
                </c:pt>
                <c:pt idx="3013">
                  <c:v>ORD103021</c:v>
                </c:pt>
                <c:pt idx="3014">
                  <c:v>ORD103022</c:v>
                </c:pt>
                <c:pt idx="3015">
                  <c:v>ORD103023</c:v>
                </c:pt>
                <c:pt idx="3016">
                  <c:v>ORD103024</c:v>
                </c:pt>
                <c:pt idx="3017">
                  <c:v>ORD103025</c:v>
                </c:pt>
                <c:pt idx="3018">
                  <c:v>ORD103026</c:v>
                </c:pt>
                <c:pt idx="3019">
                  <c:v>ORD103027</c:v>
                </c:pt>
                <c:pt idx="3020">
                  <c:v>ORD103028</c:v>
                </c:pt>
                <c:pt idx="3021">
                  <c:v>ORD103029</c:v>
                </c:pt>
                <c:pt idx="3022">
                  <c:v>ORD103030</c:v>
                </c:pt>
                <c:pt idx="3023">
                  <c:v>ORD103031</c:v>
                </c:pt>
                <c:pt idx="3024">
                  <c:v>ORD103032</c:v>
                </c:pt>
                <c:pt idx="3025">
                  <c:v>ORD103033</c:v>
                </c:pt>
                <c:pt idx="3026">
                  <c:v>ORD103034</c:v>
                </c:pt>
                <c:pt idx="3027">
                  <c:v>ORD103035</c:v>
                </c:pt>
                <c:pt idx="3028">
                  <c:v>ORD103036</c:v>
                </c:pt>
                <c:pt idx="3029">
                  <c:v>ORD103037</c:v>
                </c:pt>
                <c:pt idx="3030">
                  <c:v>ORD103038</c:v>
                </c:pt>
                <c:pt idx="3031">
                  <c:v>ORD103039</c:v>
                </c:pt>
                <c:pt idx="3032">
                  <c:v>ORD103040</c:v>
                </c:pt>
                <c:pt idx="3033">
                  <c:v>ORD103041</c:v>
                </c:pt>
                <c:pt idx="3034">
                  <c:v>ORD103042</c:v>
                </c:pt>
                <c:pt idx="3035">
                  <c:v>ORD103043</c:v>
                </c:pt>
                <c:pt idx="3036">
                  <c:v>ORD103044</c:v>
                </c:pt>
                <c:pt idx="3037">
                  <c:v>ORD103045</c:v>
                </c:pt>
                <c:pt idx="3038">
                  <c:v>ORD103046</c:v>
                </c:pt>
                <c:pt idx="3039">
                  <c:v>ORD103047</c:v>
                </c:pt>
                <c:pt idx="3040">
                  <c:v>ORD103048</c:v>
                </c:pt>
                <c:pt idx="3041">
                  <c:v>ORD103049</c:v>
                </c:pt>
                <c:pt idx="3042">
                  <c:v>ORD103050</c:v>
                </c:pt>
                <c:pt idx="3043">
                  <c:v>ORD103051</c:v>
                </c:pt>
                <c:pt idx="3044">
                  <c:v>ORD103052</c:v>
                </c:pt>
                <c:pt idx="3045">
                  <c:v>ORD103053</c:v>
                </c:pt>
                <c:pt idx="3046">
                  <c:v>ORD103054</c:v>
                </c:pt>
                <c:pt idx="3047">
                  <c:v>ORD103055</c:v>
                </c:pt>
                <c:pt idx="3048">
                  <c:v>ORD103056</c:v>
                </c:pt>
                <c:pt idx="3049">
                  <c:v>ORD103057</c:v>
                </c:pt>
                <c:pt idx="3050">
                  <c:v>ORD103058</c:v>
                </c:pt>
                <c:pt idx="3051">
                  <c:v>ORD103059</c:v>
                </c:pt>
                <c:pt idx="3052">
                  <c:v>ORD103060</c:v>
                </c:pt>
                <c:pt idx="3053">
                  <c:v>ORD103061</c:v>
                </c:pt>
                <c:pt idx="3054">
                  <c:v>ORD103062</c:v>
                </c:pt>
                <c:pt idx="3055">
                  <c:v>ORD103063</c:v>
                </c:pt>
                <c:pt idx="3056">
                  <c:v>ORD103064</c:v>
                </c:pt>
                <c:pt idx="3057">
                  <c:v>ORD103065</c:v>
                </c:pt>
                <c:pt idx="3058">
                  <c:v>ORD103066</c:v>
                </c:pt>
                <c:pt idx="3059">
                  <c:v>ORD103067</c:v>
                </c:pt>
                <c:pt idx="3060">
                  <c:v>ORD103068</c:v>
                </c:pt>
                <c:pt idx="3061">
                  <c:v>ORD103069</c:v>
                </c:pt>
                <c:pt idx="3062">
                  <c:v>ORD103070</c:v>
                </c:pt>
                <c:pt idx="3063">
                  <c:v>ORD103071</c:v>
                </c:pt>
                <c:pt idx="3064">
                  <c:v>ORD103072</c:v>
                </c:pt>
                <c:pt idx="3065">
                  <c:v>ORD103073</c:v>
                </c:pt>
                <c:pt idx="3066">
                  <c:v>ORD103074</c:v>
                </c:pt>
                <c:pt idx="3067">
                  <c:v>ORD103075</c:v>
                </c:pt>
                <c:pt idx="3068">
                  <c:v>ORD103076</c:v>
                </c:pt>
                <c:pt idx="3069">
                  <c:v>ORD103077</c:v>
                </c:pt>
                <c:pt idx="3070">
                  <c:v>ORD103078</c:v>
                </c:pt>
                <c:pt idx="3071">
                  <c:v>ORD103079</c:v>
                </c:pt>
                <c:pt idx="3072">
                  <c:v>ORD103080</c:v>
                </c:pt>
                <c:pt idx="3073">
                  <c:v>ORD103081</c:v>
                </c:pt>
                <c:pt idx="3074">
                  <c:v>ORD103082</c:v>
                </c:pt>
                <c:pt idx="3075">
                  <c:v>ORD103083</c:v>
                </c:pt>
                <c:pt idx="3076">
                  <c:v>ORD103084</c:v>
                </c:pt>
                <c:pt idx="3077">
                  <c:v>ORD103085</c:v>
                </c:pt>
                <c:pt idx="3078">
                  <c:v>ORD103086</c:v>
                </c:pt>
                <c:pt idx="3079">
                  <c:v>ORD103087</c:v>
                </c:pt>
                <c:pt idx="3080">
                  <c:v>ORD103088</c:v>
                </c:pt>
                <c:pt idx="3081">
                  <c:v>ORD103089</c:v>
                </c:pt>
                <c:pt idx="3082">
                  <c:v>ORD103090</c:v>
                </c:pt>
                <c:pt idx="3083">
                  <c:v>ORD103091</c:v>
                </c:pt>
                <c:pt idx="3084">
                  <c:v>ORD103092</c:v>
                </c:pt>
                <c:pt idx="3085">
                  <c:v>ORD103093</c:v>
                </c:pt>
                <c:pt idx="3086">
                  <c:v>ORD103094</c:v>
                </c:pt>
                <c:pt idx="3087">
                  <c:v>ORD103095</c:v>
                </c:pt>
                <c:pt idx="3088">
                  <c:v>ORD103096</c:v>
                </c:pt>
                <c:pt idx="3089">
                  <c:v>ORD103097</c:v>
                </c:pt>
                <c:pt idx="3090">
                  <c:v>ORD103098</c:v>
                </c:pt>
                <c:pt idx="3091">
                  <c:v>ORD103099</c:v>
                </c:pt>
                <c:pt idx="3092">
                  <c:v>ORD103100</c:v>
                </c:pt>
                <c:pt idx="3093">
                  <c:v>ORD103101</c:v>
                </c:pt>
                <c:pt idx="3094">
                  <c:v>ORD103102</c:v>
                </c:pt>
                <c:pt idx="3095">
                  <c:v>ORD103103</c:v>
                </c:pt>
                <c:pt idx="3096">
                  <c:v>ORD103104</c:v>
                </c:pt>
                <c:pt idx="3097">
                  <c:v>ORD103105</c:v>
                </c:pt>
                <c:pt idx="3098">
                  <c:v>ORD103106</c:v>
                </c:pt>
                <c:pt idx="3099">
                  <c:v>ORD103107</c:v>
                </c:pt>
                <c:pt idx="3100">
                  <c:v>ORD103108</c:v>
                </c:pt>
                <c:pt idx="3101">
                  <c:v>ORD103109</c:v>
                </c:pt>
                <c:pt idx="3102">
                  <c:v>ORD103110</c:v>
                </c:pt>
                <c:pt idx="3103">
                  <c:v>ORD103111</c:v>
                </c:pt>
                <c:pt idx="3104">
                  <c:v>ORD103112</c:v>
                </c:pt>
                <c:pt idx="3105">
                  <c:v>ORD103113</c:v>
                </c:pt>
                <c:pt idx="3106">
                  <c:v>ORD103114</c:v>
                </c:pt>
                <c:pt idx="3107">
                  <c:v>ORD103115</c:v>
                </c:pt>
                <c:pt idx="3108">
                  <c:v>ORD103116</c:v>
                </c:pt>
                <c:pt idx="3109">
                  <c:v>ORD103117</c:v>
                </c:pt>
                <c:pt idx="3110">
                  <c:v>ORD103118</c:v>
                </c:pt>
                <c:pt idx="3111">
                  <c:v>ORD103119</c:v>
                </c:pt>
                <c:pt idx="3112">
                  <c:v>ORD103120</c:v>
                </c:pt>
                <c:pt idx="3113">
                  <c:v>ORD103121</c:v>
                </c:pt>
                <c:pt idx="3114">
                  <c:v>ORD103122</c:v>
                </c:pt>
                <c:pt idx="3115">
                  <c:v>ORD103123</c:v>
                </c:pt>
                <c:pt idx="3116">
                  <c:v>ORD103124</c:v>
                </c:pt>
                <c:pt idx="3117">
                  <c:v>ORD103125</c:v>
                </c:pt>
                <c:pt idx="3118">
                  <c:v>ORD103126</c:v>
                </c:pt>
                <c:pt idx="3119">
                  <c:v>ORD103127</c:v>
                </c:pt>
                <c:pt idx="3120">
                  <c:v>ORD103128</c:v>
                </c:pt>
                <c:pt idx="3121">
                  <c:v>ORD103129</c:v>
                </c:pt>
                <c:pt idx="3122">
                  <c:v>ORD103130</c:v>
                </c:pt>
                <c:pt idx="3123">
                  <c:v>ORD103131</c:v>
                </c:pt>
                <c:pt idx="3124">
                  <c:v>ORD103132</c:v>
                </c:pt>
                <c:pt idx="3125">
                  <c:v>ORD103133</c:v>
                </c:pt>
                <c:pt idx="3126">
                  <c:v>ORD103134</c:v>
                </c:pt>
                <c:pt idx="3127">
                  <c:v>ORD103135</c:v>
                </c:pt>
                <c:pt idx="3128">
                  <c:v>ORD103136</c:v>
                </c:pt>
                <c:pt idx="3129">
                  <c:v>ORD103137</c:v>
                </c:pt>
                <c:pt idx="3130">
                  <c:v>ORD103138</c:v>
                </c:pt>
                <c:pt idx="3131">
                  <c:v>ORD103139</c:v>
                </c:pt>
                <c:pt idx="3132">
                  <c:v>ORD103140</c:v>
                </c:pt>
                <c:pt idx="3133">
                  <c:v>ORD103141</c:v>
                </c:pt>
                <c:pt idx="3134">
                  <c:v>ORD103142</c:v>
                </c:pt>
                <c:pt idx="3135">
                  <c:v>ORD103143</c:v>
                </c:pt>
                <c:pt idx="3136">
                  <c:v>ORD103144</c:v>
                </c:pt>
                <c:pt idx="3137">
                  <c:v>ORD103145</c:v>
                </c:pt>
                <c:pt idx="3138">
                  <c:v>ORD103146</c:v>
                </c:pt>
                <c:pt idx="3139">
                  <c:v>ORD103147</c:v>
                </c:pt>
                <c:pt idx="3140">
                  <c:v>ORD103148</c:v>
                </c:pt>
                <c:pt idx="3141">
                  <c:v>ORD103149</c:v>
                </c:pt>
                <c:pt idx="3142">
                  <c:v>ORD103150</c:v>
                </c:pt>
                <c:pt idx="3143">
                  <c:v>ORD103151</c:v>
                </c:pt>
                <c:pt idx="3144">
                  <c:v>ORD103152</c:v>
                </c:pt>
                <c:pt idx="3145">
                  <c:v>ORD103153</c:v>
                </c:pt>
                <c:pt idx="3146">
                  <c:v>ORD103154</c:v>
                </c:pt>
                <c:pt idx="3147">
                  <c:v>ORD103155</c:v>
                </c:pt>
                <c:pt idx="3148">
                  <c:v>ORD103156</c:v>
                </c:pt>
                <c:pt idx="3149">
                  <c:v>ORD103157</c:v>
                </c:pt>
                <c:pt idx="3150">
                  <c:v>ORD103158</c:v>
                </c:pt>
                <c:pt idx="3151">
                  <c:v>ORD103159</c:v>
                </c:pt>
                <c:pt idx="3152">
                  <c:v>ORD103160</c:v>
                </c:pt>
                <c:pt idx="3153">
                  <c:v>ORD103161</c:v>
                </c:pt>
                <c:pt idx="3154">
                  <c:v>ORD103162</c:v>
                </c:pt>
                <c:pt idx="3155">
                  <c:v>ORD103163</c:v>
                </c:pt>
                <c:pt idx="3156">
                  <c:v>ORD103164</c:v>
                </c:pt>
                <c:pt idx="3157">
                  <c:v>ORD103165</c:v>
                </c:pt>
                <c:pt idx="3158">
                  <c:v>ORD103166</c:v>
                </c:pt>
                <c:pt idx="3159">
                  <c:v>ORD103167</c:v>
                </c:pt>
                <c:pt idx="3160">
                  <c:v>ORD103168</c:v>
                </c:pt>
                <c:pt idx="3161">
                  <c:v>ORD103169</c:v>
                </c:pt>
                <c:pt idx="3162">
                  <c:v>ORD103170</c:v>
                </c:pt>
                <c:pt idx="3163">
                  <c:v>ORD103171</c:v>
                </c:pt>
                <c:pt idx="3164">
                  <c:v>ORD103172</c:v>
                </c:pt>
                <c:pt idx="3165">
                  <c:v>ORD103173</c:v>
                </c:pt>
                <c:pt idx="3166">
                  <c:v>ORD103174</c:v>
                </c:pt>
                <c:pt idx="3167">
                  <c:v>ORD103175</c:v>
                </c:pt>
                <c:pt idx="3168">
                  <c:v>ORD103176</c:v>
                </c:pt>
                <c:pt idx="3169">
                  <c:v>ORD103177</c:v>
                </c:pt>
                <c:pt idx="3170">
                  <c:v>ORD103178</c:v>
                </c:pt>
                <c:pt idx="3171">
                  <c:v>ORD103179</c:v>
                </c:pt>
                <c:pt idx="3172">
                  <c:v>ORD103180</c:v>
                </c:pt>
                <c:pt idx="3173">
                  <c:v>ORD103181</c:v>
                </c:pt>
                <c:pt idx="3174">
                  <c:v>ORD103182</c:v>
                </c:pt>
                <c:pt idx="3175">
                  <c:v>ORD103183</c:v>
                </c:pt>
                <c:pt idx="3176">
                  <c:v>ORD103184</c:v>
                </c:pt>
                <c:pt idx="3177">
                  <c:v>ORD103185</c:v>
                </c:pt>
                <c:pt idx="3178">
                  <c:v>ORD103186</c:v>
                </c:pt>
                <c:pt idx="3179">
                  <c:v>ORD103187</c:v>
                </c:pt>
                <c:pt idx="3180">
                  <c:v>ORD103188</c:v>
                </c:pt>
                <c:pt idx="3181">
                  <c:v>ORD103189</c:v>
                </c:pt>
                <c:pt idx="3182">
                  <c:v>ORD103190</c:v>
                </c:pt>
                <c:pt idx="3183">
                  <c:v>ORD103191</c:v>
                </c:pt>
                <c:pt idx="3184">
                  <c:v>ORD103192</c:v>
                </c:pt>
                <c:pt idx="3185">
                  <c:v>ORD103193</c:v>
                </c:pt>
                <c:pt idx="3186">
                  <c:v>ORD103194</c:v>
                </c:pt>
                <c:pt idx="3187">
                  <c:v>ORD103195</c:v>
                </c:pt>
                <c:pt idx="3188">
                  <c:v>ORD103196</c:v>
                </c:pt>
                <c:pt idx="3189">
                  <c:v>ORD103197</c:v>
                </c:pt>
                <c:pt idx="3190">
                  <c:v>ORD103198</c:v>
                </c:pt>
                <c:pt idx="3191">
                  <c:v>ORD103199</c:v>
                </c:pt>
                <c:pt idx="3192">
                  <c:v>ORD103200</c:v>
                </c:pt>
                <c:pt idx="3193">
                  <c:v>ORD103201</c:v>
                </c:pt>
                <c:pt idx="3194">
                  <c:v>ORD103202</c:v>
                </c:pt>
                <c:pt idx="3195">
                  <c:v>ORD103203</c:v>
                </c:pt>
                <c:pt idx="3196">
                  <c:v>ORD103204</c:v>
                </c:pt>
                <c:pt idx="3197">
                  <c:v>ORD103205</c:v>
                </c:pt>
                <c:pt idx="3198">
                  <c:v>ORD103206</c:v>
                </c:pt>
                <c:pt idx="3199">
                  <c:v>ORD103207</c:v>
                </c:pt>
                <c:pt idx="3200">
                  <c:v>ORD103208</c:v>
                </c:pt>
                <c:pt idx="3201">
                  <c:v>ORD103209</c:v>
                </c:pt>
                <c:pt idx="3202">
                  <c:v>ORD103210</c:v>
                </c:pt>
                <c:pt idx="3203">
                  <c:v>ORD103211</c:v>
                </c:pt>
                <c:pt idx="3204">
                  <c:v>ORD103212</c:v>
                </c:pt>
                <c:pt idx="3205">
                  <c:v>ORD103213</c:v>
                </c:pt>
                <c:pt idx="3206">
                  <c:v>ORD103214</c:v>
                </c:pt>
                <c:pt idx="3207">
                  <c:v>ORD103215</c:v>
                </c:pt>
                <c:pt idx="3208">
                  <c:v>ORD103216</c:v>
                </c:pt>
                <c:pt idx="3209">
                  <c:v>ORD103217</c:v>
                </c:pt>
                <c:pt idx="3210">
                  <c:v>ORD103218</c:v>
                </c:pt>
                <c:pt idx="3211">
                  <c:v>ORD103219</c:v>
                </c:pt>
                <c:pt idx="3212">
                  <c:v>ORD103220</c:v>
                </c:pt>
                <c:pt idx="3213">
                  <c:v>ORD103221</c:v>
                </c:pt>
                <c:pt idx="3214">
                  <c:v>ORD103222</c:v>
                </c:pt>
                <c:pt idx="3215">
                  <c:v>ORD103223</c:v>
                </c:pt>
                <c:pt idx="3216">
                  <c:v>ORD103224</c:v>
                </c:pt>
                <c:pt idx="3217">
                  <c:v>ORD103225</c:v>
                </c:pt>
                <c:pt idx="3218">
                  <c:v>ORD103226</c:v>
                </c:pt>
                <c:pt idx="3219">
                  <c:v>ORD103227</c:v>
                </c:pt>
                <c:pt idx="3220">
                  <c:v>ORD103228</c:v>
                </c:pt>
                <c:pt idx="3221">
                  <c:v>ORD103229</c:v>
                </c:pt>
                <c:pt idx="3222">
                  <c:v>ORD103230</c:v>
                </c:pt>
                <c:pt idx="3223">
                  <c:v>ORD103231</c:v>
                </c:pt>
                <c:pt idx="3224">
                  <c:v>ORD103232</c:v>
                </c:pt>
                <c:pt idx="3225">
                  <c:v>ORD103233</c:v>
                </c:pt>
                <c:pt idx="3226">
                  <c:v>ORD103234</c:v>
                </c:pt>
                <c:pt idx="3227">
                  <c:v>ORD103235</c:v>
                </c:pt>
                <c:pt idx="3228">
                  <c:v>ORD103236</c:v>
                </c:pt>
                <c:pt idx="3229">
                  <c:v>ORD103237</c:v>
                </c:pt>
                <c:pt idx="3230">
                  <c:v>ORD103238</c:v>
                </c:pt>
                <c:pt idx="3231">
                  <c:v>ORD103239</c:v>
                </c:pt>
                <c:pt idx="3232">
                  <c:v>ORD103240</c:v>
                </c:pt>
                <c:pt idx="3233">
                  <c:v>ORD103241</c:v>
                </c:pt>
                <c:pt idx="3234">
                  <c:v>ORD103242</c:v>
                </c:pt>
                <c:pt idx="3235">
                  <c:v>ORD103243</c:v>
                </c:pt>
                <c:pt idx="3236">
                  <c:v>ORD103244</c:v>
                </c:pt>
                <c:pt idx="3237">
                  <c:v>ORD103245</c:v>
                </c:pt>
                <c:pt idx="3238">
                  <c:v>ORD103246</c:v>
                </c:pt>
                <c:pt idx="3239">
                  <c:v>ORD103247</c:v>
                </c:pt>
                <c:pt idx="3240">
                  <c:v>ORD103248</c:v>
                </c:pt>
                <c:pt idx="3241">
                  <c:v>ORD103249</c:v>
                </c:pt>
                <c:pt idx="3242">
                  <c:v>ORD103250</c:v>
                </c:pt>
                <c:pt idx="3243">
                  <c:v>ORD103251</c:v>
                </c:pt>
                <c:pt idx="3244">
                  <c:v>ORD103252</c:v>
                </c:pt>
                <c:pt idx="3245">
                  <c:v>ORD103253</c:v>
                </c:pt>
                <c:pt idx="3246">
                  <c:v>ORD103254</c:v>
                </c:pt>
                <c:pt idx="3247">
                  <c:v>ORD103255</c:v>
                </c:pt>
                <c:pt idx="3248">
                  <c:v>ORD103256</c:v>
                </c:pt>
                <c:pt idx="3249">
                  <c:v>ORD103257</c:v>
                </c:pt>
                <c:pt idx="3250">
                  <c:v>ORD103258</c:v>
                </c:pt>
                <c:pt idx="3251">
                  <c:v>ORD103259</c:v>
                </c:pt>
                <c:pt idx="3252">
                  <c:v>ORD103260</c:v>
                </c:pt>
                <c:pt idx="3253">
                  <c:v>ORD103261</c:v>
                </c:pt>
                <c:pt idx="3254">
                  <c:v>ORD103262</c:v>
                </c:pt>
                <c:pt idx="3255">
                  <c:v>ORD103263</c:v>
                </c:pt>
                <c:pt idx="3256">
                  <c:v>ORD103264</c:v>
                </c:pt>
                <c:pt idx="3257">
                  <c:v>ORD103265</c:v>
                </c:pt>
                <c:pt idx="3258">
                  <c:v>ORD103266</c:v>
                </c:pt>
                <c:pt idx="3259">
                  <c:v>ORD103267</c:v>
                </c:pt>
                <c:pt idx="3260">
                  <c:v>ORD103268</c:v>
                </c:pt>
                <c:pt idx="3261">
                  <c:v>ORD103269</c:v>
                </c:pt>
                <c:pt idx="3262">
                  <c:v>ORD103270</c:v>
                </c:pt>
                <c:pt idx="3263">
                  <c:v>ORD103271</c:v>
                </c:pt>
                <c:pt idx="3264">
                  <c:v>ORD103272</c:v>
                </c:pt>
                <c:pt idx="3265">
                  <c:v>ORD103273</c:v>
                </c:pt>
                <c:pt idx="3266">
                  <c:v>ORD103274</c:v>
                </c:pt>
                <c:pt idx="3267">
                  <c:v>ORD103275</c:v>
                </c:pt>
                <c:pt idx="3268">
                  <c:v>ORD103276</c:v>
                </c:pt>
                <c:pt idx="3269">
                  <c:v>ORD103277</c:v>
                </c:pt>
                <c:pt idx="3270">
                  <c:v>ORD103278</c:v>
                </c:pt>
                <c:pt idx="3271">
                  <c:v>ORD103279</c:v>
                </c:pt>
                <c:pt idx="3272">
                  <c:v>ORD103280</c:v>
                </c:pt>
                <c:pt idx="3273">
                  <c:v>ORD103281</c:v>
                </c:pt>
                <c:pt idx="3274">
                  <c:v>ORD103282</c:v>
                </c:pt>
                <c:pt idx="3275">
                  <c:v>ORD103283</c:v>
                </c:pt>
                <c:pt idx="3276">
                  <c:v>ORD103284</c:v>
                </c:pt>
                <c:pt idx="3277">
                  <c:v>ORD103285</c:v>
                </c:pt>
                <c:pt idx="3278">
                  <c:v>ORD103286</c:v>
                </c:pt>
                <c:pt idx="3279">
                  <c:v>ORD103287</c:v>
                </c:pt>
                <c:pt idx="3280">
                  <c:v>ORD103288</c:v>
                </c:pt>
                <c:pt idx="3281">
                  <c:v>ORD103289</c:v>
                </c:pt>
                <c:pt idx="3282">
                  <c:v>ORD103290</c:v>
                </c:pt>
                <c:pt idx="3283">
                  <c:v>ORD103291</c:v>
                </c:pt>
                <c:pt idx="3284">
                  <c:v>ORD103292</c:v>
                </c:pt>
                <c:pt idx="3285">
                  <c:v>ORD103293</c:v>
                </c:pt>
                <c:pt idx="3286">
                  <c:v>ORD103294</c:v>
                </c:pt>
                <c:pt idx="3287">
                  <c:v>ORD103295</c:v>
                </c:pt>
                <c:pt idx="3288">
                  <c:v>ORD103296</c:v>
                </c:pt>
                <c:pt idx="3289">
                  <c:v>ORD103297</c:v>
                </c:pt>
                <c:pt idx="3290">
                  <c:v>ORD103298</c:v>
                </c:pt>
                <c:pt idx="3291">
                  <c:v>ORD103299</c:v>
                </c:pt>
                <c:pt idx="3292">
                  <c:v>ORD103300</c:v>
                </c:pt>
                <c:pt idx="3293">
                  <c:v>ORD103301</c:v>
                </c:pt>
                <c:pt idx="3294">
                  <c:v>ORD103302</c:v>
                </c:pt>
                <c:pt idx="3295">
                  <c:v>ORD103303</c:v>
                </c:pt>
                <c:pt idx="3296">
                  <c:v>ORD103304</c:v>
                </c:pt>
                <c:pt idx="3297">
                  <c:v>ORD103305</c:v>
                </c:pt>
                <c:pt idx="3298">
                  <c:v>ORD103306</c:v>
                </c:pt>
                <c:pt idx="3299">
                  <c:v>ORD103307</c:v>
                </c:pt>
                <c:pt idx="3300">
                  <c:v>ORD103308</c:v>
                </c:pt>
                <c:pt idx="3301">
                  <c:v>ORD103309</c:v>
                </c:pt>
                <c:pt idx="3302">
                  <c:v>ORD103310</c:v>
                </c:pt>
                <c:pt idx="3303">
                  <c:v>ORD103311</c:v>
                </c:pt>
                <c:pt idx="3304">
                  <c:v>ORD103312</c:v>
                </c:pt>
                <c:pt idx="3305">
                  <c:v>ORD103313</c:v>
                </c:pt>
                <c:pt idx="3306">
                  <c:v>ORD103314</c:v>
                </c:pt>
                <c:pt idx="3307">
                  <c:v>ORD103315</c:v>
                </c:pt>
                <c:pt idx="3308">
                  <c:v>ORD103316</c:v>
                </c:pt>
                <c:pt idx="3309">
                  <c:v>ORD103317</c:v>
                </c:pt>
                <c:pt idx="3310">
                  <c:v>ORD103318</c:v>
                </c:pt>
                <c:pt idx="3311">
                  <c:v>ORD103319</c:v>
                </c:pt>
                <c:pt idx="3312">
                  <c:v>ORD103320</c:v>
                </c:pt>
                <c:pt idx="3313">
                  <c:v>ORD103321</c:v>
                </c:pt>
                <c:pt idx="3314">
                  <c:v>ORD103322</c:v>
                </c:pt>
                <c:pt idx="3315">
                  <c:v>ORD103323</c:v>
                </c:pt>
                <c:pt idx="3316">
                  <c:v>ORD103324</c:v>
                </c:pt>
                <c:pt idx="3317">
                  <c:v>ORD103325</c:v>
                </c:pt>
                <c:pt idx="3318">
                  <c:v>ORD103326</c:v>
                </c:pt>
                <c:pt idx="3319">
                  <c:v>ORD103327</c:v>
                </c:pt>
                <c:pt idx="3320">
                  <c:v>ORD103329</c:v>
                </c:pt>
                <c:pt idx="3321">
                  <c:v>ORD103330</c:v>
                </c:pt>
                <c:pt idx="3322">
                  <c:v>ORD103331</c:v>
                </c:pt>
                <c:pt idx="3323">
                  <c:v>ORD103332</c:v>
                </c:pt>
                <c:pt idx="3324">
                  <c:v>ORD103333</c:v>
                </c:pt>
                <c:pt idx="3325">
                  <c:v>ORD103334</c:v>
                </c:pt>
                <c:pt idx="3326">
                  <c:v>ORD103335</c:v>
                </c:pt>
                <c:pt idx="3327">
                  <c:v>ORD103336</c:v>
                </c:pt>
                <c:pt idx="3328">
                  <c:v>ORD103337</c:v>
                </c:pt>
                <c:pt idx="3329">
                  <c:v>ORD103338</c:v>
                </c:pt>
                <c:pt idx="3330">
                  <c:v>ORD103339</c:v>
                </c:pt>
                <c:pt idx="3331">
                  <c:v>ORD103340</c:v>
                </c:pt>
                <c:pt idx="3332">
                  <c:v>ORD103341</c:v>
                </c:pt>
                <c:pt idx="3333">
                  <c:v>ORD103342</c:v>
                </c:pt>
                <c:pt idx="3334">
                  <c:v>ORD103343</c:v>
                </c:pt>
                <c:pt idx="3335">
                  <c:v>ORD103344</c:v>
                </c:pt>
                <c:pt idx="3336">
                  <c:v>ORD103345</c:v>
                </c:pt>
                <c:pt idx="3337">
                  <c:v>ORD103346</c:v>
                </c:pt>
                <c:pt idx="3338">
                  <c:v>ORD103347</c:v>
                </c:pt>
                <c:pt idx="3339">
                  <c:v>ORD103348</c:v>
                </c:pt>
                <c:pt idx="3340">
                  <c:v>ORD103349</c:v>
                </c:pt>
                <c:pt idx="3341">
                  <c:v>ORD103350</c:v>
                </c:pt>
                <c:pt idx="3342">
                  <c:v>ORD103351</c:v>
                </c:pt>
                <c:pt idx="3343">
                  <c:v>ORD103352</c:v>
                </c:pt>
                <c:pt idx="3344">
                  <c:v>ORD103353</c:v>
                </c:pt>
                <c:pt idx="3345">
                  <c:v>ORD103354</c:v>
                </c:pt>
                <c:pt idx="3346">
                  <c:v>ORD103355</c:v>
                </c:pt>
                <c:pt idx="3347">
                  <c:v>ORD103356</c:v>
                </c:pt>
                <c:pt idx="3348">
                  <c:v>ORD103357</c:v>
                </c:pt>
                <c:pt idx="3349">
                  <c:v>ORD103358</c:v>
                </c:pt>
                <c:pt idx="3350">
                  <c:v>ORD103359</c:v>
                </c:pt>
                <c:pt idx="3351">
                  <c:v>ORD103360</c:v>
                </c:pt>
                <c:pt idx="3352">
                  <c:v>ORD103361</c:v>
                </c:pt>
                <c:pt idx="3353">
                  <c:v>ORD103362</c:v>
                </c:pt>
                <c:pt idx="3354">
                  <c:v>ORD103363</c:v>
                </c:pt>
                <c:pt idx="3355">
                  <c:v>ORD103364</c:v>
                </c:pt>
                <c:pt idx="3356">
                  <c:v>ORD103365</c:v>
                </c:pt>
                <c:pt idx="3357">
                  <c:v>ORD103366</c:v>
                </c:pt>
                <c:pt idx="3358">
                  <c:v>ORD103367</c:v>
                </c:pt>
                <c:pt idx="3359">
                  <c:v>ORD103368</c:v>
                </c:pt>
                <c:pt idx="3360">
                  <c:v>ORD103369</c:v>
                </c:pt>
                <c:pt idx="3361">
                  <c:v>ORD103370</c:v>
                </c:pt>
                <c:pt idx="3362">
                  <c:v>ORD103371</c:v>
                </c:pt>
                <c:pt idx="3363">
                  <c:v>ORD103372</c:v>
                </c:pt>
                <c:pt idx="3364">
                  <c:v>ORD103373</c:v>
                </c:pt>
                <c:pt idx="3365">
                  <c:v>ORD103374</c:v>
                </c:pt>
                <c:pt idx="3366">
                  <c:v>ORD103375</c:v>
                </c:pt>
                <c:pt idx="3367">
                  <c:v>ORD103376</c:v>
                </c:pt>
                <c:pt idx="3368">
                  <c:v>ORD103377</c:v>
                </c:pt>
                <c:pt idx="3369">
                  <c:v>ORD103378</c:v>
                </c:pt>
                <c:pt idx="3370">
                  <c:v>ORD103379</c:v>
                </c:pt>
                <c:pt idx="3371">
                  <c:v>ORD103380</c:v>
                </c:pt>
                <c:pt idx="3372">
                  <c:v>ORD103381</c:v>
                </c:pt>
                <c:pt idx="3373">
                  <c:v>ORD103382</c:v>
                </c:pt>
                <c:pt idx="3374">
                  <c:v>ORD103383</c:v>
                </c:pt>
                <c:pt idx="3375">
                  <c:v>ORD103384</c:v>
                </c:pt>
                <c:pt idx="3376">
                  <c:v>ORD103385</c:v>
                </c:pt>
                <c:pt idx="3377">
                  <c:v>ORD103386</c:v>
                </c:pt>
                <c:pt idx="3378">
                  <c:v>ORD103387</c:v>
                </c:pt>
                <c:pt idx="3379">
                  <c:v>ORD103388</c:v>
                </c:pt>
                <c:pt idx="3380">
                  <c:v>ORD103389</c:v>
                </c:pt>
                <c:pt idx="3381">
                  <c:v>ORD103390</c:v>
                </c:pt>
                <c:pt idx="3382">
                  <c:v>ORD103391</c:v>
                </c:pt>
                <c:pt idx="3383">
                  <c:v>ORD103392</c:v>
                </c:pt>
                <c:pt idx="3384">
                  <c:v>ORD103393</c:v>
                </c:pt>
                <c:pt idx="3385">
                  <c:v>ORD103394</c:v>
                </c:pt>
                <c:pt idx="3386">
                  <c:v>ORD103395</c:v>
                </c:pt>
                <c:pt idx="3387">
                  <c:v>ORD103396</c:v>
                </c:pt>
                <c:pt idx="3388">
                  <c:v>ORD103397</c:v>
                </c:pt>
                <c:pt idx="3389">
                  <c:v>ORD103398</c:v>
                </c:pt>
                <c:pt idx="3390">
                  <c:v>ORD103399</c:v>
                </c:pt>
                <c:pt idx="3391">
                  <c:v>ORD103400</c:v>
                </c:pt>
                <c:pt idx="3392">
                  <c:v>ORD103401</c:v>
                </c:pt>
                <c:pt idx="3393">
                  <c:v>ORD103402</c:v>
                </c:pt>
                <c:pt idx="3394">
                  <c:v>ORD103403</c:v>
                </c:pt>
                <c:pt idx="3395">
                  <c:v>ORD103404</c:v>
                </c:pt>
                <c:pt idx="3396">
                  <c:v>ORD103405</c:v>
                </c:pt>
                <c:pt idx="3397">
                  <c:v>ORD103406</c:v>
                </c:pt>
                <c:pt idx="3398">
                  <c:v>ORD103407</c:v>
                </c:pt>
                <c:pt idx="3399">
                  <c:v>ORD103408</c:v>
                </c:pt>
                <c:pt idx="3400">
                  <c:v>ORD103409</c:v>
                </c:pt>
                <c:pt idx="3401">
                  <c:v>ORD103410</c:v>
                </c:pt>
                <c:pt idx="3402">
                  <c:v>ORD103411</c:v>
                </c:pt>
                <c:pt idx="3403">
                  <c:v>ORD103412</c:v>
                </c:pt>
                <c:pt idx="3404">
                  <c:v>ORD103413</c:v>
                </c:pt>
                <c:pt idx="3405">
                  <c:v>ORD103414</c:v>
                </c:pt>
                <c:pt idx="3406">
                  <c:v>ORD103415</c:v>
                </c:pt>
                <c:pt idx="3407">
                  <c:v>ORD103416</c:v>
                </c:pt>
                <c:pt idx="3408">
                  <c:v>ORD103417</c:v>
                </c:pt>
                <c:pt idx="3409">
                  <c:v>ORD103418</c:v>
                </c:pt>
                <c:pt idx="3410">
                  <c:v>ORD103419</c:v>
                </c:pt>
                <c:pt idx="3411">
                  <c:v>ORD103420</c:v>
                </c:pt>
                <c:pt idx="3412">
                  <c:v>ORD103421</c:v>
                </c:pt>
                <c:pt idx="3413">
                  <c:v>ORD103422</c:v>
                </c:pt>
                <c:pt idx="3414">
                  <c:v>ORD103423</c:v>
                </c:pt>
                <c:pt idx="3415">
                  <c:v>ORD103424</c:v>
                </c:pt>
                <c:pt idx="3416">
                  <c:v>ORD103425</c:v>
                </c:pt>
                <c:pt idx="3417">
                  <c:v>ORD103426</c:v>
                </c:pt>
                <c:pt idx="3418">
                  <c:v>ORD103427</c:v>
                </c:pt>
                <c:pt idx="3419">
                  <c:v>ORD103428</c:v>
                </c:pt>
                <c:pt idx="3420">
                  <c:v>ORD103429</c:v>
                </c:pt>
                <c:pt idx="3421">
                  <c:v>ORD103430</c:v>
                </c:pt>
                <c:pt idx="3422">
                  <c:v>ORD103431</c:v>
                </c:pt>
                <c:pt idx="3423">
                  <c:v>ORD103432</c:v>
                </c:pt>
                <c:pt idx="3424">
                  <c:v>ORD103433</c:v>
                </c:pt>
                <c:pt idx="3425">
                  <c:v>ORD103434</c:v>
                </c:pt>
                <c:pt idx="3426">
                  <c:v>ORD103435</c:v>
                </c:pt>
                <c:pt idx="3427">
                  <c:v>ORD103436</c:v>
                </c:pt>
                <c:pt idx="3428">
                  <c:v>ORD103437</c:v>
                </c:pt>
                <c:pt idx="3429">
                  <c:v>ORD103438</c:v>
                </c:pt>
                <c:pt idx="3430">
                  <c:v>ORD103439</c:v>
                </c:pt>
                <c:pt idx="3431">
                  <c:v>ORD103440</c:v>
                </c:pt>
                <c:pt idx="3432">
                  <c:v>ORD103441</c:v>
                </c:pt>
                <c:pt idx="3433">
                  <c:v>ORD103442</c:v>
                </c:pt>
                <c:pt idx="3434">
                  <c:v>ORD103443</c:v>
                </c:pt>
                <c:pt idx="3435">
                  <c:v>ORD103444</c:v>
                </c:pt>
                <c:pt idx="3436">
                  <c:v>ORD103445</c:v>
                </c:pt>
                <c:pt idx="3437">
                  <c:v>ORD103446</c:v>
                </c:pt>
                <c:pt idx="3438">
                  <c:v>ORD103447</c:v>
                </c:pt>
                <c:pt idx="3439">
                  <c:v>ORD103448</c:v>
                </c:pt>
                <c:pt idx="3440">
                  <c:v>ORD103449</c:v>
                </c:pt>
                <c:pt idx="3441">
                  <c:v>ORD103450</c:v>
                </c:pt>
                <c:pt idx="3442">
                  <c:v>ORD103451</c:v>
                </c:pt>
                <c:pt idx="3443">
                  <c:v>ORD103452</c:v>
                </c:pt>
                <c:pt idx="3444">
                  <c:v>ORD103453</c:v>
                </c:pt>
                <c:pt idx="3445">
                  <c:v>ORD103454</c:v>
                </c:pt>
                <c:pt idx="3446">
                  <c:v>ORD103455</c:v>
                </c:pt>
                <c:pt idx="3447">
                  <c:v>ORD103456</c:v>
                </c:pt>
                <c:pt idx="3448">
                  <c:v>ORD103457</c:v>
                </c:pt>
                <c:pt idx="3449">
                  <c:v>ORD103458</c:v>
                </c:pt>
                <c:pt idx="3450">
                  <c:v>ORD103459</c:v>
                </c:pt>
                <c:pt idx="3451">
                  <c:v>ORD103460</c:v>
                </c:pt>
                <c:pt idx="3452">
                  <c:v>ORD103461</c:v>
                </c:pt>
                <c:pt idx="3453">
                  <c:v>ORD103462</c:v>
                </c:pt>
                <c:pt idx="3454">
                  <c:v>ORD103463</c:v>
                </c:pt>
                <c:pt idx="3455">
                  <c:v>ORD103464</c:v>
                </c:pt>
                <c:pt idx="3456">
                  <c:v>ORD103465</c:v>
                </c:pt>
                <c:pt idx="3457">
                  <c:v>ORD103466</c:v>
                </c:pt>
                <c:pt idx="3458">
                  <c:v>ORD103467</c:v>
                </c:pt>
                <c:pt idx="3459">
                  <c:v>ORD103468</c:v>
                </c:pt>
                <c:pt idx="3460">
                  <c:v>ORD103469</c:v>
                </c:pt>
                <c:pt idx="3461">
                  <c:v>ORD103470</c:v>
                </c:pt>
                <c:pt idx="3462">
                  <c:v>ORD103471</c:v>
                </c:pt>
                <c:pt idx="3463">
                  <c:v>ORD103472</c:v>
                </c:pt>
                <c:pt idx="3464">
                  <c:v>ORD103473</c:v>
                </c:pt>
                <c:pt idx="3465">
                  <c:v>ORD103474</c:v>
                </c:pt>
                <c:pt idx="3466">
                  <c:v>ORD103475</c:v>
                </c:pt>
                <c:pt idx="3467">
                  <c:v>ORD103476</c:v>
                </c:pt>
                <c:pt idx="3468">
                  <c:v>ORD103477</c:v>
                </c:pt>
                <c:pt idx="3469">
                  <c:v>ORD103478</c:v>
                </c:pt>
                <c:pt idx="3470">
                  <c:v>ORD103479</c:v>
                </c:pt>
                <c:pt idx="3471">
                  <c:v>ORD103480</c:v>
                </c:pt>
                <c:pt idx="3472">
                  <c:v>ORD103481</c:v>
                </c:pt>
                <c:pt idx="3473">
                  <c:v>ORD103482</c:v>
                </c:pt>
                <c:pt idx="3474">
                  <c:v>ORD103483</c:v>
                </c:pt>
                <c:pt idx="3475">
                  <c:v>ORD103484</c:v>
                </c:pt>
                <c:pt idx="3476">
                  <c:v>ORD103485</c:v>
                </c:pt>
                <c:pt idx="3477">
                  <c:v>ORD103486</c:v>
                </c:pt>
                <c:pt idx="3478">
                  <c:v>ORD103487</c:v>
                </c:pt>
                <c:pt idx="3479">
                  <c:v>ORD103488</c:v>
                </c:pt>
                <c:pt idx="3480">
                  <c:v>ORD103489</c:v>
                </c:pt>
                <c:pt idx="3481">
                  <c:v>ORD103490</c:v>
                </c:pt>
                <c:pt idx="3482">
                  <c:v>ORD103491</c:v>
                </c:pt>
                <c:pt idx="3483">
                  <c:v>ORD103492</c:v>
                </c:pt>
                <c:pt idx="3484">
                  <c:v>ORD103493</c:v>
                </c:pt>
                <c:pt idx="3485">
                  <c:v>ORD103494</c:v>
                </c:pt>
                <c:pt idx="3486">
                  <c:v>ORD103495</c:v>
                </c:pt>
                <c:pt idx="3487">
                  <c:v>ORD103496</c:v>
                </c:pt>
                <c:pt idx="3488">
                  <c:v>ORD103497</c:v>
                </c:pt>
                <c:pt idx="3489">
                  <c:v>ORD103498</c:v>
                </c:pt>
                <c:pt idx="3490">
                  <c:v>ORD103499</c:v>
                </c:pt>
                <c:pt idx="3491">
                  <c:v>ORD103500</c:v>
                </c:pt>
                <c:pt idx="3492">
                  <c:v>ORD103501</c:v>
                </c:pt>
                <c:pt idx="3493">
                  <c:v>ORD103502</c:v>
                </c:pt>
                <c:pt idx="3494">
                  <c:v>ORD103503</c:v>
                </c:pt>
                <c:pt idx="3495">
                  <c:v>ORD103504</c:v>
                </c:pt>
                <c:pt idx="3496">
                  <c:v>ORD103505</c:v>
                </c:pt>
                <c:pt idx="3497">
                  <c:v>ORD103506</c:v>
                </c:pt>
                <c:pt idx="3498">
                  <c:v>ORD103507</c:v>
                </c:pt>
                <c:pt idx="3499">
                  <c:v>ORD103508</c:v>
                </c:pt>
                <c:pt idx="3500">
                  <c:v>ORD103509</c:v>
                </c:pt>
                <c:pt idx="3501">
                  <c:v>ORD103510</c:v>
                </c:pt>
                <c:pt idx="3502">
                  <c:v>ORD103511</c:v>
                </c:pt>
                <c:pt idx="3503">
                  <c:v>ORD103512</c:v>
                </c:pt>
                <c:pt idx="3504">
                  <c:v>ORD103513</c:v>
                </c:pt>
                <c:pt idx="3505">
                  <c:v>ORD103514</c:v>
                </c:pt>
                <c:pt idx="3506">
                  <c:v>ORD103515</c:v>
                </c:pt>
                <c:pt idx="3507">
                  <c:v>ORD103516</c:v>
                </c:pt>
                <c:pt idx="3508">
                  <c:v>ORD103517</c:v>
                </c:pt>
                <c:pt idx="3509">
                  <c:v>ORD103518</c:v>
                </c:pt>
                <c:pt idx="3510">
                  <c:v>ORD103519</c:v>
                </c:pt>
                <c:pt idx="3511">
                  <c:v>ORD103520</c:v>
                </c:pt>
                <c:pt idx="3512">
                  <c:v>ORD103521</c:v>
                </c:pt>
                <c:pt idx="3513">
                  <c:v>ORD103522</c:v>
                </c:pt>
                <c:pt idx="3514">
                  <c:v>ORD103523</c:v>
                </c:pt>
                <c:pt idx="3515">
                  <c:v>ORD103524</c:v>
                </c:pt>
                <c:pt idx="3516">
                  <c:v>ORD103525</c:v>
                </c:pt>
                <c:pt idx="3517">
                  <c:v>ORD103526</c:v>
                </c:pt>
                <c:pt idx="3518">
                  <c:v>ORD103527</c:v>
                </c:pt>
                <c:pt idx="3519">
                  <c:v>ORD103528</c:v>
                </c:pt>
                <c:pt idx="3520">
                  <c:v>ORD103529</c:v>
                </c:pt>
                <c:pt idx="3521">
                  <c:v>ORD103530</c:v>
                </c:pt>
                <c:pt idx="3522">
                  <c:v>ORD103531</c:v>
                </c:pt>
                <c:pt idx="3523">
                  <c:v>ORD103532</c:v>
                </c:pt>
                <c:pt idx="3524">
                  <c:v>ORD103533</c:v>
                </c:pt>
                <c:pt idx="3525">
                  <c:v>ORD103534</c:v>
                </c:pt>
                <c:pt idx="3526">
                  <c:v>ORD103535</c:v>
                </c:pt>
                <c:pt idx="3527">
                  <c:v>ORD103536</c:v>
                </c:pt>
                <c:pt idx="3528">
                  <c:v>ORD103537</c:v>
                </c:pt>
                <c:pt idx="3529">
                  <c:v>ORD103538</c:v>
                </c:pt>
                <c:pt idx="3530">
                  <c:v>ORD103539</c:v>
                </c:pt>
                <c:pt idx="3531">
                  <c:v>ORD103540</c:v>
                </c:pt>
                <c:pt idx="3532">
                  <c:v>ORD103541</c:v>
                </c:pt>
                <c:pt idx="3533">
                  <c:v>ORD103542</c:v>
                </c:pt>
                <c:pt idx="3534">
                  <c:v>ORD103543</c:v>
                </c:pt>
                <c:pt idx="3535">
                  <c:v>ORD103544</c:v>
                </c:pt>
                <c:pt idx="3536">
                  <c:v>ORD103545</c:v>
                </c:pt>
                <c:pt idx="3537">
                  <c:v>ORD103546</c:v>
                </c:pt>
                <c:pt idx="3538">
                  <c:v>ORD103547</c:v>
                </c:pt>
                <c:pt idx="3539">
                  <c:v>ORD103548</c:v>
                </c:pt>
                <c:pt idx="3540">
                  <c:v>ORD103549</c:v>
                </c:pt>
                <c:pt idx="3541">
                  <c:v>ORD103550</c:v>
                </c:pt>
                <c:pt idx="3542">
                  <c:v>ORD103551</c:v>
                </c:pt>
                <c:pt idx="3543">
                  <c:v>ORD103552</c:v>
                </c:pt>
                <c:pt idx="3544">
                  <c:v>ORD103553</c:v>
                </c:pt>
                <c:pt idx="3545">
                  <c:v>ORD103554</c:v>
                </c:pt>
                <c:pt idx="3546">
                  <c:v>ORD103555</c:v>
                </c:pt>
                <c:pt idx="3547">
                  <c:v>ORD103556</c:v>
                </c:pt>
                <c:pt idx="3548">
                  <c:v>ORD103557</c:v>
                </c:pt>
                <c:pt idx="3549">
                  <c:v>ORD103558</c:v>
                </c:pt>
                <c:pt idx="3550">
                  <c:v>ORD103559</c:v>
                </c:pt>
                <c:pt idx="3551">
                  <c:v>ORD103560</c:v>
                </c:pt>
                <c:pt idx="3552">
                  <c:v>ORD103561</c:v>
                </c:pt>
                <c:pt idx="3553">
                  <c:v>ORD103562</c:v>
                </c:pt>
                <c:pt idx="3554">
                  <c:v>ORD103563</c:v>
                </c:pt>
                <c:pt idx="3555">
                  <c:v>ORD103564</c:v>
                </c:pt>
                <c:pt idx="3556">
                  <c:v>ORD103565</c:v>
                </c:pt>
                <c:pt idx="3557">
                  <c:v>ORD103566</c:v>
                </c:pt>
                <c:pt idx="3558">
                  <c:v>ORD103567</c:v>
                </c:pt>
                <c:pt idx="3559">
                  <c:v>ORD103568</c:v>
                </c:pt>
                <c:pt idx="3560">
                  <c:v>ORD103569</c:v>
                </c:pt>
                <c:pt idx="3561">
                  <c:v>ORD103570</c:v>
                </c:pt>
                <c:pt idx="3562">
                  <c:v>ORD103571</c:v>
                </c:pt>
                <c:pt idx="3563">
                  <c:v>ORD103572</c:v>
                </c:pt>
                <c:pt idx="3564">
                  <c:v>ORD103573</c:v>
                </c:pt>
                <c:pt idx="3565">
                  <c:v>ORD103574</c:v>
                </c:pt>
                <c:pt idx="3566">
                  <c:v>ORD103575</c:v>
                </c:pt>
                <c:pt idx="3567">
                  <c:v>ORD103576</c:v>
                </c:pt>
                <c:pt idx="3568">
                  <c:v>ORD103577</c:v>
                </c:pt>
                <c:pt idx="3569">
                  <c:v>ORD103578</c:v>
                </c:pt>
                <c:pt idx="3570">
                  <c:v>ORD103579</c:v>
                </c:pt>
                <c:pt idx="3571">
                  <c:v>ORD103580</c:v>
                </c:pt>
                <c:pt idx="3572">
                  <c:v>ORD103581</c:v>
                </c:pt>
                <c:pt idx="3573">
                  <c:v>ORD103582</c:v>
                </c:pt>
                <c:pt idx="3574">
                  <c:v>ORD103583</c:v>
                </c:pt>
                <c:pt idx="3575">
                  <c:v>ORD103584</c:v>
                </c:pt>
                <c:pt idx="3576">
                  <c:v>ORD103585</c:v>
                </c:pt>
                <c:pt idx="3577">
                  <c:v>ORD103586</c:v>
                </c:pt>
                <c:pt idx="3578">
                  <c:v>ORD103587</c:v>
                </c:pt>
                <c:pt idx="3579">
                  <c:v>ORD103588</c:v>
                </c:pt>
                <c:pt idx="3580">
                  <c:v>ORD103589</c:v>
                </c:pt>
                <c:pt idx="3581">
                  <c:v>ORD103590</c:v>
                </c:pt>
                <c:pt idx="3582">
                  <c:v>ORD103591</c:v>
                </c:pt>
                <c:pt idx="3583">
                  <c:v>ORD103592</c:v>
                </c:pt>
                <c:pt idx="3584">
                  <c:v>ORD103593</c:v>
                </c:pt>
                <c:pt idx="3585">
                  <c:v>ORD103594</c:v>
                </c:pt>
                <c:pt idx="3586">
                  <c:v>ORD103595</c:v>
                </c:pt>
                <c:pt idx="3587">
                  <c:v>ORD103596</c:v>
                </c:pt>
                <c:pt idx="3588">
                  <c:v>ORD103597</c:v>
                </c:pt>
                <c:pt idx="3589">
                  <c:v>ORD103598</c:v>
                </c:pt>
                <c:pt idx="3590">
                  <c:v>ORD103599</c:v>
                </c:pt>
                <c:pt idx="3591">
                  <c:v>ORD103600</c:v>
                </c:pt>
                <c:pt idx="3592">
                  <c:v>ORD103601</c:v>
                </c:pt>
                <c:pt idx="3593">
                  <c:v>ORD103602</c:v>
                </c:pt>
                <c:pt idx="3594">
                  <c:v>ORD103603</c:v>
                </c:pt>
                <c:pt idx="3595">
                  <c:v>ORD103604</c:v>
                </c:pt>
                <c:pt idx="3596">
                  <c:v>ORD103605</c:v>
                </c:pt>
                <c:pt idx="3597">
                  <c:v>ORD103606</c:v>
                </c:pt>
                <c:pt idx="3598">
                  <c:v>ORD103607</c:v>
                </c:pt>
                <c:pt idx="3599">
                  <c:v>ORD103608</c:v>
                </c:pt>
                <c:pt idx="3600">
                  <c:v>ORD103609</c:v>
                </c:pt>
                <c:pt idx="3601">
                  <c:v>ORD103610</c:v>
                </c:pt>
                <c:pt idx="3602">
                  <c:v>ORD103611</c:v>
                </c:pt>
                <c:pt idx="3603">
                  <c:v>ORD103612</c:v>
                </c:pt>
                <c:pt idx="3604">
                  <c:v>ORD103613</c:v>
                </c:pt>
                <c:pt idx="3605">
                  <c:v>ORD103614</c:v>
                </c:pt>
                <c:pt idx="3606">
                  <c:v>ORD103615</c:v>
                </c:pt>
                <c:pt idx="3607">
                  <c:v>ORD103616</c:v>
                </c:pt>
                <c:pt idx="3608">
                  <c:v>ORD103617</c:v>
                </c:pt>
                <c:pt idx="3609">
                  <c:v>ORD103618</c:v>
                </c:pt>
                <c:pt idx="3610">
                  <c:v>ORD103619</c:v>
                </c:pt>
                <c:pt idx="3611">
                  <c:v>ORD103620</c:v>
                </c:pt>
                <c:pt idx="3612">
                  <c:v>ORD103621</c:v>
                </c:pt>
                <c:pt idx="3613">
                  <c:v>ORD103622</c:v>
                </c:pt>
                <c:pt idx="3614">
                  <c:v>ORD103623</c:v>
                </c:pt>
                <c:pt idx="3615">
                  <c:v>ORD103624</c:v>
                </c:pt>
                <c:pt idx="3616">
                  <c:v>ORD103625</c:v>
                </c:pt>
                <c:pt idx="3617">
                  <c:v>ORD103626</c:v>
                </c:pt>
                <c:pt idx="3618">
                  <c:v>ORD103627</c:v>
                </c:pt>
                <c:pt idx="3619">
                  <c:v>ORD103628</c:v>
                </c:pt>
                <c:pt idx="3620">
                  <c:v>ORD103629</c:v>
                </c:pt>
                <c:pt idx="3621">
                  <c:v>ORD103630</c:v>
                </c:pt>
                <c:pt idx="3622">
                  <c:v>ORD103631</c:v>
                </c:pt>
                <c:pt idx="3623">
                  <c:v>ORD103632</c:v>
                </c:pt>
                <c:pt idx="3624">
                  <c:v>ORD103633</c:v>
                </c:pt>
                <c:pt idx="3625">
                  <c:v>ORD103634</c:v>
                </c:pt>
                <c:pt idx="3626">
                  <c:v>ORD103635</c:v>
                </c:pt>
                <c:pt idx="3627">
                  <c:v>ORD103636</c:v>
                </c:pt>
                <c:pt idx="3628">
                  <c:v>ORD103637</c:v>
                </c:pt>
                <c:pt idx="3629">
                  <c:v>ORD103638</c:v>
                </c:pt>
                <c:pt idx="3630">
                  <c:v>ORD103639</c:v>
                </c:pt>
                <c:pt idx="3631">
                  <c:v>ORD103640</c:v>
                </c:pt>
                <c:pt idx="3632">
                  <c:v>ORD103641</c:v>
                </c:pt>
                <c:pt idx="3633">
                  <c:v>ORD103642</c:v>
                </c:pt>
                <c:pt idx="3634">
                  <c:v>ORD103643</c:v>
                </c:pt>
                <c:pt idx="3635">
                  <c:v>ORD103644</c:v>
                </c:pt>
                <c:pt idx="3636">
                  <c:v>ORD103645</c:v>
                </c:pt>
                <c:pt idx="3637">
                  <c:v>ORD103646</c:v>
                </c:pt>
                <c:pt idx="3638">
                  <c:v>ORD103647</c:v>
                </c:pt>
                <c:pt idx="3639">
                  <c:v>ORD103648</c:v>
                </c:pt>
                <c:pt idx="3640">
                  <c:v>ORD103649</c:v>
                </c:pt>
                <c:pt idx="3641">
                  <c:v>ORD103650</c:v>
                </c:pt>
                <c:pt idx="3642">
                  <c:v>ORD103651</c:v>
                </c:pt>
                <c:pt idx="3643">
                  <c:v>ORD103652</c:v>
                </c:pt>
                <c:pt idx="3644">
                  <c:v>ORD103653</c:v>
                </c:pt>
                <c:pt idx="3645">
                  <c:v>ORD103654</c:v>
                </c:pt>
                <c:pt idx="3646">
                  <c:v>ORD103655</c:v>
                </c:pt>
                <c:pt idx="3647">
                  <c:v>ORD103656</c:v>
                </c:pt>
                <c:pt idx="3648">
                  <c:v>ORD103657</c:v>
                </c:pt>
                <c:pt idx="3649">
                  <c:v>ORD103658</c:v>
                </c:pt>
                <c:pt idx="3650">
                  <c:v>ORD103659</c:v>
                </c:pt>
                <c:pt idx="3651">
                  <c:v>ORD103660</c:v>
                </c:pt>
                <c:pt idx="3652">
                  <c:v>ORD103661</c:v>
                </c:pt>
                <c:pt idx="3653">
                  <c:v>ORD103662</c:v>
                </c:pt>
                <c:pt idx="3654">
                  <c:v>ORD103663</c:v>
                </c:pt>
                <c:pt idx="3655">
                  <c:v>ORD103664</c:v>
                </c:pt>
                <c:pt idx="3656">
                  <c:v>ORD103665</c:v>
                </c:pt>
                <c:pt idx="3657">
                  <c:v>ORD103666</c:v>
                </c:pt>
                <c:pt idx="3658">
                  <c:v>ORD103667</c:v>
                </c:pt>
                <c:pt idx="3659">
                  <c:v>ORD103668</c:v>
                </c:pt>
                <c:pt idx="3660">
                  <c:v>ORD103669</c:v>
                </c:pt>
                <c:pt idx="3661">
                  <c:v>ORD103670</c:v>
                </c:pt>
                <c:pt idx="3662">
                  <c:v>ORD103671</c:v>
                </c:pt>
                <c:pt idx="3663">
                  <c:v>ORD103672</c:v>
                </c:pt>
                <c:pt idx="3664">
                  <c:v>ORD103673</c:v>
                </c:pt>
                <c:pt idx="3665">
                  <c:v>ORD103674</c:v>
                </c:pt>
                <c:pt idx="3666">
                  <c:v>ORD103675</c:v>
                </c:pt>
                <c:pt idx="3667">
                  <c:v>ORD103676</c:v>
                </c:pt>
                <c:pt idx="3668">
                  <c:v>ORD103677</c:v>
                </c:pt>
                <c:pt idx="3669">
                  <c:v>ORD103678</c:v>
                </c:pt>
                <c:pt idx="3670">
                  <c:v>ORD103679</c:v>
                </c:pt>
                <c:pt idx="3671">
                  <c:v>ORD103680</c:v>
                </c:pt>
                <c:pt idx="3672">
                  <c:v>ORD103681</c:v>
                </c:pt>
                <c:pt idx="3673">
                  <c:v>ORD103682</c:v>
                </c:pt>
                <c:pt idx="3674">
                  <c:v>ORD103683</c:v>
                </c:pt>
                <c:pt idx="3675">
                  <c:v>ORD103684</c:v>
                </c:pt>
                <c:pt idx="3676">
                  <c:v>ORD103685</c:v>
                </c:pt>
                <c:pt idx="3677">
                  <c:v>ORD103686</c:v>
                </c:pt>
                <c:pt idx="3678">
                  <c:v>ORD103687</c:v>
                </c:pt>
                <c:pt idx="3679">
                  <c:v>ORD103688</c:v>
                </c:pt>
                <c:pt idx="3680">
                  <c:v>ORD103689</c:v>
                </c:pt>
                <c:pt idx="3681">
                  <c:v>ORD103690</c:v>
                </c:pt>
                <c:pt idx="3682">
                  <c:v>ORD103691</c:v>
                </c:pt>
                <c:pt idx="3683">
                  <c:v>ORD103692</c:v>
                </c:pt>
                <c:pt idx="3684">
                  <c:v>ORD103693</c:v>
                </c:pt>
                <c:pt idx="3685">
                  <c:v>ORD103694</c:v>
                </c:pt>
                <c:pt idx="3686">
                  <c:v>ORD103695</c:v>
                </c:pt>
                <c:pt idx="3687">
                  <c:v>ORD103696</c:v>
                </c:pt>
                <c:pt idx="3688">
                  <c:v>ORD103697</c:v>
                </c:pt>
                <c:pt idx="3689">
                  <c:v>ORD103698</c:v>
                </c:pt>
                <c:pt idx="3690">
                  <c:v>ORD103699</c:v>
                </c:pt>
                <c:pt idx="3691">
                  <c:v>ORD103700</c:v>
                </c:pt>
                <c:pt idx="3692">
                  <c:v>ORD103701</c:v>
                </c:pt>
                <c:pt idx="3693">
                  <c:v>ORD103702</c:v>
                </c:pt>
                <c:pt idx="3694">
                  <c:v>ORD103703</c:v>
                </c:pt>
                <c:pt idx="3695">
                  <c:v>ORD103704</c:v>
                </c:pt>
                <c:pt idx="3696">
                  <c:v>ORD103705</c:v>
                </c:pt>
                <c:pt idx="3697">
                  <c:v>ORD103706</c:v>
                </c:pt>
                <c:pt idx="3698">
                  <c:v>ORD103707</c:v>
                </c:pt>
                <c:pt idx="3699">
                  <c:v>ORD103708</c:v>
                </c:pt>
                <c:pt idx="3700">
                  <c:v>ORD103709</c:v>
                </c:pt>
                <c:pt idx="3701">
                  <c:v>ORD103710</c:v>
                </c:pt>
                <c:pt idx="3702">
                  <c:v>ORD103711</c:v>
                </c:pt>
                <c:pt idx="3703">
                  <c:v>ORD103712</c:v>
                </c:pt>
                <c:pt idx="3704">
                  <c:v>ORD103713</c:v>
                </c:pt>
                <c:pt idx="3705">
                  <c:v>ORD103714</c:v>
                </c:pt>
                <c:pt idx="3706">
                  <c:v>ORD103715</c:v>
                </c:pt>
                <c:pt idx="3707">
                  <c:v>ORD103716</c:v>
                </c:pt>
                <c:pt idx="3708">
                  <c:v>ORD103717</c:v>
                </c:pt>
                <c:pt idx="3709">
                  <c:v>ORD103718</c:v>
                </c:pt>
                <c:pt idx="3710">
                  <c:v>ORD103719</c:v>
                </c:pt>
                <c:pt idx="3711">
                  <c:v>ORD103720</c:v>
                </c:pt>
                <c:pt idx="3712">
                  <c:v>ORD103721</c:v>
                </c:pt>
                <c:pt idx="3713">
                  <c:v>ORD103722</c:v>
                </c:pt>
                <c:pt idx="3714">
                  <c:v>ORD103723</c:v>
                </c:pt>
                <c:pt idx="3715">
                  <c:v>ORD103724</c:v>
                </c:pt>
                <c:pt idx="3716">
                  <c:v>ORD103725</c:v>
                </c:pt>
                <c:pt idx="3717">
                  <c:v>ORD103726</c:v>
                </c:pt>
                <c:pt idx="3718">
                  <c:v>ORD103727</c:v>
                </c:pt>
                <c:pt idx="3719">
                  <c:v>ORD103728</c:v>
                </c:pt>
                <c:pt idx="3720">
                  <c:v>ORD103730</c:v>
                </c:pt>
                <c:pt idx="3721">
                  <c:v>ORD103731</c:v>
                </c:pt>
                <c:pt idx="3722">
                  <c:v>ORD103732</c:v>
                </c:pt>
                <c:pt idx="3723">
                  <c:v>ORD103733</c:v>
                </c:pt>
                <c:pt idx="3724">
                  <c:v>ORD103734</c:v>
                </c:pt>
                <c:pt idx="3725">
                  <c:v>ORD103735</c:v>
                </c:pt>
                <c:pt idx="3726">
                  <c:v>ORD103736</c:v>
                </c:pt>
                <c:pt idx="3727">
                  <c:v>ORD103737</c:v>
                </c:pt>
                <c:pt idx="3728">
                  <c:v>ORD103738</c:v>
                </c:pt>
                <c:pt idx="3729">
                  <c:v>ORD103739</c:v>
                </c:pt>
                <c:pt idx="3730">
                  <c:v>ORD103740</c:v>
                </c:pt>
                <c:pt idx="3731">
                  <c:v>ORD103741</c:v>
                </c:pt>
                <c:pt idx="3732">
                  <c:v>ORD103742</c:v>
                </c:pt>
                <c:pt idx="3733">
                  <c:v>ORD103743</c:v>
                </c:pt>
                <c:pt idx="3734">
                  <c:v>ORD103744</c:v>
                </c:pt>
                <c:pt idx="3735">
                  <c:v>ORD103745</c:v>
                </c:pt>
                <c:pt idx="3736">
                  <c:v>ORD103746</c:v>
                </c:pt>
                <c:pt idx="3737">
                  <c:v>ORD103747</c:v>
                </c:pt>
                <c:pt idx="3738">
                  <c:v>ORD103748</c:v>
                </c:pt>
                <c:pt idx="3739">
                  <c:v>ORD103749</c:v>
                </c:pt>
                <c:pt idx="3740">
                  <c:v>ORD103750</c:v>
                </c:pt>
                <c:pt idx="3741">
                  <c:v>ORD103751</c:v>
                </c:pt>
                <c:pt idx="3742">
                  <c:v>ORD103752</c:v>
                </c:pt>
                <c:pt idx="3743">
                  <c:v>ORD103753</c:v>
                </c:pt>
                <c:pt idx="3744">
                  <c:v>ORD103754</c:v>
                </c:pt>
                <c:pt idx="3745">
                  <c:v>ORD103755</c:v>
                </c:pt>
                <c:pt idx="3746">
                  <c:v>ORD103756</c:v>
                </c:pt>
                <c:pt idx="3747">
                  <c:v>ORD103757</c:v>
                </c:pt>
                <c:pt idx="3748">
                  <c:v>ORD103758</c:v>
                </c:pt>
                <c:pt idx="3749">
                  <c:v>ORD103759</c:v>
                </c:pt>
                <c:pt idx="3750">
                  <c:v>ORD103760</c:v>
                </c:pt>
                <c:pt idx="3751">
                  <c:v>ORD103761</c:v>
                </c:pt>
                <c:pt idx="3752">
                  <c:v>ORD103762</c:v>
                </c:pt>
                <c:pt idx="3753">
                  <c:v>ORD103763</c:v>
                </c:pt>
                <c:pt idx="3754">
                  <c:v>ORD103764</c:v>
                </c:pt>
                <c:pt idx="3755">
                  <c:v>ORD103765</c:v>
                </c:pt>
                <c:pt idx="3756">
                  <c:v>ORD103766</c:v>
                </c:pt>
                <c:pt idx="3757">
                  <c:v>ORD103767</c:v>
                </c:pt>
                <c:pt idx="3758">
                  <c:v>ORD103768</c:v>
                </c:pt>
                <c:pt idx="3759">
                  <c:v>ORD103769</c:v>
                </c:pt>
                <c:pt idx="3760">
                  <c:v>ORD103770</c:v>
                </c:pt>
                <c:pt idx="3761">
                  <c:v>ORD103771</c:v>
                </c:pt>
                <c:pt idx="3762">
                  <c:v>ORD103772</c:v>
                </c:pt>
                <c:pt idx="3763">
                  <c:v>ORD103773</c:v>
                </c:pt>
                <c:pt idx="3764">
                  <c:v>ORD103774</c:v>
                </c:pt>
                <c:pt idx="3765">
                  <c:v>ORD103775</c:v>
                </c:pt>
                <c:pt idx="3766">
                  <c:v>ORD103776</c:v>
                </c:pt>
                <c:pt idx="3767">
                  <c:v>ORD103777</c:v>
                </c:pt>
                <c:pt idx="3768">
                  <c:v>ORD103778</c:v>
                </c:pt>
                <c:pt idx="3769">
                  <c:v>ORD103779</c:v>
                </c:pt>
                <c:pt idx="3770">
                  <c:v>ORD103780</c:v>
                </c:pt>
                <c:pt idx="3771">
                  <c:v>ORD103781</c:v>
                </c:pt>
                <c:pt idx="3772">
                  <c:v>ORD103782</c:v>
                </c:pt>
                <c:pt idx="3773">
                  <c:v>ORD103783</c:v>
                </c:pt>
                <c:pt idx="3774">
                  <c:v>ORD103784</c:v>
                </c:pt>
                <c:pt idx="3775">
                  <c:v>ORD103785</c:v>
                </c:pt>
                <c:pt idx="3776">
                  <c:v>ORD103786</c:v>
                </c:pt>
                <c:pt idx="3777">
                  <c:v>ORD103787</c:v>
                </c:pt>
                <c:pt idx="3778">
                  <c:v>ORD103788</c:v>
                </c:pt>
                <c:pt idx="3779">
                  <c:v>ORD103789</c:v>
                </c:pt>
                <c:pt idx="3780">
                  <c:v>ORD103790</c:v>
                </c:pt>
                <c:pt idx="3781">
                  <c:v>ORD103791</c:v>
                </c:pt>
                <c:pt idx="3782">
                  <c:v>ORD103792</c:v>
                </c:pt>
                <c:pt idx="3783">
                  <c:v>ORD103793</c:v>
                </c:pt>
                <c:pt idx="3784">
                  <c:v>ORD103794</c:v>
                </c:pt>
                <c:pt idx="3785">
                  <c:v>ORD103795</c:v>
                </c:pt>
                <c:pt idx="3786">
                  <c:v>ORD103796</c:v>
                </c:pt>
                <c:pt idx="3787">
                  <c:v>ORD103797</c:v>
                </c:pt>
                <c:pt idx="3788">
                  <c:v>ORD103798</c:v>
                </c:pt>
                <c:pt idx="3789">
                  <c:v>ORD103799</c:v>
                </c:pt>
                <c:pt idx="3790">
                  <c:v>ORD103800</c:v>
                </c:pt>
                <c:pt idx="3791">
                  <c:v>ORD103801</c:v>
                </c:pt>
                <c:pt idx="3792">
                  <c:v>ORD103802</c:v>
                </c:pt>
                <c:pt idx="3793">
                  <c:v>ORD103803</c:v>
                </c:pt>
                <c:pt idx="3794">
                  <c:v>ORD103804</c:v>
                </c:pt>
                <c:pt idx="3795">
                  <c:v>ORD103805</c:v>
                </c:pt>
                <c:pt idx="3796">
                  <c:v>ORD103806</c:v>
                </c:pt>
                <c:pt idx="3797">
                  <c:v>ORD103807</c:v>
                </c:pt>
                <c:pt idx="3798">
                  <c:v>ORD103808</c:v>
                </c:pt>
                <c:pt idx="3799">
                  <c:v>ORD103809</c:v>
                </c:pt>
                <c:pt idx="3800">
                  <c:v>ORD103810</c:v>
                </c:pt>
                <c:pt idx="3801">
                  <c:v>ORD103811</c:v>
                </c:pt>
                <c:pt idx="3802">
                  <c:v>ORD103812</c:v>
                </c:pt>
                <c:pt idx="3803">
                  <c:v>ORD103813</c:v>
                </c:pt>
                <c:pt idx="3804">
                  <c:v>ORD103814</c:v>
                </c:pt>
                <c:pt idx="3805">
                  <c:v>ORD103815</c:v>
                </c:pt>
                <c:pt idx="3806">
                  <c:v>ORD103816</c:v>
                </c:pt>
                <c:pt idx="3807">
                  <c:v>ORD103817</c:v>
                </c:pt>
                <c:pt idx="3808">
                  <c:v>ORD103818</c:v>
                </c:pt>
                <c:pt idx="3809">
                  <c:v>ORD103819</c:v>
                </c:pt>
                <c:pt idx="3810">
                  <c:v>ORD103820</c:v>
                </c:pt>
                <c:pt idx="3811">
                  <c:v>ORD103821</c:v>
                </c:pt>
                <c:pt idx="3812">
                  <c:v>ORD103822</c:v>
                </c:pt>
                <c:pt idx="3813">
                  <c:v>ORD103823</c:v>
                </c:pt>
                <c:pt idx="3814">
                  <c:v>ORD103824</c:v>
                </c:pt>
                <c:pt idx="3815">
                  <c:v>ORD103825</c:v>
                </c:pt>
                <c:pt idx="3816">
                  <c:v>ORD103826</c:v>
                </c:pt>
                <c:pt idx="3817">
                  <c:v>ORD103827</c:v>
                </c:pt>
                <c:pt idx="3818">
                  <c:v>ORD103828</c:v>
                </c:pt>
                <c:pt idx="3819">
                  <c:v>ORD103829</c:v>
                </c:pt>
                <c:pt idx="3820">
                  <c:v>ORD103830</c:v>
                </c:pt>
                <c:pt idx="3821">
                  <c:v>ORD103831</c:v>
                </c:pt>
                <c:pt idx="3822">
                  <c:v>ORD103832</c:v>
                </c:pt>
                <c:pt idx="3823">
                  <c:v>ORD103833</c:v>
                </c:pt>
                <c:pt idx="3824">
                  <c:v>ORD103834</c:v>
                </c:pt>
                <c:pt idx="3825">
                  <c:v>ORD103835</c:v>
                </c:pt>
                <c:pt idx="3826">
                  <c:v>ORD103836</c:v>
                </c:pt>
                <c:pt idx="3827">
                  <c:v>ORD103837</c:v>
                </c:pt>
                <c:pt idx="3828">
                  <c:v>ORD103838</c:v>
                </c:pt>
                <c:pt idx="3829">
                  <c:v>ORD103839</c:v>
                </c:pt>
                <c:pt idx="3830">
                  <c:v>ORD103840</c:v>
                </c:pt>
                <c:pt idx="3831">
                  <c:v>ORD103841</c:v>
                </c:pt>
                <c:pt idx="3832">
                  <c:v>ORD103842</c:v>
                </c:pt>
                <c:pt idx="3833">
                  <c:v>ORD103843</c:v>
                </c:pt>
                <c:pt idx="3834">
                  <c:v>ORD103844</c:v>
                </c:pt>
                <c:pt idx="3835">
                  <c:v>ORD103845</c:v>
                </c:pt>
                <c:pt idx="3836">
                  <c:v>ORD103846</c:v>
                </c:pt>
                <c:pt idx="3837">
                  <c:v>ORD103847</c:v>
                </c:pt>
                <c:pt idx="3838">
                  <c:v>ORD103848</c:v>
                </c:pt>
                <c:pt idx="3839">
                  <c:v>ORD103849</c:v>
                </c:pt>
                <c:pt idx="3840">
                  <c:v>ORD103850</c:v>
                </c:pt>
                <c:pt idx="3841">
                  <c:v>ORD103851</c:v>
                </c:pt>
                <c:pt idx="3842">
                  <c:v>ORD103852</c:v>
                </c:pt>
                <c:pt idx="3843">
                  <c:v>ORD103853</c:v>
                </c:pt>
                <c:pt idx="3844">
                  <c:v>ORD103854</c:v>
                </c:pt>
                <c:pt idx="3845">
                  <c:v>ORD103855</c:v>
                </c:pt>
                <c:pt idx="3846">
                  <c:v>ORD103856</c:v>
                </c:pt>
                <c:pt idx="3847">
                  <c:v>ORD103857</c:v>
                </c:pt>
                <c:pt idx="3848">
                  <c:v>ORD103858</c:v>
                </c:pt>
                <c:pt idx="3849">
                  <c:v>ORD103859</c:v>
                </c:pt>
                <c:pt idx="3850">
                  <c:v>ORD103860</c:v>
                </c:pt>
                <c:pt idx="3851">
                  <c:v>ORD103861</c:v>
                </c:pt>
                <c:pt idx="3852">
                  <c:v>ORD103862</c:v>
                </c:pt>
                <c:pt idx="3853">
                  <c:v>ORD103863</c:v>
                </c:pt>
                <c:pt idx="3854">
                  <c:v>ORD103864</c:v>
                </c:pt>
                <c:pt idx="3855">
                  <c:v>ORD103865</c:v>
                </c:pt>
                <c:pt idx="3856">
                  <c:v>ORD103866</c:v>
                </c:pt>
                <c:pt idx="3857">
                  <c:v>ORD103867</c:v>
                </c:pt>
                <c:pt idx="3858">
                  <c:v>ORD103868</c:v>
                </c:pt>
                <c:pt idx="3859">
                  <c:v>ORD103869</c:v>
                </c:pt>
                <c:pt idx="3860">
                  <c:v>ORD103870</c:v>
                </c:pt>
                <c:pt idx="3861">
                  <c:v>ORD103871</c:v>
                </c:pt>
                <c:pt idx="3862">
                  <c:v>ORD103872</c:v>
                </c:pt>
                <c:pt idx="3863">
                  <c:v>ORD103873</c:v>
                </c:pt>
                <c:pt idx="3864">
                  <c:v>ORD103874</c:v>
                </c:pt>
                <c:pt idx="3865">
                  <c:v>ORD103875</c:v>
                </c:pt>
                <c:pt idx="3866">
                  <c:v>ORD103876</c:v>
                </c:pt>
                <c:pt idx="3867">
                  <c:v>ORD103877</c:v>
                </c:pt>
                <c:pt idx="3868">
                  <c:v>ORD103878</c:v>
                </c:pt>
                <c:pt idx="3869">
                  <c:v>ORD103879</c:v>
                </c:pt>
                <c:pt idx="3870">
                  <c:v>ORD103880</c:v>
                </c:pt>
                <c:pt idx="3871">
                  <c:v>ORD103881</c:v>
                </c:pt>
                <c:pt idx="3872">
                  <c:v>ORD103882</c:v>
                </c:pt>
                <c:pt idx="3873">
                  <c:v>ORD103883</c:v>
                </c:pt>
                <c:pt idx="3874">
                  <c:v>ORD103884</c:v>
                </c:pt>
                <c:pt idx="3875">
                  <c:v>ORD103885</c:v>
                </c:pt>
                <c:pt idx="3876">
                  <c:v>ORD103886</c:v>
                </c:pt>
                <c:pt idx="3877">
                  <c:v>ORD103887</c:v>
                </c:pt>
                <c:pt idx="3878">
                  <c:v>ORD103888</c:v>
                </c:pt>
                <c:pt idx="3879">
                  <c:v>ORD103889</c:v>
                </c:pt>
                <c:pt idx="3880">
                  <c:v>ORD103890</c:v>
                </c:pt>
                <c:pt idx="3881">
                  <c:v>ORD103891</c:v>
                </c:pt>
                <c:pt idx="3882">
                  <c:v>ORD103892</c:v>
                </c:pt>
                <c:pt idx="3883">
                  <c:v>ORD103893</c:v>
                </c:pt>
                <c:pt idx="3884">
                  <c:v>ORD103894</c:v>
                </c:pt>
                <c:pt idx="3885">
                  <c:v>ORD103895</c:v>
                </c:pt>
                <c:pt idx="3886">
                  <c:v>ORD103896</c:v>
                </c:pt>
                <c:pt idx="3887">
                  <c:v>ORD103897</c:v>
                </c:pt>
                <c:pt idx="3888">
                  <c:v>ORD103898</c:v>
                </c:pt>
                <c:pt idx="3889">
                  <c:v>ORD103899</c:v>
                </c:pt>
                <c:pt idx="3890">
                  <c:v>ORD103900</c:v>
                </c:pt>
                <c:pt idx="3891">
                  <c:v>ORD103901</c:v>
                </c:pt>
                <c:pt idx="3892">
                  <c:v>ORD103902</c:v>
                </c:pt>
                <c:pt idx="3893">
                  <c:v>ORD103903</c:v>
                </c:pt>
                <c:pt idx="3894">
                  <c:v>ORD103904</c:v>
                </c:pt>
                <c:pt idx="3895">
                  <c:v>ORD103905</c:v>
                </c:pt>
                <c:pt idx="3896">
                  <c:v>ORD103906</c:v>
                </c:pt>
                <c:pt idx="3897">
                  <c:v>ORD103907</c:v>
                </c:pt>
                <c:pt idx="3898">
                  <c:v>ORD103908</c:v>
                </c:pt>
                <c:pt idx="3899">
                  <c:v>ORD103909</c:v>
                </c:pt>
                <c:pt idx="3900">
                  <c:v>ORD103910</c:v>
                </c:pt>
                <c:pt idx="3901">
                  <c:v>ORD103911</c:v>
                </c:pt>
                <c:pt idx="3902">
                  <c:v>ORD103912</c:v>
                </c:pt>
                <c:pt idx="3903">
                  <c:v>ORD103913</c:v>
                </c:pt>
                <c:pt idx="3904">
                  <c:v>ORD103914</c:v>
                </c:pt>
                <c:pt idx="3905">
                  <c:v>ORD103915</c:v>
                </c:pt>
                <c:pt idx="3906">
                  <c:v>ORD103916</c:v>
                </c:pt>
                <c:pt idx="3907">
                  <c:v>ORD103917</c:v>
                </c:pt>
                <c:pt idx="3908">
                  <c:v>ORD103918</c:v>
                </c:pt>
                <c:pt idx="3909">
                  <c:v>ORD103919</c:v>
                </c:pt>
                <c:pt idx="3910">
                  <c:v>ORD103920</c:v>
                </c:pt>
                <c:pt idx="3911">
                  <c:v>ORD103921</c:v>
                </c:pt>
                <c:pt idx="3912">
                  <c:v>ORD103922</c:v>
                </c:pt>
                <c:pt idx="3913">
                  <c:v>ORD103923</c:v>
                </c:pt>
                <c:pt idx="3914">
                  <c:v>ORD103924</c:v>
                </c:pt>
                <c:pt idx="3915">
                  <c:v>ORD103925</c:v>
                </c:pt>
                <c:pt idx="3916">
                  <c:v>ORD103926</c:v>
                </c:pt>
                <c:pt idx="3917">
                  <c:v>ORD103927</c:v>
                </c:pt>
                <c:pt idx="3918">
                  <c:v>ORD103928</c:v>
                </c:pt>
                <c:pt idx="3919">
                  <c:v>ORD103929</c:v>
                </c:pt>
                <c:pt idx="3920">
                  <c:v>ORD103930</c:v>
                </c:pt>
                <c:pt idx="3921">
                  <c:v>ORD103931</c:v>
                </c:pt>
                <c:pt idx="3922">
                  <c:v>ORD103932</c:v>
                </c:pt>
                <c:pt idx="3923">
                  <c:v>ORD103933</c:v>
                </c:pt>
                <c:pt idx="3924">
                  <c:v>ORD103934</c:v>
                </c:pt>
                <c:pt idx="3925">
                  <c:v>ORD103935</c:v>
                </c:pt>
                <c:pt idx="3926">
                  <c:v>ORD103936</c:v>
                </c:pt>
                <c:pt idx="3927">
                  <c:v>ORD103937</c:v>
                </c:pt>
                <c:pt idx="3928">
                  <c:v>ORD103938</c:v>
                </c:pt>
                <c:pt idx="3929">
                  <c:v>ORD103939</c:v>
                </c:pt>
                <c:pt idx="3930">
                  <c:v>ORD103940</c:v>
                </c:pt>
                <c:pt idx="3931">
                  <c:v>ORD103941</c:v>
                </c:pt>
                <c:pt idx="3932">
                  <c:v>ORD103942</c:v>
                </c:pt>
                <c:pt idx="3933">
                  <c:v>ORD103943</c:v>
                </c:pt>
                <c:pt idx="3934">
                  <c:v>ORD103944</c:v>
                </c:pt>
                <c:pt idx="3935">
                  <c:v>ORD103945</c:v>
                </c:pt>
                <c:pt idx="3936">
                  <c:v>ORD103946</c:v>
                </c:pt>
                <c:pt idx="3937">
                  <c:v>ORD103947</c:v>
                </c:pt>
                <c:pt idx="3938">
                  <c:v>ORD103948</c:v>
                </c:pt>
                <c:pt idx="3939">
                  <c:v>ORD103949</c:v>
                </c:pt>
                <c:pt idx="3940">
                  <c:v>ORD103950</c:v>
                </c:pt>
                <c:pt idx="3941">
                  <c:v>ORD103951</c:v>
                </c:pt>
                <c:pt idx="3942">
                  <c:v>ORD103952</c:v>
                </c:pt>
                <c:pt idx="3943">
                  <c:v>ORD103953</c:v>
                </c:pt>
                <c:pt idx="3944">
                  <c:v>ORD103954</c:v>
                </c:pt>
                <c:pt idx="3945">
                  <c:v>ORD103955</c:v>
                </c:pt>
                <c:pt idx="3946">
                  <c:v>ORD103956</c:v>
                </c:pt>
                <c:pt idx="3947">
                  <c:v>ORD103957</c:v>
                </c:pt>
                <c:pt idx="3948">
                  <c:v>ORD103958</c:v>
                </c:pt>
                <c:pt idx="3949">
                  <c:v>ORD103959</c:v>
                </c:pt>
                <c:pt idx="3950">
                  <c:v>ORD103960</c:v>
                </c:pt>
                <c:pt idx="3951">
                  <c:v>ORD103961</c:v>
                </c:pt>
                <c:pt idx="3952">
                  <c:v>ORD103962</c:v>
                </c:pt>
                <c:pt idx="3953">
                  <c:v>ORD103963</c:v>
                </c:pt>
                <c:pt idx="3954">
                  <c:v>ORD103964</c:v>
                </c:pt>
                <c:pt idx="3955">
                  <c:v>ORD103965</c:v>
                </c:pt>
                <c:pt idx="3956">
                  <c:v>ORD103966</c:v>
                </c:pt>
                <c:pt idx="3957">
                  <c:v>ORD103967</c:v>
                </c:pt>
                <c:pt idx="3958">
                  <c:v>ORD103968</c:v>
                </c:pt>
                <c:pt idx="3959">
                  <c:v>ORD103969</c:v>
                </c:pt>
                <c:pt idx="3960">
                  <c:v>ORD103970</c:v>
                </c:pt>
                <c:pt idx="3961">
                  <c:v>ORD103971</c:v>
                </c:pt>
                <c:pt idx="3962">
                  <c:v>ORD103972</c:v>
                </c:pt>
                <c:pt idx="3963">
                  <c:v>ORD103973</c:v>
                </c:pt>
                <c:pt idx="3964">
                  <c:v>ORD103974</c:v>
                </c:pt>
                <c:pt idx="3965">
                  <c:v>ORD103975</c:v>
                </c:pt>
                <c:pt idx="3966">
                  <c:v>ORD103976</c:v>
                </c:pt>
                <c:pt idx="3967">
                  <c:v>ORD103977</c:v>
                </c:pt>
                <c:pt idx="3968">
                  <c:v>ORD103978</c:v>
                </c:pt>
                <c:pt idx="3969">
                  <c:v>ORD103979</c:v>
                </c:pt>
                <c:pt idx="3970">
                  <c:v>ORD103980</c:v>
                </c:pt>
                <c:pt idx="3971">
                  <c:v>ORD103981</c:v>
                </c:pt>
                <c:pt idx="3972">
                  <c:v>ORD103982</c:v>
                </c:pt>
                <c:pt idx="3973">
                  <c:v>ORD103983</c:v>
                </c:pt>
                <c:pt idx="3974">
                  <c:v>ORD103984</c:v>
                </c:pt>
                <c:pt idx="3975">
                  <c:v>ORD103985</c:v>
                </c:pt>
                <c:pt idx="3976">
                  <c:v>ORD103986</c:v>
                </c:pt>
                <c:pt idx="3977">
                  <c:v>ORD103987</c:v>
                </c:pt>
                <c:pt idx="3978">
                  <c:v>ORD103988</c:v>
                </c:pt>
                <c:pt idx="3979">
                  <c:v>ORD103989</c:v>
                </c:pt>
                <c:pt idx="3980">
                  <c:v>ORD103990</c:v>
                </c:pt>
                <c:pt idx="3981">
                  <c:v>ORD103991</c:v>
                </c:pt>
                <c:pt idx="3982">
                  <c:v>ORD103992</c:v>
                </c:pt>
                <c:pt idx="3983">
                  <c:v>ORD103993</c:v>
                </c:pt>
                <c:pt idx="3984">
                  <c:v>ORD103994</c:v>
                </c:pt>
                <c:pt idx="3985">
                  <c:v>ORD103995</c:v>
                </c:pt>
                <c:pt idx="3986">
                  <c:v>ORD103996</c:v>
                </c:pt>
                <c:pt idx="3987">
                  <c:v>ORD103997</c:v>
                </c:pt>
                <c:pt idx="3988">
                  <c:v>ORD103998</c:v>
                </c:pt>
                <c:pt idx="3989">
                  <c:v>ORD103999</c:v>
                </c:pt>
                <c:pt idx="3990">
                  <c:v>ORD104000</c:v>
                </c:pt>
                <c:pt idx="3991">
                  <c:v>ORD104001</c:v>
                </c:pt>
                <c:pt idx="3992">
                  <c:v>ORD104002</c:v>
                </c:pt>
                <c:pt idx="3993">
                  <c:v>ORD104003</c:v>
                </c:pt>
                <c:pt idx="3994">
                  <c:v>ORD104004</c:v>
                </c:pt>
                <c:pt idx="3995">
                  <c:v>ORD104005</c:v>
                </c:pt>
                <c:pt idx="3996">
                  <c:v>ORD104006</c:v>
                </c:pt>
                <c:pt idx="3997">
                  <c:v>ORD104007</c:v>
                </c:pt>
                <c:pt idx="3998">
                  <c:v>ORD104008</c:v>
                </c:pt>
                <c:pt idx="3999">
                  <c:v>ORD104009</c:v>
                </c:pt>
                <c:pt idx="4000">
                  <c:v>ORD104010</c:v>
                </c:pt>
                <c:pt idx="4001">
                  <c:v>ORD104011</c:v>
                </c:pt>
                <c:pt idx="4002">
                  <c:v>ORD104012</c:v>
                </c:pt>
                <c:pt idx="4003">
                  <c:v>ORD104013</c:v>
                </c:pt>
                <c:pt idx="4004">
                  <c:v>ORD104014</c:v>
                </c:pt>
                <c:pt idx="4005">
                  <c:v>ORD104015</c:v>
                </c:pt>
                <c:pt idx="4006">
                  <c:v>ORD104016</c:v>
                </c:pt>
                <c:pt idx="4007">
                  <c:v>ORD104017</c:v>
                </c:pt>
                <c:pt idx="4008">
                  <c:v>ORD104018</c:v>
                </c:pt>
                <c:pt idx="4009">
                  <c:v>ORD104019</c:v>
                </c:pt>
                <c:pt idx="4010">
                  <c:v>ORD104020</c:v>
                </c:pt>
                <c:pt idx="4011">
                  <c:v>ORD104021</c:v>
                </c:pt>
                <c:pt idx="4012">
                  <c:v>ORD104022</c:v>
                </c:pt>
                <c:pt idx="4013">
                  <c:v>ORD104023</c:v>
                </c:pt>
                <c:pt idx="4014">
                  <c:v>ORD104024</c:v>
                </c:pt>
                <c:pt idx="4015">
                  <c:v>ORD104025</c:v>
                </c:pt>
                <c:pt idx="4016">
                  <c:v>ORD104026</c:v>
                </c:pt>
                <c:pt idx="4017">
                  <c:v>ORD104027</c:v>
                </c:pt>
                <c:pt idx="4018">
                  <c:v>ORD104028</c:v>
                </c:pt>
                <c:pt idx="4019">
                  <c:v>ORD104029</c:v>
                </c:pt>
                <c:pt idx="4020">
                  <c:v>ORD104030</c:v>
                </c:pt>
                <c:pt idx="4021">
                  <c:v>ORD104031</c:v>
                </c:pt>
                <c:pt idx="4022">
                  <c:v>ORD104032</c:v>
                </c:pt>
                <c:pt idx="4023">
                  <c:v>ORD104033</c:v>
                </c:pt>
                <c:pt idx="4024">
                  <c:v>ORD104034</c:v>
                </c:pt>
                <c:pt idx="4025">
                  <c:v>ORD104035</c:v>
                </c:pt>
                <c:pt idx="4026">
                  <c:v>ORD104036</c:v>
                </c:pt>
                <c:pt idx="4027">
                  <c:v>ORD104037</c:v>
                </c:pt>
                <c:pt idx="4028">
                  <c:v>ORD104038</c:v>
                </c:pt>
                <c:pt idx="4029">
                  <c:v>ORD104039</c:v>
                </c:pt>
                <c:pt idx="4030">
                  <c:v>ORD104040</c:v>
                </c:pt>
                <c:pt idx="4031">
                  <c:v>ORD104041</c:v>
                </c:pt>
                <c:pt idx="4032">
                  <c:v>ORD104042</c:v>
                </c:pt>
                <c:pt idx="4033">
                  <c:v>ORD104043</c:v>
                </c:pt>
                <c:pt idx="4034">
                  <c:v>ORD104044</c:v>
                </c:pt>
                <c:pt idx="4035">
                  <c:v>ORD104045</c:v>
                </c:pt>
                <c:pt idx="4036">
                  <c:v>ORD104046</c:v>
                </c:pt>
                <c:pt idx="4037">
                  <c:v>ORD104047</c:v>
                </c:pt>
                <c:pt idx="4038">
                  <c:v>ORD104048</c:v>
                </c:pt>
                <c:pt idx="4039">
                  <c:v>ORD104049</c:v>
                </c:pt>
                <c:pt idx="4040">
                  <c:v>ORD104050</c:v>
                </c:pt>
                <c:pt idx="4041">
                  <c:v>ORD104051</c:v>
                </c:pt>
                <c:pt idx="4042">
                  <c:v>ORD104052</c:v>
                </c:pt>
                <c:pt idx="4043">
                  <c:v>ORD104053</c:v>
                </c:pt>
                <c:pt idx="4044">
                  <c:v>ORD104054</c:v>
                </c:pt>
                <c:pt idx="4045">
                  <c:v>ORD104055</c:v>
                </c:pt>
                <c:pt idx="4046">
                  <c:v>ORD104056</c:v>
                </c:pt>
                <c:pt idx="4047">
                  <c:v>ORD104057</c:v>
                </c:pt>
                <c:pt idx="4048">
                  <c:v>ORD104058</c:v>
                </c:pt>
                <c:pt idx="4049">
                  <c:v>ORD104059</c:v>
                </c:pt>
                <c:pt idx="4050">
                  <c:v>ORD104060</c:v>
                </c:pt>
                <c:pt idx="4051">
                  <c:v>ORD104061</c:v>
                </c:pt>
                <c:pt idx="4052">
                  <c:v>ORD104062</c:v>
                </c:pt>
                <c:pt idx="4053">
                  <c:v>ORD104063</c:v>
                </c:pt>
                <c:pt idx="4054">
                  <c:v>ORD104064</c:v>
                </c:pt>
                <c:pt idx="4055">
                  <c:v>ORD104065</c:v>
                </c:pt>
                <c:pt idx="4056">
                  <c:v>ORD104066</c:v>
                </c:pt>
                <c:pt idx="4057">
                  <c:v>ORD104067</c:v>
                </c:pt>
                <c:pt idx="4058">
                  <c:v>ORD104068</c:v>
                </c:pt>
                <c:pt idx="4059">
                  <c:v>ORD104069</c:v>
                </c:pt>
                <c:pt idx="4060">
                  <c:v>ORD104070</c:v>
                </c:pt>
                <c:pt idx="4061">
                  <c:v>ORD104071</c:v>
                </c:pt>
                <c:pt idx="4062">
                  <c:v>ORD104072</c:v>
                </c:pt>
                <c:pt idx="4063">
                  <c:v>ORD104073</c:v>
                </c:pt>
                <c:pt idx="4064">
                  <c:v>ORD104074</c:v>
                </c:pt>
                <c:pt idx="4065">
                  <c:v>ORD104075</c:v>
                </c:pt>
                <c:pt idx="4066">
                  <c:v>ORD104076</c:v>
                </c:pt>
                <c:pt idx="4067">
                  <c:v>ORD104077</c:v>
                </c:pt>
                <c:pt idx="4068">
                  <c:v>ORD104078</c:v>
                </c:pt>
                <c:pt idx="4069">
                  <c:v>ORD104079</c:v>
                </c:pt>
                <c:pt idx="4070">
                  <c:v>ORD104080</c:v>
                </c:pt>
                <c:pt idx="4071">
                  <c:v>ORD104081</c:v>
                </c:pt>
                <c:pt idx="4072">
                  <c:v>ORD104082</c:v>
                </c:pt>
                <c:pt idx="4073">
                  <c:v>ORD104083</c:v>
                </c:pt>
                <c:pt idx="4074">
                  <c:v>ORD104084</c:v>
                </c:pt>
                <c:pt idx="4075">
                  <c:v>ORD104085</c:v>
                </c:pt>
                <c:pt idx="4076">
                  <c:v>ORD104086</c:v>
                </c:pt>
                <c:pt idx="4077">
                  <c:v>ORD104087</c:v>
                </c:pt>
                <c:pt idx="4078">
                  <c:v>ORD104088</c:v>
                </c:pt>
                <c:pt idx="4079">
                  <c:v>ORD104089</c:v>
                </c:pt>
                <c:pt idx="4080">
                  <c:v>ORD104090</c:v>
                </c:pt>
                <c:pt idx="4081">
                  <c:v>ORD104091</c:v>
                </c:pt>
                <c:pt idx="4082">
                  <c:v>ORD104092</c:v>
                </c:pt>
                <c:pt idx="4083">
                  <c:v>ORD104093</c:v>
                </c:pt>
                <c:pt idx="4084">
                  <c:v>ORD104094</c:v>
                </c:pt>
                <c:pt idx="4085">
                  <c:v>ORD104095</c:v>
                </c:pt>
                <c:pt idx="4086">
                  <c:v>ORD104096</c:v>
                </c:pt>
                <c:pt idx="4087">
                  <c:v>ORD104097</c:v>
                </c:pt>
                <c:pt idx="4088">
                  <c:v>ORD104098</c:v>
                </c:pt>
                <c:pt idx="4089">
                  <c:v>ORD104099</c:v>
                </c:pt>
                <c:pt idx="4090">
                  <c:v>ORD104100</c:v>
                </c:pt>
                <c:pt idx="4091">
                  <c:v>ORD104101</c:v>
                </c:pt>
                <c:pt idx="4092">
                  <c:v>ORD104102</c:v>
                </c:pt>
                <c:pt idx="4093">
                  <c:v>ORD104103</c:v>
                </c:pt>
                <c:pt idx="4094">
                  <c:v>ORD104104</c:v>
                </c:pt>
                <c:pt idx="4095">
                  <c:v>ORD104105</c:v>
                </c:pt>
                <c:pt idx="4096">
                  <c:v>ORD104106</c:v>
                </c:pt>
                <c:pt idx="4097">
                  <c:v>ORD104107</c:v>
                </c:pt>
                <c:pt idx="4098">
                  <c:v>ORD104108</c:v>
                </c:pt>
                <c:pt idx="4099">
                  <c:v>ORD104109</c:v>
                </c:pt>
                <c:pt idx="4100">
                  <c:v>ORD104110</c:v>
                </c:pt>
                <c:pt idx="4101">
                  <c:v>ORD104111</c:v>
                </c:pt>
                <c:pt idx="4102">
                  <c:v>ORD104112</c:v>
                </c:pt>
                <c:pt idx="4103">
                  <c:v>ORD104113</c:v>
                </c:pt>
                <c:pt idx="4104">
                  <c:v>ORD104114</c:v>
                </c:pt>
                <c:pt idx="4105">
                  <c:v>ORD104115</c:v>
                </c:pt>
                <c:pt idx="4106">
                  <c:v>ORD104116</c:v>
                </c:pt>
                <c:pt idx="4107">
                  <c:v>ORD104117</c:v>
                </c:pt>
                <c:pt idx="4108">
                  <c:v>ORD104118</c:v>
                </c:pt>
                <c:pt idx="4109">
                  <c:v>ORD104119</c:v>
                </c:pt>
                <c:pt idx="4110">
                  <c:v>ORD104120</c:v>
                </c:pt>
                <c:pt idx="4111">
                  <c:v>ORD104121</c:v>
                </c:pt>
                <c:pt idx="4112">
                  <c:v>ORD104122</c:v>
                </c:pt>
                <c:pt idx="4113">
                  <c:v>ORD104123</c:v>
                </c:pt>
                <c:pt idx="4114">
                  <c:v>ORD104124</c:v>
                </c:pt>
                <c:pt idx="4115">
                  <c:v>ORD104125</c:v>
                </c:pt>
                <c:pt idx="4116">
                  <c:v>ORD104126</c:v>
                </c:pt>
                <c:pt idx="4117">
                  <c:v>ORD104127</c:v>
                </c:pt>
                <c:pt idx="4118">
                  <c:v>ORD104128</c:v>
                </c:pt>
                <c:pt idx="4119">
                  <c:v>ORD104129</c:v>
                </c:pt>
                <c:pt idx="4120">
                  <c:v>ORD104131</c:v>
                </c:pt>
                <c:pt idx="4121">
                  <c:v>ORD104132</c:v>
                </c:pt>
                <c:pt idx="4122">
                  <c:v>ORD104133</c:v>
                </c:pt>
                <c:pt idx="4123">
                  <c:v>ORD104134</c:v>
                </c:pt>
                <c:pt idx="4124">
                  <c:v>ORD104135</c:v>
                </c:pt>
                <c:pt idx="4125">
                  <c:v>ORD104136</c:v>
                </c:pt>
                <c:pt idx="4126">
                  <c:v>ORD104137</c:v>
                </c:pt>
                <c:pt idx="4127">
                  <c:v>ORD104138</c:v>
                </c:pt>
                <c:pt idx="4128">
                  <c:v>ORD104139</c:v>
                </c:pt>
                <c:pt idx="4129">
                  <c:v>ORD104140</c:v>
                </c:pt>
                <c:pt idx="4130">
                  <c:v>ORD104141</c:v>
                </c:pt>
                <c:pt idx="4131">
                  <c:v>ORD104142</c:v>
                </c:pt>
                <c:pt idx="4132">
                  <c:v>ORD104143</c:v>
                </c:pt>
                <c:pt idx="4133">
                  <c:v>ORD104144</c:v>
                </c:pt>
                <c:pt idx="4134">
                  <c:v>ORD104145</c:v>
                </c:pt>
                <c:pt idx="4135">
                  <c:v>ORD104146</c:v>
                </c:pt>
                <c:pt idx="4136">
                  <c:v>ORD104147</c:v>
                </c:pt>
                <c:pt idx="4137">
                  <c:v>ORD104148</c:v>
                </c:pt>
                <c:pt idx="4138">
                  <c:v>ORD104149</c:v>
                </c:pt>
                <c:pt idx="4139">
                  <c:v>ORD104150</c:v>
                </c:pt>
                <c:pt idx="4140">
                  <c:v>ORD104151</c:v>
                </c:pt>
                <c:pt idx="4141">
                  <c:v>ORD104152</c:v>
                </c:pt>
                <c:pt idx="4142">
                  <c:v>ORD104153</c:v>
                </c:pt>
                <c:pt idx="4143">
                  <c:v>ORD104154</c:v>
                </c:pt>
                <c:pt idx="4144">
                  <c:v>ORD104155</c:v>
                </c:pt>
                <c:pt idx="4145">
                  <c:v>ORD104156</c:v>
                </c:pt>
                <c:pt idx="4146">
                  <c:v>ORD104157</c:v>
                </c:pt>
                <c:pt idx="4147">
                  <c:v>ORD104158</c:v>
                </c:pt>
                <c:pt idx="4148">
                  <c:v>ORD104159</c:v>
                </c:pt>
                <c:pt idx="4149">
                  <c:v>ORD104160</c:v>
                </c:pt>
                <c:pt idx="4150">
                  <c:v>ORD104161</c:v>
                </c:pt>
                <c:pt idx="4151">
                  <c:v>ORD104162</c:v>
                </c:pt>
                <c:pt idx="4152">
                  <c:v>ORD104163</c:v>
                </c:pt>
                <c:pt idx="4153">
                  <c:v>ORD104164</c:v>
                </c:pt>
                <c:pt idx="4154">
                  <c:v>ORD104165</c:v>
                </c:pt>
                <c:pt idx="4155">
                  <c:v>ORD104166</c:v>
                </c:pt>
                <c:pt idx="4156">
                  <c:v>ORD104167</c:v>
                </c:pt>
                <c:pt idx="4157">
                  <c:v>ORD104168</c:v>
                </c:pt>
                <c:pt idx="4158">
                  <c:v>ORD104169</c:v>
                </c:pt>
                <c:pt idx="4159">
                  <c:v>ORD104170</c:v>
                </c:pt>
                <c:pt idx="4160">
                  <c:v>ORD104171</c:v>
                </c:pt>
                <c:pt idx="4161">
                  <c:v>ORD104172</c:v>
                </c:pt>
                <c:pt idx="4162">
                  <c:v>ORD104173</c:v>
                </c:pt>
                <c:pt idx="4163">
                  <c:v>ORD104174</c:v>
                </c:pt>
                <c:pt idx="4164">
                  <c:v>ORD104175</c:v>
                </c:pt>
                <c:pt idx="4165">
                  <c:v>ORD104176</c:v>
                </c:pt>
                <c:pt idx="4166">
                  <c:v>ORD104177</c:v>
                </c:pt>
                <c:pt idx="4167">
                  <c:v>ORD104178</c:v>
                </c:pt>
                <c:pt idx="4168">
                  <c:v>ORD104179</c:v>
                </c:pt>
                <c:pt idx="4169">
                  <c:v>ORD104180</c:v>
                </c:pt>
                <c:pt idx="4170">
                  <c:v>ORD104181</c:v>
                </c:pt>
                <c:pt idx="4171">
                  <c:v>ORD104182</c:v>
                </c:pt>
                <c:pt idx="4172">
                  <c:v>ORD104183</c:v>
                </c:pt>
                <c:pt idx="4173">
                  <c:v>ORD104184</c:v>
                </c:pt>
                <c:pt idx="4174">
                  <c:v>ORD104185</c:v>
                </c:pt>
                <c:pt idx="4175">
                  <c:v>ORD104186</c:v>
                </c:pt>
                <c:pt idx="4176">
                  <c:v>ORD104187</c:v>
                </c:pt>
                <c:pt idx="4177">
                  <c:v>ORD104188</c:v>
                </c:pt>
                <c:pt idx="4178">
                  <c:v>ORD104189</c:v>
                </c:pt>
                <c:pt idx="4179">
                  <c:v>ORD104190</c:v>
                </c:pt>
                <c:pt idx="4180">
                  <c:v>ORD104191</c:v>
                </c:pt>
                <c:pt idx="4181">
                  <c:v>ORD104192</c:v>
                </c:pt>
                <c:pt idx="4182">
                  <c:v>ORD104193</c:v>
                </c:pt>
                <c:pt idx="4183">
                  <c:v>ORD104194</c:v>
                </c:pt>
                <c:pt idx="4184">
                  <c:v>ORD104195</c:v>
                </c:pt>
                <c:pt idx="4185">
                  <c:v>ORD104196</c:v>
                </c:pt>
                <c:pt idx="4186">
                  <c:v>ORD104197</c:v>
                </c:pt>
                <c:pt idx="4187">
                  <c:v>ORD104198</c:v>
                </c:pt>
                <c:pt idx="4188">
                  <c:v>ORD104199</c:v>
                </c:pt>
                <c:pt idx="4189">
                  <c:v>ORD104200</c:v>
                </c:pt>
                <c:pt idx="4190">
                  <c:v>ORD104201</c:v>
                </c:pt>
                <c:pt idx="4191">
                  <c:v>ORD104202</c:v>
                </c:pt>
                <c:pt idx="4192">
                  <c:v>ORD104203</c:v>
                </c:pt>
                <c:pt idx="4193">
                  <c:v>ORD104204</c:v>
                </c:pt>
                <c:pt idx="4194">
                  <c:v>ORD104205</c:v>
                </c:pt>
                <c:pt idx="4195">
                  <c:v>ORD104206</c:v>
                </c:pt>
                <c:pt idx="4196">
                  <c:v>ORD104207</c:v>
                </c:pt>
                <c:pt idx="4197">
                  <c:v>ORD104208</c:v>
                </c:pt>
                <c:pt idx="4198">
                  <c:v>ORD104209</c:v>
                </c:pt>
                <c:pt idx="4199">
                  <c:v>ORD104210</c:v>
                </c:pt>
                <c:pt idx="4200">
                  <c:v>ORD104211</c:v>
                </c:pt>
                <c:pt idx="4201">
                  <c:v>ORD104212</c:v>
                </c:pt>
                <c:pt idx="4202">
                  <c:v>ORD104213</c:v>
                </c:pt>
                <c:pt idx="4203">
                  <c:v>ORD104214</c:v>
                </c:pt>
                <c:pt idx="4204">
                  <c:v>ORD104215</c:v>
                </c:pt>
                <c:pt idx="4205">
                  <c:v>ORD104216</c:v>
                </c:pt>
                <c:pt idx="4206">
                  <c:v>ORD104217</c:v>
                </c:pt>
                <c:pt idx="4207">
                  <c:v>ORD104218</c:v>
                </c:pt>
                <c:pt idx="4208">
                  <c:v>ORD104219</c:v>
                </c:pt>
                <c:pt idx="4209">
                  <c:v>ORD104220</c:v>
                </c:pt>
                <c:pt idx="4210">
                  <c:v>ORD104221</c:v>
                </c:pt>
                <c:pt idx="4211">
                  <c:v>ORD104222</c:v>
                </c:pt>
                <c:pt idx="4212">
                  <c:v>ORD104223</c:v>
                </c:pt>
                <c:pt idx="4213">
                  <c:v>ORD104224</c:v>
                </c:pt>
                <c:pt idx="4214">
                  <c:v>ORD104225</c:v>
                </c:pt>
                <c:pt idx="4215">
                  <c:v>ORD104226</c:v>
                </c:pt>
                <c:pt idx="4216">
                  <c:v>ORD104227</c:v>
                </c:pt>
                <c:pt idx="4217">
                  <c:v>ORD104228</c:v>
                </c:pt>
                <c:pt idx="4218">
                  <c:v>ORD104229</c:v>
                </c:pt>
                <c:pt idx="4219">
                  <c:v>ORD104230</c:v>
                </c:pt>
                <c:pt idx="4220">
                  <c:v>ORD104231</c:v>
                </c:pt>
                <c:pt idx="4221">
                  <c:v>ORD104232</c:v>
                </c:pt>
                <c:pt idx="4222">
                  <c:v>ORD104233</c:v>
                </c:pt>
                <c:pt idx="4223">
                  <c:v>ORD104234</c:v>
                </c:pt>
                <c:pt idx="4224">
                  <c:v>ORD104235</c:v>
                </c:pt>
                <c:pt idx="4225">
                  <c:v>ORD104236</c:v>
                </c:pt>
                <c:pt idx="4226">
                  <c:v>ORD104237</c:v>
                </c:pt>
                <c:pt idx="4227">
                  <c:v>ORD104238</c:v>
                </c:pt>
                <c:pt idx="4228">
                  <c:v>ORD104239</c:v>
                </c:pt>
                <c:pt idx="4229">
                  <c:v>ORD104240</c:v>
                </c:pt>
                <c:pt idx="4230">
                  <c:v>ORD104241</c:v>
                </c:pt>
                <c:pt idx="4231">
                  <c:v>ORD104242</c:v>
                </c:pt>
                <c:pt idx="4232">
                  <c:v>ORD104243</c:v>
                </c:pt>
                <c:pt idx="4233">
                  <c:v>ORD104244</c:v>
                </c:pt>
                <c:pt idx="4234">
                  <c:v>ORD104245</c:v>
                </c:pt>
                <c:pt idx="4235">
                  <c:v>ORD104246</c:v>
                </c:pt>
                <c:pt idx="4236">
                  <c:v>ORD104247</c:v>
                </c:pt>
                <c:pt idx="4237">
                  <c:v>ORD104248</c:v>
                </c:pt>
                <c:pt idx="4238">
                  <c:v>ORD104249</c:v>
                </c:pt>
                <c:pt idx="4239">
                  <c:v>ORD104250</c:v>
                </c:pt>
                <c:pt idx="4240">
                  <c:v>ORD104251</c:v>
                </c:pt>
                <c:pt idx="4241">
                  <c:v>ORD104252</c:v>
                </c:pt>
                <c:pt idx="4242">
                  <c:v>ORD104253</c:v>
                </c:pt>
                <c:pt idx="4243">
                  <c:v>ORD104254</c:v>
                </c:pt>
                <c:pt idx="4244">
                  <c:v>ORD104255</c:v>
                </c:pt>
                <c:pt idx="4245">
                  <c:v>ORD104256</c:v>
                </c:pt>
                <c:pt idx="4246">
                  <c:v>ORD104257</c:v>
                </c:pt>
                <c:pt idx="4247">
                  <c:v>ORD104258</c:v>
                </c:pt>
                <c:pt idx="4248">
                  <c:v>ORD104259</c:v>
                </c:pt>
                <c:pt idx="4249">
                  <c:v>ORD104260</c:v>
                </c:pt>
                <c:pt idx="4250">
                  <c:v>ORD104261</c:v>
                </c:pt>
                <c:pt idx="4251">
                  <c:v>ORD104262</c:v>
                </c:pt>
                <c:pt idx="4252">
                  <c:v>ORD104263</c:v>
                </c:pt>
                <c:pt idx="4253">
                  <c:v>ORD104264</c:v>
                </c:pt>
                <c:pt idx="4254">
                  <c:v>ORD104265</c:v>
                </c:pt>
                <c:pt idx="4255">
                  <c:v>ORD104266</c:v>
                </c:pt>
                <c:pt idx="4256">
                  <c:v>ORD104267</c:v>
                </c:pt>
                <c:pt idx="4257">
                  <c:v>ORD104268</c:v>
                </c:pt>
                <c:pt idx="4258">
                  <c:v>ORD104269</c:v>
                </c:pt>
                <c:pt idx="4259">
                  <c:v>ORD104270</c:v>
                </c:pt>
                <c:pt idx="4260">
                  <c:v>ORD104271</c:v>
                </c:pt>
                <c:pt idx="4261">
                  <c:v>ORD104272</c:v>
                </c:pt>
                <c:pt idx="4262">
                  <c:v>ORD104273</c:v>
                </c:pt>
                <c:pt idx="4263">
                  <c:v>ORD104274</c:v>
                </c:pt>
                <c:pt idx="4264">
                  <c:v>ORD104275</c:v>
                </c:pt>
                <c:pt idx="4265">
                  <c:v>ORD104276</c:v>
                </c:pt>
                <c:pt idx="4266">
                  <c:v>ORD104277</c:v>
                </c:pt>
                <c:pt idx="4267">
                  <c:v>ORD104278</c:v>
                </c:pt>
                <c:pt idx="4268">
                  <c:v>ORD104279</c:v>
                </c:pt>
                <c:pt idx="4269">
                  <c:v>ORD104280</c:v>
                </c:pt>
                <c:pt idx="4270">
                  <c:v>ORD104281</c:v>
                </c:pt>
                <c:pt idx="4271">
                  <c:v>ORD104282</c:v>
                </c:pt>
                <c:pt idx="4272">
                  <c:v>ORD104283</c:v>
                </c:pt>
                <c:pt idx="4273">
                  <c:v>ORD104284</c:v>
                </c:pt>
                <c:pt idx="4274">
                  <c:v>ORD104285</c:v>
                </c:pt>
                <c:pt idx="4275">
                  <c:v>ORD104286</c:v>
                </c:pt>
                <c:pt idx="4276">
                  <c:v>ORD104287</c:v>
                </c:pt>
                <c:pt idx="4277">
                  <c:v>ORD104288</c:v>
                </c:pt>
                <c:pt idx="4278">
                  <c:v>ORD104289</c:v>
                </c:pt>
                <c:pt idx="4279">
                  <c:v>ORD104290</c:v>
                </c:pt>
                <c:pt idx="4280">
                  <c:v>ORD104291</c:v>
                </c:pt>
                <c:pt idx="4281">
                  <c:v>ORD104292</c:v>
                </c:pt>
                <c:pt idx="4282">
                  <c:v>ORD104293</c:v>
                </c:pt>
                <c:pt idx="4283">
                  <c:v>ORD104294</c:v>
                </c:pt>
                <c:pt idx="4284">
                  <c:v>ORD104295</c:v>
                </c:pt>
                <c:pt idx="4285">
                  <c:v>ORD104296</c:v>
                </c:pt>
                <c:pt idx="4286">
                  <c:v>ORD104297</c:v>
                </c:pt>
                <c:pt idx="4287">
                  <c:v>ORD104298</c:v>
                </c:pt>
                <c:pt idx="4288">
                  <c:v>ORD104299</c:v>
                </c:pt>
                <c:pt idx="4289">
                  <c:v>ORD104300</c:v>
                </c:pt>
                <c:pt idx="4290">
                  <c:v>ORD104301</c:v>
                </c:pt>
                <c:pt idx="4291">
                  <c:v>ORD104302</c:v>
                </c:pt>
                <c:pt idx="4292">
                  <c:v>ORD104303</c:v>
                </c:pt>
                <c:pt idx="4293">
                  <c:v>ORD104304</c:v>
                </c:pt>
                <c:pt idx="4294">
                  <c:v>ORD104305</c:v>
                </c:pt>
                <c:pt idx="4295">
                  <c:v>ORD104306</c:v>
                </c:pt>
                <c:pt idx="4296">
                  <c:v>ORD104307</c:v>
                </c:pt>
                <c:pt idx="4297">
                  <c:v>ORD104308</c:v>
                </c:pt>
                <c:pt idx="4298">
                  <c:v>ORD104309</c:v>
                </c:pt>
                <c:pt idx="4299">
                  <c:v>ORD104310</c:v>
                </c:pt>
                <c:pt idx="4300">
                  <c:v>ORD104311</c:v>
                </c:pt>
                <c:pt idx="4301">
                  <c:v>ORD104312</c:v>
                </c:pt>
                <c:pt idx="4302">
                  <c:v>ORD104313</c:v>
                </c:pt>
                <c:pt idx="4303">
                  <c:v>ORD104314</c:v>
                </c:pt>
                <c:pt idx="4304">
                  <c:v>ORD104315</c:v>
                </c:pt>
                <c:pt idx="4305">
                  <c:v>ORD104316</c:v>
                </c:pt>
                <c:pt idx="4306">
                  <c:v>ORD104317</c:v>
                </c:pt>
                <c:pt idx="4307">
                  <c:v>ORD104318</c:v>
                </c:pt>
                <c:pt idx="4308">
                  <c:v>ORD104319</c:v>
                </c:pt>
                <c:pt idx="4309">
                  <c:v>ORD104320</c:v>
                </c:pt>
                <c:pt idx="4310">
                  <c:v>ORD104321</c:v>
                </c:pt>
                <c:pt idx="4311">
                  <c:v>ORD104322</c:v>
                </c:pt>
                <c:pt idx="4312">
                  <c:v>ORD104323</c:v>
                </c:pt>
                <c:pt idx="4313">
                  <c:v>ORD104324</c:v>
                </c:pt>
                <c:pt idx="4314">
                  <c:v>ORD104325</c:v>
                </c:pt>
                <c:pt idx="4315">
                  <c:v>ORD104326</c:v>
                </c:pt>
                <c:pt idx="4316">
                  <c:v>ORD104327</c:v>
                </c:pt>
                <c:pt idx="4317">
                  <c:v>ORD104328</c:v>
                </c:pt>
                <c:pt idx="4318">
                  <c:v>ORD104329</c:v>
                </c:pt>
                <c:pt idx="4319">
                  <c:v>ORD104330</c:v>
                </c:pt>
                <c:pt idx="4320">
                  <c:v>ORD104331</c:v>
                </c:pt>
                <c:pt idx="4321">
                  <c:v>ORD104332</c:v>
                </c:pt>
                <c:pt idx="4322">
                  <c:v>ORD104333</c:v>
                </c:pt>
                <c:pt idx="4323">
                  <c:v>ORD104334</c:v>
                </c:pt>
                <c:pt idx="4324">
                  <c:v>ORD104335</c:v>
                </c:pt>
                <c:pt idx="4325">
                  <c:v>ORD104336</c:v>
                </c:pt>
                <c:pt idx="4326">
                  <c:v>ORD104337</c:v>
                </c:pt>
                <c:pt idx="4327">
                  <c:v>ORD104338</c:v>
                </c:pt>
                <c:pt idx="4328">
                  <c:v>ORD104339</c:v>
                </c:pt>
                <c:pt idx="4329">
                  <c:v>ORD104340</c:v>
                </c:pt>
                <c:pt idx="4330">
                  <c:v>ORD104341</c:v>
                </c:pt>
                <c:pt idx="4331">
                  <c:v>ORD104342</c:v>
                </c:pt>
                <c:pt idx="4332">
                  <c:v>ORD104343</c:v>
                </c:pt>
                <c:pt idx="4333">
                  <c:v>ORD104344</c:v>
                </c:pt>
                <c:pt idx="4334">
                  <c:v>ORD104345</c:v>
                </c:pt>
                <c:pt idx="4335">
                  <c:v>ORD104346</c:v>
                </c:pt>
                <c:pt idx="4336">
                  <c:v>ORD104347</c:v>
                </c:pt>
                <c:pt idx="4337">
                  <c:v>ORD104348</c:v>
                </c:pt>
                <c:pt idx="4338">
                  <c:v>ORD104349</c:v>
                </c:pt>
                <c:pt idx="4339">
                  <c:v>ORD104350</c:v>
                </c:pt>
                <c:pt idx="4340">
                  <c:v>ORD104351</c:v>
                </c:pt>
                <c:pt idx="4341">
                  <c:v>ORD104352</c:v>
                </c:pt>
                <c:pt idx="4342">
                  <c:v>ORD104353</c:v>
                </c:pt>
                <c:pt idx="4343">
                  <c:v>ORD104354</c:v>
                </c:pt>
                <c:pt idx="4344">
                  <c:v>ORD104355</c:v>
                </c:pt>
                <c:pt idx="4345">
                  <c:v>ORD104356</c:v>
                </c:pt>
                <c:pt idx="4346">
                  <c:v>ORD104357</c:v>
                </c:pt>
                <c:pt idx="4347">
                  <c:v>ORD104358</c:v>
                </c:pt>
                <c:pt idx="4348">
                  <c:v>ORD104359</c:v>
                </c:pt>
                <c:pt idx="4349">
                  <c:v>ORD104360</c:v>
                </c:pt>
                <c:pt idx="4350">
                  <c:v>ORD104361</c:v>
                </c:pt>
                <c:pt idx="4351">
                  <c:v>ORD104362</c:v>
                </c:pt>
                <c:pt idx="4352">
                  <c:v>ORD104363</c:v>
                </c:pt>
                <c:pt idx="4353">
                  <c:v>ORD104364</c:v>
                </c:pt>
                <c:pt idx="4354">
                  <c:v>ORD104365</c:v>
                </c:pt>
                <c:pt idx="4355">
                  <c:v>ORD104366</c:v>
                </c:pt>
                <c:pt idx="4356">
                  <c:v>ORD104367</c:v>
                </c:pt>
                <c:pt idx="4357">
                  <c:v>ORD104368</c:v>
                </c:pt>
                <c:pt idx="4358">
                  <c:v>ORD104369</c:v>
                </c:pt>
                <c:pt idx="4359">
                  <c:v>ORD104370</c:v>
                </c:pt>
                <c:pt idx="4360">
                  <c:v>ORD104371</c:v>
                </c:pt>
                <c:pt idx="4361">
                  <c:v>ORD104372</c:v>
                </c:pt>
                <c:pt idx="4362">
                  <c:v>ORD104373</c:v>
                </c:pt>
                <c:pt idx="4363">
                  <c:v>ORD104374</c:v>
                </c:pt>
                <c:pt idx="4364">
                  <c:v>ORD104375</c:v>
                </c:pt>
                <c:pt idx="4365">
                  <c:v>ORD104376</c:v>
                </c:pt>
                <c:pt idx="4366">
                  <c:v>ORD104377</c:v>
                </c:pt>
                <c:pt idx="4367">
                  <c:v>ORD104378</c:v>
                </c:pt>
                <c:pt idx="4368">
                  <c:v>ORD104379</c:v>
                </c:pt>
                <c:pt idx="4369">
                  <c:v>ORD104380</c:v>
                </c:pt>
                <c:pt idx="4370">
                  <c:v>ORD104381</c:v>
                </c:pt>
                <c:pt idx="4371">
                  <c:v>ORD104382</c:v>
                </c:pt>
                <c:pt idx="4372">
                  <c:v>ORD104383</c:v>
                </c:pt>
                <c:pt idx="4373">
                  <c:v>ORD104384</c:v>
                </c:pt>
                <c:pt idx="4374">
                  <c:v>ORD104385</c:v>
                </c:pt>
                <c:pt idx="4375">
                  <c:v>ORD104386</c:v>
                </c:pt>
                <c:pt idx="4376">
                  <c:v>ORD104387</c:v>
                </c:pt>
                <c:pt idx="4377">
                  <c:v>ORD104388</c:v>
                </c:pt>
                <c:pt idx="4378">
                  <c:v>ORD104389</c:v>
                </c:pt>
                <c:pt idx="4379">
                  <c:v>ORD104390</c:v>
                </c:pt>
                <c:pt idx="4380">
                  <c:v>ORD104391</c:v>
                </c:pt>
                <c:pt idx="4381">
                  <c:v>ORD104392</c:v>
                </c:pt>
                <c:pt idx="4382">
                  <c:v>ORD104393</c:v>
                </c:pt>
                <c:pt idx="4383">
                  <c:v>ORD104394</c:v>
                </c:pt>
                <c:pt idx="4384">
                  <c:v>ORD104395</c:v>
                </c:pt>
                <c:pt idx="4385">
                  <c:v>ORD104396</c:v>
                </c:pt>
                <c:pt idx="4386">
                  <c:v>ORD104397</c:v>
                </c:pt>
                <c:pt idx="4387">
                  <c:v>ORD104398</c:v>
                </c:pt>
                <c:pt idx="4388">
                  <c:v>ORD104399</c:v>
                </c:pt>
                <c:pt idx="4389">
                  <c:v>ORD104400</c:v>
                </c:pt>
                <c:pt idx="4390">
                  <c:v>ORD104401</c:v>
                </c:pt>
                <c:pt idx="4391">
                  <c:v>ORD104402</c:v>
                </c:pt>
                <c:pt idx="4392">
                  <c:v>ORD104403</c:v>
                </c:pt>
                <c:pt idx="4393">
                  <c:v>ORD104404</c:v>
                </c:pt>
                <c:pt idx="4394">
                  <c:v>ORD104405</c:v>
                </c:pt>
                <c:pt idx="4395">
                  <c:v>ORD104406</c:v>
                </c:pt>
                <c:pt idx="4396">
                  <c:v>ORD104407</c:v>
                </c:pt>
                <c:pt idx="4397">
                  <c:v>ORD104408</c:v>
                </c:pt>
                <c:pt idx="4398">
                  <c:v>ORD104409</c:v>
                </c:pt>
                <c:pt idx="4399">
                  <c:v>ORD104410</c:v>
                </c:pt>
                <c:pt idx="4400">
                  <c:v>ORD104411</c:v>
                </c:pt>
                <c:pt idx="4401">
                  <c:v>ORD104412</c:v>
                </c:pt>
                <c:pt idx="4402">
                  <c:v>ORD104413</c:v>
                </c:pt>
                <c:pt idx="4403">
                  <c:v>ORD104414</c:v>
                </c:pt>
                <c:pt idx="4404">
                  <c:v>ORD104415</c:v>
                </c:pt>
                <c:pt idx="4405">
                  <c:v>ORD104416</c:v>
                </c:pt>
                <c:pt idx="4406">
                  <c:v>ORD104417</c:v>
                </c:pt>
                <c:pt idx="4407">
                  <c:v>ORD104418</c:v>
                </c:pt>
                <c:pt idx="4408">
                  <c:v>ORD104419</c:v>
                </c:pt>
                <c:pt idx="4409">
                  <c:v>ORD104420</c:v>
                </c:pt>
                <c:pt idx="4410">
                  <c:v>ORD104421</c:v>
                </c:pt>
                <c:pt idx="4411">
                  <c:v>ORD104422</c:v>
                </c:pt>
                <c:pt idx="4412">
                  <c:v>ORD104423</c:v>
                </c:pt>
                <c:pt idx="4413">
                  <c:v>ORD104424</c:v>
                </c:pt>
                <c:pt idx="4414">
                  <c:v>ORD104425</c:v>
                </c:pt>
                <c:pt idx="4415">
                  <c:v>ORD104426</c:v>
                </c:pt>
                <c:pt idx="4416">
                  <c:v>ORD104427</c:v>
                </c:pt>
                <c:pt idx="4417">
                  <c:v>ORD104428</c:v>
                </c:pt>
                <c:pt idx="4418">
                  <c:v>ORD104429</c:v>
                </c:pt>
                <c:pt idx="4419">
                  <c:v>ORD104430</c:v>
                </c:pt>
                <c:pt idx="4420">
                  <c:v>ORD104431</c:v>
                </c:pt>
                <c:pt idx="4421">
                  <c:v>ORD104432</c:v>
                </c:pt>
                <c:pt idx="4422">
                  <c:v>ORD104433</c:v>
                </c:pt>
                <c:pt idx="4423">
                  <c:v>ORD104434</c:v>
                </c:pt>
                <c:pt idx="4424">
                  <c:v>ORD104435</c:v>
                </c:pt>
                <c:pt idx="4425">
                  <c:v>ORD104436</c:v>
                </c:pt>
                <c:pt idx="4426">
                  <c:v>ORD104437</c:v>
                </c:pt>
                <c:pt idx="4427">
                  <c:v>ORD104438</c:v>
                </c:pt>
                <c:pt idx="4428">
                  <c:v>ORD104439</c:v>
                </c:pt>
                <c:pt idx="4429">
                  <c:v>ORD104440</c:v>
                </c:pt>
                <c:pt idx="4430">
                  <c:v>ORD104441</c:v>
                </c:pt>
                <c:pt idx="4431">
                  <c:v>ORD104442</c:v>
                </c:pt>
                <c:pt idx="4432">
                  <c:v>ORD104443</c:v>
                </c:pt>
                <c:pt idx="4433">
                  <c:v>ORD104444</c:v>
                </c:pt>
                <c:pt idx="4434">
                  <c:v>ORD104445</c:v>
                </c:pt>
                <c:pt idx="4435">
                  <c:v>ORD104446</c:v>
                </c:pt>
                <c:pt idx="4436">
                  <c:v>ORD104447</c:v>
                </c:pt>
                <c:pt idx="4437">
                  <c:v>ORD104448</c:v>
                </c:pt>
                <c:pt idx="4438">
                  <c:v>ORD104449</c:v>
                </c:pt>
                <c:pt idx="4439">
                  <c:v>ORD104450</c:v>
                </c:pt>
                <c:pt idx="4440">
                  <c:v>ORD104451</c:v>
                </c:pt>
                <c:pt idx="4441">
                  <c:v>ORD104452</c:v>
                </c:pt>
                <c:pt idx="4442">
                  <c:v>ORD104453</c:v>
                </c:pt>
                <c:pt idx="4443">
                  <c:v>ORD104454</c:v>
                </c:pt>
                <c:pt idx="4444">
                  <c:v>ORD104455</c:v>
                </c:pt>
                <c:pt idx="4445">
                  <c:v>ORD104456</c:v>
                </c:pt>
                <c:pt idx="4446">
                  <c:v>ORD104457</c:v>
                </c:pt>
                <c:pt idx="4447">
                  <c:v>ORD104458</c:v>
                </c:pt>
                <c:pt idx="4448">
                  <c:v>ORD104459</c:v>
                </c:pt>
                <c:pt idx="4449">
                  <c:v>ORD104460</c:v>
                </c:pt>
                <c:pt idx="4450">
                  <c:v>ORD104461</c:v>
                </c:pt>
                <c:pt idx="4451">
                  <c:v>ORD104462</c:v>
                </c:pt>
                <c:pt idx="4452">
                  <c:v>ORD104463</c:v>
                </c:pt>
                <c:pt idx="4453">
                  <c:v>ORD104464</c:v>
                </c:pt>
                <c:pt idx="4454">
                  <c:v>ORD104465</c:v>
                </c:pt>
                <c:pt idx="4455">
                  <c:v>ORD104466</c:v>
                </c:pt>
                <c:pt idx="4456">
                  <c:v>ORD104467</c:v>
                </c:pt>
                <c:pt idx="4457">
                  <c:v>ORD104468</c:v>
                </c:pt>
                <c:pt idx="4458">
                  <c:v>ORD104469</c:v>
                </c:pt>
                <c:pt idx="4459">
                  <c:v>ORD104470</c:v>
                </c:pt>
                <c:pt idx="4460">
                  <c:v>ORD104471</c:v>
                </c:pt>
                <c:pt idx="4461">
                  <c:v>ORD104472</c:v>
                </c:pt>
                <c:pt idx="4462">
                  <c:v>ORD104473</c:v>
                </c:pt>
                <c:pt idx="4463">
                  <c:v>ORD104474</c:v>
                </c:pt>
                <c:pt idx="4464">
                  <c:v>ORD104475</c:v>
                </c:pt>
                <c:pt idx="4465">
                  <c:v>ORD104476</c:v>
                </c:pt>
                <c:pt idx="4466">
                  <c:v>ORD104477</c:v>
                </c:pt>
                <c:pt idx="4467">
                  <c:v>ORD104478</c:v>
                </c:pt>
                <c:pt idx="4468">
                  <c:v>ORD104479</c:v>
                </c:pt>
                <c:pt idx="4469">
                  <c:v>ORD104480</c:v>
                </c:pt>
                <c:pt idx="4470">
                  <c:v>ORD104481</c:v>
                </c:pt>
                <c:pt idx="4471">
                  <c:v>ORD104482</c:v>
                </c:pt>
                <c:pt idx="4472">
                  <c:v>ORD104483</c:v>
                </c:pt>
                <c:pt idx="4473">
                  <c:v>ORD104484</c:v>
                </c:pt>
                <c:pt idx="4474">
                  <c:v>ORD104485</c:v>
                </c:pt>
                <c:pt idx="4475">
                  <c:v>ORD104486</c:v>
                </c:pt>
                <c:pt idx="4476">
                  <c:v>ORD104487</c:v>
                </c:pt>
                <c:pt idx="4477">
                  <c:v>ORD104488</c:v>
                </c:pt>
                <c:pt idx="4478">
                  <c:v>ORD104489</c:v>
                </c:pt>
                <c:pt idx="4479">
                  <c:v>ORD104490</c:v>
                </c:pt>
                <c:pt idx="4480">
                  <c:v>ORD104491</c:v>
                </c:pt>
                <c:pt idx="4481">
                  <c:v>ORD104492</c:v>
                </c:pt>
                <c:pt idx="4482">
                  <c:v>ORD104493</c:v>
                </c:pt>
                <c:pt idx="4483">
                  <c:v>ORD104494</c:v>
                </c:pt>
                <c:pt idx="4484">
                  <c:v>ORD104495</c:v>
                </c:pt>
                <c:pt idx="4485">
                  <c:v>ORD104496</c:v>
                </c:pt>
                <c:pt idx="4486">
                  <c:v>ORD104497</c:v>
                </c:pt>
                <c:pt idx="4487">
                  <c:v>ORD104498</c:v>
                </c:pt>
                <c:pt idx="4488">
                  <c:v>ORD104499</c:v>
                </c:pt>
                <c:pt idx="4489">
                  <c:v>ORD104500</c:v>
                </c:pt>
                <c:pt idx="4490">
                  <c:v>ORD104501</c:v>
                </c:pt>
                <c:pt idx="4491">
                  <c:v>ORD104502</c:v>
                </c:pt>
                <c:pt idx="4492">
                  <c:v>ORD104503</c:v>
                </c:pt>
                <c:pt idx="4493">
                  <c:v>ORD104504</c:v>
                </c:pt>
                <c:pt idx="4494">
                  <c:v>ORD104505</c:v>
                </c:pt>
                <c:pt idx="4495">
                  <c:v>ORD104506</c:v>
                </c:pt>
                <c:pt idx="4496">
                  <c:v>ORD104507</c:v>
                </c:pt>
                <c:pt idx="4497">
                  <c:v>ORD104508</c:v>
                </c:pt>
                <c:pt idx="4498">
                  <c:v>ORD104509</c:v>
                </c:pt>
                <c:pt idx="4499">
                  <c:v>ORD104510</c:v>
                </c:pt>
                <c:pt idx="4500">
                  <c:v>ORD104511</c:v>
                </c:pt>
                <c:pt idx="4501">
                  <c:v>ORD104512</c:v>
                </c:pt>
                <c:pt idx="4502">
                  <c:v>ORD104513</c:v>
                </c:pt>
                <c:pt idx="4503">
                  <c:v>ORD104514</c:v>
                </c:pt>
                <c:pt idx="4504">
                  <c:v>ORD104515</c:v>
                </c:pt>
                <c:pt idx="4505">
                  <c:v>ORD104516</c:v>
                </c:pt>
                <c:pt idx="4506">
                  <c:v>ORD104517</c:v>
                </c:pt>
                <c:pt idx="4507">
                  <c:v>ORD104518</c:v>
                </c:pt>
                <c:pt idx="4508">
                  <c:v>ORD104519</c:v>
                </c:pt>
                <c:pt idx="4509">
                  <c:v>ORD104520</c:v>
                </c:pt>
                <c:pt idx="4510">
                  <c:v>ORD104521</c:v>
                </c:pt>
                <c:pt idx="4511">
                  <c:v>ORD104522</c:v>
                </c:pt>
                <c:pt idx="4512">
                  <c:v>ORD104523</c:v>
                </c:pt>
                <c:pt idx="4513">
                  <c:v>ORD104524</c:v>
                </c:pt>
                <c:pt idx="4514">
                  <c:v>ORD104525</c:v>
                </c:pt>
                <c:pt idx="4515">
                  <c:v>ORD104526</c:v>
                </c:pt>
                <c:pt idx="4516">
                  <c:v>ORD104527</c:v>
                </c:pt>
                <c:pt idx="4517">
                  <c:v>ORD104528</c:v>
                </c:pt>
                <c:pt idx="4518">
                  <c:v>ORD104529</c:v>
                </c:pt>
                <c:pt idx="4519">
                  <c:v>ORD104530</c:v>
                </c:pt>
                <c:pt idx="4520">
                  <c:v>ORD104532</c:v>
                </c:pt>
                <c:pt idx="4521">
                  <c:v>ORD104533</c:v>
                </c:pt>
                <c:pt idx="4522">
                  <c:v>ORD104534</c:v>
                </c:pt>
                <c:pt idx="4523">
                  <c:v>ORD104535</c:v>
                </c:pt>
                <c:pt idx="4524">
                  <c:v>ORD104536</c:v>
                </c:pt>
                <c:pt idx="4525">
                  <c:v>ORD104537</c:v>
                </c:pt>
                <c:pt idx="4526">
                  <c:v>ORD104538</c:v>
                </c:pt>
                <c:pt idx="4527">
                  <c:v>ORD104539</c:v>
                </c:pt>
                <c:pt idx="4528">
                  <c:v>ORD104540</c:v>
                </c:pt>
                <c:pt idx="4529">
                  <c:v>ORD104541</c:v>
                </c:pt>
                <c:pt idx="4530">
                  <c:v>ORD104542</c:v>
                </c:pt>
                <c:pt idx="4531">
                  <c:v>ORD104543</c:v>
                </c:pt>
                <c:pt idx="4532">
                  <c:v>ORD104544</c:v>
                </c:pt>
                <c:pt idx="4533">
                  <c:v>ORD104545</c:v>
                </c:pt>
                <c:pt idx="4534">
                  <c:v>ORD104546</c:v>
                </c:pt>
                <c:pt idx="4535">
                  <c:v>ORD104547</c:v>
                </c:pt>
                <c:pt idx="4536">
                  <c:v>ORD104548</c:v>
                </c:pt>
                <c:pt idx="4537">
                  <c:v>ORD104549</c:v>
                </c:pt>
                <c:pt idx="4538">
                  <c:v>ORD104550</c:v>
                </c:pt>
                <c:pt idx="4539">
                  <c:v>ORD104551</c:v>
                </c:pt>
                <c:pt idx="4540">
                  <c:v>ORD104552</c:v>
                </c:pt>
                <c:pt idx="4541">
                  <c:v>ORD104553</c:v>
                </c:pt>
                <c:pt idx="4542">
                  <c:v>ORD104554</c:v>
                </c:pt>
                <c:pt idx="4543">
                  <c:v>ORD104555</c:v>
                </c:pt>
                <c:pt idx="4544">
                  <c:v>ORD104556</c:v>
                </c:pt>
                <c:pt idx="4545">
                  <c:v>ORD104557</c:v>
                </c:pt>
                <c:pt idx="4546">
                  <c:v>ORD104558</c:v>
                </c:pt>
                <c:pt idx="4547">
                  <c:v>ORD104559</c:v>
                </c:pt>
                <c:pt idx="4548">
                  <c:v>ORD104560</c:v>
                </c:pt>
                <c:pt idx="4549">
                  <c:v>ORD104561</c:v>
                </c:pt>
                <c:pt idx="4550">
                  <c:v>ORD104562</c:v>
                </c:pt>
                <c:pt idx="4551">
                  <c:v>ORD104563</c:v>
                </c:pt>
                <c:pt idx="4552">
                  <c:v>ORD104564</c:v>
                </c:pt>
                <c:pt idx="4553">
                  <c:v>ORD104565</c:v>
                </c:pt>
                <c:pt idx="4554">
                  <c:v>ORD104566</c:v>
                </c:pt>
                <c:pt idx="4555">
                  <c:v>ORD104567</c:v>
                </c:pt>
                <c:pt idx="4556">
                  <c:v>ORD104568</c:v>
                </c:pt>
                <c:pt idx="4557">
                  <c:v>ORD104569</c:v>
                </c:pt>
                <c:pt idx="4558">
                  <c:v>ORD104570</c:v>
                </c:pt>
                <c:pt idx="4559">
                  <c:v>ORD104571</c:v>
                </c:pt>
                <c:pt idx="4560">
                  <c:v>ORD104572</c:v>
                </c:pt>
                <c:pt idx="4561">
                  <c:v>ORD104573</c:v>
                </c:pt>
                <c:pt idx="4562">
                  <c:v>ORD104574</c:v>
                </c:pt>
                <c:pt idx="4563">
                  <c:v>ORD104575</c:v>
                </c:pt>
                <c:pt idx="4564">
                  <c:v>ORD104576</c:v>
                </c:pt>
                <c:pt idx="4565">
                  <c:v>ORD104577</c:v>
                </c:pt>
                <c:pt idx="4566">
                  <c:v>ORD104578</c:v>
                </c:pt>
                <c:pt idx="4567">
                  <c:v>ORD104579</c:v>
                </c:pt>
                <c:pt idx="4568">
                  <c:v>ORD104580</c:v>
                </c:pt>
                <c:pt idx="4569">
                  <c:v>ORD104581</c:v>
                </c:pt>
                <c:pt idx="4570">
                  <c:v>ORD104582</c:v>
                </c:pt>
                <c:pt idx="4571">
                  <c:v>ORD104583</c:v>
                </c:pt>
                <c:pt idx="4572">
                  <c:v>ORD104584</c:v>
                </c:pt>
                <c:pt idx="4573">
                  <c:v>ORD104585</c:v>
                </c:pt>
                <c:pt idx="4574">
                  <c:v>ORD104586</c:v>
                </c:pt>
                <c:pt idx="4575">
                  <c:v>ORD104587</c:v>
                </c:pt>
                <c:pt idx="4576">
                  <c:v>ORD104588</c:v>
                </c:pt>
                <c:pt idx="4577">
                  <c:v>ORD104589</c:v>
                </c:pt>
                <c:pt idx="4578">
                  <c:v>ORD104590</c:v>
                </c:pt>
                <c:pt idx="4579">
                  <c:v>ORD104591</c:v>
                </c:pt>
                <c:pt idx="4580">
                  <c:v>ORD104592</c:v>
                </c:pt>
                <c:pt idx="4581">
                  <c:v>ORD104593</c:v>
                </c:pt>
                <c:pt idx="4582">
                  <c:v>ORD104594</c:v>
                </c:pt>
                <c:pt idx="4583">
                  <c:v>ORD104595</c:v>
                </c:pt>
                <c:pt idx="4584">
                  <c:v>ORD104596</c:v>
                </c:pt>
                <c:pt idx="4585">
                  <c:v>ORD104597</c:v>
                </c:pt>
                <c:pt idx="4586">
                  <c:v>ORD104598</c:v>
                </c:pt>
                <c:pt idx="4587">
                  <c:v>ORD104599</c:v>
                </c:pt>
                <c:pt idx="4588">
                  <c:v>ORD104600</c:v>
                </c:pt>
                <c:pt idx="4589">
                  <c:v>ORD104601</c:v>
                </c:pt>
                <c:pt idx="4590">
                  <c:v>ORD104602</c:v>
                </c:pt>
                <c:pt idx="4591">
                  <c:v>ORD104603</c:v>
                </c:pt>
                <c:pt idx="4592">
                  <c:v>ORD104604</c:v>
                </c:pt>
                <c:pt idx="4593">
                  <c:v>ORD104605</c:v>
                </c:pt>
                <c:pt idx="4594">
                  <c:v>ORD104606</c:v>
                </c:pt>
                <c:pt idx="4595">
                  <c:v>ORD104607</c:v>
                </c:pt>
                <c:pt idx="4596">
                  <c:v>ORD104608</c:v>
                </c:pt>
                <c:pt idx="4597">
                  <c:v>ORD104609</c:v>
                </c:pt>
                <c:pt idx="4598">
                  <c:v>ORD104610</c:v>
                </c:pt>
                <c:pt idx="4599">
                  <c:v>ORD104611</c:v>
                </c:pt>
                <c:pt idx="4600">
                  <c:v>ORD104612</c:v>
                </c:pt>
                <c:pt idx="4601">
                  <c:v>ORD104613</c:v>
                </c:pt>
                <c:pt idx="4602">
                  <c:v>ORD104614</c:v>
                </c:pt>
                <c:pt idx="4603">
                  <c:v>ORD104615</c:v>
                </c:pt>
                <c:pt idx="4604">
                  <c:v>ORD104616</c:v>
                </c:pt>
                <c:pt idx="4605">
                  <c:v>ORD104617</c:v>
                </c:pt>
                <c:pt idx="4606">
                  <c:v>ORD104618</c:v>
                </c:pt>
                <c:pt idx="4607">
                  <c:v>ORD104619</c:v>
                </c:pt>
                <c:pt idx="4608">
                  <c:v>ORD104620</c:v>
                </c:pt>
                <c:pt idx="4609">
                  <c:v>ORD104621</c:v>
                </c:pt>
                <c:pt idx="4610">
                  <c:v>ORD104622</c:v>
                </c:pt>
                <c:pt idx="4611">
                  <c:v>ORD104623</c:v>
                </c:pt>
                <c:pt idx="4612">
                  <c:v>ORD104624</c:v>
                </c:pt>
                <c:pt idx="4613">
                  <c:v>ORD104625</c:v>
                </c:pt>
                <c:pt idx="4614">
                  <c:v>ORD104626</c:v>
                </c:pt>
                <c:pt idx="4615">
                  <c:v>ORD104627</c:v>
                </c:pt>
                <c:pt idx="4616">
                  <c:v>ORD104628</c:v>
                </c:pt>
                <c:pt idx="4617">
                  <c:v>ORD104629</c:v>
                </c:pt>
                <c:pt idx="4618">
                  <c:v>ORD104630</c:v>
                </c:pt>
                <c:pt idx="4619">
                  <c:v>ORD104631</c:v>
                </c:pt>
                <c:pt idx="4620">
                  <c:v>ORD104632</c:v>
                </c:pt>
                <c:pt idx="4621">
                  <c:v>ORD104633</c:v>
                </c:pt>
                <c:pt idx="4622">
                  <c:v>ORD104634</c:v>
                </c:pt>
                <c:pt idx="4623">
                  <c:v>ORD104635</c:v>
                </c:pt>
                <c:pt idx="4624">
                  <c:v>ORD104636</c:v>
                </c:pt>
                <c:pt idx="4625">
                  <c:v>ORD104637</c:v>
                </c:pt>
                <c:pt idx="4626">
                  <c:v>ORD104638</c:v>
                </c:pt>
                <c:pt idx="4627">
                  <c:v>ORD104639</c:v>
                </c:pt>
                <c:pt idx="4628">
                  <c:v>ORD104640</c:v>
                </c:pt>
                <c:pt idx="4629">
                  <c:v>ORD104641</c:v>
                </c:pt>
                <c:pt idx="4630">
                  <c:v>ORD104642</c:v>
                </c:pt>
                <c:pt idx="4631">
                  <c:v>ORD104643</c:v>
                </c:pt>
                <c:pt idx="4632">
                  <c:v>ORD104644</c:v>
                </c:pt>
                <c:pt idx="4633">
                  <c:v>ORD104645</c:v>
                </c:pt>
                <c:pt idx="4634">
                  <c:v>ORD104646</c:v>
                </c:pt>
                <c:pt idx="4635">
                  <c:v>ORD104647</c:v>
                </c:pt>
                <c:pt idx="4636">
                  <c:v>ORD104648</c:v>
                </c:pt>
                <c:pt idx="4637">
                  <c:v>ORD104649</c:v>
                </c:pt>
                <c:pt idx="4638">
                  <c:v>ORD104650</c:v>
                </c:pt>
                <c:pt idx="4639">
                  <c:v>ORD104651</c:v>
                </c:pt>
                <c:pt idx="4640">
                  <c:v>ORD104652</c:v>
                </c:pt>
                <c:pt idx="4641">
                  <c:v>ORD104653</c:v>
                </c:pt>
                <c:pt idx="4642">
                  <c:v>ORD104654</c:v>
                </c:pt>
                <c:pt idx="4643">
                  <c:v>ORD104655</c:v>
                </c:pt>
                <c:pt idx="4644">
                  <c:v>ORD104656</c:v>
                </c:pt>
                <c:pt idx="4645">
                  <c:v>ORD104657</c:v>
                </c:pt>
                <c:pt idx="4646">
                  <c:v>ORD104658</c:v>
                </c:pt>
                <c:pt idx="4647">
                  <c:v>ORD104659</c:v>
                </c:pt>
                <c:pt idx="4648">
                  <c:v>ORD104660</c:v>
                </c:pt>
                <c:pt idx="4649">
                  <c:v>ORD104661</c:v>
                </c:pt>
                <c:pt idx="4650">
                  <c:v>ORD104662</c:v>
                </c:pt>
                <c:pt idx="4651">
                  <c:v>ORD104663</c:v>
                </c:pt>
                <c:pt idx="4652">
                  <c:v>ORD104664</c:v>
                </c:pt>
                <c:pt idx="4653">
                  <c:v>ORD104665</c:v>
                </c:pt>
                <c:pt idx="4654">
                  <c:v>ORD104666</c:v>
                </c:pt>
                <c:pt idx="4655">
                  <c:v>ORD104667</c:v>
                </c:pt>
                <c:pt idx="4656">
                  <c:v>ORD104668</c:v>
                </c:pt>
                <c:pt idx="4657">
                  <c:v>ORD104669</c:v>
                </c:pt>
                <c:pt idx="4658">
                  <c:v>ORD104670</c:v>
                </c:pt>
                <c:pt idx="4659">
                  <c:v>ORD104671</c:v>
                </c:pt>
                <c:pt idx="4660">
                  <c:v>ORD104672</c:v>
                </c:pt>
                <c:pt idx="4661">
                  <c:v>ORD104673</c:v>
                </c:pt>
                <c:pt idx="4662">
                  <c:v>ORD104674</c:v>
                </c:pt>
                <c:pt idx="4663">
                  <c:v>ORD104675</c:v>
                </c:pt>
                <c:pt idx="4664">
                  <c:v>ORD104676</c:v>
                </c:pt>
                <c:pt idx="4665">
                  <c:v>ORD104677</c:v>
                </c:pt>
                <c:pt idx="4666">
                  <c:v>ORD104678</c:v>
                </c:pt>
                <c:pt idx="4667">
                  <c:v>ORD104679</c:v>
                </c:pt>
                <c:pt idx="4668">
                  <c:v>ORD104680</c:v>
                </c:pt>
                <c:pt idx="4669">
                  <c:v>ORD104681</c:v>
                </c:pt>
                <c:pt idx="4670">
                  <c:v>ORD104682</c:v>
                </c:pt>
                <c:pt idx="4671">
                  <c:v>ORD104683</c:v>
                </c:pt>
                <c:pt idx="4672">
                  <c:v>ORD104684</c:v>
                </c:pt>
                <c:pt idx="4673">
                  <c:v>ORD104685</c:v>
                </c:pt>
                <c:pt idx="4674">
                  <c:v>ORD104686</c:v>
                </c:pt>
                <c:pt idx="4675">
                  <c:v>ORD104687</c:v>
                </c:pt>
                <c:pt idx="4676">
                  <c:v>ORD104688</c:v>
                </c:pt>
                <c:pt idx="4677">
                  <c:v>ORD104689</c:v>
                </c:pt>
                <c:pt idx="4678">
                  <c:v>ORD104690</c:v>
                </c:pt>
                <c:pt idx="4679">
                  <c:v>ORD104691</c:v>
                </c:pt>
                <c:pt idx="4680">
                  <c:v>ORD104692</c:v>
                </c:pt>
                <c:pt idx="4681">
                  <c:v>ORD104693</c:v>
                </c:pt>
                <c:pt idx="4682">
                  <c:v>ORD104694</c:v>
                </c:pt>
                <c:pt idx="4683">
                  <c:v>ORD104695</c:v>
                </c:pt>
                <c:pt idx="4684">
                  <c:v>ORD104696</c:v>
                </c:pt>
                <c:pt idx="4685">
                  <c:v>ORD104697</c:v>
                </c:pt>
                <c:pt idx="4686">
                  <c:v>ORD104698</c:v>
                </c:pt>
                <c:pt idx="4687">
                  <c:v>ORD104699</c:v>
                </c:pt>
                <c:pt idx="4688">
                  <c:v>ORD104700</c:v>
                </c:pt>
                <c:pt idx="4689">
                  <c:v>ORD104701</c:v>
                </c:pt>
                <c:pt idx="4690">
                  <c:v>ORD104702</c:v>
                </c:pt>
                <c:pt idx="4691">
                  <c:v>ORD104703</c:v>
                </c:pt>
                <c:pt idx="4692">
                  <c:v>ORD104704</c:v>
                </c:pt>
                <c:pt idx="4693">
                  <c:v>ORD104705</c:v>
                </c:pt>
                <c:pt idx="4694">
                  <c:v>ORD104706</c:v>
                </c:pt>
                <c:pt idx="4695">
                  <c:v>ORD104707</c:v>
                </c:pt>
                <c:pt idx="4696">
                  <c:v>ORD104708</c:v>
                </c:pt>
                <c:pt idx="4697">
                  <c:v>ORD104709</c:v>
                </c:pt>
                <c:pt idx="4698">
                  <c:v>ORD104710</c:v>
                </c:pt>
                <c:pt idx="4699">
                  <c:v>ORD104711</c:v>
                </c:pt>
                <c:pt idx="4700">
                  <c:v>ORD104712</c:v>
                </c:pt>
                <c:pt idx="4701">
                  <c:v>ORD104713</c:v>
                </c:pt>
                <c:pt idx="4702">
                  <c:v>ORD104714</c:v>
                </c:pt>
                <c:pt idx="4703">
                  <c:v>ORD104715</c:v>
                </c:pt>
                <c:pt idx="4704">
                  <c:v>ORD104716</c:v>
                </c:pt>
                <c:pt idx="4705">
                  <c:v>ORD104717</c:v>
                </c:pt>
                <c:pt idx="4706">
                  <c:v>ORD104718</c:v>
                </c:pt>
                <c:pt idx="4707">
                  <c:v>ORD104719</c:v>
                </c:pt>
                <c:pt idx="4708">
                  <c:v>ORD104720</c:v>
                </c:pt>
                <c:pt idx="4709">
                  <c:v>ORD104721</c:v>
                </c:pt>
                <c:pt idx="4710">
                  <c:v>ORD104722</c:v>
                </c:pt>
                <c:pt idx="4711">
                  <c:v>ORD104723</c:v>
                </c:pt>
                <c:pt idx="4712">
                  <c:v>ORD104724</c:v>
                </c:pt>
                <c:pt idx="4713">
                  <c:v>ORD104725</c:v>
                </c:pt>
                <c:pt idx="4714">
                  <c:v>ORD104726</c:v>
                </c:pt>
                <c:pt idx="4715">
                  <c:v>ORD104727</c:v>
                </c:pt>
                <c:pt idx="4716">
                  <c:v>ORD104728</c:v>
                </c:pt>
                <c:pt idx="4717">
                  <c:v>ORD104729</c:v>
                </c:pt>
                <c:pt idx="4718">
                  <c:v>ORD104730</c:v>
                </c:pt>
                <c:pt idx="4719">
                  <c:v>ORD104731</c:v>
                </c:pt>
                <c:pt idx="4720">
                  <c:v>ORD104732</c:v>
                </c:pt>
                <c:pt idx="4721">
                  <c:v>ORD104733</c:v>
                </c:pt>
                <c:pt idx="4722">
                  <c:v>ORD104734</c:v>
                </c:pt>
                <c:pt idx="4723">
                  <c:v>ORD104735</c:v>
                </c:pt>
                <c:pt idx="4724">
                  <c:v>ORD104736</c:v>
                </c:pt>
                <c:pt idx="4725">
                  <c:v>ORD104737</c:v>
                </c:pt>
                <c:pt idx="4726">
                  <c:v>ORD104738</c:v>
                </c:pt>
                <c:pt idx="4727">
                  <c:v>ORD104739</c:v>
                </c:pt>
                <c:pt idx="4728">
                  <c:v>ORD104740</c:v>
                </c:pt>
                <c:pt idx="4729">
                  <c:v>ORD104741</c:v>
                </c:pt>
                <c:pt idx="4730">
                  <c:v>ORD104742</c:v>
                </c:pt>
                <c:pt idx="4731">
                  <c:v>ORD104743</c:v>
                </c:pt>
                <c:pt idx="4732">
                  <c:v>ORD104744</c:v>
                </c:pt>
                <c:pt idx="4733">
                  <c:v>ORD104745</c:v>
                </c:pt>
                <c:pt idx="4734">
                  <c:v>ORD104746</c:v>
                </c:pt>
                <c:pt idx="4735">
                  <c:v>ORD104747</c:v>
                </c:pt>
                <c:pt idx="4736">
                  <c:v>ORD104748</c:v>
                </c:pt>
                <c:pt idx="4737">
                  <c:v>ORD104749</c:v>
                </c:pt>
                <c:pt idx="4738">
                  <c:v>ORD104750</c:v>
                </c:pt>
                <c:pt idx="4739">
                  <c:v>ORD104751</c:v>
                </c:pt>
                <c:pt idx="4740">
                  <c:v>ORD104752</c:v>
                </c:pt>
                <c:pt idx="4741">
                  <c:v>ORD104753</c:v>
                </c:pt>
                <c:pt idx="4742">
                  <c:v>ORD104754</c:v>
                </c:pt>
                <c:pt idx="4743">
                  <c:v>ORD104755</c:v>
                </c:pt>
                <c:pt idx="4744">
                  <c:v>ORD104756</c:v>
                </c:pt>
                <c:pt idx="4745">
                  <c:v>ORD104757</c:v>
                </c:pt>
                <c:pt idx="4746">
                  <c:v>ORD104758</c:v>
                </c:pt>
                <c:pt idx="4747">
                  <c:v>ORD104759</c:v>
                </c:pt>
                <c:pt idx="4748">
                  <c:v>ORD104760</c:v>
                </c:pt>
                <c:pt idx="4749">
                  <c:v>ORD104761</c:v>
                </c:pt>
                <c:pt idx="4750">
                  <c:v>ORD104762</c:v>
                </c:pt>
                <c:pt idx="4751">
                  <c:v>ORD104763</c:v>
                </c:pt>
                <c:pt idx="4752">
                  <c:v>ORD104764</c:v>
                </c:pt>
                <c:pt idx="4753">
                  <c:v>ORD104765</c:v>
                </c:pt>
                <c:pt idx="4754">
                  <c:v>ORD104766</c:v>
                </c:pt>
                <c:pt idx="4755">
                  <c:v>ORD104767</c:v>
                </c:pt>
                <c:pt idx="4756">
                  <c:v>ORD104768</c:v>
                </c:pt>
                <c:pt idx="4757">
                  <c:v>ORD104769</c:v>
                </c:pt>
                <c:pt idx="4758">
                  <c:v>ORD104770</c:v>
                </c:pt>
                <c:pt idx="4759">
                  <c:v>ORD104771</c:v>
                </c:pt>
                <c:pt idx="4760">
                  <c:v>ORD104772</c:v>
                </c:pt>
                <c:pt idx="4761">
                  <c:v>ORD104773</c:v>
                </c:pt>
                <c:pt idx="4762">
                  <c:v>ORD104774</c:v>
                </c:pt>
                <c:pt idx="4763">
                  <c:v>ORD104775</c:v>
                </c:pt>
                <c:pt idx="4764">
                  <c:v>ORD104776</c:v>
                </c:pt>
                <c:pt idx="4765">
                  <c:v>ORD104777</c:v>
                </c:pt>
                <c:pt idx="4766">
                  <c:v>ORD104778</c:v>
                </c:pt>
                <c:pt idx="4767">
                  <c:v>ORD104779</c:v>
                </c:pt>
                <c:pt idx="4768">
                  <c:v>ORD104780</c:v>
                </c:pt>
                <c:pt idx="4769">
                  <c:v>ORD104781</c:v>
                </c:pt>
                <c:pt idx="4770">
                  <c:v>ORD104782</c:v>
                </c:pt>
                <c:pt idx="4771">
                  <c:v>ORD104783</c:v>
                </c:pt>
                <c:pt idx="4772">
                  <c:v>ORD104784</c:v>
                </c:pt>
                <c:pt idx="4773">
                  <c:v>ORD104785</c:v>
                </c:pt>
                <c:pt idx="4774">
                  <c:v>ORD104786</c:v>
                </c:pt>
                <c:pt idx="4775">
                  <c:v>ORD104787</c:v>
                </c:pt>
                <c:pt idx="4776">
                  <c:v>ORD104788</c:v>
                </c:pt>
                <c:pt idx="4777">
                  <c:v>ORD104789</c:v>
                </c:pt>
                <c:pt idx="4778">
                  <c:v>ORD104790</c:v>
                </c:pt>
                <c:pt idx="4779">
                  <c:v>ORD104791</c:v>
                </c:pt>
                <c:pt idx="4780">
                  <c:v>ORD104792</c:v>
                </c:pt>
                <c:pt idx="4781">
                  <c:v>ORD104793</c:v>
                </c:pt>
                <c:pt idx="4782">
                  <c:v>ORD104794</c:v>
                </c:pt>
                <c:pt idx="4783">
                  <c:v>ORD104795</c:v>
                </c:pt>
                <c:pt idx="4784">
                  <c:v>ORD104796</c:v>
                </c:pt>
                <c:pt idx="4785">
                  <c:v>ORD104797</c:v>
                </c:pt>
                <c:pt idx="4786">
                  <c:v>ORD104798</c:v>
                </c:pt>
                <c:pt idx="4787">
                  <c:v>ORD104799</c:v>
                </c:pt>
                <c:pt idx="4788">
                  <c:v>ORD104800</c:v>
                </c:pt>
                <c:pt idx="4789">
                  <c:v>ORD104801</c:v>
                </c:pt>
                <c:pt idx="4790">
                  <c:v>ORD104802</c:v>
                </c:pt>
                <c:pt idx="4791">
                  <c:v>ORD104803</c:v>
                </c:pt>
                <c:pt idx="4792">
                  <c:v>ORD104804</c:v>
                </c:pt>
                <c:pt idx="4793">
                  <c:v>ORD104805</c:v>
                </c:pt>
                <c:pt idx="4794">
                  <c:v>ORD104806</c:v>
                </c:pt>
                <c:pt idx="4795">
                  <c:v>ORD104807</c:v>
                </c:pt>
                <c:pt idx="4796">
                  <c:v>ORD104808</c:v>
                </c:pt>
                <c:pt idx="4797">
                  <c:v>ORD104809</c:v>
                </c:pt>
                <c:pt idx="4798">
                  <c:v>ORD104810</c:v>
                </c:pt>
                <c:pt idx="4799">
                  <c:v>ORD104811</c:v>
                </c:pt>
                <c:pt idx="4800">
                  <c:v>ORD104812</c:v>
                </c:pt>
                <c:pt idx="4801">
                  <c:v>ORD104813</c:v>
                </c:pt>
                <c:pt idx="4802">
                  <c:v>ORD104814</c:v>
                </c:pt>
                <c:pt idx="4803">
                  <c:v>ORD104815</c:v>
                </c:pt>
                <c:pt idx="4804">
                  <c:v>ORD104816</c:v>
                </c:pt>
                <c:pt idx="4805">
                  <c:v>ORD104817</c:v>
                </c:pt>
                <c:pt idx="4806">
                  <c:v>ORD104818</c:v>
                </c:pt>
                <c:pt idx="4807">
                  <c:v>ORD104819</c:v>
                </c:pt>
                <c:pt idx="4808">
                  <c:v>ORD104820</c:v>
                </c:pt>
                <c:pt idx="4809">
                  <c:v>ORD104821</c:v>
                </c:pt>
                <c:pt idx="4810">
                  <c:v>ORD104822</c:v>
                </c:pt>
                <c:pt idx="4811">
                  <c:v>ORD104823</c:v>
                </c:pt>
                <c:pt idx="4812">
                  <c:v>ORD104824</c:v>
                </c:pt>
                <c:pt idx="4813">
                  <c:v>ORD104825</c:v>
                </c:pt>
                <c:pt idx="4814">
                  <c:v>ORD104826</c:v>
                </c:pt>
                <c:pt idx="4815">
                  <c:v>ORD104827</c:v>
                </c:pt>
                <c:pt idx="4816">
                  <c:v>ORD104828</c:v>
                </c:pt>
                <c:pt idx="4817">
                  <c:v>ORD104829</c:v>
                </c:pt>
                <c:pt idx="4818">
                  <c:v>ORD104830</c:v>
                </c:pt>
                <c:pt idx="4819">
                  <c:v>ORD104831</c:v>
                </c:pt>
                <c:pt idx="4820">
                  <c:v>ORD104832</c:v>
                </c:pt>
                <c:pt idx="4821">
                  <c:v>ORD104833</c:v>
                </c:pt>
                <c:pt idx="4822">
                  <c:v>ORD104834</c:v>
                </c:pt>
                <c:pt idx="4823">
                  <c:v>ORD104835</c:v>
                </c:pt>
                <c:pt idx="4824">
                  <c:v>ORD104836</c:v>
                </c:pt>
                <c:pt idx="4825">
                  <c:v>ORD104837</c:v>
                </c:pt>
                <c:pt idx="4826">
                  <c:v>ORD104838</c:v>
                </c:pt>
                <c:pt idx="4827">
                  <c:v>ORD104839</c:v>
                </c:pt>
                <c:pt idx="4828">
                  <c:v>ORD104840</c:v>
                </c:pt>
                <c:pt idx="4829">
                  <c:v>ORD104841</c:v>
                </c:pt>
                <c:pt idx="4830">
                  <c:v>ORD104842</c:v>
                </c:pt>
                <c:pt idx="4831">
                  <c:v>ORD104843</c:v>
                </c:pt>
                <c:pt idx="4832">
                  <c:v>ORD104844</c:v>
                </c:pt>
                <c:pt idx="4833">
                  <c:v>ORD104845</c:v>
                </c:pt>
                <c:pt idx="4834">
                  <c:v>ORD104846</c:v>
                </c:pt>
                <c:pt idx="4835">
                  <c:v>ORD104847</c:v>
                </c:pt>
                <c:pt idx="4836">
                  <c:v>ORD104848</c:v>
                </c:pt>
                <c:pt idx="4837">
                  <c:v>ORD104849</c:v>
                </c:pt>
                <c:pt idx="4838">
                  <c:v>ORD104850</c:v>
                </c:pt>
                <c:pt idx="4839">
                  <c:v>ORD104851</c:v>
                </c:pt>
                <c:pt idx="4840">
                  <c:v>ORD104852</c:v>
                </c:pt>
                <c:pt idx="4841">
                  <c:v>ORD104853</c:v>
                </c:pt>
                <c:pt idx="4842">
                  <c:v>ORD104854</c:v>
                </c:pt>
                <c:pt idx="4843">
                  <c:v>ORD104855</c:v>
                </c:pt>
                <c:pt idx="4844">
                  <c:v>ORD104856</c:v>
                </c:pt>
                <c:pt idx="4845">
                  <c:v>ORD104857</c:v>
                </c:pt>
                <c:pt idx="4846">
                  <c:v>ORD104858</c:v>
                </c:pt>
                <c:pt idx="4847">
                  <c:v>ORD104859</c:v>
                </c:pt>
                <c:pt idx="4848">
                  <c:v>ORD104860</c:v>
                </c:pt>
                <c:pt idx="4849">
                  <c:v>ORD104861</c:v>
                </c:pt>
                <c:pt idx="4850">
                  <c:v>ORD104862</c:v>
                </c:pt>
                <c:pt idx="4851">
                  <c:v>ORD104863</c:v>
                </c:pt>
                <c:pt idx="4852">
                  <c:v>ORD104864</c:v>
                </c:pt>
                <c:pt idx="4853">
                  <c:v>ORD104865</c:v>
                </c:pt>
                <c:pt idx="4854">
                  <c:v>ORD104866</c:v>
                </c:pt>
                <c:pt idx="4855">
                  <c:v>ORD104867</c:v>
                </c:pt>
                <c:pt idx="4856">
                  <c:v>ORD104868</c:v>
                </c:pt>
                <c:pt idx="4857">
                  <c:v>ORD104869</c:v>
                </c:pt>
                <c:pt idx="4858">
                  <c:v>ORD104870</c:v>
                </c:pt>
                <c:pt idx="4859">
                  <c:v>ORD104871</c:v>
                </c:pt>
                <c:pt idx="4860">
                  <c:v>ORD104872</c:v>
                </c:pt>
                <c:pt idx="4861">
                  <c:v>ORD104873</c:v>
                </c:pt>
                <c:pt idx="4862">
                  <c:v>ORD104874</c:v>
                </c:pt>
                <c:pt idx="4863">
                  <c:v>ORD104875</c:v>
                </c:pt>
                <c:pt idx="4864">
                  <c:v>ORD104876</c:v>
                </c:pt>
                <c:pt idx="4865">
                  <c:v>ORD104877</c:v>
                </c:pt>
                <c:pt idx="4866">
                  <c:v>ORD104878</c:v>
                </c:pt>
                <c:pt idx="4867">
                  <c:v>ORD104879</c:v>
                </c:pt>
                <c:pt idx="4868">
                  <c:v>ORD104880</c:v>
                </c:pt>
                <c:pt idx="4869">
                  <c:v>ORD104881</c:v>
                </c:pt>
                <c:pt idx="4870">
                  <c:v>ORD104882</c:v>
                </c:pt>
                <c:pt idx="4871">
                  <c:v>ORD104883</c:v>
                </c:pt>
                <c:pt idx="4872">
                  <c:v>ORD104884</c:v>
                </c:pt>
                <c:pt idx="4873">
                  <c:v>ORD104885</c:v>
                </c:pt>
                <c:pt idx="4874">
                  <c:v>ORD104886</c:v>
                </c:pt>
                <c:pt idx="4875">
                  <c:v>ORD104887</c:v>
                </c:pt>
                <c:pt idx="4876">
                  <c:v>ORD104888</c:v>
                </c:pt>
                <c:pt idx="4877">
                  <c:v>ORD104889</c:v>
                </c:pt>
                <c:pt idx="4878">
                  <c:v>ORD104890</c:v>
                </c:pt>
                <c:pt idx="4879">
                  <c:v>ORD104891</c:v>
                </c:pt>
                <c:pt idx="4880">
                  <c:v>ORD104892</c:v>
                </c:pt>
                <c:pt idx="4881">
                  <c:v>ORD104893</c:v>
                </c:pt>
                <c:pt idx="4882">
                  <c:v>ORD104894</c:v>
                </c:pt>
                <c:pt idx="4883">
                  <c:v>ORD104895</c:v>
                </c:pt>
                <c:pt idx="4884">
                  <c:v>ORD104896</c:v>
                </c:pt>
                <c:pt idx="4885">
                  <c:v>ORD104897</c:v>
                </c:pt>
                <c:pt idx="4886">
                  <c:v>ORD104898</c:v>
                </c:pt>
                <c:pt idx="4887">
                  <c:v>ORD104899</c:v>
                </c:pt>
                <c:pt idx="4888">
                  <c:v>ORD104900</c:v>
                </c:pt>
                <c:pt idx="4889">
                  <c:v>ORD104901</c:v>
                </c:pt>
                <c:pt idx="4890">
                  <c:v>ORD104902</c:v>
                </c:pt>
                <c:pt idx="4891">
                  <c:v>ORD104903</c:v>
                </c:pt>
                <c:pt idx="4892">
                  <c:v>ORD104904</c:v>
                </c:pt>
                <c:pt idx="4893">
                  <c:v>ORD104905</c:v>
                </c:pt>
                <c:pt idx="4894">
                  <c:v>ORD104906</c:v>
                </c:pt>
                <c:pt idx="4895">
                  <c:v>ORD104907</c:v>
                </c:pt>
                <c:pt idx="4896">
                  <c:v>ORD104908</c:v>
                </c:pt>
                <c:pt idx="4897">
                  <c:v>ORD104909</c:v>
                </c:pt>
                <c:pt idx="4898">
                  <c:v>ORD104910</c:v>
                </c:pt>
                <c:pt idx="4899">
                  <c:v>ORD104911</c:v>
                </c:pt>
                <c:pt idx="4900">
                  <c:v>ORD104912</c:v>
                </c:pt>
                <c:pt idx="4901">
                  <c:v>ORD104913</c:v>
                </c:pt>
                <c:pt idx="4902">
                  <c:v>ORD104914</c:v>
                </c:pt>
                <c:pt idx="4903">
                  <c:v>ORD104915</c:v>
                </c:pt>
                <c:pt idx="4904">
                  <c:v>ORD104916</c:v>
                </c:pt>
                <c:pt idx="4905">
                  <c:v>ORD104917</c:v>
                </c:pt>
                <c:pt idx="4906">
                  <c:v>ORD104918</c:v>
                </c:pt>
                <c:pt idx="4907">
                  <c:v>ORD104919</c:v>
                </c:pt>
                <c:pt idx="4908">
                  <c:v>ORD104920</c:v>
                </c:pt>
                <c:pt idx="4909">
                  <c:v>ORD104921</c:v>
                </c:pt>
                <c:pt idx="4910">
                  <c:v>ORD104922</c:v>
                </c:pt>
                <c:pt idx="4911">
                  <c:v>ORD104923</c:v>
                </c:pt>
                <c:pt idx="4912">
                  <c:v>ORD104924</c:v>
                </c:pt>
                <c:pt idx="4913">
                  <c:v>ORD104925</c:v>
                </c:pt>
                <c:pt idx="4914">
                  <c:v>ORD104926</c:v>
                </c:pt>
                <c:pt idx="4915">
                  <c:v>ORD104927</c:v>
                </c:pt>
                <c:pt idx="4916">
                  <c:v>ORD104928</c:v>
                </c:pt>
                <c:pt idx="4917">
                  <c:v>ORD104929</c:v>
                </c:pt>
                <c:pt idx="4918">
                  <c:v>ORD104930</c:v>
                </c:pt>
                <c:pt idx="4919">
                  <c:v>ORD104931</c:v>
                </c:pt>
                <c:pt idx="4920">
                  <c:v>ORD104933</c:v>
                </c:pt>
                <c:pt idx="4921">
                  <c:v>ORD104934</c:v>
                </c:pt>
                <c:pt idx="4922">
                  <c:v>ORD104935</c:v>
                </c:pt>
                <c:pt idx="4923">
                  <c:v>ORD104936</c:v>
                </c:pt>
                <c:pt idx="4924">
                  <c:v>ORD104937</c:v>
                </c:pt>
                <c:pt idx="4925">
                  <c:v>ORD104938</c:v>
                </c:pt>
                <c:pt idx="4926">
                  <c:v>ORD104939</c:v>
                </c:pt>
                <c:pt idx="4927">
                  <c:v>ORD104940</c:v>
                </c:pt>
                <c:pt idx="4928">
                  <c:v>ORD104941</c:v>
                </c:pt>
                <c:pt idx="4929">
                  <c:v>ORD104942</c:v>
                </c:pt>
                <c:pt idx="4930">
                  <c:v>ORD104943</c:v>
                </c:pt>
                <c:pt idx="4931">
                  <c:v>ORD104944</c:v>
                </c:pt>
                <c:pt idx="4932">
                  <c:v>ORD104945</c:v>
                </c:pt>
                <c:pt idx="4933">
                  <c:v>ORD104946</c:v>
                </c:pt>
                <c:pt idx="4934">
                  <c:v>ORD104947</c:v>
                </c:pt>
                <c:pt idx="4935">
                  <c:v>ORD104948</c:v>
                </c:pt>
                <c:pt idx="4936">
                  <c:v>ORD104949</c:v>
                </c:pt>
                <c:pt idx="4937">
                  <c:v>ORD104950</c:v>
                </c:pt>
                <c:pt idx="4938">
                  <c:v>ORD104951</c:v>
                </c:pt>
                <c:pt idx="4939">
                  <c:v>ORD104952</c:v>
                </c:pt>
                <c:pt idx="4940">
                  <c:v>ORD104953</c:v>
                </c:pt>
                <c:pt idx="4941">
                  <c:v>ORD104954</c:v>
                </c:pt>
                <c:pt idx="4942">
                  <c:v>ORD104955</c:v>
                </c:pt>
                <c:pt idx="4943">
                  <c:v>ORD104956</c:v>
                </c:pt>
                <c:pt idx="4944">
                  <c:v>ORD104957</c:v>
                </c:pt>
                <c:pt idx="4945">
                  <c:v>ORD104958</c:v>
                </c:pt>
                <c:pt idx="4946">
                  <c:v>ORD104959</c:v>
                </c:pt>
                <c:pt idx="4947">
                  <c:v>ORD104960</c:v>
                </c:pt>
                <c:pt idx="4948">
                  <c:v>ORD104961</c:v>
                </c:pt>
                <c:pt idx="4949">
                  <c:v>ORD104962</c:v>
                </c:pt>
                <c:pt idx="4950">
                  <c:v>ORD104963</c:v>
                </c:pt>
                <c:pt idx="4951">
                  <c:v>ORD104964</c:v>
                </c:pt>
                <c:pt idx="4952">
                  <c:v>ORD104965</c:v>
                </c:pt>
                <c:pt idx="4953">
                  <c:v>ORD104966</c:v>
                </c:pt>
                <c:pt idx="4954">
                  <c:v>ORD104967</c:v>
                </c:pt>
                <c:pt idx="4955">
                  <c:v>ORD104968</c:v>
                </c:pt>
                <c:pt idx="4956">
                  <c:v>ORD104969</c:v>
                </c:pt>
                <c:pt idx="4957">
                  <c:v>ORD104970</c:v>
                </c:pt>
                <c:pt idx="4958">
                  <c:v>ORD104971</c:v>
                </c:pt>
                <c:pt idx="4959">
                  <c:v>ORD104972</c:v>
                </c:pt>
                <c:pt idx="4960">
                  <c:v>ORD104973</c:v>
                </c:pt>
                <c:pt idx="4961">
                  <c:v>ORD104974</c:v>
                </c:pt>
                <c:pt idx="4962">
                  <c:v>ORD104975</c:v>
                </c:pt>
                <c:pt idx="4963">
                  <c:v>ORD104976</c:v>
                </c:pt>
                <c:pt idx="4964">
                  <c:v>ORD104977</c:v>
                </c:pt>
                <c:pt idx="4965">
                  <c:v>ORD104978</c:v>
                </c:pt>
                <c:pt idx="4966">
                  <c:v>ORD104979</c:v>
                </c:pt>
                <c:pt idx="4967">
                  <c:v>ORD104980</c:v>
                </c:pt>
                <c:pt idx="4968">
                  <c:v>ORD104981</c:v>
                </c:pt>
                <c:pt idx="4969">
                  <c:v>ORD104982</c:v>
                </c:pt>
                <c:pt idx="4970">
                  <c:v>ORD104983</c:v>
                </c:pt>
                <c:pt idx="4971">
                  <c:v>ORD104984</c:v>
                </c:pt>
                <c:pt idx="4972">
                  <c:v>ORD104985</c:v>
                </c:pt>
                <c:pt idx="4973">
                  <c:v>ORD104986</c:v>
                </c:pt>
                <c:pt idx="4974">
                  <c:v>ORD104987</c:v>
                </c:pt>
                <c:pt idx="4975">
                  <c:v>ORD104988</c:v>
                </c:pt>
                <c:pt idx="4976">
                  <c:v>ORD104989</c:v>
                </c:pt>
                <c:pt idx="4977">
                  <c:v>ORD104990</c:v>
                </c:pt>
                <c:pt idx="4978">
                  <c:v>ORD104991</c:v>
                </c:pt>
                <c:pt idx="4979">
                  <c:v>ORD104992</c:v>
                </c:pt>
                <c:pt idx="4980">
                  <c:v>ORD104993</c:v>
                </c:pt>
                <c:pt idx="4981">
                  <c:v>ORD104994</c:v>
                </c:pt>
                <c:pt idx="4982">
                  <c:v>ORD104995</c:v>
                </c:pt>
                <c:pt idx="4983">
                  <c:v>ORD104996</c:v>
                </c:pt>
                <c:pt idx="4984">
                  <c:v>ORD104997</c:v>
                </c:pt>
                <c:pt idx="4985">
                  <c:v>ORD104998</c:v>
                </c:pt>
                <c:pt idx="4986">
                  <c:v>ORD104999</c:v>
                </c:pt>
              </c:strCache>
            </c:strRef>
          </c:cat>
          <c:val>
            <c:numRef>
              <c:f>Sheet2!$B$2:$B$4989</c:f>
              <c:numCache>
                <c:formatCode>General</c:formatCode>
                <c:ptCount val="4987"/>
                <c:pt idx="0">
                  <c:v>17.5</c:v>
                </c:pt>
                <c:pt idx="1">
                  <c:v>3.5</c:v>
                </c:pt>
                <c:pt idx="2">
                  <c:v>12.5</c:v>
                </c:pt>
                <c:pt idx="3">
                  <c:v>14</c:v>
                </c:pt>
                <c:pt idx="4">
                  <c:v>5</c:v>
                </c:pt>
                <c:pt idx="5">
                  <c:v>14</c:v>
                </c:pt>
                <c:pt idx="6">
                  <c:v>10.5</c:v>
                </c:pt>
                <c:pt idx="7">
                  <c:v>15.2</c:v>
                </c:pt>
                <c:pt idx="8">
                  <c:v>5.6</c:v>
                </c:pt>
                <c:pt idx="9">
                  <c:v>14</c:v>
                </c:pt>
                <c:pt idx="10">
                  <c:v>7.5</c:v>
                </c:pt>
                <c:pt idx="11">
                  <c:v>3.5</c:v>
                </c:pt>
                <c:pt idx="12">
                  <c:v>2.2000000000000002</c:v>
                </c:pt>
                <c:pt idx="13">
                  <c:v>14</c:v>
                </c:pt>
                <c:pt idx="14">
                  <c:v>2.2000000000000002</c:v>
                </c:pt>
                <c:pt idx="15">
                  <c:v>7.6</c:v>
                </c:pt>
                <c:pt idx="16">
                  <c:v>2.2000000000000002</c:v>
                </c:pt>
                <c:pt idx="17">
                  <c:v>11.2</c:v>
                </c:pt>
                <c:pt idx="18">
                  <c:v>4.4000000000000004</c:v>
                </c:pt>
                <c:pt idx="19">
                  <c:v>7</c:v>
                </c:pt>
                <c:pt idx="20">
                  <c:v>8.3999999999999986</c:v>
                </c:pt>
                <c:pt idx="21">
                  <c:v>15.2</c:v>
                </c:pt>
                <c:pt idx="22">
                  <c:v>11</c:v>
                </c:pt>
                <c:pt idx="23">
                  <c:v>14</c:v>
                </c:pt>
                <c:pt idx="24">
                  <c:v>11.399999999999999</c:v>
                </c:pt>
                <c:pt idx="25">
                  <c:v>15.2</c:v>
                </c:pt>
                <c:pt idx="26">
                  <c:v>17.5</c:v>
                </c:pt>
                <c:pt idx="27">
                  <c:v>7</c:v>
                </c:pt>
                <c:pt idx="28">
                  <c:v>8.8000000000000007</c:v>
                </c:pt>
                <c:pt idx="29">
                  <c:v>10.5</c:v>
                </c:pt>
                <c:pt idx="30">
                  <c:v>14</c:v>
                </c:pt>
                <c:pt idx="31">
                  <c:v>7.5</c:v>
                </c:pt>
                <c:pt idx="32">
                  <c:v>7</c:v>
                </c:pt>
                <c:pt idx="33">
                  <c:v>7.6</c:v>
                </c:pt>
                <c:pt idx="34">
                  <c:v>3.8</c:v>
                </c:pt>
                <c:pt idx="35">
                  <c:v>19</c:v>
                </c:pt>
                <c:pt idx="36">
                  <c:v>3.8</c:v>
                </c:pt>
                <c:pt idx="37">
                  <c:v>8.8000000000000007</c:v>
                </c:pt>
                <c:pt idx="38">
                  <c:v>17.5</c:v>
                </c:pt>
                <c:pt idx="39">
                  <c:v>3.8</c:v>
                </c:pt>
                <c:pt idx="40">
                  <c:v>8.3999999999999986</c:v>
                </c:pt>
                <c:pt idx="41">
                  <c:v>17.5</c:v>
                </c:pt>
                <c:pt idx="42">
                  <c:v>12.5</c:v>
                </c:pt>
                <c:pt idx="43">
                  <c:v>14</c:v>
                </c:pt>
                <c:pt idx="44">
                  <c:v>19</c:v>
                </c:pt>
                <c:pt idx="45">
                  <c:v>6.6000000000000005</c:v>
                </c:pt>
                <c:pt idx="46">
                  <c:v>19</c:v>
                </c:pt>
                <c:pt idx="47">
                  <c:v>5</c:v>
                </c:pt>
                <c:pt idx="48">
                  <c:v>7.5</c:v>
                </c:pt>
                <c:pt idx="49">
                  <c:v>12.5</c:v>
                </c:pt>
                <c:pt idx="50">
                  <c:v>3.5</c:v>
                </c:pt>
                <c:pt idx="51">
                  <c:v>6.6000000000000005</c:v>
                </c:pt>
                <c:pt idx="52">
                  <c:v>17.5</c:v>
                </c:pt>
                <c:pt idx="53">
                  <c:v>3.8</c:v>
                </c:pt>
                <c:pt idx="54">
                  <c:v>14</c:v>
                </c:pt>
                <c:pt idx="55">
                  <c:v>10.5</c:v>
                </c:pt>
                <c:pt idx="56">
                  <c:v>19</c:v>
                </c:pt>
                <c:pt idx="57">
                  <c:v>19</c:v>
                </c:pt>
                <c:pt idx="58">
                  <c:v>3.8</c:v>
                </c:pt>
                <c:pt idx="59">
                  <c:v>11.399999999999999</c:v>
                </c:pt>
                <c:pt idx="60">
                  <c:v>7.6</c:v>
                </c:pt>
                <c:pt idx="61">
                  <c:v>11.399999999999999</c:v>
                </c:pt>
                <c:pt idx="62">
                  <c:v>17.5</c:v>
                </c:pt>
                <c:pt idx="63">
                  <c:v>2.5</c:v>
                </c:pt>
                <c:pt idx="64">
                  <c:v>7.5</c:v>
                </c:pt>
                <c:pt idx="65">
                  <c:v>19</c:v>
                </c:pt>
                <c:pt idx="66">
                  <c:v>10.5</c:v>
                </c:pt>
                <c:pt idx="67">
                  <c:v>14</c:v>
                </c:pt>
                <c:pt idx="68">
                  <c:v>17.5</c:v>
                </c:pt>
                <c:pt idx="69">
                  <c:v>7.6</c:v>
                </c:pt>
                <c:pt idx="70">
                  <c:v>5.6</c:v>
                </c:pt>
                <c:pt idx="71">
                  <c:v>8.3999999999999986</c:v>
                </c:pt>
                <c:pt idx="72">
                  <c:v>5.6</c:v>
                </c:pt>
                <c:pt idx="73">
                  <c:v>5</c:v>
                </c:pt>
                <c:pt idx="74">
                  <c:v>2.2000000000000002</c:v>
                </c:pt>
                <c:pt idx="75">
                  <c:v>8.3999999999999986</c:v>
                </c:pt>
                <c:pt idx="76">
                  <c:v>15.2</c:v>
                </c:pt>
                <c:pt idx="77">
                  <c:v>5</c:v>
                </c:pt>
                <c:pt idx="78">
                  <c:v>2.2000000000000002</c:v>
                </c:pt>
                <c:pt idx="79">
                  <c:v>7.6</c:v>
                </c:pt>
                <c:pt idx="80">
                  <c:v>3.8</c:v>
                </c:pt>
                <c:pt idx="81">
                  <c:v>2.5</c:v>
                </c:pt>
                <c:pt idx="82">
                  <c:v>11.399999999999999</c:v>
                </c:pt>
                <c:pt idx="83">
                  <c:v>14</c:v>
                </c:pt>
                <c:pt idx="84">
                  <c:v>7.5</c:v>
                </c:pt>
                <c:pt idx="85">
                  <c:v>14</c:v>
                </c:pt>
                <c:pt idx="86">
                  <c:v>19</c:v>
                </c:pt>
                <c:pt idx="87">
                  <c:v>7</c:v>
                </c:pt>
                <c:pt idx="88">
                  <c:v>11.399999999999999</c:v>
                </c:pt>
                <c:pt idx="89">
                  <c:v>19</c:v>
                </c:pt>
                <c:pt idx="90">
                  <c:v>14</c:v>
                </c:pt>
                <c:pt idx="91">
                  <c:v>2.2000000000000002</c:v>
                </c:pt>
                <c:pt idx="92">
                  <c:v>11</c:v>
                </c:pt>
                <c:pt idx="93">
                  <c:v>12.5</c:v>
                </c:pt>
                <c:pt idx="94">
                  <c:v>6.6000000000000005</c:v>
                </c:pt>
                <c:pt idx="95">
                  <c:v>2.8</c:v>
                </c:pt>
                <c:pt idx="96">
                  <c:v>7</c:v>
                </c:pt>
                <c:pt idx="97">
                  <c:v>5</c:v>
                </c:pt>
                <c:pt idx="98">
                  <c:v>17.5</c:v>
                </c:pt>
                <c:pt idx="99">
                  <c:v>10.5</c:v>
                </c:pt>
                <c:pt idx="100">
                  <c:v>8.3999999999999986</c:v>
                </c:pt>
                <c:pt idx="101">
                  <c:v>7</c:v>
                </c:pt>
                <c:pt idx="102">
                  <c:v>8.8000000000000007</c:v>
                </c:pt>
                <c:pt idx="103">
                  <c:v>3.5</c:v>
                </c:pt>
                <c:pt idx="104">
                  <c:v>10</c:v>
                </c:pt>
                <c:pt idx="105">
                  <c:v>14</c:v>
                </c:pt>
                <c:pt idx="106">
                  <c:v>7.5</c:v>
                </c:pt>
                <c:pt idx="107">
                  <c:v>15.2</c:v>
                </c:pt>
                <c:pt idx="108">
                  <c:v>14</c:v>
                </c:pt>
                <c:pt idx="109">
                  <c:v>5.6</c:v>
                </c:pt>
                <c:pt idx="110">
                  <c:v>11.2</c:v>
                </c:pt>
                <c:pt idx="111">
                  <c:v>2.2000000000000002</c:v>
                </c:pt>
                <c:pt idx="112">
                  <c:v>17.5</c:v>
                </c:pt>
                <c:pt idx="113">
                  <c:v>3.5</c:v>
                </c:pt>
                <c:pt idx="114">
                  <c:v>14</c:v>
                </c:pt>
                <c:pt idx="115">
                  <c:v>11.2</c:v>
                </c:pt>
                <c:pt idx="116">
                  <c:v>15.2</c:v>
                </c:pt>
                <c:pt idx="117">
                  <c:v>7.6</c:v>
                </c:pt>
                <c:pt idx="118">
                  <c:v>10.5</c:v>
                </c:pt>
                <c:pt idx="119">
                  <c:v>10</c:v>
                </c:pt>
                <c:pt idx="120">
                  <c:v>7</c:v>
                </c:pt>
                <c:pt idx="121">
                  <c:v>14</c:v>
                </c:pt>
                <c:pt idx="122">
                  <c:v>3.8</c:v>
                </c:pt>
                <c:pt idx="123">
                  <c:v>2.5</c:v>
                </c:pt>
                <c:pt idx="124">
                  <c:v>14</c:v>
                </c:pt>
                <c:pt idx="125">
                  <c:v>11.399999999999999</c:v>
                </c:pt>
                <c:pt idx="126">
                  <c:v>5.6</c:v>
                </c:pt>
                <c:pt idx="127">
                  <c:v>6.6000000000000005</c:v>
                </c:pt>
                <c:pt idx="128">
                  <c:v>15.2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3.5</c:v>
                </c:pt>
                <c:pt idx="132">
                  <c:v>7.5</c:v>
                </c:pt>
                <c:pt idx="133">
                  <c:v>11.399999999999999</c:v>
                </c:pt>
                <c:pt idx="134">
                  <c:v>10</c:v>
                </c:pt>
                <c:pt idx="135">
                  <c:v>6.6000000000000005</c:v>
                </c:pt>
                <c:pt idx="136">
                  <c:v>14</c:v>
                </c:pt>
                <c:pt idx="137">
                  <c:v>11</c:v>
                </c:pt>
                <c:pt idx="138">
                  <c:v>19</c:v>
                </c:pt>
                <c:pt idx="139">
                  <c:v>6.6000000000000005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17.5</c:v>
                </c:pt>
                <c:pt idx="143">
                  <c:v>3.8</c:v>
                </c:pt>
                <c:pt idx="144">
                  <c:v>7</c:v>
                </c:pt>
                <c:pt idx="145">
                  <c:v>4.4000000000000004</c:v>
                </c:pt>
                <c:pt idx="146">
                  <c:v>5</c:v>
                </c:pt>
                <c:pt idx="147">
                  <c:v>8.3999999999999986</c:v>
                </c:pt>
                <c:pt idx="148">
                  <c:v>14</c:v>
                </c:pt>
                <c:pt idx="149">
                  <c:v>2.2000000000000002</c:v>
                </c:pt>
                <c:pt idx="150">
                  <c:v>10.5</c:v>
                </c:pt>
                <c:pt idx="151">
                  <c:v>15.2</c:v>
                </c:pt>
                <c:pt idx="152">
                  <c:v>2.2000000000000002</c:v>
                </c:pt>
                <c:pt idx="153">
                  <c:v>7.5</c:v>
                </c:pt>
                <c:pt idx="154">
                  <c:v>14</c:v>
                </c:pt>
                <c:pt idx="155">
                  <c:v>5.6</c:v>
                </c:pt>
                <c:pt idx="156">
                  <c:v>8.3999999999999986</c:v>
                </c:pt>
                <c:pt idx="157">
                  <c:v>5</c:v>
                </c:pt>
                <c:pt idx="158">
                  <c:v>10.5</c:v>
                </c:pt>
                <c:pt idx="159">
                  <c:v>7.6</c:v>
                </c:pt>
                <c:pt idx="160">
                  <c:v>5.6</c:v>
                </c:pt>
                <c:pt idx="161">
                  <c:v>3.8</c:v>
                </c:pt>
                <c:pt idx="162">
                  <c:v>5</c:v>
                </c:pt>
                <c:pt idx="163">
                  <c:v>19</c:v>
                </c:pt>
                <c:pt idx="164">
                  <c:v>14</c:v>
                </c:pt>
                <c:pt idx="165">
                  <c:v>15.2</c:v>
                </c:pt>
                <c:pt idx="166">
                  <c:v>12.5</c:v>
                </c:pt>
                <c:pt idx="167">
                  <c:v>7.5</c:v>
                </c:pt>
                <c:pt idx="168">
                  <c:v>11.399999999999999</c:v>
                </c:pt>
                <c:pt idx="169">
                  <c:v>14</c:v>
                </c:pt>
                <c:pt idx="170">
                  <c:v>2.8</c:v>
                </c:pt>
                <c:pt idx="171">
                  <c:v>15.2</c:v>
                </c:pt>
                <c:pt idx="172">
                  <c:v>6.6000000000000005</c:v>
                </c:pt>
                <c:pt idx="173">
                  <c:v>12.5</c:v>
                </c:pt>
                <c:pt idx="174">
                  <c:v>5</c:v>
                </c:pt>
                <c:pt idx="175">
                  <c:v>5</c:v>
                </c:pt>
                <c:pt idx="176">
                  <c:v>2.2000000000000002</c:v>
                </c:pt>
                <c:pt idx="177">
                  <c:v>5.6</c:v>
                </c:pt>
                <c:pt idx="178">
                  <c:v>19</c:v>
                </c:pt>
                <c:pt idx="179">
                  <c:v>5</c:v>
                </c:pt>
                <c:pt idx="180">
                  <c:v>2.2000000000000002</c:v>
                </c:pt>
                <c:pt idx="181">
                  <c:v>7.5</c:v>
                </c:pt>
                <c:pt idx="182">
                  <c:v>2.5</c:v>
                </c:pt>
                <c:pt idx="183">
                  <c:v>7.6</c:v>
                </c:pt>
                <c:pt idx="184">
                  <c:v>10.5</c:v>
                </c:pt>
                <c:pt idx="185">
                  <c:v>10.5</c:v>
                </c:pt>
                <c:pt idx="186">
                  <c:v>3.8</c:v>
                </c:pt>
                <c:pt idx="187">
                  <c:v>3.8</c:v>
                </c:pt>
                <c:pt idx="188">
                  <c:v>4.4000000000000004</c:v>
                </c:pt>
                <c:pt idx="189">
                  <c:v>5.6</c:v>
                </c:pt>
                <c:pt idx="190">
                  <c:v>14</c:v>
                </c:pt>
                <c:pt idx="191">
                  <c:v>3.5</c:v>
                </c:pt>
                <c:pt idx="192">
                  <c:v>7</c:v>
                </c:pt>
                <c:pt idx="193">
                  <c:v>7.5</c:v>
                </c:pt>
                <c:pt idx="194">
                  <c:v>3.5</c:v>
                </c:pt>
                <c:pt idx="195">
                  <c:v>11</c:v>
                </c:pt>
                <c:pt idx="196">
                  <c:v>7.6</c:v>
                </c:pt>
                <c:pt idx="197">
                  <c:v>8.8000000000000007</c:v>
                </c:pt>
                <c:pt idx="198">
                  <c:v>14</c:v>
                </c:pt>
                <c:pt idx="199">
                  <c:v>7.6</c:v>
                </c:pt>
                <c:pt idx="200">
                  <c:v>14</c:v>
                </c:pt>
                <c:pt idx="201">
                  <c:v>11</c:v>
                </c:pt>
                <c:pt idx="202">
                  <c:v>10.5</c:v>
                </c:pt>
                <c:pt idx="203">
                  <c:v>5</c:v>
                </c:pt>
                <c:pt idx="204">
                  <c:v>14</c:v>
                </c:pt>
                <c:pt idx="205">
                  <c:v>11.399999999999999</c:v>
                </c:pt>
                <c:pt idx="206">
                  <c:v>5.6</c:v>
                </c:pt>
                <c:pt idx="207">
                  <c:v>14</c:v>
                </c:pt>
                <c:pt idx="208">
                  <c:v>4.4000000000000004</c:v>
                </c:pt>
                <c:pt idx="209">
                  <c:v>7</c:v>
                </c:pt>
                <c:pt idx="210">
                  <c:v>14</c:v>
                </c:pt>
                <c:pt idx="211">
                  <c:v>2.8</c:v>
                </c:pt>
                <c:pt idx="212">
                  <c:v>8.8000000000000007</c:v>
                </c:pt>
                <c:pt idx="213">
                  <c:v>14</c:v>
                </c:pt>
                <c:pt idx="214">
                  <c:v>8.3999999999999986</c:v>
                </c:pt>
                <c:pt idx="215">
                  <c:v>19</c:v>
                </c:pt>
                <c:pt idx="216">
                  <c:v>10.5</c:v>
                </c:pt>
                <c:pt idx="217">
                  <c:v>7.5</c:v>
                </c:pt>
                <c:pt idx="218">
                  <c:v>14</c:v>
                </c:pt>
                <c:pt idx="219">
                  <c:v>2.2000000000000002</c:v>
                </c:pt>
                <c:pt idx="220">
                  <c:v>6.6000000000000005</c:v>
                </c:pt>
                <c:pt idx="221">
                  <c:v>11</c:v>
                </c:pt>
                <c:pt idx="222">
                  <c:v>15.2</c:v>
                </c:pt>
                <c:pt idx="223">
                  <c:v>17.5</c:v>
                </c:pt>
                <c:pt idx="224">
                  <c:v>7.6</c:v>
                </c:pt>
                <c:pt idx="225">
                  <c:v>5</c:v>
                </c:pt>
                <c:pt idx="226">
                  <c:v>17.5</c:v>
                </c:pt>
                <c:pt idx="227">
                  <c:v>2.8</c:v>
                </c:pt>
                <c:pt idx="228">
                  <c:v>2.5</c:v>
                </c:pt>
                <c:pt idx="229">
                  <c:v>14</c:v>
                </c:pt>
                <c:pt idx="230">
                  <c:v>11.2</c:v>
                </c:pt>
                <c:pt idx="231">
                  <c:v>14</c:v>
                </c:pt>
                <c:pt idx="232">
                  <c:v>2.8</c:v>
                </c:pt>
                <c:pt idx="233">
                  <c:v>19</c:v>
                </c:pt>
                <c:pt idx="234">
                  <c:v>14</c:v>
                </c:pt>
                <c:pt idx="235">
                  <c:v>14</c:v>
                </c:pt>
                <c:pt idx="236">
                  <c:v>11.2</c:v>
                </c:pt>
                <c:pt idx="237">
                  <c:v>5.6</c:v>
                </c:pt>
                <c:pt idx="238">
                  <c:v>11.399999999999999</c:v>
                </c:pt>
                <c:pt idx="239">
                  <c:v>7</c:v>
                </c:pt>
                <c:pt idx="240">
                  <c:v>7.5</c:v>
                </c:pt>
                <c:pt idx="241">
                  <c:v>10.5</c:v>
                </c:pt>
                <c:pt idx="242">
                  <c:v>14</c:v>
                </c:pt>
                <c:pt idx="243">
                  <c:v>5.6</c:v>
                </c:pt>
                <c:pt idx="244">
                  <c:v>19</c:v>
                </c:pt>
                <c:pt idx="245">
                  <c:v>17.5</c:v>
                </c:pt>
                <c:pt idx="246">
                  <c:v>12.5</c:v>
                </c:pt>
                <c:pt idx="247">
                  <c:v>7.5</c:v>
                </c:pt>
                <c:pt idx="248">
                  <c:v>7.6</c:v>
                </c:pt>
                <c:pt idx="249">
                  <c:v>8.3999999999999986</c:v>
                </c:pt>
                <c:pt idx="250">
                  <c:v>11.399999999999999</c:v>
                </c:pt>
                <c:pt idx="251">
                  <c:v>10</c:v>
                </c:pt>
                <c:pt idx="252">
                  <c:v>2.5</c:v>
                </c:pt>
                <c:pt idx="253">
                  <c:v>12.5</c:v>
                </c:pt>
                <c:pt idx="254">
                  <c:v>7.5</c:v>
                </c:pt>
                <c:pt idx="255">
                  <c:v>8.8000000000000007</c:v>
                </c:pt>
                <c:pt idx="256">
                  <c:v>2.2000000000000002</c:v>
                </c:pt>
                <c:pt idx="257">
                  <c:v>5.6</c:v>
                </c:pt>
                <c:pt idx="258">
                  <c:v>15.2</c:v>
                </c:pt>
                <c:pt idx="259">
                  <c:v>3.5</c:v>
                </c:pt>
                <c:pt idx="260">
                  <c:v>15.2</c:v>
                </c:pt>
                <c:pt idx="261">
                  <c:v>5</c:v>
                </c:pt>
                <c:pt idx="262">
                  <c:v>7.5</c:v>
                </c:pt>
                <c:pt idx="263">
                  <c:v>7</c:v>
                </c:pt>
                <c:pt idx="264">
                  <c:v>11.399999999999999</c:v>
                </c:pt>
                <c:pt idx="265">
                  <c:v>5.6</c:v>
                </c:pt>
                <c:pt idx="266">
                  <c:v>8.3999999999999986</c:v>
                </c:pt>
                <c:pt idx="267">
                  <c:v>2.2000000000000002</c:v>
                </c:pt>
                <c:pt idx="268">
                  <c:v>10</c:v>
                </c:pt>
                <c:pt idx="269">
                  <c:v>7</c:v>
                </c:pt>
                <c:pt idx="270">
                  <c:v>7</c:v>
                </c:pt>
                <c:pt idx="271">
                  <c:v>12.5</c:v>
                </c:pt>
                <c:pt idx="272">
                  <c:v>10.5</c:v>
                </c:pt>
                <c:pt idx="273">
                  <c:v>3.8</c:v>
                </c:pt>
                <c:pt idx="274">
                  <c:v>10.5</c:v>
                </c:pt>
                <c:pt idx="275">
                  <c:v>14</c:v>
                </c:pt>
                <c:pt idx="276">
                  <c:v>3.8</c:v>
                </c:pt>
                <c:pt idx="277">
                  <c:v>3.8</c:v>
                </c:pt>
                <c:pt idx="278">
                  <c:v>7.5</c:v>
                </c:pt>
                <c:pt idx="279">
                  <c:v>2.8</c:v>
                </c:pt>
                <c:pt idx="280">
                  <c:v>14</c:v>
                </c:pt>
                <c:pt idx="281">
                  <c:v>8.8000000000000007</c:v>
                </c:pt>
                <c:pt idx="282">
                  <c:v>8.3999999999999986</c:v>
                </c:pt>
                <c:pt idx="283">
                  <c:v>11.2</c:v>
                </c:pt>
                <c:pt idx="284">
                  <c:v>7.6</c:v>
                </c:pt>
                <c:pt idx="285">
                  <c:v>19</c:v>
                </c:pt>
                <c:pt idx="286">
                  <c:v>11.399999999999999</c:v>
                </c:pt>
                <c:pt idx="287">
                  <c:v>10</c:v>
                </c:pt>
                <c:pt idx="288">
                  <c:v>4.4000000000000004</c:v>
                </c:pt>
                <c:pt idx="289">
                  <c:v>14</c:v>
                </c:pt>
                <c:pt idx="290">
                  <c:v>14</c:v>
                </c:pt>
                <c:pt idx="291">
                  <c:v>11.2</c:v>
                </c:pt>
                <c:pt idx="292">
                  <c:v>11.399999999999999</c:v>
                </c:pt>
                <c:pt idx="293">
                  <c:v>7.5</c:v>
                </c:pt>
                <c:pt idx="294">
                  <c:v>10</c:v>
                </c:pt>
                <c:pt idx="295">
                  <c:v>2.2000000000000002</c:v>
                </c:pt>
                <c:pt idx="296">
                  <c:v>12.5</c:v>
                </c:pt>
                <c:pt idx="297">
                  <c:v>8.8000000000000007</c:v>
                </c:pt>
                <c:pt idx="298">
                  <c:v>8.3999999999999986</c:v>
                </c:pt>
                <c:pt idx="299">
                  <c:v>2.2000000000000002</c:v>
                </c:pt>
                <c:pt idx="300">
                  <c:v>3.8</c:v>
                </c:pt>
                <c:pt idx="301">
                  <c:v>4.4000000000000004</c:v>
                </c:pt>
                <c:pt idx="302">
                  <c:v>11.2</c:v>
                </c:pt>
                <c:pt idx="303">
                  <c:v>8.8000000000000007</c:v>
                </c:pt>
                <c:pt idx="304">
                  <c:v>19</c:v>
                </c:pt>
                <c:pt idx="305">
                  <c:v>11</c:v>
                </c:pt>
                <c:pt idx="306">
                  <c:v>7.5</c:v>
                </c:pt>
                <c:pt idx="307">
                  <c:v>7</c:v>
                </c:pt>
                <c:pt idx="308">
                  <c:v>15.2</c:v>
                </c:pt>
                <c:pt idx="309">
                  <c:v>11.399999999999999</c:v>
                </c:pt>
                <c:pt idx="310">
                  <c:v>11</c:v>
                </c:pt>
                <c:pt idx="311">
                  <c:v>14</c:v>
                </c:pt>
                <c:pt idx="312">
                  <c:v>8.3999999999999986</c:v>
                </c:pt>
                <c:pt idx="313">
                  <c:v>10.5</c:v>
                </c:pt>
                <c:pt idx="314">
                  <c:v>5.6</c:v>
                </c:pt>
                <c:pt idx="315">
                  <c:v>2.5</c:v>
                </c:pt>
                <c:pt idx="316">
                  <c:v>8.3999999999999986</c:v>
                </c:pt>
                <c:pt idx="317">
                  <c:v>5</c:v>
                </c:pt>
                <c:pt idx="318">
                  <c:v>2.2000000000000002</c:v>
                </c:pt>
                <c:pt idx="319">
                  <c:v>10</c:v>
                </c:pt>
                <c:pt idx="320">
                  <c:v>5.6</c:v>
                </c:pt>
                <c:pt idx="321">
                  <c:v>2.5</c:v>
                </c:pt>
                <c:pt idx="322">
                  <c:v>11</c:v>
                </c:pt>
                <c:pt idx="323">
                  <c:v>4.4000000000000004</c:v>
                </c:pt>
                <c:pt idx="324">
                  <c:v>15.2</c:v>
                </c:pt>
                <c:pt idx="325">
                  <c:v>11</c:v>
                </c:pt>
                <c:pt idx="326">
                  <c:v>6.6000000000000005</c:v>
                </c:pt>
                <c:pt idx="327">
                  <c:v>14</c:v>
                </c:pt>
                <c:pt idx="328">
                  <c:v>7</c:v>
                </c:pt>
                <c:pt idx="329">
                  <c:v>11</c:v>
                </c:pt>
                <c:pt idx="330">
                  <c:v>12.5</c:v>
                </c:pt>
                <c:pt idx="331">
                  <c:v>7.5</c:v>
                </c:pt>
                <c:pt idx="332">
                  <c:v>5.6</c:v>
                </c:pt>
                <c:pt idx="333">
                  <c:v>11.2</c:v>
                </c:pt>
                <c:pt idx="334">
                  <c:v>10.5</c:v>
                </c:pt>
                <c:pt idx="335">
                  <c:v>11.399999999999999</c:v>
                </c:pt>
                <c:pt idx="336">
                  <c:v>10</c:v>
                </c:pt>
                <c:pt idx="337">
                  <c:v>19</c:v>
                </c:pt>
                <c:pt idx="338">
                  <c:v>14</c:v>
                </c:pt>
                <c:pt idx="339">
                  <c:v>6.6000000000000005</c:v>
                </c:pt>
                <c:pt idx="340">
                  <c:v>7</c:v>
                </c:pt>
                <c:pt idx="341">
                  <c:v>6.6000000000000005</c:v>
                </c:pt>
                <c:pt idx="342">
                  <c:v>2.2000000000000002</c:v>
                </c:pt>
                <c:pt idx="343">
                  <c:v>12.5</c:v>
                </c:pt>
                <c:pt idx="344">
                  <c:v>2.5</c:v>
                </c:pt>
                <c:pt idx="345">
                  <c:v>4.4000000000000004</c:v>
                </c:pt>
                <c:pt idx="346">
                  <c:v>10.5</c:v>
                </c:pt>
                <c:pt idx="347">
                  <c:v>7</c:v>
                </c:pt>
                <c:pt idx="348">
                  <c:v>3.8</c:v>
                </c:pt>
                <c:pt idx="349">
                  <c:v>8.8000000000000007</c:v>
                </c:pt>
                <c:pt idx="350">
                  <c:v>3.8</c:v>
                </c:pt>
                <c:pt idx="351">
                  <c:v>14</c:v>
                </c:pt>
                <c:pt idx="352">
                  <c:v>10</c:v>
                </c:pt>
                <c:pt idx="353">
                  <c:v>14</c:v>
                </c:pt>
                <c:pt idx="354">
                  <c:v>10</c:v>
                </c:pt>
                <c:pt idx="355">
                  <c:v>11.2</c:v>
                </c:pt>
                <c:pt idx="356">
                  <c:v>7</c:v>
                </c:pt>
                <c:pt idx="357">
                  <c:v>6.6000000000000005</c:v>
                </c:pt>
                <c:pt idx="358">
                  <c:v>17.5</c:v>
                </c:pt>
                <c:pt idx="359">
                  <c:v>12.5</c:v>
                </c:pt>
                <c:pt idx="360">
                  <c:v>19</c:v>
                </c:pt>
                <c:pt idx="361">
                  <c:v>8.8000000000000007</c:v>
                </c:pt>
                <c:pt idx="362">
                  <c:v>6.6000000000000005</c:v>
                </c:pt>
                <c:pt idx="363">
                  <c:v>5</c:v>
                </c:pt>
                <c:pt idx="364">
                  <c:v>19</c:v>
                </c:pt>
                <c:pt idx="365">
                  <c:v>5</c:v>
                </c:pt>
                <c:pt idx="366">
                  <c:v>7</c:v>
                </c:pt>
                <c:pt idx="367">
                  <c:v>7.5</c:v>
                </c:pt>
                <c:pt idx="368">
                  <c:v>8.3999999999999986</c:v>
                </c:pt>
                <c:pt idx="369">
                  <c:v>8.8000000000000007</c:v>
                </c:pt>
                <c:pt idx="370">
                  <c:v>17.5</c:v>
                </c:pt>
                <c:pt idx="371">
                  <c:v>3.5</c:v>
                </c:pt>
                <c:pt idx="372">
                  <c:v>11.2</c:v>
                </c:pt>
                <c:pt idx="373">
                  <c:v>3.8</c:v>
                </c:pt>
                <c:pt idx="374">
                  <c:v>2.8</c:v>
                </c:pt>
                <c:pt idx="375">
                  <c:v>6.6000000000000005</c:v>
                </c:pt>
                <c:pt idx="376">
                  <c:v>8.3999999999999986</c:v>
                </c:pt>
                <c:pt idx="377">
                  <c:v>10</c:v>
                </c:pt>
                <c:pt idx="378">
                  <c:v>19</c:v>
                </c:pt>
                <c:pt idx="379">
                  <c:v>11.2</c:v>
                </c:pt>
                <c:pt idx="380">
                  <c:v>15.2</c:v>
                </c:pt>
                <c:pt idx="381">
                  <c:v>10</c:v>
                </c:pt>
                <c:pt idx="382">
                  <c:v>4.4000000000000004</c:v>
                </c:pt>
                <c:pt idx="383">
                  <c:v>7.5</c:v>
                </c:pt>
                <c:pt idx="384">
                  <c:v>15.2</c:v>
                </c:pt>
                <c:pt idx="385">
                  <c:v>10.5</c:v>
                </c:pt>
                <c:pt idx="386">
                  <c:v>2.5</c:v>
                </c:pt>
                <c:pt idx="387">
                  <c:v>14</c:v>
                </c:pt>
                <c:pt idx="388">
                  <c:v>5</c:v>
                </c:pt>
                <c:pt idx="389">
                  <c:v>8.3999999999999986</c:v>
                </c:pt>
                <c:pt idx="390">
                  <c:v>8.8000000000000007</c:v>
                </c:pt>
                <c:pt idx="391">
                  <c:v>14</c:v>
                </c:pt>
                <c:pt idx="392">
                  <c:v>5.6</c:v>
                </c:pt>
                <c:pt idx="393">
                  <c:v>11</c:v>
                </c:pt>
                <c:pt idx="394">
                  <c:v>17.5</c:v>
                </c:pt>
                <c:pt idx="395">
                  <c:v>4.4000000000000004</c:v>
                </c:pt>
                <c:pt idx="396">
                  <c:v>2.8</c:v>
                </c:pt>
                <c:pt idx="397">
                  <c:v>17.5</c:v>
                </c:pt>
                <c:pt idx="398">
                  <c:v>15.2</c:v>
                </c:pt>
                <c:pt idx="399">
                  <c:v>11</c:v>
                </c:pt>
                <c:pt idx="400">
                  <c:v>5</c:v>
                </c:pt>
                <c:pt idx="401">
                  <c:v>6.6000000000000005</c:v>
                </c:pt>
                <c:pt idx="402">
                  <c:v>5</c:v>
                </c:pt>
                <c:pt idx="403">
                  <c:v>14</c:v>
                </c:pt>
                <c:pt idx="404">
                  <c:v>6.6000000000000005</c:v>
                </c:pt>
                <c:pt idx="405">
                  <c:v>8.3999999999999986</c:v>
                </c:pt>
                <c:pt idx="406">
                  <c:v>2.5</c:v>
                </c:pt>
                <c:pt idx="407">
                  <c:v>14</c:v>
                </c:pt>
                <c:pt idx="408">
                  <c:v>12.5</c:v>
                </c:pt>
                <c:pt idx="409">
                  <c:v>4.4000000000000004</c:v>
                </c:pt>
                <c:pt idx="410">
                  <c:v>19</c:v>
                </c:pt>
                <c:pt idx="411">
                  <c:v>6.6000000000000005</c:v>
                </c:pt>
                <c:pt idx="412">
                  <c:v>7.5</c:v>
                </c:pt>
                <c:pt idx="413">
                  <c:v>6.6000000000000005</c:v>
                </c:pt>
                <c:pt idx="414">
                  <c:v>8.8000000000000007</c:v>
                </c:pt>
                <c:pt idx="415">
                  <c:v>11</c:v>
                </c:pt>
                <c:pt idx="416">
                  <c:v>6.6000000000000005</c:v>
                </c:pt>
                <c:pt idx="417">
                  <c:v>11</c:v>
                </c:pt>
                <c:pt idx="418">
                  <c:v>19</c:v>
                </c:pt>
                <c:pt idx="419">
                  <c:v>11.2</c:v>
                </c:pt>
                <c:pt idx="420">
                  <c:v>10</c:v>
                </c:pt>
                <c:pt idx="421">
                  <c:v>2.2000000000000002</c:v>
                </c:pt>
                <c:pt idx="422">
                  <c:v>11.2</c:v>
                </c:pt>
                <c:pt idx="423">
                  <c:v>6.6000000000000005</c:v>
                </c:pt>
                <c:pt idx="424">
                  <c:v>7.6</c:v>
                </c:pt>
                <c:pt idx="425">
                  <c:v>7.5</c:v>
                </c:pt>
                <c:pt idx="426">
                  <c:v>7.6</c:v>
                </c:pt>
                <c:pt idx="427">
                  <c:v>4.4000000000000004</c:v>
                </c:pt>
                <c:pt idx="428">
                  <c:v>10.5</c:v>
                </c:pt>
                <c:pt idx="429">
                  <c:v>7.5</c:v>
                </c:pt>
                <c:pt idx="430">
                  <c:v>7.5</c:v>
                </c:pt>
                <c:pt idx="431">
                  <c:v>8.8000000000000007</c:v>
                </c:pt>
                <c:pt idx="432">
                  <c:v>14</c:v>
                </c:pt>
                <c:pt idx="433">
                  <c:v>15.2</c:v>
                </c:pt>
                <c:pt idx="434">
                  <c:v>14</c:v>
                </c:pt>
                <c:pt idx="435">
                  <c:v>6.6000000000000005</c:v>
                </c:pt>
                <c:pt idx="436">
                  <c:v>11.2</c:v>
                </c:pt>
                <c:pt idx="437">
                  <c:v>11</c:v>
                </c:pt>
                <c:pt idx="438">
                  <c:v>7.6</c:v>
                </c:pt>
                <c:pt idx="439">
                  <c:v>7.5</c:v>
                </c:pt>
                <c:pt idx="440">
                  <c:v>3.5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4.4000000000000004</c:v>
                </c:pt>
                <c:pt idx="444">
                  <c:v>15.2</c:v>
                </c:pt>
                <c:pt idx="445">
                  <c:v>7.6</c:v>
                </c:pt>
                <c:pt idx="446">
                  <c:v>8.8000000000000007</c:v>
                </c:pt>
                <c:pt idx="447">
                  <c:v>7.6</c:v>
                </c:pt>
                <c:pt idx="448">
                  <c:v>5.6</c:v>
                </c:pt>
                <c:pt idx="449">
                  <c:v>14</c:v>
                </c:pt>
                <c:pt idx="450">
                  <c:v>6.6000000000000005</c:v>
                </c:pt>
                <c:pt idx="451">
                  <c:v>14</c:v>
                </c:pt>
                <c:pt idx="452">
                  <c:v>7.6</c:v>
                </c:pt>
                <c:pt idx="453">
                  <c:v>3.8</c:v>
                </c:pt>
                <c:pt idx="454">
                  <c:v>2.5</c:v>
                </c:pt>
                <c:pt idx="455">
                  <c:v>12.5</c:v>
                </c:pt>
                <c:pt idx="456">
                  <c:v>11.2</c:v>
                </c:pt>
                <c:pt idx="457">
                  <c:v>14</c:v>
                </c:pt>
                <c:pt idx="458">
                  <c:v>14</c:v>
                </c:pt>
                <c:pt idx="459">
                  <c:v>7.6</c:v>
                </c:pt>
                <c:pt idx="460">
                  <c:v>14</c:v>
                </c:pt>
                <c:pt idx="461">
                  <c:v>7</c:v>
                </c:pt>
                <c:pt idx="462">
                  <c:v>10</c:v>
                </c:pt>
                <c:pt idx="463">
                  <c:v>19</c:v>
                </c:pt>
                <c:pt idx="464">
                  <c:v>2.5</c:v>
                </c:pt>
                <c:pt idx="465">
                  <c:v>8.3999999999999986</c:v>
                </c:pt>
                <c:pt idx="466">
                  <c:v>10</c:v>
                </c:pt>
                <c:pt idx="467">
                  <c:v>10</c:v>
                </c:pt>
                <c:pt idx="468">
                  <c:v>19</c:v>
                </c:pt>
                <c:pt idx="469">
                  <c:v>10.5</c:v>
                </c:pt>
                <c:pt idx="470">
                  <c:v>7.5</c:v>
                </c:pt>
                <c:pt idx="471">
                  <c:v>11.399999999999999</c:v>
                </c:pt>
                <c:pt idx="472">
                  <c:v>5</c:v>
                </c:pt>
                <c:pt idx="473">
                  <c:v>6.6000000000000005</c:v>
                </c:pt>
                <c:pt idx="474">
                  <c:v>2.5</c:v>
                </c:pt>
                <c:pt idx="475">
                  <c:v>3.8</c:v>
                </c:pt>
                <c:pt idx="476">
                  <c:v>19</c:v>
                </c:pt>
                <c:pt idx="477">
                  <c:v>14</c:v>
                </c:pt>
                <c:pt idx="478">
                  <c:v>15.2</c:v>
                </c:pt>
                <c:pt idx="479">
                  <c:v>2.2000000000000002</c:v>
                </c:pt>
                <c:pt idx="480">
                  <c:v>5</c:v>
                </c:pt>
                <c:pt idx="481">
                  <c:v>7</c:v>
                </c:pt>
                <c:pt idx="482">
                  <c:v>2.8</c:v>
                </c:pt>
                <c:pt idx="483">
                  <c:v>11.2</c:v>
                </c:pt>
                <c:pt idx="484">
                  <c:v>3.8</c:v>
                </c:pt>
                <c:pt idx="485">
                  <c:v>7</c:v>
                </c:pt>
                <c:pt idx="486">
                  <c:v>11.399999999999999</c:v>
                </c:pt>
                <c:pt idx="487">
                  <c:v>4.4000000000000004</c:v>
                </c:pt>
                <c:pt idx="488">
                  <c:v>2.8</c:v>
                </c:pt>
                <c:pt idx="489">
                  <c:v>7.6</c:v>
                </c:pt>
                <c:pt idx="490">
                  <c:v>2.8</c:v>
                </c:pt>
                <c:pt idx="491">
                  <c:v>7</c:v>
                </c:pt>
                <c:pt idx="492">
                  <c:v>12.5</c:v>
                </c:pt>
                <c:pt idx="493">
                  <c:v>15.2</c:v>
                </c:pt>
                <c:pt idx="494">
                  <c:v>12.5</c:v>
                </c:pt>
                <c:pt idx="495">
                  <c:v>7.6</c:v>
                </c:pt>
                <c:pt idx="496">
                  <c:v>8.8000000000000007</c:v>
                </c:pt>
                <c:pt idx="497">
                  <c:v>17.5</c:v>
                </c:pt>
                <c:pt idx="498">
                  <c:v>10</c:v>
                </c:pt>
                <c:pt idx="499">
                  <c:v>3.8</c:v>
                </c:pt>
                <c:pt idx="500">
                  <c:v>3.5</c:v>
                </c:pt>
                <c:pt idx="501">
                  <c:v>11.399999999999999</c:v>
                </c:pt>
                <c:pt idx="502">
                  <c:v>8.3999999999999986</c:v>
                </c:pt>
                <c:pt idx="503">
                  <c:v>7</c:v>
                </c:pt>
                <c:pt idx="504">
                  <c:v>19</c:v>
                </c:pt>
                <c:pt idx="505">
                  <c:v>3.5</c:v>
                </c:pt>
                <c:pt idx="506">
                  <c:v>3.5</c:v>
                </c:pt>
                <c:pt idx="507">
                  <c:v>11.2</c:v>
                </c:pt>
                <c:pt idx="508">
                  <c:v>19</c:v>
                </c:pt>
                <c:pt idx="509">
                  <c:v>10</c:v>
                </c:pt>
                <c:pt idx="510">
                  <c:v>11</c:v>
                </c:pt>
                <c:pt idx="511">
                  <c:v>3.8</c:v>
                </c:pt>
                <c:pt idx="512">
                  <c:v>5</c:v>
                </c:pt>
                <c:pt idx="513">
                  <c:v>7.5</c:v>
                </c:pt>
                <c:pt idx="514">
                  <c:v>2.8</c:v>
                </c:pt>
                <c:pt idx="515">
                  <c:v>19</c:v>
                </c:pt>
                <c:pt idx="516">
                  <c:v>7.5</c:v>
                </c:pt>
                <c:pt idx="517">
                  <c:v>11.2</c:v>
                </c:pt>
                <c:pt idx="518">
                  <c:v>10</c:v>
                </c:pt>
                <c:pt idx="519">
                  <c:v>22.4</c:v>
                </c:pt>
                <c:pt idx="520">
                  <c:v>19</c:v>
                </c:pt>
                <c:pt idx="521">
                  <c:v>2.2000000000000002</c:v>
                </c:pt>
                <c:pt idx="522">
                  <c:v>12.5</c:v>
                </c:pt>
                <c:pt idx="523">
                  <c:v>10</c:v>
                </c:pt>
                <c:pt idx="524">
                  <c:v>3.5</c:v>
                </c:pt>
                <c:pt idx="525">
                  <c:v>8.3999999999999986</c:v>
                </c:pt>
                <c:pt idx="526">
                  <c:v>11.399999999999999</c:v>
                </c:pt>
                <c:pt idx="527">
                  <c:v>3.5</c:v>
                </c:pt>
                <c:pt idx="528">
                  <c:v>17.5</c:v>
                </c:pt>
                <c:pt idx="529">
                  <c:v>8.3999999999999986</c:v>
                </c:pt>
                <c:pt idx="530">
                  <c:v>14</c:v>
                </c:pt>
                <c:pt idx="531">
                  <c:v>11</c:v>
                </c:pt>
                <c:pt idx="532">
                  <c:v>5</c:v>
                </c:pt>
                <c:pt idx="533">
                  <c:v>10.5</c:v>
                </c:pt>
                <c:pt idx="534">
                  <c:v>2.2000000000000002</c:v>
                </c:pt>
                <c:pt idx="535">
                  <c:v>8.3999999999999986</c:v>
                </c:pt>
                <c:pt idx="536">
                  <c:v>8.3999999999999986</c:v>
                </c:pt>
                <c:pt idx="537">
                  <c:v>8.8000000000000007</c:v>
                </c:pt>
                <c:pt idx="538">
                  <c:v>3.5</c:v>
                </c:pt>
                <c:pt idx="539">
                  <c:v>11.2</c:v>
                </c:pt>
                <c:pt idx="540">
                  <c:v>7</c:v>
                </c:pt>
                <c:pt idx="541">
                  <c:v>12.5</c:v>
                </c:pt>
                <c:pt idx="542">
                  <c:v>10</c:v>
                </c:pt>
                <c:pt idx="543">
                  <c:v>11.399999999999999</c:v>
                </c:pt>
                <c:pt idx="544">
                  <c:v>10.5</c:v>
                </c:pt>
                <c:pt idx="545">
                  <c:v>5.6</c:v>
                </c:pt>
                <c:pt idx="546">
                  <c:v>3.8</c:v>
                </c:pt>
                <c:pt idx="547">
                  <c:v>5.6</c:v>
                </c:pt>
                <c:pt idx="548">
                  <c:v>10</c:v>
                </c:pt>
                <c:pt idx="549">
                  <c:v>14</c:v>
                </c:pt>
                <c:pt idx="550">
                  <c:v>8.3999999999999986</c:v>
                </c:pt>
                <c:pt idx="551">
                  <c:v>5</c:v>
                </c:pt>
                <c:pt idx="552">
                  <c:v>12.5</c:v>
                </c:pt>
                <c:pt idx="553">
                  <c:v>2.2000000000000002</c:v>
                </c:pt>
                <c:pt idx="554">
                  <c:v>10</c:v>
                </c:pt>
                <c:pt idx="555">
                  <c:v>8.3999999999999986</c:v>
                </c:pt>
                <c:pt idx="556">
                  <c:v>12.5</c:v>
                </c:pt>
                <c:pt idx="557">
                  <c:v>8.3999999999999986</c:v>
                </c:pt>
                <c:pt idx="558">
                  <c:v>14</c:v>
                </c:pt>
                <c:pt idx="559">
                  <c:v>5.6</c:v>
                </c:pt>
                <c:pt idx="560">
                  <c:v>4.4000000000000004</c:v>
                </c:pt>
                <c:pt idx="561">
                  <c:v>7</c:v>
                </c:pt>
                <c:pt idx="562">
                  <c:v>10.5</c:v>
                </c:pt>
                <c:pt idx="563">
                  <c:v>5</c:v>
                </c:pt>
                <c:pt idx="564">
                  <c:v>4.4000000000000004</c:v>
                </c:pt>
                <c:pt idx="565">
                  <c:v>14</c:v>
                </c:pt>
                <c:pt idx="566">
                  <c:v>11.2</c:v>
                </c:pt>
                <c:pt idx="567">
                  <c:v>2.2000000000000002</c:v>
                </c:pt>
                <c:pt idx="568">
                  <c:v>2.2000000000000002</c:v>
                </c:pt>
                <c:pt idx="569">
                  <c:v>3.8</c:v>
                </c:pt>
                <c:pt idx="570">
                  <c:v>7.6</c:v>
                </c:pt>
                <c:pt idx="571">
                  <c:v>12.5</c:v>
                </c:pt>
                <c:pt idx="572">
                  <c:v>19</c:v>
                </c:pt>
                <c:pt idx="573">
                  <c:v>17.5</c:v>
                </c:pt>
                <c:pt idx="574">
                  <c:v>2.2000000000000002</c:v>
                </c:pt>
                <c:pt idx="575">
                  <c:v>3.8</c:v>
                </c:pt>
                <c:pt idx="576">
                  <c:v>8.3999999999999986</c:v>
                </c:pt>
                <c:pt idx="577">
                  <c:v>11.399999999999999</c:v>
                </c:pt>
                <c:pt idx="578">
                  <c:v>11</c:v>
                </c:pt>
                <c:pt idx="579">
                  <c:v>7</c:v>
                </c:pt>
                <c:pt idx="580">
                  <c:v>11.399999999999999</c:v>
                </c:pt>
                <c:pt idx="581">
                  <c:v>14</c:v>
                </c:pt>
                <c:pt idx="582">
                  <c:v>4.4000000000000004</c:v>
                </c:pt>
                <c:pt idx="583">
                  <c:v>17.5</c:v>
                </c:pt>
                <c:pt idx="584">
                  <c:v>5.6</c:v>
                </c:pt>
                <c:pt idx="585">
                  <c:v>11.2</c:v>
                </c:pt>
                <c:pt idx="586">
                  <c:v>8.8000000000000007</c:v>
                </c:pt>
                <c:pt idx="587">
                  <c:v>10</c:v>
                </c:pt>
                <c:pt idx="588">
                  <c:v>2.8</c:v>
                </c:pt>
                <c:pt idx="589">
                  <c:v>6.6000000000000005</c:v>
                </c:pt>
                <c:pt idx="590">
                  <c:v>5</c:v>
                </c:pt>
                <c:pt idx="591">
                  <c:v>5</c:v>
                </c:pt>
                <c:pt idx="592">
                  <c:v>7</c:v>
                </c:pt>
                <c:pt idx="593">
                  <c:v>6.6000000000000005</c:v>
                </c:pt>
                <c:pt idx="594">
                  <c:v>8.3999999999999986</c:v>
                </c:pt>
                <c:pt idx="595">
                  <c:v>10</c:v>
                </c:pt>
                <c:pt idx="596">
                  <c:v>8.8000000000000007</c:v>
                </c:pt>
                <c:pt idx="597">
                  <c:v>12.5</c:v>
                </c:pt>
                <c:pt idx="598">
                  <c:v>10</c:v>
                </c:pt>
                <c:pt idx="599">
                  <c:v>8.8000000000000007</c:v>
                </c:pt>
                <c:pt idx="600">
                  <c:v>10</c:v>
                </c:pt>
                <c:pt idx="601">
                  <c:v>2.8</c:v>
                </c:pt>
                <c:pt idx="602">
                  <c:v>11</c:v>
                </c:pt>
                <c:pt idx="603">
                  <c:v>15.2</c:v>
                </c:pt>
                <c:pt idx="604">
                  <c:v>11</c:v>
                </c:pt>
                <c:pt idx="605">
                  <c:v>7</c:v>
                </c:pt>
                <c:pt idx="606">
                  <c:v>2.8</c:v>
                </c:pt>
                <c:pt idx="607">
                  <c:v>2.5</c:v>
                </c:pt>
                <c:pt idx="608">
                  <c:v>10.5</c:v>
                </c:pt>
                <c:pt idx="609">
                  <c:v>7</c:v>
                </c:pt>
                <c:pt idx="610">
                  <c:v>6.6000000000000005</c:v>
                </c:pt>
                <c:pt idx="611">
                  <c:v>14</c:v>
                </c:pt>
                <c:pt idx="612">
                  <c:v>19</c:v>
                </c:pt>
                <c:pt idx="613">
                  <c:v>7.5</c:v>
                </c:pt>
                <c:pt idx="614">
                  <c:v>8.3999999999999986</c:v>
                </c:pt>
                <c:pt idx="615">
                  <c:v>6.6000000000000005</c:v>
                </c:pt>
                <c:pt idx="616">
                  <c:v>8.8000000000000007</c:v>
                </c:pt>
                <c:pt idx="617">
                  <c:v>17.5</c:v>
                </c:pt>
                <c:pt idx="618">
                  <c:v>10</c:v>
                </c:pt>
                <c:pt idx="619">
                  <c:v>11.399999999999999</c:v>
                </c:pt>
                <c:pt idx="620">
                  <c:v>8.8000000000000007</c:v>
                </c:pt>
                <c:pt idx="621">
                  <c:v>8.3999999999999986</c:v>
                </c:pt>
                <c:pt idx="622">
                  <c:v>3.5</c:v>
                </c:pt>
                <c:pt idx="623">
                  <c:v>2.2000000000000002</c:v>
                </c:pt>
                <c:pt idx="624">
                  <c:v>8.8000000000000007</c:v>
                </c:pt>
                <c:pt idx="625">
                  <c:v>2.2000000000000002</c:v>
                </c:pt>
                <c:pt idx="626">
                  <c:v>8.8000000000000007</c:v>
                </c:pt>
                <c:pt idx="627">
                  <c:v>10.5</c:v>
                </c:pt>
                <c:pt idx="628">
                  <c:v>8.3999999999999986</c:v>
                </c:pt>
                <c:pt idx="629">
                  <c:v>10</c:v>
                </c:pt>
                <c:pt idx="630">
                  <c:v>7.5</c:v>
                </c:pt>
                <c:pt idx="631">
                  <c:v>10.5</c:v>
                </c:pt>
                <c:pt idx="632">
                  <c:v>11.399999999999999</c:v>
                </c:pt>
                <c:pt idx="633">
                  <c:v>2.2000000000000002</c:v>
                </c:pt>
                <c:pt idx="634">
                  <c:v>7.6</c:v>
                </c:pt>
                <c:pt idx="635">
                  <c:v>10</c:v>
                </c:pt>
                <c:pt idx="636">
                  <c:v>5</c:v>
                </c:pt>
                <c:pt idx="637">
                  <c:v>5.6</c:v>
                </c:pt>
                <c:pt idx="638">
                  <c:v>6.6000000000000005</c:v>
                </c:pt>
                <c:pt idx="639">
                  <c:v>19</c:v>
                </c:pt>
                <c:pt idx="640">
                  <c:v>12.5</c:v>
                </c:pt>
                <c:pt idx="641">
                  <c:v>14</c:v>
                </c:pt>
                <c:pt idx="642">
                  <c:v>2.2000000000000002</c:v>
                </c:pt>
                <c:pt idx="643">
                  <c:v>2.2000000000000002</c:v>
                </c:pt>
                <c:pt idx="644">
                  <c:v>11.2</c:v>
                </c:pt>
                <c:pt idx="645">
                  <c:v>4.4000000000000004</c:v>
                </c:pt>
                <c:pt idx="646">
                  <c:v>8.8000000000000007</c:v>
                </c:pt>
                <c:pt idx="647">
                  <c:v>19</c:v>
                </c:pt>
                <c:pt idx="648">
                  <c:v>3.5</c:v>
                </c:pt>
                <c:pt idx="649">
                  <c:v>7.6</c:v>
                </c:pt>
                <c:pt idx="650">
                  <c:v>2.2000000000000002</c:v>
                </c:pt>
                <c:pt idx="651">
                  <c:v>8.3999999999999986</c:v>
                </c:pt>
                <c:pt idx="652">
                  <c:v>15.2</c:v>
                </c:pt>
                <c:pt idx="653">
                  <c:v>14</c:v>
                </c:pt>
                <c:pt idx="654">
                  <c:v>8.3999999999999986</c:v>
                </c:pt>
                <c:pt idx="655">
                  <c:v>10</c:v>
                </c:pt>
                <c:pt idx="656">
                  <c:v>14</c:v>
                </c:pt>
                <c:pt idx="657">
                  <c:v>8.3999999999999986</c:v>
                </c:pt>
                <c:pt idx="658">
                  <c:v>8.3999999999999986</c:v>
                </c:pt>
                <c:pt idx="659">
                  <c:v>14</c:v>
                </c:pt>
                <c:pt idx="660">
                  <c:v>5</c:v>
                </c:pt>
                <c:pt idx="661">
                  <c:v>2.8</c:v>
                </c:pt>
                <c:pt idx="662">
                  <c:v>8.3999999999999986</c:v>
                </c:pt>
                <c:pt idx="663">
                  <c:v>11</c:v>
                </c:pt>
                <c:pt idx="664">
                  <c:v>2.8</c:v>
                </c:pt>
                <c:pt idx="665">
                  <c:v>19</c:v>
                </c:pt>
                <c:pt idx="666">
                  <c:v>2.8</c:v>
                </c:pt>
                <c:pt idx="667">
                  <c:v>7</c:v>
                </c:pt>
                <c:pt idx="668">
                  <c:v>7</c:v>
                </c:pt>
                <c:pt idx="669">
                  <c:v>2.8</c:v>
                </c:pt>
                <c:pt idx="670">
                  <c:v>11</c:v>
                </c:pt>
                <c:pt idx="671">
                  <c:v>7.6</c:v>
                </c:pt>
                <c:pt idx="672">
                  <c:v>10</c:v>
                </c:pt>
                <c:pt idx="673">
                  <c:v>10.5</c:v>
                </c:pt>
                <c:pt idx="674">
                  <c:v>2.2000000000000002</c:v>
                </c:pt>
                <c:pt idx="675">
                  <c:v>3.8</c:v>
                </c:pt>
                <c:pt idx="676">
                  <c:v>7.5</c:v>
                </c:pt>
                <c:pt idx="677">
                  <c:v>8.3999999999999986</c:v>
                </c:pt>
                <c:pt idx="678">
                  <c:v>12.5</c:v>
                </c:pt>
                <c:pt idx="679">
                  <c:v>15.2</c:v>
                </c:pt>
                <c:pt idx="680">
                  <c:v>3.5</c:v>
                </c:pt>
                <c:pt idx="681">
                  <c:v>19</c:v>
                </c:pt>
                <c:pt idx="682">
                  <c:v>5</c:v>
                </c:pt>
                <c:pt idx="683">
                  <c:v>7.6</c:v>
                </c:pt>
                <c:pt idx="684">
                  <c:v>11</c:v>
                </c:pt>
                <c:pt idx="685">
                  <c:v>14</c:v>
                </c:pt>
                <c:pt idx="686">
                  <c:v>17.5</c:v>
                </c:pt>
                <c:pt idx="687">
                  <c:v>10</c:v>
                </c:pt>
                <c:pt idx="688">
                  <c:v>8.3999999999999986</c:v>
                </c:pt>
                <c:pt idx="689">
                  <c:v>4.4000000000000004</c:v>
                </c:pt>
                <c:pt idx="690">
                  <c:v>14</c:v>
                </c:pt>
                <c:pt idx="691">
                  <c:v>2.2000000000000002</c:v>
                </c:pt>
                <c:pt idx="692">
                  <c:v>2.5</c:v>
                </c:pt>
                <c:pt idx="693">
                  <c:v>19</c:v>
                </c:pt>
                <c:pt idx="694">
                  <c:v>10</c:v>
                </c:pt>
                <c:pt idx="695">
                  <c:v>6.6000000000000005</c:v>
                </c:pt>
                <c:pt idx="696">
                  <c:v>7</c:v>
                </c:pt>
                <c:pt idx="697">
                  <c:v>2.5</c:v>
                </c:pt>
                <c:pt idx="698">
                  <c:v>10</c:v>
                </c:pt>
                <c:pt idx="699">
                  <c:v>2.2000000000000002</c:v>
                </c:pt>
                <c:pt idx="700">
                  <c:v>17.5</c:v>
                </c:pt>
                <c:pt idx="701">
                  <c:v>14</c:v>
                </c:pt>
                <c:pt idx="702">
                  <c:v>6.6000000000000005</c:v>
                </c:pt>
                <c:pt idx="703">
                  <c:v>14</c:v>
                </c:pt>
                <c:pt idx="704">
                  <c:v>14</c:v>
                </c:pt>
                <c:pt idx="705">
                  <c:v>11</c:v>
                </c:pt>
                <c:pt idx="706">
                  <c:v>10</c:v>
                </c:pt>
                <c:pt idx="707">
                  <c:v>12.5</c:v>
                </c:pt>
                <c:pt idx="708">
                  <c:v>4.4000000000000004</c:v>
                </c:pt>
                <c:pt idx="709">
                  <c:v>7</c:v>
                </c:pt>
                <c:pt idx="710">
                  <c:v>11.399999999999999</c:v>
                </c:pt>
                <c:pt idx="711">
                  <c:v>6.6000000000000005</c:v>
                </c:pt>
                <c:pt idx="712">
                  <c:v>5</c:v>
                </c:pt>
                <c:pt idx="713">
                  <c:v>5</c:v>
                </c:pt>
                <c:pt idx="714">
                  <c:v>19</c:v>
                </c:pt>
                <c:pt idx="715">
                  <c:v>12.5</c:v>
                </c:pt>
                <c:pt idx="716">
                  <c:v>4.4000000000000004</c:v>
                </c:pt>
                <c:pt idx="717">
                  <c:v>11.2</c:v>
                </c:pt>
                <c:pt idx="718">
                  <c:v>2.2000000000000002</c:v>
                </c:pt>
                <c:pt idx="719">
                  <c:v>7.5</c:v>
                </c:pt>
                <c:pt idx="720">
                  <c:v>10</c:v>
                </c:pt>
                <c:pt idx="721">
                  <c:v>11.2</c:v>
                </c:pt>
                <c:pt idx="722">
                  <c:v>19</c:v>
                </c:pt>
                <c:pt idx="723">
                  <c:v>5</c:v>
                </c:pt>
                <c:pt idx="724">
                  <c:v>5</c:v>
                </c:pt>
                <c:pt idx="725">
                  <c:v>2.8</c:v>
                </c:pt>
                <c:pt idx="726">
                  <c:v>11</c:v>
                </c:pt>
                <c:pt idx="727">
                  <c:v>10.5</c:v>
                </c:pt>
                <c:pt idx="728">
                  <c:v>7.6</c:v>
                </c:pt>
                <c:pt idx="729">
                  <c:v>7.6</c:v>
                </c:pt>
                <c:pt idx="730">
                  <c:v>14</c:v>
                </c:pt>
                <c:pt idx="731">
                  <c:v>11.2</c:v>
                </c:pt>
                <c:pt idx="732">
                  <c:v>4.4000000000000004</c:v>
                </c:pt>
                <c:pt idx="733">
                  <c:v>8.3999999999999986</c:v>
                </c:pt>
                <c:pt idx="734">
                  <c:v>10</c:v>
                </c:pt>
                <c:pt idx="735">
                  <c:v>6.6000000000000005</c:v>
                </c:pt>
                <c:pt idx="736">
                  <c:v>15.2</c:v>
                </c:pt>
                <c:pt idx="737">
                  <c:v>2.8</c:v>
                </c:pt>
                <c:pt idx="738">
                  <c:v>6.6000000000000005</c:v>
                </c:pt>
                <c:pt idx="739">
                  <c:v>10.5</c:v>
                </c:pt>
                <c:pt idx="740">
                  <c:v>14</c:v>
                </c:pt>
                <c:pt idx="741">
                  <c:v>8.8000000000000007</c:v>
                </c:pt>
                <c:pt idx="742">
                  <c:v>7.5</c:v>
                </c:pt>
                <c:pt idx="743">
                  <c:v>7</c:v>
                </c:pt>
                <c:pt idx="744">
                  <c:v>12.5</c:v>
                </c:pt>
                <c:pt idx="745">
                  <c:v>5.6</c:v>
                </c:pt>
                <c:pt idx="746">
                  <c:v>5.6</c:v>
                </c:pt>
                <c:pt idx="747">
                  <c:v>14</c:v>
                </c:pt>
                <c:pt idx="748">
                  <c:v>2.5</c:v>
                </c:pt>
                <c:pt idx="749">
                  <c:v>6.6000000000000005</c:v>
                </c:pt>
                <c:pt idx="750">
                  <c:v>2.5</c:v>
                </c:pt>
                <c:pt idx="751">
                  <c:v>12.5</c:v>
                </c:pt>
                <c:pt idx="752">
                  <c:v>4.4000000000000004</c:v>
                </c:pt>
                <c:pt idx="753">
                  <c:v>7.5</c:v>
                </c:pt>
                <c:pt idx="754">
                  <c:v>3.8</c:v>
                </c:pt>
                <c:pt idx="755">
                  <c:v>8.3999999999999986</c:v>
                </c:pt>
                <c:pt idx="756">
                  <c:v>11.399999999999999</c:v>
                </c:pt>
                <c:pt idx="757">
                  <c:v>2.2000000000000002</c:v>
                </c:pt>
                <c:pt idx="758">
                  <c:v>14</c:v>
                </c:pt>
                <c:pt idx="759">
                  <c:v>15.2</c:v>
                </c:pt>
                <c:pt idx="760">
                  <c:v>17.5</c:v>
                </c:pt>
                <c:pt idx="761">
                  <c:v>7.5</c:v>
                </c:pt>
                <c:pt idx="762">
                  <c:v>7.5</c:v>
                </c:pt>
                <c:pt idx="763">
                  <c:v>11.399999999999999</c:v>
                </c:pt>
                <c:pt idx="764">
                  <c:v>3.8</c:v>
                </c:pt>
                <c:pt idx="765">
                  <c:v>2.5</c:v>
                </c:pt>
                <c:pt idx="766">
                  <c:v>2.5</c:v>
                </c:pt>
                <c:pt idx="767">
                  <c:v>2.8</c:v>
                </c:pt>
                <c:pt idx="768">
                  <c:v>5</c:v>
                </c:pt>
                <c:pt idx="769">
                  <c:v>7.6</c:v>
                </c:pt>
                <c:pt idx="770">
                  <c:v>11</c:v>
                </c:pt>
                <c:pt idx="771">
                  <c:v>11.399999999999999</c:v>
                </c:pt>
                <c:pt idx="772">
                  <c:v>10</c:v>
                </c:pt>
                <c:pt idx="773">
                  <c:v>11.2</c:v>
                </c:pt>
                <c:pt idx="774">
                  <c:v>6.6000000000000005</c:v>
                </c:pt>
                <c:pt idx="775">
                  <c:v>5</c:v>
                </c:pt>
                <c:pt idx="776">
                  <c:v>11</c:v>
                </c:pt>
                <c:pt idx="777">
                  <c:v>3.5</c:v>
                </c:pt>
                <c:pt idx="778">
                  <c:v>10</c:v>
                </c:pt>
                <c:pt idx="779">
                  <c:v>15.2</c:v>
                </c:pt>
                <c:pt idx="780">
                  <c:v>2.2000000000000002</c:v>
                </c:pt>
                <c:pt idx="781">
                  <c:v>11</c:v>
                </c:pt>
                <c:pt idx="782">
                  <c:v>14</c:v>
                </c:pt>
                <c:pt idx="783">
                  <c:v>11</c:v>
                </c:pt>
                <c:pt idx="784">
                  <c:v>11.2</c:v>
                </c:pt>
                <c:pt idx="785">
                  <c:v>7</c:v>
                </c:pt>
                <c:pt idx="786">
                  <c:v>3.8</c:v>
                </c:pt>
                <c:pt idx="787">
                  <c:v>7.5</c:v>
                </c:pt>
                <c:pt idx="788">
                  <c:v>8.3999999999999986</c:v>
                </c:pt>
                <c:pt idx="789">
                  <c:v>5</c:v>
                </c:pt>
                <c:pt idx="790">
                  <c:v>14</c:v>
                </c:pt>
                <c:pt idx="791">
                  <c:v>2.2000000000000002</c:v>
                </c:pt>
                <c:pt idx="792">
                  <c:v>8.8000000000000007</c:v>
                </c:pt>
                <c:pt idx="793">
                  <c:v>15.2</c:v>
                </c:pt>
                <c:pt idx="794">
                  <c:v>7.6</c:v>
                </c:pt>
                <c:pt idx="795">
                  <c:v>2.2000000000000002</c:v>
                </c:pt>
                <c:pt idx="796">
                  <c:v>14</c:v>
                </c:pt>
                <c:pt idx="797">
                  <c:v>10</c:v>
                </c:pt>
                <c:pt idx="798">
                  <c:v>11.399999999999999</c:v>
                </c:pt>
                <c:pt idx="799">
                  <c:v>10</c:v>
                </c:pt>
                <c:pt idx="800">
                  <c:v>14</c:v>
                </c:pt>
                <c:pt idx="801">
                  <c:v>3.8</c:v>
                </c:pt>
                <c:pt idx="802">
                  <c:v>8.8000000000000007</c:v>
                </c:pt>
                <c:pt idx="803">
                  <c:v>5.6</c:v>
                </c:pt>
                <c:pt idx="804">
                  <c:v>2.8</c:v>
                </c:pt>
                <c:pt idx="805">
                  <c:v>3.8</c:v>
                </c:pt>
                <c:pt idx="806">
                  <c:v>2.8</c:v>
                </c:pt>
                <c:pt idx="807">
                  <c:v>2.2000000000000002</c:v>
                </c:pt>
                <c:pt idx="808">
                  <c:v>11</c:v>
                </c:pt>
                <c:pt idx="809">
                  <c:v>7</c:v>
                </c:pt>
                <c:pt idx="810">
                  <c:v>7</c:v>
                </c:pt>
                <c:pt idx="811">
                  <c:v>15.2</c:v>
                </c:pt>
                <c:pt idx="812">
                  <c:v>2.5</c:v>
                </c:pt>
                <c:pt idx="813">
                  <c:v>2.8</c:v>
                </c:pt>
                <c:pt idx="814">
                  <c:v>14</c:v>
                </c:pt>
                <c:pt idx="815">
                  <c:v>7.6</c:v>
                </c:pt>
                <c:pt idx="816">
                  <c:v>19</c:v>
                </c:pt>
                <c:pt idx="817">
                  <c:v>6.6000000000000005</c:v>
                </c:pt>
                <c:pt idx="818">
                  <c:v>8.8000000000000007</c:v>
                </c:pt>
                <c:pt idx="819">
                  <c:v>4.4000000000000004</c:v>
                </c:pt>
                <c:pt idx="820">
                  <c:v>14</c:v>
                </c:pt>
                <c:pt idx="821">
                  <c:v>11</c:v>
                </c:pt>
                <c:pt idx="822">
                  <c:v>11.399999999999999</c:v>
                </c:pt>
                <c:pt idx="823">
                  <c:v>19</c:v>
                </c:pt>
                <c:pt idx="824">
                  <c:v>12.5</c:v>
                </c:pt>
                <c:pt idx="825">
                  <c:v>12.5</c:v>
                </c:pt>
                <c:pt idx="826">
                  <c:v>3.5</c:v>
                </c:pt>
                <c:pt idx="827">
                  <c:v>2.5</c:v>
                </c:pt>
                <c:pt idx="828">
                  <c:v>8.3999999999999986</c:v>
                </c:pt>
                <c:pt idx="829">
                  <c:v>12.5</c:v>
                </c:pt>
                <c:pt idx="830">
                  <c:v>11.2</c:v>
                </c:pt>
                <c:pt idx="831">
                  <c:v>2.2000000000000002</c:v>
                </c:pt>
                <c:pt idx="832">
                  <c:v>2.2000000000000002</c:v>
                </c:pt>
                <c:pt idx="833">
                  <c:v>5</c:v>
                </c:pt>
                <c:pt idx="834">
                  <c:v>14</c:v>
                </c:pt>
                <c:pt idx="835">
                  <c:v>15.2</c:v>
                </c:pt>
                <c:pt idx="836">
                  <c:v>5</c:v>
                </c:pt>
                <c:pt idx="837">
                  <c:v>2.5</c:v>
                </c:pt>
                <c:pt idx="838">
                  <c:v>15.2</c:v>
                </c:pt>
                <c:pt idx="839">
                  <c:v>11.2</c:v>
                </c:pt>
                <c:pt idx="840">
                  <c:v>3.5</c:v>
                </c:pt>
                <c:pt idx="841">
                  <c:v>19</c:v>
                </c:pt>
                <c:pt idx="842">
                  <c:v>3.5</c:v>
                </c:pt>
                <c:pt idx="843">
                  <c:v>3.8</c:v>
                </c:pt>
                <c:pt idx="844">
                  <c:v>4.4000000000000004</c:v>
                </c:pt>
                <c:pt idx="845">
                  <c:v>3.8</c:v>
                </c:pt>
                <c:pt idx="846">
                  <c:v>7</c:v>
                </c:pt>
                <c:pt idx="847">
                  <c:v>19</c:v>
                </c:pt>
                <c:pt idx="848">
                  <c:v>12.5</c:v>
                </c:pt>
                <c:pt idx="849">
                  <c:v>8.8000000000000007</c:v>
                </c:pt>
                <c:pt idx="850">
                  <c:v>11.399999999999999</c:v>
                </c:pt>
                <c:pt idx="851">
                  <c:v>19</c:v>
                </c:pt>
                <c:pt idx="852">
                  <c:v>8.3999999999999986</c:v>
                </c:pt>
                <c:pt idx="853">
                  <c:v>10.5</c:v>
                </c:pt>
                <c:pt idx="854">
                  <c:v>7.6</c:v>
                </c:pt>
                <c:pt idx="855">
                  <c:v>3.8</c:v>
                </c:pt>
                <c:pt idx="856">
                  <c:v>11</c:v>
                </c:pt>
                <c:pt idx="857">
                  <c:v>3.8</c:v>
                </c:pt>
                <c:pt idx="858">
                  <c:v>14</c:v>
                </c:pt>
                <c:pt idx="859">
                  <c:v>5</c:v>
                </c:pt>
                <c:pt idx="860">
                  <c:v>7.6</c:v>
                </c:pt>
                <c:pt idx="861">
                  <c:v>2.5</c:v>
                </c:pt>
                <c:pt idx="862">
                  <c:v>8.3999999999999986</c:v>
                </c:pt>
                <c:pt idx="863">
                  <c:v>7.5</c:v>
                </c:pt>
                <c:pt idx="864">
                  <c:v>7</c:v>
                </c:pt>
                <c:pt idx="865">
                  <c:v>5.6</c:v>
                </c:pt>
                <c:pt idx="866">
                  <c:v>3.5</c:v>
                </c:pt>
                <c:pt idx="867">
                  <c:v>8.3999999999999986</c:v>
                </c:pt>
                <c:pt idx="868">
                  <c:v>6.6000000000000005</c:v>
                </c:pt>
                <c:pt idx="869">
                  <c:v>11.399999999999999</c:v>
                </c:pt>
                <c:pt idx="870">
                  <c:v>11.2</c:v>
                </c:pt>
                <c:pt idx="871">
                  <c:v>12.5</c:v>
                </c:pt>
                <c:pt idx="872">
                  <c:v>15.2</c:v>
                </c:pt>
                <c:pt idx="873">
                  <c:v>8.3999999999999986</c:v>
                </c:pt>
                <c:pt idx="874">
                  <c:v>14</c:v>
                </c:pt>
                <c:pt idx="875">
                  <c:v>2.5</c:v>
                </c:pt>
                <c:pt idx="876">
                  <c:v>5</c:v>
                </c:pt>
                <c:pt idx="877">
                  <c:v>5</c:v>
                </c:pt>
                <c:pt idx="878">
                  <c:v>7.6</c:v>
                </c:pt>
                <c:pt idx="879">
                  <c:v>6.6000000000000005</c:v>
                </c:pt>
                <c:pt idx="880">
                  <c:v>14</c:v>
                </c:pt>
                <c:pt idx="881">
                  <c:v>14</c:v>
                </c:pt>
                <c:pt idx="882">
                  <c:v>4.4000000000000004</c:v>
                </c:pt>
                <c:pt idx="883">
                  <c:v>8.8000000000000007</c:v>
                </c:pt>
                <c:pt idx="884">
                  <c:v>12.5</c:v>
                </c:pt>
                <c:pt idx="885">
                  <c:v>10.5</c:v>
                </c:pt>
                <c:pt idx="886">
                  <c:v>3.5</c:v>
                </c:pt>
                <c:pt idx="887">
                  <c:v>10.5</c:v>
                </c:pt>
                <c:pt idx="888">
                  <c:v>10</c:v>
                </c:pt>
                <c:pt idx="889">
                  <c:v>5.6</c:v>
                </c:pt>
                <c:pt idx="890">
                  <c:v>14</c:v>
                </c:pt>
                <c:pt idx="891">
                  <c:v>3.5</c:v>
                </c:pt>
                <c:pt idx="892">
                  <c:v>4.4000000000000004</c:v>
                </c:pt>
                <c:pt idx="893">
                  <c:v>8.8000000000000007</c:v>
                </c:pt>
                <c:pt idx="894">
                  <c:v>19</c:v>
                </c:pt>
                <c:pt idx="895">
                  <c:v>7</c:v>
                </c:pt>
                <c:pt idx="896">
                  <c:v>14</c:v>
                </c:pt>
                <c:pt idx="897">
                  <c:v>7.5</c:v>
                </c:pt>
                <c:pt idx="898">
                  <c:v>10.5</c:v>
                </c:pt>
                <c:pt idx="899">
                  <c:v>8.8000000000000007</c:v>
                </c:pt>
                <c:pt idx="900">
                  <c:v>4.4000000000000004</c:v>
                </c:pt>
                <c:pt idx="901">
                  <c:v>5.6</c:v>
                </c:pt>
                <c:pt idx="902">
                  <c:v>11.399999999999999</c:v>
                </c:pt>
                <c:pt idx="903">
                  <c:v>19</c:v>
                </c:pt>
                <c:pt idx="904">
                  <c:v>10</c:v>
                </c:pt>
                <c:pt idx="905">
                  <c:v>8.3999999999999986</c:v>
                </c:pt>
                <c:pt idx="906">
                  <c:v>19</c:v>
                </c:pt>
                <c:pt idx="907">
                  <c:v>14</c:v>
                </c:pt>
                <c:pt idx="908">
                  <c:v>3.8</c:v>
                </c:pt>
                <c:pt idx="909">
                  <c:v>10</c:v>
                </c:pt>
                <c:pt idx="910">
                  <c:v>10</c:v>
                </c:pt>
                <c:pt idx="911">
                  <c:v>2.5</c:v>
                </c:pt>
                <c:pt idx="912">
                  <c:v>8.3999999999999986</c:v>
                </c:pt>
                <c:pt idx="913">
                  <c:v>6.6000000000000005</c:v>
                </c:pt>
                <c:pt idx="914">
                  <c:v>17.5</c:v>
                </c:pt>
                <c:pt idx="915">
                  <c:v>7.5</c:v>
                </c:pt>
                <c:pt idx="916">
                  <c:v>11.2</c:v>
                </c:pt>
                <c:pt idx="917">
                  <c:v>7.5</c:v>
                </c:pt>
                <c:pt idx="918">
                  <c:v>2.8</c:v>
                </c:pt>
                <c:pt idx="919">
                  <c:v>25</c:v>
                </c:pt>
                <c:pt idx="920">
                  <c:v>17.5</c:v>
                </c:pt>
                <c:pt idx="921">
                  <c:v>7</c:v>
                </c:pt>
                <c:pt idx="922">
                  <c:v>7</c:v>
                </c:pt>
                <c:pt idx="923">
                  <c:v>10</c:v>
                </c:pt>
                <c:pt idx="924">
                  <c:v>14</c:v>
                </c:pt>
                <c:pt idx="925">
                  <c:v>17.5</c:v>
                </c:pt>
                <c:pt idx="926">
                  <c:v>2.8</c:v>
                </c:pt>
                <c:pt idx="927">
                  <c:v>2.8</c:v>
                </c:pt>
                <c:pt idx="928">
                  <c:v>10.5</c:v>
                </c:pt>
                <c:pt idx="929">
                  <c:v>11.399999999999999</c:v>
                </c:pt>
                <c:pt idx="930">
                  <c:v>7</c:v>
                </c:pt>
                <c:pt idx="931">
                  <c:v>11.2</c:v>
                </c:pt>
                <c:pt idx="932">
                  <c:v>7</c:v>
                </c:pt>
                <c:pt idx="933">
                  <c:v>2.2000000000000002</c:v>
                </c:pt>
                <c:pt idx="934">
                  <c:v>4.4000000000000004</c:v>
                </c:pt>
                <c:pt idx="935">
                  <c:v>2.5</c:v>
                </c:pt>
                <c:pt idx="936">
                  <c:v>2.8</c:v>
                </c:pt>
                <c:pt idx="937">
                  <c:v>5.6</c:v>
                </c:pt>
                <c:pt idx="938">
                  <c:v>2.5</c:v>
                </c:pt>
                <c:pt idx="939">
                  <c:v>10.5</c:v>
                </c:pt>
                <c:pt idx="940">
                  <c:v>19</c:v>
                </c:pt>
                <c:pt idx="941">
                  <c:v>2.5</c:v>
                </c:pt>
                <c:pt idx="942">
                  <c:v>10.5</c:v>
                </c:pt>
                <c:pt idx="943">
                  <c:v>4.4000000000000004</c:v>
                </c:pt>
                <c:pt idx="944">
                  <c:v>17.5</c:v>
                </c:pt>
                <c:pt idx="945">
                  <c:v>6.6000000000000005</c:v>
                </c:pt>
                <c:pt idx="946">
                  <c:v>7</c:v>
                </c:pt>
                <c:pt idx="947">
                  <c:v>10</c:v>
                </c:pt>
                <c:pt idx="948">
                  <c:v>8.3999999999999986</c:v>
                </c:pt>
                <c:pt idx="949">
                  <c:v>5.6</c:v>
                </c:pt>
                <c:pt idx="950">
                  <c:v>11</c:v>
                </c:pt>
                <c:pt idx="951">
                  <c:v>2.5</c:v>
                </c:pt>
                <c:pt idx="952">
                  <c:v>8.8000000000000007</c:v>
                </c:pt>
                <c:pt idx="953">
                  <c:v>4.4000000000000004</c:v>
                </c:pt>
                <c:pt idx="954">
                  <c:v>17.5</c:v>
                </c:pt>
                <c:pt idx="955">
                  <c:v>17.5</c:v>
                </c:pt>
                <c:pt idx="956">
                  <c:v>15.2</c:v>
                </c:pt>
                <c:pt idx="957">
                  <c:v>10</c:v>
                </c:pt>
                <c:pt idx="958">
                  <c:v>6.6000000000000005</c:v>
                </c:pt>
                <c:pt idx="959">
                  <c:v>8.8000000000000007</c:v>
                </c:pt>
                <c:pt idx="960">
                  <c:v>3.5</c:v>
                </c:pt>
                <c:pt idx="961">
                  <c:v>14</c:v>
                </c:pt>
                <c:pt idx="962">
                  <c:v>2.5</c:v>
                </c:pt>
                <c:pt idx="963">
                  <c:v>3.5</c:v>
                </c:pt>
                <c:pt idx="964">
                  <c:v>3.5</c:v>
                </c:pt>
                <c:pt idx="965">
                  <c:v>15.2</c:v>
                </c:pt>
                <c:pt idx="966">
                  <c:v>5</c:v>
                </c:pt>
                <c:pt idx="967">
                  <c:v>10</c:v>
                </c:pt>
                <c:pt idx="968">
                  <c:v>10.5</c:v>
                </c:pt>
                <c:pt idx="969">
                  <c:v>17.5</c:v>
                </c:pt>
                <c:pt idx="970">
                  <c:v>4.4000000000000004</c:v>
                </c:pt>
                <c:pt idx="971">
                  <c:v>7.5</c:v>
                </c:pt>
                <c:pt idx="972">
                  <c:v>17.5</c:v>
                </c:pt>
                <c:pt idx="973">
                  <c:v>5.6</c:v>
                </c:pt>
                <c:pt idx="974">
                  <c:v>11.2</c:v>
                </c:pt>
                <c:pt idx="975">
                  <c:v>11.2</c:v>
                </c:pt>
                <c:pt idx="976">
                  <c:v>4.4000000000000004</c:v>
                </c:pt>
                <c:pt idx="977">
                  <c:v>17.5</c:v>
                </c:pt>
                <c:pt idx="978">
                  <c:v>5.6</c:v>
                </c:pt>
                <c:pt idx="979">
                  <c:v>6.6000000000000005</c:v>
                </c:pt>
                <c:pt idx="980">
                  <c:v>7</c:v>
                </c:pt>
                <c:pt idx="981">
                  <c:v>5</c:v>
                </c:pt>
                <c:pt idx="982">
                  <c:v>10</c:v>
                </c:pt>
                <c:pt idx="983">
                  <c:v>11</c:v>
                </c:pt>
                <c:pt idx="984">
                  <c:v>2.5</c:v>
                </c:pt>
                <c:pt idx="985">
                  <c:v>14</c:v>
                </c:pt>
                <c:pt idx="986">
                  <c:v>7</c:v>
                </c:pt>
                <c:pt idx="987">
                  <c:v>14</c:v>
                </c:pt>
                <c:pt idx="988">
                  <c:v>7.5</c:v>
                </c:pt>
                <c:pt idx="989">
                  <c:v>8.8000000000000007</c:v>
                </c:pt>
                <c:pt idx="990">
                  <c:v>2.2000000000000002</c:v>
                </c:pt>
                <c:pt idx="991">
                  <c:v>3.5</c:v>
                </c:pt>
                <c:pt idx="992">
                  <c:v>17.5</c:v>
                </c:pt>
                <c:pt idx="993">
                  <c:v>19</c:v>
                </c:pt>
                <c:pt idx="994">
                  <c:v>8.3999999999999986</c:v>
                </c:pt>
                <c:pt idx="995">
                  <c:v>8.3999999999999986</c:v>
                </c:pt>
                <c:pt idx="996">
                  <c:v>3.8</c:v>
                </c:pt>
                <c:pt idx="997">
                  <c:v>10.5</c:v>
                </c:pt>
                <c:pt idx="998">
                  <c:v>7</c:v>
                </c:pt>
                <c:pt idx="999">
                  <c:v>2.2000000000000002</c:v>
                </c:pt>
                <c:pt idx="1000">
                  <c:v>10.5</c:v>
                </c:pt>
                <c:pt idx="1001">
                  <c:v>7.5</c:v>
                </c:pt>
                <c:pt idx="1002">
                  <c:v>8.8000000000000007</c:v>
                </c:pt>
                <c:pt idx="1003">
                  <c:v>14</c:v>
                </c:pt>
                <c:pt idx="1004">
                  <c:v>5.6</c:v>
                </c:pt>
                <c:pt idx="1005">
                  <c:v>14</c:v>
                </c:pt>
                <c:pt idx="1006">
                  <c:v>2.2000000000000002</c:v>
                </c:pt>
                <c:pt idx="1007">
                  <c:v>2.2000000000000002</c:v>
                </c:pt>
                <c:pt idx="1008">
                  <c:v>19</c:v>
                </c:pt>
                <c:pt idx="1009">
                  <c:v>11.2</c:v>
                </c:pt>
                <c:pt idx="1010">
                  <c:v>5.6</c:v>
                </c:pt>
                <c:pt idx="1011">
                  <c:v>3.8</c:v>
                </c:pt>
                <c:pt idx="1012">
                  <c:v>17.5</c:v>
                </c:pt>
                <c:pt idx="1013">
                  <c:v>15.2</c:v>
                </c:pt>
                <c:pt idx="1014">
                  <c:v>5</c:v>
                </c:pt>
                <c:pt idx="1015">
                  <c:v>4.4000000000000004</c:v>
                </c:pt>
                <c:pt idx="1016">
                  <c:v>14</c:v>
                </c:pt>
                <c:pt idx="1017">
                  <c:v>19</c:v>
                </c:pt>
                <c:pt idx="1018">
                  <c:v>10</c:v>
                </c:pt>
                <c:pt idx="1019">
                  <c:v>14</c:v>
                </c:pt>
                <c:pt idx="1020">
                  <c:v>14</c:v>
                </c:pt>
                <c:pt idx="1021">
                  <c:v>8.3999999999999986</c:v>
                </c:pt>
                <c:pt idx="1022">
                  <c:v>11.2</c:v>
                </c:pt>
                <c:pt idx="1023">
                  <c:v>14</c:v>
                </c:pt>
                <c:pt idx="1024">
                  <c:v>6.6000000000000005</c:v>
                </c:pt>
                <c:pt idx="1025">
                  <c:v>3.5</c:v>
                </c:pt>
                <c:pt idx="1026">
                  <c:v>17.5</c:v>
                </c:pt>
                <c:pt idx="1027">
                  <c:v>17.5</c:v>
                </c:pt>
                <c:pt idx="1028">
                  <c:v>2.8</c:v>
                </c:pt>
                <c:pt idx="1029">
                  <c:v>3.8</c:v>
                </c:pt>
                <c:pt idx="1030">
                  <c:v>2.2000000000000002</c:v>
                </c:pt>
                <c:pt idx="1031">
                  <c:v>17.5</c:v>
                </c:pt>
                <c:pt idx="1032">
                  <c:v>5.6</c:v>
                </c:pt>
                <c:pt idx="1033">
                  <c:v>11.2</c:v>
                </c:pt>
                <c:pt idx="1034">
                  <c:v>3.5</c:v>
                </c:pt>
                <c:pt idx="1035">
                  <c:v>2.8</c:v>
                </c:pt>
                <c:pt idx="1036">
                  <c:v>2.5</c:v>
                </c:pt>
                <c:pt idx="1037">
                  <c:v>3.8</c:v>
                </c:pt>
                <c:pt idx="1038">
                  <c:v>10</c:v>
                </c:pt>
                <c:pt idx="1039">
                  <c:v>2.2000000000000002</c:v>
                </c:pt>
                <c:pt idx="1040">
                  <c:v>2.2000000000000002</c:v>
                </c:pt>
                <c:pt idx="1041">
                  <c:v>8.8000000000000007</c:v>
                </c:pt>
                <c:pt idx="1042">
                  <c:v>2.8</c:v>
                </c:pt>
                <c:pt idx="1043">
                  <c:v>7.6</c:v>
                </c:pt>
                <c:pt idx="1044">
                  <c:v>10</c:v>
                </c:pt>
                <c:pt idx="1045">
                  <c:v>7.6</c:v>
                </c:pt>
                <c:pt idx="1046">
                  <c:v>15.2</c:v>
                </c:pt>
                <c:pt idx="1047">
                  <c:v>12.5</c:v>
                </c:pt>
                <c:pt idx="1048">
                  <c:v>4.4000000000000004</c:v>
                </c:pt>
                <c:pt idx="1049">
                  <c:v>7.6</c:v>
                </c:pt>
                <c:pt idx="1050">
                  <c:v>5</c:v>
                </c:pt>
                <c:pt idx="1051">
                  <c:v>3.8</c:v>
                </c:pt>
                <c:pt idx="1052">
                  <c:v>7.6</c:v>
                </c:pt>
                <c:pt idx="1053">
                  <c:v>3.5</c:v>
                </c:pt>
                <c:pt idx="1054">
                  <c:v>14</c:v>
                </c:pt>
                <c:pt idx="1055">
                  <c:v>14</c:v>
                </c:pt>
                <c:pt idx="1056">
                  <c:v>14</c:v>
                </c:pt>
                <c:pt idx="1057">
                  <c:v>7</c:v>
                </c:pt>
                <c:pt idx="1058">
                  <c:v>4.4000000000000004</c:v>
                </c:pt>
                <c:pt idx="1059">
                  <c:v>17.5</c:v>
                </c:pt>
                <c:pt idx="1060">
                  <c:v>5.6</c:v>
                </c:pt>
                <c:pt idx="1061">
                  <c:v>11.399999999999999</c:v>
                </c:pt>
                <c:pt idx="1062">
                  <c:v>11.399999999999999</c:v>
                </c:pt>
                <c:pt idx="1063">
                  <c:v>10</c:v>
                </c:pt>
                <c:pt idx="1064">
                  <c:v>19</c:v>
                </c:pt>
                <c:pt idx="1065">
                  <c:v>3.8</c:v>
                </c:pt>
                <c:pt idx="1066">
                  <c:v>12.5</c:v>
                </c:pt>
                <c:pt idx="1067">
                  <c:v>12.5</c:v>
                </c:pt>
                <c:pt idx="1068">
                  <c:v>3.5</c:v>
                </c:pt>
                <c:pt idx="1069">
                  <c:v>8.8000000000000007</c:v>
                </c:pt>
                <c:pt idx="1070">
                  <c:v>14</c:v>
                </c:pt>
                <c:pt idx="1071">
                  <c:v>2.5</c:v>
                </c:pt>
                <c:pt idx="1072">
                  <c:v>11.2</c:v>
                </c:pt>
                <c:pt idx="1073">
                  <c:v>3.8</c:v>
                </c:pt>
                <c:pt idx="1074">
                  <c:v>17.5</c:v>
                </c:pt>
                <c:pt idx="1075">
                  <c:v>4.4000000000000004</c:v>
                </c:pt>
                <c:pt idx="1076">
                  <c:v>7.6</c:v>
                </c:pt>
                <c:pt idx="1077">
                  <c:v>14</c:v>
                </c:pt>
                <c:pt idx="1078">
                  <c:v>5</c:v>
                </c:pt>
                <c:pt idx="1079">
                  <c:v>7.5</c:v>
                </c:pt>
                <c:pt idx="1080">
                  <c:v>2.8</c:v>
                </c:pt>
                <c:pt idx="1081">
                  <c:v>10.5</c:v>
                </c:pt>
                <c:pt idx="1082">
                  <c:v>17.5</c:v>
                </c:pt>
                <c:pt idx="1083">
                  <c:v>10</c:v>
                </c:pt>
                <c:pt idx="1084">
                  <c:v>6.6000000000000005</c:v>
                </c:pt>
                <c:pt idx="1085">
                  <c:v>4.4000000000000004</c:v>
                </c:pt>
                <c:pt idx="1086">
                  <c:v>10</c:v>
                </c:pt>
                <c:pt idx="1087">
                  <c:v>4.4000000000000004</c:v>
                </c:pt>
                <c:pt idx="1088">
                  <c:v>14</c:v>
                </c:pt>
                <c:pt idx="1089">
                  <c:v>14</c:v>
                </c:pt>
                <c:pt idx="1090">
                  <c:v>7</c:v>
                </c:pt>
                <c:pt idx="1091">
                  <c:v>11.2</c:v>
                </c:pt>
                <c:pt idx="1092">
                  <c:v>5</c:v>
                </c:pt>
                <c:pt idx="1093">
                  <c:v>5</c:v>
                </c:pt>
                <c:pt idx="1094">
                  <c:v>19</c:v>
                </c:pt>
                <c:pt idx="1095">
                  <c:v>5.6</c:v>
                </c:pt>
                <c:pt idx="1096">
                  <c:v>7.5</c:v>
                </c:pt>
                <c:pt idx="1097">
                  <c:v>7.5</c:v>
                </c:pt>
                <c:pt idx="1098">
                  <c:v>11</c:v>
                </c:pt>
                <c:pt idx="1099">
                  <c:v>15.2</c:v>
                </c:pt>
                <c:pt idx="1100">
                  <c:v>17.5</c:v>
                </c:pt>
                <c:pt idx="1101">
                  <c:v>3.5</c:v>
                </c:pt>
                <c:pt idx="1102">
                  <c:v>11.399999999999999</c:v>
                </c:pt>
                <c:pt idx="1103">
                  <c:v>6.6000000000000005</c:v>
                </c:pt>
                <c:pt idx="1104">
                  <c:v>14</c:v>
                </c:pt>
                <c:pt idx="1105">
                  <c:v>6.6000000000000005</c:v>
                </c:pt>
                <c:pt idx="1106">
                  <c:v>11.2</c:v>
                </c:pt>
                <c:pt idx="1107">
                  <c:v>11</c:v>
                </c:pt>
                <c:pt idx="1108">
                  <c:v>8.8000000000000007</c:v>
                </c:pt>
                <c:pt idx="1109">
                  <c:v>4.4000000000000004</c:v>
                </c:pt>
                <c:pt idx="1110">
                  <c:v>5.6</c:v>
                </c:pt>
                <c:pt idx="1111">
                  <c:v>7.5</c:v>
                </c:pt>
                <c:pt idx="1112">
                  <c:v>8.3999999999999986</c:v>
                </c:pt>
                <c:pt idx="1113">
                  <c:v>4.4000000000000004</c:v>
                </c:pt>
                <c:pt idx="1114">
                  <c:v>5</c:v>
                </c:pt>
                <c:pt idx="1115">
                  <c:v>12.5</c:v>
                </c:pt>
                <c:pt idx="1116">
                  <c:v>7</c:v>
                </c:pt>
                <c:pt idx="1117">
                  <c:v>4.4000000000000004</c:v>
                </c:pt>
                <c:pt idx="1118">
                  <c:v>3.5</c:v>
                </c:pt>
                <c:pt idx="1119">
                  <c:v>2.5</c:v>
                </c:pt>
                <c:pt idx="1120">
                  <c:v>10.5</c:v>
                </c:pt>
                <c:pt idx="1121">
                  <c:v>5</c:v>
                </c:pt>
                <c:pt idx="1122">
                  <c:v>8.3999999999999986</c:v>
                </c:pt>
                <c:pt idx="1123">
                  <c:v>11</c:v>
                </c:pt>
                <c:pt idx="1124">
                  <c:v>2.5</c:v>
                </c:pt>
                <c:pt idx="1125">
                  <c:v>5</c:v>
                </c:pt>
                <c:pt idx="1126">
                  <c:v>19</c:v>
                </c:pt>
                <c:pt idx="1127">
                  <c:v>19</c:v>
                </c:pt>
                <c:pt idx="1128">
                  <c:v>7</c:v>
                </c:pt>
                <c:pt idx="1129">
                  <c:v>17.5</c:v>
                </c:pt>
                <c:pt idx="1130">
                  <c:v>6.6000000000000005</c:v>
                </c:pt>
                <c:pt idx="1131">
                  <c:v>5</c:v>
                </c:pt>
                <c:pt idx="1132">
                  <c:v>7.5</c:v>
                </c:pt>
                <c:pt idx="1133">
                  <c:v>10</c:v>
                </c:pt>
                <c:pt idx="1134">
                  <c:v>3.8</c:v>
                </c:pt>
                <c:pt idx="1135">
                  <c:v>11.399999999999999</c:v>
                </c:pt>
                <c:pt idx="1136">
                  <c:v>2.2000000000000002</c:v>
                </c:pt>
                <c:pt idx="1137">
                  <c:v>2.2000000000000002</c:v>
                </c:pt>
                <c:pt idx="1138">
                  <c:v>11.399999999999999</c:v>
                </c:pt>
                <c:pt idx="1139">
                  <c:v>17.5</c:v>
                </c:pt>
                <c:pt idx="1140">
                  <c:v>11.2</c:v>
                </c:pt>
                <c:pt idx="1141">
                  <c:v>14</c:v>
                </c:pt>
                <c:pt idx="1142">
                  <c:v>12.5</c:v>
                </c:pt>
                <c:pt idx="1143">
                  <c:v>3.8</c:v>
                </c:pt>
                <c:pt idx="1144">
                  <c:v>10.5</c:v>
                </c:pt>
                <c:pt idx="1145">
                  <c:v>2.5</c:v>
                </c:pt>
                <c:pt idx="1146">
                  <c:v>4.4000000000000004</c:v>
                </c:pt>
                <c:pt idx="1147">
                  <c:v>19</c:v>
                </c:pt>
                <c:pt idx="1148">
                  <c:v>12.5</c:v>
                </c:pt>
                <c:pt idx="1149">
                  <c:v>14</c:v>
                </c:pt>
                <c:pt idx="1150">
                  <c:v>3.5</c:v>
                </c:pt>
                <c:pt idx="1151">
                  <c:v>3.5</c:v>
                </c:pt>
                <c:pt idx="1152">
                  <c:v>11</c:v>
                </c:pt>
                <c:pt idx="1153">
                  <c:v>2.8</c:v>
                </c:pt>
                <c:pt idx="1154">
                  <c:v>12.5</c:v>
                </c:pt>
                <c:pt idx="1155">
                  <c:v>2.2000000000000002</c:v>
                </c:pt>
                <c:pt idx="1156">
                  <c:v>17.5</c:v>
                </c:pt>
                <c:pt idx="1157">
                  <c:v>8.8000000000000007</c:v>
                </c:pt>
                <c:pt idx="1158">
                  <c:v>10</c:v>
                </c:pt>
                <c:pt idx="1159">
                  <c:v>5.6</c:v>
                </c:pt>
                <c:pt idx="1160">
                  <c:v>8.8000000000000007</c:v>
                </c:pt>
                <c:pt idx="1161">
                  <c:v>19</c:v>
                </c:pt>
                <c:pt idx="1162">
                  <c:v>15.2</c:v>
                </c:pt>
                <c:pt idx="1163">
                  <c:v>8.8000000000000007</c:v>
                </c:pt>
                <c:pt idx="1164">
                  <c:v>11.2</c:v>
                </c:pt>
                <c:pt idx="1165">
                  <c:v>5.6</c:v>
                </c:pt>
                <c:pt idx="1166">
                  <c:v>2.2000000000000002</c:v>
                </c:pt>
                <c:pt idx="1167">
                  <c:v>3.8</c:v>
                </c:pt>
                <c:pt idx="1168">
                  <c:v>2.2000000000000002</c:v>
                </c:pt>
                <c:pt idx="1169">
                  <c:v>11.399999999999999</c:v>
                </c:pt>
                <c:pt idx="1170">
                  <c:v>6.6000000000000005</c:v>
                </c:pt>
                <c:pt idx="1171">
                  <c:v>17.5</c:v>
                </c:pt>
                <c:pt idx="1172">
                  <c:v>10.5</c:v>
                </c:pt>
                <c:pt idx="1173">
                  <c:v>19</c:v>
                </c:pt>
                <c:pt idx="1174">
                  <c:v>3.5</c:v>
                </c:pt>
                <c:pt idx="1175">
                  <c:v>10.5</c:v>
                </c:pt>
                <c:pt idx="1176">
                  <c:v>11.399999999999999</c:v>
                </c:pt>
                <c:pt idx="1177">
                  <c:v>8.3999999999999986</c:v>
                </c:pt>
                <c:pt idx="1178">
                  <c:v>2.8</c:v>
                </c:pt>
                <c:pt idx="1179">
                  <c:v>5</c:v>
                </c:pt>
                <c:pt idx="1180">
                  <c:v>5</c:v>
                </c:pt>
                <c:pt idx="1181">
                  <c:v>2.2000000000000002</c:v>
                </c:pt>
                <c:pt idx="1182">
                  <c:v>19</c:v>
                </c:pt>
                <c:pt idx="1183">
                  <c:v>17.5</c:v>
                </c:pt>
                <c:pt idx="1184">
                  <c:v>7.5</c:v>
                </c:pt>
                <c:pt idx="1185">
                  <c:v>7.6</c:v>
                </c:pt>
                <c:pt idx="1186">
                  <c:v>7</c:v>
                </c:pt>
                <c:pt idx="1187">
                  <c:v>5</c:v>
                </c:pt>
                <c:pt idx="1188">
                  <c:v>11.399999999999999</c:v>
                </c:pt>
                <c:pt idx="1189">
                  <c:v>7</c:v>
                </c:pt>
                <c:pt idx="1190">
                  <c:v>11.2</c:v>
                </c:pt>
                <c:pt idx="1191">
                  <c:v>3.5</c:v>
                </c:pt>
                <c:pt idx="1192">
                  <c:v>7.6</c:v>
                </c:pt>
                <c:pt idx="1193">
                  <c:v>3.5</c:v>
                </c:pt>
                <c:pt idx="1194">
                  <c:v>2.2000000000000002</c:v>
                </c:pt>
                <c:pt idx="1195">
                  <c:v>19</c:v>
                </c:pt>
                <c:pt idx="1196">
                  <c:v>4.4000000000000004</c:v>
                </c:pt>
                <c:pt idx="1197">
                  <c:v>15.2</c:v>
                </c:pt>
                <c:pt idx="1198">
                  <c:v>10.5</c:v>
                </c:pt>
                <c:pt idx="1199">
                  <c:v>7</c:v>
                </c:pt>
                <c:pt idx="1200">
                  <c:v>14</c:v>
                </c:pt>
                <c:pt idx="1201">
                  <c:v>2.2000000000000002</c:v>
                </c:pt>
                <c:pt idx="1202">
                  <c:v>11.2</c:v>
                </c:pt>
                <c:pt idx="1203">
                  <c:v>3.8</c:v>
                </c:pt>
                <c:pt idx="1204">
                  <c:v>8.8000000000000007</c:v>
                </c:pt>
                <c:pt idx="1205">
                  <c:v>11</c:v>
                </c:pt>
                <c:pt idx="1206">
                  <c:v>5.6</c:v>
                </c:pt>
                <c:pt idx="1207">
                  <c:v>11.399999999999999</c:v>
                </c:pt>
                <c:pt idx="1208">
                  <c:v>14</c:v>
                </c:pt>
                <c:pt idx="1209">
                  <c:v>3.8</c:v>
                </c:pt>
                <c:pt idx="1210">
                  <c:v>10</c:v>
                </c:pt>
                <c:pt idx="1211">
                  <c:v>2.5</c:v>
                </c:pt>
                <c:pt idx="1212">
                  <c:v>12.5</c:v>
                </c:pt>
                <c:pt idx="1213">
                  <c:v>3.8</c:v>
                </c:pt>
                <c:pt idx="1214">
                  <c:v>2.8</c:v>
                </c:pt>
                <c:pt idx="1215">
                  <c:v>19</c:v>
                </c:pt>
                <c:pt idx="1216">
                  <c:v>17.5</c:v>
                </c:pt>
                <c:pt idx="1217">
                  <c:v>7.6</c:v>
                </c:pt>
                <c:pt idx="1218">
                  <c:v>2.2000000000000002</c:v>
                </c:pt>
                <c:pt idx="1219">
                  <c:v>8.8000000000000007</c:v>
                </c:pt>
                <c:pt idx="1220">
                  <c:v>19</c:v>
                </c:pt>
                <c:pt idx="1221">
                  <c:v>8.3999999999999986</c:v>
                </c:pt>
                <c:pt idx="1222">
                  <c:v>2.5</c:v>
                </c:pt>
                <c:pt idx="1223">
                  <c:v>3.5</c:v>
                </c:pt>
                <c:pt idx="1224">
                  <c:v>19</c:v>
                </c:pt>
                <c:pt idx="1225">
                  <c:v>10.5</c:v>
                </c:pt>
                <c:pt idx="1226">
                  <c:v>19</c:v>
                </c:pt>
                <c:pt idx="1227">
                  <c:v>3.8</c:v>
                </c:pt>
                <c:pt idx="1228">
                  <c:v>8.8000000000000007</c:v>
                </c:pt>
                <c:pt idx="1229">
                  <c:v>10.5</c:v>
                </c:pt>
                <c:pt idx="1230">
                  <c:v>6.6000000000000005</c:v>
                </c:pt>
                <c:pt idx="1231">
                  <c:v>8.3999999999999986</c:v>
                </c:pt>
                <c:pt idx="1232">
                  <c:v>19</c:v>
                </c:pt>
                <c:pt idx="1233">
                  <c:v>8.8000000000000007</c:v>
                </c:pt>
                <c:pt idx="1234">
                  <c:v>4.4000000000000004</c:v>
                </c:pt>
                <c:pt idx="1235">
                  <c:v>12.5</c:v>
                </c:pt>
                <c:pt idx="1236">
                  <c:v>7</c:v>
                </c:pt>
                <c:pt idx="1237">
                  <c:v>7</c:v>
                </c:pt>
                <c:pt idx="1238">
                  <c:v>15.2</c:v>
                </c:pt>
                <c:pt idx="1239">
                  <c:v>3.8</c:v>
                </c:pt>
                <c:pt idx="1240">
                  <c:v>5</c:v>
                </c:pt>
                <c:pt idx="1241">
                  <c:v>7</c:v>
                </c:pt>
                <c:pt idx="1242">
                  <c:v>2.8</c:v>
                </c:pt>
                <c:pt idx="1243">
                  <c:v>14</c:v>
                </c:pt>
                <c:pt idx="1244">
                  <c:v>11.2</c:v>
                </c:pt>
                <c:pt idx="1245">
                  <c:v>3.5</c:v>
                </c:pt>
                <c:pt idx="1246">
                  <c:v>14</c:v>
                </c:pt>
                <c:pt idx="1247">
                  <c:v>7.6</c:v>
                </c:pt>
                <c:pt idx="1248">
                  <c:v>4.4000000000000004</c:v>
                </c:pt>
                <c:pt idx="1249">
                  <c:v>19</c:v>
                </c:pt>
                <c:pt idx="1250">
                  <c:v>6.6000000000000005</c:v>
                </c:pt>
                <c:pt idx="1251">
                  <c:v>11.399999999999999</c:v>
                </c:pt>
                <c:pt idx="1252">
                  <c:v>12.5</c:v>
                </c:pt>
                <c:pt idx="1253">
                  <c:v>2.2000000000000002</c:v>
                </c:pt>
                <c:pt idx="1254">
                  <c:v>5.6</c:v>
                </c:pt>
                <c:pt idx="1255">
                  <c:v>4.4000000000000004</c:v>
                </c:pt>
                <c:pt idx="1256">
                  <c:v>3.8</c:v>
                </c:pt>
                <c:pt idx="1257">
                  <c:v>8.3999999999999986</c:v>
                </c:pt>
                <c:pt idx="1258">
                  <c:v>15.2</c:v>
                </c:pt>
                <c:pt idx="1259">
                  <c:v>6.6000000000000005</c:v>
                </c:pt>
                <c:pt idx="1260">
                  <c:v>12.5</c:v>
                </c:pt>
                <c:pt idx="1261">
                  <c:v>11.399999999999999</c:v>
                </c:pt>
                <c:pt idx="1262">
                  <c:v>10</c:v>
                </c:pt>
                <c:pt idx="1263">
                  <c:v>6.6000000000000005</c:v>
                </c:pt>
                <c:pt idx="1264">
                  <c:v>15.2</c:v>
                </c:pt>
                <c:pt idx="1265">
                  <c:v>10</c:v>
                </c:pt>
                <c:pt idx="1266">
                  <c:v>5</c:v>
                </c:pt>
                <c:pt idx="1267">
                  <c:v>3.5</c:v>
                </c:pt>
                <c:pt idx="1268">
                  <c:v>7.6</c:v>
                </c:pt>
                <c:pt idx="1269">
                  <c:v>8.3999999999999986</c:v>
                </c:pt>
                <c:pt idx="1270">
                  <c:v>2.2000000000000002</c:v>
                </c:pt>
                <c:pt idx="1271">
                  <c:v>3.5</c:v>
                </c:pt>
                <c:pt idx="1272">
                  <c:v>3.5</c:v>
                </c:pt>
                <c:pt idx="1273">
                  <c:v>7</c:v>
                </c:pt>
                <c:pt idx="1274">
                  <c:v>14</c:v>
                </c:pt>
                <c:pt idx="1275">
                  <c:v>11</c:v>
                </c:pt>
                <c:pt idx="1276">
                  <c:v>4.4000000000000004</c:v>
                </c:pt>
                <c:pt idx="1277">
                  <c:v>8.8000000000000007</c:v>
                </c:pt>
                <c:pt idx="1278">
                  <c:v>2.8</c:v>
                </c:pt>
                <c:pt idx="1279">
                  <c:v>4.4000000000000004</c:v>
                </c:pt>
                <c:pt idx="1280">
                  <c:v>7.5</c:v>
                </c:pt>
                <c:pt idx="1281">
                  <c:v>11</c:v>
                </c:pt>
                <c:pt idx="1282">
                  <c:v>7</c:v>
                </c:pt>
                <c:pt idx="1283">
                  <c:v>2.5</c:v>
                </c:pt>
                <c:pt idx="1284">
                  <c:v>7.5</c:v>
                </c:pt>
                <c:pt idx="1285">
                  <c:v>11.2</c:v>
                </c:pt>
                <c:pt idx="1286">
                  <c:v>14</c:v>
                </c:pt>
                <c:pt idx="1287">
                  <c:v>11.2</c:v>
                </c:pt>
                <c:pt idx="1288">
                  <c:v>17.5</c:v>
                </c:pt>
                <c:pt idx="1289">
                  <c:v>11</c:v>
                </c:pt>
                <c:pt idx="1290">
                  <c:v>5.6</c:v>
                </c:pt>
                <c:pt idx="1291">
                  <c:v>10</c:v>
                </c:pt>
                <c:pt idx="1292">
                  <c:v>10</c:v>
                </c:pt>
                <c:pt idx="1293">
                  <c:v>17.5</c:v>
                </c:pt>
                <c:pt idx="1294">
                  <c:v>2.5</c:v>
                </c:pt>
                <c:pt idx="1295">
                  <c:v>17.5</c:v>
                </c:pt>
                <c:pt idx="1296">
                  <c:v>11</c:v>
                </c:pt>
                <c:pt idx="1297">
                  <c:v>12.5</c:v>
                </c:pt>
                <c:pt idx="1298">
                  <c:v>3.8</c:v>
                </c:pt>
                <c:pt idx="1299">
                  <c:v>14</c:v>
                </c:pt>
                <c:pt idx="1300">
                  <c:v>5</c:v>
                </c:pt>
                <c:pt idx="1301">
                  <c:v>15.2</c:v>
                </c:pt>
                <c:pt idx="1302">
                  <c:v>2.2000000000000002</c:v>
                </c:pt>
                <c:pt idx="1303">
                  <c:v>6.6000000000000005</c:v>
                </c:pt>
                <c:pt idx="1304">
                  <c:v>3.5</c:v>
                </c:pt>
                <c:pt idx="1305">
                  <c:v>7.6</c:v>
                </c:pt>
                <c:pt idx="1306">
                  <c:v>14</c:v>
                </c:pt>
                <c:pt idx="1307">
                  <c:v>7</c:v>
                </c:pt>
                <c:pt idx="1308">
                  <c:v>11</c:v>
                </c:pt>
                <c:pt idx="1309">
                  <c:v>11.2</c:v>
                </c:pt>
                <c:pt idx="1310">
                  <c:v>15.2</c:v>
                </c:pt>
                <c:pt idx="1311">
                  <c:v>11.399999999999999</c:v>
                </c:pt>
                <c:pt idx="1312">
                  <c:v>10.5</c:v>
                </c:pt>
                <c:pt idx="1313">
                  <c:v>7</c:v>
                </c:pt>
                <c:pt idx="1314">
                  <c:v>11</c:v>
                </c:pt>
                <c:pt idx="1315">
                  <c:v>4.4000000000000004</c:v>
                </c:pt>
                <c:pt idx="1316">
                  <c:v>3.8</c:v>
                </c:pt>
                <c:pt idx="1317">
                  <c:v>2.8</c:v>
                </c:pt>
                <c:pt idx="1318">
                  <c:v>2.2000000000000002</c:v>
                </c:pt>
                <c:pt idx="1319">
                  <c:v>20</c:v>
                </c:pt>
                <c:pt idx="1320">
                  <c:v>10.5</c:v>
                </c:pt>
                <c:pt idx="1321">
                  <c:v>2.8</c:v>
                </c:pt>
                <c:pt idx="1322">
                  <c:v>14</c:v>
                </c:pt>
                <c:pt idx="1323">
                  <c:v>8.3999999999999986</c:v>
                </c:pt>
                <c:pt idx="1324">
                  <c:v>5</c:v>
                </c:pt>
                <c:pt idx="1325">
                  <c:v>10</c:v>
                </c:pt>
                <c:pt idx="1326">
                  <c:v>11.2</c:v>
                </c:pt>
                <c:pt idx="1327">
                  <c:v>3.5</c:v>
                </c:pt>
                <c:pt idx="1328">
                  <c:v>5.6</c:v>
                </c:pt>
                <c:pt idx="1329">
                  <c:v>3.5</c:v>
                </c:pt>
                <c:pt idx="1330">
                  <c:v>8.3999999999999986</c:v>
                </c:pt>
                <c:pt idx="1331">
                  <c:v>2.2000000000000002</c:v>
                </c:pt>
                <c:pt idx="1332">
                  <c:v>11</c:v>
                </c:pt>
                <c:pt idx="1333">
                  <c:v>11</c:v>
                </c:pt>
                <c:pt idx="1334">
                  <c:v>7.6</c:v>
                </c:pt>
                <c:pt idx="1335">
                  <c:v>5</c:v>
                </c:pt>
                <c:pt idx="1336">
                  <c:v>8.8000000000000007</c:v>
                </c:pt>
                <c:pt idx="1337">
                  <c:v>4.4000000000000004</c:v>
                </c:pt>
                <c:pt idx="1338">
                  <c:v>3.5</c:v>
                </c:pt>
                <c:pt idx="1339">
                  <c:v>11.399999999999999</c:v>
                </c:pt>
                <c:pt idx="1340">
                  <c:v>14</c:v>
                </c:pt>
                <c:pt idx="1341">
                  <c:v>15.2</c:v>
                </c:pt>
                <c:pt idx="1342">
                  <c:v>15.2</c:v>
                </c:pt>
                <c:pt idx="1343">
                  <c:v>10</c:v>
                </c:pt>
                <c:pt idx="1344">
                  <c:v>2.2000000000000002</c:v>
                </c:pt>
                <c:pt idx="1345">
                  <c:v>19</c:v>
                </c:pt>
                <c:pt idx="1346">
                  <c:v>10.5</c:v>
                </c:pt>
                <c:pt idx="1347">
                  <c:v>5.6</c:v>
                </c:pt>
                <c:pt idx="1348">
                  <c:v>3.5</c:v>
                </c:pt>
                <c:pt idx="1349">
                  <c:v>10</c:v>
                </c:pt>
                <c:pt idx="1350">
                  <c:v>17.5</c:v>
                </c:pt>
                <c:pt idx="1351">
                  <c:v>7.6</c:v>
                </c:pt>
                <c:pt idx="1352">
                  <c:v>2.5</c:v>
                </c:pt>
                <c:pt idx="1353">
                  <c:v>15.2</c:v>
                </c:pt>
                <c:pt idx="1354">
                  <c:v>6.6000000000000005</c:v>
                </c:pt>
                <c:pt idx="1355">
                  <c:v>2.5</c:v>
                </c:pt>
                <c:pt idx="1356">
                  <c:v>5</c:v>
                </c:pt>
                <c:pt idx="1357">
                  <c:v>2.5</c:v>
                </c:pt>
                <c:pt idx="1358">
                  <c:v>5.6</c:v>
                </c:pt>
                <c:pt idx="1359">
                  <c:v>11</c:v>
                </c:pt>
                <c:pt idx="1360">
                  <c:v>12.5</c:v>
                </c:pt>
                <c:pt idx="1361">
                  <c:v>11</c:v>
                </c:pt>
                <c:pt idx="1362">
                  <c:v>11.399999999999999</c:v>
                </c:pt>
                <c:pt idx="1363">
                  <c:v>4.4000000000000004</c:v>
                </c:pt>
                <c:pt idx="1364">
                  <c:v>8.3999999999999986</c:v>
                </c:pt>
                <c:pt idx="1365">
                  <c:v>5</c:v>
                </c:pt>
                <c:pt idx="1366">
                  <c:v>3.5</c:v>
                </c:pt>
                <c:pt idx="1367">
                  <c:v>7.6</c:v>
                </c:pt>
                <c:pt idx="1368">
                  <c:v>15.2</c:v>
                </c:pt>
                <c:pt idx="1369">
                  <c:v>14</c:v>
                </c:pt>
                <c:pt idx="1370">
                  <c:v>2.2000000000000002</c:v>
                </c:pt>
                <c:pt idx="1371">
                  <c:v>8.3999999999999986</c:v>
                </c:pt>
                <c:pt idx="1372">
                  <c:v>4.4000000000000004</c:v>
                </c:pt>
                <c:pt idx="1373">
                  <c:v>19</c:v>
                </c:pt>
                <c:pt idx="1374">
                  <c:v>5.6</c:v>
                </c:pt>
                <c:pt idx="1375">
                  <c:v>12.5</c:v>
                </c:pt>
                <c:pt idx="1376">
                  <c:v>14</c:v>
                </c:pt>
                <c:pt idx="1377">
                  <c:v>7</c:v>
                </c:pt>
                <c:pt idx="1378">
                  <c:v>17.5</c:v>
                </c:pt>
                <c:pt idx="1379">
                  <c:v>19</c:v>
                </c:pt>
                <c:pt idx="1380">
                  <c:v>7.5</c:v>
                </c:pt>
                <c:pt idx="1381">
                  <c:v>11.399999999999999</c:v>
                </c:pt>
                <c:pt idx="1382">
                  <c:v>2.2000000000000002</c:v>
                </c:pt>
                <c:pt idx="1383">
                  <c:v>11.2</c:v>
                </c:pt>
                <c:pt idx="1384">
                  <c:v>14</c:v>
                </c:pt>
                <c:pt idx="1385">
                  <c:v>7.5</c:v>
                </c:pt>
                <c:pt idx="1386">
                  <c:v>3.8</c:v>
                </c:pt>
                <c:pt idx="1387">
                  <c:v>7.5</c:v>
                </c:pt>
                <c:pt idx="1388">
                  <c:v>8.8000000000000007</c:v>
                </c:pt>
                <c:pt idx="1389">
                  <c:v>7.5</c:v>
                </c:pt>
                <c:pt idx="1390">
                  <c:v>5.6</c:v>
                </c:pt>
                <c:pt idx="1391">
                  <c:v>4.4000000000000004</c:v>
                </c:pt>
                <c:pt idx="1392">
                  <c:v>7</c:v>
                </c:pt>
                <c:pt idx="1393">
                  <c:v>5</c:v>
                </c:pt>
                <c:pt idx="1394">
                  <c:v>10.5</c:v>
                </c:pt>
                <c:pt idx="1395">
                  <c:v>2.2000000000000002</c:v>
                </c:pt>
                <c:pt idx="1396">
                  <c:v>17.5</c:v>
                </c:pt>
                <c:pt idx="1397">
                  <c:v>8.3999999999999986</c:v>
                </c:pt>
                <c:pt idx="1398">
                  <c:v>11</c:v>
                </c:pt>
                <c:pt idx="1399">
                  <c:v>7</c:v>
                </c:pt>
                <c:pt idx="1400">
                  <c:v>8.8000000000000007</c:v>
                </c:pt>
                <c:pt idx="1401">
                  <c:v>5.6</c:v>
                </c:pt>
                <c:pt idx="1402">
                  <c:v>15.2</c:v>
                </c:pt>
                <c:pt idx="1403">
                  <c:v>2.5</c:v>
                </c:pt>
                <c:pt idx="1404">
                  <c:v>7.6</c:v>
                </c:pt>
                <c:pt idx="1405">
                  <c:v>6.6000000000000005</c:v>
                </c:pt>
                <c:pt idx="1406">
                  <c:v>8.3999999999999986</c:v>
                </c:pt>
                <c:pt idx="1407">
                  <c:v>11.399999999999999</c:v>
                </c:pt>
                <c:pt idx="1408">
                  <c:v>11.399999999999999</c:v>
                </c:pt>
                <c:pt idx="1409">
                  <c:v>17.5</c:v>
                </c:pt>
                <c:pt idx="1410">
                  <c:v>10</c:v>
                </c:pt>
                <c:pt idx="1411">
                  <c:v>2.2000000000000002</c:v>
                </c:pt>
                <c:pt idx="1412">
                  <c:v>7</c:v>
                </c:pt>
                <c:pt idx="1413">
                  <c:v>12.5</c:v>
                </c:pt>
                <c:pt idx="1414">
                  <c:v>7</c:v>
                </c:pt>
                <c:pt idx="1415">
                  <c:v>11.2</c:v>
                </c:pt>
                <c:pt idx="1416">
                  <c:v>3.8</c:v>
                </c:pt>
                <c:pt idx="1417">
                  <c:v>8.3999999999999986</c:v>
                </c:pt>
                <c:pt idx="1418">
                  <c:v>8.3999999999999986</c:v>
                </c:pt>
                <c:pt idx="1419">
                  <c:v>11.399999999999999</c:v>
                </c:pt>
                <c:pt idx="1420">
                  <c:v>12.5</c:v>
                </c:pt>
                <c:pt idx="1421">
                  <c:v>3.8</c:v>
                </c:pt>
                <c:pt idx="1422">
                  <c:v>7.5</c:v>
                </c:pt>
                <c:pt idx="1423">
                  <c:v>11</c:v>
                </c:pt>
                <c:pt idx="1424">
                  <c:v>14</c:v>
                </c:pt>
                <c:pt idx="1425">
                  <c:v>2.5</c:v>
                </c:pt>
                <c:pt idx="1426">
                  <c:v>8.3999999999999986</c:v>
                </c:pt>
                <c:pt idx="1427">
                  <c:v>11.399999999999999</c:v>
                </c:pt>
                <c:pt idx="1428">
                  <c:v>11.2</c:v>
                </c:pt>
                <c:pt idx="1429">
                  <c:v>15.2</c:v>
                </c:pt>
                <c:pt idx="1430">
                  <c:v>6.6000000000000005</c:v>
                </c:pt>
                <c:pt idx="1431">
                  <c:v>7.5</c:v>
                </c:pt>
                <c:pt idx="1432">
                  <c:v>2.5</c:v>
                </c:pt>
                <c:pt idx="1433">
                  <c:v>17.5</c:v>
                </c:pt>
                <c:pt idx="1434">
                  <c:v>3.8</c:v>
                </c:pt>
                <c:pt idx="1435">
                  <c:v>5.6</c:v>
                </c:pt>
                <c:pt idx="1436">
                  <c:v>2.5</c:v>
                </c:pt>
                <c:pt idx="1437">
                  <c:v>19</c:v>
                </c:pt>
                <c:pt idx="1438">
                  <c:v>6.6000000000000005</c:v>
                </c:pt>
                <c:pt idx="1439">
                  <c:v>7.5</c:v>
                </c:pt>
                <c:pt idx="1440">
                  <c:v>2.2000000000000002</c:v>
                </c:pt>
                <c:pt idx="1441">
                  <c:v>11</c:v>
                </c:pt>
                <c:pt idx="1442">
                  <c:v>14</c:v>
                </c:pt>
                <c:pt idx="1443">
                  <c:v>14</c:v>
                </c:pt>
                <c:pt idx="1444">
                  <c:v>6.6000000000000005</c:v>
                </c:pt>
                <c:pt idx="1445">
                  <c:v>3.5</c:v>
                </c:pt>
                <c:pt idx="1446">
                  <c:v>7.5</c:v>
                </c:pt>
                <c:pt idx="1447">
                  <c:v>6.6000000000000005</c:v>
                </c:pt>
                <c:pt idx="1448">
                  <c:v>6.6000000000000005</c:v>
                </c:pt>
                <c:pt idx="1449">
                  <c:v>10</c:v>
                </c:pt>
                <c:pt idx="1450">
                  <c:v>5</c:v>
                </c:pt>
                <c:pt idx="1451">
                  <c:v>10</c:v>
                </c:pt>
                <c:pt idx="1452">
                  <c:v>15.2</c:v>
                </c:pt>
                <c:pt idx="1453">
                  <c:v>5</c:v>
                </c:pt>
                <c:pt idx="1454">
                  <c:v>5</c:v>
                </c:pt>
                <c:pt idx="1455">
                  <c:v>17.5</c:v>
                </c:pt>
                <c:pt idx="1456">
                  <c:v>3.8</c:v>
                </c:pt>
                <c:pt idx="1457">
                  <c:v>8.3999999999999986</c:v>
                </c:pt>
                <c:pt idx="1458">
                  <c:v>4.4000000000000004</c:v>
                </c:pt>
                <c:pt idx="1459">
                  <c:v>11.2</c:v>
                </c:pt>
                <c:pt idx="1460">
                  <c:v>3.8</c:v>
                </c:pt>
                <c:pt idx="1461">
                  <c:v>17.5</c:v>
                </c:pt>
                <c:pt idx="1462">
                  <c:v>2.2000000000000002</c:v>
                </c:pt>
                <c:pt idx="1463">
                  <c:v>11.399999999999999</c:v>
                </c:pt>
                <c:pt idx="1464">
                  <c:v>15.2</c:v>
                </c:pt>
                <c:pt idx="1465">
                  <c:v>14</c:v>
                </c:pt>
                <c:pt idx="1466">
                  <c:v>19</c:v>
                </c:pt>
                <c:pt idx="1467">
                  <c:v>6.6000000000000005</c:v>
                </c:pt>
                <c:pt idx="1468">
                  <c:v>2.8</c:v>
                </c:pt>
                <c:pt idx="1469">
                  <c:v>17.5</c:v>
                </c:pt>
                <c:pt idx="1470">
                  <c:v>6.6000000000000005</c:v>
                </c:pt>
                <c:pt idx="1471">
                  <c:v>7.6</c:v>
                </c:pt>
                <c:pt idx="1472">
                  <c:v>8.8000000000000007</c:v>
                </c:pt>
                <c:pt idx="1473">
                  <c:v>2.2000000000000002</c:v>
                </c:pt>
                <c:pt idx="1474">
                  <c:v>4.4000000000000004</c:v>
                </c:pt>
                <c:pt idx="1475">
                  <c:v>12.5</c:v>
                </c:pt>
                <c:pt idx="1476">
                  <c:v>15.2</c:v>
                </c:pt>
                <c:pt idx="1477">
                  <c:v>2.2000000000000002</c:v>
                </c:pt>
                <c:pt idx="1478">
                  <c:v>17.5</c:v>
                </c:pt>
                <c:pt idx="1479">
                  <c:v>5.6</c:v>
                </c:pt>
                <c:pt idx="1480">
                  <c:v>2.5</c:v>
                </c:pt>
                <c:pt idx="1481">
                  <c:v>7</c:v>
                </c:pt>
                <c:pt idx="1482">
                  <c:v>8.8000000000000007</c:v>
                </c:pt>
                <c:pt idx="1483">
                  <c:v>14</c:v>
                </c:pt>
                <c:pt idx="1484">
                  <c:v>2.2000000000000002</c:v>
                </c:pt>
                <c:pt idx="1485">
                  <c:v>19</c:v>
                </c:pt>
                <c:pt idx="1486">
                  <c:v>3.5</c:v>
                </c:pt>
                <c:pt idx="1487">
                  <c:v>3.5</c:v>
                </c:pt>
                <c:pt idx="1488">
                  <c:v>4.4000000000000004</c:v>
                </c:pt>
                <c:pt idx="1489">
                  <c:v>8.3999999999999986</c:v>
                </c:pt>
                <c:pt idx="1490">
                  <c:v>17.5</c:v>
                </c:pt>
                <c:pt idx="1491">
                  <c:v>2.5</c:v>
                </c:pt>
                <c:pt idx="1492">
                  <c:v>8.3999999999999986</c:v>
                </c:pt>
                <c:pt idx="1493">
                  <c:v>17.5</c:v>
                </c:pt>
                <c:pt idx="1494">
                  <c:v>11.2</c:v>
                </c:pt>
                <c:pt idx="1495">
                  <c:v>2.5</c:v>
                </c:pt>
                <c:pt idx="1496">
                  <c:v>10</c:v>
                </c:pt>
                <c:pt idx="1497">
                  <c:v>10.5</c:v>
                </c:pt>
                <c:pt idx="1498">
                  <c:v>11.399999999999999</c:v>
                </c:pt>
                <c:pt idx="1499">
                  <c:v>2.5</c:v>
                </c:pt>
                <c:pt idx="1500">
                  <c:v>2.8</c:v>
                </c:pt>
                <c:pt idx="1501">
                  <c:v>10</c:v>
                </c:pt>
                <c:pt idx="1502">
                  <c:v>15.2</c:v>
                </c:pt>
                <c:pt idx="1503">
                  <c:v>17.5</c:v>
                </c:pt>
                <c:pt idx="1504">
                  <c:v>5</c:v>
                </c:pt>
                <c:pt idx="1505">
                  <c:v>19</c:v>
                </c:pt>
                <c:pt idx="1506">
                  <c:v>11.399999999999999</c:v>
                </c:pt>
                <c:pt idx="1507">
                  <c:v>10.5</c:v>
                </c:pt>
                <c:pt idx="1508">
                  <c:v>7.5</c:v>
                </c:pt>
                <c:pt idx="1509">
                  <c:v>2.2000000000000002</c:v>
                </c:pt>
                <c:pt idx="1510">
                  <c:v>7</c:v>
                </c:pt>
                <c:pt idx="1511">
                  <c:v>7</c:v>
                </c:pt>
                <c:pt idx="1512">
                  <c:v>2.8</c:v>
                </c:pt>
                <c:pt idx="1513">
                  <c:v>14</c:v>
                </c:pt>
                <c:pt idx="1514">
                  <c:v>5</c:v>
                </c:pt>
                <c:pt idx="1515">
                  <c:v>3.8</c:v>
                </c:pt>
                <c:pt idx="1516">
                  <c:v>7.5</c:v>
                </c:pt>
                <c:pt idx="1517">
                  <c:v>7.5</c:v>
                </c:pt>
                <c:pt idx="1518">
                  <c:v>17.5</c:v>
                </c:pt>
                <c:pt idx="1519">
                  <c:v>2.8</c:v>
                </c:pt>
                <c:pt idx="1520">
                  <c:v>11</c:v>
                </c:pt>
                <c:pt idx="1521">
                  <c:v>17.5</c:v>
                </c:pt>
                <c:pt idx="1522">
                  <c:v>8.8000000000000007</c:v>
                </c:pt>
                <c:pt idx="1523">
                  <c:v>12.5</c:v>
                </c:pt>
                <c:pt idx="1524">
                  <c:v>7</c:v>
                </c:pt>
                <c:pt idx="1525">
                  <c:v>8.3999999999999986</c:v>
                </c:pt>
                <c:pt idx="1526">
                  <c:v>4.4000000000000004</c:v>
                </c:pt>
                <c:pt idx="1527">
                  <c:v>7.6</c:v>
                </c:pt>
                <c:pt idx="1528">
                  <c:v>3.5</c:v>
                </c:pt>
                <c:pt idx="1529">
                  <c:v>8.3999999999999986</c:v>
                </c:pt>
                <c:pt idx="1530">
                  <c:v>8.3999999999999986</c:v>
                </c:pt>
                <c:pt idx="1531">
                  <c:v>8.8000000000000007</c:v>
                </c:pt>
                <c:pt idx="1532">
                  <c:v>6.6000000000000005</c:v>
                </c:pt>
                <c:pt idx="1533">
                  <c:v>2.8</c:v>
                </c:pt>
                <c:pt idx="1534">
                  <c:v>19</c:v>
                </c:pt>
                <c:pt idx="1535">
                  <c:v>10</c:v>
                </c:pt>
                <c:pt idx="1536">
                  <c:v>11.2</c:v>
                </c:pt>
                <c:pt idx="1537">
                  <c:v>14</c:v>
                </c:pt>
                <c:pt idx="1538">
                  <c:v>7.6</c:v>
                </c:pt>
                <c:pt idx="1539">
                  <c:v>3.5</c:v>
                </c:pt>
                <c:pt idx="1540">
                  <c:v>3.5</c:v>
                </c:pt>
                <c:pt idx="1541">
                  <c:v>7.6</c:v>
                </c:pt>
                <c:pt idx="1542">
                  <c:v>11</c:v>
                </c:pt>
                <c:pt idx="1543">
                  <c:v>17.5</c:v>
                </c:pt>
                <c:pt idx="1544">
                  <c:v>2.8</c:v>
                </c:pt>
                <c:pt idx="1545">
                  <c:v>19</c:v>
                </c:pt>
                <c:pt idx="1546">
                  <c:v>15.2</c:v>
                </c:pt>
                <c:pt idx="1547">
                  <c:v>14</c:v>
                </c:pt>
                <c:pt idx="1548">
                  <c:v>14</c:v>
                </c:pt>
                <c:pt idx="1549">
                  <c:v>14</c:v>
                </c:pt>
                <c:pt idx="1550">
                  <c:v>10</c:v>
                </c:pt>
                <c:pt idx="1551">
                  <c:v>10</c:v>
                </c:pt>
                <c:pt idx="1552">
                  <c:v>14</c:v>
                </c:pt>
                <c:pt idx="1553">
                  <c:v>17.5</c:v>
                </c:pt>
                <c:pt idx="1554">
                  <c:v>11.2</c:v>
                </c:pt>
                <c:pt idx="1555">
                  <c:v>12.5</c:v>
                </c:pt>
                <c:pt idx="1556">
                  <c:v>17.5</c:v>
                </c:pt>
                <c:pt idx="1557">
                  <c:v>2.5</c:v>
                </c:pt>
                <c:pt idx="1558">
                  <c:v>4.4000000000000004</c:v>
                </c:pt>
                <c:pt idx="1559">
                  <c:v>12.5</c:v>
                </c:pt>
                <c:pt idx="1560">
                  <c:v>10.5</c:v>
                </c:pt>
                <c:pt idx="1561">
                  <c:v>17.5</c:v>
                </c:pt>
                <c:pt idx="1562">
                  <c:v>3.8</c:v>
                </c:pt>
                <c:pt idx="1563">
                  <c:v>15.2</c:v>
                </c:pt>
                <c:pt idx="1564">
                  <c:v>3.8</c:v>
                </c:pt>
                <c:pt idx="1565">
                  <c:v>6.6000000000000005</c:v>
                </c:pt>
                <c:pt idx="1566">
                  <c:v>12.5</c:v>
                </c:pt>
                <c:pt idx="1567">
                  <c:v>11.399999999999999</c:v>
                </c:pt>
                <c:pt idx="1568">
                  <c:v>5</c:v>
                </c:pt>
                <c:pt idx="1569">
                  <c:v>5</c:v>
                </c:pt>
                <c:pt idx="1570">
                  <c:v>3.8</c:v>
                </c:pt>
                <c:pt idx="1571">
                  <c:v>2.2000000000000002</c:v>
                </c:pt>
                <c:pt idx="1572">
                  <c:v>14</c:v>
                </c:pt>
                <c:pt idx="1573">
                  <c:v>3.5</c:v>
                </c:pt>
                <c:pt idx="1574">
                  <c:v>6.6000000000000005</c:v>
                </c:pt>
                <c:pt idx="1575">
                  <c:v>3.8</c:v>
                </c:pt>
                <c:pt idx="1576">
                  <c:v>11.2</c:v>
                </c:pt>
                <c:pt idx="1577">
                  <c:v>12.5</c:v>
                </c:pt>
                <c:pt idx="1578">
                  <c:v>2.2000000000000002</c:v>
                </c:pt>
                <c:pt idx="1579">
                  <c:v>5</c:v>
                </c:pt>
                <c:pt idx="1580">
                  <c:v>11</c:v>
                </c:pt>
                <c:pt idx="1581">
                  <c:v>7</c:v>
                </c:pt>
                <c:pt idx="1582">
                  <c:v>7.5</c:v>
                </c:pt>
                <c:pt idx="1583">
                  <c:v>7.5</c:v>
                </c:pt>
                <c:pt idx="1584">
                  <c:v>7.6</c:v>
                </c:pt>
                <c:pt idx="1585">
                  <c:v>3.5</c:v>
                </c:pt>
                <c:pt idx="1586">
                  <c:v>8.8000000000000007</c:v>
                </c:pt>
                <c:pt idx="1587">
                  <c:v>10.5</c:v>
                </c:pt>
                <c:pt idx="1588">
                  <c:v>19</c:v>
                </c:pt>
                <c:pt idx="1589">
                  <c:v>10</c:v>
                </c:pt>
                <c:pt idx="1590">
                  <c:v>10.5</c:v>
                </c:pt>
                <c:pt idx="1591">
                  <c:v>11.2</c:v>
                </c:pt>
                <c:pt idx="1592">
                  <c:v>17.5</c:v>
                </c:pt>
                <c:pt idx="1593">
                  <c:v>10</c:v>
                </c:pt>
                <c:pt idx="1594">
                  <c:v>4.4000000000000004</c:v>
                </c:pt>
                <c:pt idx="1595">
                  <c:v>15.2</c:v>
                </c:pt>
                <c:pt idx="1596">
                  <c:v>2.2000000000000002</c:v>
                </c:pt>
                <c:pt idx="1597">
                  <c:v>4.4000000000000004</c:v>
                </c:pt>
                <c:pt idx="1598">
                  <c:v>11.2</c:v>
                </c:pt>
                <c:pt idx="1599">
                  <c:v>11</c:v>
                </c:pt>
                <c:pt idx="1600">
                  <c:v>4.4000000000000004</c:v>
                </c:pt>
                <c:pt idx="1601">
                  <c:v>2.8</c:v>
                </c:pt>
                <c:pt idx="1602">
                  <c:v>2.5</c:v>
                </c:pt>
                <c:pt idx="1603">
                  <c:v>11</c:v>
                </c:pt>
                <c:pt idx="1604">
                  <c:v>3.5</c:v>
                </c:pt>
                <c:pt idx="1605">
                  <c:v>11.399999999999999</c:v>
                </c:pt>
                <c:pt idx="1606">
                  <c:v>12.5</c:v>
                </c:pt>
                <c:pt idx="1607">
                  <c:v>2.2000000000000002</c:v>
                </c:pt>
                <c:pt idx="1608">
                  <c:v>7.6</c:v>
                </c:pt>
                <c:pt idx="1609">
                  <c:v>4.4000000000000004</c:v>
                </c:pt>
                <c:pt idx="1610">
                  <c:v>19</c:v>
                </c:pt>
                <c:pt idx="1611">
                  <c:v>17.5</c:v>
                </c:pt>
                <c:pt idx="1612">
                  <c:v>7.5</c:v>
                </c:pt>
                <c:pt idx="1613">
                  <c:v>11.2</c:v>
                </c:pt>
                <c:pt idx="1614">
                  <c:v>7.6</c:v>
                </c:pt>
                <c:pt idx="1615">
                  <c:v>10.5</c:v>
                </c:pt>
                <c:pt idx="1616">
                  <c:v>2.2000000000000002</c:v>
                </c:pt>
                <c:pt idx="1617">
                  <c:v>6.6000000000000005</c:v>
                </c:pt>
                <c:pt idx="1618">
                  <c:v>15.2</c:v>
                </c:pt>
                <c:pt idx="1619">
                  <c:v>8.8000000000000007</c:v>
                </c:pt>
                <c:pt idx="1620">
                  <c:v>6.6000000000000005</c:v>
                </c:pt>
                <c:pt idx="1621">
                  <c:v>8.8000000000000007</c:v>
                </c:pt>
                <c:pt idx="1622">
                  <c:v>3.5</c:v>
                </c:pt>
                <c:pt idx="1623">
                  <c:v>2.5</c:v>
                </c:pt>
                <c:pt idx="1624">
                  <c:v>17.5</c:v>
                </c:pt>
                <c:pt idx="1625">
                  <c:v>2.2000000000000002</c:v>
                </c:pt>
                <c:pt idx="1626">
                  <c:v>2.5</c:v>
                </c:pt>
                <c:pt idx="1627">
                  <c:v>14</c:v>
                </c:pt>
                <c:pt idx="1628">
                  <c:v>11</c:v>
                </c:pt>
                <c:pt idx="1629">
                  <c:v>5.6</c:v>
                </c:pt>
                <c:pt idx="1630">
                  <c:v>5.6</c:v>
                </c:pt>
                <c:pt idx="1631">
                  <c:v>8.8000000000000007</c:v>
                </c:pt>
                <c:pt idx="1632">
                  <c:v>3.8</c:v>
                </c:pt>
                <c:pt idx="1633">
                  <c:v>2.5</c:v>
                </c:pt>
                <c:pt idx="1634">
                  <c:v>14</c:v>
                </c:pt>
                <c:pt idx="1635">
                  <c:v>15.2</c:v>
                </c:pt>
                <c:pt idx="1636">
                  <c:v>7</c:v>
                </c:pt>
                <c:pt idx="1637">
                  <c:v>2.5</c:v>
                </c:pt>
                <c:pt idx="1638">
                  <c:v>10</c:v>
                </c:pt>
                <c:pt idx="1639">
                  <c:v>7.5</c:v>
                </c:pt>
                <c:pt idx="1640">
                  <c:v>12.5</c:v>
                </c:pt>
                <c:pt idx="1641">
                  <c:v>5</c:v>
                </c:pt>
                <c:pt idx="1642">
                  <c:v>4.4000000000000004</c:v>
                </c:pt>
                <c:pt idx="1643">
                  <c:v>4.4000000000000004</c:v>
                </c:pt>
                <c:pt idx="1644">
                  <c:v>8.3999999999999986</c:v>
                </c:pt>
                <c:pt idx="1645">
                  <c:v>8.8000000000000007</c:v>
                </c:pt>
                <c:pt idx="1646">
                  <c:v>15.2</c:v>
                </c:pt>
                <c:pt idx="1647">
                  <c:v>10.5</c:v>
                </c:pt>
                <c:pt idx="1648">
                  <c:v>10</c:v>
                </c:pt>
                <c:pt idx="1649">
                  <c:v>7.5</c:v>
                </c:pt>
                <c:pt idx="1650">
                  <c:v>12.5</c:v>
                </c:pt>
                <c:pt idx="1651">
                  <c:v>11.399999999999999</c:v>
                </c:pt>
                <c:pt idx="1652">
                  <c:v>15.2</c:v>
                </c:pt>
                <c:pt idx="1653">
                  <c:v>2.8</c:v>
                </c:pt>
                <c:pt idx="1654">
                  <c:v>3.8</c:v>
                </c:pt>
                <c:pt idx="1655">
                  <c:v>8.8000000000000007</c:v>
                </c:pt>
                <c:pt idx="1656">
                  <c:v>11.399999999999999</c:v>
                </c:pt>
                <c:pt idx="1657">
                  <c:v>19</c:v>
                </c:pt>
                <c:pt idx="1658">
                  <c:v>11.2</c:v>
                </c:pt>
                <c:pt idx="1659">
                  <c:v>10</c:v>
                </c:pt>
                <c:pt idx="1660">
                  <c:v>15.2</c:v>
                </c:pt>
                <c:pt idx="1661">
                  <c:v>2.5</c:v>
                </c:pt>
                <c:pt idx="1662">
                  <c:v>7.6</c:v>
                </c:pt>
                <c:pt idx="1663">
                  <c:v>2.5</c:v>
                </c:pt>
                <c:pt idx="1664">
                  <c:v>11.2</c:v>
                </c:pt>
                <c:pt idx="1665">
                  <c:v>12.5</c:v>
                </c:pt>
                <c:pt idx="1666">
                  <c:v>7.5</c:v>
                </c:pt>
                <c:pt idx="1667">
                  <c:v>14</c:v>
                </c:pt>
                <c:pt idx="1668">
                  <c:v>2.5</c:v>
                </c:pt>
                <c:pt idx="1669">
                  <c:v>15.2</c:v>
                </c:pt>
                <c:pt idx="1670">
                  <c:v>5</c:v>
                </c:pt>
                <c:pt idx="1671">
                  <c:v>17.5</c:v>
                </c:pt>
                <c:pt idx="1672">
                  <c:v>5</c:v>
                </c:pt>
                <c:pt idx="1673">
                  <c:v>15.2</c:v>
                </c:pt>
                <c:pt idx="1674">
                  <c:v>3.5</c:v>
                </c:pt>
                <c:pt idx="1675">
                  <c:v>15.2</c:v>
                </c:pt>
                <c:pt idx="1676">
                  <c:v>7.5</c:v>
                </c:pt>
                <c:pt idx="1677">
                  <c:v>10.5</c:v>
                </c:pt>
                <c:pt idx="1678">
                  <c:v>5.6</c:v>
                </c:pt>
                <c:pt idx="1679">
                  <c:v>3.5</c:v>
                </c:pt>
                <c:pt idx="1680">
                  <c:v>5</c:v>
                </c:pt>
                <c:pt idx="1681">
                  <c:v>8.8000000000000007</c:v>
                </c:pt>
                <c:pt idx="1682">
                  <c:v>11.399999999999999</c:v>
                </c:pt>
                <c:pt idx="1683">
                  <c:v>5.6</c:v>
                </c:pt>
                <c:pt idx="1684">
                  <c:v>3.5</c:v>
                </c:pt>
                <c:pt idx="1685">
                  <c:v>10.5</c:v>
                </c:pt>
                <c:pt idx="1686">
                  <c:v>6.6000000000000005</c:v>
                </c:pt>
                <c:pt idx="1687">
                  <c:v>10</c:v>
                </c:pt>
                <c:pt idx="1688">
                  <c:v>17.5</c:v>
                </c:pt>
                <c:pt idx="1689">
                  <c:v>6.6000000000000005</c:v>
                </c:pt>
                <c:pt idx="1690">
                  <c:v>3.8</c:v>
                </c:pt>
                <c:pt idx="1691">
                  <c:v>19</c:v>
                </c:pt>
                <c:pt idx="1692">
                  <c:v>7.6</c:v>
                </c:pt>
                <c:pt idx="1693">
                  <c:v>11.399999999999999</c:v>
                </c:pt>
                <c:pt idx="1694">
                  <c:v>2.2000000000000002</c:v>
                </c:pt>
                <c:pt idx="1695">
                  <c:v>11</c:v>
                </c:pt>
                <c:pt idx="1696">
                  <c:v>3.8</c:v>
                </c:pt>
                <c:pt idx="1697">
                  <c:v>3.5</c:v>
                </c:pt>
                <c:pt idx="1698">
                  <c:v>7.5</c:v>
                </c:pt>
                <c:pt idx="1699">
                  <c:v>7</c:v>
                </c:pt>
                <c:pt idx="1700">
                  <c:v>8.8000000000000007</c:v>
                </c:pt>
                <c:pt idx="1701">
                  <c:v>7.5</c:v>
                </c:pt>
                <c:pt idx="1702">
                  <c:v>2.8</c:v>
                </c:pt>
                <c:pt idx="1703">
                  <c:v>11.399999999999999</c:v>
                </c:pt>
                <c:pt idx="1704">
                  <c:v>7</c:v>
                </c:pt>
                <c:pt idx="1705">
                  <c:v>7.6</c:v>
                </c:pt>
                <c:pt idx="1706">
                  <c:v>6.6000000000000005</c:v>
                </c:pt>
                <c:pt idx="1707">
                  <c:v>14</c:v>
                </c:pt>
                <c:pt idx="1708">
                  <c:v>17.5</c:v>
                </c:pt>
                <c:pt idx="1709">
                  <c:v>10</c:v>
                </c:pt>
                <c:pt idx="1710">
                  <c:v>14</c:v>
                </c:pt>
                <c:pt idx="1711">
                  <c:v>17.5</c:v>
                </c:pt>
                <c:pt idx="1712">
                  <c:v>7.6</c:v>
                </c:pt>
                <c:pt idx="1713">
                  <c:v>5</c:v>
                </c:pt>
                <c:pt idx="1714">
                  <c:v>7.6</c:v>
                </c:pt>
                <c:pt idx="1715">
                  <c:v>11</c:v>
                </c:pt>
                <c:pt idx="1716">
                  <c:v>17.5</c:v>
                </c:pt>
                <c:pt idx="1717">
                  <c:v>17.5</c:v>
                </c:pt>
                <c:pt idx="1718">
                  <c:v>10.5</c:v>
                </c:pt>
                <c:pt idx="1719">
                  <c:v>22</c:v>
                </c:pt>
                <c:pt idx="1720">
                  <c:v>8.8000000000000007</c:v>
                </c:pt>
                <c:pt idx="1721">
                  <c:v>14</c:v>
                </c:pt>
                <c:pt idx="1722">
                  <c:v>7.6</c:v>
                </c:pt>
                <c:pt idx="1723">
                  <c:v>10.5</c:v>
                </c:pt>
                <c:pt idx="1724">
                  <c:v>2.8</c:v>
                </c:pt>
                <c:pt idx="1725">
                  <c:v>11</c:v>
                </c:pt>
                <c:pt idx="1726">
                  <c:v>11.399999999999999</c:v>
                </c:pt>
                <c:pt idx="1727">
                  <c:v>5.6</c:v>
                </c:pt>
                <c:pt idx="1728">
                  <c:v>14</c:v>
                </c:pt>
                <c:pt idx="1729">
                  <c:v>15.2</c:v>
                </c:pt>
                <c:pt idx="1730">
                  <c:v>7.6</c:v>
                </c:pt>
                <c:pt idx="1731">
                  <c:v>7.5</c:v>
                </c:pt>
                <c:pt idx="1732">
                  <c:v>19</c:v>
                </c:pt>
                <c:pt idx="1733">
                  <c:v>10.5</c:v>
                </c:pt>
                <c:pt idx="1734">
                  <c:v>2.8</c:v>
                </c:pt>
                <c:pt idx="1735">
                  <c:v>11.2</c:v>
                </c:pt>
                <c:pt idx="1736">
                  <c:v>2.2000000000000002</c:v>
                </c:pt>
                <c:pt idx="1737">
                  <c:v>5</c:v>
                </c:pt>
                <c:pt idx="1738">
                  <c:v>15.2</c:v>
                </c:pt>
                <c:pt idx="1739">
                  <c:v>14</c:v>
                </c:pt>
                <c:pt idx="1740">
                  <c:v>5</c:v>
                </c:pt>
                <c:pt idx="1741">
                  <c:v>2.2000000000000002</c:v>
                </c:pt>
                <c:pt idx="1742">
                  <c:v>14</c:v>
                </c:pt>
                <c:pt idx="1743">
                  <c:v>14</c:v>
                </c:pt>
                <c:pt idx="1744">
                  <c:v>5.6</c:v>
                </c:pt>
                <c:pt idx="1745">
                  <c:v>10.5</c:v>
                </c:pt>
                <c:pt idx="1746">
                  <c:v>8.3999999999999986</c:v>
                </c:pt>
                <c:pt idx="1747">
                  <c:v>19</c:v>
                </c:pt>
                <c:pt idx="1748">
                  <c:v>7</c:v>
                </c:pt>
                <c:pt idx="1749">
                  <c:v>7</c:v>
                </c:pt>
                <c:pt idx="1750">
                  <c:v>3.8</c:v>
                </c:pt>
                <c:pt idx="1751">
                  <c:v>19</c:v>
                </c:pt>
                <c:pt idx="1752">
                  <c:v>11</c:v>
                </c:pt>
                <c:pt idx="1753">
                  <c:v>8.3999999999999986</c:v>
                </c:pt>
                <c:pt idx="1754">
                  <c:v>8.3999999999999986</c:v>
                </c:pt>
                <c:pt idx="1755">
                  <c:v>4.4000000000000004</c:v>
                </c:pt>
                <c:pt idx="1756">
                  <c:v>10.5</c:v>
                </c:pt>
                <c:pt idx="1757">
                  <c:v>15.2</c:v>
                </c:pt>
                <c:pt idx="1758">
                  <c:v>6.6000000000000005</c:v>
                </c:pt>
                <c:pt idx="1759">
                  <c:v>2.2000000000000002</c:v>
                </c:pt>
                <c:pt idx="1760">
                  <c:v>12.5</c:v>
                </c:pt>
                <c:pt idx="1761">
                  <c:v>7.6</c:v>
                </c:pt>
                <c:pt idx="1762">
                  <c:v>2.5</c:v>
                </c:pt>
                <c:pt idx="1763">
                  <c:v>3.5</c:v>
                </c:pt>
                <c:pt idx="1764">
                  <c:v>11.2</c:v>
                </c:pt>
                <c:pt idx="1765">
                  <c:v>4.4000000000000004</c:v>
                </c:pt>
                <c:pt idx="1766">
                  <c:v>2.2000000000000002</c:v>
                </c:pt>
                <c:pt idx="1767">
                  <c:v>14</c:v>
                </c:pt>
                <c:pt idx="1768">
                  <c:v>11.2</c:v>
                </c:pt>
                <c:pt idx="1769">
                  <c:v>6.6000000000000005</c:v>
                </c:pt>
                <c:pt idx="1770">
                  <c:v>8.3999999999999986</c:v>
                </c:pt>
                <c:pt idx="1771">
                  <c:v>2.8</c:v>
                </c:pt>
                <c:pt idx="1772">
                  <c:v>11.399999999999999</c:v>
                </c:pt>
                <c:pt idx="1773">
                  <c:v>2.5</c:v>
                </c:pt>
                <c:pt idx="1774">
                  <c:v>8.8000000000000007</c:v>
                </c:pt>
                <c:pt idx="1775">
                  <c:v>2.8</c:v>
                </c:pt>
                <c:pt idx="1776">
                  <c:v>8.3999999999999986</c:v>
                </c:pt>
                <c:pt idx="1777">
                  <c:v>2.5</c:v>
                </c:pt>
                <c:pt idx="1778">
                  <c:v>7.5</c:v>
                </c:pt>
                <c:pt idx="1779">
                  <c:v>2.2000000000000002</c:v>
                </c:pt>
                <c:pt idx="1780">
                  <c:v>11.399999999999999</c:v>
                </c:pt>
                <c:pt idx="1781">
                  <c:v>10.5</c:v>
                </c:pt>
                <c:pt idx="1782">
                  <c:v>2.2000000000000002</c:v>
                </c:pt>
                <c:pt idx="1783">
                  <c:v>2.5</c:v>
                </c:pt>
                <c:pt idx="1784">
                  <c:v>7</c:v>
                </c:pt>
                <c:pt idx="1785">
                  <c:v>2.2000000000000002</c:v>
                </c:pt>
                <c:pt idx="1786">
                  <c:v>11</c:v>
                </c:pt>
                <c:pt idx="1787">
                  <c:v>7</c:v>
                </c:pt>
                <c:pt idx="1788">
                  <c:v>6.6000000000000005</c:v>
                </c:pt>
                <c:pt idx="1789">
                  <c:v>17.5</c:v>
                </c:pt>
                <c:pt idx="1790">
                  <c:v>10</c:v>
                </c:pt>
                <c:pt idx="1791">
                  <c:v>2.2000000000000002</c:v>
                </c:pt>
                <c:pt idx="1792">
                  <c:v>8.3999999999999986</c:v>
                </c:pt>
                <c:pt idx="1793">
                  <c:v>14</c:v>
                </c:pt>
                <c:pt idx="1794">
                  <c:v>14</c:v>
                </c:pt>
                <c:pt idx="1795">
                  <c:v>14</c:v>
                </c:pt>
                <c:pt idx="1796">
                  <c:v>15.2</c:v>
                </c:pt>
                <c:pt idx="1797">
                  <c:v>14</c:v>
                </c:pt>
                <c:pt idx="1798">
                  <c:v>7.6</c:v>
                </c:pt>
                <c:pt idx="1799">
                  <c:v>11</c:v>
                </c:pt>
                <c:pt idx="1800">
                  <c:v>11.2</c:v>
                </c:pt>
                <c:pt idx="1801">
                  <c:v>5</c:v>
                </c:pt>
                <c:pt idx="1802">
                  <c:v>3.8</c:v>
                </c:pt>
                <c:pt idx="1803">
                  <c:v>14</c:v>
                </c:pt>
                <c:pt idx="1804">
                  <c:v>15.2</c:v>
                </c:pt>
                <c:pt idx="1805">
                  <c:v>3.5</c:v>
                </c:pt>
                <c:pt idx="1806">
                  <c:v>7.5</c:v>
                </c:pt>
                <c:pt idx="1807">
                  <c:v>4.4000000000000004</c:v>
                </c:pt>
                <c:pt idx="1808">
                  <c:v>3.8</c:v>
                </c:pt>
                <c:pt idx="1809">
                  <c:v>3.5</c:v>
                </c:pt>
                <c:pt idx="1810">
                  <c:v>2.5</c:v>
                </c:pt>
                <c:pt idx="1811">
                  <c:v>15.2</c:v>
                </c:pt>
                <c:pt idx="1812">
                  <c:v>12.5</c:v>
                </c:pt>
                <c:pt idx="1813">
                  <c:v>2.2000000000000002</c:v>
                </c:pt>
                <c:pt idx="1814">
                  <c:v>2.2000000000000002</c:v>
                </c:pt>
                <c:pt idx="1815">
                  <c:v>2.8</c:v>
                </c:pt>
                <c:pt idx="1816">
                  <c:v>15.2</c:v>
                </c:pt>
                <c:pt idx="1817">
                  <c:v>7.6</c:v>
                </c:pt>
                <c:pt idx="1818">
                  <c:v>14</c:v>
                </c:pt>
                <c:pt idx="1819">
                  <c:v>5.6</c:v>
                </c:pt>
                <c:pt idx="1820">
                  <c:v>2.5</c:v>
                </c:pt>
                <c:pt idx="1821">
                  <c:v>8.3999999999999986</c:v>
                </c:pt>
                <c:pt idx="1822">
                  <c:v>11.399999999999999</c:v>
                </c:pt>
                <c:pt idx="1823">
                  <c:v>2.8</c:v>
                </c:pt>
                <c:pt idx="1824">
                  <c:v>8.3999999999999986</c:v>
                </c:pt>
                <c:pt idx="1825">
                  <c:v>11</c:v>
                </c:pt>
                <c:pt idx="1826">
                  <c:v>10</c:v>
                </c:pt>
                <c:pt idx="1827">
                  <c:v>14</c:v>
                </c:pt>
                <c:pt idx="1828">
                  <c:v>12.5</c:v>
                </c:pt>
                <c:pt idx="1829">
                  <c:v>3.5</c:v>
                </c:pt>
                <c:pt idx="1830">
                  <c:v>3.5</c:v>
                </c:pt>
                <c:pt idx="1831">
                  <c:v>3.8</c:v>
                </c:pt>
                <c:pt idx="1832">
                  <c:v>2.2000000000000002</c:v>
                </c:pt>
                <c:pt idx="1833">
                  <c:v>4.4000000000000004</c:v>
                </c:pt>
                <c:pt idx="1834">
                  <c:v>19</c:v>
                </c:pt>
                <c:pt idx="1835">
                  <c:v>8.3999999999999986</c:v>
                </c:pt>
                <c:pt idx="1836">
                  <c:v>2.2000000000000002</c:v>
                </c:pt>
                <c:pt idx="1837">
                  <c:v>14</c:v>
                </c:pt>
                <c:pt idx="1838">
                  <c:v>3.5</c:v>
                </c:pt>
                <c:pt idx="1839">
                  <c:v>11.399999999999999</c:v>
                </c:pt>
                <c:pt idx="1840">
                  <c:v>4.4000000000000004</c:v>
                </c:pt>
                <c:pt idx="1841">
                  <c:v>3.5</c:v>
                </c:pt>
                <c:pt idx="1842">
                  <c:v>7.6</c:v>
                </c:pt>
                <c:pt idx="1843">
                  <c:v>8.8000000000000007</c:v>
                </c:pt>
                <c:pt idx="1844">
                  <c:v>3.8</c:v>
                </c:pt>
                <c:pt idx="1845">
                  <c:v>11.2</c:v>
                </c:pt>
                <c:pt idx="1846">
                  <c:v>10.5</c:v>
                </c:pt>
                <c:pt idx="1847">
                  <c:v>3.8</c:v>
                </c:pt>
                <c:pt idx="1848">
                  <c:v>19</c:v>
                </c:pt>
                <c:pt idx="1849">
                  <c:v>10</c:v>
                </c:pt>
                <c:pt idx="1850">
                  <c:v>5</c:v>
                </c:pt>
                <c:pt idx="1851">
                  <c:v>10.5</c:v>
                </c:pt>
                <c:pt idx="1852">
                  <c:v>2.8</c:v>
                </c:pt>
                <c:pt idx="1853">
                  <c:v>8.8000000000000007</c:v>
                </c:pt>
                <c:pt idx="1854">
                  <c:v>11.399999999999999</c:v>
                </c:pt>
                <c:pt idx="1855">
                  <c:v>15.2</c:v>
                </c:pt>
                <c:pt idx="1856">
                  <c:v>7.6</c:v>
                </c:pt>
                <c:pt idx="1857">
                  <c:v>5.6</c:v>
                </c:pt>
                <c:pt idx="1858">
                  <c:v>2.5</c:v>
                </c:pt>
                <c:pt idx="1859">
                  <c:v>3.8</c:v>
                </c:pt>
                <c:pt idx="1860">
                  <c:v>7</c:v>
                </c:pt>
                <c:pt idx="1861">
                  <c:v>12.5</c:v>
                </c:pt>
                <c:pt idx="1862">
                  <c:v>15.2</c:v>
                </c:pt>
                <c:pt idx="1863">
                  <c:v>5</c:v>
                </c:pt>
                <c:pt idx="1864">
                  <c:v>4.4000000000000004</c:v>
                </c:pt>
                <c:pt idx="1865">
                  <c:v>11.2</c:v>
                </c:pt>
                <c:pt idx="1866">
                  <c:v>14</c:v>
                </c:pt>
                <c:pt idx="1867">
                  <c:v>5</c:v>
                </c:pt>
                <c:pt idx="1868">
                  <c:v>11</c:v>
                </c:pt>
                <c:pt idx="1869">
                  <c:v>7.5</c:v>
                </c:pt>
                <c:pt idx="1870">
                  <c:v>15.2</c:v>
                </c:pt>
                <c:pt idx="1871">
                  <c:v>5.6</c:v>
                </c:pt>
                <c:pt idx="1872">
                  <c:v>14</c:v>
                </c:pt>
                <c:pt idx="1873">
                  <c:v>17.5</c:v>
                </c:pt>
                <c:pt idx="1874">
                  <c:v>14</c:v>
                </c:pt>
                <c:pt idx="1875">
                  <c:v>12.5</c:v>
                </c:pt>
                <c:pt idx="1876">
                  <c:v>12.5</c:v>
                </c:pt>
                <c:pt idx="1877">
                  <c:v>2.2000000000000002</c:v>
                </c:pt>
                <c:pt idx="1878">
                  <c:v>10.5</c:v>
                </c:pt>
                <c:pt idx="1879">
                  <c:v>2.2000000000000002</c:v>
                </c:pt>
                <c:pt idx="1880">
                  <c:v>14</c:v>
                </c:pt>
                <c:pt idx="1881">
                  <c:v>2.2000000000000002</c:v>
                </c:pt>
                <c:pt idx="1882">
                  <c:v>2.5</c:v>
                </c:pt>
                <c:pt idx="1883">
                  <c:v>6.6000000000000005</c:v>
                </c:pt>
                <c:pt idx="1884">
                  <c:v>14</c:v>
                </c:pt>
                <c:pt idx="1885">
                  <c:v>11.399999999999999</c:v>
                </c:pt>
                <c:pt idx="1886">
                  <c:v>2.2000000000000002</c:v>
                </c:pt>
                <c:pt idx="1887">
                  <c:v>10</c:v>
                </c:pt>
                <c:pt idx="1888">
                  <c:v>11.399999999999999</c:v>
                </c:pt>
                <c:pt idx="1889">
                  <c:v>5</c:v>
                </c:pt>
                <c:pt idx="1890">
                  <c:v>10.5</c:v>
                </c:pt>
                <c:pt idx="1891">
                  <c:v>10</c:v>
                </c:pt>
                <c:pt idx="1892">
                  <c:v>5</c:v>
                </c:pt>
                <c:pt idx="1893">
                  <c:v>11</c:v>
                </c:pt>
                <c:pt idx="1894">
                  <c:v>17.5</c:v>
                </c:pt>
                <c:pt idx="1895">
                  <c:v>2.8</c:v>
                </c:pt>
                <c:pt idx="1896">
                  <c:v>7</c:v>
                </c:pt>
                <c:pt idx="1897">
                  <c:v>10.5</c:v>
                </c:pt>
                <c:pt idx="1898">
                  <c:v>19</c:v>
                </c:pt>
                <c:pt idx="1899">
                  <c:v>12.5</c:v>
                </c:pt>
                <c:pt idx="1900">
                  <c:v>11.2</c:v>
                </c:pt>
                <c:pt idx="1901">
                  <c:v>8.3999999999999986</c:v>
                </c:pt>
                <c:pt idx="1902">
                  <c:v>14</c:v>
                </c:pt>
                <c:pt idx="1903">
                  <c:v>2.5</c:v>
                </c:pt>
                <c:pt idx="1904">
                  <c:v>5.6</c:v>
                </c:pt>
                <c:pt idx="1905">
                  <c:v>17.5</c:v>
                </c:pt>
                <c:pt idx="1906">
                  <c:v>5.6</c:v>
                </c:pt>
                <c:pt idx="1907">
                  <c:v>2.5</c:v>
                </c:pt>
                <c:pt idx="1908">
                  <c:v>4.4000000000000004</c:v>
                </c:pt>
                <c:pt idx="1909">
                  <c:v>10.5</c:v>
                </c:pt>
                <c:pt idx="1910">
                  <c:v>5</c:v>
                </c:pt>
                <c:pt idx="1911">
                  <c:v>8.8000000000000007</c:v>
                </c:pt>
                <c:pt idx="1912">
                  <c:v>8.8000000000000007</c:v>
                </c:pt>
                <c:pt idx="1913">
                  <c:v>2.8</c:v>
                </c:pt>
                <c:pt idx="1914">
                  <c:v>2.5</c:v>
                </c:pt>
                <c:pt idx="1915">
                  <c:v>15.2</c:v>
                </c:pt>
                <c:pt idx="1916">
                  <c:v>3.5</c:v>
                </c:pt>
                <c:pt idx="1917">
                  <c:v>11.399999999999999</c:v>
                </c:pt>
                <c:pt idx="1918">
                  <c:v>4.4000000000000004</c:v>
                </c:pt>
                <c:pt idx="1919">
                  <c:v>11.399999999999999</c:v>
                </c:pt>
                <c:pt idx="1920">
                  <c:v>5.6</c:v>
                </c:pt>
                <c:pt idx="1921">
                  <c:v>7.5</c:v>
                </c:pt>
                <c:pt idx="1922">
                  <c:v>7.6</c:v>
                </c:pt>
                <c:pt idx="1923">
                  <c:v>2.2000000000000002</c:v>
                </c:pt>
                <c:pt idx="1924">
                  <c:v>14</c:v>
                </c:pt>
                <c:pt idx="1925">
                  <c:v>15.2</c:v>
                </c:pt>
                <c:pt idx="1926">
                  <c:v>14</c:v>
                </c:pt>
                <c:pt idx="1927">
                  <c:v>17.5</c:v>
                </c:pt>
                <c:pt idx="1928">
                  <c:v>7</c:v>
                </c:pt>
                <c:pt idx="1929">
                  <c:v>3.5</c:v>
                </c:pt>
                <c:pt idx="1930">
                  <c:v>19</c:v>
                </c:pt>
                <c:pt idx="1931">
                  <c:v>11</c:v>
                </c:pt>
                <c:pt idx="1932">
                  <c:v>3.8</c:v>
                </c:pt>
                <c:pt idx="1933">
                  <c:v>17.5</c:v>
                </c:pt>
                <c:pt idx="1934">
                  <c:v>10.5</c:v>
                </c:pt>
                <c:pt idx="1935">
                  <c:v>5</c:v>
                </c:pt>
                <c:pt idx="1936">
                  <c:v>8.8000000000000007</c:v>
                </c:pt>
                <c:pt idx="1937">
                  <c:v>6.6000000000000005</c:v>
                </c:pt>
                <c:pt idx="1938">
                  <c:v>14</c:v>
                </c:pt>
                <c:pt idx="1939">
                  <c:v>8.3999999999999986</c:v>
                </c:pt>
                <c:pt idx="1940">
                  <c:v>14</c:v>
                </c:pt>
                <c:pt idx="1941">
                  <c:v>3.5</c:v>
                </c:pt>
                <c:pt idx="1942">
                  <c:v>3.5</c:v>
                </c:pt>
                <c:pt idx="1943">
                  <c:v>14</c:v>
                </c:pt>
                <c:pt idx="1944">
                  <c:v>11</c:v>
                </c:pt>
                <c:pt idx="1945">
                  <c:v>7.6</c:v>
                </c:pt>
                <c:pt idx="1946">
                  <c:v>7.6</c:v>
                </c:pt>
                <c:pt idx="1947">
                  <c:v>8.8000000000000007</c:v>
                </c:pt>
                <c:pt idx="1948">
                  <c:v>7</c:v>
                </c:pt>
                <c:pt idx="1949">
                  <c:v>2.5</c:v>
                </c:pt>
                <c:pt idx="1950">
                  <c:v>2.2000000000000002</c:v>
                </c:pt>
                <c:pt idx="1951">
                  <c:v>14</c:v>
                </c:pt>
                <c:pt idx="1952">
                  <c:v>7.5</c:v>
                </c:pt>
                <c:pt idx="1953">
                  <c:v>12.5</c:v>
                </c:pt>
                <c:pt idx="1954">
                  <c:v>6.6000000000000005</c:v>
                </c:pt>
                <c:pt idx="1955">
                  <c:v>6.6000000000000005</c:v>
                </c:pt>
                <c:pt idx="1956">
                  <c:v>5</c:v>
                </c:pt>
                <c:pt idx="1957">
                  <c:v>7.5</c:v>
                </c:pt>
                <c:pt idx="1958">
                  <c:v>7</c:v>
                </c:pt>
                <c:pt idx="1959">
                  <c:v>14</c:v>
                </c:pt>
                <c:pt idx="1960">
                  <c:v>19</c:v>
                </c:pt>
                <c:pt idx="1961">
                  <c:v>14</c:v>
                </c:pt>
                <c:pt idx="1962">
                  <c:v>7</c:v>
                </c:pt>
                <c:pt idx="1963">
                  <c:v>5.6</c:v>
                </c:pt>
                <c:pt idx="1964">
                  <c:v>5</c:v>
                </c:pt>
                <c:pt idx="1965">
                  <c:v>17.5</c:v>
                </c:pt>
                <c:pt idx="1966">
                  <c:v>11.2</c:v>
                </c:pt>
                <c:pt idx="1967">
                  <c:v>10</c:v>
                </c:pt>
                <c:pt idx="1968">
                  <c:v>12.5</c:v>
                </c:pt>
                <c:pt idx="1969">
                  <c:v>19</c:v>
                </c:pt>
                <c:pt idx="1970">
                  <c:v>8.8000000000000007</c:v>
                </c:pt>
                <c:pt idx="1971">
                  <c:v>3.5</c:v>
                </c:pt>
                <c:pt idx="1972">
                  <c:v>4.4000000000000004</c:v>
                </c:pt>
                <c:pt idx="1973">
                  <c:v>8.3999999999999986</c:v>
                </c:pt>
                <c:pt idx="1974">
                  <c:v>3.8</c:v>
                </c:pt>
                <c:pt idx="1975">
                  <c:v>5</c:v>
                </c:pt>
                <c:pt idx="1976">
                  <c:v>7.5</c:v>
                </c:pt>
                <c:pt idx="1977">
                  <c:v>14</c:v>
                </c:pt>
                <c:pt idx="1978">
                  <c:v>6.6000000000000005</c:v>
                </c:pt>
                <c:pt idx="1979">
                  <c:v>5</c:v>
                </c:pt>
                <c:pt idx="1980">
                  <c:v>6.6000000000000005</c:v>
                </c:pt>
                <c:pt idx="1981">
                  <c:v>7.6</c:v>
                </c:pt>
                <c:pt idx="1982">
                  <c:v>10</c:v>
                </c:pt>
                <c:pt idx="1983">
                  <c:v>10</c:v>
                </c:pt>
                <c:pt idx="1984">
                  <c:v>19</c:v>
                </c:pt>
                <c:pt idx="1985">
                  <c:v>5</c:v>
                </c:pt>
                <c:pt idx="1986">
                  <c:v>2.5</c:v>
                </c:pt>
                <c:pt idx="1987">
                  <c:v>2.5</c:v>
                </c:pt>
                <c:pt idx="1988">
                  <c:v>10</c:v>
                </c:pt>
                <c:pt idx="1989">
                  <c:v>4.4000000000000004</c:v>
                </c:pt>
                <c:pt idx="1990">
                  <c:v>14</c:v>
                </c:pt>
                <c:pt idx="1991">
                  <c:v>8.3999999999999986</c:v>
                </c:pt>
                <c:pt idx="1992">
                  <c:v>8.8000000000000007</c:v>
                </c:pt>
                <c:pt idx="1993">
                  <c:v>8.8000000000000007</c:v>
                </c:pt>
                <c:pt idx="1994">
                  <c:v>3.8</c:v>
                </c:pt>
                <c:pt idx="1995">
                  <c:v>5</c:v>
                </c:pt>
                <c:pt idx="1996">
                  <c:v>10.5</c:v>
                </c:pt>
                <c:pt idx="1997">
                  <c:v>8.8000000000000007</c:v>
                </c:pt>
                <c:pt idx="1998">
                  <c:v>19</c:v>
                </c:pt>
                <c:pt idx="1999">
                  <c:v>10</c:v>
                </c:pt>
                <c:pt idx="2000">
                  <c:v>2.2000000000000002</c:v>
                </c:pt>
                <c:pt idx="2001">
                  <c:v>17.5</c:v>
                </c:pt>
                <c:pt idx="2002">
                  <c:v>14</c:v>
                </c:pt>
                <c:pt idx="2003">
                  <c:v>3.5</c:v>
                </c:pt>
                <c:pt idx="2004">
                  <c:v>14</c:v>
                </c:pt>
                <c:pt idx="2005">
                  <c:v>10</c:v>
                </c:pt>
                <c:pt idx="2006">
                  <c:v>11.399999999999999</c:v>
                </c:pt>
                <c:pt idx="2007">
                  <c:v>5</c:v>
                </c:pt>
                <c:pt idx="2008">
                  <c:v>3.5</c:v>
                </c:pt>
                <c:pt idx="2009">
                  <c:v>5</c:v>
                </c:pt>
                <c:pt idx="2010">
                  <c:v>10</c:v>
                </c:pt>
                <c:pt idx="2011">
                  <c:v>14</c:v>
                </c:pt>
                <c:pt idx="2012">
                  <c:v>10.5</c:v>
                </c:pt>
                <c:pt idx="2013">
                  <c:v>8.8000000000000007</c:v>
                </c:pt>
                <c:pt idx="2014">
                  <c:v>11.399999999999999</c:v>
                </c:pt>
                <c:pt idx="2015">
                  <c:v>19</c:v>
                </c:pt>
                <c:pt idx="2016">
                  <c:v>10</c:v>
                </c:pt>
                <c:pt idx="2017">
                  <c:v>4.4000000000000004</c:v>
                </c:pt>
                <c:pt idx="2018">
                  <c:v>8.3999999999999986</c:v>
                </c:pt>
                <c:pt idx="2019">
                  <c:v>8.3999999999999986</c:v>
                </c:pt>
                <c:pt idx="2020">
                  <c:v>12.5</c:v>
                </c:pt>
                <c:pt idx="2021">
                  <c:v>12.5</c:v>
                </c:pt>
                <c:pt idx="2022">
                  <c:v>8.8000000000000007</c:v>
                </c:pt>
                <c:pt idx="2023">
                  <c:v>17.5</c:v>
                </c:pt>
                <c:pt idx="2024">
                  <c:v>8.3999999999999986</c:v>
                </c:pt>
                <c:pt idx="2025">
                  <c:v>5.6</c:v>
                </c:pt>
                <c:pt idx="2026">
                  <c:v>11</c:v>
                </c:pt>
                <c:pt idx="2027">
                  <c:v>10.5</c:v>
                </c:pt>
                <c:pt idx="2028">
                  <c:v>14</c:v>
                </c:pt>
                <c:pt idx="2029">
                  <c:v>5.6</c:v>
                </c:pt>
                <c:pt idx="2030">
                  <c:v>10.5</c:v>
                </c:pt>
                <c:pt idx="2031">
                  <c:v>2.2000000000000002</c:v>
                </c:pt>
                <c:pt idx="2032">
                  <c:v>2.5</c:v>
                </c:pt>
                <c:pt idx="2033">
                  <c:v>7.6</c:v>
                </c:pt>
                <c:pt idx="2034">
                  <c:v>5</c:v>
                </c:pt>
                <c:pt idx="2035">
                  <c:v>6.6000000000000005</c:v>
                </c:pt>
                <c:pt idx="2036">
                  <c:v>5</c:v>
                </c:pt>
                <c:pt idx="2037">
                  <c:v>3.8</c:v>
                </c:pt>
                <c:pt idx="2038">
                  <c:v>17.5</c:v>
                </c:pt>
                <c:pt idx="2039">
                  <c:v>2.8</c:v>
                </c:pt>
                <c:pt idx="2040">
                  <c:v>8.8000000000000007</c:v>
                </c:pt>
                <c:pt idx="2041">
                  <c:v>4.4000000000000004</c:v>
                </c:pt>
                <c:pt idx="2042">
                  <c:v>5</c:v>
                </c:pt>
                <c:pt idx="2043">
                  <c:v>2.2000000000000002</c:v>
                </c:pt>
                <c:pt idx="2044">
                  <c:v>11.2</c:v>
                </c:pt>
                <c:pt idx="2045">
                  <c:v>7</c:v>
                </c:pt>
                <c:pt idx="2046">
                  <c:v>14</c:v>
                </c:pt>
                <c:pt idx="2047">
                  <c:v>5</c:v>
                </c:pt>
                <c:pt idx="2048">
                  <c:v>6.6000000000000005</c:v>
                </c:pt>
                <c:pt idx="2049">
                  <c:v>11.2</c:v>
                </c:pt>
                <c:pt idx="2050">
                  <c:v>7</c:v>
                </c:pt>
                <c:pt idx="2051">
                  <c:v>2.5</c:v>
                </c:pt>
                <c:pt idx="2052">
                  <c:v>8.8000000000000007</c:v>
                </c:pt>
                <c:pt idx="2053">
                  <c:v>15.2</c:v>
                </c:pt>
                <c:pt idx="2054">
                  <c:v>7</c:v>
                </c:pt>
                <c:pt idx="2055">
                  <c:v>7.6</c:v>
                </c:pt>
                <c:pt idx="2056">
                  <c:v>19</c:v>
                </c:pt>
                <c:pt idx="2057">
                  <c:v>11</c:v>
                </c:pt>
                <c:pt idx="2058">
                  <c:v>17.5</c:v>
                </c:pt>
                <c:pt idx="2059">
                  <c:v>5</c:v>
                </c:pt>
                <c:pt idx="2060">
                  <c:v>8.8000000000000007</c:v>
                </c:pt>
                <c:pt idx="2061">
                  <c:v>3.5</c:v>
                </c:pt>
                <c:pt idx="2062">
                  <c:v>19</c:v>
                </c:pt>
                <c:pt idx="2063">
                  <c:v>17.5</c:v>
                </c:pt>
                <c:pt idx="2064">
                  <c:v>2.2000000000000002</c:v>
                </c:pt>
                <c:pt idx="2065">
                  <c:v>5</c:v>
                </c:pt>
                <c:pt idx="2066">
                  <c:v>7</c:v>
                </c:pt>
                <c:pt idx="2067">
                  <c:v>2.2000000000000002</c:v>
                </c:pt>
                <c:pt idx="2068">
                  <c:v>8.8000000000000007</c:v>
                </c:pt>
                <c:pt idx="2069">
                  <c:v>11</c:v>
                </c:pt>
                <c:pt idx="2070">
                  <c:v>8.8000000000000007</c:v>
                </c:pt>
                <c:pt idx="2071">
                  <c:v>7.5</c:v>
                </c:pt>
                <c:pt idx="2072">
                  <c:v>11.2</c:v>
                </c:pt>
                <c:pt idx="2073">
                  <c:v>6.6000000000000005</c:v>
                </c:pt>
                <c:pt idx="2074">
                  <c:v>7</c:v>
                </c:pt>
                <c:pt idx="2075">
                  <c:v>14</c:v>
                </c:pt>
                <c:pt idx="2076">
                  <c:v>14</c:v>
                </c:pt>
                <c:pt idx="2077">
                  <c:v>2.2000000000000002</c:v>
                </c:pt>
                <c:pt idx="2078">
                  <c:v>7</c:v>
                </c:pt>
                <c:pt idx="2079">
                  <c:v>11.2</c:v>
                </c:pt>
                <c:pt idx="2080">
                  <c:v>8.8000000000000007</c:v>
                </c:pt>
                <c:pt idx="2081">
                  <c:v>3.8</c:v>
                </c:pt>
                <c:pt idx="2082">
                  <c:v>8.3999999999999986</c:v>
                </c:pt>
                <c:pt idx="2083">
                  <c:v>8.3999999999999986</c:v>
                </c:pt>
                <c:pt idx="2084">
                  <c:v>12.5</c:v>
                </c:pt>
                <c:pt idx="2085">
                  <c:v>2.5</c:v>
                </c:pt>
                <c:pt idx="2086">
                  <c:v>19</c:v>
                </c:pt>
                <c:pt idx="2087">
                  <c:v>2.5</c:v>
                </c:pt>
                <c:pt idx="2088">
                  <c:v>10</c:v>
                </c:pt>
                <c:pt idx="2089">
                  <c:v>5</c:v>
                </c:pt>
                <c:pt idx="2090">
                  <c:v>12.5</c:v>
                </c:pt>
                <c:pt idx="2091">
                  <c:v>15.2</c:v>
                </c:pt>
                <c:pt idx="2092">
                  <c:v>2.5</c:v>
                </c:pt>
                <c:pt idx="2093">
                  <c:v>11.399999999999999</c:v>
                </c:pt>
                <c:pt idx="2094">
                  <c:v>10</c:v>
                </c:pt>
                <c:pt idx="2095">
                  <c:v>8.3999999999999986</c:v>
                </c:pt>
                <c:pt idx="2096">
                  <c:v>2.8</c:v>
                </c:pt>
                <c:pt idx="2097">
                  <c:v>7.5</c:v>
                </c:pt>
                <c:pt idx="2098">
                  <c:v>11.399999999999999</c:v>
                </c:pt>
                <c:pt idx="2099">
                  <c:v>2.5</c:v>
                </c:pt>
                <c:pt idx="2100">
                  <c:v>2.8</c:v>
                </c:pt>
                <c:pt idx="2101">
                  <c:v>3.5</c:v>
                </c:pt>
                <c:pt idx="2102">
                  <c:v>3.5</c:v>
                </c:pt>
                <c:pt idx="2103">
                  <c:v>2.2000000000000002</c:v>
                </c:pt>
                <c:pt idx="2104">
                  <c:v>10.5</c:v>
                </c:pt>
                <c:pt idx="2105">
                  <c:v>11</c:v>
                </c:pt>
                <c:pt idx="2106">
                  <c:v>4.4000000000000004</c:v>
                </c:pt>
                <c:pt idx="2107">
                  <c:v>11</c:v>
                </c:pt>
                <c:pt idx="2108">
                  <c:v>10</c:v>
                </c:pt>
                <c:pt idx="2109">
                  <c:v>10</c:v>
                </c:pt>
                <c:pt idx="2110">
                  <c:v>14</c:v>
                </c:pt>
                <c:pt idx="2111">
                  <c:v>7.6</c:v>
                </c:pt>
                <c:pt idx="2112">
                  <c:v>7.5</c:v>
                </c:pt>
                <c:pt idx="2113">
                  <c:v>2.2000000000000002</c:v>
                </c:pt>
                <c:pt idx="2114">
                  <c:v>3.5</c:v>
                </c:pt>
                <c:pt idx="2115">
                  <c:v>3.5</c:v>
                </c:pt>
                <c:pt idx="2116">
                  <c:v>12.5</c:v>
                </c:pt>
                <c:pt idx="2117">
                  <c:v>2.5</c:v>
                </c:pt>
                <c:pt idx="2118">
                  <c:v>15.2</c:v>
                </c:pt>
                <c:pt idx="2119">
                  <c:v>8.8000000000000007</c:v>
                </c:pt>
                <c:pt idx="2120">
                  <c:v>2.2000000000000002</c:v>
                </c:pt>
                <c:pt idx="2121">
                  <c:v>10.5</c:v>
                </c:pt>
                <c:pt idx="2122">
                  <c:v>3.8</c:v>
                </c:pt>
                <c:pt idx="2123">
                  <c:v>4.4000000000000004</c:v>
                </c:pt>
                <c:pt idx="2124">
                  <c:v>15.2</c:v>
                </c:pt>
                <c:pt idx="2125">
                  <c:v>11</c:v>
                </c:pt>
                <c:pt idx="2126">
                  <c:v>5</c:v>
                </c:pt>
                <c:pt idx="2127">
                  <c:v>7.6</c:v>
                </c:pt>
                <c:pt idx="2128">
                  <c:v>14</c:v>
                </c:pt>
                <c:pt idx="2129">
                  <c:v>5.6</c:v>
                </c:pt>
                <c:pt idx="2130">
                  <c:v>17.5</c:v>
                </c:pt>
                <c:pt idx="2131">
                  <c:v>4.4000000000000004</c:v>
                </c:pt>
                <c:pt idx="2132">
                  <c:v>8.3999999999999986</c:v>
                </c:pt>
                <c:pt idx="2133">
                  <c:v>8.3999999999999986</c:v>
                </c:pt>
                <c:pt idx="2134">
                  <c:v>19</c:v>
                </c:pt>
                <c:pt idx="2135">
                  <c:v>14</c:v>
                </c:pt>
                <c:pt idx="2136">
                  <c:v>8.8000000000000007</c:v>
                </c:pt>
                <c:pt idx="2137">
                  <c:v>11.2</c:v>
                </c:pt>
                <c:pt idx="2138">
                  <c:v>8.8000000000000007</c:v>
                </c:pt>
                <c:pt idx="2139">
                  <c:v>12.5</c:v>
                </c:pt>
                <c:pt idx="2140">
                  <c:v>12.5</c:v>
                </c:pt>
                <c:pt idx="2141">
                  <c:v>11.399999999999999</c:v>
                </c:pt>
                <c:pt idx="2142">
                  <c:v>15.2</c:v>
                </c:pt>
                <c:pt idx="2143">
                  <c:v>8.8000000000000007</c:v>
                </c:pt>
                <c:pt idx="2144">
                  <c:v>17.5</c:v>
                </c:pt>
                <c:pt idx="2145">
                  <c:v>3.5</c:v>
                </c:pt>
                <c:pt idx="2146">
                  <c:v>3.8</c:v>
                </c:pt>
                <c:pt idx="2147">
                  <c:v>4.4000000000000004</c:v>
                </c:pt>
                <c:pt idx="2148">
                  <c:v>8.8000000000000007</c:v>
                </c:pt>
                <c:pt idx="2149">
                  <c:v>8.8000000000000007</c:v>
                </c:pt>
                <c:pt idx="2150">
                  <c:v>4.4000000000000004</c:v>
                </c:pt>
                <c:pt idx="2151">
                  <c:v>8.3999999999999986</c:v>
                </c:pt>
                <c:pt idx="2152">
                  <c:v>19</c:v>
                </c:pt>
                <c:pt idx="2153">
                  <c:v>3.5</c:v>
                </c:pt>
                <c:pt idx="2154">
                  <c:v>2.2000000000000002</c:v>
                </c:pt>
                <c:pt idx="2155">
                  <c:v>11.2</c:v>
                </c:pt>
                <c:pt idx="2156">
                  <c:v>6.6000000000000005</c:v>
                </c:pt>
                <c:pt idx="2157">
                  <c:v>2.2000000000000002</c:v>
                </c:pt>
                <c:pt idx="2158">
                  <c:v>5</c:v>
                </c:pt>
                <c:pt idx="2159">
                  <c:v>3.5</c:v>
                </c:pt>
                <c:pt idx="2160">
                  <c:v>7.5</c:v>
                </c:pt>
                <c:pt idx="2161">
                  <c:v>4.4000000000000004</c:v>
                </c:pt>
                <c:pt idx="2162">
                  <c:v>11</c:v>
                </c:pt>
                <c:pt idx="2163">
                  <c:v>3.5</c:v>
                </c:pt>
                <c:pt idx="2164">
                  <c:v>19</c:v>
                </c:pt>
                <c:pt idx="2165">
                  <c:v>5.6</c:v>
                </c:pt>
                <c:pt idx="2166">
                  <c:v>11</c:v>
                </c:pt>
                <c:pt idx="2167">
                  <c:v>8.3999999999999986</c:v>
                </c:pt>
                <c:pt idx="2168">
                  <c:v>6.6000000000000005</c:v>
                </c:pt>
                <c:pt idx="2169">
                  <c:v>11.399999999999999</c:v>
                </c:pt>
                <c:pt idx="2170">
                  <c:v>5.6</c:v>
                </c:pt>
                <c:pt idx="2171">
                  <c:v>11.399999999999999</c:v>
                </c:pt>
                <c:pt idx="2172">
                  <c:v>8.3999999999999986</c:v>
                </c:pt>
                <c:pt idx="2173">
                  <c:v>2.5</c:v>
                </c:pt>
                <c:pt idx="2174">
                  <c:v>11</c:v>
                </c:pt>
                <c:pt idx="2175">
                  <c:v>12.5</c:v>
                </c:pt>
                <c:pt idx="2176">
                  <c:v>11.2</c:v>
                </c:pt>
                <c:pt idx="2177">
                  <c:v>17.5</c:v>
                </c:pt>
                <c:pt idx="2178">
                  <c:v>3.8</c:v>
                </c:pt>
                <c:pt idx="2179">
                  <c:v>7.6</c:v>
                </c:pt>
                <c:pt idx="2180">
                  <c:v>17.5</c:v>
                </c:pt>
                <c:pt idx="2181">
                  <c:v>11</c:v>
                </c:pt>
                <c:pt idx="2182">
                  <c:v>3.8</c:v>
                </c:pt>
                <c:pt idx="2183">
                  <c:v>5.6</c:v>
                </c:pt>
                <c:pt idx="2184">
                  <c:v>7.6</c:v>
                </c:pt>
                <c:pt idx="2185">
                  <c:v>10.5</c:v>
                </c:pt>
                <c:pt idx="2186">
                  <c:v>10.5</c:v>
                </c:pt>
                <c:pt idx="2187">
                  <c:v>11.399999999999999</c:v>
                </c:pt>
                <c:pt idx="2188">
                  <c:v>3.8</c:v>
                </c:pt>
                <c:pt idx="2189">
                  <c:v>4.4000000000000004</c:v>
                </c:pt>
                <c:pt idx="2190">
                  <c:v>2.8</c:v>
                </c:pt>
                <c:pt idx="2191">
                  <c:v>10</c:v>
                </c:pt>
                <c:pt idx="2192">
                  <c:v>12.5</c:v>
                </c:pt>
                <c:pt idx="2193">
                  <c:v>4.4000000000000004</c:v>
                </c:pt>
                <c:pt idx="2194">
                  <c:v>3.8</c:v>
                </c:pt>
                <c:pt idx="2195">
                  <c:v>14</c:v>
                </c:pt>
                <c:pt idx="2196">
                  <c:v>11.2</c:v>
                </c:pt>
                <c:pt idx="2197">
                  <c:v>10</c:v>
                </c:pt>
                <c:pt idx="2198">
                  <c:v>10.5</c:v>
                </c:pt>
                <c:pt idx="2199">
                  <c:v>3.5</c:v>
                </c:pt>
                <c:pt idx="2200">
                  <c:v>10</c:v>
                </c:pt>
                <c:pt idx="2201">
                  <c:v>7.5</c:v>
                </c:pt>
                <c:pt idx="2202">
                  <c:v>11.2</c:v>
                </c:pt>
                <c:pt idx="2203">
                  <c:v>11.2</c:v>
                </c:pt>
                <c:pt idx="2204">
                  <c:v>5</c:v>
                </c:pt>
                <c:pt idx="2205">
                  <c:v>5.6</c:v>
                </c:pt>
                <c:pt idx="2206">
                  <c:v>19</c:v>
                </c:pt>
                <c:pt idx="2207">
                  <c:v>5.6</c:v>
                </c:pt>
                <c:pt idx="2208">
                  <c:v>8.8000000000000007</c:v>
                </c:pt>
                <c:pt idx="2209">
                  <c:v>7.6</c:v>
                </c:pt>
                <c:pt idx="2210">
                  <c:v>11.399999999999999</c:v>
                </c:pt>
                <c:pt idx="2211">
                  <c:v>2.5</c:v>
                </c:pt>
                <c:pt idx="2212">
                  <c:v>14</c:v>
                </c:pt>
                <c:pt idx="2213">
                  <c:v>8.3999999999999986</c:v>
                </c:pt>
                <c:pt idx="2214">
                  <c:v>8.8000000000000007</c:v>
                </c:pt>
                <c:pt idx="2215">
                  <c:v>5.6</c:v>
                </c:pt>
                <c:pt idx="2216">
                  <c:v>11</c:v>
                </c:pt>
                <c:pt idx="2217">
                  <c:v>3.8</c:v>
                </c:pt>
                <c:pt idx="2218">
                  <c:v>4.4000000000000004</c:v>
                </c:pt>
                <c:pt idx="2219">
                  <c:v>7.5</c:v>
                </c:pt>
                <c:pt idx="2220">
                  <c:v>2.8</c:v>
                </c:pt>
                <c:pt idx="2221">
                  <c:v>12.5</c:v>
                </c:pt>
                <c:pt idx="2222">
                  <c:v>8.8000000000000007</c:v>
                </c:pt>
                <c:pt idx="2223">
                  <c:v>12.5</c:v>
                </c:pt>
                <c:pt idx="2224">
                  <c:v>11</c:v>
                </c:pt>
                <c:pt idx="2225">
                  <c:v>14</c:v>
                </c:pt>
                <c:pt idx="2226">
                  <c:v>3.8</c:v>
                </c:pt>
                <c:pt idx="2227">
                  <c:v>11.2</c:v>
                </c:pt>
                <c:pt idx="2228">
                  <c:v>11.399999999999999</c:v>
                </c:pt>
                <c:pt idx="2229">
                  <c:v>2.8</c:v>
                </c:pt>
                <c:pt idx="2230">
                  <c:v>3.8</c:v>
                </c:pt>
                <c:pt idx="2231">
                  <c:v>7.5</c:v>
                </c:pt>
                <c:pt idx="2232">
                  <c:v>11</c:v>
                </c:pt>
                <c:pt idx="2233">
                  <c:v>5.6</c:v>
                </c:pt>
                <c:pt idx="2234">
                  <c:v>7.5</c:v>
                </c:pt>
                <c:pt idx="2235">
                  <c:v>5</c:v>
                </c:pt>
                <c:pt idx="2236">
                  <c:v>3.5</c:v>
                </c:pt>
                <c:pt idx="2237">
                  <c:v>17.5</c:v>
                </c:pt>
                <c:pt idx="2238">
                  <c:v>5.6</c:v>
                </c:pt>
                <c:pt idx="2239">
                  <c:v>19</c:v>
                </c:pt>
                <c:pt idx="2240">
                  <c:v>11.2</c:v>
                </c:pt>
                <c:pt idx="2241">
                  <c:v>11.399999999999999</c:v>
                </c:pt>
                <c:pt idx="2242">
                  <c:v>2.2000000000000002</c:v>
                </c:pt>
                <c:pt idx="2243">
                  <c:v>8.8000000000000007</c:v>
                </c:pt>
                <c:pt idx="2244">
                  <c:v>6.6000000000000005</c:v>
                </c:pt>
                <c:pt idx="2245">
                  <c:v>3.8</c:v>
                </c:pt>
                <c:pt idx="2246">
                  <c:v>12.5</c:v>
                </c:pt>
                <c:pt idx="2247">
                  <c:v>12.5</c:v>
                </c:pt>
                <c:pt idx="2248">
                  <c:v>14</c:v>
                </c:pt>
                <c:pt idx="2249">
                  <c:v>6.6000000000000005</c:v>
                </c:pt>
                <c:pt idx="2250">
                  <c:v>14</c:v>
                </c:pt>
                <c:pt idx="2251">
                  <c:v>5.6</c:v>
                </c:pt>
                <c:pt idx="2252">
                  <c:v>3.8</c:v>
                </c:pt>
                <c:pt idx="2253">
                  <c:v>5.6</c:v>
                </c:pt>
                <c:pt idx="2254">
                  <c:v>8.3999999999999986</c:v>
                </c:pt>
                <c:pt idx="2255">
                  <c:v>11</c:v>
                </c:pt>
                <c:pt idx="2256">
                  <c:v>5</c:v>
                </c:pt>
                <c:pt idx="2257">
                  <c:v>8.3999999999999986</c:v>
                </c:pt>
                <c:pt idx="2258">
                  <c:v>2.8</c:v>
                </c:pt>
                <c:pt idx="2259">
                  <c:v>8.8000000000000007</c:v>
                </c:pt>
                <c:pt idx="2260">
                  <c:v>8.3999999999999986</c:v>
                </c:pt>
                <c:pt idx="2261">
                  <c:v>7.6</c:v>
                </c:pt>
                <c:pt idx="2262">
                  <c:v>8.3999999999999986</c:v>
                </c:pt>
                <c:pt idx="2263">
                  <c:v>14</c:v>
                </c:pt>
                <c:pt idx="2264">
                  <c:v>7.5</c:v>
                </c:pt>
                <c:pt idx="2265">
                  <c:v>11</c:v>
                </c:pt>
                <c:pt idx="2266">
                  <c:v>11</c:v>
                </c:pt>
                <c:pt idx="2267">
                  <c:v>2.2000000000000002</c:v>
                </c:pt>
                <c:pt idx="2268">
                  <c:v>8.3999999999999986</c:v>
                </c:pt>
                <c:pt idx="2269">
                  <c:v>7</c:v>
                </c:pt>
                <c:pt idx="2270">
                  <c:v>10.5</c:v>
                </c:pt>
                <c:pt idx="2271">
                  <c:v>6.6000000000000005</c:v>
                </c:pt>
                <c:pt idx="2272">
                  <c:v>10.5</c:v>
                </c:pt>
                <c:pt idx="2273">
                  <c:v>8.3999999999999986</c:v>
                </c:pt>
                <c:pt idx="2274">
                  <c:v>2.5</c:v>
                </c:pt>
                <c:pt idx="2275">
                  <c:v>7</c:v>
                </c:pt>
                <c:pt idx="2276">
                  <c:v>2.2000000000000002</c:v>
                </c:pt>
                <c:pt idx="2277">
                  <c:v>3.8</c:v>
                </c:pt>
                <c:pt idx="2278">
                  <c:v>3.5</c:v>
                </c:pt>
                <c:pt idx="2279">
                  <c:v>15.2</c:v>
                </c:pt>
                <c:pt idx="2280">
                  <c:v>11</c:v>
                </c:pt>
                <c:pt idx="2281">
                  <c:v>11</c:v>
                </c:pt>
                <c:pt idx="2282">
                  <c:v>8.8000000000000007</c:v>
                </c:pt>
                <c:pt idx="2283">
                  <c:v>11.399999999999999</c:v>
                </c:pt>
                <c:pt idx="2284">
                  <c:v>3.5</c:v>
                </c:pt>
                <c:pt idx="2285">
                  <c:v>3.8</c:v>
                </c:pt>
                <c:pt idx="2286">
                  <c:v>2.8</c:v>
                </c:pt>
                <c:pt idx="2287">
                  <c:v>2.5</c:v>
                </c:pt>
                <c:pt idx="2288">
                  <c:v>2.2000000000000002</c:v>
                </c:pt>
                <c:pt idx="2289">
                  <c:v>8.3999999999999986</c:v>
                </c:pt>
                <c:pt idx="2290">
                  <c:v>3.8</c:v>
                </c:pt>
                <c:pt idx="2291">
                  <c:v>2.5</c:v>
                </c:pt>
                <c:pt idx="2292">
                  <c:v>19</c:v>
                </c:pt>
                <c:pt idx="2293">
                  <c:v>2.2000000000000002</c:v>
                </c:pt>
                <c:pt idx="2294">
                  <c:v>10</c:v>
                </c:pt>
                <c:pt idx="2295">
                  <c:v>12.5</c:v>
                </c:pt>
                <c:pt idx="2296">
                  <c:v>7.5</c:v>
                </c:pt>
                <c:pt idx="2297">
                  <c:v>10</c:v>
                </c:pt>
                <c:pt idx="2298">
                  <c:v>6.6000000000000005</c:v>
                </c:pt>
                <c:pt idx="2299">
                  <c:v>7.6</c:v>
                </c:pt>
                <c:pt idx="2300">
                  <c:v>8.8000000000000007</c:v>
                </c:pt>
                <c:pt idx="2301">
                  <c:v>6.6000000000000005</c:v>
                </c:pt>
                <c:pt idx="2302">
                  <c:v>10.5</c:v>
                </c:pt>
                <c:pt idx="2303">
                  <c:v>7</c:v>
                </c:pt>
                <c:pt idx="2304">
                  <c:v>17.5</c:v>
                </c:pt>
                <c:pt idx="2305">
                  <c:v>11</c:v>
                </c:pt>
                <c:pt idx="2306">
                  <c:v>5</c:v>
                </c:pt>
                <c:pt idx="2307">
                  <c:v>12.5</c:v>
                </c:pt>
                <c:pt idx="2308">
                  <c:v>12.5</c:v>
                </c:pt>
                <c:pt idx="2309">
                  <c:v>11.2</c:v>
                </c:pt>
                <c:pt idx="2310">
                  <c:v>3.8</c:v>
                </c:pt>
                <c:pt idx="2311">
                  <c:v>19</c:v>
                </c:pt>
                <c:pt idx="2312">
                  <c:v>11.399999999999999</c:v>
                </c:pt>
                <c:pt idx="2313">
                  <c:v>8.3999999999999986</c:v>
                </c:pt>
                <c:pt idx="2314">
                  <c:v>5</c:v>
                </c:pt>
                <c:pt idx="2315">
                  <c:v>11.2</c:v>
                </c:pt>
                <c:pt idx="2316">
                  <c:v>11</c:v>
                </c:pt>
                <c:pt idx="2317">
                  <c:v>11.399999999999999</c:v>
                </c:pt>
                <c:pt idx="2318">
                  <c:v>8.3999999999999986</c:v>
                </c:pt>
                <c:pt idx="2319">
                  <c:v>3.5</c:v>
                </c:pt>
                <c:pt idx="2320">
                  <c:v>10.5</c:v>
                </c:pt>
                <c:pt idx="2321">
                  <c:v>3.8</c:v>
                </c:pt>
                <c:pt idx="2322">
                  <c:v>2.8</c:v>
                </c:pt>
                <c:pt idx="2323">
                  <c:v>14</c:v>
                </c:pt>
                <c:pt idx="2324">
                  <c:v>7</c:v>
                </c:pt>
                <c:pt idx="2325">
                  <c:v>19</c:v>
                </c:pt>
                <c:pt idx="2326">
                  <c:v>11.399999999999999</c:v>
                </c:pt>
                <c:pt idx="2327">
                  <c:v>7.5</c:v>
                </c:pt>
                <c:pt idx="2328">
                  <c:v>7.5</c:v>
                </c:pt>
                <c:pt idx="2329">
                  <c:v>10</c:v>
                </c:pt>
                <c:pt idx="2330">
                  <c:v>11.399999999999999</c:v>
                </c:pt>
                <c:pt idx="2331">
                  <c:v>7</c:v>
                </c:pt>
                <c:pt idx="2332">
                  <c:v>10</c:v>
                </c:pt>
                <c:pt idx="2333">
                  <c:v>14</c:v>
                </c:pt>
                <c:pt idx="2334">
                  <c:v>2.5</c:v>
                </c:pt>
                <c:pt idx="2335">
                  <c:v>19</c:v>
                </c:pt>
                <c:pt idx="2336">
                  <c:v>7</c:v>
                </c:pt>
                <c:pt idx="2337">
                  <c:v>14</c:v>
                </c:pt>
                <c:pt idx="2338">
                  <c:v>2.5</c:v>
                </c:pt>
                <c:pt idx="2339">
                  <c:v>7.6</c:v>
                </c:pt>
                <c:pt idx="2340">
                  <c:v>14</c:v>
                </c:pt>
                <c:pt idx="2341">
                  <c:v>7</c:v>
                </c:pt>
                <c:pt idx="2342">
                  <c:v>8.8000000000000007</c:v>
                </c:pt>
                <c:pt idx="2343">
                  <c:v>10</c:v>
                </c:pt>
                <c:pt idx="2344">
                  <c:v>15.2</c:v>
                </c:pt>
                <c:pt idx="2345">
                  <c:v>5.6</c:v>
                </c:pt>
                <c:pt idx="2346">
                  <c:v>3.5</c:v>
                </c:pt>
                <c:pt idx="2347">
                  <c:v>2.2000000000000002</c:v>
                </c:pt>
                <c:pt idx="2348">
                  <c:v>11.2</c:v>
                </c:pt>
                <c:pt idx="2349">
                  <c:v>7.6</c:v>
                </c:pt>
                <c:pt idx="2350">
                  <c:v>8.3999999999999986</c:v>
                </c:pt>
                <c:pt idx="2351">
                  <c:v>3.5</c:v>
                </c:pt>
                <c:pt idx="2352">
                  <c:v>12.5</c:v>
                </c:pt>
                <c:pt idx="2353">
                  <c:v>10.5</c:v>
                </c:pt>
                <c:pt idx="2354">
                  <c:v>5.6</c:v>
                </c:pt>
                <c:pt idx="2355">
                  <c:v>11.399999999999999</c:v>
                </c:pt>
                <c:pt idx="2356">
                  <c:v>2.2000000000000002</c:v>
                </c:pt>
                <c:pt idx="2357">
                  <c:v>5.6</c:v>
                </c:pt>
                <c:pt idx="2358">
                  <c:v>5.6</c:v>
                </c:pt>
                <c:pt idx="2359">
                  <c:v>7.6</c:v>
                </c:pt>
                <c:pt idx="2360">
                  <c:v>2.2000000000000002</c:v>
                </c:pt>
                <c:pt idx="2361">
                  <c:v>8.3999999999999986</c:v>
                </c:pt>
                <c:pt idx="2362">
                  <c:v>7.6</c:v>
                </c:pt>
                <c:pt idx="2363">
                  <c:v>10</c:v>
                </c:pt>
                <c:pt idx="2364">
                  <c:v>2.5</c:v>
                </c:pt>
                <c:pt idx="2365">
                  <c:v>6.6000000000000005</c:v>
                </c:pt>
                <c:pt idx="2366">
                  <c:v>7</c:v>
                </c:pt>
                <c:pt idx="2367">
                  <c:v>14</c:v>
                </c:pt>
                <c:pt idx="2368">
                  <c:v>8.8000000000000007</c:v>
                </c:pt>
                <c:pt idx="2369">
                  <c:v>10</c:v>
                </c:pt>
                <c:pt idx="2370">
                  <c:v>15.2</c:v>
                </c:pt>
                <c:pt idx="2371">
                  <c:v>11.399999999999999</c:v>
                </c:pt>
                <c:pt idx="2372">
                  <c:v>2.2000000000000002</c:v>
                </c:pt>
                <c:pt idx="2373">
                  <c:v>17.5</c:v>
                </c:pt>
                <c:pt idx="2374">
                  <c:v>3.5</c:v>
                </c:pt>
                <c:pt idx="2375">
                  <c:v>5.6</c:v>
                </c:pt>
                <c:pt idx="2376">
                  <c:v>6.6000000000000005</c:v>
                </c:pt>
                <c:pt idx="2377">
                  <c:v>11.399999999999999</c:v>
                </c:pt>
                <c:pt idx="2378">
                  <c:v>5.6</c:v>
                </c:pt>
                <c:pt idx="2379">
                  <c:v>4.4000000000000004</c:v>
                </c:pt>
                <c:pt idx="2380">
                  <c:v>2.2000000000000002</c:v>
                </c:pt>
                <c:pt idx="2381">
                  <c:v>2.2000000000000002</c:v>
                </c:pt>
                <c:pt idx="2382">
                  <c:v>3.8</c:v>
                </c:pt>
                <c:pt idx="2383">
                  <c:v>8.3999999999999986</c:v>
                </c:pt>
                <c:pt idx="2384">
                  <c:v>3.8</c:v>
                </c:pt>
                <c:pt idx="2385">
                  <c:v>4.4000000000000004</c:v>
                </c:pt>
                <c:pt idx="2386">
                  <c:v>11.2</c:v>
                </c:pt>
                <c:pt idx="2387">
                  <c:v>12.5</c:v>
                </c:pt>
                <c:pt idx="2388">
                  <c:v>2.2000000000000002</c:v>
                </c:pt>
                <c:pt idx="2389">
                  <c:v>2.2000000000000002</c:v>
                </c:pt>
                <c:pt idx="2390">
                  <c:v>19</c:v>
                </c:pt>
                <c:pt idx="2391">
                  <c:v>11.2</c:v>
                </c:pt>
                <c:pt idx="2392">
                  <c:v>3.5</c:v>
                </c:pt>
                <c:pt idx="2393">
                  <c:v>14</c:v>
                </c:pt>
                <c:pt idx="2394">
                  <c:v>19</c:v>
                </c:pt>
                <c:pt idx="2395">
                  <c:v>17.5</c:v>
                </c:pt>
                <c:pt idx="2396">
                  <c:v>15.2</c:v>
                </c:pt>
                <c:pt idx="2397">
                  <c:v>8.8000000000000007</c:v>
                </c:pt>
                <c:pt idx="2398">
                  <c:v>4.4000000000000004</c:v>
                </c:pt>
                <c:pt idx="2399">
                  <c:v>3.5</c:v>
                </c:pt>
                <c:pt idx="2400">
                  <c:v>4.4000000000000004</c:v>
                </c:pt>
                <c:pt idx="2401">
                  <c:v>11.399999999999999</c:v>
                </c:pt>
                <c:pt idx="2402">
                  <c:v>14</c:v>
                </c:pt>
                <c:pt idx="2403">
                  <c:v>2.2000000000000002</c:v>
                </c:pt>
                <c:pt idx="2404">
                  <c:v>7.5</c:v>
                </c:pt>
                <c:pt idx="2405">
                  <c:v>17.5</c:v>
                </c:pt>
                <c:pt idx="2406">
                  <c:v>2.5</c:v>
                </c:pt>
                <c:pt idx="2407">
                  <c:v>7.6</c:v>
                </c:pt>
                <c:pt idx="2408">
                  <c:v>7</c:v>
                </c:pt>
                <c:pt idx="2409">
                  <c:v>2.8</c:v>
                </c:pt>
                <c:pt idx="2410">
                  <c:v>11.2</c:v>
                </c:pt>
                <c:pt idx="2411">
                  <c:v>2.2000000000000002</c:v>
                </c:pt>
                <c:pt idx="2412">
                  <c:v>3.8</c:v>
                </c:pt>
                <c:pt idx="2413">
                  <c:v>15.2</c:v>
                </c:pt>
                <c:pt idx="2414">
                  <c:v>8.3999999999999986</c:v>
                </c:pt>
                <c:pt idx="2415">
                  <c:v>5.6</c:v>
                </c:pt>
                <c:pt idx="2416">
                  <c:v>10.5</c:v>
                </c:pt>
                <c:pt idx="2417">
                  <c:v>11.399999999999999</c:v>
                </c:pt>
                <c:pt idx="2418">
                  <c:v>17.5</c:v>
                </c:pt>
                <c:pt idx="2419">
                  <c:v>2.5</c:v>
                </c:pt>
                <c:pt idx="2420">
                  <c:v>10</c:v>
                </c:pt>
                <c:pt idx="2421">
                  <c:v>5</c:v>
                </c:pt>
                <c:pt idx="2422">
                  <c:v>17.5</c:v>
                </c:pt>
                <c:pt idx="2423">
                  <c:v>7.5</c:v>
                </c:pt>
                <c:pt idx="2424">
                  <c:v>12.5</c:v>
                </c:pt>
                <c:pt idx="2425">
                  <c:v>8.8000000000000007</c:v>
                </c:pt>
                <c:pt idx="2426">
                  <c:v>7.5</c:v>
                </c:pt>
                <c:pt idx="2427">
                  <c:v>10</c:v>
                </c:pt>
                <c:pt idx="2428">
                  <c:v>6.6000000000000005</c:v>
                </c:pt>
                <c:pt idx="2429">
                  <c:v>5</c:v>
                </c:pt>
                <c:pt idx="2430">
                  <c:v>14</c:v>
                </c:pt>
                <c:pt idx="2431">
                  <c:v>17.5</c:v>
                </c:pt>
                <c:pt idx="2432">
                  <c:v>5</c:v>
                </c:pt>
                <c:pt idx="2433">
                  <c:v>2.2000000000000002</c:v>
                </c:pt>
                <c:pt idx="2434">
                  <c:v>5.6</c:v>
                </c:pt>
                <c:pt idx="2435">
                  <c:v>17.5</c:v>
                </c:pt>
                <c:pt idx="2436">
                  <c:v>7.5</c:v>
                </c:pt>
                <c:pt idx="2437">
                  <c:v>2.8</c:v>
                </c:pt>
                <c:pt idx="2438">
                  <c:v>10.5</c:v>
                </c:pt>
                <c:pt idx="2439">
                  <c:v>3.5</c:v>
                </c:pt>
                <c:pt idx="2440">
                  <c:v>5</c:v>
                </c:pt>
                <c:pt idx="2441">
                  <c:v>19</c:v>
                </c:pt>
                <c:pt idx="2442">
                  <c:v>8.8000000000000007</c:v>
                </c:pt>
                <c:pt idx="2443">
                  <c:v>3.8</c:v>
                </c:pt>
                <c:pt idx="2444">
                  <c:v>2.5</c:v>
                </c:pt>
                <c:pt idx="2445">
                  <c:v>10</c:v>
                </c:pt>
                <c:pt idx="2446">
                  <c:v>11.399999999999999</c:v>
                </c:pt>
                <c:pt idx="2447">
                  <c:v>2.8</c:v>
                </c:pt>
                <c:pt idx="2448">
                  <c:v>14</c:v>
                </c:pt>
                <c:pt idx="2449">
                  <c:v>10.5</c:v>
                </c:pt>
                <c:pt idx="2450">
                  <c:v>3.5</c:v>
                </c:pt>
                <c:pt idx="2451">
                  <c:v>17.5</c:v>
                </c:pt>
                <c:pt idx="2452">
                  <c:v>2.5</c:v>
                </c:pt>
                <c:pt idx="2453">
                  <c:v>2.8</c:v>
                </c:pt>
                <c:pt idx="2454">
                  <c:v>10</c:v>
                </c:pt>
                <c:pt idx="2455">
                  <c:v>7</c:v>
                </c:pt>
                <c:pt idx="2456">
                  <c:v>2.8</c:v>
                </c:pt>
                <c:pt idx="2457">
                  <c:v>4.4000000000000004</c:v>
                </c:pt>
                <c:pt idx="2458">
                  <c:v>8.3999999999999986</c:v>
                </c:pt>
                <c:pt idx="2459">
                  <c:v>19</c:v>
                </c:pt>
                <c:pt idx="2460">
                  <c:v>19</c:v>
                </c:pt>
                <c:pt idx="2461">
                  <c:v>2.2000000000000002</c:v>
                </c:pt>
                <c:pt idx="2462">
                  <c:v>19</c:v>
                </c:pt>
                <c:pt idx="2463">
                  <c:v>6.6000000000000005</c:v>
                </c:pt>
                <c:pt idx="2464">
                  <c:v>14</c:v>
                </c:pt>
                <c:pt idx="2465">
                  <c:v>19</c:v>
                </c:pt>
                <c:pt idx="2466">
                  <c:v>15.2</c:v>
                </c:pt>
                <c:pt idx="2467">
                  <c:v>10</c:v>
                </c:pt>
                <c:pt idx="2468">
                  <c:v>2.5</c:v>
                </c:pt>
                <c:pt idx="2469">
                  <c:v>4.4000000000000004</c:v>
                </c:pt>
                <c:pt idx="2470">
                  <c:v>14</c:v>
                </c:pt>
                <c:pt idx="2471">
                  <c:v>15.2</c:v>
                </c:pt>
                <c:pt idx="2472">
                  <c:v>17.5</c:v>
                </c:pt>
                <c:pt idx="2473">
                  <c:v>11.399999999999999</c:v>
                </c:pt>
                <c:pt idx="2474">
                  <c:v>2.8</c:v>
                </c:pt>
                <c:pt idx="2475">
                  <c:v>10</c:v>
                </c:pt>
                <c:pt idx="2476">
                  <c:v>10</c:v>
                </c:pt>
                <c:pt idx="2477">
                  <c:v>8.8000000000000007</c:v>
                </c:pt>
                <c:pt idx="2478">
                  <c:v>15.2</c:v>
                </c:pt>
                <c:pt idx="2479">
                  <c:v>2.5</c:v>
                </c:pt>
                <c:pt idx="2480">
                  <c:v>11.399999999999999</c:v>
                </c:pt>
                <c:pt idx="2481">
                  <c:v>7</c:v>
                </c:pt>
                <c:pt idx="2482">
                  <c:v>14</c:v>
                </c:pt>
                <c:pt idx="2483">
                  <c:v>12.5</c:v>
                </c:pt>
                <c:pt idx="2484">
                  <c:v>2.5</c:v>
                </c:pt>
                <c:pt idx="2485">
                  <c:v>15.2</c:v>
                </c:pt>
                <c:pt idx="2486">
                  <c:v>8.8000000000000007</c:v>
                </c:pt>
                <c:pt idx="2487">
                  <c:v>7.6</c:v>
                </c:pt>
                <c:pt idx="2488">
                  <c:v>11.399999999999999</c:v>
                </c:pt>
                <c:pt idx="2489">
                  <c:v>15.2</c:v>
                </c:pt>
                <c:pt idx="2490">
                  <c:v>11.399999999999999</c:v>
                </c:pt>
                <c:pt idx="2491">
                  <c:v>7</c:v>
                </c:pt>
                <c:pt idx="2492">
                  <c:v>5</c:v>
                </c:pt>
                <c:pt idx="2493">
                  <c:v>5.6</c:v>
                </c:pt>
                <c:pt idx="2494">
                  <c:v>11.2</c:v>
                </c:pt>
                <c:pt idx="2495">
                  <c:v>11.2</c:v>
                </c:pt>
                <c:pt idx="2496">
                  <c:v>7</c:v>
                </c:pt>
                <c:pt idx="2497">
                  <c:v>14</c:v>
                </c:pt>
                <c:pt idx="2498">
                  <c:v>10.5</c:v>
                </c:pt>
                <c:pt idx="2499">
                  <c:v>2.5</c:v>
                </c:pt>
                <c:pt idx="2500">
                  <c:v>19</c:v>
                </c:pt>
                <c:pt idx="2501">
                  <c:v>10.5</c:v>
                </c:pt>
                <c:pt idx="2502">
                  <c:v>4.4000000000000004</c:v>
                </c:pt>
                <c:pt idx="2503">
                  <c:v>10</c:v>
                </c:pt>
                <c:pt idx="2504">
                  <c:v>6.6000000000000005</c:v>
                </c:pt>
                <c:pt idx="2505">
                  <c:v>2.2000000000000002</c:v>
                </c:pt>
                <c:pt idx="2506">
                  <c:v>2.2000000000000002</c:v>
                </c:pt>
                <c:pt idx="2507">
                  <c:v>11.399999999999999</c:v>
                </c:pt>
                <c:pt idx="2508">
                  <c:v>7</c:v>
                </c:pt>
                <c:pt idx="2509">
                  <c:v>14</c:v>
                </c:pt>
                <c:pt idx="2510">
                  <c:v>8.8000000000000007</c:v>
                </c:pt>
                <c:pt idx="2511">
                  <c:v>14</c:v>
                </c:pt>
                <c:pt idx="2512">
                  <c:v>5.6</c:v>
                </c:pt>
                <c:pt idx="2513">
                  <c:v>14</c:v>
                </c:pt>
                <c:pt idx="2514">
                  <c:v>3.5</c:v>
                </c:pt>
                <c:pt idx="2515">
                  <c:v>14</c:v>
                </c:pt>
                <c:pt idx="2516">
                  <c:v>6.6000000000000005</c:v>
                </c:pt>
                <c:pt idx="2517">
                  <c:v>7.5</c:v>
                </c:pt>
                <c:pt idx="2518">
                  <c:v>2.8</c:v>
                </c:pt>
                <c:pt idx="2519">
                  <c:v>13.200000000000001</c:v>
                </c:pt>
                <c:pt idx="2520">
                  <c:v>7</c:v>
                </c:pt>
                <c:pt idx="2521">
                  <c:v>8.3999999999999986</c:v>
                </c:pt>
                <c:pt idx="2522">
                  <c:v>2.5</c:v>
                </c:pt>
                <c:pt idx="2523">
                  <c:v>3.8</c:v>
                </c:pt>
                <c:pt idx="2524">
                  <c:v>8.8000000000000007</c:v>
                </c:pt>
                <c:pt idx="2525">
                  <c:v>5</c:v>
                </c:pt>
                <c:pt idx="2526">
                  <c:v>5.6</c:v>
                </c:pt>
                <c:pt idx="2527">
                  <c:v>8.8000000000000007</c:v>
                </c:pt>
                <c:pt idx="2528">
                  <c:v>8.3999999999999986</c:v>
                </c:pt>
                <c:pt idx="2529">
                  <c:v>14</c:v>
                </c:pt>
                <c:pt idx="2530">
                  <c:v>19</c:v>
                </c:pt>
                <c:pt idx="2531">
                  <c:v>7</c:v>
                </c:pt>
                <c:pt idx="2532">
                  <c:v>11.2</c:v>
                </c:pt>
                <c:pt idx="2533">
                  <c:v>14</c:v>
                </c:pt>
                <c:pt idx="2534">
                  <c:v>8.3999999999999986</c:v>
                </c:pt>
                <c:pt idx="2535">
                  <c:v>10</c:v>
                </c:pt>
                <c:pt idx="2536">
                  <c:v>11.399999999999999</c:v>
                </c:pt>
                <c:pt idx="2537">
                  <c:v>15.2</c:v>
                </c:pt>
                <c:pt idx="2538">
                  <c:v>10.5</c:v>
                </c:pt>
                <c:pt idx="2539">
                  <c:v>7.6</c:v>
                </c:pt>
                <c:pt idx="2540">
                  <c:v>3.8</c:v>
                </c:pt>
                <c:pt idx="2541">
                  <c:v>6.6000000000000005</c:v>
                </c:pt>
                <c:pt idx="2542">
                  <c:v>4.4000000000000004</c:v>
                </c:pt>
                <c:pt idx="2543">
                  <c:v>5</c:v>
                </c:pt>
                <c:pt idx="2544">
                  <c:v>3.5</c:v>
                </c:pt>
                <c:pt idx="2545">
                  <c:v>4.4000000000000004</c:v>
                </c:pt>
                <c:pt idx="2546">
                  <c:v>3.8</c:v>
                </c:pt>
                <c:pt idx="2547">
                  <c:v>6.6000000000000005</c:v>
                </c:pt>
                <c:pt idx="2548">
                  <c:v>19</c:v>
                </c:pt>
                <c:pt idx="2549">
                  <c:v>14</c:v>
                </c:pt>
                <c:pt idx="2550">
                  <c:v>12.5</c:v>
                </c:pt>
                <c:pt idx="2551">
                  <c:v>7.6</c:v>
                </c:pt>
                <c:pt idx="2552">
                  <c:v>17.5</c:v>
                </c:pt>
                <c:pt idx="2553">
                  <c:v>19</c:v>
                </c:pt>
                <c:pt idx="2554">
                  <c:v>7.5</c:v>
                </c:pt>
                <c:pt idx="2555">
                  <c:v>17.5</c:v>
                </c:pt>
                <c:pt idx="2556">
                  <c:v>11.2</c:v>
                </c:pt>
                <c:pt idx="2557">
                  <c:v>4.4000000000000004</c:v>
                </c:pt>
                <c:pt idx="2558">
                  <c:v>6.6000000000000005</c:v>
                </c:pt>
                <c:pt idx="2559">
                  <c:v>14</c:v>
                </c:pt>
                <c:pt idx="2560">
                  <c:v>7</c:v>
                </c:pt>
                <c:pt idx="2561">
                  <c:v>17.5</c:v>
                </c:pt>
                <c:pt idx="2562">
                  <c:v>8.3999999999999986</c:v>
                </c:pt>
                <c:pt idx="2563">
                  <c:v>11.2</c:v>
                </c:pt>
                <c:pt idx="2564">
                  <c:v>15.2</c:v>
                </c:pt>
                <c:pt idx="2565">
                  <c:v>4.4000000000000004</c:v>
                </c:pt>
                <c:pt idx="2566">
                  <c:v>6.6000000000000005</c:v>
                </c:pt>
                <c:pt idx="2567">
                  <c:v>14</c:v>
                </c:pt>
                <c:pt idx="2568">
                  <c:v>17.5</c:v>
                </c:pt>
                <c:pt idx="2569">
                  <c:v>11</c:v>
                </c:pt>
                <c:pt idx="2570">
                  <c:v>19</c:v>
                </c:pt>
                <c:pt idx="2571">
                  <c:v>3.8</c:v>
                </c:pt>
                <c:pt idx="2572">
                  <c:v>2.5</c:v>
                </c:pt>
                <c:pt idx="2573">
                  <c:v>14</c:v>
                </c:pt>
                <c:pt idx="2574">
                  <c:v>7.5</c:v>
                </c:pt>
                <c:pt idx="2575">
                  <c:v>12.5</c:v>
                </c:pt>
                <c:pt idx="2576">
                  <c:v>5.6</c:v>
                </c:pt>
                <c:pt idx="2577">
                  <c:v>4.4000000000000004</c:v>
                </c:pt>
                <c:pt idx="2578">
                  <c:v>10</c:v>
                </c:pt>
                <c:pt idx="2579">
                  <c:v>6.6000000000000005</c:v>
                </c:pt>
                <c:pt idx="2580">
                  <c:v>10</c:v>
                </c:pt>
                <c:pt idx="2581">
                  <c:v>14</c:v>
                </c:pt>
                <c:pt idx="2582">
                  <c:v>12.5</c:v>
                </c:pt>
                <c:pt idx="2583">
                  <c:v>5</c:v>
                </c:pt>
                <c:pt idx="2584">
                  <c:v>2.8</c:v>
                </c:pt>
                <c:pt idx="2585">
                  <c:v>11.399999999999999</c:v>
                </c:pt>
                <c:pt idx="2586">
                  <c:v>14</c:v>
                </c:pt>
                <c:pt idx="2587">
                  <c:v>8.8000000000000007</c:v>
                </c:pt>
                <c:pt idx="2588">
                  <c:v>14</c:v>
                </c:pt>
                <c:pt idx="2589">
                  <c:v>5</c:v>
                </c:pt>
                <c:pt idx="2590">
                  <c:v>6.6000000000000005</c:v>
                </c:pt>
                <c:pt idx="2591">
                  <c:v>5</c:v>
                </c:pt>
                <c:pt idx="2592">
                  <c:v>8.3999999999999986</c:v>
                </c:pt>
                <c:pt idx="2593">
                  <c:v>2.8</c:v>
                </c:pt>
                <c:pt idx="2594">
                  <c:v>3.5</c:v>
                </c:pt>
                <c:pt idx="2595">
                  <c:v>7</c:v>
                </c:pt>
                <c:pt idx="2596">
                  <c:v>10</c:v>
                </c:pt>
                <c:pt idx="2597">
                  <c:v>6.6000000000000005</c:v>
                </c:pt>
                <c:pt idx="2598">
                  <c:v>3.5</c:v>
                </c:pt>
                <c:pt idx="2599">
                  <c:v>10</c:v>
                </c:pt>
                <c:pt idx="2600">
                  <c:v>5</c:v>
                </c:pt>
                <c:pt idx="2601">
                  <c:v>11.2</c:v>
                </c:pt>
                <c:pt idx="2602">
                  <c:v>2.2000000000000002</c:v>
                </c:pt>
                <c:pt idx="2603">
                  <c:v>8.3999999999999986</c:v>
                </c:pt>
                <c:pt idx="2604">
                  <c:v>6.6000000000000005</c:v>
                </c:pt>
                <c:pt idx="2605">
                  <c:v>19</c:v>
                </c:pt>
                <c:pt idx="2606">
                  <c:v>2.2000000000000002</c:v>
                </c:pt>
                <c:pt idx="2607">
                  <c:v>10</c:v>
                </c:pt>
                <c:pt idx="2608">
                  <c:v>5</c:v>
                </c:pt>
                <c:pt idx="2609">
                  <c:v>4.4000000000000004</c:v>
                </c:pt>
                <c:pt idx="2610">
                  <c:v>3.8</c:v>
                </c:pt>
                <c:pt idx="2611">
                  <c:v>11.2</c:v>
                </c:pt>
                <c:pt idx="2612">
                  <c:v>10.5</c:v>
                </c:pt>
                <c:pt idx="2613">
                  <c:v>14</c:v>
                </c:pt>
                <c:pt idx="2614">
                  <c:v>11.2</c:v>
                </c:pt>
                <c:pt idx="2615">
                  <c:v>8.8000000000000007</c:v>
                </c:pt>
                <c:pt idx="2616">
                  <c:v>7.6</c:v>
                </c:pt>
                <c:pt idx="2617">
                  <c:v>10</c:v>
                </c:pt>
                <c:pt idx="2618">
                  <c:v>3.5</c:v>
                </c:pt>
                <c:pt idx="2619">
                  <c:v>19</c:v>
                </c:pt>
                <c:pt idx="2620">
                  <c:v>3.8</c:v>
                </c:pt>
                <c:pt idx="2621">
                  <c:v>11</c:v>
                </c:pt>
                <c:pt idx="2622">
                  <c:v>10</c:v>
                </c:pt>
                <c:pt idx="2623">
                  <c:v>2.8</c:v>
                </c:pt>
                <c:pt idx="2624">
                  <c:v>7.6</c:v>
                </c:pt>
                <c:pt idx="2625">
                  <c:v>11.399999999999999</c:v>
                </c:pt>
                <c:pt idx="2626">
                  <c:v>7</c:v>
                </c:pt>
                <c:pt idx="2627">
                  <c:v>10.5</c:v>
                </c:pt>
                <c:pt idx="2628">
                  <c:v>14</c:v>
                </c:pt>
                <c:pt idx="2629">
                  <c:v>11</c:v>
                </c:pt>
                <c:pt idx="2630">
                  <c:v>2.5</c:v>
                </c:pt>
                <c:pt idx="2631">
                  <c:v>7.6</c:v>
                </c:pt>
                <c:pt idx="2632">
                  <c:v>3.5</c:v>
                </c:pt>
                <c:pt idx="2633">
                  <c:v>8.8000000000000007</c:v>
                </c:pt>
                <c:pt idx="2634">
                  <c:v>10</c:v>
                </c:pt>
                <c:pt idx="2635">
                  <c:v>2.2000000000000002</c:v>
                </c:pt>
                <c:pt idx="2636">
                  <c:v>3.5</c:v>
                </c:pt>
                <c:pt idx="2637">
                  <c:v>17.5</c:v>
                </c:pt>
                <c:pt idx="2638">
                  <c:v>11.399999999999999</c:v>
                </c:pt>
                <c:pt idx="2639">
                  <c:v>10</c:v>
                </c:pt>
                <c:pt idx="2640">
                  <c:v>19</c:v>
                </c:pt>
                <c:pt idx="2641">
                  <c:v>3.5</c:v>
                </c:pt>
                <c:pt idx="2642">
                  <c:v>6.6000000000000005</c:v>
                </c:pt>
                <c:pt idx="2643">
                  <c:v>11.2</c:v>
                </c:pt>
                <c:pt idx="2644">
                  <c:v>3.8</c:v>
                </c:pt>
                <c:pt idx="2645">
                  <c:v>8.8000000000000007</c:v>
                </c:pt>
                <c:pt idx="2646">
                  <c:v>4.4000000000000004</c:v>
                </c:pt>
                <c:pt idx="2647">
                  <c:v>7</c:v>
                </c:pt>
                <c:pt idx="2648">
                  <c:v>6.6000000000000005</c:v>
                </c:pt>
                <c:pt idx="2649">
                  <c:v>3.5</c:v>
                </c:pt>
                <c:pt idx="2650">
                  <c:v>10.5</c:v>
                </c:pt>
                <c:pt idx="2651">
                  <c:v>14</c:v>
                </c:pt>
                <c:pt idx="2652">
                  <c:v>2.5</c:v>
                </c:pt>
                <c:pt idx="2653">
                  <c:v>7</c:v>
                </c:pt>
                <c:pt idx="2654">
                  <c:v>11.2</c:v>
                </c:pt>
                <c:pt idx="2655">
                  <c:v>7</c:v>
                </c:pt>
                <c:pt idx="2656">
                  <c:v>7</c:v>
                </c:pt>
                <c:pt idx="2657">
                  <c:v>17.5</c:v>
                </c:pt>
                <c:pt idx="2658">
                  <c:v>11</c:v>
                </c:pt>
                <c:pt idx="2659">
                  <c:v>2.5</c:v>
                </c:pt>
                <c:pt idx="2660">
                  <c:v>8.8000000000000007</c:v>
                </c:pt>
                <c:pt idx="2661">
                  <c:v>3.8</c:v>
                </c:pt>
                <c:pt idx="2662">
                  <c:v>14</c:v>
                </c:pt>
                <c:pt idx="2663">
                  <c:v>3.8</c:v>
                </c:pt>
                <c:pt idx="2664">
                  <c:v>10.5</c:v>
                </c:pt>
                <c:pt idx="2665">
                  <c:v>8.8000000000000007</c:v>
                </c:pt>
                <c:pt idx="2666">
                  <c:v>5</c:v>
                </c:pt>
                <c:pt idx="2667">
                  <c:v>7.5</c:v>
                </c:pt>
                <c:pt idx="2668">
                  <c:v>14</c:v>
                </c:pt>
                <c:pt idx="2669">
                  <c:v>14</c:v>
                </c:pt>
                <c:pt idx="2670">
                  <c:v>4.4000000000000004</c:v>
                </c:pt>
                <c:pt idx="2671">
                  <c:v>17.5</c:v>
                </c:pt>
                <c:pt idx="2672">
                  <c:v>11.399999999999999</c:v>
                </c:pt>
                <c:pt idx="2673">
                  <c:v>14</c:v>
                </c:pt>
                <c:pt idx="2674">
                  <c:v>7.6</c:v>
                </c:pt>
                <c:pt idx="2675">
                  <c:v>3.5</c:v>
                </c:pt>
                <c:pt idx="2676">
                  <c:v>14</c:v>
                </c:pt>
                <c:pt idx="2677">
                  <c:v>10.5</c:v>
                </c:pt>
                <c:pt idx="2678">
                  <c:v>7.6</c:v>
                </c:pt>
                <c:pt idx="2679">
                  <c:v>14</c:v>
                </c:pt>
                <c:pt idx="2680">
                  <c:v>2.2000000000000002</c:v>
                </c:pt>
                <c:pt idx="2681">
                  <c:v>17.5</c:v>
                </c:pt>
                <c:pt idx="2682">
                  <c:v>2.5</c:v>
                </c:pt>
                <c:pt idx="2683">
                  <c:v>5.6</c:v>
                </c:pt>
                <c:pt idx="2684">
                  <c:v>7.5</c:v>
                </c:pt>
                <c:pt idx="2685">
                  <c:v>12.5</c:v>
                </c:pt>
                <c:pt idx="2686">
                  <c:v>3.5</c:v>
                </c:pt>
                <c:pt idx="2687">
                  <c:v>7.5</c:v>
                </c:pt>
                <c:pt idx="2688">
                  <c:v>5</c:v>
                </c:pt>
                <c:pt idx="2689">
                  <c:v>3.5</c:v>
                </c:pt>
                <c:pt idx="2690">
                  <c:v>3.5</c:v>
                </c:pt>
                <c:pt idx="2691">
                  <c:v>5.6</c:v>
                </c:pt>
                <c:pt idx="2692">
                  <c:v>17.5</c:v>
                </c:pt>
                <c:pt idx="2693">
                  <c:v>3.5</c:v>
                </c:pt>
                <c:pt idx="2694">
                  <c:v>10.5</c:v>
                </c:pt>
                <c:pt idx="2695">
                  <c:v>19</c:v>
                </c:pt>
                <c:pt idx="2696">
                  <c:v>7.5</c:v>
                </c:pt>
                <c:pt idx="2697">
                  <c:v>7.5</c:v>
                </c:pt>
                <c:pt idx="2698">
                  <c:v>7</c:v>
                </c:pt>
                <c:pt idx="2699">
                  <c:v>6.6000000000000005</c:v>
                </c:pt>
                <c:pt idx="2700">
                  <c:v>2.8</c:v>
                </c:pt>
                <c:pt idx="2701">
                  <c:v>19</c:v>
                </c:pt>
                <c:pt idx="2702">
                  <c:v>5.6</c:v>
                </c:pt>
                <c:pt idx="2703">
                  <c:v>11.2</c:v>
                </c:pt>
                <c:pt idx="2704">
                  <c:v>10.5</c:v>
                </c:pt>
                <c:pt idx="2705">
                  <c:v>15.2</c:v>
                </c:pt>
                <c:pt idx="2706">
                  <c:v>6.6000000000000005</c:v>
                </c:pt>
                <c:pt idx="2707">
                  <c:v>11</c:v>
                </c:pt>
                <c:pt idx="2708">
                  <c:v>7.5</c:v>
                </c:pt>
                <c:pt idx="2709">
                  <c:v>12.5</c:v>
                </c:pt>
                <c:pt idx="2710">
                  <c:v>6.6000000000000005</c:v>
                </c:pt>
                <c:pt idx="2711">
                  <c:v>6.6000000000000005</c:v>
                </c:pt>
                <c:pt idx="2712">
                  <c:v>5</c:v>
                </c:pt>
                <c:pt idx="2713">
                  <c:v>2.5</c:v>
                </c:pt>
                <c:pt idx="2714">
                  <c:v>10.5</c:v>
                </c:pt>
                <c:pt idx="2715">
                  <c:v>8.3999999999999986</c:v>
                </c:pt>
                <c:pt idx="2716">
                  <c:v>11</c:v>
                </c:pt>
                <c:pt idx="2717">
                  <c:v>12.5</c:v>
                </c:pt>
                <c:pt idx="2718">
                  <c:v>10</c:v>
                </c:pt>
                <c:pt idx="2719">
                  <c:v>7.6</c:v>
                </c:pt>
                <c:pt idx="2720">
                  <c:v>15.2</c:v>
                </c:pt>
                <c:pt idx="2721">
                  <c:v>11</c:v>
                </c:pt>
                <c:pt idx="2722">
                  <c:v>19</c:v>
                </c:pt>
                <c:pt idx="2723">
                  <c:v>12.5</c:v>
                </c:pt>
                <c:pt idx="2724">
                  <c:v>7.6</c:v>
                </c:pt>
                <c:pt idx="2725">
                  <c:v>10.5</c:v>
                </c:pt>
                <c:pt idx="2726">
                  <c:v>14</c:v>
                </c:pt>
                <c:pt idx="2727">
                  <c:v>2.8</c:v>
                </c:pt>
                <c:pt idx="2728">
                  <c:v>8.3999999999999986</c:v>
                </c:pt>
                <c:pt idx="2729">
                  <c:v>2.2000000000000002</c:v>
                </c:pt>
                <c:pt idx="2730">
                  <c:v>7.5</c:v>
                </c:pt>
                <c:pt idx="2731">
                  <c:v>2.2000000000000002</c:v>
                </c:pt>
                <c:pt idx="2732">
                  <c:v>7.5</c:v>
                </c:pt>
                <c:pt idx="2733">
                  <c:v>8.3999999999999986</c:v>
                </c:pt>
                <c:pt idx="2734">
                  <c:v>7.6</c:v>
                </c:pt>
                <c:pt idx="2735">
                  <c:v>4.4000000000000004</c:v>
                </c:pt>
                <c:pt idx="2736">
                  <c:v>8.8000000000000007</c:v>
                </c:pt>
                <c:pt idx="2737">
                  <c:v>2.8</c:v>
                </c:pt>
                <c:pt idx="2738">
                  <c:v>2.5</c:v>
                </c:pt>
                <c:pt idx="2739">
                  <c:v>3.5</c:v>
                </c:pt>
                <c:pt idx="2740">
                  <c:v>6.6000000000000005</c:v>
                </c:pt>
                <c:pt idx="2741">
                  <c:v>5</c:v>
                </c:pt>
                <c:pt idx="2742">
                  <c:v>3.8</c:v>
                </c:pt>
                <c:pt idx="2743">
                  <c:v>5</c:v>
                </c:pt>
                <c:pt idx="2744">
                  <c:v>11.2</c:v>
                </c:pt>
                <c:pt idx="2745">
                  <c:v>14</c:v>
                </c:pt>
                <c:pt idx="2746">
                  <c:v>15.2</c:v>
                </c:pt>
                <c:pt idx="2747">
                  <c:v>7.5</c:v>
                </c:pt>
                <c:pt idx="2748">
                  <c:v>12.5</c:v>
                </c:pt>
                <c:pt idx="2749">
                  <c:v>19</c:v>
                </c:pt>
                <c:pt idx="2750">
                  <c:v>3.5</c:v>
                </c:pt>
                <c:pt idx="2751">
                  <c:v>19</c:v>
                </c:pt>
                <c:pt idx="2752">
                  <c:v>7.5</c:v>
                </c:pt>
                <c:pt idx="2753">
                  <c:v>7.5</c:v>
                </c:pt>
                <c:pt idx="2754">
                  <c:v>5.6</c:v>
                </c:pt>
                <c:pt idx="2755">
                  <c:v>10</c:v>
                </c:pt>
                <c:pt idx="2756">
                  <c:v>14</c:v>
                </c:pt>
                <c:pt idx="2757">
                  <c:v>2.8</c:v>
                </c:pt>
                <c:pt idx="2758">
                  <c:v>15.2</c:v>
                </c:pt>
                <c:pt idx="2759">
                  <c:v>4.4000000000000004</c:v>
                </c:pt>
                <c:pt idx="2760">
                  <c:v>7.5</c:v>
                </c:pt>
                <c:pt idx="2761">
                  <c:v>7.5</c:v>
                </c:pt>
                <c:pt idx="2762">
                  <c:v>19</c:v>
                </c:pt>
                <c:pt idx="2763">
                  <c:v>19</c:v>
                </c:pt>
                <c:pt idx="2764">
                  <c:v>11.399999999999999</c:v>
                </c:pt>
                <c:pt idx="2765">
                  <c:v>2.5</c:v>
                </c:pt>
                <c:pt idx="2766">
                  <c:v>10</c:v>
                </c:pt>
                <c:pt idx="2767">
                  <c:v>7</c:v>
                </c:pt>
                <c:pt idx="2768">
                  <c:v>7</c:v>
                </c:pt>
                <c:pt idx="2769">
                  <c:v>7.6</c:v>
                </c:pt>
                <c:pt idx="2770">
                  <c:v>7.6</c:v>
                </c:pt>
                <c:pt idx="2771">
                  <c:v>2.8</c:v>
                </c:pt>
                <c:pt idx="2772">
                  <c:v>14</c:v>
                </c:pt>
                <c:pt idx="2773">
                  <c:v>11</c:v>
                </c:pt>
                <c:pt idx="2774">
                  <c:v>8.8000000000000007</c:v>
                </c:pt>
                <c:pt idx="2775">
                  <c:v>3.8</c:v>
                </c:pt>
                <c:pt idx="2776">
                  <c:v>3.8</c:v>
                </c:pt>
                <c:pt idx="2777">
                  <c:v>8.3999999999999986</c:v>
                </c:pt>
                <c:pt idx="2778">
                  <c:v>17.5</c:v>
                </c:pt>
                <c:pt idx="2779">
                  <c:v>11.2</c:v>
                </c:pt>
                <c:pt idx="2780">
                  <c:v>6.6000000000000005</c:v>
                </c:pt>
                <c:pt idx="2781">
                  <c:v>11.399999999999999</c:v>
                </c:pt>
                <c:pt idx="2782">
                  <c:v>7</c:v>
                </c:pt>
                <c:pt idx="2783">
                  <c:v>5.6</c:v>
                </c:pt>
                <c:pt idx="2784">
                  <c:v>11.399999999999999</c:v>
                </c:pt>
                <c:pt idx="2785">
                  <c:v>17.5</c:v>
                </c:pt>
                <c:pt idx="2786">
                  <c:v>8.3999999999999986</c:v>
                </c:pt>
                <c:pt idx="2787">
                  <c:v>3.5</c:v>
                </c:pt>
                <c:pt idx="2788">
                  <c:v>10</c:v>
                </c:pt>
                <c:pt idx="2789">
                  <c:v>6.6000000000000005</c:v>
                </c:pt>
                <c:pt idx="2790">
                  <c:v>3.8</c:v>
                </c:pt>
                <c:pt idx="2791">
                  <c:v>19</c:v>
                </c:pt>
                <c:pt idx="2792">
                  <c:v>4.4000000000000004</c:v>
                </c:pt>
                <c:pt idx="2793">
                  <c:v>6.6000000000000005</c:v>
                </c:pt>
                <c:pt idx="2794">
                  <c:v>3.5</c:v>
                </c:pt>
                <c:pt idx="2795">
                  <c:v>3.8</c:v>
                </c:pt>
                <c:pt idx="2796">
                  <c:v>17.5</c:v>
                </c:pt>
                <c:pt idx="2797">
                  <c:v>14</c:v>
                </c:pt>
                <c:pt idx="2798">
                  <c:v>2.2000000000000002</c:v>
                </c:pt>
                <c:pt idx="2799">
                  <c:v>3.8</c:v>
                </c:pt>
                <c:pt idx="2800">
                  <c:v>10.5</c:v>
                </c:pt>
                <c:pt idx="2801">
                  <c:v>2.8</c:v>
                </c:pt>
                <c:pt idx="2802">
                  <c:v>8.8000000000000007</c:v>
                </c:pt>
                <c:pt idx="2803">
                  <c:v>3.5</c:v>
                </c:pt>
                <c:pt idx="2804">
                  <c:v>14</c:v>
                </c:pt>
                <c:pt idx="2805">
                  <c:v>10.5</c:v>
                </c:pt>
                <c:pt idx="2806">
                  <c:v>6.6000000000000005</c:v>
                </c:pt>
                <c:pt idx="2807">
                  <c:v>10.5</c:v>
                </c:pt>
                <c:pt idx="2808">
                  <c:v>10.5</c:v>
                </c:pt>
                <c:pt idx="2809">
                  <c:v>10.5</c:v>
                </c:pt>
                <c:pt idx="2810">
                  <c:v>7</c:v>
                </c:pt>
                <c:pt idx="2811">
                  <c:v>5</c:v>
                </c:pt>
                <c:pt idx="2812">
                  <c:v>3.5</c:v>
                </c:pt>
                <c:pt idx="2813">
                  <c:v>11.2</c:v>
                </c:pt>
                <c:pt idx="2814">
                  <c:v>11.399999999999999</c:v>
                </c:pt>
                <c:pt idx="2815">
                  <c:v>11.399999999999999</c:v>
                </c:pt>
                <c:pt idx="2816">
                  <c:v>8.8000000000000007</c:v>
                </c:pt>
                <c:pt idx="2817">
                  <c:v>5.6</c:v>
                </c:pt>
                <c:pt idx="2818">
                  <c:v>7.5</c:v>
                </c:pt>
                <c:pt idx="2819">
                  <c:v>17.5</c:v>
                </c:pt>
                <c:pt idx="2820">
                  <c:v>6.6000000000000005</c:v>
                </c:pt>
                <c:pt idx="2821">
                  <c:v>2.8</c:v>
                </c:pt>
                <c:pt idx="2822">
                  <c:v>6.6000000000000005</c:v>
                </c:pt>
                <c:pt idx="2823">
                  <c:v>5</c:v>
                </c:pt>
                <c:pt idx="2824">
                  <c:v>8.3999999999999986</c:v>
                </c:pt>
                <c:pt idx="2825">
                  <c:v>2.5</c:v>
                </c:pt>
                <c:pt idx="2826">
                  <c:v>11.2</c:v>
                </c:pt>
                <c:pt idx="2827">
                  <c:v>4.4000000000000004</c:v>
                </c:pt>
                <c:pt idx="2828">
                  <c:v>3.5</c:v>
                </c:pt>
                <c:pt idx="2829">
                  <c:v>2.5</c:v>
                </c:pt>
                <c:pt idx="2830">
                  <c:v>15.2</c:v>
                </c:pt>
                <c:pt idx="2831">
                  <c:v>7.5</c:v>
                </c:pt>
                <c:pt idx="2832">
                  <c:v>6.6000000000000005</c:v>
                </c:pt>
                <c:pt idx="2833">
                  <c:v>2.8</c:v>
                </c:pt>
                <c:pt idx="2834">
                  <c:v>11.2</c:v>
                </c:pt>
                <c:pt idx="2835">
                  <c:v>11</c:v>
                </c:pt>
                <c:pt idx="2836">
                  <c:v>2.2000000000000002</c:v>
                </c:pt>
                <c:pt idx="2837">
                  <c:v>11.2</c:v>
                </c:pt>
                <c:pt idx="2838">
                  <c:v>14</c:v>
                </c:pt>
                <c:pt idx="2839">
                  <c:v>4.4000000000000004</c:v>
                </c:pt>
                <c:pt idx="2840">
                  <c:v>5</c:v>
                </c:pt>
                <c:pt idx="2841">
                  <c:v>7</c:v>
                </c:pt>
                <c:pt idx="2842">
                  <c:v>2.8</c:v>
                </c:pt>
                <c:pt idx="2843">
                  <c:v>8.3999999999999986</c:v>
                </c:pt>
                <c:pt idx="2844">
                  <c:v>14</c:v>
                </c:pt>
                <c:pt idx="2845">
                  <c:v>14</c:v>
                </c:pt>
                <c:pt idx="2846">
                  <c:v>2.8</c:v>
                </c:pt>
                <c:pt idx="2847">
                  <c:v>19</c:v>
                </c:pt>
                <c:pt idx="2848">
                  <c:v>2.8</c:v>
                </c:pt>
                <c:pt idx="2849">
                  <c:v>11</c:v>
                </c:pt>
                <c:pt idx="2850">
                  <c:v>11.399999999999999</c:v>
                </c:pt>
                <c:pt idx="2851">
                  <c:v>8.3999999999999986</c:v>
                </c:pt>
                <c:pt idx="2852">
                  <c:v>6.6000000000000005</c:v>
                </c:pt>
                <c:pt idx="2853">
                  <c:v>11</c:v>
                </c:pt>
                <c:pt idx="2854">
                  <c:v>10.5</c:v>
                </c:pt>
                <c:pt idx="2855">
                  <c:v>8.8000000000000007</c:v>
                </c:pt>
                <c:pt idx="2856">
                  <c:v>10.5</c:v>
                </c:pt>
                <c:pt idx="2857">
                  <c:v>10.5</c:v>
                </c:pt>
                <c:pt idx="2858">
                  <c:v>11.2</c:v>
                </c:pt>
                <c:pt idx="2859">
                  <c:v>8.3999999999999986</c:v>
                </c:pt>
                <c:pt idx="2860">
                  <c:v>2.5</c:v>
                </c:pt>
                <c:pt idx="2861">
                  <c:v>12.5</c:v>
                </c:pt>
                <c:pt idx="2862">
                  <c:v>11</c:v>
                </c:pt>
                <c:pt idx="2863">
                  <c:v>6.6000000000000005</c:v>
                </c:pt>
                <c:pt idx="2864">
                  <c:v>11.399999999999999</c:v>
                </c:pt>
                <c:pt idx="2865">
                  <c:v>10.5</c:v>
                </c:pt>
                <c:pt idx="2866">
                  <c:v>11.2</c:v>
                </c:pt>
                <c:pt idx="2867">
                  <c:v>2.5</c:v>
                </c:pt>
                <c:pt idx="2868">
                  <c:v>12.5</c:v>
                </c:pt>
                <c:pt idx="2869">
                  <c:v>7.5</c:v>
                </c:pt>
                <c:pt idx="2870">
                  <c:v>12.5</c:v>
                </c:pt>
                <c:pt idx="2871">
                  <c:v>5</c:v>
                </c:pt>
                <c:pt idx="2872">
                  <c:v>3.8</c:v>
                </c:pt>
                <c:pt idx="2873">
                  <c:v>5</c:v>
                </c:pt>
                <c:pt idx="2874">
                  <c:v>6.6000000000000005</c:v>
                </c:pt>
                <c:pt idx="2875">
                  <c:v>10</c:v>
                </c:pt>
                <c:pt idx="2876">
                  <c:v>3.5</c:v>
                </c:pt>
                <c:pt idx="2877">
                  <c:v>11</c:v>
                </c:pt>
                <c:pt idx="2878">
                  <c:v>8.8000000000000007</c:v>
                </c:pt>
                <c:pt idx="2879">
                  <c:v>4.4000000000000004</c:v>
                </c:pt>
                <c:pt idx="2880">
                  <c:v>7</c:v>
                </c:pt>
                <c:pt idx="2881">
                  <c:v>14</c:v>
                </c:pt>
                <c:pt idx="2882">
                  <c:v>2.2000000000000002</c:v>
                </c:pt>
                <c:pt idx="2883">
                  <c:v>2.5</c:v>
                </c:pt>
                <c:pt idx="2884">
                  <c:v>7.5</c:v>
                </c:pt>
                <c:pt idx="2885">
                  <c:v>11</c:v>
                </c:pt>
                <c:pt idx="2886">
                  <c:v>7.5</c:v>
                </c:pt>
                <c:pt idx="2887">
                  <c:v>11.2</c:v>
                </c:pt>
                <c:pt idx="2888">
                  <c:v>8.3999999999999986</c:v>
                </c:pt>
                <c:pt idx="2889">
                  <c:v>2.8</c:v>
                </c:pt>
                <c:pt idx="2890">
                  <c:v>14</c:v>
                </c:pt>
                <c:pt idx="2891">
                  <c:v>3.5</c:v>
                </c:pt>
                <c:pt idx="2892">
                  <c:v>3.5</c:v>
                </c:pt>
                <c:pt idx="2893">
                  <c:v>14</c:v>
                </c:pt>
                <c:pt idx="2894">
                  <c:v>11.2</c:v>
                </c:pt>
                <c:pt idx="2895">
                  <c:v>11</c:v>
                </c:pt>
                <c:pt idx="2896">
                  <c:v>2.5</c:v>
                </c:pt>
                <c:pt idx="2897">
                  <c:v>8.8000000000000007</c:v>
                </c:pt>
                <c:pt idx="2898">
                  <c:v>6.6000000000000005</c:v>
                </c:pt>
                <c:pt idx="2899">
                  <c:v>15.2</c:v>
                </c:pt>
                <c:pt idx="2900">
                  <c:v>11.399999999999999</c:v>
                </c:pt>
                <c:pt idx="2901">
                  <c:v>2.5</c:v>
                </c:pt>
                <c:pt idx="2902">
                  <c:v>2.8</c:v>
                </c:pt>
                <c:pt idx="2903">
                  <c:v>10</c:v>
                </c:pt>
                <c:pt idx="2904">
                  <c:v>17.5</c:v>
                </c:pt>
                <c:pt idx="2905">
                  <c:v>3.5</c:v>
                </c:pt>
                <c:pt idx="2906">
                  <c:v>2.8</c:v>
                </c:pt>
                <c:pt idx="2907">
                  <c:v>14</c:v>
                </c:pt>
                <c:pt idx="2908">
                  <c:v>11.2</c:v>
                </c:pt>
                <c:pt idx="2909">
                  <c:v>8.8000000000000007</c:v>
                </c:pt>
                <c:pt idx="2910">
                  <c:v>11.399999999999999</c:v>
                </c:pt>
                <c:pt idx="2911">
                  <c:v>19</c:v>
                </c:pt>
                <c:pt idx="2912">
                  <c:v>17.5</c:v>
                </c:pt>
                <c:pt idx="2913">
                  <c:v>14</c:v>
                </c:pt>
                <c:pt idx="2914">
                  <c:v>10.5</c:v>
                </c:pt>
                <c:pt idx="2915">
                  <c:v>5.6</c:v>
                </c:pt>
                <c:pt idx="2916">
                  <c:v>11</c:v>
                </c:pt>
                <c:pt idx="2917">
                  <c:v>11.2</c:v>
                </c:pt>
                <c:pt idx="2918">
                  <c:v>8.3999999999999986</c:v>
                </c:pt>
                <c:pt idx="2919">
                  <c:v>15.2</c:v>
                </c:pt>
                <c:pt idx="2920">
                  <c:v>7.5</c:v>
                </c:pt>
                <c:pt idx="2921">
                  <c:v>6.6000000000000005</c:v>
                </c:pt>
                <c:pt idx="2922">
                  <c:v>8.8000000000000007</c:v>
                </c:pt>
                <c:pt idx="2923">
                  <c:v>2.8</c:v>
                </c:pt>
                <c:pt idx="2924">
                  <c:v>2.8</c:v>
                </c:pt>
                <c:pt idx="2925">
                  <c:v>3.5</c:v>
                </c:pt>
                <c:pt idx="2926">
                  <c:v>3.8</c:v>
                </c:pt>
                <c:pt idx="2927">
                  <c:v>3.8</c:v>
                </c:pt>
                <c:pt idx="2928">
                  <c:v>2.2000000000000002</c:v>
                </c:pt>
                <c:pt idx="2929">
                  <c:v>8.8000000000000007</c:v>
                </c:pt>
                <c:pt idx="2930">
                  <c:v>7</c:v>
                </c:pt>
                <c:pt idx="2931">
                  <c:v>4.4000000000000004</c:v>
                </c:pt>
                <c:pt idx="2932">
                  <c:v>5.6</c:v>
                </c:pt>
                <c:pt idx="2933">
                  <c:v>11.2</c:v>
                </c:pt>
                <c:pt idx="2934">
                  <c:v>7.6</c:v>
                </c:pt>
                <c:pt idx="2935">
                  <c:v>4.4000000000000004</c:v>
                </c:pt>
                <c:pt idx="2936">
                  <c:v>5.6</c:v>
                </c:pt>
                <c:pt idx="2937">
                  <c:v>8.8000000000000007</c:v>
                </c:pt>
                <c:pt idx="2938">
                  <c:v>8.8000000000000007</c:v>
                </c:pt>
                <c:pt idx="2939">
                  <c:v>11.2</c:v>
                </c:pt>
                <c:pt idx="2940">
                  <c:v>17.5</c:v>
                </c:pt>
                <c:pt idx="2941">
                  <c:v>2.8</c:v>
                </c:pt>
                <c:pt idx="2942">
                  <c:v>11</c:v>
                </c:pt>
                <c:pt idx="2943">
                  <c:v>19</c:v>
                </c:pt>
                <c:pt idx="2944">
                  <c:v>8.3999999999999986</c:v>
                </c:pt>
                <c:pt idx="2945">
                  <c:v>3.5</c:v>
                </c:pt>
                <c:pt idx="2946">
                  <c:v>11</c:v>
                </c:pt>
                <c:pt idx="2947">
                  <c:v>11.399999999999999</c:v>
                </c:pt>
                <c:pt idx="2948">
                  <c:v>2.8</c:v>
                </c:pt>
                <c:pt idx="2949">
                  <c:v>14</c:v>
                </c:pt>
                <c:pt idx="2950">
                  <c:v>11.2</c:v>
                </c:pt>
                <c:pt idx="2951">
                  <c:v>7.6</c:v>
                </c:pt>
                <c:pt idx="2952">
                  <c:v>7.6</c:v>
                </c:pt>
                <c:pt idx="2953">
                  <c:v>4.4000000000000004</c:v>
                </c:pt>
                <c:pt idx="2954">
                  <c:v>5.6</c:v>
                </c:pt>
                <c:pt idx="2955">
                  <c:v>11</c:v>
                </c:pt>
                <c:pt idx="2956">
                  <c:v>8.3999999999999986</c:v>
                </c:pt>
                <c:pt idx="2957">
                  <c:v>12.5</c:v>
                </c:pt>
                <c:pt idx="2958">
                  <c:v>14</c:v>
                </c:pt>
                <c:pt idx="2959">
                  <c:v>8.8000000000000007</c:v>
                </c:pt>
                <c:pt idx="2960">
                  <c:v>7.6</c:v>
                </c:pt>
                <c:pt idx="2961">
                  <c:v>5.6</c:v>
                </c:pt>
                <c:pt idx="2962">
                  <c:v>14</c:v>
                </c:pt>
                <c:pt idx="2963">
                  <c:v>14</c:v>
                </c:pt>
                <c:pt idx="2964">
                  <c:v>7</c:v>
                </c:pt>
                <c:pt idx="2965">
                  <c:v>2.8</c:v>
                </c:pt>
                <c:pt idx="2966">
                  <c:v>5.6</c:v>
                </c:pt>
                <c:pt idx="2967">
                  <c:v>11.399999999999999</c:v>
                </c:pt>
                <c:pt idx="2968">
                  <c:v>14</c:v>
                </c:pt>
                <c:pt idx="2969">
                  <c:v>6.6000000000000005</c:v>
                </c:pt>
                <c:pt idx="2970">
                  <c:v>17.5</c:v>
                </c:pt>
                <c:pt idx="2971">
                  <c:v>14</c:v>
                </c:pt>
                <c:pt idx="2972">
                  <c:v>3.8</c:v>
                </c:pt>
                <c:pt idx="2973">
                  <c:v>10.5</c:v>
                </c:pt>
                <c:pt idx="2974">
                  <c:v>14</c:v>
                </c:pt>
                <c:pt idx="2975">
                  <c:v>11.399999999999999</c:v>
                </c:pt>
                <c:pt idx="2976">
                  <c:v>17.5</c:v>
                </c:pt>
                <c:pt idx="2977">
                  <c:v>5.6</c:v>
                </c:pt>
                <c:pt idx="2978">
                  <c:v>2.2000000000000002</c:v>
                </c:pt>
                <c:pt idx="2979">
                  <c:v>11.2</c:v>
                </c:pt>
                <c:pt idx="2980">
                  <c:v>8.8000000000000007</c:v>
                </c:pt>
                <c:pt idx="2981">
                  <c:v>10</c:v>
                </c:pt>
                <c:pt idx="2982">
                  <c:v>10</c:v>
                </c:pt>
                <c:pt idx="2983">
                  <c:v>17.5</c:v>
                </c:pt>
                <c:pt idx="2984">
                  <c:v>17.5</c:v>
                </c:pt>
                <c:pt idx="2985">
                  <c:v>17.5</c:v>
                </c:pt>
                <c:pt idx="2986">
                  <c:v>4.4000000000000004</c:v>
                </c:pt>
                <c:pt idx="2987">
                  <c:v>5</c:v>
                </c:pt>
                <c:pt idx="2988">
                  <c:v>7.6</c:v>
                </c:pt>
                <c:pt idx="2989">
                  <c:v>2.8</c:v>
                </c:pt>
                <c:pt idx="2990">
                  <c:v>3.8</c:v>
                </c:pt>
                <c:pt idx="2991">
                  <c:v>15.2</c:v>
                </c:pt>
                <c:pt idx="2992">
                  <c:v>8.8000000000000007</c:v>
                </c:pt>
                <c:pt idx="2993">
                  <c:v>11</c:v>
                </c:pt>
                <c:pt idx="2994">
                  <c:v>8.3999999999999986</c:v>
                </c:pt>
                <c:pt idx="2995">
                  <c:v>8.3999999999999986</c:v>
                </c:pt>
                <c:pt idx="2996">
                  <c:v>14</c:v>
                </c:pt>
                <c:pt idx="2997">
                  <c:v>6.6000000000000005</c:v>
                </c:pt>
                <c:pt idx="2998">
                  <c:v>10.5</c:v>
                </c:pt>
                <c:pt idx="2999">
                  <c:v>8.8000000000000007</c:v>
                </c:pt>
                <c:pt idx="3000">
                  <c:v>10</c:v>
                </c:pt>
                <c:pt idx="3001">
                  <c:v>14</c:v>
                </c:pt>
                <c:pt idx="3002">
                  <c:v>8.3999999999999986</c:v>
                </c:pt>
                <c:pt idx="3003">
                  <c:v>8.8000000000000007</c:v>
                </c:pt>
                <c:pt idx="3004">
                  <c:v>7.5</c:v>
                </c:pt>
                <c:pt idx="3005">
                  <c:v>8.8000000000000007</c:v>
                </c:pt>
                <c:pt idx="3006">
                  <c:v>15.2</c:v>
                </c:pt>
                <c:pt idx="3007">
                  <c:v>7</c:v>
                </c:pt>
                <c:pt idx="3008">
                  <c:v>10.5</c:v>
                </c:pt>
                <c:pt idx="3009">
                  <c:v>11.399999999999999</c:v>
                </c:pt>
                <c:pt idx="3010">
                  <c:v>7.5</c:v>
                </c:pt>
                <c:pt idx="3011">
                  <c:v>14</c:v>
                </c:pt>
                <c:pt idx="3012">
                  <c:v>12.5</c:v>
                </c:pt>
                <c:pt idx="3013">
                  <c:v>2.5</c:v>
                </c:pt>
                <c:pt idx="3014">
                  <c:v>2.2000000000000002</c:v>
                </c:pt>
                <c:pt idx="3015">
                  <c:v>4.4000000000000004</c:v>
                </c:pt>
                <c:pt idx="3016">
                  <c:v>2.5</c:v>
                </c:pt>
                <c:pt idx="3017">
                  <c:v>8.8000000000000007</c:v>
                </c:pt>
                <c:pt idx="3018">
                  <c:v>3.8</c:v>
                </c:pt>
                <c:pt idx="3019">
                  <c:v>19</c:v>
                </c:pt>
                <c:pt idx="3020">
                  <c:v>8.8000000000000007</c:v>
                </c:pt>
                <c:pt idx="3021">
                  <c:v>14</c:v>
                </c:pt>
                <c:pt idx="3022">
                  <c:v>5</c:v>
                </c:pt>
                <c:pt idx="3023">
                  <c:v>10</c:v>
                </c:pt>
                <c:pt idx="3024">
                  <c:v>7</c:v>
                </c:pt>
                <c:pt idx="3025">
                  <c:v>14</c:v>
                </c:pt>
                <c:pt idx="3026">
                  <c:v>14</c:v>
                </c:pt>
                <c:pt idx="3027">
                  <c:v>4.4000000000000004</c:v>
                </c:pt>
                <c:pt idx="3028">
                  <c:v>11.2</c:v>
                </c:pt>
                <c:pt idx="3029">
                  <c:v>5</c:v>
                </c:pt>
                <c:pt idx="3030">
                  <c:v>7.6</c:v>
                </c:pt>
                <c:pt idx="3031">
                  <c:v>10</c:v>
                </c:pt>
                <c:pt idx="3032">
                  <c:v>3.8</c:v>
                </c:pt>
                <c:pt idx="3033">
                  <c:v>11</c:v>
                </c:pt>
                <c:pt idx="3034">
                  <c:v>12.5</c:v>
                </c:pt>
                <c:pt idx="3035">
                  <c:v>3.5</c:v>
                </c:pt>
                <c:pt idx="3036">
                  <c:v>14</c:v>
                </c:pt>
                <c:pt idx="3037">
                  <c:v>7</c:v>
                </c:pt>
                <c:pt idx="3038">
                  <c:v>2.5</c:v>
                </c:pt>
                <c:pt idx="3039">
                  <c:v>7</c:v>
                </c:pt>
                <c:pt idx="3040">
                  <c:v>11</c:v>
                </c:pt>
                <c:pt idx="3041">
                  <c:v>3.8</c:v>
                </c:pt>
                <c:pt idx="3042">
                  <c:v>11.2</c:v>
                </c:pt>
                <c:pt idx="3043">
                  <c:v>6.6000000000000005</c:v>
                </c:pt>
                <c:pt idx="3044">
                  <c:v>10.5</c:v>
                </c:pt>
                <c:pt idx="3045">
                  <c:v>11.399999999999999</c:v>
                </c:pt>
                <c:pt idx="3046">
                  <c:v>7</c:v>
                </c:pt>
                <c:pt idx="3047">
                  <c:v>19</c:v>
                </c:pt>
                <c:pt idx="3048">
                  <c:v>5</c:v>
                </c:pt>
                <c:pt idx="3049">
                  <c:v>5</c:v>
                </c:pt>
                <c:pt idx="3050">
                  <c:v>15.2</c:v>
                </c:pt>
                <c:pt idx="3051">
                  <c:v>2.2000000000000002</c:v>
                </c:pt>
                <c:pt idx="3052">
                  <c:v>4.4000000000000004</c:v>
                </c:pt>
                <c:pt idx="3053">
                  <c:v>12.5</c:v>
                </c:pt>
                <c:pt idx="3054">
                  <c:v>11.2</c:v>
                </c:pt>
                <c:pt idx="3055">
                  <c:v>19</c:v>
                </c:pt>
                <c:pt idx="3056">
                  <c:v>7.6</c:v>
                </c:pt>
                <c:pt idx="3057">
                  <c:v>4.4000000000000004</c:v>
                </c:pt>
                <c:pt idx="3058">
                  <c:v>7.6</c:v>
                </c:pt>
                <c:pt idx="3059">
                  <c:v>7</c:v>
                </c:pt>
                <c:pt idx="3060">
                  <c:v>11</c:v>
                </c:pt>
                <c:pt idx="3061">
                  <c:v>6.6000000000000005</c:v>
                </c:pt>
                <c:pt idx="3062">
                  <c:v>2.8</c:v>
                </c:pt>
                <c:pt idx="3063">
                  <c:v>7.5</c:v>
                </c:pt>
                <c:pt idx="3064">
                  <c:v>3.8</c:v>
                </c:pt>
                <c:pt idx="3065">
                  <c:v>17.5</c:v>
                </c:pt>
                <c:pt idx="3066">
                  <c:v>7</c:v>
                </c:pt>
                <c:pt idx="3067">
                  <c:v>19</c:v>
                </c:pt>
                <c:pt idx="3068">
                  <c:v>7</c:v>
                </c:pt>
                <c:pt idx="3069">
                  <c:v>4.4000000000000004</c:v>
                </c:pt>
                <c:pt idx="3070">
                  <c:v>5.6</c:v>
                </c:pt>
                <c:pt idx="3071">
                  <c:v>4.4000000000000004</c:v>
                </c:pt>
                <c:pt idx="3072">
                  <c:v>10.5</c:v>
                </c:pt>
                <c:pt idx="3073">
                  <c:v>12.5</c:v>
                </c:pt>
                <c:pt idx="3074">
                  <c:v>4.4000000000000004</c:v>
                </c:pt>
                <c:pt idx="3075">
                  <c:v>4.4000000000000004</c:v>
                </c:pt>
                <c:pt idx="3076">
                  <c:v>11.399999999999999</c:v>
                </c:pt>
                <c:pt idx="3077">
                  <c:v>14</c:v>
                </c:pt>
                <c:pt idx="3078">
                  <c:v>8.3999999999999986</c:v>
                </c:pt>
                <c:pt idx="3079">
                  <c:v>10.5</c:v>
                </c:pt>
                <c:pt idx="3080">
                  <c:v>5.6</c:v>
                </c:pt>
                <c:pt idx="3081">
                  <c:v>7</c:v>
                </c:pt>
                <c:pt idx="3082">
                  <c:v>15.2</c:v>
                </c:pt>
                <c:pt idx="3083">
                  <c:v>6.6000000000000005</c:v>
                </c:pt>
                <c:pt idx="3084">
                  <c:v>7</c:v>
                </c:pt>
                <c:pt idx="3085">
                  <c:v>7.5</c:v>
                </c:pt>
                <c:pt idx="3086">
                  <c:v>3.8</c:v>
                </c:pt>
                <c:pt idx="3087">
                  <c:v>4.4000000000000004</c:v>
                </c:pt>
                <c:pt idx="3088">
                  <c:v>7.5</c:v>
                </c:pt>
                <c:pt idx="3089">
                  <c:v>7</c:v>
                </c:pt>
                <c:pt idx="3090">
                  <c:v>3.5</c:v>
                </c:pt>
                <c:pt idx="3091">
                  <c:v>5</c:v>
                </c:pt>
                <c:pt idx="3092">
                  <c:v>19</c:v>
                </c:pt>
                <c:pt idx="3093">
                  <c:v>7.5</c:v>
                </c:pt>
                <c:pt idx="3094">
                  <c:v>14</c:v>
                </c:pt>
                <c:pt idx="3095">
                  <c:v>2.8</c:v>
                </c:pt>
                <c:pt idx="3096">
                  <c:v>2.5</c:v>
                </c:pt>
                <c:pt idx="3097">
                  <c:v>2.8</c:v>
                </c:pt>
                <c:pt idx="3098">
                  <c:v>11</c:v>
                </c:pt>
                <c:pt idx="3099">
                  <c:v>17.5</c:v>
                </c:pt>
                <c:pt idx="3100">
                  <c:v>8.8000000000000007</c:v>
                </c:pt>
                <c:pt idx="3101">
                  <c:v>15.2</c:v>
                </c:pt>
                <c:pt idx="3102">
                  <c:v>17.5</c:v>
                </c:pt>
                <c:pt idx="3103">
                  <c:v>8.3999999999999986</c:v>
                </c:pt>
                <c:pt idx="3104">
                  <c:v>11.399999999999999</c:v>
                </c:pt>
                <c:pt idx="3105">
                  <c:v>7</c:v>
                </c:pt>
                <c:pt idx="3106">
                  <c:v>8.3999999999999986</c:v>
                </c:pt>
                <c:pt idx="3107">
                  <c:v>14</c:v>
                </c:pt>
                <c:pt idx="3108">
                  <c:v>5.6</c:v>
                </c:pt>
                <c:pt idx="3109">
                  <c:v>14</c:v>
                </c:pt>
                <c:pt idx="3110">
                  <c:v>5</c:v>
                </c:pt>
                <c:pt idx="3111">
                  <c:v>19</c:v>
                </c:pt>
                <c:pt idx="3112">
                  <c:v>14</c:v>
                </c:pt>
                <c:pt idx="3113">
                  <c:v>5.6</c:v>
                </c:pt>
                <c:pt idx="3114">
                  <c:v>14</c:v>
                </c:pt>
                <c:pt idx="3115">
                  <c:v>8.8000000000000007</c:v>
                </c:pt>
                <c:pt idx="3116">
                  <c:v>17.5</c:v>
                </c:pt>
                <c:pt idx="3117">
                  <c:v>15.2</c:v>
                </c:pt>
                <c:pt idx="3118">
                  <c:v>3.5</c:v>
                </c:pt>
                <c:pt idx="3119">
                  <c:v>12.5</c:v>
                </c:pt>
                <c:pt idx="3120">
                  <c:v>8.3999999999999986</c:v>
                </c:pt>
                <c:pt idx="3121">
                  <c:v>6.6000000000000005</c:v>
                </c:pt>
                <c:pt idx="3122">
                  <c:v>7</c:v>
                </c:pt>
                <c:pt idx="3123">
                  <c:v>12.5</c:v>
                </c:pt>
                <c:pt idx="3124">
                  <c:v>15.2</c:v>
                </c:pt>
                <c:pt idx="3125">
                  <c:v>10.5</c:v>
                </c:pt>
                <c:pt idx="3126">
                  <c:v>14</c:v>
                </c:pt>
                <c:pt idx="3127">
                  <c:v>2.8</c:v>
                </c:pt>
                <c:pt idx="3128">
                  <c:v>5</c:v>
                </c:pt>
                <c:pt idx="3129">
                  <c:v>15.2</c:v>
                </c:pt>
                <c:pt idx="3130">
                  <c:v>2.8</c:v>
                </c:pt>
                <c:pt idx="3131">
                  <c:v>19</c:v>
                </c:pt>
                <c:pt idx="3132">
                  <c:v>10.5</c:v>
                </c:pt>
                <c:pt idx="3133">
                  <c:v>10</c:v>
                </c:pt>
                <c:pt idx="3134">
                  <c:v>2.5</c:v>
                </c:pt>
                <c:pt idx="3135">
                  <c:v>10</c:v>
                </c:pt>
                <c:pt idx="3136">
                  <c:v>11.2</c:v>
                </c:pt>
                <c:pt idx="3137">
                  <c:v>11</c:v>
                </c:pt>
                <c:pt idx="3138">
                  <c:v>2.8</c:v>
                </c:pt>
                <c:pt idx="3139">
                  <c:v>11.399999999999999</c:v>
                </c:pt>
                <c:pt idx="3140">
                  <c:v>17.5</c:v>
                </c:pt>
                <c:pt idx="3141">
                  <c:v>15.2</c:v>
                </c:pt>
                <c:pt idx="3142">
                  <c:v>11.2</c:v>
                </c:pt>
                <c:pt idx="3143">
                  <c:v>7.5</c:v>
                </c:pt>
                <c:pt idx="3144">
                  <c:v>15.2</c:v>
                </c:pt>
                <c:pt idx="3145">
                  <c:v>2.2000000000000002</c:v>
                </c:pt>
                <c:pt idx="3146">
                  <c:v>10.5</c:v>
                </c:pt>
                <c:pt idx="3147">
                  <c:v>11.399999999999999</c:v>
                </c:pt>
                <c:pt idx="3148">
                  <c:v>8.8000000000000007</c:v>
                </c:pt>
                <c:pt idx="3149">
                  <c:v>2.5</c:v>
                </c:pt>
                <c:pt idx="3150">
                  <c:v>3.8</c:v>
                </c:pt>
                <c:pt idx="3151">
                  <c:v>12.5</c:v>
                </c:pt>
                <c:pt idx="3152">
                  <c:v>15.2</c:v>
                </c:pt>
                <c:pt idx="3153">
                  <c:v>7</c:v>
                </c:pt>
                <c:pt idx="3154">
                  <c:v>6.6000000000000005</c:v>
                </c:pt>
                <c:pt idx="3155">
                  <c:v>4.4000000000000004</c:v>
                </c:pt>
                <c:pt idx="3156">
                  <c:v>11.399999999999999</c:v>
                </c:pt>
                <c:pt idx="3157">
                  <c:v>6.6000000000000005</c:v>
                </c:pt>
                <c:pt idx="3158">
                  <c:v>6.6000000000000005</c:v>
                </c:pt>
                <c:pt idx="3159">
                  <c:v>2.2000000000000002</c:v>
                </c:pt>
                <c:pt idx="3160">
                  <c:v>4.4000000000000004</c:v>
                </c:pt>
                <c:pt idx="3161">
                  <c:v>5.6</c:v>
                </c:pt>
                <c:pt idx="3162">
                  <c:v>11.2</c:v>
                </c:pt>
                <c:pt idx="3163">
                  <c:v>7.5</c:v>
                </c:pt>
                <c:pt idx="3164">
                  <c:v>7.5</c:v>
                </c:pt>
                <c:pt idx="3165">
                  <c:v>3.5</c:v>
                </c:pt>
                <c:pt idx="3166">
                  <c:v>10.5</c:v>
                </c:pt>
                <c:pt idx="3167">
                  <c:v>11</c:v>
                </c:pt>
                <c:pt idx="3168">
                  <c:v>3.5</c:v>
                </c:pt>
                <c:pt idx="3169">
                  <c:v>4.4000000000000004</c:v>
                </c:pt>
                <c:pt idx="3170">
                  <c:v>3.5</c:v>
                </c:pt>
                <c:pt idx="3171">
                  <c:v>2.5</c:v>
                </c:pt>
                <c:pt idx="3172">
                  <c:v>10</c:v>
                </c:pt>
                <c:pt idx="3173">
                  <c:v>7.5</c:v>
                </c:pt>
                <c:pt idx="3174">
                  <c:v>11</c:v>
                </c:pt>
                <c:pt idx="3175">
                  <c:v>11.2</c:v>
                </c:pt>
                <c:pt idx="3176">
                  <c:v>19</c:v>
                </c:pt>
                <c:pt idx="3177">
                  <c:v>4.4000000000000004</c:v>
                </c:pt>
                <c:pt idx="3178">
                  <c:v>2.8</c:v>
                </c:pt>
                <c:pt idx="3179">
                  <c:v>5.6</c:v>
                </c:pt>
                <c:pt idx="3180">
                  <c:v>5</c:v>
                </c:pt>
                <c:pt idx="3181">
                  <c:v>4.4000000000000004</c:v>
                </c:pt>
                <c:pt idx="3182">
                  <c:v>5</c:v>
                </c:pt>
                <c:pt idx="3183">
                  <c:v>11</c:v>
                </c:pt>
                <c:pt idx="3184">
                  <c:v>8.8000000000000007</c:v>
                </c:pt>
                <c:pt idx="3185">
                  <c:v>11.2</c:v>
                </c:pt>
                <c:pt idx="3186">
                  <c:v>3.8</c:v>
                </c:pt>
                <c:pt idx="3187">
                  <c:v>14</c:v>
                </c:pt>
                <c:pt idx="3188">
                  <c:v>7.5</c:v>
                </c:pt>
                <c:pt idx="3189">
                  <c:v>7.5</c:v>
                </c:pt>
                <c:pt idx="3190">
                  <c:v>5</c:v>
                </c:pt>
                <c:pt idx="3191">
                  <c:v>14</c:v>
                </c:pt>
                <c:pt idx="3192">
                  <c:v>8.3999999999999986</c:v>
                </c:pt>
                <c:pt idx="3193">
                  <c:v>5.6</c:v>
                </c:pt>
                <c:pt idx="3194">
                  <c:v>14</c:v>
                </c:pt>
                <c:pt idx="3195">
                  <c:v>3.8</c:v>
                </c:pt>
                <c:pt idx="3196">
                  <c:v>11</c:v>
                </c:pt>
                <c:pt idx="3197">
                  <c:v>8.8000000000000007</c:v>
                </c:pt>
                <c:pt idx="3198">
                  <c:v>8.3999999999999986</c:v>
                </c:pt>
                <c:pt idx="3199">
                  <c:v>10</c:v>
                </c:pt>
                <c:pt idx="3200">
                  <c:v>11.399999999999999</c:v>
                </c:pt>
                <c:pt idx="3201">
                  <c:v>3.5</c:v>
                </c:pt>
                <c:pt idx="3202">
                  <c:v>5.6</c:v>
                </c:pt>
                <c:pt idx="3203">
                  <c:v>5.6</c:v>
                </c:pt>
                <c:pt idx="3204">
                  <c:v>5.6</c:v>
                </c:pt>
                <c:pt idx="3205">
                  <c:v>7</c:v>
                </c:pt>
                <c:pt idx="3206">
                  <c:v>10.5</c:v>
                </c:pt>
                <c:pt idx="3207">
                  <c:v>8.8000000000000007</c:v>
                </c:pt>
                <c:pt idx="3208">
                  <c:v>11.399999999999999</c:v>
                </c:pt>
                <c:pt idx="3209">
                  <c:v>2.2000000000000002</c:v>
                </c:pt>
                <c:pt idx="3210">
                  <c:v>14</c:v>
                </c:pt>
                <c:pt idx="3211">
                  <c:v>15.2</c:v>
                </c:pt>
                <c:pt idx="3212">
                  <c:v>10.5</c:v>
                </c:pt>
                <c:pt idx="3213">
                  <c:v>3.5</c:v>
                </c:pt>
                <c:pt idx="3214">
                  <c:v>10.5</c:v>
                </c:pt>
                <c:pt idx="3215">
                  <c:v>11.399999999999999</c:v>
                </c:pt>
                <c:pt idx="3216">
                  <c:v>10</c:v>
                </c:pt>
                <c:pt idx="3217">
                  <c:v>8.3999999999999986</c:v>
                </c:pt>
                <c:pt idx="3218">
                  <c:v>11</c:v>
                </c:pt>
                <c:pt idx="3219">
                  <c:v>5.6</c:v>
                </c:pt>
                <c:pt idx="3220">
                  <c:v>14</c:v>
                </c:pt>
                <c:pt idx="3221">
                  <c:v>7</c:v>
                </c:pt>
                <c:pt idx="3222">
                  <c:v>2.8</c:v>
                </c:pt>
                <c:pt idx="3223">
                  <c:v>14</c:v>
                </c:pt>
                <c:pt idx="3224">
                  <c:v>2.2000000000000002</c:v>
                </c:pt>
                <c:pt idx="3225">
                  <c:v>10.5</c:v>
                </c:pt>
                <c:pt idx="3226">
                  <c:v>15.2</c:v>
                </c:pt>
                <c:pt idx="3227">
                  <c:v>14</c:v>
                </c:pt>
                <c:pt idx="3228">
                  <c:v>8.8000000000000007</c:v>
                </c:pt>
                <c:pt idx="3229">
                  <c:v>12.5</c:v>
                </c:pt>
                <c:pt idx="3230">
                  <c:v>17.5</c:v>
                </c:pt>
                <c:pt idx="3231">
                  <c:v>7.6</c:v>
                </c:pt>
                <c:pt idx="3232">
                  <c:v>6.6000000000000005</c:v>
                </c:pt>
                <c:pt idx="3233">
                  <c:v>7.6</c:v>
                </c:pt>
                <c:pt idx="3234">
                  <c:v>11.399999999999999</c:v>
                </c:pt>
                <c:pt idx="3235">
                  <c:v>6.6000000000000005</c:v>
                </c:pt>
                <c:pt idx="3236">
                  <c:v>8.3999999999999986</c:v>
                </c:pt>
                <c:pt idx="3237">
                  <c:v>7.6</c:v>
                </c:pt>
                <c:pt idx="3238">
                  <c:v>17.5</c:v>
                </c:pt>
                <c:pt idx="3239">
                  <c:v>6.6000000000000005</c:v>
                </c:pt>
                <c:pt idx="3240">
                  <c:v>8.3999999999999986</c:v>
                </c:pt>
                <c:pt idx="3241">
                  <c:v>17.5</c:v>
                </c:pt>
                <c:pt idx="3242">
                  <c:v>8.8000000000000007</c:v>
                </c:pt>
                <c:pt idx="3243">
                  <c:v>10</c:v>
                </c:pt>
                <c:pt idx="3244">
                  <c:v>6.6000000000000005</c:v>
                </c:pt>
                <c:pt idx="3245">
                  <c:v>3.5</c:v>
                </c:pt>
                <c:pt idx="3246">
                  <c:v>2.5</c:v>
                </c:pt>
                <c:pt idx="3247">
                  <c:v>5</c:v>
                </c:pt>
                <c:pt idx="3248">
                  <c:v>12.5</c:v>
                </c:pt>
                <c:pt idx="3249">
                  <c:v>6.6000000000000005</c:v>
                </c:pt>
                <c:pt idx="3250">
                  <c:v>11.399999999999999</c:v>
                </c:pt>
                <c:pt idx="3251">
                  <c:v>8.3999999999999986</c:v>
                </c:pt>
                <c:pt idx="3252">
                  <c:v>3.8</c:v>
                </c:pt>
                <c:pt idx="3253">
                  <c:v>8.8000000000000007</c:v>
                </c:pt>
                <c:pt idx="3254">
                  <c:v>7</c:v>
                </c:pt>
                <c:pt idx="3255">
                  <c:v>11.2</c:v>
                </c:pt>
                <c:pt idx="3256">
                  <c:v>17.5</c:v>
                </c:pt>
                <c:pt idx="3257">
                  <c:v>14</c:v>
                </c:pt>
                <c:pt idx="3258">
                  <c:v>3.5</c:v>
                </c:pt>
                <c:pt idx="3259">
                  <c:v>11</c:v>
                </c:pt>
                <c:pt idx="3260">
                  <c:v>7</c:v>
                </c:pt>
                <c:pt idx="3261">
                  <c:v>8.8000000000000007</c:v>
                </c:pt>
                <c:pt idx="3262">
                  <c:v>7.6</c:v>
                </c:pt>
                <c:pt idx="3263">
                  <c:v>15.2</c:v>
                </c:pt>
                <c:pt idx="3264">
                  <c:v>5</c:v>
                </c:pt>
                <c:pt idx="3265">
                  <c:v>17.5</c:v>
                </c:pt>
                <c:pt idx="3266">
                  <c:v>14</c:v>
                </c:pt>
                <c:pt idx="3267">
                  <c:v>7.5</c:v>
                </c:pt>
                <c:pt idx="3268">
                  <c:v>14</c:v>
                </c:pt>
                <c:pt idx="3269">
                  <c:v>15.2</c:v>
                </c:pt>
                <c:pt idx="3270">
                  <c:v>8.8000000000000007</c:v>
                </c:pt>
                <c:pt idx="3271">
                  <c:v>2.8</c:v>
                </c:pt>
                <c:pt idx="3272">
                  <c:v>2.2000000000000002</c:v>
                </c:pt>
                <c:pt idx="3273">
                  <c:v>19</c:v>
                </c:pt>
                <c:pt idx="3274">
                  <c:v>7.6</c:v>
                </c:pt>
                <c:pt idx="3275">
                  <c:v>2.2000000000000002</c:v>
                </c:pt>
                <c:pt idx="3276">
                  <c:v>11</c:v>
                </c:pt>
                <c:pt idx="3277">
                  <c:v>10.5</c:v>
                </c:pt>
                <c:pt idx="3278">
                  <c:v>6.6000000000000005</c:v>
                </c:pt>
                <c:pt idx="3279">
                  <c:v>8.3999999999999986</c:v>
                </c:pt>
                <c:pt idx="3280">
                  <c:v>2.8</c:v>
                </c:pt>
                <c:pt idx="3281">
                  <c:v>14</c:v>
                </c:pt>
                <c:pt idx="3282">
                  <c:v>3.8</c:v>
                </c:pt>
                <c:pt idx="3283">
                  <c:v>2.8</c:v>
                </c:pt>
                <c:pt idx="3284">
                  <c:v>8.8000000000000007</c:v>
                </c:pt>
                <c:pt idx="3285">
                  <c:v>15.2</c:v>
                </c:pt>
                <c:pt idx="3286">
                  <c:v>6.6000000000000005</c:v>
                </c:pt>
                <c:pt idx="3287">
                  <c:v>14</c:v>
                </c:pt>
                <c:pt idx="3288">
                  <c:v>7.5</c:v>
                </c:pt>
                <c:pt idx="3289">
                  <c:v>3.5</c:v>
                </c:pt>
                <c:pt idx="3290">
                  <c:v>7.5</c:v>
                </c:pt>
                <c:pt idx="3291">
                  <c:v>12.5</c:v>
                </c:pt>
                <c:pt idx="3292">
                  <c:v>14</c:v>
                </c:pt>
                <c:pt idx="3293">
                  <c:v>6.6000000000000005</c:v>
                </c:pt>
                <c:pt idx="3294">
                  <c:v>3.8</c:v>
                </c:pt>
                <c:pt idx="3295">
                  <c:v>14</c:v>
                </c:pt>
                <c:pt idx="3296">
                  <c:v>3.5</c:v>
                </c:pt>
                <c:pt idx="3297">
                  <c:v>19</c:v>
                </c:pt>
                <c:pt idx="3298">
                  <c:v>8.3999999999999986</c:v>
                </c:pt>
                <c:pt idx="3299">
                  <c:v>11</c:v>
                </c:pt>
                <c:pt idx="3300">
                  <c:v>14</c:v>
                </c:pt>
                <c:pt idx="3301">
                  <c:v>14</c:v>
                </c:pt>
                <c:pt idx="3302">
                  <c:v>10</c:v>
                </c:pt>
                <c:pt idx="3303">
                  <c:v>2.5</c:v>
                </c:pt>
                <c:pt idx="3304">
                  <c:v>17.5</c:v>
                </c:pt>
                <c:pt idx="3305">
                  <c:v>11</c:v>
                </c:pt>
                <c:pt idx="3306">
                  <c:v>14</c:v>
                </c:pt>
                <c:pt idx="3307">
                  <c:v>8.3999999999999986</c:v>
                </c:pt>
                <c:pt idx="3308">
                  <c:v>5</c:v>
                </c:pt>
                <c:pt idx="3309">
                  <c:v>8.8000000000000007</c:v>
                </c:pt>
                <c:pt idx="3310">
                  <c:v>8.3999999999999986</c:v>
                </c:pt>
                <c:pt idx="3311">
                  <c:v>11</c:v>
                </c:pt>
                <c:pt idx="3312">
                  <c:v>2.2000000000000002</c:v>
                </c:pt>
                <c:pt idx="3313">
                  <c:v>3.5</c:v>
                </c:pt>
                <c:pt idx="3314">
                  <c:v>2.5</c:v>
                </c:pt>
                <c:pt idx="3315">
                  <c:v>5.6</c:v>
                </c:pt>
                <c:pt idx="3316">
                  <c:v>5.6</c:v>
                </c:pt>
                <c:pt idx="3317">
                  <c:v>5</c:v>
                </c:pt>
                <c:pt idx="3318">
                  <c:v>5.6</c:v>
                </c:pt>
                <c:pt idx="3319">
                  <c:v>15.2</c:v>
                </c:pt>
                <c:pt idx="3320">
                  <c:v>11.2</c:v>
                </c:pt>
                <c:pt idx="3321">
                  <c:v>3.5</c:v>
                </c:pt>
                <c:pt idx="3322">
                  <c:v>14</c:v>
                </c:pt>
                <c:pt idx="3323">
                  <c:v>11.2</c:v>
                </c:pt>
                <c:pt idx="3324">
                  <c:v>7.5</c:v>
                </c:pt>
                <c:pt idx="3325">
                  <c:v>7.5</c:v>
                </c:pt>
                <c:pt idx="3326">
                  <c:v>10.5</c:v>
                </c:pt>
                <c:pt idx="3327">
                  <c:v>17.5</c:v>
                </c:pt>
                <c:pt idx="3328">
                  <c:v>7.6</c:v>
                </c:pt>
                <c:pt idx="3329">
                  <c:v>6.6000000000000005</c:v>
                </c:pt>
                <c:pt idx="3330">
                  <c:v>8.3999999999999986</c:v>
                </c:pt>
                <c:pt idx="3331">
                  <c:v>7.6</c:v>
                </c:pt>
                <c:pt idx="3332">
                  <c:v>10.5</c:v>
                </c:pt>
                <c:pt idx="3333">
                  <c:v>2.5</c:v>
                </c:pt>
                <c:pt idx="3334">
                  <c:v>10.5</c:v>
                </c:pt>
                <c:pt idx="3335">
                  <c:v>15.2</c:v>
                </c:pt>
                <c:pt idx="3336">
                  <c:v>8.3999999999999986</c:v>
                </c:pt>
                <c:pt idx="3337">
                  <c:v>15.2</c:v>
                </c:pt>
                <c:pt idx="3338">
                  <c:v>15.2</c:v>
                </c:pt>
                <c:pt idx="3339">
                  <c:v>2.5</c:v>
                </c:pt>
                <c:pt idx="3340">
                  <c:v>11.399999999999999</c:v>
                </c:pt>
                <c:pt idx="3341">
                  <c:v>5.6</c:v>
                </c:pt>
                <c:pt idx="3342">
                  <c:v>11.399999999999999</c:v>
                </c:pt>
                <c:pt idx="3343">
                  <c:v>10</c:v>
                </c:pt>
                <c:pt idx="3344">
                  <c:v>11.399999999999999</c:v>
                </c:pt>
                <c:pt idx="3345">
                  <c:v>14</c:v>
                </c:pt>
                <c:pt idx="3346">
                  <c:v>8.8000000000000007</c:v>
                </c:pt>
                <c:pt idx="3347">
                  <c:v>14</c:v>
                </c:pt>
                <c:pt idx="3348">
                  <c:v>2.5</c:v>
                </c:pt>
                <c:pt idx="3349">
                  <c:v>3.8</c:v>
                </c:pt>
                <c:pt idx="3350">
                  <c:v>10</c:v>
                </c:pt>
                <c:pt idx="3351">
                  <c:v>15.2</c:v>
                </c:pt>
                <c:pt idx="3352">
                  <c:v>14</c:v>
                </c:pt>
                <c:pt idx="3353">
                  <c:v>2.2000000000000002</c:v>
                </c:pt>
                <c:pt idx="3354">
                  <c:v>10.5</c:v>
                </c:pt>
                <c:pt idx="3355">
                  <c:v>10</c:v>
                </c:pt>
                <c:pt idx="3356">
                  <c:v>5.6</c:v>
                </c:pt>
                <c:pt idx="3357">
                  <c:v>2.8</c:v>
                </c:pt>
                <c:pt idx="3358">
                  <c:v>15.2</c:v>
                </c:pt>
                <c:pt idx="3359">
                  <c:v>11.399999999999999</c:v>
                </c:pt>
                <c:pt idx="3360">
                  <c:v>11.399999999999999</c:v>
                </c:pt>
                <c:pt idx="3361">
                  <c:v>6.6000000000000005</c:v>
                </c:pt>
                <c:pt idx="3362">
                  <c:v>19</c:v>
                </c:pt>
                <c:pt idx="3363">
                  <c:v>14</c:v>
                </c:pt>
                <c:pt idx="3364">
                  <c:v>3.8</c:v>
                </c:pt>
                <c:pt idx="3365">
                  <c:v>14</c:v>
                </c:pt>
                <c:pt idx="3366">
                  <c:v>2.8</c:v>
                </c:pt>
                <c:pt idx="3367">
                  <c:v>3.8</c:v>
                </c:pt>
                <c:pt idx="3368">
                  <c:v>11</c:v>
                </c:pt>
                <c:pt idx="3369">
                  <c:v>10</c:v>
                </c:pt>
                <c:pt idx="3370">
                  <c:v>15.2</c:v>
                </c:pt>
                <c:pt idx="3371">
                  <c:v>8.3999999999999986</c:v>
                </c:pt>
                <c:pt idx="3372">
                  <c:v>17.5</c:v>
                </c:pt>
                <c:pt idx="3373">
                  <c:v>5.6</c:v>
                </c:pt>
                <c:pt idx="3374">
                  <c:v>11</c:v>
                </c:pt>
                <c:pt idx="3375">
                  <c:v>3.8</c:v>
                </c:pt>
                <c:pt idx="3376">
                  <c:v>17.5</c:v>
                </c:pt>
                <c:pt idx="3377">
                  <c:v>10.5</c:v>
                </c:pt>
                <c:pt idx="3378">
                  <c:v>5.6</c:v>
                </c:pt>
                <c:pt idx="3379">
                  <c:v>3.8</c:v>
                </c:pt>
                <c:pt idx="3380">
                  <c:v>7</c:v>
                </c:pt>
                <c:pt idx="3381">
                  <c:v>15.2</c:v>
                </c:pt>
                <c:pt idx="3382">
                  <c:v>6.6000000000000005</c:v>
                </c:pt>
                <c:pt idx="3383">
                  <c:v>4.4000000000000004</c:v>
                </c:pt>
                <c:pt idx="3384">
                  <c:v>8.8000000000000007</c:v>
                </c:pt>
                <c:pt idx="3385">
                  <c:v>15.2</c:v>
                </c:pt>
                <c:pt idx="3386">
                  <c:v>8.3999999999999986</c:v>
                </c:pt>
                <c:pt idx="3387">
                  <c:v>3.8</c:v>
                </c:pt>
                <c:pt idx="3388">
                  <c:v>8.8000000000000007</c:v>
                </c:pt>
                <c:pt idx="3389">
                  <c:v>12.5</c:v>
                </c:pt>
                <c:pt idx="3390">
                  <c:v>2.8</c:v>
                </c:pt>
                <c:pt idx="3391">
                  <c:v>7</c:v>
                </c:pt>
                <c:pt idx="3392">
                  <c:v>11</c:v>
                </c:pt>
                <c:pt idx="3393">
                  <c:v>6.6000000000000005</c:v>
                </c:pt>
                <c:pt idx="3394">
                  <c:v>10</c:v>
                </c:pt>
                <c:pt idx="3395">
                  <c:v>14</c:v>
                </c:pt>
                <c:pt idx="3396">
                  <c:v>17.5</c:v>
                </c:pt>
                <c:pt idx="3397">
                  <c:v>12.5</c:v>
                </c:pt>
                <c:pt idx="3398">
                  <c:v>2.8</c:v>
                </c:pt>
                <c:pt idx="3399">
                  <c:v>10.5</c:v>
                </c:pt>
                <c:pt idx="3400">
                  <c:v>3.8</c:v>
                </c:pt>
                <c:pt idx="3401">
                  <c:v>2.2000000000000002</c:v>
                </c:pt>
                <c:pt idx="3402">
                  <c:v>19</c:v>
                </c:pt>
                <c:pt idx="3403">
                  <c:v>3.5</c:v>
                </c:pt>
                <c:pt idx="3404">
                  <c:v>2.5</c:v>
                </c:pt>
                <c:pt idx="3405">
                  <c:v>14</c:v>
                </c:pt>
                <c:pt idx="3406">
                  <c:v>10</c:v>
                </c:pt>
                <c:pt idx="3407">
                  <c:v>3.8</c:v>
                </c:pt>
                <c:pt idx="3408">
                  <c:v>2.2000000000000002</c:v>
                </c:pt>
                <c:pt idx="3409">
                  <c:v>17.5</c:v>
                </c:pt>
                <c:pt idx="3410">
                  <c:v>5</c:v>
                </c:pt>
                <c:pt idx="3411">
                  <c:v>11.2</c:v>
                </c:pt>
                <c:pt idx="3412">
                  <c:v>15.2</c:v>
                </c:pt>
                <c:pt idx="3413">
                  <c:v>3.5</c:v>
                </c:pt>
                <c:pt idx="3414">
                  <c:v>14</c:v>
                </c:pt>
                <c:pt idx="3415">
                  <c:v>12.5</c:v>
                </c:pt>
                <c:pt idx="3416">
                  <c:v>2.5</c:v>
                </c:pt>
                <c:pt idx="3417">
                  <c:v>11</c:v>
                </c:pt>
                <c:pt idx="3418">
                  <c:v>5</c:v>
                </c:pt>
                <c:pt idx="3419">
                  <c:v>3.5</c:v>
                </c:pt>
                <c:pt idx="3420">
                  <c:v>14</c:v>
                </c:pt>
                <c:pt idx="3421">
                  <c:v>8.8000000000000007</c:v>
                </c:pt>
                <c:pt idx="3422">
                  <c:v>5</c:v>
                </c:pt>
                <c:pt idx="3423">
                  <c:v>5.6</c:v>
                </c:pt>
                <c:pt idx="3424">
                  <c:v>2.5</c:v>
                </c:pt>
                <c:pt idx="3425">
                  <c:v>8.3999999999999986</c:v>
                </c:pt>
                <c:pt idx="3426">
                  <c:v>19</c:v>
                </c:pt>
                <c:pt idx="3427">
                  <c:v>11</c:v>
                </c:pt>
                <c:pt idx="3428">
                  <c:v>5</c:v>
                </c:pt>
                <c:pt idx="3429">
                  <c:v>3.8</c:v>
                </c:pt>
                <c:pt idx="3430">
                  <c:v>2.8</c:v>
                </c:pt>
                <c:pt idx="3431">
                  <c:v>15.2</c:v>
                </c:pt>
                <c:pt idx="3432">
                  <c:v>7.5</c:v>
                </c:pt>
                <c:pt idx="3433">
                  <c:v>8.8000000000000007</c:v>
                </c:pt>
                <c:pt idx="3434">
                  <c:v>7.5</c:v>
                </c:pt>
                <c:pt idx="3435">
                  <c:v>4.4000000000000004</c:v>
                </c:pt>
                <c:pt idx="3436">
                  <c:v>6.6000000000000005</c:v>
                </c:pt>
                <c:pt idx="3437">
                  <c:v>10.5</c:v>
                </c:pt>
                <c:pt idx="3438">
                  <c:v>5.6</c:v>
                </c:pt>
                <c:pt idx="3439">
                  <c:v>19</c:v>
                </c:pt>
                <c:pt idx="3440">
                  <c:v>2.2000000000000002</c:v>
                </c:pt>
                <c:pt idx="3441">
                  <c:v>3.8</c:v>
                </c:pt>
                <c:pt idx="3442">
                  <c:v>2.2000000000000002</c:v>
                </c:pt>
                <c:pt idx="3443">
                  <c:v>6.6000000000000005</c:v>
                </c:pt>
                <c:pt idx="3444">
                  <c:v>5.6</c:v>
                </c:pt>
                <c:pt idx="3445">
                  <c:v>8.3999999999999986</c:v>
                </c:pt>
                <c:pt idx="3446">
                  <c:v>7.5</c:v>
                </c:pt>
                <c:pt idx="3447">
                  <c:v>8.3999999999999986</c:v>
                </c:pt>
                <c:pt idx="3448">
                  <c:v>5.6</c:v>
                </c:pt>
                <c:pt idx="3449">
                  <c:v>2.5</c:v>
                </c:pt>
                <c:pt idx="3450">
                  <c:v>17.5</c:v>
                </c:pt>
                <c:pt idx="3451">
                  <c:v>2.5</c:v>
                </c:pt>
                <c:pt idx="3452">
                  <c:v>8.8000000000000007</c:v>
                </c:pt>
                <c:pt idx="3453">
                  <c:v>12.5</c:v>
                </c:pt>
                <c:pt idx="3454">
                  <c:v>14</c:v>
                </c:pt>
                <c:pt idx="3455">
                  <c:v>11.399999999999999</c:v>
                </c:pt>
                <c:pt idx="3456">
                  <c:v>11.399999999999999</c:v>
                </c:pt>
                <c:pt idx="3457">
                  <c:v>6.6000000000000005</c:v>
                </c:pt>
                <c:pt idx="3458">
                  <c:v>2.5</c:v>
                </c:pt>
                <c:pt idx="3459">
                  <c:v>5</c:v>
                </c:pt>
                <c:pt idx="3460">
                  <c:v>2.8</c:v>
                </c:pt>
                <c:pt idx="3461">
                  <c:v>2.2000000000000002</c:v>
                </c:pt>
                <c:pt idx="3462">
                  <c:v>2.5</c:v>
                </c:pt>
                <c:pt idx="3463">
                  <c:v>2.2000000000000002</c:v>
                </c:pt>
                <c:pt idx="3464">
                  <c:v>3.8</c:v>
                </c:pt>
                <c:pt idx="3465">
                  <c:v>11.2</c:v>
                </c:pt>
                <c:pt idx="3466">
                  <c:v>2.8</c:v>
                </c:pt>
                <c:pt idx="3467">
                  <c:v>19</c:v>
                </c:pt>
                <c:pt idx="3468">
                  <c:v>14</c:v>
                </c:pt>
                <c:pt idx="3469">
                  <c:v>5.6</c:v>
                </c:pt>
                <c:pt idx="3470">
                  <c:v>11</c:v>
                </c:pt>
                <c:pt idx="3471">
                  <c:v>2.5</c:v>
                </c:pt>
                <c:pt idx="3472">
                  <c:v>2.8</c:v>
                </c:pt>
                <c:pt idx="3473">
                  <c:v>12.5</c:v>
                </c:pt>
                <c:pt idx="3474">
                  <c:v>3.8</c:v>
                </c:pt>
                <c:pt idx="3475">
                  <c:v>7.5</c:v>
                </c:pt>
                <c:pt idx="3476">
                  <c:v>3.5</c:v>
                </c:pt>
                <c:pt idx="3477">
                  <c:v>11</c:v>
                </c:pt>
                <c:pt idx="3478">
                  <c:v>17.5</c:v>
                </c:pt>
                <c:pt idx="3479">
                  <c:v>2.8</c:v>
                </c:pt>
                <c:pt idx="3480">
                  <c:v>19</c:v>
                </c:pt>
                <c:pt idx="3481">
                  <c:v>4.4000000000000004</c:v>
                </c:pt>
                <c:pt idx="3482">
                  <c:v>2.8</c:v>
                </c:pt>
                <c:pt idx="3483">
                  <c:v>5</c:v>
                </c:pt>
                <c:pt idx="3484">
                  <c:v>2.5</c:v>
                </c:pt>
                <c:pt idx="3485">
                  <c:v>17.5</c:v>
                </c:pt>
                <c:pt idx="3486">
                  <c:v>6.6000000000000005</c:v>
                </c:pt>
                <c:pt idx="3487">
                  <c:v>7.5</c:v>
                </c:pt>
                <c:pt idx="3488">
                  <c:v>15.2</c:v>
                </c:pt>
                <c:pt idx="3489">
                  <c:v>2.2000000000000002</c:v>
                </c:pt>
                <c:pt idx="3490">
                  <c:v>8.8000000000000007</c:v>
                </c:pt>
                <c:pt idx="3491">
                  <c:v>10</c:v>
                </c:pt>
                <c:pt idx="3492">
                  <c:v>8.3999999999999986</c:v>
                </c:pt>
                <c:pt idx="3493">
                  <c:v>11.399999999999999</c:v>
                </c:pt>
                <c:pt idx="3494">
                  <c:v>2.5</c:v>
                </c:pt>
                <c:pt idx="3495">
                  <c:v>7.5</c:v>
                </c:pt>
                <c:pt idx="3496">
                  <c:v>11</c:v>
                </c:pt>
                <c:pt idx="3497">
                  <c:v>19</c:v>
                </c:pt>
                <c:pt idx="3498">
                  <c:v>19</c:v>
                </c:pt>
                <c:pt idx="3499">
                  <c:v>17.5</c:v>
                </c:pt>
                <c:pt idx="3500">
                  <c:v>12.5</c:v>
                </c:pt>
                <c:pt idx="3501">
                  <c:v>6.6000000000000005</c:v>
                </c:pt>
                <c:pt idx="3502">
                  <c:v>11.399999999999999</c:v>
                </c:pt>
                <c:pt idx="3503">
                  <c:v>3.5</c:v>
                </c:pt>
                <c:pt idx="3504">
                  <c:v>11.2</c:v>
                </c:pt>
                <c:pt idx="3505">
                  <c:v>10.5</c:v>
                </c:pt>
                <c:pt idx="3506">
                  <c:v>14</c:v>
                </c:pt>
                <c:pt idx="3507">
                  <c:v>3.5</c:v>
                </c:pt>
                <c:pt idx="3508">
                  <c:v>6.6000000000000005</c:v>
                </c:pt>
                <c:pt idx="3509">
                  <c:v>2.5</c:v>
                </c:pt>
                <c:pt idx="3510">
                  <c:v>15.2</c:v>
                </c:pt>
                <c:pt idx="3511">
                  <c:v>15.2</c:v>
                </c:pt>
                <c:pt idx="3512">
                  <c:v>14</c:v>
                </c:pt>
                <c:pt idx="3513">
                  <c:v>4.4000000000000004</c:v>
                </c:pt>
                <c:pt idx="3514">
                  <c:v>2.2000000000000002</c:v>
                </c:pt>
                <c:pt idx="3515">
                  <c:v>2.5</c:v>
                </c:pt>
                <c:pt idx="3516">
                  <c:v>8.8000000000000007</c:v>
                </c:pt>
                <c:pt idx="3517">
                  <c:v>8.8000000000000007</c:v>
                </c:pt>
                <c:pt idx="3518">
                  <c:v>11.2</c:v>
                </c:pt>
                <c:pt idx="3519">
                  <c:v>15.2</c:v>
                </c:pt>
                <c:pt idx="3520">
                  <c:v>2.2000000000000002</c:v>
                </c:pt>
                <c:pt idx="3521">
                  <c:v>11.399999999999999</c:v>
                </c:pt>
                <c:pt idx="3522">
                  <c:v>11.2</c:v>
                </c:pt>
                <c:pt idx="3523">
                  <c:v>7.5</c:v>
                </c:pt>
                <c:pt idx="3524">
                  <c:v>10.5</c:v>
                </c:pt>
                <c:pt idx="3525">
                  <c:v>7</c:v>
                </c:pt>
                <c:pt idx="3526">
                  <c:v>7</c:v>
                </c:pt>
                <c:pt idx="3527">
                  <c:v>14</c:v>
                </c:pt>
                <c:pt idx="3528">
                  <c:v>11</c:v>
                </c:pt>
                <c:pt idx="3529">
                  <c:v>8.8000000000000007</c:v>
                </c:pt>
                <c:pt idx="3530">
                  <c:v>11.2</c:v>
                </c:pt>
                <c:pt idx="3531">
                  <c:v>14</c:v>
                </c:pt>
                <c:pt idx="3532">
                  <c:v>2.5</c:v>
                </c:pt>
                <c:pt idx="3533">
                  <c:v>8.3999999999999986</c:v>
                </c:pt>
                <c:pt idx="3534">
                  <c:v>19</c:v>
                </c:pt>
                <c:pt idx="3535">
                  <c:v>11</c:v>
                </c:pt>
                <c:pt idx="3536">
                  <c:v>8.8000000000000007</c:v>
                </c:pt>
                <c:pt idx="3537">
                  <c:v>10</c:v>
                </c:pt>
                <c:pt idx="3538">
                  <c:v>7.5</c:v>
                </c:pt>
                <c:pt idx="3539">
                  <c:v>6.6000000000000005</c:v>
                </c:pt>
                <c:pt idx="3540">
                  <c:v>5.6</c:v>
                </c:pt>
                <c:pt idx="3541">
                  <c:v>4.4000000000000004</c:v>
                </c:pt>
                <c:pt idx="3542">
                  <c:v>14</c:v>
                </c:pt>
                <c:pt idx="3543">
                  <c:v>7.5</c:v>
                </c:pt>
                <c:pt idx="3544">
                  <c:v>7.5</c:v>
                </c:pt>
                <c:pt idx="3545">
                  <c:v>7</c:v>
                </c:pt>
                <c:pt idx="3546">
                  <c:v>15.2</c:v>
                </c:pt>
                <c:pt idx="3547">
                  <c:v>14</c:v>
                </c:pt>
                <c:pt idx="3548">
                  <c:v>11.399999999999999</c:v>
                </c:pt>
                <c:pt idx="3549">
                  <c:v>6.6000000000000005</c:v>
                </c:pt>
                <c:pt idx="3550">
                  <c:v>5.6</c:v>
                </c:pt>
                <c:pt idx="3551">
                  <c:v>6.6000000000000005</c:v>
                </c:pt>
                <c:pt idx="3552">
                  <c:v>14</c:v>
                </c:pt>
                <c:pt idx="3553">
                  <c:v>2.8</c:v>
                </c:pt>
                <c:pt idx="3554">
                  <c:v>5</c:v>
                </c:pt>
                <c:pt idx="3555">
                  <c:v>11.399999999999999</c:v>
                </c:pt>
                <c:pt idx="3556">
                  <c:v>4.4000000000000004</c:v>
                </c:pt>
                <c:pt idx="3557">
                  <c:v>19</c:v>
                </c:pt>
                <c:pt idx="3558">
                  <c:v>15.2</c:v>
                </c:pt>
                <c:pt idx="3559">
                  <c:v>17.5</c:v>
                </c:pt>
                <c:pt idx="3560">
                  <c:v>7.6</c:v>
                </c:pt>
                <c:pt idx="3561">
                  <c:v>3.8</c:v>
                </c:pt>
                <c:pt idx="3562">
                  <c:v>12.5</c:v>
                </c:pt>
                <c:pt idx="3563">
                  <c:v>2.5</c:v>
                </c:pt>
                <c:pt idx="3564">
                  <c:v>8.3999999999999986</c:v>
                </c:pt>
                <c:pt idx="3565">
                  <c:v>7.6</c:v>
                </c:pt>
                <c:pt idx="3566">
                  <c:v>3.5</c:v>
                </c:pt>
                <c:pt idx="3567">
                  <c:v>14</c:v>
                </c:pt>
                <c:pt idx="3568">
                  <c:v>10.5</c:v>
                </c:pt>
                <c:pt idx="3569">
                  <c:v>4.4000000000000004</c:v>
                </c:pt>
                <c:pt idx="3570">
                  <c:v>2.8</c:v>
                </c:pt>
                <c:pt idx="3571">
                  <c:v>14</c:v>
                </c:pt>
                <c:pt idx="3572">
                  <c:v>3.8</c:v>
                </c:pt>
                <c:pt idx="3573">
                  <c:v>7.6</c:v>
                </c:pt>
                <c:pt idx="3574">
                  <c:v>5</c:v>
                </c:pt>
                <c:pt idx="3575">
                  <c:v>2.8</c:v>
                </c:pt>
                <c:pt idx="3576">
                  <c:v>3.5</c:v>
                </c:pt>
                <c:pt idx="3577">
                  <c:v>2.5</c:v>
                </c:pt>
                <c:pt idx="3578">
                  <c:v>11.399999999999999</c:v>
                </c:pt>
                <c:pt idx="3579">
                  <c:v>11.399999999999999</c:v>
                </c:pt>
                <c:pt idx="3580">
                  <c:v>15.2</c:v>
                </c:pt>
                <c:pt idx="3581">
                  <c:v>2.2000000000000002</c:v>
                </c:pt>
                <c:pt idx="3582">
                  <c:v>12.5</c:v>
                </c:pt>
                <c:pt idx="3583">
                  <c:v>5</c:v>
                </c:pt>
                <c:pt idx="3584">
                  <c:v>11</c:v>
                </c:pt>
                <c:pt idx="3585">
                  <c:v>4.4000000000000004</c:v>
                </c:pt>
                <c:pt idx="3586">
                  <c:v>3.8</c:v>
                </c:pt>
                <c:pt idx="3587">
                  <c:v>2.5</c:v>
                </c:pt>
                <c:pt idx="3588">
                  <c:v>12.5</c:v>
                </c:pt>
                <c:pt idx="3589">
                  <c:v>10.5</c:v>
                </c:pt>
                <c:pt idx="3590">
                  <c:v>2.5</c:v>
                </c:pt>
                <c:pt idx="3591">
                  <c:v>10.5</c:v>
                </c:pt>
                <c:pt idx="3592">
                  <c:v>11.2</c:v>
                </c:pt>
                <c:pt idx="3593">
                  <c:v>11</c:v>
                </c:pt>
                <c:pt idx="3594">
                  <c:v>12.5</c:v>
                </c:pt>
                <c:pt idx="3595">
                  <c:v>15.2</c:v>
                </c:pt>
                <c:pt idx="3596">
                  <c:v>15.2</c:v>
                </c:pt>
                <c:pt idx="3597">
                  <c:v>2.2000000000000002</c:v>
                </c:pt>
                <c:pt idx="3598">
                  <c:v>3.8</c:v>
                </c:pt>
                <c:pt idx="3599">
                  <c:v>4.4000000000000004</c:v>
                </c:pt>
                <c:pt idx="3600">
                  <c:v>10</c:v>
                </c:pt>
                <c:pt idx="3601">
                  <c:v>10</c:v>
                </c:pt>
                <c:pt idx="3602">
                  <c:v>2.8</c:v>
                </c:pt>
                <c:pt idx="3603">
                  <c:v>8.8000000000000007</c:v>
                </c:pt>
                <c:pt idx="3604">
                  <c:v>4.4000000000000004</c:v>
                </c:pt>
                <c:pt idx="3605">
                  <c:v>15.2</c:v>
                </c:pt>
                <c:pt idx="3606">
                  <c:v>2.8</c:v>
                </c:pt>
                <c:pt idx="3607">
                  <c:v>4.4000000000000004</c:v>
                </c:pt>
                <c:pt idx="3608">
                  <c:v>15.2</c:v>
                </c:pt>
                <c:pt idx="3609">
                  <c:v>2.8</c:v>
                </c:pt>
                <c:pt idx="3610">
                  <c:v>2.8</c:v>
                </c:pt>
                <c:pt idx="3611">
                  <c:v>5</c:v>
                </c:pt>
                <c:pt idx="3612">
                  <c:v>14</c:v>
                </c:pt>
                <c:pt idx="3613">
                  <c:v>11</c:v>
                </c:pt>
                <c:pt idx="3614">
                  <c:v>5.6</c:v>
                </c:pt>
                <c:pt idx="3615">
                  <c:v>19</c:v>
                </c:pt>
                <c:pt idx="3616">
                  <c:v>3.5</c:v>
                </c:pt>
                <c:pt idx="3617">
                  <c:v>4.4000000000000004</c:v>
                </c:pt>
                <c:pt idx="3618">
                  <c:v>2.8</c:v>
                </c:pt>
                <c:pt idx="3619">
                  <c:v>19</c:v>
                </c:pt>
                <c:pt idx="3620">
                  <c:v>5</c:v>
                </c:pt>
                <c:pt idx="3621">
                  <c:v>6.6000000000000005</c:v>
                </c:pt>
                <c:pt idx="3622">
                  <c:v>2.8</c:v>
                </c:pt>
                <c:pt idx="3623">
                  <c:v>14</c:v>
                </c:pt>
                <c:pt idx="3624">
                  <c:v>11.399999999999999</c:v>
                </c:pt>
                <c:pt idx="3625">
                  <c:v>12.5</c:v>
                </c:pt>
                <c:pt idx="3626">
                  <c:v>3.8</c:v>
                </c:pt>
                <c:pt idx="3627">
                  <c:v>10.5</c:v>
                </c:pt>
                <c:pt idx="3628">
                  <c:v>3.8</c:v>
                </c:pt>
                <c:pt idx="3629">
                  <c:v>14</c:v>
                </c:pt>
                <c:pt idx="3630">
                  <c:v>17.5</c:v>
                </c:pt>
                <c:pt idx="3631">
                  <c:v>8.8000000000000007</c:v>
                </c:pt>
                <c:pt idx="3632">
                  <c:v>19</c:v>
                </c:pt>
                <c:pt idx="3633">
                  <c:v>10</c:v>
                </c:pt>
                <c:pt idx="3634">
                  <c:v>5</c:v>
                </c:pt>
                <c:pt idx="3635">
                  <c:v>2.5</c:v>
                </c:pt>
                <c:pt idx="3636">
                  <c:v>8.8000000000000007</c:v>
                </c:pt>
                <c:pt idx="3637">
                  <c:v>5.6</c:v>
                </c:pt>
                <c:pt idx="3638">
                  <c:v>5.6</c:v>
                </c:pt>
                <c:pt idx="3639">
                  <c:v>6.6000000000000005</c:v>
                </c:pt>
                <c:pt idx="3640">
                  <c:v>6.6000000000000005</c:v>
                </c:pt>
                <c:pt idx="3641">
                  <c:v>7.5</c:v>
                </c:pt>
                <c:pt idx="3642">
                  <c:v>10</c:v>
                </c:pt>
                <c:pt idx="3643">
                  <c:v>5.6</c:v>
                </c:pt>
                <c:pt idx="3644">
                  <c:v>6.6000000000000005</c:v>
                </c:pt>
                <c:pt idx="3645">
                  <c:v>10.5</c:v>
                </c:pt>
                <c:pt idx="3646">
                  <c:v>11.399999999999999</c:v>
                </c:pt>
                <c:pt idx="3647">
                  <c:v>15.2</c:v>
                </c:pt>
                <c:pt idx="3648">
                  <c:v>3.8</c:v>
                </c:pt>
                <c:pt idx="3649">
                  <c:v>8.3999999999999986</c:v>
                </c:pt>
                <c:pt idx="3650">
                  <c:v>10.5</c:v>
                </c:pt>
                <c:pt idx="3651">
                  <c:v>11</c:v>
                </c:pt>
                <c:pt idx="3652">
                  <c:v>2.2000000000000002</c:v>
                </c:pt>
                <c:pt idx="3653">
                  <c:v>14</c:v>
                </c:pt>
                <c:pt idx="3654">
                  <c:v>5</c:v>
                </c:pt>
                <c:pt idx="3655">
                  <c:v>17.5</c:v>
                </c:pt>
                <c:pt idx="3656">
                  <c:v>2.5</c:v>
                </c:pt>
                <c:pt idx="3657">
                  <c:v>15.2</c:v>
                </c:pt>
                <c:pt idx="3658">
                  <c:v>5.6</c:v>
                </c:pt>
                <c:pt idx="3659">
                  <c:v>4.4000000000000004</c:v>
                </c:pt>
                <c:pt idx="3660">
                  <c:v>2.2000000000000002</c:v>
                </c:pt>
                <c:pt idx="3661">
                  <c:v>12.5</c:v>
                </c:pt>
                <c:pt idx="3662">
                  <c:v>3.8</c:v>
                </c:pt>
                <c:pt idx="3663">
                  <c:v>14</c:v>
                </c:pt>
                <c:pt idx="3664">
                  <c:v>5</c:v>
                </c:pt>
                <c:pt idx="3665">
                  <c:v>14</c:v>
                </c:pt>
                <c:pt idx="3666">
                  <c:v>10.5</c:v>
                </c:pt>
                <c:pt idx="3667">
                  <c:v>11.399999999999999</c:v>
                </c:pt>
                <c:pt idx="3668">
                  <c:v>7.5</c:v>
                </c:pt>
                <c:pt idx="3669">
                  <c:v>8.3999999999999986</c:v>
                </c:pt>
                <c:pt idx="3670">
                  <c:v>7.5</c:v>
                </c:pt>
                <c:pt idx="3671">
                  <c:v>11.399999999999999</c:v>
                </c:pt>
                <c:pt idx="3672">
                  <c:v>7.6</c:v>
                </c:pt>
                <c:pt idx="3673">
                  <c:v>15.2</c:v>
                </c:pt>
                <c:pt idx="3674">
                  <c:v>8.8000000000000007</c:v>
                </c:pt>
                <c:pt idx="3675">
                  <c:v>3.5</c:v>
                </c:pt>
                <c:pt idx="3676">
                  <c:v>11</c:v>
                </c:pt>
                <c:pt idx="3677">
                  <c:v>8.8000000000000007</c:v>
                </c:pt>
                <c:pt idx="3678">
                  <c:v>7.5</c:v>
                </c:pt>
                <c:pt idx="3679">
                  <c:v>8.3999999999999986</c:v>
                </c:pt>
                <c:pt idx="3680">
                  <c:v>3.8</c:v>
                </c:pt>
                <c:pt idx="3681">
                  <c:v>2.8</c:v>
                </c:pt>
                <c:pt idx="3682">
                  <c:v>14</c:v>
                </c:pt>
                <c:pt idx="3683">
                  <c:v>19</c:v>
                </c:pt>
                <c:pt idx="3684">
                  <c:v>7.5</c:v>
                </c:pt>
                <c:pt idx="3685">
                  <c:v>14</c:v>
                </c:pt>
                <c:pt idx="3686">
                  <c:v>4.4000000000000004</c:v>
                </c:pt>
                <c:pt idx="3687">
                  <c:v>2.5</c:v>
                </c:pt>
                <c:pt idx="3688">
                  <c:v>14</c:v>
                </c:pt>
                <c:pt idx="3689">
                  <c:v>2.5</c:v>
                </c:pt>
                <c:pt idx="3690">
                  <c:v>19</c:v>
                </c:pt>
                <c:pt idx="3691">
                  <c:v>2.8</c:v>
                </c:pt>
                <c:pt idx="3692">
                  <c:v>11</c:v>
                </c:pt>
                <c:pt idx="3693">
                  <c:v>7</c:v>
                </c:pt>
                <c:pt idx="3694">
                  <c:v>19</c:v>
                </c:pt>
                <c:pt idx="3695">
                  <c:v>8.3999999999999986</c:v>
                </c:pt>
                <c:pt idx="3696">
                  <c:v>10</c:v>
                </c:pt>
                <c:pt idx="3697">
                  <c:v>7.5</c:v>
                </c:pt>
                <c:pt idx="3698">
                  <c:v>11.2</c:v>
                </c:pt>
                <c:pt idx="3699">
                  <c:v>7</c:v>
                </c:pt>
                <c:pt idx="3700">
                  <c:v>5.6</c:v>
                </c:pt>
                <c:pt idx="3701">
                  <c:v>6.6000000000000005</c:v>
                </c:pt>
                <c:pt idx="3702">
                  <c:v>11.2</c:v>
                </c:pt>
                <c:pt idx="3703">
                  <c:v>10</c:v>
                </c:pt>
                <c:pt idx="3704">
                  <c:v>19</c:v>
                </c:pt>
                <c:pt idx="3705">
                  <c:v>10</c:v>
                </c:pt>
                <c:pt idx="3706">
                  <c:v>3.5</c:v>
                </c:pt>
                <c:pt idx="3707">
                  <c:v>8.3999999999999986</c:v>
                </c:pt>
                <c:pt idx="3708">
                  <c:v>3.5</c:v>
                </c:pt>
                <c:pt idx="3709">
                  <c:v>7</c:v>
                </c:pt>
                <c:pt idx="3710">
                  <c:v>6.6000000000000005</c:v>
                </c:pt>
                <c:pt idx="3711">
                  <c:v>10.5</c:v>
                </c:pt>
                <c:pt idx="3712">
                  <c:v>8.3999999999999986</c:v>
                </c:pt>
                <c:pt idx="3713">
                  <c:v>11</c:v>
                </c:pt>
                <c:pt idx="3714">
                  <c:v>12.5</c:v>
                </c:pt>
                <c:pt idx="3715">
                  <c:v>10</c:v>
                </c:pt>
                <c:pt idx="3716">
                  <c:v>15.2</c:v>
                </c:pt>
                <c:pt idx="3717">
                  <c:v>11</c:v>
                </c:pt>
                <c:pt idx="3718">
                  <c:v>6.6000000000000005</c:v>
                </c:pt>
                <c:pt idx="3719">
                  <c:v>11.2</c:v>
                </c:pt>
                <c:pt idx="3720">
                  <c:v>3.5</c:v>
                </c:pt>
                <c:pt idx="3721">
                  <c:v>7</c:v>
                </c:pt>
                <c:pt idx="3722">
                  <c:v>15.2</c:v>
                </c:pt>
                <c:pt idx="3723">
                  <c:v>14</c:v>
                </c:pt>
                <c:pt idx="3724">
                  <c:v>15.2</c:v>
                </c:pt>
                <c:pt idx="3725">
                  <c:v>2.8</c:v>
                </c:pt>
                <c:pt idx="3726">
                  <c:v>3.8</c:v>
                </c:pt>
                <c:pt idx="3727">
                  <c:v>2.5</c:v>
                </c:pt>
                <c:pt idx="3728">
                  <c:v>3.8</c:v>
                </c:pt>
                <c:pt idx="3729">
                  <c:v>7</c:v>
                </c:pt>
                <c:pt idx="3730">
                  <c:v>2.5</c:v>
                </c:pt>
                <c:pt idx="3731">
                  <c:v>3.8</c:v>
                </c:pt>
                <c:pt idx="3732">
                  <c:v>17.5</c:v>
                </c:pt>
                <c:pt idx="3733">
                  <c:v>2.8</c:v>
                </c:pt>
                <c:pt idx="3734">
                  <c:v>5</c:v>
                </c:pt>
                <c:pt idx="3735">
                  <c:v>2.8</c:v>
                </c:pt>
                <c:pt idx="3736">
                  <c:v>7.5</c:v>
                </c:pt>
                <c:pt idx="3737">
                  <c:v>15.2</c:v>
                </c:pt>
                <c:pt idx="3738">
                  <c:v>5</c:v>
                </c:pt>
                <c:pt idx="3739">
                  <c:v>8.3999999999999986</c:v>
                </c:pt>
                <c:pt idx="3740">
                  <c:v>7</c:v>
                </c:pt>
                <c:pt idx="3741">
                  <c:v>8.3999999999999986</c:v>
                </c:pt>
                <c:pt idx="3742">
                  <c:v>19</c:v>
                </c:pt>
                <c:pt idx="3743">
                  <c:v>5.6</c:v>
                </c:pt>
                <c:pt idx="3744">
                  <c:v>4.4000000000000004</c:v>
                </c:pt>
                <c:pt idx="3745">
                  <c:v>5.6</c:v>
                </c:pt>
                <c:pt idx="3746">
                  <c:v>10.5</c:v>
                </c:pt>
                <c:pt idx="3747">
                  <c:v>4.4000000000000004</c:v>
                </c:pt>
                <c:pt idx="3748">
                  <c:v>8.8000000000000007</c:v>
                </c:pt>
                <c:pt idx="3749">
                  <c:v>6.6000000000000005</c:v>
                </c:pt>
                <c:pt idx="3750">
                  <c:v>3.8</c:v>
                </c:pt>
                <c:pt idx="3751">
                  <c:v>7.5</c:v>
                </c:pt>
                <c:pt idx="3752">
                  <c:v>11.399999999999999</c:v>
                </c:pt>
                <c:pt idx="3753">
                  <c:v>7.5</c:v>
                </c:pt>
                <c:pt idx="3754">
                  <c:v>3.8</c:v>
                </c:pt>
                <c:pt idx="3755">
                  <c:v>11</c:v>
                </c:pt>
                <c:pt idx="3756">
                  <c:v>11.2</c:v>
                </c:pt>
                <c:pt idx="3757">
                  <c:v>4.4000000000000004</c:v>
                </c:pt>
                <c:pt idx="3758">
                  <c:v>14</c:v>
                </c:pt>
                <c:pt idx="3759">
                  <c:v>7.6</c:v>
                </c:pt>
                <c:pt idx="3760">
                  <c:v>8.8000000000000007</c:v>
                </c:pt>
                <c:pt idx="3761">
                  <c:v>17.5</c:v>
                </c:pt>
                <c:pt idx="3762">
                  <c:v>6.6000000000000005</c:v>
                </c:pt>
                <c:pt idx="3763">
                  <c:v>5.6</c:v>
                </c:pt>
                <c:pt idx="3764">
                  <c:v>5.6</c:v>
                </c:pt>
                <c:pt idx="3765">
                  <c:v>17.5</c:v>
                </c:pt>
                <c:pt idx="3766">
                  <c:v>11.399999999999999</c:v>
                </c:pt>
                <c:pt idx="3767">
                  <c:v>2.8</c:v>
                </c:pt>
                <c:pt idx="3768">
                  <c:v>11</c:v>
                </c:pt>
                <c:pt idx="3769">
                  <c:v>5.6</c:v>
                </c:pt>
                <c:pt idx="3770">
                  <c:v>3.5</c:v>
                </c:pt>
                <c:pt idx="3771">
                  <c:v>14</c:v>
                </c:pt>
                <c:pt idx="3772">
                  <c:v>15.2</c:v>
                </c:pt>
                <c:pt idx="3773">
                  <c:v>14</c:v>
                </c:pt>
                <c:pt idx="3774">
                  <c:v>8.3999999999999986</c:v>
                </c:pt>
                <c:pt idx="3775">
                  <c:v>5.6</c:v>
                </c:pt>
                <c:pt idx="3776">
                  <c:v>6.6000000000000005</c:v>
                </c:pt>
                <c:pt idx="3777">
                  <c:v>2.5</c:v>
                </c:pt>
                <c:pt idx="3778">
                  <c:v>7.6</c:v>
                </c:pt>
                <c:pt idx="3779">
                  <c:v>7</c:v>
                </c:pt>
                <c:pt idx="3780">
                  <c:v>3.8</c:v>
                </c:pt>
                <c:pt idx="3781">
                  <c:v>19</c:v>
                </c:pt>
                <c:pt idx="3782">
                  <c:v>15.2</c:v>
                </c:pt>
                <c:pt idx="3783">
                  <c:v>14</c:v>
                </c:pt>
                <c:pt idx="3784">
                  <c:v>12.5</c:v>
                </c:pt>
                <c:pt idx="3785">
                  <c:v>10</c:v>
                </c:pt>
                <c:pt idx="3786">
                  <c:v>2.5</c:v>
                </c:pt>
                <c:pt idx="3787">
                  <c:v>2.2000000000000002</c:v>
                </c:pt>
                <c:pt idx="3788">
                  <c:v>19</c:v>
                </c:pt>
                <c:pt idx="3789">
                  <c:v>19</c:v>
                </c:pt>
                <c:pt idx="3790">
                  <c:v>5</c:v>
                </c:pt>
                <c:pt idx="3791">
                  <c:v>14</c:v>
                </c:pt>
                <c:pt idx="3792">
                  <c:v>2.8</c:v>
                </c:pt>
                <c:pt idx="3793">
                  <c:v>10</c:v>
                </c:pt>
                <c:pt idx="3794">
                  <c:v>10.5</c:v>
                </c:pt>
                <c:pt idx="3795">
                  <c:v>7</c:v>
                </c:pt>
                <c:pt idx="3796">
                  <c:v>3.5</c:v>
                </c:pt>
                <c:pt idx="3797">
                  <c:v>7</c:v>
                </c:pt>
                <c:pt idx="3798">
                  <c:v>14</c:v>
                </c:pt>
                <c:pt idx="3799">
                  <c:v>6.6000000000000005</c:v>
                </c:pt>
                <c:pt idx="3800">
                  <c:v>14</c:v>
                </c:pt>
                <c:pt idx="3801">
                  <c:v>11</c:v>
                </c:pt>
                <c:pt idx="3802">
                  <c:v>2.2000000000000002</c:v>
                </c:pt>
                <c:pt idx="3803">
                  <c:v>8.8000000000000007</c:v>
                </c:pt>
                <c:pt idx="3804">
                  <c:v>10</c:v>
                </c:pt>
                <c:pt idx="3805">
                  <c:v>15.2</c:v>
                </c:pt>
                <c:pt idx="3806">
                  <c:v>6.6000000000000005</c:v>
                </c:pt>
                <c:pt idx="3807">
                  <c:v>2.5</c:v>
                </c:pt>
                <c:pt idx="3808">
                  <c:v>8.8000000000000007</c:v>
                </c:pt>
                <c:pt idx="3809">
                  <c:v>3.8</c:v>
                </c:pt>
                <c:pt idx="3810">
                  <c:v>7</c:v>
                </c:pt>
                <c:pt idx="3811">
                  <c:v>3.5</c:v>
                </c:pt>
                <c:pt idx="3812">
                  <c:v>3.5</c:v>
                </c:pt>
                <c:pt idx="3813">
                  <c:v>7.6</c:v>
                </c:pt>
                <c:pt idx="3814">
                  <c:v>8.3999999999999986</c:v>
                </c:pt>
                <c:pt idx="3815">
                  <c:v>7</c:v>
                </c:pt>
                <c:pt idx="3816">
                  <c:v>19</c:v>
                </c:pt>
                <c:pt idx="3817">
                  <c:v>7.6</c:v>
                </c:pt>
                <c:pt idx="3818">
                  <c:v>15.2</c:v>
                </c:pt>
                <c:pt idx="3819">
                  <c:v>14</c:v>
                </c:pt>
                <c:pt idx="3820">
                  <c:v>7.6</c:v>
                </c:pt>
                <c:pt idx="3821">
                  <c:v>7</c:v>
                </c:pt>
                <c:pt idx="3822">
                  <c:v>10.5</c:v>
                </c:pt>
                <c:pt idx="3823">
                  <c:v>4.4000000000000004</c:v>
                </c:pt>
                <c:pt idx="3824">
                  <c:v>10.5</c:v>
                </c:pt>
                <c:pt idx="3825">
                  <c:v>7.6</c:v>
                </c:pt>
                <c:pt idx="3826">
                  <c:v>10</c:v>
                </c:pt>
                <c:pt idx="3827">
                  <c:v>15.2</c:v>
                </c:pt>
                <c:pt idx="3828">
                  <c:v>17.5</c:v>
                </c:pt>
                <c:pt idx="3829">
                  <c:v>10</c:v>
                </c:pt>
                <c:pt idx="3830">
                  <c:v>14</c:v>
                </c:pt>
                <c:pt idx="3831">
                  <c:v>10</c:v>
                </c:pt>
                <c:pt idx="3832">
                  <c:v>15.2</c:v>
                </c:pt>
                <c:pt idx="3833">
                  <c:v>19</c:v>
                </c:pt>
                <c:pt idx="3834">
                  <c:v>5</c:v>
                </c:pt>
                <c:pt idx="3835">
                  <c:v>3.8</c:v>
                </c:pt>
                <c:pt idx="3836">
                  <c:v>2.2000000000000002</c:v>
                </c:pt>
                <c:pt idx="3837">
                  <c:v>2.2000000000000002</c:v>
                </c:pt>
                <c:pt idx="3838">
                  <c:v>2.5</c:v>
                </c:pt>
                <c:pt idx="3839">
                  <c:v>19</c:v>
                </c:pt>
                <c:pt idx="3840">
                  <c:v>11.399999999999999</c:v>
                </c:pt>
                <c:pt idx="3841">
                  <c:v>19</c:v>
                </c:pt>
                <c:pt idx="3842">
                  <c:v>5.6</c:v>
                </c:pt>
                <c:pt idx="3843">
                  <c:v>2.5</c:v>
                </c:pt>
                <c:pt idx="3844">
                  <c:v>8.3999999999999986</c:v>
                </c:pt>
                <c:pt idx="3845">
                  <c:v>6.6000000000000005</c:v>
                </c:pt>
                <c:pt idx="3846">
                  <c:v>2.5</c:v>
                </c:pt>
                <c:pt idx="3847">
                  <c:v>8.8000000000000007</c:v>
                </c:pt>
                <c:pt idx="3848">
                  <c:v>10.5</c:v>
                </c:pt>
                <c:pt idx="3849">
                  <c:v>2.8</c:v>
                </c:pt>
                <c:pt idx="3850">
                  <c:v>2.8</c:v>
                </c:pt>
                <c:pt idx="3851">
                  <c:v>10</c:v>
                </c:pt>
                <c:pt idx="3852">
                  <c:v>3.5</c:v>
                </c:pt>
                <c:pt idx="3853">
                  <c:v>15.2</c:v>
                </c:pt>
                <c:pt idx="3854">
                  <c:v>11.2</c:v>
                </c:pt>
                <c:pt idx="3855">
                  <c:v>7.5</c:v>
                </c:pt>
                <c:pt idx="3856">
                  <c:v>6.6000000000000005</c:v>
                </c:pt>
                <c:pt idx="3857">
                  <c:v>8.3999999999999986</c:v>
                </c:pt>
                <c:pt idx="3858">
                  <c:v>11.399999999999999</c:v>
                </c:pt>
                <c:pt idx="3859">
                  <c:v>7</c:v>
                </c:pt>
                <c:pt idx="3860">
                  <c:v>10.5</c:v>
                </c:pt>
                <c:pt idx="3861">
                  <c:v>7.6</c:v>
                </c:pt>
                <c:pt idx="3862">
                  <c:v>10.5</c:v>
                </c:pt>
                <c:pt idx="3863">
                  <c:v>11</c:v>
                </c:pt>
                <c:pt idx="3864">
                  <c:v>14</c:v>
                </c:pt>
                <c:pt idx="3865">
                  <c:v>15.2</c:v>
                </c:pt>
                <c:pt idx="3866">
                  <c:v>11</c:v>
                </c:pt>
                <c:pt idx="3867">
                  <c:v>10.5</c:v>
                </c:pt>
                <c:pt idx="3868">
                  <c:v>14</c:v>
                </c:pt>
                <c:pt idx="3869">
                  <c:v>8.8000000000000007</c:v>
                </c:pt>
                <c:pt idx="3870">
                  <c:v>2.8</c:v>
                </c:pt>
                <c:pt idx="3871">
                  <c:v>10</c:v>
                </c:pt>
                <c:pt idx="3872">
                  <c:v>14</c:v>
                </c:pt>
                <c:pt idx="3873">
                  <c:v>11.2</c:v>
                </c:pt>
                <c:pt idx="3874">
                  <c:v>7</c:v>
                </c:pt>
                <c:pt idx="3875">
                  <c:v>11.399999999999999</c:v>
                </c:pt>
                <c:pt idx="3876">
                  <c:v>11.399999999999999</c:v>
                </c:pt>
                <c:pt idx="3877">
                  <c:v>5</c:v>
                </c:pt>
                <c:pt idx="3878">
                  <c:v>10.5</c:v>
                </c:pt>
                <c:pt idx="3879">
                  <c:v>10.5</c:v>
                </c:pt>
                <c:pt idx="3880">
                  <c:v>3.8</c:v>
                </c:pt>
                <c:pt idx="3881">
                  <c:v>2.2000000000000002</c:v>
                </c:pt>
                <c:pt idx="3882">
                  <c:v>8.8000000000000007</c:v>
                </c:pt>
                <c:pt idx="3883">
                  <c:v>19</c:v>
                </c:pt>
                <c:pt idx="3884">
                  <c:v>10.5</c:v>
                </c:pt>
                <c:pt idx="3885">
                  <c:v>3.8</c:v>
                </c:pt>
                <c:pt idx="3886">
                  <c:v>7.6</c:v>
                </c:pt>
                <c:pt idx="3887">
                  <c:v>3.5</c:v>
                </c:pt>
                <c:pt idx="3888">
                  <c:v>19</c:v>
                </c:pt>
                <c:pt idx="3889">
                  <c:v>15.2</c:v>
                </c:pt>
                <c:pt idx="3890">
                  <c:v>7.6</c:v>
                </c:pt>
                <c:pt idx="3891">
                  <c:v>19</c:v>
                </c:pt>
                <c:pt idx="3892">
                  <c:v>3.8</c:v>
                </c:pt>
                <c:pt idx="3893">
                  <c:v>2.8</c:v>
                </c:pt>
                <c:pt idx="3894">
                  <c:v>7.6</c:v>
                </c:pt>
                <c:pt idx="3895">
                  <c:v>3.8</c:v>
                </c:pt>
                <c:pt idx="3896">
                  <c:v>2.5</c:v>
                </c:pt>
                <c:pt idx="3897">
                  <c:v>2.5</c:v>
                </c:pt>
                <c:pt idx="3898">
                  <c:v>11</c:v>
                </c:pt>
                <c:pt idx="3899">
                  <c:v>10.5</c:v>
                </c:pt>
                <c:pt idx="3900">
                  <c:v>8.8000000000000007</c:v>
                </c:pt>
                <c:pt idx="3901">
                  <c:v>11.399999999999999</c:v>
                </c:pt>
                <c:pt idx="3902">
                  <c:v>5.6</c:v>
                </c:pt>
                <c:pt idx="3903">
                  <c:v>17.5</c:v>
                </c:pt>
                <c:pt idx="3904">
                  <c:v>14</c:v>
                </c:pt>
                <c:pt idx="3905">
                  <c:v>14</c:v>
                </c:pt>
                <c:pt idx="3906">
                  <c:v>2.2000000000000002</c:v>
                </c:pt>
                <c:pt idx="3907">
                  <c:v>5</c:v>
                </c:pt>
                <c:pt idx="3908">
                  <c:v>10.5</c:v>
                </c:pt>
                <c:pt idx="3909">
                  <c:v>4.4000000000000004</c:v>
                </c:pt>
                <c:pt idx="3910">
                  <c:v>6.6000000000000005</c:v>
                </c:pt>
                <c:pt idx="3911">
                  <c:v>11.2</c:v>
                </c:pt>
                <c:pt idx="3912">
                  <c:v>3.5</c:v>
                </c:pt>
                <c:pt idx="3913">
                  <c:v>7</c:v>
                </c:pt>
                <c:pt idx="3914">
                  <c:v>7</c:v>
                </c:pt>
                <c:pt idx="3915">
                  <c:v>8.3999999999999986</c:v>
                </c:pt>
                <c:pt idx="3916">
                  <c:v>3.5</c:v>
                </c:pt>
                <c:pt idx="3917">
                  <c:v>10.5</c:v>
                </c:pt>
                <c:pt idx="3918">
                  <c:v>14</c:v>
                </c:pt>
                <c:pt idx="3919">
                  <c:v>14</c:v>
                </c:pt>
                <c:pt idx="3920">
                  <c:v>7</c:v>
                </c:pt>
                <c:pt idx="3921">
                  <c:v>14</c:v>
                </c:pt>
                <c:pt idx="3922">
                  <c:v>2.8</c:v>
                </c:pt>
                <c:pt idx="3923">
                  <c:v>2.5</c:v>
                </c:pt>
                <c:pt idx="3924">
                  <c:v>8.8000000000000007</c:v>
                </c:pt>
                <c:pt idx="3925">
                  <c:v>8.3999999999999986</c:v>
                </c:pt>
                <c:pt idx="3926">
                  <c:v>7.6</c:v>
                </c:pt>
                <c:pt idx="3927">
                  <c:v>6.6000000000000005</c:v>
                </c:pt>
                <c:pt idx="3928">
                  <c:v>14</c:v>
                </c:pt>
                <c:pt idx="3929">
                  <c:v>14</c:v>
                </c:pt>
                <c:pt idx="3930">
                  <c:v>11</c:v>
                </c:pt>
                <c:pt idx="3931">
                  <c:v>3.8</c:v>
                </c:pt>
                <c:pt idx="3932">
                  <c:v>11</c:v>
                </c:pt>
                <c:pt idx="3933">
                  <c:v>7.6</c:v>
                </c:pt>
                <c:pt idx="3934">
                  <c:v>11.2</c:v>
                </c:pt>
                <c:pt idx="3935">
                  <c:v>2.2000000000000002</c:v>
                </c:pt>
                <c:pt idx="3936">
                  <c:v>4.4000000000000004</c:v>
                </c:pt>
                <c:pt idx="3937">
                  <c:v>14</c:v>
                </c:pt>
                <c:pt idx="3938">
                  <c:v>11</c:v>
                </c:pt>
                <c:pt idx="3939">
                  <c:v>8.3999999999999986</c:v>
                </c:pt>
                <c:pt idx="3940">
                  <c:v>5</c:v>
                </c:pt>
                <c:pt idx="3941">
                  <c:v>3.8</c:v>
                </c:pt>
                <c:pt idx="3942">
                  <c:v>11</c:v>
                </c:pt>
                <c:pt idx="3943">
                  <c:v>6.6000000000000005</c:v>
                </c:pt>
                <c:pt idx="3944">
                  <c:v>6.6000000000000005</c:v>
                </c:pt>
                <c:pt idx="3945">
                  <c:v>10</c:v>
                </c:pt>
                <c:pt idx="3946">
                  <c:v>2.2000000000000002</c:v>
                </c:pt>
                <c:pt idx="3947">
                  <c:v>11</c:v>
                </c:pt>
                <c:pt idx="3948">
                  <c:v>2.2000000000000002</c:v>
                </c:pt>
                <c:pt idx="3949">
                  <c:v>2.5</c:v>
                </c:pt>
                <c:pt idx="3950">
                  <c:v>7.5</c:v>
                </c:pt>
                <c:pt idx="3951">
                  <c:v>5.6</c:v>
                </c:pt>
                <c:pt idx="3952">
                  <c:v>2.8</c:v>
                </c:pt>
                <c:pt idx="3953">
                  <c:v>5.6</c:v>
                </c:pt>
                <c:pt idx="3954">
                  <c:v>2.8</c:v>
                </c:pt>
                <c:pt idx="3955">
                  <c:v>2.2000000000000002</c:v>
                </c:pt>
                <c:pt idx="3956">
                  <c:v>7.5</c:v>
                </c:pt>
                <c:pt idx="3957">
                  <c:v>8.8000000000000007</c:v>
                </c:pt>
                <c:pt idx="3958">
                  <c:v>11</c:v>
                </c:pt>
                <c:pt idx="3959">
                  <c:v>5.6</c:v>
                </c:pt>
                <c:pt idx="3960">
                  <c:v>2.2000000000000002</c:v>
                </c:pt>
                <c:pt idx="3961">
                  <c:v>7.5</c:v>
                </c:pt>
                <c:pt idx="3962">
                  <c:v>7</c:v>
                </c:pt>
                <c:pt idx="3963">
                  <c:v>6.6000000000000005</c:v>
                </c:pt>
                <c:pt idx="3964">
                  <c:v>2.2000000000000002</c:v>
                </c:pt>
                <c:pt idx="3965">
                  <c:v>14</c:v>
                </c:pt>
                <c:pt idx="3966">
                  <c:v>11.2</c:v>
                </c:pt>
                <c:pt idx="3967">
                  <c:v>3.5</c:v>
                </c:pt>
                <c:pt idx="3968">
                  <c:v>10.5</c:v>
                </c:pt>
                <c:pt idx="3969">
                  <c:v>17.5</c:v>
                </c:pt>
                <c:pt idx="3970">
                  <c:v>7</c:v>
                </c:pt>
                <c:pt idx="3971">
                  <c:v>6.6000000000000005</c:v>
                </c:pt>
                <c:pt idx="3972">
                  <c:v>7.6</c:v>
                </c:pt>
                <c:pt idx="3973">
                  <c:v>10.5</c:v>
                </c:pt>
                <c:pt idx="3974">
                  <c:v>17.5</c:v>
                </c:pt>
                <c:pt idx="3975">
                  <c:v>2.8</c:v>
                </c:pt>
                <c:pt idx="3976">
                  <c:v>2.5</c:v>
                </c:pt>
                <c:pt idx="3977">
                  <c:v>19</c:v>
                </c:pt>
                <c:pt idx="3978">
                  <c:v>11</c:v>
                </c:pt>
                <c:pt idx="3979">
                  <c:v>15.2</c:v>
                </c:pt>
                <c:pt idx="3980">
                  <c:v>11</c:v>
                </c:pt>
                <c:pt idx="3981">
                  <c:v>7.6</c:v>
                </c:pt>
                <c:pt idx="3982">
                  <c:v>8.8000000000000007</c:v>
                </c:pt>
                <c:pt idx="3983">
                  <c:v>5.6</c:v>
                </c:pt>
                <c:pt idx="3984">
                  <c:v>8.8000000000000007</c:v>
                </c:pt>
                <c:pt idx="3985">
                  <c:v>10</c:v>
                </c:pt>
                <c:pt idx="3986">
                  <c:v>12.5</c:v>
                </c:pt>
                <c:pt idx="3987">
                  <c:v>2.2000000000000002</c:v>
                </c:pt>
                <c:pt idx="3988">
                  <c:v>7</c:v>
                </c:pt>
                <c:pt idx="3989">
                  <c:v>3.5</c:v>
                </c:pt>
                <c:pt idx="3990">
                  <c:v>11.2</c:v>
                </c:pt>
                <c:pt idx="3991">
                  <c:v>4.4000000000000004</c:v>
                </c:pt>
                <c:pt idx="3992">
                  <c:v>7</c:v>
                </c:pt>
                <c:pt idx="3993">
                  <c:v>14</c:v>
                </c:pt>
                <c:pt idx="3994">
                  <c:v>3.8</c:v>
                </c:pt>
                <c:pt idx="3995">
                  <c:v>7.5</c:v>
                </c:pt>
                <c:pt idx="3996">
                  <c:v>2.8</c:v>
                </c:pt>
                <c:pt idx="3997">
                  <c:v>11.399999999999999</c:v>
                </c:pt>
                <c:pt idx="3998">
                  <c:v>7.6</c:v>
                </c:pt>
                <c:pt idx="3999">
                  <c:v>10</c:v>
                </c:pt>
                <c:pt idx="4000">
                  <c:v>11</c:v>
                </c:pt>
                <c:pt idx="4001">
                  <c:v>3.5</c:v>
                </c:pt>
                <c:pt idx="4002">
                  <c:v>11.2</c:v>
                </c:pt>
                <c:pt idx="4003">
                  <c:v>7</c:v>
                </c:pt>
                <c:pt idx="4004">
                  <c:v>14</c:v>
                </c:pt>
                <c:pt idx="4005">
                  <c:v>2.5</c:v>
                </c:pt>
                <c:pt idx="4006">
                  <c:v>12.5</c:v>
                </c:pt>
                <c:pt idx="4007">
                  <c:v>8.8000000000000007</c:v>
                </c:pt>
                <c:pt idx="4008">
                  <c:v>3.5</c:v>
                </c:pt>
                <c:pt idx="4009">
                  <c:v>14</c:v>
                </c:pt>
                <c:pt idx="4010">
                  <c:v>17.5</c:v>
                </c:pt>
                <c:pt idx="4011">
                  <c:v>14</c:v>
                </c:pt>
                <c:pt idx="4012">
                  <c:v>12.5</c:v>
                </c:pt>
                <c:pt idx="4013">
                  <c:v>11</c:v>
                </c:pt>
                <c:pt idx="4014">
                  <c:v>19</c:v>
                </c:pt>
                <c:pt idx="4015">
                  <c:v>11.2</c:v>
                </c:pt>
                <c:pt idx="4016">
                  <c:v>12.5</c:v>
                </c:pt>
                <c:pt idx="4017">
                  <c:v>12.5</c:v>
                </c:pt>
                <c:pt idx="4018">
                  <c:v>3.8</c:v>
                </c:pt>
                <c:pt idx="4019">
                  <c:v>5.6</c:v>
                </c:pt>
                <c:pt idx="4020">
                  <c:v>10</c:v>
                </c:pt>
                <c:pt idx="4021">
                  <c:v>8.8000000000000007</c:v>
                </c:pt>
                <c:pt idx="4022">
                  <c:v>17.5</c:v>
                </c:pt>
                <c:pt idx="4023">
                  <c:v>8.3999999999999986</c:v>
                </c:pt>
                <c:pt idx="4024">
                  <c:v>5.6</c:v>
                </c:pt>
                <c:pt idx="4025">
                  <c:v>17.5</c:v>
                </c:pt>
                <c:pt idx="4026">
                  <c:v>14</c:v>
                </c:pt>
                <c:pt idx="4027">
                  <c:v>14</c:v>
                </c:pt>
                <c:pt idx="4028">
                  <c:v>10</c:v>
                </c:pt>
                <c:pt idx="4029">
                  <c:v>3.5</c:v>
                </c:pt>
                <c:pt idx="4030">
                  <c:v>19</c:v>
                </c:pt>
                <c:pt idx="4031">
                  <c:v>7.6</c:v>
                </c:pt>
                <c:pt idx="4032">
                  <c:v>3.8</c:v>
                </c:pt>
                <c:pt idx="4033">
                  <c:v>7</c:v>
                </c:pt>
                <c:pt idx="4034">
                  <c:v>8.8000000000000007</c:v>
                </c:pt>
                <c:pt idx="4035">
                  <c:v>7.6</c:v>
                </c:pt>
                <c:pt idx="4036">
                  <c:v>10</c:v>
                </c:pt>
                <c:pt idx="4037">
                  <c:v>7.5</c:v>
                </c:pt>
                <c:pt idx="4038">
                  <c:v>7.5</c:v>
                </c:pt>
                <c:pt idx="4039">
                  <c:v>10</c:v>
                </c:pt>
                <c:pt idx="4040">
                  <c:v>8.8000000000000007</c:v>
                </c:pt>
                <c:pt idx="4041">
                  <c:v>2.5</c:v>
                </c:pt>
                <c:pt idx="4042">
                  <c:v>4.4000000000000004</c:v>
                </c:pt>
                <c:pt idx="4043">
                  <c:v>7</c:v>
                </c:pt>
                <c:pt idx="4044">
                  <c:v>2.2000000000000002</c:v>
                </c:pt>
                <c:pt idx="4045">
                  <c:v>2.5</c:v>
                </c:pt>
                <c:pt idx="4046">
                  <c:v>5</c:v>
                </c:pt>
                <c:pt idx="4047">
                  <c:v>2.5</c:v>
                </c:pt>
                <c:pt idx="4048">
                  <c:v>2.5</c:v>
                </c:pt>
                <c:pt idx="4049">
                  <c:v>19</c:v>
                </c:pt>
                <c:pt idx="4050">
                  <c:v>11.2</c:v>
                </c:pt>
                <c:pt idx="4051">
                  <c:v>7</c:v>
                </c:pt>
                <c:pt idx="4052">
                  <c:v>11.399999999999999</c:v>
                </c:pt>
                <c:pt idx="4053">
                  <c:v>2.2000000000000002</c:v>
                </c:pt>
                <c:pt idx="4054">
                  <c:v>4.4000000000000004</c:v>
                </c:pt>
                <c:pt idx="4055">
                  <c:v>10.5</c:v>
                </c:pt>
                <c:pt idx="4056">
                  <c:v>3.8</c:v>
                </c:pt>
                <c:pt idx="4057">
                  <c:v>2.8</c:v>
                </c:pt>
                <c:pt idx="4058">
                  <c:v>7.6</c:v>
                </c:pt>
                <c:pt idx="4059">
                  <c:v>17.5</c:v>
                </c:pt>
                <c:pt idx="4060">
                  <c:v>2.8</c:v>
                </c:pt>
                <c:pt idx="4061">
                  <c:v>7.5</c:v>
                </c:pt>
                <c:pt idx="4062">
                  <c:v>14</c:v>
                </c:pt>
                <c:pt idx="4063">
                  <c:v>7</c:v>
                </c:pt>
                <c:pt idx="4064">
                  <c:v>3.5</c:v>
                </c:pt>
                <c:pt idx="4065">
                  <c:v>11.2</c:v>
                </c:pt>
                <c:pt idx="4066">
                  <c:v>19</c:v>
                </c:pt>
                <c:pt idx="4067">
                  <c:v>17.5</c:v>
                </c:pt>
                <c:pt idx="4068">
                  <c:v>10.5</c:v>
                </c:pt>
                <c:pt idx="4069">
                  <c:v>2.2000000000000002</c:v>
                </c:pt>
                <c:pt idx="4070">
                  <c:v>14</c:v>
                </c:pt>
                <c:pt idx="4071">
                  <c:v>5</c:v>
                </c:pt>
                <c:pt idx="4072">
                  <c:v>2.5</c:v>
                </c:pt>
                <c:pt idx="4073">
                  <c:v>3.5</c:v>
                </c:pt>
                <c:pt idx="4074">
                  <c:v>5</c:v>
                </c:pt>
                <c:pt idx="4075">
                  <c:v>14</c:v>
                </c:pt>
                <c:pt idx="4076">
                  <c:v>14</c:v>
                </c:pt>
                <c:pt idx="4077">
                  <c:v>10</c:v>
                </c:pt>
                <c:pt idx="4078">
                  <c:v>15.2</c:v>
                </c:pt>
                <c:pt idx="4079">
                  <c:v>4.4000000000000004</c:v>
                </c:pt>
                <c:pt idx="4080">
                  <c:v>2.2000000000000002</c:v>
                </c:pt>
                <c:pt idx="4081">
                  <c:v>10</c:v>
                </c:pt>
                <c:pt idx="4082">
                  <c:v>5.6</c:v>
                </c:pt>
                <c:pt idx="4083">
                  <c:v>15.2</c:v>
                </c:pt>
                <c:pt idx="4084">
                  <c:v>8.8000000000000007</c:v>
                </c:pt>
                <c:pt idx="4085">
                  <c:v>8.3999999999999986</c:v>
                </c:pt>
                <c:pt idx="4086">
                  <c:v>14</c:v>
                </c:pt>
                <c:pt idx="4087">
                  <c:v>8.8000000000000007</c:v>
                </c:pt>
                <c:pt idx="4088">
                  <c:v>6.6000000000000005</c:v>
                </c:pt>
                <c:pt idx="4089">
                  <c:v>5</c:v>
                </c:pt>
                <c:pt idx="4090">
                  <c:v>7.6</c:v>
                </c:pt>
                <c:pt idx="4091">
                  <c:v>10.5</c:v>
                </c:pt>
                <c:pt idx="4092">
                  <c:v>7</c:v>
                </c:pt>
                <c:pt idx="4093">
                  <c:v>7</c:v>
                </c:pt>
                <c:pt idx="4094">
                  <c:v>14</c:v>
                </c:pt>
                <c:pt idx="4095">
                  <c:v>11.2</c:v>
                </c:pt>
                <c:pt idx="4096">
                  <c:v>8.3999999999999986</c:v>
                </c:pt>
                <c:pt idx="4097">
                  <c:v>11.2</c:v>
                </c:pt>
                <c:pt idx="4098">
                  <c:v>12.5</c:v>
                </c:pt>
                <c:pt idx="4099">
                  <c:v>8.3999999999999986</c:v>
                </c:pt>
                <c:pt idx="4100">
                  <c:v>17.5</c:v>
                </c:pt>
                <c:pt idx="4101">
                  <c:v>8.3999999999999986</c:v>
                </c:pt>
                <c:pt idx="4102">
                  <c:v>11.2</c:v>
                </c:pt>
                <c:pt idx="4103">
                  <c:v>3.5</c:v>
                </c:pt>
                <c:pt idx="4104">
                  <c:v>10</c:v>
                </c:pt>
                <c:pt idx="4105">
                  <c:v>5.6</c:v>
                </c:pt>
                <c:pt idx="4106">
                  <c:v>11.2</c:v>
                </c:pt>
                <c:pt idx="4107">
                  <c:v>14</c:v>
                </c:pt>
                <c:pt idx="4108">
                  <c:v>5</c:v>
                </c:pt>
                <c:pt idx="4109">
                  <c:v>11.399999999999999</c:v>
                </c:pt>
                <c:pt idx="4110">
                  <c:v>19</c:v>
                </c:pt>
                <c:pt idx="4111">
                  <c:v>14</c:v>
                </c:pt>
                <c:pt idx="4112">
                  <c:v>14</c:v>
                </c:pt>
                <c:pt idx="4113">
                  <c:v>7</c:v>
                </c:pt>
                <c:pt idx="4114">
                  <c:v>6.6000000000000005</c:v>
                </c:pt>
                <c:pt idx="4115">
                  <c:v>7</c:v>
                </c:pt>
                <c:pt idx="4116">
                  <c:v>3.5</c:v>
                </c:pt>
                <c:pt idx="4117">
                  <c:v>12.5</c:v>
                </c:pt>
                <c:pt idx="4118">
                  <c:v>17.5</c:v>
                </c:pt>
                <c:pt idx="4119">
                  <c:v>21</c:v>
                </c:pt>
                <c:pt idx="4120">
                  <c:v>2.5</c:v>
                </c:pt>
                <c:pt idx="4121">
                  <c:v>11.399999999999999</c:v>
                </c:pt>
                <c:pt idx="4122">
                  <c:v>2.5</c:v>
                </c:pt>
                <c:pt idx="4123">
                  <c:v>11</c:v>
                </c:pt>
                <c:pt idx="4124">
                  <c:v>5.6</c:v>
                </c:pt>
                <c:pt idx="4125">
                  <c:v>14</c:v>
                </c:pt>
                <c:pt idx="4126">
                  <c:v>10.5</c:v>
                </c:pt>
                <c:pt idx="4127">
                  <c:v>17.5</c:v>
                </c:pt>
                <c:pt idx="4128">
                  <c:v>7.5</c:v>
                </c:pt>
                <c:pt idx="4129">
                  <c:v>3.8</c:v>
                </c:pt>
                <c:pt idx="4130">
                  <c:v>14</c:v>
                </c:pt>
                <c:pt idx="4131">
                  <c:v>11.2</c:v>
                </c:pt>
                <c:pt idx="4132">
                  <c:v>14</c:v>
                </c:pt>
                <c:pt idx="4133">
                  <c:v>19</c:v>
                </c:pt>
                <c:pt idx="4134">
                  <c:v>12.5</c:v>
                </c:pt>
                <c:pt idx="4135">
                  <c:v>12.5</c:v>
                </c:pt>
                <c:pt idx="4136">
                  <c:v>19</c:v>
                </c:pt>
                <c:pt idx="4137">
                  <c:v>2.2000000000000002</c:v>
                </c:pt>
                <c:pt idx="4138">
                  <c:v>14</c:v>
                </c:pt>
                <c:pt idx="4139">
                  <c:v>3.5</c:v>
                </c:pt>
                <c:pt idx="4140">
                  <c:v>14</c:v>
                </c:pt>
                <c:pt idx="4141">
                  <c:v>7.6</c:v>
                </c:pt>
                <c:pt idx="4142">
                  <c:v>8.8000000000000007</c:v>
                </c:pt>
                <c:pt idx="4143">
                  <c:v>11</c:v>
                </c:pt>
                <c:pt idx="4144">
                  <c:v>5.6</c:v>
                </c:pt>
                <c:pt idx="4145">
                  <c:v>3.8</c:v>
                </c:pt>
                <c:pt idx="4146">
                  <c:v>4.4000000000000004</c:v>
                </c:pt>
                <c:pt idx="4147">
                  <c:v>2.8</c:v>
                </c:pt>
                <c:pt idx="4148">
                  <c:v>10</c:v>
                </c:pt>
                <c:pt idx="4149">
                  <c:v>8.3999999999999986</c:v>
                </c:pt>
                <c:pt idx="4150">
                  <c:v>8.3999999999999986</c:v>
                </c:pt>
                <c:pt idx="4151">
                  <c:v>6.6000000000000005</c:v>
                </c:pt>
                <c:pt idx="4152">
                  <c:v>17.5</c:v>
                </c:pt>
                <c:pt idx="4153">
                  <c:v>10.5</c:v>
                </c:pt>
                <c:pt idx="4154">
                  <c:v>2.5</c:v>
                </c:pt>
                <c:pt idx="4155">
                  <c:v>6.6000000000000005</c:v>
                </c:pt>
                <c:pt idx="4156">
                  <c:v>8.3999999999999986</c:v>
                </c:pt>
                <c:pt idx="4157">
                  <c:v>10</c:v>
                </c:pt>
                <c:pt idx="4158">
                  <c:v>8.3999999999999986</c:v>
                </c:pt>
                <c:pt idx="4159">
                  <c:v>10</c:v>
                </c:pt>
                <c:pt idx="4160">
                  <c:v>10.5</c:v>
                </c:pt>
                <c:pt idx="4161">
                  <c:v>14</c:v>
                </c:pt>
                <c:pt idx="4162">
                  <c:v>12.5</c:v>
                </c:pt>
                <c:pt idx="4163">
                  <c:v>10.5</c:v>
                </c:pt>
                <c:pt idx="4164">
                  <c:v>8.8000000000000007</c:v>
                </c:pt>
                <c:pt idx="4165">
                  <c:v>15.2</c:v>
                </c:pt>
                <c:pt idx="4166">
                  <c:v>2.5</c:v>
                </c:pt>
                <c:pt idx="4167">
                  <c:v>7</c:v>
                </c:pt>
                <c:pt idx="4168">
                  <c:v>3.8</c:v>
                </c:pt>
                <c:pt idx="4169">
                  <c:v>14</c:v>
                </c:pt>
                <c:pt idx="4170">
                  <c:v>10</c:v>
                </c:pt>
                <c:pt idx="4171">
                  <c:v>7</c:v>
                </c:pt>
                <c:pt idx="4172">
                  <c:v>2.8</c:v>
                </c:pt>
                <c:pt idx="4173">
                  <c:v>2.5</c:v>
                </c:pt>
                <c:pt idx="4174">
                  <c:v>2.2000000000000002</c:v>
                </c:pt>
                <c:pt idx="4175">
                  <c:v>11.399999999999999</c:v>
                </c:pt>
                <c:pt idx="4176">
                  <c:v>5</c:v>
                </c:pt>
                <c:pt idx="4177">
                  <c:v>11</c:v>
                </c:pt>
                <c:pt idx="4178">
                  <c:v>3.8</c:v>
                </c:pt>
                <c:pt idx="4179">
                  <c:v>15.2</c:v>
                </c:pt>
                <c:pt idx="4180">
                  <c:v>10</c:v>
                </c:pt>
                <c:pt idx="4181">
                  <c:v>14</c:v>
                </c:pt>
                <c:pt idx="4182">
                  <c:v>19</c:v>
                </c:pt>
                <c:pt idx="4183">
                  <c:v>8.3999999999999986</c:v>
                </c:pt>
                <c:pt idx="4184">
                  <c:v>5.6</c:v>
                </c:pt>
                <c:pt idx="4185">
                  <c:v>17.5</c:v>
                </c:pt>
                <c:pt idx="4186">
                  <c:v>14</c:v>
                </c:pt>
                <c:pt idx="4187">
                  <c:v>14</c:v>
                </c:pt>
                <c:pt idx="4188">
                  <c:v>6.6000000000000005</c:v>
                </c:pt>
                <c:pt idx="4189">
                  <c:v>2.2000000000000002</c:v>
                </c:pt>
                <c:pt idx="4190">
                  <c:v>4.4000000000000004</c:v>
                </c:pt>
                <c:pt idx="4191">
                  <c:v>11</c:v>
                </c:pt>
                <c:pt idx="4192">
                  <c:v>7.5</c:v>
                </c:pt>
                <c:pt idx="4193">
                  <c:v>7.5</c:v>
                </c:pt>
                <c:pt idx="4194">
                  <c:v>11</c:v>
                </c:pt>
                <c:pt idx="4195">
                  <c:v>7</c:v>
                </c:pt>
                <c:pt idx="4196">
                  <c:v>11.399999999999999</c:v>
                </c:pt>
                <c:pt idx="4197">
                  <c:v>14</c:v>
                </c:pt>
                <c:pt idx="4198">
                  <c:v>19</c:v>
                </c:pt>
                <c:pt idx="4199">
                  <c:v>6.6000000000000005</c:v>
                </c:pt>
                <c:pt idx="4200">
                  <c:v>5</c:v>
                </c:pt>
                <c:pt idx="4201">
                  <c:v>15.2</c:v>
                </c:pt>
                <c:pt idx="4202">
                  <c:v>5.6</c:v>
                </c:pt>
                <c:pt idx="4203">
                  <c:v>5.6</c:v>
                </c:pt>
                <c:pt idx="4204">
                  <c:v>3.8</c:v>
                </c:pt>
                <c:pt idx="4205">
                  <c:v>5.6</c:v>
                </c:pt>
                <c:pt idx="4206">
                  <c:v>11.399999999999999</c:v>
                </c:pt>
                <c:pt idx="4207">
                  <c:v>14</c:v>
                </c:pt>
                <c:pt idx="4208">
                  <c:v>8.8000000000000007</c:v>
                </c:pt>
                <c:pt idx="4209">
                  <c:v>7.5</c:v>
                </c:pt>
                <c:pt idx="4210">
                  <c:v>14</c:v>
                </c:pt>
                <c:pt idx="4211">
                  <c:v>3.5</c:v>
                </c:pt>
                <c:pt idx="4212">
                  <c:v>15.2</c:v>
                </c:pt>
                <c:pt idx="4213">
                  <c:v>6.6000000000000005</c:v>
                </c:pt>
                <c:pt idx="4214">
                  <c:v>19</c:v>
                </c:pt>
                <c:pt idx="4215">
                  <c:v>8.3999999999999986</c:v>
                </c:pt>
                <c:pt idx="4216">
                  <c:v>12.5</c:v>
                </c:pt>
                <c:pt idx="4217">
                  <c:v>5</c:v>
                </c:pt>
                <c:pt idx="4218">
                  <c:v>17.5</c:v>
                </c:pt>
                <c:pt idx="4219">
                  <c:v>5.6</c:v>
                </c:pt>
                <c:pt idx="4220">
                  <c:v>15.2</c:v>
                </c:pt>
                <c:pt idx="4221">
                  <c:v>8.8000000000000007</c:v>
                </c:pt>
                <c:pt idx="4222">
                  <c:v>7.5</c:v>
                </c:pt>
                <c:pt idx="4223">
                  <c:v>5.6</c:v>
                </c:pt>
                <c:pt idx="4224">
                  <c:v>15.2</c:v>
                </c:pt>
                <c:pt idx="4225">
                  <c:v>7</c:v>
                </c:pt>
                <c:pt idx="4226">
                  <c:v>10.5</c:v>
                </c:pt>
                <c:pt idx="4227">
                  <c:v>8.3999999999999986</c:v>
                </c:pt>
                <c:pt idx="4228">
                  <c:v>5</c:v>
                </c:pt>
                <c:pt idx="4229">
                  <c:v>5</c:v>
                </c:pt>
                <c:pt idx="4230">
                  <c:v>10</c:v>
                </c:pt>
                <c:pt idx="4231">
                  <c:v>3.5</c:v>
                </c:pt>
                <c:pt idx="4232">
                  <c:v>6.6000000000000005</c:v>
                </c:pt>
                <c:pt idx="4233">
                  <c:v>14</c:v>
                </c:pt>
                <c:pt idx="4234">
                  <c:v>8.8000000000000007</c:v>
                </c:pt>
                <c:pt idx="4235">
                  <c:v>10.5</c:v>
                </c:pt>
                <c:pt idx="4236">
                  <c:v>4.4000000000000004</c:v>
                </c:pt>
                <c:pt idx="4237">
                  <c:v>7</c:v>
                </c:pt>
                <c:pt idx="4238">
                  <c:v>11.399999999999999</c:v>
                </c:pt>
                <c:pt idx="4239">
                  <c:v>2.2000000000000002</c:v>
                </c:pt>
                <c:pt idx="4240">
                  <c:v>19</c:v>
                </c:pt>
                <c:pt idx="4241">
                  <c:v>7.5</c:v>
                </c:pt>
                <c:pt idx="4242">
                  <c:v>8.8000000000000007</c:v>
                </c:pt>
                <c:pt idx="4243">
                  <c:v>2.5</c:v>
                </c:pt>
                <c:pt idx="4244">
                  <c:v>14</c:v>
                </c:pt>
                <c:pt idx="4245">
                  <c:v>5.6</c:v>
                </c:pt>
                <c:pt idx="4246">
                  <c:v>7.5</c:v>
                </c:pt>
                <c:pt idx="4247">
                  <c:v>5</c:v>
                </c:pt>
                <c:pt idx="4248">
                  <c:v>11.399999999999999</c:v>
                </c:pt>
                <c:pt idx="4249">
                  <c:v>7.6</c:v>
                </c:pt>
                <c:pt idx="4250">
                  <c:v>6.6000000000000005</c:v>
                </c:pt>
                <c:pt idx="4251">
                  <c:v>11</c:v>
                </c:pt>
                <c:pt idx="4252">
                  <c:v>11.2</c:v>
                </c:pt>
                <c:pt idx="4253">
                  <c:v>11.399999999999999</c:v>
                </c:pt>
                <c:pt idx="4254">
                  <c:v>12.5</c:v>
                </c:pt>
                <c:pt idx="4255">
                  <c:v>11.2</c:v>
                </c:pt>
                <c:pt idx="4256">
                  <c:v>8.8000000000000007</c:v>
                </c:pt>
                <c:pt idx="4257">
                  <c:v>8.3999999999999986</c:v>
                </c:pt>
                <c:pt idx="4258">
                  <c:v>14</c:v>
                </c:pt>
                <c:pt idx="4259">
                  <c:v>2.2000000000000002</c:v>
                </c:pt>
                <c:pt idx="4260">
                  <c:v>8.3999999999999986</c:v>
                </c:pt>
                <c:pt idx="4261">
                  <c:v>7.6</c:v>
                </c:pt>
                <c:pt idx="4262">
                  <c:v>2.5</c:v>
                </c:pt>
                <c:pt idx="4263">
                  <c:v>7.6</c:v>
                </c:pt>
                <c:pt idx="4264">
                  <c:v>10.5</c:v>
                </c:pt>
                <c:pt idx="4265">
                  <c:v>10</c:v>
                </c:pt>
                <c:pt idx="4266">
                  <c:v>7.6</c:v>
                </c:pt>
                <c:pt idx="4267">
                  <c:v>2.2000000000000002</c:v>
                </c:pt>
                <c:pt idx="4268">
                  <c:v>14</c:v>
                </c:pt>
                <c:pt idx="4269">
                  <c:v>2.2000000000000002</c:v>
                </c:pt>
                <c:pt idx="4270">
                  <c:v>3.5</c:v>
                </c:pt>
                <c:pt idx="4271">
                  <c:v>12.5</c:v>
                </c:pt>
                <c:pt idx="4272">
                  <c:v>2.2000000000000002</c:v>
                </c:pt>
                <c:pt idx="4273">
                  <c:v>7</c:v>
                </c:pt>
                <c:pt idx="4274">
                  <c:v>14</c:v>
                </c:pt>
                <c:pt idx="4275">
                  <c:v>7.6</c:v>
                </c:pt>
                <c:pt idx="4276">
                  <c:v>8.3999999999999986</c:v>
                </c:pt>
                <c:pt idx="4277">
                  <c:v>4.4000000000000004</c:v>
                </c:pt>
                <c:pt idx="4278">
                  <c:v>11</c:v>
                </c:pt>
                <c:pt idx="4279">
                  <c:v>2.5</c:v>
                </c:pt>
                <c:pt idx="4280">
                  <c:v>14</c:v>
                </c:pt>
                <c:pt idx="4281">
                  <c:v>7.5</c:v>
                </c:pt>
                <c:pt idx="4282">
                  <c:v>5.6</c:v>
                </c:pt>
                <c:pt idx="4283">
                  <c:v>8.3999999999999986</c:v>
                </c:pt>
                <c:pt idx="4284">
                  <c:v>5</c:v>
                </c:pt>
                <c:pt idx="4285">
                  <c:v>8.8000000000000007</c:v>
                </c:pt>
                <c:pt idx="4286">
                  <c:v>11.399999999999999</c:v>
                </c:pt>
                <c:pt idx="4287">
                  <c:v>4.4000000000000004</c:v>
                </c:pt>
                <c:pt idx="4288">
                  <c:v>17.5</c:v>
                </c:pt>
                <c:pt idx="4289">
                  <c:v>11</c:v>
                </c:pt>
                <c:pt idx="4290">
                  <c:v>8.8000000000000007</c:v>
                </c:pt>
                <c:pt idx="4291">
                  <c:v>7.5</c:v>
                </c:pt>
                <c:pt idx="4292">
                  <c:v>15.2</c:v>
                </c:pt>
                <c:pt idx="4293">
                  <c:v>19</c:v>
                </c:pt>
                <c:pt idx="4294">
                  <c:v>19</c:v>
                </c:pt>
                <c:pt idx="4295">
                  <c:v>14</c:v>
                </c:pt>
                <c:pt idx="4296">
                  <c:v>2.2000000000000002</c:v>
                </c:pt>
                <c:pt idx="4297">
                  <c:v>2.8</c:v>
                </c:pt>
                <c:pt idx="4298">
                  <c:v>2.8</c:v>
                </c:pt>
                <c:pt idx="4299">
                  <c:v>3.8</c:v>
                </c:pt>
                <c:pt idx="4300">
                  <c:v>8.3999999999999986</c:v>
                </c:pt>
                <c:pt idx="4301">
                  <c:v>11.2</c:v>
                </c:pt>
                <c:pt idx="4302">
                  <c:v>15.2</c:v>
                </c:pt>
                <c:pt idx="4303">
                  <c:v>19</c:v>
                </c:pt>
                <c:pt idx="4304">
                  <c:v>11</c:v>
                </c:pt>
                <c:pt idx="4305">
                  <c:v>5</c:v>
                </c:pt>
                <c:pt idx="4306">
                  <c:v>12.5</c:v>
                </c:pt>
                <c:pt idx="4307">
                  <c:v>4.4000000000000004</c:v>
                </c:pt>
                <c:pt idx="4308">
                  <c:v>7.5</c:v>
                </c:pt>
                <c:pt idx="4309">
                  <c:v>7</c:v>
                </c:pt>
                <c:pt idx="4310">
                  <c:v>4.4000000000000004</c:v>
                </c:pt>
                <c:pt idx="4311">
                  <c:v>5</c:v>
                </c:pt>
                <c:pt idx="4312">
                  <c:v>10</c:v>
                </c:pt>
                <c:pt idx="4313">
                  <c:v>14</c:v>
                </c:pt>
                <c:pt idx="4314">
                  <c:v>11</c:v>
                </c:pt>
                <c:pt idx="4315">
                  <c:v>7.6</c:v>
                </c:pt>
                <c:pt idx="4316">
                  <c:v>17.5</c:v>
                </c:pt>
                <c:pt idx="4317">
                  <c:v>11.399999999999999</c:v>
                </c:pt>
                <c:pt idx="4318">
                  <c:v>8.3999999999999986</c:v>
                </c:pt>
                <c:pt idx="4319">
                  <c:v>8.3999999999999986</c:v>
                </c:pt>
                <c:pt idx="4320">
                  <c:v>10.5</c:v>
                </c:pt>
                <c:pt idx="4321">
                  <c:v>4.4000000000000004</c:v>
                </c:pt>
                <c:pt idx="4322">
                  <c:v>2.5</c:v>
                </c:pt>
                <c:pt idx="4323">
                  <c:v>12.5</c:v>
                </c:pt>
                <c:pt idx="4324">
                  <c:v>15.2</c:v>
                </c:pt>
                <c:pt idx="4325">
                  <c:v>6.6000000000000005</c:v>
                </c:pt>
                <c:pt idx="4326">
                  <c:v>8.3999999999999986</c:v>
                </c:pt>
                <c:pt idx="4327">
                  <c:v>8.8000000000000007</c:v>
                </c:pt>
                <c:pt idx="4328">
                  <c:v>14</c:v>
                </c:pt>
                <c:pt idx="4329">
                  <c:v>19</c:v>
                </c:pt>
                <c:pt idx="4330">
                  <c:v>8.8000000000000007</c:v>
                </c:pt>
                <c:pt idx="4331">
                  <c:v>14</c:v>
                </c:pt>
                <c:pt idx="4332">
                  <c:v>3.8</c:v>
                </c:pt>
                <c:pt idx="4333">
                  <c:v>11.399999999999999</c:v>
                </c:pt>
                <c:pt idx="4334">
                  <c:v>3.8</c:v>
                </c:pt>
                <c:pt idx="4335">
                  <c:v>19</c:v>
                </c:pt>
                <c:pt idx="4336">
                  <c:v>15.2</c:v>
                </c:pt>
                <c:pt idx="4337">
                  <c:v>7.5</c:v>
                </c:pt>
                <c:pt idx="4338">
                  <c:v>5.6</c:v>
                </c:pt>
                <c:pt idx="4339">
                  <c:v>14</c:v>
                </c:pt>
                <c:pt idx="4340">
                  <c:v>8.8000000000000007</c:v>
                </c:pt>
                <c:pt idx="4341">
                  <c:v>3.5</c:v>
                </c:pt>
                <c:pt idx="4342">
                  <c:v>6.6000000000000005</c:v>
                </c:pt>
                <c:pt idx="4343">
                  <c:v>2.8</c:v>
                </c:pt>
                <c:pt idx="4344">
                  <c:v>7</c:v>
                </c:pt>
                <c:pt idx="4345">
                  <c:v>5.6</c:v>
                </c:pt>
                <c:pt idx="4346">
                  <c:v>11</c:v>
                </c:pt>
                <c:pt idx="4347">
                  <c:v>14</c:v>
                </c:pt>
                <c:pt idx="4348">
                  <c:v>3.8</c:v>
                </c:pt>
                <c:pt idx="4349">
                  <c:v>11.2</c:v>
                </c:pt>
                <c:pt idx="4350">
                  <c:v>8.3999999999999986</c:v>
                </c:pt>
                <c:pt idx="4351">
                  <c:v>17.5</c:v>
                </c:pt>
                <c:pt idx="4352">
                  <c:v>11.2</c:v>
                </c:pt>
                <c:pt idx="4353">
                  <c:v>3.8</c:v>
                </c:pt>
                <c:pt idx="4354">
                  <c:v>11.399999999999999</c:v>
                </c:pt>
                <c:pt idx="4355">
                  <c:v>11</c:v>
                </c:pt>
                <c:pt idx="4356">
                  <c:v>11.2</c:v>
                </c:pt>
                <c:pt idx="4357">
                  <c:v>10</c:v>
                </c:pt>
                <c:pt idx="4358">
                  <c:v>2.2000000000000002</c:v>
                </c:pt>
                <c:pt idx="4359">
                  <c:v>3.5</c:v>
                </c:pt>
                <c:pt idx="4360">
                  <c:v>10</c:v>
                </c:pt>
                <c:pt idx="4361">
                  <c:v>10.5</c:v>
                </c:pt>
                <c:pt idx="4362">
                  <c:v>2.5</c:v>
                </c:pt>
                <c:pt idx="4363">
                  <c:v>8.3999999999999986</c:v>
                </c:pt>
                <c:pt idx="4364">
                  <c:v>10</c:v>
                </c:pt>
                <c:pt idx="4365">
                  <c:v>11.2</c:v>
                </c:pt>
                <c:pt idx="4366">
                  <c:v>10</c:v>
                </c:pt>
                <c:pt idx="4367">
                  <c:v>11</c:v>
                </c:pt>
                <c:pt idx="4368">
                  <c:v>7</c:v>
                </c:pt>
                <c:pt idx="4369">
                  <c:v>4.4000000000000004</c:v>
                </c:pt>
                <c:pt idx="4370">
                  <c:v>14</c:v>
                </c:pt>
                <c:pt idx="4371">
                  <c:v>10</c:v>
                </c:pt>
                <c:pt idx="4372">
                  <c:v>7.6</c:v>
                </c:pt>
                <c:pt idx="4373">
                  <c:v>5</c:v>
                </c:pt>
                <c:pt idx="4374">
                  <c:v>17.5</c:v>
                </c:pt>
                <c:pt idx="4375">
                  <c:v>14</c:v>
                </c:pt>
                <c:pt idx="4376">
                  <c:v>17.5</c:v>
                </c:pt>
                <c:pt idx="4377">
                  <c:v>7</c:v>
                </c:pt>
                <c:pt idx="4378">
                  <c:v>7</c:v>
                </c:pt>
                <c:pt idx="4379">
                  <c:v>8.8000000000000007</c:v>
                </c:pt>
                <c:pt idx="4380">
                  <c:v>7</c:v>
                </c:pt>
                <c:pt idx="4381">
                  <c:v>4.4000000000000004</c:v>
                </c:pt>
                <c:pt idx="4382">
                  <c:v>17.5</c:v>
                </c:pt>
                <c:pt idx="4383">
                  <c:v>10.5</c:v>
                </c:pt>
                <c:pt idx="4384">
                  <c:v>5</c:v>
                </c:pt>
                <c:pt idx="4385">
                  <c:v>5</c:v>
                </c:pt>
                <c:pt idx="4386">
                  <c:v>7</c:v>
                </c:pt>
                <c:pt idx="4387">
                  <c:v>11</c:v>
                </c:pt>
                <c:pt idx="4388">
                  <c:v>12.5</c:v>
                </c:pt>
                <c:pt idx="4389">
                  <c:v>3.8</c:v>
                </c:pt>
                <c:pt idx="4390">
                  <c:v>5.6</c:v>
                </c:pt>
                <c:pt idx="4391">
                  <c:v>8.8000000000000007</c:v>
                </c:pt>
                <c:pt idx="4392">
                  <c:v>11.399999999999999</c:v>
                </c:pt>
                <c:pt idx="4393">
                  <c:v>7</c:v>
                </c:pt>
                <c:pt idx="4394">
                  <c:v>3.5</c:v>
                </c:pt>
                <c:pt idx="4395">
                  <c:v>2.2000000000000002</c:v>
                </c:pt>
                <c:pt idx="4396">
                  <c:v>12.5</c:v>
                </c:pt>
                <c:pt idx="4397">
                  <c:v>5</c:v>
                </c:pt>
                <c:pt idx="4398">
                  <c:v>19</c:v>
                </c:pt>
                <c:pt idx="4399">
                  <c:v>14</c:v>
                </c:pt>
                <c:pt idx="4400">
                  <c:v>11</c:v>
                </c:pt>
                <c:pt idx="4401">
                  <c:v>19</c:v>
                </c:pt>
                <c:pt idx="4402">
                  <c:v>7.5</c:v>
                </c:pt>
                <c:pt idx="4403">
                  <c:v>11.2</c:v>
                </c:pt>
                <c:pt idx="4404">
                  <c:v>15.2</c:v>
                </c:pt>
                <c:pt idx="4405">
                  <c:v>19</c:v>
                </c:pt>
                <c:pt idx="4406">
                  <c:v>5</c:v>
                </c:pt>
                <c:pt idx="4407">
                  <c:v>14</c:v>
                </c:pt>
                <c:pt idx="4408">
                  <c:v>14</c:v>
                </c:pt>
                <c:pt idx="4409">
                  <c:v>11</c:v>
                </c:pt>
                <c:pt idx="4410">
                  <c:v>19</c:v>
                </c:pt>
                <c:pt idx="4411">
                  <c:v>2.5</c:v>
                </c:pt>
                <c:pt idx="4412">
                  <c:v>5</c:v>
                </c:pt>
                <c:pt idx="4413">
                  <c:v>11.2</c:v>
                </c:pt>
                <c:pt idx="4414">
                  <c:v>11</c:v>
                </c:pt>
                <c:pt idx="4415">
                  <c:v>2.8</c:v>
                </c:pt>
                <c:pt idx="4416">
                  <c:v>17.5</c:v>
                </c:pt>
                <c:pt idx="4417">
                  <c:v>4.4000000000000004</c:v>
                </c:pt>
                <c:pt idx="4418">
                  <c:v>14</c:v>
                </c:pt>
                <c:pt idx="4419">
                  <c:v>11.2</c:v>
                </c:pt>
                <c:pt idx="4420">
                  <c:v>10.5</c:v>
                </c:pt>
                <c:pt idx="4421">
                  <c:v>12.5</c:v>
                </c:pt>
                <c:pt idx="4422">
                  <c:v>19</c:v>
                </c:pt>
                <c:pt idx="4423">
                  <c:v>7.6</c:v>
                </c:pt>
                <c:pt idx="4424">
                  <c:v>14</c:v>
                </c:pt>
                <c:pt idx="4425">
                  <c:v>6.6000000000000005</c:v>
                </c:pt>
                <c:pt idx="4426">
                  <c:v>11</c:v>
                </c:pt>
                <c:pt idx="4427">
                  <c:v>4.4000000000000004</c:v>
                </c:pt>
                <c:pt idx="4428">
                  <c:v>3.5</c:v>
                </c:pt>
                <c:pt idx="4429">
                  <c:v>15.2</c:v>
                </c:pt>
                <c:pt idx="4430">
                  <c:v>4.4000000000000004</c:v>
                </c:pt>
                <c:pt idx="4431">
                  <c:v>11</c:v>
                </c:pt>
                <c:pt idx="4432">
                  <c:v>11.2</c:v>
                </c:pt>
                <c:pt idx="4433">
                  <c:v>2.5</c:v>
                </c:pt>
                <c:pt idx="4434">
                  <c:v>11</c:v>
                </c:pt>
                <c:pt idx="4435">
                  <c:v>15.2</c:v>
                </c:pt>
                <c:pt idx="4436">
                  <c:v>3.5</c:v>
                </c:pt>
                <c:pt idx="4437">
                  <c:v>10</c:v>
                </c:pt>
                <c:pt idx="4438">
                  <c:v>4.4000000000000004</c:v>
                </c:pt>
                <c:pt idx="4439">
                  <c:v>6.6000000000000005</c:v>
                </c:pt>
                <c:pt idx="4440">
                  <c:v>12.5</c:v>
                </c:pt>
                <c:pt idx="4441">
                  <c:v>14</c:v>
                </c:pt>
                <c:pt idx="4442">
                  <c:v>14</c:v>
                </c:pt>
                <c:pt idx="4443">
                  <c:v>8.8000000000000007</c:v>
                </c:pt>
                <c:pt idx="4444">
                  <c:v>8.8000000000000007</c:v>
                </c:pt>
                <c:pt idx="4445">
                  <c:v>14</c:v>
                </c:pt>
                <c:pt idx="4446">
                  <c:v>6.6000000000000005</c:v>
                </c:pt>
                <c:pt idx="4447">
                  <c:v>7.5</c:v>
                </c:pt>
                <c:pt idx="4448">
                  <c:v>15.2</c:v>
                </c:pt>
                <c:pt idx="4449">
                  <c:v>15.2</c:v>
                </c:pt>
                <c:pt idx="4450">
                  <c:v>8.3999999999999986</c:v>
                </c:pt>
                <c:pt idx="4451">
                  <c:v>11.399999999999999</c:v>
                </c:pt>
                <c:pt idx="4452">
                  <c:v>7.5</c:v>
                </c:pt>
                <c:pt idx="4453">
                  <c:v>11.2</c:v>
                </c:pt>
                <c:pt idx="4454">
                  <c:v>8.8000000000000007</c:v>
                </c:pt>
                <c:pt idx="4455">
                  <c:v>17.5</c:v>
                </c:pt>
                <c:pt idx="4456">
                  <c:v>10.5</c:v>
                </c:pt>
                <c:pt idx="4457">
                  <c:v>7.5</c:v>
                </c:pt>
                <c:pt idx="4458">
                  <c:v>15.2</c:v>
                </c:pt>
                <c:pt idx="4459">
                  <c:v>11</c:v>
                </c:pt>
                <c:pt idx="4460">
                  <c:v>17.5</c:v>
                </c:pt>
                <c:pt idx="4461">
                  <c:v>4.4000000000000004</c:v>
                </c:pt>
                <c:pt idx="4462">
                  <c:v>5</c:v>
                </c:pt>
                <c:pt idx="4463">
                  <c:v>15.2</c:v>
                </c:pt>
                <c:pt idx="4464">
                  <c:v>2.2000000000000002</c:v>
                </c:pt>
                <c:pt idx="4465">
                  <c:v>17.5</c:v>
                </c:pt>
                <c:pt idx="4466">
                  <c:v>8.8000000000000007</c:v>
                </c:pt>
                <c:pt idx="4467">
                  <c:v>4.4000000000000004</c:v>
                </c:pt>
                <c:pt idx="4468">
                  <c:v>14</c:v>
                </c:pt>
                <c:pt idx="4469">
                  <c:v>2.8</c:v>
                </c:pt>
                <c:pt idx="4470">
                  <c:v>8.8000000000000007</c:v>
                </c:pt>
                <c:pt idx="4471">
                  <c:v>10.5</c:v>
                </c:pt>
                <c:pt idx="4472">
                  <c:v>7.6</c:v>
                </c:pt>
                <c:pt idx="4473">
                  <c:v>11.2</c:v>
                </c:pt>
                <c:pt idx="4474">
                  <c:v>5</c:v>
                </c:pt>
                <c:pt idx="4475">
                  <c:v>3.8</c:v>
                </c:pt>
                <c:pt idx="4476">
                  <c:v>6.6000000000000005</c:v>
                </c:pt>
                <c:pt idx="4477">
                  <c:v>15.2</c:v>
                </c:pt>
                <c:pt idx="4478">
                  <c:v>17.5</c:v>
                </c:pt>
                <c:pt idx="4479">
                  <c:v>2.2000000000000002</c:v>
                </c:pt>
                <c:pt idx="4480">
                  <c:v>19</c:v>
                </c:pt>
                <c:pt idx="4481">
                  <c:v>2.2000000000000002</c:v>
                </c:pt>
                <c:pt idx="4482">
                  <c:v>10.5</c:v>
                </c:pt>
                <c:pt idx="4483">
                  <c:v>19</c:v>
                </c:pt>
                <c:pt idx="4484">
                  <c:v>2.8</c:v>
                </c:pt>
                <c:pt idx="4485">
                  <c:v>7</c:v>
                </c:pt>
                <c:pt idx="4486">
                  <c:v>5</c:v>
                </c:pt>
                <c:pt idx="4487">
                  <c:v>5.6</c:v>
                </c:pt>
                <c:pt idx="4488">
                  <c:v>14</c:v>
                </c:pt>
                <c:pt idx="4489">
                  <c:v>2.2000000000000002</c:v>
                </c:pt>
                <c:pt idx="4490">
                  <c:v>3.5</c:v>
                </c:pt>
                <c:pt idx="4491">
                  <c:v>2.8</c:v>
                </c:pt>
                <c:pt idx="4492">
                  <c:v>19</c:v>
                </c:pt>
                <c:pt idx="4493">
                  <c:v>5</c:v>
                </c:pt>
                <c:pt idx="4494">
                  <c:v>4.4000000000000004</c:v>
                </c:pt>
                <c:pt idx="4495">
                  <c:v>14</c:v>
                </c:pt>
                <c:pt idx="4496">
                  <c:v>2.2000000000000002</c:v>
                </c:pt>
                <c:pt idx="4497">
                  <c:v>7.5</c:v>
                </c:pt>
                <c:pt idx="4498">
                  <c:v>2.5</c:v>
                </c:pt>
                <c:pt idx="4499">
                  <c:v>10.5</c:v>
                </c:pt>
                <c:pt idx="4500">
                  <c:v>2.5</c:v>
                </c:pt>
                <c:pt idx="4501">
                  <c:v>3.5</c:v>
                </c:pt>
                <c:pt idx="4502">
                  <c:v>17.5</c:v>
                </c:pt>
                <c:pt idx="4503">
                  <c:v>3.5</c:v>
                </c:pt>
                <c:pt idx="4504">
                  <c:v>14</c:v>
                </c:pt>
                <c:pt idx="4505">
                  <c:v>6.6000000000000005</c:v>
                </c:pt>
                <c:pt idx="4506">
                  <c:v>8.3999999999999986</c:v>
                </c:pt>
                <c:pt idx="4507">
                  <c:v>3.5</c:v>
                </c:pt>
                <c:pt idx="4508">
                  <c:v>3.8</c:v>
                </c:pt>
                <c:pt idx="4509">
                  <c:v>11</c:v>
                </c:pt>
                <c:pt idx="4510">
                  <c:v>8.8000000000000007</c:v>
                </c:pt>
                <c:pt idx="4511">
                  <c:v>6.6000000000000005</c:v>
                </c:pt>
                <c:pt idx="4512">
                  <c:v>11.399999999999999</c:v>
                </c:pt>
                <c:pt idx="4513">
                  <c:v>14</c:v>
                </c:pt>
                <c:pt idx="4514">
                  <c:v>14</c:v>
                </c:pt>
                <c:pt idx="4515">
                  <c:v>10.5</c:v>
                </c:pt>
                <c:pt idx="4516">
                  <c:v>15.2</c:v>
                </c:pt>
                <c:pt idx="4517">
                  <c:v>5.6</c:v>
                </c:pt>
                <c:pt idx="4518">
                  <c:v>3.5</c:v>
                </c:pt>
                <c:pt idx="4519">
                  <c:v>22</c:v>
                </c:pt>
                <c:pt idx="4520">
                  <c:v>10</c:v>
                </c:pt>
                <c:pt idx="4521">
                  <c:v>11</c:v>
                </c:pt>
                <c:pt idx="4522">
                  <c:v>11.2</c:v>
                </c:pt>
                <c:pt idx="4523">
                  <c:v>6.6000000000000005</c:v>
                </c:pt>
                <c:pt idx="4524">
                  <c:v>8.8000000000000007</c:v>
                </c:pt>
                <c:pt idx="4525">
                  <c:v>5.6</c:v>
                </c:pt>
                <c:pt idx="4526">
                  <c:v>8.8000000000000007</c:v>
                </c:pt>
                <c:pt idx="4527">
                  <c:v>10</c:v>
                </c:pt>
                <c:pt idx="4528">
                  <c:v>5.6</c:v>
                </c:pt>
                <c:pt idx="4529">
                  <c:v>19</c:v>
                </c:pt>
                <c:pt idx="4530">
                  <c:v>2.8</c:v>
                </c:pt>
                <c:pt idx="4531">
                  <c:v>10.5</c:v>
                </c:pt>
                <c:pt idx="4532">
                  <c:v>11.2</c:v>
                </c:pt>
                <c:pt idx="4533">
                  <c:v>3.8</c:v>
                </c:pt>
                <c:pt idx="4534">
                  <c:v>17.5</c:v>
                </c:pt>
                <c:pt idx="4535">
                  <c:v>2.8</c:v>
                </c:pt>
                <c:pt idx="4536">
                  <c:v>6.6000000000000005</c:v>
                </c:pt>
                <c:pt idx="4537">
                  <c:v>10</c:v>
                </c:pt>
                <c:pt idx="4538">
                  <c:v>4.4000000000000004</c:v>
                </c:pt>
                <c:pt idx="4539">
                  <c:v>11.399999999999999</c:v>
                </c:pt>
                <c:pt idx="4540">
                  <c:v>11</c:v>
                </c:pt>
                <c:pt idx="4541">
                  <c:v>15.2</c:v>
                </c:pt>
                <c:pt idx="4542">
                  <c:v>7</c:v>
                </c:pt>
                <c:pt idx="4543">
                  <c:v>2.8</c:v>
                </c:pt>
                <c:pt idx="4544">
                  <c:v>7.6</c:v>
                </c:pt>
                <c:pt idx="4545">
                  <c:v>19</c:v>
                </c:pt>
                <c:pt idx="4546">
                  <c:v>2.5</c:v>
                </c:pt>
                <c:pt idx="4547">
                  <c:v>14</c:v>
                </c:pt>
                <c:pt idx="4548">
                  <c:v>10</c:v>
                </c:pt>
                <c:pt idx="4549">
                  <c:v>11.399999999999999</c:v>
                </c:pt>
                <c:pt idx="4550">
                  <c:v>7.6</c:v>
                </c:pt>
                <c:pt idx="4551">
                  <c:v>12.5</c:v>
                </c:pt>
                <c:pt idx="4552">
                  <c:v>15.2</c:v>
                </c:pt>
                <c:pt idx="4553">
                  <c:v>7</c:v>
                </c:pt>
                <c:pt idx="4554">
                  <c:v>5</c:v>
                </c:pt>
                <c:pt idx="4555">
                  <c:v>10</c:v>
                </c:pt>
                <c:pt idx="4556">
                  <c:v>2.8</c:v>
                </c:pt>
                <c:pt idx="4557">
                  <c:v>3.8</c:v>
                </c:pt>
                <c:pt idx="4558">
                  <c:v>10</c:v>
                </c:pt>
                <c:pt idx="4559">
                  <c:v>4.4000000000000004</c:v>
                </c:pt>
                <c:pt idx="4560">
                  <c:v>19</c:v>
                </c:pt>
                <c:pt idx="4561">
                  <c:v>12.5</c:v>
                </c:pt>
                <c:pt idx="4562">
                  <c:v>2.8</c:v>
                </c:pt>
                <c:pt idx="4563">
                  <c:v>10.5</c:v>
                </c:pt>
                <c:pt idx="4564">
                  <c:v>10.5</c:v>
                </c:pt>
                <c:pt idx="4565">
                  <c:v>14</c:v>
                </c:pt>
                <c:pt idx="4566">
                  <c:v>14</c:v>
                </c:pt>
                <c:pt idx="4567">
                  <c:v>2.5</c:v>
                </c:pt>
                <c:pt idx="4568">
                  <c:v>7.5</c:v>
                </c:pt>
                <c:pt idx="4569">
                  <c:v>14</c:v>
                </c:pt>
                <c:pt idx="4570">
                  <c:v>14</c:v>
                </c:pt>
                <c:pt idx="4571">
                  <c:v>11.2</c:v>
                </c:pt>
                <c:pt idx="4572">
                  <c:v>3.8</c:v>
                </c:pt>
                <c:pt idx="4573">
                  <c:v>6.6000000000000005</c:v>
                </c:pt>
                <c:pt idx="4574">
                  <c:v>10</c:v>
                </c:pt>
                <c:pt idx="4575">
                  <c:v>15.2</c:v>
                </c:pt>
                <c:pt idx="4576">
                  <c:v>2.5</c:v>
                </c:pt>
                <c:pt idx="4577">
                  <c:v>15.2</c:v>
                </c:pt>
                <c:pt idx="4578">
                  <c:v>2.5</c:v>
                </c:pt>
                <c:pt idx="4579">
                  <c:v>8.3999999999999986</c:v>
                </c:pt>
                <c:pt idx="4580">
                  <c:v>10.5</c:v>
                </c:pt>
                <c:pt idx="4581">
                  <c:v>11</c:v>
                </c:pt>
                <c:pt idx="4582">
                  <c:v>14</c:v>
                </c:pt>
                <c:pt idx="4583">
                  <c:v>11.2</c:v>
                </c:pt>
                <c:pt idx="4584">
                  <c:v>7.5</c:v>
                </c:pt>
                <c:pt idx="4585">
                  <c:v>14</c:v>
                </c:pt>
                <c:pt idx="4586">
                  <c:v>11.2</c:v>
                </c:pt>
                <c:pt idx="4587">
                  <c:v>11.2</c:v>
                </c:pt>
                <c:pt idx="4588">
                  <c:v>6.6000000000000005</c:v>
                </c:pt>
                <c:pt idx="4589">
                  <c:v>3.5</c:v>
                </c:pt>
                <c:pt idx="4590">
                  <c:v>11</c:v>
                </c:pt>
                <c:pt idx="4591">
                  <c:v>8.8000000000000007</c:v>
                </c:pt>
                <c:pt idx="4592">
                  <c:v>12.5</c:v>
                </c:pt>
                <c:pt idx="4593">
                  <c:v>12.5</c:v>
                </c:pt>
                <c:pt idx="4594">
                  <c:v>5.6</c:v>
                </c:pt>
                <c:pt idx="4595">
                  <c:v>19</c:v>
                </c:pt>
                <c:pt idx="4596">
                  <c:v>7.5</c:v>
                </c:pt>
                <c:pt idx="4597">
                  <c:v>5.6</c:v>
                </c:pt>
                <c:pt idx="4598">
                  <c:v>8.3999999999999986</c:v>
                </c:pt>
                <c:pt idx="4599">
                  <c:v>2.8</c:v>
                </c:pt>
                <c:pt idx="4600">
                  <c:v>8.3999999999999986</c:v>
                </c:pt>
                <c:pt idx="4601">
                  <c:v>10.5</c:v>
                </c:pt>
                <c:pt idx="4602">
                  <c:v>12.5</c:v>
                </c:pt>
                <c:pt idx="4603">
                  <c:v>11</c:v>
                </c:pt>
                <c:pt idx="4604">
                  <c:v>10</c:v>
                </c:pt>
                <c:pt idx="4605">
                  <c:v>7.5</c:v>
                </c:pt>
                <c:pt idx="4606">
                  <c:v>10</c:v>
                </c:pt>
                <c:pt idx="4607">
                  <c:v>7.5</c:v>
                </c:pt>
                <c:pt idx="4608">
                  <c:v>6.6000000000000005</c:v>
                </c:pt>
                <c:pt idx="4609">
                  <c:v>12.5</c:v>
                </c:pt>
                <c:pt idx="4610">
                  <c:v>3.8</c:v>
                </c:pt>
                <c:pt idx="4611">
                  <c:v>8.3999999999999986</c:v>
                </c:pt>
                <c:pt idx="4612">
                  <c:v>2.2000000000000002</c:v>
                </c:pt>
                <c:pt idx="4613">
                  <c:v>11.2</c:v>
                </c:pt>
                <c:pt idx="4614">
                  <c:v>11.399999999999999</c:v>
                </c:pt>
                <c:pt idx="4615">
                  <c:v>12.5</c:v>
                </c:pt>
                <c:pt idx="4616">
                  <c:v>8.8000000000000007</c:v>
                </c:pt>
                <c:pt idx="4617">
                  <c:v>7.6</c:v>
                </c:pt>
                <c:pt idx="4618">
                  <c:v>17.5</c:v>
                </c:pt>
                <c:pt idx="4619">
                  <c:v>2.2000000000000002</c:v>
                </c:pt>
                <c:pt idx="4620">
                  <c:v>6.6000000000000005</c:v>
                </c:pt>
                <c:pt idx="4621">
                  <c:v>4.4000000000000004</c:v>
                </c:pt>
                <c:pt idx="4622">
                  <c:v>4.4000000000000004</c:v>
                </c:pt>
                <c:pt idx="4623">
                  <c:v>2.2000000000000002</c:v>
                </c:pt>
                <c:pt idx="4624">
                  <c:v>14</c:v>
                </c:pt>
                <c:pt idx="4625">
                  <c:v>5.6</c:v>
                </c:pt>
                <c:pt idx="4626">
                  <c:v>17.5</c:v>
                </c:pt>
                <c:pt idx="4627">
                  <c:v>2.2000000000000002</c:v>
                </c:pt>
                <c:pt idx="4628">
                  <c:v>7.6</c:v>
                </c:pt>
                <c:pt idx="4629">
                  <c:v>10.5</c:v>
                </c:pt>
                <c:pt idx="4630">
                  <c:v>5</c:v>
                </c:pt>
                <c:pt idx="4631">
                  <c:v>2.2000000000000002</c:v>
                </c:pt>
                <c:pt idx="4632">
                  <c:v>2.2000000000000002</c:v>
                </c:pt>
                <c:pt idx="4633">
                  <c:v>14</c:v>
                </c:pt>
                <c:pt idx="4634">
                  <c:v>10.5</c:v>
                </c:pt>
                <c:pt idx="4635">
                  <c:v>3.5</c:v>
                </c:pt>
                <c:pt idx="4636">
                  <c:v>10.5</c:v>
                </c:pt>
                <c:pt idx="4637">
                  <c:v>19</c:v>
                </c:pt>
                <c:pt idx="4638">
                  <c:v>17.5</c:v>
                </c:pt>
                <c:pt idx="4639">
                  <c:v>8.8000000000000007</c:v>
                </c:pt>
                <c:pt idx="4640">
                  <c:v>19</c:v>
                </c:pt>
                <c:pt idx="4641">
                  <c:v>11.399999999999999</c:v>
                </c:pt>
                <c:pt idx="4642">
                  <c:v>7.5</c:v>
                </c:pt>
                <c:pt idx="4643">
                  <c:v>19</c:v>
                </c:pt>
                <c:pt idx="4644">
                  <c:v>10.5</c:v>
                </c:pt>
                <c:pt idx="4645">
                  <c:v>11</c:v>
                </c:pt>
                <c:pt idx="4646">
                  <c:v>11.399999999999999</c:v>
                </c:pt>
                <c:pt idx="4647">
                  <c:v>3.5</c:v>
                </c:pt>
                <c:pt idx="4648">
                  <c:v>19</c:v>
                </c:pt>
                <c:pt idx="4649">
                  <c:v>10.5</c:v>
                </c:pt>
                <c:pt idx="4650">
                  <c:v>14</c:v>
                </c:pt>
                <c:pt idx="4651">
                  <c:v>2.8</c:v>
                </c:pt>
                <c:pt idx="4652">
                  <c:v>6.6000000000000005</c:v>
                </c:pt>
                <c:pt idx="4653">
                  <c:v>11.2</c:v>
                </c:pt>
                <c:pt idx="4654">
                  <c:v>11.399999999999999</c:v>
                </c:pt>
                <c:pt idx="4655">
                  <c:v>2.5</c:v>
                </c:pt>
                <c:pt idx="4656">
                  <c:v>12.5</c:v>
                </c:pt>
                <c:pt idx="4657">
                  <c:v>11</c:v>
                </c:pt>
                <c:pt idx="4658">
                  <c:v>7</c:v>
                </c:pt>
                <c:pt idx="4659">
                  <c:v>15.2</c:v>
                </c:pt>
                <c:pt idx="4660">
                  <c:v>2.5</c:v>
                </c:pt>
                <c:pt idx="4661">
                  <c:v>17.5</c:v>
                </c:pt>
                <c:pt idx="4662">
                  <c:v>7.5</c:v>
                </c:pt>
                <c:pt idx="4663">
                  <c:v>10</c:v>
                </c:pt>
                <c:pt idx="4664">
                  <c:v>11</c:v>
                </c:pt>
                <c:pt idx="4665">
                  <c:v>2.8</c:v>
                </c:pt>
                <c:pt idx="4666">
                  <c:v>14</c:v>
                </c:pt>
                <c:pt idx="4667">
                  <c:v>8.8000000000000007</c:v>
                </c:pt>
                <c:pt idx="4668">
                  <c:v>2.2000000000000002</c:v>
                </c:pt>
                <c:pt idx="4669">
                  <c:v>12.5</c:v>
                </c:pt>
                <c:pt idx="4670">
                  <c:v>14</c:v>
                </c:pt>
                <c:pt idx="4671">
                  <c:v>5</c:v>
                </c:pt>
                <c:pt idx="4672">
                  <c:v>11.2</c:v>
                </c:pt>
                <c:pt idx="4673">
                  <c:v>11</c:v>
                </c:pt>
                <c:pt idx="4674">
                  <c:v>11.399999999999999</c:v>
                </c:pt>
                <c:pt idx="4675">
                  <c:v>14</c:v>
                </c:pt>
                <c:pt idx="4676">
                  <c:v>3.8</c:v>
                </c:pt>
                <c:pt idx="4677">
                  <c:v>5</c:v>
                </c:pt>
                <c:pt idx="4678">
                  <c:v>3.5</c:v>
                </c:pt>
                <c:pt idx="4679">
                  <c:v>4.4000000000000004</c:v>
                </c:pt>
                <c:pt idx="4680">
                  <c:v>11.399999999999999</c:v>
                </c:pt>
                <c:pt idx="4681">
                  <c:v>3.5</c:v>
                </c:pt>
                <c:pt idx="4682">
                  <c:v>11</c:v>
                </c:pt>
                <c:pt idx="4683">
                  <c:v>11.399999999999999</c:v>
                </c:pt>
                <c:pt idx="4684">
                  <c:v>5.6</c:v>
                </c:pt>
                <c:pt idx="4685">
                  <c:v>10.5</c:v>
                </c:pt>
                <c:pt idx="4686">
                  <c:v>2.5</c:v>
                </c:pt>
                <c:pt idx="4687">
                  <c:v>5.6</c:v>
                </c:pt>
                <c:pt idx="4688">
                  <c:v>3.5</c:v>
                </c:pt>
                <c:pt idx="4689">
                  <c:v>3.5</c:v>
                </c:pt>
                <c:pt idx="4690">
                  <c:v>14</c:v>
                </c:pt>
                <c:pt idx="4691">
                  <c:v>17.5</c:v>
                </c:pt>
                <c:pt idx="4692">
                  <c:v>12.5</c:v>
                </c:pt>
                <c:pt idx="4693">
                  <c:v>2.8</c:v>
                </c:pt>
                <c:pt idx="4694">
                  <c:v>4.4000000000000004</c:v>
                </c:pt>
                <c:pt idx="4695">
                  <c:v>3.8</c:v>
                </c:pt>
                <c:pt idx="4696">
                  <c:v>10</c:v>
                </c:pt>
                <c:pt idx="4697">
                  <c:v>3.8</c:v>
                </c:pt>
                <c:pt idx="4698">
                  <c:v>14</c:v>
                </c:pt>
                <c:pt idx="4699">
                  <c:v>7</c:v>
                </c:pt>
                <c:pt idx="4700">
                  <c:v>3.8</c:v>
                </c:pt>
                <c:pt idx="4701">
                  <c:v>2.5</c:v>
                </c:pt>
                <c:pt idx="4702">
                  <c:v>8.3999999999999986</c:v>
                </c:pt>
                <c:pt idx="4703">
                  <c:v>3.8</c:v>
                </c:pt>
                <c:pt idx="4704">
                  <c:v>15.2</c:v>
                </c:pt>
                <c:pt idx="4705">
                  <c:v>8.8000000000000007</c:v>
                </c:pt>
                <c:pt idx="4706">
                  <c:v>3.8</c:v>
                </c:pt>
                <c:pt idx="4707">
                  <c:v>4.4000000000000004</c:v>
                </c:pt>
                <c:pt idx="4708">
                  <c:v>12.5</c:v>
                </c:pt>
                <c:pt idx="4709">
                  <c:v>14</c:v>
                </c:pt>
                <c:pt idx="4710">
                  <c:v>2.5</c:v>
                </c:pt>
                <c:pt idx="4711">
                  <c:v>3.5</c:v>
                </c:pt>
                <c:pt idx="4712">
                  <c:v>2.5</c:v>
                </c:pt>
                <c:pt idx="4713">
                  <c:v>5.6</c:v>
                </c:pt>
                <c:pt idx="4714">
                  <c:v>7.5</c:v>
                </c:pt>
                <c:pt idx="4715">
                  <c:v>14</c:v>
                </c:pt>
                <c:pt idx="4716">
                  <c:v>10</c:v>
                </c:pt>
                <c:pt idx="4717">
                  <c:v>2.8</c:v>
                </c:pt>
                <c:pt idx="4718">
                  <c:v>2.8</c:v>
                </c:pt>
                <c:pt idx="4719">
                  <c:v>11.2</c:v>
                </c:pt>
                <c:pt idx="4720">
                  <c:v>8.3999999999999986</c:v>
                </c:pt>
                <c:pt idx="4721">
                  <c:v>12.5</c:v>
                </c:pt>
                <c:pt idx="4722">
                  <c:v>3.5</c:v>
                </c:pt>
                <c:pt idx="4723">
                  <c:v>8.3999999999999986</c:v>
                </c:pt>
                <c:pt idx="4724">
                  <c:v>10</c:v>
                </c:pt>
                <c:pt idx="4725">
                  <c:v>8.8000000000000007</c:v>
                </c:pt>
                <c:pt idx="4726">
                  <c:v>19</c:v>
                </c:pt>
                <c:pt idx="4727">
                  <c:v>7.5</c:v>
                </c:pt>
                <c:pt idx="4728">
                  <c:v>10</c:v>
                </c:pt>
                <c:pt idx="4729">
                  <c:v>2.8</c:v>
                </c:pt>
                <c:pt idx="4730">
                  <c:v>10</c:v>
                </c:pt>
                <c:pt idx="4731">
                  <c:v>3.8</c:v>
                </c:pt>
                <c:pt idx="4732">
                  <c:v>10.5</c:v>
                </c:pt>
                <c:pt idx="4733">
                  <c:v>3.8</c:v>
                </c:pt>
                <c:pt idx="4734">
                  <c:v>8.8000000000000007</c:v>
                </c:pt>
                <c:pt idx="4735">
                  <c:v>6.6000000000000005</c:v>
                </c:pt>
                <c:pt idx="4736">
                  <c:v>6.6000000000000005</c:v>
                </c:pt>
                <c:pt idx="4737">
                  <c:v>5</c:v>
                </c:pt>
                <c:pt idx="4738">
                  <c:v>11.2</c:v>
                </c:pt>
                <c:pt idx="4739">
                  <c:v>14</c:v>
                </c:pt>
                <c:pt idx="4740">
                  <c:v>19</c:v>
                </c:pt>
                <c:pt idx="4741">
                  <c:v>11.399999999999999</c:v>
                </c:pt>
                <c:pt idx="4742">
                  <c:v>3.8</c:v>
                </c:pt>
                <c:pt idx="4743">
                  <c:v>8.8000000000000007</c:v>
                </c:pt>
                <c:pt idx="4744">
                  <c:v>3.5</c:v>
                </c:pt>
                <c:pt idx="4745">
                  <c:v>2.5</c:v>
                </c:pt>
                <c:pt idx="4746">
                  <c:v>12.5</c:v>
                </c:pt>
                <c:pt idx="4747">
                  <c:v>4.4000000000000004</c:v>
                </c:pt>
                <c:pt idx="4748">
                  <c:v>3.5</c:v>
                </c:pt>
                <c:pt idx="4749">
                  <c:v>10</c:v>
                </c:pt>
                <c:pt idx="4750">
                  <c:v>6.6000000000000005</c:v>
                </c:pt>
                <c:pt idx="4751">
                  <c:v>17.5</c:v>
                </c:pt>
                <c:pt idx="4752">
                  <c:v>11.2</c:v>
                </c:pt>
                <c:pt idx="4753">
                  <c:v>8.8000000000000007</c:v>
                </c:pt>
                <c:pt idx="4754">
                  <c:v>10</c:v>
                </c:pt>
                <c:pt idx="4755">
                  <c:v>2.8</c:v>
                </c:pt>
                <c:pt idx="4756">
                  <c:v>12.5</c:v>
                </c:pt>
                <c:pt idx="4757">
                  <c:v>17.5</c:v>
                </c:pt>
                <c:pt idx="4758">
                  <c:v>2.8</c:v>
                </c:pt>
                <c:pt idx="4759">
                  <c:v>3.8</c:v>
                </c:pt>
                <c:pt idx="4760">
                  <c:v>2.8</c:v>
                </c:pt>
                <c:pt idx="4761">
                  <c:v>17.5</c:v>
                </c:pt>
                <c:pt idx="4762">
                  <c:v>10.5</c:v>
                </c:pt>
                <c:pt idx="4763">
                  <c:v>10.5</c:v>
                </c:pt>
                <c:pt idx="4764">
                  <c:v>10</c:v>
                </c:pt>
                <c:pt idx="4765">
                  <c:v>2.5</c:v>
                </c:pt>
                <c:pt idx="4766">
                  <c:v>12.5</c:v>
                </c:pt>
                <c:pt idx="4767">
                  <c:v>14</c:v>
                </c:pt>
                <c:pt idx="4768">
                  <c:v>4.4000000000000004</c:v>
                </c:pt>
                <c:pt idx="4769">
                  <c:v>3.5</c:v>
                </c:pt>
                <c:pt idx="4770">
                  <c:v>5.6</c:v>
                </c:pt>
                <c:pt idx="4771">
                  <c:v>7</c:v>
                </c:pt>
                <c:pt idx="4772">
                  <c:v>8.3999999999999986</c:v>
                </c:pt>
                <c:pt idx="4773">
                  <c:v>7</c:v>
                </c:pt>
                <c:pt idx="4774">
                  <c:v>5</c:v>
                </c:pt>
                <c:pt idx="4775">
                  <c:v>2.8</c:v>
                </c:pt>
                <c:pt idx="4776">
                  <c:v>2.5</c:v>
                </c:pt>
                <c:pt idx="4777">
                  <c:v>8.8000000000000007</c:v>
                </c:pt>
                <c:pt idx="4778">
                  <c:v>17.5</c:v>
                </c:pt>
                <c:pt idx="4779">
                  <c:v>8.8000000000000007</c:v>
                </c:pt>
                <c:pt idx="4780">
                  <c:v>10.5</c:v>
                </c:pt>
                <c:pt idx="4781">
                  <c:v>7.5</c:v>
                </c:pt>
                <c:pt idx="4782">
                  <c:v>19</c:v>
                </c:pt>
                <c:pt idx="4783">
                  <c:v>14</c:v>
                </c:pt>
                <c:pt idx="4784">
                  <c:v>10.5</c:v>
                </c:pt>
                <c:pt idx="4785">
                  <c:v>7.5</c:v>
                </c:pt>
                <c:pt idx="4786">
                  <c:v>2.2000000000000002</c:v>
                </c:pt>
                <c:pt idx="4787">
                  <c:v>10.5</c:v>
                </c:pt>
                <c:pt idx="4788">
                  <c:v>17.5</c:v>
                </c:pt>
                <c:pt idx="4789">
                  <c:v>6.6000000000000005</c:v>
                </c:pt>
                <c:pt idx="4790">
                  <c:v>11.399999999999999</c:v>
                </c:pt>
                <c:pt idx="4791">
                  <c:v>14</c:v>
                </c:pt>
                <c:pt idx="4792">
                  <c:v>3.5</c:v>
                </c:pt>
                <c:pt idx="4793">
                  <c:v>5</c:v>
                </c:pt>
                <c:pt idx="4794">
                  <c:v>7</c:v>
                </c:pt>
                <c:pt idx="4795">
                  <c:v>14</c:v>
                </c:pt>
                <c:pt idx="4796">
                  <c:v>11.2</c:v>
                </c:pt>
                <c:pt idx="4797">
                  <c:v>5</c:v>
                </c:pt>
                <c:pt idx="4798">
                  <c:v>10.5</c:v>
                </c:pt>
                <c:pt idx="4799">
                  <c:v>10.5</c:v>
                </c:pt>
                <c:pt idx="4800">
                  <c:v>10</c:v>
                </c:pt>
                <c:pt idx="4801">
                  <c:v>14</c:v>
                </c:pt>
                <c:pt idx="4802">
                  <c:v>3.5</c:v>
                </c:pt>
                <c:pt idx="4803">
                  <c:v>10</c:v>
                </c:pt>
                <c:pt idx="4804">
                  <c:v>7.5</c:v>
                </c:pt>
                <c:pt idx="4805">
                  <c:v>10</c:v>
                </c:pt>
                <c:pt idx="4806">
                  <c:v>5.6</c:v>
                </c:pt>
                <c:pt idx="4807">
                  <c:v>19</c:v>
                </c:pt>
                <c:pt idx="4808">
                  <c:v>2.8</c:v>
                </c:pt>
                <c:pt idx="4809">
                  <c:v>7.5</c:v>
                </c:pt>
                <c:pt idx="4810">
                  <c:v>2.8</c:v>
                </c:pt>
                <c:pt idx="4811">
                  <c:v>2.2000000000000002</c:v>
                </c:pt>
                <c:pt idx="4812">
                  <c:v>10.5</c:v>
                </c:pt>
                <c:pt idx="4813">
                  <c:v>5.6</c:v>
                </c:pt>
                <c:pt idx="4814">
                  <c:v>14</c:v>
                </c:pt>
                <c:pt idx="4815">
                  <c:v>11</c:v>
                </c:pt>
                <c:pt idx="4816">
                  <c:v>19</c:v>
                </c:pt>
                <c:pt idx="4817">
                  <c:v>11.2</c:v>
                </c:pt>
                <c:pt idx="4818">
                  <c:v>2.8</c:v>
                </c:pt>
                <c:pt idx="4819">
                  <c:v>14</c:v>
                </c:pt>
                <c:pt idx="4820">
                  <c:v>8.8000000000000007</c:v>
                </c:pt>
                <c:pt idx="4821">
                  <c:v>14</c:v>
                </c:pt>
                <c:pt idx="4822">
                  <c:v>8.3999999999999986</c:v>
                </c:pt>
                <c:pt idx="4823">
                  <c:v>3.8</c:v>
                </c:pt>
                <c:pt idx="4824">
                  <c:v>3.8</c:v>
                </c:pt>
                <c:pt idx="4825">
                  <c:v>10.5</c:v>
                </c:pt>
                <c:pt idx="4826">
                  <c:v>3.8</c:v>
                </c:pt>
                <c:pt idx="4827">
                  <c:v>14</c:v>
                </c:pt>
                <c:pt idx="4828">
                  <c:v>3.5</c:v>
                </c:pt>
                <c:pt idx="4829">
                  <c:v>14</c:v>
                </c:pt>
                <c:pt idx="4830">
                  <c:v>4.4000000000000004</c:v>
                </c:pt>
                <c:pt idx="4831">
                  <c:v>8.8000000000000007</c:v>
                </c:pt>
                <c:pt idx="4832">
                  <c:v>5</c:v>
                </c:pt>
                <c:pt idx="4833">
                  <c:v>11.2</c:v>
                </c:pt>
                <c:pt idx="4834">
                  <c:v>7.6</c:v>
                </c:pt>
                <c:pt idx="4835">
                  <c:v>2.5</c:v>
                </c:pt>
                <c:pt idx="4836">
                  <c:v>8.8000000000000007</c:v>
                </c:pt>
                <c:pt idx="4837">
                  <c:v>11.2</c:v>
                </c:pt>
                <c:pt idx="4838">
                  <c:v>5.6</c:v>
                </c:pt>
                <c:pt idx="4839">
                  <c:v>11</c:v>
                </c:pt>
                <c:pt idx="4840">
                  <c:v>5.6</c:v>
                </c:pt>
                <c:pt idx="4841">
                  <c:v>7.6</c:v>
                </c:pt>
                <c:pt idx="4842">
                  <c:v>3.5</c:v>
                </c:pt>
                <c:pt idx="4843">
                  <c:v>5.6</c:v>
                </c:pt>
                <c:pt idx="4844">
                  <c:v>2.2000000000000002</c:v>
                </c:pt>
                <c:pt idx="4845">
                  <c:v>11</c:v>
                </c:pt>
                <c:pt idx="4846">
                  <c:v>14</c:v>
                </c:pt>
                <c:pt idx="4847">
                  <c:v>10</c:v>
                </c:pt>
                <c:pt idx="4848">
                  <c:v>4.4000000000000004</c:v>
                </c:pt>
                <c:pt idx="4849">
                  <c:v>7</c:v>
                </c:pt>
                <c:pt idx="4850">
                  <c:v>19</c:v>
                </c:pt>
                <c:pt idx="4851">
                  <c:v>12.5</c:v>
                </c:pt>
                <c:pt idx="4852">
                  <c:v>8.8000000000000007</c:v>
                </c:pt>
                <c:pt idx="4853">
                  <c:v>7.5</c:v>
                </c:pt>
                <c:pt idx="4854">
                  <c:v>3.5</c:v>
                </c:pt>
                <c:pt idx="4855">
                  <c:v>2.2000000000000002</c:v>
                </c:pt>
                <c:pt idx="4856">
                  <c:v>11.399999999999999</c:v>
                </c:pt>
                <c:pt idx="4857">
                  <c:v>6.6000000000000005</c:v>
                </c:pt>
                <c:pt idx="4858">
                  <c:v>6.6000000000000005</c:v>
                </c:pt>
                <c:pt idx="4859">
                  <c:v>7</c:v>
                </c:pt>
                <c:pt idx="4860">
                  <c:v>15.2</c:v>
                </c:pt>
                <c:pt idx="4861">
                  <c:v>2.2000000000000002</c:v>
                </c:pt>
                <c:pt idx="4862">
                  <c:v>14</c:v>
                </c:pt>
                <c:pt idx="4863">
                  <c:v>7</c:v>
                </c:pt>
                <c:pt idx="4864">
                  <c:v>12.5</c:v>
                </c:pt>
                <c:pt idx="4865">
                  <c:v>2.2000000000000002</c:v>
                </c:pt>
                <c:pt idx="4866">
                  <c:v>3.8</c:v>
                </c:pt>
                <c:pt idx="4867">
                  <c:v>10</c:v>
                </c:pt>
                <c:pt idx="4868">
                  <c:v>14</c:v>
                </c:pt>
                <c:pt idx="4869">
                  <c:v>7.6</c:v>
                </c:pt>
                <c:pt idx="4870">
                  <c:v>14</c:v>
                </c:pt>
                <c:pt idx="4871">
                  <c:v>11.399999999999999</c:v>
                </c:pt>
                <c:pt idx="4872">
                  <c:v>7</c:v>
                </c:pt>
                <c:pt idx="4873">
                  <c:v>2.8</c:v>
                </c:pt>
                <c:pt idx="4874">
                  <c:v>11.2</c:v>
                </c:pt>
                <c:pt idx="4875">
                  <c:v>10.5</c:v>
                </c:pt>
                <c:pt idx="4876">
                  <c:v>8.8000000000000007</c:v>
                </c:pt>
                <c:pt idx="4877">
                  <c:v>3.8</c:v>
                </c:pt>
                <c:pt idx="4878">
                  <c:v>5</c:v>
                </c:pt>
                <c:pt idx="4879">
                  <c:v>4.4000000000000004</c:v>
                </c:pt>
                <c:pt idx="4880">
                  <c:v>3.5</c:v>
                </c:pt>
                <c:pt idx="4881">
                  <c:v>6.6000000000000005</c:v>
                </c:pt>
                <c:pt idx="4882">
                  <c:v>5.6</c:v>
                </c:pt>
                <c:pt idx="4883">
                  <c:v>4.4000000000000004</c:v>
                </c:pt>
                <c:pt idx="4884">
                  <c:v>12.5</c:v>
                </c:pt>
                <c:pt idx="4885">
                  <c:v>10.5</c:v>
                </c:pt>
                <c:pt idx="4886">
                  <c:v>14</c:v>
                </c:pt>
                <c:pt idx="4887">
                  <c:v>19</c:v>
                </c:pt>
                <c:pt idx="4888">
                  <c:v>6.6000000000000005</c:v>
                </c:pt>
                <c:pt idx="4889">
                  <c:v>11</c:v>
                </c:pt>
                <c:pt idx="4890">
                  <c:v>7</c:v>
                </c:pt>
                <c:pt idx="4891">
                  <c:v>11</c:v>
                </c:pt>
                <c:pt idx="4892">
                  <c:v>7.6</c:v>
                </c:pt>
                <c:pt idx="4893">
                  <c:v>5.6</c:v>
                </c:pt>
                <c:pt idx="4894">
                  <c:v>6.6000000000000005</c:v>
                </c:pt>
                <c:pt idx="4895">
                  <c:v>5</c:v>
                </c:pt>
                <c:pt idx="4896">
                  <c:v>15.2</c:v>
                </c:pt>
                <c:pt idx="4897">
                  <c:v>7.6</c:v>
                </c:pt>
                <c:pt idx="4898">
                  <c:v>10.5</c:v>
                </c:pt>
                <c:pt idx="4899">
                  <c:v>14</c:v>
                </c:pt>
                <c:pt idx="4900">
                  <c:v>14</c:v>
                </c:pt>
                <c:pt idx="4901">
                  <c:v>7.5</c:v>
                </c:pt>
                <c:pt idx="4902">
                  <c:v>5</c:v>
                </c:pt>
                <c:pt idx="4903">
                  <c:v>11.399999999999999</c:v>
                </c:pt>
                <c:pt idx="4904">
                  <c:v>14</c:v>
                </c:pt>
                <c:pt idx="4905">
                  <c:v>11</c:v>
                </c:pt>
                <c:pt idx="4906">
                  <c:v>14</c:v>
                </c:pt>
                <c:pt idx="4907">
                  <c:v>11</c:v>
                </c:pt>
                <c:pt idx="4908">
                  <c:v>15.2</c:v>
                </c:pt>
                <c:pt idx="4909">
                  <c:v>14</c:v>
                </c:pt>
                <c:pt idx="4910">
                  <c:v>6.6000000000000005</c:v>
                </c:pt>
                <c:pt idx="4911">
                  <c:v>2.5</c:v>
                </c:pt>
                <c:pt idx="4912">
                  <c:v>3.5</c:v>
                </c:pt>
                <c:pt idx="4913">
                  <c:v>2.5</c:v>
                </c:pt>
                <c:pt idx="4914">
                  <c:v>11.399999999999999</c:v>
                </c:pt>
                <c:pt idx="4915">
                  <c:v>2.8</c:v>
                </c:pt>
                <c:pt idx="4916">
                  <c:v>19</c:v>
                </c:pt>
                <c:pt idx="4917">
                  <c:v>8.8000000000000007</c:v>
                </c:pt>
                <c:pt idx="4918">
                  <c:v>11.399999999999999</c:v>
                </c:pt>
                <c:pt idx="4919">
                  <c:v>4.4000000000000004</c:v>
                </c:pt>
                <c:pt idx="4920">
                  <c:v>15.2</c:v>
                </c:pt>
                <c:pt idx="4921">
                  <c:v>14</c:v>
                </c:pt>
                <c:pt idx="4922">
                  <c:v>19</c:v>
                </c:pt>
                <c:pt idx="4923">
                  <c:v>5</c:v>
                </c:pt>
                <c:pt idx="4924">
                  <c:v>3.8</c:v>
                </c:pt>
                <c:pt idx="4925">
                  <c:v>2.8</c:v>
                </c:pt>
                <c:pt idx="4926">
                  <c:v>17.5</c:v>
                </c:pt>
                <c:pt idx="4927">
                  <c:v>8.3999999999999986</c:v>
                </c:pt>
                <c:pt idx="4928">
                  <c:v>2.8</c:v>
                </c:pt>
                <c:pt idx="4929">
                  <c:v>15.2</c:v>
                </c:pt>
                <c:pt idx="4930">
                  <c:v>15.2</c:v>
                </c:pt>
                <c:pt idx="4931">
                  <c:v>10</c:v>
                </c:pt>
                <c:pt idx="4932">
                  <c:v>8.8000000000000007</c:v>
                </c:pt>
                <c:pt idx="4933">
                  <c:v>10.5</c:v>
                </c:pt>
                <c:pt idx="4934">
                  <c:v>15.2</c:v>
                </c:pt>
                <c:pt idx="4935">
                  <c:v>14</c:v>
                </c:pt>
                <c:pt idx="4936">
                  <c:v>5</c:v>
                </c:pt>
                <c:pt idx="4937">
                  <c:v>5.6</c:v>
                </c:pt>
                <c:pt idx="4938">
                  <c:v>7</c:v>
                </c:pt>
                <c:pt idx="4939">
                  <c:v>19</c:v>
                </c:pt>
                <c:pt idx="4940">
                  <c:v>12.5</c:v>
                </c:pt>
                <c:pt idx="4941">
                  <c:v>17.5</c:v>
                </c:pt>
                <c:pt idx="4942">
                  <c:v>2.5</c:v>
                </c:pt>
                <c:pt idx="4943">
                  <c:v>14</c:v>
                </c:pt>
                <c:pt idx="4944">
                  <c:v>7</c:v>
                </c:pt>
                <c:pt idx="4945">
                  <c:v>17.5</c:v>
                </c:pt>
                <c:pt idx="4946">
                  <c:v>5.6</c:v>
                </c:pt>
                <c:pt idx="4947">
                  <c:v>3.5</c:v>
                </c:pt>
                <c:pt idx="4948">
                  <c:v>7</c:v>
                </c:pt>
                <c:pt idx="4949">
                  <c:v>10.5</c:v>
                </c:pt>
                <c:pt idx="4950">
                  <c:v>8.3999999999999986</c:v>
                </c:pt>
                <c:pt idx="4951">
                  <c:v>10.5</c:v>
                </c:pt>
                <c:pt idx="4952">
                  <c:v>11.2</c:v>
                </c:pt>
                <c:pt idx="4953">
                  <c:v>7.6</c:v>
                </c:pt>
                <c:pt idx="4954">
                  <c:v>10.5</c:v>
                </c:pt>
                <c:pt idx="4955">
                  <c:v>3.5</c:v>
                </c:pt>
                <c:pt idx="4956">
                  <c:v>10.5</c:v>
                </c:pt>
                <c:pt idx="4957">
                  <c:v>8.8000000000000007</c:v>
                </c:pt>
                <c:pt idx="4958">
                  <c:v>10</c:v>
                </c:pt>
                <c:pt idx="4959">
                  <c:v>11</c:v>
                </c:pt>
                <c:pt idx="4960">
                  <c:v>8.3999999999999986</c:v>
                </c:pt>
                <c:pt idx="4961">
                  <c:v>19</c:v>
                </c:pt>
                <c:pt idx="4962">
                  <c:v>5</c:v>
                </c:pt>
                <c:pt idx="4963">
                  <c:v>14</c:v>
                </c:pt>
                <c:pt idx="4964">
                  <c:v>14</c:v>
                </c:pt>
                <c:pt idx="4965">
                  <c:v>7.5</c:v>
                </c:pt>
                <c:pt idx="4966">
                  <c:v>8.8000000000000007</c:v>
                </c:pt>
                <c:pt idx="4967">
                  <c:v>10</c:v>
                </c:pt>
                <c:pt idx="4968">
                  <c:v>2.5</c:v>
                </c:pt>
                <c:pt idx="4969">
                  <c:v>6.6000000000000005</c:v>
                </c:pt>
                <c:pt idx="4970">
                  <c:v>5</c:v>
                </c:pt>
                <c:pt idx="4971">
                  <c:v>11.399999999999999</c:v>
                </c:pt>
                <c:pt idx="4972">
                  <c:v>8.8000000000000007</c:v>
                </c:pt>
                <c:pt idx="4973">
                  <c:v>3.5</c:v>
                </c:pt>
                <c:pt idx="4974">
                  <c:v>17.5</c:v>
                </c:pt>
                <c:pt idx="4975">
                  <c:v>8.3999999999999986</c:v>
                </c:pt>
                <c:pt idx="4976">
                  <c:v>2.2000000000000002</c:v>
                </c:pt>
                <c:pt idx="4977">
                  <c:v>8.3999999999999986</c:v>
                </c:pt>
                <c:pt idx="4978">
                  <c:v>6.6000000000000005</c:v>
                </c:pt>
                <c:pt idx="4979">
                  <c:v>5.6</c:v>
                </c:pt>
                <c:pt idx="4980">
                  <c:v>11.2</c:v>
                </c:pt>
                <c:pt idx="4981">
                  <c:v>4.4000000000000004</c:v>
                </c:pt>
                <c:pt idx="4982">
                  <c:v>11.399999999999999</c:v>
                </c:pt>
                <c:pt idx="4983">
                  <c:v>12.5</c:v>
                </c:pt>
                <c:pt idx="4984">
                  <c:v>2.8</c:v>
                </c:pt>
                <c:pt idx="4985">
                  <c:v>2.2000000000000002</c:v>
                </c:pt>
                <c:pt idx="4986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66-4D50-9BC3-5C2A3501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5734000"/>
        <c:axId val="1005731088"/>
      </c:barChart>
      <c:catAx>
        <c:axId val="100573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005731088"/>
        <c:crosses val="autoZero"/>
        <c:auto val="1"/>
        <c:lblAlgn val="ctr"/>
        <c:lblOffset val="100"/>
        <c:noMultiLvlLbl val="0"/>
      </c:catAx>
      <c:valAx>
        <c:axId val="100573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005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Dashboard!$G$4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Dashboard!$F$5:$F$5003</c:f>
              <c:numCache>
                <c:formatCode>General</c:formatCode>
                <c:ptCount val="4999"/>
              </c:numCache>
            </c:numRef>
          </c:cat>
          <c:val>
            <c:numRef>
              <c:f>Dashboard!$G$5:$G$5003</c:f>
              <c:numCache>
                <c:formatCode>_-[$£-809]* #,##0.00_-;\-[$£-809]* #,##0.00_-;_-[$£-809]* "-"??_-;_-@_-</c:formatCode>
                <c:ptCount val="4999"/>
              </c:numCache>
            </c:numRef>
          </c:val>
          <c:extLst>
            <c:ext xmlns:c16="http://schemas.microsoft.com/office/drawing/2014/chart" uri="{C3380CC4-5D6E-409C-BE32-E72D297353CC}">
              <c16:uniqueId val="{00000000-B885-438D-8B06-AE684F48D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395676000"/>
        <c:axId val="395674752"/>
      </c:barChart>
      <c:catAx>
        <c:axId val="3956760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395674752"/>
        <c:crosses val="autoZero"/>
        <c:auto val="1"/>
        <c:lblAlgn val="ctr"/>
        <c:lblOffset val="100"/>
        <c:noMultiLvlLbl val="0"/>
      </c:catAx>
      <c:valAx>
        <c:axId val="3956747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3956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sz="16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Sales</a:t>
            </a:r>
          </a:p>
        </c:rich>
      </c:tx>
      <c:layout>
        <c:manualLayout>
          <c:xMode val="edge"/>
          <c:yMode val="edge"/>
          <c:x val="0.4039374453193350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Dashboard!$A$17:$A$21</c:f>
              <c:strCache>
                <c:ptCount val="5"/>
                <c:pt idx="0">
                  <c:v>Cappuccino</c:v>
                </c:pt>
                <c:pt idx="1">
                  <c:v>Croissant</c:v>
                </c:pt>
                <c:pt idx="2">
                  <c:v>Espresso</c:v>
                </c:pt>
                <c:pt idx="3">
                  <c:v>Latte</c:v>
                </c:pt>
                <c:pt idx="4">
                  <c:v>Muffin</c:v>
                </c:pt>
              </c:strCache>
            </c:strRef>
          </c:cat>
          <c:val>
            <c:numRef>
              <c:f>Dashboard!$B$17:$B$21</c:f>
              <c:numCache>
                <c:formatCode>_-[$£-809]* #,##0.00_-;\-[$£-809]* #,##0.00_-;_-[$£-809]* "-"??_-;_-@_-</c:formatCode>
                <c:ptCount val="5"/>
                <c:pt idx="0">
                  <c:v>10947.799999999987</c:v>
                </c:pt>
                <c:pt idx="1">
                  <c:v>8399.9999999999891</c:v>
                </c:pt>
                <c:pt idx="2">
                  <c:v>7295</c:v>
                </c:pt>
                <c:pt idx="3">
                  <c:v>10948.599999999997</c:v>
                </c:pt>
                <c:pt idx="4">
                  <c:v>6798.0000000000055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2-44F1-9A10-E168FC238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2777232"/>
        <c:axId val="202775152"/>
      </c:barChart>
      <c:catAx>
        <c:axId val="202777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202775152"/>
        <c:crosses val="autoZero"/>
        <c:auto val="1"/>
        <c:lblAlgn val="ctr"/>
        <c:lblOffset val="100"/>
        <c:noMultiLvlLbl val="0"/>
      </c:catAx>
      <c:valAx>
        <c:axId val="20277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20277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City</a:t>
            </a:r>
            <a:r>
              <a:rPr lang="en-US" sz="16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Revenue</a:t>
            </a:r>
          </a:p>
        </c:rich>
      </c:tx>
      <c:layout>
        <c:manualLayout>
          <c:xMode val="edge"/>
          <c:yMode val="edge"/>
          <c:x val="0.4099413549868766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878531802964226"/>
          <c:y val="0.16498639760130937"/>
          <c:w val="0.76338972347857714"/>
          <c:h val="0.58346440173065861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Dashboard!$I$17:$I$22</c:f>
              <c:strCache>
                <c:ptCount val="6"/>
                <c:pt idx="0">
                  <c:v>Manchester</c:v>
                </c:pt>
                <c:pt idx="1">
                  <c:v>Leeds </c:v>
                </c:pt>
                <c:pt idx="2">
                  <c:v>Bristol</c:v>
                </c:pt>
                <c:pt idx="3">
                  <c:v>Birmingham</c:v>
                </c:pt>
                <c:pt idx="4">
                  <c:v>London</c:v>
                </c:pt>
                <c:pt idx="5">
                  <c:v>N/A</c:v>
                </c:pt>
              </c:strCache>
            </c:strRef>
          </c:cat>
          <c:val>
            <c:numRef>
              <c:f>Dashboard!$J$17:$J$22</c:f>
              <c:numCache>
                <c:formatCode>_-[$£-809]* #,##0.00_-;\-[$£-809]* #,##0.00_-;_-[$£-809]* "-"??_-;_-@_-</c:formatCode>
                <c:ptCount val="6"/>
                <c:pt idx="0">
                  <c:v>8734.4999999999927</c:v>
                </c:pt>
                <c:pt idx="1">
                  <c:v>8801.0999999999931</c:v>
                </c:pt>
                <c:pt idx="2">
                  <c:v>8796.6</c:v>
                </c:pt>
                <c:pt idx="3">
                  <c:v>8375.1000000000022</c:v>
                </c:pt>
                <c:pt idx="4">
                  <c:v>9322</c:v>
                </c:pt>
                <c:pt idx="5">
                  <c:v>360.09999999999997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B-418A-8E5D-C3149FBEE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91206912"/>
        <c:axId val="391207744"/>
        <c:axId val="636984192"/>
      </c:bar3DChart>
      <c:catAx>
        <c:axId val="39120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391207744"/>
        <c:crosses val="autoZero"/>
        <c:auto val="1"/>
        <c:lblAlgn val="ctr"/>
        <c:lblOffset val="100"/>
        <c:noMultiLvlLbl val="0"/>
      </c:catAx>
      <c:valAx>
        <c:axId val="3912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391206912"/>
        <c:crosses val="autoZero"/>
        <c:crossBetween val="between"/>
      </c:valAx>
      <c:serAx>
        <c:axId val="63698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39120774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Stores</a:t>
            </a:r>
            <a:r>
              <a:rPr lang="en-US" sz="1600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Revenue</a:t>
            </a:r>
            <a:endParaRPr lang="en-US" sz="16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Dashboard!$Q$16</c:f>
              <c:strCache>
                <c:ptCount val="1"/>
                <c:pt idx="0">
                  <c:v> Revenue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Dashboard!$P$17:$P$20</c:f>
              <c:strCache>
                <c:ptCount val="4"/>
                <c:pt idx="0">
                  <c:v>Central </c:v>
                </c:pt>
                <c:pt idx="1">
                  <c:v>Riverside </c:v>
                </c:pt>
                <c:pt idx="2">
                  <c:v>Station </c:v>
                </c:pt>
                <c:pt idx="3">
                  <c:v>High Street </c:v>
                </c:pt>
              </c:strCache>
            </c:strRef>
          </c:cat>
          <c:val>
            <c:numRef>
              <c:f>Dashboard!$Q$17:$Q$20</c:f>
              <c:numCache>
                <c:formatCode>_-[$£-809]* #,##0.00_-;\-[$£-809]* #,##0.00_-;_-[$£-809]* "-"??_-;_-@_-</c:formatCode>
                <c:ptCount val="4"/>
                <c:pt idx="0">
                  <c:v>10905.300000000003</c:v>
                </c:pt>
                <c:pt idx="1">
                  <c:v>10831.199999999999</c:v>
                </c:pt>
                <c:pt idx="2">
                  <c:v>11559.399999999992</c:v>
                </c:pt>
                <c:pt idx="3">
                  <c:v>11093.499999999985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9-445E-8A94-D8656139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75904192"/>
        <c:axId val="1259701568"/>
        <c:axId val="636975760"/>
      </c:bar3DChart>
      <c:catAx>
        <c:axId val="7759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1259701568"/>
        <c:crosses val="autoZero"/>
        <c:auto val="1"/>
        <c:lblAlgn val="ctr"/>
        <c:lblOffset val="100"/>
        <c:noMultiLvlLbl val="0"/>
      </c:catAx>
      <c:valAx>
        <c:axId val="12597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775904192"/>
        <c:crosses val="autoZero"/>
        <c:crossBetween val="between"/>
      </c:valAx>
      <c:serAx>
        <c:axId val="636975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1259701568"/>
        <c:crosses val="autoZero"/>
      </c:serAx>
      <c:spPr>
        <a:solidFill>
          <a:schemeClr val="accent3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Monthly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Dashboard!$A$38:$A$49</c:f>
              <c:strCache>
                <c:ptCount val="12"/>
                <c:pt idx="0">
                  <c:v>January</c:v>
                </c:pt>
                <c:pt idx="1">
                  <c:v>Feraury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 </c:v>
                </c:pt>
                <c:pt idx="6">
                  <c:v>July 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 </c:v>
                </c:pt>
              </c:strCache>
            </c:strRef>
          </c:cat>
          <c:val>
            <c:numRef>
              <c:f>Dashboard!$B$38:$B$49</c:f>
              <c:numCache>
                <c:formatCode>_-[$£-809]* #,##0.00_-;\-[$£-809]* #,##0.00_-;_-[$£-809]* "-"??_-;_-@_-</c:formatCode>
                <c:ptCount val="12"/>
                <c:pt idx="0">
                  <c:v>3765.8000000000025</c:v>
                </c:pt>
                <c:pt idx="1">
                  <c:v>3526.5000000000005</c:v>
                </c:pt>
                <c:pt idx="2">
                  <c:v>4026.1999999999989</c:v>
                </c:pt>
                <c:pt idx="3">
                  <c:v>3775.3000000000029</c:v>
                </c:pt>
                <c:pt idx="4">
                  <c:v>3384.9999999999995</c:v>
                </c:pt>
                <c:pt idx="5">
                  <c:v>3541.300000000002</c:v>
                </c:pt>
                <c:pt idx="6">
                  <c:v>3717.4999999999977</c:v>
                </c:pt>
                <c:pt idx="7">
                  <c:v>3696.2000000000007</c:v>
                </c:pt>
                <c:pt idx="8">
                  <c:v>3539.7</c:v>
                </c:pt>
                <c:pt idx="9">
                  <c:v>3672.7000000000007</c:v>
                </c:pt>
                <c:pt idx="10">
                  <c:v>4063.8</c:v>
                </c:pt>
                <c:pt idx="11">
                  <c:v>3679.4000000000019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1-498F-85A2-1624903B6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267200"/>
        <c:axId val="1211266784"/>
      </c:lineChart>
      <c:catAx>
        <c:axId val="12112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1211266784"/>
        <c:crosses val="autoZero"/>
        <c:auto val="1"/>
        <c:lblAlgn val="ctr"/>
        <c:lblOffset val="100"/>
        <c:noMultiLvlLbl val="0"/>
      </c:catAx>
      <c:valAx>
        <c:axId val="121126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121126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6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ysClr val="windowText" lastClr="0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Payment Methods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1F05-4C33-872D-F9A609AFA27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1F05-4C33-872D-F9A609AFA27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1F05-4C33-872D-F9A609AFA2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NG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Dashboard!$I$40:$I$42</c:f>
              <c:strCache>
                <c:ptCount val="3"/>
                <c:pt idx="0">
                  <c:v>Card</c:v>
                </c:pt>
                <c:pt idx="1">
                  <c:v>Apple Pay</c:v>
                </c:pt>
                <c:pt idx="2">
                  <c:v>Cash</c:v>
                </c:pt>
              </c:strCache>
            </c:strRef>
          </c:cat>
          <c:val>
            <c:numRef>
              <c:f>Dashboard!$J$40:$J$42</c:f>
              <c:numCache>
                <c:formatCode>General</c:formatCode>
                <c:ptCount val="3"/>
                <c:pt idx="0">
                  <c:v>1648</c:v>
                </c:pt>
                <c:pt idx="1">
                  <c:v>1668</c:v>
                </c:pt>
                <c:pt idx="2">
                  <c:v>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9-4AD3-92DE-4BDFD48CB04C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ln>
      <a:noFill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Category Order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Dashboard!$P$40</c:f>
              <c:strCache>
                <c:ptCount val="1"/>
                <c:pt idx="0">
                  <c:v>No of times food is Ordered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Dashboard!$Q$39</c:f>
              <c:strCache>
                <c:ptCount val="1"/>
                <c:pt idx="0">
                  <c:v>No of Times</c:v>
                </c:pt>
              </c:strCache>
            </c:strRef>
          </c:cat>
          <c:val>
            <c:numRef>
              <c:f>Dashboard!$Q$40</c:f>
              <c:numCache>
                <c:formatCode>General</c:formatCode>
                <c:ptCount val="1"/>
                <c:pt idx="0">
                  <c:v>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A-478B-8656-25F5D446F455}"/>
            </c:ext>
          </c:extLst>
        </c:ser>
        <c:ser>
          <c:idx val="1"/>
          <c:order val="1"/>
          <c:tx>
            <c:strRef>
              <c:f>Dashboard!$P$41</c:f>
              <c:strCache>
                <c:ptCount val="1"/>
                <c:pt idx="0">
                  <c:v>No of times Drink is Ordered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Dashboard!$Q$39</c:f>
              <c:strCache>
                <c:ptCount val="1"/>
                <c:pt idx="0">
                  <c:v>No of Times</c:v>
                </c:pt>
              </c:strCache>
            </c:strRef>
          </c:cat>
          <c:val>
            <c:numRef>
              <c:f>Dashboard!$Q$41</c:f>
              <c:numCache>
                <c:formatCode>General</c:formatCode>
                <c:ptCount val="1"/>
                <c:pt idx="0">
                  <c:v>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A-478B-8656-25F5D446F455}"/>
            </c:ext>
          </c:extLst>
        </c:ser>
        <c:ser>
          <c:idx val="2"/>
          <c:order val="2"/>
          <c:tx>
            <c:strRef>
              <c:f>Dashboard!$P$42</c:f>
              <c:strCache>
                <c:ptCount val="1"/>
                <c:pt idx="0">
                  <c:v>Total Order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Dashboard!$Q$39</c:f>
              <c:strCache>
                <c:ptCount val="1"/>
                <c:pt idx="0">
                  <c:v>No of Times</c:v>
                </c:pt>
              </c:strCache>
            </c:strRef>
          </c:cat>
          <c:val>
            <c:numRef>
              <c:f>Dashboard!$Q$42</c:f>
              <c:numCache>
                <c:formatCode>General</c:formatCode>
                <c:ptCount val="1"/>
                <c:pt idx="0">
                  <c:v>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2E-424A-8F88-7DCE92F00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71198400"/>
        <c:axId val="571195488"/>
      </c:barChart>
      <c:catAx>
        <c:axId val="571198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71195488"/>
        <c:crosses val="autoZero"/>
        <c:auto val="1"/>
        <c:lblAlgn val="ctr"/>
        <c:lblOffset val="100"/>
        <c:noMultiLvlLbl val="0"/>
      </c:catAx>
      <c:valAx>
        <c:axId val="57119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NG"/>
          </a:p>
        </c:txPr>
        <c:crossAx val="5711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F3082-827F-4217-B15C-D98C2AAD1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4983</xdr:row>
      <xdr:rowOff>152400</xdr:rowOff>
    </xdr:from>
    <xdr:to>
      <xdr:col>12</xdr:col>
      <xdr:colOff>390525</xdr:colOff>
      <xdr:row>4998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142875</xdr:colOff>
      <xdr:row>14</xdr:row>
      <xdr:rowOff>181938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171450</xdr:colOff>
      <xdr:row>0</xdr:row>
      <xdr:rowOff>0</xdr:rowOff>
    </xdr:from>
    <xdr:to>
      <xdr:col>14</xdr:col>
      <xdr:colOff>476250</xdr:colOff>
      <xdr:row>14</xdr:row>
      <xdr:rowOff>181938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476250</xdr:colOff>
      <xdr:row>0</xdr:row>
      <xdr:rowOff>0</xdr:rowOff>
    </xdr:from>
    <xdr:to>
      <xdr:col>22</xdr:col>
      <xdr:colOff>171450</xdr:colOff>
      <xdr:row>15</xdr:row>
      <xdr:rowOff>10701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22</xdr:row>
      <xdr:rowOff>181938</xdr:rowOff>
    </xdr:from>
    <xdr:to>
      <xdr:col>7</xdr:col>
      <xdr:colOff>139130</xdr:colOff>
      <xdr:row>36</xdr:row>
      <xdr:rowOff>181938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154112</xdr:colOff>
      <xdr:row>22</xdr:row>
      <xdr:rowOff>181938</xdr:rowOff>
    </xdr:from>
    <xdr:to>
      <xdr:col>14</xdr:col>
      <xdr:colOff>524410</xdr:colOff>
      <xdr:row>36</xdr:row>
      <xdr:rowOff>181937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539393</xdr:colOff>
      <xdr:row>22</xdr:row>
      <xdr:rowOff>169523</xdr:rowOff>
    </xdr:from>
    <xdr:to>
      <xdr:col>22</xdr:col>
      <xdr:colOff>192641</xdr:colOff>
      <xdr:row>36</xdr:row>
      <xdr:rowOff>192640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edolapo ojo" refreshedDate="46266.528495486113" createdVersion="7" refreshedVersion="7" minRefreshableVersion="3" recordCount="4999" xr:uid="{1EC31EF4-5A00-492C-84C7-89805C033092}">
  <cacheSource type="worksheet">
    <worksheetSource name="Store_Record"/>
  </cacheSource>
  <cacheFields count="14">
    <cacheField name="OrderID" numFmtId="0">
      <sharedItems count="4987">
        <s v="ORD103281"/>
        <s v="ORD103507"/>
        <s v="ORD104386"/>
        <s v="ORD104279"/>
        <s v="ORD100247"/>
        <s v="ORD102216"/>
        <s v="ORD100872"/>
        <s v="ORD104910"/>
        <s v="ORD100482"/>
        <s v="ORD101416"/>
        <s v="ORD103718"/>
        <s v="ORD100175"/>
        <s v="ORD103190"/>
        <s v="ORD101018"/>
        <s v="ORD104643"/>
        <s v="ORD102477"/>
        <s v="ORD100373"/>
        <s v="ORD102220"/>
        <s v="ORD102977"/>
        <s v="ORD101834"/>
        <s v="ORD102758"/>
        <s v="ORD101930"/>
        <s v="ORD103634"/>
        <s v="ORD100017"/>
        <s v="ORD101619"/>
        <s v="ORD100468"/>
        <s v="ORD103430"/>
        <s v="ORD102319"/>
        <s v="ORD101338"/>
        <s v="ORD101847"/>
        <s v="ORD101624"/>
        <s v="ORD100940"/>
        <s v="ORD102360"/>
        <s v="ORD103709"/>
        <s v="ORD103912"/>
        <s v="ORD100004"/>
        <s v="ORD104642"/>
        <s v="ORD102834"/>
        <s v="ORD101045"/>
        <s v="ORD104672"/>
        <s v="ORD104303"/>
        <s v="ORD103331"/>
        <s v="ORD103638"/>
        <s v="ORD100680"/>
        <s v="ORD103258"/>
        <s v="ORD104328"/>
        <s v="ORD101804"/>
        <s v="ORD104323"/>
        <s v="ORD101476"/>
        <s v="ORD100998"/>
        <s v="ORD102831"/>
        <s v="ORD100490"/>
        <s v="ORD103484"/>
        <s v="ORD101282"/>
        <s v="ORD102980"/>
        <s v="ORD103422"/>
        <s v="ORD104701"/>
        <s v="ORD101083"/>
        <s v="ORD100131"/>
        <s v="ORD100411"/>
        <s v="ORD101186"/>
        <s v="ORD103837"/>
        <s v="ORD100155"/>
        <s v="ORD101559"/>
        <s v="ORD104903"/>
        <s v="ORD104879"/>
        <s v="ORD104337"/>
        <s v="ORD102076"/>
        <s v="ORD104302"/>
        <s v="ORD102304"/>
        <s v="ORD102783"/>
        <s v="ORD104055"/>
        <s v="ORD100085"/>
        <s v="ORD101871"/>
        <s v="ORD100400"/>
        <s v="ORD102238"/>
        <s v="ORD104470"/>
        <s v="ORD100307"/>
        <s v="ORD102523"/>
        <s v="ORD103443"/>
        <s v="ORD102922"/>
        <s v="ORD100180"/>
        <s v="ORD104975"/>
        <s v="ORD100803"/>
        <s v="ORD104006"/>
        <s v="ORD104722"/>
        <s v="ORD101374"/>
        <s v="ORD103891"/>
        <s v="ORD104515"/>
        <s v="ORD101070"/>
        <s v="ORD101300"/>
        <s v="ORD101564"/>
        <s v="ORD104549"/>
        <s v="ORD104160"/>
        <s v="ORD101250"/>
        <s v="ORD102567"/>
        <s v="ORD101451"/>
        <s v="ORD100662"/>
        <s v="ORD103185"/>
        <s v="ORD103736"/>
        <s v="ORD104307"/>
        <s v="ORD100849"/>
        <s v="ORD101522"/>
        <s v="ORD100388"/>
        <s v="ORD101791"/>
        <s v="ORD101926"/>
        <s v="ORD102737"/>
        <s v="ORD101001"/>
        <s v="ORD103447"/>
        <s v="ORD102409"/>
        <s v="ORD102028"/>
        <s v="ORD103639"/>
        <s v="ORD101743"/>
        <s v="ORD104080"/>
        <s v="ORD101424"/>
        <s v="ORD101427"/>
        <s v="ORD103858"/>
        <s v="ORD104897"/>
        <s v="ORD100700"/>
        <s v="ORD102534"/>
        <s v="ORD100313"/>
        <s v="ORD100864"/>
        <s v="ORD102334"/>
        <s v="ORD103092"/>
        <s v="ORD100136"/>
        <s v="ORD103963"/>
        <s v="ORD101457"/>
        <s v="ORD102617"/>
        <s v="ORD103203"/>
        <s v="ORD100695"/>
        <s v="ORD103703"/>
        <s v="ORD103555"/>
        <s v="ORD102051"/>
        <s v="ORD102081"/>
        <s v="ORD100783"/>
        <s v="ORD102773"/>
        <s v="ORD104776"/>
        <s v="ORD101797"/>
        <s v="ORD102420"/>
        <s v="ORD104048"/>
        <s v="ORD104869"/>
        <s v="ORD102690"/>
        <s v="ORD103457"/>
        <s v="ORD104633"/>
        <s v="ORD102935"/>
        <s v="ORD101333"/>
        <s v="ORD103439"/>
        <s v="ORD103283"/>
        <s v="ORD104185"/>
        <s v="ORD103624"/>
        <s v="ORD103791"/>
        <s v="ORD103224"/>
        <s v="ORD100811"/>
        <s v="ORD103727"/>
        <s v="ORD103077"/>
        <s v="ORD100374"/>
        <s v="ORD100967"/>
        <s v="ORD103926"/>
        <s v="ORD102490"/>
        <s v="ORD104385"/>
        <s v="ORD104678"/>
        <s v="ORD104695"/>
        <s v="ORD101205"/>
        <s v="ORD102233"/>
        <s v="ORD102397"/>
        <s v="ORD103944"/>
        <s v="ORD103307"/>
        <s v="ORD103654"/>
        <s v="ORD100363"/>
        <s v="ORD104332"/>
        <s v="ORD101177"/>
        <s v="ORD104490"/>
        <s v="ORD100041"/>
        <s v="ORD100005"/>
        <s v="ORD101092"/>
        <s v="ORD104122"/>
        <s v="ORD104407"/>
        <s v="ORD100336"/>
        <s v="ORD100707"/>
        <s v="ORD103600"/>
        <s v="ORD101046"/>
        <s v="ORD104326"/>
        <s v="ORD100915"/>
        <s v="ORD104730"/>
        <s v="ORD101741"/>
        <s v="ORD102417"/>
        <s v="ORD102468"/>
        <s v="ORD104935"/>
        <s v="ORD100792"/>
        <s v="ORD102852"/>
        <s v="ORD104710"/>
        <s v="ORD102253"/>
        <s v="ORD104868"/>
        <s v="ORD100772"/>
        <s v="ORD103995"/>
        <s v="ORD103761"/>
        <s v="ORD101240"/>
        <s v="ORD104609"/>
        <s v="ORD100050"/>
        <s v="ORD103964"/>
        <s v="ORD101167"/>
        <s v="ORD104237"/>
        <s v="ORD104792"/>
        <s v="ORD103683"/>
        <s v="ORD102139"/>
        <s v="ORD102925"/>
        <s v="ORD103172"/>
        <s v="ORD101098"/>
        <s v="ORD104866"/>
        <s v="ORD102474"/>
        <s v="ORD103347"/>
        <s v="ORD104223"/>
        <s v="ORD101551"/>
        <s v="ORD103265"/>
        <s v="ORD104858"/>
        <s v="ORD103723"/>
        <s v="ORD100251"/>
        <s v="ORD104367"/>
        <s v="ORD101232"/>
        <s v="ORD102872"/>
        <s v="ORD102347"/>
        <s v="ORD100173"/>
        <s v="ORD101855"/>
        <s v="ORD103467"/>
        <s v="ORD104278"/>
        <s v="ORD102148"/>
        <s v="ORD103414"/>
        <s v="ORD102193"/>
        <s v="ORD104626"/>
        <s v="ORD102661"/>
        <s v="ORD102203"/>
        <s v="ORD100885"/>
        <s v="ORD100249"/>
        <s v="ORD101783"/>
        <s v="ORD102704"/>
        <s v="ORD100140"/>
        <s v="ORD101770"/>
        <s v="ORD101230"/>
        <s v="ORD100844"/>
        <s v="ORD101557"/>
        <s v="ORD102180"/>
        <s v="ORD100020"/>
        <s v="ORD102461"/>
        <s v="ORD100051"/>
        <s v="ORD104457"/>
        <s v="ORD104706"/>
        <s v="ORD104037"/>
        <s v="ORD104149"/>
        <s v="ORD102833"/>
        <s v="ORD101975"/>
        <s v="ORD102333"/>
        <s v="ORD103816"/>
        <s v="ORD101425"/>
        <s v="ORD101739"/>
        <s v="ORD102101"/>
        <s v="ORD103021"/>
        <s v="ORD104347"/>
        <s v="ORD102917"/>
        <s v="ORD103537"/>
        <s v="ORD104694"/>
        <s v="ORD104331"/>
        <s v="ORD100320"/>
        <s v="ORD103031"/>
        <s v="ORD101716"/>
        <s v="ORD102296"/>
        <s v="ORD102169"/>
        <s v="ORD104968"/>
        <s v="ORD101815"/>
        <s v="ORD103543"/>
        <s v="ORD101062"/>
        <s v="ORD101400"/>
        <s v="ORD101734"/>
        <s v="ORD100658"/>
        <s v="ORD103691"/>
        <s v="ORD104807"/>
        <s v="ORD103368"/>
        <s v="ORD104887"/>
        <s v="ORD100911"/>
        <s v="ORD103716"/>
        <s v="ORD101709"/>
        <s v="ORD100294"/>
        <s v="ORD103151"/>
        <s v="ORD102469"/>
        <s v="ORD103350"/>
        <s v="ORD100097"/>
        <s v="ORD101674"/>
        <s v="ORD104316"/>
        <s v="ORD100666"/>
        <s v="ORD102734"/>
        <s v="ORD103146"/>
        <s v="ORD101620"/>
        <s v="ORD101698"/>
        <s v="ORD103356"/>
        <s v="ORD104104"/>
        <s v="ORD104119"/>
        <s v="ORD100222"/>
        <s v="ORD104289"/>
        <s v="ORD102861"/>
        <s v="ORD104101"/>
        <s v="ORD101704"/>
        <s v="ORD101944"/>
        <s v="ORD101195"/>
        <s v="ORD103746"/>
        <s v="ORD102533"/>
        <s v="ORD101331"/>
        <s v="ORD102105"/>
        <s v="ORD100694"/>
        <s v="ORD101893"/>
        <s v="ORD103883"/>
        <s v="ORD100295"/>
        <s v="ORD102342"/>
        <s v="ORD102096"/>
        <s v="ORD101294"/>
        <s v="ORD101635"/>
        <s v="ORD101351"/>
        <s v="ORD102742"/>
        <s v="ORD102625"/>
        <s v="ORD102648"/>
        <s v="ORD104444"/>
        <s v="ORD100343"/>
        <s v="ORD100569"/>
        <s v="ORD103808"/>
        <s v="ORD103591"/>
        <s v="ORD102206"/>
        <s v="ORD103814"/>
        <s v="ORD104679"/>
        <s v="ORD100431"/>
        <s v="ORD102573"/>
        <s v="ORD102607"/>
        <s v="ORD100682"/>
        <s v="ORD104644"/>
        <s v="ORD102708"/>
        <s v="ORD102869"/>
        <s v="ORD104964"/>
        <s v="ORD100820"/>
        <s v="ORD100215"/>
        <s v="ORD103128"/>
        <s v="ORD101953"/>
        <s v="ORD100881"/>
        <s v="ORD102221"/>
        <s v="ORD102164"/>
        <s v="ORD103821"/>
        <s v="ORD104814"/>
        <s v="ORD103179"/>
        <s v="ORD101437"/>
        <s v="ORD102803"/>
        <s v="ORD103938"/>
        <s v="ORD100254"/>
        <s v="ORD104116"/>
        <s v="ORD104520"/>
        <s v="ORD103080"/>
        <s v="ORD100519"/>
        <s v="ORD103251"/>
        <s v="ORD103910"/>
        <s v="ORD101861"/>
        <s v="ORD102759"/>
        <s v="ORD100207"/>
        <s v="ORD102943"/>
        <s v="ORD104359"/>
        <s v="ORD103585"/>
        <s v="ORD104925"/>
        <s v="ORD103449"/>
        <s v="ORD100000"/>
        <s v="ORD100007"/>
        <s v="ORD103390"/>
        <s v="ORD104564"/>
        <s v="ORD101064"/>
        <s v="ORD102315"/>
        <s v="ORD102287"/>
        <s v="ORD103378"/>
        <s v="ORD100037"/>
        <s v="ORD102946"/>
        <s v="ORD104253"/>
        <s v="ORD104765"/>
        <s v="ORD100250"/>
        <s v="ORD102429"/>
        <s v="ORD102878"/>
        <s v="ORD103790"/>
        <s v="ORD101678"/>
        <s v="ORD100233"/>
        <s v="ORD100769"/>
        <s v="ORD103157"/>
        <s v="ORD101140"/>
        <s v="ORD103771"/>
        <s v="ORD101469"/>
        <s v="ORD104687"/>
        <s v="ORD102121"/>
        <s v="ORD103369"/>
        <s v="ORD102539"/>
        <s v="ORD101949"/>
        <s v="ORD103546"/>
        <s v="ORD102088"/>
        <s v="ORD102279"/>
        <s v="ORD102389"/>
        <s v="ORD100285"/>
        <s v="ORD102189"/>
        <s v="ORD104835"/>
        <s v="ORD100465"/>
        <s v="ORD100839"/>
        <s v="ORD101169"/>
        <s v="ORD103405"/>
        <s v="ORD103125"/>
        <s v="ORD104662"/>
        <s v="ORD104977"/>
        <s v="ORD101883"/>
        <s v="ORD101041"/>
        <s v="ORD102338"/>
        <s v="ORD101952"/>
        <s v="ORD102967"/>
        <s v="ORD100503"/>
        <s v="ORD103501"/>
        <s v="ORD102839"/>
        <s v="ORD100036"/>
        <s v="ORD100187"/>
        <s v="ORD104622"/>
        <s v="ORD100257"/>
        <s v="ORD102986"/>
        <s v="ORD103734"/>
        <s v="ORD102580"/>
        <s v="ORD102897"/>
        <s v="ORD104132"/>
        <s v="ORD104065"/>
        <s v="ORD100962"/>
        <s v="ORD102214"/>
        <s v="ORD101283"/>
        <s v="ORD101749"/>
        <s v="ORD101601"/>
        <s v="ORD104345"/>
        <s v="ORD101946"/>
        <s v="ORD104705"/>
        <s v="ORD102458"/>
        <s v="ORD103476"/>
        <s v="ORD100702"/>
        <s v="ORD100265"/>
        <s v="ORD100528"/>
        <s v="ORD104484"/>
        <s v="ORD100138"/>
        <s v="ORD103363"/>
        <s v="ORD100620"/>
        <s v="ORD101280"/>
        <s v="ORD103395"/>
        <s v="ORD100033"/>
        <s v="ORD100817"/>
        <s v="ORD101612"/>
        <s v="ORD100640"/>
        <s v="ORD102695"/>
        <s v="ORD104423"/>
        <s v="ORD101999"/>
        <s v="ORD103730"/>
        <s v="ORD103519"/>
        <s v="ORD101631"/>
        <s v="ORD102620"/>
        <s v="ORD103216"/>
        <s v="ORD103465"/>
        <s v="ORD103564"/>
        <s v="ORD104984"/>
        <s v="ORD100292"/>
        <s v="ORD102722"/>
        <s v="ORD102371"/>
        <s v="ORD102213"/>
        <s v="ORD100366"/>
        <s v="ORD104927"/>
        <s v="ORD103346"/>
        <s v="ORD101714"/>
        <s v="ORD103558"/>
        <s v="ORD100070"/>
        <s v="ORD102818"/>
        <s v="ORD103198"/>
        <s v="ORD101367"/>
        <s v="ORD103194"/>
        <s v="ORD104771"/>
        <s v="ORD100001"/>
        <s v="ORD103491"/>
        <s v="ORD100635"/>
        <s v="ORD101158"/>
        <s v="ORD103435"/>
        <s v="ORD102136"/>
        <s v="ORD103246"/>
        <s v="ORD102571"/>
        <s v="ORD104872"/>
        <s v="ORD100043"/>
        <s v="ORD100354"/>
        <s v="ORD100573"/>
        <s v="ORD103353"/>
        <s v="ORD100672"/>
        <s v="ORD104603"/>
        <s v="ORD100117"/>
        <s v="ORD101371"/>
        <s v="ORD100342"/>
        <s v="ORD103785"/>
        <s v="ORD100714"/>
        <s v="ORD100725"/>
        <s v="ORD104318"/>
        <s v="ORD104836"/>
        <s v="ORD101819"/>
        <s v="ORD101383"/>
        <s v="ORD104209"/>
        <s v="ORD102608"/>
        <s v="ORD102856"/>
        <s v="ORD102864"/>
        <s v="ORD102404"/>
        <s v="ORD102547"/>
        <s v="ORD101611"/>
        <s v="ORD102366"/>
        <s v="ORD104908"/>
        <s v="ORD102115"/>
        <s v="ORD103928"/>
        <s v="ORD104363"/>
        <s v="ORD104443"/>
        <s v="ORD101757"/>
        <s v="ORD104493"/>
        <s v="ORD103839"/>
        <s v="ORD104220"/>
        <s v="ORD104391"/>
        <s v="ORD101621"/>
        <s v="ORD100966"/>
        <s v="ORD100834"/>
        <s v="ORD103965"/>
        <s v="ORD100995"/>
        <s v="ORD102785"/>
        <s v="ORD101313"/>
        <s v="ORD102557"/>
        <s v="ORD101602"/>
        <s v="ORD101971"/>
        <s v="ORD102077"/>
        <s v="ORD100804"/>
        <s v="ORD102073"/>
        <s v="ORD100983"/>
        <s v="ORD103373"/>
        <s v="ORD103595"/>
        <s v="ORD103046"/>
        <s v="ORD103410"/>
        <s v="ORD104036"/>
        <s v="ORD103909"/>
        <s v="ORD101066"/>
        <s v="ORD104985"/>
        <s v="ORD103116"/>
        <s v="ORD102106"/>
        <s v="ORD102551"/>
        <s v="ORD100603"/>
        <s v="ORD104649"/>
        <s v="ORD101372"/>
        <s v="ORD103367"/>
        <s v="ORD101765"/>
        <s v="ORD102145"/>
        <s v="ORD104665"/>
        <s v="ORD100202"/>
        <s v="ORD103204"/>
        <s v="ORD101000"/>
        <s v="ORD101713"/>
        <s v="ORD104784"/>
        <s v="ORD104902"/>
        <s v="ORD102307"/>
        <s v="ORD103630"/>
        <s v="ORD104295"/>
        <s v="ORD101532"/>
        <s v="ORD102832"/>
        <s v="ORD103997"/>
        <s v="ORD103336"/>
        <s v="ORD104958"/>
        <s v="ORD104933"/>
        <s v="ORD103662"/>
        <s v="ORD102500"/>
        <s v="ORD103990"/>
        <s v="ORD104530"/>
        <s v="ORD102359"/>
        <s v="ORD102507"/>
        <s v="ORD104078"/>
        <s v="ORD101539"/>
        <s v="ORD103345"/>
        <s v="ORD102685"/>
        <s v="ORD100899"/>
        <s v="ORD100919"/>
        <s v="ORD102938"/>
        <s v="ORD104353"/>
        <s v="ORD102445"/>
        <s v="ORD102456"/>
        <s v="ORD103661"/>
        <s v="ORD100164"/>
        <s v="ORD101097"/>
        <s v="ORD100959"/>
        <s v="ORD102130"/>
        <s v="ORD103276"/>
        <s v="ORD103915"/>
        <s v="ORD104358"/>
        <s v="ORD100709"/>
        <s v="ORD102482"/>
        <s v="ORD102492"/>
        <s v="ORD104296"/>
        <s v="ORD103206"/>
        <s v="ORD100925"/>
        <s v="ORD102940"/>
        <s v="ORD100481"/>
        <s v="ORD102584"/>
        <s v="ORD102899"/>
        <s v="ORD103516"/>
        <s v="ORD101565"/>
        <s v="ORD102141"/>
        <s v="ORD102231"/>
        <s v="ORD102110"/>
        <s v="ORD102001"/>
        <s v="ORD102640"/>
        <s v="ORD103658"/>
        <s v="ORD104047"/>
        <s v="ORD102502"/>
        <s v="ORD100612"/>
        <s v="ORD101530"/>
        <s v="ORD102802"/>
        <s v="ORD101608"/>
        <s v="ORD104270"/>
        <s v="ORD103137"/>
        <s v="ORD103525"/>
        <s v="ORD101586"/>
        <s v="ORD103750"/>
        <s v="ORD104397"/>
        <s v="ORD103165"/>
        <s v="ORD103719"/>
        <s v="ORD101120"/>
        <s v="ORD100123"/>
        <s v="ORD100500"/>
        <s v="ORD101146"/>
        <s v="ORD102700"/>
        <s v="ORD101780"/>
        <s v="ORD100407"/>
        <s v="ORD100177"/>
        <s v="ORD103846"/>
        <s v="ORD100116"/>
        <s v="ORD101875"/>
        <s v="ORD103544"/>
        <s v="ORD100589"/>
        <s v="ORD104567"/>
        <s v="ORD104861"/>
        <s v="ORD100982"/>
        <s v="ORD102434"/>
        <s v="ORD104664"/>
        <s v="ORD100324"/>
        <s v="ORD101061"/>
        <s v="ORD102224"/>
        <s v="ORD100590"/>
        <s v="ORD102936"/>
        <s v="ORD100469"/>
        <s v="ORD103843"/>
        <s v="ORD102562"/>
        <s v="ORD100152"/>
        <s v="ORD104589"/>
        <s v="ORD101552"/>
        <s v="ORD102016"/>
        <s v="ORD102373"/>
        <s v="ORD100169"/>
        <s v="ORD104315"/>
        <s v="ORD104613"/>
        <s v="ORD102065"/>
        <s v="ORD102047"/>
        <s v="ORD104052"/>
        <s v="ORD102251"/>
        <s v="ORD103358"/>
        <s v="ORD103579"/>
        <s v="ORD104542"/>
        <s v="ORD100954"/>
        <s v="ORD104177"/>
        <s v="ORD102294"/>
        <s v="ORD100706"/>
        <s v="ORD101800"/>
        <s v="ORD104831"/>
        <s v="ORD100786"/>
        <s v="ORD104300"/>
        <s v="ORD100242"/>
        <s v="ORD100335"/>
        <s v="ORD104946"/>
        <s v="ORD100264"/>
        <s v="ORD104404"/>
        <s v="ORD100819"/>
        <s v="ORD103951"/>
        <s v="ORD102357"/>
        <s v="ORD103322"/>
        <s v="ORD100908"/>
        <s v="ORD101267"/>
        <s v="ORD102650"/>
        <s v="ORD103436"/>
        <s v="ORD101350"/>
        <s v="ORD101858"/>
        <s v="ORD102267"/>
        <s v="ORD101940"/>
        <s v="ORD101961"/>
        <s v="ORD103431"/>
        <s v="ORD100754"/>
        <s v="ORD101478"/>
        <s v="ORD100014"/>
        <s v="ORD101935"/>
        <s v="ORD104120"/>
        <s v="ORD102664"/>
        <s v="ORD101707"/>
        <s v="ORD104980"/>
        <s v="ORD100901"/>
        <s v="ORD102654"/>
        <s v="ORD102052"/>
        <s v="ORD102880"/>
        <s v="ORD104408"/>
        <s v="ORD104937"/>
        <s v="ORD102443"/>
        <s v="ORD102056"/>
        <s v="ORD104393"/>
        <s v="ORD101487"/>
        <s v="ORD101517"/>
        <s v="ORD101556"/>
        <s v="ORD102147"/>
        <s v="ORD101831"/>
        <s v="ORD101702"/>
        <s v="ORD103973"/>
        <s v="ORD102132"/>
        <s v="ORD102129"/>
        <s v="ORD102564"/>
        <s v="ORD100012"/>
        <s v="ORD100536"/>
        <s v="ORD100972"/>
        <s v="ORD104212"/>
        <s v="ORD103515"/>
        <s v="ORD103085"/>
        <s v="ORD101201"/>
        <s v="ORD103836"/>
        <s v="ORD102881"/>
        <s v="ORD103855"/>
        <s v="ORD100638"/>
        <s v="ORD103316"/>
        <s v="ORD104860"/>
        <s v="ORD101242"/>
        <s v="ORD104601"/>
        <s v="ORD100808"/>
        <s v="ORD102828"/>
        <s v="ORD101884"/>
        <s v="ORD102765"/>
        <s v="ORD100927"/>
        <s v="ORD102470"/>
        <s v="ORD102103"/>
        <s v="ORD104971"/>
        <s v="ORD104628"/>
        <s v="ORD104461"/>
        <s v="ORD103032"/>
        <s v="ORD100127"/>
        <s v="ORD100449"/>
        <s v="ORD102014"/>
        <s v="ORD103412"/>
        <s v="ORD104960"/>
        <s v="ORD103493"/>
        <s v="ORD100498"/>
        <s v="ORD103379"/>
        <s v="ORD102675"/>
        <s v="ORD104014"/>
        <s v="ORD100621"/>
        <s v="ORD102452"/>
        <s v="ORD103513"/>
        <s v="ORD104552"/>
        <s v="ORD103233"/>
        <s v="ORD100350"/>
        <s v="ORD101916"/>
        <s v="ORD102374"/>
        <s v="ORD100184"/>
        <s v="ORD100862"/>
        <s v="ORD101727"/>
        <s v="ORD102237"/>
        <s v="ORD103097"/>
        <s v="ORD104762"/>
        <s v="ORD100770"/>
        <s v="ORD103178"/>
        <s v="ORD102744"/>
        <s v="ORD101020"/>
        <s v="ORD101715"/>
        <s v="ORD103014"/>
        <s v="ORD104446"/>
        <s v="ORD103682"/>
        <s v="ORD104221"/>
        <s v="ORD104533"/>
        <s v="ORD100609"/>
        <s v="ORD103357"/>
        <s v="ORD103956"/>
        <s v="ORD101198"/>
        <s v="ORD103371"/>
        <s v="ORD104024"/>
        <s v="ORD101973"/>
        <s v="ORD100785"/>
        <s v="ORD100463"/>
        <s v="ORD101892"/>
        <s v="ORD102597"/>
        <s v="ORD100891"/>
        <s v="ORD101683"/>
        <s v="ORD100443"/>
        <s v="ORD100934"/>
        <s v="ORD104602"/>
        <s v="ORD102545"/>
        <s v="ORD100448"/>
        <s v="ORD101587"/>
        <s v="ORD102709"/>
        <s v="ORD104349"/>
        <s v="ORD101984"/>
        <s v="ORD100018"/>
        <s v="ORD103072"/>
        <s v="ORD101307"/>
        <s v="ORD104290"/>
        <s v="ORD102512"/>
        <s v="ORD101525"/>
        <s v="ORD102635"/>
        <s v="ORD101498"/>
        <s v="ORD104598"/>
        <s v="ORD100790"/>
        <s v="ORD101865"/>
        <s v="ORD102255"/>
        <s v="ORD103103"/>
        <s v="ORD104727"/>
        <s v="ORD102509"/>
        <s v="ORD102149"/>
        <s v="ORD102610"/>
        <s v="ORD101528"/>
        <s v="ORD100289"/>
        <s v="ORD102961"/>
        <s v="ORD104712"/>
        <s v="ORD103413"/>
        <s v="ORD103110"/>
        <s v="ORD100749"/>
        <s v="ORD101527"/>
        <s v="ORD103042"/>
        <s v="ORD100758"/>
        <s v="ORD104437"/>
        <s v="ORD100415"/>
        <s v="ORD100794"/>
        <s v="ORD100015"/>
        <s v="ORD104629"/>
        <s v="ORD100715"/>
        <s v="ORD103619"/>
        <s v="ORD102666"/>
        <s v="ORD104362"/>
        <s v="ORD103033"/>
        <s v="ORD103793"/>
        <s v="ORD104146"/>
        <s v="ORD100579"/>
        <s v="ORD101343"/>
        <s v="ORD101890"/>
        <s v="ORD104808"/>
        <s v="ORD103226"/>
        <s v="ORD100451"/>
        <s v="ORD100893"/>
        <s v="ORD103330"/>
        <s v="ORD103977"/>
        <s v="ORD103138"/>
        <s v="ORD102836"/>
        <s v="ORD104798"/>
        <s v="ORD102158"/>
        <s v="ORD103697"/>
        <s v="ORD104627"/>
        <s v="ORD103170"/>
        <s v="ORD102860"/>
        <s v="ORD103180"/>
        <s v="ORD102937"/>
        <s v="ORD104219"/>
        <s v="ORD104904"/>
        <s v="ORD101409"/>
        <s v="ORD101732"/>
        <s v="ORD103905"/>
        <s v="ORD103945"/>
        <s v="ORD100214"/>
        <s v="ORD101859"/>
        <s v="ORD104112"/>
        <s v="ORD100780"/>
        <s v="ORD102473"/>
        <s v="ORD102023"/>
        <s v="ORD102029"/>
        <s v="ORD102698"/>
        <s v="ORD100319"/>
        <s v="ORD104507"/>
        <s v="ORD101482"/>
        <s v="ORD101860"/>
        <s v="ORD102875"/>
        <s v="ORD104026"/>
        <s v="ORD103850"/>
        <s v="ORD103191"/>
        <s v="ORD104188"/>
        <s v="ORD104576"/>
        <s v="ORD103359"/>
        <s v="ORD104087"/>
        <s v="ORD104755"/>
        <s v="ORD102190"/>
        <s v="ORD104272"/>
        <s v="ORD102876"/>
        <s v="ORD104084"/>
        <s v="ORD104384"/>
        <s v="ORD101492"/>
        <s v="ORD102998"/>
        <s v="ORD102849"/>
        <s v="ORD103740"/>
        <s v="ORD100576"/>
        <s v="ORD101796"/>
        <s v="ORD100692"/>
        <s v="ORD101833"/>
        <s v="ORD102143"/>
        <s v="ORD104708"/>
        <s v="ORD103211"/>
        <s v="ORD100647"/>
        <s v="ORD103094"/>
        <s v="ORD104723"/>
        <s v="ORD101664"/>
        <s v="ORD100883"/>
        <s v="ORD104833"/>
        <s v="ORD104523"/>
        <s v="ORD104753"/>
        <s v="ORD103834"/>
        <s v="ORD100600"/>
        <s v="ORD101593"/>
        <s v="ORD102667"/>
        <s v="ORD103994"/>
        <s v="ORD100538"/>
        <s v="ORD100453"/>
        <s v="ORD103262"/>
        <s v="ORD104487"/>
        <s v="ORD103478"/>
        <s v="ORD104838"/>
        <s v="ORD100515"/>
        <s v="ORD101764"/>
        <s v="ORD102736"/>
        <s v="ORD100062"/>
        <s v="ORD102175"/>
        <s v="ORD103183"/>
        <s v="ORD103008"/>
        <s v="ORD100377"/>
        <s v="ORD101545"/>
        <s v="ORD103835"/>
        <s v="ORD103298"/>
        <s v="ORD100486"/>
        <s v="ORD100161"/>
        <s v="ORD100244"/>
        <s v="ORD100393"/>
        <s v="ORD102239"/>
        <s v="ORD104356"/>
        <s v="ORD104850"/>
        <s v="ORD100204"/>
        <s v="ORD103255"/>
        <s v="ORD103492"/>
        <s v="ORD100188"/>
        <s v="ORD101212"/>
        <s v="ORD104729"/>
        <s v="ORD103480"/>
        <s v="ORD101468"/>
        <s v="ORD104085"/>
        <s v="ORD102208"/>
        <s v="ORD102841"/>
        <s v="ORD102311"/>
        <s v="ORD104661"/>
        <s v="ORD104562"/>
        <s v="ORD102662"/>
        <s v="ORD104395"/>
        <s v="ORD104298"/>
        <s v="ORD101579"/>
        <s v="ORD100192"/>
        <s v="ORD103288"/>
        <s v="ORD104495"/>
        <s v="ORD100124"/>
        <s v="ORD102874"/>
        <s v="ORD100009"/>
        <s v="ORD103289"/>
        <s v="ORD102915"/>
        <s v="ORD104595"/>
        <s v="ORD101524"/>
        <s v="ORD103896"/>
        <s v="ORD102674"/>
        <s v="ORD100561"/>
        <s v="ORD100726"/>
        <s v="ORD104343"/>
        <s v="ORD104647"/>
        <s v="ORD100575"/>
        <s v="ORD101816"/>
        <s v="ORD102976"/>
        <s v="ORD104577"/>
        <s v="ORD100049"/>
        <s v="ORD104953"/>
        <s v="ORD101502"/>
        <s v="ORD104464"/>
        <s v="ORD104849"/>
        <s v="ORD101110"/>
        <s v="ORD100369"/>
        <s v="ORD100329"/>
        <s v="ORD100367"/>
        <s v="ORD101439"/>
        <s v="ORD103026"/>
        <s v="ORD104754"/>
        <s v="ORD101626"/>
        <s v="ORD102450"/>
        <s v="ORD103590"/>
        <s v="ORD103107"/>
        <s v="ORD100738"/>
        <s v="ORD100083"/>
        <s v="ORD104880"/>
        <s v="ORD100831"/>
        <s v="ORD102975"/>
        <s v="ORD103870"/>
        <s v="ORD100799"/>
        <s v="ORD101500"/>
        <s v="ORD100588"/>
        <s v="ORD103025"/>
        <s v="ORD100426"/>
        <s v="ORD104950"/>
        <s v="ORD102653"/>
        <s v="ORD100144"/>
        <s v="ORD104584"/>
        <s v="ORD104083"/>
        <s v="ORD104667"/>
        <s v="ORD100139"/>
        <s v="ORD100098"/>
        <s v="ORD101615"/>
        <s v="ORD100199"/>
        <s v="ORD102476"/>
        <s v="ORD102198"/>
        <s v="ORD100196"/>
        <s v="ORD102691"/>
        <s v="ORD100861"/>
        <s v="ORD101017"/>
        <s v="ORD103419"/>
        <s v="ORD102846"/>
        <s v="ORD100571"/>
        <s v="ORD102879"/>
        <s v="ORD102612"/>
        <s v="ORD103112"/>
        <s v="ORD101651"/>
        <s v="ORD103205"/>
        <s v="ORD100572"/>
        <s v="ORD103241"/>
        <s v="ORD104216"/>
        <s v="ORD104936"/>
        <s v="ORD100825"/>
        <s v="ORD104655"/>
        <s v="ORD103567"/>
        <s v="ORD102234"/>
        <s v="ORD102494"/>
        <s v="ORD100423"/>
        <s v="ORD102618"/>
        <s v="ORD101603"/>
        <s v="ORD100637"/>
        <s v="ORD100198"/>
        <s v="ORD101998"/>
        <s v="ORD100552"/>
        <s v="ORD100060"/>
        <s v="ORD102777"/>
        <s v="ORD103245"/>
        <s v="ORD104073"/>
        <s v="ORD103065"/>
        <s v="ORD101807"/>
        <s v="ORD102297"/>
        <s v="ORD103692"/>
        <s v="ORD103589"/>
        <s v="ORD101668"/>
        <s v="ORD101779"/>
        <s v="ORD102945"/>
        <s v="ORD103066"/>
        <s v="ORD101013"/>
        <s v="ORD103563"/>
        <s v="ORD104787"/>
        <s v="ORD100316"/>
        <s v="ORD103303"/>
        <s v="ORD100273"/>
        <s v="ORD104174"/>
        <s v="ORD102735"/>
        <s v="ORD100748"/>
        <s v="ORD104905"/>
        <s v="ORD102427"/>
        <s v="ORD104308"/>
        <s v="ORD100613"/>
        <s v="ORD101479"/>
        <s v="ORD103876"/>
        <s v="ORD104378"/>
        <s v="ORD103496"/>
        <s v="ORD103807"/>
        <s v="ORD101977"/>
        <s v="ORD104854"/>
        <s v="ORD103291"/>
        <s v="ORD100693"/>
        <s v="ORD103362"/>
        <s v="ORD100724"/>
        <s v="ORD104494"/>
        <s v="ORD103617"/>
        <s v="ORD103899"/>
        <s v="ORD100550"/>
        <s v="ORD100774"/>
        <s v="ORD104791"/>
        <s v="ORD100656"/>
        <s v="ORD103830"/>
        <s v="ORD103370"/>
        <s v="ORD103649"/>
        <s v="ORD100258"/>
        <s v="ORD100315"/>
        <s v="ORD103800"/>
        <s v="ORD102578"/>
        <s v="ORD100668"/>
        <s v="ORD100253"/>
        <s v="ORD103986"/>
        <s v="ORD104147"/>
        <s v="ORD100654"/>
        <s v="ORD100874"/>
        <s v="ORD103090"/>
        <s v="ORD104190"/>
        <s v="ORD102519"/>
        <s v="ORD103540"/>
        <s v="ORD104381"/>
        <s v="ORD100674"/>
        <s v="ORD101329"/>
        <s v="ORD103803"/>
        <s v="ORD102838"/>
        <s v="ORD104508"/>
        <s v="ORD100274"/>
        <s v="ORD102530"/>
        <s v="ORD103941"/>
        <s v="ORD101042"/>
        <s v="ORD101497"/>
        <s v="ORD103124"/>
        <s v="ORD104327"/>
        <s v="ORD103571"/>
        <s v="ORD104758"/>
        <s v="ORD101315"/>
        <s v="ORD102244"/>
        <s v="ORD101846"/>
        <s v="ORD102380"/>
        <s v="ORD101181"/>
        <s v="ORD101776"/>
        <s v="ORD102044"/>
        <s v="ORD102600"/>
        <s v="ORD104184"/>
        <s v="ORD104724"/>
        <s v="ORD100361"/>
        <s v="ORD104440"/>
        <s v="ORD101364"/>
        <s v="ORD103208"/>
        <s v="ORD102954"/>
        <s v="ORD102614"/>
        <s v="ORD104477"/>
        <s v="ORD101133"/>
        <s v="ORD103969"/>
        <s v="ORD101645"/>
        <s v="ORD100739"/>
        <s v="ORD104333"/>
        <s v="ORD104225"/>
        <s v="ORD104974"/>
        <s v="ORD103360"/>
        <s v="ORD103394"/>
        <s v="ORD101877"/>
        <s v="ORD101885"/>
        <s v="ORD100642"/>
        <s v="ORD102084"/>
        <s v="ORD102187"/>
        <s v="ORD103720"/>
        <s v="ORD101236"/>
        <s v="ORD102988"/>
        <s v="ORD101115"/>
        <s v="ORD104834"/>
        <s v="ORD104379"/>
        <s v="ORD102364"/>
        <s v="ORD101078"/>
        <s v="ORD102463"/>
        <s v="ORD100507"/>
        <s v="ORD102682"/>
        <s v="ORD100095"/>
        <s v="ORD103860"/>
        <s v="ORD102505"/>
        <s v="ORD103104"/>
        <s v="ORD103669"/>
        <s v="ORD101489"/>
        <s v="ORD104077"/>
        <s v="ORD103561"/>
        <s v="ORD102721"/>
        <s v="ORD104811"/>
        <s v="ORD102070"/>
        <s v="ORD104322"/>
        <s v="ORD103695"/>
        <s v="ORD102152"/>
        <s v="ORD104663"/>
        <s v="ORD102339"/>
        <s v="ORD103576"/>
        <s v="ORD100061"/>
        <s v="ORD100587"/>
        <s v="ORD103531"/>
        <s v="ORD101546"/>
        <s v="ORD104775"/>
        <s v="ORD101375"/>
        <s v="ORD100591"/>
        <s v="ORD101876"/>
        <s v="ORD100838"/>
        <s v="ORD103550"/>
        <s v="ORD103562"/>
        <s v="ORD104090"/>
        <s v="ORD101456"/>
        <s v="ORD103497"/>
        <s v="ORD101956"/>
        <s v="ORD103314"/>
        <s v="ORD104207"/>
        <s v="ORD103593"/>
        <s v="ORD102921"/>
        <s v="ORD101044"/>
        <s v="ORD101222"/>
        <s v="ORD101590"/>
        <s v="ORD101758"/>
        <s v="ORD104940"/>
        <s v="ORD100496"/>
        <s v="ORD102623"/>
        <s v="ORD104619"/>
        <s v="ORD102382"/>
        <s v="ORD103452"/>
        <s v="ORD104540"/>
        <s v="ORD100777"/>
        <s v="ORD101088"/>
        <s v="ORD101636"/>
        <s v="ORD100963"/>
        <s v="ORD102069"/>
        <s v="ORD101145"/>
        <s v="ORD101141"/>
        <s v="ORD103050"/>
        <s v="ORD102842"/>
        <s v="ORD103538"/>
        <s v="ORD100991"/>
        <s v="ORD102053"/>
        <s v="ORD102586"/>
        <s v="ORD103759"/>
        <s v="ORD104537"/>
        <s v="ORD104258"/>
        <s v="ORD103302"/>
        <s v="ORD104931"/>
        <s v="ORD102465"/>
        <s v="ORD102626"/>
        <s v="ORD100585"/>
        <s v="ORD100291"/>
        <s v="ORD103530"/>
        <s v="ORD103873"/>
        <s v="ORD100217"/>
        <s v="ORD104137"/>
        <s v="ORD102010"/>
        <s v="ORD102795"/>
        <s v="ORD100636"/>
        <s v="ORD100308"/>
        <s v="ORD101128"/>
        <s v="ORD101604"/>
        <s v="ORD104509"/>
        <s v="ORD102273"/>
        <s v="ORD103472"/>
        <s v="ORD100026"/>
        <s v="ORD104259"/>
        <s v="ORD104829"/>
        <s v="ORD101084"/>
        <s v="ORD103756"/>
        <s v="ORD100252"/>
        <s v="ORD103403"/>
        <s v="ORD103712"/>
        <s v="ORD100743"/>
        <s v="ORD103318"/>
        <s v="ORD102381"/>
        <s v="ORD104914"/>
        <s v="ORD103668"/>
        <s v="ORD101319"/>
        <s v="ORD103615"/>
        <s v="ORD101466"/>
        <s v="ORD101818"/>
        <s v="ORD102072"/>
        <s v="ORD104340"/>
        <s v="ORD100990"/>
        <s v="ORD101873"/>
        <s v="ORD102356"/>
        <s v="ORD104909"/>
        <s v="ORD100133"/>
        <s v="ORD104071"/>
        <s v="ORD101536"/>
        <s v="ORD101947"/>
        <s v="ORD100201"/>
        <s v="ORD101277"/>
        <s v="ORD103228"/>
        <s v="ORD102582"/>
        <s v="ORD102576"/>
        <s v="ORD102981"/>
        <s v="ORD104618"/>
        <s v="ORD100282"/>
        <s v="ORD102171"/>
        <s v="ORD104528"/>
        <s v="ORD100750"/>
        <s v="ORD104051"/>
        <s v="ORD100379"/>
        <s v="ORD100574"/>
        <s v="ORD100947"/>
        <s v="ORD102181"/>
        <s v="ORD102246"/>
        <s v="ORD104060"/>
        <s v="ORD104845"/>
        <s v="ORD101750"/>
        <s v="ORD101848"/>
        <s v="ORD100255"/>
        <s v="ORD102050"/>
        <s v="ORD103998"/>
        <s v="ORD104818"/>
        <s v="ORD104118"/>
        <s v="ORD102137"/>
        <s v="ORD102806"/>
        <s v="ORD101127"/>
        <s v="ORD103518"/>
        <s v="ORD103853"/>
        <s v="ORD101011"/>
        <s v="ORD101006"/>
        <s v="ORD103878"/>
        <s v="ORD104269"/>
        <s v="ORD103940"/>
        <s v="ORD104325"/>
        <s v="ORD101972"/>
        <s v="ORD100447"/>
        <s v="ORD100527"/>
        <s v="ORD100596"/>
        <s v="ORD100664"/>
        <s v="ORD102558"/>
        <s v="ORD103900"/>
        <s v="ORD101705"/>
        <s v="ORD102995"/>
        <s v="ORD104150"/>
        <s v="ORD102778"/>
        <s v="ORD103280"/>
        <s v="ORD103320"/>
        <s v="ORD101165"/>
        <s v="ORD102513"/>
        <s v="ORD100564"/>
        <s v="ORD104030"/>
        <s v="ORD101392"/>
        <s v="ORD100974"/>
        <s v="ORD100563"/>
        <s v="ORD104067"/>
        <s v="ORD103498"/>
        <s v="ORD101176"/>
        <s v="ORD104012"/>
        <s v="ORD104684"/>
        <s v="ORD102619"/>
        <s v="ORD102481"/>
        <s v="ORD101978"/>
        <s v="ORD101901"/>
        <s v="ORD104389"/>
        <s v="ORD104504"/>
        <s v="ORD102352"/>
        <s v="ORD101523"/>
        <s v="ORD103690"/>
        <s v="ORD104770"/>
        <s v="ORD103752"/>
        <s v="ORD101034"/>
        <s v="ORD101326"/>
        <s v="ORD101193"/>
        <s v="ORD100531"/>
        <s v="ORD100764"/>
        <s v="ORD102166"/>
        <s v="ORD103852"/>
        <s v="ORD101676"/>
        <s v="ORD101341"/>
        <s v="ORD102258"/>
        <s v="ORD102883"/>
        <s v="ORD100996"/>
        <s v="ORD103411"/>
        <s v="ORD103238"/>
        <s v="ORD102055"/>
        <s v="ORD100884"/>
        <s v="ORD101076"/>
        <s v="ORD101918"/>
        <s v="ORD104369"/>
        <s v="ORD101720"/>
        <s v="ORD101943"/>
        <s v="ORD100297"/>
        <s v="ORD104604"/>
        <s v="ORD101467"/>
        <s v="ORD101827"/>
        <s v="ORD101432"/>
        <s v="ORD102844"/>
        <s v="ORD102031"/>
        <s v="ORD103377"/>
        <s v="ORD101761"/>
        <s v="ORD103889"/>
        <s v="ORD101854"/>
        <s v="ORD102913"/>
        <s v="ORD101825"/>
        <s v="ORD101010"/>
        <s v="ORD100968"/>
        <s v="ORD102515"/>
        <s v="ORD103361"/>
        <s v="ORD104410"/>
        <s v="ORD103144"/>
        <s v="ORD103401"/>
        <s v="ORD104917"/>
        <s v="ORD103918"/>
        <s v="ORD104170"/>
        <s v="ORD104454"/>
        <s v="ORD104999"/>
        <s v="ORD103688"/>
        <s v="ORD103784"/>
        <s v="ORD100425"/>
        <s v="ORD104100"/>
        <s v="ORD101937"/>
        <s v="ORD102128"/>
        <s v="ORD100523"/>
        <s v="ORD104934"/>
        <s v="ORD104948"/>
        <s v="ORD103193"/>
        <s v="ORD101336"/>
        <s v="ORD103156"/>
        <s v="ORD100875"/>
        <s v="ORD103005"/>
        <s v="ORD104749"/>
        <s v="ORD102511"/>
        <s v="ORD104108"/>
        <s v="ORD102820"/>
        <s v="ORD100511"/>
        <s v="ORD102228"/>
        <s v="ORD100390"/>
        <s v="ORD100079"/>
        <s v="ORD104213"/>
        <s v="ORD101990"/>
        <s v="ORD102596"/>
        <s v="ORD101464"/>
        <s v="ORD103922"/>
        <s v="ORD100044"/>
        <s v="ORD103127"/>
        <s v="ORD103256"/>
        <s v="ORD101208"/>
        <s v="ORD100623"/>
        <s v="ORD101666"/>
        <s v="ORD103535"/>
        <s v="ORD100549"/>
        <s v="ORD102974"/>
        <s v="ORD101053"/>
        <s v="ORD103176"/>
        <s v="ORD102896"/>
        <s v="ORD102909"/>
        <s v="ORD103572"/>
        <s v="ORD103586"/>
        <s v="ORD103596"/>
        <s v="ORD103599"/>
        <s v="ORD100782"/>
        <s v="ORD101929"/>
        <s v="ORD102676"/>
        <s v="ORD103004"/>
        <s v="ORD101379"/>
        <s v="ORD101609"/>
        <s v="ORD103048"/>
        <s v="ORD102192"/>
        <s v="ORD102793"/>
        <s v="ORD102083"/>
        <s v="ORD100178"/>
        <s v="ORD100937"/>
        <s v="ORD103754"/>
        <s v="ORD103946"/>
        <s v="ORD101566"/>
        <s v="ORD102973"/>
        <s v="ORD104767"/>
        <s v="ORD100530"/>
        <s v="ORD104427"/>
        <s v="ORD104668"/>
        <s v="ORD102882"/>
        <s v="ORD104742"/>
        <s v="ORD104746"/>
        <s v="ORD104843"/>
        <s v="ORD101588"/>
        <s v="ORD100279"/>
        <s v="ORD102446"/>
        <s v="ORD103188"/>
        <s v="ORD104240"/>
        <s v="ORD104568"/>
        <s v="ORD100768"/>
        <s v="ORD100555"/>
        <s v="ORD103849"/>
        <s v="ORD104939"/>
        <s v="ORD104176"/>
        <s v="ORD102914"/>
        <s v="ORD104192"/>
        <s v="ORD104645"/>
        <s v="ORD102692"/>
        <s v="ORD103155"/>
        <s v="ORD101505"/>
        <s v="ORD103869"/>
        <s v="ORD101243"/>
        <s v="ORD103023"/>
        <s v="ORD104004"/>
        <s v="ORD101582"/>
        <s v="ORD102702"/>
        <s v="ORD101103"/>
        <s v="ORD101291"/>
        <s v="ORD104128"/>
        <s v="ORD100030"/>
        <s v="ORD101982"/>
        <s v="ORD104306"/>
        <s v="ORD104803"/>
        <s v="ORD101210"/>
        <s v="ORD102621"/>
        <s v="ORD100394"/>
        <s v="ORD101101"/>
        <s v="ORD103908"/>
        <s v="ORD103968"/>
        <s v="ORD102035"/>
        <s v="ORD100104"/>
        <s v="ORD100525"/>
        <s v="ORD104094"/>
        <s v="ORD104797"/>
        <s v="ORD101189"/>
        <s v="ORD100534"/>
        <s v="ORD103787"/>
        <s v="ORD100325"/>
        <s v="ORD102517"/>
        <s v="ORD100344"/>
        <s v="ORD103398"/>
        <s v="ORD100541"/>
        <s v="ORD100775"/>
        <s v="ORD104657"/>
        <s v="ORD103039"/>
        <s v="ORD101941"/>
        <s v="ORD104865"/>
        <s v="ORD104801"/>
        <s v="ORD101460"/>
        <s v="ORD100245"/>
        <s v="ORD100614"/>
        <s v="ORD102218"/>
        <s v="ORD102730"/>
        <s v="ORD103081"/>
        <s v="ORD100932"/>
        <s v="ORD100977"/>
        <s v="ORD100416"/>
        <s v="ORD102172"/>
        <s v="ORD104159"/>
        <s v="ORD101293"/>
        <s v="ORD101199"/>
        <s v="ORD100625"/>
        <s v="ORD102798"/>
        <s v="ORD104911"/>
        <s v="ORD101105"/>
        <s v="ORD104365"/>
        <s v="ORD100520"/>
        <s v="ORD100900"/>
        <s v="ORD101642"/>
        <s v="ORD102603"/>
        <s v="ORD103992"/>
        <s v="ORD103259"/>
        <s v="ORD103749"/>
        <s v="ORD104846"/>
        <s v="ORD100474"/>
        <s v="ORD104894"/>
        <s v="ORD104485"/>
        <s v="ORD103095"/>
        <s v="ORD100278"/>
        <s v="ORD101281"/>
        <s v="ORD101413"/>
        <s v="ORD102877"/>
        <s v="ORD104276"/>
        <s v="ORD104301"/>
        <s v="ORD103252"/>
        <s v="ORD104256"/>
        <s v="ORD100176"/>
        <s v="ORD103490"/>
        <s v="ORD103689"/>
        <s v="ORD104772"/>
        <s v="ORD101148"/>
        <s v="ORD104409"/>
        <s v="ORD103975"/>
        <s v="ORD102724"/>
        <s v="ORD104154"/>
        <s v="ORD103174"/>
        <s v="ORD100626"/>
        <s v="ORD100653"/>
        <s v="ORD103093"/>
        <s v="ORD103866"/>
        <s v="ORD102046"/>
        <s v="ORD100260"/>
        <s v="ORD101857"/>
        <s v="ORD104998"/>
        <s v="ORD102769"/>
        <s v="ORD101309"/>
        <s v="ORD102146"/>
        <s v="ORD104930"/>
        <s v="ORD101036"/>
        <s v="ORD101769"/>
        <s v="ORD103988"/>
        <s v="ORD101681"/>
        <s v="ORD100711"/>
        <s v="ORD104210"/>
        <s v="ORD103755"/>
        <s v="ORD100383"/>
        <s v="ORD100345"/>
        <s v="ORD101164"/>
        <s v="ORD103075"/>
        <s v="ORD100143"/>
        <s v="ORD100025"/>
        <s v="ORD100458"/>
        <s v="ORD102399"/>
        <s v="ORD102430"/>
        <s v="ORD101618"/>
        <s v="ORD101149"/>
        <s v="ORD103035"/>
        <s v="ORD100478"/>
        <s v="ORD103009"/>
        <s v="ORD104419"/>
        <s v="ORD101417"/>
        <s v="ORD102318"/>
        <s v="ORD102131"/>
        <s v="ORD103141"/>
        <s v="ORD100182"/>
        <s v="ORD104961"/>
        <s v="ORD100414"/>
        <s v="ORD100704"/>
        <s v="ORD102135"/>
        <s v="ORD104892"/>
        <s v="ORD103375"/>
        <s v="ORD103826"/>
        <s v="ORD100852"/>
        <s v="ORD101340"/>
        <s v="ORD102930"/>
        <s v="ORD101430"/>
        <s v="ORD104161"/>
        <s v="ORD102493"/>
        <s v="ORD102627"/>
        <s v="ORD100939"/>
        <s v="ORD100114"/>
        <s v="ORD100898"/>
        <s v="ORD102892"/>
        <s v="ORD104166"/>
        <s v="ORD102549"/>
        <s v="ORD103578"/>
        <s v="ORD100058"/>
        <s v="ORD103475"/>
        <s v="ORD103142"/>
        <s v="ORD101221"/>
        <s v="ORD100923"/>
        <s v="ORD101465"/>
        <s v="ORD102727"/>
        <s v="ORD101748"/>
        <s v="ORD103061"/>
        <s v="ORD103223"/>
        <s v="ORD103114"/>
        <s v="ORD101202"/>
        <s v="ORD102813"/>
        <s v="ORD103402"/>
        <s v="ORD103432"/>
        <s v="ORD102532"/>
        <s v="ORD101562"/>
        <s v="ORD102749"/>
        <s v="ORD101194"/>
        <s v="ORD101159"/>
        <s v="ORD101677"/>
        <s v="ORD100964"/>
        <s v="ORD101388"/>
        <s v="ORD104435"/>
        <s v="ORD100717"/>
        <s v="ORD100355"/>
        <s v="ORD101981"/>
        <s v="ORD100933"/>
        <s v="ORD104785"/>
        <s v="ORD101452"/>
        <s v="ORD100147"/>
        <s v="ORD104566"/>
        <s v="ORD103802"/>
        <s v="ORD103903"/>
        <s v="ORD103503"/>
        <s v="ORD104660"/>
        <s v="ORD101679"/>
        <s v="ORD100798"/>
        <s v="ORD102057"/>
        <s v="ORD102306"/>
        <s v="ORD102240"/>
        <s v="ORD103753"/>
        <s v="ORD101328"/>
        <s v="ORD103890"/>
        <s v="ORD104545"/>
        <s v="ORD104707"/>
        <s v="ORD104734"/>
        <s v="ORD104193"/>
        <s v="ORD104471"/>
        <s v="ORD101576"/>
        <s v="ORD102845"/>
        <s v="ORD103308"/>
        <s v="ORD100773"/>
        <s v="ORD101109"/>
        <s v="ORD100610"/>
        <s v="ORD100889"/>
        <s v="ORD102154"/>
        <s v="ORD102249"/>
        <s v="ORD101461"/>
        <s v="ORD100789"/>
        <s v="ORD104608"/>
        <s v="ORD104206"/>
        <s v="ORD103648"/>
        <s v="ORD101915"/>
        <s v="ORD100410"/>
        <s v="ORD104281"/>
        <s v="ORD104885"/>
        <s v="ORD100475"/>
        <s v="ORD101575"/>
        <s v="ORD101304"/>
        <s v="ORD100328"/>
        <s v="ORD103354"/>
        <s v="ORD103143"/>
        <s v="ORD100072"/>
        <s v="ORD101051"/>
        <s v="ORD101420"/>
        <s v="ORD102605"/>
        <s v="ORD103806"/>
        <s v="ORD104011"/>
        <s v="ORD101900"/>
        <s v="ORD102764"/>
        <s v="ORD101436"/>
        <s v="ORD103471"/>
        <s v="ORD102854"/>
        <s v="ORD101057"/>
        <s v="ORD104429"/>
        <s v="ORD104334"/>
        <s v="ORD100871"/>
        <s v="ORD103017"/>
        <s v="ORD102054"/>
        <s v="ORD101311"/>
        <s v="ORD104766"/>
        <s v="ORD104538"/>
        <s v="ORD100064"/>
        <s v="ORD102548"/>
        <s v="ORD103162"/>
        <s v="ORD102598"/>
        <s v="ORD101976"/>
        <s v="ORD102810"/>
        <s v="ORD101782"/>
        <s v="ORD101480"/>
        <s v="ORD102278"/>
        <s v="ORD102743"/>
        <s v="ORD102741"/>
        <s v="ORD100332"/>
        <s v="ORD102410"/>
        <s v="ORD100639"/>
        <s v="ORD101397"/>
        <s v="ORD100809"/>
        <s v="ORD100450"/>
        <s v="ORD102536"/>
        <s v="ORD102982"/>
        <s v="ORD104636"/>
        <s v="ORD101191"/>
        <s v="ORD100597"/>
        <s v="ORD104009"/>
        <s v="ORD103292"/>
        <s v="ORD104848"/>
        <s v="ORD103702"/>
        <s v="ORD102406"/>
        <s v="ORD103409"/>
        <s v="ORD103780"/>
        <s v="ORD102591"/>
        <s v="ORD100181"/>
        <s v="ORD102212"/>
        <s v="ORD104314"/>
        <s v="ORD102080"/>
        <s v="ORD103309"/>
        <s v="ORD104534"/>
        <s v="ORD101902"/>
        <s v="ORD102032"/>
        <s v="ORD101555"/>
        <s v="ORD100031"/>
        <s v="ORD101035"/>
        <s v="ORD101318"/>
        <s v="ORD103608"/>
        <s v="ORD102119"/>
        <s v="ORD103488"/>
        <s v="ORD100230"/>
        <s v="ORD103202"/>
        <s v="ORD100855"/>
        <s v="ORD100353"/>
        <s v="ORD102433"/>
        <s v="ORD103934"/>
        <s v="ORD103323"/>
        <s v="ORD103177"/>
        <s v="ORD100485"/>
        <s v="ORD101056"/>
        <s v="ORD100829"/>
        <s v="ORD100480"/>
        <s v="ORD102991"/>
        <s v="ORD103838"/>
        <s v="ORD100261"/>
        <s v="ORD100339"/>
        <s v="ORD102408"/>
        <s v="ORD103781"/>
        <s v="ORD103801"/>
        <s v="ORD100002"/>
        <s v="ORD102907"/>
        <s v="ORD102230"/>
        <s v="ORD102460"/>
        <s v="ORD104181"/>
        <s v="ORD101751"/>
        <s v="ORD103663"/>
        <s v="ORD100397"/>
        <s v="ORD100608"/>
        <s v="ORD104148"/>
        <s v="ORD100975"/>
        <s v="ORD100452"/>
        <s v="ORD100006"/>
        <s v="ORD100955"/>
        <s v="ORD104870"/>
        <s v="ORD104400"/>
        <s v="ORD100813"/>
        <s v="ORD103725"/>
        <s v="ORD100392"/>
        <s v="ORD102521"/>
        <s v="ORD103632"/>
        <s v="ORD103724"/>
        <s v="ORD100618"/>
        <s v="ORD100148"/>
        <s v="ORD104374"/>
        <s v="ORD100492"/>
        <s v="ORD101754"/>
        <s v="ORD100718"/>
        <s v="ORD100859"/>
        <s v="ORD104364"/>
        <s v="ORD101248"/>
        <s v="ORD102801"/>
        <s v="ORD103126"/>
        <s v="ORD103989"/>
        <s v="ORD104857"/>
        <s v="ORD102863"/>
        <s v="ORD104514"/>
        <s v="ORD100016"/>
        <s v="ORD101771"/>
        <s v="ORD101510"/>
        <s v="ORD100420"/>
        <s v="ORD101993"/>
        <s v="ORD100432"/>
        <s v="ORD102885"/>
        <s v="ORD104226"/>
        <s v="ORD103681"/>
        <s v="ORD103943"/>
        <s v="ORD101680"/>
        <s v="ORD103548"/>
        <s v="ORD103560"/>
        <s v="ORD101438"/>
        <s v="ORD100868"/>
        <s v="ORD101071"/>
        <s v="ORD103098"/>
        <s v="ORD103167"/>
        <s v="ORD100683"/>
        <s v="ORD103840"/>
        <s v="ORD104141"/>
        <s v="ORD104227"/>
        <s v="ORD103502"/>
        <s v="ORD104686"/>
        <s v="ORD100159"/>
        <s v="ORD103052"/>
        <s v="ORD102916"/>
        <s v="ORD103704"/>
        <s v="ORD104257"/>
        <s v="ORD101332"/>
        <s v="ORD104135"/>
        <s v="ORD101742"/>
        <s v="ORD101864"/>
        <s v="ORD102327"/>
        <s v="ORD102808"/>
        <s v="ORD100268"/>
        <s v="ORD104607"/>
        <s v="ORD101029"/>
        <s v="ORD104779"/>
        <s v="ORD101268"/>
        <s v="ORD103442"/>
        <s v="ORD100673"/>
        <s v="ORD103653"/>
        <s v="ORD102643"/>
        <s v="ORD103999"/>
        <s v="ORD102118"/>
        <s v="ORD104553"/>
        <s v="ORD103672"/>
        <s v="ORD104614"/>
        <s v="ORD101844"/>
        <s v="ORD104376"/>
        <s v="ORD102884"/>
        <s v="ORD104641"/>
        <s v="ORD103278"/>
        <s v="ORD104097"/>
        <s v="ORD101496"/>
        <s v="ORD103456"/>
        <s v="ORD101962"/>
        <s v="ORD100302"/>
        <s v="ORD101054"/>
        <s v="ORD102656"/>
        <s v="ORD101225"/>
        <s v="ORD101787"/>
        <s v="ORD103987"/>
        <s v="ORD101494"/>
        <s v="ORD103058"/>
        <s v="ORD100430"/>
        <s v="ORD100848"/>
        <s v="ORD102538"/>
        <s v="ORD102705"/>
        <s v="ORD104496"/>
        <s v="ORD102859"/>
        <s v="ORD100513"/>
        <s v="ORD102550"/>
        <s v="ORD101923"/>
        <s v="ORD100039"/>
        <s v="ORD102415"/>
        <s v="ORD100987"/>
        <s v="ORD102082"/>
        <s v="ORD101150"/>
        <s v="ORD101227"/>
        <s v="ORD102067"/>
        <s v="ORD102560"/>
        <s v="ORD104556"/>
        <s v="ORD102787"/>
        <s v="ORD103466"/>
        <s v="ORD103779"/>
        <s v="ORD101259"/>
        <s v="ORD101853"/>
        <s v="ORD104346"/>
        <s v="ORD102201"/>
        <s v="ORD102358"/>
        <s v="ORD103776"/>
        <s v="ORD104883"/>
        <s v="ORD102451"/>
        <s v="ORD103250"/>
        <s v="ORD104277"/>
        <s v="ORD100547"/>
        <s v="ORD101589"/>
        <s v="ORD100806"/>
        <s v="ORD102462"/>
        <s v="ORD103970"/>
        <s v="ORD100516"/>
        <s v="ORD100781"/>
        <s v="ORD101143"/>
        <s v="ORD103978"/>
        <s v="ORD100601"/>
        <s v="ORD103215"/>
        <s v="ORD101515"/>
        <s v="ORD103657"/>
        <s v="ORD102155"/>
        <s v="ORD104153"/>
        <s v="ORD103569"/>
        <s v="ORD100740"/>
        <s v="ORD104199"/>
        <s v="ORD101081"/>
        <s v="ORD100734"/>
        <s v="ORD100788"/>
        <s v="ORD100506"/>
        <s v="ORD104938"/>
        <s v="ORD100300"/>
        <s v="ORD100797"/>
        <s v="ORD102888"/>
        <s v="ORD103811"/>
        <s v="ORD100275"/>
        <s v="ORD102814"/>
        <s v="ORD102093"/>
        <s v="ORD100157"/>
        <s v="ORD101906"/>
        <s v="ORD101135"/>
        <s v="ORD100417"/>
        <s v="ORD103607"/>
        <s v="ORD102394"/>
        <s v="ORD101175"/>
        <s v="ORD103877"/>
        <s v="ORD104810"/>
        <s v="ORD100851"/>
        <s v="ORD100197"/>
        <s v="ORD104204"/>
        <s v="ORD101568"/>
        <s v="ORD103732"/>
        <s v="ORD103464"/>
        <s v="ORD100437"/>
        <s v="ORD102109"/>
        <s v="ORD103925"/>
        <s v="ORD100446"/>
        <s v="ORD100101"/>
        <s v="ORD103130"/>
        <s v="ORD104043"/>
        <s v="ORD101262"/>
        <s v="ORD100171"/>
        <s v="ORD104822"/>
        <s v="ORD103458"/>
        <s v="ORD102609"/>
        <s v="ORD100882"/>
        <s v="ORD103349"/>
        <s v="ORD104658"/>
        <s v="ORD100110"/>
        <s v="ORD103921"/>
        <s v="ORD102516"/>
        <s v="ORD104945"/>
        <s v="ORD103867"/>
        <s v="ORD104224"/>
        <s v="ORD100389"/>
        <s v="ORD101969"/>
        <s v="ORD100993"/>
        <s v="ORD104738"/>
        <s v="ORD101246"/>
        <s v="ORD104344"/>
        <s v="ORD102989"/>
        <s v="ORD102133"/>
        <s v="ORD100744"/>
        <s v="ORD100698"/>
        <s v="ORD104354"/>
        <s v="ORD104138"/>
        <s v="ORD103044"/>
        <s v="ORD103794"/>
        <s v="ORD101138"/>
        <s v="ORD104731"/>
        <s v="ORD101114"/>
        <s v="ORD101521"/>
        <s v="ORD101670"/>
        <s v="ORD104292"/>
        <s v="ORD101063"/>
        <s v="ORD101454"/>
        <s v="ORD102094"/>
        <s v="ORD103290"/>
        <s v="ORD103473"/>
        <s v="ORD103483"/>
        <s v="ORD101352"/>
        <s v="ORD101863"/>
        <s v="ORD102495"/>
        <s v="ORD102501"/>
        <s v="ORD104129"/>
        <s v="ORD104467"/>
        <s v="ORD102335"/>
        <s v="ORD100299"/>
        <s v="ORD101485"/>
        <s v="ORD103169"/>
        <s v="ORD100158"/>
        <s v="ORD102994"/>
        <s v="ORD101543"/>
        <s v="ORD101504"/>
        <s v="ORD103451"/>
        <s v="ORD101592"/>
        <s v="ORD101016"/>
        <s v="ORD103603"/>
        <s v="ORD101025"/>
        <s v="ORD104676"/>
        <s v="ORD102207"/>
        <s v="ORD101405"/>
        <s v="ORD104959"/>
        <s v="ORD103760"/>
        <s v="ORD101104"/>
        <s v="ORD104847"/>
        <s v="ORD100759"/>
        <s v="ORD101349"/>
        <s v="ORD101547"/>
        <s v="ORD101671"/>
        <s v="ORD100712"/>
        <s v="ORD102289"/>
        <s v="ORD100314"/>
        <s v="ORD100378"/>
        <s v="ORD102113"/>
        <s v="ORD100690"/>
        <s v="ORD101534"/>
        <s v="ORD102527"/>
        <s v="ORD101474"/>
        <s v="ORD102078"/>
        <s v="ORD103644"/>
        <s v="ORD102091"/>
        <s v="ORD104942"/>
        <s v="ORD100836"/>
        <s v="ORD101644"/>
        <s v="ORD104145"/>
        <s v="ORD102629"/>
        <s v="ORD103714"/>
        <s v="ORD100010"/>
        <s v="ORD102748"/>
        <s v="ORD100847"/>
        <s v="ORD104569"/>
        <s v="ORD104986"/>
        <s v="ORD103407"/>
        <s v="ORD101908"/>
        <s v="ORD102575"/>
        <s v="ORD103344"/>
        <s v="ORD102321"/>
        <s v="ORD103952"/>
        <s v="ORD101228"/>
        <s v="ORD104377"/>
        <s v="ORD104044"/>
        <s v="ORD100557"/>
        <s v="ORD103315"/>
        <s v="ORD104068"/>
        <s v="ORD103243"/>
        <s v="ORD104893"/>
        <s v="ORD100697"/>
        <s v="ORD104099"/>
        <s v="ORD104907"/>
        <s v="ORD104501"/>
        <s v="ORD101286"/>
        <s v="ORD103418"/>
        <s v="ORD101152"/>
        <s v="ORD100582"/>
        <s v="ORD104312"/>
        <s v="ORD104366"/>
        <s v="ORD100535"/>
        <s v="ORD102790"/>
        <s v="ORD104310"/>
        <s v="ORD104492"/>
        <s v="ORD101989"/>
        <s v="ORD102756"/>
        <s v="ORD104752"/>
        <s v="ORD103775"/>
        <s v="ORD102058"/>
        <s v="ORD100705"/>
        <s v="ORD101263"/>
        <s v="ORD103424"/>
        <s v="ORD100298"/>
        <s v="ORD101872"/>
        <s v="ORD103444"/>
        <s v="ORD104891"/>
        <s v="ORD100372"/>
        <s v="ORD100086"/>
        <s v="ORD103459"/>
        <s v="ORD103102"/>
        <s v="ORD104424"/>
        <s v="ORD101535"/>
        <s v="ORD103645"/>
        <s v="ORD101168"/>
        <s v="ORD100262"/>
        <s v="ORD103469"/>
        <s v="ORD104757"/>
        <s v="ORD103913"/>
        <s v="ORD104459"/>
        <s v="ORD104826"/>
        <s v="ORD102902"/>
        <s v="ORD104623"/>
        <s v="ORD102102"/>
        <s v="ORD104654"/>
        <s v="ORD102330"/>
        <s v="ORD100595"/>
        <s v="ORD102706"/>
        <s v="ORD100566"/>
        <s v="ORD104842"/>
        <s v="ORD100080"/>
        <s v="ORD104058"/>
        <s v="ORD102843"/>
        <s v="ORD104639"/>
        <s v="ORD100129"/>
        <s v="ORD103423"/>
        <s v="ORD101254"/>
        <s v="ORD102871"/>
        <s v="ORD104217"/>
        <s v="ORD101126"/>
        <s v="ORD104646"/>
        <s v="ORD100559"/>
        <s v="ORD101422"/>
        <s v="ORD100200"/>
        <s v="ORD102478"/>
        <s v="ORD102559"/>
        <s v="ORD100445"/>
        <s v="ORD104263"/>
        <s v="ORD104010"/>
        <s v="ORD102483"/>
        <s v="ORD104455"/>
        <s v="ORD100989"/>
        <s v="ORD103731"/>
        <s v="ORD102655"/>
        <s v="ORD103710"/>
        <s v="ORD101921"/>
        <s v="ORD101346"/>
        <s v="ORD100433"/>
        <s v="ORD102254"/>
        <s v="ORD100357"/>
        <s v="ORD102799"/>
        <s v="ORD102931"/>
        <s v="ORD100130"/>
        <s v="ORD104877"/>
        <s v="ORD104581"/>
        <s v="ORD100524"/>
        <s v="ORD100508"/>
        <s v="ORD101719"/>
        <s v="ORD104884"/>
        <s v="ORD101173"/>
        <s v="ORD100119"/>
        <s v="ORD102435"/>
        <s v="ORD100444"/>
        <s v="ORD100301"/>
        <s v="ORD103932"/>
        <s v="ORD101673"/>
        <s v="ORD102837"/>
        <s v="ORD103152"/>
        <s v="ORD103528"/>
        <s v="ORD104027"/>
        <s v="ORD102272"/>
        <s v="ORD103220"/>
        <s v="ORD103827"/>
        <s v="ORD104806"/>
        <s v="ORD103365"/>
        <s v="ORD100816"/>
        <s v="ORD104479"/>
        <s v="ORD100456"/>
        <s v="ORD102161"/>
        <s v="ORD103765"/>
        <s v="ORD103284"/>
        <s v="ORD100467"/>
        <s v="ORD101652"/>
        <s v="ORD102021"/>
        <s v="ORD103955"/>
        <s v="ORD104245"/>
        <s v="ORD104929"/>
        <s v="ORD104271"/>
        <s v="ORD104696"/>
        <s v="ORD100403"/>
        <s v="ORD103427"/>
        <s v="ORD104713"/>
        <s v="ORD102978"/>
        <s v="ORD101433"/>
        <s v="ORD100487"/>
        <s v="ORD104827"/>
        <s v="ORD101224"/>
        <s v="ORD104319"/>
        <s v="ORD100047"/>
        <s v="ORD101134"/>
        <s v="ORD103189"/>
        <s v="ORD103895"/>
        <s v="ORD100461"/>
        <s v="ORD101073"/>
        <s v="ORD104874"/>
        <s v="ORD100206"/>
        <s v="ORD101533"/>
        <s v="ORD104109"/>
        <s v="ORD102681"/>
        <s v="ORD104348"/>
        <s v="ORD100210"/>
        <s v="ORD104565"/>
        <s v="ORD101693"/>
        <s v="ORD104189"/>
        <s v="ORD104309"/>
        <s v="ORD100234"/>
        <s v="ORD102544"/>
        <s v="ORD100108"/>
        <s v="ORD101541"/>
        <s v="ORD103633"/>
        <s v="ORD102392"/>
        <s v="ORD103329"/>
        <s v="ORD103526"/>
        <s v="ORD100678"/>
        <s v="ORD103074"/>
        <s v="ORD100327"/>
        <s v="ORD102615"/>
        <s v="ORD103629"/>
        <s v="ORD101216"/>
        <s v="ORD103135"/>
        <s v="ORD104820"/>
        <s v="ORD102890"/>
        <s v="ORD100338"/>
        <s v="ORD104503"/>
        <s v="ORD100227"/>
        <s v="ORD100495"/>
        <s v="ORD100921"/>
        <s v="ORD100484"/>
        <s v="ORD101094"/>
        <s v="ORD100118"/>
        <s v="ORD102964"/>
        <s v="ORD101957"/>
        <s v="ORD100867"/>
        <s v="ORD102030"/>
        <s v="ORD102421"/>
        <s v="ORD102518"/>
        <s v="ORD103201"/>
        <s v="ORD104994"/>
        <s v="ORD102390"/>
        <s v="ORD100501"/>
        <s v="ORD102290"/>
        <s v="ORD103743"/>
        <s v="ORD103342"/>
        <s v="ORD100091"/>
        <s v="ORD101628"/>
        <s v="ORD103385"/>
        <s v="ORD100105"/>
        <s v="ORD102970"/>
        <s v="ORD101069"/>
        <s v="ORD102496"/>
        <s v="ORD101856"/>
        <s v="ORD102276"/>
        <s v="ORD103108"/>
        <s v="ORD100907"/>
        <s v="ORD101950"/>
        <s v="ORD103294"/>
        <s v="ORD103510"/>
        <s v="ORD101573"/>
        <s v="ORD102000"/>
        <s v="ORD103933"/>
        <s v="ORD103699"/>
        <s v="ORD100303"/>
        <s v="ORD104266"/>
        <s v="ORD100616"/>
        <s v="ORD102825"/>
        <s v="ORD104139"/>
        <s v="ORD104718"/>
        <s v="ORD103631"/>
        <s v="ORD102745"/>
        <s v="ORD100078"/>
        <s v="ORD101481"/>
        <s v="ORD104280"/>
        <s v="ORD104251"/>
        <s v="ORD101015"/>
        <s v="ORD103277"/>
        <s v="ORD104218"/>
        <s v="ORD104244"/>
        <s v="ORD103131"/>
        <s v="ORD101571"/>
        <s v="ORD104403"/>
        <s v="ORD104394"/>
        <s v="ORD104824"/>
        <s v="ORD102426"/>
        <s v="ORD104049"/>
        <s v="ORD103454"/>
        <s v="ORD104311"/>
        <s v="ORD104001"/>
        <s v="ORD104157"/>
        <s v="ORD104840"/>
        <s v="ORD101038"/>
        <s v="ORD100076"/>
        <s v="ORD101889"/>
        <s v="ORD104021"/>
        <s v="ORD104208"/>
        <s v="ORD103609"/>
        <s v="ORD101967"/>
        <s v="ORD102059"/>
        <s v="ORD103400"/>
        <s v="ORD100526"/>
        <s v="ORD100980"/>
        <s v="ORD103195"/>
        <s v="ORD104198"/>
        <s v="ORD100272"/>
        <s v="ORD102095"/>
        <s v="ORD100024"/>
        <s v="ORD104796"/>
        <s v="ORD103269"/>
        <s v="ORD102274"/>
        <s v="ORD100949"/>
        <s v="ORD100405"/>
        <s v="ORD100756"/>
        <s v="ORD103049"/>
        <s v="ORD101790"/>
        <s v="ORD103327"/>
        <s v="ORD100643"/>
        <s v="ORD104976"/>
        <s v="ORD101172"/>
        <s v="ORD101699"/>
        <s v="ORD103935"/>
        <s v="ORD102739"/>
        <s v="ORD100266"/>
        <s v="ORD100209"/>
        <s v="ORD102677"/>
        <s v="ORD103481"/>
        <s v="ORD104574"/>
        <s v="ORD101484"/>
        <s v="ORD101503"/>
        <s v="ORD102529"/>
        <s v="ORD100365"/>
        <s v="ORD100957"/>
        <s v="ORD101938"/>
        <s v="ORD100223"/>
        <s v="ORD103828"/>
        <s v="ORD102588"/>
        <s v="ORD104524"/>
        <s v="ORD102098"/>
        <s v="ORD101047"/>
        <s v="ORD103786"/>
        <s v="ORD100371"/>
        <s v="ORD103218"/>
        <s v="ORD104432"/>
        <s v="ORD102812"/>
        <s v="ORD104338"/>
        <s v="ORD103200"/>
        <s v="ORD103088"/>
        <s v="ORD104805"/>
        <s v="ORD103082"/>
        <s v="ORD102140"/>
        <s v="ORD104899"/>
        <s v="ORD100236"/>
        <s v="ORD100802"/>
        <s v="ORD101302"/>
        <s v="ORD103783"/>
        <s v="ORD102019"/>
        <s v="ORD101594"/>
        <s v="ORD101786"/>
        <s v="ORD101768"/>
        <s v="ORD103221"/>
        <s v="ORD103618"/>
        <s v="ORD104426"/>
        <s v="ORD101637"/>
        <s v="ORD104069"/>
        <s v="ORD100149"/>
        <s v="ORD100312"/>
        <s v="ORD104682"/>
        <s v="ORD104075"/>
        <s v="ORD103068"/>
        <s v="ORD104095"/>
        <s v="ORD104735"/>
        <s v="ORD100617"/>
        <s v="ORD103166"/>
        <s v="ORD102962"/>
        <s v="ORD104401"/>
        <s v="ORD102188"/>
        <s v="ORD104743"/>
        <s v="ORD101934"/>
        <s v="ORD100276"/>
        <s v="ORD102436"/>
        <s v="ORD103874"/>
        <s v="ORD104593"/>
        <s v="ORD102375"/>
        <s v="ORD103949"/>
        <s v="ORD101308"/>
        <s v="ORD104434"/>
        <s v="ORD100424"/>
        <s v="ORD100903"/>
        <s v="ORD101788"/>
        <s v="ORD101991"/>
        <s v="ORD103311"/>
        <s v="ORD102353"/>
        <s v="ORD100905"/>
        <s v="ORD103231"/>
        <s v="ORD100088"/>
        <s v="ORD103240"/>
        <s v="ORD102552"/>
        <s v="ORD101828"/>
        <s v="ORD102997"/>
        <s v="ORD100833"/>
        <s v="ORD101965"/>
        <s v="ORD104421"/>
        <s v="ORD101799"/>
        <s v="ORD104615"/>
        <s v="ORD104017"/>
        <s v="ORD101004"/>
        <s v="ORD103101"/>
        <s v="ORD101394"/>
        <s v="ORD104725"/>
        <s v="ORD104158"/>
        <s v="ORD102378"/>
        <s v="ORD104638"/>
        <s v="ORD100795"/>
        <s v="ORD101211"/>
        <s v="ORD101431"/>
        <s v="ORD101924"/>
        <s v="ORD102354"/>
        <s v="ORD100429"/>
        <s v="ORD103598"/>
        <s v="ORD104164"/>
        <s v="ORD102569"/>
        <s v="ORD102599"/>
        <s v="ORD100685"/>
        <s v="ORD100087"/>
        <s v="ORD101442"/>
        <s v="ORD103388"/>
        <s v="ORD104156"/>
        <s v="ORD100938"/>
        <s v="ORD100419"/>
        <s v="ORD102401"/>
        <s v="ORD103742"/>
        <s v="ORD101059"/>
        <s v="ORD101091"/>
        <s v="ORD102680"/>
        <s v="ORD103115"/>
        <s v="ORD103622"/>
        <s v="ORD104851"/>
        <s v="ORD102444"/>
        <s v="ORD103514"/>
        <s v="ORD101840"/>
        <s v="ORD101287"/>
        <s v="ORD100946"/>
        <s v="ORD101039"/>
        <s v="ORD104254"/>
        <s v="ORD104624"/>
        <s v="ORD101695"/>
        <s v="ORD104415"/>
        <s v="ORD102343"/>
        <s v="ORD100629"/>
        <s v="ORD100241"/>
        <s v="ORD101396"/>
        <s v="ORD103831"/>
        <s v="ORD101121"/>
        <s v="ORD101627"/>
        <s v="ORD103696"/>
        <s v="ORD103959"/>
        <s v="ORD100107"/>
        <s v="ORD104452"/>
        <s v="ORD103601"/>
        <s v="ORD102780"/>
        <s v="ORD101360"/>
        <s v="ORD104324"/>
        <s v="ORD102313"/>
        <s v="ORD100059"/>
        <s v="ORD102788"/>
        <s v="ORD100347"/>
        <s v="ORD103967"/>
        <s v="ORD103574"/>
        <s v="ORD101060"/>
        <s v="ORD104783"/>
        <s v="ORD104162"/>
        <s v="ORD104247"/>
        <s v="ORD102151"/>
        <s v="ORD103984"/>
        <s v="ORD103120"/>
        <s v="ORD103536"/>
        <s v="ORD100421"/>
        <s v="ORD102085"/>
        <s v="ORD103028"/>
        <s v="ORD104714"/>
        <s v="ORD101569"/>
        <s v="ORD103738"/>
        <s v="ORD102524"/>
        <s v="ORD104476"/>
        <s v="ORD100172"/>
        <s v="ORD100023"/>
        <s v="ORD102645"/>
        <s v="ORD103983"/>
        <s v="ORD100362"/>
        <s v="ORD100997"/>
        <s v="ORD101826"/>
        <s v="ORD103339"/>
        <s v="ORD101187"/>
        <s v="ORD103650"/>
        <s v="ORD101244"/>
        <s v="ORD102887"/>
        <s v="ORD103301"/>
        <s v="ORD102475"/>
        <s v="ORD104283"/>
        <s v="ORD100928"/>
        <s v="ORD102574"/>
        <s v="ORD103768"/>
        <s v="ORD104007"/>
        <s v="ORD104107"/>
        <s v="ORD101917"/>
        <s v="ORD100679"/>
        <s v="ORD104966"/>
        <s v="ORD103089"/>
        <s v="ORD101362"/>
        <s v="ORD102200"/>
        <s v="ORD101153"/>
        <s v="ORD104518"/>
        <s v="ORD101361"/>
        <s v="ORD100442"/>
        <s v="ORD102282"/>
        <s v="ORD101235"/>
        <s v="ORD101200"/>
        <s v="ORD101249"/>
        <s v="ORD102763"/>
        <s v="ORD102868"/>
        <s v="ORD101412"/>
        <s v="ORD100670"/>
        <s v="ORD102717"/>
        <s v="ORD100981"/>
        <s v="ORD100565"/>
        <s v="ORD102819"/>
        <s v="ORD101516"/>
        <s v="ORD100063"/>
        <s v="ORD101767"/>
        <s v="ORD104635"/>
        <s v="ORD102906"/>
        <s v="ORD101144"/>
        <s v="ORD103199"/>
        <s v="ORD104117"/>
        <s v="ORD101654"/>
        <s v="ORD101445"/>
        <s v="ORD100887"/>
        <s v="ORD101089"/>
        <s v="ORD103123"/>
        <s v="ORD103824"/>
        <s v="ORD101520"/>
        <s v="ORD104468"/>
        <s v="ORD103887"/>
        <s v="ORD102613"/>
        <s v="ORD100259"/>
        <s v="ORD104947"/>
        <s v="ORD104451"/>
        <s v="ORD102822"/>
        <s v="ORD100380"/>
        <s v="ORD102018"/>
        <s v="ORD102087"/>
        <s v="ORD103071"/>
        <s v="ORD102071"/>
        <s v="ORD103136"/>
        <s v="ORD101755"/>
        <s v="ORD103611"/>
        <s v="ORD100965"/>
        <s v="ORD101002"/>
        <s v="ORD104475"/>
        <s v="ORD100605"/>
        <s v="ORD104350"/>
        <s v="ORD103766"/>
        <s v="ORD104965"/>
        <s v="ORD104420"/>
        <s v="ORD102504"/>
        <s v="ORD104817"/>
        <s v="ORD104859"/>
        <s v="ORD100102"/>
        <s v="ORD104536"/>
        <s v="ORD101271"/>
        <s v="ORD103788"/>
        <s v="ORD103171"/>
        <s v="ORD101640"/>
        <s v="ORD101909"/>
        <s v="ORD104782"/>
        <s v="ORD104392"/>
        <s v="ORD104472"/>
        <s v="ORD101835"/>
        <s v="ORD100814"/>
        <s v="ORD101561"/>
        <s v="ORD102043"/>
        <s v="ORD100661"/>
        <s v="ORD101808"/>
        <s v="ORD104086"/>
        <s v="ORD100558"/>
        <s v="ORD101660"/>
        <s v="ORD101689"/>
        <s v="ORD100391"/>
        <s v="ORD101493"/>
        <s v="ORD100440"/>
        <s v="ORD103981"/>
        <s v="ORD102766"/>
        <s v="ORD102042"/>
        <s v="ORD101490"/>
        <s v="ORD101577"/>
        <s v="ORD104088"/>
        <s v="ORD100655"/>
        <s v="ORD102733"/>
        <s v="ORD101730"/>
        <s v="ORD100337"/>
        <s v="ORD104979"/>
        <s v="ORD102275"/>
        <s v="ORD100358"/>
        <s v="ORD102750"/>
        <s v="ORD104983"/>
        <s v="ORD100691"/>
        <s v="ORD104018"/>
        <s v="ORD102292"/>
        <s v="ORD101440"/>
        <s v="ORD103606"/>
        <s v="ORD104631"/>
        <s v="ORD102729"/>
        <s v="ORD104828"/>
        <s v="ORD102999"/>
        <s v="ORD103701"/>
        <s v="ORD104205"/>
        <s v="ORD103016"/>
        <s v="ORD102726"/>
        <s v="ORD104821"/>
        <s v="ORD102985"/>
        <s v="ORD103324"/>
        <s v="ORD101641"/>
        <s v="ORD103348"/>
        <s v="ORD100150"/>
        <s v="ORD101945"/>
        <s v="ORD104559"/>
        <s v="ORD100945"/>
        <s v="ORD104761"/>
        <s v="ORD102142"/>
        <s v="ORD104274"/>
        <s v="ORD101285"/>
        <s v="ORD101358"/>
        <s v="ORD100351"/>
        <s v="ORD100454"/>
        <s v="ORD102949"/>
        <s v="ORD100837"/>
        <s v="ORD104339"/>
        <s v="ORD101610"/>
        <s v="ORD103020"/>
        <s v="ORD104764"/>
        <s v="ORD100022"/>
        <s v="ORD101607"/>
        <s v="ORD103888"/>
        <s v="ORD101795"/>
        <s v="ORD103758"/>
        <s v="ORD104881"/>
        <s v="ORD103966"/>
        <s v="ORD103971"/>
        <s v="ORD104580"/>
        <s v="ORD101789"/>
        <s v="ORD103953"/>
        <s v="ORD102351"/>
        <s v="ORD101700"/>
        <s v="ORD100212"/>
        <s v="ORD102235"/>
        <s v="ORD101473"/>
        <s v="ORD102755"/>
        <s v="ORD103670"/>
        <s v="ORD101785"/>
        <s v="ORD100719"/>
        <s v="ORD102261"/>
        <s v="ORD100185"/>
        <s v="ORD100556"/>
        <s v="ORD104038"/>
        <s v="ORD100880"/>
        <s v="ORD102959"/>
        <s v="ORD104711"/>
        <s v="ORD104982"/>
        <s v="ORD101378"/>
        <s v="ORD100624"/>
        <s v="ORD101491"/>
        <s v="ORD102325"/>
        <s v="ORD104079"/>
        <s v="ORD102647"/>
        <s v="ORD100385"/>
        <s v="ORD102753"/>
        <s v="ORD103219"/>
        <s v="ORD100205"/>
        <s v="ORD101289"/>
        <s v="ORD102252"/>
        <s v="ORD104317"/>
        <s v="ORD104238"/>
        <s v="ORD102497"/>
        <s v="ORD103047"/>
        <s v="ORD102604"/>
        <s v="ORD104380"/>
        <s v="ORD104140"/>
        <s v="ORD101031"/>
        <s v="ORD104406"/>
        <s v="ORD102006"/>
        <s v="ORD100151"/>
        <s v="ORD104241"/>
        <s v="ORD100349"/>
        <s v="ORD102122"/>
        <s v="ORD102908"/>
        <s v="ORD102466"/>
        <s v="ORD103713"/>
        <s v="ORD102379"/>
        <s v="ORD103160"/>
        <s v="ORD103929"/>
        <s v="ORD101914"/>
        <s v="ORD104732"/>
        <s v="ORD101055"/>
        <s v="ORD103441"/>
        <s v="ORD100713"/>
        <s v="ORD104873"/>
        <s v="ORD101756"/>
        <s v="ORD101290"/>
        <s v="ORD100810"/>
        <s v="ORD103942"/>
        <s v="ORD100950"/>
        <s v="ORD100406"/>
        <s v="ORD104990"/>
        <s v="ORD100917"/>
        <s v="ORD100402"/>
        <s v="ORD100436"/>
        <s v="ORD101162"/>
        <s v="ORD104214"/>
        <s v="ORD102262"/>
        <s v="ORD100034"/>
        <s v="ORD104778"/>
        <s v="ORD102950"/>
        <s v="ORD103479"/>
        <s v="ORD100931"/>
        <s v="ORD101616"/>
        <s v="ORD101736"/>
        <s v="ORD101874"/>
        <s v="ORD102893"/>
        <s v="ORD103980"/>
        <s v="ORD101537"/>
        <s v="ORD100543"/>
        <s v="ORD101563"/>
        <s v="ORD104022"/>
        <s v="ORD101402"/>
        <s v="ORD102723"/>
        <s v="ORD101691"/>
        <s v="ORD102587"/>
        <s v="ORD103500"/>
        <s v="ORD103337"/>
        <s v="ORD100632"/>
        <s v="ORD104248"/>
        <s v="ORD103549"/>
        <s v="ORD100364"/>
        <s v="ORD101095"/>
        <s v="ORD104478"/>
        <s v="ORD103450"/>
        <s v="ORD103428"/>
        <s v="ORD101321"/>
        <s v="ORD103263"/>
        <s v="ORD103332"/>
        <s v="ORD101511"/>
        <s v="ORD103222"/>
        <s v="ORD103832"/>
        <s v="ORD101090"/>
        <s v="ORD101014"/>
        <s v="ORD104020"/>
        <s v="ORD101692"/>
        <s v="ORD102491"/>
        <s v="ORD100331"/>
        <s v="ORD100028"/>
        <s v="ORD102117"/>
        <s v="ORD100045"/>
        <s v="ORD101209"/>
        <s v="ORD102259"/>
        <s v="ORD101190"/>
        <s v="ORD103575"/>
        <s v="ORD102248"/>
        <s v="ORD101185"/>
        <s v="ORD102699"/>
        <s v="ORD104460"/>
        <s v="ORD102423"/>
        <s v="ORD103147"/>
        <s v="ORD100306"/>
        <s v="ORD101685"/>
        <s v="ORD103010"/>
        <s v="ORD100368"/>
        <s v="ORD101643"/>
        <s v="ORD100542"/>
        <s v="ORD104875"/>
        <s v="ORD104688"/>
        <s v="ORD101274"/>
        <s v="ORD103153"/>
        <s v="ORD103100"/>
        <s v="ORD103109"/>
        <s v="ORD103747"/>
        <s v="ORD104863"/>
        <s v="ORD101777"/>
        <s v="ORD102958"/>
        <s v="ORD104543"/>
        <s v="ORD101334"/>
        <s v="ORD104505"/>
        <s v="ORD101955"/>
        <s v="ORD103974"/>
        <s v="ORD101794"/>
        <s v="ORD100761"/>
        <s v="ORD104669"/>
        <s v="ORD102815"/>
        <s v="ORD101347"/>
        <s v="ORD102099"/>
        <s v="ORD102990"/>
        <s v="ORD100628"/>
        <s v="ORD100071"/>
        <s v="ORD100914"/>
        <s v="ORD103434"/>
        <s v="ORD104748"/>
        <s v="ORD104699"/>
        <s v="ORD102939"/>
        <s v="ORD104889"/>
        <s v="ORD101706"/>
        <s v="ORD104841"/>
        <s v="ORD102295"/>
        <s v="ORD100168"/>
        <s v="ORD101403"/>
        <s v="ORD102775"/>
        <s v="ORD103923"/>
        <s v="ORD103954"/>
        <s v="ORD101113"/>
        <s v="ORD101237"/>
        <s v="ORD102418"/>
        <s v="ORD101028"/>
        <s v="ORD102120"/>
        <s v="ORD102746"/>
        <s v="ORD104422"/>
        <s v="ORD100818"/>
        <s v="ORD104335"/>
        <s v="ORD104488"/>
        <s v="ORD101411"/>
        <s v="ORD103868"/>
        <s v="ORD100470"/>
        <s v="ORD101648"/>
        <s v="ORD102761"/>
        <s v="ORD101894"/>
        <s v="ORD100821"/>
        <s v="ORD100548"/>
        <s v="ORD102651"/>
        <s v="ORD103570"/>
        <s v="ORD103070"/>
        <s v="ORD100179"/>
        <s v="ORD103520"/>
        <s v="ORD101772"/>
        <s v="ORD102479"/>
        <s v="ORD103267"/>
        <s v="ORD100757"/>
        <s v="ORD102413"/>
        <s v="ORD103871"/>
        <s v="ORD104013"/>
        <s v="ORD101027"/>
        <s v="ORD102855"/>
        <s v="ORD104373"/>
        <s v="ORD101891"/>
        <s v="ORD100224"/>
        <s v="ORD100434"/>
        <s v="ORD103792"/>
        <s v="ORD102686"/>
        <s v="ORD101163"/>
        <s v="ORD102305"/>
        <s v="ORD101708"/>
        <s v="ORD104438"/>
        <s v="ORD103396"/>
        <s v="ORD104305"/>
        <s v="ORD101675"/>
        <s v="ORD104387"/>
        <s v="ORD103087"/>
        <s v="ORD103352"/>
        <s v="ORD103542"/>
        <s v="ORD104167"/>
        <s v="ORD101355"/>
        <s v="ORD100897"/>
        <s v="ORD104991"/>
        <s v="ORD104029"/>
        <s v="ORD104234"/>
        <s v="ORD101369"/>
        <s v="ORD101646"/>
        <s v="ORD100494"/>
        <s v="ORD104143"/>
        <s v="ORD104839"/>
        <s v="ORD102332"/>
        <s v="ORD102209"/>
        <s v="ORD103150"/>
        <s v="ORD104000"/>
        <s v="ORD100665"/>
        <s v="ORD101632"/>
        <s v="ORD101161"/>
        <s v="ORD102197"/>
        <s v="ORD102348"/>
        <s v="ORD102038"/>
        <s v="ORD104286"/>
        <s v="ORD103076"/>
        <s v="ORD100952"/>
        <s v="ORD103652"/>
        <s v="ORD101629"/>
        <s v="ORD104250"/>
        <s v="ORD104680"/>
        <s v="ORD104456"/>
        <s v="ORD103751"/>
        <s v="ORD104233"/>
        <s v="ORD103210"/>
        <s v="ORD101348"/>
        <s v="ORD104823"/>
        <s v="ORD100958"/>
        <s v="ORD101238"/>
        <s v="ORD100733"/>
        <s v="ORD101896"/>
        <s v="ORD104570"/>
        <s v="ORD101160"/>
        <s v="ORD102024"/>
        <s v="ORD101418"/>
        <s v="ORD103774"/>
        <s v="ORD100807"/>
        <s v="ORD103523"/>
        <s v="ORD102687"/>
        <s v="ORD100112"/>
        <s v="ORD101596"/>
        <s v="ORD104019"/>
        <s v="ORD101179"/>
        <s v="ORD104666"/>
        <s v="ORD100334"/>
        <s v="ORD102300"/>
        <s v="ORD103770"/>
        <s v="ORD104294"/>
        <s v="ORD103554"/>
        <s v="ORD101578"/>
        <s v="ORD104747"/>
        <s v="ORD101913"/>
        <s v="ORD103163"/>
        <s v="ORD103897"/>
        <s v="ORD101837"/>
        <s v="ORD104928"/>
        <s v="ORD101747"/>
        <s v="ORD101540"/>
        <s v="ORD100604"/>
        <s v="ORD101895"/>
        <s v="ORD104510"/>
        <s v="ORD103809"/>
        <s v="ORD103993"/>
        <s v="ORD101370"/>
        <s v="ORD103105"/>
        <s v="ORD101778"/>
        <s v="ORD100293"/>
        <s v="ORD102628"/>
        <s v="ORD101414"/>
        <s v="ORD102464"/>
        <s v="ORD103248"/>
        <s v="ORD100745"/>
        <s v="ORD100488"/>
        <s v="ORD102797"/>
        <s v="ORD104572"/>
        <s v="ORD104673"/>
        <s v="ORD104474"/>
        <s v="ORD103733"/>
        <s v="ORD104003"/>
        <s v="ORD104180"/>
        <s v="ORD101595"/>
        <s v="ORD102862"/>
        <s v="ORD101384"/>
        <s v="ORD100193"/>
        <s v="ORD102972"/>
        <s v="ORD100340"/>
        <s v="ORD103387"/>
        <s v="ORD103961"/>
        <s v="ORD103950"/>
        <s v="ORD102111"/>
        <s v="ORD101472"/>
        <s v="ORD100387"/>
        <s v="ORD102344"/>
        <s v="ORD101139"/>
        <s v="ORD102341"/>
        <s v="ORD104513"/>
        <s v="ORD100166"/>
        <s v="ORD101650"/>
        <s v="ORD104231"/>
        <s v="ORD101157"/>
        <s v="ORD101385"/>
        <s v="ORD101330"/>
        <s v="ORD102416"/>
        <s v="ORD101166"/>
        <s v="ORD100040"/>
        <s v="ORD102850"/>
        <s v="ORD101735"/>
        <s v="ORD100763"/>
        <s v="ORD101942"/>
        <s v="ORD100593"/>
        <s v="ORD100562"/>
        <s v="ORD102291"/>
        <s v="ORD101229"/>
        <s v="ORD102771"/>
        <s v="ORD102857"/>
        <s v="ORD101155"/>
        <s v="ORD100631"/>
        <s v="ORD103334"/>
        <s v="ORD101514"/>
        <s v="ORD103129"/>
        <s v="ORD101117"/>
        <s v="ORD101814"/>
        <s v="ORD104997"/>
        <s v="ORD100399"/>
        <s v="ORD102361"/>
        <s v="ORD103175"/>
        <s v="ORD104774"/>
        <s v="ORD101663"/>
        <s v="ORD103861"/>
        <s v="ORD104640"/>
        <s v="ORD102870"/>
        <s v="ORD102176"/>
        <s v="ORD104034"/>
        <s v="ORD101849"/>
        <s v="ORD103698"/>
        <s v="ORD100057"/>
        <s v="ORD103440"/>
        <s v="ORD100090"/>
        <s v="ORD104813"/>
        <s v="ORD104573"/>
        <s v="ORD100134"/>
        <s v="ORD102786"/>
        <s v="ORD103062"/>
        <s v="ORD102622"/>
        <s v="ORD103823"/>
        <s v="ORD104483"/>
        <s v="ORD101389"/>
        <s v="ORD100121"/>
        <s v="ORD100240"/>
        <s v="ORD103517"/>
        <s v="ORD102583"/>
        <s v="ORD103121"/>
        <s v="ORD102320"/>
        <s v="ORD101251"/>
        <s v="ORD102835"/>
        <s v="ORD103907"/>
        <s v="ORD101415"/>
        <s v="ORD103628"/>
        <s v="ORD104144"/>
        <s v="ORD104650"/>
        <s v="ORD102955"/>
        <s v="ORD104736"/>
        <s v="ORD101659"/>
        <s v="ORD101410"/>
        <s v="ORD100427"/>
        <s v="ORD104674"/>
        <s v="ORD104436"/>
        <s v="ORD104056"/>
        <s v="ORD102668"/>
        <s v="ORD104066"/>
        <s v="ORD100941"/>
        <s v="ORD100676"/>
        <s v="ORD104856"/>
        <s v="ORD100742"/>
        <s v="ORD100760"/>
        <s v="ORD103976"/>
        <s v="ORD100066"/>
        <s v="ORD100926"/>
        <s v="ORD103207"/>
        <s v="ORD100317"/>
        <s v="ORD103282"/>
        <s v="ORD101435"/>
        <s v="ORD100737"/>
        <s v="ORD101869"/>
        <s v="ORD101979"/>
        <s v="ORD101507"/>
        <s v="ORD101373"/>
        <s v="ORD100093"/>
        <s v="ORD103676"/>
        <s v="ORD103446"/>
        <s v="ORD103261"/>
        <s v="ORD100951"/>
        <s v="ORD103573"/>
        <s v="ORD101983"/>
        <s v="ORD102590"/>
        <s v="ORD104550"/>
        <s v="ORD101245"/>
        <s v="ORD102485"/>
        <s v="ORD102411"/>
        <s v="ORD103885"/>
        <s v="ORD101773"/>
        <s v="ORD104341"/>
        <s v="ORD100866"/>
        <s v="ORD101239"/>
        <s v="ORD101933"/>
        <s v="ORD101763"/>
        <s v="ORD104370"/>
        <s v="ORD100081"/>
        <s v="ORD103916"/>
        <s v="ORD103462"/>
        <s v="ORD104431"/>
        <s v="ORD100689"/>
        <s v="ORD103610"/>
        <s v="ORD101696"/>
        <s v="ORD104978"/>
        <s v="ORD102281"/>
        <s v="ORD103620"/>
        <s v="ORD101154"/>
        <s v="ORD103584"/>
        <s v="ORD102903"/>
        <s v="ORD100111"/>
        <s v="ORD101223"/>
        <s v="ORD102317"/>
        <s v="ORD100762"/>
        <s v="ORD103494"/>
        <s v="ORD104110"/>
        <s v="ORD103122"/>
        <s v="ORD104525"/>
        <s v="ORD100826"/>
        <s v="ORD104563"/>
        <s v="ORD104111"/>
        <s v="ORD100517"/>
        <s v="ORD101862"/>
        <s v="ORD102384"/>
        <s v="ORD103468"/>
        <s v="ORD104878"/>
        <s v="ORD102720"/>
        <s v="ORD103417"/>
        <s v="ORD104054"/>
        <s v="ORD100065"/>
        <s v="ORD100641"/>
        <s v="ORD102948"/>
        <s v="ORD102957"/>
        <s v="ORD102901"/>
        <s v="ORD104482"/>
        <s v="ORD101116"/>
        <s v="ORD104064"/>
        <s v="ORD100930"/>
        <s v="ORD102090"/>
        <s v="ORD101335"/>
        <s v="ORD100038"/>
        <s v="ORD100125"/>
        <s v="ORD102811"/>
        <s v="ORD100850"/>
        <s v="ORD102247"/>
        <s v="ORD104886"/>
        <s v="ORD104357"/>
        <s v="ORD100942"/>
        <s v="ORD102157"/>
        <s v="ORD100856"/>
        <s v="ORD100611"/>
        <s v="ORD104002"/>
        <s v="ORD102211"/>
        <s v="ORD103592"/>
        <s v="ORD102707"/>
        <s v="ORD102555"/>
        <s v="ORD103274"/>
        <s v="ORD101118"/>
        <s v="ORD101580"/>
        <s v="ORD104134"/>
        <s v="ORD100263"/>
        <s v="ORD104355"/>
        <s v="ORD103728"/>
        <s v="ORD104293"/>
        <s v="ORD103118"/>
        <s v="ORD103643"/>
        <s v="ORD100671"/>
        <s v="ORD104557"/>
        <s v="ORD103273"/>
        <s v="ORD103293"/>
        <s v="ORD101428"/>
        <s v="ORD102966"/>
        <s v="ORD102563"/>
        <s v="ORD102017"/>
        <s v="ORD101408"/>
        <s v="ORD104739"/>
        <s v="ORD101968"/>
        <s v="ORD103266"/>
        <s v="ORD103425"/>
        <s v="ORD100477"/>
        <s v="ORD102447"/>
        <s v="ORD101203"/>
        <s v="ORD104551"/>
        <s v="ORD103505"/>
        <s v="ORD101353"/>
        <s v="ORD102138"/>
        <s v="ORD103678"/>
        <s v="ORD100586"/>
        <s v="ORD103844"/>
        <s v="ORD104187"/>
        <s v="ORD100529"/>
        <s v="ORD101407"/>
        <s v="ORD101746"/>
        <s v="ORD102160"/>
        <s v="ORD100716"/>
        <s v="ORD100395"/>
        <s v="ORD100054"/>
        <s v="ORD100560"/>
        <s v="ORD101711"/>
        <s v="ORD103111"/>
        <s v="ORD101753"/>
        <s v="ORD103534"/>
        <s v="ORD101395"/>
        <s v="ORD102236"/>
        <s v="ORD101320"/>
        <s v="ORD102467"/>
        <s v="ORD100784"/>
        <s v="ORD102556"/>
        <s v="ORD100360"/>
        <s v="ORD102025"/>
        <s v="ORD100580"/>
        <s v="ORD103685"/>
        <s v="ORD103726"/>
        <s v="ORD104972"/>
        <s v="ORD100741"/>
        <s v="ORD104973"/>
        <s v="ORD102767"/>
        <s v="ORD102372"/>
        <s v="ORD104125"/>
        <s v="ORD100870"/>
        <s v="ORD101233"/>
        <s v="ORD101434"/>
        <s v="ORD100815"/>
        <s v="ORD103529"/>
        <s v="ORD104076"/>
        <s v="ORD100472"/>
        <s v="ORD101337"/>
        <s v="ORD100890"/>
        <s v="ORD100992"/>
        <s v="ORD103380"/>
        <s v="ORD100805"/>
        <s v="ORD100163"/>
        <s v="ORD101572"/>
        <s v="ORD104924"/>
        <s v="ORD101495"/>
        <s v="ORD101322"/>
        <s v="ORD101486"/>
        <s v="ORD100796"/>
        <s v="ORD102638"/>
        <s v="ORD104260"/>
        <s v="ORD101426"/>
        <s v="ORD101994"/>
        <s v="ORD104756"/>
        <s v="ORD101122"/>
        <s v="ORD103232"/>
        <s v="ORD104898"/>
        <s v="ORD102026"/>
        <s v="ORD102865"/>
        <s v="ORD104211"/>
        <s v="ORD102298"/>
        <s v="ORD101866"/>
        <s v="ORD103597"/>
        <s v="ORD103317"/>
        <s v="ORD100019"/>
        <s v="ORD104103"/>
        <s v="ORD104092"/>
        <s v="ORD103796"/>
        <s v="ORD100505"/>
        <s v="ORD103404"/>
        <s v="ORD103931"/>
        <s v="ORD101215"/>
        <s v="ORD102987"/>
        <s v="ORD100218"/>
        <s v="ORD103677"/>
        <s v="ORD103763"/>
        <s v="ORD102956"/>
        <s v="ORD102889"/>
        <s v="ORD102061"/>
        <s v="ORD101107"/>
        <s v="ORD103580"/>
        <s v="ORD103694"/>
        <s v="ORD102177"/>
        <s v="ORD101851"/>
        <s v="ORD103857"/>
        <s v="ORD104053"/>
        <s v="ORD102572"/>
        <s v="ORD103384"/>
        <s v="ORD103399"/>
        <s v="ORD101887"/>
        <s v="ORD104511"/>
        <s v="ORD100286"/>
        <s v="ORD100532"/>
        <s v="ORD102971"/>
        <s v="ORD104282"/>
        <s v="ORD104249"/>
        <s v="ORD103527"/>
        <s v="ORD101188"/>
        <s v="ORD103067"/>
        <s v="ORD103616"/>
        <s v="ORD103173"/>
        <s v="ORD103777"/>
        <s v="ORD103962"/>
        <s v="ORD102170"/>
        <s v="ORD103641"/>
        <s v="ORD104040"/>
        <s v="ORD104769"/>
        <s v="ORD100860"/>
        <s v="ORD104578"/>
        <s v="ORD100824"/>
        <s v="ORD104993"/>
        <s v="ORD100657"/>
        <s v="ORD104382"/>
        <s v="ORD102368"/>
        <s v="ORD104388"/>
        <s v="ORD100109"/>
        <s v="ORD103437"/>
        <s v="ORD100280"/>
        <s v="ORD104611"/>
        <s v="ORD100509"/>
        <s v="ORD101023"/>
        <s v="ORD104896"/>
        <s v="ORD102011"/>
        <s v="ORD100323"/>
        <s v="ORD101365"/>
        <s v="ORD104448"/>
        <s v="ORD103000"/>
        <s v="ORD100854"/>
        <s v="ORD101542"/>
        <s v="ORD100194"/>
        <s v="ORD103960"/>
        <s v="ORD103069"/>
        <s v="ORD100956"/>
        <s v="ORD103626"/>
        <s v="ORD102184"/>
        <s v="ORD101560"/>
        <s v="ORD104954"/>
        <s v="ORD101622"/>
        <s v="ORD103271"/>
        <s v="ORD104671"/>
        <s v="ORD100502"/>
        <s v="ORD104169"/>
        <s v="ORD102718"/>
        <s v="ORD104222"/>
        <s v="ORD103737"/>
        <s v="ORD104587"/>
        <s v="ORD103034"/>
        <s v="ORD102422"/>
        <s v="ORD104586"/>
        <s v="ORD102823"/>
        <s v="ORD100460"/>
        <s v="ORD102388"/>
        <s v="ORD100944"/>
        <s v="ORD101305"/>
        <s v="ORD102428"/>
        <s v="ORD103551"/>
        <s v="ORD103947"/>
        <s v="ORD100978"/>
        <s v="ORD100985"/>
        <s v="ORD101803"/>
        <s v="ORD103064"/>
        <s v="ORD101710"/>
        <s v="ORD103495"/>
        <s v="ORD104585"/>
        <s v="ORD102944"/>
        <s v="ORD103227"/>
        <s v="ORD100835"/>
        <s v="ORD102398"/>
        <s v="ORD103366"/>
        <s v="ORD103817"/>
        <s v="ORD102537"/>
        <s v="ORD101599"/>
        <s v="ORD104342"/>
        <s v="ORD103242"/>
        <s v="ORD100284"/>
        <s v="ORD103145"/>
        <s v="ORD100675"/>
        <s v="ORD104031"/>
        <s v="ORD100660"/>
        <s v="ORD101272"/>
        <s v="ORD104268"/>
        <s v="ORD100084"/>
        <s v="ORD103865"/>
        <s v="ORD101381"/>
        <s v="ORD101960"/>
        <s v="ORD104719"/>
        <s v="ORD102738"/>
        <s v="ORD103448"/>
        <s v="ORD100359"/>
        <s v="ORD100408"/>
        <s v="ORD102669"/>
        <s v="ORD101151"/>
        <s v="ORD103159"/>
        <s v="ORD103499"/>
        <s v="ORD103553"/>
        <s v="ORD101483"/>
        <s v="ORD100684"/>
        <s v="ORD104239"/>
        <s v="ORD102794"/>
        <s v="ORD104439"/>
        <s v="ORD102992"/>
        <s v="ORD104943"/>
        <s v="ORD102804"/>
        <s v="ORD100042"/>
        <s v="ORD103006"/>
        <s v="ORD104969"/>
        <s v="ORD103057"/>
        <s v="ORD104809"/>
        <s v="ORD102165"/>
        <s v="ORD103745"/>
        <s v="ORD101049"/>
        <s v="ORD101567"/>
        <s v="ORD100823"/>
        <s v="ORD103319"/>
        <s v="ORD100288"/>
        <s v="ORD103333"/>
        <s v="ORD104689"/>
        <s v="ORD102328"/>
        <s v="ORD102370"/>
        <s v="ORD104273"/>
        <s v="ORD104981"/>
        <s v="ORD100309"/>
        <s v="ORD100122"/>
        <s v="ORD100211"/>
        <s v="ORD101380"/>
        <s v="ORD103680"/>
        <s v="ORD102947"/>
        <s v="ORD102455"/>
        <s v="ORD103927"/>
        <s v="ORD100008"/>
        <s v="ORD103187"/>
        <s v="ORD102449"/>
        <s v="ORD103985"/>
        <s v="ORD103234"/>
        <s v="ORD101964"/>
        <s v="ORD104956"/>
        <s v="ORD103509"/>
        <s v="ORD103911"/>
        <s v="ORD104599"/>
        <s v="ORD100029"/>
        <s v="ORD103340"/>
        <s v="ORD103706"/>
        <s v="ORD100145"/>
        <s v="ORD102337"/>
        <s v="ORD103391"/>
        <s v="ORD104890"/>
        <s v="ORD102194"/>
        <s v="ORD101843"/>
        <s v="ORD104183"/>
        <s v="ORD101296"/>
        <s v="ORD103164"/>
        <s v="ORD102182"/>
        <s v="ORD102711"/>
        <s v="ORD102015"/>
        <s v="ORD104737"/>
        <s v="ORD102731"/>
        <s v="ORD100376"/>
        <s v="ORD103673"/>
        <s v="ORD101694"/>
        <s v="ORD100888"/>
        <s v="ORD102036"/>
        <s v="ORD101910"/>
        <s v="ORD101798"/>
        <s v="ORD104744"/>
        <s v="ORD104191"/>
        <s v="ORD102546"/>
        <s v="ORD102789"/>
        <s v="ORD100412"/>
        <s v="ORD101106"/>
        <s v="ORD104906"/>
        <s v="ORD104992"/>
        <s v="ORD103099"/>
        <s v="ORD102637"/>
        <s v="ORD101204"/>
        <s v="ORD103898"/>
        <s v="ORD100687"/>
        <s v="ORD104916"/>
        <s v="ORD103140"/>
        <s v="ORD100304"/>
        <s v="ORD100413"/>
        <s v="ORD101703"/>
        <s v="ORD102498"/>
        <s v="ORD103845"/>
        <s v="ORD104741"/>
        <s v="ORD101665"/>
        <s v="ORD100381"/>
        <s v="ORD104506"/>
        <s v="ORD102301"/>
        <s v="ORD101284"/>
        <s v="ORD101728"/>
        <s v="ORD104697"/>
        <s v="ORD100248"/>
        <s v="ORD101391"/>
        <s v="ORD100607"/>
        <s v="ORD103924"/>
        <s v="ORD100720"/>
        <s v="ORD101488"/>
        <s v="ORD102362"/>
        <s v="ORD101142"/>
        <s v="ORD102424"/>
        <s v="ORD104763"/>
        <s v="ORD101656"/>
        <s v="ORD104921"/>
        <s v="ORD104430"/>
        <s v="ORD101363"/>
        <s v="ORD104023"/>
        <s v="ORD102762"/>
        <s v="ORD103197"/>
        <s v="ORD101325"/>
        <s v="ORD104500"/>
        <s v="ORD100052"/>
        <s v="ORD104265"/>
        <s v="ORD101905"/>
        <s v="ORD100708"/>
        <s v="ORD102641"/>
        <s v="ORD100106"/>
        <s v="ORD100146"/>
        <s v="ORD103613"/>
        <s v="ORD103665"/>
        <s v="ORD104466"/>
        <s v="ORD100003"/>
        <s v="ORD101581"/>
        <s v="ORD103386"/>
        <s v="ORD104246"/>
        <s v="ORD101111"/>
        <s v="ORD101649"/>
        <s v="ORD101226"/>
        <s v="ORD100141"/>
        <s v="ORD101297"/>
        <s v="ORD102918"/>
        <s v="ORD103305"/>
        <s v="ORD103799"/>
        <s v="ORD101241"/>
        <s v="ORD100732"/>
        <s v="ORD104173"/>
        <s v="ORD104583"/>
        <s v="ORD103383"/>
        <s v="ORD100186"/>
        <s v="ORD100269"/>
        <s v="ORD104888"/>
        <s v="ORD104033"/>
        <s v="ORD102663"/>
        <s v="ORD103045"/>
        <s v="ORD100961"/>
        <s v="ORD101266"/>
        <s v="ORD102649"/>
        <s v="ORD103264"/>
        <s v="ORD101550"/>
        <s v="ORD104255"/>
        <s v="ORD104016"/>
        <s v="ORD104605"/>
        <s v="ORD101531"/>
        <s v="ORD101927"/>
        <s v="ORD100270"/>
        <s v="ORD104123"/>
        <s v="ORD100190"/>
        <s v="ORD102195"/>
        <s v="ORD104715"/>
        <s v="ORD100441"/>
        <s v="ORD102066"/>
        <s v="ORD103605"/>
        <s v="ORD102256"/>
        <s v="ORD100753"/>
        <s v="ORD102965"/>
        <s v="ORD103511"/>
        <s v="ORD104445"/>
        <s v="ORD102369"/>
        <s v="ORD104114"/>
        <s v="ORD104988"/>
        <s v="ORD102355"/>
        <s v="ORD100812"/>
        <s v="ORD102830"/>
        <s v="ORD102616"/>
        <s v="ORD102953"/>
        <s v="ORD103717"/>
        <s v="ORD104039"/>
        <s v="ORD100920"/>
        <s v="ORD103863"/>
        <s v="ORD101907"/>
        <s v="ORD101850"/>
        <s v="ORD103001"/>
        <s v="ORD101554"/>
        <s v="ORD102703"/>
        <s v="ORD104463"/>
        <s v="ORD100924"/>
        <s v="ORD100346"/>
        <s v="ORD102757"/>
        <s v="ORD104313"/>
        <s v="ORD101731"/>
        <s v="ORD102383"/>
        <s v="ORD102910"/>
        <s v="ORD103841"/>
        <s v="ORD101421"/>
        <s v="ORD100514"/>
        <s v="ORD104336"/>
        <s v="ORD103748"/>
        <s v="ORD104683"/>
        <s v="ORD101647"/>
        <s v="ORD102689"/>
        <s v="ORD101256"/>
        <s v="ORD100290"/>
        <s v="ORD100599"/>
        <s v="ORD102027"/>
        <s v="ORD102672"/>
        <s v="ORD101811"/>
        <s v="ORD102522"/>
        <s v="ORD101458"/>
        <s v="ORD104547"/>
        <s v="ORD100943"/>
        <s v="ORD102683"/>
        <s v="ORD100326"/>
        <s v="ORD103313"/>
        <s v="ORD103335"/>
        <s v="ORD100256"/>
        <s v="ORD100755"/>
        <s v="ORD103196"/>
        <s v="ORD104203"/>
        <s v="ORD104252"/>
        <s v="ORD104178"/>
        <s v="ORD104236"/>
        <s v="ORD103382"/>
        <s v="ORD100077"/>
        <s v="ORD104428"/>
        <s v="ORD100857"/>
        <s v="ORD102782"/>
        <s v="ORD104677"/>
        <s v="ORD100936"/>
        <s v="ORD104819"/>
        <s v="ORD101899"/>
        <s v="ORD103842"/>
        <s v="ORD100092"/>
        <s v="ORD104526"/>
        <s v="ORD102784"/>
        <s v="ORD103687"/>
        <s v="ORD104102"/>
        <s v="ORD102554"/>
        <s v="ORD101682"/>
        <s v="ORD102167"/>
        <s v="ORD104759"/>
        <s v="ORD102005"/>
        <s v="ORD101752"/>
        <s v="ORD102792"/>
        <s v="ORD104630"/>
        <s v="ORD101867"/>
        <s v="ORD102566"/>
        <s v="ORD103029"/>
        <s v="ORD101922"/>
        <s v="ORD103655"/>
        <s v="ORD103886"/>
        <s v="ORD104025"/>
        <s v="ORD100728"/>
        <s v="ORD101723"/>
        <s v="ORD103343"/>
        <s v="ORD104232"/>
        <s v="ORD101220"/>
        <s v="ORD102817"/>
        <s v="ORD102499"/>
        <s v="ORD104486"/>
        <s v="ORD100842"/>
        <s v="ORD102386"/>
        <s v="ORD102770"/>
        <s v="ORD100746"/>
        <s v="ORD104685"/>
        <s v="ORD103854"/>
        <s v="ORD104284"/>
        <s v="ORD100094"/>
        <s v="ORD100751"/>
        <s v="ORD104098"/>
        <s v="ORD101845"/>
        <s v="ORD103043"/>
        <s v="ORD104352"/>
        <s v="ORD104659"/>
        <s v="ORD104941"/>
        <s v="ORD102020"/>
        <s v="ORD103184"/>
        <s v="ORD100137"/>
        <s v="ORD101446"/>
        <s v="ORD101312"/>
        <s v="ORD103778"/>
        <s v="ORD102173"/>
        <s v="ORD100439"/>
        <s v="ORD104871"/>
        <s v="ORD104825"/>
        <s v="ORD101583"/>
        <s v="ORD102284"/>
        <s v="ORD103209"/>
        <s v="ORD103684"/>
        <s v="ORD103715"/>
        <s v="ORD102387"/>
        <s v="ORD101932"/>
        <s v="ORD103477"/>
        <s v="ORD100167"/>
        <s v="ORD101255"/>
        <s v="ORD100971"/>
        <s v="ORD104648"/>
        <s v="ORD103038"/>
        <s v="ORD103522"/>
        <s v="ORD102232"/>
        <s v="ORD100540"/>
        <s v="ORD102678"/>
        <s v="ORD101344"/>
        <s v="ORD103019"/>
        <s v="ORD104285"/>
        <s v="ORD100231"/>
        <s v="ORD103957"/>
        <s v="ORD100960"/>
        <s v="ORD101987"/>
        <s v="ORD100225"/>
        <s v="ORD101951"/>
        <s v="ORD103693"/>
        <s v="ORD101087"/>
        <s v="ORD100401"/>
        <s v="ORD103325"/>
        <s v="ORD104497"/>
        <s v="ORD103700"/>
        <s v="ORD100183"/>
        <s v="ORD102134"/>
        <s v="ORD104802"/>
        <s v="ORD103533"/>
        <s v="ORD104371"/>
        <s v="ORD102431"/>
        <s v="ORD104390"/>
        <s v="ORD104610"/>
        <s v="ORD102060"/>
        <s v="ORD103991"/>
        <s v="ORD101443"/>
        <s v="ORD102487"/>
        <s v="ORD101897"/>
        <s v="ORD103438"/>
        <s v="ORD101499"/>
        <s v="ORD102425"/>
        <s v="ORD101043"/>
        <s v="ORD104867"/>
        <s v="ORD100649"/>
        <s v="ORD101441"/>
        <s v="ORD104750"/>
        <s v="ORD101178"/>
        <s v="ORD102657"/>
        <s v="ORD101119"/>
        <s v="ORD102848"/>
        <s v="ORD102241"/>
        <s v="ORD101074"/>
        <s v="ORD102472"/>
        <s v="ORD100435"/>
        <s v="ORD104721"/>
        <s v="ORD100418"/>
        <s v="ORD102222"/>
        <s v="ORD101398"/>
        <s v="ORD104799"/>
        <s v="ORD104539"/>
        <s v="ORD102968"/>
        <s v="ORD103389"/>
        <s v="ORD104124"/>
        <s v="ORD104922"/>
        <s v="ORD100318"/>
        <s v="ORD104512"/>
        <s v="ORD104700"/>
        <s v="ORD100013"/>
        <s v="ORD103372"/>
        <s v="ORD102407"/>
        <s v="ORD100906"/>
        <s v="ORD103881"/>
        <s v="ORD102531"/>
        <s v="ORD103086"/>
        <s v="ORD103024"/>
        <s v="ORD104133"/>
        <s v="ORD101444"/>
        <s v="ORD104793"/>
        <s v="ORD100271"/>
        <s v="ORD103445"/>
        <s v="ORD103583"/>
        <s v="ORD103260"/>
        <s v="ORD102933"/>
        <s v="ORD104915"/>
        <s v="ORD104995"/>
        <s v="ORD103894"/>
        <s v="ORD100970"/>
        <s v="ORD101136"/>
        <s v="ORD101180"/>
        <s v="ORD104517"/>
        <s v="ORD103091"/>
        <s v="ORD101007"/>
        <s v="ORD100910"/>
        <s v="ORD104830"/>
        <s v="ORD102068"/>
        <s v="ORD101801"/>
        <s v="ORD100239"/>
        <s v="ORD104692"/>
        <s v="ORD101936"/>
        <s v="ORD103182"/>
        <s v="ORD101147"/>
        <s v="ORD104789"/>
        <s v="ORD101099"/>
        <s v="ORD100096"/>
        <s v="ORD100994"/>
        <s v="ORD102013"/>
        <s v="ORD102242"/>
        <s v="ORD101429"/>
        <s v="ORD103027"/>
        <s v="ORD102807"/>
        <s v="ORD104375"/>
        <s v="ORD104008"/>
        <s v="ORD104596"/>
        <s v="ORD102414"/>
        <s v="ORD104844"/>
        <s v="ORD102385"/>
        <s v="ORD103671"/>
        <s v="ORD102226"/>
        <s v="ORD101513"/>
        <s v="ORD102108"/>
        <s v="ORD103055"/>
        <s v="ORD102826"/>
        <s v="ORD102376"/>
        <s v="ORD103406"/>
        <s v="ORD102543"/>
        <s v="ORD102592"/>
        <s v="ORD103154"/>
        <s v="ORD102045"/>
        <s v="ORD102265"/>
        <s v="ORD103461"/>
        <s v="ORD102260"/>
        <s v="ORD103003"/>
        <s v="ORD101986"/>
        <s v="ORD103239"/>
        <s v="ORD102611"/>
        <s v="ORD103559"/>
        <s v="ORD103767"/>
        <s v="ORD104179"/>
        <s v="ORD100828"/>
        <s v="ORD101030"/>
        <s v="ORD102900"/>
        <s v="ORD104681"/>
        <s v="ORD102049"/>
        <s v="ORD103892"/>
        <s v="ORD100865"/>
        <s v="ORD102270"/>
        <s v="ORD100341"/>
        <s v="ORD103161"/>
        <s v="ORD101301"/>
        <s v="ORD104412"/>
        <s v="ORD104546"/>
        <s v="ORD102484"/>
        <s v="ORD102658"/>
        <s v="ORD104582"/>
        <s v="ORD101314"/>
        <s v="ORD101288"/>
        <s v="ORD103041"/>
        <s v="ORD101024"/>
        <s v="ORD104201"/>
        <s v="ORD103376"/>
        <s v="ORD104781"/>
        <s v="ORD103254"/>
        <s v="ORD100074"/>
        <s v="ORD103812"/>
        <s v="ORD104063"/>
        <s v="ORD101130"/>
        <s v="ORD102123"/>
        <s v="ORD101802"/>
        <s v="ORD102329"/>
        <s v="ORD104594"/>
        <s v="ORD102821"/>
        <s v="ORD102570"/>
        <s v="ORD100869"/>
        <s v="ORD101996"/>
        <s v="ORD104413"/>
        <s v="ORD101911"/>
        <s v="ORD102440"/>
        <s v="ORD101684"/>
        <s v="ORD101912"/>
        <s v="ORD104015"/>
        <s v="ORD101077"/>
        <s v="ORD102919"/>
        <s v="ORD101553"/>
        <s v="ORD103939"/>
        <s v="ORD102486"/>
        <s v="ORD100356"/>
        <s v="ORD101079"/>
        <s v="ORD103708"/>
        <s v="ORD104516"/>
        <s v="ORD103321"/>
        <s v="ORD101630"/>
        <s v="ORD102183"/>
        <s v="ORD104196"/>
        <s v="ORD100404"/>
        <s v="ORD104720"/>
        <s v="ORD101021"/>
        <s v="ORD100048"/>
        <s v="ORD102525"/>
        <s v="ORD104632"/>
        <s v="ORD103859"/>
        <s v="ORD103798"/>
        <s v="ORD101842"/>
        <s v="ORD102920"/>
        <s v="ORD100633"/>
        <s v="ORD102816"/>
        <s v="ORD104944"/>
        <s v="ORD101512"/>
        <s v="ORD100333"/>
        <s v="ORD104074"/>
        <s v="ORD100752"/>
        <s v="ORD100645"/>
        <s v="ORD100522"/>
        <s v="ORD103901"/>
        <s v="ORD104652"/>
        <s v="ORD100493"/>
        <s v="ORD104996"/>
        <s v="ORD101387"/>
        <s v="ORD103486"/>
        <s v="ORD104398"/>
        <s v="ORD102684"/>
        <s v="ORD102324"/>
        <s v="ORD102960"/>
        <s v="ORD102561"/>
        <s v="ORD102514"/>
        <s v="ORD100948"/>
        <s v="ORD104498"/>
        <s v="ORD102041"/>
        <s v="ORD102331"/>
        <s v="ORD101019"/>
        <s v="ORD102269"/>
        <s v="ORD100765"/>
        <s v="ORD101419"/>
        <s v="ORD101501"/>
        <s v="ORD104740"/>
        <s v="ORD101207"/>
        <s v="ORD102448"/>
        <s v="ORD104548"/>
        <s v="ORD103635"/>
        <s v="ORD103862"/>
        <s v="ORD101600"/>
        <s v="ORD101470"/>
        <s v="ORD102150"/>
        <s v="ORD104062"/>
        <s v="ORD101870"/>
        <s v="ORD103872"/>
        <s v="ORD100895"/>
        <s v="ORD104465"/>
        <s v="ORD103257"/>
        <s v="ORD101980"/>
        <s v="ORD103040"/>
        <s v="ORD102454"/>
        <s v="ORD104653"/>
        <s v="ORD100237"/>
        <s v="ORD100457"/>
        <s v="ORD101086"/>
        <s v="ORD100648"/>
        <s v="ORD101125"/>
        <s v="ORD102266"/>
        <s v="ORD100226"/>
        <s v="ORD104321"/>
        <s v="ORD104693"/>
        <s v="ORD100216"/>
        <s v="ORD104794"/>
        <s v="ORD104597"/>
        <s v="ORD102873"/>
        <s v="ORD102303"/>
        <s v="ORD103310"/>
        <s v="ORD103930"/>
        <s v="ORD104900"/>
        <s v="ORD101838"/>
        <s v="ORD100375"/>
        <s v="ORD102437"/>
        <s v="ORD103979"/>
        <s v="ORD100232"/>
        <s v="ORD101008"/>
        <s v="ORD103914"/>
        <s v="ORD100126"/>
        <s v="ORD104625"/>
        <s v="ORD101725"/>
        <s v="ORD103545"/>
        <s v="ORD100581"/>
        <s v="ORD103272"/>
        <s v="ORD103594"/>
        <s v="ORD104215"/>
        <s v="ORD102092"/>
        <s v="ORD100068"/>
        <s v="ORD101506"/>
        <s v="ORD100876"/>
        <s v="ORD102202"/>
        <s v="ORD103539"/>
        <s v="ORD103285"/>
        <s v="ORD102904"/>
        <s v="ORD102345"/>
        <s v="ORD100615"/>
        <s v="ORD101306"/>
        <s v="ORD102796"/>
        <s v="ORD101598"/>
        <s v="ORD101574"/>
        <s v="ORD101836"/>
        <s v="ORD104760"/>
        <s v="ORD100153"/>
        <s v="ORD103566"/>
        <s v="ORD101354"/>
        <s v="ORD100822"/>
        <s v="ORD103295"/>
        <s v="ORD103711"/>
        <s v="ORD104105"/>
        <s v="ORD100438"/>
        <s v="ORD100055"/>
        <s v="ORD100602"/>
        <s v="ORD102219"/>
        <s v="ORD103306"/>
        <s v="ORD104554"/>
        <s v="ORD100156"/>
        <s v="ORD101096"/>
        <s v="ORD103079"/>
        <s v="ORD104288"/>
        <s v="ORD100103"/>
        <s v="ORD104480"/>
        <s v="ORD102593"/>
        <s v="ORD103429"/>
        <s v="ORD101264"/>
        <s v="ORD101366"/>
        <s v="ORD104561"/>
        <s v="ORD100723"/>
        <s v="ORD101324"/>
        <s v="ORD102646"/>
        <s v="ORD104287"/>
        <s v="ORD103181"/>
        <s v="ORD102633"/>
        <s v="ORD103623"/>
        <s v="ORD102196"/>
        <s v="ORD102911"/>
        <s v="ORD104800"/>
        <s v="ORD103815"/>
        <s v="ORD103660"/>
        <s v="ORD103722"/>
        <s v="ORD102308"/>
        <s v="ORD102114"/>
        <s v="ORD104361"/>
        <s v="ORD104041"/>
        <s v="ORD103772"/>
        <s v="ORD102312"/>
        <s v="ORD102153"/>
        <s v="ORD100766"/>
        <s v="ORD104745"/>
        <s v="ORD103253"/>
        <s v="ORD101386"/>
        <s v="ORD103059"/>
        <s v="ORD100305"/>
        <s v="ORD100464"/>
        <s v="ORD102245"/>
        <s v="ORD104299"/>
        <s v="ORD101406"/>
        <s v="ORD104499"/>
        <s v="ORD100873"/>
        <s v="ORD102314"/>
        <s v="ORD100634"/>
        <s v="ORD101829"/>
        <s v="ORD102996"/>
        <s v="ORD104913"/>
        <s v="ORD101316"/>
        <s v="ORD100976"/>
        <s v="ORD100584"/>
        <s v="ORD101279"/>
        <s v="ORD100577"/>
        <s v="ORD100229"/>
        <s v="ORD104057"/>
        <s v="ORD103508"/>
        <s v="ORD101904"/>
        <s v="ORD104372"/>
        <s v="ORD104591"/>
        <s v="ORD103769"/>
        <s v="ORD100032"/>
        <s v="ORD103338"/>
        <s v="ORD100791"/>
        <s v="ORD103392"/>
        <s v="ORD102932"/>
        <s v="ORD101298"/>
        <s v="ORD102457"/>
        <s v="ORD102402"/>
        <s v="ORD104716"/>
        <s v="ORD100281"/>
        <s v="ORD101726"/>
        <s v="ORD104728"/>
        <s v="ORD104970"/>
        <s v="ORD100578"/>
        <s v="ORD100776"/>
        <s v="ORD104895"/>
        <s v="ORD102293"/>
        <s v="ORD101171"/>
        <s v="ORD104304"/>
        <s v="ORD104418"/>
        <s v="ORD103084"/>
        <s v="ORD101327"/>
        <s v="ORD101653"/>
        <s v="ORD101868"/>
        <s v="ORD103744"/>
        <s v="ORD103917"/>
        <s v="ORD101170"/>
        <s v="ORD102280"/>
        <s v="ORD100243"/>
        <s v="ORD100606"/>
        <s v="ORD101299"/>
        <s v="ORD101830"/>
        <s v="ORD103341"/>
        <s v="ORD103642"/>
        <s v="ORD102581"/>
        <s v="ORD100669"/>
        <s v="ORD102774"/>
        <s v="ORD102840"/>
        <s v="ORD103851"/>
        <s v="ORD102089"/>
        <s v="ORD103474"/>
        <s v="ORD101939"/>
        <s v="ORD103408"/>
        <s v="ORD104275"/>
        <s v="ORD102542"/>
        <s v="ORD102002"/>
        <s v="ORD103397"/>
        <s v="ORD103825"/>
        <s v="ORD104949"/>
        <s v="ORD104634"/>
        <s v="ORD101196"/>
        <s v="ORD102412"/>
        <s v="ORD103856"/>
        <s v="ORD100644"/>
        <s v="ORD101067"/>
        <s v="ORD100886"/>
        <s v="ORD104399"/>
        <s v="ORD102632"/>
        <s v="ORD102714"/>
        <s v="ORD104411"/>
        <s v="ORD100546"/>
        <s v="ORD103192"/>
        <s v="ORD102694"/>
        <s v="ORD101093"/>
        <s v="ORD102174"/>
        <s v="ORD104522"/>
        <s v="ORD101925"/>
        <s v="ORD103453"/>
        <s v="ORD102316"/>
        <s v="ORD101356"/>
        <s v="ORD100235"/>
        <s v="ORD103355"/>
        <s v="ORD103612"/>
        <s v="ORD102541"/>
        <s v="ORD104194"/>
        <s v="ORD100154"/>
        <s v="ORD102162"/>
        <s v="ORD102565"/>
        <s v="ORD104606"/>
        <s v="ORD100779"/>
        <s v="ORD101954"/>
        <s v="ORD100220"/>
        <s v="ORD100916"/>
        <s v="ORD101931"/>
        <s v="ORD104291"/>
        <s v="ORD104912"/>
        <s v="ORD104592"/>
        <s v="ORD101455"/>
        <s v="ORD104091"/>
        <s v="ORD103011"/>
        <s v="ORD104481"/>
        <s v="ORD100462"/>
        <s v="ORD100473"/>
        <s v="ORD100483"/>
        <s v="ORD102867"/>
        <s v="ORD103614"/>
        <s v="ORD100174"/>
        <s v="ORD102112"/>
        <s v="ORD103636"/>
        <s v="ORD104171"/>
        <s v="ORD104675"/>
        <s v="ORD101781"/>
        <s v="ORD101475"/>
        <s v="ORD103582"/>
        <s v="ORD102715"/>
        <s v="ORD102257"/>
        <s v="ORD101548"/>
        <s v="ORD104788"/>
        <s v="ORD100627"/>
        <s v="ORD101661"/>
        <s v="ORD102951"/>
        <s v="ORD103489"/>
        <s v="ORD101821"/>
        <s v="ORD100165"/>
        <s v="ORD100988"/>
        <s v="ORD101958"/>
        <s v="ORD101247"/>
        <s v="ORD101617"/>
        <s v="ORD101317"/>
        <s v="ORD103675"/>
        <s v="ORD103818"/>
        <s v="ORD101759"/>
        <s v="ORD103287"/>
        <s v="ORD100730"/>
        <s v="ORD102926"/>
        <s v="ORD103275"/>
        <s v="ORD101471"/>
        <s v="ORD100973"/>
        <s v="ORD103460"/>
        <s v="ORD103524"/>
        <s v="ORD101033"/>
        <s v="ORD101219"/>
        <s v="ORD101970"/>
        <s v="ORD103117"/>
        <s v="ORD100646"/>
        <s v="ORD101463"/>
        <s v="ORD104142"/>
        <s v="ORD100953"/>
        <s v="ORD101584"/>
        <s v="ORD101265"/>
        <s v="ORD103879"/>
        <s v="ORD102713"/>
        <s v="ORD100322"/>
        <s v="ORD101878"/>
        <s v="ORD103587"/>
        <s v="ORD104450"/>
        <s v="ORD101760"/>
        <s v="ORD101812"/>
        <s v="ORD103186"/>
        <s v="ORD102003"/>
        <s v="ORD100398"/>
        <s v="ORD102688"/>
        <s v="ORD104621"/>
        <s v="ORD104704"/>
        <s v="ORD104186"/>
        <s v="ORD101740"/>
        <s v="ORD102732"/>
        <s v="ORD103364"/>
        <s v="ORD102367"/>
        <s v="ORD100160"/>
        <s v="ORD100651"/>
        <s v="ORD103982"/>
        <s v="ORD104617"/>
        <s v="ORD100787"/>
        <s v="ORD101634"/>
        <s v="ORD101183"/>
        <s v="ORD102156"/>
        <s v="ORD104405"/>
        <s v="ORD101784"/>
        <s v="ORD100056"/>
        <s v="ORD103381"/>
        <s v="ORD101102"/>
        <s v="ORD101261"/>
        <s v="ORD103235"/>
        <s v="ORD103621"/>
        <s v="ORD103426"/>
        <s v="ORD104425"/>
        <s v="ORD100729"/>
        <s v="ORD102606"/>
        <s v="ORD100075"/>
        <s v="ORD100069"/>
        <s v="ORD100384"/>
        <s v="ORD100721"/>
        <s v="ORD103789"/>
        <s v="ORD101774"/>
        <s v="ORD100162"/>
        <s v="ORD101206"/>
        <s v="ORD102086"/>
        <s v="ORD100228"/>
        <s v="ORD102459"/>
        <s v="ORD100246"/>
        <s v="ORD102568"/>
        <s v="ORD101920"/>
        <s v="ORD102350"/>
        <s v="ORD102712"/>
        <s v="ORD102752"/>
        <s v="ORD103521"/>
        <s v="ORD102227"/>
        <s v="ORD104127"/>
        <s v="ORD102271"/>
        <s v="ORD100099"/>
        <s v="ORD101453"/>
        <s v="ORD102288"/>
        <s v="ORD104963"/>
        <s v="ORD101048"/>
        <s v="ORD102185"/>
        <s v="ORD104726"/>
        <s v="ORD104691"/>
        <s v="ORD101544"/>
        <s v="ORD103906"/>
        <s v="ORD104579"/>
        <s v="ORD102395"/>
        <s v="ORD103958"/>
        <s v="ORD104200"/>
        <s v="ORD100567"/>
        <s v="ORD100554"/>
        <s v="ORD101050"/>
        <s v="ORD101662"/>
        <s v="ORD100533"/>
        <s v="ORD103804"/>
        <s v="ORD100499"/>
        <s v="ORD103415"/>
        <s v="ORD102178"/>
        <s v="ORD100731"/>
        <s v="ORD104620"/>
        <s v="ORD101252"/>
        <s v="ORD101377"/>
        <s v="ORD100896"/>
        <s v="ORD103132"/>
        <s v="ORD101080"/>
        <s v="ORD103374"/>
        <s v="ORD101880"/>
        <s v="ORD102716"/>
        <s v="ORD100518"/>
        <s v="ORD101012"/>
        <s v="ORD102728"/>
        <s v="ORD104919"/>
        <s v="ORD101738"/>
        <s v="ORD104560"/>
        <s v="ORD102781"/>
        <s v="ORD104267"/>
        <s v="ORD101393"/>
        <s v="ORD101339"/>
        <s v="ORD101390"/>
        <s v="ORD101658"/>
        <s v="ORD100132"/>
        <s v="ORD102107"/>
        <s v="ORD101605"/>
        <s v="ORD103735"/>
        <s v="ORD102340"/>
        <s v="ORD101184"/>
        <s v="ORD100089"/>
        <s v="ORD104702"/>
        <s v="ORD102983"/>
        <s v="ORD100918"/>
        <s v="ORD102168"/>
        <s v="ORD102652"/>
        <s v="ORD100999"/>
        <s v="ORD103416"/>
        <s v="ORD104709"/>
        <s v="ORD103627"/>
        <s v="ORD100701"/>
        <s v="ORD103482"/>
        <s v="ORD100986"/>
        <s v="ORD102074"/>
        <s v="ORD101404"/>
        <s v="ORD100659"/>
        <s v="ORD101775"/>
        <s v="ORD101448"/>
        <s v="ORD103030"/>
        <s v="ORD100677"/>
        <s v="ORD103158"/>
        <s v="ORD100793"/>
        <s v="ORD100046"/>
        <s v="ORD101357"/>
        <s v="ORD100191"/>
        <s v="ORD103556"/>
        <s v="ORD104297"/>
        <s v="ORD100330"/>
        <s v="ORD101722"/>
        <s v="ORD103651"/>
        <s v="ORD101234"/>
        <s v="ORD101822"/>
        <s v="ORD102776"/>
        <s v="ORD102768"/>
        <s v="ORD102309"/>
        <s v="ORD100553"/>
        <s v="ORD104396"/>
        <s v="ORD100428"/>
        <s v="ORD100710"/>
        <s v="ORD104441"/>
        <s v="ORD103819"/>
        <s v="ORD100650"/>
        <s v="ORD104093"/>
        <s v="ORD103674"/>
        <s v="ORD103053"/>
        <s v="ORD103036"/>
        <s v="ORD101213"/>
        <s v="ORD104832"/>
        <s v="ORD102928"/>
        <s v="ORD100128"/>
        <s v="ORD100321"/>
        <s v="ORD104502"/>
        <s v="ORD101477"/>
        <s v="ORD102506"/>
        <s v="ORD100619"/>
        <s v="ORD104527"/>
        <s v="ORD100892"/>
        <s v="ORD104733"/>
        <s v="ORD100568"/>
        <s v="ORD104815"/>
        <s v="ORD101052"/>
        <s v="ORD102365"/>
        <s v="ORD102363"/>
        <s v="ORD102673"/>
        <s v="ORD103822"/>
        <s v="ORD101273"/>
        <s v="ORD101382"/>
        <s v="ORD101447"/>
        <s v="ORD101638"/>
        <s v="ORD100409"/>
        <s v="ORD101570"/>
        <s v="ORD100510"/>
        <s v="ORD100912"/>
        <s v="ORD104402"/>
        <s v="ORD101368"/>
        <s v="ORD100100"/>
        <s v="ORD100471"/>
        <s v="ORD102442"/>
        <s v="ORD103455"/>
        <s v="ORD104957"/>
        <s v="ORD101793"/>
        <s v="ORD101687"/>
        <s v="ORD104529"/>
        <s v="ORD104082"/>
        <s v="ORD104590"/>
        <s v="ORD102048"/>
        <s v="ORD102126"/>
        <s v="ORD101762"/>
        <s v="ORD100736"/>
        <s v="ORD101231"/>
        <s v="ORD102215"/>
        <s v="ORD104005"/>
        <s v="ORD102827"/>
        <s v="ORD102929"/>
        <s v="ORD104600"/>
        <s v="ORD104637"/>
        <s v="ORD102934"/>
        <s v="ORD102696"/>
        <s v="ORD100877"/>
        <s v="ORD100035"/>
        <s v="ORD102186"/>
        <s v="ORD103604"/>
        <s v="ORD102346"/>
        <s v="ORD104172"/>
        <s v="ORD100832"/>
        <s v="ORD102671"/>
        <s v="ORD100598"/>
        <s v="ORD102528"/>
        <s v="ORD102858"/>
        <s v="ORD103015"/>
        <s v="ORD101824"/>
        <s v="ORD103637"/>
        <s v="ORD100142"/>
        <s v="ORD101839"/>
        <s v="ORD102310"/>
        <s v="ORD102503"/>
        <s v="ORD101686"/>
        <s v="ORD104442"/>
        <s v="ORD102725"/>
        <s v="ORD101529"/>
        <s v="ORD102100"/>
        <s v="ORD103532"/>
        <s v="ORD100027"/>
        <s v="ORD103326"/>
        <s v="ORD102719"/>
        <s v="ORD101810"/>
        <s v="ORD102772"/>
        <s v="ORD103848"/>
        <s v="ORD104790"/>
        <s v="ORD100840"/>
        <s v="ORD104453"/>
        <s v="ORD103299"/>
        <s v="ORD101697"/>
        <s v="ORD101805"/>
        <s v="ORD102403"/>
        <s v="ORD100594"/>
        <s v="ORD102079"/>
        <s v="ORD100476"/>
        <s v="ORD101813"/>
        <s v="ORD104519"/>
        <s v="ORD100113"/>
        <s v="ORD100663"/>
        <s v="ORD102264"/>
        <s v="ORD104229"/>
        <s v="ORD102979"/>
        <s v="ORD104360"/>
        <s v="ORD102286"/>
        <s v="ORD102636"/>
        <s v="ORD104050"/>
        <s v="ORD101276"/>
        <s v="ORD101963"/>
        <s v="ORD103820"/>
        <s v="ORD104195"/>
        <s v="ORD100878"/>
        <s v="ORD104690"/>
        <s v="ORD103433"/>
        <s v="ORD103875"/>
        <s v="ORD101948"/>
        <s v="ORD101278"/>
        <s v="ORD102665"/>
        <s v="ORD103577"/>
        <s v="ORD104962"/>
        <s v="ORD102631"/>
        <s v="ORD104458"/>
        <s v="ORD104855"/>
        <s v="ORD103625"/>
        <s v="ORD102179"/>
        <s v="ORD102419"/>
        <s v="ORD100551"/>
        <s v="ORD104197"/>
        <s v="ORD102963"/>
        <s v="ORD104532"/>
        <s v="ORD100283"/>
        <s v="ORD103244"/>
        <s v="ORD102942"/>
        <s v="ORD100935"/>
        <s v="ORD103937"/>
        <s v="ORD100846"/>
        <s v="ORD102223"/>
        <s v="ORD102097"/>
        <s v="ORD102540"/>
        <s v="ORD104575"/>
        <s v="ORD101005"/>
        <s v="ORD101997"/>
        <s v="ORD101310"/>
        <s v="ORD103972"/>
        <s v="ORD100073"/>
        <s v="ORD101613"/>
        <s v="ORD103512"/>
        <s v="ORD104165"/>
        <s v="ORD103470"/>
        <s v="ORD103893"/>
        <s v="ORD102243"/>
        <s v="ORD100170"/>
        <s v="ORD101733"/>
        <s v="ORD104462"/>
        <s v="ORD104330"/>
        <s v="ORD102116"/>
        <s v="ORD101100"/>
        <s v="ORD102891"/>
        <s v="ORD103679"/>
        <s v="ORD102040"/>
        <s v="ORD104261"/>
        <s v="ORD101518"/>
        <s v="ORD102104"/>
        <s v="ORD104923"/>
        <s v="ORD101399"/>
        <s v="ORD101841"/>
        <s v="ORD101817"/>
        <s v="ORD102326"/>
        <s v="ORD104046"/>
        <s v="ORD102809"/>
        <s v="ORD102263"/>
        <s v="ORD102952"/>
        <s v="ORD101792"/>
        <s v="ORD103268"/>
        <s v="ORD101108"/>
        <s v="ORD103667"/>
        <s v="ORD101745"/>
        <s v="ORD103919"/>
        <s v="ORD102601"/>
        <s v="ORD102163"/>
        <s v="ORD102299"/>
        <s v="ORD101218"/>
        <s v="ORD103656"/>
        <s v="ORD104469"/>
        <s v="ORD101879"/>
        <s v="ORD101669"/>
        <s v="ORD102229"/>
        <s v="ORD102594"/>
        <s v="ORD103013"/>
        <s v="ORD101718"/>
        <s v="ORD103270"/>
        <s v="ORD104383"/>
        <s v="ORD101303"/>
        <s v="ORD103297"/>
        <s v="ORD104447"/>
        <s v="ORD101737"/>
        <s v="ORD101903"/>
        <s v="ORD102396"/>
        <s v="ORD100841"/>
        <s v="ORD101597"/>
        <s v="ORD102432"/>
        <s v="ORD103018"/>
        <s v="ORD102824"/>
        <s v="ORD100879"/>
        <s v="ORD100277"/>
        <s v="ORD102283"/>
        <s v="ORD102630"/>
        <s v="ORD102853"/>
        <s v="ORD100667"/>
        <s v="ORD104703"/>
        <s v="ORD103782"/>
        <s v="ORD102779"/>
        <s v="ORD102489"/>
        <s v="ORD100904"/>
        <s v="ORD103948"/>
        <s v="ORD100213"/>
        <s v="ORD102886"/>
        <s v="ORD101688"/>
        <s v="ORD103485"/>
        <s v="ORD100929"/>
        <s v="ORD104070"/>
        <s v="ORD101672"/>
        <s v="ORD101197"/>
        <s v="ORD101712"/>
        <s v="ORD104987"/>
        <s v="ORD102033"/>
        <s v="ORD104151"/>
        <s v="ORD102791"/>
        <s v="ORD100115"/>
        <s v="ORD103864"/>
        <s v="ORD104901"/>
        <s v="ORD104656"/>
        <s v="ORD102740"/>
        <s v="ORD103096"/>
        <s v="ORD104061"/>
        <s v="ORD104320"/>
        <s v="ORD101633"/>
        <s v="ORD104786"/>
        <s v="ORD101376"/>
        <s v="ORD100053"/>
        <s v="ORD102405"/>
        <s v="ORD102898"/>
        <s v="ORD103279"/>
        <s v="ORD101667"/>
        <s v="ORD101886"/>
        <s v="ORD103487"/>
        <s v="ORD100067"/>
        <s v="ORD103810"/>
        <s v="ORD104136"/>
        <s v="ORD102393"/>
        <s v="ORD100778"/>
        <s v="ORD104202"/>
        <s v="ORD103133"/>
        <s v="ORD100382"/>
        <s v="ORD101295"/>
        <s v="ORD101401"/>
        <s v="ORD104612"/>
        <s v="ORD101959"/>
        <s v="ORD103646"/>
        <s v="ORD102847"/>
        <s v="ORD102508"/>
        <s v="ORD101614"/>
        <s v="ORD104491"/>
        <s v="ORD100688"/>
        <s v="ORD101132"/>
        <s v="ORD103557"/>
        <s v="ORD103707"/>
        <s v="ORD104414"/>
        <s v="ORD103659"/>
        <s v="ORD100544"/>
        <s v="ORD104168"/>
        <s v="ORD102075"/>
        <s v="ORD104651"/>
        <s v="ORD100267"/>
        <s v="ORD104152"/>
        <s v="ORD103739"/>
        <s v="ORD102008"/>
        <s v="ORD102159"/>
        <s v="ORD104952"/>
        <s v="ORD103882"/>
        <s v="ORD104918"/>
        <s v="ORD100310"/>
        <s v="ORD102323"/>
        <s v="ORD100696"/>
        <s v="ORD100539"/>
        <s v="ORD100466"/>
        <s v="ORD103012"/>
        <s v="ORD103113"/>
        <s v="ORD101253"/>
        <s v="ORD102250"/>
        <s v="ORD103647"/>
        <s v="ORD103060"/>
        <s v="ORD100845"/>
        <s v="ORD102912"/>
        <s v="ORD102480"/>
        <s v="ORD102659"/>
        <s v="ORD101974"/>
        <s v="ORD100479"/>
        <s v="ORD102322"/>
        <s v="ORD100622"/>
        <s v="ORD102754"/>
        <s v="ORD103552"/>
        <s v="ORD100348"/>
        <s v="ORD103051"/>
        <s v="ORD100195"/>
        <s v="ORD102205"/>
        <s v="ORD102693"/>
        <s v="ORD100767"/>
        <s v="ORD104777"/>
        <s v="ORD102577"/>
        <s v="ORD104059"/>
        <s v="ORD104433"/>
        <s v="ORD101085"/>
        <s v="ORD102585"/>
        <s v="ORD101625"/>
        <s v="ORD102866"/>
        <s v="ORD102660"/>
        <s v="ORD103884"/>
        <s v="ORD104449"/>
        <s v="ORD101509"/>
        <s v="ORD101174"/>
        <s v="ORD104235"/>
        <s v="ORD102009"/>
        <s v="ORD103300"/>
        <s v="ORD104751"/>
        <s v="ORD101423"/>
        <s v="ORD102751"/>
        <s v="ORD104175"/>
        <s v="ORD101766"/>
        <s v="ORD101450"/>
        <s v="ORD103229"/>
        <s v="ORD104670"/>
        <s v="ORD101342"/>
        <s v="ORD102639"/>
        <s v="ORD100727"/>
        <s v="ORD102439"/>
        <s v="ORD102441"/>
        <s v="ORD103664"/>
        <s v="ORD104773"/>
        <s v="ORD101966"/>
        <s v="ORD104544"/>
        <s v="ORD104812"/>
        <s v="ORD103813"/>
        <s v="ORD102535"/>
        <s v="ORD102302"/>
        <s v="ORD101585"/>
        <s v="ORD100979"/>
        <s v="ORD103757"/>
        <s v="ORD100699"/>
        <s v="ORD101992"/>
        <s v="ORD101129"/>
        <s v="ORD103421"/>
        <s v="ORD104768"/>
        <s v="ORD100545"/>
        <s v="ORD102004"/>
        <s v="ORD103640"/>
        <s v="ORD103721"/>
        <s v="ORD100747"/>
        <s v="ORD101508"/>
        <s v="ORD101137"/>
        <s v="ORD101270"/>
        <s v="ORD101217"/>
        <s v="ORD101657"/>
        <s v="ORD101214"/>
        <s v="ORD103797"/>
        <s v="ORD103666"/>
        <s v="ORD104920"/>
        <s v="ORD102595"/>
        <s v="ORD100082"/>
        <s v="ORD102710"/>
        <s v="ORD104045"/>
        <s v="ORD102022"/>
        <s v="ORD104042"/>
        <s v="ORD101275"/>
        <s v="ORD104131"/>
        <s v="ORD104955"/>
        <s v="ORD103217"/>
        <s v="ORD101549"/>
        <s v="ORD103073"/>
        <s v="ORD100681"/>
        <s v="ORD101022"/>
        <s v="ORD101881"/>
        <s v="ORD104926"/>
        <s v="ORD101123"/>
        <s v="ORD100497"/>
        <s v="ORD104106"/>
        <s v="ORD101131"/>
        <s v="ORD103565"/>
        <s v="ORD104242"/>
        <s v="ORD102400"/>
        <s v="ORD103568"/>
        <s v="ORD103149"/>
        <s v="ORD103351"/>
        <s v="ORD100858"/>
        <s v="ORD100722"/>
        <s v="ORD104351"/>
        <s v="ORD102905"/>
        <s v="ORD104081"/>
        <s v="ORD100189"/>
        <s v="ORD103083"/>
        <s v="ORD101040"/>
        <s v="ORD101519"/>
        <s v="ORD103764"/>
        <s v="ORD100843"/>
        <s v="ORD100021"/>
        <s v="ORD101809"/>
        <s v="ORD101823"/>
        <s v="ORD104795"/>
        <s v="ORD103393"/>
        <s v="ORD103002"/>
        <s v="ORD103936"/>
        <s v="ORD100504"/>
        <s v="ORD101985"/>
        <s v="ORD102510"/>
        <s v="ORD103212"/>
        <s v="ORD101820"/>
        <s v="ORD102037"/>
        <s v="ORD101459"/>
        <s v="ORD102063"/>
        <s v="ORD103134"/>
        <s v="ORD104876"/>
        <s v="ORD100203"/>
        <s v="ORD101003"/>
        <s v="ORD103904"/>
        <s v="ORD102969"/>
        <s v="ORD100969"/>
        <s v="ORD102039"/>
        <s v="ORD100396"/>
        <s v="ORD100902"/>
        <s v="ORD104989"/>
        <s v="ORD100853"/>
        <s v="ORD100827"/>
        <s v="ORD103588"/>
        <s v="ORD103762"/>
        <s v="ORD100311"/>
        <s v="ORD103007"/>
        <s v="ORD104329"/>
        <s v="ORD104417"/>
        <s v="ORD100894"/>
        <s v="ORD101112"/>
        <s v="ORD104780"/>
        <s v="ORD104558"/>
        <s v="ORD104588"/>
        <s v="ORD101009"/>
        <s v="ORD100287"/>
        <s v="ORD103236"/>
        <s v="ORD104717"/>
        <s v="ORD104864"/>
        <s v="ORD103296"/>
        <s v="ORD102277"/>
        <s v="ORD104243"/>
        <s v="ORD102553"/>
        <s v="ORD102217"/>
        <s v="ORD100652"/>
        <s v="ORD104032"/>
        <s v="ORD104163"/>
        <s v="ORD100208"/>
        <s v="ORD102589"/>
        <s v="ORD101075"/>
        <s v="ORD100801"/>
        <s v="ORD103225"/>
        <s v="ORD102747"/>
        <s v="ORD103286"/>
        <s v="ORD102210"/>
        <s v="ORD101449"/>
        <s v="ORD100489"/>
        <s v="ORD100459"/>
        <s v="ORD104882"/>
        <s v="ORD103214"/>
        <s v="ORD100830"/>
        <s v="ORD101260"/>
        <s v="ORD100771"/>
        <s v="ORD103805"/>
        <s v="ORD101690"/>
        <s v="ORD104230"/>
        <s v="ORD100913"/>
        <s v="ORD103506"/>
        <s v="ORD100703"/>
        <s v="ORD102007"/>
        <s v="ORD103463"/>
        <s v="ORD103237"/>
        <s v="ORD103996"/>
        <s v="ORD101591"/>
        <s v="ORD104616"/>
        <s v="ORD104816"/>
        <s v="ORD102602"/>
        <s v="ORD100984"/>
        <s v="ORD102438"/>
        <s v="ORD101258"/>
        <s v="ORD101156"/>
        <s v="ORD101729"/>
        <s v="ORD103063"/>
        <s v="ORD104489"/>
        <s v="ORD100583"/>
        <s v="ORD101026"/>
        <s v="ORD103829"/>
        <s v="ORD100800"/>
        <s v="ORD102062"/>
        <s v="ORD102634"/>
        <s v="ORD100630"/>
        <s v="ORD103213"/>
        <s v="ORD101124"/>
        <s v="ORD101717"/>
        <s v="ORD104473"/>
        <s v="ORD103581"/>
        <s v="ORD103304"/>
        <s v="ORD101606"/>
        <s v="ORD102579"/>
        <s v="ORD104262"/>
        <s v="ORD102204"/>
        <s v="ORD102895"/>
        <s v="ORD103547"/>
        <s v="ORD101888"/>
        <s v="ORD102800"/>
        <s v="ORD102199"/>
        <s v="ORD104113"/>
        <s v="ORD104126"/>
        <s v="ORD104698"/>
        <s v="ORD102642"/>
        <s v="ORD103312"/>
        <s v="ORD101639"/>
        <s v="ORD101744"/>
        <s v="ORD101832"/>
        <s v="ORD102701"/>
        <s v="ORD103686"/>
        <s v="ORD104521"/>
        <s v="ORD100537"/>
        <s v="ORD102760"/>
        <s v="ORD104182"/>
        <s v="ORD103056"/>
        <s v="ORD102391"/>
        <s v="ORD100512"/>
        <s v="ORD103139"/>
        <s v="ORD104541"/>
        <s v="ORD100219"/>
        <s v="ORD102851"/>
        <s v="ORD104096"/>
        <s v="ORD102488"/>
        <s v="ORD102336"/>
        <s v="ORD102377"/>
        <s v="ORD101558"/>
        <s v="ORD103420"/>
        <s v="ORD104837"/>
        <s v="ORD102349"/>
        <s v="ORD103247"/>
        <s v="ORD101806"/>
        <s v="ORD102124"/>
        <s v="ORD101852"/>
        <s v="ORD103541"/>
        <s v="ORD102471"/>
        <s v="ORD102993"/>
        <s v="ORD100909"/>
        <s v="ORD102894"/>
        <s v="ORD100686"/>
        <s v="ORD102923"/>
        <s v="ORD103602"/>
        <s v="ORD103037"/>
        <s v="ORD101701"/>
        <s v="ORD104804"/>
        <s v="ORD103148"/>
        <s v="ORD101058"/>
        <s v="ORD103106"/>
        <s v="ORD100386"/>
        <s v="ORD102127"/>
        <s v="ORD102268"/>
        <s v="ORD104853"/>
        <s v="ORD101082"/>
        <s v="ORD100221"/>
        <s v="ORD102829"/>
        <s v="ORD101182"/>
        <s v="ORD101068"/>
        <s v="ORD102670"/>
        <s v="ORD100011"/>
        <s v="ORD101037"/>
        <s v="ORD103230"/>
        <s v="ORD100570"/>
        <s v="ORD101882"/>
        <s v="ORD103119"/>
        <s v="ORD102984"/>
        <s v="ORD104072"/>
        <s v="ORD101655"/>
        <s v="ORD104264"/>
        <s v="ORD101898"/>
        <s v="ORD103705"/>
        <s v="ORD101257"/>
        <s v="ORD101032"/>
        <s v="ORD102520"/>
        <s v="ORD102805"/>
        <s v="ORD101538"/>
        <s v="ORD102285"/>
        <s v="ORD100352"/>
        <s v="ORD102924"/>
        <s v="ORD100135"/>
        <s v="ORD101988"/>
        <s v="ORD100370"/>
        <s v="ORD100735"/>
        <s v="ORD101192"/>
        <s v="ORD104951"/>
        <s v="ORD103920"/>
        <s v="ORD102034"/>
        <s v="ORD104115"/>
        <s v="ORD104852"/>
        <s v="ORD102012"/>
        <s v="ORD103902"/>
        <s v="ORD100863"/>
        <s v="ORD100422"/>
        <s v="ORD104416"/>
        <s v="ORD101721"/>
        <s v="ORD102644"/>
        <s v="ORD101995"/>
        <s v="ORD101292"/>
        <s v="ORD100238"/>
        <s v="ORD104155"/>
        <s v="ORD103833"/>
        <s v="ORD104571"/>
        <s v="ORD102697"/>
        <s v="ORD100491"/>
        <s v="ORD103249"/>
        <s v="ORD101345"/>
        <s v="ORD102191"/>
        <s v="ORD103078"/>
        <s v="ORD103773"/>
        <s v="ORD101269"/>
        <s v="ORD102453"/>
        <s v="ORD101919"/>
        <s v="ORD104862"/>
        <s v="ORD104035"/>
        <s v="ORD104967"/>
        <s v="ORD103795"/>
        <s v="ORD104368"/>
        <s v="ORD101072"/>
        <s v="ORD102225"/>
        <s v="ORD100592"/>
        <s v="ORD104228"/>
        <s v="ORD104028"/>
        <s v="ORD104555"/>
        <s v="ORD100455"/>
        <s v="ORD103022"/>
        <s v="ORD101065"/>
        <s v="ORD101526"/>
        <s v="ORD103504"/>
        <s v="ORD102064"/>
        <s v="ORD103168"/>
        <s v="ORD104089"/>
        <s v="ORD103741"/>
        <s v="ORD100296"/>
        <s v="ORD103847"/>
        <s v="ORD104121"/>
        <s v="ORD102679"/>
        <s v="ORD102941"/>
        <s v="ORD102624"/>
        <s v="ORD101623"/>
        <s v="ORD102144"/>
        <s v="ORD103054"/>
        <s v="ORD104535"/>
        <s v="ORD101462"/>
        <s v="ORD103880"/>
        <s v="ORD101359"/>
        <s v="ORD101928"/>
      </sharedItems>
    </cacheField>
    <cacheField name="Date" numFmtId="14">
      <sharedItems containsSemiMixedTypes="0" containsNonDate="0" containsDate="1" containsString="0" minDate="2025-01-01T00:00:00" maxDate="2026-01-01T00:00:00"/>
    </cacheField>
    <cacheField name="Store" numFmtId="0">
      <sharedItems/>
    </cacheField>
    <cacheField name="City" numFmtId="0">
      <sharedItems/>
    </cacheField>
    <cacheField name="Product" numFmtId="0">
      <sharedItems/>
    </cacheField>
    <cacheField name="Category" numFmtId="0">
      <sharedItems/>
    </cacheField>
    <cacheField name="Qty" numFmtId="0">
      <sharedItems containsSemiMixedTypes="0" containsString="0" containsNumber="1" containsInteger="1" minValue="1" maxValue="5"/>
    </cacheField>
    <cacheField name="UnitPriceGBP" numFmtId="0">
      <sharedItems containsSemiMixedTypes="0" containsString="0" containsNumber="1" minValue="2.2000000000000002" maxValue="3.8"/>
    </cacheField>
    <cacheField name="Payment Type" numFmtId="0">
      <sharedItems/>
    </cacheField>
    <cacheField name="CustomerID" numFmtId="0">
      <sharedItems/>
    </cacheField>
    <cacheField name="Revenue" numFmtId="166">
      <sharedItems containsSemiMixedTypes="0" containsString="0" containsNumber="1" minValue="2.2000000000000002" maxValue="19"/>
    </cacheField>
    <cacheField name="Day of Week" numFmtId="0">
      <sharedItems/>
    </cacheField>
    <cacheField name="Month" numFmtId="0">
      <sharedItems/>
    </cacheField>
    <cacheField name="Year" numFmtId="0">
      <sharedItems containsSemiMixedTypes="0" containsString="0" containsNumber="1" containsInteger="1" minValue="2025" maxValue="20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9">
  <r>
    <x v="0"/>
    <d v="2025-01-01T00:00:00"/>
    <s v="Riverside"/>
    <s v="Manchester"/>
    <s v="Cappuccino"/>
    <s v="Drink"/>
    <n v="5"/>
    <n v="3.8"/>
    <s v="Cash"/>
    <s v="C1134"/>
    <n v="19"/>
    <s v="Wednesday"/>
    <s v="January"/>
    <n v="2025"/>
  </r>
  <r>
    <x v="1"/>
    <d v="2025-01-01T00:00:00"/>
    <s v="Riverside"/>
    <s v="Leeds"/>
    <s v="Cappuccino"/>
    <s v="Drink"/>
    <n v="5"/>
    <n v="3.8"/>
    <s v="Cash"/>
    <s v="C1316"/>
    <n v="19"/>
    <s v="Wednesday"/>
    <s v="January"/>
    <n v="2025"/>
  </r>
  <r>
    <x v="2"/>
    <d v="2025-01-01T00:00:00"/>
    <s v="Central"/>
    <s v="Bristol"/>
    <s v="Latte"/>
    <s v="Drink"/>
    <n v="4"/>
    <n v="3.5"/>
    <s v="Apple Pay"/>
    <s v="C1892"/>
    <n v="14"/>
    <s v="Wednesday"/>
    <s v="January"/>
    <n v="2025"/>
  </r>
  <r>
    <x v="3"/>
    <d v="2025-01-01T00:00:00"/>
    <s v="Central"/>
    <s v="Manchester"/>
    <s v="Croissant"/>
    <s v="Food"/>
    <n v="5"/>
    <n v="2.8"/>
    <s v="Apple Pay"/>
    <s v="C1370"/>
    <n v="14"/>
    <s v="Wednesday"/>
    <s v="January"/>
    <n v="2025"/>
  </r>
  <r>
    <x v="4"/>
    <d v="2025-01-01T00:00:00"/>
    <s v="Central"/>
    <s v="Leeds"/>
    <s v="Espresso"/>
    <s v="Drink"/>
    <n v="5"/>
    <n v="2.5"/>
    <s v="Apple Pay"/>
    <s v="C1592"/>
    <n v="12.5"/>
    <s v="Wednesday"/>
    <s v="January"/>
    <n v="2025"/>
  </r>
  <r>
    <x v="5"/>
    <d v="2025-01-01T00:00:00"/>
    <s v="Station"/>
    <s v="Birmingham"/>
    <s v="Cappuccino"/>
    <s v="Drink"/>
    <n v="3"/>
    <n v="3.8"/>
    <s v="Apple Pay"/>
    <s v="C1399"/>
    <n v="11.399999999999999"/>
    <s v="Wednesday"/>
    <s v="January"/>
    <n v="2025"/>
  </r>
  <r>
    <x v="6"/>
    <d v="2025-01-01T00:00:00"/>
    <s v="Central"/>
    <s v="Bristol"/>
    <s v="Croissant"/>
    <s v="Food"/>
    <n v="4"/>
    <n v="2.8"/>
    <s v="Apple Pay"/>
    <s v="C1743"/>
    <n v="11.2"/>
    <s v="Wednesday"/>
    <s v="January"/>
    <n v="2025"/>
  </r>
  <r>
    <x v="7"/>
    <d v="2025-01-01T00:00:00"/>
    <s v="High Street"/>
    <s v="London"/>
    <s v="Latte"/>
    <s v="Drink"/>
    <n v="3"/>
    <n v="3.5"/>
    <s v="Apple Pay"/>
    <s v="C1661"/>
    <n v="10.5"/>
    <s v="Wednesday"/>
    <s v="January"/>
    <n v="2025"/>
  </r>
  <r>
    <x v="8"/>
    <d v="2025-01-01T00:00:00"/>
    <s v="Station"/>
    <s v="Birmingham"/>
    <s v="Latte"/>
    <s v="Drink"/>
    <n v="2"/>
    <n v="3.5"/>
    <s v="Apple Pay"/>
    <s v="C1658"/>
    <n v="7"/>
    <s v="Wednesday"/>
    <s v="January"/>
    <n v="2025"/>
  </r>
  <r>
    <x v="9"/>
    <d v="2025-01-01T00:00:00"/>
    <s v="High Street"/>
    <s v="Manchester"/>
    <s v="Latte"/>
    <s v="Drink"/>
    <n v="2"/>
    <n v="3.5"/>
    <s v="Cash"/>
    <s v="C1321"/>
    <n v="7"/>
    <s v="Wednesday"/>
    <s v="January"/>
    <n v="2025"/>
  </r>
  <r>
    <x v="10"/>
    <d v="2025-01-01T00:00:00"/>
    <s v="Riverside"/>
    <s v="Leeds"/>
    <s v="Latte"/>
    <s v="Drink"/>
    <n v="2"/>
    <n v="3.5"/>
    <s v="Card"/>
    <s v="C1160"/>
    <n v="7"/>
    <s v="Wednesday"/>
    <s v="January"/>
    <n v="2025"/>
  </r>
  <r>
    <x v="11"/>
    <d v="2025-01-01T00:00:00"/>
    <s v="Riverside"/>
    <s v="Leeds"/>
    <s v="Espresso"/>
    <s v="Drink"/>
    <n v="2"/>
    <n v="2.5"/>
    <s v="Card"/>
    <s v="C1685"/>
    <n v="5"/>
    <s v="Wednesday"/>
    <s v="January"/>
    <n v="2025"/>
  </r>
  <r>
    <x v="12"/>
    <d v="2025-01-01T00:00:00"/>
    <s v="Central"/>
    <s v="London"/>
    <s v="Espresso"/>
    <s v="Drink"/>
    <n v="2"/>
    <n v="2.5"/>
    <s v="Cash"/>
    <s v="C1104"/>
    <n v="5"/>
    <s v="Wednesday"/>
    <s v="January"/>
    <n v="2025"/>
  </r>
  <r>
    <x v="13"/>
    <d v="2025-01-01T00:00:00"/>
    <s v="Riverside"/>
    <s v="Birmingham"/>
    <s v="Muffin"/>
    <s v="Food"/>
    <n v="2"/>
    <n v="2.2000000000000002"/>
    <s v="Card"/>
    <s v="C1745"/>
    <n v="4.4000000000000004"/>
    <s v="Wednesday"/>
    <s v="January"/>
    <n v="2025"/>
  </r>
  <r>
    <x v="14"/>
    <d v="2025-01-01T00:00:00"/>
    <s v="Station"/>
    <s v="Manchester"/>
    <s v="Muffin"/>
    <s v="Food"/>
    <n v="1"/>
    <n v="2.2000000000000002"/>
    <s v="Cash"/>
    <s v="C1674"/>
    <n v="2.2000000000000002"/>
    <s v="Wednesday"/>
    <s v="January"/>
    <n v="2025"/>
  </r>
  <r>
    <x v="15"/>
    <d v="2025-01-02T00:00:00"/>
    <s v="Central"/>
    <s v="Bristol"/>
    <s v="Cappuccino"/>
    <s v="Drink"/>
    <n v="4"/>
    <n v="3.8"/>
    <s v="Apple Pay"/>
    <s v="C1869"/>
    <n v="15.2"/>
    <s v="Thursday"/>
    <s v="January"/>
    <n v="2025"/>
  </r>
  <r>
    <x v="16"/>
    <d v="2025-01-02T00:00:00"/>
    <s v="Riverside"/>
    <s v="Manchester"/>
    <s v="Croissant"/>
    <s v="Food"/>
    <n v="4"/>
    <n v="2.8"/>
    <s v="Cash"/>
    <s v="C1882"/>
    <n v="11.2"/>
    <s v="Thursday"/>
    <s v="January"/>
    <n v="2025"/>
  </r>
  <r>
    <x v="17"/>
    <d v="2025-01-02T00:00:00"/>
    <s v="High Street"/>
    <s v="Leeds"/>
    <s v="Muffin"/>
    <s v="Food"/>
    <n v="4"/>
    <n v="2.2000000000000002"/>
    <s v="Apple Pay"/>
    <s v="C1936"/>
    <n v="8.8000000000000007"/>
    <s v="Thursday"/>
    <s v="January"/>
    <n v="2025"/>
  </r>
  <r>
    <x v="18"/>
    <d v="2025-01-02T00:00:00"/>
    <s v="Station"/>
    <s v="London"/>
    <s v="Muffin"/>
    <s v="Food"/>
    <n v="3"/>
    <n v="2.2000000000000002"/>
    <s v="Apple Pay"/>
    <s v="C1229"/>
    <n v="6.6000000000000005"/>
    <s v="Thursday"/>
    <s v="January"/>
    <n v="2025"/>
  </r>
  <r>
    <x v="19"/>
    <d v="2025-01-02T00:00:00"/>
    <s v="Central"/>
    <s v="Leeds"/>
    <s v="Latte"/>
    <s v="Drink"/>
    <n v="1"/>
    <n v="3.5"/>
    <s v="Card"/>
    <s v="C1181"/>
    <n v="3.5"/>
    <s v="Thursday"/>
    <s v="January"/>
    <n v="2025"/>
  </r>
  <r>
    <x v="20"/>
    <d v="2025-01-03T00:00:00"/>
    <s v="Station"/>
    <s v="Leeds"/>
    <s v="Cappuccino"/>
    <s v="Drink"/>
    <n v="5"/>
    <n v="3.8"/>
    <s v="Card"/>
    <s v="C1700"/>
    <n v="19"/>
    <s v="Friday"/>
    <s v="January"/>
    <n v="2025"/>
  </r>
  <r>
    <x v="21"/>
    <d v="2025-01-03T00:00:00"/>
    <s v="Riverside"/>
    <s v="London"/>
    <s v="Cappuccino"/>
    <s v="Drink"/>
    <n v="4"/>
    <n v="3.8"/>
    <s v="Card"/>
    <s v="C1030"/>
    <n v="15.2"/>
    <s v="Friday"/>
    <s v="January"/>
    <n v="2025"/>
  </r>
  <r>
    <x v="22"/>
    <d v="2025-01-03T00:00:00"/>
    <s v="Riverside"/>
    <s v="London"/>
    <s v="Espresso"/>
    <s v="Drink"/>
    <n v="5"/>
    <n v="2.5"/>
    <s v="Card"/>
    <s v="C1588"/>
    <n v="12.5"/>
    <s v="Friday"/>
    <s v="January"/>
    <n v="2025"/>
  </r>
  <r>
    <x v="23"/>
    <d v="2025-01-03T00:00:00"/>
    <s v="High Street"/>
    <s v="London"/>
    <s v="Croissant"/>
    <s v="Food"/>
    <n v="4"/>
    <n v="2.8"/>
    <s v="Card"/>
    <s v="C1255"/>
    <n v="11.2"/>
    <s v="Friday"/>
    <s v="January"/>
    <n v="2025"/>
  </r>
  <r>
    <x v="24"/>
    <d v="2025-01-03T00:00:00"/>
    <s v="High Street"/>
    <s v="Manchester"/>
    <s v="Latte"/>
    <s v="Drink"/>
    <n v="3"/>
    <n v="3.5"/>
    <s v="Cash"/>
    <s v="C1609"/>
    <n v="10.5"/>
    <s v="Friday"/>
    <s v="January"/>
    <n v="2025"/>
  </r>
  <r>
    <x v="25"/>
    <d v="2025-01-03T00:00:00"/>
    <s v="Central"/>
    <s v="London"/>
    <s v="Espresso"/>
    <s v="Drink"/>
    <n v="4"/>
    <n v="2.5"/>
    <s v="Cash"/>
    <s v="C1474"/>
    <n v="10"/>
    <s v="Friday"/>
    <s v="January"/>
    <n v="2025"/>
  </r>
  <r>
    <x v="26"/>
    <d v="2025-01-03T00:00:00"/>
    <s v="Central"/>
    <s v="London"/>
    <s v="Muffin"/>
    <s v="Food"/>
    <n v="4"/>
    <n v="2.2000000000000002"/>
    <s v="Cash"/>
    <s v="C1851"/>
    <n v="8.8000000000000007"/>
    <s v="Friday"/>
    <s v="January"/>
    <n v="2025"/>
  </r>
  <r>
    <x v="27"/>
    <d v="2025-01-03T00:00:00"/>
    <s v="Central"/>
    <s v="Leeds"/>
    <s v="Croissant"/>
    <s v="Food"/>
    <n v="3"/>
    <n v="2.8"/>
    <s v="Apple Pay"/>
    <s v="C1933"/>
    <n v="8.3999999999999986"/>
    <s v="Friday"/>
    <s v="January"/>
    <n v="2025"/>
  </r>
  <r>
    <x v="28"/>
    <d v="2025-01-03T00:00:00"/>
    <s v="Riverside"/>
    <s v="Leeds"/>
    <s v="Cappuccino"/>
    <s v="Drink"/>
    <n v="2"/>
    <n v="3.8"/>
    <s v="Card"/>
    <s v="C1971"/>
    <n v="7.6"/>
    <s v="Friday"/>
    <s v="January"/>
    <n v="2025"/>
  </r>
  <r>
    <x v="29"/>
    <d v="2025-01-03T00:00:00"/>
    <s v="Riverside"/>
    <s v="Birmingham"/>
    <s v="Cappuccino"/>
    <s v="Drink"/>
    <n v="2"/>
    <n v="3.8"/>
    <s v="Cash"/>
    <s v="C1950"/>
    <n v="7.6"/>
    <s v="Friday"/>
    <s v="January"/>
    <n v="2025"/>
  </r>
  <r>
    <x v="30"/>
    <d v="2025-01-03T00:00:00"/>
    <s v="Riverside"/>
    <s v="Bristol"/>
    <s v="Muffin"/>
    <s v="Food"/>
    <n v="3"/>
    <n v="2.2000000000000002"/>
    <s v="Apple Pay"/>
    <s v="C1936"/>
    <n v="6.6000000000000005"/>
    <s v="Friday"/>
    <s v="January"/>
    <n v="2025"/>
  </r>
  <r>
    <x v="31"/>
    <d v="2025-01-03T00:00:00"/>
    <s v="Station"/>
    <s v="London"/>
    <s v="Croissant"/>
    <s v="Food"/>
    <n v="2"/>
    <n v="2.8"/>
    <s v="Cash"/>
    <s v="C1572"/>
    <n v="5.6"/>
    <s v="Friday"/>
    <s v="January"/>
    <n v="2025"/>
  </r>
  <r>
    <x v="32"/>
    <d v="2025-01-03T00:00:00"/>
    <s v="Riverside"/>
    <s v="Bristol"/>
    <s v="Croissant"/>
    <s v="Food"/>
    <n v="2"/>
    <n v="2.8"/>
    <s v="Cash"/>
    <s v="C1595"/>
    <n v="5.6"/>
    <s v="Friday"/>
    <s v="January"/>
    <n v="2025"/>
  </r>
  <r>
    <x v="33"/>
    <d v="2025-01-03T00:00:00"/>
    <s v="Station"/>
    <s v="Leeds"/>
    <s v="Croissant"/>
    <s v="Food"/>
    <n v="2"/>
    <n v="2.8"/>
    <s v="Apple Pay"/>
    <s v="C1622"/>
    <n v="5.6"/>
    <s v="Friday"/>
    <s v="January"/>
    <n v="2025"/>
  </r>
  <r>
    <x v="34"/>
    <d v="2025-01-03T00:00:00"/>
    <s v="Station"/>
    <s v="London"/>
    <s v="Croissant"/>
    <s v="Food"/>
    <n v="2"/>
    <n v="2.8"/>
    <s v="Apple Pay"/>
    <s v="C1617"/>
    <n v="5.6"/>
    <s v="Friday"/>
    <s v="January"/>
    <n v="2025"/>
  </r>
  <r>
    <x v="35"/>
    <d v="2025-01-03T00:00:00"/>
    <s v="Riverside"/>
    <s v="Birmingham"/>
    <s v="Espresso"/>
    <s v="Drink"/>
    <n v="2"/>
    <n v="2.5"/>
    <s v="Cash"/>
    <s v="C1866"/>
    <n v="5"/>
    <s v="Friday"/>
    <s v="January"/>
    <n v="2025"/>
  </r>
  <r>
    <x v="36"/>
    <d v="2025-01-03T00:00:00"/>
    <s v="High Street"/>
    <s v="Leeds"/>
    <s v="Espresso"/>
    <s v="Drink"/>
    <n v="2"/>
    <n v="2.5"/>
    <s v="Card"/>
    <s v="C1475"/>
    <n v="5"/>
    <s v="Friday"/>
    <s v="January"/>
    <n v="2025"/>
  </r>
  <r>
    <x v="37"/>
    <d v="2025-01-03T00:00:00"/>
    <s v="Station"/>
    <s v="Leeds"/>
    <s v="Muffin"/>
    <s v="Food"/>
    <n v="2"/>
    <n v="2.2000000000000002"/>
    <s v="Cash"/>
    <s v="C1516"/>
    <n v="4.4000000000000004"/>
    <s v="Friday"/>
    <s v="January"/>
    <n v="2025"/>
  </r>
  <r>
    <x v="38"/>
    <d v="2025-01-03T00:00:00"/>
    <s v="Central"/>
    <s v="Leeds"/>
    <s v="Croissant"/>
    <s v="Food"/>
    <n v="1"/>
    <n v="2.8"/>
    <s v="Card"/>
    <s v="C1547"/>
    <n v="2.8"/>
    <s v="Friday"/>
    <s v="January"/>
    <n v="2025"/>
  </r>
  <r>
    <x v="39"/>
    <d v="2025-01-03T00:00:00"/>
    <s v="Station"/>
    <s v="London"/>
    <s v="Espresso"/>
    <s v="Drink"/>
    <n v="1"/>
    <n v="2.5"/>
    <s v="Card"/>
    <s v="C1127"/>
    <n v="2.5"/>
    <s v="Friday"/>
    <s v="January"/>
    <n v="2025"/>
  </r>
  <r>
    <x v="40"/>
    <d v="2025-01-04T00:00:00"/>
    <s v="Riverside"/>
    <s v="Leeds"/>
    <s v="Cappuccino"/>
    <s v="Drink"/>
    <n v="4"/>
    <n v="3.8"/>
    <s v="Apple Pay"/>
    <s v="C1356"/>
    <n v="15.2"/>
    <s v="Saturday"/>
    <s v="January"/>
    <n v="2025"/>
  </r>
  <r>
    <x v="41"/>
    <d v="2025-01-04T00:00:00"/>
    <s v="High Street"/>
    <s v="Leeds"/>
    <s v="Croissant"/>
    <s v="Food"/>
    <n v="5"/>
    <n v="2.8"/>
    <s v="Apple Pay"/>
    <s v="C1202"/>
    <n v="14"/>
    <s v="Saturday"/>
    <s v="January"/>
    <n v="2025"/>
  </r>
  <r>
    <x v="42"/>
    <d v="2025-01-04T00:00:00"/>
    <s v="Station"/>
    <s v="Leeds"/>
    <s v="Latte"/>
    <s v="Drink"/>
    <n v="4"/>
    <n v="3.5"/>
    <s v="Apple Pay"/>
    <s v="C1307"/>
    <n v="14"/>
    <s v="Saturday"/>
    <s v="January"/>
    <n v="2025"/>
  </r>
  <r>
    <x v="43"/>
    <d v="2025-01-04T00:00:00"/>
    <s v="High Street"/>
    <s v="Leeds"/>
    <s v="Espresso"/>
    <s v="Drink"/>
    <n v="5"/>
    <n v="2.5"/>
    <s v="Cash"/>
    <s v="C1039"/>
    <n v="12.5"/>
    <s v="Saturday"/>
    <s v="January"/>
    <n v="2025"/>
  </r>
  <r>
    <x v="44"/>
    <d v="2025-01-04T00:00:00"/>
    <s v="Central"/>
    <s v="Manchester"/>
    <s v="Cappuccino"/>
    <s v="Drink"/>
    <n v="3"/>
    <n v="3.8"/>
    <s v="Card"/>
    <s v="C1603"/>
    <n v="11.399999999999999"/>
    <s v="Saturday"/>
    <s v="January"/>
    <n v="2025"/>
  </r>
  <r>
    <x v="45"/>
    <d v="2025-01-04T00:00:00"/>
    <s v="Riverside"/>
    <s v="Manchester"/>
    <s v="Cappuccino"/>
    <s v="Drink"/>
    <n v="3"/>
    <n v="3.8"/>
    <s v="Card"/>
    <s v="C1284"/>
    <n v="11.399999999999999"/>
    <s v="Saturday"/>
    <s v="January"/>
    <n v="2025"/>
  </r>
  <r>
    <x v="46"/>
    <d v="2025-01-04T00:00:00"/>
    <s v="High Street"/>
    <s v="Birmingham"/>
    <s v="Muffin"/>
    <s v="Food"/>
    <n v="5"/>
    <n v="2.2000000000000002"/>
    <s v="Cash"/>
    <s v="C1292"/>
    <n v="11"/>
    <s v="Saturday"/>
    <s v="January"/>
    <n v="2025"/>
  </r>
  <r>
    <x v="47"/>
    <d v="2025-01-04T00:00:00"/>
    <s v="High Street"/>
    <s v="Bristol"/>
    <s v="Espresso"/>
    <s v="Drink"/>
    <n v="4"/>
    <n v="2.5"/>
    <s v="Apple Pay"/>
    <s v="C1186"/>
    <n v="10"/>
    <s v="Saturday"/>
    <s v="January"/>
    <n v="2025"/>
  </r>
  <r>
    <x v="48"/>
    <d v="2025-01-04T00:00:00"/>
    <s v="High Street"/>
    <s v="Manchester"/>
    <s v="Muffin"/>
    <s v="Food"/>
    <n v="4"/>
    <n v="2.2000000000000002"/>
    <s v="Cash"/>
    <s v="C1982"/>
    <n v="8.8000000000000007"/>
    <s v="Saturday"/>
    <s v="January"/>
    <n v="2025"/>
  </r>
  <r>
    <x v="49"/>
    <d v="2025-01-04T00:00:00"/>
    <s v="Central"/>
    <s v="Bristol"/>
    <s v="Croissant"/>
    <s v="Food"/>
    <n v="3"/>
    <n v="2.8"/>
    <s v="Card"/>
    <s v="C1855"/>
    <n v="8.3999999999999986"/>
    <s v="Saturday"/>
    <s v="January"/>
    <n v="2025"/>
  </r>
  <r>
    <x v="50"/>
    <d v="2025-01-04T00:00:00"/>
    <s v="Station"/>
    <s v="Bristol"/>
    <s v="Croissant"/>
    <s v="Food"/>
    <n v="3"/>
    <n v="2.8"/>
    <s v="Cash"/>
    <s v="C1504"/>
    <n v="8.3999999999999986"/>
    <s v="Saturday"/>
    <s v="January"/>
    <n v="2025"/>
  </r>
  <r>
    <x v="51"/>
    <d v="2025-01-04T00:00:00"/>
    <s v="Riverside"/>
    <s v="London"/>
    <s v="Cappuccino"/>
    <s v="Drink"/>
    <n v="2"/>
    <n v="3.8"/>
    <s v="Apple Pay"/>
    <s v="C1766"/>
    <n v="7.6"/>
    <s v="Saturday"/>
    <s v="January"/>
    <n v="2025"/>
  </r>
  <r>
    <x v="52"/>
    <d v="2025-01-04T00:00:00"/>
    <s v="Central"/>
    <s v="Manchester"/>
    <s v="Espresso"/>
    <s v="Drink"/>
    <n v="3"/>
    <n v="2.5"/>
    <s v="Cash"/>
    <s v="C1077"/>
    <n v="7.5"/>
    <s v="Saturday"/>
    <s v="January"/>
    <n v="2025"/>
  </r>
  <r>
    <x v="53"/>
    <d v="2025-01-04T00:00:00"/>
    <s v="Riverside"/>
    <s v="Leeds"/>
    <s v="Muffin"/>
    <s v="Food"/>
    <n v="2"/>
    <n v="2.2000000000000002"/>
    <s v="Apple Pay"/>
    <s v="C1702"/>
    <n v="4.4000000000000004"/>
    <s v="Saturday"/>
    <s v="January"/>
    <n v="2025"/>
  </r>
  <r>
    <x v="54"/>
    <d v="2025-01-04T00:00:00"/>
    <s v="High Street"/>
    <s v="Manchester"/>
    <s v="Cappuccino"/>
    <s v="Drink"/>
    <n v="1"/>
    <n v="3.8"/>
    <s v="Cash"/>
    <s v="C1929"/>
    <n v="3.8"/>
    <s v="Saturday"/>
    <s v="January"/>
    <n v="2025"/>
  </r>
  <r>
    <x v="55"/>
    <d v="2025-01-04T00:00:00"/>
    <s v="Central"/>
    <s v="London"/>
    <s v="Latte"/>
    <s v="Drink"/>
    <n v="1"/>
    <n v="3.5"/>
    <s v="Card"/>
    <s v="C1743"/>
    <n v="3.5"/>
    <s v="Saturday"/>
    <s v="January"/>
    <n v="2025"/>
  </r>
  <r>
    <x v="56"/>
    <d v="2025-01-04T00:00:00"/>
    <s v="High Street"/>
    <s v="Bristol"/>
    <s v="Latte"/>
    <s v="Drink"/>
    <n v="1"/>
    <n v="3.5"/>
    <s v="Cash"/>
    <s v="C1277"/>
    <n v="3.5"/>
    <s v="Saturday"/>
    <s v="January"/>
    <n v="2025"/>
  </r>
  <r>
    <x v="57"/>
    <d v="2025-01-04T00:00:00"/>
    <s v="Riverside"/>
    <s v="London"/>
    <s v="Croissant"/>
    <s v="Food"/>
    <n v="1"/>
    <n v="2.8"/>
    <s v="Card"/>
    <s v="C1639"/>
    <n v="2.8"/>
    <s v="Saturday"/>
    <s v="January"/>
    <n v="2025"/>
  </r>
  <r>
    <x v="58"/>
    <d v="2025-01-04T00:00:00"/>
    <s v="Central"/>
    <s v="Birmingham"/>
    <s v="Espresso"/>
    <s v="Drink"/>
    <n v="1"/>
    <n v="2.5"/>
    <s v="Card"/>
    <s v="C1138"/>
    <n v="2.5"/>
    <s v="Saturday"/>
    <s v="January"/>
    <n v="2025"/>
  </r>
  <r>
    <x v="59"/>
    <d v="2025-01-05T00:00:00"/>
    <s v="Station"/>
    <s v="N/A"/>
    <s v="Cappuccino"/>
    <s v="Drink"/>
    <n v="5"/>
    <n v="3.8"/>
    <s v="Cash"/>
    <s v="C1358"/>
    <n v="19"/>
    <s v="Sunday"/>
    <s v="January"/>
    <n v="2025"/>
  </r>
  <r>
    <x v="60"/>
    <d v="2025-01-05T00:00:00"/>
    <s v="Central"/>
    <s v="Leeds"/>
    <s v="Latte"/>
    <s v="Drink"/>
    <n v="5"/>
    <n v="3.5"/>
    <s v="Card"/>
    <s v="C1344"/>
    <n v="17.5"/>
    <s v="Sunday"/>
    <s v="January"/>
    <n v="2025"/>
  </r>
  <r>
    <x v="61"/>
    <d v="2025-01-05T00:00:00"/>
    <s v="Station"/>
    <s v="London"/>
    <s v="Cappuccino"/>
    <s v="Drink"/>
    <n v="4"/>
    <n v="3.8"/>
    <s v="Cash"/>
    <s v="C1839"/>
    <n v="15.2"/>
    <s v="Sunday"/>
    <s v="January"/>
    <n v="2025"/>
  </r>
  <r>
    <x v="62"/>
    <d v="2025-01-05T00:00:00"/>
    <s v="Central"/>
    <s v="London"/>
    <s v="Latte"/>
    <s v="Drink"/>
    <n v="4"/>
    <n v="3.5"/>
    <s v="Apple Pay"/>
    <s v="C1481"/>
    <n v="14"/>
    <s v="Sunday"/>
    <s v="January"/>
    <n v="2025"/>
  </r>
  <r>
    <x v="63"/>
    <d v="2025-01-05T00:00:00"/>
    <s v="High Street"/>
    <s v="Leeds"/>
    <s v="Espresso"/>
    <s v="Drink"/>
    <n v="5"/>
    <n v="2.5"/>
    <s v="Apple Pay"/>
    <s v="C1666"/>
    <n v="12.5"/>
    <s v="Sunday"/>
    <s v="January"/>
    <n v="2025"/>
  </r>
  <r>
    <x v="64"/>
    <d v="2025-01-05T00:00:00"/>
    <s v="Station"/>
    <s v="Manchester"/>
    <s v="Latte"/>
    <s v="Food"/>
    <n v="5"/>
    <n v="2.2000000000000002"/>
    <s v="Apple Pay"/>
    <s v="C1809"/>
    <n v="11"/>
    <s v="Sunday"/>
    <s v="January"/>
    <n v="2025"/>
  </r>
  <r>
    <x v="65"/>
    <d v="2025-01-05T00:00:00"/>
    <s v="High Street"/>
    <s v="London"/>
    <s v="Espresso"/>
    <s v="Drink"/>
    <n v="4"/>
    <n v="2.5"/>
    <s v="Card"/>
    <s v="C1764"/>
    <n v="10"/>
    <s v="Sunday"/>
    <s v="January"/>
    <n v="2025"/>
  </r>
  <r>
    <x v="66"/>
    <d v="2025-01-05T00:00:00"/>
    <s v="Riverside"/>
    <s v="Birmingham"/>
    <s v="Croissant"/>
    <s v="Food"/>
    <n v="3"/>
    <n v="2.8"/>
    <s v="Card"/>
    <s v="C1023"/>
    <n v="8.3999999999999986"/>
    <s v="Sunday"/>
    <s v="January"/>
    <n v="2025"/>
  </r>
  <r>
    <x v="67"/>
    <d v="2025-01-05T00:00:00"/>
    <s v="Central"/>
    <s v="Birmingham"/>
    <s v="Espresso"/>
    <s v="Drink"/>
    <n v="3"/>
    <n v="2.5"/>
    <s v="Apple Pay"/>
    <s v="C1928"/>
    <n v="7.5"/>
    <s v="Sunday"/>
    <s v="January"/>
    <n v="2025"/>
  </r>
  <r>
    <x v="68"/>
    <d v="2025-01-05T00:00:00"/>
    <s v="Riverside"/>
    <s v="London"/>
    <s v="Espresso"/>
    <s v="Drink"/>
    <n v="3"/>
    <n v="2.5"/>
    <s v="Apple Pay"/>
    <s v="C1231"/>
    <n v="7.5"/>
    <s v="Sunday"/>
    <s v="January"/>
    <n v="2025"/>
  </r>
  <r>
    <x v="69"/>
    <d v="2025-01-05T00:00:00"/>
    <s v="Central"/>
    <s v="Manchester"/>
    <s v="Muffin"/>
    <s v="Food"/>
    <n v="3"/>
    <n v="2.2000000000000002"/>
    <s v="Apple Pay"/>
    <s v="C1510"/>
    <n v="6.6000000000000005"/>
    <s v="Sunday"/>
    <s v="January"/>
    <n v="2025"/>
  </r>
  <r>
    <x v="70"/>
    <d v="2025-01-05T00:00:00"/>
    <s v="Central"/>
    <s v="Birmingham"/>
    <s v="Cappuccino"/>
    <s v="Drink"/>
    <n v="1"/>
    <n v="3.8"/>
    <s v="Apple Pay"/>
    <s v="C1185"/>
    <n v="3.8"/>
    <s v="Sunday"/>
    <s v="January"/>
    <n v="2025"/>
  </r>
  <r>
    <x v="71"/>
    <d v="2025-01-05T00:00:00"/>
    <s v="Central"/>
    <s v="Leeds"/>
    <s v="Espresso"/>
    <s v="Drink"/>
    <n v="1"/>
    <n v="2.5"/>
    <s v="Card"/>
    <s v="C1332"/>
    <n v="2.5"/>
    <s v="Sunday"/>
    <s v="January"/>
    <n v="2025"/>
  </r>
  <r>
    <x v="72"/>
    <d v="2025-01-06T00:00:00"/>
    <s v="High Street"/>
    <s v="Manchester"/>
    <s v="Croissant"/>
    <s v="Food"/>
    <n v="5"/>
    <n v="2.8"/>
    <s v="Card"/>
    <s v="C1366"/>
    <n v="14"/>
    <s v="Monday"/>
    <s v="January"/>
    <n v="2025"/>
  </r>
  <r>
    <x v="73"/>
    <d v="2025-01-06T00:00:00"/>
    <s v="Station"/>
    <s v="Leeds"/>
    <s v="Latte"/>
    <s v="Drink"/>
    <n v="4"/>
    <n v="3.5"/>
    <s v="Card"/>
    <s v="C1846"/>
    <n v="14"/>
    <s v="Monday"/>
    <s v="January"/>
    <n v="2025"/>
  </r>
  <r>
    <x v="74"/>
    <d v="2025-01-06T00:00:00"/>
    <s v="High Street"/>
    <s v="Manchester"/>
    <s v="Muffin"/>
    <s v="Food"/>
    <n v="5"/>
    <n v="2.2000000000000002"/>
    <s v="Cash"/>
    <s v="C1781"/>
    <n v="11"/>
    <s v="Monday"/>
    <s v="January"/>
    <n v="2025"/>
  </r>
  <r>
    <x v="75"/>
    <d v="2025-01-06T00:00:00"/>
    <s v="Central"/>
    <s v="Manchester"/>
    <s v="Muffin"/>
    <s v="Food"/>
    <n v="5"/>
    <n v="2.2000000000000002"/>
    <s v="Cash"/>
    <s v="C1787"/>
    <n v="11"/>
    <s v="Monday"/>
    <s v="January"/>
    <n v="2025"/>
  </r>
  <r>
    <x v="76"/>
    <d v="2025-01-06T00:00:00"/>
    <s v="Central"/>
    <s v="London"/>
    <s v="Muffin"/>
    <s v="Food"/>
    <n v="5"/>
    <n v="2.2000000000000002"/>
    <s v="Apple Pay"/>
    <s v="C1779"/>
    <n v="11"/>
    <s v="Monday"/>
    <s v="January"/>
    <n v="2025"/>
  </r>
  <r>
    <x v="77"/>
    <d v="2025-01-06T00:00:00"/>
    <s v="Station"/>
    <s v="Manchester"/>
    <s v="Espresso"/>
    <s v="Drink"/>
    <n v="3"/>
    <n v="2.5"/>
    <s v="Cash"/>
    <s v="C1519"/>
    <n v="7.5"/>
    <s v="Monday"/>
    <s v="January"/>
    <n v="2025"/>
  </r>
  <r>
    <x v="78"/>
    <d v="2025-01-06T00:00:00"/>
    <s v="Station"/>
    <s v="Leeds"/>
    <s v="Espresso"/>
    <s v="Drink"/>
    <n v="3"/>
    <n v="2.5"/>
    <s v="Cash"/>
    <s v="C1299"/>
    <n v="7.5"/>
    <s v="Monday"/>
    <s v="January"/>
    <n v="2025"/>
  </r>
  <r>
    <x v="79"/>
    <d v="2025-01-06T00:00:00"/>
    <s v="Central"/>
    <s v="Birmingham"/>
    <s v="Espresso"/>
    <s v="Drink"/>
    <n v="3"/>
    <n v="2.5"/>
    <s v="Apple Pay"/>
    <s v="C1510"/>
    <n v="7.5"/>
    <s v="Monday"/>
    <s v="January"/>
    <n v="2025"/>
  </r>
  <r>
    <x v="80"/>
    <d v="2025-01-06T00:00:00"/>
    <s v="Station"/>
    <s v="Leeds"/>
    <s v="Croissant"/>
    <s v="Food"/>
    <n v="2"/>
    <n v="2.8"/>
    <s v="Apple Pay"/>
    <s v="C1072"/>
    <n v="5.6"/>
    <s v="Monday"/>
    <s v="January"/>
    <n v="2025"/>
  </r>
  <r>
    <x v="81"/>
    <d v="2025-01-06T00:00:00"/>
    <s v="Central"/>
    <s v="London"/>
    <s v="Espresso"/>
    <s v="Drink"/>
    <n v="2"/>
    <n v="2.5"/>
    <s v="Cash"/>
    <s v="C1573"/>
    <n v="5"/>
    <s v="Monday"/>
    <s v="January"/>
    <n v="2025"/>
  </r>
  <r>
    <x v="82"/>
    <d v="2025-01-06T00:00:00"/>
    <s v="Central"/>
    <s v="London"/>
    <s v="Espresso"/>
    <s v="Drink"/>
    <n v="2"/>
    <n v="2.5"/>
    <s v="Apple Pay"/>
    <s v="C1712"/>
    <n v="5"/>
    <s v="Monday"/>
    <s v="January"/>
    <n v="2025"/>
  </r>
  <r>
    <x v="83"/>
    <d v="2025-01-06T00:00:00"/>
    <s v="Central"/>
    <s v="Leeds"/>
    <s v="Cappuccino"/>
    <s v="Drink"/>
    <n v="1"/>
    <n v="3.8"/>
    <s v="Apple Pay"/>
    <s v="C1421"/>
    <n v="3.8"/>
    <s v="Monday"/>
    <s v="January"/>
    <n v="2025"/>
  </r>
  <r>
    <x v="84"/>
    <d v="2025-01-06T00:00:00"/>
    <s v="Riverside"/>
    <s v="Birmingham"/>
    <s v="Croissant"/>
    <s v="Food"/>
    <n v="1"/>
    <n v="2.8"/>
    <s v="Cash"/>
    <s v="C1428"/>
    <n v="2.8"/>
    <s v="Monday"/>
    <s v="January"/>
    <n v="2025"/>
  </r>
  <r>
    <x v="85"/>
    <d v="2025-01-06T00:00:00"/>
    <s v="Station"/>
    <s v="Bristol"/>
    <s v="Espresso"/>
    <s v="Drink"/>
    <n v="1"/>
    <n v="2.5"/>
    <s v="Cash"/>
    <s v="C1131"/>
    <n v="2.5"/>
    <s v="Monday"/>
    <s v="January"/>
    <n v="2025"/>
  </r>
  <r>
    <x v="86"/>
    <d v="2025-01-06T00:00:00"/>
    <s v="Station"/>
    <s v="Manchester"/>
    <s v="Muffin"/>
    <s v="Food"/>
    <n v="1"/>
    <n v="2.2000000000000002"/>
    <s v="Apple Pay"/>
    <s v="C1671"/>
    <n v="2.2000000000000002"/>
    <s v="Monday"/>
    <s v="January"/>
    <n v="2025"/>
  </r>
  <r>
    <x v="87"/>
    <d v="2025-01-06T00:00:00"/>
    <s v="Riverside"/>
    <s v="Leeds"/>
    <s v="Muffin"/>
    <s v="Food"/>
    <n v="1"/>
    <n v="2.2000000000000002"/>
    <s v="Apple Pay"/>
    <s v="C1237"/>
    <n v="2.2000000000000002"/>
    <s v="Monday"/>
    <s v="January"/>
    <n v="2025"/>
  </r>
  <r>
    <x v="88"/>
    <d v="2025-01-07T00:00:00"/>
    <s v="Riverside"/>
    <s v="Birmingham"/>
    <s v="Latte"/>
    <s v="Drink"/>
    <n v="4"/>
    <n v="3.5"/>
    <s v="Cash"/>
    <s v="C1421"/>
    <n v="14"/>
    <s v="Tuesday"/>
    <s v="January"/>
    <n v="2025"/>
  </r>
  <r>
    <x v="89"/>
    <d v="2025-01-07T00:00:00"/>
    <s v="Riverside"/>
    <s v="Leeds"/>
    <s v="Espresso"/>
    <s v="Drink"/>
    <n v="5"/>
    <n v="2.5"/>
    <s v="Cash"/>
    <s v="C1269"/>
    <n v="12.5"/>
    <s v="Tuesday"/>
    <s v="January"/>
    <n v="2025"/>
  </r>
  <r>
    <x v="90"/>
    <d v="2025-01-07T00:00:00"/>
    <s v="High Street"/>
    <s v="Leeds"/>
    <s v="Espresso"/>
    <s v="Drink"/>
    <n v="5"/>
    <n v="2.5"/>
    <s v="Cash"/>
    <s v="C1641"/>
    <n v="12.5"/>
    <s v="Tuesday"/>
    <s v="January"/>
    <n v="2025"/>
  </r>
  <r>
    <x v="91"/>
    <d v="2025-01-07T00:00:00"/>
    <s v="Central"/>
    <s v="London"/>
    <s v="Latte"/>
    <s v="Drink"/>
    <n v="3"/>
    <n v="3.5"/>
    <s v="Card"/>
    <s v="C1629"/>
    <n v="10.5"/>
    <s v="Tuesday"/>
    <s v="January"/>
    <n v="2025"/>
  </r>
  <r>
    <x v="92"/>
    <d v="2025-01-07T00:00:00"/>
    <s v="Riverside"/>
    <s v="Bristol"/>
    <s v="Espresso"/>
    <s v="Drink"/>
    <n v="4"/>
    <n v="2.5"/>
    <s v="Card"/>
    <s v="C1502"/>
    <n v="10"/>
    <s v="Tuesday"/>
    <s v="January"/>
    <n v="2025"/>
  </r>
  <r>
    <x v="93"/>
    <d v="2025-01-07T00:00:00"/>
    <s v="Station"/>
    <s v="Leeds"/>
    <s v="Croissant"/>
    <s v="Food"/>
    <n v="3"/>
    <n v="2.8"/>
    <s v="Apple Pay"/>
    <s v="C1170"/>
    <n v="8.3999999999999986"/>
    <s v="Tuesday"/>
    <s v="January"/>
    <n v="2025"/>
  </r>
  <r>
    <x v="94"/>
    <d v="2025-01-07T00:00:00"/>
    <s v="Riverside"/>
    <s v="Birmingham"/>
    <s v="Cappuccino"/>
    <s v="Drink"/>
    <n v="2"/>
    <n v="3.8"/>
    <s v="Card"/>
    <s v="C1157"/>
    <n v="7.6"/>
    <s v="Tuesday"/>
    <s v="January"/>
    <n v="2025"/>
  </r>
  <r>
    <x v="95"/>
    <d v="2025-01-07T00:00:00"/>
    <s v="High Street"/>
    <s v="London"/>
    <s v="Latte"/>
    <s v="Drink"/>
    <n v="2"/>
    <n v="3.5"/>
    <s v="Cash"/>
    <s v="C1985"/>
    <n v="7"/>
    <s v="Tuesday"/>
    <s v="January"/>
    <n v="2025"/>
  </r>
  <r>
    <x v="96"/>
    <d v="2025-01-07T00:00:00"/>
    <s v="Station"/>
    <s v="Leeds"/>
    <s v="Muffin"/>
    <s v="Food"/>
    <n v="3"/>
    <n v="2.2000000000000002"/>
    <s v="Card"/>
    <s v="C1678"/>
    <n v="6.6000000000000005"/>
    <s v="Tuesday"/>
    <s v="January"/>
    <n v="2025"/>
  </r>
  <r>
    <x v="97"/>
    <d v="2025-01-07T00:00:00"/>
    <s v="Riverside"/>
    <s v="Manchester"/>
    <s v="Espresso"/>
    <s v="Drink"/>
    <n v="2"/>
    <n v="2.5"/>
    <s v="Apple Pay"/>
    <s v="C1924"/>
    <n v="5"/>
    <s v="Tuesday"/>
    <s v="January"/>
    <n v="2025"/>
  </r>
  <r>
    <x v="98"/>
    <d v="2025-01-07T00:00:00"/>
    <s v="High Street"/>
    <s v="Leeds"/>
    <s v="Muffin"/>
    <s v="Food"/>
    <n v="2"/>
    <n v="2.2000000000000002"/>
    <s v="Card"/>
    <s v="C1006"/>
    <n v="4.4000000000000004"/>
    <s v="Tuesday"/>
    <s v="January"/>
    <n v="2025"/>
  </r>
  <r>
    <x v="99"/>
    <d v="2025-01-07T00:00:00"/>
    <s v="Riverside"/>
    <s v="Leeds"/>
    <s v="Cappuccino"/>
    <s v="Drink"/>
    <n v="1"/>
    <n v="3.8"/>
    <s v="Cash"/>
    <s v="C1134"/>
    <n v="3.8"/>
    <s v="Tuesday"/>
    <s v="January"/>
    <n v="2025"/>
  </r>
  <r>
    <x v="100"/>
    <d v="2025-01-07T00:00:00"/>
    <s v="Central"/>
    <s v="Leeds"/>
    <s v="Muffin"/>
    <s v="Food"/>
    <n v="1"/>
    <n v="2.2000000000000002"/>
    <s v="Card"/>
    <s v="C1219"/>
    <n v="2.2000000000000002"/>
    <s v="Tuesday"/>
    <s v="January"/>
    <n v="2025"/>
  </r>
  <r>
    <x v="101"/>
    <d v="2025-01-08T00:00:00"/>
    <s v="High Street"/>
    <s v="Bristol"/>
    <s v="Cappuccino"/>
    <s v="Drink"/>
    <n v="5"/>
    <n v="3.8"/>
    <s v="Apple Pay"/>
    <s v="C1607"/>
    <n v="19"/>
    <s v="Wednesday"/>
    <s v="January"/>
    <n v="2025"/>
  </r>
  <r>
    <x v="102"/>
    <d v="2025-01-08T00:00:00"/>
    <s v="Central"/>
    <s v="Leeds"/>
    <s v="Latte"/>
    <s v="Drink"/>
    <n v="5"/>
    <n v="3.5"/>
    <s v="Card"/>
    <s v="C1394"/>
    <n v="17.5"/>
    <s v="Wednesday"/>
    <s v="January"/>
    <n v="2025"/>
  </r>
  <r>
    <x v="103"/>
    <d v="2025-01-08T00:00:00"/>
    <s v="High Street"/>
    <s v="Birmingham"/>
    <s v="Latte"/>
    <s v="Drink"/>
    <n v="4"/>
    <n v="3.5"/>
    <s v="Card"/>
    <s v="C1193"/>
    <n v="14"/>
    <s v="Wednesday"/>
    <s v="January"/>
    <n v="2025"/>
  </r>
  <r>
    <x v="104"/>
    <d v="2025-01-08T00:00:00"/>
    <s v="Central"/>
    <s v="Leeds"/>
    <s v="Muffin"/>
    <s v="Food"/>
    <n v="5"/>
    <n v="2.2000000000000002"/>
    <s v="Cash"/>
    <s v="C1931"/>
    <n v="11"/>
    <s v="Wednesday"/>
    <s v="January"/>
    <n v="2025"/>
  </r>
  <r>
    <x v="105"/>
    <d v="2025-01-08T00:00:00"/>
    <s v="High Street"/>
    <s v="Birmingham"/>
    <s v="Espresso"/>
    <s v="Drink"/>
    <n v="3"/>
    <n v="2.5"/>
    <s v="Apple Pay"/>
    <s v="C1139"/>
    <n v="7.5"/>
    <s v="Wednesday"/>
    <s v="January"/>
    <n v="2025"/>
  </r>
  <r>
    <x v="106"/>
    <d v="2025-01-08T00:00:00"/>
    <s v="Station"/>
    <s v="Birmingham"/>
    <s v="Espresso"/>
    <s v="Drink"/>
    <n v="3"/>
    <n v="2.5"/>
    <s v="Apple Pay"/>
    <s v="C1799"/>
    <n v="7.5"/>
    <s v="Wednesday"/>
    <s v="January"/>
    <n v="2025"/>
  </r>
  <r>
    <x v="107"/>
    <d v="2025-01-08T00:00:00"/>
    <s v="Station"/>
    <s v="Bristol"/>
    <s v="Latte"/>
    <s v="Drink"/>
    <n v="2"/>
    <n v="3.5"/>
    <s v="Cash"/>
    <s v="C1358"/>
    <n v="7"/>
    <s v="Wednesday"/>
    <s v="January"/>
    <n v="2025"/>
  </r>
  <r>
    <x v="108"/>
    <d v="2025-01-08T00:00:00"/>
    <s v="Riverside"/>
    <s v="Manchester"/>
    <s v="Croissant"/>
    <s v="Food"/>
    <n v="2"/>
    <n v="2.8"/>
    <s v="Cash"/>
    <s v="C1406"/>
    <n v="5.6"/>
    <s v="Wednesday"/>
    <s v="January"/>
    <n v="2025"/>
  </r>
  <r>
    <x v="109"/>
    <d v="2025-01-08T00:00:00"/>
    <s v="Central"/>
    <s v="London"/>
    <s v="Muffin"/>
    <s v="Food"/>
    <n v="1"/>
    <n v="2.2000000000000002"/>
    <s v="Apple Pay"/>
    <s v="C1053"/>
    <n v="2.2000000000000002"/>
    <s v="Wednesday"/>
    <s v="January"/>
    <n v="2025"/>
  </r>
  <r>
    <x v="110"/>
    <d v="2025-01-09T00:00:00"/>
    <s v="High Street"/>
    <s v="Manchester"/>
    <s v="Latte"/>
    <s v="Drink"/>
    <n v="5"/>
    <n v="3.5"/>
    <s v="Cash"/>
    <s v="C1185"/>
    <n v="17.5"/>
    <s v="Thursday"/>
    <s v="January"/>
    <n v="2025"/>
  </r>
  <r>
    <x v="111"/>
    <d v="2025-01-09T00:00:00"/>
    <s v="Station"/>
    <s v="Bristol"/>
    <s v="Latte"/>
    <s v="Drink"/>
    <n v="5"/>
    <n v="3.5"/>
    <s v="Card"/>
    <s v="C1544"/>
    <n v="17.5"/>
    <s v="Thursday"/>
    <s v="January"/>
    <n v="2025"/>
  </r>
  <r>
    <x v="112"/>
    <d v="2025-01-09T00:00:00"/>
    <s v="High Street"/>
    <s v="Bristol"/>
    <s v="Cappuccino"/>
    <s v="Drink"/>
    <n v="4"/>
    <n v="3.8"/>
    <s v="Cash"/>
    <s v="C1327"/>
    <n v="15.2"/>
    <s v="Thursday"/>
    <s v="January"/>
    <n v="2025"/>
  </r>
  <r>
    <x v="113"/>
    <d v="2025-01-09T00:00:00"/>
    <s v="Station"/>
    <s v="Leeds"/>
    <s v="Croissant"/>
    <s v="Food"/>
    <n v="5"/>
    <n v="2.8"/>
    <s v="Apple Pay"/>
    <s v="C1123"/>
    <n v="14"/>
    <s v="Thursday"/>
    <s v="January"/>
    <n v="2025"/>
  </r>
  <r>
    <x v="114"/>
    <d v="2025-01-09T00:00:00"/>
    <s v="Central"/>
    <s v="Birmingham"/>
    <s v="Espresso"/>
    <s v="Drink"/>
    <n v="5"/>
    <n v="2.5"/>
    <s v="Card"/>
    <s v="C1763"/>
    <n v="12.5"/>
    <s v="Thursday"/>
    <s v="January"/>
    <n v="2025"/>
  </r>
  <r>
    <x v="115"/>
    <d v="2025-01-09T00:00:00"/>
    <s v="Station"/>
    <s v="London"/>
    <s v="Muffin"/>
    <s v="Food"/>
    <n v="5"/>
    <n v="2.2000000000000002"/>
    <s v="Card"/>
    <s v="C1808"/>
    <n v="11"/>
    <s v="Thursday"/>
    <s v="January"/>
    <n v="2025"/>
  </r>
  <r>
    <x v="116"/>
    <d v="2025-01-09T00:00:00"/>
    <s v="Station"/>
    <s v="Manchester"/>
    <s v="Latte"/>
    <s v="Drink"/>
    <n v="3"/>
    <n v="3.5"/>
    <s v="Cash"/>
    <s v="C1377"/>
    <n v="10.5"/>
    <s v="Thursday"/>
    <s v="January"/>
    <n v="2025"/>
  </r>
  <r>
    <x v="117"/>
    <d v="2025-01-09T00:00:00"/>
    <s v="Riverside"/>
    <s v="Bristol"/>
    <s v="Latte"/>
    <s v="Drink"/>
    <n v="3"/>
    <n v="3.5"/>
    <s v="Apple Pay"/>
    <s v="C1701"/>
    <n v="10.5"/>
    <s v="Thursday"/>
    <s v="January"/>
    <n v="2025"/>
  </r>
  <r>
    <x v="118"/>
    <d v="2025-01-09T00:00:00"/>
    <s v="Central"/>
    <s v="Birmingham"/>
    <s v="Espresso"/>
    <s v="Drink"/>
    <n v="4"/>
    <n v="2.5"/>
    <s v="Apple Pay"/>
    <s v="C1717"/>
    <n v="10"/>
    <s v="Thursday"/>
    <s v="January"/>
    <n v="2025"/>
  </r>
  <r>
    <x v="119"/>
    <d v="2025-01-09T00:00:00"/>
    <s v="Station"/>
    <s v="Bristol"/>
    <s v="Muffin"/>
    <s v="Food"/>
    <n v="4"/>
    <n v="2.2000000000000002"/>
    <s v="Card"/>
    <s v="C1612"/>
    <n v="8.8000000000000007"/>
    <s v="Thursday"/>
    <s v="January"/>
    <n v="2025"/>
  </r>
  <r>
    <x v="120"/>
    <d v="2025-01-09T00:00:00"/>
    <s v="Station"/>
    <s v="Leeds"/>
    <s v="Croissant"/>
    <s v="Food"/>
    <n v="3"/>
    <n v="2.8"/>
    <s v="Apple Pay"/>
    <s v="C1699"/>
    <n v="8.3999999999999986"/>
    <s v="Thursday"/>
    <s v="January"/>
    <n v="2025"/>
  </r>
  <r>
    <x v="121"/>
    <d v="2025-01-09T00:00:00"/>
    <s v="Riverside"/>
    <s v="Bristol"/>
    <s v="Croissant"/>
    <s v="Food"/>
    <n v="3"/>
    <n v="2.8"/>
    <s v="Cash"/>
    <s v="C1782"/>
    <n v="8.3999999999999986"/>
    <s v="Thursday"/>
    <s v="January"/>
    <n v="2025"/>
  </r>
  <r>
    <x v="122"/>
    <d v="2025-01-09T00:00:00"/>
    <s v="Riverside"/>
    <s v="Birmingham"/>
    <s v="Espresso"/>
    <s v="Drink"/>
    <n v="3"/>
    <n v="2.5"/>
    <s v="Apple Pay"/>
    <s v="C1740"/>
    <n v="7.5"/>
    <s v="Thursday"/>
    <s v="January"/>
    <n v="2025"/>
  </r>
  <r>
    <x v="123"/>
    <d v="2025-01-09T00:00:00"/>
    <s v="Station"/>
    <s v="Manchester"/>
    <s v="Latte"/>
    <s v="Drink"/>
    <n v="2"/>
    <n v="3.5"/>
    <s v="Card"/>
    <s v="C1017"/>
    <n v="7"/>
    <s v="Thursday"/>
    <s v="January"/>
    <n v="2025"/>
  </r>
  <r>
    <x v="124"/>
    <d v="2025-01-09T00:00:00"/>
    <s v="High Street"/>
    <s v="Manchester"/>
    <s v="Muffin"/>
    <s v="Food"/>
    <n v="3"/>
    <n v="2.2000000000000002"/>
    <s v="Cash"/>
    <s v="C1406"/>
    <n v="6.6000000000000005"/>
    <s v="Thursday"/>
    <s v="January"/>
    <n v="2025"/>
  </r>
  <r>
    <x v="125"/>
    <d v="2025-01-09T00:00:00"/>
    <s v="Station"/>
    <s v="London"/>
    <s v="Croissant"/>
    <s v="Food"/>
    <n v="2"/>
    <n v="2.8"/>
    <s v="Apple Pay"/>
    <s v="C1387"/>
    <n v="5.6"/>
    <s v="Thursday"/>
    <s v="January"/>
    <n v="2025"/>
  </r>
  <r>
    <x v="126"/>
    <d v="2025-01-09T00:00:00"/>
    <s v="High Street"/>
    <s v="Manchester"/>
    <s v="Espresso"/>
    <s v="Drink"/>
    <n v="2"/>
    <n v="2.5"/>
    <s v="Card"/>
    <s v="C1043"/>
    <n v="5"/>
    <s v="Thursday"/>
    <s v="January"/>
    <n v="2025"/>
  </r>
  <r>
    <x v="127"/>
    <d v="2025-01-09T00:00:00"/>
    <s v="High Street"/>
    <s v="Bristol"/>
    <s v="Cappuccino"/>
    <s v="Drink"/>
    <n v="1"/>
    <n v="3.8"/>
    <s v="Cash"/>
    <s v="C1632"/>
    <n v="3.8"/>
    <s v="Thursday"/>
    <s v="January"/>
    <n v="2025"/>
  </r>
  <r>
    <x v="128"/>
    <d v="2025-01-09T00:00:00"/>
    <s v="High Street"/>
    <s v="Leeds"/>
    <s v="Cappuccino"/>
    <s v="Drink"/>
    <n v="1"/>
    <n v="3.8"/>
    <s v="Card"/>
    <s v="C1183"/>
    <n v="3.8"/>
    <s v="Thursday"/>
    <s v="January"/>
    <n v="2025"/>
  </r>
  <r>
    <x v="129"/>
    <d v="2025-01-10T00:00:00"/>
    <s v="Station"/>
    <s v="London"/>
    <s v="Cappuccino"/>
    <s v="Drink"/>
    <n v="5"/>
    <n v="3.8"/>
    <s v="Apple Pay"/>
    <s v="C1763"/>
    <n v="19"/>
    <s v="Friday"/>
    <s v="January"/>
    <n v="2025"/>
  </r>
  <r>
    <x v="130"/>
    <d v="2025-01-10T00:00:00"/>
    <s v="Station"/>
    <s v="London"/>
    <s v="Cappuccino"/>
    <s v="Drink"/>
    <n v="5"/>
    <n v="3.8"/>
    <s v="Card"/>
    <s v="C1439"/>
    <n v="19"/>
    <s v="Friday"/>
    <s v="January"/>
    <n v="2025"/>
  </r>
  <r>
    <x v="131"/>
    <d v="2025-01-10T00:00:00"/>
    <s v="Central"/>
    <s v="London"/>
    <s v="Cappuccino"/>
    <s v="Drink"/>
    <n v="4"/>
    <n v="3.8"/>
    <s v="Apple Pay"/>
    <s v="C1962"/>
    <n v="15.2"/>
    <s v="Friday"/>
    <s v="January"/>
    <n v="2025"/>
  </r>
  <r>
    <x v="132"/>
    <d v="2025-01-10T00:00:00"/>
    <s v="Central"/>
    <s v="Bristol"/>
    <s v="Latte"/>
    <s v="Drink"/>
    <n v="4"/>
    <n v="3.5"/>
    <s v="Card"/>
    <s v="C1894"/>
    <n v="14"/>
    <s v="Friday"/>
    <s v="January"/>
    <n v="2025"/>
  </r>
  <r>
    <x v="133"/>
    <d v="2025-01-10T00:00:00"/>
    <s v="Station"/>
    <s v="London"/>
    <s v="Croissant"/>
    <s v="Food"/>
    <n v="5"/>
    <n v="2.8"/>
    <s v="Cash"/>
    <s v="C1592"/>
    <n v="14"/>
    <s v="Friday"/>
    <s v="January"/>
    <n v="2025"/>
  </r>
  <r>
    <x v="134"/>
    <d v="2025-01-10T00:00:00"/>
    <s v="Riverside"/>
    <s v="Birmingham"/>
    <s v="Muffin"/>
    <s v="Food"/>
    <n v="5"/>
    <n v="2.2000000000000002"/>
    <s v="Apple Pay"/>
    <s v="C1753"/>
    <n v="11"/>
    <s v="Friday"/>
    <s v="January"/>
    <n v="2025"/>
  </r>
  <r>
    <x v="135"/>
    <d v="2025-01-10T00:00:00"/>
    <s v="High Street"/>
    <s v="Leeds"/>
    <s v="Espresso"/>
    <s v="Drink"/>
    <n v="4"/>
    <n v="2.5"/>
    <s v="Cash"/>
    <s v="C1887"/>
    <n v="10"/>
    <s v="Friday"/>
    <s v="January"/>
    <n v="2025"/>
  </r>
  <r>
    <x v="136"/>
    <d v="2025-01-10T00:00:00"/>
    <s v="High Street"/>
    <s v="Birmingham"/>
    <s v="Espresso"/>
    <s v="Drink"/>
    <n v="4"/>
    <n v="2.5"/>
    <s v="Card"/>
    <s v="C1666"/>
    <n v="10"/>
    <s v="Friday"/>
    <s v="January"/>
    <n v="2025"/>
  </r>
  <r>
    <x v="137"/>
    <d v="2025-01-10T00:00:00"/>
    <s v="High Street"/>
    <s v="Bristol"/>
    <s v="Croissant"/>
    <s v="Food"/>
    <n v="3"/>
    <n v="2.8"/>
    <s v="Card"/>
    <s v="C1104"/>
    <n v="8.3999999999999986"/>
    <s v="Friday"/>
    <s v="January"/>
    <n v="2025"/>
  </r>
  <r>
    <x v="138"/>
    <d v="2025-01-10T00:00:00"/>
    <s v="Central"/>
    <s v="Bristol"/>
    <s v="Croissant"/>
    <s v="Food"/>
    <n v="3"/>
    <n v="2.8"/>
    <s v="Cash"/>
    <s v="C1491"/>
    <n v="8.3999999999999986"/>
    <s v="Friday"/>
    <s v="January"/>
    <n v="2025"/>
  </r>
  <r>
    <x v="139"/>
    <d v="2025-01-10T00:00:00"/>
    <s v="Riverside"/>
    <s v="Birmingham"/>
    <s v="Espresso"/>
    <s v="Drink"/>
    <n v="3"/>
    <n v="2.5"/>
    <s v="Card"/>
    <s v="C1112"/>
    <n v="7.5"/>
    <s v="Friday"/>
    <s v="January"/>
    <n v="2025"/>
  </r>
  <r>
    <x v="140"/>
    <d v="2025-01-10T00:00:00"/>
    <s v="High Street"/>
    <s v="Birmingham"/>
    <s v="Muffin"/>
    <s v="Food"/>
    <n v="3"/>
    <n v="2.2000000000000002"/>
    <s v="Cash"/>
    <s v="C1467"/>
    <n v="6.6000000000000005"/>
    <s v="Friday"/>
    <s v="January"/>
    <n v="2025"/>
  </r>
  <r>
    <x v="141"/>
    <d v="2025-01-10T00:00:00"/>
    <s v="Station"/>
    <s v="Leeds"/>
    <s v="Croissant"/>
    <s v="Food"/>
    <n v="2"/>
    <n v="2.8"/>
    <s v="Card"/>
    <s v="C1655"/>
    <n v="5.6"/>
    <s v="Friday"/>
    <s v="January"/>
    <n v="2025"/>
  </r>
  <r>
    <x v="142"/>
    <d v="2025-01-10T00:00:00"/>
    <s v="Central"/>
    <s v="London"/>
    <s v="Croissant"/>
    <s v="Food"/>
    <n v="2"/>
    <n v="2.8"/>
    <s v="Cash"/>
    <s v="C1911"/>
    <n v="5.6"/>
    <s v="Friday"/>
    <s v="January"/>
    <n v="2025"/>
  </r>
  <r>
    <x v="143"/>
    <d v="2025-01-10T00:00:00"/>
    <s v="Station"/>
    <s v="London"/>
    <s v="Muffin"/>
    <s v="Food"/>
    <n v="2"/>
    <n v="2.2000000000000002"/>
    <s v="Apple Pay"/>
    <s v="C1987"/>
    <n v="4.4000000000000004"/>
    <s v="Friday"/>
    <s v="January"/>
    <n v="2025"/>
  </r>
  <r>
    <x v="144"/>
    <d v="2025-01-10T00:00:00"/>
    <s v="Station"/>
    <s v="Leeds"/>
    <s v="Cappuccino"/>
    <s v="Drink"/>
    <n v="1"/>
    <n v="3.8"/>
    <s v="Card"/>
    <s v="C1287"/>
    <n v="3.8"/>
    <s v="Friday"/>
    <s v="January"/>
    <n v="2025"/>
  </r>
  <r>
    <x v="145"/>
    <d v="2025-01-10T00:00:00"/>
    <s v="High Street"/>
    <s v="London"/>
    <s v="Latte"/>
    <s v="Drink"/>
    <n v="1"/>
    <n v="3.5"/>
    <s v="Cash"/>
    <s v="C1480"/>
    <n v="3.5"/>
    <s v="Friday"/>
    <s v="January"/>
    <n v="2025"/>
  </r>
  <r>
    <x v="146"/>
    <d v="2025-01-10T00:00:00"/>
    <s v="High Street"/>
    <s v="Birmingham"/>
    <s v="Croissant"/>
    <s v="Food"/>
    <n v="1"/>
    <n v="2.8"/>
    <s v="Card"/>
    <s v="C1164"/>
    <n v="2.8"/>
    <s v="Friday"/>
    <s v="January"/>
    <n v="2025"/>
  </r>
  <r>
    <x v="147"/>
    <d v="2025-01-10T00:00:00"/>
    <s v="High Street"/>
    <s v="Leeds"/>
    <s v="Muffin"/>
    <s v="Food"/>
    <n v="1"/>
    <n v="2.2000000000000002"/>
    <s v="Cash"/>
    <s v="C1593"/>
    <n v="2.2000000000000002"/>
    <s v="Friday"/>
    <s v="January"/>
    <n v="2025"/>
  </r>
  <r>
    <x v="148"/>
    <d v="2025-01-10T00:00:00"/>
    <s v="Riverside"/>
    <s v="London"/>
    <s v="Muffin"/>
    <s v="Food"/>
    <n v="1"/>
    <n v="2.2000000000000002"/>
    <s v="Card"/>
    <s v="C1693"/>
    <n v="2.2000000000000002"/>
    <s v="Friday"/>
    <s v="January"/>
    <n v="2025"/>
  </r>
  <r>
    <x v="149"/>
    <d v="2025-01-11T00:00:00"/>
    <s v="Station"/>
    <s v="Manchester"/>
    <s v="Cappuccino"/>
    <s v="Drink"/>
    <n v="5"/>
    <n v="3.8"/>
    <s v="Card"/>
    <s v="C1421"/>
    <n v="19"/>
    <s v="Saturday"/>
    <s v="January"/>
    <n v="2025"/>
  </r>
  <r>
    <x v="150"/>
    <d v="2025-01-11T00:00:00"/>
    <s v="Riverside"/>
    <s v="Bristol"/>
    <s v="Cappuccino"/>
    <s v="Drink"/>
    <n v="5"/>
    <n v="3.8"/>
    <s v="Apple Pay"/>
    <s v="C1165"/>
    <n v="19"/>
    <s v="Saturday"/>
    <s v="January"/>
    <n v="2025"/>
  </r>
  <r>
    <x v="151"/>
    <d v="2025-01-11T00:00:00"/>
    <s v="High Street"/>
    <s v="Leeds"/>
    <s v="Espresso"/>
    <s v="Drink"/>
    <n v="4"/>
    <n v="2.5"/>
    <s v="Card"/>
    <s v="C1898"/>
    <n v="10"/>
    <s v="Saturday"/>
    <s v="January"/>
    <n v="2025"/>
  </r>
  <r>
    <x v="152"/>
    <d v="2025-01-11T00:00:00"/>
    <s v="Station"/>
    <s v="Bristol"/>
    <s v="Latte"/>
    <s v="Drink"/>
    <n v="2"/>
    <n v="3.5"/>
    <s v="Cash"/>
    <s v="C1343"/>
    <n v="7"/>
    <s v="Saturday"/>
    <s v="January"/>
    <n v="2025"/>
  </r>
  <r>
    <x v="153"/>
    <d v="2025-01-11T00:00:00"/>
    <s v="Central"/>
    <s v="London"/>
    <s v="Muffin"/>
    <s v="Food"/>
    <n v="3"/>
    <n v="2.2000000000000002"/>
    <s v="Card"/>
    <s v="C1619"/>
    <n v="6.6000000000000005"/>
    <s v="Saturday"/>
    <s v="January"/>
    <n v="2025"/>
  </r>
  <r>
    <x v="154"/>
    <d v="2025-01-11T00:00:00"/>
    <s v="Riverside"/>
    <s v="Bristol"/>
    <s v="Muffin"/>
    <s v="Food"/>
    <n v="2"/>
    <n v="2.2000000000000002"/>
    <s v="Card"/>
    <s v="C1575"/>
    <n v="4.4000000000000004"/>
    <s v="Saturday"/>
    <s v="January"/>
    <n v="2025"/>
  </r>
  <r>
    <x v="155"/>
    <d v="2025-01-11T00:00:00"/>
    <s v="Station"/>
    <s v="London"/>
    <s v="Cappuccino"/>
    <s v="Drink"/>
    <n v="1"/>
    <n v="3.8"/>
    <s v="Card"/>
    <s v="C1937"/>
    <n v="3.8"/>
    <s v="Saturday"/>
    <s v="January"/>
    <n v="2025"/>
  </r>
  <r>
    <x v="156"/>
    <d v="2025-01-11T00:00:00"/>
    <s v="Station"/>
    <s v="Manchester"/>
    <s v="Latte"/>
    <s v="Drink"/>
    <n v="1"/>
    <n v="3.5"/>
    <s v="Apple Pay"/>
    <s v="C1375"/>
    <n v="3.5"/>
    <s v="Saturday"/>
    <s v="January"/>
    <n v="2025"/>
  </r>
  <r>
    <x v="157"/>
    <d v="2025-01-11T00:00:00"/>
    <s v="Central"/>
    <s v="Birmingham"/>
    <s v="Latte"/>
    <s v="Drink"/>
    <n v="1"/>
    <n v="3.5"/>
    <s v="Apple Pay"/>
    <s v="C1284"/>
    <n v="3.5"/>
    <s v="Saturday"/>
    <s v="January"/>
    <n v="2025"/>
  </r>
  <r>
    <x v="158"/>
    <d v="2025-01-11T00:00:00"/>
    <s v="Riverside"/>
    <s v="Bristol"/>
    <s v="Espresso"/>
    <s v="Drink"/>
    <n v="1"/>
    <n v="2.5"/>
    <s v="Cash"/>
    <s v="C1962"/>
    <n v="2.5"/>
    <s v="Saturday"/>
    <s v="January"/>
    <n v="2025"/>
  </r>
  <r>
    <x v="159"/>
    <d v="2025-01-12T00:00:00"/>
    <s v="High Street"/>
    <s v="Bristol"/>
    <s v="Latte"/>
    <s v="Drink"/>
    <n v="5"/>
    <n v="3.5"/>
    <s v="Card"/>
    <s v="C1933"/>
    <n v="17.5"/>
    <s v="Sunday"/>
    <s v="January"/>
    <n v="2025"/>
  </r>
  <r>
    <x v="160"/>
    <d v="2025-01-12T00:00:00"/>
    <s v="Central"/>
    <s v="Bristol"/>
    <s v="Latte"/>
    <s v="Drink"/>
    <n v="4"/>
    <n v="3.5"/>
    <s v="Apple Pay"/>
    <s v="C1372"/>
    <n v="14"/>
    <s v="Sunday"/>
    <s v="January"/>
    <n v="2025"/>
  </r>
  <r>
    <x v="161"/>
    <d v="2025-01-12T00:00:00"/>
    <s v="Station"/>
    <s v="London"/>
    <s v="Cappuccino"/>
    <s v="Drink"/>
    <n v="3"/>
    <n v="3.8"/>
    <s v="Card"/>
    <s v="C1429"/>
    <n v="11.399999999999999"/>
    <s v="Sunday"/>
    <s v="January"/>
    <n v="2025"/>
  </r>
  <r>
    <x v="162"/>
    <d v="2025-01-12T00:00:00"/>
    <s v="High Street"/>
    <s v="Bristol"/>
    <s v="Croissant"/>
    <s v="Food"/>
    <n v="4"/>
    <n v="2.8"/>
    <s v="Cash"/>
    <s v="C1665"/>
    <n v="11.2"/>
    <s v="Sunday"/>
    <s v="January"/>
    <n v="2025"/>
  </r>
  <r>
    <x v="163"/>
    <d v="2025-01-12T00:00:00"/>
    <s v="Station"/>
    <s v="Birmingham"/>
    <s v="Croissant"/>
    <s v="Food"/>
    <n v="4"/>
    <n v="2.8"/>
    <s v="Card"/>
    <s v="C1599"/>
    <n v="11.2"/>
    <s v="Sunday"/>
    <s v="January"/>
    <n v="2025"/>
  </r>
  <r>
    <x v="164"/>
    <d v="2025-01-12T00:00:00"/>
    <s v="High Street"/>
    <s v="Manchester"/>
    <s v="Croissant"/>
    <s v="Food"/>
    <n v="4"/>
    <n v="2.8"/>
    <s v="Card"/>
    <s v="C1805"/>
    <n v="11.2"/>
    <s v="Sunday"/>
    <s v="January"/>
    <n v="2025"/>
  </r>
  <r>
    <x v="165"/>
    <d v="2025-01-12T00:00:00"/>
    <s v="High Street"/>
    <s v="Leeds"/>
    <s v="Croissant"/>
    <s v="Food"/>
    <n v="4"/>
    <n v="2.8"/>
    <s v="Card"/>
    <s v="C1318"/>
    <n v="11.2"/>
    <s v="Sunday"/>
    <s v="January"/>
    <n v="2025"/>
  </r>
  <r>
    <x v="166"/>
    <d v="2025-01-12T00:00:00"/>
    <s v="Station"/>
    <s v="Manchester"/>
    <s v="Muffin"/>
    <s v="Food"/>
    <n v="5"/>
    <n v="2.2000000000000002"/>
    <s v="Card"/>
    <s v="C1843"/>
    <n v="11"/>
    <s v="Sunday"/>
    <s v="January"/>
    <n v="2025"/>
  </r>
  <r>
    <x v="167"/>
    <d v="2025-01-12T00:00:00"/>
    <s v="High Street"/>
    <s v="Manchester"/>
    <s v="Latte"/>
    <s v="Drink"/>
    <n v="3"/>
    <n v="3.5"/>
    <s v="Cash"/>
    <s v="C1812"/>
    <n v="10.5"/>
    <s v="Sunday"/>
    <s v="January"/>
    <n v="2025"/>
  </r>
  <r>
    <x v="168"/>
    <d v="2025-01-12T00:00:00"/>
    <s v="Station"/>
    <s v="London"/>
    <s v="Muffin"/>
    <s v="Food"/>
    <n v="3"/>
    <n v="2.2000000000000002"/>
    <s v="Card"/>
    <s v="C1723"/>
    <n v="6.6000000000000005"/>
    <s v="Sunday"/>
    <s v="January"/>
    <n v="2025"/>
  </r>
  <r>
    <x v="169"/>
    <d v="2025-01-12T00:00:00"/>
    <s v="Riverside"/>
    <s v="Bristol"/>
    <s v="Muffin"/>
    <s v="Food"/>
    <n v="2"/>
    <n v="2.2000000000000002"/>
    <s v="Card"/>
    <s v="C1518"/>
    <n v="4.4000000000000004"/>
    <s v="Sunday"/>
    <s v="January"/>
    <n v="2025"/>
  </r>
  <r>
    <x v="170"/>
    <d v="2025-01-12T00:00:00"/>
    <s v="Riverside"/>
    <s v="London"/>
    <s v="Latte"/>
    <s v="Drink"/>
    <n v="1"/>
    <n v="3.5"/>
    <s v="Cash"/>
    <s v="C1799"/>
    <n v="3.5"/>
    <s v="Sunday"/>
    <s v="January"/>
    <n v="2025"/>
  </r>
  <r>
    <x v="171"/>
    <d v="2025-01-12T00:00:00"/>
    <s v="Riverside"/>
    <s v="Manchester"/>
    <s v="Muffin"/>
    <s v="Food"/>
    <n v="1"/>
    <n v="2.2000000000000002"/>
    <s v="Card"/>
    <s v="C1569"/>
    <n v="2.2000000000000002"/>
    <s v="Sunday"/>
    <s v="January"/>
    <n v="2025"/>
  </r>
  <r>
    <x v="172"/>
    <d v="2025-01-13T00:00:00"/>
    <s v="Central"/>
    <s v="Leeds"/>
    <s v="Latte"/>
    <s v="Drink"/>
    <n v="5"/>
    <n v="3.5"/>
    <s v="Cash"/>
    <s v="C1219"/>
    <n v="17.5"/>
    <s v="Monday"/>
    <s v="January"/>
    <n v="2025"/>
  </r>
  <r>
    <x v="173"/>
    <d v="2025-01-13T00:00:00"/>
    <s v="High Street"/>
    <s v="Bristol"/>
    <s v="Croissant"/>
    <s v="Food"/>
    <n v="5"/>
    <n v="2.8"/>
    <s v="Cash"/>
    <s v="C1639"/>
    <n v="14"/>
    <s v="Monday"/>
    <s v="January"/>
    <n v="2025"/>
  </r>
  <r>
    <x v="174"/>
    <d v="2025-01-13T00:00:00"/>
    <s v="Station"/>
    <s v="Bristol"/>
    <s v="Latte"/>
    <s v="Drink"/>
    <n v="4"/>
    <n v="3.5"/>
    <s v="Card"/>
    <s v="C1605"/>
    <n v="14"/>
    <s v="Monday"/>
    <s v="January"/>
    <n v="2025"/>
  </r>
  <r>
    <x v="175"/>
    <d v="2025-01-13T00:00:00"/>
    <s v="Riverside"/>
    <s v="Leeds"/>
    <s v="Croissant"/>
    <s v="Food"/>
    <n v="5"/>
    <n v="2.8"/>
    <s v="Apple Pay"/>
    <s v="C1032"/>
    <n v="14"/>
    <s v="Monday"/>
    <s v="January"/>
    <n v="2025"/>
  </r>
  <r>
    <x v="176"/>
    <d v="2025-01-13T00:00:00"/>
    <s v="Riverside"/>
    <s v="Birmingham"/>
    <s v="Espresso"/>
    <s v="Drink"/>
    <n v="5"/>
    <n v="2.5"/>
    <s v="Card"/>
    <s v="C1645"/>
    <n v="12.5"/>
    <s v="Monday"/>
    <s v="January"/>
    <n v="2025"/>
  </r>
  <r>
    <x v="177"/>
    <d v="2025-01-13T00:00:00"/>
    <s v="High Street"/>
    <s v="London"/>
    <s v="Cappuccino"/>
    <s v="Drink"/>
    <n v="3"/>
    <n v="3.8"/>
    <s v="Card"/>
    <s v="C1251"/>
    <n v="11.399999999999999"/>
    <s v="Monday"/>
    <s v="January"/>
    <n v="2025"/>
  </r>
  <r>
    <x v="178"/>
    <d v="2025-01-13T00:00:00"/>
    <s v="High Street"/>
    <s v="Birmingham"/>
    <s v="Muffin"/>
    <s v="Food"/>
    <n v="5"/>
    <n v="2.2000000000000002"/>
    <s v="Apple Pay"/>
    <s v="C1216"/>
    <n v="11"/>
    <s v="Monday"/>
    <s v="January"/>
    <n v="2025"/>
  </r>
  <r>
    <x v="179"/>
    <d v="2025-01-13T00:00:00"/>
    <s v="Central"/>
    <s v="Bristol"/>
    <s v="Latte"/>
    <s v="Drink"/>
    <n v="3"/>
    <n v="3.5"/>
    <s v="Card"/>
    <s v="C1182"/>
    <n v="10.5"/>
    <s v="Monday"/>
    <s v="January"/>
    <n v="2025"/>
  </r>
  <r>
    <x v="180"/>
    <d v="2025-01-13T00:00:00"/>
    <s v="High Street"/>
    <s v="Birmingham"/>
    <s v="Cappuccino"/>
    <s v="Drink"/>
    <n v="2"/>
    <n v="3.8"/>
    <s v="Card"/>
    <s v="C1764"/>
    <n v="7.6"/>
    <s v="Monday"/>
    <s v="January"/>
    <n v="2025"/>
  </r>
  <r>
    <x v="181"/>
    <d v="2025-01-13T00:00:00"/>
    <s v="Central"/>
    <s v="Bristol"/>
    <s v="Cappuccino"/>
    <s v="Drink"/>
    <n v="2"/>
    <n v="3.8"/>
    <s v="Cash"/>
    <s v="C1508"/>
    <n v="7.6"/>
    <s v="Monday"/>
    <s v="January"/>
    <n v="2025"/>
  </r>
  <r>
    <x v="182"/>
    <d v="2025-01-13T00:00:00"/>
    <s v="High Street"/>
    <s v="Manchester"/>
    <s v="Muffin"/>
    <s v="Food"/>
    <n v="3"/>
    <n v="2.2000000000000002"/>
    <s v="Cash"/>
    <s v="C1919"/>
    <n v="6.6000000000000005"/>
    <s v="Monday"/>
    <s v="January"/>
    <n v="2025"/>
  </r>
  <r>
    <x v="183"/>
    <d v="2025-01-13T00:00:00"/>
    <s v="Station"/>
    <s v="London"/>
    <s v="Croissant"/>
    <s v="Food"/>
    <n v="1"/>
    <n v="2.8"/>
    <s v="Apple Pay"/>
    <s v="C1390"/>
    <n v="2.8"/>
    <s v="Monday"/>
    <s v="January"/>
    <n v="2025"/>
  </r>
  <r>
    <x v="184"/>
    <d v="2025-01-13T00:00:00"/>
    <s v="Station"/>
    <s v="Birmingham"/>
    <s v="Muffin"/>
    <s v="Food"/>
    <n v="1"/>
    <n v="2.2000000000000002"/>
    <s v="Card"/>
    <s v="C1639"/>
    <n v="2.2000000000000002"/>
    <s v="Monday"/>
    <s v="January"/>
    <n v="2025"/>
  </r>
  <r>
    <x v="185"/>
    <d v="2025-01-13T00:00:00"/>
    <s v="Station"/>
    <s v="Bristol"/>
    <s v="Muffin"/>
    <s v="Food"/>
    <n v="1"/>
    <n v="2.2000000000000002"/>
    <s v="Apple Pay"/>
    <s v="C1973"/>
    <n v="2.2000000000000002"/>
    <s v="Monday"/>
    <s v="January"/>
    <n v="2025"/>
  </r>
  <r>
    <x v="186"/>
    <d v="2025-01-14T00:00:00"/>
    <s v="Station"/>
    <s v="London"/>
    <s v="Cappuccino"/>
    <s v="Drink"/>
    <n v="5"/>
    <n v="3.8"/>
    <s v="Cash"/>
    <s v="C1483"/>
    <n v="19"/>
    <s v="Tuesday"/>
    <s v="January"/>
    <n v="2025"/>
  </r>
  <r>
    <x v="187"/>
    <d v="2025-01-14T00:00:00"/>
    <s v="Riverside"/>
    <s v="Birmingham"/>
    <s v="Cappuccino"/>
    <s v="Drink"/>
    <n v="5"/>
    <n v="3.8"/>
    <s v="Card"/>
    <s v="C1844"/>
    <n v="19"/>
    <s v="Tuesday"/>
    <s v="January"/>
    <n v="2025"/>
  </r>
  <r>
    <x v="188"/>
    <d v="2025-01-14T00:00:00"/>
    <s v="Station"/>
    <s v="Bristol"/>
    <s v="Latte"/>
    <s v="Drink"/>
    <n v="4"/>
    <n v="3.5"/>
    <s v="Cash"/>
    <s v="C1194"/>
    <n v="14"/>
    <s v="Tuesday"/>
    <s v="January"/>
    <n v="2025"/>
  </r>
  <r>
    <x v="189"/>
    <d v="2025-01-14T00:00:00"/>
    <s v="Riverside"/>
    <s v="Leeds"/>
    <s v="Croissant"/>
    <s v="Food"/>
    <n v="5"/>
    <n v="2.8"/>
    <s v="Card"/>
    <s v="C1012"/>
    <n v="14"/>
    <s v="Tuesday"/>
    <s v="January"/>
    <n v="2025"/>
  </r>
  <r>
    <x v="190"/>
    <d v="2025-01-14T00:00:00"/>
    <s v="Riverside"/>
    <s v="London"/>
    <s v="Croissant"/>
    <s v="Food"/>
    <n v="5"/>
    <n v="2.8"/>
    <s v="Card"/>
    <s v="C1158"/>
    <n v="14"/>
    <s v="Tuesday"/>
    <s v="January"/>
    <n v="2025"/>
  </r>
  <r>
    <x v="191"/>
    <d v="2025-01-14T00:00:00"/>
    <s v="Riverside"/>
    <s v="Birmingham"/>
    <s v="Espresso"/>
    <s v="Drink"/>
    <n v="5"/>
    <n v="2.5"/>
    <s v="Cash"/>
    <s v="C1984"/>
    <n v="12.5"/>
    <s v="Tuesday"/>
    <s v="January"/>
    <n v="2025"/>
  </r>
  <r>
    <x v="192"/>
    <d v="2025-01-14T00:00:00"/>
    <s v="High Street"/>
    <s v="London"/>
    <s v="Cappuccino"/>
    <s v="Drink"/>
    <n v="3"/>
    <n v="3.8"/>
    <s v="Card"/>
    <s v="C1645"/>
    <n v="11.399999999999999"/>
    <s v="Tuesday"/>
    <s v="January"/>
    <n v="2025"/>
  </r>
  <r>
    <x v="193"/>
    <d v="2025-01-14T00:00:00"/>
    <s v="High Street"/>
    <s v="Bristol"/>
    <s v="Muffin"/>
    <s v="Food"/>
    <n v="5"/>
    <n v="2.2000000000000002"/>
    <s v="Apple Pay"/>
    <s v="C1559"/>
    <n v="11"/>
    <s v="Tuesday"/>
    <s v="January"/>
    <n v="2025"/>
  </r>
  <r>
    <x v="194"/>
    <d v="2025-01-14T00:00:00"/>
    <s v="High Street"/>
    <s v="Birmingham"/>
    <s v="Espresso"/>
    <s v="Drink"/>
    <n v="4"/>
    <n v="2.5"/>
    <s v="Apple Pay"/>
    <s v="C1705"/>
    <n v="10"/>
    <s v="Tuesday"/>
    <s v="January"/>
    <n v="2025"/>
  </r>
  <r>
    <x v="195"/>
    <d v="2025-01-14T00:00:00"/>
    <s v="Station"/>
    <s v="Manchester"/>
    <s v="Espresso"/>
    <s v="Drink"/>
    <n v="3"/>
    <n v="2.5"/>
    <s v="Card"/>
    <s v="C1719"/>
    <n v="7.5"/>
    <s v="Tuesday"/>
    <s v="January"/>
    <n v="2025"/>
  </r>
  <r>
    <x v="196"/>
    <d v="2025-01-14T00:00:00"/>
    <s v="High Street"/>
    <s v="London"/>
    <s v="Latte"/>
    <s v="Drink"/>
    <n v="2"/>
    <n v="3.5"/>
    <s v="Card"/>
    <s v="C1880"/>
    <n v="7"/>
    <s v="Tuesday"/>
    <s v="January"/>
    <n v="2025"/>
  </r>
  <r>
    <x v="197"/>
    <d v="2025-01-14T00:00:00"/>
    <s v="Station"/>
    <s v="Bristol"/>
    <s v="Croissant"/>
    <s v="Food"/>
    <n v="2"/>
    <n v="2.8"/>
    <s v="Apple Pay"/>
    <s v="C1912"/>
    <n v="5.6"/>
    <s v="Tuesday"/>
    <s v="January"/>
    <n v="2025"/>
  </r>
  <r>
    <x v="198"/>
    <d v="2025-01-14T00:00:00"/>
    <s v="High Street"/>
    <s v="London"/>
    <s v="Latte"/>
    <s v="Drink"/>
    <n v="1"/>
    <n v="3.5"/>
    <s v="Card"/>
    <s v="C1008"/>
    <n v="3.5"/>
    <s v="Tuesday"/>
    <s v="January"/>
    <n v="2025"/>
  </r>
  <r>
    <x v="199"/>
    <d v="2025-01-14T00:00:00"/>
    <s v="High Street"/>
    <s v="Manchester"/>
    <s v="Croissant"/>
    <s v="Food"/>
    <n v="1"/>
    <n v="2.8"/>
    <s v="Card"/>
    <s v="C1361"/>
    <n v="2.8"/>
    <s v="Tuesday"/>
    <s v="January"/>
    <n v="2025"/>
  </r>
  <r>
    <x v="200"/>
    <d v="2025-01-15T00:00:00"/>
    <s v="Central"/>
    <s v="Birmingham"/>
    <s v="Croissant"/>
    <s v="Food"/>
    <n v="4"/>
    <n v="2.8"/>
    <s v="Apple Pay"/>
    <s v="C1448"/>
    <n v="11.2"/>
    <s v="Wednesday"/>
    <s v="January"/>
    <n v="2025"/>
  </r>
  <r>
    <x v="201"/>
    <d v="2025-01-15T00:00:00"/>
    <s v="High Street"/>
    <s v="Birmingham"/>
    <s v="Latte"/>
    <s v="Drink"/>
    <n v="3"/>
    <n v="3.5"/>
    <s v="Cash"/>
    <s v="C1284"/>
    <n v="10.5"/>
    <s v="Wednesday"/>
    <s v="January"/>
    <n v="2025"/>
  </r>
  <r>
    <x v="202"/>
    <d v="2025-01-15T00:00:00"/>
    <s v="Station"/>
    <s v="Bristol"/>
    <s v="Latte"/>
    <s v="Drink"/>
    <n v="3"/>
    <n v="3.5"/>
    <s v="Cash"/>
    <s v="C1680"/>
    <n v="10.5"/>
    <s v="Wednesday"/>
    <s v="January"/>
    <n v="2025"/>
  </r>
  <r>
    <x v="203"/>
    <d v="2025-01-15T00:00:00"/>
    <s v="Central"/>
    <s v="Manchester"/>
    <s v="Muffin"/>
    <s v="Food"/>
    <n v="4"/>
    <n v="2.2000000000000002"/>
    <s v="Apple Pay"/>
    <s v="C1507"/>
    <n v="8.8000000000000007"/>
    <s v="Wednesday"/>
    <s v="January"/>
    <n v="2025"/>
  </r>
  <r>
    <x v="204"/>
    <d v="2025-01-15T00:00:00"/>
    <s v="Station"/>
    <s v="Birmingham"/>
    <s v="Croissant"/>
    <s v="Food"/>
    <n v="3"/>
    <n v="2.8"/>
    <s v="Card"/>
    <s v="C1582"/>
    <n v="8.3999999999999986"/>
    <s v="Wednesday"/>
    <s v="January"/>
    <n v="2025"/>
  </r>
  <r>
    <x v="205"/>
    <d v="2025-01-15T00:00:00"/>
    <s v="Riverside"/>
    <s v="Bristol"/>
    <s v="Croissant"/>
    <s v="Food"/>
    <n v="3"/>
    <n v="2.8"/>
    <s v="Cash"/>
    <s v="C1517"/>
    <n v="8.3999999999999986"/>
    <s v="Wednesday"/>
    <s v="January"/>
    <n v="2025"/>
  </r>
  <r>
    <x v="206"/>
    <d v="2025-01-15T00:00:00"/>
    <s v="Riverside"/>
    <s v="Birmingham"/>
    <s v="Espresso"/>
    <s v="Drink"/>
    <n v="3"/>
    <n v="2.5"/>
    <s v="Card"/>
    <s v="C1802"/>
    <n v="7.5"/>
    <s v="Wednesday"/>
    <s v="January"/>
    <n v="2025"/>
  </r>
  <r>
    <x v="207"/>
    <d v="2025-01-15T00:00:00"/>
    <s v="Riverside"/>
    <s v="Leeds"/>
    <s v="Croissant"/>
    <s v="Food"/>
    <n v="2"/>
    <n v="2.8"/>
    <s v="Cash"/>
    <s v="C1500"/>
    <n v="5.6"/>
    <s v="Wednesday"/>
    <s v="January"/>
    <n v="2025"/>
  </r>
  <r>
    <x v="208"/>
    <d v="2025-01-15T00:00:00"/>
    <s v="High Street"/>
    <s v="Birmingham"/>
    <s v="Latte"/>
    <s v="Drink"/>
    <n v="1"/>
    <n v="3.5"/>
    <s v="Apple Pay"/>
    <s v="C1455"/>
    <n v="3.5"/>
    <s v="Wednesday"/>
    <s v="January"/>
    <n v="2025"/>
  </r>
  <r>
    <x v="209"/>
    <d v="2025-01-15T00:00:00"/>
    <s v="High Street"/>
    <s v="Leeds"/>
    <s v="Espresso"/>
    <s v="Drink"/>
    <n v="1"/>
    <n v="2.5"/>
    <s v="Card"/>
    <s v="C1606"/>
    <n v="2.5"/>
    <s v="Wednesday"/>
    <s v="January"/>
    <n v="2025"/>
  </r>
  <r>
    <x v="210"/>
    <d v="2025-01-16T00:00:00"/>
    <s v="Station"/>
    <s v="Manchester"/>
    <s v="Cappuccino"/>
    <s v="Drink"/>
    <n v="4"/>
    <n v="3.8"/>
    <s v="Card"/>
    <s v="C1865"/>
    <n v="15.2"/>
    <s v="Thursday"/>
    <s v="January"/>
    <n v="2025"/>
  </r>
  <r>
    <x v="211"/>
    <d v="2025-01-16T00:00:00"/>
    <s v="Central"/>
    <s v="Bristol"/>
    <s v="Cappuccino"/>
    <s v="Drink"/>
    <n v="4"/>
    <n v="3.8"/>
    <s v="Cash"/>
    <s v="C1706"/>
    <n v="15.2"/>
    <s v="Thursday"/>
    <s v="January"/>
    <n v="2025"/>
  </r>
  <r>
    <x v="212"/>
    <d v="2025-01-16T00:00:00"/>
    <s v="High Street"/>
    <s v="Birmingham"/>
    <s v="Croissant"/>
    <s v="Food"/>
    <n v="5"/>
    <n v="2.8"/>
    <s v="Card"/>
    <s v="C1888"/>
    <n v="14"/>
    <s v="Thursday"/>
    <s v="January"/>
    <n v="2025"/>
  </r>
  <r>
    <x v="213"/>
    <d v="2025-01-16T00:00:00"/>
    <s v="High Street"/>
    <s v="London"/>
    <s v="Croissant"/>
    <s v="Food"/>
    <n v="5"/>
    <n v="2.8"/>
    <s v="Card"/>
    <s v="C1030"/>
    <n v="14"/>
    <s v="Thursday"/>
    <s v="January"/>
    <n v="2025"/>
  </r>
  <r>
    <x v="214"/>
    <d v="2025-01-16T00:00:00"/>
    <s v="Station"/>
    <s v="Birmingham"/>
    <s v="Croissant"/>
    <s v="Food"/>
    <n v="5"/>
    <n v="2.8"/>
    <s v="Card"/>
    <s v="C1657"/>
    <n v="14"/>
    <s v="Thursday"/>
    <s v="January"/>
    <n v="2025"/>
  </r>
  <r>
    <x v="215"/>
    <d v="2025-01-16T00:00:00"/>
    <s v="Riverside"/>
    <s v="Bristol"/>
    <s v="Espresso"/>
    <s v="Drink"/>
    <n v="5"/>
    <n v="2.5"/>
    <s v="Card"/>
    <s v="C1164"/>
    <n v="12.5"/>
    <s v="Thursday"/>
    <s v="January"/>
    <n v="2025"/>
  </r>
  <r>
    <x v="216"/>
    <d v="2025-01-16T00:00:00"/>
    <s v="Riverside"/>
    <s v="Birmingham"/>
    <s v="Cappuccino"/>
    <s v="Drink"/>
    <n v="3"/>
    <n v="3.8"/>
    <s v="Apple Pay"/>
    <s v="C1659"/>
    <n v="11.399999999999999"/>
    <s v="Thursday"/>
    <s v="January"/>
    <n v="2025"/>
  </r>
  <r>
    <x v="217"/>
    <d v="2025-01-16T00:00:00"/>
    <s v="Station"/>
    <s v="Birmingham"/>
    <s v="Croissant"/>
    <s v="Food"/>
    <n v="4"/>
    <n v="2.8"/>
    <s v="Cash"/>
    <s v="C1761"/>
    <n v="11.2"/>
    <s v="Thursday"/>
    <s v="January"/>
    <n v="2025"/>
  </r>
  <r>
    <x v="218"/>
    <d v="2025-01-16T00:00:00"/>
    <s v="High Street"/>
    <s v="Leeds"/>
    <s v="Latte"/>
    <s v="Drink"/>
    <n v="3"/>
    <n v="3.5"/>
    <s v="Cash"/>
    <s v="C1613"/>
    <n v="10.5"/>
    <s v="Thursday"/>
    <s v="January"/>
    <n v="2025"/>
  </r>
  <r>
    <x v="219"/>
    <d v="2025-01-16T00:00:00"/>
    <s v="Station"/>
    <s v="Bristol"/>
    <s v="Latte"/>
    <s v="Drink"/>
    <n v="3"/>
    <n v="3.5"/>
    <s v="Card"/>
    <s v="C1887"/>
    <n v="10.5"/>
    <s v="Thursday"/>
    <s v="January"/>
    <n v="2025"/>
  </r>
  <r>
    <x v="220"/>
    <d v="2025-01-16T00:00:00"/>
    <s v="Central"/>
    <s v="Bristol"/>
    <s v="Latte"/>
    <s v="Drink"/>
    <n v="2"/>
    <n v="3.5"/>
    <s v="Cash"/>
    <s v="C1728"/>
    <n v="7"/>
    <s v="Thursday"/>
    <s v="January"/>
    <n v="2025"/>
  </r>
  <r>
    <x v="221"/>
    <d v="2025-01-16T00:00:00"/>
    <s v="Riverside"/>
    <s v="Manchester"/>
    <s v="Muffin"/>
    <s v="Food"/>
    <n v="3"/>
    <n v="2.2000000000000002"/>
    <s v="Card"/>
    <s v="C1240"/>
    <n v="6.6000000000000005"/>
    <s v="Thursday"/>
    <s v="January"/>
    <n v="2025"/>
  </r>
  <r>
    <x v="222"/>
    <d v="2025-01-16T00:00:00"/>
    <s v="Station"/>
    <s v="Manchester"/>
    <s v="Espresso"/>
    <s v="Drink"/>
    <n v="2"/>
    <n v="2.5"/>
    <s v="Cash"/>
    <s v="C1851"/>
    <n v="5"/>
    <s v="Thursday"/>
    <s v="January"/>
    <n v="2025"/>
  </r>
  <r>
    <x v="223"/>
    <d v="2025-01-16T00:00:00"/>
    <s v="Station"/>
    <s v="London"/>
    <s v="Espresso"/>
    <s v="Drink"/>
    <n v="1"/>
    <n v="2.5"/>
    <s v="Cash"/>
    <s v="C1272"/>
    <n v="2.5"/>
    <s v="Thursday"/>
    <s v="January"/>
    <n v="2025"/>
  </r>
  <r>
    <x v="224"/>
    <d v="2025-01-16T00:00:00"/>
    <s v="Station"/>
    <s v="Bristol"/>
    <s v="Muffin"/>
    <s v="Food"/>
    <n v="1"/>
    <n v="2.2000000000000002"/>
    <s v="Apple Pay"/>
    <s v="C1298"/>
    <n v="2.2000000000000002"/>
    <s v="Thursday"/>
    <s v="January"/>
    <n v="2025"/>
  </r>
  <r>
    <x v="225"/>
    <d v="2025-01-17T00:00:00"/>
    <s v="Riverside"/>
    <s v="London"/>
    <s v="Cappuccino"/>
    <s v="Drink"/>
    <n v="4"/>
    <n v="3.8"/>
    <s v="Card"/>
    <s v="C1540"/>
    <n v="15.2"/>
    <s v="Friday"/>
    <s v="January"/>
    <n v="2025"/>
  </r>
  <r>
    <x v="226"/>
    <d v="2025-01-17T00:00:00"/>
    <s v="High Street"/>
    <s v="Manchester"/>
    <s v="Croissant"/>
    <s v="Food"/>
    <n v="5"/>
    <n v="2.8"/>
    <s v="Card"/>
    <s v="C1251"/>
    <n v="14"/>
    <s v="Friday"/>
    <s v="January"/>
    <n v="2025"/>
  </r>
  <r>
    <x v="227"/>
    <d v="2025-01-17T00:00:00"/>
    <s v="Station"/>
    <s v="Manchester"/>
    <s v="Cappuccino"/>
    <s v="Drink"/>
    <n v="3"/>
    <n v="3.8"/>
    <s v="Cash"/>
    <s v="C1460"/>
    <n v="11.399999999999999"/>
    <s v="Friday"/>
    <s v="January"/>
    <n v="2025"/>
  </r>
  <r>
    <x v="228"/>
    <d v="2025-01-17T00:00:00"/>
    <s v="High Street"/>
    <s v="Leeds"/>
    <s v="Cappuccino"/>
    <s v="Drink"/>
    <n v="3"/>
    <n v="3.8"/>
    <s v="Cash"/>
    <s v="C1486"/>
    <n v="11.399999999999999"/>
    <s v="Friday"/>
    <s v="January"/>
    <n v="2025"/>
  </r>
  <r>
    <x v="229"/>
    <d v="2025-01-17T00:00:00"/>
    <s v="Central"/>
    <s v="London"/>
    <s v="Croissant"/>
    <s v="Food"/>
    <n v="4"/>
    <n v="2.8"/>
    <s v="Card"/>
    <s v="C1223"/>
    <n v="11.2"/>
    <s v="Friday"/>
    <s v="January"/>
    <n v="2025"/>
  </r>
  <r>
    <x v="230"/>
    <d v="2025-01-17T00:00:00"/>
    <s v="Riverside"/>
    <s v="Birmingham"/>
    <s v="Espresso"/>
    <s v="Drink"/>
    <n v="4"/>
    <n v="2.5"/>
    <s v="Card"/>
    <s v="C1440"/>
    <n v="10"/>
    <s v="Friday"/>
    <s v="January"/>
    <n v="2025"/>
  </r>
  <r>
    <x v="231"/>
    <d v="2025-01-17T00:00:00"/>
    <s v="Central"/>
    <s v="London"/>
    <s v="Muffin"/>
    <s v="Food"/>
    <n v="4"/>
    <n v="2.2000000000000002"/>
    <s v="Card"/>
    <s v="C1999"/>
    <n v="8.8000000000000007"/>
    <s v="Friday"/>
    <s v="January"/>
    <n v="2025"/>
  </r>
  <r>
    <x v="232"/>
    <d v="2025-01-17T00:00:00"/>
    <s v="Riverside"/>
    <s v="Manchester"/>
    <s v="Cappuccino"/>
    <s v="Drink"/>
    <n v="2"/>
    <n v="3.8"/>
    <s v="Cash"/>
    <s v="C1200"/>
    <n v="7.6"/>
    <s v="Friday"/>
    <s v="January"/>
    <n v="2025"/>
  </r>
  <r>
    <x v="233"/>
    <d v="2025-01-17T00:00:00"/>
    <s v="Riverside"/>
    <s v="Bristol"/>
    <s v="Espresso"/>
    <s v="Drink"/>
    <n v="3"/>
    <n v="2.5"/>
    <s v="Cash"/>
    <s v="C1816"/>
    <n v="7.5"/>
    <s v="Friday"/>
    <s v="January"/>
    <n v="2025"/>
  </r>
  <r>
    <x v="234"/>
    <d v="2025-01-17T00:00:00"/>
    <s v="Station"/>
    <s v="Manchester"/>
    <s v="Espresso"/>
    <s v="Drink"/>
    <n v="3"/>
    <n v="2.5"/>
    <s v="Apple Pay"/>
    <s v="C1149"/>
    <n v="7.5"/>
    <s v="Friday"/>
    <s v="January"/>
    <n v="2025"/>
  </r>
  <r>
    <x v="235"/>
    <d v="2025-01-17T00:00:00"/>
    <s v="Station"/>
    <s v="Manchester"/>
    <s v="Muffin"/>
    <s v="Food"/>
    <n v="3"/>
    <n v="2.2000000000000002"/>
    <s v="Cash"/>
    <s v="C1689"/>
    <n v="6.6000000000000005"/>
    <s v="Friday"/>
    <s v="January"/>
    <n v="2025"/>
  </r>
  <r>
    <x v="236"/>
    <d v="2025-01-17T00:00:00"/>
    <s v="Riverside"/>
    <s v="Leeds"/>
    <s v="Muffin"/>
    <s v="Food"/>
    <n v="2"/>
    <n v="2.2000000000000002"/>
    <s v="Cash"/>
    <s v="C1759"/>
    <n v="4.4000000000000004"/>
    <s v="Friday"/>
    <s v="January"/>
    <n v="2025"/>
  </r>
  <r>
    <x v="237"/>
    <d v="2025-01-17T00:00:00"/>
    <s v="High Street"/>
    <s v="Bristol"/>
    <s v="Cappuccino"/>
    <s v="Drink"/>
    <n v="1"/>
    <n v="3.8"/>
    <s v="Card"/>
    <s v="C1144"/>
    <n v="3.8"/>
    <s v="Friday"/>
    <s v="January"/>
    <n v="2025"/>
  </r>
  <r>
    <x v="238"/>
    <d v="2025-01-17T00:00:00"/>
    <s v="Station"/>
    <s v="Manchester"/>
    <s v="Latte"/>
    <s v="Drink"/>
    <n v="1"/>
    <n v="3.5"/>
    <s v="Apple Pay"/>
    <s v="C1204"/>
    <n v="3.5"/>
    <s v="Friday"/>
    <s v="January"/>
    <n v="2025"/>
  </r>
  <r>
    <x v="239"/>
    <d v="2025-01-18T00:00:00"/>
    <s v="Central"/>
    <s v="Birmingham"/>
    <s v="Latte"/>
    <s v="Drink"/>
    <n v="5"/>
    <n v="3.5"/>
    <s v="Apple Pay"/>
    <s v="C1607"/>
    <n v="17.5"/>
    <s v="Saturday"/>
    <s v="January"/>
    <n v="2025"/>
  </r>
  <r>
    <x v="240"/>
    <d v="2025-01-18T00:00:00"/>
    <s v="High Street"/>
    <s v="Manchester"/>
    <s v="Muffin"/>
    <s v="Food"/>
    <n v="5"/>
    <n v="2.2000000000000002"/>
    <s v="Card"/>
    <s v="C1316"/>
    <n v="11"/>
    <s v="Saturday"/>
    <s v="January"/>
    <n v="2025"/>
  </r>
  <r>
    <x v="241"/>
    <d v="2025-01-18T00:00:00"/>
    <s v="High Street"/>
    <s v="Manchester"/>
    <s v="Croissant"/>
    <s v="Food"/>
    <n v="3"/>
    <n v="2.8"/>
    <s v="Cash"/>
    <s v="C1911"/>
    <n v="8.3999999999999986"/>
    <s v="Saturday"/>
    <s v="January"/>
    <n v="2025"/>
  </r>
  <r>
    <x v="242"/>
    <d v="2025-01-18T00:00:00"/>
    <s v="Riverside"/>
    <s v="Leeds"/>
    <s v="Latte"/>
    <s v="Drink"/>
    <n v="2"/>
    <n v="3.5"/>
    <s v="Cash"/>
    <s v="C1231"/>
    <n v="7"/>
    <s v="Saturday"/>
    <s v="January"/>
    <n v="2025"/>
  </r>
  <r>
    <x v="243"/>
    <d v="2025-01-18T00:00:00"/>
    <s v="Riverside"/>
    <s v="Leeds"/>
    <s v="Muffin"/>
    <s v="Food"/>
    <n v="3"/>
    <n v="2.2000000000000002"/>
    <s v="Apple Pay"/>
    <s v="C1393"/>
    <n v="6.6000000000000005"/>
    <s v="Saturday"/>
    <s v="January"/>
    <n v="2025"/>
  </r>
  <r>
    <x v="244"/>
    <d v="2025-01-18T00:00:00"/>
    <s v="High Street"/>
    <s v="London"/>
    <s v="Muffin"/>
    <s v="Food"/>
    <n v="3"/>
    <n v="2.2000000000000002"/>
    <s v="Cash"/>
    <s v="C1327"/>
    <n v="6.6000000000000005"/>
    <s v="Saturday"/>
    <s v="January"/>
    <n v="2025"/>
  </r>
  <r>
    <x v="245"/>
    <d v="2025-01-18T00:00:00"/>
    <s v="Riverside"/>
    <s v="London"/>
    <s v="Muffin"/>
    <s v="Food"/>
    <n v="2"/>
    <n v="2.2000000000000002"/>
    <s v="Cash"/>
    <s v="C1736"/>
    <n v="4.4000000000000004"/>
    <s v="Saturday"/>
    <s v="January"/>
    <n v="2025"/>
  </r>
  <r>
    <x v="246"/>
    <d v="2025-01-19T00:00:00"/>
    <s v="Station"/>
    <s v="Bristol"/>
    <s v="Croissant"/>
    <s v="Food"/>
    <n v="5"/>
    <n v="2.8"/>
    <s v="Card"/>
    <s v="C1267"/>
    <n v="14"/>
    <s v="Sunday"/>
    <s v="January"/>
    <n v="2025"/>
  </r>
  <r>
    <x v="247"/>
    <d v="2025-01-19T00:00:00"/>
    <s v="Riverside"/>
    <s v="Leeds"/>
    <s v="Croissant"/>
    <s v="Food"/>
    <n v="5"/>
    <n v="2.8"/>
    <s v="Card"/>
    <s v="C1342"/>
    <n v="14"/>
    <s v="Sunday"/>
    <s v="January"/>
    <n v="2025"/>
  </r>
  <r>
    <x v="248"/>
    <d v="2025-01-19T00:00:00"/>
    <s v="Riverside"/>
    <s v="Birmingham"/>
    <s v="Croissant"/>
    <s v="Food"/>
    <n v="4"/>
    <n v="2.8"/>
    <s v="Cash"/>
    <s v="C1312"/>
    <n v="11.2"/>
    <s v="Sunday"/>
    <s v="January"/>
    <n v="2025"/>
  </r>
  <r>
    <x v="249"/>
    <d v="2025-01-19T00:00:00"/>
    <s v="Riverside"/>
    <s v="Birmingham"/>
    <s v="Muffin"/>
    <s v="Food"/>
    <n v="4"/>
    <n v="2.2000000000000002"/>
    <s v="Apple Pay"/>
    <s v="C1293"/>
    <n v="8.8000000000000007"/>
    <s v="Sunday"/>
    <s v="January"/>
    <n v="2025"/>
  </r>
  <r>
    <x v="250"/>
    <d v="2025-01-19T00:00:00"/>
    <s v="Station"/>
    <s v="Manchester"/>
    <s v="Espresso"/>
    <s v="Drink"/>
    <n v="3"/>
    <n v="2.5"/>
    <s v="Apple Pay"/>
    <s v="C1407"/>
    <n v="7.5"/>
    <s v="Sunday"/>
    <s v="January"/>
    <n v="2025"/>
  </r>
  <r>
    <x v="251"/>
    <d v="2025-01-19T00:00:00"/>
    <s v="Riverside"/>
    <s v="London"/>
    <s v="Muffin"/>
    <s v="Food"/>
    <n v="3"/>
    <n v="2.2000000000000002"/>
    <s v="Apple Pay"/>
    <s v="C1162"/>
    <n v="6.6000000000000005"/>
    <s v="Sunday"/>
    <s v="January"/>
    <n v="2025"/>
  </r>
  <r>
    <x v="252"/>
    <d v="2025-01-19T00:00:00"/>
    <s v="Station"/>
    <s v="Bristol"/>
    <s v="Cappuccino"/>
    <s v="Drink"/>
    <n v="1"/>
    <n v="3.8"/>
    <s v="Apple Pay"/>
    <s v="C1356"/>
    <n v="3.8"/>
    <s v="Sunday"/>
    <s v="January"/>
    <n v="2025"/>
  </r>
  <r>
    <x v="253"/>
    <d v="2025-01-19T00:00:00"/>
    <s v="Riverside"/>
    <s v="Leeds"/>
    <s v="Croissant"/>
    <s v="Food"/>
    <n v="1"/>
    <n v="2.8"/>
    <s v="Card"/>
    <s v="C1826"/>
    <n v="2.8"/>
    <s v="Sunday"/>
    <s v="January"/>
    <n v="2025"/>
  </r>
  <r>
    <x v="254"/>
    <d v="2025-01-19T00:00:00"/>
    <s v="High Street"/>
    <s v="Birmingham"/>
    <s v="Croissant"/>
    <s v="Food"/>
    <n v="1"/>
    <n v="2.8"/>
    <s v="Card"/>
    <s v="C1469"/>
    <n v="2.8"/>
    <s v="Sunday"/>
    <s v="January"/>
    <n v="2025"/>
  </r>
  <r>
    <x v="255"/>
    <d v="2025-01-19T00:00:00"/>
    <s v="High Street"/>
    <s v="Manchester"/>
    <s v="Espresso"/>
    <s v="Drink"/>
    <n v="1"/>
    <n v="2.5"/>
    <s v="Apple Pay"/>
    <s v="C1846"/>
    <n v="2.5"/>
    <s v="Sunday"/>
    <s v="January"/>
    <n v="2025"/>
  </r>
  <r>
    <x v="256"/>
    <d v="2025-01-20T00:00:00"/>
    <s v="Riverside"/>
    <s v="Bristol"/>
    <s v="Cappuccino"/>
    <s v="Drink"/>
    <n v="4"/>
    <n v="3.8"/>
    <s v="Apple Pay"/>
    <s v="C1548"/>
    <n v="15.2"/>
    <s v="Monday"/>
    <s v="January"/>
    <n v="2025"/>
  </r>
  <r>
    <x v="257"/>
    <d v="2025-01-20T00:00:00"/>
    <s v="Station"/>
    <s v="Manchester"/>
    <s v="Cappuccino"/>
    <s v="Drink"/>
    <n v="3"/>
    <n v="3.8"/>
    <s v="Apple Pay"/>
    <s v="C1516"/>
    <n v="11.399999999999999"/>
    <s v="Monday"/>
    <s v="January"/>
    <n v="2025"/>
  </r>
  <r>
    <x v="258"/>
    <d v="2025-01-20T00:00:00"/>
    <s v="Central"/>
    <s v="Birmingham"/>
    <s v="Muffin"/>
    <s v="Food"/>
    <n v="5"/>
    <n v="2.2000000000000002"/>
    <s v="Apple Pay"/>
    <s v="C1343"/>
    <n v="11"/>
    <s v="Monday"/>
    <s v="January"/>
    <n v="2025"/>
  </r>
  <r>
    <x v="259"/>
    <d v="2025-01-20T00:00:00"/>
    <s v="Riverside"/>
    <s v="London"/>
    <s v="Muffin"/>
    <s v="Food"/>
    <n v="5"/>
    <n v="2.2000000000000002"/>
    <s v="Cash"/>
    <s v="C1672"/>
    <n v="11"/>
    <s v="Monday"/>
    <s v="January"/>
    <n v="2025"/>
  </r>
  <r>
    <x v="260"/>
    <d v="2025-01-20T00:00:00"/>
    <s v="High Street"/>
    <s v="Leeds"/>
    <s v="Latte"/>
    <s v="Drink"/>
    <n v="3"/>
    <n v="3.5"/>
    <s v="Card"/>
    <s v="C1180"/>
    <n v="10.5"/>
    <s v="Monday"/>
    <s v="January"/>
    <n v="2025"/>
  </r>
  <r>
    <x v="261"/>
    <d v="2025-01-20T00:00:00"/>
    <s v="Riverside"/>
    <s v="Bristol"/>
    <s v="Espresso"/>
    <s v="Drink"/>
    <n v="4"/>
    <n v="2.5"/>
    <s v="Apple Pay"/>
    <s v="C1172"/>
    <n v="10"/>
    <s v="Monday"/>
    <s v="January"/>
    <n v="2025"/>
  </r>
  <r>
    <x v="262"/>
    <d v="2025-01-20T00:00:00"/>
    <s v="Riverside"/>
    <s v="Leeds"/>
    <s v="Espresso"/>
    <s v="Drink"/>
    <n v="4"/>
    <n v="2.5"/>
    <s v="Cash"/>
    <s v="C1903"/>
    <n v="10"/>
    <s v="Monday"/>
    <s v="January"/>
    <n v="2025"/>
  </r>
  <r>
    <x v="263"/>
    <d v="2025-01-20T00:00:00"/>
    <s v="Central"/>
    <s v="Birmingham"/>
    <s v="Cappuccino"/>
    <s v="Drink"/>
    <n v="2"/>
    <n v="3.8"/>
    <s v="Card"/>
    <s v="C1674"/>
    <n v="7.6"/>
    <s v="Monday"/>
    <s v="January"/>
    <n v="2025"/>
  </r>
  <r>
    <x v="264"/>
    <d v="2025-01-20T00:00:00"/>
    <s v="Riverside"/>
    <s v="Birmingham"/>
    <s v="Cappuccino"/>
    <s v="Drink"/>
    <n v="1"/>
    <n v="3.8"/>
    <s v="Card"/>
    <s v="C1936"/>
    <n v="3.8"/>
    <s v="Monday"/>
    <s v="January"/>
    <n v="2025"/>
  </r>
  <r>
    <x v="265"/>
    <d v="2025-01-20T00:00:00"/>
    <s v="High Street"/>
    <s v="Birmingham"/>
    <s v="Latte"/>
    <s v="Drink"/>
    <n v="1"/>
    <n v="3.5"/>
    <s v="Card"/>
    <s v="C1853"/>
    <n v="3.5"/>
    <s v="Monday"/>
    <s v="January"/>
    <n v="2025"/>
  </r>
  <r>
    <x v="266"/>
    <d v="2025-01-20T00:00:00"/>
    <s v="High Street"/>
    <s v="London"/>
    <s v="Latte"/>
    <s v="Drink"/>
    <n v="1"/>
    <n v="3.5"/>
    <s v="Cash"/>
    <s v="C1099"/>
    <n v="3.5"/>
    <s v="Monday"/>
    <s v="January"/>
    <n v="2025"/>
  </r>
  <r>
    <x v="267"/>
    <d v="2025-01-20T00:00:00"/>
    <s v="High Street"/>
    <s v="Leeds"/>
    <s v="Espresso"/>
    <s v="Drink"/>
    <n v="1"/>
    <n v="2.5"/>
    <s v="Apple Pay"/>
    <s v="C1520"/>
    <n v="2.5"/>
    <s v="Monday"/>
    <s v="January"/>
    <n v="2025"/>
  </r>
  <r>
    <x v="268"/>
    <d v="2025-01-21T00:00:00"/>
    <s v="Central"/>
    <s v="Birmingham"/>
    <s v="Cappuccino"/>
    <s v="Drink"/>
    <n v="5"/>
    <n v="3.8"/>
    <s v="Card"/>
    <s v="C1820"/>
    <n v="19"/>
    <s v="Tuesday"/>
    <s v="January"/>
    <n v="2025"/>
  </r>
  <r>
    <x v="269"/>
    <d v="2025-01-21T00:00:00"/>
    <s v="Central"/>
    <s v="Bristol"/>
    <s v="Latte"/>
    <s v="Drink"/>
    <n v="5"/>
    <n v="3.5"/>
    <s v="Apple Pay"/>
    <s v="C1651"/>
    <n v="17.5"/>
    <s v="Tuesday"/>
    <s v="January"/>
    <n v="2025"/>
  </r>
  <r>
    <x v="270"/>
    <d v="2025-01-21T00:00:00"/>
    <s v="Central"/>
    <s v="Leeds"/>
    <s v="Latte"/>
    <s v="Drink"/>
    <n v="5"/>
    <n v="3.5"/>
    <s v="Apple Pay"/>
    <s v="C1848"/>
    <n v="17.5"/>
    <s v="Tuesday"/>
    <s v="January"/>
    <n v="2025"/>
  </r>
  <r>
    <x v="271"/>
    <d v="2025-01-21T00:00:00"/>
    <s v="Central"/>
    <s v="Bristol"/>
    <s v="Cappuccino"/>
    <s v="Drink"/>
    <n v="4"/>
    <n v="3.8"/>
    <s v="Apple Pay"/>
    <s v="C1735"/>
    <n v="15.2"/>
    <s v="Tuesday"/>
    <s v="January"/>
    <n v="2025"/>
  </r>
  <r>
    <x v="272"/>
    <d v="2025-01-21T00:00:00"/>
    <s v="High Street"/>
    <s v="Bristol"/>
    <s v="Croissant"/>
    <s v="Food"/>
    <n v="5"/>
    <n v="2.8"/>
    <s v="Card"/>
    <s v="C1045"/>
    <n v="14"/>
    <s v="Tuesday"/>
    <s v="January"/>
    <n v="2025"/>
  </r>
  <r>
    <x v="273"/>
    <d v="2025-01-21T00:00:00"/>
    <s v="Station"/>
    <s v="Bristol"/>
    <s v="Latte"/>
    <s v="Drink"/>
    <n v="4"/>
    <n v="3.5"/>
    <s v="Card"/>
    <s v="C1629"/>
    <n v="14"/>
    <s v="Tuesday"/>
    <s v="January"/>
    <n v="2025"/>
  </r>
  <r>
    <x v="274"/>
    <d v="2025-01-21T00:00:00"/>
    <s v="Central"/>
    <s v="London"/>
    <s v="Croissant"/>
    <s v="Food"/>
    <n v="5"/>
    <n v="2.8"/>
    <s v="Apple Pay"/>
    <s v="C1528"/>
    <n v="14"/>
    <s v="Tuesday"/>
    <s v="January"/>
    <n v="2025"/>
  </r>
  <r>
    <x v="275"/>
    <d v="2025-01-21T00:00:00"/>
    <s v="Central"/>
    <s v="Leeds"/>
    <s v="Cappuccino"/>
    <s v="Drink"/>
    <n v="3"/>
    <n v="3.8"/>
    <s v="Card"/>
    <s v="C1199"/>
    <n v="11.399999999999999"/>
    <s v="Tuesday"/>
    <s v="January"/>
    <n v="2025"/>
  </r>
  <r>
    <x v="276"/>
    <d v="2025-01-21T00:00:00"/>
    <s v="High Street"/>
    <s v="Birmingham"/>
    <s v="Latte"/>
    <s v="Drink"/>
    <n v="3"/>
    <n v="3.5"/>
    <s v="Apple Pay"/>
    <s v="C1395"/>
    <n v="10.5"/>
    <s v="Tuesday"/>
    <s v="January"/>
    <n v="2025"/>
  </r>
  <r>
    <x v="277"/>
    <d v="2025-01-21T00:00:00"/>
    <s v="Central"/>
    <s v="Manchester"/>
    <s v="Espresso"/>
    <s v="Drink"/>
    <n v="4"/>
    <n v="2.5"/>
    <s v="Apple Pay"/>
    <s v="C1182"/>
    <n v="10"/>
    <s v="Tuesday"/>
    <s v="January"/>
    <n v="2025"/>
  </r>
  <r>
    <x v="278"/>
    <d v="2025-01-21T00:00:00"/>
    <s v="Riverside"/>
    <s v="Bristol"/>
    <s v="Croissant"/>
    <s v="Food"/>
    <n v="3"/>
    <n v="2.8"/>
    <s v="Card"/>
    <s v="C1157"/>
    <n v="8.3999999999999986"/>
    <s v="Tuesday"/>
    <s v="January"/>
    <n v="2025"/>
  </r>
  <r>
    <x v="279"/>
    <d v="2025-01-21T00:00:00"/>
    <s v="Riverside"/>
    <s v="London"/>
    <s v="Cappuccino"/>
    <s v="Drink"/>
    <n v="2"/>
    <n v="3.8"/>
    <s v="Apple Pay"/>
    <s v="C1715"/>
    <n v="7.6"/>
    <s v="Tuesday"/>
    <s v="January"/>
    <n v="2025"/>
  </r>
  <r>
    <x v="280"/>
    <d v="2025-01-21T00:00:00"/>
    <s v="Central"/>
    <s v="Birmingham"/>
    <s v="Espresso"/>
    <s v="Drink"/>
    <n v="3"/>
    <n v="2.5"/>
    <s v="Cash"/>
    <s v="C1175"/>
    <n v="7.5"/>
    <s v="Tuesday"/>
    <s v="January"/>
    <n v="2025"/>
  </r>
  <r>
    <x v="281"/>
    <d v="2025-01-21T00:00:00"/>
    <s v="Central"/>
    <s v="N/A"/>
    <s v="Espresso"/>
    <s v="Drink"/>
    <n v="3"/>
    <n v="2.5"/>
    <s v="Cash"/>
    <s v="C1946"/>
    <n v="7.5"/>
    <s v="Tuesday"/>
    <s v="January"/>
    <n v="2025"/>
  </r>
  <r>
    <x v="282"/>
    <d v="2025-01-21T00:00:00"/>
    <s v="High Street"/>
    <s v="Bristol"/>
    <s v="Muffin"/>
    <s v="Food"/>
    <n v="3"/>
    <n v="2.2000000000000002"/>
    <s v="Apple Pay"/>
    <s v="C1630"/>
    <n v="6.6000000000000005"/>
    <s v="Tuesday"/>
    <s v="January"/>
    <n v="2025"/>
  </r>
  <r>
    <x v="283"/>
    <d v="2025-01-21T00:00:00"/>
    <s v="High Street"/>
    <s v="London"/>
    <s v="Croissant"/>
    <s v="Food"/>
    <n v="2"/>
    <n v="2.8"/>
    <s v="Apple Pay"/>
    <s v="C1290"/>
    <n v="5.6"/>
    <s v="Tuesday"/>
    <s v="January"/>
    <n v="2025"/>
  </r>
  <r>
    <x v="284"/>
    <d v="2025-01-21T00:00:00"/>
    <s v="Central"/>
    <s v="Manchester"/>
    <s v="Espresso"/>
    <s v="Drink"/>
    <n v="2"/>
    <n v="2.5"/>
    <s v="Apple Pay"/>
    <s v="C1290"/>
    <n v="5"/>
    <s v="Tuesday"/>
    <s v="January"/>
    <n v="2025"/>
  </r>
  <r>
    <x v="285"/>
    <d v="2025-01-21T00:00:00"/>
    <s v="Riverside"/>
    <s v="London"/>
    <s v="Espresso"/>
    <s v="Drink"/>
    <n v="2"/>
    <n v="2.5"/>
    <s v="Card"/>
    <s v="C1899"/>
    <n v="5"/>
    <s v="Tuesday"/>
    <s v="January"/>
    <n v="2025"/>
  </r>
  <r>
    <x v="286"/>
    <d v="2025-01-21T00:00:00"/>
    <s v="Riverside"/>
    <s v="Manchester"/>
    <s v="Espresso"/>
    <s v="Drink"/>
    <n v="2"/>
    <n v="2.5"/>
    <s v="Apple Pay"/>
    <s v="C1179"/>
    <n v="5"/>
    <s v="Tuesday"/>
    <s v="January"/>
    <n v="2025"/>
  </r>
  <r>
    <x v="287"/>
    <d v="2025-01-21T00:00:00"/>
    <s v="High Street"/>
    <s v="Birmingham"/>
    <s v="Croissant"/>
    <s v="Food"/>
    <n v="1"/>
    <n v="2.8"/>
    <s v="Apple Pay"/>
    <s v="C1184"/>
    <n v="2.8"/>
    <s v="Tuesday"/>
    <s v="January"/>
    <n v="2025"/>
  </r>
  <r>
    <x v="288"/>
    <d v="2025-01-21T00:00:00"/>
    <s v="Central"/>
    <s v="Bristol"/>
    <s v="Croissant"/>
    <s v="Food"/>
    <n v="1"/>
    <n v="2.8"/>
    <s v="Card"/>
    <s v="C1873"/>
    <n v="2.8"/>
    <s v="Tuesday"/>
    <s v="January"/>
    <n v="2025"/>
  </r>
  <r>
    <x v="289"/>
    <d v="2025-01-21T00:00:00"/>
    <s v="Central"/>
    <s v="Leeds"/>
    <s v="Croissant"/>
    <s v="Food"/>
    <n v="1"/>
    <n v="2.8"/>
    <s v="Apple Pay"/>
    <s v="C1892"/>
    <n v="2.8"/>
    <s v="Tuesday"/>
    <s v="January"/>
    <n v="2025"/>
  </r>
  <r>
    <x v="290"/>
    <d v="2025-01-21T00:00:00"/>
    <s v="Station"/>
    <s v="Leeds"/>
    <s v="Muffin"/>
    <s v="Food"/>
    <n v="1"/>
    <n v="2.2000000000000002"/>
    <s v="Apple Pay"/>
    <s v="C1261"/>
    <n v="2.2000000000000002"/>
    <s v="Tuesday"/>
    <s v="January"/>
    <n v="2025"/>
  </r>
  <r>
    <x v="291"/>
    <d v="2025-01-21T00:00:00"/>
    <s v="Central"/>
    <s v="London"/>
    <s v="Muffin"/>
    <s v="Food"/>
    <n v="1"/>
    <n v="2.2000000000000002"/>
    <s v="Card"/>
    <s v="C1205"/>
    <n v="2.2000000000000002"/>
    <s v="Tuesday"/>
    <s v="January"/>
    <n v="2025"/>
  </r>
  <r>
    <x v="292"/>
    <d v="2025-01-22T00:00:00"/>
    <s v="Station"/>
    <s v="Manchester"/>
    <s v="Croissant"/>
    <s v="Food"/>
    <n v="5"/>
    <n v="2.8"/>
    <s v="Cash"/>
    <s v="C1924"/>
    <n v="14"/>
    <s v="Wednesday"/>
    <s v="January"/>
    <n v="2025"/>
  </r>
  <r>
    <x v="293"/>
    <d v="2025-01-22T00:00:00"/>
    <s v="High Street"/>
    <s v="Bristol"/>
    <s v="Croissant"/>
    <s v="Food"/>
    <n v="5"/>
    <n v="2.8"/>
    <s v="Cash"/>
    <s v="C1377"/>
    <n v="14"/>
    <s v="Wednesday"/>
    <s v="January"/>
    <n v="2025"/>
  </r>
  <r>
    <x v="294"/>
    <d v="2025-01-22T00:00:00"/>
    <s v="High Street"/>
    <s v="Manchester"/>
    <s v="Cappuccino"/>
    <s v="Drink"/>
    <n v="3"/>
    <n v="3.8"/>
    <s v="Cash"/>
    <s v="C1455"/>
    <n v="11.399999999999999"/>
    <s v="Wednesday"/>
    <s v="January"/>
    <n v="2025"/>
  </r>
  <r>
    <x v="295"/>
    <d v="2025-01-22T00:00:00"/>
    <s v="Central"/>
    <s v="Leeds"/>
    <s v="Muffin"/>
    <s v="Food"/>
    <n v="5"/>
    <n v="2.2000000000000002"/>
    <s v="Apple Pay"/>
    <s v="C1777"/>
    <n v="11"/>
    <s v="Wednesday"/>
    <s v="January"/>
    <n v="2025"/>
  </r>
  <r>
    <x v="296"/>
    <d v="2025-01-22T00:00:00"/>
    <s v="Station"/>
    <s v="London"/>
    <s v="Muffin"/>
    <s v="Food"/>
    <n v="5"/>
    <n v="2.2000000000000002"/>
    <s v="Apple Pay"/>
    <s v="C1405"/>
    <n v="11"/>
    <s v="Wednesday"/>
    <s v="January"/>
    <n v="2025"/>
  </r>
  <r>
    <x v="297"/>
    <d v="2025-01-22T00:00:00"/>
    <s v="Central"/>
    <s v="London"/>
    <s v="Latte"/>
    <s v="Drink"/>
    <n v="3"/>
    <n v="3.5"/>
    <s v="Cash"/>
    <s v="C1237"/>
    <n v="10.5"/>
    <s v="Wednesday"/>
    <s v="January"/>
    <n v="2025"/>
  </r>
  <r>
    <x v="298"/>
    <d v="2025-01-22T00:00:00"/>
    <s v="High Street"/>
    <s v="Leeds"/>
    <s v="Latte"/>
    <s v="Drink"/>
    <n v="3"/>
    <n v="3.5"/>
    <s v="Cash"/>
    <s v="C1933"/>
    <n v="10.5"/>
    <s v="Wednesday"/>
    <s v="January"/>
    <n v="2025"/>
  </r>
  <r>
    <x v="299"/>
    <d v="2025-01-22T00:00:00"/>
    <s v="High Street"/>
    <s v="London"/>
    <s v="Muffin"/>
    <s v="Food"/>
    <n v="4"/>
    <n v="2.2000000000000002"/>
    <s v="Apple Pay"/>
    <s v="C1078"/>
    <n v="8.8000000000000007"/>
    <s v="Wednesday"/>
    <s v="January"/>
    <n v="2025"/>
  </r>
  <r>
    <x v="300"/>
    <d v="2025-01-22T00:00:00"/>
    <s v="Central"/>
    <s v="Bristol"/>
    <s v="Croissant"/>
    <s v="Food"/>
    <n v="3"/>
    <n v="2.8"/>
    <s v="Card"/>
    <s v="C1063"/>
    <n v="8.3999999999999986"/>
    <s v="Wednesday"/>
    <s v="January"/>
    <n v="2025"/>
  </r>
  <r>
    <x v="301"/>
    <d v="2025-01-22T00:00:00"/>
    <s v="Central"/>
    <s v="Manchester"/>
    <s v="Cappuccino"/>
    <s v="Drink"/>
    <n v="2"/>
    <n v="3.8"/>
    <s v="Cash"/>
    <s v="C1455"/>
    <n v="7.6"/>
    <s v="Wednesday"/>
    <s v="January"/>
    <n v="2025"/>
  </r>
  <r>
    <x v="302"/>
    <d v="2025-01-22T00:00:00"/>
    <s v="Central"/>
    <s v="Manchester"/>
    <s v="Espresso"/>
    <s v="Drink"/>
    <n v="3"/>
    <n v="2.5"/>
    <s v="Cash"/>
    <s v="C1947"/>
    <n v="7.5"/>
    <s v="Wednesday"/>
    <s v="January"/>
    <n v="2025"/>
  </r>
  <r>
    <x v="303"/>
    <d v="2025-01-22T00:00:00"/>
    <s v="Central"/>
    <s v="London"/>
    <s v="Croissant"/>
    <s v="Food"/>
    <n v="2"/>
    <n v="2.8"/>
    <s v="Cash"/>
    <s v="C1309"/>
    <n v="5.6"/>
    <s v="Wednesday"/>
    <s v="January"/>
    <n v="2025"/>
  </r>
  <r>
    <x v="304"/>
    <d v="2025-01-22T00:00:00"/>
    <s v="High Street"/>
    <s v="London"/>
    <s v="Latte"/>
    <s v="Drink"/>
    <n v="1"/>
    <n v="3.5"/>
    <s v="Card"/>
    <s v="C1785"/>
    <n v="3.5"/>
    <s v="Wednesday"/>
    <s v="January"/>
    <n v="2025"/>
  </r>
  <r>
    <x v="305"/>
    <d v="2025-01-22T00:00:00"/>
    <s v="High Street"/>
    <s v="Birmingham"/>
    <s v="Croissant"/>
    <s v="Food"/>
    <n v="1"/>
    <n v="2.8"/>
    <s v="Cash"/>
    <s v="C1375"/>
    <n v="2.8"/>
    <s v="Wednesday"/>
    <s v="January"/>
    <n v="2025"/>
  </r>
  <r>
    <x v="306"/>
    <d v="2025-01-22T00:00:00"/>
    <s v="High Street"/>
    <s v="Bristol"/>
    <s v="Espresso"/>
    <s v="Drink"/>
    <n v="1"/>
    <n v="2.5"/>
    <s v="Apple Pay"/>
    <s v="C1821"/>
    <n v="2.5"/>
    <s v="Wednesday"/>
    <s v="January"/>
    <n v="2025"/>
  </r>
  <r>
    <x v="307"/>
    <d v="2025-01-23T00:00:00"/>
    <s v="Riverside"/>
    <s v="Bristol"/>
    <s v="Cappuccino"/>
    <s v="Drink"/>
    <n v="3"/>
    <n v="3.8"/>
    <s v="Cash"/>
    <s v="C1724"/>
    <n v="11.399999999999999"/>
    <s v="Thursday"/>
    <s v="January"/>
    <n v="2025"/>
  </r>
  <r>
    <x v="308"/>
    <d v="2025-01-23T00:00:00"/>
    <s v="Riverside"/>
    <s v="Bristol"/>
    <s v="Croissant"/>
    <s v="Food"/>
    <n v="4"/>
    <n v="2.8"/>
    <s v="Card"/>
    <s v="C1675"/>
    <n v="11.2"/>
    <s v="Thursday"/>
    <s v="January"/>
    <n v="2025"/>
  </r>
  <r>
    <x v="309"/>
    <d v="2025-01-23T00:00:00"/>
    <s v="Riverside"/>
    <s v="Leeds"/>
    <s v="Espresso"/>
    <s v="Drink"/>
    <n v="4"/>
    <n v="2.5"/>
    <s v="Cash"/>
    <s v="C1401"/>
    <n v="10"/>
    <s v="Thursday"/>
    <s v="January"/>
    <n v="2025"/>
  </r>
  <r>
    <x v="310"/>
    <d v="2025-01-23T00:00:00"/>
    <s v="Central"/>
    <s v="Leeds"/>
    <s v="Latte"/>
    <s v="Drink"/>
    <n v="2"/>
    <n v="3.5"/>
    <s v="Cash"/>
    <s v="C1359"/>
    <n v="7"/>
    <s v="Thursday"/>
    <s v="January"/>
    <n v="2025"/>
  </r>
  <r>
    <x v="311"/>
    <d v="2025-01-24T00:00:00"/>
    <s v="High Street"/>
    <s v="Bristol"/>
    <s v="Cappuccino"/>
    <s v="Drink"/>
    <n v="4"/>
    <n v="3.8"/>
    <s v="Card"/>
    <s v="C1893"/>
    <n v="15.2"/>
    <s v="Friday"/>
    <s v="January"/>
    <n v="2025"/>
  </r>
  <r>
    <x v="312"/>
    <d v="2025-01-24T00:00:00"/>
    <s v="Central"/>
    <s v="Birmingham"/>
    <s v="Espresso"/>
    <s v="Drink"/>
    <n v="4"/>
    <n v="2.5"/>
    <s v="Cash"/>
    <s v="C1495"/>
    <n v="10"/>
    <s v="Friday"/>
    <s v="January"/>
    <n v="2025"/>
  </r>
  <r>
    <x v="313"/>
    <d v="2025-01-24T00:00:00"/>
    <s v="High Street"/>
    <s v="Bristol"/>
    <s v="Muffin"/>
    <s v="Food"/>
    <n v="4"/>
    <n v="2.2000000000000002"/>
    <s v="Cash"/>
    <s v="C1880"/>
    <n v="8.8000000000000007"/>
    <s v="Friday"/>
    <s v="January"/>
    <n v="2025"/>
  </r>
  <r>
    <x v="314"/>
    <d v="2025-01-24T00:00:00"/>
    <s v="Station"/>
    <s v="Leeds"/>
    <s v="Croissant"/>
    <s v="Food"/>
    <n v="2"/>
    <n v="2.8"/>
    <s v="Apple Pay"/>
    <s v="C1499"/>
    <n v="5.6"/>
    <s v="Friday"/>
    <s v="January"/>
    <n v="2025"/>
  </r>
  <r>
    <x v="315"/>
    <d v="2025-01-24T00:00:00"/>
    <s v="Station"/>
    <s v="Bristol"/>
    <s v="Muffin"/>
    <s v="Food"/>
    <n v="2"/>
    <n v="2.2000000000000002"/>
    <s v="Apple Pay"/>
    <s v="C1316"/>
    <n v="4.4000000000000004"/>
    <s v="Friday"/>
    <s v="January"/>
    <n v="2025"/>
  </r>
  <r>
    <x v="316"/>
    <d v="2025-01-24T00:00:00"/>
    <s v="Central"/>
    <s v="Manchester"/>
    <s v="Latte"/>
    <s v="Drink"/>
    <n v="1"/>
    <n v="3.5"/>
    <s v="Card"/>
    <s v="C1840"/>
    <n v="3.5"/>
    <s v="Friday"/>
    <s v="January"/>
    <n v="2025"/>
  </r>
  <r>
    <x v="317"/>
    <d v="2025-01-24T00:00:00"/>
    <s v="High Street"/>
    <s v="Manchester"/>
    <s v="Latte"/>
    <s v="Drink"/>
    <n v="1"/>
    <n v="3.5"/>
    <s v="Cash"/>
    <s v="C1202"/>
    <n v="3.5"/>
    <s v="Friday"/>
    <s v="January"/>
    <n v="2025"/>
  </r>
  <r>
    <x v="318"/>
    <d v="2025-01-24T00:00:00"/>
    <s v="Riverside"/>
    <s v="Leeds"/>
    <s v="Espresso"/>
    <s v="Drink"/>
    <n v="1"/>
    <n v="2.5"/>
    <s v="Apple Pay"/>
    <s v="C1837"/>
    <n v="2.5"/>
    <s v="Friday"/>
    <s v="January"/>
    <n v="2025"/>
  </r>
  <r>
    <x v="319"/>
    <d v="2025-01-24T00:00:00"/>
    <s v="Central"/>
    <s v="Bristol"/>
    <s v="Muffin"/>
    <s v="Food"/>
    <n v="1"/>
    <n v="2.2000000000000002"/>
    <s v="Card"/>
    <s v="C1357"/>
    <n v="2.2000000000000002"/>
    <s v="Friday"/>
    <s v="January"/>
    <n v="2025"/>
  </r>
  <r>
    <x v="320"/>
    <d v="2025-01-24T00:00:00"/>
    <s v="Central"/>
    <s v="Birmingham"/>
    <s v="Muffin"/>
    <s v="Food"/>
    <n v="1"/>
    <n v="2.2000000000000002"/>
    <s v="Cash"/>
    <s v="C1193"/>
    <n v="2.2000000000000002"/>
    <s v="Friday"/>
    <s v="January"/>
    <n v="2025"/>
  </r>
  <r>
    <x v="321"/>
    <d v="2025-01-25T00:00:00"/>
    <s v="Station"/>
    <s v="Leeds"/>
    <s v="Latte"/>
    <s v="Drink"/>
    <n v="4"/>
    <n v="3.5"/>
    <s v="Cash"/>
    <s v="C1546"/>
    <n v="14"/>
    <s v="Saturday"/>
    <s v="January"/>
    <n v="2025"/>
  </r>
  <r>
    <x v="322"/>
    <d v="2025-01-25T00:00:00"/>
    <s v="High Street"/>
    <s v="London"/>
    <s v="Espresso"/>
    <s v="Drink"/>
    <n v="5"/>
    <n v="2.5"/>
    <s v="Card"/>
    <s v="C1320"/>
    <n v="12.5"/>
    <s v="Saturday"/>
    <s v="January"/>
    <n v="2025"/>
  </r>
  <r>
    <x v="323"/>
    <d v="2025-01-25T00:00:00"/>
    <s v="Central"/>
    <s v="Bristol"/>
    <s v="Espresso"/>
    <s v="Drink"/>
    <n v="4"/>
    <n v="2.5"/>
    <s v="Cash"/>
    <s v="C1268"/>
    <n v="10"/>
    <s v="Saturday"/>
    <s v="January"/>
    <n v="2025"/>
  </r>
  <r>
    <x v="324"/>
    <d v="2025-01-25T00:00:00"/>
    <s v="Riverside"/>
    <s v="Birmingham"/>
    <s v="Espresso"/>
    <s v="Drink"/>
    <n v="4"/>
    <n v="2.5"/>
    <s v="Apple Pay"/>
    <s v="C1952"/>
    <n v="10"/>
    <s v="Saturday"/>
    <s v="January"/>
    <n v="2025"/>
  </r>
  <r>
    <x v="325"/>
    <d v="2025-01-25T00:00:00"/>
    <s v="Station"/>
    <s v="London"/>
    <s v="Muffin"/>
    <s v="Food"/>
    <n v="4"/>
    <n v="2.2000000000000002"/>
    <s v="Card"/>
    <s v="C1607"/>
    <n v="8.8000000000000007"/>
    <s v="Saturday"/>
    <s v="January"/>
    <n v="2025"/>
  </r>
  <r>
    <x v="326"/>
    <d v="2025-01-25T00:00:00"/>
    <s v="Station"/>
    <s v="Birmingham"/>
    <s v="Espresso"/>
    <s v="Drink"/>
    <n v="3"/>
    <n v="2.5"/>
    <s v="Apple Pay"/>
    <s v="C1010"/>
    <n v="7.5"/>
    <s v="Saturday"/>
    <s v="January"/>
    <n v="2025"/>
  </r>
  <r>
    <x v="327"/>
    <d v="2025-01-25T00:00:00"/>
    <s v="Station"/>
    <s v="London"/>
    <s v="Muffin"/>
    <s v="Food"/>
    <n v="3"/>
    <n v="2.2000000000000002"/>
    <s v="Apple Pay"/>
    <s v="C1660"/>
    <n v="6.6000000000000005"/>
    <s v="Saturday"/>
    <s v="January"/>
    <n v="2025"/>
  </r>
  <r>
    <x v="328"/>
    <d v="2025-01-25T00:00:00"/>
    <s v="High Street"/>
    <s v="Leeds"/>
    <s v="Espresso"/>
    <s v="Drink"/>
    <n v="2"/>
    <n v="2.5"/>
    <s v="Apple Pay"/>
    <s v="C1110"/>
    <n v="5"/>
    <s v="Saturday"/>
    <s v="January"/>
    <n v="2025"/>
  </r>
  <r>
    <x v="329"/>
    <d v="2025-01-25T00:00:00"/>
    <s v="Station"/>
    <s v="Bristol"/>
    <s v="Latte"/>
    <s v="Drink"/>
    <n v="1"/>
    <n v="3.5"/>
    <s v="Card"/>
    <s v="C1807"/>
    <n v="3.5"/>
    <s v="Saturday"/>
    <s v="January"/>
    <n v="2025"/>
  </r>
  <r>
    <x v="330"/>
    <d v="2025-01-25T00:00:00"/>
    <s v="Station"/>
    <s v="London"/>
    <s v="Muffin"/>
    <s v="Food"/>
    <n v="1"/>
    <n v="2.2000000000000002"/>
    <s v="Cash"/>
    <s v="C1768"/>
    <n v="2.2000000000000002"/>
    <s v="Saturday"/>
    <s v="January"/>
    <n v="2025"/>
  </r>
  <r>
    <x v="331"/>
    <d v="2025-01-26T00:00:00"/>
    <s v="Central"/>
    <s v="Leeds"/>
    <s v="Cappuccino"/>
    <s v="Drink"/>
    <n v="5"/>
    <n v="3.8"/>
    <s v="Cash"/>
    <s v="C1389"/>
    <n v="19"/>
    <s v="Sunday"/>
    <s v="January"/>
    <n v="2025"/>
  </r>
  <r>
    <x v="332"/>
    <d v="2025-01-26T00:00:00"/>
    <s v="High Street"/>
    <s v="Leeds"/>
    <s v="Muffin"/>
    <s v="Food"/>
    <n v="5"/>
    <n v="2.2000000000000002"/>
    <s v="Cash"/>
    <s v="C1522"/>
    <n v="11"/>
    <s v="Sunday"/>
    <s v="January"/>
    <n v="2025"/>
  </r>
  <r>
    <x v="333"/>
    <d v="2025-01-26T00:00:00"/>
    <s v="Central"/>
    <s v="London"/>
    <s v="Latte"/>
    <s v="Drink"/>
    <n v="3"/>
    <n v="3.5"/>
    <s v="Cash"/>
    <s v="C1689"/>
    <n v="10.5"/>
    <s v="Sunday"/>
    <s v="January"/>
    <n v="2025"/>
  </r>
  <r>
    <x v="334"/>
    <d v="2025-01-26T00:00:00"/>
    <s v="Riverside"/>
    <s v="London"/>
    <s v="Muffin"/>
    <s v="Food"/>
    <n v="4"/>
    <n v="2.2000000000000002"/>
    <s v="Cash"/>
    <s v="C1783"/>
    <n v="8.8000000000000007"/>
    <s v="Sunday"/>
    <s v="January"/>
    <n v="2025"/>
  </r>
  <r>
    <x v="335"/>
    <d v="2025-01-26T00:00:00"/>
    <s v="Central"/>
    <s v="Birmingham"/>
    <s v="Croissant"/>
    <s v="Food"/>
    <n v="3"/>
    <n v="2.8"/>
    <s v="Card"/>
    <s v="C1199"/>
    <n v="8.3999999999999986"/>
    <s v="Sunday"/>
    <s v="January"/>
    <n v="2025"/>
  </r>
  <r>
    <x v="336"/>
    <d v="2025-01-26T00:00:00"/>
    <s v="Central"/>
    <s v="Bristol"/>
    <s v="Croissant"/>
    <s v="Food"/>
    <n v="3"/>
    <n v="2.8"/>
    <s v="Apple Pay"/>
    <s v="C1967"/>
    <n v="8.3999999999999986"/>
    <s v="Sunday"/>
    <s v="January"/>
    <n v="2025"/>
  </r>
  <r>
    <x v="337"/>
    <d v="2025-01-26T00:00:00"/>
    <s v="Riverside"/>
    <s v="Manchester"/>
    <s v="Latte"/>
    <s v="Drink"/>
    <n v="2"/>
    <n v="3.5"/>
    <s v="Apple Pay"/>
    <s v="C1937"/>
    <n v="7"/>
    <s v="Sunday"/>
    <s v="January"/>
    <n v="2025"/>
  </r>
  <r>
    <x v="338"/>
    <d v="2025-01-26T00:00:00"/>
    <s v="Central"/>
    <s v="Birmingham"/>
    <s v="Muffin"/>
    <s v="Food"/>
    <n v="3"/>
    <n v="2.2000000000000002"/>
    <s v="Card"/>
    <s v="C1487"/>
    <n v="6.6000000000000005"/>
    <s v="Sunday"/>
    <s v="January"/>
    <n v="2025"/>
  </r>
  <r>
    <x v="339"/>
    <d v="2025-01-26T00:00:00"/>
    <s v="Central"/>
    <s v="Manchester"/>
    <s v="Croissant"/>
    <s v="Food"/>
    <n v="2"/>
    <n v="2.8"/>
    <s v="Cash"/>
    <s v="C1477"/>
    <n v="5.6"/>
    <s v="Sunday"/>
    <s v="January"/>
    <n v="2025"/>
  </r>
  <r>
    <x v="340"/>
    <d v="2025-01-26T00:00:00"/>
    <s v="Station"/>
    <s v="Birmingham"/>
    <s v="Espresso"/>
    <s v="Drink"/>
    <n v="2"/>
    <n v="2.5"/>
    <s v="Cash"/>
    <s v="C1321"/>
    <n v="5"/>
    <s v="Sunday"/>
    <s v="January"/>
    <n v="2025"/>
  </r>
  <r>
    <x v="341"/>
    <d v="2025-01-26T00:00:00"/>
    <s v="High Street"/>
    <s v="Leeds"/>
    <s v="Latte"/>
    <s v="Drink"/>
    <n v="1"/>
    <n v="3.5"/>
    <s v="Cash"/>
    <s v="C1055"/>
    <n v="3.5"/>
    <s v="Sunday"/>
    <s v="January"/>
    <n v="2025"/>
  </r>
  <r>
    <x v="342"/>
    <d v="2025-01-26T00:00:00"/>
    <s v="Riverside"/>
    <s v="Birmingham"/>
    <s v="Latte"/>
    <s v="Drink"/>
    <n v="1"/>
    <n v="3.5"/>
    <s v="Cash"/>
    <s v="C1115"/>
    <n v="3.5"/>
    <s v="Sunday"/>
    <s v="January"/>
    <n v="2025"/>
  </r>
  <r>
    <x v="343"/>
    <d v="2025-01-26T00:00:00"/>
    <s v="High Street"/>
    <s v="Leeds"/>
    <s v="Espresso"/>
    <s v="Drink"/>
    <n v="1"/>
    <n v="2.5"/>
    <s v="Card"/>
    <s v="C1082"/>
    <n v="2.5"/>
    <s v="Sunday"/>
    <s v="January"/>
    <n v="2025"/>
  </r>
  <r>
    <x v="344"/>
    <d v="2025-01-27T00:00:00"/>
    <s v="Station"/>
    <s v="Bristol"/>
    <s v="Latte"/>
    <s v="Drink"/>
    <n v="5"/>
    <n v="3.5"/>
    <s v="Card"/>
    <s v="C1157"/>
    <n v="17.5"/>
    <s v="Monday"/>
    <s v="January"/>
    <n v="2025"/>
  </r>
  <r>
    <x v="345"/>
    <d v="2025-01-27T00:00:00"/>
    <s v="Central"/>
    <s v="Leeds"/>
    <s v="Latte"/>
    <s v="Drink"/>
    <n v="5"/>
    <n v="3.5"/>
    <s v="Apple Pay"/>
    <s v="C1611"/>
    <n v="17.5"/>
    <s v="Monday"/>
    <s v="January"/>
    <n v="2025"/>
  </r>
  <r>
    <x v="346"/>
    <d v="2025-01-27T00:00:00"/>
    <s v="Central"/>
    <s v="Bristol"/>
    <s v="Croissant"/>
    <s v="Food"/>
    <n v="5"/>
    <n v="2.8"/>
    <s v="Cash"/>
    <s v="C1243"/>
    <n v="14"/>
    <s v="Monday"/>
    <s v="January"/>
    <n v="2025"/>
  </r>
  <r>
    <x v="347"/>
    <d v="2025-01-27T00:00:00"/>
    <s v="Riverside"/>
    <s v="Manchester"/>
    <s v="Espresso"/>
    <s v="Drink"/>
    <n v="5"/>
    <n v="2.5"/>
    <s v="Apple Pay"/>
    <s v="C1547"/>
    <n v="12.5"/>
    <s v="Monday"/>
    <s v="January"/>
    <n v="2025"/>
  </r>
  <r>
    <x v="348"/>
    <d v="2025-01-27T00:00:00"/>
    <s v="Central"/>
    <s v="Leeds"/>
    <s v="Croissant"/>
    <s v="Food"/>
    <n v="4"/>
    <n v="2.8"/>
    <s v="Cash"/>
    <s v="C1827"/>
    <n v="11.2"/>
    <s v="Monday"/>
    <s v="January"/>
    <n v="2025"/>
  </r>
  <r>
    <x v="349"/>
    <d v="2025-01-27T00:00:00"/>
    <s v="Station"/>
    <s v="Birmingham"/>
    <s v="Muffin"/>
    <s v="Food"/>
    <n v="5"/>
    <n v="2.2000000000000002"/>
    <s v="Apple Pay"/>
    <s v="C1522"/>
    <n v="11"/>
    <s v="Monday"/>
    <s v="January"/>
    <n v="2025"/>
  </r>
  <r>
    <x v="350"/>
    <d v="2025-01-27T00:00:00"/>
    <s v="Central"/>
    <s v="Leeds"/>
    <s v="Latte"/>
    <s v="Drink"/>
    <n v="3"/>
    <n v="3.5"/>
    <s v="Card"/>
    <s v="C1067"/>
    <n v="10.5"/>
    <s v="Monday"/>
    <s v="January"/>
    <n v="2025"/>
  </r>
  <r>
    <x v="351"/>
    <d v="2025-01-27T00:00:00"/>
    <s v="Station"/>
    <s v="Manchester"/>
    <s v="Espresso"/>
    <s v="Drink"/>
    <n v="4"/>
    <n v="2.5"/>
    <s v="Card"/>
    <s v="C1978"/>
    <n v="10"/>
    <s v="Monday"/>
    <s v="January"/>
    <n v="2025"/>
  </r>
  <r>
    <x v="352"/>
    <d v="2025-01-27T00:00:00"/>
    <s v="Riverside"/>
    <s v="Bristol"/>
    <s v="Espresso"/>
    <s v="Drink"/>
    <n v="4"/>
    <n v="2.5"/>
    <s v="Cash"/>
    <s v="C1221"/>
    <n v="10"/>
    <s v="Monday"/>
    <s v="January"/>
    <n v="2025"/>
  </r>
  <r>
    <x v="353"/>
    <d v="2025-01-27T00:00:00"/>
    <s v="Central"/>
    <s v="London"/>
    <s v="Muffin"/>
    <s v="Food"/>
    <n v="4"/>
    <n v="2.2000000000000002"/>
    <s v="Cash"/>
    <s v="C1699"/>
    <n v="8.8000000000000007"/>
    <s v="Monday"/>
    <s v="January"/>
    <n v="2025"/>
  </r>
  <r>
    <x v="354"/>
    <d v="2025-01-27T00:00:00"/>
    <s v="Riverside"/>
    <s v="Leeds"/>
    <s v="Cappuccino"/>
    <s v="Drink"/>
    <n v="2"/>
    <n v="3.8"/>
    <s v="Apple Pay"/>
    <s v="C1776"/>
    <n v="7.6"/>
    <s v="Monday"/>
    <s v="January"/>
    <n v="2025"/>
  </r>
  <r>
    <x v="355"/>
    <d v="2025-01-27T00:00:00"/>
    <s v="Station"/>
    <s v="London"/>
    <s v="Espresso"/>
    <s v="Drink"/>
    <n v="3"/>
    <n v="2.5"/>
    <s v="Card"/>
    <s v="C1930"/>
    <n v="7.5"/>
    <s v="Monday"/>
    <s v="January"/>
    <n v="2025"/>
  </r>
  <r>
    <x v="356"/>
    <d v="2025-01-27T00:00:00"/>
    <s v="Station"/>
    <s v="Manchester"/>
    <s v="Croissant"/>
    <s v="Food"/>
    <n v="2"/>
    <n v="2.8"/>
    <s v="Cash"/>
    <s v="C1589"/>
    <n v="5.6"/>
    <s v="Monday"/>
    <s v="January"/>
    <n v="2025"/>
  </r>
  <r>
    <x v="357"/>
    <d v="2025-01-27T00:00:00"/>
    <s v="High Street"/>
    <s v="Leeds"/>
    <s v="Muffin"/>
    <s v="Food"/>
    <n v="2"/>
    <n v="2.2000000000000002"/>
    <s v="Apple Pay"/>
    <s v="C1341"/>
    <n v="4.4000000000000004"/>
    <s v="Monday"/>
    <s v="January"/>
    <n v="2025"/>
  </r>
  <r>
    <x v="358"/>
    <d v="2025-01-27T00:00:00"/>
    <s v="Central"/>
    <s v="Leeds"/>
    <s v="Cappuccino"/>
    <s v="Drink"/>
    <n v="1"/>
    <n v="3.8"/>
    <s v="Apple Pay"/>
    <s v="C1226"/>
    <n v="3.8"/>
    <s v="Monday"/>
    <s v="January"/>
    <n v="2025"/>
  </r>
  <r>
    <x v="359"/>
    <d v="2025-01-27T00:00:00"/>
    <s v="Station"/>
    <s v="Manchester"/>
    <s v="Latte"/>
    <s v="Drink"/>
    <n v="1"/>
    <n v="3.5"/>
    <s v="Apple Pay"/>
    <s v="C1859"/>
    <n v="3.5"/>
    <s v="Monday"/>
    <s v="January"/>
    <n v="2025"/>
  </r>
  <r>
    <x v="360"/>
    <d v="2025-01-27T00:00:00"/>
    <s v="Riverside"/>
    <s v="London"/>
    <s v="Espresso"/>
    <s v="Drink"/>
    <n v="1"/>
    <n v="2.5"/>
    <s v="Apple Pay"/>
    <s v="C1535"/>
    <n v="2.5"/>
    <s v="Monday"/>
    <s v="January"/>
    <n v="2025"/>
  </r>
  <r>
    <x v="361"/>
    <d v="2025-01-27T00:00:00"/>
    <s v="Riverside"/>
    <s v="Birmingham"/>
    <s v="Muffin"/>
    <s v="Food"/>
    <n v="1"/>
    <n v="2.2000000000000002"/>
    <s v="Cash"/>
    <s v="C1654"/>
    <n v="2.2000000000000002"/>
    <s v="Monday"/>
    <s v="January"/>
    <n v="2025"/>
  </r>
  <r>
    <x v="362"/>
    <d v="2025-01-28T00:00:00"/>
    <s v="Central"/>
    <s v="N/A"/>
    <s v="Latte"/>
    <s v="Drink"/>
    <n v="5"/>
    <n v="3.5"/>
    <s v="Cash"/>
    <s v="C1031"/>
    <n v="17.5"/>
    <s v="Tuesday"/>
    <s v="January"/>
    <n v="2025"/>
  </r>
  <r>
    <x v="363"/>
    <d v="2025-01-28T00:00:00"/>
    <s v="High Street"/>
    <s v="Birmingham"/>
    <s v="Cappuccino"/>
    <s v="Drink"/>
    <n v="4"/>
    <n v="3.8"/>
    <s v="Card"/>
    <s v="C1949"/>
    <n v="15.2"/>
    <s v="Tuesday"/>
    <s v="January"/>
    <n v="2025"/>
  </r>
  <r>
    <x v="364"/>
    <d v="2025-01-28T00:00:00"/>
    <s v="Riverside"/>
    <s v="Manchester"/>
    <s v="Cappuccino"/>
    <s v="Drink"/>
    <n v="4"/>
    <n v="3.8"/>
    <s v="Card"/>
    <s v="C1777"/>
    <n v="15.2"/>
    <s v="Tuesday"/>
    <s v="January"/>
    <n v="2025"/>
  </r>
  <r>
    <x v="365"/>
    <d v="2025-01-28T00:00:00"/>
    <s v="Station"/>
    <s v="Bristol"/>
    <s v="Cappuccino"/>
    <s v="Drink"/>
    <n v="4"/>
    <n v="3.8"/>
    <s v="Cash"/>
    <s v="C1732"/>
    <n v="15.2"/>
    <s v="Tuesday"/>
    <s v="January"/>
    <n v="2025"/>
  </r>
  <r>
    <x v="366"/>
    <d v="2025-01-28T00:00:00"/>
    <s v="Riverside"/>
    <s v="Birmingham"/>
    <s v="Cappuccino"/>
    <s v="Drink"/>
    <n v="3"/>
    <n v="3.8"/>
    <s v="Card"/>
    <s v="C1516"/>
    <n v="11.399999999999999"/>
    <s v="Tuesday"/>
    <s v="January"/>
    <n v="2025"/>
  </r>
  <r>
    <x v="367"/>
    <d v="2025-01-28T00:00:00"/>
    <s v="Riverside"/>
    <s v="Leeds"/>
    <s v="Croissant"/>
    <s v="Food"/>
    <n v="4"/>
    <n v="2.8"/>
    <s v="Cash"/>
    <s v="C1953"/>
    <n v="11.2"/>
    <s v="Tuesday"/>
    <s v="January"/>
    <n v="2025"/>
  </r>
  <r>
    <x v="368"/>
    <d v="2025-01-28T00:00:00"/>
    <s v="Station"/>
    <s v="Leeds"/>
    <s v="Muffin"/>
    <s v="Food"/>
    <n v="5"/>
    <n v="2.2000000000000002"/>
    <s v="Card"/>
    <s v="C1184"/>
    <n v="11"/>
    <s v="Tuesday"/>
    <s v="January"/>
    <n v="2025"/>
  </r>
  <r>
    <x v="369"/>
    <d v="2025-01-28T00:00:00"/>
    <s v="Riverside"/>
    <s v="London"/>
    <s v="Espresso"/>
    <s v="Drink"/>
    <n v="4"/>
    <n v="2.5"/>
    <s v="Apple Pay"/>
    <s v="C1109"/>
    <n v="10"/>
    <s v="Tuesday"/>
    <s v="January"/>
    <n v="2025"/>
  </r>
  <r>
    <x v="370"/>
    <d v="2025-01-28T00:00:00"/>
    <s v="Central"/>
    <s v="London"/>
    <s v="Muffin"/>
    <s v="Food"/>
    <n v="4"/>
    <n v="2.2000000000000002"/>
    <s v="Cash"/>
    <s v="C1186"/>
    <n v="8.8000000000000007"/>
    <s v="Tuesday"/>
    <s v="January"/>
    <n v="2025"/>
  </r>
  <r>
    <x v="371"/>
    <d v="2025-01-28T00:00:00"/>
    <s v="High Street"/>
    <s v="London"/>
    <s v="Muffin"/>
    <s v="Food"/>
    <n v="4"/>
    <n v="2.2000000000000002"/>
    <s v="Apple Pay"/>
    <s v="C1649"/>
    <n v="8.8000000000000007"/>
    <s v="Tuesday"/>
    <s v="January"/>
    <n v="2025"/>
  </r>
  <r>
    <x v="372"/>
    <d v="2025-01-28T00:00:00"/>
    <s v="High Street"/>
    <s v="Manchester"/>
    <s v="Muffin"/>
    <s v="Food"/>
    <n v="4"/>
    <n v="2.2000000000000002"/>
    <s v="Card"/>
    <s v="C1491"/>
    <n v="8.8000000000000007"/>
    <s v="Tuesday"/>
    <s v="January"/>
    <n v="2025"/>
  </r>
  <r>
    <x v="373"/>
    <d v="2025-01-28T00:00:00"/>
    <s v="Central"/>
    <s v="London"/>
    <s v="Muffin"/>
    <s v="Food"/>
    <n v="4"/>
    <n v="2.2000000000000002"/>
    <s v="Apple Pay"/>
    <s v="C1264"/>
    <n v="8.8000000000000007"/>
    <s v="Tuesday"/>
    <s v="January"/>
    <n v="2025"/>
  </r>
  <r>
    <x v="374"/>
    <d v="2025-01-28T00:00:00"/>
    <s v="Station"/>
    <s v="London"/>
    <s v="Croissant"/>
    <s v="Food"/>
    <n v="3"/>
    <n v="2.8"/>
    <s v="Apple Pay"/>
    <s v="C1151"/>
    <n v="8.3999999999999986"/>
    <s v="Tuesday"/>
    <s v="January"/>
    <n v="2025"/>
  </r>
  <r>
    <x v="375"/>
    <d v="2025-01-28T00:00:00"/>
    <s v="Riverside"/>
    <s v="Leeds"/>
    <s v="Espresso"/>
    <s v="Drink"/>
    <n v="3"/>
    <n v="2.5"/>
    <s v="Apple Pay"/>
    <s v="C1370"/>
    <n v="7.5"/>
    <s v="Tuesday"/>
    <s v="January"/>
    <n v="2025"/>
  </r>
  <r>
    <x v="376"/>
    <d v="2025-01-28T00:00:00"/>
    <s v="High Street"/>
    <s v="Leeds"/>
    <s v="Espresso"/>
    <s v="Drink"/>
    <n v="2"/>
    <n v="2.5"/>
    <s v="Apple Pay"/>
    <s v="C1249"/>
    <n v="5"/>
    <s v="Tuesday"/>
    <s v="January"/>
    <n v="2025"/>
  </r>
  <r>
    <x v="377"/>
    <d v="2025-01-28T00:00:00"/>
    <s v="Central"/>
    <s v="Manchester"/>
    <s v="Cappuccino"/>
    <s v="Drink"/>
    <n v="1"/>
    <n v="3.8"/>
    <s v="Cash"/>
    <s v="C1272"/>
    <n v="3.8"/>
    <s v="Tuesday"/>
    <s v="January"/>
    <n v="2025"/>
  </r>
  <r>
    <x v="378"/>
    <d v="2025-01-28T00:00:00"/>
    <s v="High Street"/>
    <s v="Birmingham"/>
    <s v="Latte"/>
    <s v="Drink"/>
    <n v="1"/>
    <n v="3.5"/>
    <s v="Cash"/>
    <s v="C1997"/>
    <n v="3.5"/>
    <s v="Tuesday"/>
    <s v="January"/>
    <n v="2025"/>
  </r>
  <r>
    <x v="379"/>
    <d v="2025-01-28T00:00:00"/>
    <s v="High Street"/>
    <s v="Leeds"/>
    <s v="Croissant"/>
    <s v="Food"/>
    <n v="1"/>
    <n v="2.8"/>
    <s v="Cash"/>
    <s v="C1647"/>
    <n v="2.8"/>
    <s v="Tuesday"/>
    <s v="January"/>
    <n v="2025"/>
  </r>
  <r>
    <x v="380"/>
    <d v="2025-01-28T00:00:00"/>
    <s v="Riverside"/>
    <s v="London"/>
    <s v="Croissant"/>
    <s v="Food"/>
    <n v="1"/>
    <n v="2.8"/>
    <s v="Card"/>
    <s v="C1003"/>
    <n v="2.8"/>
    <s v="Tuesday"/>
    <s v="January"/>
    <n v="2025"/>
  </r>
  <r>
    <x v="381"/>
    <d v="2025-01-28T00:00:00"/>
    <s v="Station"/>
    <s v="Birmingham"/>
    <s v="Espresso"/>
    <s v="Drink"/>
    <n v="1"/>
    <n v="2.5"/>
    <s v="Cash"/>
    <s v="C1006"/>
    <n v="2.5"/>
    <s v="Tuesday"/>
    <s v="January"/>
    <n v="2025"/>
  </r>
  <r>
    <x v="382"/>
    <d v="2025-01-28T00:00:00"/>
    <s v="Central"/>
    <s v="Manchester"/>
    <s v="Muffin"/>
    <s v="Food"/>
    <n v="1"/>
    <n v="2.2000000000000002"/>
    <s v="Cash"/>
    <s v="C1348"/>
    <n v="2.2000000000000002"/>
    <s v="Tuesday"/>
    <s v="January"/>
    <n v="2025"/>
  </r>
  <r>
    <x v="383"/>
    <d v="2025-01-29T00:00:00"/>
    <s v="Station"/>
    <s v="London"/>
    <s v="Latte"/>
    <s v="Drink"/>
    <n v="5"/>
    <n v="3.5"/>
    <s v="Cash"/>
    <s v="C1778"/>
    <n v="17.5"/>
    <s v="Wednesday"/>
    <s v="January"/>
    <n v="2025"/>
  </r>
  <r>
    <x v="384"/>
    <d v="2025-01-29T00:00:00"/>
    <s v="Central"/>
    <s v="Bristol"/>
    <s v="Croissant"/>
    <s v="Food"/>
    <n v="5"/>
    <n v="2.8"/>
    <s v="Apple Pay"/>
    <s v="C1250"/>
    <n v="14"/>
    <s v="Wednesday"/>
    <s v="January"/>
    <n v="2025"/>
  </r>
  <r>
    <x v="385"/>
    <d v="2025-01-29T00:00:00"/>
    <s v="Riverside"/>
    <s v="Leeds"/>
    <s v="Croissant"/>
    <s v="Food"/>
    <n v="5"/>
    <n v="2.8"/>
    <s v="Card"/>
    <s v="C1183"/>
    <n v="14"/>
    <s v="Wednesday"/>
    <s v="January"/>
    <n v="2025"/>
  </r>
  <r>
    <x v="386"/>
    <d v="2025-01-29T00:00:00"/>
    <s v="Central"/>
    <s v="Bristol"/>
    <s v="Espresso"/>
    <s v="Drink"/>
    <n v="5"/>
    <n v="2.5"/>
    <s v="Cash"/>
    <s v="C1059"/>
    <n v="12.5"/>
    <s v="Wednesday"/>
    <s v="January"/>
    <n v="2025"/>
  </r>
  <r>
    <x v="387"/>
    <d v="2025-01-29T00:00:00"/>
    <s v="Station"/>
    <s v="London"/>
    <s v="Cappuccino"/>
    <s v="Drink"/>
    <n v="3"/>
    <n v="3.8"/>
    <s v="Apple Pay"/>
    <s v="C1572"/>
    <n v="11.399999999999999"/>
    <s v="Wednesday"/>
    <s v="January"/>
    <n v="2025"/>
  </r>
  <r>
    <x v="388"/>
    <d v="2025-01-29T00:00:00"/>
    <s v="Riverside"/>
    <s v="Bristol"/>
    <s v="Croissant"/>
    <s v="Food"/>
    <n v="4"/>
    <n v="2.8"/>
    <s v="Card"/>
    <s v="C1786"/>
    <n v="11.2"/>
    <s v="Wednesday"/>
    <s v="January"/>
    <n v="2025"/>
  </r>
  <r>
    <x v="389"/>
    <d v="2025-01-29T00:00:00"/>
    <s v="Central"/>
    <s v="Bristol"/>
    <s v="Latte"/>
    <s v="Food"/>
    <n v="5"/>
    <n v="2.2000000000000002"/>
    <s v="Cash"/>
    <s v="C1608"/>
    <n v="11"/>
    <s v="Wednesday"/>
    <s v="January"/>
    <n v="2025"/>
  </r>
  <r>
    <x v="390"/>
    <d v="2025-01-29T00:00:00"/>
    <s v="High Street"/>
    <s v="Manchester"/>
    <s v="Espresso"/>
    <s v="Drink"/>
    <n v="4"/>
    <n v="2.5"/>
    <s v="Card"/>
    <s v="C1224"/>
    <n v="10"/>
    <s v="Wednesday"/>
    <s v="January"/>
    <n v="2025"/>
  </r>
  <r>
    <x v="391"/>
    <d v="2025-01-29T00:00:00"/>
    <s v="Riverside"/>
    <s v="Bristol"/>
    <s v="Croissant"/>
    <s v="Food"/>
    <n v="3"/>
    <n v="2.8"/>
    <s v="Card"/>
    <s v="C1393"/>
    <n v="8.3999999999999986"/>
    <s v="Wednesday"/>
    <s v="January"/>
    <n v="2025"/>
  </r>
  <r>
    <x v="392"/>
    <d v="2025-01-29T00:00:00"/>
    <s v="Station"/>
    <s v="Manchester"/>
    <s v="Croissant"/>
    <s v="Food"/>
    <n v="3"/>
    <n v="2.8"/>
    <s v="Card"/>
    <s v="C1362"/>
    <n v="8.3999999999999986"/>
    <s v="Wednesday"/>
    <s v="January"/>
    <n v="2025"/>
  </r>
  <r>
    <x v="393"/>
    <d v="2025-01-29T00:00:00"/>
    <s v="High Street"/>
    <s v="Manchester"/>
    <s v="Croissant"/>
    <s v="Food"/>
    <n v="3"/>
    <n v="2.8"/>
    <s v="Cash"/>
    <s v="C1076"/>
    <n v="8.3999999999999986"/>
    <s v="Wednesday"/>
    <s v="January"/>
    <n v="2025"/>
  </r>
  <r>
    <x v="394"/>
    <d v="2025-01-29T00:00:00"/>
    <s v="Riverside"/>
    <s v="Bristol"/>
    <s v="Cappuccino"/>
    <s v="Drink"/>
    <n v="2"/>
    <n v="3.8"/>
    <s v="Cash"/>
    <s v="C1605"/>
    <n v="7.6"/>
    <s v="Wednesday"/>
    <s v="January"/>
    <n v="2025"/>
  </r>
  <r>
    <x v="395"/>
    <d v="2025-01-29T00:00:00"/>
    <s v="Riverside"/>
    <s v="Birmingham"/>
    <s v="Croissant"/>
    <s v="Food"/>
    <n v="2"/>
    <n v="2.8"/>
    <s v="Card"/>
    <s v="C1235"/>
    <n v="5.6"/>
    <s v="Wednesday"/>
    <s v="January"/>
    <n v="2025"/>
  </r>
  <r>
    <x v="396"/>
    <d v="2025-01-29T00:00:00"/>
    <s v="Riverside"/>
    <s v="Manchester"/>
    <s v="Cappuccino"/>
    <s v="Drink"/>
    <n v="1"/>
    <n v="3.8"/>
    <s v="Card"/>
    <s v="C1995"/>
    <n v="3.8"/>
    <s v="Wednesday"/>
    <s v="January"/>
    <n v="2025"/>
  </r>
  <r>
    <x v="397"/>
    <d v="2025-01-29T00:00:00"/>
    <s v="High Street"/>
    <s v="Birmingham"/>
    <s v="Espresso"/>
    <s v="Drink"/>
    <n v="1"/>
    <n v="2.5"/>
    <s v="Cash"/>
    <s v="C1477"/>
    <n v="2.5"/>
    <s v="Wednesday"/>
    <s v="January"/>
    <n v="2025"/>
  </r>
  <r>
    <x v="398"/>
    <d v="2025-01-29T00:00:00"/>
    <s v="Central"/>
    <s v="Bristol"/>
    <s v="Espresso"/>
    <s v="Drink"/>
    <n v="1"/>
    <n v="2.5"/>
    <s v="Apple Pay"/>
    <s v="C1788"/>
    <n v="2.5"/>
    <s v="Wednesday"/>
    <s v="January"/>
    <n v="2025"/>
  </r>
  <r>
    <x v="399"/>
    <d v="2025-01-29T00:00:00"/>
    <s v="Riverside"/>
    <s v="London"/>
    <s v="Muffin"/>
    <s v="Food"/>
    <n v="1"/>
    <n v="2.2000000000000002"/>
    <s v="Cash"/>
    <s v="C1897"/>
    <n v="2.2000000000000002"/>
    <s v="Wednesday"/>
    <s v="January"/>
    <n v="2025"/>
  </r>
  <r>
    <x v="400"/>
    <d v="2025-01-30T00:00:00"/>
    <s v="Central"/>
    <s v="Bristol"/>
    <s v="Latte"/>
    <s v="Drink"/>
    <n v="5"/>
    <n v="3.5"/>
    <s v="Card"/>
    <s v="C1307"/>
    <n v="17.5"/>
    <s v="Thursday"/>
    <s v="January"/>
    <n v="2025"/>
  </r>
  <r>
    <x v="401"/>
    <d v="2025-01-30T00:00:00"/>
    <s v="High Street"/>
    <s v="London"/>
    <s v="Cappuccino"/>
    <s v="Drink"/>
    <n v="4"/>
    <n v="3.8"/>
    <s v="Cash"/>
    <s v="C1767"/>
    <n v="15.2"/>
    <s v="Thursday"/>
    <s v="January"/>
    <n v="2025"/>
  </r>
  <r>
    <x v="402"/>
    <d v="2025-01-30T00:00:00"/>
    <s v="High Street"/>
    <s v="Bristol"/>
    <s v="Croissant"/>
    <s v="Food"/>
    <n v="5"/>
    <n v="2.8"/>
    <s v="Cash"/>
    <s v="C1626"/>
    <n v="14"/>
    <s v="Thursday"/>
    <s v="January"/>
    <n v="2025"/>
  </r>
  <r>
    <x v="403"/>
    <d v="2025-01-30T00:00:00"/>
    <s v="High Street"/>
    <s v="Birmingham"/>
    <s v="Croissant"/>
    <s v="Food"/>
    <n v="5"/>
    <n v="2.8"/>
    <s v="Card"/>
    <s v="C1722"/>
    <n v="14"/>
    <s v="Thursday"/>
    <s v="January"/>
    <n v="2025"/>
  </r>
  <r>
    <x v="404"/>
    <d v="2025-01-30T00:00:00"/>
    <s v="Station"/>
    <s v="Leeds"/>
    <s v="Latte"/>
    <s v="Drink"/>
    <n v="3"/>
    <n v="3.5"/>
    <s v="Card"/>
    <s v="C1780"/>
    <n v="10.5"/>
    <s v="Thursday"/>
    <s v="January"/>
    <n v="2025"/>
  </r>
  <r>
    <x v="405"/>
    <d v="2025-01-30T00:00:00"/>
    <s v="Riverside"/>
    <s v="Bristol"/>
    <s v="Espresso"/>
    <s v="Drink"/>
    <n v="4"/>
    <n v="2.5"/>
    <s v="Card"/>
    <s v="C1893"/>
    <n v="10"/>
    <s v="Thursday"/>
    <s v="January"/>
    <n v="2025"/>
  </r>
  <r>
    <x v="406"/>
    <d v="2025-01-30T00:00:00"/>
    <s v="Central"/>
    <s v="Birmingham"/>
    <s v="Espresso"/>
    <s v="Drink"/>
    <n v="4"/>
    <n v="2.5"/>
    <s v="Apple Pay"/>
    <s v="C1303"/>
    <n v="10"/>
    <s v="Thursday"/>
    <s v="January"/>
    <n v="2025"/>
  </r>
  <r>
    <x v="407"/>
    <d v="2025-01-30T00:00:00"/>
    <s v="Riverside"/>
    <s v="Manchester"/>
    <s v="Muffin"/>
    <s v="Food"/>
    <n v="4"/>
    <n v="2.2000000000000002"/>
    <s v="Apple Pay"/>
    <s v="C1559"/>
    <n v="8.8000000000000007"/>
    <s v="Thursday"/>
    <s v="January"/>
    <n v="2025"/>
  </r>
  <r>
    <x v="408"/>
    <d v="2025-01-30T00:00:00"/>
    <s v="Station"/>
    <s v="Bristol"/>
    <s v="Muffin"/>
    <s v="Food"/>
    <n v="4"/>
    <n v="2.2000000000000002"/>
    <s v="Cash"/>
    <s v="C1557"/>
    <n v="8.8000000000000007"/>
    <s v="Thursday"/>
    <s v="January"/>
    <n v="2025"/>
  </r>
  <r>
    <x v="409"/>
    <d v="2025-01-30T00:00:00"/>
    <s v="Station"/>
    <s v="Bristol"/>
    <s v="Croissant"/>
    <s v="Food"/>
    <n v="3"/>
    <n v="2.8"/>
    <s v="Apple Pay"/>
    <s v="C1136"/>
    <n v="8.3999999999999986"/>
    <s v="Thursday"/>
    <s v="January"/>
    <n v="2025"/>
  </r>
  <r>
    <x v="410"/>
    <d v="2025-01-30T00:00:00"/>
    <s v="Riverside"/>
    <s v="Bristol"/>
    <s v="Croissant"/>
    <s v="Food"/>
    <n v="3"/>
    <n v="2.8"/>
    <s v="Cash"/>
    <s v="C1657"/>
    <n v="8.3999999999999986"/>
    <s v="Thursday"/>
    <s v="January"/>
    <n v="2025"/>
  </r>
  <r>
    <x v="411"/>
    <d v="2025-01-30T00:00:00"/>
    <s v="High Street"/>
    <s v="Manchester"/>
    <s v="Muffin"/>
    <s v="Food"/>
    <n v="3"/>
    <n v="2.2000000000000002"/>
    <s v="Card"/>
    <s v="C1300"/>
    <n v="6.6000000000000005"/>
    <s v="Thursday"/>
    <s v="January"/>
    <n v="2025"/>
  </r>
  <r>
    <x v="412"/>
    <d v="2025-01-30T00:00:00"/>
    <s v="High Street"/>
    <s v="London"/>
    <s v="Cappuccino"/>
    <s v="Drink"/>
    <n v="1"/>
    <n v="3.8"/>
    <s v="Apple Pay"/>
    <s v="C1198"/>
    <n v="3.8"/>
    <s v="Thursday"/>
    <s v="January"/>
    <n v="2025"/>
  </r>
  <r>
    <x v="413"/>
    <d v="2025-01-30T00:00:00"/>
    <s v="Station"/>
    <s v="Manchester"/>
    <s v="Cappuccino"/>
    <s v="Drink"/>
    <n v="1"/>
    <n v="3.8"/>
    <s v="Cash"/>
    <s v="C1476"/>
    <n v="3.8"/>
    <s v="Thursday"/>
    <s v="January"/>
    <n v="2025"/>
  </r>
  <r>
    <x v="414"/>
    <d v="2025-01-30T00:00:00"/>
    <s v="Central"/>
    <s v="Birmingham"/>
    <s v="Cappuccino"/>
    <s v="Drink"/>
    <n v="1"/>
    <n v="3.8"/>
    <s v="Apple Pay"/>
    <s v="C1991"/>
    <n v="3.8"/>
    <s v="Thursday"/>
    <s v="January"/>
    <n v="2025"/>
  </r>
  <r>
    <x v="415"/>
    <d v="2025-01-30T00:00:00"/>
    <s v="Station"/>
    <s v="Birmingham"/>
    <s v="Muffin"/>
    <s v="Food"/>
    <n v="1"/>
    <n v="2.2000000000000002"/>
    <s v="Apple Pay"/>
    <s v="C1574"/>
    <n v="2.2000000000000002"/>
    <s v="Thursday"/>
    <s v="January"/>
    <n v="2025"/>
  </r>
  <r>
    <x v="416"/>
    <d v="2025-01-30T00:00:00"/>
    <s v="High Street"/>
    <s v="Manchester"/>
    <s v="Muffin"/>
    <s v="Food"/>
    <n v="1"/>
    <n v="2.2000000000000002"/>
    <s v="Cash"/>
    <s v="C1899"/>
    <n v="2.2000000000000002"/>
    <s v="Thursday"/>
    <s v="January"/>
    <n v="2025"/>
  </r>
  <r>
    <x v="417"/>
    <d v="2025-01-31T00:00:00"/>
    <s v="Central"/>
    <s v="Bristol"/>
    <s v="Cappuccino"/>
    <s v="Drink"/>
    <n v="4"/>
    <n v="3.8"/>
    <s v="Cash"/>
    <s v="C1418"/>
    <n v="15.2"/>
    <s v="Friday"/>
    <s v="January"/>
    <n v="2025"/>
  </r>
  <r>
    <x v="418"/>
    <d v="2025-01-31T00:00:00"/>
    <s v="Station"/>
    <s v="Bristol"/>
    <s v="Croissant"/>
    <s v="Food"/>
    <n v="5"/>
    <n v="2.8"/>
    <s v="Apple Pay"/>
    <s v="C1073"/>
    <n v="14"/>
    <s v="Friday"/>
    <s v="January"/>
    <n v="2025"/>
  </r>
  <r>
    <x v="419"/>
    <d v="2025-01-31T00:00:00"/>
    <s v="Riverside"/>
    <s v="London"/>
    <s v="Latte"/>
    <s v="Drink"/>
    <n v="4"/>
    <n v="3.5"/>
    <s v="Card"/>
    <s v="C1102"/>
    <n v="14"/>
    <s v="Friday"/>
    <s v="January"/>
    <n v="2025"/>
  </r>
  <r>
    <x v="420"/>
    <d v="2025-01-31T00:00:00"/>
    <s v="Riverside"/>
    <s v="Bristol"/>
    <s v="Cappuccino"/>
    <s v="Drink"/>
    <n v="3"/>
    <n v="3.8"/>
    <s v="Apple Pay"/>
    <s v="C1315"/>
    <n v="11.399999999999999"/>
    <s v="Friday"/>
    <s v="January"/>
    <n v="2025"/>
  </r>
  <r>
    <x v="421"/>
    <d v="2025-01-31T00:00:00"/>
    <s v="Riverside"/>
    <s v="Manchester"/>
    <s v="Latte"/>
    <s v="Drink"/>
    <n v="3"/>
    <n v="3.5"/>
    <s v="Apple Pay"/>
    <s v="C1476"/>
    <n v="10.5"/>
    <s v="Friday"/>
    <s v="January"/>
    <n v="2025"/>
  </r>
  <r>
    <x v="422"/>
    <d v="2025-01-31T00:00:00"/>
    <s v="Riverside"/>
    <s v="Birmingham"/>
    <s v="Muffin"/>
    <s v="Food"/>
    <n v="4"/>
    <n v="2.2000000000000002"/>
    <s v="Cash"/>
    <s v="C1695"/>
    <n v="8.8000000000000007"/>
    <s v="Friday"/>
    <s v="January"/>
    <n v="2025"/>
  </r>
  <r>
    <x v="423"/>
    <d v="2025-01-31T00:00:00"/>
    <s v="Station"/>
    <s v="London"/>
    <s v="Muffin"/>
    <s v="Food"/>
    <n v="4"/>
    <n v="2.2000000000000002"/>
    <s v="Cash"/>
    <s v="C1139"/>
    <n v="8.8000000000000007"/>
    <s v="Friday"/>
    <s v="January"/>
    <n v="2025"/>
  </r>
  <r>
    <x v="424"/>
    <d v="2025-01-31T00:00:00"/>
    <s v="High Street"/>
    <s v="Manchester"/>
    <s v="Espresso"/>
    <s v="Drink"/>
    <n v="3"/>
    <n v="2.5"/>
    <s v="Card"/>
    <s v="C1676"/>
    <n v="7.5"/>
    <s v="Friday"/>
    <s v="January"/>
    <n v="2025"/>
  </r>
  <r>
    <x v="425"/>
    <d v="2025-01-31T00:00:00"/>
    <s v="High Street"/>
    <s v="Manchester"/>
    <s v="Croissant"/>
    <s v="Food"/>
    <n v="2"/>
    <n v="2.8"/>
    <s v="Apple Pay"/>
    <s v="C1295"/>
    <n v="5.6"/>
    <s v="Friday"/>
    <s v="January"/>
    <n v="2025"/>
  </r>
  <r>
    <x v="426"/>
    <d v="2025-01-31T00:00:00"/>
    <s v="Riverside"/>
    <s v="London"/>
    <s v="Muffin"/>
    <s v="Food"/>
    <n v="2"/>
    <n v="2.2000000000000002"/>
    <s v="Cash"/>
    <s v="C1153"/>
    <n v="4.4000000000000004"/>
    <s v="Friday"/>
    <s v="January"/>
    <n v="2025"/>
  </r>
  <r>
    <x v="427"/>
    <d v="2025-01-31T00:00:00"/>
    <s v="Station"/>
    <s v="Bristol"/>
    <s v="Cappuccino"/>
    <s v="Drink"/>
    <n v="1"/>
    <n v="3.8"/>
    <s v="Apple Pay"/>
    <s v="C1196"/>
    <n v="3.8"/>
    <s v="Friday"/>
    <s v="January"/>
    <n v="2025"/>
  </r>
  <r>
    <x v="428"/>
    <d v="2025-01-31T00:00:00"/>
    <s v="Central"/>
    <s v="Leeds"/>
    <s v="Latte"/>
    <s v="Drink"/>
    <n v="1"/>
    <n v="3.5"/>
    <s v="Card"/>
    <s v="C1722"/>
    <n v="3.5"/>
    <s v="Friday"/>
    <s v="January"/>
    <n v="2025"/>
  </r>
  <r>
    <x v="429"/>
    <d v="2025-01-31T00:00:00"/>
    <s v="Station"/>
    <s v="Birmingham"/>
    <s v="Croissant"/>
    <s v="Food"/>
    <n v="1"/>
    <n v="2.8"/>
    <s v="Card"/>
    <s v="C1451"/>
    <n v="2.8"/>
    <s v="Friday"/>
    <s v="January"/>
    <n v="2025"/>
  </r>
  <r>
    <x v="430"/>
    <d v="2025-01-31T00:00:00"/>
    <s v="Riverside"/>
    <s v="Birmingham"/>
    <s v="Espresso"/>
    <s v="Drink"/>
    <n v="1"/>
    <n v="2.5"/>
    <s v="Apple Pay"/>
    <s v="C1840"/>
    <n v="2.5"/>
    <s v="Friday"/>
    <s v="January"/>
    <n v="2025"/>
  </r>
  <r>
    <x v="431"/>
    <d v="2025-02-01T00:00:00"/>
    <s v="Station"/>
    <s v="Manchester"/>
    <s v="Cappuccino"/>
    <s v="Drink"/>
    <n v="5"/>
    <n v="3.8"/>
    <s v="Card"/>
    <s v="C1168"/>
    <n v="19"/>
    <s v="Saturday"/>
    <s v="February"/>
    <n v="2025"/>
  </r>
  <r>
    <x v="432"/>
    <d v="2025-02-01T00:00:00"/>
    <s v="High Street"/>
    <s v="Birmingham"/>
    <s v="Latte"/>
    <s v="Drink"/>
    <n v="5"/>
    <n v="3.5"/>
    <s v="Cash"/>
    <s v="C1752"/>
    <n v="17.5"/>
    <s v="Saturday"/>
    <s v="February"/>
    <n v="2025"/>
  </r>
  <r>
    <x v="433"/>
    <d v="2025-02-01T00:00:00"/>
    <s v="Central"/>
    <s v="Birmingham"/>
    <s v="Cappuccino"/>
    <s v="Drink"/>
    <n v="3"/>
    <n v="3.8"/>
    <s v="Cash"/>
    <s v="C1503"/>
    <n v="11.399999999999999"/>
    <s v="Saturday"/>
    <s v="February"/>
    <n v="2025"/>
  </r>
  <r>
    <x v="434"/>
    <d v="2025-02-01T00:00:00"/>
    <s v="High Street"/>
    <s v="Leeds"/>
    <s v="Cappuccino"/>
    <s v="Drink"/>
    <n v="3"/>
    <n v="3.8"/>
    <s v="Apple Pay"/>
    <s v="C1004"/>
    <n v="11.399999999999999"/>
    <s v="Saturday"/>
    <s v="February"/>
    <n v="2025"/>
  </r>
  <r>
    <x v="435"/>
    <d v="2025-02-01T00:00:00"/>
    <s v="Riverside"/>
    <s v="Manchester"/>
    <s v="Croissant"/>
    <s v="Food"/>
    <n v="4"/>
    <n v="2.8"/>
    <s v="Cash"/>
    <s v="C1163"/>
    <n v="11.2"/>
    <s v="Saturday"/>
    <s v="February"/>
    <n v="2025"/>
  </r>
  <r>
    <x v="436"/>
    <d v="2025-02-01T00:00:00"/>
    <s v="High Street"/>
    <s v="Manchester"/>
    <s v="Muffin"/>
    <s v="Food"/>
    <n v="5"/>
    <n v="2.2000000000000002"/>
    <s v="Apple Pay"/>
    <s v="C1848"/>
    <n v="11"/>
    <s v="Saturday"/>
    <s v="February"/>
    <n v="2025"/>
  </r>
  <r>
    <x v="437"/>
    <d v="2025-02-01T00:00:00"/>
    <s v="High Street"/>
    <s v="Birmingham"/>
    <s v="Latte"/>
    <s v="Drink"/>
    <n v="3"/>
    <n v="3.5"/>
    <s v="Card"/>
    <s v="C1489"/>
    <n v="10.5"/>
    <s v="Saturday"/>
    <s v="February"/>
    <n v="2025"/>
  </r>
  <r>
    <x v="438"/>
    <d v="2025-02-01T00:00:00"/>
    <s v="Central"/>
    <s v="Manchester"/>
    <s v="Espresso"/>
    <s v="Drink"/>
    <n v="4"/>
    <n v="2.5"/>
    <s v="Apple Pay"/>
    <s v="C1479"/>
    <n v="10"/>
    <s v="Saturday"/>
    <s v="February"/>
    <n v="2025"/>
  </r>
  <r>
    <x v="439"/>
    <d v="2025-02-01T00:00:00"/>
    <s v="Central"/>
    <s v="Leeds"/>
    <s v="Muffin"/>
    <s v="Food"/>
    <n v="4"/>
    <n v="2.2000000000000002"/>
    <s v="Card"/>
    <s v="C1671"/>
    <n v="8.8000000000000007"/>
    <s v="Saturday"/>
    <s v="February"/>
    <n v="2025"/>
  </r>
  <r>
    <x v="440"/>
    <d v="2025-02-01T00:00:00"/>
    <s v="High Street"/>
    <s v="Leeds"/>
    <s v="Croissant"/>
    <s v="Food"/>
    <n v="3"/>
    <n v="2.8"/>
    <s v="Card"/>
    <s v="C1820"/>
    <n v="8.3999999999999986"/>
    <s v="Saturday"/>
    <s v="February"/>
    <n v="2025"/>
  </r>
  <r>
    <x v="441"/>
    <d v="2025-02-01T00:00:00"/>
    <s v="Station"/>
    <s v="Bristol"/>
    <s v="Cappuccino"/>
    <s v="Drink"/>
    <n v="2"/>
    <n v="3.8"/>
    <s v="Apple Pay"/>
    <s v="C1567"/>
    <n v="7.6"/>
    <s v="Saturday"/>
    <s v="February"/>
    <n v="2025"/>
  </r>
  <r>
    <x v="442"/>
    <d v="2025-02-01T00:00:00"/>
    <s v="Central"/>
    <s v="Birmingham"/>
    <s v="Cappuccino"/>
    <s v="Drink"/>
    <n v="2"/>
    <n v="3.8"/>
    <s v="Cash"/>
    <s v="C1375"/>
    <n v="7.6"/>
    <s v="Saturday"/>
    <s v="February"/>
    <n v="2025"/>
  </r>
  <r>
    <x v="443"/>
    <d v="2025-02-01T00:00:00"/>
    <s v="High Street"/>
    <s v="Manchester"/>
    <s v="Cappuccino"/>
    <s v="Drink"/>
    <n v="2"/>
    <n v="3.8"/>
    <s v="Cash"/>
    <s v="C1930"/>
    <n v="7.6"/>
    <s v="Saturday"/>
    <s v="February"/>
    <n v="2025"/>
  </r>
  <r>
    <x v="444"/>
    <d v="2025-02-01T00:00:00"/>
    <s v="Riverside"/>
    <s v="Birmingham"/>
    <s v="Muffin"/>
    <s v="Food"/>
    <n v="3"/>
    <n v="2.2000000000000002"/>
    <s v="Apple Pay"/>
    <s v="C1029"/>
    <n v="6.6000000000000005"/>
    <s v="Saturday"/>
    <s v="February"/>
    <n v="2025"/>
  </r>
  <r>
    <x v="445"/>
    <d v="2025-02-01T00:00:00"/>
    <s v="Riverside"/>
    <s v="London"/>
    <s v="Espresso"/>
    <s v="Drink"/>
    <n v="2"/>
    <n v="2.5"/>
    <s v="Apple Pay"/>
    <s v="C1573"/>
    <n v="5"/>
    <s v="Saturday"/>
    <s v="February"/>
    <n v="2025"/>
  </r>
  <r>
    <x v="446"/>
    <d v="2025-02-01T00:00:00"/>
    <s v="Station"/>
    <s v="Manchester"/>
    <s v="Espresso"/>
    <s v="Drink"/>
    <n v="2"/>
    <n v="2.5"/>
    <s v="Card"/>
    <s v="C1870"/>
    <n v="5"/>
    <s v="Saturday"/>
    <s v="February"/>
    <n v="2025"/>
  </r>
  <r>
    <x v="447"/>
    <d v="2025-02-01T00:00:00"/>
    <s v="High Street"/>
    <s v="Birmingham"/>
    <s v="Cappuccino"/>
    <s v="Drink"/>
    <n v="1"/>
    <n v="3.8"/>
    <s v="Cash"/>
    <s v="C1305"/>
    <n v="3.8"/>
    <s v="Saturday"/>
    <s v="February"/>
    <n v="2025"/>
  </r>
  <r>
    <x v="448"/>
    <d v="2025-02-01T00:00:00"/>
    <s v="High Street"/>
    <s v="Bristol"/>
    <s v="Latte"/>
    <s v="Drink"/>
    <n v="1"/>
    <n v="3.5"/>
    <s v="Cash"/>
    <s v="C1383"/>
    <n v="3.5"/>
    <s v="Saturday"/>
    <s v="February"/>
    <n v="2025"/>
  </r>
  <r>
    <x v="449"/>
    <d v="2025-02-02T00:00:00"/>
    <s v="Riverside"/>
    <s v="Leeds"/>
    <s v="Cappuccino"/>
    <s v="Drink"/>
    <n v="4"/>
    <n v="3.8"/>
    <s v="Cash"/>
    <s v="C1567"/>
    <n v="15.2"/>
    <s v="Sunday"/>
    <s v="February"/>
    <n v="2025"/>
  </r>
  <r>
    <x v="450"/>
    <d v="2025-02-02T00:00:00"/>
    <s v="Central"/>
    <s v="Birmingham"/>
    <s v="Latte"/>
    <s v="Drink"/>
    <n v="4"/>
    <n v="3.5"/>
    <s v="Card"/>
    <s v="C1164"/>
    <n v="14"/>
    <s v="Sunday"/>
    <s v="February"/>
    <n v="2025"/>
  </r>
  <r>
    <x v="451"/>
    <d v="2025-02-02T00:00:00"/>
    <s v="Riverside"/>
    <s v="Manchester"/>
    <s v="Latte"/>
    <s v="Drink"/>
    <n v="4"/>
    <n v="3.5"/>
    <s v="Cash"/>
    <s v="C1077"/>
    <n v="14"/>
    <s v="Sunday"/>
    <s v="February"/>
    <n v="2025"/>
  </r>
  <r>
    <x v="452"/>
    <d v="2025-02-02T00:00:00"/>
    <s v="Riverside"/>
    <s v="Leeds"/>
    <s v="Cappuccino"/>
    <s v="Drink"/>
    <n v="3"/>
    <n v="3.8"/>
    <s v="Apple Pay"/>
    <s v="C1644"/>
    <n v="11.399999999999999"/>
    <s v="Sunday"/>
    <s v="February"/>
    <n v="2025"/>
  </r>
  <r>
    <x v="453"/>
    <d v="2025-02-02T00:00:00"/>
    <s v="Station"/>
    <s v="Manchester"/>
    <s v="Cappuccino"/>
    <s v="Drink"/>
    <n v="3"/>
    <n v="3.8"/>
    <s v="Apple Pay"/>
    <s v="C1680"/>
    <n v="11.399999999999999"/>
    <s v="Sunday"/>
    <s v="February"/>
    <n v="2025"/>
  </r>
  <r>
    <x v="454"/>
    <d v="2025-02-02T00:00:00"/>
    <s v="Riverside"/>
    <s v="Birmingham"/>
    <s v="Cappuccino"/>
    <s v="Drink"/>
    <n v="3"/>
    <n v="3.8"/>
    <s v="Card"/>
    <s v="C1694"/>
    <n v="11.399999999999999"/>
    <s v="Sunday"/>
    <s v="February"/>
    <n v="2025"/>
  </r>
  <r>
    <x v="455"/>
    <d v="2025-02-02T00:00:00"/>
    <s v="Station"/>
    <s v="Leeds"/>
    <s v="Cappuccino"/>
    <s v="Drink"/>
    <n v="3"/>
    <n v="3.8"/>
    <s v="Card"/>
    <s v="C1954"/>
    <n v="11.399999999999999"/>
    <s v="Sunday"/>
    <s v="February"/>
    <n v="2025"/>
  </r>
  <r>
    <x v="456"/>
    <d v="2025-02-02T00:00:00"/>
    <s v="Station"/>
    <s v="Manchester"/>
    <s v="Croissant"/>
    <s v="Food"/>
    <n v="4"/>
    <n v="2.8"/>
    <s v="Card"/>
    <s v="C1562"/>
    <n v="11.2"/>
    <s v="Sunday"/>
    <s v="February"/>
    <n v="2025"/>
  </r>
  <r>
    <x v="457"/>
    <d v="2025-02-02T00:00:00"/>
    <s v="High Street"/>
    <s v="Bristol"/>
    <s v="Croissant"/>
    <s v="Food"/>
    <n v="3"/>
    <n v="2.8"/>
    <s v="Card"/>
    <s v="C1354"/>
    <n v="8.3999999999999986"/>
    <s v="Sunday"/>
    <s v="February"/>
    <n v="2025"/>
  </r>
  <r>
    <x v="458"/>
    <d v="2025-02-02T00:00:00"/>
    <s v="Riverside"/>
    <s v="Bristol"/>
    <s v="Latte"/>
    <s v="Food"/>
    <n v="3"/>
    <n v="2.2000000000000002"/>
    <s v="Card"/>
    <s v="C1418"/>
    <n v="6.6000000000000005"/>
    <s v="Sunday"/>
    <s v="February"/>
    <n v="2025"/>
  </r>
  <r>
    <x v="459"/>
    <d v="2025-02-02T00:00:00"/>
    <s v="High Street"/>
    <s v="Leeds"/>
    <s v="Croissant"/>
    <s v="Food"/>
    <n v="2"/>
    <n v="2.8"/>
    <s v="Apple Pay"/>
    <s v="C1544"/>
    <n v="5.6"/>
    <s v="Sunday"/>
    <s v="February"/>
    <n v="2025"/>
  </r>
  <r>
    <x v="460"/>
    <d v="2025-02-02T00:00:00"/>
    <s v="Station"/>
    <s v="Birmingham"/>
    <s v="Espresso"/>
    <s v="Drink"/>
    <n v="2"/>
    <n v="2.5"/>
    <s v="Cash"/>
    <s v="C1692"/>
    <n v="5"/>
    <s v="Sunday"/>
    <s v="February"/>
    <n v="2025"/>
  </r>
  <r>
    <x v="461"/>
    <d v="2025-02-02T00:00:00"/>
    <s v="Riverside"/>
    <s v="Manchester"/>
    <s v="Croissant"/>
    <s v="Food"/>
    <n v="1"/>
    <n v="2.8"/>
    <s v="Cash"/>
    <s v="C1593"/>
    <n v="2.8"/>
    <s v="Sunday"/>
    <s v="February"/>
    <n v="2025"/>
  </r>
  <r>
    <x v="462"/>
    <d v="2025-02-03T00:00:00"/>
    <s v="High Street"/>
    <s v="Bristol"/>
    <s v="Cappuccino"/>
    <s v="Drink"/>
    <n v="4"/>
    <n v="3.8"/>
    <s v="Cash"/>
    <s v="C1343"/>
    <n v="15.2"/>
    <s v="Monday"/>
    <s v="February"/>
    <n v="2025"/>
  </r>
  <r>
    <x v="463"/>
    <d v="2025-02-03T00:00:00"/>
    <s v="Station"/>
    <s v="Bristol"/>
    <s v="Latte"/>
    <s v="Drink"/>
    <n v="4"/>
    <n v="3.5"/>
    <s v="Apple Pay"/>
    <s v="C1846"/>
    <n v="14"/>
    <s v="Monday"/>
    <s v="February"/>
    <n v="2025"/>
  </r>
  <r>
    <x v="464"/>
    <d v="2025-02-03T00:00:00"/>
    <s v="Station"/>
    <s v="Birmingham"/>
    <s v="Muffin"/>
    <s v="Food"/>
    <n v="3"/>
    <n v="2.2000000000000002"/>
    <s v="Apple Pay"/>
    <s v="C1801"/>
    <n v="6.6000000000000005"/>
    <s v="Monday"/>
    <s v="February"/>
    <n v="2025"/>
  </r>
  <r>
    <x v="465"/>
    <d v="2025-02-03T00:00:00"/>
    <s v="Riverside"/>
    <s v="Leeds"/>
    <s v="Croissant"/>
    <s v="Food"/>
    <n v="2"/>
    <n v="2.8"/>
    <s v="Card"/>
    <s v="C1421"/>
    <n v="5.6"/>
    <s v="Monday"/>
    <s v="February"/>
    <n v="2025"/>
  </r>
  <r>
    <x v="466"/>
    <d v="2025-02-03T00:00:00"/>
    <s v="Riverside"/>
    <s v="Birmingham"/>
    <s v="Espresso"/>
    <s v="Drink"/>
    <n v="2"/>
    <n v="2.5"/>
    <s v="Apple Pay"/>
    <s v="C1933"/>
    <n v="5"/>
    <s v="Monday"/>
    <s v="February"/>
    <n v="2025"/>
  </r>
  <r>
    <x v="467"/>
    <d v="2025-02-03T00:00:00"/>
    <s v="Riverside"/>
    <s v="Bristol"/>
    <s v="Espresso"/>
    <s v="Drink"/>
    <n v="2"/>
    <n v="2.5"/>
    <s v="Apple Pay"/>
    <s v="C1962"/>
    <n v="5"/>
    <s v="Monday"/>
    <s v="February"/>
    <n v="2025"/>
  </r>
  <r>
    <x v="468"/>
    <d v="2025-02-03T00:00:00"/>
    <s v="Riverside"/>
    <s v="Manchester"/>
    <s v="Muffin"/>
    <s v="Food"/>
    <n v="2"/>
    <n v="2.2000000000000002"/>
    <s v="Apple Pay"/>
    <s v="C1496"/>
    <n v="4.4000000000000004"/>
    <s v="Monday"/>
    <s v="February"/>
    <n v="2025"/>
  </r>
  <r>
    <x v="469"/>
    <d v="2025-02-03T00:00:00"/>
    <s v="Riverside"/>
    <s v="London"/>
    <s v="Cappuccino"/>
    <s v="Drink"/>
    <n v="1"/>
    <n v="3.8"/>
    <s v="Cash"/>
    <s v="C1361"/>
    <n v="3.8"/>
    <s v="Monday"/>
    <s v="February"/>
    <n v="2025"/>
  </r>
  <r>
    <x v="470"/>
    <d v="2025-02-03T00:00:00"/>
    <s v="Station"/>
    <s v="Birmingham"/>
    <s v="Cappuccino"/>
    <s v="Drink"/>
    <n v="1"/>
    <n v="3.8"/>
    <s v="Cash"/>
    <s v="C1283"/>
    <n v="3.8"/>
    <s v="Monday"/>
    <s v="February"/>
    <n v="2025"/>
  </r>
  <r>
    <x v="471"/>
    <d v="2025-02-03T00:00:00"/>
    <s v="Station"/>
    <s v="London"/>
    <s v="Latte"/>
    <s v="Drink"/>
    <n v="1"/>
    <n v="3.5"/>
    <s v="Cash"/>
    <s v="C1632"/>
    <n v="3.5"/>
    <s v="Monday"/>
    <s v="February"/>
    <n v="2025"/>
  </r>
  <r>
    <x v="472"/>
    <d v="2025-02-03T00:00:00"/>
    <s v="Central"/>
    <s v="London"/>
    <s v="Croissant"/>
    <s v="Food"/>
    <n v="1"/>
    <n v="2.8"/>
    <s v="Card"/>
    <s v="C1380"/>
    <n v="2.8"/>
    <s v="Monday"/>
    <s v="February"/>
    <n v="2025"/>
  </r>
  <r>
    <x v="473"/>
    <d v="2025-02-03T00:00:00"/>
    <s v="Station"/>
    <s v="Manchester"/>
    <s v="Muffin"/>
    <s v="Food"/>
    <n v="1"/>
    <n v="2.2000000000000002"/>
    <s v="Cash"/>
    <s v="C1573"/>
    <n v="2.2000000000000002"/>
    <s v="Monday"/>
    <s v="February"/>
    <n v="2025"/>
  </r>
  <r>
    <x v="474"/>
    <d v="2025-02-03T00:00:00"/>
    <s v="Station"/>
    <s v="Bristol"/>
    <s v="Muffin"/>
    <s v="Food"/>
    <n v="1"/>
    <n v="2.2000000000000002"/>
    <s v="Cash"/>
    <s v="C1948"/>
    <n v="2.2000000000000002"/>
    <s v="Monday"/>
    <s v="February"/>
    <n v="2025"/>
  </r>
  <r>
    <x v="475"/>
    <d v="2025-02-04T00:00:00"/>
    <s v="Central"/>
    <s v="Bristol"/>
    <s v="Cappuccino"/>
    <s v="Drink"/>
    <n v="5"/>
    <n v="3.8"/>
    <s v="Card"/>
    <s v="C1373"/>
    <n v="19"/>
    <s v="Tuesday"/>
    <s v="February"/>
    <n v="2025"/>
  </r>
  <r>
    <x v="476"/>
    <d v="2025-02-04T00:00:00"/>
    <s v="Station"/>
    <s v="Leeds"/>
    <s v="Latte"/>
    <s v="Drink"/>
    <n v="5"/>
    <n v="3.5"/>
    <s v="Cash"/>
    <s v="C1725"/>
    <n v="17.5"/>
    <s v="Tuesday"/>
    <s v="February"/>
    <n v="2025"/>
  </r>
  <r>
    <x v="477"/>
    <d v="2025-02-04T00:00:00"/>
    <s v="Riverside"/>
    <s v="Bristol"/>
    <s v="Latte"/>
    <s v="Drink"/>
    <n v="5"/>
    <n v="3.5"/>
    <s v="Cash"/>
    <s v="C1153"/>
    <n v="17.5"/>
    <s v="Tuesday"/>
    <s v="February"/>
    <n v="2025"/>
  </r>
  <r>
    <x v="478"/>
    <d v="2025-02-04T00:00:00"/>
    <s v="High Street"/>
    <s v="Leeds"/>
    <s v="Cappuccino"/>
    <s v="Drink"/>
    <n v="4"/>
    <n v="3.8"/>
    <s v="Apple Pay"/>
    <s v="C1519"/>
    <n v="15.2"/>
    <s v="Tuesday"/>
    <s v="February"/>
    <n v="2025"/>
  </r>
  <r>
    <x v="479"/>
    <d v="2025-02-04T00:00:00"/>
    <s v="Station"/>
    <s v="London"/>
    <s v="Cappuccino"/>
    <s v="Drink"/>
    <n v="4"/>
    <n v="3.8"/>
    <s v="Card"/>
    <s v="C1391"/>
    <n v="15.2"/>
    <s v="Tuesday"/>
    <s v="February"/>
    <n v="2025"/>
  </r>
  <r>
    <x v="480"/>
    <d v="2025-02-04T00:00:00"/>
    <s v="Riverside"/>
    <s v="Leeds"/>
    <s v="Latte"/>
    <s v="Drink"/>
    <n v="4"/>
    <n v="3.5"/>
    <s v="Card"/>
    <s v="C1730"/>
    <n v="14"/>
    <s v="Tuesday"/>
    <s v="February"/>
    <n v="2025"/>
  </r>
  <r>
    <x v="481"/>
    <d v="2025-02-04T00:00:00"/>
    <s v="Riverside"/>
    <s v="Bristol"/>
    <s v="Latte"/>
    <s v="Drink"/>
    <n v="4"/>
    <n v="3.5"/>
    <s v="Cash"/>
    <s v="C1814"/>
    <n v="14"/>
    <s v="Tuesday"/>
    <s v="February"/>
    <n v="2025"/>
  </r>
  <r>
    <x v="482"/>
    <d v="2025-02-04T00:00:00"/>
    <s v="Riverside"/>
    <s v="London"/>
    <s v="Espresso"/>
    <s v="Drink"/>
    <n v="5"/>
    <n v="2.5"/>
    <s v="Cash"/>
    <s v="C1006"/>
    <n v="12.5"/>
    <s v="Tuesday"/>
    <s v="February"/>
    <n v="2025"/>
  </r>
  <r>
    <x v="483"/>
    <d v="2025-02-04T00:00:00"/>
    <s v="Central"/>
    <s v="London"/>
    <s v="Cappuccino"/>
    <s v="Drink"/>
    <n v="3"/>
    <n v="3.8"/>
    <s v="Cash"/>
    <s v="C1343"/>
    <n v="11.399999999999999"/>
    <s v="Tuesday"/>
    <s v="February"/>
    <n v="2025"/>
  </r>
  <r>
    <x v="484"/>
    <d v="2025-02-04T00:00:00"/>
    <s v="High Street"/>
    <s v="Manchester"/>
    <s v="Muffin"/>
    <s v="Food"/>
    <n v="5"/>
    <n v="2.2000000000000002"/>
    <s v="Card"/>
    <s v="C1810"/>
    <n v="11"/>
    <s v="Tuesday"/>
    <s v="February"/>
    <n v="2025"/>
  </r>
  <r>
    <x v="485"/>
    <d v="2025-02-04T00:00:00"/>
    <s v="Station"/>
    <s v="Bristol"/>
    <s v="Muffin"/>
    <s v="Food"/>
    <n v="4"/>
    <n v="2.2000000000000002"/>
    <s v="Apple Pay"/>
    <s v="C1694"/>
    <n v="8.8000000000000007"/>
    <s v="Tuesday"/>
    <s v="February"/>
    <n v="2025"/>
  </r>
  <r>
    <x v="486"/>
    <d v="2025-02-04T00:00:00"/>
    <s v="Central"/>
    <s v="Manchester"/>
    <s v="Cappuccino"/>
    <s v="Drink"/>
    <n v="2"/>
    <n v="3.8"/>
    <s v="Card"/>
    <s v="C1133"/>
    <n v="7.6"/>
    <s v="Tuesday"/>
    <s v="February"/>
    <n v="2025"/>
  </r>
  <r>
    <x v="487"/>
    <d v="2025-02-04T00:00:00"/>
    <s v="High Street"/>
    <s v="Birmingham"/>
    <s v="Cappuccino"/>
    <s v="Drink"/>
    <n v="2"/>
    <n v="3.8"/>
    <s v="Card"/>
    <s v="C1571"/>
    <n v="7.6"/>
    <s v="Tuesday"/>
    <s v="February"/>
    <n v="2025"/>
  </r>
  <r>
    <x v="488"/>
    <d v="2025-02-04T00:00:00"/>
    <s v="Central"/>
    <s v="Manchester"/>
    <s v="Muffin"/>
    <s v="Food"/>
    <n v="3"/>
    <n v="2.2000000000000002"/>
    <s v="Card"/>
    <s v="C1459"/>
    <n v="6.6000000000000005"/>
    <s v="Tuesday"/>
    <s v="February"/>
    <n v="2025"/>
  </r>
  <r>
    <x v="489"/>
    <d v="2025-02-04T00:00:00"/>
    <s v="Station"/>
    <s v="London"/>
    <s v="Croissant"/>
    <s v="Food"/>
    <n v="2"/>
    <n v="2.8"/>
    <s v="Cash"/>
    <s v="C1720"/>
    <n v="5.6"/>
    <s v="Tuesday"/>
    <s v="February"/>
    <n v="2025"/>
  </r>
  <r>
    <x v="490"/>
    <d v="2025-02-04T00:00:00"/>
    <s v="Central"/>
    <s v="Leeds"/>
    <s v="Espresso"/>
    <s v="Drink"/>
    <n v="2"/>
    <n v="2.5"/>
    <s v="Apple Pay"/>
    <s v="C1217"/>
    <n v="5"/>
    <s v="Tuesday"/>
    <s v="February"/>
    <n v="2025"/>
  </r>
  <r>
    <x v="491"/>
    <d v="2025-02-04T00:00:00"/>
    <s v="Station"/>
    <s v="Leeds"/>
    <s v="Espresso"/>
    <s v="Drink"/>
    <n v="2"/>
    <n v="2.5"/>
    <s v="Cash"/>
    <s v="C1815"/>
    <n v="5"/>
    <s v="Tuesday"/>
    <s v="February"/>
    <n v="2025"/>
  </r>
  <r>
    <x v="492"/>
    <d v="2025-02-04T00:00:00"/>
    <s v="Station"/>
    <s v="Bristol"/>
    <s v="Muffin"/>
    <s v="Food"/>
    <n v="2"/>
    <n v="2.2000000000000002"/>
    <s v="Apple Pay"/>
    <s v="C1476"/>
    <n v="4.4000000000000004"/>
    <s v="Tuesday"/>
    <s v="February"/>
    <n v="2025"/>
  </r>
  <r>
    <x v="493"/>
    <d v="2025-02-04T00:00:00"/>
    <s v="High Street"/>
    <s v="Manchester"/>
    <s v="Cappuccino"/>
    <s v="Drink"/>
    <n v="1"/>
    <n v="3.8"/>
    <s v="Cash"/>
    <s v="C1284"/>
    <n v="3.8"/>
    <s v="Tuesday"/>
    <s v="February"/>
    <n v="2025"/>
  </r>
  <r>
    <x v="494"/>
    <d v="2025-02-04T00:00:00"/>
    <s v="Station"/>
    <s v="London"/>
    <s v="Muffin"/>
    <s v="Food"/>
    <n v="1"/>
    <n v="2.2000000000000002"/>
    <s v="Card"/>
    <s v="C1169"/>
    <n v="2.2000000000000002"/>
    <s v="Tuesday"/>
    <s v="February"/>
    <n v="2025"/>
  </r>
  <r>
    <x v="495"/>
    <d v="2025-02-05T00:00:00"/>
    <s v="Riverside"/>
    <s v="Bristol"/>
    <s v="Cappuccino"/>
    <s v="Drink"/>
    <n v="5"/>
    <n v="3.8"/>
    <s v="Apple Pay"/>
    <s v="C1257"/>
    <n v="19"/>
    <s v="Wednesday"/>
    <s v="February"/>
    <n v="2025"/>
  </r>
  <r>
    <x v="496"/>
    <d v="2025-02-05T00:00:00"/>
    <s v="Station"/>
    <s v="London"/>
    <s v="Cappuccino"/>
    <s v="Drink"/>
    <n v="5"/>
    <n v="3.8"/>
    <s v="Cash"/>
    <s v="C1500"/>
    <n v="19"/>
    <s v="Wednesday"/>
    <s v="February"/>
    <n v="2025"/>
  </r>
  <r>
    <x v="497"/>
    <d v="2025-02-05T00:00:00"/>
    <s v="Riverside"/>
    <s v="Birmingham"/>
    <s v="Croissant"/>
    <s v="Food"/>
    <n v="4"/>
    <n v="2.8"/>
    <s v="Apple Pay"/>
    <s v="C1216"/>
    <n v="11.2"/>
    <s v="Wednesday"/>
    <s v="February"/>
    <n v="2025"/>
  </r>
  <r>
    <x v="498"/>
    <d v="2025-02-05T00:00:00"/>
    <s v="Central"/>
    <s v="Leeds"/>
    <s v="Muffin"/>
    <s v="Food"/>
    <n v="5"/>
    <n v="2.2000000000000002"/>
    <s v="Cash"/>
    <s v="C1153"/>
    <n v="11"/>
    <s v="Wednesday"/>
    <s v="February"/>
    <n v="2025"/>
  </r>
  <r>
    <x v="499"/>
    <d v="2025-02-05T00:00:00"/>
    <s v="Station"/>
    <s v="Bristol"/>
    <s v="Latte"/>
    <s v="Drink"/>
    <n v="3"/>
    <n v="3.5"/>
    <s v="Card"/>
    <s v="C1493"/>
    <n v="10.5"/>
    <s v="Wednesday"/>
    <s v="February"/>
    <n v="2025"/>
  </r>
  <r>
    <x v="500"/>
    <d v="2025-02-05T00:00:00"/>
    <s v="Riverside"/>
    <s v="Manchester"/>
    <s v="Muffin"/>
    <s v="Food"/>
    <n v="2"/>
    <n v="2.2000000000000002"/>
    <s v="Cash"/>
    <s v="C1660"/>
    <n v="4.4000000000000004"/>
    <s v="Wednesday"/>
    <s v="February"/>
    <n v="2025"/>
  </r>
  <r>
    <x v="501"/>
    <d v="2025-02-05T00:00:00"/>
    <s v="Riverside"/>
    <s v="Manchester"/>
    <s v="Cappuccino"/>
    <s v="Drink"/>
    <n v="1"/>
    <n v="3.8"/>
    <s v="Apple Pay"/>
    <s v="C1204"/>
    <n v="3.8"/>
    <s v="Wednesday"/>
    <s v="February"/>
    <n v="2025"/>
  </r>
  <r>
    <x v="502"/>
    <d v="2025-02-05T00:00:00"/>
    <s v="High Street"/>
    <s v="Manchester"/>
    <s v="Muffin"/>
    <s v="Food"/>
    <n v="1"/>
    <n v="2.2000000000000002"/>
    <s v="Apple Pay"/>
    <s v="C1966"/>
    <n v="2.2000000000000002"/>
    <s v="Wednesday"/>
    <s v="February"/>
    <n v="2025"/>
  </r>
  <r>
    <x v="503"/>
    <d v="2025-02-05T00:00:00"/>
    <s v="Riverside"/>
    <s v="Bristol"/>
    <s v="Muffin"/>
    <s v="Food"/>
    <n v="1"/>
    <n v="2.2000000000000002"/>
    <s v="Card"/>
    <s v="C1098"/>
    <n v="2.2000000000000002"/>
    <s v="Wednesday"/>
    <s v="February"/>
    <n v="2025"/>
  </r>
  <r>
    <x v="504"/>
    <d v="2025-02-06T00:00:00"/>
    <s v="High Street"/>
    <s v="Manchester"/>
    <s v="Cappuccino"/>
    <s v="Drink"/>
    <n v="4"/>
    <n v="3.8"/>
    <s v="Card"/>
    <s v="C1434"/>
    <n v="15.2"/>
    <s v="Thursday"/>
    <s v="February"/>
    <n v="2025"/>
  </r>
  <r>
    <x v="505"/>
    <d v="2025-02-06T00:00:00"/>
    <s v="Riverside"/>
    <s v="Leeds"/>
    <s v="Latte"/>
    <s v="Drink"/>
    <n v="4"/>
    <n v="3.5"/>
    <s v="Cash"/>
    <s v="C1294"/>
    <n v="14"/>
    <s v="Thursday"/>
    <s v="February"/>
    <n v="2025"/>
  </r>
  <r>
    <x v="506"/>
    <d v="2025-02-06T00:00:00"/>
    <s v="High Street"/>
    <s v="Bristol"/>
    <s v="Latte"/>
    <s v="Drink"/>
    <n v="4"/>
    <n v="3.5"/>
    <s v="Cash"/>
    <s v="C1745"/>
    <n v="14"/>
    <s v="Thursday"/>
    <s v="February"/>
    <n v="2025"/>
  </r>
  <r>
    <x v="507"/>
    <d v="2025-02-06T00:00:00"/>
    <s v="Riverside"/>
    <s v="London"/>
    <s v="Croissant"/>
    <s v="Food"/>
    <n v="4"/>
    <n v="2.8"/>
    <s v="Cash"/>
    <s v="C1832"/>
    <n v="11.2"/>
    <s v="Thursday"/>
    <s v="February"/>
    <n v="2025"/>
  </r>
  <r>
    <x v="508"/>
    <d v="2025-02-06T00:00:00"/>
    <s v="Station"/>
    <s v="London"/>
    <s v="Croissant"/>
    <s v="Food"/>
    <n v="4"/>
    <n v="2.8"/>
    <s v="Apple Pay"/>
    <s v="C1945"/>
    <n v="11.2"/>
    <s v="Thursday"/>
    <s v="February"/>
    <n v="2025"/>
  </r>
  <r>
    <x v="509"/>
    <d v="2025-02-06T00:00:00"/>
    <s v="Riverside"/>
    <s v="London"/>
    <s v="Muffin"/>
    <s v="Food"/>
    <n v="5"/>
    <n v="2.2000000000000002"/>
    <s v="Cash"/>
    <s v="C1819"/>
    <n v="11"/>
    <s v="Thursday"/>
    <s v="February"/>
    <n v="2025"/>
  </r>
  <r>
    <x v="510"/>
    <d v="2025-02-06T00:00:00"/>
    <s v="Central"/>
    <s v="Birmingham"/>
    <s v="Latte"/>
    <s v="Drink"/>
    <n v="3"/>
    <n v="3.5"/>
    <s v="Cash"/>
    <s v="C1222"/>
    <n v="10.5"/>
    <s v="Thursday"/>
    <s v="February"/>
    <n v="2025"/>
  </r>
  <r>
    <x v="511"/>
    <d v="2025-02-06T00:00:00"/>
    <s v="Central"/>
    <s v="Leeds"/>
    <s v="Espresso"/>
    <s v="Drink"/>
    <n v="4"/>
    <n v="2.5"/>
    <s v="Cash"/>
    <s v="C1090"/>
    <n v="10"/>
    <s v="Thursday"/>
    <s v="February"/>
    <n v="2025"/>
  </r>
  <r>
    <x v="512"/>
    <d v="2025-02-06T00:00:00"/>
    <s v="High Street"/>
    <s v="Birmingham"/>
    <s v="Espresso"/>
    <s v="Drink"/>
    <n v="3"/>
    <n v="2.5"/>
    <s v="Cash"/>
    <s v="C1322"/>
    <n v="7.5"/>
    <s v="Thursday"/>
    <s v="February"/>
    <n v="2025"/>
  </r>
  <r>
    <x v="513"/>
    <d v="2025-02-06T00:00:00"/>
    <s v="Riverside"/>
    <s v="London"/>
    <s v="Latte"/>
    <s v="Drink"/>
    <n v="2"/>
    <n v="3.5"/>
    <s v="Apple Pay"/>
    <s v="C1342"/>
    <n v="7"/>
    <s v="Thursday"/>
    <s v="February"/>
    <n v="2025"/>
  </r>
  <r>
    <x v="514"/>
    <d v="2025-02-06T00:00:00"/>
    <s v="High Street"/>
    <s v="Bristol"/>
    <s v="Muffin"/>
    <s v="Food"/>
    <n v="3"/>
    <n v="2.2000000000000002"/>
    <s v="Card"/>
    <s v="C1849"/>
    <n v="6.6000000000000005"/>
    <s v="Thursday"/>
    <s v="February"/>
    <n v="2025"/>
  </r>
  <r>
    <x v="515"/>
    <d v="2025-02-06T00:00:00"/>
    <s v="Riverside"/>
    <s v="Bristol"/>
    <s v="Latte"/>
    <s v="Drink"/>
    <n v="1"/>
    <n v="3.5"/>
    <s v="Card"/>
    <s v="C1101"/>
    <n v="3.5"/>
    <s v="Thursday"/>
    <s v="February"/>
    <n v="2025"/>
  </r>
  <r>
    <x v="516"/>
    <d v="2025-02-06T00:00:00"/>
    <s v="Station"/>
    <s v="Leeds"/>
    <s v="Muffin"/>
    <s v="Food"/>
    <n v="1"/>
    <n v="2.2000000000000002"/>
    <s v="Cash"/>
    <s v="C1570"/>
    <n v="2.2000000000000002"/>
    <s v="Thursday"/>
    <s v="February"/>
    <n v="2025"/>
  </r>
  <r>
    <x v="517"/>
    <d v="2025-02-06T00:00:00"/>
    <s v="Central"/>
    <s v="Manchester"/>
    <s v="Muffin"/>
    <s v="Food"/>
    <n v="1"/>
    <n v="2.2000000000000002"/>
    <s v="Cash"/>
    <s v="C1335"/>
    <n v="2.2000000000000002"/>
    <s v="Thursday"/>
    <s v="February"/>
    <n v="2025"/>
  </r>
  <r>
    <x v="518"/>
    <d v="2025-02-07T00:00:00"/>
    <s v="Central"/>
    <s v="London"/>
    <s v="Latte"/>
    <s v="Drink"/>
    <n v="5"/>
    <n v="3.5"/>
    <s v="Card"/>
    <s v="C1601"/>
    <n v="17.5"/>
    <s v="Friday"/>
    <s v="February"/>
    <n v="2025"/>
  </r>
  <r>
    <x v="519"/>
    <d v="2025-02-07T00:00:00"/>
    <s v="Central"/>
    <s v="Birmingham"/>
    <s v="Latte"/>
    <s v="Drink"/>
    <n v="5"/>
    <n v="3.5"/>
    <s v="Cash"/>
    <s v="C1629"/>
    <n v="17.5"/>
    <s v="Friday"/>
    <s v="February"/>
    <n v="2025"/>
  </r>
  <r>
    <x v="520"/>
    <d v="2025-02-07T00:00:00"/>
    <s v="High Street"/>
    <s v="Bristol"/>
    <s v="Cappuccino"/>
    <s v="Drink"/>
    <n v="4"/>
    <n v="3.8"/>
    <s v="Apple Pay"/>
    <s v="C1702"/>
    <n v="15.2"/>
    <s v="Friday"/>
    <s v="February"/>
    <n v="2025"/>
  </r>
  <r>
    <x v="521"/>
    <d v="2025-02-07T00:00:00"/>
    <s v="Central"/>
    <s v="Leeds"/>
    <s v="Espresso"/>
    <s v="Drink"/>
    <n v="5"/>
    <n v="2.5"/>
    <s v="Cash"/>
    <s v="C1789"/>
    <n v="12.5"/>
    <s v="Friday"/>
    <s v="February"/>
    <n v="2025"/>
  </r>
  <r>
    <x v="522"/>
    <d v="2025-02-07T00:00:00"/>
    <s v="Riverside"/>
    <s v="Birmingham"/>
    <s v="Croissant"/>
    <s v="Food"/>
    <n v="4"/>
    <n v="2.8"/>
    <s v="Card"/>
    <s v="C1937"/>
    <n v="11.2"/>
    <s v="Friday"/>
    <s v="February"/>
    <n v="2025"/>
  </r>
  <r>
    <x v="523"/>
    <d v="2025-02-07T00:00:00"/>
    <s v="Central"/>
    <s v="Birmingham"/>
    <s v="Croissant"/>
    <s v="Food"/>
    <n v="4"/>
    <n v="2.8"/>
    <s v="Card"/>
    <s v="C1375"/>
    <n v="11.2"/>
    <s v="Friday"/>
    <s v="February"/>
    <n v="2025"/>
  </r>
  <r>
    <x v="524"/>
    <d v="2025-02-07T00:00:00"/>
    <s v="High Street"/>
    <s v="Birmingham"/>
    <s v="Croissant"/>
    <s v="Food"/>
    <n v="4"/>
    <n v="2.8"/>
    <s v="Apple Pay"/>
    <s v="C1781"/>
    <n v="11.2"/>
    <s v="Friday"/>
    <s v="February"/>
    <n v="2025"/>
  </r>
  <r>
    <x v="525"/>
    <d v="2025-02-07T00:00:00"/>
    <s v="Riverside"/>
    <s v="Birmingham"/>
    <s v="Muffin"/>
    <s v="Food"/>
    <n v="4"/>
    <n v="2.2000000000000002"/>
    <s v="Card"/>
    <s v="C1534"/>
    <n v="8.8000000000000007"/>
    <s v="Friday"/>
    <s v="February"/>
    <n v="2025"/>
  </r>
  <r>
    <x v="526"/>
    <d v="2025-02-07T00:00:00"/>
    <s v="High Street"/>
    <s v="Bristol"/>
    <s v="Muffin"/>
    <s v="Food"/>
    <n v="4"/>
    <n v="2.2000000000000002"/>
    <s v="Card"/>
    <s v="C1948"/>
    <n v="8.8000000000000007"/>
    <s v="Friday"/>
    <s v="February"/>
    <n v="2025"/>
  </r>
  <r>
    <x v="527"/>
    <d v="2025-02-07T00:00:00"/>
    <s v="Central"/>
    <s v="Birmingham"/>
    <s v="Latte"/>
    <s v="Drink"/>
    <n v="2"/>
    <n v="3.5"/>
    <s v="Cash"/>
    <s v="C1047"/>
    <n v="7"/>
    <s v="Friday"/>
    <s v="February"/>
    <n v="2025"/>
  </r>
  <r>
    <x v="528"/>
    <d v="2025-02-07T00:00:00"/>
    <s v="Station"/>
    <s v="Birmingham"/>
    <s v="Cappuccino"/>
    <s v="Drink"/>
    <n v="1"/>
    <n v="3.8"/>
    <s v="Card"/>
    <s v="C1690"/>
    <n v="3.8"/>
    <s v="Friday"/>
    <s v="February"/>
    <n v="2025"/>
  </r>
  <r>
    <x v="529"/>
    <d v="2025-02-07T00:00:00"/>
    <s v="Station"/>
    <s v="Leeds"/>
    <s v="Cappuccino"/>
    <s v="Drink"/>
    <n v="1"/>
    <n v="3.8"/>
    <s v="Apple Pay"/>
    <s v="C1952"/>
    <n v="3.8"/>
    <s v="Friday"/>
    <s v="February"/>
    <n v="2025"/>
  </r>
  <r>
    <x v="530"/>
    <d v="2025-02-07T00:00:00"/>
    <s v="Riverside"/>
    <s v="Birmingham"/>
    <s v="Espresso"/>
    <s v="Drink"/>
    <n v="1"/>
    <n v="2.5"/>
    <s v="Cash"/>
    <s v="C1159"/>
    <n v="2.5"/>
    <s v="Friday"/>
    <s v="February"/>
    <n v="2025"/>
  </r>
  <r>
    <x v="531"/>
    <d v="2025-02-07T00:00:00"/>
    <s v="Riverside"/>
    <s v="Manchester"/>
    <s v="Muffin"/>
    <s v="Food"/>
    <n v="1"/>
    <n v="2.2000000000000002"/>
    <s v="Card"/>
    <s v="C1111"/>
    <n v="2.2000000000000002"/>
    <s v="Friday"/>
    <s v="February"/>
    <n v="2025"/>
  </r>
  <r>
    <x v="532"/>
    <d v="2025-02-08T00:00:00"/>
    <s v="Riverside"/>
    <s v="Birmingham"/>
    <s v="Latte"/>
    <s v="Drink"/>
    <n v="4"/>
    <n v="3.5"/>
    <s v="Card"/>
    <s v="C1365"/>
    <n v="14"/>
    <s v="Saturday"/>
    <s v="February"/>
    <n v="2025"/>
  </r>
  <r>
    <x v="533"/>
    <d v="2025-02-08T00:00:00"/>
    <s v="High Street"/>
    <s v="Birmingham"/>
    <s v="Latte"/>
    <s v="Drink"/>
    <n v="3"/>
    <n v="3.5"/>
    <s v="Apple Pay"/>
    <s v="C1438"/>
    <n v="10.5"/>
    <s v="Saturday"/>
    <s v="February"/>
    <n v="2025"/>
  </r>
  <r>
    <x v="534"/>
    <d v="2025-02-08T00:00:00"/>
    <s v="Station"/>
    <s v="Bristol"/>
    <s v="Espresso"/>
    <s v="Drink"/>
    <n v="4"/>
    <n v="2.5"/>
    <s v="Apple Pay"/>
    <s v="C1750"/>
    <n v="10"/>
    <s v="Saturday"/>
    <s v="February"/>
    <n v="2025"/>
  </r>
  <r>
    <x v="535"/>
    <d v="2025-02-08T00:00:00"/>
    <s v="Riverside"/>
    <s v="London"/>
    <s v="Muffin"/>
    <s v="Food"/>
    <n v="4"/>
    <n v="2.2000000000000002"/>
    <s v="Cash"/>
    <s v="C1171"/>
    <n v="8.8000000000000007"/>
    <s v="Saturday"/>
    <s v="February"/>
    <n v="2025"/>
  </r>
  <r>
    <x v="536"/>
    <d v="2025-02-08T00:00:00"/>
    <s v="Station"/>
    <s v="Bristol"/>
    <s v="Croissant"/>
    <s v="Food"/>
    <n v="2"/>
    <n v="2.8"/>
    <s v="Apple Pay"/>
    <s v="C1331"/>
    <n v="5.6"/>
    <s v="Saturday"/>
    <s v="February"/>
    <n v="2025"/>
  </r>
  <r>
    <x v="537"/>
    <d v="2025-02-08T00:00:00"/>
    <s v="High Street"/>
    <s v="London"/>
    <s v="Latte"/>
    <s v="Drink"/>
    <n v="1"/>
    <n v="3.5"/>
    <s v="Card"/>
    <s v="C1720"/>
    <n v="3.5"/>
    <s v="Saturday"/>
    <s v="February"/>
    <n v="2025"/>
  </r>
  <r>
    <x v="538"/>
    <d v="2025-02-08T00:00:00"/>
    <s v="Riverside"/>
    <s v="Leeds"/>
    <s v="Latte"/>
    <s v="Drink"/>
    <n v="1"/>
    <n v="3.5"/>
    <s v="Card"/>
    <s v="C1531"/>
    <n v="3.5"/>
    <s v="Saturday"/>
    <s v="February"/>
    <n v="2025"/>
  </r>
  <r>
    <x v="539"/>
    <d v="2025-02-08T00:00:00"/>
    <s v="Riverside"/>
    <s v="Leeds"/>
    <s v="Croissant"/>
    <s v="Food"/>
    <n v="1"/>
    <n v="2.8"/>
    <s v="Cash"/>
    <s v="C1170"/>
    <n v="2.8"/>
    <s v="Saturday"/>
    <s v="February"/>
    <n v="2025"/>
  </r>
  <r>
    <x v="540"/>
    <d v="2025-02-09T00:00:00"/>
    <s v="Station"/>
    <s v="Leeds"/>
    <s v="Cappuccino"/>
    <s v="Drink"/>
    <n v="5"/>
    <n v="3.8"/>
    <s v="Apple Pay"/>
    <s v="C1677"/>
    <n v="19"/>
    <s v="Sunday"/>
    <s v="February"/>
    <n v="2025"/>
  </r>
  <r>
    <x v="541"/>
    <d v="2025-02-09T00:00:00"/>
    <s v="Station"/>
    <s v="Bristol"/>
    <s v="Cappuccino"/>
    <s v="Drink"/>
    <n v="4"/>
    <n v="3.8"/>
    <s v="Cash"/>
    <s v="C1652"/>
    <n v="15.2"/>
    <s v="Sunday"/>
    <s v="February"/>
    <n v="2025"/>
  </r>
  <r>
    <x v="542"/>
    <d v="2025-02-09T00:00:00"/>
    <s v="Central"/>
    <s v="Manchester"/>
    <s v="Cappuccino"/>
    <s v="Drink"/>
    <n v="4"/>
    <n v="3.8"/>
    <s v="Cash"/>
    <s v="C1222"/>
    <n v="15.2"/>
    <s v="Sunday"/>
    <s v="February"/>
    <n v="2025"/>
  </r>
  <r>
    <x v="543"/>
    <d v="2025-02-09T00:00:00"/>
    <s v="Central"/>
    <s v="Leeds"/>
    <s v="Espresso"/>
    <s v="Drink"/>
    <n v="5"/>
    <n v="2.5"/>
    <s v="Cash"/>
    <s v="C1314"/>
    <n v="12.5"/>
    <s v="Sunday"/>
    <s v="February"/>
    <n v="2025"/>
  </r>
  <r>
    <x v="544"/>
    <d v="2025-02-09T00:00:00"/>
    <s v="Riverside"/>
    <s v="Manchester"/>
    <s v="Espresso"/>
    <s v="Drink"/>
    <n v="5"/>
    <n v="2.5"/>
    <s v="Card"/>
    <s v="C1232"/>
    <n v="12.5"/>
    <s v="Sunday"/>
    <s v="February"/>
    <n v="2025"/>
  </r>
  <r>
    <x v="545"/>
    <d v="2025-02-09T00:00:00"/>
    <s v="Central"/>
    <s v="Leeds"/>
    <s v="Croissant"/>
    <s v="Food"/>
    <n v="4"/>
    <n v="2.8"/>
    <s v="Apple Pay"/>
    <s v="C1282"/>
    <n v="11.2"/>
    <s v="Sunday"/>
    <s v="February"/>
    <n v="2025"/>
  </r>
  <r>
    <x v="546"/>
    <d v="2025-02-09T00:00:00"/>
    <s v="High Street"/>
    <s v="Bristol"/>
    <s v="Muffin"/>
    <s v="Food"/>
    <n v="5"/>
    <n v="2.2000000000000002"/>
    <s v="Card"/>
    <s v="C1364"/>
    <n v="11"/>
    <s v="Sunday"/>
    <s v="February"/>
    <n v="2025"/>
  </r>
  <r>
    <x v="547"/>
    <d v="2025-02-09T00:00:00"/>
    <s v="Station"/>
    <s v="Leeds"/>
    <s v="Muffin"/>
    <s v="Food"/>
    <n v="5"/>
    <n v="2.2000000000000002"/>
    <s v="Cash"/>
    <s v="C1284"/>
    <n v="11"/>
    <s v="Sunday"/>
    <s v="February"/>
    <n v="2025"/>
  </r>
  <r>
    <x v="548"/>
    <d v="2025-02-09T00:00:00"/>
    <s v="Central"/>
    <s v="Birmingham"/>
    <s v="Latte"/>
    <s v="Drink"/>
    <n v="3"/>
    <n v="3.5"/>
    <s v="Apple Pay"/>
    <s v="C1524"/>
    <n v="10.5"/>
    <s v="Sunday"/>
    <s v="February"/>
    <n v="2025"/>
  </r>
  <r>
    <x v="549"/>
    <d v="2025-02-09T00:00:00"/>
    <s v="Station"/>
    <s v="London"/>
    <s v="Espresso"/>
    <s v="Drink"/>
    <n v="4"/>
    <n v="2.5"/>
    <s v="Cash"/>
    <s v="C1031"/>
    <n v="10"/>
    <s v="Sunday"/>
    <s v="February"/>
    <n v="2025"/>
  </r>
  <r>
    <x v="550"/>
    <d v="2025-02-09T00:00:00"/>
    <s v="Central"/>
    <s v="Manchester"/>
    <s v="Croissant"/>
    <s v="Food"/>
    <n v="3"/>
    <n v="2.8"/>
    <s v="Cash"/>
    <s v="C1015"/>
    <n v="8.3999999999999986"/>
    <s v="Sunday"/>
    <s v="February"/>
    <n v="2025"/>
  </r>
  <r>
    <x v="551"/>
    <d v="2025-02-09T00:00:00"/>
    <s v="Riverside"/>
    <s v="Bristol"/>
    <s v="Latte"/>
    <s v="Drink"/>
    <n v="2"/>
    <n v="3.5"/>
    <s v="Cash"/>
    <s v="C1276"/>
    <n v="7"/>
    <s v="Sunday"/>
    <s v="February"/>
    <n v="2025"/>
  </r>
  <r>
    <x v="552"/>
    <d v="2025-02-09T00:00:00"/>
    <s v="High Street"/>
    <s v="Bristol"/>
    <s v="Muffin"/>
    <s v="Food"/>
    <n v="3"/>
    <n v="2.2000000000000002"/>
    <s v="Card"/>
    <s v="C1469"/>
    <n v="6.6000000000000005"/>
    <s v="Sunday"/>
    <s v="February"/>
    <n v="2025"/>
  </r>
  <r>
    <x v="553"/>
    <d v="2025-02-09T00:00:00"/>
    <s v="Riverside"/>
    <s v="London"/>
    <s v="Muffin"/>
    <s v="Food"/>
    <n v="3"/>
    <n v="2.2000000000000002"/>
    <s v="Apple Pay"/>
    <s v="C1212"/>
    <n v="6.6000000000000005"/>
    <s v="Sunday"/>
    <s v="February"/>
    <n v="2025"/>
  </r>
  <r>
    <x v="554"/>
    <d v="2025-02-09T00:00:00"/>
    <s v="Station"/>
    <s v="Birmingham"/>
    <s v="Espresso"/>
    <s v="Drink"/>
    <n v="2"/>
    <n v="2.5"/>
    <s v="Cash"/>
    <s v="C1930"/>
    <n v="5"/>
    <s v="Sunday"/>
    <s v="February"/>
    <n v="2025"/>
  </r>
  <r>
    <x v="555"/>
    <d v="2025-02-09T00:00:00"/>
    <s v="High Street"/>
    <s v="Manchester"/>
    <s v="Latte"/>
    <s v="Drink"/>
    <n v="1"/>
    <n v="3.5"/>
    <s v="Cash"/>
    <s v="C1476"/>
    <n v="3.5"/>
    <s v="Sunday"/>
    <s v="February"/>
    <n v="2025"/>
  </r>
  <r>
    <x v="556"/>
    <d v="2025-02-09T00:00:00"/>
    <s v="High Street"/>
    <s v="Leeds"/>
    <s v="Espresso"/>
    <s v="Drink"/>
    <n v="1"/>
    <n v="2.5"/>
    <s v="Cash"/>
    <s v="C1243"/>
    <n v="2.5"/>
    <s v="Sunday"/>
    <s v="February"/>
    <n v="2025"/>
  </r>
  <r>
    <x v="557"/>
    <d v="2025-02-09T00:00:00"/>
    <s v="Station"/>
    <s v="Manchester"/>
    <s v="Muffin"/>
    <s v="Food"/>
    <n v="1"/>
    <n v="2.2000000000000002"/>
    <s v="Cash"/>
    <s v="C1412"/>
    <n v="2.2000000000000002"/>
    <s v="Sunday"/>
    <s v="February"/>
    <n v="2025"/>
  </r>
  <r>
    <x v="558"/>
    <d v="2025-02-10T00:00:00"/>
    <s v="Station"/>
    <s v="London"/>
    <s v="Latte"/>
    <s v="Drink"/>
    <n v="5"/>
    <n v="3.5"/>
    <s v="Cash"/>
    <s v="C1429"/>
    <n v="17.5"/>
    <s v="Monday"/>
    <s v="February"/>
    <n v="2025"/>
  </r>
  <r>
    <x v="559"/>
    <d v="2025-02-10T00:00:00"/>
    <s v="Central"/>
    <s v="Manchester"/>
    <s v="Latte"/>
    <s v="Drink"/>
    <n v="5"/>
    <n v="3.5"/>
    <s v="Card"/>
    <s v="C1422"/>
    <n v="17.5"/>
    <s v="Monday"/>
    <s v="February"/>
    <n v="2025"/>
  </r>
  <r>
    <x v="560"/>
    <d v="2025-02-10T00:00:00"/>
    <s v="High Street"/>
    <s v="Bristol"/>
    <s v="Cappuccino"/>
    <s v="Drink"/>
    <n v="4"/>
    <n v="3.8"/>
    <s v="Cash"/>
    <s v="C1690"/>
    <n v="15.2"/>
    <s v="Monday"/>
    <s v="February"/>
    <n v="2025"/>
  </r>
  <r>
    <x v="561"/>
    <d v="2025-02-10T00:00:00"/>
    <s v="High Street"/>
    <s v="London"/>
    <s v="Croissant"/>
    <s v="Food"/>
    <n v="5"/>
    <n v="2.8"/>
    <s v="Cash"/>
    <s v="C1582"/>
    <n v="14"/>
    <s v="Monday"/>
    <s v="February"/>
    <n v="2025"/>
  </r>
  <r>
    <x v="562"/>
    <d v="2025-02-10T00:00:00"/>
    <s v="Central"/>
    <s v="Manchester"/>
    <s v="Croissant"/>
    <s v="Food"/>
    <n v="4"/>
    <n v="2.8"/>
    <s v="Cash"/>
    <s v="C1651"/>
    <n v="11.2"/>
    <s v="Monday"/>
    <s v="February"/>
    <n v="2025"/>
  </r>
  <r>
    <x v="563"/>
    <d v="2025-02-10T00:00:00"/>
    <s v="Riverside"/>
    <s v="Manchester"/>
    <s v="Muffin"/>
    <s v="Food"/>
    <n v="5"/>
    <n v="2.2000000000000002"/>
    <s v="Apple Pay"/>
    <s v="C1285"/>
    <n v="11"/>
    <s v="Monday"/>
    <s v="February"/>
    <n v="2025"/>
  </r>
  <r>
    <x v="564"/>
    <d v="2025-02-10T00:00:00"/>
    <s v="Station"/>
    <s v="London"/>
    <s v="Muffin"/>
    <s v="Food"/>
    <n v="5"/>
    <n v="2.2000000000000002"/>
    <s v="Cash"/>
    <s v="C1387"/>
    <n v="11"/>
    <s v="Monday"/>
    <s v="February"/>
    <n v="2025"/>
  </r>
  <r>
    <x v="564"/>
    <d v="2025-02-10T00:00:00"/>
    <s v="Station"/>
    <s v="London"/>
    <s v="Muffin"/>
    <s v="Food"/>
    <n v="5"/>
    <n v="2.2000000000000002"/>
    <s v="Card"/>
    <s v="C1387"/>
    <n v="11"/>
    <s v="Monday"/>
    <s v="February"/>
    <n v="2025"/>
  </r>
  <r>
    <x v="565"/>
    <d v="2025-02-10T00:00:00"/>
    <s v="Station"/>
    <s v="Bristol"/>
    <s v="Latte"/>
    <s v="Drink"/>
    <n v="3"/>
    <n v="3.5"/>
    <s v="Cash"/>
    <s v="C1994"/>
    <n v="10.5"/>
    <s v="Monday"/>
    <s v="February"/>
    <n v="2025"/>
  </r>
  <r>
    <x v="566"/>
    <d v="2025-02-10T00:00:00"/>
    <s v="Central"/>
    <s v="Birmingham"/>
    <s v="Latte"/>
    <s v="Drink"/>
    <n v="3"/>
    <n v="3.5"/>
    <s v="Apple Pay"/>
    <s v="C1554"/>
    <n v="10.5"/>
    <s v="Monday"/>
    <s v="February"/>
    <n v="2025"/>
  </r>
  <r>
    <x v="567"/>
    <d v="2025-02-10T00:00:00"/>
    <s v="Riverside"/>
    <s v="London"/>
    <s v="Latte"/>
    <s v="Drink"/>
    <n v="3"/>
    <n v="3.5"/>
    <s v="Card"/>
    <s v="C1051"/>
    <n v="10.5"/>
    <s v="Monday"/>
    <s v="February"/>
    <n v="2025"/>
  </r>
  <r>
    <x v="568"/>
    <d v="2025-02-10T00:00:00"/>
    <s v="High Street"/>
    <s v="Manchester"/>
    <s v="Espresso"/>
    <s v="Drink"/>
    <n v="4"/>
    <n v="2.5"/>
    <s v="Cash"/>
    <s v="C1210"/>
    <n v="10"/>
    <s v="Monday"/>
    <s v="February"/>
    <n v="2025"/>
  </r>
  <r>
    <x v="569"/>
    <d v="2025-02-10T00:00:00"/>
    <s v="Riverside"/>
    <s v="Bristol"/>
    <s v="Croissant"/>
    <s v="Food"/>
    <n v="3"/>
    <n v="2.8"/>
    <s v="Cash"/>
    <s v="C1208"/>
    <n v="8.3999999999999986"/>
    <s v="Monday"/>
    <s v="February"/>
    <n v="2025"/>
  </r>
  <r>
    <x v="570"/>
    <d v="2025-02-10T00:00:00"/>
    <s v="Station"/>
    <s v="Manchester"/>
    <s v="Cappuccino"/>
    <s v="Drink"/>
    <n v="2"/>
    <n v="3.8"/>
    <s v="Card"/>
    <s v="C1585"/>
    <n v="7.6"/>
    <s v="Monday"/>
    <s v="February"/>
    <n v="2025"/>
  </r>
  <r>
    <x v="571"/>
    <d v="2025-02-10T00:00:00"/>
    <s v="Riverside"/>
    <s v="Bristol"/>
    <s v="Espresso"/>
    <s v="Drink"/>
    <n v="3"/>
    <n v="2.5"/>
    <s v="Apple Pay"/>
    <s v="C1829"/>
    <n v="7.5"/>
    <s v="Monday"/>
    <s v="February"/>
    <n v="2025"/>
  </r>
  <r>
    <x v="572"/>
    <d v="2025-02-10T00:00:00"/>
    <s v="Riverside"/>
    <s v="London"/>
    <s v="Espresso"/>
    <s v="Drink"/>
    <n v="3"/>
    <n v="2.5"/>
    <s v="Card"/>
    <s v="C1019"/>
    <n v="7.5"/>
    <s v="Monday"/>
    <s v="February"/>
    <n v="2025"/>
  </r>
  <r>
    <x v="573"/>
    <d v="2025-02-10T00:00:00"/>
    <s v="Central"/>
    <s v="Bristol"/>
    <s v="Latte"/>
    <s v="Drink"/>
    <n v="2"/>
    <n v="3.5"/>
    <s v="Cash"/>
    <s v="C1973"/>
    <n v="7"/>
    <s v="Monday"/>
    <s v="February"/>
    <n v="2025"/>
  </r>
  <r>
    <x v="574"/>
    <d v="2025-02-10T00:00:00"/>
    <s v="Station"/>
    <s v="Leeds"/>
    <s v="Muffin"/>
    <s v="Food"/>
    <n v="3"/>
    <n v="2.2000000000000002"/>
    <s v="Card"/>
    <s v="C1214"/>
    <n v="6.6000000000000005"/>
    <s v="Monday"/>
    <s v="February"/>
    <n v="2025"/>
  </r>
  <r>
    <x v="575"/>
    <d v="2025-02-10T00:00:00"/>
    <s v="Central"/>
    <s v="Leeds"/>
    <s v="Latte"/>
    <s v="Drink"/>
    <n v="1"/>
    <n v="3.5"/>
    <s v="Card"/>
    <s v="C1607"/>
    <n v="3.5"/>
    <s v="Monday"/>
    <s v="February"/>
    <n v="2025"/>
  </r>
  <r>
    <x v="576"/>
    <d v="2025-02-10T00:00:00"/>
    <s v="Riverside"/>
    <s v="Leeds"/>
    <s v="Latte"/>
    <s v="Drink"/>
    <n v="1"/>
    <n v="3.5"/>
    <s v="Card"/>
    <s v="C1980"/>
    <n v="3.5"/>
    <s v="Monday"/>
    <s v="February"/>
    <n v="2025"/>
  </r>
  <r>
    <x v="577"/>
    <d v="2025-02-10T00:00:00"/>
    <s v="High Street"/>
    <s v="London"/>
    <s v="Muffin"/>
    <s v="Food"/>
    <n v="1"/>
    <n v="2.2000000000000002"/>
    <s v="Card"/>
    <s v="C1447"/>
    <n v="2.2000000000000002"/>
    <s v="Monday"/>
    <s v="February"/>
    <n v="2025"/>
  </r>
  <r>
    <x v="578"/>
    <d v="2025-02-11T00:00:00"/>
    <s v="Central"/>
    <s v="Leeds"/>
    <s v="Cappuccino"/>
    <s v="Drink"/>
    <n v="5"/>
    <n v="3.8"/>
    <s v="Cash"/>
    <s v="C1862"/>
    <n v="19"/>
    <s v="Tuesday"/>
    <s v="February"/>
    <n v="2025"/>
  </r>
  <r>
    <x v="579"/>
    <d v="2025-02-11T00:00:00"/>
    <s v="Station"/>
    <s v="Birmingham"/>
    <s v="Cappuccino"/>
    <s v="Drink"/>
    <n v="5"/>
    <n v="3.8"/>
    <s v="Cash"/>
    <s v="C1476"/>
    <n v="19"/>
    <s v="Tuesday"/>
    <s v="February"/>
    <n v="2025"/>
  </r>
  <r>
    <x v="580"/>
    <d v="2025-02-11T00:00:00"/>
    <s v="Station"/>
    <s v="N/A"/>
    <s v="Cappuccino"/>
    <s v="Drink"/>
    <n v="4"/>
    <n v="3.8"/>
    <s v="Cash"/>
    <s v="C1802"/>
    <n v="15.2"/>
    <s v="Tuesday"/>
    <s v="February"/>
    <n v="2025"/>
  </r>
  <r>
    <x v="581"/>
    <d v="2025-02-11T00:00:00"/>
    <s v="Riverside"/>
    <s v="Leeds"/>
    <s v="Cappuccino"/>
    <s v="Drink"/>
    <n v="4"/>
    <n v="3.8"/>
    <s v="Apple Pay"/>
    <s v="C1055"/>
    <n v="15.2"/>
    <s v="Tuesday"/>
    <s v="February"/>
    <n v="2025"/>
  </r>
  <r>
    <x v="582"/>
    <d v="2025-02-11T00:00:00"/>
    <s v="Central"/>
    <s v="Leeds"/>
    <s v="Croissant"/>
    <s v="Food"/>
    <n v="5"/>
    <n v="2.8"/>
    <s v="Cash"/>
    <s v="C1279"/>
    <n v="14"/>
    <s v="Tuesday"/>
    <s v="February"/>
    <n v="2025"/>
  </r>
  <r>
    <x v="583"/>
    <d v="2025-02-11T00:00:00"/>
    <s v="Riverside"/>
    <s v="Bristol"/>
    <s v="Croissant"/>
    <s v="Food"/>
    <n v="5"/>
    <n v="2.8"/>
    <s v="Card"/>
    <s v="C1951"/>
    <n v="14"/>
    <s v="Tuesday"/>
    <s v="February"/>
    <n v="2025"/>
  </r>
  <r>
    <x v="584"/>
    <d v="2025-02-11T00:00:00"/>
    <s v="Station"/>
    <s v="London"/>
    <s v="Latte"/>
    <s v="Drink"/>
    <n v="4"/>
    <n v="3.5"/>
    <s v="Card"/>
    <s v="C1720"/>
    <n v="14"/>
    <s v="Tuesday"/>
    <s v="February"/>
    <n v="2025"/>
  </r>
  <r>
    <x v="585"/>
    <d v="2025-02-11T00:00:00"/>
    <s v="Station"/>
    <s v="Bristol"/>
    <s v="Espresso"/>
    <s v="Drink"/>
    <n v="5"/>
    <n v="2.5"/>
    <s v="Cash"/>
    <s v="C1375"/>
    <n v="12.5"/>
    <s v="Tuesday"/>
    <s v="February"/>
    <n v="2025"/>
  </r>
  <r>
    <x v="586"/>
    <d v="2025-02-11T00:00:00"/>
    <s v="Station"/>
    <s v="Leeds"/>
    <s v="Espresso"/>
    <s v="Drink"/>
    <n v="4"/>
    <n v="2.5"/>
    <s v="Cash"/>
    <s v="C1271"/>
    <n v="10"/>
    <s v="Tuesday"/>
    <s v="February"/>
    <n v="2025"/>
  </r>
  <r>
    <x v="587"/>
    <d v="2025-02-11T00:00:00"/>
    <s v="Riverside"/>
    <s v="Bristol"/>
    <s v="Muffin"/>
    <s v="Food"/>
    <n v="4"/>
    <n v="2.2000000000000002"/>
    <s v="Card"/>
    <s v="C1349"/>
    <n v="8.8000000000000007"/>
    <s v="Tuesday"/>
    <s v="February"/>
    <n v="2025"/>
  </r>
  <r>
    <x v="588"/>
    <d v="2025-02-11T00:00:00"/>
    <s v="Riverside"/>
    <s v="Leeds"/>
    <s v="Muffin"/>
    <s v="Food"/>
    <n v="4"/>
    <n v="2.2000000000000002"/>
    <s v="Cash"/>
    <s v="C1613"/>
    <n v="8.8000000000000007"/>
    <s v="Tuesday"/>
    <s v="February"/>
    <n v="2025"/>
  </r>
  <r>
    <x v="589"/>
    <d v="2025-02-11T00:00:00"/>
    <s v="Riverside"/>
    <s v="Manchester"/>
    <s v="Croissant"/>
    <s v="Food"/>
    <n v="3"/>
    <n v="2.8"/>
    <s v="Cash"/>
    <s v="C1767"/>
    <n v="8.3999999999999986"/>
    <s v="Tuesday"/>
    <s v="February"/>
    <n v="2025"/>
  </r>
  <r>
    <x v="590"/>
    <d v="2025-02-11T00:00:00"/>
    <s v="Central"/>
    <s v="Manchester"/>
    <s v="Latte"/>
    <s v="Drink"/>
    <n v="2"/>
    <n v="3.5"/>
    <s v="Apple Pay"/>
    <s v="C1544"/>
    <n v="7"/>
    <s v="Tuesday"/>
    <s v="February"/>
    <n v="2025"/>
  </r>
  <r>
    <x v="591"/>
    <d v="2025-02-11T00:00:00"/>
    <s v="High Street"/>
    <s v="Birmingham"/>
    <s v="Croissant"/>
    <s v="Food"/>
    <n v="2"/>
    <n v="2.8"/>
    <s v="Cash"/>
    <s v="C1778"/>
    <n v="5.6"/>
    <s v="Tuesday"/>
    <s v="February"/>
    <n v="2025"/>
  </r>
  <r>
    <x v="592"/>
    <d v="2025-02-11T00:00:00"/>
    <s v="Central"/>
    <s v="Birmingham"/>
    <s v="Espresso"/>
    <s v="Drink"/>
    <n v="2"/>
    <n v="2.5"/>
    <s v="Card"/>
    <s v="C1916"/>
    <n v="5"/>
    <s v="Tuesday"/>
    <s v="February"/>
    <n v="2025"/>
  </r>
  <r>
    <x v="593"/>
    <d v="2025-02-11T00:00:00"/>
    <s v="Riverside"/>
    <s v="Manchester"/>
    <s v="Muffin"/>
    <s v="Food"/>
    <n v="2"/>
    <n v="2.2000000000000002"/>
    <s v="Card"/>
    <s v="C1516"/>
    <n v="4.4000000000000004"/>
    <s v="Tuesday"/>
    <s v="February"/>
    <n v="2025"/>
  </r>
  <r>
    <x v="594"/>
    <d v="2025-02-11T00:00:00"/>
    <s v="Station"/>
    <s v="London"/>
    <s v="Latte"/>
    <s v="Drink"/>
    <n v="1"/>
    <n v="3.5"/>
    <s v="Card"/>
    <s v="C1980"/>
    <n v="3.5"/>
    <s v="Tuesday"/>
    <s v="February"/>
    <n v="2025"/>
  </r>
  <r>
    <x v="595"/>
    <d v="2025-02-11T00:00:00"/>
    <s v="Station"/>
    <s v="London"/>
    <s v="Latte"/>
    <s v="Drink"/>
    <n v="1"/>
    <n v="3.5"/>
    <s v="Apple Pay"/>
    <s v="C1085"/>
    <n v="3.5"/>
    <s v="Tuesday"/>
    <s v="February"/>
    <n v="2025"/>
  </r>
  <r>
    <x v="596"/>
    <d v="2025-02-12T00:00:00"/>
    <s v="High Street"/>
    <s v="Bristol"/>
    <s v="Latte"/>
    <s v="Drink"/>
    <n v="5"/>
    <n v="3.5"/>
    <s v="Card"/>
    <s v="C1768"/>
    <n v="17.5"/>
    <s v="Wednesday"/>
    <s v="February"/>
    <n v="2025"/>
  </r>
  <r>
    <x v="597"/>
    <d v="2025-02-12T00:00:00"/>
    <s v="Central"/>
    <s v="Bristol"/>
    <s v="Croissant"/>
    <s v="Food"/>
    <n v="5"/>
    <n v="2.8"/>
    <s v="Apple Pay"/>
    <s v="C1297"/>
    <n v="14"/>
    <s v="Wednesday"/>
    <s v="February"/>
    <n v="2025"/>
  </r>
  <r>
    <x v="598"/>
    <d v="2025-02-12T00:00:00"/>
    <s v="Riverside"/>
    <s v="London"/>
    <s v="Latte"/>
    <s v="Drink"/>
    <n v="4"/>
    <n v="3.5"/>
    <s v="Apple Pay"/>
    <s v="C1679"/>
    <n v="14"/>
    <s v="Wednesday"/>
    <s v="February"/>
    <n v="2025"/>
  </r>
  <r>
    <x v="599"/>
    <d v="2025-02-12T00:00:00"/>
    <s v="Riverside"/>
    <s v="Bristol"/>
    <s v="Muffin"/>
    <s v="Food"/>
    <n v="5"/>
    <n v="2.2000000000000002"/>
    <s v="Cash"/>
    <s v="C1072"/>
    <n v="11"/>
    <s v="Wednesday"/>
    <s v="February"/>
    <n v="2025"/>
  </r>
  <r>
    <x v="600"/>
    <d v="2025-02-12T00:00:00"/>
    <s v="Station"/>
    <s v="Birmingham"/>
    <s v="Latte"/>
    <s v="Drink"/>
    <n v="3"/>
    <n v="3.5"/>
    <s v="Cash"/>
    <s v="C1557"/>
    <n v="10.5"/>
    <s v="Wednesday"/>
    <s v="February"/>
    <n v="2025"/>
  </r>
  <r>
    <x v="601"/>
    <d v="2025-02-12T00:00:00"/>
    <s v="Central"/>
    <s v="Leeds"/>
    <s v="Muffin"/>
    <s v="Food"/>
    <n v="4"/>
    <n v="2.2000000000000002"/>
    <s v="Cash"/>
    <s v="C1648"/>
    <n v="8.8000000000000007"/>
    <s v="Wednesday"/>
    <s v="February"/>
    <n v="2025"/>
  </r>
  <r>
    <x v="602"/>
    <d v="2025-02-12T00:00:00"/>
    <s v="Station"/>
    <s v="Manchester"/>
    <s v="Croissant"/>
    <s v="Food"/>
    <n v="3"/>
    <n v="2.8"/>
    <s v="Apple Pay"/>
    <s v="C1351"/>
    <n v="8.3999999999999986"/>
    <s v="Wednesday"/>
    <s v="February"/>
    <n v="2025"/>
  </r>
  <r>
    <x v="603"/>
    <d v="2025-02-12T00:00:00"/>
    <s v="Riverside"/>
    <s v="Bristol"/>
    <s v="Espresso"/>
    <s v="Drink"/>
    <n v="3"/>
    <n v="2.5"/>
    <s v="Card"/>
    <s v="C1727"/>
    <n v="7.5"/>
    <s v="Wednesday"/>
    <s v="February"/>
    <n v="2025"/>
  </r>
  <r>
    <x v="604"/>
    <d v="2025-02-12T00:00:00"/>
    <s v="High Street"/>
    <s v="Manchester"/>
    <s v="Latte"/>
    <s v="Drink"/>
    <n v="2"/>
    <n v="3.5"/>
    <s v="Apple Pay"/>
    <s v="C1324"/>
    <n v="7"/>
    <s v="Wednesday"/>
    <s v="February"/>
    <n v="2025"/>
  </r>
  <r>
    <x v="605"/>
    <d v="2025-02-12T00:00:00"/>
    <s v="Central"/>
    <s v="London"/>
    <s v="Muffin"/>
    <s v="Food"/>
    <n v="3"/>
    <n v="2.2000000000000002"/>
    <s v="Apple Pay"/>
    <s v="C1801"/>
    <n v="6.6000000000000005"/>
    <s v="Wednesday"/>
    <s v="February"/>
    <n v="2025"/>
  </r>
  <r>
    <x v="606"/>
    <d v="2025-02-12T00:00:00"/>
    <s v="Station"/>
    <s v="Birmingham"/>
    <s v="Muffin"/>
    <s v="Food"/>
    <n v="2"/>
    <n v="2.2000000000000002"/>
    <s v="Apple Pay"/>
    <s v="C1062"/>
    <n v="4.4000000000000004"/>
    <s v="Wednesday"/>
    <s v="February"/>
    <n v="2025"/>
  </r>
  <r>
    <x v="607"/>
    <d v="2025-02-12T00:00:00"/>
    <s v="High Street"/>
    <s v="Bristol"/>
    <s v="Cappuccino"/>
    <s v="Drink"/>
    <n v="1"/>
    <n v="3.8"/>
    <s v="Cash"/>
    <s v="C1235"/>
    <n v="3.8"/>
    <s v="Wednesday"/>
    <s v="February"/>
    <n v="2025"/>
  </r>
  <r>
    <x v="608"/>
    <d v="2025-02-12T00:00:00"/>
    <s v="Station"/>
    <s v="Manchester"/>
    <s v="Latte"/>
    <s v="Drink"/>
    <n v="1"/>
    <n v="3.5"/>
    <s v="Card"/>
    <s v="C1711"/>
    <n v="3.5"/>
    <s v="Wednesday"/>
    <s v="February"/>
    <n v="2025"/>
  </r>
  <r>
    <x v="609"/>
    <d v="2025-02-12T00:00:00"/>
    <s v="High Street"/>
    <s v="Leeds"/>
    <s v="Latte"/>
    <s v="Food"/>
    <n v="1"/>
    <n v="2.2000000000000002"/>
    <s v="Card"/>
    <s v="C1905"/>
    <n v="2.2000000000000002"/>
    <s v="Wednesday"/>
    <s v="February"/>
    <n v="2025"/>
  </r>
  <r>
    <x v="610"/>
    <d v="2025-02-13T00:00:00"/>
    <s v="Central"/>
    <s v="Birmingham"/>
    <s v="Cappuccino"/>
    <s v="Drink"/>
    <n v="4"/>
    <n v="3.8"/>
    <s v="Card"/>
    <s v="C1377"/>
    <n v="15.2"/>
    <s v="Thursday"/>
    <s v="February"/>
    <n v="2025"/>
  </r>
  <r>
    <x v="611"/>
    <d v="2025-02-13T00:00:00"/>
    <s v="Central"/>
    <s v="London"/>
    <s v="Muffin"/>
    <s v="Food"/>
    <n v="4"/>
    <n v="2.2000000000000002"/>
    <s v="Cash"/>
    <s v="C1026"/>
    <n v="8.8000000000000007"/>
    <s v="Thursday"/>
    <s v="February"/>
    <n v="2025"/>
  </r>
  <r>
    <x v="612"/>
    <d v="2025-02-13T00:00:00"/>
    <s v="High Street"/>
    <s v="Leeds"/>
    <s v="Espresso"/>
    <s v="Drink"/>
    <n v="3"/>
    <n v="2.5"/>
    <s v="Apple Pay"/>
    <s v="C1389"/>
    <n v="7.5"/>
    <s v="Thursday"/>
    <s v="February"/>
    <n v="2025"/>
  </r>
  <r>
    <x v="613"/>
    <d v="2025-02-13T00:00:00"/>
    <s v="High Street"/>
    <s v="Manchester"/>
    <s v="Latte"/>
    <s v="Drink"/>
    <n v="2"/>
    <n v="3.5"/>
    <s v="Apple Pay"/>
    <s v="C1427"/>
    <n v="7"/>
    <s v="Thursday"/>
    <s v="February"/>
    <n v="2025"/>
  </r>
  <r>
    <x v="614"/>
    <d v="2025-02-13T00:00:00"/>
    <s v="Riverside"/>
    <s v="London"/>
    <s v="Latte"/>
    <s v="Drink"/>
    <n v="2"/>
    <n v="3.5"/>
    <s v="Card"/>
    <s v="C1951"/>
    <n v="7"/>
    <s v="Thursday"/>
    <s v="February"/>
    <n v="2025"/>
  </r>
  <r>
    <x v="615"/>
    <d v="2025-02-13T00:00:00"/>
    <s v="High Street"/>
    <s v="Bristol"/>
    <s v="Muffin"/>
    <s v="Food"/>
    <n v="3"/>
    <n v="2.2000000000000002"/>
    <s v="Cash"/>
    <s v="C1226"/>
    <n v="6.6000000000000005"/>
    <s v="Thursday"/>
    <s v="February"/>
    <n v="2025"/>
  </r>
  <r>
    <x v="616"/>
    <d v="2025-02-13T00:00:00"/>
    <s v="Riverside"/>
    <s v="Bristol"/>
    <s v="Muffin"/>
    <s v="Food"/>
    <n v="3"/>
    <n v="2.2000000000000002"/>
    <s v="Card"/>
    <s v="C1187"/>
    <n v="6.6000000000000005"/>
    <s v="Thursday"/>
    <s v="February"/>
    <n v="2025"/>
  </r>
  <r>
    <x v="617"/>
    <d v="2025-02-13T00:00:00"/>
    <s v="High Street"/>
    <s v="Birmingham"/>
    <s v="Muffin"/>
    <s v="Food"/>
    <n v="2"/>
    <n v="2.2000000000000002"/>
    <s v="Card"/>
    <s v="C1876"/>
    <n v="4.4000000000000004"/>
    <s v="Thursday"/>
    <s v="February"/>
    <n v="2025"/>
  </r>
  <r>
    <x v="618"/>
    <d v="2025-02-13T00:00:00"/>
    <s v="Central"/>
    <s v="Birmingham"/>
    <s v="Cappuccino"/>
    <s v="Drink"/>
    <n v="1"/>
    <n v="3.8"/>
    <s v="Cash"/>
    <s v="C1703"/>
    <n v="3.8"/>
    <s v="Thursday"/>
    <s v="February"/>
    <n v="2025"/>
  </r>
  <r>
    <x v="619"/>
    <d v="2025-02-13T00:00:00"/>
    <s v="Central"/>
    <s v="Leeds"/>
    <s v="Cappuccino"/>
    <s v="Drink"/>
    <n v="1"/>
    <n v="3.8"/>
    <s v="Cash"/>
    <s v="C1553"/>
    <n v="3.8"/>
    <s v="Thursday"/>
    <s v="February"/>
    <n v="2025"/>
  </r>
  <r>
    <x v="620"/>
    <d v="2025-02-13T00:00:00"/>
    <s v="Central"/>
    <s v="Birmingham"/>
    <s v="Cappuccino"/>
    <s v="Drink"/>
    <n v="1"/>
    <n v="3.8"/>
    <s v="Card"/>
    <s v="C1744"/>
    <n v="3.8"/>
    <s v="Thursday"/>
    <s v="February"/>
    <n v="2025"/>
  </r>
  <r>
    <x v="621"/>
    <d v="2025-02-13T00:00:00"/>
    <s v="Central"/>
    <s v="Bristol"/>
    <s v="Latte"/>
    <s v="Drink"/>
    <n v="1"/>
    <n v="3.5"/>
    <s v="Cash"/>
    <s v="C1036"/>
    <n v="3.5"/>
    <s v="Thursday"/>
    <s v="February"/>
    <n v="2025"/>
  </r>
  <r>
    <x v="622"/>
    <d v="2025-02-13T00:00:00"/>
    <s v="High Street"/>
    <s v="Leeds"/>
    <s v="Croissant"/>
    <s v="Food"/>
    <n v="1"/>
    <n v="2.8"/>
    <s v="Cash"/>
    <s v="C1488"/>
    <n v="2.8"/>
    <s v="Thursday"/>
    <s v="February"/>
    <n v="2025"/>
  </r>
  <r>
    <x v="623"/>
    <d v="2025-02-13T00:00:00"/>
    <s v="Riverside"/>
    <s v="Leeds"/>
    <s v="Espresso"/>
    <s v="Drink"/>
    <n v="1"/>
    <n v="2.5"/>
    <s v="Card"/>
    <s v="C1054"/>
    <n v="2.5"/>
    <s v="Thursday"/>
    <s v="February"/>
    <n v="2025"/>
  </r>
  <r>
    <x v="624"/>
    <d v="2025-02-13T00:00:00"/>
    <s v="Station"/>
    <s v="Manchester"/>
    <s v="Muffin"/>
    <s v="Food"/>
    <n v="1"/>
    <n v="2.2000000000000002"/>
    <s v="Card"/>
    <s v="C1703"/>
    <n v="2.2000000000000002"/>
    <s v="Thursday"/>
    <s v="February"/>
    <n v="2025"/>
  </r>
  <r>
    <x v="625"/>
    <d v="2025-02-13T00:00:00"/>
    <s v="Station"/>
    <s v="Manchester"/>
    <s v="Muffin"/>
    <s v="Food"/>
    <n v="1"/>
    <n v="2.2000000000000002"/>
    <s v="Apple Pay"/>
    <s v="C1275"/>
    <n v="2.2000000000000002"/>
    <s v="Thursday"/>
    <s v="February"/>
    <n v="2025"/>
  </r>
  <r>
    <x v="626"/>
    <d v="2025-02-14T00:00:00"/>
    <s v="Riverside"/>
    <s v="London"/>
    <s v="Cappuccino"/>
    <s v="Drink"/>
    <n v="4"/>
    <n v="3.8"/>
    <s v="Cash"/>
    <s v="C1343"/>
    <n v="15.2"/>
    <s v="Friday"/>
    <s v="February"/>
    <n v="2025"/>
  </r>
  <r>
    <x v="627"/>
    <d v="2025-02-14T00:00:00"/>
    <s v="High Street"/>
    <s v="Bristol"/>
    <s v="Cappuccino"/>
    <s v="Drink"/>
    <n v="4"/>
    <n v="3.8"/>
    <s v="Apple Pay"/>
    <s v="C1779"/>
    <n v="15.2"/>
    <s v="Friday"/>
    <s v="February"/>
    <n v="2025"/>
  </r>
  <r>
    <x v="628"/>
    <d v="2025-02-14T00:00:00"/>
    <s v="Riverside"/>
    <s v="Manchester"/>
    <s v="Muffin"/>
    <s v="Food"/>
    <n v="5"/>
    <n v="2.2000000000000002"/>
    <s v="Card"/>
    <s v="C1741"/>
    <n v="11"/>
    <s v="Friday"/>
    <s v="February"/>
    <n v="2025"/>
  </r>
  <r>
    <x v="629"/>
    <d v="2025-02-14T00:00:00"/>
    <s v="Central"/>
    <s v="Bristol"/>
    <s v="Espresso"/>
    <s v="Drink"/>
    <n v="4"/>
    <n v="2.5"/>
    <s v="Card"/>
    <s v="C1680"/>
    <n v="10"/>
    <s v="Friday"/>
    <s v="February"/>
    <n v="2025"/>
  </r>
  <r>
    <x v="630"/>
    <d v="2025-02-14T00:00:00"/>
    <s v="High Street"/>
    <s v="Bristol"/>
    <s v="Espresso"/>
    <s v="Drink"/>
    <n v="4"/>
    <n v="2.5"/>
    <s v="Apple Pay"/>
    <s v="C1036"/>
    <n v="10"/>
    <s v="Friday"/>
    <s v="February"/>
    <n v="2025"/>
  </r>
  <r>
    <x v="631"/>
    <d v="2025-02-14T00:00:00"/>
    <s v="Riverside"/>
    <s v="Bristol"/>
    <s v="Latte"/>
    <s v="Drink"/>
    <n v="2"/>
    <n v="3.5"/>
    <s v="Apple Pay"/>
    <s v="C1997"/>
    <n v="7"/>
    <s v="Friday"/>
    <s v="February"/>
    <n v="2025"/>
  </r>
  <r>
    <x v="632"/>
    <d v="2025-02-14T00:00:00"/>
    <s v="Riverside"/>
    <s v="London"/>
    <s v="Muffin"/>
    <s v="Food"/>
    <n v="3"/>
    <n v="2.2000000000000002"/>
    <s v="Cash"/>
    <s v="C1744"/>
    <n v="6.6000000000000005"/>
    <s v="Friday"/>
    <s v="February"/>
    <n v="2025"/>
  </r>
  <r>
    <x v="633"/>
    <d v="2025-02-14T00:00:00"/>
    <s v="Station"/>
    <s v="Birmingham"/>
    <s v="Muffin"/>
    <s v="Food"/>
    <n v="3"/>
    <n v="2.2000000000000002"/>
    <s v="Card"/>
    <s v="C1426"/>
    <n v="6.6000000000000005"/>
    <s v="Friday"/>
    <s v="February"/>
    <n v="2025"/>
  </r>
  <r>
    <x v="634"/>
    <d v="2025-02-14T00:00:00"/>
    <s v="Station"/>
    <s v="Manchester"/>
    <s v="Muffin"/>
    <s v="Food"/>
    <n v="3"/>
    <n v="2.2000000000000002"/>
    <s v="Apple Pay"/>
    <s v="C1866"/>
    <n v="6.6000000000000005"/>
    <s v="Friday"/>
    <s v="February"/>
    <n v="2025"/>
  </r>
  <r>
    <x v="635"/>
    <d v="2025-02-14T00:00:00"/>
    <s v="Central"/>
    <s v="Bristol"/>
    <s v="Muffin"/>
    <s v="Food"/>
    <n v="2"/>
    <n v="2.2000000000000002"/>
    <s v="Cash"/>
    <s v="C1241"/>
    <n v="4.4000000000000004"/>
    <s v="Friday"/>
    <s v="February"/>
    <n v="2025"/>
  </r>
  <r>
    <x v="636"/>
    <d v="2025-02-14T00:00:00"/>
    <s v="Riverside"/>
    <s v="Manchester"/>
    <s v="Muffin"/>
    <s v="Food"/>
    <n v="2"/>
    <n v="2.2000000000000002"/>
    <s v="Cash"/>
    <s v="C1953"/>
    <n v="4.4000000000000004"/>
    <s v="Friday"/>
    <s v="February"/>
    <n v="2025"/>
  </r>
  <r>
    <x v="637"/>
    <d v="2025-02-14T00:00:00"/>
    <s v="Central"/>
    <s v="London"/>
    <s v="Muffin"/>
    <s v="Food"/>
    <n v="2"/>
    <n v="2.2000000000000002"/>
    <s v="Cash"/>
    <s v="C1362"/>
    <n v="4.4000000000000004"/>
    <s v="Friday"/>
    <s v="February"/>
    <n v="2025"/>
  </r>
  <r>
    <x v="638"/>
    <d v="2025-02-14T00:00:00"/>
    <s v="Station"/>
    <s v="Manchester"/>
    <s v="Croissant"/>
    <s v="Food"/>
    <n v="1"/>
    <n v="2.8"/>
    <s v="Apple Pay"/>
    <s v="C1870"/>
    <n v="2.8"/>
    <s v="Friday"/>
    <s v="February"/>
    <n v="2025"/>
  </r>
  <r>
    <x v="639"/>
    <d v="2025-02-14T00:00:00"/>
    <s v="Riverside"/>
    <s v="London"/>
    <s v="Muffin"/>
    <s v="Food"/>
    <n v="1"/>
    <n v="2.2000000000000002"/>
    <s v="Apple Pay"/>
    <s v="C1772"/>
    <n v="2.2000000000000002"/>
    <s v="Friday"/>
    <s v="February"/>
    <n v="2025"/>
  </r>
  <r>
    <x v="640"/>
    <d v="2025-02-15T00:00:00"/>
    <s v="Station"/>
    <s v="Bristol"/>
    <s v="Cappuccino"/>
    <s v="Drink"/>
    <n v="5"/>
    <n v="3.8"/>
    <s v="Card"/>
    <s v="C1745"/>
    <n v="19"/>
    <s v="Saturday"/>
    <s v="February"/>
    <n v="2025"/>
  </r>
  <r>
    <x v="641"/>
    <d v="2025-02-15T00:00:00"/>
    <s v="Station"/>
    <s v="Leeds"/>
    <s v="Cappuccino"/>
    <s v="Drink"/>
    <n v="5"/>
    <n v="3.8"/>
    <s v="Apple Pay"/>
    <s v="C1738"/>
    <n v="19"/>
    <s v="Saturday"/>
    <s v="February"/>
    <n v="2025"/>
  </r>
  <r>
    <x v="642"/>
    <d v="2025-02-15T00:00:00"/>
    <s v="Station"/>
    <s v="Birmingham"/>
    <s v="Latte"/>
    <s v="Drink"/>
    <n v="5"/>
    <n v="3.5"/>
    <s v="Apple Pay"/>
    <s v="C1281"/>
    <n v="17.5"/>
    <s v="Saturday"/>
    <s v="February"/>
    <n v="2025"/>
  </r>
  <r>
    <x v="643"/>
    <d v="2025-02-15T00:00:00"/>
    <s v="High Street"/>
    <s v="Birmingham"/>
    <s v="Cappuccino"/>
    <s v="Drink"/>
    <n v="4"/>
    <n v="3.8"/>
    <s v="Card"/>
    <s v="C1229"/>
    <n v="15.2"/>
    <s v="Saturday"/>
    <s v="February"/>
    <n v="2025"/>
  </r>
  <r>
    <x v="644"/>
    <d v="2025-02-15T00:00:00"/>
    <s v="High Street"/>
    <s v="Bristol"/>
    <s v="Cappuccino"/>
    <s v="Drink"/>
    <n v="4"/>
    <n v="3.8"/>
    <s v="Apple Pay"/>
    <s v="C1552"/>
    <n v="15.2"/>
    <s v="Saturday"/>
    <s v="February"/>
    <n v="2025"/>
  </r>
  <r>
    <x v="645"/>
    <d v="2025-02-15T00:00:00"/>
    <s v="Central"/>
    <s v="Birmingham"/>
    <s v="Latte"/>
    <s v="Drink"/>
    <n v="4"/>
    <n v="3.5"/>
    <s v="Card"/>
    <s v="C1352"/>
    <n v="14"/>
    <s v="Saturday"/>
    <s v="February"/>
    <n v="2025"/>
  </r>
  <r>
    <x v="646"/>
    <d v="2025-02-15T00:00:00"/>
    <s v="Central"/>
    <s v="Leeds"/>
    <s v="Latte"/>
    <s v="Drink"/>
    <n v="4"/>
    <n v="3.5"/>
    <s v="Cash"/>
    <s v="C1867"/>
    <n v="14"/>
    <s v="Saturday"/>
    <s v="February"/>
    <n v="2025"/>
  </r>
  <r>
    <x v="647"/>
    <d v="2025-02-15T00:00:00"/>
    <s v="Station"/>
    <s v="Bristol"/>
    <s v="Croissant"/>
    <s v="Food"/>
    <n v="5"/>
    <n v="2.8"/>
    <s v="Cash"/>
    <s v="C1307"/>
    <n v="14"/>
    <s v="Saturday"/>
    <s v="February"/>
    <n v="2025"/>
  </r>
  <r>
    <x v="648"/>
    <d v="2025-02-15T00:00:00"/>
    <s v="Riverside"/>
    <s v="Bristol"/>
    <s v="Cappuccino"/>
    <s v="Drink"/>
    <n v="3"/>
    <n v="3.8"/>
    <s v="Card"/>
    <s v="C1573"/>
    <n v="11.399999999999999"/>
    <s v="Saturday"/>
    <s v="February"/>
    <n v="2025"/>
  </r>
  <r>
    <x v="649"/>
    <d v="2025-02-15T00:00:00"/>
    <s v="Riverside"/>
    <s v="Bristol"/>
    <s v="Muffin"/>
    <s v="Food"/>
    <n v="5"/>
    <n v="2.2000000000000002"/>
    <s v="Apple Pay"/>
    <s v="C1064"/>
    <n v="11"/>
    <s v="Saturday"/>
    <s v="February"/>
    <n v="2025"/>
  </r>
  <r>
    <x v="650"/>
    <d v="2025-02-15T00:00:00"/>
    <s v="Riverside"/>
    <s v="Birmingham"/>
    <s v="Latte"/>
    <s v="Drink"/>
    <n v="3"/>
    <n v="3.5"/>
    <s v="Card"/>
    <s v="C1537"/>
    <n v="10.5"/>
    <s v="Saturday"/>
    <s v="February"/>
    <n v="2025"/>
  </r>
  <r>
    <x v="651"/>
    <d v="2025-02-15T00:00:00"/>
    <s v="Station"/>
    <s v="Leeds"/>
    <s v="Muffin"/>
    <s v="Food"/>
    <n v="4"/>
    <n v="2.2000000000000002"/>
    <s v="Apple Pay"/>
    <s v="C1017"/>
    <n v="8.8000000000000007"/>
    <s v="Saturday"/>
    <s v="February"/>
    <n v="2025"/>
  </r>
  <r>
    <x v="652"/>
    <d v="2025-02-15T00:00:00"/>
    <s v="High Street"/>
    <s v="Leeds"/>
    <s v="Espresso"/>
    <s v="Drink"/>
    <n v="2"/>
    <n v="2.5"/>
    <s v="Cash"/>
    <s v="C1509"/>
    <n v="5"/>
    <s v="Saturday"/>
    <s v="February"/>
    <n v="2025"/>
  </r>
  <r>
    <x v="653"/>
    <d v="2025-02-15T00:00:00"/>
    <s v="Riverside"/>
    <s v="Bristol"/>
    <s v="Muffin"/>
    <s v="Food"/>
    <n v="2"/>
    <n v="2.2000000000000002"/>
    <s v="Cash"/>
    <s v="C1782"/>
    <n v="4.4000000000000004"/>
    <s v="Saturday"/>
    <s v="February"/>
    <n v="2025"/>
  </r>
  <r>
    <x v="654"/>
    <d v="2025-02-15T00:00:00"/>
    <s v="Central"/>
    <s v="Birmingham"/>
    <s v="Cappuccino"/>
    <s v="Drink"/>
    <n v="1"/>
    <n v="3.8"/>
    <s v="Cash"/>
    <s v="C1348"/>
    <n v="3.8"/>
    <s v="Saturday"/>
    <s v="February"/>
    <n v="2025"/>
  </r>
  <r>
    <x v="655"/>
    <d v="2025-02-15T00:00:00"/>
    <s v="Central"/>
    <s v="Manchester"/>
    <s v="Cappuccino"/>
    <s v="Drink"/>
    <n v="1"/>
    <n v="3.8"/>
    <s v="Card"/>
    <s v="C1469"/>
    <n v="3.8"/>
    <s v="Saturday"/>
    <s v="February"/>
    <n v="2025"/>
  </r>
  <r>
    <x v="656"/>
    <d v="2025-02-15T00:00:00"/>
    <s v="Central"/>
    <s v="Manchester"/>
    <s v="Croissant"/>
    <s v="Food"/>
    <n v="1"/>
    <n v="2.8"/>
    <s v="Card"/>
    <s v="C1894"/>
    <n v="2.8"/>
    <s v="Saturday"/>
    <s v="February"/>
    <n v="2025"/>
  </r>
  <r>
    <x v="657"/>
    <d v="2025-02-15T00:00:00"/>
    <s v="High Street"/>
    <s v="Bristol"/>
    <s v="Croissant"/>
    <s v="Food"/>
    <n v="1"/>
    <n v="2.8"/>
    <s v="Apple Pay"/>
    <s v="C1666"/>
    <n v="2.8"/>
    <s v="Saturday"/>
    <s v="February"/>
    <n v="2025"/>
  </r>
  <r>
    <x v="658"/>
    <d v="2025-02-15T00:00:00"/>
    <s v="High Street"/>
    <s v="Birmingham"/>
    <s v="Espresso"/>
    <s v="Drink"/>
    <n v="1"/>
    <n v="2.5"/>
    <s v="Cash"/>
    <s v="C1982"/>
    <n v="2.5"/>
    <s v="Saturday"/>
    <s v="February"/>
    <n v="2025"/>
  </r>
  <r>
    <x v="659"/>
    <d v="2025-02-15T00:00:00"/>
    <s v="High Street"/>
    <s v="Manchester"/>
    <s v="Espresso"/>
    <s v="Drink"/>
    <n v="1"/>
    <n v="2.5"/>
    <s v="Apple Pay"/>
    <s v="C1674"/>
    <n v="2.5"/>
    <s v="Saturday"/>
    <s v="February"/>
    <n v="2025"/>
  </r>
  <r>
    <x v="660"/>
    <d v="2025-02-15T00:00:00"/>
    <s v="High Street"/>
    <s v="Manchester"/>
    <s v="Muffin"/>
    <s v="Food"/>
    <n v="1"/>
    <n v="2.2000000000000002"/>
    <s v="Card"/>
    <s v="C1979"/>
    <n v="2.2000000000000002"/>
    <s v="Saturday"/>
    <s v="February"/>
    <n v="2025"/>
  </r>
  <r>
    <x v="661"/>
    <d v="2025-02-16T00:00:00"/>
    <s v="Central"/>
    <s v="London"/>
    <s v="Latte"/>
    <s v="Drink"/>
    <n v="4"/>
    <n v="3.5"/>
    <s v="Apple Pay"/>
    <s v="C1186"/>
    <n v="14"/>
    <s v="Sunday"/>
    <s v="February"/>
    <n v="2025"/>
  </r>
  <r>
    <x v="662"/>
    <d v="2025-02-16T00:00:00"/>
    <s v="Station"/>
    <s v="London"/>
    <s v="Latte"/>
    <s v="Drink"/>
    <n v="4"/>
    <n v="3.5"/>
    <s v="Cash"/>
    <s v="C1371"/>
    <n v="14"/>
    <s v="Sunday"/>
    <s v="February"/>
    <n v="2025"/>
  </r>
  <r>
    <x v="663"/>
    <d v="2025-02-16T00:00:00"/>
    <s v="Station"/>
    <s v="Leeds"/>
    <s v="Croissant"/>
    <s v="Food"/>
    <n v="5"/>
    <n v="2.8"/>
    <s v="Card"/>
    <s v="C1086"/>
    <n v="14"/>
    <s v="Sunday"/>
    <s v="February"/>
    <n v="2025"/>
  </r>
  <r>
    <x v="664"/>
    <d v="2025-02-16T00:00:00"/>
    <s v="Central"/>
    <s v="Bristol"/>
    <s v="Croissant"/>
    <s v="Food"/>
    <n v="4"/>
    <n v="2.8"/>
    <s v="Cash"/>
    <s v="C1071"/>
    <n v="11.2"/>
    <s v="Sunday"/>
    <s v="February"/>
    <n v="2025"/>
  </r>
  <r>
    <x v="665"/>
    <d v="2025-02-16T00:00:00"/>
    <s v="Riverside"/>
    <s v="London"/>
    <s v="Muffin"/>
    <s v="Food"/>
    <n v="5"/>
    <n v="2.2000000000000002"/>
    <s v="Cash"/>
    <s v="C1162"/>
    <n v="11"/>
    <s v="Sunday"/>
    <s v="February"/>
    <n v="2025"/>
  </r>
  <r>
    <x v="666"/>
    <d v="2025-02-16T00:00:00"/>
    <s v="High Street"/>
    <s v="Manchester"/>
    <s v="Latte"/>
    <s v="Drink"/>
    <n v="3"/>
    <n v="3.5"/>
    <s v="Cash"/>
    <s v="C1439"/>
    <n v="10.5"/>
    <s v="Sunday"/>
    <s v="February"/>
    <n v="2025"/>
  </r>
  <r>
    <x v="667"/>
    <d v="2025-02-16T00:00:00"/>
    <s v="Station"/>
    <s v="London"/>
    <s v="Latte"/>
    <s v="Drink"/>
    <n v="3"/>
    <n v="3.5"/>
    <s v="Apple Pay"/>
    <s v="C1444"/>
    <n v="10.5"/>
    <s v="Sunday"/>
    <s v="February"/>
    <n v="2025"/>
  </r>
  <r>
    <x v="668"/>
    <d v="2025-02-16T00:00:00"/>
    <s v="High Street"/>
    <s v="Birmingham"/>
    <s v="Latte"/>
    <s v="Drink"/>
    <n v="3"/>
    <n v="3.5"/>
    <s v="Apple Pay"/>
    <s v="C1095"/>
    <n v="10.5"/>
    <s v="Sunday"/>
    <s v="February"/>
    <n v="2025"/>
  </r>
  <r>
    <x v="669"/>
    <d v="2025-02-16T00:00:00"/>
    <s v="Station"/>
    <s v="London"/>
    <s v="Latte"/>
    <s v="Drink"/>
    <n v="2"/>
    <n v="3.5"/>
    <s v="Cash"/>
    <s v="C1350"/>
    <n v="7"/>
    <s v="Sunday"/>
    <s v="February"/>
    <n v="2025"/>
  </r>
  <r>
    <x v="670"/>
    <d v="2025-02-16T00:00:00"/>
    <s v="High Street"/>
    <s v="London"/>
    <s v="Latte"/>
    <s v="Drink"/>
    <n v="2"/>
    <n v="3.5"/>
    <s v="Cash"/>
    <s v="C1257"/>
    <n v="7"/>
    <s v="Sunday"/>
    <s v="February"/>
    <n v="2025"/>
  </r>
  <r>
    <x v="671"/>
    <d v="2025-02-16T00:00:00"/>
    <s v="High Street"/>
    <s v="London"/>
    <s v="Muffin"/>
    <s v="Food"/>
    <n v="3"/>
    <n v="2.2000000000000002"/>
    <s v="Card"/>
    <s v="C1092"/>
    <n v="6.6000000000000005"/>
    <s v="Sunday"/>
    <s v="February"/>
    <n v="2025"/>
  </r>
  <r>
    <x v="672"/>
    <d v="2025-02-16T00:00:00"/>
    <s v="Station"/>
    <s v="Birmingham"/>
    <s v="Cappuccino"/>
    <s v="Drink"/>
    <n v="1"/>
    <n v="3.8"/>
    <s v="Card"/>
    <s v="C1420"/>
    <n v="3.8"/>
    <s v="Sunday"/>
    <s v="February"/>
    <n v="2025"/>
  </r>
  <r>
    <x v="673"/>
    <d v="2025-02-16T00:00:00"/>
    <s v="Station"/>
    <s v="Birmingham"/>
    <s v="Latte"/>
    <s v="Drink"/>
    <n v="1"/>
    <n v="3.5"/>
    <s v="Cash"/>
    <s v="C1363"/>
    <n v="3.5"/>
    <s v="Sunday"/>
    <s v="February"/>
    <n v="2025"/>
  </r>
  <r>
    <x v="674"/>
    <d v="2025-02-16T00:00:00"/>
    <s v="Station"/>
    <s v="Bristol"/>
    <s v="Espresso"/>
    <s v="Drink"/>
    <n v="1"/>
    <n v="2.5"/>
    <s v="Apple Pay"/>
    <s v="C1542"/>
    <n v="2.5"/>
    <s v="Sunday"/>
    <s v="February"/>
    <n v="2025"/>
  </r>
  <r>
    <x v="675"/>
    <d v="2025-02-17T00:00:00"/>
    <s v="High Street"/>
    <s v="Birmingham"/>
    <s v="Cappuccino"/>
    <s v="Drink"/>
    <n v="5"/>
    <n v="3.8"/>
    <s v="Cash"/>
    <s v="C1132"/>
    <n v="19"/>
    <s v="Monday"/>
    <s v="February"/>
    <n v="2025"/>
  </r>
  <r>
    <x v="676"/>
    <d v="2025-02-17T00:00:00"/>
    <s v="Riverside"/>
    <s v="London"/>
    <s v="Cappuccino"/>
    <s v="Drink"/>
    <n v="4"/>
    <n v="3.8"/>
    <s v="Card"/>
    <s v="C1730"/>
    <n v="15.2"/>
    <s v="Monday"/>
    <s v="February"/>
    <n v="2025"/>
  </r>
  <r>
    <x v="677"/>
    <d v="2025-02-17T00:00:00"/>
    <s v="Station"/>
    <s v="Bristol"/>
    <s v="Croissant"/>
    <s v="Food"/>
    <n v="4"/>
    <n v="2.8"/>
    <s v="Cash"/>
    <s v="C1641"/>
    <n v="11.2"/>
    <s v="Monday"/>
    <s v="February"/>
    <n v="2025"/>
  </r>
  <r>
    <x v="678"/>
    <d v="2025-02-17T00:00:00"/>
    <s v="Riverside"/>
    <s v="Manchester"/>
    <s v="Muffin"/>
    <s v="Food"/>
    <n v="5"/>
    <n v="2.2000000000000002"/>
    <s v="Card"/>
    <s v="C1389"/>
    <n v="11"/>
    <s v="Monday"/>
    <s v="February"/>
    <n v="2025"/>
  </r>
  <r>
    <x v="679"/>
    <d v="2025-02-17T00:00:00"/>
    <s v="Station"/>
    <s v="Leeds"/>
    <s v="Latte"/>
    <s v="Drink"/>
    <n v="3"/>
    <n v="3.5"/>
    <s v="Apple Pay"/>
    <s v="C1671"/>
    <n v="10.5"/>
    <s v="Monday"/>
    <s v="February"/>
    <n v="2025"/>
  </r>
  <r>
    <x v="680"/>
    <d v="2025-02-17T00:00:00"/>
    <s v="Central"/>
    <s v="London"/>
    <s v="Muffin"/>
    <s v="Food"/>
    <n v="4"/>
    <n v="2.2000000000000002"/>
    <s v="Cash"/>
    <s v="C1404"/>
    <n v="8.8000000000000007"/>
    <s v="Monday"/>
    <s v="February"/>
    <n v="2025"/>
  </r>
  <r>
    <x v="681"/>
    <d v="2025-02-17T00:00:00"/>
    <s v="Station"/>
    <s v="Manchester"/>
    <s v="Cappuccino"/>
    <s v="Drink"/>
    <n v="2"/>
    <n v="3.8"/>
    <s v="Card"/>
    <s v="C1831"/>
    <n v="7.6"/>
    <s v="Monday"/>
    <s v="February"/>
    <n v="2025"/>
  </r>
  <r>
    <x v="682"/>
    <d v="2025-02-17T00:00:00"/>
    <s v="High Street"/>
    <s v="London"/>
    <s v="Espresso"/>
    <s v="Drink"/>
    <n v="2"/>
    <n v="2.5"/>
    <s v="Card"/>
    <s v="C1138"/>
    <n v="5"/>
    <s v="Monday"/>
    <s v="February"/>
    <n v="2025"/>
  </r>
  <r>
    <x v="683"/>
    <d v="2025-02-17T00:00:00"/>
    <s v="Station"/>
    <s v="London"/>
    <s v="Espresso"/>
    <s v="Drink"/>
    <n v="2"/>
    <n v="2.5"/>
    <s v="Apple Pay"/>
    <s v="C1147"/>
    <n v="5"/>
    <s v="Monday"/>
    <s v="February"/>
    <n v="2025"/>
  </r>
  <r>
    <x v="684"/>
    <d v="2025-02-17T00:00:00"/>
    <s v="Riverside"/>
    <s v="Manchester"/>
    <s v="Espresso"/>
    <s v="Drink"/>
    <n v="2"/>
    <n v="2.5"/>
    <s v="Cash"/>
    <s v="C1086"/>
    <n v="5"/>
    <s v="Monday"/>
    <s v="February"/>
    <n v="2025"/>
  </r>
  <r>
    <x v="685"/>
    <d v="2025-02-17T00:00:00"/>
    <s v="Station"/>
    <s v="Leeds"/>
    <s v="Muffin"/>
    <s v="Food"/>
    <n v="2"/>
    <n v="2.2000000000000002"/>
    <s v="Card"/>
    <s v="C1138"/>
    <n v="4.4000000000000004"/>
    <s v="Monday"/>
    <s v="February"/>
    <n v="2025"/>
  </r>
  <r>
    <x v="686"/>
    <d v="2025-02-17T00:00:00"/>
    <s v="Station"/>
    <s v="Leeds"/>
    <s v="Muffin"/>
    <s v="Food"/>
    <n v="2"/>
    <n v="2.2000000000000002"/>
    <s v="Cash"/>
    <s v="C1891"/>
    <n v="4.4000000000000004"/>
    <s v="Monday"/>
    <s v="February"/>
    <n v="2025"/>
  </r>
  <r>
    <x v="687"/>
    <d v="2025-02-17T00:00:00"/>
    <s v="Station"/>
    <s v="Bristol"/>
    <s v="Muffin"/>
    <s v="Food"/>
    <n v="1"/>
    <n v="2.2000000000000002"/>
    <s v="Card"/>
    <s v="C1313"/>
    <n v="2.2000000000000002"/>
    <s v="Monday"/>
    <s v="February"/>
    <n v="2025"/>
  </r>
  <r>
    <x v="688"/>
    <d v="2025-02-18T00:00:00"/>
    <s v="Riverside"/>
    <s v="Birmingham"/>
    <s v="Cappuccino"/>
    <s v="Drink"/>
    <n v="5"/>
    <n v="3.8"/>
    <s v="Cash"/>
    <s v="C1886"/>
    <n v="19"/>
    <s v="Tuesday"/>
    <s v="February"/>
    <n v="2025"/>
  </r>
  <r>
    <x v="689"/>
    <d v="2025-02-18T00:00:00"/>
    <s v="Station"/>
    <s v="Leeds"/>
    <s v="Cappuccino"/>
    <s v="Drink"/>
    <n v="5"/>
    <n v="3.8"/>
    <s v="Apple Pay"/>
    <s v="C1562"/>
    <n v="19"/>
    <s v="Tuesday"/>
    <s v="February"/>
    <n v="2025"/>
  </r>
  <r>
    <x v="690"/>
    <d v="2025-02-18T00:00:00"/>
    <s v="Central"/>
    <s v="Bristol"/>
    <s v="Latte"/>
    <s v="Drink"/>
    <n v="5"/>
    <n v="3.5"/>
    <s v="Card"/>
    <s v="C1541"/>
    <n v="17.5"/>
    <s v="Tuesday"/>
    <s v="February"/>
    <n v="2025"/>
  </r>
  <r>
    <x v="691"/>
    <d v="2025-02-18T00:00:00"/>
    <s v="High Street"/>
    <s v="Leeds"/>
    <s v="Cappuccino"/>
    <s v="Drink"/>
    <n v="3"/>
    <n v="3.8"/>
    <s v="Card"/>
    <s v="C1201"/>
    <n v="11.399999999999999"/>
    <s v="Tuesday"/>
    <s v="February"/>
    <n v="2025"/>
  </r>
  <r>
    <x v="692"/>
    <d v="2025-02-18T00:00:00"/>
    <s v="Central"/>
    <s v="Bristol"/>
    <s v="Espresso"/>
    <s v="Drink"/>
    <n v="4"/>
    <n v="2.5"/>
    <s v="Apple Pay"/>
    <s v="C1735"/>
    <n v="10"/>
    <s v="Tuesday"/>
    <s v="February"/>
    <n v="2025"/>
  </r>
  <r>
    <x v="693"/>
    <d v="2025-02-18T00:00:00"/>
    <s v="Riverside"/>
    <s v="Manchester"/>
    <s v="Muffin"/>
    <s v="Food"/>
    <n v="4"/>
    <n v="2.2000000000000002"/>
    <s v="Card"/>
    <s v="C1129"/>
    <n v="8.8000000000000007"/>
    <s v="Tuesday"/>
    <s v="February"/>
    <n v="2025"/>
  </r>
  <r>
    <x v="694"/>
    <d v="2025-02-18T00:00:00"/>
    <s v="Riverside"/>
    <s v="Manchester"/>
    <s v="Latte"/>
    <s v="Drink"/>
    <n v="2"/>
    <n v="3.5"/>
    <s v="Cash"/>
    <s v="C1473"/>
    <n v="7"/>
    <s v="Tuesday"/>
    <s v="February"/>
    <n v="2025"/>
  </r>
  <r>
    <x v="695"/>
    <d v="2025-02-18T00:00:00"/>
    <s v="Central"/>
    <s v="Leeds"/>
    <s v="Espresso"/>
    <s v="Drink"/>
    <n v="2"/>
    <n v="2.5"/>
    <s v="Card"/>
    <s v="C1171"/>
    <n v="5"/>
    <s v="Tuesday"/>
    <s v="February"/>
    <n v="2025"/>
  </r>
  <r>
    <x v="696"/>
    <d v="2025-02-18T00:00:00"/>
    <s v="Central"/>
    <s v="London"/>
    <s v="Espresso"/>
    <s v="Drink"/>
    <n v="2"/>
    <n v="2.5"/>
    <s v="Apple Pay"/>
    <s v="C1385"/>
    <n v="5"/>
    <s v="Tuesday"/>
    <s v="February"/>
    <n v="2025"/>
  </r>
  <r>
    <x v="697"/>
    <d v="2025-02-18T00:00:00"/>
    <s v="High Street"/>
    <s v="Manchester"/>
    <s v="Espresso"/>
    <s v="Drink"/>
    <n v="2"/>
    <n v="2.5"/>
    <s v="Apple Pay"/>
    <s v="C1941"/>
    <n v="5"/>
    <s v="Tuesday"/>
    <s v="February"/>
    <n v="2025"/>
  </r>
  <r>
    <x v="698"/>
    <d v="2025-02-18T00:00:00"/>
    <s v="Riverside"/>
    <s v="London"/>
    <s v="Cappuccino"/>
    <s v="Drink"/>
    <n v="1"/>
    <n v="3.8"/>
    <s v="Cash"/>
    <s v="C1066"/>
    <n v="3.8"/>
    <s v="Tuesday"/>
    <s v="February"/>
    <n v="2025"/>
  </r>
  <r>
    <x v="699"/>
    <d v="2025-02-18T00:00:00"/>
    <s v="Central"/>
    <s v="Manchester"/>
    <s v="Croissant"/>
    <s v="Food"/>
    <n v="1"/>
    <n v="2.8"/>
    <s v="Cash"/>
    <s v="C1436"/>
    <n v="2.8"/>
    <s v="Tuesday"/>
    <s v="February"/>
    <n v="2025"/>
  </r>
  <r>
    <x v="700"/>
    <d v="2025-02-18T00:00:00"/>
    <s v="Riverside"/>
    <s v="Birmingham"/>
    <s v="Espresso"/>
    <s v="Drink"/>
    <n v="1"/>
    <n v="2.5"/>
    <s v="Cash"/>
    <s v="C1960"/>
    <n v="2.5"/>
    <s v="Tuesday"/>
    <s v="February"/>
    <n v="2025"/>
  </r>
  <r>
    <x v="701"/>
    <d v="2025-02-19T00:00:00"/>
    <s v="High Street"/>
    <s v="London"/>
    <s v="Latte"/>
    <s v="Drink"/>
    <n v="5"/>
    <n v="3.5"/>
    <s v="Card"/>
    <s v="C1873"/>
    <n v="17.5"/>
    <s v="Wednesday"/>
    <s v="February"/>
    <n v="2025"/>
  </r>
  <r>
    <x v="702"/>
    <d v="2025-02-19T00:00:00"/>
    <s v="Central"/>
    <s v="Manchester"/>
    <s v="Latte"/>
    <s v="Drink"/>
    <n v="4"/>
    <n v="3.5"/>
    <s v="Apple Pay"/>
    <s v="C1407"/>
    <n v="14"/>
    <s v="Wednesday"/>
    <s v="February"/>
    <n v="2025"/>
  </r>
  <r>
    <x v="703"/>
    <d v="2025-02-19T00:00:00"/>
    <s v="Central"/>
    <s v="Bristol"/>
    <s v="Latte"/>
    <s v="Drink"/>
    <n v="4"/>
    <n v="3.5"/>
    <s v="Card"/>
    <s v="C1519"/>
    <n v="14"/>
    <s v="Wednesday"/>
    <s v="February"/>
    <n v="2025"/>
  </r>
  <r>
    <x v="704"/>
    <d v="2025-02-19T00:00:00"/>
    <s v="High Street"/>
    <s v="Birmingham"/>
    <s v="Croissant"/>
    <s v="Food"/>
    <n v="5"/>
    <n v="2.8"/>
    <s v="Apple Pay"/>
    <s v="C1823"/>
    <n v="14"/>
    <s v="Wednesday"/>
    <s v="February"/>
    <n v="2025"/>
  </r>
  <r>
    <x v="705"/>
    <d v="2025-02-19T00:00:00"/>
    <s v="Central"/>
    <s v="Bristol"/>
    <s v="Cappuccino"/>
    <s v="Drink"/>
    <n v="3"/>
    <n v="3.8"/>
    <s v="Apple Pay"/>
    <s v="C1891"/>
    <n v="11.399999999999999"/>
    <s v="Wednesday"/>
    <s v="February"/>
    <n v="2025"/>
  </r>
  <r>
    <x v="706"/>
    <d v="2025-02-19T00:00:00"/>
    <s v="Central"/>
    <s v="Manchester"/>
    <s v="Espresso"/>
    <s v="Drink"/>
    <n v="4"/>
    <n v="2.5"/>
    <s v="Cash"/>
    <s v="C1741"/>
    <n v="10"/>
    <s v="Wednesday"/>
    <s v="February"/>
    <n v="2025"/>
  </r>
  <r>
    <x v="707"/>
    <d v="2025-02-19T00:00:00"/>
    <s v="Riverside"/>
    <s v="Birmingham"/>
    <s v="Espresso"/>
    <s v="Drink"/>
    <n v="3"/>
    <n v="2.5"/>
    <s v="Cash"/>
    <s v="C1104"/>
    <n v="7.5"/>
    <s v="Wednesday"/>
    <s v="February"/>
    <n v="2025"/>
  </r>
  <r>
    <x v="708"/>
    <d v="2025-02-19T00:00:00"/>
    <s v="Station"/>
    <s v="N/A"/>
    <s v="Muffin"/>
    <s v="Food"/>
    <n v="3"/>
    <n v="2.2000000000000002"/>
    <s v="Card"/>
    <s v="C1767"/>
    <n v="6.6000000000000005"/>
    <s v="Wednesday"/>
    <s v="February"/>
    <n v="2025"/>
  </r>
  <r>
    <x v="709"/>
    <d v="2025-02-19T00:00:00"/>
    <s v="Central"/>
    <s v="Manchester"/>
    <s v="Espresso"/>
    <s v="Drink"/>
    <n v="2"/>
    <n v="2.5"/>
    <s v="Card"/>
    <s v="C1847"/>
    <n v="5"/>
    <s v="Wednesday"/>
    <s v="February"/>
    <n v="2025"/>
  </r>
  <r>
    <x v="710"/>
    <d v="2025-02-19T00:00:00"/>
    <s v="High Street"/>
    <s v="Bristol"/>
    <s v="Muffin"/>
    <s v="Food"/>
    <n v="2"/>
    <n v="2.2000000000000002"/>
    <s v="Apple Pay"/>
    <s v="C1107"/>
    <n v="4.4000000000000004"/>
    <s v="Wednesday"/>
    <s v="February"/>
    <n v="2025"/>
  </r>
  <r>
    <x v="711"/>
    <d v="2025-02-19T00:00:00"/>
    <s v="Central"/>
    <s v="Birmingham"/>
    <s v="Muffin"/>
    <s v="Food"/>
    <n v="2"/>
    <n v="2.2000000000000002"/>
    <s v="Cash"/>
    <s v="C1481"/>
    <n v="4.4000000000000004"/>
    <s v="Wednesday"/>
    <s v="February"/>
    <n v="2025"/>
  </r>
  <r>
    <x v="712"/>
    <d v="2025-02-19T00:00:00"/>
    <s v="Station"/>
    <s v="Manchester"/>
    <s v="Muffin"/>
    <s v="Food"/>
    <n v="1"/>
    <n v="2.2000000000000002"/>
    <s v="Card"/>
    <s v="C1624"/>
    <n v="2.2000000000000002"/>
    <s v="Wednesday"/>
    <s v="February"/>
    <n v="2025"/>
  </r>
  <r>
    <x v="713"/>
    <d v="2025-02-19T00:00:00"/>
    <s v="Central"/>
    <s v="Birmingham"/>
    <s v="Muffin"/>
    <s v="Food"/>
    <n v="1"/>
    <n v="2.2000000000000002"/>
    <s v="Cash"/>
    <s v="C1644"/>
    <n v="2.2000000000000002"/>
    <s v="Wednesday"/>
    <s v="February"/>
    <n v="2025"/>
  </r>
  <r>
    <x v="714"/>
    <d v="2025-02-20T00:00:00"/>
    <s v="Central"/>
    <s v="Leeds"/>
    <s v="Latte"/>
    <s v="Drink"/>
    <n v="5"/>
    <n v="3.5"/>
    <s v="Apple Pay"/>
    <s v="C1932"/>
    <n v="17.5"/>
    <s v="Thursday"/>
    <s v="February"/>
    <n v="2025"/>
  </r>
  <r>
    <x v="715"/>
    <d v="2025-02-20T00:00:00"/>
    <s v="Riverside"/>
    <s v="Bristol"/>
    <s v="Cappuccino"/>
    <s v="Drink"/>
    <n v="4"/>
    <n v="3.8"/>
    <s v="Card"/>
    <s v="C1857"/>
    <n v="15.2"/>
    <s v="Thursday"/>
    <s v="February"/>
    <n v="2025"/>
  </r>
  <r>
    <x v="716"/>
    <d v="2025-02-20T00:00:00"/>
    <s v="Station"/>
    <s v="Leeds"/>
    <s v="Latte"/>
    <s v="Drink"/>
    <n v="4"/>
    <n v="3.5"/>
    <s v="Card"/>
    <s v="C1465"/>
    <n v="14"/>
    <s v="Thursday"/>
    <s v="February"/>
    <n v="2025"/>
  </r>
  <r>
    <x v="717"/>
    <d v="2025-02-20T00:00:00"/>
    <s v="High Street"/>
    <s v="Birmingham"/>
    <s v="Croissant"/>
    <s v="Food"/>
    <n v="5"/>
    <n v="2.8"/>
    <s v="Apple Pay"/>
    <s v="C1362"/>
    <n v="14"/>
    <s v="Thursday"/>
    <s v="February"/>
    <n v="2025"/>
  </r>
  <r>
    <x v="718"/>
    <d v="2025-02-20T00:00:00"/>
    <s v="Station"/>
    <s v="Birmingham"/>
    <s v="Latte"/>
    <s v="Drink"/>
    <n v="3"/>
    <n v="3.5"/>
    <s v="Cash"/>
    <s v="C1571"/>
    <n v="10.5"/>
    <s v="Thursday"/>
    <s v="February"/>
    <n v="2025"/>
  </r>
  <r>
    <x v="719"/>
    <d v="2025-02-20T00:00:00"/>
    <s v="Station"/>
    <s v="N/A"/>
    <s v="Espresso"/>
    <s v="Drink"/>
    <n v="4"/>
    <n v="2.5"/>
    <s v="Apple Pay"/>
    <s v="C1363"/>
    <n v="10"/>
    <s v="Thursday"/>
    <s v="February"/>
    <n v="2025"/>
  </r>
  <r>
    <x v="720"/>
    <d v="2025-02-20T00:00:00"/>
    <s v="Central"/>
    <s v="Birmingham"/>
    <s v="Muffin"/>
    <s v="Food"/>
    <n v="3"/>
    <n v="2.2000000000000002"/>
    <s v="Card"/>
    <s v="C1284"/>
    <n v="6.6000000000000005"/>
    <s v="Thursday"/>
    <s v="February"/>
    <n v="2025"/>
  </r>
  <r>
    <x v="721"/>
    <d v="2025-02-20T00:00:00"/>
    <s v="High Street"/>
    <s v="Manchester"/>
    <s v="Muffin"/>
    <s v="Food"/>
    <n v="3"/>
    <n v="2.2000000000000002"/>
    <s v="Card"/>
    <s v="C1713"/>
    <n v="6.6000000000000005"/>
    <s v="Thursday"/>
    <s v="February"/>
    <n v="2025"/>
  </r>
  <r>
    <x v="722"/>
    <d v="2025-02-20T00:00:00"/>
    <s v="Station"/>
    <s v="Birmingham"/>
    <s v="Espresso"/>
    <s v="Drink"/>
    <n v="2"/>
    <n v="2.5"/>
    <s v="Card"/>
    <s v="C1325"/>
    <n v="5"/>
    <s v="Thursday"/>
    <s v="February"/>
    <n v="2025"/>
  </r>
  <r>
    <x v="723"/>
    <d v="2025-02-20T00:00:00"/>
    <s v="High Street"/>
    <s v="London"/>
    <s v="Espresso"/>
    <s v="Drink"/>
    <n v="2"/>
    <n v="2.5"/>
    <s v="Apple Pay"/>
    <s v="C1144"/>
    <n v="5"/>
    <s v="Thursday"/>
    <s v="February"/>
    <n v="2025"/>
  </r>
  <r>
    <x v="724"/>
    <d v="2025-02-20T00:00:00"/>
    <s v="High Street"/>
    <s v="Manchester"/>
    <s v="Muffin"/>
    <s v="Food"/>
    <n v="2"/>
    <n v="2.2000000000000002"/>
    <s v="Card"/>
    <s v="C1883"/>
    <n v="4.4000000000000004"/>
    <s v="Thursday"/>
    <s v="February"/>
    <n v="2025"/>
  </r>
  <r>
    <x v="725"/>
    <d v="2025-02-20T00:00:00"/>
    <s v="Station"/>
    <s v="Bristol"/>
    <s v="Cappuccino"/>
    <s v="Drink"/>
    <n v="1"/>
    <n v="3.8"/>
    <s v="Card"/>
    <s v="C1324"/>
    <n v="3.8"/>
    <s v="Thursday"/>
    <s v="February"/>
    <n v="2025"/>
  </r>
  <r>
    <x v="726"/>
    <d v="2025-02-20T00:00:00"/>
    <s v="High Street"/>
    <s v="Leeds"/>
    <s v="Latte"/>
    <s v="Drink"/>
    <n v="1"/>
    <n v="3.5"/>
    <s v="Cash"/>
    <s v="C1492"/>
    <n v="3.5"/>
    <s v="Thursday"/>
    <s v="February"/>
    <n v="2025"/>
  </r>
  <r>
    <x v="727"/>
    <d v="2025-02-20T00:00:00"/>
    <s v="Riverside"/>
    <s v="Manchester"/>
    <s v="Croissant"/>
    <s v="Food"/>
    <n v="1"/>
    <n v="2.8"/>
    <s v="Cash"/>
    <s v="C1718"/>
    <n v="2.8"/>
    <s v="Thursday"/>
    <s v="February"/>
    <n v="2025"/>
  </r>
  <r>
    <x v="728"/>
    <d v="2025-02-20T00:00:00"/>
    <s v="Station"/>
    <s v="Manchester"/>
    <s v="Croissant"/>
    <s v="Food"/>
    <n v="1"/>
    <n v="2.8"/>
    <s v="Cash"/>
    <s v="C1010"/>
    <n v="2.8"/>
    <s v="Thursday"/>
    <s v="February"/>
    <n v="2025"/>
  </r>
  <r>
    <x v="729"/>
    <d v="2025-02-20T00:00:00"/>
    <s v="High Street"/>
    <s v="Bristol"/>
    <s v="Muffin"/>
    <s v="Food"/>
    <n v="1"/>
    <n v="2.2000000000000002"/>
    <s v="Cash"/>
    <s v="C1516"/>
    <n v="2.2000000000000002"/>
    <s v="Thursday"/>
    <s v="February"/>
    <n v="2025"/>
  </r>
  <r>
    <x v="730"/>
    <d v="2025-02-21T00:00:00"/>
    <s v="High Street"/>
    <s v="Bristol"/>
    <s v="Cappuccino"/>
    <s v="Drink"/>
    <n v="4"/>
    <n v="3.8"/>
    <s v="Card"/>
    <s v="C1658"/>
    <n v="15.2"/>
    <s v="Friday"/>
    <s v="February"/>
    <n v="2025"/>
  </r>
  <r>
    <x v="731"/>
    <d v="2025-02-21T00:00:00"/>
    <s v="Station"/>
    <s v="London"/>
    <s v="Latte"/>
    <s v="Drink"/>
    <n v="4"/>
    <n v="3.5"/>
    <s v="Card"/>
    <s v="C1592"/>
    <n v="14"/>
    <s v="Friday"/>
    <s v="February"/>
    <n v="2025"/>
  </r>
  <r>
    <x v="732"/>
    <d v="2025-02-21T00:00:00"/>
    <s v="High Street"/>
    <s v="Birmingham"/>
    <s v="Latte"/>
    <s v="Drink"/>
    <n v="4"/>
    <n v="3.5"/>
    <s v="Cash"/>
    <s v="C1650"/>
    <n v="14"/>
    <s v="Friday"/>
    <s v="February"/>
    <n v="2025"/>
  </r>
  <r>
    <x v="733"/>
    <d v="2025-02-21T00:00:00"/>
    <s v="Central"/>
    <s v="Manchester"/>
    <s v="Cappuccino"/>
    <s v="Drink"/>
    <n v="3"/>
    <n v="3.8"/>
    <s v="Apple Pay"/>
    <s v="C1715"/>
    <n v="11.399999999999999"/>
    <s v="Friday"/>
    <s v="February"/>
    <n v="2025"/>
  </r>
  <r>
    <x v="734"/>
    <d v="2025-02-21T00:00:00"/>
    <s v="Central"/>
    <s v="London"/>
    <s v="Espresso"/>
    <s v="Drink"/>
    <n v="4"/>
    <n v="2.5"/>
    <s v="Cash"/>
    <s v="C1939"/>
    <n v="10"/>
    <s v="Friday"/>
    <s v="February"/>
    <n v="2025"/>
  </r>
  <r>
    <x v="735"/>
    <d v="2025-02-21T00:00:00"/>
    <s v="Riverside"/>
    <s v="London"/>
    <s v="Muffin"/>
    <s v="Food"/>
    <n v="4"/>
    <n v="2.2000000000000002"/>
    <s v="Cash"/>
    <s v="C1794"/>
    <n v="8.8000000000000007"/>
    <s v="Friday"/>
    <s v="February"/>
    <n v="2025"/>
  </r>
  <r>
    <x v="736"/>
    <d v="2025-02-21T00:00:00"/>
    <s v="High Street"/>
    <s v="Bristol"/>
    <s v="Croissant"/>
    <s v="Food"/>
    <n v="3"/>
    <n v="2.8"/>
    <s v="Card"/>
    <s v="C1944"/>
    <n v="8.3999999999999986"/>
    <s v="Friday"/>
    <s v="February"/>
    <n v="2025"/>
  </r>
  <r>
    <x v="737"/>
    <d v="2025-02-21T00:00:00"/>
    <s v="Station"/>
    <s v="Bristol"/>
    <s v="Latte"/>
    <s v="Drink"/>
    <n v="2"/>
    <n v="3.5"/>
    <s v="Cash"/>
    <s v="C1084"/>
    <n v="7"/>
    <s v="Friday"/>
    <s v="February"/>
    <n v="2025"/>
  </r>
  <r>
    <x v="738"/>
    <d v="2025-02-21T00:00:00"/>
    <s v="High Street"/>
    <s v="Bristol"/>
    <s v="Croissant"/>
    <s v="Food"/>
    <n v="2"/>
    <n v="2.8"/>
    <s v="Card"/>
    <s v="C1317"/>
    <n v="5.6"/>
    <s v="Friday"/>
    <s v="February"/>
    <n v="2025"/>
  </r>
  <r>
    <x v="739"/>
    <d v="2025-02-21T00:00:00"/>
    <s v="Riverside"/>
    <s v="London"/>
    <s v="Croissant"/>
    <s v="Food"/>
    <n v="2"/>
    <n v="2.8"/>
    <s v="Apple Pay"/>
    <s v="C1311"/>
    <n v="5.6"/>
    <s v="Friday"/>
    <s v="February"/>
    <n v="2025"/>
  </r>
  <r>
    <x v="740"/>
    <d v="2025-02-21T00:00:00"/>
    <s v="Riverside"/>
    <s v="Manchester"/>
    <s v="Espresso"/>
    <s v="Drink"/>
    <n v="2"/>
    <n v="2.5"/>
    <s v="Apple Pay"/>
    <s v="C1788"/>
    <n v="5"/>
    <s v="Friday"/>
    <s v="February"/>
    <n v="2025"/>
  </r>
  <r>
    <x v="741"/>
    <d v="2025-02-21T00:00:00"/>
    <s v="Station"/>
    <s v="Bristol"/>
    <s v="Latte"/>
    <s v="Drink"/>
    <n v="1"/>
    <n v="3.5"/>
    <s v="Apple Pay"/>
    <s v="C1749"/>
    <n v="3.5"/>
    <s v="Friday"/>
    <s v="February"/>
    <n v="2025"/>
  </r>
  <r>
    <x v="742"/>
    <d v="2025-02-21T00:00:00"/>
    <s v="Station"/>
    <s v="Birmingham"/>
    <s v="Latte"/>
    <s v="Drink"/>
    <n v="1"/>
    <n v="3.5"/>
    <s v="Card"/>
    <s v="C1069"/>
    <n v="3.5"/>
    <s v="Friday"/>
    <s v="February"/>
    <n v="2025"/>
  </r>
  <r>
    <x v="743"/>
    <d v="2025-02-21T00:00:00"/>
    <s v="Central"/>
    <s v="Leeds"/>
    <s v="Espresso"/>
    <s v="Drink"/>
    <n v="1"/>
    <n v="2.5"/>
    <s v="Card"/>
    <s v="C1171"/>
    <n v="2.5"/>
    <s v="Friday"/>
    <s v="February"/>
    <n v="2025"/>
  </r>
  <r>
    <x v="744"/>
    <d v="2025-02-22T00:00:00"/>
    <s v="Central"/>
    <s v="Leeds"/>
    <s v="Latte"/>
    <s v="Drink"/>
    <n v="5"/>
    <n v="3.5"/>
    <s v="Card"/>
    <s v="C1697"/>
    <n v="17.5"/>
    <s v="Saturday"/>
    <s v="February"/>
    <n v="2025"/>
  </r>
  <r>
    <x v="745"/>
    <d v="2025-02-22T00:00:00"/>
    <s v="Riverside"/>
    <s v="Manchester"/>
    <s v="Cappuccino"/>
    <s v="Drink"/>
    <n v="4"/>
    <n v="3.8"/>
    <s v="Cash"/>
    <s v="C1690"/>
    <n v="15.2"/>
    <s v="Saturday"/>
    <s v="February"/>
    <n v="2025"/>
  </r>
  <r>
    <x v="746"/>
    <d v="2025-02-22T00:00:00"/>
    <s v="Riverside"/>
    <s v="London"/>
    <s v="Latte"/>
    <s v="Drink"/>
    <n v="4"/>
    <n v="3.5"/>
    <s v="Card"/>
    <s v="C1115"/>
    <n v="14"/>
    <s v="Saturday"/>
    <s v="February"/>
    <n v="2025"/>
  </r>
  <r>
    <x v="747"/>
    <d v="2025-02-22T00:00:00"/>
    <s v="Riverside"/>
    <s v="Leeds"/>
    <s v="Croissant"/>
    <s v="Food"/>
    <n v="5"/>
    <n v="2.8"/>
    <s v="Card"/>
    <s v="C1729"/>
    <n v="14"/>
    <s v="Saturday"/>
    <s v="February"/>
    <n v="2025"/>
  </r>
  <r>
    <x v="748"/>
    <d v="2025-02-22T00:00:00"/>
    <s v="Central"/>
    <s v="Manchester"/>
    <s v="Cappuccino"/>
    <s v="Drink"/>
    <n v="3"/>
    <n v="3.8"/>
    <s v="Card"/>
    <s v="C1168"/>
    <n v="11.399999999999999"/>
    <s v="Saturday"/>
    <s v="February"/>
    <n v="2025"/>
  </r>
  <r>
    <x v="749"/>
    <d v="2025-02-22T00:00:00"/>
    <s v="High Street"/>
    <s v="Leeds"/>
    <s v="Cappuccino"/>
    <s v="Drink"/>
    <n v="3"/>
    <n v="3.8"/>
    <s v="Cash"/>
    <s v="C1481"/>
    <n v="11.399999999999999"/>
    <s v="Saturday"/>
    <s v="February"/>
    <n v="2025"/>
  </r>
  <r>
    <x v="750"/>
    <d v="2025-02-22T00:00:00"/>
    <s v="High Street"/>
    <s v="London"/>
    <s v="Croissant"/>
    <s v="Food"/>
    <n v="4"/>
    <n v="2.8"/>
    <s v="Cash"/>
    <s v="C1545"/>
    <n v="11.2"/>
    <s v="Saturday"/>
    <s v="February"/>
    <n v="2025"/>
  </r>
  <r>
    <x v="751"/>
    <d v="2025-02-22T00:00:00"/>
    <s v="Riverside"/>
    <s v="Manchester"/>
    <s v="Muffin"/>
    <s v="Food"/>
    <n v="5"/>
    <n v="2.2000000000000002"/>
    <s v="Apple Pay"/>
    <s v="C1340"/>
    <n v="11"/>
    <s v="Saturday"/>
    <s v="February"/>
    <n v="2025"/>
  </r>
  <r>
    <x v="752"/>
    <d v="2025-02-22T00:00:00"/>
    <s v="Central"/>
    <s v="Manchester"/>
    <s v="Latte"/>
    <s v="Drink"/>
    <n v="3"/>
    <n v="3.5"/>
    <s v="Cash"/>
    <s v="C1034"/>
    <n v="10.5"/>
    <s v="Saturday"/>
    <s v="February"/>
    <n v="2025"/>
  </r>
  <r>
    <x v="753"/>
    <d v="2025-02-22T00:00:00"/>
    <s v="Central"/>
    <s v="London"/>
    <s v="Muffin"/>
    <s v="Food"/>
    <n v="4"/>
    <n v="2.2000000000000002"/>
    <s v="Cash"/>
    <s v="C1658"/>
    <n v="8.8000000000000007"/>
    <s v="Saturday"/>
    <s v="February"/>
    <n v="2025"/>
  </r>
  <r>
    <x v="754"/>
    <d v="2025-02-22T00:00:00"/>
    <s v="High Street"/>
    <s v="Birmingham"/>
    <s v="Muffin"/>
    <s v="Food"/>
    <n v="4"/>
    <n v="2.2000000000000002"/>
    <s v="Card"/>
    <s v="C1953"/>
    <n v="8.8000000000000007"/>
    <s v="Saturday"/>
    <s v="February"/>
    <n v="2025"/>
  </r>
  <r>
    <x v="755"/>
    <d v="2025-02-22T00:00:00"/>
    <s v="High Street"/>
    <s v="London"/>
    <s v="Muffin"/>
    <s v="Food"/>
    <n v="4"/>
    <n v="2.2000000000000002"/>
    <s v="Apple Pay"/>
    <s v="C1571"/>
    <n v="8.8000000000000007"/>
    <s v="Saturday"/>
    <s v="February"/>
    <n v="2025"/>
  </r>
  <r>
    <x v="756"/>
    <d v="2025-02-22T00:00:00"/>
    <s v="Central"/>
    <s v="Manchester"/>
    <s v="Cappuccino"/>
    <s v="Drink"/>
    <n v="2"/>
    <n v="3.8"/>
    <s v="Cash"/>
    <s v="C1985"/>
    <n v="7.6"/>
    <s v="Saturday"/>
    <s v="February"/>
    <n v="2025"/>
  </r>
  <r>
    <x v="757"/>
    <d v="2025-02-22T00:00:00"/>
    <s v="Central"/>
    <s v="Bristol"/>
    <s v="Cappuccino"/>
    <s v="Drink"/>
    <n v="2"/>
    <n v="3.8"/>
    <s v="Apple Pay"/>
    <s v="C1635"/>
    <n v="7.6"/>
    <s v="Saturday"/>
    <s v="February"/>
    <n v="2025"/>
  </r>
  <r>
    <x v="758"/>
    <d v="2025-02-22T00:00:00"/>
    <s v="High Street"/>
    <s v="Birmingham"/>
    <s v="Cappuccino"/>
    <s v="Drink"/>
    <n v="2"/>
    <n v="3.8"/>
    <s v="Cash"/>
    <s v="C1123"/>
    <n v="7.6"/>
    <s v="Saturday"/>
    <s v="February"/>
    <n v="2025"/>
  </r>
  <r>
    <x v="759"/>
    <d v="2025-02-22T00:00:00"/>
    <s v="Central"/>
    <s v="Birmingham"/>
    <s v="Espresso"/>
    <s v="Drink"/>
    <n v="3"/>
    <n v="2.5"/>
    <s v="Apple Pay"/>
    <s v="C1747"/>
    <n v="7.5"/>
    <s v="Saturday"/>
    <s v="February"/>
    <n v="2025"/>
  </r>
  <r>
    <x v="760"/>
    <d v="2025-02-22T00:00:00"/>
    <s v="Central"/>
    <s v="Manchester"/>
    <s v="Latte"/>
    <s v="Drink"/>
    <n v="2"/>
    <n v="3.5"/>
    <s v="Card"/>
    <s v="C1028"/>
    <n v="7"/>
    <s v="Saturday"/>
    <s v="February"/>
    <n v="2025"/>
  </r>
  <r>
    <x v="761"/>
    <d v="2025-02-22T00:00:00"/>
    <s v="Central"/>
    <s v="Bristol"/>
    <s v="Muffin"/>
    <s v="Food"/>
    <n v="3"/>
    <n v="2.2000000000000002"/>
    <s v="Cash"/>
    <s v="C1071"/>
    <n v="6.6000000000000005"/>
    <s v="Saturday"/>
    <s v="February"/>
    <n v="2025"/>
  </r>
  <r>
    <x v="762"/>
    <d v="2025-02-22T00:00:00"/>
    <s v="Central"/>
    <s v="Manchester"/>
    <s v="Espresso"/>
    <s v="Drink"/>
    <n v="2"/>
    <n v="2.5"/>
    <s v="Cash"/>
    <s v="C1357"/>
    <n v="5"/>
    <s v="Saturday"/>
    <s v="February"/>
    <n v="2025"/>
  </r>
  <r>
    <x v="763"/>
    <d v="2025-02-22T00:00:00"/>
    <s v="Station"/>
    <s v="London"/>
    <s v="Latte"/>
    <s v="Drink"/>
    <n v="1"/>
    <n v="3.5"/>
    <s v="Apple Pay"/>
    <s v="C1684"/>
    <n v="3.5"/>
    <s v="Saturday"/>
    <s v="February"/>
    <n v="2025"/>
  </r>
  <r>
    <x v="764"/>
    <d v="2025-02-22T00:00:00"/>
    <s v="High Street"/>
    <s v="Bristol"/>
    <s v="Croissant"/>
    <s v="Food"/>
    <n v="1"/>
    <n v="2.8"/>
    <s v="Cash"/>
    <s v="C1014"/>
    <n v="2.8"/>
    <s v="Saturday"/>
    <s v="February"/>
    <n v="2025"/>
  </r>
  <r>
    <x v="765"/>
    <d v="2025-02-23T00:00:00"/>
    <s v="Riverside"/>
    <s v="Leeds"/>
    <s v="Cappuccino"/>
    <s v="Drink"/>
    <n v="5"/>
    <n v="3.8"/>
    <s v="Apple Pay"/>
    <s v="C1485"/>
    <n v="19"/>
    <s v="Sunday"/>
    <s v="February"/>
    <n v="2025"/>
  </r>
  <r>
    <x v="766"/>
    <d v="2025-02-23T00:00:00"/>
    <s v="Riverside"/>
    <s v="Leeds"/>
    <s v="Latte"/>
    <s v="Drink"/>
    <n v="5"/>
    <n v="3.5"/>
    <s v="Card"/>
    <s v="C1900"/>
    <n v="17.5"/>
    <s v="Sunday"/>
    <s v="February"/>
    <n v="2025"/>
  </r>
  <r>
    <x v="767"/>
    <d v="2025-02-23T00:00:00"/>
    <s v="Station"/>
    <s v="N/A"/>
    <s v="Cappuccino"/>
    <s v="Drink"/>
    <n v="4"/>
    <n v="3.8"/>
    <s v="Card"/>
    <s v="C1451"/>
    <n v="15.2"/>
    <s v="Sunday"/>
    <s v="February"/>
    <n v="2025"/>
  </r>
  <r>
    <x v="768"/>
    <d v="2025-02-23T00:00:00"/>
    <s v="Central"/>
    <s v="Leeds"/>
    <s v="Cappuccino"/>
    <s v="Drink"/>
    <n v="4"/>
    <n v="3.8"/>
    <s v="Cash"/>
    <s v="C1608"/>
    <n v="15.2"/>
    <s v="Sunday"/>
    <s v="February"/>
    <n v="2025"/>
  </r>
  <r>
    <x v="769"/>
    <d v="2025-02-23T00:00:00"/>
    <s v="Station"/>
    <s v="Birmingham"/>
    <s v="Cappuccino"/>
    <s v="Drink"/>
    <n v="4"/>
    <n v="3.8"/>
    <s v="Card"/>
    <s v="C1884"/>
    <n v="15.2"/>
    <s v="Sunday"/>
    <s v="February"/>
    <n v="2025"/>
  </r>
  <r>
    <x v="770"/>
    <d v="2025-02-23T00:00:00"/>
    <s v="Central"/>
    <s v="Bristol"/>
    <s v="Croissant"/>
    <s v="Food"/>
    <n v="5"/>
    <n v="2.8"/>
    <s v="Apple Pay"/>
    <s v="C1350"/>
    <n v="14"/>
    <s v="Sunday"/>
    <s v="February"/>
    <n v="2025"/>
  </r>
  <r>
    <x v="771"/>
    <d v="2025-02-23T00:00:00"/>
    <s v="Riverside"/>
    <s v="London"/>
    <s v="Muffin"/>
    <s v="Food"/>
    <n v="5"/>
    <n v="2.2000000000000002"/>
    <s v="Cash"/>
    <s v="C1065"/>
    <n v="11"/>
    <s v="Sunday"/>
    <s v="February"/>
    <n v="2025"/>
  </r>
  <r>
    <x v="772"/>
    <d v="2025-02-23T00:00:00"/>
    <s v="Riverside"/>
    <s v="Manchester"/>
    <s v="Espresso"/>
    <s v="Drink"/>
    <n v="1"/>
    <n v="2.5"/>
    <s v="Apple Pay"/>
    <s v="C1090"/>
    <n v="2.5"/>
    <s v="Sunday"/>
    <s v="February"/>
    <n v="2025"/>
  </r>
  <r>
    <x v="773"/>
    <d v="2025-02-23T00:00:00"/>
    <s v="Station"/>
    <s v="Manchester"/>
    <s v="Espresso"/>
    <s v="Drink"/>
    <n v="1"/>
    <n v="2.5"/>
    <s v="Cash"/>
    <s v="C1653"/>
    <n v="2.5"/>
    <s v="Sunday"/>
    <s v="February"/>
    <n v="2025"/>
  </r>
  <r>
    <x v="774"/>
    <d v="2025-02-23T00:00:00"/>
    <s v="Riverside"/>
    <s v="Manchester"/>
    <s v="Muffin"/>
    <s v="Food"/>
    <n v="1"/>
    <n v="2.2000000000000002"/>
    <s v="Cash"/>
    <s v="C1497"/>
    <n v="2.2000000000000002"/>
    <s v="Sunday"/>
    <s v="February"/>
    <n v="2025"/>
  </r>
  <r>
    <x v="775"/>
    <d v="2025-02-24T00:00:00"/>
    <s v="Station"/>
    <s v="Birmingham"/>
    <s v="Cappuccino"/>
    <s v="Drink"/>
    <n v="5"/>
    <n v="3.8"/>
    <s v="Cash"/>
    <s v="C1761"/>
    <n v="19"/>
    <s v="Monday"/>
    <s v="February"/>
    <n v="2025"/>
  </r>
  <r>
    <x v="776"/>
    <d v="2025-02-24T00:00:00"/>
    <s v="Station"/>
    <s v="Birmingham"/>
    <s v="Cappuccino"/>
    <s v="Drink"/>
    <n v="5"/>
    <n v="3.8"/>
    <s v="Cash"/>
    <s v="C1460"/>
    <n v="19"/>
    <s v="Monday"/>
    <s v="February"/>
    <n v="2025"/>
  </r>
  <r>
    <x v="777"/>
    <d v="2025-02-24T00:00:00"/>
    <s v="Riverside"/>
    <s v="London"/>
    <s v="Cappuccino"/>
    <s v="Drink"/>
    <n v="5"/>
    <n v="3.8"/>
    <s v="Card"/>
    <s v="C1214"/>
    <n v="19"/>
    <s v="Monday"/>
    <s v="February"/>
    <n v="2025"/>
  </r>
  <r>
    <x v="778"/>
    <d v="2025-02-24T00:00:00"/>
    <s v="Central"/>
    <s v="Leeds"/>
    <s v="Espresso"/>
    <s v="Drink"/>
    <n v="5"/>
    <n v="2.5"/>
    <s v="Cash"/>
    <s v="C1571"/>
    <n v="12.5"/>
    <s v="Monday"/>
    <s v="February"/>
    <n v="2025"/>
  </r>
  <r>
    <x v="779"/>
    <d v="2025-02-24T00:00:00"/>
    <s v="High Street"/>
    <s v="Leeds"/>
    <s v="Muffin"/>
    <s v="Food"/>
    <n v="5"/>
    <n v="2.2000000000000002"/>
    <s v="Card"/>
    <s v="C1219"/>
    <n v="11"/>
    <s v="Monday"/>
    <s v="February"/>
    <n v="2025"/>
  </r>
  <r>
    <x v="780"/>
    <d v="2025-02-24T00:00:00"/>
    <s v="Riverside"/>
    <s v="Leeds"/>
    <s v="Espresso"/>
    <s v="Drink"/>
    <n v="4"/>
    <n v="2.5"/>
    <s v="Cash"/>
    <s v="C1235"/>
    <n v="10"/>
    <s v="Monday"/>
    <s v="February"/>
    <n v="2025"/>
  </r>
  <r>
    <x v="781"/>
    <d v="2025-02-24T00:00:00"/>
    <s v="Riverside"/>
    <s v="Bristol"/>
    <s v="Espresso"/>
    <s v="Drink"/>
    <n v="4"/>
    <n v="2.5"/>
    <s v="Cash"/>
    <s v="C1907"/>
    <n v="10"/>
    <s v="Monday"/>
    <s v="February"/>
    <n v="2025"/>
  </r>
  <r>
    <x v="782"/>
    <d v="2025-02-24T00:00:00"/>
    <s v="Central"/>
    <s v="London"/>
    <s v="Muffin"/>
    <s v="Food"/>
    <n v="3"/>
    <n v="2.2000000000000002"/>
    <s v="Card"/>
    <s v="C1921"/>
    <n v="6.6000000000000005"/>
    <s v="Monday"/>
    <s v="February"/>
    <n v="2025"/>
  </r>
  <r>
    <x v="783"/>
    <d v="2025-02-24T00:00:00"/>
    <s v="High Street"/>
    <s v="Bristol"/>
    <s v="Croissant"/>
    <s v="Food"/>
    <n v="2"/>
    <n v="2.8"/>
    <s v="Card"/>
    <s v="C1960"/>
    <n v="5.6"/>
    <s v="Monday"/>
    <s v="February"/>
    <n v="2025"/>
  </r>
  <r>
    <x v="784"/>
    <d v="2025-02-24T00:00:00"/>
    <s v="High Street"/>
    <s v="Manchester"/>
    <s v="Latte"/>
    <s v="Drink"/>
    <n v="1"/>
    <n v="3.5"/>
    <s v="Cash"/>
    <s v="C1592"/>
    <n v="3.5"/>
    <s v="Monday"/>
    <s v="February"/>
    <n v="2025"/>
  </r>
  <r>
    <x v="785"/>
    <d v="2025-02-24T00:00:00"/>
    <s v="Riverside"/>
    <s v="Birmingham"/>
    <s v="Muffin"/>
    <s v="Food"/>
    <n v="1"/>
    <n v="2.2000000000000002"/>
    <s v="Card"/>
    <s v="C1847"/>
    <n v="2.2000000000000002"/>
    <s v="Monday"/>
    <s v="February"/>
    <n v="2025"/>
  </r>
  <r>
    <x v="786"/>
    <d v="2025-02-25T00:00:00"/>
    <s v="Station"/>
    <s v="Manchester"/>
    <s v="Croissant"/>
    <s v="Food"/>
    <n v="4"/>
    <n v="2.8"/>
    <s v="Cash"/>
    <s v="C1792"/>
    <n v="11.2"/>
    <s v="Tuesday"/>
    <s v="February"/>
    <n v="2025"/>
  </r>
  <r>
    <x v="787"/>
    <d v="2025-02-25T00:00:00"/>
    <s v="Station"/>
    <s v="Manchester"/>
    <s v="Muffin"/>
    <s v="Food"/>
    <n v="5"/>
    <n v="2.2000000000000002"/>
    <s v="Card"/>
    <s v="C1248"/>
    <n v="11"/>
    <s v="Tuesday"/>
    <s v="February"/>
    <n v="2025"/>
  </r>
  <r>
    <x v="788"/>
    <d v="2025-02-25T00:00:00"/>
    <s v="Riverside"/>
    <s v="Bristol"/>
    <s v="Latte"/>
    <s v="Drink"/>
    <n v="3"/>
    <n v="3.5"/>
    <s v="Apple Pay"/>
    <s v="C1541"/>
    <n v="10.5"/>
    <s v="Tuesday"/>
    <s v="February"/>
    <n v="2025"/>
  </r>
  <r>
    <x v="789"/>
    <d v="2025-02-25T00:00:00"/>
    <s v="High Street"/>
    <s v="Manchester"/>
    <s v="Cappuccino"/>
    <s v="Drink"/>
    <n v="2"/>
    <n v="3.8"/>
    <s v="Cash"/>
    <s v="C1521"/>
    <n v="7.6"/>
    <s v="Tuesday"/>
    <s v="February"/>
    <n v="2025"/>
  </r>
  <r>
    <x v="790"/>
    <d v="2025-02-25T00:00:00"/>
    <s v="Riverside"/>
    <s v="Bristol"/>
    <s v="Espresso"/>
    <s v="Drink"/>
    <n v="3"/>
    <n v="2.5"/>
    <s v="Card"/>
    <s v="C1525"/>
    <n v="7.5"/>
    <s v="Tuesday"/>
    <s v="February"/>
    <n v="2025"/>
  </r>
  <r>
    <x v="791"/>
    <d v="2025-02-25T00:00:00"/>
    <s v="Station"/>
    <s v="London"/>
    <s v="Croissant"/>
    <s v="Food"/>
    <n v="2"/>
    <n v="2.8"/>
    <s v="Cash"/>
    <s v="C1663"/>
    <n v="5.6"/>
    <s v="Tuesday"/>
    <s v="February"/>
    <n v="2025"/>
  </r>
  <r>
    <x v="792"/>
    <d v="2025-02-25T00:00:00"/>
    <s v="Central"/>
    <s v="Leeds"/>
    <s v="Croissant"/>
    <s v="Food"/>
    <n v="2"/>
    <n v="2.8"/>
    <s v="Card"/>
    <s v="C1047"/>
    <n v="5.6"/>
    <s v="Tuesday"/>
    <s v="February"/>
    <n v="2025"/>
  </r>
  <r>
    <x v="793"/>
    <d v="2025-02-25T00:00:00"/>
    <s v="Riverside"/>
    <s v="Birmingham"/>
    <s v="Espresso"/>
    <s v="Drink"/>
    <n v="2"/>
    <n v="2.5"/>
    <s v="Apple Pay"/>
    <s v="C1192"/>
    <n v="5"/>
    <s v="Tuesday"/>
    <s v="February"/>
    <n v="2025"/>
  </r>
  <r>
    <x v="794"/>
    <d v="2025-02-25T00:00:00"/>
    <s v="Station"/>
    <s v="Birmingham"/>
    <s v="Muffin"/>
    <s v="Food"/>
    <n v="2"/>
    <n v="2.2000000000000002"/>
    <s v="Apple Pay"/>
    <s v="C1220"/>
    <n v="4.4000000000000004"/>
    <s v="Tuesday"/>
    <s v="February"/>
    <n v="2025"/>
  </r>
  <r>
    <x v="795"/>
    <d v="2025-02-25T00:00:00"/>
    <s v="Station"/>
    <s v="Manchester"/>
    <s v="Cappuccino"/>
    <s v="Drink"/>
    <n v="1"/>
    <n v="3.8"/>
    <s v="Apple Pay"/>
    <s v="C1829"/>
    <n v="3.8"/>
    <s v="Tuesday"/>
    <s v="February"/>
    <n v="2025"/>
  </r>
  <r>
    <x v="796"/>
    <d v="2025-02-25T00:00:00"/>
    <s v="Station"/>
    <s v="Manchester"/>
    <s v="Latte"/>
    <s v="Drink"/>
    <n v="1"/>
    <n v="3.5"/>
    <s v="Cash"/>
    <s v="C1317"/>
    <n v="3.5"/>
    <s v="Tuesday"/>
    <s v="February"/>
    <n v="2025"/>
  </r>
  <r>
    <x v="797"/>
    <d v="2025-02-25T00:00:00"/>
    <s v="Station"/>
    <s v="Birmingham"/>
    <s v="Espresso"/>
    <s v="Drink"/>
    <n v="1"/>
    <n v="2.5"/>
    <s v="Card"/>
    <s v="C1741"/>
    <n v="2.5"/>
    <s v="Tuesday"/>
    <s v="February"/>
    <n v="2025"/>
  </r>
  <r>
    <x v="798"/>
    <d v="2025-02-25T00:00:00"/>
    <s v="Station"/>
    <s v="London"/>
    <s v="Muffin"/>
    <s v="Food"/>
    <n v="1"/>
    <n v="2.2000000000000002"/>
    <s v="Card"/>
    <s v="C1760"/>
    <n v="2.2000000000000002"/>
    <s v="Tuesday"/>
    <s v="February"/>
    <n v="2025"/>
  </r>
  <r>
    <x v="799"/>
    <d v="2025-02-26T00:00:00"/>
    <s v="Central"/>
    <s v="Birmingham"/>
    <s v="Latte"/>
    <s v="Drink"/>
    <n v="5"/>
    <n v="3.5"/>
    <s v="Card"/>
    <s v="C1199"/>
    <n v="17.5"/>
    <s v="Wednesday"/>
    <s v="February"/>
    <n v="2025"/>
  </r>
  <r>
    <x v="800"/>
    <d v="2025-02-26T00:00:00"/>
    <s v="High Street"/>
    <s v="Bristol"/>
    <s v="Croissant"/>
    <s v="Food"/>
    <n v="5"/>
    <n v="2.8"/>
    <s v="Apple Pay"/>
    <s v="C1970"/>
    <n v="14"/>
    <s v="Wednesday"/>
    <s v="February"/>
    <n v="2025"/>
  </r>
  <r>
    <x v="801"/>
    <d v="2025-02-26T00:00:00"/>
    <s v="High Street"/>
    <s v="Bristol"/>
    <s v="Croissant"/>
    <s v="Food"/>
    <n v="4"/>
    <n v="2.8"/>
    <s v="Card"/>
    <s v="C1650"/>
    <n v="11.2"/>
    <s v="Wednesday"/>
    <s v="February"/>
    <n v="2025"/>
  </r>
  <r>
    <x v="802"/>
    <d v="2025-02-26T00:00:00"/>
    <s v="Station"/>
    <s v="Birmingham"/>
    <s v="Croissant"/>
    <s v="Food"/>
    <n v="4"/>
    <n v="2.8"/>
    <s v="Card"/>
    <s v="C1707"/>
    <n v="11.2"/>
    <s v="Wednesday"/>
    <s v="February"/>
    <n v="2025"/>
  </r>
  <r>
    <x v="803"/>
    <d v="2025-02-26T00:00:00"/>
    <s v="Central"/>
    <s v="Manchester"/>
    <s v="Croissant"/>
    <s v="Food"/>
    <n v="3"/>
    <n v="2.8"/>
    <s v="Card"/>
    <s v="C1571"/>
    <n v="8.3999999999999986"/>
    <s v="Wednesday"/>
    <s v="February"/>
    <n v="2025"/>
  </r>
  <r>
    <x v="804"/>
    <d v="2025-02-26T00:00:00"/>
    <s v="Central"/>
    <s v="London"/>
    <s v="Latte"/>
    <s v="Drink"/>
    <n v="2"/>
    <n v="3.5"/>
    <s v="Card"/>
    <s v="C1722"/>
    <n v="7"/>
    <s v="Wednesday"/>
    <s v="February"/>
    <n v="2025"/>
  </r>
  <r>
    <x v="805"/>
    <d v="2025-02-26T00:00:00"/>
    <s v="Central"/>
    <s v="Leeds"/>
    <s v="Muffin"/>
    <s v="Food"/>
    <n v="3"/>
    <n v="2.2000000000000002"/>
    <s v="Apple Pay"/>
    <s v="C1358"/>
    <n v="6.6000000000000005"/>
    <s v="Wednesday"/>
    <s v="February"/>
    <n v="2025"/>
  </r>
  <r>
    <x v="806"/>
    <d v="2025-02-26T00:00:00"/>
    <s v="Riverside"/>
    <s v="Bristol"/>
    <s v="Croissant"/>
    <s v="Food"/>
    <n v="1"/>
    <n v="2.8"/>
    <s v="Card"/>
    <s v="C1982"/>
    <n v="2.8"/>
    <s v="Wednesday"/>
    <s v="February"/>
    <n v="2025"/>
  </r>
  <r>
    <x v="807"/>
    <d v="2025-02-27T00:00:00"/>
    <s v="Station"/>
    <s v="Leeds"/>
    <s v="Latte"/>
    <s v="Drink"/>
    <n v="4"/>
    <n v="3.5"/>
    <s v="Cash"/>
    <s v="C1459"/>
    <n v="14"/>
    <s v="Thursday"/>
    <s v="February"/>
    <n v="2025"/>
  </r>
  <r>
    <x v="808"/>
    <d v="2025-02-27T00:00:00"/>
    <s v="Riverside"/>
    <s v="London"/>
    <s v="Espresso"/>
    <s v="Drink"/>
    <n v="4"/>
    <n v="2.5"/>
    <s v="Card"/>
    <s v="C1209"/>
    <n v="10"/>
    <s v="Thursday"/>
    <s v="February"/>
    <n v="2025"/>
  </r>
  <r>
    <x v="809"/>
    <d v="2025-02-27T00:00:00"/>
    <s v="Riverside"/>
    <s v="London"/>
    <s v="Muffin"/>
    <s v="Food"/>
    <n v="4"/>
    <n v="2.2000000000000002"/>
    <s v="Card"/>
    <s v="C1804"/>
    <n v="8.8000000000000007"/>
    <s v="Thursday"/>
    <s v="February"/>
    <n v="2025"/>
  </r>
  <r>
    <x v="810"/>
    <d v="2025-02-27T00:00:00"/>
    <s v="Central"/>
    <s v="London"/>
    <s v="Croissant"/>
    <s v="Food"/>
    <n v="3"/>
    <n v="2.8"/>
    <s v="Apple Pay"/>
    <s v="C1336"/>
    <n v="8.3999999999999986"/>
    <s v="Thursday"/>
    <s v="February"/>
    <n v="2025"/>
  </r>
  <r>
    <x v="811"/>
    <d v="2025-02-27T00:00:00"/>
    <s v="High Street"/>
    <s v="Manchester"/>
    <s v="Latte"/>
    <s v="Drink"/>
    <n v="2"/>
    <n v="3.5"/>
    <s v="Apple Pay"/>
    <s v="C1030"/>
    <n v="7"/>
    <s v="Thursday"/>
    <s v="February"/>
    <n v="2025"/>
  </r>
  <r>
    <x v="812"/>
    <d v="2025-02-27T00:00:00"/>
    <s v="High Street"/>
    <s v="Birmingham"/>
    <s v="Muffin"/>
    <s v="Food"/>
    <n v="2"/>
    <n v="2.2000000000000002"/>
    <s v="Card"/>
    <s v="C1466"/>
    <n v="4.4000000000000004"/>
    <s v="Thursday"/>
    <s v="February"/>
    <n v="2025"/>
  </r>
  <r>
    <x v="813"/>
    <d v="2025-02-27T00:00:00"/>
    <s v="Station"/>
    <s v="London"/>
    <s v="Muffin"/>
    <s v="Food"/>
    <n v="2"/>
    <n v="2.2000000000000002"/>
    <s v="Cash"/>
    <s v="C1398"/>
    <n v="4.4000000000000004"/>
    <s v="Thursday"/>
    <s v="February"/>
    <n v="2025"/>
  </r>
  <r>
    <x v="814"/>
    <d v="2025-02-27T00:00:00"/>
    <s v="Central"/>
    <s v="Leeds"/>
    <s v="Cappuccino"/>
    <s v="Drink"/>
    <n v="1"/>
    <n v="3.8"/>
    <s v="Cash"/>
    <s v="C1146"/>
    <n v="3.8"/>
    <s v="Thursday"/>
    <s v="February"/>
    <n v="2025"/>
  </r>
  <r>
    <x v="815"/>
    <d v="2025-02-27T00:00:00"/>
    <s v="Station"/>
    <s v="Bristol"/>
    <s v="Espresso"/>
    <s v="Drink"/>
    <n v="1"/>
    <n v="2.5"/>
    <s v="Apple Pay"/>
    <s v="C1961"/>
    <n v="2.5"/>
    <s v="Thursday"/>
    <s v="February"/>
    <n v="2025"/>
  </r>
  <r>
    <x v="816"/>
    <d v="2025-02-28T00:00:00"/>
    <s v="High Street"/>
    <s v="Birmingham"/>
    <s v="Latte"/>
    <s v="Drink"/>
    <n v="5"/>
    <n v="3.5"/>
    <s v="Card"/>
    <s v="C1843"/>
    <n v="17.5"/>
    <s v="Friday"/>
    <s v="February"/>
    <n v="2025"/>
  </r>
  <r>
    <x v="817"/>
    <d v="2025-02-28T00:00:00"/>
    <s v="High Street"/>
    <s v="Bristol"/>
    <s v="Latte"/>
    <s v="Drink"/>
    <n v="4"/>
    <n v="3.5"/>
    <s v="Apple Pay"/>
    <s v="C1302"/>
    <n v="14"/>
    <s v="Friday"/>
    <s v="February"/>
    <n v="2025"/>
  </r>
  <r>
    <x v="818"/>
    <d v="2025-02-28T00:00:00"/>
    <s v="Riverside"/>
    <s v="Leeds"/>
    <s v="Latte"/>
    <s v="Drink"/>
    <n v="5"/>
    <n v="2.5"/>
    <s v="Card"/>
    <s v="C1526"/>
    <n v="12.5"/>
    <s v="Friday"/>
    <s v="February"/>
    <n v="2025"/>
  </r>
  <r>
    <x v="819"/>
    <d v="2025-02-28T00:00:00"/>
    <s v="High Street"/>
    <s v="Leeds"/>
    <s v="Espresso"/>
    <s v="Drink"/>
    <n v="5"/>
    <n v="2.5"/>
    <s v="Card"/>
    <s v="C1443"/>
    <n v="12.5"/>
    <s v="Friday"/>
    <s v="February"/>
    <n v="2025"/>
  </r>
  <r>
    <x v="820"/>
    <d v="2025-02-28T00:00:00"/>
    <s v="Station"/>
    <s v="London"/>
    <s v="Cappuccino"/>
    <s v="Drink"/>
    <n v="3"/>
    <n v="3.8"/>
    <s v="Cash"/>
    <s v="C1243"/>
    <n v="11.399999999999999"/>
    <s v="Friday"/>
    <s v="February"/>
    <n v="2025"/>
  </r>
  <r>
    <x v="821"/>
    <d v="2025-02-28T00:00:00"/>
    <s v="Riverside"/>
    <s v="Bristol"/>
    <s v="Muffin"/>
    <s v="Food"/>
    <n v="5"/>
    <n v="2.2000000000000002"/>
    <s v="Cash"/>
    <s v="C1705"/>
    <n v="11"/>
    <s v="Friday"/>
    <s v="February"/>
    <n v="2025"/>
  </r>
  <r>
    <x v="822"/>
    <d v="2025-02-28T00:00:00"/>
    <s v="Station"/>
    <s v="Leeds"/>
    <s v="Muffin"/>
    <s v="Food"/>
    <n v="4"/>
    <n v="2.2000000000000002"/>
    <s v="Card"/>
    <s v="C1694"/>
    <n v="8.8000000000000007"/>
    <s v="Friday"/>
    <s v="February"/>
    <n v="2025"/>
  </r>
  <r>
    <x v="823"/>
    <d v="2025-02-28T00:00:00"/>
    <s v="Station"/>
    <s v="Bristol"/>
    <s v="Muffin"/>
    <s v="Food"/>
    <n v="4"/>
    <n v="2.2000000000000002"/>
    <s v="Apple Pay"/>
    <s v="C1057"/>
    <n v="8.8000000000000007"/>
    <s v="Friday"/>
    <s v="February"/>
    <n v="2025"/>
  </r>
  <r>
    <x v="824"/>
    <d v="2025-02-28T00:00:00"/>
    <s v="Central"/>
    <s v="Bristol"/>
    <s v="Cappuccino"/>
    <s v="Drink"/>
    <n v="2"/>
    <n v="3.8"/>
    <s v="Card"/>
    <s v="C1164"/>
    <n v="7.6"/>
    <s v="Friday"/>
    <s v="February"/>
    <n v="2025"/>
  </r>
  <r>
    <x v="825"/>
    <d v="2025-02-28T00:00:00"/>
    <s v="Station"/>
    <s v="London"/>
    <s v="Cappuccino"/>
    <s v="Drink"/>
    <n v="2"/>
    <n v="3.8"/>
    <s v="Cash"/>
    <s v="C1882"/>
    <n v="7.6"/>
    <s v="Friday"/>
    <s v="February"/>
    <n v="2025"/>
  </r>
  <r>
    <x v="826"/>
    <d v="2025-02-28T00:00:00"/>
    <s v="Station"/>
    <s v="Birmingham"/>
    <s v="Espresso"/>
    <s v="Drink"/>
    <n v="2"/>
    <n v="2.5"/>
    <s v="Apple Pay"/>
    <s v="C1768"/>
    <n v="5"/>
    <s v="Friday"/>
    <s v="February"/>
    <n v="2025"/>
  </r>
  <r>
    <x v="827"/>
    <d v="2025-02-28T00:00:00"/>
    <s v="Station"/>
    <s v="Leeds"/>
    <s v="Croissant"/>
    <s v="Food"/>
    <n v="1"/>
    <n v="2.8"/>
    <s v="Card"/>
    <s v="C1677"/>
    <n v="2.8"/>
    <s v="Friday"/>
    <s v="February"/>
    <n v="2025"/>
  </r>
  <r>
    <x v="828"/>
    <d v="2025-02-28T00:00:00"/>
    <s v="Station"/>
    <s v="Birmingham"/>
    <s v="Espresso"/>
    <s v="Drink"/>
    <n v="1"/>
    <n v="2.5"/>
    <s v="Apple Pay"/>
    <s v="C1300"/>
    <n v="2.5"/>
    <s v="Friday"/>
    <s v="February"/>
    <n v="2025"/>
  </r>
  <r>
    <x v="829"/>
    <d v="2025-03-01T00:00:00"/>
    <s v="Riverside"/>
    <s v="Manchester"/>
    <s v="Latte"/>
    <s v="Drink"/>
    <n v="5"/>
    <n v="3.5"/>
    <s v="Card"/>
    <s v="C1576"/>
    <n v="17.5"/>
    <s v="Saturday"/>
    <s v="March"/>
    <n v="2025"/>
  </r>
  <r>
    <x v="830"/>
    <d v="2025-03-01T00:00:00"/>
    <s v="High Street"/>
    <s v="Leeds"/>
    <s v="Croissant"/>
    <s v="Food"/>
    <n v="5"/>
    <n v="2.8"/>
    <s v="Cash"/>
    <s v="C1314"/>
    <n v="14"/>
    <s v="Saturday"/>
    <s v="March"/>
    <n v="2025"/>
  </r>
  <r>
    <x v="831"/>
    <d v="2025-03-01T00:00:00"/>
    <s v="Riverside"/>
    <s v="London"/>
    <s v="Latte"/>
    <s v="Drink"/>
    <n v="4"/>
    <n v="3.5"/>
    <s v="Cash"/>
    <s v="C1217"/>
    <n v="14"/>
    <s v="Saturday"/>
    <s v="March"/>
    <n v="2025"/>
  </r>
  <r>
    <x v="832"/>
    <d v="2025-03-01T00:00:00"/>
    <s v="Station"/>
    <s v="London"/>
    <s v="Espresso"/>
    <s v="Drink"/>
    <n v="5"/>
    <n v="2.5"/>
    <s v="Cash"/>
    <s v="C1321"/>
    <n v="12.5"/>
    <s v="Saturday"/>
    <s v="March"/>
    <n v="2025"/>
  </r>
  <r>
    <x v="833"/>
    <d v="2025-03-01T00:00:00"/>
    <s v="Riverside"/>
    <s v="London"/>
    <s v="Cappuccino"/>
    <s v="Drink"/>
    <n v="3"/>
    <n v="3.8"/>
    <s v="Apple Pay"/>
    <s v="C1463"/>
    <n v="11.399999999999999"/>
    <s v="Saturday"/>
    <s v="March"/>
    <n v="2025"/>
  </r>
  <r>
    <x v="834"/>
    <d v="2025-03-01T00:00:00"/>
    <s v="Station"/>
    <s v="Birmingham"/>
    <s v="Cappuccino"/>
    <s v="Drink"/>
    <n v="3"/>
    <n v="3.8"/>
    <s v="Cash"/>
    <s v="C1179"/>
    <n v="11.399999999999999"/>
    <s v="Saturday"/>
    <s v="March"/>
    <n v="2025"/>
  </r>
  <r>
    <x v="835"/>
    <d v="2025-03-01T00:00:00"/>
    <s v="High Street"/>
    <s v="London"/>
    <s v="Cappuccino"/>
    <s v="Drink"/>
    <n v="3"/>
    <n v="3.8"/>
    <s v="Apple Pay"/>
    <s v="C1438"/>
    <n v="11.399999999999999"/>
    <s v="Saturday"/>
    <s v="March"/>
    <n v="2025"/>
  </r>
  <r>
    <x v="836"/>
    <d v="2025-03-01T00:00:00"/>
    <s v="Riverside"/>
    <s v="Bristol"/>
    <s v="Croissant"/>
    <s v="Food"/>
    <n v="4"/>
    <n v="2.8"/>
    <s v="Apple Pay"/>
    <s v="C1257"/>
    <n v="11.2"/>
    <s v="Saturday"/>
    <s v="March"/>
    <n v="2025"/>
  </r>
  <r>
    <x v="837"/>
    <d v="2025-03-01T00:00:00"/>
    <s v="Central"/>
    <s v="Leeds"/>
    <s v="Muffin"/>
    <s v="Food"/>
    <n v="5"/>
    <n v="2.2000000000000002"/>
    <s v="Cash"/>
    <s v="C1042"/>
    <n v="11"/>
    <s v="Saturday"/>
    <s v="March"/>
    <n v="2025"/>
  </r>
  <r>
    <x v="838"/>
    <d v="2025-03-01T00:00:00"/>
    <s v="Station"/>
    <s v="Birmingham"/>
    <s v="Muffin"/>
    <s v="Food"/>
    <n v="3"/>
    <n v="2.2000000000000002"/>
    <s v="Card"/>
    <s v="C1483"/>
    <n v="6.6000000000000005"/>
    <s v="Saturday"/>
    <s v="March"/>
    <n v="2025"/>
  </r>
  <r>
    <x v="839"/>
    <d v="2025-03-01T00:00:00"/>
    <s v="Station"/>
    <s v="Manchester"/>
    <s v="Latte"/>
    <s v="Drink"/>
    <n v="1"/>
    <n v="3.5"/>
    <s v="Cash"/>
    <s v="C1669"/>
    <n v="3.5"/>
    <s v="Saturday"/>
    <s v="March"/>
    <n v="2025"/>
  </r>
  <r>
    <x v="840"/>
    <d v="2025-03-01T00:00:00"/>
    <s v="Station"/>
    <s v="Manchester"/>
    <s v="Latte"/>
    <s v="Drink"/>
    <n v="1"/>
    <n v="3.5"/>
    <s v="Cash"/>
    <s v="C1223"/>
    <n v="3.5"/>
    <s v="Saturday"/>
    <s v="March"/>
    <n v="2025"/>
  </r>
  <r>
    <x v="841"/>
    <d v="2025-03-01T00:00:00"/>
    <s v="High Street"/>
    <s v="Manchester"/>
    <s v="Latte"/>
    <s v="Drink"/>
    <n v="1"/>
    <n v="3.5"/>
    <s v="Apple Pay"/>
    <s v="C1138"/>
    <n v="3.5"/>
    <s v="Saturday"/>
    <s v="March"/>
    <n v="2025"/>
  </r>
  <r>
    <x v="842"/>
    <d v="2025-03-01T00:00:00"/>
    <s v="Station"/>
    <s v="London"/>
    <s v="Croissant"/>
    <s v="Food"/>
    <n v="1"/>
    <n v="2.8"/>
    <s v="Cash"/>
    <s v="C1289"/>
    <n v="2.8"/>
    <s v="Saturday"/>
    <s v="March"/>
    <n v="2025"/>
  </r>
  <r>
    <x v="843"/>
    <d v="2025-03-01T00:00:00"/>
    <s v="Central"/>
    <s v="Leeds"/>
    <s v="Espresso"/>
    <s v="Drink"/>
    <n v="1"/>
    <n v="2.5"/>
    <s v="Cash"/>
    <s v="C1738"/>
    <n v="2.5"/>
    <s v="Saturday"/>
    <s v="March"/>
    <n v="2025"/>
  </r>
  <r>
    <x v="844"/>
    <d v="2025-03-01T00:00:00"/>
    <s v="Riverside"/>
    <s v="Manchester"/>
    <s v="Muffin"/>
    <s v="Food"/>
    <n v="1"/>
    <n v="2.2000000000000002"/>
    <s v="Card"/>
    <s v="C1404"/>
    <n v="2.2000000000000002"/>
    <s v="Saturday"/>
    <s v="March"/>
    <n v="2025"/>
  </r>
  <r>
    <x v="845"/>
    <d v="2025-03-02T00:00:00"/>
    <s v="Riverside"/>
    <s v="Leeds"/>
    <s v="Cappuccino"/>
    <s v="Drink"/>
    <n v="5"/>
    <n v="3.8"/>
    <s v="Apple Pay"/>
    <s v="C1525"/>
    <n v="19"/>
    <s v="Sunday"/>
    <s v="March"/>
    <n v="2025"/>
  </r>
  <r>
    <x v="846"/>
    <d v="2025-03-02T00:00:00"/>
    <s v="Station"/>
    <s v="London"/>
    <s v="Croissant"/>
    <s v="Food"/>
    <n v="5"/>
    <n v="2.8"/>
    <s v="Apple Pay"/>
    <s v="C1478"/>
    <n v="14"/>
    <s v="Sunday"/>
    <s v="March"/>
    <n v="2025"/>
  </r>
  <r>
    <x v="847"/>
    <d v="2025-03-02T00:00:00"/>
    <s v="Station"/>
    <s v="London"/>
    <s v="Espresso"/>
    <s v="Drink"/>
    <n v="5"/>
    <n v="2.5"/>
    <s v="Apple Pay"/>
    <s v="C1857"/>
    <n v="12.5"/>
    <s v="Sunday"/>
    <s v="March"/>
    <n v="2025"/>
  </r>
  <r>
    <x v="848"/>
    <d v="2025-03-02T00:00:00"/>
    <s v="High Street"/>
    <s v="Manchester"/>
    <s v="Croissant"/>
    <s v="Food"/>
    <n v="4"/>
    <n v="2.8"/>
    <s v="Cash"/>
    <s v="C1451"/>
    <n v="11.2"/>
    <s v="Sunday"/>
    <s v="March"/>
    <n v="2025"/>
  </r>
  <r>
    <x v="849"/>
    <d v="2025-03-02T00:00:00"/>
    <s v="Central"/>
    <s v="Manchester"/>
    <s v="Muffin"/>
    <s v="Food"/>
    <n v="5"/>
    <n v="2.2000000000000002"/>
    <s v="Apple Pay"/>
    <s v="C1065"/>
    <n v="11"/>
    <s v="Sunday"/>
    <s v="March"/>
    <n v="2025"/>
  </r>
  <r>
    <x v="850"/>
    <d v="2025-03-02T00:00:00"/>
    <s v="High Street"/>
    <s v="Birmingham"/>
    <s v="Espresso"/>
    <s v="Drink"/>
    <n v="4"/>
    <n v="2.5"/>
    <s v="Card"/>
    <s v="C1831"/>
    <n v="10"/>
    <s v="Sunday"/>
    <s v="March"/>
    <n v="2025"/>
  </r>
  <r>
    <x v="851"/>
    <d v="2025-03-02T00:00:00"/>
    <s v="High Street"/>
    <s v="Manchester"/>
    <s v="Muffin"/>
    <s v="Food"/>
    <n v="4"/>
    <n v="2.2000000000000002"/>
    <s v="Apple Pay"/>
    <s v="C1235"/>
    <n v="8.8000000000000007"/>
    <s v="Sunday"/>
    <s v="March"/>
    <n v="2025"/>
  </r>
  <r>
    <x v="852"/>
    <d v="2025-03-02T00:00:00"/>
    <s v="Riverside"/>
    <s v="Birmingham"/>
    <s v="Muffin"/>
    <s v="Food"/>
    <n v="4"/>
    <n v="2.2000000000000002"/>
    <s v="Apple Pay"/>
    <s v="C1677"/>
    <n v="8.8000000000000007"/>
    <s v="Sunday"/>
    <s v="March"/>
    <n v="2025"/>
  </r>
  <r>
    <x v="853"/>
    <d v="2025-03-02T00:00:00"/>
    <s v="Station"/>
    <s v="Manchester"/>
    <s v="Cappuccino"/>
    <s v="Drink"/>
    <n v="2"/>
    <n v="3.8"/>
    <s v="Apple Pay"/>
    <s v="C1580"/>
    <n v="7.6"/>
    <s v="Sunday"/>
    <s v="March"/>
    <n v="2025"/>
  </r>
  <r>
    <x v="854"/>
    <d v="2025-03-02T00:00:00"/>
    <s v="Riverside"/>
    <s v="Manchester"/>
    <s v="Muffin"/>
    <s v="Food"/>
    <n v="3"/>
    <n v="2.2000000000000002"/>
    <s v="Cash"/>
    <s v="C1391"/>
    <n v="6.6000000000000005"/>
    <s v="Sunday"/>
    <s v="March"/>
    <n v="2025"/>
  </r>
  <r>
    <x v="855"/>
    <d v="2025-03-02T00:00:00"/>
    <s v="High Street"/>
    <s v="London"/>
    <s v="Croissant"/>
    <s v="Food"/>
    <n v="2"/>
    <n v="2.8"/>
    <s v="Card"/>
    <s v="C1475"/>
    <n v="5.6"/>
    <s v="Sunday"/>
    <s v="March"/>
    <n v="2025"/>
  </r>
  <r>
    <x v="856"/>
    <d v="2025-03-02T00:00:00"/>
    <s v="Central"/>
    <s v="Leeds"/>
    <s v="Cappuccino"/>
    <s v="Drink"/>
    <n v="1"/>
    <n v="3.8"/>
    <s v="Card"/>
    <s v="C1620"/>
    <n v="3.8"/>
    <s v="Sunday"/>
    <s v="March"/>
    <n v="2025"/>
  </r>
  <r>
    <x v="857"/>
    <d v="2025-03-02T00:00:00"/>
    <s v="Station"/>
    <s v="Leeds"/>
    <s v="Muffin"/>
    <s v="Food"/>
    <n v="1"/>
    <n v="2.2000000000000002"/>
    <s v="Apple Pay"/>
    <s v="C1842"/>
    <n v="2.2000000000000002"/>
    <s v="Sunday"/>
    <s v="March"/>
    <n v="2025"/>
  </r>
  <r>
    <x v="858"/>
    <d v="2025-03-03T00:00:00"/>
    <s v="Central"/>
    <s v="London"/>
    <s v="Croissant"/>
    <s v="Food"/>
    <n v="5"/>
    <n v="2.8"/>
    <s v="Card"/>
    <s v="C1038"/>
    <n v="14"/>
    <s v="Monday"/>
    <s v="March"/>
    <n v="2025"/>
  </r>
  <r>
    <x v="859"/>
    <d v="2025-03-03T00:00:00"/>
    <s v="Central"/>
    <s v="Leeds"/>
    <s v="Cappuccino"/>
    <s v="Drink"/>
    <n v="3"/>
    <n v="3.8"/>
    <s v="Card"/>
    <s v="C1478"/>
    <n v="11.399999999999999"/>
    <s v="Monday"/>
    <s v="March"/>
    <n v="2025"/>
  </r>
  <r>
    <x v="860"/>
    <d v="2025-03-03T00:00:00"/>
    <s v="Riverside"/>
    <s v="Manchester"/>
    <s v="Croissant"/>
    <s v="Food"/>
    <n v="4"/>
    <n v="2.8"/>
    <s v="Apple Pay"/>
    <s v="C1234"/>
    <n v="11.2"/>
    <s v="Monday"/>
    <s v="March"/>
    <n v="2025"/>
  </r>
  <r>
    <x v="861"/>
    <d v="2025-03-03T00:00:00"/>
    <s v="High Street"/>
    <s v="London"/>
    <s v="Espresso"/>
    <s v="Drink"/>
    <n v="4"/>
    <n v="2.5"/>
    <s v="Cash"/>
    <s v="C1645"/>
    <n v="10"/>
    <s v="Monday"/>
    <s v="March"/>
    <n v="2025"/>
  </r>
  <r>
    <x v="862"/>
    <d v="2025-03-03T00:00:00"/>
    <s v="Riverside"/>
    <s v="London"/>
    <s v="Espresso"/>
    <s v="Drink"/>
    <n v="4"/>
    <n v="2.5"/>
    <s v="Cash"/>
    <s v="C1207"/>
    <n v="10"/>
    <s v="Monday"/>
    <s v="March"/>
    <n v="2025"/>
  </r>
  <r>
    <x v="863"/>
    <d v="2025-03-03T00:00:00"/>
    <s v="Station"/>
    <s v="London"/>
    <s v="Croissant"/>
    <s v="Food"/>
    <n v="3"/>
    <n v="2.8"/>
    <s v="Apple Pay"/>
    <s v="C1922"/>
    <n v="8.3999999999999986"/>
    <s v="Monday"/>
    <s v="March"/>
    <n v="2025"/>
  </r>
  <r>
    <x v="864"/>
    <d v="2025-03-03T00:00:00"/>
    <s v="Station"/>
    <s v="Leeds"/>
    <s v="Croissant"/>
    <s v="Food"/>
    <n v="3"/>
    <n v="2.8"/>
    <s v="Cash"/>
    <s v="C1940"/>
    <n v="8.3999999999999986"/>
    <s v="Monday"/>
    <s v="March"/>
    <n v="2025"/>
  </r>
  <r>
    <x v="865"/>
    <d v="2025-03-03T00:00:00"/>
    <s v="High Street"/>
    <s v="Manchester"/>
    <s v="Croissant"/>
    <s v="Food"/>
    <n v="2"/>
    <n v="2.8"/>
    <s v="Card"/>
    <s v="C1515"/>
    <n v="5.6"/>
    <s v="Monday"/>
    <s v="March"/>
    <n v="2025"/>
  </r>
  <r>
    <x v="866"/>
    <d v="2025-03-03T00:00:00"/>
    <s v="High Street"/>
    <s v="Manchester"/>
    <s v="Muffin"/>
    <s v="Food"/>
    <n v="1"/>
    <n v="2.2000000000000002"/>
    <s v="Cash"/>
    <s v="C1782"/>
    <n v="2.2000000000000002"/>
    <s v="Monday"/>
    <s v="March"/>
    <n v="2025"/>
  </r>
  <r>
    <x v="867"/>
    <d v="2025-03-03T00:00:00"/>
    <s v="Riverside"/>
    <s v="Bristol"/>
    <s v="Muffin"/>
    <s v="Food"/>
    <n v="1"/>
    <n v="2.2000000000000002"/>
    <s v="Card"/>
    <s v="C1654"/>
    <n v="2.2000000000000002"/>
    <s v="Monday"/>
    <s v="March"/>
    <n v="2025"/>
  </r>
  <r>
    <x v="868"/>
    <d v="2025-03-04T00:00:00"/>
    <s v="High Street"/>
    <s v="Leeds"/>
    <s v="Latte"/>
    <s v="Drink"/>
    <n v="5"/>
    <n v="3.5"/>
    <s v="Cash"/>
    <s v="C1521"/>
    <n v="17.5"/>
    <s v="Tuesday"/>
    <s v="March"/>
    <n v="2025"/>
  </r>
  <r>
    <x v="869"/>
    <d v="2025-03-04T00:00:00"/>
    <s v="Riverside"/>
    <s v="Bristol"/>
    <s v="Cappuccino"/>
    <s v="Drink"/>
    <n v="4"/>
    <n v="3.8"/>
    <s v="Apple Pay"/>
    <s v="C1643"/>
    <n v="15.2"/>
    <s v="Tuesday"/>
    <s v="March"/>
    <n v="2025"/>
  </r>
  <r>
    <x v="870"/>
    <d v="2025-03-04T00:00:00"/>
    <s v="Riverside"/>
    <s v="Manchester"/>
    <s v="Espresso"/>
    <s v="Drink"/>
    <n v="5"/>
    <n v="2.5"/>
    <s v="Apple Pay"/>
    <s v="C1059"/>
    <n v="12.5"/>
    <s v="Tuesday"/>
    <s v="March"/>
    <n v="2025"/>
  </r>
  <r>
    <x v="871"/>
    <d v="2025-03-04T00:00:00"/>
    <s v="Riverside"/>
    <s v="Manchester"/>
    <s v="Espresso"/>
    <s v="Drink"/>
    <n v="5"/>
    <n v="2.5"/>
    <s v="Card"/>
    <s v="C1461"/>
    <n v="12.5"/>
    <s v="Tuesday"/>
    <s v="March"/>
    <n v="2025"/>
  </r>
  <r>
    <x v="872"/>
    <d v="2025-03-04T00:00:00"/>
    <s v="Station"/>
    <s v="Birmingham"/>
    <s v="Cappuccino"/>
    <s v="Drink"/>
    <n v="3"/>
    <n v="3.8"/>
    <s v="Cash"/>
    <s v="C1537"/>
    <n v="11.399999999999999"/>
    <s v="Tuesday"/>
    <s v="March"/>
    <n v="2025"/>
  </r>
  <r>
    <x v="873"/>
    <d v="2025-03-04T00:00:00"/>
    <s v="Central"/>
    <s v="Leeds"/>
    <s v="Muffin"/>
    <s v="Food"/>
    <n v="5"/>
    <n v="2.2000000000000002"/>
    <s v="Apple Pay"/>
    <s v="C1397"/>
    <n v="11"/>
    <s v="Tuesday"/>
    <s v="March"/>
    <n v="2025"/>
  </r>
  <r>
    <x v="874"/>
    <d v="2025-03-04T00:00:00"/>
    <s v="Riverside"/>
    <s v="Leeds"/>
    <s v="Muffin"/>
    <s v="Food"/>
    <n v="5"/>
    <n v="2.2000000000000002"/>
    <s v="Cash"/>
    <s v="C1006"/>
    <n v="11"/>
    <s v="Tuesday"/>
    <s v="March"/>
    <n v="2025"/>
  </r>
  <r>
    <x v="875"/>
    <d v="2025-03-04T00:00:00"/>
    <s v="Riverside"/>
    <s v="Manchester"/>
    <s v="Latte"/>
    <s v="Drink"/>
    <n v="3"/>
    <n v="3.5"/>
    <s v="Cash"/>
    <s v="C1914"/>
    <n v="10.5"/>
    <s v="Tuesday"/>
    <s v="March"/>
    <n v="2025"/>
  </r>
  <r>
    <x v="876"/>
    <d v="2025-03-04T00:00:00"/>
    <s v="Central"/>
    <s v="Manchester"/>
    <s v="Espresso"/>
    <s v="Drink"/>
    <n v="4"/>
    <n v="2.5"/>
    <s v="Cash"/>
    <s v="C1337"/>
    <n v="10"/>
    <s v="Tuesday"/>
    <s v="March"/>
    <n v="2025"/>
  </r>
  <r>
    <x v="877"/>
    <d v="2025-03-04T00:00:00"/>
    <s v="High Street"/>
    <s v="Birmingham"/>
    <s v="Espresso"/>
    <s v="Drink"/>
    <n v="4"/>
    <n v="2.5"/>
    <s v="Card"/>
    <s v="C1900"/>
    <n v="10"/>
    <s v="Tuesday"/>
    <s v="March"/>
    <n v="2025"/>
  </r>
  <r>
    <x v="878"/>
    <d v="2025-03-04T00:00:00"/>
    <s v="Riverside"/>
    <s v="Bristol"/>
    <s v="Muffin"/>
    <s v="Food"/>
    <n v="4"/>
    <n v="2.2000000000000002"/>
    <s v="Apple Pay"/>
    <s v="C1271"/>
    <n v="8.8000000000000007"/>
    <s v="Tuesday"/>
    <s v="March"/>
    <n v="2025"/>
  </r>
  <r>
    <x v="879"/>
    <d v="2025-03-04T00:00:00"/>
    <s v="High Street"/>
    <s v="Bristol"/>
    <s v="Cappuccino"/>
    <s v="Drink"/>
    <n v="2"/>
    <n v="3.8"/>
    <s v="Cash"/>
    <s v="C1800"/>
    <n v="7.6"/>
    <s v="Tuesday"/>
    <s v="March"/>
    <n v="2025"/>
  </r>
  <r>
    <x v="880"/>
    <d v="2025-03-04T00:00:00"/>
    <s v="High Street"/>
    <s v="Leeds"/>
    <s v="Cappuccino"/>
    <s v="Drink"/>
    <n v="2"/>
    <n v="3.8"/>
    <s v="Card"/>
    <s v="C1824"/>
    <n v="7.6"/>
    <s v="Tuesday"/>
    <s v="March"/>
    <n v="2025"/>
  </r>
  <r>
    <x v="881"/>
    <d v="2025-03-04T00:00:00"/>
    <s v="High Street"/>
    <s v="Bristol"/>
    <s v="Espresso"/>
    <s v="Drink"/>
    <n v="3"/>
    <n v="2.5"/>
    <s v="Apple Pay"/>
    <s v="C1913"/>
    <n v="7.5"/>
    <s v="Tuesday"/>
    <s v="March"/>
    <n v="2025"/>
  </r>
  <r>
    <x v="882"/>
    <d v="2025-03-04T00:00:00"/>
    <s v="Riverside"/>
    <s v="Birmingham"/>
    <s v="Espresso"/>
    <s v="Drink"/>
    <n v="2"/>
    <n v="2.5"/>
    <s v="Apple Pay"/>
    <s v="C1506"/>
    <n v="5"/>
    <s v="Tuesday"/>
    <s v="March"/>
    <n v="2025"/>
  </r>
  <r>
    <x v="883"/>
    <d v="2025-03-04T00:00:00"/>
    <s v="Station"/>
    <s v="N/A"/>
    <s v="Espresso"/>
    <s v="Drink"/>
    <n v="2"/>
    <n v="2.5"/>
    <s v="Apple Pay"/>
    <s v="C1463"/>
    <n v="5"/>
    <s v="Tuesday"/>
    <s v="March"/>
    <n v="2025"/>
  </r>
  <r>
    <x v="884"/>
    <d v="2025-03-04T00:00:00"/>
    <s v="Riverside"/>
    <s v="London"/>
    <s v="Muffin"/>
    <s v="Food"/>
    <n v="2"/>
    <n v="2.2000000000000002"/>
    <s v="Card"/>
    <s v="C1812"/>
    <n v="4.4000000000000004"/>
    <s v="Tuesday"/>
    <s v="March"/>
    <n v="2025"/>
  </r>
  <r>
    <x v="885"/>
    <d v="2025-03-04T00:00:00"/>
    <s v="Central"/>
    <s v="Birmingham"/>
    <s v="Cappuccino"/>
    <s v="Drink"/>
    <n v="1"/>
    <n v="3.8"/>
    <s v="Apple Pay"/>
    <s v="C1578"/>
    <n v="3.8"/>
    <s v="Tuesday"/>
    <s v="March"/>
    <n v="2025"/>
  </r>
  <r>
    <x v="886"/>
    <d v="2025-03-04T00:00:00"/>
    <s v="Riverside"/>
    <s v="Bristol"/>
    <s v="Croissant"/>
    <s v="Food"/>
    <n v="1"/>
    <n v="2.8"/>
    <s v="Apple Pay"/>
    <s v="C1239"/>
    <n v="2.8"/>
    <s v="Tuesday"/>
    <s v="March"/>
    <n v="2025"/>
  </r>
  <r>
    <x v="887"/>
    <d v="2025-03-04T00:00:00"/>
    <s v="High Street"/>
    <s v="London"/>
    <s v="Espresso"/>
    <s v="Drink"/>
    <n v="1"/>
    <n v="2.5"/>
    <s v="Cash"/>
    <s v="C1254"/>
    <n v="2.5"/>
    <s v="Tuesday"/>
    <s v="March"/>
    <n v="2025"/>
  </r>
  <r>
    <x v="888"/>
    <d v="2025-03-04T00:00:00"/>
    <s v="Central"/>
    <s v="Manchester"/>
    <s v="Muffin"/>
    <s v="Food"/>
    <n v="1"/>
    <n v="2.2000000000000002"/>
    <s v="Cash"/>
    <s v="C1631"/>
    <n v="2.2000000000000002"/>
    <s v="Tuesday"/>
    <s v="March"/>
    <n v="2025"/>
  </r>
  <r>
    <x v="889"/>
    <d v="2025-03-04T00:00:00"/>
    <s v="Central"/>
    <s v="Leeds"/>
    <s v="Muffin"/>
    <s v="Food"/>
    <n v="1"/>
    <n v="2.2000000000000002"/>
    <s v="Card"/>
    <s v="C1411"/>
    <n v="2.2000000000000002"/>
    <s v="Tuesday"/>
    <s v="March"/>
    <n v="2025"/>
  </r>
  <r>
    <x v="890"/>
    <d v="2025-03-05T00:00:00"/>
    <s v="High Street"/>
    <s v="Birmingham"/>
    <s v="Croissant"/>
    <s v="Food"/>
    <n v="5"/>
    <n v="2.8"/>
    <s v="Cash"/>
    <s v="C1313"/>
    <n v="14"/>
    <s v="Wednesday"/>
    <s v="March"/>
    <n v="2025"/>
  </r>
  <r>
    <x v="891"/>
    <d v="2025-03-05T00:00:00"/>
    <s v="Station"/>
    <s v="Bristol"/>
    <s v="Espresso"/>
    <s v="Drink"/>
    <n v="5"/>
    <n v="2.5"/>
    <s v="Cash"/>
    <s v="C1637"/>
    <n v="12.5"/>
    <s v="Wednesday"/>
    <s v="March"/>
    <n v="2025"/>
  </r>
  <r>
    <x v="892"/>
    <d v="2025-03-05T00:00:00"/>
    <s v="Central"/>
    <s v="Leeds"/>
    <s v="Croissant"/>
    <s v="Food"/>
    <n v="4"/>
    <n v="2.8"/>
    <s v="Cash"/>
    <s v="C1657"/>
    <n v="11.2"/>
    <s v="Wednesday"/>
    <s v="March"/>
    <n v="2025"/>
  </r>
  <r>
    <x v="893"/>
    <d v="2025-03-05T00:00:00"/>
    <s v="Central"/>
    <s v="Manchester"/>
    <s v="Espresso"/>
    <s v="Drink"/>
    <n v="4"/>
    <n v="2.5"/>
    <s v="Apple Pay"/>
    <s v="C1385"/>
    <n v="10"/>
    <s v="Wednesday"/>
    <s v="March"/>
    <n v="2025"/>
  </r>
  <r>
    <x v="894"/>
    <d v="2025-03-05T00:00:00"/>
    <s v="Central"/>
    <s v="Bristol"/>
    <s v="Croissant"/>
    <s v="Food"/>
    <n v="2"/>
    <n v="2.8"/>
    <s v="Cash"/>
    <s v="C1715"/>
    <n v="5.6"/>
    <s v="Wednesday"/>
    <s v="March"/>
    <n v="2025"/>
  </r>
  <r>
    <x v="895"/>
    <d v="2025-03-05T00:00:00"/>
    <s v="Central"/>
    <s v="Manchester"/>
    <s v="Muffin"/>
    <s v="Food"/>
    <n v="2"/>
    <n v="2.2000000000000002"/>
    <s v="Card"/>
    <s v="C1953"/>
    <n v="4.4000000000000004"/>
    <s v="Wednesday"/>
    <s v="March"/>
    <n v="2025"/>
  </r>
  <r>
    <x v="896"/>
    <d v="2025-03-05T00:00:00"/>
    <s v="Station"/>
    <s v="Leeds"/>
    <s v="Cappuccino"/>
    <s v="Drink"/>
    <n v="1"/>
    <n v="3.8"/>
    <s v="Cash"/>
    <s v="C1567"/>
    <n v="3.8"/>
    <s v="Wednesday"/>
    <s v="March"/>
    <n v="2025"/>
  </r>
  <r>
    <x v="897"/>
    <d v="2025-03-05T00:00:00"/>
    <s v="High Street"/>
    <s v="London"/>
    <s v="Latte"/>
    <s v="Drink"/>
    <n v="1"/>
    <n v="3.5"/>
    <s v="Apple Pay"/>
    <s v="C1003"/>
    <n v="3.5"/>
    <s v="Wednesday"/>
    <s v="March"/>
    <n v="2025"/>
  </r>
  <r>
    <x v="898"/>
    <d v="2025-03-06T00:00:00"/>
    <s v="Riverside"/>
    <s v="Manchester"/>
    <s v="Cappuccino"/>
    <s v="Drink"/>
    <n v="4"/>
    <n v="3.8"/>
    <s v="Apple Pay"/>
    <s v="C1896"/>
    <n v="15.2"/>
    <s v="Thursday"/>
    <s v="March"/>
    <n v="2025"/>
  </r>
  <r>
    <x v="899"/>
    <d v="2025-03-06T00:00:00"/>
    <s v="Station"/>
    <s v="Leeds"/>
    <s v="Latte"/>
    <s v="Drink"/>
    <n v="4"/>
    <n v="3.5"/>
    <s v="Apple Pay"/>
    <s v="C1427"/>
    <n v="14"/>
    <s v="Thursday"/>
    <s v="March"/>
    <n v="2025"/>
  </r>
  <r>
    <x v="900"/>
    <d v="2025-03-06T00:00:00"/>
    <s v="Central"/>
    <s v="Manchester"/>
    <s v="Croissant"/>
    <s v="Food"/>
    <n v="5"/>
    <n v="2.8"/>
    <s v="Apple Pay"/>
    <s v="C1187"/>
    <n v="14"/>
    <s v="Thursday"/>
    <s v="March"/>
    <n v="2025"/>
  </r>
  <r>
    <x v="901"/>
    <d v="2025-03-06T00:00:00"/>
    <s v="Station"/>
    <s v="Birmingham"/>
    <s v="Cappuccino"/>
    <s v="Drink"/>
    <n v="3"/>
    <n v="3.8"/>
    <s v="Apple Pay"/>
    <s v="C1763"/>
    <n v="11.399999999999999"/>
    <s v="Thursday"/>
    <s v="March"/>
    <n v="2025"/>
  </r>
  <r>
    <x v="902"/>
    <d v="2025-03-06T00:00:00"/>
    <s v="Station"/>
    <s v="Manchester"/>
    <s v="Cappuccino"/>
    <s v="Drink"/>
    <n v="3"/>
    <n v="3.8"/>
    <s v="Cash"/>
    <s v="C1003"/>
    <n v="11.399999999999999"/>
    <s v="Thursday"/>
    <s v="March"/>
    <n v="2025"/>
  </r>
  <r>
    <x v="903"/>
    <d v="2025-03-06T00:00:00"/>
    <s v="High Street"/>
    <s v="London"/>
    <s v="Latte"/>
    <s v="Drink"/>
    <n v="3"/>
    <n v="3.5"/>
    <s v="Apple Pay"/>
    <s v="C1496"/>
    <n v="10.5"/>
    <s v="Thursday"/>
    <s v="March"/>
    <n v="2025"/>
  </r>
  <r>
    <x v="904"/>
    <d v="2025-03-06T00:00:00"/>
    <s v="High Street"/>
    <s v="London"/>
    <s v="Espresso"/>
    <s v="Drink"/>
    <n v="4"/>
    <n v="2.5"/>
    <s v="Cash"/>
    <s v="C1570"/>
    <n v="10"/>
    <s v="Thursday"/>
    <s v="March"/>
    <n v="2025"/>
  </r>
  <r>
    <x v="905"/>
    <d v="2025-03-06T00:00:00"/>
    <s v="Riverside"/>
    <s v="Leeds"/>
    <s v="Espresso"/>
    <s v="Drink"/>
    <n v="4"/>
    <n v="2.5"/>
    <s v="Apple Pay"/>
    <s v="C1917"/>
    <n v="10"/>
    <s v="Thursday"/>
    <s v="March"/>
    <n v="2025"/>
  </r>
  <r>
    <x v="906"/>
    <d v="2025-03-06T00:00:00"/>
    <s v="Riverside"/>
    <s v="Manchester"/>
    <s v="Muffin"/>
    <s v="Food"/>
    <n v="4"/>
    <n v="2.2000000000000002"/>
    <s v="Cash"/>
    <s v="C1077"/>
    <n v="8.8000000000000007"/>
    <s v="Thursday"/>
    <s v="March"/>
    <n v="2025"/>
  </r>
  <r>
    <x v="907"/>
    <d v="2025-03-06T00:00:00"/>
    <s v="Central"/>
    <s v="Manchester"/>
    <s v="Muffin"/>
    <s v="Food"/>
    <n v="4"/>
    <n v="2.2000000000000002"/>
    <s v="Cash"/>
    <s v="C1658"/>
    <n v="8.8000000000000007"/>
    <s v="Thursday"/>
    <s v="March"/>
    <n v="2025"/>
  </r>
  <r>
    <x v="908"/>
    <d v="2025-03-06T00:00:00"/>
    <s v="Station"/>
    <s v="Birmingham"/>
    <s v="Croissant"/>
    <s v="Food"/>
    <n v="3"/>
    <n v="2.8"/>
    <s v="Cash"/>
    <s v="C1503"/>
    <n v="8.3999999999999986"/>
    <s v="Thursday"/>
    <s v="March"/>
    <n v="2025"/>
  </r>
  <r>
    <x v="909"/>
    <d v="2025-03-06T00:00:00"/>
    <s v="Riverside"/>
    <s v="Manchester"/>
    <s v="Cappuccino"/>
    <s v="Drink"/>
    <n v="2"/>
    <n v="3.8"/>
    <s v="Cash"/>
    <s v="C1557"/>
    <n v="7.6"/>
    <s v="Thursday"/>
    <s v="March"/>
    <n v="2025"/>
  </r>
  <r>
    <x v="910"/>
    <d v="2025-03-06T00:00:00"/>
    <s v="Central"/>
    <s v="Leeds"/>
    <s v="Latte"/>
    <s v="Drink"/>
    <n v="2"/>
    <n v="3.5"/>
    <s v="Cash"/>
    <s v="C1516"/>
    <n v="7"/>
    <s v="Thursday"/>
    <s v="March"/>
    <n v="2025"/>
  </r>
  <r>
    <x v="911"/>
    <d v="2025-03-06T00:00:00"/>
    <s v="Station"/>
    <s v="London"/>
    <s v="Muffin"/>
    <s v="Food"/>
    <n v="3"/>
    <n v="2.2000000000000002"/>
    <s v="Apple Pay"/>
    <s v="C1307"/>
    <n v="6.6000000000000005"/>
    <s v="Thursday"/>
    <s v="March"/>
    <n v="2025"/>
  </r>
  <r>
    <x v="912"/>
    <d v="2025-03-06T00:00:00"/>
    <s v="Station"/>
    <s v="Bristol"/>
    <s v="Croissant"/>
    <s v="Food"/>
    <n v="2"/>
    <n v="2.8"/>
    <s v="Card"/>
    <s v="C1157"/>
    <n v="5.6"/>
    <s v="Thursday"/>
    <s v="March"/>
    <n v="2025"/>
  </r>
  <r>
    <x v="913"/>
    <d v="2025-03-06T00:00:00"/>
    <s v="Central"/>
    <s v="Birmingham"/>
    <s v="Cappuccino"/>
    <s v="Drink"/>
    <n v="1"/>
    <n v="3.8"/>
    <s v="Apple Pay"/>
    <s v="C1796"/>
    <n v="3.8"/>
    <s v="Thursday"/>
    <s v="March"/>
    <n v="2025"/>
  </r>
  <r>
    <x v="914"/>
    <d v="2025-03-06T00:00:00"/>
    <s v="Station"/>
    <s v="Birmingham"/>
    <s v="Croissant"/>
    <s v="Food"/>
    <n v="1"/>
    <n v="2.8"/>
    <s v="Apple Pay"/>
    <s v="C1879"/>
    <n v="2.8"/>
    <s v="Thursday"/>
    <s v="March"/>
    <n v="2025"/>
  </r>
  <r>
    <x v="915"/>
    <d v="2025-03-06T00:00:00"/>
    <s v="Riverside"/>
    <s v="Leeds"/>
    <s v="Muffin"/>
    <s v="Food"/>
    <n v="1"/>
    <n v="2.2000000000000002"/>
    <s v="Apple Pay"/>
    <s v="C1119"/>
    <n v="2.2000000000000002"/>
    <s v="Thursday"/>
    <s v="March"/>
    <n v="2025"/>
  </r>
  <r>
    <x v="916"/>
    <d v="2025-03-06T00:00:00"/>
    <s v="High Street"/>
    <s v="Leeds"/>
    <s v="Muffin"/>
    <s v="Food"/>
    <n v="1"/>
    <n v="2.2000000000000002"/>
    <s v="Cash"/>
    <s v="C1055"/>
    <n v="2.2000000000000002"/>
    <s v="Thursday"/>
    <s v="March"/>
    <n v="2025"/>
  </r>
  <r>
    <x v="917"/>
    <d v="2025-03-07T00:00:00"/>
    <s v="High Street"/>
    <s v="Leeds"/>
    <s v="Latte"/>
    <s v="Drink"/>
    <n v="5"/>
    <n v="3.5"/>
    <s v="Cash"/>
    <s v="C1350"/>
    <n v="17.5"/>
    <s v="Friday"/>
    <s v="March"/>
    <n v="2025"/>
  </r>
  <r>
    <x v="918"/>
    <d v="2025-03-07T00:00:00"/>
    <s v="Riverside"/>
    <s v="Manchester"/>
    <s v="Cappuccino"/>
    <s v="Drink"/>
    <n v="3"/>
    <n v="3.8"/>
    <s v="Apple Pay"/>
    <s v="C1798"/>
    <n v="11.399999999999999"/>
    <s v="Friday"/>
    <s v="March"/>
    <n v="2025"/>
  </r>
  <r>
    <x v="919"/>
    <d v="2025-03-07T00:00:00"/>
    <s v="High Street"/>
    <s v="Manchester"/>
    <s v="Croissant"/>
    <s v="Food"/>
    <n v="4"/>
    <n v="2.8"/>
    <s v="Card"/>
    <s v="C1411"/>
    <n v="11.2"/>
    <s v="Friday"/>
    <s v="March"/>
    <n v="2025"/>
  </r>
  <r>
    <x v="920"/>
    <d v="2025-03-07T00:00:00"/>
    <s v="Central"/>
    <s v="Manchester"/>
    <s v="Espresso"/>
    <s v="Drink"/>
    <n v="4"/>
    <n v="2.5"/>
    <s v="Cash"/>
    <s v="C1413"/>
    <n v="10"/>
    <s v="Friday"/>
    <s v="March"/>
    <n v="2025"/>
  </r>
  <r>
    <x v="921"/>
    <d v="2025-03-07T00:00:00"/>
    <s v="Central"/>
    <s v="London"/>
    <s v="Croissant"/>
    <s v="Food"/>
    <n v="3"/>
    <n v="2.8"/>
    <s v="Cash"/>
    <s v="C1235"/>
    <n v="8.3999999999999986"/>
    <s v="Friday"/>
    <s v="March"/>
    <n v="2025"/>
  </r>
  <r>
    <x v="922"/>
    <d v="2025-03-07T00:00:00"/>
    <s v="High Street"/>
    <s v="Leeds"/>
    <s v="Cappuccino"/>
    <s v="Drink"/>
    <n v="2"/>
    <n v="3.8"/>
    <s v="Card"/>
    <s v="C1158"/>
    <n v="7.6"/>
    <s v="Friday"/>
    <s v="March"/>
    <n v="2025"/>
  </r>
  <r>
    <x v="923"/>
    <d v="2025-03-07T00:00:00"/>
    <s v="Central"/>
    <s v="Birmingham"/>
    <s v="Cappuccino"/>
    <s v="Drink"/>
    <n v="2"/>
    <n v="3.8"/>
    <s v="Apple Pay"/>
    <s v="C1767"/>
    <n v="7.6"/>
    <s v="Friday"/>
    <s v="March"/>
    <n v="2025"/>
  </r>
  <r>
    <x v="924"/>
    <d v="2025-03-07T00:00:00"/>
    <s v="Riverside"/>
    <s v="London"/>
    <s v="Espresso"/>
    <s v="Drink"/>
    <n v="3"/>
    <n v="2.5"/>
    <s v="Card"/>
    <s v="C1486"/>
    <n v="7.5"/>
    <s v="Friday"/>
    <s v="March"/>
    <n v="2025"/>
  </r>
  <r>
    <x v="925"/>
    <d v="2025-03-07T00:00:00"/>
    <s v="High Street"/>
    <s v="London"/>
    <s v="Latte"/>
    <s v="Drink"/>
    <n v="2"/>
    <n v="3.5"/>
    <s v="Apple Pay"/>
    <s v="C1882"/>
    <n v="7"/>
    <s v="Friday"/>
    <s v="March"/>
    <n v="2025"/>
  </r>
  <r>
    <x v="926"/>
    <d v="2025-03-07T00:00:00"/>
    <s v="Riverside"/>
    <s v="London"/>
    <s v="Croissant"/>
    <s v="Food"/>
    <n v="2"/>
    <n v="2.8"/>
    <s v="Cash"/>
    <s v="C1583"/>
    <n v="5.6"/>
    <s v="Friday"/>
    <s v="March"/>
    <n v="2025"/>
  </r>
  <r>
    <x v="927"/>
    <d v="2025-03-07T00:00:00"/>
    <s v="Central"/>
    <s v="Birmingham"/>
    <s v="Croissant"/>
    <s v="Food"/>
    <n v="2"/>
    <n v="2.8"/>
    <s v="Card"/>
    <s v="C1426"/>
    <n v="5.6"/>
    <s v="Friday"/>
    <s v="March"/>
    <n v="2025"/>
  </r>
  <r>
    <x v="928"/>
    <d v="2025-03-07T00:00:00"/>
    <s v="Station"/>
    <s v="London"/>
    <s v="Croissant"/>
    <s v="Food"/>
    <n v="2"/>
    <n v="2.8"/>
    <s v="Apple Pay"/>
    <s v="C1572"/>
    <n v="5.6"/>
    <s v="Friday"/>
    <s v="March"/>
    <n v="2025"/>
  </r>
  <r>
    <x v="929"/>
    <d v="2025-03-07T00:00:00"/>
    <s v="Central"/>
    <s v="Leeds"/>
    <s v="Croissant"/>
    <s v="Food"/>
    <n v="2"/>
    <n v="2.8"/>
    <s v="Card"/>
    <s v="C1677"/>
    <n v="5.6"/>
    <s v="Friday"/>
    <s v="March"/>
    <n v="2025"/>
  </r>
  <r>
    <x v="930"/>
    <d v="2025-03-07T00:00:00"/>
    <s v="Central"/>
    <s v="Manchester"/>
    <s v="Croissant"/>
    <s v="Food"/>
    <n v="2"/>
    <n v="2.8"/>
    <s v="Cash"/>
    <s v="C1668"/>
    <n v="5.6"/>
    <s v="Friday"/>
    <s v="March"/>
    <n v="2025"/>
  </r>
  <r>
    <x v="931"/>
    <d v="2025-03-07T00:00:00"/>
    <s v="Station"/>
    <s v="Bristol"/>
    <s v="Croissant"/>
    <s v="Food"/>
    <n v="2"/>
    <n v="2.8"/>
    <s v="Apple Pay"/>
    <s v="C1185"/>
    <n v="5.6"/>
    <s v="Friday"/>
    <s v="March"/>
    <n v="2025"/>
  </r>
  <r>
    <x v="932"/>
    <d v="2025-03-07T00:00:00"/>
    <s v="Central"/>
    <s v="Manchester"/>
    <s v="Espresso"/>
    <s v="Drink"/>
    <n v="2"/>
    <n v="2.5"/>
    <s v="Apple Pay"/>
    <s v="C1857"/>
    <n v="5"/>
    <s v="Friday"/>
    <s v="March"/>
    <n v="2025"/>
  </r>
  <r>
    <x v="933"/>
    <d v="2025-03-07T00:00:00"/>
    <s v="High Street"/>
    <s v="Bristol"/>
    <s v="Espresso"/>
    <s v="Drink"/>
    <n v="2"/>
    <n v="2.5"/>
    <s v="Card"/>
    <s v="C1540"/>
    <n v="5"/>
    <s v="Friday"/>
    <s v="March"/>
    <n v="2025"/>
  </r>
  <r>
    <x v="934"/>
    <d v="2025-03-07T00:00:00"/>
    <s v="Station"/>
    <s v="London"/>
    <s v="Espresso"/>
    <s v="Drink"/>
    <n v="2"/>
    <n v="2.5"/>
    <s v="Card"/>
    <s v="C1332"/>
    <n v="5"/>
    <s v="Friday"/>
    <s v="March"/>
    <n v="2025"/>
  </r>
  <r>
    <x v="935"/>
    <d v="2025-03-07T00:00:00"/>
    <s v="Station"/>
    <s v="Bristol"/>
    <s v="Cappuccino"/>
    <s v="Drink"/>
    <n v="1"/>
    <n v="3.8"/>
    <s v="Apple Pay"/>
    <s v="C1178"/>
    <n v="3.8"/>
    <s v="Friday"/>
    <s v="March"/>
    <n v="2025"/>
  </r>
  <r>
    <x v="936"/>
    <d v="2025-03-07T00:00:00"/>
    <s v="Station"/>
    <s v="Birmingham"/>
    <s v="Cappuccino"/>
    <s v="Drink"/>
    <n v="1"/>
    <n v="3.8"/>
    <s v="Card"/>
    <s v="C1093"/>
    <n v="3.8"/>
    <s v="Friday"/>
    <s v="March"/>
    <n v="2025"/>
  </r>
  <r>
    <x v="937"/>
    <d v="2025-03-07T00:00:00"/>
    <s v="Station"/>
    <s v="Manchester"/>
    <s v="Croissant"/>
    <s v="Food"/>
    <n v="1"/>
    <n v="2.8"/>
    <s v="Apple Pay"/>
    <s v="C1838"/>
    <n v="2.8"/>
    <s v="Friday"/>
    <s v="March"/>
    <n v="2025"/>
  </r>
  <r>
    <x v="938"/>
    <d v="2025-03-07T00:00:00"/>
    <s v="Riverside"/>
    <s v="London"/>
    <s v="Espresso"/>
    <s v="Drink"/>
    <n v="1"/>
    <n v="2.5"/>
    <s v="Cash"/>
    <s v="C1894"/>
    <n v="2.5"/>
    <s v="Friday"/>
    <s v="March"/>
    <n v="2025"/>
  </r>
  <r>
    <x v="939"/>
    <d v="2025-03-08T00:00:00"/>
    <s v="High Street"/>
    <s v="Leeds"/>
    <s v="Cappuccino"/>
    <s v="Drink"/>
    <n v="4"/>
    <n v="3.8"/>
    <s v="Card"/>
    <s v="C1741"/>
    <n v="15.2"/>
    <s v="Saturday"/>
    <s v="March"/>
    <n v="2025"/>
  </r>
  <r>
    <x v="940"/>
    <d v="2025-03-08T00:00:00"/>
    <s v="Station"/>
    <s v="London"/>
    <s v="Latte"/>
    <s v="Drink"/>
    <n v="4"/>
    <n v="3.5"/>
    <s v="Apple Pay"/>
    <s v="C1985"/>
    <n v="14"/>
    <s v="Saturday"/>
    <s v="March"/>
    <n v="2025"/>
  </r>
  <r>
    <x v="941"/>
    <d v="2025-03-08T00:00:00"/>
    <s v="Central"/>
    <s v="Bristol"/>
    <s v="Croissant"/>
    <s v="Food"/>
    <n v="4"/>
    <n v="2.8"/>
    <s v="Apple Pay"/>
    <s v="C1646"/>
    <n v="11.2"/>
    <s v="Saturday"/>
    <s v="March"/>
    <n v="2025"/>
  </r>
  <r>
    <x v="942"/>
    <d v="2025-03-08T00:00:00"/>
    <s v="Station"/>
    <s v="London"/>
    <s v="Croissant"/>
    <s v="Food"/>
    <n v="4"/>
    <n v="2.8"/>
    <s v="Apple Pay"/>
    <s v="C1920"/>
    <n v="11.2"/>
    <s v="Saturday"/>
    <s v="March"/>
    <n v="2025"/>
  </r>
  <r>
    <x v="943"/>
    <d v="2025-03-08T00:00:00"/>
    <s v="Central"/>
    <s v="Birmingham"/>
    <s v="Muffin"/>
    <s v="Food"/>
    <n v="5"/>
    <n v="2.2000000000000002"/>
    <s v="Card"/>
    <s v="C1866"/>
    <n v="11"/>
    <s v="Saturday"/>
    <s v="March"/>
    <n v="2025"/>
  </r>
  <r>
    <x v="944"/>
    <d v="2025-03-08T00:00:00"/>
    <s v="Riverside"/>
    <s v="London"/>
    <s v="Latte"/>
    <s v="Drink"/>
    <n v="3"/>
    <n v="3.5"/>
    <s v="Cash"/>
    <s v="C1582"/>
    <n v="10.5"/>
    <s v="Saturday"/>
    <s v="March"/>
    <n v="2025"/>
  </r>
  <r>
    <x v="945"/>
    <d v="2025-03-08T00:00:00"/>
    <s v="Riverside"/>
    <s v="Manchester"/>
    <s v="Cappuccino"/>
    <s v="Drink"/>
    <n v="2"/>
    <n v="3.8"/>
    <s v="Card"/>
    <s v="C1761"/>
    <n v="7.6"/>
    <s v="Saturday"/>
    <s v="March"/>
    <n v="2025"/>
  </r>
  <r>
    <x v="946"/>
    <d v="2025-03-08T00:00:00"/>
    <s v="Central"/>
    <s v="Birmingham"/>
    <s v="Latte"/>
    <s v="Drink"/>
    <n v="2"/>
    <n v="3.5"/>
    <s v="Cash"/>
    <s v="C1122"/>
    <n v="7"/>
    <s v="Saturday"/>
    <s v="March"/>
    <n v="2025"/>
  </r>
  <r>
    <x v="947"/>
    <d v="2025-03-08T00:00:00"/>
    <s v="Station"/>
    <s v="Birmingham"/>
    <s v="Espresso"/>
    <s v="Drink"/>
    <n v="2"/>
    <n v="2.5"/>
    <s v="Cash"/>
    <s v="C1065"/>
    <n v="5"/>
    <s v="Saturday"/>
    <s v="March"/>
    <n v="2025"/>
  </r>
  <r>
    <x v="948"/>
    <d v="2025-03-08T00:00:00"/>
    <s v="Central"/>
    <s v="Manchester"/>
    <s v="Muffin"/>
    <s v="Food"/>
    <n v="2"/>
    <n v="2.2000000000000002"/>
    <s v="Card"/>
    <s v="C1696"/>
    <n v="4.4000000000000004"/>
    <s v="Saturday"/>
    <s v="March"/>
    <n v="2025"/>
  </r>
  <r>
    <x v="949"/>
    <d v="2025-03-08T00:00:00"/>
    <s v="Station"/>
    <s v="Leeds"/>
    <s v="Cappuccino"/>
    <s v="Drink"/>
    <n v="1"/>
    <n v="3.8"/>
    <s v="Apple Pay"/>
    <s v="C1578"/>
    <n v="3.8"/>
    <s v="Saturday"/>
    <s v="March"/>
    <n v="2025"/>
  </r>
  <r>
    <x v="950"/>
    <d v="2025-03-08T00:00:00"/>
    <s v="High Street"/>
    <s v="Leeds"/>
    <s v="Latte"/>
    <s v="Drink"/>
    <n v="1"/>
    <n v="3.5"/>
    <s v="Card"/>
    <s v="C1076"/>
    <n v="3.5"/>
    <s v="Saturday"/>
    <s v="March"/>
    <n v="2025"/>
  </r>
  <r>
    <x v="951"/>
    <d v="2025-03-08T00:00:00"/>
    <s v="High Street"/>
    <s v="N/A"/>
    <s v="Croissant"/>
    <s v="Food"/>
    <n v="1"/>
    <n v="2.8"/>
    <s v="Card"/>
    <s v="C1652"/>
    <n v="2.8"/>
    <s v="Saturday"/>
    <s v="March"/>
    <n v="2025"/>
  </r>
  <r>
    <x v="952"/>
    <d v="2025-03-08T00:00:00"/>
    <s v="Station"/>
    <s v="Leeds"/>
    <s v="Croissant"/>
    <s v="Food"/>
    <n v="1"/>
    <n v="2.8"/>
    <s v="Card"/>
    <s v="C1522"/>
    <n v="2.8"/>
    <s v="Saturday"/>
    <s v="March"/>
    <n v="2025"/>
  </r>
  <r>
    <x v="953"/>
    <d v="2025-03-08T00:00:00"/>
    <s v="Central"/>
    <s v="London"/>
    <s v="Espresso"/>
    <s v="Drink"/>
    <n v="1"/>
    <n v="2.5"/>
    <s v="Card"/>
    <s v="C1851"/>
    <n v="2.5"/>
    <s v="Saturday"/>
    <s v="March"/>
    <n v="2025"/>
  </r>
  <r>
    <x v="954"/>
    <d v="2025-03-08T00:00:00"/>
    <s v="Station"/>
    <s v="London"/>
    <s v="Espresso"/>
    <s v="Drink"/>
    <n v="1"/>
    <n v="2.5"/>
    <s v="Card"/>
    <s v="C1278"/>
    <n v="2.5"/>
    <s v="Saturday"/>
    <s v="March"/>
    <n v="2025"/>
  </r>
  <r>
    <x v="955"/>
    <d v="2025-03-09T00:00:00"/>
    <s v="Riverside"/>
    <s v="London"/>
    <s v="Croissant"/>
    <s v="Food"/>
    <n v="5"/>
    <n v="2.8"/>
    <s v="Card"/>
    <s v="C1687"/>
    <n v="14"/>
    <s v="Sunday"/>
    <s v="March"/>
    <n v="2025"/>
  </r>
  <r>
    <x v="956"/>
    <d v="2025-03-09T00:00:00"/>
    <s v="Riverside"/>
    <s v="Bristol"/>
    <s v="Croissant"/>
    <s v="Food"/>
    <n v="5"/>
    <n v="2.8"/>
    <s v="Apple Pay"/>
    <s v="C1887"/>
    <n v="14"/>
    <s v="Sunday"/>
    <s v="March"/>
    <n v="2025"/>
  </r>
  <r>
    <x v="957"/>
    <d v="2025-03-09T00:00:00"/>
    <s v="Station"/>
    <s v="Leeds"/>
    <s v="Croissant"/>
    <s v="Food"/>
    <n v="4"/>
    <n v="2.8"/>
    <s v="Apple Pay"/>
    <s v="C1049"/>
    <n v="11.2"/>
    <s v="Sunday"/>
    <s v="March"/>
    <n v="2025"/>
  </r>
  <r>
    <x v="958"/>
    <d v="2025-03-09T00:00:00"/>
    <s v="Riverside"/>
    <s v="Birmingham"/>
    <s v="Croissant"/>
    <s v="Food"/>
    <n v="4"/>
    <n v="2.8"/>
    <s v="Cash"/>
    <s v="C1660"/>
    <n v="11.2"/>
    <s v="Sunday"/>
    <s v="March"/>
    <n v="2025"/>
  </r>
  <r>
    <x v="959"/>
    <d v="2025-03-09T00:00:00"/>
    <s v="Central"/>
    <s v="Bristol"/>
    <s v="Muffin"/>
    <s v="Food"/>
    <n v="5"/>
    <n v="2.2000000000000002"/>
    <s v="Apple Pay"/>
    <s v="C1578"/>
    <n v="11"/>
    <s v="Sunday"/>
    <s v="March"/>
    <n v="2025"/>
  </r>
  <r>
    <x v="960"/>
    <d v="2025-03-09T00:00:00"/>
    <s v="High Street"/>
    <s v="Manchester"/>
    <s v="Cappuccino"/>
    <s v="Drink"/>
    <n v="2"/>
    <n v="3.8"/>
    <s v="Card"/>
    <s v="C1229"/>
    <n v="7.6"/>
    <s v="Sunday"/>
    <s v="March"/>
    <n v="2025"/>
  </r>
  <r>
    <x v="961"/>
    <d v="2025-03-09T00:00:00"/>
    <s v="Riverside"/>
    <s v="Leeds"/>
    <s v="Espresso"/>
    <s v="Drink"/>
    <n v="3"/>
    <n v="2.5"/>
    <s v="Apple Pay"/>
    <s v="C1714"/>
    <n v="7.5"/>
    <s v="Sunday"/>
    <s v="March"/>
    <n v="2025"/>
  </r>
  <r>
    <x v="962"/>
    <d v="2025-03-09T00:00:00"/>
    <s v="High Street"/>
    <s v="Birmingham"/>
    <s v="Croissant"/>
    <s v="Food"/>
    <n v="2"/>
    <n v="2.8"/>
    <s v="Card"/>
    <s v="C1282"/>
    <n v="5.6"/>
    <s v="Sunday"/>
    <s v="March"/>
    <n v="2025"/>
  </r>
  <r>
    <x v="963"/>
    <d v="2025-03-09T00:00:00"/>
    <s v="High Street"/>
    <s v="Manchester"/>
    <s v="Espresso"/>
    <s v="Drink"/>
    <n v="2"/>
    <n v="2.5"/>
    <s v="Card"/>
    <s v="C1628"/>
    <n v="5"/>
    <s v="Sunday"/>
    <s v="March"/>
    <n v="2025"/>
  </r>
  <r>
    <x v="964"/>
    <d v="2025-03-09T00:00:00"/>
    <s v="Riverside"/>
    <s v="Birmingham"/>
    <s v="Cappuccino"/>
    <s v="Drink"/>
    <n v="1"/>
    <n v="3.8"/>
    <s v="Cash"/>
    <s v="C1110"/>
    <n v="3.8"/>
    <s v="Sunday"/>
    <s v="March"/>
    <n v="2025"/>
  </r>
  <r>
    <x v="965"/>
    <d v="2025-03-09T00:00:00"/>
    <s v="Central"/>
    <s v="Manchester"/>
    <s v="Latte"/>
    <s v="Drink"/>
    <n v="1"/>
    <n v="3.5"/>
    <s v="Apple Pay"/>
    <s v="C1962"/>
    <n v="3.5"/>
    <s v="Sunday"/>
    <s v="March"/>
    <n v="2025"/>
  </r>
  <r>
    <x v="966"/>
    <d v="2025-03-10T00:00:00"/>
    <s v="Station"/>
    <s v="Manchester"/>
    <s v="Latte"/>
    <s v="Drink"/>
    <n v="5"/>
    <n v="3.5"/>
    <s v="Cash"/>
    <s v="C1234"/>
    <n v="17.5"/>
    <s v="Monday"/>
    <s v="March"/>
    <n v="2025"/>
  </r>
  <r>
    <x v="967"/>
    <d v="2025-03-10T00:00:00"/>
    <s v="Riverside"/>
    <s v="Leeds"/>
    <s v="Cappuccino"/>
    <s v="Drink"/>
    <n v="4"/>
    <n v="3.8"/>
    <s v="Card"/>
    <s v="C1745"/>
    <n v="15.2"/>
    <s v="Monday"/>
    <s v="March"/>
    <n v="2025"/>
  </r>
  <r>
    <x v="968"/>
    <d v="2025-03-10T00:00:00"/>
    <s v="High Street"/>
    <s v="London"/>
    <s v="Croissant"/>
    <s v="Food"/>
    <n v="5"/>
    <n v="2.8"/>
    <s v="Apple Pay"/>
    <s v="C1547"/>
    <n v="14"/>
    <s v="Monday"/>
    <s v="March"/>
    <n v="2025"/>
  </r>
  <r>
    <x v="969"/>
    <d v="2025-03-10T00:00:00"/>
    <s v="Riverside"/>
    <s v="Birmingham"/>
    <s v="Latte"/>
    <s v="Drink"/>
    <n v="4"/>
    <n v="3.5"/>
    <s v="Cash"/>
    <s v="C1485"/>
    <n v="14"/>
    <s v="Monday"/>
    <s v="March"/>
    <n v="2025"/>
  </r>
  <r>
    <x v="970"/>
    <d v="2025-03-10T00:00:00"/>
    <s v="Central"/>
    <s v="Birmingham"/>
    <s v="Espresso"/>
    <s v="Drink"/>
    <n v="5"/>
    <n v="2.5"/>
    <s v="Cash"/>
    <s v="C1587"/>
    <n v="12.5"/>
    <s v="Monday"/>
    <s v="March"/>
    <n v="2025"/>
  </r>
  <r>
    <x v="971"/>
    <d v="2025-03-10T00:00:00"/>
    <s v="High Street"/>
    <s v="Bristol"/>
    <s v="Espresso"/>
    <s v="Drink"/>
    <n v="5"/>
    <n v="2.5"/>
    <s v="Cash"/>
    <s v="C1783"/>
    <n v="12.5"/>
    <s v="Monday"/>
    <s v="March"/>
    <n v="2025"/>
  </r>
  <r>
    <x v="972"/>
    <d v="2025-03-10T00:00:00"/>
    <s v="Riverside"/>
    <s v="Manchester"/>
    <s v="Cappuccino"/>
    <s v="Drink"/>
    <n v="3"/>
    <n v="3.8"/>
    <s v="Apple Pay"/>
    <s v="C1704"/>
    <n v="11.399999999999999"/>
    <s v="Monday"/>
    <s v="March"/>
    <n v="2025"/>
  </r>
  <r>
    <x v="973"/>
    <d v="2025-03-10T00:00:00"/>
    <s v="Station"/>
    <s v="London"/>
    <s v="Croissant"/>
    <s v="Food"/>
    <n v="4"/>
    <n v="2.8"/>
    <s v="Cash"/>
    <s v="C1007"/>
    <n v="11.2"/>
    <s v="Monday"/>
    <s v="March"/>
    <n v="2025"/>
  </r>
  <r>
    <x v="974"/>
    <d v="2025-03-10T00:00:00"/>
    <s v="High Street"/>
    <s v="Bristol"/>
    <s v="Croissant"/>
    <s v="Food"/>
    <n v="4"/>
    <n v="2.8"/>
    <s v="Card"/>
    <s v="C1333"/>
    <n v="11.2"/>
    <s v="Monday"/>
    <s v="March"/>
    <n v="2025"/>
  </r>
  <r>
    <x v="975"/>
    <d v="2025-03-10T00:00:00"/>
    <s v="Central"/>
    <s v="Bristol"/>
    <s v="Muffin"/>
    <s v="Food"/>
    <n v="5"/>
    <n v="2.2000000000000002"/>
    <s v="Apple Pay"/>
    <s v="C1547"/>
    <n v="11"/>
    <s v="Monday"/>
    <s v="March"/>
    <n v="2025"/>
  </r>
  <r>
    <x v="976"/>
    <d v="2025-03-10T00:00:00"/>
    <s v="Central"/>
    <s v="Bristol"/>
    <s v="Croissant"/>
    <s v="Food"/>
    <n v="3"/>
    <n v="2.8"/>
    <s v="Apple Pay"/>
    <s v="C1020"/>
    <n v="8.3999999999999986"/>
    <s v="Monday"/>
    <s v="March"/>
    <n v="2025"/>
  </r>
  <r>
    <x v="977"/>
    <d v="2025-03-10T00:00:00"/>
    <s v="Riverside"/>
    <s v="Bristol"/>
    <s v="Latte"/>
    <s v="Drink"/>
    <n v="2"/>
    <n v="3.5"/>
    <s v="Card"/>
    <s v="C1278"/>
    <n v="7"/>
    <s v="Monday"/>
    <s v="March"/>
    <n v="2025"/>
  </r>
  <r>
    <x v="978"/>
    <d v="2025-03-10T00:00:00"/>
    <s v="Station"/>
    <s v="Birmingham"/>
    <s v="Latte"/>
    <s v="Drink"/>
    <n v="2"/>
    <n v="3.5"/>
    <s v="Apple Pay"/>
    <s v="C1754"/>
    <n v="7"/>
    <s v="Monday"/>
    <s v="March"/>
    <n v="2025"/>
  </r>
  <r>
    <x v="979"/>
    <d v="2025-03-10T00:00:00"/>
    <s v="Riverside"/>
    <s v="Birmingham"/>
    <s v="Croissant"/>
    <s v="Food"/>
    <n v="2"/>
    <n v="2.8"/>
    <s v="Cash"/>
    <s v="C1074"/>
    <n v="5.6"/>
    <s v="Monday"/>
    <s v="March"/>
    <n v="2025"/>
  </r>
  <r>
    <x v="980"/>
    <d v="2025-03-10T00:00:00"/>
    <s v="Riverside"/>
    <s v="Birmingham"/>
    <s v="Cappuccino"/>
    <s v="Drink"/>
    <n v="1"/>
    <n v="3.8"/>
    <s v="Card"/>
    <s v="C1236"/>
    <n v="3.8"/>
    <s v="Monday"/>
    <s v="March"/>
    <n v="2025"/>
  </r>
  <r>
    <x v="981"/>
    <d v="2025-03-10T00:00:00"/>
    <s v="High Street"/>
    <s v="Leeds"/>
    <s v="Cappuccino"/>
    <s v="Drink"/>
    <n v="1"/>
    <n v="3.8"/>
    <s v="Apple Pay"/>
    <s v="C1362"/>
    <n v="3.8"/>
    <s v="Monday"/>
    <s v="March"/>
    <n v="2025"/>
  </r>
  <r>
    <x v="982"/>
    <d v="2025-03-10T00:00:00"/>
    <s v="Riverside"/>
    <s v="London"/>
    <s v="Latte"/>
    <s v="Drink"/>
    <n v="1"/>
    <n v="3.5"/>
    <s v="Apple Pay"/>
    <s v="C1867"/>
    <n v="3.5"/>
    <s v="Monday"/>
    <s v="March"/>
    <n v="2025"/>
  </r>
  <r>
    <x v="983"/>
    <d v="2025-03-10T00:00:00"/>
    <s v="Riverside"/>
    <s v="London"/>
    <s v="Espresso"/>
    <s v="Drink"/>
    <n v="1"/>
    <n v="2.5"/>
    <s v="Card"/>
    <s v="C1905"/>
    <n v="2.5"/>
    <s v="Monday"/>
    <s v="March"/>
    <n v="2025"/>
  </r>
  <r>
    <x v="984"/>
    <d v="2025-03-10T00:00:00"/>
    <s v="Riverside"/>
    <s v="Bristol"/>
    <s v="Muffin"/>
    <s v="Food"/>
    <n v="1"/>
    <n v="2.2000000000000002"/>
    <s v="Card"/>
    <s v="C1515"/>
    <n v="2.2000000000000002"/>
    <s v="Monday"/>
    <s v="March"/>
    <n v="2025"/>
  </r>
  <r>
    <x v="985"/>
    <d v="2025-03-11T00:00:00"/>
    <s v="Riverside"/>
    <s v="Leeds"/>
    <s v="Latte"/>
    <s v="Drink"/>
    <n v="5"/>
    <n v="3.5"/>
    <s v="Cash"/>
    <s v="C1219"/>
    <n v="17.5"/>
    <s v="Tuesday"/>
    <s v="March"/>
    <n v="2025"/>
  </r>
  <r>
    <x v="986"/>
    <d v="2025-03-11T00:00:00"/>
    <s v="Station"/>
    <s v="London"/>
    <s v="Cappuccino"/>
    <s v="Drink"/>
    <n v="4"/>
    <n v="3.8"/>
    <s v="Apple Pay"/>
    <s v="C1559"/>
    <n v="15.2"/>
    <s v="Tuesday"/>
    <s v="March"/>
    <n v="2025"/>
  </r>
  <r>
    <x v="987"/>
    <d v="2025-03-11T00:00:00"/>
    <s v="Riverside"/>
    <s v="Leeds"/>
    <s v="Croissant"/>
    <s v="Food"/>
    <n v="5"/>
    <n v="2.8"/>
    <s v="Cash"/>
    <s v="C1774"/>
    <n v="14"/>
    <s v="Tuesday"/>
    <s v="March"/>
    <n v="2025"/>
  </r>
  <r>
    <x v="988"/>
    <d v="2025-03-11T00:00:00"/>
    <s v="Central"/>
    <s v="Manchester"/>
    <s v="Latte"/>
    <s v="Drink"/>
    <n v="4"/>
    <n v="3.5"/>
    <s v="Card"/>
    <s v="C1120"/>
    <n v="14"/>
    <s v="Tuesday"/>
    <s v="March"/>
    <n v="2025"/>
  </r>
  <r>
    <x v="989"/>
    <d v="2025-03-11T00:00:00"/>
    <s v="Central"/>
    <s v="Birmingham"/>
    <s v="Espresso"/>
    <s v="Drink"/>
    <n v="5"/>
    <n v="2.5"/>
    <s v="Cash"/>
    <s v="C1536"/>
    <n v="12.5"/>
    <s v="Tuesday"/>
    <s v="March"/>
    <n v="2025"/>
  </r>
  <r>
    <x v="990"/>
    <d v="2025-03-11T00:00:00"/>
    <s v="Central"/>
    <s v="Birmingham"/>
    <s v="Cappuccino"/>
    <s v="Drink"/>
    <n v="3"/>
    <n v="3.8"/>
    <s v="Apple Pay"/>
    <s v="C1958"/>
    <n v="11.399999999999999"/>
    <s v="Tuesday"/>
    <s v="March"/>
    <n v="2025"/>
  </r>
  <r>
    <x v="991"/>
    <d v="2025-03-11T00:00:00"/>
    <s v="Central"/>
    <s v="Birmingham"/>
    <s v="Latte"/>
    <s v="Drink"/>
    <n v="3"/>
    <n v="3.5"/>
    <s v="Card"/>
    <s v="C1702"/>
    <n v="10.5"/>
    <s v="Tuesday"/>
    <s v="March"/>
    <n v="2025"/>
  </r>
  <r>
    <x v="992"/>
    <d v="2025-03-11T00:00:00"/>
    <s v="Central"/>
    <s v="London"/>
    <s v="Espresso"/>
    <s v="Drink"/>
    <n v="4"/>
    <n v="2.5"/>
    <s v="Apple Pay"/>
    <s v="C1068"/>
    <n v="10"/>
    <s v="Tuesday"/>
    <s v="March"/>
    <n v="2025"/>
  </r>
  <r>
    <x v="993"/>
    <d v="2025-03-11T00:00:00"/>
    <s v="Riverside"/>
    <s v="London"/>
    <s v="Espresso"/>
    <s v="Drink"/>
    <n v="4"/>
    <n v="2.5"/>
    <s v="Card"/>
    <s v="C1380"/>
    <n v="10"/>
    <s v="Tuesday"/>
    <s v="March"/>
    <n v="2025"/>
  </r>
  <r>
    <x v="994"/>
    <d v="2025-03-11T00:00:00"/>
    <s v="Riverside"/>
    <s v="London"/>
    <s v="Muffin"/>
    <s v="Food"/>
    <n v="4"/>
    <n v="2.2000000000000002"/>
    <s v="Card"/>
    <s v="C1410"/>
    <n v="8.8000000000000007"/>
    <s v="Tuesday"/>
    <s v="March"/>
    <n v="2025"/>
  </r>
  <r>
    <x v="995"/>
    <d v="2025-03-11T00:00:00"/>
    <s v="High Street"/>
    <s v="Leeds"/>
    <s v="Muffin"/>
    <s v="Food"/>
    <n v="4"/>
    <n v="2.2000000000000002"/>
    <s v="Apple Pay"/>
    <s v="C1146"/>
    <n v="8.8000000000000007"/>
    <s v="Tuesday"/>
    <s v="March"/>
    <n v="2025"/>
  </r>
  <r>
    <x v="996"/>
    <d v="2025-03-11T00:00:00"/>
    <s v="Central"/>
    <s v="Manchester"/>
    <s v="Espresso"/>
    <s v="Drink"/>
    <n v="3"/>
    <n v="2.5"/>
    <s v="Card"/>
    <s v="C1924"/>
    <n v="7.5"/>
    <s v="Tuesday"/>
    <s v="March"/>
    <n v="2025"/>
  </r>
  <r>
    <x v="997"/>
    <d v="2025-03-11T00:00:00"/>
    <s v="Central"/>
    <s v="Leeds"/>
    <s v="Croissant"/>
    <s v="Food"/>
    <n v="2"/>
    <n v="2.8"/>
    <s v="Apple Pay"/>
    <s v="C1831"/>
    <n v="5.6"/>
    <s v="Tuesday"/>
    <s v="March"/>
    <n v="2025"/>
  </r>
  <r>
    <x v="998"/>
    <d v="2025-03-11T00:00:00"/>
    <s v="Station"/>
    <s v="Bristol"/>
    <s v="Muffin"/>
    <s v="Food"/>
    <n v="2"/>
    <n v="2.2000000000000002"/>
    <s v="Apple Pay"/>
    <s v="C1338"/>
    <n v="4.4000000000000004"/>
    <s v="Tuesday"/>
    <s v="March"/>
    <n v="2025"/>
  </r>
  <r>
    <x v="999"/>
    <d v="2025-03-11T00:00:00"/>
    <s v="High Street"/>
    <s v="London"/>
    <s v="Cappuccino"/>
    <s v="Drink"/>
    <n v="1"/>
    <n v="3.8"/>
    <s v="Card"/>
    <s v="C1226"/>
    <n v="3.8"/>
    <s v="Tuesday"/>
    <s v="March"/>
    <n v="2025"/>
  </r>
  <r>
    <x v="1000"/>
    <d v="2025-03-11T00:00:00"/>
    <s v="Central"/>
    <s v="Birmingham"/>
    <s v="Cappuccino"/>
    <s v="Drink"/>
    <n v="1"/>
    <n v="3.8"/>
    <s v="Card"/>
    <s v="C1709"/>
    <n v="3.8"/>
    <s v="Tuesday"/>
    <s v="March"/>
    <n v="2025"/>
  </r>
  <r>
    <x v="1001"/>
    <d v="2025-03-11T00:00:00"/>
    <s v="Station"/>
    <s v="Leeds"/>
    <s v="Latte"/>
    <s v="Drink"/>
    <n v="1"/>
    <n v="3.5"/>
    <s v="Apple Pay"/>
    <s v="C1161"/>
    <n v="3.5"/>
    <s v="Tuesday"/>
    <s v="March"/>
    <n v="2025"/>
  </r>
  <r>
    <x v="1002"/>
    <d v="2025-03-11T00:00:00"/>
    <s v="High Street"/>
    <s v="Leeds"/>
    <s v="Espresso"/>
    <s v="Drink"/>
    <n v="1"/>
    <n v="2.5"/>
    <s v="Apple Pay"/>
    <s v="C1409"/>
    <n v="2.5"/>
    <s v="Tuesday"/>
    <s v="March"/>
    <n v="2025"/>
  </r>
  <r>
    <x v="1003"/>
    <d v="2025-03-12T00:00:00"/>
    <s v="Station"/>
    <s v="Leeds"/>
    <s v="Cappuccino"/>
    <s v="Drink"/>
    <n v="5"/>
    <n v="3.8"/>
    <s v="Cash"/>
    <s v="C1964"/>
    <n v="19"/>
    <s v="Wednesday"/>
    <s v="March"/>
    <n v="2025"/>
  </r>
  <r>
    <x v="1004"/>
    <d v="2025-03-12T00:00:00"/>
    <s v="Riverside"/>
    <s v="Leeds"/>
    <s v="Latte"/>
    <s v="Drink"/>
    <n v="5"/>
    <n v="3.5"/>
    <s v="Card"/>
    <s v="C1534"/>
    <n v="17.5"/>
    <s v="Wednesday"/>
    <s v="March"/>
    <n v="2025"/>
  </r>
  <r>
    <x v="1005"/>
    <d v="2025-03-12T00:00:00"/>
    <s v="High Street"/>
    <s v="Manchester"/>
    <s v="Latte"/>
    <s v="Drink"/>
    <n v="5"/>
    <n v="3.5"/>
    <s v="Card"/>
    <s v="C1067"/>
    <n v="17.5"/>
    <s v="Wednesday"/>
    <s v="March"/>
    <n v="2025"/>
  </r>
  <r>
    <x v="1006"/>
    <d v="2025-03-12T00:00:00"/>
    <s v="Station"/>
    <s v="Leeds"/>
    <s v="Latte"/>
    <s v="Drink"/>
    <n v="4"/>
    <n v="3.5"/>
    <s v="Cash"/>
    <s v="C1967"/>
    <n v="14"/>
    <s v="Wednesday"/>
    <s v="March"/>
    <n v="2025"/>
  </r>
  <r>
    <x v="1007"/>
    <d v="2025-03-12T00:00:00"/>
    <s v="Station"/>
    <s v="Manchester"/>
    <s v="Latte"/>
    <s v="Drink"/>
    <n v="4"/>
    <n v="3.5"/>
    <s v="Card"/>
    <s v="C1704"/>
    <n v="14"/>
    <s v="Wednesday"/>
    <s v="March"/>
    <n v="2025"/>
  </r>
  <r>
    <x v="1008"/>
    <d v="2025-03-12T00:00:00"/>
    <s v="Central"/>
    <s v="Bristol"/>
    <s v="Espresso"/>
    <s v="Drink"/>
    <n v="5"/>
    <n v="2.5"/>
    <s v="Cash"/>
    <s v="C1260"/>
    <n v="12.5"/>
    <s v="Wednesday"/>
    <s v="March"/>
    <n v="2025"/>
  </r>
  <r>
    <x v="1009"/>
    <d v="2025-03-12T00:00:00"/>
    <s v="High Street"/>
    <s v="Bristol"/>
    <s v="Muffin"/>
    <s v="Food"/>
    <n v="5"/>
    <n v="2.2000000000000002"/>
    <s v="Apple Pay"/>
    <s v="C1482"/>
    <n v="11"/>
    <s v="Wednesday"/>
    <s v="March"/>
    <n v="2025"/>
  </r>
  <r>
    <x v="1010"/>
    <d v="2025-03-12T00:00:00"/>
    <s v="High Street"/>
    <s v="Bristol"/>
    <s v="Espresso"/>
    <s v="Drink"/>
    <n v="3"/>
    <n v="2.5"/>
    <s v="Cash"/>
    <s v="C1185"/>
    <n v="7.5"/>
    <s v="Wednesday"/>
    <s v="March"/>
    <n v="2025"/>
  </r>
  <r>
    <x v="1011"/>
    <d v="2025-03-12T00:00:00"/>
    <s v="Station"/>
    <s v="Leeds"/>
    <s v="Espresso"/>
    <s v="Drink"/>
    <n v="2"/>
    <n v="2.5"/>
    <s v="Cash"/>
    <s v="C1244"/>
    <n v="5"/>
    <s v="Wednesday"/>
    <s v="March"/>
    <n v="2025"/>
  </r>
  <r>
    <x v="1012"/>
    <d v="2025-03-12T00:00:00"/>
    <s v="Central"/>
    <s v="Bristol"/>
    <s v="Espresso"/>
    <s v="Drink"/>
    <n v="2"/>
    <n v="2.5"/>
    <s v="Cash"/>
    <s v="C1926"/>
    <n v="5"/>
    <s v="Wednesday"/>
    <s v="March"/>
    <n v="2025"/>
  </r>
  <r>
    <x v="1013"/>
    <d v="2025-03-12T00:00:00"/>
    <s v="Central"/>
    <s v="Birmingham"/>
    <s v="Espresso"/>
    <s v="Drink"/>
    <n v="2"/>
    <n v="2.5"/>
    <s v="Cash"/>
    <s v="C1764"/>
    <n v="5"/>
    <s v="Wednesday"/>
    <s v="March"/>
    <n v="2025"/>
  </r>
  <r>
    <x v="1014"/>
    <d v="2025-03-12T00:00:00"/>
    <s v="Riverside"/>
    <s v="Manchester"/>
    <s v="Muffin"/>
    <s v="Food"/>
    <n v="2"/>
    <n v="2.2000000000000002"/>
    <s v="Card"/>
    <s v="C1001"/>
    <n v="4.4000000000000004"/>
    <s v="Wednesday"/>
    <s v="March"/>
    <n v="2025"/>
  </r>
  <r>
    <x v="1015"/>
    <d v="2025-03-12T00:00:00"/>
    <s v="Central"/>
    <s v="Leeds"/>
    <s v="Cappuccino"/>
    <s v="Drink"/>
    <n v="1"/>
    <n v="3.8"/>
    <s v="Card"/>
    <s v="C1284"/>
    <n v="3.8"/>
    <s v="Wednesday"/>
    <s v="March"/>
    <n v="2025"/>
  </r>
  <r>
    <x v="1016"/>
    <d v="2025-03-12T00:00:00"/>
    <s v="High Street"/>
    <s v="Birmingham"/>
    <s v="Cappuccino"/>
    <s v="Drink"/>
    <n v="1"/>
    <n v="3.8"/>
    <s v="Card"/>
    <s v="C1152"/>
    <n v="3.8"/>
    <s v="Wednesday"/>
    <s v="March"/>
    <n v="2025"/>
  </r>
  <r>
    <x v="1017"/>
    <d v="2025-03-13T00:00:00"/>
    <s v="Station"/>
    <s v="London"/>
    <s v="Cappuccino"/>
    <s v="Drink"/>
    <n v="5"/>
    <n v="3.8"/>
    <s v="Card"/>
    <s v="C1759"/>
    <n v="19"/>
    <s v="Thursday"/>
    <s v="March"/>
    <n v="2025"/>
  </r>
  <r>
    <x v="1018"/>
    <d v="2025-03-13T00:00:00"/>
    <s v="Riverside"/>
    <s v="Manchester"/>
    <s v="Cappuccino"/>
    <s v="Drink"/>
    <n v="3"/>
    <n v="3.8"/>
    <s v="Card"/>
    <s v="C1752"/>
    <n v="11.399999999999999"/>
    <s v="Thursday"/>
    <s v="March"/>
    <n v="2025"/>
  </r>
  <r>
    <x v="1019"/>
    <d v="2025-03-13T00:00:00"/>
    <s v="Station"/>
    <s v="Birmingham"/>
    <s v="Latte"/>
    <s v="Drink"/>
    <n v="3"/>
    <n v="3.5"/>
    <s v="Apple Pay"/>
    <s v="C1802"/>
    <n v="10.5"/>
    <s v="Thursday"/>
    <s v="March"/>
    <n v="2025"/>
  </r>
  <r>
    <x v="1020"/>
    <d v="2025-03-13T00:00:00"/>
    <s v="High Street"/>
    <s v="Birmingham"/>
    <s v="Muffin"/>
    <s v="Food"/>
    <n v="4"/>
    <n v="2.2000000000000002"/>
    <s v="Apple Pay"/>
    <s v="C1740"/>
    <n v="8.8000000000000007"/>
    <s v="Thursday"/>
    <s v="March"/>
    <n v="2025"/>
  </r>
  <r>
    <x v="1021"/>
    <d v="2025-03-13T00:00:00"/>
    <s v="Station"/>
    <s v="Bristol"/>
    <s v="Cappuccino"/>
    <s v="Drink"/>
    <n v="2"/>
    <n v="3.8"/>
    <s v="Card"/>
    <s v="C1200"/>
    <n v="7.6"/>
    <s v="Thursday"/>
    <s v="March"/>
    <n v="2025"/>
  </r>
  <r>
    <x v="1022"/>
    <d v="2025-03-13T00:00:00"/>
    <s v="Station"/>
    <s v="Manchester"/>
    <s v="Cappuccino"/>
    <s v="Drink"/>
    <n v="2"/>
    <n v="3.8"/>
    <s v="Cash"/>
    <s v="C1873"/>
    <n v="7.6"/>
    <s v="Thursday"/>
    <s v="March"/>
    <n v="2025"/>
  </r>
  <r>
    <x v="1023"/>
    <d v="2025-03-13T00:00:00"/>
    <s v="Riverside"/>
    <s v="London"/>
    <s v="Croissant"/>
    <s v="Food"/>
    <n v="2"/>
    <n v="2.8"/>
    <s v="Apple Pay"/>
    <s v="C1319"/>
    <n v="5.6"/>
    <s v="Thursday"/>
    <s v="March"/>
    <n v="2025"/>
  </r>
  <r>
    <x v="1024"/>
    <d v="2025-03-13T00:00:00"/>
    <s v="High Street"/>
    <s v="London"/>
    <s v="Espresso"/>
    <s v="Drink"/>
    <n v="2"/>
    <n v="2.5"/>
    <s v="Card"/>
    <s v="C1842"/>
    <n v="5"/>
    <s v="Thursday"/>
    <s v="March"/>
    <n v="2025"/>
  </r>
  <r>
    <x v="1025"/>
    <d v="2025-03-14T00:00:00"/>
    <s v="Station"/>
    <s v="Bristol"/>
    <s v="Cappuccino"/>
    <s v="Drink"/>
    <n v="5"/>
    <n v="3.8"/>
    <s v="Apple Pay"/>
    <s v="C1594"/>
    <n v="19"/>
    <s v="Friday"/>
    <s v="March"/>
    <n v="2025"/>
  </r>
  <r>
    <x v="1026"/>
    <d v="2025-03-14T00:00:00"/>
    <s v="Central"/>
    <s v="Bristol"/>
    <s v="Cappuccino"/>
    <s v="Drink"/>
    <n v="5"/>
    <n v="3.8"/>
    <s v="Card"/>
    <s v="C1667"/>
    <n v="19"/>
    <s v="Friday"/>
    <s v="March"/>
    <n v="2025"/>
  </r>
  <r>
    <x v="1027"/>
    <d v="2025-03-14T00:00:00"/>
    <s v="High Street"/>
    <s v="Manchester"/>
    <s v="Cappuccino"/>
    <s v="Drink"/>
    <n v="4"/>
    <n v="3.8"/>
    <s v="Cash"/>
    <s v="C1236"/>
    <n v="15.2"/>
    <s v="Friday"/>
    <s v="March"/>
    <n v="2025"/>
  </r>
  <r>
    <x v="1028"/>
    <d v="2025-03-14T00:00:00"/>
    <s v="Station"/>
    <s v="Leeds"/>
    <s v="Cappuccino"/>
    <s v="Drink"/>
    <n v="3"/>
    <n v="3.8"/>
    <s v="Card"/>
    <s v="C1935"/>
    <n v="11.399999999999999"/>
    <s v="Friday"/>
    <s v="March"/>
    <n v="2025"/>
  </r>
  <r>
    <x v="1029"/>
    <d v="2025-03-14T00:00:00"/>
    <s v="High Street"/>
    <s v="London"/>
    <s v="Cappuccino"/>
    <s v="Drink"/>
    <n v="3"/>
    <n v="3.8"/>
    <s v="Card"/>
    <s v="C1243"/>
    <n v="11.399999999999999"/>
    <s v="Friday"/>
    <s v="March"/>
    <n v="2025"/>
  </r>
  <r>
    <x v="1030"/>
    <d v="2025-03-14T00:00:00"/>
    <s v="Riverside"/>
    <s v="Manchester"/>
    <s v="Croissant"/>
    <s v="Food"/>
    <n v="4"/>
    <n v="2.8"/>
    <s v="Card"/>
    <s v="C1863"/>
    <n v="11.2"/>
    <s v="Friday"/>
    <s v="March"/>
    <n v="2025"/>
  </r>
  <r>
    <x v="1031"/>
    <d v="2025-03-14T00:00:00"/>
    <s v="Riverside"/>
    <s v="Manchester"/>
    <s v="Croissant"/>
    <s v="Food"/>
    <n v="4"/>
    <n v="2.8"/>
    <s v="Cash"/>
    <s v="C1633"/>
    <n v="11.2"/>
    <s v="Friday"/>
    <s v="March"/>
    <n v="2025"/>
  </r>
  <r>
    <x v="1032"/>
    <d v="2025-03-14T00:00:00"/>
    <s v="Riverside"/>
    <s v="Bristol"/>
    <s v="Muffin"/>
    <s v="Food"/>
    <n v="5"/>
    <n v="2.2000000000000002"/>
    <s v="Cash"/>
    <s v="C1131"/>
    <n v="11"/>
    <s v="Friday"/>
    <s v="March"/>
    <n v="2025"/>
  </r>
  <r>
    <x v="1033"/>
    <d v="2025-03-14T00:00:00"/>
    <s v="High Street"/>
    <s v="Birmingham"/>
    <s v="Espresso"/>
    <s v="Drink"/>
    <n v="4"/>
    <n v="2.5"/>
    <s v="Apple Pay"/>
    <s v="C1106"/>
    <n v="10"/>
    <s v="Friday"/>
    <s v="March"/>
    <n v="2025"/>
  </r>
  <r>
    <x v="1034"/>
    <d v="2025-03-14T00:00:00"/>
    <s v="High Street"/>
    <s v="Bristol"/>
    <s v="Muffin"/>
    <s v="Food"/>
    <n v="4"/>
    <n v="2.2000000000000002"/>
    <s v="Card"/>
    <s v="C1761"/>
    <n v="8.8000000000000007"/>
    <s v="Friday"/>
    <s v="March"/>
    <n v="2025"/>
  </r>
  <r>
    <x v="1035"/>
    <d v="2025-03-14T00:00:00"/>
    <s v="Central"/>
    <s v="Birmingham"/>
    <s v="Muffin"/>
    <s v="Food"/>
    <n v="4"/>
    <n v="2.2000000000000002"/>
    <s v="Apple Pay"/>
    <s v="C1788"/>
    <n v="8.8000000000000007"/>
    <s v="Friday"/>
    <s v="March"/>
    <n v="2025"/>
  </r>
  <r>
    <x v="1036"/>
    <d v="2025-03-14T00:00:00"/>
    <s v="Central"/>
    <s v="Bristol"/>
    <s v="Croissant"/>
    <s v="Food"/>
    <n v="3"/>
    <n v="2.8"/>
    <s v="Apple Pay"/>
    <s v="C1034"/>
    <n v="8.3999999999999986"/>
    <s v="Friday"/>
    <s v="March"/>
    <n v="2025"/>
  </r>
  <r>
    <x v="1037"/>
    <d v="2025-03-14T00:00:00"/>
    <s v="Riverside"/>
    <s v="Bristol"/>
    <s v="Cappuccino"/>
    <s v="Drink"/>
    <n v="2"/>
    <n v="3.8"/>
    <s v="Card"/>
    <s v="C1827"/>
    <n v="7.6"/>
    <s v="Friday"/>
    <s v="March"/>
    <n v="2025"/>
  </r>
  <r>
    <x v="1038"/>
    <d v="2025-03-14T00:00:00"/>
    <s v="High Street"/>
    <s v="Manchester"/>
    <s v="Cappuccino"/>
    <s v="Drink"/>
    <n v="2"/>
    <n v="3.8"/>
    <s v="Card"/>
    <s v="C1748"/>
    <n v="7.6"/>
    <s v="Friday"/>
    <s v="March"/>
    <n v="2025"/>
  </r>
  <r>
    <x v="1039"/>
    <d v="2025-03-14T00:00:00"/>
    <s v="High Street"/>
    <s v="Leeds"/>
    <s v="Cappuccino"/>
    <s v="Drink"/>
    <n v="2"/>
    <n v="3.8"/>
    <s v="Apple Pay"/>
    <s v="C1710"/>
    <n v="7.6"/>
    <s v="Friday"/>
    <s v="March"/>
    <n v="2025"/>
  </r>
  <r>
    <x v="1040"/>
    <d v="2025-03-14T00:00:00"/>
    <s v="Central"/>
    <s v="Bristol"/>
    <s v="Latte"/>
    <s v="Drink"/>
    <n v="2"/>
    <n v="3.5"/>
    <s v="Cash"/>
    <s v="C1719"/>
    <n v="7"/>
    <s v="Friday"/>
    <s v="March"/>
    <n v="2025"/>
  </r>
  <r>
    <x v="1041"/>
    <d v="2025-03-14T00:00:00"/>
    <s v="High Street"/>
    <s v="Manchester"/>
    <s v="Muffin"/>
    <s v="Food"/>
    <n v="2"/>
    <n v="2.2000000000000002"/>
    <s v="Apple Pay"/>
    <s v="C1441"/>
    <n v="4.4000000000000004"/>
    <s v="Friday"/>
    <s v="March"/>
    <n v="2025"/>
  </r>
  <r>
    <x v="1042"/>
    <d v="2025-03-14T00:00:00"/>
    <s v="High Street"/>
    <s v="London"/>
    <s v="Cappuccino"/>
    <s v="Drink"/>
    <n v="1"/>
    <n v="3.8"/>
    <s v="Card"/>
    <s v="C1121"/>
    <n v="3.8"/>
    <s v="Friday"/>
    <s v="March"/>
    <n v="2025"/>
  </r>
  <r>
    <x v="1043"/>
    <d v="2025-03-14T00:00:00"/>
    <s v="Station"/>
    <s v="Bristol"/>
    <s v="Espresso"/>
    <s v="Drink"/>
    <n v="1"/>
    <n v="2.5"/>
    <s v="Cash"/>
    <s v="C1733"/>
    <n v="2.5"/>
    <s v="Friday"/>
    <s v="March"/>
    <n v="2025"/>
  </r>
  <r>
    <x v="1044"/>
    <d v="2025-03-15T00:00:00"/>
    <s v="Station"/>
    <s v="Leeds"/>
    <s v="Cappuccino"/>
    <s v="Drink"/>
    <n v="5"/>
    <n v="3.8"/>
    <s v="Cash"/>
    <s v="C1380"/>
    <n v="19"/>
    <s v="Saturday"/>
    <s v="March"/>
    <n v="2025"/>
  </r>
  <r>
    <x v="1045"/>
    <d v="2025-03-15T00:00:00"/>
    <s v="Central"/>
    <s v="Manchester"/>
    <s v="Cappuccino"/>
    <s v="Drink"/>
    <n v="4"/>
    <n v="3.8"/>
    <s v="Card"/>
    <s v="C1322"/>
    <n v="15.2"/>
    <s v="Saturday"/>
    <s v="March"/>
    <n v="2025"/>
  </r>
  <r>
    <x v="1046"/>
    <d v="2025-03-15T00:00:00"/>
    <s v="Station"/>
    <s v="London"/>
    <s v="Croissant"/>
    <s v="Food"/>
    <n v="4"/>
    <n v="2.8"/>
    <s v="Cash"/>
    <s v="C1702"/>
    <n v="11.2"/>
    <s v="Saturday"/>
    <s v="March"/>
    <n v="2025"/>
  </r>
  <r>
    <x v="1047"/>
    <d v="2025-03-15T00:00:00"/>
    <s v="Riverside"/>
    <s v="London"/>
    <s v="Muffin"/>
    <s v="Food"/>
    <n v="4"/>
    <n v="2.2000000000000002"/>
    <s v="Apple Pay"/>
    <s v="C1226"/>
    <n v="8.8000000000000007"/>
    <s v="Saturday"/>
    <s v="March"/>
    <n v="2025"/>
  </r>
  <r>
    <x v="1048"/>
    <d v="2025-03-15T00:00:00"/>
    <s v="Station"/>
    <s v="Birmingham"/>
    <s v="Muffin"/>
    <s v="Food"/>
    <n v="4"/>
    <n v="2.2000000000000002"/>
    <s v="Cash"/>
    <s v="C1089"/>
    <n v="8.8000000000000007"/>
    <s v="Saturday"/>
    <s v="March"/>
    <n v="2025"/>
  </r>
  <r>
    <x v="1049"/>
    <d v="2025-03-15T00:00:00"/>
    <s v="Central"/>
    <s v="Leeds"/>
    <s v="Cappuccino"/>
    <s v="Drink"/>
    <n v="2"/>
    <n v="3.8"/>
    <s v="Apple Pay"/>
    <s v="C1774"/>
    <n v="7.6"/>
    <s v="Saturday"/>
    <s v="March"/>
    <n v="2025"/>
  </r>
  <r>
    <x v="1050"/>
    <d v="2025-03-15T00:00:00"/>
    <s v="High Street"/>
    <s v="London"/>
    <s v="Croissant"/>
    <s v="Food"/>
    <n v="2"/>
    <n v="2.8"/>
    <s v="Cash"/>
    <s v="C1908"/>
    <n v="5.6"/>
    <s v="Saturday"/>
    <s v="March"/>
    <n v="2025"/>
  </r>
  <r>
    <x v="1051"/>
    <d v="2025-03-15T00:00:00"/>
    <s v="Central"/>
    <s v="Bristol"/>
    <s v="Espresso"/>
    <s v="Drink"/>
    <n v="2"/>
    <n v="2.5"/>
    <s v="Apple Pay"/>
    <s v="C1015"/>
    <n v="5"/>
    <s v="Saturday"/>
    <s v="March"/>
    <n v="2025"/>
  </r>
  <r>
    <x v="1052"/>
    <d v="2025-03-15T00:00:00"/>
    <s v="Central"/>
    <s v="London"/>
    <s v="Croissant"/>
    <s v="Food"/>
    <n v="1"/>
    <n v="2.8"/>
    <s v="Apple Pay"/>
    <s v="C1770"/>
    <n v="2.8"/>
    <s v="Saturday"/>
    <s v="March"/>
    <n v="2025"/>
  </r>
  <r>
    <x v="1053"/>
    <d v="2025-03-15T00:00:00"/>
    <s v="Station"/>
    <s v="Manchester"/>
    <s v="Espresso"/>
    <s v="Drink"/>
    <n v="1"/>
    <n v="2.5"/>
    <s v="Cash"/>
    <s v="C1692"/>
    <n v="2.5"/>
    <s v="Saturday"/>
    <s v="March"/>
    <n v="2025"/>
  </r>
  <r>
    <x v="1054"/>
    <d v="2025-03-16T00:00:00"/>
    <s v="Riverside"/>
    <s v="Leeds"/>
    <s v="Latte"/>
    <s v="Drink"/>
    <n v="4"/>
    <n v="3.5"/>
    <s v="Card"/>
    <s v="C1741"/>
    <n v="14"/>
    <s v="Sunday"/>
    <s v="March"/>
    <n v="2025"/>
  </r>
  <r>
    <x v="1055"/>
    <d v="2025-03-16T00:00:00"/>
    <s v="Station"/>
    <s v="Bristol"/>
    <s v="Latte"/>
    <s v="Drink"/>
    <n v="3"/>
    <n v="3.5"/>
    <s v="Card"/>
    <s v="C1526"/>
    <n v="10.5"/>
    <s v="Sunday"/>
    <s v="March"/>
    <n v="2025"/>
  </r>
  <r>
    <x v="1056"/>
    <d v="2025-03-16T00:00:00"/>
    <s v="Station"/>
    <s v="Bristol"/>
    <s v="Latte"/>
    <s v="Drink"/>
    <n v="3"/>
    <n v="3.5"/>
    <s v="Apple Pay"/>
    <s v="C1839"/>
    <n v="10.5"/>
    <s v="Sunday"/>
    <s v="March"/>
    <n v="2025"/>
  </r>
  <r>
    <x v="1057"/>
    <d v="2025-03-16T00:00:00"/>
    <s v="Riverside"/>
    <s v="Manchester"/>
    <s v="Croissant"/>
    <s v="Food"/>
    <n v="3"/>
    <n v="2.8"/>
    <s v="Card"/>
    <s v="C1400"/>
    <n v="8.3999999999999986"/>
    <s v="Sunday"/>
    <s v="March"/>
    <n v="2025"/>
  </r>
  <r>
    <x v="1058"/>
    <d v="2025-03-16T00:00:00"/>
    <s v="High Street"/>
    <s v="London"/>
    <s v="Croissant"/>
    <s v="Food"/>
    <n v="2"/>
    <n v="2.8"/>
    <s v="Apple Pay"/>
    <s v="C1323"/>
    <n v="5.6"/>
    <s v="Sunday"/>
    <s v="March"/>
    <n v="2025"/>
  </r>
  <r>
    <x v="1059"/>
    <d v="2025-03-16T00:00:00"/>
    <s v="Station"/>
    <s v="London"/>
    <s v="Croissant"/>
    <s v="Food"/>
    <n v="2"/>
    <n v="2.8"/>
    <s v="Cash"/>
    <s v="C1484"/>
    <n v="5.6"/>
    <s v="Sunday"/>
    <s v="March"/>
    <n v="2025"/>
  </r>
  <r>
    <x v="1060"/>
    <d v="2025-03-16T00:00:00"/>
    <s v="High Street"/>
    <s v="Bristol"/>
    <s v="Espresso"/>
    <s v="Drink"/>
    <n v="2"/>
    <n v="2.5"/>
    <s v="Apple Pay"/>
    <s v="C1221"/>
    <n v="5"/>
    <s v="Sunday"/>
    <s v="March"/>
    <n v="2025"/>
  </r>
  <r>
    <x v="1061"/>
    <d v="2025-03-16T00:00:00"/>
    <s v="Station"/>
    <s v="Manchester"/>
    <s v="Croissant"/>
    <s v="Food"/>
    <n v="1"/>
    <n v="2.8"/>
    <s v="Apple Pay"/>
    <s v="C1048"/>
    <n v="2.8"/>
    <s v="Sunday"/>
    <s v="March"/>
    <n v="2025"/>
  </r>
  <r>
    <x v="1062"/>
    <d v="2025-03-17T00:00:00"/>
    <s v="High Street"/>
    <s v="Birmingham"/>
    <s v="Croissant"/>
    <s v="Food"/>
    <n v="5"/>
    <n v="2.8"/>
    <s v="Cash"/>
    <s v="C1303"/>
    <n v="14"/>
    <s v="Monday"/>
    <s v="March"/>
    <n v="2025"/>
  </r>
  <r>
    <x v="1063"/>
    <d v="2025-03-17T00:00:00"/>
    <s v="High Street"/>
    <s v="London"/>
    <s v="Espresso"/>
    <s v="Drink"/>
    <n v="5"/>
    <n v="2.5"/>
    <s v="Apple Pay"/>
    <s v="C1520"/>
    <n v="12.5"/>
    <s v="Monday"/>
    <s v="March"/>
    <n v="2025"/>
  </r>
  <r>
    <x v="1064"/>
    <d v="2025-03-17T00:00:00"/>
    <s v="Station"/>
    <s v="London"/>
    <s v="Muffin"/>
    <s v="Food"/>
    <n v="5"/>
    <n v="2.2000000000000002"/>
    <s v="Apple Pay"/>
    <s v="C1478"/>
    <n v="11"/>
    <s v="Monday"/>
    <s v="March"/>
    <n v="2025"/>
  </r>
  <r>
    <x v="1065"/>
    <d v="2025-03-17T00:00:00"/>
    <s v="Station"/>
    <s v="London"/>
    <s v="Muffin"/>
    <s v="Food"/>
    <n v="5"/>
    <n v="2.2000000000000002"/>
    <s v="Cash"/>
    <s v="C1314"/>
    <n v="11"/>
    <s v="Monday"/>
    <s v="March"/>
    <n v="2025"/>
  </r>
  <r>
    <x v="1066"/>
    <d v="2025-03-17T00:00:00"/>
    <s v="Riverside"/>
    <s v="Leeds"/>
    <s v="Espresso"/>
    <s v="Drink"/>
    <n v="3"/>
    <n v="2.5"/>
    <s v="Cash"/>
    <s v="C1215"/>
    <n v="7.5"/>
    <s v="Monday"/>
    <s v="March"/>
    <n v="2025"/>
  </r>
  <r>
    <x v="1067"/>
    <d v="2025-03-17T00:00:00"/>
    <s v="High Street"/>
    <s v="Manchester"/>
    <s v="Latte"/>
    <s v="Drink"/>
    <n v="2"/>
    <n v="3.5"/>
    <s v="Cash"/>
    <s v="C1030"/>
    <n v="7"/>
    <s v="Monday"/>
    <s v="March"/>
    <n v="2025"/>
  </r>
  <r>
    <x v="1068"/>
    <d v="2025-03-17T00:00:00"/>
    <s v="High Street"/>
    <s v="London"/>
    <s v="Muffin"/>
    <s v="Food"/>
    <n v="2"/>
    <n v="2.2000000000000002"/>
    <s v="Cash"/>
    <s v="C1245"/>
    <n v="4.4000000000000004"/>
    <s v="Monday"/>
    <s v="March"/>
    <n v="2025"/>
  </r>
  <r>
    <x v="1069"/>
    <d v="2025-03-17T00:00:00"/>
    <s v="Station"/>
    <s v="Bristol"/>
    <s v="Latte"/>
    <s v="Drink"/>
    <n v="1"/>
    <n v="3.5"/>
    <s v="Apple Pay"/>
    <s v="C1662"/>
    <n v="3.5"/>
    <s v="Monday"/>
    <s v="March"/>
    <n v="2025"/>
  </r>
  <r>
    <x v="1070"/>
    <d v="2025-03-17T00:00:00"/>
    <s v="Riverside"/>
    <s v="Manchester"/>
    <s v="Croissant"/>
    <s v="Food"/>
    <n v="1"/>
    <n v="2.8"/>
    <s v="Apple Pay"/>
    <s v="C1828"/>
    <n v="2.8"/>
    <s v="Monday"/>
    <s v="March"/>
    <n v="2025"/>
  </r>
  <r>
    <x v="1071"/>
    <d v="2025-03-17T00:00:00"/>
    <s v="Central"/>
    <s v="London"/>
    <s v="Muffin"/>
    <s v="Food"/>
    <n v="1"/>
    <n v="2.2000000000000002"/>
    <s v="Cash"/>
    <s v="C1458"/>
    <n v="2.2000000000000002"/>
    <s v="Monday"/>
    <s v="March"/>
    <n v="2025"/>
  </r>
  <r>
    <x v="1072"/>
    <d v="2025-03-17T00:00:00"/>
    <s v="High Street"/>
    <s v="Birmingham"/>
    <s v="Muffin"/>
    <s v="Food"/>
    <n v="1"/>
    <n v="2.2000000000000002"/>
    <s v="Cash"/>
    <s v="C1591"/>
    <n v="2.2000000000000002"/>
    <s v="Monday"/>
    <s v="March"/>
    <n v="2025"/>
  </r>
  <r>
    <x v="1073"/>
    <d v="2025-03-18T00:00:00"/>
    <s v="High Street"/>
    <s v="Leeds"/>
    <s v="Cappuccino"/>
    <s v="Drink"/>
    <n v="5"/>
    <n v="3.8"/>
    <s v="Apple Pay"/>
    <s v="C1821"/>
    <n v="19"/>
    <s v="Tuesday"/>
    <s v="March"/>
    <n v="2025"/>
  </r>
  <r>
    <x v="1074"/>
    <d v="2025-03-18T00:00:00"/>
    <s v="High Street"/>
    <s v="Leeds"/>
    <s v="Cappuccino"/>
    <s v="Drink"/>
    <n v="5"/>
    <n v="3.8"/>
    <s v="Card"/>
    <s v="C1857"/>
    <n v="19"/>
    <s v="Tuesday"/>
    <s v="March"/>
    <n v="2025"/>
  </r>
  <r>
    <x v="1075"/>
    <d v="2025-03-18T00:00:00"/>
    <s v="High Street"/>
    <s v="Bristol"/>
    <s v="Cappuccino"/>
    <s v="Drink"/>
    <n v="4"/>
    <n v="3.8"/>
    <s v="Apple Pay"/>
    <s v="C1237"/>
    <n v="15.2"/>
    <s v="Tuesday"/>
    <s v="March"/>
    <n v="2025"/>
  </r>
  <r>
    <x v="1076"/>
    <d v="2025-03-18T00:00:00"/>
    <s v="Station"/>
    <s v="Bristol"/>
    <s v="Cappuccino"/>
    <s v="Drink"/>
    <n v="4"/>
    <n v="3.8"/>
    <s v="Apple Pay"/>
    <s v="C1428"/>
    <n v="15.2"/>
    <s v="Tuesday"/>
    <s v="March"/>
    <n v="2025"/>
  </r>
  <r>
    <x v="1077"/>
    <d v="2025-03-18T00:00:00"/>
    <s v="Central"/>
    <s v="Birmingham"/>
    <s v="Espresso"/>
    <s v="Drink"/>
    <n v="4"/>
    <n v="2.5"/>
    <s v="Apple Pay"/>
    <s v="C1045"/>
    <n v="10"/>
    <s v="Tuesday"/>
    <s v="March"/>
    <n v="2025"/>
  </r>
  <r>
    <x v="1078"/>
    <d v="2025-03-18T00:00:00"/>
    <s v="Riverside"/>
    <s v="Birmingham"/>
    <s v="Espresso"/>
    <s v="Drink"/>
    <n v="4"/>
    <n v="2.5"/>
    <s v="Cash"/>
    <s v="C1275"/>
    <n v="10"/>
    <s v="Tuesday"/>
    <s v="March"/>
    <n v="2025"/>
  </r>
  <r>
    <x v="1079"/>
    <d v="2025-03-18T00:00:00"/>
    <s v="High Street"/>
    <s v="Manchester"/>
    <s v="Muffin"/>
    <s v="Food"/>
    <n v="4"/>
    <n v="2.2000000000000002"/>
    <s v="Cash"/>
    <s v="C1545"/>
    <n v="8.8000000000000007"/>
    <s v="Tuesday"/>
    <s v="March"/>
    <n v="2025"/>
  </r>
  <r>
    <x v="1080"/>
    <d v="2025-03-18T00:00:00"/>
    <s v="Central"/>
    <s v="Bristol"/>
    <s v="Croissant"/>
    <s v="Food"/>
    <n v="3"/>
    <n v="2.8"/>
    <s v="Card"/>
    <s v="C1195"/>
    <n v="8.3999999999999986"/>
    <s v="Tuesday"/>
    <s v="March"/>
    <n v="2025"/>
  </r>
  <r>
    <x v="1081"/>
    <d v="2025-03-18T00:00:00"/>
    <s v="Central"/>
    <s v="Bristol"/>
    <s v="Cappuccino"/>
    <s v="Drink"/>
    <n v="2"/>
    <n v="3.8"/>
    <s v="Apple Pay"/>
    <s v="C1232"/>
    <n v="7.6"/>
    <s v="Tuesday"/>
    <s v="March"/>
    <n v="2025"/>
  </r>
  <r>
    <x v="1082"/>
    <d v="2025-03-18T00:00:00"/>
    <s v="Central"/>
    <s v="Bristol"/>
    <s v="Muffin"/>
    <s v="Food"/>
    <n v="3"/>
    <n v="2.2000000000000002"/>
    <s v="Card"/>
    <s v="C1507"/>
    <n v="6.6000000000000005"/>
    <s v="Tuesday"/>
    <s v="March"/>
    <n v="2025"/>
  </r>
  <r>
    <x v="1083"/>
    <d v="2025-03-18T00:00:00"/>
    <s v="High Street"/>
    <s v="Bristol"/>
    <s v="Muffin"/>
    <s v="Food"/>
    <n v="3"/>
    <n v="2.2000000000000002"/>
    <s v="Cash"/>
    <s v="C1721"/>
    <n v="6.6000000000000005"/>
    <s v="Tuesday"/>
    <s v="March"/>
    <n v="2025"/>
  </r>
  <r>
    <x v="1084"/>
    <d v="2025-03-18T00:00:00"/>
    <s v="Riverside"/>
    <s v="Birmingham"/>
    <s v="Croissant"/>
    <s v="Food"/>
    <n v="2"/>
    <n v="2.8"/>
    <s v="Cash"/>
    <s v="C1679"/>
    <n v="5.6"/>
    <s v="Tuesday"/>
    <s v="March"/>
    <n v="2025"/>
  </r>
  <r>
    <x v="1085"/>
    <d v="2025-03-18T00:00:00"/>
    <s v="High Street"/>
    <s v="Manchester"/>
    <s v="Croissant"/>
    <s v="Food"/>
    <n v="2"/>
    <n v="2.8"/>
    <s v="Apple Pay"/>
    <s v="C1070"/>
    <n v="5.6"/>
    <s v="Tuesday"/>
    <s v="March"/>
    <n v="2025"/>
  </r>
  <r>
    <x v="1086"/>
    <d v="2025-03-18T00:00:00"/>
    <s v="High Street"/>
    <s v="Bristol"/>
    <s v="Espresso"/>
    <s v="Drink"/>
    <n v="2"/>
    <n v="2.5"/>
    <s v="Card"/>
    <s v="C1629"/>
    <n v="5"/>
    <s v="Tuesday"/>
    <s v="March"/>
    <n v="2025"/>
  </r>
  <r>
    <x v="1087"/>
    <d v="2025-03-18T00:00:00"/>
    <s v="Riverside"/>
    <s v="Manchester"/>
    <s v="Cappuccino"/>
    <s v="Drink"/>
    <n v="1"/>
    <n v="3.8"/>
    <s v="Apple Pay"/>
    <s v="C1192"/>
    <n v="3.8"/>
    <s v="Tuesday"/>
    <s v="March"/>
    <n v="2025"/>
  </r>
  <r>
    <x v="1088"/>
    <d v="2025-03-18T00:00:00"/>
    <s v="Central"/>
    <s v="London"/>
    <s v="Croissant"/>
    <s v="Food"/>
    <n v="1"/>
    <n v="2.8"/>
    <s v="Card"/>
    <s v="C1128"/>
    <n v="2.8"/>
    <s v="Tuesday"/>
    <s v="March"/>
    <n v="2025"/>
  </r>
  <r>
    <x v="1089"/>
    <d v="2025-03-18T00:00:00"/>
    <s v="Central"/>
    <s v="London"/>
    <s v="Espresso"/>
    <s v="Drink"/>
    <n v="1"/>
    <n v="2.5"/>
    <s v="Apple Pay"/>
    <s v="C1018"/>
    <n v="2.5"/>
    <s v="Tuesday"/>
    <s v="March"/>
    <n v="2025"/>
  </r>
  <r>
    <x v="1090"/>
    <d v="2025-03-18T00:00:00"/>
    <s v="Central"/>
    <s v="Manchester"/>
    <s v="Espresso"/>
    <s v="Drink"/>
    <n v="1"/>
    <n v="2.5"/>
    <s v="Cash"/>
    <s v="C1265"/>
    <n v="2.5"/>
    <s v="Tuesday"/>
    <s v="March"/>
    <n v="2025"/>
  </r>
  <r>
    <x v="1091"/>
    <d v="2025-03-19T00:00:00"/>
    <s v="High Street"/>
    <s v="Bristol"/>
    <s v="Cappuccino"/>
    <s v="Drink"/>
    <n v="5"/>
    <n v="3.8"/>
    <s v="Card"/>
    <s v="C1665"/>
    <n v="19"/>
    <s v="Wednesday"/>
    <s v="March"/>
    <n v="2025"/>
  </r>
  <r>
    <x v="1092"/>
    <d v="2025-03-19T00:00:00"/>
    <s v="High Street"/>
    <s v="Birmingham"/>
    <s v="Cappuccino"/>
    <s v="Drink"/>
    <n v="4"/>
    <n v="3.8"/>
    <s v="Card"/>
    <s v="C1008"/>
    <n v="15.2"/>
    <s v="Wednesday"/>
    <s v="March"/>
    <n v="2025"/>
  </r>
  <r>
    <x v="1093"/>
    <d v="2025-03-19T00:00:00"/>
    <s v="Central"/>
    <s v="Bristol"/>
    <s v="Cappuccino"/>
    <s v="Drink"/>
    <n v="4"/>
    <n v="3.8"/>
    <s v="Apple Pay"/>
    <s v="C1470"/>
    <n v="15.2"/>
    <s v="Wednesday"/>
    <s v="March"/>
    <n v="2025"/>
  </r>
  <r>
    <x v="1094"/>
    <d v="2025-03-19T00:00:00"/>
    <s v="High Street"/>
    <s v="Manchester"/>
    <s v="Cappuccino"/>
    <s v="Drink"/>
    <n v="4"/>
    <n v="3.8"/>
    <s v="Card"/>
    <s v="C1080"/>
    <n v="15.2"/>
    <s v="Wednesday"/>
    <s v="March"/>
    <n v="2025"/>
  </r>
  <r>
    <x v="1095"/>
    <d v="2025-03-19T00:00:00"/>
    <s v="High Street"/>
    <s v="Manchester"/>
    <s v="Cappuccino"/>
    <s v="Drink"/>
    <n v="4"/>
    <n v="3.8"/>
    <s v="Apple Pay"/>
    <s v="C1252"/>
    <n v="15.2"/>
    <s v="Wednesday"/>
    <s v="March"/>
    <n v="2025"/>
  </r>
  <r>
    <x v="1096"/>
    <d v="2025-03-19T00:00:00"/>
    <s v="Riverside"/>
    <s v="Bristol"/>
    <s v="Latte"/>
    <s v="Drink"/>
    <n v="4"/>
    <n v="3.5"/>
    <s v="Apple Pay"/>
    <s v="C1934"/>
    <n v="14"/>
    <s v="Wednesday"/>
    <s v="March"/>
    <n v="2025"/>
  </r>
  <r>
    <x v="1097"/>
    <d v="2025-03-19T00:00:00"/>
    <s v="Riverside"/>
    <s v="Birmingham"/>
    <s v="Latte"/>
    <s v="Drink"/>
    <n v="4"/>
    <n v="3.5"/>
    <s v="Cash"/>
    <s v="C1189"/>
    <n v="14"/>
    <s v="Wednesday"/>
    <s v="March"/>
    <n v="2025"/>
  </r>
  <r>
    <x v="1098"/>
    <d v="2025-03-19T00:00:00"/>
    <s v="Riverside"/>
    <s v="Leeds"/>
    <s v="Croissant"/>
    <s v="Food"/>
    <n v="5"/>
    <n v="2.8"/>
    <s v="Card"/>
    <s v="C1921"/>
    <n v="14"/>
    <s v="Wednesday"/>
    <s v="March"/>
    <n v="2025"/>
  </r>
  <r>
    <x v="1099"/>
    <d v="2025-03-19T00:00:00"/>
    <s v="Riverside"/>
    <s v="Leeds"/>
    <s v="Espresso"/>
    <s v="Drink"/>
    <n v="4"/>
    <n v="2.5"/>
    <s v="Apple Pay"/>
    <s v="C1532"/>
    <n v="10"/>
    <s v="Wednesday"/>
    <s v="March"/>
    <n v="2025"/>
  </r>
  <r>
    <x v="1100"/>
    <d v="2025-03-19T00:00:00"/>
    <s v="High Street"/>
    <s v="Manchester"/>
    <s v="Espresso"/>
    <s v="Drink"/>
    <n v="4"/>
    <n v="2.5"/>
    <s v="Cash"/>
    <s v="C1593"/>
    <n v="10"/>
    <s v="Wednesday"/>
    <s v="March"/>
    <n v="2025"/>
  </r>
  <r>
    <x v="1101"/>
    <d v="2025-03-19T00:00:00"/>
    <s v="Central"/>
    <s v="Birmingham"/>
    <s v="Espresso"/>
    <s v="Drink"/>
    <n v="4"/>
    <n v="2.5"/>
    <s v="Cash"/>
    <s v="C1439"/>
    <n v="10"/>
    <s v="Wednesday"/>
    <s v="March"/>
    <n v="2025"/>
  </r>
  <r>
    <x v="1102"/>
    <d v="2025-03-19T00:00:00"/>
    <s v="Station"/>
    <s v="Manchester"/>
    <s v="Espresso"/>
    <s v="Drink"/>
    <n v="3"/>
    <n v="2.5"/>
    <s v="Card"/>
    <s v="C1319"/>
    <n v="7.5"/>
    <s v="Wednesday"/>
    <s v="March"/>
    <n v="2025"/>
  </r>
  <r>
    <x v="1103"/>
    <d v="2025-03-19T00:00:00"/>
    <s v="Station"/>
    <s v="Bristol"/>
    <s v="Espresso"/>
    <s v="Drink"/>
    <n v="3"/>
    <n v="2.5"/>
    <s v="Apple Pay"/>
    <s v="C1673"/>
    <n v="7.5"/>
    <s v="Wednesday"/>
    <s v="March"/>
    <n v="2025"/>
  </r>
  <r>
    <x v="1104"/>
    <d v="2025-03-19T00:00:00"/>
    <s v="Station"/>
    <s v="N/A"/>
    <s v="Cappuccino"/>
    <s v="Drink"/>
    <n v="1"/>
    <n v="3.8"/>
    <s v="Apple Pay"/>
    <s v="C1735"/>
    <n v="3.8"/>
    <s v="Wednesday"/>
    <s v="March"/>
    <n v="2025"/>
  </r>
  <r>
    <x v="1105"/>
    <d v="2025-03-19T00:00:00"/>
    <s v="Central"/>
    <s v="Leeds"/>
    <s v="Cappuccino"/>
    <s v="Drink"/>
    <n v="1"/>
    <n v="3.8"/>
    <s v="Apple Pay"/>
    <s v="C1844"/>
    <n v="3.8"/>
    <s v="Wednesday"/>
    <s v="March"/>
    <n v="2025"/>
  </r>
  <r>
    <x v="1106"/>
    <d v="2025-03-19T00:00:00"/>
    <s v="Central"/>
    <s v="Birmingham"/>
    <s v="Cappuccino"/>
    <s v="Drink"/>
    <n v="1"/>
    <n v="3.8"/>
    <s v="Card"/>
    <s v="C1677"/>
    <n v="3.8"/>
    <s v="Wednesday"/>
    <s v="March"/>
    <n v="2025"/>
  </r>
  <r>
    <x v="1107"/>
    <d v="2025-03-19T00:00:00"/>
    <s v="Riverside"/>
    <s v="Manchester"/>
    <s v="Muffin"/>
    <s v="Food"/>
    <n v="1"/>
    <n v="2.2000000000000002"/>
    <s v="Card"/>
    <s v="C1021"/>
    <n v="2.2000000000000002"/>
    <s v="Wednesday"/>
    <s v="March"/>
    <n v="2025"/>
  </r>
  <r>
    <x v="1108"/>
    <d v="2025-03-20T00:00:00"/>
    <s v="Station"/>
    <s v="Leeds"/>
    <s v="Latte"/>
    <s v="Drink"/>
    <n v="5"/>
    <n v="3.5"/>
    <s v="Apple Pay"/>
    <s v="C1012"/>
    <n v="17.5"/>
    <s v="Thursday"/>
    <s v="March"/>
    <n v="2025"/>
  </r>
  <r>
    <x v="1109"/>
    <d v="2025-03-20T00:00:00"/>
    <s v="Station"/>
    <s v="Bristol"/>
    <s v="Latte"/>
    <s v="Drink"/>
    <n v="5"/>
    <n v="3.5"/>
    <s v="Apple Pay"/>
    <s v="C1935"/>
    <n v="17.5"/>
    <s v="Thursday"/>
    <s v="March"/>
    <n v="2025"/>
  </r>
  <r>
    <x v="1110"/>
    <d v="2025-03-20T00:00:00"/>
    <s v="Station"/>
    <s v="Bristol"/>
    <s v="Latte"/>
    <s v="Drink"/>
    <n v="5"/>
    <n v="3.5"/>
    <s v="Card"/>
    <s v="C1383"/>
    <n v="17.5"/>
    <s v="Thursday"/>
    <s v="March"/>
    <n v="2025"/>
  </r>
  <r>
    <x v="1111"/>
    <d v="2025-03-20T00:00:00"/>
    <s v="High Street"/>
    <s v="Manchester"/>
    <s v="Espresso"/>
    <s v="Drink"/>
    <n v="5"/>
    <n v="2.5"/>
    <s v="Card"/>
    <s v="C1290"/>
    <n v="12.5"/>
    <s v="Thursday"/>
    <s v="March"/>
    <n v="2025"/>
  </r>
  <r>
    <x v="1112"/>
    <d v="2025-03-20T00:00:00"/>
    <s v="Riverside"/>
    <s v="Birmingham"/>
    <s v="Espresso"/>
    <s v="Drink"/>
    <n v="5"/>
    <n v="2.5"/>
    <s v="Cash"/>
    <s v="C1688"/>
    <n v="12.5"/>
    <s v="Thursday"/>
    <s v="March"/>
    <n v="2025"/>
  </r>
  <r>
    <x v="1113"/>
    <d v="2025-03-20T00:00:00"/>
    <s v="Riverside"/>
    <s v="Manchester"/>
    <s v="Latte"/>
    <s v="Drink"/>
    <n v="3"/>
    <n v="3.5"/>
    <s v="Apple Pay"/>
    <s v="C1395"/>
    <n v="10.5"/>
    <s v="Thursday"/>
    <s v="March"/>
    <n v="2025"/>
  </r>
  <r>
    <x v="1114"/>
    <d v="2025-03-20T00:00:00"/>
    <s v="Central"/>
    <s v="Manchester"/>
    <s v="Croissant"/>
    <s v="Food"/>
    <n v="2"/>
    <n v="2.8"/>
    <s v="Cash"/>
    <s v="C1509"/>
    <n v="5.6"/>
    <s v="Thursday"/>
    <s v="March"/>
    <n v="2025"/>
  </r>
  <r>
    <x v="1115"/>
    <d v="2025-03-20T00:00:00"/>
    <s v="Station"/>
    <s v="Leeds"/>
    <s v="Latte"/>
    <s v="Drink"/>
    <n v="1"/>
    <n v="3.5"/>
    <s v="Cash"/>
    <s v="C1940"/>
    <n v="3.5"/>
    <s v="Thursday"/>
    <s v="March"/>
    <n v="2025"/>
  </r>
  <r>
    <x v="1116"/>
    <d v="2025-03-20T00:00:00"/>
    <s v="Station"/>
    <s v="Birmingham"/>
    <s v="Latte"/>
    <s v="Drink"/>
    <n v="1"/>
    <n v="3.5"/>
    <s v="Apple Pay"/>
    <s v="C1727"/>
    <n v="3.5"/>
    <s v="Thursday"/>
    <s v="March"/>
    <n v="2025"/>
  </r>
  <r>
    <x v="1117"/>
    <d v="2025-03-20T00:00:00"/>
    <s v="High Street"/>
    <s v="Leeds"/>
    <s v="Croissant"/>
    <s v="Food"/>
    <n v="1"/>
    <n v="2.8"/>
    <s v="Apple Pay"/>
    <s v="C1815"/>
    <n v="2.8"/>
    <s v="Thursday"/>
    <s v="March"/>
    <n v="2025"/>
  </r>
  <r>
    <x v="1118"/>
    <d v="2025-03-20T00:00:00"/>
    <s v="Central"/>
    <s v="London"/>
    <s v="Croissant"/>
    <s v="Food"/>
    <n v="1"/>
    <n v="2.8"/>
    <s v="Card"/>
    <s v="C1688"/>
    <n v="2.8"/>
    <s v="Thursday"/>
    <s v="March"/>
    <n v="2025"/>
  </r>
  <r>
    <x v="1119"/>
    <d v="2025-03-20T00:00:00"/>
    <s v="Central"/>
    <s v="London"/>
    <s v="Croissant"/>
    <s v="Food"/>
    <n v="1"/>
    <n v="2.8"/>
    <s v="Cash"/>
    <s v="C1960"/>
    <n v="2.8"/>
    <s v="Thursday"/>
    <s v="March"/>
    <n v="2025"/>
  </r>
  <r>
    <x v="1120"/>
    <d v="2025-03-20T00:00:00"/>
    <s v="High Street"/>
    <s v="London"/>
    <s v="Croissant"/>
    <s v="Food"/>
    <n v="1"/>
    <n v="2.8"/>
    <s v="Apple Pay"/>
    <s v="C1224"/>
    <n v="2.8"/>
    <s v="Thursday"/>
    <s v="March"/>
    <n v="2025"/>
  </r>
  <r>
    <x v="1121"/>
    <d v="2025-03-20T00:00:00"/>
    <s v="Riverside"/>
    <s v="Leeds"/>
    <s v="Espresso"/>
    <s v="Drink"/>
    <n v="1"/>
    <n v="2.5"/>
    <s v="Cash"/>
    <s v="C1038"/>
    <n v="2.5"/>
    <s v="Thursday"/>
    <s v="March"/>
    <n v="2025"/>
  </r>
  <r>
    <x v="1122"/>
    <d v="2025-03-20T00:00:00"/>
    <s v="Station"/>
    <s v="Leeds"/>
    <s v="Espresso"/>
    <s v="Drink"/>
    <n v="1"/>
    <n v="2.5"/>
    <s v="Apple Pay"/>
    <s v="C1871"/>
    <n v="2.5"/>
    <s v="Thursday"/>
    <s v="March"/>
    <n v="2025"/>
  </r>
  <r>
    <x v="1123"/>
    <d v="2025-03-21T00:00:00"/>
    <s v="Central"/>
    <s v="Leeds"/>
    <s v="Cappuccino"/>
    <s v="Drink"/>
    <n v="5"/>
    <n v="3.8"/>
    <s v="Apple Pay"/>
    <s v="C1505"/>
    <n v="19"/>
    <s v="Friday"/>
    <s v="March"/>
    <n v="2025"/>
  </r>
  <r>
    <x v="1124"/>
    <d v="2025-03-21T00:00:00"/>
    <s v="Central"/>
    <s v="London"/>
    <s v="Cappuccino"/>
    <s v="Drink"/>
    <n v="4"/>
    <n v="3.8"/>
    <s v="Card"/>
    <s v="C1080"/>
    <n v="15.2"/>
    <s v="Friday"/>
    <s v="March"/>
    <n v="2025"/>
  </r>
  <r>
    <x v="1125"/>
    <d v="2025-03-21T00:00:00"/>
    <s v="Station"/>
    <s v="Bristol"/>
    <s v="Espresso"/>
    <s v="Drink"/>
    <n v="5"/>
    <n v="2.5"/>
    <s v="Apple Pay"/>
    <s v="C1766"/>
    <n v="12.5"/>
    <s v="Friday"/>
    <s v="March"/>
    <n v="2025"/>
  </r>
  <r>
    <x v="1126"/>
    <d v="2025-03-21T00:00:00"/>
    <s v="Station"/>
    <s v="Manchester"/>
    <s v="Cappuccino"/>
    <s v="Drink"/>
    <n v="3"/>
    <n v="3.8"/>
    <s v="Cash"/>
    <s v="C1266"/>
    <n v="11.399999999999999"/>
    <s v="Friday"/>
    <s v="March"/>
    <n v="2025"/>
  </r>
  <r>
    <x v="1127"/>
    <d v="2025-03-21T00:00:00"/>
    <s v="Station"/>
    <s v="Birmingham"/>
    <s v="Muffin"/>
    <s v="Food"/>
    <n v="5"/>
    <n v="2.2000000000000002"/>
    <s v="Cash"/>
    <s v="C1140"/>
    <n v="11"/>
    <s v="Friday"/>
    <s v="March"/>
    <n v="2025"/>
  </r>
  <r>
    <x v="1128"/>
    <d v="2025-03-21T00:00:00"/>
    <s v="Station"/>
    <s v="Manchester"/>
    <s v="Espresso"/>
    <s v="Drink"/>
    <n v="4"/>
    <n v="2.5"/>
    <s v="Cash"/>
    <s v="C1219"/>
    <n v="10"/>
    <s v="Friday"/>
    <s v="March"/>
    <n v="2025"/>
  </r>
  <r>
    <x v="1129"/>
    <d v="2025-03-21T00:00:00"/>
    <s v="Station"/>
    <s v="Manchester"/>
    <s v="Muffin"/>
    <s v="Food"/>
    <n v="4"/>
    <n v="2.2000000000000002"/>
    <s v="Apple Pay"/>
    <s v="C1651"/>
    <n v="8.8000000000000007"/>
    <s v="Friday"/>
    <s v="March"/>
    <n v="2025"/>
  </r>
  <r>
    <x v="1130"/>
    <d v="2025-03-21T00:00:00"/>
    <s v="Station"/>
    <s v="Bristol"/>
    <s v="Muffin"/>
    <s v="Food"/>
    <n v="3"/>
    <n v="2.2000000000000002"/>
    <s v="Cash"/>
    <s v="C1767"/>
    <n v="6.6000000000000005"/>
    <s v="Friday"/>
    <s v="March"/>
    <n v="2025"/>
  </r>
  <r>
    <x v="1131"/>
    <d v="2025-03-21T00:00:00"/>
    <s v="Central"/>
    <s v="Bristol"/>
    <s v="Croissant"/>
    <s v="Food"/>
    <n v="2"/>
    <n v="2.8"/>
    <s v="Cash"/>
    <s v="C1986"/>
    <n v="5.6"/>
    <s v="Friday"/>
    <s v="March"/>
    <n v="2025"/>
  </r>
  <r>
    <x v="1132"/>
    <d v="2025-03-21T00:00:00"/>
    <s v="Central"/>
    <s v="Bristol"/>
    <s v="Espresso"/>
    <s v="Drink"/>
    <n v="2"/>
    <n v="2.5"/>
    <s v="Cash"/>
    <s v="C1125"/>
    <n v="5"/>
    <s v="Friday"/>
    <s v="March"/>
    <n v="2025"/>
  </r>
  <r>
    <x v="1133"/>
    <d v="2025-03-21T00:00:00"/>
    <s v="High Street"/>
    <s v="Bristol"/>
    <s v="Croissant"/>
    <s v="Food"/>
    <n v="1"/>
    <n v="2.8"/>
    <s v="Card"/>
    <s v="C1680"/>
    <n v="2.8"/>
    <s v="Friday"/>
    <s v="March"/>
    <n v="2025"/>
  </r>
  <r>
    <x v="1134"/>
    <d v="2025-03-21T00:00:00"/>
    <s v="Station"/>
    <s v="London"/>
    <s v="Espresso"/>
    <s v="Drink"/>
    <n v="1"/>
    <n v="2.5"/>
    <s v="Apple Pay"/>
    <s v="C1609"/>
    <n v="2.5"/>
    <s v="Friday"/>
    <s v="March"/>
    <n v="2025"/>
  </r>
  <r>
    <x v="1135"/>
    <d v="2025-03-22T00:00:00"/>
    <s v="Riverside"/>
    <s v="Bristol"/>
    <s v="Cappuccino"/>
    <s v="Drink"/>
    <n v="5"/>
    <n v="3.8"/>
    <s v="Card"/>
    <s v="C1593"/>
    <n v="19"/>
    <s v="Saturday"/>
    <s v="March"/>
    <n v="2025"/>
  </r>
  <r>
    <x v="1136"/>
    <d v="2025-03-22T00:00:00"/>
    <s v="Central"/>
    <s v="Manchester"/>
    <s v="Cappuccino"/>
    <s v="Drink"/>
    <n v="5"/>
    <n v="3.8"/>
    <s v="Apple Pay"/>
    <s v="C1590"/>
    <n v="19"/>
    <s v="Saturday"/>
    <s v="March"/>
    <n v="2025"/>
  </r>
  <r>
    <x v="1137"/>
    <d v="2025-03-22T00:00:00"/>
    <s v="High Street"/>
    <s v="Bristol"/>
    <s v="Cappuccino"/>
    <s v="Drink"/>
    <n v="4"/>
    <n v="3.8"/>
    <s v="Apple Pay"/>
    <s v="C1466"/>
    <n v="15.2"/>
    <s v="Saturday"/>
    <s v="March"/>
    <n v="2025"/>
  </r>
  <r>
    <x v="1138"/>
    <d v="2025-03-22T00:00:00"/>
    <s v="Central"/>
    <s v="Birmingham"/>
    <s v="Cappuccino"/>
    <s v="Drink"/>
    <n v="4"/>
    <n v="3.8"/>
    <s v="Cash"/>
    <s v="C1781"/>
    <n v="15.2"/>
    <s v="Saturday"/>
    <s v="March"/>
    <n v="2025"/>
  </r>
  <r>
    <x v="1139"/>
    <d v="2025-03-22T00:00:00"/>
    <s v="Riverside"/>
    <s v="Leeds"/>
    <s v="Latte"/>
    <s v="Drink"/>
    <n v="4"/>
    <n v="3.5"/>
    <s v="Apple Pay"/>
    <s v="C1119"/>
    <n v="14"/>
    <s v="Saturday"/>
    <s v="March"/>
    <n v="2025"/>
  </r>
  <r>
    <x v="1140"/>
    <d v="2025-03-22T00:00:00"/>
    <s v="Station"/>
    <s v="Birmingham"/>
    <s v="Croissant"/>
    <s v="Food"/>
    <n v="5"/>
    <n v="2.8"/>
    <s v="Apple Pay"/>
    <s v="C1997"/>
    <n v="14"/>
    <s v="Saturday"/>
    <s v="March"/>
    <n v="2025"/>
  </r>
  <r>
    <x v="1141"/>
    <d v="2025-03-22T00:00:00"/>
    <s v="Station"/>
    <s v="Bristol"/>
    <s v="Espresso"/>
    <s v="Drink"/>
    <n v="5"/>
    <n v="2.5"/>
    <s v="Cash"/>
    <s v="C1560"/>
    <n v="12.5"/>
    <s v="Saturday"/>
    <s v="March"/>
    <n v="2025"/>
  </r>
  <r>
    <x v="1142"/>
    <d v="2025-03-22T00:00:00"/>
    <s v="Station"/>
    <s v="London"/>
    <s v="Croissant"/>
    <s v="Food"/>
    <n v="4"/>
    <n v="2.8"/>
    <s v="Apple Pay"/>
    <s v="C1754"/>
    <n v="11.2"/>
    <s v="Saturday"/>
    <s v="March"/>
    <n v="2025"/>
  </r>
  <r>
    <x v="1143"/>
    <d v="2025-03-22T00:00:00"/>
    <s v="Station"/>
    <s v="Birmingham"/>
    <s v="Muffin"/>
    <s v="Food"/>
    <n v="5"/>
    <n v="2.2000000000000002"/>
    <s v="Card"/>
    <s v="C1792"/>
    <n v="11"/>
    <s v="Saturday"/>
    <s v="March"/>
    <n v="2025"/>
  </r>
  <r>
    <x v="1144"/>
    <d v="2025-03-22T00:00:00"/>
    <s v="High Street"/>
    <s v="London"/>
    <s v="Latte"/>
    <s v="Drink"/>
    <n v="3"/>
    <n v="3.5"/>
    <s v="Cash"/>
    <s v="C1849"/>
    <n v="10.5"/>
    <s v="Saturday"/>
    <s v="March"/>
    <n v="2025"/>
  </r>
  <r>
    <x v="1145"/>
    <d v="2025-03-22T00:00:00"/>
    <s v="Station"/>
    <s v="Manchester"/>
    <s v="Muffin"/>
    <s v="Food"/>
    <n v="4"/>
    <n v="2.2000000000000002"/>
    <s v="Card"/>
    <s v="C1539"/>
    <n v="8.8000000000000007"/>
    <s v="Saturday"/>
    <s v="March"/>
    <n v="2025"/>
  </r>
  <r>
    <x v="1146"/>
    <d v="2025-03-22T00:00:00"/>
    <s v="High Street"/>
    <s v="Manchester"/>
    <s v="Muffin"/>
    <s v="Food"/>
    <n v="4"/>
    <n v="2.2000000000000002"/>
    <s v="Apple Pay"/>
    <s v="C1983"/>
    <n v="8.8000000000000007"/>
    <s v="Saturday"/>
    <s v="March"/>
    <n v="2025"/>
  </r>
  <r>
    <x v="1147"/>
    <d v="2025-03-22T00:00:00"/>
    <s v="High Street"/>
    <s v="Leeds"/>
    <s v="Croissant"/>
    <s v="Food"/>
    <n v="3"/>
    <n v="2.8"/>
    <s v="Card"/>
    <s v="C1367"/>
    <n v="8.3999999999999986"/>
    <s v="Saturday"/>
    <s v="March"/>
    <n v="2025"/>
  </r>
  <r>
    <x v="1148"/>
    <d v="2025-03-22T00:00:00"/>
    <s v="Central"/>
    <s v="Birmingham"/>
    <s v="Croissant"/>
    <s v="Food"/>
    <n v="3"/>
    <n v="2.8"/>
    <s v="Card"/>
    <s v="C1265"/>
    <n v="8.3999999999999986"/>
    <s v="Saturday"/>
    <s v="March"/>
    <n v="2025"/>
  </r>
  <r>
    <x v="1149"/>
    <d v="2025-03-22T00:00:00"/>
    <s v="Station"/>
    <s v="Leeds"/>
    <s v="Latte"/>
    <s v="Drink"/>
    <n v="2"/>
    <n v="3.5"/>
    <s v="Cash"/>
    <s v="C1660"/>
    <n v="7"/>
    <s v="Saturday"/>
    <s v="March"/>
    <n v="2025"/>
  </r>
  <r>
    <x v="1150"/>
    <d v="2025-03-22T00:00:00"/>
    <s v="Station"/>
    <s v="Birmingham"/>
    <s v="Croissant"/>
    <s v="Food"/>
    <n v="2"/>
    <n v="2.8"/>
    <s v="Card"/>
    <s v="C1495"/>
    <n v="5.6"/>
    <s v="Saturday"/>
    <s v="March"/>
    <n v="2025"/>
  </r>
  <r>
    <x v="1151"/>
    <d v="2025-03-22T00:00:00"/>
    <s v="Riverside"/>
    <s v="Manchester"/>
    <s v="Muffin"/>
    <s v="Food"/>
    <n v="2"/>
    <n v="2.2000000000000002"/>
    <s v="Cash"/>
    <s v="C1430"/>
    <n v="4.4000000000000004"/>
    <s v="Saturday"/>
    <s v="March"/>
    <n v="2025"/>
  </r>
  <r>
    <x v="1152"/>
    <d v="2025-03-22T00:00:00"/>
    <s v="High Street"/>
    <s v="London"/>
    <s v="Muffin"/>
    <s v="Food"/>
    <n v="2"/>
    <n v="2.2000000000000002"/>
    <s v="Cash"/>
    <s v="C1124"/>
    <n v="4.4000000000000004"/>
    <s v="Saturday"/>
    <s v="March"/>
    <n v="2025"/>
  </r>
  <r>
    <x v="1153"/>
    <d v="2025-03-22T00:00:00"/>
    <s v="High Street"/>
    <s v="Leeds"/>
    <s v="Latte"/>
    <s v="Drink"/>
    <n v="1"/>
    <n v="3.5"/>
    <s v="Card"/>
    <s v="C1629"/>
    <n v="3.5"/>
    <s v="Saturday"/>
    <s v="March"/>
    <n v="2025"/>
  </r>
  <r>
    <x v="1154"/>
    <d v="2025-03-22T00:00:00"/>
    <s v="Station"/>
    <s v="Bristol"/>
    <s v="Latte"/>
    <s v="Drink"/>
    <n v="1"/>
    <n v="3.5"/>
    <s v="Apple Pay"/>
    <s v="C1623"/>
    <n v="3.5"/>
    <s v="Saturday"/>
    <s v="March"/>
    <n v="2025"/>
  </r>
  <r>
    <x v="1155"/>
    <d v="2025-03-22T00:00:00"/>
    <s v="Station"/>
    <s v="Leeds"/>
    <s v="Croissant"/>
    <s v="Food"/>
    <n v="1"/>
    <n v="2.8"/>
    <s v="Apple Pay"/>
    <s v="C1623"/>
    <n v="2.8"/>
    <s v="Saturday"/>
    <s v="March"/>
    <n v="2025"/>
  </r>
  <r>
    <x v="1156"/>
    <d v="2025-03-22T00:00:00"/>
    <s v="Central"/>
    <s v="Leeds"/>
    <s v="Croissant"/>
    <s v="Food"/>
    <n v="1"/>
    <n v="2.8"/>
    <s v="Cash"/>
    <s v="C1931"/>
    <n v="2.8"/>
    <s v="Saturday"/>
    <s v="March"/>
    <n v="2025"/>
  </r>
  <r>
    <x v="1157"/>
    <d v="2025-03-22T00:00:00"/>
    <s v="High Street"/>
    <s v="London"/>
    <s v="Espresso"/>
    <s v="Drink"/>
    <n v="1"/>
    <n v="2.5"/>
    <s v="Cash"/>
    <s v="C1113"/>
    <n v="2.5"/>
    <s v="Saturday"/>
    <s v="March"/>
    <n v="2025"/>
  </r>
  <r>
    <x v="1158"/>
    <d v="2025-03-22T00:00:00"/>
    <s v="Riverside"/>
    <s v="Birmingham"/>
    <s v="Espresso"/>
    <s v="Drink"/>
    <n v="1"/>
    <n v="2.5"/>
    <s v="Card"/>
    <s v="C1894"/>
    <n v="2.5"/>
    <s v="Saturday"/>
    <s v="March"/>
    <n v="2025"/>
  </r>
  <r>
    <x v="1159"/>
    <d v="2025-03-22T00:00:00"/>
    <s v="Riverside"/>
    <s v="Leeds"/>
    <s v="Muffin"/>
    <s v="Food"/>
    <n v="1"/>
    <n v="2.2000000000000002"/>
    <s v="Apple Pay"/>
    <s v="C1188"/>
    <n v="2.2000000000000002"/>
    <s v="Saturday"/>
    <s v="March"/>
    <n v="2025"/>
  </r>
  <r>
    <x v="1160"/>
    <d v="2025-03-23T00:00:00"/>
    <s v="High Street"/>
    <s v="London"/>
    <s v="Cappuccino"/>
    <s v="Drink"/>
    <n v="5"/>
    <n v="3.8"/>
    <s v="Cash"/>
    <s v="C1055"/>
    <n v="19"/>
    <s v="Sunday"/>
    <s v="March"/>
    <n v="2025"/>
  </r>
  <r>
    <x v="1161"/>
    <d v="2025-03-23T00:00:00"/>
    <s v="Central"/>
    <s v="London"/>
    <s v="Latte"/>
    <s v="Drink"/>
    <n v="5"/>
    <n v="3.5"/>
    <s v="Card"/>
    <s v="C1706"/>
    <n v="17.5"/>
    <s v="Sunday"/>
    <s v="March"/>
    <n v="2025"/>
  </r>
  <r>
    <x v="1162"/>
    <d v="2025-03-23T00:00:00"/>
    <s v="Central"/>
    <s v="Leeds"/>
    <s v="Croissant"/>
    <s v="Food"/>
    <n v="5"/>
    <n v="2.8"/>
    <s v="Card"/>
    <s v="C1941"/>
    <n v="14"/>
    <s v="Sunday"/>
    <s v="March"/>
    <n v="2025"/>
  </r>
  <r>
    <x v="1163"/>
    <d v="2025-03-23T00:00:00"/>
    <s v="Central"/>
    <s v="London"/>
    <s v="Latte"/>
    <s v="Drink"/>
    <n v="3"/>
    <n v="3.5"/>
    <s v="Apple Pay"/>
    <s v="C1862"/>
    <n v="10.5"/>
    <s v="Sunday"/>
    <s v="March"/>
    <n v="2025"/>
  </r>
  <r>
    <x v="1164"/>
    <d v="2025-03-23T00:00:00"/>
    <s v="Station"/>
    <s v="Birmingham"/>
    <s v="Latte"/>
    <s v="Drink"/>
    <n v="3"/>
    <n v="3.5"/>
    <s v="Cash"/>
    <s v="C1608"/>
    <n v="10.5"/>
    <s v="Sunday"/>
    <s v="March"/>
    <n v="2025"/>
  </r>
  <r>
    <x v="1165"/>
    <d v="2025-03-23T00:00:00"/>
    <s v="Central"/>
    <s v="Birmingham"/>
    <s v="Espresso"/>
    <s v="Drink"/>
    <n v="2"/>
    <n v="2.5"/>
    <s v="Cash"/>
    <s v="C1415"/>
    <n v="5"/>
    <s v="Sunday"/>
    <s v="March"/>
    <n v="2025"/>
  </r>
  <r>
    <x v="1166"/>
    <d v="2025-03-23T00:00:00"/>
    <s v="Central"/>
    <s v="Manchester"/>
    <s v="Espresso"/>
    <s v="Drink"/>
    <n v="2"/>
    <n v="2.5"/>
    <s v="Cash"/>
    <s v="C1881"/>
    <n v="5"/>
    <s v="Sunday"/>
    <s v="March"/>
    <n v="2025"/>
  </r>
  <r>
    <x v="1167"/>
    <d v="2025-03-23T00:00:00"/>
    <s v="Central"/>
    <s v="Leeds"/>
    <s v="Muffin"/>
    <s v="Food"/>
    <n v="2"/>
    <n v="2.2000000000000002"/>
    <s v="Cash"/>
    <s v="C1694"/>
    <n v="4.4000000000000004"/>
    <s v="Sunday"/>
    <s v="March"/>
    <n v="2025"/>
  </r>
  <r>
    <x v="1168"/>
    <d v="2025-03-23T00:00:00"/>
    <s v="Riverside"/>
    <s v="Manchester"/>
    <s v="Cappuccino"/>
    <s v="Drink"/>
    <n v="1"/>
    <n v="3.8"/>
    <s v="Card"/>
    <s v="C1584"/>
    <n v="3.8"/>
    <s v="Sunday"/>
    <s v="March"/>
    <n v="2025"/>
  </r>
  <r>
    <x v="1169"/>
    <d v="2025-03-23T00:00:00"/>
    <s v="High Street"/>
    <s v="Manchester"/>
    <s v="Croissant"/>
    <s v="Food"/>
    <n v="1"/>
    <n v="2.8"/>
    <s v="Cash"/>
    <s v="C1162"/>
    <n v="2.8"/>
    <s v="Sunday"/>
    <s v="March"/>
    <n v="2025"/>
  </r>
  <r>
    <x v="1170"/>
    <d v="2025-03-24T00:00:00"/>
    <s v="High Street"/>
    <s v="Leeds"/>
    <s v="Croissant"/>
    <s v="Food"/>
    <n v="5"/>
    <n v="2.8"/>
    <s v="Apple Pay"/>
    <s v="C1279"/>
    <n v="14"/>
    <s v="Monday"/>
    <s v="March"/>
    <n v="2025"/>
  </r>
  <r>
    <x v="1171"/>
    <d v="2025-03-24T00:00:00"/>
    <s v="High Street"/>
    <s v="Manchester"/>
    <s v="Croissant"/>
    <s v="Food"/>
    <n v="5"/>
    <n v="2.8"/>
    <s v="Apple Pay"/>
    <s v="C1288"/>
    <n v="14"/>
    <s v="Monday"/>
    <s v="March"/>
    <n v="2025"/>
  </r>
  <r>
    <x v="1172"/>
    <d v="2025-03-24T00:00:00"/>
    <s v="Station"/>
    <s v="Birmingham"/>
    <s v="Cappuccino"/>
    <s v="Drink"/>
    <n v="3"/>
    <n v="3.8"/>
    <s v="Card"/>
    <s v="C1406"/>
    <n v="11.399999999999999"/>
    <s v="Monday"/>
    <s v="March"/>
    <n v="2025"/>
  </r>
  <r>
    <x v="1173"/>
    <d v="2025-03-24T00:00:00"/>
    <s v="Station"/>
    <s v="Manchester"/>
    <s v="Croissant"/>
    <s v="Food"/>
    <n v="4"/>
    <n v="2.8"/>
    <s v="Cash"/>
    <s v="C1078"/>
    <n v="11.2"/>
    <s v="Monday"/>
    <s v="March"/>
    <n v="2025"/>
  </r>
  <r>
    <x v="1174"/>
    <d v="2025-03-24T00:00:00"/>
    <s v="Station"/>
    <s v="Leeds"/>
    <s v="Croissant"/>
    <s v="Food"/>
    <n v="4"/>
    <n v="2.8"/>
    <s v="Card"/>
    <s v="C1808"/>
    <n v="11.2"/>
    <s v="Monday"/>
    <s v="March"/>
    <n v="2025"/>
  </r>
  <r>
    <x v="1175"/>
    <d v="2025-03-24T00:00:00"/>
    <s v="High Street"/>
    <s v="Leeds"/>
    <s v="Muffin"/>
    <s v="Food"/>
    <n v="5"/>
    <n v="2.2000000000000002"/>
    <s v="Cash"/>
    <s v="C1460"/>
    <n v="11"/>
    <s v="Monday"/>
    <s v="March"/>
    <n v="2025"/>
  </r>
  <r>
    <x v="1176"/>
    <d v="2025-03-24T00:00:00"/>
    <s v="Central"/>
    <s v="Bristol"/>
    <s v="Latte"/>
    <s v="Drink"/>
    <n v="3"/>
    <n v="3.5"/>
    <s v="Card"/>
    <s v="C1242"/>
    <n v="10.5"/>
    <s v="Monday"/>
    <s v="March"/>
    <n v="2025"/>
  </r>
  <r>
    <x v="1177"/>
    <d v="2025-03-24T00:00:00"/>
    <s v="Central"/>
    <s v="Bristol"/>
    <s v="Croissant"/>
    <s v="Food"/>
    <n v="3"/>
    <n v="2.8"/>
    <s v="Card"/>
    <s v="C1063"/>
    <n v="8.3999999999999986"/>
    <s v="Monday"/>
    <s v="March"/>
    <n v="2025"/>
  </r>
  <r>
    <x v="1178"/>
    <d v="2025-03-24T00:00:00"/>
    <s v="Station"/>
    <s v="Manchester"/>
    <s v="Muffin"/>
    <s v="Food"/>
    <n v="3"/>
    <n v="2.2000000000000002"/>
    <s v="Cash"/>
    <s v="C1386"/>
    <n v="6.6000000000000005"/>
    <s v="Monday"/>
    <s v="March"/>
    <n v="2025"/>
  </r>
  <r>
    <x v="1179"/>
    <d v="2025-03-24T00:00:00"/>
    <s v="Station"/>
    <s v="Birmingham"/>
    <s v="Croissant"/>
    <s v="Food"/>
    <n v="2"/>
    <n v="2.8"/>
    <s v="Card"/>
    <s v="C1315"/>
    <n v="5.6"/>
    <s v="Monday"/>
    <s v="March"/>
    <n v="2025"/>
  </r>
  <r>
    <x v="1180"/>
    <d v="2025-03-24T00:00:00"/>
    <s v="High Street"/>
    <s v="London"/>
    <s v="Espresso"/>
    <s v="Drink"/>
    <n v="2"/>
    <n v="2.5"/>
    <s v="Apple Pay"/>
    <s v="C1017"/>
    <n v="5"/>
    <s v="Monday"/>
    <s v="March"/>
    <n v="2025"/>
  </r>
  <r>
    <x v="1181"/>
    <d v="2025-03-24T00:00:00"/>
    <s v="Central"/>
    <s v="Manchester"/>
    <s v="Muffin"/>
    <s v="Food"/>
    <n v="2"/>
    <n v="2.2000000000000002"/>
    <s v="Cash"/>
    <s v="C1956"/>
    <n v="4.4000000000000004"/>
    <s v="Monday"/>
    <s v="March"/>
    <n v="2025"/>
  </r>
  <r>
    <x v="1182"/>
    <d v="2025-03-24T00:00:00"/>
    <s v="Riverside"/>
    <s v="N/A"/>
    <s v="Croissant"/>
    <s v="Food"/>
    <n v="1"/>
    <n v="2.8"/>
    <s v="Apple Pay"/>
    <s v="C1220"/>
    <n v="2.8"/>
    <s v="Monday"/>
    <s v="March"/>
    <n v="2025"/>
  </r>
  <r>
    <x v="1183"/>
    <d v="2025-03-24T00:00:00"/>
    <s v="High Street"/>
    <s v="Leeds"/>
    <s v="Muffin"/>
    <s v="Food"/>
    <n v="1"/>
    <n v="2.2000000000000002"/>
    <s v="Card"/>
    <s v="C1189"/>
    <n v="2.2000000000000002"/>
    <s v="Monday"/>
    <s v="March"/>
    <n v="2025"/>
  </r>
  <r>
    <x v="1184"/>
    <d v="2025-03-25T00:00:00"/>
    <s v="Central"/>
    <s v="Bristol"/>
    <s v="Cappuccino"/>
    <s v="Drink"/>
    <n v="4"/>
    <n v="3.8"/>
    <s v="Card"/>
    <s v="C1342"/>
    <n v="15.2"/>
    <s v="Tuesday"/>
    <s v="March"/>
    <n v="2025"/>
  </r>
  <r>
    <x v="1185"/>
    <d v="2025-03-25T00:00:00"/>
    <s v="Central"/>
    <s v="Manchester"/>
    <s v="Cappuccino"/>
    <s v="Drink"/>
    <n v="4"/>
    <n v="3.8"/>
    <s v="Apple Pay"/>
    <s v="C1428"/>
    <n v="15.2"/>
    <s v="Tuesday"/>
    <s v="March"/>
    <n v="2025"/>
  </r>
  <r>
    <x v="1186"/>
    <d v="2025-03-25T00:00:00"/>
    <s v="Station"/>
    <s v="Manchester"/>
    <s v="Latte"/>
    <s v="Drink"/>
    <n v="4"/>
    <n v="3.5"/>
    <s v="Card"/>
    <s v="C1666"/>
    <n v="14"/>
    <s v="Tuesday"/>
    <s v="March"/>
    <n v="2025"/>
  </r>
  <r>
    <x v="1187"/>
    <d v="2025-03-25T00:00:00"/>
    <s v="Central"/>
    <s v="Leeds"/>
    <s v="Croissant"/>
    <s v="Food"/>
    <n v="5"/>
    <n v="2.8"/>
    <s v="Card"/>
    <s v="C1653"/>
    <n v="14"/>
    <s v="Tuesday"/>
    <s v="March"/>
    <n v="2025"/>
  </r>
  <r>
    <x v="1188"/>
    <d v="2025-03-25T00:00:00"/>
    <s v="Station"/>
    <s v="Leeds"/>
    <s v="Cappuccino"/>
    <s v="Drink"/>
    <n v="3"/>
    <n v="3.8"/>
    <s v="Card"/>
    <s v="C1346"/>
    <n v="11.399999999999999"/>
    <s v="Tuesday"/>
    <s v="March"/>
    <n v="2025"/>
  </r>
  <r>
    <x v="1189"/>
    <d v="2025-03-25T00:00:00"/>
    <s v="Riverside"/>
    <s v="Manchester"/>
    <s v="Muffin"/>
    <s v="Food"/>
    <n v="5"/>
    <n v="2.2000000000000002"/>
    <s v="Cash"/>
    <s v="C1378"/>
    <n v="11"/>
    <s v="Tuesday"/>
    <s v="March"/>
    <n v="2025"/>
  </r>
  <r>
    <x v="1190"/>
    <d v="2025-03-25T00:00:00"/>
    <s v="Central"/>
    <s v="Birmingham"/>
    <s v="Latte"/>
    <s v="Drink"/>
    <n v="3"/>
    <n v="3.5"/>
    <s v="Cash"/>
    <s v="C1912"/>
    <n v="10.5"/>
    <s v="Tuesday"/>
    <s v="March"/>
    <n v="2025"/>
  </r>
  <r>
    <x v="1191"/>
    <d v="2025-03-25T00:00:00"/>
    <s v="Station"/>
    <s v="London"/>
    <s v="Muffin"/>
    <s v="Food"/>
    <n v="4"/>
    <n v="2.2000000000000002"/>
    <s v="Apple Pay"/>
    <s v="C1232"/>
    <n v="8.8000000000000007"/>
    <s v="Tuesday"/>
    <s v="March"/>
    <n v="2025"/>
  </r>
  <r>
    <x v="1192"/>
    <d v="2025-03-25T00:00:00"/>
    <s v="Riverside"/>
    <s v="Manchester"/>
    <s v="Muffin"/>
    <s v="Food"/>
    <n v="4"/>
    <n v="2.2000000000000002"/>
    <s v="Cash"/>
    <s v="C1507"/>
    <n v="8.8000000000000007"/>
    <s v="Tuesday"/>
    <s v="March"/>
    <n v="2025"/>
  </r>
  <r>
    <x v="1193"/>
    <d v="2025-03-25T00:00:00"/>
    <s v="Central"/>
    <s v="Leeds"/>
    <s v="Muffin"/>
    <s v="Food"/>
    <n v="4"/>
    <n v="2.2000000000000002"/>
    <s v="Cash"/>
    <s v="C1167"/>
    <n v="8.8000000000000007"/>
    <s v="Tuesday"/>
    <s v="March"/>
    <n v="2025"/>
  </r>
  <r>
    <x v="1194"/>
    <d v="2025-03-25T00:00:00"/>
    <s v="High Street"/>
    <s v="Bristol"/>
    <s v="Croissant"/>
    <s v="Food"/>
    <n v="3"/>
    <n v="2.8"/>
    <s v="Cash"/>
    <s v="C1418"/>
    <n v="8.3999999999999986"/>
    <s v="Tuesday"/>
    <s v="March"/>
    <n v="2025"/>
  </r>
  <r>
    <x v="1195"/>
    <d v="2025-03-25T00:00:00"/>
    <s v="Riverside"/>
    <s v="Leeds"/>
    <s v="Croissant"/>
    <s v="Food"/>
    <n v="3"/>
    <n v="2.8"/>
    <s v="Apple Pay"/>
    <s v="C1776"/>
    <n v="8.3999999999999986"/>
    <s v="Tuesday"/>
    <s v="March"/>
    <n v="2025"/>
  </r>
  <r>
    <x v="1196"/>
    <d v="2025-03-25T00:00:00"/>
    <s v="Central"/>
    <s v="Birmingham"/>
    <s v="Cappuccino"/>
    <s v="Drink"/>
    <n v="2"/>
    <n v="3.8"/>
    <s v="Apple Pay"/>
    <s v="C1746"/>
    <n v="7.6"/>
    <s v="Tuesday"/>
    <s v="March"/>
    <n v="2025"/>
  </r>
  <r>
    <x v="1197"/>
    <d v="2025-03-25T00:00:00"/>
    <s v="Central"/>
    <s v="Birmingham"/>
    <s v="Cappuccino"/>
    <s v="Drink"/>
    <n v="2"/>
    <n v="3.8"/>
    <s v="Apple Pay"/>
    <s v="C1176"/>
    <n v="7.6"/>
    <s v="Tuesday"/>
    <s v="March"/>
    <n v="2025"/>
  </r>
  <r>
    <x v="1198"/>
    <d v="2025-03-25T00:00:00"/>
    <s v="Riverside"/>
    <s v="Leeds"/>
    <s v="Espresso"/>
    <s v="Drink"/>
    <n v="3"/>
    <n v="2.5"/>
    <s v="Cash"/>
    <s v="C1935"/>
    <n v="7.5"/>
    <s v="Tuesday"/>
    <s v="March"/>
    <n v="2025"/>
  </r>
  <r>
    <x v="1199"/>
    <d v="2025-03-25T00:00:00"/>
    <s v="Central"/>
    <s v="London"/>
    <s v="Muffin"/>
    <s v="Food"/>
    <n v="3"/>
    <n v="2.2000000000000002"/>
    <s v="Cash"/>
    <s v="C1369"/>
    <n v="6.6000000000000005"/>
    <s v="Tuesday"/>
    <s v="March"/>
    <n v="2025"/>
  </r>
  <r>
    <x v="1200"/>
    <d v="2025-03-25T00:00:00"/>
    <s v="High Street"/>
    <s v="Leeds"/>
    <s v="Muffin"/>
    <s v="Food"/>
    <n v="3"/>
    <n v="2.2000000000000002"/>
    <s v="Apple Pay"/>
    <s v="C1645"/>
    <n v="6.6000000000000005"/>
    <s v="Tuesday"/>
    <s v="March"/>
    <n v="2025"/>
  </r>
  <r>
    <x v="1201"/>
    <d v="2025-03-25T00:00:00"/>
    <s v="Central"/>
    <s v="London"/>
    <s v="Croissant"/>
    <s v="Food"/>
    <n v="2"/>
    <n v="2.8"/>
    <s v="Cash"/>
    <s v="C1448"/>
    <n v="5.6"/>
    <s v="Tuesday"/>
    <s v="March"/>
    <n v="2025"/>
  </r>
  <r>
    <x v="1202"/>
    <d v="2025-03-25T00:00:00"/>
    <s v="Central"/>
    <s v="Bristol"/>
    <s v="Espresso"/>
    <s v="Drink"/>
    <n v="2"/>
    <n v="2.5"/>
    <s v="Card"/>
    <s v="C1473"/>
    <n v="5"/>
    <s v="Tuesday"/>
    <s v="March"/>
    <n v="2025"/>
  </r>
  <r>
    <x v="1203"/>
    <d v="2025-03-25T00:00:00"/>
    <s v="Central"/>
    <s v="Manchester"/>
    <s v="Muffin"/>
    <s v="Food"/>
    <n v="2"/>
    <n v="2.2000000000000002"/>
    <s v="Card"/>
    <s v="C1740"/>
    <n v="4.4000000000000004"/>
    <s v="Tuesday"/>
    <s v="March"/>
    <n v="2025"/>
  </r>
  <r>
    <x v="1204"/>
    <d v="2025-03-25T00:00:00"/>
    <s v="Central"/>
    <s v="Birmingham"/>
    <s v="Cappuccino"/>
    <s v="Drink"/>
    <n v="1"/>
    <n v="3.8"/>
    <s v="Apple Pay"/>
    <s v="C1719"/>
    <n v="3.8"/>
    <s v="Tuesday"/>
    <s v="March"/>
    <n v="2025"/>
  </r>
  <r>
    <x v="1205"/>
    <d v="2025-03-25T00:00:00"/>
    <s v="Station"/>
    <s v="Bristol"/>
    <s v="Latte"/>
    <s v="Drink"/>
    <n v="1"/>
    <n v="3.5"/>
    <s v="Apple Pay"/>
    <s v="C1228"/>
    <n v="3.5"/>
    <s v="Tuesday"/>
    <s v="March"/>
    <n v="2025"/>
  </r>
  <r>
    <x v="1206"/>
    <d v="2025-03-25T00:00:00"/>
    <s v="High Street"/>
    <s v="Bristol"/>
    <s v="Muffin"/>
    <s v="Food"/>
    <n v="1"/>
    <n v="2.2000000000000002"/>
    <s v="Apple Pay"/>
    <s v="C1996"/>
    <n v="2.2000000000000002"/>
    <s v="Tuesday"/>
    <s v="March"/>
    <n v="2025"/>
  </r>
  <r>
    <x v="1207"/>
    <d v="2025-03-26T00:00:00"/>
    <s v="High Street"/>
    <s v="Manchester"/>
    <s v="Espresso"/>
    <s v="Drink"/>
    <n v="5"/>
    <n v="2.5"/>
    <s v="Card"/>
    <s v="C1241"/>
    <n v="12.5"/>
    <s v="Wednesday"/>
    <s v="March"/>
    <n v="2025"/>
  </r>
  <r>
    <x v="1208"/>
    <d v="2025-03-26T00:00:00"/>
    <s v="High Street"/>
    <s v="London"/>
    <s v="Cappuccino"/>
    <s v="Drink"/>
    <n v="3"/>
    <n v="3.8"/>
    <s v="Apple Pay"/>
    <s v="C1249"/>
    <n v="11.399999999999999"/>
    <s v="Wednesday"/>
    <s v="March"/>
    <n v="2025"/>
  </r>
  <r>
    <x v="1209"/>
    <d v="2025-03-26T00:00:00"/>
    <s v="Central"/>
    <s v="Manchester"/>
    <s v="Croissant"/>
    <s v="Food"/>
    <n v="4"/>
    <n v="2.8"/>
    <s v="Card"/>
    <s v="C1886"/>
    <n v="11.2"/>
    <s v="Wednesday"/>
    <s v="March"/>
    <n v="2025"/>
  </r>
  <r>
    <x v="1210"/>
    <d v="2025-03-26T00:00:00"/>
    <s v="Central"/>
    <s v="London"/>
    <s v="Muffin"/>
    <s v="Food"/>
    <n v="5"/>
    <n v="2.2000000000000002"/>
    <s v="Apple Pay"/>
    <s v="C1403"/>
    <n v="11"/>
    <s v="Wednesday"/>
    <s v="March"/>
    <n v="2025"/>
  </r>
  <r>
    <x v="1211"/>
    <d v="2025-03-26T00:00:00"/>
    <s v="Riverside"/>
    <s v="Manchester"/>
    <s v="Muffin"/>
    <s v="Food"/>
    <n v="4"/>
    <n v="2.2000000000000002"/>
    <s v="Card"/>
    <s v="C1146"/>
    <n v="8.8000000000000007"/>
    <s v="Wednesday"/>
    <s v="March"/>
    <n v="2025"/>
  </r>
  <r>
    <x v="1212"/>
    <d v="2025-03-26T00:00:00"/>
    <s v="Central"/>
    <s v="Leeds"/>
    <s v="Espresso"/>
    <s v="Drink"/>
    <n v="3"/>
    <n v="2.5"/>
    <s v="Apple Pay"/>
    <s v="C1392"/>
    <n v="7.5"/>
    <s v="Wednesday"/>
    <s v="March"/>
    <n v="2025"/>
  </r>
  <r>
    <x v="1213"/>
    <d v="2025-03-26T00:00:00"/>
    <s v="High Street"/>
    <s v="Bristol"/>
    <s v="Muffin"/>
    <s v="Food"/>
    <n v="3"/>
    <n v="2.2000000000000002"/>
    <s v="Card"/>
    <s v="C1539"/>
    <n v="6.6000000000000005"/>
    <s v="Wednesday"/>
    <s v="March"/>
    <n v="2025"/>
  </r>
  <r>
    <x v="1214"/>
    <d v="2025-03-26T00:00:00"/>
    <s v="High Street"/>
    <s v="Manchester"/>
    <s v="Muffin"/>
    <s v="Food"/>
    <n v="3"/>
    <n v="2.2000000000000002"/>
    <s v="Card"/>
    <s v="C1334"/>
    <n v="6.6000000000000005"/>
    <s v="Wednesday"/>
    <s v="March"/>
    <n v="2025"/>
  </r>
  <r>
    <x v="1215"/>
    <d v="2025-03-26T00:00:00"/>
    <s v="Station"/>
    <s v="Birmingham"/>
    <s v="Muffin"/>
    <s v="Food"/>
    <n v="3"/>
    <n v="2.2000000000000002"/>
    <s v="Apple Pay"/>
    <s v="C1414"/>
    <n v="6.6000000000000005"/>
    <s v="Wednesday"/>
    <s v="March"/>
    <n v="2025"/>
  </r>
  <r>
    <x v="1216"/>
    <d v="2025-03-26T00:00:00"/>
    <s v="High Street"/>
    <s v="London"/>
    <s v="Croissant"/>
    <s v="Food"/>
    <n v="2"/>
    <n v="2.8"/>
    <s v="Apple Pay"/>
    <s v="C1290"/>
    <n v="5.6"/>
    <s v="Wednesday"/>
    <s v="March"/>
    <n v="2025"/>
  </r>
  <r>
    <x v="1217"/>
    <d v="2025-03-26T00:00:00"/>
    <s v="High Street"/>
    <s v="Manchester"/>
    <s v="Espresso"/>
    <s v="Drink"/>
    <n v="2"/>
    <n v="2.5"/>
    <s v="Apple Pay"/>
    <s v="C1502"/>
    <n v="5"/>
    <s v="Wednesday"/>
    <s v="March"/>
    <n v="2025"/>
  </r>
  <r>
    <x v="1218"/>
    <d v="2025-03-26T00:00:00"/>
    <s v="Riverside"/>
    <s v="London"/>
    <s v="Cappuccino"/>
    <s v="Drink"/>
    <n v="1"/>
    <n v="3.8"/>
    <s v="Card"/>
    <s v="C1599"/>
    <n v="3.8"/>
    <s v="Wednesday"/>
    <s v="March"/>
    <n v="2025"/>
  </r>
  <r>
    <x v="1219"/>
    <d v="2025-03-26T00:00:00"/>
    <s v="Central"/>
    <s v="Manchester"/>
    <s v="Muffin"/>
    <s v="Food"/>
    <n v="1"/>
    <n v="2.2000000000000002"/>
    <s v="Card"/>
    <s v="C1430"/>
    <n v="2.2000000000000002"/>
    <s v="Wednesday"/>
    <s v="March"/>
    <n v="2025"/>
  </r>
  <r>
    <x v="1219"/>
    <d v="2025-03-26T00:00:00"/>
    <s v="Central"/>
    <s v="Manchester"/>
    <s v="Muffin"/>
    <s v="Food"/>
    <n v="1"/>
    <n v="2.2000000000000002"/>
    <s v="Cash"/>
    <s v="C1430"/>
    <n v="2.2000000000000002"/>
    <s v="Wednesday"/>
    <s v="March"/>
    <n v="2025"/>
  </r>
  <r>
    <x v="1220"/>
    <d v="2025-03-27T00:00:00"/>
    <s v="Central"/>
    <s v="Manchester"/>
    <s v="Cappuccino"/>
    <s v="Drink"/>
    <n v="5"/>
    <n v="3.8"/>
    <s v="Apple Pay"/>
    <s v="C1140"/>
    <n v="19"/>
    <s v="Thursday"/>
    <s v="March"/>
    <n v="2025"/>
  </r>
  <r>
    <x v="1221"/>
    <d v="2025-03-27T00:00:00"/>
    <s v="Central"/>
    <s v="Manchester"/>
    <s v="Cappuccino"/>
    <s v="Drink"/>
    <n v="5"/>
    <n v="3.8"/>
    <s v="Card"/>
    <s v="C1189"/>
    <n v="19"/>
    <s v="Thursday"/>
    <s v="March"/>
    <n v="2025"/>
  </r>
  <r>
    <x v="1222"/>
    <d v="2025-03-27T00:00:00"/>
    <s v="High Street"/>
    <s v="Birmingham"/>
    <s v="Latte"/>
    <s v="Drink"/>
    <n v="5"/>
    <n v="3.5"/>
    <s v="Apple Pay"/>
    <s v="C1540"/>
    <n v="17.5"/>
    <s v="Thursday"/>
    <s v="March"/>
    <n v="2025"/>
  </r>
  <r>
    <x v="1223"/>
    <d v="2025-03-27T00:00:00"/>
    <s v="High Street"/>
    <s v="Bristol"/>
    <s v="Latte"/>
    <s v="Drink"/>
    <n v="4"/>
    <n v="3.5"/>
    <s v="Card"/>
    <s v="C1313"/>
    <n v="14"/>
    <s v="Thursday"/>
    <s v="March"/>
    <n v="2025"/>
  </r>
  <r>
    <x v="1224"/>
    <d v="2025-03-27T00:00:00"/>
    <s v="Central"/>
    <s v="London"/>
    <s v="Cappuccino"/>
    <s v="Drink"/>
    <n v="3"/>
    <n v="3.8"/>
    <s v="Apple Pay"/>
    <s v="C1546"/>
    <n v="11.399999999999999"/>
    <s v="Thursday"/>
    <s v="March"/>
    <n v="2025"/>
  </r>
  <r>
    <x v="1225"/>
    <d v="2025-03-27T00:00:00"/>
    <s v="Riverside"/>
    <s v="Bristol"/>
    <s v="Muffin"/>
    <s v="Food"/>
    <n v="5"/>
    <n v="2.2000000000000002"/>
    <s v="Cash"/>
    <s v="C1053"/>
    <n v="11"/>
    <s v="Thursday"/>
    <s v="March"/>
    <n v="2025"/>
  </r>
  <r>
    <x v="1226"/>
    <d v="2025-03-27T00:00:00"/>
    <s v="Station"/>
    <s v="Manchester"/>
    <s v="Latte"/>
    <s v="Drink"/>
    <n v="3"/>
    <n v="3.5"/>
    <s v="Cash"/>
    <s v="C1429"/>
    <n v="10.5"/>
    <s v="Thursday"/>
    <s v="March"/>
    <n v="2025"/>
  </r>
  <r>
    <x v="1227"/>
    <d v="2025-03-27T00:00:00"/>
    <s v="Central"/>
    <s v="Manchester"/>
    <s v="Latte"/>
    <s v="Drink"/>
    <n v="3"/>
    <n v="3.5"/>
    <s v="Apple Pay"/>
    <s v="C1513"/>
    <n v="10.5"/>
    <s v="Thursday"/>
    <s v="March"/>
    <n v="2025"/>
  </r>
  <r>
    <x v="1228"/>
    <d v="2025-03-27T00:00:00"/>
    <s v="Station"/>
    <s v="Bristol"/>
    <s v="Espresso"/>
    <s v="Drink"/>
    <n v="4"/>
    <n v="2.5"/>
    <s v="Apple Pay"/>
    <s v="C1649"/>
    <n v="10"/>
    <s v="Thursday"/>
    <s v="March"/>
    <n v="2025"/>
  </r>
  <r>
    <x v="1229"/>
    <d v="2025-03-27T00:00:00"/>
    <s v="High Street"/>
    <s v="Birmingham"/>
    <s v="Espresso"/>
    <s v="Drink"/>
    <n v="4"/>
    <n v="2.5"/>
    <s v="Apple Pay"/>
    <s v="C1095"/>
    <n v="10"/>
    <s v="Thursday"/>
    <s v="March"/>
    <n v="2025"/>
  </r>
  <r>
    <x v="1230"/>
    <d v="2025-03-27T00:00:00"/>
    <s v="Riverside"/>
    <s v="Leeds"/>
    <s v="Cappuccino"/>
    <s v="Drink"/>
    <n v="2"/>
    <n v="3.8"/>
    <s v="Card"/>
    <s v="C1606"/>
    <n v="7.6"/>
    <s v="Thursday"/>
    <s v="March"/>
    <n v="2025"/>
  </r>
  <r>
    <x v="1231"/>
    <d v="2025-03-27T00:00:00"/>
    <s v="Central"/>
    <s v="London"/>
    <s v="Latte"/>
    <s v="Drink"/>
    <n v="2"/>
    <n v="3.5"/>
    <s v="Cash"/>
    <s v="C1819"/>
    <n v="7"/>
    <s v="Thursday"/>
    <s v="March"/>
    <n v="2025"/>
  </r>
  <r>
    <x v="1232"/>
    <d v="2025-03-27T00:00:00"/>
    <s v="High Street"/>
    <s v="Leeds"/>
    <s v="Espresso"/>
    <s v="Drink"/>
    <n v="2"/>
    <n v="2.5"/>
    <s v="Cash"/>
    <s v="C1913"/>
    <n v="5"/>
    <s v="Thursday"/>
    <s v="March"/>
    <n v="2025"/>
  </r>
  <r>
    <x v="1233"/>
    <d v="2025-03-27T00:00:00"/>
    <s v="Central"/>
    <s v="Birmingham"/>
    <s v="Muffin"/>
    <s v="Food"/>
    <n v="2"/>
    <n v="2.2000000000000002"/>
    <s v="Card"/>
    <s v="C1276"/>
    <n v="4.4000000000000004"/>
    <s v="Thursday"/>
    <s v="March"/>
    <n v="2025"/>
  </r>
  <r>
    <x v="1234"/>
    <d v="2025-03-27T00:00:00"/>
    <s v="Station"/>
    <s v="Manchester"/>
    <s v="Espresso"/>
    <s v="Drink"/>
    <n v="1"/>
    <n v="2.5"/>
    <s v="Cash"/>
    <s v="C1731"/>
    <n v="2.5"/>
    <s v="Thursday"/>
    <s v="March"/>
    <n v="2025"/>
  </r>
  <r>
    <x v="1235"/>
    <d v="2025-03-27T00:00:00"/>
    <s v="Central"/>
    <s v="Leeds"/>
    <s v="Muffin"/>
    <s v="Food"/>
    <n v="1"/>
    <n v="2.2000000000000002"/>
    <s v="Cash"/>
    <s v="C1797"/>
    <n v="2.2000000000000002"/>
    <s v="Thursday"/>
    <s v="March"/>
    <n v="2025"/>
  </r>
  <r>
    <x v="1236"/>
    <d v="2025-03-27T00:00:00"/>
    <s v="High Street"/>
    <s v="Bristol"/>
    <s v="Muffin"/>
    <s v="Food"/>
    <n v="1"/>
    <n v="2.2000000000000002"/>
    <s v="Cash"/>
    <s v="C1307"/>
    <n v="2.2000000000000002"/>
    <s v="Thursday"/>
    <s v="March"/>
    <n v="2025"/>
  </r>
  <r>
    <x v="1237"/>
    <d v="2025-03-28T00:00:00"/>
    <s v="Riverside"/>
    <s v="London"/>
    <s v="Latte"/>
    <s v="Drink"/>
    <n v="5"/>
    <n v="3.5"/>
    <s v="Cash"/>
    <s v="C1851"/>
    <n v="17.5"/>
    <s v="Friday"/>
    <s v="March"/>
    <n v="2025"/>
  </r>
  <r>
    <x v="1238"/>
    <d v="2025-03-28T00:00:00"/>
    <s v="High Street"/>
    <s v="Leeds"/>
    <s v="Cappuccino"/>
    <s v="Drink"/>
    <n v="3"/>
    <n v="3.8"/>
    <s v="Cash"/>
    <s v="C1913"/>
    <n v="11.399999999999999"/>
    <s v="Friday"/>
    <s v="March"/>
    <n v="2025"/>
  </r>
  <r>
    <x v="1239"/>
    <d v="2025-03-28T00:00:00"/>
    <s v="High Street"/>
    <s v="London"/>
    <s v="Croissant"/>
    <s v="Food"/>
    <n v="4"/>
    <n v="2.8"/>
    <s v="Cash"/>
    <s v="C1950"/>
    <n v="11.2"/>
    <s v="Friday"/>
    <s v="March"/>
    <n v="2025"/>
  </r>
  <r>
    <x v="1240"/>
    <d v="2025-03-28T00:00:00"/>
    <s v="Riverside"/>
    <s v="Manchester"/>
    <s v="Latte"/>
    <s v="Drink"/>
    <n v="3"/>
    <n v="3.5"/>
    <s v="Card"/>
    <s v="C1097"/>
    <n v="10.5"/>
    <s v="Friday"/>
    <s v="March"/>
    <n v="2025"/>
  </r>
  <r>
    <x v="1241"/>
    <d v="2025-03-28T00:00:00"/>
    <s v="Central"/>
    <s v="Birmingham"/>
    <s v="Latte"/>
    <s v="Drink"/>
    <n v="3"/>
    <n v="3.5"/>
    <s v="Card"/>
    <s v="C1193"/>
    <n v="10.5"/>
    <s v="Friday"/>
    <s v="March"/>
    <n v="2025"/>
  </r>
  <r>
    <x v="1242"/>
    <d v="2025-03-28T00:00:00"/>
    <s v="Riverside"/>
    <s v="Bristol"/>
    <s v="Espresso"/>
    <s v="Drink"/>
    <n v="4"/>
    <n v="2.5"/>
    <s v="Cash"/>
    <s v="C1626"/>
    <n v="10"/>
    <s v="Friday"/>
    <s v="March"/>
    <n v="2025"/>
  </r>
  <r>
    <x v="1243"/>
    <d v="2025-03-28T00:00:00"/>
    <s v="Station"/>
    <s v="Bristol"/>
    <s v="Espresso"/>
    <s v="Drink"/>
    <n v="4"/>
    <n v="2.5"/>
    <s v="Card"/>
    <s v="C1958"/>
    <n v="10"/>
    <s v="Friday"/>
    <s v="March"/>
    <n v="2025"/>
  </r>
  <r>
    <x v="1244"/>
    <d v="2025-03-28T00:00:00"/>
    <s v="Riverside"/>
    <s v="Manchester"/>
    <s v="Espresso"/>
    <s v="Drink"/>
    <n v="4"/>
    <n v="2.5"/>
    <s v="Card"/>
    <s v="C1783"/>
    <n v="10"/>
    <s v="Friday"/>
    <s v="March"/>
    <n v="2025"/>
  </r>
  <r>
    <x v="1245"/>
    <d v="2025-03-28T00:00:00"/>
    <s v="High Street"/>
    <s v="Birmingham"/>
    <s v="Muffin"/>
    <s v="Food"/>
    <n v="4"/>
    <n v="2.2000000000000002"/>
    <s v="Apple Pay"/>
    <s v="C1645"/>
    <n v="8.8000000000000007"/>
    <s v="Friday"/>
    <s v="March"/>
    <n v="2025"/>
  </r>
  <r>
    <x v="1246"/>
    <d v="2025-03-28T00:00:00"/>
    <s v="Riverside"/>
    <s v="Birmingham"/>
    <s v="Croissant"/>
    <s v="Food"/>
    <n v="3"/>
    <n v="2.8"/>
    <s v="Cash"/>
    <s v="C1658"/>
    <n v="8.3999999999999986"/>
    <s v="Friday"/>
    <s v="March"/>
    <n v="2025"/>
  </r>
  <r>
    <x v="1247"/>
    <d v="2025-03-28T00:00:00"/>
    <s v="High Street"/>
    <s v="Bristol"/>
    <s v="Croissant"/>
    <s v="Food"/>
    <n v="2"/>
    <n v="2.8"/>
    <s v="Cash"/>
    <s v="C1198"/>
    <n v="5.6"/>
    <s v="Friday"/>
    <s v="March"/>
    <n v="2025"/>
  </r>
  <r>
    <x v="1248"/>
    <d v="2025-03-28T00:00:00"/>
    <s v="Station"/>
    <s v="Manchester"/>
    <s v="Espresso"/>
    <s v="Drink"/>
    <n v="2"/>
    <n v="2.5"/>
    <s v="Card"/>
    <s v="C1836"/>
    <n v="5"/>
    <s v="Friday"/>
    <s v="March"/>
    <n v="2025"/>
  </r>
  <r>
    <x v="1249"/>
    <d v="2025-03-28T00:00:00"/>
    <s v="Station"/>
    <s v="London"/>
    <s v="Muffin"/>
    <s v="Food"/>
    <n v="2"/>
    <n v="2.2000000000000002"/>
    <s v="Card"/>
    <s v="C1015"/>
    <n v="4.4000000000000004"/>
    <s v="Friday"/>
    <s v="March"/>
    <n v="2025"/>
  </r>
  <r>
    <x v="1250"/>
    <d v="2025-03-28T00:00:00"/>
    <s v="High Street"/>
    <s v="Birmingham"/>
    <s v="Cappuccino"/>
    <s v="Drink"/>
    <n v="1"/>
    <n v="3.8"/>
    <s v="Apple Pay"/>
    <s v="C1096"/>
    <n v="3.8"/>
    <s v="Friday"/>
    <s v="March"/>
    <n v="2025"/>
  </r>
  <r>
    <x v="1251"/>
    <d v="2025-03-28T00:00:00"/>
    <s v="High Street"/>
    <s v="Leeds"/>
    <s v="Croissant"/>
    <s v="Food"/>
    <n v="1"/>
    <n v="2.8"/>
    <s v="Apple Pay"/>
    <s v="C1688"/>
    <n v="2.8"/>
    <s v="Friday"/>
    <s v="March"/>
    <n v="2025"/>
  </r>
  <r>
    <x v="1252"/>
    <d v="2025-03-28T00:00:00"/>
    <s v="Station"/>
    <s v="Manchester"/>
    <s v="Muffin"/>
    <s v="Food"/>
    <n v="1"/>
    <n v="2.2000000000000002"/>
    <s v="Card"/>
    <s v="C1301"/>
    <n v="2.2000000000000002"/>
    <s v="Friday"/>
    <s v="March"/>
    <n v="2025"/>
  </r>
  <r>
    <x v="1253"/>
    <d v="2025-03-28T00:00:00"/>
    <s v="High Street"/>
    <s v="Birmingham"/>
    <s v="Muffin"/>
    <s v="Food"/>
    <n v="1"/>
    <n v="2.2000000000000002"/>
    <s v="Apple Pay"/>
    <s v="C1625"/>
    <n v="2.2000000000000002"/>
    <s v="Friday"/>
    <s v="March"/>
    <n v="2025"/>
  </r>
  <r>
    <x v="1254"/>
    <d v="2025-03-28T00:00:00"/>
    <s v="High Street"/>
    <s v="Leeds"/>
    <s v="Muffin"/>
    <s v="Food"/>
    <n v="1"/>
    <n v="2.2000000000000002"/>
    <s v="Card"/>
    <s v="C1134"/>
    <n v="2.2000000000000002"/>
    <s v="Friday"/>
    <s v="March"/>
    <n v="2025"/>
  </r>
  <r>
    <x v="1255"/>
    <d v="2025-03-29T00:00:00"/>
    <s v="Central"/>
    <s v="Leeds"/>
    <s v="Cappuccino"/>
    <s v="Drink"/>
    <n v="5"/>
    <n v="3.8"/>
    <s v="Card"/>
    <s v="C1019"/>
    <n v="19"/>
    <s v="Saturday"/>
    <s v="March"/>
    <n v="2025"/>
  </r>
  <r>
    <x v="1256"/>
    <d v="2025-03-29T00:00:00"/>
    <s v="Station"/>
    <s v="Birmingham"/>
    <s v="Croissant"/>
    <s v="Food"/>
    <n v="5"/>
    <n v="2.8"/>
    <s v="Card"/>
    <s v="C1688"/>
    <n v="14"/>
    <s v="Saturday"/>
    <s v="March"/>
    <n v="2025"/>
  </r>
  <r>
    <x v="1257"/>
    <d v="2025-03-29T00:00:00"/>
    <s v="High Street"/>
    <s v="Leeds"/>
    <s v="Muffin"/>
    <s v="Food"/>
    <n v="5"/>
    <n v="2.2000000000000002"/>
    <s v="Cash"/>
    <s v="C1287"/>
    <n v="11"/>
    <s v="Saturday"/>
    <s v="March"/>
    <n v="2025"/>
  </r>
  <r>
    <x v="1258"/>
    <d v="2025-03-29T00:00:00"/>
    <s v="Station"/>
    <s v="London"/>
    <s v="Croissant"/>
    <s v="Food"/>
    <n v="3"/>
    <n v="2.8"/>
    <s v="Cash"/>
    <s v="C1886"/>
    <n v="8.3999999999999986"/>
    <s v="Saturday"/>
    <s v="March"/>
    <n v="2025"/>
  </r>
  <r>
    <x v="1259"/>
    <d v="2025-03-29T00:00:00"/>
    <s v="High Street"/>
    <s v="Birmingham"/>
    <s v="Cappuccino"/>
    <s v="Drink"/>
    <n v="2"/>
    <n v="3.8"/>
    <s v="Cash"/>
    <s v="C1090"/>
    <n v="7.6"/>
    <s v="Saturday"/>
    <s v="March"/>
    <n v="2025"/>
  </r>
  <r>
    <x v="1260"/>
    <d v="2025-03-29T00:00:00"/>
    <s v="Station"/>
    <s v="Birmingham"/>
    <s v="Espresso"/>
    <s v="Drink"/>
    <n v="3"/>
    <n v="2.5"/>
    <s v="Apple Pay"/>
    <s v="C1432"/>
    <n v="7.5"/>
    <s v="Saturday"/>
    <s v="March"/>
    <n v="2025"/>
  </r>
  <r>
    <x v="1261"/>
    <d v="2025-03-29T00:00:00"/>
    <s v="Riverside"/>
    <s v="Manchester"/>
    <s v="Espresso"/>
    <s v="Drink"/>
    <n v="3"/>
    <n v="2.5"/>
    <s v="Cash"/>
    <s v="C1786"/>
    <n v="7.5"/>
    <s v="Saturday"/>
    <s v="March"/>
    <n v="2025"/>
  </r>
  <r>
    <x v="1262"/>
    <d v="2025-03-29T00:00:00"/>
    <s v="Riverside"/>
    <s v="Manchester"/>
    <s v="Muffin"/>
    <s v="Food"/>
    <n v="3"/>
    <n v="2.2000000000000002"/>
    <s v="Apple Pay"/>
    <s v="C1215"/>
    <n v="6.6000000000000005"/>
    <s v="Saturday"/>
    <s v="March"/>
    <n v="2025"/>
  </r>
  <r>
    <x v="1263"/>
    <d v="2025-03-29T00:00:00"/>
    <s v="High Street"/>
    <s v="Birmingham"/>
    <s v="Latte"/>
    <s v="Drink"/>
    <n v="1"/>
    <n v="3.5"/>
    <s v="Apple Pay"/>
    <s v="C1546"/>
    <n v="3.5"/>
    <s v="Saturday"/>
    <s v="March"/>
    <n v="2025"/>
  </r>
  <r>
    <x v="1264"/>
    <d v="2025-03-30T00:00:00"/>
    <s v="Riverside"/>
    <s v="London"/>
    <s v="Latte"/>
    <s v="Drink"/>
    <n v="4"/>
    <n v="3.5"/>
    <s v="Card"/>
    <s v="C1452"/>
    <n v="14"/>
    <s v="Sunday"/>
    <s v="March"/>
    <n v="2025"/>
  </r>
  <r>
    <x v="1265"/>
    <d v="2025-03-30T00:00:00"/>
    <s v="High Street"/>
    <s v="Bristol"/>
    <s v="Latte"/>
    <s v="Drink"/>
    <n v="4"/>
    <n v="3.5"/>
    <s v="Card"/>
    <s v="C1417"/>
    <n v="14"/>
    <s v="Sunday"/>
    <s v="March"/>
    <n v="2025"/>
  </r>
  <r>
    <x v="1266"/>
    <d v="2025-03-30T00:00:00"/>
    <s v="Central"/>
    <s v="Leeds"/>
    <s v="Croissant"/>
    <s v="Food"/>
    <n v="5"/>
    <n v="2.8"/>
    <s v="Cash"/>
    <s v="C1483"/>
    <n v="14"/>
    <s v="Sunday"/>
    <s v="March"/>
    <n v="2025"/>
  </r>
  <r>
    <x v="1267"/>
    <d v="2025-03-30T00:00:00"/>
    <s v="High Street"/>
    <s v="Bristol"/>
    <s v="Latte"/>
    <s v="Drink"/>
    <n v="5"/>
    <n v="2.5"/>
    <s v="Apple Pay"/>
    <s v="C1136"/>
    <n v="12.5"/>
    <s v="Sunday"/>
    <s v="March"/>
    <n v="2025"/>
  </r>
  <r>
    <x v="1268"/>
    <d v="2025-03-30T00:00:00"/>
    <s v="Station"/>
    <s v="London"/>
    <s v="Muffin"/>
    <s v="Food"/>
    <n v="5"/>
    <n v="2.2000000000000002"/>
    <s v="Cash"/>
    <s v="C1575"/>
    <n v="11"/>
    <s v="Sunday"/>
    <s v="March"/>
    <n v="2025"/>
  </r>
  <r>
    <x v="1269"/>
    <d v="2025-03-30T00:00:00"/>
    <s v="High Street"/>
    <s v="Manchester"/>
    <s v="Latte"/>
    <s v="Drink"/>
    <n v="3"/>
    <n v="3.5"/>
    <s v="Apple Pay"/>
    <s v="C1537"/>
    <n v="10.5"/>
    <s v="Sunday"/>
    <s v="March"/>
    <n v="2025"/>
  </r>
  <r>
    <x v="1270"/>
    <d v="2025-03-30T00:00:00"/>
    <s v="High Street"/>
    <s v="Bristol"/>
    <s v="Espresso"/>
    <s v="Drink"/>
    <n v="4"/>
    <n v="2.5"/>
    <s v="Apple Pay"/>
    <s v="C1496"/>
    <n v="10"/>
    <s v="Sunday"/>
    <s v="March"/>
    <n v="2025"/>
  </r>
  <r>
    <x v="1271"/>
    <d v="2025-03-30T00:00:00"/>
    <s v="High Street"/>
    <s v="Bristol"/>
    <s v="Muffin"/>
    <s v="Food"/>
    <n v="4"/>
    <n v="2.2000000000000002"/>
    <s v="Cash"/>
    <s v="C1271"/>
    <n v="8.8000000000000007"/>
    <s v="Sunday"/>
    <s v="March"/>
    <n v="2025"/>
  </r>
  <r>
    <x v="1272"/>
    <d v="2025-03-30T00:00:00"/>
    <s v="High Street"/>
    <s v="Bristol"/>
    <s v="Croissant"/>
    <s v="Food"/>
    <n v="2"/>
    <n v="2.8"/>
    <s v="Apple Pay"/>
    <s v="C1706"/>
    <n v="5.6"/>
    <s v="Sunday"/>
    <s v="March"/>
    <n v="2025"/>
  </r>
  <r>
    <x v="1273"/>
    <d v="2025-03-30T00:00:00"/>
    <s v="Station"/>
    <s v="Bristol"/>
    <s v="Croissant"/>
    <s v="Food"/>
    <n v="2"/>
    <n v="2.8"/>
    <s v="Card"/>
    <s v="C1677"/>
    <n v="5.6"/>
    <s v="Sunday"/>
    <s v="March"/>
    <n v="2025"/>
  </r>
  <r>
    <x v="1274"/>
    <d v="2025-03-30T00:00:00"/>
    <s v="Station"/>
    <s v="London"/>
    <s v="Espresso"/>
    <s v="Drink"/>
    <n v="1"/>
    <n v="2.5"/>
    <s v="Cash"/>
    <s v="C1214"/>
    <n v="2.5"/>
    <s v="Sunday"/>
    <s v="March"/>
    <n v="2025"/>
  </r>
  <r>
    <x v="1275"/>
    <d v="2025-03-30T00:00:00"/>
    <s v="Station"/>
    <s v="Bristol"/>
    <s v="Espresso"/>
    <s v="Drink"/>
    <n v="1"/>
    <n v="2.5"/>
    <s v="Cash"/>
    <s v="C1313"/>
    <n v="2.5"/>
    <s v="Sunday"/>
    <s v="March"/>
    <n v="2025"/>
  </r>
  <r>
    <x v="1276"/>
    <d v="2025-03-31T00:00:00"/>
    <s v="High Street"/>
    <s v="Bristol"/>
    <s v="Cappuccino"/>
    <s v="Drink"/>
    <n v="5"/>
    <n v="3.8"/>
    <s v="Apple Pay"/>
    <s v="C1357"/>
    <n v="19"/>
    <s v="Monday"/>
    <s v="March"/>
    <n v="2025"/>
  </r>
  <r>
    <x v="1277"/>
    <d v="2025-03-31T00:00:00"/>
    <s v="Station"/>
    <s v="Birmingham"/>
    <s v="Cappuccino"/>
    <s v="Drink"/>
    <n v="5"/>
    <n v="3.8"/>
    <s v="Cash"/>
    <s v="C1886"/>
    <n v="19"/>
    <s v="Monday"/>
    <s v="March"/>
    <n v="2025"/>
  </r>
  <r>
    <x v="1278"/>
    <d v="2025-03-31T00:00:00"/>
    <s v="High Street"/>
    <s v="Birmingham"/>
    <s v="Latte"/>
    <s v="Drink"/>
    <n v="5"/>
    <n v="3.5"/>
    <s v="Card"/>
    <s v="C1050"/>
    <n v="17.5"/>
    <s v="Monday"/>
    <s v="March"/>
    <n v="2025"/>
  </r>
  <r>
    <x v="1279"/>
    <d v="2025-03-31T00:00:00"/>
    <s v="High Street"/>
    <s v="London"/>
    <s v="Espresso"/>
    <s v="Drink"/>
    <n v="5"/>
    <n v="2.5"/>
    <s v="Cash"/>
    <s v="C1991"/>
    <n v="12.5"/>
    <s v="Monday"/>
    <s v="March"/>
    <n v="2025"/>
  </r>
  <r>
    <x v="1280"/>
    <d v="2025-03-31T00:00:00"/>
    <s v="Riverside"/>
    <s v="Birmingham"/>
    <s v="Croissant"/>
    <s v="Food"/>
    <n v="4"/>
    <n v="2.8"/>
    <s v="Apple Pay"/>
    <s v="C1054"/>
    <n v="11.2"/>
    <s v="Monday"/>
    <s v="March"/>
    <n v="2025"/>
  </r>
  <r>
    <x v="1281"/>
    <d v="2025-03-31T00:00:00"/>
    <s v="Station"/>
    <s v="Leeds"/>
    <s v="Croissant"/>
    <s v="Food"/>
    <n v="4"/>
    <n v="2.8"/>
    <s v="Apple Pay"/>
    <s v="C1854"/>
    <n v="11.2"/>
    <s v="Monday"/>
    <s v="March"/>
    <n v="2025"/>
  </r>
  <r>
    <x v="1282"/>
    <d v="2025-03-31T00:00:00"/>
    <s v="High Street"/>
    <s v="London"/>
    <s v="Croissant"/>
    <s v="Food"/>
    <n v="4"/>
    <n v="2.8"/>
    <s v="Apple Pay"/>
    <s v="C1819"/>
    <n v="11.2"/>
    <s v="Monday"/>
    <s v="March"/>
    <n v="2025"/>
  </r>
  <r>
    <x v="1283"/>
    <d v="2025-03-31T00:00:00"/>
    <s v="Central"/>
    <s v="Bristol"/>
    <s v="Latte"/>
    <s v="Drink"/>
    <n v="3"/>
    <n v="3.5"/>
    <s v="Apple Pay"/>
    <s v="C1182"/>
    <n v="10.5"/>
    <s v="Monday"/>
    <s v="March"/>
    <n v="2025"/>
  </r>
  <r>
    <x v="1284"/>
    <d v="2025-03-31T00:00:00"/>
    <s v="High Street"/>
    <s v="Bristol"/>
    <s v="Muffin"/>
    <s v="Food"/>
    <n v="4"/>
    <n v="2.2000000000000002"/>
    <s v="Cash"/>
    <s v="C1072"/>
    <n v="8.8000000000000007"/>
    <s v="Monday"/>
    <s v="March"/>
    <n v="2025"/>
  </r>
  <r>
    <x v="1285"/>
    <d v="2025-03-31T00:00:00"/>
    <s v="Riverside"/>
    <s v="Manchester"/>
    <s v="Espresso"/>
    <s v="Drink"/>
    <n v="3"/>
    <n v="2.5"/>
    <s v="Apple Pay"/>
    <s v="C1392"/>
    <n v="7.5"/>
    <s v="Monday"/>
    <s v="March"/>
    <n v="2025"/>
  </r>
  <r>
    <x v="1286"/>
    <d v="2025-03-31T00:00:00"/>
    <s v="Riverside"/>
    <s v="London"/>
    <s v="Latte"/>
    <s v="Drink"/>
    <n v="2"/>
    <n v="3.5"/>
    <s v="Cash"/>
    <s v="C1972"/>
    <n v="7"/>
    <s v="Monday"/>
    <s v="March"/>
    <n v="2025"/>
  </r>
  <r>
    <x v="1287"/>
    <d v="2025-03-31T00:00:00"/>
    <s v="Central"/>
    <s v="London"/>
    <s v="Latte"/>
    <s v="Drink"/>
    <n v="2"/>
    <n v="3.5"/>
    <s v="Card"/>
    <s v="C1320"/>
    <n v="7"/>
    <s v="Monday"/>
    <s v="March"/>
    <n v="2025"/>
  </r>
  <r>
    <x v="1288"/>
    <d v="2025-03-31T00:00:00"/>
    <s v="High Street"/>
    <s v="Bristol"/>
    <s v="Croissant"/>
    <s v="Food"/>
    <n v="2"/>
    <n v="2.8"/>
    <s v="Cash"/>
    <s v="C1824"/>
    <n v="5.6"/>
    <s v="Monday"/>
    <s v="March"/>
    <n v="2025"/>
  </r>
  <r>
    <x v="1289"/>
    <d v="2025-03-31T00:00:00"/>
    <s v="High Street"/>
    <s v="Leeds"/>
    <s v="Espresso"/>
    <s v="Drink"/>
    <n v="2"/>
    <n v="2.5"/>
    <s v="Cash"/>
    <s v="C1852"/>
    <n v="5"/>
    <s v="Monday"/>
    <s v="March"/>
    <n v="2025"/>
  </r>
  <r>
    <x v="1290"/>
    <d v="2025-03-31T00:00:00"/>
    <s v="High Street"/>
    <s v="Birmingham"/>
    <s v="Muffin"/>
    <s v="Food"/>
    <n v="2"/>
    <n v="2.2000000000000002"/>
    <s v="Cash"/>
    <s v="C1486"/>
    <n v="4.4000000000000004"/>
    <s v="Monday"/>
    <s v="March"/>
    <n v="2025"/>
  </r>
  <r>
    <x v="1291"/>
    <d v="2025-03-31T00:00:00"/>
    <s v="Riverside"/>
    <s v="London"/>
    <s v="Cappuccino"/>
    <s v="Drink"/>
    <n v="1"/>
    <n v="3.8"/>
    <s v="Cash"/>
    <s v="C1769"/>
    <n v="3.8"/>
    <s v="Monday"/>
    <s v="March"/>
    <n v="2025"/>
  </r>
  <r>
    <x v="1292"/>
    <d v="2025-03-31T00:00:00"/>
    <s v="Station"/>
    <s v="Manchester"/>
    <s v="Espresso"/>
    <s v="Drink"/>
    <n v="1"/>
    <n v="2.5"/>
    <s v="Cash"/>
    <s v="C1923"/>
    <n v="2.5"/>
    <s v="Monday"/>
    <s v="March"/>
    <n v="2025"/>
  </r>
  <r>
    <x v="1293"/>
    <d v="2025-03-31T00:00:00"/>
    <s v="Riverside"/>
    <s v="Birmingham"/>
    <s v="Espresso"/>
    <s v="Drink"/>
    <n v="1"/>
    <n v="2.5"/>
    <s v="Apple Pay"/>
    <s v="C1478"/>
    <n v="2.5"/>
    <s v="Monday"/>
    <s v="March"/>
    <n v="2025"/>
  </r>
  <r>
    <x v="1294"/>
    <d v="2025-03-31T00:00:00"/>
    <s v="High Street"/>
    <s v="Leeds"/>
    <s v="Espresso"/>
    <s v="Drink"/>
    <n v="1"/>
    <n v="2.5"/>
    <s v="Apple Pay"/>
    <s v="C1537"/>
    <n v="2.5"/>
    <s v="Monday"/>
    <s v="March"/>
    <n v="2025"/>
  </r>
  <r>
    <x v="1295"/>
    <d v="2025-04-01T00:00:00"/>
    <s v="Station"/>
    <s v="Manchester"/>
    <s v="Cappuccino"/>
    <s v="Drink"/>
    <n v="5"/>
    <n v="3.8"/>
    <s v="Card"/>
    <s v="C1854"/>
    <n v="19"/>
    <s v="Tuesday"/>
    <s v="April"/>
    <n v="2025"/>
  </r>
  <r>
    <x v="1296"/>
    <d v="2025-04-01T00:00:00"/>
    <s v="Central"/>
    <s v="Manchester"/>
    <s v="Latte"/>
    <s v="Drink"/>
    <n v="4"/>
    <n v="3.5"/>
    <s v="Card"/>
    <s v="C1778"/>
    <n v="14"/>
    <s v="Tuesday"/>
    <s v="April"/>
    <n v="2025"/>
  </r>
  <r>
    <x v="1297"/>
    <d v="2025-04-01T00:00:00"/>
    <s v="Riverside"/>
    <s v="Manchester"/>
    <s v="Croissant"/>
    <s v="Food"/>
    <n v="5"/>
    <n v="2.8"/>
    <s v="Apple Pay"/>
    <s v="C1876"/>
    <n v="14"/>
    <s v="Tuesday"/>
    <s v="April"/>
    <n v="2025"/>
  </r>
  <r>
    <x v="1298"/>
    <d v="2025-04-01T00:00:00"/>
    <s v="Riverside"/>
    <s v="Birmingham"/>
    <s v="Croissant"/>
    <s v="Food"/>
    <n v="5"/>
    <n v="2.8"/>
    <s v="Card"/>
    <s v="C1352"/>
    <n v="14"/>
    <s v="Tuesday"/>
    <s v="April"/>
    <n v="2025"/>
  </r>
  <r>
    <x v="1299"/>
    <d v="2025-04-01T00:00:00"/>
    <s v="High Street"/>
    <s v="London"/>
    <s v="Muffin"/>
    <s v="Food"/>
    <n v="5"/>
    <n v="2.2000000000000002"/>
    <s v="Cash"/>
    <s v="C1490"/>
    <n v="11"/>
    <s v="Tuesday"/>
    <s v="April"/>
    <n v="2025"/>
  </r>
  <r>
    <x v="1300"/>
    <d v="2025-04-01T00:00:00"/>
    <s v="Station"/>
    <s v="Birmingham"/>
    <s v="Muffin"/>
    <s v="Food"/>
    <n v="5"/>
    <n v="2.2000000000000002"/>
    <s v="Apple Pay"/>
    <s v="C1155"/>
    <n v="11"/>
    <s v="Tuesday"/>
    <s v="April"/>
    <n v="2025"/>
  </r>
  <r>
    <x v="1301"/>
    <d v="2025-04-01T00:00:00"/>
    <s v="High Street"/>
    <s v="Leeds"/>
    <s v="Espresso"/>
    <s v="Drink"/>
    <n v="4"/>
    <n v="2.5"/>
    <s v="Cash"/>
    <s v="C1753"/>
    <n v="10"/>
    <s v="Tuesday"/>
    <s v="April"/>
    <n v="2025"/>
  </r>
  <r>
    <x v="1302"/>
    <d v="2025-04-01T00:00:00"/>
    <s v="High Street"/>
    <s v="London"/>
    <s v="Muffin"/>
    <s v="Food"/>
    <n v="4"/>
    <n v="2.2000000000000002"/>
    <s v="Cash"/>
    <s v="C1306"/>
    <n v="8.8000000000000007"/>
    <s v="Tuesday"/>
    <s v="April"/>
    <n v="2025"/>
  </r>
  <r>
    <x v="1303"/>
    <d v="2025-04-01T00:00:00"/>
    <s v="High Street"/>
    <s v="Birmingham"/>
    <s v="Croissant"/>
    <s v="Food"/>
    <n v="3"/>
    <n v="2.8"/>
    <s v="Apple Pay"/>
    <s v="C1694"/>
    <n v="8.3999999999999986"/>
    <s v="Tuesday"/>
    <s v="April"/>
    <n v="2025"/>
  </r>
  <r>
    <x v="1304"/>
    <d v="2025-04-01T00:00:00"/>
    <s v="Riverside"/>
    <s v="Leeds"/>
    <s v="Croissant"/>
    <s v="Food"/>
    <n v="3"/>
    <n v="2.8"/>
    <s v="Card"/>
    <s v="C1990"/>
    <n v="8.3999999999999986"/>
    <s v="Tuesday"/>
    <s v="April"/>
    <n v="2025"/>
  </r>
  <r>
    <x v="1305"/>
    <d v="2025-04-01T00:00:00"/>
    <s v="Central"/>
    <s v="Birmingham"/>
    <s v="Croissant"/>
    <s v="Food"/>
    <n v="3"/>
    <n v="2.8"/>
    <s v="Card"/>
    <s v="C1008"/>
    <n v="8.3999999999999986"/>
    <s v="Tuesday"/>
    <s v="April"/>
    <n v="2025"/>
  </r>
  <r>
    <x v="1306"/>
    <d v="2025-04-01T00:00:00"/>
    <s v="Station"/>
    <s v="London"/>
    <s v="Cappuccino"/>
    <s v="Drink"/>
    <n v="2"/>
    <n v="3.8"/>
    <s v="Apple Pay"/>
    <s v="C1145"/>
    <n v="7.6"/>
    <s v="Tuesday"/>
    <s v="April"/>
    <n v="2025"/>
  </r>
  <r>
    <x v="1307"/>
    <d v="2025-04-01T00:00:00"/>
    <s v="Riverside"/>
    <s v="London"/>
    <s v="Cappuccino"/>
    <s v="Drink"/>
    <n v="2"/>
    <n v="3.8"/>
    <s v="Cash"/>
    <s v="C1348"/>
    <n v="7.6"/>
    <s v="Tuesday"/>
    <s v="April"/>
    <n v="2025"/>
  </r>
  <r>
    <x v="1308"/>
    <d v="2025-04-01T00:00:00"/>
    <s v="Central"/>
    <s v="Manchester"/>
    <s v="Espresso"/>
    <s v="Drink"/>
    <n v="3"/>
    <n v="2.5"/>
    <s v="Cash"/>
    <s v="C1073"/>
    <n v="7.5"/>
    <s v="Tuesday"/>
    <s v="April"/>
    <n v="2025"/>
  </r>
  <r>
    <x v="1309"/>
    <d v="2025-04-01T00:00:00"/>
    <s v="Central"/>
    <s v="Bristol"/>
    <s v="Espresso"/>
    <s v="Drink"/>
    <n v="2"/>
    <n v="2.5"/>
    <s v="Card"/>
    <s v="C1256"/>
    <n v="5"/>
    <s v="Tuesday"/>
    <s v="April"/>
    <n v="2025"/>
  </r>
  <r>
    <x v="1310"/>
    <d v="2025-04-01T00:00:00"/>
    <s v="High Street"/>
    <s v="Bristol"/>
    <s v="Latte"/>
    <s v="Drink"/>
    <n v="1"/>
    <n v="3.5"/>
    <s v="Cash"/>
    <s v="C1532"/>
    <n v="3.5"/>
    <s v="Tuesday"/>
    <s v="April"/>
    <n v="2025"/>
  </r>
  <r>
    <x v="1311"/>
    <d v="2025-04-01T00:00:00"/>
    <s v="Riverside"/>
    <s v="London"/>
    <s v="Croissant"/>
    <s v="Food"/>
    <n v="1"/>
    <n v="2.8"/>
    <s v="Cash"/>
    <s v="C1605"/>
    <n v="2.8"/>
    <s v="Tuesday"/>
    <s v="April"/>
    <n v="2025"/>
  </r>
  <r>
    <x v="1312"/>
    <d v="2025-04-01T00:00:00"/>
    <s v="Central"/>
    <s v="Leeds"/>
    <s v="Muffin"/>
    <s v="Food"/>
    <n v="1"/>
    <n v="2.2000000000000002"/>
    <s v="Apple Pay"/>
    <s v="C1721"/>
    <n v="2.2000000000000002"/>
    <s v="Tuesday"/>
    <s v="April"/>
    <n v="2025"/>
  </r>
  <r>
    <x v="1313"/>
    <d v="2025-04-01T00:00:00"/>
    <s v="Riverside"/>
    <s v="London"/>
    <s v="Muffin"/>
    <s v="Food"/>
    <n v="1"/>
    <n v="2.2000000000000002"/>
    <s v="Card"/>
    <s v="C1552"/>
    <n v="2.2000000000000002"/>
    <s v="Tuesday"/>
    <s v="April"/>
    <n v="2025"/>
  </r>
  <r>
    <x v="1314"/>
    <d v="2025-04-02T00:00:00"/>
    <s v="Riverside"/>
    <s v="London"/>
    <s v="Cappuccino"/>
    <s v="Drink"/>
    <n v="4"/>
    <n v="3.8"/>
    <s v="Apple Pay"/>
    <s v="C1350"/>
    <n v="15.2"/>
    <s v="Wednesday"/>
    <s v="April"/>
    <n v="2025"/>
  </r>
  <r>
    <x v="1315"/>
    <d v="2025-04-02T00:00:00"/>
    <s v="Riverside"/>
    <s v="London"/>
    <s v="Cappuccino"/>
    <s v="Drink"/>
    <n v="3"/>
    <n v="3.8"/>
    <s v="Cash"/>
    <s v="C1995"/>
    <n v="11.399999999999999"/>
    <s v="Wednesday"/>
    <s v="April"/>
    <n v="2025"/>
  </r>
  <r>
    <x v="1316"/>
    <d v="2025-04-02T00:00:00"/>
    <s v="Station"/>
    <s v="Birmingham"/>
    <s v="Latte"/>
    <s v="Drink"/>
    <n v="3"/>
    <n v="3.5"/>
    <s v="Card"/>
    <s v="C1547"/>
    <n v="10.5"/>
    <s v="Wednesday"/>
    <s v="April"/>
    <n v="2025"/>
  </r>
  <r>
    <x v="1317"/>
    <d v="2025-04-02T00:00:00"/>
    <s v="Riverside"/>
    <s v="Manchester"/>
    <s v="Espresso"/>
    <s v="Drink"/>
    <n v="4"/>
    <n v="2.5"/>
    <s v="Card"/>
    <s v="C1337"/>
    <n v="10"/>
    <s v="Wednesday"/>
    <s v="April"/>
    <n v="2025"/>
  </r>
  <r>
    <x v="1318"/>
    <d v="2025-04-02T00:00:00"/>
    <s v="Riverside"/>
    <s v="Manchester"/>
    <s v="Muffin"/>
    <s v="Food"/>
    <n v="4"/>
    <n v="2.2000000000000002"/>
    <s v="Apple Pay"/>
    <s v="C1057"/>
    <n v="8.8000000000000007"/>
    <s v="Wednesday"/>
    <s v="April"/>
    <n v="2025"/>
  </r>
  <r>
    <x v="1319"/>
    <d v="2025-04-02T00:00:00"/>
    <s v="Riverside"/>
    <s v="Birmingham"/>
    <s v="Espresso"/>
    <s v="Drink"/>
    <n v="3"/>
    <n v="2.5"/>
    <s v="Card"/>
    <s v="C1156"/>
    <n v="7.5"/>
    <s v="Wednesday"/>
    <s v="April"/>
    <n v="2025"/>
  </r>
  <r>
    <x v="1320"/>
    <d v="2025-04-02T00:00:00"/>
    <s v="Station"/>
    <s v="Manchester"/>
    <s v="Latte"/>
    <s v="Drink"/>
    <n v="2"/>
    <n v="3.5"/>
    <s v="Cash"/>
    <s v="C1155"/>
    <n v="7"/>
    <s v="Wednesday"/>
    <s v="April"/>
    <n v="2025"/>
  </r>
  <r>
    <x v="1321"/>
    <d v="2025-04-02T00:00:00"/>
    <s v="High Street"/>
    <s v="Birmingham"/>
    <s v="Croissant"/>
    <s v="Food"/>
    <n v="1"/>
    <n v="2.8"/>
    <s v="Card"/>
    <s v="C1083"/>
    <n v="2.8"/>
    <s v="Wednesday"/>
    <s v="April"/>
    <n v="2025"/>
  </r>
  <r>
    <x v="1322"/>
    <d v="2025-04-02T00:00:00"/>
    <s v="High Street"/>
    <s v="London"/>
    <s v="Muffin"/>
    <s v="Food"/>
    <n v="1"/>
    <n v="2.2000000000000002"/>
    <s v="Cash"/>
    <s v="C1046"/>
    <n v="2.2000000000000002"/>
    <s v="Wednesday"/>
    <s v="April"/>
    <n v="2025"/>
  </r>
  <r>
    <x v="1323"/>
    <d v="2025-04-03T00:00:00"/>
    <s v="Central"/>
    <s v="Manchester"/>
    <s v="Cappuccino"/>
    <s v="Drink"/>
    <n v="5"/>
    <n v="3.8"/>
    <s v="Card"/>
    <s v="C1336"/>
    <n v="19"/>
    <s v="Thursday"/>
    <s v="April"/>
    <n v="2025"/>
  </r>
  <r>
    <x v="1324"/>
    <d v="2025-04-03T00:00:00"/>
    <s v="Riverside"/>
    <s v="Bristol"/>
    <s v="Croissant"/>
    <s v="Food"/>
    <n v="4"/>
    <n v="2.8"/>
    <s v="Apple Pay"/>
    <s v="C1977"/>
    <n v="11.2"/>
    <s v="Thursday"/>
    <s v="April"/>
    <n v="2025"/>
  </r>
  <r>
    <x v="1325"/>
    <d v="2025-04-03T00:00:00"/>
    <s v="Riverside"/>
    <s v="London"/>
    <s v="Croissant"/>
    <s v="Food"/>
    <n v="4"/>
    <n v="2.8"/>
    <s v="Cash"/>
    <s v="C1880"/>
    <n v="11.2"/>
    <s v="Thursday"/>
    <s v="April"/>
    <n v="2025"/>
  </r>
  <r>
    <x v="1326"/>
    <d v="2025-04-03T00:00:00"/>
    <s v="High Street"/>
    <s v="Birmingham"/>
    <s v="Latte"/>
    <s v="Drink"/>
    <n v="3"/>
    <n v="3.5"/>
    <s v="Card"/>
    <s v="C1585"/>
    <n v="10.5"/>
    <s v="Thursday"/>
    <s v="April"/>
    <n v="2025"/>
  </r>
  <r>
    <x v="1327"/>
    <d v="2025-04-03T00:00:00"/>
    <s v="Station"/>
    <s v="Bristol"/>
    <s v="Espresso"/>
    <s v="Drink"/>
    <n v="4"/>
    <n v="2.5"/>
    <s v="Cash"/>
    <s v="C1395"/>
    <n v="10"/>
    <s v="Thursday"/>
    <s v="April"/>
    <n v="2025"/>
  </r>
  <r>
    <x v="1328"/>
    <d v="2025-04-03T00:00:00"/>
    <s v="High Street"/>
    <s v="Leeds"/>
    <s v="Croissant"/>
    <s v="Food"/>
    <n v="3"/>
    <n v="2.8"/>
    <s v="Cash"/>
    <s v="C1411"/>
    <n v="8.3999999999999986"/>
    <s v="Thursday"/>
    <s v="April"/>
    <n v="2025"/>
  </r>
  <r>
    <x v="1329"/>
    <d v="2025-04-03T00:00:00"/>
    <s v="Riverside"/>
    <s v="Leeds"/>
    <s v="Latte"/>
    <s v="Drink"/>
    <n v="2"/>
    <n v="3.5"/>
    <s v="Apple Pay"/>
    <s v="C1171"/>
    <n v="7"/>
    <s v="Thursday"/>
    <s v="April"/>
    <n v="2025"/>
  </r>
  <r>
    <x v="1330"/>
    <d v="2025-04-03T00:00:00"/>
    <s v="Central"/>
    <s v="Manchester"/>
    <s v="Latte"/>
    <s v="Drink"/>
    <n v="2"/>
    <n v="3.5"/>
    <s v="Cash"/>
    <s v="C1901"/>
    <n v="7"/>
    <s v="Thursday"/>
    <s v="April"/>
    <n v="2025"/>
  </r>
  <r>
    <x v="1331"/>
    <d v="2025-04-03T00:00:00"/>
    <s v="Riverside"/>
    <s v="Manchester"/>
    <s v="Espresso"/>
    <s v="Drink"/>
    <n v="2"/>
    <n v="2.5"/>
    <s v="Cash"/>
    <s v="C1729"/>
    <n v="5"/>
    <s v="Thursday"/>
    <s v="April"/>
    <n v="2025"/>
  </r>
  <r>
    <x v="1332"/>
    <d v="2025-04-03T00:00:00"/>
    <s v="High Street"/>
    <s v="Bristol"/>
    <s v="Latte"/>
    <s v="Drink"/>
    <n v="1"/>
    <n v="3.5"/>
    <s v="Apple Pay"/>
    <s v="C1514"/>
    <n v="3.5"/>
    <s v="Thursday"/>
    <s v="April"/>
    <n v="2025"/>
  </r>
  <r>
    <x v="1333"/>
    <d v="2025-04-03T00:00:00"/>
    <s v="Riverside"/>
    <s v="Bristol"/>
    <s v="Croissant"/>
    <s v="Food"/>
    <n v="1"/>
    <n v="2.8"/>
    <s v="Apple Pay"/>
    <s v="C1475"/>
    <n v="2.8"/>
    <s v="Thursday"/>
    <s v="April"/>
    <n v="2025"/>
  </r>
  <r>
    <x v="1334"/>
    <d v="2025-04-03T00:00:00"/>
    <s v="Central"/>
    <s v="Leeds"/>
    <s v="Croissant"/>
    <s v="Food"/>
    <n v="1"/>
    <n v="2.8"/>
    <s v="Cash"/>
    <s v="C1365"/>
    <n v="2.8"/>
    <s v="Thursday"/>
    <s v="April"/>
    <n v="2025"/>
  </r>
  <r>
    <x v="1335"/>
    <d v="2025-04-03T00:00:00"/>
    <s v="Central"/>
    <s v="London"/>
    <s v="Croissant"/>
    <s v="Food"/>
    <n v="1"/>
    <n v="2.8"/>
    <s v="Cash"/>
    <s v="C1046"/>
    <n v="2.8"/>
    <s v="Thursday"/>
    <s v="April"/>
    <n v="2025"/>
  </r>
  <r>
    <x v="1336"/>
    <d v="2025-04-04T00:00:00"/>
    <s v="Central"/>
    <s v="London"/>
    <s v="Cappuccino"/>
    <s v="Drink"/>
    <n v="5"/>
    <n v="3.8"/>
    <s v="Apple Pay"/>
    <s v="C1900"/>
    <n v="19"/>
    <s v="Friday"/>
    <s v="April"/>
    <n v="2025"/>
  </r>
  <r>
    <x v="1337"/>
    <d v="2025-04-04T00:00:00"/>
    <s v="Central"/>
    <s v="Birmingham"/>
    <s v="Latte"/>
    <s v="Drink"/>
    <n v="5"/>
    <n v="3.5"/>
    <s v="Apple Pay"/>
    <s v="C1185"/>
    <n v="17.5"/>
    <s v="Friday"/>
    <s v="April"/>
    <n v="2025"/>
  </r>
  <r>
    <x v="1338"/>
    <d v="2025-04-04T00:00:00"/>
    <s v="Station"/>
    <s v="Birmingham"/>
    <s v="Latte"/>
    <s v="Drink"/>
    <n v="4"/>
    <n v="3.5"/>
    <s v="Apple Pay"/>
    <s v="C1151"/>
    <n v="14"/>
    <s v="Friday"/>
    <s v="April"/>
    <n v="2025"/>
  </r>
  <r>
    <x v="1339"/>
    <d v="2025-04-04T00:00:00"/>
    <s v="High Street"/>
    <s v="Leeds"/>
    <s v="Croissant"/>
    <s v="Food"/>
    <n v="4"/>
    <n v="2.8"/>
    <s v="Card"/>
    <s v="C1700"/>
    <n v="11.2"/>
    <s v="Friday"/>
    <s v="April"/>
    <n v="2025"/>
  </r>
  <r>
    <x v="1340"/>
    <d v="2025-04-04T00:00:00"/>
    <s v="Central"/>
    <s v="Birmingham"/>
    <s v="Croissant"/>
    <s v="Food"/>
    <n v="3"/>
    <n v="2.8"/>
    <s v="Card"/>
    <s v="C1556"/>
    <n v="8.3999999999999986"/>
    <s v="Friday"/>
    <s v="April"/>
    <n v="2025"/>
  </r>
  <r>
    <x v="1341"/>
    <d v="2025-04-04T00:00:00"/>
    <s v="Riverside"/>
    <s v="London"/>
    <s v="Espresso"/>
    <s v="Drink"/>
    <n v="3"/>
    <n v="2.5"/>
    <s v="Apple Pay"/>
    <s v="C1880"/>
    <n v="7.5"/>
    <s v="Friday"/>
    <s v="April"/>
    <n v="2025"/>
  </r>
  <r>
    <x v="1342"/>
    <d v="2025-04-04T00:00:00"/>
    <s v="High Street"/>
    <s v="London"/>
    <s v="Espresso"/>
    <s v="Drink"/>
    <n v="3"/>
    <n v="2.5"/>
    <s v="Apple Pay"/>
    <s v="C1266"/>
    <n v="7.5"/>
    <s v="Friday"/>
    <s v="April"/>
    <n v="2025"/>
  </r>
  <r>
    <x v="1343"/>
    <d v="2025-04-04T00:00:00"/>
    <s v="Riverside"/>
    <s v="London"/>
    <s v="Croissant"/>
    <s v="Food"/>
    <n v="2"/>
    <n v="2.8"/>
    <s v="Apple Pay"/>
    <s v="C1380"/>
    <n v="5.6"/>
    <s v="Friday"/>
    <s v="April"/>
    <n v="2025"/>
  </r>
  <r>
    <x v="1344"/>
    <d v="2025-04-04T00:00:00"/>
    <s v="High Street"/>
    <s v="Leeds"/>
    <s v="Espresso"/>
    <s v="Drink"/>
    <n v="2"/>
    <n v="2.5"/>
    <s v="Cash"/>
    <s v="C1892"/>
    <n v="5"/>
    <s v="Friday"/>
    <s v="April"/>
    <n v="2025"/>
  </r>
  <r>
    <x v="1345"/>
    <d v="2025-04-04T00:00:00"/>
    <s v="High Street"/>
    <s v="Birmingham"/>
    <s v="Muffin"/>
    <s v="Food"/>
    <n v="2"/>
    <n v="2.2000000000000002"/>
    <s v="Cash"/>
    <s v="C1844"/>
    <n v="4.4000000000000004"/>
    <s v="Friday"/>
    <s v="April"/>
    <n v="2025"/>
  </r>
  <r>
    <x v="1346"/>
    <d v="2025-04-04T00:00:00"/>
    <s v="Station"/>
    <s v="Leeds"/>
    <s v="Cappuccino"/>
    <s v="Drink"/>
    <n v="1"/>
    <n v="3.8"/>
    <s v="Apple Pay"/>
    <s v="C1043"/>
    <n v="3.8"/>
    <s v="Friday"/>
    <s v="April"/>
    <n v="2025"/>
  </r>
  <r>
    <x v="1347"/>
    <d v="2025-04-04T00:00:00"/>
    <s v="High Street"/>
    <s v="Bristol"/>
    <s v="Latte"/>
    <s v="Drink"/>
    <n v="1"/>
    <n v="3.5"/>
    <s v="Cash"/>
    <s v="C1179"/>
    <n v="3.5"/>
    <s v="Friday"/>
    <s v="April"/>
    <n v="2025"/>
  </r>
  <r>
    <x v="1348"/>
    <d v="2025-04-05T00:00:00"/>
    <s v="Riverside"/>
    <s v="Leeds"/>
    <s v="Cappuccino"/>
    <s v="Drink"/>
    <n v="5"/>
    <n v="3.8"/>
    <s v="Card"/>
    <s v="C1902"/>
    <n v="19"/>
    <s v="Saturday"/>
    <s v="April"/>
    <n v="2025"/>
  </r>
  <r>
    <x v="1349"/>
    <d v="2025-04-05T00:00:00"/>
    <s v="Central"/>
    <s v="Bristol"/>
    <s v="Cappuccino"/>
    <s v="Drink"/>
    <n v="5"/>
    <n v="3.8"/>
    <s v="Card"/>
    <s v="C1506"/>
    <n v="19"/>
    <s v="Saturday"/>
    <s v="April"/>
    <n v="2025"/>
  </r>
  <r>
    <x v="1350"/>
    <d v="2025-04-05T00:00:00"/>
    <s v="Riverside"/>
    <s v="Manchester"/>
    <s v="Latte"/>
    <s v="Drink"/>
    <n v="5"/>
    <n v="3.5"/>
    <s v="Cash"/>
    <s v="C1181"/>
    <n v="17.5"/>
    <s v="Saturday"/>
    <s v="April"/>
    <n v="2025"/>
  </r>
  <r>
    <x v="1351"/>
    <d v="2025-04-05T00:00:00"/>
    <s v="Riverside"/>
    <s v="N/A"/>
    <s v="Latte"/>
    <s v="Drink"/>
    <n v="2"/>
    <n v="3.5"/>
    <s v="Apple Pay"/>
    <s v="C1808"/>
    <n v="7"/>
    <s v="Saturday"/>
    <s v="April"/>
    <n v="2025"/>
  </r>
  <r>
    <x v="1352"/>
    <d v="2025-04-05T00:00:00"/>
    <s v="High Street"/>
    <s v="London"/>
    <s v="Muffin"/>
    <s v="Food"/>
    <n v="2"/>
    <n v="2.2000000000000002"/>
    <s v="Apple Pay"/>
    <s v="C1645"/>
    <n v="4.4000000000000004"/>
    <s v="Saturday"/>
    <s v="April"/>
    <n v="2025"/>
  </r>
  <r>
    <x v="1353"/>
    <d v="2025-04-05T00:00:00"/>
    <s v="Central"/>
    <s v="Manchester"/>
    <s v="Cappuccino"/>
    <s v="Drink"/>
    <n v="1"/>
    <n v="3.8"/>
    <s v="Card"/>
    <s v="C1782"/>
    <n v="3.8"/>
    <s v="Saturday"/>
    <s v="April"/>
    <n v="2025"/>
  </r>
  <r>
    <x v="1354"/>
    <d v="2025-04-05T00:00:00"/>
    <s v="Station"/>
    <s v="N/A"/>
    <s v="Croissant"/>
    <s v="Food"/>
    <n v="1"/>
    <n v="2.8"/>
    <s v="Cash"/>
    <s v="C1799"/>
    <n v="2.8"/>
    <s v="Saturday"/>
    <s v="April"/>
    <n v="2025"/>
  </r>
  <r>
    <x v="1355"/>
    <d v="2025-04-05T00:00:00"/>
    <s v="Station"/>
    <s v="Leeds"/>
    <s v="Muffin"/>
    <s v="Food"/>
    <n v="1"/>
    <n v="2.2000000000000002"/>
    <s v="Apple Pay"/>
    <s v="C1554"/>
    <n v="2.2000000000000002"/>
    <s v="Saturday"/>
    <s v="April"/>
    <n v="2025"/>
  </r>
  <r>
    <x v="1356"/>
    <d v="2025-04-06T00:00:00"/>
    <s v="Riverside"/>
    <s v="Bristol"/>
    <s v="Latte"/>
    <s v="Drink"/>
    <n v="5"/>
    <n v="3.5"/>
    <s v="Cash"/>
    <s v="C1956"/>
    <n v="17.5"/>
    <s v="Sunday"/>
    <s v="April"/>
    <n v="2025"/>
  </r>
  <r>
    <x v="1357"/>
    <d v="2025-04-06T00:00:00"/>
    <s v="High Street"/>
    <s v="Leeds"/>
    <s v="Croissant"/>
    <s v="Food"/>
    <n v="5"/>
    <n v="2.8"/>
    <s v="Cash"/>
    <s v="C1891"/>
    <n v="14"/>
    <s v="Sunday"/>
    <s v="April"/>
    <n v="2025"/>
  </r>
  <r>
    <x v="1358"/>
    <d v="2025-04-06T00:00:00"/>
    <s v="Riverside"/>
    <s v="Bristol"/>
    <s v="Espresso"/>
    <s v="Drink"/>
    <n v="5"/>
    <n v="2.5"/>
    <s v="Apple Pay"/>
    <s v="C1652"/>
    <n v="12.5"/>
    <s v="Sunday"/>
    <s v="April"/>
    <n v="2025"/>
  </r>
  <r>
    <x v="1359"/>
    <d v="2025-04-06T00:00:00"/>
    <s v="Central"/>
    <s v="Birmingham"/>
    <s v="Espresso"/>
    <s v="Drink"/>
    <n v="5"/>
    <n v="2.5"/>
    <s v="Card"/>
    <s v="C1300"/>
    <n v="12.5"/>
    <s v="Sunday"/>
    <s v="April"/>
    <n v="2025"/>
  </r>
  <r>
    <x v="1360"/>
    <d v="2025-04-06T00:00:00"/>
    <s v="Station"/>
    <s v="Birmingham"/>
    <s v="Cappuccino"/>
    <s v="Drink"/>
    <n v="3"/>
    <n v="3.8"/>
    <s v="Card"/>
    <s v="C1697"/>
    <n v="11.399999999999999"/>
    <s v="Sunday"/>
    <s v="April"/>
    <n v="2025"/>
  </r>
  <r>
    <x v="1361"/>
    <d v="2025-04-06T00:00:00"/>
    <s v="High Street"/>
    <s v="Manchester"/>
    <s v="Cappuccino"/>
    <s v="Drink"/>
    <n v="3"/>
    <n v="3.8"/>
    <s v="Cash"/>
    <s v="C1323"/>
    <n v="11.399999999999999"/>
    <s v="Sunday"/>
    <s v="April"/>
    <n v="2025"/>
  </r>
  <r>
    <x v="1362"/>
    <d v="2025-04-06T00:00:00"/>
    <s v="Riverside"/>
    <s v="Bristol"/>
    <s v="Croissant"/>
    <s v="Food"/>
    <n v="4"/>
    <n v="2.8"/>
    <s v="Apple Pay"/>
    <s v="C1639"/>
    <n v="11.2"/>
    <s v="Sunday"/>
    <s v="April"/>
    <n v="2025"/>
  </r>
  <r>
    <x v="1363"/>
    <d v="2025-04-06T00:00:00"/>
    <s v="Central"/>
    <s v="Manchester"/>
    <s v="Croissant"/>
    <s v="Food"/>
    <n v="4"/>
    <n v="2.8"/>
    <s v="Card"/>
    <s v="C1774"/>
    <n v="11.2"/>
    <s v="Sunday"/>
    <s v="April"/>
    <n v="2025"/>
  </r>
  <r>
    <x v="1364"/>
    <d v="2025-04-06T00:00:00"/>
    <s v="High Street"/>
    <s v="Bristol"/>
    <s v="Muffin"/>
    <s v="Food"/>
    <n v="5"/>
    <n v="2.2000000000000002"/>
    <s v="Apple Pay"/>
    <s v="C1465"/>
    <n v="11"/>
    <s v="Sunday"/>
    <s v="April"/>
    <n v="2025"/>
  </r>
  <r>
    <x v="1365"/>
    <d v="2025-04-06T00:00:00"/>
    <s v="Riverside"/>
    <s v="Bristol"/>
    <s v="Muffin"/>
    <s v="Food"/>
    <n v="5"/>
    <n v="2.2000000000000002"/>
    <s v="Card"/>
    <s v="C1555"/>
    <n v="11"/>
    <s v="Sunday"/>
    <s v="April"/>
    <n v="2025"/>
  </r>
  <r>
    <x v="1366"/>
    <d v="2025-04-06T00:00:00"/>
    <s v="Central"/>
    <s v="Manchester"/>
    <s v="Latte"/>
    <s v="Drink"/>
    <n v="3"/>
    <n v="3.5"/>
    <s v="Apple Pay"/>
    <s v="C1540"/>
    <n v="10.5"/>
    <s v="Sunday"/>
    <s v="April"/>
    <n v="2025"/>
  </r>
  <r>
    <x v="1367"/>
    <d v="2025-04-06T00:00:00"/>
    <s v="Station"/>
    <s v="Leeds"/>
    <s v="Latte"/>
    <s v="Drink"/>
    <n v="3"/>
    <n v="3.5"/>
    <s v="Card"/>
    <s v="C1208"/>
    <n v="10.5"/>
    <s v="Sunday"/>
    <s v="April"/>
    <n v="2025"/>
  </r>
  <r>
    <x v="1368"/>
    <d v="2025-04-06T00:00:00"/>
    <s v="Riverside"/>
    <s v="Birmingham"/>
    <s v="Espresso"/>
    <s v="Drink"/>
    <n v="4"/>
    <n v="2.5"/>
    <s v="Apple Pay"/>
    <s v="C1645"/>
    <n v="10"/>
    <s v="Sunday"/>
    <s v="April"/>
    <n v="2025"/>
  </r>
  <r>
    <x v="1369"/>
    <d v="2025-04-06T00:00:00"/>
    <s v="High Street"/>
    <s v="London"/>
    <s v="Croissant"/>
    <s v="Food"/>
    <n v="1"/>
    <n v="2.8"/>
    <s v="Card"/>
    <s v="C1935"/>
    <n v="2.8"/>
    <s v="Sunday"/>
    <s v="April"/>
    <n v="2025"/>
  </r>
  <r>
    <x v="1370"/>
    <d v="2025-04-06T00:00:00"/>
    <s v="High Street"/>
    <s v="Birmingham"/>
    <s v="Espresso"/>
    <s v="Drink"/>
    <n v="1"/>
    <n v="2.5"/>
    <s v="Cash"/>
    <s v="C1376"/>
    <n v="2.5"/>
    <s v="Sunday"/>
    <s v="April"/>
    <n v="2025"/>
  </r>
  <r>
    <x v="1371"/>
    <d v="2025-04-06T00:00:00"/>
    <s v="High Street"/>
    <s v="Bristol"/>
    <s v="Muffin"/>
    <s v="Food"/>
    <n v="1"/>
    <n v="2.2000000000000002"/>
    <s v="Apple Pay"/>
    <s v="C1705"/>
    <n v="2.2000000000000002"/>
    <s v="Sunday"/>
    <s v="April"/>
    <n v="2025"/>
  </r>
  <r>
    <x v="1372"/>
    <d v="2025-04-07T00:00:00"/>
    <s v="Central"/>
    <s v="Manchester"/>
    <s v="Cappuccino"/>
    <s v="Drink"/>
    <n v="4"/>
    <n v="3.8"/>
    <s v="Card"/>
    <s v="C1650"/>
    <n v="15.2"/>
    <s v="Monday"/>
    <s v="April"/>
    <n v="2025"/>
  </r>
  <r>
    <x v="1373"/>
    <d v="2025-04-07T00:00:00"/>
    <s v="High Street"/>
    <s v="Birmingham"/>
    <s v="Croissant"/>
    <s v="Food"/>
    <n v="5"/>
    <n v="2.8"/>
    <s v="Card"/>
    <s v="C1839"/>
    <n v="14"/>
    <s v="Monday"/>
    <s v="April"/>
    <n v="2025"/>
  </r>
  <r>
    <x v="1374"/>
    <d v="2025-04-07T00:00:00"/>
    <s v="High Street"/>
    <s v="Leeds"/>
    <s v="Croissant"/>
    <s v="Food"/>
    <n v="5"/>
    <n v="2.8"/>
    <s v="Cash"/>
    <s v="C1250"/>
    <n v="14"/>
    <s v="Monday"/>
    <s v="April"/>
    <n v="2025"/>
  </r>
  <r>
    <x v="1375"/>
    <d v="2025-04-07T00:00:00"/>
    <s v="High Street"/>
    <s v="London"/>
    <s v="Croissant"/>
    <s v="Food"/>
    <n v="5"/>
    <n v="2.8"/>
    <s v="Cash"/>
    <s v="C1769"/>
    <n v="14"/>
    <s v="Monday"/>
    <s v="April"/>
    <n v="2025"/>
  </r>
  <r>
    <x v="1376"/>
    <d v="2025-04-07T00:00:00"/>
    <s v="Riverside"/>
    <s v="Manchester"/>
    <s v="Croissant"/>
    <s v="Food"/>
    <n v="4"/>
    <n v="2.8"/>
    <s v="Card"/>
    <s v="C1007"/>
    <n v="11.2"/>
    <s v="Monday"/>
    <s v="April"/>
    <n v="2025"/>
  </r>
  <r>
    <x v="1377"/>
    <d v="2025-04-07T00:00:00"/>
    <s v="Station"/>
    <s v="Bristol"/>
    <s v="Muffin"/>
    <s v="Food"/>
    <n v="5"/>
    <n v="2.2000000000000002"/>
    <s v="Apple Pay"/>
    <s v="C1303"/>
    <n v="11"/>
    <s v="Monday"/>
    <s v="April"/>
    <n v="2025"/>
  </r>
  <r>
    <x v="1378"/>
    <d v="2025-04-07T00:00:00"/>
    <s v="Central"/>
    <s v="London"/>
    <s v="Muffin"/>
    <s v="Food"/>
    <n v="5"/>
    <n v="2.2000000000000002"/>
    <s v="Apple Pay"/>
    <s v="C1728"/>
    <n v="11"/>
    <s v="Monday"/>
    <s v="April"/>
    <n v="2025"/>
  </r>
  <r>
    <x v="1379"/>
    <d v="2025-04-07T00:00:00"/>
    <s v="High Street"/>
    <s v="London"/>
    <s v="Latte"/>
    <s v="Drink"/>
    <n v="3"/>
    <n v="3.5"/>
    <s v="Card"/>
    <s v="C1950"/>
    <n v="10.5"/>
    <s v="Monday"/>
    <s v="April"/>
    <n v="2025"/>
  </r>
  <r>
    <x v="1380"/>
    <d v="2025-04-07T00:00:00"/>
    <s v="High Street"/>
    <s v="London"/>
    <s v="Espresso"/>
    <s v="Drink"/>
    <n v="4"/>
    <n v="2.5"/>
    <s v="Apple Pay"/>
    <s v="C1084"/>
    <n v="10"/>
    <s v="Monday"/>
    <s v="April"/>
    <n v="2025"/>
  </r>
  <r>
    <x v="1381"/>
    <d v="2025-04-07T00:00:00"/>
    <s v="Central"/>
    <s v="Birmingham"/>
    <s v="Muffin"/>
    <s v="Food"/>
    <n v="4"/>
    <n v="2.2000000000000002"/>
    <s v="Card"/>
    <s v="C1296"/>
    <n v="8.8000000000000007"/>
    <s v="Monday"/>
    <s v="April"/>
    <n v="2025"/>
  </r>
  <r>
    <x v="1382"/>
    <d v="2025-04-07T00:00:00"/>
    <s v="Central"/>
    <s v="London"/>
    <s v="Muffin"/>
    <s v="Food"/>
    <n v="4"/>
    <n v="2.2000000000000002"/>
    <s v="Apple Pay"/>
    <s v="C1940"/>
    <n v="8.8000000000000007"/>
    <s v="Monday"/>
    <s v="April"/>
    <n v="2025"/>
  </r>
  <r>
    <x v="1383"/>
    <d v="2025-04-07T00:00:00"/>
    <s v="High Street"/>
    <s v="Birmingham"/>
    <s v="Croissant"/>
    <s v="Food"/>
    <n v="3"/>
    <n v="2.8"/>
    <s v="Apple Pay"/>
    <s v="C1093"/>
    <n v="8.3999999999999986"/>
    <s v="Monday"/>
    <s v="April"/>
    <n v="2025"/>
  </r>
  <r>
    <x v="1384"/>
    <d v="2025-04-07T00:00:00"/>
    <s v="Riverside"/>
    <s v="London"/>
    <s v="Croissant"/>
    <s v="Food"/>
    <n v="3"/>
    <n v="2.8"/>
    <s v="Cash"/>
    <s v="C1839"/>
    <n v="8.3999999999999986"/>
    <s v="Monday"/>
    <s v="April"/>
    <n v="2025"/>
  </r>
  <r>
    <x v="1385"/>
    <d v="2025-04-07T00:00:00"/>
    <s v="Central"/>
    <s v="Manchester"/>
    <s v="Cappuccino"/>
    <s v="Drink"/>
    <n v="2"/>
    <n v="3.8"/>
    <s v="Cash"/>
    <s v="C1289"/>
    <n v="7.6"/>
    <s v="Monday"/>
    <s v="April"/>
    <n v="2025"/>
  </r>
  <r>
    <x v="1386"/>
    <d v="2025-04-07T00:00:00"/>
    <s v="Central"/>
    <s v="London"/>
    <s v="Cappuccino"/>
    <s v="Drink"/>
    <n v="2"/>
    <n v="3.8"/>
    <s v="Apple Pay"/>
    <s v="C1944"/>
    <n v="7.6"/>
    <s v="Monday"/>
    <s v="April"/>
    <n v="2025"/>
  </r>
  <r>
    <x v="1387"/>
    <d v="2025-04-07T00:00:00"/>
    <s v="Station"/>
    <s v="Birmingham"/>
    <s v="Cappuccino"/>
    <s v="Drink"/>
    <n v="1"/>
    <n v="3.8"/>
    <s v="Card"/>
    <s v="C1671"/>
    <n v="3.8"/>
    <s v="Monday"/>
    <s v="April"/>
    <n v="2025"/>
  </r>
  <r>
    <x v="1388"/>
    <d v="2025-04-07T00:00:00"/>
    <s v="Central"/>
    <s v="Leeds"/>
    <s v="Cappuccino"/>
    <s v="Drink"/>
    <n v="1"/>
    <n v="3.8"/>
    <s v="Card"/>
    <s v="C1308"/>
    <n v="3.8"/>
    <s v="Monday"/>
    <s v="April"/>
    <n v="2025"/>
  </r>
  <r>
    <x v="1389"/>
    <d v="2025-04-07T00:00:00"/>
    <s v="Station"/>
    <s v="Bristol"/>
    <s v="Muffin"/>
    <s v="Food"/>
    <n v="1"/>
    <n v="2.2000000000000002"/>
    <s v="Card"/>
    <s v="C1023"/>
    <n v="2.2000000000000002"/>
    <s v="Monday"/>
    <s v="April"/>
    <n v="2025"/>
  </r>
  <r>
    <x v="1390"/>
    <d v="2025-04-08T00:00:00"/>
    <s v="Central"/>
    <s v="Manchester"/>
    <s v="Latte"/>
    <s v="Drink"/>
    <n v="4"/>
    <n v="3.5"/>
    <s v="Card"/>
    <s v="C1851"/>
    <n v="14"/>
    <s v="Tuesday"/>
    <s v="April"/>
    <n v="2025"/>
  </r>
  <r>
    <x v="1391"/>
    <d v="2025-04-08T00:00:00"/>
    <s v="Central"/>
    <s v="London"/>
    <s v="Croissant"/>
    <s v="Food"/>
    <n v="5"/>
    <n v="2.8"/>
    <s v="Apple Pay"/>
    <s v="C1523"/>
    <n v="14"/>
    <s v="Tuesday"/>
    <s v="April"/>
    <n v="2025"/>
  </r>
  <r>
    <x v="1392"/>
    <d v="2025-04-08T00:00:00"/>
    <s v="Riverside"/>
    <s v="Leeds"/>
    <s v="Croissant"/>
    <s v="Food"/>
    <n v="4"/>
    <n v="2.8"/>
    <s v="Card"/>
    <s v="C1362"/>
    <n v="11.2"/>
    <s v="Tuesday"/>
    <s v="April"/>
    <n v="2025"/>
  </r>
  <r>
    <x v="1393"/>
    <d v="2025-04-08T00:00:00"/>
    <s v="High Street"/>
    <s v="London"/>
    <s v="Muffin"/>
    <s v="Food"/>
    <n v="5"/>
    <n v="2.2000000000000002"/>
    <s v="Cash"/>
    <s v="C1739"/>
    <n v="11"/>
    <s v="Tuesday"/>
    <s v="April"/>
    <n v="2025"/>
  </r>
  <r>
    <x v="1394"/>
    <d v="2025-04-08T00:00:00"/>
    <s v="Central"/>
    <s v="Bristol"/>
    <s v="Muffin"/>
    <s v="Food"/>
    <n v="4"/>
    <n v="2.2000000000000002"/>
    <s v="Card"/>
    <s v="C1197"/>
    <n v="8.8000000000000007"/>
    <s v="Tuesday"/>
    <s v="April"/>
    <n v="2025"/>
  </r>
  <r>
    <x v="1395"/>
    <d v="2025-04-08T00:00:00"/>
    <s v="High Street"/>
    <s v="Birmingham"/>
    <s v="Croissant"/>
    <s v="Food"/>
    <n v="3"/>
    <n v="2.8"/>
    <s v="Apple Pay"/>
    <s v="C1538"/>
    <n v="8.3999999999999986"/>
    <s v="Tuesday"/>
    <s v="April"/>
    <n v="2025"/>
  </r>
  <r>
    <x v="1396"/>
    <d v="2025-04-08T00:00:00"/>
    <s v="High Street"/>
    <s v="Bristol"/>
    <s v="Muffin"/>
    <s v="Food"/>
    <n v="3"/>
    <n v="2.2000000000000002"/>
    <s v="Card"/>
    <s v="C1719"/>
    <n v="6.6000000000000005"/>
    <s v="Tuesday"/>
    <s v="April"/>
    <n v="2025"/>
  </r>
  <r>
    <x v="1397"/>
    <d v="2025-04-08T00:00:00"/>
    <s v="Riverside"/>
    <s v="Birmingham"/>
    <s v="Espresso"/>
    <s v="Drink"/>
    <n v="2"/>
    <n v="2.5"/>
    <s v="Cash"/>
    <s v="C1679"/>
    <n v="5"/>
    <s v="Tuesday"/>
    <s v="April"/>
    <n v="2025"/>
  </r>
  <r>
    <x v="1398"/>
    <d v="2025-04-08T00:00:00"/>
    <s v="Central"/>
    <s v="Leeds"/>
    <s v="Muffin"/>
    <s v="Food"/>
    <n v="1"/>
    <n v="2.2000000000000002"/>
    <s v="Card"/>
    <s v="C1411"/>
    <n v="2.2000000000000002"/>
    <s v="Tuesday"/>
    <s v="April"/>
    <n v="2025"/>
  </r>
  <r>
    <x v="1399"/>
    <d v="2025-04-09T00:00:00"/>
    <s v="Central"/>
    <s v="Bristol"/>
    <s v="Espresso"/>
    <s v="Drink"/>
    <n v="5"/>
    <n v="2.5"/>
    <s v="Apple Pay"/>
    <s v="C1337"/>
    <n v="12.5"/>
    <s v="Wednesday"/>
    <s v="April"/>
    <n v="2025"/>
  </r>
  <r>
    <x v="1400"/>
    <d v="2025-04-09T00:00:00"/>
    <s v="High Street"/>
    <s v="London"/>
    <s v="Croissant"/>
    <s v="Food"/>
    <n v="4"/>
    <n v="2.8"/>
    <s v="Cash"/>
    <s v="C1538"/>
    <n v="11.2"/>
    <s v="Wednesday"/>
    <s v="April"/>
    <n v="2025"/>
  </r>
  <r>
    <x v="1401"/>
    <d v="2025-04-09T00:00:00"/>
    <s v="High Street"/>
    <s v="Manchester"/>
    <s v="Muffin"/>
    <s v="Food"/>
    <n v="5"/>
    <n v="2.2000000000000002"/>
    <s v="Card"/>
    <s v="C1905"/>
    <n v="11"/>
    <s v="Wednesday"/>
    <s v="April"/>
    <n v="2025"/>
  </r>
  <r>
    <x v="1402"/>
    <d v="2025-04-09T00:00:00"/>
    <s v="Central"/>
    <s v="Leeds"/>
    <s v="Muffin"/>
    <s v="Food"/>
    <n v="4"/>
    <n v="2.2000000000000002"/>
    <s v="Apple Pay"/>
    <s v="C1803"/>
    <n v="8.8000000000000007"/>
    <s v="Wednesday"/>
    <s v="April"/>
    <n v="2025"/>
  </r>
  <r>
    <x v="1403"/>
    <d v="2025-04-09T00:00:00"/>
    <s v="Station"/>
    <s v="Bristol"/>
    <s v="Croissant"/>
    <s v="Food"/>
    <n v="3"/>
    <n v="2.8"/>
    <s v="Cash"/>
    <s v="C1248"/>
    <n v="8.3999999999999986"/>
    <s v="Wednesday"/>
    <s v="April"/>
    <n v="2025"/>
  </r>
  <r>
    <x v="1404"/>
    <d v="2025-04-09T00:00:00"/>
    <s v="Riverside"/>
    <s v="Bristol"/>
    <s v="Cappuccino"/>
    <s v="Drink"/>
    <n v="2"/>
    <n v="3.8"/>
    <s v="Cash"/>
    <s v="C1109"/>
    <n v="7.6"/>
    <s v="Wednesday"/>
    <s v="April"/>
    <n v="2025"/>
  </r>
  <r>
    <x v="1405"/>
    <d v="2025-04-09T00:00:00"/>
    <s v="Riverside"/>
    <s v="Bristol"/>
    <s v="Croissant"/>
    <s v="Food"/>
    <n v="2"/>
    <n v="2.8"/>
    <s v="Apple Pay"/>
    <s v="C1587"/>
    <n v="5.6"/>
    <s v="Wednesday"/>
    <s v="April"/>
    <n v="2025"/>
  </r>
  <r>
    <x v="1406"/>
    <d v="2025-04-09T00:00:00"/>
    <s v="Riverside"/>
    <s v="London"/>
    <s v="Espresso"/>
    <s v="Drink"/>
    <n v="2"/>
    <n v="2.5"/>
    <s v="Card"/>
    <s v="C1504"/>
    <n v="5"/>
    <s v="Wednesday"/>
    <s v="April"/>
    <n v="2025"/>
  </r>
  <r>
    <x v="1407"/>
    <d v="2025-04-09T00:00:00"/>
    <s v="Riverside"/>
    <s v="Leeds"/>
    <s v="Espresso"/>
    <s v="Drink"/>
    <n v="2"/>
    <n v="2.5"/>
    <s v="Cash"/>
    <s v="C1485"/>
    <n v="5"/>
    <s v="Wednesday"/>
    <s v="April"/>
    <n v="2025"/>
  </r>
  <r>
    <x v="1408"/>
    <d v="2025-04-09T00:00:00"/>
    <s v="Riverside"/>
    <s v="London"/>
    <s v="Cappuccino"/>
    <s v="Drink"/>
    <n v="1"/>
    <n v="3.8"/>
    <s v="Cash"/>
    <s v="C1302"/>
    <n v="3.8"/>
    <s v="Wednesday"/>
    <s v="April"/>
    <n v="2025"/>
  </r>
  <r>
    <x v="1409"/>
    <d v="2025-04-09T00:00:00"/>
    <s v="Riverside"/>
    <s v="London"/>
    <s v="Latte"/>
    <s v="Drink"/>
    <n v="1"/>
    <n v="3.5"/>
    <s v="Apple Pay"/>
    <s v="C1677"/>
    <n v="3.5"/>
    <s v="Wednesday"/>
    <s v="April"/>
    <n v="2025"/>
  </r>
  <r>
    <x v="1410"/>
    <d v="2025-04-10T00:00:00"/>
    <s v="Station"/>
    <s v="Leeds"/>
    <s v="Cappuccino"/>
    <s v="Drink"/>
    <n v="5"/>
    <n v="3.8"/>
    <s v="Apple Pay"/>
    <s v="C1057"/>
    <n v="19"/>
    <s v="Thursday"/>
    <s v="April"/>
    <n v="2025"/>
  </r>
  <r>
    <x v="1411"/>
    <d v="2025-04-10T00:00:00"/>
    <s v="High Street"/>
    <s v="Birmingham"/>
    <s v="Espresso"/>
    <s v="Drink"/>
    <n v="5"/>
    <n v="2.5"/>
    <s v="Apple Pay"/>
    <s v="C1869"/>
    <n v="12.5"/>
    <s v="Thursday"/>
    <s v="April"/>
    <n v="2025"/>
  </r>
  <r>
    <x v="1412"/>
    <d v="2025-04-10T00:00:00"/>
    <s v="Station"/>
    <s v="Bristol"/>
    <s v="Espresso"/>
    <s v="Drink"/>
    <n v="5"/>
    <n v="2.5"/>
    <s v="Cash"/>
    <s v="C1510"/>
    <n v="12.5"/>
    <s v="Thursday"/>
    <s v="April"/>
    <n v="2025"/>
  </r>
  <r>
    <x v="1413"/>
    <d v="2025-04-10T00:00:00"/>
    <s v="High Street"/>
    <s v="Manchester"/>
    <s v="Muffin"/>
    <s v="Food"/>
    <n v="5"/>
    <n v="2.2000000000000002"/>
    <s v="Card"/>
    <s v="C1306"/>
    <n v="11"/>
    <s v="Thursday"/>
    <s v="April"/>
    <n v="2025"/>
  </r>
  <r>
    <x v="1414"/>
    <d v="2025-04-10T00:00:00"/>
    <s v="High Street"/>
    <s v="Manchester"/>
    <s v="Croissant"/>
    <s v="Food"/>
    <n v="3"/>
    <n v="2.8"/>
    <s v="Card"/>
    <s v="C1258"/>
    <n v="8.3999999999999986"/>
    <s v="Thursday"/>
    <s v="April"/>
    <n v="2025"/>
  </r>
  <r>
    <x v="1415"/>
    <d v="2025-04-10T00:00:00"/>
    <s v="Central"/>
    <s v="Leeds"/>
    <s v="Cappuccino"/>
    <s v="Drink"/>
    <n v="2"/>
    <n v="3.8"/>
    <s v="Card"/>
    <s v="C1714"/>
    <n v="7.6"/>
    <s v="Thursday"/>
    <s v="April"/>
    <n v="2025"/>
  </r>
  <r>
    <x v="1416"/>
    <d v="2025-04-10T00:00:00"/>
    <s v="Station"/>
    <s v="Birmingham"/>
    <s v="Latte"/>
    <s v="Drink"/>
    <n v="2"/>
    <n v="3.5"/>
    <s v="Apple Pay"/>
    <s v="C1178"/>
    <n v="7"/>
    <s v="Thursday"/>
    <s v="April"/>
    <n v="2025"/>
  </r>
  <r>
    <x v="1417"/>
    <d v="2025-04-10T00:00:00"/>
    <s v="Central"/>
    <s v="London"/>
    <s v="Croissant"/>
    <s v="Food"/>
    <n v="2"/>
    <n v="2.8"/>
    <s v="Cash"/>
    <s v="C1621"/>
    <n v="5.6"/>
    <s v="Thursday"/>
    <s v="April"/>
    <n v="2025"/>
  </r>
  <r>
    <x v="1418"/>
    <d v="2025-04-10T00:00:00"/>
    <s v="Riverside"/>
    <s v="Manchester"/>
    <s v="Croissant"/>
    <s v="Food"/>
    <n v="2"/>
    <n v="2.8"/>
    <s v="Apple Pay"/>
    <s v="C1840"/>
    <n v="5.6"/>
    <s v="Thursday"/>
    <s v="April"/>
    <n v="2025"/>
  </r>
  <r>
    <x v="1419"/>
    <d v="2025-04-10T00:00:00"/>
    <s v="Station"/>
    <s v="Leeds"/>
    <s v="Espresso"/>
    <s v="Drink"/>
    <n v="2"/>
    <n v="2.5"/>
    <s v="Card"/>
    <s v="C1696"/>
    <n v="5"/>
    <s v="Thursday"/>
    <s v="April"/>
    <n v="2025"/>
  </r>
  <r>
    <x v="1420"/>
    <d v="2025-04-10T00:00:00"/>
    <s v="Riverside"/>
    <s v="Manchester"/>
    <s v="Latte"/>
    <s v="Drink"/>
    <n v="1"/>
    <n v="3.5"/>
    <s v="Apple Pay"/>
    <s v="C1958"/>
    <n v="3.5"/>
    <s v="Thursday"/>
    <s v="April"/>
    <n v="2025"/>
  </r>
  <r>
    <x v="1421"/>
    <d v="2025-04-10T00:00:00"/>
    <s v="Riverside"/>
    <s v="Bristol"/>
    <s v="Croissant"/>
    <s v="Food"/>
    <n v="1"/>
    <n v="2.8"/>
    <s v="Card"/>
    <s v="C1693"/>
    <n v="2.8"/>
    <s v="Thursday"/>
    <s v="April"/>
    <n v="2025"/>
  </r>
  <r>
    <x v="1422"/>
    <d v="2025-04-10T00:00:00"/>
    <s v="High Street"/>
    <s v="Manchester"/>
    <s v="Croissant"/>
    <s v="Food"/>
    <n v="1"/>
    <n v="2.8"/>
    <s v="Apple Pay"/>
    <s v="C1026"/>
    <n v="2.8"/>
    <s v="Thursday"/>
    <s v="April"/>
    <n v="2025"/>
  </r>
  <r>
    <x v="1423"/>
    <d v="2025-04-10T00:00:00"/>
    <s v="Station"/>
    <s v="Leeds"/>
    <s v="Espresso"/>
    <s v="Drink"/>
    <n v="1"/>
    <n v="2.5"/>
    <s v="Apple Pay"/>
    <s v="C1491"/>
    <n v="2.5"/>
    <s v="Thursday"/>
    <s v="April"/>
    <n v="2025"/>
  </r>
  <r>
    <x v="1424"/>
    <d v="2025-04-10T00:00:00"/>
    <s v="High Street"/>
    <s v="Bristol"/>
    <s v="Espresso"/>
    <s v="Drink"/>
    <n v="1"/>
    <n v="2.5"/>
    <s v="Card"/>
    <s v="C1752"/>
    <n v="2.5"/>
    <s v="Thursday"/>
    <s v="April"/>
    <n v="2025"/>
  </r>
  <r>
    <x v="1425"/>
    <d v="2025-04-10T00:00:00"/>
    <s v="Central"/>
    <s v="London"/>
    <s v="Espresso"/>
    <s v="Drink"/>
    <n v="1"/>
    <n v="2.5"/>
    <s v="Apple Pay"/>
    <s v="C1186"/>
    <n v="2.5"/>
    <s v="Thursday"/>
    <s v="April"/>
    <n v="2025"/>
  </r>
  <r>
    <x v="1426"/>
    <d v="2025-04-10T00:00:00"/>
    <s v="High Street"/>
    <s v="Birmingham"/>
    <s v="Espresso"/>
    <s v="Drink"/>
    <n v="1"/>
    <n v="2.5"/>
    <s v="Cash"/>
    <s v="C1515"/>
    <n v="2.5"/>
    <s v="Thursday"/>
    <s v="April"/>
    <n v="2025"/>
  </r>
  <r>
    <x v="1427"/>
    <d v="2025-04-10T00:00:00"/>
    <s v="Station"/>
    <s v="London"/>
    <s v="Muffin"/>
    <s v="Food"/>
    <n v="1"/>
    <n v="2.2000000000000002"/>
    <s v="Cash"/>
    <s v="C1124"/>
    <n v="2.2000000000000002"/>
    <s v="Thursday"/>
    <s v="April"/>
    <n v="2025"/>
  </r>
  <r>
    <x v="1428"/>
    <d v="2025-04-11T00:00:00"/>
    <s v="High Street"/>
    <s v="London"/>
    <s v="Latte"/>
    <s v="Drink"/>
    <n v="4"/>
    <n v="3.5"/>
    <s v="Card"/>
    <s v="C1246"/>
    <n v="14"/>
    <s v="Friday"/>
    <s v="April"/>
    <n v="2025"/>
  </r>
  <r>
    <x v="1429"/>
    <d v="2025-04-11T00:00:00"/>
    <s v="High Street"/>
    <s v="Manchester"/>
    <s v="Latte"/>
    <s v="Drink"/>
    <n v="4"/>
    <n v="3.5"/>
    <s v="Card"/>
    <s v="C1745"/>
    <n v="14"/>
    <s v="Friday"/>
    <s v="April"/>
    <n v="2025"/>
  </r>
  <r>
    <x v="1430"/>
    <d v="2025-04-11T00:00:00"/>
    <s v="High Street"/>
    <s v="Bristol"/>
    <s v="Latte"/>
    <s v="Drink"/>
    <n v="4"/>
    <n v="3.5"/>
    <s v="Card"/>
    <s v="C1703"/>
    <n v="14"/>
    <s v="Friday"/>
    <s v="April"/>
    <n v="2025"/>
  </r>
  <r>
    <x v="1431"/>
    <d v="2025-04-11T00:00:00"/>
    <s v="Station"/>
    <s v="London"/>
    <s v="Espresso"/>
    <s v="Drink"/>
    <n v="5"/>
    <n v="2.5"/>
    <s v="Apple Pay"/>
    <s v="C1625"/>
    <n v="12.5"/>
    <s v="Friday"/>
    <s v="April"/>
    <n v="2025"/>
  </r>
  <r>
    <x v="1432"/>
    <d v="2025-04-11T00:00:00"/>
    <s v="Station"/>
    <s v="London"/>
    <s v="Cappuccino"/>
    <s v="Drink"/>
    <n v="3"/>
    <n v="3.8"/>
    <s v="Cash"/>
    <s v="C1835"/>
    <n v="11.399999999999999"/>
    <s v="Friday"/>
    <s v="April"/>
    <n v="2025"/>
  </r>
  <r>
    <x v="1433"/>
    <d v="2025-04-11T00:00:00"/>
    <s v="Station"/>
    <s v="Birmingham"/>
    <s v="Muffin"/>
    <s v="Food"/>
    <n v="5"/>
    <n v="2.2000000000000002"/>
    <s v="Cash"/>
    <s v="C1945"/>
    <n v="11"/>
    <s v="Friday"/>
    <s v="April"/>
    <n v="2025"/>
  </r>
  <r>
    <x v="1434"/>
    <d v="2025-04-11T00:00:00"/>
    <s v="High Street"/>
    <s v="N/A"/>
    <s v="Latte"/>
    <s v="Drink"/>
    <n v="3"/>
    <n v="3.5"/>
    <s v="Cash"/>
    <s v="C1895"/>
    <n v="10.5"/>
    <s v="Friday"/>
    <s v="April"/>
    <n v="2025"/>
  </r>
  <r>
    <x v="1435"/>
    <d v="2025-04-11T00:00:00"/>
    <s v="High Street"/>
    <s v="Birmingham"/>
    <s v="Latte"/>
    <s v="Food"/>
    <n v="3"/>
    <n v="2.8"/>
    <s v="Cash"/>
    <s v="C1965"/>
    <n v="8.3999999999999986"/>
    <s v="Friday"/>
    <s v="April"/>
    <n v="2025"/>
  </r>
  <r>
    <x v="1436"/>
    <d v="2025-04-11T00:00:00"/>
    <s v="Station"/>
    <s v="Birmingham"/>
    <s v="Latte"/>
    <s v="Drink"/>
    <n v="2"/>
    <n v="3.5"/>
    <s v="Apple Pay"/>
    <s v="C1150"/>
    <n v="7"/>
    <s v="Friday"/>
    <s v="April"/>
    <n v="2025"/>
  </r>
  <r>
    <x v="1437"/>
    <d v="2025-04-11T00:00:00"/>
    <s v="High Street"/>
    <s v="Leeds"/>
    <s v="Croissant"/>
    <s v="Food"/>
    <n v="2"/>
    <n v="2.8"/>
    <s v="Cash"/>
    <s v="C1587"/>
    <n v="5.6"/>
    <s v="Friday"/>
    <s v="April"/>
    <n v="2025"/>
  </r>
  <r>
    <x v="1438"/>
    <d v="2025-04-11T00:00:00"/>
    <s v="High Street"/>
    <s v="Bristol"/>
    <s v="Muffin"/>
    <s v="Food"/>
    <n v="2"/>
    <n v="2.2000000000000002"/>
    <s v="Cash"/>
    <s v="C1581"/>
    <n v="4.4000000000000004"/>
    <s v="Friday"/>
    <s v="April"/>
    <n v="2025"/>
  </r>
  <r>
    <x v="1439"/>
    <d v="2025-04-11T00:00:00"/>
    <s v="Central"/>
    <s v="London"/>
    <s v="Muffin"/>
    <s v="Food"/>
    <n v="2"/>
    <n v="2.2000000000000002"/>
    <s v="Apple Pay"/>
    <s v="C1475"/>
    <n v="4.4000000000000004"/>
    <s v="Friday"/>
    <s v="April"/>
    <n v="2025"/>
  </r>
  <r>
    <x v="1440"/>
    <d v="2025-04-11T00:00:00"/>
    <s v="Station"/>
    <s v="Birmingham"/>
    <s v="Muffin"/>
    <s v="Food"/>
    <n v="2"/>
    <n v="2.2000000000000002"/>
    <s v="Cash"/>
    <s v="C1563"/>
    <n v="4.4000000000000004"/>
    <s v="Friday"/>
    <s v="April"/>
    <n v="2025"/>
  </r>
  <r>
    <x v="1441"/>
    <d v="2025-04-11T00:00:00"/>
    <s v="Central"/>
    <s v="London"/>
    <s v="Cappuccino"/>
    <s v="Drink"/>
    <n v="1"/>
    <n v="3.8"/>
    <s v="Card"/>
    <s v="C1365"/>
    <n v="3.8"/>
    <s v="Friday"/>
    <s v="April"/>
    <n v="2025"/>
  </r>
  <r>
    <x v="1442"/>
    <d v="2025-04-11T00:00:00"/>
    <s v="Central"/>
    <s v="Leeds"/>
    <s v="Croissant"/>
    <s v="Food"/>
    <n v="1"/>
    <n v="2.8"/>
    <s v="Card"/>
    <s v="C1651"/>
    <n v="2.8"/>
    <s v="Friday"/>
    <s v="April"/>
    <n v="2025"/>
  </r>
  <r>
    <x v="1443"/>
    <d v="2025-04-11T00:00:00"/>
    <s v="Station"/>
    <s v="Birmingham"/>
    <s v="Croissant"/>
    <s v="Food"/>
    <n v="1"/>
    <n v="2.8"/>
    <s v="Card"/>
    <s v="C1598"/>
    <n v="2.8"/>
    <s v="Friday"/>
    <s v="April"/>
    <n v="2025"/>
  </r>
  <r>
    <x v="1444"/>
    <d v="2025-04-12T00:00:00"/>
    <s v="High Street"/>
    <s v="Birmingham"/>
    <s v="Latte"/>
    <s v="Drink"/>
    <n v="5"/>
    <n v="3.5"/>
    <s v="Cash"/>
    <s v="C1959"/>
    <n v="17.5"/>
    <s v="Saturday"/>
    <s v="April"/>
    <n v="2025"/>
  </r>
  <r>
    <x v="1445"/>
    <d v="2025-04-12T00:00:00"/>
    <s v="Central"/>
    <s v="London"/>
    <s v="Latte"/>
    <s v="Drink"/>
    <n v="5"/>
    <n v="3.5"/>
    <s v="Apple Pay"/>
    <s v="C1321"/>
    <n v="17.5"/>
    <s v="Saturday"/>
    <s v="April"/>
    <n v="2025"/>
  </r>
  <r>
    <x v="1446"/>
    <d v="2025-04-12T00:00:00"/>
    <s v="Riverside"/>
    <s v="Bristol"/>
    <s v="Espresso"/>
    <s v="Drink"/>
    <n v="5"/>
    <n v="2.5"/>
    <s v="Card"/>
    <s v="C1715"/>
    <n v="12.5"/>
    <s v="Saturday"/>
    <s v="April"/>
    <n v="2025"/>
  </r>
  <r>
    <x v="1447"/>
    <d v="2025-04-12T00:00:00"/>
    <s v="High Street"/>
    <s v="Leeds"/>
    <s v="Espresso"/>
    <s v="Drink"/>
    <n v="4"/>
    <n v="2.5"/>
    <s v="Cash"/>
    <s v="C1055"/>
    <n v="10"/>
    <s v="Saturday"/>
    <s v="April"/>
    <n v="2025"/>
  </r>
  <r>
    <x v="1448"/>
    <d v="2025-04-12T00:00:00"/>
    <s v="Station"/>
    <s v="Manchester"/>
    <s v="Espresso"/>
    <s v="Drink"/>
    <n v="4"/>
    <n v="2.5"/>
    <s v="Cash"/>
    <s v="C1252"/>
    <n v="10"/>
    <s v="Saturday"/>
    <s v="April"/>
    <n v="2025"/>
  </r>
  <r>
    <x v="1449"/>
    <d v="2025-04-12T00:00:00"/>
    <s v="Central"/>
    <s v="Birmingham"/>
    <s v="Muffin"/>
    <s v="Food"/>
    <n v="4"/>
    <n v="2.2000000000000002"/>
    <s v="Card"/>
    <s v="C1121"/>
    <n v="8.8000000000000007"/>
    <s v="Saturday"/>
    <s v="April"/>
    <n v="2025"/>
  </r>
  <r>
    <x v="1450"/>
    <d v="2025-04-12T00:00:00"/>
    <s v="Riverside"/>
    <s v="London"/>
    <s v="Muffin"/>
    <s v="Food"/>
    <n v="4"/>
    <n v="2.2000000000000002"/>
    <s v="Cash"/>
    <s v="C1900"/>
    <n v="8.8000000000000007"/>
    <s v="Saturday"/>
    <s v="April"/>
    <n v="2025"/>
  </r>
  <r>
    <x v="1451"/>
    <d v="2025-04-12T00:00:00"/>
    <s v="High Street"/>
    <s v="London"/>
    <s v="Cappuccino"/>
    <s v="Drink"/>
    <n v="2"/>
    <n v="3.8"/>
    <s v="Cash"/>
    <s v="C1217"/>
    <n v="7.6"/>
    <s v="Saturday"/>
    <s v="April"/>
    <n v="2025"/>
  </r>
  <r>
    <x v="1452"/>
    <d v="2025-04-12T00:00:00"/>
    <s v="High Street"/>
    <s v="London"/>
    <s v="Espresso"/>
    <s v="Drink"/>
    <n v="3"/>
    <n v="2.5"/>
    <s v="Apple Pay"/>
    <s v="C1476"/>
    <n v="7.5"/>
    <s v="Saturday"/>
    <s v="April"/>
    <n v="2025"/>
  </r>
  <r>
    <x v="1453"/>
    <d v="2025-04-12T00:00:00"/>
    <s v="Riverside"/>
    <s v="Bristol"/>
    <s v="Espresso"/>
    <s v="Drink"/>
    <n v="2"/>
    <n v="2.5"/>
    <s v="Apple Pay"/>
    <s v="C1347"/>
    <n v="5"/>
    <s v="Saturday"/>
    <s v="April"/>
    <n v="2025"/>
  </r>
  <r>
    <x v="1454"/>
    <d v="2025-04-12T00:00:00"/>
    <s v="Riverside"/>
    <s v="London"/>
    <s v="Espresso"/>
    <s v="Drink"/>
    <n v="2"/>
    <n v="2.5"/>
    <s v="Cash"/>
    <s v="C1323"/>
    <n v="5"/>
    <s v="Saturday"/>
    <s v="April"/>
    <n v="2025"/>
  </r>
  <r>
    <x v="1455"/>
    <d v="2025-04-12T00:00:00"/>
    <s v="High Street"/>
    <s v="Bristol"/>
    <s v="Espresso"/>
    <s v="Drink"/>
    <n v="2"/>
    <n v="2.5"/>
    <s v="Apple Pay"/>
    <s v="C1148"/>
    <n v="5"/>
    <s v="Saturday"/>
    <s v="April"/>
    <n v="2025"/>
  </r>
  <r>
    <x v="1456"/>
    <d v="2025-04-12T00:00:00"/>
    <s v="Central"/>
    <s v="Birmingham"/>
    <s v="Croissant"/>
    <s v="Food"/>
    <n v="1"/>
    <n v="2.8"/>
    <s v="Cash"/>
    <s v="C1176"/>
    <n v="2.8"/>
    <s v="Saturday"/>
    <s v="April"/>
    <n v="2025"/>
  </r>
  <r>
    <x v="1457"/>
    <d v="2025-04-12T00:00:00"/>
    <s v="Central"/>
    <s v="Manchester"/>
    <s v="Espresso"/>
    <s v="Drink"/>
    <n v="1"/>
    <n v="2.5"/>
    <s v="Card"/>
    <s v="C1560"/>
    <n v="2.5"/>
    <s v="Saturday"/>
    <s v="April"/>
    <n v="2025"/>
  </r>
  <r>
    <x v="1458"/>
    <d v="2025-04-12T00:00:00"/>
    <s v="High Street"/>
    <s v="Leeds"/>
    <s v="Muffin"/>
    <s v="Food"/>
    <n v="1"/>
    <n v="2.2000000000000002"/>
    <s v="Apple Pay"/>
    <s v="C1921"/>
    <n v="2.2000000000000002"/>
    <s v="Saturday"/>
    <s v="April"/>
    <n v="2025"/>
  </r>
  <r>
    <x v="1459"/>
    <d v="2025-04-13T00:00:00"/>
    <s v="Station"/>
    <s v="Manchester"/>
    <s v="Cappuccino"/>
    <s v="Drink"/>
    <n v="5"/>
    <n v="3.8"/>
    <s v="Cash"/>
    <s v="C1071"/>
    <n v="19"/>
    <s v="Sunday"/>
    <s v="April"/>
    <n v="2025"/>
  </r>
  <r>
    <x v="1460"/>
    <d v="2025-04-13T00:00:00"/>
    <s v="Central"/>
    <s v="Manchester"/>
    <s v="Latte"/>
    <s v="Drink"/>
    <n v="5"/>
    <n v="3.5"/>
    <s v="Cash"/>
    <s v="C1285"/>
    <n v="17.5"/>
    <s v="Sunday"/>
    <s v="April"/>
    <n v="2025"/>
  </r>
  <r>
    <x v="1461"/>
    <d v="2025-04-13T00:00:00"/>
    <s v="Central"/>
    <s v="London"/>
    <s v="Cappuccino"/>
    <s v="Drink"/>
    <n v="4"/>
    <n v="3.8"/>
    <s v="Card"/>
    <s v="C1852"/>
    <n v="15.2"/>
    <s v="Sunday"/>
    <s v="April"/>
    <n v="2025"/>
  </r>
  <r>
    <x v="1462"/>
    <d v="2025-04-13T00:00:00"/>
    <s v="Central"/>
    <s v="London"/>
    <s v="Croissant"/>
    <s v="Food"/>
    <n v="5"/>
    <n v="2.8"/>
    <s v="Cash"/>
    <s v="C1996"/>
    <n v="14"/>
    <s v="Sunday"/>
    <s v="April"/>
    <n v="2025"/>
  </r>
  <r>
    <x v="1463"/>
    <d v="2025-04-13T00:00:00"/>
    <s v="Central"/>
    <s v="Bristol"/>
    <s v="Croissant"/>
    <s v="Food"/>
    <n v="5"/>
    <n v="2.8"/>
    <s v="Card"/>
    <s v="C1603"/>
    <n v="14"/>
    <s v="Sunday"/>
    <s v="April"/>
    <n v="2025"/>
  </r>
  <r>
    <x v="1464"/>
    <d v="2025-04-13T00:00:00"/>
    <s v="Riverside"/>
    <s v="London"/>
    <s v="Latte"/>
    <s v="Drink"/>
    <n v="4"/>
    <n v="3.5"/>
    <s v="Apple Pay"/>
    <s v="C1435"/>
    <n v="14"/>
    <s v="Sunday"/>
    <s v="April"/>
    <n v="2025"/>
  </r>
  <r>
    <x v="1465"/>
    <d v="2025-04-13T00:00:00"/>
    <s v="Riverside"/>
    <s v="Manchester"/>
    <s v="Espresso"/>
    <s v="Drink"/>
    <n v="5"/>
    <n v="2.5"/>
    <s v="Apple Pay"/>
    <s v="C1713"/>
    <n v="12.5"/>
    <s v="Sunday"/>
    <s v="April"/>
    <n v="2025"/>
  </r>
  <r>
    <x v="1466"/>
    <d v="2025-04-13T00:00:00"/>
    <s v="Station"/>
    <s v="London"/>
    <s v="Cappuccino"/>
    <s v="Drink"/>
    <n v="3"/>
    <n v="3.8"/>
    <s v="Apple Pay"/>
    <s v="C1761"/>
    <n v="11.399999999999999"/>
    <s v="Sunday"/>
    <s v="April"/>
    <n v="2025"/>
  </r>
  <r>
    <x v="1467"/>
    <d v="2025-04-13T00:00:00"/>
    <s v="Station"/>
    <s v="Leeds"/>
    <s v="Espresso"/>
    <s v="Drink"/>
    <n v="4"/>
    <n v="2.5"/>
    <s v="Card"/>
    <s v="C1700"/>
    <n v="10"/>
    <s v="Sunday"/>
    <s v="April"/>
    <n v="2025"/>
  </r>
  <r>
    <x v="1468"/>
    <d v="2025-04-13T00:00:00"/>
    <s v="Station"/>
    <s v="London"/>
    <s v="Latte"/>
    <s v="Drink"/>
    <n v="2"/>
    <n v="3.5"/>
    <s v="Card"/>
    <s v="C1247"/>
    <n v="7"/>
    <s v="Sunday"/>
    <s v="April"/>
    <n v="2025"/>
  </r>
  <r>
    <x v="1469"/>
    <d v="2025-04-13T00:00:00"/>
    <s v="High Street"/>
    <s v="Leeds"/>
    <s v="Espresso"/>
    <s v="Drink"/>
    <n v="2"/>
    <n v="2.5"/>
    <s v="Apple Pay"/>
    <s v="C1608"/>
    <n v="5"/>
    <s v="Sunday"/>
    <s v="April"/>
    <n v="2025"/>
  </r>
  <r>
    <x v="1470"/>
    <d v="2025-04-13T00:00:00"/>
    <s v="High Street"/>
    <s v="Birmingham"/>
    <s v="Muffin"/>
    <s v="Food"/>
    <n v="2"/>
    <n v="2.2000000000000002"/>
    <s v="Apple Pay"/>
    <s v="C1378"/>
    <n v="4.4000000000000004"/>
    <s v="Sunday"/>
    <s v="April"/>
    <n v="2025"/>
  </r>
  <r>
    <x v="1471"/>
    <d v="2025-04-13T00:00:00"/>
    <s v="Station"/>
    <s v="Leeds"/>
    <s v="Cappuccino"/>
    <s v="Drink"/>
    <n v="1"/>
    <n v="3.8"/>
    <s v="Apple Pay"/>
    <s v="C1709"/>
    <n v="3.8"/>
    <s v="Sunday"/>
    <s v="April"/>
    <n v="2025"/>
  </r>
  <r>
    <x v="1472"/>
    <d v="2025-04-13T00:00:00"/>
    <s v="Riverside"/>
    <s v="Bristol"/>
    <s v="Muffin"/>
    <s v="Food"/>
    <n v="1"/>
    <n v="2.2000000000000002"/>
    <s v="Apple Pay"/>
    <s v="C1468"/>
    <n v="2.2000000000000002"/>
    <s v="Sunday"/>
    <s v="April"/>
    <n v="2025"/>
  </r>
  <r>
    <x v="1473"/>
    <d v="2025-04-14T00:00:00"/>
    <s v="High Street"/>
    <s v="Manchester"/>
    <s v="Cappuccino"/>
    <s v="Drink"/>
    <n v="5"/>
    <n v="3.8"/>
    <s v="Cash"/>
    <s v="C1023"/>
    <n v="19"/>
    <s v="Monday"/>
    <s v="April"/>
    <n v="2025"/>
  </r>
  <r>
    <x v="1474"/>
    <d v="2025-04-14T00:00:00"/>
    <s v="High Street"/>
    <s v="Bristol"/>
    <s v="Latte"/>
    <s v="Drink"/>
    <n v="5"/>
    <n v="3.5"/>
    <s v="Card"/>
    <s v="C1200"/>
    <n v="17.5"/>
    <s v="Monday"/>
    <s v="April"/>
    <n v="2025"/>
  </r>
  <r>
    <x v="1475"/>
    <d v="2025-04-14T00:00:00"/>
    <s v="Central"/>
    <s v="Birmingham"/>
    <s v="Latte"/>
    <s v="Drink"/>
    <n v="5"/>
    <n v="3.5"/>
    <s v="Apple Pay"/>
    <s v="C1666"/>
    <n v="17.5"/>
    <s v="Monday"/>
    <s v="April"/>
    <n v="2025"/>
  </r>
  <r>
    <x v="1476"/>
    <d v="2025-04-14T00:00:00"/>
    <s v="High Street"/>
    <s v="Leeds"/>
    <s v="Latte"/>
    <s v="Drink"/>
    <n v="5"/>
    <n v="3.5"/>
    <s v="Card"/>
    <s v="C1769"/>
    <n v="17.5"/>
    <s v="Monday"/>
    <s v="April"/>
    <n v="2025"/>
  </r>
  <r>
    <x v="1477"/>
    <d v="2025-04-14T00:00:00"/>
    <s v="Riverside"/>
    <s v="London"/>
    <s v="Latte"/>
    <s v="Drink"/>
    <n v="4"/>
    <n v="3.5"/>
    <s v="Card"/>
    <s v="C1282"/>
    <n v="14"/>
    <s v="Monday"/>
    <s v="April"/>
    <n v="2025"/>
  </r>
  <r>
    <x v="1478"/>
    <d v="2025-04-14T00:00:00"/>
    <s v="Station"/>
    <s v="London"/>
    <s v="Latte"/>
    <s v="Drink"/>
    <n v="4"/>
    <n v="3.5"/>
    <s v="Apple Pay"/>
    <s v="C1078"/>
    <n v="14"/>
    <s v="Monday"/>
    <s v="April"/>
    <n v="2025"/>
  </r>
  <r>
    <x v="1479"/>
    <d v="2025-04-14T00:00:00"/>
    <s v="Riverside"/>
    <s v="Manchester"/>
    <s v="Croissant"/>
    <s v="Food"/>
    <n v="5"/>
    <n v="2.8"/>
    <s v="Apple Pay"/>
    <s v="C1447"/>
    <n v="14"/>
    <s v="Monday"/>
    <s v="April"/>
    <n v="2025"/>
  </r>
  <r>
    <x v="1480"/>
    <d v="2025-04-14T00:00:00"/>
    <s v="Riverside"/>
    <s v="Leeds"/>
    <s v="Croissant"/>
    <s v="Food"/>
    <n v="5"/>
    <n v="2.8"/>
    <s v="Card"/>
    <s v="C1581"/>
    <n v="14"/>
    <s v="Monday"/>
    <s v="April"/>
    <n v="2025"/>
  </r>
  <r>
    <x v="1481"/>
    <d v="2025-04-14T00:00:00"/>
    <s v="High Street"/>
    <s v="London"/>
    <s v="Cappuccino"/>
    <s v="Drink"/>
    <n v="3"/>
    <n v="3.8"/>
    <s v="Card"/>
    <s v="C1382"/>
    <n v="11.399999999999999"/>
    <s v="Monday"/>
    <s v="April"/>
    <n v="2025"/>
  </r>
  <r>
    <x v="1482"/>
    <d v="2025-04-14T00:00:00"/>
    <s v="Central"/>
    <s v="Bristol"/>
    <s v="Croissant"/>
    <s v="Food"/>
    <n v="4"/>
    <n v="2.8"/>
    <s v="Cash"/>
    <s v="C1732"/>
    <n v="11.2"/>
    <s v="Monday"/>
    <s v="April"/>
    <n v="2025"/>
  </r>
  <r>
    <x v="1483"/>
    <d v="2025-04-14T00:00:00"/>
    <s v="Station"/>
    <s v="Manchester"/>
    <s v="Muffin"/>
    <s v="Food"/>
    <n v="5"/>
    <n v="2.2000000000000002"/>
    <s v="Card"/>
    <s v="C1846"/>
    <n v="11"/>
    <s v="Monday"/>
    <s v="April"/>
    <n v="2025"/>
  </r>
  <r>
    <x v="1484"/>
    <d v="2025-04-14T00:00:00"/>
    <s v="High Street"/>
    <s v="Manchester"/>
    <s v="Muffin"/>
    <s v="Food"/>
    <n v="5"/>
    <n v="2.2000000000000002"/>
    <s v="Cash"/>
    <s v="C1359"/>
    <n v="11"/>
    <s v="Monday"/>
    <s v="April"/>
    <n v="2025"/>
  </r>
  <r>
    <x v="1485"/>
    <d v="2025-04-14T00:00:00"/>
    <s v="Riverside"/>
    <s v="Manchester"/>
    <s v="Muffin"/>
    <s v="Food"/>
    <n v="5"/>
    <n v="2.2000000000000002"/>
    <s v="Cash"/>
    <s v="C1004"/>
    <n v="11"/>
    <s v="Monday"/>
    <s v="April"/>
    <n v="2025"/>
  </r>
  <r>
    <x v="1486"/>
    <d v="2025-04-14T00:00:00"/>
    <s v="Central"/>
    <s v="Manchester"/>
    <s v="Muffin"/>
    <s v="Food"/>
    <n v="5"/>
    <n v="2.2000000000000002"/>
    <s v="Card"/>
    <s v="C1465"/>
    <n v="11"/>
    <s v="Monday"/>
    <s v="April"/>
    <n v="2025"/>
  </r>
  <r>
    <x v="1487"/>
    <d v="2025-04-14T00:00:00"/>
    <s v="Central"/>
    <s v="Bristol"/>
    <s v="Latte"/>
    <s v="Drink"/>
    <n v="3"/>
    <n v="3.5"/>
    <s v="Card"/>
    <s v="C1480"/>
    <n v="10.5"/>
    <s v="Monday"/>
    <s v="April"/>
    <n v="2025"/>
  </r>
  <r>
    <x v="1488"/>
    <d v="2025-04-14T00:00:00"/>
    <s v="Central"/>
    <s v="Manchester"/>
    <s v="Espresso"/>
    <s v="Drink"/>
    <n v="4"/>
    <n v="2.5"/>
    <s v="Card"/>
    <s v="C1722"/>
    <n v="10"/>
    <s v="Monday"/>
    <s v="April"/>
    <n v="2025"/>
  </r>
  <r>
    <x v="1489"/>
    <d v="2025-04-14T00:00:00"/>
    <s v="Station"/>
    <s v="Birmingham"/>
    <s v="Espresso"/>
    <s v="Drink"/>
    <n v="4"/>
    <n v="2.5"/>
    <s v="Card"/>
    <s v="C1368"/>
    <n v="10"/>
    <s v="Monday"/>
    <s v="April"/>
    <n v="2025"/>
  </r>
  <r>
    <x v="1490"/>
    <d v="2025-04-14T00:00:00"/>
    <s v="High Street"/>
    <s v="Leeds"/>
    <s v="Muffin"/>
    <s v="Food"/>
    <n v="4"/>
    <n v="2.2000000000000002"/>
    <s v="Apple Pay"/>
    <s v="C1553"/>
    <n v="8.8000000000000007"/>
    <s v="Monday"/>
    <s v="April"/>
    <n v="2025"/>
  </r>
  <r>
    <x v="1491"/>
    <d v="2025-04-14T00:00:00"/>
    <s v="Central"/>
    <s v="Manchester"/>
    <s v="Espresso"/>
    <s v="Drink"/>
    <n v="3"/>
    <n v="2.5"/>
    <s v="Card"/>
    <s v="C1878"/>
    <n v="7.5"/>
    <s v="Monday"/>
    <s v="April"/>
    <n v="2025"/>
  </r>
  <r>
    <x v="1492"/>
    <d v="2025-04-14T00:00:00"/>
    <s v="Central"/>
    <s v="Birmingham"/>
    <s v="Latte"/>
    <s v="Drink"/>
    <n v="2"/>
    <n v="3.5"/>
    <s v="Apple Pay"/>
    <s v="C1266"/>
    <n v="7"/>
    <s v="Monday"/>
    <s v="April"/>
    <n v="2025"/>
  </r>
  <r>
    <x v="1493"/>
    <d v="2025-04-14T00:00:00"/>
    <s v="Central"/>
    <s v="Leeds"/>
    <s v="Espresso"/>
    <s v="Drink"/>
    <n v="2"/>
    <n v="2.5"/>
    <s v="Card"/>
    <s v="C1447"/>
    <n v="5"/>
    <s v="Monday"/>
    <s v="April"/>
    <n v="2025"/>
  </r>
  <r>
    <x v="1494"/>
    <d v="2025-04-14T00:00:00"/>
    <s v="High Street"/>
    <s v="London"/>
    <s v="Espresso"/>
    <s v="Drink"/>
    <n v="1"/>
    <n v="2.5"/>
    <s v="Apple Pay"/>
    <s v="C1471"/>
    <n v="2.5"/>
    <s v="Monday"/>
    <s v="April"/>
    <n v="2025"/>
  </r>
  <r>
    <x v="1495"/>
    <d v="2025-04-15T00:00:00"/>
    <s v="High Street"/>
    <s v="Leeds"/>
    <s v="Cappuccino"/>
    <s v="Drink"/>
    <n v="4"/>
    <n v="3.8"/>
    <s v="Card"/>
    <s v="C1303"/>
    <n v="15.2"/>
    <s v="Tuesday"/>
    <s v="April"/>
    <n v="2025"/>
  </r>
  <r>
    <x v="1496"/>
    <d v="2025-04-15T00:00:00"/>
    <s v="High Street"/>
    <s v="Leeds"/>
    <s v="Latte"/>
    <s v="Drink"/>
    <n v="4"/>
    <n v="3.5"/>
    <s v="Card"/>
    <s v="C1167"/>
    <n v="14"/>
    <s v="Tuesday"/>
    <s v="April"/>
    <n v="2025"/>
  </r>
  <r>
    <x v="1497"/>
    <d v="2025-04-15T00:00:00"/>
    <s v="Station"/>
    <s v="Birmingham"/>
    <s v="Espresso"/>
    <s v="Drink"/>
    <n v="5"/>
    <n v="2.5"/>
    <s v="Cash"/>
    <s v="C1397"/>
    <n v="12.5"/>
    <s v="Tuesday"/>
    <s v="April"/>
    <n v="2025"/>
  </r>
  <r>
    <x v="1498"/>
    <d v="2025-04-15T00:00:00"/>
    <s v="Riverside"/>
    <s v="Manchester"/>
    <s v="Espresso"/>
    <s v="Drink"/>
    <n v="5"/>
    <n v="2.5"/>
    <s v="Card"/>
    <s v="C1159"/>
    <n v="12.5"/>
    <s v="Tuesday"/>
    <s v="April"/>
    <n v="2025"/>
  </r>
  <r>
    <x v="1499"/>
    <d v="2025-04-15T00:00:00"/>
    <s v="Central"/>
    <s v="Bristol"/>
    <s v="Croissant"/>
    <s v="Food"/>
    <n v="4"/>
    <n v="2.8"/>
    <s v="Card"/>
    <s v="C1034"/>
    <n v="11.2"/>
    <s v="Tuesday"/>
    <s v="April"/>
    <n v="2025"/>
  </r>
  <r>
    <x v="1500"/>
    <d v="2025-04-15T00:00:00"/>
    <s v="Riverside"/>
    <s v="Bristol"/>
    <s v="Croissant"/>
    <s v="Food"/>
    <n v="4"/>
    <n v="2.8"/>
    <s v="Card"/>
    <s v="C1044"/>
    <n v="11.2"/>
    <s v="Tuesday"/>
    <s v="April"/>
    <n v="2025"/>
  </r>
  <r>
    <x v="1501"/>
    <d v="2025-04-15T00:00:00"/>
    <s v="High Street"/>
    <s v="Leeds"/>
    <s v="Muffin"/>
    <s v="Food"/>
    <n v="5"/>
    <n v="2.2000000000000002"/>
    <s v="Card"/>
    <s v="C1671"/>
    <n v="11"/>
    <s v="Tuesday"/>
    <s v="April"/>
    <n v="2025"/>
  </r>
  <r>
    <x v="1502"/>
    <d v="2025-04-15T00:00:00"/>
    <s v="Station"/>
    <s v="Birmingham"/>
    <s v="Espresso"/>
    <s v="Drink"/>
    <n v="4"/>
    <n v="2.5"/>
    <s v="Cash"/>
    <s v="C1325"/>
    <n v="10"/>
    <s v="Tuesday"/>
    <s v="April"/>
    <n v="2025"/>
  </r>
  <r>
    <x v="1503"/>
    <d v="2025-04-15T00:00:00"/>
    <s v="High Street"/>
    <s v="Leeds"/>
    <s v="Muffin"/>
    <s v="Food"/>
    <n v="4"/>
    <n v="2.2000000000000002"/>
    <s v="Cash"/>
    <s v="C1505"/>
    <n v="8.8000000000000007"/>
    <s v="Tuesday"/>
    <s v="April"/>
    <n v="2025"/>
  </r>
  <r>
    <x v="1504"/>
    <d v="2025-04-15T00:00:00"/>
    <s v="Riverside"/>
    <s v="Leeds"/>
    <s v="Espresso"/>
    <s v="Drink"/>
    <n v="3"/>
    <n v="2.5"/>
    <s v="Card"/>
    <s v="C1428"/>
    <n v="7.5"/>
    <s v="Tuesday"/>
    <s v="April"/>
    <n v="2025"/>
  </r>
  <r>
    <x v="1505"/>
    <d v="2025-04-15T00:00:00"/>
    <s v="High Street"/>
    <s v="Manchester"/>
    <s v="Muffin"/>
    <s v="Food"/>
    <n v="3"/>
    <n v="2.2000000000000002"/>
    <s v="Card"/>
    <s v="C1420"/>
    <n v="6.6000000000000005"/>
    <s v="Tuesday"/>
    <s v="April"/>
    <n v="2025"/>
  </r>
  <r>
    <x v="1506"/>
    <d v="2025-04-15T00:00:00"/>
    <s v="Station"/>
    <s v="Manchester"/>
    <s v="Cappuccino"/>
    <s v="Drink"/>
    <n v="1"/>
    <n v="3.8"/>
    <s v="Card"/>
    <s v="C1257"/>
    <n v="3.8"/>
    <s v="Tuesday"/>
    <s v="April"/>
    <n v="2025"/>
  </r>
  <r>
    <x v="1507"/>
    <d v="2025-04-16T00:00:00"/>
    <s v="Central"/>
    <s v="Bristol"/>
    <s v="Cappuccino"/>
    <s v="Drink"/>
    <n v="5"/>
    <n v="3.8"/>
    <s v="Cash"/>
    <s v="C1149"/>
    <n v="19"/>
    <s v="Wednesday"/>
    <s v="April"/>
    <n v="2025"/>
  </r>
  <r>
    <x v="1508"/>
    <d v="2025-04-16T00:00:00"/>
    <s v="Central"/>
    <s v="Leeds"/>
    <s v="Cappuccino"/>
    <s v="Drink"/>
    <n v="5"/>
    <n v="3.8"/>
    <s v="Apple Pay"/>
    <s v="C1008"/>
    <n v="19"/>
    <s v="Wednesday"/>
    <s v="April"/>
    <n v="2025"/>
  </r>
  <r>
    <x v="1509"/>
    <d v="2025-04-16T00:00:00"/>
    <s v="Riverside"/>
    <s v="Manchester"/>
    <s v="Latte"/>
    <s v="Drink"/>
    <n v="4"/>
    <n v="3.5"/>
    <s v="Cash"/>
    <s v="C1808"/>
    <n v="14"/>
    <s v="Wednesday"/>
    <s v="April"/>
    <n v="2025"/>
  </r>
  <r>
    <x v="1510"/>
    <d v="2025-04-16T00:00:00"/>
    <s v="Riverside"/>
    <s v="Bristol"/>
    <s v="Espresso"/>
    <s v="Drink"/>
    <n v="5"/>
    <n v="2.5"/>
    <s v="Cash"/>
    <s v="C1136"/>
    <n v="12.5"/>
    <s v="Wednesday"/>
    <s v="April"/>
    <n v="2025"/>
  </r>
  <r>
    <x v="1511"/>
    <d v="2025-04-16T00:00:00"/>
    <s v="Station"/>
    <s v="Leeds"/>
    <s v="Espresso"/>
    <s v="Drink"/>
    <n v="5"/>
    <n v="2.5"/>
    <s v="Card"/>
    <s v="C1159"/>
    <n v="12.5"/>
    <s v="Wednesday"/>
    <s v="April"/>
    <n v="2025"/>
  </r>
  <r>
    <x v="1512"/>
    <d v="2025-04-16T00:00:00"/>
    <s v="Station"/>
    <s v="Manchester"/>
    <s v="Cappuccino"/>
    <s v="Drink"/>
    <n v="3"/>
    <n v="3.8"/>
    <s v="Card"/>
    <s v="C1284"/>
    <n v="11.399999999999999"/>
    <s v="Wednesday"/>
    <s v="April"/>
    <n v="2025"/>
  </r>
  <r>
    <x v="1513"/>
    <d v="2025-04-16T00:00:00"/>
    <s v="High Street"/>
    <s v="Leeds"/>
    <s v="Croissant"/>
    <s v="Food"/>
    <n v="4"/>
    <n v="2.8"/>
    <s v="Cash"/>
    <s v="C1380"/>
    <n v="11.2"/>
    <s v="Wednesday"/>
    <s v="April"/>
    <n v="2025"/>
  </r>
  <r>
    <x v="1514"/>
    <d v="2025-04-16T00:00:00"/>
    <s v="High Street"/>
    <s v="Manchester"/>
    <s v="Muffin"/>
    <s v="Food"/>
    <n v="5"/>
    <n v="2.2000000000000002"/>
    <s v="Cash"/>
    <s v="C1606"/>
    <n v="11"/>
    <s v="Wednesday"/>
    <s v="April"/>
    <n v="2025"/>
  </r>
  <r>
    <x v="1515"/>
    <d v="2025-04-16T00:00:00"/>
    <s v="Station"/>
    <s v="London"/>
    <s v="Muffin"/>
    <s v="Food"/>
    <n v="5"/>
    <n v="2.2000000000000002"/>
    <s v="Apple Pay"/>
    <s v="C1859"/>
    <n v="11"/>
    <s v="Wednesday"/>
    <s v="April"/>
    <n v="2025"/>
  </r>
  <r>
    <x v="1516"/>
    <d v="2025-04-16T00:00:00"/>
    <s v="Station"/>
    <s v="Manchester"/>
    <s v="Espresso"/>
    <s v="Drink"/>
    <n v="4"/>
    <n v="2.5"/>
    <s v="Apple Pay"/>
    <s v="C1612"/>
    <n v="10"/>
    <s v="Wednesday"/>
    <s v="April"/>
    <n v="2025"/>
  </r>
  <r>
    <x v="1517"/>
    <d v="2025-04-16T00:00:00"/>
    <s v="Station"/>
    <s v="London"/>
    <s v="Croissant"/>
    <s v="Food"/>
    <n v="2"/>
    <n v="2.8"/>
    <s v="Card"/>
    <s v="C1922"/>
    <n v="5.6"/>
    <s v="Wednesday"/>
    <s v="April"/>
    <n v="2025"/>
  </r>
  <r>
    <x v="1518"/>
    <d v="2025-04-16T00:00:00"/>
    <s v="Riverside"/>
    <s v="Manchester"/>
    <s v="Muffin"/>
    <s v="Food"/>
    <n v="2"/>
    <n v="2.2000000000000002"/>
    <s v="Card"/>
    <s v="C1710"/>
    <n v="4.4000000000000004"/>
    <s v="Wednesday"/>
    <s v="April"/>
    <n v="2025"/>
  </r>
  <r>
    <x v="1519"/>
    <d v="2025-04-16T00:00:00"/>
    <s v="High Street"/>
    <s v="Manchester"/>
    <s v="Muffin"/>
    <s v="Food"/>
    <n v="1"/>
    <n v="2.2000000000000002"/>
    <s v="Card"/>
    <s v="C1438"/>
    <n v="2.2000000000000002"/>
    <s v="Wednesday"/>
    <s v="April"/>
    <n v="2025"/>
  </r>
  <r>
    <x v="1520"/>
    <d v="2025-04-17T00:00:00"/>
    <s v="Riverside"/>
    <s v="London"/>
    <s v="Cappuccino"/>
    <s v="Drink"/>
    <n v="5"/>
    <n v="3.8"/>
    <s v="Apple Pay"/>
    <s v="C1424"/>
    <n v="19"/>
    <s v="Thursday"/>
    <s v="April"/>
    <n v="2025"/>
  </r>
  <r>
    <x v="1521"/>
    <d v="2025-04-17T00:00:00"/>
    <s v="Station"/>
    <s v="Leeds"/>
    <s v="Croissant"/>
    <s v="Food"/>
    <n v="5"/>
    <n v="2.8"/>
    <s v="Card"/>
    <s v="C1748"/>
    <n v="14"/>
    <s v="Thursday"/>
    <s v="April"/>
    <n v="2025"/>
  </r>
  <r>
    <x v="1522"/>
    <d v="2025-04-17T00:00:00"/>
    <s v="Station"/>
    <s v="Birmingham"/>
    <s v="Latte"/>
    <s v="Drink"/>
    <n v="3"/>
    <n v="3.8"/>
    <s v="Apple Pay"/>
    <s v="C1971"/>
    <n v="11.399999999999999"/>
    <s v="Thursday"/>
    <s v="April"/>
    <n v="2025"/>
  </r>
  <r>
    <x v="1523"/>
    <d v="2025-04-17T00:00:00"/>
    <s v="High Street"/>
    <s v="Birmingham"/>
    <s v="Cappuccino"/>
    <s v="Drink"/>
    <n v="3"/>
    <n v="3.8"/>
    <s v="Card"/>
    <s v="C1065"/>
    <n v="11.399999999999999"/>
    <s v="Thursday"/>
    <s v="April"/>
    <n v="2025"/>
  </r>
  <r>
    <x v="1524"/>
    <d v="2025-04-17T00:00:00"/>
    <s v="Station"/>
    <s v="London"/>
    <s v="Croissant"/>
    <s v="Food"/>
    <n v="4"/>
    <n v="2.8"/>
    <s v="Cash"/>
    <s v="C1774"/>
    <n v="11.2"/>
    <s v="Thursday"/>
    <s v="April"/>
    <n v="2025"/>
  </r>
  <r>
    <x v="1524"/>
    <d v="2025-04-17T00:00:00"/>
    <s v="Station"/>
    <s v="London"/>
    <s v="Croissant"/>
    <s v="Food"/>
    <n v="4"/>
    <n v="2.8"/>
    <s v="Card"/>
    <s v="C1774"/>
    <n v="11.2"/>
    <s v="Thursday"/>
    <s v="April"/>
    <n v="2025"/>
  </r>
  <r>
    <x v="1525"/>
    <d v="2025-04-17T00:00:00"/>
    <s v="Station"/>
    <s v="Leeds"/>
    <s v="Latte"/>
    <s v="Drink"/>
    <n v="3"/>
    <n v="3.5"/>
    <s v="Card"/>
    <s v="C1465"/>
    <n v="10.5"/>
    <s v="Thursday"/>
    <s v="April"/>
    <n v="2025"/>
  </r>
  <r>
    <x v="1526"/>
    <d v="2025-04-17T00:00:00"/>
    <s v="Riverside"/>
    <s v="Manchester"/>
    <s v="Espresso"/>
    <s v="Drink"/>
    <n v="4"/>
    <n v="2.5"/>
    <s v="Cash"/>
    <s v="C1243"/>
    <n v="10"/>
    <s v="Thursday"/>
    <s v="April"/>
    <n v="2025"/>
  </r>
  <r>
    <x v="1527"/>
    <d v="2025-04-17T00:00:00"/>
    <s v="High Street"/>
    <s v="N/A"/>
    <s v="Espresso"/>
    <s v="Drink"/>
    <n v="4"/>
    <n v="2.5"/>
    <s v="Apple Pay"/>
    <s v="C1684"/>
    <n v="10"/>
    <s v="Thursday"/>
    <s v="April"/>
    <n v="2025"/>
  </r>
  <r>
    <x v="1528"/>
    <d v="2025-04-17T00:00:00"/>
    <s v="High Street"/>
    <s v="London"/>
    <s v="Muffin"/>
    <s v="Food"/>
    <n v="4"/>
    <n v="2.2000000000000002"/>
    <s v="Apple Pay"/>
    <s v="C1884"/>
    <n v="8.8000000000000007"/>
    <s v="Thursday"/>
    <s v="April"/>
    <n v="2025"/>
  </r>
  <r>
    <x v="1529"/>
    <d v="2025-04-17T00:00:00"/>
    <s v="Riverside"/>
    <s v="Birmingham"/>
    <s v="Croissant"/>
    <s v="Food"/>
    <n v="3"/>
    <n v="2.8"/>
    <s v="Apple Pay"/>
    <s v="C1814"/>
    <n v="8.3999999999999986"/>
    <s v="Thursday"/>
    <s v="April"/>
    <n v="2025"/>
  </r>
  <r>
    <x v="1530"/>
    <d v="2025-04-17T00:00:00"/>
    <s v="High Street"/>
    <s v="Bristol"/>
    <s v="Croissant"/>
    <s v="Food"/>
    <n v="3"/>
    <n v="2.8"/>
    <s v="Card"/>
    <s v="C1171"/>
    <n v="8.3999999999999986"/>
    <s v="Thursday"/>
    <s v="April"/>
    <n v="2025"/>
  </r>
  <r>
    <x v="1531"/>
    <d v="2025-04-17T00:00:00"/>
    <s v="High Street"/>
    <s v="Leeds"/>
    <s v="Cappuccino"/>
    <s v="Drink"/>
    <n v="2"/>
    <n v="3.8"/>
    <s v="Apple Pay"/>
    <s v="C1722"/>
    <n v="7.6"/>
    <s v="Thursday"/>
    <s v="April"/>
    <n v="2025"/>
  </r>
  <r>
    <x v="1532"/>
    <d v="2025-04-17T00:00:00"/>
    <s v="Central"/>
    <s v="Leeds"/>
    <s v="Muffin"/>
    <s v="Food"/>
    <n v="3"/>
    <n v="2.2000000000000002"/>
    <s v="Apple Pay"/>
    <s v="C1927"/>
    <n v="6.6000000000000005"/>
    <s v="Thursday"/>
    <s v="April"/>
    <n v="2025"/>
  </r>
  <r>
    <x v="1533"/>
    <d v="2025-04-17T00:00:00"/>
    <s v="Riverside"/>
    <s v="Bristol"/>
    <s v="Croissant"/>
    <s v="Food"/>
    <n v="2"/>
    <n v="2.8"/>
    <s v="Cash"/>
    <s v="C1473"/>
    <n v="5.6"/>
    <s v="Thursday"/>
    <s v="April"/>
    <n v="2025"/>
  </r>
  <r>
    <x v="1534"/>
    <d v="2025-04-17T00:00:00"/>
    <s v="Riverside"/>
    <s v="London"/>
    <s v="Espresso"/>
    <s v="Drink"/>
    <n v="2"/>
    <n v="2.5"/>
    <s v="Card"/>
    <s v="C1146"/>
    <n v="5"/>
    <s v="Thursday"/>
    <s v="April"/>
    <n v="2025"/>
  </r>
  <r>
    <x v="1535"/>
    <d v="2025-04-17T00:00:00"/>
    <s v="Riverside"/>
    <s v="Leeds"/>
    <s v="Muffin"/>
    <s v="Food"/>
    <n v="2"/>
    <n v="2.2000000000000002"/>
    <s v="Apple Pay"/>
    <s v="C1727"/>
    <n v="4.4000000000000004"/>
    <s v="Thursday"/>
    <s v="April"/>
    <n v="2025"/>
  </r>
  <r>
    <x v="1536"/>
    <d v="2025-04-17T00:00:00"/>
    <s v="Station"/>
    <s v="Bristol"/>
    <s v="Cappuccino"/>
    <s v="Drink"/>
    <n v="1"/>
    <n v="3.8"/>
    <s v="Cash"/>
    <s v="C1105"/>
    <n v="3.8"/>
    <s v="Thursday"/>
    <s v="April"/>
    <n v="2025"/>
  </r>
  <r>
    <x v="1537"/>
    <d v="2025-04-17T00:00:00"/>
    <s v="Central"/>
    <s v="Manchester"/>
    <s v="Croissant"/>
    <s v="Food"/>
    <n v="1"/>
    <n v="2.8"/>
    <s v="Apple Pay"/>
    <s v="C1418"/>
    <n v="2.8"/>
    <s v="Thursday"/>
    <s v="April"/>
    <n v="2025"/>
  </r>
  <r>
    <x v="1538"/>
    <d v="2025-04-18T00:00:00"/>
    <s v="High Street"/>
    <s v="Leeds"/>
    <s v="Latte"/>
    <s v="Drink"/>
    <n v="5"/>
    <n v="3.5"/>
    <s v="Card"/>
    <s v="C1534"/>
    <n v="17.5"/>
    <s v="Friday"/>
    <s v="April"/>
    <n v="2025"/>
  </r>
  <r>
    <x v="1539"/>
    <d v="2025-04-18T00:00:00"/>
    <s v="High Street"/>
    <s v="N/A"/>
    <s v="Espresso"/>
    <s v="Drink"/>
    <n v="5"/>
    <n v="2.5"/>
    <s v="Card"/>
    <s v="C1896"/>
    <n v="12.5"/>
    <s v="Friday"/>
    <s v="April"/>
    <n v="2025"/>
  </r>
  <r>
    <x v="1540"/>
    <d v="2025-04-18T00:00:00"/>
    <s v="Riverside"/>
    <s v="Birmingham"/>
    <s v="Espresso"/>
    <s v="Drink"/>
    <n v="4"/>
    <n v="2.5"/>
    <s v="Card"/>
    <s v="C1615"/>
    <n v="10"/>
    <s v="Friday"/>
    <s v="April"/>
    <n v="2025"/>
  </r>
  <r>
    <x v="1541"/>
    <d v="2025-04-18T00:00:00"/>
    <s v="Station"/>
    <s v="London"/>
    <s v="Muffin"/>
    <s v="Food"/>
    <n v="4"/>
    <n v="2.2000000000000002"/>
    <s v="Card"/>
    <s v="C1157"/>
    <n v="8.8000000000000007"/>
    <s v="Friday"/>
    <s v="April"/>
    <n v="2025"/>
  </r>
  <r>
    <x v="1542"/>
    <d v="2025-04-18T00:00:00"/>
    <s v="Riverside"/>
    <s v="Manchester"/>
    <s v="Muffin"/>
    <s v="Food"/>
    <n v="3"/>
    <n v="2.2000000000000002"/>
    <s v="Card"/>
    <s v="C1827"/>
    <n v="6.6000000000000005"/>
    <s v="Friday"/>
    <s v="April"/>
    <n v="2025"/>
  </r>
  <r>
    <x v="1543"/>
    <d v="2025-04-18T00:00:00"/>
    <s v="Riverside"/>
    <s v="Birmingham"/>
    <s v="Croissant"/>
    <s v="Food"/>
    <n v="2"/>
    <n v="2.8"/>
    <s v="Cash"/>
    <s v="C1528"/>
    <n v="5.6"/>
    <s v="Friday"/>
    <s v="April"/>
    <n v="2025"/>
  </r>
  <r>
    <x v="1544"/>
    <d v="2025-04-18T00:00:00"/>
    <s v="Central"/>
    <s v="Birmingham"/>
    <s v="Espresso"/>
    <s v="Drink"/>
    <n v="2"/>
    <n v="2.5"/>
    <s v="Cash"/>
    <s v="C1870"/>
    <n v="5"/>
    <s v="Friday"/>
    <s v="April"/>
    <n v="2025"/>
  </r>
  <r>
    <x v="1545"/>
    <d v="2025-04-18T00:00:00"/>
    <s v="Station"/>
    <s v="Leeds"/>
    <s v="Muffin"/>
    <s v="Food"/>
    <n v="2"/>
    <n v="2.2000000000000002"/>
    <s v="Apple Pay"/>
    <s v="C1465"/>
    <n v="4.4000000000000004"/>
    <s v="Friday"/>
    <s v="April"/>
    <n v="2025"/>
  </r>
  <r>
    <x v="1546"/>
    <d v="2025-04-18T00:00:00"/>
    <s v="Central"/>
    <s v="Leeds"/>
    <s v="Cappuccino"/>
    <s v="Drink"/>
    <n v="1"/>
    <n v="3.8"/>
    <s v="Card"/>
    <s v="C1184"/>
    <n v="3.8"/>
    <s v="Friday"/>
    <s v="April"/>
    <n v="2025"/>
  </r>
  <r>
    <x v="1547"/>
    <d v="2025-04-18T00:00:00"/>
    <s v="Riverside"/>
    <s v="Birmingham"/>
    <s v="Croissant"/>
    <s v="Food"/>
    <n v="1"/>
    <n v="2.8"/>
    <s v="Apple Pay"/>
    <s v="C1994"/>
    <n v="2.8"/>
    <s v="Friday"/>
    <s v="April"/>
    <n v="2025"/>
  </r>
  <r>
    <x v="1548"/>
    <d v="2025-04-18T00:00:00"/>
    <s v="High Street"/>
    <s v="Manchester"/>
    <s v="Espresso"/>
    <s v="Drink"/>
    <n v="1"/>
    <n v="2.5"/>
    <s v="Cash"/>
    <s v="C1574"/>
    <n v="2.5"/>
    <s v="Friday"/>
    <s v="April"/>
    <n v="2025"/>
  </r>
  <r>
    <x v="1549"/>
    <d v="2025-04-19T00:00:00"/>
    <s v="High Street"/>
    <s v="London"/>
    <s v="Cappuccino"/>
    <s v="Drink"/>
    <n v="5"/>
    <n v="3.8"/>
    <s v="Cash"/>
    <s v="C1710"/>
    <n v="19"/>
    <s v="Saturday"/>
    <s v="April"/>
    <n v="2025"/>
  </r>
  <r>
    <x v="1550"/>
    <d v="2025-04-19T00:00:00"/>
    <s v="Central"/>
    <s v="Birmingham"/>
    <s v="Latte"/>
    <s v="Drink"/>
    <n v="4"/>
    <n v="3.5"/>
    <s v="Cash"/>
    <s v="C1826"/>
    <n v="14"/>
    <s v="Saturday"/>
    <s v="April"/>
    <n v="2025"/>
  </r>
  <r>
    <x v="1551"/>
    <d v="2025-04-19T00:00:00"/>
    <s v="Riverside"/>
    <s v="London"/>
    <s v="Espresso"/>
    <s v="Drink"/>
    <n v="5"/>
    <n v="2.5"/>
    <s v="Cash"/>
    <s v="C1058"/>
    <n v="12.5"/>
    <s v="Saturday"/>
    <s v="April"/>
    <n v="2025"/>
  </r>
  <r>
    <x v="1552"/>
    <d v="2025-04-19T00:00:00"/>
    <s v="Riverside"/>
    <s v="Manchester"/>
    <s v="Muffin"/>
    <s v="Food"/>
    <n v="5"/>
    <n v="2.2000000000000002"/>
    <s v="Card"/>
    <s v="C1112"/>
    <n v="11"/>
    <s v="Saturday"/>
    <s v="April"/>
    <n v="2025"/>
  </r>
  <r>
    <x v="1553"/>
    <d v="2025-04-19T00:00:00"/>
    <s v="Station"/>
    <s v="Bristol"/>
    <s v="Latte"/>
    <s v="Drink"/>
    <n v="3"/>
    <n v="3.5"/>
    <s v="Apple Pay"/>
    <s v="C1410"/>
    <n v="10.5"/>
    <s v="Saturday"/>
    <s v="April"/>
    <n v="2025"/>
  </r>
  <r>
    <x v="1554"/>
    <d v="2025-04-19T00:00:00"/>
    <s v="Station"/>
    <s v="Bristol"/>
    <s v="Muffin"/>
    <s v="Food"/>
    <n v="4"/>
    <n v="2.2000000000000002"/>
    <s v="Apple Pay"/>
    <s v="C1093"/>
    <n v="8.8000000000000007"/>
    <s v="Saturday"/>
    <s v="April"/>
    <n v="2025"/>
  </r>
  <r>
    <x v="1555"/>
    <d v="2025-04-19T00:00:00"/>
    <s v="Station"/>
    <s v="London"/>
    <s v="Croissant"/>
    <s v="Food"/>
    <n v="3"/>
    <n v="2.8"/>
    <s v="Cash"/>
    <s v="C1440"/>
    <n v="8.3999999999999986"/>
    <s v="Saturday"/>
    <s v="April"/>
    <n v="2025"/>
  </r>
  <r>
    <x v="1556"/>
    <d v="2025-04-19T00:00:00"/>
    <s v="Riverside"/>
    <s v="London"/>
    <s v="Espresso"/>
    <s v="Drink"/>
    <n v="3"/>
    <n v="2.5"/>
    <s v="Apple Pay"/>
    <s v="C1125"/>
    <n v="7.5"/>
    <s v="Saturday"/>
    <s v="April"/>
    <n v="2025"/>
  </r>
  <r>
    <x v="1557"/>
    <d v="2025-04-19T00:00:00"/>
    <s v="Central"/>
    <s v="Leeds"/>
    <s v="Muffin"/>
    <s v="Food"/>
    <n v="3"/>
    <n v="2.2000000000000002"/>
    <s v="Apple Pay"/>
    <s v="C1225"/>
    <n v="6.6000000000000005"/>
    <s v="Saturday"/>
    <s v="April"/>
    <n v="2025"/>
  </r>
  <r>
    <x v="1558"/>
    <d v="2025-04-19T00:00:00"/>
    <s v="Riverside"/>
    <s v="Bristol"/>
    <s v="Muffin"/>
    <s v="Food"/>
    <n v="2"/>
    <n v="2.2000000000000002"/>
    <s v="Apple Pay"/>
    <s v="C1426"/>
    <n v="4.4000000000000004"/>
    <s v="Saturday"/>
    <s v="April"/>
    <n v="2025"/>
  </r>
  <r>
    <x v="1559"/>
    <d v="2025-04-19T00:00:00"/>
    <s v="Central"/>
    <s v="London"/>
    <s v="Latte"/>
    <s v="Drink"/>
    <n v="1"/>
    <n v="3.5"/>
    <s v="Cash"/>
    <s v="C1057"/>
    <n v="3.5"/>
    <s v="Saturday"/>
    <s v="April"/>
    <n v="2025"/>
  </r>
  <r>
    <x v="1560"/>
    <d v="2025-04-19T00:00:00"/>
    <s v="Riverside"/>
    <s v="London"/>
    <s v="Croissant"/>
    <s v="Food"/>
    <n v="1"/>
    <n v="2.8"/>
    <s v="Cash"/>
    <s v="C1647"/>
    <n v="2.8"/>
    <s v="Saturday"/>
    <s v="April"/>
    <n v="2025"/>
  </r>
  <r>
    <x v="1561"/>
    <d v="2025-04-19T00:00:00"/>
    <s v="High Street"/>
    <s v="Leeds"/>
    <s v="Muffin"/>
    <s v="Food"/>
    <n v="1"/>
    <n v="2.2000000000000002"/>
    <s v="Card"/>
    <s v="C1694"/>
    <n v="2.2000000000000002"/>
    <s v="Saturday"/>
    <s v="April"/>
    <n v="2025"/>
  </r>
  <r>
    <x v="1562"/>
    <d v="2025-04-20T00:00:00"/>
    <s v="Riverside"/>
    <s v="Bristol"/>
    <s v="Cappuccino"/>
    <s v="Drink"/>
    <n v="5"/>
    <n v="3.8"/>
    <s v="Card"/>
    <s v="C1391"/>
    <n v="19"/>
    <s v="Sunday"/>
    <s v="April"/>
    <n v="2025"/>
  </r>
  <r>
    <x v="1563"/>
    <d v="2025-04-20T00:00:00"/>
    <s v="Central"/>
    <s v="Leeds"/>
    <s v="Croissant"/>
    <s v="Food"/>
    <n v="5"/>
    <n v="2.8"/>
    <s v="Cash"/>
    <s v="C1803"/>
    <n v="14"/>
    <s v="Sunday"/>
    <s v="April"/>
    <n v="2025"/>
  </r>
  <r>
    <x v="1564"/>
    <d v="2025-04-20T00:00:00"/>
    <s v="Riverside"/>
    <s v="Bristol"/>
    <s v="Espresso"/>
    <s v="Drink"/>
    <n v="5"/>
    <n v="2.5"/>
    <s v="Cash"/>
    <s v="C1015"/>
    <n v="12.5"/>
    <s v="Sunday"/>
    <s v="April"/>
    <n v="2025"/>
  </r>
  <r>
    <x v="1565"/>
    <d v="2025-04-20T00:00:00"/>
    <s v="Central"/>
    <s v="London"/>
    <s v="Cappuccino"/>
    <s v="Drink"/>
    <n v="3"/>
    <n v="3.8"/>
    <s v="Card"/>
    <s v="C1505"/>
    <n v="11.399999999999999"/>
    <s v="Sunday"/>
    <s v="April"/>
    <n v="2025"/>
  </r>
  <r>
    <x v="1566"/>
    <d v="2025-04-20T00:00:00"/>
    <s v="High Street"/>
    <s v="London"/>
    <s v="Croissant"/>
    <s v="Food"/>
    <n v="4"/>
    <n v="2.8"/>
    <s v="Apple Pay"/>
    <s v="C1849"/>
    <n v="11.2"/>
    <s v="Sunday"/>
    <s v="April"/>
    <n v="2025"/>
  </r>
  <r>
    <x v="1567"/>
    <d v="2025-04-20T00:00:00"/>
    <s v="Central"/>
    <s v="Leeds"/>
    <s v="Croissant"/>
    <s v="Food"/>
    <n v="4"/>
    <n v="2.8"/>
    <s v="Apple Pay"/>
    <s v="C1120"/>
    <n v="11.2"/>
    <s v="Sunday"/>
    <s v="April"/>
    <n v="2025"/>
  </r>
  <r>
    <x v="1568"/>
    <d v="2025-04-20T00:00:00"/>
    <s v="Riverside"/>
    <s v="Leeds"/>
    <s v="Muffin"/>
    <s v="Food"/>
    <n v="5"/>
    <n v="2.2000000000000002"/>
    <s v="Card"/>
    <s v="C1443"/>
    <n v="11"/>
    <s v="Sunday"/>
    <s v="April"/>
    <n v="2025"/>
  </r>
  <r>
    <x v="1569"/>
    <d v="2025-04-20T00:00:00"/>
    <s v="Riverside"/>
    <s v="Leeds"/>
    <s v="Latte"/>
    <s v="Drink"/>
    <n v="3"/>
    <n v="3.5"/>
    <s v="Apple Pay"/>
    <s v="C1344"/>
    <n v="10.5"/>
    <s v="Sunday"/>
    <s v="April"/>
    <n v="2025"/>
  </r>
  <r>
    <x v="1570"/>
    <d v="2025-04-20T00:00:00"/>
    <s v="Riverside"/>
    <s v="Bristol"/>
    <s v="Latte"/>
    <s v="Drink"/>
    <n v="2"/>
    <n v="3.5"/>
    <s v="Card"/>
    <s v="C1027"/>
    <n v="7"/>
    <s v="Sunday"/>
    <s v="April"/>
    <n v="2025"/>
  </r>
  <r>
    <x v="1571"/>
    <d v="2025-04-20T00:00:00"/>
    <s v="Central"/>
    <s v="Bristol"/>
    <s v="Muffin"/>
    <s v="Food"/>
    <n v="3"/>
    <n v="2.2000000000000002"/>
    <s v="Card"/>
    <s v="C1405"/>
    <n v="6.6000000000000005"/>
    <s v="Sunday"/>
    <s v="April"/>
    <n v="2025"/>
  </r>
  <r>
    <x v="1572"/>
    <d v="2025-04-20T00:00:00"/>
    <s v="Station"/>
    <s v="Manchester"/>
    <s v="Croissant"/>
    <s v="Food"/>
    <n v="2"/>
    <n v="2.8"/>
    <s v="Apple Pay"/>
    <s v="C1734"/>
    <n v="5.6"/>
    <s v="Sunday"/>
    <s v="April"/>
    <n v="2025"/>
  </r>
  <r>
    <x v="1573"/>
    <d v="2025-04-20T00:00:00"/>
    <s v="Central"/>
    <s v="Bristol"/>
    <s v="Muffin"/>
    <s v="Food"/>
    <n v="2"/>
    <n v="2.2000000000000002"/>
    <s v="Card"/>
    <s v="C1070"/>
    <n v="4.4000000000000004"/>
    <s v="Sunday"/>
    <s v="April"/>
    <n v="2025"/>
  </r>
  <r>
    <x v="1574"/>
    <d v="2025-04-20T00:00:00"/>
    <s v="Central"/>
    <s v="London"/>
    <s v="Espresso"/>
    <s v="Drink"/>
    <n v="1"/>
    <n v="2.5"/>
    <s v="Apple Pay"/>
    <s v="C1230"/>
    <n v="2.5"/>
    <s v="Sunday"/>
    <s v="April"/>
    <n v="2025"/>
  </r>
  <r>
    <x v="1575"/>
    <d v="2025-04-21T00:00:00"/>
    <s v="High Street"/>
    <s v="Bristol"/>
    <s v="Cappuccino"/>
    <s v="Drink"/>
    <n v="5"/>
    <n v="3.8"/>
    <s v="Apple Pay"/>
    <s v="C1750"/>
    <n v="19"/>
    <s v="Monday"/>
    <s v="April"/>
    <n v="2025"/>
  </r>
  <r>
    <x v="1576"/>
    <d v="2025-04-21T00:00:00"/>
    <s v="Station"/>
    <s v="London"/>
    <s v="Cappuccino"/>
    <s v="Drink"/>
    <n v="5"/>
    <n v="3.8"/>
    <s v="Card"/>
    <s v="C1725"/>
    <n v="19"/>
    <s v="Monday"/>
    <s v="April"/>
    <n v="2025"/>
  </r>
  <r>
    <x v="1577"/>
    <d v="2025-04-21T00:00:00"/>
    <s v="Station"/>
    <s v="Bristol"/>
    <s v="Latte"/>
    <s v="Drink"/>
    <n v="5"/>
    <n v="3.5"/>
    <s v="Card"/>
    <s v="C1819"/>
    <n v="17.5"/>
    <s v="Monday"/>
    <s v="April"/>
    <n v="2025"/>
  </r>
  <r>
    <x v="1578"/>
    <d v="2025-04-21T00:00:00"/>
    <s v="Station"/>
    <s v="Manchester"/>
    <s v="Cappuccino"/>
    <s v="Drink"/>
    <n v="4"/>
    <n v="3.8"/>
    <s v="Apple Pay"/>
    <s v="C1577"/>
    <n v="15.2"/>
    <s v="Monday"/>
    <s v="April"/>
    <n v="2025"/>
  </r>
  <r>
    <x v="1579"/>
    <d v="2025-04-21T00:00:00"/>
    <s v="Central"/>
    <s v="London"/>
    <s v="Croissant"/>
    <s v="Food"/>
    <n v="5"/>
    <n v="2.8"/>
    <s v="Apple Pay"/>
    <s v="C1648"/>
    <n v="14"/>
    <s v="Monday"/>
    <s v="April"/>
    <n v="2025"/>
  </r>
  <r>
    <x v="1580"/>
    <d v="2025-04-21T00:00:00"/>
    <s v="Station"/>
    <s v="Birmingham"/>
    <s v="Croissant"/>
    <s v="Food"/>
    <n v="5"/>
    <n v="2.8"/>
    <s v="Apple Pay"/>
    <s v="C1421"/>
    <n v="14"/>
    <s v="Monday"/>
    <s v="April"/>
    <n v="2025"/>
  </r>
  <r>
    <x v="1581"/>
    <d v="2025-04-21T00:00:00"/>
    <s v="High Street"/>
    <s v="Manchester"/>
    <s v="Espresso"/>
    <s v="Drink"/>
    <n v="5"/>
    <n v="2.5"/>
    <s v="Card"/>
    <s v="C1422"/>
    <n v="12.5"/>
    <s v="Monday"/>
    <s v="April"/>
    <n v="2025"/>
  </r>
  <r>
    <x v="1582"/>
    <d v="2025-04-21T00:00:00"/>
    <s v="High Street"/>
    <s v="Leeds"/>
    <s v="Cappuccino"/>
    <s v="Drink"/>
    <n v="2"/>
    <n v="3.8"/>
    <s v="Cash"/>
    <s v="C1452"/>
    <n v="7.6"/>
    <s v="Monday"/>
    <s v="April"/>
    <n v="2025"/>
  </r>
  <r>
    <x v="1583"/>
    <d v="2025-04-21T00:00:00"/>
    <s v="Central"/>
    <s v="Leeds"/>
    <s v="Muffin"/>
    <s v="Food"/>
    <n v="2"/>
    <n v="2.2000000000000002"/>
    <s v="Apple Pay"/>
    <s v="C1593"/>
    <n v="4.4000000000000004"/>
    <s v="Monday"/>
    <s v="April"/>
    <n v="2025"/>
  </r>
  <r>
    <x v="1584"/>
    <d v="2025-04-21T00:00:00"/>
    <s v="High Street"/>
    <s v="London"/>
    <s v="Muffin"/>
    <s v="Food"/>
    <n v="2"/>
    <n v="2.2000000000000002"/>
    <s v="Cash"/>
    <s v="C1637"/>
    <n v="4.4000000000000004"/>
    <s v="Monday"/>
    <s v="April"/>
    <n v="2025"/>
  </r>
  <r>
    <x v="1585"/>
    <d v="2025-04-22T00:00:00"/>
    <s v="Station"/>
    <s v="Birmingham"/>
    <s v="Latte"/>
    <s v="Drink"/>
    <n v="4"/>
    <n v="3.5"/>
    <s v="Cash"/>
    <s v="C1286"/>
    <n v="14"/>
    <s v="Tuesday"/>
    <s v="April"/>
    <n v="2025"/>
  </r>
  <r>
    <x v="1586"/>
    <d v="2025-04-22T00:00:00"/>
    <s v="Central"/>
    <s v="Manchester"/>
    <s v="Latte"/>
    <s v="Drink"/>
    <n v="4"/>
    <n v="3.5"/>
    <s v="Cash"/>
    <s v="C1102"/>
    <n v="14"/>
    <s v="Tuesday"/>
    <s v="April"/>
    <n v="2025"/>
  </r>
  <r>
    <x v="1587"/>
    <d v="2025-04-22T00:00:00"/>
    <s v="Riverside"/>
    <s v="Birmingham"/>
    <s v="Croissant"/>
    <s v="Food"/>
    <n v="5"/>
    <n v="2.8"/>
    <s v="Card"/>
    <s v="C1658"/>
    <n v="14"/>
    <s v="Tuesday"/>
    <s v="April"/>
    <n v="2025"/>
  </r>
  <r>
    <x v="1588"/>
    <d v="2025-04-22T00:00:00"/>
    <s v="Station"/>
    <s v="Bristol"/>
    <s v="Espresso"/>
    <s v="Drink"/>
    <n v="5"/>
    <n v="2.5"/>
    <s v="Card"/>
    <s v="C1582"/>
    <n v="12.5"/>
    <s v="Tuesday"/>
    <s v="April"/>
    <n v="2025"/>
  </r>
  <r>
    <x v="1589"/>
    <d v="2025-04-22T00:00:00"/>
    <s v="High Street"/>
    <s v="Bristol"/>
    <s v="Cappuccino"/>
    <s v="Drink"/>
    <n v="3"/>
    <n v="3.8"/>
    <s v="Apple Pay"/>
    <s v="C1369"/>
    <n v="11.399999999999999"/>
    <s v="Tuesday"/>
    <s v="April"/>
    <n v="2025"/>
  </r>
  <r>
    <x v="1590"/>
    <d v="2025-04-22T00:00:00"/>
    <s v="Riverside"/>
    <s v="London"/>
    <s v="Muffin"/>
    <s v="Food"/>
    <n v="5"/>
    <n v="2.2000000000000002"/>
    <s v="Cash"/>
    <s v="C1388"/>
    <n v="11"/>
    <s v="Tuesday"/>
    <s v="April"/>
    <n v="2025"/>
  </r>
  <r>
    <x v="1591"/>
    <d v="2025-04-22T00:00:00"/>
    <s v="Station"/>
    <s v="Leeds"/>
    <s v="Espresso"/>
    <s v="Drink"/>
    <n v="4"/>
    <n v="2.5"/>
    <s v="Apple Pay"/>
    <s v="C1343"/>
    <n v="10"/>
    <s v="Tuesday"/>
    <s v="April"/>
    <n v="2025"/>
  </r>
  <r>
    <x v="1592"/>
    <d v="2025-04-22T00:00:00"/>
    <s v="Station"/>
    <s v="Leeds"/>
    <s v="Espresso"/>
    <s v="Drink"/>
    <n v="3"/>
    <n v="2.5"/>
    <s v="Apple Pay"/>
    <s v="C1046"/>
    <n v="7.5"/>
    <s v="Tuesday"/>
    <s v="April"/>
    <n v="2025"/>
  </r>
  <r>
    <x v="1593"/>
    <d v="2025-04-22T00:00:00"/>
    <s v="High Street"/>
    <s v="Birmingham"/>
    <s v="Latte"/>
    <s v="Drink"/>
    <n v="2"/>
    <n v="3.5"/>
    <s v="Apple Pay"/>
    <s v="C1213"/>
    <n v="7"/>
    <s v="Tuesday"/>
    <s v="April"/>
    <n v="2025"/>
  </r>
  <r>
    <x v="1594"/>
    <d v="2025-04-22T00:00:00"/>
    <s v="High Street"/>
    <s v="London"/>
    <s v="Muffin"/>
    <s v="Food"/>
    <n v="3"/>
    <n v="2.2000000000000002"/>
    <s v="Apple Pay"/>
    <s v="C1686"/>
    <n v="6.6000000000000005"/>
    <s v="Tuesday"/>
    <s v="April"/>
    <n v="2025"/>
  </r>
  <r>
    <x v="1595"/>
    <d v="2025-04-22T00:00:00"/>
    <s v="High Street"/>
    <s v="Birmingham"/>
    <s v="Muffin"/>
    <s v="Food"/>
    <n v="3"/>
    <n v="2.2000000000000002"/>
    <s v="Apple Pay"/>
    <s v="C1350"/>
    <n v="6.6000000000000005"/>
    <s v="Tuesday"/>
    <s v="April"/>
    <n v="2025"/>
  </r>
  <r>
    <x v="1596"/>
    <d v="2025-04-22T00:00:00"/>
    <s v="High Street"/>
    <s v="Manchester"/>
    <s v="Croissant"/>
    <s v="Food"/>
    <n v="2"/>
    <n v="2.8"/>
    <s v="Cash"/>
    <s v="C1419"/>
    <n v="5.6"/>
    <s v="Tuesday"/>
    <s v="April"/>
    <n v="2025"/>
  </r>
  <r>
    <x v="1597"/>
    <d v="2025-04-22T00:00:00"/>
    <s v="Central"/>
    <s v="Bristol"/>
    <s v="Latte"/>
    <s v="Drink"/>
    <n v="1"/>
    <n v="3.5"/>
    <s v="Card"/>
    <s v="C1820"/>
    <n v="3.5"/>
    <s v="Tuesday"/>
    <s v="April"/>
    <n v="2025"/>
  </r>
  <r>
    <x v="1598"/>
    <d v="2025-04-22T00:00:00"/>
    <s v="Central"/>
    <s v="Birmingham"/>
    <s v="Croissant"/>
    <s v="Food"/>
    <n v="1"/>
    <n v="2.8"/>
    <s v="Cash"/>
    <s v="C1912"/>
    <n v="2.8"/>
    <s v="Tuesday"/>
    <s v="April"/>
    <n v="2025"/>
  </r>
  <r>
    <x v="1599"/>
    <d v="2025-04-23T00:00:00"/>
    <s v="Riverside"/>
    <s v="Bristol"/>
    <s v="Cappuccino"/>
    <s v="Drink"/>
    <n v="5"/>
    <n v="3.8"/>
    <s v="Card"/>
    <s v="C1752"/>
    <n v="19"/>
    <s v="Wednesday"/>
    <s v="April"/>
    <n v="2025"/>
  </r>
  <r>
    <x v="1600"/>
    <d v="2025-04-23T00:00:00"/>
    <s v="High Street"/>
    <s v="Leeds"/>
    <s v="Cappuccino"/>
    <s v="Drink"/>
    <n v="3"/>
    <n v="3.8"/>
    <s v="Card"/>
    <s v="C1546"/>
    <n v="11.399999999999999"/>
    <s v="Wednesday"/>
    <s v="April"/>
    <n v="2025"/>
  </r>
  <r>
    <x v="1601"/>
    <d v="2025-04-23T00:00:00"/>
    <s v="High Street"/>
    <s v="Leeds"/>
    <s v="Muffin"/>
    <s v="Food"/>
    <n v="4"/>
    <n v="2.2000000000000002"/>
    <s v="Card"/>
    <s v="C1275"/>
    <n v="8.8000000000000007"/>
    <s v="Wednesday"/>
    <s v="April"/>
    <n v="2025"/>
  </r>
  <r>
    <x v="1602"/>
    <d v="2025-04-23T00:00:00"/>
    <s v="Station"/>
    <s v="Manchester"/>
    <s v="Muffin"/>
    <s v="Food"/>
    <n v="4"/>
    <n v="2.2000000000000002"/>
    <s v="Apple Pay"/>
    <s v="C1286"/>
    <n v="8.8000000000000007"/>
    <s v="Wednesday"/>
    <s v="April"/>
    <n v="2025"/>
  </r>
  <r>
    <x v="1603"/>
    <d v="2025-04-23T00:00:00"/>
    <s v="Riverside"/>
    <s v="Bristol"/>
    <s v="Croissant"/>
    <s v="Food"/>
    <n v="3"/>
    <n v="2.8"/>
    <s v="Cash"/>
    <s v="C1189"/>
    <n v="8.3999999999999986"/>
    <s v="Wednesday"/>
    <s v="April"/>
    <n v="2025"/>
  </r>
  <r>
    <x v="1604"/>
    <d v="2025-04-23T00:00:00"/>
    <s v="Central"/>
    <s v="Bristol"/>
    <s v="Croissant"/>
    <s v="Food"/>
    <n v="3"/>
    <n v="2.8"/>
    <s v="Card"/>
    <s v="C1200"/>
    <n v="8.3999999999999986"/>
    <s v="Wednesday"/>
    <s v="April"/>
    <n v="2025"/>
  </r>
  <r>
    <x v="1605"/>
    <d v="2025-04-23T00:00:00"/>
    <s v="Riverside"/>
    <s v="Manchester"/>
    <s v="Cappuccino"/>
    <s v="Drink"/>
    <n v="2"/>
    <n v="3.8"/>
    <s v="Card"/>
    <s v="C1105"/>
    <n v="7.6"/>
    <s v="Wednesday"/>
    <s v="April"/>
    <n v="2025"/>
  </r>
  <r>
    <x v="1606"/>
    <d v="2025-04-23T00:00:00"/>
    <s v="Central"/>
    <s v="Birmingham"/>
    <s v="Cappuccino"/>
    <s v="Drink"/>
    <n v="1"/>
    <n v="3.8"/>
    <s v="Cash"/>
    <s v="C1291"/>
    <n v="3.8"/>
    <s v="Wednesday"/>
    <s v="April"/>
    <n v="2025"/>
  </r>
  <r>
    <x v="1607"/>
    <d v="2025-04-23T00:00:00"/>
    <s v="Station"/>
    <s v="Birmingham"/>
    <s v="Croissant"/>
    <s v="Food"/>
    <n v="1"/>
    <n v="2.8"/>
    <s v="Cash"/>
    <s v="C1911"/>
    <n v="2.8"/>
    <s v="Wednesday"/>
    <s v="April"/>
    <n v="2025"/>
  </r>
  <r>
    <x v="1608"/>
    <d v="2025-04-24T00:00:00"/>
    <s v="Riverside"/>
    <s v="London"/>
    <s v="Croissant"/>
    <s v="Food"/>
    <n v="5"/>
    <n v="2.8"/>
    <s v="Card"/>
    <s v="C1290"/>
    <n v="14"/>
    <s v="Thursday"/>
    <s v="April"/>
    <n v="2025"/>
  </r>
  <r>
    <x v="1609"/>
    <d v="2025-04-24T00:00:00"/>
    <s v="High Street"/>
    <s v="Birmingham"/>
    <s v="Latte"/>
    <s v="Drink"/>
    <n v="4"/>
    <n v="3.5"/>
    <s v="Card"/>
    <s v="C1582"/>
    <n v="14"/>
    <s v="Thursday"/>
    <s v="April"/>
    <n v="2025"/>
  </r>
  <r>
    <x v="1610"/>
    <d v="2025-04-24T00:00:00"/>
    <s v="High Street"/>
    <s v="Manchester"/>
    <s v="Muffin"/>
    <s v="Food"/>
    <n v="5"/>
    <n v="2.2000000000000002"/>
    <s v="Card"/>
    <s v="C1751"/>
    <n v="11"/>
    <s v="Thursday"/>
    <s v="April"/>
    <n v="2025"/>
  </r>
  <r>
    <x v="1611"/>
    <d v="2025-04-24T00:00:00"/>
    <s v="Central"/>
    <s v="Birmingham"/>
    <s v="Muffin"/>
    <s v="Food"/>
    <n v="3"/>
    <n v="2.2000000000000002"/>
    <s v="Apple Pay"/>
    <s v="C1134"/>
    <n v="6.6000000000000005"/>
    <s v="Thursday"/>
    <s v="April"/>
    <n v="2025"/>
  </r>
  <r>
    <x v="1612"/>
    <d v="2025-04-24T00:00:00"/>
    <s v="High Street"/>
    <s v="London"/>
    <s v="Muffin"/>
    <s v="Food"/>
    <n v="2"/>
    <n v="2.2000000000000002"/>
    <s v="Apple Pay"/>
    <s v="C1736"/>
    <n v="4.4000000000000004"/>
    <s v="Thursday"/>
    <s v="April"/>
    <n v="2025"/>
  </r>
  <r>
    <x v="1613"/>
    <d v="2025-04-24T00:00:00"/>
    <s v="Station"/>
    <s v="Leeds"/>
    <s v="Muffin"/>
    <s v="Food"/>
    <n v="2"/>
    <n v="2.2000000000000002"/>
    <s v="Cash"/>
    <s v="C1390"/>
    <n v="4.4000000000000004"/>
    <s v="Thursday"/>
    <s v="April"/>
    <n v="2025"/>
  </r>
  <r>
    <x v="1614"/>
    <d v="2025-04-24T00:00:00"/>
    <s v="Central"/>
    <s v="Manchester"/>
    <s v="Cappuccino"/>
    <s v="Drink"/>
    <n v="1"/>
    <n v="3.8"/>
    <s v="Card"/>
    <s v="C1326"/>
    <n v="3.8"/>
    <s v="Thursday"/>
    <s v="April"/>
    <n v="2025"/>
  </r>
  <r>
    <x v="1615"/>
    <d v="2025-04-24T00:00:00"/>
    <s v="Station"/>
    <s v="Leeds"/>
    <s v="Croissant"/>
    <s v="Food"/>
    <n v="1"/>
    <n v="2.8"/>
    <s v="Apple Pay"/>
    <s v="C1275"/>
    <n v="2.8"/>
    <s v="Thursday"/>
    <s v="April"/>
    <n v="2025"/>
  </r>
  <r>
    <x v="1616"/>
    <d v="2025-04-24T00:00:00"/>
    <s v="Riverside"/>
    <s v="London"/>
    <s v="Espresso"/>
    <s v="Drink"/>
    <n v="1"/>
    <n v="2.5"/>
    <s v="Cash"/>
    <s v="C1534"/>
    <n v="2.5"/>
    <s v="Thursday"/>
    <s v="April"/>
    <n v="2025"/>
  </r>
  <r>
    <x v="1617"/>
    <d v="2025-04-24T00:00:00"/>
    <s v="High Street"/>
    <s v="Bristol"/>
    <s v="Muffin"/>
    <s v="Food"/>
    <n v="1"/>
    <n v="2.2000000000000002"/>
    <s v="Cash"/>
    <s v="C1378"/>
    <n v="2.2000000000000002"/>
    <s v="Thursday"/>
    <s v="April"/>
    <n v="2025"/>
  </r>
  <r>
    <x v="1618"/>
    <d v="2025-04-25T00:00:00"/>
    <s v="Central"/>
    <s v="Bristol"/>
    <s v="Latte"/>
    <s v="Drink"/>
    <n v="5"/>
    <n v="3.5"/>
    <s v="Card"/>
    <s v="C1321"/>
    <n v="17.5"/>
    <s v="Friday"/>
    <s v="April"/>
    <n v="2025"/>
  </r>
  <r>
    <x v="1619"/>
    <d v="2025-04-25T00:00:00"/>
    <s v="High Street"/>
    <s v="Birmingham"/>
    <s v="Latte"/>
    <s v="Drink"/>
    <n v="5"/>
    <n v="3.5"/>
    <s v="Cash"/>
    <s v="C1648"/>
    <n v="17.5"/>
    <s v="Friday"/>
    <s v="April"/>
    <n v="2025"/>
  </r>
  <r>
    <x v="1620"/>
    <d v="2025-04-25T00:00:00"/>
    <s v="Station"/>
    <s v="Manchester"/>
    <s v="Cappuccino"/>
    <s v="Drink"/>
    <n v="4"/>
    <n v="3.8"/>
    <s v="Card"/>
    <s v="C1475"/>
    <n v="15.2"/>
    <s v="Friday"/>
    <s v="April"/>
    <n v="2025"/>
  </r>
  <r>
    <x v="1621"/>
    <d v="2025-04-25T00:00:00"/>
    <s v="Central"/>
    <s v="Bristol"/>
    <s v="Latte"/>
    <s v="Drink"/>
    <n v="4"/>
    <n v="3.5"/>
    <s v="Cash"/>
    <s v="C1409"/>
    <n v="14"/>
    <s v="Friday"/>
    <s v="April"/>
    <n v="2025"/>
  </r>
  <r>
    <x v="1622"/>
    <d v="2025-04-25T00:00:00"/>
    <s v="Riverside"/>
    <s v="Manchester"/>
    <s v="Espresso"/>
    <s v="Drink"/>
    <n v="5"/>
    <n v="2.5"/>
    <s v="Cash"/>
    <s v="C1526"/>
    <n v="12.5"/>
    <s v="Friday"/>
    <s v="April"/>
    <n v="2025"/>
  </r>
  <r>
    <x v="1623"/>
    <d v="2025-04-25T00:00:00"/>
    <s v="Riverside"/>
    <s v="Birmingham"/>
    <s v="Cappuccino"/>
    <s v="Drink"/>
    <n v="3"/>
    <n v="3.8"/>
    <s v="Apple Pay"/>
    <s v="C1084"/>
    <n v="11.399999999999999"/>
    <s v="Friday"/>
    <s v="April"/>
    <n v="2025"/>
  </r>
  <r>
    <x v="1624"/>
    <d v="2025-04-25T00:00:00"/>
    <s v="Station"/>
    <s v="Birmingham"/>
    <s v="Croissant"/>
    <s v="Food"/>
    <n v="3"/>
    <n v="2.8"/>
    <s v="Apple Pay"/>
    <s v="C1814"/>
    <n v="8.3999999999999986"/>
    <s v="Friday"/>
    <s v="April"/>
    <n v="2025"/>
  </r>
  <r>
    <x v="1625"/>
    <d v="2025-04-25T00:00:00"/>
    <s v="Central"/>
    <s v="Birmingham"/>
    <s v="Latte"/>
    <s v="Drink"/>
    <n v="2"/>
    <n v="3.5"/>
    <s v="Card"/>
    <s v="C1312"/>
    <n v="7"/>
    <s v="Friday"/>
    <s v="April"/>
    <n v="2025"/>
  </r>
  <r>
    <x v="1626"/>
    <d v="2025-04-25T00:00:00"/>
    <s v="Riverside"/>
    <s v="Manchester"/>
    <s v="Muffin"/>
    <s v="Food"/>
    <n v="3"/>
    <n v="2.2000000000000002"/>
    <s v="Card"/>
    <s v="C1170"/>
    <n v="6.6000000000000005"/>
    <s v="Friday"/>
    <s v="April"/>
    <n v="2025"/>
  </r>
  <r>
    <x v="1627"/>
    <d v="2025-04-25T00:00:00"/>
    <s v="High Street"/>
    <s v="London"/>
    <s v="Muffin"/>
    <s v="Food"/>
    <n v="3"/>
    <n v="2.2000000000000002"/>
    <s v="Card"/>
    <s v="C1444"/>
    <n v="6.6000000000000005"/>
    <s v="Friday"/>
    <s v="April"/>
    <n v="2025"/>
  </r>
  <r>
    <x v="1628"/>
    <d v="2025-04-25T00:00:00"/>
    <s v="Riverside"/>
    <s v="Leeds"/>
    <s v="Croissant"/>
    <s v="Food"/>
    <n v="2"/>
    <n v="2.8"/>
    <s v="Card"/>
    <s v="C1856"/>
    <n v="5.6"/>
    <s v="Friday"/>
    <s v="April"/>
    <n v="2025"/>
  </r>
  <r>
    <x v="1629"/>
    <d v="2025-04-25T00:00:00"/>
    <s v="Station"/>
    <s v="London"/>
    <s v="Espresso"/>
    <s v="Drink"/>
    <n v="2"/>
    <n v="2.5"/>
    <s v="Card"/>
    <s v="C1502"/>
    <n v="5"/>
    <s v="Friday"/>
    <s v="April"/>
    <n v="2025"/>
  </r>
  <r>
    <x v="1630"/>
    <d v="2025-04-25T00:00:00"/>
    <s v="Riverside"/>
    <s v="Birmingham"/>
    <s v="Muffin"/>
    <s v="Food"/>
    <n v="2"/>
    <n v="2.2000000000000002"/>
    <s v="Card"/>
    <s v="C1570"/>
    <n v="4.4000000000000004"/>
    <s v="Friday"/>
    <s v="April"/>
    <n v="2025"/>
  </r>
  <r>
    <x v="1631"/>
    <d v="2025-04-25T00:00:00"/>
    <s v="High Street"/>
    <s v="London"/>
    <s v="Cappuccino"/>
    <s v="Drink"/>
    <n v="1"/>
    <n v="3.8"/>
    <s v="Apple Pay"/>
    <s v="C1741"/>
    <n v="3.8"/>
    <s v="Friday"/>
    <s v="April"/>
    <n v="2025"/>
  </r>
  <r>
    <x v="1632"/>
    <d v="2025-04-25T00:00:00"/>
    <s v="Central"/>
    <s v="Bristol"/>
    <s v="Latte"/>
    <s v="Drink"/>
    <n v="1"/>
    <n v="3.5"/>
    <s v="Card"/>
    <s v="C1857"/>
    <n v="3.5"/>
    <s v="Friday"/>
    <s v="April"/>
    <n v="2025"/>
  </r>
  <r>
    <x v="1633"/>
    <d v="2025-04-26T00:00:00"/>
    <s v="Central"/>
    <s v="Leeds"/>
    <s v="Latte"/>
    <s v="Drink"/>
    <n v="5"/>
    <n v="3.5"/>
    <s v="Apple Pay"/>
    <s v="C1208"/>
    <n v="17.5"/>
    <s v="Saturday"/>
    <s v="April"/>
    <n v="2025"/>
  </r>
  <r>
    <x v="1634"/>
    <d v="2025-04-26T00:00:00"/>
    <s v="Central"/>
    <s v="Bristol"/>
    <s v="Cappuccino"/>
    <s v="Drink"/>
    <n v="4"/>
    <n v="3.8"/>
    <s v="Card"/>
    <s v="C1234"/>
    <n v="15.2"/>
    <s v="Saturday"/>
    <s v="April"/>
    <n v="2025"/>
  </r>
  <r>
    <x v="1635"/>
    <d v="2025-04-26T00:00:00"/>
    <s v="Central"/>
    <s v="Birmingham"/>
    <s v="Latte"/>
    <s v="Drink"/>
    <n v="4"/>
    <n v="3.5"/>
    <s v="Apple Pay"/>
    <s v="C1513"/>
    <n v="14"/>
    <s v="Saturday"/>
    <s v="April"/>
    <n v="2025"/>
  </r>
  <r>
    <x v="1636"/>
    <d v="2025-04-26T00:00:00"/>
    <s v="Riverside"/>
    <s v="Birmingham"/>
    <s v="Croissant"/>
    <s v="Food"/>
    <n v="5"/>
    <n v="2.8"/>
    <s v="Cash"/>
    <s v="C1287"/>
    <n v="14"/>
    <s v="Saturday"/>
    <s v="April"/>
    <n v="2025"/>
  </r>
  <r>
    <x v="1637"/>
    <d v="2025-04-26T00:00:00"/>
    <s v="Central"/>
    <s v="Leeds"/>
    <s v="Latte"/>
    <s v="Drink"/>
    <n v="4"/>
    <n v="3.5"/>
    <s v="Apple Pay"/>
    <s v="C1696"/>
    <n v="14"/>
    <s v="Saturday"/>
    <s v="April"/>
    <n v="2025"/>
  </r>
  <r>
    <x v="1638"/>
    <d v="2025-04-26T00:00:00"/>
    <s v="Central"/>
    <s v="Leeds"/>
    <s v="Espresso"/>
    <s v="Drink"/>
    <n v="5"/>
    <n v="2.5"/>
    <s v="Apple Pay"/>
    <s v="C1025"/>
    <n v="12.5"/>
    <s v="Saturday"/>
    <s v="April"/>
    <n v="2025"/>
  </r>
  <r>
    <x v="1639"/>
    <d v="2025-04-26T00:00:00"/>
    <s v="High Street"/>
    <s v="Bristol"/>
    <s v="Espresso"/>
    <s v="Drink"/>
    <n v="4"/>
    <n v="2.5"/>
    <s v="Apple Pay"/>
    <s v="C1743"/>
    <n v="10"/>
    <s v="Saturday"/>
    <s v="April"/>
    <n v="2025"/>
  </r>
  <r>
    <x v="1640"/>
    <d v="2025-04-26T00:00:00"/>
    <s v="Riverside"/>
    <s v="Bristol"/>
    <s v="Espresso"/>
    <s v="Drink"/>
    <n v="3"/>
    <n v="2.5"/>
    <s v="Apple Pay"/>
    <s v="C1475"/>
    <n v="7.5"/>
    <s v="Saturday"/>
    <s v="April"/>
    <n v="2025"/>
  </r>
  <r>
    <x v="1641"/>
    <d v="2025-04-26T00:00:00"/>
    <s v="High Street"/>
    <s v="Manchester"/>
    <s v="Latte"/>
    <s v="Drink"/>
    <n v="2"/>
    <n v="3.5"/>
    <s v="Card"/>
    <s v="C1896"/>
    <n v="7"/>
    <s v="Saturday"/>
    <s v="April"/>
    <n v="2025"/>
  </r>
  <r>
    <x v="1642"/>
    <d v="2025-04-26T00:00:00"/>
    <s v="High Street"/>
    <s v="Leeds"/>
    <s v="Latte"/>
    <s v="Drink"/>
    <n v="2"/>
    <n v="3.5"/>
    <s v="Apple Pay"/>
    <s v="C1257"/>
    <n v="7"/>
    <s v="Saturday"/>
    <s v="April"/>
    <n v="2025"/>
  </r>
  <r>
    <x v="1643"/>
    <d v="2025-04-26T00:00:00"/>
    <s v="Station"/>
    <s v="Leeds"/>
    <s v="Muffin"/>
    <s v="Food"/>
    <n v="3"/>
    <n v="2.2000000000000002"/>
    <s v="Apple Pay"/>
    <s v="C1948"/>
    <n v="6.6000000000000005"/>
    <s v="Saturday"/>
    <s v="April"/>
    <n v="2025"/>
  </r>
  <r>
    <x v="1644"/>
    <d v="2025-04-26T00:00:00"/>
    <s v="Station"/>
    <s v="Leeds"/>
    <s v="Espresso"/>
    <s v="Drink"/>
    <n v="2"/>
    <n v="2.5"/>
    <s v="Apple Pay"/>
    <s v="C1031"/>
    <n v="5"/>
    <s v="Saturday"/>
    <s v="April"/>
    <n v="2025"/>
  </r>
  <r>
    <x v="1645"/>
    <d v="2025-04-26T00:00:00"/>
    <s v="Central"/>
    <s v="London"/>
    <s v="Espresso"/>
    <s v="Drink"/>
    <n v="2"/>
    <n v="2.5"/>
    <s v="Card"/>
    <s v="C1434"/>
    <n v="5"/>
    <s v="Saturday"/>
    <s v="April"/>
    <n v="2025"/>
  </r>
  <r>
    <x v="1646"/>
    <d v="2025-04-26T00:00:00"/>
    <s v="High Street"/>
    <s v="London"/>
    <s v="Croissant"/>
    <s v="Food"/>
    <n v="1"/>
    <n v="2.8"/>
    <s v="Card"/>
    <s v="C1919"/>
    <n v="2.8"/>
    <s v="Saturday"/>
    <s v="April"/>
    <n v="2025"/>
  </r>
  <r>
    <x v="1647"/>
    <d v="2025-04-26T00:00:00"/>
    <s v="Central"/>
    <s v="Bristol"/>
    <s v="Croissant"/>
    <s v="Food"/>
    <n v="1"/>
    <n v="2.8"/>
    <s v="Apple Pay"/>
    <s v="C1886"/>
    <n v="2.8"/>
    <s v="Saturday"/>
    <s v="April"/>
    <n v="2025"/>
  </r>
  <r>
    <x v="1648"/>
    <d v="2025-04-26T00:00:00"/>
    <s v="Station"/>
    <s v="Birmingham"/>
    <s v="Espresso"/>
    <s v="Drink"/>
    <n v="1"/>
    <n v="2.5"/>
    <s v="Apple Pay"/>
    <s v="C1040"/>
    <n v="2.5"/>
    <s v="Saturday"/>
    <s v="April"/>
    <n v="2025"/>
  </r>
  <r>
    <x v="1649"/>
    <d v="2025-04-27T00:00:00"/>
    <s v="High Street"/>
    <s v="Manchester"/>
    <s v="Cappuccino"/>
    <s v="Drink"/>
    <n v="5"/>
    <n v="3.8"/>
    <s v="Apple Pay"/>
    <s v="C1704"/>
    <n v="19"/>
    <s v="Sunday"/>
    <s v="April"/>
    <n v="2025"/>
  </r>
  <r>
    <x v="1650"/>
    <d v="2025-04-27T00:00:00"/>
    <s v="High Street"/>
    <s v="Bristol"/>
    <s v="Cappuccino"/>
    <s v="Drink"/>
    <n v="4"/>
    <n v="3.8"/>
    <s v="Apple Pay"/>
    <s v="C1764"/>
    <n v="15.2"/>
    <s v="Sunday"/>
    <s v="April"/>
    <n v="2025"/>
  </r>
  <r>
    <x v="1651"/>
    <d v="2025-04-27T00:00:00"/>
    <s v="Central"/>
    <s v="Bristol"/>
    <s v="Croissant"/>
    <s v="Food"/>
    <n v="5"/>
    <n v="2.8"/>
    <s v="Apple Pay"/>
    <s v="C1786"/>
    <n v="14"/>
    <s v="Sunday"/>
    <s v="April"/>
    <n v="2025"/>
  </r>
  <r>
    <x v="1652"/>
    <d v="2025-04-27T00:00:00"/>
    <s v="Central"/>
    <s v="Birmingham"/>
    <s v="Muffin"/>
    <s v="Food"/>
    <n v="4"/>
    <n v="2.2000000000000002"/>
    <s v="Cash"/>
    <s v="C1183"/>
    <n v="8.8000000000000007"/>
    <s v="Sunday"/>
    <s v="April"/>
    <n v="2025"/>
  </r>
  <r>
    <x v="1653"/>
    <d v="2025-04-27T00:00:00"/>
    <s v="Central"/>
    <s v="Birmingham"/>
    <s v="Muffin"/>
    <s v="Food"/>
    <n v="4"/>
    <n v="2.2000000000000002"/>
    <s v="Card"/>
    <s v="C1850"/>
    <n v="8.8000000000000007"/>
    <s v="Sunday"/>
    <s v="April"/>
    <n v="2025"/>
  </r>
  <r>
    <x v="1654"/>
    <d v="2025-04-27T00:00:00"/>
    <s v="Station"/>
    <s v="London"/>
    <s v="Espresso"/>
    <s v="Drink"/>
    <n v="3"/>
    <n v="2.5"/>
    <s v="Card"/>
    <s v="C1930"/>
    <n v="7.5"/>
    <s v="Sunday"/>
    <s v="April"/>
    <n v="2025"/>
  </r>
  <r>
    <x v="1655"/>
    <d v="2025-04-27T00:00:00"/>
    <s v="Central"/>
    <s v="London"/>
    <s v="Croissant"/>
    <s v="Food"/>
    <n v="2"/>
    <n v="2.8"/>
    <s v="Cash"/>
    <s v="C1614"/>
    <n v="5.6"/>
    <s v="Sunday"/>
    <s v="April"/>
    <n v="2025"/>
  </r>
  <r>
    <x v="1656"/>
    <d v="2025-04-27T00:00:00"/>
    <s v="Central"/>
    <s v="London"/>
    <s v="Espresso"/>
    <s v="Drink"/>
    <n v="2"/>
    <n v="2.5"/>
    <s v="Apple Pay"/>
    <s v="C1151"/>
    <n v="5"/>
    <s v="Sunday"/>
    <s v="April"/>
    <n v="2025"/>
  </r>
  <r>
    <x v="1657"/>
    <d v="2025-04-27T00:00:00"/>
    <s v="Central"/>
    <s v="London"/>
    <s v="Cappuccino"/>
    <s v="Drink"/>
    <n v="1"/>
    <n v="3.8"/>
    <s v="Apple Pay"/>
    <s v="C1034"/>
    <n v="3.8"/>
    <s v="Sunday"/>
    <s v="April"/>
    <n v="2025"/>
  </r>
  <r>
    <x v="1658"/>
    <d v="2025-04-27T00:00:00"/>
    <s v="Station"/>
    <s v="Bristol"/>
    <s v="Cappuccino"/>
    <s v="Drink"/>
    <n v="1"/>
    <n v="3.8"/>
    <s v="Card"/>
    <s v="C1202"/>
    <n v="3.8"/>
    <s v="Sunday"/>
    <s v="April"/>
    <n v="2025"/>
  </r>
  <r>
    <x v="1659"/>
    <d v="2025-04-27T00:00:00"/>
    <s v="Station"/>
    <s v="London"/>
    <s v="Cappuccino"/>
    <s v="Drink"/>
    <n v="1"/>
    <n v="3.8"/>
    <s v="Cash"/>
    <s v="C1934"/>
    <n v="3.8"/>
    <s v="Sunday"/>
    <s v="April"/>
    <n v="2025"/>
  </r>
  <r>
    <x v="1660"/>
    <d v="2025-04-27T00:00:00"/>
    <s v="Station"/>
    <s v="Manchester"/>
    <s v="Latte"/>
    <s v="Drink"/>
    <n v="1"/>
    <n v="3.5"/>
    <s v="Apple Pay"/>
    <s v="C1062"/>
    <n v="3.5"/>
    <s v="Sunday"/>
    <s v="April"/>
    <n v="2025"/>
  </r>
  <r>
    <x v="1661"/>
    <d v="2025-04-28T00:00:00"/>
    <s v="Central"/>
    <s v="Birmingham"/>
    <s v="Cappuccino"/>
    <s v="Drink"/>
    <n v="5"/>
    <n v="3.8"/>
    <s v="Card"/>
    <s v="C1568"/>
    <n v="19"/>
    <s v="Monday"/>
    <s v="April"/>
    <n v="2025"/>
  </r>
  <r>
    <x v="1662"/>
    <d v="2025-04-28T00:00:00"/>
    <s v="High Street"/>
    <s v="Bristol"/>
    <s v="Latte"/>
    <s v="Drink"/>
    <n v="5"/>
    <n v="3.5"/>
    <s v="Card"/>
    <s v="C1176"/>
    <n v="17.5"/>
    <s v="Monday"/>
    <s v="April"/>
    <n v="2025"/>
  </r>
  <r>
    <x v="1663"/>
    <d v="2025-04-28T00:00:00"/>
    <s v="High Street"/>
    <s v="Manchester"/>
    <s v="Latte"/>
    <s v="Drink"/>
    <n v="4"/>
    <n v="3.5"/>
    <s v="Card"/>
    <s v="C1384"/>
    <n v="14"/>
    <s v="Monday"/>
    <s v="April"/>
    <n v="2025"/>
  </r>
  <r>
    <x v="1664"/>
    <d v="2025-04-28T00:00:00"/>
    <s v="Station"/>
    <s v="Leeds"/>
    <s v="Croissant"/>
    <s v="Food"/>
    <n v="5"/>
    <n v="2.8"/>
    <s v="Apple Pay"/>
    <s v="C1307"/>
    <n v="14"/>
    <s v="Monday"/>
    <s v="April"/>
    <n v="2025"/>
  </r>
  <r>
    <x v="1665"/>
    <d v="2025-04-28T00:00:00"/>
    <s v="Riverside"/>
    <s v="London"/>
    <s v="Croissant"/>
    <s v="Food"/>
    <n v="5"/>
    <n v="2.8"/>
    <s v="Card"/>
    <s v="C1809"/>
    <n v="14"/>
    <s v="Monday"/>
    <s v="April"/>
    <n v="2025"/>
  </r>
  <r>
    <x v="1666"/>
    <d v="2025-04-28T00:00:00"/>
    <s v="Station"/>
    <s v="London"/>
    <s v="Cappuccino"/>
    <s v="Drink"/>
    <n v="3"/>
    <n v="3.8"/>
    <s v="Apple Pay"/>
    <s v="C1184"/>
    <n v="11.399999999999999"/>
    <s v="Monday"/>
    <s v="April"/>
    <n v="2025"/>
  </r>
  <r>
    <x v="1667"/>
    <d v="2025-04-28T00:00:00"/>
    <s v="High Street"/>
    <s v="Birmingham"/>
    <s v="Croissant"/>
    <s v="Food"/>
    <n v="4"/>
    <n v="2.8"/>
    <s v="Card"/>
    <s v="C1801"/>
    <n v="11.2"/>
    <s v="Monday"/>
    <s v="April"/>
    <n v="2025"/>
  </r>
  <r>
    <x v="1668"/>
    <d v="2025-04-28T00:00:00"/>
    <s v="Central"/>
    <s v="Leeds"/>
    <s v="Latte"/>
    <s v="Drink"/>
    <n v="3"/>
    <n v="3.5"/>
    <s v="Card"/>
    <s v="C1752"/>
    <n v="10.5"/>
    <s v="Monday"/>
    <s v="April"/>
    <n v="2025"/>
  </r>
  <r>
    <x v="1669"/>
    <d v="2025-04-28T00:00:00"/>
    <s v="Station"/>
    <s v="Manchester"/>
    <s v="Latte"/>
    <s v="Drink"/>
    <n v="3"/>
    <n v="3.5"/>
    <s v="Apple Pay"/>
    <s v="C1438"/>
    <n v="10.5"/>
    <s v="Monday"/>
    <s v="April"/>
    <n v="2025"/>
  </r>
  <r>
    <x v="1670"/>
    <d v="2025-04-28T00:00:00"/>
    <s v="Station"/>
    <s v="London"/>
    <s v="Muffin"/>
    <s v="Food"/>
    <n v="4"/>
    <n v="2.2000000000000002"/>
    <s v="Cash"/>
    <s v="C1801"/>
    <n v="8.8000000000000007"/>
    <s v="Monday"/>
    <s v="April"/>
    <n v="2025"/>
  </r>
  <r>
    <x v="1671"/>
    <d v="2025-04-28T00:00:00"/>
    <s v="Station"/>
    <s v="Leeds"/>
    <s v="Muffin"/>
    <s v="Food"/>
    <n v="4"/>
    <n v="2.2000000000000002"/>
    <s v="Card"/>
    <s v="C1987"/>
    <n v="8.8000000000000007"/>
    <s v="Monday"/>
    <s v="April"/>
    <n v="2025"/>
  </r>
  <r>
    <x v="1672"/>
    <d v="2025-04-28T00:00:00"/>
    <s v="Station"/>
    <s v="Bristol"/>
    <s v="Croissant"/>
    <s v="Food"/>
    <n v="3"/>
    <n v="2.8"/>
    <s v="Cash"/>
    <s v="C1280"/>
    <n v="8.3999999999999986"/>
    <s v="Monday"/>
    <s v="April"/>
    <n v="2025"/>
  </r>
  <r>
    <x v="1673"/>
    <d v="2025-04-28T00:00:00"/>
    <s v="Central"/>
    <s v="Manchester"/>
    <s v="Espresso"/>
    <s v="Drink"/>
    <n v="3"/>
    <n v="2.5"/>
    <s v="Card"/>
    <s v="C1591"/>
    <n v="7.5"/>
    <s v="Monday"/>
    <s v="April"/>
    <n v="2025"/>
  </r>
  <r>
    <x v="1674"/>
    <d v="2025-04-28T00:00:00"/>
    <s v="Central"/>
    <s v="London"/>
    <s v="Espresso"/>
    <s v="Drink"/>
    <n v="3"/>
    <n v="2.5"/>
    <s v="Apple Pay"/>
    <s v="C1210"/>
    <n v="7.5"/>
    <s v="Monday"/>
    <s v="April"/>
    <n v="2025"/>
  </r>
  <r>
    <x v="1675"/>
    <d v="2025-04-28T00:00:00"/>
    <s v="Central"/>
    <s v="Birmingham"/>
    <s v="Latte"/>
    <s v="Drink"/>
    <n v="2"/>
    <n v="3.5"/>
    <s v="Card"/>
    <s v="C1820"/>
    <n v="7"/>
    <s v="Monday"/>
    <s v="April"/>
    <n v="2025"/>
  </r>
  <r>
    <x v="1676"/>
    <d v="2025-04-28T00:00:00"/>
    <s v="Central"/>
    <s v="Birmingham"/>
    <s v="Muffin"/>
    <s v="Food"/>
    <n v="3"/>
    <n v="2.2000000000000002"/>
    <s v="Apple Pay"/>
    <s v="C1048"/>
    <n v="6.6000000000000005"/>
    <s v="Monday"/>
    <s v="April"/>
    <n v="2025"/>
  </r>
  <r>
    <x v="1677"/>
    <d v="2025-04-28T00:00:00"/>
    <s v="Station"/>
    <s v="Manchester"/>
    <s v="Espresso"/>
    <s v="Drink"/>
    <n v="2"/>
    <n v="2.5"/>
    <s v="Cash"/>
    <s v="C1731"/>
    <n v="5"/>
    <s v="Monday"/>
    <s v="April"/>
    <n v="2025"/>
  </r>
  <r>
    <x v="1678"/>
    <d v="2025-04-28T00:00:00"/>
    <s v="Central"/>
    <s v="London"/>
    <s v="Muffin"/>
    <s v="Food"/>
    <n v="2"/>
    <n v="2.2000000000000002"/>
    <s v="Cash"/>
    <s v="C1786"/>
    <n v="4.4000000000000004"/>
    <s v="Monday"/>
    <s v="April"/>
    <n v="2025"/>
  </r>
  <r>
    <x v="1679"/>
    <d v="2025-04-28T00:00:00"/>
    <s v="Central"/>
    <s v="Birmingham"/>
    <s v="Latte"/>
    <s v="Drink"/>
    <n v="1"/>
    <n v="3.5"/>
    <s v="Card"/>
    <s v="C1560"/>
    <n v="3.5"/>
    <s v="Monday"/>
    <s v="April"/>
    <n v="2025"/>
  </r>
  <r>
    <x v="1680"/>
    <d v="2025-04-28T00:00:00"/>
    <s v="Riverside"/>
    <s v="London"/>
    <s v="Croissant"/>
    <s v="Food"/>
    <n v="1"/>
    <n v="2.8"/>
    <s v="Apple Pay"/>
    <s v="C1900"/>
    <n v="2.8"/>
    <s v="Monday"/>
    <s v="April"/>
    <n v="2025"/>
  </r>
  <r>
    <x v="1681"/>
    <d v="2025-04-28T00:00:00"/>
    <s v="High Street"/>
    <s v="London"/>
    <s v="Espresso"/>
    <s v="Drink"/>
    <n v="1"/>
    <n v="2.5"/>
    <s v="Apple Pay"/>
    <s v="C1656"/>
    <n v="2.5"/>
    <s v="Monday"/>
    <s v="April"/>
    <n v="2025"/>
  </r>
  <r>
    <x v="1682"/>
    <d v="2025-04-28T00:00:00"/>
    <s v="Central"/>
    <s v="London"/>
    <s v="Muffin"/>
    <s v="Food"/>
    <n v="1"/>
    <n v="2.2000000000000002"/>
    <s v="Cash"/>
    <s v="C1444"/>
    <n v="2.2000000000000002"/>
    <s v="Monday"/>
    <s v="April"/>
    <n v="2025"/>
  </r>
  <r>
    <x v="1683"/>
    <d v="2025-04-29T00:00:00"/>
    <s v="Central"/>
    <s v="London"/>
    <s v="Cappuccino"/>
    <s v="Drink"/>
    <n v="4"/>
    <n v="3.8"/>
    <s v="Cash"/>
    <s v="C1247"/>
    <n v="15.2"/>
    <s v="Tuesday"/>
    <s v="April"/>
    <n v="2025"/>
  </r>
  <r>
    <x v="1684"/>
    <d v="2025-04-29T00:00:00"/>
    <s v="High Street"/>
    <s v="Leeds"/>
    <s v="Croissant"/>
    <s v="Food"/>
    <n v="5"/>
    <n v="2.8"/>
    <s v="Apple Pay"/>
    <s v="C1257"/>
    <n v="14"/>
    <s v="Tuesday"/>
    <s v="April"/>
    <n v="2025"/>
  </r>
  <r>
    <x v="1685"/>
    <d v="2025-04-29T00:00:00"/>
    <s v="Riverside"/>
    <s v="London"/>
    <s v="Croissant"/>
    <s v="Food"/>
    <n v="5"/>
    <n v="2.8"/>
    <s v="Apple Pay"/>
    <s v="C1322"/>
    <n v="14"/>
    <s v="Tuesday"/>
    <s v="April"/>
    <n v="2025"/>
  </r>
  <r>
    <x v="1686"/>
    <d v="2025-04-29T00:00:00"/>
    <s v="High Street"/>
    <s v="Manchester"/>
    <s v="Espresso"/>
    <s v="Drink"/>
    <n v="4"/>
    <n v="2.5"/>
    <s v="Cash"/>
    <s v="C1498"/>
    <n v="10"/>
    <s v="Tuesday"/>
    <s v="April"/>
    <n v="2025"/>
  </r>
  <r>
    <x v="1687"/>
    <d v="2025-04-29T00:00:00"/>
    <s v="Station"/>
    <s v="Leeds"/>
    <s v="Croissant"/>
    <s v="Food"/>
    <n v="2"/>
    <n v="2.8"/>
    <s v="Apple Pay"/>
    <s v="C1644"/>
    <n v="5.6"/>
    <s v="Tuesday"/>
    <s v="April"/>
    <n v="2025"/>
  </r>
  <r>
    <x v="1688"/>
    <d v="2025-04-29T00:00:00"/>
    <s v="High Street"/>
    <s v="London"/>
    <s v="Muffin"/>
    <s v="Food"/>
    <n v="2"/>
    <n v="2.2000000000000002"/>
    <s v="Card"/>
    <s v="C1553"/>
    <n v="4.4000000000000004"/>
    <s v="Tuesday"/>
    <s v="April"/>
    <n v="2025"/>
  </r>
  <r>
    <x v="1689"/>
    <d v="2025-04-29T00:00:00"/>
    <s v="Central"/>
    <s v="Manchester"/>
    <s v="Cappuccino"/>
    <s v="Drink"/>
    <n v="1"/>
    <n v="3.8"/>
    <s v="Card"/>
    <s v="C1585"/>
    <n v="3.8"/>
    <s v="Tuesday"/>
    <s v="April"/>
    <n v="2025"/>
  </r>
  <r>
    <x v="1690"/>
    <d v="2025-04-29T00:00:00"/>
    <s v="Riverside"/>
    <s v="Bristol"/>
    <s v="Latte"/>
    <s v="Drink"/>
    <n v="1"/>
    <n v="3.5"/>
    <s v="Cash"/>
    <s v="C1801"/>
    <n v="3.5"/>
    <s v="Tuesday"/>
    <s v="April"/>
    <n v="2025"/>
  </r>
  <r>
    <x v="1691"/>
    <d v="2025-04-29T00:00:00"/>
    <s v="High Street"/>
    <s v="Leeds"/>
    <s v="Latte"/>
    <s v="Drink"/>
    <n v="1"/>
    <n v="3.5"/>
    <s v="Cash"/>
    <s v="C1542"/>
    <n v="3.5"/>
    <s v="Tuesday"/>
    <s v="April"/>
    <n v="2025"/>
  </r>
  <r>
    <x v="1692"/>
    <d v="2025-04-29T00:00:00"/>
    <s v="Riverside"/>
    <s v="Birmingham"/>
    <s v="Latte"/>
    <s v="Drink"/>
    <n v="1"/>
    <n v="3.5"/>
    <s v="Cash"/>
    <s v="C1144"/>
    <n v="3.5"/>
    <s v="Tuesday"/>
    <s v="April"/>
    <n v="2025"/>
  </r>
  <r>
    <x v="1693"/>
    <d v="2025-04-29T00:00:00"/>
    <s v="Station"/>
    <s v="London"/>
    <s v="Croissant"/>
    <s v="Food"/>
    <n v="1"/>
    <n v="2.8"/>
    <s v="Apple Pay"/>
    <s v="C1959"/>
    <n v="2.8"/>
    <s v="Tuesday"/>
    <s v="April"/>
    <n v="2025"/>
  </r>
  <r>
    <x v="1694"/>
    <d v="2025-04-29T00:00:00"/>
    <s v="High Street"/>
    <s v="Manchester"/>
    <s v="Croissant"/>
    <s v="Food"/>
    <n v="1"/>
    <n v="2.8"/>
    <s v="Card"/>
    <s v="C1813"/>
    <n v="2.8"/>
    <s v="Tuesday"/>
    <s v="April"/>
    <n v="2025"/>
  </r>
  <r>
    <x v="1695"/>
    <d v="2025-04-29T00:00:00"/>
    <s v="Station"/>
    <s v="Birmingham"/>
    <s v="Espresso"/>
    <s v="Drink"/>
    <n v="1"/>
    <n v="2.5"/>
    <s v="Apple Pay"/>
    <s v="C1422"/>
    <n v="2.5"/>
    <s v="Tuesday"/>
    <s v="April"/>
    <n v="2025"/>
  </r>
  <r>
    <x v="1696"/>
    <d v="2025-04-29T00:00:00"/>
    <s v="Central"/>
    <s v="Leeds"/>
    <s v="Espresso"/>
    <s v="Drink"/>
    <n v="1"/>
    <n v="2.5"/>
    <s v="Cash"/>
    <s v="C1695"/>
    <n v="2.5"/>
    <s v="Tuesday"/>
    <s v="April"/>
    <n v="2025"/>
  </r>
  <r>
    <x v="1697"/>
    <d v="2025-04-30T00:00:00"/>
    <s v="Riverside"/>
    <s v="Manchester"/>
    <s v="Cappuccino"/>
    <s v="Drink"/>
    <n v="5"/>
    <n v="3.8"/>
    <s v="Cash"/>
    <s v="C1176"/>
    <n v="19"/>
    <s v="Wednesday"/>
    <s v="April"/>
    <n v="2025"/>
  </r>
  <r>
    <x v="1698"/>
    <d v="2025-04-30T00:00:00"/>
    <s v="Station"/>
    <s v="Manchester"/>
    <s v="Croissant"/>
    <s v="Food"/>
    <n v="5"/>
    <n v="2.8"/>
    <s v="Apple Pay"/>
    <s v="C1982"/>
    <n v="14"/>
    <s v="Wednesday"/>
    <s v="April"/>
    <n v="2025"/>
  </r>
  <r>
    <x v="1699"/>
    <d v="2025-04-30T00:00:00"/>
    <s v="Riverside"/>
    <s v="Bristol"/>
    <s v="Croissant"/>
    <s v="Food"/>
    <n v="5"/>
    <n v="2.8"/>
    <s v="Cash"/>
    <s v="C1578"/>
    <n v="14"/>
    <s v="Wednesday"/>
    <s v="April"/>
    <n v="2025"/>
  </r>
  <r>
    <x v="1700"/>
    <d v="2025-04-30T00:00:00"/>
    <s v="Central"/>
    <s v="Bristol"/>
    <s v="Espresso"/>
    <s v="Drink"/>
    <n v="5"/>
    <n v="2.5"/>
    <s v="Apple Pay"/>
    <s v="C1498"/>
    <n v="12.5"/>
    <s v="Wednesday"/>
    <s v="April"/>
    <n v="2025"/>
  </r>
  <r>
    <x v="1701"/>
    <d v="2025-04-30T00:00:00"/>
    <s v="Central"/>
    <s v="London"/>
    <s v="Cappuccino"/>
    <s v="Drink"/>
    <n v="3"/>
    <n v="3.8"/>
    <s v="Apple Pay"/>
    <s v="C1923"/>
    <n v="11.399999999999999"/>
    <s v="Wednesday"/>
    <s v="April"/>
    <n v="2025"/>
  </r>
  <r>
    <x v="1702"/>
    <d v="2025-04-30T00:00:00"/>
    <s v="High Street"/>
    <s v="Manchester"/>
    <s v="Cappuccino"/>
    <s v="Drink"/>
    <n v="3"/>
    <n v="3.8"/>
    <s v="Cash"/>
    <s v="C1787"/>
    <n v="11.399999999999999"/>
    <s v="Wednesday"/>
    <s v="April"/>
    <n v="2025"/>
  </r>
  <r>
    <x v="1703"/>
    <d v="2025-04-30T00:00:00"/>
    <s v="Station"/>
    <s v="Leeds"/>
    <s v="Croissant"/>
    <s v="Food"/>
    <n v="4"/>
    <n v="2.8"/>
    <s v="Apple Pay"/>
    <s v="C1995"/>
    <n v="11.2"/>
    <s v="Wednesday"/>
    <s v="April"/>
    <n v="2025"/>
  </r>
  <r>
    <x v="1704"/>
    <d v="2025-04-30T00:00:00"/>
    <s v="High Street"/>
    <s v="Leeds"/>
    <s v="Muffin"/>
    <s v="Food"/>
    <n v="5"/>
    <n v="2.2000000000000002"/>
    <s v="Apple Pay"/>
    <s v="C1474"/>
    <n v="11"/>
    <s v="Wednesday"/>
    <s v="April"/>
    <n v="2025"/>
  </r>
  <r>
    <x v="1705"/>
    <d v="2025-04-30T00:00:00"/>
    <s v="High Street"/>
    <s v="Birmingham"/>
    <s v="Espresso"/>
    <s v="Drink"/>
    <n v="4"/>
    <n v="2.5"/>
    <s v="Card"/>
    <s v="C1485"/>
    <n v="10"/>
    <s v="Wednesday"/>
    <s v="April"/>
    <n v="2025"/>
  </r>
  <r>
    <x v="1706"/>
    <d v="2025-04-30T00:00:00"/>
    <s v="Station"/>
    <s v="Birmingham"/>
    <s v="Muffin"/>
    <s v="Food"/>
    <n v="4"/>
    <n v="2.2000000000000002"/>
    <s v="Card"/>
    <s v="C1402"/>
    <n v="8.8000000000000007"/>
    <s v="Wednesday"/>
    <s v="April"/>
    <n v="2025"/>
  </r>
  <r>
    <x v="1707"/>
    <d v="2025-04-30T00:00:00"/>
    <s v="Station"/>
    <s v="London"/>
    <s v="Espresso"/>
    <s v="Drink"/>
    <n v="3"/>
    <n v="2.5"/>
    <s v="Card"/>
    <s v="C1992"/>
    <n v="7.5"/>
    <s v="Wednesday"/>
    <s v="April"/>
    <n v="2025"/>
  </r>
  <r>
    <x v="1708"/>
    <d v="2025-04-30T00:00:00"/>
    <s v="High Street"/>
    <s v="Manchester"/>
    <s v="Muffin"/>
    <s v="Food"/>
    <n v="3"/>
    <n v="2.2000000000000002"/>
    <s v="Card"/>
    <s v="C1775"/>
    <n v="6.6000000000000005"/>
    <s v="Wednesday"/>
    <s v="April"/>
    <n v="2025"/>
  </r>
  <r>
    <x v="1709"/>
    <d v="2025-04-30T00:00:00"/>
    <s v="Station"/>
    <s v="Birmingham"/>
    <s v="Muffin"/>
    <s v="Food"/>
    <n v="3"/>
    <n v="2.2000000000000002"/>
    <s v="Apple Pay"/>
    <s v="C1050"/>
    <n v="6.6000000000000005"/>
    <s v="Wednesday"/>
    <s v="April"/>
    <n v="2025"/>
  </r>
  <r>
    <x v="1710"/>
    <d v="2025-04-30T00:00:00"/>
    <s v="Station"/>
    <s v="London"/>
    <s v="Espresso"/>
    <s v="Drink"/>
    <n v="2"/>
    <n v="2.5"/>
    <s v="Cash"/>
    <s v="C1913"/>
    <n v="5"/>
    <s v="Wednesday"/>
    <s v="April"/>
    <n v="2025"/>
  </r>
  <r>
    <x v="1711"/>
    <d v="2025-04-30T00:00:00"/>
    <s v="High Street"/>
    <s v="Manchester"/>
    <s v="Latte"/>
    <s v="Drink"/>
    <n v="1"/>
    <n v="3.5"/>
    <s v="Apple Pay"/>
    <s v="C1326"/>
    <n v="3.5"/>
    <s v="Wednesday"/>
    <s v="April"/>
    <n v="2025"/>
  </r>
  <r>
    <x v="1712"/>
    <d v="2025-04-30T00:00:00"/>
    <s v="Central"/>
    <s v="Bristol"/>
    <s v="Latte"/>
    <s v="Drink"/>
    <n v="1"/>
    <n v="3.5"/>
    <s v="Apple Pay"/>
    <s v="C1704"/>
    <n v="3.5"/>
    <s v="Wednesday"/>
    <s v="April"/>
    <n v="2025"/>
  </r>
  <r>
    <x v="1713"/>
    <d v="2025-04-30T00:00:00"/>
    <s v="Central"/>
    <s v="Bristol"/>
    <s v="Espresso"/>
    <s v="Drink"/>
    <n v="1"/>
    <n v="2.5"/>
    <s v="Apple Pay"/>
    <s v="C1287"/>
    <n v="2.5"/>
    <s v="Wednesday"/>
    <s v="April"/>
    <n v="2025"/>
  </r>
  <r>
    <x v="1714"/>
    <d v="2025-05-01T00:00:00"/>
    <s v="High Street"/>
    <s v="Leeds"/>
    <s v="Cappuccino"/>
    <s v="Drink"/>
    <n v="4"/>
    <n v="3.8"/>
    <s v="Apple Pay"/>
    <s v="C1868"/>
    <n v="15.2"/>
    <s v="Thursday"/>
    <s v="May"/>
    <n v="2025"/>
  </r>
  <r>
    <x v="1715"/>
    <d v="2025-05-01T00:00:00"/>
    <s v="Station"/>
    <s v="Bristol"/>
    <s v="Latte"/>
    <s v="Drink"/>
    <n v="3"/>
    <n v="3.5"/>
    <s v="Apple Pay"/>
    <s v="C1185"/>
    <n v="10.5"/>
    <s v="Thursday"/>
    <s v="May"/>
    <n v="2025"/>
  </r>
  <r>
    <x v="1716"/>
    <d v="2025-05-01T00:00:00"/>
    <s v="Riverside"/>
    <s v="London"/>
    <s v="Muffin"/>
    <s v="Food"/>
    <n v="4"/>
    <n v="2.2000000000000002"/>
    <s v="Cash"/>
    <s v="C1465"/>
    <n v="8.8000000000000007"/>
    <s v="Thursday"/>
    <s v="May"/>
    <n v="2025"/>
  </r>
  <r>
    <x v="1717"/>
    <d v="2025-05-01T00:00:00"/>
    <s v="Riverside"/>
    <s v="Birmingham"/>
    <s v="Cappuccino"/>
    <s v="Drink"/>
    <n v="2"/>
    <n v="3.8"/>
    <s v="Cash"/>
    <s v="C1123"/>
    <n v="7.6"/>
    <s v="Thursday"/>
    <s v="May"/>
    <n v="2025"/>
  </r>
  <r>
    <x v="1718"/>
    <d v="2025-05-01T00:00:00"/>
    <s v="Station"/>
    <s v="Manchester"/>
    <s v="Espresso"/>
    <s v="Drink"/>
    <n v="3"/>
    <n v="2.5"/>
    <s v="Card"/>
    <s v="C1740"/>
    <n v="7.5"/>
    <s v="Thursday"/>
    <s v="May"/>
    <n v="2025"/>
  </r>
  <r>
    <x v="1719"/>
    <d v="2025-05-01T00:00:00"/>
    <s v="High Street"/>
    <s v="Bristol"/>
    <s v="Espresso"/>
    <s v="Drink"/>
    <n v="3"/>
    <n v="2.5"/>
    <s v="Apple Pay"/>
    <s v="C1966"/>
    <n v="7.5"/>
    <s v="Thursday"/>
    <s v="May"/>
    <n v="2025"/>
  </r>
  <r>
    <x v="1720"/>
    <d v="2025-05-01T00:00:00"/>
    <s v="High Street"/>
    <s v="Manchester"/>
    <s v="Croissant"/>
    <s v="Food"/>
    <n v="2"/>
    <n v="2.8"/>
    <s v="Cash"/>
    <s v="C1043"/>
    <n v="5.6"/>
    <s v="Thursday"/>
    <s v="May"/>
    <n v="2025"/>
  </r>
  <r>
    <x v="1721"/>
    <d v="2025-05-01T00:00:00"/>
    <s v="High Street"/>
    <s v="Bristol"/>
    <s v="Espresso"/>
    <s v="Drink"/>
    <n v="2"/>
    <n v="2.5"/>
    <s v="Card"/>
    <s v="C1628"/>
    <n v="5"/>
    <s v="Thursday"/>
    <s v="May"/>
    <n v="2025"/>
  </r>
  <r>
    <x v="1722"/>
    <d v="2025-05-01T00:00:00"/>
    <s v="High Street"/>
    <s v="Birmingham"/>
    <s v="Muffin"/>
    <s v="Food"/>
    <n v="1"/>
    <n v="2.2000000000000002"/>
    <s v="Cash"/>
    <s v="C1914"/>
    <n v="2.2000000000000002"/>
    <s v="Thursday"/>
    <s v="May"/>
    <n v="2025"/>
  </r>
  <r>
    <x v="1723"/>
    <d v="2025-05-02T00:00:00"/>
    <s v="High Street"/>
    <s v="London"/>
    <s v="Croissant"/>
    <s v="Food"/>
    <n v="5"/>
    <n v="2.8"/>
    <s v="Apple Pay"/>
    <s v="C1619"/>
    <n v="14"/>
    <s v="Friday"/>
    <s v="May"/>
    <n v="2025"/>
  </r>
  <r>
    <x v="1724"/>
    <d v="2025-05-02T00:00:00"/>
    <s v="Central"/>
    <s v="Leeds"/>
    <s v="Latte"/>
    <s v="Drink"/>
    <n v="4"/>
    <n v="3.5"/>
    <s v="Cash"/>
    <s v="C1205"/>
    <n v="14"/>
    <s v="Friday"/>
    <s v="May"/>
    <n v="2025"/>
  </r>
  <r>
    <x v="1725"/>
    <d v="2025-05-02T00:00:00"/>
    <s v="Station"/>
    <s v="Birmingham"/>
    <s v="Croissant"/>
    <s v="Food"/>
    <n v="5"/>
    <n v="2.8"/>
    <s v="Cash"/>
    <s v="C1274"/>
    <n v="14"/>
    <s v="Friday"/>
    <s v="May"/>
    <n v="2025"/>
  </r>
  <r>
    <x v="1726"/>
    <d v="2025-05-02T00:00:00"/>
    <s v="Central"/>
    <s v="Manchester"/>
    <s v="Croissant"/>
    <s v="Food"/>
    <n v="5"/>
    <n v="2.8"/>
    <s v="Cash"/>
    <s v="C1052"/>
    <n v="14"/>
    <s v="Friday"/>
    <s v="May"/>
    <n v="2025"/>
  </r>
  <r>
    <x v="1727"/>
    <d v="2025-05-02T00:00:00"/>
    <s v="Central"/>
    <s v="Birmingham"/>
    <s v="Cappuccino"/>
    <s v="Drink"/>
    <n v="3"/>
    <n v="3.8"/>
    <s v="Card"/>
    <s v="C1480"/>
    <n v="11.399999999999999"/>
    <s v="Friday"/>
    <s v="May"/>
    <n v="2025"/>
  </r>
  <r>
    <x v="1728"/>
    <d v="2025-05-02T00:00:00"/>
    <s v="Central"/>
    <s v="Bristol"/>
    <s v="Espresso"/>
    <s v="Drink"/>
    <n v="4"/>
    <n v="2.5"/>
    <s v="Cash"/>
    <s v="C1207"/>
    <n v="10"/>
    <s v="Friday"/>
    <s v="May"/>
    <n v="2025"/>
  </r>
  <r>
    <x v="1729"/>
    <d v="2025-05-02T00:00:00"/>
    <s v="Riverside"/>
    <s v="Bristol"/>
    <s v="Espresso"/>
    <s v="Drink"/>
    <n v="4"/>
    <n v="2.5"/>
    <s v="Apple Pay"/>
    <s v="C1783"/>
    <n v="10"/>
    <s v="Friday"/>
    <s v="May"/>
    <n v="2025"/>
  </r>
  <r>
    <x v="1730"/>
    <d v="2025-05-02T00:00:00"/>
    <s v="Station"/>
    <s v="London"/>
    <s v="Muffin"/>
    <s v="Food"/>
    <n v="4"/>
    <n v="2.2000000000000002"/>
    <s v="Apple Pay"/>
    <s v="C1998"/>
    <n v="8.8000000000000007"/>
    <s v="Friday"/>
    <s v="May"/>
    <n v="2025"/>
  </r>
  <r>
    <x v="1731"/>
    <d v="2025-05-02T00:00:00"/>
    <s v="Central"/>
    <s v="Manchester"/>
    <s v="Muffin"/>
    <s v="Food"/>
    <n v="4"/>
    <n v="2.2000000000000002"/>
    <s v="Apple Pay"/>
    <s v="C1452"/>
    <n v="8.8000000000000007"/>
    <s v="Friday"/>
    <s v="May"/>
    <n v="2025"/>
  </r>
  <r>
    <x v="1732"/>
    <d v="2025-05-02T00:00:00"/>
    <s v="High Street"/>
    <s v="Leeds"/>
    <s v="Latte"/>
    <s v="Drink"/>
    <n v="2"/>
    <n v="3.5"/>
    <s v="Cash"/>
    <s v="C1775"/>
    <n v="7"/>
    <s v="Friday"/>
    <s v="May"/>
    <n v="2025"/>
  </r>
  <r>
    <x v="1733"/>
    <d v="2025-05-02T00:00:00"/>
    <s v="High Street"/>
    <s v="Manchester"/>
    <s v="Muffin"/>
    <s v="Food"/>
    <n v="2"/>
    <n v="2.2000000000000002"/>
    <s v="Card"/>
    <s v="C1609"/>
    <n v="4.4000000000000004"/>
    <s v="Friday"/>
    <s v="May"/>
    <n v="2025"/>
  </r>
  <r>
    <x v="1734"/>
    <d v="2025-05-02T00:00:00"/>
    <s v="Central"/>
    <s v="Bristol"/>
    <s v="Cappuccino"/>
    <s v="Drink"/>
    <n v="1"/>
    <n v="3.8"/>
    <s v="Card"/>
    <s v="C1668"/>
    <n v="3.8"/>
    <s v="Friday"/>
    <s v="May"/>
    <n v="2025"/>
  </r>
  <r>
    <x v="1735"/>
    <d v="2025-05-02T00:00:00"/>
    <s v="Riverside"/>
    <s v="Leeds"/>
    <s v="Latte"/>
    <s v="Drink"/>
    <n v="1"/>
    <n v="3.5"/>
    <s v="Cash"/>
    <s v="C1865"/>
    <n v="3.5"/>
    <s v="Friday"/>
    <s v="May"/>
    <n v="2025"/>
  </r>
  <r>
    <x v="1736"/>
    <d v="2025-05-02T00:00:00"/>
    <s v="Riverside"/>
    <s v="Leeds"/>
    <s v="Croissant"/>
    <s v="Food"/>
    <n v="1"/>
    <n v="2.8"/>
    <s v="Card"/>
    <s v="C1972"/>
    <n v="2.8"/>
    <s v="Friday"/>
    <s v="May"/>
    <n v="2025"/>
  </r>
  <r>
    <x v="1737"/>
    <d v="2025-05-02T00:00:00"/>
    <s v="High Street"/>
    <s v="Birmingham"/>
    <s v="Muffin"/>
    <s v="Food"/>
    <n v="1"/>
    <n v="2.2000000000000002"/>
    <s v="Apple Pay"/>
    <s v="C1601"/>
    <n v="2.2000000000000002"/>
    <s v="Friday"/>
    <s v="May"/>
    <n v="2025"/>
  </r>
  <r>
    <x v="1738"/>
    <d v="2025-05-03T00:00:00"/>
    <s v="Central"/>
    <s v="Leeds"/>
    <s v="Cappuccino"/>
    <s v="Drink"/>
    <n v="5"/>
    <n v="3.8"/>
    <s v="Apple Pay"/>
    <s v="C1556"/>
    <n v="19"/>
    <s v="Saturday"/>
    <s v="May"/>
    <n v="2025"/>
  </r>
  <r>
    <x v="1739"/>
    <d v="2025-05-03T00:00:00"/>
    <s v="Central"/>
    <s v="Bristol"/>
    <s v="Cappuccino"/>
    <s v="Drink"/>
    <n v="5"/>
    <n v="3.8"/>
    <s v="Card"/>
    <s v="C1244"/>
    <n v="19"/>
    <s v="Saturday"/>
    <s v="May"/>
    <n v="2025"/>
  </r>
  <r>
    <x v="1740"/>
    <d v="2025-05-03T00:00:00"/>
    <s v="Riverside"/>
    <s v="Manchester"/>
    <s v="Croissant"/>
    <s v="Food"/>
    <n v="5"/>
    <n v="2.8"/>
    <s v="Apple Pay"/>
    <s v="C1296"/>
    <n v="14"/>
    <s v="Saturday"/>
    <s v="May"/>
    <n v="2025"/>
  </r>
  <r>
    <x v="1741"/>
    <d v="2025-05-03T00:00:00"/>
    <s v="High Street"/>
    <s v="Leeds"/>
    <s v="Croissant"/>
    <s v="Food"/>
    <n v="5"/>
    <n v="2.8"/>
    <s v="Apple Pay"/>
    <s v="C1247"/>
    <n v="14"/>
    <s v="Saturday"/>
    <s v="May"/>
    <n v="2025"/>
  </r>
  <r>
    <x v="1742"/>
    <d v="2025-05-03T00:00:00"/>
    <s v="Riverside"/>
    <s v="Manchester"/>
    <s v="Croissant"/>
    <s v="Food"/>
    <n v="4"/>
    <n v="2.8"/>
    <s v="Cash"/>
    <s v="C1744"/>
    <n v="11.2"/>
    <s v="Saturday"/>
    <s v="May"/>
    <n v="2025"/>
  </r>
  <r>
    <x v="1743"/>
    <d v="2025-05-03T00:00:00"/>
    <s v="High Street"/>
    <s v="Leeds"/>
    <s v="Latte"/>
    <s v="Drink"/>
    <n v="3"/>
    <n v="3.5"/>
    <s v="Apple Pay"/>
    <s v="C1840"/>
    <n v="10.5"/>
    <s v="Saturday"/>
    <s v="May"/>
    <n v="2025"/>
  </r>
  <r>
    <x v="1744"/>
    <d v="2025-05-03T00:00:00"/>
    <s v="Station"/>
    <s v="Birmingham"/>
    <s v="Latte"/>
    <s v="Drink"/>
    <n v="3"/>
    <n v="3.5"/>
    <s v="Cash"/>
    <s v="C1377"/>
    <n v="10.5"/>
    <s v="Saturday"/>
    <s v="May"/>
    <n v="2025"/>
  </r>
  <r>
    <x v="1745"/>
    <d v="2025-05-03T00:00:00"/>
    <s v="High Street"/>
    <s v="London"/>
    <s v="Espresso"/>
    <s v="Drink"/>
    <n v="4"/>
    <n v="2.5"/>
    <s v="Cash"/>
    <s v="C1141"/>
    <n v="10"/>
    <s v="Saturday"/>
    <s v="May"/>
    <n v="2025"/>
  </r>
  <r>
    <x v="1746"/>
    <d v="2025-05-03T00:00:00"/>
    <s v="Riverside"/>
    <s v="Leeds"/>
    <s v="Espresso"/>
    <s v="Drink"/>
    <n v="3"/>
    <n v="2.5"/>
    <s v="Cash"/>
    <s v="C1068"/>
    <n v="7.5"/>
    <s v="Saturday"/>
    <s v="May"/>
    <n v="2025"/>
  </r>
  <r>
    <x v="1747"/>
    <d v="2025-05-03T00:00:00"/>
    <s v="High Street"/>
    <s v="Birmingham"/>
    <s v="Croissant"/>
    <s v="Food"/>
    <n v="2"/>
    <n v="2.8"/>
    <s v="Cash"/>
    <s v="C1586"/>
    <n v="5.6"/>
    <s v="Saturday"/>
    <s v="May"/>
    <n v="2025"/>
  </r>
  <r>
    <x v="1748"/>
    <d v="2025-05-03T00:00:00"/>
    <s v="Station"/>
    <s v="Manchester"/>
    <s v="Muffin"/>
    <s v="Food"/>
    <n v="2"/>
    <n v="2.2000000000000002"/>
    <s v="Card"/>
    <s v="C1783"/>
    <n v="4.4000000000000004"/>
    <s v="Saturday"/>
    <s v="May"/>
    <n v="2025"/>
  </r>
  <r>
    <x v="1749"/>
    <d v="2025-05-03T00:00:00"/>
    <s v="Central"/>
    <s v="Manchester"/>
    <s v="Muffin"/>
    <s v="Food"/>
    <n v="2"/>
    <n v="2.2000000000000002"/>
    <s v="Apple Pay"/>
    <s v="C1563"/>
    <n v="4.4000000000000004"/>
    <s v="Saturday"/>
    <s v="May"/>
    <n v="2025"/>
  </r>
  <r>
    <x v="1750"/>
    <d v="2025-05-03T00:00:00"/>
    <s v="Central"/>
    <s v="Bristol"/>
    <s v="Latte"/>
    <s v="Drink"/>
    <n v="1"/>
    <n v="3.5"/>
    <s v="Apple Pay"/>
    <s v="C1823"/>
    <n v="3.5"/>
    <s v="Saturday"/>
    <s v="May"/>
    <n v="2025"/>
  </r>
  <r>
    <x v="1751"/>
    <d v="2025-05-03T00:00:00"/>
    <s v="Central"/>
    <s v="Leeds"/>
    <s v="Croissant"/>
    <s v="Food"/>
    <n v="1"/>
    <n v="2.8"/>
    <s v="Apple Pay"/>
    <s v="C1103"/>
    <n v="2.8"/>
    <s v="Saturday"/>
    <s v="May"/>
    <n v="2025"/>
  </r>
  <r>
    <x v="1752"/>
    <d v="2025-05-04T00:00:00"/>
    <s v="Riverside"/>
    <s v="Manchester"/>
    <s v="Croissant"/>
    <s v="Food"/>
    <n v="5"/>
    <n v="2.8"/>
    <s v="Apple Pay"/>
    <s v="C1060"/>
    <n v="14"/>
    <s v="Sunday"/>
    <s v="May"/>
    <n v="2025"/>
  </r>
  <r>
    <x v="1753"/>
    <d v="2025-05-04T00:00:00"/>
    <s v="Riverside"/>
    <s v="Bristol"/>
    <s v="Croissant"/>
    <s v="Food"/>
    <n v="5"/>
    <n v="2.8"/>
    <s v="Cash"/>
    <s v="C1131"/>
    <n v="14"/>
    <s v="Sunday"/>
    <s v="May"/>
    <n v="2025"/>
  </r>
  <r>
    <x v="1754"/>
    <d v="2025-05-04T00:00:00"/>
    <s v="High Street"/>
    <s v="Leeds"/>
    <s v="Latte"/>
    <s v="Drink"/>
    <n v="3"/>
    <n v="3.5"/>
    <s v="Card"/>
    <s v="C1013"/>
    <n v="10.5"/>
    <s v="Sunday"/>
    <s v="May"/>
    <n v="2025"/>
  </r>
  <r>
    <x v="1755"/>
    <d v="2025-05-04T00:00:00"/>
    <s v="Station"/>
    <s v="Manchester"/>
    <s v="Espresso"/>
    <s v="Drink"/>
    <n v="4"/>
    <n v="2.5"/>
    <s v="Apple Pay"/>
    <s v="C1087"/>
    <n v="10"/>
    <s v="Sunday"/>
    <s v="May"/>
    <n v="2025"/>
  </r>
  <r>
    <x v="1756"/>
    <d v="2025-05-04T00:00:00"/>
    <s v="Station"/>
    <s v="London"/>
    <s v="Espresso"/>
    <s v="Drink"/>
    <n v="4"/>
    <n v="2.5"/>
    <s v="Cash"/>
    <s v="C1924"/>
    <n v="10"/>
    <s v="Sunday"/>
    <s v="May"/>
    <n v="2025"/>
  </r>
  <r>
    <x v="1757"/>
    <d v="2025-05-04T00:00:00"/>
    <s v="High Street"/>
    <s v="Leeds"/>
    <s v="Muffin"/>
    <s v="Food"/>
    <n v="4"/>
    <n v="2.2000000000000002"/>
    <s v="Apple Pay"/>
    <s v="C1144"/>
    <n v="8.8000000000000007"/>
    <s v="Sunday"/>
    <s v="May"/>
    <n v="2025"/>
  </r>
  <r>
    <x v="1758"/>
    <d v="2025-05-04T00:00:00"/>
    <s v="Riverside"/>
    <s v="London"/>
    <s v="Croissant"/>
    <s v="Food"/>
    <n v="2"/>
    <n v="2.8"/>
    <s v="Apple Pay"/>
    <s v="C1465"/>
    <n v="5.6"/>
    <s v="Sunday"/>
    <s v="May"/>
    <n v="2025"/>
  </r>
  <r>
    <x v="1759"/>
    <d v="2025-05-04T00:00:00"/>
    <s v="High Street"/>
    <s v="Bristol"/>
    <s v="Muffin"/>
    <s v="Food"/>
    <n v="2"/>
    <n v="2.2000000000000002"/>
    <s v="Apple Pay"/>
    <s v="C1513"/>
    <n v="4.4000000000000004"/>
    <s v="Sunday"/>
    <s v="May"/>
    <n v="2025"/>
  </r>
  <r>
    <x v="1760"/>
    <d v="2025-05-04T00:00:00"/>
    <s v="Central"/>
    <s v="Manchester"/>
    <s v="Cappuccino"/>
    <s v="Drink"/>
    <n v="1"/>
    <n v="3.8"/>
    <s v="Card"/>
    <s v="C1898"/>
    <n v="3.8"/>
    <s v="Sunday"/>
    <s v="May"/>
    <n v="2025"/>
  </r>
  <r>
    <x v="1761"/>
    <d v="2025-05-04T00:00:00"/>
    <s v="Riverside"/>
    <s v="Leeds"/>
    <s v="Latte"/>
    <s v="Drink"/>
    <n v="1"/>
    <n v="3.5"/>
    <s v="Card"/>
    <s v="C1796"/>
    <n v="3.5"/>
    <s v="Sunday"/>
    <s v="May"/>
    <n v="2025"/>
  </r>
  <r>
    <x v="1762"/>
    <d v="2025-05-04T00:00:00"/>
    <s v="Central"/>
    <s v="Manchester"/>
    <s v="Espresso"/>
    <s v="Drink"/>
    <n v="1"/>
    <n v="2.5"/>
    <s v="Cash"/>
    <s v="C1171"/>
    <n v="2.5"/>
    <s v="Sunday"/>
    <s v="May"/>
    <n v="2025"/>
  </r>
  <r>
    <x v="1763"/>
    <d v="2025-05-04T00:00:00"/>
    <s v="Station"/>
    <s v="Leeds"/>
    <s v="Muffin"/>
    <s v="Food"/>
    <n v="1"/>
    <n v="2.2000000000000002"/>
    <s v="Cash"/>
    <s v="C1654"/>
    <n v="2.2000000000000002"/>
    <s v="Sunday"/>
    <s v="May"/>
    <n v="2025"/>
  </r>
  <r>
    <x v="1764"/>
    <d v="2025-05-05T00:00:00"/>
    <s v="Central"/>
    <s v="Birmingham"/>
    <s v="Latte"/>
    <s v="Drink"/>
    <n v="5"/>
    <n v="3.5"/>
    <s v="Cash"/>
    <s v="C1323"/>
    <n v="17.5"/>
    <s v="Monday"/>
    <s v="May"/>
    <n v="2025"/>
  </r>
  <r>
    <x v="1765"/>
    <d v="2025-05-05T00:00:00"/>
    <s v="High Street"/>
    <s v="Leeds"/>
    <s v="Latte"/>
    <s v="Drink"/>
    <n v="5"/>
    <n v="3.5"/>
    <s v="Apple Pay"/>
    <s v="C1057"/>
    <n v="17.5"/>
    <s v="Monday"/>
    <s v="May"/>
    <n v="2025"/>
  </r>
  <r>
    <x v="1766"/>
    <d v="2025-05-05T00:00:00"/>
    <s v="High Street"/>
    <s v="Birmingham"/>
    <s v="Latte"/>
    <s v="Drink"/>
    <n v="4"/>
    <n v="3.8"/>
    <s v="Cash"/>
    <s v="C1040"/>
    <n v="15.2"/>
    <s v="Monday"/>
    <s v="May"/>
    <n v="2025"/>
  </r>
  <r>
    <x v="1767"/>
    <d v="2025-05-05T00:00:00"/>
    <s v="High Street"/>
    <s v="Leeds"/>
    <s v="Croissant"/>
    <s v="Food"/>
    <n v="5"/>
    <n v="2.8"/>
    <s v="Card"/>
    <s v="C1372"/>
    <n v="14"/>
    <s v="Monday"/>
    <s v="May"/>
    <n v="2025"/>
  </r>
  <r>
    <x v="1768"/>
    <d v="2025-05-05T00:00:00"/>
    <s v="Central"/>
    <s v="Manchester"/>
    <s v="Latte"/>
    <s v="Drink"/>
    <n v="4"/>
    <n v="3.5"/>
    <s v="Cash"/>
    <s v="C1829"/>
    <n v="14"/>
    <s v="Monday"/>
    <s v="May"/>
    <n v="2025"/>
  </r>
  <r>
    <x v="1769"/>
    <d v="2025-05-05T00:00:00"/>
    <s v="Central"/>
    <s v="Bristol"/>
    <s v="Latte"/>
    <s v="Drink"/>
    <n v="4"/>
    <n v="3.5"/>
    <s v="Apple Pay"/>
    <s v="C1185"/>
    <n v="14"/>
    <s v="Monday"/>
    <s v="May"/>
    <n v="2025"/>
  </r>
  <r>
    <x v="1770"/>
    <d v="2025-05-05T00:00:00"/>
    <s v="Central"/>
    <s v="Birmingham"/>
    <s v="Latte"/>
    <s v="Drink"/>
    <n v="4"/>
    <n v="3.5"/>
    <s v="Apple Pay"/>
    <s v="C1438"/>
    <n v="14"/>
    <s v="Monday"/>
    <s v="May"/>
    <n v="2025"/>
  </r>
  <r>
    <x v="1771"/>
    <d v="2025-05-05T00:00:00"/>
    <s v="Central"/>
    <s v="Leeds"/>
    <s v="Espresso"/>
    <s v="Drink"/>
    <n v="5"/>
    <n v="2.5"/>
    <s v="Apple Pay"/>
    <s v="C1066"/>
    <n v="12.5"/>
    <s v="Monday"/>
    <s v="May"/>
    <n v="2025"/>
  </r>
  <r>
    <x v="1772"/>
    <d v="2025-05-05T00:00:00"/>
    <s v="Riverside"/>
    <s v="Bristol"/>
    <s v="Cappuccino"/>
    <s v="Drink"/>
    <n v="3"/>
    <n v="3.8"/>
    <s v="Cash"/>
    <s v="C1700"/>
    <n v="11.399999999999999"/>
    <s v="Monday"/>
    <s v="May"/>
    <n v="2025"/>
  </r>
  <r>
    <x v="1773"/>
    <d v="2025-05-05T00:00:00"/>
    <s v="Station"/>
    <s v="Bristol"/>
    <s v="Muffin"/>
    <s v="Food"/>
    <n v="5"/>
    <n v="2.2000000000000002"/>
    <s v="Apple Pay"/>
    <s v="C1711"/>
    <n v="11"/>
    <s v="Monday"/>
    <s v="May"/>
    <n v="2025"/>
  </r>
  <r>
    <x v="1774"/>
    <d v="2025-05-05T00:00:00"/>
    <s v="Central"/>
    <s v="Bristol"/>
    <s v="Espresso"/>
    <s v="Drink"/>
    <n v="4"/>
    <n v="2.5"/>
    <s v="Cash"/>
    <s v="C1206"/>
    <n v="10"/>
    <s v="Monday"/>
    <s v="May"/>
    <n v="2025"/>
  </r>
  <r>
    <x v="1775"/>
    <d v="2025-05-05T00:00:00"/>
    <s v="Riverside"/>
    <s v="London"/>
    <s v="Espresso"/>
    <s v="Drink"/>
    <n v="4"/>
    <n v="2.5"/>
    <s v="Card"/>
    <s v="C1395"/>
    <n v="10"/>
    <s v="Monday"/>
    <s v="May"/>
    <n v="2025"/>
  </r>
  <r>
    <x v="1776"/>
    <d v="2025-05-05T00:00:00"/>
    <s v="Station"/>
    <s v="Leeds"/>
    <s v="Croissant"/>
    <s v="Food"/>
    <n v="3"/>
    <n v="2.8"/>
    <s v="Card"/>
    <s v="C1816"/>
    <n v="8.3999999999999986"/>
    <s v="Monday"/>
    <s v="May"/>
    <n v="2025"/>
  </r>
  <r>
    <x v="1777"/>
    <d v="2025-05-05T00:00:00"/>
    <s v="Riverside"/>
    <s v="Manchester"/>
    <s v="Espresso"/>
    <s v="Drink"/>
    <n v="2"/>
    <n v="2.5"/>
    <s v="Apple Pay"/>
    <s v="C1125"/>
    <n v="5"/>
    <s v="Monday"/>
    <s v="May"/>
    <n v="2025"/>
  </r>
  <r>
    <x v="1778"/>
    <d v="2025-05-05T00:00:00"/>
    <s v="Station"/>
    <s v="Bristol"/>
    <s v="Croissant"/>
    <s v="Food"/>
    <n v="1"/>
    <n v="2.8"/>
    <s v="Apple Pay"/>
    <s v="C1440"/>
    <n v="2.8"/>
    <s v="Monday"/>
    <s v="May"/>
    <n v="2025"/>
  </r>
  <r>
    <x v="1779"/>
    <d v="2025-05-05T00:00:00"/>
    <s v="Station"/>
    <s v="Manchester"/>
    <s v="Croissant"/>
    <s v="Food"/>
    <n v="1"/>
    <n v="2.8"/>
    <s v="Card"/>
    <s v="C1585"/>
    <n v="2.8"/>
    <s v="Monday"/>
    <s v="May"/>
    <n v="2025"/>
  </r>
  <r>
    <x v="1780"/>
    <d v="2025-05-05T00:00:00"/>
    <s v="Central"/>
    <s v="Leeds"/>
    <s v="Muffin"/>
    <s v="Food"/>
    <n v="1"/>
    <n v="2.2000000000000002"/>
    <s v="Card"/>
    <s v="C1509"/>
    <n v="2.2000000000000002"/>
    <s v="Monday"/>
    <s v="May"/>
    <n v="2025"/>
  </r>
  <r>
    <x v="1781"/>
    <d v="2025-05-06T00:00:00"/>
    <s v="Station"/>
    <s v="Manchester"/>
    <s v="Latte"/>
    <s v="Drink"/>
    <n v="5"/>
    <n v="3.5"/>
    <s v="Card"/>
    <s v="C1475"/>
    <n v="17.5"/>
    <s v="Tuesday"/>
    <s v="May"/>
    <n v="2025"/>
  </r>
  <r>
    <x v="1782"/>
    <d v="2025-05-06T00:00:00"/>
    <s v="Station"/>
    <s v="Leeds"/>
    <s v="Croissant"/>
    <s v="Food"/>
    <n v="5"/>
    <n v="2.8"/>
    <s v="Cash"/>
    <s v="C1251"/>
    <n v="14"/>
    <s v="Tuesday"/>
    <s v="May"/>
    <n v="2025"/>
  </r>
  <r>
    <x v="1783"/>
    <d v="2025-05-06T00:00:00"/>
    <s v="Riverside"/>
    <s v="Bristol"/>
    <s v="Latte"/>
    <s v="Drink"/>
    <n v="3"/>
    <n v="3.5"/>
    <s v="Apple Pay"/>
    <s v="C1941"/>
    <n v="10.5"/>
    <s v="Tuesday"/>
    <s v="May"/>
    <n v="2025"/>
  </r>
  <r>
    <x v="1784"/>
    <d v="2025-05-06T00:00:00"/>
    <s v="Station"/>
    <s v="Leeds"/>
    <s v="Muffin"/>
    <s v="Food"/>
    <n v="4"/>
    <n v="2.2000000000000002"/>
    <s v="Apple Pay"/>
    <s v="C1832"/>
    <n v="8.8000000000000007"/>
    <s v="Tuesday"/>
    <s v="May"/>
    <n v="2025"/>
  </r>
  <r>
    <x v="1785"/>
    <d v="2025-05-06T00:00:00"/>
    <s v="Station"/>
    <s v="Bristol"/>
    <s v="Muffin"/>
    <s v="Food"/>
    <n v="3"/>
    <n v="2.2000000000000002"/>
    <s v="Cash"/>
    <s v="C1848"/>
    <n v="6.6000000000000005"/>
    <s v="Tuesday"/>
    <s v="May"/>
    <n v="2025"/>
  </r>
  <r>
    <x v="1786"/>
    <d v="2025-05-06T00:00:00"/>
    <s v="High Street"/>
    <s v="Leeds"/>
    <s v="Cappuccino"/>
    <s v="Drink"/>
    <n v="1"/>
    <n v="3.8"/>
    <s v="Apple Pay"/>
    <s v="C1483"/>
    <n v="3.8"/>
    <s v="Tuesday"/>
    <s v="May"/>
    <n v="2025"/>
  </r>
  <r>
    <x v="1787"/>
    <d v="2025-05-07T00:00:00"/>
    <s v="Station"/>
    <s v="Leeds"/>
    <s v="Cappuccino"/>
    <s v="Drink"/>
    <n v="4"/>
    <n v="3.8"/>
    <s v="Apple Pay"/>
    <s v="C1602"/>
    <n v="15.2"/>
    <s v="Wednesday"/>
    <s v="May"/>
    <n v="2025"/>
  </r>
  <r>
    <x v="1788"/>
    <d v="2025-05-07T00:00:00"/>
    <s v="Central"/>
    <s v="Birmingham"/>
    <s v="Cappuccino"/>
    <s v="Drink"/>
    <n v="4"/>
    <n v="3.8"/>
    <s v="Cash"/>
    <s v="C1661"/>
    <n v="15.2"/>
    <s v="Wednesday"/>
    <s v="May"/>
    <n v="2025"/>
  </r>
  <r>
    <x v="1789"/>
    <d v="2025-05-07T00:00:00"/>
    <s v="Central"/>
    <s v="London"/>
    <s v="Latte"/>
    <s v="Drink"/>
    <n v="4"/>
    <n v="3.5"/>
    <s v="Apple Pay"/>
    <s v="C1864"/>
    <n v="14"/>
    <s v="Wednesday"/>
    <s v="May"/>
    <n v="2025"/>
  </r>
  <r>
    <x v="1790"/>
    <d v="2025-05-07T00:00:00"/>
    <s v="High Street"/>
    <s v="London"/>
    <s v="Croissant"/>
    <s v="Food"/>
    <n v="5"/>
    <n v="2.8"/>
    <s v="Apple Pay"/>
    <s v="C1999"/>
    <n v="14"/>
    <s v="Wednesday"/>
    <s v="May"/>
    <n v="2025"/>
  </r>
  <r>
    <x v="1791"/>
    <d v="2025-05-07T00:00:00"/>
    <s v="High Street"/>
    <s v="Manchester"/>
    <s v="Latte"/>
    <s v="Drink"/>
    <n v="4"/>
    <n v="3.5"/>
    <s v="Card"/>
    <s v="C1016"/>
    <n v="14"/>
    <s v="Wednesday"/>
    <s v="May"/>
    <n v="2025"/>
  </r>
  <r>
    <x v="1792"/>
    <d v="2025-05-07T00:00:00"/>
    <s v="High Street"/>
    <s v="Manchester"/>
    <s v="Espresso"/>
    <s v="Drink"/>
    <n v="4"/>
    <n v="2.5"/>
    <s v="Apple Pay"/>
    <s v="C1890"/>
    <n v="10"/>
    <s v="Wednesday"/>
    <s v="May"/>
    <n v="2025"/>
  </r>
  <r>
    <x v="1793"/>
    <d v="2025-05-07T00:00:00"/>
    <s v="High Street"/>
    <s v="London"/>
    <s v="Muffin"/>
    <s v="Food"/>
    <n v="4"/>
    <n v="2.2000000000000002"/>
    <s v="Apple Pay"/>
    <s v="C1698"/>
    <n v="8.8000000000000007"/>
    <s v="Wednesday"/>
    <s v="May"/>
    <n v="2025"/>
  </r>
  <r>
    <x v="1794"/>
    <d v="2025-05-07T00:00:00"/>
    <s v="Station"/>
    <s v="London"/>
    <s v="Croissant"/>
    <s v="Food"/>
    <n v="3"/>
    <n v="2.8"/>
    <s v="Cash"/>
    <s v="C1799"/>
    <n v="8.3999999999999986"/>
    <s v="Wednesday"/>
    <s v="May"/>
    <n v="2025"/>
  </r>
  <r>
    <x v="1795"/>
    <d v="2025-05-07T00:00:00"/>
    <s v="Station"/>
    <s v="Birmingham"/>
    <s v="Croissant"/>
    <s v="Food"/>
    <n v="3"/>
    <n v="2.8"/>
    <s v="Cash"/>
    <s v="C1605"/>
    <n v="8.3999999999999986"/>
    <s v="Wednesday"/>
    <s v="May"/>
    <n v="2025"/>
  </r>
  <r>
    <x v="1796"/>
    <d v="2025-05-07T00:00:00"/>
    <s v="High Street"/>
    <s v="Manchester"/>
    <s v="Latte"/>
    <s v="Drink"/>
    <n v="2"/>
    <n v="3.5"/>
    <s v="Cash"/>
    <s v="C1821"/>
    <n v="7"/>
    <s v="Wednesday"/>
    <s v="May"/>
    <n v="2025"/>
  </r>
  <r>
    <x v="1797"/>
    <d v="2025-05-07T00:00:00"/>
    <s v="Central"/>
    <s v="Manchester"/>
    <s v="Latte"/>
    <s v="Drink"/>
    <n v="2"/>
    <n v="3.5"/>
    <s v="Card"/>
    <s v="C1053"/>
    <n v="7"/>
    <s v="Wednesday"/>
    <s v="May"/>
    <n v="2025"/>
  </r>
  <r>
    <x v="1798"/>
    <d v="2025-05-07T00:00:00"/>
    <s v="Station"/>
    <s v="London"/>
    <s v="Muffin"/>
    <s v="Food"/>
    <n v="2"/>
    <n v="2.2000000000000002"/>
    <s v="Cash"/>
    <s v="C1316"/>
    <n v="4.4000000000000004"/>
    <s v="Wednesday"/>
    <s v="May"/>
    <n v="2025"/>
  </r>
  <r>
    <x v="1799"/>
    <d v="2025-05-07T00:00:00"/>
    <s v="High Street"/>
    <s v="London"/>
    <s v="Cappuccino"/>
    <s v="Drink"/>
    <n v="1"/>
    <n v="3.8"/>
    <s v="Cash"/>
    <s v="C1834"/>
    <n v="3.8"/>
    <s v="Wednesday"/>
    <s v="May"/>
    <n v="2025"/>
  </r>
  <r>
    <x v="1800"/>
    <d v="2025-05-07T00:00:00"/>
    <s v="Riverside"/>
    <s v="Leeds"/>
    <s v="Cappuccino"/>
    <s v="Drink"/>
    <n v="1"/>
    <n v="3.8"/>
    <s v="Apple Pay"/>
    <s v="C1369"/>
    <n v="3.8"/>
    <s v="Wednesday"/>
    <s v="May"/>
    <n v="2025"/>
  </r>
  <r>
    <x v="1801"/>
    <d v="2025-05-07T00:00:00"/>
    <s v="Riverside"/>
    <s v="Birmingham"/>
    <s v="Latte"/>
    <s v="Drink"/>
    <n v="1"/>
    <n v="3.5"/>
    <s v="Card"/>
    <s v="C1403"/>
    <n v="3.5"/>
    <s v="Wednesday"/>
    <s v="May"/>
    <n v="2025"/>
  </r>
  <r>
    <x v="1802"/>
    <d v="2025-05-07T00:00:00"/>
    <s v="Central"/>
    <s v="Leeds"/>
    <s v="Latte"/>
    <s v="Drink"/>
    <n v="1"/>
    <n v="3.5"/>
    <s v="Apple Pay"/>
    <s v="C1591"/>
    <n v="3.5"/>
    <s v="Wednesday"/>
    <s v="May"/>
    <n v="2025"/>
  </r>
  <r>
    <x v="1803"/>
    <d v="2025-05-07T00:00:00"/>
    <s v="High Street"/>
    <s v="Manchester"/>
    <s v="Latte"/>
    <s v="Drink"/>
    <n v="1"/>
    <n v="3.5"/>
    <s v="Card"/>
    <s v="C1107"/>
    <n v="3.5"/>
    <s v="Wednesday"/>
    <s v="May"/>
    <n v="2025"/>
  </r>
  <r>
    <x v="1804"/>
    <d v="2025-05-08T00:00:00"/>
    <s v="Central"/>
    <s v="London"/>
    <s v="Cappuccino"/>
    <s v="Drink"/>
    <n v="4"/>
    <n v="3.8"/>
    <s v="Apple Pay"/>
    <s v="C1496"/>
    <n v="15.2"/>
    <s v="Thursday"/>
    <s v="May"/>
    <n v="2025"/>
  </r>
  <r>
    <x v="1805"/>
    <d v="2025-05-08T00:00:00"/>
    <s v="High Street"/>
    <s v="Manchester"/>
    <s v="Muffin"/>
    <s v="Food"/>
    <n v="5"/>
    <n v="2.2000000000000002"/>
    <s v="Cash"/>
    <s v="C1313"/>
    <n v="11"/>
    <s v="Thursday"/>
    <s v="May"/>
    <n v="2025"/>
  </r>
  <r>
    <x v="1806"/>
    <d v="2025-05-08T00:00:00"/>
    <s v="Central"/>
    <s v="Birmingham"/>
    <s v="Latte"/>
    <s v="Drink"/>
    <n v="3"/>
    <n v="3.5"/>
    <s v="Cash"/>
    <s v="C1874"/>
    <n v="10.5"/>
    <s v="Thursday"/>
    <s v="May"/>
    <n v="2025"/>
  </r>
  <r>
    <x v="1807"/>
    <d v="2025-05-08T00:00:00"/>
    <s v="Station"/>
    <s v="Leeds"/>
    <s v="Latte"/>
    <s v="Drink"/>
    <n v="1"/>
    <n v="3.5"/>
    <s v="Apple Pay"/>
    <s v="C1968"/>
    <n v="3.5"/>
    <s v="Thursday"/>
    <s v="May"/>
    <n v="2025"/>
  </r>
  <r>
    <x v="1808"/>
    <d v="2025-05-08T00:00:00"/>
    <s v="Station"/>
    <s v="London"/>
    <s v="Muffin"/>
    <s v="Food"/>
    <n v="1"/>
    <n v="2.2000000000000002"/>
    <s v="Cash"/>
    <s v="C1831"/>
    <n v="2.2000000000000002"/>
    <s v="Thursday"/>
    <s v="May"/>
    <n v="2025"/>
  </r>
  <r>
    <x v="1809"/>
    <d v="2025-05-08T00:00:00"/>
    <s v="High Street"/>
    <s v="Birmingham"/>
    <s v="Muffin"/>
    <s v="Food"/>
    <n v="1"/>
    <n v="2.2000000000000002"/>
    <s v="Cash"/>
    <s v="C1851"/>
    <n v="2.2000000000000002"/>
    <s v="Thursday"/>
    <s v="May"/>
    <n v="2025"/>
  </r>
  <r>
    <x v="1810"/>
    <d v="2025-05-09T00:00:00"/>
    <s v="Station"/>
    <s v="London"/>
    <s v="Cappuccino"/>
    <s v="Drink"/>
    <n v="3"/>
    <n v="3.8"/>
    <s v="Cash"/>
    <s v="C1876"/>
    <n v="11.399999999999999"/>
    <s v="Friday"/>
    <s v="May"/>
    <n v="2025"/>
  </r>
  <r>
    <x v="1811"/>
    <d v="2025-05-09T00:00:00"/>
    <s v="Central"/>
    <s v="London"/>
    <s v="Croissant"/>
    <s v="Food"/>
    <n v="4"/>
    <n v="2.8"/>
    <s v="Apple Pay"/>
    <s v="C1855"/>
    <n v="11.2"/>
    <s v="Friday"/>
    <s v="May"/>
    <n v="2025"/>
  </r>
  <r>
    <x v="1812"/>
    <d v="2025-05-09T00:00:00"/>
    <s v="Station"/>
    <s v="Bristol"/>
    <s v="Espresso"/>
    <s v="Drink"/>
    <n v="4"/>
    <n v="2.5"/>
    <s v="Card"/>
    <s v="C1605"/>
    <n v="10"/>
    <s v="Friday"/>
    <s v="May"/>
    <n v="2025"/>
  </r>
  <r>
    <x v="1813"/>
    <d v="2025-05-09T00:00:00"/>
    <s v="Station"/>
    <s v="Bristol"/>
    <s v="Muffin"/>
    <s v="Food"/>
    <n v="4"/>
    <n v="2.2000000000000002"/>
    <s v="Apple Pay"/>
    <s v="C1802"/>
    <n v="8.8000000000000007"/>
    <s v="Friday"/>
    <s v="May"/>
    <n v="2025"/>
  </r>
  <r>
    <x v="1814"/>
    <d v="2025-05-09T00:00:00"/>
    <s v="Riverside"/>
    <s v="Bristol"/>
    <s v="Muffin"/>
    <s v="Food"/>
    <n v="4"/>
    <n v="2.2000000000000002"/>
    <s v="Cash"/>
    <s v="C1227"/>
    <n v="8.8000000000000007"/>
    <s v="Friday"/>
    <s v="May"/>
    <n v="2025"/>
  </r>
  <r>
    <x v="1815"/>
    <d v="2025-05-09T00:00:00"/>
    <s v="Central"/>
    <s v="London"/>
    <s v="Croissant"/>
    <s v="Food"/>
    <n v="3"/>
    <n v="2.8"/>
    <s v="Cash"/>
    <s v="C1514"/>
    <n v="8.3999999999999986"/>
    <s v="Friday"/>
    <s v="May"/>
    <n v="2025"/>
  </r>
  <r>
    <x v="1816"/>
    <d v="2025-05-09T00:00:00"/>
    <s v="Central"/>
    <s v="Leeds"/>
    <s v="Cappuccino"/>
    <s v="Drink"/>
    <n v="2"/>
    <n v="3.8"/>
    <s v="Card"/>
    <s v="C1295"/>
    <n v="7.6"/>
    <s v="Friday"/>
    <s v="May"/>
    <n v="2025"/>
  </r>
  <r>
    <x v="1817"/>
    <d v="2025-05-09T00:00:00"/>
    <s v="Central"/>
    <s v="Bristol"/>
    <s v="Cappuccino"/>
    <s v="Drink"/>
    <n v="2"/>
    <n v="3.8"/>
    <s v="Card"/>
    <s v="C1548"/>
    <n v="7.6"/>
    <s v="Friday"/>
    <s v="May"/>
    <n v="2025"/>
  </r>
  <r>
    <x v="1818"/>
    <d v="2025-05-09T00:00:00"/>
    <s v="Station"/>
    <s v="Manchester"/>
    <s v="Espresso"/>
    <s v="Drink"/>
    <n v="3"/>
    <n v="2.5"/>
    <s v="Cash"/>
    <s v="C1352"/>
    <n v="7.5"/>
    <s v="Friday"/>
    <s v="May"/>
    <n v="2025"/>
  </r>
  <r>
    <x v="1819"/>
    <d v="2025-05-09T00:00:00"/>
    <s v="Central"/>
    <s v="Birmingham"/>
    <s v="Muffin"/>
    <s v="Food"/>
    <n v="3"/>
    <n v="2.2000000000000002"/>
    <s v="Card"/>
    <s v="C1083"/>
    <n v="6.6000000000000005"/>
    <s v="Friday"/>
    <s v="May"/>
    <n v="2025"/>
  </r>
  <r>
    <x v="1820"/>
    <d v="2025-05-09T00:00:00"/>
    <s v="Station"/>
    <s v="Manchester"/>
    <s v="Muffin"/>
    <s v="Food"/>
    <n v="3"/>
    <n v="2.2000000000000002"/>
    <s v="Card"/>
    <s v="C1587"/>
    <n v="6.6000000000000005"/>
    <s v="Friday"/>
    <s v="May"/>
    <n v="2025"/>
  </r>
  <r>
    <x v="1821"/>
    <d v="2025-05-09T00:00:00"/>
    <s v="High Street"/>
    <s v="Birmingham"/>
    <s v="Cappuccino"/>
    <s v="Drink"/>
    <n v="1"/>
    <n v="3.8"/>
    <s v="Apple Pay"/>
    <s v="C1348"/>
    <n v="3.8"/>
    <s v="Friday"/>
    <s v="May"/>
    <n v="2025"/>
  </r>
  <r>
    <x v="1822"/>
    <d v="2025-05-09T00:00:00"/>
    <s v="Station"/>
    <s v="Bristol"/>
    <s v="Latte"/>
    <s v="Drink"/>
    <n v="1"/>
    <n v="3.5"/>
    <s v="Card"/>
    <s v="C1397"/>
    <n v="3.5"/>
    <s v="Friday"/>
    <s v="May"/>
    <n v="2025"/>
  </r>
  <r>
    <x v="1823"/>
    <d v="2025-05-09T00:00:00"/>
    <s v="High Street"/>
    <s v="London"/>
    <s v="Latte"/>
    <s v="Drink"/>
    <n v="1"/>
    <n v="3.5"/>
    <s v="Apple Pay"/>
    <s v="C1625"/>
    <n v="3.5"/>
    <s v="Friday"/>
    <s v="May"/>
    <n v="2025"/>
  </r>
  <r>
    <x v="1824"/>
    <d v="2025-05-09T00:00:00"/>
    <s v="Station"/>
    <s v="Manchester"/>
    <s v="Latte"/>
    <s v="Drink"/>
    <n v="1"/>
    <n v="3.5"/>
    <s v="Cash"/>
    <s v="C1966"/>
    <n v="3.5"/>
    <s v="Friday"/>
    <s v="May"/>
    <n v="2025"/>
  </r>
  <r>
    <x v="1825"/>
    <d v="2025-05-09T00:00:00"/>
    <s v="Station"/>
    <s v="London"/>
    <s v="Muffin"/>
    <s v="Food"/>
    <n v="1"/>
    <n v="2.2000000000000002"/>
    <s v="Cash"/>
    <s v="C1480"/>
    <n v="2.2000000000000002"/>
    <s v="Friday"/>
    <s v="May"/>
    <n v="2025"/>
  </r>
  <r>
    <x v="1826"/>
    <d v="2025-05-10T00:00:00"/>
    <s v="Central"/>
    <s v="Manchester"/>
    <s v="Latte"/>
    <s v="Drink"/>
    <n v="5"/>
    <n v="3.8"/>
    <s v="Cash"/>
    <s v="C1592"/>
    <n v="19"/>
    <s v="Saturday"/>
    <s v="May"/>
    <n v="2025"/>
  </r>
  <r>
    <x v="1827"/>
    <d v="2025-05-10T00:00:00"/>
    <s v="Riverside"/>
    <s v="London"/>
    <s v="Latte"/>
    <s v="Drink"/>
    <n v="4"/>
    <n v="3.5"/>
    <s v="Card"/>
    <s v="C1806"/>
    <n v="14"/>
    <s v="Saturday"/>
    <s v="May"/>
    <n v="2025"/>
  </r>
  <r>
    <x v="1828"/>
    <d v="2025-05-10T00:00:00"/>
    <s v="Station"/>
    <s v="Bristol"/>
    <s v="Latte"/>
    <s v="Drink"/>
    <n v="4"/>
    <n v="3.5"/>
    <s v="Cash"/>
    <s v="C1936"/>
    <n v="14"/>
    <s v="Saturday"/>
    <s v="May"/>
    <n v="2025"/>
  </r>
  <r>
    <x v="1829"/>
    <d v="2025-05-10T00:00:00"/>
    <s v="Central"/>
    <s v="Birmingham"/>
    <s v="Espresso"/>
    <s v="Drink"/>
    <n v="5"/>
    <n v="2.5"/>
    <s v="Cash"/>
    <s v="C1931"/>
    <n v="12.5"/>
    <s v="Saturday"/>
    <s v="May"/>
    <n v="2025"/>
  </r>
  <r>
    <x v="1830"/>
    <d v="2025-05-10T00:00:00"/>
    <s v="Central"/>
    <s v="Birmingham"/>
    <s v="Cappuccino"/>
    <s v="Drink"/>
    <n v="3"/>
    <n v="3.8"/>
    <s v="Cash"/>
    <s v="C1666"/>
    <n v="11.399999999999999"/>
    <s v="Saturday"/>
    <s v="May"/>
    <n v="2025"/>
  </r>
  <r>
    <x v="1831"/>
    <d v="2025-05-10T00:00:00"/>
    <s v="Riverside"/>
    <s v="London"/>
    <s v="Cappuccino"/>
    <s v="Drink"/>
    <n v="3"/>
    <n v="3.8"/>
    <s v="Apple Pay"/>
    <s v="C1369"/>
    <n v="11.399999999999999"/>
    <s v="Saturday"/>
    <s v="May"/>
    <n v="2025"/>
  </r>
  <r>
    <x v="1832"/>
    <d v="2025-05-10T00:00:00"/>
    <s v="High Street"/>
    <s v="Birmingham"/>
    <s v="Latte"/>
    <s v="Drink"/>
    <n v="3"/>
    <n v="3.5"/>
    <s v="Cash"/>
    <s v="C1262"/>
    <n v="10.5"/>
    <s v="Saturday"/>
    <s v="May"/>
    <n v="2025"/>
  </r>
  <r>
    <x v="1833"/>
    <d v="2025-05-10T00:00:00"/>
    <s v="Station"/>
    <s v="Bristol"/>
    <s v="Latte"/>
    <s v="Drink"/>
    <n v="3"/>
    <n v="3.5"/>
    <s v="Card"/>
    <s v="C1495"/>
    <n v="10.5"/>
    <s v="Saturday"/>
    <s v="May"/>
    <n v="2025"/>
  </r>
  <r>
    <x v="1834"/>
    <d v="2025-05-10T00:00:00"/>
    <s v="High Street"/>
    <s v="Birmingham"/>
    <s v="Muffin"/>
    <s v="Food"/>
    <n v="4"/>
    <n v="2.2000000000000002"/>
    <s v="Apple Pay"/>
    <s v="C1779"/>
    <n v="8.8000000000000007"/>
    <s v="Saturday"/>
    <s v="May"/>
    <n v="2025"/>
  </r>
  <r>
    <x v="1835"/>
    <d v="2025-05-10T00:00:00"/>
    <s v="High Street"/>
    <s v="Leeds"/>
    <s v="Croissant"/>
    <s v="Food"/>
    <n v="3"/>
    <n v="2.8"/>
    <s v="Apple Pay"/>
    <s v="C1933"/>
    <n v="8.3999999999999986"/>
    <s v="Saturday"/>
    <s v="May"/>
    <n v="2025"/>
  </r>
  <r>
    <x v="1836"/>
    <d v="2025-05-10T00:00:00"/>
    <s v="Riverside"/>
    <s v="London"/>
    <s v="Espresso"/>
    <s v="Drink"/>
    <n v="3"/>
    <n v="2.5"/>
    <s v="Apple Pay"/>
    <s v="C1456"/>
    <n v="7.5"/>
    <s v="Saturday"/>
    <s v="May"/>
    <n v="2025"/>
  </r>
  <r>
    <x v="1837"/>
    <d v="2025-05-10T00:00:00"/>
    <s v="High Street"/>
    <s v="London"/>
    <s v="Croissant"/>
    <s v="Food"/>
    <n v="2"/>
    <n v="2.8"/>
    <s v="Cash"/>
    <s v="C1671"/>
    <n v="5.6"/>
    <s v="Saturday"/>
    <s v="May"/>
    <n v="2025"/>
  </r>
  <r>
    <x v="1838"/>
    <d v="2025-05-10T00:00:00"/>
    <s v="High Street"/>
    <s v="Leeds"/>
    <s v="Croissant"/>
    <s v="Food"/>
    <n v="2"/>
    <n v="2.8"/>
    <s v="Cash"/>
    <s v="C1657"/>
    <n v="5.6"/>
    <s v="Saturday"/>
    <s v="May"/>
    <n v="2025"/>
  </r>
  <r>
    <x v="1839"/>
    <d v="2025-05-10T00:00:00"/>
    <s v="Central"/>
    <s v="Manchester"/>
    <s v="Espresso"/>
    <s v="Drink"/>
    <n v="2"/>
    <n v="2.5"/>
    <s v="Card"/>
    <s v="C1316"/>
    <n v="5"/>
    <s v="Saturday"/>
    <s v="May"/>
    <n v="2025"/>
  </r>
  <r>
    <x v="1840"/>
    <d v="2025-05-10T00:00:00"/>
    <s v="Riverside"/>
    <s v="Leeds"/>
    <s v="Cappuccino"/>
    <s v="Drink"/>
    <n v="1"/>
    <n v="3.8"/>
    <s v="Card"/>
    <s v="C1201"/>
    <n v="3.8"/>
    <s v="Saturday"/>
    <s v="May"/>
    <n v="2025"/>
  </r>
  <r>
    <x v="1841"/>
    <d v="2025-05-10T00:00:00"/>
    <s v="Central"/>
    <s v="Bristol"/>
    <s v="Cappuccino"/>
    <s v="Drink"/>
    <n v="1"/>
    <n v="3.8"/>
    <s v="Apple Pay"/>
    <s v="C1341"/>
    <n v="3.8"/>
    <s v="Saturday"/>
    <s v="May"/>
    <n v="2025"/>
  </r>
  <r>
    <x v="1842"/>
    <d v="2025-05-10T00:00:00"/>
    <s v="Riverside"/>
    <s v="Leeds"/>
    <s v="Croissant"/>
    <s v="Food"/>
    <n v="1"/>
    <n v="2.8"/>
    <s v="Cash"/>
    <s v="C1142"/>
    <n v="2.8"/>
    <s v="Saturday"/>
    <s v="May"/>
    <n v="2025"/>
  </r>
  <r>
    <x v="1843"/>
    <d v="2025-05-10T00:00:00"/>
    <s v="Station"/>
    <s v="Birmingham"/>
    <s v="Muffin"/>
    <s v="Food"/>
    <n v="1"/>
    <n v="2.2000000000000002"/>
    <s v="Apple Pay"/>
    <s v="C1538"/>
    <n v="2.2000000000000002"/>
    <s v="Saturday"/>
    <s v="May"/>
    <n v="2025"/>
  </r>
  <r>
    <x v="1844"/>
    <d v="2025-05-11T00:00:00"/>
    <s v="High Street"/>
    <s v="Manchester"/>
    <s v="Cappuccino"/>
    <s v="Drink"/>
    <n v="5"/>
    <n v="3.8"/>
    <s v="Cash"/>
    <s v="C1022"/>
    <n v="19"/>
    <s v="Sunday"/>
    <s v="May"/>
    <n v="2025"/>
  </r>
  <r>
    <x v="1845"/>
    <d v="2025-05-11T00:00:00"/>
    <s v="Central"/>
    <s v="Leeds"/>
    <s v="Latte"/>
    <s v="Drink"/>
    <n v="5"/>
    <n v="3.5"/>
    <s v="Card"/>
    <s v="C1502"/>
    <n v="17.5"/>
    <s v="Sunday"/>
    <s v="May"/>
    <n v="2025"/>
  </r>
  <r>
    <x v="1846"/>
    <d v="2025-05-11T00:00:00"/>
    <s v="High Street"/>
    <s v="London"/>
    <s v="Croissant"/>
    <s v="Food"/>
    <n v="5"/>
    <n v="2.8"/>
    <s v="Apple Pay"/>
    <s v="C1590"/>
    <n v="14"/>
    <s v="Sunday"/>
    <s v="May"/>
    <n v="2025"/>
  </r>
  <r>
    <x v="1847"/>
    <d v="2025-05-11T00:00:00"/>
    <s v="High Street"/>
    <s v="Bristol"/>
    <s v="Espresso"/>
    <s v="Drink"/>
    <n v="4"/>
    <n v="2.5"/>
    <s v="Apple Pay"/>
    <s v="C1869"/>
    <n v="10"/>
    <s v="Sunday"/>
    <s v="May"/>
    <n v="2025"/>
  </r>
  <r>
    <x v="1848"/>
    <d v="2025-05-11T00:00:00"/>
    <s v="Station"/>
    <s v="Leeds"/>
    <s v="Muffin"/>
    <s v="Food"/>
    <n v="4"/>
    <n v="2.2000000000000002"/>
    <s v="Cash"/>
    <s v="C1197"/>
    <n v="8.8000000000000007"/>
    <s v="Sunday"/>
    <s v="May"/>
    <n v="2025"/>
  </r>
  <r>
    <x v="1849"/>
    <d v="2025-05-11T00:00:00"/>
    <s v="Riverside"/>
    <s v="London"/>
    <s v="Cappuccino"/>
    <s v="Drink"/>
    <n v="2"/>
    <n v="3.8"/>
    <s v="Card"/>
    <s v="C1390"/>
    <n v="7.6"/>
    <s v="Sunday"/>
    <s v="May"/>
    <n v="2025"/>
  </r>
  <r>
    <x v="1850"/>
    <d v="2025-05-11T00:00:00"/>
    <s v="Station"/>
    <s v="London"/>
    <s v="Muffin"/>
    <s v="Food"/>
    <n v="3"/>
    <n v="2.2000000000000002"/>
    <s v="Cash"/>
    <s v="C1386"/>
    <n v="6.6000000000000005"/>
    <s v="Sunday"/>
    <s v="May"/>
    <n v="2025"/>
  </r>
  <r>
    <x v="1851"/>
    <d v="2025-05-11T00:00:00"/>
    <s v="Riverside"/>
    <s v="Bristol"/>
    <s v="Latte"/>
    <s v="Drink"/>
    <n v="1"/>
    <n v="3.5"/>
    <s v="Cash"/>
    <s v="C1210"/>
    <n v="3.5"/>
    <s v="Sunday"/>
    <s v="May"/>
    <n v="2025"/>
  </r>
  <r>
    <x v="1852"/>
    <d v="2025-05-11T00:00:00"/>
    <s v="Central"/>
    <s v="Bristol"/>
    <s v="Latte"/>
    <s v="Drink"/>
    <n v="1"/>
    <n v="3.5"/>
    <s v="Cash"/>
    <s v="C1535"/>
    <n v="3.5"/>
    <s v="Sunday"/>
    <s v="May"/>
    <n v="2025"/>
  </r>
  <r>
    <x v="1853"/>
    <d v="2025-05-11T00:00:00"/>
    <s v="High Street"/>
    <s v="Birmingham"/>
    <s v="Muffin"/>
    <s v="Food"/>
    <n v="1"/>
    <n v="2.2000000000000002"/>
    <s v="Apple Pay"/>
    <s v="C1961"/>
    <n v="2.2000000000000002"/>
    <s v="Sunday"/>
    <s v="May"/>
    <n v="2025"/>
  </r>
  <r>
    <x v="1854"/>
    <d v="2025-05-12T00:00:00"/>
    <s v="Riverside"/>
    <s v="London"/>
    <s v="Cappuccino"/>
    <s v="Drink"/>
    <n v="4"/>
    <n v="3.8"/>
    <s v="Apple Pay"/>
    <s v="C1234"/>
    <n v="15.2"/>
    <s v="Monday"/>
    <s v="May"/>
    <n v="2025"/>
  </r>
  <r>
    <x v="1855"/>
    <d v="2025-05-12T00:00:00"/>
    <s v="High Street"/>
    <s v="Birmingham"/>
    <s v="Latte"/>
    <s v="Drink"/>
    <n v="4"/>
    <n v="3.5"/>
    <s v="Cash"/>
    <s v="C1016"/>
    <n v="14"/>
    <s v="Monday"/>
    <s v="May"/>
    <n v="2025"/>
  </r>
  <r>
    <x v="1856"/>
    <d v="2025-05-12T00:00:00"/>
    <s v="Station"/>
    <s v="Birmingham"/>
    <s v="Espresso"/>
    <s v="Drink"/>
    <n v="5"/>
    <n v="2.5"/>
    <s v="Apple Pay"/>
    <s v="C1342"/>
    <n v="12.5"/>
    <s v="Monday"/>
    <s v="May"/>
    <n v="2025"/>
  </r>
  <r>
    <x v="1857"/>
    <d v="2025-05-12T00:00:00"/>
    <s v="Station"/>
    <s v="Bristol"/>
    <s v="Cappuccino"/>
    <s v="Drink"/>
    <n v="3"/>
    <n v="3.8"/>
    <s v="Card"/>
    <s v="C1969"/>
    <n v="11.399999999999999"/>
    <s v="Monday"/>
    <s v="May"/>
    <n v="2025"/>
  </r>
  <r>
    <x v="1858"/>
    <d v="2025-05-12T00:00:00"/>
    <s v="High Street"/>
    <s v="Birmingham"/>
    <s v="Croissant"/>
    <s v="Food"/>
    <n v="4"/>
    <n v="2.8"/>
    <s v="Cash"/>
    <s v="C1701"/>
    <n v="11.2"/>
    <s v="Monday"/>
    <s v="May"/>
    <n v="2025"/>
  </r>
  <r>
    <x v="1859"/>
    <d v="2025-05-12T00:00:00"/>
    <s v="Central"/>
    <s v="London"/>
    <s v="Muffin"/>
    <s v="Food"/>
    <n v="5"/>
    <n v="2.2000000000000002"/>
    <s v="Apple Pay"/>
    <s v="C1156"/>
    <n v="11"/>
    <s v="Monday"/>
    <s v="May"/>
    <n v="2025"/>
  </r>
  <r>
    <x v="1860"/>
    <d v="2025-05-12T00:00:00"/>
    <s v="High Street"/>
    <s v="London"/>
    <s v="Latte"/>
    <s v="Drink"/>
    <n v="3"/>
    <n v="3.5"/>
    <s v="Cash"/>
    <s v="C1546"/>
    <n v="10.5"/>
    <s v="Monday"/>
    <s v="May"/>
    <n v="2025"/>
  </r>
  <r>
    <x v="1861"/>
    <d v="2025-05-12T00:00:00"/>
    <s v="Central"/>
    <s v="London"/>
    <s v="Muffin"/>
    <s v="Food"/>
    <n v="4"/>
    <n v="2.2000000000000002"/>
    <s v="Card"/>
    <s v="C1697"/>
    <n v="8.8000000000000007"/>
    <s v="Monday"/>
    <s v="May"/>
    <n v="2025"/>
  </r>
  <r>
    <x v="1862"/>
    <d v="2025-05-12T00:00:00"/>
    <s v="Central"/>
    <s v="Manchester"/>
    <s v="Muffin"/>
    <s v="Food"/>
    <n v="4"/>
    <n v="2.2000000000000002"/>
    <s v="Apple Pay"/>
    <s v="C1269"/>
    <n v="8.8000000000000007"/>
    <s v="Monday"/>
    <s v="May"/>
    <n v="2025"/>
  </r>
  <r>
    <x v="1863"/>
    <d v="2025-05-12T00:00:00"/>
    <s v="Central"/>
    <s v="London"/>
    <s v="Croissant"/>
    <s v="Food"/>
    <n v="3"/>
    <n v="2.8"/>
    <s v="Apple Pay"/>
    <s v="C1253"/>
    <n v="8.3999999999999986"/>
    <s v="Monday"/>
    <s v="May"/>
    <n v="2025"/>
  </r>
  <r>
    <x v="1864"/>
    <d v="2025-05-12T00:00:00"/>
    <s v="Riverside"/>
    <s v="Leeds"/>
    <s v="Croissant"/>
    <s v="Food"/>
    <n v="3"/>
    <n v="2.8"/>
    <s v="Cash"/>
    <s v="C1472"/>
    <n v="8.3999999999999986"/>
    <s v="Monday"/>
    <s v="May"/>
    <n v="2025"/>
  </r>
  <r>
    <x v="1865"/>
    <d v="2025-05-12T00:00:00"/>
    <s v="Station"/>
    <s v="Bristol"/>
    <s v="Espresso"/>
    <s v="Drink"/>
    <n v="3"/>
    <n v="2.5"/>
    <s v="Apple Pay"/>
    <s v="C1035"/>
    <n v="7.5"/>
    <s v="Monday"/>
    <s v="May"/>
    <n v="2025"/>
  </r>
  <r>
    <x v="1866"/>
    <d v="2025-05-12T00:00:00"/>
    <s v="Central"/>
    <s v="London"/>
    <s v="Muffin"/>
    <s v="Food"/>
    <n v="2"/>
    <n v="2.2000000000000002"/>
    <s v="Apple Pay"/>
    <s v="C1667"/>
    <n v="4.4000000000000004"/>
    <s v="Monday"/>
    <s v="May"/>
    <n v="2025"/>
  </r>
  <r>
    <x v="1867"/>
    <d v="2025-05-12T00:00:00"/>
    <s v="High Street"/>
    <s v="Birmingham"/>
    <s v="Cappuccino"/>
    <s v="Drink"/>
    <n v="1"/>
    <n v="3.8"/>
    <s v="Cash"/>
    <s v="C1787"/>
    <n v="3.8"/>
    <s v="Monday"/>
    <s v="May"/>
    <n v="2025"/>
  </r>
  <r>
    <x v="1868"/>
    <d v="2025-05-12T00:00:00"/>
    <s v="Riverside"/>
    <s v="Birmingham"/>
    <s v="Latte"/>
    <s v="Drink"/>
    <n v="1"/>
    <n v="3.5"/>
    <s v="Card"/>
    <s v="C1484"/>
    <n v="3.5"/>
    <s v="Monday"/>
    <s v="May"/>
    <n v="2025"/>
  </r>
  <r>
    <x v="1869"/>
    <d v="2025-05-12T00:00:00"/>
    <s v="High Street"/>
    <s v="London"/>
    <s v="Espresso"/>
    <s v="Drink"/>
    <n v="1"/>
    <n v="2.5"/>
    <s v="Apple Pay"/>
    <s v="C1266"/>
    <n v="2.5"/>
    <s v="Monday"/>
    <s v="May"/>
    <n v="2025"/>
  </r>
  <r>
    <x v="1870"/>
    <d v="2025-05-12T00:00:00"/>
    <s v="Riverside"/>
    <s v="Manchester"/>
    <s v="Muffin"/>
    <s v="Food"/>
    <n v="1"/>
    <n v="2.2000000000000002"/>
    <s v="Apple Pay"/>
    <s v="C1659"/>
    <n v="2.2000000000000002"/>
    <s v="Monday"/>
    <s v="May"/>
    <n v="2025"/>
  </r>
  <r>
    <x v="1871"/>
    <d v="2025-05-13T00:00:00"/>
    <s v="Riverside"/>
    <s v="Manchester"/>
    <s v="Cappuccino"/>
    <s v="Drink"/>
    <n v="5"/>
    <n v="3.8"/>
    <s v="Cash"/>
    <s v="C1897"/>
    <n v="19"/>
    <s v="Tuesday"/>
    <s v="May"/>
    <n v="2025"/>
  </r>
  <r>
    <x v="1872"/>
    <d v="2025-05-13T00:00:00"/>
    <s v="Riverside"/>
    <s v="Bristol"/>
    <s v="Latte"/>
    <s v="Drink"/>
    <n v="5"/>
    <n v="3.5"/>
    <s v="Card"/>
    <s v="C1442"/>
    <n v="17.5"/>
    <s v="Tuesday"/>
    <s v="May"/>
    <n v="2025"/>
  </r>
  <r>
    <x v="1873"/>
    <d v="2025-05-13T00:00:00"/>
    <s v="Station"/>
    <s v="Manchester"/>
    <s v="Cappuccino"/>
    <s v="Drink"/>
    <n v="4"/>
    <n v="3.8"/>
    <s v="Card"/>
    <s v="C1809"/>
    <n v="15.2"/>
    <s v="Tuesday"/>
    <s v="May"/>
    <n v="2025"/>
  </r>
  <r>
    <x v="1874"/>
    <d v="2025-05-13T00:00:00"/>
    <s v="Central"/>
    <s v="Bristol"/>
    <s v="Espresso"/>
    <s v="Drink"/>
    <n v="3"/>
    <n v="2.5"/>
    <s v="Cash"/>
    <s v="C1598"/>
    <n v="7.5"/>
    <s v="Tuesday"/>
    <s v="May"/>
    <n v="2025"/>
  </r>
  <r>
    <x v="1875"/>
    <d v="2025-05-13T00:00:00"/>
    <s v="Central"/>
    <s v="Leeds"/>
    <s v="Latte"/>
    <s v="Drink"/>
    <n v="2"/>
    <n v="3.5"/>
    <s v="Apple Pay"/>
    <s v="C1705"/>
    <n v="7"/>
    <s v="Tuesday"/>
    <s v="May"/>
    <n v="2025"/>
  </r>
  <r>
    <x v="1876"/>
    <d v="2025-05-13T00:00:00"/>
    <s v="Station"/>
    <s v="Leeds"/>
    <s v="Latte"/>
    <s v="Drink"/>
    <n v="2"/>
    <n v="3.5"/>
    <s v="Card"/>
    <s v="C1118"/>
    <n v="7"/>
    <s v="Tuesday"/>
    <s v="May"/>
    <n v="2025"/>
  </r>
  <r>
    <x v="1877"/>
    <d v="2025-05-13T00:00:00"/>
    <s v="Riverside"/>
    <s v="Bristol"/>
    <s v="Latte"/>
    <s v="Drink"/>
    <n v="2"/>
    <n v="3.5"/>
    <s v="Apple Pay"/>
    <s v="C1341"/>
    <n v="7"/>
    <s v="Tuesday"/>
    <s v="May"/>
    <n v="2025"/>
  </r>
  <r>
    <x v="1878"/>
    <d v="2025-05-13T00:00:00"/>
    <s v="Riverside"/>
    <s v="Birmingham"/>
    <s v="Latte"/>
    <s v="Drink"/>
    <n v="2"/>
    <n v="3.5"/>
    <s v="Card"/>
    <s v="C1483"/>
    <n v="7"/>
    <s v="Tuesday"/>
    <s v="May"/>
    <n v="2025"/>
  </r>
  <r>
    <x v="1879"/>
    <d v="2025-05-13T00:00:00"/>
    <s v="Riverside"/>
    <s v="Manchester"/>
    <s v="Muffin"/>
    <s v="Food"/>
    <n v="3"/>
    <n v="2.2000000000000002"/>
    <s v="Card"/>
    <s v="C1351"/>
    <n v="6.6000000000000005"/>
    <s v="Tuesday"/>
    <s v="May"/>
    <n v="2025"/>
  </r>
  <r>
    <x v="1880"/>
    <d v="2025-05-13T00:00:00"/>
    <s v="Central"/>
    <s v="London"/>
    <s v="Espresso"/>
    <s v="Drink"/>
    <n v="2"/>
    <n v="2.5"/>
    <s v="Apple Pay"/>
    <s v="C1448"/>
    <n v="5"/>
    <s v="Tuesday"/>
    <s v="May"/>
    <n v="2025"/>
  </r>
  <r>
    <x v="1881"/>
    <d v="2025-05-13T00:00:00"/>
    <s v="Riverside"/>
    <s v="London"/>
    <s v="Espresso"/>
    <s v="Drink"/>
    <n v="2"/>
    <n v="2.5"/>
    <s v="Card"/>
    <s v="C1380"/>
    <n v="5"/>
    <s v="Tuesday"/>
    <s v="May"/>
    <n v="2025"/>
  </r>
  <r>
    <x v="1882"/>
    <d v="2025-05-13T00:00:00"/>
    <s v="High Street"/>
    <s v="Manchester"/>
    <s v="Muffin"/>
    <s v="Food"/>
    <n v="2"/>
    <n v="2.2000000000000002"/>
    <s v="Card"/>
    <s v="C1709"/>
    <n v="4.4000000000000004"/>
    <s v="Tuesday"/>
    <s v="May"/>
    <n v="2025"/>
  </r>
  <r>
    <x v="1883"/>
    <d v="2025-05-13T00:00:00"/>
    <s v="Riverside"/>
    <s v="Manchester"/>
    <s v="Cappuccino"/>
    <s v="Drink"/>
    <n v="1"/>
    <n v="3.8"/>
    <s v="Cash"/>
    <s v="C1441"/>
    <n v="3.8"/>
    <s v="Tuesday"/>
    <s v="May"/>
    <n v="2025"/>
  </r>
  <r>
    <x v="1884"/>
    <d v="2025-05-13T00:00:00"/>
    <s v="High Street"/>
    <s v="Leeds"/>
    <s v="Croissant"/>
    <s v="Food"/>
    <n v="1"/>
    <n v="2.8"/>
    <s v="Cash"/>
    <s v="C1193"/>
    <n v="2.8"/>
    <s v="Tuesday"/>
    <s v="May"/>
    <n v="2025"/>
  </r>
  <r>
    <x v="1885"/>
    <d v="2025-05-13T00:00:00"/>
    <s v="Station"/>
    <s v="Bristol"/>
    <s v="Espresso"/>
    <s v="Drink"/>
    <n v="1"/>
    <n v="2.5"/>
    <s v="Cash"/>
    <s v="C1491"/>
    <n v="2.5"/>
    <s v="Tuesday"/>
    <s v="May"/>
    <n v="2025"/>
  </r>
  <r>
    <x v="1886"/>
    <d v="2025-05-13T00:00:00"/>
    <s v="Station"/>
    <s v="Leeds"/>
    <s v="Muffin"/>
    <s v="Food"/>
    <n v="1"/>
    <n v="2.2000000000000002"/>
    <s v="Card"/>
    <s v="C1412"/>
    <n v="2.2000000000000002"/>
    <s v="Tuesday"/>
    <s v="May"/>
    <n v="2025"/>
  </r>
  <r>
    <x v="1887"/>
    <d v="2025-05-14T00:00:00"/>
    <s v="High Street"/>
    <s v="Manchester"/>
    <s v="Cappuccino"/>
    <s v="Drink"/>
    <n v="5"/>
    <n v="3.8"/>
    <s v="Card"/>
    <s v="C1980"/>
    <n v="19"/>
    <s v="Wednesday"/>
    <s v="May"/>
    <n v="2025"/>
  </r>
  <r>
    <x v="1888"/>
    <d v="2025-05-14T00:00:00"/>
    <s v="Station"/>
    <s v="Birmingham"/>
    <s v="Cappuccino"/>
    <s v="Drink"/>
    <n v="5"/>
    <n v="3.8"/>
    <s v="Card"/>
    <s v="C1538"/>
    <n v="19"/>
    <s v="Wednesday"/>
    <s v="May"/>
    <n v="2025"/>
  </r>
  <r>
    <x v="1889"/>
    <d v="2025-05-14T00:00:00"/>
    <s v="Riverside"/>
    <s v="Manchester"/>
    <s v="Cappuccino"/>
    <s v="Drink"/>
    <n v="5"/>
    <n v="3.8"/>
    <s v="Card"/>
    <s v="C1171"/>
    <n v="19"/>
    <s v="Wednesday"/>
    <s v="May"/>
    <n v="2025"/>
  </r>
  <r>
    <x v="1890"/>
    <d v="2025-05-14T00:00:00"/>
    <s v="Station"/>
    <s v="Manchester"/>
    <s v="Cappuccino"/>
    <s v="Drink"/>
    <n v="5"/>
    <n v="3.8"/>
    <s v="Cash"/>
    <s v="C1514"/>
    <n v="19"/>
    <s v="Wednesday"/>
    <s v="May"/>
    <n v="2025"/>
  </r>
  <r>
    <x v="1891"/>
    <d v="2025-05-14T00:00:00"/>
    <s v="High Street"/>
    <s v="Birmingham"/>
    <s v="Cappuccino"/>
    <s v="Drink"/>
    <n v="2"/>
    <n v="3.8"/>
    <s v="Cash"/>
    <s v="C1883"/>
    <n v="7.6"/>
    <s v="Wednesday"/>
    <s v="May"/>
    <n v="2025"/>
  </r>
  <r>
    <x v="1892"/>
    <d v="2025-05-14T00:00:00"/>
    <s v="High Street"/>
    <s v="Leeds"/>
    <s v="Muffin"/>
    <s v="Food"/>
    <n v="3"/>
    <n v="2.2000000000000002"/>
    <s v="Apple Pay"/>
    <s v="C1274"/>
    <n v="6.6000000000000005"/>
    <s v="Wednesday"/>
    <s v="May"/>
    <n v="2025"/>
  </r>
  <r>
    <x v="1893"/>
    <d v="2025-05-14T00:00:00"/>
    <s v="High Street"/>
    <s v="London"/>
    <s v="Muffin"/>
    <s v="Food"/>
    <n v="3"/>
    <n v="2.2000000000000002"/>
    <s v="Cash"/>
    <s v="C1143"/>
    <n v="6.6000000000000005"/>
    <s v="Wednesday"/>
    <s v="May"/>
    <n v="2025"/>
  </r>
  <r>
    <x v="1894"/>
    <d v="2025-05-14T00:00:00"/>
    <s v="High Street"/>
    <s v="London"/>
    <s v="Croissant"/>
    <s v="Food"/>
    <n v="2"/>
    <n v="2.8"/>
    <s v="Cash"/>
    <s v="C1443"/>
    <n v="5.6"/>
    <s v="Wednesday"/>
    <s v="May"/>
    <n v="2025"/>
  </r>
  <r>
    <x v="1895"/>
    <d v="2025-05-14T00:00:00"/>
    <s v="Riverside"/>
    <s v="London"/>
    <s v="Cappuccino"/>
    <s v="Drink"/>
    <n v="1"/>
    <n v="3.8"/>
    <s v="Cash"/>
    <s v="C1746"/>
    <n v="3.8"/>
    <s v="Wednesday"/>
    <s v="May"/>
    <n v="2025"/>
  </r>
  <r>
    <x v="1896"/>
    <d v="2025-05-15T00:00:00"/>
    <s v="Riverside"/>
    <s v="Manchester"/>
    <s v="Cappuccino"/>
    <s v="Drink"/>
    <n v="5"/>
    <n v="3.8"/>
    <s v="Card"/>
    <s v="C1960"/>
    <n v="19"/>
    <s v="Thursday"/>
    <s v="May"/>
    <n v="2025"/>
  </r>
  <r>
    <x v="1897"/>
    <d v="2025-05-15T00:00:00"/>
    <s v="Riverside"/>
    <s v="Manchester"/>
    <s v="Cappuccino"/>
    <s v="Drink"/>
    <n v="5"/>
    <n v="3.8"/>
    <s v="Card"/>
    <s v="C1870"/>
    <n v="19"/>
    <s v="Thursday"/>
    <s v="May"/>
    <n v="2025"/>
  </r>
  <r>
    <x v="1898"/>
    <d v="2025-05-15T00:00:00"/>
    <s v="Central"/>
    <s v="Bristol"/>
    <s v="Latte"/>
    <s v="Drink"/>
    <n v="4"/>
    <n v="3.5"/>
    <s v="Apple Pay"/>
    <s v="C1208"/>
    <n v="14"/>
    <s v="Thursday"/>
    <s v="May"/>
    <n v="2025"/>
  </r>
  <r>
    <x v="1899"/>
    <d v="2025-05-15T00:00:00"/>
    <s v="Station"/>
    <s v="Bristol"/>
    <s v="Espresso"/>
    <s v="Drink"/>
    <n v="5"/>
    <n v="2.5"/>
    <s v="Cash"/>
    <s v="C1085"/>
    <n v="12.5"/>
    <s v="Thursday"/>
    <s v="May"/>
    <n v="2025"/>
  </r>
  <r>
    <x v="1900"/>
    <d v="2025-05-15T00:00:00"/>
    <s v="Riverside"/>
    <s v="London"/>
    <s v="Cappuccino"/>
    <s v="Drink"/>
    <n v="3"/>
    <n v="3.8"/>
    <s v="Card"/>
    <s v="C1814"/>
    <n v="11.399999999999999"/>
    <s v="Thursday"/>
    <s v="May"/>
    <n v="2025"/>
  </r>
  <r>
    <x v="1901"/>
    <d v="2025-05-15T00:00:00"/>
    <s v="Central"/>
    <s v="London"/>
    <s v="Cappuccino"/>
    <s v="Drink"/>
    <n v="3"/>
    <n v="3.8"/>
    <s v="Cash"/>
    <s v="C1044"/>
    <n v="11.399999999999999"/>
    <s v="Thursday"/>
    <s v="May"/>
    <n v="2025"/>
  </r>
  <r>
    <x v="1902"/>
    <d v="2025-05-15T00:00:00"/>
    <s v="Station"/>
    <s v="Bristol"/>
    <s v="Espresso"/>
    <s v="Drink"/>
    <n v="4"/>
    <n v="2.5"/>
    <s v="Cash"/>
    <s v="C1825"/>
    <n v="10"/>
    <s v="Thursday"/>
    <s v="May"/>
    <n v="2025"/>
  </r>
  <r>
    <x v="1903"/>
    <d v="2025-05-15T00:00:00"/>
    <s v="Station"/>
    <s v="Bristol"/>
    <s v="Muffin"/>
    <s v="Food"/>
    <n v="4"/>
    <n v="2.2000000000000002"/>
    <s v="Cash"/>
    <s v="C1867"/>
    <n v="8.8000000000000007"/>
    <s v="Thursday"/>
    <s v="May"/>
    <n v="2025"/>
  </r>
  <r>
    <x v="1904"/>
    <d v="2025-05-15T00:00:00"/>
    <s v="Riverside"/>
    <s v="London"/>
    <s v="Cappuccino"/>
    <s v="Drink"/>
    <n v="2"/>
    <n v="3.8"/>
    <s v="Apple Pay"/>
    <s v="C1210"/>
    <n v="7.6"/>
    <s v="Thursday"/>
    <s v="May"/>
    <n v="2025"/>
  </r>
  <r>
    <x v="1905"/>
    <d v="2025-05-15T00:00:00"/>
    <s v="High Street"/>
    <s v="London"/>
    <s v="Croissant"/>
    <s v="Food"/>
    <n v="2"/>
    <n v="2.8"/>
    <s v="Apple Pay"/>
    <s v="C1318"/>
    <n v="5.6"/>
    <s v="Thursday"/>
    <s v="May"/>
    <n v="2025"/>
  </r>
  <r>
    <x v="1906"/>
    <d v="2025-05-15T00:00:00"/>
    <s v="Station"/>
    <s v="Manchester"/>
    <s v="Latte"/>
    <s v="Drink"/>
    <n v="1"/>
    <n v="3.5"/>
    <s v="Cash"/>
    <s v="C1803"/>
    <n v="3.5"/>
    <s v="Thursday"/>
    <s v="May"/>
    <n v="2025"/>
  </r>
  <r>
    <x v="1907"/>
    <d v="2025-05-15T00:00:00"/>
    <s v="High Street"/>
    <s v="Manchester"/>
    <s v="Croissant"/>
    <s v="Food"/>
    <n v="1"/>
    <n v="2.8"/>
    <s v="Cash"/>
    <s v="C1360"/>
    <n v="2.8"/>
    <s v="Thursday"/>
    <s v="May"/>
    <n v="2025"/>
  </r>
  <r>
    <x v="1908"/>
    <d v="2025-05-15T00:00:00"/>
    <s v="Riverside"/>
    <s v="Manchester"/>
    <s v="Croissant"/>
    <s v="Food"/>
    <n v="1"/>
    <n v="2.8"/>
    <s v="Cash"/>
    <s v="C1471"/>
    <n v="2.8"/>
    <s v="Thursday"/>
    <s v="May"/>
    <n v="2025"/>
  </r>
  <r>
    <x v="1909"/>
    <d v="2025-05-15T00:00:00"/>
    <s v="Central"/>
    <s v="Bristol"/>
    <s v="Muffin"/>
    <s v="Food"/>
    <n v="1"/>
    <n v="2.2000000000000002"/>
    <s v="Card"/>
    <s v="C1286"/>
    <n v="2.2000000000000002"/>
    <s v="Thursday"/>
    <s v="May"/>
    <n v="2025"/>
  </r>
  <r>
    <x v="1910"/>
    <d v="2025-05-16T00:00:00"/>
    <s v="Riverside"/>
    <s v="Birmingham"/>
    <s v="Cappuccino"/>
    <s v="Drink"/>
    <n v="5"/>
    <n v="3.8"/>
    <s v="Card"/>
    <s v="C1756"/>
    <n v="19"/>
    <s v="Friday"/>
    <s v="May"/>
    <n v="2025"/>
  </r>
  <r>
    <x v="1911"/>
    <d v="2025-05-16T00:00:00"/>
    <s v="Station"/>
    <s v="Bristol"/>
    <s v="Cappuccino"/>
    <s v="Drink"/>
    <n v="4"/>
    <n v="3.8"/>
    <s v="Apple Pay"/>
    <s v="C1120"/>
    <n v="15.2"/>
    <s v="Friday"/>
    <s v="May"/>
    <n v="2025"/>
  </r>
  <r>
    <x v="1912"/>
    <d v="2025-05-16T00:00:00"/>
    <s v="Riverside"/>
    <s v="Manchester"/>
    <s v="Croissant"/>
    <s v="Food"/>
    <n v="4"/>
    <n v="2.8"/>
    <s v="Apple Pay"/>
    <s v="C1030"/>
    <n v="11.2"/>
    <s v="Friday"/>
    <s v="May"/>
    <n v="2025"/>
  </r>
  <r>
    <x v="1913"/>
    <d v="2025-05-16T00:00:00"/>
    <s v="Station"/>
    <s v="Birmingham"/>
    <s v="Latte"/>
    <s v="Drink"/>
    <n v="3"/>
    <n v="3.5"/>
    <s v="Apple Pay"/>
    <s v="C1383"/>
    <n v="10.5"/>
    <s v="Friday"/>
    <s v="May"/>
    <n v="2025"/>
  </r>
  <r>
    <x v="1914"/>
    <d v="2025-05-16T00:00:00"/>
    <s v="High Street"/>
    <s v="Leeds"/>
    <s v="Muffin"/>
    <s v="Food"/>
    <n v="4"/>
    <n v="2.2000000000000002"/>
    <s v="Cash"/>
    <s v="C1943"/>
    <n v="8.8000000000000007"/>
    <s v="Friday"/>
    <s v="May"/>
    <n v="2025"/>
  </r>
  <r>
    <x v="1915"/>
    <d v="2025-05-16T00:00:00"/>
    <s v="Riverside"/>
    <s v="Leeds"/>
    <s v="Latte"/>
    <s v="Food"/>
    <n v="4"/>
    <n v="2.2000000000000002"/>
    <s v="Card"/>
    <s v="C1704"/>
    <n v="8.8000000000000007"/>
    <s v="Friday"/>
    <s v="May"/>
    <n v="2025"/>
  </r>
  <r>
    <x v="1916"/>
    <d v="2025-05-16T00:00:00"/>
    <s v="Station"/>
    <s v="London"/>
    <s v="Latte"/>
    <s v="Drink"/>
    <n v="2"/>
    <n v="3.5"/>
    <s v="Cash"/>
    <s v="C1097"/>
    <n v="7"/>
    <s v="Friday"/>
    <s v="May"/>
    <n v="2025"/>
  </r>
  <r>
    <x v="1917"/>
    <d v="2025-05-16T00:00:00"/>
    <s v="Central"/>
    <s v="Birmingham"/>
    <s v="Cappuccino"/>
    <s v="Drink"/>
    <n v="1"/>
    <n v="3.8"/>
    <s v="Apple Pay"/>
    <s v="C1996"/>
    <n v="3.8"/>
    <s v="Friday"/>
    <s v="May"/>
    <n v="2025"/>
  </r>
  <r>
    <x v="1918"/>
    <d v="2025-05-17T00:00:00"/>
    <s v="Central"/>
    <s v="Manchester"/>
    <s v="Muffin"/>
    <s v="Food"/>
    <n v="4"/>
    <n v="2.2000000000000002"/>
    <s v="Card"/>
    <s v="C1302"/>
    <n v="8.8000000000000007"/>
    <s v="Saturday"/>
    <s v="May"/>
    <n v="2025"/>
  </r>
  <r>
    <x v="1919"/>
    <d v="2025-05-17T00:00:00"/>
    <s v="High Street"/>
    <s v="Birmingham"/>
    <s v="Muffin"/>
    <s v="Food"/>
    <n v="4"/>
    <n v="2.2000000000000002"/>
    <s v="Cash"/>
    <s v="C1475"/>
    <n v="8.8000000000000007"/>
    <s v="Saturday"/>
    <s v="May"/>
    <n v="2025"/>
  </r>
  <r>
    <x v="1920"/>
    <d v="2025-05-17T00:00:00"/>
    <s v="High Street"/>
    <s v="Leeds"/>
    <s v="Cappuccino"/>
    <s v="Drink"/>
    <n v="2"/>
    <n v="3.8"/>
    <s v="Card"/>
    <s v="C1890"/>
    <n v="7.6"/>
    <s v="Saturday"/>
    <s v="May"/>
    <n v="2025"/>
  </r>
  <r>
    <x v="1921"/>
    <d v="2025-05-17T00:00:00"/>
    <s v="Station"/>
    <s v="Bristol"/>
    <s v="Muffin"/>
    <s v="Food"/>
    <n v="3"/>
    <n v="2.2000000000000002"/>
    <s v="Card"/>
    <s v="C1554"/>
    <n v="6.6000000000000005"/>
    <s v="Saturday"/>
    <s v="May"/>
    <n v="2025"/>
  </r>
  <r>
    <x v="1922"/>
    <d v="2025-05-17T00:00:00"/>
    <s v="Central"/>
    <s v="London"/>
    <s v="Muffin"/>
    <s v="Food"/>
    <n v="3"/>
    <n v="2.2000000000000002"/>
    <s v="Apple Pay"/>
    <s v="C1307"/>
    <n v="6.6000000000000005"/>
    <s v="Saturday"/>
    <s v="May"/>
    <n v="2025"/>
  </r>
  <r>
    <x v="1923"/>
    <d v="2025-05-17T00:00:00"/>
    <s v="High Street"/>
    <s v="Leeds"/>
    <s v="Espresso"/>
    <s v="Drink"/>
    <n v="2"/>
    <n v="2.5"/>
    <s v="Card"/>
    <s v="C1438"/>
    <n v="5"/>
    <s v="Saturday"/>
    <s v="May"/>
    <n v="2025"/>
  </r>
  <r>
    <x v="1924"/>
    <d v="2025-05-17T00:00:00"/>
    <s v="Riverside"/>
    <s v="Birmingham"/>
    <s v="Muffin"/>
    <s v="Food"/>
    <n v="2"/>
    <n v="2.2000000000000002"/>
    <s v="Card"/>
    <s v="C1984"/>
    <n v="4.4000000000000004"/>
    <s v="Saturday"/>
    <s v="May"/>
    <n v="2025"/>
  </r>
  <r>
    <x v="1925"/>
    <d v="2025-05-17T00:00:00"/>
    <s v="Central"/>
    <s v="London"/>
    <s v="Cappuccino"/>
    <s v="Drink"/>
    <n v="1"/>
    <n v="3.8"/>
    <s v="Apple Pay"/>
    <s v="C1425"/>
    <n v="3.8"/>
    <s v="Saturday"/>
    <s v="May"/>
    <n v="2025"/>
  </r>
  <r>
    <x v="1926"/>
    <d v="2025-05-17T00:00:00"/>
    <s v="Station"/>
    <s v="Bristol"/>
    <s v="Latte"/>
    <s v="Drink"/>
    <n v="1"/>
    <n v="3.5"/>
    <s v="Apple Pay"/>
    <s v="C1938"/>
    <n v="3.5"/>
    <s v="Saturday"/>
    <s v="May"/>
    <n v="2025"/>
  </r>
  <r>
    <x v="1927"/>
    <d v="2025-05-17T00:00:00"/>
    <s v="Station"/>
    <s v="Leeds"/>
    <s v="Croissant"/>
    <s v="Food"/>
    <n v="1"/>
    <n v="2.8"/>
    <s v="Cash"/>
    <s v="C1104"/>
    <n v="2.8"/>
    <s v="Saturday"/>
    <s v="May"/>
    <n v="2025"/>
  </r>
  <r>
    <x v="1928"/>
    <d v="2025-05-17T00:00:00"/>
    <s v="Riverside"/>
    <s v="Bristol"/>
    <s v="Muffin"/>
    <s v="Food"/>
    <n v="1"/>
    <n v="2.2000000000000002"/>
    <s v="Apple Pay"/>
    <s v="C1239"/>
    <n v="2.2000000000000002"/>
    <s v="Saturday"/>
    <s v="May"/>
    <n v="2025"/>
  </r>
  <r>
    <x v="1929"/>
    <d v="2025-05-17T00:00:00"/>
    <s v="Riverside"/>
    <s v="London"/>
    <s v="Muffin"/>
    <s v="Food"/>
    <n v="1"/>
    <n v="2.2000000000000002"/>
    <s v="Cash"/>
    <s v="C1501"/>
    <n v="2.2000000000000002"/>
    <s v="Saturday"/>
    <s v="May"/>
    <n v="2025"/>
  </r>
  <r>
    <x v="1930"/>
    <d v="2025-05-18T00:00:00"/>
    <s v="Central"/>
    <s v="Leeds"/>
    <s v="Croissant"/>
    <s v="Food"/>
    <n v="5"/>
    <n v="2.8"/>
    <s v="Card"/>
    <s v="C1163"/>
    <n v="14"/>
    <s v="Sunday"/>
    <s v="May"/>
    <n v="2025"/>
  </r>
  <r>
    <x v="1931"/>
    <d v="2025-05-18T00:00:00"/>
    <s v="Central"/>
    <s v="Leeds"/>
    <s v="Muffin"/>
    <s v="Food"/>
    <n v="5"/>
    <n v="2.2000000000000002"/>
    <s v="Cash"/>
    <s v="C1282"/>
    <n v="11"/>
    <s v="Sunday"/>
    <s v="May"/>
    <n v="2025"/>
  </r>
  <r>
    <x v="1932"/>
    <d v="2025-05-18T00:00:00"/>
    <s v="High Street"/>
    <s v="Bristol"/>
    <s v="Latte"/>
    <s v="Drink"/>
    <n v="3"/>
    <n v="3.5"/>
    <s v="Cash"/>
    <s v="C1576"/>
    <n v="10.5"/>
    <s v="Sunday"/>
    <s v="May"/>
    <n v="2025"/>
  </r>
  <r>
    <x v="1933"/>
    <d v="2025-05-18T00:00:00"/>
    <s v="High Street"/>
    <s v="Bristol"/>
    <s v="Latte"/>
    <s v="Drink"/>
    <n v="3"/>
    <n v="3.5"/>
    <s v="Cash"/>
    <s v="C1842"/>
    <n v="10.5"/>
    <s v="Sunday"/>
    <s v="May"/>
    <n v="2025"/>
  </r>
  <r>
    <x v="1934"/>
    <d v="2025-05-18T00:00:00"/>
    <s v="Central"/>
    <s v="Leeds"/>
    <s v="Espresso"/>
    <s v="Drink"/>
    <n v="4"/>
    <n v="2.5"/>
    <s v="Card"/>
    <s v="C1199"/>
    <n v="10"/>
    <s v="Sunday"/>
    <s v="May"/>
    <n v="2025"/>
  </r>
  <r>
    <x v="1935"/>
    <d v="2025-05-18T00:00:00"/>
    <s v="Central"/>
    <s v="Birmingham"/>
    <s v="Croissant"/>
    <s v="Food"/>
    <n v="3"/>
    <n v="2.8"/>
    <s v="Cash"/>
    <s v="C1368"/>
    <n v="8.3999999999999986"/>
    <s v="Sunday"/>
    <s v="May"/>
    <n v="2025"/>
  </r>
  <r>
    <x v="1936"/>
    <d v="2025-05-18T00:00:00"/>
    <s v="High Street"/>
    <s v="London"/>
    <s v="Croissant"/>
    <s v="Food"/>
    <n v="3"/>
    <n v="2.8"/>
    <s v="Card"/>
    <s v="C1050"/>
    <n v="8.3999999999999986"/>
    <s v="Sunday"/>
    <s v="May"/>
    <n v="2025"/>
  </r>
  <r>
    <x v="1937"/>
    <d v="2025-05-18T00:00:00"/>
    <s v="High Street"/>
    <s v="Leeds"/>
    <s v="Espresso"/>
    <s v="Drink"/>
    <n v="3"/>
    <n v="2.5"/>
    <s v="Apple Pay"/>
    <s v="C1482"/>
    <n v="7.5"/>
    <s v="Sunday"/>
    <s v="May"/>
    <n v="2025"/>
  </r>
  <r>
    <x v="1938"/>
    <d v="2025-05-18T00:00:00"/>
    <s v="Central"/>
    <s v="Bristol"/>
    <s v="Muffin"/>
    <s v="Food"/>
    <n v="3"/>
    <n v="2.2000000000000002"/>
    <s v="Card"/>
    <s v="C1999"/>
    <n v="6.6000000000000005"/>
    <s v="Sunday"/>
    <s v="May"/>
    <n v="2025"/>
  </r>
  <r>
    <x v="1939"/>
    <d v="2025-05-18T00:00:00"/>
    <s v="High Street"/>
    <s v="Leeds"/>
    <s v="Cappuccino"/>
    <s v="Drink"/>
    <n v="1"/>
    <n v="3.8"/>
    <s v="Cash"/>
    <s v="C1007"/>
    <n v="3.8"/>
    <s v="Sunday"/>
    <s v="May"/>
    <n v="2025"/>
  </r>
  <r>
    <x v="1940"/>
    <d v="2025-05-18T00:00:00"/>
    <s v="Station"/>
    <s v="Manchester"/>
    <s v="Muffin"/>
    <s v="Food"/>
    <n v="1"/>
    <n v="2.2000000000000002"/>
    <s v="Card"/>
    <s v="C1216"/>
    <n v="2.2000000000000002"/>
    <s v="Sunday"/>
    <s v="May"/>
    <n v="2025"/>
  </r>
  <r>
    <x v="1941"/>
    <d v="2025-05-19T00:00:00"/>
    <s v="Central"/>
    <s v="London"/>
    <s v="Latte"/>
    <s v="Drink"/>
    <n v="3"/>
    <n v="3.5"/>
    <s v="Card"/>
    <s v="C1214"/>
    <n v="10.5"/>
    <s v="Monday"/>
    <s v="May"/>
    <n v="2025"/>
  </r>
  <r>
    <x v="1942"/>
    <d v="2025-05-19T00:00:00"/>
    <s v="Central"/>
    <s v="Leeds"/>
    <s v="Latte"/>
    <s v="Drink"/>
    <n v="3"/>
    <n v="3.5"/>
    <s v="Card"/>
    <s v="C1519"/>
    <n v="10.5"/>
    <s v="Monday"/>
    <s v="May"/>
    <n v="2025"/>
  </r>
  <r>
    <x v="1943"/>
    <d v="2025-05-19T00:00:00"/>
    <s v="Central"/>
    <s v="London"/>
    <s v="Latte"/>
    <s v="Drink"/>
    <n v="3"/>
    <n v="3.5"/>
    <s v="Card"/>
    <s v="C1554"/>
    <n v="10.5"/>
    <s v="Monday"/>
    <s v="May"/>
    <n v="2025"/>
  </r>
  <r>
    <x v="1944"/>
    <d v="2025-05-19T00:00:00"/>
    <s v="High Street"/>
    <s v="Birmingham"/>
    <s v="Muffin"/>
    <s v="Food"/>
    <n v="4"/>
    <n v="2.2000000000000002"/>
    <s v="Apple Pay"/>
    <s v="C1508"/>
    <n v="8.8000000000000007"/>
    <s v="Monday"/>
    <s v="May"/>
    <n v="2025"/>
  </r>
  <r>
    <x v="1945"/>
    <d v="2025-05-19T00:00:00"/>
    <s v="Station"/>
    <s v="Bristol"/>
    <s v="Cappuccino"/>
    <s v="Drink"/>
    <n v="2"/>
    <n v="3.8"/>
    <s v="Apple Pay"/>
    <s v="C1405"/>
    <n v="7.6"/>
    <s v="Monday"/>
    <s v="May"/>
    <n v="2025"/>
  </r>
  <r>
    <x v="1946"/>
    <d v="2025-05-19T00:00:00"/>
    <s v="Central"/>
    <s v="Leeds"/>
    <s v="Espresso"/>
    <s v="Drink"/>
    <n v="3"/>
    <n v="2.5"/>
    <s v="Card"/>
    <s v="C1672"/>
    <n v="7.5"/>
    <s v="Monday"/>
    <s v="May"/>
    <n v="2025"/>
  </r>
  <r>
    <x v="1947"/>
    <d v="2025-05-19T00:00:00"/>
    <s v="Central"/>
    <s v="London"/>
    <s v="Cappuccino"/>
    <s v="Drink"/>
    <n v="1"/>
    <n v="3.8"/>
    <s v="Apple Pay"/>
    <s v="C1860"/>
    <n v="3.8"/>
    <s v="Monday"/>
    <s v="May"/>
    <n v="2025"/>
  </r>
  <r>
    <x v="1948"/>
    <d v="2025-05-20T00:00:00"/>
    <s v="Station"/>
    <s v="Leeds"/>
    <s v="Cappuccino"/>
    <s v="Drink"/>
    <n v="4"/>
    <n v="3.8"/>
    <s v="Cash"/>
    <s v="C1481"/>
    <n v="15.2"/>
    <s v="Tuesday"/>
    <s v="May"/>
    <n v="2025"/>
  </r>
  <r>
    <x v="1949"/>
    <d v="2025-05-20T00:00:00"/>
    <s v="High Street"/>
    <s v="Manchester"/>
    <s v="Cappuccino"/>
    <s v="Drink"/>
    <n v="3"/>
    <n v="3.8"/>
    <s v="Card"/>
    <s v="C1262"/>
    <n v="11.399999999999999"/>
    <s v="Tuesday"/>
    <s v="May"/>
    <n v="2025"/>
  </r>
  <r>
    <x v="1950"/>
    <d v="2025-05-20T00:00:00"/>
    <s v="Riverside"/>
    <s v="Manchester"/>
    <s v="Croissant"/>
    <s v="Food"/>
    <n v="4"/>
    <n v="2.8"/>
    <s v="Cash"/>
    <s v="C1454"/>
    <n v="11.2"/>
    <s v="Tuesday"/>
    <s v="May"/>
    <n v="2025"/>
  </r>
  <r>
    <x v="1951"/>
    <d v="2025-05-20T00:00:00"/>
    <s v="Station"/>
    <s v="London"/>
    <s v="Latte"/>
    <s v="Drink"/>
    <n v="3"/>
    <n v="3.5"/>
    <s v="Apple Pay"/>
    <s v="C1383"/>
    <n v="10.5"/>
    <s v="Tuesday"/>
    <s v="May"/>
    <n v="2025"/>
  </r>
  <r>
    <x v="1952"/>
    <d v="2025-05-20T00:00:00"/>
    <s v="Central"/>
    <s v="London"/>
    <s v="Croissant"/>
    <s v="Food"/>
    <n v="3"/>
    <n v="2.8"/>
    <s v="Cash"/>
    <s v="C1005"/>
    <n v="8.3999999999999986"/>
    <s v="Tuesday"/>
    <s v="May"/>
    <n v="2025"/>
  </r>
  <r>
    <x v="1953"/>
    <d v="2025-05-20T00:00:00"/>
    <s v="Riverside"/>
    <s v="London"/>
    <s v="Cappuccino"/>
    <s v="Drink"/>
    <n v="2"/>
    <n v="3.8"/>
    <s v="Cash"/>
    <s v="C1845"/>
    <n v="7.6"/>
    <s v="Tuesday"/>
    <s v="May"/>
    <n v="2025"/>
  </r>
  <r>
    <x v="1954"/>
    <d v="2025-05-20T00:00:00"/>
    <s v="Central"/>
    <s v="Manchester"/>
    <s v="Latte"/>
    <s v="Drink"/>
    <n v="2"/>
    <n v="3.5"/>
    <s v="Cash"/>
    <s v="C1796"/>
    <n v="7"/>
    <s v="Tuesday"/>
    <s v="May"/>
    <n v="2025"/>
  </r>
  <r>
    <x v="1955"/>
    <d v="2025-05-20T00:00:00"/>
    <s v="Central"/>
    <s v="Leeds"/>
    <s v="Latte"/>
    <s v="Drink"/>
    <n v="2"/>
    <n v="3.5"/>
    <s v="Apple Pay"/>
    <s v="C1132"/>
    <n v="7"/>
    <s v="Tuesday"/>
    <s v="May"/>
    <n v="2025"/>
  </r>
  <r>
    <x v="1956"/>
    <d v="2025-05-20T00:00:00"/>
    <s v="Riverside"/>
    <s v="London"/>
    <s v="Latte"/>
    <s v="Drink"/>
    <n v="2"/>
    <n v="3.5"/>
    <s v="Card"/>
    <s v="C1691"/>
    <n v="7"/>
    <s v="Tuesday"/>
    <s v="May"/>
    <n v="2025"/>
  </r>
  <r>
    <x v="1957"/>
    <d v="2025-05-20T00:00:00"/>
    <s v="Riverside"/>
    <s v="Bristol"/>
    <s v="Muffin"/>
    <s v="Food"/>
    <n v="3"/>
    <n v="2.2000000000000002"/>
    <s v="Cash"/>
    <s v="C1544"/>
    <n v="6.6000000000000005"/>
    <s v="Tuesday"/>
    <s v="May"/>
    <n v="2025"/>
  </r>
  <r>
    <x v="1958"/>
    <d v="2025-05-20T00:00:00"/>
    <s v="Central"/>
    <s v="Bristol"/>
    <s v="Croissant"/>
    <s v="Food"/>
    <n v="1"/>
    <n v="2.8"/>
    <s v="Cash"/>
    <s v="C1868"/>
    <n v="2.8"/>
    <s v="Tuesday"/>
    <s v="May"/>
    <n v="2025"/>
  </r>
  <r>
    <x v="1959"/>
    <d v="2025-05-20T00:00:00"/>
    <s v="Station"/>
    <s v="Leeds"/>
    <s v="Croissant"/>
    <s v="Food"/>
    <n v="1"/>
    <n v="2.8"/>
    <s v="Cash"/>
    <s v="C1321"/>
    <n v="2.8"/>
    <s v="Tuesday"/>
    <s v="May"/>
    <n v="2025"/>
  </r>
  <r>
    <x v="1960"/>
    <d v="2025-05-20T00:00:00"/>
    <s v="Riverside"/>
    <s v="Birmingham"/>
    <s v="Espresso"/>
    <s v="Drink"/>
    <n v="1"/>
    <n v="2.5"/>
    <s v="Apple Pay"/>
    <s v="C1638"/>
    <n v="2.5"/>
    <s v="Tuesday"/>
    <s v="May"/>
    <n v="2025"/>
  </r>
  <r>
    <x v="1961"/>
    <d v="2025-05-20T00:00:00"/>
    <s v="Central"/>
    <s v="Bristol"/>
    <s v="Muffin"/>
    <s v="Food"/>
    <n v="1"/>
    <n v="2.2000000000000002"/>
    <s v="Apple Pay"/>
    <s v="C1705"/>
    <n v="2.2000000000000002"/>
    <s v="Tuesday"/>
    <s v="May"/>
    <n v="2025"/>
  </r>
  <r>
    <x v="1962"/>
    <d v="2025-05-21T00:00:00"/>
    <s v="Station"/>
    <s v="Bristol"/>
    <s v="Croissant"/>
    <s v="Food"/>
    <n v="5"/>
    <n v="2.8"/>
    <s v="Apple Pay"/>
    <s v="C1760"/>
    <n v="14"/>
    <s v="Wednesday"/>
    <s v="May"/>
    <n v="2025"/>
  </r>
  <r>
    <x v="1963"/>
    <d v="2025-05-21T00:00:00"/>
    <s v="Station"/>
    <s v="Leeds"/>
    <s v="Cappuccino"/>
    <s v="Drink"/>
    <n v="3"/>
    <n v="3.8"/>
    <s v="Card"/>
    <s v="C1222"/>
    <n v="11.399999999999999"/>
    <s v="Wednesday"/>
    <s v="May"/>
    <n v="2025"/>
  </r>
  <r>
    <x v="1964"/>
    <d v="2025-05-21T00:00:00"/>
    <s v="Riverside"/>
    <s v="N/A"/>
    <s v="Cappuccino"/>
    <s v="Drink"/>
    <n v="3"/>
    <n v="3.8"/>
    <s v="Apple Pay"/>
    <s v="C1112"/>
    <n v="11.399999999999999"/>
    <s v="Wednesday"/>
    <s v="May"/>
    <n v="2025"/>
  </r>
  <r>
    <x v="1965"/>
    <d v="2025-05-21T00:00:00"/>
    <s v="Riverside"/>
    <s v="London"/>
    <s v="Croissant"/>
    <s v="Food"/>
    <n v="4"/>
    <n v="2.8"/>
    <s v="Apple Pay"/>
    <s v="C1576"/>
    <n v="11.2"/>
    <s v="Wednesday"/>
    <s v="May"/>
    <n v="2025"/>
  </r>
  <r>
    <x v="1966"/>
    <d v="2025-05-21T00:00:00"/>
    <s v="Riverside"/>
    <s v="Bristol"/>
    <s v="Croissant"/>
    <s v="Food"/>
    <n v="4"/>
    <n v="2.8"/>
    <s v="Apple Pay"/>
    <s v="C1203"/>
    <n v="11.2"/>
    <s v="Wednesday"/>
    <s v="May"/>
    <n v="2025"/>
  </r>
  <r>
    <x v="1967"/>
    <d v="2025-05-21T00:00:00"/>
    <s v="Station"/>
    <s v="Birmingham"/>
    <s v="Muffin"/>
    <s v="Food"/>
    <n v="4"/>
    <n v="2.2000000000000002"/>
    <s v="Cash"/>
    <s v="C1003"/>
    <n v="8.8000000000000007"/>
    <s v="Wednesday"/>
    <s v="May"/>
    <n v="2025"/>
  </r>
  <r>
    <x v="1968"/>
    <d v="2025-05-21T00:00:00"/>
    <s v="High Street"/>
    <s v="London"/>
    <s v="Muffin"/>
    <s v="Food"/>
    <n v="4"/>
    <n v="2.2000000000000002"/>
    <s v="Card"/>
    <s v="C1508"/>
    <n v="8.8000000000000007"/>
    <s v="Wednesday"/>
    <s v="May"/>
    <n v="2025"/>
  </r>
  <r>
    <x v="1969"/>
    <d v="2025-05-21T00:00:00"/>
    <s v="High Street"/>
    <s v="Birmingham"/>
    <s v="Croissant"/>
    <s v="Food"/>
    <n v="3"/>
    <n v="2.8"/>
    <s v="Card"/>
    <s v="C1907"/>
    <n v="8.3999999999999986"/>
    <s v="Wednesday"/>
    <s v="May"/>
    <n v="2025"/>
  </r>
  <r>
    <x v="1970"/>
    <d v="2025-05-21T00:00:00"/>
    <s v="Station"/>
    <s v="Birmingham"/>
    <s v="Muffin"/>
    <s v="Food"/>
    <n v="3"/>
    <n v="2.2000000000000002"/>
    <s v="Cash"/>
    <s v="C1538"/>
    <n v="6.6000000000000005"/>
    <s v="Wednesday"/>
    <s v="May"/>
    <n v="2025"/>
  </r>
  <r>
    <x v="1971"/>
    <d v="2025-05-21T00:00:00"/>
    <s v="Station"/>
    <s v="Manchester"/>
    <s v="Espresso"/>
    <s v="Drink"/>
    <n v="2"/>
    <n v="2.5"/>
    <s v="Apple Pay"/>
    <s v="C1500"/>
    <n v="5"/>
    <s v="Wednesday"/>
    <s v="May"/>
    <n v="2025"/>
  </r>
  <r>
    <x v="1972"/>
    <d v="2025-05-21T00:00:00"/>
    <s v="High Street"/>
    <s v="Bristol"/>
    <s v="Espresso"/>
    <s v="Drink"/>
    <n v="2"/>
    <n v="2.5"/>
    <s v="Cash"/>
    <s v="C1214"/>
    <n v="5"/>
    <s v="Wednesday"/>
    <s v="May"/>
    <n v="2025"/>
  </r>
  <r>
    <x v="1973"/>
    <d v="2025-05-21T00:00:00"/>
    <s v="High Street"/>
    <s v="Leeds"/>
    <s v="Muffin"/>
    <s v="Food"/>
    <n v="1"/>
    <n v="2.2000000000000002"/>
    <s v="Apple Pay"/>
    <s v="C1557"/>
    <n v="2.2000000000000002"/>
    <s v="Wednesday"/>
    <s v="May"/>
    <n v="2025"/>
  </r>
  <r>
    <x v="1974"/>
    <d v="2025-05-22T00:00:00"/>
    <s v="Station"/>
    <s v="Leeds"/>
    <s v="Cappuccino"/>
    <s v="Drink"/>
    <n v="5"/>
    <n v="3.8"/>
    <s v="Cash"/>
    <s v="C1510"/>
    <n v="19"/>
    <s v="Thursday"/>
    <s v="May"/>
    <n v="2025"/>
  </r>
  <r>
    <x v="1975"/>
    <d v="2025-05-22T00:00:00"/>
    <s v="Central"/>
    <s v="Birmingham"/>
    <s v="Latte"/>
    <s v="Drink"/>
    <n v="4"/>
    <n v="3.5"/>
    <s v="Apple Pay"/>
    <s v="C1394"/>
    <n v="14"/>
    <s v="Thursday"/>
    <s v="May"/>
    <n v="2025"/>
  </r>
  <r>
    <x v="1976"/>
    <d v="2025-05-22T00:00:00"/>
    <s v="High Street"/>
    <s v="Leeds"/>
    <s v="Cappuccino"/>
    <s v="Drink"/>
    <n v="3"/>
    <n v="3.8"/>
    <s v="Apple Pay"/>
    <s v="C1030"/>
    <n v="11.399999999999999"/>
    <s v="Thursday"/>
    <s v="May"/>
    <n v="2025"/>
  </r>
  <r>
    <x v="1977"/>
    <d v="2025-05-22T00:00:00"/>
    <s v="Station"/>
    <s v="Leeds"/>
    <s v="Espresso"/>
    <s v="Drink"/>
    <n v="4"/>
    <n v="2.5"/>
    <s v="Card"/>
    <s v="C1217"/>
    <n v="10"/>
    <s v="Thursday"/>
    <s v="May"/>
    <n v="2025"/>
  </r>
  <r>
    <x v="1978"/>
    <d v="2025-05-22T00:00:00"/>
    <s v="Central"/>
    <s v="Leeds"/>
    <s v="Cappuccino"/>
    <s v="Drink"/>
    <n v="2"/>
    <n v="3.8"/>
    <s v="Card"/>
    <s v="C1009"/>
    <n v="7.6"/>
    <s v="Thursday"/>
    <s v="May"/>
    <n v="2025"/>
  </r>
  <r>
    <x v="1979"/>
    <d v="2025-05-22T00:00:00"/>
    <s v="Central"/>
    <s v="Manchester"/>
    <s v="Espresso"/>
    <s v="Drink"/>
    <n v="3"/>
    <n v="2.5"/>
    <s v="Cash"/>
    <s v="C1951"/>
    <n v="7.5"/>
    <s v="Thursday"/>
    <s v="May"/>
    <n v="2025"/>
  </r>
  <r>
    <x v="1980"/>
    <d v="2025-05-22T00:00:00"/>
    <s v="Central"/>
    <s v="Bristol"/>
    <s v="Latte"/>
    <s v="Drink"/>
    <n v="2"/>
    <n v="3.5"/>
    <s v="Cash"/>
    <s v="C1280"/>
    <n v="7"/>
    <s v="Thursday"/>
    <s v="May"/>
    <n v="2025"/>
  </r>
  <r>
    <x v="1981"/>
    <d v="2025-05-22T00:00:00"/>
    <s v="Central"/>
    <s v="London"/>
    <s v="Croissant"/>
    <s v="Food"/>
    <n v="1"/>
    <n v="2.8"/>
    <s v="Cash"/>
    <s v="C1703"/>
    <n v="2.8"/>
    <s v="Thursday"/>
    <s v="May"/>
    <n v="2025"/>
  </r>
  <r>
    <x v="1982"/>
    <d v="2025-05-23T00:00:00"/>
    <s v="Central"/>
    <s v="Birmingham"/>
    <s v="Latte"/>
    <s v="Drink"/>
    <n v="5"/>
    <n v="3.5"/>
    <s v="Apple Pay"/>
    <s v="C1414"/>
    <n v="17.5"/>
    <s v="Friday"/>
    <s v="May"/>
    <n v="2025"/>
  </r>
  <r>
    <x v="1983"/>
    <d v="2025-05-23T00:00:00"/>
    <s v="Riverside"/>
    <s v="Leeds"/>
    <s v="Croissant"/>
    <s v="Food"/>
    <n v="5"/>
    <n v="2.8"/>
    <s v="Cash"/>
    <s v="C1985"/>
    <n v="14"/>
    <s v="Friday"/>
    <s v="May"/>
    <n v="2025"/>
  </r>
  <r>
    <x v="1984"/>
    <d v="2025-05-23T00:00:00"/>
    <s v="Central"/>
    <s v="Bristol"/>
    <s v="Espresso"/>
    <s v="Drink"/>
    <n v="5"/>
    <n v="2.5"/>
    <s v="Cash"/>
    <s v="C1059"/>
    <n v="12.5"/>
    <s v="Friday"/>
    <s v="May"/>
    <n v="2025"/>
  </r>
  <r>
    <x v="1985"/>
    <d v="2025-05-23T00:00:00"/>
    <s v="High Street"/>
    <s v="Bristol"/>
    <s v="Cappuccino"/>
    <s v="Drink"/>
    <n v="3"/>
    <n v="3.8"/>
    <s v="Card"/>
    <s v="C1497"/>
    <n v="11.399999999999999"/>
    <s v="Friday"/>
    <s v="May"/>
    <n v="2025"/>
  </r>
  <r>
    <x v="1986"/>
    <d v="2025-05-23T00:00:00"/>
    <s v="Central"/>
    <s v="Birmingham"/>
    <s v="Croissant"/>
    <s v="Food"/>
    <n v="4"/>
    <n v="2.8"/>
    <s v="Card"/>
    <s v="C1279"/>
    <n v="11.2"/>
    <s v="Friday"/>
    <s v="May"/>
    <n v="2025"/>
  </r>
  <r>
    <x v="1987"/>
    <d v="2025-05-23T00:00:00"/>
    <s v="High Street"/>
    <s v="Birmingham"/>
    <s v="Espresso"/>
    <s v="Drink"/>
    <n v="3"/>
    <n v="2.5"/>
    <s v="Cash"/>
    <s v="C1883"/>
    <n v="7.5"/>
    <s v="Friday"/>
    <s v="May"/>
    <n v="2025"/>
  </r>
  <r>
    <x v="1988"/>
    <d v="2025-05-23T00:00:00"/>
    <s v="High Street"/>
    <s v="Birmingham"/>
    <s v="Espresso"/>
    <s v="Drink"/>
    <n v="3"/>
    <n v="2.5"/>
    <s v="Cash"/>
    <s v="C1544"/>
    <n v="7.5"/>
    <s v="Friday"/>
    <s v="May"/>
    <n v="2025"/>
  </r>
  <r>
    <x v="1989"/>
    <d v="2025-05-23T00:00:00"/>
    <s v="Station"/>
    <s v="London"/>
    <s v="Espresso"/>
    <s v="Drink"/>
    <n v="3"/>
    <n v="2.5"/>
    <s v="Apple Pay"/>
    <s v="C1322"/>
    <n v="7.5"/>
    <s v="Friday"/>
    <s v="May"/>
    <n v="2025"/>
  </r>
  <r>
    <x v="1990"/>
    <d v="2025-05-23T00:00:00"/>
    <s v="Riverside"/>
    <s v="Birmingham"/>
    <s v="Espresso"/>
    <s v="Drink"/>
    <n v="3"/>
    <n v="2.5"/>
    <s v="Card"/>
    <s v="C1345"/>
    <n v="7.5"/>
    <s v="Friday"/>
    <s v="May"/>
    <n v="2025"/>
  </r>
  <r>
    <x v="1991"/>
    <d v="2025-05-23T00:00:00"/>
    <s v="Riverside"/>
    <s v="London"/>
    <s v="Croissant"/>
    <s v="Food"/>
    <n v="2"/>
    <n v="2.8"/>
    <s v="Apple Pay"/>
    <s v="C1655"/>
    <n v="5.6"/>
    <s v="Friday"/>
    <s v="May"/>
    <n v="2025"/>
  </r>
  <r>
    <x v="1992"/>
    <d v="2025-05-23T00:00:00"/>
    <s v="Station"/>
    <s v="Leeds"/>
    <s v="Espresso"/>
    <s v="Drink"/>
    <n v="2"/>
    <n v="2.5"/>
    <s v="Card"/>
    <s v="C1224"/>
    <n v="5"/>
    <s v="Friday"/>
    <s v="May"/>
    <n v="2025"/>
  </r>
  <r>
    <x v="1993"/>
    <d v="2025-05-23T00:00:00"/>
    <s v="Central"/>
    <s v="Leeds"/>
    <s v="Espresso"/>
    <s v="Drink"/>
    <n v="2"/>
    <n v="2.5"/>
    <s v="Cash"/>
    <s v="C1034"/>
    <n v="5"/>
    <s v="Friday"/>
    <s v="May"/>
    <n v="2025"/>
  </r>
  <r>
    <x v="1994"/>
    <d v="2025-05-23T00:00:00"/>
    <s v="High Street"/>
    <s v="Bristol"/>
    <s v="Cappuccino"/>
    <s v="Drink"/>
    <n v="1"/>
    <n v="3.8"/>
    <s v="Apple Pay"/>
    <s v="C1331"/>
    <n v="3.8"/>
    <s v="Friday"/>
    <s v="May"/>
    <n v="2025"/>
  </r>
  <r>
    <x v="1995"/>
    <d v="2025-05-23T00:00:00"/>
    <s v="Central"/>
    <s v="Bristol"/>
    <s v="Cappuccino"/>
    <s v="Drink"/>
    <n v="1"/>
    <n v="3.8"/>
    <s v="Apple Pay"/>
    <s v="C1735"/>
    <n v="3.8"/>
    <s v="Friday"/>
    <s v="May"/>
    <n v="2025"/>
  </r>
  <r>
    <x v="1996"/>
    <d v="2025-05-23T00:00:00"/>
    <s v="Station"/>
    <s v="Birmingham"/>
    <s v="Cappuccino"/>
    <s v="Drink"/>
    <n v="1"/>
    <n v="3.8"/>
    <s v="Card"/>
    <s v="C1096"/>
    <n v="3.8"/>
    <s v="Friday"/>
    <s v="May"/>
    <n v="2025"/>
  </r>
  <r>
    <x v="1997"/>
    <d v="2025-05-23T00:00:00"/>
    <s v="Central"/>
    <s v="London"/>
    <s v="Latte"/>
    <s v="Drink"/>
    <n v="1"/>
    <n v="3.5"/>
    <s v="Cash"/>
    <s v="C1462"/>
    <n v="3.5"/>
    <s v="Friday"/>
    <s v="May"/>
    <n v="2025"/>
  </r>
  <r>
    <x v="1998"/>
    <d v="2025-05-23T00:00:00"/>
    <s v="High Street"/>
    <s v="London"/>
    <s v="Espresso"/>
    <s v="Drink"/>
    <n v="1"/>
    <n v="2.5"/>
    <s v="Apple Pay"/>
    <s v="C1817"/>
    <n v="2.5"/>
    <s v="Friday"/>
    <s v="May"/>
    <n v="2025"/>
  </r>
  <r>
    <x v="1999"/>
    <d v="2025-05-24T00:00:00"/>
    <s v="Riverside"/>
    <s v="Bristol"/>
    <s v="Cappuccino"/>
    <s v="Drink"/>
    <n v="4"/>
    <n v="3.8"/>
    <s v="Cash"/>
    <s v="C1722"/>
    <n v="15.2"/>
    <s v="Saturday"/>
    <s v="May"/>
    <n v="2025"/>
  </r>
  <r>
    <x v="2000"/>
    <d v="2025-05-24T00:00:00"/>
    <s v="High Street"/>
    <s v="London"/>
    <s v="Croissant"/>
    <s v="Food"/>
    <n v="4"/>
    <n v="2.8"/>
    <s v="Apple Pay"/>
    <s v="C1849"/>
    <n v="11.2"/>
    <s v="Saturday"/>
    <s v="May"/>
    <n v="2025"/>
  </r>
  <r>
    <x v="2001"/>
    <d v="2025-05-24T00:00:00"/>
    <s v="Riverside"/>
    <s v="Birmingham"/>
    <s v="Latte"/>
    <s v="Drink"/>
    <n v="3"/>
    <n v="3.5"/>
    <s v="Card"/>
    <s v="C1021"/>
    <n v="10.5"/>
    <s v="Saturday"/>
    <s v="May"/>
    <n v="2025"/>
  </r>
  <r>
    <x v="2001"/>
    <d v="2025-05-24T00:00:00"/>
    <s v="Riverside"/>
    <s v="Birmingham"/>
    <s v="Latte"/>
    <s v="Drink"/>
    <n v="3"/>
    <n v="3.5"/>
    <s v="Cash"/>
    <s v="C1021"/>
    <n v="10.5"/>
    <s v="Saturday"/>
    <s v="May"/>
    <n v="2025"/>
  </r>
  <r>
    <x v="2002"/>
    <d v="2025-05-24T00:00:00"/>
    <s v="Central"/>
    <s v="Birmingham"/>
    <s v="Latte"/>
    <s v="Drink"/>
    <n v="3"/>
    <n v="3.5"/>
    <s v="Card"/>
    <s v="C1693"/>
    <n v="10.5"/>
    <s v="Saturday"/>
    <s v="May"/>
    <n v="2025"/>
  </r>
  <r>
    <x v="2003"/>
    <d v="2025-05-24T00:00:00"/>
    <s v="Central"/>
    <s v="Leeds"/>
    <s v="Espresso"/>
    <s v="Drink"/>
    <n v="4"/>
    <n v="2.5"/>
    <s v="Card"/>
    <s v="C1242"/>
    <n v="10"/>
    <s v="Saturday"/>
    <s v="May"/>
    <n v="2025"/>
  </r>
  <r>
    <x v="2004"/>
    <d v="2025-05-24T00:00:00"/>
    <s v="Central"/>
    <s v="Manchester"/>
    <s v="Croissant"/>
    <s v="Food"/>
    <n v="3"/>
    <n v="2.8"/>
    <s v="Cash"/>
    <s v="C1137"/>
    <n v="8.3999999999999986"/>
    <s v="Saturday"/>
    <s v="May"/>
    <n v="2025"/>
  </r>
  <r>
    <x v="2005"/>
    <d v="2025-05-24T00:00:00"/>
    <s v="Central"/>
    <s v="Leeds"/>
    <s v="Latte"/>
    <s v="Drink"/>
    <n v="2"/>
    <n v="3.5"/>
    <s v="Cash"/>
    <s v="C1183"/>
    <n v="7"/>
    <s v="Saturday"/>
    <s v="May"/>
    <n v="2025"/>
  </r>
  <r>
    <x v="2006"/>
    <d v="2025-05-24T00:00:00"/>
    <s v="Station"/>
    <s v="Birmingham"/>
    <s v="Croissant"/>
    <s v="Food"/>
    <n v="2"/>
    <n v="2.8"/>
    <s v="Cash"/>
    <s v="C1111"/>
    <n v="5.6"/>
    <s v="Saturday"/>
    <s v="May"/>
    <n v="2025"/>
  </r>
  <r>
    <x v="2007"/>
    <d v="2025-05-24T00:00:00"/>
    <s v="Station"/>
    <s v="Birmingham"/>
    <s v="Espresso"/>
    <s v="Drink"/>
    <n v="2"/>
    <n v="2.5"/>
    <s v="Apple Pay"/>
    <s v="C1636"/>
    <n v="5"/>
    <s v="Saturday"/>
    <s v="May"/>
    <n v="2025"/>
  </r>
  <r>
    <x v="2008"/>
    <d v="2025-05-24T00:00:00"/>
    <s v="Central"/>
    <s v="Bristol"/>
    <s v="Muffin"/>
    <s v="Food"/>
    <n v="2"/>
    <n v="2.2000000000000002"/>
    <s v="Card"/>
    <s v="C1990"/>
    <n v="4.4000000000000004"/>
    <s v="Saturday"/>
    <s v="May"/>
    <n v="2025"/>
  </r>
  <r>
    <x v="2009"/>
    <d v="2025-05-24T00:00:00"/>
    <s v="Central"/>
    <s v="Bristol"/>
    <s v="Latte"/>
    <s v="Drink"/>
    <n v="1"/>
    <n v="3.5"/>
    <s v="Apple Pay"/>
    <s v="C1286"/>
    <n v="3.5"/>
    <s v="Saturday"/>
    <s v="May"/>
    <n v="2025"/>
  </r>
  <r>
    <x v="2010"/>
    <d v="2025-05-24T00:00:00"/>
    <s v="High Street"/>
    <s v="Leeds"/>
    <s v="Croissant"/>
    <s v="Food"/>
    <n v="1"/>
    <n v="2.8"/>
    <s v="Card"/>
    <s v="C1145"/>
    <n v="2.8"/>
    <s v="Saturday"/>
    <s v="May"/>
    <n v="2025"/>
  </r>
  <r>
    <x v="2011"/>
    <d v="2025-05-24T00:00:00"/>
    <s v="Central"/>
    <s v="Bristol"/>
    <s v="Muffin"/>
    <s v="Food"/>
    <n v="1"/>
    <n v="2.2000000000000002"/>
    <s v="Cash"/>
    <s v="C1292"/>
    <n v="2.2000000000000002"/>
    <s v="Saturday"/>
    <s v="May"/>
    <n v="2025"/>
  </r>
  <r>
    <x v="2012"/>
    <d v="2025-05-25T00:00:00"/>
    <s v="Central"/>
    <s v="Manchester"/>
    <s v="Cappuccino"/>
    <s v="Drink"/>
    <n v="5"/>
    <n v="3.8"/>
    <s v="Apple Pay"/>
    <s v="C1318"/>
    <n v="19"/>
    <s v="Sunday"/>
    <s v="May"/>
    <n v="2025"/>
  </r>
  <r>
    <x v="2013"/>
    <d v="2025-05-25T00:00:00"/>
    <s v="Central"/>
    <s v="Manchester"/>
    <s v="Cappuccino"/>
    <s v="Drink"/>
    <n v="4"/>
    <n v="3.8"/>
    <s v="Apple Pay"/>
    <s v="C1651"/>
    <n v="15.2"/>
    <s v="Sunday"/>
    <s v="May"/>
    <n v="2025"/>
  </r>
  <r>
    <x v="2014"/>
    <d v="2025-05-25T00:00:00"/>
    <s v="High Street"/>
    <s v="Leeds"/>
    <s v="Espresso"/>
    <s v="Drink"/>
    <n v="5"/>
    <n v="2.5"/>
    <s v="Apple Pay"/>
    <s v="C1721"/>
    <n v="12.5"/>
    <s v="Sunday"/>
    <s v="May"/>
    <n v="2025"/>
  </r>
  <r>
    <x v="2015"/>
    <d v="2025-05-25T00:00:00"/>
    <s v="Station"/>
    <s v="Manchester"/>
    <s v="Croissant"/>
    <s v="Food"/>
    <n v="4"/>
    <n v="2.8"/>
    <s v="Cash"/>
    <s v="C1039"/>
    <n v="11.2"/>
    <s v="Sunday"/>
    <s v="May"/>
    <n v="2025"/>
  </r>
  <r>
    <x v="2016"/>
    <d v="2025-05-25T00:00:00"/>
    <s v="Station"/>
    <s v="Bristol"/>
    <s v="Muffin"/>
    <s v="Food"/>
    <n v="5"/>
    <n v="2.2000000000000002"/>
    <s v="Card"/>
    <s v="C1643"/>
    <n v="11"/>
    <s v="Sunday"/>
    <s v="May"/>
    <n v="2025"/>
  </r>
  <r>
    <x v="2017"/>
    <d v="2025-05-25T00:00:00"/>
    <s v="Riverside"/>
    <s v="London"/>
    <s v="Espresso"/>
    <s v="Drink"/>
    <n v="3"/>
    <n v="2.5"/>
    <s v="Apple Pay"/>
    <s v="C1799"/>
    <n v="7.5"/>
    <s v="Sunday"/>
    <s v="May"/>
    <n v="2025"/>
  </r>
  <r>
    <x v="2018"/>
    <d v="2025-05-25T00:00:00"/>
    <s v="Central"/>
    <s v="Leeds"/>
    <s v="Croissant"/>
    <s v="Food"/>
    <n v="2"/>
    <n v="2.8"/>
    <s v="Card"/>
    <s v="C1583"/>
    <n v="5.6"/>
    <s v="Sunday"/>
    <s v="May"/>
    <n v="2025"/>
  </r>
  <r>
    <x v="2019"/>
    <d v="2025-05-25T00:00:00"/>
    <s v="Riverside"/>
    <s v="Leeds"/>
    <s v="Croissant"/>
    <s v="Food"/>
    <n v="2"/>
    <n v="2.8"/>
    <s v="Apple Pay"/>
    <s v="C1257"/>
    <n v="5.6"/>
    <s v="Sunday"/>
    <s v="May"/>
    <n v="2025"/>
  </r>
  <r>
    <x v="2020"/>
    <d v="2025-05-25T00:00:00"/>
    <s v="Riverside"/>
    <s v="Leeds"/>
    <s v="Cappuccino"/>
    <s v="Drink"/>
    <n v="1"/>
    <n v="3.8"/>
    <s v="Apple Pay"/>
    <s v="C1844"/>
    <n v="3.8"/>
    <s v="Sunday"/>
    <s v="May"/>
    <n v="2025"/>
  </r>
  <r>
    <x v="2021"/>
    <d v="2025-05-25T00:00:00"/>
    <s v="Station"/>
    <s v="Manchester"/>
    <s v="Latte"/>
    <s v="Drink"/>
    <n v="1"/>
    <n v="3.5"/>
    <s v="Cash"/>
    <s v="C1201"/>
    <n v="3.5"/>
    <s v="Sunday"/>
    <s v="May"/>
    <n v="2025"/>
  </r>
  <r>
    <x v="2022"/>
    <d v="2025-05-25T00:00:00"/>
    <s v="Central"/>
    <s v="Manchester"/>
    <s v="Espresso"/>
    <s v="Drink"/>
    <n v="1"/>
    <n v="2.5"/>
    <s v="Cash"/>
    <s v="C1052"/>
    <n v="2.5"/>
    <s v="Sunday"/>
    <s v="May"/>
    <n v="2025"/>
  </r>
  <r>
    <x v="2023"/>
    <d v="2025-05-25T00:00:00"/>
    <s v="Central"/>
    <s v="Birmingham"/>
    <s v="Muffin"/>
    <s v="Food"/>
    <n v="1"/>
    <n v="2.2000000000000002"/>
    <s v="Apple Pay"/>
    <s v="C1658"/>
    <n v="2.2000000000000002"/>
    <s v="Sunday"/>
    <s v="May"/>
    <n v="2025"/>
  </r>
  <r>
    <x v="2024"/>
    <d v="2025-05-26T00:00:00"/>
    <s v="High Street"/>
    <s v="Bristol"/>
    <s v="Cappuccino"/>
    <s v="Drink"/>
    <n v="5"/>
    <n v="3.8"/>
    <s v="Cash"/>
    <s v="C1750"/>
    <n v="19"/>
    <s v="Monday"/>
    <s v="May"/>
    <n v="2025"/>
  </r>
  <r>
    <x v="2025"/>
    <d v="2025-05-26T00:00:00"/>
    <s v="Riverside"/>
    <s v="Birmingham"/>
    <s v="Latte"/>
    <s v="Drink"/>
    <n v="5"/>
    <n v="3.5"/>
    <s v="Cash"/>
    <s v="C1892"/>
    <n v="17.5"/>
    <s v="Monday"/>
    <s v="May"/>
    <n v="2025"/>
  </r>
  <r>
    <x v="2026"/>
    <d v="2025-05-26T00:00:00"/>
    <s v="Station"/>
    <s v="Leeds"/>
    <s v="Croissant"/>
    <s v="Food"/>
    <n v="5"/>
    <n v="2.8"/>
    <s v="Apple Pay"/>
    <s v="C1480"/>
    <n v="14"/>
    <s v="Monday"/>
    <s v="May"/>
    <n v="2025"/>
  </r>
  <r>
    <x v="2027"/>
    <d v="2025-05-26T00:00:00"/>
    <s v="Central"/>
    <s v="Manchester"/>
    <s v="Cappuccino"/>
    <s v="Drink"/>
    <n v="3"/>
    <n v="3.8"/>
    <s v="Card"/>
    <s v="C1259"/>
    <n v="11.399999999999999"/>
    <s v="Monday"/>
    <s v="May"/>
    <n v="2025"/>
  </r>
  <r>
    <x v="2028"/>
    <d v="2025-05-26T00:00:00"/>
    <s v="Central"/>
    <s v="Birmingham"/>
    <s v="Cappuccino"/>
    <s v="Drink"/>
    <n v="3"/>
    <n v="3.8"/>
    <s v="Card"/>
    <s v="C1621"/>
    <n v="11.399999999999999"/>
    <s v="Monday"/>
    <s v="May"/>
    <n v="2025"/>
  </r>
  <r>
    <x v="2029"/>
    <d v="2025-05-26T00:00:00"/>
    <s v="Central"/>
    <s v="Leeds"/>
    <s v="Latte"/>
    <s v="Drink"/>
    <n v="3"/>
    <n v="3.5"/>
    <s v="Apple Pay"/>
    <s v="C1997"/>
    <n v="10.5"/>
    <s v="Monday"/>
    <s v="May"/>
    <n v="2025"/>
  </r>
  <r>
    <x v="2030"/>
    <d v="2025-05-26T00:00:00"/>
    <s v="Station"/>
    <s v="Leeds"/>
    <s v="Espresso"/>
    <s v="Drink"/>
    <n v="4"/>
    <n v="2.5"/>
    <s v="Cash"/>
    <s v="C1950"/>
    <n v="10"/>
    <s v="Monday"/>
    <s v="May"/>
    <n v="2025"/>
  </r>
  <r>
    <x v="2031"/>
    <d v="2025-05-26T00:00:00"/>
    <s v="Riverside"/>
    <s v="London"/>
    <s v="Espresso"/>
    <s v="Drink"/>
    <n v="4"/>
    <n v="2.5"/>
    <s v="Apple Pay"/>
    <s v="C1998"/>
    <n v="10"/>
    <s v="Monday"/>
    <s v="May"/>
    <n v="2025"/>
  </r>
  <r>
    <x v="2032"/>
    <d v="2025-05-26T00:00:00"/>
    <s v="Station"/>
    <s v="Leeds"/>
    <s v="Croissant"/>
    <s v="Food"/>
    <n v="3"/>
    <n v="2.8"/>
    <s v="Apple Pay"/>
    <s v="C1414"/>
    <n v="8.3999999999999986"/>
    <s v="Monday"/>
    <s v="May"/>
    <n v="2025"/>
  </r>
  <r>
    <x v="2033"/>
    <d v="2025-05-26T00:00:00"/>
    <s v="Central"/>
    <s v="Bristol"/>
    <s v="Croissant"/>
    <s v="Food"/>
    <n v="3"/>
    <n v="2.8"/>
    <s v="Apple Pay"/>
    <s v="C1701"/>
    <n v="8.3999999999999986"/>
    <s v="Monday"/>
    <s v="May"/>
    <n v="2025"/>
  </r>
  <r>
    <x v="2034"/>
    <d v="2025-05-26T00:00:00"/>
    <s v="High Street"/>
    <s v="Bristol"/>
    <s v="Latte"/>
    <s v="Drink"/>
    <n v="2"/>
    <n v="3.5"/>
    <s v="Cash"/>
    <s v="C1453"/>
    <n v="7"/>
    <s v="Monday"/>
    <s v="May"/>
    <n v="2025"/>
  </r>
  <r>
    <x v="2035"/>
    <d v="2025-05-26T00:00:00"/>
    <s v="Station"/>
    <s v="Leeds"/>
    <s v="Muffin"/>
    <s v="Food"/>
    <n v="3"/>
    <n v="2.2000000000000002"/>
    <s v="Card"/>
    <s v="C1452"/>
    <n v="6.6000000000000005"/>
    <s v="Monday"/>
    <s v="May"/>
    <n v="2025"/>
  </r>
  <r>
    <x v="2036"/>
    <d v="2025-05-26T00:00:00"/>
    <s v="Riverside"/>
    <s v="Birmingham"/>
    <s v="Muffin"/>
    <s v="Food"/>
    <n v="3"/>
    <n v="2.2000000000000002"/>
    <s v="Cash"/>
    <s v="C1848"/>
    <n v="6.6000000000000005"/>
    <s v="Monday"/>
    <s v="May"/>
    <n v="2025"/>
  </r>
  <r>
    <x v="2037"/>
    <d v="2025-05-26T00:00:00"/>
    <s v="Central"/>
    <s v="London"/>
    <s v="Espresso"/>
    <s v="Drink"/>
    <n v="1"/>
    <n v="2.5"/>
    <s v="Cash"/>
    <s v="C1158"/>
    <n v="2.5"/>
    <s v="Monday"/>
    <s v="May"/>
    <n v="2025"/>
  </r>
  <r>
    <x v="2038"/>
    <d v="2025-05-27T00:00:00"/>
    <s v="Central"/>
    <s v="Birmingham"/>
    <s v="Cappuccino"/>
    <s v="Drink"/>
    <n v="5"/>
    <n v="3.8"/>
    <s v="Cash"/>
    <s v="C1534"/>
    <n v="19"/>
    <s v="Tuesday"/>
    <s v="May"/>
    <n v="2025"/>
  </r>
  <r>
    <x v="2039"/>
    <d v="2025-05-27T00:00:00"/>
    <s v="Riverside"/>
    <s v="Leeds"/>
    <s v="Cappuccino"/>
    <s v="Drink"/>
    <n v="4"/>
    <n v="3.8"/>
    <s v="Card"/>
    <s v="C1037"/>
    <n v="15.2"/>
    <s v="Tuesday"/>
    <s v="May"/>
    <n v="2025"/>
  </r>
  <r>
    <x v="2040"/>
    <d v="2025-05-27T00:00:00"/>
    <s v="Central"/>
    <s v="Birmingham"/>
    <s v="Latte"/>
    <s v="Drink"/>
    <n v="4"/>
    <n v="3.5"/>
    <s v="Card"/>
    <s v="C1778"/>
    <n v="14"/>
    <s v="Tuesday"/>
    <s v="May"/>
    <n v="2025"/>
  </r>
  <r>
    <x v="2041"/>
    <d v="2025-05-27T00:00:00"/>
    <s v="High Street"/>
    <s v="N/A"/>
    <s v="Espresso"/>
    <s v="Drink"/>
    <n v="5"/>
    <n v="2.5"/>
    <s v="Apple Pay"/>
    <s v="C1011"/>
    <n v="12.5"/>
    <s v="Tuesday"/>
    <s v="May"/>
    <n v="2025"/>
  </r>
  <r>
    <x v="2042"/>
    <d v="2025-05-27T00:00:00"/>
    <s v="Riverside"/>
    <s v="Birmingham"/>
    <s v="Espresso"/>
    <s v="Drink"/>
    <n v="5"/>
    <n v="2.5"/>
    <s v="Apple Pay"/>
    <s v="C1481"/>
    <n v="12.5"/>
    <s v="Tuesday"/>
    <s v="May"/>
    <n v="2025"/>
  </r>
  <r>
    <x v="2043"/>
    <d v="2025-05-27T00:00:00"/>
    <s v="High Street"/>
    <s v="London"/>
    <s v="Espresso"/>
    <s v="Drink"/>
    <n v="4"/>
    <n v="2.5"/>
    <s v="Cash"/>
    <s v="C1420"/>
    <n v="10"/>
    <s v="Tuesday"/>
    <s v="May"/>
    <n v="2025"/>
  </r>
  <r>
    <x v="2044"/>
    <d v="2025-05-27T00:00:00"/>
    <s v="Central"/>
    <s v="Leeds"/>
    <s v="Espresso"/>
    <s v="Drink"/>
    <n v="4"/>
    <n v="2.5"/>
    <s v="Card"/>
    <s v="C1665"/>
    <n v="10"/>
    <s v="Tuesday"/>
    <s v="May"/>
    <n v="2025"/>
  </r>
  <r>
    <x v="2045"/>
    <d v="2025-05-27T00:00:00"/>
    <s v="Station"/>
    <s v="London"/>
    <s v="Espresso"/>
    <s v="Drink"/>
    <n v="3"/>
    <n v="2.5"/>
    <s v="Cash"/>
    <s v="C1442"/>
    <n v="7.5"/>
    <s v="Tuesday"/>
    <s v="May"/>
    <n v="2025"/>
  </r>
  <r>
    <x v="2046"/>
    <d v="2025-05-27T00:00:00"/>
    <s v="Riverside"/>
    <s v="Birmingham"/>
    <s v="Espresso"/>
    <s v="Drink"/>
    <n v="2"/>
    <n v="2.5"/>
    <s v="Card"/>
    <s v="C1576"/>
    <n v="5"/>
    <s v="Tuesday"/>
    <s v="May"/>
    <n v="2025"/>
  </r>
  <r>
    <x v="2047"/>
    <d v="2025-05-27T00:00:00"/>
    <s v="High Street"/>
    <s v="London"/>
    <s v="Cappuccino"/>
    <s v="Drink"/>
    <n v="1"/>
    <n v="3.8"/>
    <s v="Card"/>
    <s v="C1610"/>
    <n v="3.8"/>
    <s v="Tuesday"/>
    <s v="May"/>
    <n v="2025"/>
  </r>
  <r>
    <x v="2048"/>
    <d v="2025-05-27T00:00:00"/>
    <s v="Central"/>
    <s v="London"/>
    <s v="Cappuccino"/>
    <s v="Drink"/>
    <n v="1"/>
    <n v="3.8"/>
    <s v="Cash"/>
    <s v="C1027"/>
    <n v="3.8"/>
    <s v="Tuesday"/>
    <s v="May"/>
    <n v="2025"/>
  </r>
  <r>
    <x v="2049"/>
    <d v="2025-05-27T00:00:00"/>
    <s v="High Street"/>
    <s v="Leeds"/>
    <s v="Latte"/>
    <s v="Drink"/>
    <n v="1"/>
    <n v="3.5"/>
    <s v="Cash"/>
    <s v="C1811"/>
    <n v="3.5"/>
    <s v="Tuesday"/>
    <s v="May"/>
    <n v="2025"/>
  </r>
  <r>
    <x v="2050"/>
    <d v="2025-05-27T00:00:00"/>
    <s v="High Street"/>
    <s v="Manchester"/>
    <s v="Croissant"/>
    <s v="Food"/>
    <n v="1"/>
    <n v="2.8"/>
    <s v="Card"/>
    <s v="C1203"/>
    <n v="2.8"/>
    <s v="Tuesday"/>
    <s v="May"/>
    <n v="2025"/>
  </r>
  <r>
    <x v="2051"/>
    <d v="2025-05-27T00:00:00"/>
    <s v="Station"/>
    <s v="Manchester"/>
    <s v="Espresso"/>
    <s v="Drink"/>
    <n v="1"/>
    <n v="2.5"/>
    <s v="Cash"/>
    <s v="C1529"/>
    <n v="2.5"/>
    <s v="Tuesday"/>
    <s v="May"/>
    <n v="2025"/>
  </r>
  <r>
    <x v="2052"/>
    <d v="2025-05-28T00:00:00"/>
    <s v="Riverside"/>
    <s v="Manchester"/>
    <s v="Latte"/>
    <s v="Drink"/>
    <n v="5"/>
    <n v="3.5"/>
    <s v="Card"/>
    <s v="C1826"/>
    <n v="17.5"/>
    <s v="Wednesday"/>
    <s v="May"/>
    <n v="2025"/>
  </r>
  <r>
    <x v="2053"/>
    <d v="2025-05-28T00:00:00"/>
    <s v="Station"/>
    <s v="London"/>
    <s v="Cappuccino"/>
    <s v="Drink"/>
    <n v="4"/>
    <n v="3.8"/>
    <s v="Card"/>
    <s v="C1744"/>
    <n v="15.2"/>
    <s v="Wednesday"/>
    <s v="May"/>
    <n v="2025"/>
  </r>
  <r>
    <x v="2054"/>
    <d v="2025-05-28T00:00:00"/>
    <s v="High Street"/>
    <s v="Leeds"/>
    <s v="Croissant"/>
    <s v="Food"/>
    <n v="4"/>
    <n v="2.8"/>
    <s v="Card"/>
    <s v="C1052"/>
    <n v="11.2"/>
    <s v="Wednesday"/>
    <s v="May"/>
    <n v="2025"/>
  </r>
  <r>
    <x v="2055"/>
    <d v="2025-05-28T00:00:00"/>
    <s v="Central"/>
    <s v="Manchester"/>
    <s v="Muffin"/>
    <s v="Food"/>
    <n v="5"/>
    <n v="2.2000000000000002"/>
    <s v="Cash"/>
    <s v="C1649"/>
    <n v="11"/>
    <s v="Wednesday"/>
    <s v="May"/>
    <n v="2025"/>
  </r>
  <r>
    <x v="2056"/>
    <d v="2025-05-28T00:00:00"/>
    <s v="Central"/>
    <s v="Manchester"/>
    <s v="Latte"/>
    <s v="Drink"/>
    <n v="3"/>
    <n v="3.5"/>
    <s v="Cash"/>
    <s v="C1724"/>
    <n v="10.5"/>
    <s v="Wednesday"/>
    <s v="May"/>
    <n v="2025"/>
  </r>
  <r>
    <x v="2057"/>
    <d v="2025-05-28T00:00:00"/>
    <s v="Riverside"/>
    <s v="London"/>
    <s v="Espresso"/>
    <s v="Drink"/>
    <n v="4"/>
    <n v="2.5"/>
    <s v="Cash"/>
    <s v="C1421"/>
    <n v="10"/>
    <s v="Wednesday"/>
    <s v="May"/>
    <n v="2025"/>
  </r>
  <r>
    <x v="2058"/>
    <d v="2025-05-28T00:00:00"/>
    <s v="Station"/>
    <s v="Manchester"/>
    <s v="Muffin"/>
    <s v="Food"/>
    <n v="4"/>
    <n v="2.2000000000000002"/>
    <s v="Apple Pay"/>
    <s v="C1128"/>
    <n v="8.8000000000000007"/>
    <s v="Wednesday"/>
    <s v="May"/>
    <n v="2025"/>
  </r>
  <r>
    <x v="2059"/>
    <d v="2025-05-28T00:00:00"/>
    <s v="High Street"/>
    <s v="Leeds"/>
    <s v="Croissant"/>
    <s v="Food"/>
    <n v="3"/>
    <n v="2.8"/>
    <s v="Card"/>
    <s v="C1720"/>
    <n v="8.3999999999999986"/>
    <s v="Wednesday"/>
    <s v="May"/>
    <n v="2025"/>
  </r>
  <r>
    <x v="2060"/>
    <d v="2025-05-28T00:00:00"/>
    <s v="Station"/>
    <s v="London"/>
    <s v="Croissant"/>
    <s v="Food"/>
    <n v="3"/>
    <n v="2.8"/>
    <s v="Card"/>
    <s v="C1218"/>
    <n v="8.3999999999999986"/>
    <s v="Wednesday"/>
    <s v="May"/>
    <n v="2025"/>
  </r>
  <r>
    <x v="2061"/>
    <d v="2025-05-28T00:00:00"/>
    <s v="Central"/>
    <s v="Leeds"/>
    <s v="Cappuccino"/>
    <s v="Drink"/>
    <n v="2"/>
    <n v="3.8"/>
    <s v="Apple Pay"/>
    <s v="C1812"/>
    <n v="7.6"/>
    <s v="Wednesday"/>
    <s v="May"/>
    <n v="2025"/>
  </r>
  <r>
    <x v="2062"/>
    <d v="2025-05-28T00:00:00"/>
    <s v="Station"/>
    <s v="Birmingham"/>
    <s v="Muffin"/>
    <s v="Food"/>
    <n v="3"/>
    <n v="2.2000000000000002"/>
    <s v="Card"/>
    <s v="C1069"/>
    <n v="6.6000000000000005"/>
    <s v="Wednesday"/>
    <s v="May"/>
    <n v="2025"/>
  </r>
  <r>
    <x v="2063"/>
    <d v="2025-05-28T00:00:00"/>
    <s v="High Street"/>
    <s v="Bristol"/>
    <s v="Muffin"/>
    <s v="Food"/>
    <n v="3"/>
    <n v="2.2000000000000002"/>
    <s v="Card"/>
    <s v="C1862"/>
    <n v="6.6000000000000005"/>
    <s v="Wednesday"/>
    <s v="May"/>
    <n v="2025"/>
  </r>
  <r>
    <x v="2064"/>
    <d v="2025-05-28T00:00:00"/>
    <s v="Riverside"/>
    <s v="London"/>
    <s v="Muffin"/>
    <s v="Food"/>
    <n v="3"/>
    <n v="2.2000000000000002"/>
    <s v="Card"/>
    <s v="C1932"/>
    <n v="6.6000000000000005"/>
    <s v="Wednesday"/>
    <s v="May"/>
    <n v="2025"/>
  </r>
  <r>
    <x v="2065"/>
    <d v="2025-05-28T00:00:00"/>
    <s v="Central"/>
    <s v="Leeds"/>
    <s v="Espresso"/>
    <s v="Drink"/>
    <n v="2"/>
    <n v="2.5"/>
    <s v="Apple Pay"/>
    <s v="C1500"/>
    <n v="5"/>
    <s v="Wednesday"/>
    <s v="May"/>
    <n v="2025"/>
  </r>
  <r>
    <x v="2066"/>
    <d v="2025-05-28T00:00:00"/>
    <s v="Riverside"/>
    <s v="Leeds"/>
    <s v="Espresso"/>
    <s v="Drink"/>
    <n v="2"/>
    <n v="2.5"/>
    <s v="Card"/>
    <s v="C1188"/>
    <n v="5"/>
    <s v="Wednesday"/>
    <s v="May"/>
    <n v="2025"/>
  </r>
  <r>
    <x v="2067"/>
    <d v="2025-05-28T00:00:00"/>
    <s v="Station"/>
    <s v="Bristol"/>
    <s v="Latte"/>
    <s v="Drink"/>
    <n v="1"/>
    <n v="3.5"/>
    <s v="Cash"/>
    <s v="C1893"/>
    <n v="3.5"/>
    <s v="Wednesday"/>
    <s v="May"/>
    <n v="2025"/>
  </r>
  <r>
    <x v="2068"/>
    <d v="2025-05-28T00:00:00"/>
    <s v="Station"/>
    <s v="Manchester"/>
    <s v="Espresso"/>
    <s v="Drink"/>
    <n v="1"/>
    <n v="2.5"/>
    <s v="Cash"/>
    <s v="C1763"/>
    <n v="2.5"/>
    <s v="Wednesday"/>
    <s v="May"/>
    <n v="2025"/>
  </r>
  <r>
    <x v="2069"/>
    <d v="2025-05-29T00:00:00"/>
    <s v="Riverside"/>
    <s v="Birmingham"/>
    <s v="Latte"/>
    <s v="Drink"/>
    <n v="5"/>
    <n v="3.5"/>
    <s v="Apple Pay"/>
    <s v="C1637"/>
    <n v="17.5"/>
    <s v="Thursday"/>
    <s v="May"/>
    <n v="2025"/>
  </r>
  <r>
    <x v="2070"/>
    <d v="2025-05-29T00:00:00"/>
    <s v="High Street"/>
    <s v="Leeds"/>
    <s v="Croissant"/>
    <s v="Food"/>
    <n v="5"/>
    <n v="2.8"/>
    <s v="Card"/>
    <s v="C1207"/>
    <n v="14"/>
    <s v="Thursday"/>
    <s v="May"/>
    <n v="2025"/>
  </r>
  <r>
    <x v="2071"/>
    <d v="2025-05-29T00:00:00"/>
    <s v="Riverside"/>
    <s v="Manchester"/>
    <s v="Cappuccino"/>
    <s v="Drink"/>
    <n v="3"/>
    <n v="3.8"/>
    <s v="Cash"/>
    <s v="C1434"/>
    <n v="11.399999999999999"/>
    <s v="Thursday"/>
    <s v="May"/>
    <n v="2025"/>
  </r>
  <r>
    <x v="2072"/>
    <d v="2025-05-29T00:00:00"/>
    <s v="High Street"/>
    <s v="Leeds"/>
    <s v="Croissant"/>
    <s v="Food"/>
    <n v="4"/>
    <n v="2.8"/>
    <s v="Cash"/>
    <s v="C1742"/>
    <n v="11.2"/>
    <s v="Thursday"/>
    <s v="May"/>
    <n v="2025"/>
  </r>
  <r>
    <x v="2073"/>
    <d v="2025-05-29T00:00:00"/>
    <s v="Riverside"/>
    <s v="Bristol"/>
    <s v="Muffin"/>
    <s v="Food"/>
    <n v="5"/>
    <n v="2.2000000000000002"/>
    <s v="Card"/>
    <s v="C1464"/>
    <n v="11"/>
    <s v="Thursday"/>
    <s v="May"/>
    <n v="2025"/>
  </r>
  <r>
    <x v="2074"/>
    <d v="2025-05-29T00:00:00"/>
    <s v="Station"/>
    <s v="Bristol"/>
    <s v="Latte"/>
    <s v="Drink"/>
    <n v="3"/>
    <n v="3.5"/>
    <s v="Apple Pay"/>
    <s v="C1709"/>
    <n v="10.5"/>
    <s v="Thursday"/>
    <s v="May"/>
    <n v="2025"/>
  </r>
  <r>
    <x v="2075"/>
    <d v="2025-05-29T00:00:00"/>
    <s v="Central"/>
    <s v="Bristol"/>
    <s v="Croissant"/>
    <s v="Food"/>
    <n v="2"/>
    <n v="2.8"/>
    <s v="Card"/>
    <s v="C1654"/>
    <n v="5.6"/>
    <s v="Thursday"/>
    <s v="May"/>
    <n v="2025"/>
  </r>
  <r>
    <x v="2076"/>
    <d v="2025-05-29T00:00:00"/>
    <s v="Central"/>
    <s v="Bristol"/>
    <s v="Cappuccino"/>
    <s v="Drink"/>
    <n v="1"/>
    <n v="3.8"/>
    <s v="Card"/>
    <s v="C1579"/>
    <n v="3.8"/>
    <s v="Thursday"/>
    <s v="May"/>
    <n v="2025"/>
  </r>
  <r>
    <x v="2077"/>
    <d v="2025-05-29T00:00:00"/>
    <s v="Riverside"/>
    <s v="Leeds"/>
    <s v="Muffin"/>
    <s v="Food"/>
    <n v="1"/>
    <n v="2.2000000000000002"/>
    <s v="Card"/>
    <s v="C1775"/>
    <n v="2.2000000000000002"/>
    <s v="Thursday"/>
    <s v="May"/>
    <n v="2025"/>
  </r>
  <r>
    <x v="2078"/>
    <d v="2025-05-30T00:00:00"/>
    <s v="Riverside"/>
    <s v="Manchester"/>
    <s v="Cappuccino"/>
    <s v="Drink"/>
    <n v="5"/>
    <n v="3.8"/>
    <s v="Cash"/>
    <s v="C1592"/>
    <n v="19"/>
    <s v="Friday"/>
    <s v="May"/>
    <n v="2025"/>
  </r>
  <r>
    <x v="2079"/>
    <d v="2025-05-30T00:00:00"/>
    <s v="Riverside"/>
    <s v="Birmingham"/>
    <s v="Cappuccino"/>
    <s v="Drink"/>
    <n v="5"/>
    <n v="3.8"/>
    <s v="Card"/>
    <s v="C1451"/>
    <n v="19"/>
    <s v="Friday"/>
    <s v="May"/>
    <n v="2025"/>
  </r>
  <r>
    <x v="2080"/>
    <d v="2025-05-30T00:00:00"/>
    <s v="High Street"/>
    <s v="Leeds"/>
    <s v="Cappuccino"/>
    <s v="Drink"/>
    <n v="5"/>
    <n v="3.8"/>
    <s v="Card"/>
    <s v="C1635"/>
    <n v="19"/>
    <s v="Friday"/>
    <s v="May"/>
    <n v="2025"/>
  </r>
  <r>
    <x v="2081"/>
    <d v="2025-05-30T00:00:00"/>
    <s v="High Street"/>
    <s v="Bristol"/>
    <s v="Latte"/>
    <s v="Drink"/>
    <n v="5"/>
    <n v="3.5"/>
    <s v="Card"/>
    <s v="C1373"/>
    <n v="17.5"/>
    <s v="Friday"/>
    <s v="May"/>
    <n v="2025"/>
  </r>
  <r>
    <x v="2082"/>
    <d v="2025-05-30T00:00:00"/>
    <s v="Riverside"/>
    <s v="Manchester"/>
    <s v="Cappuccino"/>
    <s v="Drink"/>
    <n v="4"/>
    <n v="3.8"/>
    <s v="Card"/>
    <s v="C1338"/>
    <n v="15.2"/>
    <s v="Friday"/>
    <s v="May"/>
    <n v="2025"/>
  </r>
  <r>
    <x v="2083"/>
    <d v="2025-05-30T00:00:00"/>
    <s v="Riverside"/>
    <s v="Leeds"/>
    <s v="Latte"/>
    <s v="Drink"/>
    <n v="4"/>
    <n v="3.5"/>
    <s v="Cash"/>
    <s v="C1861"/>
    <n v="14"/>
    <s v="Friday"/>
    <s v="May"/>
    <n v="2025"/>
  </r>
  <r>
    <x v="2084"/>
    <d v="2025-05-30T00:00:00"/>
    <s v="Riverside"/>
    <s v="Bristol"/>
    <s v="Espresso"/>
    <s v="Drink"/>
    <n v="5"/>
    <n v="2.5"/>
    <s v="Cash"/>
    <s v="C1738"/>
    <n v="12.5"/>
    <s v="Friday"/>
    <s v="May"/>
    <n v="2025"/>
  </r>
  <r>
    <x v="2085"/>
    <d v="2025-05-30T00:00:00"/>
    <s v="Central"/>
    <s v="London"/>
    <s v="Espresso"/>
    <s v="Drink"/>
    <n v="5"/>
    <n v="2.5"/>
    <s v="Card"/>
    <s v="C1301"/>
    <n v="12.5"/>
    <s v="Friday"/>
    <s v="May"/>
    <n v="2025"/>
  </r>
  <r>
    <x v="2086"/>
    <d v="2025-05-30T00:00:00"/>
    <s v="Central"/>
    <s v="Leeds"/>
    <s v="Muffin"/>
    <s v="Food"/>
    <n v="4"/>
    <n v="2.2000000000000002"/>
    <s v="Card"/>
    <s v="C1301"/>
    <n v="8.8000000000000007"/>
    <s v="Friday"/>
    <s v="May"/>
    <n v="2025"/>
  </r>
  <r>
    <x v="2087"/>
    <d v="2025-05-30T00:00:00"/>
    <s v="Riverside"/>
    <s v="Birmingham"/>
    <s v="Espresso"/>
    <s v="Drink"/>
    <n v="2"/>
    <n v="2.5"/>
    <s v="Cash"/>
    <s v="C1912"/>
    <n v="5"/>
    <s v="Friday"/>
    <s v="May"/>
    <n v="2025"/>
  </r>
  <r>
    <x v="2088"/>
    <d v="2025-05-30T00:00:00"/>
    <s v="Riverside"/>
    <s v="Bristol"/>
    <s v="Muffin"/>
    <s v="Food"/>
    <n v="2"/>
    <n v="2.2000000000000002"/>
    <s v="Apple Pay"/>
    <s v="C1068"/>
    <n v="4.4000000000000004"/>
    <s v="Friday"/>
    <s v="May"/>
    <n v="2025"/>
  </r>
  <r>
    <x v="2089"/>
    <d v="2025-05-30T00:00:00"/>
    <s v="Station"/>
    <s v="Birmingham"/>
    <s v="Muffin"/>
    <s v="Food"/>
    <n v="2"/>
    <n v="2.2000000000000002"/>
    <s v="Apple Pay"/>
    <s v="C1933"/>
    <n v="4.4000000000000004"/>
    <s v="Friday"/>
    <s v="May"/>
    <n v="2025"/>
  </r>
  <r>
    <x v="2090"/>
    <d v="2025-05-30T00:00:00"/>
    <s v="Station"/>
    <s v="Birmingham"/>
    <s v="Latte"/>
    <s v="Drink"/>
    <n v="1"/>
    <n v="3.5"/>
    <s v="Card"/>
    <s v="C1387"/>
    <n v="3.5"/>
    <s v="Friday"/>
    <s v="May"/>
    <n v="2025"/>
  </r>
  <r>
    <x v="2091"/>
    <d v="2025-05-31T00:00:00"/>
    <s v="Station"/>
    <s v="London"/>
    <s v="Cappuccino"/>
    <s v="Drink"/>
    <n v="5"/>
    <n v="3.8"/>
    <s v="Cash"/>
    <s v="C1259"/>
    <n v="19"/>
    <s v="Saturday"/>
    <s v="May"/>
    <n v="2025"/>
  </r>
  <r>
    <x v="2092"/>
    <d v="2025-05-31T00:00:00"/>
    <s v="High Street"/>
    <s v="Leeds"/>
    <s v="Latte"/>
    <s v="Drink"/>
    <n v="5"/>
    <n v="3.5"/>
    <s v="Cash"/>
    <s v="C1135"/>
    <n v="17.5"/>
    <s v="Saturday"/>
    <s v="May"/>
    <n v="2025"/>
  </r>
  <r>
    <x v="2093"/>
    <d v="2025-05-31T00:00:00"/>
    <s v="Central"/>
    <s v="Birmingham"/>
    <s v="Croissant"/>
    <s v="Food"/>
    <n v="5"/>
    <n v="2.8"/>
    <s v="Card"/>
    <s v="C1512"/>
    <n v="14"/>
    <s v="Saturday"/>
    <s v="May"/>
    <n v="2025"/>
  </r>
  <r>
    <x v="2094"/>
    <d v="2025-05-31T00:00:00"/>
    <s v="High Street"/>
    <s v="Manchester"/>
    <s v="Croissant"/>
    <s v="Food"/>
    <n v="4"/>
    <n v="2.8"/>
    <s v="Apple Pay"/>
    <s v="C1658"/>
    <n v="11.2"/>
    <s v="Saturday"/>
    <s v="May"/>
    <n v="2025"/>
  </r>
  <r>
    <x v="2095"/>
    <d v="2025-05-31T00:00:00"/>
    <s v="Riverside"/>
    <s v="Manchester"/>
    <s v="Muffin"/>
    <s v="Food"/>
    <n v="4"/>
    <n v="2.2000000000000002"/>
    <s v="Card"/>
    <s v="C1583"/>
    <n v="8.8000000000000007"/>
    <s v="Saturday"/>
    <s v="May"/>
    <n v="2025"/>
  </r>
  <r>
    <x v="2096"/>
    <d v="2025-05-31T00:00:00"/>
    <s v="Central"/>
    <s v="Bristol"/>
    <s v="Muffin"/>
    <s v="Food"/>
    <n v="4"/>
    <n v="2.2000000000000002"/>
    <s v="Card"/>
    <s v="C1270"/>
    <n v="8.8000000000000007"/>
    <s v="Saturday"/>
    <s v="May"/>
    <n v="2025"/>
  </r>
  <r>
    <x v="2097"/>
    <d v="2025-05-31T00:00:00"/>
    <s v="Riverside"/>
    <s v="London"/>
    <s v="Croissant"/>
    <s v="Food"/>
    <n v="2"/>
    <n v="2.8"/>
    <s v="Cash"/>
    <s v="C1034"/>
    <n v="5.6"/>
    <s v="Saturday"/>
    <s v="May"/>
    <n v="2025"/>
  </r>
  <r>
    <x v="2098"/>
    <d v="2025-05-31T00:00:00"/>
    <s v="High Street"/>
    <s v="Birmingham"/>
    <s v="Espresso"/>
    <s v="Drink"/>
    <n v="2"/>
    <n v="2.5"/>
    <s v="Card"/>
    <s v="C1682"/>
    <n v="5"/>
    <s v="Saturday"/>
    <s v="May"/>
    <n v="2025"/>
  </r>
  <r>
    <x v="2099"/>
    <d v="2025-05-31T00:00:00"/>
    <s v="High Street"/>
    <s v="Birmingham"/>
    <s v="Croissant"/>
    <s v="Food"/>
    <n v="1"/>
    <n v="2.8"/>
    <s v="Cash"/>
    <s v="C1086"/>
    <n v="2.8"/>
    <s v="Saturday"/>
    <s v="May"/>
    <n v="2025"/>
  </r>
  <r>
    <x v="2100"/>
    <d v="2025-05-31T00:00:00"/>
    <s v="Station"/>
    <s v="Leeds"/>
    <s v="Espresso"/>
    <s v="Drink"/>
    <n v="1"/>
    <n v="2.5"/>
    <s v="Apple Pay"/>
    <s v="C1836"/>
    <n v="2.5"/>
    <s v="Saturday"/>
    <s v="May"/>
    <n v="2025"/>
  </r>
  <r>
    <x v="2101"/>
    <d v="2025-06-01T00:00:00"/>
    <s v="Central"/>
    <s v="Manchester"/>
    <s v="Latte"/>
    <s v="Drink"/>
    <n v="5"/>
    <n v="3.5"/>
    <s v="Apple Pay"/>
    <s v="C1859"/>
    <n v="17.5"/>
    <s v="Sunday"/>
    <s v="June"/>
    <n v="2025"/>
  </r>
  <r>
    <x v="2102"/>
    <d v="2025-06-01T00:00:00"/>
    <s v="High Street"/>
    <s v="Leeds"/>
    <s v="Cappuccino"/>
    <s v="Drink"/>
    <n v="4"/>
    <n v="3.8"/>
    <s v="Apple Pay"/>
    <s v="C1103"/>
    <n v="15.2"/>
    <s v="Sunday"/>
    <s v="June"/>
    <n v="2025"/>
  </r>
  <r>
    <x v="2103"/>
    <d v="2025-06-01T00:00:00"/>
    <s v="High Street"/>
    <s v="Bristol"/>
    <s v="Latte"/>
    <s v="Drink"/>
    <n v="4"/>
    <n v="3.5"/>
    <s v="Apple Pay"/>
    <s v="C1059"/>
    <n v="14"/>
    <s v="Sunday"/>
    <s v="June"/>
    <n v="2025"/>
  </r>
  <r>
    <x v="2104"/>
    <d v="2025-06-01T00:00:00"/>
    <s v="Station"/>
    <s v="Leeds"/>
    <s v="Muffin"/>
    <s v="Food"/>
    <n v="5"/>
    <n v="2.2000000000000002"/>
    <s v="Apple Pay"/>
    <s v="C1128"/>
    <n v="11"/>
    <s v="Sunday"/>
    <s v="June"/>
    <n v="2025"/>
  </r>
  <r>
    <x v="2105"/>
    <d v="2025-06-01T00:00:00"/>
    <s v="Central"/>
    <s v="Manchester"/>
    <s v="Croissant"/>
    <s v="Food"/>
    <n v="3"/>
    <n v="2.8"/>
    <s v="Cash"/>
    <s v="C1247"/>
    <n v="8.3999999999999986"/>
    <s v="Sunday"/>
    <s v="June"/>
    <n v="2025"/>
  </r>
  <r>
    <x v="2106"/>
    <d v="2025-06-01T00:00:00"/>
    <s v="Station"/>
    <s v="London"/>
    <s v="Espresso"/>
    <s v="Drink"/>
    <n v="3"/>
    <n v="2.5"/>
    <s v="Apple Pay"/>
    <s v="C1649"/>
    <n v="7.5"/>
    <s v="Sunday"/>
    <s v="June"/>
    <n v="2025"/>
  </r>
  <r>
    <x v="2107"/>
    <d v="2025-06-01T00:00:00"/>
    <s v="Station"/>
    <s v="Manchester"/>
    <s v="Espresso"/>
    <s v="Drink"/>
    <n v="3"/>
    <n v="2.5"/>
    <s v="Cash"/>
    <s v="C1202"/>
    <n v="7.5"/>
    <s v="Sunday"/>
    <s v="June"/>
    <n v="2025"/>
  </r>
  <r>
    <x v="2108"/>
    <d v="2025-06-01T00:00:00"/>
    <s v="Station"/>
    <s v="London"/>
    <s v="Latte"/>
    <s v="Drink"/>
    <n v="2"/>
    <n v="3.5"/>
    <s v="Cash"/>
    <s v="C1951"/>
    <n v="7"/>
    <s v="Sunday"/>
    <s v="June"/>
    <n v="2025"/>
  </r>
  <r>
    <x v="2109"/>
    <d v="2025-06-01T00:00:00"/>
    <s v="Station"/>
    <s v="Leeds"/>
    <s v="Muffin"/>
    <s v="Food"/>
    <n v="3"/>
    <n v="2.2000000000000002"/>
    <s v="Card"/>
    <s v="C1195"/>
    <n v="6.6000000000000005"/>
    <s v="Sunday"/>
    <s v="June"/>
    <n v="2025"/>
  </r>
  <r>
    <x v="2110"/>
    <d v="2025-06-01T00:00:00"/>
    <s v="Riverside"/>
    <s v="Leeds"/>
    <s v="Muffin"/>
    <s v="Food"/>
    <n v="3"/>
    <n v="2.2000000000000002"/>
    <s v="Card"/>
    <s v="C1479"/>
    <n v="6.6000000000000005"/>
    <s v="Sunday"/>
    <s v="June"/>
    <n v="2025"/>
  </r>
  <r>
    <x v="2111"/>
    <d v="2025-06-01T00:00:00"/>
    <s v="Station"/>
    <s v="Birmingham"/>
    <s v="Muffin"/>
    <s v="Food"/>
    <n v="2"/>
    <n v="2.2000000000000002"/>
    <s v="Card"/>
    <s v="C1229"/>
    <n v="4.4000000000000004"/>
    <s v="Sunday"/>
    <s v="June"/>
    <n v="2025"/>
  </r>
  <r>
    <x v="2112"/>
    <d v="2025-06-01T00:00:00"/>
    <s v="Station"/>
    <s v="London"/>
    <s v="Muffin"/>
    <s v="Food"/>
    <n v="2"/>
    <n v="2.2000000000000002"/>
    <s v="Apple Pay"/>
    <s v="C1518"/>
    <n v="4.4000000000000004"/>
    <s v="Sunday"/>
    <s v="June"/>
    <n v="2025"/>
  </r>
  <r>
    <x v="2113"/>
    <d v="2025-06-01T00:00:00"/>
    <s v="Riverside"/>
    <s v="Birmingham"/>
    <s v="Cappuccino"/>
    <s v="Drink"/>
    <n v="1"/>
    <n v="3.8"/>
    <s v="Apple Pay"/>
    <s v="C1682"/>
    <n v="3.8"/>
    <s v="Sunday"/>
    <s v="June"/>
    <n v="2025"/>
  </r>
  <r>
    <x v="2114"/>
    <d v="2025-06-01T00:00:00"/>
    <s v="High Street"/>
    <s v="Bristol"/>
    <s v="Espresso"/>
    <s v="Drink"/>
    <n v="1"/>
    <n v="2.5"/>
    <s v="Cash"/>
    <s v="C1475"/>
    <n v="2.5"/>
    <s v="Sunday"/>
    <s v="June"/>
    <n v="2025"/>
  </r>
  <r>
    <x v="2115"/>
    <d v="2025-06-01T00:00:00"/>
    <s v="Riverside"/>
    <s v="Manchester"/>
    <s v="Muffin"/>
    <s v="Food"/>
    <n v="1"/>
    <n v="2.2000000000000002"/>
    <s v="Apple Pay"/>
    <s v="C1912"/>
    <n v="2.2000000000000002"/>
    <s v="Sunday"/>
    <s v="June"/>
    <n v="2025"/>
  </r>
  <r>
    <x v="2116"/>
    <d v="2025-06-01T00:00:00"/>
    <s v="Riverside"/>
    <s v="London"/>
    <s v="Muffin"/>
    <s v="Food"/>
    <n v="1"/>
    <n v="2.2000000000000002"/>
    <s v="Apple Pay"/>
    <s v="C1031"/>
    <n v="2.2000000000000002"/>
    <s v="Sunday"/>
    <s v="June"/>
    <n v="2025"/>
  </r>
  <r>
    <x v="2117"/>
    <d v="2025-06-02T00:00:00"/>
    <s v="Station"/>
    <s v="London"/>
    <s v="Cappuccino"/>
    <s v="Drink"/>
    <n v="4"/>
    <n v="3.8"/>
    <s v="Apple Pay"/>
    <s v="C1582"/>
    <n v="15.2"/>
    <s v="Monday"/>
    <s v="June"/>
    <n v="2025"/>
  </r>
  <r>
    <x v="2118"/>
    <d v="2025-06-02T00:00:00"/>
    <s v="Riverside"/>
    <s v="Birmingham"/>
    <s v="Croissant"/>
    <s v="Food"/>
    <n v="5"/>
    <n v="2.8"/>
    <s v="Card"/>
    <s v="C1941"/>
    <n v="14"/>
    <s v="Monday"/>
    <s v="June"/>
    <n v="2025"/>
  </r>
  <r>
    <x v="2119"/>
    <d v="2025-06-02T00:00:00"/>
    <s v="Station"/>
    <s v="London"/>
    <s v="Cappuccino"/>
    <s v="Drink"/>
    <n v="3"/>
    <n v="3.8"/>
    <s v="Card"/>
    <s v="C1285"/>
    <n v="11.399999999999999"/>
    <s v="Monday"/>
    <s v="June"/>
    <n v="2025"/>
  </r>
  <r>
    <x v="2120"/>
    <d v="2025-06-02T00:00:00"/>
    <s v="Station"/>
    <s v="Manchester"/>
    <s v="Cappuccino"/>
    <s v="Drink"/>
    <n v="3"/>
    <n v="3.8"/>
    <s v="Cash"/>
    <s v="C1497"/>
    <n v="11.399999999999999"/>
    <s v="Monday"/>
    <s v="June"/>
    <n v="2025"/>
  </r>
  <r>
    <x v="2121"/>
    <d v="2025-06-02T00:00:00"/>
    <s v="Central"/>
    <s v="London"/>
    <s v="Cappuccino"/>
    <s v="Drink"/>
    <n v="3"/>
    <n v="3.8"/>
    <s v="Cash"/>
    <s v="C1949"/>
    <n v="11.399999999999999"/>
    <s v="Monday"/>
    <s v="June"/>
    <n v="2025"/>
  </r>
  <r>
    <x v="2122"/>
    <d v="2025-06-02T00:00:00"/>
    <s v="Station"/>
    <s v="Leeds"/>
    <s v="Muffin"/>
    <s v="Food"/>
    <n v="5"/>
    <n v="2.2000000000000002"/>
    <s v="Apple Pay"/>
    <s v="C1771"/>
    <n v="11"/>
    <s v="Monday"/>
    <s v="June"/>
    <n v="2025"/>
  </r>
  <r>
    <x v="2123"/>
    <d v="2025-06-02T00:00:00"/>
    <s v="Riverside"/>
    <s v="London"/>
    <s v="Latte"/>
    <s v="Drink"/>
    <n v="3"/>
    <n v="3.5"/>
    <s v="Apple Pay"/>
    <s v="C1479"/>
    <n v="10.5"/>
    <s v="Monday"/>
    <s v="June"/>
    <n v="2025"/>
  </r>
  <r>
    <x v="2124"/>
    <d v="2025-06-02T00:00:00"/>
    <s v="High Street"/>
    <s v="Manchester"/>
    <s v="Croissant"/>
    <s v="Food"/>
    <n v="3"/>
    <n v="2.8"/>
    <s v="Card"/>
    <s v="C1045"/>
    <n v="8.3999999999999986"/>
    <s v="Monday"/>
    <s v="June"/>
    <n v="2025"/>
  </r>
  <r>
    <x v="2125"/>
    <d v="2025-06-02T00:00:00"/>
    <s v="Central"/>
    <s v="Manchester"/>
    <s v="Croissant"/>
    <s v="Food"/>
    <n v="3"/>
    <n v="2.8"/>
    <s v="Card"/>
    <s v="C1014"/>
    <n v="8.3999999999999986"/>
    <s v="Monday"/>
    <s v="June"/>
    <n v="2025"/>
  </r>
  <r>
    <x v="2126"/>
    <d v="2025-06-02T00:00:00"/>
    <s v="Station"/>
    <s v="Birmingham"/>
    <s v="Cappuccino"/>
    <s v="Drink"/>
    <n v="2"/>
    <n v="3.8"/>
    <s v="Cash"/>
    <s v="C1009"/>
    <n v="7.6"/>
    <s v="Monday"/>
    <s v="June"/>
    <n v="2025"/>
  </r>
  <r>
    <x v="2127"/>
    <d v="2025-06-03T00:00:00"/>
    <s v="Station"/>
    <s v="Leeds"/>
    <s v="Latte"/>
    <s v="Drink"/>
    <n v="5"/>
    <n v="3.5"/>
    <s v="Apple Pay"/>
    <s v="C1929"/>
    <n v="17.5"/>
    <s v="Tuesday"/>
    <s v="June"/>
    <n v="2025"/>
  </r>
  <r>
    <x v="2128"/>
    <d v="2025-06-03T00:00:00"/>
    <s v="Station"/>
    <s v="Birmingham"/>
    <s v="Latte"/>
    <s v="Drink"/>
    <n v="5"/>
    <n v="3.5"/>
    <s v="Cash"/>
    <s v="C1930"/>
    <n v="17.5"/>
    <s v="Tuesday"/>
    <s v="June"/>
    <n v="2025"/>
  </r>
  <r>
    <x v="2129"/>
    <d v="2025-06-03T00:00:00"/>
    <s v="Central"/>
    <s v="London"/>
    <s v="Cappuccino"/>
    <s v="Drink"/>
    <n v="4"/>
    <n v="3.8"/>
    <s v="Card"/>
    <s v="C1883"/>
    <n v="15.2"/>
    <s v="Tuesday"/>
    <s v="June"/>
    <n v="2025"/>
  </r>
  <r>
    <x v="2130"/>
    <d v="2025-06-03T00:00:00"/>
    <s v="Station"/>
    <s v="Bristol"/>
    <s v="Croissant"/>
    <s v="Food"/>
    <n v="4"/>
    <n v="2.8"/>
    <s v="Card"/>
    <s v="C1455"/>
    <n v="11.2"/>
    <s v="Tuesday"/>
    <s v="June"/>
    <n v="2025"/>
  </r>
  <r>
    <x v="2131"/>
    <d v="2025-06-03T00:00:00"/>
    <s v="Central"/>
    <s v="Manchester"/>
    <s v="Muffin"/>
    <s v="Food"/>
    <n v="5"/>
    <n v="2.2000000000000002"/>
    <s v="Cash"/>
    <s v="C1546"/>
    <n v="11"/>
    <s v="Tuesday"/>
    <s v="June"/>
    <n v="2025"/>
  </r>
  <r>
    <x v="2132"/>
    <d v="2025-06-03T00:00:00"/>
    <s v="High Street"/>
    <s v="Manchester"/>
    <s v="Muffin"/>
    <s v="Food"/>
    <n v="4"/>
    <n v="2.2000000000000002"/>
    <s v="Apple Pay"/>
    <s v="C1209"/>
    <n v="8.8000000000000007"/>
    <s v="Tuesday"/>
    <s v="June"/>
    <n v="2025"/>
  </r>
  <r>
    <x v="2133"/>
    <d v="2025-06-03T00:00:00"/>
    <s v="Station"/>
    <s v="London"/>
    <s v="Muffin"/>
    <s v="Food"/>
    <n v="4"/>
    <n v="2.2000000000000002"/>
    <s v="Apple Pay"/>
    <s v="C1634"/>
    <n v="8.8000000000000007"/>
    <s v="Tuesday"/>
    <s v="June"/>
    <n v="2025"/>
  </r>
  <r>
    <x v="2134"/>
    <d v="2025-06-03T00:00:00"/>
    <s v="High Street"/>
    <s v="London"/>
    <s v="Latte"/>
    <s v="Drink"/>
    <n v="2"/>
    <n v="3.5"/>
    <s v="Apple Pay"/>
    <s v="C1901"/>
    <n v="7"/>
    <s v="Tuesday"/>
    <s v="June"/>
    <n v="2025"/>
  </r>
  <r>
    <x v="2135"/>
    <d v="2025-06-03T00:00:00"/>
    <s v="High Street"/>
    <s v="Manchester"/>
    <s v="Latte"/>
    <s v="Drink"/>
    <n v="2"/>
    <n v="3.5"/>
    <s v="Cash"/>
    <s v="C1510"/>
    <n v="7"/>
    <s v="Tuesday"/>
    <s v="June"/>
    <n v="2025"/>
  </r>
  <r>
    <x v="2136"/>
    <d v="2025-06-03T00:00:00"/>
    <s v="High Street"/>
    <s v="Bristol"/>
    <s v="Muffin"/>
    <s v="Food"/>
    <n v="3"/>
    <n v="2.2000000000000002"/>
    <s v="Card"/>
    <s v="C1000"/>
    <n v="6.6000000000000005"/>
    <s v="Tuesday"/>
    <s v="June"/>
    <n v="2025"/>
  </r>
  <r>
    <x v="2137"/>
    <d v="2025-06-03T00:00:00"/>
    <s v="Central"/>
    <s v="Leeds"/>
    <s v="Muffin"/>
    <s v="Food"/>
    <n v="3"/>
    <n v="2.2000000000000002"/>
    <s v="Card"/>
    <s v="C1010"/>
    <n v="6.6000000000000005"/>
    <s v="Tuesday"/>
    <s v="June"/>
    <n v="2025"/>
  </r>
  <r>
    <x v="2138"/>
    <d v="2025-06-03T00:00:00"/>
    <s v="Station"/>
    <s v="Manchester"/>
    <s v="Latte"/>
    <s v="Drink"/>
    <n v="1"/>
    <n v="3.5"/>
    <s v="Card"/>
    <s v="C1033"/>
    <n v="3.5"/>
    <s v="Tuesday"/>
    <s v="June"/>
    <n v="2025"/>
  </r>
  <r>
    <x v="2139"/>
    <d v="2025-06-04T00:00:00"/>
    <s v="Station"/>
    <s v="Manchester"/>
    <s v="Cappuccino"/>
    <s v="Drink"/>
    <n v="4"/>
    <n v="3.8"/>
    <s v="Cash"/>
    <s v="C1842"/>
    <n v="15.2"/>
    <s v="Wednesday"/>
    <s v="June"/>
    <n v="2025"/>
  </r>
  <r>
    <x v="2140"/>
    <d v="2025-06-04T00:00:00"/>
    <s v="Station"/>
    <s v="Birmingham"/>
    <s v="Croissant"/>
    <s v="Food"/>
    <n v="5"/>
    <n v="2.8"/>
    <s v="Apple Pay"/>
    <s v="C1283"/>
    <n v="14"/>
    <s v="Wednesday"/>
    <s v="June"/>
    <n v="2025"/>
  </r>
  <r>
    <x v="2141"/>
    <d v="2025-06-04T00:00:00"/>
    <s v="Central"/>
    <s v="Birmingham"/>
    <s v="Croissant"/>
    <s v="Food"/>
    <n v="5"/>
    <n v="2.8"/>
    <s v="Apple Pay"/>
    <s v="C1355"/>
    <n v="14"/>
    <s v="Wednesday"/>
    <s v="June"/>
    <n v="2025"/>
  </r>
  <r>
    <x v="2142"/>
    <d v="2025-06-04T00:00:00"/>
    <s v="Station"/>
    <s v="Leeds"/>
    <s v="Latte"/>
    <s v="Drink"/>
    <n v="2"/>
    <n v="3.5"/>
    <s v="Apple Pay"/>
    <s v="C1056"/>
    <n v="7"/>
    <s v="Wednesday"/>
    <s v="June"/>
    <n v="2025"/>
  </r>
  <r>
    <x v="2143"/>
    <d v="2025-06-04T00:00:00"/>
    <s v="Station"/>
    <s v="Leeds"/>
    <s v="Muffin"/>
    <s v="Food"/>
    <n v="2"/>
    <n v="2.2000000000000002"/>
    <s v="Apple Pay"/>
    <s v="C1359"/>
    <n v="4.4000000000000004"/>
    <s v="Wednesday"/>
    <s v="June"/>
    <n v="2025"/>
  </r>
  <r>
    <x v="2144"/>
    <d v="2025-06-04T00:00:00"/>
    <s v="Station"/>
    <s v="Birmingham"/>
    <s v="Croissant"/>
    <s v="Food"/>
    <n v="1"/>
    <n v="2.8"/>
    <s v="Apple Pay"/>
    <s v="C1101"/>
    <n v="2.8"/>
    <s v="Wednesday"/>
    <s v="June"/>
    <n v="2025"/>
  </r>
  <r>
    <x v="2145"/>
    <d v="2025-06-04T00:00:00"/>
    <s v="High Street"/>
    <s v="London"/>
    <s v="Muffin"/>
    <s v="Food"/>
    <n v="1"/>
    <n v="2.2000000000000002"/>
    <s v="Card"/>
    <s v="C1777"/>
    <n v="2.2000000000000002"/>
    <s v="Wednesday"/>
    <s v="June"/>
    <n v="2025"/>
  </r>
  <r>
    <x v="2146"/>
    <d v="2025-06-04T00:00:00"/>
    <s v="Central"/>
    <s v="Leeds"/>
    <s v="Muffin"/>
    <s v="Food"/>
    <n v="1"/>
    <n v="2.2000000000000002"/>
    <s v="Cash"/>
    <s v="C1697"/>
    <n v="2.2000000000000002"/>
    <s v="Wednesday"/>
    <s v="June"/>
    <n v="2025"/>
  </r>
  <r>
    <x v="2147"/>
    <d v="2025-06-05T00:00:00"/>
    <s v="Riverside"/>
    <s v="Bristol"/>
    <s v="Croissant"/>
    <s v="Food"/>
    <n v="5"/>
    <n v="2.8"/>
    <s v="Apple Pay"/>
    <s v="C1746"/>
    <n v="14"/>
    <s v="Thursday"/>
    <s v="June"/>
    <n v="2025"/>
  </r>
  <r>
    <x v="2148"/>
    <d v="2025-06-05T00:00:00"/>
    <s v="Riverside"/>
    <s v="Bristol"/>
    <s v="Espresso"/>
    <s v="Drink"/>
    <n v="5"/>
    <n v="2.5"/>
    <s v="Apple Pay"/>
    <s v="C1908"/>
    <n v="12.5"/>
    <s v="Thursday"/>
    <s v="June"/>
    <n v="2025"/>
  </r>
  <r>
    <x v="2149"/>
    <d v="2025-06-05T00:00:00"/>
    <s v="Station"/>
    <s v="Birmingham"/>
    <s v="Croissant"/>
    <s v="Food"/>
    <n v="4"/>
    <n v="2.8"/>
    <s v="Cash"/>
    <s v="C1382"/>
    <n v="11.2"/>
    <s v="Thursday"/>
    <s v="June"/>
    <n v="2025"/>
  </r>
  <r>
    <x v="2150"/>
    <d v="2025-06-05T00:00:00"/>
    <s v="Central"/>
    <s v="Birmingham"/>
    <s v="Muffin"/>
    <s v="Food"/>
    <n v="5"/>
    <n v="2.2000000000000002"/>
    <s v="Cash"/>
    <s v="C1431"/>
    <n v="11"/>
    <s v="Thursday"/>
    <s v="June"/>
    <n v="2025"/>
  </r>
  <r>
    <x v="2151"/>
    <d v="2025-06-05T00:00:00"/>
    <s v="High Street"/>
    <s v="Bristol"/>
    <s v="Latte"/>
    <s v="Drink"/>
    <n v="2"/>
    <n v="3.5"/>
    <s v="Card"/>
    <s v="C1560"/>
    <n v="7"/>
    <s v="Thursday"/>
    <s v="June"/>
    <n v="2025"/>
  </r>
  <r>
    <x v="2152"/>
    <d v="2025-06-05T00:00:00"/>
    <s v="Riverside"/>
    <s v="Birmingham"/>
    <s v="Muffin"/>
    <s v="Food"/>
    <n v="3"/>
    <n v="2.2000000000000002"/>
    <s v="Card"/>
    <s v="C1854"/>
    <n v="6.6000000000000005"/>
    <s v="Thursday"/>
    <s v="June"/>
    <n v="2025"/>
  </r>
  <r>
    <x v="2153"/>
    <d v="2025-06-05T00:00:00"/>
    <s v="High Street"/>
    <s v="London"/>
    <s v="Espresso"/>
    <s v="Drink"/>
    <n v="2"/>
    <n v="2.5"/>
    <s v="Card"/>
    <s v="C1825"/>
    <n v="5"/>
    <s v="Thursday"/>
    <s v="June"/>
    <n v="2025"/>
  </r>
  <r>
    <x v="2153"/>
    <d v="2025-06-05T00:00:00"/>
    <s v="High Street"/>
    <s v="London"/>
    <s v="Espresso"/>
    <s v="Drink"/>
    <n v="2"/>
    <n v="2.5"/>
    <s v="Cash"/>
    <s v="C1825"/>
    <n v="5"/>
    <s v="Thursday"/>
    <s v="June"/>
    <n v="2025"/>
  </r>
  <r>
    <x v="2154"/>
    <d v="2025-06-05T00:00:00"/>
    <s v="High Street"/>
    <s v="Manchester"/>
    <s v="Espresso"/>
    <s v="Drink"/>
    <n v="2"/>
    <n v="2.5"/>
    <s v="Apple Pay"/>
    <s v="C1024"/>
    <n v="5"/>
    <s v="Thursday"/>
    <s v="June"/>
    <n v="2025"/>
  </r>
  <r>
    <x v="2155"/>
    <d v="2025-06-05T00:00:00"/>
    <s v="Station"/>
    <s v="Birmingham"/>
    <s v="Muffin"/>
    <s v="Food"/>
    <n v="2"/>
    <n v="2.2000000000000002"/>
    <s v="Cash"/>
    <s v="C1838"/>
    <n v="4.4000000000000004"/>
    <s v="Thursday"/>
    <s v="June"/>
    <n v="2025"/>
  </r>
  <r>
    <x v="2156"/>
    <d v="2025-06-05T00:00:00"/>
    <s v="High Street"/>
    <s v="Birmingham"/>
    <s v="Cappuccino"/>
    <s v="Drink"/>
    <n v="1"/>
    <n v="3.8"/>
    <s v="Card"/>
    <s v="C1067"/>
    <n v="3.8"/>
    <s v="Thursday"/>
    <s v="June"/>
    <n v="2025"/>
  </r>
  <r>
    <x v="2157"/>
    <d v="2025-06-05T00:00:00"/>
    <s v="High Street"/>
    <s v="Leeds"/>
    <s v="Croissant"/>
    <s v="Food"/>
    <n v="1"/>
    <n v="2.8"/>
    <s v="Cash"/>
    <s v="C1008"/>
    <n v="2.8"/>
    <s v="Thursday"/>
    <s v="June"/>
    <n v="2025"/>
  </r>
  <r>
    <x v="2158"/>
    <d v="2025-06-06T00:00:00"/>
    <s v="High Street"/>
    <s v="Bristol"/>
    <s v="Cappuccino"/>
    <s v="Drink"/>
    <n v="4"/>
    <n v="3.8"/>
    <s v="Card"/>
    <s v="C1487"/>
    <n v="15.2"/>
    <s v="Friday"/>
    <s v="June"/>
    <n v="2025"/>
  </r>
  <r>
    <x v="2159"/>
    <d v="2025-06-06T00:00:00"/>
    <s v="Central"/>
    <s v="Birmingham"/>
    <s v="Cappuccino"/>
    <s v="Drink"/>
    <n v="4"/>
    <n v="3.8"/>
    <s v="Card"/>
    <s v="C1279"/>
    <n v="15.2"/>
    <s v="Friday"/>
    <s v="June"/>
    <n v="2025"/>
  </r>
  <r>
    <x v="2160"/>
    <d v="2025-06-06T00:00:00"/>
    <s v="Riverside"/>
    <s v="Leeds"/>
    <s v="Cappuccino"/>
    <s v="Drink"/>
    <n v="4"/>
    <n v="3.8"/>
    <s v="Card"/>
    <s v="C1697"/>
    <n v="15.2"/>
    <s v="Friday"/>
    <s v="June"/>
    <n v="2025"/>
  </r>
  <r>
    <x v="2161"/>
    <d v="2025-06-06T00:00:00"/>
    <s v="Station"/>
    <s v="Manchester"/>
    <s v="Cappuccino"/>
    <s v="Drink"/>
    <n v="4"/>
    <n v="3.8"/>
    <s v="Apple Pay"/>
    <s v="C1834"/>
    <n v="15.2"/>
    <s v="Friday"/>
    <s v="June"/>
    <n v="2025"/>
  </r>
  <r>
    <x v="2162"/>
    <d v="2025-06-06T00:00:00"/>
    <s v="Central"/>
    <s v="London"/>
    <s v="Espresso"/>
    <s v="Drink"/>
    <n v="5"/>
    <n v="2.5"/>
    <s v="Cash"/>
    <s v="C1856"/>
    <n v="12.5"/>
    <s v="Friday"/>
    <s v="June"/>
    <n v="2025"/>
  </r>
  <r>
    <x v="2163"/>
    <d v="2025-06-06T00:00:00"/>
    <s v="High Street"/>
    <s v="Leeds"/>
    <s v="Muffin"/>
    <s v="Food"/>
    <n v="5"/>
    <n v="2.2000000000000002"/>
    <s v="Card"/>
    <s v="C1877"/>
    <n v="11"/>
    <s v="Friday"/>
    <s v="June"/>
    <n v="2025"/>
  </r>
  <r>
    <x v="2164"/>
    <d v="2025-06-06T00:00:00"/>
    <s v="Central"/>
    <s v="Birmingham"/>
    <s v="Latte"/>
    <s v="Drink"/>
    <n v="3"/>
    <n v="3.5"/>
    <s v="Apple Pay"/>
    <s v="C1060"/>
    <n v="10.5"/>
    <s v="Friday"/>
    <s v="June"/>
    <n v="2025"/>
  </r>
  <r>
    <x v="2165"/>
    <d v="2025-06-06T00:00:00"/>
    <s v="Riverside"/>
    <s v="Leeds"/>
    <s v="Cappuccino"/>
    <s v="Drink"/>
    <n v="2"/>
    <n v="3.8"/>
    <s v="Apple Pay"/>
    <s v="C1616"/>
    <n v="7.6"/>
    <s v="Friday"/>
    <s v="June"/>
    <n v="2025"/>
  </r>
  <r>
    <x v="2166"/>
    <d v="2025-06-06T00:00:00"/>
    <s v="High Street"/>
    <s v="London"/>
    <s v="Latte"/>
    <s v="Drink"/>
    <n v="2"/>
    <n v="3.5"/>
    <s v="Card"/>
    <s v="C1989"/>
    <n v="7"/>
    <s v="Friday"/>
    <s v="June"/>
    <n v="2025"/>
  </r>
  <r>
    <x v="2167"/>
    <d v="2025-06-06T00:00:00"/>
    <s v="Riverside"/>
    <s v="London"/>
    <s v="Croissant"/>
    <s v="Food"/>
    <n v="2"/>
    <n v="2.8"/>
    <s v="Apple Pay"/>
    <s v="C1887"/>
    <n v="5.6"/>
    <s v="Friday"/>
    <s v="June"/>
    <n v="2025"/>
  </r>
  <r>
    <x v="2168"/>
    <d v="2025-06-07T00:00:00"/>
    <s v="Station"/>
    <s v="Manchester"/>
    <s v="Latte"/>
    <s v="Drink"/>
    <n v="4"/>
    <n v="3.5"/>
    <s v="Apple Pay"/>
    <s v="C1428"/>
    <n v="14"/>
    <s v="Saturday"/>
    <s v="June"/>
    <n v="2025"/>
  </r>
  <r>
    <x v="2169"/>
    <d v="2025-06-07T00:00:00"/>
    <s v="Station"/>
    <s v="Manchester"/>
    <s v="Latte"/>
    <s v="Drink"/>
    <n v="4"/>
    <n v="3.5"/>
    <s v="Card"/>
    <s v="C1181"/>
    <n v="14"/>
    <s v="Saturday"/>
    <s v="June"/>
    <n v="2025"/>
  </r>
  <r>
    <x v="2170"/>
    <d v="2025-06-07T00:00:00"/>
    <s v="High Street"/>
    <s v="Bristol"/>
    <s v="Espresso"/>
    <s v="Drink"/>
    <n v="5"/>
    <n v="2.5"/>
    <s v="Card"/>
    <s v="C1422"/>
    <n v="12.5"/>
    <s v="Saturday"/>
    <s v="June"/>
    <n v="2025"/>
  </r>
  <r>
    <x v="2171"/>
    <d v="2025-06-07T00:00:00"/>
    <s v="High Street"/>
    <s v="Manchester"/>
    <s v="Croissant"/>
    <s v="Food"/>
    <n v="4"/>
    <n v="2.8"/>
    <s v="Apple Pay"/>
    <s v="C1566"/>
    <n v="11.2"/>
    <s v="Saturday"/>
    <s v="June"/>
    <n v="2025"/>
  </r>
  <r>
    <x v="2172"/>
    <d v="2025-06-07T00:00:00"/>
    <s v="Station"/>
    <s v="Leeds"/>
    <s v="Muffin"/>
    <s v="Food"/>
    <n v="5"/>
    <n v="2.2000000000000002"/>
    <s v="Apple Pay"/>
    <s v="C1742"/>
    <n v="11"/>
    <s v="Saturday"/>
    <s v="June"/>
    <n v="2025"/>
  </r>
  <r>
    <x v="2173"/>
    <d v="2025-06-07T00:00:00"/>
    <s v="Station"/>
    <s v="Leeds"/>
    <s v="Muffin"/>
    <s v="Food"/>
    <n v="5"/>
    <n v="2.2000000000000002"/>
    <s v="Card"/>
    <s v="C1670"/>
    <n v="11"/>
    <s v="Saturday"/>
    <s v="June"/>
    <n v="2025"/>
  </r>
  <r>
    <x v="2174"/>
    <d v="2025-06-07T00:00:00"/>
    <s v="Riverside"/>
    <s v="Birmingham"/>
    <s v="Espresso"/>
    <s v="Drink"/>
    <n v="4"/>
    <n v="2.5"/>
    <s v="Cash"/>
    <s v="C1019"/>
    <n v="10"/>
    <s v="Saturday"/>
    <s v="June"/>
    <n v="2025"/>
  </r>
  <r>
    <x v="2175"/>
    <d v="2025-06-07T00:00:00"/>
    <s v="Riverside"/>
    <s v="Birmingham"/>
    <s v="Espresso"/>
    <s v="Drink"/>
    <n v="4"/>
    <n v="2.5"/>
    <s v="Apple Pay"/>
    <s v="C1326"/>
    <n v="10"/>
    <s v="Saturday"/>
    <s v="June"/>
    <n v="2025"/>
  </r>
  <r>
    <x v="2176"/>
    <d v="2025-06-07T00:00:00"/>
    <s v="Station"/>
    <s v="Birmingham"/>
    <s v="Espresso"/>
    <s v="Drink"/>
    <n v="4"/>
    <n v="2.5"/>
    <s v="Apple Pay"/>
    <s v="C1409"/>
    <n v="10"/>
    <s v="Saturday"/>
    <s v="June"/>
    <n v="2025"/>
  </r>
  <r>
    <x v="2177"/>
    <d v="2025-06-07T00:00:00"/>
    <s v="Riverside"/>
    <s v="London"/>
    <s v="Espresso"/>
    <s v="Drink"/>
    <n v="4"/>
    <n v="2.5"/>
    <s v="Cash"/>
    <s v="C1194"/>
    <n v="10"/>
    <s v="Saturday"/>
    <s v="June"/>
    <n v="2025"/>
  </r>
  <r>
    <x v="2178"/>
    <d v="2025-06-07T00:00:00"/>
    <s v="Riverside"/>
    <s v="Bristol"/>
    <s v="Muffin"/>
    <s v="Food"/>
    <n v="4"/>
    <n v="2.2000000000000002"/>
    <s v="Apple Pay"/>
    <s v="C1021"/>
    <n v="8.8000000000000007"/>
    <s v="Saturday"/>
    <s v="June"/>
    <n v="2025"/>
  </r>
  <r>
    <x v="2179"/>
    <d v="2025-06-07T00:00:00"/>
    <s v="Riverside"/>
    <s v="London"/>
    <s v="Muffin"/>
    <s v="Food"/>
    <n v="4"/>
    <n v="2.2000000000000002"/>
    <s v="Card"/>
    <s v="C1845"/>
    <n v="8.8000000000000007"/>
    <s v="Saturday"/>
    <s v="June"/>
    <n v="2025"/>
  </r>
  <r>
    <x v="2180"/>
    <d v="2025-06-07T00:00:00"/>
    <s v="Riverside"/>
    <s v="Bristol"/>
    <s v="Croissant"/>
    <s v="Food"/>
    <n v="3"/>
    <n v="2.8"/>
    <s v="Card"/>
    <s v="C1757"/>
    <n v="8.3999999999999986"/>
    <s v="Saturday"/>
    <s v="June"/>
    <n v="2025"/>
  </r>
  <r>
    <x v="2181"/>
    <d v="2025-06-07T00:00:00"/>
    <s v="Central"/>
    <s v="Manchester"/>
    <s v="Croissant"/>
    <s v="Food"/>
    <n v="2"/>
    <n v="2.8"/>
    <s v="Cash"/>
    <s v="C1434"/>
    <n v="5.6"/>
    <s v="Saturday"/>
    <s v="June"/>
    <n v="2025"/>
  </r>
  <r>
    <x v="2182"/>
    <d v="2025-06-07T00:00:00"/>
    <s v="Riverside"/>
    <s v="Birmingham"/>
    <s v="Espresso"/>
    <s v="Drink"/>
    <n v="2"/>
    <n v="2.5"/>
    <s v="Apple Pay"/>
    <s v="C1312"/>
    <n v="5"/>
    <s v="Saturday"/>
    <s v="June"/>
    <n v="2025"/>
  </r>
  <r>
    <x v="2183"/>
    <d v="2025-06-07T00:00:00"/>
    <s v="Central"/>
    <s v="London"/>
    <s v="Espresso"/>
    <s v="Drink"/>
    <n v="2"/>
    <n v="2.5"/>
    <s v="Apple Pay"/>
    <s v="C1523"/>
    <n v="5"/>
    <s v="Saturday"/>
    <s v="June"/>
    <n v="2025"/>
  </r>
  <r>
    <x v="2184"/>
    <d v="2025-06-07T00:00:00"/>
    <s v="High Street"/>
    <s v="Birmingham"/>
    <s v="Espresso"/>
    <s v="Drink"/>
    <n v="1"/>
    <n v="2.5"/>
    <s v="Apple Pay"/>
    <s v="C1608"/>
    <n v="2.5"/>
    <s v="Saturday"/>
    <s v="June"/>
    <n v="2025"/>
  </r>
  <r>
    <x v="2185"/>
    <d v="2025-06-08T00:00:00"/>
    <s v="High Street"/>
    <s v="Birmingham"/>
    <s v="Latte"/>
    <s v="Drink"/>
    <n v="5"/>
    <n v="3.5"/>
    <s v="Apple Pay"/>
    <s v="C1856"/>
    <n v="17.5"/>
    <s v="Sunday"/>
    <s v="June"/>
    <n v="2025"/>
  </r>
  <r>
    <x v="2186"/>
    <d v="2025-06-08T00:00:00"/>
    <s v="High Street"/>
    <s v="Bristol"/>
    <s v="Cappuccino"/>
    <s v="Drink"/>
    <n v="4"/>
    <n v="3.8"/>
    <s v="Card"/>
    <s v="C1967"/>
    <n v="15.2"/>
    <s v="Sunday"/>
    <s v="June"/>
    <n v="2025"/>
  </r>
  <r>
    <x v="2187"/>
    <d v="2025-06-08T00:00:00"/>
    <s v="High Street"/>
    <s v="Birmingham"/>
    <s v="Cappuccino"/>
    <s v="Drink"/>
    <n v="3"/>
    <n v="3.8"/>
    <s v="Apple Pay"/>
    <s v="C1481"/>
    <n v="11.399999999999999"/>
    <s v="Sunday"/>
    <s v="June"/>
    <n v="2025"/>
  </r>
  <r>
    <x v="2188"/>
    <d v="2025-06-08T00:00:00"/>
    <s v="High Street"/>
    <s v="Bristol"/>
    <s v="Muffin"/>
    <s v="Food"/>
    <n v="5"/>
    <n v="2.2000000000000002"/>
    <s v="Card"/>
    <s v="C1786"/>
    <n v="11"/>
    <s v="Sunday"/>
    <s v="June"/>
    <n v="2025"/>
  </r>
  <r>
    <x v="2189"/>
    <d v="2025-06-08T00:00:00"/>
    <s v="Riverside"/>
    <s v="Bristol"/>
    <s v="Croissant"/>
    <s v="Food"/>
    <n v="3"/>
    <n v="2.8"/>
    <s v="Cash"/>
    <s v="C1902"/>
    <n v="8.3999999999999986"/>
    <s v="Sunday"/>
    <s v="June"/>
    <n v="2025"/>
  </r>
  <r>
    <x v="2190"/>
    <d v="2025-06-08T00:00:00"/>
    <s v="Riverside"/>
    <s v="London"/>
    <s v="Espresso"/>
    <s v="Drink"/>
    <n v="3"/>
    <n v="2.5"/>
    <s v="Cash"/>
    <s v="C1840"/>
    <n v="7.5"/>
    <s v="Sunday"/>
    <s v="June"/>
    <n v="2025"/>
  </r>
  <r>
    <x v="2191"/>
    <d v="2025-06-08T00:00:00"/>
    <s v="Central"/>
    <s v="Bristol"/>
    <s v="Espresso"/>
    <s v="Drink"/>
    <n v="2"/>
    <n v="2.5"/>
    <s v="Cash"/>
    <s v="C1235"/>
    <n v="5"/>
    <s v="Sunday"/>
    <s v="June"/>
    <n v="2025"/>
  </r>
  <r>
    <x v="2192"/>
    <d v="2025-06-08T00:00:00"/>
    <s v="Central"/>
    <s v="London"/>
    <s v="Espresso"/>
    <s v="Drink"/>
    <n v="2"/>
    <n v="2.5"/>
    <s v="Cash"/>
    <s v="C1290"/>
    <n v="5"/>
    <s v="Sunday"/>
    <s v="June"/>
    <n v="2025"/>
  </r>
  <r>
    <x v="2193"/>
    <d v="2025-06-08T00:00:00"/>
    <s v="Central"/>
    <s v="Bristol"/>
    <s v="Muffin"/>
    <s v="Food"/>
    <n v="2"/>
    <n v="2.2000000000000002"/>
    <s v="Apple Pay"/>
    <s v="C1660"/>
    <n v="4.4000000000000004"/>
    <s v="Sunday"/>
    <s v="June"/>
    <n v="2025"/>
  </r>
  <r>
    <x v="2194"/>
    <d v="2025-06-08T00:00:00"/>
    <s v="High Street"/>
    <s v="Birmingham"/>
    <s v="Cappuccino"/>
    <s v="Drink"/>
    <n v="1"/>
    <n v="3.8"/>
    <s v="Cash"/>
    <s v="C1918"/>
    <n v="3.8"/>
    <s v="Sunday"/>
    <s v="June"/>
    <n v="2025"/>
  </r>
  <r>
    <x v="2195"/>
    <d v="2025-06-09T00:00:00"/>
    <s v="Riverside"/>
    <s v="London"/>
    <s v="Croissant"/>
    <s v="Food"/>
    <n v="5"/>
    <n v="2.8"/>
    <s v="Apple Pay"/>
    <s v="C1537"/>
    <n v="14"/>
    <s v="Monday"/>
    <s v="June"/>
    <n v="2025"/>
  </r>
  <r>
    <x v="2196"/>
    <d v="2025-06-09T00:00:00"/>
    <s v="Station"/>
    <s v="Bristol"/>
    <s v="Latte"/>
    <s v="Drink"/>
    <n v="4"/>
    <n v="3.5"/>
    <s v="Apple Pay"/>
    <s v="C1867"/>
    <n v="14"/>
    <s v="Monday"/>
    <s v="June"/>
    <n v="2025"/>
  </r>
  <r>
    <x v="2197"/>
    <d v="2025-06-09T00:00:00"/>
    <s v="Riverside"/>
    <s v="Birmingham"/>
    <s v="Latte"/>
    <s v="Drink"/>
    <n v="4"/>
    <n v="3.5"/>
    <s v="Cash"/>
    <s v="C1875"/>
    <n v="14"/>
    <s v="Monday"/>
    <s v="June"/>
    <n v="2025"/>
  </r>
  <r>
    <x v="2198"/>
    <d v="2025-06-09T00:00:00"/>
    <s v="Station"/>
    <s v="Bristol"/>
    <s v="Cappuccino"/>
    <s v="Drink"/>
    <n v="3"/>
    <n v="3.8"/>
    <s v="Cash"/>
    <s v="C1050"/>
    <n v="11.399999999999999"/>
    <s v="Monday"/>
    <s v="June"/>
    <n v="2025"/>
  </r>
  <r>
    <x v="2199"/>
    <d v="2025-06-09T00:00:00"/>
    <s v="High Street"/>
    <s v="Leeds"/>
    <s v="Croissant"/>
    <s v="Food"/>
    <n v="3"/>
    <n v="2.8"/>
    <s v="Apple Pay"/>
    <s v="C1776"/>
    <n v="8.3999999999999986"/>
    <s v="Monday"/>
    <s v="June"/>
    <n v="2025"/>
  </r>
  <r>
    <x v="2200"/>
    <d v="2025-06-09T00:00:00"/>
    <s v="Central"/>
    <s v="Manchester"/>
    <s v="Croissant"/>
    <s v="Food"/>
    <n v="3"/>
    <n v="2.8"/>
    <s v="Card"/>
    <s v="C1852"/>
    <n v="8.3999999999999986"/>
    <s v="Monday"/>
    <s v="June"/>
    <n v="2025"/>
  </r>
  <r>
    <x v="2201"/>
    <d v="2025-06-09T00:00:00"/>
    <s v="High Street"/>
    <s v="Birmingham"/>
    <s v="Cappuccino"/>
    <s v="Drink"/>
    <n v="2"/>
    <n v="3.8"/>
    <s v="Apple Pay"/>
    <s v="C1940"/>
    <n v="7.6"/>
    <s v="Monday"/>
    <s v="June"/>
    <n v="2025"/>
  </r>
  <r>
    <x v="2202"/>
    <d v="2025-06-09T00:00:00"/>
    <s v="Riverside"/>
    <s v="Bristol"/>
    <s v="Espresso"/>
    <s v="Drink"/>
    <n v="3"/>
    <n v="2.5"/>
    <s v="Apple Pay"/>
    <s v="C1438"/>
    <n v="7.5"/>
    <s v="Monday"/>
    <s v="June"/>
    <n v="2025"/>
  </r>
  <r>
    <x v="2203"/>
    <d v="2025-06-09T00:00:00"/>
    <s v="High Street"/>
    <s v="Birmingham"/>
    <s v="Latte"/>
    <s v="Drink"/>
    <n v="2"/>
    <n v="3.5"/>
    <s v="Apple Pay"/>
    <s v="C1282"/>
    <n v="7"/>
    <s v="Monday"/>
    <s v="June"/>
    <n v="2025"/>
  </r>
  <r>
    <x v="2204"/>
    <d v="2025-06-09T00:00:00"/>
    <s v="Central"/>
    <s v="Manchester"/>
    <s v="Latte"/>
    <s v="Drink"/>
    <n v="2"/>
    <n v="3.5"/>
    <s v="Card"/>
    <s v="C1248"/>
    <n v="7"/>
    <s v="Monday"/>
    <s v="June"/>
    <n v="2025"/>
  </r>
  <r>
    <x v="2205"/>
    <d v="2025-06-09T00:00:00"/>
    <s v="Station"/>
    <s v="Birmingham"/>
    <s v="Muffin"/>
    <s v="Food"/>
    <n v="3"/>
    <n v="2.2000000000000002"/>
    <s v="Apple Pay"/>
    <s v="C1040"/>
    <n v="6.6000000000000005"/>
    <s v="Monday"/>
    <s v="June"/>
    <n v="2025"/>
  </r>
  <r>
    <x v="2206"/>
    <d v="2025-06-09T00:00:00"/>
    <s v="High Street"/>
    <s v="London"/>
    <s v="Cappuccino"/>
    <s v="Drink"/>
    <n v="1"/>
    <n v="3.8"/>
    <s v="Card"/>
    <s v="C1833"/>
    <n v="3.8"/>
    <s v="Monday"/>
    <s v="June"/>
    <n v="2025"/>
  </r>
  <r>
    <x v="2207"/>
    <d v="2025-06-09T00:00:00"/>
    <s v="Station"/>
    <s v="Leeds"/>
    <s v="Croissant"/>
    <s v="Food"/>
    <n v="1"/>
    <n v="2.8"/>
    <s v="Card"/>
    <s v="C1136"/>
    <n v="2.8"/>
    <s v="Monday"/>
    <s v="June"/>
    <n v="2025"/>
  </r>
  <r>
    <x v="2208"/>
    <d v="2025-06-10T00:00:00"/>
    <s v="Station"/>
    <s v="Leeds"/>
    <s v="Cappuccino"/>
    <s v="Drink"/>
    <n v="5"/>
    <n v="3.8"/>
    <s v="Cash"/>
    <s v="C1999"/>
    <n v="19"/>
    <s v="Tuesday"/>
    <s v="June"/>
    <n v="2025"/>
  </r>
  <r>
    <x v="2209"/>
    <d v="2025-06-10T00:00:00"/>
    <s v="Riverside"/>
    <s v="Birmingham"/>
    <s v="Cappuccino"/>
    <s v="Drink"/>
    <n v="4"/>
    <n v="3.8"/>
    <s v="Cash"/>
    <s v="C1868"/>
    <n v="15.2"/>
    <s v="Tuesday"/>
    <s v="June"/>
    <n v="2025"/>
  </r>
  <r>
    <x v="2210"/>
    <d v="2025-06-10T00:00:00"/>
    <s v="Riverside"/>
    <s v="Birmingham"/>
    <s v="Latte"/>
    <s v="Drink"/>
    <n v="4"/>
    <n v="3.5"/>
    <s v="Cash"/>
    <s v="C1861"/>
    <n v="14"/>
    <s v="Tuesday"/>
    <s v="June"/>
    <n v="2025"/>
  </r>
  <r>
    <x v="2211"/>
    <d v="2025-06-10T00:00:00"/>
    <s v="Riverside"/>
    <s v="Bristol"/>
    <s v="Croissant"/>
    <s v="Food"/>
    <n v="5"/>
    <n v="2.8"/>
    <s v="Cash"/>
    <s v="C1516"/>
    <n v="14"/>
    <s v="Tuesday"/>
    <s v="June"/>
    <n v="2025"/>
  </r>
  <r>
    <x v="2212"/>
    <d v="2025-06-10T00:00:00"/>
    <s v="High Street"/>
    <s v="London"/>
    <s v="Cappuccino"/>
    <s v="Drink"/>
    <n v="3"/>
    <n v="3.8"/>
    <s v="Apple Pay"/>
    <s v="C1120"/>
    <n v="11.399999999999999"/>
    <s v="Tuesday"/>
    <s v="June"/>
    <n v="2025"/>
  </r>
  <r>
    <x v="2213"/>
    <d v="2025-06-10T00:00:00"/>
    <s v="Central"/>
    <s v="Leeds"/>
    <s v="Croissant"/>
    <s v="Food"/>
    <n v="4"/>
    <n v="2.8"/>
    <s v="Cash"/>
    <s v="C1616"/>
    <n v="11.2"/>
    <s v="Tuesday"/>
    <s v="June"/>
    <n v="2025"/>
  </r>
  <r>
    <x v="2214"/>
    <d v="2025-06-10T00:00:00"/>
    <s v="Riverside"/>
    <s v="Birmingham"/>
    <s v="Croissant"/>
    <s v="Food"/>
    <n v="4"/>
    <n v="2.8"/>
    <s v="Cash"/>
    <s v="C1203"/>
    <n v="11.2"/>
    <s v="Tuesday"/>
    <s v="June"/>
    <n v="2025"/>
  </r>
  <r>
    <x v="2215"/>
    <d v="2025-06-10T00:00:00"/>
    <s v="Central"/>
    <s v="Leeds"/>
    <s v="Muffin"/>
    <s v="Food"/>
    <n v="4"/>
    <n v="2.2000000000000002"/>
    <s v="Card"/>
    <s v="C1700"/>
    <n v="8.8000000000000007"/>
    <s v="Tuesday"/>
    <s v="June"/>
    <n v="2025"/>
  </r>
  <r>
    <x v="2216"/>
    <d v="2025-06-10T00:00:00"/>
    <s v="Central"/>
    <s v="London"/>
    <s v="Espresso"/>
    <s v="Drink"/>
    <n v="3"/>
    <n v="2.5"/>
    <s v="Cash"/>
    <s v="C1815"/>
    <n v="7.5"/>
    <s v="Tuesday"/>
    <s v="June"/>
    <n v="2025"/>
  </r>
  <r>
    <x v="2217"/>
    <d v="2025-06-10T00:00:00"/>
    <s v="Riverside"/>
    <s v="London"/>
    <s v="Latte"/>
    <s v="Drink"/>
    <n v="2"/>
    <n v="3.5"/>
    <s v="Card"/>
    <s v="C1311"/>
    <n v="7"/>
    <s v="Tuesday"/>
    <s v="June"/>
    <n v="2025"/>
  </r>
  <r>
    <x v="2218"/>
    <d v="2025-06-10T00:00:00"/>
    <s v="High Street"/>
    <s v="Birmingham"/>
    <s v="Muffin"/>
    <s v="Food"/>
    <n v="3"/>
    <n v="2.2000000000000002"/>
    <s v="Cash"/>
    <s v="C1463"/>
    <n v="6.6000000000000005"/>
    <s v="Tuesday"/>
    <s v="June"/>
    <n v="2025"/>
  </r>
  <r>
    <x v="2219"/>
    <d v="2025-06-10T00:00:00"/>
    <s v="Central"/>
    <s v="Birmingham"/>
    <s v="Espresso"/>
    <s v="Drink"/>
    <n v="2"/>
    <n v="2.5"/>
    <s v="Card"/>
    <s v="C1867"/>
    <n v="5"/>
    <s v="Tuesday"/>
    <s v="June"/>
    <n v="2025"/>
  </r>
  <r>
    <x v="2220"/>
    <d v="2025-06-10T00:00:00"/>
    <s v="Riverside"/>
    <s v="Birmingham"/>
    <s v="Espresso"/>
    <s v="Drink"/>
    <n v="2"/>
    <n v="2.5"/>
    <s v="Apple Pay"/>
    <s v="C1786"/>
    <n v="5"/>
    <s v="Tuesday"/>
    <s v="June"/>
    <n v="2025"/>
  </r>
  <r>
    <x v="2221"/>
    <d v="2025-06-10T00:00:00"/>
    <s v="Station"/>
    <s v="Bristol"/>
    <s v="Cappuccino"/>
    <s v="Drink"/>
    <n v="1"/>
    <n v="3.8"/>
    <s v="Card"/>
    <s v="C1043"/>
    <n v="3.8"/>
    <s v="Tuesday"/>
    <s v="June"/>
    <n v="2025"/>
  </r>
  <r>
    <x v="2222"/>
    <d v="2025-06-10T00:00:00"/>
    <s v="High Street"/>
    <s v="London"/>
    <s v="Croissant"/>
    <s v="Food"/>
    <n v="1"/>
    <n v="2.8"/>
    <s v="Card"/>
    <s v="C1443"/>
    <n v="2.8"/>
    <s v="Tuesday"/>
    <s v="June"/>
    <n v="2025"/>
  </r>
  <r>
    <x v="2223"/>
    <d v="2025-06-10T00:00:00"/>
    <s v="Station"/>
    <s v="Birmingham"/>
    <s v="Croissant"/>
    <s v="Food"/>
    <n v="1"/>
    <n v="2.8"/>
    <s v="Card"/>
    <s v="C1936"/>
    <n v="2.8"/>
    <s v="Tuesday"/>
    <s v="June"/>
    <n v="2025"/>
  </r>
  <r>
    <x v="2224"/>
    <d v="2025-06-10T00:00:00"/>
    <s v="Central"/>
    <s v="Manchester"/>
    <s v="Espresso"/>
    <s v="Drink"/>
    <n v="1"/>
    <n v="2.5"/>
    <s v="Card"/>
    <s v="C1932"/>
    <n v="2.5"/>
    <s v="Tuesday"/>
    <s v="June"/>
    <n v="2025"/>
  </r>
  <r>
    <x v="2225"/>
    <d v="2025-06-11T00:00:00"/>
    <s v="Riverside"/>
    <s v="Bristol"/>
    <s v="Cappuccino"/>
    <s v="Drink"/>
    <n v="5"/>
    <n v="3.8"/>
    <s v="Cash"/>
    <s v="C1156"/>
    <n v="19"/>
    <s v="Wednesday"/>
    <s v="June"/>
    <n v="2025"/>
  </r>
  <r>
    <x v="2226"/>
    <d v="2025-06-11T00:00:00"/>
    <s v="Station"/>
    <s v="Birmingham"/>
    <s v="Cappuccino"/>
    <s v="Drink"/>
    <n v="5"/>
    <n v="3.8"/>
    <s v="Card"/>
    <s v="C1018"/>
    <n v="19"/>
    <s v="Wednesday"/>
    <s v="June"/>
    <n v="2025"/>
  </r>
  <r>
    <x v="2227"/>
    <d v="2025-06-11T00:00:00"/>
    <s v="Riverside"/>
    <s v="London"/>
    <s v="Latte"/>
    <s v="Drink"/>
    <n v="5"/>
    <n v="3.5"/>
    <s v="Card"/>
    <s v="C1738"/>
    <n v="17.5"/>
    <s v="Wednesday"/>
    <s v="June"/>
    <n v="2025"/>
  </r>
  <r>
    <x v="2228"/>
    <d v="2025-06-11T00:00:00"/>
    <s v="Riverside"/>
    <s v="Manchester"/>
    <s v="Espresso"/>
    <s v="Drink"/>
    <n v="5"/>
    <n v="2.5"/>
    <s v="Card"/>
    <s v="C1530"/>
    <n v="12.5"/>
    <s v="Wednesday"/>
    <s v="June"/>
    <n v="2025"/>
  </r>
  <r>
    <x v="2229"/>
    <d v="2025-06-11T00:00:00"/>
    <s v="High Street"/>
    <s v="Birmingham"/>
    <s v="Espresso"/>
    <s v="Drink"/>
    <n v="5"/>
    <n v="2.5"/>
    <s v="Cash"/>
    <s v="C1759"/>
    <n v="12.5"/>
    <s v="Wednesday"/>
    <s v="June"/>
    <n v="2025"/>
  </r>
  <r>
    <x v="2229"/>
    <d v="2025-06-11T00:00:00"/>
    <s v="High Street"/>
    <s v="Birmingham"/>
    <s v="Espresso"/>
    <s v="Drink"/>
    <n v="5"/>
    <n v="2.5"/>
    <s v="Card"/>
    <s v="C1759"/>
    <n v="12.5"/>
    <s v="Wednesday"/>
    <s v="June"/>
    <n v="2025"/>
  </r>
  <r>
    <x v="2230"/>
    <d v="2025-06-11T00:00:00"/>
    <s v="Station"/>
    <s v="London"/>
    <s v="Croissant"/>
    <s v="Food"/>
    <n v="4"/>
    <n v="2.8"/>
    <s v="Apple Pay"/>
    <s v="C1849"/>
    <n v="11.2"/>
    <s v="Wednesday"/>
    <s v="June"/>
    <n v="2025"/>
  </r>
  <r>
    <x v="2231"/>
    <d v="2025-06-11T00:00:00"/>
    <s v="Central"/>
    <s v="Bristol"/>
    <s v="Croissant"/>
    <s v="Food"/>
    <n v="4"/>
    <n v="2.8"/>
    <s v="Card"/>
    <s v="C1833"/>
    <n v="11.2"/>
    <s v="Wednesday"/>
    <s v="June"/>
    <n v="2025"/>
  </r>
  <r>
    <x v="2232"/>
    <d v="2025-06-11T00:00:00"/>
    <s v="Station"/>
    <s v="London"/>
    <s v="Latte"/>
    <s v="Drink"/>
    <n v="3"/>
    <n v="3.5"/>
    <s v="Card"/>
    <s v="C1623"/>
    <n v="10.5"/>
    <s v="Wednesday"/>
    <s v="June"/>
    <n v="2025"/>
  </r>
  <r>
    <x v="2233"/>
    <d v="2025-06-11T00:00:00"/>
    <s v="Riverside"/>
    <s v="Manchester"/>
    <s v="Croissant"/>
    <s v="Food"/>
    <n v="3"/>
    <n v="2.8"/>
    <s v="Card"/>
    <s v="C1341"/>
    <n v="8.3999999999999986"/>
    <s v="Wednesday"/>
    <s v="June"/>
    <n v="2025"/>
  </r>
  <r>
    <x v="2234"/>
    <d v="2025-06-11T00:00:00"/>
    <s v="Station"/>
    <s v="Birmingham"/>
    <s v="Espresso"/>
    <s v="Drink"/>
    <n v="3"/>
    <n v="2.5"/>
    <s v="Card"/>
    <s v="C1351"/>
    <n v="7.5"/>
    <s v="Wednesday"/>
    <s v="June"/>
    <n v="2025"/>
  </r>
  <r>
    <x v="2235"/>
    <d v="2025-06-11T00:00:00"/>
    <s v="Central"/>
    <s v="Birmingham"/>
    <s v="Croissant"/>
    <s v="Food"/>
    <n v="2"/>
    <n v="2.8"/>
    <s v="Card"/>
    <s v="C1925"/>
    <n v="5.6"/>
    <s v="Wednesday"/>
    <s v="June"/>
    <n v="2025"/>
  </r>
  <r>
    <x v="2236"/>
    <d v="2025-06-11T00:00:00"/>
    <s v="Central"/>
    <s v="Leeds"/>
    <s v="Croissant"/>
    <s v="Food"/>
    <n v="2"/>
    <n v="2.8"/>
    <s v="Apple Pay"/>
    <s v="C1486"/>
    <n v="5.6"/>
    <s v="Wednesday"/>
    <s v="June"/>
    <n v="2025"/>
  </r>
  <r>
    <x v="2237"/>
    <d v="2025-06-11T00:00:00"/>
    <s v="Central"/>
    <s v="London"/>
    <s v="Croissant"/>
    <s v="Food"/>
    <n v="2"/>
    <n v="2.8"/>
    <s v="Apple Pay"/>
    <s v="C1463"/>
    <n v="5.6"/>
    <s v="Wednesday"/>
    <s v="June"/>
    <n v="2025"/>
  </r>
  <r>
    <x v="2238"/>
    <d v="2025-06-11T00:00:00"/>
    <s v="High Street"/>
    <s v="Manchester"/>
    <s v="Croissant"/>
    <s v="Food"/>
    <n v="2"/>
    <n v="2.8"/>
    <s v="Card"/>
    <s v="C1495"/>
    <n v="5.6"/>
    <s v="Wednesday"/>
    <s v="June"/>
    <n v="2025"/>
  </r>
  <r>
    <x v="2239"/>
    <d v="2025-06-11T00:00:00"/>
    <s v="Central"/>
    <s v="Manchester"/>
    <s v="Croissant"/>
    <s v="Food"/>
    <n v="2"/>
    <n v="2.8"/>
    <s v="Apple Pay"/>
    <s v="C1112"/>
    <n v="5.6"/>
    <s v="Wednesday"/>
    <s v="June"/>
    <n v="2025"/>
  </r>
  <r>
    <x v="2240"/>
    <d v="2025-06-11T00:00:00"/>
    <s v="High Street"/>
    <s v="Birmingham"/>
    <s v="Muffin"/>
    <s v="Food"/>
    <n v="2"/>
    <n v="2.2000000000000002"/>
    <s v="Apple Pay"/>
    <s v="C1239"/>
    <n v="4.4000000000000004"/>
    <s v="Wednesday"/>
    <s v="June"/>
    <n v="2025"/>
  </r>
  <r>
    <x v="2241"/>
    <d v="2025-06-11T00:00:00"/>
    <s v="Riverside"/>
    <s v="Manchester"/>
    <s v="Cappuccino"/>
    <s v="Drink"/>
    <n v="1"/>
    <n v="3.8"/>
    <s v="Cash"/>
    <s v="C1717"/>
    <n v="3.8"/>
    <s v="Wednesday"/>
    <s v="June"/>
    <n v="2025"/>
  </r>
  <r>
    <x v="2242"/>
    <d v="2025-06-11T00:00:00"/>
    <s v="Station"/>
    <s v="Leeds"/>
    <s v="Latte"/>
    <s v="Drink"/>
    <n v="1"/>
    <n v="3.5"/>
    <s v="Cash"/>
    <s v="C1713"/>
    <n v="3.5"/>
    <s v="Wednesday"/>
    <s v="June"/>
    <n v="2025"/>
  </r>
  <r>
    <x v="2243"/>
    <d v="2025-06-11T00:00:00"/>
    <s v="Station"/>
    <s v="London"/>
    <s v="Latte"/>
    <s v="Drink"/>
    <n v="1"/>
    <n v="3.5"/>
    <s v="Apple Pay"/>
    <s v="C1941"/>
    <n v="3.5"/>
    <s v="Wednesday"/>
    <s v="June"/>
    <n v="2025"/>
  </r>
  <r>
    <x v="2244"/>
    <d v="2025-06-11T00:00:00"/>
    <s v="High Street"/>
    <s v="Manchester"/>
    <s v="Croissant"/>
    <s v="Food"/>
    <n v="1"/>
    <n v="2.8"/>
    <s v="Apple Pay"/>
    <s v="C1115"/>
    <n v="2.8"/>
    <s v="Wednesday"/>
    <s v="June"/>
    <n v="2025"/>
  </r>
  <r>
    <x v="2245"/>
    <d v="2025-06-11T00:00:00"/>
    <s v="Central"/>
    <s v="London"/>
    <s v="Espresso"/>
    <s v="Drink"/>
    <n v="1"/>
    <n v="2.5"/>
    <s v="Cash"/>
    <s v="C1209"/>
    <n v="2.5"/>
    <s v="Wednesday"/>
    <s v="June"/>
    <n v="2025"/>
  </r>
  <r>
    <x v="2246"/>
    <d v="2025-06-11T00:00:00"/>
    <s v="Riverside"/>
    <s v="Bristol"/>
    <s v="Muffin"/>
    <s v="Food"/>
    <n v="1"/>
    <n v="2.2000000000000002"/>
    <s v="Cash"/>
    <s v="C1785"/>
    <n v="2.2000000000000002"/>
    <s v="Wednesday"/>
    <s v="June"/>
    <n v="2025"/>
  </r>
  <r>
    <x v="2247"/>
    <d v="2025-06-12T00:00:00"/>
    <s v="High Street"/>
    <s v="London"/>
    <s v="Latte"/>
    <s v="Drink"/>
    <n v="5"/>
    <n v="3.5"/>
    <s v="Apple Pay"/>
    <s v="C1188"/>
    <n v="17.5"/>
    <s v="Thursday"/>
    <s v="June"/>
    <n v="2025"/>
  </r>
  <r>
    <x v="2248"/>
    <d v="2025-06-12T00:00:00"/>
    <s v="Central"/>
    <s v="London"/>
    <s v="Latte"/>
    <s v="Drink"/>
    <n v="5"/>
    <n v="3.5"/>
    <s v="Cash"/>
    <s v="C1496"/>
    <n v="17.5"/>
    <s v="Thursday"/>
    <s v="June"/>
    <n v="2025"/>
  </r>
  <r>
    <x v="2249"/>
    <d v="2025-06-12T00:00:00"/>
    <s v="Central"/>
    <s v="Birmingham"/>
    <s v="Croissant"/>
    <s v="Food"/>
    <n v="5"/>
    <n v="2.8"/>
    <s v="Cash"/>
    <s v="C1166"/>
    <n v="14"/>
    <s v="Thursday"/>
    <s v="June"/>
    <n v="2025"/>
  </r>
  <r>
    <x v="2250"/>
    <d v="2025-06-12T00:00:00"/>
    <s v="Riverside"/>
    <s v="Leeds"/>
    <s v="Croissant"/>
    <s v="Food"/>
    <n v="5"/>
    <n v="2.8"/>
    <s v="Cash"/>
    <s v="C1001"/>
    <n v="14"/>
    <s v="Thursday"/>
    <s v="June"/>
    <n v="2025"/>
  </r>
  <r>
    <x v="2251"/>
    <d v="2025-06-12T00:00:00"/>
    <s v="Central"/>
    <s v="Manchester"/>
    <s v="Espresso"/>
    <s v="Drink"/>
    <n v="5"/>
    <n v="2.5"/>
    <s v="Cash"/>
    <s v="C1883"/>
    <n v="12.5"/>
    <s v="Thursday"/>
    <s v="June"/>
    <n v="2025"/>
  </r>
  <r>
    <x v="2252"/>
    <d v="2025-06-12T00:00:00"/>
    <s v="Central"/>
    <s v="Birmingham"/>
    <s v="Cappuccino"/>
    <s v="Drink"/>
    <n v="3"/>
    <n v="3.8"/>
    <s v="Cash"/>
    <s v="C1991"/>
    <n v="11.399999999999999"/>
    <s v="Thursday"/>
    <s v="June"/>
    <n v="2025"/>
  </r>
  <r>
    <x v="2253"/>
    <d v="2025-06-12T00:00:00"/>
    <s v="Riverside"/>
    <s v="Manchester"/>
    <s v="Latte"/>
    <s v="Drink"/>
    <n v="3"/>
    <n v="3.5"/>
    <s v="Cash"/>
    <s v="C1310"/>
    <n v="10.5"/>
    <s v="Thursday"/>
    <s v="June"/>
    <n v="2025"/>
  </r>
  <r>
    <x v="2254"/>
    <d v="2025-06-12T00:00:00"/>
    <s v="Station"/>
    <s v="Bristol"/>
    <s v="Latte"/>
    <s v="Drink"/>
    <n v="3"/>
    <n v="3.5"/>
    <s v="Cash"/>
    <s v="C1969"/>
    <n v="10.5"/>
    <s v="Thursday"/>
    <s v="June"/>
    <n v="2025"/>
  </r>
  <r>
    <x v="2255"/>
    <d v="2025-06-12T00:00:00"/>
    <s v="High Street"/>
    <s v="London"/>
    <s v="Muffin"/>
    <s v="Food"/>
    <n v="4"/>
    <n v="2.2000000000000002"/>
    <s v="Apple Pay"/>
    <s v="C1064"/>
    <n v="8.8000000000000007"/>
    <s v="Thursday"/>
    <s v="June"/>
    <n v="2025"/>
  </r>
  <r>
    <x v="2256"/>
    <d v="2025-06-12T00:00:00"/>
    <s v="High Street"/>
    <s v="Bristol"/>
    <s v="Croissant"/>
    <s v="Food"/>
    <n v="3"/>
    <n v="2.8"/>
    <s v="Cash"/>
    <s v="C1401"/>
    <n v="8.3999999999999986"/>
    <s v="Thursday"/>
    <s v="June"/>
    <n v="2025"/>
  </r>
  <r>
    <x v="2257"/>
    <d v="2025-06-12T00:00:00"/>
    <s v="Station"/>
    <s v="Leeds"/>
    <s v="Cappuccino"/>
    <s v="Drink"/>
    <n v="2"/>
    <n v="3.8"/>
    <s v="Apple Pay"/>
    <s v="C1911"/>
    <n v="7.6"/>
    <s v="Thursday"/>
    <s v="June"/>
    <n v="2025"/>
  </r>
  <r>
    <x v="2258"/>
    <d v="2025-06-12T00:00:00"/>
    <s v="High Street"/>
    <s v="Bristol"/>
    <s v="Muffin"/>
    <s v="Food"/>
    <n v="3"/>
    <n v="2.2000000000000002"/>
    <s v="Card"/>
    <s v="C1011"/>
    <n v="6.6000000000000005"/>
    <s v="Thursday"/>
    <s v="June"/>
    <n v="2025"/>
  </r>
  <r>
    <x v="2259"/>
    <d v="2025-06-12T00:00:00"/>
    <s v="Central"/>
    <s v="Birmingham"/>
    <s v="Muffin"/>
    <s v="Food"/>
    <n v="3"/>
    <n v="2.2000000000000002"/>
    <s v="Apple Pay"/>
    <s v="C1361"/>
    <n v="6.6000000000000005"/>
    <s v="Thursday"/>
    <s v="June"/>
    <n v="2025"/>
  </r>
  <r>
    <x v="2260"/>
    <d v="2025-06-12T00:00:00"/>
    <s v="Station"/>
    <s v="Manchester"/>
    <s v="Espresso"/>
    <s v="Drink"/>
    <n v="2"/>
    <n v="2.5"/>
    <s v="Apple Pay"/>
    <s v="C1469"/>
    <n v="5"/>
    <s v="Thursday"/>
    <s v="June"/>
    <n v="2025"/>
  </r>
  <r>
    <x v="2261"/>
    <d v="2025-06-12T00:00:00"/>
    <s v="High Street"/>
    <s v="London"/>
    <s v="Espresso"/>
    <s v="Drink"/>
    <n v="2"/>
    <n v="2.5"/>
    <s v="Card"/>
    <s v="C1918"/>
    <n v="5"/>
    <s v="Thursday"/>
    <s v="June"/>
    <n v="2025"/>
  </r>
  <r>
    <x v="2262"/>
    <d v="2025-06-12T00:00:00"/>
    <s v="Central"/>
    <s v="Manchester"/>
    <s v="Espresso"/>
    <s v="Drink"/>
    <n v="1"/>
    <n v="2.5"/>
    <s v="Cash"/>
    <s v="C1040"/>
    <n v="2.5"/>
    <s v="Thursday"/>
    <s v="June"/>
    <n v="2025"/>
  </r>
  <r>
    <x v="2263"/>
    <d v="2025-06-13T00:00:00"/>
    <s v="Central"/>
    <s v="N/A"/>
    <s v="Cappuccino"/>
    <s v="Drink"/>
    <n v="5"/>
    <n v="3.8"/>
    <s v="Card"/>
    <s v="C1744"/>
    <n v="19"/>
    <s v="Friday"/>
    <s v="June"/>
    <n v="2025"/>
  </r>
  <r>
    <x v="2264"/>
    <d v="2025-06-13T00:00:00"/>
    <s v="Central"/>
    <s v="Birmingham"/>
    <s v="Croissant"/>
    <s v="Food"/>
    <n v="4"/>
    <n v="2.8"/>
    <s v="Apple Pay"/>
    <s v="C1652"/>
    <n v="11.2"/>
    <s v="Friday"/>
    <s v="June"/>
    <n v="2025"/>
  </r>
  <r>
    <x v="2265"/>
    <d v="2025-06-13T00:00:00"/>
    <s v="Riverside"/>
    <s v="Bristol"/>
    <s v="Croissant"/>
    <s v="Food"/>
    <n v="4"/>
    <n v="2.8"/>
    <s v="Card"/>
    <s v="C1105"/>
    <n v="11.2"/>
    <s v="Friday"/>
    <s v="June"/>
    <n v="2025"/>
  </r>
  <r>
    <x v="2266"/>
    <d v="2025-06-13T00:00:00"/>
    <s v="Station"/>
    <s v="Birmingham"/>
    <s v="Croissant"/>
    <s v="Food"/>
    <n v="3"/>
    <n v="2.8"/>
    <s v="Cash"/>
    <s v="C1931"/>
    <n v="8.3999999999999986"/>
    <s v="Friday"/>
    <s v="June"/>
    <n v="2025"/>
  </r>
  <r>
    <x v="2267"/>
    <d v="2025-06-13T00:00:00"/>
    <s v="Central"/>
    <s v="Leeds"/>
    <s v="Espresso"/>
    <s v="Drink"/>
    <n v="3"/>
    <n v="2.5"/>
    <s v="Cash"/>
    <s v="C1578"/>
    <n v="7.5"/>
    <s v="Friday"/>
    <s v="June"/>
    <n v="2025"/>
  </r>
  <r>
    <x v="2268"/>
    <d v="2025-06-13T00:00:00"/>
    <s v="Central"/>
    <s v="Birmingham"/>
    <s v="Espresso"/>
    <s v="Drink"/>
    <n v="3"/>
    <n v="2.5"/>
    <s v="Card"/>
    <s v="C1068"/>
    <n v="7.5"/>
    <s v="Friday"/>
    <s v="June"/>
    <n v="2025"/>
  </r>
  <r>
    <x v="2269"/>
    <d v="2025-06-13T00:00:00"/>
    <s v="High Street"/>
    <s v="London"/>
    <s v="Cappuccino"/>
    <s v="Drink"/>
    <n v="1"/>
    <n v="3.8"/>
    <s v="Cash"/>
    <s v="C1608"/>
    <n v="3.8"/>
    <s v="Friday"/>
    <s v="June"/>
    <n v="2025"/>
  </r>
  <r>
    <x v="2270"/>
    <d v="2025-06-13T00:00:00"/>
    <s v="Riverside"/>
    <s v="Leeds"/>
    <s v="Croissant"/>
    <s v="Food"/>
    <n v="1"/>
    <n v="2.8"/>
    <s v="Card"/>
    <s v="C1470"/>
    <n v="2.8"/>
    <s v="Friday"/>
    <s v="June"/>
    <n v="2025"/>
  </r>
  <r>
    <x v="2271"/>
    <d v="2025-06-13T00:00:00"/>
    <s v="Station"/>
    <s v="London"/>
    <s v="Espresso"/>
    <s v="Drink"/>
    <n v="1"/>
    <n v="2.5"/>
    <s v="Card"/>
    <s v="C1149"/>
    <n v="2.5"/>
    <s v="Friday"/>
    <s v="June"/>
    <n v="2025"/>
  </r>
  <r>
    <x v="2272"/>
    <d v="2025-06-13T00:00:00"/>
    <s v="Riverside"/>
    <s v="London"/>
    <s v="Muffin"/>
    <s v="Food"/>
    <n v="1"/>
    <n v="2.2000000000000002"/>
    <s v="Cash"/>
    <s v="C1059"/>
    <n v="2.2000000000000002"/>
    <s v="Friday"/>
    <s v="June"/>
    <n v="2025"/>
  </r>
  <r>
    <x v="2273"/>
    <d v="2025-06-13T00:00:00"/>
    <s v="Station"/>
    <s v="Birmingham"/>
    <s v="Muffin"/>
    <s v="Food"/>
    <n v="1"/>
    <n v="2.2000000000000002"/>
    <s v="Cash"/>
    <s v="C1068"/>
    <n v="2.2000000000000002"/>
    <s v="Friday"/>
    <s v="June"/>
    <n v="2025"/>
  </r>
  <r>
    <x v="2274"/>
    <d v="2025-06-13T00:00:00"/>
    <s v="High Street"/>
    <s v="Manchester"/>
    <s v="Muffin"/>
    <s v="Food"/>
    <n v="1"/>
    <n v="2.2000000000000002"/>
    <s v="Apple Pay"/>
    <s v="C1467"/>
    <n v="2.2000000000000002"/>
    <s v="Friday"/>
    <s v="June"/>
    <n v="2025"/>
  </r>
  <r>
    <x v="2275"/>
    <d v="2025-06-14T00:00:00"/>
    <s v="High Street"/>
    <s v="London"/>
    <s v="Cappuccino"/>
    <s v="Drink"/>
    <n v="5"/>
    <n v="3.8"/>
    <s v="Cash"/>
    <s v="C1863"/>
    <n v="19"/>
    <s v="Saturday"/>
    <s v="June"/>
    <n v="2025"/>
  </r>
  <r>
    <x v="2276"/>
    <d v="2025-06-14T00:00:00"/>
    <s v="Riverside"/>
    <s v="London"/>
    <s v="Latte"/>
    <s v="Drink"/>
    <n v="5"/>
    <n v="3.5"/>
    <s v="Apple Pay"/>
    <s v="C1067"/>
    <n v="17.5"/>
    <s v="Saturday"/>
    <s v="June"/>
    <n v="2025"/>
  </r>
  <r>
    <x v="2277"/>
    <d v="2025-06-14T00:00:00"/>
    <s v="Station"/>
    <s v="Bristol"/>
    <s v="Cappuccino"/>
    <s v="Drink"/>
    <n v="4"/>
    <n v="3.8"/>
    <s v="Apple Pay"/>
    <s v="C1274"/>
    <n v="15.2"/>
    <s v="Saturday"/>
    <s v="June"/>
    <n v="2025"/>
  </r>
  <r>
    <x v="2278"/>
    <d v="2025-06-14T00:00:00"/>
    <s v="Riverside"/>
    <s v="Manchester"/>
    <s v="Latte"/>
    <s v="Drink"/>
    <n v="4"/>
    <n v="3.5"/>
    <s v="Cash"/>
    <s v="C1395"/>
    <n v="14"/>
    <s v="Saturday"/>
    <s v="June"/>
    <n v="2025"/>
  </r>
  <r>
    <x v="2279"/>
    <d v="2025-06-14T00:00:00"/>
    <s v="High Street"/>
    <s v="Manchester"/>
    <s v="Croissant"/>
    <s v="Food"/>
    <n v="5"/>
    <n v="2.8"/>
    <s v="Card"/>
    <s v="C1832"/>
    <n v="14"/>
    <s v="Saturday"/>
    <s v="June"/>
    <n v="2025"/>
  </r>
  <r>
    <x v="2280"/>
    <d v="2025-06-14T00:00:00"/>
    <s v="Central"/>
    <s v="London"/>
    <s v="Espresso"/>
    <s v="Drink"/>
    <n v="5"/>
    <n v="2.5"/>
    <s v="Card"/>
    <s v="C1931"/>
    <n v="12.5"/>
    <s v="Saturday"/>
    <s v="June"/>
    <n v="2025"/>
  </r>
  <r>
    <x v="2281"/>
    <d v="2025-06-14T00:00:00"/>
    <s v="High Street"/>
    <s v="London"/>
    <s v="Cappuccino"/>
    <s v="Drink"/>
    <n v="3"/>
    <n v="3.8"/>
    <s v="Apple Pay"/>
    <s v="C1973"/>
    <n v="11.399999999999999"/>
    <s v="Saturday"/>
    <s v="June"/>
    <n v="2025"/>
  </r>
  <r>
    <x v="2282"/>
    <d v="2025-06-14T00:00:00"/>
    <s v="Central"/>
    <s v="Leeds"/>
    <s v="Cappuccino"/>
    <s v="Drink"/>
    <n v="3"/>
    <n v="3.8"/>
    <s v="Card"/>
    <s v="C1471"/>
    <n v="11.399999999999999"/>
    <s v="Saturday"/>
    <s v="June"/>
    <n v="2025"/>
  </r>
  <r>
    <x v="2283"/>
    <d v="2025-06-14T00:00:00"/>
    <s v="Station"/>
    <s v="London"/>
    <s v="Latte"/>
    <s v="Drink"/>
    <n v="3"/>
    <n v="3.5"/>
    <s v="Card"/>
    <s v="C1822"/>
    <n v="10.5"/>
    <s v="Saturday"/>
    <s v="June"/>
    <n v="2025"/>
  </r>
  <r>
    <x v="2284"/>
    <d v="2025-06-14T00:00:00"/>
    <s v="Riverside"/>
    <s v="Manchester"/>
    <s v="Latte"/>
    <s v="Drink"/>
    <n v="3"/>
    <n v="3.5"/>
    <s v="Apple Pay"/>
    <s v="C1755"/>
    <n v="10.5"/>
    <s v="Saturday"/>
    <s v="June"/>
    <n v="2025"/>
  </r>
  <r>
    <x v="2285"/>
    <d v="2025-06-14T00:00:00"/>
    <s v="High Street"/>
    <s v="Leeds"/>
    <s v="Espresso"/>
    <s v="Drink"/>
    <n v="4"/>
    <n v="2.5"/>
    <s v="Cash"/>
    <s v="C1416"/>
    <n v="10"/>
    <s v="Saturday"/>
    <s v="June"/>
    <n v="2025"/>
  </r>
  <r>
    <x v="2286"/>
    <d v="2025-06-14T00:00:00"/>
    <s v="Central"/>
    <s v="London"/>
    <s v="Espresso"/>
    <s v="Drink"/>
    <n v="4"/>
    <n v="2.5"/>
    <s v="Apple Pay"/>
    <s v="C1097"/>
    <n v="10"/>
    <s v="Saturday"/>
    <s v="June"/>
    <n v="2025"/>
  </r>
  <r>
    <x v="2287"/>
    <d v="2025-06-14T00:00:00"/>
    <s v="Central"/>
    <s v="Manchester"/>
    <s v="Croissant"/>
    <s v="Food"/>
    <n v="3"/>
    <n v="2.8"/>
    <s v="Cash"/>
    <s v="C1531"/>
    <n v="8.3999999999999986"/>
    <s v="Saturday"/>
    <s v="June"/>
    <n v="2025"/>
  </r>
  <r>
    <x v="2288"/>
    <d v="2025-06-14T00:00:00"/>
    <s v="High Street"/>
    <s v="Manchester"/>
    <s v="Croissant"/>
    <s v="Food"/>
    <n v="3"/>
    <n v="2.8"/>
    <s v="Card"/>
    <s v="C1256"/>
    <n v="8.3999999999999986"/>
    <s v="Saturday"/>
    <s v="June"/>
    <n v="2025"/>
  </r>
  <r>
    <x v="2289"/>
    <d v="2025-06-14T00:00:00"/>
    <s v="High Street"/>
    <s v="Leeds"/>
    <s v="Muffin"/>
    <s v="Food"/>
    <n v="2"/>
    <n v="2.2000000000000002"/>
    <s v="Apple Pay"/>
    <s v="C1223"/>
    <n v="4.4000000000000004"/>
    <s v="Saturday"/>
    <s v="June"/>
    <n v="2025"/>
  </r>
  <r>
    <x v="2290"/>
    <d v="2025-06-14T00:00:00"/>
    <s v="High Street"/>
    <s v="Manchester"/>
    <s v="Muffin"/>
    <s v="Food"/>
    <n v="2"/>
    <n v="2.2000000000000002"/>
    <s v="Cash"/>
    <s v="C1480"/>
    <n v="4.4000000000000004"/>
    <s v="Saturday"/>
    <s v="June"/>
    <n v="2025"/>
  </r>
  <r>
    <x v="2291"/>
    <d v="2025-06-14T00:00:00"/>
    <s v="Central"/>
    <s v="Birmingham"/>
    <s v="Latte"/>
    <s v="Drink"/>
    <n v="1"/>
    <n v="3.5"/>
    <s v="Cash"/>
    <s v="C1333"/>
    <n v="3.5"/>
    <s v="Saturday"/>
    <s v="June"/>
    <n v="2025"/>
  </r>
  <r>
    <x v="2292"/>
    <d v="2025-06-14T00:00:00"/>
    <s v="Station"/>
    <s v="Manchester"/>
    <s v="Croissant"/>
    <s v="Food"/>
    <n v="1"/>
    <n v="2.8"/>
    <s v="Apple Pay"/>
    <s v="C1195"/>
    <n v="2.8"/>
    <s v="Saturday"/>
    <s v="June"/>
    <n v="2025"/>
  </r>
  <r>
    <x v="2293"/>
    <d v="2025-06-15T00:00:00"/>
    <s v="Central"/>
    <s v="London"/>
    <s v="Cappuccino"/>
    <s v="Drink"/>
    <n v="4"/>
    <n v="3.8"/>
    <s v="Card"/>
    <s v="C1398"/>
    <n v="15.2"/>
    <s v="Sunday"/>
    <s v="June"/>
    <n v="2025"/>
  </r>
  <r>
    <x v="2294"/>
    <d v="2025-06-15T00:00:00"/>
    <s v="Central"/>
    <s v="Manchester"/>
    <s v="Croissant"/>
    <s v="Food"/>
    <n v="5"/>
    <n v="2.8"/>
    <s v="Apple Pay"/>
    <s v="C1229"/>
    <n v="14"/>
    <s v="Sunday"/>
    <s v="June"/>
    <n v="2025"/>
  </r>
  <r>
    <x v="2295"/>
    <d v="2025-06-15T00:00:00"/>
    <s v="Central"/>
    <s v="Manchester"/>
    <s v="Croissant"/>
    <s v="Food"/>
    <n v="5"/>
    <n v="2.8"/>
    <s v="Apple Pay"/>
    <s v="C1103"/>
    <n v="14"/>
    <s v="Sunday"/>
    <s v="June"/>
    <n v="2025"/>
  </r>
  <r>
    <x v="2296"/>
    <d v="2025-06-15T00:00:00"/>
    <s v="Riverside"/>
    <s v="Bristol"/>
    <s v="Croissant"/>
    <s v="Food"/>
    <n v="5"/>
    <n v="2.8"/>
    <s v="Cash"/>
    <s v="C1524"/>
    <n v="14"/>
    <s v="Sunday"/>
    <s v="June"/>
    <n v="2025"/>
  </r>
  <r>
    <x v="2297"/>
    <d v="2025-06-15T00:00:00"/>
    <s v="High Street"/>
    <s v="Bristol"/>
    <s v="Espresso"/>
    <s v="Drink"/>
    <n v="4"/>
    <n v="2.5"/>
    <s v="Card"/>
    <s v="C1144"/>
    <n v="10"/>
    <s v="Sunday"/>
    <s v="June"/>
    <n v="2025"/>
  </r>
  <r>
    <x v="2298"/>
    <d v="2025-06-15T00:00:00"/>
    <s v="Riverside"/>
    <s v="Birmingham"/>
    <s v="Latte"/>
    <s v="Drink"/>
    <n v="2"/>
    <n v="3.5"/>
    <s v="Card"/>
    <s v="C1968"/>
    <n v="7"/>
    <s v="Sunday"/>
    <s v="June"/>
    <n v="2025"/>
  </r>
  <r>
    <x v="2299"/>
    <d v="2025-06-15T00:00:00"/>
    <s v="Riverside"/>
    <s v="London"/>
    <s v="Latte"/>
    <s v="Drink"/>
    <n v="2"/>
    <n v="3.5"/>
    <s v="Apple Pay"/>
    <s v="C1342"/>
    <n v="7"/>
    <s v="Sunday"/>
    <s v="June"/>
    <n v="2025"/>
  </r>
  <r>
    <x v="2300"/>
    <d v="2025-06-15T00:00:00"/>
    <s v="Station"/>
    <s v="Leeds"/>
    <s v="Latte"/>
    <s v="Drink"/>
    <n v="2"/>
    <n v="3.5"/>
    <s v="Apple Pay"/>
    <s v="C1219"/>
    <n v="7"/>
    <s v="Sunday"/>
    <s v="June"/>
    <n v="2025"/>
  </r>
  <r>
    <x v="2301"/>
    <d v="2025-06-15T00:00:00"/>
    <s v="Station"/>
    <s v="London"/>
    <s v="Latte"/>
    <s v="Drink"/>
    <n v="1"/>
    <n v="3.5"/>
    <s v="Card"/>
    <s v="C1761"/>
    <n v="3.5"/>
    <s v="Sunday"/>
    <s v="June"/>
    <n v="2025"/>
  </r>
  <r>
    <x v="2302"/>
    <d v="2025-06-16T00:00:00"/>
    <s v="Riverside"/>
    <s v="Manchester"/>
    <s v="Latte"/>
    <s v="Drink"/>
    <n v="5"/>
    <n v="3.5"/>
    <s v="Apple Pay"/>
    <s v="C1206"/>
    <n v="17.5"/>
    <s v="Monday"/>
    <s v="June"/>
    <n v="2025"/>
  </r>
  <r>
    <x v="2303"/>
    <d v="2025-06-16T00:00:00"/>
    <s v="Central"/>
    <s v="Bristol"/>
    <s v="Latte"/>
    <s v="Drink"/>
    <n v="4"/>
    <n v="3.5"/>
    <s v="Cash"/>
    <s v="C1130"/>
    <n v="14"/>
    <s v="Monday"/>
    <s v="June"/>
    <n v="2025"/>
  </r>
  <r>
    <x v="2304"/>
    <d v="2025-06-16T00:00:00"/>
    <s v="Riverside"/>
    <s v="Leeds"/>
    <s v="Croissant"/>
    <s v="Food"/>
    <n v="5"/>
    <n v="2.8"/>
    <s v="Apple Pay"/>
    <s v="C1577"/>
    <n v="14"/>
    <s v="Monday"/>
    <s v="June"/>
    <n v="2025"/>
  </r>
  <r>
    <x v="2305"/>
    <d v="2025-06-16T00:00:00"/>
    <s v="Central"/>
    <s v="London"/>
    <s v="Espresso"/>
    <s v="Drink"/>
    <n v="5"/>
    <n v="2.5"/>
    <s v="Card"/>
    <s v="C1206"/>
    <n v="12.5"/>
    <s v="Monday"/>
    <s v="June"/>
    <n v="2025"/>
  </r>
  <r>
    <x v="2306"/>
    <d v="2025-06-16T00:00:00"/>
    <s v="High Street"/>
    <s v="Bristol"/>
    <s v="Espresso"/>
    <s v="Drink"/>
    <n v="5"/>
    <n v="2.5"/>
    <s v="Cash"/>
    <s v="C1924"/>
    <n v="12.5"/>
    <s v="Monday"/>
    <s v="June"/>
    <n v="2025"/>
  </r>
  <r>
    <x v="2307"/>
    <d v="2025-06-16T00:00:00"/>
    <s v="Central"/>
    <s v="Birmingham"/>
    <s v="Cappuccino"/>
    <s v="Drink"/>
    <n v="3"/>
    <n v="3.8"/>
    <s v="Apple Pay"/>
    <s v="C1332"/>
    <n v="11.399999999999999"/>
    <s v="Monday"/>
    <s v="June"/>
    <n v="2025"/>
  </r>
  <r>
    <x v="2308"/>
    <d v="2025-06-16T00:00:00"/>
    <s v="Central"/>
    <s v="Birmingham"/>
    <s v="Latte"/>
    <s v="Drink"/>
    <n v="3"/>
    <n v="3.5"/>
    <s v="Card"/>
    <s v="C1094"/>
    <n v="10.5"/>
    <s v="Monday"/>
    <s v="June"/>
    <n v="2025"/>
  </r>
  <r>
    <x v="2309"/>
    <d v="2025-06-16T00:00:00"/>
    <s v="High Street"/>
    <s v="Leeds"/>
    <s v="Muffin"/>
    <s v="Food"/>
    <n v="4"/>
    <n v="2.2000000000000002"/>
    <s v="Card"/>
    <s v="C1097"/>
    <n v="8.8000000000000007"/>
    <s v="Monday"/>
    <s v="June"/>
    <n v="2025"/>
  </r>
  <r>
    <x v="2310"/>
    <d v="2025-06-16T00:00:00"/>
    <s v="Riverside"/>
    <s v="Leeds"/>
    <s v="Croissant"/>
    <s v="Food"/>
    <n v="3"/>
    <n v="2.8"/>
    <s v="Card"/>
    <s v="C1029"/>
    <n v="8.3999999999999986"/>
    <s v="Monday"/>
    <s v="June"/>
    <n v="2025"/>
  </r>
  <r>
    <x v="2311"/>
    <d v="2025-06-16T00:00:00"/>
    <s v="High Street"/>
    <s v="Bristol"/>
    <s v="Latte"/>
    <s v="Drink"/>
    <n v="2"/>
    <n v="3.5"/>
    <s v="Cash"/>
    <s v="C1375"/>
    <n v="7"/>
    <s v="Monday"/>
    <s v="June"/>
    <n v="2025"/>
  </r>
  <r>
    <x v="2312"/>
    <d v="2025-06-16T00:00:00"/>
    <s v="High Street"/>
    <s v="Bristol"/>
    <s v="Muffin"/>
    <s v="Food"/>
    <n v="3"/>
    <n v="2.2000000000000002"/>
    <s v="Card"/>
    <s v="C1686"/>
    <n v="6.6000000000000005"/>
    <s v="Monday"/>
    <s v="June"/>
    <n v="2025"/>
  </r>
  <r>
    <x v="2313"/>
    <d v="2025-06-16T00:00:00"/>
    <s v="High Street"/>
    <s v="London"/>
    <s v="Cappuccino"/>
    <s v="Drink"/>
    <n v="1"/>
    <n v="3.8"/>
    <s v="Card"/>
    <s v="C1516"/>
    <n v="3.8"/>
    <s v="Monday"/>
    <s v="June"/>
    <n v="2025"/>
  </r>
  <r>
    <x v="2314"/>
    <d v="2025-06-16T00:00:00"/>
    <s v="Station"/>
    <s v="Bristol"/>
    <s v="Cappuccino"/>
    <s v="Drink"/>
    <n v="1"/>
    <n v="3.8"/>
    <s v="Cash"/>
    <s v="C1322"/>
    <n v="3.8"/>
    <s v="Monday"/>
    <s v="June"/>
    <n v="2025"/>
  </r>
  <r>
    <x v="2315"/>
    <d v="2025-06-16T00:00:00"/>
    <s v="Riverside"/>
    <s v="Manchester"/>
    <s v="Muffin"/>
    <s v="Food"/>
    <n v="1"/>
    <n v="2.2000000000000002"/>
    <s v="Cash"/>
    <s v="C1088"/>
    <n v="2.2000000000000002"/>
    <s v="Monday"/>
    <s v="June"/>
    <n v="2025"/>
  </r>
  <r>
    <x v="2316"/>
    <d v="2025-06-17T00:00:00"/>
    <s v="Station"/>
    <s v="Birmingham"/>
    <s v="Cappuccino"/>
    <s v="Drink"/>
    <n v="4"/>
    <n v="3.8"/>
    <s v="Cash"/>
    <s v="C1378"/>
    <n v="15.2"/>
    <s v="Tuesday"/>
    <s v="June"/>
    <n v="2025"/>
  </r>
  <r>
    <x v="2317"/>
    <d v="2025-06-17T00:00:00"/>
    <s v="Station"/>
    <s v="Bristol"/>
    <s v="Latte"/>
    <s v="Drink"/>
    <n v="4"/>
    <n v="3.5"/>
    <s v="Cash"/>
    <s v="C1154"/>
    <n v="14"/>
    <s v="Tuesday"/>
    <s v="June"/>
    <n v="2025"/>
  </r>
  <r>
    <x v="2318"/>
    <d v="2025-06-17T00:00:00"/>
    <s v="High Street"/>
    <s v="Bristol"/>
    <s v="Latte"/>
    <s v="Drink"/>
    <n v="4"/>
    <n v="3.5"/>
    <s v="Cash"/>
    <s v="C1345"/>
    <n v="14"/>
    <s v="Tuesday"/>
    <s v="June"/>
    <n v="2025"/>
  </r>
  <r>
    <x v="2319"/>
    <d v="2025-06-17T00:00:00"/>
    <s v="Riverside"/>
    <s v="Birmingham"/>
    <s v="Cappuccino"/>
    <s v="Drink"/>
    <n v="3"/>
    <n v="3.8"/>
    <s v="Card"/>
    <s v="C1625"/>
    <n v="11.399999999999999"/>
    <s v="Tuesday"/>
    <s v="June"/>
    <n v="2025"/>
  </r>
  <r>
    <x v="2320"/>
    <d v="2025-06-17T00:00:00"/>
    <s v="High Street"/>
    <s v="Birmingham"/>
    <s v="Muffin"/>
    <s v="Food"/>
    <n v="5"/>
    <n v="2.2000000000000002"/>
    <s v="Apple Pay"/>
    <s v="C1766"/>
    <n v="11"/>
    <s v="Tuesday"/>
    <s v="June"/>
    <n v="2025"/>
  </r>
  <r>
    <x v="2321"/>
    <d v="2025-06-17T00:00:00"/>
    <s v="Station"/>
    <s v="London"/>
    <s v="Croissant"/>
    <s v="Food"/>
    <n v="3"/>
    <n v="2.8"/>
    <s v="Apple Pay"/>
    <s v="C1622"/>
    <n v="8.3999999999999986"/>
    <s v="Tuesday"/>
    <s v="June"/>
    <n v="2025"/>
  </r>
  <r>
    <x v="2322"/>
    <d v="2025-06-17T00:00:00"/>
    <s v="Station"/>
    <s v="Leeds"/>
    <s v="Espresso"/>
    <s v="Drink"/>
    <n v="3"/>
    <n v="2.5"/>
    <s v="Card"/>
    <s v="C1403"/>
    <n v="7.5"/>
    <s v="Tuesday"/>
    <s v="June"/>
    <n v="2025"/>
  </r>
  <r>
    <x v="2323"/>
    <d v="2025-06-17T00:00:00"/>
    <s v="Central"/>
    <s v="London"/>
    <s v="Croissant"/>
    <s v="Food"/>
    <n v="2"/>
    <n v="2.8"/>
    <s v="Apple Pay"/>
    <s v="C1006"/>
    <n v="5.6"/>
    <s v="Tuesday"/>
    <s v="June"/>
    <n v="2025"/>
  </r>
  <r>
    <x v="2324"/>
    <d v="2025-06-17T00:00:00"/>
    <s v="Station"/>
    <s v="Bristol"/>
    <s v="Muffin"/>
    <s v="Food"/>
    <n v="2"/>
    <n v="2.2000000000000002"/>
    <s v="Apple Pay"/>
    <s v="C1905"/>
    <n v="4.4000000000000004"/>
    <s v="Tuesday"/>
    <s v="June"/>
    <n v="2025"/>
  </r>
  <r>
    <x v="2325"/>
    <d v="2025-06-17T00:00:00"/>
    <s v="Central"/>
    <s v="Bristol"/>
    <s v="Muffin"/>
    <s v="Food"/>
    <n v="2"/>
    <n v="2.2000000000000002"/>
    <s v="Card"/>
    <s v="C1108"/>
    <n v="4.4000000000000004"/>
    <s v="Tuesday"/>
    <s v="June"/>
    <n v="2025"/>
  </r>
  <r>
    <x v="2326"/>
    <d v="2025-06-17T00:00:00"/>
    <s v="Station"/>
    <s v="Manchester"/>
    <s v="Croissant"/>
    <s v="Food"/>
    <n v="1"/>
    <n v="2.8"/>
    <s v="Apple Pay"/>
    <s v="C1302"/>
    <n v="2.8"/>
    <s v="Tuesday"/>
    <s v="June"/>
    <n v="2025"/>
  </r>
  <r>
    <x v="2327"/>
    <d v="2025-06-17T00:00:00"/>
    <s v="High Street"/>
    <s v="London"/>
    <s v="Croissant"/>
    <s v="Food"/>
    <n v="1"/>
    <n v="2.8"/>
    <s v="Card"/>
    <s v="C1434"/>
    <n v="2.8"/>
    <s v="Tuesday"/>
    <s v="June"/>
    <n v="2025"/>
  </r>
  <r>
    <x v="2328"/>
    <d v="2025-06-17T00:00:00"/>
    <s v="Central"/>
    <s v="Bristol"/>
    <s v="Espresso"/>
    <s v="Drink"/>
    <n v="1"/>
    <n v="2.5"/>
    <s v="Card"/>
    <s v="C1756"/>
    <n v="2.5"/>
    <s v="Tuesday"/>
    <s v="June"/>
    <n v="2025"/>
  </r>
  <r>
    <x v="2329"/>
    <d v="2025-06-17T00:00:00"/>
    <s v="Riverside"/>
    <s v="Birmingham"/>
    <s v="Espresso"/>
    <s v="Drink"/>
    <n v="1"/>
    <n v="2.5"/>
    <s v="Apple Pay"/>
    <s v="C1464"/>
    <n v="2.5"/>
    <s v="Tuesday"/>
    <s v="June"/>
    <n v="2025"/>
  </r>
  <r>
    <x v="2330"/>
    <d v="2025-06-17T00:00:00"/>
    <s v="High Street"/>
    <s v="Bristol"/>
    <s v="Espresso"/>
    <s v="Drink"/>
    <n v="1"/>
    <n v="2.5"/>
    <s v="Card"/>
    <s v="C1003"/>
    <n v="2.5"/>
    <s v="Tuesday"/>
    <s v="June"/>
    <n v="2025"/>
  </r>
  <r>
    <x v="2331"/>
    <d v="2025-06-18T00:00:00"/>
    <s v="Station"/>
    <s v="London"/>
    <s v="Cappuccino"/>
    <s v="Drink"/>
    <n v="5"/>
    <n v="3.8"/>
    <s v="Apple Pay"/>
    <s v="C1479"/>
    <n v="19"/>
    <s v="Wednesday"/>
    <s v="June"/>
    <n v="2025"/>
  </r>
  <r>
    <x v="2332"/>
    <d v="2025-06-18T00:00:00"/>
    <s v="Riverside"/>
    <s v="London"/>
    <s v="Latte"/>
    <s v="Drink"/>
    <n v="5"/>
    <n v="3.5"/>
    <s v="Apple Pay"/>
    <s v="C1049"/>
    <n v="17.5"/>
    <s v="Wednesday"/>
    <s v="June"/>
    <n v="2025"/>
  </r>
  <r>
    <x v="2333"/>
    <d v="2025-06-18T00:00:00"/>
    <s v="Riverside"/>
    <s v="Manchester"/>
    <s v="Latte"/>
    <s v="Drink"/>
    <n v="5"/>
    <n v="3.5"/>
    <s v="Card"/>
    <s v="C1589"/>
    <n v="17.5"/>
    <s v="Wednesday"/>
    <s v="June"/>
    <n v="2025"/>
  </r>
  <r>
    <x v="2334"/>
    <d v="2025-06-18T00:00:00"/>
    <s v="High Street"/>
    <s v="Birmingham"/>
    <s v="Cappuccino"/>
    <s v="Drink"/>
    <n v="4"/>
    <n v="3.8"/>
    <s v="Cash"/>
    <s v="C1569"/>
    <n v="15.2"/>
    <s v="Wednesday"/>
    <s v="June"/>
    <n v="2025"/>
  </r>
  <r>
    <x v="2335"/>
    <d v="2025-06-18T00:00:00"/>
    <s v="Riverside"/>
    <s v="London"/>
    <s v="Cappuccino"/>
    <s v="Drink"/>
    <n v="4"/>
    <n v="3.8"/>
    <s v="Apple Pay"/>
    <s v="C1730"/>
    <n v="15.2"/>
    <s v="Wednesday"/>
    <s v="June"/>
    <n v="2025"/>
  </r>
  <r>
    <x v="2336"/>
    <d v="2025-06-18T00:00:00"/>
    <s v="Station"/>
    <s v="Birmingham"/>
    <s v="Latte"/>
    <s v="Drink"/>
    <n v="4"/>
    <n v="3.5"/>
    <s v="Card"/>
    <s v="C1814"/>
    <n v="14"/>
    <s v="Wednesday"/>
    <s v="June"/>
    <n v="2025"/>
  </r>
  <r>
    <x v="2337"/>
    <d v="2025-06-18T00:00:00"/>
    <s v="Riverside"/>
    <s v="London"/>
    <s v="Latte"/>
    <s v="Drink"/>
    <n v="4"/>
    <n v="3.5"/>
    <s v="Card"/>
    <s v="C1988"/>
    <n v="14"/>
    <s v="Wednesday"/>
    <s v="June"/>
    <n v="2025"/>
  </r>
  <r>
    <x v="2338"/>
    <d v="2025-06-18T00:00:00"/>
    <s v="Station"/>
    <s v="Manchester"/>
    <s v="Cappuccino"/>
    <s v="Drink"/>
    <n v="3"/>
    <n v="3.8"/>
    <s v="Apple Pay"/>
    <s v="C1407"/>
    <n v="11.399999999999999"/>
    <s v="Wednesday"/>
    <s v="June"/>
    <n v="2025"/>
  </r>
  <r>
    <x v="2339"/>
    <d v="2025-06-18T00:00:00"/>
    <s v="High Street"/>
    <s v="Birmingham"/>
    <s v="Espresso"/>
    <s v="Drink"/>
    <n v="4"/>
    <n v="2.5"/>
    <s v="Card"/>
    <s v="C1735"/>
    <n v="10"/>
    <s v="Wednesday"/>
    <s v="June"/>
    <n v="2025"/>
  </r>
  <r>
    <x v="2340"/>
    <d v="2025-06-18T00:00:00"/>
    <s v="Central"/>
    <s v="Birmingham"/>
    <s v="Muffin"/>
    <s v="Food"/>
    <n v="3"/>
    <n v="2.2000000000000002"/>
    <s v="Card"/>
    <s v="C1613"/>
    <n v="6.6000000000000005"/>
    <s v="Wednesday"/>
    <s v="June"/>
    <n v="2025"/>
  </r>
  <r>
    <x v="2341"/>
    <d v="2025-06-19T00:00:00"/>
    <s v="Riverside"/>
    <s v="Birmingham"/>
    <s v="Latte"/>
    <s v="Drink"/>
    <n v="5"/>
    <n v="3.5"/>
    <s v="Apple Pay"/>
    <s v="C1829"/>
    <n v="17.5"/>
    <s v="Thursday"/>
    <s v="June"/>
    <n v="2025"/>
  </r>
  <r>
    <x v="2342"/>
    <d v="2025-06-19T00:00:00"/>
    <s v="Riverside"/>
    <s v="Leeds"/>
    <s v="Croissant"/>
    <s v="Food"/>
    <n v="5"/>
    <n v="2.8"/>
    <s v="Apple Pay"/>
    <s v="C1906"/>
    <n v="14"/>
    <s v="Thursday"/>
    <s v="June"/>
    <n v="2025"/>
  </r>
  <r>
    <x v="2343"/>
    <d v="2025-06-19T00:00:00"/>
    <s v="Central"/>
    <s v="London"/>
    <s v="Espresso"/>
    <s v="Drink"/>
    <n v="5"/>
    <n v="2.5"/>
    <s v="Apple Pay"/>
    <s v="C1383"/>
    <n v="12.5"/>
    <s v="Thursday"/>
    <s v="June"/>
    <n v="2025"/>
  </r>
  <r>
    <x v="2344"/>
    <d v="2025-06-19T00:00:00"/>
    <s v="Central"/>
    <s v="Leeds"/>
    <s v="Latte"/>
    <s v="Drink"/>
    <n v="3"/>
    <n v="3.5"/>
    <s v="Apple Pay"/>
    <s v="C1079"/>
    <n v="10.5"/>
    <s v="Thursday"/>
    <s v="June"/>
    <n v="2025"/>
  </r>
  <r>
    <x v="2345"/>
    <d v="2025-06-19T00:00:00"/>
    <s v="Riverside"/>
    <s v="Birmingham"/>
    <s v="Muffin"/>
    <s v="Food"/>
    <n v="4"/>
    <n v="2.2000000000000002"/>
    <s v="Apple Pay"/>
    <s v="C1218"/>
    <n v="8.8000000000000007"/>
    <s v="Thursday"/>
    <s v="June"/>
    <n v="2025"/>
  </r>
  <r>
    <x v="2346"/>
    <d v="2025-06-19T00:00:00"/>
    <s v="High Street"/>
    <s v="London"/>
    <s v="Croissant"/>
    <s v="Food"/>
    <n v="3"/>
    <n v="2.8"/>
    <s v="Card"/>
    <s v="C1798"/>
    <n v="8.3999999999999986"/>
    <s v="Thursday"/>
    <s v="June"/>
    <n v="2025"/>
  </r>
  <r>
    <x v="2347"/>
    <d v="2025-06-19T00:00:00"/>
    <s v="Station"/>
    <s v="Leeds"/>
    <s v="Croissant"/>
    <s v="Food"/>
    <n v="2"/>
    <n v="2.8"/>
    <s v="Card"/>
    <s v="C1548"/>
    <n v="5.6"/>
    <s v="Thursday"/>
    <s v="June"/>
    <n v="2025"/>
  </r>
  <r>
    <x v="2348"/>
    <d v="2025-06-19T00:00:00"/>
    <s v="Station"/>
    <s v="London"/>
    <s v="Espresso"/>
    <s v="Drink"/>
    <n v="2"/>
    <n v="2.5"/>
    <s v="Apple Pay"/>
    <s v="C1142"/>
    <n v="5"/>
    <s v="Thursday"/>
    <s v="June"/>
    <n v="2025"/>
  </r>
  <r>
    <x v="2349"/>
    <d v="2025-06-19T00:00:00"/>
    <s v="Riverside"/>
    <s v="London"/>
    <s v="Muffin"/>
    <s v="Food"/>
    <n v="2"/>
    <n v="2.2000000000000002"/>
    <s v="Card"/>
    <s v="C1678"/>
    <n v="4.4000000000000004"/>
    <s v="Thursday"/>
    <s v="June"/>
    <n v="2025"/>
  </r>
  <r>
    <x v="2350"/>
    <d v="2025-06-20T00:00:00"/>
    <s v="High Street"/>
    <s v="Bristol"/>
    <s v="Cappuccino"/>
    <s v="Drink"/>
    <n v="5"/>
    <n v="3.8"/>
    <s v="Apple Pay"/>
    <s v="C1477"/>
    <n v="19"/>
    <s v="Friday"/>
    <s v="June"/>
    <n v="2025"/>
  </r>
  <r>
    <x v="2351"/>
    <d v="2025-06-20T00:00:00"/>
    <s v="Station"/>
    <s v="London"/>
    <s v="Cappuccino"/>
    <s v="Drink"/>
    <n v="5"/>
    <n v="3.8"/>
    <s v="Apple Pay"/>
    <s v="C1854"/>
    <n v="19"/>
    <s v="Friday"/>
    <s v="June"/>
    <n v="2025"/>
  </r>
  <r>
    <x v="2352"/>
    <d v="2025-06-20T00:00:00"/>
    <s v="High Street"/>
    <s v="Birmingham"/>
    <s v="Latte"/>
    <s v="Drink"/>
    <n v="4"/>
    <n v="3.5"/>
    <s v="Apple Pay"/>
    <s v="C1807"/>
    <n v="14"/>
    <s v="Friday"/>
    <s v="June"/>
    <n v="2025"/>
  </r>
  <r>
    <x v="2353"/>
    <d v="2025-06-20T00:00:00"/>
    <s v="Central"/>
    <s v="Manchester"/>
    <s v="Croissant"/>
    <s v="Food"/>
    <n v="5"/>
    <n v="2.8"/>
    <s v="Cash"/>
    <s v="C1574"/>
    <n v="14"/>
    <s v="Friday"/>
    <s v="June"/>
    <n v="2025"/>
  </r>
  <r>
    <x v="2354"/>
    <d v="2025-06-20T00:00:00"/>
    <s v="Station"/>
    <s v="Birmingham"/>
    <s v="Croissant"/>
    <s v="Food"/>
    <n v="5"/>
    <n v="2.8"/>
    <s v="Cash"/>
    <s v="C1909"/>
    <n v="14"/>
    <s v="Friday"/>
    <s v="June"/>
    <n v="2025"/>
  </r>
  <r>
    <x v="2355"/>
    <d v="2025-06-20T00:00:00"/>
    <s v="High Street"/>
    <s v="Manchester"/>
    <s v="Croissant"/>
    <s v="Food"/>
    <n v="5"/>
    <n v="2.8"/>
    <s v="Card"/>
    <s v="C1236"/>
    <n v="14"/>
    <s v="Friday"/>
    <s v="June"/>
    <n v="2025"/>
  </r>
  <r>
    <x v="2356"/>
    <d v="2025-06-20T00:00:00"/>
    <s v="High Street"/>
    <s v="London"/>
    <s v="Cappuccino"/>
    <s v="Drink"/>
    <n v="3"/>
    <n v="3.8"/>
    <s v="Card"/>
    <s v="C1496"/>
    <n v="11.399999999999999"/>
    <s v="Friday"/>
    <s v="June"/>
    <n v="2025"/>
  </r>
  <r>
    <x v="2357"/>
    <d v="2025-06-20T00:00:00"/>
    <s v="Riverside"/>
    <s v="London"/>
    <s v="Latte"/>
    <s v="Drink"/>
    <n v="3"/>
    <n v="3.5"/>
    <s v="Card"/>
    <s v="C1664"/>
    <n v="10.5"/>
    <s v="Friday"/>
    <s v="June"/>
    <n v="2025"/>
  </r>
  <r>
    <x v="2358"/>
    <d v="2025-06-20T00:00:00"/>
    <s v="Central"/>
    <s v="Manchester"/>
    <s v="Latte"/>
    <s v="Drink"/>
    <n v="3"/>
    <n v="3.5"/>
    <s v="Cash"/>
    <s v="C1635"/>
    <n v="10.5"/>
    <s v="Friday"/>
    <s v="June"/>
    <n v="2025"/>
  </r>
  <r>
    <x v="2359"/>
    <d v="2025-06-20T00:00:00"/>
    <s v="Station"/>
    <s v="Bristol"/>
    <s v="Latte"/>
    <s v="Drink"/>
    <n v="1"/>
    <n v="3.5"/>
    <s v="Cash"/>
    <s v="C1865"/>
    <n v="3.5"/>
    <s v="Friday"/>
    <s v="June"/>
    <n v="2025"/>
  </r>
  <r>
    <x v="2360"/>
    <d v="2025-06-20T00:00:00"/>
    <s v="Central"/>
    <s v="Manchester"/>
    <s v="Latte"/>
    <s v="Drink"/>
    <n v="1"/>
    <n v="3.5"/>
    <s v="Apple Pay"/>
    <s v="C1567"/>
    <n v="3.5"/>
    <s v="Friday"/>
    <s v="June"/>
    <n v="2025"/>
  </r>
  <r>
    <x v="2361"/>
    <d v="2025-06-20T00:00:00"/>
    <s v="Central"/>
    <s v="London"/>
    <s v="Croissant"/>
    <s v="Food"/>
    <n v="1"/>
    <n v="2.8"/>
    <s v="Apple Pay"/>
    <s v="C1079"/>
    <n v="2.8"/>
    <s v="Friday"/>
    <s v="June"/>
    <n v="2025"/>
  </r>
  <r>
    <x v="2362"/>
    <d v="2025-06-20T00:00:00"/>
    <s v="Station"/>
    <s v="Leeds"/>
    <s v="Croissant"/>
    <s v="Food"/>
    <n v="1"/>
    <n v="2.8"/>
    <s v="Card"/>
    <s v="C1252"/>
    <n v="2.8"/>
    <s v="Friday"/>
    <s v="June"/>
    <n v="2025"/>
  </r>
  <r>
    <x v="2363"/>
    <d v="2025-06-20T00:00:00"/>
    <s v="High Street"/>
    <s v="Leeds"/>
    <s v="Espresso"/>
    <s v="Drink"/>
    <n v="1"/>
    <n v="2.5"/>
    <s v="Card"/>
    <s v="C1487"/>
    <n v="2.5"/>
    <s v="Friday"/>
    <s v="June"/>
    <n v="2025"/>
  </r>
  <r>
    <x v="2364"/>
    <d v="2025-06-21T00:00:00"/>
    <s v="Station"/>
    <s v="Manchester"/>
    <s v="Latte"/>
    <s v="Drink"/>
    <n v="5"/>
    <n v="3.5"/>
    <s v="Apple Pay"/>
    <s v="C1420"/>
    <n v="17.5"/>
    <s v="Saturday"/>
    <s v="June"/>
    <n v="2025"/>
  </r>
  <r>
    <x v="2365"/>
    <d v="2025-06-21T00:00:00"/>
    <s v="High Street"/>
    <s v="Manchester"/>
    <s v="Latte"/>
    <s v="Drink"/>
    <n v="4"/>
    <n v="3.5"/>
    <s v="Cash"/>
    <s v="C1895"/>
    <n v="14"/>
    <s v="Saturday"/>
    <s v="June"/>
    <n v="2025"/>
  </r>
  <r>
    <x v="2366"/>
    <d v="2025-06-21T00:00:00"/>
    <s v="Riverside"/>
    <s v="Manchester"/>
    <s v="Latte"/>
    <s v="Drink"/>
    <n v="4"/>
    <n v="3.5"/>
    <s v="Card"/>
    <s v="C1471"/>
    <n v="14"/>
    <s v="Saturday"/>
    <s v="June"/>
    <n v="2025"/>
  </r>
  <r>
    <x v="2367"/>
    <d v="2025-06-21T00:00:00"/>
    <s v="Riverside"/>
    <s v="Manchester"/>
    <s v="Latte"/>
    <s v="Drink"/>
    <n v="4"/>
    <n v="3.5"/>
    <s v="Cash"/>
    <s v="C1898"/>
    <n v="14"/>
    <s v="Saturday"/>
    <s v="June"/>
    <n v="2025"/>
  </r>
  <r>
    <x v="2368"/>
    <d v="2025-06-21T00:00:00"/>
    <s v="Central"/>
    <s v="Bristol"/>
    <s v="Croissant"/>
    <s v="Food"/>
    <n v="4"/>
    <n v="2.8"/>
    <s v="Cash"/>
    <s v="C1639"/>
    <n v="11.2"/>
    <s v="Saturday"/>
    <s v="June"/>
    <n v="2025"/>
  </r>
  <r>
    <x v="2369"/>
    <d v="2025-06-21T00:00:00"/>
    <s v="Central"/>
    <s v="Leeds"/>
    <s v="Muffin"/>
    <s v="Food"/>
    <n v="5"/>
    <n v="2.2000000000000002"/>
    <s v="Cash"/>
    <s v="C1236"/>
    <n v="11"/>
    <s v="Saturday"/>
    <s v="June"/>
    <n v="2025"/>
  </r>
  <r>
    <x v="2370"/>
    <d v="2025-06-21T00:00:00"/>
    <s v="Station"/>
    <s v="Bristol"/>
    <s v="Croissant"/>
    <s v="Food"/>
    <n v="3"/>
    <n v="2.8"/>
    <s v="Card"/>
    <s v="C1980"/>
    <n v="8.3999999999999986"/>
    <s v="Saturday"/>
    <s v="June"/>
    <n v="2025"/>
  </r>
  <r>
    <x v="2371"/>
    <d v="2025-06-21T00:00:00"/>
    <s v="Central"/>
    <s v="Birmingham"/>
    <s v="Croissant"/>
    <s v="Food"/>
    <n v="3"/>
    <n v="2.8"/>
    <s v="Cash"/>
    <s v="C1658"/>
    <n v="8.3999999999999986"/>
    <s v="Saturday"/>
    <s v="June"/>
    <n v="2025"/>
  </r>
  <r>
    <x v="2372"/>
    <d v="2025-06-21T00:00:00"/>
    <s v="Riverside"/>
    <s v="Birmingham"/>
    <s v="Muffin"/>
    <s v="Food"/>
    <n v="3"/>
    <n v="2.2000000000000002"/>
    <s v="Apple Pay"/>
    <s v="C1229"/>
    <n v="6.6000000000000005"/>
    <s v="Saturday"/>
    <s v="June"/>
    <n v="2025"/>
  </r>
  <r>
    <x v="2373"/>
    <d v="2025-06-21T00:00:00"/>
    <s v="High Street"/>
    <s v="Leeds"/>
    <s v="Muffin"/>
    <s v="Food"/>
    <n v="3"/>
    <n v="2.2000000000000002"/>
    <s v="Cash"/>
    <s v="C1524"/>
    <n v="6.6000000000000005"/>
    <s v="Saturday"/>
    <s v="June"/>
    <n v="2025"/>
  </r>
  <r>
    <x v="2374"/>
    <d v="2025-06-21T00:00:00"/>
    <s v="High Street"/>
    <s v="Manchester"/>
    <s v="Croissant"/>
    <s v="Food"/>
    <n v="2"/>
    <n v="2.8"/>
    <s v="Cash"/>
    <s v="C1419"/>
    <n v="5.6"/>
    <s v="Saturday"/>
    <s v="June"/>
    <n v="2025"/>
  </r>
  <r>
    <x v="2375"/>
    <d v="2025-06-21T00:00:00"/>
    <s v="Central"/>
    <s v="Bristol"/>
    <s v="Croissant"/>
    <s v="Food"/>
    <n v="2"/>
    <n v="2.8"/>
    <s v="Card"/>
    <s v="C1004"/>
    <n v="5.6"/>
    <s v="Saturday"/>
    <s v="June"/>
    <n v="2025"/>
  </r>
  <r>
    <x v="2376"/>
    <d v="2025-06-21T00:00:00"/>
    <s v="Station"/>
    <s v="Bristol"/>
    <s v="Cappuccino"/>
    <s v="Drink"/>
    <n v="1"/>
    <n v="3.8"/>
    <s v="Cash"/>
    <s v="C1036"/>
    <n v="3.8"/>
    <s v="Saturday"/>
    <s v="June"/>
    <n v="2025"/>
  </r>
  <r>
    <x v="2377"/>
    <d v="2025-06-21T00:00:00"/>
    <s v="Central"/>
    <s v="London"/>
    <s v="Cappuccino"/>
    <s v="Drink"/>
    <n v="1"/>
    <n v="3.8"/>
    <s v="Cash"/>
    <s v="C1313"/>
    <n v="3.8"/>
    <s v="Saturday"/>
    <s v="June"/>
    <n v="2025"/>
  </r>
  <r>
    <x v="2378"/>
    <d v="2025-06-21T00:00:00"/>
    <s v="Station"/>
    <s v="Manchester"/>
    <s v="Latte"/>
    <s v="Drink"/>
    <n v="1"/>
    <n v="3.5"/>
    <s v="Cash"/>
    <s v="C1252"/>
    <n v="3.5"/>
    <s v="Saturday"/>
    <s v="June"/>
    <n v="2025"/>
  </r>
  <r>
    <x v="2379"/>
    <d v="2025-06-22T00:00:00"/>
    <s v="Station"/>
    <s v="London"/>
    <s v="Croissant"/>
    <s v="Food"/>
    <n v="5"/>
    <n v="2.8"/>
    <s v="Card"/>
    <s v="C1504"/>
    <n v="14"/>
    <s v="Sunday"/>
    <s v="June"/>
    <n v="2025"/>
  </r>
  <r>
    <x v="2380"/>
    <d v="2025-06-22T00:00:00"/>
    <s v="Central"/>
    <s v="Birmingham"/>
    <s v="Latte"/>
    <s v="Drink"/>
    <n v="4"/>
    <n v="3.5"/>
    <s v="Apple Pay"/>
    <s v="C1268"/>
    <n v="14"/>
    <s v="Sunday"/>
    <s v="June"/>
    <n v="2025"/>
  </r>
  <r>
    <x v="2381"/>
    <d v="2025-06-22T00:00:00"/>
    <s v="High Street"/>
    <s v="Leeds"/>
    <s v="Croissant"/>
    <s v="Food"/>
    <n v="5"/>
    <n v="2.8"/>
    <s v="Cash"/>
    <s v="C1809"/>
    <n v="14"/>
    <s v="Sunday"/>
    <s v="June"/>
    <n v="2025"/>
  </r>
  <r>
    <x v="2382"/>
    <d v="2025-06-22T00:00:00"/>
    <s v="High Street"/>
    <s v="Leeds"/>
    <s v="Muffin"/>
    <s v="Food"/>
    <n v="5"/>
    <n v="2.2000000000000002"/>
    <s v="Cash"/>
    <s v="C1468"/>
    <n v="11"/>
    <s v="Sunday"/>
    <s v="June"/>
    <n v="2025"/>
  </r>
  <r>
    <x v="2383"/>
    <d v="2025-06-22T00:00:00"/>
    <s v="Station"/>
    <s v="Manchester"/>
    <s v="Espresso"/>
    <s v="Drink"/>
    <n v="4"/>
    <n v="2.5"/>
    <s v="Card"/>
    <s v="C1940"/>
    <n v="10"/>
    <s v="Sunday"/>
    <s v="June"/>
    <n v="2025"/>
  </r>
  <r>
    <x v="2384"/>
    <d v="2025-06-22T00:00:00"/>
    <s v="High Street"/>
    <s v="Bristol"/>
    <s v="Croissant"/>
    <s v="Food"/>
    <n v="3"/>
    <n v="2.8"/>
    <s v="Apple Pay"/>
    <s v="C1851"/>
    <n v="8.3999999999999986"/>
    <s v="Sunday"/>
    <s v="June"/>
    <n v="2025"/>
  </r>
  <r>
    <x v="2385"/>
    <d v="2025-06-22T00:00:00"/>
    <s v="Station"/>
    <s v="Bristol"/>
    <s v="Cappuccino"/>
    <s v="Drink"/>
    <n v="2"/>
    <n v="3.8"/>
    <s v="Card"/>
    <s v="C1502"/>
    <n v="7.6"/>
    <s v="Sunday"/>
    <s v="June"/>
    <n v="2025"/>
  </r>
  <r>
    <x v="2386"/>
    <d v="2025-06-22T00:00:00"/>
    <s v="High Street"/>
    <s v="Manchester"/>
    <s v="Cappuccino"/>
    <s v="Drink"/>
    <n v="2"/>
    <n v="3.8"/>
    <s v="Apple Pay"/>
    <s v="C1681"/>
    <n v="7.6"/>
    <s v="Sunday"/>
    <s v="June"/>
    <n v="2025"/>
  </r>
  <r>
    <x v="2387"/>
    <d v="2025-06-22T00:00:00"/>
    <s v="Station"/>
    <s v="London"/>
    <s v="Muffin"/>
    <s v="Food"/>
    <n v="3"/>
    <n v="2.2000000000000002"/>
    <s v="Apple Pay"/>
    <s v="C1990"/>
    <n v="6.6000000000000005"/>
    <s v="Sunday"/>
    <s v="June"/>
    <n v="2025"/>
  </r>
  <r>
    <x v="2388"/>
    <d v="2025-06-22T00:00:00"/>
    <s v="Central"/>
    <s v="London"/>
    <s v="Croissant"/>
    <s v="Food"/>
    <n v="2"/>
    <n v="2.8"/>
    <s v="Apple Pay"/>
    <s v="C1980"/>
    <n v="5.6"/>
    <s v="Sunday"/>
    <s v="June"/>
    <n v="2025"/>
  </r>
  <r>
    <x v="2389"/>
    <d v="2025-06-22T00:00:00"/>
    <s v="Riverside"/>
    <s v="London"/>
    <s v="Espresso"/>
    <s v="Drink"/>
    <n v="1"/>
    <n v="2.5"/>
    <s v="Cash"/>
    <s v="C1862"/>
    <n v="2.5"/>
    <s v="Sunday"/>
    <s v="June"/>
    <n v="2025"/>
  </r>
  <r>
    <x v="2390"/>
    <d v="2025-06-22T00:00:00"/>
    <s v="Central"/>
    <s v="Leeds"/>
    <s v="Espresso"/>
    <s v="Drink"/>
    <n v="1"/>
    <n v="2.5"/>
    <s v="Apple Pay"/>
    <s v="C1971"/>
    <n v="2.5"/>
    <s v="Sunday"/>
    <s v="June"/>
    <n v="2025"/>
  </r>
  <r>
    <x v="2391"/>
    <d v="2025-06-22T00:00:00"/>
    <s v="Central"/>
    <s v="London"/>
    <s v="Espresso"/>
    <s v="Drink"/>
    <n v="1"/>
    <n v="2.5"/>
    <s v="Cash"/>
    <s v="C1077"/>
    <n v="2.5"/>
    <s v="Sunday"/>
    <s v="June"/>
    <n v="2025"/>
  </r>
  <r>
    <x v="2392"/>
    <d v="2025-06-22T00:00:00"/>
    <s v="Riverside"/>
    <s v="Leeds"/>
    <s v="Muffin"/>
    <s v="Food"/>
    <n v="1"/>
    <n v="2.2000000000000002"/>
    <s v="Card"/>
    <s v="C1693"/>
    <n v="2.2000000000000002"/>
    <s v="Sunday"/>
    <s v="June"/>
    <n v="2025"/>
  </r>
  <r>
    <x v="2393"/>
    <d v="2025-06-23T00:00:00"/>
    <s v="Riverside"/>
    <s v="Leeds"/>
    <s v="Cappuccino"/>
    <s v="Drink"/>
    <n v="5"/>
    <n v="3.8"/>
    <s v="Cash"/>
    <s v="C1489"/>
    <n v="19"/>
    <s v="Monday"/>
    <s v="June"/>
    <n v="2025"/>
  </r>
  <r>
    <x v="2394"/>
    <d v="2025-06-23T00:00:00"/>
    <s v="Riverside"/>
    <s v="London"/>
    <s v="Latte"/>
    <s v="Drink"/>
    <n v="4"/>
    <n v="3.5"/>
    <s v="Cash"/>
    <s v="C1837"/>
    <n v="14"/>
    <s v="Monday"/>
    <s v="June"/>
    <n v="2025"/>
  </r>
  <r>
    <x v="2395"/>
    <d v="2025-06-23T00:00:00"/>
    <s v="Riverside"/>
    <s v="Leeds"/>
    <s v="Cappuccino"/>
    <s v="Drink"/>
    <n v="3"/>
    <n v="3.8"/>
    <s v="Apple Pay"/>
    <s v="C1638"/>
    <n v="11.399999999999999"/>
    <s v="Monday"/>
    <s v="June"/>
    <n v="2025"/>
  </r>
  <r>
    <x v="2396"/>
    <d v="2025-06-23T00:00:00"/>
    <s v="Riverside"/>
    <s v="London"/>
    <s v="Muffin"/>
    <s v="Food"/>
    <n v="3"/>
    <n v="2.2000000000000002"/>
    <s v="Cash"/>
    <s v="C1564"/>
    <n v="6.6000000000000005"/>
    <s v="Monday"/>
    <s v="June"/>
    <n v="2025"/>
  </r>
  <r>
    <x v="2397"/>
    <d v="2025-06-23T00:00:00"/>
    <s v="Central"/>
    <s v="Leeds"/>
    <s v="Muffin"/>
    <s v="Food"/>
    <n v="2"/>
    <n v="2.2000000000000002"/>
    <s v="Cash"/>
    <s v="C1371"/>
    <n v="4.4000000000000004"/>
    <s v="Monday"/>
    <s v="June"/>
    <n v="2025"/>
  </r>
  <r>
    <x v="2398"/>
    <d v="2025-06-23T00:00:00"/>
    <s v="High Street"/>
    <s v="Leeds"/>
    <s v="Croissant"/>
    <s v="Food"/>
    <n v="1"/>
    <n v="2.8"/>
    <s v="Card"/>
    <s v="C1452"/>
    <n v="2.8"/>
    <s v="Monday"/>
    <s v="June"/>
    <n v="2025"/>
  </r>
  <r>
    <x v="2399"/>
    <d v="2025-06-23T00:00:00"/>
    <s v="Central"/>
    <s v="Bristol"/>
    <s v="Croissant"/>
    <s v="Food"/>
    <n v="1"/>
    <n v="2.8"/>
    <s v="Cash"/>
    <s v="C1275"/>
    <n v="2.8"/>
    <s v="Monday"/>
    <s v="June"/>
    <n v="2025"/>
  </r>
  <r>
    <x v="2400"/>
    <d v="2025-06-23T00:00:00"/>
    <s v="Riverside"/>
    <s v="Birmingham"/>
    <s v="Muffin"/>
    <s v="Food"/>
    <n v="1"/>
    <n v="2.2000000000000002"/>
    <s v="Cash"/>
    <s v="C1864"/>
    <n v="2.2000000000000002"/>
    <s v="Monday"/>
    <s v="June"/>
    <n v="2025"/>
  </r>
  <r>
    <x v="2401"/>
    <d v="2025-06-24T00:00:00"/>
    <s v="Central"/>
    <s v="Birmingham"/>
    <s v="Cappuccino"/>
    <s v="Drink"/>
    <n v="5"/>
    <n v="3.8"/>
    <s v="Cash"/>
    <s v="C1040"/>
    <n v="19"/>
    <s v="Tuesday"/>
    <s v="June"/>
    <n v="2025"/>
  </r>
  <r>
    <x v="2402"/>
    <d v="2025-06-24T00:00:00"/>
    <s v="Central"/>
    <s v="Manchester"/>
    <s v="Cappuccino"/>
    <s v="Drink"/>
    <n v="5"/>
    <n v="3.8"/>
    <s v="Card"/>
    <s v="C1383"/>
    <n v="19"/>
    <s v="Tuesday"/>
    <s v="June"/>
    <n v="2025"/>
  </r>
  <r>
    <x v="2403"/>
    <d v="2025-06-24T00:00:00"/>
    <s v="Central"/>
    <s v="Birmingham"/>
    <s v="Latte"/>
    <s v="Drink"/>
    <n v="4"/>
    <n v="3.5"/>
    <s v="Apple Pay"/>
    <s v="C1308"/>
    <n v="14"/>
    <s v="Tuesday"/>
    <s v="June"/>
    <n v="2025"/>
  </r>
  <r>
    <x v="2404"/>
    <d v="2025-06-24T00:00:00"/>
    <s v="Riverside"/>
    <s v="Birmingham"/>
    <s v="Muffin"/>
    <s v="Food"/>
    <n v="5"/>
    <n v="2.2000000000000002"/>
    <s v="Cash"/>
    <s v="C1018"/>
    <n v="11"/>
    <s v="Tuesday"/>
    <s v="June"/>
    <n v="2025"/>
  </r>
  <r>
    <x v="2405"/>
    <d v="2025-06-24T00:00:00"/>
    <s v="High Street"/>
    <s v="Leeds"/>
    <s v="Muffin"/>
    <s v="Food"/>
    <n v="4"/>
    <n v="2.2000000000000002"/>
    <s v="Apple Pay"/>
    <s v="C1049"/>
    <n v="8.8000000000000007"/>
    <s v="Tuesday"/>
    <s v="June"/>
    <n v="2025"/>
  </r>
  <r>
    <x v="2406"/>
    <d v="2025-06-24T00:00:00"/>
    <s v="High Street"/>
    <s v="London"/>
    <s v="Espresso"/>
    <s v="Drink"/>
    <n v="3"/>
    <n v="2.5"/>
    <s v="Card"/>
    <s v="C1264"/>
    <n v="7.5"/>
    <s v="Tuesday"/>
    <s v="June"/>
    <n v="2025"/>
  </r>
  <r>
    <x v="2407"/>
    <d v="2025-06-24T00:00:00"/>
    <s v="Central"/>
    <s v="London"/>
    <s v="Espresso"/>
    <s v="Drink"/>
    <n v="3"/>
    <n v="2.5"/>
    <s v="Apple Pay"/>
    <s v="C1506"/>
    <n v="7.5"/>
    <s v="Tuesday"/>
    <s v="June"/>
    <n v="2025"/>
  </r>
  <r>
    <x v="2408"/>
    <d v="2025-06-24T00:00:00"/>
    <s v="Riverside"/>
    <s v="London"/>
    <s v="Croissant"/>
    <s v="Food"/>
    <n v="2"/>
    <n v="2.8"/>
    <s v="Card"/>
    <s v="C1293"/>
    <n v="5.6"/>
    <s v="Tuesday"/>
    <s v="June"/>
    <n v="2025"/>
  </r>
  <r>
    <x v="2409"/>
    <d v="2025-06-24T00:00:00"/>
    <s v="Riverside"/>
    <s v="Manchester"/>
    <s v="Croissant"/>
    <s v="Food"/>
    <n v="2"/>
    <n v="2.8"/>
    <s v="Apple Pay"/>
    <s v="C1109"/>
    <n v="5.6"/>
    <s v="Tuesday"/>
    <s v="June"/>
    <n v="2025"/>
  </r>
  <r>
    <x v="2410"/>
    <d v="2025-06-24T00:00:00"/>
    <s v="Station"/>
    <s v="Birmingham"/>
    <s v="Croissant"/>
    <s v="Food"/>
    <n v="1"/>
    <n v="2.8"/>
    <s v="Cash"/>
    <s v="C1737"/>
    <n v="2.8"/>
    <s v="Tuesday"/>
    <s v="June"/>
    <n v="2025"/>
  </r>
  <r>
    <x v="2411"/>
    <d v="2025-06-24T00:00:00"/>
    <s v="Riverside"/>
    <s v="London"/>
    <s v="Muffin"/>
    <s v="Food"/>
    <n v="1"/>
    <n v="2.2000000000000002"/>
    <s v="Apple Pay"/>
    <s v="C1971"/>
    <n v="2.2000000000000002"/>
    <s v="Tuesday"/>
    <s v="June"/>
    <n v="2025"/>
  </r>
  <r>
    <x v="2412"/>
    <d v="2025-06-25T00:00:00"/>
    <s v="Station"/>
    <s v="London"/>
    <s v="Latte"/>
    <s v="Drink"/>
    <n v="5"/>
    <n v="3.5"/>
    <s v="Cash"/>
    <s v="C1823"/>
    <n v="17.5"/>
    <s v="Wednesday"/>
    <s v="June"/>
    <n v="2025"/>
  </r>
  <r>
    <x v="2413"/>
    <d v="2025-06-25T00:00:00"/>
    <s v="Central"/>
    <s v="Leeds"/>
    <s v="Cappuccino"/>
    <s v="Drink"/>
    <n v="4"/>
    <n v="3.8"/>
    <s v="Apple Pay"/>
    <s v="C1642"/>
    <n v="15.2"/>
    <s v="Wednesday"/>
    <s v="June"/>
    <n v="2025"/>
  </r>
  <r>
    <x v="2414"/>
    <d v="2025-06-25T00:00:00"/>
    <s v="High Street"/>
    <s v="Bristol"/>
    <s v="Croissant"/>
    <s v="Food"/>
    <n v="5"/>
    <n v="2.8"/>
    <s v="Apple Pay"/>
    <s v="C1350"/>
    <n v="14"/>
    <s v="Wednesday"/>
    <s v="June"/>
    <n v="2025"/>
  </r>
  <r>
    <x v="2415"/>
    <d v="2025-06-25T00:00:00"/>
    <s v="Station"/>
    <s v="London"/>
    <s v="Cappuccino"/>
    <s v="Drink"/>
    <n v="3"/>
    <n v="3.8"/>
    <s v="Apple Pay"/>
    <s v="C1752"/>
    <n v="11.399999999999999"/>
    <s v="Wednesday"/>
    <s v="June"/>
    <n v="2025"/>
  </r>
  <r>
    <x v="2416"/>
    <d v="2025-06-25T00:00:00"/>
    <s v="Station"/>
    <s v="London"/>
    <s v="Cappuccino"/>
    <s v="Drink"/>
    <n v="3"/>
    <n v="3.8"/>
    <s v="Apple Pay"/>
    <s v="C1994"/>
    <n v="11.399999999999999"/>
    <s v="Wednesday"/>
    <s v="June"/>
    <n v="2025"/>
  </r>
  <r>
    <x v="2417"/>
    <d v="2025-06-25T00:00:00"/>
    <s v="Station"/>
    <s v="London"/>
    <s v="Croissant"/>
    <s v="Food"/>
    <n v="4"/>
    <n v="2.8"/>
    <s v="Apple Pay"/>
    <s v="C1996"/>
    <n v="11.2"/>
    <s v="Wednesday"/>
    <s v="June"/>
    <n v="2025"/>
  </r>
  <r>
    <x v="2418"/>
    <d v="2025-06-25T00:00:00"/>
    <s v="Station"/>
    <s v="London"/>
    <s v="Latte"/>
    <s v="Drink"/>
    <n v="3"/>
    <n v="3.5"/>
    <s v="Apple Pay"/>
    <s v="C1156"/>
    <n v="10.5"/>
    <s v="Wednesday"/>
    <s v="June"/>
    <n v="2025"/>
  </r>
  <r>
    <x v="2419"/>
    <d v="2025-06-25T00:00:00"/>
    <s v="Riverside"/>
    <s v="Bristol"/>
    <s v="Latte"/>
    <s v="Drink"/>
    <n v="3"/>
    <n v="3.5"/>
    <s v="Cash"/>
    <s v="C1754"/>
    <n v="10.5"/>
    <s v="Wednesday"/>
    <s v="June"/>
    <n v="2025"/>
  </r>
  <r>
    <x v="2420"/>
    <d v="2025-06-25T00:00:00"/>
    <s v="Station"/>
    <s v="London"/>
    <s v="Latte"/>
    <s v="Drink"/>
    <n v="3"/>
    <n v="3.5"/>
    <s v="Apple Pay"/>
    <s v="C1548"/>
    <n v="10.5"/>
    <s v="Wednesday"/>
    <s v="June"/>
    <n v="2025"/>
  </r>
  <r>
    <x v="2421"/>
    <d v="2025-06-25T00:00:00"/>
    <s v="Riverside"/>
    <s v="Birmingham"/>
    <s v="Croissant"/>
    <s v="Food"/>
    <n v="3"/>
    <n v="2.8"/>
    <s v="Card"/>
    <s v="C1872"/>
    <n v="8.3999999999999986"/>
    <s v="Wednesday"/>
    <s v="June"/>
    <n v="2025"/>
  </r>
  <r>
    <x v="2422"/>
    <d v="2025-06-25T00:00:00"/>
    <s v="Riverside"/>
    <s v="Bristol"/>
    <s v="Croissant"/>
    <s v="Food"/>
    <n v="3"/>
    <n v="2.8"/>
    <s v="Card"/>
    <s v="C1927"/>
    <n v="8.3999999999999986"/>
    <s v="Wednesday"/>
    <s v="June"/>
    <n v="2025"/>
  </r>
  <r>
    <x v="2423"/>
    <d v="2025-06-25T00:00:00"/>
    <s v="High Street"/>
    <s v="N/A"/>
    <s v="Cappuccino"/>
    <s v="Drink"/>
    <n v="2"/>
    <n v="3.8"/>
    <s v="Card"/>
    <s v="C1291"/>
    <n v="7.6"/>
    <s v="Wednesday"/>
    <s v="June"/>
    <n v="2025"/>
  </r>
  <r>
    <x v="2424"/>
    <d v="2025-06-25T00:00:00"/>
    <s v="Riverside"/>
    <s v="Bristol"/>
    <s v="Latte"/>
    <s v="Drink"/>
    <n v="2"/>
    <n v="3.5"/>
    <s v="Apple Pay"/>
    <s v="C1743"/>
    <n v="7"/>
    <s v="Wednesday"/>
    <s v="June"/>
    <n v="2025"/>
  </r>
  <r>
    <x v="2425"/>
    <d v="2025-06-25T00:00:00"/>
    <s v="Riverside"/>
    <s v="London"/>
    <s v="Muffin"/>
    <s v="Food"/>
    <n v="3"/>
    <n v="2.2000000000000002"/>
    <s v="Cash"/>
    <s v="C1014"/>
    <n v="6.6000000000000005"/>
    <s v="Wednesday"/>
    <s v="June"/>
    <n v="2025"/>
  </r>
  <r>
    <x v="2426"/>
    <d v="2025-06-25T00:00:00"/>
    <s v="Central"/>
    <s v="London"/>
    <s v="Cappuccino"/>
    <s v="Drink"/>
    <n v="1"/>
    <n v="3.8"/>
    <s v="Cash"/>
    <s v="C1685"/>
    <n v="3.8"/>
    <s v="Wednesday"/>
    <s v="June"/>
    <n v="2025"/>
  </r>
  <r>
    <x v="2427"/>
    <d v="2025-06-25T00:00:00"/>
    <s v="Central"/>
    <s v="Manchester"/>
    <s v="Cappuccino"/>
    <s v="Drink"/>
    <n v="1"/>
    <n v="3.8"/>
    <s v="Card"/>
    <s v="C1542"/>
    <n v="3.8"/>
    <s v="Wednesday"/>
    <s v="June"/>
    <n v="2025"/>
  </r>
  <r>
    <x v="2428"/>
    <d v="2025-06-25T00:00:00"/>
    <s v="High Street"/>
    <s v="Leeds"/>
    <s v="Espresso"/>
    <s v="Drink"/>
    <n v="1"/>
    <n v="2.5"/>
    <s v="Card"/>
    <s v="C1201"/>
    <n v="2.5"/>
    <s v="Wednesday"/>
    <s v="June"/>
    <n v="2025"/>
  </r>
  <r>
    <x v="2429"/>
    <d v="2025-06-26T00:00:00"/>
    <s v="Central"/>
    <s v="Leeds"/>
    <s v="Cappuccino"/>
    <s v="Drink"/>
    <n v="5"/>
    <n v="3.8"/>
    <s v="Cash"/>
    <s v="C1980"/>
    <n v="19"/>
    <s v="Thursday"/>
    <s v="June"/>
    <n v="2025"/>
  </r>
  <r>
    <x v="2430"/>
    <d v="2025-06-26T00:00:00"/>
    <s v="Central"/>
    <s v="Bristol"/>
    <s v="Latte"/>
    <s v="Drink"/>
    <n v="5"/>
    <n v="3.5"/>
    <s v="Cash"/>
    <s v="C1507"/>
    <n v="17.5"/>
    <s v="Thursday"/>
    <s v="June"/>
    <n v="2025"/>
  </r>
  <r>
    <x v="2431"/>
    <d v="2025-06-26T00:00:00"/>
    <s v="Riverside"/>
    <s v="Leeds"/>
    <s v="Latte"/>
    <s v="Drink"/>
    <n v="5"/>
    <n v="3.5"/>
    <s v="Cash"/>
    <s v="C1308"/>
    <n v="17.5"/>
    <s v="Thursday"/>
    <s v="June"/>
    <n v="2025"/>
  </r>
  <r>
    <x v="2432"/>
    <d v="2025-06-26T00:00:00"/>
    <s v="Riverside"/>
    <s v="Birmingham"/>
    <s v="Latte"/>
    <s v="Drink"/>
    <n v="4"/>
    <n v="3.5"/>
    <s v="Cash"/>
    <s v="C1440"/>
    <n v="14"/>
    <s v="Thursday"/>
    <s v="June"/>
    <n v="2025"/>
  </r>
  <r>
    <x v="2433"/>
    <d v="2025-06-26T00:00:00"/>
    <s v="Station"/>
    <s v="London"/>
    <s v="Latte"/>
    <s v="Drink"/>
    <n v="4"/>
    <n v="3.5"/>
    <s v="Apple Pay"/>
    <s v="C1652"/>
    <n v="14"/>
    <s v="Thursday"/>
    <s v="June"/>
    <n v="2025"/>
  </r>
  <r>
    <x v="2434"/>
    <d v="2025-06-26T00:00:00"/>
    <s v="Central"/>
    <s v="Birmingham"/>
    <s v="Latte"/>
    <s v="Drink"/>
    <n v="4"/>
    <n v="3.5"/>
    <s v="Card"/>
    <s v="C1685"/>
    <n v="14"/>
    <s v="Thursday"/>
    <s v="June"/>
    <n v="2025"/>
  </r>
  <r>
    <x v="2435"/>
    <d v="2025-06-26T00:00:00"/>
    <s v="Riverside"/>
    <s v="London"/>
    <s v="Croissant"/>
    <s v="Food"/>
    <n v="5"/>
    <n v="2.8"/>
    <s v="Apple Pay"/>
    <s v="C1442"/>
    <n v="14"/>
    <s v="Thursday"/>
    <s v="June"/>
    <n v="2025"/>
  </r>
  <r>
    <x v="2436"/>
    <d v="2025-06-26T00:00:00"/>
    <s v="Station"/>
    <s v="London"/>
    <s v="Muffin"/>
    <s v="Food"/>
    <n v="5"/>
    <n v="2.2000000000000002"/>
    <s v="Card"/>
    <s v="C1387"/>
    <n v="11"/>
    <s v="Thursday"/>
    <s v="June"/>
    <n v="2025"/>
  </r>
  <r>
    <x v="2437"/>
    <d v="2025-06-26T00:00:00"/>
    <s v="High Street"/>
    <s v="Manchester"/>
    <s v="Muffin"/>
    <s v="Food"/>
    <n v="5"/>
    <n v="2.2000000000000002"/>
    <s v="Cash"/>
    <s v="C1906"/>
    <n v="11"/>
    <s v="Thursday"/>
    <s v="June"/>
    <n v="2025"/>
  </r>
  <r>
    <x v="2438"/>
    <d v="2025-06-26T00:00:00"/>
    <s v="Station"/>
    <s v="Leeds"/>
    <s v="Latte"/>
    <s v="Drink"/>
    <n v="3"/>
    <n v="3.5"/>
    <s v="Cash"/>
    <s v="C1823"/>
    <n v="10.5"/>
    <s v="Thursday"/>
    <s v="June"/>
    <n v="2025"/>
  </r>
  <r>
    <x v="2439"/>
    <d v="2025-06-26T00:00:00"/>
    <s v="High Street"/>
    <s v="Leeds"/>
    <s v="Latte"/>
    <s v="Drink"/>
    <n v="3"/>
    <n v="3.5"/>
    <s v="Apple Pay"/>
    <s v="C1000"/>
    <n v="10.5"/>
    <s v="Thursday"/>
    <s v="June"/>
    <n v="2025"/>
  </r>
  <r>
    <x v="2440"/>
    <d v="2025-06-26T00:00:00"/>
    <s v="High Street"/>
    <s v="London"/>
    <s v="Croissant"/>
    <s v="Food"/>
    <n v="3"/>
    <n v="2.8"/>
    <s v="Apple Pay"/>
    <s v="C1819"/>
    <n v="8.3999999999999986"/>
    <s v="Thursday"/>
    <s v="June"/>
    <n v="2025"/>
  </r>
  <r>
    <x v="2441"/>
    <d v="2025-06-26T00:00:00"/>
    <s v="High Street"/>
    <s v="Birmingham"/>
    <s v="Espresso"/>
    <s v="Drink"/>
    <n v="3"/>
    <n v="2.5"/>
    <s v="Cash"/>
    <s v="C1136"/>
    <n v="7.5"/>
    <s v="Thursday"/>
    <s v="June"/>
    <n v="2025"/>
  </r>
  <r>
    <x v="2442"/>
    <d v="2025-06-26T00:00:00"/>
    <s v="High Street"/>
    <s v="Leeds"/>
    <s v="Muffin"/>
    <s v="Food"/>
    <n v="2"/>
    <n v="2.2000000000000002"/>
    <s v="Cash"/>
    <s v="C1069"/>
    <n v="4.4000000000000004"/>
    <s v="Thursday"/>
    <s v="June"/>
    <n v="2025"/>
  </r>
  <r>
    <x v="2443"/>
    <d v="2025-06-26T00:00:00"/>
    <s v="Station"/>
    <s v="Birmingham"/>
    <s v="Espresso"/>
    <s v="Drink"/>
    <n v="1"/>
    <n v="2.5"/>
    <s v="Card"/>
    <s v="C1350"/>
    <n v="2.5"/>
    <s v="Thursday"/>
    <s v="June"/>
    <n v="2025"/>
  </r>
  <r>
    <x v="2444"/>
    <d v="2025-06-26T00:00:00"/>
    <s v="Central"/>
    <s v="Leeds"/>
    <s v="Espresso"/>
    <s v="Drink"/>
    <n v="1"/>
    <n v="2.5"/>
    <s v="Apple Pay"/>
    <s v="C1536"/>
    <n v="2.5"/>
    <s v="Thursday"/>
    <s v="June"/>
    <n v="2025"/>
  </r>
  <r>
    <x v="2445"/>
    <d v="2025-06-26T00:00:00"/>
    <s v="Station"/>
    <s v="Birmingham"/>
    <s v="Muffin"/>
    <s v="Food"/>
    <n v="1"/>
    <n v="2.2000000000000002"/>
    <s v="Card"/>
    <s v="C1467"/>
    <n v="2.2000000000000002"/>
    <s v="Thursday"/>
    <s v="June"/>
    <n v="2025"/>
  </r>
  <r>
    <x v="2446"/>
    <d v="2025-06-27T00:00:00"/>
    <s v="Central"/>
    <s v="Leeds"/>
    <s v="Cappuccino"/>
    <s v="Drink"/>
    <n v="5"/>
    <n v="3.8"/>
    <s v="Cash"/>
    <s v="C1757"/>
    <n v="19"/>
    <s v="Friday"/>
    <s v="June"/>
    <n v="2025"/>
  </r>
  <r>
    <x v="2447"/>
    <d v="2025-06-27T00:00:00"/>
    <s v="Riverside"/>
    <s v="Manchester"/>
    <s v="Cappuccino"/>
    <s v="Drink"/>
    <n v="4"/>
    <n v="3.8"/>
    <s v="Cash"/>
    <s v="C1844"/>
    <n v="15.2"/>
    <s v="Friday"/>
    <s v="June"/>
    <n v="2025"/>
  </r>
  <r>
    <x v="2448"/>
    <d v="2025-06-27T00:00:00"/>
    <s v="Station"/>
    <s v="London"/>
    <s v="Croissant"/>
    <s v="Food"/>
    <n v="5"/>
    <n v="2.8"/>
    <s v="Card"/>
    <s v="C1369"/>
    <n v="14"/>
    <s v="Friday"/>
    <s v="June"/>
    <n v="2025"/>
  </r>
  <r>
    <x v="2449"/>
    <d v="2025-06-27T00:00:00"/>
    <s v="High Street"/>
    <s v="Leeds"/>
    <s v="Latte"/>
    <s v="Drink"/>
    <n v="3"/>
    <n v="3.5"/>
    <s v="Cash"/>
    <s v="C1432"/>
    <n v="10.5"/>
    <s v="Friday"/>
    <s v="June"/>
    <n v="2025"/>
  </r>
  <r>
    <x v="2450"/>
    <d v="2025-06-27T00:00:00"/>
    <s v="Station"/>
    <s v="Manchester"/>
    <s v="Espresso"/>
    <s v="Drink"/>
    <n v="3"/>
    <n v="2.5"/>
    <s v="Card"/>
    <s v="C1559"/>
    <n v="7.5"/>
    <s v="Friday"/>
    <s v="June"/>
    <n v="2025"/>
  </r>
  <r>
    <x v="2451"/>
    <d v="2025-06-27T00:00:00"/>
    <s v="High Street"/>
    <s v="Bristol"/>
    <s v="Latte"/>
    <s v="Drink"/>
    <n v="2"/>
    <n v="3.5"/>
    <s v="Apple Pay"/>
    <s v="C1224"/>
    <n v="7"/>
    <s v="Friday"/>
    <s v="June"/>
    <n v="2025"/>
  </r>
  <r>
    <x v="2452"/>
    <d v="2025-06-27T00:00:00"/>
    <s v="Riverside"/>
    <s v="Birmingham"/>
    <s v="Latte"/>
    <s v="Drink"/>
    <n v="2"/>
    <n v="3.5"/>
    <s v="Card"/>
    <s v="C1806"/>
    <n v="7"/>
    <s v="Friday"/>
    <s v="June"/>
    <n v="2025"/>
  </r>
  <r>
    <x v="2453"/>
    <d v="2025-06-27T00:00:00"/>
    <s v="Riverside"/>
    <s v="Leeds"/>
    <s v="Latte"/>
    <s v="Drink"/>
    <n v="1"/>
    <n v="3.5"/>
    <s v="Apple Pay"/>
    <s v="C1117"/>
    <n v="3.5"/>
    <s v="Friday"/>
    <s v="June"/>
    <n v="2025"/>
  </r>
  <r>
    <x v="2454"/>
    <d v="2025-06-27T00:00:00"/>
    <s v="High Street"/>
    <s v="London"/>
    <s v="Espresso"/>
    <s v="Drink"/>
    <n v="1"/>
    <n v="2.5"/>
    <s v="Cash"/>
    <s v="C1172"/>
    <n v="2.5"/>
    <s v="Friday"/>
    <s v="June"/>
    <n v="2025"/>
  </r>
  <r>
    <x v="2455"/>
    <d v="2025-06-27T00:00:00"/>
    <s v="Station"/>
    <s v="Birmingham"/>
    <s v="Espresso"/>
    <s v="Drink"/>
    <n v="1"/>
    <n v="2.5"/>
    <s v="Apple Pay"/>
    <s v="C1413"/>
    <n v="2.5"/>
    <s v="Friday"/>
    <s v="June"/>
    <n v="2025"/>
  </r>
  <r>
    <x v="2456"/>
    <d v="2025-06-27T00:00:00"/>
    <s v="High Street"/>
    <s v="Bristol"/>
    <s v="Espresso"/>
    <s v="Drink"/>
    <n v="1"/>
    <n v="2.5"/>
    <s v="Apple Pay"/>
    <s v="C1832"/>
    <n v="2.5"/>
    <s v="Friday"/>
    <s v="June"/>
    <n v="2025"/>
  </r>
  <r>
    <x v="2457"/>
    <d v="2025-06-28T00:00:00"/>
    <s v="Central"/>
    <s v="Leeds"/>
    <s v="Cappuccino"/>
    <s v="Drink"/>
    <n v="4"/>
    <n v="3.8"/>
    <s v="Cash"/>
    <s v="C1631"/>
    <n v="15.2"/>
    <s v="Saturday"/>
    <s v="June"/>
    <n v="2025"/>
  </r>
  <r>
    <x v="2458"/>
    <d v="2025-06-28T00:00:00"/>
    <s v="Riverside"/>
    <s v="London"/>
    <s v="Croissant"/>
    <s v="Food"/>
    <n v="5"/>
    <n v="2.8"/>
    <s v="Cash"/>
    <s v="C1092"/>
    <n v="14"/>
    <s v="Saturday"/>
    <s v="June"/>
    <n v="2025"/>
  </r>
  <r>
    <x v="2459"/>
    <d v="2025-06-28T00:00:00"/>
    <s v="Riverside"/>
    <s v="Leeds"/>
    <s v="Croissant"/>
    <s v="Food"/>
    <n v="4"/>
    <n v="2.8"/>
    <s v="Cash"/>
    <s v="C1712"/>
    <n v="11.2"/>
    <s v="Saturday"/>
    <s v="June"/>
    <n v="2025"/>
  </r>
  <r>
    <x v="2460"/>
    <d v="2025-06-28T00:00:00"/>
    <s v="Station"/>
    <s v="Manchester"/>
    <s v="Muffin"/>
    <s v="Food"/>
    <n v="5"/>
    <n v="2.2000000000000002"/>
    <s v="Card"/>
    <s v="C1927"/>
    <n v="11"/>
    <s v="Saturday"/>
    <s v="June"/>
    <n v="2025"/>
  </r>
  <r>
    <x v="2461"/>
    <d v="2025-06-28T00:00:00"/>
    <s v="Central"/>
    <s v="Birmingham"/>
    <s v="Espresso"/>
    <s v="Drink"/>
    <n v="2"/>
    <n v="2.5"/>
    <s v="Cash"/>
    <s v="C1863"/>
    <n v="5"/>
    <s v="Saturday"/>
    <s v="June"/>
    <n v="2025"/>
  </r>
  <r>
    <x v="2462"/>
    <d v="2025-06-29T00:00:00"/>
    <s v="High Street"/>
    <s v="Birmingham"/>
    <s v="Croissant"/>
    <s v="Food"/>
    <n v="5"/>
    <n v="2.8"/>
    <s v="Cash"/>
    <s v="C1884"/>
    <n v="14"/>
    <s v="Sunday"/>
    <s v="June"/>
    <n v="2025"/>
  </r>
  <r>
    <x v="2463"/>
    <d v="2025-06-29T00:00:00"/>
    <s v="Station"/>
    <s v="Bristol"/>
    <s v="Espresso"/>
    <s v="Drink"/>
    <n v="5"/>
    <n v="2.5"/>
    <s v="Card"/>
    <s v="C1385"/>
    <n v="12.5"/>
    <s v="Sunday"/>
    <s v="June"/>
    <n v="2025"/>
  </r>
  <r>
    <x v="2464"/>
    <d v="2025-06-29T00:00:00"/>
    <s v="Central"/>
    <s v="Bristol"/>
    <s v="Cappuccino"/>
    <s v="Drink"/>
    <n v="3"/>
    <n v="3.8"/>
    <s v="Cash"/>
    <s v="C1211"/>
    <n v="11.399999999999999"/>
    <s v="Sunday"/>
    <s v="June"/>
    <n v="2025"/>
  </r>
  <r>
    <x v="2465"/>
    <d v="2025-06-29T00:00:00"/>
    <s v="Riverside"/>
    <s v="Bristol"/>
    <s v="Cappuccino"/>
    <s v="Drink"/>
    <n v="3"/>
    <n v="3.8"/>
    <s v="Apple Pay"/>
    <s v="C1585"/>
    <n v="11.399999999999999"/>
    <s v="Sunday"/>
    <s v="June"/>
    <n v="2025"/>
  </r>
  <r>
    <x v="2466"/>
    <d v="2025-06-29T00:00:00"/>
    <s v="Station"/>
    <s v="Bristol"/>
    <s v="Latte"/>
    <s v="Drink"/>
    <n v="3"/>
    <n v="3.5"/>
    <s v="Cash"/>
    <s v="C1755"/>
    <n v="10.5"/>
    <s v="Sunday"/>
    <s v="June"/>
    <n v="2025"/>
  </r>
  <r>
    <x v="2467"/>
    <d v="2025-06-29T00:00:00"/>
    <s v="Riverside"/>
    <s v="London"/>
    <s v="Muffin"/>
    <s v="Food"/>
    <n v="4"/>
    <n v="2.2000000000000002"/>
    <s v="Cash"/>
    <s v="C1631"/>
    <n v="8.8000000000000007"/>
    <s v="Sunday"/>
    <s v="June"/>
    <n v="2025"/>
  </r>
  <r>
    <x v="2468"/>
    <d v="2025-06-29T00:00:00"/>
    <s v="Riverside"/>
    <s v="Manchester"/>
    <s v="Cappuccino"/>
    <s v="Drink"/>
    <n v="2"/>
    <n v="3.8"/>
    <s v="Card"/>
    <s v="C1069"/>
    <n v="7.6"/>
    <s v="Sunday"/>
    <s v="June"/>
    <n v="2025"/>
  </r>
  <r>
    <x v="2469"/>
    <d v="2025-06-29T00:00:00"/>
    <s v="High Street"/>
    <s v="London"/>
    <s v="Latte"/>
    <s v="Drink"/>
    <n v="2"/>
    <n v="3.5"/>
    <s v="Card"/>
    <s v="C1310"/>
    <n v="7"/>
    <s v="Sunday"/>
    <s v="June"/>
    <n v="2025"/>
  </r>
  <r>
    <x v="2470"/>
    <d v="2025-06-29T00:00:00"/>
    <s v="Riverside"/>
    <s v="Leeds"/>
    <s v="Latte"/>
    <s v="Drink"/>
    <n v="2"/>
    <n v="3.5"/>
    <s v="Card"/>
    <s v="C1045"/>
    <n v="7"/>
    <s v="Sunday"/>
    <s v="June"/>
    <n v="2025"/>
  </r>
  <r>
    <x v="2471"/>
    <d v="2025-06-29T00:00:00"/>
    <s v="High Street"/>
    <s v="Leeds"/>
    <s v="Muffin"/>
    <s v="Food"/>
    <n v="3"/>
    <n v="2.2000000000000002"/>
    <s v="Apple Pay"/>
    <s v="C1032"/>
    <n v="6.6000000000000005"/>
    <s v="Sunday"/>
    <s v="June"/>
    <n v="2025"/>
  </r>
  <r>
    <x v="2472"/>
    <d v="2025-06-29T00:00:00"/>
    <s v="Station"/>
    <s v="N/A"/>
    <s v="Muffin"/>
    <s v="Food"/>
    <n v="2"/>
    <n v="2.2000000000000002"/>
    <s v="Apple Pay"/>
    <s v="C1491"/>
    <n v="4.4000000000000004"/>
    <s v="Sunday"/>
    <s v="June"/>
    <n v="2025"/>
  </r>
  <r>
    <x v="2473"/>
    <d v="2025-06-29T00:00:00"/>
    <s v="High Street"/>
    <s v="Leeds"/>
    <s v="Latte"/>
    <s v="Drink"/>
    <n v="1"/>
    <n v="3.5"/>
    <s v="Apple Pay"/>
    <s v="C1113"/>
    <n v="3.5"/>
    <s v="Sunday"/>
    <s v="June"/>
    <n v="2025"/>
  </r>
  <r>
    <x v="2474"/>
    <d v="2025-06-30T00:00:00"/>
    <s v="High Street"/>
    <s v="Birmingham"/>
    <s v="Latte"/>
    <s v="Drink"/>
    <n v="5"/>
    <n v="3.5"/>
    <s v="Apple Pay"/>
    <s v="C1042"/>
    <n v="17.5"/>
    <s v="Monday"/>
    <s v="June"/>
    <n v="2025"/>
  </r>
  <r>
    <x v="2475"/>
    <d v="2025-06-30T00:00:00"/>
    <s v="Riverside"/>
    <s v="Birmingham"/>
    <s v="Latte"/>
    <s v="Drink"/>
    <n v="4"/>
    <n v="3.5"/>
    <s v="Cash"/>
    <s v="C1486"/>
    <n v="14"/>
    <s v="Monday"/>
    <s v="June"/>
    <n v="2025"/>
  </r>
  <r>
    <x v="2476"/>
    <d v="2025-06-30T00:00:00"/>
    <s v="High Street"/>
    <s v="Manchester"/>
    <s v="Latte"/>
    <s v="Drink"/>
    <n v="4"/>
    <n v="3.5"/>
    <s v="Apple Pay"/>
    <s v="C1834"/>
    <n v="14"/>
    <s v="Monday"/>
    <s v="June"/>
    <n v="2025"/>
  </r>
  <r>
    <x v="2477"/>
    <d v="2025-06-30T00:00:00"/>
    <s v="Station"/>
    <s v="London"/>
    <s v="Espresso"/>
    <s v="Drink"/>
    <n v="4"/>
    <n v="2.5"/>
    <s v="Cash"/>
    <s v="C1271"/>
    <n v="10"/>
    <s v="Monday"/>
    <s v="June"/>
    <n v="2025"/>
  </r>
  <r>
    <x v="2478"/>
    <d v="2025-06-30T00:00:00"/>
    <s v="Station"/>
    <s v="London"/>
    <s v="Muffin"/>
    <s v="Food"/>
    <n v="4"/>
    <n v="2.2000000000000002"/>
    <s v="Cash"/>
    <s v="C1827"/>
    <n v="8.8000000000000007"/>
    <s v="Monday"/>
    <s v="June"/>
    <n v="2025"/>
  </r>
  <r>
    <x v="2479"/>
    <d v="2025-06-30T00:00:00"/>
    <s v="Station"/>
    <s v="Manchester"/>
    <s v="Muffin"/>
    <s v="Food"/>
    <n v="4"/>
    <n v="2.2000000000000002"/>
    <s v="Apple Pay"/>
    <s v="C1236"/>
    <n v="8.8000000000000007"/>
    <s v="Monday"/>
    <s v="June"/>
    <n v="2025"/>
  </r>
  <r>
    <x v="2480"/>
    <d v="2025-06-30T00:00:00"/>
    <s v="Riverside"/>
    <s v="Bristol"/>
    <s v="Croissant"/>
    <s v="Food"/>
    <n v="3"/>
    <n v="2.8"/>
    <s v="Card"/>
    <s v="C1253"/>
    <n v="8.3999999999999986"/>
    <s v="Monday"/>
    <s v="June"/>
    <n v="2025"/>
  </r>
  <r>
    <x v="2481"/>
    <d v="2025-06-30T00:00:00"/>
    <s v="Station"/>
    <s v="Birmingham"/>
    <s v="Muffin"/>
    <s v="Food"/>
    <n v="3"/>
    <n v="2.2000000000000002"/>
    <s v="Cash"/>
    <s v="C1570"/>
    <n v="6.6000000000000005"/>
    <s v="Monday"/>
    <s v="June"/>
    <n v="2025"/>
  </r>
  <r>
    <x v="2482"/>
    <d v="2025-06-30T00:00:00"/>
    <s v="Central"/>
    <s v="London"/>
    <s v="Cappuccino"/>
    <s v="Drink"/>
    <n v="1"/>
    <n v="3.8"/>
    <s v="Card"/>
    <s v="C1842"/>
    <n v="3.8"/>
    <s v="Monday"/>
    <s v="June"/>
    <n v="2025"/>
  </r>
  <r>
    <x v="2483"/>
    <d v="2025-06-30T00:00:00"/>
    <s v="Central"/>
    <s v="Leeds"/>
    <s v="Croissant"/>
    <s v="Food"/>
    <n v="1"/>
    <n v="2.8"/>
    <s v="Cash"/>
    <s v="C1356"/>
    <n v="2.8"/>
    <s v="Monday"/>
    <s v="June"/>
    <n v="2025"/>
  </r>
  <r>
    <x v="2484"/>
    <d v="2025-07-01T00:00:00"/>
    <s v="Riverside"/>
    <s v="Manchester"/>
    <s v="Latte"/>
    <s v="Drink"/>
    <n v="5"/>
    <n v="3.5"/>
    <s v="Apple Pay"/>
    <s v="C1782"/>
    <n v="17.5"/>
    <s v="Tuesday"/>
    <s v="July"/>
    <n v="2025"/>
  </r>
  <r>
    <x v="2485"/>
    <d v="2025-07-01T00:00:00"/>
    <s v="Central"/>
    <s v="Birmingham"/>
    <s v="Cappuccino"/>
    <s v="Drink"/>
    <n v="4"/>
    <n v="3.8"/>
    <s v="Cash"/>
    <s v="C1326"/>
    <n v="15.2"/>
    <s v="Tuesday"/>
    <s v="July"/>
    <n v="2025"/>
  </r>
  <r>
    <x v="2486"/>
    <d v="2025-07-01T00:00:00"/>
    <s v="Central"/>
    <s v="London"/>
    <s v="Croissant"/>
    <s v="Food"/>
    <n v="5"/>
    <n v="2.8"/>
    <s v="Apple Pay"/>
    <s v="C1807"/>
    <n v="14"/>
    <s v="Tuesday"/>
    <s v="July"/>
    <n v="2025"/>
  </r>
  <r>
    <x v="2487"/>
    <d v="2025-07-01T00:00:00"/>
    <s v="Central"/>
    <s v="London"/>
    <s v="Cappuccino"/>
    <s v="Drink"/>
    <n v="3"/>
    <n v="3.8"/>
    <s v="Apple Pay"/>
    <s v="C1396"/>
    <n v="11.399999999999999"/>
    <s v="Tuesday"/>
    <s v="July"/>
    <n v="2025"/>
  </r>
  <r>
    <x v="2488"/>
    <d v="2025-07-01T00:00:00"/>
    <s v="Central"/>
    <s v="Birmingham"/>
    <s v="Latte"/>
    <s v="Drink"/>
    <n v="3"/>
    <n v="3.5"/>
    <s v="Cash"/>
    <s v="C1549"/>
    <n v="10.5"/>
    <s v="Tuesday"/>
    <s v="July"/>
    <n v="2025"/>
  </r>
  <r>
    <x v="2489"/>
    <d v="2025-07-01T00:00:00"/>
    <s v="Riverside"/>
    <s v="Bristol"/>
    <s v="Muffin"/>
    <s v="Food"/>
    <n v="4"/>
    <n v="2.2000000000000002"/>
    <s v="Apple Pay"/>
    <s v="C1820"/>
    <n v="8.8000000000000007"/>
    <s v="Tuesday"/>
    <s v="July"/>
    <n v="2025"/>
  </r>
  <r>
    <x v="2490"/>
    <d v="2025-07-01T00:00:00"/>
    <s v="High Street"/>
    <s v="London"/>
    <s v="Croissant"/>
    <s v="Food"/>
    <n v="3"/>
    <n v="2.8"/>
    <s v="Card"/>
    <s v="C1166"/>
    <n v="8.3999999999999986"/>
    <s v="Tuesday"/>
    <s v="July"/>
    <n v="2025"/>
  </r>
  <r>
    <x v="2491"/>
    <d v="2025-07-01T00:00:00"/>
    <s v="Central"/>
    <s v="Manchester"/>
    <s v="Croissant"/>
    <s v="Food"/>
    <n v="3"/>
    <n v="2.8"/>
    <s v="Card"/>
    <s v="C1700"/>
    <n v="8.3999999999999986"/>
    <s v="Tuesday"/>
    <s v="July"/>
    <n v="2025"/>
  </r>
  <r>
    <x v="2492"/>
    <d v="2025-07-01T00:00:00"/>
    <s v="Riverside"/>
    <s v="Manchester"/>
    <s v="Croissant"/>
    <s v="Food"/>
    <n v="3"/>
    <n v="2.8"/>
    <s v="Card"/>
    <s v="C1214"/>
    <n v="8.3999999999999986"/>
    <s v="Tuesday"/>
    <s v="July"/>
    <n v="2025"/>
  </r>
  <r>
    <x v="2493"/>
    <d v="2025-07-01T00:00:00"/>
    <s v="Riverside"/>
    <s v="London"/>
    <s v="Espresso"/>
    <s v="Drink"/>
    <n v="3"/>
    <n v="2.5"/>
    <s v="Cash"/>
    <s v="C1493"/>
    <n v="7.5"/>
    <s v="Tuesday"/>
    <s v="July"/>
    <n v="2025"/>
  </r>
  <r>
    <x v="2494"/>
    <d v="2025-07-01T00:00:00"/>
    <s v="Central"/>
    <s v="Manchester"/>
    <s v="Espresso"/>
    <s v="Drink"/>
    <n v="3"/>
    <n v="2.5"/>
    <s v="Cash"/>
    <s v="C1233"/>
    <n v="7.5"/>
    <s v="Tuesday"/>
    <s v="July"/>
    <n v="2025"/>
  </r>
  <r>
    <x v="2495"/>
    <d v="2025-07-01T00:00:00"/>
    <s v="Central"/>
    <s v="Bristol"/>
    <s v="Latte"/>
    <s v="Drink"/>
    <n v="2"/>
    <n v="3.5"/>
    <s v="Cash"/>
    <s v="C1427"/>
    <n v="7"/>
    <s v="Tuesday"/>
    <s v="July"/>
    <n v="2025"/>
  </r>
  <r>
    <x v="2496"/>
    <d v="2025-07-01T00:00:00"/>
    <s v="Station"/>
    <s v="Manchester"/>
    <s v="Latte"/>
    <s v="Drink"/>
    <n v="2"/>
    <n v="3.5"/>
    <s v="Cash"/>
    <s v="C1433"/>
    <n v="7"/>
    <s v="Tuesday"/>
    <s v="July"/>
    <n v="2025"/>
  </r>
  <r>
    <x v="2497"/>
    <d v="2025-07-01T00:00:00"/>
    <s v="Central"/>
    <s v="London"/>
    <s v="Muffin"/>
    <s v="Food"/>
    <n v="3"/>
    <n v="2.2000000000000002"/>
    <s v="Card"/>
    <s v="C1858"/>
    <n v="6.6000000000000005"/>
    <s v="Tuesday"/>
    <s v="July"/>
    <n v="2025"/>
  </r>
  <r>
    <x v="2498"/>
    <d v="2025-07-01T00:00:00"/>
    <s v="High Street"/>
    <s v="London"/>
    <s v="Muffin"/>
    <s v="Food"/>
    <n v="2"/>
    <n v="2.2000000000000002"/>
    <s v="Card"/>
    <s v="C1354"/>
    <n v="4.4000000000000004"/>
    <s v="Tuesday"/>
    <s v="July"/>
    <n v="2025"/>
  </r>
  <r>
    <x v="2499"/>
    <d v="2025-07-01T00:00:00"/>
    <s v="Riverside"/>
    <s v="Manchester"/>
    <s v="Muffin"/>
    <s v="Food"/>
    <n v="1"/>
    <n v="2.2000000000000002"/>
    <s v="Card"/>
    <s v="C1521"/>
    <n v="2.2000000000000002"/>
    <s v="Tuesday"/>
    <s v="July"/>
    <n v="2025"/>
  </r>
  <r>
    <x v="2500"/>
    <d v="2025-07-02T00:00:00"/>
    <s v="Riverside"/>
    <s v="London"/>
    <s v="Latte"/>
    <s v="Drink"/>
    <n v="5"/>
    <n v="3.5"/>
    <s v="Card"/>
    <s v="C1560"/>
    <n v="17.5"/>
    <s v="Wednesday"/>
    <s v="July"/>
    <n v="2025"/>
  </r>
  <r>
    <x v="2501"/>
    <d v="2025-07-02T00:00:00"/>
    <s v="Riverside"/>
    <s v="Leeds"/>
    <s v="Latte"/>
    <s v="Drink"/>
    <n v="4"/>
    <n v="3.5"/>
    <s v="Cash"/>
    <s v="C1633"/>
    <n v="14"/>
    <s v="Wednesday"/>
    <s v="July"/>
    <n v="2025"/>
  </r>
  <r>
    <x v="2502"/>
    <d v="2025-07-02T00:00:00"/>
    <s v="Riverside"/>
    <s v="Leeds"/>
    <s v="Latte"/>
    <s v="Drink"/>
    <n v="4"/>
    <n v="3.5"/>
    <s v="Cash"/>
    <s v="C1652"/>
    <n v="14"/>
    <s v="Wednesday"/>
    <s v="July"/>
    <n v="2025"/>
  </r>
  <r>
    <x v="2503"/>
    <d v="2025-07-02T00:00:00"/>
    <s v="High Street"/>
    <s v="London"/>
    <s v="Cappuccino"/>
    <s v="Drink"/>
    <n v="3"/>
    <n v="3.8"/>
    <s v="Cash"/>
    <s v="C1016"/>
    <n v="11.399999999999999"/>
    <s v="Wednesday"/>
    <s v="July"/>
    <n v="2025"/>
  </r>
  <r>
    <x v="2504"/>
    <d v="2025-07-02T00:00:00"/>
    <s v="High Street"/>
    <s v="Birmingham"/>
    <s v="Croissant"/>
    <s v="Food"/>
    <n v="4"/>
    <n v="2.8"/>
    <s v="Card"/>
    <s v="C1129"/>
    <n v="11.2"/>
    <s v="Wednesday"/>
    <s v="July"/>
    <n v="2025"/>
  </r>
  <r>
    <x v="2505"/>
    <d v="2025-07-02T00:00:00"/>
    <s v="Riverside"/>
    <s v="Bristol"/>
    <s v="Muffin"/>
    <s v="Food"/>
    <n v="4"/>
    <n v="2.2000000000000002"/>
    <s v="Cash"/>
    <s v="C1026"/>
    <n v="8.8000000000000007"/>
    <s v="Wednesday"/>
    <s v="July"/>
    <n v="2025"/>
  </r>
  <r>
    <x v="2506"/>
    <d v="2025-07-02T00:00:00"/>
    <s v="Central"/>
    <s v="Bristol"/>
    <s v="Croissant"/>
    <s v="Food"/>
    <n v="3"/>
    <n v="2.8"/>
    <s v="Apple Pay"/>
    <s v="C1002"/>
    <n v="8.3999999999999986"/>
    <s v="Wednesday"/>
    <s v="July"/>
    <n v="2025"/>
  </r>
  <r>
    <x v="2507"/>
    <d v="2025-07-02T00:00:00"/>
    <s v="High Street"/>
    <s v="Bristol"/>
    <s v="Cappuccino"/>
    <s v="Drink"/>
    <n v="2"/>
    <n v="3.8"/>
    <s v="Card"/>
    <s v="C1416"/>
    <n v="7.6"/>
    <s v="Wednesday"/>
    <s v="July"/>
    <n v="2025"/>
  </r>
  <r>
    <x v="2508"/>
    <d v="2025-07-02T00:00:00"/>
    <s v="Station"/>
    <s v="London"/>
    <s v="Latte"/>
    <s v="Drink"/>
    <n v="2"/>
    <n v="3.5"/>
    <s v="Card"/>
    <s v="C1200"/>
    <n v="7"/>
    <s v="Wednesday"/>
    <s v="July"/>
    <n v="2025"/>
  </r>
  <r>
    <x v="2509"/>
    <d v="2025-07-02T00:00:00"/>
    <s v="Riverside"/>
    <s v="Birmingham"/>
    <s v="Croissant"/>
    <s v="Food"/>
    <n v="2"/>
    <n v="2.8"/>
    <s v="Cash"/>
    <s v="C1025"/>
    <n v="5.6"/>
    <s v="Wednesday"/>
    <s v="July"/>
    <n v="2025"/>
  </r>
  <r>
    <x v="2510"/>
    <d v="2025-07-02T00:00:00"/>
    <s v="Central"/>
    <s v="Bristol"/>
    <s v="Cappuccino"/>
    <s v="Drink"/>
    <n v="1"/>
    <n v="3.8"/>
    <s v="Cash"/>
    <s v="C1998"/>
    <n v="3.8"/>
    <s v="Wednesday"/>
    <s v="July"/>
    <n v="2025"/>
  </r>
  <r>
    <x v="2511"/>
    <d v="2025-07-02T00:00:00"/>
    <s v="Riverside"/>
    <s v="Manchester"/>
    <s v="Latte"/>
    <s v="Drink"/>
    <n v="1"/>
    <n v="3.5"/>
    <s v="Cash"/>
    <s v="C1438"/>
    <n v="3.5"/>
    <s v="Wednesday"/>
    <s v="July"/>
    <n v="2025"/>
  </r>
  <r>
    <x v="2512"/>
    <d v="2025-07-02T00:00:00"/>
    <s v="Station"/>
    <s v="Manchester"/>
    <s v="Latte"/>
    <s v="Drink"/>
    <n v="1"/>
    <n v="3.5"/>
    <s v="Apple Pay"/>
    <s v="C1473"/>
    <n v="3.5"/>
    <s v="Wednesday"/>
    <s v="July"/>
    <n v="2025"/>
  </r>
  <r>
    <x v="2513"/>
    <d v="2025-07-02T00:00:00"/>
    <s v="High Street"/>
    <s v="Birmingham"/>
    <s v="Espresso"/>
    <s v="Drink"/>
    <n v="1"/>
    <n v="2.5"/>
    <s v="Cash"/>
    <s v="C1547"/>
    <n v="2.5"/>
    <s v="Wednesday"/>
    <s v="July"/>
    <n v="2025"/>
  </r>
  <r>
    <x v="2514"/>
    <d v="2025-07-02T00:00:00"/>
    <s v="High Street"/>
    <s v="Birmingham"/>
    <s v="Muffin"/>
    <s v="Food"/>
    <n v="1"/>
    <n v="2.2000000000000002"/>
    <s v="Cash"/>
    <s v="C1287"/>
    <n v="2.2000000000000002"/>
    <s v="Wednesday"/>
    <s v="July"/>
    <n v="2025"/>
  </r>
  <r>
    <x v="2515"/>
    <d v="2025-07-02T00:00:00"/>
    <s v="Riverside"/>
    <s v="Leeds"/>
    <s v="Muffin"/>
    <s v="Food"/>
    <n v="1"/>
    <n v="2.2000000000000002"/>
    <s v="Cash"/>
    <s v="C1554"/>
    <n v="2.2000000000000002"/>
    <s v="Wednesday"/>
    <s v="July"/>
    <n v="2025"/>
  </r>
  <r>
    <x v="2516"/>
    <d v="2025-07-03T00:00:00"/>
    <s v="High Street"/>
    <s v="Leeds"/>
    <s v="Cappuccino"/>
    <s v="Drink"/>
    <n v="5"/>
    <n v="3.8"/>
    <s v="Card"/>
    <s v="C1987"/>
    <n v="19"/>
    <s v="Thursday"/>
    <s v="July"/>
    <n v="2025"/>
  </r>
  <r>
    <x v="2517"/>
    <d v="2025-07-03T00:00:00"/>
    <s v="Central"/>
    <s v="Bristol"/>
    <s v="Cappuccino"/>
    <s v="Drink"/>
    <n v="4"/>
    <n v="3.8"/>
    <s v="Apple Pay"/>
    <s v="C1452"/>
    <n v="15.2"/>
    <s v="Thursday"/>
    <s v="July"/>
    <n v="2025"/>
  </r>
  <r>
    <x v="2518"/>
    <d v="2025-07-03T00:00:00"/>
    <s v="Station"/>
    <s v="Leeds"/>
    <s v="Croissant"/>
    <s v="Food"/>
    <n v="5"/>
    <n v="2.8"/>
    <s v="Apple Pay"/>
    <s v="C1940"/>
    <n v="14"/>
    <s v="Thursday"/>
    <s v="July"/>
    <n v="2025"/>
  </r>
  <r>
    <x v="2519"/>
    <d v="2025-07-03T00:00:00"/>
    <s v="Central"/>
    <s v="Birmingham"/>
    <s v="Croissant"/>
    <s v="Food"/>
    <n v="5"/>
    <n v="2.8"/>
    <s v="Card"/>
    <s v="C1063"/>
    <n v="14"/>
    <s v="Thursday"/>
    <s v="July"/>
    <n v="2025"/>
  </r>
  <r>
    <x v="2520"/>
    <d v="2025-07-03T00:00:00"/>
    <s v="High Street"/>
    <s v="Bristol"/>
    <s v="Espresso"/>
    <s v="Drink"/>
    <n v="5"/>
    <n v="2.5"/>
    <s v="Apple Pay"/>
    <s v="C1467"/>
    <n v="12.5"/>
    <s v="Thursday"/>
    <s v="July"/>
    <n v="2025"/>
  </r>
  <r>
    <x v="2521"/>
    <d v="2025-07-03T00:00:00"/>
    <s v="Central"/>
    <s v="Birmingham"/>
    <s v="Cappuccino"/>
    <s v="Drink"/>
    <n v="3"/>
    <n v="3.8"/>
    <s v="Card"/>
    <s v="C1128"/>
    <n v="11.399999999999999"/>
    <s v="Thursday"/>
    <s v="July"/>
    <n v="2025"/>
  </r>
  <r>
    <x v="2522"/>
    <d v="2025-07-03T00:00:00"/>
    <s v="Central"/>
    <s v="London"/>
    <s v="Latte"/>
    <s v="Drink"/>
    <n v="2"/>
    <n v="3.5"/>
    <s v="Apple Pay"/>
    <s v="C1413"/>
    <n v="7"/>
    <s v="Thursday"/>
    <s v="July"/>
    <n v="2025"/>
  </r>
  <r>
    <x v="2523"/>
    <d v="2025-07-03T00:00:00"/>
    <s v="Central"/>
    <s v="Birmingham"/>
    <s v="Muffin"/>
    <s v="Food"/>
    <n v="3"/>
    <n v="2.2000000000000002"/>
    <s v="Cash"/>
    <s v="C1754"/>
    <n v="6.6000000000000005"/>
    <s v="Thursday"/>
    <s v="July"/>
    <n v="2025"/>
  </r>
  <r>
    <x v="2524"/>
    <d v="2025-07-03T00:00:00"/>
    <s v="Station"/>
    <s v="Birmingham"/>
    <s v="Croissant"/>
    <s v="Food"/>
    <n v="2"/>
    <n v="2.8"/>
    <s v="Apple Pay"/>
    <s v="C1331"/>
    <n v="5.6"/>
    <s v="Thursday"/>
    <s v="July"/>
    <n v="2025"/>
  </r>
  <r>
    <x v="2525"/>
    <d v="2025-07-03T00:00:00"/>
    <s v="Riverside"/>
    <s v="Leeds"/>
    <s v="Espresso"/>
    <s v="Drink"/>
    <n v="2"/>
    <n v="2.5"/>
    <s v="Apple Pay"/>
    <s v="C1358"/>
    <n v="5"/>
    <s v="Thursday"/>
    <s v="July"/>
    <n v="2025"/>
  </r>
  <r>
    <x v="2526"/>
    <d v="2025-07-03T00:00:00"/>
    <s v="High Street"/>
    <s v="Manchester"/>
    <s v="Latte"/>
    <s v="Drink"/>
    <n v="1"/>
    <n v="3.5"/>
    <s v="Apple Pay"/>
    <s v="C1583"/>
    <n v="3.5"/>
    <s v="Thursday"/>
    <s v="July"/>
    <n v="2025"/>
  </r>
  <r>
    <x v="2527"/>
    <d v="2025-07-03T00:00:00"/>
    <s v="Station"/>
    <s v="Leeds"/>
    <s v="Croissant"/>
    <s v="Food"/>
    <n v="1"/>
    <n v="2.8"/>
    <s v="Card"/>
    <s v="C1895"/>
    <n v="2.8"/>
    <s v="Thursday"/>
    <s v="July"/>
    <n v="2025"/>
  </r>
  <r>
    <x v="2528"/>
    <d v="2025-07-03T00:00:00"/>
    <s v="Riverside"/>
    <s v="Birmingham"/>
    <s v="Espresso"/>
    <s v="Drink"/>
    <n v="1"/>
    <n v="2.5"/>
    <s v="Cash"/>
    <s v="C1325"/>
    <n v="2.5"/>
    <s v="Thursday"/>
    <s v="July"/>
    <n v="2025"/>
  </r>
  <r>
    <x v="2529"/>
    <d v="2025-07-03T00:00:00"/>
    <s v="High Street"/>
    <s v="Leeds"/>
    <s v="Espresso"/>
    <s v="Drink"/>
    <n v="1"/>
    <n v="2.5"/>
    <s v="Apple Pay"/>
    <s v="C1905"/>
    <n v="2.5"/>
    <s v="Thursday"/>
    <s v="July"/>
    <n v="2025"/>
  </r>
  <r>
    <x v="2530"/>
    <d v="2025-07-03T00:00:00"/>
    <s v="High Street"/>
    <s v="London"/>
    <s v="Muffin"/>
    <s v="Food"/>
    <n v="1"/>
    <n v="2.2000000000000002"/>
    <s v="Apple Pay"/>
    <s v="C1052"/>
    <n v="2.2000000000000002"/>
    <s v="Thursday"/>
    <s v="July"/>
    <n v="2025"/>
  </r>
  <r>
    <x v="2531"/>
    <d v="2025-07-04T00:00:00"/>
    <s v="Station"/>
    <s v="Bristol"/>
    <s v="Cappuccino"/>
    <s v="Drink"/>
    <n v="4"/>
    <n v="3.8"/>
    <s v="Card"/>
    <s v="C1987"/>
    <n v="15.2"/>
    <s v="Friday"/>
    <s v="July"/>
    <n v="2025"/>
  </r>
  <r>
    <x v="2532"/>
    <d v="2025-07-04T00:00:00"/>
    <s v="High Street"/>
    <s v="Birmingham"/>
    <s v="Croissant"/>
    <s v="Food"/>
    <n v="5"/>
    <n v="2.8"/>
    <s v="Card"/>
    <s v="C1004"/>
    <n v="14"/>
    <s v="Friday"/>
    <s v="July"/>
    <n v="2025"/>
  </r>
  <r>
    <x v="2533"/>
    <d v="2025-07-04T00:00:00"/>
    <s v="Central"/>
    <s v="London"/>
    <s v="Croissant"/>
    <s v="Food"/>
    <n v="5"/>
    <n v="2.8"/>
    <s v="Apple Pay"/>
    <s v="C1024"/>
    <n v="14"/>
    <s v="Friday"/>
    <s v="July"/>
    <n v="2025"/>
  </r>
  <r>
    <x v="2534"/>
    <d v="2025-07-04T00:00:00"/>
    <s v="Riverside"/>
    <s v="Manchester"/>
    <s v="Latte"/>
    <s v="Drink"/>
    <n v="4"/>
    <n v="3.5"/>
    <s v="Card"/>
    <s v="C1384"/>
    <n v="14"/>
    <s v="Friday"/>
    <s v="July"/>
    <n v="2025"/>
  </r>
  <r>
    <x v="2535"/>
    <d v="2025-07-04T00:00:00"/>
    <s v="Station"/>
    <s v="London"/>
    <s v="Espresso"/>
    <s v="Drink"/>
    <n v="5"/>
    <n v="2.5"/>
    <s v="Apple Pay"/>
    <s v="C1546"/>
    <n v="12.5"/>
    <s v="Friday"/>
    <s v="July"/>
    <n v="2025"/>
  </r>
  <r>
    <x v="2536"/>
    <d v="2025-07-04T00:00:00"/>
    <s v="Riverside"/>
    <s v="London"/>
    <s v="Muffin"/>
    <s v="Food"/>
    <n v="5"/>
    <n v="2.2000000000000002"/>
    <s v="Apple Pay"/>
    <s v="C1313"/>
    <n v="11"/>
    <s v="Friday"/>
    <s v="July"/>
    <n v="2025"/>
  </r>
  <r>
    <x v="2537"/>
    <d v="2025-07-04T00:00:00"/>
    <s v="Central"/>
    <s v="Manchester"/>
    <s v="Latte"/>
    <s v="Drink"/>
    <n v="3"/>
    <n v="3.5"/>
    <s v="Card"/>
    <s v="C1548"/>
    <n v="10.5"/>
    <s v="Friday"/>
    <s v="July"/>
    <n v="2025"/>
  </r>
  <r>
    <x v="2538"/>
    <d v="2025-07-04T00:00:00"/>
    <s v="Central"/>
    <s v="Leeds"/>
    <s v="Espresso"/>
    <s v="Drink"/>
    <n v="4"/>
    <n v="2.5"/>
    <s v="Cash"/>
    <s v="C1363"/>
    <n v="10"/>
    <s v="Friday"/>
    <s v="July"/>
    <n v="2025"/>
  </r>
  <r>
    <x v="2539"/>
    <d v="2025-07-04T00:00:00"/>
    <s v="Central"/>
    <s v="London"/>
    <s v="Muffin"/>
    <s v="Food"/>
    <n v="4"/>
    <n v="2.2000000000000002"/>
    <s v="Cash"/>
    <s v="C1030"/>
    <n v="8.8000000000000007"/>
    <s v="Friday"/>
    <s v="July"/>
    <n v="2025"/>
  </r>
  <r>
    <x v="2540"/>
    <d v="2025-07-04T00:00:00"/>
    <s v="Station"/>
    <s v="London"/>
    <s v="Croissant"/>
    <s v="Food"/>
    <n v="3"/>
    <n v="2.8"/>
    <s v="Apple Pay"/>
    <s v="C1373"/>
    <n v="8.3999999999999986"/>
    <s v="Friday"/>
    <s v="July"/>
    <n v="2025"/>
  </r>
  <r>
    <x v="2541"/>
    <d v="2025-07-04T00:00:00"/>
    <s v="Central"/>
    <s v="London"/>
    <s v="Espresso"/>
    <s v="Drink"/>
    <n v="3"/>
    <n v="2.5"/>
    <s v="Apple Pay"/>
    <s v="C1561"/>
    <n v="7.5"/>
    <s v="Friday"/>
    <s v="July"/>
    <n v="2025"/>
  </r>
  <r>
    <x v="2542"/>
    <d v="2025-07-04T00:00:00"/>
    <s v="Station"/>
    <s v="London"/>
    <s v="Espresso"/>
    <s v="Drink"/>
    <n v="3"/>
    <n v="2.5"/>
    <s v="Cash"/>
    <s v="C1601"/>
    <n v="7.5"/>
    <s v="Friday"/>
    <s v="July"/>
    <n v="2025"/>
  </r>
  <r>
    <x v="2543"/>
    <d v="2025-07-04T00:00:00"/>
    <s v="Riverside"/>
    <s v="London"/>
    <s v="Espresso"/>
    <s v="Drink"/>
    <n v="2"/>
    <n v="2.5"/>
    <s v="Card"/>
    <s v="C1976"/>
    <n v="5"/>
    <s v="Friday"/>
    <s v="July"/>
    <n v="2025"/>
  </r>
  <r>
    <x v="2544"/>
    <d v="2025-07-04T00:00:00"/>
    <s v="Riverside"/>
    <s v="Birmingham"/>
    <s v="Muffin"/>
    <s v="Food"/>
    <n v="1"/>
    <n v="2.2000000000000002"/>
    <s v="Cash"/>
    <s v="C1150"/>
    <n v="2.2000000000000002"/>
    <s v="Friday"/>
    <s v="July"/>
    <n v="2025"/>
  </r>
  <r>
    <x v="2545"/>
    <d v="2025-07-05T00:00:00"/>
    <s v="High Street"/>
    <s v="Leeds"/>
    <s v="Cappuccino"/>
    <s v="Drink"/>
    <n v="4"/>
    <n v="3.8"/>
    <s v="Apple Pay"/>
    <s v="C1398"/>
    <n v="15.2"/>
    <s v="Saturday"/>
    <s v="July"/>
    <n v="2025"/>
  </r>
  <r>
    <x v="2546"/>
    <d v="2025-07-05T00:00:00"/>
    <s v="Riverside"/>
    <s v="Bristol"/>
    <s v="Cappuccino"/>
    <s v="Drink"/>
    <n v="4"/>
    <n v="3.8"/>
    <s v="Card"/>
    <s v="C1021"/>
    <n v="15.2"/>
    <s v="Saturday"/>
    <s v="July"/>
    <n v="2025"/>
  </r>
  <r>
    <x v="2547"/>
    <d v="2025-07-05T00:00:00"/>
    <s v="High Street"/>
    <s v="Bristol"/>
    <s v="Espresso"/>
    <s v="Drink"/>
    <n v="5"/>
    <n v="2.5"/>
    <s v="Apple Pay"/>
    <s v="C1209"/>
    <n v="12.5"/>
    <s v="Saturday"/>
    <s v="July"/>
    <n v="2025"/>
  </r>
  <r>
    <x v="2548"/>
    <d v="2025-07-05T00:00:00"/>
    <s v="Station"/>
    <s v="London"/>
    <s v="Cappuccino"/>
    <s v="Drink"/>
    <n v="3"/>
    <n v="3.8"/>
    <s v="Card"/>
    <s v="C1833"/>
    <n v="11.399999999999999"/>
    <s v="Saturday"/>
    <s v="July"/>
    <n v="2025"/>
  </r>
  <r>
    <x v="2549"/>
    <d v="2025-07-05T00:00:00"/>
    <s v="Station"/>
    <s v="Manchester"/>
    <s v="Croissant"/>
    <s v="Food"/>
    <n v="4"/>
    <n v="2.8"/>
    <s v="Apple Pay"/>
    <s v="C1236"/>
    <n v="11.2"/>
    <s v="Saturday"/>
    <s v="July"/>
    <n v="2025"/>
  </r>
  <r>
    <x v="2550"/>
    <d v="2025-07-05T00:00:00"/>
    <s v="Central"/>
    <s v="London"/>
    <s v="Muffin"/>
    <s v="Food"/>
    <n v="4"/>
    <n v="2.2000000000000002"/>
    <s v="Cash"/>
    <s v="C1961"/>
    <n v="8.8000000000000007"/>
    <s v="Saturday"/>
    <s v="July"/>
    <n v="2025"/>
  </r>
  <r>
    <x v="2551"/>
    <d v="2025-07-05T00:00:00"/>
    <s v="Station"/>
    <s v="Manchester"/>
    <s v="Croissant"/>
    <s v="Food"/>
    <n v="3"/>
    <n v="2.8"/>
    <s v="Cash"/>
    <s v="C1955"/>
    <n v="8.3999999999999986"/>
    <s v="Saturday"/>
    <s v="July"/>
    <n v="2025"/>
  </r>
  <r>
    <x v="2552"/>
    <d v="2025-07-05T00:00:00"/>
    <s v="High Street"/>
    <s v="Manchester"/>
    <s v="Espresso"/>
    <s v="Drink"/>
    <n v="3"/>
    <n v="2.5"/>
    <s v="Cash"/>
    <s v="C1397"/>
    <n v="7.5"/>
    <s v="Saturday"/>
    <s v="July"/>
    <n v="2025"/>
  </r>
  <r>
    <x v="2553"/>
    <d v="2025-07-05T00:00:00"/>
    <s v="Station"/>
    <s v="Bristol"/>
    <s v="Latte"/>
    <s v="Drink"/>
    <n v="2"/>
    <n v="3.5"/>
    <s v="Card"/>
    <s v="C1316"/>
    <n v="7"/>
    <s v="Saturday"/>
    <s v="July"/>
    <n v="2025"/>
  </r>
  <r>
    <x v="2554"/>
    <d v="2025-07-05T00:00:00"/>
    <s v="Central"/>
    <s v="Bristol"/>
    <s v="Espresso"/>
    <s v="Drink"/>
    <n v="2"/>
    <n v="2.5"/>
    <s v="Apple Pay"/>
    <s v="C1170"/>
    <n v="5"/>
    <s v="Saturday"/>
    <s v="July"/>
    <n v="2025"/>
  </r>
  <r>
    <x v="2555"/>
    <d v="2025-07-05T00:00:00"/>
    <s v="High Street"/>
    <s v="Birmingham"/>
    <s v="Cappuccino"/>
    <s v="Drink"/>
    <n v="1"/>
    <n v="3.8"/>
    <s v="Cash"/>
    <s v="C1020"/>
    <n v="3.8"/>
    <s v="Saturday"/>
    <s v="July"/>
    <n v="2025"/>
  </r>
  <r>
    <x v="2556"/>
    <d v="2025-07-05T00:00:00"/>
    <s v="High Street"/>
    <s v="London"/>
    <s v="Croissant"/>
    <s v="Food"/>
    <n v="1"/>
    <n v="2.8"/>
    <s v="Cash"/>
    <s v="C1179"/>
    <n v="2.8"/>
    <s v="Saturday"/>
    <s v="July"/>
    <n v="2025"/>
  </r>
  <r>
    <x v="2557"/>
    <d v="2025-07-05T00:00:00"/>
    <s v="Central"/>
    <s v="Birmingham"/>
    <s v="Espresso"/>
    <s v="Drink"/>
    <n v="1"/>
    <n v="2.5"/>
    <s v="Apple Pay"/>
    <s v="C1042"/>
    <n v="2.5"/>
    <s v="Saturday"/>
    <s v="July"/>
    <n v="2025"/>
  </r>
  <r>
    <x v="2558"/>
    <d v="2025-07-05T00:00:00"/>
    <s v="Riverside"/>
    <s v="London"/>
    <s v="Muffin"/>
    <s v="Food"/>
    <n v="1"/>
    <n v="2.2000000000000002"/>
    <s v="Card"/>
    <s v="C1061"/>
    <n v="2.2000000000000002"/>
    <s v="Saturday"/>
    <s v="July"/>
    <n v="2025"/>
  </r>
  <r>
    <x v="2559"/>
    <d v="2025-07-05T00:00:00"/>
    <s v="High Street"/>
    <s v="Manchester"/>
    <s v="Muffin"/>
    <s v="Food"/>
    <n v="1"/>
    <n v="2.2000000000000002"/>
    <s v="Cash"/>
    <s v="C1670"/>
    <n v="2.2000000000000002"/>
    <s v="Saturday"/>
    <s v="July"/>
    <n v="2025"/>
  </r>
  <r>
    <x v="2560"/>
    <d v="2025-07-06T00:00:00"/>
    <s v="Central"/>
    <s v="Birmingham"/>
    <s v="Cappuccino"/>
    <s v="Drink"/>
    <n v="4"/>
    <n v="3.8"/>
    <s v="Card"/>
    <s v="C1439"/>
    <n v="15.2"/>
    <s v="Sunday"/>
    <s v="July"/>
    <n v="2025"/>
  </r>
  <r>
    <x v="2561"/>
    <d v="2025-07-06T00:00:00"/>
    <s v="Central"/>
    <s v="Birmingham"/>
    <s v="Latte"/>
    <s v="Drink"/>
    <n v="4"/>
    <n v="3.5"/>
    <s v="Apple Pay"/>
    <s v="C1409"/>
    <n v="14"/>
    <s v="Sunday"/>
    <s v="July"/>
    <n v="2025"/>
  </r>
  <r>
    <x v="2562"/>
    <d v="2025-07-06T00:00:00"/>
    <s v="Station"/>
    <s v="Manchester"/>
    <s v="Croissant"/>
    <s v="Food"/>
    <n v="4"/>
    <n v="2.8"/>
    <s v="Card"/>
    <s v="C1096"/>
    <n v="11.2"/>
    <s v="Sunday"/>
    <s v="July"/>
    <n v="2025"/>
  </r>
  <r>
    <x v="2563"/>
    <d v="2025-07-06T00:00:00"/>
    <s v="Central"/>
    <s v="Bristol"/>
    <s v="Croissant"/>
    <s v="Food"/>
    <n v="4"/>
    <n v="2.8"/>
    <s v="Cash"/>
    <s v="C1990"/>
    <n v="11.2"/>
    <s v="Sunday"/>
    <s v="July"/>
    <n v="2025"/>
  </r>
  <r>
    <x v="2564"/>
    <d v="2025-07-06T00:00:00"/>
    <s v="Central"/>
    <s v="Bristol"/>
    <s v="Muffin"/>
    <s v="Food"/>
    <n v="5"/>
    <n v="2.2000000000000002"/>
    <s v="Apple Pay"/>
    <s v="C1116"/>
    <n v="11"/>
    <s v="Sunday"/>
    <s v="July"/>
    <n v="2025"/>
  </r>
  <r>
    <x v="2565"/>
    <d v="2025-07-06T00:00:00"/>
    <s v="Riverside"/>
    <s v="Birmingham"/>
    <s v="Latte"/>
    <s v="Drink"/>
    <n v="3"/>
    <n v="3.5"/>
    <s v="Cash"/>
    <s v="C1902"/>
    <n v="10.5"/>
    <s v="Sunday"/>
    <s v="July"/>
    <n v="2025"/>
  </r>
  <r>
    <x v="2566"/>
    <d v="2025-07-06T00:00:00"/>
    <s v="High Street"/>
    <s v="Bristol"/>
    <s v="Espresso"/>
    <s v="Drink"/>
    <n v="4"/>
    <n v="2.5"/>
    <s v="Card"/>
    <s v="C1156"/>
    <n v="10"/>
    <s v="Sunday"/>
    <s v="July"/>
    <n v="2025"/>
  </r>
  <r>
    <x v="2567"/>
    <d v="2025-07-06T00:00:00"/>
    <s v="Central"/>
    <s v="Manchester"/>
    <s v="Espresso"/>
    <s v="Drink"/>
    <n v="4"/>
    <n v="2.5"/>
    <s v="Cash"/>
    <s v="C1834"/>
    <n v="10"/>
    <s v="Sunday"/>
    <s v="July"/>
    <n v="2025"/>
  </r>
  <r>
    <x v="2568"/>
    <d v="2025-07-06T00:00:00"/>
    <s v="Riverside"/>
    <s v="Leeds"/>
    <s v="Muffin"/>
    <s v="Food"/>
    <n v="4"/>
    <n v="2.2000000000000002"/>
    <s v="Card"/>
    <s v="C1353"/>
    <n v="8.8000000000000007"/>
    <s v="Sunday"/>
    <s v="July"/>
    <n v="2025"/>
  </r>
  <r>
    <x v="2569"/>
    <d v="2025-07-06T00:00:00"/>
    <s v="High Street"/>
    <s v="Leeds"/>
    <s v="Muffin"/>
    <s v="Food"/>
    <n v="4"/>
    <n v="2.2000000000000002"/>
    <s v="Card"/>
    <s v="C1763"/>
    <n v="8.8000000000000007"/>
    <s v="Sunday"/>
    <s v="July"/>
    <n v="2025"/>
  </r>
  <r>
    <x v="2570"/>
    <d v="2025-07-06T00:00:00"/>
    <s v="Station"/>
    <s v="Manchester"/>
    <s v="Cappuccino"/>
    <s v="Drink"/>
    <n v="2"/>
    <n v="3.8"/>
    <s v="Cash"/>
    <s v="C1504"/>
    <n v="7.6"/>
    <s v="Sunday"/>
    <s v="July"/>
    <n v="2025"/>
  </r>
  <r>
    <x v="2571"/>
    <d v="2025-07-06T00:00:00"/>
    <s v="Central"/>
    <s v="London"/>
    <s v="Cappuccino"/>
    <s v="Drink"/>
    <n v="2"/>
    <n v="3.8"/>
    <s v="Apple Pay"/>
    <s v="C1015"/>
    <n v="7.6"/>
    <s v="Sunday"/>
    <s v="July"/>
    <n v="2025"/>
  </r>
  <r>
    <x v="2572"/>
    <d v="2025-07-06T00:00:00"/>
    <s v="Station"/>
    <s v="London"/>
    <s v="Espresso"/>
    <s v="Drink"/>
    <n v="3"/>
    <n v="2.5"/>
    <s v="Card"/>
    <s v="C1167"/>
    <n v="7.5"/>
    <s v="Sunday"/>
    <s v="July"/>
    <n v="2025"/>
  </r>
  <r>
    <x v="2573"/>
    <d v="2025-07-06T00:00:00"/>
    <s v="Central"/>
    <s v="Birmingham"/>
    <s v="Latte"/>
    <s v="Drink"/>
    <n v="2"/>
    <n v="3.5"/>
    <s v="Apple Pay"/>
    <s v="C1451"/>
    <n v="7"/>
    <s v="Sunday"/>
    <s v="July"/>
    <n v="2025"/>
  </r>
  <r>
    <x v="2574"/>
    <d v="2025-07-06T00:00:00"/>
    <s v="High Street"/>
    <s v="London"/>
    <s v="Croissant"/>
    <s v="Food"/>
    <n v="2"/>
    <n v="2.8"/>
    <s v="Apple Pay"/>
    <s v="C1901"/>
    <n v="5.6"/>
    <s v="Sunday"/>
    <s v="July"/>
    <n v="2025"/>
  </r>
  <r>
    <x v="2575"/>
    <d v="2025-07-06T00:00:00"/>
    <s v="Central"/>
    <s v="Bristol"/>
    <s v="Croissant"/>
    <s v="Food"/>
    <n v="2"/>
    <n v="2.8"/>
    <s v="Card"/>
    <s v="C1292"/>
    <n v="5.6"/>
    <s v="Sunday"/>
    <s v="July"/>
    <n v="2025"/>
  </r>
  <r>
    <x v="2576"/>
    <d v="2025-07-06T00:00:00"/>
    <s v="Central"/>
    <s v="Leeds"/>
    <s v="Muffin"/>
    <s v="Food"/>
    <n v="2"/>
    <n v="2.2000000000000002"/>
    <s v="Apple Pay"/>
    <s v="C1689"/>
    <n v="4.4000000000000004"/>
    <s v="Sunday"/>
    <s v="July"/>
    <n v="2025"/>
  </r>
  <r>
    <x v="2577"/>
    <d v="2025-07-06T00:00:00"/>
    <s v="High Street"/>
    <s v="London"/>
    <s v="Muffin"/>
    <s v="Food"/>
    <n v="2"/>
    <n v="2.2000000000000002"/>
    <s v="Cash"/>
    <s v="C1060"/>
    <n v="4.4000000000000004"/>
    <s v="Sunday"/>
    <s v="July"/>
    <n v="2025"/>
  </r>
  <r>
    <x v="2578"/>
    <d v="2025-07-06T00:00:00"/>
    <s v="Riverside"/>
    <s v="Birmingham"/>
    <s v="Latte"/>
    <s v="Drink"/>
    <n v="1"/>
    <n v="3.5"/>
    <s v="Card"/>
    <s v="C1996"/>
    <n v="3.5"/>
    <s v="Sunday"/>
    <s v="July"/>
    <n v="2025"/>
  </r>
  <r>
    <x v="2579"/>
    <d v="2025-07-06T00:00:00"/>
    <s v="Riverside"/>
    <s v="Birmingham"/>
    <s v="Espresso"/>
    <s v="Drink"/>
    <n v="1"/>
    <n v="2.5"/>
    <s v="Cash"/>
    <s v="C1105"/>
    <n v="2.5"/>
    <s v="Sunday"/>
    <s v="July"/>
    <n v="2025"/>
  </r>
  <r>
    <x v="2580"/>
    <d v="2025-07-06T00:00:00"/>
    <s v="Riverside"/>
    <s v="Birmingham"/>
    <s v="Espresso"/>
    <s v="Drink"/>
    <n v="1"/>
    <n v="2.5"/>
    <s v="Apple Pay"/>
    <s v="C1356"/>
    <n v="2.5"/>
    <s v="Sunday"/>
    <s v="July"/>
    <n v="2025"/>
  </r>
  <r>
    <x v="2581"/>
    <d v="2025-07-07T00:00:00"/>
    <s v="Riverside"/>
    <s v="Leeds"/>
    <s v="Latte"/>
    <s v="Drink"/>
    <n v="5"/>
    <n v="3.5"/>
    <s v="Apple Pay"/>
    <s v="C1931"/>
    <n v="17.5"/>
    <s v="Monday"/>
    <s v="July"/>
    <n v="2025"/>
  </r>
  <r>
    <x v="2582"/>
    <d v="2025-07-07T00:00:00"/>
    <s v="Riverside"/>
    <s v="Manchester"/>
    <s v="Latte"/>
    <s v="Drink"/>
    <n v="4"/>
    <n v="3.5"/>
    <s v="Apple Pay"/>
    <s v="C1573"/>
    <n v="14"/>
    <s v="Monday"/>
    <s v="July"/>
    <n v="2025"/>
  </r>
  <r>
    <x v="2583"/>
    <d v="2025-07-07T00:00:00"/>
    <s v="Central"/>
    <s v="Leeds"/>
    <s v="Croissant"/>
    <s v="Food"/>
    <n v="5"/>
    <n v="2.8"/>
    <s v="Cash"/>
    <s v="C1992"/>
    <n v="14"/>
    <s v="Monday"/>
    <s v="July"/>
    <n v="2025"/>
  </r>
  <r>
    <x v="2584"/>
    <d v="2025-07-07T00:00:00"/>
    <s v="Riverside"/>
    <s v="London"/>
    <s v="Latte"/>
    <s v="Drink"/>
    <n v="4"/>
    <n v="3.5"/>
    <s v="Card"/>
    <s v="C1652"/>
    <n v="14"/>
    <s v="Monday"/>
    <s v="July"/>
    <n v="2025"/>
  </r>
  <r>
    <x v="2585"/>
    <d v="2025-07-07T00:00:00"/>
    <s v="Central"/>
    <s v="Manchester"/>
    <s v="Espresso"/>
    <s v="Drink"/>
    <n v="5"/>
    <n v="2.5"/>
    <s v="Card"/>
    <s v="C1613"/>
    <n v="12.5"/>
    <s v="Monday"/>
    <s v="July"/>
    <n v="2025"/>
  </r>
  <r>
    <x v="2586"/>
    <d v="2025-07-07T00:00:00"/>
    <s v="Station"/>
    <s v="Leeds"/>
    <s v="Cappuccino"/>
    <s v="Drink"/>
    <n v="3"/>
    <n v="3.8"/>
    <s v="Apple Pay"/>
    <s v="C1442"/>
    <n v="11.399999999999999"/>
    <s v="Monday"/>
    <s v="July"/>
    <n v="2025"/>
  </r>
  <r>
    <x v="2587"/>
    <d v="2025-07-07T00:00:00"/>
    <s v="Riverside"/>
    <s v="London"/>
    <s v="Latte"/>
    <s v="Drink"/>
    <n v="3"/>
    <n v="3.5"/>
    <s v="Card"/>
    <s v="C1264"/>
    <n v="10.5"/>
    <s v="Monday"/>
    <s v="July"/>
    <n v="2025"/>
  </r>
  <r>
    <x v="2588"/>
    <d v="2025-07-07T00:00:00"/>
    <s v="Central"/>
    <s v="Birmingham"/>
    <s v="Muffin"/>
    <s v="Food"/>
    <n v="4"/>
    <n v="2.2000000000000002"/>
    <s v="Apple Pay"/>
    <s v="C1726"/>
    <n v="8.8000000000000007"/>
    <s v="Monday"/>
    <s v="July"/>
    <n v="2025"/>
  </r>
  <r>
    <x v="2589"/>
    <d v="2025-07-07T00:00:00"/>
    <s v="Station"/>
    <s v="Manchester"/>
    <s v="Croissant"/>
    <s v="Food"/>
    <n v="3"/>
    <n v="2.8"/>
    <s v="Cash"/>
    <s v="C1617"/>
    <n v="8.3999999999999986"/>
    <s v="Monday"/>
    <s v="July"/>
    <n v="2025"/>
  </r>
  <r>
    <x v="2590"/>
    <d v="2025-07-07T00:00:00"/>
    <s v="Riverside"/>
    <s v="Leeds"/>
    <s v="Espresso"/>
    <s v="Drink"/>
    <n v="3"/>
    <n v="2.5"/>
    <s v="Cash"/>
    <s v="C1789"/>
    <n v="7.5"/>
    <s v="Monday"/>
    <s v="July"/>
    <n v="2025"/>
  </r>
  <r>
    <x v="2591"/>
    <d v="2025-07-07T00:00:00"/>
    <s v="Central"/>
    <s v="Birmingham"/>
    <s v="Muffin"/>
    <s v="Food"/>
    <n v="3"/>
    <n v="2.2000000000000002"/>
    <s v="Cash"/>
    <s v="C1111"/>
    <n v="6.6000000000000005"/>
    <s v="Monday"/>
    <s v="July"/>
    <n v="2025"/>
  </r>
  <r>
    <x v="2592"/>
    <d v="2025-07-07T00:00:00"/>
    <s v="Station"/>
    <s v="Manchester"/>
    <s v="Muffin"/>
    <s v="Food"/>
    <n v="2"/>
    <n v="2.2000000000000002"/>
    <s v="Card"/>
    <s v="C1373"/>
    <n v="4.4000000000000004"/>
    <s v="Monday"/>
    <s v="July"/>
    <n v="2025"/>
  </r>
  <r>
    <x v="2593"/>
    <d v="2025-07-07T00:00:00"/>
    <s v="High Street"/>
    <s v="Birmingham"/>
    <s v="Cappuccino"/>
    <s v="Drink"/>
    <n v="1"/>
    <n v="3.8"/>
    <s v="Cash"/>
    <s v="C1099"/>
    <n v="3.8"/>
    <s v="Monday"/>
    <s v="July"/>
    <n v="2025"/>
  </r>
  <r>
    <x v="2594"/>
    <d v="2025-07-07T00:00:00"/>
    <s v="Riverside"/>
    <s v="Leeds"/>
    <s v="Latte"/>
    <s v="Drink"/>
    <n v="1"/>
    <n v="3.5"/>
    <s v="Card"/>
    <s v="C1418"/>
    <n v="3.5"/>
    <s v="Monday"/>
    <s v="July"/>
    <n v="2025"/>
  </r>
  <r>
    <x v="2595"/>
    <d v="2025-07-07T00:00:00"/>
    <s v="Station"/>
    <s v="London"/>
    <s v="Latte"/>
    <s v="Drink"/>
    <n v="1"/>
    <n v="3.5"/>
    <s v="Cash"/>
    <s v="C1144"/>
    <n v="3.5"/>
    <s v="Monday"/>
    <s v="July"/>
    <n v="2025"/>
  </r>
  <r>
    <x v="2596"/>
    <d v="2025-07-08T00:00:00"/>
    <s v="Station"/>
    <s v="Bristol"/>
    <s v="Cappuccino"/>
    <s v="Drink"/>
    <n v="4"/>
    <n v="3.8"/>
    <s v="Card"/>
    <s v="C1206"/>
    <n v="15.2"/>
    <s v="Tuesday"/>
    <s v="July"/>
    <n v="2025"/>
  </r>
  <r>
    <x v="2597"/>
    <d v="2025-07-08T00:00:00"/>
    <s v="Central"/>
    <s v="Manchester"/>
    <s v="Latte"/>
    <s v="Drink"/>
    <n v="4"/>
    <n v="3.5"/>
    <s v="Card"/>
    <s v="C1195"/>
    <n v="14"/>
    <s v="Tuesday"/>
    <s v="July"/>
    <n v="2025"/>
  </r>
  <r>
    <x v="2598"/>
    <d v="2025-07-08T00:00:00"/>
    <s v="High Street"/>
    <s v="Bristol"/>
    <s v="Croissant"/>
    <s v="Food"/>
    <n v="5"/>
    <n v="2.8"/>
    <s v="Apple Pay"/>
    <s v="C1099"/>
    <n v="14"/>
    <s v="Tuesday"/>
    <s v="July"/>
    <n v="2025"/>
  </r>
  <r>
    <x v="2599"/>
    <d v="2025-07-08T00:00:00"/>
    <s v="Station"/>
    <s v="Leeds"/>
    <s v="Muffin"/>
    <s v="Food"/>
    <n v="5"/>
    <n v="2.2000000000000002"/>
    <s v="Card"/>
    <s v="C1811"/>
    <n v="11"/>
    <s v="Tuesday"/>
    <s v="July"/>
    <n v="2025"/>
  </r>
  <r>
    <x v="2600"/>
    <d v="2025-07-08T00:00:00"/>
    <s v="Station"/>
    <s v="London"/>
    <s v="Espresso"/>
    <s v="Drink"/>
    <n v="4"/>
    <n v="2.5"/>
    <s v="Apple Pay"/>
    <s v="C1267"/>
    <n v="10"/>
    <s v="Tuesday"/>
    <s v="July"/>
    <n v="2025"/>
  </r>
  <r>
    <x v="2601"/>
    <d v="2025-07-08T00:00:00"/>
    <s v="Central"/>
    <s v="Manchester"/>
    <s v="Muffin"/>
    <s v="Food"/>
    <n v="4"/>
    <n v="2.2000000000000002"/>
    <s v="Cash"/>
    <s v="C1877"/>
    <n v="8.8000000000000007"/>
    <s v="Tuesday"/>
    <s v="July"/>
    <n v="2025"/>
  </r>
  <r>
    <x v="2602"/>
    <d v="2025-07-08T00:00:00"/>
    <s v="Riverside"/>
    <s v="Birmingham"/>
    <s v="Latte"/>
    <s v="Drink"/>
    <n v="2"/>
    <n v="3.5"/>
    <s v="Card"/>
    <s v="C1991"/>
    <n v="7"/>
    <s v="Tuesday"/>
    <s v="July"/>
    <n v="2025"/>
  </r>
  <r>
    <x v="2603"/>
    <d v="2025-07-08T00:00:00"/>
    <s v="Central"/>
    <s v="London"/>
    <s v="Muffin"/>
    <s v="Food"/>
    <n v="3"/>
    <n v="2.2000000000000002"/>
    <s v="Card"/>
    <s v="C1293"/>
    <n v="6.6000000000000005"/>
    <s v="Tuesday"/>
    <s v="July"/>
    <n v="2025"/>
  </r>
  <r>
    <x v="2604"/>
    <d v="2025-07-08T00:00:00"/>
    <s v="Riverside"/>
    <s v="Bristol"/>
    <s v="Espresso"/>
    <s v="Drink"/>
    <n v="2"/>
    <n v="2.5"/>
    <s v="Card"/>
    <s v="C1790"/>
    <n v="5"/>
    <s v="Tuesday"/>
    <s v="July"/>
    <n v="2025"/>
  </r>
  <r>
    <x v="2605"/>
    <d v="2025-07-08T00:00:00"/>
    <s v="Central"/>
    <s v="Birmingham"/>
    <s v="Espresso"/>
    <s v="Drink"/>
    <n v="2"/>
    <n v="2.5"/>
    <s v="Apple Pay"/>
    <s v="C1577"/>
    <n v="5"/>
    <s v="Tuesday"/>
    <s v="July"/>
    <n v="2025"/>
  </r>
  <r>
    <x v="2606"/>
    <d v="2025-07-08T00:00:00"/>
    <s v="High Street"/>
    <s v="Bristol"/>
    <s v="Muffin"/>
    <s v="Food"/>
    <n v="2"/>
    <n v="2.2000000000000002"/>
    <s v="Cash"/>
    <s v="C1980"/>
    <n v="4.4000000000000004"/>
    <s v="Tuesday"/>
    <s v="July"/>
    <n v="2025"/>
  </r>
  <r>
    <x v="2607"/>
    <d v="2025-07-08T00:00:00"/>
    <s v="Station"/>
    <s v="Leeds"/>
    <s v="Latte"/>
    <s v="Drink"/>
    <n v="1"/>
    <n v="3.5"/>
    <s v="Cash"/>
    <s v="C1645"/>
    <n v="3.5"/>
    <s v="Tuesday"/>
    <s v="July"/>
    <n v="2025"/>
  </r>
  <r>
    <x v="2608"/>
    <d v="2025-07-08T00:00:00"/>
    <s v="Central"/>
    <s v="Birmingham"/>
    <s v="Croissant"/>
    <s v="Food"/>
    <n v="1"/>
    <n v="2.8"/>
    <s v="Apple Pay"/>
    <s v="C1559"/>
    <n v="2.8"/>
    <s v="Tuesday"/>
    <s v="July"/>
    <n v="2025"/>
  </r>
  <r>
    <x v="2609"/>
    <d v="2025-07-08T00:00:00"/>
    <s v="Riverside"/>
    <s v="Leeds"/>
    <s v="Espresso"/>
    <s v="Drink"/>
    <n v="1"/>
    <n v="2.5"/>
    <s v="Cash"/>
    <s v="C1471"/>
    <n v="2.5"/>
    <s v="Tuesday"/>
    <s v="July"/>
    <n v="2025"/>
  </r>
  <r>
    <x v="2610"/>
    <d v="2025-07-08T00:00:00"/>
    <s v="High Street"/>
    <s v="London"/>
    <s v="Muffin"/>
    <s v="Food"/>
    <n v="1"/>
    <n v="2.2000000000000002"/>
    <s v="Card"/>
    <s v="C1419"/>
    <n v="2.2000000000000002"/>
    <s v="Tuesday"/>
    <s v="July"/>
    <n v="2025"/>
  </r>
  <r>
    <x v="2611"/>
    <d v="2025-07-08T00:00:00"/>
    <s v="High Street"/>
    <s v="Leeds"/>
    <s v="Muffin"/>
    <s v="Food"/>
    <n v="1"/>
    <n v="2.2000000000000002"/>
    <s v="Card"/>
    <s v="C1486"/>
    <n v="2.2000000000000002"/>
    <s v="Tuesday"/>
    <s v="July"/>
    <n v="2025"/>
  </r>
  <r>
    <x v="2612"/>
    <d v="2025-07-09T00:00:00"/>
    <s v="Station"/>
    <s v="Manchester"/>
    <s v="Cappuccino"/>
    <s v="Drink"/>
    <n v="5"/>
    <n v="3.8"/>
    <s v="Card"/>
    <s v="C1653"/>
    <n v="19"/>
    <s v="Wednesday"/>
    <s v="July"/>
    <n v="2025"/>
  </r>
  <r>
    <x v="2613"/>
    <d v="2025-07-09T00:00:00"/>
    <s v="Station"/>
    <s v="Birmingham"/>
    <s v="Cappuccino"/>
    <s v="Drink"/>
    <n v="5"/>
    <n v="3.8"/>
    <s v="Cash"/>
    <s v="C1408"/>
    <n v="19"/>
    <s v="Wednesday"/>
    <s v="July"/>
    <n v="2025"/>
  </r>
  <r>
    <x v="2614"/>
    <d v="2025-07-09T00:00:00"/>
    <s v="Station"/>
    <s v="Manchester"/>
    <s v="Cappuccino"/>
    <s v="Drink"/>
    <n v="4"/>
    <n v="3.8"/>
    <s v="Card"/>
    <s v="C1936"/>
    <n v="15.2"/>
    <s v="Wednesday"/>
    <s v="July"/>
    <n v="2025"/>
  </r>
  <r>
    <x v="2615"/>
    <d v="2025-07-09T00:00:00"/>
    <s v="Central"/>
    <s v="Bristol"/>
    <s v="Muffin"/>
    <s v="Food"/>
    <n v="5"/>
    <n v="2.2000000000000002"/>
    <s v="Apple Pay"/>
    <s v="C1570"/>
    <n v="11"/>
    <s v="Wednesday"/>
    <s v="July"/>
    <n v="2025"/>
  </r>
  <r>
    <x v="2616"/>
    <d v="2025-07-09T00:00:00"/>
    <s v="Station"/>
    <s v="Manchester"/>
    <s v="Muffin"/>
    <s v="Food"/>
    <n v="5"/>
    <n v="2.2000000000000002"/>
    <s v="Apple Pay"/>
    <s v="C1623"/>
    <n v="11"/>
    <s v="Wednesday"/>
    <s v="July"/>
    <n v="2025"/>
  </r>
  <r>
    <x v="2617"/>
    <d v="2025-07-09T00:00:00"/>
    <s v="Riverside"/>
    <s v="Leeds"/>
    <s v="Latte"/>
    <s v="Drink"/>
    <n v="3"/>
    <n v="3.5"/>
    <s v="Apple Pay"/>
    <s v="C1172"/>
    <n v="10.5"/>
    <s v="Wednesday"/>
    <s v="July"/>
    <n v="2025"/>
  </r>
  <r>
    <x v="2618"/>
    <d v="2025-07-09T00:00:00"/>
    <s v="Station"/>
    <s v="Manchester"/>
    <s v="Cappuccino"/>
    <s v="Drink"/>
    <n v="2"/>
    <n v="3.8"/>
    <s v="Card"/>
    <s v="C1574"/>
    <n v="7.6"/>
    <s v="Wednesday"/>
    <s v="July"/>
    <n v="2025"/>
  </r>
  <r>
    <x v="2619"/>
    <d v="2025-07-09T00:00:00"/>
    <s v="Riverside"/>
    <s v="London"/>
    <s v="Espresso"/>
    <s v="Drink"/>
    <n v="3"/>
    <n v="2.5"/>
    <s v="Cash"/>
    <s v="C1425"/>
    <n v="7.5"/>
    <s v="Wednesday"/>
    <s v="July"/>
    <n v="2025"/>
  </r>
  <r>
    <x v="2620"/>
    <d v="2025-07-09T00:00:00"/>
    <s v="Station"/>
    <s v="Leeds"/>
    <s v="Croissant"/>
    <s v="Food"/>
    <n v="2"/>
    <n v="2.8"/>
    <s v="Card"/>
    <s v="C1990"/>
    <n v="5.6"/>
    <s v="Wednesday"/>
    <s v="July"/>
    <n v="2025"/>
  </r>
  <r>
    <x v="2621"/>
    <d v="2025-07-09T00:00:00"/>
    <s v="Station"/>
    <s v="London"/>
    <s v="Croissant"/>
    <s v="Food"/>
    <n v="2"/>
    <n v="2.8"/>
    <s v="Card"/>
    <s v="C1012"/>
    <n v="5.6"/>
    <s v="Wednesday"/>
    <s v="July"/>
    <n v="2025"/>
  </r>
  <r>
    <x v="2622"/>
    <d v="2025-07-09T00:00:00"/>
    <s v="Riverside"/>
    <s v="Birmingham"/>
    <s v="Espresso"/>
    <s v="Drink"/>
    <n v="1"/>
    <n v="2.5"/>
    <s v="Apple Pay"/>
    <s v="C1538"/>
    <n v="2.5"/>
    <s v="Wednesday"/>
    <s v="July"/>
    <n v="2025"/>
  </r>
  <r>
    <x v="2623"/>
    <d v="2025-07-09T00:00:00"/>
    <s v="Central"/>
    <s v="Leeds"/>
    <s v="Espresso"/>
    <s v="Drink"/>
    <n v="1"/>
    <n v="2.5"/>
    <s v="Cash"/>
    <s v="C1593"/>
    <n v="2.5"/>
    <s v="Wednesday"/>
    <s v="July"/>
    <n v="2025"/>
  </r>
  <r>
    <x v="2624"/>
    <d v="2025-07-09T00:00:00"/>
    <s v="High Street"/>
    <s v="Manchester"/>
    <s v="Muffin"/>
    <s v="Food"/>
    <n v="1"/>
    <n v="2.2000000000000002"/>
    <s v="Cash"/>
    <s v="C1656"/>
    <n v="2.2000000000000002"/>
    <s v="Wednesday"/>
    <s v="July"/>
    <n v="2025"/>
  </r>
  <r>
    <x v="2625"/>
    <d v="2025-07-10T00:00:00"/>
    <s v="Riverside"/>
    <s v="Manchester"/>
    <s v="Croissant"/>
    <s v="Food"/>
    <n v="5"/>
    <n v="2.8"/>
    <s v="Card"/>
    <s v="C1477"/>
    <n v="14"/>
    <s v="Thursday"/>
    <s v="July"/>
    <n v="2025"/>
  </r>
  <r>
    <x v="2626"/>
    <d v="2025-07-10T00:00:00"/>
    <s v="High Street"/>
    <s v="Bristol"/>
    <s v="Croissant"/>
    <s v="Food"/>
    <n v="5"/>
    <n v="2.8"/>
    <s v="Card"/>
    <s v="C1544"/>
    <n v="14"/>
    <s v="Thursday"/>
    <s v="July"/>
    <n v="2025"/>
  </r>
  <r>
    <x v="2627"/>
    <d v="2025-07-10T00:00:00"/>
    <s v="High Street"/>
    <s v="Bristol"/>
    <s v="Latte"/>
    <s v="Drink"/>
    <n v="3"/>
    <n v="3.5"/>
    <s v="Card"/>
    <s v="C1262"/>
    <n v="10.5"/>
    <s v="Thursday"/>
    <s v="July"/>
    <n v="2025"/>
  </r>
  <r>
    <x v="2628"/>
    <d v="2025-07-10T00:00:00"/>
    <s v="Station"/>
    <s v="Birmingham"/>
    <s v="Espresso"/>
    <s v="Drink"/>
    <n v="4"/>
    <n v="2.5"/>
    <s v="Cash"/>
    <s v="C1309"/>
    <n v="10"/>
    <s v="Thursday"/>
    <s v="July"/>
    <n v="2025"/>
  </r>
  <r>
    <x v="2629"/>
    <d v="2025-07-10T00:00:00"/>
    <s v="Riverside"/>
    <s v="Manchester"/>
    <s v="Muffin"/>
    <s v="Food"/>
    <n v="4"/>
    <n v="2.2000000000000002"/>
    <s v="Apple Pay"/>
    <s v="C1036"/>
    <n v="8.8000000000000007"/>
    <s v="Thursday"/>
    <s v="July"/>
    <n v="2025"/>
  </r>
  <r>
    <x v="2630"/>
    <d v="2025-07-10T00:00:00"/>
    <s v="High Street"/>
    <s v="Leeds"/>
    <s v="Cappuccino"/>
    <s v="Drink"/>
    <n v="2"/>
    <n v="3.8"/>
    <s v="Card"/>
    <s v="C1689"/>
    <n v="7.6"/>
    <s v="Thursday"/>
    <s v="July"/>
    <n v="2025"/>
  </r>
  <r>
    <x v="2631"/>
    <d v="2025-07-10T00:00:00"/>
    <s v="Station"/>
    <s v="Manchester"/>
    <s v="Latte"/>
    <s v="Drink"/>
    <n v="2"/>
    <n v="3.5"/>
    <s v="Cash"/>
    <s v="C1878"/>
    <n v="7"/>
    <s v="Thursday"/>
    <s v="July"/>
    <n v="2025"/>
  </r>
  <r>
    <x v="2632"/>
    <d v="2025-07-10T00:00:00"/>
    <s v="High Street"/>
    <s v="Bristol"/>
    <s v="Muffin"/>
    <s v="Food"/>
    <n v="3"/>
    <n v="2.2000000000000002"/>
    <s v="Card"/>
    <s v="C1217"/>
    <n v="6.6000000000000005"/>
    <s v="Thursday"/>
    <s v="July"/>
    <n v="2025"/>
  </r>
  <r>
    <x v="2633"/>
    <d v="2025-07-10T00:00:00"/>
    <s v="Central"/>
    <s v="Birmingham"/>
    <s v="Cappuccino"/>
    <s v="Drink"/>
    <n v="1"/>
    <n v="3.8"/>
    <s v="Card"/>
    <s v="C1905"/>
    <n v="3.8"/>
    <s v="Thursday"/>
    <s v="July"/>
    <n v="2025"/>
  </r>
  <r>
    <x v="2634"/>
    <d v="2025-07-10T00:00:00"/>
    <s v="Riverside"/>
    <s v="Birmingham"/>
    <s v="Cappuccino"/>
    <s v="Drink"/>
    <n v="1"/>
    <n v="3.8"/>
    <s v="Cash"/>
    <s v="C1359"/>
    <n v="3.8"/>
    <s v="Thursday"/>
    <s v="July"/>
    <n v="2025"/>
  </r>
  <r>
    <x v="2635"/>
    <d v="2025-07-10T00:00:00"/>
    <s v="Riverside"/>
    <s v="Manchester"/>
    <s v="Croissant"/>
    <s v="Food"/>
    <n v="1"/>
    <n v="2.8"/>
    <s v="Card"/>
    <s v="C1812"/>
    <n v="2.8"/>
    <s v="Thursday"/>
    <s v="July"/>
    <n v="2025"/>
  </r>
  <r>
    <x v="2636"/>
    <d v="2025-07-11T00:00:00"/>
    <s v="Central"/>
    <s v="Manchester"/>
    <s v="Cappuccino"/>
    <s v="Drink"/>
    <n v="4"/>
    <n v="3.8"/>
    <s v="Apple Pay"/>
    <s v="C1643"/>
    <n v="15.2"/>
    <s v="Friday"/>
    <s v="July"/>
    <n v="2025"/>
  </r>
  <r>
    <x v="2637"/>
    <d v="2025-07-11T00:00:00"/>
    <s v="Riverside"/>
    <s v="London"/>
    <s v="Latte"/>
    <s v="Drink"/>
    <n v="4"/>
    <n v="3.5"/>
    <s v="Apple Pay"/>
    <s v="C1711"/>
    <n v="14"/>
    <s v="Friday"/>
    <s v="July"/>
    <n v="2025"/>
  </r>
  <r>
    <x v="2638"/>
    <d v="2025-07-11T00:00:00"/>
    <s v="Riverside"/>
    <s v="London"/>
    <s v="Espresso"/>
    <s v="Drink"/>
    <n v="5"/>
    <n v="2.5"/>
    <s v="Card"/>
    <s v="C1646"/>
    <n v="12.5"/>
    <s v="Friday"/>
    <s v="July"/>
    <n v="2025"/>
  </r>
  <r>
    <x v="2639"/>
    <d v="2025-07-11T00:00:00"/>
    <s v="Central"/>
    <s v="Birmingham"/>
    <s v="Espresso"/>
    <s v="Drink"/>
    <n v="5"/>
    <n v="2.5"/>
    <s v="Card"/>
    <s v="C1482"/>
    <n v="12.5"/>
    <s v="Friday"/>
    <s v="July"/>
    <n v="2025"/>
  </r>
  <r>
    <x v="2640"/>
    <d v="2025-07-11T00:00:00"/>
    <s v="Riverside"/>
    <s v="Manchester"/>
    <s v="Croissant"/>
    <s v="Food"/>
    <n v="4"/>
    <n v="2.8"/>
    <s v="Card"/>
    <s v="C1957"/>
    <n v="11.2"/>
    <s v="Friday"/>
    <s v="July"/>
    <n v="2025"/>
  </r>
  <r>
    <x v="2641"/>
    <d v="2025-07-11T00:00:00"/>
    <s v="Central"/>
    <s v="Manchester"/>
    <s v="Muffin"/>
    <s v="Food"/>
    <n v="5"/>
    <n v="2.2000000000000002"/>
    <s v="Cash"/>
    <s v="C1495"/>
    <n v="11"/>
    <s v="Friday"/>
    <s v="July"/>
    <n v="2025"/>
  </r>
  <r>
    <x v="2642"/>
    <d v="2025-07-11T00:00:00"/>
    <s v="High Street"/>
    <s v="Leeds"/>
    <s v="Muffin"/>
    <s v="Food"/>
    <n v="5"/>
    <n v="2.2000000000000002"/>
    <s v="Apple Pay"/>
    <s v="C1824"/>
    <n v="11"/>
    <s v="Friday"/>
    <s v="July"/>
    <n v="2025"/>
  </r>
  <r>
    <x v="2643"/>
    <d v="2025-07-11T00:00:00"/>
    <s v="High Street"/>
    <s v="London"/>
    <s v="Latte"/>
    <s v="Drink"/>
    <n v="3"/>
    <n v="3.5"/>
    <s v="Card"/>
    <s v="C1587"/>
    <n v="10.5"/>
    <s v="Friday"/>
    <s v="July"/>
    <n v="2025"/>
  </r>
  <r>
    <x v="2644"/>
    <d v="2025-07-11T00:00:00"/>
    <s v="Station"/>
    <s v="Birmingham"/>
    <s v="Espresso"/>
    <s v="Drink"/>
    <n v="4"/>
    <n v="2.5"/>
    <s v="Apple Pay"/>
    <s v="C1102"/>
    <n v="10"/>
    <s v="Friday"/>
    <s v="July"/>
    <n v="2025"/>
  </r>
  <r>
    <x v="2645"/>
    <d v="2025-07-11T00:00:00"/>
    <s v="Station"/>
    <s v="Bristol"/>
    <s v="Muffin"/>
    <s v="Food"/>
    <n v="4"/>
    <n v="2.2000000000000002"/>
    <s v="Card"/>
    <s v="C1552"/>
    <n v="8.8000000000000007"/>
    <s v="Friday"/>
    <s v="July"/>
    <n v="2025"/>
  </r>
  <r>
    <x v="2646"/>
    <d v="2025-07-11T00:00:00"/>
    <s v="Riverside"/>
    <s v="London"/>
    <s v="Cappuccino"/>
    <s v="Drink"/>
    <n v="2"/>
    <n v="3.8"/>
    <s v="Apple Pay"/>
    <s v="C1253"/>
    <n v="7.6"/>
    <s v="Friday"/>
    <s v="July"/>
    <n v="2025"/>
  </r>
  <r>
    <x v="2647"/>
    <d v="2025-07-11T00:00:00"/>
    <s v="Station"/>
    <s v="Bristol"/>
    <s v="Espresso"/>
    <s v="Drink"/>
    <n v="3"/>
    <n v="2.5"/>
    <s v="Card"/>
    <s v="C1840"/>
    <n v="7.5"/>
    <s v="Friday"/>
    <s v="July"/>
    <n v="2025"/>
  </r>
  <r>
    <x v="2648"/>
    <d v="2025-07-11T00:00:00"/>
    <s v="Riverside"/>
    <s v="Bristol"/>
    <s v="Espresso"/>
    <s v="Drink"/>
    <n v="3"/>
    <n v="2.5"/>
    <s v="Apple Pay"/>
    <s v="C1684"/>
    <n v="7.5"/>
    <s v="Friday"/>
    <s v="July"/>
    <n v="2025"/>
  </r>
  <r>
    <x v="2649"/>
    <d v="2025-07-11T00:00:00"/>
    <s v="High Street"/>
    <s v="Leeds"/>
    <s v="Espresso"/>
    <s v="Drink"/>
    <n v="3"/>
    <n v="2.5"/>
    <s v="Apple Pay"/>
    <s v="C1618"/>
    <n v="7.5"/>
    <s v="Friday"/>
    <s v="July"/>
    <n v="2025"/>
  </r>
  <r>
    <x v="2650"/>
    <d v="2025-07-11T00:00:00"/>
    <s v="Station"/>
    <s v="Leeds"/>
    <s v="Latte"/>
    <s v="Drink"/>
    <n v="2"/>
    <n v="3.5"/>
    <s v="Apple Pay"/>
    <s v="C1147"/>
    <n v="7"/>
    <s v="Friday"/>
    <s v="July"/>
    <n v="2025"/>
  </r>
  <r>
    <x v="2651"/>
    <d v="2025-07-11T00:00:00"/>
    <s v="Central"/>
    <s v="Manchester"/>
    <s v="Muffin"/>
    <s v="Food"/>
    <n v="3"/>
    <n v="2.2000000000000002"/>
    <s v="Cash"/>
    <s v="C1461"/>
    <n v="6.6000000000000005"/>
    <s v="Friday"/>
    <s v="July"/>
    <n v="2025"/>
  </r>
  <r>
    <x v="2652"/>
    <d v="2025-07-11T00:00:00"/>
    <s v="High Street"/>
    <s v="Leeds"/>
    <s v="Croissant"/>
    <s v="Food"/>
    <n v="2"/>
    <n v="2.8"/>
    <s v="Cash"/>
    <s v="C1228"/>
    <n v="5.6"/>
    <s v="Friday"/>
    <s v="July"/>
    <n v="2025"/>
  </r>
  <r>
    <x v="2653"/>
    <d v="2025-07-11T00:00:00"/>
    <s v="Station"/>
    <s v="Manchester"/>
    <s v="Cappuccino"/>
    <s v="Drink"/>
    <n v="1"/>
    <n v="3.8"/>
    <s v="Apple Pay"/>
    <s v="C1819"/>
    <n v="3.8"/>
    <s v="Friday"/>
    <s v="July"/>
    <n v="2025"/>
  </r>
  <r>
    <x v="2654"/>
    <d v="2025-07-11T00:00:00"/>
    <s v="Station"/>
    <s v="Bristol"/>
    <s v="Croissant"/>
    <s v="Food"/>
    <n v="1"/>
    <n v="2.8"/>
    <s v="Apple Pay"/>
    <s v="C1353"/>
    <n v="2.8"/>
    <s v="Friday"/>
    <s v="July"/>
    <n v="2025"/>
  </r>
  <r>
    <x v="2655"/>
    <d v="2025-07-11T00:00:00"/>
    <s v="High Street"/>
    <s v="Birmingham"/>
    <s v="Croissant"/>
    <s v="Food"/>
    <n v="1"/>
    <n v="2.8"/>
    <s v="Cash"/>
    <s v="C1525"/>
    <n v="2.8"/>
    <s v="Friday"/>
    <s v="July"/>
    <n v="2025"/>
  </r>
  <r>
    <x v="2656"/>
    <d v="2025-07-12T00:00:00"/>
    <s v="Riverside"/>
    <s v="Bristol"/>
    <s v="Latte"/>
    <s v="Drink"/>
    <n v="5"/>
    <n v="3.5"/>
    <s v="Apple Pay"/>
    <s v="C1703"/>
    <n v="17.5"/>
    <s v="Saturday"/>
    <s v="July"/>
    <n v="2025"/>
  </r>
  <r>
    <x v="2657"/>
    <d v="2025-07-12T00:00:00"/>
    <s v="Station"/>
    <s v="Leeds"/>
    <s v="Espresso"/>
    <s v="Drink"/>
    <n v="5"/>
    <n v="2.5"/>
    <s v="Cash"/>
    <s v="C1969"/>
    <n v="12.5"/>
    <s v="Saturday"/>
    <s v="July"/>
    <n v="2025"/>
  </r>
  <r>
    <x v="2658"/>
    <d v="2025-07-12T00:00:00"/>
    <s v="Riverside"/>
    <s v="Bristol"/>
    <s v="Espresso"/>
    <s v="Drink"/>
    <n v="5"/>
    <n v="2.5"/>
    <s v="Apple Pay"/>
    <s v="C1751"/>
    <n v="12.5"/>
    <s v="Saturday"/>
    <s v="July"/>
    <n v="2025"/>
  </r>
  <r>
    <x v="2659"/>
    <d v="2025-07-12T00:00:00"/>
    <s v="Station"/>
    <s v="Manchester"/>
    <s v="Cappuccino"/>
    <s v="Drink"/>
    <n v="3"/>
    <n v="3.8"/>
    <s v="Card"/>
    <s v="C1693"/>
    <n v="11.399999999999999"/>
    <s v="Saturday"/>
    <s v="July"/>
    <n v="2025"/>
  </r>
  <r>
    <x v="2660"/>
    <d v="2025-07-12T00:00:00"/>
    <s v="Station"/>
    <s v="Manchester"/>
    <s v="Croissant"/>
    <s v="Food"/>
    <n v="4"/>
    <n v="2.8"/>
    <s v="Apple Pay"/>
    <s v="C1693"/>
    <n v="11.2"/>
    <s v="Saturday"/>
    <s v="July"/>
    <n v="2025"/>
  </r>
  <r>
    <x v="2661"/>
    <d v="2025-07-12T00:00:00"/>
    <s v="Central"/>
    <s v="Leeds"/>
    <s v="Muffin"/>
    <s v="Food"/>
    <n v="5"/>
    <n v="2.2000000000000002"/>
    <s v="Card"/>
    <s v="C1945"/>
    <n v="11"/>
    <s v="Saturday"/>
    <s v="July"/>
    <n v="2025"/>
  </r>
  <r>
    <x v="2662"/>
    <d v="2025-07-12T00:00:00"/>
    <s v="High Street"/>
    <s v="Birmingham"/>
    <s v="Latte"/>
    <s v="Drink"/>
    <n v="3"/>
    <n v="3.5"/>
    <s v="Card"/>
    <s v="C1254"/>
    <n v="10.5"/>
    <s v="Saturday"/>
    <s v="July"/>
    <n v="2025"/>
  </r>
  <r>
    <x v="2663"/>
    <d v="2025-07-12T00:00:00"/>
    <s v="Riverside"/>
    <s v="Leeds"/>
    <s v="Espresso"/>
    <s v="Drink"/>
    <n v="4"/>
    <n v="2.5"/>
    <s v="Cash"/>
    <s v="C1820"/>
    <n v="10"/>
    <s v="Saturday"/>
    <s v="July"/>
    <n v="2025"/>
  </r>
  <r>
    <x v="2664"/>
    <d v="2025-07-12T00:00:00"/>
    <s v="Riverside"/>
    <s v="London"/>
    <s v="Espresso"/>
    <s v="Drink"/>
    <n v="4"/>
    <n v="2.5"/>
    <s v="Card"/>
    <s v="C1608"/>
    <n v="10"/>
    <s v="Saturday"/>
    <s v="July"/>
    <n v="2025"/>
  </r>
  <r>
    <x v="2665"/>
    <d v="2025-07-12T00:00:00"/>
    <s v="High Street"/>
    <s v="Manchester"/>
    <s v="Cappuccino"/>
    <s v="Drink"/>
    <n v="2"/>
    <n v="3.8"/>
    <s v="Apple Pay"/>
    <s v="C1378"/>
    <n v="7.6"/>
    <s v="Saturday"/>
    <s v="July"/>
    <n v="2025"/>
  </r>
  <r>
    <x v="2666"/>
    <d v="2025-07-12T00:00:00"/>
    <s v="Central"/>
    <s v="London"/>
    <s v="Cappuccino"/>
    <s v="Drink"/>
    <n v="2"/>
    <n v="3.8"/>
    <s v="Apple Pay"/>
    <s v="C1023"/>
    <n v="7.6"/>
    <s v="Saturday"/>
    <s v="July"/>
    <n v="2025"/>
  </r>
  <r>
    <x v="2667"/>
    <d v="2025-07-12T00:00:00"/>
    <s v="Station"/>
    <s v="London"/>
    <s v="Latte"/>
    <s v="Drink"/>
    <n v="2"/>
    <n v="3.5"/>
    <s v="Apple Pay"/>
    <s v="C1722"/>
    <n v="7"/>
    <s v="Saturday"/>
    <s v="July"/>
    <n v="2025"/>
  </r>
  <r>
    <x v="2668"/>
    <d v="2025-07-12T00:00:00"/>
    <s v="High Street"/>
    <s v="London"/>
    <s v="Muffin"/>
    <s v="Food"/>
    <n v="3"/>
    <n v="2.2000000000000002"/>
    <s v="Apple Pay"/>
    <s v="C1262"/>
    <n v="6.6000000000000005"/>
    <s v="Saturday"/>
    <s v="July"/>
    <n v="2025"/>
  </r>
  <r>
    <x v="2669"/>
    <d v="2025-07-12T00:00:00"/>
    <s v="High Street"/>
    <s v="Birmingham"/>
    <s v="Croissant"/>
    <s v="Food"/>
    <n v="2"/>
    <n v="2.8"/>
    <s v="Card"/>
    <s v="C1696"/>
    <n v="5.6"/>
    <s v="Saturday"/>
    <s v="July"/>
    <n v="2025"/>
  </r>
  <r>
    <x v="2670"/>
    <d v="2025-07-12T00:00:00"/>
    <s v="Central"/>
    <s v="Bristol"/>
    <s v="Latte"/>
    <s v="Drink"/>
    <n v="1"/>
    <n v="3.5"/>
    <s v="Apple Pay"/>
    <s v="C1335"/>
    <n v="3.5"/>
    <s v="Saturday"/>
    <s v="July"/>
    <n v="2025"/>
  </r>
  <r>
    <x v="2671"/>
    <d v="2025-07-12T00:00:00"/>
    <s v="Riverside"/>
    <s v="Manchester"/>
    <s v="Latte"/>
    <s v="Drink"/>
    <n v="1"/>
    <n v="3.5"/>
    <s v="Apple Pay"/>
    <s v="C1365"/>
    <n v="3.5"/>
    <s v="Saturday"/>
    <s v="July"/>
    <n v="2025"/>
  </r>
  <r>
    <x v="2672"/>
    <d v="2025-07-12T00:00:00"/>
    <s v="High Street"/>
    <s v="Leeds"/>
    <s v="Latte"/>
    <s v="Drink"/>
    <n v="1"/>
    <n v="3.5"/>
    <s v="Card"/>
    <s v="C1729"/>
    <n v="3.5"/>
    <s v="Saturday"/>
    <s v="July"/>
    <n v="2025"/>
  </r>
  <r>
    <x v="2673"/>
    <d v="2025-07-12T00:00:00"/>
    <s v="High Street"/>
    <s v="Manchester"/>
    <s v="Muffin"/>
    <s v="Food"/>
    <n v="1"/>
    <n v="2.2000000000000002"/>
    <s v="Card"/>
    <s v="C1023"/>
    <n v="2.2000000000000002"/>
    <s v="Saturday"/>
    <s v="July"/>
    <n v="2025"/>
  </r>
  <r>
    <x v="2674"/>
    <d v="2025-07-13T00:00:00"/>
    <s v="High Street"/>
    <s v="Bristol"/>
    <s v="Cappuccino"/>
    <s v="Drink"/>
    <n v="5"/>
    <n v="3.8"/>
    <s v="Card"/>
    <s v="C1389"/>
    <n v="19"/>
    <s v="Sunday"/>
    <s v="July"/>
    <n v="2025"/>
  </r>
  <r>
    <x v="2675"/>
    <d v="2025-07-13T00:00:00"/>
    <s v="Station"/>
    <s v="Manchester"/>
    <s v="Cappuccino"/>
    <s v="Drink"/>
    <n v="4"/>
    <n v="3.8"/>
    <s v="Card"/>
    <s v="C1750"/>
    <n v="15.2"/>
    <s v="Sunday"/>
    <s v="July"/>
    <n v="2025"/>
  </r>
  <r>
    <x v="2676"/>
    <d v="2025-07-13T00:00:00"/>
    <s v="Station"/>
    <s v="Bristol"/>
    <s v="Cappuccino"/>
    <s v="Drink"/>
    <n v="4"/>
    <n v="3.8"/>
    <s v="Apple Pay"/>
    <s v="C1923"/>
    <n v="15.2"/>
    <s v="Sunday"/>
    <s v="July"/>
    <n v="2025"/>
  </r>
  <r>
    <x v="2677"/>
    <d v="2025-07-13T00:00:00"/>
    <s v="Riverside"/>
    <s v="Bristol"/>
    <s v="Cappuccino"/>
    <s v="Drink"/>
    <n v="4"/>
    <n v="3.8"/>
    <s v="Apple Pay"/>
    <s v="C1810"/>
    <n v="15.2"/>
    <s v="Sunday"/>
    <s v="July"/>
    <n v="2025"/>
  </r>
  <r>
    <x v="2678"/>
    <d v="2025-07-13T00:00:00"/>
    <s v="Station"/>
    <s v="London"/>
    <s v="Latte"/>
    <s v="Drink"/>
    <n v="4"/>
    <n v="3.5"/>
    <s v="Cash"/>
    <s v="C1220"/>
    <n v="14"/>
    <s v="Sunday"/>
    <s v="July"/>
    <n v="2025"/>
  </r>
  <r>
    <x v="2679"/>
    <d v="2025-07-13T00:00:00"/>
    <s v="High Street"/>
    <s v="Birmingham"/>
    <s v="Latte"/>
    <s v="Drink"/>
    <n v="4"/>
    <n v="3.5"/>
    <s v="Apple Pay"/>
    <s v="C1846"/>
    <n v="14"/>
    <s v="Sunday"/>
    <s v="July"/>
    <n v="2025"/>
  </r>
  <r>
    <x v="2680"/>
    <d v="2025-07-13T00:00:00"/>
    <s v="Central"/>
    <s v="Bristol"/>
    <s v="Espresso"/>
    <s v="Drink"/>
    <n v="5"/>
    <n v="2.5"/>
    <s v="Cash"/>
    <s v="C1785"/>
    <n v="12.5"/>
    <s v="Sunday"/>
    <s v="July"/>
    <n v="2025"/>
  </r>
  <r>
    <x v="2681"/>
    <d v="2025-07-13T00:00:00"/>
    <s v="Central"/>
    <s v="Manchester"/>
    <s v="Espresso"/>
    <s v="Drink"/>
    <n v="5"/>
    <n v="2.5"/>
    <s v="Apple Pay"/>
    <s v="C1356"/>
    <n v="12.5"/>
    <s v="Sunday"/>
    <s v="July"/>
    <n v="2025"/>
  </r>
  <r>
    <x v="2682"/>
    <d v="2025-07-13T00:00:00"/>
    <s v="Central"/>
    <s v="London"/>
    <s v="Croissant"/>
    <s v="Food"/>
    <n v="3"/>
    <n v="2.8"/>
    <s v="Card"/>
    <s v="C1871"/>
    <n v="8.3999999999999986"/>
    <s v="Sunday"/>
    <s v="July"/>
    <n v="2025"/>
  </r>
  <r>
    <x v="2683"/>
    <d v="2025-07-13T00:00:00"/>
    <s v="Station"/>
    <s v="Leeds"/>
    <s v="Latte"/>
    <s v="Drink"/>
    <n v="2"/>
    <n v="3.5"/>
    <s v="Card"/>
    <s v="C1405"/>
    <n v="7"/>
    <s v="Sunday"/>
    <s v="July"/>
    <n v="2025"/>
  </r>
  <r>
    <x v="2684"/>
    <d v="2025-07-13T00:00:00"/>
    <s v="Riverside"/>
    <s v="Bristol"/>
    <s v="Latte"/>
    <s v="Drink"/>
    <n v="2"/>
    <n v="3.5"/>
    <s v="Card"/>
    <s v="C1212"/>
    <n v="7"/>
    <s v="Sunday"/>
    <s v="July"/>
    <n v="2025"/>
  </r>
  <r>
    <x v="2685"/>
    <d v="2025-07-13T00:00:00"/>
    <s v="Station"/>
    <s v="Manchester"/>
    <s v="Muffin"/>
    <s v="Food"/>
    <n v="3"/>
    <n v="2.2000000000000002"/>
    <s v="Card"/>
    <s v="C1597"/>
    <n v="6.6000000000000005"/>
    <s v="Sunday"/>
    <s v="July"/>
    <n v="2025"/>
  </r>
  <r>
    <x v="2686"/>
    <d v="2025-07-13T00:00:00"/>
    <s v="Riverside"/>
    <s v="Birmingham"/>
    <s v="Muffin"/>
    <s v="Food"/>
    <n v="2"/>
    <n v="2.2000000000000002"/>
    <s v="Cash"/>
    <s v="C1772"/>
    <n v="4.4000000000000004"/>
    <s v="Sunday"/>
    <s v="July"/>
    <n v="2025"/>
  </r>
  <r>
    <x v="2687"/>
    <d v="2025-07-13T00:00:00"/>
    <s v="High Street"/>
    <s v="Leeds"/>
    <s v="Cappuccino"/>
    <s v="Drink"/>
    <n v="1"/>
    <n v="3.8"/>
    <s v="Card"/>
    <s v="C1607"/>
    <n v="3.8"/>
    <s v="Sunday"/>
    <s v="July"/>
    <n v="2025"/>
  </r>
  <r>
    <x v="2688"/>
    <d v="2025-07-13T00:00:00"/>
    <s v="High Street"/>
    <s v="London"/>
    <s v="Croissant"/>
    <s v="Food"/>
    <n v="1"/>
    <n v="2.8"/>
    <s v="Card"/>
    <s v="C1375"/>
    <n v="2.8"/>
    <s v="Sunday"/>
    <s v="July"/>
    <n v="2025"/>
  </r>
  <r>
    <x v="2689"/>
    <d v="2025-07-13T00:00:00"/>
    <s v="Central"/>
    <s v="Leeds"/>
    <s v="Muffin"/>
    <s v="Food"/>
    <n v="1"/>
    <n v="2.2000000000000002"/>
    <s v="Card"/>
    <s v="C1421"/>
    <n v="2.2000000000000002"/>
    <s v="Sunday"/>
    <s v="July"/>
    <n v="2025"/>
  </r>
  <r>
    <x v="2690"/>
    <d v="2025-07-14T00:00:00"/>
    <s v="Station"/>
    <s v="Leeds"/>
    <s v="Latte"/>
    <s v="Drink"/>
    <n v="5"/>
    <n v="3.5"/>
    <s v="Apple Pay"/>
    <s v="C1870"/>
    <n v="17.5"/>
    <s v="Monday"/>
    <s v="July"/>
    <n v="2025"/>
  </r>
  <r>
    <x v="2691"/>
    <d v="2025-07-14T00:00:00"/>
    <s v="Station"/>
    <s v="Leeds"/>
    <s v="Latte"/>
    <s v="Drink"/>
    <n v="3"/>
    <n v="3.5"/>
    <s v="Apple Pay"/>
    <s v="C1862"/>
    <n v="10.5"/>
    <s v="Monday"/>
    <s v="July"/>
    <n v="2025"/>
  </r>
  <r>
    <x v="2692"/>
    <d v="2025-07-14T00:00:00"/>
    <s v="Central"/>
    <s v="London"/>
    <s v="Espresso"/>
    <s v="Drink"/>
    <n v="4"/>
    <n v="2.5"/>
    <s v="Cash"/>
    <s v="C1555"/>
    <n v="10"/>
    <s v="Monday"/>
    <s v="July"/>
    <n v="2025"/>
  </r>
  <r>
    <x v="2693"/>
    <d v="2025-07-14T00:00:00"/>
    <s v="Central"/>
    <s v="London"/>
    <s v="Cappuccino"/>
    <s v="Drink"/>
    <n v="1"/>
    <n v="3.8"/>
    <s v="Apple Pay"/>
    <s v="C1586"/>
    <n v="3.8"/>
    <s v="Monday"/>
    <s v="July"/>
    <n v="2025"/>
  </r>
  <r>
    <x v="2694"/>
    <d v="2025-07-14T00:00:00"/>
    <s v="High Street"/>
    <s v="London"/>
    <s v="Espresso"/>
    <s v="Drink"/>
    <n v="1"/>
    <n v="2.5"/>
    <s v="Apple Pay"/>
    <s v="C1296"/>
    <n v="2.5"/>
    <s v="Monday"/>
    <s v="July"/>
    <n v="2025"/>
  </r>
  <r>
    <x v="2695"/>
    <d v="2025-07-14T00:00:00"/>
    <s v="Central"/>
    <s v="London"/>
    <s v="Espresso"/>
    <s v="Drink"/>
    <n v="1"/>
    <n v="2.5"/>
    <s v="Cash"/>
    <s v="C1303"/>
    <n v="2.5"/>
    <s v="Monday"/>
    <s v="July"/>
    <n v="2025"/>
  </r>
  <r>
    <x v="2696"/>
    <d v="2025-07-15T00:00:00"/>
    <s v="Riverside"/>
    <s v="N/A"/>
    <s v="Cappuccino"/>
    <s v="Drink"/>
    <n v="5"/>
    <n v="3.8"/>
    <s v="Cash"/>
    <s v="C1605"/>
    <n v="19"/>
    <s v="Tuesday"/>
    <s v="July"/>
    <n v="2025"/>
  </r>
  <r>
    <x v="2697"/>
    <d v="2025-07-15T00:00:00"/>
    <s v="Station"/>
    <s v="Leeds"/>
    <s v="Cappuccino"/>
    <s v="Drink"/>
    <n v="5"/>
    <n v="3.8"/>
    <s v="Apple Pay"/>
    <s v="C1494"/>
    <n v="19"/>
    <s v="Tuesday"/>
    <s v="July"/>
    <n v="2025"/>
  </r>
  <r>
    <x v="2698"/>
    <d v="2025-07-15T00:00:00"/>
    <s v="Station"/>
    <s v="Leeds"/>
    <s v="Latte"/>
    <s v="Drink"/>
    <n v="5"/>
    <n v="3.5"/>
    <s v="Cash"/>
    <s v="C1313"/>
    <n v="17.5"/>
    <s v="Tuesday"/>
    <s v="July"/>
    <n v="2025"/>
  </r>
  <r>
    <x v="2699"/>
    <d v="2025-07-15T00:00:00"/>
    <s v="Station"/>
    <s v="Bristol"/>
    <s v="Cappuccino"/>
    <s v="Drink"/>
    <n v="4"/>
    <n v="3.8"/>
    <s v="Cash"/>
    <s v="C1882"/>
    <n v="15.2"/>
    <s v="Tuesday"/>
    <s v="July"/>
    <n v="2025"/>
  </r>
  <r>
    <x v="2700"/>
    <d v="2025-07-15T00:00:00"/>
    <s v="High Street"/>
    <s v="Birmingham"/>
    <s v="Croissant"/>
    <s v="Food"/>
    <n v="5"/>
    <n v="2.8"/>
    <s v="Apple Pay"/>
    <s v="C1891"/>
    <n v="14"/>
    <s v="Tuesday"/>
    <s v="July"/>
    <n v="2025"/>
  </r>
  <r>
    <x v="2701"/>
    <d v="2025-07-15T00:00:00"/>
    <s v="High Street"/>
    <s v="Manchester"/>
    <s v="Latte"/>
    <s v="Drink"/>
    <n v="3"/>
    <n v="3.5"/>
    <s v="Cash"/>
    <s v="C1119"/>
    <n v="10.5"/>
    <s v="Tuesday"/>
    <s v="July"/>
    <n v="2025"/>
  </r>
  <r>
    <x v="2702"/>
    <d v="2025-07-15T00:00:00"/>
    <s v="Station"/>
    <s v="Manchester"/>
    <s v="Croissant"/>
    <s v="Food"/>
    <n v="3"/>
    <n v="2.8"/>
    <s v="Apple Pay"/>
    <s v="C1025"/>
    <n v="8.3999999999999986"/>
    <s v="Tuesday"/>
    <s v="July"/>
    <n v="2025"/>
  </r>
  <r>
    <x v="2703"/>
    <d v="2025-07-15T00:00:00"/>
    <s v="Central"/>
    <s v="London"/>
    <s v="Cappuccino"/>
    <s v="Drink"/>
    <n v="2"/>
    <n v="3.8"/>
    <s v="Apple Pay"/>
    <s v="C1407"/>
    <n v="7.6"/>
    <s v="Tuesday"/>
    <s v="July"/>
    <n v="2025"/>
  </r>
  <r>
    <x v="2704"/>
    <d v="2025-07-15T00:00:00"/>
    <s v="Riverside"/>
    <s v="Leeds"/>
    <s v="Espresso"/>
    <s v="Drink"/>
    <n v="3"/>
    <n v="2.5"/>
    <s v="Card"/>
    <s v="C1972"/>
    <n v="7.5"/>
    <s v="Tuesday"/>
    <s v="July"/>
    <n v="2025"/>
  </r>
  <r>
    <x v="2705"/>
    <d v="2025-07-15T00:00:00"/>
    <s v="Riverside"/>
    <s v="London"/>
    <s v="Muffin"/>
    <s v="Food"/>
    <n v="3"/>
    <n v="2.2000000000000002"/>
    <s v="Cash"/>
    <s v="C1970"/>
    <n v="6.6000000000000005"/>
    <s v="Tuesday"/>
    <s v="July"/>
    <n v="2025"/>
  </r>
  <r>
    <x v="2706"/>
    <d v="2025-07-15T00:00:00"/>
    <s v="Central"/>
    <s v="Leeds"/>
    <s v="Muffin"/>
    <s v="Food"/>
    <n v="1"/>
    <n v="2.2000000000000002"/>
    <s v="Cash"/>
    <s v="C1756"/>
    <n v="2.2000000000000002"/>
    <s v="Tuesday"/>
    <s v="July"/>
    <n v="2025"/>
  </r>
  <r>
    <x v="2707"/>
    <d v="2025-07-16T00:00:00"/>
    <s v="Station"/>
    <s v="Manchester"/>
    <s v="Cappuccino"/>
    <s v="Drink"/>
    <n v="5"/>
    <n v="3.8"/>
    <s v="Card"/>
    <s v="C1269"/>
    <n v="19"/>
    <s v="Wednesday"/>
    <s v="July"/>
    <n v="2025"/>
  </r>
  <r>
    <x v="2708"/>
    <d v="2025-07-16T00:00:00"/>
    <s v="Station"/>
    <s v="Bristol"/>
    <s v="Croissant"/>
    <s v="Food"/>
    <n v="4"/>
    <n v="2.8"/>
    <s v="Card"/>
    <s v="C1729"/>
    <n v="11.2"/>
    <s v="Wednesday"/>
    <s v="July"/>
    <n v="2025"/>
  </r>
  <r>
    <x v="2709"/>
    <d v="2025-07-16T00:00:00"/>
    <s v="Riverside"/>
    <s v="Birmingham"/>
    <s v="Muffin"/>
    <s v="Food"/>
    <n v="5"/>
    <n v="2.2000000000000002"/>
    <s v="Cash"/>
    <s v="C1046"/>
    <n v="11"/>
    <s v="Wednesday"/>
    <s v="July"/>
    <n v="2025"/>
  </r>
  <r>
    <x v="2710"/>
    <d v="2025-07-16T00:00:00"/>
    <s v="High Street"/>
    <s v="Manchester"/>
    <s v="Muffin"/>
    <s v="Food"/>
    <n v="5"/>
    <n v="2.2000000000000002"/>
    <s v="Cash"/>
    <s v="C1985"/>
    <n v="11"/>
    <s v="Wednesday"/>
    <s v="July"/>
    <n v="2025"/>
  </r>
  <r>
    <x v="2711"/>
    <d v="2025-07-16T00:00:00"/>
    <s v="Riverside"/>
    <s v="Leeds"/>
    <s v="Espresso"/>
    <s v="Drink"/>
    <n v="4"/>
    <n v="2.5"/>
    <s v="Card"/>
    <s v="C1920"/>
    <n v="10"/>
    <s v="Wednesday"/>
    <s v="July"/>
    <n v="2025"/>
  </r>
  <r>
    <x v="2712"/>
    <d v="2025-07-16T00:00:00"/>
    <s v="Station"/>
    <s v="London"/>
    <s v="Croissant"/>
    <s v="Food"/>
    <n v="3"/>
    <n v="2.8"/>
    <s v="Cash"/>
    <s v="C1531"/>
    <n v="8.3999999999999986"/>
    <s v="Wednesday"/>
    <s v="July"/>
    <n v="2025"/>
  </r>
  <r>
    <x v="2713"/>
    <d v="2025-07-16T00:00:00"/>
    <s v="Central"/>
    <s v="Bristol"/>
    <s v="Croissant"/>
    <s v="Food"/>
    <n v="3"/>
    <n v="2.8"/>
    <s v="Apple Pay"/>
    <s v="C1733"/>
    <n v="8.3999999999999986"/>
    <s v="Wednesday"/>
    <s v="July"/>
    <n v="2025"/>
  </r>
  <r>
    <x v="2714"/>
    <d v="2025-07-16T00:00:00"/>
    <s v="High Street"/>
    <s v="Birmingham"/>
    <s v="Espresso"/>
    <s v="Drink"/>
    <n v="3"/>
    <n v="2.5"/>
    <s v="Apple Pay"/>
    <s v="C1772"/>
    <n v="7.5"/>
    <s v="Wednesday"/>
    <s v="July"/>
    <n v="2025"/>
  </r>
  <r>
    <x v="2715"/>
    <d v="2025-07-16T00:00:00"/>
    <s v="Central"/>
    <s v="London"/>
    <s v="Muffin"/>
    <s v="Food"/>
    <n v="3"/>
    <n v="2.2000000000000002"/>
    <s v="Card"/>
    <s v="C1163"/>
    <n v="6.6000000000000005"/>
    <s v="Wednesday"/>
    <s v="July"/>
    <n v="2025"/>
  </r>
  <r>
    <x v="2716"/>
    <d v="2025-07-16T00:00:00"/>
    <s v="Riverside"/>
    <s v="Manchester"/>
    <s v="Muffin"/>
    <s v="Food"/>
    <n v="3"/>
    <n v="2.2000000000000002"/>
    <s v="Card"/>
    <s v="C1245"/>
    <n v="6.6000000000000005"/>
    <s v="Wednesday"/>
    <s v="July"/>
    <n v="2025"/>
  </r>
  <r>
    <x v="2717"/>
    <d v="2025-07-16T00:00:00"/>
    <s v="Station"/>
    <s v="Bristol"/>
    <s v="Croissant"/>
    <s v="Food"/>
    <n v="2"/>
    <n v="2.8"/>
    <s v="Apple Pay"/>
    <s v="C1411"/>
    <n v="5.6"/>
    <s v="Wednesday"/>
    <s v="July"/>
    <n v="2025"/>
  </r>
  <r>
    <x v="2718"/>
    <d v="2025-07-16T00:00:00"/>
    <s v="Riverside"/>
    <s v="Leeds"/>
    <s v="Croissant"/>
    <s v="Food"/>
    <n v="2"/>
    <n v="2.8"/>
    <s v="Card"/>
    <s v="C1733"/>
    <n v="5.6"/>
    <s v="Wednesday"/>
    <s v="July"/>
    <n v="2025"/>
  </r>
  <r>
    <x v="2719"/>
    <d v="2025-07-16T00:00:00"/>
    <s v="High Street"/>
    <s v="Bristol"/>
    <s v="Espresso"/>
    <s v="Drink"/>
    <n v="2"/>
    <n v="2.5"/>
    <s v="Apple Pay"/>
    <s v="C1795"/>
    <n v="5"/>
    <s v="Wednesday"/>
    <s v="July"/>
    <n v="2025"/>
  </r>
  <r>
    <x v="2720"/>
    <d v="2025-07-16T00:00:00"/>
    <s v="High Street"/>
    <s v="Manchester"/>
    <s v="Cappuccino"/>
    <s v="Drink"/>
    <n v="1"/>
    <n v="3.8"/>
    <s v="Apple Pay"/>
    <s v="C1674"/>
    <n v="3.8"/>
    <s v="Wednesday"/>
    <s v="July"/>
    <n v="2025"/>
  </r>
  <r>
    <x v="2721"/>
    <d v="2025-07-17T00:00:00"/>
    <s v="Central"/>
    <s v="Leeds"/>
    <s v="Espresso"/>
    <s v="Drink"/>
    <n v="5"/>
    <n v="2.5"/>
    <s v="Cash"/>
    <s v="C1848"/>
    <n v="12.5"/>
    <s v="Thursday"/>
    <s v="July"/>
    <n v="2025"/>
  </r>
  <r>
    <x v="2722"/>
    <d v="2025-07-17T00:00:00"/>
    <s v="Riverside"/>
    <s v="Bristol"/>
    <s v="Muffin"/>
    <s v="Food"/>
    <n v="5"/>
    <n v="2.2000000000000002"/>
    <s v="Apple Pay"/>
    <s v="C1014"/>
    <n v="11"/>
    <s v="Thursday"/>
    <s v="July"/>
    <n v="2025"/>
  </r>
  <r>
    <x v="2723"/>
    <d v="2025-07-17T00:00:00"/>
    <s v="High Street"/>
    <s v="London"/>
    <s v="Muffin"/>
    <s v="Food"/>
    <n v="5"/>
    <n v="2.2000000000000002"/>
    <s v="Cash"/>
    <s v="C1405"/>
    <n v="11"/>
    <s v="Thursday"/>
    <s v="July"/>
    <n v="2025"/>
  </r>
  <r>
    <x v="2724"/>
    <d v="2025-07-17T00:00:00"/>
    <s v="Station"/>
    <s v="Manchester"/>
    <s v="Latte"/>
    <s v="Drink"/>
    <n v="3"/>
    <n v="3.5"/>
    <s v="Apple Pay"/>
    <s v="C1108"/>
    <n v="10.5"/>
    <s v="Thursday"/>
    <s v="July"/>
    <n v="2025"/>
  </r>
  <r>
    <x v="2725"/>
    <d v="2025-07-17T00:00:00"/>
    <s v="Riverside"/>
    <s v="London"/>
    <s v="Espresso"/>
    <s v="Drink"/>
    <n v="3"/>
    <n v="2.5"/>
    <s v="Card"/>
    <s v="C1273"/>
    <n v="7.5"/>
    <s v="Thursday"/>
    <s v="July"/>
    <n v="2025"/>
  </r>
  <r>
    <x v="2726"/>
    <d v="2025-07-17T00:00:00"/>
    <s v="Central"/>
    <s v="Birmingham"/>
    <s v="Espresso"/>
    <s v="Drink"/>
    <n v="3"/>
    <n v="2.5"/>
    <s v="Apple Pay"/>
    <s v="C1072"/>
    <n v="7.5"/>
    <s v="Thursday"/>
    <s v="July"/>
    <n v="2025"/>
  </r>
  <r>
    <x v="2727"/>
    <d v="2025-07-17T00:00:00"/>
    <s v="Central"/>
    <s v="London"/>
    <s v="Espresso"/>
    <s v="Drink"/>
    <n v="3"/>
    <n v="2.5"/>
    <s v="Cash"/>
    <s v="C1415"/>
    <n v="7.5"/>
    <s v="Thursday"/>
    <s v="July"/>
    <n v="2025"/>
  </r>
  <r>
    <x v="2728"/>
    <d v="2025-07-17T00:00:00"/>
    <s v="High Street"/>
    <s v="London"/>
    <s v="Espresso"/>
    <s v="Drink"/>
    <n v="3"/>
    <n v="2.5"/>
    <s v="Card"/>
    <s v="C1822"/>
    <n v="7.5"/>
    <s v="Thursday"/>
    <s v="July"/>
    <n v="2025"/>
  </r>
  <r>
    <x v="2729"/>
    <d v="2025-07-17T00:00:00"/>
    <s v="Riverside"/>
    <s v="Manchester"/>
    <s v="Latte"/>
    <s v="Drink"/>
    <n v="2"/>
    <n v="3.5"/>
    <s v="Cash"/>
    <s v="C1652"/>
    <n v="7"/>
    <s v="Thursday"/>
    <s v="July"/>
    <n v="2025"/>
  </r>
  <r>
    <x v="2730"/>
    <d v="2025-07-17T00:00:00"/>
    <s v="Station"/>
    <s v="London"/>
    <s v="Croissant"/>
    <s v="Food"/>
    <n v="1"/>
    <n v="2.8"/>
    <s v="Cash"/>
    <s v="C1480"/>
    <n v="2.8"/>
    <s v="Thursday"/>
    <s v="July"/>
    <n v="2025"/>
  </r>
  <r>
    <x v="2731"/>
    <d v="2025-07-18T00:00:00"/>
    <s v="Riverside"/>
    <s v="Manchester"/>
    <s v="Espresso"/>
    <s v="Drink"/>
    <n v="5"/>
    <n v="2.5"/>
    <s v="Apple Pay"/>
    <s v="C1677"/>
    <n v="12.5"/>
    <s v="Friday"/>
    <s v="July"/>
    <n v="2025"/>
  </r>
  <r>
    <x v="2732"/>
    <d v="2025-07-18T00:00:00"/>
    <s v="Riverside"/>
    <s v="Leeds"/>
    <s v="Espresso"/>
    <s v="Drink"/>
    <n v="5"/>
    <n v="2.5"/>
    <s v="Cash"/>
    <s v="C1718"/>
    <n v="12.5"/>
    <s v="Friday"/>
    <s v="July"/>
    <n v="2025"/>
  </r>
  <r>
    <x v="2733"/>
    <d v="2025-07-18T00:00:00"/>
    <s v="Station"/>
    <s v="Manchester"/>
    <s v="Espresso"/>
    <s v="Drink"/>
    <n v="5"/>
    <n v="2.5"/>
    <s v="Cash"/>
    <s v="C1801"/>
    <n v="12.5"/>
    <s v="Friday"/>
    <s v="July"/>
    <n v="2025"/>
  </r>
  <r>
    <x v="2734"/>
    <d v="2025-07-18T00:00:00"/>
    <s v="Riverside"/>
    <s v="Manchester"/>
    <s v="Muffin"/>
    <s v="Food"/>
    <n v="5"/>
    <n v="2.2000000000000002"/>
    <s v="Cash"/>
    <s v="C1292"/>
    <n v="11"/>
    <s v="Friday"/>
    <s v="July"/>
    <n v="2025"/>
  </r>
  <r>
    <x v="2735"/>
    <d v="2025-07-18T00:00:00"/>
    <s v="Central"/>
    <s v="Leeds"/>
    <s v="Muffin"/>
    <s v="Food"/>
    <n v="5"/>
    <n v="2.2000000000000002"/>
    <s v="Cash"/>
    <s v="C1100"/>
    <n v="11"/>
    <s v="Friday"/>
    <s v="July"/>
    <n v="2025"/>
  </r>
  <r>
    <x v="2736"/>
    <d v="2025-07-18T00:00:00"/>
    <s v="High Street"/>
    <s v="Manchester"/>
    <s v="Espresso"/>
    <s v="Drink"/>
    <n v="4"/>
    <n v="2.5"/>
    <s v="Cash"/>
    <s v="C1728"/>
    <n v="10"/>
    <s v="Friday"/>
    <s v="July"/>
    <n v="2025"/>
  </r>
  <r>
    <x v="2737"/>
    <d v="2025-07-18T00:00:00"/>
    <s v="Riverside"/>
    <s v="Manchester"/>
    <s v="Espresso"/>
    <s v="Drink"/>
    <n v="4"/>
    <n v="2.5"/>
    <s v="Apple Pay"/>
    <s v="C1243"/>
    <n v="10"/>
    <s v="Friday"/>
    <s v="July"/>
    <n v="2025"/>
  </r>
  <r>
    <x v="2738"/>
    <d v="2025-07-18T00:00:00"/>
    <s v="Riverside"/>
    <s v="Leeds"/>
    <s v="Espresso"/>
    <s v="Drink"/>
    <n v="4"/>
    <n v="2.5"/>
    <s v="Cash"/>
    <s v="C1003"/>
    <n v="10"/>
    <s v="Friday"/>
    <s v="July"/>
    <n v="2025"/>
  </r>
  <r>
    <x v="2739"/>
    <d v="2025-07-18T00:00:00"/>
    <s v="Central"/>
    <s v="Bristol"/>
    <s v="Cappuccino"/>
    <s v="Drink"/>
    <n v="2"/>
    <n v="3.8"/>
    <s v="Cash"/>
    <s v="C1721"/>
    <n v="7.6"/>
    <s v="Friday"/>
    <s v="July"/>
    <n v="2025"/>
  </r>
  <r>
    <x v="2740"/>
    <d v="2025-07-18T00:00:00"/>
    <s v="Central"/>
    <s v="Leeds"/>
    <s v="Espresso"/>
    <s v="Drink"/>
    <n v="3"/>
    <n v="2.5"/>
    <s v="Card"/>
    <s v="C1706"/>
    <n v="7.5"/>
    <s v="Friday"/>
    <s v="July"/>
    <n v="2025"/>
  </r>
  <r>
    <x v="2741"/>
    <d v="2025-07-18T00:00:00"/>
    <s v="Riverside"/>
    <s v="Leeds"/>
    <s v="Latte"/>
    <s v="Drink"/>
    <n v="2"/>
    <n v="3.5"/>
    <s v="Card"/>
    <s v="C1917"/>
    <n v="7"/>
    <s v="Friday"/>
    <s v="July"/>
    <n v="2025"/>
  </r>
  <r>
    <x v="2742"/>
    <d v="2025-07-18T00:00:00"/>
    <s v="High Street"/>
    <s v="Bristol"/>
    <s v="Croissant"/>
    <s v="Food"/>
    <n v="2"/>
    <n v="2.8"/>
    <s v="Apple Pay"/>
    <s v="C1877"/>
    <n v="5.6"/>
    <s v="Friday"/>
    <s v="July"/>
    <n v="2025"/>
  </r>
  <r>
    <x v="2743"/>
    <d v="2025-07-18T00:00:00"/>
    <s v="Riverside"/>
    <s v="Birmingham"/>
    <s v="Espresso"/>
    <s v="Drink"/>
    <n v="2"/>
    <n v="2.5"/>
    <s v="Card"/>
    <s v="C1395"/>
    <n v="5"/>
    <s v="Friday"/>
    <s v="July"/>
    <n v="2025"/>
  </r>
  <r>
    <x v="2744"/>
    <d v="2025-07-18T00:00:00"/>
    <s v="Central"/>
    <s v="Manchester"/>
    <s v="Espresso"/>
    <s v="Drink"/>
    <n v="2"/>
    <n v="2.5"/>
    <s v="Card"/>
    <s v="C1535"/>
    <n v="5"/>
    <s v="Friday"/>
    <s v="July"/>
    <n v="2025"/>
  </r>
  <r>
    <x v="2745"/>
    <d v="2025-07-18T00:00:00"/>
    <s v="Station"/>
    <s v="Manchester"/>
    <s v="Muffin"/>
    <s v="Food"/>
    <n v="2"/>
    <n v="2.2000000000000002"/>
    <s v="Cash"/>
    <s v="C1664"/>
    <n v="4.4000000000000004"/>
    <s v="Friday"/>
    <s v="July"/>
    <n v="2025"/>
  </r>
  <r>
    <x v="2746"/>
    <d v="2025-07-18T00:00:00"/>
    <s v="Central"/>
    <s v="Bristol"/>
    <s v="Cappuccino"/>
    <s v="Drink"/>
    <n v="1"/>
    <n v="3.8"/>
    <s v="Apple Pay"/>
    <s v="C1952"/>
    <n v="3.8"/>
    <s v="Friday"/>
    <s v="July"/>
    <n v="2025"/>
  </r>
  <r>
    <x v="2747"/>
    <d v="2025-07-18T00:00:00"/>
    <s v="High Street"/>
    <s v="Leeds"/>
    <s v="Latte"/>
    <s v="Drink"/>
    <n v="1"/>
    <n v="3.5"/>
    <s v="Cash"/>
    <s v="C1065"/>
    <n v="3.5"/>
    <s v="Friday"/>
    <s v="July"/>
    <n v="2025"/>
  </r>
  <r>
    <x v="2748"/>
    <d v="2025-07-18T00:00:00"/>
    <s v="High Street"/>
    <s v="Manchester"/>
    <s v="Muffin"/>
    <s v="Food"/>
    <n v="1"/>
    <n v="2.2000000000000002"/>
    <s v="Cash"/>
    <s v="C1051"/>
    <n v="2.2000000000000002"/>
    <s v="Friday"/>
    <s v="July"/>
    <n v="2025"/>
  </r>
  <r>
    <x v="2749"/>
    <d v="2025-07-19T00:00:00"/>
    <s v="Station"/>
    <s v="Birmingham"/>
    <s v="Croissant"/>
    <s v="Food"/>
    <n v="4"/>
    <n v="2.8"/>
    <s v="Cash"/>
    <s v="C1386"/>
    <n v="11.2"/>
    <s v="Saturday"/>
    <s v="July"/>
    <n v="2025"/>
  </r>
  <r>
    <x v="2750"/>
    <d v="2025-07-19T00:00:00"/>
    <s v="Central"/>
    <s v="Leeds"/>
    <s v="Croissant"/>
    <s v="Food"/>
    <n v="4"/>
    <n v="2.8"/>
    <s v="Card"/>
    <s v="C1368"/>
    <n v="11.2"/>
    <s v="Saturday"/>
    <s v="July"/>
    <n v="2025"/>
  </r>
  <r>
    <x v="2751"/>
    <d v="2025-07-19T00:00:00"/>
    <s v="High Street"/>
    <s v="Birmingham"/>
    <s v="Latte"/>
    <s v="Drink"/>
    <n v="3"/>
    <n v="3.5"/>
    <s v="Apple Pay"/>
    <s v="C1716"/>
    <n v="10.5"/>
    <s v="Saturday"/>
    <s v="July"/>
    <n v="2025"/>
  </r>
  <r>
    <x v="2752"/>
    <d v="2025-07-19T00:00:00"/>
    <s v="Riverside"/>
    <s v="Bristol"/>
    <s v="Latte"/>
    <s v="Drink"/>
    <n v="3"/>
    <n v="3.5"/>
    <s v="Apple Pay"/>
    <s v="C1584"/>
    <n v="10.5"/>
    <s v="Saturday"/>
    <s v="July"/>
    <n v="2025"/>
  </r>
  <r>
    <x v="2753"/>
    <d v="2025-07-19T00:00:00"/>
    <s v="Central"/>
    <s v="Birmingham"/>
    <s v="Latte"/>
    <s v="Drink"/>
    <n v="3"/>
    <n v="3.5"/>
    <s v="Cash"/>
    <s v="C1272"/>
    <n v="10.5"/>
    <s v="Saturday"/>
    <s v="July"/>
    <n v="2025"/>
  </r>
  <r>
    <x v="2754"/>
    <d v="2025-07-19T00:00:00"/>
    <s v="High Street"/>
    <s v="London"/>
    <s v="Muffin"/>
    <s v="Food"/>
    <n v="2"/>
    <n v="2.2000000000000002"/>
    <s v="Card"/>
    <s v="C1384"/>
    <n v="4.4000000000000004"/>
    <s v="Saturday"/>
    <s v="July"/>
    <n v="2025"/>
  </r>
  <r>
    <x v="2755"/>
    <d v="2025-07-19T00:00:00"/>
    <s v="Riverside"/>
    <s v="Bristol"/>
    <s v="Cappuccino"/>
    <s v="Drink"/>
    <n v="1"/>
    <n v="3.8"/>
    <s v="Apple Pay"/>
    <s v="C1817"/>
    <n v="3.8"/>
    <s v="Saturday"/>
    <s v="July"/>
    <n v="2025"/>
  </r>
  <r>
    <x v="2756"/>
    <d v="2025-07-20T00:00:00"/>
    <s v="Station"/>
    <s v="Bristol"/>
    <s v="Latte"/>
    <s v="Drink"/>
    <n v="5"/>
    <n v="3.5"/>
    <s v="Cash"/>
    <s v="C1097"/>
    <n v="17.5"/>
    <s v="Sunday"/>
    <s v="July"/>
    <n v="2025"/>
  </r>
  <r>
    <x v="2757"/>
    <d v="2025-07-20T00:00:00"/>
    <s v="High Street"/>
    <s v="London"/>
    <s v="Latte"/>
    <s v="Drink"/>
    <n v="5"/>
    <n v="3.5"/>
    <s v="Apple Pay"/>
    <s v="C1945"/>
    <n v="17.5"/>
    <s v="Sunday"/>
    <s v="July"/>
    <n v="2025"/>
  </r>
  <r>
    <x v="2758"/>
    <d v="2025-07-20T00:00:00"/>
    <s v="Central"/>
    <s v="Manchester"/>
    <s v="Cappuccino"/>
    <s v="Drink"/>
    <n v="4"/>
    <n v="3.8"/>
    <s v="Cash"/>
    <s v="C1098"/>
    <n v="15.2"/>
    <s v="Sunday"/>
    <s v="July"/>
    <n v="2025"/>
  </r>
  <r>
    <x v="2759"/>
    <d v="2025-07-20T00:00:00"/>
    <s v="Riverside"/>
    <s v="Leeds"/>
    <s v="Espresso"/>
    <s v="Drink"/>
    <n v="5"/>
    <n v="2.5"/>
    <s v="Card"/>
    <s v="C1432"/>
    <n v="12.5"/>
    <s v="Sunday"/>
    <s v="July"/>
    <n v="2025"/>
  </r>
  <r>
    <x v="2760"/>
    <d v="2025-07-20T00:00:00"/>
    <s v="Station"/>
    <s v="Birmingham"/>
    <s v="Muffin"/>
    <s v="Food"/>
    <n v="4"/>
    <n v="2.2000000000000002"/>
    <s v="Cash"/>
    <s v="C1189"/>
    <n v="8.8000000000000007"/>
    <s v="Sunday"/>
    <s v="July"/>
    <n v="2025"/>
  </r>
  <r>
    <x v="2761"/>
    <d v="2025-07-20T00:00:00"/>
    <s v="Central"/>
    <s v="Leeds"/>
    <s v="Espresso"/>
    <s v="Drink"/>
    <n v="3"/>
    <n v="2.5"/>
    <s v="Apple Pay"/>
    <s v="C1474"/>
    <n v="7.5"/>
    <s v="Sunday"/>
    <s v="July"/>
    <n v="2025"/>
  </r>
  <r>
    <x v="2762"/>
    <d v="2025-07-20T00:00:00"/>
    <s v="Riverside"/>
    <s v="Bristol"/>
    <s v="Muffin"/>
    <s v="Food"/>
    <n v="3"/>
    <n v="2.2000000000000002"/>
    <s v="Apple Pay"/>
    <s v="C1642"/>
    <n v="6.6000000000000005"/>
    <s v="Sunday"/>
    <s v="July"/>
    <n v="2025"/>
  </r>
  <r>
    <x v="2763"/>
    <d v="2025-07-20T00:00:00"/>
    <s v="Station"/>
    <s v="Birmingham"/>
    <s v="Croissant"/>
    <s v="Food"/>
    <n v="2"/>
    <n v="2.8"/>
    <s v="Apple Pay"/>
    <s v="C1096"/>
    <n v="5.6"/>
    <s v="Sunday"/>
    <s v="July"/>
    <n v="2025"/>
  </r>
  <r>
    <x v="2764"/>
    <d v="2025-07-20T00:00:00"/>
    <s v="Central"/>
    <s v="Manchester"/>
    <s v="Croissant"/>
    <s v="Food"/>
    <n v="2"/>
    <n v="2.8"/>
    <s v="Cash"/>
    <s v="C1730"/>
    <n v="5.6"/>
    <s v="Sunday"/>
    <s v="July"/>
    <n v="2025"/>
  </r>
  <r>
    <x v="2765"/>
    <d v="2025-07-20T00:00:00"/>
    <s v="Central"/>
    <s v="Manchester"/>
    <s v="Espresso"/>
    <s v="Drink"/>
    <n v="2"/>
    <n v="2.5"/>
    <s v="Cash"/>
    <s v="C1040"/>
    <n v="5"/>
    <s v="Sunday"/>
    <s v="July"/>
    <n v="2025"/>
  </r>
  <r>
    <x v="2766"/>
    <d v="2025-07-20T00:00:00"/>
    <s v="Riverside"/>
    <s v="Manchester"/>
    <s v="Latte"/>
    <s v="Drink"/>
    <n v="1"/>
    <n v="3.5"/>
    <s v="Card"/>
    <s v="C1585"/>
    <n v="3.5"/>
    <s v="Sunday"/>
    <s v="July"/>
    <n v="2025"/>
  </r>
  <r>
    <x v="2767"/>
    <d v="2025-07-20T00:00:00"/>
    <s v="Station"/>
    <s v="Bristol"/>
    <s v="Muffin"/>
    <s v="Food"/>
    <n v="1"/>
    <n v="2.2000000000000002"/>
    <s v="Card"/>
    <s v="C1322"/>
    <n v="2.2000000000000002"/>
    <s v="Sunday"/>
    <s v="July"/>
    <n v="2025"/>
  </r>
  <r>
    <x v="2768"/>
    <d v="2025-07-21T00:00:00"/>
    <s v="Station"/>
    <s v="Manchester"/>
    <s v="Cappuccino"/>
    <s v="Drink"/>
    <n v="5"/>
    <n v="3.8"/>
    <s v="Cash"/>
    <s v="C1077"/>
    <n v="19"/>
    <s v="Monday"/>
    <s v="July"/>
    <n v="2025"/>
  </r>
  <r>
    <x v="2769"/>
    <d v="2025-07-21T00:00:00"/>
    <s v="Central"/>
    <s v="London"/>
    <s v="Latte"/>
    <s v="Drink"/>
    <n v="5"/>
    <n v="3.5"/>
    <s v="Cash"/>
    <s v="C1836"/>
    <n v="17.5"/>
    <s v="Monday"/>
    <s v="July"/>
    <n v="2025"/>
  </r>
  <r>
    <x v="2770"/>
    <d v="2025-07-21T00:00:00"/>
    <s v="Central"/>
    <s v="Bristol"/>
    <s v="Cappuccino"/>
    <s v="Drink"/>
    <n v="4"/>
    <n v="3.8"/>
    <s v="Apple Pay"/>
    <s v="C1958"/>
    <n v="15.2"/>
    <s v="Monday"/>
    <s v="July"/>
    <n v="2025"/>
  </r>
  <r>
    <x v="2771"/>
    <d v="2025-07-21T00:00:00"/>
    <s v="Central"/>
    <s v="London"/>
    <s v="Cappuccino"/>
    <s v="Drink"/>
    <n v="3"/>
    <n v="3.8"/>
    <s v="Apple Pay"/>
    <s v="C1766"/>
    <n v="11.399999999999999"/>
    <s v="Monday"/>
    <s v="July"/>
    <n v="2025"/>
  </r>
  <r>
    <x v="2772"/>
    <d v="2025-07-21T00:00:00"/>
    <s v="Station"/>
    <s v="Birmingham"/>
    <s v="Cappuccino"/>
    <s v="Drink"/>
    <n v="3"/>
    <n v="3.8"/>
    <s v="Cash"/>
    <s v="C1577"/>
    <n v="11.399999999999999"/>
    <s v="Monday"/>
    <s v="July"/>
    <n v="2025"/>
  </r>
  <r>
    <x v="2773"/>
    <d v="2025-07-21T00:00:00"/>
    <s v="Central"/>
    <s v="Birmingham"/>
    <s v="Muffin"/>
    <s v="Food"/>
    <n v="5"/>
    <n v="2.2000000000000002"/>
    <s v="Card"/>
    <s v="C1361"/>
    <n v="11"/>
    <s v="Monday"/>
    <s v="July"/>
    <n v="2025"/>
  </r>
  <r>
    <x v="2774"/>
    <d v="2025-07-21T00:00:00"/>
    <s v="Riverside"/>
    <s v="Leeds"/>
    <s v="Muffin"/>
    <s v="Food"/>
    <n v="4"/>
    <n v="2.2000000000000002"/>
    <s v="Card"/>
    <s v="C1793"/>
    <n v="8.8000000000000007"/>
    <s v="Monday"/>
    <s v="July"/>
    <n v="2025"/>
  </r>
  <r>
    <x v="2775"/>
    <d v="2025-07-21T00:00:00"/>
    <s v="Central"/>
    <s v="Manchester"/>
    <s v="Croissant"/>
    <s v="Food"/>
    <n v="3"/>
    <n v="2.8"/>
    <s v="Apple Pay"/>
    <s v="C1330"/>
    <n v="8.3999999999999986"/>
    <s v="Monday"/>
    <s v="July"/>
    <n v="2025"/>
  </r>
  <r>
    <x v="2776"/>
    <d v="2025-07-21T00:00:00"/>
    <s v="Riverside"/>
    <s v="Birmingham"/>
    <s v="Espresso"/>
    <s v="Drink"/>
    <n v="3"/>
    <n v="2.5"/>
    <s v="Cash"/>
    <s v="C1293"/>
    <n v="7.5"/>
    <s v="Monday"/>
    <s v="July"/>
    <n v="2025"/>
  </r>
  <r>
    <x v="2777"/>
    <d v="2025-07-21T00:00:00"/>
    <s v="Station"/>
    <s v="London"/>
    <s v="Espresso"/>
    <s v="Drink"/>
    <n v="3"/>
    <n v="2.5"/>
    <s v="Cash"/>
    <s v="C1418"/>
    <n v="7.5"/>
    <s v="Monday"/>
    <s v="July"/>
    <n v="2025"/>
  </r>
  <r>
    <x v="2778"/>
    <d v="2025-07-21T00:00:00"/>
    <s v="Station"/>
    <s v="Birmingham"/>
    <s v="Latte"/>
    <s v="Drink"/>
    <n v="2"/>
    <n v="3.5"/>
    <s v="Card"/>
    <s v="C1738"/>
    <n v="7"/>
    <s v="Monday"/>
    <s v="July"/>
    <n v="2025"/>
  </r>
  <r>
    <x v="2779"/>
    <d v="2025-07-21T00:00:00"/>
    <s v="Station"/>
    <s v="Bristol"/>
    <s v="Latte"/>
    <s v="Drink"/>
    <n v="2"/>
    <n v="3.5"/>
    <s v="Apple Pay"/>
    <s v="C1982"/>
    <n v="7"/>
    <s v="Monday"/>
    <s v="July"/>
    <n v="2025"/>
  </r>
  <r>
    <x v="2780"/>
    <d v="2025-07-21T00:00:00"/>
    <s v="Riverside"/>
    <s v="London"/>
    <s v="Cappuccino"/>
    <s v="Drink"/>
    <n v="1"/>
    <n v="3.8"/>
    <s v="Cash"/>
    <s v="C1798"/>
    <n v="3.8"/>
    <s v="Monday"/>
    <s v="July"/>
    <n v="2025"/>
  </r>
  <r>
    <x v="2781"/>
    <d v="2025-07-21T00:00:00"/>
    <s v="Central"/>
    <s v="Leeds"/>
    <s v="Latte"/>
    <s v="Drink"/>
    <n v="1"/>
    <n v="3.5"/>
    <s v="Card"/>
    <s v="C1624"/>
    <n v="3.5"/>
    <s v="Monday"/>
    <s v="July"/>
    <n v="2025"/>
  </r>
  <r>
    <x v="2782"/>
    <d v="2025-07-21T00:00:00"/>
    <s v="High Street"/>
    <s v="Leeds"/>
    <s v="Muffin"/>
    <s v="Food"/>
    <n v="1"/>
    <n v="2.2000000000000002"/>
    <s v="Cash"/>
    <s v="C1125"/>
    <n v="2.2000000000000002"/>
    <s v="Monday"/>
    <s v="July"/>
    <n v="2025"/>
  </r>
  <r>
    <x v="2783"/>
    <d v="2025-07-22T00:00:00"/>
    <s v="Central"/>
    <s v="London"/>
    <s v="Cappuccino"/>
    <s v="Drink"/>
    <n v="5"/>
    <n v="3.8"/>
    <s v="Cash"/>
    <s v="C1419"/>
    <n v="19"/>
    <s v="Tuesday"/>
    <s v="July"/>
    <n v="2025"/>
  </r>
  <r>
    <x v="2784"/>
    <d v="2025-07-22T00:00:00"/>
    <s v="Riverside"/>
    <s v="Manchester"/>
    <s v="Cappuccino"/>
    <s v="Drink"/>
    <n v="4"/>
    <n v="3.8"/>
    <s v="Apple Pay"/>
    <s v="C1232"/>
    <n v="15.2"/>
    <s v="Tuesday"/>
    <s v="July"/>
    <n v="2025"/>
  </r>
  <r>
    <x v="2785"/>
    <d v="2025-07-22T00:00:00"/>
    <s v="High Street"/>
    <s v="Leeds"/>
    <s v="Cappuccino"/>
    <s v="Drink"/>
    <n v="4"/>
    <n v="3.8"/>
    <s v="Cash"/>
    <s v="C1251"/>
    <n v="15.2"/>
    <s v="Tuesday"/>
    <s v="July"/>
    <n v="2025"/>
  </r>
  <r>
    <x v="2786"/>
    <d v="2025-07-22T00:00:00"/>
    <s v="Central"/>
    <s v="Bristol"/>
    <s v="Espresso"/>
    <s v="Drink"/>
    <n v="5"/>
    <n v="2.5"/>
    <s v="Cash"/>
    <s v="C1766"/>
    <n v="12.5"/>
    <s v="Tuesday"/>
    <s v="July"/>
    <n v="2025"/>
  </r>
  <r>
    <x v="2787"/>
    <d v="2025-07-22T00:00:00"/>
    <s v="Station"/>
    <s v="Manchester"/>
    <s v="Cappuccino"/>
    <s v="Drink"/>
    <n v="3"/>
    <n v="3.8"/>
    <s v="Cash"/>
    <s v="C1894"/>
    <n v="11.399999999999999"/>
    <s v="Tuesday"/>
    <s v="July"/>
    <n v="2025"/>
  </r>
  <r>
    <x v="2788"/>
    <d v="2025-07-22T00:00:00"/>
    <s v="High Street"/>
    <s v="Manchester"/>
    <s v="Croissant"/>
    <s v="Food"/>
    <n v="4"/>
    <n v="2.8"/>
    <s v="Card"/>
    <s v="C1711"/>
    <n v="11.2"/>
    <s v="Tuesday"/>
    <s v="July"/>
    <n v="2025"/>
  </r>
  <r>
    <x v="2789"/>
    <d v="2025-07-22T00:00:00"/>
    <s v="High Street"/>
    <s v="Manchester"/>
    <s v="Latte"/>
    <s v="Drink"/>
    <n v="3"/>
    <n v="3.5"/>
    <s v="Apple Pay"/>
    <s v="C1814"/>
    <n v="10.5"/>
    <s v="Tuesday"/>
    <s v="July"/>
    <n v="2025"/>
  </r>
  <r>
    <x v="2790"/>
    <d v="2025-07-22T00:00:00"/>
    <s v="Station"/>
    <s v="Leeds"/>
    <s v="Croissant"/>
    <s v="Food"/>
    <n v="3"/>
    <n v="2.8"/>
    <s v="Apple Pay"/>
    <s v="C1205"/>
    <n v="8.3999999999999986"/>
    <s v="Tuesday"/>
    <s v="July"/>
    <n v="2025"/>
  </r>
  <r>
    <x v="2791"/>
    <d v="2025-07-22T00:00:00"/>
    <s v="Riverside"/>
    <s v="Leeds"/>
    <s v="Muffin"/>
    <s v="Food"/>
    <n v="2"/>
    <n v="2.2000000000000002"/>
    <s v="Card"/>
    <s v="C1666"/>
    <n v="4.4000000000000004"/>
    <s v="Tuesday"/>
    <s v="July"/>
    <n v="2025"/>
  </r>
  <r>
    <x v="2792"/>
    <d v="2025-07-22T00:00:00"/>
    <s v="High Street"/>
    <s v="London"/>
    <s v="Muffin"/>
    <s v="Food"/>
    <n v="1"/>
    <n v="2.2000000000000002"/>
    <s v="Apple Pay"/>
    <s v="C1833"/>
    <n v="2.2000000000000002"/>
    <s v="Tuesday"/>
    <s v="July"/>
    <n v="2025"/>
  </r>
  <r>
    <x v="2793"/>
    <d v="2025-07-22T00:00:00"/>
    <s v="Riverside"/>
    <s v="London"/>
    <s v="Muffin"/>
    <s v="Food"/>
    <n v="1"/>
    <n v="2.2000000000000002"/>
    <s v="Cash"/>
    <s v="C1932"/>
    <n v="2.2000000000000002"/>
    <s v="Tuesday"/>
    <s v="July"/>
    <n v="2025"/>
  </r>
  <r>
    <x v="2794"/>
    <d v="2025-07-23T00:00:00"/>
    <s v="Station"/>
    <s v="Bristol"/>
    <s v="Latte"/>
    <s v="Drink"/>
    <n v="5"/>
    <n v="3.5"/>
    <s v="Card"/>
    <s v="C1683"/>
    <n v="17.5"/>
    <s v="Wednesday"/>
    <s v="July"/>
    <n v="2025"/>
  </r>
  <r>
    <x v="2795"/>
    <d v="2025-07-23T00:00:00"/>
    <s v="Station"/>
    <s v="London"/>
    <s v="Cappuccino"/>
    <s v="Drink"/>
    <n v="4"/>
    <n v="3.8"/>
    <s v="Cash"/>
    <s v="C1620"/>
    <n v="15.2"/>
    <s v="Wednesday"/>
    <s v="July"/>
    <n v="2025"/>
  </r>
  <r>
    <x v="2796"/>
    <d v="2025-07-23T00:00:00"/>
    <s v="High Street"/>
    <s v="Birmingham"/>
    <s v="Muffin"/>
    <s v="Food"/>
    <n v="5"/>
    <n v="2.2000000000000002"/>
    <s v="Apple Pay"/>
    <s v="C1042"/>
    <n v="11"/>
    <s v="Wednesday"/>
    <s v="July"/>
    <n v="2025"/>
  </r>
  <r>
    <x v="2797"/>
    <d v="2025-07-23T00:00:00"/>
    <s v="Station"/>
    <s v="Manchester"/>
    <s v="Latte"/>
    <s v="Drink"/>
    <n v="3"/>
    <n v="3.5"/>
    <s v="Apple Pay"/>
    <s v="C1982"/>
    <n v="10.5"/>
    <s v="Wednesday"/>
    <s v="July"/>
    <n v="2025"/>
  </r>
  <r>
    <x v="2798"/>
    <d v="2025-07-23T00:00:00"/>
    <s v="Central"/>
    <s v="Bristol"/>
    <s v="Espresso"/>
    <s v="Drink"/>
    <n v="4"/>
    <n v="2.5"/>
    <s v="Cash"/>
    <s v="C1125"/>
    <n v="10"/>
    <s v="Wednesday"/>
    <s v="July"/>
    <n v="2025"/>
  </r>
  <r>
    <x v="2799"/>
    <d v="2025-07-23T00:00:00"/>
    <s v="Central"/>
    <s v="Bristol"/>
    <s v="Espresso"/>
    <s v="Drink"/>
    <n v="4"/>
    <n v="2.5"/>
    <s v="Apple Pay"/>
    <s v="C1197"/>
    <n v="10"/>
    <s v="Wednesday"/>
    <s v="July"/>
    <n v="2025"/>
  </r>
  <r>
    <x v="2800"/>
    <d v="2025-07-23T00:00:00"/>
    <s v="Central"/>
    <s v="Birmingham"/>
    <s v="Espresso"/>
    <s v="Drink"/>
    <n v="4"/>
    <n v="2.5"/>
    <s v="Apple Pay"/>
    <s v="C1725"/>
    <n v="10"/>
    <s v="Wednesday"/>
    <s v="July"/>
    <n v="2025"/>
  </r>
  <r>
    <x v="2801"/>
    <d v="2025-07-23T00:00:00"/>
    <s v="High Street"/>
    <s v="Manchester"/>
    <s v="Muffin"/>
    <s v="Food"/>
    <n v="4"/>
    <n v="2.2000000000000002"/>
    <s v="Card"/>
    <s v="C1909"/>
    <n v="8.8000000000000007"/>
    <s v="Wednesday"/>
    <s v="July"/>
    <n v="2025"/>
  </r>
  <r>
    <x v="2802"/>
    <d v="2025-07-23T00:00:00"/>
    <s v="Riverside"/>
    <s v="Leeds"/>
    <s v="Croissant"/>
    <s v="Food"/>
    <n v="3"/>
    <n v="2.8"/>
    <s v="Cash"/>
    <s v="C1461"/>
    <n v="8.3999999999999986"/>
    <s v="Wednesday"/>
    <s v="July"/>
    <n v="2025"/>
  </r>
  <r>
    <x v="2803"/>
    <d v="2025-07-23T00:00:00"/>
    <s v="High Street"/>
    <s v="Leeds"/>
    <s v="Croissant"/>
    <s v="Food"/>
    <n v="3"/>
    <n v="2.8"/>
    <s v="Apple Pay"/>
    <s v="C1058"/>
    <n v="8.3999999999999986"/>
    <s v="Wednesday"/>
    <s v="July"/>
    <n v="2025"/>
  </r>
  <r>
    <x v="2804"/>
    <d v="2025-07-23T00:00:00"/>
    <s v="High Street"/>
    <s v="Bristol"/>
    <s v="Croissant"/>
    <s v="Food"/>
    <n v="3"/>
    <n v="2.8"/>
    <s v="Card"/>
    <s v="C1362"/>
    <n v="8.3999999999999986"/>
    <s v="Wednesday"/>
    <s v="July"/>
    <n v="2025"/>
  </r>
  <r>
    <x v="2805"/>
    <d v="2025-07-23T00:00:00"/>
    <s v="Central"/>
    <s v="Leeds"/>
    <s v="Muffin"/>
    <s v="Food"/>
    <n v="3"/>
    <n v="2.2000000000000002"/>
    <s v="Apple Pay"/>
    <s v="C1340"/>
    <n v="6.6000000000000005"/>
    <s v="Wednesday"/>
    <s v="July"/>
    <n v="2025"/>
  </r>
  <r>
    <x v="2806"/>
    <d v="2025-07-23T00:00:00"/>
    <s v="Central"/>
    <s v="Birmingham"/>
    <s v="Croissant"/>
    <s v="Food"/>
    <n v="2"/>
    <n v="2.8"/>
    <s v="Apple Pay"/>
    <s v="C1447"/>
    <n v="5.6"/>
    <s v="Wednesday"/>
    <s v="July"/>
    <n v="2025"/>
  </r>
  <r>
    <x v="2807"/>
    <d v="2025-07-23T00:00:00"/>
    <s v="High Street"/>
    <s v="London"/>
    <s v="Muffin"/>
    <s v="Food"/>
    <n v="2"/>
    <n v="2.2000000000000002"/>
    <s v="Apple Pay"/>
    <s v="C1513"/>
    <n v="4.4000000000000004"/>
    <s v="Wednesday"/>
    <s v="July"/>
    <n v="2025"/>
  </r>
  <r>
    <x v="2808"/>
    <d v="2025-07-23T00:00:00"/>
    <s v="Riverside"/>
    <s v="Leeds"/>
    <s v="Cappuccino"/>
    <s v="Drink"/>
    <n v="1"/>
    <n v="3.8"/>
    <s v="Apple Pay"/>
    <s v="C1620"/>
    <n v="3.8"/>
    <s v="Wednesday"/>
    <s v="July"/>
    <n v="2025"/>
  </r>
  <r>
    <x v="2809"/>
    <d v="2025-07-23T00:00:00"/>
    <s v="High Street"/>
    <s v="Birmingham"/>
    <s v="Croissant"/>
    <s v="Food"/>
    <n v="1"/>
    <n v="2.8"/>
    <s v="Apple Pay"/>
    <s v="C1494"/>
    <n v="2.8"/>
    <s v="Wednesday"/>
    <s v="July"/>
    <n v="2025"/>
  </r>
  <r>
    <x v="2810"/>
    <d v="2025-07-24T00:00:00"/>
    <s v="Riverside"/>
    <s v="London"/>
    <s v="Latte"/>
    <s v="Drink"/>
    <n v="4"/>
    <n v="3.5"/>
    <s v="Apple Pay"/>
    <s v="C1499"/>
    <n v="14"/>
    <s v="Thursday"/>
    <s v="July"/>
    <n v="2025"/>
  </r>
  <r>
    <x v="2811"/>
    <d v="2025-07-24T00:00:00"/>
    <s v="High Street"/>
    <s v="London"/>
    <s v="Croissant"/>
    <s v="Food"/>
    <n v="3"/>
    <n v="2.8"/>
    <s v="Apple Pay"/>
    <s v="C1812"/>
    <n v="8.3999999999999986"/>
    <s v="Thursday"/>
    <s v="July"/>
    <n v="2025"/>
  </r>
  <r>
    <x v="2812"/>
    <d v="2025-07-24T00:00:00"/>
    <s v="Central"/>
    <s v="London"/>
    <s v="Espresso"/>
    <s v="Drink"/>
    <n v="3"/>
    <n v="2.5"/>
    <s v="Apple Pay"/>
    <s v="C1756"/>
    <n v="7.5"/>
    <s v="Thursday"/>
    <s v="July"/>
    <n v="2025"/>
  </r>
  <r>
    <x v="2813"/>
    <d v="2025-07-24T00:00:00"/>
    <s v="High Street"/>
    <s v="Manchester"/>
    <s v="Latte"/>
    <s v="Drink"/>
    <n v="2"/>
    <n v="3.5"/>
    <s v="Apple Pay"/>
    <s v="C1999"/>
    <n v="7"/>
    <s v="Thursday"/>
    <s v="July"/>
    <n v="2025"/>
  </r>
  <r>
    <x v="2814"/>
    <d v="2025-07-24T00:00:00"/>
    <s v="High Street"/>
    <s v="Leeds"/>
    <s v="Latte"/>
    <s v="Drink"/>
    <n v="2"/>
    <n v="3.5"/>
    <s v="Card"/>
    <s v="C1028"/>
    <n v="7"/>
    <s v="Thursday"/>
    <s v="July"/>
    <n v="2025"/>
  </r>
  <r>
    <x v="2815"/>
    <d v="2025-07-24T00:00:00"/>
    <s v="Station"/>
    <s v="London"/>
    <s v="Latte"/>
    <s v="Drink"/>
    <n v="2"/>
    <n v="3.5"/>
    <s v="Cash"/>
    <s v="C1185"/>
    <n v="7"/>
    <s v="Thursday"/>
    <s v="July"/>
    <n v="2025"/>
  </r>
  <r>
    <x v="2816"/>
    <d v="2025-07-24T00:00:00"/>
    <s v="Station"/>
    <s v="Birmingham"/>
    <s v="Muffin"/>
    <s v="Food"/>
    <n v="3"/>
    <n v="2.2000000000000002"/>
    <s v="Apple Pay"/>
    <s v="C1643"/>
    <n v="6.6000000000000005"/>
    <s v="Thursday"/>
    <s v="July"/>
    <n v="2025"/>
  </r>
  <r>
    <x v="2817"/>
    <d v="2025-07-24T00:00:00"/>
    <s v="Central"/>
    <s v="London"/>
    <s v="Croissant"/>
    <s v="Food"/>
    <n v="2"/>
    <n v="2.8"/>
    <s v="Card"/>
    <s v="C1536"/>
    <n v="5.6"/>
    <s v="Thursday"/>
    <s v="July"/>
    <n v="2025"/>
  </r>
  <r>
    <x v="2818"/>
    <d v="2025-07-24T00:00:00"/>
    <s v="Central"/>
    <s v="Leeds"/>
    <s v="Muffin"/>
    <s v="Food"/>
    <n v="2"/>
    <n v="2.2000000000000002"/>
    <s v="Apple Pay"/>
    <s v="C1177"/>
    <n v="4.4000000000000004"/>
    <s v="Thursday"/>
    <s v="July"/>
    <n v="2025"/>
  </r>
  <r>
    <x v="2819"/>
    <d v="2025-07-24T00:00:00"/>
    <s v="High Street"/>
    <s v="Leeds"/>
    <s v="Cappuccino"/>
    <s v="Drink"/>
    <n v="1"/>
    <n v="3.8"/>
    <s v="Card"/>
    <s v="C1303"/>
    <n v="3.8"/>
    <s v="Thursday"/>
    <s v="July"/>
    <n v="2025"/>
  </r>
  <r>
    <x v="2820"/>
    <d v="2025-07-24T00:00:00"/>
    <s v="Riverside"/>
    <s v="Manchester"/>
    <s v="Latte"/>
    <s v="Drink"/>
    <n v="1"/>
    <n v="3.5"/>
    <s v="Apple Pay"/>
    <s v="C1933"/>
    <n v="3.5"/>
    <s v="Thursday"/>
    <s v="July"/>
    <n v="2025"/>
  </r>
  <r>
    <x v="2821"/>
    <d v="2025-07-24T00:00:00"/>
    <s v="Central"/>
    <s v="London"/>
    <s v="Latte"/>
    <s v="Drink"/>
    <n v="1"/>
    <n v="3.5"/>
    <s v="Cash"/>
    <s v="C1995"/>
    <n v="3.5"/>
    <s v="Thursday"/>
    <s v="July"/>
    <n v="2025"/>
  </r>
  <r>
    <x v="2822"/>
    <d v="2025-07-24T00:00:00"/>
    <s v="Station"/>
    <s v="London"/>
    <s v="Latte"/>
    <s v="Drink"/>
    <n v="1"/>
    <n v="3.5"/>
    <s v="Apple Pay"/>
    <s v="C1064"/>
    <n v="3.5"/>
    <s v="Thursday"/>
    <s v="July"/>
    <n v="2025"/>
  </r>
  <r>
    <x v="2823"/>
    <d v="2025-07-24T00:00:00"/>
    <s v="High Street"/>
    <s v="Manchester"/>
    <s v="Espresso"/>
    <s v="Drink"/>
    <n v="1"/>
    <n v="2.5"/>
    <s v="Cash"/>
    <s v="C1862"/>
    <n v="2.5"/>
    <s v="Thursday"/>
    <s v="July"/>
    <n v="2025"/>
  </r>
  <r>
    <x v="2824"/>
    <d v="2025-07-25T00:00:00"/>
    <s v="Station"/>
    <s v="Bristol"/>
    <s v="Cappuccino"/>
    <s v="Drink"/>
    <n v="5"/>
    <n v="3.8"/>
    <s v="Card"/>
    <s v="C1771"/>
    <n v="19"/>
    <s v="Friday"/>
    <s v="July"/>
    <n v="2025"/>
  </r>
  <r>
    <x v="2825"/>
    <d v="2025-07-25T00:00:00"/>
    <s v="High Street"/>
    <s v="Bristol"/>
    <s v="Cappuccino"/>
    <s v="Drink"/>
    <n v="4"/>
    <n v="3.8"/>
    <s v="Cash"/>
    <s v="C1424"/>
    <n v="15.2"/>
    <s v="Friday"/>
    <s v="July"/>
    <n v="2025"/>
  </r>
  <r>
    <x v="2826"/>
    <d v="2025-07-25T00:00:00"/>
    <s v="Station"/>
    <s v="Manchester"/>
    <s v="Cappuccino"/>
    <s v="Drink"/>
    <n v="4"/>
    <n v="3.8"/>
    <s v="Card"/>
    <s v="C1983"/>
    <n v="15.2"/>
    <s v="Friday"/>
    <s v="July"/>
    <n v="2025"/>
  </r>
  <r>
    <x v="2827"/>
    <d v="2025-07-25T00:00:00"/>
    <s v="Riverside"/>
    <s v="Leeds"/>
    <s v="Cappuccino"/>
    <s v="Drink"/>
    <n v="3"/>
    <n v="3.8"/>
    <s v="Card"/>
    <s v="C1131"/>
    <n v="11.399999999999999"/>
    <s v="Friday"/>
    <s v="July"/>
    <n v="2025"/>
  </r>
  <r>
    <x v="2828"/>
    <d v="2025-07-25T00:00:00"/>
    <s v="Station"/>
    <s v="Manchester"/>
    <s v="Cappuccino"/>
    <s v="Drink"/>
    <n v="3"/>
    <n v="3.8"/>
    <s v="Card"/>
    <s v="C1128"/>
    <n v="11.399999999999999"/>
    <s v="Friday"/>
    <s v="July"/>
    <n v="2025"/>
  </r>
  <r>
    <x v="2829"/>
    <d v="2025-07-25T00:00:00"/>
    <s v="Riverside"/>
    <s v="Birmingham"/>
    <s v="Latte"/>
    <s v="Drink"/>
    <n v="3"/>
    <n v="3.5"/>
    <s v="Apple Pay"/>
    <s v="C1199"/>
    <n v="10.5"/>
    <s v="Friday"/>
    <s v="July"/>
    <n v="2025"/>
  </r>
  <r>
    <x v="2830"/>
    <d v="2025-07-25T00:00:00"/>
    <s v="Central"/>
    <s v="Birmingham"/>
    <s v="Croissant"/>
    <s v="Food"/>
    <n v="3"/>
    <n v="2.8"/>
    <s v="Apple Pay"/>
    <s v="C1424"/>
    <n v="8.3999999999999986"/>
    <s v="Friday"/>
    <s v="July"/>
    <n v="2025"/>
  </r>
  <r>
    <x v="2831"/>
    <d v="2025-07-25T00:00:00"/>
    <s v="Central"/>
    <s v="Bristol"/>
    <s v="Croissant"/>
    <s v="Food"/>
    <n v="2"/>
    <n v="2.8"/>
    <s v="Card"/>
    <s v="C1659"/>
    <n v="5.6"/>
    <s v="Friday"/>
    <s v="July"/>
    <n v="2025"/>
  </r>
  <r>
    <x v="2832"/>
    <d v="2025-07-25T00:00:00"/>
    <s v="Station"/>
    <s v="Manchester"/>
    <s v="Espresso"/>
    <s v="Drink"/>
    <n v="2"/>
    <n v="2.5"/>
    <s v="Apple Pay"/>
    <s v="C1052"/>
    <n v="5"/>
    <s v="Friday"/>
    <s v="July"/>
    <n v="2025"/>
  </r>
  <r>
    <x v="2833"/>
    <d v="2025-07-25T00:00:00"/>
    <s v="Central"/>
    <s v="London"/>
    <s v="Muffin"/>
    <s v="Food"/>
    <n v="2"/>
    <n v="2.2000000000000002"/>
    <s v="Apple Pay"/>
    <s v="C1036"/>
    <n v="4.4000000000000004"/>
    <s v="Friday"/>
    <s v="July"/>
    <n v="2025"/>
  </r>
  <r>
    <x v="2834"/>
    <d v="2025-07-25T00:00:00"/>
    <s v="Riverside"/>
    <s v="N/A"/>
    <s v="Cappuccino"/>
    <s v="Drink"/>
    <n v="1"/>
    <n v="3.8"/>
    <s v="Card"/>
    <s v="C1926"/>
    <n v="3.8"/>
    <s v="Friday"/>
    <s v="July"/>
    <n v="2025"/>
  </r>
  <r>
    <x v="2835"/>
    <d v="2025-07-25T00:00:00"/>
    <s v="Central"/>
    <s v="Leeds"/>
    <s v="Cappuccino"/>
    <s v="Drink"/>
    <n v="1"/>
    <n v="3.8"/>
    <s v="Card"/>
    <s v="C1891"/>
    <n v="3.8"/>
    <s v="Friday"/>
    <s v="July"/>
    <n v="2025"/>
  </r>
  <r>
    <x v="2836"/>
    <d v="2025-07-25T00:00:00"/>
    <s v="Riverside"/>
    <s v="Manchester"/>
    <s v="Cappuccino"/>
    <s v="Drink"/>
    <n v="1"/>
    <n v="3.8"/>
    <s v="Cash"/>
    <s v="C1214"/>
    <n v="3.8"/>
    <s v="Friday"/>
    <s v="July"/>
    <n v="2025"/>
  </r>
  <r>
    <x v="2837"/>
    <d v="2025-07-25T00:00:00"/>
    <s v="High Street"/>
    <s v="London"/>
    <s v="Croissant"/>
    <s v="Food"/>
    <n v="1"/>
    <n v="2.8"/>
    <s v="Apple Pay"/>
    <s v="C1211"/>
    <n v="2.8"/>
    <s v="Friday"/>
    <s v="July"/>
    <n v="2025"/>
  </r>
  <r>
    <x v="2838"/>
    <d v="2025-07-26T00:00:00"/>
    <s v="Riverside"/>
    <s v="Manchester"/>
    <s v="Cappuccino"/>
    <s v="Drink"/>
    <n v="5"/>
    <n v="3.8"/>
    <s v="Card"/>
    <s v="C1124"/>
    <n v="19"/>
    <s v="Saturday"/>
    <s v="July"/>
    <n v="2025"/>
  </r>
  <r>
    <x v="2839"/>
    <d v="2025-07-26T00:00:00"/>
    <s v="Station"/>
    <s v="Leeds"/>
    <s v="Cappuccino"/>
    <s v="Drink"/>
    <n v="4"/>
    <n v="3.8"/>
    <s v="Apple Pay"/>
    <s v="C1305"/>
    <n v="15.2"/>
    <s v="Saturday"/>
    <s v="July"/>
    <n v="2025"/>
  </r>
  <r>
    <x v="2840"/>
    <d v="2025-07-26T00:00:00"/>
    <s v="Central"/>
    <s v="Leeds"/>
    <s v="Croissant"/>
    <s v="Food"/>
    <n v="5"/>
    <n v="2.8"/>
    <s v="Card"/>
    <s v="C1736"/>
    <n v="14"/>
    <s v="Saturday"/>
    <s v="July"/>
    <n v="2025"/>
  </r>
  <r>
    <x v="2841"/>
    <d v="2025-07-26T00:00:00"/>
    <s v="High Street"/>
    <s v="London"/>
    <s v="Cappuccino"/>
    <s v="Drink"/>
    <n v="3"/>
    <n v="3.8"/>
    <s v="Apple Pay"/>
    <s v="C1302"/>
    <n v="11.399999999999999"/>
    <s v="Saturday"/>
    <s v="July"/>
    <n v="2025"/>
  </r>
  <r>
    <x v="2842"/>
    <d v="2025-07-26T00:00:00"/>
    <s v="High Street"/>
    <s v="Birmingham"/>
    <s v="Muffin"/>
    <s v="Food"/>
    <n v="5"/>
    <n v="2.2000000000000002"/>
    <s v="Cash"/>
    <s v="C1876"/>
    <n v="11"/>
    <s v="Saturday"/>
    <s v="July"/>
    <n v="2025"/>
  </r>
  <r>
    <x v="2843"/>
    <d v="2025-07-26T00:00:00"/>
    <s v="Riverside"/>
    <s v="London"/>
    <s v="Croissant"/>
    <s v="Food"/>
    <n v="3"/>
    <n v="2.8"/>
    <s v="Cash"/>
    <s v="C1637"/>
    <n v="8.3999999999999986"/>
    <s v="Saturday"/>
    <s v="July"/>
    <n v="2025"/>
  </r>
  <r>
    <x v="2844"/>
    <d v="2025-07-26T00:00:00"/>
    <s v="High Street"/>
    <s v="Leeds"/>
    <s v="Cappuccino"/>
    <s v="Drink"/>
    <n v="2"/>
    <n v="3.8"/>
    <s v="Card"/>
    <s v="C1490"/>
    <n v="7.6"/>
    <s v="Saturday"/>
    <s v="July"/>
    <n v="2025"/>
  </r>
  <r>
    <x v="2845"/>
    <d v="2025-07-26T00:00:00"/>
    <s v="Station"/>
    <s v="Leeds"/>
    <s v="Cappuccino"/>
    <s v="Drink"/>
    <n v="2"/>
    <n v="3.8"/>
    <s v="Cash"/>
    <s v="C1790"/>
    <n v="7.6"/>
    <s v="Saturday"/>
    <s v="July"/>
    <n v="2025"/>
  </r>
  <r>
    <x v="2846"/>
    <d v="2025-07-26T00:00:00"/>
    <s v="High Street"/>
    <s v="Leeds"/>
    <s v="Latte"/>
    <s v="Drink"/>
    <n v="2"/>
    <n v="3.5"/>
    <s v="Apple Pay"/>
    <s v="C1936"/>
    <n v="7"/>
    <s v="Saturday"/>
    <s v="July"/>
    <n v="2025"/>
  </r>
  <r>
    <x v="2847"/>
    <d v="2025-07-26T00:00:00"/>
    <s v="Station"/>
    <s v="Manchester"/>
    <s v="Muffin"/>
    <s v="Food"/>
    <n v="3"/>
    <n v="2.2000000000000002"/>
    <s v="Card"/>
    <s v="C1188"/>
    <n v="6.6000000000000005"/>
    <s v="Saturday"/>
    <s v="July"/>
    <n v="2025"/>
  </r>
  <r>
    <x v="2848"/>
    <d v="2025-07-26T00:00:00"/>
    <s v="Station"/>
    <s v="Bristol"/>
    <s v="Croissant"/>
    <s v="Food"/>
    <n v="1"/>
    <n v="2.8"/>
    <s v="Cash"/>
    <s v="C1041"/>
    <n v="2.8"/>
    <s v="Saturday"/>
    <s v="July"/>
    <n v="2025"/>
  </r>
  <r>
    <x v="2849"/>
    <d v="2025-07-26T00:00:00"/>
    <s v="Station"/>
    <s v="Manchester"/>
    <s v="Espresso"/>
    <s v="Drink"/>
    <n v="1"/>
    <n v="2.5"/>
    <s v="Apple Pay"/>
    <s v="C1984"/>
    <n v="2.5"/>
    <s v="Saturday"/>
    <s v="July"/>
    <n v="2025"/>
  </r>
  <r>
    <x v="2850"/>
    <d v="2025-07-26T00:00:00"/>
    <s v="Station"/>
    <s v="Leeds"/>
    <s v="Muffin"/>
    <s v="Food"/>
    <n v="1"/>
    <n v="2.2000000000000002"/>
    <s v="Cash"/>
    <s v="C1509"/>
    <n v="2.2000000000000002"/>
    <s v="Saturday"/>
    <s v="July"/>
    <n v="2025"/>
  </r>
  <r>
    <x v="2851"/>
    <d v="2025-07-27T00:00:00"/>
    <s v="Central"/>
    <s v="Manchester"/>
    <s v="Latte"/>
    <s v="Drink"/>
    <n v="5"/>
    <n v="3.5"/>
    <s v="Card"/>
    <s v="C1173"/>
    <n v="17.5"/>
    <s v="Sunday"/>
    <s v="July"/>
    <n v="2025"/>
  </r>
  <r>
    <x v="2852"/>
    <d v="2025-07-27T00:00:00"/>
    <s v="Station"/>
    <s v="Leeds"/>
    <s v="Cappuccino"/>
    <s v="Drink"/>
    <n v="4"/>
    <n v="3.8"/>
    <s v="Apple Pay"/>
    <s v="C1516"/>
    <n v="15.2"/>
    <s v="Sunday"/>
    <s v="July"/>
    <n v="2025"/>
  </r>
  <r>
    <x v="2853"/>
    <d v="2025-07-27T00:00:00"/>
    <s v="High Street"/>
    <s v="Birmingham"/>
    <s v="Cappuccino"/>
    <s v="Drink"/>
    <n v="4"/>
    <n v="3.8"/>
    <s v="Card"/>
    <s v="C1010"/>
    <n v="15.2"/>
    <s v="Sunday"/>
    <s v="July"/>
    <n v="2025"/>
  </r>
  <r>
    <x v="2854"/>
    <d v="2025-07-27T00:00:00"/>
    <s v="Riverside"/>
    <s v="Bristol"/>
    <s v="Latte"/>
    <s v="Drink"/>
    <n v="4"/>
    <n v="3.5"/>
    <s v="Card"/>
    <s v="C1215"/>
    <n v="14"/>
    <s v="Sunday"/>
    <s v="July"/>
    <n v="2025"/>
  </r>
  <r>
    <x v="2855"/>
    <d v="2025-07-27T00:00:00"/>
    <s v="Station"/>
    <s v="Birmingham"/>
    <s v="Muffin"/>
    <s v="Food"/>
    <n v="4"/>
    <n v="2.2000000000000002"/>
    <s v="Cash"/>
    <s v="C1556"/>
    <n v="8.8000000000000007"/>
    <s v="Sunday"/>
    <s v="July"/>
    <n v="2025"/>
  </r>
  <r>
    <x v="2856"/>
    <d v="2025-07-27T00:00:00"/>
    <s v="High Street"/>
    <s v="London"/>
    <s v="Cappuccino"/>
    <s v="Drink"/>
    <n v="2"/>
    <n v="3.8"/>
    <s v="Apple Pay"/>
    <s v="C1324"/>
    <n v="7.6"/>
    <s v="Sunday"/>
    <s v="July"/>
    <n v="2025"/>
  </r>
  <r>
    <x v="2857"/>
    <d v="2025-07-27T00:00:00"/>
    <s v="High Street"/>
    <s v="Manchester"/>
    <s v="Latte"/>
    <s v="Drink"/>
    <n v="2"/>
    <n v="3.5"/>
    <s v="Cash"/>
    <s v="C1384"/>
    <n v="7"/>
    <s v="Sunday"/>
    <s v="July"/>
    <n v="2025"/>
  </r>
  <r>
    <x v="2858"/>
    <d v="2025-07-27T00:00:00"/>
    <s v="Riverside"/>
    <s v="Leeds"/>
    <s v="Muffin"/>
    <s v="Food"/>
    <n v="2"/>
    <n v="2.2000000000000002"/>
    <s v="Card"/>
    <s v="C1777"/>
    <n v="4.4000000000000004"/>
    <s v="Sunday"/>
    <s v="July"/>
    <n v="2025"/>
  </r>
  <r>
    <x v="2859"/>
    <d v="2025-07-27T00:00:00"/>
    <s v="Central"/>
    <s v="Bristol"/>
    <s v="Cappuccino"/>
    <s v="Drink"/>
    <n v="1"/>
    <n v="3.8"/>
    <s v="Cash"/>
    <s v="C1614"/>
    <n v="3.8"/>
    <s v="Sunday"/>
    <s v="July"/>
    <n v="2025"/>
  </r>
  <r>
    <x v="2860"/>
    <d v="2025-07-28T00:00:00"/>
    <s v="Central"/>
    <s v="London"/>
    <s v="Cappuccino"/>
    <s v="Drink"/>
    <n v="5"/>
    <n v="3.8"/>
    <s v="Cash"/>
    <s v="C1285"/>
    <n v="19"/>
    <s v="Monday"/>
    <s v="July"/>
    <n v="2025"/>
  </r>
  <r>
    <x v="2861"/>
    <d v="2025-07-28T00:00:00"/>
    <s v="Central"/>
    <s v="Birmingham"/>
    <s v="Latte"/>
    <s v="Drink"/>
    <n v="5"/>
    <n v="3.5"/>
    <s v="Cash"/>
    <s v="C1657"/>
    <n v="17.5"/>
    <s v="Monday"/>
    <s v="July"/>
    <n v="2025"/>
  </r>
  <r>
    <x v="2862"/>
    <d v="2025-07-28T00:00:00"/>
    <s v="Central"/>
    <s v="Leeds"/>
    <s v="Latte"/>
    <s v="Drink"/>
    <n v="5"/>
    <n v="3.5"/>
    <s v="Card"/>
    <s v="C1166"/>
    <n v="17.5"/>
    <s v="Monday"/>
    <s v="July"/>
    <n v="2025"/>
  </r>
  <r>
    <x v="2863"/>
    <d v="2025-07-28T00:00:00"/>
    <s v="High Street"/>
    <s v="Birmingham"/>
    <s v="Latte"/>
    <s v="Drink"/>
    <n v="3"/>
    <n v="3.5"/>
    <s v="Cash"/>
    <s v="C1998"/>
    <n v="10.5"/>
    <s v="Monday"/>
    <s v="July"/>
    <n v="2025"/>
  </r>
  <r>
    <x v="2864"/>
    <d v="2025-07-28T00:00:00"/>
    <s v="Riverside"/>
    <s v="Leeds"/>
    <s v="Espresso"/>
    <s v="Drink"/>
    <n v="4"/>
    <n v="2.5"/>
    <s v="Card"/>
    <s v="C1259"/>
    <n v="10"/>
    <s v="Monday"/>
    <s v="July"/>
    <n v="2025"/>
  </r>
  <r>
    <x v="2865"/>
    <d v="2025-07-28T00:00:00"/>
    <s v="Central"/>
    <s v="London"/>
    <s v="Croissant"/>
    <s v="Food"/>
    <n v="3"/>
    <n v="2.8"/>
    <s v="Cash"/>
    <s v="C1880"/>
    <n v="8.3999999999999986"/>
    <s v="Monday"/>
    <s v="July"/>
    <n v="2025"/>
  </r>
  <r>
    <x v="2866"/>
    <d v="2025-07-28T00:00:00"/>
    <s v="Riverside"/>
    <s v="London"/>
    <s v="Croissant"/>
    <s v="Food"/>
    <n v="3"/>
    <n v="2.8"/>
    <s v="Cash"/>
    <s v="C1780"/>
    <n v="8.3999999999999986"/>
    <s v="Monday"/>
    <s v="July"/>
    <n v="2025"/>
  </r>
  <r>
    <x v="2867"/>
    <d v="2025-07-28T00:00:00"/>
    <s v="High Street"/>
    <s v="Leeds"/>
    <s v="Cappuccino"/>
    <s v="Drink"/>
    <n v="2"/>
    <n v="3.8"/>
    <s v="Cash"/>
    <s v="C1489"/>
    <n v="7.6"/>
    <s v="Monday"/>
    <s v="July"/>
    <n v="2025"/>
  </r>
  <r>
    <x v="2868"/>
    <d v="2025-07-28T00:00:00"/>
    <s v="Riverside"/>
    <s v="Manchester"/>
    <s v="Latte"/>
    <s v="Drink"/>
    <n v="2"/>
    <n v="3.5"/>
    <s v="Apple Pay"/>
    <s v="C1291"/>
    <n v="7"/>
    <s v="Monday"/>
    <s v="July"/>
    <n v="2025"/>
  </r>
  <r>
    <x v="2869"/>
    <d v="2025-07-28T00:00:00"/>
    <s v="High Street"/>
    <s v="London"/>
    <s v="Muffin"/>
    <s v="Food"/>
    <n v="3"/>
    <n v="2.2000000000000002"/>
    <s v="Card"/>
    <s v="C1164"/>
    <n v="6.6000000000000005"/>
    <s v="Monday"/>
    <s v="July"/>
    <n v="2025"/>
  </r>
  <r>
    <x v="2870"/>
    <d v="2025-07-28T00:00:00"/>
    <s v="Riverside"/>
    <s v="London"/>
    <s v="Croissant"/>
    <s v="Food"/>
    <n v="2"/>
    <n v="2.8"/>
    <s v="Apple Pay"/>
    <s v="C1762"/>
    <n v="5.6"/>
    <s v="Monday"/>
    <s v="July"/>
    <n v="2025"/>
  </r>
  <r>
    <x v="2871"/>
    <d v="2025-07-28T00:00:00"/>
    <s v="Station"/>
    <s v="Birmingham"/>
    <s v="Croissant"/>
    <s v="Food"/>
    <n v="2"/>
    <n v="2.8"/>
    <s v="Cash"/>
    <s v="C1169"/>
    <n v="5.6"/>
    <s v="Monday"/>
    <s v="July"/>
    <n v="2025"/>
  </r>
  <r>
    <x v="2872"/>
    <d v="2025-07-28T00:00:00"/>
    <s v="Central"/>
    <s v="London"/>
    <s v="Espresso"/>
    <s v="Drink"/>
    <n v="2"/>
    <n v="2.5"/>
    <s v="Cash"/>
    <s v="C1747"/>
    <n v="5"/>
    <s v="Monday"/>
    <s v="July"/>
    <n v="2025"/>
  </r>
  <r>
    <x v="2873"/>
    <d v="2025-07-28T00:00:00"/>
    <s v="High Street"/>
    <s v="Manchester"/>
    <s v="Muffin"/>
    <s v="Food"/>
    <n v="2"/>
    <n v="2.2000000000000002"/>
    <s v="Cash"/>
    <s v="C1328"/>
    <n v="4.4000000000000004"/>
    <s v="Monday"/>
    <s v="July"/>
    <n v="2025"/>
  </r>
  <r>
    <x v="2874"/>
    <d v="2025-07-29T00:00:00"/>
    <s v="Riverside"/>
    <s v="Bristol"/>
    <s v="Cappuccino"/>
    <s v="Drink"/>
    <n v="4"/>
    <n v="3.8"/>
    <s v="Apple Pay"/>
    <s v="C1040"/>
    <n v="15.2"/>
    <s v="Tuesday"/>
    <s v="July"/>
    <n v="2025"/>
  </r>
  <r>
    <x v="2875"/>
    <d v="2025-07-29T00:00:00"/>
    <s v="Station"/>
    <s v="Birmingham"/>
    <s v="Latte"/>
    <s v="Drink"/>
    <n v="4"/>
    <n v="3.5"/>
    <s v="Apple Pay"/>
    <s v="C1554"/>
    <n v="14"/>
    <s v="Tuesday"/>
    <s v="July"/>
    <n v="2025"/>
  </r>
  <r>
    <x v="2876"/>
    <d v="2025-07-29T00:00:00"/>
    <s v="High Street"/>
    <s v="London"/>
    <s v="Latte"/>
    <s v="Drink"/>
    <n v="4"/>
    <n v="3.5"/>
    <s v="Card"/>
    <s v="C1860"/>
    <n v="14"/>
    <s v="Tuesday"/>
    <s v="July"/>
    <n v="2025"/>
  </r>
  <r>
    <x v="2877"/>
    <d v="2025-07-29T00:00:00"/>
    <s v="High Street"/>
    <s v="Leeds"/>
    <s v="Cappuccino"/>
    <s v="Drink"/>
    <n v="3"/>
    <n v="3.8"/>
    <s v="Cash"/>
    <s v="C1187"/>
    <n v="11.399999999999999"/>
    <s v="Tuesday"/>
    <s v="July"/>
    <n v="2025"/>
  </r>
  <r>
    <x v="2878"/>
    <d v="2025-07-29T00:00:00"/>
    <s v="Station"/>
    <s v="Bristol"/>
    <s v="Croissant"/>
    <s v="Food"/>
    <n v="4"/>
    <n v="2.8"/>
    <s v="Cash"/>
    <s v="C1229"/>
    <n v="11.2"/>
    <s v="Tuesday"/>
    <s v="July"/>
    <n v="2025"/>
  </r>
  <r>
    <x v="2879"/>
    <d v="2025-07-29T00:00:00"/>
    <s v="Central"/>
    <s v="Manchester"/>
    <s v="Croissant"/>
    <s v="Food"/>
    <n v="4"/>
    <n v="2.8"/>
    <s v="Cash"/>
    <s v="C1038"/>
    <n v="11.2"/>
    <s v="Tuesday"/>
    <s v="July"/>
    <n v="2025"/>
  </r>
  <r>
    <x v="2880"/>
    <d v="2025-07-29T00:00:00"/>
    <s v="Central"/>
    <s v="Birmingham"/>
    <s v="Croissant"/>
    <s v="Food"/>
    <n v="4"/>
    <n v="2.8"/>
    <s v="Cash"/>
    <s v="C1635"/>
    <n v="11.2"/>
    <s v="Tuesday"/>
    <s v="July"/>
    <n v="2025"/>
  </r>
  <r>
    <x v="2881"/>
    <d v="2025-07-29T00:00:00"/>
    <s v="Station"/>
    <s v="Bristol"/>
    <s v="Muffin"/>
    <s v="Food"/>
    <n v="5"/>
    <n v="2.2000000000000002"/>
    <s v="Card"/>
    <s v="C1205"/>
    <n v="11"/>
    <s v="Tuesday"/>
    <s v="July"/>
    <n v="2025"/>
  </r>
  <r>
    <x v="2882"/>
    <d v="2025-07-29T00:00:00"/>
    <s v="High Street"/>
    <s v="Bristol"/>
    <s v="Muffin"/>
    <s v="Food"/>
    <n v="5"/>
    <n v="2.2000000000000002"/>
    <s v="Cash"/>
    <s v="C1411"/>
    <n v="11"/>
    <s v="Tuesday"/>
    <s v="July"/>
    <n v="2025"/>
  </r>
  <r>
    <x v="2883"/>
    <d v="2025-07-29T00:00:00"/>
    <s v="High Street"/>
    <s v="Birmingham"/>
    <s v="Espresso"/>
    <s v="Drink"/>
    <n v="4"/>
    <n v="2.5"/>
    <s v="Cash"/>
    <s v="C1834"/>
    <n v="10"/>
    <s v="Tuesday"/>
    <s v="July"/>
    <n v="2025"/>
  </r>
  <r>
    <x v="2884"/>
    <d v="2025-07-29T00:00:00"/>
    <s v="Station"/>
    <s v="Birmingham"/>
    <s v="Espresso"/>
    <s v="Drink"/>
    <n v="4"/>
    <n v="2.5"/>
    <s v="Apple Pay"/>
    <s v="C1138"/>
    <n v="10"/>
    <s v="Tuesday"/>
    <s v="July"/>
    <n v="2025"/>
  </r>
  <r>
    <x v="2885"/>
    <d v="2025-07-29T00:00:00"/>
    <s v="Station"/>
    <s v="Leeds"/>
    <s v="Muffin"/>
    <s v="Food"/>
    <n v="4"/>
    <n v="2.2000000000000002"/>
    <s v="Card"/>
    <s v="C1036"/>
    <n v="8.8000000000000007"/>
    <s v="Tuesday"/>
    <s v="July"/>
    <n v="2025"/>
  </r>
  <r>
    <x v="2886"/>
    <d v="2025-07-29T00:00:00"/>
    <s v="High Street"/>
    <s v="Bristol"/>
    <s v="Cappuccino"/>
    <s v="Drink"/>
    <n v="2"/>
    <n v="3.8"/>
    <s v="Card"/>
    <s v="C1687"/>
    <n v="7.6"/>
    <s v="Tuesday"/>
    <s v="July"/>
    <n v="2025"/>
  </r>
  <r>
    <x v="2887"/>
    <d v="2025-07-29T00:00:00"/>
    <s v="Station"/>
    <s v="Manchester"/>
    <s v="Cappuccino"/>
    <s v="Drink"/>
    <n v="2"/>
    <n v="3.8"/>
    <s v="Cash"/>
    <s v="C1939"/>
    <n v="7.6"/>
    <s v="Tuesday"/>
    <s v="July"/>
    <n v="2025"/>
  </r>
  <r>
    <x v="2888"/>
    <d v="2025-07-29T00:00:00"/>
    <s v="Central"/>
    <s v="Leeds"/>
    <s v="Latte"/>
    <s v="Drink"/>
    <n v="2"/>
    <n v="3.5"/>
    <s v="Cash"/>
    <s v="C1838"/>
    <n v="7"/>
    <s v="Tuesday"/>
    <s v="July"/>
    <n v="2025"/>
  </r>
  <r>
    <x v="2889"/>
    <d v="2025-07-29T00:00:00"/>
    <s v="High Street"/>
    <s v="Leeds"/>
    <s v="Croissant"/>
    <s v="Food"/>
    <n v="2"/>
    <n v="2.8"/>
    <s v="Apple Pay"/>
    <s v="C1960"/>
    <n v="5.6"/>
    <s v="Tuesday"/>
    <s v="July"/>
    <n v="2025"/>
  </r>
  <r>
    <x v="2890"/>
    <d v="2025-07-29T00:00:00"/>
    <s v="Riverside"/>
    <s v="London"/>
    <s v="Croissant"/>
    <s v="Food"/>
    <n v="2"/>
    <n v="2.8"/>
    <s v="Apple Pay"/>
    <s v="C1360"/>
    <n v="5.6"/>
    <s v="Tuesday"/>
    <s v="July"/>
    <n v="2025"/>
  </r>
  <r>
    <x v="2891"/>
    <d v="2025-07-29T00:00:00"/>
    <s v="High Street"/>
    <s v="Leeds"/>
    <s v="Muffin"/>
    <s v="Food"/>
    <n v="1"/>
    <n v="2.2000000000000002"/>
    <s v="Cash"/>
    <s v="C1805"/>
    <n v="2.2000000000000002"/>
    <s v="Tuesday"/>
    <s v="July"/>
    <n v="2025"/>
  </r>
  <r>
    <x v="2892"/>
    <d v="2025-07-29T00:00:00"/>
    <s v="Central"/>
    <s v="Birmingham"/>
    <s v="Muffin"/>
    <s v="Food"/>
    <n v="1"/>
    <n v="2.2000000000000002"/>
    <s v="Card"/>
    <s v="C1593"/>
    <n v="2.2000000000000002"/>
    <s v="Tuesday"/>
    <s v="July"/>
    <n v="2025"/>
  </r>
  <r>
    <x v="2893"/>
    <d v="2025-07-29T00:00:00"/>
    <s v="High Street"/>
    <s v="London"/>
    <s v="Muffin"/>
    <s v="Food"/>
    <n v="1"/>
    <n v="2.2000000000000002"/>
    <s v="Card"/>
    <s v="C1339"/>
    <n v="2.2000000000000002"/>
    <s v="Tuesday"/>
    <s v="July"/>
    <n v="2025"/>
  </r>
  <r>
    <x v="2894"/>
    <d v="2025-07-30T00:00:00"/>
    <s v="High Street"/>
    <s v="London"/>
    <s v="Croissant"/>
    <s v="Food"/>
    <n v="5"/>
    <n v="2.8"/>
    <s v="Card"/>
    <s v="C1861"/>
    <n v="14"/>
    <s v="Wednesday"/>
    <s v="July"/>
    <n v="2025"/>
  </r>
  <r>
    <x v="2895"/>
    <d v="2025-07-30T00:00:00"/>
    <s v="Station"/>
    <s v="London"/>
    <s v="Croissant"/>
    <s v="Food"/>
    <n v="3"/>
    <n v="2.8"/>
    <s v="Apple Pay"/>
    <s v="C1160"/>
    <n v="8.3999999999999986"/>
    <s v="Wednesday"/>
    <s v="July"/>
    <n v="2025"/>
  </r>
  <r>
    <x v="2896"/>
    <d v="2025-07-30T00:00:00"/>
    <s v="High Street"/>
    <s v="Manchester"/>
    <s v="Espresso"/>
    <s v="Drink"/>
    <n v="3"/>
    <n v="2.5"/>
    <s v="Apple Pay"/>
    <s v="C1918"/>
    <n v="7.5"/>
    <s v="Wednesday"/>
    <s v="July"/>
    <n v="2025"/>
  </r>
  <r>
    <x v="2897"/>
    <d v="2025-07-30T00:00:00"/>
    <s v="Riverside"/>
    <s v="Manchester"/>
    <s v="Croissant"/>
    <s v="Food"/>
    <n v="2"/>
    <n v="2.8"/>
    <s v="Apple Pay"/>
    <s v="C1180"/>
    <n v="5.6"/>
    <s v="Wednesday"/>
    <s v="July"/>
    <n v="2025"/>
  </r>
  <r>
    <x v="2898"/>
    <d v="2025-07-30T00:00:00"/>
    <s v="Central"/>
    <s v="Bristol"/>
    <s v="Muffin"/>
    <s v="Food"/>
    <n v="1"/>
    <n v="2.2000000000000002"/>
    <s v="Apple Pay"/>
    <s v="C1050"/>
    <n v="2.2000000000000002"/>
    <s v="Wednesday"/>
    <s v="July"/>
    <n v="2025"/>
  </r>
  <r>
    <x v="2899"/>
    <d v="2025-07-30T00:00:00"/>
    <s v="High Street"/>
    <s v="Leeds"/>
    <s v="Muffin"/>
    <s v="Food"/>
    <n v="1"/>
    <n v="2.2000000000000002"/>
    <s v="Cash"/>
    <s v="C1528"/>
    <n v="2.2000000000000002"/>
    <s v="Wednesday"/>
    <s v="July"/>
    <n v="2025"/>
  </r>
  <r>
    <x v="2900"/>
    <d v="2025-07-31T00:00:00"/>
    <s v="Station"/>
    <s v="Bristol"/>
    <s v="Latte"/>
    <s v="Drink"/>
    <n v="5"/>
    <n v="3.5"/>
    <s v="Cash"/>
    <s v="C1393"/>
    <n v="17.5"/>
    <s v="Thursday"/>
    <s v="July"/>
    <n v="2025"/>
  </r>
  <r>
    <x v="2901"/>
    <d v="2025-07-31T00:00:00"/>
    <s v="Station"/>
    <s v="Leeds"/>
    <s v="Espresso"/>
    <s v="Drink"/>
    <n v="5"/>
    <n v="2.5"/>
    <s v="Card"/>
    <s v="C1873"/>
    <n v="12.5"/>
    <s v="Thursday"/>
    <s v="July"/>
    <n v="2025"/>
  </r>
  <r>
    <x v="2902"/>
    <d v="2025-07-31T00:00:00"/>
    <s v="Riverside"/>
    <s v="Manchester"/>
    <s v="Croissant"/>
    <s v="Food"/>
    <n v="4"/>
    <n v="2.8"/>
    <s v="Card"/>
    <s v="C1779"/>
    <n v="11.2"/>
    <s v="Thursday"/>
    <s v="July"/>
    <n v="2025"/>
  </r>
  <r>
    <x v="2903"/>
    <d v="2025-07-31T00:00:00"/>
    <s v="High Street"/>
    <s v="London"/>
    <s v="Espresso"/>
    <s v="Drink"/>
    <n v="4"/>
    <n v="2.5"/>
    <s v="Card"/>
    <s v="C1191"/>
    <n v="10"/>
    <s v="Thursday"/>
    <s v="July"/>
    <n v="2025"/>
  </r>
  <r>
    <x v="2904"/>
    <d v="2025-07-31T00:00:00"/>
    <s v="Riverside"/>
    <s v="Manchester"/>
    <s v="Espresso"/>
    <s v="Drink"/>
    <n v="4"/>
    <n v="2.5"/>
    <s v="Cash"/>
    <s v="C1731"/>
    <n v="10"/>
    <s v="Thursday"/>
    <s v="July"/>
    <n v="2025"/>
  </r>
  <r>
    <x v="2905"/>
    <d v="2025-07-31T00:00:00"/>
    <s v="Central"/>
    <s v="Birmingham"/>
    <s v="Muffin"/>
    <s v="Food"/>
    <n v="4"/>
    <n v="2.2000000000000002"/>
    <s v="Card"/>
    <s v="C1728"/>
    <n v="8.8000000000000007"/>
    <s v="Thursday"/>
    <s v="July"/>
    <n v="2025"/>
  </r>
  <r>
    <x v="2906"/>
    <d v="2025-07-31T00:00:00"/>
    <s v="High Street"/>
    <s v="Leeds"/>
    <s v="Croissant"/>
    <s v="Food"/>
    <n v="3"/>
    <n v="2.8"/>
    <s v="Apple Pay"/>
    <s v="C1845"/>
    <n v="8.3999999999999986"/>
    <s v="Thursday"/>
    <s v="July"/>
    <n v="2025"/>
  </r>
  <r>
    <x v="2907"/>
    <d v="2025-07-31T00:00:00"/>
    <s v="High Street"/>
    <s v="Birmingham"/>
    <s v="Latte"/>
    <s v="Drink"/>
    <n v="2"/>
    <n v="3.5"/>
    <s v="Card"/>
    <s v="C1978"/>
    <n v="7"/>
    <s v="Thursday"/>
    <s v="July"/>
    <n v="2025"/>
  </r>
  <r>
    <x v="2908"/>
    <d v="2025-07-31T00:00:00"/>
    <s v="Riverside"/>
    <s v="Manchester"/>
    <s v="Croissant"/>
    <s v="Food"/>
    <n v="2"/>
    <n v="2.8"/>
    <s v="Card"/>
    <s v="C1725"/>
    <n v="5.6"/>
    <s v="Thursday"/>
    <s v="July"/>
    <n v="2025"/>
  </r>
  <r>
    <x v="2909"/>
    <d v="2025-07-31T00:00:00"/>
    <s v="Riverside"/>
    <s v="Manchester"/>
    <s v="Cappuccino"/>
    <s v="Drink"/>
    <n v="1"/>
    <n v="3.8"/>
    <s v="Cash"/>
    <s v="C1256"/>
    <n v="3.8"/>
    <s v="Thursday"/>
    <s v="July"/>
    <n v="2025"/>
  </r>
  <r>
    <x v="2910"/>
    <d v="2025-07-31T00:00:00"/>
    <s v="High Street"/>
    <s v="Birmingham"/>
    <s v="Muffin"/>
    <s v="Food"/>
    <n v="1"/>
    <n v="2.2000000000000002"/>
    <s v="Apple Pay"/>
    <s v="C1607"/>
    <n v="2.2000000000000002"/>
    <s v="Thursday"/>
    <s v="July"/>
    <n v="2025"/>
  </r>
  <r>
    <x v="2911"/>
    <d v="2025-07-31T00:00:00"/>
    <s v="Riverside"/>
    <s v="Leeds"/>
    <s v="Muffin"/>
    <s v="Food"/>
    <n v="1"/>
    <n v="2.2000000000000002"/>
    <s v="Cash"/>
    <s v="C1840"/>
    <n v="2.2000000000000002"/>
    <s v="Thursday"/>
    <s v="July"/>
    <n v="2025"/>
  </r>
  <r>
    <x v="2912"/>
    <d v="2025-08-01T00:00:00"/>
    <s v="Riverside"/>
    <s v="Leeds"/>
    <s v="Latte"/>
    <s v="Drink"/>
    <n v="5"/>
    <n v="3.5"/>
    <s v="Apple Pay"/>
    <s v="C1333"/>
    <n v="17.5"/>
    <s v="Friday"/>
    <s v="August"/>
    <n v="2025"/>
  </r>
  <r>
    <x v="2913"/>
    <d v="2025-08-01T00:00:00"/>
    <s v="Station"/>
    <s v="Bristol"/>
    <s v="Latte"/>
    <s v="Drink"/>
    <n v="5"/>
    <n v="3.5"/>
    <s v="Card"/>
    <s v="C1367"/>
    <n v="17.5"/>
    <s v="Friday"/>
    <s v="August"/>
    <n v="2025"/>
  </r>
  <r>
    <x v="2914"/>
    <d v="2025-08-01T00:00:00"/>
    <s v="Central"/>
    <s v="Manchester"/>
    <s v="Latte"/>
    <s v="Drink"/>
    <n v="4"/>
    <n v="3.5"/>
    <s v="Card"/>
    <s v="C1655"/>
    <n v="14"/>
    <s v="Friday"/>
    <s v="August"/>
    <n v="2025"/>
  </r>
  <r>
    <x v="2915"/>
    <d v="2025-08-01T00:00:00"/>
    <s v="Riverside"/>
    <s v="Birmingham"/>
    <s v="Cappuccino"/>
    <s v="Drink"/>
    <n v="3"/>
    <n v="3.8"/>
    <s v="Card"/>
    <s v="C1509"/>
    <n v="11.399999999999999"/>
    <s v="Friday"/>
    <s v="August"/>
    <n v="2025"/>
  </r>
  <r>
    <x v="2916"/>
    <d v="2025-08-01T00:00:00"/>
    <s v="High Street"/>
    <s v="Birmingham"/>
    <s v="Cappuccino"/>
    <s v="Drink"/>
    <n v="3"/>
    <n v="3.8"/>
    <s v="Apple Pay"/>
    <s v="C1642"/>
    <n v="11.399999999999999"/>
    <s v="Friday"/>
    <s v="August"/>
    <n v="2025"/>
  </r>
  <r>
    <x v="2917"/>
    <d v="2025-08-01T00:00:00"/>
    <s v="High Street"/>
    <s v="Birmingham"/>
    <s v="Croissant"/>
    <s v="Food"/>
    <n v="4"/>
    <n v="2.8"/>
    <s v="Cash"/>
    <s v="C1557"/>
    <n v="11.2"/>
    <s v="Friday"/>
    <s v="August"/>
    <n v="2025"/>
  </r>
  <r>
    <x v="2918"/>
    <d v="2025-08-01T00:00:00"/>
    <s v="Station"/>
    <s v="Leeds"/>
    <s v="Espresso"/>
    <s v="Drink"/>
    <n v="4"/>
    <n v="2.5"/>
    <s v="Cash"/>
    <s v="C1713"/>
    <n v="10"/>
    <s v="Friday"/>
    <s v="August"/>
    <n v="2025"/>
  </r>
  <r>
    <x v="2919"/>
    <d v="2025-08-01T00:00:00"/>
    <s v="Riverside"/>
    <s v="Bristol"/>
    <s v="Muffin"/>
    <s v="Food"/>
    <n v="4"/>
    <n v="2.2000000000000002"/>
    <s v="Apple Pay"/>
    <s v="C1616"/>
    <n v="8.8000000000000007"/>
    <s v="Friday"/>
    <s v="August"/>
    <n v="2025"/>
  </r>
  <r>
    <x v="2920"/>
    <d v="2025-08-01T00:00:00"/>
    <s v="High Street"/>
    <s v="Manchester"/>
    <s v="Croissant"/>
    <s v="Food"/>
    <n v="3"/>
    <n v="2.8"/>
    <s v="Cash"/>
    <s v="C1864"/>
    <n v="8.3999999999999986"/>
    <s v="Friday"/>
    <s v="August"/>
    <n v="2025"/>
  </r>
  <r>
    <x v="2921"/>
    <d v="2025-08-01T00:00:00"/>
    <s v="Station"/>
    <s v="London"/>
    <s v="Latte"/>
    <s v="Drink"/>
    <n v="2"/>
    <n v="3.5"/>
    <s v="Card"/>
    <s v="C1082"/>
    <n v="7"/>
    <s v="Friday"/>
    <s v="August"/>
    <n v="2025"/>
  </r>
  <r>
    <x v="2922"/>
    <d v="2025-08-01T00:00:00"/>
    <s v="High Street"/>
    <s v="Birmingham"/>
    <s v="Muffin"/>
    <s v="Food"/>
    <n v="3"/>
    <n v="2.2000000000000002"/>
    <s v="Cash"/>
    <s v="C1542"/>
    <n v="6.6000000000000005"/>
    <s v="Friday"/>
    <s v="August"/>
    <n v="2025"/>
  </r>
  <r>
    <x v="2923"/>
    <d v="2025-08-01T00:00:00"/>
    <s v="Station"/>
    <s v="Manchester"/>
    <s v="Muffin"/>
    <s v="Food"/>
    <n v="3"/>
    <n v="2.2000000000000002"/>
    <s v="Card"/>
    <s v="C1321"/>
    <n v="6.6000000000000005"/>
    <s v="Friday"/>
    <s v="August"/>
    <n v="2025"/>
  </r>
  <r>
    <x v="2924"/>
    <d v="2025-08-01T00:00:00"/>
    <s v="Station"/>
    <s v="Birmingham"/>
    <s v="Muffin"/>
    <s v="Food"/>
    <n v="2"/>
    <n v="2.2000000000000002"/>
    <s v="Cash"/>
    <s v="C1442"/>
    <n v="4.4000000000000004"/>
    <s v="Friday"/>
    <s v="August"/>
    <n v="2025"/>
  </r>
  <r>
    <x v="2925"/>
    <d v="2025-08-01T00:00:00"/>
    <s v="Central"/>
    <s v="Birmingham"/>
    <s v="Muffin"/>
    <s v="Food"/>
    <n v="2"/>
    <n v="2.2000000000000002"/>
    <s v="Card"/>
    <s v="C1263"/>
    <n v="4.4000000000000004"/>
    <s v="Friday"/>
    <s v="August"/>
    <n v="2025"/>
  </r>
  <r>
    <x v="2926"/>
    <d v="2025-08-01T00:00:00"/>
    <s v="High Street"/>
    <s v="Manchester"/>
    <s v="Latte"/>
    <s v="Drink"/>
    <n v="1"/>
    <n v="3.5"/>
    <s v="Apple Pay"/>
    <s v="C1472"/>
    <n v="3.5"/>
    <s v="Friday"/>
    <s v="August"/>
    <n v="2025"/>
  </r>
  <r>
    <x v="2927"/>
    <d v="2025-08-01T00:00:00"/>
    <s v="Central"/>
    <s v="Manchester"/>
    <s v="Muffin"/>
    <s v="Food"/>
    <n v="1"/>
    <n v="2.2000000000000002"/>
    <s v="Apple Pay"/>
    <s v="C1564"/>
    <n v="2.2000000000000002"/>
    <s v="Friday"/>
    <s v="August"/>
    <n v="2025"/>
  </r>
  <r>
    <x v="2928"/>
    <d v="2025-08-02T00:00:00"/>
    <s v="Riverside"/>
    <s v="Birmingham"/>
    <s v="Cappuccino"/>
    <s v="Drink"/>
    <n v="5"/>
    <n v="3.8"/>
    <s v="Cash"/>
    <s v="C1115"/>
    <n v="19"/>
    <s v="Saturday"/>
    <s v="August"/>
    <n v="2025"/>
  </r>
  <r>
    <x v="2929"/>
    <d v="2025-08-02T00:00:00"/>
    <s v="Central"/>
    <s v="Leeds"/>
    <s v="Croissant"/>
    <s v="Food"/>
    <n v="5"/>
    <n v="2.8"/>
    <s v="Apple Pay"/>
    <s v="C1525"/>
    <n v="14"/>
    <s v="Saturday"/>
    <s v="August"/>
    <n v="2025"/>
  </r>
  <r>
    <x v="2930"/>
    <d v="2025-08-02T00:00:00"/>
    <s v="Station"/>
    <s v="Bristol"/>
    <s v="Croissant"/>
    <s v="Food"/>
    <n v="4"/>
    <n v="2.8"/>
    <s v="Apple Pay"/>
    <s v="C1825"/>
    <n v="11.2"/>
    <s v="Saturday"/>
    <s v="August"/>
    <n v="2025"/>
  </r>
  <r>
    <x v="2931"/>
    <d v="2025-08-02T00:00:00"/>
    <s v="High Street"/>
    <s v="Bristol"/>
    <s v="Muffin"/>
    <s v="Food"/>
    <n v="5"/>
    <n v="2.2000000000000002"/>
    <s v="Apple Pay"/>
    <s v="C1503"/>
    <n v="11"/>
    <s v="Saturday"/>
    <s v="August"/>
    <n v="2025"/>
  </r>
  <r>
    <x v="2932"/>
    <d v="2025-08-02T00:00:00"/>
    <s v="Central"/>
    <s v="London"/>
    <s v="Latte"/>
    <s v="Drink"/>
    <n v="3"/>
    <n v="3.5"/>
    <s v="Cash"/>
    <s v="C1605"/>
    <n v="10.5"/>
    <s v="Saturday"/>
    <s v="August"/>
    <n v="2025"/>
  </r>
  <r>
    <x v="2933"/>
    <d v="2025-08-02T00:00:00"/>
    <s v="Central"/>
    <s v="Leeds"/>
    <s v="Latte"/>
    <s v="Drink"/>
    <n v="3"/>
    <n v="3.5"/>
    <s v="Apple Pay"/>
    <s v="C1536"/>
    <n v="10.5"/>
    <s v="Saturday"/>
    <s v="August"/>
    <n v="2025"/>
  </r>
  <r>
    <x v="2934"/>
    <d v="2025-08-02T00:00:00"/>
    <s v="Central"/>
    <s v="London"/>
    <s v="Muffin"/>
    <s v="Food"/>
    <n v="3"/>
    <n v="2.2000000000000002"/>
    <s v="Cash"/>
    <s v="C1305"/>
    <n v="6.6000000000000005"/>
    <s v="Saturday"/>
    <s v="August"/>
    <n v="2025"/>
  </r>
  <r>
    <x v="2935"/>
    <d v="2025-08-02T00:00:00"/>
    <s v="Station"/>
    <s v="Leeds"/>
    <s v="Croissant"/>
    <s v="Food"/>
    <n v="2"/>
    <n v="2.8"/>
    <s v="Cash"/>
    <s v="C1489"/>
    <n v="5.6"/>
    <s v="Saturday"/>
    <s v="August"/>
    <n v="2025"/>
  </r>
  <r>
    <x v="2936"/>
    <d v="2025-08-02T00:00:00"/>
    <s v="Riverside"/>
    <s v="N/A"/>
    <s v="Latte"/>
    <s v="Drink"/>
    <n v="1"/>
    <n v="3.5"/>
    <s v="Cash"/>
    <s v="C1474"/>
    <n v="3.5"/>
    <s v="Saturday"/>
    <s v="August"/>
    <n v="2025"/>
  </r>
  <r>
    <x v="2937"/>
    <d v="2025-08-02T00:00:00"/>
    <s v="Station"/>
    <s v="Birmingham"/>
    <s v="Croissant"/>
    <s v="Food"/>
    <n v="1"/>
    <n v="2.8"/>
    <s v="Card"/>
    <s v="C1745"/>
    <n v="2.8"/>
    <s v="Saturday"/>
    <s v="August"/>
    <n v="2025"/>
  </r>
  <r>
    <x v="2938"/>
    <d v="2025-08-02T00:00:00"/>
    <s v="Riverside"/>
    <s v="Leeds"/>
    <s v="Espresso"/>
    <s v="Drink"/>
    <n v="1"/>
    <n v="2.5"/>
    <s v="Cash"/>
    <s v="C1507"/>
    <n v="2.5"/>
    <s v="Saturday"/>
    <s v="August"/>
    <n v="2025"/>
  </r>
  <r>
    <x v="2939"/>
    <d v="2025-08-03T00:00:00"/>
    <s v="Central"/>
    <s v="Birmingham"/>
    <s v="Cappuccino"/>
    <s v="Drink"/>
    <n v="3"/>
    <n v="3.8"/>
    <s v="Apple Pay"/>
    <s v="C1705"/>
    <n v="11.399999999999999"/>
    <s v="Sunday"/>
    <s v="August"/>
    <n v="2025"/>
  </r>
  <r>
    <x v="2940"/>
    <d v="2025-08-03T00:00:00"/>
    <s v="Station"/>
    <s v="London"/>
    <s v="Muffin"/>
    <s v="Food"/>
    <n v="5"/>
    <n v="2.2000000000000002"/>
    <s v="Apple Pay"/>
    <s v="C1250"/>
    <n v="11"/>
    <s v="Sunday"/>
    <s v="August"/>
    <n v="2025"/>
  </r>
  <r>
    <x v="2941"/>
    <d v="2025-08-03T00:00:00"/>
    <s v="Riverside"/>
    <s v="Birmingham"/>
    <s v="Espresso"/>
    <s v="Drink"/>
    <n v="4"/>
    <n v="2.5"/>
    <s v="Card"/>
    <s v="C1424"/>
    <n v="10"/>
    <s v="Sunday"/>
    <s v="August"/>
    <n v="2025"/>
  </r>
  <r>
    <x v="2942"/>
    <d v="2025-08-03T00:00:00"/>
    <s v="Riverside"/>
    <s v="Manchester"/>
    <s v="Croissant"/>
    <s v="Food"/>
    <n v="3"/>
    <n v="2.8"/>
    <s v="Card"/>
    <s v="C1639"/>
    <n v="8.3999999999999986"/>
    <s v="Sunday"/>
    <s v="August"/>
    <n v="2025"/>
  </r>
  <r>
    <x v="2943"/>
    <d v="2025-08-03T00:00:00"/>
    <s v="High Street"/>
    <s v="Manchester"/>
    <s v="Croissant"/>
    <s v="Food"/>
    <n v="3"/>
    <n v="2.8"/>
    <s v="Apple Pay"/>
    <s v="C1147"/>
    <n v="8.3999999999999986"/>
    <s v="Sunday"/>
    <s v="August"/>
    <n v="2025"/>
  </r>
  <r>
    <x v="2944"/>
    <d v="2025-08-03T00:00:00"/>
    <s v="Central"/>
    <s v="Leeds"/>
    <s v="Latte"/>
    <s v="Drink"/>
    <n v="2"/>
    <n v="3.5"/>
    <s v="Cash"/>
    <s v="C1011"/>
    <n v="7"/>
    <s v="Sunday"/>
    <s v="August"/>
    <n v="2025"/>
  </r>
  <r>
    <x v="2945"/>
    <d v="2025-08-03T00:00:00"/>
    <s v="Central"/>
    <s v="Leeds"/>
    <s v="Muffin"/>
    <s v="Food"/>
    <n v="2"/>
    <n v="2.2000000000000002"/>
    <s v="Apple Pay"/>
    <s v="C1132"/>
    <n v="4.4000000000000004"/>
    <s v="Sunday"/>
    <s v="August"/>
    <n v="2025"/>
  </r>
  <r>
    <x v="2946"/>
    <d v="2025-08-03T00:00:00"/>
    <s v="Station"/>
    <s v="Bristol"/>
    <s v="Cappuccino"/>
    <s v="Drink"/>
    <n v="1"/>
    <n v="3.8"/>
    <s v="Card"/>
    <s v="C1003"/>
    <n v="3.8"/>
    <s v="Sunday"/>
    <s v="August"/>
    <n v="2025"/>
  </r>
  <r>
    <x v="2947"/>
    <d v="2025-08-04T00:00:00"/>
    <s v="Central"/>
    <s v="Birmingham"/>
    <s v="Cappuccino"/>
    <s v="Drink"/>
    <n v="5"/>
    <n v="3.8"/>
    <s v="Apple Pay"/>
    <s v="C1099"/>
    <n v="19"/>
    <s v="Monday"/>
    <s v="August"/>
    <n v="2025"/>
  </r>
  <r>
    <x v="2948"/>
    <d v="2025-08-04T00:00:00"/>
    <s v="Central"/>
    <s v="Bristol"/>
    <s v="Latte"/>
    <s v="Drink"/>
    <n v="5"/>
    <n v="3.5"/>
    <s v="Cash"/>
    <s v="C1966"/>
    <n v="17.5"/>
    <s v="Monday"/>
    <s v="August"/>
    <n v="2025"/>
  </r>
  <r>
    <x v="2949"/>
    <d v="2025-08-04T00:00:00"/>
    <s v="Central"/>
    <s v="Birmingham"/>
    <s v="Cappuccino"/>
    <s v="Drink"/>
    <n v="4"/>
    <n v="3.8"/>
    <s v="Apple Pay"/>
    <s v="C1974"/>
    <n v="15.2"/>
    <s v="Monday"/>
    <s v="August"/>
    <n v="2025"/>
  </r>
  <r>
    <x v="2950"/>
    <d v="2025-08-04T00:00:00"/>
    <s v="High Street"/>
    <s v="Manchester"/>
    <s v="Latte"/>
    <s v="Drink"/>
    <n v="4"/>
    <n v="3.5"/>
    <s v="Cash"/>
    <s v="C1377"/>
    <n v="14"/>
    <s v="Monday"/>
    <s v="August"/>
    <n v="2025"/>
  </r>
  <r>
    <x v="2951"/>
    <d v="2025-08-04T00:00:00"/>
    <s v="Central"/>
    <s v="London"/>
    <s v="Croissant"/>
    <s v="Food"/>
    <n v="5"/>
    <n v="2.8"/>
    <s v="Cash"/>
    <s v="C1441"/>
    <n v="14"/>
    <s v="Monday"/>
    <s v="August"/>
    <n v="2025"/>
  </r>
  <r>
    <x v="2952"/>
    <d v="2025-08-04T00:00:00"/>
    <s v="Central"/>
    <s v="Manchester"/>
    <s v="Croissant"/>
    <s v="Food"/>
    <n v="5"/>
    <n v="2.8"/>
    <s v="Cash"/>
    <s v="C1734"/>
    <n v="14"/>
    <s v="Monday"/>
    <s v="August"/>
    <n v="2025"/>
  </r>
  <r>
    <x v="2953"/>
    <d v="2025-08-04T00:00:00"/>
    <s v="High Street"/>
    <s v="Leeds"/>
    <s v="Croissant"/>
    <s v="Food"/>
    <n v="4"/>
    <n v="2.8"/>
    <s v="Apple Pay"/>
    <s v="C1362"/>
    <n v="11.2"/>
    <s v="Monday"/>
    <s v="August"/>
    <n v="2025"/>
  </r>
  <r>
    <x v="2954"/>
    <d v="2025-08-04T00:00:00"/>
    <s v="Central"/>
    <s v="Birmingham"/>
    <s v="Muffin"/>
    <s v="Food"/>
    <n v="4"/>
    <n v="2.2000000000000002"/>
    <s v="Cash"/>
    <s v="C1055"/>
    <n v="8.8000000000000007"/>
    <s v="Monday"/>
    <s v="August"/>
    <n v="2025"/>
  </r>
  <r>
    <x v="2955"/>
    <d v="2025-08-04T00:00:00"/>
    <s v="High Street"/>
    <s v="Bristol"/>
    <s v="Espresso"/>
    <s v="Drink"/>
    <n v="3"/>
    <n v="2.5"/>
    <s v="Apple Pay"/>
    <s v="C1994"/>
    <n v="7.5"/>
    <s v="Monday"/>
    <s v="August"/>
    <n v="2025"/>
  </r>
  <r>
    <x v="2956"/>
    <d v="2025-08-04T00:00:00"/>
    <s v="High Street"/>
    <s v="Bristol"/>
    <s v="Latte"/>
    <s v="Drink"/>
    <n v="2"/>
    <n v="3.5"/>
    <s v="Apple Pay"/>
    <s v="C1957"/>
    <n v="7"/>
    <s v="Monday"/>
    <s v="August"/>
    <n v="2025"/>
  </r>
  <r>
    <x v="2957"/>
    <d v="2025-08-04T00:00:00"/>
    <s v="Station"/>
    <s v="Bristol"/>
    <s v="Latte"/>
    <s v="Drink"/>
    <n v="2"/>
    <n v="3.5"/>
    <s v="Cash"/>
    <s v="C1775"/>
    <n v="7"/>
    <s v="Monday"/>
    <s v="August"/>
    <n v="2025"/>
  </r>
  <r>
    <x v="2958"/>
    <d v="2025-08-04T00:00:00"/>
    <s v="Riverside"/>
    <s v="Bristol"/>
    <s v="Muffin"/>
    <s v="Food"/>
    <n v="3"/>
    <n v="2.2000000000000002"/>
    <s v="Card"/>
    <s v="C1388"/>
    <n v="6.6000000000000005"/>
    <s v="Monday"/>
    <s v="August"/>
    <n v="2025"/>
  </r>
  <r>
    <x v="2959"/>
    <d v="2025-08-04T00:00:00"/>
    <s v="High Street"/>
    <s v="Manchester"/>
    <s v="Croissant"/>
    <s v="Food"/>
    <n v="2"/>
    <n v="2.8"/>
    <s v="Apple Pay"/>
    <s v="C1746"/>
    <n v="5.6"/>
    <s v="Monday"/>
    <s v="August"/>
    <n v="2025"/>
  </r>
  <r>
    <x v="2960"/>
    <d v="2025-08-04T00:00:00"/>
    <s v="High Street"/>
    <s v="London"/>
    <s v="Croissant"/>
    <s v="Food"/>
    <n v="2"/>
    <n v="2.8"/>
    <s v="Cash"/>
    <s v="C1541"/>
    <n v="5.6"/>
    <s v="Monday"/>
    <s v="August"/>
    <n v="2025"/>
  </r>
  <r>
    <x v="2961"/>
    <d v="2025-08-04T00:00:00"/>
    <s v="High Street"/>
    <s v="Leeds"/>
    <s v="Espresso"/>
    <s v="Drink"/>
    <n v="2"/>
    <n v="2.5"/>
    <s v="Cash"/>
    <s v="C1289"/>
    <n v="5"/>
    <s v="Monday"/>
    <s v="August"/>
    <n v="2025"/>
  </r>
  <r>
    <x v="2962"/>
    <d v="2025-08-04T00:00:00"/>
    <s v="High Street"/>
    <s v="Manchester"/>
    <s v="Muffin"/>
    <s v="Food"/>
    <n v="2"/>
    <n v="2.2000000000000002"/>
    <s v="Card"/>
    <s v="C1811"/>
    <n v="4.4000000000000004"/>
    <s v="Monday"/>
    <s v="August"/>
    <n v="2025"/>
  </r>
  <r>
    <x v="2963"/>
    <d v="2025-08-04T00:00:00"/>
    <s v="Central"/>
    <s v="Birmingham"/>
    <s v="Croissant"/>
    <s v="Food"/>
    <n v="1"/>
    <n v="2.8"/>
    <s v="Apple Pay"/>
    <s v="C1470"/>
    <n v="2.8"/>
    <s v="Monday"/>
    <s v="August"/>
    <n v="2025"/>
  </r>
  <r>
    <x v="2964"/>
    <d v="2025-08-04T00:00:00"/>
    <s v="Riverside"/>
    <s v="Leeds"/>
    <s v="Espresso"/>
    <s v="Drink"/>
    <n v="1"/>
    <n v="2.5"/>
    <s v="Apple Pay"/>
    <s v="C1211"/>
    <n v="2.5"/>
    <s v="Monday"/>
    <s v="August"/>
    <n v="2025"/>
  </r>
  <r>
    <x v="2965"/>
    <d v="2025-08-04T00:00:00"/>
    <s v="Central"/>
    <s v="Bristol"/>
    <s v="Espresso"/>
    <s v="Drink"/>
    <n v="1"/>
    <n v="2.5"/>
    <s v="Apple Pay"/>
    <s v="C1219"/>
    <n v="2.5"/>
    <s v="Monday"/>
    <s v="August"/>
    <n v="2025"/>
  </r>
  <r>
    <x v="2966"/>
    <d v="2025-08-04T00:00:00"/>
    <s v="Station"/>
    <s v="London"/>
    <s v="Muffin"/>
    <s v="Food"/>
    <n v="1"/>
    <n v="2.2000000000000002"/>
    <s v="Apple Pay"/>
    <s v="C1033"/>
    <n v="2.2000000000000002"/>
    <s v="Monday"/>
    <s v="August"/>
    <n v="2025"/>
  </r>
  <r>
    <x v="2967"/>
    <d v="2025-08-05T00:00:00"/>
    <s v="High Street"/>
    <s v="London"/>
    <s v="Cappuccino"/>
    <s v="Drink"/>
    <n v="5"/>
    <n v="3.8"/>
    <s v="Apple Pay"/>
    <s v="C1275"/>
    <n v="19"/>
    <s v="Tuesday"/>
    <s v="August"/>
    <n v="2025"/>
  </r>
  <r>
    <x v="2968"/>
    <d v="2025-08-05T00:00:00"/>
    <s v="Central"/>
    <s v="Manchester"/>
    <s v="Latte"/>
    <s v="Drink"/>
    <n v="5"/>
    <n v="3.5"/>
    <s v="Apple Pay"/>
    <s v="C1767"/>
    <n v="17.5"/>
    <s v="Tuesday"/>
    <s v="August"/>
    <n v="2025"/>
  </r>
  <r>
    <x v="2969"/>
    <d v="2025-08-05T00:00:00"/>
    <s v="High Street"/>
    <s v="London"/>
    <s v="Cappuccino"/>
    <s v="Drink"/>
    <n v="4"/>
    <n v="3.8"/>
    <s v="Apple Pay"/>
    <s v="C1357"/>
    <n v="15.2"/>
    <s v="Tuesday"/>
    <s v="August"/>
    <n v="2025"/>
  </r>
  <r>
    <x v="2970"/>
    <d v="2025-08-05T00:00:00"/>
    <s v="High Street"/>
    <s v="Manchester"/>
    <s v="Cappuccino"/>
    <s v="Drink"/>
    <n v="4"/>
    <n v="3.8"/>
    <s v="Apple Pay"/>
    <s v="C1173"/>
    <n v="15.2"/>
    <s v="Tuesday"/>
    <s v="August"/>
    <n v="2025"/>
  </r>
  <r>
    <x v="2971"/>
    <d v="2025-08-05T00:00:00"/>
    <s v="Station"/>
    <s v="Bristol"/>
    <s v="Cappuccino"/>
    <s v="Drink"/>
    <n v="4"/>
    <n v="3.8"/>
    <s v="Apple Pay"/>
    <s v="C1829"/>
    <n v="15.2"/>
    <s v="Tuesday"/>
    <s v="August"/>
    <n v="2025"/>
  </r>
  <r>
    <x v="2972"/>
    <d v="2025-08-05T00:00:00"/>
    <s v="Central"/>
    <s v="Birmingham"/>
    <s v="Espresso"/>
    <s v="Drink"/>
    <n v="5"/>
    <n v="2.5"/>
    <s v="Card"/>
    <s v="C1416"/>
    <n v="12.5"/>
    <s v="Tuesday"/>
    <s v="August"/>
    <n v="2025"/>
  </r>
  <r>
    <x v="2973"/>
    <d v="2025-08-05T00:00:00"/>
    <s v="Riverside"/>
    <s v="Birmingham"/>
    <s v="Cappuccino"/>
    <s v="Drink"/>
    <n v="3"/>
    <n v="3.8"/>
    <s v="Cash"/>
    <s v="C1319"/>
    <n v="11.399999999999999"/>
    <s v="Tuesday"/>
    <s v="August"/>
    <n v="2025"/>
  </r>
  <r>
    <x v="2974"/>
    <d v="2025-08-05T00:00:00"/>
    <s v="Riverside"/>
    <s v="Bristol"/>
    <s v="Croissant"/>
    <s v="Food"/>
    <n v="4"/>
    <n v="2.8"/>
    <s v="Card"/>
    <s v="C1773"/>
    <n v="11.2"/>
    <s v="Tuesday"/>
    <s v="August"/>
    <n v="2025"/>
  </r>
  <r>
    <x v="2975"/>
    <d v="2025-08-05T00:00:00"/>
    <s v="Riverside"/>
    <s v="Birmingham"/>
    <s v="Croissant"/>
    <s v="Food"/>
    <n v="4"/>
    <n v="2.8"/>
    <s v="Card"/>
    <s v="C1928"/>
    <n v="11.2"/>
    <s v="Tuesday"/>
    <s v="August"/>
    <n v="2025"/>
  </r>
  <r>
    <x v="2976"/>
    <d v="2025-08-05T00:00:00"/>
    <s v="Central"/>
    <s v="Birmingham"/>
    <s v="Muffin"/>
    <s v="Food"/>
    <n v="4"/>
    <n v="2.2000000000000002"/>
    <s v="Card"/>
    <s v="C1829"/>
    <n v="8.8000000000000007"/>
    <s v="Tuesday"/>
    <s v="August"/>
    <n v="2025"/>
  </r>
  <r>
    <x v="2977"/>
    <d v="2025-08-05T00:00:00"/>
    <s v="Central"/>
    <s v="Bristol"/>
    <s v="Croissant"/>
    <s v="Food"/>
    <n v="3"/>
    <n v="2.8"/>
    <s v="Card"/>
    <s v="C1042"/>
    <n v="8.3999999999999986"/>
    <s v="Tuesday"/>
    <s v="August"/>
    <n v="2025"/>
  </r>
  <r>
    <x v="2978"/>
    <d v="2025-08-05T00:00:00"/>
    <s v="Station"/>
    <s v="Manchester"/>
    <s v="Croissant"/>
    <s v="Food"/>
    <n v="3"/>
    <n v="2.8"/>
    <s v="Card"/>
    <s v="C1904"/>
    <n v="8.3999999999999986"/>
    <s v="Tuesday"/>
    <s v="August"/>
    <n v="2025"/>
  </r>
  <r>
    <x v="2979"/>
    <d v="2025-08-05T00:00:00"/>
    <s v="Riverside"/>
    <s v="Birmingham"/>
    <s v="Cappuccino"/>
    <s v="Drink"/>
    <n v="2"/>
    <n v="3.8"/>
    <s v="Apple Pay"/>
    <s v="C1335"/>
    <n v="7.6"/>
    <s v="Tuesday"/>
    <s v="August"/>
    <n v="2025"/>
  </r>
  <r>
    <x v="2980"/>
    <d v="2025-08-05T00:00:00"/>
    <s v="Central"/>
    <s v="London"/>
    <s v="Espresso"/>
    <s v="Drink"/>
    <n v="3"/>
    <n v="2.5"/>
    <s v="Card"/>
    <s v="C1038"/>
    <n v="7.5"/>
    <s v="Tuesday"/>
    <s v="August"/>
    <n v="2025"/>
  </r>
  <r>
    <x v="2981"/>
    <d v="2025-08-05T00:00:00"/>
    <s v="Central"/>
    <s v="London"/>
    <s v="Muffin"/>
    <s v="Food"/>
    <n v="3"/>
    <n v="2.2000000000000002"/>
    <s v="Apple Pay"/>
    <s v="C1191"/>
    <n v="6.6000000000000005"/>
    <s v="Tuesday"/>
    <s v="August"/>
    <n v="2025"/>
  </r>
  <r>
    <x v="2982"/>
    <d v="2025-08-05T00:00:00"/>
    <s v="Station"/>
    <s v="Birmingham"/>
    <s v="Espresso"/>
    <s v="Drink"/>
    <n v="2"/>
    <n v="2.5"/>
    <s v="Card"/>
    <s v="C1187"/>
    <n v="5"/>
    <s v="Tuesday"/>
    <s v="August"/>
    <n v="2025"/>
  </r>
  <r>
    <x v="2983"/>
    <d v="2025-08-05T00:00:00"/>
    <s v="Riverside"/>
    <s v="Bristol"/>
    <s v="Muffin"/>
    <s v="Food"/>
    <n v="2"/>
    <n v="2.2000000000000002"/>
    <s v="Cash"/>
    <s v="C1431"/>
    <n v="4.4000000000000004"/>
    <s v="Tuesday"/>
    <s v="August"/>
    <n v="2025"/>
  </r>
  <r>
    <x v="2984"/>
    <d v="2025-08-05T00:00:00"/>
    <s v="Riverside"/>
    <s v="London"/>
    <s v="Cappuccino"/>
    <s v="Drink"/>
    <n v="1"/>
    <n v="3.8"/>
    <s v="Apple Pay"/>
    <s v="C1080"/>
    <n v="3.8"/>
    <s v="Tuesday"/>
    <s v="August"/>
    <n v="2025"/>
  </r>
  <r>
    <x v="2985"/>
    <d v="2025-08-06T00:00:00"/>
    <s v="Riverside"/>
    <s v="Birmingham"/>
    <s v="Cappuccino"/>
    <s v="Drink"/>
    <n v="5"/>
    <n v="3.8"/>
    <s v="Apple Pay"/>
    <s v="C1547"/>
    <n v="19"/>
    <s v="Wednesday"/>
    <s v="August"/>
    <n v="2025"/>
  </r>
  <r>
    <x v="2986"/>
    <d v="2025-08-06T00:00:00"/>
    <s v="Central"/>
    <s v="Birmingham"/>
    <s v="Cappuccino"/>
    <s v="Drink"/>
    <n v="3"/>
    <n v="3.8"/>
    <s v="Card"/>
    <s v="C1089"/>
    <n v="11.399999999999999"/>
    <s v="Wednesday"/>
    <s v="August"/>
    <n v="2025"/>
  </r>
  <r>
    <x v="2987"/>
    <d v="2025-08-06T00:00:00"/>
    <s v="High Street"/>
    <s v="Manchester"/>
    <s v="Cappuccino"/>
    <s v="Drink"/>
    <n v="3"/>
    <n v="3.8"/>
    <s v="Cash"/>
    <s v="C1573"/>
    <n v="11.399999999999999"/>
    <s v="Wednesday"/>
    <s v="August"/>
    <n v="2025"/>
  </r>
  <r>
    <x v="2988"/>
    <d v="2025-08-06T00:00:00"/>
    <s v="High Street"/>
    <s v="Birmingham"/>
    <s v="Muffin"/>
    <s v="Food"/>
    <n v="5"/>
    <n v="2.2000000000000002"/>
    <s v="Card"/>
    <s v="C1012"/>
    <n v="11"/>
    <s v="Wednesday"/>
    <s v="August"/>
    <n v="2025"/>
  </r>
  <r>
    <x v="2989"/>
    <d v="2025-08-06T00:00:00"/>
    <s v="Station"/>
    <s v="London"/>
    <s v="Espresso"/>
    <s v="Drink"/>
    <n v="4"/>
    <n v="2.5"/>
    <s v="Apple Pay"/>
    <s v="C1098"/>
    <n v="10"/>
    <s v="Wednesday"/>
    <s v="August"/>
    <n v="2025"/>
  </r>
  <r>
    <x v="2990"/>
    <d v="2025-08-06T00:00:00"/>
    <s v="Riverside"/>
    <s v="Birmingham"/>
    <s v="Espresso"/>
    <s v="Drink"/>
    <n v="3"/>
    <n v="2.5"/>
    <s v="Card"/>
    <s v="C1878"/>
    <n v="7.5"/>
    <s v="Wednesday"/>
    <s v="August"/>
    <n v="2025"/>
  </r>
  <r>
    <x v="2991"/>
    <d v="2025-08-06T00:00:00"/>
    <s v="Central"/>
    <s v="London"/>
    <s v="Latte"/>
    <s v="Drink"/>
    <n v="2"/>
    <n v="3.5"/>
    <s v="Cash"/>
    <s v="C1982"/>
    <n v="7"/>
    <s v="Wednesday"/>
    <s v="August"/>
    <n v="2025"/>
  </r>
  <r>
    <x v="2992"/>
    <d v="2025-08-06T00:00:00"/>
    <s v="High Street"/>
    <s v="Manchester"/>
    <s v="Muffin"/>
    <s v="Food"/>
    <n v="3"/>
    <n v="2.2000000000000002"/>
    <s v="Cash"/>
    <s v="C1451"/>
    <n v="6.6000000000000005"/>
    <s v="Wednesday"/>
    <s v="August"/>
    <n v="2025"/>
  </r>
  <r>
    <x v="2993"/>
    <d v="2025-08-06T00:00:00"/>
    <s v="Central"/>
    <s v="London"/>
    <s v="Espresso"/>
    <s v="Drink"/>
    <n v="2"/>
    <n v="2.5"/>
    <s v="Apple Pay"/>
    <s v="C1389"/>
    <n v="5"/>
    <s v="Wednesday"/>
    <s v="August"/>
    <n v="2025"/>
  </r>
  <r>
    <x v="2994"/>
    <d v="2025-08-06T00:00:00"/>
    <s v="Riverside"/>
    <s v="Leeds"/>
    <s v="Latte"/>
    <s v="Drink"/>
    <n v="1"/>
    <n v="3.5"/>
    <s v="Cash"/>
    <s v="C1060"/>
    <n v="3.5"/>
    <s v="Wednesday"/>
    <s v="August"/>
    <n v="2025"/>
  </r>
  <r>
    <x v="2995"/>
    <d v="2025-08-06T00:00:00"/>
    <s v="High Street"/>
    <s v="Birmingham"/>
    <s v="Croissant"/>
    <s v="Food"/>
    <n v="1"/>
    <n v="2.8"/>
    <s v="Cash"/>
    <s v="C1083"/>
    <n v="2.8"/>
    <s v="Wednesday"/>
    <s v="August"/>
    <n v="2025"/>
  </r>
  <r>
    <x v="2996"/>
    <d v="2025-08-07T00:00:00"/>
    <s v="High Street"/>
    <s v="Manchester"/>
    <s v="Cappuccino"/>
    <s v="Drink"/>
    <n v="4"/>
    <n v="3.8"/>
    <s v="Cash"/>
    <s v="C1968"/>
    <n v="15.2"/>
    <s v="Thursday"/>
    <s v="August"/>
    <n v="2025"/>
  </r>
  <r>
    <x v="2997"/>
    <d v="2025-08-07T00:00:00"/>
    <s v="Station"/>
    <s v="Manchester"/>
    <s v="Cappuccino"/>
    <s v="Drink"/>
    <n v="3"/>
    <n v="3.8"/>
    <s v="Apple Pay"/>
    <s v="C1733"/>
    <n v="11.399999999999999"/>
    <s v="Thursday"/>
    <s v="August"/>
    <n v="2025"/>
  </r>
  <r>
    <x v="2998"/>
    <d v="2025-08-07T00:00:00"/>
    <s v="Riverside"/>
    <s v="Manchester"/>
    <s v="Muffin"/>
    <s v="Food"/>
    <n v="5"/>
    <n v="2.2000000000000002"/>
    <s v="Cash"/>
    <s v="C1617"/>
    <n v="11"/>
    <s v="Thursday"/>
    <s v="August"/>
    <n v="2025"/>
  </r>
  <r>
    <x v="2999"/>
    <d v="2025-08-07T00:00:00"/>
    <s v="High Street"/>
    <s v="London"/>
    <s v="Latte"/>
    <s v="Drink"/>
    <n v="3"/>
    <n v="3.5"/>
    <s v="Apple Pay"/>
    <s v="C1882"/>
    <n v="10.5"/>
    <s v="Thursday"/>
    <s v="August"/>
    <n v="2025"/>
  </r>
  <r>
    <x v="3000"/>
    <d v="2025-08-07T00:00:00"/>
    <s v="Central"/>
    <s v="London"/>
    <s v="Espresso"/>
    <s v="Drink"/>
    <n v="4"/>
    <n v="2.5"/>
    <s v="Card"/>
    <s v="C1570"/>
    <n v="10"/>
    <s v="Thursday"/>
    <s v="August"/>
    <n v="2025"/>
  </r>
  <r>
    <x v="3001"/>
    <d v="2025-08-07T00:00:00"/>
    <s v="Riverside"/>
    <s v="London"/>
    <s v="Espresso"/>
    <s v="Drink"/>
    <n v="4"/>
    <n v="2.5"/>
    <s v="Card"/>
    <s v="C1761"/>
    <n v="10"/>
    <s v="Thursday"/>
    <s v="August"/>
    <n v="2025"/>
  </r>
  <r>
    <x v="3002"/>
    <d v="2025-08-07T00:00:00"/>
    <s v="Central"/>
    <s v="Bristol"/>
    <s v="Cappuccino"/>
    <s v="Drink"/>
    <n v="2"/>
    <n v="3.8"/>
    <s v="Apple Pay"/>
    <s v="C1752"/>
    <n v="7.6"/>
    <s v="Thursday"/>
    <s v="August"/>
    <n v="2025"/>
  </r>
  <r>
    <x v="3003"/>
    <d v="2025-08-07T00:00:00"/>
    <s v="Riverside"/>
    <s v="Manchester"/>
    <s v="Muffin"/>
    <s v="Food"/>
    <n v="3"/>
    <n v="2.2000000000000002"/>
    <s v="Card"/>
    <s v="C1069"/>
    <n v="6.6000000000000005"/>
    <s v="Thursday"/>
    <s v="August"/>
    <n v="2025"/>
  </r>
  <r>
    <x v="3004"/>
    <d v="2025-08-07T00:00:00"/>
    <s v="High Street"/>
    <s v="Leeds"/>
    <s v="Croissant"/>
    <s v="Food"/>
    <n v="2"/>
    <n v="2.8"/>
    <s v="Cash"/>
    <s v="C1075"/>
    <n v="5.6"/>
    <s v="Thursday"/>
    <s v="August"/>
    <n v="2025"/>
  </r>
  <r>
    <x v="3005"/>
    <d v="2025-08-07T00:00:00"/>
    <s v="High Street"/>
    <s v="Manchester"/>
    <s v="Croissant"/>
    <s v="Food"/>
    <n v="2"/>
    <n v="2.8"/>
    <s v="Apple Pay"/>
    <s v="C1987"/>
    <n v="5.6"/>
    <s v="Thursday"/>
    <s v="August"/>
    <n v="2025"/>
  </r>
  <r>
    <x v="3006"/>
    <d v="2025-08-07T00:00:00"/>
    <s v="Central"/>
    <s v="Leeds"/>
    <s v="Cappuccino"/>
    <s v="Drink"/>
    <n v="1"/>
    <n v="3.8"/>
    <s v="Cash"/>
    <s v="C1076"/>
    <n v="3.8"/>
    <s v="Thursday"/>
    <s v="August"/>
    <n v="2025"/>
  </r>
  <r>
    <x v="3007"/>
    <d v="2025-08-07T00:00:00"/>
    <s v="Riverside"/>
    <s v="Manchester"/>
    <s v="Espresso"/>
    <s v="Drink"/>
    <n v="1"/>
    <n v="2.5"/>
    <s v="Card"/>
    <s v="C1356"/>
    <n v="2.5"/>
    <s v="Thursday"/>
    <s v="August"/>
    <n v="2025"/>
  </r>
  <r>
    <x v="3008"/>
    <d v="2025-08-08T00:00:00"/>
    <s v="High Street"/>
    <s v="London"/>
    <s v="Cappuccino"/>
    <s v="Drink"/>
    <n v="5"/>
    <n v="3.8"/>
    <s v="Cash"/>
    <s v="C1315"/>
    <n v="19"/>
    <s v="Friday"/>
    <s v="August"/>
    <n v="2025"/>
  </r>
  <r>
    <x v="3009"/>
    <d v="2025-08-08T00:00:00"/>
    <s v="Central"/>
    <s v="London"/>
    <s v="Cappuccino"/>
    <s v="Drink"/>
    <n v="4"/>
    <n v="3.8"/>
    <s v="Card"/>
    <s v="C1077"/>
    <n v="15.2"/>
    <s v="Friday"/>
    <s v="August"/>
    <n v="2025"/>
  </r>
  <r>
    <x v="3010"/>
    <d v="2025-08-08T00:00:00"/>
    <s v="High Street"/>
    <s v="Birmingham"/>
    <s v="Croissant"/>
    <s v="Food"/>
    <n v="5"/>
    <n v="2.8"/>
    <s v="Cash"/>
    <s v="C1864"/>
    <n v="14"/>
    <s v="Friday"/>
    <s v="August"/>
    <n v="2025"/>
  </r>
  <r>
    <x v="3011"/>
    <d v="2025-08-08T00:00:00"/>
    <s v="Central"/>
    <s v="Birmingham"/>
    <s v="Latte"/>
    <s v="Drink"/>
    <n v="4"/>
    <n v="3.5"/>
    <s v="Apple Pay"/>
    <s v="C1608"/>
    <n v="14"/>
    <s v="Friday"/>
    <s v="August"/>
    <n v="2025"/>
  </r>
  <r>
    <x v="3012"/>
    <d v="2025-08-08T00:00:00"/>
    <s v="Station"/>
    <s v="Bristol"/>
    <s v="Espresso"/>
    <s v="Drink"/>
    <n v="5"/>
    <n v="2.5"/>
    <s v="Card"/>
    <s v="C1779"/>
    <n v="12.5"/>
    <s v="Friday"/>
    <s v="August"/>
    <n v="2025"/>
  </r>
  <r>
    <x v="3013"/>
    <d v="2025-08-08T00:00:00"/>
    <s v="Central"/>
    <s v="Manchester"/>
    <s v="Cappuccino"/>
    <s v="Drink"/>
    <n v="3"/>
    <n v="3.8"/>
    <s v="Cash"/>
    <s v="C1127"/>
    <n v="11.399999999999999"/>
    <s v="Friday"/>
    <s v="August"/>
    <n v="2025"/>
  </r>
  <r>
    <x v="3014"/>
    <d v="2025-08-08T00:00:00"/>
    <s v="Station"/>
    <s v="London"/>
    <s v="Croissant"/>
    <s v="Food"/>
    <n v="4"/>
    <n v="2.8"/>
    <s v="Apple Pay"/>
    <s v="C1753"/>
    <n v="11.2"/>
    <s v="Friday"/>
    <s v="August"/>
    <n v="2025"/>
  </r>
  <r>
    <x v="3015"/>
    <d v="2025-08-08T00:00:00"/>
    <s v="Station"/>
    <s v="London"/>
    <s v="Croissant"/>
    <s v="Food"/>
    <n v="4"/>
    <n v="2.8"/>
    <s v="Apple Pay"/>
    <s v="C1768"/>
    <n v="11.2"/>
    <s v="Friday"/>
    <s v="August"/>
    <n v="2025"/>
  </r>
  <r>
    <x v="3016"/>
    <d v="2025-08-08T00:00:00"/>
    <s v="Riverside"/>
    <s v="Birmingham"/>
    <s v="Muffin"/>
    <s v="Food"/>
    <n v="4"/>
    <n v="2.2000000000000002"/>
    <s v="Apple Pay"/>
    <s v="C1527"/>
    <n v="8.8000000000000007"/>
    <s v="Friday"/>
    <s v="August"/>
    <n v="2025"/>
  </r>
  <r>
    <x v="3017"/>
    <d v="2025-08-08T00:00:00"/>
    <s v="Riverside"/>
    <s v="Bristol"/>
    <s v="Cappuccino"/>
    <s v="Drink"/>
    <n v="2"/>
    <n v="3.8"/>
    <s v="Card"/>
    <s v="C1073"/>
    <n v="7.6"/>
    <s v="Friday"/>
    <s v="August"/>
    <n v="2025"/>
  </r>
  <r>
    <x v="3018"/>
    <d v="2025-08-08T00:00:00"/>
    <s v="Station"/>
    <s v="Bristol"/>
    <s v="Cappuccino"/>
    <s v="Drink"/>
    <n v="2"/>
    <n v="3.8"/>
    <s v="Cash"/>
    <s v="C1250"/>
    <n v="7.6"/>
    <s v="Friday"/>
    <s v="August"/>
    <n v="2025"/>
  </r>
  <r>
    <x v="3019"/>
    <d v="2025-08-08T00:00:00"/>
    <s v="Central"/>
    <s v="Manchester"/>
    <s v="Espresso"/>
    <s v="Drink"/>
    <n v="3"/>
    <n v="2.5"/>
    <s v="Card"/>
    <s v="C1886"/>
    <n v="7.5"/>
    <s v="Friday"/>
    <s v="August"/>
    <n v="2025"/>
  </r>
  <r>
    <x v="3020"/>
    <d v="2025-08-08T00:00:00"/>
    <s v="High Street"/>
    <s v="Bristol"/>
    <s v="Latte"/>
    <s v="Drink"/>
    <n v="2"/>
    <n v="3.5"/>
    <s v="Cash"/>
    <s v="C1096"/>
    <n v="7"/>
    <s v="Friday"/>
    <s v="August"/>
    <n v="2025"/>
  </r>
  <r>
    <x v="3021"/>
    <d v="2025-08-08T00:00:00"/>
    <s v="Riverside"/>
    <s v="Bristol"/>
    <s v="Latte"/>
    <s v="Drink"/>
    <n v="2"/>
    <n v="3.5"/>
    <s v="Apple Pay"/>
    <s v="C1413"/>
    <n v="7"/>
    <s v="Friday"/>
    <s v="August"/>
    <n v="2025"/>
  </r>
  <r>
    <x v="3022"/>
    <d v="2025-08-08T00:00:00"/>
    <s v="Riverside"/>
    <s v="Manchester"/>
    <s v="Muffin"/>
    <s v="Food"/>
    <n v="3"/>
    <n v="2.2000000000000002"/>
    <s v="Apple Pay"/>
    <s v="C1928"/>
    <n v="6.6000000000000005"/>
    <s v="Friday"/>
    <s v="August"/>
    <n v="2025"/>
  </r>
  <r>
    <x v="3023"/>
    <d v="2025-08-08T00:00:00"/>
    <s v="Riverside"/>
    <s v="Birmingham"/>
    <s v="Croissant"/>
    <s v="Food"/>
    <n v="2"/>
    <n v="2.8"/>
    <s v="Apple Pay"/>
    <s v="C1484"/>
    <n v="5.6"/>
    <s v="Friday"/>
    <s v="August"/>
    <n v="2025"/>
  </r>
  <r>
    <x v="3024"/>
    <d v="2025-08-08T00:00:00"/>
    <s v="Riverside"/>
    <s v="Leeds"/>
    <s v="Croissant"/>
    <s v="Food"/>
    <n v="2"/>
    <n v="2.8"/>
    <s v="Cash"/>
    <s v="C1161"/>
    <n v="5.6"/>
    <s v="Friday"/>
    <s v="August"/>
    <n v="2025"/>
  </r>
  <r>
    <x v="3025"/>
    <d v="2025-08-08T00:00:00"/>
    <s v="Central"/>
    <s v="Birmingham"/>
    <s v="Espresso"/>
    <s v="Drink"/>
    <n v="2"/>
    <n v="2.5"/>
    <s v="Apple Pay"/>
    <s v="C1432"/>
    <n v="5"/>
    <s v="Friday"/>
    <s v="August"/>
    <n v="2025"/>
  </r>
  <r>
    <x v="3026"/>
    <d v="2025-08-08T00:00:00"/>
    <s v="Central"/>
    <s v="London"/>
    <s v="Muffin"/>
    <s v="Food"/>
    <n v="2"/>
    <n v="2.2000000000000002"/>
    <s v="Apple Pay"/>
    <s v="C1209"/>
    <n v="4.4000000000000004"/>
    <s v="Friday"/>
    <s v="August"/>
    <n v="2025"/>
  </r>
  <r>
    <x v="3027"/>
    <d v="2025-08-08T00:00:00"/>
    <s v="Riverside"/>
    <s v="Manchester"/>
    <s v="Latte"/>
    <s v="Drink"/>
    <n v="1"/>
    <n v="3.5"/>
    <s v="Card"/>
    <s v="C1683"/>
    <n v="3.5"/>
    <s v="Friday"/>
    <s v="August"/>
    <n v="2025"/>
  </r>
  <r>
    <x v="3028"/>
    <d v="2025-08-08T00:00:00"/>
    <s v="Riverside"/>
    <s v="Manchester"/>
    <s v="Espresso"/>
    <s v="Drink"/>
    <n v="1"/>
    <n v="2.5"/>
    <s v="Cash"/>
    <s v="C1882"/>
    <n v="2.5"/>
    <s v="Friday"/>
    <s v="August"/>
    <n v="2025"/>
  </r>
  <r>
    <x v="3029"/>
    <d v="2025-08-08T00:00:00"/>
    <s v="Station"/>
    <s v="London"/>
    <s v="Muffin"/>
    <s v="Food"/>
    <n v="1"/>
    <n v="2.2000000000000002"/>
    <s v="Card"/>
    <s v="C1835"/>
    <n v="2.2000000000000002"/>
    <s v="Friday"/>
    <s v="August"/>
    <n v="2025"/>
  </r>
  <r>
    <x v="3030"/>
    <d v="2025-08-09T00:00:00"/>
    <s v="Central"/>
    <s v="Birmingham"/>
    <s v="Cappuccino"/>
    <s v="Drink"/>
    <n v="5"/>
    <n v="3.8"/>
    <s v="Card"/>
    <s v="C1013"/>
    <n v="19"/>
    <s v="Saturday"/>
    <s v="August"/>
    <n v="2025"/>
  </r>
  <r>
    <x v="3031"/>
    <d v="2025-08-09T00:00:00"/>
    <s v="Central"/>
    <s v="Manchester"/>
    <s v="Cappuccino"/>
    <s v="Drink"/>
    <n v="5"/>
    <n v="3.8"/>
    <s v="Cash"/>
    <s v="C1726"/>
    <n v="19"/>
    <s v="Saturday"/>
    <s v="August"/>
    <n v="2025"/>
  </r>
  <r>
    <x v="3032"/>
    <d v="2025-08-09T00:00:00"/>
    <s v="Riverside"/>
    <s v="Leeds"/>
    <s v="Latte"/>
    <s v="Drink"/>
    <n v="5"/>
    <n v="3.5"/>
    <s v="Card"/>
    <s v="C1650"/>
    <n v="17.5"/>
    <s v="Saturday"/>
    <s v="August"/>
    <n v="2025"/>
  </r>
  <r>
    <x v="3033"/>
    <d v="2025-08-09T00:00:00"/>
    <s v="High Street"/>
    <s v="Bristol"/>
    <s v="Cappuccino"/>
    <s v="Drink"/>
    <n v="3"/>
    <n v="3.8"/>
    <s v="Cash"/>
    <s v="C1914"/>
    <n v="11.399999999999999"/>
    <s v="Saturday"/>
    <s v="August"/>
    <n v="2025"/>
  </r>
  <r>
    <x v="3034"/>
    <d v="2025-08-09T00:00:00"/>
    <s v="Station"/>
    <s v="Manchester"/>
    <s v="Espresso"/>
    <s v="Drink"/>
    <n v="4"/>
    <n v="2.5"/>
    <s v="Card"/>
    <s v="C1635"/>
    <n v="10"/>
    <s v="Saturday"/>
    <s v="August"/>
    <n v="2025"/>
  </r>
  <r>
    <x v="3035"/>
    <d v="2025-08-09T00:00:00"/>
    <s v="Central"/>
    <s v="London"/>
    <s v="Muffin"/>
    <s v="Food"/>
    <n v="4"/>
    <n v="2.2000000000000002"/>
    <s v="Cash"/>
    <s v="C1162"/>
    <n v="8.8000000000000007"/>
    <s v="Saturday"/>
    <s v="August"/>
    <n v="2025"/>
  </r>
  <r>
    <x v="3036"/>
    <d v="2025-08-09T00:00:00"/>
    <s v="Station"/>
    <s v="Bristol"/>
    <s v="Croissant"/>
    <s v="Food"/>
    <n v="3"/>
    <n v="2.8"/>
    <s v="Cash"/>
    <s v="C1595"/>
    <n v="8.3999999999999986"/>
    <s v="Saturday"/>
    <s v="August"/>
    <n v="2025"/>
  </r>
  <r>
    <x v="3037"/>
    <d v="2025-08-09T00:00:00"/>
    <s v="High Street"/>
    <s v="Manchester"/>
    <s v="Cappuccino"/>
    <s v="Drink"/>
    <n v="2"/>
    <n v="3.8"/>
    <s v="Cash"/>
    <s v="C1880"/>
    <n v="7.6"/>
    <s v="Saturday"/>
    <s v="August"/>
    <n v="2025"/>
  </r>
  <r>
    <x v="3038"/>
    <d v="2025-08-09T00:00:00"/>
    <s v="High Street"/>
    <s v="Leeds"/>
    <s v="Espresso"/>
    <s v="Drink"/>
    <n v="3"/>
    <n v="2.5"/>
    <s v="Card"/>
    <s v="C1167"/>
    <n v="7.5"/>
    <s v="Saturday"/>
    <s v="August"/>
    <n v="2025"/>
  </r>
  <r>
    <x v="3039"/>
    <d v="2025-08-09T00:00:00"/>
    <s v="Central"/>
    <s v="London"/>
    <s v="Muffin"/>
    <s v="Food"/>
    <n v="3"/>
    <n v="2.2000000000000002"/>
    <s v="Cash"/>
    <s v="C1194"/>
    <n v="6.6000000000000005"/>
    <s v="Saturday"/>
    <s v="August"/>
    <n v="2025"/>
  </r>
  <r>
    <x v="3040"/>
    <d v="2025-08-09T00:00:00"/>
    <s v="Riverside"/>
    <s v="Manchester"/>
    <s v="Espresso"/>
    <s v="Drink"/>
    <n v="2"/>
    <n v="2.5"/>
    <s v="Cash"/>
    <s v="C1000"/>
    <n v="5"/>
    <s v="Saturday"/>
    <s v="August"/>
    <n v="2025"/>
  </r>
  <r>
    <x v="3041"/>
    <d v="2025-08-09T00:00:00"/>
    <s v="Riverside"/>
    <s v="Bristol"/>
    <s v="Cappuccino"/>
    <s v="Drink"/>
    <n v="1"/>
    <n v="3.8"/>
    <s v="Apple Pay"/>
    <s v="C1069"/>
    <n v="3.8"/>
    <s v="Saturday"/>
    <s v="August"/>
    <n v="2025"/>
  </r>
  <r>
    <x v="3042"/>
    <d v="2025-08-09T00:00:00"/>
    <s v="High Street"/>
    <s v="London"/>
    <s v="Cappuccino"/>
    <s v="Drink"/>
    <n v="1"/>
    <n v="3.8"/>
    <s v="Card"/>
    <s v="C1924"/>
    <n v="3.8"/>
    <s v="Saturday"/>
    <s v="August"/>
    <n v="2025"/>
  </r>
  <r>
    <x v="3043"/>
    <d v="2025-08-09T00:00:00"/>
    <s v="Riverside"/>
    <s v="Birmingham"/>
    <s v="Espresso"/>
    <s v="Drink"/>
    <n v="1"/>
    <n v="2.5"/>
    <s v="Card"/>
    <s v="C1665"/>
    <n v="2.5"/>
    <s v="Saturday"/>
    <s v="August"/>
    <n v="2025"/>
  </r>
  <r>
    <x v="3044"/>
    <d v="2025-08-09T00:00:00"/>
    <s v="Riverside"/>
    <s v="Bristol"/>
    <s v="Muffin"/>
    <s v="Food"/>
    <n v="1"/>
    <n v="2.2000000000000002"/>
    <s v="Apple Pay"/>
    <s v="C1702"/>
    <n v="2.2000000000000002"/>
    <s v="Saturday"/>
    <s v="August"/>
    <n v="2025"/>
  </r>
  <r>
    <x v="3045"/>
    <d v="2025-08-09T00:00:00"/>
    <s v="Riverside"/>
    <s v="Bristol"/>
    <s v="Muffin"/>
    <s v="Food"/>
    <n v="1"/>
    <n v="2.2000000000000002"/>
    <s v="Cash"/>
    <s v="C1389"/>
    <n v="2.2000000000000002"/>
    <s v="Saturday"/>
    <s v="August"/>
    <n v="2025"/>
  </r>
  <r>
    <x v="3046"/>
    <d v="2025-08-10T00:00:00"/>
    <s v="Central"/>
    <s v="Leeds"/>
    <s v="Latte"/>
    <s v="Drink"/>
    <n v="4"/>
    <n v="3.5"/>
    <s v="Card"/>
    <s v="C1332"/>
    <n v="14"/>
    <s v="Sunday"/>
    <s v="August"/>
    <n v="2025"/>
  </r>
  <r>
    <x v="3047"/>
    <d v="2025-08-10T00:00:00"/>
    <s v="Riverside"/>
    <s v="Bristol"/>
    <s v="Croissant"/>
    <s v="Food"/>
    <n v="5"/>
    <n v="2.8"/>
    <s v="Cash"/>
    <s v="C1539"/>
    <n v="14"/>
    <s v="Sunday"/>
    <s v="August"/>
    <n v="2025"/>
  </r>
  <r>
    <x v="3048"/>
    <d v="2025-08-10T00:00:00"/>
    <s v="Central"/>
    <s v="London"/>
    <s v="Croissant"/>
    <s v="Food"/>
    <n v="4"/>
    <n v="2.8"/>
    <s v="Cash"/>
    <s v="C1884"/>
    <n v="11.2"/>
    <s v="Sunday"/>
    <s v="August"/>
    <n v="2025"/>
  </r>
  <r>
    <x v="3049"/>
    <d v="2025-08-10T00:00:00"/>
    <s v="Riverside"/>
    <s v="Manchester"/>
    <s v="Latte"/>
    <s v="Drink"/>
    <n v="3"/>
    <n v="3.5"/>
    <s v="Cash"/>
    <s v="C1031"/>
    <n v="10.5"/>
    <s v="Sunday"/>
    <s v="August"/>
    <n v="2025"/>
  </r>
  <r>
    <x v="3050"/>
    <d v="2025-08-10T00:00:00"/>
    <s v="Station"/>
    <s v="Leeds"/>
    <s v="Espresso"/>
    <s v="Drink"/>
    <n v="4"/>
    <n v="2.5"/>
    <s v="Card"/>
    <s v="C1539"/>
    <n v="10"/>
    <s v="Sunday"/>
    <s v="August"/>
    <n v="2025"/>
  </r>
  <r>
    <x v="3051"/>
    <d v="2025-08-10T00:00:00"/>
    <s v="Riverside"/>
    <s v="Birmingham"/>
    <s v="Espresso"/>
    <s v="Drink"/>
    <n v="4"/>
    <n v="2.5"/>
    <s v="Apple Pay"/>
    <s v="C1921"/>
    <n v="10"/>
    <s v="Sunday"/>
    <s v="August"/>
    <n v="2025"/>
  </r>
  <r>
    <x v="3052"/>
    <d v="2025-08-10T00:00:00"/>
    <s v="High Street"/>
    <s v="London"/>
    <s v="Croissant"/>
    <s v="Food"/>
    <n v="3"/>
    <n v="2.8"/>
    <s v="Cash"/>
    <s v="C1608"/>
    <n v="8.3999999999999986"/>
    <s v="Sunday"/>
    <s v="August"/>
    <n v="2025"/>
  </r>
  <r>
    <x v="3053"/>
    <d v="2025-08-10T00:00:00"/>
    <s v="Central"/>
    <s v="Birmingham"/>
    <s v="Cappuccino"/>
    <s v="Drink"/>
    <n v="2"/>
    <n v="3.8"/>
    <s v="Apple Pay"/>
    <s v="C1716"/>
    <n v="7.6"/>
    <s v="Sunday"/>
    <s v="August"/>
    <n v="2025"/>
  </r>
  <r>
    <x v="3054"/>
    <d v="2025-08-10T00:00:00"/>
    <s v="Riverside"/>
    <s v="Birmingham"/>
    <s v="Espresso"/>
    <s v="Drink"/>
    <n v="3"/>
    <n v="2.5"/>
    <s v="Apple Pay"/>
    <s v="C1282"/>
    <n v="7.5"/>
    <s v="Sunday"/>
    <s v="August"/>
    <n v="2025"/>
  </r>
  <r>
    <x v="3055"/>
    <d v="2025-08-10T00:00:00"/>
    <s v="Station"/>
    <s v="Birmingham"/>
    <s v="Muffin"/>
    <s v="Food"/>
    <n v="3"/>
    <n v="2.2000000000000002"/>
    <s v="Apple Pay"/>
    <s v="C1997"/>
    <n v="6.6000000000000005"/>
    <s v="Sunday"/>
    <s v="August"/>
    <n v="2025"/>
  </r>
  <r>
    <x v="3056"/>
    <d v="2025-08-10T00:00:00"/>
    <s v="Riverside"/>
    <s v="Leeds"/>
    <s v="Muffin"/>
    <s v="Food"/>
    <n v="2"/>
    <n v="2.2000000000000002"/>
    <s v="Apple Pay"/>
    <s v="C1879"/>
    <n v="4.4000000000000004"/>
    <s v="Sunday"/>
    <s v="August"/>
    <n v="2025"/>
  </r>
  <r>
    <x v="3057"/>
    <d v="2025-08-10T00:00:00"/>
    <s v="Central"/>
    <s v="Birmingham"/>
    <s v="Cappuccino"/>
    <s v="Drink"/>
    <n v="1"/>
    <n v="3.8"/>
    <s v="Card"/>
    <s v="C1490"/>
    <n v="3.8"/>
    <s v="Sunday"/>
    <s v="August"/>
    <n v="2025"/>
  </r>
  <r>
    <x v="3058"/>
    <d v="2025-08-11T00:00:00"/>
    <s v="High Street"/>
    <s v="N/A"/>
    <s v="Latte"/>
    <s v="Drink"/>
    <n v="5"/>
    <n v="3.5"/>
    <s v="Apple Pay"/>
    <s v="C1890"/>
    <n v="17.5"/>
    <s v="Monday"/>
    <s v="August"/>
    <n v="2025"/>
  </r>
  <r>
    <x v="3059"/>
    <d v="2025-08-11T00:00:00"/>
    <s v="Station"/>
    <s v="London"/>
    <s v="Croissant"/>
    <s v="Food"/>
    <n v="5"/>
    <n v="2.8"/>
    <s v="Card"/>
    <s v="C1989"/>
    <n v="14"/>
    <s v="Monday"/>
    <s v="August"/>
    <n v="2025"/>
  </r>
  <r>
    <x v="3060"/>
    <d v="2025-08-11T00:00:00"/>
    <s v="High Street"/>
    <s v="London"/>
    <s v="Espresso"/>
    <s v="Drink"/>
    <n v="5"/>
    <n v="2.5"/>
    <s v="Apple Pay"/>
    <s v="C1555"/>
    <n v="12.5"/>
    <s v="Monday"/>
    <s v="August"/>
    <n v="2025"/>
  </r>
  <r>
    <x v="3061"/>
    <d v="2025-08-11T00:00:00"/>
    <s v="High Street"/>
    <s v="London"/>
    <s v="Cappuccino"/>
    <s v="Drink"/>
    <n v="3"/>
    <n v="3.8"/>
    <s v="Cash"/>
    <s v="C1378"/>
    <n v="11.399999999999999"/>
    <s v="Monday"/>
    <s v="August"/>
    <n v="2025"/>
  </r>
  <r>
    <x v="3062"/>
    <d v="2025-08-11T00:00:00"/>
    <s v="Riverside"/>
    <s v="London"/>
    <s v="Latte"/>
    <s v="Drink"/>
    <n v="3"/>
    <n v="3.5"/>
    <s v="Card"/>
    <s v="C1807"/>
    <n v="10.5"/>
    <s v="Monday"/>
    <s v="August"/>
    <n v="2025"/>
  </r>
  <r>
    <x v="3063"/>
    <d v="2025-08-11T00:00:00"/>
    <s v="Central"/>
    <s v="Bristol"/>
    <s v="Muffin"/>
    <s v="Food"/>
    <n v="4"/>
    <n v="2.2000000000000002"/>
    <s v="Card"/>
    <s v="C1209"/>
    <n v="8.8000000000000007"/>
    <s v="Monday"/>
    <s v="August"/>
    <n v="2025"/>
  </r>
  <r>
    <x v="3064"/>
    <d v="2025-08-11T00:00:00"/>
    <s v="Riverside"/>
    <s v="Birmingham"/>
    <s v="Croissant"/>
    <s v="Food"/>
    <n v="3"/>
    <n v="2.8"/>
    <s v="Card"/>
    <s v="C1361"/>
    <n v="8.3999999999999986"/>
    <s v="Monday"/>
    <s v="August"/>
    <n v="2025"/>
  </r>
  <r>
    <x v="3065"/>
    <d v="2025-08-11T00:00:00"/>
    <s v="Station"/>
    <s v="Leeds"/>
    <s v="Croissant"/>
    <s v="Food"/>
    <n v="3"/>
    <n v="2.8"/>
    <s v="Apple Pay"/>
    <s v="C1045"/>
    <n v="8.3999999999999986"/>
    <s v="Monday"/>
    <s v="August"/>
    <n v="2025"/>
  </r>
  <r>
    <x v="3066"/>
    <d v="2025-08-11T00:00:00"/>
    <s v="Riverside"/>
    <s v="Birmingham"/>
    <s v="Muffin"/>
    <s v="Food"/>
    <n v="3"/>
    <n v="2.2000000000000002"/>
    <s v="Card"/>
    <s v="C1195"/>
    <n v="6.6000000000000005"/>
    <s v="Monday"/>
    <s v="August"/>
    <n v="2025"/>
  </r>
  <r>
    <x v="3067"/>
    <d v="2025-08-11T00:00:00"/>
    <s v="Station"/>
    <s v="Leeds"/>
    <s v="Espresso"/>
    <s v="Drink"/>
    <n v="2"/>
    <n v="2.5"/>
    <s v="Cash"/>
    <s v="C1191"/>
    <n v="5"/>
    <s v="Monday"/>
    <s v="August"/>
    <n v="2025"/>
  </r>
  <r>
    <x v="3068"/>
    <d v="2025-08-11T00:00:00"/>
    <s v="High Street"/>
    <s v="Bristol"/>
    <s v="Muffin"/>
    <s v="Food"/>
    <n v="2"/>
    <n v="2.2000000000000002"/>
    <s v="Apple Pay"/>
    <s v="C1736"/>
    <n v="4.4000000000000004"/>
    <s v="Monday"/>
    <s v="August"/>
    <n v="2025"/>
  </r>
  <r>
    <x v="3069"/>
    <d v="2025-08-11T00:00:00"/>
    <s v="High Street"/>
    <s v="Birmingham"/>
    <s v="Croissant"/>
    <s v="Food"/>
    <n v="1"/>
    <n v="2.8"/>
    <s v="Card"/>
    <s v="C1934"/>
    <n v="2.8"/>
    <s v="Monday"/>
    <s v="August"/>
    <n v="2025"/>
  </r>
  <r>
    <x v="3070"/>
    <d v="2025-08-11T00:00:00"/>
    <s v="Station"/>
    <s v="London"/>
    <s v="Espresso"/>
    <s v="Drink"/>
    <n v="1"/>
    <n v="2.5"/>
    <s v="Card"/>
    <s v="C1823"/>
    <n v="2.5"/>
    <s v="Monday"/>
    <s v="August"/>
    <n v="2025"/>
  </r>
  <r>
    <x v="3071"/>
    <d v="2025-08-12T00:00:00"/>
    <s v="Riverside"/>
    <s v="London"/>
    <s v="Latte"/>
    <s v="Drink"/>
    <n v="5"/>
    <n v="3.5"/>
    <s v="Apple Pay"/>
    <s v="C1445"/>
    <n v="17.5"/>
    <s v="Tuesday"/>
    <s v="August"/>
    <n v="2025"/>
  </r>
  <r>
    <x v="3072"/>
    <d v="2025-08-12T00:00:00"/>
    <s v="High Street"/>
    <s v="London"/>
    <s v="Cappuccino"/>
    <s v="Drink"/>
    <n v="3"/>
    <n v="3.8"/>
    <s v="Card"/>
    <s v="C1107"/>
    <n v="11.399999999999999"/>
    <s v="Tuesday"/>
    <s v="August"/>
    <n v="2025"/>
  </r>
  <r>
    <x v="3073"/>
    <d v="2025-08-12T00:00:00"/>
    <s v="Central"/>
    <s v="Leeds"/>
    <s v="Croissant"/>
    <s v="Food"/>
    <n v="4"/>
    <n v="2.8"/>
    <s v="Apple Pay"/>
    <s v="C1017"/>
    <n v="11.2"/>
    <s v="Tuesday"/>
    <s v="August"/>
    <n v="2025"/>
  </r>
  <r>
    <x v="3074"/>
    <d v="2025-08-12T00:00:00"/>
    <s v="High Street"/>
    <s v="London"/>
    <s v="Muffin"/>
    <s v="Food"/>
    <n v="4"/>
    <n v="2.2000000000000002"/>
    <s v="Apple Pay"/>
    <s v="C1995"/>
    <n v="8.8000000000000007"/>
    <s v="Tuesday"/>
    <s v="August"/>
    <n v="2025"/>
  </r>
  <r>
    <x v="3075"/>
    <d v="2025-08-12T00:00:00"/>
    <s v="Station"/>
    <s v="Bristol"/>
    <s v="Latte"/>
    <s v="Drink"/>
    <n v="2"/>
    <n v="3.5"/>
    <s v="Card"/>
    <s v="C1827"/>
    <n v="7"/>
    <s v="Tuesday"/>
    <s v="August"/>
    <n v="2025"/>
  </r>
  <r>
    <x v="3076"/>
    <d v="2025-08-12T00:00:00"/>
    <s v="Central"/>
    <s v="Bristol"/>
    <s v="Latte"/>
    <s v="Drink"/>
    <n v="2"/>
    <n v="3.5"/>
    <s v="Cash"/>
    <s v="C1636"/>
    <n v="7"/>
    <s v="Tuesday"/>
    <s v="August"/>
    <n v="2025"/>
  </r>
  <r>
    <x v="3077"/>
    <d v="2025-08-12T00:00:00"/>
    <s v="Station"/>
    <s v="Manchester"/>
    <s v="Latte"/>
    <s v="Drink"/>
    <n v="2"/>
    <n v="3.5"/>
    <s v="Apple Pay"/>
    <s v="C1020"/>
    <n v="7"/>
    <s v="Tuesday"/>
    <s v="August"/>
    <n v="2025"/>
  </r>
  <r>
    <x v="3078"/>
    <d v="2025-08-12T00:00:00"/>
    <s v="Central"/>
    <s v="London"/>
    <s v="Muffin"/>
    <s v="Food"/>
    <n v="3"/>
    <n v="2.2000000000000002"/>
    <s v="Card"/>
    <s v="C1918"/>
    <n v="6.6000000000000005"/>
    <s v="Tuesday"/>
    <s v="August"/>
    <n v="2025"/>
  </r>
  <r>
    <x v="3079"/>
    <d v="2025-08-12T00:00:00"/>
    <s v="High Street"/>
    <s v="Manchester"/>
    <s v="Latte"/>
    <s v="Drink"/>
    <n v="1"/>
    <n v="3.5"/>
    <s v="Cash"/>
    <s v="C1123"/>
    <n v="3.5"/>
    <s v="Tuesday"/>
    <s v="August"/>
    <n v="2025"/>
  </r>
  <r>
    <x v="3080"/>
    <d v="2025-08-12T00:00:00"/>
    <s v="Riverside"/>
    <s v="Manchester"/>
    <s v="Espresso"/>
    <s v="Drink"/>
    <n v="1"/>
    <n v="2.5"/>
    <s v="Card"/>
    <s v="C1329"/>
    <n v="2.5"/>
    <s v="Tuesday"/>
    <s v="August"/>
    <n v="2025"/>
  </r>
  <r>
    <x v="3081"/>
    <d v="2025-08-12T00:00:00"/>
    <s v="Station"/>
    <s v="London"/>
    <s v="Muffin"/>
    <s v="Food"/>
    <n v="1"/>
    <n v="2.2000000000000002"/>
    <s v="Apple Pay"/>
    <s v="C1334"/>
    <n v="2.2000000000000002"/>
    <s v="Tuesday"/>
    <s v="August"/>
    <n v="2025"/>
  </r>
  <r>
    <x v="3082"/>
    <d v="2025-08-13T00:00:00"/>
    <s v="Riverside"/>
    <s v="London"/>
    <s v="Espresso"/>
    <s v="Drink"/>
    <n v="5"/>
    <n v="2.5"/>
    <s v="Cash"/>
    <s v="C1176"/>
    <n v="12.5"/>
    <s v="Wednesday"/>
    <s v="August"/>
    <n v="2025"/>
  </r>
  <r>
    <x v="3083"/>
    <d v="2025-08-13T00:00:00"/>
    <s v="Station"/>
    <s v="London"/>
    <s v="Latte"/>
    <s v="Drink"/>
    <n v="3"/>
    <n v="3.5"/>
    <s v="Card"/>
    <s v="C1530"/>
    <n v="10.5"/>
    <s v="Wednesday"/>
    <s v="August"/>
    <n v="2025"/>
  </r>
  <r>
    <x v="3084"/>
    <d v="2025-08-13T00:00:00"/>
    <s v="High Street"/>
    <s v="Birmingham"/>
    <s v="Espresso"/>
    <s v="Drink"/>
    <n v="4"/>
    <n v="2.5"/>
    <s v="Card"/>
    <s v="C1290"/>
    <n v="10"/>
    <s v="Wednesday"/>
    <s v="August"/>
    <n v="2025"/>
  </r>
  <r>
    <x v="3085"/>
    <d v="2025-08-13T00:00:00"/>
    <s v="High Street"/>
    <s v="Birmingham"/>
    <s v="Espresso"/>
    <s v="Drink"/>
    <n v="4"/>
    <n v="2.5"/>
    <s v="Cash"/>
    <s v="C1634"/>
    <n v="10"/>
    <s v="Wednesday"/>
    <s v="August"/>
    <n v="2025"/>
  </r>
  <r>
    <x v="3086"/>
    <d v="2025-08-13T00:00:00"/>
    <s v="High Street"/>
    <s v="Birmingham"/>
    <s v="Cappuccino"/>
    <s v="Drink"/>
    <n v="2"/>
    <n v="3.8"/>
    <s v="Card"/>
    <s v="C1425"/>
    <n v="7.6"/>
    <s v="Wednesday"/>
    <s v="August"/>
    <n v="2025"/>
  </r>
  <r>
    <x v="3087"/>
    <d v="2025-08-13T00:00:00"/>
    <s v="High Street"/>
    <s v="Leeds"/>
    <s v="Espresso"/>
    <s v="Drink"/>
    <n v="3"/>
    <n v="2.5"/>
    <s v="Cash"/>
    <s v="C1299"/>
    <n v="7.5"/>
    <s v="Wednesday"/>
    <s v="August"/>
    <n v="2025"/>
  </r>
  <r>
    <x v="3088"/>
    <d v="2025-08-13T00:00:00"/>
    <s v="Station"/>
    <s v="Birmingham"/>
    <s v="Latte"/>
    <s v="Drink"/>
    <n v="2"/>
    <n v="3.5"/>
    <s v="Apple Pay"/>
    <s v="C1075"/>
    <n v="7"/>
    <s v="Wednesday"/>
    <s v="August"/>
    <n v="2025"/>
  </r>
  <r>
    <x v="3089"/>
    <d v="2025-08-13T00:00:00"/>
    <s v="Central"/>
    <s v="Birmingham"/>
    <s v="Espresso"/>
    <s v="Drink"/>
    <n v="2"/>
    <n v="2.5"/>
    <s v="Apple Pay"/>
    <s v="C1477"/>
    <n v="5"/>
    <s v="Wednesday"/>
    <s v="August"/>
    <n v="2025"/>
  </r>
  <r>
    <x v="3090"/>
    <d v="2025-08-13T00:00:00"/>
    <s v="High Street"/>
    <s v="Birmingham"/>
    <s v="Latte"/>
    <s v="Drink"/>
    <n v="1"/>
    <n v="3.5"/>
    <s v="Apple Pay"/>
    <s v="C1330"/>
    <n v="3.5"/>
    <s v="Wednesday"/>
    <s v="August"/>
    <n v="2025"/>
  </r>
  <r>
    <x v="3091"/>
    <d v="2025-08-13T00:00:00"/>
    <s v="Central"/>
    <s v="London"/>
    <s v="Croissant"/>
    <s v="Food"/>
    <n v="1"/>
    <n v="2.8"/>
    <s v="Apple Pay"/>
    <s v="C1706"/>
    <n v="2.8"/>
    <s v="Wednesday"/>
    <s v="August"/>
    <n v="2025"/>
  </r>
  <r>
    <x v="3092"/>
    <d v="2025-08-13T00:00:00"/>
    <s v="Central"/>
    <s v="Bristol"/>
    <s v="Espresso"/>
    <s v="Drink"/>
    <n v="1"/>
    <n v="2.5"/>
    <s v="Cash"/>
    <s v="C1454"/>
    <n v="2.5"/>
    <s v="Wednesday"/>
    <s v="August"/>
    <n v="2025"/>
  </r>
  <r>
    <x v="3093"/>
    <d v="2025-08-13T00:00:00"/>
    <s v="Central"/>
    <s v="Manchester"/>
    <s v="Muffin"/>
    <s v="Food"/>
    <n v="1"/>
    <n v="2.2000000000000002"/>
    <s v="Cash"/>
    <s v="C1236"/>
    <n v="2.2000000000000002"/>
    <s v="Wednesday"/>
    <s v="August"/>
    <n v="2025"/>
  </r>
  <r>
    <x v="3094"/>
    <d v="2025-08-14T00:00:00"/>
    <s v="Station"/>
    <s v="London"/>
    <s v="Cappuccino"/>
    <s v="Drink"/>
    <n v="5"/>
    <n v="3.8"/>
    <s v="Card"/>
    <s v="C1391"/>
    <n v="19"/>
    <s v="Thursday"/>
    <s v="August"/>
    <n v="2025"/>
  </r>
  <r>
    <x v="3095"/>
    <d v="2025-08-14T00:00:00"/>
    <s v="High Street"/>
    <s v="Bristol"/>
    <s v="Cappuccino"/>
    <s v="Drink"/>
    <n v="5"/>
    <n v="3.8"/>
    <s v="Apple Pay"/>
    <s v="C1807"/>
    <n v="19"/>
    <s v="Thursday"/>
    <s v="August"/>
    <n v="2025"/>
  </r>
  <r>
    <x v="3096"/>
    <d v="2025-08-14T00:00:00"/>
    <s v="Station"/>
    <s v="London"/>
    <s v="Latte"/>
    <s v="Drink"/>
    <n v="5"/>
    <n v="3.5"/>
    <s v="Card"/>
    <s v="C1657"/>
    <n v="17.5"/>
    <s v="Thursday"/>
    <s v="August"/>
    <n v="2025"/>
  </r>
  <r>
    <x v="3097"/>
    <d v="2025-08-14T00:00:00"/>
    <s v="Riverside"/>
    <s v="Manchester"/>
    <s v="Latte"/>
    <s v="Drink"/>
    <n v="5"/>
    <n v="3.5"/>
    <s v="Cash"/>
    <s v="C1774"/>
    <n v="17.5"/>
    <s v="Thursday"/>
    <s v="August"/>
    <n v="2025"/>
  </r>
  <r>
    <x v="3098"/>
    <d v="2025-08-14T00:00:00"/>
    <s v="Central"/>
    <s v="N/A"/>
    <s v="Latte"/>
    <s v="Drink"/>
    <n v="5"/>
    <n v="3.5"/>
    <s v="Cash"/>
    <s v="C1307"/>
    <n v="17.5"/>
    <s v="Thursday"/>
    <s v="August"/>
    <n v="2025"/>
  </r>
  <r>
    <x v="3099"/>
    <d v="2025-08-14T00:00:00"/>
    <s v="Station"/>
    <s v="London"/>
    <s v="Croissant"/>
    <s v="Food"/>
    <n v="5"/>
    <n v="2.8"/>
    <s v="Apple Pay"/>
    <s v="C1537"/>
    <n v="14"/>
    <s v="Thursday"/>
    <s v="August"/>
    <n v="2025"/>
  </r>
  <r>
    <x v="3100"/>
    <d v="2025-08-14T00:00:00"/>
    <s v="High Street"/>
    <s v="Bristol"/>
    <s v="Croissant"/>
    <s v="Food"/>
    <n v="5"/>
    <n v="2.8"/>
    <s v="Apple Pay"/>
    <s v="C1899"/>
    <n v="14"/>
    <s v="Thursday"/>
    <s v="August"/>
    <n v="2025"/>
  </r>
  <r>
    <x v="3101"/>
    <d v="2025-08-14T00:00:00"/>
    <s v="High Street"/>
    <s v="Leeds"/>
    <s v="Espresso"/>
    <s v="Drink"/>
    <n v="5"/>
    <n v="2.5"/>
    <s v="Apple Pay"/>
    <s v="C1454"/>
    <n v="12.5"/>
    <s v="Thursday"/>
    <s v="August"/>
    <n v="2025"/>
  </r>
  <r>
    <x v="3102"/>
    <d v="2025-08-14T00:00:00"/>
    <s v="High Street"/>
    <s v="London"/>
    <s v="Espresso"/>
    <s v="Drink"/>
    <n v="5"/>
    <n v="2.5"/>
    <s v="Apple Pay"/>
    <s v="C1034"/>
    <n v="12.5"/>
    <s v="Thursday"/>
    <s v="August"/>
    <n v="2025"/>
  </r>
  <r>
    <x v="3103"/>
    <d v="2025-08-14T00:00:00"/>
    <s v="Station"/>
    <s v="Leeds"/>
    <s v="Croissant"/>
    <s v="Food"/>
    <n v="3"/>
    <n v="2.8"/>
    <s v="Cash"/>
    <s v="C1967"/>
    <n v="8.3999999999999986"/>
    <s v="Thursday"/>
    <s v="August"/>
    <n v="2025"/>
  </r>
  <r>
    <x v="3104"/>
    <d v="2025-08-14T00:00:00"/>
    <s v="Station"/>
    <s v="London"/>
    <s v="Espresso"/>
    <s v="Drink"/>
    <n v="3"/>
    <n v="2.5"/>
    <s v="Card"/>
    <s v="C1735"/>
    <n v="7.5"/>
    <s v="Thursday"/>
    <s v="August"/>
    <n v="2025"/>
  </r>
  <r>
    <x v="3105"/>
    <d v="2025-08-14T00:00:00"/>
    <s v="Station"/>
    <s v="Leeds"/>
    <s v="Croissant"/>
    <s v="Food"/>
    <n v="2"/>
    <n v="2.8"/>
    <s v="Card"/>
    <s v="C1175"/>
    <n v="5.6"/>
    <s v="Thursday"/>
    <s v="August"/>
    <n v="2025"/>
  </r>
  <r>
    <x v="3106"/>
    <d v="2025-08-14T00:00:00"/>
    <s v="Station"/>
    <s v="Bristol"/>
    <s v="Croissant"/>
    <s v="Food"/>
    <n v="2"/>
    <n v="2.8"/>
    <s v="Cash"/>
    <s v="C1708"/>
    <n v="5.6"/>
    <s v="Thursday"/>
    <s v="August"/>
    <n v="2025"/>
  </r>
  <r>
    <x v="3107"/>
    <d v="2025-08-14T00:00:00"/>
    <s v="High Street"/>
    <s v="Birmingham"/>
    <s v="Espresso"/>
    <s v="Drink"/>
    <n v="2"/>
    <n v="2.5"/>
    <s v="Apple Pay"/>
    <s v="C1210"/>
    <n v="5"/>
    <s v="Thursday"/>
    <s v="August"/>
    <n v="2025"/>
  </r>
  <r>
    <x v="3108"/>
    <d v="2025-08-14T00:00:00"/>
    <s v="Central"/>
    <s v="Bristol"/>
    <s v="Cappuccino"/>
    <s v="Drink"/>
    <n v="1"/>
    <n v="3.8"/>
    <s v="Card"/>
    <s v="C1851"/>
    <n v="3.8"/>
    <s v="Thursday"/>
    <s v="August"/>
    <n v="2025"/>
  </r>
  <r>
    <x v="3109"/>
    <d v="2025-08-14T00:00:00"/>
    <s v="Central"/>
    <s v="Manchester"/>
    <s v="Espresso"/>
    <s v="Drink"/>
    <n v="1"/>
    <n v="2.5"/>
    <s v="Card"/>
    <s v="C1493"/>
    <n v="2.5"/>
    <s v="Thursday"/>
    <s v="August"/>
    <n v="2025"/>
  </r>
  <r>
    <x v="3110"/>
    <d v="2025-08-14T00:00:00"/>
    <s v="High Street"/>
    <s v="Leeds"/>
    <s v="Muffin"/>
    <s v="Food"/>
    <n v="1"/>
    <n v="2.2000000000000002"/>
    <s v="Card"/>
    <s v="C1071"/>
    <n v="2.2000000000000002"/>
    <s v="Thursday"/>
    <s v="August"/>
    <n v="2025"/>
  </r>
  <r>
    <x v="3111"/>
    <d v="2025-08-14T00:00:00"/>
    <s v="Riverside"/>
    <s v="London"/>
    <s v="Muffin"/>
    <s v="Food"/>
    <n v="1"/>
    <n v="2.2000000000000002"/>
    <s v="Card"/>
    <s v="C1789"/>
    <n v="2.2000000000000002"/>
    <s v="Thursday"/>
    <s v="August"/>
    <n v="2025"/>
  </r>
  <r>
    <x v="3112"/>
    <d v="2025-08-15T00:00:00"/>
    <s v="Station"/>
    <s v="Manchester"/>
    <s v="Cappuccino"/>
    <s v="Drink"/>
    <n v="5"/>
    <n v="3.8"/>
    <s v="Card"/>
    <s v="C1352"/>
    <n v="19"/>
    <s v="Friday"/>
    <s v="August"/>
    <n v="2025"/>
  </r>
  <r>
    <x v="3113"/>
    <d v="2025-08-15T00:00:00"/>
    <s v="Station"/>
    <s v="Manchester"/>
    <s v="Cappuccino"/>
    <s v="Drink"/>
    <n v="5"/>
    <n v="3.8"/>
    <s v="Card"/>
    <s v="C1389"/>
    <n v="19"/>
    <s v="Friday"/>
    <s v="August"/>
    <n v="2025"/>
  </r>
  <r>
    <x v="3114"/>
    <d v="2025-08-15T00:00:00"/>
    <s v="Riverside"/>
    <s v="Bristol"/>
    <s v="Latte"/>
    <s v="Drink"/>
    <n v="5"/>
    <n v="3.5"/>
    <s v="Card"/>
    <s v="C1029"/>
    <n v="17.5"/>
    <s v="Friday"/>
    <s v="August"/>
    <n v="2025"/>
  </r>
  <r>
    <x v="3115"/>
    <d v="2025-08-15T00:00:00"/>
    <s v="Riverside"/>
    <s v="Leeds"/>
    <s v="Latte"/>
    <s v="Drink"/>
    <n v="4"/>
    <n v="3.5"/>
    <s v="Apple Pay"/>
    <s v="C1371"/>
    <n v="14"/>
    <s v="Friday"/>
    <s v="August"/>
    <n v="2025"/>
  </r>
  <r>
    <x v="3116"/>
    <d v="2025-08-15T00:00:00"/>
    <s v="High Street"/>
    <s v="Leeds"/>
    <s v="Croissant"/>
    <s v="Food"/>
    <n v="4"/>
    <n v="2.8"/>
    <s v="Card"/>
    <s v="C1003"/>
    <n v="11.2"/>
    <s v="Friday"/>
    <s v="August"/>
    <n v="2025"/>
  </r>
  <r>
    <x v="3117"/>
    <d v="2025-08-15T00:00:00"/>
    <s v="Riverside"/>
    <s v="Manchester"/>
    <s v="Latte"/>
    <s v="Drink"/>
    <n v="3"/>
    <n v="3.5"/>
    <s v="Card"/>
    <s v="C1504"/>
    <n v="10.5"/>
    <s v="Friday"/>
    <s v="August"/>
    <n v="2025"/>
  </r>
  <r>
    <x v="3118"/>
    <d v="2025-08-15T00:00:00"/>
    <s v="Riverside"/>
    <s v="Birmingham"/>
    <s v="Muffin"/>
    <s v="Food"/>
    <n v="2"/>
    <n v="2.2000000000000002"/>
    <s v="Card"/>
    <s v="C1478"/>
    <n v="4.4000000000000004"/>
    <s v="Friday"/>
    <s v="August"/>
    <n v="2025"/>
  </r>
  <r>
    <x v="3119"/>
    <d v="2025-08-15T00:00:00"/>
    <s v="High Street"/>
    <s v="Manchester"/>
    <s v="Muffin"/>
    <s v="Food"/>
    <n v="2"/>
    <n v="2.2000000000000002"/>
    <s v="Card"/>
    <s v="C1763"/>
    <n v="4.4000000000000004"/>
    <s v="Friday"/>
    <s v="August"/>
    <n v="2025"/>
  </r>
  <r>
    <x v="3120"/>
    <d v="2025-08-15T00:00:00"/>
    <s v="Station"/>
    <s v="Manchester"/>
    <s v="Croissant"/>
    <s v="Food"/>
    <n v="1"/>
    <n v="2.8"/>
    <s v="Card"/>
    <s v="C1066"/>
    <n v="2.8"/>
    <s v="Friday"/>
    <s v="August"/>
    <n v="2025"/>
  </r>
  <r>
    <x v="3121"/>
    <d v="2025-08-15T00:00:00"/>
    <s v="Central"/>
    <s v="Leeds"/>
    <s v="Espresso"/>
    <s v="Drink"/>
    <n v="1"/>
    <n v="2.5"/>
    <s v="Card"/>
    <s v="C1592"/>
    <n v="2.5"/>
    <s v="Friday"/>
    <s v="August"/>
    <n v="2025"/>
  </r>
  <r>
    <x v="3122"/>
    <d v="2025-08-15T00:00:00"/>
    <s v="Station"/>
    <s v="London"/>
    <s v="Muffin"/>
    <s v="Food"/>
    <n v="1"/>
    <n v="2.2000000000000002"/>
    <s v="Card"/>
    <s v="C1112"/>
    <n v="2.2000000000000002"/>
    <s v="Friday"/>
    <s v="August"/>
    <n v="2025"/>
  </r>
  <r>
    <x v="3123"/>
    <d v="2025-08-16T00:00:00"/>
    <s v="Riverside"/>
    <s v="Birmingham"/>
    <s v="Latte"/>
    <s v="Drink"/>
    <n v="5"/>
    <n v="3.5"/>
    <s v="Apple Pay"/>
    <s v="C1543"/>
    <n v="17.5"/>
    <s v="Saturday"/>
    <s v="August"/>
    <n v="2025"/>
  </r>
  <r>
    <x v="3124"/>
    <d v="2025-08-16T00:00:00"/>
    <s v="High Street"/>
    <s v="London"/>
    <s v="Croissant"/>
    <s v="Food"/>
    <n v="5"/>
    <n v="2.8"/>
    <s v="Apple Pay"/>
    <s v="C1621"/>
    <n v="14"/>
    <s v="Saturday"/>
    <s v="August"/>
    <n v="2025"/>
  </r>
  <r>
    <x v="3125"/>
    <d v="2025-08-16T00:00:00"/>
    <s v="Station"/>
    <s v="London"/>
    <s v="Latte"/>
    <s v="Drink"/>
    <n v="4"/>
    <n v="3.5"/>
    <s v="Cash"/>
    <s v="C1831"/>
    <n v="14"/>
    <s v="Saturday"/>
    <s v="August"/>
    <n v="2025"/>
  </r>
  <r>
    <x v="3126"/>
    <d v="2025-08-16T00:00:00"/>
    <s v="Central"/>
    <s v="Manchester"/>
    <s v="Espresso"/>
    <s v="Drink"/>
    <n v="5"/>
    <n v="2.5"/>
    <s v="Apple Pay"/>
    <s v="C1747"/>
    <n v="12.5"/>
    <s v="Saturday"/>
    <s v="August"/>
    <n v="2025"/>
  </r>
  <r>
    <x v="3127"/>
    <d v="2025-08-16T00:00:00"/>
    <s v="Riverside"/>
    <s v="Birmingham"/>
    <s v="Cappuccino"/>
    <s v="Drink"/>
    <n v="3"/>
    <n v="3.8"/>
    <s v="Card"/>
    <s v="C1039"/>
    <n v="11.399999999999999"/>
    <s v="Saturday"/>
    <s v="August"/>
    <n v="2025"/>
  </r>
  <r>
    <x v="3128"/>
    <d v="2025-08-16T00:00:00"/>
    <s v="Central"/>
    <s v="Manchester"/>
    <s v="Croissant"/>
    <s v="Food"/>
    <n v="4"/>
    <n v="2.8"/>
    <s v="Card"/>
    <s v="C1250"/>
    <n v="11.2"/>
    <s v="Saturday"/>
    <s v="August"/>
    <n v="2025"/>
  </r>
  <r>
    <x v="3129"/>
    <d v="2025-08-16T00:00:00"/>
    <s v="Central"/>
    <s v="London"/>
    <s v="Muffin"/>
    <s v="Food"/>
    <n v="5"/>
    <n v="2.2000000000000002"/>
    <s v="Apple Pay"/>
    <s v="C1308"/>
    <n v="11"/>
    <s v="Saturday"/>
    <s v="August"/>
    <n v="2025"/>
  </r>
  <r>
    <x v="3130"/>
    <d v="2025-08-16T00:00:00"/>
    <s v="Central"/>
    <s v="Bristol"/>
    <s v="Latte"/>
    <s v="Drink"/>
    <n v="3"/>
    <n v="3.5"/>
    <s v="Card"/>
    <s v="C1348"/>
    <n v="10.5"/>
    <s v="Saturday"/>
    <s v="August"/>
    <n v="2025"/>
  </r>
  <r>
    <x v="3131"/>
    <d v="2025-08-16T00:00:00"/>
    <s v="Station"/>
    <s v="London"/>
    <s v="Croissant"/>
    <s v="Food"/>
    <n v="3"/>
    <n v="2.8"/>
    <s v="Apple Pay"/>
    <s v="C1012"/>
    <n v="8.3999999999999986"/>
    <s v="Saturday"/>
    <s v="August"/>
    <n v="2025"/>
  </r>
  <r>
    <x v="3132"/>
    <d v="2025-08-16T00:00:00"/>
    <s v="Station"/>
    <s v="Manchester"/>
    <s v="Cappuccino"/>
    <s v="Drink"/>
    <n v="2"/>
    <n v="3.8"/>
    <s v="Card"/>
    <s v="C1910"/>
    <n v="7.6"/>
    <s v="Saturday"/>
    <s v="August"/>
    <n v="2025"/>
  </r>
  <r>
    <x v="3133"/>
    <d v="2025-08-16T00:00:00"/>
    <s v="Central"/>
    <s v="Bristol"/>
    <s v="Latte"/>
    <s v="Drink"/>
    <n v="2"/>
    <n v="3.5"/>
    <s v="Cash"/>
    <s v="C1900"/>
    <n v="7"/>
    <s v="Saturday"/>
    <s v="August"/>
    <n v="2025"/>
  </r>
  <r>
    <x v="3134"/>
    <d v="2025-08-16T00:00:00"/>
    <s v="Riverside"/>
    <s v="Leeds"/>
    <s v="Latte"/>
    <s v="Drink"/>
    <n v="2"/>
    <n v="3.5"/>
    <s v="Card"/>
    <s v="C1821"/>
    <n v="7"/>
    <s v="Saturday"/>
    <s v="August"/>
    <n v="2025"/>
  </r>
  <r>
    <x v="3135"/>
    <d v="2025-08-16T00:00:00"/>
    <s v="High Street"/>
    <s v="Leeds"/>
    <s v="Croissant"/>
    <s v="Food"/>
    <n v="2"/>
    <n v="2.8"/>
    <s v="Apple Pay"/>
    <s v="C1262"/>
    <n v="5.6"/>
    <s v="Saturday"/>
    <s v="August"/>
    <n v="2025"/>
  </r>
  <r>
    <x v="3136"/>
    <d v="2025-08-16T00:00:00"/>
    <s v="High Street"/>
    <s v="Birmingham"/>
    <s v="Espresso"/>
    <s v="Drink"/>
    <n v="2"/>
    <n v="2.5"/>
    <s v="Cash"/>
    <s v="C1200"/>
    <n v="5"/>
    <s v="Saturday"/>
    <s v="August"/>
    <n v="2025"/>
  </r>
  <r>
    <x v="3137"/>
    <d v="2025-08-16T00:00:00"/>
    <s v="Riverside"/>
    <s v="Leeds"/>
    <s v="Croissant"/>
    <s v="Food"/>
    <n v="1"/>
    <n v="2.8"/>
    <s v="Card"/>
    <s v="C1040"/>
    <n v="2.8"/>
    <s v="Saturday"/>
    <s v="August"/>
    <n v="2025"/>
  </r>
  <r>
    <x v="3138"/>
    <d v="2025-08-17T00:00:00"/>
    <s v="Riverside"/>
    <s v="Birmingham"/>
    <s v="Cappuccino"/>
    <s v="Drink"/>
    <n v="5"/>
    <n v="3.8"/>
    <s v="Cash"/>
    <s v="C1217"/>
    <n v="19"/>
    <s v="Sunday"/>
    <s v="August"/>
    <n v="2025"/>
  </r>
  <r>
    <x v="3139"/>
    <d v="2025-08-17T00:00:00"/>
    <s v="Riverside"/>
    <s v="London"/>
    <s v="Latte"/>
    <s v="Drink"/>
    <n v="4"/>
    <n v="3.5"/>
    <s v="Apple Pay"/>
    <s v="C1890"/>
    <n v="14"/>
    <s v="Sunday"/>
    <s v="August"/>
    <n v="2025"/>
  </r>
  <r>
    <x v="3140"/>
    <d v="2025-08-17T00:00:00"/>
    <s v="High Street"/>
    <s v="Manchester"/>
    <s v="Espresso"/>
    <s v="Drink"/>
    <n v="5"/>
    <n v="2.5"/>
    <s v="Card"/>
    <s v="C1313"/>
    <n v="12.5"/>
    <s v="Sunday"/>
    <s v="August"/>
    <n v="2025"/>
  </r>
  <r>
    <x v="3141"/>
    <d v="2025-08-17T00:00:00"/>
    <s v="High Street"/>
    <s v="Leeds"/>
    <s v="Croissant"/>
    <s v="Food"/>
    <n v="4"/>
    <n v="2.8"/>
    <s v="Card"/>
    <s v="C1046"/>
    <n v="11.2"/>
    <s v="Sunday"/>
    <s v="August"/>
    <n v="2025"/>
  </r>
  <r>
    <x v="3142"/>
    <d v="2025-08-17T00:00:00"/>
    <s v="Station"/>
    <s v="London"/>
    <s v="Muffin"/>
    <s v="Food"/>
    <n v="5"/>
    <n v="2.2000000000000002"/>
    <s v="Card"/>
    <s v="C1075"/>
    <n v="11"/>
    <s v="Sunday"/>
    <s v="August"/>
    <n v="2025"/>
  </r>
  <r>
    <x v="3143"/>
    <d v="2025-08-17T00:00:00"/>
    <s v="High Street"/>
    <s v="Bristol"/>
    <s v="Espresso"/>
    <s v="Drink"/>
    <n v="3"/>
    <n v="2.5"/>
    <s v="Cash"/>
    <s v="C1716"/>
    <n v="7.5"/>
    <s v="Sunday"/>
    <s v="August"/>
    <n v="2025"/>
  </r>
  <r>
    <x v="3144"/>
    <d v="2025-08-17T00:00:00"/>
    <s v="High Street"/>
    <s v="Birmingham"/>
    <s v="Latte"/>
    <s v="Drink"/>
    <n v="2"/>
    <n v="3.5"/>
    <s v="Apple Pay"/>
    <s v="C1473"/>
    <n v="7"/>
    <s v="Sunday"/>
    <s v="August"/>
    <n v="2025"/>
  </r>
  <r>
    <x v="3145"/>
    <d v="2025-08-17T00:00:00"/>
    <s v="Riverside"/>
    <s v="Manchester"/>
    <s v="Croissant"/>
    <s v="Food"/>
    <n v="2"/>
    <n v="2.8"/>
    <s v="Apple Pay"/>
    <s v="C1366"/>
    <n v="5.6"/>
    <s v="Sunday"/>
    <s v="August"/>
    <n v="2025"/>
  </r>
  <r>
    <x v="3145"/>
    <d v="2025-08-17T00:00:00"/>
    <s v="Riverside"/>
    <s v="Manchester"/>
    <s v="Croissant"/>
    <s v="Food"/>
    <n v="2"/>
    <n v="2.8"/>
    <s v="Cash"/>
    <s v="C1366"/>
    <n v="5.6"/>
    <s v="Sunday"/>
    <s v="August"/>
    <n v="2025"/>
  </r>
  <r>
    <x v="3146"/>
    <d v="2025-08-17T00:00:00"/>
    <s v="Station"/>
    <s v="London"/>
    <s v="Croissant"/>
    <s v="Food"/>
    <n v="2"/>
    <n v="2.8"/>
    <s v="Cash"/>
    <s v="C1630"/>
    <n v="5.6"/>
    <s v="Sunday"/>
    <s v="August"/>
    <n v="2025"/>
  </r>
  <r>
    <x v="3147"/>
    <d v="2025-08-17T00:00:00"/>
    <s v="Station"/>
    <s v="London"/>
    <s v="Espresso"/>
    <s v="Drink"/>
    <n v="2"/>
    <n v="2.5"/>
    <s v="Apple Pay"/>
    <s v="C1581"/>
    <n v="5"/>
    <s v="Sunday"/>
    <s v="August"/>
    <n v="2025"/>
  </r>
  <r>
    <x v="3148"/>
    <d v="2025-08-17T00:00:00"/>
    <s v="Station"/>
    <s v="London"/>
    <s v="Espresso"/>
    <s v="Drink"/>
    <n v="2"/>
    <n v="2.5"/>
    <s v="Cash"/>
    <s v="C1179"/>
    <n v="5"/>
    <s v="Sunday"/>
    <s v="August"/>
    <n v="2025"/>
  </r>
  <r>
    <x v="3149"/>
    <d v="2025-08-17T00:00:00"/>
    <s v="Riverside"/>
    <s v="Manchester"/>
    <s v="Croissant"/>
    <s v="Food"/>
    <n v="1"/>
    <n v="2.8"/>
    <s v="Card"/>
    <s v="C1562"/>
    <n v="2.8"/>
    <s v="Sunday"/>
    <s v="August"/>
    <n v="2025"/>
  </r>
  <r>
    <x v="3150"/>
    <d v="2025-08-18T00:00:00"/>
    <s v="Central"/>
    <s v="London"/>
    <s v="Cappuccino"/>
    <s v="Drink"/>
    <n v="5"/>
    <n v="3.8"/>
    <s v="Cash"/>
    <s v="C1756"/>
    <n v="19"/>
    <s v="Monday"/>
    <s v="August"/>
    <n v="2025"/>
  </r>
  <r>
    <x v="3151"/>
    <d v="2025-08-18T00:00:00"/>
    <s v="Riverside"/>
    <s v="Leeds"/>
    <s v="Latte"/>
    <s v="Drink"/>
    <n v="5"/>
    <n v="3.5"/>
    <s v="Cash"/>
    <s v="C1234"/>
    <n v="17.5"/>
    <s v="Monday"/>
    <s v="August"/>
    <n v="2025"/>
  </r>
  <r>
    <x v="3152"/>
    <d v="2025-08-18T00:00:00"/>
    <s v="High Street"/>
    <s v="Birmingham"/>
    <s v="Cappuccino"/>
    <s v="Drink"/>
    <n v="4"/>
    <n v="3.8"/>
    <s v="Card"/>
    <s v="C1182"/>
    <n v="15.2"/>
    <s v="Monday"/>
    <s v="August"/>
    <n v="2025"/>
  </r>
  <r>
    <x v="3153"/>
    <d v="2025-08-18T00:00:00"/>
    <s v="Station"/>
    <s v="London"/>
    <s v="Latte"/>
    <s v="Drink"/>
    <n v="4"/>
    <n v="3.5"/>
    <s v="Apple Pay"/>
    <s v="C1432"/>
    <n v="14"/>
    <s v="Monday"/>
    <s v="August"/>
    <n v="2025"/>
  </r>
  <r>
    <x v="3154"/>
    <d v="2025-08-18T00:00:00"/>
    <s v="Station"/>
    <s v="Bristol"/>
    <s v="Latte"/>
    <s v="Drink"/>
    <n v="4"/>
    <n v="3.5"/>
    <s v="Cash"/>
    <s v="C1808"/>
    <n v="14"/>
    <s v="Monday"/>
    <s v="August"/>
    <n v="2025"/>
  </r>
  <r>
    <x v="3155"/>
    <d v="2025-08-18T00:00:00"/>
    <s v="Station"/>
    <s v="Bristol"/>
    <s v="Croissant"/>
    <s v="Food"/>
    <n v="4"/>
    <n v="2.8"/>
    <s v="Cash"/>
    <s v="C1153"/>
    <n v="11.2"/>
    <s v="Monday"/>
    <s v="August"/>
    <n v="2025"/>
  </r>
  <r>
    <x v="3156"/>
    <d v="2025-08-18T00:00:00"/>
    <s v="Central"/>
    <s v="Leeds"/>
    <s v="Latte"/>
    <s v="Drink"/>
    <n v="3"/>
    <n v="3.5"/>
    <s v="Card"/>
    <s v="C1010"/>
    <n v="10.5"/>
    <s v="Monday"/>
    <s v="August"/>
    <n v="2025"/>
  </r>
  <r>
    <x v="3157"/>
    <d v="2025-08-18T00:00:00"/>
    <s v="Station"/>
    <s v="Bristol"/>
    <s v="Cappuccino"/>
    <s v="Drink"/>
    <n v="2"/>
    <n v="3.8"/>
    <s v="Apple Pay"/>
    <s v="C1672"/>
    <n v="7.6"/>
    <s v="Monday"/>
    <s v="August"/>
    <n v="2025"/>
  </r>
  <r>
    <x v="3158"/>
    <d v="2025-08-18T00:00:00"/>
    <s v="Central"/>
    <s v="Leeds"/>
    <s v="Espresso"/>
    <s v="Drink"/>
    <n v="3"/>
    <n v="2.5"/>
    <s v="Apple Pay"/>
    <s v="C1677"/>
    <n v="7.5"/>
    <s v="Monday"/>
    <s v="August"/>
    <n v="2025"/>
  </r>
  <r>
    <x v="3159"/>
    <d v="2025-08-18T00:00:00"/>
    <s v="High Street"/>
    <s v="Bristol"/>
    <s v="Croissant"/>
    <s v="Food"/>
    <n v="2"/>
    <n v="2.8"/>
    <s v="Apple Pay"/>
    <s v="C1958"/>
    <n v="5.6"/>
    <s v="Monday"/>
    <s v="August"/>
    <n v="2025"/>
  </r>
  <r>
    <x v="3160"/>
    <d v="2025-08-18T00:00:00"/>
    <s v="Station"/>
    <s v="London"/>
    <s v="Latte"/>
    <s v="Drink"/>
    <n v="1"/>
    <n v="3.5"/>
    <s v="Apple Pay"/>
    <s v="C1620"/>
    <n v="3.5"/>
    <s v="Monday"/>
    <s v="August"/>
    <n v="2025"/>
  </r>
  <r>
    <x v="3161"/>
    <d v="2025-08-18T00:00:00"/>
    <s v="Riverside"/>
    <s v="N/A"/>
    <s v="Espresso"/>
    <s v="Drink"/>
    <n v="1"/>
    <n v="2.5"/>
    <s v="Cash"/>
    <s v="C1243"/>
    <n v="2.5"/>
    <s v="Monday"/>
    <s v="August"/>
    <n v="2025"/>
  </r>
  <r>
    <x v="3162"/>
    <d v="2025-08-19T00:00:00"/>
    <s v="Station"/>
    <s v="London"/>
    <s v="Cappuccino"/>
    <s v="Drink"/>
    <n v="5"/>
    <n v="3.8"/>
    <s v="Card"/>
    <s v="C1671"/>
    <n v="19"/>
    <s v="Tuesday"/>
    <s v="August"/>
    <n v="2025"/>
  </r>
  <r>
    <x v="3163"/>
    <d v="2025-08-19T00:00:00"/>
    <s v="Riverside"/>
    <s v="Manchester"/>
    <s v="Cappuccino"/>
    <s v="Drink"/>
    <n v="5"/>
    <n v="3.8"/>
    <s v="Cash"/>
    <s v="C1500"/>
    <n v="19"/>
    <s v="Tuesday"/>
    <s v="August"/>
    <n v="2025"/>
  </r>
  <r>
    <x v="3164"/>
    <d v="2025-08-19T00:00:00"/>
    <s v="Station"/>
    <s v="London"/>
    <s v="Latte"/>
    <s v="Drink"/>
    <n v="4"/>
    <n v="3.5"/>
    <s v="Cash"/>
    <s v="C1662"/>
    <n v="14"/>
    <s v="Tuesday"/>
    <s v="August"/>
    <n v="2025"/>
  </r>
  <r>
    <x v="3165"/>
    <d v="2025-08-19T00:00:00"/>
    <s v="High Street"/>
    <s v="London"/>
    <s v="Cappuccino"/>
    <s v="Drink"/>
    <n v="3"/>
    <n v="3.8"/>
    <s v="Cash"/>
    <s v="C1369"/>
    <n v="11.399999999999999"/>
    <s v="Tuesday"/>
    <s v="August"/>
    <n v="2025"/>
  </r>
  <r>
    <x v="3166"/>
    <d v="2025-08-19T00:00:00"/>
    <s v="Station"/>
    <s v="Birmingham"/>
    <s v="Muffin"/>
    <s v="Food"/>
    <n v="5"/>
    <n v="2.2000000000000002"/>
    <s v="Cash"/>
    <s v="C1320"/>
    <n v="11"/>
    <s v="Tuesday"/>
    <s v="August"/>
    <n v="2025"/>
  </r>
  <r>
    <x v="3167"/>
    <d v="2025-08-19T00:00:00"/>
    <s v="High Street"/>
    <s v="Manchester"/>
    <s v="Espresso"/>
    <s v="Drink"/>
    <n v="4"/>
    <n v="2.5"/>
    <s v="Cash"/>
    <s v="C1918"/>
    <n v="10"/>
    <s v="Tuesday"/>
    <s v="August"/>
    <n v="2025"/>
  </r>
  <r>
    <x v="3168"/>
    <d v="2025-08-19T00:00:00"/>
    <s v="Riverside"/>
    <s v="Manchester"/>
    <s v="Croissant"/>
    <s v="Food"/>
    <n v="3"/>
    <n v="2.8"/>
    <s v="Apple Pay"/>
    <s v="C1227"/>
    <n v="8.3999999999999986"/>
    <s v="Tuesday"/>
    <s v="August"/>
    <n v="2025"/>
  </r>
  <r>
    <x v="3169"/>
    <d v="2025-08-19T00:00:00"/>
    <s v="Station"/>
    <s v="Bristol"/>
    <s v="Croissant"/>
    <s v="Food"/>
    <n v="3"/>
    <n v="2.8"/>
    <s v="Cash"/>
    <s v="C1118"/>
    <n v="8.3999999999999986"/>
    <s v="Tuesday"/>
    <s v="August"/>
    <n v="2025"/>
  </r>
  <r>
    <x v="3170"/>
    <d v="2025-08-19T00:00:00"/>
    <s v="High Street"/>
    <s v="Bristol"/>
    <s v="Croissant"/>
    <s v="Food"/>
    <n v="2"/>
    <n v="2.8"/>
    <s v="Apple Pay"/>
    <s v="C1789"/>
    <n v="5.6"/>
    <s v="Tuesday"/>
    <s v="August"/>
    <n v="2025"/>
  </r>
  <r>
    <x v="3171"/>
    <d v="2025-08-19T00:00:00"/>
    <s v="Station"/>
    <s v="Bristol"/>
    <s v="Espresso"/>
    <s v="Drink"/>
    <n v="2"/>
    <n v="2.5"/>
    <s v="Apple Pay"/>
    <s v="C1648"/>
    <n v="5"/>
    <s v="Tuesday"/>
    <s v="August"/>
    <n v="2025"/>
  </r>
  <r>
    <x v="3172"/>
    <d v="2025-08-19T00:00:00"/>
    <s v="Riverside"/>
    <s v="Manchester"/>
    <s v="Espresso"/>
    <s v="Drink"/>
    <n v="2"/>
    <n v="2.5"/>
    <s v="Apple Pay"/>
    <s v="C1068"/>
    <n v="5"/>
    <s v="Tuesday"/>
    <s v="August"/>
    <n v="2025"/>
  </r>
  <r>
    <x v="3173"/>
    <d v="2025-08-19T00:00:00"/>
    <s v="Station"/>
    <s v="Bristol"/>
    <s v="Latte"/>
    <s v="Drink"/>
    <n v="1"/>
    <n v="3.5"/>
    <s v="Apple Pay"/>
    <s v="C1461"/>
    <n v="3.5"/>
    <s v="Tuesday"/>
    <s v="August"/>
    <n v="2025"/>
  </r>
  <r>
    <x v="3174"/>
    <d v="2025-08-19T00:00:00"/>
    <s v="Station"/>
    <s v="Manchester"/>
    <s v="Espresso"/>
    <s v="Drink"/>
    <n v="1"/>
    <n v="2.5"/>
    <s v="Card"/>
    <s v="C1522"/>
    <n v="2.5"/>
    <s v="Tuesday"/>
    <s v="August"/>
    <n v="2025"/>
  </r>
  <r>
    <x v="3175"/>
    <d v="2025-08-19T00:00:00"/>
    <s v="Central"/>
    <s v="London"/>
    <s v="Muffin"/>
    <s v="Food"/>
    <n v="1"/>
    <n v="2.2000000000000002"/>
    <s v="Cash"/>
    <s v="C1141"/>
    <n v="2.2000000000000002"/>
    <s v="Tuesday"/>
    <s v="August"/>
    <n v="2025"/>
  </r>
  <r>
    <x v="3176"/>
    <d v="2025-08-19T00:00:00"/>
    <s v="Central"/>
    <s v="London"/>
    <s v="Latte"/>
    <s v="Food"/>
    <n v="1"/>
    <n v="2.2000000000000002"/>
    <s v="Apple Pay"/>
    <s v="C1446"/>
    <n v="2.2000000000000002"/>
    <s v="Tuesday"/>
    <s v="August"/>
    <n v="2025"/>
  </r>
  <r>
    <x v="3177"/>
    <d v="2025-08-20T00:00:00"/>
    <s v="Central"/>
    <s v="Birmingham"/>
    <s v="Cappuccino"/>
    <s v="Drink"/>
    <n v="5"/>
    <n v="3.8"/>
    <s v="Apple Pay"/>
    <s v="C1079"/>
    <n v="19"/>
    <s v="Wednesday"/>
    <s v="August"/>
    <n v="2025"/>
  </r>
  <r>
    <x v="3178"/>
    <d v="2025-08-20T00:00:00"/>
    <s v="Riverside"/>
    <s v="Bristol"/>
    <s v="Latte"/>
    <s v="Drink"/>
    <n v="5"/>
    <n v="3.5"/>
    <s v="Apple Pay"/>
    <s v="C1876"/>
    <n v="17.5"/>
    <s v="Wednesday"/>
    <s v="August"/>
    <n v="2025"/>
  </r>
  <r>
    <x v="3179"/>
    <d v="2025-08-20T00:00:00"/>
    <s v="Riverside"/>
    <s v="Manchester"/>
    <s v="Croissant"/>
    <s v="Food"/>
    <n v="5"/>
    <n v="2.8"/>
    <s v="Card"/>
    <s v="C1037"/>
    <n v="14"/>
    <s v="Wednesday"/>
    <s v="August"/>
    <n v="2025"/>
  </r>
  <r>
    <x v="3180"/>
    <d v="2025-08-20T00:00:00"/>
    <s v="High Street"/>
    <s v="Bristol"/>
    <s v="Croissant"/>
    <s v="Food"/>
    <n v="5"/>
    <n v="2.8"/>
    <s v="Apple Pay"/>
    <s v="C1447"/>
    <n v="14"/>
    <s v="Wednesday"/>
    <s v="August"/>
    <n v="2025"/>
  </r>
  <r>
    <x v="3181"/>
    <d v="2025-08-20T00:00:00"/>
    <s v="High Street"/>
    <s v="Manchester"/>
    <s v="Croissant"/>
    <s v="Food"/>
    <n v="5"/>
    <n v="2.8"/>
    <s v="Cash"/>
    <s v="C1325"/>
    <n v="14"/>
    <s v="Wednesday"/>
    <s v="August"/>
    <n v="2025"/>
  </r>
  <r>
    <x v="3182"/>
    <d v="2025-08-20T00:00:00"/>
    <s v="Riverside"/>
    <s v="Birmingham"/>
    <s v="Croissant"/>
    <s v="Food"/>
    <n v="3"/>
    <n v="2.8"/>
    <s v="Card"/>
    <s v="C1359"/>
    <n v="8.3999999999999986"/>
    <s v="Wednesday"/>
    <s v="August"/>
    <n v="2025"/>
  </r>
  <r>
    <x v="3183"/>
    <d v="2025-08-20T00:00:00"/>
    <s v="Station"/>
    <s v="London"/>
    <s v="Latte"/>
    <s v="Drink"/>
    <n v="2"/>
    <n v="3.5"/>
    <s v="Card"/>
    <s v="C1810"/>
    <n v="7"/>
    <s v="Wednesday"/>
    <s v="August"/>
    <n v="2025"/>
  </r>
  <r>
    <x v="3184"/>
    <d v="2025-08-20T00:00:00"/>
    <s v="Central"/>
    <s v="Birmingham"/>
    <s v="Latte"/>
    <s v="Drink"/>
    <n v="2"/>
    <n v="3.5"/>
    <s v="Card"/>
    <s v="C1461"/>
    <n v="7"/>
    <s v="Wednesday"/>
    <s v="August"/>
    <n v="2025"/>
  </r>
  <r>
    <x v="3185"/>
    <d v="2025-08-20T00:00:00"/>
    <s v="High Street"/>
    <s v="Manchester"/>
    <s v="Muffin"/>
    <s v="Food"/>
    <n v="2"/>
    <n v="2.2000000000000002"/>
    <s v="Apple Pay"/>
    <s v="C1283"/>
    <n v="4.4000000000000004"/>
    <s v="Wednesday"/>
    <s v="August"/>
    <n v="2025"/>
  </r>
  <r>
    <x v="3186"/>
    <d v="2025-08-20T00:00:00"/>
    <s v="Central"/>
    <s v="Bristol"/>
    <s v="Cappuccino"/>
    <s v="Drink"/>
    <n v="1"/>
    <n v="3.8"/>
    <s v="Card"/>
    <s v="C1634"/>
    <n v="3.8"/>
    <s v="Wednesday"/>
    <s v="August"/>
    <n v="2025"/>
  </r>
  <r>
    <x v="3187"/>
    <d v="2025-08-20T00:00:00"/>
    <s v="Station"/>
    <s v="London"/>
    <s v="Croissant"/>
    <s v="Food"/>
    <n v="1"/>
    <n v="2.8"/>
    <s v="Card"/>
    <s v="C1774"/>
    <n v="2.8"/>
    <s v="Wednesday"/>
    <s v="August"/>
    <n v="2025"/>
  </r>
  <r>
    <x v="3188"/>
    <d v="2025-08-20T00:00:00"/>
    <s v="Station"/>
    <s v="Bristol"/>
    <s v="Muffin"/>
    <s v="Food"/>
    <n v="1"/>
    <n v="2.2000000000000002"/>
    <s v="Apple Pay"/>
    <s v="C1681"/>
    <n v="2.2000000000000002"/>
    <s v="Wednesday"/>
    <s v="August"/>
    <n v="2025"/>
  </r>
  <r>
    <x v="3189"/>
    <d v="2025-08-21T00:00:00"/>
    <s v="Riverside"/>
    <s v="Bristol"/>
    <s v="Croissant"/>
    <s v="Food"/>
    <n v="5"/>
    <n v="2.8"/>
    <s v="Card"/>
    <s v="C1911"/>
    <n v="14"/>
    <s v="Thursday"/>
    <s v="August"/>
    <n v="2025"/>
  </r>
  <r>
    <x v="3190"/>
    <d v="2025-08-21T00:00:00"/>
    <s v="Station"/>
    <s v="London"/>
    <s v="Croissant"/>
    <s v="Food"/>
    <n v="5"/>
    <n v="2.8"/>
    <s v="Card"/>
    <s v="C1747"/>
    <n v="14"/>
    <s v="Thursday"/>
    <s v="August"/>
    <n v="2025"/>
  </r>
  <r>
    <x v="3191"/>
    <d v="2025-08-21T00:00:00"/>
    <s v="Riverside"/>
    <s v="Manchester"/>
    <s v="Espresso"/>
    <s v="Drink"/>
    <n v="5"/>
    <n v="2.5"/>
    <s v="Apple Pay"/>
    <s v="C1218"/>
    <n v="12.5"/>
    <s v="Thursday"/>
    <s v="August"/>
    <n v="2025"/>
  </r>
  <r>
    <x v="3192"/>
    <d v="2025-08-21T00:00:00"/>
    <s v="Station"/>
    <s v="Bristol"/>
    <s v="Espresso"/>
    <s v="Drink"/>
    <n v="5"/>
    <n v="2.5"/>
    <s v="Apple Pay"/>
    <s v="C1971"/>
    <n v="12.5"/>
    <s v="Thursday"/>
    <s v="August"/>
    <n v="2025"/>
  </r>
  <r>
    <x v="3193"/>
    <d v="2025-08-21T00:00:00"/>
    <s v="Central"/>
    <s v="London"/>
    <s v="Muffin"/>
    <s v="Food"/>
    <n v="5"/>
    <n v="2.2000000000000002"/>
    <s v="Apple Pay"/>
    <s v="C1206"/>
    <n v="11"/>
    <s v="Thursday"/>
    <s v="August"/>
    <n v="2025"/>
  </r>
  <r>
    <x v="3194"/>
    <d v="2025-08-21T00:00:00"/>
    <s v="Station"/>
    <s v="Birmingham"/>
    <s v="Muffin"/>
    <s v="Food"/>
    <n v="5"/>
    <n v="2.2000000000000002"/>
    <s v="Cash"/>
    <s v="C1697"/>
    <n v="11"/>
    <s v="Thursday"/>
    <s v="August"/>
    <n v="2025"/>
  </r>
  <r>
    <x v="3195"/>
    <d v="2025-08-21T00:00:00"/>
    <s v="Central"/>
    <s v="Leeds"/>
    <s v="Muffin"/>
    <s v="Food"/>
    <n v="5"/>
    <n v="2.2000000000000002"/>
    <s v="Card"/>
    <s v="C1352"/>
    <n v="11"/>
    <s v="Thursday"/>
    <s v="August"/>
    <n v="2025"/>
  </r>
  <r>
    <x v="3196"/>
    <d v="2025-08-21T00:00:00"/>
    <s v="Station"/>
    <s v="London"/>
    <s v="Muffin"/>
    <s v="Food"/>
    <n v="5"/>
    <n v="2.2000000000000002"/>
    <s v="Cash"/>
    <s v="C1234"/>
    <n v="11"/>
    <s v="Thursday"/>
    <s v="August"/>
    <n v="2025"/>
  </r>
  <r>
    <x v="3197"/>
    <d v="2025-08-21T00:00:00"/>
    <s v="Central"/>
    <s v="London"/>
    <s v="Latte"/>
    <s v="Drink"/>
    <n v="3"/>
    <n v="3.5"/>
    <s v="Cash"/>
    <s v="C1594"/>
    <n v="10.5"/>
    <s v="Thursday"/>
    <s v="August"/>
    <n v="2025"/>
  </r>
  <r>
    <x v="3198"/>
    <d v="2025-08-21T00:00:00"/>
    <s v="Riverside"/>
    <s v="Birmingham"/>
    <s v="Croissant"/>
    <s v="Food"/>
    <n v="3"/>
    <n v="2.8"/>
    <s v="Apple Pay"/>
    <s v="C1980"/>
    <n v="8.3999999999999986"/>
    <s v="Thursday"/>
    <s v="August"/>
    <n v="2025"/>
  </r>
  <r>
    <x v="3199"/>
    <d v="2025-08-21T00:00:00"/>
    <s v="Riverside"/>
    <s v="Leeds"/>
    <s v="Espresso"/>
    <s v="Drink"/>
    <n v="3"/>
    <n v="2.5"/>
    <s v="Apple Pay"/>
    <s v="C1082"/>
    <n v="7.5"/>
    <s v="Thursday"/>
    <s v="August"/>
    <n v="2025"/>
  </r>
  <r>
    <x v="3200"/>
    <d v="2025-08-21T00:00:00"/>
    <s v="Central"/>
    <s v="Leeds"/>
    <s v="Latte"/>
    <s v="Drink"/>
    <n v="2"/>
    <n v="3.5"/>
    <s v="Apple Pay"/>
    <s v="C1044"/>
    <n v="7"/>
    <s v="Thursday"/>
    <s v="August"/>
    <n v="2025"/>
  </r>
  <r>
    <x v="3201"/>
    <d v="2025-08-21T00:00:00"/>
    <s v="Station"/>
    <s v="Bristol"/>
    <s v="Latte"/>
    <s v="Drink"/>
    <n v="2"/>
    <n v="3.5"/>
    <s v="Cash"/>
    <s v="C1028"/>
    <n v="7"/>
    <s v="Thursday"/>
    <s v="August"/>
    <n v="2025"/>
  </r>
  <r>
    <x v="3202"/>
    <d v="2025-08-21T00:00:00"/>
    <s v="Riverside"/>
    <s v="Leeds"/>
    <s v="Muffin"/>
    <s v="Food"/>
    <n v="3"/>
    <n v="2.2000000000000002"/>
    <s v="Cash"/>
    <s v="C1811"/>
    <n v="6.6000000000000005"/>
    <s v="Thursday"/>
    <s v="August"/>
    <n v="2025"/>
  </r>
  <r>
    <x v="3203"/>
    <d v="2025-08-21T00:00:00"/>
    <s v="Station"/>
    <s v="N/A"/>
    <s v="Muffin"/>
    <s v="Food"/>
    <n v="3"/>
    <n v="2.2000000000000002"/>
    <s v="Apple Pay"/>
    <s v="C1149"/>
    <n v="6.6000000000000005"/>
    <s v="Thursday"/>
    <s v="August"/>
    <n v="2025"/>
  </r>
  <r>
    <x v="3204"/>
    <d v="2025-08-21T00:00:00"/>
    <s v="Central"/>
    <s v="Bristol"/>
    <s v="Muffin"/>
    <s v="Food"/>
    <n v="3"/>
    <n v="2.2000000000000002"/>
    <s v="Apple Pay"/>
    <s v="C1568"/>
    <n v="6.6000000000000005"/>
    <s v="Thursday"/>
    <s v="August"/>
    <n v="2025"/>
  </r>
  <r>
    <x v="3205"/>
    <d v="2025-08-21T00:00:00"/>
    <s v="Station"/>
    <s v="Bristol"/>
    <s v="Croissant"/>
    <s v="Food"/>
    <n v="1"/>
    <n v="2.8"/>
    <s v="Apple Pay"/>
    <s v="C1332"/>
    <n v="2.8"/>
    <s v="Thursday"/>
    <s v="August"/>
    <n v="2025"/>
  </r>
  <r>
    <x v="3206"/>
    <d v="2025-08-21T00:00:00"/>
    <s v="Riverside"/>
    <s v="Leeds"/>
    <s v="Muffin"/>
    <s v="Food"/>
    <n v="1"/>
    <n v="2.2000000000000002"/>
    <s v="Card"/>
    <s v="C1751"/>
    <n v="2.2000000000000002"/>
    <s v="Thursday"/>
    <s v="August"/>
    <n v="2025"/>
  </r>
  <r>
    <x v="3207"/>
    <d v="2025-08-22T00:00:00"/>
    <s v="High Street"/>
    <s v="Leeds"/>
    <s v="Cappuccino"/>
    <s v="Drink"/>
    <n v="5"/>
    <n v="3.8"/>
    <s v="Cash"/>
    <s v="C1365"/>
    <n v="19"/>
    <s v="Friday"/>
    <s v="August"/>
    <n v="2025"/>
  </r>
  <r>
    <x v="3208"/>
    <d v="2025-08-22T00:00:00"/>
    <s v="Central"/>
    <s v="Leeds"/>
    <s v="Latte"/>
    <s v="Drink"/>
    <n v="3"/>
    <n v="3.8"/>
    <s v="Apple Pay"/>
    <s v="C1732"/>
    <n v="11.399999999999999"/>
    <s v="Friday"/>
    <s v="August"/>
    <n v="2025"/>
  </r>
  <r>
    <x v="3209"/>
    <d v="2025-08-22T00:00:00"/>
    <s v="High Street"/>
    <s v="Leeds"/>
    <s v="Muffin"/>
    <s v="Food"/>
    <n v="5"/>
    <n v="2.2000000000000002"/>
    <s v="Cash"/>
    <s v="C1646"/>
    <n v="11"/>
    <s v="Friday"/>
    <s v="August"/>
    <n v="2025"/>
  </r>
  <r>
    <x v="3210"/>
    <d v="2025-08-22T00:00:00"/>
    <s v="High Street"/>
    <s v="Bristol"/>
    <s v="Espresso"/>
    <s v="Drink"/>
    <n v="4"/>
    <n v="2.5"/>
    <s v="Apple Pay"/>
    <s v="C1395"/>
    <n v="10"/>
    <s v="Friday"/>
    <s v="August"/>
    <n v="2025"/>
  </r>
  <r>
    <x v="3211"/>
    <d v="2025-08-22T00:00:00"/>
    <s v="Riverside"/>
    <s v="London"/>
    <s v="Muffin"/>
    <s v="Food"/>
    <n v="4"/>
    <n v="2.2000000000000002"/>
    <s v="Apple Pay"/>
    <s v="C1619"/>
    <n v="8.8000000000000007"/>
    <s v="Friday"/>
    <s v="August"/>
    <n v="2025"/>
  </r>
  <r>
    <x v="3212"/>
    <d v="2025-08-22T00:00:00"/>
    <s v="High Street"/>
    <s v="Manchester"/>
    <s v="Croissant"/>
    <s v="Food"/>
    <n v="3"/>
    <n v="2.8"/>
    <s v="Cash"/>
    <s v="C1687"/>
    <n v="8.3999999999999986"/>
    <s v="Friday"/>
    <s v="August"/>
    <n v="2025"/>
  </r>
  <r>
    <x v="3213"/>
    <d v="2025-08-22T00:00:00"/>
    <s v="Riverside"/>
    <s v="London"/>
    <s v="Croissant"/>
    <s v="Food"/>
    <n v="2"/>
    <n v="2.8"/>
    <s v="Card"/>
    <s v="C1856"/>
    <n v="5.6"/>
    <s v="Friday"/>
    <s v="August"/>
    <n v="2025"/>
  </r>
  <r>
    <x v="3214"/>
    <d v="2025-08-22T00:00:00"/>
    <s v="Station"/>
    <s v="London"/>
    <s v="Espresso"/>
    <s v="Drink"/>
    <n v="2"/>
    <n v="2.5"/>
    <s v="Cash"/>
    <s v="C1572"/>
    <n v="5"/>
    <s v="Friday"/>
    <s v="August"/>
    <n v="2025"/>
  </r>
  <r>
    <x v="3215"/>
    <d v="2025-08-22T00:00:00"/>
    <s v="Central"/>
    <s v="Manchester"/>
    <s v="Espresso"/>
    <s v="Drink"/>
    <n v="2"/>
    <n v="2.5"/>
    <s v="Cash"/>
    <s v="C1538"/>
    <n v="5"/>
    <s v="Friday"/>
    <s v="August"/>
    <n v="2025"/>
  </r>
  <r>
    <x v="3216"/>
    <d v="2025-08-22T00:00:00"/>
    <s v="High Street"/>
    <s v="Birmingham"/>
    <s v="Latte"/>
    <s v="Drink"/>
    <n v="1"/>
    <n v="3.5"/>
    <s v="Cash"/>
    <s v="C1478"/>
    <n v="3.5"/>
    <s v="Friday"/>
    <s v="August"/>
    <n v="2025"/>
  </r>
  <r>
    <x v="3217"/>
    <d v="2025-08-22T00:00:00"/>
    <s v="Riverside"/>
    <s v="London"/>
    <s v="Espresso"/>
    <s v="Drink"/>
    <n v="1"/>
    <n v="2.5"/>
    <s v="Cash"/>
    <s v="C1237"/>
    <n v="2.5"/>
    <s v="Friday"/>
    <s v="August"/>
    <n v="2025"/>
  </r>
  <r>
    <x v="3218"/>
    <d v="2025-08-23T00:00:00"/>
    <s v="Station"/>
    <s v="London"/>
    <s v="Espresso"/>
    <s v="Drink"/>
    <n v="4"/>
    <n v="2.5"/>
    <s v="Apple Pay"/>
    <s v="C1539"/>
    <n v="10"/>
    <s v="Saturday"/>
    <s v="August"/>
    <n v="2025"/>
  </r>
  <r>
    <x v="3218"/>
    <d v="2025-08-23T00:00:00"/>
    <s v="Station"/>
    <s v="London"/>
    <s v="Espresso"/>
    <s v="Drink"/>
    <n v="4"/>
    <n v="2.5"/>
    <s v="Card"/>
    <s v="C1539"/>
    <n v="10"/>
    <s v="Saturday"/>
    <s v="August"/>
    <n v="2025"/>
  </r>
  <r>
    <x v="3219"/>
    <d v="2025-08-23T00:00:00"/>
    <s v="High Street"/>
    <s v="Leeds"/>
    <s v="Muffin"/>
    <s v="Food"/>
    <n v="4"/>
    <n v="2.2000000000000002"/>
    <s v="Apple Pay"/>
    <s v="C1760"/>
    <n v="8.8000000000000007"/>
    <s v="Saturday"/>
    <s v="August"/>
    <n v="2025"/>
  </r>
  <r>
    <x v="3220"/>
    <d v="2025-08-23T00:00:00"/>
    <s v="Station"/>
    <s v="London"/>
    <s v="Cappuccino"/>
    <s v="Drink"/>
    <n v="2"/>
    <n v="3.8"/>
    <s v="Card"/>
    <s v="C1866"/>
    <n v="7.6"/>
    <s v="Saturday"/>
    <s v="August"/>
    <n v="2025"/>
  </r>
  <r>
    <x v="3221"/>
    <d v="2025-08-23T00:00:00"/>
    <s v="Riverside"/>
    <s v="Manchester"/>
    <s v="Cappuccino"/>
    <s v="Drink"/>
    <n v="2"/>
    <n v="3.8"/>
    <s v="Card"/>
    <s v="C1147"/>
    <n v="7.6"/>
    <s v="Saturday"/>
    <s v="August"/>
    <n v="2025"/>
  </r>
  <r>
    <x v="3222"/>
    <d v="2025-08-23T00:00:00"/>
    <s v="Riverside"/>
    <s v="Leeds"/>
    <s v="Cappuccino"/>
    <s v="Drink"/>
    <n v="2"/>
    <n v="3.8"/>
    <s v="Apple Pay"/>
    <s v="C1315"/>
    <n v="7.6"/>
    <s v="Saturday"/>
    <s v="August"/>
    <n v="2025"/>
  </r>
  <r>
    <x v="3223"/>
    <d v="2025-08-23T00:00:00"/>
    <s v="Riverside"/>
    <s v="Bristol"/>
    <s v="Espresso"/>
    <s v="Drink"/>
    <n v="3"/>
    <n v="2.5"/>
    <s v="Cash"/>
    <s v="C1161"/>
    <n v="7.5"/>
    <s v="Saturday"/>
    <s v="August"/>
    <n v="2025"/>
  </r>
  <r>
    <x v="3224"/>
    <d v="2025-08-23T00:00:00"/>
    <s v="Central"/>
    <s v="Manchester"/>
    <s v="Muffin"/>
    <s v="Food"/>
    <n v="2"/>
    <n v="2.2000000000000002"/>
    <s v="Apple Pay"/>
    <s v="C1671"/>
    <n v="4.4000000000000004"/>
    <s v="Saturday"/>
    <s v="August"/>
    <n v="2025"/>
  </r>
  <r>
    <x v="3225"/>
    <d v="2025-08-23T00:00:00"/>
    <s v="High Street"/>
    <s v="London"/>
    <s v="Latte"/>
    <s v="Drink"/>
    <n v="1"/>
    <n v="3.5"/>
    <s v="Apple Pay"/>
    <s v="C1600"/>
    <n v="3.5"/>
    <s v="Saturday"/>
    <s v="August"/>
    <n v="2025"/>
  </r>
  <r>
    <x v="3226"/>
    <d v="2025-08-23T00:00:00"/>
    <s v="Station"/>
    <s v="Leeds"/>
    <s v="Espresso"/>
    <s v="Drink"/>
    <n v="1"/>
    <n v="2.5"/>
    <s v="Card"/>
    <s v="C1279"/>
    <n v="2.5"/>
    <s v="Saturday"/>
    <s v="August"/>
    <n v="2025"/>
  </r>
  <r>
    <x v="3227"/>
    <d v="2025-08-23T00:00:00"/>
    <s v="Riverside"/>
    <s v="Manchester"/>
    <s v="Muffin"/>
    <s v="Food"/>
    <n v="1"/>
    <n v="2.2000000000000002"/>
    <s v="Cash"/>
    <s v="C1024"/>
    <n v="2.2000000000000002"/>
    <s v="Saturday"/>
    <s v="August"/>
    <n v="2025"/>
  </r>
  <r>
    <x v="3228"/>
    <d v="2025-08-24T00:00:00"/>
    <s v="Station"/>
    <s v="London"/>
    <s v="Croissant"/>
    <s v="Food"/>
    <n v="5"/>
    <n v="2.8"/>
    <s v="Apple Pay"/>
    <s v="C1915"/>
    <n v="14"/>
    <s v="Sunday"/>
    <s v="August"/>
    <n v="2025"/>
  </r>
  <r>
    <x v="3229"/>
    <d v="2025-08-24T00:00:00"/>
    <s v="Station"/>
    <s v="Manchester"/>
    <s v="Espresso"/>
    <s v="Drink"/>
    <n v="5"/>
    <n v="2.5"/>
    <s v="Apple Pay"/>
    <s v="C1111"/>
    <n v="12.5"/>
    <s v="Sunday"/>
    <s v="August"/>
    <n v="2025"/>
  </r>
  <r>
    <x v="3230"/>
    <d v="2025-08-24T00:00:00"/>
    <s v="Central"/>
    <s v="Birmingham"/>
    <s v="Croissant"/>
    <s v="Food"/>
    <n v="4"/>
    <n v="2.8"/>
    <s v="Apple Pay"/>
    <s v="C1326"/>
    <n v="11.2"/>
    <s v="Sunday"/>
    <s v="August"/>
    <n v="2025"/>
  </r>
  <r>
    <x v="3231"/>
    <d v="2025-08-24T00:00:00"/>
    <s v="High Street"/>
    <s v="Bristol"/>
    <s v="Espresso"/>
    <s v="Drink"/>
    <n v="2"/>
    <n v="2.5"/>
    <s v="Cash"/>
    <s v="C1911"/>
    <n v="5"/>
    <s v="Sunday"/>
    <s v="August"/>
    <n v="2025"/>
  </r>
  <r>
    <x v="3232"/>
    <d v="2025-08-25T00:00:00"/>
    <s v="Riverside"/>
    <s v="Leeds"/>
    <s v="Cappuccino"/>
    <s v="Drink"/>
    <n v="5"/>
    <n v="3.8"/>
    <s v="Apple Pay"/>
    <s v="C1870"/>
    <n v="19"/>
    <s v="Monday"/>
    <s v="August"/>
    <n v="2025"/>
  </r>
  <r>
    <x v="3233"/>
    <d v="2025-08-25T00:00:00"/>
    <s v="High Street"/>
    <s v="Birmingham"/>
    <s v="Espresso"/>
    <s v="Drink"/>
    <n v="5"/>
    <n v="2.5"/>
    <s v="Cash"/>
    <s v="C1616"/>
    <n v="12.5"/>
    <s v="Monday"/>
    <s v="August"/>
    <n v="2025"/>
  </r>
  <r>
    <x v="3234"/>
    <d v="2025-08-25T00:00:00"/>
    <s v="Riverside"/>
    <s v="Leeds"/>
    <s v="Espresso"/>
    <s v="Drink"/>
    <n v="5"/>
    <n v="2.5"/>
    <s v="Cash"/>
    <s v="C1613"/>
    <n v="12.5"/>
    <s v="Monday"/>
    <s v="August"/>
    <n v="2025"/>
  </r>
  <r>
    <x v="3235"/>
    <d v="2025-08-25T00:00:00"/>
    <s v="High Street"/>
    <s v="Manchester"/>
    <s v="Muffin"/>
    <s v="Food"/>
    <n v="4"/>
    <n v="2.2000000000000002"/>
    <s v="Cash"/>
    <s v="C1751"/>
    <n v="8.8000000000000007"/>
    <s v="Monday"/>
    <s v="August"/>
    <n v="2025"/>
  </r>
  <r>
    <x v="3236"/>
    <d v="2025-08-25T00:00:00"/>
    <s v="High Street"/>
    <s v="London"/>
    <s v="Latte"/>
    <s v="Drink"/>
    <n v="2"/>
    <n v="3.5"/>
    <s v="Cash"/>
    <s v="C1205"/>
    <n v="7"/>
    <s v="Monday"/>
    <s v="August"/>
    <n v="2025"/>
  </r>
  <r>
    <x v="3237"/>
    <d v="2025-08-25T00:00:00"/>
    <s v="High Street"/>
    <s v="Birmingham"/>
    <s v="Latte"/>
    <s v="Drink"/>
    <n v="2"/>
    <n v="3.5"/>
    <s v="Cash"/>
    <s v="C1657"/>
    <n v="7"/>
    <s v="Monday"/>
    <s v="August"/>
    <n v="2025"/>
  </r>
  <r>
    <x v="3238"/>
    <d v="2025-08-25T00:00:00"/>
    <s v="Riverside"/>
    <s v="Birmingham"/>
    <s v="Croissant"/>
    <s v="Food"/>
    <n v="2"/>
    <n v="2.8"/>
    <s v="Cash"/>
    <s v="C1736"/>
    <n v="5.6"/>
    <s v="Monday"/>
    <s v="August"/>
    <n v="2025"/>
  </r>
  <r>
    <x v="3239"/>
    <d v="2025-08-25T00:00:00"/>
    <s v="Station"/>
    <s v="Leeds"/>
    <s v="Espresso"/>
    <s v="Drink"/>
    <n v="1"/>
    <n v="2.5"/>
    <s v="Cash"/>
    <s v="C1571"/>
    <n v="2.5"/>
    <s v="Monday"/>
    <s v="August"/>
    <n v="2025"/>
  </r>
  <r>
    <x v="3240"/>
    <d v="2025-08-26T00:00:00"/>
    <s v="Central"/>
    <s v="Leeds"/>
    <s v="Cappuccino"/>
    <s v="Drink"/>
    <n v="5"/>
    <n v="3.8"/>
    <s v="Cash"/>
    <s v="C1094"/>
    <n v="19"/>
    <s v="Tuesday"/>
    <s v="August"/>
    <n v="2025"/>
  </r>
  <r>
    <x v="3241"/>
    <d v="2025-08-26T00:00:00"/>
    <s v="Riverside"/>
    <s v="Bristol"/>
    <s v="Croissant"/>
    <s v="Food"/>
    <n v="5"/>
    <n v="2.8"/>
    <s v="Apple Pay"/>
    <s v="C1536"/>
    <n v="14"/>
    <s v="Tuesday"/>
    <s v="August"/>
    <n v="2025"/>
  </r>
  <r>
    <x v="3242"/>
    <d v="2025-08-26T00:00:00"/>
    <s v="Riverside"/>
    <s v="Bristol"/>
    <s v="Latte"/>
    <s v="Drink"/>
    <n v="4"/>
    <n v="3.5"/>
    <s v="Apple Pay"/>
    <s v="C1875"/>
    <n v="14"/>
    <s v="Tuesday"/>
    <s v="August"/>
    <n v="2025"/>
  </r>
  <r>
    <x v="3243"/>
    <d v="2025-08-26T00:00:00"/>
    <s v="Station"/>
    <s v="London"/>
    <s v="Espresso"/>
    <s v="Drink"/>
    <n v="5"/>
    <n v="2.5"/>
    <s v="Apple Pay"/>
    <s v="C1916"/>
    <n v="12.5"/>
    <s v="Tuesday"/>
    <s v="August"/>
    <n v="2025"/>
  </r>
  <r>
    <x v="3244"/>
    <d v="2025-08-26T00:00:00"/>
    <s v="High Street"/>
    <s v="London"/>
    <s v="Croissant"/>
    <s v="Food"/>
    <n v="4"/>
    <n v="2.8"/>
    <s v="Card"/>
    <s v="C1425"/>
    <n v="11.2"/>
    <s v="Tuesday"/>
    <s v="August"/>
    <n v="2025"/>
  </r>
  <r>
    <x v="3245"/>
    <d v="2025-08-26T00:00:00"/>
    <s v="Station"/>
    <s v="London"/>
    <s v="Espresso"/>
    <s v="Drink"/>
    <n v="3"/>
    <n v="2.5"/>
    <s v="Apple Pay"/>
    <s v="C1494"/>
    <n v="7.5"/>
    <s v="Tuesday"/>
    <s v="August"/>
    <n v="2025"/>
  </r>
  <r>
    <x v="3246"/>
    <d v="2025-08-26T00:00:00"/>
    <s v="Station"/>
    <s v="Leeds"/>
    <s v="Espresso"/>
    <s v="Drink"/>
    <n v="3"/>
    <n v="2.5"/>
    <s v="Cash"/>
    <s v="C1625"/>
    <n v="7.5"/>
    <s v="Tuesday"/>
    <s v="August"/>
    <n v="2025"/>
  </r>
  <r>
    <x v="3247"/>
    <d v="2025-08-26T00:00:00"/>
    <s v="Station"/>
    <s v="Bristol"/>
    <s v="Espresso"/>
    <s v="Drink"/>
    <n v="3"/>
    <n v="2.5"/>
    <s v="Apple Pay"/>
    <s v="C1024"/>
    <n v="7.5"/>
    <s v="Tuesday"/>
    <s v="August"/>
    <n v="2025"/>
  </r>
  <r>
    <x v="3248"/>
    <d v="2025-08-26T00:00:00"/>
    <s v="Central"/>
    <s v="London"/>
    <s v="Croissant"/>
    <s v="Food"/>
    <n v="1"/>
    <n v="2.8"/>
    <s v="Cash"/>
    <s v="C1546"/>
    <n v="2.8"/>
    <s v="Tuesday"/>
    <s v="August"/>
    <n v="2025"/>
  </r>
  <r>
    <x v="3249"/>
    <d v="2025-08-26T00:00:00"/>
    <s v="High Street"/>
    <s v="Bristol"/>
    <s v="Muffin"/>
    <s v="Food"/>
    <n v="1"/>
    <n v="2.2000000000000002"/>
    <s v="Card"/>
    <s v="C1485"/>
    <n v="2.2000000000000002"/>
    <s v="Tuesday"/>
    <s v="August"/>
    <n v="2025"/>
  </r>
  <r>
    <x v="3250"/>
    <d v="2025-08-27T00:00:00"/>
    <s v="Station"/>
    <s v="Bristol"/>
    <s v="Cappuccino"/>
    <s v="Drink"/>
    <n v="5"/>
    <n v="3.8"/>
    <s v="Apple Pay"/>
    <s v="C1121"/>
    <n v="19"/>
    <s v="Wednesday"/>
    <s v="August"/>
    <n v="2025"/>
  </r>
  <r>
    <x v="3251"/>
    <d v="2025-08-27T00:00:00"/>
    <s v="Station"/>
    <s v="Manchester"/>
    <s v="Latte"/>
    <s v="Drink"/>
    <n v="4"/>
    <n v="3.5"/>
    <s v="Cash"/>
    <s v="C1602"/>
    <n v="14"/>
    <s v="Wednesday"/>
    <s v="August"/>
    <n v="2025"/>
  </r>
  <r>
    <x v="3252"/>
    <d v="2025-08-27T00:00:00"/>
    <s v="High Street"/>
    <s v="Birmingham"/>
    <s v="Latte"/>
    <s v="Drink"/>
    <n v="4"/>
    <n v="3.5"/>
    <s v="Card"/>
    <s v="C1318"/>
    <n v="14"/>
    <s v="Wednesday"/>
    <s v="August"/>
    <n v="2025"/>
  </r>
  <r>
    <x v="3253"/>
    <d v="2025-08-27T00:00:00"/>
    <s v="High Street"/>
    <s v="Birmingham"/>
    <s v="Croissant"/>
    <s v="Food"/>
    <n v="5"/>
    <n v="2.8"/>
    <s v="Cash"/>
    <s v="C1851"/>
    <n v="14"/>
    <s v="Wednesday"/>
    <s v="August"/>
    <n v="2025"/>
  </r>
  <r>
    <x v="3254"/>
    <d v="2025-08-27T00:00:00"/>
    <s v="Station"/>
    <s v="Manchester"/>
    <s v="Cappuccino"/>
    <s v="Drink"/>
    <n v="3"/>
    <n v="3.8"/>
    <s v="Card"/>
    <s v="C1112"/>
    <n v="11.399999999999999"/>
    <s v="Wednesday"/>
    <s v="August"/>
    <n v="2025"/>
  </r>
  <r>
    <x v="3255"/>
    <d v="2025-08-27T00:00:00"/>
    <s v="Station"/>
    <s v="London"/>
    <s v="Latte"/>
    <s v="Drink"/>
    <n v="3"/>
    <n v="3.5"/>
    <s v="Cash"/>
    <s v="C1475"/>
    <n v="10.5"/>
    <s v="Wednesday"/>
    <s v="August"/>
    <n v="2025"/>
  </r>
  <r>
    <x v="3256"/>
    <d v="2025-08-27T00:00:00"/>
    <s v="Riverside"/>
    <s v="London"/>
    <s v="Muffin"/>
    <s v="Food"/>
    <n v="4"/>
    <n v="2.2000000000000002"/>
    <s v="Card"/>
    <s v="C1426"/>
    <n v="8.8000000000000007"/>
    <s v="Wednesday"/>
    <s v="August"/>
    <n v="2025"/>
  </r>
  <r>
    <x v="3257"/>
    <d v="2025-08-27T00:00:00"/>
    <s v="High Street"/>
    <s v="Leeds"/>
    <s v="Latte"/>
    <s v="Drink"/>
    <n v="2"/>
    <n v="3.5"/>
    <s v="Cash"/>
    <s v="C1899"/>
    <n v="7"/>
    <s v="Wednesday"/>
    <s v="August"/>
    <n v="2025"/>
  </r>
  <r>
    <x v="3258"/>
    <d v="2025-08-27T00:00:00"/>
    <s v="High Street"/>
    <s v="Bristol"/>
    <s v="Muffin"/>
    <s v="Food"/>
    <n v="2"/>
    <n v="2.2000000000000002"/>
    <s v="Cash"/>
    <s v="C1825"/>
    <n v="4.4000000000000004"/>
    <s v="Wednesday"/>
    <s v="August"/>
    <n v="2025"/>
  </r>
  <r>
    <x v="3259"/>
    <d v="2025-08-27T00:00:00"/>
    <s v="High Street"/>
    <s v="Bristol"/>
    <s v="Cappuccino"/>
    <s v="Drink"/>
    <n v="1"/>
    <n v="3.8"/>
    <s v="Apple Pay"/>
    <s v="C1021"/>
    <n v="3.8"/>
    <s v="Wednesday"/>
    <s v="August"/>
    <n v="2025"/>
  </r>
  <r>
    <x v="3260"/>
    <d v="2025-08-27T00:00:00"/>
    <s v="Station"/>
    <s v="London"/>
    <s v="Croissant"/>
    <s v="Food"/>
    <n v="1"/>
    <n v="2.8"/>
    <s v="Apple Pay"/>
    <s v="C1507"/>
    <n v="2.8"/>
    <s v="Wednesday"/>
    <s v="August"/>
    <n v="2025"/>
  </r>
  <r>
    <x v="3261"/>
    <d v="2025-08-27T00:00:00"/>
    <s v="Riverside"/>
    <s v="Manchester"/>
    <s v="Espresso"/>
    <s v="Drink"/>
    <n v="1"/>
    <n v="2.5"/>
    <s v="Apple Pay"/>
    <s v="C1118"/>
    <n v="2.5"/>
    <s v="Wednesday"/>
    <s v="August"/>
    <n v="2025"/>
  </r>
  <r>
    <x v="3262"/>
    <d v="2025-08-27T00:00:00"/>
    <s v="Riverside"/>
    <s v="Birmingham"/>
    <s v="Espresso"/>
    <s v="Drink"/>
    <n v="1"/>
    <n v="2.5"/>
    <s v="Apple Pay"/>
    <s v="C1529"/>
    <n v="2.5"/>
    <s v="Wednesday"/>
    <s v="August"/>
    <n v="2025"/>
  </r>
  <r>
    <x v="3263"/>
    <d v="2025-08-28T00:00:00"/>
    <s v="High Street"/>
    <s v="London"/>
    <s v="Cappuccino"/>
    <s v="Drink"/>
    <n v="5"/>
    <n v="3.8"/>
    <s v="Cash"/>
    <s v="C1178"/>
    <n v="19"/>
    <s v="Thursday"/>
    <s v="August"/>
    <n v="2025"/>
  </r>
  <r>
    <x v="3264"/>
    <d v="2025-08-28T00:00:00"/>
    <s v="Riverside"/>
    <s v="London"/>
    <s v="Croissant"/>
    <s v="Food"/>
    <n v="5"/>
    <n v="2.8"/>
    <s v="Card"/>
    <s v="C1743"/>
    <n v="14"/>
    <s v="Thursday"/>
    <s v="August"/>
    <n v="2025"/>
  </r>
  <r>
    <x v="3265"/>
    <d v="2025-08-28T00:00:00"/>
    <s v="Central"/>
    <s v="London"/>
    <s v="Latte"/>
    <s v="Drink"/>
    <n v="4"/>
    <n v="3.5"/>
    <s v="Card"/>
    <s v="C1196"/>
    <n v="14"/>
    <s v="Thursday"/>
    <s v="August"/>
    <n v="2025"/>
  </r>
  <r>
    <x v="3266"/>
    <d v="2025-08-28T00:00:00"/>
    <s v="Station"/>
    <s v="Manchester"/>
    <s v="Espresso"/>
    <s v="Drink"/>
    <n v="5"/>
    <n v="2.5"/>
    <s v="Apple Pay"/>
    <s v="C1841"/>
    <n v="12.5"/>
    <s v="Thursday"/>
    <s v="August"/>
    <n v="2025"/>
  </r>
  <r>
    <x v="3267"/>
    <d v="2025-08-28T00:00:00"/>
    <s v="Station"/>
    <s v="Bristol"/>
    <s v="Cappuccino"/>
    <s v="Drink"/>
    <n v="3"/>
    <n v="3.8"/>
    <s v="Cash"/>
    <s v="C1104"/>
    <n v="11.399999999999999"/>
    <s v="Thursday"/>
    <s v="August"/>
    <n v="2025"/>
  </r>
  <r>
    <x v="3268"/>
    <d v="2025-08-28T00:00:00"/>
    <s v="Central"/>
    <s v="Leeds"/>
    <s v="Croissant"/>
    <s v="Food"/>
    <n v="4"/>
    <n v="2.8"/>
    <s v="Cash"/>
    <s v="C1632"/>
    <n v="11.2"/>
    <s v="Thursday"/>
    <s v="August"/>
    <n v="2025"/>
  </r>
  <r>
    <x v="3269"/>
    <d v="2025-08-28T00:00:00"/>
    <s v="Riverside"/>
    <s v="Bristol"/>
    <s v="Cappuccino"/>
    <s v="Drink"/>
    <n v="2"/>
    <n v="3.8"/>
    <s v="Cash"/>
    <s v="C1931"/>
    <n v="7.6"/>
    <s v="Thursday"/>
    <s v="August"/>
    <n v="2025"/>
  </r>
  <r>
    <x v="3270"/>
    <d v="2025-08-28T00:00:00"/>
    <s v="Station"/>
    <s v="London"/>
    <s v="Latte"/>
    <s v="Drink"/>
    <n v="2"/>
    <n v="3.5"/>
    <s v="Apple Pay"/>
    <s v="C1459"/>
    <n v="7"/>
    <s v="Thursday"/>
    <s v="August"/>
    <n v="2025"/>
  </r>
  <r>
    <x v="3271"/>
    <d v="2025-08-28T00:00:00"/>
    <s v="Station"/>
    <s v="London"/>
    <s v="Muffin"/>
    <s v="Food"/>
    <n v="2"/>
    <n v="2.2000000000000002"/>
    <s v="Card"/>
    <s v="C1347"/>
    <n v="4.4000000000000004"/>
    <s v="Thursday"/>
    <s v="August"/>
    <n v="2025"/>
  </r>
  <r>
    <x v="3272"/>
    <d v="2025-08-28T00:00:00"/>
    <s v="Riverside"/>
    <s v="Bristol"/>
    <s v="Latte"/>
    <s v="Drink"/>
    <n v="1"/>
    <n v="3.5"/>
    <s v="Card"/>
    <s v="C1201"/>
    <n v="3.5"/>
    <s v="Thursday"/>
    <s v="August"/>
    <n v="2025"/>
  </r>
  <r>
    <x v="3273"/>
    <d v="2025-08-28T00:00:00"/>
    <s v="Station"/>
    <s v="London"/>
    <s v="Croissant"/>
    <s v="Food"/>
    <n v="1"/>
    <n v="2.8"/>
    <s v="Apple Pay"/>
    <s v="C1815"/>
    <n v="2.8"/>
    <s v="Thursday"/>
    <s v="August"/>
    <n v="2025"/>
  </r>
  <r>
    <x v="3274"/>
    <d v="2025-08-28T00:00:00"/>
    <s v="High Street"/>
    <s v="Bristol"/>
    <s v="Croissant"/>
    <s v="Food"/>
    <n v="1"/>
    <n v="2.8"/>
    <s v="Cash"/>
    <s v="C1944"/>
    <n v="2.8"/>
    <s v="Thursday"/>
    <s v="August"/>
    <n v="2025"/>
  </r>
  <r>
    <x v="3275"/>
    <d v="2025-08-29T00:00:00"/>
    <s v="Central"/>
    <s v="Birmingham"/>
    <s v="Cappuccino"/>
    <s v="Drink"/>
    <n v="5"/>
    <n v="3.8"/>
    <s v="Cash"/>
    <s v="C1731"/>
    <n v="19"/>
    <s v="Friday"/>
    <s v="August"/>
    <n v="2025"/>
  </r>
  <r>
    <x v="3276"/>
    <d v="2025-08-29T00:00:00"/>
    <s v="Station"/>
    <s v="Manchester"/>
    <s v="Cappuccino"/>
    <s v="Drink"/>
    <n v="5"/>
    <n v="3.8"/>
    <s v="Card"/>
    <s v="C1955"/>
    <n v="19"/>
    <s v="Friday"/>
    <s v="August"/>
    <n v="2025"/>
  </r>
  <r>
    <x v="3277"/>
    <d v="2025-08-29T00:00:00"/>
    <s v="High Street"/>
    <s v="Birmingham"/>
    <s v="Cappuccino"/>
    <s v="Drink"/>
    <n v="5"/>
    <n v="3.8"/>
    <s v="Card"/>
    <s v="C1371"/>
    <n v="19"/>
    <s v="Friday"/>
    <s v="August"/>
    <n v="2025"/>
  </r>
  <r>
    <x v="3278"/>
    <d v="2025-08-29T00:00:00"/>
    <s v="Station"/>
    <s v="Bristol"/>
    <s v="Latte"/>
    <s v="Drink"/>
    <n v="5"/>
    <n v="3.5"/>
    <s v="Card"/>
    <s v="C1717"/>
    <n v="17.5"/>
    <s v="Friday"/>
    <s v="August"/>
    <n v="2025"/>
  </r>
  <r>
    <x v="3279"/>
    <d v="2025-08-29T00:00:00"/>
    <s v="Central"/>
    <s v="Bristol"/>
    <s v="Croissant"/>
    <s v="Food"/>
    <n v="5"/>
    <n v="2.8"/>
    <s v="Cash"/>
    <s v="C1474"/>
    <n v="14"/>
    <s v="Friday"/>
    <s v="August"/>
    <n v="2025"/>
  </r>
  <r>
    <x v="3280"/>
    <d v="2025-08-29T00:00:00"/>
    <s v="High Street"/>
    <s v="London"/>
    <s v="Latte"/>
    <s v="Drink"/>
    <n v="4"/>
    <n v="3.5"/>
    <s v="Cash"/>
    <s v="C1359"/>
    <n v="14"/>
    <s v="Friday"/>
    <s v="August"/>
    <n v="2025"/>
  </r>
  <r>
    <x v="3281"/>
    <d v="2025-08-29T00:00:00"/>
    <s v="Riverside"/>
    <s v="Leeds"/>
    <s v="Cappuccino"/>
    <s v="Drink"/>
    <n v="3"/>
    <n v="3.8"/>
    <s v="Apple Pay"/>
    <s v="C1332"/>
    <n v="11.399999999999999"/>
    <s v="Friday"/>
    <s v="August"/>
    <n v="2025"/>
  </r>
  <r>
    <x v="3282"/>
    <d v="2025-08-29T00:00:00"/>
    <s v="Central"/>
    <s v="London"/>
    <s v="Croissant"/>
    <s v="Food"/>
    <n v="4"/>
    <n v="2.8"/>
    <s v="Cash"/>
    <s v="C1755"/>
    <n v="11.2"/>
    <s v="Friday"/>
    <s v="August"/>
    <n v="2025"/>
  </r>
  <r>
    <x v="3283"/>
    <d v="2025-08-29T00:00:00"/>
    <s v="Riverside"/>
    <s v="Birmingham"/>
    <s v="Espresso"/>
    <s v="Drink"/>
    <n v="4"/>
    <n v="2.5"/>
    <s v="Apple Pay"/>
    <s v="C1971"/>
    <n v="10"/>
    <s v="Friday"/>
    <s v="August"/>
    <n v="2025"/>
  </r>
  <r>
    <x v="3284"/>
    <d v="2025-08-29T00:00:00"/>
    <s v="Central"/>
    <s v="London"/>
    <s v="Espresso"/>
    <s v="Drink"/>
    <n v="4"/>
    <n v="2.5"/>
    <s v="Card"/>
    <s v="C1924"/>
    <n v="10"/>
    <s v="Friday"/>
    <s v="August"/>
    <n v="2025"/>
  </r>
  <r>
    <x v="3285"/>
    <d v="2025-08-29T00:00:00"/>
    <s v="Riverside"/>
    <s v="Leeds"/>
    <s v="Cappuccino"/>
    <s v="Drink"/>
    <n v="2"/>
    <n v="3.8"/>
    <s v="Card"/>
    <s v="C1215"/>
    <n v="7.6"/>
    <s v="Friday"/>
    <s v="August"/>
    <n v="2025"/>
  </r>
  <r>
    <x v="3286"/>
    <d v="2025-08-29T00:00:00"/>
    <s v="Central"/>
    <s v="Leeds"/>
    <s v="Latte"/>
    <s v="Drink"/>
    <n v="2"/>
    <n v="3.5"/>
    <s v="Card"/>
    <s v="C1697"/>
    <n v="7"/>
    <s v="Friday"/>
    <s v="August"/>
    <n v="2025"/>
  </r>
  <r>
    <x v="3287"/>
    <d v="2025-08-29T00:00:00"/>
    <s v="Station"/>
    <s v="Manchester"/>
    <s v="Croissant"/>
    <s v="Food"/>
    <n v="2"/>
    <n v="2.8"/>
    <s v="Apple Pay"/>
    <s v="C1374"/>
    <n v="5.6"/>
    <s v="Friday"/>
    <s v="August"/>
    <n v="2025"/>
  </r>
  <r>
    <x v="3288"/>
    <d v="2025-08-29T00:00:00"/>
    <s v="Central"/>
    <s v="Birmingham"/>
    <s v="Espresso"/>
    <s v="Drink"/>
    <n v="2"/>
    <n v="2.5"/>
    <s v="Card"/>
    <s v="C1268"/>
    <n v="5"/>
    <s v="Friday"/>
    <s v="August"/>
    <n v="2025"/>
  </r>
  <r>
    <x v="3289"/>
    <d v="2025-08-29T00:00:00"/>
    <s v="High Street"/>
    <s v="Bristol"/>
    <s v="Croissant"/>
    <s v="Food"/>
    <n v="1"/>
    <n v="2.8"/>
    <s v="Apple Pay"/>
    <s v="C1758"/>
    <n v="2.8"/>
    <s v="Friday"/>
    <s v="August"/>
    <n v="2025"/>
  </r>
  <r>
    <x v="3290"/>
    <d v="2025-08-29T00:00:00"/>
    <s v="High Street"/>
    <s v="Manchester"/>
    <s v="Croissant"/>
    <s v="Food"/>
    <n v="1"/>
    <n v="2.8"/>
    <s v="Card"/>
    <s v="C1462"/>
    <n v="2.8"/>
    <s v="Friday"/>
    <s v="August"/>
    <n v="2025"/>
  </r>
  <r>
    <x v="3291"/>
    <d v="2025-08-30T00:00:00"/>
    <s v="Central"/>
    <s v="Birmingham"/>
    <s v="Cappuccino"/>
    <s v="Drink"/>
    <n v="5"/>
    <n v="3.8"/>
    <s v="Card"/>
    <s v="C1112"/>
    <n v="19"/>
    <s v="Saturday"/>
    <s v="August"/>
    <n v="2025"/>
  </r>
  <r>
    <x v="3292"/>
    <d v="2025-08-30T00:00:00"/>
    <s v="Station"/>
    <s v="London"/>
    <s v="Croissant"/>
    <s v="Food"/>
    <n v="5"/>
    <n v="2.8"/>
    <s v="Card"/>
    <s v="C1877"/>
    <n v="14"/>
    <s v="Saturday"/>
    <s v="August"/>
    <n v="2025"/>
  </r>
  <r>
    <x v="3293"/>
    <d v="2025-08-30T00:00:00"/>
    <s v="Station"/>
    <s v="Birmingham"/>
    <s v="Espresso"/>
    <s v="Drink"/>
    <n v="5"/>
    <n v="2.5"/>
    <s v="Cash"/>
    <s v="C1444"/>
    <n v="12.5"/>
    <s v="Saturday"/>
    <s v="August"/>
    <n v="2025"/>
  </r>
  <r>
    <x v="3294"/>
    <d v="2025-08-30T00:00:00"/>
    <s v="Riverside"/>
    <s v="Bristol"/>
    <s v="Cappuccino"/>
    <s v="Drink"/>
    <n v="3"/>
    <n v="3.8"/>
    <s v="Cash"/>
    <s v="C1206"/>
    <n v="11.399999999999999"/>
    <s v="Saturday"/>
    <s v="August"/>
    <n v="2025"/>
  </r>
  <r>
    <x v="3295"/>
    <d v="2025-08-30T00:00:00"/>
    <s v="Central"/>
    <s v="Manchester"/>
    <s v="Muffin"/>
    <s v="Food"/>
    <n v="5"/>
    <n v="2.2000000000000002"/>
    <s v="Apple Pay"/>
    <s v="C1888"/>
    <n v="11"/>
    <s v="Saturday"/>
    <s v="August"/>
    <n v="2025"/>
  </r>
  <r>
    <x v="3296"/>
    <d v="2025-08-30T00:00:00"/>
    <s v="High Street"/>
    <s v="Bristol"/>
    <s v="Muffin"/>
    <s v="Food"/>
    <n v="5"/>
    <n v="2.2000000000000002"/>
    <s v="Card"/>
    <s v="C1591"/>
    <n v="11"/>
    <s v="Saturday"/>
    <s v="August"/>
    <n v="2025"/>
  </r>
  <r>
    <x v="3297"/>
    <d v="2025-08-30T00:00:00"/>
    <s v="Station"/>
    <s v="London"/>
    <s v="Espresso"/>
    <s v="Drink"/>
    <n v="4"/>
    <n v="2.5"/>
    <s v="Card"/>
    <s v="C1704"/>
    <n v="10"/>
    <s v="Saturday"/>
    <s v="August"/>
    <n v="2025"/>
  </r>
  <r>
    <x v="3298"/>
    <d v="2025-08-30T00:00:00"/>
    <s v="Station"/>
    <s v="Bristol"/>
    <s v="Muffin"/>
    <s v="Food"/>
    <n v="4"/>
    <n v="2.2000000000000002"/>
    <s v="Card"/>
    <s v="C1441"/>
    <n v="8.8000000000000007"/>
    <s v="Saturday"/>
    <s v="August"/>
    <n v="2025"/>
  </r>
  <r>
    <x v="3299"/>
    <d v="2025-08-30T00:00:00"/>
    <s v="High Street"/>
    <s v="Manchester"/>
    <s v="Croissant"/>
    <s v="Food"/>
    <n v="3"/>
    <n v="2.8"/>
    <s v="Card"/>
    <s v="C1623"/>
    <n v="8.3999999999999986"/>
    <s v="Saturday"/>
    <s v="August"/>
    <n v="2025"/>
  </r>
  <r>
    <x v="3300"/>
    <d v="2025-08-30T00:00:00"/>
    <s v="Station"/>
    <s v="London"/>
    <s v="Cappuccino"/>
    <s v="Drink"/>
    <n v="2"/>
    <n v="3.8"/>
    <s v="Apple Pay"/>
    <s v="C1309"/>
    <n v="7.6"/>
    <s v="Saturday"/>
    <s v="August"/>
    <n v="2025"/>
  </r>
  <r>
    <x v="3301"/>
    <d v="2025-08-30T00:00:00"/>
    <s v="High Street"/>
    <s v="Leeds"/>
    <s v="Espresso"/>
    <s v="Drink"/>
    <n v="3"/>
    <n v="2.5"/>
    <s v="Apple Pay"/>
    <s v="C1493"/>
    <n v="7.5"/>
    <s v="Saturday"/>
    <s v="August"/>
    <n v="2025"/>
  </r>
  <r>
    <x v="3302"/>
    <d v="2025-08-30T00:00:00"/>
    <s v="Central"/>
    <s v="Leeds"/>
    <s v="Espresso"/>
    <s v="Drink"/>
    <n v="3"/>
    <n v="2.5"/>
    <s v="Card"/>
    <s v="C1005"/>
    <n v="7.5"/>
    <s v="Saturday"/>
    <s v="August"/>
    <n v="2025"/>
  </r>
  <r>
    <x v="3303"/>
    <d v="2025-08-30T00:00:00"/>
    <s v="Riverside"/>
    <s v="London"/>
    <s v="Muffin"/>
    <s v="Food"/>
    <n v="3"/>
    <n v="2.2000000000000002"/>
    <s v="Card"/>
    <s v="C1927"/>
    <n v="6.6000000000000005"/>
    <s v="Saturday"/>
    <s v="August"/>
    <n v="2025"/>
  </r>
  <r>
    <x v="3304"/>
    <d v="2025-08-30T00:00:00"/>
    <s v="Central"/>
    <s v="Manchester"/>
    <s v="Muffin"/>
    <s v="Food"/>
    <n v="2"/>
    <n v="2.2000000000000002"/>
    <s v="Cash"/>
    <s v="C1914"/>
    <n v="4.4000000000000004"/>
    <s v="Saturday"/>
    <s v="August"/>
    <n v="2025"/>
  </r>
  <r>
    <x v="3305"/>
    <d v="2025-08-30T00:00:00"/>
    <s v="Riverside"/>
    <s v="Bristol"/>
    <s v="Muffin"/>
    <s v="Food"/>
    <n v="2"/>
    <n v="2.2000000000000002"/>
    <s v="Apple Pay"/>
    <s v="C1035"/>
    <n v="4.4000000000000004"/>
    <s v="Saturday"/>
    <s v="August"/>
    <n v="2025"/>
  </r>
  <r>
    <x v="3306"/>
    <d v="2025-08-30T00:00:00"/>
    <s v="Station"/>
    <s v="Manchester"/>
    <s v="Cappuccino"/>
    <s v="Drink"/>
    <n v="1"/>
    <n v="3.8"/>
    <s v="Card"/>
    <s v="C1696"/>
    <n v="3.8"/>
    <s v="Saturday"/>
    <s v="August"/>
    <n v="2025"/>
  </r>
  <r>
    <x v="3307"/>
    <d v="2025-08-31T00:00:00"/>
    <s v="Riverside"/>
    <s v="Birmingham"/>
    <s v="Latte"/>
    <s v="Drink"/>
    <n v="5"/>
    <n v="3.5"/>
    <s v="Cash"/>
    <s v="C1401"/>
    <n v="17.5"/>
    <s v="Sunday"/>
    <s v="August"/>
    <n v="2025"/>
  </r>
  <r>
    <x v="3308"/>
    <d v="2025-08-31T00:00:00"/>
    <s v="Station"/>
    <s v="Leeds"/>
    <s v="Latte"/>
    <s v="Drink"/>
    <n v="5"/>
    <n v="3.5"/>
    <s v="Apple Pay"/>
    <s v="C1361"/>
    <n v="17.5"/>
    <s v="Sunday"/>
    <s v="August"/>
    <n v="2025"/>
  </r>
  <r>
    <x v="3309"/>
    <d v="2025-08-31T00:00:00"/>
    <s v="Central"/>
    <s v="Birmingham"/>
    <s v="Cappuccino"/>
    <s v="Drink"/>
    <n v="4"/>
    <n v="3.8"/>
    <s v="Apple Pay"/>
    <s v="C1365"/>
    <n v="15.2"/>
    <s v="Sunday"/>
    <s v="August"/>
    <n v="2025"/>
  </r>
  <r>
    <x v="3310"/>
    <d v="2025-08-31T00:00:00"/>
    <s v="Central"/>
    <s v="Bristol"/>
    <s v="Cappuccino"/>
    <s v="Drink"/>
    <n v="4"/>
    <n v="3.8"/>
    <s v="Cash"/>
    <s v="C1653"/>
    <n v="15.2"/>
    <s v="Sunday"/>
    <s v="August"/>
    <n v="2025"/>
  </r>
  <r>
    <x v="3311"/>
    <d v="2025-08-31T00:00:00"/>
    <s v="High Street"/>
    <s v="London"/>
    <s v="Cappuccino"/>
    <s v="Drink"/>
    <n v="4"/>
    <n v="3.8"/>
    <s v="Cash"/>
    <s v="C1172"/>
    <n v="15.2"/>
    <s v="Sunday"/>
    <s v="August"/>
    <n v="2025"/>
  </r>
  <r>
    <x v="3312"/>
    <d v="2025-08-31T00:00:00"/>
    <s v="Riverside"/>
    <s v="Manchester"/>
    <s v="Cappuccino"/>
    <s v="Drink"/>
    <n v="3"/>
    <n v="3.8"/>
    <s v="Apple Pay"/>
    <s v="C1071"/>
    <n v="11.399999999999999"/>
    <s v="Sunday"/>
    <s v="August"/>
    <n v="2025"/>
  </r>
  <r>
    <x v="3313"/>
    <d v="2025-08-31T00:00:00"/>
    <s v="Station"/>
    <s v="Bristol"/>
    <s v="Croissant"/>
    <s v="Food"/>
    <n v="3"/>
    <n v="2.8"/>
    <s v="Apple Pay"/>
    <s v="C1892"/>
    <n v="8.3999999999999986"/>
    <s v="Sunday"/>
    <s v="August"/>
    <n v="2025"/>
  </r>
  <r>
    <x v="3314"/>
    <d v="2025-08-31T00:00:00"/>
    <s v="High Street"/>
    <s v="Leeds"/>
    <s v="Muffin"/>
    <s v="Food"/>
    <n v="3"/>
    <n v="2.2000000000000002"/>
    <s v="Cash"/>
    <s v="C1653"/>
    <n v="6.6000000000000005"/>
    <s v="Sunday"/>
    <s v="August"/>
    <n v="2025"/>
  </r>
  <r>
    <x v="3315"/>
    <d v="2025-08-31T00:00:00"/>
    <s v="High Street"/>
    <s v="London"/>
    <s v="Latte"/>
    <s v="Drink"/>
    <n v="1"/>
    <n v="3.5"/>
    <s v="Card"/>
    <s v="C1860"/>
    <n v="3.5"/>
    <s v="Sunday"/>
    <s v="August"/>
    <n v="2025"/>
  </r>
  <r>
    <x v="3316"/>
    <d v="2025-08-31T00:00:00"/>
    <s v="Riverside"/>
    <s v="Manchester"/>
    <s v="Espresso"/>
    <s v="Drink"/>
    <n v="1"/>
    <n v="2.5"/>
    <s v="Card"/>
    <s v="C1329"/>
    <n v="2.5"/>
    <s v="Sunday"/>
    <s v="August"/>
    <n v="2025"/>
  </r>
  <r>
    <x v="3317"/>
    <d v="2025-09-01T00:00:00"/>
    <s v="High Street"/>
    <s v="Birmingham"/>
    <s v="Cappuccino"/>
    <s v="Drink"/>
    <n v="4"/>
    <n v="3.8"/>
    <s v="Apple Pay"/>
    <s v="C1069"/>
    <n v="15.2"/>
    <s v="Monday"/>
    <s v="September"/>
    <n v="2025"/>
  </r>
  <r>
    <x v="3318"/>
    <d v="2025-09-01T00:00:00"/>
    <s v="High Street"/>
    <s v="Bristol"/>
    <s v="Croissant"/>
    <s v="Food"/>
    <n v="5"/>
    <n v="2.8"/>
    <s v="Cash"/>
    <s v="C1867"/>
    <n v="14"/>
    <s v="Monday"/>
    <s v="September"/>
    <n v="2025"/>
  </r>
  <r>
    <x v="3319"/>
    <d v="2025-09-01T00:00:00"/>
    <s v="Central"/>
    <s v="Bristol"/>
    <s v="Latte"/>
    <s v="Drink"/>
    <n v="3"/>
    <n v="3.5"/>
    <s v="Card"/>
    <s v="C1019"/>
    <n v="10.5"/>
    <s v="Monday"/>
    <s v="September"/>
    <n v="2025"/>
  </r>
  <r>
    <x v="3320"/>
    <d v="2025-09-01T00:00:00"/>
    <s v="Riverside"/>
    <s v="Birmingham"/>
    <s v="Espresso"/>
    <s v="Drink"/>
    <n v="4"/>
    <n v="2.5"/>
    <s v="Card"/>
    <s v="C1707"/>
    <n v="10"/>
    <s v="Monday"/>
    <s v="September"/>
    <n v="2025"/>
  </r>
  <r>
    <x v="3321"/>
    <d v="2025-09-01T00:00:00"/>
    <s v="Station"/>
    <s v="Bristol"/>
    <s v="Muffin"/>
    <s v="Food"/>
    <n v="4"/>
    <n v="2.2000000000000002"/>
    <s v="Card"/>
    <s v="C1057"/>
    <n v="8.8000000000000007"/>
    <s v="Monday"/>
    <s v="September"/>
    <n v="2025"/>
  </r>
  <r>
    <x v="3322"/>
    <d v="2025-09-01T00:00:00"/>
    <s v="Station"/>
    <s v="Bristol"/>
    <s v="Cappuccino"/>
    <s v="Drink"/>
    <n v="2"/>
    <n v="3.8"/>
    <s v="Apple Pay"/>
    <s v="C1348"/>
    <n v="7.6"/>
    <s v="Monday"/>
    <s v="September"/>
    <n v="2025"/>
  </r>
  <r>
    <x v="3323"/>
    <d v="2025-09-01T00:00:00"/>
    <s v="Station"/>
    <s v="Manchester"/>
    <s v="Cappuccino"/>
    <s v="Drink"/>
    <n v="1"/>
    <n v="3.8"/>
    <s v="Cash"/>
    <s v="C1144"/>
    <n v="3.8"/>
    <s v="Monday"/>
    <s v="September"/>
    <n v="2025"/>
  </r>
  <r>
    <x v="3324"/>
    <d v="2025-09-01T00:00:00"/>
    <s v="High Street"/>
    <s v="London"/>
    <s v="Espresso"/>
    <s v="Drink"/>
    <n v="1"/>
    <n v="2.5"/>
    <s v="Card"/>
    <s v="C1986"/>
    <n v="2.5"/>
    <s v="Monday"/>
    <s v="September"/>
    <n v="2025"/>
  </r>
  <r>
    <x v="3325"/>
    <d v="2025-09-01T00:00:00"/>
    <s v="High Street"/>
    <s v="Birmingham"/>
    <s v="Muffin"/>
    <s v="Food"/>
    <n v="1"/>
    <n v="2.2000000000000002"/>
    <s v="Cash"/>
    <s v="C1080"/>
    <n v="2.2000000000000002"/>
    <s v="Monday"/>
    <s v="September"/>
    <n v="2025"/>
  </r>
  <r>
    <x v="3326"/>
    <d v="2025-09-02T00:00:00"/>
    <s v="Central"/>
    <s v="London"/>
    <s v="Latte"/>
    <s v="Drink"/>
    <n v="5"/>
    <n v="3.5"/>
    <s v="Cash"/>
    <s v="C1446"/>
    <n v="17.5"/>
    <s v="Tuesday"/>
    <s v="September"/>
    <n v="2025"/>
  </r>
  <r>
    <x v="3327"/>
    <d v="2025-09-02T00:00:00"/>
    <s v="Riverside"/>
    <s v="London"/>
    <s v="Latte"/>
    <s v="Drink"/>
    <n v="4"/>
    <n v="3.5"/>
    <s v="Cash"/>
    <s v="C1680"/>
    <n v="14"/>
    <s v="Tuesday"/>
    <s v="September"/>
    <n v="2025"/>
  </r>
  <r>
    <x v="3328"/>
    <d v="2025-09-02T00:00:00"/>
    <s v="High Street"/>
    <s v="Leeds"/>
    <s v="Latte"/>
    <s v="Drink"/>
    <n v="4"/>
    <n v="3.5"/>
    <s v="Cash"/>
    <s v="C1827"/>
    <n v="14"/>
    <s v="Tuesday"/>
    <s v="September"/>
    <n v="2025"/>
  </r>
  <r>
    <x v="3329"/>
    <d v="2025-09-02T00:00:00"/>
    <s v="High Street"/>
    <s v="London"/>
    <s v="Croissant"/>
    <s v="Food"/>
    <n v="4"/>
    <n v="2.8"/>
    <s v="Card"/>
    <s v="C1348"/>
    <n v="11.2"/>
    <s v="Tuesday"/>
    <s v="September"/>
    <n v="2025"/>
  </r>
  <r>
    <x v="3330"/>
    <d v="2025-09-02T00:00:00"/>
    <s v="Central"/>
    <s v="Bristol"/>
    <s v="Espresso"/>
    <s v="Drink"/>
    <n v="4"/>
    <n v="2.5"/>
    <s v="Card"/>
    <s v="C1651"/>
    <n v="10"/>
    <s v="Tuesday"/>
    <s v="September"/>
    <n v="2025"/>
  </r>
  <r>
    <x v="3331"/>
    <d v="2025-09-02T00:00:00"/>
    <s v="High Street"/>
    <s v="Bristol"/>
    <s v="Cappuccino"/>
    <s v="Drink"/>
    <n v="2"/>
    <n v="3.8"/>
    <s v="Apple Pay"/>
    <s v="C1447"/>
    <n v="7.6"/>
    <s v="Tuesday"/>
    <s v="September"/>
    <n v="2025"/>
  </r>
  <r>
    <x v="3332"/>
    <d v="2025-09-02T00:00:00"/>
    <s v="Station"/>
    <s v="Manchester"/>
    <s v="Cappuccino"/>
    <s v="Drink"/>
    <n v="2"/>
    <n v="3.8"/>
    <s v="Apple Pay"/>
    <s v="C1271"/>
    <n v="7.6"/>
    <s v="Tuesday"/>
    <s v="September"/>
    <n v="2025"/>
  </r>
  <r>
    <x v="3333"/>
    <d v="2025-09-02T00:00:00"/>
    <s v="Station"/>
    <s v="Manchester"/>
    <s v="Muffin"/>
    <s v="Food"/>
    <n v="3"/>
    <n v="2.2000000000000002"/>
    <s v="Apple Pay"/>
    <s v="C1560"/>
    <n v="6.6000000000000005"/>
    <s v="Tuesday"/>
    <s v="September"/>
    <n v="2025"/>
  </r>
  <r>
    <x v="3334"/>
    <d v="2025-09-02T00:00:00"/>
    <s v="Central"/>
    <s v="Leeds"/>
    <s v="Muffin"/>
    <s v="Food"/>
    <n v="3"/>
    <n v="2.2000000000000002"/>
    <s v="Apple Pay"/>
    <s v="C1903"/>
    <n v="6.6000000000000005"/>
    <s v="Tuesday"/>
    <s v="September"/>
    <n v="2025"/>
  </r>
  <r>
    <x v="3335"/>
    <d v="2025-09-02T00:00:00"/>
    <s v="Riverside"/>
    <s v="Leeds"/>
    <s v="Muffin"/>
    <s v="Food"/>
    <n v="3"/>
    <n v="2.2000000000000002"/>
    <s v="Card"/>
    <s v="C1503"/>
    <n v="6.6000000000000005"/>
    <s v="Tuesday"/>
    <s v="September"/>
    <n v="2025"/>
  </r>
  <r>
    <x v="3336"/>
    <d v="2025-09-02T00:00:00"/>
    <s v="Central"/>
    <s v="Manchester"/>
    <s v="Croissant"/>
    <s v="Food"/>
    <n v="2"/>
    <n v="2.8"/>
    <s v="Apple Pay"/>
    <s v="C1051"/>
    <n v="5.6"/>
    <s v="Tuesday"/>
    <s v="September"/>
    <n v="2025"/>
  </r>
  <r>
    <x v="3337"/>
    <d v="2025-09-02T00:00:00"/>
    <s v="High Street"/>
    <s v="Leeds"/>
    <s v="Croissant"/>
    <s v="Food"/>
    <n v="2"/>
    <n v="2.8"/>
    <s v="Card"/>
    <s v="C1530"/>
    <n v="5.6"/>
    <s v="Tuesday"/>
    <s v="September"/>
    <n v="2025"/>
  </r>
  <r>
    <x v="3338"/>
    <d v="2025-09-02T00:00:00"/>
    <s v="High Street"/>
    <s v="Bristol"/>
    <s v="Espresso"/>
    <s v="Drink"/>
    <n v="2"/>
    <n v="2.5"/>
    <s v="Cash"/>
    <s v="C1048"/>
    <n v="5"/>
    <s v="Tuesday"/>
    <s v="September"/>
    <n v="2025"/>
  </r>
  <r>
    <x v="3339"/>
    <d v="2025-09-02T00:00:00"/>
    <s v="High Street"/>
    <s v="London"/>
    <s v="Latte"/>
    <s v="Drink"/>
    <n v="1"/>
    <n v="3.5"/>
    <s v="Cash"/>
    <s v="C1218"/>
    <n v="3.5"/>
    <s v="Tuesday"/>
    <s v="September"/>
    <n v="2025"/>
  </r>
  <r>
    <x v="3340"/>
    <d v="2025-09-02T00:00:00"/>
    <s v="Riverside"/>
    <s v="Bristol"/>
    <s v="Croissant"/>
    <s v="Food"/>
    <n v="1"/>
    <n v="2.8"/>
    <s v="Card"/>
    <s v="C1265"/>
    <n v="2.8"/>
    <s v="Tuesday"/>
    <s v="September"/>
    <n v="2025"/>
  </r>
  <r>
    <x v="3341"/>
    <d v="2025-09-02T00:00:00"/>
    <s v="Riverside"/>
    <s v="London"/>
    <s v="Espresso"/>
    <s v="Drink"/>
    <n v="1"/>
    <n v="2.5"/>
    <s v="Apple Pay"/>
    <s v="C1282"/>
    <n v="2.5"/>
    <s v="Tuesday"/>
    <s v="September"/>
    <n v="2025"/>
  </r>
  <r>
    <x v="3342"/>
    <d v="2025-09-03T00:00:00"/>
    <s v="Central"/>
    <s v="Manchester"/>
    <s v="Cappuccino"/>
    <s v="Drink"/>
    <n v="5"/>
    <n v="3.8"/>
    <s v="Card"/>
    <s v="C1400"/>
    <n v="19"/>
    <s v="Wednesday"/>
    <s v="September"/>
    <n v="2025"/>
  </r>
  <r>
    <x v="3343"/>
    <d v="2025-09-03T00:00:00"/>
    <s v="High Street"/>
    <s v="London"/>
    <s v="Cappuccino"/>
    <s v="Drink"/>
    <n v="4"/>
    <n v="3.8"/>
    <s v="Cash"/>
    <s v="C1875"/>
    <n v="15.2"/>
    <s v="Wednesday"/>
    <s v="September"/>
    <n v="2025"/>
  </r>
  <r>
    <x v="3344"/>
    <d v="2025-09-03T00:00:00"/>
    <s v="Central"/>
    <s v="Leeds"/>
    <s v="Croissant"/>
    <s v="Food"/>
    <n v="5"/>
    <n v="2.8"/>
    <s v="Card"/>
    <s v="C1769"/>
    <n v="14"/>
    <s v="Wednesday"/>
    <s v="September"/>
    <n v="2025"/>
  </r>
  <r>
    <x v="3345"/>
    <d v="2025-09-03T00:00:00"/>
    <s v="Riverside"/>
    <s v="Leeds"/>
    <s v="Cappuccino"/>
    <s v="Drink"/>
    <n v="3"/>
    <n v="3.8"/>
    <s v="Card"/>
    <s v="C1870"/>
    <n v="11.399999999999999"/>
    <s v="Wednesday"/>
    <s v="September"/>
    <n v="2025"/>
  </r>
  <r>
    <x v="3346"/>
    <d v="2025-09-03T00:00:00"/>
    <s v="Central"/>
    <s v="London"/>
    <s v="Croissant"/>
    <s v="Food"/>
    <n v="4"/>
    <n v="2.8"/>
    <s v="Apple Pay"/>
    <s v="C1092"/>
    <n v="11.2"/>
    <s v="Wednesday"/>
    <s v="September"/>
    <n v="2025"/>
  </r>
  <r>
    <x v="3347"/>
    <d v="2025-09-03T00:00:00"/>
    <s v="High Street"/>
    <s v="Leeds"/>
    <s v="Muffin"/>
    <s v="Food"/>
    <n v="5"/>
    <n v="2.2000000000000002"/>
    <s v="Card"/>
    <s v="C1307"/>
    <n v="11"/>
    <s v="Wednesday"/>
    <s v="September"/>
    <n v="2025"/>
  </r>
  <r>
    <x v="3348"/>
    <d v="2025-09-03T00:00:00"/>
    <s v="Station"/>
    <s v="London"/>
    <s v="Latte"/>
    <s v="Drink"/>
    <n v="3"/>
    <n v="3.5"/>
    <s v="Card"/>
    <s v="C1700"/>
    <n v="10.5"/>
    <s v="Wednesday"/>
    <s v="September"/>
    <n v="2025"/>
  </r>
  <r>
    <x v="3349"/>
    <d v="2025-09-03T00:00:00"/>
    <s v="High Street"/>
    <s v="Birmingham"/>
    <s v="Muffin"/>
    <s v="Food"/>
    <n v="4"/>
    <n v="2.2000000000000002"/>
    <s v="Apple Pay"/>
    <s v="C1027"/>
    <n v="8.8000000000000007"/>
    <s v="Wednesday"/>
    <s v="September"/>
    <n v="2025"/>
  </r>
  <r>
    <x v="3350"/>
    <d v="2025-09-03T00:00:00"/>
    <s v="Central"/>
    <s v="Birmingham"/>
    <s v="Croissant"/>
    <s v="Food"/>
    <n v="3"/>
    <n v="2.8"/>
    <s v="Apple Pay"/>
    <s v="C1175"/>
    <n v="8.3999999999999986"/>
    <s v="Wednesday"/>
    <s v="September"/>
    <n v="2025"/>
  </r>
  <r>
    <x v="3351"/>
    <d v="2025-09-03T00:00:00"/>
    <s v="Station"/>
    <s v="Manchester"/>
    <s v="Croissant"/>
    <s v="Food"/>
    <n v="3"/>
    <n v="2.8"/>
    <s v="Apple Pay"/>
    <s v="C1576"/>
    <n v="8.3999999999999986"/>
    <s v="Wednesday"/>
    <s v="September"/>
    <n v="2025"/>
  </r>
  <r>
    <x v="3352"/>
    <d v="2025-09-03T00:00:00"/>
    <s v="Riverside"/>
    <s v="London"/>
    <s v="Croissant"/>
    <s v="Food"/>
    <n v="3"/>
    <n v="2.8"/>
    <s v="Apple Pay"/>
    <s v="C1506"/>
    <n v="8.3999999999999986"/>
    <s v="Wednesday"/>
    <s v="September"/>
    <n v="2025"/>
  </r>
  <r>
    <x v="3353"/>
    <d v="2025-09-03T00:00:00"/>
    <s v="High Street"/>
    <s v="Leeds"/>
    <s v="Espresso"/>
    <s v="Drink"/>
    <n v="3"/>
    <n v="2.5"/>
    <s v="Cash"/>
    <s v="C1412"/>
    <n v="7.5"/>
    <s v="Wednesday"/>
    <s v="September"/>
    <n v="2025"/>
  </r>
  <r>
    <x v="3354"/>
    <d v="2025-09-03T00:00:00"/>
    <s v="Riverside"/>
    <s v="London"/>
    <s v="Espresso"/>
    <s v="Drink"/>
    <n v="3"/>
    <n v="2.5"/>
    <s v="Card"/>
    <s v="C1222"/>
    <n v="7.5"/>
    <s v="Wednesday"/>
    <s v="September"/>
    <n v="2025"/>
  </r>
  <r>
    <x v="3355"/>
    <d v="2025-09-03T00:00:00"/>
    <s v="Riverside"/>
    <s v="Bristol"/>
    <s v="Latte"/>
    <s v="Drink"/>
    <n v="2"/>
    <n v="3.5"/>
    <s v="Cash"/>
    <s v="C1639"/>
    <n v="7"/>
    <s v="Wednesday"/>
    <s v="September"/>
    <n v="2025"/>
  </r>
  <r>
    <x v="3356"/>
    <d v="2025-09-03T00:00:00"/>
    <s v="Central"/>
    <s v="Leeds"/>
    <s v="Muffin"/>
    <s v="Food"/>
    <n v="3"/>
    <n v="2.2000000000000002"/>
    <s v="Card"/>
    <s v="C1531"/>
    <n v="6.6000000000000005"/>
    <s v="Wednesday"/>
    <s v="September"/>
    <n v="2025"/>
  </r>
  <r>
    <x v="3357"/>
    <d v="2025-09-03T00:00:00"/>
    <s v="High Street"/>
    <s v="Manchester"/>
    <s v="Muffin"/>
    <s v="Food"/>
    <n v="2"/>
    <n v="2.2000000000000002"/>
    <s v="Apple Pay"/>
    <s v="C1714"/>
    <n v="4.4000000000000004"/>
    <s v="Wednesday"/>
    <s v="September"/>
    <n v="2025"/>
  </r>
  <r>
    <x v="3358"/>
    <d v="2025-09-03T00:00:00"/>
    <s v="Central"/>
    <s v="Bristol"/>
    <s v="Muffin"/>
    <s v="Food"/>
    <n v="1"/>
    <n v="2.2000000000000002"/>
    <s v="Cash"/>
    <s v="C1643"/>
    <n v="2.2000000000000002"/>
    <s v="Wednesday"/>
    <s v="September"/>
    <n v="2025"/>
  </r>
  <r>
    <x v="3359"/>
    <d v="2025-09-04T00:00:00"/>
    <s v="High Street"/>
    <s v="Birmingham"/>
    <s v="Cappuccino"/>
    <s v="Drink"/>
    <n v="5"/>
    <n v="3.8"/>
    <s v="Card"/>
    <s v="C1697"/>
    <n v="19"/>
    <s v="Thursday"/>
    <s v="September"/>
    <n v="2025"/>
  </r>
  <r>
    <x v="3360"/>
    <d v="2025-09-04T00:00:00"/>
    <s v="Riverside"/>
    <s v="London"/>
    <s v="Latte"/>
    <s v="Drink"/>
    <n v="5"/>
    <n v="3.5"/>
    <s v="Apple Pay"/>
    <s v="C1066"/>
    <n v="17.5"/>
    <s v="Thursday"/>
    <s v="September"/>
    <n v="2025"/>
  </r>
  <r>
    <x v="3361"/>
    <d v="2025-09-04T00:00:00"/>
    <s v="Station"/>
    <s v="Birmingham"/>
    <s v="Croissant"/>
    <s v="Food"/>
    <n v="5"/>
    <n v="2.8"/>
    <s v="Card"/>
    <s v="C1202"/>
    <n v="14"/>
    <s v="Thursday"/>
    <s v="September"/>
    <n v="2025"/>
  </r>
  <r>
    <x v="3362"/>
    <d v="2025-09-04T00:00:00"/>
    <s v="Riverside"/>
    <s v="Bristol"/>
    <s v="Latte"/>
    <s v="Drink"/>
    <n v="4"/>
    <n v="3.5"/>
    <s v="Apple Pay"/>
    <s v="C1170"/>
    <n v="14"/>
    <s v="Thursday"/>
    <s v="September"/>
    <n v="2025"/>
  </r>
  <r>
    <x v="3363"/>
    <d v="2025-09-04T00:00:00"/>
    <s v="Central"/>
    <s v="Manchester"/>
    <s v="Espresso"/>
    <s v="Drink"/>
    <n v="5"/>
    <n v="2.5"/>
    <s v="Card"/>
    <s v="C1469"/>
    <n v="12.5"/>
    <s v="Thursday"/>
    <s v="September"/>
    <n v="2025"/>
  </r>
  <r>
    <x v="3364"/>
    <d v="2025-09-04T00:00:00"/>
    <s v="Station"/>
    <s v="Birmingham"/>
    <s v="Espresso"/>
    <s v="Drink"/>
    <n v="5"/>
    <n v="2.5"/>
    <s v="Apple Pay"/>
    <s v="C1574"/>
    <n v="12.5"/>
    <s v="Thursday"/>
    <s v="September"/>
    <n v="2025"/>
  </r>
  <r>
    <x v="3365"/>
    <d v="2025-09-04T00:00:00"/>
    <s v="Riverside"/>
    <s v="Birmingham"/>
    <s v="Muffin"/>
    <s v="Food"/>
    <n v="4"/>
    <n v="2.2000000000000002"/>
    <s v="Apple Pay"/>
    <s v="C1881"/>
    <n v="8.8000000000000007"/>
    <s v="Thursday"/>
    <s v="September"/>
    <n v="2025"/>
  </r>
  <r>
    <x v="3366"/>
    <d v="2025-09-04T00:00:00"/>
    <s v="Station"/>
    <s v="Bristol"/>
    <s v="Espresso"/>
    <s v="Drink"/>
    <n v="3"/>
    <n v="2.5"/>
    <s v="Apple Pay"/>
    <s v="C1248"/>
    <n v="7.5"/>
    <s v="Thursday"/>
    <s v="September"/>
    <n v="2025"/>
  </r>
  <r>
    <x v="3367"/>
    <d v="2025-09-04T00:00:00"/>
    <s v="Station"/>
    <s v="Bristol"/>
    <s v="Croissant"/>
    <s v="Food"/>
    <n v="2"/>
    <n v="2.8"/>
    <s v="Apple Pay"/>
    <s v="C1571"/>
    <n v="5.6"/>
    <s v="Thursday"/>
    <s v="September"/>
    <n v="2025"/>
  </r>
  <r>
    <x v="3368"/>
    <d v="2025-09-04T00:00:00"/>
    <s v="Riverside"/>
    <s v="London"/>
    <s v="Espresso"/>
    <s v="Drink"/>
    <n v="2"/>
    <n v="2.5"/>
    <s v="Apple Pay"/>
    <s v="C1071"/>
    <n v="5"/>
    <s v="Thursday"/>
    <s v="September"/>
    <n v="2025"/>
  </r>
  <r>
    <x v="3369"/>
    <d v="2025-09-04T00:00:00"/>
    <s v="High Street"/>
    <s v="Birmingham"/>
    <s v="Espresso"/>
    <s v="Drink"/>
    <n v="2"/>
    <n v="2.5"/>
    <s v="Apple Pay"/>
    <s v="C1322"/>
    <n v="5"/>
    <s v="Thursday"/>
    <s v="September"/>
    <n v="2025"/>
  </r>
  <r>
    <x v="3370"/>
    <d v="2025-09-04T00:00:00"/>
    <s v="Central"/>
    <s v="Bristol"/>
    <s v="Latte"/>
    <s v="Drink"/>
    <n v="1"/>
    <n v="3.5"/>
    <s v="Cash"/>
    <s v="C1615"/>
    <n v="3.5"/>
    <s v="Thursday"/>
    <s v="September"/>
    <n v="2025"/>
  </r>
  <r>
    <x v="3371"/>
    <d v="2025-09-04T00:00:00"/>
    <s v="High Street"/>
    <s v="Manchester"/>
    <s v="Latte"/>
    <s v="Drink"/>
    <n v="1"/>
    <n v="3.5"/>
    <s v="Apple Pay"/>
    <s v="C1125"/>
    <n v="3.5"/>
    <s v="Thursday"/>
    <s v="September"/>
    <n v="2025"/>
  </r>
  <r>
    <x v="3372"/>
    <d v="2025-09-05T00:00:00"/>
    <s v="High Street"/>
    <s v="Leeds"/>
    <s v="Latte"/>
    <s v="Drink"/>
    <n v="5"/>
    <n v="3.5"/>
    <s v="Card"/>
    <s v="C1818"/>
    <n v="17.5"/>
    <s v="Friday"/>
    <s v="September"/>
    <n v="2025"/>
  </r>
  <r>
    <x v="3373"/>
    <d v="2025-09-05T00:00:00"/>
    <s v="Central"/>
    <s v="Birmingham"/>
    <s v="Cappuccino"/>
    <s v="Drink"/>
    <n v="4"/>
    <n v="3.8"/>
    <s v="Cash"/>
    <s v="C1841"/>
    <n v="15.2"/>
    <s v="Friday"/>
    <s v="September"/>
    <n v="2025"/>
  </r>
  <r>
    <x v="3374"/>
    <d v="2025-09-05T00:00:00"/>
    <s v="Station"/>
    <s v="Leeds"/>
    <s v="Latte"/>
    <s v="Drink"/>
    <n v="4"/>
    <n v="3.5"/>
    <s v="Cash"/>
    <s v="C1816"/>
    <n v="14"/>
    <s v="Friday"/>
    <s v="September"/>
    <n v="2025"/>
  </r>
  <r>
    <x v="3375"/>
    <d v="2025-09-05T00:00:00"/>
    <s v="Station"/>
    <s v="Bristol"/>
    <s v="Espresso"/>
    <s v="Drink"/>
    <n v="5"/>
    <n v="2.5"/>
    <s v="Card"/>
    <s v="C1184"/>
    <n v="12.5"/>
    <s v="Friday"/>
    <s v="September"/>
    <n v="2025"/>
  </r>
  <r>
    <x v="3376"/>
    <d v="2025-09-05T00:00:00"/>
    <s v="Station"/>
    <s v="Birmingham"/>
    <s v="Latte"/>
    <s v="Drink"/>
    <n v="3"/>
    <n v="3.5"/>
    <s v="Apple Pay"/>
    <s v="C1689"/>
    <n v="10.5"/>
    <s v="Friday"/>
    <s v="September"/>
    <n v="2025"/>
  </r>
  <r>
    <x v="3377"/>
    <d v="2025-09-05T00:00:00"/>
    <s v="Station"/>
    <s v="Leeds"/>
    <s v="Latte"/>
    <s v="Drink"/>
    <n v="3"/>
    <n v="3.5"/>
    <s v="Card"/>
    <s v="C1394"/>
    <n v="10.5"/>
    <s v="Friday"/>
    <s v="September"/>
    <n v="2025"/>
  </r>
  <r>
    <x v="3378"/>
    <d v="2025-09-05T00:00:00"/>
    <s v="Riverside"/>
    <s v="Manchester"/>
    <s v="Espresso"/>
    <s v="Drink"/>
    <n v="2"/>
    <n v="2.5"/>
    <s v="Cash"/>
    <s v="C1986"/>
    <n v="5"/>
    <s v="Friday"/>
    <s v="September"/>
    <n v="2025"/>
  </r>
  <r>
    <x v="3379"/>
    <d v="2025-09-05T00:00:00"/>
    <s v="High Street"/>
    <s v="Leeds"/>
    <s v="Espresso"/>
    <s v="Drink"/>
    <n v="2"/>
    <n v="2.5"/>
    <s v="Cash"/>
    <s v="C1702"/>
    <n v="5"/>
    <s v="Friday"/>
    <s v="September"/>
    <n v="2025"/>
  </r>
  <r>
    <x v="3380"/>
    <d v="2025-09-05T00:00:00"/>
    <s v="Riverside"/>
    <s v="Bristol"/>
    <s v="Latte"/>
    <s v="Drink"/>
    <n v="1"/>
    <n v="3.5"/>
    <s v="Cash"/>
    <s v="C1264"/>
    <n v="3.5"/>
    <s v="Friday"/>
    <s v="September"/>
    <n v="2025"/>
  </r>
  <r>
    <x v="3381"/>
    <d v="2025-09-05T00:00:00"/>
    <s v="High Street"/>
    <s v="London"/>
    <s v="Croissant"/>
    <s v="Food"/>
    <n v="1"/>
    <n v="2.8"/>
    <s v="Card"/>
    <s v="C1865"/>
    <n v="2.8"/>
    <s v="Friday"/>
    <s v="September"/>
    <n v="2025"/>
  </r>
  <r>
    <x v="3382"/>
    <d v="2025-09-06T00:00:00"/>
    <s v="Central"/>
    <s v="London"/>
    <s v="Cappuccino"/>
    <s v="Drink"/>
    <n v="4"/>
    <n v="3.8"/>
    <s v="Cash"/>
    <s v="C1310"/>
    <n v="15.2"/>
    <s v="Saturday"/>
    <s v="September"/>
    <n v="2025"/>
  </r>
  <r>
    <x v="3383"/>
    <d v="2025-09-06T00:00:00"/>
    <s v="Station"/>
    <s v="Bristol"/>
    <s v="Cappuccino"/>
    <s v="Drink"/>
    <n v="4"/>
    <n v="3.8"/>
    <s v="Card"/>
    <s v="C1876"/>
    <n v="15.2"/>
    <s v="Saturday"/>
    <s v="September"/>
    <n v="2025"/>
  </r>
  <r>
    <x v="3384"/>
    <d v="2025-09-06T00:00:00"/>
    <s v="Central"/>
    <s v="Birmingham"/>
    <s v="Muffin"/>
    <s v="Food"/>
    <n v="5"/>
    <n v="2.2000000000000002"/>
    <s v="Apple Pay"/>
    <s v="C1006"/>
    <n v="11"/>
    <s v="Saturday"/>
    <s v="September"/>
    <n v="2025"/>
  </r>
  <r>
    <x v="3385"/>
    <d v="2025-09-06T00:00:00"/>
    <s v="Station"/>
    <s v="London"/>
    <s v="Muffin"/>
    <s v="Food"/>
    <n v="5"/>
    <n v="2.2000000000000002"/>
    <s v="Card"/>
    <s v="C1645"/>
    <n v="11"/>
    <s v="Saturday"/>
    <s v="September"/>
    <n v="2025"/>
  </r>
  <r>
    <x v="3386"/>
    <d v="2025-09-06T00:00:00"/>
    <s v="Station"/>
    <s v="Bristol"/>
    <s v="Espresso"/>
    <s v="Drink"/>
    <n v="4"/>
    <n v="2.5"/>
    <s v="Card"/>
    <s v="C1092"/>
    <n v="10"/>
    <s v="Saturday"/>
    <s v="September"/>
    <n v="2025"/>
  </r>
  <r>
    <x v="3387"/>
    <d v="2025-09-06T00:00:00"/>
    <s v="Central"/>
    <s v="Leeds"/>
    <s v="Espresso"/>
    <s v="Drink"/>
    <n v="3"/>
    <n v="2.5"/>
    <s v="Apple Pay"/>
    <s v="C1449"/>
    <n v="7.5"/>
    <s v="Saturday"/>
    <s v="September"/>
    <n v="2025"/>
  </r>
  <r>
    <x v="3388"/>
    <d v="2025-09-06T00:00:00"/>
    <s v="Central"/>
    <s v="Leeds"/>
    <s v="Espresso"/>
    <s v="Drink"/>
    <n v="2"/>
    <n v="2.5"/>
    <s v="Card"/>
    <s v="C1121"/>
    <n v="5"/>
    <s v="Saturday"/>
    <s v="September"/>
    <n v="2025"/>
  </r>
  <r>
    <x v="3389"/>
    <d v="2025-09-06T00:00:00"/>
    <s v="Central"/>
    <s v="Leeds"/>
    <s v="Croissant"/>
    <s v="Food"/>
    <n v="1"/>
    <n v="2.8"/>
    <s v="Cash"/>
    <s v="C1686"/>
    <n v="2.8"/>
    <s v="Saturday"/>
    <s v="September"/>
    <n v="2025"/>
  </r>
  <r>
    <x v="3390"/>
    <d v="2025-09-06T00:00:00"/>
    <s v="High Street"/>
    <s v="Leeds"/>
    <s v="Espresso"/>
    <s v="Drink"/>
    <n v="1"/>
    <n v="2.5"/>
    <s v="Apple Pay"/>
    <s v="C1248"/>
    <n v="2.5"/>
    <s v="Saturday"/>
    <s v="September"/>
    <n v="2025"/>
  </r>
  <r>
    <x v="3391"/>
    <d v="2025-09-06T00:00:00"/>
    <s v="Riverside"/>
    <s v="Bristol"/>
    <s v="Espresso"/>
    <s v="Drink"/>
    <n v="1"/>
    <n v="2.5"/>
    <s v="Cash"/>
    <s v="C1699"/>
    <n v="2.5"/>
    <s v="Saturday"/>
    <s v="September"/>
    <n v="2025"/>
  </r>
  <r>
    <x v="3392"/>
    <d v="2025-09-06T00:00:00"/>
    <s v="Riverside"/>
    <s v="Manchester"/>
    <s v="Espresso"/>
    <s v="Drink"/>
    <n v="1"/>
    <n v="2.5"/>
    <s v="Apple Pay"/>
    <s v="C1225"/>
    <n v="2.5"/>
    <s v="Saturday"/>
    <s v="September"/>
    <n v="2025"/>
  </r>
  <r>
    <x v="3393"/>
    <d v="2025-09-07T00:00:00"/>
    <s v="High Street"/>
    <s v="Leeds"/>
    <s v="Cappuccino"/>
    <s v="Drink"/>
    <n v="4"/>
    <n v="3.8"/>
    <s v="Card"/>
    <s v="C1074"/>
    <n v="15.2"/>
    <s v="Sunday"/>
    <s v="September"/>
    <n v="2025"/>
  </r>
  <r>
    <x v="3394"/>
    <d v="2025-09-07T00:00:00"/>
    <s v="Station"/>
    <s v="London"/>
    <s v="Croissant"/>
    <s v="Food"/>
    <n v="5"/>
    <n v="2.8"/>
    <s v="Apple Pay"/>
    <s v="C1660"/>
    <n v="14"/>
    <s v="Sunday"/>
    <s v="September"/>
    <n v="2025"/>
  </r>
  <r>
    <x v="3395"/>
    <d v="2025-09-07T00:00:00"/>
    <s v="Riverside"/>
    <s v="Leeds"/>
    <s v="Croissant"/>
    <s v="Food"/>
    <n v="5"/>
    <n v="2.8"/>
    <s v="Cash"/>
    <s v="C1519"/>
    <n v="14"/>
    <s v="Sunday"/>
    <s v="September"/>
    <n v="2025"/>
  </r>
  <r>
    <x v="3396"/>
    <d v="2025-09-07T00:00:00"/>
    <s v="Central"/>
    <s v="Bristol"/>
    <s v="Croissant"/>
    <s v="Food"/>
    <n v="5"/>
    <n v="2.8"/>
    <s v="Card"/>
    <s v="C1571"/>
    <n v="14"/>
    <s v="Sunday"/>
    <s v="September"/>
    <n v="2025"/>
  </r>
  <r>
    <x v="3397"/>
    <d v="2025-09-07T00:00:00"/>
    <s v="Riverside"/>
    <s v="London"/>
    <s v="Cappuccino"/>
    <s v="Drink"/>
    <n v="3"/>
    <n v="3.8"/>
    <s v="Apple Pay"/>
    <s v="C1619"/>
    <n v="11.399999999999999"/>
    <s v="Sunday"/>
    <s v="September"/>
    <n v="2025"/>
  </r>
  <r>
    <x v="3398"/>
    <d v="2025-09-07T00:00:00"/>
    <s v="Central"/>
    <s v="Manchester"/>
    <s v="Croissant"/>
    <s v="Food"/>
    <n v="4"/>
    <n v="2.8"/>
    <s v="Cash"/>
    <s v="C1335"/>
    <n v="11.2"/>
    <s v="Sunday"/>
    <s v="September"/>
    <n v="2025"/>
  </r>
  <r>
    <x v="3399"/>
    <d v="2025-09-07T00:00:00"/>
    <s v="Riverside"/>
    <s v="Bristol"/>
    <s v="Latte"/>
    <s v="Drink"/>
    <n v="3"/>
    <n v="3.5"/>
    <s v="Apple Pay"/>
    <s v="C1745"/>
    <n v="10.5"/>
    <s v="Sunday"/>
    <s v="September"/>
    <n v="2025"/>
  </r>
  <r>
    <x v="3400"/>
    <d v="2025-09-07T00:00:00"/>
    <s v="Station"/>
    <s v="Manchester"/>
    <s v="Latte"/>
    <s v="Drink"/>
    <n v="3"/>
    <n v="3.5"/>
    <s v="Card"/>
    <s v="C1793"/>
    <n v="10.5"/>
    <s v="Sunday"/>
    <s v="September"/>
    <n v="2025"/>
  </r>
  <r>
    <x v="3401"/>
    <d v="2025-09-07T00:00:00"/>
    <s v="Riverside"/>
    <s v="Leeds"/>
    <s v="Croissant"/>
    <s v="Food"/>
    <n v="2"/>
    <n v="2.8"/>
    <s v="Apple Pay"/>
    <s v="C1373"/>
    <n v="5.6"/>
    <s v="Sunday"/>
    <s v="September"/>
    <n v="2025"/>
  </r>
  <r>
    <x v="3402"/>
    <d v="2025-09-07T00:00:00"/>
    <s v="High Street"/>
    <s v="Manchester"/>
    <s v="Croissant"/>
    <s v="Food"/>
    <n v="2"/>
    <n v="2.8"/>
    <s v="Card"/>
    <s v="C1878"/>
    <n v="5.6"/>
    <s v="Sunday"/>
    <s v="September"/>
    <n v="2025"/>
  </r>
  <r>
    <x v="3403"/>
    <d v="2025-09-07T00:00:00"/>
    <s v="High Street"/>
    <s v="Leeds"/>
    <s v="Cappuccino"/>
    <s v="Drink"/>
    <n v="1"/>
    <n v="3.8"/>
    <s v="Apple Pay"/>
    <s v="C1227"/>
    <n v="3.8"/>
    <s v="Sunday"/>
    <s v="September"/>
    <n v="2025"/>
  </r>
  <r>
    <x v="3404"/>
    <d v="2025-09-07T00:00:00"/>
    <s v="Riverside"/>
    <s v="Bristol"/>
    <s v="Croissant"/>
    <s v="Food"/>
    <n v="1"/>
    <n v="2.8"/>
    <s v="Cash"/>
    <s v="C1563"/>
    <n v="2.8"/>
    <s v="Sunday"/>
    <s v="September"/>
    <n v="2025"/>
  </r>
  <r>
    <x v="3405"/>
    <d v="2025-09-08T00:00:00"/>
    <s v="Riverside"/>
    <s v="Manchester"/>
    <s v="Cappuccino"/>
    <s v="Drink"/>
    <n v="4"/>
    <n v="3.8"/>
    <s v="Apple Pay"/>
    <s v="C1339"/>
    <n v="15.2"/>
    <s v="Monday"/>
    <s v="September"/>
    <n v="2025"/>
  </r>
  <r>
    <x v="3406"/>
    <d v="2025-09-08T00:00:00"/>
    <s v="Station"/>
    <s v="London"/>
    <s v="Latte"/>
    <s v="Drink"/>
    <n v="4"/>
    <n v="3.5"/>
    <s v="Apple Pay"/>
    <s v="C1806"/>
    <n v="14"/>
    <s v="Monday"/>
    <s v="September"/>
    <n v="2025"/>
  </r>
  <r>
    <x v="3407"/>
    <d v="2025-09-08T00:00:00"/>
    <s v="Station"/>
    <s v="Bristol"/>
    <s v="Croissant"/>
    <s v="Food"/>
    <n v="5"/>
    <n v="2.8"/>
    <s v="Apple Pay"/>
    <s v="C1486"/>
    <n v="14"/>
    <s v="Monday"/>
    <s v="September"/>
    <n v="2025"/>
  </r>
  <r>
    <x v="3408"/>
    <d v="2025-09-08T00:00:00"/>
    <s v="High Street"/>
    <s v="Manchester"/>
    <s v="Espresso"/>
    <s v="Drink"/>
    <n v="5"/>
    <n v="2.5"/>
    <s v="Cash"/>
    <s v="C1837"/>
    <n v="12.5"/>
    <s v="Monday"/>
    <s v="September"/>
    <n v="2025"/>
  </r>
  <r>
    <x v="3409"/>
    <d v="2025-09-08T00:00:00"/>
    <s v="High Street"/>
    <s v="Manchester"/>
    <s v="Cappuccino"/>
    <s v="Drink"/>
    <n v="3"/>
    <n v="3.8"/>
    <s v="Cash"/>
    <s v="C1542"/>
    <n v="11.399999999999999"/>
    <s v="Monday"/>
    <s v="September"/>
    <n v="2025"/>
  </r>
  <r>
    <x v="3410"/>
    <d v="2025-09-08T00:00:00"/>
    <s v="Riverside"/>
    <s v="Birmingham"/>
    <s v="Croissant"/>
    <s v="Food"/>
    <n v="4"/>
    <n v="2.8"/>
    <s v="Apple Pay"/>
    <s v="C1315"/>
    <n v="11.2"/>
    <s v="Monday"/>
    <s v="September"/>
    <n v="2025"/>
  </r>
  <r>
    <x v="3411"/>
    <d v="2025-09-08T00:00:00"/>
    <s v="High Street"/>
    <s v="Birmingham"/>
    <s v="Latte"/>
    <s v="Drink"/>
    <n v="3"/>
    <n v="3.5"/>
    <s v="Cash"/>
    <s v="C1083"/>
    <n v="10.5"/>
    <s v="Monday"/>
    <s v="September"/>
    <n v="2025"/>
  </r>
  <r>
    <x v="3412"/>
    <d v="2025-09-08T00:00:00"/>
    <s v="High Street"/>
    <s v="Bristol"/>
    <s v="Cappuccino"/>
    <s v="Drink"/>
    <n v="2"/>
    <n v="3.8"/>
    <s v="Apple Pay"/>
    <s v="C1781"/>
    <n v="7.6"/>
    <s v="Monday"/>
    <s v="September"/>
    <n v="2025"/>
  </r>
  <r>
    <x v="3413"/>
    <d v="2025-09-08T00:00:00"/>
    <s v="High Street"/>
    <s v="London"/>
    <s v="Espresso"/>
    <s v="Drink"/>
    <n v="3"/>
    <n v="2.5"/>
    <s v="Cash"/>
    <s v="C1587"/>
    <n v="7.5"/>
    <s v="Monday"/>
    <s v="September"/>
    <n v="2025"/>
  </r>
  <r>
    <x v="3414"/>
    <d v="2025-09-08T00:00:00"/>
    <s v="Riverside"/>
    <s v="Manchester"/>
    <s v="Latte"/>
    <s v="Drink"/>
    <n v="2"/>
    <n v="3.5"/>
    <s v="Cash"/>
    <s v="C1158"/>
    <n v="7"/>
    <s v="Monday"/>
    <s v="September"/>
    <n v="2025"/>
  </r>
  <r>
    <x v="3415"/>
    <d v="2025-09-08T00:00:00"/>
    <s v="Riverside"/>
    <s v="Birmingham"/>
    <s v="Latte"/>
    <s v="Drink"/>
    <n v="2"/>
    <n v="3.5"/>
    <s v="Card"/>
    <s v="C1932"/>
    <n v="7"/>
    <s v="Monday"/>
    <s v="September"/>
    <n v="2025"/>
  </r>
  <r>
    <x v="3416"/>
    <d v="2025-09-08T00:00:00"/>
    <s v="Station"/>
    <s v="Manchester"/>
    <s v="Muffin"/>
    <s v="Food"/>
    <n v="3"/>
    <n v="2.2000000000000002"/>
    <s v="Cash"/>
    <s v="C1610"/>
    <n v="6.6000000000000005"/>
    <s v="Monday"/>
    <s v="September"/>
    <n v="2025"/>
  </r>
  <r>
    <x v="3417"/>
    <d v="2025-09-08T00:00:00"/>
    <s v="Central"/>
    <s v="Bristol"/>
    <s v="Espresso"/>
    <s v="Drink"/>
    <n v="2"/>
    <n v="2.5"/>
    <s v="Card"/>
    <s v="C1290"/>
    <n v="5"/>
    <s v="Monday"/>
    <s v="September"/>
    <n v="2025"/>
  </r>
  <r>
    <x v="3418"/>
    <d v="2025-09-08T00:00:00"/>
    <s v="High Street"/>
    <s v="Manchester"/>
    <s v="Cappuccino"/>
    <s v="Drink"/>
    <n v="1"/>
    <n v="3.8"/>
    <s v="Card"/>
    <s v="C1591"/>
    <n v="3.8"/>
    <s v="Monday"/>
    <s v="September"/>
    <n v="2025"/>
  </r>
  <r>
    <x v="3419"/>
    <d v="2025-09-08T00:00:00"/>
    <s v="Station"/>
    <s v="Manchester"/>
    <s v="Latte"/>
    <s v="Drink"/>
    <n v="1"/>
    <n v="3.5"/>
    <s v="Cash"/>
    <s v="C1288"/>
    <n v="3.5"/>
    <s v="Monday"/>
    <s v="September"/>
    <n v="2025"/>
  </r>
  <r>
    <x v="3420"/>
    <d v="2025-09-08T00:00:00"/>
    <s v="High Street"/>
    <s v="Birmingham"/>
    <s v="Croissant"/>
    <s v="Food"/>
    <n v="1"/>
    <n v="2.8"/>
    <s v="Cash"/>
    <s v="C1032"/>
    <n v="2.8"/>
    <s v="Monday"/>
    <s v="September"/>
    <n v="2025"/>
  </r>
  <r>
    <x v="3421"/>
    <d v="2025-09-09T00:00:00"/>
    <s v="Station"/>
    <s v="Birmingham"/>
    <s v="Latte"/>
    <s v="Drink"/>
    <n v="5"/>
    <n v="3.5"/>
    <s v="Apple Pay"/>
    <s v="C1632"/>
    <n v="17.5"/>
    <s v="Tuesday"/>
    <s v="September"/>
    <n v="2025"/>
  </r>
  <r>
    <x v="3422"/>
    <d v="2025-09-09T00:00:00"/>
    <s v="Riverside"/>
    <s v="London"/>
    <s v="Cappuccino"/>
    <s v="Drink"/>
    <n v="3"/>
    <n v="3.8"/>
    <s v="Cash"/>
    <s v="C1058"/>
    <n v="11.399999999999999"/>
    <s v="Tuesday"/>
    <s v="September"/>
    <n v="2025"/>
  </r>
  <r>
    <x v="3423"/>
    <d v="2025-09-09T00:00:00"/>
    <s v="Central"/>
    <s v="Birmingham"/>
    <s v="Croissant"/>
    <s v="Food"/>
    <n v="4"/>
    <n v="2.8"/>
    <s v="Card"/>
    <s v="C1411"/>
    <n v="11.2"/>
    <s v="Tuesday"/>
    <s v="September"/>
    <n v="2025"/>
  </r>
  <r>
    <x v="3424"/>
    <d v="2025-09-09T00:00:00"/>
    <s v="Riverside"/>
    <s v="Manchester"/>
    <s v="Latte"/>
    <s v="Drink"/>
    <n v="3"/>
    <n v="3.5"/>
    <s v="Cash"/>
    <s v="C1663"/>
    <n v="10.5"/>
    <s v="Tuesday"/>
    <s v="September"/>
    <n v="2025"/>
  </r>
  <r>
    <x v="3425"/>
    <d v="2025-09-09T00:00:00"/>
    <s v="Station"/>
    <s v="Bristol"/>
    <s v="Espresso"/>
    <s v="Drink"/>
    <n v="4"/>
    <n v="2.5"/>
    <s v="Card"/>
    <s v="C1482"/>
    <n v="10"/>
    <s v="Tuesday"/>
    <s v="September"/>
    <n v="2025"/>
  </r>
  <r>
    <x v="3426"/>
    <d v="2025-09-09T00:00:00"/>
    <s v="Central"/>
    <s v="London"/>
    <s v="Muffin"/>
    <s v="Food"/>
    <n v="4"/>
    <n v="2.2000000000000002"/>
    <s v="Apple Pay"/>
    <s v="C1617"/>
    <n v="8.8000000000000007"/>
    <s v="Tuesday"/>
    <s v="September"/>
    <n v="2025"/>
  </r>
  <r>
    <x v="3427"/>
    <d v="2025-09-09T00:00:00"/>
    <s v="High Street"/>
    <s v="London"/>
    <s v="Cappuccino"/>
    <s v="Drink"/>
    <n v="2"/>
    <n v="3.8"/>
    <s v="Cash"/>
    <s v="C1321"/>
    <n v="7.6"/>
    <s v="Tuesday"/>
    <s v="September"/>
    <n v="2025"/>
  </r>
  <r>
    <x v="3428"/>
    <d v="2025-09-09T00:00:00"/>
    <s v="Riverside"/>
    <s v="London"/>
    <s v="Muffin"/>
    <s v="Food"/>
    <n v="3"/>
    <n v="2.2000000000000002"/>
    <s v="Apple Pay"/>
    <s v="C1873"/>
    <n v="6.6000000000000005"/>
    <s v="Tuesday"/>
    <s v="September"/>
    <n v="2025"/>
  </r>
  <r>
    <x v="3429"/>
    <d v="2025-09-09T00:00:00"/>
    <s v="Station"/>
    <s v="Birmingham"/>
    <s v="Espresso"/>
    <s v="Drink"/>
    <n v="2"/>
    <n v="2.5"/>
    <s v="Apple Pay"/>
    <s v="C1647"/>
    <n v="5"/>
    <s v="Tuesday"/>
    <s v="September"/>
    <n v="2025"/>
  </r>
  <r>
    <x v="3430"/>
    <d v="2025-09-09T00:00:00"/>
    <s v="High Street"/>
    <s v="Birmingham"/>
    <s v="Cappuccino"/>
    <s v="Drink"/>
    <n v="1"/>
    <n v="3.8"/>
    <s v="Cash"/>
    <s v="C1112"/>
    <n v="3.8"/>
    <s v="Tuesday"/>
    <s v="September"/>
    <n v="2025"/>
  </r>
  <r>
    <x v="3431"/>
    <d v="2025-09-09T00:00:00"/>
    <s v="Station"/>
    <s v="Birmingham"/>
    <s v="Latte"/>
    <s v="Drink"/>
    <n v="1"/>
    <n v="3.5"/>
    <s v="Apple Pay"/>
    <s v="C1576"/>
    <n v="3.5"/>
    <s v="Tuesday"/>
    <s v="September"/>
    <n v="2025"/>
  </r>
  <r>
    <x v="3432"/>
    <d v="2025-09-09T00:00:00"/>
    <s v="Station"/>
    <s v="Manchester"/>
    <s v="Muffin"/>
    <s v="Food"/>
    <n v="1"/>
    <n v="2.2000000000000002"/>
    <s v="Cash"/>
    <s v="C1131"/>
    <n v="2.2000000000000002"/>
    <s v="Tuesday"/>
    <s v="September"/>
    <n v="2025"/>
  </r>
  <r>
    <x v="3433"/>
    <d v="2025-09-10T00:00:00"/>
    <s v="Central"/>
    <s v="London"/>
    <s v="Latte"/>
    <s v="Drink"/>
    <n v="5"/>
    <n v="3.5"/>
    <s v="Card"/>
    <s v="C1781"/>
    <n v="17.5"/>
    <s v="Wednesday"/>
    <s v="September"/>
    <n v="2025"/>
  </r>
  <r>
    <x v="3434"/>
    <d v="2025-09-10T00:00:00"/>
    <s v="Central"/>
    <s v="Leeds"/>
    <s v="Latte"/>
    <s v="Drink"/>
    <n v="4"/>
    <n v="3.5"/>
    <s v="Apple Pay"/>
    <s v="C1783"/>
    <n v="14"/>
    <s v="Wednesday"/>
    <s v="September"/>
    <n v="2025"/>
  </r>
  <r>
    <x v="3435"/>
    <d v="2025-09-10T00:00:00"/>
    <s v="Station"/>
    <s v="London"/>
    <s v="Latte"/>
    <s v="Drink"/>
    <n v="3"/>
    <n v="3.5"/>
    <s v="Card"/>
    <s v="C1821"/>
    <n v="10.5"/>
    <s v="Wednesday"/>
    <s v="September"/>
    <n v="2025"/>
  </r>
  <r>
    <x v="3436"/>
    <d v="2025-09-10T00:00:00"/>
    <s v="High Street"/>
    <s v="Birmingham"/>
    <s v="Espresso"/>
    <s v="Drink"/>
    <n v="4"/>
    <n v="2.5"/>
    <s v="Apple Pay"/>
    <s v="C1943"/>
    <n v="10"/>
    <s v="Wednesday"/>
    <s v="September"/>
    <n v="2025"/>
  </r>
  <r>
    <x v="3437"/>
    <d v="2025-09-10T00:00:00"/>
    <s v="High Street"/>
    <s v="Bristol"/>
    <s v="Cappuccino"/>
    <s v="Drink"/>
    <n v="2"/>
    <n v="3.8"/>
    <s v="Cash"/>
    <s v="C1800"/>
    <n v="7.6"/>
    <s v="Wednesday"/>
    <s v="September"/>
    <n v="2025"/>
  </r>
  <r>
    <x v="3438"/>
    <d v="2025-09-10T00:00:00"/>
    <s v="Central"/>
    <s v="Leeds"/>
    <s v="Latte"/>
    <s v="Drink"/>
    <n v="2"/>
    <n v="3.5"/>
    <s v="Cash"/>
    <s v="C1753"/>
    <n v="7"/>
    <s v="Wednesday"/>
    <s v="September"/>
    <n v="2025"/>
  </r>
  <r>
    <x v="3439"/>
    <d v="2025-09-10T00:00:00"/>
    <s v="Central"/>
    <s v="London"/>
    <s v="Muffin"/>
    <s v="Food"/>
    <n v="3"/>
    <n v="2.2000000000000002"/>
    <s v="Card"/>
    <s v="C1371"/>
    <n v="6.6000000000000005"/>
    <s v="Wednesday"/>
    <s v="September"/>
    <n v="2025"/>
  </r>
  <r>
    <x v="3440"/>
    <d v="2025-09-10T00:00:00"/>
    <s v="Station"/>
    <s v="London"/>
    <s v="Muffin"/>
    <s v="Food"/>
    <n v="3"/>
    <n v="2.2000000000000002"/>
    <s v="Card"/>
    <s v="C1845"/>
    <n v="6.6000000000000005"/>
    <s v="Wednesday"/>
    <s v="September"/>
    <n v="2025"/>
  </r>
  <r>
    <x v="3441"/>
    <d v="2025-09-10T00:00:00"/>
    <s v="Riverside"/>
    <s v="Manchester"/>
    <s v="Muffin"/>
    <s v="Food"/>
    <n v="3"/>
    <n v="2.2000000000000002"/>
    <s v="Card"/>
    <s v="C1761"/>
    <n v="6.6000000000000005"/>
    <s v="Wednesday"/>
    <s v="September"/>
    <n v="2025"/>
  </r>
  <r>
    <x v="3442"/>
    <d v="2025-09-10T00:00:00"/>
    <s v="Central"/>
    <s v="Manchester"/>
    <s v="Croissant"/>
    <s v="Food"/>
    <n v="2"/>
    <n v="2.8"/>
    <s v="Card"/>
    <s v="C1632"/>
    <n v="5.6"/>
    <s v="Wednesday"/>
    <s v="September"/>
    <n v="2025"/>
  </r>
  <r>
    <x v="3443"/>
    <d v="2025-09-10T00:00:00"/>
    <s v="Central"/>
    <s v="Leeds"/>
    <s v="Espresso"/>
    <s v="Drink"/>
    <n v="2"/>
    <n v="2.5"/>
    <s v="Cash"/>
    <s v="C1769"/>
    <n v="5"/>
    <s v="Wednesday"/>
    <s v="September"/>
    <n v="2025"/>
  </r>
  <r>
    <x v="3444"/>
    <d v="2025-09-10T00:00:00"/>
    <s v="Station"/>
    <s v="London"/>
    <s v="Espresso"/>
    <s v="Drink"/>
    <n v="1"/>
    <n v="2.5"/>
    <s v="Card"/>
    <s v="C1602"/>
    <n v="2.5"/>
    <s v="Wednesday"/>
    <s v="September"/>
    <n v="2025"/>
  </r>
  <r>
    <x v="3445"/>
    <d v="2025-09-10T00:00:00"/>
    <s v="Central"/>
    <s v="Birmingham"/>
    <s v="Muffin"/>
    <s v="Food"/>
    <n v="1"/>
    <n v="2.2000000000000002"/>
    <s v="Apple Pay"/>
    <s v="C1034"/>
    <n v="2.2000000000000002"/>
    <s v="Wednesday"/>
    <s v="September"/>
    <n v="2025"/>
  </r>
  <r>
    <x v="3446"/>
    <d v="2025-09-11T00:00:00"/>
    <s v="Central"/>
    <s v="Leeds"/>
    <s v="Cappuccino"/>
    <s v="Drink"/>
    <n v="5"/>
    <n v="3.8"/>
    <s v="Apple Pay"/>
    <s v="C1479"/>
    <n v="19"/>
    <s v="Thursday"/>
    <s v="September"/>
    <n v="2025"/>
  </r>
  <r>
    <x v="3447"/>
    <d v="2025-09-11T00:00:00"/>
    <s v="Station"/>
    <s v="Leeds"/>
    <s v="Latte"/>
    <s v="Drink"/>
    <n v="4"/>
    <n v="3.5"/>
    <s v="Cash"/>
    <s v="C1004"/>
    <n v="14"/>
    <s v="Thursday"/>
    <s v="September"/>
    <n v="2025"/>
  </r>
  <r>
    <x v="3448"/>
    <d v="2025-09-11T00:00:00"/>
    <s v="Station"/>
    <s v="Birmingham"/>
    <s v="Latte"/>
    <s v="Drink"/>
    <n v="4"/>
    <n v="3.5"/>
    <s v="Cash"/>
    <s v="C1846"/>
    <n v="14"/>
    <s v="Thursday"/>
    <s v="September"/>
    <n v="2025"/>
  </r>
  <r>
    <x v="3449"/>
    <d v="2025-09-11T00:00:00"/>
    <s v="Station"/>
    <s v="Manchester"/>
    <s v="Latte"/>
    <s v="Drink"/>
    <n v="3"/>
    <n v="3.5"/>
    <s v="Apple Pay"/>
    <s v="C1883"/>
    <n v="10.5"/>
    <s v="Thursday"/>
    <s v="September"/>
    <n v="2025"/>
  </r>
  <r>
    <x v="3450"/>
    <d v="2025-09-11T00:00:00"/>
    <s v="Riverside"/>
    <s v="Manchester"/>
    <s v="Muffin"/>
    <s v="Food"/>
    <n v="4"/>
    <n v="2.2000000000000002"/>
    <s v="Apple Pay"/>
    <s v="C1661"/>
    <n v="8.8000000000000007"/>
    <s v="Thursday"/>
    <s v="September"/>
    <n v="2025"/>
  </r>
  <r>
    <x v="3451"/>
    <d v="2025-09-11T00:00:00"/>
    <s v="Central"/>
    <s v="Manchester"/>
    <s v="Espresso"/>
    <s v="Drink"/>
    <n v="3"/>
    <n v="2.5"/>
    <s v="Cash"/>
    <s v="C1466"/>
    <n v="7.5"/>
    <s v="Thursday"/>
    <s v="September"/>
    <n v="2025"/>
  </r>
  <r>
    <x v="3452"/>
    <d v="2025-09-11T00:00:00"/>
    <s v="Central"/>
    <s v="Birmingham"/>
    <s v="Latte"/>
    <s v="Drink"/>
    <n v="2"/>
    <n v="3.5"/>
    <s v="Cash"/>
    <s v="C1356"/>
    <n v="7"/>
    <s v="Thursday"/>
    <s v="September"/>
    <n v="2025"/>
  </r>
  <r>
    <x v="3453"/>
    <d v="2025-09-11T00:00:00"/>
    <s v="Station"/>
    <s v="Leeds"/>
    <s v="Espresso"/>
    <s v="Drink"/>
    <n v="2"/>
    <n v="2.5"/>
    <s v="Card"/>
    <s v="C1679"/>
    <n v="5"/>
    <s v="Thursday"/>
    <s v="September"/>
    <n v="2025"/>
  </r>
  <r>
    <x v="3454"/>
    <d v="2025-09-11T00:00:00"/>
    <s v="High Street"/>
    <s v="Bristol"/>
    <s v="Cappuccino"/>
    <s v="Drink"/>
    <n v="1"/>
    <n v="3.8"/>
    <s v="Card"/>
    <s v="C1856"/>
    <n v="3.8"/>
    <s v="Thursday"/>
    <s v="September"/>
    <n v="2025"/>
  </r>
  <r>
    <x v="3455"/>
    <d v="2025-09-11T00:00:00"/>
    <s v="Station"/>
    <s v="Birmingham"/>
    <s v="Croissant"/>
    <s v="Food"/>
    <n v="1"/>
    <n v="2.8"/>
    <s v="Cash"/>
    <s v="C1482"/>
    <n v="2.8"/>
    <s v="Thursday"/>
    <s v="September"/>
    <n v="2025"/>
  </r>
  <r>
    <x v="3456"/>
    <d v="2025-09-11T00:00:00"/>
    <s v="High Street"/>
    <s v="Birmingham"/>
    <s v="Espresso"/>
    <s v="Drink"/>
    <n v="1"/>
    <n v="2.5"/>
    <s v="Card"/>
    <s v="C1634"/>
    <n v="2.5"/>
    <s v="Thursday"/>
    <s v="September"/>
    <n v="2025"/>
  </r>
  <r>
    <x v="3457"/>
    <d v="2025-09-12T00:00:00"/>
    <s v="Central"/>
    <s v="Manchester"/>
    <s v="Cappuccino"/>
    <s v="Drink"/>
    <n v="4"/>
    <n v="3.8"/>
    <s v="Cash"/>
    <s v="C1912"/>
    <n v="15.2"/>
    <s v="Friday"/>
    <s v="September"/>
    <n v="2025"/>
  </r>
  <r>
    <x v="3458"/>
    <d v="2025-09-12T00:00:00"/>
    <s v="High Street"/>
    <s v="Bristol"/>
    <s v="Croissant"/>
    <s v="Food"/>
    <n v="5"/>
    <n v="2.8"/>
    <s v="Cash"/>
    <s v="C1059"/>
    <n v="14"/>
    <s v="Friday"/>
    <s v="September"/>
    <n v="2025"/>
  </r>
  <r>
    <x v="3459"/>
    <d v="2025-09-12T00:00:00"/>
    <s v="Station"/>
    <s v="London"/>
    <s v="Espresso"/>
    <s v="Drink"/>
    <n v="5"/>
    <n v="2.5"/>
    <s v="Cash"/>
    <s v="C1140"/>
    <n v="12.5"/>
    <s v="Friday"/>
    <s v="September"/>
    <n v="2025"/>
  </r>
  <r>
    <x v="3460"/>
    <d v="2025-09-12T00:00:00"/>
    <s v="Riverside"/>
    <s v="Birmingham"/>
    <s v="Muffin"/>
    <s v="Food"/>
    <n v="5"/>
    <n v="2.2000000000000002"/>
    <s v="Apple Pay"/>
    <s v="C1926"/>
    <n v="11"/>
    <s v="Friday"/>
    <s v="September"/>
    <n v="2025"/>
  </r>
  <r>
    <x v="3461"/>
    <d v="2025-09-12T00:00:00"/>
    <s v="Riverside"/>
    <s v="Bristol"/>
    <s v="Latte"/>
    <s v="Drink"/>
    <n v="3"/>
    <n v="3.5"/>
    <s v="Apple Pay"/>
    <s v="C1406"/>
    <n v="10.5"/>
    <s v="Friday"/>
    <s v="September"/>
    <n v="2025"/>
  </r>
  <r>
    <x v="3462"/>
    <d v="2025-09-12T00:00:00"/>
    <s v="Central"/>
    <s v="Leeds"/>
    <s v="Latte"/>
    <s v="Drink"/>
    <n v="3"/>
    <n v="3.5"/>
    <s v="Apple Pay"/>
    <s v="C1824"/>
    <n v="10.5"/>
    <s v="Friday"/>
    <s v="September"/>
    <n v="2025"/>
  </r>
  <r>
    <x v="3463"/>
    <d v="2025-09-12T00:00:00"/>
    <s v="Central"/>
    <s v="Leeds"/>
    <s v="Espresso"/>
    <s v="Drink"/>
    <n v="3"/>
    <n v="2.5"/>
    <s v="Cash"/>
    <s v="C1757"/>
    <n v="7.5"/>
    <s v="Friday"/>
    <s v="September"/>
    <n v="2025"/>
  </r>
  <r>
    <x v="3464"/>
    <d v="2025-09-12T00:00:00"/>
    <s v="Station"/>
    <s v="Manchester"/>
    <s v="Espresso"/>
    <s v="Drink"/>
    <n v="3"/>
    <n v="2.5"/>
    <s v="Apple Pay"/>
    <s v="C1193"/>
    <n v="7.5"/>
    <s v="Friday"/>
    <s v="September"/>
    <n v="2025"/>
  </r>
  <r>
    <x v="3465"/>
    <d v="2025-09-12T00:00:00"/>
    <s v="Riverside"/>
    <s v="London"/>
    <s v="Latte"/>
    <s v="Drink"/>
    <n v="2"/>
    <n v="3.5"/>
    <s v="Card"/>
    <s v="C1907"/>
    <n v="7"/>
    <s v="Friday"/>
    <s v="September"/>
    <n v="2025"/>
  </r>
  <r>
    <x v="3466"/>
    <d v="2025-09-12T00:00:00"/>
    <s v="Riverside"/>
    <s v="Birmingham"/>
    <s v="Latte"/>
    <s v="Drink"/>
    <n v="2"/>
    <n v="3.5"/>
    <s v="Apple Pay"/>
    <s v="C1750"/>
    <n v="7"/>
    <s v="Friday"/>
    <s v="September"/>
    <n v="2025"/>
  </r>
  <r>
    <x v="3467"/>
    <d v="2025-09-12T00:00:00"/>
    <s v="Station"/>
    <s v="Bristol"/>
    <s v="Muffin"/>
    <s v="Food"/>
    <n v="1"/>
    <n v="2.2000000000000002"/>
    <s v="Apple Pay"/>
    <s v="C1323"/>
    <n v="2.2000000000000002"/>
    <s v="Friday"/>
    <s v="September"/>
    <n v="2025"/>
  </r>
  <r>
    <x v="3468"/>
    <d v="2025-09-12T00:00:00"/>
    <s v="Riverside"/>
    <s v="Bristol"/>
    <s v="Muffin"/>
    <s v="Food"/>
    <n v="1"/>
    <n v="2.2000000000000002"/>
    <s v="Card"/>
    <s v="C1422"/>
    <n v="2.2000000000000002"/>
    <s v="Friday"/>
    <s v="September"/>
    <n v="2025"/>
  </r>
  <r>
    <x v="3469"/>
    <d v="2025-09-12T00:00:00"/>
    <s v="Riverside"/>
    <s v="Manchester"/>
    <s v="Muffin"/>
    <s v="Food"/>
    <n v="1"/>
    <n v="2.2000000000000002"/>
    <s v="Apple Pay"/>
    <s v="C1483"/>
    <n v="2.2000000000000002"/>
    <s v="Friday"/>
    <s v="September"/>
    <n v="2025"/>
  </r>
  <r>
    <x v="3470"/>
    <d v="2025-09-13T00:00:00"/>
    <s v="High Street"/>
    <s v="Manchester"/>
    <s v="Latte"/>
    <s v="Drink"/>
    <n v="5"/>
    <n v="3.5"/>
    <s v="Cash"/>
    <s v="C1447"/>
    <n v="17.5"/>
    <s v="Saturday"/>
    <s v="September"/>
    <n v="2025"/>
  </r>
  <r>
    <x v="3471"/>
    <d v="2025-09-13T00:00:00"/>
    <s v="High Street"/>
    <s v="Manchester"/>
    <s v="Latte"/>
    <s v="Drink"/>
    <n v="5"/>
    <n v="3.5"/>
    <s v="Card"/>
    <s v="C1247"/>
    <n v="17.5"/>
    <s v="Saturday"/>
    <s v="September"/>
    <n v="2025"/>
  </r>
  <r>
    <x v="3472"/>
    <d v="2025-09-13T00:00:00"/>
    <s v="Riverside"/>
    <s v="Bristol"/>
    <s v="Latte"/>
    <s v="Drink"/>
    <n v="5"/>
    <n v="3.5"/>
    <s v="Apple Pay"/>
    <s v="C1269"/>
    <n v="17.5"/>
    <s v="Saturday"/>
    <s v="September"/>
    <n v="2025"/>
  </r>
  <r>
    <x v="3473"/>
    <d v="2025-09-13T00:00:00"/>
    <s v="Riverside"/>
    <s v="Leeds"/>
    <s v="Cappuccino"/>
    <s v="Drink"/>
    <n v="4"/>
    <n v="3.8"/>
    <s v="Apple Pay"/>
    <s v="C1074"/>
    <n v="15.2"/>
    <s v="Saturday"/>
    <s v="September"/>
    <n v="2025"/>
  </r>
  <r>
    <x v="3474"/>
    <d v="2025-09-13T00:00:00"/>
    <s v="High Street"/>
    <s v="Bristol"/>
    <s v="Croissant"/>
    <s v="Food"/>
    <n v="5"/>
    <n v="2.8"/>
    <s v="Card"/>
    <s v="C1275"/>
    <n v="14"/>
    <s v="Saturday"/>
    <s v="September"/>
    <n v="2025"/>
  </r>
  <r>
    <x v="3475"/>
    <d v="2025-09-13T00:00:00"/>
    <s v="Central"/>
    <s v="Bristol"/>
    <s v="Croissant"/>
    <s v="Food"/>
    <n v="4"/>
    <n v="2.8"/>
    <s v="Apple Pay"/>
    <s v="C1749"/>
    <n v="11.2"/>
    <s v="Saturday"/>
    <s v="September"/>
    <n v="2025"/>
  </r>
  <r>
    <x v="3476"/>
    <d v="2025-09-13T00:00:00"/>
    <s v="Riverside"/>
    <s v="Bristol"/>
    <s v="Muffin"/>
    <s v="Food"/>
    <n v="5"/>
    <n v="2.2000000000000002"/>
    <s v="Card"/>
    <s v="C1450"/>
    <n v="11"/>
    <s v="Saturday"/>
    <s v="September"/>
    <n v="2025"/>
  </r>
  <r>
    <x v="3477"/>
    <d v="2025-09-13T00:00:00"/>
    <s v="High Street"/>
    <s v="Birmingham"/>
    <s v="Muffin"/>
    <s v="Food"/>
    <n v="5"/>
    <n v="2.2000000000000002"/>
    <s v="Cash"/>
    <s v="C1759"/>
    <n v="11"/>
    <s v="Saturday"/>
    <s v="September"/>
    <n v="2025"/>
  </r>
  <r>
    <x v="3478"/>
    <d v="2025-09-13T00:00:00"/>
    <s v="Central"/>
    <s v="Bristol"/>
    <s v="Espresso"/>
    <s v="Drink"/>
    <n v="4"/>
    <n v="2.5"/>
    <s v="Apple Pay"/>
    <s v="C1320"/>
    <n v="10"/>
    <s v="Saturday"/>
    <s v="September"/>
    <n v="2025"/>
  </r>
  <r>
    <x v="3479"/>
    <d v="2025-09-13T00:00:00"/>
    <s v="Riverside"/>
    <s v="Manchester"/>
    <s v="Espresso"/>
    <s v="Drink"/>
    <n v="3"/>
    <n v="2.5"/>
    <s v="Apple Pay"/>
    <s v="C1295"/>
    <n v="7.5"/>
    <s v="Saturday"/>
    <s v="September"/>
    <n v="2025"/>
  </r>
  <r>
    <x v="3480"/>
    <d v="2025-09-13T00:00:00"/>
    <s v="Riverside"/>
    <s v="Leeds"/>
    <s v="Croissant"/>
    <s v="Food"/>
    <n v="1"/>
    <n v="2.8"/>
    <s v="Card"/>
    <s v="C1984"/>
    <n v="2.8"/>
    <s v="Saturday"/>
    <s v="September"/>
    <n v="2025"/>
  </r>
  <r>
    <x v="3481"/>
    <d v="2025-09-13T00:00:00"/>
    <s v="Central"/>
    <s v="Manchester"/>
    <s v="Muffin"/>
    <s v="Food"/>
    <n v="1"/>
    <n v="2.2000000000000002"/>
    <s v="Cash"/>
    <s v="C1341"/>
    <n v="2.2000000000000002"/>
    <s v="Saturday"/>
    <s v="September"/>
    <n v="2025"/>
  </r>
  <r>
    <x v="3482"/>
    <d v="2025-09-14T00:00:00"/>
    <s v="Central"/>
    <s v="London"/>
    <s v="Latte"/>
    <s v="Drink"/>
    <n v="5"/>
    <n v="3.5"/>
    <s v="Cash"/>
    <s v="C1279"/>
    <n v="17.5"/>
    <s v="Sunday"/>
    <s v="September"/>
    <n v="2025"/>
  </r>
  <r>
    <x v="3483"/>
    <d v="2025-09-14T00:00:00"/>
    <s v="Station"/>
    <s v="London"/>
    <s v="Espresso"/>
    <s v="Drink"/>
    <n v="5"/>
    <n v="2.5"/>
    <s v="Apple Pay"/>
    <s v="C1221"/>
    <n v="12.5"/>
    <s v="Sunday"/>
    <s v="September"/>
    <n v="2025"/>
  </r>
  <r>
    <x v="3484"/>
    <d v="2025-09-14T00:00:00"/>
    <s v="Central"/>
    <s v="London"/>
    <s v="Croissant"/>
    <s v="Food"/>
    <n v="4"/>
    <n v="2.8"/>
    <s v="Apple Pay"/>
    <s v="C1061"/>
    <n v="11.2"/>
    <s v="Sunday"/>
    <s v="September"/>
    <n v="2025"/>
  </r>
  <r>
    <x v="3485"/>
    <d v="2025-09-14T00:00:00"/>
    <s v="Central"/>
    <s v="Birmingham"/>
    <s v="Espresso"/>
    <s v="Drink"/>
    <n v="4"/>
    <n v="2.5"/>
    <s v="Cash"/>
    <s v="C1966"/>
    <n v="10"/>
    <s v="Sunday"/>
    <s v="September"/>
    <n v="2025"/>
  </r>
  <r>
    <x v="3486"/>
    <d v="2025-09-14T00:00:00"/>
    <s v="Station"/>
    <s v="London"/>
    <s v="Espresso"/>
    <s v="Drink"/>
    <n v="4"/>
    <n v="2.5"/>
    <s v="Apple Pay"/>
    <s v="C1697"/>
    <n v="10"/>
    <s v="Sunday"/>
    <s v="September"/>
    <n v="2025"/>
  </r>
  <r>
    <x v="3487"/>
    <d v="2025-09-14T00:00:00"/>
    <s v="Riverside"/>
    <s v="London"/>
    <s v="Espresso"/>
    <s v="Drink"/>
    <n v="3"/>
    <n v="2.5"/>
    <s v="Cash"/>
    <s v="C1010"/>
    <n v="7.5"/>
    <s v="Sunday"/>
    <s v="September"/>
    <n v="2025"/>
  </r>
  <r>
    <x v="3488"/>
    <d v="2025-09-14T00:00:00"/>
    <s v="Central"/>
    <s v="Birmingham"/>
    <s v="Muffin"/>
    <s v="Food"/>
    <n v="2"/>
    <n v="2.2000000000000002"/>
    <s v="Cash"/>
    <s v="C1104"/>
    <n v="4.4000000000000004"/>
    <s v="Sunday"/>
    <s v="September"/>
    <n v="2025"/>
  </r>
  <r>
    <x v="3489"/>
    <d v="2025-09-14T00:00:00"/>
    <s v="Riverside"/>
    <s v="Birmingham"/>
    <s v="Muffin"/>
    <s v="Food"/>
    <n v="2"/>
    <n v="2.2000000000000002"/>
    <s v="Cash"/>
    <s v="C1995"/>
    <n v="4.4000000000000004"/>
    <s v="Sunday"/>
    <s v="September"/>
    <n v="2025"/>
  </r>
  <r>
    <x v="3490"/>
    <d v="2025-09-14T00:00:00"/>
    <s v="Station"/>
    <s v="Birmingham"/>
    <s v="Espresso"/>
    <s v="Drink"/>
    <n v="1"/>
    <n v="2.5"/>
    <s v="Card"/>
    <s v="C1915"/>
    <n v="2.5"/>
    <s v="Sunday"/>
    <s v="September"/>
    <n v="2025"/>
  </r>
  <r>
    <x v="3491"/>
    <d v="2025-09-15T00:00:00"/>
    <s v="High Street"/>
    <s v="Leeds"/>
    <s v="Latte"/>
    <s v="Drink"/>
    <n v="5"/>
    <n v="3.5"/>
    <s v="Apple Pay"/>
    <s v="C1203"/>
    <n v="17.5"/>
    <s v="Monday"/>
    <s v="September"/>
    <n v="2025"/>
  </r>
  <r>
    <x v="3492"/>
    <d v="2025-09-15T00:00:00"/>
    <s v="Station"/>
    <s v="Manchester"/>
    <s v="Latte"/>
    <s v="Drink"/>
    <n v="4"/>
    <n v="3.5"/>
    <s v="Card"/>
    <s v="C1147"/>
    <n v="14"/>
    <s v="Monday"/>
    <s v="September"/>
    <n v="2025"/>
  </r>
  <r>
    <x v="3493"/>
    <d v="2025-09-15T00:00:00"/>
    <s v="Station"/>
    <s v="Bristol"/>
    <s v="Espresso"/>
    <s v="Drink"/>
    <n v="5"/>
    <n v="2.5"/>
    <s v="Card"/>
    <s v="C1192"/>
    <n v="12.5"/>
    <s v="Monday"/>
    <s v="September"/>
    <n v="2025"/>
  </r>
  <r>
    <x v="3494"/>
    <d v="2025-09-15T00:00:00"/>
    <s v="Station"/>
    <s v="Manchester"/>
    <s v="Latte"/>
    <s v="Drink"/>
    <n v="3"/>
    <n v="3.5"/>
    <s v="Apple Pay"/>
    <s v="C1489"/>
    <n v="10.5"/>
    <s v="Monday"/>
    <s v="September"/>
    <n v="2025"/>
  </r>
  <r>
    <x v="3495"/>
    <d v="2025-09-15T00:00:00"/>
    <s v="High Street"/>
    <s v="Bristol"/>
    <s v="Latte"/>
    <s v="Drink"/>
    <n v="3"/>
    <n v="3.5"/>
    <s v="Cash"/>
    <s v="C1387"/>
    <n v="10.5"/>
    <s v="Monday"/>
    <s v="September"/>
    <n v="2025"/>
  </r>
  <r>
    <x v="3496"/>
    <d v="2025-09-15T00:00:00"/>
    <s v="High Street"/>
    <s v="Leeds"/>
    <s v="Muffin"/>
    <s v="Food"/>
    <n v="4"/>
    <n v="2.2000000000000002"/>
    <s v="Apple Pay"/>
    <s v="C1168"/>
    <n v="8.8000000000000007"/>
    <s v="Monday"/>
    <s v="September"/>
    <n v="2025"/>
  </r>
  <r>
    <x v="3497"/>
    <d v="2025-09-15T00:00:00"/>
    <s v="Station"/>
    <s v="Birmingham"/>
    <s v="Muffin"/>
    <s v="Food"/>
    <n v="4"/>
    <n v="2.2000000000000002"/>
    <s v="Card"/>
    <s v="C1444"/>
    <n v="8.8000000000000007"/>
    <s v="Monday"/>
    <s v="September"/>
    <n v="2025"/>
  </r>
  <r>
    <x v="3498"/>
    <d v="2025-09-15T00:00:00"/>
    <s v="Station"/>
    <s v="London"/>
    <s v="Latte"/>
    <s v="Drink"/>
    <n v="1"/>
    <n v="3.5"/>
    <s v="Apple Pay"/>
    <s v="C1907"/>
    <n v="3.5"/>
    <s v="Monday"/>
    <s v="September"/>
    <n v="2025"/>
  </r>
  <r>
    <x v="3499"/>
    <d v="2025-09-15T00:00:00"/>
    <s v="Central"/>
    <s v="Leeds"/>
    <s v="Espresso"/>
    <s v="Drink"/>
    <n v="1"/>
    <n v="2.5"/>
    <s v="Cash"/>
    <s v="C1523"/>
    <n v="2.5"/>
    <s v="Monday"/>
    <s v="September"/>
    <n v="2025"/>
  </r>
  <r>
    <x v="3500"/>
    <d v="2025-09-15T00:00:00"/>
    <s v="High Street"/>
    <s v="Birmingham"/>
    <s v="Espresso"/>
    <s v="Drink"/>
    <n v="1"/>
    <n v="2.5"/>
    <s v="Cash"/>
    <s v="C1170"/>
    <n v="2.5"/>
    <s v="Monday"/>
    <s v="September"/>
    <n v="2025"/>
  </r>
  <r>
    <x v="3501"/>
    <d v="2025-09-16T00:00:00"/>
    <s v="High Street"/>
    <s v="Birmingham"/>
    <s v="Cappuccino"/>
    <s v="Drink"/>
    <n v="5"/>
    <n v="3.8"/>
    <s v="Cash"/>
    <s v="C1162"/>
    <n v="19"/>
    <s v="Tuesday"/>
    <s v="September"/>
    <n v="2025"/>
  </r>
  <r>
    <x v="3502"/>
    <d v="2025-09-16T00:00:00"/>
    <s v="Station"/>
    <s v="Bristol"/>
    <s v="Cappuccino"/>
    <s v="Drink"/>
    <n v="5"/>
    <n v="3.8"/>
    <s v="Card"/>
    <s v="C1445"/>
    <n v="19"/>
    <s v="Tuesday"/>
    <s v="September"/>
    <n v="2025"/>
  </r>
  <r>
    <x v="3503"/>
    <d v="2025-09-16T00:00:00"/>
    <s v="High Street"/>
    <s v="Manchester"/>
    <s v="Cappuccino"/>
    <s v="Drink"/>
    <n v="5"/>
    <n v="3.8"/>
    <s v="Apple Pay"/>
    <s v="C1926"/>
    <n v="19"/>
    <s v="Tuesday"/>
    <s v="September"/>
    <n v="2025"/>
  </r>
  <r>
    <x v="3504"/>
    <d v="2025-09-16T00:00:00"/>
    <s v="High Street"/>
    <s v="Bristol"/>
    <s v="Cappuccino"/>
    <s v="Drink"/>
    <n v="4"/>
    <n v="3.8"/>
    <s v="Card"/>
    <s v="C1682"/>
    <n v="15.2"/>
    <s v="Tuesday"/>
    <s v="September"/>
    <n v="2025"/>
  </r>
  <r>
    <x v="3505"/>
    <d v="2025-09-16T00:00:00"/>
    <s v="Riverside"/>
    <s v="Leeds"/>
    <s v="Croissant"/>
    <s v="Food"/>
    <n v="5"/>
    <n v="2.8"/>
    <s v="Cash"/>
    <s v="C1522"/>
    <n v="14"/>
    <s v="Tuesday"/>
    <s v="September"/>
    <n v="2025"/>
  </r>
  <r>
    <x v="3506"/>
    <d v="2025-09-16T00:00:00"/>
    <s v="Station"/>
    <s v="Birmingham"/>
    <s v="Espresso"/>
    <s v="Drink"/>
    <n v="5"/>
    <n v="2.5"/>
    <s v="Card"/>
    <s v="C1003"/>
    <n v="12.5"/>
    <s v="Tuesday"/>
    <s v="September"/>
    <n v="2025"/>
  </r>
  <r>
    <x v="3507"/>
    <d v="2025-09-16T00:00:00"/>
    <s v="High Street"/>
    <s v="Leeds"/>
    <s v="Croissant"/>
    <s v="Food"/>
    <n v="4"/>
    <n v="2.8"/>
    <s v="Card"/>
    <s v="C1058"/>
    <n v="11.2"/>
    <s v="Tuesday"/>
    <s v="September"/>
    <n v="2025"/>
  </r>
  <r>
    <x v="3508"/>
    <d v="2025-09-16T00:00:00"/>
    <s v="High Street"/>
    <s v="London"/>
    <s v="Muffin"/>
    <s v="Food"/>
    <n v="5"/>
    <n v="2.2000000000000002"/>
    <s v="Apple Pay"/>
    <s v="C1800"/>
    <n v="11"/>
    <s v="Tuesday"/>
    <s v="September"/>
    <n v="2025"/>
  </r>
  <r>
    <x v="3509"/>
    <d v="2025-09-16T00:00:00"/>
    <s v="Central"/>
    <s v="Leeds"/>
    <s v="Latte"/>
    <s v="Drink"/>
    <n v="3"/>
    <n v="3.5"/>
    <s v="Card"/>
    <s v="C1042"/>
    <n v="10.5"/>
    <s v="Tuesday"/>
    <s v="September"/>
    <n v="2025"/>
  </r>
  <r>
    <x v="3510"/>
    <d v="2025-09-16T00:00:00"/>
    <s v="Station"/>
    <s v="Manchester"/>
    <s v="Espresso"/>
    <s v="Drink"/>
    <n v="4"/>
    <n v="2.5"/>
    <s v="Apple Pay"/>
    <s v="C1900"/>
    <n v="10"/>
    <s v="Tuesday"/>
    <s v="September"/>
    <n v="2025"/>
  </r>
  <r>
    <x v="3511"/>
    <d v="2025-09-16T00:00:00"/>
    <s v="Riverside"/>
    <s v="London"/>
    <s v="Muffin"/>
    <s v="Food"/>
    <n v="4"/>
    <n v="2.2000000000000002"/>
    <s v="Apple Pay"/>
    <s v="C1139"/>
    <n v="8.8000000000000007"/>
    <s v="Tuesday"/>
    <s v="September"/>
    <n v="2025"/>
  </r>
  <r>
    <x v="3512"/>
    <d v="2025-09-16T00:00:00"/>
    <s v="High Street"/>
    <s v="London"/>
    <s v="Croissant"/>
    <s v="Food"/>
    <n v="3"/>
    <n v="2.8"/>
    <s v="Card"/>
    <s v="C1921"/>
    <n v="8.3999999999999986"/>
    <s v="Tuesday"/>
    <s v="September"/>
    <n v="2025"/>
  </r>
  <r>
    <x v="3513"/>
    <d v="2025-09-16T00:00:00"/>
    <s v="Station"/>
    <s v="Leeds"/>
    <s v="Latte"/>
    <s v="Drink"/>
    <n v="2"/>
    <n v="3.5"/>
    <s v="Apple Pay"/>
    <s v="C1320"/>
    <n v="7"/>
    <s v="Tuesday"/>
    <s v="September"/>
    <n v="2025"/>
  </r>
  <r>
    <x v="3514"/>
    <d v="2025-09-16T00:00:00"/>
    <s v="Station"/>
    <s v="Manchester"/>
    <s v="Latte"/>
    <s v="Drink"/>
    <n v="2"/>
    <n v="3.5"/>
    <s v="Cash"/>
    <s v="C1867"/>
    <n v="7"/>
    <s v="Tuesday"/>
    <s v="September"/>
    <n v="2025"/>
  </r>
  <r>
    <x v="3515"/>
    <d v="2025-09-16T00:00:00"/>
    <s v="Central"/>
    <s v="Bristol"/>
    <s v="Muffin"/>
    <s v="Food"/>
    <n v="3"/>
    <n v="2.2000000000000002"/>
    <s v="Card"/>
    <s v="C1548"/>
    <n v="6.6000000000000005"/>
    <s v="Tuesday"/>
    <s v="September"/>
    <n v="2025"/>
  </r>
  <r>
    <x v="3516"/>
    <d v="2025-09-16T00:00:00"/>
    <s v="High Street"/>
    <s v="Leeds"/>
    <s v="Muffin"/>
    <s v="Food"/>
    <n v="3"/>
    <n v="2.2000000000000002"/>
    <s v="Apple Pay"/>
    <s v="C1680"/>
    <n v="6.6000000000000005"/>
    <s v="Tuesday"/>
    <s v="September"/>
    <n v="2025"/>
  </r>
  <r>
    <x v="3517"/>
    <d v="2025-09-16T00:00:00"/>
    <s v="Central"/>
    <s v="Birmingham"/>
    <s v="Muffin"/>
    <s v="Food"/>
    <n v="3"/>
    <n v="2.2000000000000002"/>
    <s v="Card"/>
    <s v="C1392"/>
    <n v="6.6000000000000005"/>
    <s v="Tuesday"/>
    <s v="September"/>
    <n v="2025"/>
  </r>
  <r>
    <x v="3518"/>
    <d v="2025-09-17T00:00:00"/>
    <s v="High Street"/>
    <s v="Bristol"/>
    <s v="Latte"/>
    <s v="Drink"/>
    <n v="5"/>
    <n v="3.5"/>
    <s v="Card"/>
    <s v="C1431"/>
    <n v="17.5"/>
    <s v="Wednesday"/>
    <s v="September"/>
    <n v="2025"/>
  </r>
  <r>
    <x v="3519"/>
    <d v="2025-09-17T00:00:00"/>
    <s v="High Street"/>
    <s v="London"/>
    <s v="Cappuccino"/>
    <s v="Drink"/>
    <n v="4"/>
    <n v="3.8"/>
    <s v="Apple Pay"/>
    <s v="C1036"/>
    <n v="15.2"/>
    <s v="Wednesday"/>
    <s v="September"/>
    <n v="2025"/>
  </r>
  <r>
    <x v="3520"/>
    <d v="2025-09-17T00:00:00"/>
    <s v="Station"/>
    <s v="Birmingham"/>
    <s v="Latte"/>
    <s v="Drink"/>
    <n v="4"/>
    <n v="3.5"/>
    <s v="Card"/>
    <s v="C1348"/>
    <n v="14"/>
    <s v="Wednesday"/>
    <s v="September"/>
    <n v="2025"/>
  </r>
  <r>
    <x v="3521"/>
    <d v="2025-09-17T00:00:00"/>
    <s v="High Street"/>
    <s v="London"/>
    <s v="Espresso"/>
    <s v="Drink"/>
    <n v="5"/>
    <n v="2.5"/>
    <s v="Card"/>
    <s v="C1758"/>
    <n v="12.5"/>
    <s v="Wednesday"/>
    <s v="September"/>
    <n v="2025"/>
  </r>
  <r>
    <x v="3522"/>
    <d v="2025-09-17T00:00:00"/>
    <s v="Station"/>
    <s v="Bristol"/>
    <s v="Espresso"/>
    <s v="Drink"/>
    <n v="5"/>
    <n v="2.5"/>
    <s v="Card"/>
    <s v="C1627"/>
    <n v="12.5"/>
    <s v="Wednesday"/>
    <s v="September"/>
    <n v="2025"/>
  </r>
  <r>
    <x v="3523"/>
    <d v="2025-09-17T00:00:00"/>
    <s v="High Street"/>
    <s v="Bristol"/>
    <s v="Cappuccino"/>
    <s v="Drink"/>
    <n v="2"/>
    <n v="3.8"/>
    <s v="Card"/>
    <s v="C1930"/>
    <n v="7.6"/>
    <s v="Wednesday"/>
    <s v="September"/>
    <n v="2025"/>
  </r>
  <r>
    <x v="3524"/>
    <d v="2025-09-17T00:00:00"/>
    <s v="Central"/>
    <s v="Birmingham"/>
    <s v="Cappuccino"/>
    <s v="Drink"/>
    <n v="2"/>
    <n v="3.8"/>
    <s v="Card"/>
    <s v="C1345"/>
    <n v="7.6"/>
    <s v="Wednesday"/>
    <s v="September"/>
    <n v="2025"/>
  </r>
  <r>
    <x v="3525"/>
    <d v="2025-09-17T00:00:00"/>
    <s v="Riverside"/>
    <s v="London"/>
    <s v="Latte"/>
    <s v="Drink"/>
    <n v="2"/>
    <n v="3.5"/>
    <s v="Apple Pay"/>
    <s v="C1361"/>
    <n v="7"/>
    <s v="Wednesday"/>
    <s v="September"/>
    <n v="2025"/>
  </r>
  <r>
    <x v="3526"/>
    <d v="2025-09-17T00:00:00"/>
    <s v="Station"/>
    <s v="London"/>
    <s v="Latte"/>
    <s v="Drink"/>
    <n v="2"/>
    <n v="3.5"/>
    <s v="Cash"/>
    <s v="C1169"/>
    <n v="7"/>
    <s v="Wednesday"/>
    <s v="September"/>
    <n v="2025"/>
  </r>
  <r>
    <x v="3527"/>
    <d v="2025-09-17T00:00:00"/>
    <s v="Station"/>
    <s v="Leeds"/>
    <s v="Croissant"/>
    <s v="Food"/>
    <n v="2"/>
    <n v="2.8"/>
    <s v="Cash"/>
    <s v="C1877"/>
    <n v="5.6"/>
    <s v="Wednesday"/>
    <s v="September"/>
    <n v="2025"/>
  </r>
  <r>
    <x v="3528"/>
    <d v="2025-09-17T00:00:00"/>
    <s v="Station"/>
    <s v="Bristol"/>
    <s v="Muffin"/>
    <s v="Food"/>
    <n v="2"/>
    <n v="2.2000000000000002"/>
    <s v="Apple Pay"/>
    <s v="C1601"/>
    <n v="4.4000000000000004"/>
    <s v="Wednesday"/>
    <s v="September"/>
    <n v="2025"/>
  </r>
  <r>
    <x v="3529"/>
    <d v="2025-09-17T00:00:00"/>
    <s v="Station"/>
    <s v="Bristol"/>
    <s v="Cappuccino"/>
    <s v="Drink"/>
    <n v="1"/>
    <n v="3.8"/>
    <s v="Card"/>
    <s v="C1884"/>
    <n v="3.8"/>
    <s v="Wednesday"/>
    <s v="September"/>
    <n v="2025"/>
  </r>
  <r>
    <x v="3530"/>
    <d v="2025-09-17T00:00:00"/>
    <s v="Station"/>
    <s v="London"/>
    <s v="Latte"/>
    <s v="Drink"/>
    <n v="1"/>
    <n v="3.5"/>
    <s v="Card"/>
    <s v="C1502"/>
    <n v="3.5"/>
    <s v="Wednesday"/>
    <s v="September"/>
    <n v="2025"/>
  </r>
  <r>
    <x v="3531"/>
    <d v="2025-09-17T00:00:00"/>
    <s v="Station"/>
    <s v="Manchester"/>
    <s v="Latte"/>
    <s v="Drink"/>
    <n v="1"/>
    <n v="3.5"/>
    <s v="Apple Pay"/>
    <s v="C1529"/>
    <n v="3.5"/>
    <s v="Wednesday"/>
    <s v="September"/>
    <n v="2025"/>
  </r>
  <r>
    <x v="3532"/>
    <d v="2025-09-18T00:00:00"/>
    <s v="Station"/>
    <s v="Bristol"/>
    <s v="Cappuccino"/>
    <s v="Drink"/>
    <n v="4"/>
    <n v="3.8"/>
    <s v="Apple Pay"/>
    <s v="C1630"/>
    <n v="15.2"/>
    <s v="Thursday"/>
    <s v="September"/>
    <n v="2025"/>
  </r>
  <r>
    <x v="3533"/>
    <d v="2025-09-18T00:00:00"/>
    <s v="High Street"/>
    <s v="Birmingham"/>
    <s v="Croissant"/>
    <s v="Food"/>
    <n v="5"/>
    <n v="2.8"/>
    <s v="Cash"/>
    <s v="C1165"/>
    <n v="14"/>
    <s v="Thursday"/>
    <s v="September"/>
    <n v="2025"/>
  </r>
  <r>
    <x v="3534"/>
    <d v="2025-09-18T00:00:00"/>
    <s v="Riverside"/>
    <s v="Leeds"/>
    <s v="Espresso"/>
    <s v="Drink"/>
    <n v="5"/>
    <n v="2.5"/>
    <s v="Card"/>
    <s v="C1922"/>
    <n v="12.5"/>
    <s v="Thursday"/>
    <s v="September"/>
    <n v="2025"/>
  </r>
  <r>
    <x v="3535"/>
    <d v="2025-09-18T00:00:00"/>
    <s v="Riverside"/>
    <s v="Manchester"/>
    <s v="Espresso"/>
    <s v="Drink"/>
    <n v="5"/>
    <n v="2.5"/>
    <s v="Card"/>
    <s v="C1896"/>
    <n v="12.5"/>
    <s v="Thursday"/>
    <s v="September"/>
    <n v="2025"/>
  </r>
  <r>
    <x v="3536"/>
    <d v="2025-09-18T00:00:00"/>
    <s v="Central"/>
    <s v="Leeds"/>
    <s v="Cappuccino"/>
    <s v="Drink"/>
    <n v="3"/>
    <n v="3.8"/>
    <s v="Card"/>
    <s v="C1105"/>
    <n v="11.399999999999999"/>
    <s v="Thursday"/>
    <s v="September"/>
    <n v="2025"/>
  </r>
  <r>
    <x v="3537"/>
    <d v="2025-09-18T00:00:00"/>
    <s v="Riverside"/>
    <s v="London"/>
    <s v="Muffin"/>
    <s v="Food"/>
    <n v="5"/>
    <n v="2.2000000000000002"/>
    <s v="Apple Pay"/>
    <s v="C1465"/>
    <n v="11"/>
    <s v="Thursday"/>
    <s v="September"/>
    <n v="2025"/>
  </r>
  <r>
    <x v="3538"/>
    <d v="2025-09-18T00:00:00"/>
    <s v="Central"/>
    <s v="Birmingham"/>
    <s v="Espresso"/>
    <s v="Drink"/>
    <n v="4"/>
    <n v="2.5"/>
    <s v="Card"/>
    <s v="C1091"/>
    <n v="10"/>
    <s v="Thursday"/>
    <s v="September"/>
    <n v="2025"/>
  </r>
  <r>
    <x v="3539"/>
    <d v="2025-09-18T00:00:00"/>
    <s v="Central"/>
    <s v="London"/>
    <s v="Espresso"/>
    <s v="Drink"/>
    <n v="4"/>
    <n v="2.5"/>
    <s v="Card"/>
    <s v="C1666"/>
    <n v="10"/>
    <s v="Thursday"/>
    <s v="September"/>
    <n v="2025"/>
  </r>
  <r>
    <x v="3540"/>
    <d v="2025-09-18T00:00:00"/>
    <s v="Riverside"/>
    <s v="Leeds"/>
    <s v="Croissant"/>
    <s v="Food"/>
    <n v="3"/>
    <n v="2.8"/>
    <s v="Cash"/>
    <s v="C1107"/>
    <n v="8.3999999999999986"/>
    <s v="Thursday"/>
    <s v="September"/>
    <n v="2025"/>
  </r>
  <r>
    <x v="3541"/>
    <d v="2025-09-18T00:00:00"/>
    <s v="Central"/>
    <s v="Bristol"/>
    <s v="Cappuccino"/>
    <s v="Drink"/>
    <n v="2"/>
    <n v="3.8"/>
    <s v="Apple Pay"/>
    <s v="C1719"/>
    <n v="7.6"/>
    <s v="Thursday"/>
    <s v="September"/>
    <n v="2025"/>
  </r>
  <r>
    <x v="3542"/>
    <d v="2025-09-18T00:00:00"/>
    <s v="High Street"/>
    <s v="Leeds"/>
    <s v="Latte"/>
    <s v="Drink"/>
    <n v="2"/>
    <n v="3.5"/>
    <s v="Cash"/>
    <s v="C1006"/>
    <n v="7"/>
    <s v="Thursday"/>
    <s v="September"/>
    <n v="2025"/>
  </r>
  <r>
    <x v="3543"/>
    <d v="2025-09-18T00:00:00"/>
    <s v="Station"/>
    <s v="Manchester"/>
    <s v="Espresso"/>
    <s v="Drink"/>
    <n v="2"/>
    <n v="2.5"/>
    <s v="Card"/>
    <s v="C1989"/>
    <n v="5"/>
    <s v="Thursday"/>
    <s v="September"/>
    <n v="2025"/>
  </r>
  <r>
    <x v="3544"/>
    <d v="2025-09-18T00:00:00"/>
    <s v="Station"/>
    <s v="Leeds"/>
    <s v="Muffin"/>
    <s v="Food"/>
    <n v="2"/>
    <n v="2.2000000000000002"/>
    <s v="Cash"/>
    <s v="C1594"/>
    <n v="4.4000000000000004"/>
    <s v="Thursday"/>
    <s v="September"/>
    <n v="2025"/>
  </r>
  <r>
    <x v="3545"/>
    <d v="2025-09-18T00:00:00"/>
    <s v="High Street"/>
    <s v="Birmingham"/>
    <s v="Latte"/>
    <s v="Drink"/>
    <n v="1"/>
    <n v="3.5"/>
    <s v="Apple Pay"/>
    <s v="C1287"/>
    <n v="3.5"/>
    <s v="Thursday"/>
    <s v="September"/>
    <n v="2025"/>
  </r>
  <r>
    <x v="3546"/>
    <d v="2025-09-18T00:00:00"/>
    <s v="Riverside"/>
    <s v="Manchester"/>
    <s v="Latte"/>
    <s v="Drink"/>
    <n v="1"/>
    <n v="3.5"/>
    <s v="Apple Pay"/>
    <s v="C1435"/>
    <n v="3.5"/>
    <s v="Thursday"/>
    <s v="September"/>
    <n v="2025"/>
  </r>
  <r>
    <x v="3547"/>
    <d v="2025-09-18T00:00:00"/>
    <s v="High Street"/>
    <s v="London"/>
    <s v="Latte"/>
    <s v="Drink"/>
    <n v="1"/>
    <n v="3.5"/>
    <s v="Card"/>
    <s v="C1765"/>
    <n v="3.5"/>
    <s v="Thursday"/>
    <s v="September"/>
    <n v="2025"/>
  </r>
  <r>
    <x v="3548"/>
    <d v="2025-09-18T00:00:00"/>
    <s v="Station"/>
    <s v="Leeds"/>
    <s v="Croissant"/>
    <s v="Food"/>
    <n v="1"/>
    <n v="2.8"/>
    <s v="Cash"/>
    <s v="C1258"/>
    <n v="2.8"/>
    <s v="Thursday"/>
    <s v="September"/>
    <n v="2025"/>
  </r>
  <r>
    <x v="3549"/>
    <d v="2025-09-19T00:00:00"/>
    <s v="High Street"/>
    <s v="Leeds"/>
    <s v="Cappuccino"/>
    <s v="Drink"/>
    <n v="4"/>
    <n v="3.8"/>
    <s v="Cash"/>
    <s v="C1292"/>
    <n v="15.2"/>
    <s v="Friday"/>
    <s v="September"/>
    <n v="2025"/>
  </r>
  <r>
    <x v="3550"/>
    <d v="2025-09-19T00:00:00"/>
    <s v="Riverside"/>
    <s v="Birmingham"/>
    <s v="Croissant"/>
    <s v="Food"/>
    <n v="5"/>
    <n v="2.8"/>
    <s v="Cash"/>
    <s v="C1843"/>
    <n v="14"/>
    <s v="Friday"/>
    <s v="September"/>
    <n v="2025"/>
  </r>
  <r>
    <x v="3551"/>
    <d v="2025-09-19T00:00:00"/>
    <s v="Station"/>
    <s v="Birmingham"/>
    <s v="Croissant"/>
    <s v="Food"/>
    <n v="4"/>
    <n v="2.8"/>
    <s v="Apple Pay"/>
    <s v="C1606"/>
    <n v="11.2"/>
    <s v="Friday"/>
    <s v="September"/>
    <n v="2025"/>
  </r>
  <r>
    <x v="3552"/>
    <d v="2025-09-19T00:00:00"/>
    <s v="High Street"/>
    <s v="Bristol"/>
    <s v="Muffin"/>
    <s v="Food"/>
    <n v="5"/>
    <n v="2.2000000000000002"/>
    <s v="Card"/>
    <s v="C1344"/>
    <n v="11"/>
    <s v="Friday"/>
    <s v="September"/>
    <n v="2025"/>
  </r>
  <r>
    <x v="3553"/>
    <d v="2025-09-19T00:00:00"/>
    <s v="Central"/>
    <s v="Manchester"/>
    <s v="Espresso"/>
    <s v="Drink"/>
    <n v="4"/>
    <n v="2.5"/>
    <s v="Cash"/>
    <s v="C1071"/>
    <n v="10"/>
    <s v="Friday"/>
    <s v="September"/>
    <n v="2025"/>
  </r>
  <r>
    <x v="3554"/>
    <d v="2025-09-19T00:00:00"/>
    <s v="Central"/>
    <s v="Leeds"/>
    <s v="Espresso"/>
    <s v="Drink"/>
    <n v="3"/>
    <n v="2.5"/>
    <s v="Cash"/>
    <s v="C1921"/>
    <n v="7.5"/>
    <s v="Friday"/>
    <s v="September"/>
    <n v="2025"/>
  </r>
  <r>
    <x v="3555"/>
    <d v="2025-09-19T00:00:00"/>
    <s v="High Street"/>
    <s v="Bristol"/>
    <s v="Espresso"/>
    <s v="Drink"/>
    <n v="3"/>
    <n v="2.5"/>
    <s v="Cash"/>
    <s v="C1439"/>
    <n v="7.5"/>
    <s v="Friday"/>
    <s v="September"/>
    <n v="2025"/>
  </r>
  <r>
    <x v="3556"/>
    <d v="2025-09-19T00:00:00"/>
    <s v="Central"/>
    <s v="London"/>
    <s v="Latte"/>
    <s v="Drink"/>
    <n v="2"/>
    <n v="3.5"/>
    <s v="Apple Pay"/>
    <s v="C1328"/>
    <n v="7"/>
    <s v="Friday"/>
    <s v="September"/>
    <n v="2025"/>
  </r>
  <r>
    <x v="3557"/>
    <d v="2025-09-19T00:00:00"/>
    <s v="Riverside"/>
    <s v="London"/>
    <s v="Muffin"/>
    <s v="Food"/>
    <n v="2"/>
    <n v="2.2000000000000002"/>
    <s v="Apple Pay"/>
    <s v="C1970"/>
    <n v="4.4000000000000004"/>
    <s v="Friday"/>
    <s v="September"/>
    <n v="2025"/>
  </r>
  <r>
    <x v="3558"/>
    <d v="2025-09-19T00:00:00"/>
    <s v="High Street"/>
    <s v="Birmingham"/>
    <s v="Latte"/>
    <s v="Drink"/>
    <n v="1"/>
    <n v="3.5"/>
    <s v="Card"/>
    <s v="C1144"/>
    <n v="3.5"/>
    <s v="Friday"/>
    <s v="September"/>
    <n v="2025"/>
  </r>
  <r>
    <x v="3559"/>
    <d v="2025-09-20T00:00:00"/>
    <s v="Station"/>
    <s v="Birmingham"/>
    <s v="Cappuccino"/>
    <s v="Drink"/>
    <n v="4"/>
    <n v="3.8"/>
    <s v="Cash"/>
    <s v="C1307"/>
    <n v="15.2"/>
    <s v="Saturday"/>
    <s v="September"/>
    <n v="2025"/>
  </r>
  <r>
    <x v="3560"/>
    <d v="2025-09-20T00:00:00"/>
    <s v="Riverside"/>
    <s v="Leeds"/>
    <s v="Cappuccino"/>
    <s v="Drink"/>
    <n v="3"/>
    <n v="3.8"/>
    <s v="Cash"/>
    <s v="C1142"/>
    <n v="11.399999999999999"/>
    <s v="Saturday"/>
    <s v="September"/>
    <n v="2025"/>
  </r>
  <r>
    <x v="3561"/>
    <d v="2025-09-20T00:00:00"/>
    <s v="Central"/>
    <s v="Leeds"/>
    <s v="Cappuccino"/>
    <s v="Drink"/>
    <n v="3"/>
    <n v="3.8"/>
    <s v="Cash"/>
    <s v="C1592"/>
    <n v="11.399999999999999"/>
    <s v="Saturday"/>
    <s v="September"/>
    <n v="2025"/>
  </r>
  <r>
    <x v="3562"/>
    <d v="2025-09-20T00:00:00"/>
    <s v="High Street"/>
    <s v="Leeds"/>
    <s v="Espresso"/>
    <s v="Drink"/>
    <n v="4"/>
    <n v="2.5"/>
    <s v="Cash"/>
    <s v="C1805"/>
    <n v="10"/>
    <s v="Saturday"/>
    <s v="September"/>
    <n v="2025"/>
  </r>
  <r>
    <x v="3563"/>
    <d v="2025-09-20T00:00:00"/>
    <s v="Riverside"/>
    <s v="Manchester"/>
    <s v="Espresso"/>
    <s v="Drink"/>
    <n v="4"/>
    <n v="2.5"/>
    <s v="Cash"/>
    <s v="C1131"/>
    <n v="10"/>
    <s v="Saturday"/>
    <s v="September"/>
    <n v="2025"/>
  </r>
  <r>
    <x v="3564"/>
    <d v="2025-09-20T00:00:00"/>
    <s v="High Street"/>
    <s v="Birmingham"/>
    <s v="Croissant"/>
    <s v="Food"/>
    <n v="3"/>
    <n v="2.8"/>
    <s v="Apple Pay"/>
    <s v="C1881"/>
    <n v="8.3999999999999986"/>
    <s v="Saturday"/>
    <s v="September"/>
    <n v="2025"/>
  </r>
  <r>
    <x v="3565"/>
    <d v="2025-09-20T00:00:00"/>
    <s v="Central"/>
    <s v="Bristol"/>
    <s v="Espresso"/>
    <s v="Drink"/>
    <n v="3"/>
    <n v="2.5"/>
    <s v="Apple Pay"/>
    <s v="C1110"/>
    <n v="7.5"/>
    <s v="Saturday"/>
    <s v="September"/>
    <n v="2025"/>
  </r>
  <r>
    <x v="3566"/>
    <d v="2025-09-20T00:00:00"/>
    <s v="Station"/>
    <s v="Birmingham"/>
    <s v="Muffin"/>
    <s v="Food"/>
    <n v="3"/>
    <n v="2.2000000000000002"/>
    <s v="Apple Pay"/>
    <s v="C1297"/>
    <n v="6.6000000000000005"/>
    <s v="Saturday"/>
    <s v="September"/>
    <n v="2025"/>
  </r>
  <r>
    <x v="3567"/>
    <d v="2025-09-20T00:00:00"/>
    <s v="Station"/>
    <s v="London"/>
    <s v="Espresso"/>
    <s v="Drink"/>
    <n v="2"/>
    <n v="2.5"/>
    <s v="Card"/>
    <s v="C1729"/>
    <n v="5"/>
    <s v="Saturday"/>
    <s v="September"/>
    <n v="2025"/>
  </r>
  <r>
    <x v="3568"/>
    <d v="2025-09-20T00:00:00"/>
    <s v="High Street"/>
    <s v="London"/>
    <s v="Espresso"/>
    <s v="Drink"/>
    <n v="2"/>
    <n v="2.5"/>
    <s v="Card"/>
    <s v="C1344"/>
    <n v="5"/>
    <s v="Saturday"/>
    <s v="September"/>
    <n v="2025"/>
  </r>
  <r>
    <x v="3569"/>
    <d v="2025-09-20T00:00:00"/>
    <s v="High Street"/>
    <s v="Manchester"/>
    <s v="Muffin"/>
    <s v="Food"/>
    <n v="2"/>
    <n v="2.2000000000000002"/>
    <s v="Apple Pay"/>
    <s v="C1777"/>
    <n v="4.4000000000000004"/>
    <s v="Saturday"/>
    <s v="September"/>
    <n v="2025"/>
  </r>
  <r>
    <x v="3570"/>
    <d v="2025-09-20T00:00:00"/>
    <s v="Riverside"/>
    <s v="Leeds"/>
    <s v="Espresso"/>
    <s v="Drink"/>
    <n v="1"/>
    <n v="2.5"/>
    <s v="Cash"/>
    <s v="C1547"/>
    <n v="2.5"/>
    <s v="Saturday"/>
    <s v="September"/>
    <n v="2025"/>
  </r>
  <r>
    <x v="3571"/>
    <d v="2025-09-20T00:00:00"/>
    <s v="Central"/>
    <s v="London"/>
    <s v="Muffin"/>
    <s v="Food"/>
    <n v="1"/>
    <n v="2.2000000000000002"/>
    <s v="Cash"/>
    <s v="C1283"/>
    <n v="2.2000000000000002"/>
    <s v="Saturday"/>
    <s v="September"/>
    <n v="2025"/>
  </r>
  <r>
    <x v="3572"/>
    <d v="2025-09-21T00:00:00"/>
    <s v="Riverside"/>
    <s v="London"/>
    <s v="Latte"/>
    <s v="Drink"/>
    <n v="4"/>
    <n v="3.5"/>
    <s v="Apple Pay"/>
    <s v="C1678"/>
    <n v="14"/>
    <s v="Sunday"/>
    <s v="September"/>
    <n v="2025"/>
  </r>
  <r>
    <x v="3573"/>
    <d v="2025-09-21T00:00:00"/>
    <s v="Station"/>
    <s v="Birmingham"/>
    <s v="Espresso"/>
    <s v="Drink"/>
    <n v="5"/>
    <n v="2.5"/>
    <s v="Apple Pay"/>
    <s v="C1428"/>
    <n v="12.5"/>
    <s v="Sunday"/>
    <s v="September"/>
    <n v="2025"/>
  </r>
  <r>
    <x v="3574"/>
    <d v="2025-09-21T00:00:00"/>
    <s v="Riverside"/>
    <s v="Birmingham"/>
    <s v="Muffin"/>
    <s v="Food"/>
    <n v="4"/>
    <n v="2.2000000000000002"/>
    <s v="Card"/>
    <s v="C1241"/>
    <n v="8.8000000000000007"/>
    <s v="Sunday"/>
    <s v="September"/>
    <n v="2025"/>
  </r>
  <r>
    <x v="3575"/>
    <d v="2025-09-21T00:00:00"/>
    <s v="Riverside"/>
    <s v="Bristol"/>
    <s v="Muffin"/>
    <s v="Food"/>
    <n v="4"/>
    <n v="2.2000000000000002"/>
    <s v="Apple Pay"/>
    <s v="C1578"/>
    <n v="8.8000000000000007"/>
    <s v="Sunday"/>
    <s v="September"/>
    <n v="2025"/>
  </r>
  <r>
    <x v="3576"/>
    <d v="2025-09-21T00:00:00"/>
    <s v="High Street"/>
    <s v="Leeds"/>
    <s v="Espresso"/>
    <s v="Drink"/>
    <n v="3"/>
    <n v="2.5"/>
    <s v="Cash"/>
    <s v="C1184"/>
    <n v="7.5"/>
    <s v="Sunday"/>
    <s v="September"/>
    <n v="2025"/>
  </r>
  <r>
    <x v="3577"/>
    <d v="2025-09-21T00:00:00"/>
    <s v="Central"/>
    <s v="Birmingham"/>
    <s v="Muffin"/>
    <s v="Food"/>
    <n v="3"/>
    <n v="2.2000000000000002"/>
    <s v="Apple Pay"/>
    <s v="C1730"/>
    <n v="6.6000000000000005"/>
    <s v="Sunday"/>
    <s v="September"/>
    <n v="2025"/>
  </r>
  <r>
    <x v="3578"/>
    <d v="2025-09-21T00:00:00"/>
    <s v="Central"/>
    <s v="Bristol"/>
    <s v="Espresso"/>
    <s v="Drink"/>
    <n v="2"/>
    <n v="2.5"/>
    <s v="Card"/>
    <s v="C1921"/>
    <n v="5"/>
    <s v="Sunday"/>
    <s v="September"/>
    <n v="2025"/>
  </r>
  <r>
    <x v="3579"/>
    <d v="2025-09-21T00:00:00"/>
    <s v="High Street"/>
    <s v="London"/>
    <s v="Croissant"/>
    <s v="Food"/>
    <n v="1"/>
    <n v="2.8"/>
    <s v="Apple Pay"/>
    <s v="C1266"/>
    <n v="2.8"/>
    <s v="Sunday"/>
    <s v="September"/>
    <n v="2025"/>
  </r>
  <r>
    <x v="3580"/>
    <d v="2025-09-22T00:00:00"/>
    <s v="Station"/>
    <s v="Birmingham"/>
    <s v="Cappuccino"/>
    <s v="Drink"/>
    <n v="5"/>
    <n v="3.8"/>
    <s v="Apple Pay"/>
    <s v="C1704"/>
    <n v="19"/>
    <s v="Monday"/>
    <s v="September"/>
    <n v="2025"/>
  </r>
  <r>
    <x v="3581"/>
    <d v="2025-09-22T00:00:00"/>
    <s v="Station"/>
    <s v="Bristol"/>
    <s v="Croissant"/>
    <s v="Food"/>
    <n v="5"/>
    <n v="2.8"/>
    <s v="Cash"/>
    <s v="C1243"/>
    <n v="14"/>
    <s v="Monday"/>
    <s v="September"/>
    <n v="2025"/>
  </r>
  <r>
    <x v="3582"/>
    <d v="2025-09-22T00:00:00"/>
    <s v="Station"/>
    <s v="London"/>
    <s v="Muffin"/>
    <s v="Food"/>
    <n v="5"/>
    <n v="2.2000000000000002"/>
    <s v="Apple Pay"/>
    <s v="C1599"/>
    <n v="11"/>
    <s v="Monday"/>
    <s v="September"/>
    <n v="2025"/>
  </r>
  <r>
    <x v="3583"/>
    <d v="2025-09-22T00:00:00"/>
    <s v="High Street"/>
    <s v="Bristol"/>
    <s v="Muffin"/>
    <s v="Food"/>
    <n v="5"/>
    <n v="2.2000000000000002"/>
    <s v="Cash"/>
    <s v="C1597"/>
    <n v="11"/>
    <s v="Monday"/>
    <s v="September"/>
    <n v="2025"/>
  </r>
  <r>
    <x v="3584"/>
    <d v="2025-09-22T00:00:00"/>
    <s v="Station"/>
    <s v="Bristol"/>
    <s v="Latte"/>
    <s v="Drink"/>
    <n v="3"/>
    <n v="3.5"/>
    <s v="Card"/>
    <s v="C1658"/>
    <n v="10.5"/>
    <s v="Monday"/>
    <s v="September"/>
    <n v="2025"/>
  </r>
  <r>
    <x v="3585"/>
    <d v="2025-09-22T00:00:00"/>
    <s v="Central"/>
    <s v="Birmingham"/>
    <s v="Muffin"/>
    <s v="Food"/>
    <n v="4"/>
    <n v="2.2000000000000002"/>
    <s v="Apple Pay"/>
    <s v="C1257"/>
    <n v="8.8000000000000007"/>
    <s v="Monday"/>
    <s v="September"/>
    <n v="2025"/>
  </r>
  <r>
    <x v="3586"/>
    <d v="2025-09-22T00:00:00"/>
    <s v="High Street"/>
    <s v="Bristol"/>
    <s v="Espresso"/>
    <s v="Drink"/>
    <n v="3"/>
    <n v="2.5"/>
    <s v="Card"/>
    <s v="C1403"/>
    <n v="7.5"/>
    <s v="Monday"/>
    <s v="September"/>
    <n v="2025"/>
  </r>
  <r>
    <x v="3587"/>
    <d v="2025-09-22T00:00:00"/>
    <s v="Station"/>
    <s v="Bristol"/>
    <s v="Espresso"/>
    <s v="Drink"/>
    <n v="3"/>
    <n v="2.5"/>
    <s v="Card"/>
    <s v="C1214"/>
    <n v="7.5"/>
    <s v="Monday"/>
    <s v="September"/>
    <n v="2025"/>
  </r>
  <r>
    <x v="3588"/>
    <d v="2025-09-22T00:00:00"/>
    <s v="Station"/>
    <s v="Bristol"/>
    <s v="Espresso"/>
    <s v="Drink"/>
    <n v="3"/>
    <n v="2.5"/>
    <s v="Apple Pay"/>
    <s v="C1219"/>
    <n v="7.5"/>
    <s v="Monday"/>
    <s v="September"/>
    <n v="2025"/>
  </r>
  <r>
    <x v="3589"/>
    <d v="2025-09-22T00:00:00"/>
    <s v="Station"/>
    <s v="Bristol"/>
    <s v="Espresso"/>
    <s v="Drink"/>
    <n v="3"/>
    <n v="2.5"/>
    <s v="Card"/>
    <s v="C1968"/>
    <n v="7.5"/>
    <s v="Monday"/>
    <s v="September"/>
    <n v="2025"/>
  </r>
  <r>
    <x v="3590"/>
    <d v="2025-09-22T00:00:00"/>
    <s v="Riverside"/>
    <s v="Manchester"/>
    <s v="Latte"/>
    <s v="Drink"/>
    <n v="2"/>
    <n v="3.5"/>
    <s v="Cash"/>
    <s v="C1138"/>
    <n v="7"/>
    <s v="Monday"/>
    <s v="September"/>
    <n v="2025"/>
  </r>
  <r>
    <x v="3591"/>
    <d v="2025-09-22T00:00:00"/>
    <s v="Riverside"/>
    <s v="Bristol"/>
    <s v="Latte"/>
    <s v="Drink"/>
    <n v="2"/>
    <n v="3.5"/>
    <s v="Card"/>
    <s v="C1853"/>
    <n v="7"/>
    <s v="Monday"/>
    <s v="September"/>
    <n v="2025"/>
  </r>
  <r>
    <x v="3592"/>
    <d v="2025-09-22T00:00:00"/>
    <s v="Central"/>
    <s v="Manchester"/>
    <s v="Croissant"/>
    <s v="Food"/>
    <n v="2"/>
    <n v="2.8"/>
    <s v="Cash"/>
    <s v="C1301"/>
    <n v="5.6"/>
    <s v="Monday"/>
    <s v="September"/>
    <n v="2025"/>
  </r>
  <r>
    <x v="3593"/>
    <d v="2025-09-22T00:00:00"/>
    <s v="Station"/>
    <s v="Birmingham"/>
    <s v="Espresso"/>
    <s v="Drink"/>
    <n v="2"/>
    <n v="2.5"/>
    <s v="Apple Pay"/>
    <s v="C1859"/>
    <n v="5"/>
    <s v="Monday"/>
    <s v="September"/>
    <n v="2025"/>
  </r>
  <r>
    <x v="3594"/>
    <d v="2025-09-22T00:00:00"/>
    <s v="Central"/>
    <s v="Bristol"/>
    <s v="Muffin"/>
    <s v="Food"/>
    <n v="2"/>
    <n v="2.2000000000000002"/>
    <s v="Cash"/>
    <s v="C1830"/>
    <n v="4.4000000000000004"/>
    <s v="Monday"/>
    <s v="September"/>
    <n v="2025"/>
  </r>
  <r>
    <x v="3595"/>
    <d v="2025-09-22T00:00:00"/>
    <s v="Central"/>
    <s v="Leeds"/>
    <s v="Cappuccino"/>
    <s v="Drink"/>
    <n v="1"/>
    <n v="3.8"/>
    <s v="Cash"/>
    <s v="C1597"/>
    <n v="3.8"/>
    <s v="Monday"/>
    <s v="September"/>
    <n v="2025"/>
  </r>
  <r>
    <x v="3596"/>
    <d v="2025-09-22T00:00:00"/>
    <s v="High Street"/>
    <s v="Birmingham"/>
    <s v="Cappuccino"/>
    <s v="Drink"/>
    <n v="1"/>
    <n v="3.8"/>
    <s v="Card"/>
    <s v="C1839"/>
    <n v="3.8"/>
    <s v="Monday"/>
    <s v="September"/>
    <n v="2025"/>
  </r>
  <r>
    <x v="3597"/>
    <d v="2025-09-22T00:00:00"/>
    <s v="High Street"/>
    <s v="Bristol"/>
    <s v="Croissant"/>
    <s v="Food"/>
    <n v="1"/>
    <n v="2.8"/>
    <s v="Cash"/>
    <s v="C1660"/>
    <n v="2.8"/>
    <s v="Monday"/>
    <s v="September"/>
    <n v="2025"/>
  </r>
  <r>
    <x v="3598"/>
    <d v="2025-09-22T00:00:00"/>
    <s v="Central"/>
    <s v="Birmingham"/>
    <s v="Muffin"/>
    <s v="Food"/>
    <n v="1"/>
    <n v="2.2000000000000002"/>
    <s v="Apple Pay"/>
    <s v="C1902"/>
    <n v="2.2000000000000002"/>
    <s v="Monday"/>
    <s v="September"/>
    <n v="2025"/>
  </r>
  <r>
    <x v="3599"/>
    <d v="2025-09-23T00:00:00"/>
    <s v="Central"/>
    <s v="Leeds"/>
    <s v="Cappuccino"/>
    <s v="Drink"/>
    <n v="5"/>
    <n v="3.8"/>
    <s v="Card"/>
    <s v="C1778"/>
    <n v="19"/>
    <s v="Tuesday"/>
    <s v="September"/>
    <n v="2025"/>
  </r>
  <r>
    <x v="3600"/>
    <d v="2025-09-23T00:00:00"/>
    <s v="High Street"/>
    <s v="Manchester"/>
    <s v="Latte"/>
    <s v="Drink"/>
    <n v="5"/>
    <n v="3.5"/>
    <s v="Cash"/>
    <s v="C1739"/>
    <n v="17.5"/>
    <s v="Tuesday"/>
    <s v="September"/>
    <n v="2025"/>
  </r>
  <r>
    <x v="3601"/>
    <d v="2025-09-23T00:00:00"/>
    <s v="Central"/>
    <s v="Leeds"/>
    <s v="Cappuccino"/>
    <s v="Drink"/>
    <n v="4"/>
    <n v="3.8"/>
    <s v="Apple Pay"/>
    <s v="C1669"/>
    <n v="15.2"/>
    <s v="Tuesday"/>
    <s v="September"/>
    <n v="2025"/>
  </r>
  <r>
    <x v="3602"/>
    <d v="2025-09-23T00:00:00"/>
    <s v="Central"/>
    <s v="London"/>
    <s v="Muffin"/>
    <s v="Food"/>
    <n v="5"/>
    <n v="2.2000000000000002"/>
    <s v="Cash"/>
    <s v="C1872"/>
    <n v="11"/>
    <s v="Tuesday"/>
    <s v="September"/>
    <n v="2025"/>
  </r>
  <r>
    <x v="3603"/>
    <d v="2025-09-23T00:00:00"/>
    <s v="Station"/>
    <s v="London"/>
    <s v="Latte"/>
    <s v="Drink"/>
    <n v="3"/>
    <n v="3.5"/>
    <s v="Cash"/>
    <s v="C1364"/>
    <n v="10.5"/>
    <s v="Tuesday"/>
    <s v="September"/>
    <n v="2025"/>
  </r>
  <r>
    <x v="3604"/>
    <d v="2025-09-23T00:00:00"/>
    <s v="Central"/>
    <s v="Manchester"/>
    <s v="Croissant"/>
    <s v="Food"/>
    <n v="3"/>
    <n v="2.8"/>
    <s v="Card"/>
    <s v="C1750"/>
    <n v="8.3999999999999986"/>
    <s v="Tuesday"/>
    <s v="September"/>
    <n v="2025"/>
  </r>
  <r>
    <x v="3605"/>
    <d v="2025-09-23T00:00:00"/>
    <s v="Riverside"/>
    <s v="London"/>
    <s v="Espresso"/>
    <s v="Drink"/>
    <n v="3"/>
    <n v="2.5"/>
    <s v="Apple Pay"/>
    <s v="C1599"/>
    <n v="7.5"/>
    <s v="Tuesday"/>
    <s v="September"/>
    <n v="2025"/>
  </r>
  <r>
    <x v="3606"/>
    <d v="2025-09-23T00:00:00"/>
    <s v="Central"/>
    <s v="Bristol"/>
    <s v="Latte"/>
    <s v="Drink"/>
    <n v="2"/>
    <n v="3.5"/>
    <s v="Cash"/>
    <s v="C1951"/>
    <n v="7"/>
    <s v="Tuesday"/>
    <s v="September"/>
    <n v="2025"/>
  </r>
  <r>
    <x v="3607"/>
    <d v="2025-09-23T00:00:00"/>
    <s v="Riverside"/>
    <s v="London"/>
    <s v="Muffin"/>
    <s v="Food"/>
    <n v="3"/>
    <n v="2.2000000000000002"/>
    <s v="Apple Pay"/>
    <s v="C1061"/>
    <n v="6.6000000000000005"/>
    <s v="Tuesday"/>
    <s v="September"/>
    <n v="2025"/>
  </r>
  <r>
    <x v="3608"/>
    <d v="2025-09-23T00:00:00"/>
    <s v="Station"/>
    <s v="Leeds"/>
    <s v="Croissant"/>
    <s v="Food"/>
    <n v="2"/>
    <n v="2.8"/>
    <s v="Apple Pay"/>
    <s v="C1432"/>
    <n v="5.6"/>
    <s v="Tuesday"/>
    <s v="September"/>
    <n v="2025"/>
  </r>
  <r>
    <x v="3609"/>
    <d v="2025-09-23T00:00:00"/>
    <s v="High Street"/>
    <s v="Birmingham"/>
    <s v="Muffin"/>
    <s v="Food"/>
    <n v="2"/>
    <n v="2.2000000000000002"/>
    <s v="Cash"/>
    <s v="C1237"/>
    <n v="4.4000000000000004"/>
    <s v="Tuesday"/>
    <s v="September"/>
    <n v="2025"/>
  </r>
  <r>
    <x v="3610"/>
    <d v="2025-09-23T00:00:00"/>
    <s v="High Street"/>
    <s v="Leeds"/>
    <s v="Muffin"/>
    <s v="Food"/>
    <n v="2"/>
    <n v="2.2000000000000002"/>
    <s v="Apple Pay"/>
    <s v="C1859"/>
    <n v="4.4000000000000004"/>
    <s v="Tuesday"/>
    <s v="September"/>
    <n v="2025"/>
  </r>
  <r>
    <x v="3611"/>
    <d v="2025-09-23T00:00:00"/>
    <s v="Station"/>
    <s v="Manchester"/>
    <s v="Muffin"/>
    <s v="Food"/>
    <n v="1"/>
    <n v="2.2000000000000002"/>
    <s v="Cash"/>
    <s v="C1425"/>
    <n v="2.2000000000000002"/>
    <s v="Tuesday"/>
    <s v="September"/>
    <n v="2025"/>
  </r>
  <r>
    <x v="3612"/>
    <d v="2025-09-24T00:00:00"/>
    <s v="Riverside"/>
    <s v="Bristol"/>
    <s v="Cappuccino"/>
    <s v="Drink"/>
    <n v="5"/>
    <n v="3.8"/>
    <s v="Card"/>
    <s v="C1528"/>
    <n v="19"/>
    <s v="Wednesday"/>
    <s v="September"/>
    <n v="2025"/>
  </r>
  <r>
    <x v="3613"/>
    <d v="2025-09-24T00:00:00"/>
    <s v="Riverside"/>
    <s v="London"/>
    <s v="Latte"/>
    <s v="Drink"/>
    <n v="5"/>
    <n v="3.5"/>
    <s v="Card"/>
    <s v="C1542"/>
    <n v="17.5"/>
    <s v="Wednesday"/>
    <s v="September"/>
    <n v="2025"/>
  </r>
  <r>
    <x v="3614"/>
    <d v="2025-09-24T00:00:00"/>
    <s v="High Street"/>
    <s v="London"/>
    <s v="Latte"/>
    <s v="Drink"/>
    <n v="5"/>
    <n v="3.5"/>
    <s v="Apple Pay"/>
    <s v="C1469"/>
    <n v="17.5"/>
    <s v="Wednesday"/>
    <s v="September"/>
    <n v="2025"/>
  </r>
  <r>
    <x v="3615"/>
    <d v="2025-09-24T00:00:00"/>
    <s v="Station"/>
    <s v="Manchester"/>
    <s v="Cappuccino"/>
    <s v="Drink"/>
    <n v="4"/>
    <n v="3.8"/>
    <s v="Card"/>
    <s v="C1165"/>
    <n v="15.2"/>
    <s v="Wednesday"/>
    <s v="September"/>
    <n v="2025"/>
  </r>
  <r>
    <x v="3616"/>
    <d v="2025-09-24T00:00:00"/>
    <s v="Riverside"/>
    <s v="Birmingham"/>
    <s v="Croissant"/>
    <s v="Food"/>
    <n v="5"/>
    <n v="2.8"/>
    <s v="Cash"/>
    <s v="C1328"/>
    <n v="14"/>
    <s v="Wednesday"/>
    <s v="September"/>
    <n v="2025"/>
  </r>
  <r>
    <x v="3617"/>
    <d v="2025-09-24T00:00:00"/>
    <s v="Station"/>
    <s v="Leeds"/>
    <s v="Croissant"/>
    <s v="Food"/>
    <n v="5"/>
    <n v="2.8"/>
    <s v="Card"/>
    <s v="C1326"/>
    <n v="14"/>
    <s v="Wednesday"/>
    <s v="September"/>
    <n v="2025"/>
  </r>
  <r>
    <x v="3618"/>
    <d v="2025-09-24T00:00:00"/>
    <s v="High Street"/>
    <s v="Manchester"/>
    <s v="Cappuccino"/>
    <s v="Drink"/>
    <n v="3"/>
    <n v="3.8"/>
    <s v="Card"/>
    <s v="C1350"/>
    <n v="11.399999999999999"/>
    <s v="Wednesday"/>
    <s v="September"/>
    <n v="2025"/>
  </r>
  <r>
    <x v="3619"/>
    <d v="2025-09-24T00:00:00"/>
    <s v="Central"/>
    <s v="Birmingham"/>
    <s v="Cappuccino"/>
    <s v="Drink"/>
    <n v="3"/>
    <n v="3.8"/>
    <s v="Card"/>
    <s v="C1748"/>
    <n v="11.399999999999999"/>
    <s v="Wednesday"/>
    <s v="September"/>
    <n v="2025"/>
  </r>
  <r>
    <x v="3620"/>
    <d v="2025-09-24T00:00:00"/>
    <s v="Central"/>
    <s v="London"/>
    <s v="Cappuccino"/>
    <s v="Drink"/>
    <n v="3"/>
    <n v="3.8"/>
    <s v="Apple Pay"/>
    <s v="C1499"/>
    <n v="11.399999999999999"/>
    <s v="Wednesday"/>
    <s v="September"/>
    <n v="2025"/>
  </r>
  <r>
    <x v="3621"/>
    <d v="2025-09-24T00:00:00"/>
    <s v="High Street"/>
    <s v="Leeds"/>
    <s v="Croissant"/>
    <s v="Food"/>
    <n v="4"/>
    <n v="2.8"/>
    <s v="Apple Pay"/>
    <s v="C1693"/>
    <n v="11.2"/>
    <s v="Wednesday"/>
    <s v="September"/>
    <n v="2025"/>
  </r>
  <r>
    <x v="3622"/>
    <d v="2025-09-24T00:00:00"/>
    <s v="Riverside"/>
    <s v="Bristol"/>
    <s v="Muffin"/>
    <s v="Food"/>
    <n v="5"/>
    <n v="2.2000000000000002"/>
    <s v="Cash"/>
    <s v="C1633"/>
    <n v="11"/>
    <s v="Wednesday"/>
    <s v="September"/>
    <n v="2025"/>
  </r>
  <r>
    <x v="3623"/>
    <d v="2025-09-24T00:00:00"/>
    <s v="High Street"/>
    <s v="Birmingham"/>
    <s v="Muffin"/>
    <s v="Food"/>
    <n v="5"/>
    <n v="2.2000000000000002"/>
    <s v="Cash"/>
    <s v="C1821"/>
    <n v="11"/>
    <s v="Wednesday"/>
    <s v="September"/>
    <n v="2025"/>
  </r>
  <r>
    <x v="3623"/>
    <d v="2025-09-24T00:00:00"/>
    <s v="High Street"/>
    <s v="Birmingham"/>
    <s v="Muffin"/>
    <s v="Food"/>
    <n v="5"/>
    <n v="2.2000000000000002"/>
    <s v="Apple Pay"/>
    <s v="C1821"/>
    <n v="11"/>
    <s v="Wednesday"/>
    <s v="September"/>
    <n v="2025"/>
  </r>
  <r>
    <x v="3624"/>
    <d v="2025-09-24T00:00:00"/>
    <s v="High Street"/>
    <s v="Leeds"/>
    <s v="Latte"/>
    <s v="Drink"/>
    <n v="3"/>
    <n v="3.5"/>
    <s v="Apple Pay"/>
    <s v="C1582"/>
    <n v="10.5"/>
    <s v="Wednesday"/>
    <s v="September"/>
    <n v="2025"/>
  </r>
  <r>
    <x v="3625"/>
    <d v="2025-09-24T00:00:00"/>
    <s v="Central"/>
    <s v="Manchester"/>
    <s v="Muffin"/>
    <s v="Food"/>
    <n v="4"/>
    <n v="2.2000000000000002"/>
    <s v="Apple Pay"/>
    <s v="C1025"/>
    <n v="8.8000000000000007"/>
    <s v="Wednesday"/>
    <s v="September"/>
    <n v="2025"/>
  </r>
  <r>
    <x v="3626"/>
    <d v="2025-09-24T00:00:00"/>
    <s v="Riverside"/>
    <s v="Leeds"/>
    <s v="Cappuccino"/>
    <s v="Drink"/>
    <n v="2"/>
    <n v="3.8"/>
    <s v="Apple Pay"/>
    <s v="C1977"/>
    <n v="7.6"/>
    <s v="Wednesday"/>
    <s v="September"/>
    <n v="2025"/>
  </r>
  <r>
    <x v="3627"/>
    <d v="2025-09-24T00:00:00"/>
    <s v="Central"/>
    <s v="Bristol"/>
    <s v="Latte"/>
    <s v="Drink"/>
    <n v="2"/>
    <n v="3.5"/>
    <s v="Apple Pay"/>
    <s v="C1068"/>
    <n v="7"/>
    <s v="Wednesday"/>
    <s v="September"/>
    <n v="2025"/>
  </r>
  <r>
    <x v="3628"/>
    <d v="2025-09-24T00:00:00"/>
    <s v="High Street"/>
    <s v="London"/>
    <s v="Croissant"/>
    <s v="Food"/>
    <n v="2"/>
    <n v="2.8"/>
    <s v="Card"/>
    <s v="C1858"/>
    <n v="5.6"/>
    <s v="Wednesday"/>
    <s v="September"/>
    <n v="2025"/>
  </r>
  <r>
    <x v="3629"/>
    <d v="2025-09-24T00:00:00"/>
    <s v="Riverside"/>
    <s v="London"/>
    <s v="Cappuccino"/>
    <s v="Drink"/>
    <n v="1"/>
    <n v="3.8"/>
    <s v="Cash"/>
    <s v="C1115"/>
    <n v="3.8"/>
    <s v="Wednesday"/>
    <s v="September"/>
    <n v="2025"/>
  </r>
  <r>
    <x v="3630"/>
    <d v="2025-09-24T00:00:00"/>
    <s v="Central"/>
    <s v="London"/>
    <s v="Latte"/>
    <s v="Drink"/>
    <n v="1"/>
    <n v="3.5"/>
    <s v="Cash"/>
    <s v="C1001"/>
    <n v="3.5"/>
    <s v="Wednesday"/>
    <s v="September"/>
    <n v="2025"/>
  </r>
  <r>
    <x v="3631"/>
    <d v="2025-09-24T00:00:00"/>
    <s v="High Street"/>
    <s v="Leeds"/>
    <s v="Muffin"/>
    <s v="Food"/>
    <n v="1"/>
    <n v="2.2000000000000002"/>
    <s v="Cash"/>
    <s v="C1072"/>
    <n v="2.2000000000000002"/>
    <s v="Wednesday"/>
    <s v="September"/>
    <n v="2025"/>
  </r>
  <r>
    <x v="3632"/>
    <d v="2025-09-25T00:00:00"/>
    <s v="Riverside"/>
    <s v="Leeds"/>
    <s v="Cappuccino"/>
    <s v="Drink"/>
    <n v="5"/>
    <n v="3.8"/>
    <s v="Apple Pay"/>
    <s v="C1396"/>
    <n v="19"/>
    <s v="Thursday"/>
    <s v="September"/>
    <n v="2025"/>
  </r>
  <r>
    <x v="3633"/>
    <d v="2025-09-25T00:00:00"/>
    <s v="Station"/>
    <s v="Manchester"/>
    <s v="Espresso"/>
    <s v="Drink"/>
    <n v="5"/>
    <n v="2.5"/>
    <s v="Card"/>
    <s v="C1437"/>
    <n v="12.5"/>
    <s v="Thursday"/>
    <s v="September"/>
    <n v="2025"/>
  </r>
  <r>
    <x v="3634"/>
    <d v="2025-09-25T00:00:00"/>
    <s v="Riverside"/>
    <s v="Manchester"/>
    <s v="Muffin"/>
    <s v="Food"/>
    <n v="5"/>
    <n v="2.2000000000000002"/>
    <s v="Cash"/>
    <s v="C1176"/>
    <n v="11"/>
    <s v="Thursday"/>
    <s v="September"/>
    <n v="2025"/>
  </r>
  <r>
    <x v="3635"/>
    <d v="2025-09-25T00:00:00"/>
    <s v="Central"/>
    <s v="Manchester"/>
    <s v="Croissant"/>
    <s v="Food"/>
    <n v="3"/>
    <n v="2.8"/>
    <s v="Card"/>
    <s v="C1746"/>
    <n v="8.3999999999999986"/>
    <s v="Thursday"/>
    <s v="September"/>
    <n v="2025"/>
  </r>
  <r>
    <x v="3636"/>
    <d v="2025-09-25T00:00:00"/>
    <s v="Central"/>
    <s v="Leeds"/>
    <s v="Latte"/>
    <s v="Drink"/>
    <n v="2"/>
    <n v="3.5"/>
    <s v="Apple Pay"/>
    <s v="C1754"/>
    <n v="7"/>
    <s v="Thursday"/>
    <s v="September"/>
    <n v="2025"/>
  </r>
  <r>
    <x v="3637"/>
    <d v="2025-09-25T00:00:00"/>
    <s v="Central"/>
    <s v="London"/>
    <s v="Muffin"/>
    <s v="Food"/>
    <n v="3"/>
    <n v="2.2000000000000002"/>
    <s v="Cash"/>
    <s v="C1183"/>
    <n v="6.6000000000000005"/>
    <s v="Thursday"/>
    <s v="September"/>
    <n v="2025"/>
  </r>
  <r>
    <x v="3638"/>
    <d v="2025-09-25T00:00:00"/>
    <s v="Station"/>
    <s v="Birmingham"/>
    <s v="Muffin"/>
    <s v="Food"/>
    <n v="3"/>
    <n v="2.2000000000000002"/>
    <s v="Apple Pay"/>
    <s v="C1996"/>
    <n v="6.6000000000000005"/>
    <s v="Thursday"/>
    <s v="September"/>
    <n v="2025"/>
  </r>
  <r>
    <x v="3639"/>
    <d v="2025-09-25T00:00:00"/>
    <s v="High Street"/>
    <s v="Leeds"/>
    <s v="Muffin"/>
    <s v="Food"/>
    <n v="3"/>
    <n v="2.2000000000000002"/>
    <s v="Cash"/>
    <s v="C1117"/>
    <n v="6.6000000000000005"/>
    <s v="Thursday"/>
    <s v="September"/>
    <n v="2025"/>
  </r>
  <r>
    <x v="3640"/>
    <d v="2025-09-25T00:00:00"/>
    <s v="Riverside"/>
    <s v="Leeds"/>
    <s v="Muffin"/>
    <s v="Food"/>
    <n v="2"/>
    <n v="2.2000000000000002"/>
    <s v="Card"/>
    <s v="C1557"/>
    <n v="4.4000000000000004"/>
    <s v="Thursday"/>
    <s v="September"/>
    <n v="2025"/>
  </r>
  <r>
    <x v="3641"/>
    <d v="2025-09-25T00:00:00"/>
    <s v="Station"/>
    <s v="Birmingham"/>
    <s v="Latte"/>
    <s v="Drink"/>
    <n v="1"/>
    <n v="3.5"/>
    <s v="Card"/>
    <s v="C1978"/>
    <n v="3.5"/>
    <s v="Thursday"/>
    <s v="September"/>
    <n v="2025"/>
  </r>
  <r>
    <x v="3642"/>
    <d v="2025-09-25T00:00:00"/>
    <s v="High Street"/>
    <s v="Birmingham"/>
    <s v="Latte"/>
    <s v="Drink"/>
    <n v="1"/>
    <n v="3.5"/>
    <s v="Apple Pay"/>
    <s v="C1879"/>
    <n v="3.5"/>
    <s v="Thursday"/>
    <s v="September"/>
    <n v="2025"/>
  </r>
  <r>
    <x v="3643"/>
    <d v="2025-09-25T00:00:00"/>
    <s v="Station"/>
    <s v="Manchester"/>
    <s v="Latte"/>
    <s v="Drink"/>
    <n v="1"/>
    <n v="3.5"/>
    <s v="Cash"/>
    <s v="C1900"/>
    <n v="3.5"/>
    <s v="Thursday"/>
    <s v="September"/>
    <n v="2025"/>
  </r>
  <r>
    <x v="3644"/>
    <d v="2025-09-25T00:00:00"/>
    <s v="Riverside"/>
    <s v="Manchester"/>
    <s v="Croissant"/>
    <s v="Food"/>
    <n v="1"/>
    <n v="2.8"/>
    <s v="Cash"/>
    <s v="C1738"/>
    <n v="2.8"/>
    <s v="Thursday"/>
    <s v="September"/>
    <n v="2025"/>
  </r>
  <r>
    <x v="3645"/>
    <d v="2025-09-26T00:00:00"/>
    <s v="Riverside"/>
    <s v="London"/>
    <s v="Cappuccino"/>
    <s v="Drink"/>
    <n v="5"/>
    <n v="3.8"/>
    <s v="Card"/>
    <s v="C1836"/>
    <n v="19"/>
    <s v="Friday"/>
    <s v="September"/>
    <n v="2025"/>
  </r>
  <r>
    <x v="3646"/>
    <d v="2025-09-26T00:00:00"/>
    <s v="Central"/>
    <s v="Birmingham"/>
    <s v="Cappuccino"/>
    <s v="Drink"/>
    <n v="5"/>
    <n v="3.8"/>
    <s v="Cash"/>
    <s v="C1327"/>
    <n v="19"/>
    <s v="Friday"/>
    <s v="September"/>
    <n v="2025"/>
  </r>
  <r>
    <x v="3647"/>
    <d v="2025-09-26T00:00:00"/>
    <s v="High Street"/>
    <s v="N/A"/>
    <s v="Latte"/>
    <s v="Drink"/>
    <n v="4"/>
    <n v="3.5"/>
    <s v="Apple Pay"/>
    <s v="C1367"/>
    <n v="14"/>
    <s v="Friday"/>
    <s v="September"/>
    <n v="2025"/>
  </r>
  <r>
    <x v="3648"/>
    <d v="2025-09-26T00:00:00"/>
    <s v="Central"/>
    <s v="Bristol"/>
    <s v="Croissant"/>
    <s v="Food"/>
    <n v="5"/>
    <n v="2.8"/>
    <s v="Cash"/>
    <s v="C1962"/>
    <n v="14"/>
    <s v="Friday"/>
    <s v="September"/>
    <n v="2025"/>
  </r>
  <r>
    <x v="3649"/>
    <d v="2025-09-26T00:00:00"/>
    <s v="High Street"/>
    <s v="London"/>
    <s v="Croissant"/>
    <s v="Food"/>
    <n v="4"/>
    <n v="2.8"/>
    <s v="Apple Pay"/>
    <s v="C1357"/>
    <n v="11.2"/>
    <s v="Friday"/>
    <s v="September"/>
    <n v="2025"/>
  </r>
  <r>
    <x v="3650"/>
    <d v="2025-09-26T00:00:00"/>
    <s v="Station"/>
    <s v="Leeds"/>
    <s v="Muffin"/>
    <s v="Food"/>
    <n v="5"/>
    <n v="2.2000000000000002"/>
    <s v="Card"/>
    <s v="C1228"/>
    <n v="11"/>
    <s v="Friday"/>
    <s v="September"/>
    <n v="2025"/>
  </r>
  <r>
    <x v="3651"/>
    <d v="2025-09-26T00:00:00"/>
    <s v="High Street"/>
    <s v="London"/>
    <s v="Croissant"/>
    <s v="Food"/>
    <n v="3"/>
    <n v="2.8"/>
    <s v="Card"/>
    <s v="C1497"/>
    <n v="8.3999999999999986"/>
    <s v="Friday"/>
    <s v="September"/>
    <n v="2025"/>
  </r>
  <r>
    <x v="3652"/>
    <d v="2025-09-26T00:00:00"/>
    <s v="Central"/>
    <s v="London"/>
    <s v="Cappuccino"/>
    <s v="Drink"/>
    <n v="2"/>
    <n v="3.8"/>
    <s v="Card"/>
    <s v="C1652"/>
    <n v="7.6"/>
    <s v="Friday"/>
    <s v="September"/>
    <n v="2025"/>
  </r>
  <r>
    <x v="3653"/>
    <d v="2025-09-26T00:00:00"/>
    <s v="Riverside"/>
    <s v="Birmingham"/>
    <s v="Latte"/>
    <s v="Drink"/>
    <n v="2"/>
    <n v="3.5"/>
    <s v="Card"/>
    <s v="C1679"/>
    <n v="7"/>
    <s v="Friday"/>
    <s v="September"/>
    <n v="2025"/>
  </r>
  <r>
    <x v="3654"/>
    <d v="2025-09-26T00:00:00"/>
    <s v="High Street"/>
    <s v="Leeds"/>
    <s v="Croissant"/>
    <s v="Food"/>
    <n v="2"/>
    <n v="2.8"/>
    <s v="Cash"/>
    <s v="C1794"/>
    <n v="5.6"/>
    <s v="Friday"/>
    <s v="September"/>
    <n v="2025"/>
  </r>
  <r>
    <x v="3655"/>
    <d v="2025-09-26T00:00:00"/>
    <s v="Station"/>
    <s v="Leeds"/>
    <s v="Espresso"/>
    <s v="Drink"/>
    <n v="2"/>
    <n v="2.5"/>
    <s v="Card"/>
    <s v="C1650"/>
    <n v="5"/>
    <s v="Friday"/>
    <s v="September"/>
    <n v="2025"/>
  </r>
  <r>
    <x v="3656"/>
    <d v="2025-09-26T00:00:00"/>
    <s v="Station"/>
    <s v="Manchester"/>
    <s v="Latte"/>
    <s v="Drink"/>
    <n v="1"/>
    <n v="3.5"/>
    <s v="Apple Pay"/>
    <s v="C1308"/>
    <n v="3.5"/>
    <s v="Friday"/>
    <s v="September"/>
    <n v="2025"/>
  </r>
  <r>
    <x v="3657"/>
    <d v="2025-09-26T00:00:00"/>
    <s v="Station"/>
    <s v="Manchester"/>
    <s v="Latte"/>
    <s v="Drink"/>
    <n v="1"/>
    <n v="3.5"/>
    <s v="Apple Pay"/>
    <s v="C1174"/>
    <n v="3.5"/>
    <s v="Friday"/>
    <s v="September"/>
    <n v="2025"/>
  </r>
  <r>
    <x v="3658"/>
    <d v="2025-09-26T00:00:00"/>
    <s v="Central"/>
    <s v="Birmingham"/>
    <s v="Latte"/>
    <s v="Drink"/>
    <n v="1"/>
    <n v="3.5"/>
    <s v="Apple Pay"/>
    <s v="C1146"/>
    <n v="3.5"/>
    <s v="Friday"/>
    <s v="September"/>
    <n v="2025"/>
  </r>
  <r>
    <x v="3659"/>
    <d v="2025-09-26T00:00:00"/>
    <s v="Central"/>
    <s v="Leeds"/>
    <s v="Latte"/>
    <s v="Drink"/>
    <n v="1"/>
    <n v="3.5"/>
    <s v="Cash"/>
    <s v="C1668"/>
    <n v="3.5"/>
    <s v="Friday"/>
    <s v="September"/>
    <n v="2025"/>
  </r>
  <r>
    <x v="3660"/>
    <d v="2025-09-26T00:00:00"/>
    <s v="Riverside"/>
    <s v="London"/>
    <s v="Muffin"/>
    <s v="Food"/>
    <n v="1"/>
    <n v="2.2000000000000002"/>
    <s v="Cash"/>
    <s v="C1423"/>
    <n v="2.2000000000000002"/>
    <s v="Friday"/>
    <s v="September"/>
    <n v="2025"/>
  </r>
  <r>
    <x v="3661"/>
    <d v="2025-09-27T00:00:00"/>
    <s v="Riverside"/>
    <s v="Manchester"/>
    <s v="Latte"/>
    <s v="Drink"/>
    <n v="5"/>
    <n v="3.5"/>
    <s v="Cash"/>
    <s v="C1172"/>
    <n v="17.5"/>
    <s v="Saturday"/>
    <s v="September"/>
    <n v="2025"/>
  </r>
  <r>
    <x v="3662"/>
    <d v="2025-09-27T00:00:00"/>
    <s v="Station"/>
    <s v="Manchester"/>
    <s v="Latte"/>
    <s v="Drink"/>
    <n v="4"/>
    <n v="3.5"/>
    <s v="Apple Pay"/>
    <s v="C1223"/>
    <n v="14"/>
    <s v="Saturday"/>
    <s v="September"/>
    <n v="2025"/>
  </r>
  <r>
    <x v="3663"/>
    <d v="2025-09-27T00:00:00"/>
    <s v="Riverside"/>
    <s v="Birmingham"/>
    <s v="Espresso"/>
    <s v="Drink"/>
    <n v="5"/>
    <n v="2.5"/>
    <s v="Cash"/>
    <s v="C1188"/>
    <n v="12.5"/>
    <s v="Saturday"/>
    <s v="September"/>
    <n v="2025"/>
  </r>
  <r>
    <x v="3664"/>
    <d v="2025-09-27T00:00:00"/>
    <s v="Station"/>
    <s v="Bristol"/>
    <s v="Espresso"/>
    <s v="Drink"/>
    <n v="5"/>
    <n v="2.5"/>
    <s v="Apple Pay"/>
    <s v="C1774"/>
    <n v="12.5"/>
    <s v="Saturday"/>
    <s v="September"/>
    <n v="2025"/>
  </r>
  <r>
    <x v="3665"/>
    <d v="2025-09-27T00:00:00"/>
    <s v="Station"/>
    <s v="Manchester"/>
    <s v="Latte"/>
    <s v="Drink"/>
    <n v="3"/>
    <n v="3.5"/>
    <s v="Card"/>
    <s v="C1305"/>
    <n v="10.5"/>
    <s v="Saturday"/>
    <s v="September"/>
    <n v="2025"/>
  </r>
  <r>
    <x v="3666"/>
    <d v="2025-09-27T00:00:00"/>
    <s v="Riverside"/>
    <s v="London"/>
    <s v="Latte"/>
    <s v="Drink"/>
    <n v="3"/>
    <n v="3.5"/>
    <s v="Card"/>
    <s v="C1780"/>
    <n v="10.5"/>
    <s v="Saturday"/>
    <s v="September"/>
    <n v="2025"/>
  </r>
  <r>
    <x v="3667"/>
    <d v="2025-09-27T00:00:00"/>
    <s v="Station"/>
    <s v="Bristol"/>
    <s v="Cappuccino"/>
    <s v="Drink"/>
    <n v="2"/>
    <n v="3.8"/>
    <s v="Cash"/>
    <s v="C1496"/>
    <n v="7.6"/>
    <s v="Saturday"/>
    <s v="September"/>
    <n v="2025"/>
  </r>
  <r>
    <x v="3668"/>
    <d v="2025-09-27T00:00:00"/>
    <s v="High Street"/>
    <s v="Manchester"/>
    <s v="Muffin"/>
    <s v="Food"/>
    <n v="2"/>
    <n v="2.2000000000000002"/>
    <s v="Card"/>
    <s v="C1860"/>
    <n v="4.4000000000000004"/>
    <s v="Saturday"/>
    <s v="September"/>
    <n v="2025"/>
  </r>
  <r>
    <x v="3669"/>
    <d v="2025-09-27T00:00:00"/>
    <s v="Central"/>
    <s v="Manchester"/>
    <s v="Cappuccino"/>
    <s v="Drink"/>
    <n v="1"/>
    <n v="3.8"/>
    <s v="Cash"/>
    <s v="C1034"/>
    <n v="3.8"/>
    <s v="Saturday"/>
    <s v="September"/>
    <n v="2025"/>
  </r>
  <r>
    <x v="3670"/>
    <d v="2025-09-27T00:00:00"/>
    <s v="High Street"/>
    <s v="Manchester"/>
    <s v="Latte"/>
    <s v="Drink"/>
    <n v="1"/>
    <n v="3.5"/>
    <s v="Card"/>
    <s v="C1472"/>
    <n v="3.5"/>
    <s v="Saturday"/>
    <s v="September"/>
    <n v="2025"/>
  </r>
  <r>
    <x v="3671"/>
    <d v="2025-09-28T00:00:00"/>
    <s v="High Street"/>
    <s v="Bristol"/>
    <s v="Latte"/>
    <s v="Drink"/>
    <n v="5"/>
    <n v="3.5"/>
    <s v="Card"/>
    <s v="C1714"/>
    <n v="17.5"/>
    <s v="Sunday"/>
    <s v="September"/>
    <n v="2025"/>
  </r>
  <r>
    <x v="3672"/>
    <d v="2025-09-28T00:00:00"/>
    <s v="High Street"/>
    <s v="Bristol"/>
    <s v="Croissant"/>
    <s v="Food"/>
    <n v="5"/>
    <n v="2.8"/>
    <s v="Apple Pay"/>
    <s v="C1586"/>
    <n v="14"/>
    <s v="Sunday"/>
    <s v="September"/>
    <n v="2025"/>
  </r>
  <r>
    <x v="3673"/>
    <d v="2025-09-28T00:00:00"/>
    <s v="Station"/>
    <s v="Manchester"/>
    <s v="Latte"/>
    <s v="Drink"/>
    <n v="4"/>
    <n v="3.5"/>
    <s v="Apple Pay"/>
    <s v="C1004"/>
    <n v="14"/>
    <s v="Sunday"/>
    <s v="September"/>
    <n v="2025"/>
  </r>
  <r>
    <x v="3674"/>
    <d v="2025-09-28T00:00:00"/>
    <s v="Central"/>
    <s v="Bristol"/>
    <s v="Latte"/>
    <s v="Drink"/>
    <n v="4"/>
    <n v="3.5"/>
    <s v="Card"/>
    <s v="C1937"/>
    <n v="14"/>
    <s v="Sunday"/>
    <s v="September"/>
    <n v="2025"/>
  </r>
  <r>
    <x v="3675"/>
    <d v="2025-09-28T00:00:00"/>
    <s v="Central"/>
    <s v="London"/>
    <s v="Croissant"/>
    <s v="Food"/>
    <n v="4"/>
    <n v="2.8"/>
    <s v="Card"/>
    <s v="C1940"/>
    <n v="11.2"/>
    <s v="Sunday"/>
    <s v="September"/>
    <n v="2025"/>
  </r>
  <r>
    <x v="3676"/>
    <d v="2025-09-28T00:00:00"/>
    <s v="High Street"/>
    <s v="Bristol"/>
    <s v="Muffin"/>
    <s v="Food"/>
    <n v="5"/>
    <n v="2.2000000000000002"/>
    <s v="Apple Pay"/>
    <s v="C1198"/>
    <n v="11"/>
    <s v="Sunday"/>
    <s v="September"/>
    <n v="2025"/>
  </r>
  <r>
    <x v="3677"/>
    <d v="2025-09-28T00:00:00"/>
    <s v="Station"/>
    <s v="Leeds"/>
    <s v="Espresso"/>
    <s v="Drink"/>
    <n v="4"/>
    <n v="2.5"/>
    <s v="Card"/>
    <s v="C1535"/>
    <n v="10"/>
    <s v="Sunday"/>
    <s v="September"/>
    <n v="2025"/>
  </r>
  <r>
    <x v="3678"/>
    <d v="2025-09-28T00:00:00"/>
    <s v="Riverside"/>
    <s v="Manchester"/>
    <s v="Espresso"/>
    <s v="Drink"/>
    <n v="4"/>
    <n v="2.5"/>
    <s v="Cash"/>
    <s v="C1405"/>
    <n v="10"/>
    <s v="Sunday"/>
    <s v="September"/>
    <n v="2025"/>
  </r>
  <r>
    <x v="3679"/>
    <d v="2025-09-28T00:00:00"/>
    <s v="High Street"/>
    <s v="Birmingham"/>
    <s v="Cappuccino"/>
    <s v="Drink"/>
    <n v="2"/>
    <n v="3.8"/>
    <s v="Apple Pay"/>
    <s v="C1539"/>
    <n v="7.6"/>
    <s v="Sunday"/>
    <s v="September"/>
    <n v="2025"/>
  </r>
  <r>
    <x v="3680"/>
    <d v="2025-09-28T00:00:00"/>
    <s v="Central"/>
    <s v="London"/>
    <s v="Cappuccino"/>
    <s v="Drink"/>
    <n v="2"/>
    <n v="3.8"/>
    <s v="Cash"/>
    <s v="C1562"/>
    <n v="7.6"/>
    <s v="Sunday"/>
    <s v="September"/>
    <n v="2025"/>
  </r>
  <r>
    <x v="3681"/>
    <d v="2025-09-28T00:00:00"/>
    <s v="Central"/>
    <s v="London"/>
    <s v="Espresso"/>
    <s v="Drink"/>
    <n v="3"/>
    <n v="2.5"/>
    <s v="Card"/>
    <s v="C1440"/>
    <n v="7.5"/>
    <s v="Sunday"/>
    <s v="September"/>
    <n v="2025"/>
  </r>
  <r>
    <x v="3682"/>
    <d v="2025-09-28T00:00:00"/>
    <s v="Central"/>
    <s v="Leeds"/>
    <s v="Muffin"/>
    <s v="Food"/>
    <n v="3"/>
    <n v="2.2000000000000002"/>
    <s v="Card"/>
    <s v="C1590"/>
    <n v="6.6000000000000005"/>
    <s v="Sunday"/>
    <s v="September"/>
    <n v="2025"/>
  </r>
  <r>
    <x v="3683"/>
    <d v="2025-09-28T00:00:00"/>
    <s v="High Street"/>
    <s v="Leeds"/>
    <s v="Espresso"/>
    <s v="Drink"/>
    <n v="2"/>
    <n v="2.5"/>
    <s v="Apple Pay"/>
    <s v="C1417"/>
    <n v="5"/>
    <s v="Sunday"/>
    <s v="September"/>
    <n v="2025"/>
  </r>
  <r>
    <x v="3684"/>
    <d v="2025-09-28T00:00:00"/>
    <s v="Central"/>
    <s v="London"/>
    <s v="Espresso"/>
    <s v="Drink"/>
    <n v="2"/>
    <n v="2.5"/>
    <s v="Card"/>
    <s v="C1058"/>
    <n v="5"/>
    <s v="Sunday"/>
    <s v="September"/>
    <n v="2025"/>
  </r>
  <r>
    <x v="3685"/>
    <d v="2025-09-28T00:00:00"/>
    <s v="Station"/>
    <s v="London"/>
    <s v="Espresso"/>
    <s v="Drink"/>
    <n v="2"/>
    <n v="2.5"/>
    <s v="Apple Pay"/>
    <s v="C1615"/>
    <n v="5"/>
    <s v="Sunday"/>
    <s v="September"/>
    <n v="2025"/>
  </r>
  <r>
    <x v="3686"/>
    <d v="2025-09-28T00:00:00"/>
    <s v="Station"/>
    <s v="London"/>
    <s v="Croissant"/>
    <s v="Food"/>
    <n v="1"/>
    <n v="2.8"/>
    <s v="Cash"/>
    <s v="C1961"/>
    <n v="2.8"/>
    <s v="Sunday"/>
    <s v="September"/>
    <n v="2025"/>
  </r>
  <r>
    <x v="3687"/>
    <d v="2025-09-28T00:00:00"/>
    <s v="High Street"/>
    <s v="London"/>
    <s v="Espresso"/>
    <s v="Drink"/>
    <n v="1"/>
    <n v="2.5"/>
    <s v="Card"/>
    <s v="C1013"/>
    <n v="2.5"/>
    <s v="Sunday"/>
    <s v="September"/>
    <n v="2025"/>
  </r>
  <r>
    <x v="3688"/>
    <d v="2025-09-29T00:00:00"/>
    <s v="High Street"/>
    <s v="Leeds"/>
    <s v="Latte"/>
    <s v="Drink"/>
    <n v="4"/>
    <n v="3.5"/>
    <s v="Cash"/>
    <s v="C1348"/>
    <n v="14"/>
    <s v="Monday"/>
    <s v="September"/>
    <n v="2025"/>
  </r>
  <r>
    <x v="3689"/>
    <d v="2025-09-29T00:00:00"/>
    <s v="Station"/>
    <s v="Bristol"/>
    <s v="Cappuccino"/>
    <s v="Drink"/>
    <n v="3"/>
    <n v="3.8"/>
    <s v="Card"/>
    <s v="C1855"/>
    <n v="11.399999999999999"/>
    <s v="Monday"/>
    <s v="September"/>
    <n v="2025"/>
  </r>
  <r>
    <x v="3690"/>
    <d v="2025-09-29T00:00:00"/>
    <s v="Station"/>
    <s v="Bristol"/>
    <s v="Latte"/>
    <s v="Drink"/>
    <n v="3"/>
    <n v="3.5"/>
    <s v="Apple Pay"/>
    <s v="C1430"/>
    <n v="10.5"/>
    <s v="Monday"/>
    <s v="September"/>
    <n v="2025"/>
  </r>
  <r>
    <x v="3691"/>
    <d v="2025-09-29T00:00:00"/>
    <s v="High Street"/>
    <s v="London"/>
    <s v="Espresso"/>
    <s v="Drink"/>
    <n v="4"/>
    <n v="2.5"/>
    <s v="Cash"/>
    <s v="C1309"/>
    <n v="10"/>
    <s v="Monday"/>
    <s v="September"/>
    <n v="2025"/>
  </r>
  <r>
    <x v="3692"/>
    <d v="2025-09-29T00:00:00"/>
    <s v="Station"/>
    <s v="Leeds"/>
    <s v="Muffin"/>
    <s v="Food"/>
    <n v="4"/>
    <n v="2.2000000000000002"/>
    <s v="Apple Pay"/>
    <s v="C1716"/>
    <n v="8.8000000000000007"/>
    <s v="Monday"/>
    <s v="September"/>
    <n v="2025"/>
  </r>
  <r>
    <x v="3693"/>
    <d v="2025-09-29T00:00:00"/>
    <s v="High Street"/>
    <s v="Manchester"/>
    <s v="Muffin"/>
    <s v="Food"/>
    <n v="4"/>
    <n v="2.2000000000000002"/>
    <s v="Card"/>
    <s v="C1584"/>
    <n v="8.8000000000000007"/>
    <s v="Monday"/>
    <s v="September"/>
    <n v="2025"/>
  </r>
  <r>
    <x v="3694"/>
    <d v="2025-09-29T00:00:00"/>
    <s v="Central"/>
    <s v="Birmingham"/>
    <s v="Croissant"/>
    <s v="Food"/>
    <n v="3"/>
    <n v="2.8"/>
    <s v="Card"/>
    <s v="C1119"/>
    <n v="8.3999999999999986"/>
    <s v="Monday"/>
    <s v="September"/>
    <n v="2025"/>
  </r>
  <r>
    <x v="3695"/>
    <d v="2025-09-29T00:00:00"/>
    <s v="Riverside"/>
    <s v="Birmingham"/>
    <s v="Cappuccino"/>
    <s v="Drink"/>
    <n v="2"/>
    <n v="3.8"/>
    <s v="Apple Pay"/>
    <s v="C1537"/>
    <n v="7.6"/>
    <s v="Monday"/>
    <s v="September"/>
    <n v="2025"/>
  </r>
  <r>
    <x v="3696"/>
    <d v="2025-09-29T00:00:00"/>
    <s v="Station"/>
    <s v="London"/>
    <s v="Cappuccino"/>
    <s v="Drink"/>
    <n v="2"/>
    <n v="3.8"/>
    <s v="Card"/>
    <s v="C1785"/>
    <n v="7.6"/>
    <s v="Monday"/>
    <s v="September"/>
    <n v="2025"/>
  </r>
  <r>
    <x v="3697"/>
    <d v="2025-09-29T00:00:00"/>
    <s v="High Street"/>
    <s v="London"/>
    <s v="Espresso"/>
    <s v="Drink"/>
    <n v="3"/>
    <n v="2.5"/>
    <s v="Apple Pay"/>
    <s v="C1648"/>
    <n v="7.5"/>
    <s v="Monday"/>
    <s v="September"/>
    <n v="2025"/>
  </r>
  <r>
    <x v="3698"/>
    <d v="2025-09-29T00:00:00"/>
    <s v="Station"/>
    <s v="Bristol"/>
    <s v="Latte"/>
    <s v="Drink"/>
    <n v="2"/>
    <n v="3.5"/>
    <s v="Cash"/>
    <s v="C1401"/>
    <n v="7"/>
    <s v="Monday"/>
    <s v="September"/>
    <n v="2025"/>
  </r>
  <r>
    <x v="3699"/>
    <d v="2025-09-29T00:00:00"/>
    <s v="Station"/>
    <s v="Manchester"/>
    <s v="Espresso"/>
    <s v="Drink"/>
    <n v="2"/>
    <n v="2.5"/>
    <s v="Card"/>
    <s v="C1498"/>
    <n v="5"/>
    <s v="Monday"/>
    <s v="September"/>
    <n v="2025"/>
  </r>
  <r>
    <x v="3700"/>
    <d v="2025-09-29T00:00:00"/>
    <s v="Central"/>
    <s v="London"/>
    <s v="Cappuccino"/>
    <s v="Drink"/>
    <n v="1"/>
    <n v="3.8"/>
    <s v="Cash"/>
    <s v="C1667"/>
    <n v="3.8"/>
    <s v="Monday"/>
    <s v="September"/>
    <n v="2025"/>
  </r>
  <r>
    <x v="3701"/>
    <d v="2025-09-29T00:00:00"/>
    <s v="Riverside"/>
    <s v="Birmingham"/>
    <s v="Espresso"/>
    <s v="Drink"/>
    <n v="1"/>
    <n v="2.5"/>
    <s v="Cash"/>
    <s v="C1934"/>
    <n v="2.5"/>
    <s v="Monday"/>
    <s v="September"/>
    <n v="2025"/>
  </r>
  <r>
    <x v="3702"/>
    <d v="2025-09-29T00:00:00"/>
    <s v="Riverside"/>
    <s v="Manchester"/>
    <s v="Espresso"/>
    <s v="Drink"/>
    <n v="1"/>
    <n v="2.5"/>
    <s v="Cash"/>
    <s v="C1591"/>
    <n v="2.5"/>
    <s v="Monday"/>
    <s v="September"/>
    <n v="2025"/>
  </r>
  <r>
    <x v="3703"/>
    <d v="2025-09-29T00:00:00"/>
    <s v="Riverside"/>
    <s v="Birmingham"/>
    <s v="Muffin"/>
    <s v="Food"/>
    <n v="1"/>
    <n v="2.2000000000000002"/>
    <s v="Card"/>
    <s v="C1171"/>
    <n v="2.2000000000000002"/>
    <s v="Monday"/>
    <s v="September"/>
    <n v="2025"/>
  </r>
  <r>
    <x v="3704"/>
    <d v="2025-09-29T00:00:00"/>
    <s v="Riverside"/>
    <s v="Leeds"/>
    <s v="Muffin"/>
    <s v="Food"/>
    <n v="1"/>
    <n v="2.2000000000000002"/>
    <s v="Cash"/>
    <s v="C1741"/>
    <n v="2.2000000000000002"/>
    <s v="Monday"/>
    <s v="September"/>
    <n v="2025"/>
  </r>
  <r>
    <x v="3705"/>
    <d v="2025-09-30T00:00:00"/>
    <s v="Central"/>
    <s v="Bristol"/>
    <s v="Cappuccino"/>
    <s v="Drink"/>
    <n v="5"/>
    <n v="3.8"/>
    <s v="Cash"/>
    <s v="C1616"/>
    <n v="19"/>
    <s v="Tuesday"/>
    <s v="September"/>
    <n v="2025"/>
  </r>
  <r>
    <x v="3706"/>
    <d v="2025-09-30T00:00:00"/>
    <s v="Central"/>
    <s v="Manchester"/>
    <s v="Cappuccino"/>
    <s v="Drink"/>
    <n v="5"/>
    <n v="3.8"/>
    <s v="Card"/>
    <s v="C1076"/>
    <n v="19"/>
    <s v="Tuesday"/>
    <s v="September"/>
    <n v="2025"/>
  </r>
  <r>
    <x v="3707"/>
    <d v="2025-09-30T00:00:00"/>
    <s v="Station"/>
    <s v="Leeds"/>
    <s v="Croissant"/>
    <s v="Food"/>
    <n v="4"/>
    <n v="2.8"/>
    <s v="Apple Pay"/>
    <s v="C1595"/>
    <n v="11.2"/>
    <s v="Tuesday"/>
    <s v="September"/>
    <n v="2025"/>
  </r>
  <r>
    <x v="3708"/>
    <d v="2025-09-30T00:00:00"/>
    <s v="Central"/>
    <s v="Birmingham"/>
    <s v="Latte"/>
    <s v="Drink"/>
    <n v="3"/>
    <n v="3.5"/>
    <s v="Cash"/>
    <s v="C1452"/>
    <n v="10.5"/>
    <s v="Tuesday"/>
    <s v="September"/>
    <n v="2025"/>
  </r>
  <r>
    <x v="3709"/>
    <d v="2025-09-30T00:00:00"/>
    <s v="Station"/>
    <s v="Birmingham"/>
    <s v="Latte"/>
    <s v="Drink"/>
    <n v="3"/>
    <n v="3.5"/>
    <s v="Apple Pay"/>
    <s v="C1551"/>
    <n v="10.5"/>
    <s v="Tuesday"/>
    <s v="September"/>
    <n v="2025"/>
  </r>
  <r>
    <x v="3710"/>
    <d v="2025-09-30T00:00:00"/>
    <s v="High Street"/>
    <s v="London"/>
    <s v="Latte"/>
    <s v="Drink"/>
    <n v="2"/>
    <n v="3.5"/>
    <s v="Apple Pay"/>
    <s v="C1398"/>
    <n v="7"/>
    <s v="Tuesday"/>
    <s v="September"/>
    <n v="2025"/>
  </r>
  <r>
    <x v="3711"/>
    <d v="2025-09-30T00:00:00"/>
    <s v="High Street"/>
    <s v="London"/>
    <s v="Latte"/>
    <s v="Drink"/>
    <n v="2"/>
    <n v="3.5"/>
    <s v="Apple Pay"/>
    <s v="C1501"/>
    <n v="7"/>
    <s v="Tuesday"/>
    <s v="September"/>
    <n v="2025"/>
  </r>
  <r>
    <x v="3712"/>
    <d v="2025-09-30T00:00:00"/>
    <s v="Station"/>
    <s v="Bristol"/>
    <s v="Espresso"/>
    <s v="Drink"/>
    <n v="2"/>
    <n v="2.5"/>
    <s v="Card"/>
    <s v="C1578"/>
    <n v="5"/>
    <s v="Tuesday"/>
    <s v="September"/>
    <n v="2025"/>
  </r>
  <r>
    <x v="3713"/>
    <d v="2025-09-30T00:00:00"/>
    <s v="Station"/>
    <s v="Leeds"/>
    <s v="Espresso"/>
    <s v="Drink"/>
    <n v="1"/>
    <n v="2.5"/>
    <s v="Cash"/>
    <s v="C1556"/>
    <n v="2.5"/>
    <s v="Tuesday"/>
    <s v="September"/>
    <n v="2025"/>
  </r>
  <r>
    <x v="3714"/>
    <d v="2025-10-01T00:00:00"/>
    <s v="Station"/>
    <s v="Birmingham"/>
    <s v="Cappuccino"/>
    <s v="Drink"/>
    <n v="4"/>
    <n v="3.8"/>
    <s v="Cash"/>
    <s v="C1596"/>
    <n v="15.2"/>
    <s v="Wednesday"/>
    <s v="October"/>
    <n v="2025"/>
  </r>
  <r>
    <x v="3715"/>
    <d v="2025-10-01T00:00:00"/>
    <s v="Central"/>
    <s v="Manchester"/>
    <s v="Croissant"/>
    <s v="Food"/>
    <n v="5"/>
    <n v="2.8"/>
    <s v="Cash"/>
    <s v="C1766"/>
    <n v="14"/>
    <s v="Wednesday"/>
    <s v="October"/>
    <n v="2025"/>
  </r>
  <r>
    <x v="3716"/>
    <d v="2025-10-01T00:00:00"/>
    <s v="Central"/>
    <s v="Manchester"/>
    <s v="Latte"/>
    <s v="Drink"/>
    <n v="4"/>
    <n v="3.5"/>
    <s v="Apple Pay"/>
    <s v="C1198"/>
    <n v="14"/>
    <s v="Wednesday"/>
    <s v="October"/>
    <n v="2025"/>
  </r>
  <r>
    <x v="3717"/>
    <d v="2025-10-01T00:00:00"/>
    <s v="Riverside"/>
    <s v="Manchester"/>
    <s v="Muffin"/>
    <s v="Food"/>
    <n v="5"/>
    <n v="2.2000000000000002"/>
    <s v="Cash"/>
    <s v="C1529"/>
    <n v="11"/>
    <s v="Wednesday"/>
    <s v="October"/>
    <n v="2025"/>
  </r>
  <r>
    <x v="3718"/>
    <d v="2025-10-01T00:00:00"/>
    <s v="Riverside"/>
    <s v="Manchester"/>
    <s v="Muffin"/>
    <s v="Food"/>
    <n v="5"/>
    <n v="2.2000000000000002"/>
    <s v="Cash"/>
    <s v="C1846"/>
    <n v="11"/>
    <s v="Wednesday"/>
    <s v="October"/>
    <n v="2025"/>
  </r>
  <r>
    <x v="3719"/>
    <d v="2025-10-01T00:00:00"/>
    <s v="High Street"/>
    <s v="Manchester"/>
    <s v="Latte"/>
    <s v="Drink"/>
    <n v="3"/>
    <n v="3.5"/>
    <s v="Card"/>
    <s v="C1897"/>
    <n v="10.5"/>
    <s v="Wednesday"/>
    <s v="October"/>
    <n v="2025"/>
  </r>
  <r>
    <x v="3720"/>
    <d v="2025-10-01T00:00:00"/>
    <s v="Riverside"/>
    <s v="Bristol"/>
    <s v="Latte"/>
    <s v="Drink"/>
    <n v="3"/>
    <n v="3.5"/>
    <s v="Apple Pay"/>
    <s v="C1538"/>
    <n v="10.5"/>
    <s v="Wednesday"/>
    <s v="October"/>
    <n v="2025"/>
  </r>
  <r>
    <x v="3721"/>
    <d v="2025-10-01T00:00:00"/>
    <s v="Central"/>
    <s v="Manchester"/>
    <s v="Espresso"/>
    <s v="Drink"/>
    <n v="4"/>
    <n v="2.5"/>
    <s v="Cash"/>
    <s v="C1697"/>
    <n v="10"/>
    <s v="Wednesday"/>
    <s v="October"/>
    <n v="2025"/>
  </r>
  <r>
    <x v="3722"/>
    <d v="2025-10-01T00:00:00"/>
    <s v="Riverside"/>
    <s v="Leeds"/>
    <s v="Cappuccino"/>
    <s v="Drink"/>
    <n v="2"/>
    <n v="3.8"/>
    <s v="Card"/>
    <s v="C1494"/>
    <n v="7.6"/>
    <s v="Wednesday"/>
    <s v="October"/>
    <n v="2025"/>
  </r>
  <r>
    <x v="3723"/>
    <d v="2025-10-01T00:00:00"/>
    <s v="Station"/>
    <s v="Birmingham"/>
    <s v="Latte"/>
    <s v="Drink"/>
    <n v="2"/>
    <n v="3.5"/>
    <s v="Cash"/>
    <s v="C1234"/>
    <n v="7"/>
    <s v="Wednesday"/>
    <s v="October"/>
    <n v="2025"/>
  </r>
  <r>
    <x v="3724"/>
    <d v="2025-10-01T00:00:00"/>
    <s v="Central"/>
    <s v="Manchester"/>
    <s v="Muffin"/>
    <s v="Food"/>
    <n v="3"/>
    <n v="2.2000000000000002"/>
    <s v="Cash"/>
    <s v="C1725"/>
    <n v="6.6000000000000005"/>
    <s v="Wednesday"/>
    <s v="October"/>
    <n v="2025"/>
  </r>
  <r>
    <x v="3725"/>
    <d v="2025-10-01T00:00:00"/>
    <s v="Riverside"/>
    <s v="Bristol"/>
    <s v="Muffin"/>
    <s v="Food"/>
    <n v="3"/>
    <n v="2.2000000000000002"/>
    <s v="Cash"/>
    <s v="C1517"/>
    <n v="6.6000000000000005"/>
    <s v="Wednesday"/>
    <s v="October"/>
    <n v="2025"/>
  </r>
  <r>
    <x v="3726"/>
    <d v="2025-10-01T00:00:00"/>
    <s v="High Street"/>
    <s v="Bristol"/>
    <s v="Espresso"/>
    <s v="Drink"/>
    <n v="2"/>
    <n v="2.5"/>
    <s v="Card"/>
    <s v="C1734"/>
    <n v="5"/>
    <s v="Wednesday"/>
    <s v="October"/>
    <n v="2025"/>
  </r>
  <r>
    <x v="3727"/>
    <d v="2025-10-01T00:00:00"/>
    <s v="High Street"/>
    <s v="Leeds"/>
    <s v="Latte"/>
    <s v="Drink"/>
    <n v="1"/>
    <n v="3.5"/>
    <s v="Apple Pay"/>
    <s v="C1430"/>
    <n v="3.5"/>
    <s v="Wednesday"/>
    <s v="October"/>
    <n v="2025"/>
  </r>
  <r>
    <x v="3728"/>
    <d v="2025-10-01T00:00:00"/>
    <s v="Riverside"/>
    <s v="Manchester"/>
    <s v="Latte"/>
    <s v="Drink"/>
    <n v="1"/>
    <n v="3.5"/>
    <s v="Apple Pay"/>
    <s v="C1712"/>
    <n v="3.5"/>
    <s v="Wednesday"/>
    <s v="October"/>
    <n v="2025"/>
  </r>
  <r>
    <x v="3729"/>
    <d v="2025-10-02T00:00:00"/>
    <s v="Central"/>
    <s v="Bristol"/>
    <s v="Croissant"/>
    <s v="Food"/>
    <n v="5"/>
    <n v="2.8"/>
    <s v="Card"/>
    <s v="C1050"/>
    <n v="14"/>
    <s v="Thursday"/>
    <s v="October"/>
    <n v="2025"/>
  </r>
  <r>
    <x v="3730"/>
    <d v="2025-10-02T00:00:00"/>
    <s v="Station"/>
    <s v="London"/>
    <s v="Latte"/>
    <s v="Drink"/>
    <n v="4"/>
    <n v="3.5"/>
    <s v="Apple Pay"/>
    <s v="C1382"/>
    <n v="14"/>
    <s v="Thursday"/>
    <s v="October"/>
    <n v="2025"/>
  </r>
  <r>
    <x v="3731"/>
    <d v="2025-10-02T00:00:00"/>
    <s v="Station"/>
    <s v="London"/>
    <s v="Cappuccino"/>
    <s v="Drink"/>
    <n v="3"/>
    <n v="3.8"/>
    <s v="Card"/>
    <s v="C1959"/>
    <n v="11.399999999999999"/>
    <s v="Thursday"/>
    <s v="October"/>
    <n v="2025"/>
  </r>
  <r>
    <x v="3732"/>
    <d v="2025-10-02T00:00:00"/>
    <s v="High Street"/>
    <s v="Manchester"/>
    <s v="Espresso"/>
    <s v="Drink"/>
    <n v="4"/>
    <n v="2.5"/>
    <s v="Cash"/>
    <s v="C1868"/>
    <n v="10"/>
    <s v="Thursday"/>
    <s v="October"/>
    <n v="2025"/>
  </r>
  <r>
    <x v="3733"/>
    <d v="2025-10-02T00:00:00"/>
    <s v="Station"/>
    <s v="Manchester"/>
    <s v="Espresso"/>
    <s v="Drink"/>
    <n v="4"/>
    <n v="2.5"/>
    <s v="Cash"/>
    <s v="C1848"/>
    <n v="10"/>
    <s v="Thursday"/>
    <s v="October"/>
    <n v="2025"/>
  </r>
  <r>
    <x v="3734"/>
    <d v="2025-10-02T00:00:00"/>
    <s v="High Street"/>
    <s v="Manchester"/>
    <s v="Muffin"/>
    <s v="Food"/>
    <n v="4"/>
    <n v="2.2000000000000002"/>
    <s v="Apple Pay"/>
    <s v="C1051"/>
    <n v="8.8000000000000007"/>
    <s v="Thursday"/>
    <s v="October"/>
    <n v="2025"/>
  </r>
  <r>
    <x v="3735"/>
    <d v="2025-10-02T00:00:00"/>
    <s v="Central"/>
    <s v="Birmingham"/>
    <s v="Croissant"/>
    <s v="Food"/>
    <n v="3"/>
    <n v="2.8"/>
    <s v="Cash"/>
    <s v="C1572"/>
    <n v="8.3999999999999986"/>
    <s v="Thursday"/>
    <s v="October"/>
    <n v="2025"/>
  </r>
  <r>
    <x v="3736"/>
    <d v="2025-10-02T00:00:00"/>
    <s v="Central"/>
    <s v="Leeds"/>
    <s v="Espresso"/>
    <s v="Drink"/>
    <n v="1"/>
    <n v="2.5"/>
    <s v="Cash"/>
    <s v="C1395"/>
    <n v="2.5"/>
    <s v="Thursday"/>
    <s v="October"/>
    <n v="2025"/>
  </r>
  <r>
    <x v="3737"/>
    <d v="2025-10-02T00:00:00"/>
    <s v="Station"/>
    <s v="Manchester"/>
    <s v="Espresso"/>
    <s v="Drink"/>
    <n v="1"/>
    <n v="2.5"/>
    <s v="Cash"/>
    <s v="C1252"/>
    <n v="2.5"/>
    <s v="Thursday"/>
    <s v="October"/>
    <n v="2025"/>
  </r>
  <r>
    <x v="3738"/>
    <d v="2025-10-02T00:00:00"/>
    <s v="Riverside"/>
    <s v="London"/>
    <s v="Muffin"/>
    <s v="Food"/>
    <n v="1"/>
    <n v="2.2000000000000002"/>
    <s v="Card"/>
    <s v="C1023"/>
    <n v="2.2000000000000002"/>
    <s v="Thursday"/>
    <s v="October"/>
    <n v="2025"/>
  </r>
  <r>
    <x v="3739"/>
    <d v="2025-10-03T00:00:00"/>
    <s v="Central"/>
    <s v="Leeds"/>
    <s v="Espresso"/>
    <s v="Drink"/>
    <n v="3"/>
    <n v="2.5"/>
    <s v="Apple Pay"/>
    <s v="C1642"/>
    <n v="7.5"/>
    <s v="Friday"/>
    <s v="October"/>
    <n v="2025"/>
  </r>
  <r>
    <x v="3740"/>
    <d v="2025-10-03T00:00:00"/>
    <s v="High Street"/>
    <s v="London"/>
    <s v="Latte"/>
    <s v="Drink"/>
    <n v="2"/>
    <n v="3.5"/>
    <s v="Cash"/>
    <s v="C1007"/>
    <n v="7"/>
    <s v="Friday"/>
    <s v="October"/>
    <n v="2025"/>
  </r>
  <r>
    <x v="3741"/>
    <d v="2025-10-03T00:00:00"/>
    <s v="High Street"/>
    <s v="Manchester"/>
    <s v="Muffin"/>
    <s v="Food"/>
    <n v="3"/>
    <n v="2.2000000000000002"/>
    <s v="Apple Pay"/>
    <s v="C1094"/>
    <n v="6.6000000000000005"/>
    <s v="Friday"/>
    <s v="October"/>
    <n v="2025"/>
  </r>
  <r>
    <x v="3742"/>
    <d v="2025-10-03T00:00:00"/>
    <s v="Central"/>
    <s v="Manchester"/>
    <s v="Espresso"/>
    <s v="Drink"/>
    <n v="2"/>
    <n v="2.5"/>
    <s v="Card"/>
    <s v="C1466"/>
    <n v="5"/>
    <s v="Friday"/>
    <s v="October"/>
    <n v="2025"/>
  </r>
  <r>
    <x v="3743"/>
    <d v="2025-10-03T00:00:00"/>
    <s v="Central"/>
    <s v="Manchester"/>
    <s v="Cappuccino"/>
    <s v="Drink"/>
    <n v="1"/>
    <n v="3.8"/>
    <s v="Apple Pay"/>
    <s v="C1341"/>
    <n v="3.8"/>
    <s v="Friday"/>
    <s v="October"/>
    <n v="2025"/>
  </r>
  <r>
    <x v="3744"/>
    <d v="2025-10-03T00:00:00"/>
    <s v="Central"/>
    <s v="London"/>
    <s v="Latte"/>
    <s v="Drink"/>
    <n v="1"/>
    <n v="3.5"/>
    <s v="Cash"/>
    <s v="C1859"/>
    <n v="3.5"/>
    <s v="Friday"/>
    <s v="October"/>
    <n v="2025"/>
  </r>
  <r>
    <x v="3745"/>
    <d v="2025-10-04T00:00:00"/>
    <s v="Central"/>
    <s v="Leeds"/>
    <s v="Cappuccino"/>
    <s v="Drink"/>
    <n v="3"/>
    <n v="3.8"/>
    <s v="Cash"/>
    <s v="C1478"/>
    <n v="11.399999999999999"/>
    <s v="Saturday"/>
    <s v="October"/>
    <n v="2025"/>
  </r>
  <r>
    <x v="3746"/>
    <d v="2025-10-04T00:00:00"/>
    <s v="Central"/>
    <s v="Leeds"/>
    <s v="Cappuccino"/>
    <s v="Drink"/>
    <n v="3"/>
    <n v="3.8"/>
    <s v="Cash"/>
    <s v="C1241"/>
    <n v="11.399999999999999"/>
    <s v="Saturday"/>
    <s v="October"/>
    <n v="2025"/>
  </r>
  <r>
    <x v="3747"/>
    <d v="2025-10-04T00:00:00"/>
    <s v="Central"/>
    <s v="London"/>
    <s v="Latte"/>
    <s v="Drink"/>
    <n v="3"/>
    <n v="3.5"/>
    <s v="Apple Pay"/>
    <s v="C1470"/>
    <n v="10.5"/>
    <s v="Saturday"/>
    <s v="October"/>
    <n v="2025"/>
  </r>
  <r>
    <x v="3748"/>
    <d v="2025-10-04T00:00:00"/>
    <s v="Riverside"/>
    <s v="Leeds"/>
    <s v="Espresso"/>
    <s v="Drink"/>
    <n v="4"/>
    <n v="2.5"/>
    <s v="Cash"/>
    <s v="C1782"/>
    <n v="10"/>
    <s v="Saturday"/>
    <s v="October"/>
    <n v="2025"/>
  </r>
  <r>
    <x v="3749"/>
    <d v="2025-10-04T00:00:00"/>
    <s v="Central"/>
    <s v="Bristol"/>
    <s v="Espresso"/>
    <s v="Drink"/>
    <n v="4"/>
    <n v="2.5"/>
    <s v="Cash"/>
    <s v="C1631"/>
    <n v="10"/>
    <s v="Saturday"/>
    <s v="October"/>
    <n v="2025"/>
  </r>
  <r>
    <x v="3750"/>
    <d v="2025-10-04T00:00:00"/>
    <s v="Central"/>
    <s v="London"/>
    <s v="Croissant"/>
    <s v="Food"/>
    <n v="3"/>
    <n v="2.8"/>
    <s v="Apple Pay"/>
    <s v="C1209"/>
    <n v="8.3999999999999986"/>
    <s v="Saturday"/>
    <s v="October"/>
    <n v="2025"/>
  </r>
  <r>
    <x v="3751"/>
    <d v="2025-10-04T00:00:00"/>
    <s v="Station"/>
    <s v="Leeds"/>
    <s v="Croissant"/>
    <s v="Food"/>
    <n v="3"/>
    <n v="2.8"/>
    <s v="Cash"/>
    <s v="C1208"/>
    <n v="8.3999999999999986"/>
    <s v="Saturday"/>
    <s v="October"/>
    <n v="2025"/>
  </r>
  <r>
    <x v="3752"/>
    <d v="2025-10-04T00:00:00"/>
    <s v="High Street"/>
    <s v="Manchester"/>
    <s v="Muffin"/>
    <s v="Food"/>
    <n v="3"/>
    <n v="2.2000000000000002"/>
    <s v="Apple Pay"/>
    <s v="C1032"/>
    <n v="6.6000000000000005"/>
    <s v="Saturday"/>
    <s v="October"/>
    <n v="2025"/>
  </r>
  <r>
    <x v="3753"/>
    <d v="2025-10-04T00:00:00"/>
    <s v="Station"/>
    <s v="Leeds"/>
    <s v="Croissant"/>
    <s v="Food"/>
    <n v="2"/>
    <n v="2.8"/>
    <s v="Apple Pay"/>
    <s v="C1206"/>
    <n v="5.6"/>
    <s v="Saturday"/>
    <s v="October"/>
    <n v="2025"/>
  </r>
  <r>
    <x v="3754"/>
    <d v="2025-10-04T00:00:00"/>
    <s v="Riverside"/>
    <s v="Manchester"/>
    <s v="Cappuccino"/>
    <s v="Drink"/>
    <n v="1"/>
    <n v="3.8"/>
    <s v="Cash"/>
    <s v="C1380"/>
    <n v="3.8"/>
    <s v="Saturday"/>
    <s v="October"/>
    <n v="2025"/>
  </r>
  <r>
    <x v="3755"/>
    <d v="2025-10-04T00:00:00"/>
    <s v="High Street"/>
    <s v="Manchester"/>
    <s v="Croissant"/>
    <s v="Food"/>
    <n v="1"/>
    <n v="2.8"/>
    <s v="Card"/>
    <s v="C1888"/>
    <n v="2.8"/>
    <s v="Saturday"/>
    <s v="October"/>
    <n v="2025"/>
  </r>
  <r>
    <x v="3756"/>
    <d v="2025-10-05T00:00:00"/>
    <s v="High Street"/>
    <s v="Leeds"/>
    <s v="Latte"/>
    <s v="Drink"/>
    <n v="5"/>
    <n v="3.5"/>
    <s v="Card"/>
    <s v="C1873"/>
    <n v="17.5"/>
    <s v="Sunday"/>
    <s v="October"/>
    <n v="2025"/>
  </r>
  <r>
    <x v="3757"/>
    <d v="2025-10-05T00:00:00"/>
    <s v="High Street"/>
    <s v="Leeds"/>
    <s v="Cappuccino"/>
    <s v="Drink"/>
    <n v="4"/>
    <n v="3.8"/>
    <s v="Cash"/>
    <s v="C1625"/>
    <n v="15.2"/>
    <s v="Sunday"/>
    <s v="October"/>
    <n v="2025"/>
  </r>
  <r>
    <x v="3758"/>
    <d v="2025-10-05T00:00:00"/>
    <s v="High Street"/>
    <s v="London"/>
    <s v="Cappuccino"/>
    <s v="Drink"/>
    <n v="3"/>
    <n v="3.8"/>
    <s v="Apple Pay"/>
    <s v="C1423"/>
    <n v="11.399999999999999"/>
    <s v="Sunday"/>
    <s v="October"/>
    <n v="2025"/>
  </r>
  <r>
    <x v="3759"/>
    <d v="2025-10-05T00:00:00"/>
    <s v="Central"/>
    <s v="Manchester"/>
    <s v="Latte"/>
    <s v="Drink"/>
    <n v="3"/>
    <n v="3.8"/>
    <s v="Card"/>
    <s v="C1489"/>
    <n v="11.399999999999999"/>
    <s v="Sunday"/>
    <s v="October"/>
    <n v="2025"/>
  </r>
  <r>
    <x v="3760"/>
    <d v="2025-10-05T00:00:00"/>
    <s v="Riverside"/>
    <s v="Birmingham"/>
    <s v="Muffin"/>
    <s v="Food"/>
    <n v="5"/>
    <n v="2.2000000000000002"/>
    <s v="Cash"/>
    <s v="C1464"/>
    <n v="11"/>
    <s v="Sunday"/>
    <s v="October"/>
    <n v="2025"/>
  </r>
  <r>
    <x v="3761"/>
    <d v="2025-10-05T00:00:00"/>
    <s v="Central"/>
    <s v="Leeds"/>
    <s v="Muffin"/>
    <s v="Food"/>
    <n v="5"/>
    <n v="2.2000000000000002"/>
    <s v="Apple Pay"/>
    <s v="C1780"/>
    <n v="11"/>
    <s v="Sunday"/>
    <s v="October"/>
    <n v="2025"/>
  </r>
  <r>
    <x v="3762"/>
    <d v="2025-10-05T00:00:00"/>
    <s v="Riverside"/>
    <s v="Leeds"/>
    <s v="Latte"/>
    <s v="Drink"/>
    <n v="3"/>
    <n v="3.5"/>
    <s v="Card"/>
    <s v="C1205"/>
    <n v="10.5"/>
    <s v="Sunday"/>
    <s v="October"/>
    <n v="2025"/>
  </r>
  <r>
    <x v="3763"/>
    <d v="2025-10-05T00:00:00"/>
    <s v="High Street"/>
    <s v="Leeds"/>
    <s v="Muffin"/>
    <s v="Food"/>
    <n v="4"/>
    <n v="2.2000000000000002"/>
    <s v="Card"/>
    <s v="C1608"/>
    <n v="8.8000000000000007"/>
    <s v="Sunday"/>
    <s v="October"/>
    <n v="2025"/>
  </r>
  <r>
    <x v="3764"/>
    <d v="2025-10-05T00:00:00"/>
    <s v="Station"/>
    <s v="London"/>
    <s v="Espresso"/>
    <s v="Drink"/>
    <n v="3"/>
    <n v="2.5"/>
    <s v="Apple Pay"/>
    <s v="C1834"/>
    <n v="7.5"/>
    <s v="Sunday"/>
    <s v="October"/>
    <n v="2025"/>
  </r>
  <r>
    <x v="3765"/>
    <d v="2025-10-05T00:00:00"/>
    <s v="Station"/>
    <s v="London"/>
    <s v="Latte"/>
    <s v="Drink"/>
    <n v="2"/>
    <n v="3.5"/>
    <s v="Apple Pay"/>
    <s v="C1974"/>
    <n v="7"/>
    <s v="Sunday"/>
    <s v="October"/>
    <n v="2025"/>
  </r>
  <r>
    <x v="3766"/>
    <d v="2025-10-05T00:00:00"/>
    <s v="Central"/>
    <s v="Birmingham"/>
    <s v="Latte"/>
    <s v="Drink"/>
    <n v="1"/>
    <n v="3.5"/>
    <s v="Card"/>
    <s v="C1761"/>
    <n v="3.5"/>
    <s v="Sunday"/>
    <s v="October"/>
    <n v="2025"/>
  </r>
  <r>
    <x v="3767"/>
    <d v="2025-10-05T00:00:00"/>
    <s v="Riverside"/>
    <s v="Birmingham"/>
    <s v="Latte"/>
    <s v="Drink"/>
    <n v="1"/>
    <n v="3.5"/>
    <s v="Card"/>
    <s v="C1465"/>
    <n v="3.5"/>
    <s v="Sunday"/>
    <s v="October"/>
    <n v="2025"/>
  </r>
  <r>
    <x v="3768"/>
    <d v="2025-10-05T00:00:00"/>
    <s v="High Street"/>
    <s v="Leeds"/>
    <s v="Latte"/>
    <s v="Drink"/>
    <n v="1"/>
    <n v="3.5"/>
    <s v="Card"/>
    <s v="C1810"/>
    <n v="3.5"/>
    <s v="Sunday"/>
    <s v="October"/>
    <n v="2025"/>
  </r>
  <r>
    <x v="3769"/>
    <d v="2025-10-05T00:00:00"/>
    <s v="Riverside"/>
    <s v="Leeds"/>
    <s v="Espresso"/>
    <s v="Drink"/>
    <n v="1"/>
    <n v="2.5"/>
    <s v="Card"/>
    <s v="C1853"/>
    <n v="2.5"/>
    <s v="Sunday"/>
    <s v="October"/>
    <n v="2025"/>
  </r>
  <r>
    <x v="3770"/>
    <d v="2025-10-06T00:00:00"/>
    <s v="Riverside"/>
    <s v="Bristol"/>
    <s v="Cappuccino"/>
    <s v="Drink"/>
    <n v="5"/>
    <n v="3.8"/>
    <s v="Apple Pay"/>
    <s v="C1113"/>
    <n v="19"/>
    <s v="Monday"/>
    <s v="October"/>
    <n v="2025"/>
  </r>
  <r>
    <x v="3771"/>
    <d v="2025-10-06T00:00:00"/>
    <s v="Station"/>
    <s v="Birmingham"/>
    <s v="Latte"/>
    <s v="Drink"/>
    <n v="3"/>
    <n v="3.5"/>
    <s v="Cash"/>
    <s v="C1252"/>
    <n v="10.5"/>
    <s v="Monday"/>
    <s v="October"/>
    <n v="2025"/>
  </r>
  <r>
    <x v="3772"/>
    <d v="2025-10-06T00:00:00"/>
    <s v="Riverside"/>
    <s v="Manchester"/>
    <s v="Espresso"/>
    <s v="Drink"/>
    <n v="4"/>
    <n v="2.5"/>
    <s v="Cash"/>
    <s v="C1024"/>
    <n v="10"/>
    <s v="Monday"/>
    <s v="October"/>
    <n v="2025"/>
  </r>
  <r>
    <x v="3773"/>
    <d v="2025-10-06T00:00:00"/>
    <s v="Riverside"/>
    <s v="London"/>
    <s v="Cappuccino"/>
    <s v="Drink"/>
    <n v="2"/>
    <n v="3.8"/>
    <s v="Apple Pay"/>
    <s v="C1148"/>
    <n v="7.6"/>
    <s v="Monday"/>
    <s v="October"/>
    <n v="2025"/>
  </r>
  <r>
    <x v="3774"/>
    <d v="2025-10-06T00:00:00"/>
    <s v="Riverside"/>
    <s v="Leeds"/>
    <s v="Espresso"/>
    <s v="Drink"/>
    <n v="3"/>
    <n v="2.5"/>
    <s v="Cash"/>
    <s v="C1902"/>
    <n v="7.5"/>
    <s v="Monday"/>
    <s v="October"/>
    <n v="2025"/>
  </r>
  <r>
    <x v="3775"/>
    <d v="2025-10-06T00:00:00"/>
    <s v="Station"/>
    <s v="London"/>
    <s v="Latte"/>
    <s v="Drink"/>
    <n v="2"/>
    <n v="3.5"/>
    <s v="Cash"/>
    <s v="C1710"/>
    <n v="7"/>
    <s v="Monday"/>
    <s v="October"/>
    <n v="2025"/>
  </r>
  <r>
    <x v="3776"/>
    <d v="2025-10-06T00:00:00"/>
    <s v="Station"/>
    <s v="Manchester"/>
    <s v="Espresso"/>
    <s v="Drink"/>
    <n v="2"/>
    <n v="2.5"/>
    <s v="Card"/>
    <s v="C1462"/>
    <n v="5"/>
    <s v="Monday"/>
    <s v="October"/>
    <n v="2025"/>
  </r>
  <r>
    <x v="3777"/>
    <d v="2025-10-06T00:00:00"/>
    <s v="Riverside"/>
    <s v="Manchester"/>
    <s v="Muffin"/>
    <s v="Food"/>
    <n v="2"/>
    <n v="2.2000000000000002"/>
    <s v="Card"/>
    <s v="C1509"/>
    <n v="4.4000000000000004"/>
    <s v="Monday"/>
    <s v="October"/>
    <n v="2025"/>
  </r>
  <r>
    <x v="3778"/>
    <d v="2025-10-06T00:00:00"/>
    <s v="Station"/>
    <s v="London"/>
    <s v="Cappuccino"/>
    <s v="Drink"/>
    <n v="1"/>
    <n v="3.8"/>
    <s v="Cash"/>
    <s v="C1633"/>
    <n v="3.8"/>
    <s v="Monday"/>
    <s v="October"/>
    <n v="2025"/>
  </r>
  <r>
    <x v="3779"/>
    <d v="2025-10-06T00:00:00"/>
    <s v="Station"/>
    <s v="Bristol"/>
    <s v="Croissant"/>
    <s v="Food"/>
    <n v="1"/>
    <n v="2.8"/>
    <s v="Card"/>
    <s v="C1239"/>
    <n v="2.8"/>
    <s v="Monday"/>
    <s v="October"/>
    <n v="2025"/>
  </r>
  <r>
    <x v="3780"/>
    <d v="2025-10-06T00:00:00"/>
    <s v="Riverside"/>
    <s v="London"/>
    <s v="Muffin"/>
    <s v="Food"/>
    <n v="1"/>
    <n v="2.2000000000000002"/>
    <s v="Apple Pay"/>
    <s v="C1485"/>
    <n v="2.2000000000000002"/>
    <s v="Monday"/>
    <s v="October"/>
    <n v="2025"/>
  </r>
  <r>
    <x v="3781"/>
    <d v="2025-10-06T00:00:00"/>
    <s v="Riverside"/>
    <s v="Bristol"/>
    <s v="Muffin"/>
    <s v="Food"/>
    <n v="1"/>
    <n v="2.2000000000000002"/>
    <s v="Cash"/>
    <s v="C1466"/>
    <n v="2.2000000000000002"/>
    <s v="Monday"/>
    <s v="October"/>
    <n v="2025"/>
  </r>
  <r>
    <x v="3782"/>
    <d v="2025-10-07T00:00:00"/>
    <s v="Central"/>
    <s v="Manchester"/>
    <s v="Cappuccino"/>
    <s v="Drink"/>
    <n v="5"/>
    <n v="3.8"/>
    <s v="Apple Pay"/>
    <s v="C1925"/>
    <n v="19"/>
    <s v="Tuesday"/>
    <s v="October"/>
    <n v="2025"/>
  </r>
  <r>
    <x v="3783"/>
    <d v="2025-10-07T00:00:00"/>
    <s v="Riverside"/>
    <s v="Leeds"/>
    <s v="Latte"/>
    <s v="Drink"/>
    <n v="5"/>
    <n v="3.5"/>
    <s v="Cash"/>
    <s v="C1793"/>
    <n v="17.5"/>
    <s v="Tuesday"/>
    <s v="October"/>
    <n v="2025"/>
  </r>
  <r>
    <x v="3784"/>
    <d v="2025-10-07T00:00:00"/>
    <s v="High Street"/>
    <s v="Bristol"/>
    <s v="Cappuccino"/>
    <s v="Drink"/>
    <n v="4"/>
    <n v="3.8"/>
    <s v="Card"/>
    <s v="C1017"/>
    <n v="15.2"/>
    <s v="Tuesday"/>
    <s v="October"/>
    <n v="2025"/>
  </r>
  <r>
    <x v="3785"/>
    <d v="2025-10-07T00:00:00"/>
    <s v="Riverside"/>
    <s v="Bristol"/>
    <s v="Espresso"/>
    <s v="Drink"/>
    <n v="5"/>
    <n v="2.5"/>
    <s v="Cash"/>
    <s v="C1089"/>
    <n v="12.5"/>
    <s v="Tuesday"/>
    <s v="October"/>
    <n v="2025"/>
  </r>
  <r>
    <x v="3786"/>
    <d v="2025-10-07T00:00:00"/>
    <s v="High Street"/>
    <s v="Bristol"/>
    <s v="Cappuccino"/>
    <s v="Drink"/>
    <n v="3"/>
    <n v="3.8"/>
    <s v="Cash"/>
    <s v="C1082"/>
    <n v="11.399999999999999"/>
    <s v="Tuesday"/>
    <s v="October"/>
    <n v="2025"/>
  </r>
  <r>
    <x v="3787"/>
    <d v="2025-10-07T00:00:00"/>
    <s v="Central"/>
    <s v="Manchester"/>
    <s v="Cappuccino"/>
    <s v="Drink"/>
    <n v="3"/>
    <n v="3.8"/>
    <s v="Cash"/>
    <s v="C1353"/>
    <n v="11.399999999999999"/>
    <s v="Tuesday"/>
    <s v="October"/>
    <n v="2025"/>
  </r>
  <r>
    <x v="3788"/>
    <d v="2025-10-07T00:00:00"/>
    <s v="Station"/>
    <s v="London"/>
    <s v="Latte"/>
    <s v="Drink"/>
    <n v="3"/>
    <n v="3.5"/>
    <s v="Card"/>
    <s v="C1083"/>
    <n v="10.5"/>
    <s v="Tuesday"/>
    <s v="October"/>
    <n v="2025"/>
  </r>
  <r>
    <x v="3789"/>
    <d v="2025-10-07T00:00:00"/>
    <s v="High Street"/>
    <s v="Birmingham"/>
    <s v="Muffin"/>
    <s v="Food"/>
    <n v="4"/>
    <n v="2.2000000000000002"/>
    <s v="Apple Pay"/>
    <s v="C1633"/>
    <n v="8.8000000000000007"/>
    <s v="Tuesday"/>
    <s v="October"/>
    <n v="2025"/>
  </r>
  <r>
    <x v="3790"/>
    <d v="2025-10-07T00:00:00"/>
    <s v="Central"/>
    <s v="London"/>
    <s v="Muffin"/>
    <s v="Food"/>
    <n v="4"/>
    <n v="2.2000000000000002"/>
    <s v="Cash"/>
    <s v="C1792"/>
    <n v="8.8000000000000007"/>
    <s v="Tuesday"/>
    <s v="October"/>
    <n v="2025"/>
  </r>
  <r>
    <x v="3791"/>
    <d v="2025-10-07T00:00:00"/>
    <s v="High Street"/>
    <s v="Leeds"/>
    <s v="Muffin"/>
    <s v="Food"/>
    <n v="4"/>
    <n v="2.2000000000000002"/>
    <s v="Cash"/>
    <s v="C1607"/>
    <n v="8.8000000000000007"/>
    <s v="Tuesday"/>
    <s v="October"/>
    <n v="2025"/>
  </r>
  <r>
    <x v="3792"/>
    <d v="2025-10-07T00:00:00"/>
    <s v="High Street"/>
    <s v="Bristol"/>
    <s v="Croissant"/>
    <s v="Food"/>
    <n v="3"/>
    <n v="2.8"/>
    <s v="Card"/>
    <s v="C1488"/>
    <n v="8.3999999999999986"/>
    <s v="Tuesday"/>
    <s v="October"/>
    <n v="2025"/>
  </r>
  <r>
    <x v="3793"/>
    <d v="2025-10-07T00:00:00"/>
    <s v="Central"/>
    <s v="Manchester"/>
    <s v="Croissant"/>
    <s v="Food"/>
    <n v="3"/>
    <n v="2.8"/>
    <s v="Card"/>
    <s v="C1298"/>
    <n v="8.3999999999999986"/>
    <s v="Tuesday"/>
    <s v="October"/>
    <n v="2025"/>
  </r>
  <r>
    <x v="3794"/>
    <d v="2025-10-07T00:00:00"/>
    <s v="High Street"/>
    <s v="London"/>
    <s v="Cappuccino"/>
    <s v="Drink"/>
    <n v="2"/>
    <n v="3.8"/>
    <s v="Cash"/>
    <s v="C1170"/>
    <n v="7.6"/>
    <s v="Tuesday"/>
    <s v="October"/>
    <n v="2025"/>
  </r>
  <r>
    <x v="3795"/>
    <d v="2025-10-07T00:00:00"/>
    <s v="Station"/>
    <s v="Manchester"/>
    <s v="Cappuccino"/>
    <s v="Drink"/>
    <n v="2"/>
    <n v="3.8"/>
    <s v="Cash"/>
    <s v="C1400"/>
    <n v="7.6"/>
    <s v="Tuesday"/>
    <s v="October"/>
    <n v="2025"/>
  </r>
  <r>
    <x v="3796"/>
    <d v="2025-10-07T00:00:00"/>
    <s v="Station"/>
    <s v="London"/>
    <s v="Muffin"/>
    <s v="Food"/>
    <n v="3"/>
    <n v="2.2000000000000002"/>
    <s v="Cash"/>
    <s v="C1493"/>
    <n v="6.6000000000000005"/>
    <s v="Tuesday"/>
    <s v="October"/>
    <n v="2025"/>
  </r>
  <r>
    <x v="3797"/>
    <d v="2025-10-07T00:00:00"/>
    <s v="Central"/>
    <s v="London"/>
    <s v="Croissant"/>
    <s v="Food"/>
    <n v="2"/>
    <n v="2.8"/>
    <s v="Cash"/>
    <s v="C1813"/>
    <n v="5.6"/>
    <s v="Tuesday"/>
    <s v="October"/>
    <n v="2025"/>
  </r>
  <r>
    <x v="3798"/>
    <d v="2025-10-07T00:00:00"/>
    <s v="Station"/>
    <s v="Birmingham"/>
    <s v="Muffin"/>
    <s v="Food"/>
    <n v="2"/>
    <n v="2.2000000000000002"/>
    <s v="Apple Pay"/>
    <s v="C1535"/>
    <n v="4.4000000000000004"/>
    <s v="Tuesday"/>
    <s v="October"/>
    <n v="2025"/>
  </r>
  <r>
    <x v="3799"/>
    <d v="2025-10-07T00:00:00"/>
    <s v="High Street"/>
    <s v="London"/>
    <s v="Cappuccino"/>
    <s v="Drink"/>
    <n v="1"/>
    <n v="3.8"/>
    <s v="Cash"/>
    <s v="C1970"/>
    <n v="3.8"/>
    <s v="Tuesday"/>
    <s v="October"/>
    <n v="2025"/>
  </r>
  <r>
    <x v="3800"/>
    <d v="2025-10-07T00:00:00"/>
    <s v="High Street"/>
    <s v="London"/>
    <s v="Latte"/>
    <s v="Drink"/>
    <n v="1"/>
    <n v="3.5"/>
    <s v="Apple Pay"/>
    <s v="C1688"/>
    <n v="3.5"/>
    <s v="Tuesday"/>
    <s v="October"/>
    <n v="2025"/>
  </r>
  <r>
    <x v="3801"/>
    <d v="2025-10-08T00:00:00"/>
    <s v="Central"/>
    <s v="London"/>
    <s v="Latte"/>
    <s v="Drink"/>
    <n v="5"/>
    <n v="3.5"/>
    <s v="Cash"/>
    <s v="C1833"/>
    <n v="17.5"/>
    <s v="Wednesday"/>
    <s v="October"/>
    <n v="2025"/>
  </r>
  <r>
    <x v="3802"/>
    <d v="2025-10-08T00:00:00"/>
    <s v="Station"/>
    <s v="Birmingham"/>
    <s v="Latte"/>
    <s v="Drink"/>
    <n v="4"/>
    <n v="3.5"/>
    <s v="Apple Pay"/>
    <s v="C1680"/>
    <n v="14"/>
    <s v="Wednesday"/>
    <s v="October"/>
    <n v="2025"/>
  </r>
  <r>
    <x v="3803"/>
    <d v="2025-10-08T00:00:00"/>
    <s v="Station"/>
    <s v="London"/>
    <s v="Espresso"/>
    <s v="Drink"/>
    <n v="5"/>
    <n v="2.5"/>
    <s v="Card"/>
    <s v="C1683"/>
    <n v="12.5"/>
    <s v="Wednesday"/>
    <s v="October"/>
    <n v="2025"/>
  </r>
  <r>
    <x v="3804"/>
    <d v="2025-10-08T00:00:00"/>
    <s v="Station"/>
    <s v="London"/>
    <s v="Croissant"/>
    <s v="Food"/>
    <n v="4"/>
    <n v="2.8"/>
    <s v="Cash"/>
    <s v="C1818"/>
    <n v="11.2"/>
    <s v="Wednesday"/>
    <s v="October"/>
    <n v="2025"/>
  </r>
  <r>
    <x v="3805"/>
    <d v="2025-10-08T00:00:00"/>
    <s v="Station"/>
    <s v="Manchester"/>
    <s v="Muffin"/>
    <s v="Food"/>
    <n v="4"/>
    <n v="2.2000000000000002"/>
    <s v="Apple Pay"/>
    <s v="C1466"/>
    <n v="8.8000000000000007"/>
    <s v="Wednesday"/>
    <s v="October"/>
    <n v="2025"/>
  </r>
  <r>
    <x v="3806"/>
    <d v="2025-10-08T00:00:00"/>
    <s v="High Street"/>
    <s v="Manchester"/>
    <s v="Espresso"/>
    <s v="Drink"/>
    <n v="3"/>
    <n v="2.5"/>
    <s v="Cash"/>
    <s v="C1119"/>
    <n v="7.5"/>
    <s v="Wednesday"/>
    <s v="October"/>
    <n v="2025"/>
  </r>
  <r>
    <x v="3807"/>
    <d v="2025-10-08T00:00:00"/>
    <s v="High Street"/>
    <s v="Leeds"/>
    <s v="Espresso"/>
    <s v="Drink"/>
    <n v="3"/>
    <n v="2.5"/>
    <s v="Card"/>
    <s v="C1559"/>
    <n v="7.5"/>
    <s v="Wednesday"/>
    <s v="October"/>
    <n v="2025"/>
  </r>
  <r>
    <x v="3808"/>
    <d v="2025-10-08T00:00:00"/>
    <s v="Station"/>
    <s v="Leeds"/>
    <s v="Latte"/>
    <s v="Drink"/>
    <n v="2"/>
    <n v="3.5"/>
    <s v="Apple Pay"/>
    <s v="C1695"/>
    <n v="7"/>
    <s v="Wednesday"/>
    <s v="October"/>
    <n v="2025"/>
  </r>
  <r>
    <x v="3809"/>
    <d v="2025-10-08T00:00:00"/>
    <s v="High Street"/>
    <s v="Birmingham"/>
    <s v="Latte"/>
    <s v="Drink"/>
    <n v="2"/>
    <n v="3.5"/>
    <s v="Cash"/>
    <s v="C1644"/>
    <n v="7"/>
    <s v="Wednesday"/>
    <s v="October"/>
    <n v="2025"/>
  </r>
  <r>
    <x v="3810"/>
    <d v="2025-10-08T00:00:00"/>
    <s v="Station"/>
    <s v="London"/>
    <s v="Cappuccino"/>
    <s v="Drink"/>
    <n v="1"/>
    <n v="3.8"/>
    <s v="Card"/>
    <s v="C1640"/>
    <n v="3.8"/>
    <s v="Wednesday"/>
    <s v="October"/>
    <n v="2025"/>
  </r>
  <r>
    <x v="3811"/>
    <d v="2025-10-09T00:00:00"/>
    <s v="Station"/>
    <s v="Manchester"/>
    <s v="Cappuccino"/>
    <s v="Drink"/>
    <n v="5"/>
    <n v="3.8"/>
    <s v="Apple Pay"/>
    <s v="C1683"/>
    <n v="19"/>
    <s v="Thursday"/>
    <s v="October"/>
    <n v="2025"/>
  </r>
  <r>
    <x v="3812"/>
    <d v="2025-10-09T00:00:00"/>
    <s v="Riverside"/>
    <s v="Birmingham"/>
    <s v="Latte"/>
    <s v="Drink"/>
    <n v="5"/>
    <n v="3.5"/>
    <s v="Card"/>
    <s v="C1802"/>
    <n v="17.5"/>
    <s v="Thursday"/>
    <s v="October"/>
    <n v="2025"/>
  </r>
  <r>
    <x v="3813"/>
    <d v="2025-10-09T00:00:00"/>
    <s v="High Street"/>
    <s v="Leeds"/>
    <s v="Cappuccino"/>
    <s v="Drink"/>
    <n v="4"/>
    <n v="3.8"/>
    <s v="Cash"/>
    <s v="C1162"/>
    <n v="15.2"/>
    <s v="Thursday"/>
    <s v="October"/>
    <n v="2025"/>
  </r>
  <r>
    <x v="3814"/>
    <d v="2025-10-09T00:00:00"/>
    <s v="Central"/>
    <s v="London"/>
    <s v="Latte"/>
    <s v="Drink"/>
    <n v="4"/>
    <n v="3.5"/>
    <s v="Apple Pay"/>
    <s v="C1278"/>
    <n v="14"/>
    <s v="Thursday"/>
    <s v="October"/>
    <n v="2025"/>
  </r>
  <r>
    <x v="3815"/>
    <d v="2025-10-09T00:00:00"/>
    <s v="Riverside"/>
    <s v="Leeds"/>
    <s v="Croissant"/>
    <s v="Food"/>
    <n v="5"/>
    <n v="2.8"/>
    <s v="Card"/>
    <s v="C1722"/>
    <n v="14"/>
    <s v="Thursday"/>
    <s v="October"/>
    <n v="2025"/>
  </r>
  <r>
    <x v="3816"/>
    <d v="2025-10-09T00:00:00"/>
    <s v="Station"/>
    <s v="Manchester"/>
    <s v="Cappuccino"/>
    <s v="Drink"/>
    <n v="3"/>
    <n v="3.8"/>
    <s v="Cash"/>
    <s v="C1034"/>
    <n v="11.399999999999999"/>
    <s v="Thursday"/>
    <s v="October"/>
    <n v="2025"/>
  </r>
  <r>
    <x v="3817"/>
    <d v="2025-10-09T00:00:00"/>
    <s v="Riverside"/>
    <s v="Birmingham"/>
    <s v="Croissant"/>
    <s v="Food"/>
    <n v="4"/>
    <n v="2.8"/>
    <s v="Apple Pay"/>
    <s v="C1790"/>
    <n v="11.2"/>
    <s v="Thursday"/>
    <s v="October"/>
    <n v="2025"/>
  </r>
  <r>
    <x v="3818"/>
    <d v="2025-10-09T00:00:00"/>
    <s v="Riverside"/>
    <s v="Manchester"/>
    <s v="Muffin"/>
    <s v="Food"/>
    <n v="5"/>
    <n v="2.2000000000000002"/>
    <s v="Card"/>
    <s v="C1489"/>
    <n v="11"/>
    <s v="Thursday"/>
    <s v="October"/>
    <n v="2025"/>
  </r>
  <r>
    <x v="3819"/>
    <d v="2025-10-09T00:00:00"/>
    <s v="Central"/>
    <s v="Manchester"/>
    <s v="Croissant"/>
    <s v="Food"/>
    <n v="3"/>
    <n v="2.8"/>
    <s v="Apple Pay"/>
    <s v="C1254"/>
    <n v="8.3999999999999986"/>
    <s v="Thursday"/>
    <s v="October"/>
    <n v="2025"/>
  </r>
  <r>
    <x v="3820"/>
    <d v="2025-10-09T00:00:00"/>
    <s v="Riverside"/>
    <s v="Bristol"/>
    <s v="Muffin"/>
    <s v="Food"/>
    <n v="2"/>
    <n v="2.2000000000000002"/>
    <s v="Card"/>
    <s v="C1744"/>
    <n v="4.4000000000000004"/>
    <s v="Thursday"/>
    <s v="October"/>
    <n v="2025"/>
  </r>
  <r>
    <x v="3821"/>
    <d v="2025-10-09T00:00:00"/>
    <s v="High Street"/>
    <s v="Birmingham"/>
    <s v="Cappuccino"/>
    <s v="Drink"/>
    <n v="1"/>
    <n v="3.8"/>
    <s v="Cash"/>
    <s v="C1084"/>
    <n v="3.8"/>
    <s v="Thursday"/>
    <s v="October"/>
    <n v="2025"/>
  </r>
  <r>
    <x v="3822"/>
    <d v="2025-10-09T00:00:00"/>
    <s v="Riverside"/>
    <s v="Manchester"/>
    <s v="Latte"/>
    <s v="Drink"/>
    <n v="1"/>
    <n v="3.5"/>
    <s v="Card"/>
    <s v="C1940"/>
    <n v="3.5"/>
    <s v="Thursday"/>
    <s v="October"/>
    <n v="2025"/>
  </r>
  <r>
    <x v="3823"/>
    <d v="2025-10-09T00:00:00"/>
    <s v="Central"/>
    <s v="Bristol"/>
    <s v="Espresso"/>
    <s v="Drink"/>
    <n v="1"/>
    <n v="2.5"/>
    <s v="Apple Pay"/>
    <s v="C1908"/>
    <n v="2.5"/>
    <s v="Thursday"/>
    <s v="October"/>
    <n v="2025"/>
  </r>
  <r>
    <x v="3824"/>
    <d v="2025-10-09T00:00:00"/>
    <s v="Riverside"/>
    <s v="Leeds"/>
    <s v="Muffin"/>
    <s v="Food"/>
    <n v="1"/>
    <n v="2.2000000000000002"/>
    <s v="Apple Pay"/>
    <s v="C1197"/>
    <n v="2.2000000000000002"/>
    <s v="Thursday"/>
    <s v="October"/>
    <n v="2025"/>
  </r>
  <r>
    <x v="3825"/>
    <d v="2025-10-09T00:00:00"/>
    <s v="Central"/>
    <s v="Birmingham"/>
    <s v="Muffin"/>
    <s v="Food"/>
    <n v="1"/>
    <n v="2.2000000000000002"/>
    <s v="Apple Pay"/>
    <s v="C1697"/>
    <n v="2.2000000000000002"/>
    <s v="Thursday"/>
    <s v="October"/>
    <n v="2025"/>
  </r>
  <r>
    <x v="3826"/>
    <d v="2025-10-09T00:00:00"/>
    <s v="Central"/>
    <s v="London"/>
    <s v="Muffin"/>
    <s v="Food"/>
    <n v="1"/>
    <n v="2.2000000000000002"/>
    <s v="Apple Pay"/>
    <s v="C1186"/>
    <n v="2.2000000000000002"/>
    <s v="Thursday"/>
    <s v="October"/>
    <n v="2025"/>
  </r>
  <r>
    <x v="3827"/>
    <d v="2025-10-10T00:00:00"/>
    <s v="Station"/>
    <s v="Bristol"/>
    <s v="Cappuccino"/>
    <s v="Drink"/>
    <n v="5"/>
    <n v="3.8"/>
    <s v="Apple Pay"/>
    <s v="C1502"/>
    <n v="19"/>
    <s v="Friday"/>
    <s v="October"/>
    <n v="2025"/>
  </r>
  <r>
    <x v="3828"/>
    <d v="2025-10-10T00:00:00"/>
    <s v="High Street"/>
    <s v="Birmingham"/>
    <s v="Cappuccino"/>
    <s v="Drink"/>
    <n v="4"/>
    <n v="3.8"/>
    <s v="Apple Pay"/>
    <s v="C1007"/>
    <n v="15.2"/>
    <s v="Friday"/>
    <s v="October"/>
    <n v="2025"/>
  </r>
  <r>
    <x v="3829"/>
    <d v="2025-10-10T00:00:00"/>
    <s v="Station"/>
    <s v="Leeds"/>
    <s v="Croissant"/>
    <s v="Food"/>
    <n v="5"/>
    <n v="2.8"/>
    <s v="Cash"/>
    <s v="C1864"/>
    <n v="14"/>
    <s v="Friday"/>
    <s v="October"/>
    <n v="2025"/>
  </r>
  <r>
    <x v="3830"/>
    <d v="2025-10-10T00:00:00"/>
    <s v="High Street"/>
    <s v="N/A"/>
    <s v="Croissant"/>
    <s v="Food"/>
    <n v="5"/>
    <n v="2.8"/>
    <s v="Card"/>
    <s v="C1886"/>
    <n v="14"/>
    <s v="Friday"/>
    <s v="October"/>
    <n v="2025"/>
  </r>
  <r>
    <x v="3831"/>
    <d v="2025-10-10T00:00:00"/>
    <s v="Station"/>
    <s v="Manchester"/>
    <s v="Latte"/>
    <s v="Drink"/>
    <n v="4"/>
    <n v="3.5"/>
    <s v="Card"/>
    <s v="C1321"/>
    <n v="14"/>
    <s v="Friday"/>
    <s v="October"/>
    <n v="2025"/>
  </r>
  <r>
    <x v="3832"/>
    <d v="2025-10-10T00:00:00"/>
    <s v="Station"/>
    <s v="Birmingham"/>
    <s v="Cappuccino"/>
    <s v="Drink"/>
    <n v="3"/>
    <n v="3.8"/>
    <s v="Cash"/>
    <s v="C1978"/>
    <n v="11.399999999999999"/>
    <s v="Friday"/>
    <s v="October"/>
    <n v="2025"/>
  </r>
  <r>
    <x v="3833"/>
    <d v="2025-10-10T00:00:00"/>
    <s v="Central"/>
    <s v="Birmingham"/>
    <s v="Croissant"/>
    <s v="Food"/>
    <n v="4"/>
    <n v="2.8"/>
    <s v="Cash"/>
    <s v="C1197"/>
    <n v="11.2"/>
    <s v="Friday"/>
    <s v="October"/>
    <n v="2025"/>
  </r>
  <r>
    <x v="3834"/>
    <d v="2025-10-10T00:00:00"/>
    <s v="Station"/>
    <s v="Birmingham"/>
    <s v="Croissant"/>
    <s v="Food"/>
    <n v="3"/>
    <n v="2.8"/>
    <s v="Cash"/>
    <s v="C1987"/>
    <n v="8.3999999999999986"/>
    <s v="Friday"/>
    <s v="October"/>
    <n v="2025"/>
  </r>
  <r>
    <x v="3835"/>
    <d v="2025-10-10T00:00:00"/>
    <s v="Central"/>
    <s v="London"/>
    <s v="Croissant"/>
    <s v="Food"/>
    <n v="3"/>
    <n v="2.8"/>
    <s v="Apple Pay"/>
    <s v="C1773"/>
    <n v="8.3999999999999986"/>
    <s v="Friday"/>
    <s v="October"/>
    <n v="2025"/>
  </r>
  <r>
    <x v="3836"/>
    <d v="2025-10-10T00:00:00"/>
    <s v="Riverside"/>
    <s v="Bristol"/>
    <s v="Espresso"/>
    <s v="Drink"/>
    <n v="3"/>
    <n v="2.5"/>
    <s v="Card"/>
    <s v="C1085"/>
    <n v="7.5"/>
    <s v="Friday"/>
    <s v="October"/>
    <n v="2025"/>
  </r>
  <r>
    <x v="3837"/>
    <d v="2025-10-10T00:00:00"/>
    <s v="Riverside"/>
    <s v="Manchester"/>
    <s v="Croissant"/>
    <s v="Food"/>
    <n v="2"/>
    <n v="2.8"/>
    <s v="Card"/>
    <s v="C1070"/>
    <n v="5.6"/>
    <s v="Friday"/>
    <s v="October"/>
    <n v="2025"/>
  </r>
  <r>
    <x v="3838"/>
    <d v="2025-10-10T00:00:00"/>
    <s v="Riverside"/>
    <s v="Manchester"/>
    <s v="Croissant"/>
    <s v="Food"/>
    <n v="2"/>
    <n v="2.8"/>
    <s v="Apple Pay"/>
    <s v="C1353"/>
    <n v="5.6"/>
    <s v="Friday"/>
    <s v="October"/>
    <n v="2025"/>
  </r>
  <r>
    <x v="3839"/>
    <d v="2025-10-10T00:00:00"/>
    <s v="Riverside"/>
    <s v="Birmingham"/>
    <s v="Espresso"/>
    <s v="Drink"/>
    <n v="2"/>
    <n v="2.5"/>
    <s v="Apple Pay"/>
    <s v="C1482"/>
    <n v="5"/>
    <s v="Friday"/>
    <s v="October"/>
    <n v="2025"/>
  </r>
  <r>
    <x v="3840"/>
    <d v="2025-10-10T00:00:00"/>
    <s v="High Street"/>
    <s v="London"/>
    <s v="Espresso"/>
    <s v="Drink"/>
    <n v="1"/>
    <n v="2.5"/>
    <s v="Cash"/>
    <s v="C1943"/>
    <n v="2.5"/>
    <s v="Friday"/>
    <s v="October"/>
    <n v="2025"/>
  </r>
  <r>
    <x v="3841"/>
    <d v="2025-10-10T00:00:00"/>
    <s v="Riverside"/>
    <s v="Bristol"/>
    <s v="Espresso"/>
    <s v="Drink"/>
    <n v="1"/>
    <n v="2.5"/>
    <s v="Card"/>
    <s v="C1589"/>
    <n v="2.5"/>
    <s v="Friday"/>
    <s v="October"/>
    <n v="2025"/>
  </r>
  <r>
    <x v="3842"/>
    <d v="2025-10-11T00:00:00"/>
    <s v="Riverside"/>
    <s v="Bristol"/>
    <s v="Latte"/>
    <s v="Drink"/>
    <n v="5"/>
    <n v="3.5"/>
    <s v="Cash"/>
    <s v="C1275"/>
    <n v="17.5"/>
    <s v="Saturday"/>
    <s v="October"/>
    <n v="2025"/>
  </r>
  <r>
    <x v="3843"/>
    <d v="2025-10-11T00:00:00"/>
    <s v="Central"/>
    <s v="Manchester"/>
    <s v="Latte"/>
    <s v="Drink"/>
    <n v="5"/>
    <n v="3.5"/>
    <s v="Apple Pay"/>
    <s v="C1706"/>
    <n v="17.5"/>
    <s v="Saturday"/>
    <s v="October"/>
    <n v="2025"/>
  </r>
  <r>
    <x v="3844"/>
    <d v="2025-10-11T00:00:00"/>
    <s v="High Street"/>
    <s v="London"/>
    <s v="Latte"/>
    <s v="Drink"/>
    <n v="4"/>
    <n v="3.5"/>
    <s v="Card"/>
    <s v="C1300"/>
    <n v="14"/>
    <s v="Saturday"/>
    <s v="October"/>
    <n v="2025"/>
  </r>
  <r>
    <x v="3845"/>
    <d v="2025-10-11T00:00:00"/>
    <s v="Riverside"/>
    <s v="Leeds"/>
    <s v="Latte"/>
    <s v="Drink"/>
    <n v="4"/>
    <n v="3.5"/>
    <s v="Card"/>
    <s v="C1564"/>
    <n v="14"/>
    <s v="Saturday"/>
    <s v="October"/>
    <n v="2025"/>
  </r>
  <r>
    <x v="3846"/>
    <d v="2025-10-11T00:00:00"/>
    <s v="High Street"/>
    <s v="Leeds"/>
    <s v="Cappuccino"/>
    <s v="Drink"/>
    <n v="3"/>
    <n v="3.8"/>
    <s v="Apple Pay"/>
    <s v="C1172"/>
    <n v="11.399999999999999"/>
    <s v="Saturday"/>
    <s v="October"/>
    <n v="2025"/>
  </r>
  <r>
    <x v="3847"/>
    <d v="2025-10-11T00:00:00"/>
    <s v="Station"/>
    <s v="Birmingham"/>
    <s v="Croissant"/>
    <s v="Food"/>
    <n v="4"/>
    <n v="2.8"/>
    <s v="Cash"/>
    <s v="C1528"/>
    <n v="11.2"/>
    <s v="Saturday"/>
    <s v="October"/>
    <n v="2025"/>
  </r>
  <r>
    <x v="3848"/>
    <d v="2025-10-11T00:00:00"/>
    <s v="Station"/>
    <s v="Bristol"/>
    <s v="Cappuccino"/>
    <s v="Drink"/>
    <n v="2"/>
    <n v="3.8"/>
    <s v="Card"/>
    <s v="C1752"/>
    <n v="7.6"/>
    <s v="Saturday"/>
    <s v="October"/>
    <n v="2025"/>
  </r>
  <r>
    <x v="3849"/>
    <d v="2025-10-11T00:00:00"/>
    <s v="Station"/>
    <s v="Leeds"/>
    <s v="Latte"/>
    <s v="Drink"/>
    <n v="2"/>
    <n v="3.5"/>
    <s v="Apple Pay"/>
    <s v="C1739"/>
    <n v="7"/>
    <s v="Saturday"/>
    <s v="October"/>
    <n v="2025"/>
  </r>
  <r>
    <x v="3850"/>
    <d v="2025-10-11T00:00:00"/>
    <s v="High Street"/>
    <s v="Leeds"/>
    <s v="Muffin"/>
    <s v="Food"/>
    <n v="3"/>
    <n v="2.2000000000000002"/>
    <s v="Apple Pay"/>
    <s v="C1062"/>
    <n v="6.6000000000000005"/>
    <s v="Saturday"/>
    <s v="October"/>
    <n v="2025"/>
  </r>
  <r>
    <x v="3851"/>
    <d v="2025-10-11T00:00:00"/>
    <s v="Riverside"/>
    <s v="Manchester"/>
    <s v="Latte"/>
    <s v="Drink"/>
    <n v="1"/>
    <n v="3.5"/>
    <s v="Apple Pay"/>
    <s v="C1683"/>
    <n v="3.5"/>
    <s v="Saturday"/>
    <s v="October"/>
    <n v="2025"/>
  </r>
  <r>
    <x v="3852"/>
    <d v="2025-10-11T00:00:00"/>
    <s v="High Street"/>
    <s v="Leeds"/>
    <s v="Espresso"/>
    <s v="Drink"/>
    <n v="1"/>
    <n v="2.5"/>
    <s v="Apple Pay"/>
    <s v="C1692"/>
    <n v="2.5"/>
    <s v="Saturday"/>
    <s v="October"/>
    <n v="2025"/>
  </r>
  <r>
    <x v="3853"/>
    <d v="2025-10-12T00:00:00"/>
    <s v="High Street"/>
    <s v="London"/>
    <s v="Latte"/>
    <s v="Drink"/>
    <n v="5"/>
    <n v="3.5"/>
    <s v="Apple Pay"/>
    <s v="C1394"/>
    <n v="17.5"/>
    <s v="Sunday"/>
    <s v="October"/>
    <n v="2025"/>
  </r>
  <r>
    <x v="3854"/>
    <d v="2025-10-12T00:00:00"/>
    <s v="Riverside"/>
    <s v="London"/>
    <s v="Latte"/>
    <s v="Drink"/>
    <n v="5"/>
    <n v="3.5"/>
    <s v="Apple Pay"/>
    <s v="C1673"/>
    <n v="17.5"/>
    <s v="Sunday"/>
    <s v="October"/>
    <n v="2025"/>
  </r>
  <r>
    <x v="3855"/>
    <d v="2025-10-12T00:00:00"/>
    <s v="Riverside"/>
    <s v="Birmingham"/>
    <s v="Croissant"/>
    <s v="Food"/>
    <n v="5"/>
    <n v="2.8"/>
    <s v="Card"/>
    <s v="C1473"/>
    <n v="14"/>
    <s v="Sunday"/>
    <s v="October"/>
    <n v="2025"/>
  </r>
  <r>
    <x v="3856"/>
    <d v="2025-10-12T00:00:00"/>
    <s v="Central"/>
    <s v="Leeds"/>
    <s v="Espresso"/>
    <s v="Drink"/>
    <n v="5"/>
    <n v="2.5"/>
    <s v="Card"/>
    <s v="C1421"/>
    <n v="12.5"/>
    <s v="Sunday"/>
    <s v="October"/>
    <n v="2025"/>
  </r>
  <r>
    <x v="3857"/>
    <d v="2025-10-12T00:00:00"/>
    <s v="Riverside"/>
    <s v="Birmingham"/>
    <s v="Espresso"/>
    <s v="Drink"/>
    <n v="4"/>
    <n v="2.5"/>
    <s v="Cash"/>
    <s v="C1531"/>
    <n v="10"/>
    <s v="Sunday"/>
    <s v="October"/>
    <n v="2025"/>
  </r>
  <r>
    <x v="3858"/>
    <d v="2025-10-12T00:00:00"/>
    <s v="Riverside"/>
    <s v="Bristol"/>
    <s v="Espresso"/>
    <s v="Drink"/>
    <n v="3"/>
    <n v="2.5"/>
    <s v="Card"/>
    <s v="C1469"/>
    <n v="7.5"/>
    <s v="Sunday"/>
    <s v="October"/>
    <n v="2025"/>
  </r>
  <r>
    <x v="3859"/>
    <d v="2025-10-12T00:00:00"/>
    <s v="Central"/>
    <s v="Bristol"/>
    <s v="Muffin"/>
    <s v="Food"/>
    <n v="3"/>
    <n v="2.2000000000000002"/>
    <s v="Apple Pay"/>
    <s v="C1282"/>
    <n v="6.6000000000000005"/>
    <s v="Sunday"/>
    <s v="October"/>
    <n v="2025"/>
  </r>
  <r>
    <x v="3859"/>
    <d v="2025-10-12T00:00:00"/>
    <s v="Central"/>
    <s v="Bristol"/>
    <s v="Muffin"/>
    <s v="Food"/>
    <n v="3"/>
    <n v="2.2000000000000002"/>
    <s v="Cash"/>
    <s v="C1282"/>
    <n v="6.6000000000000005"/>
    <s v="Sunday"/>
    <s v="October"/>
    <n v="2025"/>
  </r>
  <r>
    <x v="3860"/>
    <d v="2025-10-12T00:00:00"/>
    <s v="Central"/>
    <s v="Birmingham"/>
    <s v="Muffin"/>
    <s v="Food"/>
    <n v="3"/>
    <n v="2.2000000000000002"/>
    <s v="Cash"/>
    <s v="C1020"/>
    <n v="6.6000000000000005"/>
    <s v="Sunday"/>
    <s v="October"/>
    <n v="2025"/>
  </r>
  <r>
    <x v="3861"/>
    <d v="2025-10-12T00:00:00"/>
    <s v="Central"/>
    <s v="Bristol"/>
    <s v="Croissant"/>
    <s v="Food"/>
    <n v="1"/>
    <n v="2.8"/>
    <s v="Card"/>
    <s v="C1824"/>
    <n v="2.8"/>
    <s v="Sunday"/>
    <s v="October"/>
    <n v="2025"/>
  </r>
  <r>
    <x v="3862"/>
    <d v="2025-10-13T00:00:00"/>
    <s v="Station"/>
    <s v="London"/>
    <s v="Cappuccino"/>
    <s v="Drink"/>
    <n v="5"/>
    <n v="3.8"/>
    <s v="Apple Pay"/>
    <s v="C1494"/>
    <n v="19"/>
    <s v="Monday"/>
    <s v="October"/>
    <n v="2025"/>
  </r>
  <r>
    <x v="3863"/>
    <d v="2025-10-13T00:00:00"/>
    <s v="Riverside"/>
    <s v="Manchester"/>
    <s v="Latte"/>
    <s v="Drink"/>
    <n v="4"/>
    <n v="3.5"/>
    <s v="Apple Pay"/>
    <s v="C1732"/>
    <n v="14"/>
    <s v="Monday"/>
    <s v="October"/>
    <n v="2025"/>
  </r>
  <r>
    <x v="3864"/>
    <d v="2025-10-13T00:00:00"/>
    <s v="Station"/>
    <s v="Manchester"/>
    <s v="Latte"/>
    <s v="Drink"/>
    <n v="4"/>
    <n v="3.5"/>
    <s v="Cash"/>
    <s v="C1103"/>
    <n v="14"/>
    <s v="Monday"/>
    <s v="October"/>
    <n v="2025"/>
  </r>
  <r>
    <x v="3865"/>
    <d v="2025-10-13T00:00:00"/>
    <s v="Station"/>
    <s v="London"/>
    <s v="Latte"/>
    <s v="Drink"/>
    <n v="3"/>
    <n v="3.5"/>
    <s v="Card"/>
    <s v="C1419"/>
    <n v="10.5"/>
    <s v="Monday"/>
    <s v="October"/>
    <n v="2025"/>
  </r>
  <r>
    <x v="3866"/>
    <d v="2025-10-13T00:00:00"/>
    <s v="Station"/>
    <s v="Birmingham"/>
    <s v="Latte"/>
    <s v="Drink"/>
    <n v="3"/>
    <n v="3.5"/>
    <s v="Cash"/>
    <s v="C1115"/>
    <n v="10.5"/>
    <s v="Monday"/>
    <s v="October"/>
    <n v="2025"/>
  </r>
  <r>
    <x v="3867"/>
    <d v="2025-10-13T00:00:00"/>
    <s v="High Street"/>
    <s v="Manchester"/>
    <s v="Espresso"/>
    <s v="Drink"/>
    <n v="4"/>
    <n v="2.5"/>
    <s v="Cash"/>
    <s v="C1782"/>
    <n v="10"/>
    <s v="Monday"/>
    <s v="October"/>
    <n v="2025"/>
  </r>
  <r>
    <x v="3868"/>
    <d v="2025-10-13T00:00:00"/>
    <s v="Station"/>
    <s v="Manchester"/>
    <s v="Espresso"/>
    <s v="Drink"/>
    <n v="3"/>
    <n v="2.5"/>
    <s v="Card"/>
    <s v="C1382"/>
    <n v="7.5"/>
    <s v="Monday"/>
    <s v="October"/>
    <n v="2025"/>
  </r>
  <r>
    <x v="3869"/>
    <d v="2025-10-13T00:00:00"/>
    <s v="Riverside"/>
    <s v="Bristol"/>
    <s v="Croissant"/>
    <s v="Food"/>
    <n v="2"/>
    <n v="2.8"/>
    <s v="Card"/>
    <s v="C1795"/>
    <n v="5.6"/>
    <s v="Monday"/>
    <s v="October"/>
    <n v="2025"/>
  </r>
  <r>
    <x v="3870"/>
    <d v="2025-10-13T00:00:00"/>
    <s v="High Street"/>
    <s v="Bristol"/>
    <s v="Latte"/>
    <s v="Drink"/>
    <n v="1"/>
    <n v="3.5"/>
    <s v="Cash"/>
    <s v="C1963"/>
    <n v="3.5"/>
    <s v="Monday"/>
    <s v="October"/>
    <n v="2025"/>
  </r>
  <r>
    <x v="3871"/>
    <d v="2025-10-13T00:00:00"/>
    <s v="Central"/>
    <s v="Birmingham"/>
    <s v="Espresso"/>
    <s v="Drink"/>
    <n v="1"/>
    <n v="2.5"/>
    <s v="Apple Pay"/>
    <s v="C1935"/>
    <n v="2.5"/>
    <s v="Monday"/>
    <s v="October"/>
    <n v="2025"/>
  </r>
  <r>
    <x v="3872"/>
    <d v="2025-10-13T00:00:00"/>
    <s v="Station"/>
    <s v="Birmingham"/>
    <s v="Muffin"/>
    <s v="Food"/>
    <n v="1"/>
    <n v="2.2000000000000002"/>
    <s v="Cash"/>
    <s v="C1749"/>
    <n v="2.2000000000000002"/>
    <s v="Monday"/>
    <s v="October"/>
    <n v="2025"/>
  </r>
  <r>
    <x v="3873"/>
    <d v="2025-10-14T00:00:00"/>
    <s v="Riverside"/>
    <s v="London"/>
    <s v="Cappuccino"/>
    <s v="Drink"/>
    <n v="5"/>
    <n v="3.8"/>
    <s v="Card"/>
    <s v="C1528"/>
    <n v="19"/>
    <s v="Tuesday"/>
    <s v="October"/>
    <n v="2025"/>
  </r>
  <r>
    <x v="3874"/>
    <d v="2025-10-14T00:00:00"/>
    <s v="High Street"/>
    <s v="London"/>
    <s v="Cappuccino"/>
    <s v="Drink"/>
    <n v="5"/>
    <n v="3.8"/>
    <s v="Card"/>
    <s v="C1428"/>
    <n v="19"/>
    <s v="Tuesday"/>
    <s v="October"/>
    <n v="2025"/>
  </r>
  <r>
    <x v="3875"/>
    <d v="2025-10-14T00:00:00"/>
    <s v="High Street"/>
    <s v="London"/>
    <s v="Cappuccino"/>
    <s v="Drink"/>
    <n v="5"/>
    <n v="3.8"/>
    <s v="Cash"/>
    <s v="C1513"/>
    <n v="19"/>
    <s v="Tuesday"/>
    <s v="October"/>
    <n v="2025"/>
  </r>
  <r>
    <x v="3876"/>
    <d v="2025-10-14T00:00:00"/>
    <s v="Central"/>
    <s v="Manchester"/>
    <s v="Espresso"/>
    <s v="Drink"/>
    <n v="5"/>
    <n v="2.5"/>
    <s v="Cash"/>
    <s v="C1604"/>
    <n v="12.5"/>
    <s v="Tuesday"/>
    <s v="October"/>
    <n v="2025"/>
  </r>
  <r>
    <x v="3877"/>
    <d v="2025-10-14T00:00:00"/>
    <s v="Station"/>
    <s v="London"/>
    <s v="Espresso"/>
    <s v="Drink"/>
    <n v="5"/>
    <n v="2.5"/>
    <s v="Card"/>
    <s v="C1147"/>
    <n v="12.5"/>
    <s v="Tuesday"/>
    <s v="October"/>
    <n v="2025"/>
  </r>
  <r>
    <x v="3878"/>
    <d v="2025-10-14T00:00:00"/>
    <s v="Station"/>
    <s v="Bristol"/>
    <s v="Croissant"/>
    <s v="Food"/>
    <n v="4"/>
    <n v="2.8"/>
    <s v="Apple Pay"/>
    <s v="C1558"/>
    <n v="11.2"/>
    <s v="Tuesday"/>
    <s v="October"/>
    <n v="2025"/>
  </r>
  <r>
    <x v="3879"/>
    <d v="2025-10-14T00:00:00"/>
    <s v="High Street"/>
    <s v="Birmingham"/>
    <s v="Muffin"/>
    <s v="Food"/>
    <n v="5"/>
    <n v="2.2000000000000002"/>
    <s v="Cash"/>
    <s v="C1923"/>
    <n v="11"/>
    <s v="Tuesday"/>
    <s v="October"/>
    <n v="2025"/>
  </r>
  <r>
    <x v="3880"/>
    <d v="2025-10-14T00:00:00"/>
    <s v="Station"/>
    <s v="Birmingham"/>
    <s v="Muffin"/>
    <s v="Food"/>
    <n v="5"/>
    <n v="2.2000000000000002"/>
    <s v="Card"/>
    <s v="C1359"/>
    <n v="11"/>
    <s v="Tuesday"/>
    <s v="October"/>
    <n v="2025"/>
  </r>
  <r>
    <x v="3881"/>
    <d v="2025-10-14T00:00:00"/>
    <s v="Station"/>
    <s v="Leeds"/>
    <s v="Latte"/>
    <s v="Drink"/>
    <n v="3"/>
    <n v="3.5"/>
    <s v="Card"/>
    <s v="C1238"/>
    <n v="10.5"/>
    <s v="Tuesday"/>
    <s v="October"/>
    <n v="2025"/>
  </r>
  <r>
    <x v="3882"/>
    <d v="2025-10-14T00:00:00"/>
    <s v="Central"/>
    <s v="London"/>
    <s v="Croissant"/>
    <s v="Food"/>
    <n v="3"/>
    <n v="2.8"/>
    <s v="Apple Pay"/>
    <s v="C1846"/>
    <n v="8.3999999999999986"/>
    <s v="Tuesday"/>
    <s v="October"/>
    <n v="2025"/>
  </r>
  <r>
    <x v="3883"/>
    <d v="2025-10-14T00:00:00"/>
    <s v="High Street"/>
    <s v="Manchester"/>
    <s v="Cappuccino"/>
    <s v="Drink"/>
    <n v="2"/>
    <n v="3.8"/>
    <s v="Cash"/>
    <s v="C1751"/>
    <n v="7.6"/>
    <s v="Tuesday"/>
    <s v="October"/>
    <n v="2025"/>
  </r>
  <r>
    <x v="3884"/>
    <d v="2025-10-14T00:00:00"/>
    <s v="Riverside"/>
    <s v="Manchester"/>
    <s v="Espresso"/>
    <s v="Drink"/>
    <n v="3"/>
    <n v="2.5"/>
    <s v="Cash"/>
    <s v="C1291"/>
    <n v="7.5"/>
    <s v="Tuesday"/>
    <s v="October"/>
    <n v="2025"/>
  </r>
  <r>
    <x v="3885"/>
    <d v="2025-10-14T00:00:00"/>
    <s v="Central"/>
    <s v="Leeds"/>
    <s v="Latte"/>
    <s v="Drink"/>
    <n v="2"/>
    <n v="3.5"/>
    <s v="Cash"/>
    <s v="C1550"/>
    <n v="7"/>
    <s v="Tuesday"/>
    <s v="October"/>
    <n v="2025"/>
  </r>
  <r>
    <x v="3886"/>
    <d v="2025-10-14T00:00:00"/>
    <s v="Riverside"/>
    <s v="Bristol"/>
    <s v="Muffin"/>
    <s v="Food"/>
    <n v="3"/>
    <n v="2.2000000000000002"/>
    <s v="Cash"/>
    <s v="C1609"/>
    <n v="6.6000000000000005"/>
    <s v="Tuesday"/>
    <s v="October"/>
    <n v="2025"/>
  </r>
  <r>
    <x v="3887"/>
    <d v="2025-10-14T00:00:00"/>
    <s v="Riverside"/>
    <s v="Bristol"/>
    <s v="Croissant"/>
    <s v="Food"/>
    <n v="2"/>
    <n v="2.8"/>
    <s v="Cash"/>
    <s v="C1441"/>
    <n v="5.6"/>
    <s v="Tuesday"/>
    <s v="October"/>
    <n v="2025"/>
  </r>
  <r>
    <x v="3888"/>
    <d v="2025-10-14T00:00:00"/>
    <s v="High Street"/>
    <s v="Bristol"/>
    <s v="Espresso"/>
    <s v="Drink"/>
    <n v="2"/>
    <n v="2.5"/>
    <s v="Apple Pay"/>
    <s v="C1937"/>
    <n v="5"/>
    <s v="Tuesday"/>
    <s v="October"/>
    <n v="2025"/>
  </r>
  <r>
    <x v="3889"/>
    <d v="2025-10-15T00:00:00"/>
    <s v="Station"/>
    <s v="Leeds"/>
    <s v="Cappuccino"/>
    <s v="Drink"/>
    <n v="5"/>
    <n v="3.8"/>
    <s v="Apple Pay"/>
    <s v="C1955"/>
    <n v="19"/>
    <s v="Wednesday"/>
    <s v="October"/>
    <n v="2025"/>
  </r>
  <r>
    <x v="3890"/>
    <d v="2025-10-15T00:00:00"/>
    <s v="High Street"/>
    <s v="London"/>
    <s v="Latte"/>
    <s v="Drink"/>
    <n v="4"/>
    <n v="3.5"/>
    <s v="Apple Pay"/>
    <s v="C1213"/>
    <n v="14"/>
    <s v="Wednesday"/>
    <s v="October"/>
    <n v="2025"/>
  </r>
  <r>
    <x v="3891"/>
    <d v="2025-10-15T00:00:00"/>
    <s v="High Street"/>
    <s v="Manchester"/>
    <s v="Croissant"/>
    <s v="Food"/>
    <n v="5"/>
    <n v="2.8"/>
    <s v="Apple Pay"/>
    <s v="C1689"/>
    <n v="14"/>
    <s v="Wednesday"/>
    <s v="October"/>
    <n v="2025"/>
  </r>
  <r>
    <x v="3892"/>
    <d v="2025-10-15T00:00:00"/>
    <s v="Central"/>
    <s v="London"/>
    <s v="Cappuccino"/>
    <s v="Drink"/>
    <n v="3"/>
    <n v="3.8"/>
    <s v="Cash"/>
    <s v="C1672"/>
    <n v="11.399999999999999"/>
    <s v="Wednesday"/>
    <s v="October"/>
    <n v="2025"/>
  </r>
  <r>
    <x v="3893"/>
    <d v="2025-10-15T00:00:00"/>
    <s v="Station"/>
    <s v="Manchester"/>
    <s v="Croissant"/>
    <s v="Food"/>
    <n v="4"/>
    <n v="2.8"/>
    <s v="Cash"/>
    <s v="C1672"/>
    <n v="11.2"/>
    <s v="Wednesday"/>
    <s v="October"/>
    <n v="2025"/>
  </r>
  <r>
    <x v="3894"/>
    <d v="2025-10-15T00:00:00"/>
    <s v="High Street"/>
    <s v="Birmingham"/>
    <s v="Latte"/>
    <s v="Drink"/>
    <n v="3"/>
    <n v="3.5"/>
    <s v="Card"/>
    <s v="C1062"/>
    <n v="10.5"/>
    <s v="Wednesday"/>
    <s v="October"/>
    <n v="2025"/>
  </r>
  <r>
    <x v="3895"/>
    <d v="2025-10-15T00:00:00"/>
    <s v="High Street"/>
    <s v="Birmingham"/>
    <s v="Espresso"/>
    <s v="Drink"/>
    <n v="4"/>
    <n v="2.5"/>
    <s v="Card"/>
    <s v="C1049"/>
    <n v="10"/>
    <s v="Wednesday"/>
    <s v="October"/>
    <n v="2025"/>
  </r>
  <r>
    <x v="3896"/>
    <d v="2025-10-15T00:00:00"/>
    <s v="Riverside"/>
    <s v="Bristol"/>
    <s v="Muffin"/>
    <s v="Food"/>
    <n v="4"/>
    <n v="2.2000000000000002"/>
    <s v="Card"/>
    <s v="C1083"/>
    <n v="8.8000000000000007"/>
    <s v="Wednesday"/>
    <s v="October"/>
    <n v="2025"/>
  </r>
  <r>
    <x v="3897"/>
    <d v="2025-10-15T00:00:00"/>
    <s v="Station"/>
    <s v="Birmingham"/>
    <s v="Muffin"/>
    <s v="Food"/>
    <n v="4"/>
    <n v="2.2000000000000002"/>
    <s v="Apple Pay"/>
    <s v="C1992"/>
    <n v="8.8000000000000007"/>
    <s v="Wednesday"/>
    <s v="October"/>
    <n v="2025"/>
  </r>
  <r>
    <x v="3898"/>
    <d v="2025-10-15T00:00:00"/>
    <s v="Station"/>
    <s v="Manchester"/>
    <s v="Muffin"/>
    <s v="Food"/>
    <n v="3"/>
    <n v="2.2000000000000002"/>
    <s v="Card"/>
    <s v="C1868"/>
    <n v="6.6000000000000005"/>
    <s v="Wednesday"/>
    <s v="October"/>
    <n v="2025"/>
  </r>
  <r>
    <x v="3899"/>
    <d v="2025-10-15T00:00:00"/>
    <s v="Station"/>
    <s v="Manchester"/>
    <s v="Cappuccino"/>
    <s v="Drink"/>
    <n v="1"/>
    <n v="3.8"/>
    <s v="Cash"/>
    <s v="C1696"/>
    <n v="3.8"/>
    <s v="Wednesday"/>
    <s v="October"/>
    <n v="2025"/>
  </r>
  <r>
    <x v="3900"/>
    <d v="2025-10-15T00:00:00"/>
    <s v="Riverside"/>
    <s v="Manchester"/>
    <s v="Latte"/>
    <s v="Drink"/>
    <n v="1"/>
    <n v="3.5"/>
    <s v="Card"/>
    <s v="C1399"/>
    <n v="3.5"/>
    <s v="Wednesday"/>
    <s v="October"/>
    <n v="2025"/>
  </r>
  <r>
    <x v="3901"/>
    <d v="2025-10-15T00:00:00"/>
    <s v="Central"/>
    <s v="Leeds"/>
    <s v="Muffin"/>
    <s v="Food"/>
    <n v="1"/>
    <n v="2.2000000000000002"/>
    <s v="Cash"/>
    <s v="C1760"/>
    <n v="2.2000000000000002"/>
    <s v="Wednesday"/>
    <s v="October"/>
    <n v="2025"/>
  </r>
  <r>
    <x v="3902"/>
    <d v="2025-10-16T00:00:00"/>
    <s v="High Street"/>
    <s v="Birmingham"/>
    <s v="Cappuccino"/>
    <s v="Drink"/>
    <n v="5"/>
    <n v="3.8"/>
    <s v="Cash"/>
    <s v="C1642"/>
    <n v="19"/>
    <s v="Thursday"/>
    <s v="October"/>
    <n v="2025"/>
  </r>
  <r>
    <x v="3903"/>
    <d v="2025-10-16T00:00:00"/>
    <s v="Riverside"/>
    <s v="Bristol"/>
    <s v="Latte"/>
    <s v="Drink"/>
    <n v="5"/>
    <n v="3.5"/>
    <s v="Apple Pay"/>
    <s v="C1242"/>
    <n v="17.5"/>
    <s v="Thursday"/>
    <s v="October"/>
    <n v="2025"/>
  </r>
  <r>
    <x v="3904"/>
    <d v="2025-10-16T00:00:00"/>
    <s v="Station"/>
    <s v="Manchester"/>
    <s v="Cappuccino"/>
    <s v="Drink"/>
    <n v="3"/>
    <n v="3.8"/>
    <s v="Card"/>
    <s v="C1560"/>
    <n v="11.399999999999999"/>
    <s v="Thursday"/>
    <s v="October"/>
    <n v="2025"/>
  </r>
  <r>
    <x v="3905"/>
    <d v="2025-10-16T00:00:00"/>
    <s v="High Street"/>
    <s v="Leeds"/>
    <s v="Croissant"/>
    <s v="Food"/>
    <n v="4"/>
    <n v="2.8"/>
    <s v="Apple Pay"/>
    <s v="C1161"/>
    <n v="11.2"/>
    <s v="Thursday"/>
    <s v="October"/>
    <n v="2025"/>
  </r>
  <r>
    <x v="3906"/>
    <d v="2025-10-16T00:00:00"/>
    <s v="Riverside"/>
    <s v="Leeds"/>
    <s v="Latte"/>
    <s v="Drink"/>
    <n v="3"/>
    <n v="3.5"/>
    <s v="Apple Pay"/>
    <s v="C1894"/>
    <n v="10.5"/>
    <s v="Thursday"/>
    <s v="October"/>
    <n v="2025"/>
  </r>
  <r>
    <x v="3907"/>
    <d v="2025-10-16T00:00:00"/>
    <s v="Station"/>
    <s v="Manchester"/>
    <s v="Muffin"/>
    <s v="Food"/>
    <n v="4"/>
    <n v="2.2000000000000002"/>
    <s v="Card"/>
    <s v="C1461"/>
    <n v="8.8000000000000007"/>
    <s v="Thursday"/>
    <s v="October"/>
    <n v="2025"/>
  </r>
  <r>
    <x v="3908"/>
    <d v="2025-10-16T00:00:00"/>
    <s v="Riverside"/>
    <s v="Manchester"/>
    <s v="Muffin"/>
    <s v="Food"/>
    <n v="4"/>
    <n v="2.2000000000000002"/>
    <s v="Card"/>
    <s v="C1280"/>
    <n v="8.8000000000000007"/>
    <s v="Thursday"/>
    <s v="October"/>
    <n v="2025"/>
  </r>
  <r>
    <x v="3909"/>
    <d v="2025-10-16T00:00:00"/>
    <s v="Riverside"/>
    <s v="Manchester"/>
    <s v="Muffin"/>
    <s v="Food"/>
    <n v="3"/>
    <n v="2.2000000000000002"/>
    <s v="Cash"/>
    <s v="C1723"/>
    <n v="6.6000000000000005"/>
    <s v="Thursday"/>
    <s v="October"/>
    <n v="2025"/>
  </r>
  <r>
    <x v="3910"/>
    <d v="2025-10-16T00:00:00"/>
    <s v="Station"/>
    <s v="Birmingham"/>
    <s v="Espresso"/>
    <s v="Drink"/>
    <n v="2"/>
    <n v="2.5"/>
    <s v="Card"/>
    <s v="C1001"/>
    <n v="5"/>
    <s v="Thursday"/>
    <s v="October"/>
    <n v="2025"/>
  </r>
  <r>
    <x v="3911"/>
    <d v="2025-10-16T00:00:00"/>
    <s v="High Street"/>
    <s v="Manchester"/>
    <s v="Cappuccino"/>
    <s v="Drink"/>
    <n v="1"/>
    <n v="3.8"/>
    <s v="Apple Pay"/>
    <s v="C1975"/>
    <n v="3.8"/>
    <s v="Thursday"/>
    <s v="October"/>
    <n v="2025"/>
  </r>
  <r>
    <x v="3912"/>
    <d v="2025-10-17T00:00:00"/>
    <s v="Station"/>
    <s v="Birmingham"/>
    <s v="Croissant"/>
    <s v="Food"/>
    <n v="5"/>
    <n v="2.8"/>
    <s v="Apple Pay"/>
    <s v="C1062"/>
    <n v="14"/>
    <s v="Friday"/>
    <s v="October"/>
    <n v="2025"/>
  </r>
  <r>
    <x v="3913"/>
    <d v="2025-10-17T00:00:00"/>
    <s v="Riverside"/>
    <s v="Manchester"/>
    <s v="Cappuccino"/>
    <s v="Drink"/>
    <n v="3"/>
    <n v="3.8"/>
    <s v="Card"/>
    <s v="C1230"/>
    <n v="11.399999999999999"/>
    <s v="Friday"/>
    <s v="October"/>
    <n v="2025"/>
  </r>
  <r>
    <x v="3914"/>
    <d v="2025-10-17T00:00:00"/>
    <s v="Central"/>
    <s v="London"/>
    <s v="Croissant"/>
    <s v="Food"/>
    <n v="4"/>
    <n v="2.8"/>
    <s v="Cash"/>
    <s v="C1888"/>
    <n v="11.2"/>
    <s v="Friday"/>
    <s v="October"/>
    <n v="2025"/>
  </r>
  <r>
    <x v="3915"/>
    <d v="2025-10-17T00:00:00"/>
    <s v="Central"/>
    <s v="Bristol"/>
    <s v="Croissant"/>
    <s v="Food"/>
    <n v="4"/>
    <n v="2.8"/>
    <s v="Cash"/>
    <s v="C1181"/>
    <n v="11.2"/>
    <s v="Friday"/>
    <s v="October"/>
    <n v="2025"/>
  </r>
  <r>
    <x v="3916"/>
    <d v="2025-10-17T00:00:00"/>
    <s v="Station"/>
    <s v="Birmingham"/>
    <s v="Espresso"/>
    <s v="Drink"/>
    <n v="4"/>
    <n v="2.5"/>
    <s v="Card"/>
    <s v="C1634"/>
    <n v="10"/>
    <s v="Friday"/>
    <s v="October"/>
    <n v="2025"/>
  </r>
  <r>
    <x v="3917"/>
    <d v="2025-10-17T00:00:00"/>
    <s v="Station"/>
    <s v="Bristol"/>
    <s v="Muffin"/>
    <s v="Food"/>
    <n v="4"/>
    <n v="2.2000000000000002"/>
    <s v="Card"/>
    <s v="C1195"/>
    <n v="8.8000000000000007"/>
    <s v="Friday"/>
    <s v="October"/>
    <n v="2025"/>
  </r>
  <r>
    <x v="3918"/>
    <d v="2025-10-17T00:00:00"/>
    <s v="Central"/>
    <s v="Manchester"/>
    <s v="Croissant"/>
    <s v="Food"/>
    <n v="3"/>
    <n v="2.8"/>
    <s v="Card"/>
    <s v="C1505"/>
    <n v="8.3999999999999986"/>
    <s v="Friday"/>
    <s v="October"/>
    <n v="2025"/>
  </r>
  <r>
    <x v="3919"/>
    <d v="2025-10-17T00:00:00"/>
    <s v="High Street"/>
    <s v="Leeds"/>
    <s v="Croissant"/>
    <s v="Food"/>
    <n v="3"/>
    <n v="2.8"/>
    <s v="Cash"/>
    <s v="C1421"/>
    <n v="8.3999999999999986"/>
    <s v="Friday"/>
    <s v="October"/>
    <n v="2025"/>
  </r>
  <r>
    <x v="3920"/>
    <d v="2025-10-17T00:00:00"/>
    <s v="Riverside"/>
    <s v="Birmingham"/>
    <s v="Espresso"/>
    <s v="Drink"/>
    <n v="2"/>
    <n v="2.5"/>
    <s v="Card"/>
    <s v="C1631"/>
    <n v="5"/>
    <s v="Friday"/>
    <s v="October"/>
    <n v="2025"/>
  </r>
  <r>
    <x v="3921"/>
    <d v="2025-10-17T00:00:00"/>
    <s v="Riverside"/>
    <s v="Bristol"/>
    <s v="Muffin"/>
    <s v="Food"/>
    <n v="2"/>
    <n v="2.2000000000000002"/>
    <s v="Card"/>
    <s v="C1147"/>
    <n v="4.4000000000000004"/>
    <s v="Friday"/>
    <s v="October"/>
    <n v="2025"/>
  </r>
  <r>
    <x v="3922"/>
    <d v="2025-10-17T00:00:00"/>
    <s v="High Street"/>
    <s v="Bristol"/>
    <s v="Latte"/>
    <s v="Drink"/>
    <n v="1"/>
    <n v="3.5"/>
    <s v="Card"/>
    <s v="C1211"/>
    <n v="3.5"/>
    <s v="Friday"/>
    <s v="October"/>
    <n v="2025"/>
  </r>
  <r>
    <x v="3923"/>
    <d v="2025-10-18T00:00:00"/>
    <s v="Station"/>
    <s v="London"/>
    <s v="Cappuccino"/>
    <s v="Drink"/>
    <n v="5"/>
    <n v="3.8"/>
    <s v="Apple Pay"/>
    <s v="C1834"/>
    <n v="19"/>
    <s v="Saturday"/>
    <s v="October"/>
    <n v="2025"/>
  </r>
  <r>
    <x v="3924"/>
    <d v="2025-10-18T00:00:00"/>
    <s v="Riverside"/>
    <s v="Manchester"/>
    <s v="Cappuccino"/>
    <s v="Drink"/>
    <n v="5"/>
    <n v="3.8"/>
    <s v="Card"/>
    <s v="C1909"/>
    <n v="19"/>
    <s v="Saturday"/>
    <s v="October"/>
    <n v="2025"/>
  </r>
  <r>
    <x v="3925"/>
    <d v="2025-10-18T00:00:00"/>
    <s v="Riverside"/>
    <s v="Bristol"/>
    <s v="Croissant"/>
    <s v="Food"/>
    <n v="5"/>
    <n v="2.8"/>
    <s v="Cash"/>
    <s v="C1569"/>
    <n v="14"/>
    <s v="Saturday"/>
    <s v="October"/>
    <n v="2025"/>
  </r>
  <r>
    <x v="3926"/>
    <d v="2025-10-18T00:00:00"/>
    <s v="Central"/>
    <s v="Manchester"/>
    <s v="Croissant"/>
    <s v="Food"/>
    <n v="4"/>
    <n v="2.8"/>
    <s v="Apple Pay"/>
    <s v="C1653"/>
    <n v="11.2"/>
    <s v="Saturday"/>
    <s v="October"/>
    <n v="2025"/>
  </r>
  <r>
    <x v="3927"/>
    <d v="2025-10-18T00:00:00"/>
    <s v="High Street"/>
    <s v="Birmingham"/>
    <s v="Espresso"/>
    <s v="Drink"/>
    <n v="4"/>
    <n v="2.5"/>
    <s v="Cash"/>
    <s v="C1687"/>
    <n v="10"/>
    <s v="Saturday"/>
    <s v="October"/>
    <n v="2025"/>
  </r>
  <r>
    <x v="3928"/>
    <d v="2025-10-18T00:00:00"/>
    <s v="Central"/>
    <s v="Manchester"/>
    <s v="Espresso"/>
    <s v="Drink"/>
    <n v="4"/>
    <n v="2.5"/>
    <s v="Card"/>
    <s v="C1078"/>
    <n v="10"/>
    <s v="Saturday"/>
    <s v="October"/>
    <n v="2025"/>
  </r>
  <r>
    <x v="3929"/>
    <d v="2025-10-18T00:00:00"/>
    <s v="Central"/>
    <s v="Bristol"/>
    <s v="Latte"/>
    <s v="Drink"/>
    <n v="2"/>
    <n v="3.5"/>
    <s v="Cash"/>
    <s v="C1727"/>
    <n v="7"/>
    <s v="Saturday"/>
    <s v="October"/>
    <n v="2025"/>
  </r>
  <r>
    <x v="3930"/>
    <d v="2025-10-18T00:00:00"/>
    <s v="High Street"/>
    <s v="Birmingham"/>
    <s v="Muffin"/>
    <s v="Food"/>
    <n v="3"/>
    <n v="2.2000000000000002"/>
    <s v="Apple Pay"/>
    <s v="C1377"/>
    <n v="6.6000000000000005"/>
    <s v="Saturday"/>
    <s v="October"/>
    <n v="2025"/>
  </r>
  <r>
    <x v="3931"/>
    <d v="2025-10-18T00:00:00"/>
    <s v="High Street"/>
    <s v="Birmingham"/>
    <s v="Muffin"/>
    <s v="Food"/>
    <n v="2"/>
    <n v="2.2000000000000002"/>
    <s v="Cash"/>
    <s v="C1294"/>
    <n v="4.4000000000000004"/>
    <s v="Saturday"/>
    <s v="October"/>
    <n v="2025"/>
  </r>
  <r>
    <x v="3932"/>
    <d v="2025-10-18T00:00:00"/>
    <s v="Central"/>
    <s v="Birmingham"/>
    <s v="Croissant"/>
    <s v="Food"/>
    <n v="1"/>
    <n v="2.8"/>
    <s v="Cash"/>
    <s v="C1970"/>
    <n v="2.8"/>
    <s v="Saturday"/>
    <s v="October"/>
    <n v="2025"/>
  </r>
  <r>
    <x v="3933"/>
    <d v="2025-10-19T00:00:00"/>
    <s v="Station"/>
    <s v="Leeds"/>
    <s v="Latte"/>
    <s v="Drink"/>
    <n v="5"/>
    <n v="3.5"/>
    <s v="Apple Pay"/>
    <s v="C1874"/>
    <n v="17.5"/>
    <s v="Sunday"/>
    <s v="October"/>
    <n v="2025"/>
  </r>
  <r>
    <x v="3934"/>
    <d v="2025-10-19T00:00:00"/>
    <s v="Riverside"/>
    <s v="London"/>
    <s v="Latte"/>
    <s v="Drink"/>
    <n v="5"/>
    <n v="3.5"/>
    <s v="Cash"/>
    <s v="C1844"/>
    <n v="17.5"/>
    <s v="Sunday"/>
    <s v="October"/>
    <n v="2025"/>
  </r>
  <r>
    <x v="3935"/>
    <d v="2025-10-19T00:00:00"/>
    <s v="Riverside"/>
    <s v="Manchester"/>
    <s v="Latte"/>
    <s v="Drink"/>
    <n v="4"/>
    <n v="3.5"/>
    <s v="Card"/>
    <s v="C1680"/>
    <n v="14"/>
    <s v="Sunday"/>
    <s v="October"/>
    <n v="2025"/>
  </r>
  <r>
    <x v="3936"/>
    <d v="2025-10-19T00:00:00"/>
    <s v="Station"/>
    <s v="London"/>
    <s v="Latte"/>
    <s v="Drink"/>
    <n v="4"/>
    <n v="3.5"/>
    <s v="Card"/>
    <s v="C1318"/>
    <n v="14"/>
    <s v="Sunday"/>
    <s v="October"/>
    <n v="2025"/>
  </r>
  <r>
    <x v="3937"/>
    <d v="2025-10-19T00:00:00"/>
    <s v="Central"/>
    <s v="Manchester"/>
    <s v="Latte"/>
    <s v="Drink"/>
    <n v="4"/>
    <n v="3.5"/>
    <s v="Apple Pay"/>
    <s v="C1369"/>
    <n v="14"/>
    <s v="Sunday"/>
    <s v="October"/>
    <n v="2025"/>
  </r>
  <r>
    <x v="3938"/>
    <d v="2025-10-19T00:00:00"/>
    <s v="High Street"/>
    <s v="London"/>
    <s v="Cappuccino"/>
    <s v="Drink"/>
    <n v="3"/>
    <n v="3.8"/>
    <s v="Card"/>
    <s v="C1107"/>
    <n v="11.399999999999999"/>
    <s v="Sunday"/>
    <s v="October"/>
    <n v="2025"/>
  </r>
  <r>
    <x v="3939"/>
    <d v="2025-10-19T00:00:00"/>
    <s v="Riverside"/>
    <s v="London"/>
    <s v="Croissant"/>
    <s v="Food"/>
    <n v="4"/>
    <n v="2.8"/>
    <s v="Card"/>
    <s v="C1787"/>
    <n v="11.2"/>
    <s v="Sunday"/>
    <s v="October"/>
    <n v="2025"/>
  </r>
  <r>
    <x v="3940"/>
    <d v="2025-10-19T00:00:00"/>
    <s v="Station"/>
    <s v="London"/>
    <s v="Muffin"/>
    <s v="Food"/>
    <n v="4"/>
    <n v="2.2000000000000002"/>
    <s v="Apple Pay"/>
    <s v="C1945"/>
    <n v="8.8000000000000007"/>
    <s v="Sunday"/>
    <s v="October"/>
    <n v="2025"/>
  </r>
  <r>
    <x v="3941"/>
    <d v="2025-10-19T00:00:00"/>
    <s v="Riverside"/>
    <s v="London"/>
    <s v="Muffin"/>
    <s v="Food"/>
    <n v="4"/>
    <n v="2.2000000000000002"/>
    <s v="Card"/>
    <s v="C1846"/>
    <n v="8.8000000000000007"/>
    <s v="Sunday"/>
    <s v="October"/>
    <n v="2025"/>
  </r>
  <r>
    <x v="3942"/>
    <d v="2025-10-19T00:00:00"/>
    <s v="Central"/>
    <s v="Leeds"/>
    <s v="Latte"/>
    <s v="Drink"/>
    <n v="2"/>
    <n v="3.5"/>
    <s v="Card"/>
    <s v="C1469"/>
    <n v="7"/>
    <s v="Sunday"/>
    <s v="October"/>
    <n v="2025"/>
  </r>
  <r>
    <x v="3943"/>
    <d v="2025-10-19T00:00:00"/>
    <s v="Central"/>
    <s v="Leeds"/>
    <s v="Espresso"/>
    <s v="Drink"/>
    <n v="2"/>
    <n v="2.5"/>
    <s v="Card"/>
    <s v="C1707"/>
    <n v="5"/>
    <s v="Sunday"/>
    <s v="October"/>
    <n v="2025"/>
  </r>
  <r>
    <x v="3944"/>
    <d v="2025-10-19T00:00:00"/>
    <s v="High Street"/>
    <s v="Leeds"/>
    <s v="Muffin"/>
    <s v="Food"/>
    <n v="2"/>
    <n v="2.2000000000000002"/>
    <s v="Apple Pay"/>
    <s v="C1239"/>
    <n v="4.4000000000000004"/>
    <s v="Sunday"/>
    <s v="October"/>
    <n v="2025"/>
  </r>
  <r>
    <x v="3945"/>
    <d v="2025-10-19T00:00:00"/>
    <s v="High Street"/>
    <s v="Bristol"/>
    <s v="Cappuccino"/>
    <s v="Drink"/>
    <n v="1"/>
    <n v="3.8"/>
    <s v="Cash"/>
    <s v="C1158"/>
    <n v="3.8"/>
    <s v="Sunday"/>
    <s v="October"/>
    <n v="2025"/>
  </r>
  <r>
    <x v="3946"/>
    <d v="2025-10-19T00:00:00"/>
    <s v="Station"/>
    <s v="London"/>
    <s v="Espresso"/>
    <s v="Drink"/>
    <n v="1"/>
    <n v="2.5"/>
    <s v="Apple Pay"/>
    <s v="C1125"/>
    <n v="2.5"/>
    <s v="Sunday"/>
    <s v="October"/>
    <n v="2025"/>
  </r>
  <r>
    <x v="3947"/>
    <d v="2025-10-20T00:00:00"/>
    <s v="High Street"/>
    <s v="Birmingham"/>
    <s v="Latte"/>
    <s v="Drink"/>
    <n v="5"/>
    <n v="3.5"/>
    <s v="Cash"/>
    <s v="C1017"/>
    <n v="17.5"/>
    <s v="Monday"/>
    <s v="October"/>
    <n v="2025"/>
  </r>
  <r>
    <x v="3948"/>
    <d v="2025-10-20T00:00:00"/>
    <s v="Central"/>
    <s v="Bristol"/>
    <s v="Cappuccino"/>
    <s v="Drink"/>
    <n v="4"/>
    <n v="3.8"/>
    <s v="Cash"/>
    <s v="C1622"/>
    <n v="15.2"/>
    <s v="Monday"/>
    <s v="October"/>
    <n v="2025"/>
  </r>
  <r>
    <x v="3949"/>
    <d v="2025-10-20T00:00:00"/>
    <s v="Station"/>
    <s v="Bristol"/>
    <s v="Latte"/>
    <s v="Drink"/>
    <n v="4"/>
    <n v="3.5"/>
    <s v="Cash"/>
    <s v="C1419"/>
    <n v="14"/>
    <s v="Monday"/>
    <s v="October"/>
    <n v="2025"/>
  </r>
  <r>
    <x v="3950"/>
    <d v="2025-10-20T00:00:00"/>
    <s v="High Street"/>
    <s v="Bristol"/>
    <s v="Croissant"/>
    <s v="Food"/>
    <n v="4"/>
    <n v="2.8"/>
    <s v="Cash"/>
    <s v="C1393"/>
    <n v="11.2"/>
    <s v="Monday"/>
    <s v="October"/>
    <n v="2025"/>
  </r>
  <r>
    <x v="3951"/>
    <d v="2025-10-20T00:00:00"/>
    <s v="High Street"/>
    <s v="London"/>
    <s v="Croissant"/>
    <s v="Food"/>
    <n v="4"/>
    <n v="2.8"/>
    <s v="Card"/>
    <s v="C1564"/>
    <n v="11.2"/>
    <s v="Monday"/>
    <s v="October"/>
    <n v="2025"/>
  </r>
  <r>
    <x v="3952"/>
    <d v="2025-10-20T00:00:00"/>
    <s v="High Street"/>
    <s v="Birmingham"/>
    <s v="Latte"/>
    <s v="Drink"/>
    <n v="3"/>
    <n v="3.5"/>
    <s v="Apple Pay"/>
    <s v="C1480"/>
    <n v="10.5"/>
    <s v="Monday"/>
    <s v="October"/>
    <n v="2025"/>
  </r>
  <r>
    <x v="3953"/>
    <d v="2025-10-20T00:00:00"/>
    <s v="Central"/>
    <s v="Manchester"/>
    <s v="Muffin"/>
    <s v="Food"/>
    <n v="4"/>
    <n v="2.2000000000000002"/>
    <s v="Cash"/>
    <s v="C1752"/>
    <n v="8.8000000000000007"/>
    <s v="Monday"/>
    <s v="October"/>
    <n v="2025"/>
  </r>
  <r>
    <x v="3954"/>
    <d v="2025-10-20T00:00:00"/>
    <s v="High Street"/>
    <s v="Birmingham"/>
    <s v="Cappuccino"/>
    <s v="Drink"/>
    <n v="2"/>
    <n v="3.8"/>
    <s v="Cash"/>
    <s v="C1419"/>
    <n v="7.6"/>
    <s v="Monday"/>
    <s v="October"/>
    <n v="2025"/>
  </r>
  <r>
    <x v="3955"/>
    <d v="2025-10-20T00:00:00"/>
    <s v="High Street"/>
    <s v="Manchester"/>
    <s v="Espresso"/>
    <s v="Drink"/>
    <n v="3"/>
    <n v="2.5"/>
    <s v="Cash"/>
    <s v="C1479"/>
    <n v="7.5"/>
    <s v="Monday"/>
    <s v="October"/>
    <n v="2025"/>
  </r>
  <r>
    <x v="3956"/>
    <d v="2025-10-20T00:00:00"/>
    <s v="Central"/>
    <s v="Bristol"/>
    <s v="Muffin"/>
    <s v="Food"/>
    <n v="3"/>
    <n v="2.2000000000000002"/>
    <s v="Cash"/>
    <s v="C1040"/>
    <n v="6.6000000000000005"/>
    <s v="Monday"/>
    <s v="October"/>
    <n v="2025"/>
  </r>
  <r>
    <x v="3957"/>
    <d v="2025-10-20T00:00:00"/>
    <s v="Central"/>
    <s v="Manchester"/>
    <s v="Muffin"/>
    <s v="Food"/>
    <n v="3"/>
    <n v="2.2000000000000002"/>
    <s v="Cash"/>
    <s v="C1828"/>
    <n v="6.6000000000000005"/>
    <s v="Monday"/>
    <s v="October"/>
    <n v="2025"/>
  </r>
  <r>
    <x v="3958"/>
    <d v="2025-10-20T00:00:00"/>
    <s v="Central"/>
    <s v="Leeds"/>
    <s v="Muffin"/>
    <s v="Food"/>
    <n v="2"/>
    <n v="2.2000000000000002"/>
    <s v="Cash"/>
    <s v="C1322"/>
    <n v="4.4000000000000004"/>
    <s v="Monday"/>
    <s v="October"/>
    <n v="2025"/>
  </r>
  <r>
    <x v="3959"/>
    <d v="2025-10-20T00:00:00"/>
    <s v="Station"/>
    <s v="Leeds"/>
    <s v="Cappuccino"/>
    <s v="Drink"/>
    <n v="1"/>
    <n v="3.8"/>
    <s v="Card"/>
    <s v="C1897"/>
    <n v="3.8"/>
    <s v="Monday"/>
    <s v="October"/>
    <n v="2025"/>
  </r>
  <r>
    <x v="3960"/>
    <d v="2025-10-20T00:00:00"/>
    <s v="Station"/>
    <s v="Manchester"/>
    <s v="Cappuccino"/>
    <s v="Drink"/>
    <n v="1"/>
    <n v="3.8"/>
    <s v="Apple Pay"/>
    <s v="C1945"/>
    <n v="3.8"/>
    <s v="Monday"/>
    <s v="October"/>
    <n v="2025"/>
  </r>
  <r>
    <x v="3961"/>
    <d v="2025-10-20T00:00:00"/>
    <s v="High Street"/>
    <s v="Bristol"/>
    <s v="Latte"/>
    <s v="Drink"/>
    <n v="1"/>
    <n v="3.5"/>
    <s v="Cash"/>
    <s v="C1538"/>
    <n v="3.5"/>
    <s v="Monday"/>
    <s v="October"/>
    <n v="2025"/>
  </r>
  <r>
    <x v="3962"/>
    <d v="2025-10-20T00:00:00"/>
    <s v="Station"/>
    <s v="Bristol"/>
    <s v="Muffin"/>
    <s v="Food"/>
    <n v="1"/>
    <n v="2.2000000000000002"/>
    <s v="Apple Pay"/>
    <s v="C1017"/>
    <n v="2.2000000000000002"/>
    <s v="Monday"/>
    <s v="October"/>
    <n v="2025"/>
  </r>
  <r>
    <x v="3963"/>
    <d v="2025-10-21T00:00:00"/>
    <s v="High Street"/>
    <s v="Bristol"/>
    <s v="Cappuccino"/>
    <s v="Drink"/>
    <n v="5"/>
    <n v="3.8"/>
    <s v="Card"/>
    <s v="C1787"/>
    <n v="19"/>
    <s v="Tuesday"/>
    <s v="October"/>
    <n v="2025"/>
  </r>
  <r>
    <x v="3964"/>
    <d v="2025-10-21T00:00:00"/>
    <s v="High Street"/>
    <s v="Bristol"/>
    <s v="Latte"/>
    <s v="Drink"/>
    <n v="5"/>
    <n v="3.5"/>
    <s v="Cash"/>
    <s v="C1111"/>
    <n v="17.5"/>
    <s v="Tuesday"/>
    <s v="October"/>
    <n v="2025"/>
  </r>
  <r>
    <x v="3965"/>
    <d v="2025-10-21T00:00:00"/>
    <s v="High Street"/>
    <s v="N/A"/>
    <s v="Latte"/>
    <s v="Drink"/>
    <n v="4"/>
    <n v="3.5"/>
    <s v="Card"/>
    <s v="C1700"/>
    <n v="14"/>
    <s v="Tuesday"/>
    <s v="October"/>
    <n v="2025"/>
  </r>
  <r>
    <x v="3966"/>
    <d v="2025-10-21T00:00:00"/>
    <s v="High Street"/>
    <s v="Leeds"/>
    <s v="Croissant"/>
    <s v="Food"/>
    <n v="5"/>
    <n v="2.8"/>
    <s v="Card"/>
    <s v="C1991"/>
    <n v="14"/>
    <s v="Tuesday"/>
    <s v="October"/>
    <n v="2025"/>
  </r>
  <r>
    <x v="3967"/>
    <d v="2025-10-21T00:00:00"/>
    <s v="Riverside"/>
    <s v="Manchester"/>
    <s v="Croissant"/>
    <s v="Food"/>
    <n v="4"/>
    <n v="2.8"/>
    <s v="Cash"/>
    <s v="C1203"/>
    <n v="11.2"/>
    <s v="Tuesday"/>
    <s v="October"/>
    <n v="2025"/>
  </r>
  <r>
    <x v="3968"/>
    <d v="2025-10-21T00:00:00"/>
    <s v="Station"/>
    <s v="Manchester"/>
    <s v="Croissant"/>
    <s v="Food"/>
    <n v="4"/>
    <n v="2.8"/>
    <s v="Cash"/>
    <s v="C1016"/>
    <n v="11.2"/>
    <s v="Tuesday"/>
    <s v="October"/>
    <n v="2025"/>
  </r>
  <r>
    <x v="3969"/>
    <d v="2025-10-21T00:00:00"/>
    <s v="Central"/>
    <s v="Bristol"/>
    <s v="Muffin"/>
    <s v="Food"/>
    <n v="5"/>
    <n v="2.2000000000000002"/>
    <s v="Card"/>
    <s v="C1966"/>
    <n v="11"/>
    <s v="Tuesday"/>
    <s v="October"/>
    <n v="2025"/>
  </r>
  <r>
    <x v="3970"/>
    <d v="2025-10-21T00:00:00"/>
    <s v="High Street"/>
    <s v="Bristol"/>
    <s v="Latte"/>
    <s v="Drink"/>
    <n v="3"/>
    <n v="3.5"/>
    <s v="Cash"/>
    <s v="C1422"/>
    <n v="10.5"/>
    <s v="Tuesday"/>
    <s v="October"/>
    <n v="2025"/>
  </r>
  <r>
    <x v="3971"/>
    <d v="2025-10-21T00:00:00"/>
    <s v="Riverside"/>
    <s v="Birmingham"/>
    <s v="Espresso"/>
    <s v="Drink"/>
    <n v="4"/>
    <n v="2.5"/>
    <s v="Apple Pay"/>
    <s v="C1933"/>
    <n v="10"/>
    <s v="Tuesday"/>
    <s v="October"/>
    <n v="2025"/>
  </r>
  <r>
    <x v="3972"/>
    <d v="2025-10-21T00:00:00"/>
    <s v="Station"/>
    <s v="Bristol"/>
    <s v="Croissant"/>
    <s v="Food"/>
    <n v="3"/>
    <n v="2.8"/>
    <s v="Apple Pay"/>
    <s v="C1905"/>
    <n v="8.3999999999999986"/>
    <s v="Tuesday"/>
    <s v="October"/>
    <n v="2025"/>
  </r>
  <r>
    <x v="3973"/>
    <d v="2025-10-21T00:00:00"/>
    <s v="High Street"/>
    <s v="Birmingham"/>
    <s v="Croissant"/>
    <s v="Food"/>
    <n v="3"/>
    <n v="2.8"/>
    <s v="Card"/>
    <s v="C1678"/>
    <n v="8.3999999999999986"/>
    <s v="Tuesday"/>
    <s v="October"/>
    <n v="2025"/>
  </r>
  <r>
    <x v="3974"/>
    <d v="2025-10-21T00:00:00"/>
    <s v="High Street"/>
    <s v="Leeds"/>
    <s v="Latte"/>
    <s v="Drink"/>
    <n v="2"/>
    <n v="3.5"/>
    <s v="Apple Pay"/>
    <s v="C1735"/>
    <n v="7"/>
    <s v="Tuesday"/>
    <s v="October"/>
    <n v="2025"/>
  </r>
  <r>
    <x v="3975"/>
    <d v="2025-10-21T00:00:00"/>
    <s v="Station"/>
    <s v="London"/>
    <s v="Croissant"/>
    <s v="Food"/>
    <n v="2"/>
    <n v="2.8"/>
    <s v="Cash"/>
    <s v="C1051"/>
    <n v="5.6"/>
    <s v="Tuesday"/>
    <s v="October"/>
    <n v="2025"/>
  </r>
  <r>
    <x v="3976"/>
    <d v="2025-10-21T00:00:00"/>
    <s v="Station"/>
    <s v="N/A"/>
    <s v="Espresso"/>
    <s v="Drink"/>
    <n v="2"/>
    <n v="2.5"/>
    <s v="Card"/>
    <s v="C1640"/>
    <n v="5"/>
    <s v="Tuesday"/>
    <s v="October"/>
    <n v="2025"/>
  </r>
  <r>
    <x v="3977"/>
    <d v="2025-10-21T00:00:00"/>
    <s v="Central"/>
    <s v="London"/>
    <s v="Muffin"/>
    <s v="Food"/>
    <n v="2"/>
    <n v="2.2000000000000002"/>
    <s v="Card"/>
    <s v="C1589"/>
    <n v="4.4000000000000004"/>
    <s v="Tuesday"/>
    <s v="October"/>
    <n v="2025"/>
  </r>
  <r>
    <x v="3978"/>
    <d v="2025-10-21T00:00:00"/>
    <s v="Station"/>
    <s v="Birmingham"/>
    <s v="Muffin"/>
    <s v="Food"/>
    <n v="2"/>
    <n v="2.2000000000000002"/>
    <s v="Cash"/>
    <s v="C1234"/>
    <n v="4.4000000000000004"/>
    <s v="Tuesday"/>
    <s v="October"/>
    <n v="2025"/>
  </r>
  <r>
    <x v="3979"/>
    <d v="2025-10-21T00:00:00"/>
    <s v="High Street"/>
    <s v="Bristol"/>
    <s v="Latte"/>
    <s v="Drink"/>
    <n v="1"/>
    <n v="3.5"/>
    <s v="Cash"/>
    <s v="C1780"/>
    <n v="3.5"/>
    <s v="Tuesday"/>
    <s v="October"/>
    <n v="2025"/>
  </r>
  <r>
    <x v="3980"/>
    <d v="2025-10-21T00:00:00"/>
    <s v="Station"/>
    <s v="Leeds"/>
    <s v="Croissant"/>
    <s v="Food"/>
    <n v="1"/>
    <n v="2.8"/>
    <s v="Card"/>
    <s v="C1521"/>
    <n v="2.8"/>
    <s v="Tuesday"/>
    <s v="October"/>
    <n v="2025"/>
  </r>
  <r>
    <x v="3981"/>
    <d v="2025-10-22T00:00:00"/>
    <s v="Riverside"/>
    <s v="Leeds"/>
    <s v="Croissant"/>
    <s v="Food"/>
    <n v="5"/>
    <n v="2.8"/>
    <s v="Cash"/>
    <s v="C1938"/>
    <n v="14"/>
    <s v="Wednesday"/>
    <s v="October"/>
    <n v="2025"/>
  </r>
  <r>
    <x v="3982"/>
    <d v="2025-10-22T00:00:00"/>
    <s v="Station"/>
    <s v="Leeds"/>
    <s v="Croissant"/>
    <s v="Food"/>
    <n v="5"/>
    <n v="2.8"/>
    <s v="Apple Pay"/>
    <s v="C1499"/>
    <n v="14"/>
    <s v="Wednesday"/>
    <s v="October"/>
    <n v="2025"/>
  </r>
  <r>
    <x v="3983"/>
    <d v="2025-10-22T00:00:00"/>
    <s v="Station"/>
    <s v="Leeds"/>
    <s v="Cappuccino"/>
    <s v="Drink"/>
    <n v="3"/>
    <n v="3.8"/>
    <s v="Cash"/>
    <s v="C1972"/>
    <n v="11.399999999999999"/>
    <s v="Wednesday"/>
    <s v="October"/>
    <n v="2025"/>
  </r>
  <r>
    <x v="3984"/>
    <d v="2025-10-22T00:00:00"/>
    <s v="Station"/>
    <s v="Bristol"/>
    <s v="Cappuccino"/>
    <s v="Drink"/>
    <n v="3"/>
    <n v="3.8"/>
    <s v="Apple Pay"/>
    <s v="C1414"/>
    <n v="11.399999999999999"/>
    <s v="Wednesday"/>
    <s v="October"/>
    <n v="2025"/>
  </r>
  <r>
    <x v="3985"/>
    <d v="2025-10-22T00:00:00"/>
    <s v="Riverside"/>
    <s v="London"/>
    <s v="Cappuccino"/>
    <s v="Drink"/>
    <n v="3"/>
    <n v="3.8"/>
    <s v="Card"/>
    <s v="C1550"/>
    <n v="11.399999999999999"/>
    <s v="Wednesday"/>
    <s v="October"/>
    <n v="2025"/>
  </r>
  <r>
    <x v="3986"/>
    <d v="2025-10-22T00:00:00"/>
    <s v="Station"/>
    <s v="Birmingham"/>
    <s v="Croissant"/>
    <s v="Food"/>
    <n v="4"/>
    <n v="2.8"/>
    <s v="Apple Pay"/>
    <s v="C1833"/>
    <n v="11.2"/>
    <s v="Wednesday"/>
    <s v="October"/>
    <n v="2025"/>
  </r>
  <r>
    <x v="3987"/>
    <d v="2025-10-22T00:00:00"/>
    <s v="Station"/>
    <s v="Leeds"/>
    <s v="Latte"/>
    <s v="Drink"/>
    <n v="3"/>
    <n v="3.5"/>
    <s v="Card"/>
    <s v="C1580"/>
    <n v="10.5"/>
    <s v="Wednesday"/>
    <s v="October"/>
    <n v="2025"/>
  </r>
  <r>
    <x v="3988"/>
    <d v="2025-10-22T00:00:00"/>
    <s v="High Street"/>
    <s v="Birmingham"/>
    <s v="Espresso"/>
    <s v="Drink"/>
    <n v="4"/>
    <n v="2.5"/>
    <s v="Cash"/>
    <s v="C1027"/>
    <n v="10"/>
    <s v="Wednesday"/>
    <s v="October"/>
    <n v="2025"/>
  </r>
  <r>
    <x v="3989"/>
    <d v="2025-10-22T00:00:00"/>
    <s v="Station"/>
    <s v="London"/>
    <s v="Croissant"/>
    <s v="Food"/>
    <n v="3"/>
    <n v="2.8"/>
    <s v="Card"/>
    <s v="C1598"/>
    <n v="8.3999999999999986"/>
    <s v="Wednesday"/>
    <s v="October"/>
    <n v="2025"/>
  </r>
  <r>
    <x v="3990"/>
    <d v="2025-10-22T00:00:00"/>
    <s v="Riverside"/>
    <s v="Leeds"/>
    <s v="Espresso"/>
    <s v="Drink"/>
    <n v="3"/>
    <n v="2.5"/>
    <s v="Cash"/>
    <s v="C1209"/>
    <n v="7.5"/>
    <s v="Wednesday"/>
    <s v="October"/>
    <n v="2025"/>
  </r>
  <r>
    <x v="3991"/>
    <d v="2025-10-22T00:00:00"/>
    <s v="Central"/>
    <s v="Manchester"/>
    <s v="Latte"/>
    <s v="Drink"/>
    <n v="2"/>
    <n v="3.5"/>
    <s v="Cash"/>
    <s v="C1173"/>
    <n v="7"/>
    <s v="Wednesday"/>
    <s v="October"/>
    <n v="2025"/>
  </r>
  <r>
    <x v="3992"/>
    <d v="2025-10-22T00:00:00"/>
    <s v="Riverside"/>
    <s v="Bristol"/>
    <s v="Croissant"/>
    <s v="Food"/>
    <n v="2"/>
    <n v="2.8"/>
    <s v="Card"/>
    <s v="C1676"/>
    <n v="5.6"/>
    <s v="Wednesday"/>
    <s v="October"/>
    <n v="2025"/>
  </r>
  <r>
    <x v="3993"/>
    <d v="2025-10-22T00:00:00"/>
    <s v="Station"/>
    <s v="Bristol"/>
    <s v="Croissant"/>
    <s v="Food"/>
    <n v="1"/>
    <n v="2.8"/>
    <s v="Apple Pay"/>
    <s v="C1785"/>
    <n v="2.8"/>
    <s v="Wednesday"/>
    <s v="October"/>
    <n v="2025"/>
  </r>
  <r>
    <x v="3994"/>
    <d v="2025-10-23T00:00:00"/>
    <s v="Station"/>
    <s v="Bristol"/>
    <s v="Latte"/>
    <s v="Drink"/>
    <n v="5"/>
    <n v="3.5"/>
    <s v="Apple Pay"/>
    <s v="C1407"/>
    <n v="17.5"/>
    <s v="Thursday"/>
    <s v="October"/>
    <n v="2025"/>
  </r>
  <r>
    <x v="3995"/>
    <d v="2025-10-23T00:00:00"/>
    <s v="Station"/>
    <s v="Leeds"/>
    <s v="Latte"/>
    <s v="Drink"/>
    <n v="5"/>
    <n v="3.5"/>
    <s v="Card"/>
    <s v="C1024"/>
    <n v="17.5"/>
    <s v="Thursday"/>
    <s v="October"/>
    <n v="2025"/>
  </r>
  <r>
    <x v="3996"/>
    <d v="2025-10-23T00:00:00"/>
    <s v="High Street"/>
    <s v="Manchester"/>
    <s v="Cappuccino"/>
    <s v="Drink"/>
    <n v="4"/>
    <n v="3.8"/>
    <s v="Card"/>
    <s v="C1100"/>
    <n v="15.2"/>
    <s v="Thursday"/>
    <s v="October"/>
    <n v="2025"/>
  </r>
  <r>
    <x v="3997"/>
    <d v="2025-10-23T00:00:00"/>
    <s v="Riverside"/>
    <s v="Bristol"/>
    <s v="Muffin"/>
    <s v="Food"/>
    <n v="5"/>
    <n v="2.2000000000000002"/>
    <s v="Apple Pay"/>
    <s v="C1168"/>
    <n v="11"/>
    <s v="Thursday"/>
    <s v="October"/>
    <n v="2025"/>
  </r>
  <r>
    <x v="3998"/>
    <d v="2025-10-23T00:00:00"/>
    <s v="High Street"/>
    <s v="Leeds"/>
    <s v="Muffin"/>
    <s v="Food"/>
    <n v="5"/>
    <n v="2.2000000000000002"/>
    <s v="Card"/>
    <s v="C1590"/>
    <n v="11"/>
    <s v="Thursday"/>
    <s v="October"/>
    <n v="2025"/>
  </r>
  <r>
    <x v="3999"/>
    <d v="2025-10-23T00:00:00"/>
    <s v="Riverside"/>
    <s v="Manchester"/>
    <s v="Latte"/>
    <s v="Drink"/>
    <n v="3"/>
    <n v="3.5"/>
    <s v="Cash"/>
    <s v="C1971"/>
    <n v="10.5"/>
    <s v="Thursday"/>
    <s v="October"/>
    <n v="2025"/>
  </r>
  <r>
    <x v="4000"/>
    <d v="2025-10-23T00:00:00"/>
    <s v="Riverside"/>
    <s v="London"/>
    <s v="Espresso"/>
    <s v="Drink"/>
    <n v="4"/>
    <n v="2.5"/>
    <s v="Cash"/>
    <s v="C1865"/>
    <n v="10"/>
    <s v="Thursday"/>
    <s v="October"/>
    <n v="2025"/>
  </r>
  <r>
    <x v="4001"/>
    <d v="2025-10-23T00:00:00"/>
    <s v="Station"/>
    <s v="Leeds"/>
    <s v="Croissant"/>
    <s v="Food"/>
    <n v="3"/>
    <n v="2.8"/>
    <s v="Cash"/>
    <s v="C1986"/>
    <n v="8.3999999999999986"/>
    <s v="Thursday"/>
    <s v="October"/>
    <n v="2025"/>
  </r>
  <r>
    <x v="4002"/>
    <d v="2025-10-23T00:00:00"/>
    <s v="Riverside"/>
    <s v="Birmingham"/>
    <s v="Cappuccino"/>
    <s v="Drink"/>
    <n v="2"/>
    <n v="3.8"/>
    <s v="Cash"/>
    <s v="C1301"/>
    <n v="7.6"/>
    <s v="Thursday"/>
    <s v="October"/>
    <n v="2025"/>
  </r>
  <r>
    <x v="4003"/>
    <d v="2025-10-23T00:00:00"/>
    <s v="Central"/>
    <s v="London"/>
    <s v="Muffin"/>
    <s v="Food"/>
    <n v="3"/>
    <n v="2.2000000000000002"/>
    <s v="Cash"/>
    <s v="C1047"/>
    <n v="6.6000000000000005"/>
    <s v="Thursday"/>
    <s v="October"/>
    <n v="2025"/>
  </r>
  <r>
    <x v="4004"/>
    <d v="2025-10-23T00:00:00"/>
    <s v="Riverside"/>
    <s v="Manchester"/>
    <s v="Espresso"/>
    <s v="Drink"/>
    <n v="2"/>
    <n v="2.5"/>
    <s v="Cash"/>
    <s v="C1902"/>
    <n v="5"/>
    <s v="Thursday"/>
    <s v="October"/>
    <n v="2025"/>
  </r>
  <r>
    <x v="4005"/>
    <d v="2025-10-23T00:00:00"/>
    <s v="Station"/>
    <s v="Birmingham"/>
    <s v="Muffin"/>
    <s v="Food"/>
    <n v="2"/>
    <n v="2.2000000000000002"/>
    <s v="Cash"/>
    <s v="C1484"/>
    <n v="4.4000000000000004"/>
    <s v="Thursday"/>
    <s v="October"/>
    <n v="2025"/>
  </r>
  <r>
    <x v="4006"/>
    <d v="2025-10-23T00:00:00"/>
    <s v="Station"/>
    <s v="Birmingham"/>
    <s v="Cappuccino"/>
    <s v="Drink"/>
    <n v="1"/>
    <n v="3.8"/>
    <s v="Apple Pay"/>
    <s v="C1997"/>
    <n v="3.8"/>
    <s v="Thursday"/>
    <s v="October"/>
    <n v="2025"/>
  </r>
  <r>
    <x v="4007"/>
    <d v="2025-10-23T00:00:00"/>
    <s v="Station"/>
    <s v="Birmingham"/>
    <s v="Cappuccino"/>
    <s v="Drink"/>
    <n v="1"/>
    <n v="3.8"/>
    <s v="Card"/>
    <s v="C1029"/>
    <n v="3.8"/>
    <s v="Thursday"/>
    <s v="October"/>
    <n v="2025"/>
  </r>
  <r>
    <x v="4008"/>
    <d v="2025-10-23T00:00:00"/>
    <s v="Station"/>
    <s v="Manchester"/>
    <s v="Latte"/>
    <s v="Drink"/>
    <n v="1"/>
    <n v="3.5"/>
    <s v="Apple Pay"/>
    <s v="C1796"/>
    <n v="3.5"/>
    <s v="Thursday"/>
    <s v="October"/>
    <n v="2025"/>
  </r>
  <r>
    <x v="4009"/>
    <d v="2025-10-23T00:00:00"/>
    <s v="Central"/>
    <s v="London"/>
    <s v="Muffin"/>
    <s v="Food"/>
    <n v="1"/>
    <n v="2.2000000000000002"/>
    <s v="Apple Pay"/>
    <s v="C1985"/>
    <n v="2.2000000000000002"/>
    <s v="Thursday"/>
    <s v="October"/>
    <n v="2025"/>
  </r>
  <r>
    <x v="4010"/>
    <d v="2025-10-23T00:00:00"/>
    <s v="High Street"/>
    <s v="Leeds"/>
    <s v="Muffin"/>
    <s v="Food"/>
    <n v="1"/>
    <n v="2.2000000000000002"/>
    <s v="Card"/>
    <s v="C1429"/>
    <n v="2.2000000000000002"/>
    <s v="Thursday"/>
    <s v="October"/>
    <n v="2025"/>
  </r>
  <r>
    <x v="4011"/>
    <d v="2025-10-24T00:00:00"/>
    <s v="High Street"/>
    <s v="Birmingham"/>
    <s v="Cappuccino"/>
    <s v="Drink"/>
    <n v="5"/>
    <n v="3.8"/>
    <s v="Cash"/>
    <s v="C1888"/>
    <n v="19"/>
    <s v="Friday"/>
    <s v="October"/>
    <n v="2025"/>
  </r>
  <r>
    <x v="4012"/>
    <d v="2025-10-24T00:00:00"/>
    <s v="Station"/>
    <s v="Manchester"/>
    <s v="Cappuccino"/>
    <s v="Drink"/>
    <n v="5"/>
    <n v="3.8"/>
    <s v="Apple Pay"/>
    <s v="C1681"/>
    <n v="19"/>
    <s v="Friday"/>
    <s v="October"/>
    <n v="2025"/>
  </r>
  <r>
    <x v="4013"/>
    <d v="2025-10-24T00:00:00"/>
    <s v="Station"/>
    <s v="Manchester"/>
    <s v="Cappuccino"/>
    <s v="Drink"/>
    <n v="5"/>
    <n v="3.8"/>
    <s v="Cash"/>
    <s v="C1468"/>
    <n v="19"/>
    <s v="Friday"/>
    <s v="October"/>
    <n v="2025"/>
  </r>
  <r>
    <x v="4014"/>
    <d v="2025-10-24T00:00:00"/>
    <s v="Riverside"/>
    <s v="Birmingham"/>
    <s v="Latte"/>
    <s v="Drink"/>
    <n v="5"/>
    <n v="3.5"/>
    <s v="Apple Pay"/>
    <s v="C1455"/>
    <n v="17.5"/>
    <s v="Friday"/>
    <s v="October"/>
    <n v="2025"/>
  </r>
  <r>
    <x v="4015"/>
    <d v="2025-10-24T00:00:00"/>
    <s v="Central"/>
    <s v="Manchester"/>
    <s v="Cappuccino"/>
    <s v="Drink"/>
    <n v="4"/>
    <n v="3.8"/>
    <s v="Apple Pay"/>
    <s v="C1804"/>
    <n v="15.2"/>
    <s v="Friday"/>
    <s v="October"/>
    <n v="2025"/>
  </r>
  <r>
    <x v="4016"/>
    <d v="2025-10-24T00:00:00"/>
    <s v="Riverside"/>
    <s v="Bristol"/>
    <s v="Croissant"/>
    <s v="Food"/>
    <n v="5"/>
    <n v="2.8"/>
    <s v="Cash"/>
    <s v="C1598"/>
    <n v="14"/>
    <s v="Friday"/>
    <s v="October"/>
    <n v="2025"/>
  </r>
  <r>
    <x v="4017"/>
    <d v="2025-10-24T00:00:00"/>
    <s v="High Street"/>
    <s v="Birmingham"/>
    <s v="Espresso"/>
    <s v="Drink"/>
    <n v="5"/>
    <n v="2.5"/>
    <s v="Cash"/>
    <s v="C1306"/>
    <n v="12.5"/>
    <s v="Friday"/>
    <s v="October"/>
    <n v="2025"/>
  </r>
  <r>
    <x v="4018"/>
    <d v="2025-10-24T00:00:00"/>
    <s v="Riverside"/>
    <s v="Leeds"/>
    <s v="Espresso"/>
    <s v="Drink"/>
    <n v="5"/>
    <n v="2.5"/>
    <s v="Cash"/>
    <s v="C1165"/>
    <n v="12.5"/>
    <s v="Friday"/>
    <s v="October"/>
    <n v="2025"/>
  </r>
  <r>
    <x v="4019"/>
    <d v="2025-10-24T00:00:00"/>
    <s v="Riverside"/>
    <s v="Leeds"/>
    <s v="Cappuccino"/>
    <s v="Drink"/>
    <n v="3"/>
    <n v="3.8"/>
    <s v="Cash"/>
    <s v="C1795"/>
    <n v="11.399999999999999"/>
    <s v="Friday"/>
    <s v="October"/>
    <n v="2025"/>
  </r>
  <r>
    <x v="4020"/>
    <d v="2025-10-24T00:00:00"/>
    <s v="High Street"/>
    <s v="Leeds"/>
    <s v="Croissant"/>
    <s v="Food"/>
    <n v="3"/>
    <n v="2.8"/>
    <s v="Apple Pay"/>
    <s v="C1724"/>
    <n v="8.3999999999999986"/>
    <s v="Friday"/>
    <s v="October"/>
    <n v="2025"/>
  </r>
  <r>
    <x v="4021"/>
    <d v="2025-10-24T00:00:00"/>
    <s v="Station"/>
    <s v="Birmingham"/>
    <s v="Cappuccino"/>
    <s v="Drink"/>
    <n v="2"/>
    <n v="3.8"/>
    <s v="Apple Pay"/>
    <s v="C1924"/>
    <n v="7.6"/>
    <s v="Friday"/>
    <s v="October"/>
    <n v="2025"/>
  </r>
  <r>
    <x v="4022"/>
    <d v="2025-10-24T00:00:00"/>
    <s v="High Street"/>
    <s v="Leeds"/>
    <s v="Espresso"/>
    <s v="Drink"/>
    <n v="3"/>
    <n v="2.5"/>
    <s v="Card"/>
    <s v="C1762"/>
    <n v="7.5"/>
    <s v="Friday"/>
    <s v="October"/>
    <n v="2025"/>
  </r>
  <r>
    <x v="4023"/>
    <d v="2025-10-24T00:00:00"/>
    <s v="Station"/>
    <s v="Bristol"/>
    <s v="Latte"/>
    <s v="Drink"/>
    <n v="2"/>
    <n v="3.5"/>
    <s v="Apple Pay"/>
    <s v="C1473"/>
    <n v="7"/>
    <s v="Friday"/>
    <s v="October"/>
    <n v="2025"/>
  </r>
  <r>
    <x v="4024"/>
    <d v="2025-10-24T00:00:00"/>
    <s v="High Street"/>
    <s v="Manchester"/>
    <s v="Croissant"/>
    <s v="Food"/>
    <n v="2"/>
    <n v="2.8"/>
    <s v="Card"/>
    <s v="C1244"/>
    <n v="5.6"/>
    <s v="Friday"/>
    <s v="October"/>
    <n v="2025"/>
  </r>
  <r>
    <x v="4025"/>
    <d v="2025-10-24T00:00:00"/>
    <s v="Station"/>
    <s v="Birmingham"/>
    <s v="Muffin"/>
    <s v="Food"/>
    <n v="2"/>
    <n v="2.2000000000000002"/>
    <s v="Card"/>
    <s v="C1885"/>
    <n v="4.4000000000000004"/>
    <s v="Friday"/>
    <s v="October"/>
    <n v="2025"/>
  </r>
  <r>
    <x v="4026"/>
    <d v="2025-10-24T00:00:00"/>
    <s v="High Street"/>
    <s v="Manchester"/>
    <s v="Muffin"/>
    <s v="Food"/>
    <n v="2"/>
    <n v="2.2000000000000002"/>
    <s v="Apple Pay"/>
    <s v="C1859"/>
    <n v="4.4000000000000004"/>
    <s v="Friday"/>
    <s v="October"/>
    <n v="2025"/>
  </r>
  <r>
    <x v="4027"/>
    <d v="2025-10-24T00:00:00"/>
    <s v="Central"/>
    <s v="London"/>
    <s v="Cappuccino"/>
    <s v="Drink"/>
    <n v="1"/>
    <n v="3.8"/>
    <s v="Card"/>
    <s v="C1986"/>
    <n v="3.8"/>
    <s v="Friday"/>
    <s v="October"/>
    <n v="2025"/>
  </r>
  <r>
    <x v="4028"/>
    <d v="2025-10-24T00:00:00"/>
    <s v="Central"/>
    <s v="Manchester"/>
    <s v="Espresso"/>
    <s v="Drink"/>
    <n v="1"/>
    <n v="2.5"/>
    <s v="Apple Pay"/>
    <s v="C1506"/>
    <n v="2.5"/>
    <s v="Friday"/>
    <s v="October"/>
    <n v="2025"/>
  </r>
  <r>
    <x v="4029"/>
    <d v="2025-10-24T00:00:00"/>
    <s v="Riverside"/>
    <s v="Bristol"/>
    <s v="Espresso"/>
    <s v="Drink"/>
    <n v="1"/>
    <n v="2.5"/>
    <s v="Apple Pay"/>
    <s v="C1009"/>
    <n v="2.5"/>
    <s v="Friday"/>
    <s v="October"/>
    <n v="2025"/>
  </r>
  <r>
    <x v="4030"/>
    <d v="2025-10-25T00:00:00"/>
    <s v="High Street"/>
    <s v="Bristol"/>
    <s v="Latte"/>
    <s v="Drink"/>
    <n v="5"/>
    <n v="3.5"/>
    <s v="Cash"/>
    <s v="C1567"/>
    <n v="17.5"/>
    <s v="Saturday"/>
    <s v="October"/>
    <n v="2025"/>
  </r>
  <r>
    <x v="4031"/>
    <d v="2025-10-25T00:00:00"/>
    <s v="High Street"/>
    <s v="Leeds"/>
    <s v="Espresso"/>
    <s v="Drink"/>
    <n v="5"/>
    <n v="2.5"/>
    <s v="Card"/>
    <s v="C1966"/>
    <n v="12.5"/>
    <s v="Saturday"/>
    <s v="October"/>
    <n v="2025"/>
  </r>
  <r>
    <x v="4032"/>
    <d v="2025-10-25T00:00:00"/>
    <s v="Central"/>
    <s v="Leeds"/>
    <s v="Latte"/>
    <s v="Drink"/>
    <n v="3"/>
    <n v="3.5"/>
    <s v="Apple Pay"/>
    <s v="C1739"/>
    <n v="10.5"/>
    <s v="Saturday"/>
    <s v="October"/>
    <n v="2025"/>
  </r>
  <r>
    <x v="4033"/>
    <d v="2025-10-25T00:00:00"/>
    <s v="High Street"/>
    <s v="Birmingham"/>
    <s v="Croissant"/>
    <s v="Food"/>
    <n v="3"/>
    <n v="2.8"/>
    <s v="Card"/>
    <s v="C1480"/>
    <n v="8.3999999999999986"/>
    <s v="Saturday"/>
    <s v="October"/>
    <n v="2025"/>
  </r>
  <r>
    <x v="4034"/>
    <d v="2025-10-25T00:00:00"/>
    <s v="Central"/>
    <s v="Leeds"/>
    <s v="Cappuccino"/>
    <s v="Drink"/>
    <n v="2"/>
    <n v="3.8"/>
    <s v="Apple Pay"/>
    <s v="C1531"/>
    <n v="7.6"/>
    <s v="Saturday"/>
    <s v="October"/>
    <n v="2025"/>
  </r>
  <r>
    <x v="4035"/>
    <d v="2025-10-25T00:00:00"/>
    <s v="Riverside"/>
    <s v="Manchester"/>
    <s v="Latte"/>
    <s v="Drink"/>
    <n v="2"/>
    <n v="3.5"/>
    <s v="Cash"/>
    <s v="C1052"/>
    <n v="7"/>
    <s v="Saturday"/>
    <s v="October"/>
    <n v="2025"/>
  </r>
  <r>
    <x v="4036"/>
    <d v="2025-10-25T00:00:00"/>
    <s v="Station"/>
    <s v="Birmingham"/>
    <s v="Muffin"/>
    <s v="Food"/>
    <n v="3"/>
    <n v="2.2000000000000002"/>
    <s v="Card"/>
    <s v="C1366"/>
    <n v="6.6000000000000005"/>
    <s v="Saturday"/>
    <s v="October"/>
    <n v="2025"/>
  </r>
  <r>
    <x v="4037"/>
    <d v="2025-10-25T00:00:00"/>
    <s v="High Street"/>
    <s v="Leeds"/>
    <s v="Espresso"/>
    <s v="Drink"/>
    <n v="2"/>
    <n v="2.5"/>
    <s v="Apple Pay"/>
    <s v="C1648"/>
    <n v="5"/>
    <s v="Saturday"/>
    <s v="October"/>
    <n v="2025"/>
  </r>
  <r>
    <x v="4038"/>
    <d v="2025-10-25T00:00:00"/>
    <s v="Riverside"/>
    <s v="Leeds"/>
    <s v="Muffin"/>
    <s v="Food"/>
    <n v="2"/>
    <n v="2.2000000000000002"/>
    <s v="Card"/>
    <s v="C1263"/>
    <n v="4.4000000000000004"/>
    <s v="Saturday"/>
    <s v="October"/>
    <n v="2025"/>
  </r>
  <r>
    <x v="4039"/>
    <d v="2025-10-25T00:00:00"/>
    <s v="High Street"/>
    <s v="Leeds"/>
    <s v="Croissant"/>
    <s v="Food"/>
    <n v="1"/>
    <n v="2.8"/>
    <s v="Card"/>
    <s v="C1987"/>
    <n v="2.8"/>
    <s v="Saturday"/>
    <s v="October"/>
    <n v="2025"/>
  </r>
  <r>
    <x v="4040"/>
    <d v="2025-10-26T00:00:00"/>
    <s v="Station"/>
    <s v="Birmingham"/>
    <s v="Latte"/>
    <s v="Drink"/>
    <n v="5"/>
    <n v="3.5"/>
    <s v="Apple Pay"/>
    <s v="C1065"/>
    <n v="17.5"/>
    <s v="Sunday"/>
    <s v="October"/>
    <n v="2025"/>
  </r>
  <r>
    <x v="4041"/>
    <d v="2025-10-26T00:00:00"/>
    <s v="Riverside"/>
    <s v="Birmingham"/>
    <s v="Latte"/>
    <s v="Drink"/>
    <n v="5"/>
    <n v="3.5"/>
    <s v="Card"/>
    <s v="C1929"/>
    <n v="17.5"/>
    <s v="Sunday"/>
    <s v="October"/>
    <n v="2025"/>
  </r>
  <r>
    <x v="4042"/>
    <d v="2025-10-26T00:00:00"/>
    <s v="High Street"/>
    <s v="Birmingham"/>
    <s v="Cappuccino"/>
    <s v="Drink"/>
    <n v="4"/>
    <n v="3.8"/>
    <s v="Apple Pay"/>
    <s v="C1680"/>
    <n v="15.2"/>
    <s v="Sunday"/>
    <s v="October"/>
    <n v="2025"/>
  </r>
  <r>
    <x v="4043"/>
    <d v="2025-10-26T00:00:00"/>
    <s v="Riverside"/>
    <s v="Manchester"/>
    <s v="Cappuccino"/>
    <s v="Drink"/>
    <n v="4"/>
    <n v="3.8"/>
    <s v="Card"/>
    <s v="C1178"/>
    <n v="15.2"/>
    <s v="Sunday"/>
    <s v="October"/>
    <n v="2025"/>
  </r>
  <r>
    <x v="4044"/>
    <d v="2025-10-26T00:00:00"/>
    <s v="High Street"/>
    <s v="Leeds"/>
    <s v="Latte"/>
    <s v="Drink"/>
    <n v="4"/>
    <n v="3.5"/>
    <s v="Apple Pay"/>
    <s v="C1482"/>
    <n v="14"/>
    <s v="Sunday"/>
    <s v="October"/>
    <n v="2025"/>
  </r>
  <r>
    <x v="4045"/>
    <d v="2025-10-26T00:00:00"/>
    <s v="Riverside"/>
    <s v="Birmingham"/>
    <s v="Latte"/>
    <s v="Drink"/>
    <n v="4"/>
    <n v="3.5"/>
    <s v="Card"/>
    <s v="C1923"/>
    <n v="14"/>
    <s v="Sunday"/>
    <s v="October"/>
    <n v="2025"/>
  </r>
  <r>
    <x v="4046"/>
    <d v="2025-10-26T00:00:00"/>
    <s v="High Street"/>
    <s v="Bristol"/>
    <s v="Espresso"/>
    <s v="Drink"/>
    <n v="4"/>
    <n v="2.5"/>
    <s v="Apple Pay"/>
    <s v="C1842"/>
    <n v="10"/>
    <s v="Sunday"/>
    <s v="October"/>
    <n v="2025"/>
  </r>
  <r>
    <x v="4047"/>
    <d v="2025-10-26T00:00:00"/>
    <s v="Riverside"/>
    <s v="Birmingham"/>
    <s v="Muffin"/>
    <s v="Food"/>
    <n v="4"/>
    <n v="2.2000000000000002"/>
    <s v="Apple Pay"/>
    <s v="C1625"/>
    <n v="8.8000000000000007"/>
    <s v="Sunday"/>
    <s v="October"/>
    <n v="2025"/>
  </r>
  <r>
    <x v="4048"/>
    <d v="2025-10-26T00:00:00"/>
    <s v="Station"/>
    <s v="Leeds"/>
    <s v="Croissant"/>
    <s v="Food"/>
    <n v="3"/>
    <n v="2.8"/>
    <s v="Card"/>
    <s v="C1224"/>
    <n v="8.3999999999999986"/>
    <s v="Sunday"/>
    <s v="October"/>
    <n v="2025"/>
  </r>
  <r>
    <x v="4049"/>
    <d v="2025-10-26T00:00:00"/>
    <s v="High Street"/>
    <s v="London"/>
    <s v="Muffin"/>
    <s v="Food"/>
    <n v="3"/>
    <n v="2.2000000000000002"/>
    <s v="Card"/>
    <s v="C1242"/>
    <n v="6.6000000000000005"/>
    <s v="Sunday"/>
    <s v="October"/>
    <n v="2025"/>
  </r>
  <r>
    <x v="4050"/>
    <d v="2025-10-26T00:00:00"/>
    <s v="Station"/>
    <s v="London"/>
    <s v="Muffin"/>
    <s v="Food"/>
    <n v="2"/>
    <n v="2.2000000000000002"/>
    <s v="Cash"/>
    <s v="C1285"/>
    <n v="4.4000000000000004"/>
    <s v="Sunday"/>
    <s v="October"/>
    <n v="2025"/>
  </r>
  <r>
    <x v="4051"/>
    <d v="2025-10-26T00:00:00"/>
    <s v="Station"/>
    <s v="Manchester"/>
    <s v="Espresso"/>
    <s v="Drink"/>
    <n v="1"/>
    <n v="2.5"/>
    <s v="Apple Pay"/>
    <s v="C1267"/>
    <n v="2.5"/>
    <s v="Sunday"/>
    <s v="October"/>
    <n v="2025"/>
  </r>
  <r>
    <x v="4052"/>
    <d v="2025-10-26T00:00:00"/>
    <s v="Central"/>
    <s v="Leeds"/>
    <s v="Muffin"/>
    <s v="Food"/>
    <n v="1"/>
    <n v="2.2000000000000002"/>
    <s v="Apple Pay"/>
    <s v="C1261"/>
    <n v="2.2000000000000002"/>
    <s v="Sunday"/>
    <s v="October"/>
    <n v="2025"/>
  </r>
  <r>
    <x v="4053"/>
    <d v="2025-10-27T00:00:00"/>
    <s v="High Street"/>
    <s v="London"/>
    <s v="Cappuccino"/>
    <s v="Drink"/>
    <n v="5"/>
    <n v="3.8"/>
    <s v="Cash"/>
    <s v="C1427"/>
    <n v="19"/>
    <s v="Monday"/>
    <s v="October"/>
    <n v="2025"/>
  </r>
  <r>
    <x v="4054"/>
    <d v="2025-10-27T00:00:00"/>
    <s v="Central"/>
    <s v="Manchester"/>
    <s v="Latte"/>
    <s v="Drink"/>
    <n v="4"/>
    <n v="3.5"/>
    <s v="Apple Pay"/>
    <s v="C1433"/>
    <n v="14"/>
    <s v="Monday"/>
    <s v="October"/>
    <n v="2025"/>
  </r>
  <r>
    <x v="4055"/>
    <d v="2025-10-27T00:00:00"/>
    <s v="High Street"/>
    <s v="Leeds"/>
    <s v="Cappuccino"/>
    <s v="Drink"/>
    <n v="3"/>
    <n v="3.8"/>
    <s v="Apple Pay"/>
    <s v="C1448"/>
    <n v="11.399999999999999"/>
    <s v="Monday"/>
    <s v="October"/>
    <n v="2025"/>
  </r>
  <r>
    <x v="4056"/>
    <d v="2025-10-27T00:00:00"/>
    <s v="Station"/>
    <s v="Manchester"/>
    <s v="Croissant"/>
    <s v="Food"/>
    <n v="3"/>
    <n v="2.8"/>
    <s v="Cash"/>
    <s v="C1006"/>
    <n v="8.3999999999999986"/>
    <s v="Monday"/>
    <s v="October"/>
    <n v="2025"/>
  </r>
  <r>
    <x v="4057"/>
    <d v="2025-10-27T00:00:00"/>
    <s v="Riverside"/>
    <s v="Manchester"/>
    <s v="Espresso"/>
    <s v="Drink"/>
    <n v="3"/>
    <n v="2.5"/>
    <s v="Cash"/>
    <s v="C1097"/>
    <n v="7.5"/>
    <s v="Monday"/>
    <s v="October"/>
    <n v="2025"/>
  </r>
  <r>
    <x v="4058"/>
    <d v="2025-10-27T00:00:00"/>
    <s v="Central"/>
    <s v="London"/>
    <s v="Espresso"/>
    <s v="Drink"/>
    <n v="2"/>
    <n v="2.5"/>
    <s v="Cash"/>
    <s v="C1523"/>
    <n v="5"/>
    <s v="Monday"/>
    <s v="October"/>
    <n v="2025"/>
  </r>
  <r>
    <x v="4059"/>
    <d v="2025-10-27T00:00:00"/>
    <s v="Central"/>
    <s v="Manchester"/>
    <s v="Espresso"/>
    <s v="Drink"/>
    <n v="2"/>
    <n v="2.5"/>
    <s v="Apple Pay"/>
    <s v="C1521"/>
    <n v="5"/>
    <s v="Monday"/>
    <s v="October"/>
    <n v="2025"/>
  </r>
  <r>
    <x v="4060"/>
    <d v="2025-10-27T00:00:00"/>
    <s v="Station"/>
    <s v="Manchester"/>
    <s v="Espresso"/>
    <s v="Drink"/>
    <n v="2"/>
    <n v="2.5"/>
    <s v="Card"/>
    <s v="C1045"/>
    <n v="5"/>
    <s v="Monday"/>
    <s v="October"/>
    <n v="2025"/>
  </r>
  <r>
    <x v="4061"/>
    <d v="2025-10-27T00:00:00"/>
    <s v="Station"/>
    <s v="Manchester"/>
    <s v="Cappuccino"/>
    <s v="Drink"/>
    <n v="1"/>
    <n v="3.8"/>
    <s v="Cash"/>
    <s v="C1166"/>
    <n v="3.8"/>
    <s v="Monday"/>
    <s v="October"/>
    <n v="2025"/>
  </r>
  <r>
    <x v="4062"/>
    <d v="2025-10-27T00:00:00"/>
    <s v="High Street"/>
    <s v="Bristol"/>
    <s v="Espresso"/>
    <s v="Drink"/>
    <n v="1"/>
    <n v="2.5"/>
    <s v="Card"/>
    <s v="C1426"/>
    <n v="2.5"/>
    <s v="Monday"/>
    <s v="October"/>
    <n v="2025"/>
  </r>
  <r>
    <x v="4063"/>
    <d v="2025-10-28T00:00:00"/>
    <s v="Central"/>
    <s v="Birmingham"/>
    <s v="Latte"/>
    <s v="Drink"/>
    <n v="4"/>
    <n v="3.5"/>
    <s v="Apple Pay"/>
    <s v="C1553"/>
    <n v="14"/>
    <s v="Tuesday"/>
    <s v="October"/>
    <n v="2025"/>
  </r>
  <r>
    <x v="4064"/>
    <d v="2025-10-28T00:00:00"/>
    <s v="Central"/>
    <s v="Bristol"/>
    <s v="Muffin"/>
    <s v="Food"/>
    <n v="5"/>
    <n v="2.2000000000000002"/>
    <s v="Card"/>
    <s v="C1994"/>
    <n v="11"/>
    <s v="Tuesday"/>
    <s v="October"/>
    <n v="2025"/>
  </r>
  <r>
    <x v="4065"/>
    <d v="2025-10-28T00:00:00"/>
    <s v="High Street"/>
    <s v="Manchester"/>
    <s v="Muffin"/>
    <s v="Food"/>
    <n v="5"/>
    <n v="2.2000000000000002"/>
    <s v="Apple Pay"/>
    <s v="C1902"/>
    <n v="11"/>
    <s v="Tuesday"/>
    <s v="October"/>
    <n v="2025"/>
  </r>
  <r>
    <x v="4066"/>
    <d v="2025-10-28T00:00:00"/>
    <s v="Station"/>
    <s v="London"/>
    <s v="Muffin"/>
    <s v="Food"/>
    <n v="5"/>
    <n v="2.2000000000000002"/>
    <s v="Card"/>
    <s v="C1523"/>
    <n v="11"/>
    <s v="Tuesday"/>
    <s v="October"/>
    <n v="2025"/>
  </r>
  <r>
    <x v="4067"/>
    <d v="2025-10-28T00:00:00"/>
    <s v="Central"/>
    <s v="Bristol"/>
    <s v="Latte"/>
    <s v="Drink"/>
    <n v="3"/>
    <n v="3.5"/>
    <s v="Apple Pay"/>
    <s v="C1437"/>
    <n v="10.5"/>
    <s v="Tuesday"/>
    <s v="October"/>
    <n v="2025"/>
  </r>
  <r>
    <x v="4068"/>
    <d v="2025-10-28T00:00:00"/>
    <s v="High Street"/>
    <s v="Bristol"/>
    <s v="Espresso"/>
    <s v="Drink"/>
    <n v="4"/>
    <n v="2.5"/>
    <s v="Apple Pay"/>
    <s v="C1795"/>
    <n v="10"/>
    <s v="Tuesday"/>
    <s v="October"/>
    <n v="2025"/>
  </r>
  <r>
    <x v="4069"/>
    <d v="2025-10-28T00:00:00"/>
    <s v="Riverside"/>
    <s v="Birmingham"/>
    <s v="Espresso"/>
    <s v="Drink"/>
    <n v="3"/>
    <n v="2.5"/>
    <s v="Cash"/>
    <s v="C1434"/>
    <n v="7.5"/>
    <s v="Tuesday"/>
    <s v="October"/>
    <n v="2025"/>
  </r>
  <r>
    <x v="4070"/>
    <d v="2025-10-28T00:00:00"/>
    <s v="Station"/>
    <s v="London"/>
    <s v="Latte"/>
    <s v="Drink"/>
    <n v="2"/>
    <n v="3.5"/>
    <s v="Apple Pay"/>
    <s v="C1029"/>
    <n v="7"/>
    <s v="Tuesday"/>
    <s v="October"/>
    <n v="2025"/>
  </r>
  <r>
    <x v="4071"/>
    <d v="2025-10-28T00:00:00"/>
    <s v="Station"/>
    <s v="London"/>
    <s v="Latte"/>
    <s v="Drink"/>
    <n v="2"/>
    <n v="3.5"/>
    <s v="Apple Pay"/>
    <s v="C1016"/>
    <n v="7"/>
    <s v="Tuesday"/>
    <s v="October"/>
    <n v="2025"/>
  </r>
  <r>
    <x v="4072"/>
    <d v="2025-10-28T00:00:00"/>
    <s v="Station"/>
    <s v="Bristol"/>
    <s v="Croissant"/>
    <s v="Food"/>
    <n v="1"/>
    <n v="2.8"/>
    <s v="Apple Pay"/>
    <s v="C1761"/>
    <n v="2.8"/>
    <s v="Tuesday"/>
    <s v="October"/>
    <n v="2025"/>
  </r>
  <r>
    <x v="4073"/>
    <d v="2025-10-29T00:00:00"/>
    <s v="High Street"/>
    <s v="Bristol"/>
    <s v="Cappuccino"/>
    <s v="Drink"/>
    <n v="5"/>
    <n v="3.8"/>
    <s v="Card"/>
    <s v="C1475"/>
    <n v="19"/>
    <s v="Wednesday"/>
    <s v="October"/>
    <n v="2025"/>
  </r>
  <r>
    <x v="4074"/>
    <d v="2025-10-29T00:00:00"/>
    <s v="Central"/>
    <s v="Bristol"/>
    <s v="Espresso"/>
    <s v="Drink"/>
    <n v="5"/>
    <n v="2.5"/>
    <s v="Cash"/>
    <s v="C1452"/>
    <n v="12.5"/>
    <s v="Wednesday"/>
    <s v="October"/>
    <n v="2025"/>
  </r>
  <r>
    <x v="4075"/>
    <d v="2025-10-29T00:00:00"/>
    <s v="High Street"/>
    <s v="Leeds"/>
    <s v="Croissant"/>
    <s v="Food"/>
    <n v="4"/>
    <n v="2.8"/>
    <s v="Cash"/>
    <s v="C1299"/>
    <n v="11.2"/>
    <s v="Wednesday"/>
    <s v="October"/>
    <n v="2025"/>
  </r>
  <r>
    <x v="4076"/>
    <d v="2025-10-29T00:00:00"/>
    <s v="High Street"/>
    <s v="London"/>
    <s v="Latte"/>
    <s v="Drink"/>
    <n v="3"/>
    <n v="3.5"/>
    <s v="Card"/>
    <s v="C1771"/>
    <n v="10.5"/>
    <s v="Wednesday"/>
    <s v="October"/>
    <n v="2025"/>
  </r>
  <r>
    <x v="4077"/>
    <d v="2025-10-29T00:00:00"/>
    <s v="High Street"/>
    <s v="Birmingham"/>
    <s v="Latte"/>
    <s v="Drink"/>
    <n v="3"/>
    <n v="3.5"/>
    <s v="Card"/>
    <s v="C1763"/>
    <n v="10.5"/>
    <s v="Wednesday"/>
    <s v="October"/>
    <n v="2025"/>
  </r>
  <r>
    <x v="4078"/>
    <d v="2025-10-29T00:00:00"/>
    <s v="Riverside"/>
    <s v="Birmingham"/>
    <s v="Latte"/>
    <s v="Drink"/>
    <n v="3"/>
    <n v="3.5"/>
    <s v="Apple Pay"/>
    <s v="C1649"/>
    <n v="10.5"/>
    <s v="Wednesday"/>
    <s v="October"/>
    <n v="2025"/>
  </r>
  <r>
    <x v="4079"/>
    <d v="2025-10-29T00:00:00"/>
    <s v="High Street"/>
    <s v="Bristol"/>
    <s v="Espresso"/>
    <s v="Drink"/>
    <n v="4"/>
    <n v="2.5"/>
    <s v="Card"/>
    <s v="C1185"/>
    <n v="10"/>
    <s v="Wednesday"/>
    <s v="October"/>
    <n v="2025"/>
  </r>
  <r>
    <x v="4080"/>
    <d v="2025-10-29T00:00:00"/>
    <s v="Central"/>
    <s v="London"/>
    <s v="Muffin"/>
    <s v="Food"/>
    <n v="4"/>
    <n v="2.2000000000000002"/>
    <s v="Cash"/>
    <s v="C1143"/>
    <n v="8.8000000000000007"/>
    <s v="Wednesday"/>
    <s v="October"/>
    <n v="2025"/>
  </r>
  <r>
    <x v="4081"/>
    <d v="2025-10-29T00:00:00"/>
    <s v="Station"/>
    <s v="Birmingham"/>
    <s v="Muffin"/>
    <s v="Food"/>
    <n v="4"/>
    <n v="2.2000000000000002"/>
    <s v="Card"/>
    <s v="C1422"/>
    <n v="8.8000000000000007"/>
    <s v="Wednesday"/>
    <s v="October"/>
    <n v="2025"/>
  </r>
  <r>
    <x v="4082"/>
    <d v="2025-10-29T00:00:00"/>
    <s v="High Street"/>
    <s v="London"/>
    <s v="Latte"/>
    <s v="Drink"/>
    <n v="2"/>
    <n v="3.5"/>
    <s v="Apple Pay"/>
    <s v="C1954"/>
    <n v="7"/>
    <s v="Wednesday"/>
    <s v="October"/>
    <n v="2025"/>
  </r>
  <r>
    <x v="4083"/>
    <d v="2025-10-29T00:00:00"/>
    <s v="Station"/>
    <s v="Leeds"/>
    <s v="Espresso"/>
    <s v="Drink"/>
    <n v="2"/>
    <n v="2.5"/>
    <s v="Cash"/>
    <s v="C1107"/>
    <n v="5"/>
    <s v="Wednesday"/>
    <s v="October"/>
    <n v="2025"/>
  </r>
  <r>
    <x v="4084"/>
    <d v="2025-10-29T00:00:00"/>
    <s v="Riverside"/>
    <s v="London"/>
    <s v="Muffin"/>
    <s v="Food"/>
    <n v="2"/>
    <n v="2.2000000000000002"/>
    <s v="Card"/>
    <s v="C1058"/>
    <n v="4.4000000000000004"/>
    <s v="Wednesday"/>
    <s v="October"/>
    <n v="2025"/>
  </r>
  <r>
    <x v="4085"/>
    <d v="2025-10-29T00:00:00"/>
    <s v="Station"/>
    <s v="Bristol"/>
    <s v="Latte"/>
    <s v="Drink"/>
    <n v="1"/>
    <n v="3.5"/>
    <s v="Card"/>
    <s v="C1568"/>
    <n v="3.5"/>
    <s v="Wednesday"/>
    <s v="October"/>
    <n v="2025"/>
  </r>
  <r>
    <x v="4086"/>
    <d v="2025-10-29T00:00:00"/>
    <s v="Station"/>
    <s v="Leeds"/>
    <s v="Espresso"/>
    <s v="Drink"/>
    <n v="1"/>
    <n v="2.5"/>
    <s v="Cash"/>
    <s v="C1846"/>
    <n v="2.5"/>
    <s v="Wednesday"/>
    <s v="October"/>
    <n v="2025"/>
  </r>
  <r>
    <x v="4087"/>
    <d v="2025-10-29T00:00:00"/>
    <s v="Central"/>
    <s v="Manchester"/>
    <s v="Espresso"/>
    <s v="Drink"/>
    <n v="1"/>
    <n v="2.5"/>
    <s v="Cash"/>
    <s v="C1923"/>
    <n v="2.5"/>
    <s v="Wednesday"/>
    <s v="October"/>
    <n v="2025"/>
  </r>
  <r>
    <x v="4088"/>
    <d v="2025-10-29T00:00:00"/>
    <s v="Riverside"/>
    <s v="London"/>
    <s v="Muffin"/>
    <s v="Food"/>
    <n v="1"/>
    <n v="2.2000000000000002"/>
    <s v="Cash"/>
    <s v="C1701"/>
    <n v="2.2000000000000002"/>
    <s v="Wednesday"/>
    <s v="October"/>
    <n v="2025"/>
  </r>
  <r>
    <x v="4089"/>
    <d v="2025-10-30T00:00:00"/>
    <s v="Station"/>
    <s v="London"/>
    <s v="Cappuccino"/>
    <s v="Drink"/>
    <n v="5"/>
    <n v="3.8"/>
    <s v="Apple Pay"/>
    <s v="C1514"/>
    <n v="19"/>
    <s v="Thursday"/>
    <s v="October"/>
    <n v="2025"/>
  </r>
  <r>
    <x v="4090"/>
    <d v="2025-10-30T00:00:00"/>
    <s v="Central"/>
    <s v="Birmingham"/>
    <s v="Espresso"/>
    <s v="Drink"/>
    <n v="5"/>
    <n v="2.5"/>
    <s v="Apple Pay"/>
    <s v="C1071"/>
    <n v="12.5"/>
    <s v="Thursday"/>
    <s v="October"/>
    <n v="2025"/>
  </r>
  <r>
    <x v="4091"/>
    <d v="2025-10-30T00:00:00"/>
    <s v="Central"/>
    <s v="London"/>
    <s v="Espresso"/>
    <s v="Drink"/>
    <n v="5"/>
    <n v="2.5"/>
    <s v="Apple Pay"/>
    <s v="C1479"/>
    <n v="12.5"/>
    <s v="Thursday"/>
    <s v="October"/>
    <n v="2025"/>
  </r>
  <r>
    <x v="4092"/>
    <d v="2025-10-30T00:00:00"/>
    <s v="Station"/>
    <s v="Leeds"/>
    <s v="Cappuccino"/>
    <s v="Drink"/>
    <n v="3"/>
    <n v="3.8"/>
    <s v="Apple Pay"/>
    <s v="C1500"/>
    <n v="11.399999999999999"/>
    <s v="Thursday"/>
    <s v="October"/>
    <n v="2025"/>
  </r>
  <r>
    <x v="4093"/>
    <d v="2025-10-30T00:00:00"/>
    <s v="Riverside"/>
    <s v="Birmingham"/>
    <s v="Muffin"/>
    <s v="Food"/>
    <n v="5"/>
    <n v="2.2000000000000002"/>
    <s v="Apple Pay"/>
    <s v="C1144"/>
    <n v="11"/>
    <s v="Thursday"/>
    <s v="October"/>
    <n v="2025"/>
  </r>
  <r>
    <x v="4094"/>
    <d v="2025-10-30T00:00:00"/>
    <s v="Riverside"/>
    <s v="London"/>
    <s v="Muffin"/>
    <s v="Food"/>
    <n v="5"/>
    <n v="2.2000000000000002"/>
    <s v="Apple Pay"/>
    <s v="C1815"/>
    <n v="11"/>
    <s v="Thursday"/>
    <s v="October"/>
    <n v="2025"/>
  </r>
  <r>
    <x v="4095"/>
    <d v="2025-10-30T00:00:00"/>
    <s v="Station"/>
    <s v="Manchester"/>
    <s v="Latte"/>
    <s v="Drink"/>
    <n v="3"/>
    <n v="3.5"/>
    <s v="Cash"/>
    <s v="C1838"/>
    <n v="10.5"/>
    <s v="Thursday"/>
    <s v="October"/>
    <n v="2025"/>
  </r>
  <r>
    <x v="4096"/>
    <d v="2025-10-30T00:00:00"/>
    <s v="Central"/>
    <s v="Birmingham"/>
    <s v="Muffin"/>
    <s v="Food"/>
    <n v="4"/>
    <n v="2.2000000000000002"/>
    <s v="Cash"/>
    <s v="C1672"/>
    <n v="8.8000000000000007"/>
    <s v="Thursday"/>
    <s v="October"/>
    <n v="2025"/>
  </r>
  <r>
    <x v="4097"/>
    <d v="2025-10-30T00:00:00"/>
    <s v="Riverside"/>
    <s v="London"/>
    <s v="Espresso"/>
    <s v="Drink"/>
    <n v="3"/>
    <n v="2.5"/>
    <s v="Cash"/>
    <s v="C1114"/>
    <n v="7.5"/>
    <s v="Thursday"/>
    <s v="October"/>
    <n v="2025"/>
  </r>
  <r>
    <x v="4098"/>
    <d v="2025-10-30T00:00:00"/>
    <s v="Riverside"/>
    <s v="Birmingham"/>
    <s v="Latte"/>
    <s v="Drink"/>
    <n v="2"/>
    <n v="3.5"/>
    <s v="Apple Pay"/>
    <s v="C1453"/>
    <n v="7"/>
    <s v="Thursday"/>
    <s v="October"/>
    <n v="2025"/>
  </r>
  <r>
    <x v="4099"/>
    <d v="2025-10-30T00:00:00"/>
    <s v="Station"/>
    <s v="Birmingham"/>
    <s v="Muffin"/>
    <s v="Food"/>
    <n v="3"/>
    <n v="2.2000000000000002"/>
    <s v="Cash"/>
    <s v="C1786"/>
    <n v="6.6000000000000005"/>
    <s v="Thursday"/>
    <s v="October"/>
    <n v="2025"/>
  </r>
  <r>
    <x v="4100"/>
    <d v="2025-10-30T00:00:00"/>
    <s v="High Street"/>
    <s v="Birmingham"/>
    <s v="Muffin"/>
    <s v="Food"/>
    <n v="3"/>
    <n v="2.2000000000000002"/>
    <s v="Card"/>
    <s v="C1750"/>
    <n v="6.6000000000000005"/>
    <s v="Thursday"/>
    <s v="October"/>
    <n v="2025"/>
  </r>
  <r>
    <x v="4101"/>
    <d v="2025-10-30T00:00:00"/>
    <s v="Riverside"/>
    <s v="Bristol"/>
    <s v="Croissant"/>
    <s v="Food"/>
    <n v="2"/>
    <n v="2.8"/>
    <s v="Card"/>
    <s v="C1566"/>
    <n v="5.6"/>
    <s v="Thursday"/>
    <s v="October"/>
    <n v="2025"/>
  </r>
  <r>
    <x v="4102"/>
    <d v="2025-10-30T00:00:00"/>
    <s v="High Street"/>
    <s v="Bristol"/>
    <s v="Croissant"/>
    <s v="Food"/>
    <n v="2"/>
    <n v="2.8"/>
    <s v="Apple Pay"/>
    <s v="C1481"/>
    <n v="5.6"/>
    <s v="Thursday"/>
    <s v="October"/>
    <n v="2025"/>
  </r>
  <r>
    <x v="4103"/>
    <d v="2025-10-30T00:00:00"/>
    <s v="High Street"/>
    <s v="Leeds"/>
    <s v="Cappuccino"/>
    <s v="Drink"/>
    <n v="1"/>
    <n v="3.8"/>
    <s v="Cash"/>
    <s v="C1072"/>
    <n v="3.8"/>
    <s v="Thursday"/>
    <s v="October"/>
    <n v="2025"/>
  </r>
  <r>
    <x v="4104"/>
    <d v="2025-10-30T00:00:00"/>
    <s v="High Street"/>
    <s v="Birmingham"/>
    <s v="Espresso"/>
    <s v="Drink"/>
    <n v="1"/>
    <n v="2.5"/>
    <s v="Card"/>
    <s v="C1796"/>
    <n v="2.5"/>
    <s v="Thursday"/>
    <s v="October"/>
    <n v="2025"/>
  </r>
  <r>
    <x v="4105"/>
    <d v="2025-10-31T00:00:00"/>
    <s v="Riverside"/>
    <s v="Leeds"/>
    <s v="Croissant"/>
    <s v="Food"/>
    <n v="5"/>
    <n v="2.8"/>
    <s v="Cash"/>
    <s v="C1176"/>
    <n v="14"/>
    <s v="Friday"/>
    <s v="October"/>
    <n v="2025"/>
  </r>
  <r>
    <x v="4106"/>
    <d v="2025-10-31T00:00:00"/>
    <s v="Riverside"/>
    <s v="Manchester"/>
    <s v="Muffin"/>
    <s v="Food"/>
    <n v="4"/>
    <n v="2.2000000000000002"/>
    <s v="Card"/>
    <s v="C1416"/>
    <n v="8.8000000000000007"/>
    <s v="Friday"/>
    <s v="October"/>
    <n v="2025"/>
  </r>
  <r>
    <x v="4107"/>
    <d v="2025-10-31T00:00:00"/>
    <s v="Station"/>
    <s v="Birmingham"/>
    <s v="Muffin"/>
    <s v="Food"/>
    <n v="4"/>
    <n v="2.2000000000000002"/>
    <s v="Cash"/>
    <s v="C1381"/>
    <n v="8.8000000000000007"/>
    <s v="Friday"/>
    <s v="October"/>
    <n v="2025"/>
  </r>
  <r>
    <x v="4108"/>
    <d v="2025-10-31T00:00:00"/>
    <s v="Station"/>
    <s v="Leeds"/>
    <s v="Croissant"/>
    <s v="Food"/>
    <n v="3"/>
    <n v="2.8"/>
    <s v="Apple Pay"/>
    <s v="C1836"/>
    <n v="8.3999999999999986"/>
    <s v="Friday"/>
    <s v="October"/>
    <n v="2025"/>
  </r>
  <r>
    <x v="4109"/>
    <d v="2025-10-31T00:00:00"/>
    <s v="Riverside"/>
    <s v="Leeds"/>
    <s v="Croissant"/>
    <s v="Food"/>
    <n v="3"/>
    <n v="2.8"/>
    <s v="Card"/>
    <s v="C1281"/>
    <n v="8.3999999999999986"/>
    <s v="Friday"/>
    <s v="October"/>
    <n v="2025"/>
  </r>
  <r>
    <x v="4110"/>
    <d v="2025-10-31T00:00:00"/>
    <s v="Central"/>
    <s v="Manchester"/>
    <s v="Espresso"/>
    <s v="Drink"/>
    <n v="3"/>
    <n v="2.5"/>
    <s v="Cash"/>
    <s v="C1478"/>
    <n v="7.5"/>
    <s v="Friday"/>
    <s v="October"/>
    <n v="2025"/>
  </r>
  <r>
    <x v="4111"/>
    <d v="2025-10-31T00:00:00"/>
    <s v="Station"/>
    <s v="Birmingham"/>
    <s v="Muffin"/>
    <s v="Food"/>
    <n v="3"/>
    <n v="2.2000000000000002"/>
    <s v="Card"/>
    <s v="C1315"/>
    <n v="6.6000000000000005"/>
    <s v="Friday"/>
    <s v="October"/>
    <n v="2025"/>
  </r>
  <r>
    <x v="4112"/>
    <d v="2025-10-31T00:00:00"/>
    <s v="Central"/>
    <s v="London"/>
    <s v="Muffin"/>
    <s v="Food"/>
    <n v="3"/>
    <n v="2.2000000000000002"/>
    <s v="Cash"/>
    <s v="C1165"/>
    <n v="6.6000000000000005"/>
    <s v="Friday"/>
    <s v="October"/>
    <n v="2025"/>
  </r>
  <r>
    <x v="4113"/>
    <d v="2025-10-31T00:00:00"/>
    <s v="High Street"/>
    <s v="London"/>
    <s v="Croissant"/>
    <s v="Food"/>
    <n v="2"/>
    <n v="2.8"/>
    <s v="Apple Pay"/>
    <s v="C1222"/>
    <n v="5.6"/>
    <s v="Friday"/>
    <s v="October"/>
    <n v="2025"/>
  </r>
  <r>
    <x v="4114"/>
    <d v="2025-10-31T00:00:00"/>
    <s v="Central"/>
    <s v="Leeds"/>
    <s v="Latte"/>
    <s v="Drink"/>
    <n v="1"/>
    <n v="3.5"/>
    <s v="Apple Pay"/>
    <s v="C1124"/>
    <n v="3.5"/>
    <s v="Friday"/>
    <s v="October"/>
    <n v="2025"/>
  </r>
  <r>
    <x v="4115"/>
    <d v="2025-10-31T00:00:00"/>
    <s v="Station"/>
    <s v="Birmingham"/>
    <s v="Espresso"/>
    <s v="Drink"/>
    <n v="1"/>
    <n v="2.5"/>
    <s v="Apple Pay"/>
    <s v="C1845"/>
    <n v="2.5"/>
    <s v="Friday"/>
    <s v="October"/>
    <n v="2025"/>
  </r>
  <r>
    <x v="4116"/>
    <d v="2025-10-31T00:00:00"/>
    <s v="High Street"/>
    <s v="London"/>
    <s v="Muffin"/>
    <s v="Food"/>
    <n v="1"/>
    <n v="2.2000000000000002"/>
    <s v="Apple Pay"/>
    <s v="C1132"/>
    <n v="2.2000000000000002"/>
    <s v="Friday"/>
    <s v="October"/>
    <n v="2025"/>
  </r>
  <r>
    <x v="4117"/>
    <d v="2025-11-01T00:00:00"/>
    <s v="Riverside"/>
    <s v="Bristol"/>
    <s v="Latte"/>
    <s v="Drink"/>
    <n v="5"/>
    <n v="3.5"/>
    <s v="Apple Pay"/>
    <s v="C1225"/>
    <n v="17.5"/>
    <s v="Saturday"/>
    <s v="November"/>
    <n v="2025"/>
  </r>
  <r>
    <x v="4118"/>
    <d v="2025-11-01T00:00:00"/>
    <s v="Riverside"/>
    <s v="London"/>
    <s v="Latte"/>
    <s v="Drink"/>
    <n v="4"/>
    <n v="3.5"/>
    <s v="Card"/>
    <s v="C1299"/>
    <n v="14"/>
    <s v="Saturday"/>
    <s v="November"/>
    <n v="2025"/>
  </r>
  <r>
    <x v="4119"/>
    <d v="2025-11-01T00:00:00"/>
    <s v="Central"/>
    <s v="Leeds"/>
    <s v="Latte"/>
    <s v="Drink"/>
    <n v="4"/>
    <n v="3.5"/>
    <s v="Cash"/>
    <s v="C1177"/>
    <n v="14"/>
    <s v="Saturday"/>
    <s v="November"/>
    <n v="2025"/>
  </r>
  <r>
    <x v="4120"/>
    <d v="2025-11-01T00:00:00"/>
    <s v="Central"/>
    <s v="Leeds"/>
    <s v="Croissant"/>
    <s v="Food"/>
    <n v="5"/>
    <n v="2.8"/>
    <s v="Apple Pay"/>
    <s v="C1246"/>
    <n v="14"/>
    <s v="Saturday"/>
    <s v="November"/>
    <n v="2025"/>
  </r>
  <r>
    <x v="4121"/>
    <d v="2025-11-01T00:00:00"/>
    <s v="Central"/>
    <s v="Manchester"/>
    <s v="Latte"/>
    <s v="Drink"/>
    <n v="3"/>
    <n v="3.5"/>
    <s v="Card"/>
    <s v="C1420"/>
    <n v="10.5"/>
    <s v="Saturday"/>
    <s v="November"/>
    <n v="2025"/>
  </r>
  <r>
    <x v="4122"/>
    <d v="2025-11-01T00:00:00"/>
    <s v="Station"/>
    <s v="Manchester"/>
    <s v="Espresso"/>
    <s v="Drink"/>
    <n v="4"/>
    <n v="2.5"/>
    <s v="Apple Pay"/>
    <s v="C1275"/>
    <n v="10"/>
    <s v="Saturday"/>
    <s v="November"/>
    <n v="2025"/>
  </r>
  <r>
    <x v="4123"/>
    <d v="2025-11-01T00:00:00"/>
    <s v="Station"/>
    <s v="Birmingham"/>
    <s v="Espresso"/>
    <s v="Drink"/>
    <n v="4"/>
    <n v="2.5"/>
    <s v="Cash"/>
    <s v="C1395"/>
    <n v="10"/>
    <s v="Saturday"/>
    <s v="November"/>
    <n v="2025"/>
  </r>
  <r>
    <x v="4124"/>
    <d v="2025-11-01T00:00:00"/>
    <s v="Riverside"/>
    <s v="Leeds"/>
    <s v="Muffin"/>
    <s v="Food"/>
    <n v="4"/>
    <n v="2.2000000000000002"/>
    <s v="Cash"/>
    <s v="C1345"/>
    <n v="8.8000000000000007"/>
    <s v="Saturday"/>
    <s v="November"/>
    <n v="2025"/>
  </r>
  <r>
    <x v="4125"/>
    <d v="2025-11-01T00:00:00"/>
    <s v="Riverside"/>
    <s v="Bristol"/>
    <s v="Latte"/>
    <s v="Food"/>
    <n v="4"/>
    <n v="2.2000000000000002"/>
    <s v="Card"/>
    <s v="C1663"/>
    <n v="8.8000000000000007"/>
    <s v="Saturday"/>
    <s v="November"/>
    <n v="2025"/>
  </r>
  <r>
    <x v="4126"/>
    <d v="2025-11-01T00:00:00"/>
    <s v="Station"/>
    <s v="Manchester"/>
    <s v="Latte"/>
    <s v="Drink"/>
    <n v="2"/>
    <n v="3.5"/>
    <s v="Apple Pay"/>
    <s v="C1730"/>
    <n v="7"/>
    <s v="Saturday"/>
    <s v="November"/>
    <n v="2025"/>
  </r>
  <r>
    <x v="4127"/>
    <d v="2025-11-01T00:00:00"/>
    <s v="Station"/>
    <s v="Leeds"/>
    <s v="Espresso"/>
    <s v="Drink"/>
    <n v="2"/>
    <n v="2.5"/>
    <s v="Card"/>
    <s v="C1760"/>
    <n v="5"/>
    <s v="Saturday"/>
    <s v="November"/>
    <n v="2025"/>
  </r>
  <r>
    <x v="4128"/>
    <d v="2025-11-01T00:00:00"/>
    <s v="High Street"/>
    <s v="Manchester"/>
    <s v="Croissant"/>
    <s v="Food"/>
    <n v="1"/>
    <n v="2.8"/>
    <s v="Card"/>
    <s v="C1651"/>
    <n v="2.8"/>
    <s v="Saturday"/>
    <s v="November"/>
    <n v="2025"/>
  </r>
  <r>
    <x v="4129"/>
    <d v="2025-11-01T00:00:00"/>
    <s v="Station"/>
    <s v="Leeds"/>
    <s v="Espresso"/>
    <s v="Drink"/>
    <n v="1"/>
    <n v="2.5"/>
    <s v="Card"/>
    <s v="C1670"/>
    <n v="2.5"/>
    <s v="Saturday"/>
    <s v="November"/>
    <n v="2025"/>
  </r>
  <r>
    <x v="4130"/>
    <d v="2025-11-02T00:00:00"/>
    <s v="Station"/>
    <s v="Birmingham"/>
    <s v="Cappuccino"/>
    <s v="Drink"/>
    <n v="4"/>
    <n v="3.8"/>
    <s v="Cash"/>
    <s v="C1871"/>
    <n v="15.2"/>
    <s v="Sunday"/>
    <s v="November"/>
    <n v="2025"/>
  </r>
  <r>
    <x v="4131"/>
    <d v="2025-11-02T00:00:00"/>
    <s v="Station"/>
    <s v="London"/>
    <s v="Espresso"/>
    <s v="Drink"/>
    <n v="5"/>
    <n v="2.5"/>
    <s v="Card"/>
    <s v="C1054"/>
    <n v="12.5"/>
    <s v="Sunday"/>
    <s v="November"/>
    <n v="2025"/>
  </r>
  <r>
    <x v="4132"/>
    <d v="2025-11-02T00:00:00"/>
    <s v="Station"/>
    <s v="Leeds"/>
    <s v="Muffin"/>
    <s v="Food"/>
    <n v="5"/>
    <n v="2.2000000000000002"/>
    <s v="Apple Pay"/>
    <s v="C1784"/>
    <n v="11"/>
    <s v="Sunday"/>
    <s v="November"/>
    <n v="2025"/>
  </r>
  <r>
    <x v="4133"/>
    <d v="2025-11-02T00:00:00"/>
    <s v="High Street"/>
    <s v="Leeds"/>
    <s v="Latte"/>
    <s v="Drink"/>
    <n v="3"/>
    <n v="3.5"/>
    <s v="Apple Pay"/>
    <s v="C1479"/>
    <n v="10.5"/>
    <s v="Sunday"/>
    <s v="November"/>
    <n v="2025"/>
  </r>
  <r>
    <x v="4134"/>
    <d v="2025-11-02T00:00:00"/>
    <s v="Central"/>
    <s v="London"/>
    <s v="Latte"/>
    <s v="Drink"/>
    <n v="3"/>
    <n v="3.5"/>
    <s v="Apple Pay"/>
    <s v="C1539"/>
    <n v="10.5"/>
    <s v="Sunday"/>
    <s v="November"/>
    <n v="2025"/>
  </r>
  <r>
    <x v="4135"/>
    <d v="2025-11-02T00:00:00"/>
    <s v="High Street"/>
    <s v="Bristol"/>
    <s v="Espresso"/>
    <s v="Drink"/>
    <n v="4"/>
    <n v="2.5"/>
    <s v="Apple Pay"/>
    <s v="C1715"/>
    <n v="10"/>
    <s v="Sunday"/>
    <s v="November"/>
    <n v="2025"/>
  </r>
  <r>
    <x v="4136"/>
    <d v="2025-11-02T00:00:00"/>
    <s v="High Street"/>
    <s v="N/A"/>
    <s v="Croissant"/>
    <s v="Food"/>
    <n v="3"/>
    <n v="2.8"/>
    <s v="Apple Pay"/>
    <s v="C1931"/>
    <n v="8.3999999999999986"/>
    <s v="Sunday"/>
    <s v="November"/>
    <n v="2025"/>
  </r>
  <r>
    <x v="4137"/>
    <d v="2025-11-02T00:00:00"/>
    <s v="Riverside"/>
    <s v="Leeds"/>
    <s v="Cappuccino"/>
    <s v="Drink"/>
    <n v="2"/>
    <n v="3.8"/>
    <s v="Cash"/>
    <s v="C1935"/>
    <n v="7.6"/>
    <s v="Sunday"/>
    <s v="November"/>
    <n v="2025"/>
  </r>
  <r>
    <x v="4138"/>
    <d v="2025-11-02T00:00:00"/>
    <s v="Central"/>
    <s v="Bristol"/>
    <s v="Cappuccino"/>
    <s v="Drink"/>
    <n v="2"/>
    <n v="3.8"/>
    <s v="Card"/>
    <s v="C1741"/>
    <n v="7.6"/>
    <s v="Sunday"/>
    <s v="November"/>
    <n v="2025"/>
  </r>
  <r>
    <x v="4139"/>
    <d v="2025-11-02T00:00:00"/>
    <s v="Station"/>
    <s v="Birmingham"/>
    <s v="Espresso"/>
    <s v="Drink"/>
    <n v="3"/>
    <n v="2.5"/>
    <s v="Apple Pay"/>
    <s v="C1333"/>
    <n v="7.5"/>
    <s v="Sunday"/>
    <s v="November"/>
    <n v="2025"/>
  </r>
  <r>
    <x v="4140"/>
    <d v="2025-11-02T00:00:00"/>
    <s v="High Street"/>
    <s v="Leeds"/>
    <s v="Croissant"/>
    <s v="Food"/>
    <n v="2"/>
    <n v="2.8"/>
    <s v="Card"/>
    <s v="C1039"/>
    <n v="5.6"/>
    <s v="Sunday"/>
    <s v="November"/>
    <n v="2025"/>
  </r>
  <r>
    <x v="4141"/>
    <d v="2025-11-02T00:00:00"/>
    <s v="Central"/>
    <s v="London"/>
    <s v="Croissant"/>
    <s v="Food"/>
    <n v="1"/>
    <n v="2.8"/>
    <s v="Card"/>
    <s v="C1160"/>
    <n v="2.8"/>
    <s v="Sunday"/>
    <s v="November"/>
    <n v="2025"/>
  </r>
  <r>
    <x v="4142"/>
    <d v="2025-11-02T00:00:00"/>
    <s v="Riverside"/>
    <s v="London"/>
    <s v="Espresso"/>
    <s v="Drink"/>
    <n v="1"/>
    <n v="2.5"/>
    <s v="Apple Pay"/>
    <s v="C1935"/>
    <n v="2.5"/>
    <s v="Sunday"/>
    <s v="November"/>
    <n v="2025"/>
  </r>
  <r>
    <x v="4143"/>
    <d v="2025-11-02T00:00:00"/>
    <s v="High Street"/>
    <s v="Bristol"/>
    <s v="Muffin"/>
    <s v="Food"/>
    <n v="1"/>
    <n v="2.2000000000000002"/>
    <s v="Apple Pay"/>
    <s v="C1332"/>
    <n v="2.2000000000000002"/>
    <s v="Sunday"/>
    <s v="November"/>
    <n v="2025"/>
  </r>
  <r>
    <x v="4144"/>
    <d v="2025-11-03T00:00:00"/>
    <s v="Station"/>
    <s v="London"/>
    <s v="Cappuccino"/>
    <s v="Drink"/>
    <n v="5"/>
    <n v="3.8"/>
    <s v="Cash"/>
    <s v="C1681"/>
    <n v="19"/>
    <s v="Monday"/>
    <s v="November"/>
    <n v="2025"/>
  </r>
  <r>
    <x v="4145"/>
    <d v="2025-11-03T00:00:00"/>
    <s v="Station"/>
    <s v="Manchester"/>
    <s v="Cappuccino"/>
    <s v="Drink"/>
    <n v="5"/>
    <n v="3.8"/>
    <s v="Apple Pay"/>
    <s v="C1328"/>
    <n v="19"/>
    <s v="Monday"/>
    <s v="November"/>
    <n v="2025"/>
  </r>
  <r>
    <x v="4146"/>
    <d v="2025-11-03T00:00:00"/>
    <s v="Station"/>
    <s v="Manchester"/>
    <s v="Cappuccino"/>
    <s v="Drink"/>
    <n v="5"/>
    <n v="3.8"/>
    <s v="Apple Pay"/>
    <s v="C1509"/>
    <n v="19"/>
    <s v="Monday"/>
    <s v="November"/>
    <n v="2025"/>
  </r>
  <r>
    <x v="4147"/>
    <d v="2025-11-03T00:00:00"/>
    <s v="Riverside"/>
    <s v="Leeds"/>
    <s v="Cappuccino"/>
    <s v="Drink"/>
    <n v="4"/>
    <n v="3.8"/>
    <s v="Apple Pay"/>
    <s v="C1763"/>
    <n v="15.2"/>
    <s v="Monday"/>
    <s v="November"/>
    <n v="2025"/>
  </r>
  <r>
    <x v="4148"/>
    <d v="2025-11-03T00:00:00"/>
    <s v="Central"/>
    <s v="Leeds"/>
    <s v="Latte"/>
    <s v="Drink"/>
    <n v="4"/>
    <n v="3.5"/>
    <s v="Card"/>
    <s v="C1848"/>
    <n v="14"/>
    <s v="Monday"/>
    <s v="November"/>
    <n v="2025"/>
  </r>
  <r>
    <x v="4149"/>
    <d v="2025-11-03T00:00:00"/>
    <s v="Central"/>
    <s v="Leeds"/>
    <s v="Croissant"/>
    <s v="Food"/>
    <n v="5"/>
    <n v="2.8"/>
    <s v="Cash"/>
    <s v="C1296"/>
    <n v="14"/>
    <s v="Monday"/>
    <s v="November"/>
    <n v="2025"/>
  </r>
  <r>
    <x v="4150"/>
    <d v="2025-11-03T00:00:00"/>
    <s v="Central"/>
    <s v="Manchester"/>
    <s v="Espresso"/>
    <s v="Drink"/>
    <n v="5"/>
    <n v="2.5"/>
    <s v="Card"/>
    <s v="C1629"/>
    <n v="12.5"/>
    <s v="Monday"/>
    <s v="November"/>
    <n v="2025"/>
  </r>
  <r>
    <x v="4151"/>
    <d v="2025-11-03T00:00:00"/>
    <s v="Riverside"/>
    <s v="London"/>
    <s v="Croissant"/>
    <s v="Food"/>
    <n v="4"/>
    <n v="2.8"/>
    <s v="Cash"/>
    <s v="C1526"/>
    <n v="11.2"/>
    <s v="Monday"/>
    <s v="November"/>
    <n v="2025"/>
  </r>
  <r>
    <x v="4152"/>
    <d v="2025-11-03T00:00:00"/>
    <s v="Riverside"/>
    <s v="London"/>
    <s v="Croissant"/>
    <s v="Food"/>
    <n v="4"/>
    <n v="2.8"/>
    <s v="Apple Pay"/>
    <s v="C1622"/>
    <n v="11.2"/>
    <s v="Monday"/>
    <s v="November"/>
    <n v="2025"/>
  </r>
  <r>
    <x v="4153"/>
    <d v="2025-11-03T00:00:00"/>
    <s v="Central"/>
    <s v="Birmingham"/>
    <s v="Muffin"/>
    <s v="Food"/>
    <n v="5"/>
    <n v="2.2000000000000002"/>
    <s v="Cash"/>
    <s v="C1531"/>
    <n v="11"/>
    <s v="Monday"/>
    <s v="November"/>
    <n v="2025"/>
  </r>
  <r>
    <x v="4154"/>
    <d v="2025-11-03T00:00:00"/>
    <s v="Station"/>
    <s v="Birmingham"/>
    <s v="Latte"/>
    <s v="Drink"/>
    <n v="3"/>
    <n v="3.5"/>
    <s v="Apple Pay"/>
    <s v="C1932"/>
    <n v="10.5"/>
    <s v="Monday"/>
    <s v="November"/>
    <n v="2025"/>
  </r>
  <r>
    <x v="4155"/>
    <d v="2025-11-03T00:00:00"/>
    <s v="High Street"/>
    <s v="London"/>
    <s v="Muffin"/>
    <s v="Food"/>
    <n v="4"/>
    <n v="2.2000000000000002"/>
    <s v="Card"/>
    <s v="C1737"/>
    <n v="8.8000000000000007"/>
    <s v="Monday"/>
    <s v="November"/>
    <n v="2025"/>
  </r>
  <r>
    <x v="4156"/>
    <d v="2025-11-03T00:00:00"/>
    <s v="High Street"/>
    <s v="Bristol"/>
    <s v="Croissant"/>
    <s v="Food"/>
    <n v="3"/>
    <n v="2.8"/>
    <s v="Apple Pay"/>
    <s v="C1687"/>
    <n v="8.3999999999999986"/>
    <s v="Monday"/>
    <s v="November"/>
    <n v="2025"/>
  </r>
  <r>
    <x v="4157"/>
    <d v="2025-11-03T00:00:00"/>
    <s v="High Street"/>
    <s v="Birmingham"/>
    <s v="Croissant"/>
    <s v="Food"/>
    <n v="3"/>
    <n v="2.8"/>
    <s v="Card"/>
    <s v="C1794"/>
    <n v="8.3999999999999986"/>
    <s v="Monday"/>
    <s v="November"/>
    <n v="2025"/>
  </r>
  <r>
    <x v="4158"/>
    <d v="2025-11-03T00:00:00"/>
    <s v="High Street"/>
    <s v="Leeds"/>
    <s v="Cappuccino"/>
    <s v="Drink"/>
    <n v="2"/>
    <n v="3.8"/>
    <s v="Card"/>
    <s v="C1020"/>
    <n v="7.6"/>
    <s v="Monday"/>
    <s v="November"/>
    <n v="2025"/>
  </r>
  <r>
    <x v="4159"/>
    <d v="2025-11-03T00:00:00"/>
    <s v="Central"/>
    <s v="Manchester"/>
    <s v="Cappuccino"/>
    <s v="Drink"/>
    <n v="2"/>
    <n v="3.8"/>
    <s v="Cash"/>
    <s v="C1240"/>
    <n v="7.6"/>
    <s v="Monday"/>
    <s v="November"/>
    <n v="2025"/>
  </r>
  <r>
    <x v="4159"/>
    <d v="2025-11-03T00:00:00"/>
    <s v="Central"/>
    <s v="Manchester"/>
    <s v="Cappuccino"/>
    <s v="Drink"/>
    <n v="2"/>
    <n v="3.8"/>
    <s v="Card"/>
    <s v="C1240"/>
    <n v="7.6"/>
    <s v="Monday"/>
    <s v="November"/>
    <n v="2025"/>
  </r>
  <r>
    <x v="4160"/>
    <d v="2025-11-03T00:00:00"/>
    <s v="Station"/>
    <s v="Leeds"/>
    <s v="Espresso"/>
    <s v="Drink"/>
    <n v="3"/>
    <n v="2.5"/>
    <s v="Card"/>
    <s v="C1832"/>
    <n v="7.5"/>
    <s v="Monday"/>
    <s v="November"/>
    <n v="2025"/>
  </r>
  <r>
    <x v="4161"/>
    <d v="2025-11-03T00:00:00"/>
    <s v="Central"/>
    <s v="Birmingham"/>
    <s v="Muffin"/>
    <s v="Food"/>
    <n v="3"/>
    <n v="2.2000000000000002"/>
    <s v="Cash"/>
    <s v="C1942"/>
    <n v="6.6000000000000005"/>
    <s v="Monday"/>
    <s v="November"/>
    <n v="2025"/>
  </r>
  <r>
    <x v="4162"/>
    <d v="2025-11-03T00:00:00"/>
    <s v="Riverside"/>
    <s v="Birmingham"/>
    <s v="Muffin"/>
    <s v="Food"/>
    <n v="2"/>
    <n v="2.2000000000000002"/>
    <s v="Card"/>
    <s v="C1394"/>
    <n v="4.4000000000000004"/>
    <s v="Monday"/>
    <s v="November"/>
    <n v="2025"/>
  </r>
  <r>
    <x v="4163"/>
    <d v="2025-11-03T00:00:00"/>
    <s v="Riverside"/>
    <s v="Birmingham"/>
    <s v="Espresso"/>
    <s v="Drink"/>
    <n v="1"/>
    <n v="2.5"/>
    <s v="Apple Pay"/>
    <s v="C1912"/>
    <n v="2.5"/>
    <s v="Monday"/>
    <s v="November"/>
    <n v="2025"/>
  </r>
  <r>
    <x v="4164"/>
    <d v="2025-11-03T00:00:00"/>
    <s v="Station"/>
    <s v="Manchester"/>
    <s v="Espresso"/>
    <s v="Drink"/>
    <n v="1"/>
    <n v="2.5"/>
    <s v="Apple Pay"/>
    <s v="C1404"/>
    <n v="2.5"/>
    <s v="Monday"/>
    <s v="November"/>
    <n v="2025"/>
  </r>
  <r>
    <x v="4165"/>
    <d v="2025-11-03T00:00:00"/>
    <s v="Central"/>
    <s v="Manchester"/>
    <s v="Muffin"/>
    <s v="Food"/>
    <n v="1"/>
    <n v="2.2000000000000002"/>
    <s v="Card"/>
    <s v="C1925"/>
    <n v="2.2000000000000002"/>
    <s v="Monday"/>
    <s v="November"/>
    <n v="2025"/>
  </r>
  <r>
    <x v="4166"/>
    <d v="2025-11-04T00:00:00"/>
    <s v="High Street"/>
    <s v="Leeds"/>
    <s v="Latte"/>
    <s v="Drink"/>
    <n v="5"/>
    <n v="3.5"/>
    <s v="Cash"/>
    <s v="C1119"/>
    <n v="17.5"/>
    <s v="Tuesday"/>
    <s v="November"/>
    <n v="2025"/>
  </r>
  <r>
    <x v="4167"/>
    <d v="2025-11-04T00:00:00"/>
    <s v="Central"/>
    <s v="Leeds"/>
    <s v="Latte"/>
    <s v="Drink"/>
    <n v="5"/>
    <n v="3.5"/>
    <s v="Card"/>
    <s v="C1276"/>
    <n v="17.5"/>
    <s v="Tuesday"/>
    <s v="November"/>
    <n v="2025"/>
  </r>
  <r>
    <x v="4168"/>
    <d v="2025-11-04T00:00:00"/>
    <s v="Riverside"/>
    <s v="London"/>
    <s v="Latte"/>
    <s v="Drink"/>
    <n v="4"/>
    <n v="3.5"/>
    <s v="Apple Pay"/>
    <s v="C1318"/>
    <n v="14"/>
    <s v="Tuesday"/>
    <s v="November"/>
    <n v="2025"/>
  </r>
  <r>
    <x v="4169"/>
    <d v="2025-11-04T00:00:00"/>
    <s v="Station"/>
    <s v="Leeds"/>
    <s v="Croissant"/>
    <s v="Food"/>
    <n v="4"/>
    <n v="2.8"/>
    <s v="Apple Pay"/>
    <s v="C1123"/>
    <n v="11.2"/>
    <s v="Tuesday"/>
    <s v="November"/>
    <n v="2025"/>
  </r>
  <r>
    <x v="4170"/>
    <d v="2025-11-04T00:00:00"/>
    <s v="High Street"/>
    <s v="Leeds"/>
    <s v="Croissant"/>
    <s v="Food"/>
    <n v="4"/>
    <n v="2.8"/>
    <s v="Cash"/>
    <s v="C1028"/>
    <n v="11.2"/>
    <s v="Tuesday"/>
    <s v="November"/>
    <n v="2025"/>
  </r>
  <r>
    <x v="4171"/>
    <d v="2025-11-04T00:00:00"/>
    <s v="Riverside"/>
    <s v="Manchester"/>
    <s v="Croissant"/>
    <s v="Food"/>
    <n v="4"/>
    <n v="2.8"/>
    <s v="Apple Pay"/>
    <s v="C1785"/>
    <n v="11.2"/>
    <s v="Tuesday"/>
    <s v="November"/>
    <n v="2025"/>
  </r>
  <r>
    <x v="4172"/>
    <d v="2025-11-04T00:00:00"/>
    <s v="Station"/>
    <s v="Manchester"/>
    <s v="Muffin"/>
    <s v="Food"/>
    <n v="5"/>
    <n v="2.2000000000000002"/>
    <s v="Card"/>
    <s v="C1487"/>
    <n v="11"/>
    <s v="Tuesday"/>
    <s v="November"/>
    <n v="2025"/>
  </r>
  <r>
    <x v="4173"/>
    <d v="2025-11-04T00:00:00"/>
    <s v="Riverside"/>
    <s v="Bristol"/>
    <s v="Muffin"/>
    <s v="Food"/>
    <n v="5"/>
    <n v="2.2000000000000002"/>
    <s v="Apple Pay"/>
    <s v="C1570"/>
    <n v="11"/>
    <s v="Tuesday"/>
    <s v="November"/>
    <n v="2025"/>
  </r>
  <r>
    <x v="4174"/>
    <d v="2025-11-04T00:00:00"/>
    <s v="Central"/>
    <s v="Manchester"/>
    <s v="Espresso"/>
    <s v="Drink"/>
    <n v="4"/>
    <n v="2.5"/>
    <s v="Cash"/>
    <s v="C1304"/>
    <n v="10"/>
    <s v="Tuesday"/>
    <s v="November"/>
    <n v="2025"/>
  </r>
  <r>
    <x v="4175"/>
    <d v="2025-11-04T00:00:00"/>
    <s v="Riverside"/>
    <s v="Bristol"/>
    <s v="Muffin"/>
    <s v="Food"/>
    <n v="4"/>
    <n v="2.2000000000000002"/>
    <s v="Apple Pay"/>
    <s v="C1933"/>
    <n v="8.8000000000000007"/>
    <s v="Tuesday"/>
    <s v="November"/>
    <n v="2025"/>
  </r>
  <r>
    <x v="4176"/>
    <d v="2025-11-04T00:00:00"/>
    <s v="Central"/>
    <s v="Birmingham"/>
    <s v="Muffin"/>
    <s v="Food"/>
    <n v="3"/>
    <n v="2.2000000000000002"/>
    <s v="Cash"/>
    <s v="C1064"/>
    <n v="6.6000000000000005"/>
    <s v="Tuesday"/>
    <s v="November"/>
    <n v="2025"/>
  </r>
  <r>
    <x v="4177"/>
    <d v="2025-11-04T00:00:00"/>
    <s v="Station"/>
    <s v="London"/>
    <s v="Espresso"/>
    <s v="Drink"/>
    <n v="1"/>
    <n v="2.5"/>
    <s v="Cash"/>
    <s v="C1544"/>
    <n v="2.5"/>
    <s v="Tuesday"/>
    <s v="November"/>
    <n v="2025"/>
  </r>
  <r>
    <x v="4178"/>
    <d v="2025-11-05T00:00:00"/>
    <s v="Riverside"/>
    <s v="London"/>
    <s v="Latte"/>
    <s v="Drink"/>
    <n v="5"/>
    <n v="3.5"/>
    <s v="Cash"/>
    <s v="C1157"/>
    <n v="17.5"/>
    <s v="Wednesday"/>
    <s v="November"/>
    <n v="2025"/>
  </r>
  <r>
    <x v="4179"/>
    <d v="2025-11-05T00:00:00"/>
    <s v="Station"/>
    <s v="Bristol"/>
    <s v="Cappuccino"/>
    <s v="Drink"/>
    <n v="3"/>
    <n v="3.8"/>
    <s v="Apple Pay"/>
    <s v="C1595"/>
    <n v="11.399999999999999"/>
    <s v="Wednesday"/>
    <s v="November"/>
    <n v="2025"/>
  </r>
  <r>
    <x v="4180"/>
    <d v="2025-11-05T00:00:00"/>
    <s v="Riverside"/>
    <s v="Bristol"/>
    <s v="Muffin"/>
    <s v="Food"/>
    <n v="3"/>
    <n v="2.2000000000000002"/>
    <s v="Card"/>
    <s v="C1934"/>
    <n v="6.6000000000000005"/>
    <s v="Wednesday"/>
    <s v="November"/>
    <n v="2025"/>
  </r>
  <r>
    <x v="4181"/>
    <d v="2025-11-05T00:00:00"/>
    <s v="Central"/>
    <s v="Leeds"/>
    <s v="Muffin"/>
    <s v="Food"/>
    <n v="2"/>
    <n v="2.2000000000000002"/>
    <s v="Apple Pay"/>
    <s v="C1940"/>
    <n v="4.4000000000000004"/>
    <s v="Wednesday"/>
    <s v="November"/>
    <n v="2025"/>
  </r>
  <r>
    <x v="4182"/>
    <d v="2025-11-05T00:00:00"/>
    <s v="Station"/>
    <s v="Leeds"/>
    <s v="Muffin"/>
    <s v="Food"/>
    <n v="2"/>
    <n v="2.2000000000000002"/>
    <s v="Card"/>
    <s v="C1683"/>
    <n v="4.4000000000000004"/>
    <s v="Wednesday"/>
    <s v="November"/>
    <n v="2025"/>
  </r>
  <r>
    <x v="4183"/>
    <d v="2025-11-05T00:00:00"/>
    <s v="Riverside"/>
    <s v="London"/>
    <s v="Croissant"/>
    <s v="Food"/>
    <n v="1"/>
    <n v="2.8"/>
    <s v="Apple Pay"/>
    <s v="C1690"/>
    <n v="2.8"/>
    <s v="Wednesday"/>
    <s v="November"/>
    <n v="2025"/>
  </r>
  <r>
    <x v="4184"/>
    <d v="2025-11-06T00:00:00"/>
    <s v="Riverside"/>
    <s v="Birmingham"/>
    <s v="Cappuccino"/>
    <s v="Drink"/>
    <n v="5"/>
    <n v="3.8"/>
    <s v="Apple Pay"/>
    <s v="C1618"/>
    <n v="19"/>
    <s v="Thursday"/>
    <s v="November"/>
    <n v="2025"/>
  </r>
  <r>
    <x v="4185"/>
    <d v="2025-11-06T00:00:00"/>
    <s v="Central"/>
    <s v="London"/>
    <s v="Latte"/>
    <s v="Drink"/>
    <n v="5"/>
    <n v="3.5"/>
    <s v="Apple Pay"/>
    <s v="C1398"/>
    <n v="17.5"/>
    <s v="Thursday"/>
    <s v="November"/>
    <n v="2025"/>
  </r>
  <r>
    <x v="4186"/>
    <d v="2025-11-06T00:00:00"/>
    <s v="Central"/>
    <s v="Bristol"/>
    <s v="Latte"/>
    <s v="Drink"/>
    <n v="5"/>
    <n v="3.5"/>
    <s v="Cash"/>
    <s v="C1095"/>
    <n v="17.5"/>
    <s v="Thursday"/>
    <s v="November"/>
    <n v="2025"/>
  </r>
  <r>
    <x v="4187"/>
    <d v="2025-11-06T00:00:00"/>
    <s v="Station"/>
    <s v="Leeds"/>
    <s v="Espresso"/>
    <s v="Drink"/>
    <n v="5"/>
    <n v="2.5"/>
    <s v="Apple Pay"/>
    <s v="C1383"/>
    <n v="12.5"/>
    <s v="Thursday"/>
    <s v="November"/>
    <n v="2025"/>
  </r>
  <r>
    <x v="4188"/>
    <d v="2025-11-06T00:00:00"/>
    <s v="Station"/>
    <s v="London"/>
    <s v="Espresso"/>
    <s v="Drink"/>
    <n v="5"/>
    <n v="2.5"/>
    <s v="Cash"/>
    <s v="C1716"/>
    <n v="12.5"/>
    <s v="Thursday"/>
    <s v="November"/>
    <n v="2025"/>
  </r>
  <r>
    <x v="4189"/>
    <d v="2025-11-06T00:00:00"/>
    <s v="High Street"/>
    <s v="Leeds"/>
    <s v="Cappuccino"/>
    <s v="Drink"/>
    <n v="3"/>
    <n v="3.8"/>
    <s v="Apple Pay"/>
    <s v="C1966"/>
    <n v="11.399999999999999"/>
    <s v="Thursday"/>
    <s v="November"/>
    <n v="2025"/>
  </r>
  <r>
    <x v="4190"/>
    <d v="2025-11-06T00:00:00"/>
    <s v="High Street"/>
    <s v="Leeds"/>
    <s v="Croissant"/>
    <s v="Food"/>
    <n v="4"/>
    <n v="2.8"/>
    <s v="Cash"/>
    <s v="C1557"/>
    <n v="11.2"/>
    <s v="Thursday"/>
    <s v="November"/>
    <n v="2025"/>
  </r>
  <r>
    <x v="4191"/>
    <d v="2025-11-06T00:00:00"/>
    <s v="High Street"/>
    <s v="London"/>
    <s v="Latte"/>
    <s v="Drink"/>
    <n v="3"/>
    <n v="3.5"/>
    <s v="Card"/>
    <s v="C1379"/>
    <n v="10.5"/>
    <s v="Thursday"/>
    <s v="November"/>
    <n v="2025"/>
  </r>
  <r>
    <x v="4192"/>
    <d v="2025-11-06T00:00:00"/>
    <s v="Riverside"/>
    <s v="London"/>
    <s v="Espresso"/>
    <s v="Drink"/>
    <n v="4"/>
    <n v="2.5"/>
    <s v="Apple Pay"/>
    <s v="C1442"/>
    <n v="10"/>
    <s v="Thursday"/>
    <s v="November"/>
    <n v="2025"/>
  </r>
  <r>
    <x v="4193"/>
    <d v="2025-11-06T00:00:00"/>
    <s v="Riverside"/>
    <s v="Manchester"/>
    <s v="Croissant"/>
    <s v="Food"/>
    <n v="3"/>
    <n v="2.8"/>
    <s v="Apple Pay"/>
    <s v="C1807"/>
    <n v="8.3999999999999986"/>
    <s v="Thursday"/>
    <s v="November"/>
    <n v="2025"/>
  </r>
  <r>
    <x v="4194"/>
    <d v="2025-11-06T00:00:00"/>
    <s v="High Street"/>
    <s v="Leeds"/>
    <s v="Cappuccino"/>
    <s v="Drink"/>
    <n v="2"/>
    <n v="3.8"/>
    <s v="Card"/>
    <s v="C1243"/>
    <n v="7.6"/>
    <s v="Thursday"/>
    <s v="November"/>
    <n v="2025"/>
  </r>
  <r>
    <x v="4195"/>
    <d v="2025-11-06T00:00:00"/>
    <s v="High Street"/>
    <s v="London"/>
    <s v="Cappuccino"/>
    <s v="Drink"/>
    <n v="2"/>
    <n v="3.8"/>
    <s v="Cash"/>
    <s v="C1710"/>
    <n v="7.6"/>
    <s v="Thursday"/>
    <s v="November"/>
    <n v="2025"/>
  </r>
  <r>
    <x v="4196"/>
    <d v="2025-11-06T00:00:00"/>
    <s v="Central"/>
    <s v="Manchester"/>
    <s v="Cappuccino"/>
    <s v="Drink"/>
    <n v="2"/>
    <n v="3.8"/>
    <s v="Apple Pay"/>
    <s v="C1532"/>
    <n v="7.6"/>
    <s v="Thursday"/>
    <s v="November"/>
    <n v="2025"/>
  </r>
  <r>
    <x v="4197"/>
    <d v="2025-11-06T00:00:00"/>
    <s v="Station"/>
    <s v="Manchester"/>
    <s v="Espresso"/>
    <s v="Drink"/>
    <n v="3"/>
    <n v="2.5"/>
    <s v="Cash"/>
    <s v="C1375"/>
    <n v="7.5"/>
    <s v="Thursday"/>
    <s v="November"/>
    <n v="2025"/>
  </r>
  <r>
    <x v="4198"/>
    <d v="2025-11-06T00:00:00"/>
    <s v="Riverside"/>
    <s v="Leeds"/>
    <s v="Latte"/>
    <s v="Drink"/>
    <n v="2"/>
    <n v="3.5"/>
    <s v="Apple Pay"/>
    <s v="C1803"/>
    <n v="7"/>
    <s v="Thursday"/>
    <s v="November"/>
    <n v="2025"/>
  </r>
  <r>
    <x v="4199"/>
    <d v="2025-11-06T00:00:00"/>
    <s v="Central"/>
    <s v="London"/>
    <s v="Croissant"/>
    <s v="Food"/>
    <n v="2"/>
    <n v="2.8"/>
    <s v="Card"/>
    <s v="C1701"/>
    <n v="5.6"/>
    <s v="Thursday"/>
    <s v="November"/>
    <n v="2025"/>
  </r>
  <r>
    <x v="4200"/>
    <d v="2025-11-06T00:00:00"/>
    <s v="Riverside"/>
    <s v="Leeds"/>
    <s v="Espresso"/>
    <s v="Drink"/>
    <n v="2"/>
    <n v="2.5"/>
    <s v="Cash"/>
    <s v="C1941"/>
    <n v="5"/>
    <s v="Thursday"/>
    <s v="November"/>
    <n v="2025"/>
  </r>
  <r>
    <x v="4201"/>
    <d v="2025-11-06T00:00:00"/>
    <s v="High Street"/>
    <s v="Leeds"/>
    <s v="Muffin"/>
    <s v="Food"/>
    <n v="2"/>
    <n v="2.2000000000000002"/>
    <s v="Apple Pay"/>
    <s v="C1945"/>
    <n v="4.4000000000000004"/>
    <s v="Thursday"/>
    <s v="November"/>
    <n v="2025"/>
  </r>
  <r>
    <x v="4202"/>
    <d v="2025-11-06T00:00:00"/>
    <s v="Station"/>
    <s v="Manchester"/>
    <s v="Latte"/>
    <s v="Drink"/>
    <n v="1"/>
    <n v="3.5"/>
    <s v="Cash"/>
    <s v="C1509"/>
    <n v="3.5"/>
    <s v="Thursday"/>
    <s v="November"/>
    <n v="2025"/>
  </r>
  <r>
    <x v="4203"/>
    <d v="2025-11-06T00:00:00"/>
    <s v="Riverside"/>
    <s v="Bristol"/>
    <s v="Muffin"/>
    <s v="Food"/>
    <n v="1"/>
    <n v="2.2000000000000002"/>
    <s v="Cash"/>
    <s v="C1358"/>
    <n v="2.2000000000000002"/>
    <s v="Thursday"/>
    <s v="November"/>
    <n v="2025"/>
  </r>
  <r>
    <x v="4204"/>
    <d v="2025-11-07T00:00:00"/>
    <s v="Station"/>
    <s v="London"/>
    <s v="Cappuccino"/>
    <s v="Drink"/>
    <n v="5"/>
    <n v="3.8"/>
    <s v="Apple Pay"/>
    <s v="C1887"/>
    <n v="19"/>
    <s v="Friday"/>
    <s v="November"/>
    <n v="2025"/>
  </r>
  <r>
    <x v="4205"/>
    <d v="2025-11-07T00:00:00"/>
    <s v="Riverside"/>
    <s v="London"/>
    <s v="Latte"/>
    <s v="Drink"/>
    <n v="5"/>
    <n v="3.5"/>
    <s v="Card"/>
    <s v="C1942"/>
    <n v="17.5"/>
    <s v="Friday"/>
    <s v="November"/>
    <n v="2025"/>
  </r>
  <r>
    <x v="4206"/>
    <d v="2025-11-07T00:00:00"/>
    <s v="Central"/>
    <s v="London"/>
    <s v="Cappuccino"/>
    <s v="Drink"/>
    <n v="4"/>
    <n v="3.8"/>
    <s v="Apple Pay"/>
    <s v="C1548"/>
    <n v="15.2"/>
    <s v="Friday"/>
    <s v="November"/>
    <n v="2025"/>
  </r>
  <r>
    <x v="4207"/>
    <d v="2025-11-07T00:00:00"/>
    <s v="Station"/>
    <s v="Birmingham"/>
    <s v="Cappuccino"/>
    <s v="Drink"/>
    <n v="4"/>
    <n v="3.8"/>
    <s v="Cash"/>
    <s v="C1867"/>
    <n v="15.2"/>
    <s v="Friday"/>
    <s v="November"/>
    <n v="2025"/>
  </r>
  <r>
    <x v="4208"/>
    <d v="2025-11-07T00:00:00"/>
    <s v="Riverside"/>
    <s v="Manchester"/>
    <s v="Latte"/>
    <s v="Drink"/>
    <n v="4"/>
    <n v="3.5"/>
    <s v="Cash"/>
    <s v="C1230"/>
    <n v="14"/>
    <s v="Friday"/>
    <s v="November"/>
    <n v="2025"/>
  </r>
  <r>
    <x v="4209"/>
    <d v="2025-11-07T00:00:00"/>
    <s v="Station"/>
    <s v="Leeds"/>
    <s v="Latte"/>
    <s v="Drink"/>
    <n v="4"/>
    <n v="3.5"/>
    <s v="Card"/>
    <s v="C1928"/>
    <n v="14"/>
    <s v="Friday"/>
    <s v="November"/>
    <n v="2025"/>
  </r>
  <r>
    <x v="4210"/>
    <d v="2025-11-07T00:00:00"/>
    <s v="Riverside"/>
    <s v="Leeds"/>
    <s v="Latte"/>
    <s v="Food"/>
    <n v="5"/>
    <n v="2.2000000000000002"/>
    <s v="Card"/>
    <s v="C1895"/>
    <n v="11"/>
    <s v="Friday"/>
    <s v="November"/>
    <n v="2025"/>
  </r>
  <r>
    <x v="4211"/>
    <d v="2025-11-07T00:00:00"/>
    <s v="Station"/>
    <s v="Bristol"/>
    <s v="Muffin"/>
    <s v="Food"/>
    <n v="5"/>
    <n v="2.2000000000000002"/>
    <s v="Card"/>
    <s v="C1590"/>
    <n v="11"/>
    <s v="Friday"/>
    <s v="November"/>
    <n v="2025"/>
  </r>
  <r>
    <x v="4212"/>
    <d v="2025-11-07T00:00:00"/>
    <s v="Riverside"/>
    <s v="Leeds"/>
    <s v="Latte"/>
    <s v="Drink"/>
    <n v="3"/>
    <n v="3.5"/>
    <s v="Apple Pay"/>
    <s v="C1381"/>
    <n v="10.5"/>
    <s v="Friday"/>
    <s v="November"/>
    <n v="2025"/>
  </r>
  <r>
    <x v="4213"/>
    <d v="2025-11-07T00:00:00"/>
    <s v="High Street"/>
    <s v="Leeds"/>
    <s v="Espresso"/>
    <s v="Drink"/>
    <n v="4"/>
    <n v="2.5"/>
    <s v="Card"/>
    <s v="C1134"/>
    <n v="10"/>
    <s v="Friday"/>
    <s v="November"/>
    <n v="2025"/>
  </r>
  <r>
    <x v="4214"/>
    <d v="2025-11-07T00:00:00"/>
    <s v="Central"/>
    <s v="Manchester"/>
    <s v="Croissant"/>
    <s v="Food"/>
    <n v="3"/>
    <n v="2.8"/>
    <s v="Cash"/>
    <s v="C1291"/>
    <n v="8.3999999999999986"/>
    <s v="Friday"/>
    <s v="November"/>
    <n v="2025"/>
  </r>
  <r>
    <x v="4215"/>
    <d v="2025-11-07T00:00:00"/>
    <s v="Central"/>
    <s v="London"/>
    <s v="Cappuccino"/>
    <s v="Drink"/>
    <n v="2"/>
    <n v="3.8"/>
    <s v="Apple Pay"/>
    <s v="C1330"/>
    <n v="7.6"/>
    <s v="Friday"/>
    <s v="November"/>
    <n v="2025"/>
  </r>
  <r>
    <x v="4216"/>
    <d v="2025-11-07T00:00:00"/>
    <s v="Central"/>
    <s v="London"/>
    <s v="Espresso"/>
    <s v="Drink"/>
    <n v="3"/>
    <n v="2.5"/>
    <s v="Apple Pay"/>
    <s v="C1569"/>
    <n v="7.5"/>
    <s v="Friday"/>
    <s v="November"/>
    <n v="2025"/>
  </r>
  <r>
    <x v="4217"/>
    <d v="2025-11-07T00:00:00"/>
    <s v="High Street"/>
    <s v="Bristol"/>
    <s v="Espresso"/>
    <s v="Drink"/>
    <n v="3"/>
    <n v="2.5"/>
    <s v="Apple Pay"/>
    <s v="C1955"/>
    <n v="7.5"/>
    <s v="Friday"/>
    <s v="November"/>
    <n v="2025"/>
  </r>
  <r>
    <x v="4218"/>
    <d v="2025-11-07T00:00:00"/>
    <s v="High Street"/>
    <s v="London"/>
    <s v="Latte"/>
    <s v="Drink"/>
    <n v="2"/>
    <n v="3.5"/>
    <s v="Apple Pay"/>
    <s v="C1365"/>
    <n v="7"/>
    <s v="Friday"/>
    <s v="November"/>
    <n v="2025"/>
  </r>
  <r>
    <x v="4219"/>
    <d v="2025-11-07T00:00:00"/>
    <s v="Station"/>
    <s v="London"/>
    <s v="Muffin"/>
    <s v="Food"/>
    <n v="3"/>
    <n v="2.2000000000000002"/>
    <s v="Card"/>
    <s v="C1919"/>
    <n v="6.6000000000000005"/>
    <s v="Friday"/>
    <s v="November"/>
    <n v="2025"/>
  </r>
  <r>
    <x v="4220"/>
    <d v="2025-11-07T00:00:00"/>
    <s v="High Street"/>
    <s v="Leeds"/>
    <s v="Cappuccino"/>
    <s v="Drink"/>
    <n v="1"/>
    <n v="3.8"/>
    <s v="Apple Pay"/>
    <s v="C1185"/>
    <n v="3.8"/>
    <s v="Friday"/>
    <s v="November"/>
    <n v="2025"/>
  </r>
  <r>
    <x v="4221"/>
    <d v="2025-11-07T00:00:00"/>
    <s v="High Street"/>
    <s v="Leeds"/>
    <s v="Cappuccino"/>
    <s v="Drink"/>
    <n v="1"/>
    <n v="3.8"/>
    <s v="Cash"/>
    <s v="C1237"/>
    <n v="3.8"/>
    <s v="Friday"/>
    <s v="November"/>
    <n v="2025"/>
  </r>
  <r>
    <x v="4222"/>
    <d v="2025-11-07T00:00:00"/>
    <s v="Central"/>
    <s v="Bristol"/>
    <s v="Cappuccino"/>
    <s v="Drink"/>
    <n v="1"/>
    <n v="3.8"/>
    <s v="Card"/>
    <s v="C1780"/>
    <n v="3.8"/>
    <s v="Friday"/>
    <s v="November"/>
    <n v="2025"/>
  </r>
  <r>
    <x v="4223"/>
    <d v="2025-11-07T00:00:00"/>
    <s v="Riverside"/>
    <s v="London"/>
    <s v="Croissant"/>
    <s v="Food"/>
    <n v="1"/>
    <n v="2.8"/>
    <s v="Card"/>
    <s v="C1572"/>
    <n v="2.8"/>
    <s v="Friday"/>
    <s v="November"/>
    <n v="2025"/>
  </r>
  <r>
    <x v="4224"/>
    <d v="2025-11-07T00:00:00"/>
    <s v="Central"/>
    <s v="Bristol"/>
    <s v="Croissant"/>
    <s v="Food"/>
    <n v="1"/>
    <n v="2.8"/>
    <s v="Cash"/>
    <s v="C1308"/>
    <n v="2.8"/>
    <s v="Friday"/>
    <s v="November"/>
    <n v="2025"/>
  </r>
  <r>
    <x v="4225"/>
    <d v="2025-11-08T00:00:00"/>
    <s v="Station"/>
    <s v="Leeds"/>
    <s v="Latte"/>
    <s v="Drink"/>
    <n v="5"/>
    <n v="3.5"/>
    <s v="Apple Pay"/>
    <s v="C1207"/>
    <n v="17.5"/>
    <s v="Saturday"/>
    <s v="November"/>
    <n v="2025"/>
  </r>
  <r>
    <x v="4226"/>
    <d v="2025-11-08T00:00:00"/>
    <s v="Station"/>
    <s v="Manchester"/>
    <s v="Latte"/>
    <s v="Drink"/>
    <n v="5"/>
    <n v="3.5"/>
    <s v="Card"/>
    <s v="C1893"/>
    <n v="17.5"/>
    <s v="Saturday"/>
    <s v="November"/>
    <n v="2025"/>
  </r>
  <r>
    <x v="4227"/>
    <d v="2025-11-08T00:00:00"/>
    <s v="Riverside"/>
    <s v="Birmingham"/>
    <s v="Cappuccino"/>
    <s v="Drink"/>
    <n v="4"/>
    <n v="3.8"/>
    <s v="Cash"/>
    <s v="C1286"/>
    <n v="15.2"/>
    <s v="Saturday"/>
    <s v="November"/>
    <n v="2025"/>
  </r>
  <r>
    <x v="4228"/>
    <d v="2025-11-08T00:00:00"/>
    <s v="High Street"/>
    <s v="London"/>
    <s v="Cappuccino"/>
    <s v="Drink"/>
    <n v="4"/>
    <n v="3.8"/>
    <s v="Cash"/>
    <s v="C1792"/>
    <n v="15.2"/>
    <s v="Saturday"/>
    <s v="November"/>
    <n v="2025"/>
  </r>
  <r>
    <x v="4229"/>
    <d v="2025-11-08T00:00:00"/>
    <s v="Riverside"/>
    <s v="Manchester"/>
    <s v="Cappuccino"/>
    <s v="Drink"/>
    <n v="4"/>
    <n v="3.8"/>
    <s v="Apple Pay"/>
    <s v="C1333"/>
    <n v="15.2"/>
    <s v="Saturday"/>
    <s v="November"/>
    <n v="2025"/>
  </r>
  <r>
    <x v="4230"/>
    <d v="2025-11-08T00:00:00"/>
    <s v="Central"/>
    <s v="Manchester"/>
    <s v="Latte"/>
    <s v="Drink"/>
    <n v="4"/>
    <n v="3.5"/>
    <s v="Card"/>
    <s v="C1786"/>
    <n v="14"/>
    <s v="Saturday"/>
    <s v="November"/>
    <n v="2025"/>
  </r>
  <r>
    <x v="4231"/>
    <d v="2025-11-08T00:00:00"/>
    <s v="Riverside"/>
    <s v="Bristol"/>
    <s v="Latte"/>
    <s v="Drink"/>
    <n v="4"/>
    <n v="3.5"/>
    <s v="Cash"/>
    <s v="C1408"/>
    <n v="14"/>
    <s v="Saturday"/>
    <s v="November"/>
    <n v="2025"/>
  </r>
  <r>
    <x v="4232"/>
    <d v="2025-11-08T00:00:00"/>
    <s v="Station"/>
    <s v="London"/>
    <s v="Espresso"/>
    <s v="Drink"/>
    <n v="5"/>
    <n v="2.5"/>
    <s v="Apple Pay"/>
    <s v="C1498"/>
    <n v="12.5"/>
    <s v="Saturday"/>
    <s v="November"/>
    <n v="2025"/>
  </r>
  <r>
    <x v="4233"/>
    <d v="2025-11-08T00:00:00"/>
    <s v="Central"/>
    <s v="Leeds"/>
    <s v="Espresso"/>
    <s v="Drink"/>
    <n v="5"/>
    <n v="2.5"/>
    <s v="Cash"/>
    <s v="C1555"/>
    <n v="12.5"/>
    <s v="Saturday"/>
    <s v="November"/>
    <n v="2025"/>
  </r>
  <r>
    <x v="4234"/>
    <d v="2025-11-08T00:00:00"/>
    <s v="Central"/>
    <s v="London"/>
    <s v="Muffin"/>
    <s v="Food"/>
    <n v="5"/>
    <n v="2.2000000000000002"/>
    <s v="Cash"/>
    <s v="C1252"/>
    <n v="11"/>
    <s v="Saturday"/>
    <s v="November"/>
    <n v="2025"/>
  </r>
  <r>
    <x v="4235"/>
    <d v="2025-11-08T00:00:00"/>
    <s v="Central"/>
    <s v="Birmingham"/>
    <s v="Latte"/>
    <s v="Drink"/>
    <n v="3"/>
    <n v="3.5"/>
    <s v="Card"/>
    <s v="C1830"/>
    <n v="10.5"/>
    <s v="Saturday"/>
    <s v="November"/>
    <n v="2025"/>
  </r>
  <r>
    <x v="4236"/>
    <d v="2025-11-08T00:00:00"/>
    <s v="Central"/>
    <s v="Bristol"/>
    <s v="Espresso"/>
    <s v="Drink"/>
    <n v="4"/>
    <n v="2.5"/>
    <s v="Apple Pay"/>
    <s v="C1895"/>
    <n v="10"/>
    <s v="Saturday"/>
    <s v="November"/>
    <n v="2025"/>
  </r>
  <r>
    <x v="4237"/>
    <d v="2025-11-08T00:00:00"/>
    <s v="Station"/>
    <s v="Bristol"/>
    <s v="Muffin"/>
    <s v="Food"/>
    <n v="4"/>
    <n v="2.2000000000000002"/>
    <s v="Card"/>
    <s v="C1396"/>
    <n v="8.8000000000000007"/>
    <s v="Saturday"/>
    <s v="November"/>
    <n v="2025"/>
  </r>
  <r>
    <x v="4238"/>
    <d v="2025-11-08T00:00:00"/>
    <s v="High Street"/>
    <s v="Manchester"/>
    <s v="Croissant"/>
    <s v="Food"/>
    <n v="3"/>
    <n v="2.8"/>
    <s v="Cash"/>
    <s v="C1029"/>
    <n v="8.3999999999999986"/>
    <s v="Saturday"/>
    <s v="November"/>
    <n v="2025"/>
  </r>
  <r>
    <x v="4239"/>
    <d v="2025-11-08T00:00:00"/>
    <s v="Station"/>
    <s v="Birmingham"/>
    <s v="Cappuccino"/>
    <s v="Drink"/>
    <n v="2"/>
    <n v="3.8"/>
    <s v="Card"/>
    <s v="C1240"/>
    <n v="7.6"/>
    <s v="Saturday"/>
    <s v="November"/>
    <n v="2025"/>
  </r>
  <r>
    <x v="4240"/>
    <d v="2025-11-08T00:00:00"/>
    <s v="Riverside"/>
    <s v="Leeds"/>
    <s v="Cappuccino"/>
    <s v="Drink"/>
    <n v="2"/>
    <n v="3.8"/>
    <s v="Card"/>
    <s v="C1618"/>
    <n v="7.6"/>
    <s v="Saturday"/>
    <s v="November"/>
    <n v="2025"/>
  </r>
  <r>
    <x v="4241"/>
    <d v="2025-11-08T00:00:00"/>
    <s v="Riverside"/>
    <s v="Birmingham"/>
    <s v="Espresso"/>
    <s v="Drink"/>
    <n v="3"/>
    <n v="2.5"/>
    <s v="Card"/>
    <s v="C1555"/>
    <n v="7.5"/>
    <s v="Saturday"/>
    <s v="November"/>
    <n v="2025"/>
  </r>
  <r>
    <x v="4242"/>
    <d v="2025-11-08T00:00:00"/>
    <s v="High Street"/>
    <s v="London"/>
    <s v="Muffin"/>
    <s v="Food"/>
    <n v="2"/>
    <n v="2.2000000000000002"/>
    <s v="Card"/>
    <s v="C1091"/>
    <n v="4.4000000000000004"/>
    <s v="Saturday"/>
    <s v="November"/>
    <n v="2025"/>
  </r>
  <r>
    <x v="4243"/>
    <d v="2025-11-08T00:00:00"/>
    <s v="Riverside"/>
    <s v="Leeds"/>
    <s v="Latte"/>
    <s v="Drink"/>
    <n v="1"/>
    <n v="3.5"/>
    <s v="Cash"/>
    <s v="C1725"/>
    <n v="3.5"/>
    <s v="Saturday"/>
    <s v="November"/>
    <n v="2025"/>
  </r>
  <r>
    <x v="4244"/>
    <d v="2025-11-08T00:00:00"/>
    <s v="Riverside"/>
    <s v="Leeds"/>
    <s v="Espresso"/>
    <s v="Drink"/>
    <n v="1"/>
    <n v="2.5"/>
    <s v="Apple Pay"/>
    <s v="C1870"/>
    <n v="2.5"/>
    <s v="Saturday"/>
    <s v="November"/>
    <n v="2025"/>
  </r>
  <r>
    <x v="4245"/>
    <d v="2025-11-08T00:00:00"/>
    <s v="Riverside"/>
    <s v="Birmingham"/>
    <s v="Espresso"/>
    <s v="Drink"/>
    <n v="1"/>
    <n v="2.5"/>
    <s v="Cash"/>
    <s v="C1345"/>
    <n v="2.5"/>
    <s v="Saturday"/>
    <s v="November"/>
    <n v="2025"/>
  </r>
  <r>
    <x v="4246"/>
    <d v="2025-11-08T00:00:00"/>
    <s v="Riverside"/>
    <s v="Birmingham"/>
    <s v="Muffin"/>
    <s v="Food"/>
    <n v="1"/>
    <n v="2.2000000000000002"/>
    <s v="Cash"/>
    <s v="C1435"/>
    <n v="2.2000000000000002"/>
    <s v="Saturday"/>
    <s v="November"/>
    <n v="2025"/>
  </r>
  <r>
    <x v="4247"/>
    <d v="2025-11-08T00:00:00"/>
    <s v="Riverside"/>
    <s v="Leeds"/>
    <s v="Muffin"/>
    <s v="Food"/>
    <n v="1"/>
    <n v="2.2000000000000002"/>
    <s v="Cash"/>
    <s v="C1794"/>
    <n v="2.2000000000000002"/>
    <s v="Saturday"/>
    <s v="November"/>
    <n v="2025"/>
  </r>
  <r>
    <x v="4248"/>
    <d v="2025-11-08T00:00:00"/>
    <s v="Central"/>
    <s v="Manchester"/>
    <s v="Muffin"/>
    <s v="Food"/>
    <n v="1"/>
    <n v="2.2000000000000002"/>
    <s v="Card"/>
    <s v="C1507"/>
    <n v="2.2000000000000002"/>
    <s v="Saturday"/>
    <s v="November"/>
    <n v="2025"/>
  </r>
  <r>
    <x v="4249"/>
    <d v="2025-11-09T00:00:00"/>
    <s v="High Street"/>
    <s v="London"/>
    <s v="Latte"/>
    <s v="Drink"/>
    <n v="4"/>
    <n v="3.5"/>
    <s v="Cash"/>
    <s v="C1979"/>
    <n v="14"/>
    <s v="Sunday"/>
    <s v="November"/>
    <n v="2025"/>
  </r>
  <r>
    <x v="4250"/>
    <d v="2025-11-09T00:00:00"/>
    <s v="Riverside"/>
    <s v="Leeds"/>
    <s v="Espresso"/>
    <s v="Drink"/>
    <n v="5"/>
    <n v="2.5"/>
    <s v="Cash"/>
    <s v="C1691"/>
    <n v="12.5"/>
    <s v="Sunday"/>
    <s v="November"/>
    <n v="2025"/>
  </r>
  <r>
    <x v="4251"/>
    <d v="2025-11-09T00:00:00"/>
    <s v="Station"/>
    <s v="Leeds"/>
    <s v="Espresso"/>
    <s v="Drink"/>
    <n v="5"/>
    <n v="2.5"/>
    <s v="Card"/>
    <s v="C1493"/>
    <n v="12.5"/>
    <s v="Sunday"/>
    <s v="November"/>
    <n v="2025"/>
  </r>
  <r>
    <x v="4252"/>
    <d v="2025-11-09T00:00:00"/>
    <s v="High Street"/>
    <s v="Birmingham"/>
    <s v="Croissant"/>
    <s v="Food"/>
    <n v="4"/>
    <n v="2.8"/>
    <s v="Cash"/>
    <s v="C1025"/>
    <n v="11.2"/>
    <s v="Sunday"/>
    <s v="November"/>
    <n v="2025"/>
  </r>
  <r>
    <x v="4253"/>
    <d v="2025-11-09T00:00:00"/>
    <s v="Riverside"/>
    <s v="Leeds"/>
    <s v="Muffin"/>
    <s v="Food"/>
    <n v="5"/>
    <n v="2.2000000000000002"/>
    <s v="Apple Pay"/>
    <s v="C1771"/>
    <n v="11"/>
    <s v="Sunday"/>
    <s v="November"/>
    <n v="2025"/>
  </r>
  <r>
    <x v="4254"/>
    <d v="2025-11-09T00:00:00"/>
    <s v="High Street"/>
    <s v="London"/>
    <s v="Latte"/>
    <s v="Drink"/>
    <n v="3"/>
    <n v="3.5"/>
    <s v="Card"/>
    <s v="C1896"/>
    <n v="10.5"/>
    <s v="Sunday"/>
    <s v="November"/>
    <n v="2025"/>
  </r>
  <r>
    <x v="4255"/>
    <d v="2025-11-09T00:00:00"/>
    <s v="Station"/>
    <s v="Birmingham"/>
    <s v="Espresso"/>
    <s v="Drink"/>
    <n v="4"/>
    <n v="2.5"/>
    <s v="Cash"/>
    <s v="C1191"/>
    <n v="10"/>
    <s v="Sunday"/>
    <s v="November"/>
    <n v="2025"/>
  </r>
  <r>
    <x v="4256"/>
    <d v="2025-11-09T00:00:00"/>
    <s v="High Street"/>
    <s v="Leeds"/>
    <s v="Espresso"/>
    <s v="Drink"/>
    <n v="4"/>
    <n v="2.5"/>
    <s v="Apple Pay"/>
    <s v="C1841"/>
    <n v="10"/>
    <s v="Sunday"/>
    <s v="November"/>
    <n v="2025"/>
  </r>
  <r>
    <x v="4257"/>
    <d v="2025-11-09T00:00:00"/>
    <s v="Riverside"/>
    <s v="Bristol"/>
    <s v="Croissant"/>
    <s v="Food"/>
    <n v="3"/>
    <n v="2.8"/>
    <s v="Card"/>
    <s v="C1832"/>
    <n v="8.3999999999999986"/>
    <s v="Sunday"/>
    <s v="November"/>
    <n v="2025"/>
  </r>
  <r>
    <x v="4258"/>
    <d v="2025-11-09T00:00:00"/>
    <s v="Riverside"/>
    <s v="Manchester"/>
    <s v="Cappuccino"/>
    <s v="Drink"/>
    <n v="2"/>
    <n v="3.8"/>
    <s v="Cash"/>
    <s v="C1714"/>
    <n v="7.6"/>
    <s v="Sunday"/>
    <s v="November"/>
    <n v="2025"/>
  </r>
  <r>
    <x v="4259"/>
    <d v="2025-11-09T00:00:00"/>
    <s v="Riverside"/>
    <s v="Leeds"/>
    <s v="Muffin"/>
    <s v="Food"/>
    <n v="3"/>
    <n v="2.2000000000000002"/>
    <s v="Cash"/>
    <s v="C1448"/>
    <n v="6.6000000000000005"/>
    <s v="Sunday"/>
    <s v="November"/>
    <n v="2025"/>
  </r>
  <r>
    <x v="4260"/>
    <d v="2025-11-10T00:00:00"/>
    <s v="Riverside"/>
    <s v="Manchester"/>
    <s v="Cappuccino"/>
    <s v="Drink"/>
    <n v="5"/>
    <n v="3.8"/>
    <s v="Cash"/>
    <s v="C1531"/>
    <n v="19"/>
    <s v="Monday"/>
    <s v="November"/>
    <n v="2025"/>
  </r>
  <r>
    <x v="4261"/>
    <d v="2025-11-10T00:00:00"/>
    <s v="Central"/>
    <s v="Manchester"/>
    <s v="Cappuccino"/>
    <s v="Drink"/>
    <n v="5"/>
    <n v="3.8"/>
    <s v="Cash"/>
    <s v="C1005"/>
    <n v="19"/>
    <s v="Monday"/>
    <s v="November"/>
    <n v="2025"/>
  </r>
  <r>
    <x v="4262"/>
    <d v="2025-11-10T00:00:00"/>
    <s v="Station"/>
    <s v="Leeds"/>
    <s v="Cappuccino"/>
    <s v="Drink"/>
    <n v="5"/>
    <n v="3.8"/>
    <s v="Card"/>
    <s v="C1315"/>
    <n v="19"/>
    <s v="Monday"/>
    <s v="November"/>
    <n v="2025"/>
  </r>
  <r>
    <x v="4263"/>
    <d v="2025-11-10T00:00:00"/>
    <s v="High Street"/>
    <s v="Birmingham"/>
    <s v="Cappuccino"/>
    <s v="Drink"/>
    <n v="4"/>
    <n v="3.8"/>
    <s v="Cash"/>
    <s v="C1262"/>
    <n v="15.2"/>
    <s v="Monday"/>
    <s v="November"/>
    <n v="2025"/>
  </r>
  <r>
    <x v="4264"/>
    <d v="2025-11-10T00:00:00"/>
    <s v="Station"/>
    <s v="London"/>
    <s v="Latte"/>
    <s v="Drink"/>
    <n v="4"/>
    <n v="3.5"/>
    <s v="Cash"/>
    <s v="C1638"/>
    <n v="14"/>
    <s v="Monday"/>
    <s v="November"/>
    <n v="2025"/>
  </r>
  <r>
    <x v="4265"/>
    <d v="2025-11-10T00:00:00"/>
    <s v="Central"/>
    <s v="Leeds"/>
    <s v="Latte"/>
    <s v="Drink"/>
    <n v="4"/>
    <n v="3.5"/>
    <s v="Apple Pay"/>
    <s v="C1289"/>
    <n v="14"/>
    <s v="Monday"/>
    <s v="November"/>
    <n v="2025"/>
  </r>
  <r>
    <x v="4266"/>
    <d v="2025-11-10T00:00:00"/>
    <s v="Riverside"/>
    <s v="Manchester"/>
    <s v="Espresso"/>
    <s v="Drink"/>
    <n v="5"/>
    <n v="2.5"/>
    <s v="Apple Pay"/>
    <s v="C1603"/>
    <n v="12.5"/>
    <s v="Monday"/>
    <s v="November"/>
    <n v="2025"/>
  </r>
  <r>
    <x v="4267"/>
    <d v="2025-11-10T00:00:00"/>
    <s v="Riverside"/>
    <s v="Birmingham"/>
    <s v="Espresso"/>
    <s v="Drink"/>
    <n v="5"/>
    <n v="2.5"/>
    <s v="Card"/>
    <s v="C1902"/>
    <n v="12.5"/>
    <s v="Monday"/>
    <s v="November"/>
    <n v="2025"/>
  </r>
  <r>
    <x v="4268"/>
    <d v="2025-11-10T00:00:00"/>
    <s v="Riverside"/>
    <s v="Manchester"/>
    <s v="Croissant"/>
    <s v="Food"/>
    <n v="4"/>
    <n v="2.8"/>
    <s v="Cash"/>
    <s v="C1772"/>
    <n v="11.2"/>
    <s v="Monday"/>
    <s v="November"/>
    <n v="2025"/>
  </r>
  <r>
    <x v="4269"/>
    <d v="2025-11-10T00:00:00"/>
    <s v="Riverside"/>
    <s v="Birmingham"/>
    <s v="Croissant"/>
    <s v="Food"/>
    <n v="4"/>
    <n v="2.8"/>
    <s v="Card"/>
    <s v="C1990"/>
    <n v="11.2"/>
    <s v="Monday"/>
    <s v="November"/>
    <n v="2025"/>
  </r>
  <r>
    <x v="4270"/>
    <d v="2025-11-10T00:00:00"/>
    <s v="High Street"/>
    <s v="London"/>
    <s v="Muffin"/>
    <s v="Food"/>
    <n v="5"/>
    <n v="2.2000000000000002"/>
    <s v="Card"/>
    <s v="C1542"/>
    <n v="11"/>
    <s v="Monday"/>
    <s v="November"/>
    <n v="2025"/>
  </r>
  <r>
    <x v="4271"/>
    <d v="2025-11-10T00:00:00"/>
    <s v="Central"/>
    <s v="London"/>
    <s v="Muffin"/>
    <s v="Food"/>
    <n v="5"/>
    <n v="2.2000000000000002"/>
    <s v="Apple Pay"/>
    <s v="C1658"/>
    <n v="11"/>
    <s v="Monday"/>
    <s v="November"/>
    <n v="2025"/>
  </r>
  <r>
    <x v="4272"/>
    <d v="2025-11-10T00:00:00"/>
    <s v="Central"/>
    <s v="London"/>
    <s v="Latte"/>
    <s v="Drink"/>
    <n v="3"/>
    <n v="3.5"/>
    <s v="Apple Pay"/>
    <s v="C1734"/>
    <n v="10.5"/>
    <s v="Monday"/>
    <s v="November"/>
    <n v="2025"/>
  </r>
  <r>
    <x v="4273"/>
    <d v="2025-11-10T00:00:00"/>
    <s v="Station"/>
    <s v="Bristol"/>
    <s v="Espresso"/>
    <s v="Drink"/>
    <n v="4"/>
    <n v="2.5"/>
    <s v="Apple Pay"/>
    <s v="C1433"/>
    <n v="10"/>
    <s v="Monday"/>
    <s v="November"/>
    <n v="2025"/>
  </r>
  <r>
    <x v="4274"/>
    <d v="2025-11-10T00:00:00"/>
    <s v="Central"/>
    <s v="London"/>
    <s v="Muffin"/>
    <s v="Food"/>
    <n v="4"/>
    <n v="2.2000000000000002"/>
    <s v="Card"/>
    <s v="C1194"/>
    <n v="8.8000000000000007"/>
    <s v="Monday"/>
    <s v="November"/>
    <n v="2025"/>
  </r>
  <r>
    <x v="4275"/>
    <d v="2025-11-10T00:00:00"/>
    <s v="Riverside"/>
    <s v="London"/>
    <s v="Muffin"/>
    <s v="Food"/>
    <n v="4"/>
    <n v="2.2000000000000002"/>
    <s v="Apple Pay"/>
    <s v="C1304"/>
    <n v="8.8000000000000007"/>
    <s v="Monday"/>
    <s v="November"/>
    <n v="2025"/>
  </r>
  <r>
    <x v="4276"/>
    <d v="2025-11-10T00:00:00"/>
    <s v="Station"/>
    <s v="Leeds"/>
    <s v="Espresso"/>
    <s v="Drink"/>
    <n v="3"/>
    <n v="2.5"/>
    <s v="Card"/>
    <s v="C1931"/>
    <n v="7.5"/>
    <s v="Monday"/>
    <s v="November"/>
    <n v="2025"/>
  </r>
  <r>
    <x v="4277"/>
    <d v="2025-11-10T00:00:00"/>
    <s v="High Street"/>
    <s v="Leeds"/>
    <s v="Espresso"/>
    <s v="Drink"/>
    <n v="2"/>
    <n v="2.5"/>
    <s v="Card"/>
    <s v="C1416"/>
    <n v="5"/>
    <s v="Monday"/>
    <s v="November"/>
    <n v="2025"/>
  </r>
  <r>
    <x v="4278"/>
    <d v="2025-11-10T00:00:00"/>
    <s v="Station"/>
    <s v="Bristol"/>
    <s v="Cappuccino"/>
    <s v="Drink"/>
    <n v="1"/>
    <n v="3.8"/>
    <s v="Apple Pay"/>
    <s v="C1628"/>
    <n v="3.8"/>
    <s v="Monday"/>
    <s v="November"/>
    <n v="2025"/>
  </r>
  <r>
    <x v="4279"/>
    <d v="2025-11-10T00:00:00"/>
    <s v="Central"/>
    <s v="Manchester"/>
    <s v="Cappuccino"/>
    <s v="Drink"/>
    <n v="1"/>
    <n v="3.8"/>
    <s v="Cash"/>
    <s v="C1894"/>
    <n v="3.8"/>
    <s v="Monday"/>
    <s v="November"/>
    <n v="2025"/>
  </r>
  <r>
    <x v="4280"/>
    <d v="2025-11-10T00:00:00"/>
    <s v="Station"/>
    <s v="Birmingham"/>
    <s v="Latte"/>
    <s v="Drink"/>
    <n v="1"/>
    <n v="3.5"/>
    <s v="Apple Pay"/>
    <s v="C1131"/>
    <n v="3.5"/>
    <s v="Monday"/>
    <s v="November"/>
    <n v="2025"/>
  </r>
  <r>
    <x v="4281"/>
    <d v="2025-11-10T00:00:00"/>
    <s v="Riverside"/>
    <s v="Bristol"/>
    <s v="Latte"/>
    <s v="Drink"/>
    <n v="1"/>
    <n v="3.5"/>
    <s v="Cash"/>
    <s v="C1815"/>
    <n v="3.5"/>
    <s v="Monday"/>
    <s v="November"/>
    <n v="2025"/>
  </r>
  <r>
    <x v="4282"/>
    <d v="2025-11-10T00:00:00"/>
    <s v="High Street"/>
    <s v="London"/>
    <s v="Croissant"/>
    <s v="Food"/>
    <n v="1"/>
    <n v="2.8"/>
    <s v="Card"/>
    <s v="C1358"/>
    <n v="2.8"/>
    <s v="Monday"/>
    <s v="November"/>
    <n v="2025"/>
  </r>
  <r>
    <x v="4283"/>
    <d v="2025-11-10T00:00:00"/>
    <s v="Central"/>
    <s v="Manchester"/>
    <s v="Croissant"/>
    <s v="Food"/>
    <n v="1"/>
    <n v="2.8"/>
    <s v="Apple Pay"/>
    <s v="C1677"/>
    <n v="2.8"/>
    <s v="Monday"/>
    <s v="November"/>
    <n v="2025"/>
  </r>
  <r>
    <x v="4284"/>
    <d v="2025-11-10T00:00:00"/>
    <s v="Central"/>
    <s v="Bristol"/>
    <s v="Espresso"/>
    <s v="Drink"/>
    <n v="1"/>
    <n v="2.5"/>
    <s v="Apple Pay"/>
    <s v="C1447"/>
    <n v="2.5"/>
    <s v="Monday"/>
    <s v="November"/>
    <n v="2025"/>
  </r>
  <r>
    <x v="4285"/>
    <d v="2025-11-10T00:00:00"/>
    <s v="Central"/>
    <s v="Bristol"/>
    <s v="Muffin"/>
    <s v="Food"/>
    <n v="1"/>
    <n v="2.2000000000000002"/>
    <s v="Card"/>
    <s v="C1440"/>
    <n v="2.2000000000000002"/>
    <s v="Monday"/>
    <s v="November"/>
    <n v="2025"/>
  </r>
  <r>
    <x v="4286"/>
    <d v="2025-11-11T00:00:00"/>
    <s v="Central"/>
    <s v="Bristol"/>
    <s v="Cappuccino"/>
    <s v="Drink"/>
    <n v="5"/>
    <n v="3.8"/>
    <s v="Apple Pay"/>
    <s v="C1262"/>
    <n v="19"/>
    <s v="Tuesday"/>
    <s v="November"/>
    <n v="2025"/>
  </r>
  <r>
    <x v="4287"/>
    <d v="2025-11-11T00:00:00"/>
    <s v="High Street"/>
    <s v="London"/>
    <s v="Latte"/>
    <s v="Drink"/>
    <n v="4"/>
    <n v="3.5"/>
    <s v="Apple Pay"/>
    <s v="C1208"/>
    <n v="14"/>
    <s v="Tuesday"/>
    <s v="November"/>
    <n v="2025"/>
  </r>
  <r>
    <x v="4288"/>
    <d v="2025-11-11T00:00:00"/>
    <s v="Station"/>
    <s v="Bristol"/>
    <s v="Cappuccino"/>
    <s v="Drink"/>
    <n v="3"/>
    <n v="3.8"/>
    <s v="Cash"/>
    <s v="C1134"/>
    <n v="11.399999999999999"/>
    <s v="Tuesday"/>
    <s v="November"/>
    <n v="2025"/>
  </r>
  <r>
    <x v="4289"/>
    <d v="2025-11-11T00:00:00"/>
    <s v="High Street"/>
    <s v="Birmingham"/>
    <s v="Croissant"/>
    <s v="Food"/>
    <n v="4"/>
    <n v="2.8"/>
    <s v="Cash"/>
    <s v="C1369"/>
    <n v="11.2"/>
    <s v="Tuesday"/>
    <s v="November"/>
    <n v="2025"/>
  </r>
  <r>
    <x v="4290"/>
    <d v="2025-11-11T00:00:00"/>
    <s v="Riverside"/>
    <s v="Leeds"/>
    <s v="Muffin"/>
    <s v="Food"/>
    <n v="5"/>
    <n v="2.2000000000000002"/>
    <s v="Card"/>
    <s v="C1644"/>
    <n v="11"/>
    <s v="Tuesday"/>
    <s v="November"/>
    <n v="2025"/>
  </r>
  <r>
    <x v="4291"/>
    <d v="2025-11-11T00:00:00"/>
    <s v="Central"/>
    <s v="Birmingham"/>
    <s v="Muffin"/>
    <s v="Food"/>
    <n v="4"/>
    <n v="2.2000000000000002"/>
    <s v="Apple Pay"/>
    <s v="C1955"/>
    <n v="8.8000000000000007"/>
    <s v="Tuesday"/>
    <s v="November"/>
    <n v="2025"/>
  </r>
  <r>
    <x v="4292"/>
    <d v="2025-11-11T00:00:00"/>
    <s v="Riverside"/>
    <s v="London"/>
    <s v="Cappuccino"/>
    <s v="Drink"/>
    <n v="1"/>
    <n v="3.8"/>
    <s v="Card"/>
    <s v="C1711"/>
    <n v="3.8"/>
    <s v="Tuesday"/>
    <s v="November"/>
    <n v="2025"/>
  </r>
  <r>
    <x v="4293"/>
    <d v="2025-11-11T00:00:00"/>
    <s v="Riverside"/>
    <s v="Bristol"/>
    <s v="Cappuccino"/>
    <s v="Drink"/>
    <n v="1"/>
    <n v="3.8"/>
    <s v="Cash"/>
    <s v="C1775"/>
    <n v="3.8"/>
    <s v="Tuesday"/>
    <s v="November"/>
    <n v="2025"/>
  </r>
  <r>
    <x v="4294"/>
    <d v="2025-11-11T00:00:00"/>
    <s v="Riverside"/>
    <s v="Bristol"/>
    <s v="Cappuccino"/>
    <s v="Drink"/>
    <n v="1"/>
    <n v="3.8"/>
    <s v="Apple Pay"/>
    <s v="C1092"/>
    <n v="3.8"/>
    <s v="Tuesday"/>
    <s v="November"/>
    <n v="2025"/>
  </r>
  <r>
    <x v="4295"/>
    <d v="2025-11-11T00:00:00"/>
    <s v="Central"/>
    <s v="London"/>
    <s v="Croissant"/>
    <s v="Food"/>
    <n v="1"/>
    <n v="2.8"/>
    <s v="Apple Pay"/>
    <s v="C1380"/>
    <n v="2.8"/>
    <s v="Tuesday"/>
    <s v="November"/>
    <n v="2025"/>
  </r>
  <r>
    <x v="4296"/>
    <d v="2025-11-11T00:00:00"/>
    <s v="Riverside"/>
    <s v="Birmingham"/>
    <s v="Muffin"/>
    <s v="Food"/>
    <n v="1"/>
    <n v="2.2000000000000002"/>
    <s v="Apple Pay"/>
    <s v="C1552"/>
    <n v="2.2000000000000002"/>
    <s v="Tuesday"/>
    <s v="November"/>
    <n v="2025"/>
  </r>
  <r>
    <x v="4297"/>
    <d v="2025-11-12T00:00:00"/>
    <s v="Station"/>
    <s v="Bristol"/>
    <s v="Espresso"/>
    <s v="Drink"/>
    <n v="5"/>
    <n v="2.5"/>
    <s v="Apple Pay"/>
    <s v="C1738"/>
    <n v="12.5"/>
    <s v="Wednesday"/>
    <s v="November"/>
    <n v="2025"/>
  </r>
  <r>
    <x v="4298"/>
    <d v="2025-11-12T00:00:00"/>
    <s v="Station"/>
    <s v="Birmingham"/>
    <s v="Muffin"/>
    <s v="Food"/>
    <n v="5"/>
    <n v="2.2000000000000002"/>
    <s v="Card"/>
    <s v="C1427"/>
    <n v="11"/>
    <s v="Wednesday"/>
    <s v="November"/>
    <n v="2025"/>
  </r>
  <r>
    <x v="4299"/>
    <d v="2025-11-12T00:00:00"/>
    <s v="High Street"/>
    <s v="Leeds"/>
    <s v="Muffin"/>
    <s v="Food"/>
    <n v="5"/>
    <n v="2.2000000000000002"/>
    <s v="Apple Pay"/>
    <s v="C1942"/>
    <n v="11"/>
    <s v="Wednesday"/>
    <s v="November"/>
    <n v="2025"/>
  </r>
  <r>
    <x v="4300"/>
    <d v="2025-11-12T00:00:00"/>
    <s v="High Street"/>
    <s v="Leeds"/>
    <s v="Muffin"/>
    <s v="Food"/>
    <n v="4"/>
    <n v="2.2000000000000002"/>
    <s v="Cash"/>
    <s v="C1093"/>
    <n v="8.8000000000000007"/>
    <s v="Wednesday"/>
    <s v="November"/>
    <n v="2025"/>
  </r>
  <r>
    <x v="4301"/>
    <d v="2025-11-12T00:00:00"/>
    <s v="High Street"/>
    <s v="Leeds"/>
    <s v="Croissant"/>
    <s v="Food"/>
    <n v="3"/>
    <n v="2.8"/>
    <s v="Apple Pay"/>
    <s v="C1488"/>
    <n v="8.3999999999999986"/>
    <s v="Wednesday"/>
    <s v="November"/>
    <n v="2025"/>
  </r>
  <r>
    <x v="4302"/>
    <d v="2025-11-12T00:00:00"/>
    <s v="Riverside"/>
    <s v="Birmingham"/>
    <s v="Croissant"/>
    <s v="Food"/>
    <n v="3"/>
    <n v="2.8"/>
    <s v="Card"/>
    <s v="C1555"/>
    <n v="8.3999999999999986"/>
    <s v="Wednesday"/>
    <s v="November"/>
    <n v="2025"/>
  </r>
  <r>
    <x v="4303"/>
    <d v="2025-11-12T00:00:00"/>
    <s v="High Street"/>
    <s v="Birmingham"/>
    <s v="Muffin"/>
    <s v="Food"/>
    <n v="3"/>
    <n v="2.2000000000000002"/>
    <s v="Card"/>
    <s v="C1773"/>
    <n v="6.6000000000000005"/>
    <s v="Wednesday"/>
    <s v="November"/>
    <n v="2025"/>
  </r>
  <r>
    <x v="4304"/>
    <d v="2025-11-12T00:00:00"/>
    <s v="Central"/>
    <s v="Leeds"/>
    <s v="Espresso"/>
    <s v="Drink"/>
    <n v="2"/>
    <n v="2.5"/>
    <s v="Card"/>
    <s v="C1232"/>
    <n v="5"/>
    <s v="Wednesday"/>
    <s v="November"/>
    <n v="2025"/>
  </r>
  <r>
    <x v="4305"/>
    <d v="2025-11-12T00:00:00"/>
    <s v="High Street"/>
    <s v="Manchester"/>
    <s v="Cappuccino"/>
    <s v="Drink"/>
    <n v="1"/>
    <n v="3.8"/>
    <s v="Card"/>
    <s v="C1913"/>
    <n v="3.8"/>
    <s v="Wednesday"/>
    <s v="November"/>
    <n v="2025"/>
  </r>
  <r>
    <x v="4306"/>
    <d v="2025-11-12T00:00:00"/>
    <s v="Station"/>
    <s v="London"/>
    <s v="Cappuccino"/>
    <s v="Drink"/>
    <n v="1"/>
    <n v="3.8"/>
    <s v="Card"/>
    <s v="C1238"/>
    <n v="3.8"/>
    <s v="Wednesday"/>
    <s v="November"/>
    <n v="2025"/>
  </r>
  <r>
    <x v="4307"/>
    <d v="2025-11-12T00:00:00"/>
    <s v="Station"/>
    <s v="Manchester"/>
    <s v="Muffin"/>
    <s v="Food"/>
    <n v="1"/>
    <n v="2.2000000000000002"/>
    <s v="Card"/>
    <s v="C1350"/>
    <n v="2.2000000000000002"/>
    <s v="Wednesday"/>
    <s v="November"/>
    <n v="2025"/>
  </r>
  <r>
    <x v="4308"/>
    <d v="2025-11-13T00:00:00"/>
    <s v="Central"/>
    <s v="Birmingham"/>
    <s v="Cappuccino"/>
    <s v="Drink"/>
    <n v="5"/>
    <n v="3.8"/>
    <s v="Apple Pay"/>
    <s v="C1442"/>
    <n v="19"/>
    <s v="Thursday"/>
    <s v="November"/>
    <n v="2025"/>
  </r>
  <r>
    <x v="4309"/>
    <d v="2025-11-13T00:00:00"/>
    <s v="Riverside"/>
    <s v="Bristol"/>
    <s v="Cappuccino"/>
    <s v="Drink"/>
    <n v="4"/>
    <n v="3.8"/>
    <s v="Cash"/>
    <s v="C1432"/>
    <n v="15.2"/>
    <s v="Thursday"/>
    <s v="November"/>
    <n v="2025"/>
  </r>
  <r>
    <x v="4310"/>
    <d v="2025-11-13T00:00:00"/>
    <s v="Central"/>
    <s v="Birmingham"/>
    <s v="Croissant"/>
    <s v="Food"/>
    <n v="5"/>
    <n v="2.8"/>
    <s v="Cash"/>
    <s v="C1855"/>
    <n v="14"/>
    <s v="Thursday"/>
    <s v="November"/>
    <n v="2025"/>
  </r>
  <r>
    <x v="4311"/>
    <d v="2025-11-13T00:00:00"/>
    <s v="Riverside"/>
    <s v="Leeds"/>
    <s v="Latte"/>
    <s v="Drink"/>
    <n v="4"/>
    <n v="3.5"/>
    <s v="Cash"/>
    <s v="C1260"/>
    <n v="14"/>
    <s v="Thursday"/>
    <s v="November"/>
    <n v="2025"/>
  </r>
  <r>
    <x v="4312"/>
    <d v="2025-11-13T00:00:00"/>
    <s v="Riverside"/>
    <s v="London"/>
    <s v="Cappuccino"/>
    <s v="Drink"/>
    <n v="3"/>
    <n v="3.8"/>
    <s v="Cash"/>
    <s v="C1053"/>
    <n v="11.399999999999999"/>
    <s v="Thursday"/>
    <s v="November"/>
    <n v="2025"/>
  </r>
  <r>
    <x v="4313"/>
    <d v="2025-11-13T00:00:00"/>
    <s v="Central"/>
    <s v="Leeds"/>
    <s v="Muffin"/>
    <s v="Food"/>
    <n v="5"/>
    <n v="2.2000000000000002"/>
    <s v="Apple Pay"/>
    <s v="C1885"/>
    <n v="11"/>
    <s v="Thursday"/>
    <s v="November"/>
    <n v="2025"/>
  </r>
  <r>
    <x v="4314"/>
    <d v="2025-11-13T00:00:00"/>
    <s v="High Street"/>
    <s v="Leeds"/>
    <s v="Latte"/>
    <s v="Drink"/>
    <n v="3"/>
    <n v="3.5"/>
    <s v="Cash"/>
    <s v="C1601"/>
    <n v="10.5"/>
    <s v="Thursday"/>
    <s v="November"/>
    <n v="2025"/>
  </r>
  <r>
    <x v="4315"/>
    <d v="2025-11-13T00:00:00"/>
    <s v="Station"/>
    <s v="Leeds"/>
    <s v="Espresso"/>
    <s v="Drink"/>
    <n v="4"/>
    <n v="2.5"/>
    <s v="Cash"/>
    <s v="C1267"/>
    <n v="10"/>
    <s v="Thursday"/>
    <s v="November"/>
    <n v="2025"/>
  </r>
  <r>
    <x v="4316"/>
    <d v="2025-11-13T00:00:00"/>
    <s v="Station"/>
    <s v="Manchester"/>
    <s v="Croissant"/>
    <s v="Food"/>
    <n v="3"/>
    <n v="2.8"/>
    <s v="Cash"/>
    <s v="C1064"/>
    <n v="8.3999999999999986"/>
    <s v="Thursday"/>
    <s v="November"/>
    <n v="2025"/>
  </r>
  <r>
    <x v="4317"/>
    <d v="2025-11-13T00:00:00"/>
    <s v="Central"/>
    <s v="Manchester"/>
    <s v="Cappuccino"/>
    <s v="Drink"/>
    <n v="2"/>
    <n v="3.8"/>
    <s v="Card"/>
    <s v="C1081"/>
    <n v="7.6"/>
    <s v="Thursday"/>
    <s v="November"/>
    <n v="2025"/>
  </r>
  <r>
    <x v="4318"/>
    <d v="2025-11-13T00:00:00"/>
    <s v="Central"/>
    <s v="Bristol"/>
    <s v="Cappuccino"/>
    <s v="Drink"/>
    <n v="2"/>
    <n v="3.8"/>
    <s v="Card"/>
    <s v="C1383"/>
    <n v="7.6"/>
    <s v="Thursday"/>
    <s v="November"/>
    <n v="2025"/>
  </r>
  <r>
    <x v="4319"/>
    <d v="2025-11-13T00:00:00"/>
    <s v="High Street"/>
    <s v="Leeds"/>
    <s v="Espresso"/>
    <s v="Drink"/>
    <n v="3"/>
    <n v="2.5"/>
    <s v="Cash"/>
    <s v="C1855"/>
    <n v="7.5"/>
    <s v="Thursday"/>
    <s v="November"/>
    <n v="2025"/>
  </r>
  <r>
    <x v="4320"/>
    <d v="2025-11-13T00:00:00"/>
    <s v="Central"/>
    <s v="Birmingham"/>
    <s v="Latte"/>
    <s v="Drink"/>
    <n v="2"/>
    <n v="3.5"/>
    <s v="Apple Pay"/>
    <s v="C1531"/>
    <n v="7"/>
    <s v="Thursday"/>
    <s v="November"/>
    <n v="2025"/>
  </r>
  <r>
    <x v="4321"/>
    <d v="2025-11-13T00:00:00"/>
    <s v="Station"/>
    <s v="Leeds"/>
    <s v="Espresso"/>
    <s v="Drink"/>
    <n v="2"/>
    <n v="2.5"/>
    <s v="Apple Pay"/>
    <s v="C1534"/>
    <n v="5"/>
    <s v="Thursday"/>
    <s v="November"/>
    <n v="2025"/>
  </r>
  <r>
    <x v="4322"/>
    <d v="2025-11-13T00:00:00"/>
    <s v="Central"/>
    <s v="London"/>
    <s v="Espresso"/>
    <s v="Drink"/>
    <n v="2"/>
    <n v="2.5"/>
    <s v="Apple Pay"/>
    <s v="C1939"/>
    <n v="5"/>
    <s v="Thursday"/>
    <s v="November"/>
    <n v="2025"/>
  </r>
  <r>
    <x v="4323"/>
    <d v="2025-11-13T00:00:00"/>
    <s v="Riverside"/>
    <s v="Leeds"/>
    <s v="Muffin"/>
    <s v="Food"/>
    <n v="2"/>
    <n v="2.2000000000000002"/>
    <s v="Cash"/>
    <s v="C1583"/>
    <n v="4.4000000000000004"/>
    <s v="Thursday"/>
    <s v="November"/>
    <n v="2025"/>
  </r>
  <r>
    <x v="4324"/>
    <d v="2025-11-13T00:00:00"/>
    <s v="Station"/>
    <s v="Bristol"/>
    <s v="Muffin"/>
    <s v="Food"/>
    <n v="2"/>
    <n v="2.2000000000000002"/>
    <s v="Apple Pay"/>
    <s v="C1465"/>
    <n v="4.4000000000000004"/>
    <s v="Thursday"/>
    <s v="November"/>
    <n v="2025"/>
  </r>
  <r>
    <x v="4325"/>
    <d v="2025-11-13T00:00:00"/>
    <s v="Station"/>
    <s v="London"/>
    <s v="Muffin"/>
    <s v="Food"/>
    <n v="2"/>
    <n v="2.2000000000000002"/>
    <s v="Cash"/>
    <s v="C1485"/>
    <n v="4.4000000000000004"/>
    <s v="Thursday"/>
    <s v="November"/>
    <n v="2025"/>
  </r>
  <r>
    <x v="4326"/>
    <d v="2025-11-13T00:00:00"/>
    <s v="High Street"/>
    <s v="London"/>
    <s v="Cappuccino"/>
    <s v="Drink"/>
    <n v="1"/>
    <n v="3.8"/>
    <s v="Cash"/>
    <s v="C1272"/>
    <n v="3.8"/>
    <s v="Thursday"/>
    <s v="November"/>
    <n v="2025"/>
  </r>
  <r>
    <x v="4327"/>
    <d v="2025-11-13T00:00:00"/>
    <s v="Station"/>
    <s v="Birmingham"/>
    <s v="Latte"/>
    <s v="Drink"/>
    <n v="1"/>
    <n v="3.5"/>
    <s v="Card"/>
    <s v="C1353"/>
    <n v="3.5"/>
    <s v="Thursday"/>
    <s v="November"/>
    <n v="2025"/>
  </r>
  <r>
    <x v="4328"/>
    <d v="2025-11-14T00:00:00"/>
    <s v="Central"/>
    <s v="London"/>
    <s v="Cappuccino"/>
    <s v="Drink"/>
    <n v="4"/>
    <n v="3.8"/>
    <s v="Apple Pay"/>
    <s v="C1631"/>
    <n v="15.2"/>
    <s v="Friday"/>
    <s v="November"/>
    <n v="2025"/>
  </r>
  <r>
    <x v="4329"/>
    <d v="2025-11-14T00:00:00"/>
    <s v="Central"/>
    <s v="Manchester"/>
    <s v="Croissant"/>
    <s v="Food"/>
    <n v="5"/>
    <n v="2.8"/>
    <s v="Apple Pay"/>
    <s v="C1043"/>
    <n v="14"/>
    <s v="Friday"/>
    <s v="November"/>
    <n v="2025"/>
  </r>
  <r>
    <x v="4330"/>
    <d v="2025-11-14T00:00:00"/>
    <s v="Riverside"/>
    <s v="Manchester"/>
    <s v="Cappuccino"/>
    <s v="Drink"/>
    <n v="3"/>
    <n v="3.8"/>
    <s v="Apple Pay"/>
    <s v="C1672"/>
    <n v="11.399999999999999"/>
    <s v="Friday"/>
    <s v="November"/>
    <n v="2025"/>
  </r>
  <r>
    <x v="4331"/>
    <d v="2025-11-14T00:00:00"/>
    <s v="Central"/>
    <s v="Manchester"/>
    <s v="Croissant"/>
    <s v="Food"/>
    <n v="4"/>
    <n v="2.8"/>
    <s v="Cash"/>
    <s v="C1209"/>
    <n v="11.2"/>
    <s v="Friday"/>
    <s v="November"/>
    <n v="2025"/>
  </r>
  <r>
    <x v="4332"/>
    <d v="2025-11-14T00:00:00"/>
    <s v="Riverside"/>
    <s v="Bristol"/>
    <s v="Espresso"/>
    <s v="Drink"/>
    <n v="4"/>
    <n v="2.5"/>
    <s v="Card"/>
    <s v="C1377"/>
    <n v="10"/>
    <s v="Friday"/>
    <s v="November"/>
    <n v="2025"/>
  </r>
  <r>
    <x v="4333"/>
    <d v="2025-11-14T00:00:00"/>
    <s v="Central"/>
    <s v="Manchester"/>
    <s v="Muffin"/>
    <s v="Food"/>
    <n v="4"/>
    <n v="2.2000000000000002"/>
    <s v="Cash"/>
    <s v="C1696"/>
    <n v="8.8000000000000007"/>
    <s v="Friday"/>
    <s v="November"/>
    <n v="2025"/>
  </r>
  <r>
    <x v="4334"/>
    <d v="2025-11-14T00:00:00"/>
    <s v="High Street"/>
    <s v="Leeds"/>
    <s v="Espresso"/>
    <s v="Drink"/>
    <n v="3"/>
    <n v="2.5"/>
    <s v="Card"/>
    <s v="C1522"/>
    <n v="7.5"/>
    <s v="Friday"/>
    <s v="November"/>
    <n v="2025"/>
  </r>
  <r>
    <x v="4335"/>
    <d v="2025-11-14T00:00:00"/>
    <s v="High Street"/>
    <s v="Manchester"/>
    <s v="Muffin"/>
    <s v="Food"/>
    <n v="3"/>
    <n v="2.2000000000000002"/>
    <s v="Apple Pay"/>
    <s v="C1857"/>
    <n v="6.6000000000000005"/>
    <s v="Friday"/>
    <s v="November"/>
    <n v="2025"/>
  </r>
  <r>
    <x v="4336"/>
    <d v="2025-11-14T00:00:00"/>
    <s v="Riverside"/>
    <s v="London"/>
    <s v="Croissant"/>
    <s v="Food"/>
    <n v="2"/>
    <n v="2.8"/>
    <s v="Card"/>
    <s v="C1663"/>
    <n v="5.6"/>
    <s v="Friday"/>
    <s v="November"/>
    <n v="2025"/>
  </r>
  <r>
    <x v="4337"/>
    <d v="2025-11-14T00:00:00"/>
    <s v="High Street"/>
    <s v="Birmingham"/>
    <s v="Croissant"/>
    <s v="Food"/>
    <n v="1"/>
    <n v="2.8"/>
    <s v="Cash"/>
    <s v="C1672"/>
    <n v="2.8"/>
    <s v="Friday"/>
    <s v="November"/>
    <n v="2025"/>
  </r>
  <r>
    <x v="4338"/>
    <d v="2025-11-14T00:00:00"/>
    <s v="Station"/>
    <s v="Bristol"/>
    <s v="Muffin"/>
    <s v="Food"/>
    <n v="1"/>
    <n v="2.2000000000000002"/>
    <s v="Cash"/>
    <s v="C1140"/>
    <n v="2.2000000000000002"/>
    <s v="Friday"/>
    <s v="November"/>
    <n v="2025"/>
  </r>
  <r>
    <x v="4339"/>
    <d v="2025-11-15T00:00:00"/>
    <s v="Central"/>
    <s v="Bristol"/>
    <s v="Cappuccino"/>
    <s v="Drink"/>
    <n v="5"/>
    <n v="3.8"/>
    <s v="Apple Pay"/>
    <s v="C1345"/>
    <n v="19"/>
    <s v="Saturday"/>
    <s v="November"/>
    <n v="2025"/>
  </r>
  <r>
    <x v="4340"/>
    <d v="2025-11-15T00:00:00"/>
    <s v="Riverside"/>
    <s v="Birmingham"/>
    <s v="Latte"/>
    <s v="Drink"/>
    <n v="5"/>
    <n v="3.5"/>
    <s v="Cash"/>
    <s v="C1098"/>
    <n v="17.5"/>
    <s v="Saturday"/>
    <s v="November"/>
    <n v="2025"/>
  </r>
  <r>
    <x v="4341"/>
    <d v="2025-11-15T00:00:00"/>
    <s v="High Street"/>
    <s v="Bristol"/>
    <s v="Cappuccino"/>
    <s v="Drink"/>
    <n v="4"/>
    <n v="3.8"/>
    <s v="Cash"/>
    <s v="C1998"/>
    <n v="15.2"/>
    <s v="Saturday"/>
    <s v="November"/>
    <n v="2025"/>
  </r>
  <r>
    <x v="4342"/>
    <d v="2025-11-15T00:00:00"/>
    <s v="High Street"/>
    <s v="Leeds"/>
    <s v="Croissant"/>
    <s v="Food"/>
    <n v="5"/>
    <n v="2.8"/>
    <s v="Apple Pay"/>
    <s v="C1196"/>
    <n v="14"/>
    <s v="Saturday"/>
    <s v="November"/>
    <n v="2025"/>
  </r>
  <r>
    <x v="4343"/>
    <d v="2025-11-15T00:00:00"/>
    <s v="Riverside"/>
    <s v="London"/>
    <s v="Espresso"/>
    <s v="Drink"/>
    <n v="5"/>
    <n v="2.5"/>
    <s v="Card"/>
    <s v="C1332"/>
    <n v="12.5"/>
    <s v="Saturday"/>
    <s v="November"/>
    <n v="2025"/>
  </r>
  <r>
    <x v="4344"/>
    <d v="2025-11-15T00:00:00"/>
    <s v="Riverside"/>
    <s v="Birmingham"/>
    <s v="Croissant"/>
    <s v="Food"/>
    <n v="4"/>
    <n v="2.8"/>
    <s v="Card"/>
    <s v="C1638"/>
    <n v="11.2"/>
    <s v="Saturday"/>
    <s v="November"/>
    <n v="2025"/>
  </r>
  <r>
    <x v="4345"/>
    <d v="2025-11-15T00:00:00"/>
    <s v="Riverside"/>
    <s v="London"/>
    <s v="Espresso"/>
    <s v="Drink"/>
    <n v="4"/>
    <n v="2.5"/>
    <s v="Apple Pay"/>
    <s v="C1007"/>
    <n v="10"/>
    <s v="Saturday"/>
    <s v="November"/>
    <n v="2025"/>
  </r>
  <r>
    <x v="4346"/>
    <d v="2025-11-15T00:00:00"/>
    <s v="Central"/>
    <s v="Leeds"/>
    <s v="Cappuccino"/>
    <s v="Drink"/>
    <n v="2"/>
    <n v="3.8"/>
    <s v="Apple Pay"/>
    <s v="C1826"/>
    <n v="7.6"/>
    <s v="Saturday"/>
    <s v="November"/>
    <n v="2025"/>
  </r>
  <r>
    <x v="4347"/>
    <d v="2025-11-15T00:00:00"/>
    <s v="Station"/>
    <s v="Manchester"/>
    <s v="Cappuccino"/>
    <s v="Drink"/>
    <n v="2"/>
    <n v="3.8"/>
    <s v="Apple Pay"/>
    <s v="C1066"/>
    <n v="7.6"/>
    <s v="Saturday"/>
    <s v="November"/>
    <n v="2025"/>
  </r>
  <r>
    <x v="4348"/>
    <d v="2025-11-15T00:00:00"/>
    <s v="Central"/>
    <s v="Leeds"/>
    <s v="Croissant"/>
    <s v="Food"/>
    <n v="2"/>
    <n v="2.8"/>
    <s v="Apple Pay"/>
    <s v="C1962"/>
    <n v="5.6"/>
    <s v="Saturday"/>
    <s v="November"/>
    <n v="2025"/>
  </r>
  <r>
    <x v="4349"/>
    <d v="2025-11-15T00:00:00"/>
    <s v="Central"/>
    <s v="Manchester"/>
    <s v="Espresso"/>
    <s v="Drink"/>
    <n v="2"/>
    <n v="2.5"/>
    <s v="Card"/>
    <s v="C1150"/>
    <n v="5"/>
    <s v="Saturday"/>
    <s v="November"/>
    <n v="2025"/>
  </r>
  <r>
    <x v="4350"/>
    <d v="2025-11-15T00:00:00"/>
    <s v="High Street"/>
    <s v="Birmingham"/>
    <s v="Latte"/>
    <s v="Drink"/>
    <n v="1"/>
    <n v="3.5"/>
    <s v="Cash"/>
    <s v="C1341"/>
    <n v="3.5"/>
    <s v="Saturday"/>
    <s v="November"/>
    <n v="2025"/>
  </r>
  <r>
    <x v="4351"/>
    <d v="2025-11-15T00:00:00"/>
    <s v="Riverside"/>
    <s v="Manchester"/>
    <s v="Muffin"/>
    <s v="Food"/>
    <n v="1"/>
    <n v="2.2000000000000002"/>
    <s v="Card"/>
    <s v="C1781"/>
    <n v="2.2000000000000002"/>
    <s v="Saturday"/>
    <s v="November"/>
    <n v="2025"/>
  </r>
  <r>
    <x v="4352"/>
    <d v="2025-11-16T00:00:00"/>
    <s v="High Street"/>
    <s v="Leeds"/>
    <s v="Latte"/>
    <s v="Drink"/>
    <n v="5"/>
    <n v="3.5"/>
    <s v="Card"/>
    <s v="C1036"/>
    <n v="17.5"/>
    <s v="Sunday"/>
    <s v="November"/>
    <n v="2025"/>
  </r>
  <r>
    <x v="4353"/>
    <d v="2025-11-16T00:00:00"/>
    <s v="Station"/>
    <s v="Bristol"/>
    <s v="Croissant"/>
    <s v="Food"/>
    <n v="5"/>
    <n v="2.8"/>
    <s v="Apple Pay"/>
    <s v="C1904"/>
    <n v="14"/>
    <s v="Sunday"/>
    <s v="November"/>
    <n v="2025"/>
  </r>
  <r>
    <x v="4354"/>
    <d v="2025-11-16T00:00:00"/>
    <s v="High Street"/>
    <s v="Bristol"/>
    <s v="Latte"/>
    <s v="Drink"/>
    <n v="4"/>
    <n v="3.5"/>
    <s v="Apple Pay"/>
    <s v="C1438"/>
    <n v="14"/>
    <s v="Sunday"/>
    <s v="November"/>
    <n v="2025"/>
  </r>
  <r>
    <x v="4355"/>
    <d v="2025-11-16T00:00:00"/>
    <s v="High Street"/>
    <s v="Birmingham"/>
    <s v="Espresso"/>
    <s v="Drink"/>
    <n v="5"/>
    <n v="2.5"/>
    <s v="Card"/>
    <s v="C1688"/>
    <n v="12.5"/>
    <s v="Sunday"/>
    <s v="November"/>
    <n v="2025"/>
  </r>
  <r>
    <x v="4356"/>
    <d v="2025-11-16T00:00:00"/>
    <s v="Station"/>
    <s v="Bristol"/>
    <s v="Espresso"/>
    <s v="Drink"/>
    <n v="5"/>
    <n v="2.5"/>
    <s v="Card"/>
    <s v="C1605"/>
    <n v="12.5"/>
    <s v="Sunday"/>
    <s v="November"/>
    <n v="2025"/>
  </r>
  <r>
    <x v="4357"/>
    <d v="2025-11-16T00:00:00"/>
    <s v="High Street"/>
    <s v="Bristol"/>
    <s v="Espresso"/>
    <s v="Drink"/>
    <n v="4"/>
    <n v="2.5"/>
    <s v="Cash"/>
    <s v="C1449"/>
    <n v="10"/>
    <s v="Sunday"/>
    <s v="November"/>
    <n v="2025"/>
  </r>
  <r>
    <x v="4358"/>
    <d v="2025-11-16T00:00:00"/>
    <s v="Central"/>
    <s v="Birmingham"/>
    <s v="Espresso"/>
    <s v="Drink"/>
    <n v="4"/>
    <n v="2.5"/>
    <s v="Card"/>
    <s v="C1144"/>
    <n v="10"/>
    <s v="Sunday"/>
    <s v="November"/>
    <n v="2025"/>
  </r>
  <r>
    <x v="4359"/>
    <d v="2025-11-16T00:00:00"/>
    <s v="High Street"/>
    <s v="Leeds"/>
    <s v="Muffin"/>
    <s v="Food"/>
    <n v="4"/>
    <n v="2.2000000000000002"/>
    <s v="Cash"/>
    <s v="C1308"/>
    <n v="8.8000000000000007"/>
    <s v="Sunday"/>
    <s v="November"/>
    <n v="2025"/>
  </r>
  <r>
    <x v="4360"/>
    <d v="2025-11-16T00:00:00"/>
    <s v="Station"/>
    <s v="Leeds"/>
    <s v="Croissant"/>
    <s v="Food"/>
    <n v="3"/>
    <n v="2.8"/>
    <s v="Apple Pay"/>
    <s v="C1305"/>
    <n v="8.3999999999999986"/>
    <s v="Sunday"/>
    <s v="November"/>
    <n v="2025"/>
  </r>
  <r>
    <x v="4361"/>
    <d v="2025-11-16T00:00:00"/>
    <s v="Riverside"/>
    <s v="London"/>
    <s v="Croissant"/>
    <s v="Food"/>
    <n v="3"/>
    <n v="2.8"/>
    <s v="Apple Pay"/>
    <s v="C1088"/>
    <n v="8.3999999999999986"/>
    <s v="Sunday"/>
    <s v="November"/>
    <n v="2025"/>
  </r>
  <r>
    <x v="4362"/>
    <d v="2025-11-16T00:00:00"/>
    <s v="Station"/>
    <s v="Leeds"/>
    <s v="Espresso"/>
    <s v="Drink"/>
    <n v="3"/>
    <n v="2.5"/>
    <s v="Cash"/>
    <s v="C1278"/>
    <n v="7.5"/>
    <s v="Sunday"/>
    <s v="November"/>
    <n v="2025"/>
  </r>
  <r>
    <x v="4363"/>
    <d v="2025-11-16T00:00:00"/>
    <s v="Station"/>
    <s v="Bristol"/>
    <s v="Espresso"/>
    <s v="Drink"/>
    <n v="3"/>
    <n v="2.5"/>
    <s v="Cash"/>
    <s v="C1513"/>
    <n v="7.5"/>
    <s v="Sunday"/>
    <s v="November"/>
    <n v="2025"/>
  </r>
  <r>
    <x v="4364"/>
    <d v="2025-11-16T00:00:00"/>
    <s v="Central"/>
    <s v="London"/>
    <s v="Espresso"/>
    <s v="Drink"/>
    <n v="3"/>
    <n v="2.5"/>
    <s v="Apple Pay"/>
    <s v="C1801"/>
    <n v="7.5"/>
    <s v="Sunday"/>
    <s v="November"/>
    <n v="2025"/>
  </r>
  <r>
    <x v="4365"/>
    <d v="2025-11-16T00:00:00"/>
    <s v="High Street"/>
    <s v="Manchester"/>
    <s v="Latte"/>
    <s v="Drink"/>
    <n v="2"/>
    <n v="3.5"/>
    <s v="Card"/>
    <s v="C1062"/>
    <n v="7"/>
    <s v="Sunday"/>
    <s v="November"/>
    <n v="2025"/>
  </r>
  <r>
    <x v="4366"/>
    <d v="2025-11-16T00:00:00"/>
    <s v="Station"/>
    <s v="Leeds"/>
    <s v="Muffin"/>
    <s v="Food"/>
    <n v="3"/>
    <n v="2.2000000000000002"/>
    <s v="Cash"/>
    <s v="C1155"/>
    <n v="6.6000000000000005"/>
    <s v="Sunday"/>
    <s v="November"/>
    <n v="2025"/>
  </r>
  <r>
    <x v="4367"/>
    <d v="2025-11-16T00:00:00"/>
    <s v="High Street"/>
    <s v="Birmingham"/>
    <s v="Croissant"/>
    <s v="Food"/>
    <n v="2"/>
    <n v="2.8"/>
    <s v="Cash"/>
    <s v="C1919"/>
    <n v="5.6"/>
    <s v="Sunday"/>
    <s v="November"/>
    <n v="2025"/>
  </r>
  <r>
    <x v="4368"/>
    <d v="2025-11-16T00:00:00"/>
    <s v="High Street"/>
    <s v="Manchester"/>
    <s v="Latte"/>
    <s v="Drink"/>
    <n v="1"/>
    <n v="3.5"/>
    <s v="Apple Pay"/>
    <s v="C1279"/>
    <n v="3.5"/>
    <s v="Sunday"/>
    <s v="November"/>
    <n v="2025"/>
  </r>
  <r>
    <x v="4369"/>
    <d v="2025-11-16T00:00:00"/>
    <s v="Central"/>
    <s v="Manchester"/>
    <s v="Espresso"/>
    <s v="Drink"/>
    <n v="1"/>
    <n v="2.5"/>
    <s v="Cash"/>
    <s v="C1260"/>
    <n v="2.5"/>
    <s v="Sunday"/>
    <s v="November"/>
    <n v="2025"/>
  </r>
  <r>
    <x v="4370"/>
    <d v="2025-11-16T00:00:00"/>
    <s v="Central"/>
    <s v="Leeds"/>
    <s v="Espresso"/>
    <s v="Drink"/>
    <n v="1"/>
    <n v="2.5"/>
    <s v="Apple Pay"/>
    <s v="C1349"/>
    <n v="2.5"/>
    <s v="Sunday"/>
    <s v="November"/>
    <n v="2025"/>
  </r>
  <r>
    <x v="4371"/>
    <d v="2025-11-16T00:00:00"/>
    <s v="Station"/>
    <s v="Manchester"/>
    <s v="Muffin"/>
    <s v="Food"/>
    <n v="1"/>
    <n v="2.2000000000000002"/>
    <s v="Cash"/>
    <s v="C1323"/>
    <n v="2.2000000000000002"/>
    <s v="Sunday"/>
    <s v="November"/>
    <n v="2025"/>
  </r>
  <r>
    <x v="4372"/>
    <d v="2025-11-16T00:00:00"/>
    <s v="Riverside"/>
    <s v="London"/>
    <s v="Muffin"/>
    <s v="Food"/>
    <n v="1"/>
    <n v="2.2000000000000002"/>
    <s v="Apple Pay"/>
    <s v="C1174"/>
    <n v="2.2000000000000002"/>
    <s v="Sunday"/>
    <s v="November"/>
    <n v="2025"/>
  </r>
  <r>
    <x v="4373"/>
    <d v="2025-11-17T00:00:00"/>
    <s v="Station"/>
    <s v="Leeds"/>
    <s v="Cappuccino"/>
    <s v="Drink"/>
    <n v="4"/>
    <n v="3.8"/>
    <s v="Card"/>
    <s v="C1381"/>
    <n v="15.2"/>
    <s v="Monday"/>
    <s v="November"/>
    <n v="2025"/>
  </r>
  <r>
    <x v="4374"/>
    <d v="2025-11-17T00:00:00"/>
    <s v="Station"/>
    <s v="London"/>
    <s v="Espresso"/>
    <s v="Drink"/>
    <n v="4"/>
    <n v="2.5"/>
    <s v="Card"/>
    <s v="C1922"/>
    <n v="10"/>
    <s v="Monday"/>
    <s v="November"/>
    <n v="2025"/>
  </r>
  <r>
    <x v="4375"/>
    <d v="2025-11-17T00:00:00"/>
    <s v="Station"/>
    <s v="Bristol"/>
    <s v="Muffin"/>
    <s v="Food"/>
    <n v="4"/>
    <n v="2.2000000000000002"/>
    <s v="Card"/>
    <s v="C1753"/>
    <n v="8.8000000000000007"/>
    <s v="Monday"/>
    <s v="November"/>
    <n v="2025"/>
  </r>
  <r>
    <x v="4376"/>
    <d v="2025-11-17T00:00:00"/>
    <s v="Central"/>
    <s v="Manchester"/>
    <s v="Cappuccino"/>
    <s v="Drink"/>
    <n v="2"/>
    <n v="3.8"/>
    <s v="Card"/>
    <s v="C1396"/>
    <n v="7.6"/>
    <s v="Monday"/>
    <s v="November"/>
    <n v="2025"/>
  </r>
  <r>
    <x v="4377"/>
    <d v="2025-11-17T00:00:00"/>
    <s v="High Street"/>
    <s v="Manchester"/>
    <s v="Espresso"/>
    <s v="Drink"/>
    <n v="3"/>
    <n v="2.5"/>
    <s v="Apple Pay"/>
    <s v="C1748"/>
    <n v="7.5"/>
    <s v="Monday"/>
    <s v="November"/>
    <n v="2025"/>
  </r>
  <r>
    <x v="4378"/>
    <d v="2025-11-17T00:00:00"/>
    <s v="Station"/>
    <s v="Manchester"/>
    <s v="Muffin"/>
    <s v="Food"/>
    <n v="3"/>
    <n v="2.2000000000000002"/>
    <s v="Apple Pay"/>
    <s v="C1861"/>
    <n v="6.6000000000000005"/>
    <s v="Monday"/>
    <s v="November"/>
    <n v="2025"/>
  </r>
  <r>
    <x v="4379"/>
    <d v="2025-11-17T00:00:00"/>
    <s v="High Street"/>
    <s v="Bristol"/>
    <s v="Muffin"/>
    <s v="Food"/>
    <n v="3"/>
    <n v="2.2000000000000002"/>
    <s v="Cash"/>
    <s v="C1359"/>
    <n v="6.6000000000000005"/>
    <s v="Monday"/>
    <s v="November"/>
    <n v="2025"/>
  </r>
  <r>
    <x v="4380"/>
    <d v="2025-11-17T00:00:00"/>
    <s v="Station"/>
    <s v="Leeds"/>
    <s v="Muffin"/>
    <s v="Food"/>
    <n v="3"/>
    <n v="2.2000000000000002"/>
    <s v="Card"/>
    <s v="C1430"/>
    <n v="6.6000000000000005"/>
    <s v="Monday"/>
    <s v="November"/>
    <n v="2025"/>
  </r>
  <r>
    <x v="4381"/>
    <d v="2025-11-17T00:00:00"/>
    <s v="Station"/>
    <s v="London"/>
    <s v="Croissant"/>
    <s v="Food"/>
    <n v="2"/>
    <n v="2.8"/>
    <s v="Card"/>
    <s v="C1611"/>
    <n v="5.6"/>
    <s v="Monday"/>
    <s v="November"/>
    <n v="2025"/>
  </r>
  <r>
    <x v="4382"/>
    <d v="2025-11-17T00:00:00"/>
    <s v="Station"/>
    <s v="London"/>
    <s v="Cappuccino"/>
    <s v="Drink"/>
    <n v="1"/>
    <n v="3.8"/>
    <s v="Cash"/>
    <s v="C1992"/>
    <n v="3.8"/>
    <s v="Monday"/>
    <s v="November"/>
    <n v="2025"/>
  </r>
  <r>
    <x v="4383"/>
    <d v="2025-11-17T00:00:00"/>
    <s v="Central"/>
    <s v="Manchester"/>
    <s v="Latte"/>
    <s v="Drink"/>
    <n v="1"/>
    <n v="3.5"/>
    <s v="Cash"/>
    <s v="C1815"/>
    <n v="3.5"/>
    <s v="Monday"/>
    <s v="November"/>
    <n v="2025"/>
  </r>
  <r>
    <x v="4384"/>
    <d v="2025-11-17T00:00:00"/>
    <s v="Station"/>
    <s v="Manchester"/>
    <s v="Espresso"/>
    <s v="Drink"/>
    <n v="1"/>
    <n v="2.5"/>
    <s v="Cash"/>
    <s v="C1273"/>
    <n v="2.5"/>
    <s v="Monday"/>
    <s v="November"/>
    <n v="2025"/>
  </r>
  <r>
    <x v="4385"/>
    <d v="2025-11-18T00:00:00"/>
    <s v="Station"/>
    <s v="Birmingham"/>
    <s v="Cappuccino"/>
    <s v="Drink"/>
    <n v="5"/>
    <n v="3.8"/>
    <s v="Apple Pay"/>
    <s v="C1000"/>
    <n v="19"/>
    <s v="Tuesday"/>
    <s v="November"/>
    <n v="2025"/>
  </r>
  <r>
    <x v="4386"/>
    <d v="2025-11-18T00:00:00"/>
    <s v="Central"/>
    <s v="London"/>
    <s v="Latte"/>
    <s v="Drink"/>
    <n v="5"/>
    <n v="3.5"/>
    <s v="Card"/>
    <s v="C1890"/>
    <n v="17.5"/>
    <s v="Tuesday"/>
    <s v="November"/>
    <n v="2025"/>
  </r>
  <r>
    <x v="4387"/>
    <d v="2025-11-18T00:00:00"/>
    <s v="Station"/>
    <s v="Leeds"/>
    <s v="Cappuccino"/>
    <s v="Drink"/>
    <n v="4"/>
    <n v="3.8"/>
    <s v="Card"/>
    <s v="C1291"/>
    <n v="15.2"/>
    <s v="Tuesday"/>
    <s v="November"/>
    <n v="2025"/>
  </r>
  <r>
    <x v="4388"/>
    <d v="2025-11-18T00:00:00"/>
    <s v="High Street"/>
    <s v="London"/>
    <s v="Croissant"/>
    <s v="Food"/>
    <n v="5"/>
    <n v="2.8"/>
    <s v="Apple Pay"/>
    <s v="C1121"/>
    <n v="14"/>
    <s v="Tuesday"/>
    <s v="November"/>
    <n v="2025"/>
  </r>
  <r>
    <x v="4389"/>
    <d v="2025-11-18T00:00:00"/>
    <s v="Central"/>
    <s v="Manchester"/>
    <s v="Croissant"/>
    <s v="Food"/>
    <n v="5"/>
    <n v="2.8"/>
    <s v="Apple Pay"/>
    <s v="C1496"/>
    <n v="14"/>
    <s v="Tuesday"/>
    <s v="November"/>
    <n v="2025"/>
  </r>
  <r>
    <x v="4390"/>
    <d v="2025-11-18T00:00:00"/>
    <s v="Riverside"/>
    <s v="London"/>
    <s v="Croissant"/>
    <s v="Food"/>
    <n v="4"/>
    <n v="2.8"/>
    <s v="Card"/>
    <s v="C1760"/>
    <n v="11.2"/>
    <s v="Tuesday"/>
    <s v="November"/>
    <n v="2025"/>
  </r>
  <r>
    <x v="4391"/>
    <d v="2025-11-18T00:00:00"/>
    <s v="High Street"/>
    <s v="London"/>
    <s v="Latte"/>
    <s v="Drink"/>
    <n v="3"/>
    <n v="3.5"/>
    <s v="Apple Pay"/>
    <s v="C1814"/>
    <n v="10.5"/>
    <s v="Tuesday"/>
    <s v="November"/>
    <n v="2025"/>
  </r>
  <r>
    <x v="4392"/>
    <d v="2025-11-18T00:00:00"/>
    <s v="Central"/>
    <s v="Leeds"/>
    <s v="Muffin"/>
    <s v="Food"/>
    <n v="4"/>
    <n v="2.2000000000000002"/>
    <s v="Apple Pay"/>
    <s v="C1827"/>
    <n v="8.8000000000000007"/>
    <s v="Tuesday"/>
    <s v="November"/>
    <n v="2025"/>
  </r>
  <r>
    <x v="4393"/>
    <d v="2025-11-18T00:00:00"/>
    <s v="High Street"/>
    <s v="Birmingham"/>
    <s v="Croissant"/>
    <s v="Food"/>
    <n v="3"/>
    <n v="2.8"/>
    <s v="Card"/>
    <s v="C1787"/>
    <n v="8.3999999999999986"/>
    <s v="Tuesday"/>
    <s v="November"/>
    <n v="2025"/>
  </r>
  <r>
    <x v="4394"/>
    <d v="2025-11-18T00:00:00"/>
    <s v="Station"/>
    <s v="Manchester"/>
    <s v="Croissant"/>
    <s v="Food"/>
    <n v="3"/>
    <n v="2.8"/>
    <s v="Card"/>
    <s v="C1047"/>
    <n v="8.3999999999999986"/>
    <s v="Tuesday"/>
    <s v="November"/>
    <n v="2025"/>
  </r>
  <r>
    <x v="4395"/>
    <d v="2025-11-18T00:00:00"/>
    <s v="Riverside"/>
    <s v="London"/>
    <s v="Latte"/>
    <s v="Drink"/>
    <n v="2"/>
    <n v="3.5"/>
    <s v="Card"/>
    <s v="C1526"/>
    <n v="7"/>
    <s v="Tuesday"/>
    <s v="November"/>
    <n v="2025"/>
  </r>
  <r>
    <x v="4396"/>
    <d v="2025-11-18T00:00:00"/>
    <s v="Central"/>
    <s v="Manchester"/>
    <s v="Croissant"/>
    <s v="Food"/>
    <n v="2"/>
    <n v="2.8"/>
    <s v="Apple Pay"/>
    <s v="C1152"/>
    <n v="5.6"/>
    <s v="Tuesday"/>
    <s v="November"/>
    <n v="2025"/>
  </r>
  <r>
    <x v="4397"/>
    <d v="2025-11-18T00:00:00"/>
    <s v="Station"/>
    <s v="Leeds"/>
    <s v="Latte"/>
    <s v="Drink"/>
    <n v="1"/>
    <n v="3.8"/>
    <s v="Card"/>
    <s v="C1927"/>
    <n v="3.8"/>
    <s v="Tuesday"/>
    <s v="November"/>
    <n v="2025"/>
  </r>
  <r>
    <x v="4398"/>
    <d v="2025-11-18T00:00:00"/>
    <s v="Station"/>
    <s v="London"/>
    <s v="Muffin"/>
    <s v="Food"/>
    <n v="1"/>
    <n v="2.2000000000000002"/>
    <s v="Apple Pay"/>
    <s v="C1289"/>
    <n v="2.2000000000000002"/>
    <s v="Tuesday"/>
    <s v="November"/>
    <n v="2025"/>
  </r>
  <r>
    <x v="4399"/>
    <d v="2025-11-19T00:00:00"/>
    <s v="High Street"/>
    <s v="Bristol"/>
    <s v="Cappuccino"/>
    <s v="Drink"/>
    <n v="5"/>
    <n v="3.8"/>
    <s v="Cash"/>
    <s v="C1210"/>
    <n v="19"/>
    <s v="Wednesday"/>
    <s v="November"/>
    <n v="2025"/>
  </r>
  <r>
    <x v="4400"/>
    <d v="2025-11-19T00:00:00"/>
    <s v="High Street"/>
    <s v="Bristol"/>
    <s v="Latte"/>
    <s v="Drink"/>
    <n v="5"/>
    <n v="3.5"/>
    <s v="Apple Pay"/>
    <s v="C1544"/>
    <n v="17.5"/>
    <s v="Wednesday"/>
    <s v="November"/>
    <n v="2025"/>
  </r>
  <r>
    <x v="4401"/>
    <d v="2025-11-19T00:00:00"/>
    <s v="Station"/>
    <s v="Manchester"/>
    <s v="Latte"/>
    <s v="Drink"/>
    <n v="4"/>
    <n v="3.5"/>
    <s v="Card"/>
    <s v="C1880"/>
    <n v="14"/>
    <s v="Wednesday"/>
    <s v="November"/>
    <n v="2025"/>
  </r>
  <r>
    <x v="4402"/>
    <d v="2025-11-19T00:00:00"/>
    <s v="High Street"/>
    <s v="Birmingham"/>
    <s v="Cappuccino"/>
    <s v="Drink"/>
    <n v="3"/>
    <n v="3.8"/>
    <s v="Apple Pay"/>
    <s v="C1770"/>
    <n v="11.399999999999999"/>
    <s v="Wednesday"/>
    <s v="November"/>
    <n v="2025"/>
  </r>
  <r>
    <x v="4403"/>
    <d v="2025-11-19T00:00:00"/>
    <s v="Station"/>
    <s v="Birmingham"/>
    <s v="Muffin"/>
    <s v="Food"/>
    <n v="5"/>
    <n v="2.2000000000000002"/>
    <s v="Apple Pay"/>
    <s v="C1812"/>
    <n v="11"/>
    <s v="Wednesday"/>
    <s v="November"/>
    <n v="2025"/>
  </r>
  <r>
    <x v="4404"/>
    <d v="2025-11-19T00:00:00"/>
    <s v="Riverside"/>
    <s v="Bristol"/>
    <s v="Espresso"/>
    <s v="Drink"/>
    <n v="4"/>
    <n v="2.5"/>
    <s v="Cash"/>
    <s v="C1181"/>
    <n v="10"/>
    <s v="Wednesday"/>
    <s v="November"/>
    <n v="2025"/>
  </r>
  <r>
    <x v="4405"/>
    <d v="2025-11-19T00:00:00"/>
    <s v="Riverside"/>
    <s v="Birmingham"/>
    <s v="Croissant"/>
    <s v="Food"/>
    <n v="3"/>
    <n v="2.8"/>
    <s v="Apple Pay"/>
    <s v="C1891"/>
    <n v="8.3999999999999986"/>
    <s v="Wednesday"/>
    <s v="November"/>
    <n v="2025"/>
  </r>
  <r>
    <x v="4406"/>
    <d v="2025-11-19T00:00:00"/>
    <s v="Riverside"/>
    <s v="London"/>
    <s v="Croissant"/>
    <s v="Food"/>
    <n v="3"/>
    <n v="2.8"/>
    <s v="Cash"/>
    <s v="C1717"/>
    <n v="8.3999999999999986"/>
    <s v="Wednesday"/>
    <s v="November"/>
    <n v="2025"/>
  </r>
  <r>
    <x v="4407"/>
    <d v="2025-11-19T00:00:00"/>
    <s v="Riverside"/>
    <s v="Bristol"/>
    <s v="Espresso"/>
    <s v="Drink"/>
    <n v="3"/>
    <n v="2.5"/>
    <s v="Cash"/>
    <s v="C1769"/>
    <n v="7.5"/>
    <s v="Wednesday"/>
    <s v="November"/>
    <n v="2025"/>
  </r>
  <r>
    <x v="4408"/>
    <d v="2025-11-19T00:00:00"/>
    <s v="High Street"/>
    <s v="Manchester"/>
    <s v="Latte"/>
    <s v="Drink"/>
    <n v="2"/>
    <n v="3.5"/>
    <s v="Cash"/>
    <s v="C1029"/>
    <n v="7"/>
    <s v="Wednesday"/>
    <s v="November"/>
    <n v="2025"/>
  </r>
  <r>
    <x v="4409"/>
    <d v="2025-11-19T00:00:00"/>
    <s v="Riverside"/>
    <s v="Leeds"/>
    <s v="Croissant"/>
    <s v="Food"/>
    <n v="2"/>
    <n v="2.8"/>
    <s v="Apple Pay"/>
    <s v="C1096"/>
    <n v="5.6"/>
    <s v="Wednesday"/>
    <s v="November"/>
    <n v="2025"/>
  </r>
  <r>
    <x v="4410"/>
    <d v="2025-11-19T00:00:00"/>
    <s v="Riverside"/>
    <s v="Leeds"/>
    <s v="Espresso"/>
    <s v="Drink"/>
    <n v="2"/>
    <n v="2.5"/>
    <s v="Cash"/>
    <s v="C1806"/>
    <n v="5"/>
    <s v="Wednesday"/>
    <s v="November"/>
    <n v="2025"/>
  </r>
  <r>
    <x v="4411"/>
    <d v="2025-11-19T00:00:00"/>
    <s v="Central"/>
    <s v="Manchester"/>
    <s v="Latte"/>
    <s v="Drink"/>
    <n v="1"/>
    <n v="3.5"/>
    <s v="Cash"/>
    <s v="C1599"/>
    <n v="3.5"/>
    <s v="Wednesday"/>
    <s v="November"/>
    <n v="2025"/>
  </r>
  <r>
    <x v="4412"/>
    <d v="2025-11-19T00:00:00"/>
    <s v="Station"/>
    <s v="Birmingham"/>
    <s v="Espresso"/>
    <s v="Drink"/>
    <n v="1"/>
    <n v="2.5"/>
    <s v="Apple Pay"/>
    <s v="C1637"/>
    <n v="2.5"/>
    <s v="Wednesday"/>
    <s v="November"/>
    <n v="2025"/>
  </r>
  <r>
    <x v="4413"/>
    <d v="2025-11-19T00:00:00"/>
    <s v="High Street"/>
    <s v="Birmingham"/>
    <s v="Latte"/>
    <s v="Drink"/>
    <n v="1"/>
    <n v="2.5"/>
    <s v="Card"/>
    <s v="C1829"/>
    <n v="2.5"/>
    <s v="Wednesday"/>
    <s v="November"/>
    <n v="2025"/>
  </r>
  <r>
    <x v="4414"/>
    <d v="2025-11-20T00:00:00"/>
    <s v="Riverside"/>
    <s v="Birmingham"/>
    <s v="Latte"/>
    <s v="Drink"/>
    <n v="5"/>
    <n v="3.5"/>
    <s v="Card"/>
    <s v="C1798"/>
    <n v="17.5"/>
    <s v="Thursday"/>
    <s v="November"/>
    <n v="2025"/>
  </r>
  <r>
    <x v="4415"/>
    <d v="2025-11-20T00:00:00"/>
    <s v="Riverside"/>
    <s v="Bristol"/>
    <s v="Cappuccino"/>
    <s v="Drink"/>
    <n v="4"/>
    <n v="3.8"/>
    <s v="Cash"/>
    <s v="C1266"/>
    <n v="15.2"/>
    <s v="Thursday"/>
    <s v="November"/>
    <n v="2025"/>
  </r>
  <r>
    <x v="4416"/>
    <d v="2025-11-20T00:00:00"/>
    <s v="Station"/>
    <s v="Birmingham"/>
    <s v="Latte"/>
    <s v="Drink"/>
    <n v="4"/>
    <n v="3.5"/>
    <s v="Apple Pay"/>
    <s v="C1682"/>
    <n v="14"/>
    <s v="Thursday"/>
    <s v="November"/>
    <n v="2025"/>
  </r>
  <r>
    <x v="4417"/>
    <d v="2025-11-20T00:00:00"/>
    <s v="Central"/>
    <s v="Manchester"/>
    <s v="Espresso"/>
    <s v="Drink"/>
    <n v="5"/>
    <n v="2.5"/>
    <s v="Apple Pay"/>
    <s v="C1234"/>
    <n v="12.5"/>
    <s v="Thursday"/>
    <s v="November"/>
    <n v="2025"/>
  </r>
  <r>
    <x v="4418"/>
    <d v="2025-11-20T00:00:00"/>
    <s v="Central"/>
    <s v="Birmingham"/>
    <s v="Cappuccino"/>
    <s v="Drink"/>
    <n v="3"/>
    <n v="3.8"/>
    <s v="Apple Pay"/>
    <s v="C1429"/>
    <n v="11.399999999999999"/>
    <s v="Thursday"/>
    <s v="November"/>
    <n v="2025"/>
  </r>
  <r>
    <x v="4419"/>
    <d v="2025-11-20T00:00:00"/>
    <s v="High Street"/>
    <s v="London"/>
    <s v="Croissant"/>
    <s v="Food"/>
    <n v="4"/>
    <n v="2.8"/>
    <s v="Cash"/>
    <s v="C1150"/>
    <n v="11.2"/>
    <s v="Thursday"/>
    <s v="November"/>
    <n v="2025"/>
  </r>
  <r>
    <x v="4420"/>
    <d v="2025-11-20T00:00:00"/>
    <s v="Central"/>
    <s v="Manchester"/>
    <s v="Muffin"/>
    <s v="Food"/>
    <n v="4"/>
    <n v="2.2000000000000002"/>
    <s v="Apple Pay"/>
    <s v="C1315"/>
    <n v="8.8000000000000007"/>
    <s v="Thursday"/>
    <s v="November"/>
    <n v="2025"/>
  </r>
  <r>
    <x v="4421"/>
    <d v="2025-11-20T00:00:00"/>
    <s v="High Street"/>
    <s v="Bristol"/>
    <s v="Latte"/>
    <s v="Drink"/>
    <n v="2"/>
    <n v="3.5"/>
    <s v="Cash"/>
    <s v="C1358"/>
    <n v="7"/>
    <s v="Thursday"/>
    <s v="November"/>
    <n v="2025"/>
  </r>
  <r>
    <x v="4422"/>
    <d v="2025-11-20T00:00:00"/>
    <s v="Station"/>
    <s v="Leeds"/>
    <s v="Latte"/>
    <s v="Drink"/>
    <n v="2"/>
    <n v="3.5"/>
    <s v="Cash"/>
    <s v="C1374"/>
    <n v="7"/>
    <s v="Thursday"/>
    <s v="November"/>
    <n v="2025"/>
  </r>
  <r>
    <x v="4423"/>
    <d v="2025-11-20T00:00:00"/>
    <s v="Riverside"/>
    <s v="Bristol"/>
    <s v="Cappuccino"/>
    <s v="Drink"/>
    <n v="1"/>
    <n v="3.8"/>
    <s v="Cash"/>
    <s v="C1760"/>
    <n v="3.8"/>
    <s v="Thursday"/>
    <s v="November"/>
    <n v="2025"/>
  </r>
  <r>
    <x v="4424"/>
    <d v="2025-11-20T00:00:00"/>
    <s v="Riverside"/>
    <s v="Birmingham"/>
    <s v="Cappuccino"/>
    <s v="Drink"/>
    <n v="1"/>
    <n v="3.8"/>
    <s v="Apple Pay"/>
    <s v="C1291"/>
    <n v="3.8"/>
    <s v="Thursday"/>
    <s v="November"/>
    <n v="2025"/>
  </r>
  <r>
    <x v="4425"/>
    <d v="2025-11-20T00:00:00"/>
    <s v="High Street"/>
    <s v="Birmingham"/>
    <s v="Cappuccino"/>
    <s v="Drink"/>
    <n v="1"/>
    <n v="3.8"/>
    <s v="Cash"/>
    <s v="C1101"/>
    <n v="3.8"/>
    <s v="Thursday"/>
    <s v="November"/>
    <n v="2025"/>
  </r>
  <r>
    <x v="4426"/>
    <d v="2025-11-20T00:00:00"/>
    <s v="Riverside"/>
    <s v="Birmingham"/>
    <s v="Latte"/>
    <s v="Drink"/>
    <n v="1"/>
    <n v="3.5"/>
    <s v="Apple Pay"/>
    <s v="C1650"/>
    <n v="3.5"/>
    <s v="Thursday"/>
    <s v="November"/>
    <n v="2025"/>
  </r>
  <r>
    <x v="4427"/>
    <d v="2025-11-20T00:00:00"/>
    <s v="Station"/>
    <s v="Birmingham"/>
    <s v="Croissant"/>
    <s v="Food"/>
    <n v="1"/>
    <n v="2.8"/>
    <s v="Cash"/>
    <s v="C1411"/>
    <n v="2.8"/>
    <s v="Thursday"/>
    <s v="November"/>
    <n v="2025"/>
  </r>
  <r>
    <x v="4428"/>
    <d v="2025-11-20T00:00:00"/>
    <s v="Central"/>
    <s v="Birmingham"/>
    <s v="Croissant"/>
    <s v="Food"/>
    <n v="1"/>
    <n v="2.8"/>
    <s v="Card"/>
    <s v="C1085"/>
    <n v="2.8"/>
    <s v="Thursday"/>
    <s v="November"/>
    <n v="2025"/>
  </r>
  <r>
    <x v="4429"/>
    <d v="2025-11-21T00:00:00"/>
    <s v="Central"/>
    <s v="Leeds"/>
    <s v="Latte"/>
    <s v="Drink"/>
    <n v="5"/>
    <n v="3.5"/>
    <s v="Card"/>
    <s v="C1300"/>
    <n v="17.5"/>
    <s v="Friday"/>
    <s v="November"/>
    <n v="2025"/>
  </r>
  <r>
    <x v="4430"/>
    <d v="2025-11-21T00:00:00"/>
    <s v="Riverside"/>
    <s v="Leeds"/>
    <s v="Croissant"/>
    <s v="Food"/>
    <n v="5"/>
    <n v="2.8"/>
    <s v="Card"/>
    <s v="C1677"/>
    <n v="14"/>
    <s v="Friday"/>
    <s v="November"/>
    <n v="2025"/>
  </r>
  <r>
    <x v="4431"/>
    <d v="2025-11-21T00:00:00"/>
    <s v="High Street"/>
    <s v="Manchester"/>
    <s v="Croissant"/>
    <s v="Food"/>
    <n v="4"/>
    <n v="2.8"/>
    <s v="Cash"/>
    <s v="C1274"/>
    <n v="11.2"/>
    <s v="Friday"/>
    <s v="November"/>
    <n v="2025"/>
  </r>
  <r>
    <x v="4432"/>
    <d v="2025-11-21T00:00:00"/>
    <s v="Station"/>
    <s v="Leeds"/>
    <s v="Muffin"/>
    <s v="Food"/>
    <n v="5"/>
    <n v="2.2000000000000002"/>
    <s v="Apple Pay"/>
    <s v="C1906"/>
    <n v="11"/>
    <s v="Friday"/>
    <s v="November"/>
    <n v="2025"/>
  </r>
  <r>
    <x v="4433"/>
    <d v="2025-11-21T00:00:00"/>
    <s v="Riverside"/>
    <s v="Bristol"/>
    <s v="Muffin"/>
    <s v="Food"/>
    <n v="5"/>
    <n v="2.2000000000000002"/>
    <s v="Cash"/>
    <s v="C1008"/>
    <n v="11"/>
    <s v="Friday"/>
    <s v="November"/>
    <n v="2025"/>
  </r>
  <r>
    <x v="4434"/>
    <d v="2025-11-21T00:00:00"/>
    <s v="Riverside"/>
    <s v="Manchester"/>
    <s v="Muffin"/>
    <s v="Food"/>
    <n v="4"/>
    <n v="2.2000000000000002"/>
    <s v="Apple Pay"/>
    <s v="C1238"/>
    <n v="8.8000000000000007"/>
    <s v="Friday"/>
    <s v="November"/>
    <n v="2025"/>
  </r>
  <r>
    <x v="4435"/>
    <d v="2025-11-21T00:00:00"/>
    <s v="Riverside"/>
    <s v="Bristol"/>
    <s v="Latte"/>
    <s v="Drink"/>
    <n v="2"/>
    <n v="3.5"/>
    <s v="Card"/>
    <s v="C1662"/>
    <n v="7"/>
    <s v="Friday"/>
    <s v="November"/>
    <n v="2025"/>
  </r>
  <r>
    <x v="4436"/>
    <d v="2025-11-21T00:00:00"/>
    <s v="Riverside"/>
    <s v="Bristol"/>
    <s v="Latte"/>
    <s v="Drink"/>
    <n v="2"/>
    <n v="3.5"/>
    <s v="Apple Pay"/>
    <s v="C1454"/>
    <n v="7"/>
    <s v="Friday"/>
    <s v="November"/>
    <n v="2025"/>
  </r>
  <r>
    <x v="4437"/>
    <d v="2025-11-21T00:00:00"/>
    <s v="Station"/>
    <s v="London"/>
    <s v="Latte"/>
    <s v="Drink"/>
    <n v="2"/>
    <n v="3.5"/>
    <s v="Apple Pay"/>
    <s v="C1288"/>
    <n v="7"/>
    <s v="Friday"/>
    <s v="November"/>
    <n v="2025"/>
  </r>
  <r>
    <x v="4438"/>
    <d v="2025-11-21T00:00:00"/>
    <s v="Central"/>
    <s v="London"/>
    <s v="Croissant"/>
    <s v="Food"/>
    <n v="2"/>
    <n v="2.8"/>
    <s v="Cash"/>
    <s v="C1204"/>
    <n v="5.6"/>
    <s v="Friday"/>
    <s v="November"/>
    <n v="2025"/>
  </r>
  <r>
    <x v="4439"/>
    <d v="2025-11-21T00:00:00"/>
    <s v="Central"/>
    <s v="London"/>
    <s v="Espresso"/>
    <s v="Drink"/>
    <n v="2"/>
    <n v="2.5"/>
    <s v="Card"/>
    <s v="C1014"/>
    <n v="5"/>
    <s v="Friday"/>
    <s v="November"/>
    <n v="2025"/>
  </r>
  <r>
    <x v="4440"/>
    <d v="2025-11-21T00:00:00"/>
    <s v="Central"/>
    <s v="Birmingham"/>
    <s v="Latte"/>
    <s v="Drink"/>
    <n v="1"/>
    <n v="3.5"/>
    <s v="Card"/>
    <s v="C1956"/>
    <n v="3.5"/>
    <s v="Friday"/>
    <s v="November"/>
    <n v="2025"/>
  </r>
  <r>
    <x v="4441"/>
    <d v="2025-11-21T00:00:00"/>
    <s v="Central"/>
    <s v="Bristol"/>
    <s v="Espresso"/>
    <s v="Drink"/>
    <n v="1"/>
    <n v="2.5"/>
    <s v="Card"/>
    <s v="C1987"/>
    <n v="2.5"/>
    <s v="Friday"/>
    <s v="November"/>
    <n v="2025"/>
  </r>
  <r>
    <x v="4442"/>
    <d v="2025-11-22T00:00:00"/>
    <s v="Central"/>
    <s v="London"/>
    <s v="Cappuccino"/>
    <s v="Drink"/>
    <n v="4"/>
    <n v="3.8"/>
    <s v="Apple Pay"/>
    <s v="C1813"/>
    <n v="15.2"/>
    <s v="Saturday"/>
    <s v="November"/>
    <n v="2025"/>
  </r>
  <r>
    <x v="4443"/>
    <d v="2025-11-22T00:00:00"/>
    <s v="Station"/>
    <s v="Bristol"/>
    <s v="Latte"/>
    <s v="Drink"/>
    <n v="4"/>
    <n v="3.5"/>
    <s v="Card"/>
    <s v="C1411"/>
    <n v="14"/>
    <s v="Saturday"/>
    <s v="November"/>
    <n v="2025"/>
  </r>
  <r>
    <x v="4444"/>
    <d v="2025-11-22T00:00:00"/>
    <s v="Riverside"/>
    <s v="London"/>
    <s v="Muffin"/>
    <s v="Food"/>
    <n v="5"/>
    <n v="2.2000000000000002"/>
    <s v="Cash"/>
    <s v="C1501"/>
    <n v="11"/>
    <s v="Saturday"/>
    <s v="November"/>
    <n v="2025"/>
  </r>
  <r>
    <x v="4445"/>
    <d v="2025-11-22T00:00:00"/>
    <s v="Station"/>
    <s v="London"/>
    <s v="Muffin"/>
    <s v="Food"/>
    <n v="5"/>
    <n v="2.2000000000000002"/>
    <s v="Card"/>
    <s v="C1292"/>
    <n v="11"/>
    <s v="Saturday"/>
    <s v="November"/>
    <n v="2025"/>
  </r>
  <r>
    <x v="4446"/>
    <d v="2025-11-22T00:00:00"/>
    <s v="Riverside"/>
    <s v="Bristol"/>
    <s v="Latte"/>
    <s v="Drink"/>
    <n v="3"/>
    <n v="3.5"/>
    <s v="Cash"/>
    <s v="C1356"/>
    <n v="10.5"/>
    <s v="Saturday"/>
    <s v="November"/>
    <n v="2025"/>
  </r>
  <r>
    <x v="4447"/>
    <d v="2025-11-22T00:00:00"/>
    <s v="Station"/>
    <s v="Bristol"/>
    <s v="Latte"/>
    <s v="Drink"/>
    <n v="3"/>
    <n v="3.5"/>
    <s v="Apple Pay"/>
    <s v="C1763"/>
    <n v="10.5"/>
    <s v="Saturday"/>
    <s v="November"/>
    <n v="2025"/>
  </r>
  <r>
    <x v="4448"/>
    <d v="2025-11-22T00:00:00"/>
    <s v="Riverside"/>
    <s v="Birmingham"/>
    <s v="Cappuccino"/>
    <s v="Drink"/>
    <n v="2"/>
    <n v="3.8"/>
    <s v="Cash"/>
    <s v="C1003"/>
    <n v="7.6"/>
    <s v="Saturday"/>
    <s v="November"/>
    <n v="2025"/>
  </r>
  <r>
    <x v="4449"/>
    <d v="2025-11-22T00:00:00"/>
    <s v="Station"/>
    <s v="Manchester"/>
    <s v="Espresso"/>
    <s v="Drink"/>
    <n v="3"/>
    <n v="2.5"/>
    <s v="Card"/>
    <s v="C1664"/>
    <n v="7.5"/>
    <s v="Saturday"/>
    <s v="November"/>
    <n v="2025"/>
  </r>
  <r>
    <x v="4450"/>
    <d v="2025-11-22T00:00:00"/>
    <s v="Riverside"/>
    <s v="Bristol"/>
    <s v="Croissant"/>
    <s v="Food"/>
    <n v="2"/>
    <n v="2.8"/>
    <s v="Apple Pay"/>
    <s v="C1979"/>
    <n v="5.6"/>
    <s v="Saturday"/>
    <s v="November"/>
    <n v="2025"/>
  </r>
  <r>
    <x v="4451"/>
    <d v="2025-11-22T00:00:00"/>
    <s v="Station"/>
    <s v="London"/>
    <s v="Latte"/>
    <s v="Drink"/>
    <n v="1"/>
    <n v="3.5"/>
    <s v="Apple Pay"/>
    <s v="C1505"/>
    <n v="3.5"/>
    <s v="Saturday"/>
    <s v="November"/>
    <n v="2025"/>
  </r>
  <r>
    <x v="4452"/>
    <d v="2025-11-22T00:00:00"/>
    <s v="Riverside"/>
    <s v="Birmingham"/>
    <s v="Espresso"/>
    <s v="Drink"/>
    <n v="1"/>
    <n v="2.5"/>
    <s v="Apple Pay"/>
    <s v="C1016"/>
    <n v="2.5"/>
    <s v="Saturday"/>
    <s v="November"/>
    <n v="2025"/>
  </r>
  <r>
    <x v="4453"/>
    <d v="2025-11-23T00:00:00"/>
    <s v="Station"/>
    <s v="Birmingham"/>
    <s v="Cappuccino"/>
    <s v="Drink"/>
    <n v="4"/>
    <n v="3.8"/>
    <s v="Cash"/>
    <s v="C1555"/>
    <n v="15.2"/>
    <s v="Sunday"/>
    <s v="November"/>
    <n v="2025"/>
  </r>
  <r>
    <x v="4454"/>
    <d v="2025-11-23T00:00:00"/>
    <s v="Riverside"/>
    <s v="Birmingham"/>
    <s v="Croissant"/>
    <s v="Food"/>
    <n v="5"/>
    <n v="2.8"/>
    <s v="Cash"/>
    <s v="C1843"/>
    <n v="14"/>
    <s v="Sunday"/>
    <s v="November"/>
    <n v="2025"/>
  </r>
  <r>
    <x v="4455"/>
    <d v="2025-11-23T00:00:00"/>
    <s v="Riverside"/>
    <s v="London"/>
    <s v="Croissant"/>
    <s v="Food"/>
    <n v="5"/>
    <n v="2.8"/>
    <s v="Apple Pay"/>
    <s v="C1103"/>
    <n v="14"/>
    <s v="Sunday"/>
    <s v="November"/>
    <n v="2025"/>
  </r>
  <r>
    <x v="4456"/>
    <d v="2025-11-23T00:00:00"/>
    <s v="High Street"/>
    <s v="London"/>
    <s v="Muffin"/>
    <s v="Food"/>
    <n v="5"/>
    <n v="2.2000000000000002"/>
    <s v="Card"/>
    <s v="C1629"/>
    <n v="11"/>
    <s v="Sunday"/>
    <s v="November"/>
    <n v="2025"/>
  </r>
  <r>
    <x v="4457"/>
    <d v="2025-11-23T00:00:00"/>
    <s v="High Street"/>
    <s v="Leeds"/>
    <s v="Espresso"/>
    <s v="Drink"/>
    <n v="4"/>
    <n v="2.5"/>
    <s v="Card"/>
    <s v="C1714"/>
    <n v="10"/>
    <s v="Sunday"/>
    <s v="November"/>
    <n v="2025"/>
  </r>
  <r>
    <x v="4458"/>
    <d v="2025-11-23T00:00:00"/>
    <s v="Riverside"/>
    <s v="London"/>
    <s v="Croissant"/>
    <s v="Food"/>
    <n v="3"/>
    <n v="2.8"/>
    <s v="Card"/>
    <s v="C1243"/>
    <n v="8.3999999999999986"/>
    <s v="Sunday"/>
    <s v="November"/>
    <n v="2025"/>
  </r>
  <r>
    <x v="4459"/>
    <d v="2025-11-23T00:00:00"/>
    <s v="Central"/>
    <s v="Leeds"/>
    <s v="Croissant"/>
    <s v="Food"/>
    <n v="3"/>
    <n v="2.8"/>
    <s v="Cash"/>
    <s v="C1776"/>
    <n v="8.3999999999999986"/>
    <s v="Sunday"/>
    <s v="November"/>
    <n v="2025"/>
  </r>
  <r>
    <x v="4460"/>
    <d v="2025-11-23T00:00:00"/>
    <s v="Riverside"/>
    <s v="Leeds"/>
    <s v="Cappuccino"/>
    <s v="Drink"/>
    <n v="2"/>
    <n v="3.8"/>
    <s v="Card"/>
    <s v="C1664"/>
    <n v="7.6"/>
    <s v="Sunday"/>
    <s v="November"/>
    <n v="2025"/>
  </r>
  <r>
    <x v="4461"/>
    <d v="2025-11-23T00:00:00"/>
    <s v="Central"/>
    <s v="London"/>
    <s v="Latte"/>
    <s v="Drink"/>
    <n v="2"/>
    <n v="3.5"/>
    <s v="Cash"/>
    <s v="C1724"/>
    <n v="7"/>
    <s v="Sunday"/>
    <s v="November"/>
    <n v="2025"/>
  </r>
  <r>
    <x v="4462"/>
    <d v="2025-11-23T00:00:00"/>
    <s v="Central"/>
    <s v="London"/>
    <s v="Muffin"/>
    <s v="Food"/>
    <n v="3"/>
    <n v="2.2000000000000002"/>
    <s v="Card"/>
    <s v="C1253"/>
    <n v="6.6000000000000005"/>
    <s v="Sunday"/>
    <s v="November"/>
    <n v="2025"/>
  </r>
  <r>
    <x v="4463"/>
    <d v="2025-11-23T00:00:00"/>
    <s v="Central"/>
    <s v="Bristol"/>
    <s v="Muffin"/>
    <s v="Food"/>
    <n v="2"/>
    <n v="2.2000000000000002"/>
    <s v="Card"/>
    <s v="C1425"/>
    <n v="4.4000000000000004"/>
    <s v="Sunday"/>
    <s v="November"/>
    <n v="2025"/>
  </r>
  <r>
    <x v="4464"/>
    <d v="2025-11-23T00:00:00"/>
    <s v="Station"/>
    <s v="London"/>
    <s v="Cappuccino"/>
    <s v="Drink"/>
    <n v="1"/>
    <n v="3.8"/>
    <s v="Card"/>
    <s v="C1430"/>
    <n v="3.8"/>
    <s v="Sunday"/>
    <s v="November"/>
    <n v="2025"/>
  </r>
  <r>
    <x v="4465"/>
    <d v="2025-11-23T00:00:00"/>
    <s v="Central"/>
    <s v="London"/>
    <s v="Espresso"/>
    <s v="Drink"/>
    <n v="1"/>
    <n v="2.5"/>
    <s v="Cash"/>
    <s v="C1002"/>
    <n v="2.5"/>
    <s v="Sunday"/>
    <s v="November"/>
    <n v="2025"/>
  </r>
  <r>
    <x v="4466"/>
    <d v="2025-11-24T00:00:00"/>
    <s v="Central"/>
    <s v="London"/>
    <s v="Croissant"/>
    <s v="Food"/>
    <n v="5"/>
    <n v="2.8"/>
    <s v="Cash"/>
    <s v="C1933"/>
    <n v="14"/>
    <s v="Monday"/>
    <s v="November"/>
    <n v="2025"/>
  </r>
  <r>
    <x v="4467"/>
    <d v="2025-11-24T00:00:00"/>
    <s v="Central"/>
    <s v="Leeds"/>
    <s v="Latte"/>
    <s v="Drink"/>
    <n v="3"/>
    <n v="3.5"/>
    <s v="Apple Pay"/>
    <s v="C1795"/>
    <n v="10.5"/>
    <s v="Monday"/>
    <s v="November"/>
    <n v="2025"/>
  </r>
  <r>
    <x v="4468"/>
    <d v="2025-11-24T00:00:00"/>
    <s v="Station"/>
    <s v="Manchester"/>
    <s v="Muffin"/>
    <s v="Food"/>
    <n v="4"/>
    <n v="2.2000000000000002"/>
    <s v="Card"/>
    <s v="C1406"/>
    <n v="8.8000000000000007"/>
    <s v="Monday"/>
    <s v="November"/>
    <n v="2025"/>
  </r>
  <r>
    <x v="4469"/>
    <d v="2025-11-24T00:00:00"/>
    <s v="Central"/>
    <s v="Birmingham"/>
    <s v="Muffin"/>
    <s v="Food"/>
    <n v="4"/>
    <n v="2.2000000000000002"/>
    <s v="Card"/>
    <s v="C1359"/>
    <n v="8.8000000000000007"/>
    <s v="Monday"/>
    <s v="November"/>
    <n v="2025"/>
  </r>
  <r>
    <x v="4470"/>
    <d v="2025-11-24T00:00:00"/>
    <s v="High Street"/>
    <s v="Birmingham"/>
    <s v="Latte"/>
    <s v="Drink"/>
    <n v="2"/>
    <n v="3.5"/>
    <s v="Card"/>
    <s v="C1262"/>
    <n v="7"/>
    <s v="Monday"/>
    <s v="November"/>
    <n v="2025"/>
  </r>
  <r>
    <x v="4471"/>
    <d v="2025-11-24T00:00:00"/>
    <s v="Station"/>
    <s v="Bristol"/>
    <s v="Latte"/>
    <s v="Drink"/>
    <n v="2"/>
    <n v="3.5"/>
    <s v="Cash"/>
    <s v="C1182"/>
    <n v="7"/>
    <s v="Monday"/>
    <s v="November"/>
    <n v="2025"/>
  </r>
  <r>
    <x v="4472"/>
    <d v="2025-11-24T00:00:00"/>
    <s v="Riverside"/>
    <s v="Manchester"/>
    <s v="Espresso"/>
    <s v="Drink"/>
    <n v="2"/>
    <n v="2.5"/>
    <s v="Apple Pay"/>
    <s v="C1787"/>
    <n v="5"/>
    <s v="Monday"/>
    <s v="November"/>
    <n v="2025"/>
  </r>
  <r>
    <x v="4473"/>
    <d v="2025-11-24T00:00:00"/>
    <s v="Station"/>
    <s v="Leeds"/>
    <s v="Muffin"/>
    <s v="Food"/>
    <n v="2"/>
    <n v="2.2000000000000002"/>
    <s v="Cash"/>
    <s v="C1979"/>
    <n v="4.4000000000000004"/>
    <s v="Monday"/>
    <s v="November"/>
    <n v="2025"/>
  </r>
  <r>
    <x v="4474"/>
    <d v="2025-11-24T00:00:00"/>
    <s v="Station"/>
    <s v="London"/>
    <s v="Latte"/>
    <s v="Drink"/>
    <n v="1"/>
    <n v="3.5"/>
    <s v="Cash"/>
    <s v="C1032"/>
    <n v="3.5"/>
    <s v="Monday"/>
    <s v="November"/>
    <n v="2025"/>
  </r>
  <r>
    <x v="4475"/>
    <d v="2025-11-24T00:00:00"/>
    <s v="Station"/>
    <s v="Leeds"/>
    <s v="Espresso"/>
    <s v="Drink"/>
    <n v="1"/>
    <n v="2.5"/>
    <s v="Apple Pay"/>
    <s v="C1255"/>
    <n v="2.5"/>
    <s v="Monday"/>
    <s v="November"/>
    <n v="2025"/>
  </r>
  <r>
    <x v="4476"/>
    <d v="2025-11-24T00:00:00"/>
    <s v="Station"/>
    <s v="Leeds"/>
    <s v="Muffin"/>
    <s v="Food"/>
    <n v="1"/>
    <n v="2.2000000000000002"/>
    <s v="Apple Pay"/>
    <s v="C1110"/>
    <n v="2.2000000000000002"/>
    <s v="Monday"/>
    <s v="November"/>
    <n v="2025"/>
  </r>
  <r>
    <x v="4477"/>
    <d v="2025-11-25T00:00:00"/>
    <s v="High Street"/>
    <s v="London"/>
    <s v="Cappuccino"/>
    <s v="Drink"/>
    <n v="5"/>
    <n v="3.8"/>
    <s v="Apple Pay"/>
    <s v="C1920"/>
    <n v="19"/>
    <s v="Tuesday"/>
    <s v="November"/>
    <n v="2025"/>
  </r>
  <r>
    <x v="4478"/>
    <d v="2025-11-25T00:00:00"/>
    <s v="Station"/>
    <s v="Leeds"/>
    <s v="Latte"/>
    <s v="Drink"/>
    <n v="5"/>
    <n v="3.5"/>
    <s v="Cash"/>
    <s v="C1503"/>
    <n v="17.5"/>
    <s v="Tuesday"/>
    <s v="November"/>
    <n v="2025"/>
  </r>
  <r>
    <x v="4479"/>
    <d v="2025-11-25T00:00:00"/>
    <s v="High Street"/>
    <s v="Manchester"/>
    <s v="Latte"/>
    <s v="Drink"/>
    <n v="4"/>
    <n v="3.5"/>
    <s v="Cash"/>
    <s v="C1787"/>
    <n v="14"/>
    <s v="Tuesday"/>
    <s v="November"/>
    <n v="2025"/>
  </r>
  <r>
    <x v="4480"/>
    <d v="2025-11-25T00:00:00"/>
    <s v="Station"/>
    <s v="Leeds"/>
    <s v="Latte"/>
    <s v="Drink"/>
    <n v="4"/>
    <n v="3.5"/>
    <s v="Apple Pay"/>
    <s v="C1538"/>
    <n v="14"/>
    <s v="Tuesday"/>
    <s v="November"/>
    <n v="2025"/>
  </r>
  <r>
    <x v="4481"/>
    <d v="2025-11-25T00:00:00"/>
    <s v="Central"/>
    <s v="Birmingham"/>
    <s v="Cappuccino"/>
    <s v="Drink"/>
    <n v="3"/>
    <n v="3.8"/>
    <s v="Cash"/>
    <s v="C1414"/>
    <n v="11.399999999999999"/>
    <s v="Tuesday"/>
    <s v="November"/>
    <n v="2025"/>
  </r>
  <r>
    <x v="4482"/>
    <d v="2025-11-25T00:00:00"/>
    <s v="High Street"/>
    <s v="Bristol"/>
    <s v="Croissant"/>
    <s v="Food"/>
    <n v="3"/>
    <n v="2.8"/>
    <s v="Card"/>
    <s v="C1540"/>
    <n v="8.3999999999999986"/>
    <s v="Tuesday"/>
    <s v="November"/>
    <n v="2025"/>
  </r>
  <r>
    <x v="4483"/>
    <d v="2025-11-25T00:00:00"/>
    <s v="Riverside"/>
    <s v="Bristol"/>
    <s v="Cappuccino"/>
    <s v="Drink"/>
    <n v="2"/>
    <n v="3.8"/>
    <s v="Card"/>
    <s v="C1357"/>
    <n v="7.6"/>
    <s v="Tuesday"/>
    <s v="November"/>
    <n v="2025"/>
  </r>
  <r>
    <x v="4484"/>
    <d v="2025-11-25T00:00:00"/>
    <s v="Central"/>
    <s v="Birmingham"/>
    <s v="Espresso"/>
    <s v="Drink"/>
    <n v="3"/>
    <n v="2.5"/>
    <s v="Card"/>
    <s v="C1913"/>
    <n v="7.5"/>
    <s v="Tuesday"/>
    <s v="November"/>
    <n v="2025"/>
  </r>
  <r>
    <x v="4485"/>
    <d v="2025-11-25T00:00:00"/>
    <s v="Riverside"/>
    <s v="London"/>
    <s v="Espresso"/>
    <s v="Drink"/>
    <n v="3"/>
    <n v="2.5"/>
    <s v="Apple Pay"/>
    <s v="C1150"/>
    <n v="7.5"/>
    <s v="Tuesday"/>
    <s v="November"/>
    <n v="2025"/>
  </r>
  <r>
    <x v="4486"/>
    <d v="2025-11-25T00:00:00"/>
    <s v="Riverside"/>
    <s v="Birmingham"/>
    <s v="Espresso"/>
    <s v="Drink"/>
    <n v="3"/>
    <n v="2.5"/>
    <s v="Cash"/>
    <s v="C1013"/>
    <n v="7.5"/>
    <s v="Tuesday"/>
    <s v="November"/>
    <n v="2025"/>
  </r>
  <r>
    <x v="4487"/>
    <d v="2025-11-25T00:00:00"/>
    <s v="High Street"/>
    <s v="Birmingham"/>
    <s v="Muffin"/>
    <s v="Food"/>
    <n v="3"/>
    <n v="2.2000000000000002"/>
    <s v="Card"/>
    <s v="C1182"/>
    <n v="6.6000000000000005"/>
    <s v="Tuesday"/>
    <s v="November"/>
    <n v="2025"/>
  </r>
  <r>
    <x v="4488"/>
    <d v="2025-11-25T00:00:00"/>
    <s v="Riverside"/>
    <s v="London"/>
    <s v="Muffin"/>
    <s v="Food"/>
    <n v="3"/>
    <n v="2.2000000000000002"/>
    <s v="Card"/>
    <s v="C1086"/>
    <n v="6.6000000000000005"/>
    <s v="Tuesday"/>
    <s v="November"/>
    <n v="2025"/>
  </r>
  <r>
    <x v="4489"/>
    <d v="2025-11-25T00:00:00"/>
    <s v="Central"/>
    <s v="Manchester"/>
    <s v="Espresso"/>
    <s v="Drink"/>
    <n v="2"/>
    <n v="2.5"/>
    <s v="Card"/>
    <s v="C1690"/>
    <n v="5"/>
    <s v="Tuesday"/>
    <s v="November"/>
    <n v="2025"/>
  </r>
  <r>
    <x v="4490"/>
    <d v="2025-11-25T00:00:00"/>
    <s v="High Street"/>
    <s v="Leeds"/>
    <s v="Espresso"/>
    <s v="Drink"/>
    <n v="1"/>
    <n v="2.5"/>
    <s v="Cash"/>
    <s v="C1603"/>
    <n v="2.5"/>
    <s v="Tuesday"/>
    <s v="November"/>
    <n v="2025"/>
  </r>
  <r>
    <x v="4491"/>
    <d v="2025-11-25T00:00:00"/>
    <s v="High Street"/>
    <s v="Manchester"/>
    <s v="Espresso"/>
    <s v="Drink"/>
    <n v="1"/>
    <n v="2.5"/>
    <s v="Card"/>
    <s v="C1386"/>
    <n v="2.5"/>
    <s v="Tuesday"/>
    <s v="November"/>
    <n v="2025"/>
  </r>
  <r>
    <x v="4492"/>
    <d v="2025-11-25T00:00:00"/>
    <s v="Riverside"/>
    <s v="Manchester"/>
    <s v="Muffin"/>
    <s v="Food"/>
    <n v="1"/>
    <n v="2.2000000000000002"/>
    <s v="Cash"/>
    <s v="C1662"/>
    <n v="2.2000000000000002"/>
    <s v="Tuesday"/>
    <s v="November"/>
    <n v="2025"/>
  </r>
  <r>
    <x v="4493"/>
    <d v="2025-11-25T00:00:00"/>
    <s v="High Street"/>
    <s v="Birmingham"/>
    <s v="Muffin"/>
    <s v="Food"/>
    <n v="1"/>
    <n v="2.2000000000000002"/>
    <s v="Card"/>
    <s v="C1765"/>
    <n v="2.2000000000000002"/>
    <s v="Tuesday"/>
    <s v="November"/>
    <n v="2025"/>
  </r>
  <r>
    <x v="4494"/>
    <d v="2025-11-26T00:00:00"/>
    <s v="High Street"/>
    <s v="London"/>
    <s v="Espresso"/>
    <s v="Drink"/>
    <n v="5"/>
    <n v="2.5"/>
    <s v="Card"/>
    <s v="C1359"/>
    <n v="12.5"/>
    <s v="Wednesday"/>
    <s v="November"/>
    <n v="2025"/>
  </r>
  <r>
    <x v="4495"/>
    <d v="2025-11-26T00:00:00"/>
    <s v="Station"/>
    <s v="Leeds"/>
    <s v="Latte"/>
    <s v="Drink"/>
    <n v="3"/>
    <n v="3.5"/>
    <s v="Card"/>
    <s v="C1831"/>
    <n v="10.5"/>
    <s v="Wednesday"/>
    <s v="November"/>
    <n v="2025"/>
  </r>
  <r>
    <x v="4496"/>
    <d v="2025-11-26T00:00:00"/>
    <s v="Station"/>
    <s v="Leeds"/>
    <s v="Espresso"/>
    <s v="Drink"/>
    <n v="4"/>
    <n v="2.5"/>
    <s v="Cash"/>
    <s v="C1957"/>
    <n v="10"/>
    <s v="Wednesday"/>
    <s v="November"/>
    <n v="2025"/>
  </r>
  <r>
    <x v="4497"/>
    <d v="2025-11-26T00:00:00"/>
    <s v="Riverside"/>
    <s v="Bristol"/>
    <s v="Muffin"/>
    <s v="Food"/>
    <n v="4"/>
    <n v="2.2000000000000002"/>
    <s v="Card"/>
    <s v="C1035"/>
    <n v="8.8000000000000007"/>
    <s v="Wednesday"/>
    <s v="November"/>
    <n v="2025"/>
  </r>
  <r>
    <x v="4498"/>
    <d v="2025-11-26T00:00:00"/>
    <s v="Station"/>
    <s v="Bristol"/>
    <s v="Croissant"/>
    <s v="Food"/>
    <n v="3"/>
    <n v="2.8"/>
    <s v="Apple Pay"/>
    <s v="C1600"/>
    <n v="8.3999999999999986"/>
    <s v="Wednesday"/>
    <s v="November"/>
    <n v="2025"/>
  </r>
  <r>
    <x v="4499"/>
    <d v="2025-11-26T00:00:00"/>
    <s v="High Street"/>
    <s v="Bristol"/>
    <s v="Croissant"/>
    <s v="Food"/>
    <n v="3"/>
    <n v="2.8"/>
    <s v="Card"/>
    <s v="C1721"/>
    <n v="8.3999999999999986"/>
    <s v="Wednesday"/>
    <s v="November"/>
    <n v="2025"/>
  </r>
  <r>
    <x v="4500"/>
    <d v="2025-11-26T00:00:00"/>
    <s v="High Street"/>
    <s v="Bristol"/>
    <s v="Latte"/>
    <s v="Drink"/>
    <n v="2"/>
    <n v="3.5"/>
    <s v="Card"/>
    <s v="C1166"/>
    <n v="7"/>
    <s v="Wednesday"/>
    <s v="November"/>
    <n v="2025"/>
  </r>
  <r>
    <x v="4501"/>
    <d v="2025-11-26T00:00:00"/>
    <s v="Riverside"/>
    <s v="Manchester"/>
    <s v="Latte"/>
    <s v="Drink"/>
    <n v="2"/>
    <n v="3.5"/>
    <s v="Apple Pay"/>
    <s v="C1141"/>
    <n v="7"/>
    <s v="Wednesday"/>
    <s v="November"/>
    <n v="2025"/>
  </r>
  <r>
    <x v="4502"/>
    <d v="2025-11-26T00:00:00"/>
    <s v="Station"/>
    <s v="Leeds"/>
    <s v="Muffin"/>
    <s v="Food"/>
    <n v="3"/>
    <n v="2.2000000000000002"/>
    <s v="Cash"/>
    <s v="C1183"/>
    <n v="6.6000000000000005"/>
    <s v="Wednesday"/>
    <s v="November"/>
    <n v="2025"/>
  </r>
  <r>
    <x v="4503"/>
    <d v="2025-11-26T00:00:00"/>
    <s v="Central"/>
    <s v="Birmingham"/>
    <s v="Croissant"/>
    <s v="Food"/>
    <n v="2"/>
    <n v="2.8"/>
    <s v="Cash"/>
    <s v="C1385"/>
    <n v="5.6"/>
    <s v="Wednesday"/>
    <s v="November"/>
    <n v="2025"/>
  </r>
  <r>
    <x v="4504"/>
    <d v="2025-11-26T00:00:00"/>
    <s v="Central"/>
    <s v="Birmingham"/>
    <s v="Espresso"/>
    <s v="Drink"/>
    <n v="2"/>
    <n v="2.5"/>
    <s v="Apple Pay"/>
    <s v="C1240"/>
    <n v="5"/>
    <s v="Wednesday"/>
    <s v="November"/>
    <n v="2025"/>
  </r>
  <r>
    <x v="4505"/>
    <d v="2025-11-26T00:00:00"/>
    <s v="Station"/>
    <s v="Leeds"/>
    <s v="Muffin"/>
    <s v="Food"/>
    <n v="2"/>
    <n v="2.2000000000000002"/>
    <s v="Apple Pay"/>
    <s v="C1056"/>
    <n v="4.4000000000000004"/>
    <s v="Wednesday"/>
    <s v="November"/>
    <n v="2025"/>
  </r>
  <r>
    <x v="4506"/>
    <d v="2025-11-26T00:00:00"/>
    <s v="Station"/>
    <s v="Manchester"/>
    <s v="Latte"/>
    <s v="Drink"/>
    <n v="1"/>
    <n v="3.5"/>
    <s v="Cash"/>
    <s v="C1407"/>
    <n v="3.5"/>
    <s v="Wednesday"/>
    <s v="November"/>
    <n v="2025"/>
  </r>
  <r>
    <x v="4507"/>
    <d v="2025-11-26T00:00:00"/>
    <s v="Central"/>
    <s v="Manchester"/>
    <s v="Muffin"/>
    <s v="Food"/>
    <n v="1"/>
    <n v="2.2000000000000002"/>
    <s v="Apple Pay"/>
    <s v="C1179"/>
    <n v="2.2000000000000002"/>
    <s v="Wednesday"/>
    <s v="November"/>
    <n v="2025"/>
  </r>
  <r>
    <x v="4508"/>
    <d v="2025-11-26T00:00:00"/>
    <s v="Riverside"/>
    <s v="London"/>
    <s v="Muffin"/>
    <s v="Food"/>
    <n v="1"/>
    <n v="2.2000000000000002"/>
    <s v="Apple Pay"/>
    <s v="C1858"/>
    <n v="2.2000000000000002"/>
    <s v="Wednesday"/>
    <s v="November"/>
    <n v="2025"/>
  </r>
  <r>
    <x v="4509"/>
    <d v="2025-11-27T00:00:00"/>
    <s v="Station"/>
    <s v="London"/>
    <s v="Cappuccino"/>
    <s v="Drink"/>
    <n v="5"/>
    <n v="3.8"/>
    <s v="Card"/>
    <s v="C1153"/>
    <n v="19"/>
    <s v="Thursday"/>
    <s v="November"/>
    <n v="2025"/>
  </r>
  <r>
    <x v="4510"/>
    <d v="2025-11-27T00:00:00"/>
    <s v="Riverside"/>
    <s v="Bristol"/>
    <s v="Cappuccino"/>
    <s v="Drink"/>
    <n v="4"/>
    <n v="3.8"/>
    <s v="Apple Pay"/>
    <s v="C1322"/>
    <n v="15.2"/>
    <s v="Thursday"/>
    <s v="November"/>
    <n v="2025"/>
  </r>
  <r>
    <x v="4511"/>
    <d v="2025-11-27T00:00:00"/>
    <s v="Central"/>
    <s v="Manchester"/>
    <s v="Cappuccino"/>
    <s v="Drink"/>
    <n v="4"/>
    <n v="3.8"/>
    <s v="Cash"/>
    <s v="C1696"/>
    <n v="15.2"/>
    <s v="Thursday"/>
    <s v="November"/>
    <n v="2025"/>
  </r>
  <r>
    <x v="4512"/>
    <d v="2025-11-27T00:00:00"/>
    <s v="High Street"/>
    <s v="London"/>
    <s v="Latte"/>
    <s v="Drink"/>
    <n v="4"/>
    <n v="3.5"/>
    <s v="Cash"/>
    <s v="C1558"/>
    <n v="14"/>
    <s v="Thursday"/>
    <s v="November"/>
    <n v="2025"/>
  </r>
  <r>
    <x v="4513"/>
    <d v="2025-11-27T00:00:00"/>
    <s v="High Street"/>
    <s v="Birmingham"/>
    <s v="Espresso"/>
    <s v="Drink"/>
    <n v="5"/>
    <n v="2.5"/>
    <s v="Apple Pay"/>
    <s v="C1243"/>
    <n v="12.5"/>
    <s v="Thursday"/>
    <s v="November"/>
    <n v="2025"/>
  </r>
  <r>
    <x v="4514"/>
    <d v="2025-11-27T00:00:00"/>
    <s v="Central"/>
    <s v="Leeds"/>
    <s v="Espresso"/>
    <s v="Drink"/>
    <n v="5"/>
    <n v="2.5"/>
    <s v="Apple Pay"/>
    <s v="C1462"/>
    <n v="12.5"/>
    <s v="Thursday"/>
    <s v="November"/>
    <n v="2025"/>
  </r>
  <r>
    <x v="4515"/>
    <d v="2025-11-27T00:00:00"/>
    <s v="Riverside"/>
    <s v="Birmingham"/>
    <s v="Muffin"/>
    <s v="Food"/>
    <n v="4"/>
    <n v="2.2000000000000002"/>
    <s v="Apple Pay"/>
    <s v="C1246"/>
    <n v="8.8000000000000007"/>
    <s v="Thursday"/>
    <s v="November"/>
    <n v="2025"/>
  </r>
  <r>
    <x v="4516"/>
    <d v="2025-11-27T00:00:00"/>
    <s v="Riverside"/>
    <s v="Birmingham"/>
    <s v="Muffin"/>
    <s v="Food"/>
    <n v="4"/>
    <n v="2.2000000000000002"/>
    <s v="Cash"/>
    <s v="C1273"/>
    <n v="8.8000000000000007"/>
    <s v="Thursday"/>
    <s v="November"/>
    <n v="2025"/>
  </r>
  <r>
    <x v="4517"/>
    <d v="2025-11-27T00:00:00"/>
    <s v="High Street"/>
    <s v="Bristol"/>
    <s v="Cappuccino"/>
    <s v="Drink"/>
    <n v="2"/>
    <n v="3.8"/>
    <s v="Apple Pay"/>
    <s v="C1765"/>
    <n v="7.6"/>
    <s v="Thursday"/>
    <s v="November"/>
    <n v="2025"/>
  </r>
  <r>
    <x v="4518"/>
    <d v="2025-11-27T00:00:00"/>
    <s v="Station"/>
    <s v="Manchester"/>
    <s v="Cappuccino"/>
    <s v="Drink"/>
    <n v="2"/>
    <n v="3.8"/>
    <s v="Cash"/>
    <s v="C1026"/>
    <n v="7.6"/>
    <s v="Thursday"/>
    <s v="November"/>
    <n v="2025"/>
  </r>
  <r>
    <x v="4519"/>
    <d v="2025-11-27T00:00:00"/>
    <s v="High Street"/>
    <s v="Manchester"/>
    <s v="Cappuccino"/>
    <s v="Drink"/>
    <n v="2"/>
    <n v="3.8"/>
    <s v="Apple Pay"/>
    <s v="C1429"/>
    <n v="7.6"/>
    <s v="Thursday"/>
    <s v="November"/>
    <n v="2025"/>
  </r>
  <r>
    <x v="4520"/>
    <d v="2025-11-27T00:00:00"/>
    <s v="Riverside"/>
    <s v="Bristol"/>
    <s v="Espresso"/>
    <s v="Drink"/>
    <n v="2"/>
    <n v="2.5"/>
    <s v="Card"/>
    <s v="C1344"/>
    <n v="5"/>
    <s v="Thursday"/>
    <s v="November"/>
    <n v="2025"/>
  </r>
  <r>
    <x v="4521"/>
    <d v="2025-11-27T00:00:00"/>
    <s v="High Street"/>
    <s v="Leeds"/>
    <s v="Latte"/>
    <s v="Drink"/>
    <n v="1"/>
    <n v="3.5"/>
    <s v="Cash"/>
    <s v="C1430"/>
    <n v="3.5"/>
    <s v="Thursday"/>
    <s v="November"/>
    <n v="2025"/>
  </r>
  <r>
    <x v="4522"/>
    <d v="2025-11-27T00:00:00"/>
    <s v="Central"/>
    <s v="Leeds"/>
    <s v="Latte"/>
    <s v="Drink"/>
    <n v="1"/>
    <n v="3.5"/>
    <s v="Card"/>
    <s v="C1886"/>
    <n v="3.5"/>
    <s v="Thursday"/>
    <s v="November"/>
    <n v="2025"/>
  </r>
  <r>
    <x v="4523"/>
    <d v="2025-11-28T00:00:00"/>
    <s v="High Street"/>
    <s v="London"/>
    <s v="Cappuccino"/>
    <s v="Drink"/>
    <n v="5"/>
    <n v="3.8"/>
    <s v="Cash"/>
    <s v="C1828"/>
    <n v="19"/>
    <s v="Friday"/>
    <s v="November"/>
    <n v="2025"/>
  </r>
  <r>
    <x v="4524"/>
    <d v="2025-11-28T00:00:00"/>
    <s v="Riverside"/>
    <s v="London"/>
    <s v="Cappuccino"/>
    <s v="Drink"/>
    <n v="5"/>
    <n v="3.8"/>
    <s v="Card"/>
    <s v="C1514"/>
    <n v="19"/>
    <s v="Friday"/>
    <s v="November"/>
    <n v="2025"/>
  </r>
  <r>
    <x v="4525"/>
    <d v="2025-11-28T00:00:00"/>
    <s v="Station"/>
    <s v="Leeds"/>
    <s v="Cappuccino"/>
    <s v="Drink"/>
    <n v="5"/>
    <n v="3.8"/>
    <s v="Card"/>
    <s v="C1096"/>
    <n v="19"/>
    <s v="Friday"/>
    <s v="November"/>
    <n v="2025"/>
  </r>
  <r>
    <x v="4526"/>
    <d v="2025-11-28T00:00:00"/>
    <s v="Central"/>
    <s v="Leeds"/>
    <s v="Croissant"/>
    <s v="Food"/>
    <n v="4"/>
    <n v="2.8"/>
    <s v="Cash"/>
    <s v="C1241"/>
    <n v="11.2"/>
    <s v="Friday"/>
    <s v="November"/>
    <n v="2025"/>
  </r>
  <r>
    <x v="4527"/>
    <d v="2025-11-28T00:00:00"/>
    <s v="Central"/>
    <s v="London"/>
    <s v="Espresso"/>
    <s v="Drink"/>
    <n v="4"/>
    <n v="2.5"/>
    <s v="Card"/>
    <s v="C1875"/>
    <n v="10"/>
    <s v="Friday"/>
    <s v="November"/>
    <n v="2025"/>
  </r>
  <r>
    <x v="4528"/>
    <d v="2025-11-28T00:00:00"/>
    <s v="Riverside"/>
    <s v="Bristol"/>
    <s v="Espresso"/>
    <s v="Drink"/>
    <n v="3"/>
    <n v="2.5"/>
    <s v="Card"/>
    <s v="C1972"/>
    <n v="7.5"/>
    <s v="Friday"/>
    <s v="November"/>
    <n v="2025"/>
  </r>
  <r>
    <x v="4529"/>
    <d v="2025-11-28T00:00:00"/>
    <s v="Central"/>
    <s v="Bristol"/>
    <s v="Espresso"/>
    <s v="Drink"/>
    <n v="3"/>
    <n v="2.5"/>
    <s v="Cash"/>
    <s v="C1133"/>
    <n v="7.5"/>
    <s v="Friday"/>
    <s v="November"/>
    <n v="2025"/>
  </r>
  <r>
    <x v="4530"/>
    <d v="2025-11-28T00:00:00"/>
    <s v="Riverside"/>
    <s v="Bristol"/>
    <s v="Croissant"/>
    <s v="Food"/>
    <n v="2"/>
    <n v="2.8"/>
    <s v="Cash"/>
    <s v="C1531"/>
    <n v="5.6"/>
    <s v="Friday"/>
    <s v="November"/>
    <n v="2025"/>
  </r>
  <r>
    <x v="4531"/>
    <d v="2025-11-28T00:00:00"/>
    <s v="Station"/>
    <s v="London"/>
    <s v="Espresso"/>
    <s v="Drink"/>
    <n v="2"/>
    <n v="2.5"/>
    <s v="Cash"/>
    <s v="C1748"/>
    <n v="5"/>
    <s v="Friday"/>
    <s v="November"/>
    <n v="2025"/>
  </r>
  <r>
    <x v="4532"/>
    <d v="2025-11-28T00:00:00"/>
    <s v="Riverside"/>
    <s v="Birmingham"/>
    <s v="Cappuccino"/>
    <s v="Drink"/>
    <n v="1"/>
    <n v="3.8"/>
    <s v="Card"/>
    <s v="C1332"/>
    <n v="3.8"/>
    <s v="Friday"/>
    <s v="November"/>
    <n v="2025"/>
  </r>
  <r>
    <x v="4533"/>
    <d v="2025-11-28T00:00:00"/>
    <s v="High Street"/>
    <s v="Manchester"/>
    <s v="Cappuccino"/>
    <s v="Drink"/>
    <n v="1"/>
    <n v="3.8"/>
    <s v="Card"/>
    <s v="C1051"/>
    <n v="3.8"/>
    <s v="Friday"/>
    <s v="November"/>
    <n v="2025"/>
  </r>
  <r>
    <x v="4534"/>
    <d v="2025-11-28T00:00:00"/>
    <s v="Central"/>
    <s v="Bristol"/>
    <s v="Croissant"/>
    <s v="Food"/>
    <n v="1"/>
    <n v="2.8"/>
    <s v="Card"/>
    <s v="C1610"/>
    <n v="2.8"/>
    <s v="Friday"/>
    <s v="November"/>
    <n v="2025"/>
  </r>
  <r>
    <x v="4535"/>
    <d v="2025-11-28T00:00:00"/>
    <s v="Central"/>
    <s v="Manchester"/>
    <s v="Croissant"/>
    <s v="Food"/>
    <n v="1"/>
    <n v="2.8"/>
    <s v="Card"/>
    <s v="C1262"/>
    <n v="2.8"/>
    <s v="Friday"/>
    <s v="November"/>
    <n v="2025"/>
  </r>
  <r>
    <x v="4536"/>
    <d v="2025-11-29T00:00:00"/>
    <s v="Station"/>
    <s v="London"/>
    <s v="Cappuccino"/>
    <s v="Drink"/>
    <n v="5"/>
    <n v="3.8"/>
    <s v="Cash"/>
    <s v="C1648"/>
    <n v="19"/>
    <s v="Saturday"/>
    <s v="November"/>
    <n v="2025"/>
  </r>
  <r>
    <x v="4537"/>
    <d v="2025-11-29T00:00:00"/>
    <s v="Central"/>
    <s v="Manchester"/>
    <s v="Latte"/>
    <s v="Drink"/>
    <n v="5"/>
    <n v="3.5"/>
    <s v="Apple Pay"/>
    <s v="C1223"/>
    <n v="17.5"/>
    <s v="Saturday"/>
    <s v="November"/>
    <n v="2025"/>
  </r>
  <r>
    <x v="4538"/>
    <d v="2025-11-29T00:00:00"/>
    <s v="High Street"/>
    <s v="Bristol"/>
    <s v="Cappuccino"/>
    <s v="Drink"/>
    <n v="4"/>
    <n v="3.8"/>
    <s v="Card"/>
    <s v="C1172"/>
    <n v="15.2"/>
    <s v="Saturday"/>
    <s v="November"/>
    <n v="2025"/>
  </r>
  <r>
    <x v="4539"/>
    <d v="2025-11-29T00:00:00"/>
    <s v="Station"/>
    <s v="Leeds"/>
    <s v="Latte"/>
    <s v="Drink"/>
    <n v="4"/>
    <n v="3.5"/>
    <s v="Apple Pay"/>
    <s v="C1843"/>
    <n v="14"/>
    <s v="Saturday"/>
    <s v="November"/>
    <n v="2025"/>
  </r>
  <r>
    <x v="4540"/>
    <d v="2025-11-29T00:00:00"/>
    <s v="Station"/>
    <s v="Manchester"/>
    <s v="Espresso"/>
    <s v="Drink"/>
    <n v="5"/>
    <n v="2.5"/>
    <s v="Card"/>
    <s v="C1704"/>
    <n v="12.5"/>
    <s v="Saturday"/>
    <s v="November"/>
    <n v="2025"/>
  </r>
  <r>
    <x v="4541"/>
    <d v="2025-11-29T00:00:00"/>
    <s v="Riverside"/>
    <s v="Bristol"/>
    <s v="Cappuccino"/>
    <s v="Drink"/>
    <n v="3"/>
    <n v="3.8"/>
    <s v="Cash"/>
    <s v="C1167"/>
    <n v="11.399999999999999"/>
    <s v="Saturday"/>
    <s v="November"/>
    <n v="2025"/>
  </r>
  <r>
    <x v="4542"/>
    <d v="2025-11-29T00:00:00"/>
    <s v="Station"/>
    <s v="Birmingham"/>
    <s v="Muffin"/>
    <s v="Food"/>
    <n v="5"/>
    <n v="2.2000000000000002"/>
    <s v="Apple Pay"/>
    <s v="C1961"/>
    <n v="11"/>
    <s v="Saturday"/>
    <s v="November"/>
    <n v="2025"/>
  </r>
  <r>
    <x v="4543"/>
    <d v="2025-11-29T00:00:00"/>
    <s v="Station"/>
    <s v="London"/>
    <s v="Muffin"/>
    <s v="Food"/>
    <n v="4"/>
    <n v="2.2000000000000002"/>
    <s v="Apple Pay"/>
    <s v="C1726"/>
    <n v="8.8000000000000007"/>
    <s v="Saturday"/>
    <s v="November"/>
    <n v="2025"/>
  </r>
  <r>
    <x v="4544"/>
    <d v="2025-11-29T00:00:00"/>
    <s v="Riverside"/>
    <s v="Leeds"/>
    <s v="Muffin"/>
    <s v="Food"/>
    <n v="2"/>
    <n v="2.2000000000000002"/>
    <s v="Card"/>
    <s v="C1023"/>
    <n v="4.4000000000000004"/>
    <s v="Saturday"/>
    <s v="November"/>
    <n v="2025"/>
  </r>
  <r>
    <x v="4545"/>
    <d v="2025-11-29T00:00:00"/>
    <s v="Station"/>
    <s v="Birmingham"/>
    <s v="Latte"/>
    <s v="Drink"/>
    <n v="1"/>
    <n v="3.5"/>
    <s v="Apple Pay"/>
    <s v="C1614"/>
    <n v="3.5"/>
    <s v="Saturday"/>
    <s v="November"/>
    <n v="2025"/>
  </r>
  <r>
    <x v="4546"/>
    <d v="2025-11-29T00:00:00"/>
    <s v="High Street"/>
    <s v="Bristol"/>
    <s v="Latte"/>
    <s v="Drink"/>
    <n v="1"/>
    <n v="3.5"/>
    <s v="Card"/>
    <s v="C1163"/>
    <n v="3.5"/>
    <s v="Saturday"/>
    <s v="November"/>
    <n v="2025"/>
  </r>
  <r>
    <x v="4547"/>
    <d v="2025-11-29T00:00:00"/>
    <s v="Central"/>
    <s v="Birmingham"/>
    <s v="Croissant"/>
    <s v="Food"/>
    <n v="1"/>
    <n v="2.8"/>
    <s v="Apple Pay"/>
    <s v="C1420"/>
    <n v="2.8"/>
    <s v="Saturday"/>
    <s v="November"/>
    <n v="2025"/>
  </r>
  <r>
    <x v="4548"/>
    <d v="2025-11-29T00:00:00"/>
    <s v="Riverside"/>
    <s v="London"/>
    <s v="Croissant"/>
    <s v="Food"/>
    <n v="1"/>
    <n v="2.8"/>
    <s v="Apple Pay"/>
    <s v="C1768"/>
    <n v="2.8"/>
    <s v="Saturday"/>
    <s v="November"/>
    <n v="2025"/>
  </r>
  <r>
    <x v="4549"/>
    <d v="2025-11-29T00:00:00"/>
    <s v="Riverside"/>
    <s v="Bristol"/>
    <s v="Espresso"/>
    <s v="Drink"/>
    <n v="1"/>
    <n v="2.5"/>
    <s v="Apple Pay"/>
    <s v="C1860"/>
    <n v="2.5"/>
    <s v="Saturday"/>
    <s v="November"/>
    <n v="2025"/>
  </r>
  <r>
    <x v="4550"/>
    <d v="2025-11-29T00:00:00"/>
    <s v="Riverside"/>
    <s v="Leeds"/>
    <s v="Muffin"/>
    <s v="Food"/>
    <n v="1"/>
    <n v="2.2000000000000002"/>
    <s v="Apple Pay"/>
    <s v="C1701"/>
    <n v="2.2000000000000002"/>
    <s v="Saturday"/>
    <s v="November"/>
    <n v="2025"/>
  </r>
  <r>
    <x v="4551"/>
    <d v="2025-11-30T00:00:00"/>
    <s v="Riverside"/>
    <s v="Bristol"/>
    <s v="Latte"/>
    <s v="Drink"/>
    <n v="5"/>
    <n v="3.5"/>
    <s v="Cash"/>
    <s v="C1129"/>
    <n v="17.5"/>
    <s v="Sunday"/>
    <s v="November"/>
    <n v="2025"/>
  </r>
  <r>
    <x v="4552"/>
    <d v="2025-11-30T00:00:00"/>
    <s v="Riverside"/>
    <s v="Leeds"/>
    <s v="Latte"/>
    <s v="Drink"/>
    <n v="5"/>
    <n v="3.5"/>
    <s v="Card"/>
    <s v="C1550"/>
    <n v="17.5"/>
    <s v="Sunday"/>
    <s v="November"/>
    <n v="2025"/>
  </r>
  <r>
    <x v="4553"/>
    <d v="2025-11-30T00:00:00"/>
    <s v="Station"/>
    <s v="Leeds"/>
    <s v="Croissant"/>
    <s v="Food"/>
    <n v="5"/>
    <n v="2.8"/>
    <s v="Card"/>
    <s v="C1961"/>
    <n v="14"/>
    <s v="Sunday"/>
    <s v="November"/>
    <n v="2025"/>
  </r>
  <r>
    <x v="4554"/>
    <d v="2025-11-30T00:00:00"/>
    <s v="Station"/>
    <s v="Bristol"/>
    <s v="Latte"/>
    <s v="Drink"/>
    <n v="4"/>
    <n v="3.5"/>
    <s v="Card"/>
    <s v="C1645"/>
    <n v="14"/>
    <s v="Sunday"/>
    <s v="November"/>
    <n v="2025"/>
  </r>
  <r>
    <x v="4555"/>
    <d v="2025-11-30T00:00:00"/>
    <s v="Station"/>
    <s v="Leeds"/>
    <s v="Cappuccino"/>
    <s v="Drink"/>
    <n v="3"/>
    <n v="3.8"/>
    <s v="Card"/>
    <s v="C1317"/>
    <n v="11.399999999999999"/>
    <s v="Sunday"/>
    <s v="November"/>
    <n v="2025"/>
  </r>
  <r>
    <x v="4556"/>
    <d v="2025-11-30T00:00:00"/>
    <s v="Central"/>
    <s v="Leeds"/>
    <s v="Croissant"/>
    <s v="Food"/>
    <n v="4"/>
    <n v="2.8"/>
    <s v="Cash"/>
    <s v="C1476"/>
    <n v="11.2"/>
    <s v="Sunday"/>
    <s v="November"/>
    <n v="2025"/>
  </r>
  <r>
    <x v="4557"/>
    <d v="2025-11-30T00:00:00"/>
    <s v="Central"/>
    <s v="London"/>
    <s v="Croissant"/>
    <s v="Food"/>
    <n v="4"/>
    <n v="2.8"/>
    <s v="Card"/>
    <s v="C1608"/>
    <n v="11.2"/>
    <s v="Sunday"/>
    <s v="November"/>
    <n v="2025"/>
  </r>
  <r>
    <x v="4558"/>
    <d v="2025-11-30T00:00:00"/>
    <s v="Central"/>
    <s v="London"/>
    <s v="Muffin"/>
    <s v="Food"/>
    <n v="5"/>
    <n v="2.2000000000000002"/>
    <s v="Card"/>
    <s v="C1878"/>
    <n v="11"/>
    <s v="Sunday"/>
    <s v="November"/>
    <n v="2025"/>
  </r>
  <r>
    <x v="4559"/>
    <d v="2025-11-30T00:00:00"/>
    <s v="High Street"/>
    <s v="Bristol"/>
    <s v="Latte"/>
    <s v="Drink"/>
    <n v="3"/>
    <n v="3.5"/>
    <s v="Cash"/>
    <s v="C1950"/>
    <n v="10.5"/>
    <s v="Sunday"/>
    <s v="November"/>
    <n v="2025"/>
  </r>
  <r>
    <x v="4560"/>
    <d v="2025-11-30T00:00:00"/>
    <s v="Central"/>
    <s v="N/A"/>
    <s v="Croissant"/>
    <s v="Food"/>
    <n v="3"/>
    <n v="2.8"/>
    <s v="Card"/>
    <s v="C1138"/>
    <n v="8.3999999999999986"/>
    <s v="Sunday"/>
    <s v="November"/>
    <n v="2025"/>
  </r>
  <r>
    <x v="4561"/>
    <d v="2025-11-30T00:00:00"/>
    <s v="High Street"/>
    <s v="Bristol"/>
    <s v="Espresso"/>
    <s v="Drink"/>
    <n v="3"/>
    <n v="2.5"/>
    <s v="Card"/>
    <s v="C1450"/>
    <n v="7.5"/>
    <s v="Sunday"/>
    <s v="November"/>
    <n v="2025"/>
  </r>
  <r>
    <x v="4562"/>
    <d v="2025-11-30T00:00:00"/>
    <s v="High Street"/>
    <s v="Manchester"/>
    <s v="Latte"/>
    <s v="Drink"/>
    <n v="2"/>
    <n v="3.5"/>
    <s v="Apple Pay"/>
    <s v="C1920"/>
    <n v="7"/>
    <s v="Sunday"/>
    <s v="November"/>
    <n v="2025"/>
  </r>
  <r>
    <x v="4563"/>
    <d v="2025-11-30T00:00:00"/>
    <s v="Riverside"/>
    <s v="Birmingham"/>
    <s v="Latte"/>
    <s v="Drink"/>
    <n v="2"/>
    <n v="3.5"/>
    <s v="Apple Pay"/>
    <s v="C1999"/>
    <n v="7"/>
    <s v="Sunday"/>
    <s v="November"/>
    <n v="2025"/>
  </r>
  <r>
    <x v="4564"/>
    <d v="2025-11-30T00:00:00"/>
    <s v="High Street"/>
    <s v="Leeds"/>
    <s v="Croissant"/>
    <s v="Food"/>
    <n v="2"/>
    <n v="2.8"/>
    <s v="Card"/>
    <s v="C1900"/>
    <n v="5.6"/>
    <s v="Sunday"/>
    <s v="November"/>
    <n v="2025"/>
  </r>
  <r>
    <x v="4565"/>
    <d v="2025-11-30T00:00:00"/>
    <s v="Central"/>
    <s v="Leeds"/>
    <s v="Espresso"/>
    <s v="Drink"/>
    <n v="2"/>
    <n v="2.5"/>
    <s v="Cash"/>
    <s v="C1123"/>
    <n v="5"/>
    <s v="Sunday"/>
    <s v="November"/>
    <n v="2025"/>
  </r>
  <r>
    <x v="4566"/>
    <d v="2025-11-30T00:00:00"/>
    <s v="Riverside"/>
    <s v="Manchester"/>
    <s v="Muffin"/>
    <s v="Food"/>
    <n v="2"/>
    <n v="2.2000000000000002"/>
    <s v="Card"/>
    <s v="C1326"/>
    <n v="4.4000000000000004"/>
    <s v="Sunday"/>
    <s v="November"/>
    <n v="2025"/>
  </r>
  <r>
    <x v="4567"/>
    <d v="2025-11-30T00:00:00"/>
    <s v="High Street"/>
    <s v="Birmingham"/>
    <s v="Cappuccino"/>
    <s v="Drink"/>
    <n v="1"/>
    <n v="3.8"/>
    <s v="Card"/>
    <s v="C1514"/>
    <n v="3.8"/>
    <s v="Sunday"/>
    <s v="November"/>
    <n v="2025"/>
  </r>
  <r>
    <x v="4568"/>
    <d v="2025-11-30T00:00:00"/>
    <s v="High Street"/>
    <s v="Birmingham"/>
    <s v="Latte"/>
    <s v="Drink"/>
    <n v="1"/>
    <n v="3.5"/>
    <s v="Card"/>
    <s v="C1858"/>
    <n v="3.5"/>
    <s v="Sunday"/>
    <s v="November"/>
    <n v="2025"/>
  </r>
  <r>
    <x v="4569"/>
    <d v="2025-11-30T00:00:00"/>
    <s v="Riverside"/>
    <s v="Birmingham"/>
    <s v="Latte"/>
    <s v="Drink"/>
    <n v="1"/>
    <n v="3.5"/>
    <s v="Apple Pay"/>
    <s v="C1781"/>
    <n v="3.5"/>
    <s v="Sunday"/>
    <s v="November"/>
    <n v="2025"/>
  </r>
  <r>
    <x v="4570"/>
    <d v="2025-11-30T00:00:00"/>
    <s v="Riverside"/>
    <s v="London"/>
    <s v="Croissant"/>
    <s v="Food"/>
    <n v="1"/>
    <n v="2.8"/>
    <s v="Card"/>
    <s v="C1548"/>
    <n v="2.8"/>
    <s v="Sunday"/>
    <s v="November"/>
    <n v="2025"/>
  </r>
  <r>
    <x v="4571"/>
    <d v="2025-11-30T00:00:00"/>
    <s v="Station"/>
    <s v="Birmingham"/>
    <s v="Espresso"/>
    <s v="Drink"/>
    <n v="1"/>
    <n v="2.5"/>
    <s v="Cash"/>
    <s v="C1500"/>
    <n v="2.5"/>
    <s v="Sunday"/>
    <s v="November"/>
    <n v="2025"/>
  </r>
  <r>
    <x v="4572"/>
    <d v="2025-11-30T00:00:00"/>
    <s v="Riverside"/>
    <s v="Bristol"/>
    <s v="Muffin"/>
    <s v="Food"/>
    <n v="1"/>
    <n v="2.2000000000000002"/>
    <s v="Apple Pay"/>
    <s v="C1149"/>
    <n v="2.2000000000000002"/>
    <s v="Sunday"/>
    <s v="November"/>
    <n v="2025"/>
  </r>
  <r>
    <x v="4573"/>
    <d v="2025-12-01T00:00:00"/>
    <s v="Riverside"/>
    <s v="Manchester"/>
    <s v="Latte"/>
    <s v="Drink"/>
    <n v="5"/>
    <n v="3.5"/>
    <s v="Apple Pay"/>
    <s v="C1076"/>
    <n v="17.5"/>
    <s v="Monday"/>
    <s v="December"/>
    <n v="2025"/>
  </r>
  <r>
    <x v="4574"/>
    <d v="2025-12-01T00:00:00"/>
    <s v="Riverside"/>
    <s v="Bristol"/>
    <s v="Croissant"/>
    <s v="Food"/>
    <n v="5"/>
    <n v="2.8"/>
    <s v="Card"/>
    <s v="C1995"/>
    <n v="14"/>
    <s v="Monday"/>
    <s v="December"/>
    <n v="2025"/>
  </r>
  <r>
    <x v="4575"/>
    <d v="2025-12-01T00:00:00"/>
    <s v="Station"/>
    <s v="Manchester"/>
    <s v="Latte"/>
    <s v="Drink"/>
    <n v="4"/>
    <n v="3.5"/>
    <s v="Cash"/>
    <s v="C1433"/>
    <n v="14"/>
    <s v="Monday"/>
    <s v="December"/>
    <n v="2025"/>
  </r>
  <r>
    <x v="4576"/>
    <d v="2025-12-01T00:00:00"/>
    <s v="Central"/>
    <s v="Leeds"/>
    <s v="Croissant"/>
    <s v="Food"/>
    <n v="5"/>
    <n v="2.8"/>
    <s v="Apple Pay"/>
    <s v="C1450"/>
    <n v="14"/>
    <s v="Monday"/>
    <s v="December"/>
    <n v="2025"/>
  </r>
  <r>
    <x v="4577"/>
    <d v="2025-12-01T00:00:00"/>
    <s v="Central"/>
    <s v="Manchester"/>
    <s v="Espresso"/>
    <s v="Drink"/>
    <n v="5"/>
    <n v="2.5"/>
    <s v="Apple Pay"/>
    <s v="C1154"/>
    <n v="12.5"/>
    <s v="Monday"/>
    <s v="December"/>
    <n v="2025"/>
  </r>
  <r>
    <x v="4578"/>
    <d v="2025-12-01T00:00:00"/>
    <s v="Central"/>
    <s v="Bristol"/>
    <s v="Muffin"/>
    <s v="Food"/>
    <n v="5"/>
    <n v="2.2000000000000002"/>
    <s v="Apple Pay"/>
    <s v="C1475"/>
    <n v="11"/>
    <s v="Monday"/>
    <s v="December"/>
    <n v="2025"/>
  </r>
  <r>
    <x v="4579"/>
    <d v="2025-12-01T00:00:00"/>
    <s v="Station"/>
    <s v="Birmingham"/>
    <s v="Muffin"/>
    <s v="Food"/>
    <n v="5"/>
    <n v="2.2000000000000002"/>
    <s v="Cash"/>
    <s v="C1411"/>
    <n v="11"/>
    <s v="Monday"/>
    <s v="December"/>
    <n v="2025"/>
  </r>
  <r>
    <x v="4580"/>
    <d v="2025-12-01T00:00:00"/>
    <s v="Riverside"/>
    <s v="Birmingham"/>
    <s v="Latte"/>
    <s v="Drink"/>
    <n v="3"/>
    <n v="3.5"/>
    <s v="Card"/>
    <s v="C1062"/>
    <n v="10.5"/>
    <s v="Monday"/>
    <s v="December"/>
    <n v="2025"/>
  </r>
  <r>
    <x v="4581"/>
    <d v="2025-12-01T00:00:00"/>
    <s v="High Street"/>
    <s v="Birmingham"/>
    <s v="Espresso"/>
    <s v="Drink"/>
    <n v="4"/>
    <n v="2.5"/>
    <s v="Cash"/>
    <s v="C1665"/>
    <n v="10"/>
    <s v="Monday"/>
    <s v="December"/>
    <n v="2025"/>
  </r>
  <r>
    <x v="4582"/>
    <d v="2025-12-01T00:00:00"/>
    <s v="High Street"/>
    <s v="Bristol"/>
    <s v="Espresso"/>
    <s v="Drink"/>
    <n v="4"/>
    <n v="2.5"/>
    <s v="Cash"/>
    <s v="C1486"/>
    <n v="10"/>
    <s v="Monday"/>
    <s v="December"/>
    <n v="2025"/>
  </r>
  <r>
    <x v="4583"/>
    <d v="2025-12-01T00:00:00"/>
    <s v="Riverside"/>
    <s v="Birmingham"/>
    <s v="Croissant"/>
    <s v="Food"/>
    <n v="3"/>
    <n v="2.8"/>
    <s v="Apple Pay"/>
    <s v="C1872"/>
    <n v="8.3999999999999986"/>
    <s v="Monday"/>
    <s v="December"/>
    <n v="2025"/>
  </r>
  <r>
    <x v="4584"/>
    <d v="2025-12-01T00:00:00"/>
    <s v="Riverside"/>
    <s v="London"/>
    <s v="Croissant"/>
    <s v="Food"/>
    <n v="3"/>
    <n v="2.8"/>
    <s v="Apple Pay"/>
    <s v="C1104"/>
    <n v="8.3999999999999986"/>
    <s v="Monday"/>
    <s v="December"/>
    <n v="2025"/>
  </r>
  <r>
    <x v="4585"/>
    <d v="2025-12-01T00:00:00"/>
    <s v="High Street"/>
    <s v="Bristol"/>
    <s v="Muffin"/>
    <s v="Food"/>
    <n v="3"/>
    <n v="2.2000000000000002"/>
    <s v="Cash"/>
    <s v="C1848"/>
    <n v="6.6000000000000005"/>
    <s v="Monday"/>
    <s v="December"/>
    <n v="2025"/>
  </r>
  <r>
    <x v="4586"/>
    <d v="2025-12-01T00:00:00"/>
    <s v="Station"/>
    <s v="Birmingham"/>
    <s v="Croissant"/>
    <s v="Food"/>
    <n v="2"/>
    <n v="2.8"/>
    <s v="Apple Pay"/>
    <s v="C1515"/>
    <n v="5.6"/>
    <s v="Monday"/>
    <s v="December"/>
    <n v="2025"/>
  </r>
  <r>
    <x v="4587"/>
    <d v="2025-12-01T00:00:00"/>
    <s v="High Street"/>
    <s v="Birmingham"/>
    <s v="Espresso"/>
    <s v="Drink"/>
    <n v="2"/>
    <n v="2.5"/>
    <s v="Card"/>
    <s v="C1087"/>
    <n v="5"/>
    <s v="Monday"/>
    <s v="December"/>
    <n v="2025"/>
  </r>
  <r>
    <x v="4588"/>
    <d v="2025-12-01T00:00:00"/>
    <s v="High Street"/>
    <s v="Leeds"/>
    <s v="Muffin"/>
    <s v="Food"/>
    <n v="2"/>
    <n v="2.2000000000000002"/>
    <s v="Card"/>
    <s v="C1896"/>
    <n v="4.4000000000000004"/>
    <s v="Monday"/>
    <s v="December"/>
    <n v="2025"/>
  </r>
  <r>
    <x v="4589"/>
    <d v="2025-12-02T00:00:00"/>
    <s v="High Street"/>
    <s v="Manchester"/>
    <s v="Cappuccino"/>
    <s v="Drink"/>
    <n v="5"/>
    <n v="3.8"/>
    <s v="Card"/>
    <s v="C1918"/>
    <n v="19"/>
    <s v="Tuesday"/>
    <s v="December"/>
    <n v="2025"/>
  </r>
  <r>
    <x v="4590"/>
    <d v="2025-12-02T00:00:00"/>
    <s v="Riverside"/>
    <s v="Manchester"/>
    <s v="Cappuccino"/>
    <s v="Drink"/>
    <n v="5"/>
    <n v="3.8"/>
    <s v="Card"/>
    <s v="C1417"/>
    <n v="19"/>
    <s v="Tuesday"/>
    <s v="December"/>
    <n v="2025"/>
  </r>
  <r>
    <x v="4591"/>
    <d v="2025-12-02T00:00:00"/>
    <s v="High Street"/>
    <s v="Leeds"/>
    <s v="Latte"/>
    <s v="Drink"/>
    <n v="5"/>
    <n v="3.5"/>
    <s v="Cash"/>
    <s v="C1084"/>
    <n v="17.5"/>
    <s v="Tuesday"/>
    <s v="December"/>
    <n v="2025"/>
  </r>
  <r>
    <x v="4592"/>
    <d v="2025-12-02T00:00:00"/>
    <s v="High Street"/>
    <s v="Bristol"/>
    <s v="Latte"/>
    <s v="Drink"/>
    <n v="5"/>
    <n v="3.5"/>
    <s v="Card"/>
    <s v="C1823"/>
    <n v="17.5"/>
    <s v="Tuesday"/>
    <s v="December"/>
    <n v="2025"/>
  </r>
  <r>
    <x v="4593"/>
    <d v="2025-12-02T00:00:00"/>
    <s v="High Street"/>
    <s v="Manchester"/>
    <s v="Cappuccino"/>
    <s v="Drink"/>
    <n v="3"/>
    <n v="3.8"/>
    <s v="Apple Pay"/>
    <s v="C1700"/>
    <n v="11.399999999999999"/>
    <s v="Tuesday"/>
    <s v="December"/>
    <n v="2025"/>
  </r>
  <r>
    <x v="4594"/>
    <d v="2025-12-02T00:00:00"/>
    <s v="High Street"/>
    <s v="Leeds"/>
    <s v="Croissant"/>
    <s v="Food"/>
    <n v="4"/>
    <n v="2.8"/>
    <s v="Apple Pay"/>
    <s v="C1338"/>
    <n v="11.2"/>
    <s v="Tuesday"/>
    <s v="December"/>
    <n v="2025"/>
  </r>
  <r>
    <x v="4595"/>
    <d v="2025-12-02T00:00:00"/>
    <s v="Central"/>
    <s v="Manchester"/>
    <s v="Croissant"/>
    <s v="Food"/>
    <n v="4"/>
    <n v="2.8"/>
    <s v="Card"/>
    <s v="C1664"/>
    <n v="11.2"/>
    <s v="Tuesday"/>
    <s v="December"/>
    <n v="2025"/>
  </r>
  <r>
    <x v="4596"/>
    <d v="2025-12-02T00:00:00"/>
    <s v="High Street"/>
    <s v="Birmingham"/>
    <s v="Latte"/>
    <s v="Drink"/>
    <n v="3"/>
    <n v="3.5"/>
    <s v="Card"/>
    <s v="C1149"/>
    <n v="10.5"/>
    <s v="Tuesday"/>
    <s v="December"/>
    <n v="2025"/>
  </r>
  <r>
    <x v="4597"/>
    <d v="2025-12-02T00:00:00"/>
    <s v="High Street"/>
    <s v="London"/>
    <s v="Espresso"/>
    <s v="Drink"/>
    <n v="4"/>
    <n v="2.5"/>
    <s v="Cash"/>
    <s v="C1838"/>
    <n v="10"/>
    <s v="Tuesday"/>
    <s v="December"/>
    <n v="2025"/>
  </r>
  <r>
    <x v="4598"/>
    <d v="2025-12-02T00:00:00"/>
    <s v="Riverside"/>
    <s v="Manchester"/>
    <s v="Espresso"/>
    <s v="Drink"/>
    <n v="4"/>
    <n v="2.5"/>
    <s v="Cash"/>
    <s v="C1700"/>
    <n v="10"/>
    <s v="Tuesday"/>
    <s v="December"/>
    <n v="2025"/>
  </r>
  <r>
    <x v="4599"/>
    <d v="2025-12-02T00:00:00"/>
    <s v="Riverside"/>
    <s v="London"/>
    <s v="Muffin"/>
    <s v="Food"/>
    <n v="4"/>
    <n v="2.2000000000000002"/>
    <s v="Card"/>
    <s v="C1705"/>
    <n v="8.8000000000000007"/>
    <s v="Tuesday"/>
    <s v="December"/>
    <n v="2025"/>
  </r>
  <r>
    <x v="4600"/>
    <d v="2025-12-02T00:00:00"/>
    <s v="Central"/>
    <s v="Birmingham"/>
    <s v="Muffin"/>
    <s v="Food"/>
    <n v="4"/>
    <n v="2.2000000000000002"/>
    <s v="Card"/>
    <s v="C1753"/>
    <n v="8.8000000000000007"/>
    <s v="Tuesday"/>
    <s v="December"/>
    <n v="2025"/>
  </r>
  <r>
    <x v="4601"/>
    <d v="2025-12-02T00:00:00"/>
    <s v="Riverside"/>
    <s v="Bristol"/>
    <s v="Croissant"/>
    <s v="Food"/>
    <n v="3"/>
    <n v="2.8"/>
    <s v="Cash"/>
    <s v="C1603"/>
    <n v="8.3999999999999986"/>
    <s v="Tuesday"/>
    <s v="December"/>
    <n v="2025"/>
  </r>
  <r>
    <x v="4602"/>
    <d v="2025-12-02T00:00:00"/>
    <s v="Riverside"/>
    <s v="Bristol"/>
    <s v="Cappuccino"/>
    <s v="Drink"/>
    <n v="2"/>
    <n v="3.8"/>
    <s v="Apple Pay"/>
    <s v="C1500"/>
    <n v="7.6"/>
    <s v="Tuesday"/>
    <s v="December"/>
    <n v="2025"/>
  </r>
  <r>
    <x v="4603"/>
    <d v="2025-12-02T00:00:00"/>
    <s v="Riverside"/>
    <s v="Birmingham"/>
    <s v="Latte"/>
    <s v="Drink"/>
    <n v="2"/>
    <n v="3.5"/>
    <s v="Cash"/>
    <s v="C1834"/>
    <n v="7"/>
    <s v="Tuesday"/>
    <s v="December"/>
    <n v="2025"/>
  </r>
  <r>
    <x v="4604"/>
    <d v="2025-12-02T00:00:00"/>
    <s v="Station"/>
    <s v="Bristol"/>
    <s v="Latte"/>
    <s v="Drink"/>
    <n v="1"/>
    <n v="3.5"/>
    <s v="Apple Pay"/>
    <s v="C1622"/>
    <n v="3.5"/>
    <s v="Tuesday"/>
    <s v="December"/>
    <n v="2025"/>
  </r>
  <r>
    <x v="4605"/>
    <d v="2025-12-02T00:00:00"/>
    <s v="Riverside"/>
    <s v="Manchester"/>
    <s v="Latte"/>
    <s v="Drink"/>
    <n v="1"/>
    <n v="3.5"/>
    <s v="Cash"/>
    <s v="C1339"/>
    <n v="3.5"/>
    <s v="Tuesday"/>
    <s v="December"/>
    <n v="2025"/>
  </r>
  <r>
    <x v="4606"/>
    <d v="2025-12-03T00:00:00"/>
    <s v="Central"/>
    <s v="London"/>
    <s v="Cappuccino"/>
    <s v="Drink"/>
    <n v="5"/>
    <n v="3.8"/>
    <s v="Apple Pay"/>
    <s v="C1937"/>
    <n v="19"/>
    <s v="Wednesday"/>
    <s v="December"/>
    <n v="2025"/>
  </r>
  <r>
    <x v="4607"/>
    <d v="2025-12-03T00:00:00"/>
    <s v="High Street"/>
    <s v="Bristol"/>
    <s v="Latte"/>
    <s v="Drink"/>
    <n v="4"/>
    <n v="3.5"/>
    <s v="Card"/>
    <s v="C1487"/>
    <n v="14"/>
    <s v="Wednesday"/>
    <s v="December"/>
    <n v="2025"/>
  </r>
  <r>
    <x v="4608"/>
    <d v="2025-12-03T00:00:00"/>
    <s v="Riverside"/>
    <s v="Leeds"/>
    <s v="Latte"/>
    <s v="Drink"/>
    <n v="4"/>
    <n v="3.5"/>
    <s v="Cash"/>
    <s v="C1112"/>
    <n v="14"/>
    <s v="Wednesday"/>
    <s v="December"/>
    <n v="2025"/>
  </r>
  <r>
    <x v="4609"/>
    <d v="2025-12-03T00:00:00"/>
    <s v="Central"/>
    <s v="Bristol"/>
    <s v="Cappuccino"/>
    <s v="Drink"/>
    <n v="3"/>
    <n v="3.8"/>
    <s v="Cash"/>
    <s v="C1602"/>
    <n v="11.399999999999999"/>
    <s v="Wednesday"/>
    <s v="December"/>
    <n v="2025"/>
  </r>
  <r>
    <x v="4610"/>
    <d v="2025-12-03T00:00:00"/>
    <s v="Riverside"/>
    <s v="Leeds"/>
    <s v="Cappuccino"/>
    <s v="Drink"/>
    <n v="3"/>
    <n v="3.8"/>
    <s v="Apple Pay"/>
    <s v="C1849"/>
    <n v="11.399999999999999"/>
    <s v="Wednesday"/>
    <s v="December"/>
    <n v="2025"/>
  </r>
  <r>
    <x v="4611"/>
    <d v="2025-12-03T00:00:00"/>
    <s v="Station"/>
    <s v="Birmingham"/>
    <s v="Espresso"/>
    <s v="Drink"/>
    <n v="4"/>
    <n v="2.5"/>
    <s v="Cash"/>
    <s v="C1690"/>
    <n v="10"/>
    <s v="Wednesday"/>
    <s v="December"/>
    <n v="2025"/>
  </r>
  <r>
    <x v="4612"/>
    <d v="2025-12-03T00:00:00"/>
    <s v="Station"/>
    <s v="Manchester"/>
    <s v="Muffin"/>
    <s v="Food"/>
    <n v="4"/>
    <n v="2.2000000000000002"/>
    <s v="Cash"/>
    <s v="C1567"/>
    <n v="8.8000000000000007"/>
    <s v="Wednesday"/>
    <s v="December"/>
    <n v="2025"/>
  </r>
  <r>
    <x v="4613"/>
    <d v="2025-12-03T00:00:00"/>
    <s v="High Street"/>
    <s v="Manchester"/>
    <s v="Croissant"/>
    <s v="Food"/>
    <n v="3"/>
    <n v="2.8"/>
    <s v="Cash"/>
    <s v="C1444"/>
    <n v="8.3999999999999986"/>
    <s v="Wednesday"/>
    <s v="December"/>
    <n v="2025"/>
  </r>
  <r>
    <x v="4614"/>
    <d v="2025-12-03T00:00:00"/>
    <s v="Central"/>
    <s v="Manchester"/>
    <s v="Espresso"/>
    <s v="Drink"/>
    <n v="3"/>
    <n v="2.5"/>
    <s v="Card"/>
    <s v="C1825"/>
    <n v="7.5"/>
    <s v="Wednesday"/>
    <s v="December"/>
    <n v="2025"/>
  </r>
  <r>
    <x v="4615"/>
    <d v="2025-12-03T00:00:00"/>
    <s v="Station"/>
    <s v="Leeds"/>
    <s v="Latte"/>
    <s v="Drink"/>
    <n v="2"/>
    <n v="3.5"/>
    <s v="Apple Pay"/>
    <s v="C1705"/>
    <n v="7"/>
    <s v="Wednesday"/>
    <s v="December"/>
    <n v="2025"/>
  </r>
  <r>
    <x v="4616"/>
    <d v="2025-12-03T00:00:00"/>
    <s v="Central"/>
    <s v="Manchester"/>
    <s v="Muffin"/>
    <s v="Food"/>
    <n v="3"/>
    <n v="2.2000000000000002"/>
    <s v="Cash"/>
    <s v="C1726"/>
    <n v="6.6000000000000005"/>
    <s v="Wednesday"/>
    <s v="December"/>
    <n v="2025"/>
  </r>
  <r>
    <x v="4617"/>
    <d v="2025-12-03T00:00:00"/>
    <s v="High Street"/>
    <s v="London"/>
    <s v="Muffin"/>
    <s v="Food"/>
    <n v="3"/>
    <n v="2.2000000000000002"/>
    <s v="Cash"/>
    <s v="C1338"/>
    <n v="6.6000000000000005"/>
    <s v="Wednesday"/>
    <s v="December"/>
    <n v="2025"/>
  </r>
  <r>
    <x v="4618"/>
    <d v="2025-12-03T00:00:00"/>
    <s v="Station"/>
    <s v="Leeds"/>
    <s v="Croissant"/>
    <s v="Food"/>
    <n v="2"/>
    <n v="2.8"/>
    <s v="Card"/>
    <s v="C1297"/>
    <n v="5.6"/>
    <s v="Wednesday"/>
    <s v="December"/>
    <n v="2025"/>
  </r>
  <r>
    <x v="4619"/>
    <d v="2025-12-03T00:00:00"/>
    <s v="High Street"/>
    <s v="Birmingham"/>
    <s v="Muffin"/>
    <s v="Food"/>
    <n v="2"/>
    <n v="2.2000000000000002"/>
    <s v="Card"/>
    <s v="C1696"/>
    <n v="4.4000000000000004"/>
    <s v="Wednesday"/>
    <s v="December"/>
    <n v="2025"/>
  </r>
  <r>
    <x v="4620"/>
    <d v="2025-12-03T00:00:00"/>
    <s v="Riverside"/>
    <s v="London"/>
    <s v="Cappuccino"/>
    <s v="Drink"/>
    <n v="1"/>
    <n v="3.8"/>
    <s v="Card"/>
    <s v="C1115"/>
    <n v="3.8"/>
    <s v="Wednesday"/>
    <s v="December"/>
    <n v="2025"/>
  </r>
  <r>
    <x v="4621"/>
    <d v="2025-12-03T00:00:00"/>
    <s v="Riverside"/>
    <s v="Leeds"/>
    <s v="Latte"/>
    <s v="Drink"/>
    <n v="1"/>
    <n v="3.5"/>
    <s v="Apple Pay"/>
    <s v="C1546"/>
    <n v="3.5"/>
    <s v="Wednesday"/>
    <s v="December"/>
    <n v="2025"/>
  </r>
  <r>
    <x v="4622"/>
    <d v="2025-12-03T00:00:00"/>
    <s v="Riverside"/>
    <s v="Leeds"/>
    <s v="Croissant"/>
    <s v="Food"/>
    <n v="1"/>
    <n v="2.8"/>
    <s v="Apple Pay"/>
    <s v="C1234"/>
    <n v="2.8"/>
    <s v="Wednesday"/>
    <s v="December"/>
    <n v="2025"/>
  </r>
  <r>
    <x v="4623"/>
    <d v="2025-12-03T00:00:00"/>
    <s v="Station"/>
    <s v="London"/>
    <s v="Espresso"/>
    <s v="Drink"/>
    <n v="1"/>
    <n v="2.5"/>
    <s v="Apple Pay"/>
    <s v="C1734"/>
    <n v="2.5"/>
    <s v="Wednesday"/>
    <s v="December"/>
    <n v="2025"/>
  </r>
  <r>
    <x v="4624"/>
    <d v="2025-12-04T00:00:00"/>
    <s v="Station"/>
    <s v="Birmingham"/>
    <s v="Cappuccino"/>
    <s v="Drink"/>
    <n v="5"/>
    <n v="3.8"/>
    <s v="Cash"/>
    <s v="C1140"/>
    <n v="19"/>
    <s v="Thursday"/>
    <s v="December"/>
    <n v="2025"/>
  </r>
  <r>
    <x v="4625"/>
    <d v="2025-12-04T00:00:00"/>
    <s v="Riverside"/>
    <s v="Manchester"/>
    <s v="Cappuccino"/>
    <s v="Drink"/>
    <n v="4"/>
    <n v="3.8"/>
    <s v="Apple Pay"/>
    <s v="C1193"/>
    <n v="15.2"/>
    <s v="Thursday"/>
    <s v="December"/>
    <n v="2025"/>
  </r>
  <r>
    <x v="4626"/>
    <d v="2025-12-04T00:00:00"/>
    <s v="Riverside"/>
    <s v="Leeds"/>
    <s v="Muffin"/>
    <s v="Food"/>
    <n v="5"/>
    <n v="2.2000000000000002"/>
    <s v="Apple Pay"/>
    <s v="C1054"/>
    <n v="11"/>
    <s v="Thursday"/>
    <s v="December"/>
    <n v="2025"/>
  </r>
  <r>
    <x v="4627"/>
    <d v="2025-12-04T00:00:00"/>
    <s v="High Street"/>
    <s v="London"/>
    <s v="Muffin"/>
    <s v="Food"/>
    <n v="4"/>
    <n v="2.2000000000000002"/>
    <s v="Apple Pay"/>
    <s v="C1168"/>
    <n v="8.8000000000000007"/>
    <s v="Thursday"/>
    <s v="December"/>
    <n v="2025"/>
  </r>
  <r>
    <x v="4628"/>
    <d v="2025-12-04T00:00:00"/>
    <s v="Station"/>
    <s v="Manchester"/>
    <s v="Espresso"/>
    <s v="Drink"/>
    <n v="3"/>
    <n v="2.5"/>
    <s v="Card"/>
    <s v="C1674"/>
    <n v="7.5"/>
    <s v="Thursday"/>
    <s v="December"/>
    <n v="2025"/>
  </r>
  <r>
    <x v="4629"/>
    <d v="2025-12-04T00:00:00"/>
    <s v="High Street"/>
    <s v="Bristol"/>
    <s v="Espresso"/>
    <s v="Drink"/>
    <n v="3"/>
    <n v="2.5"/>
    <s v="Cash"/>
    <s v="C1110"/>
    <n v="7.5"/>
    <s v="Thursday"/>
    <s v="December"/>
    <n v="2025"/>
  </r>
  <r>
    <x v="4630"/>
    <d v="2025-12-04T00:00:00"/>
    <s v="Station"/>
    <s v="Leeds"/>
    <s v="Latte"/>
    <s v="Drink"/>
    <n v="2"/>
    <n v="3.5"/>
    <s v="Apple Pay"/>
    <s v="C1476"/>
    <n v="7"/>
    <s v="Thursday"/>
    <s v="December"/>
    <n v="2025"/>
  </r>
  <r>
    <x v="4631"/>
    <d v="2025-12-04T00:00:00"/>
    <s v="Riverside"/>
    <s v="Manchester"/>
    <s v="Muffin"/>
    <s v="Food"/>
    <n v="3"/>
    <n v="2.2000000000000002"/>
    <s v="Cash"/>
    <s v="C1812"/>
    <n v="6.6000000000000005"/>
    <s v="Thursday"/>
    <s v="December"/>
    <n v="2025"/>
  </r>
  <r>
    <x v="4632"/>
    <d v="2025-12-04T00:00:00"/>
    <s v="Station"/>
    <s v="Birmingham"/>
    <s v="Latte"/>
    <s v="Drink"/>
    <n v="1"/>
    <n v="3.5"/>
    <s v="Apple Pay"/>
    <s v="C1214"/>
    <n v="3.5"/>
    <s v="Thursday"/>
    <s v="December"/>
    <n v="2025"/>
  </r>
  <r>
    <x v="4633"/>
    <d v="2025-12-04T00:00:00"/>
    <s v="Riverside"/>
    <s v="Leeds"/>
    <s v="Latte"/>
    <s v="Drink"/>
    <n v="1"/>
    <n v="3.5"/>
    <s v="Card"/>
    <s v="C1302"/>
    <n v="3.5"/>
    <s v="Thursday"/>
    <s v="December"/>
    <n v="2025"/>
  </r>
  <r>
    <x v="4634"/>
    <d v="2025-12-04T00:00:00"/>
    <s v="High Street"/>
    <s v="Birmingham"/>
    <s v="Latte"/>
    <s v="Drink"/>
    <n v="1"/>
    <n v="3.5"/>
    <s v="Cash"/>
    <s v="C1995"/>
    <n v="3.5"/>
    <s v="Thursday"/>
    <s v="December"/>
    <n v="2025"/>
  </r>
  <r>
    <x v="4635"/>
    <d v="2025-12-04T00:00:00"/>
    <s v="Riverside"/>
    <s v="Leeds"/>
    <s v="Espresso"/>
    <s v="Drink"/>
    <n v="1"/>
    <n v="2.5"/>
    <s v="Card"/>
    <s v="C1144"/>
    <n v="2.5"/>
    <s v="Thursday"/>
    <s v="December"/>
    <n v="2025"/>
  </r>
  <r>
    <x v="4636"/>
    <d v="2025-12-04T00:00:00"/>
    <s v="Station"/>
    <s v="Manchester"/>
    <s v="Espresso"/>
    <s v="Drink"/>
    <n v="1"/>
    <n v="2.5"/>
    <s v="Cash"/>
    <s v="C1738"/>
    <n v="2.5"/>
    <s v="Thursday"/>
    <s v="December"/>
    <n v="2025"/>
  </r>
  <r>
    <x v="4637"/>
    <d v="2025-12-05T00:00:00"/>
    <s v="Riverside"/>
    <s v="London"/>
    <s v="Cappuccino"/>
    <s v="Drink"/>
    <n v="5"/>
    <n v="3.8"/>
    <s v="Apple Pay"/>
    <s v="C1150"/>
    <n v="19"/>
    <s v="Friday"/>
    <s v="December"/>
    <n v="2025"/>
  </r>
  <r>
    <x v="4638"/>
    <d v="2025-12-05T00:00:00"/>
    <s v="Central"/>
    <s v="Manchester"/>
    <s v="Latte"/>
    <s v="Drink"/>
    <n v="5"/>
    <n v="3.8"/>
    <s v="Cash"/>
    <s v="C1369"/>
    <n v="19"/>
    <s v="Friday"/>
    <s v="December"/>
    <n v="2025"/>
  </r>
  <r>
    <x v="4639"/>
    <d v="2025-12-05T00:00:00"/>
    <s v="High Street"/>
    <s v="London"/>
    <s v="Cappuccino"/>
    <s v="Drink"/>
    <n v="5"/>
    <n v="3.8"/>
    <s v="Cash"/>
    <s v="C1757"/>
    <n v="19"/>
    <s v="Friday"/>
    <s v="December"/>
    <n v="2025"/>
  </r>
  <r>
    <x v="4640"/>
    <d v="2025-12-05T00:00:00"/>
    <s v="Central"/>
    <s v="Leeds"/>
    <s v="Latte"/>
    <s v="Drink"/>
    <n v="5"/>
    <n v="3.5"/>
    <s v="Apple Pay"/>
    <s v="C1460"/>
    <n v="17.5"/>
    <s v="Friday"/>
    <s v="December"/>
    <n v="2025"/>
  </r>
  <r>
    <x v="4641"/>
    <d v="2025-12-05T00:00:00"/>
    <s v="Riverside"/>
    <s v="London"/>
    <s v="Espresso"/>
    <s v="Drink"/>
    <n v="4"/>
    <n v="2.5"/>
    <s v="Apple Pay"/>
    <s v="C1299"/>
    <n v="10"/>
    <s v="Friday"/>
    <s v="December"/>
    <n v="2025"/>
  </r>
  <r>
    <x v="4642"/>
    <d v="2025-12-05T00:00:00"/>
    <s v="High Street"/>
    <s v="Bristol"/>
    <s v="Muffin"/>
    <s v="Food"/>
    <n v="4"/>
    <n v="2.2000000000000002"/>
    <s v="Cash"/>
    <s v="C1353"/>
    <n v="8.8000000000000007"/>
    <s v="Friday"/>
    <s v="December"/>
    <n v="2025"/>
  </r>
  <r>
    <x v="4643"/>
    <d v="2025-12-05T00:00:00"/>
    <s v="Station"/>
    <s v="Leeds"/>
    <s v="Croissant"/>
    <s v="Food"/>
    <n v="3"/>
    <n v="2.8"/>
    <s v="Apple Pay"/>
    <s v="C1714"/>
    <n v="8.3999999999999986"/>
    <s v="Friday"/>
    <s v="December"/>
    <n v="2025"/>
  </r>
  <r>
    <x v="4644"/>
    <d v="2025-12-05T00:00:00"/>
    <s v="Riverside"/>
    <s v="London"/>
    <s v="Latte"/>
    <s v="Drink"/>
    <n v="2"/>
    <n v="3.5"/>
    <s v="Cash"/>
    <s v="C1723"/>
    <n v="7"/>
    <s v="Friday"/>
    <s v="December"/>
    <n v="2025"/>
  </r>
  <r>
    <x v="4645"/>
    <d v="2025-12-05T00:00:00"/>
    <s v="Central"/>
    <s v="London"/>
    <s v="Latte"/>
    <s v="Drink"/>
    <n v="2"/>
    <n v="3.5"/>
    <s v="Card"/>
    <s v="C1763"/>
    <n v="7"/>
    <s v="Friday"/>
    <s v="December"/>
    <n v="2025"/>
  </r>
  <r>
    <x v="4646"/>
    <d v="2025-12-05T00:00:00"/>
    <s v="Station"/>
    <s v="Bristol"/>
    <s v="Muffin"/>
    <s v="Food"/>
    <n v="2"/>
    <n v="2.2000000000000002"/>
    <s v="Apple Pay"/>
    <s v="C1108"/>
    <n v="4.4000000000000004"/>
    <s v="Friday"/>
    <s v="December"/>
    <n v="2025"/>
  </r>
  <r>
    <x v="4647"/>
    <d v="2025-12-06T00:00:00"/>
    <s v="Central"/>
    <s v="Leeds"/>
    <s v="Cappuccino"/>
    <s v="Drink"/>
    <n v="5"/>
    <n v="3.8"/>
    <s v="Apple Pay"/>
    <s v="C1259"/>
    <n v="19"/>
    <s v="Saturday"/>
    <s v="December"/>
    <n v="2025"/>
  </r>
  <r>
    <x v="4648"/>
    <d v="2025-12-06T00:00:00"/>
    <s v="Central"/>
    <s v="Bristol"/>
    <s v="Latte"/>
    <s v="Drink"/>
    <n v="5"/>
    <n v="3.5"/>
    <s v="Cash"/>
    <s v="C1571"/>
    <n v="17.5"/>
    <s v="Saturday"/>
    <s v="December"/>
    <n v="2025"/>
  </r>
  <r>
    <x v="4649"/>
    <d v="2025-12-06T00:00:00"/>
    <s v="Station"/>
    <s v="Birmingham"/>
    <s v="Cappuccino"/>
    <s v="Drink"/>
    <n v="4"/>
    <n v="3.8"/>
    <s v="Cash"/>
    <s v="C1690"/>
    <n v="15.2"/>
    <s v="Saturday"/>
    <s v="December"/>
    <n v="2025"/>
  </r>
  <r>
    <x v="4650"/>
    <d v="2025-12-06T00:00:00"/>
    <s v="Central"/>
    <s v="London"/>
    <s v="Latte"/>
    <s v="Drink"/>
    <n v="4"/>
    <n v="3.5"/>
    <s v="Card"/>
    <s v="C1929"/>
    <n v="14"/>
    <s v="Saturday"/>
    <s v="December"/>
    <n v="2025"/>
  </r>
  <r>
    <x v="4651"/>
    <d v="2025-12-06T00:00:00"/>
    <s v="High Street"/>
    <s v="Manchester"/>
    <s v="Latte"/>
    <s v="Drink"/>
    <n v="4"/>
    <n v="3.5"/>
    <s v="Card"/>
    <s v="C1858"/>
    <n v="14"/>
    <s v="Saturday"/>
    <s v="December"/>
    <n v="2025"/>
  </r>
  <r>
    <x v="4652"/>
    <d v="2025-12-06T00:00:00"/>
    <s v="Station"/>
    <s v="Birmingham"/>
    <s v="Croissant"/>
    <s v="Food"/>
    <n v="5"/>
    <n v="2.8"/>
    <s v="Card"/>
    <s v="C1256"/>
    <n v="14"/>
    <s v="Saturday"/>
    <s v="December"/>
    <n v="2025"/>
  </r>
  <r>
    <x v="4653"/>
    <d v="2025-12-06T00:00:00"/>
    <s v="Station"/>
    <s v="London"/>
    <s v="Cappuccino"/>
    <s v="Drink"/>
    <n v="3"/>
    <n v="3.8"/>
    <s v="Card"/>
    <s v="C1550"/>
    <n v="11.399999999999999"/>
    <s v="Saturday"/>
    <s v="December"/>
    <n v="2025"/>
  </r>
  <r>
    <x v="4654"/>
    <d v="2025-12-06T00:00:00"/>
    <s v="High Street"/>
    <s v="Leeds"/>
    <s v="Croissant"/>
    <s v="Food"/>
    <n v="4"/>
    <n v="2.8"/>
    <s v="Apple Pay"/>
    <s v="C1437"/>
    <n v="11.2"/>
    <s v="Saturday"/>
    <s v="December"/>
    <n v="2025"/>
  </r>
  <r>
    <x v="4655"/>
    <d v="2025-12-06T00:00:00"/>
    <s v="Riverside"/>
    <s v="Bristol"/>
    <s v="Muffin"/>
    <s v="Food"/>
    <n v="4"/>
    <n v="2.2000000000000002"/>
    <s v="Card"/>
    <s v="C1162"/>
    <n v="8.8000000000000007"/>
    <s v="Saturday"/>
    <s v="December"/>
    <n v="2025"/>
  </r>
  <r>
    <x v="4656"/>
    <d v="2025-12-06T00:00:00"/>
    <s v="Central"/>
    <s v="Birmingham"/>
    <s v="Cappuccino"/>
    <s v="Drink"/>
    <n v="2"/>
    <n v="3.8"/>
    <s v="Card"/>
    <s v="C1227"/>
    <n v="7.6"/>
    <s v="Saturday"/>
    <s v="December"/>
    <n v="2025"/>
  </r>
  <r>
    <x v="4657"/>
    <d v="2025-12-06T00:00:00"/>
    <s v="Central"/>
    <s v="Manchester"/>
    <s v="Espresso"/>
    <s v="Drink"/>
    <n v="3"/>
    <n v="2.5"/>
    <s v="Apple Pay"/>
    <s v="C1821"/>
    <n v="7.5"/>
    <s v="Saturday"/>
    <s v="December"/>
    <n v="2025"/>
  </r>
  <r>
    <x v="4658"/>
    <d v="2025-12-06T00:00:00"/>
    <s v="Riverside"/>
    <s v="Bristol"/>
    <s v="Latte"/>
    <s v="Drink"/>
    <n v="2"/>
    <n v="3.5"/>
    <s v="Card"/>
    <s v="C1249"/>
    <n v="7"/>
    <s v="Saturday"/>
    <s v="December"/>
    <n v="2025"/>
  </r>
  <r>
    <x v="4659"/>
    <d v="2025-12-06T00:00:00"/>
    <s v="Central"/>
    <s v="Bristol"/>
    <s v="Latte"/>
    <s v="Drink"/>
    <n v="2"/>
    <n v="3.5"/>
    <s v="Apple Pay"/>
    <s v="C1332"/>
    <n v="7"/>
    <s v="Saturday"/>
    <s v="December"/>
    <n v="2025"/>
  </r>
  <r>
    <x v="4660"/>
    <d v="2025-12-06T00:00:00"/>
    <s v="Station"/>
    <s v="Birmingham"/>
    <s v="Latte"/>
    <s v="Drink"/>
    <n v="1"/>
    <n v="3.5"/>
    <s v="Card"/>
    <s v="C1209"/>
    <n v="3.5"/>
    <s v="Saturday"/>
    <s v="December"/>
    <n v="2025"/>
  </r>
  <r>
    <x v="4661"/>
    <d v="2025-12-06T00:00:00"/>
    <s v="Riverside"/>
    <s v="Bristol"/>
    <s v="Latte"/>
    <s v="Drink"/>
    <n v="1"/>
    <n v="3.5"/>
    <s v="Card"/>
    <s v="C1542"/>
    <n v="3.5"/>
    <s v="Saturday"/>
    <s v="December"/>
    <n v="2025"/>
  </r>
  <r>
    <x v="4662"/>
    <d v="2025-12-06T00:00:00"/>
    <s v="Station"/>
    <s v="Manchester"/>
    <s v="Croissant"/>
    <s v="Food"/>
    <n v="1"/>
    <n v="2.8"/>
    <s v="Card"/>
    <s v="C1260"/>
    <n v="2.8"/>
    <s v="Saturday"/>
    <s v="December"/>
    <n v="2025"/>
  </r>
  <r>
    <x v="4663"/>
    <d v="2025-12-06T00:00:00"/>
    <s v="Station"/>
    <s v="Bristol"/>
    <s v="Muffin"/>
    <s v="Food"/>
    <n v="1"/>
    <n v="2.2000000000000002"/>
    <s v="Card"/>
    <s v="C1103"/>
    <n v="2.2000000000000002"/>
    <s v="Saturday"/>
    <s v="December"/>
    <n v="2025"/>
  </r>
  <r>
    <x v="4664"/>
    <d v="2025-12-07T00:00:00"/>
    <s v="High Street"/>
    <s v="Leeds"/>
    <s v="Latte"/>
    <s v="Drink"/>
    <n v="5"/>
    <n v="3.5"/>
    <s v="Card"/>
    <s v="C1851"/>
    <n v="17.5"/>
    <s v="Sunday"/>
    <s v="December"/>
    <n v="2025"/>
  </r>
  <r>
    <x v="4665"/>
    <d v="2025-12-07T00:00:00"/>
    <s v="Riverside"/>
    <s v="Bristol"/>
    <s v="Latte"/>
    <s v="Drink"/>
    <n v="5"/>
    <n v="3.5"/>
    <s v="Card"/>
    <s v="C1999"/>
    <n v="17.5"/>
    <s v="Sunday"/>
    <s v="December"/>
    <n v="2025"/>
  </r>
  <r>
    <x v="4666"/>
    <d v="2025-12-07T00:00:00"/>
    <s v="Station"/>
    <s v="London"/>
    <s v="Latte"/>
    <s v="Drink"/>
    <n v="5"/>
    <n v="3.5"/>
    <s v="Card"/>
    <s v="C1944"/>
    <n v="17.5"/>
    <s v="Sunday"/>
    <s v="December"/>
    <n v="2025"/>
  </r>
  <r>
    <x v="4667"/>
    <d v="2025-12-07T00:00:00"/>
    <s v="High Street"/>
    <s v="Manchester"/>
    <s v="Croissant"/>
    <s v="Food"/>
    <n v="5"/>
    <n v="2.8"/>
    <s v="Cash"/>
    <s v="C1799"/>
    <n v="14"/>
    <s v="Sunday"/>
    <s v="December"/>
    <n v="2025"/>
  </r>
  <r>
    <x v="4668"/>
    <d v="2025-12-07T00:00:00"/>
    <s v="Central"/>
    <s v="Bristol"/>
    <s v="Croissant"/>
    <s v="Food"/>
    <n v="4"/>
    <n v="2.8"/>
    <s v="Cash"/>
    <s v="C1945"/>
    <n v="11.2"/>
    <s v="Sunday"/>
    <s v="December"/>
    <n v="2025"/>
  </r>
  <r>
    <x v="4669"/>
    <d v="2025-12-07T00:00:00"/>
    <s v="High Street"/>
    <s v="Birmingham"/>
    <s v="Espresso"/>
    <s v="Drink"/>
    <n v="4"/>
    <n v="2.5"/>
    <s v="Card"/>
    <s v="C1900"/>
    <n v="10"/>
    <s v="Sunday"/>
    <s v="December"/>
    <n v="2025"/>
  </r>
  <r>
    <x v="4670"/>
    <d v="2025-12-07T00:00:00"/>
    <s v="Station"/>
    <s v="Manchester"/>
    <s v="Muffin"/>
    <s v="Food"/>
    <n v="4"/>
    <n v="2.2000000000000002"/>
    <s v="Card"/>
    <s v="C1543"/>
    <n v="8.8000000000000007"/>
    <s v="Sunday"/>
    <s v="December"/>
    <n v="2025"/>
  </r>
  <r>
    <x v="4671"/>
    <d v="2025-12-07T00:00:00"/>
    <s v="Central"/>
    <s v="London"/>
    <s v="Croissant"/>
    <s v="Food"/>
    <n v="3"/>
    <n v="2.8"/>
    <s v="Apple Pay"/>
    <s v="C1389"/>
    <n v="8.3999999999999986"/>
    <s v="Sunday"/>
    <s v="December"/>
    <n v="2025"/>
  </r>
  <r>
    <x v="4672"/>
    <d v="2025-12-07T00:00:00"/>
    <s v="Station"/>
    <s v="London"/>
    <s v="Espresso"/>
    <s v="Drink"/>
    <n v="3"/>
    <n v="2.5"/>
    <s v="Card"/>
    <s v="C1922"/>
    <n v="7.5"/>
    <s v="Sunday"/>
    <s v="December"/>
    <n v="2025"/>
  </r>
  <r>
    <x v="4673"/>
    <d v="2025-12-07T00:00:00"/>
    <s v="Riverside"/>
    <s v="Bristol"/>
    <s v="Latte"/>
    <s v="Drink"/>
    <n v="2"/>
    <n v="3.5"/>
    <s v="Cash"/>
    <s v="C1469"/>
    <n v="7"/>
    <s v="Sunday"/>
    <s v="December"/>
    <n v="2025"/>
  </r>
  <r>
    <x v="4674"/>
    <d v="2025-12-07T00:00:00"/>
    <s v="Central"/>
    <s v="Birmingham"/>
    <s v="Muffin"/>
    <s v="Food"/>
    <n v="2"/>
    <n v="2.2000000000000002"/>
    <s v="Apple Pay"/>
    <s v="C1185"/>
    <n v="4.4000000000000004"/>
    <s v="Sunday"/>
    <s v="December"/>
    <n v="2025"/>
  </r>
  <r>
    <x v="4675"/>
    <d v="2025-12-07T00:00:00"/>
    <s v="High Street"/>
    <s v="Manchester"/>
    <s v="Muffin"/>
    <s v="Food"/>
    <n v="2"/>
    <n v="2.2000000000000002"/>
    <s v="Card"/>
    <s v="C1363"/>
    <n v="4.4000000000000004"/>
    <s v="Sunday"/>
    <s v="December"/>
    <n v="2025"/>
  </r>
  <r>
    <x v="4676"/>
    <d v="2025-12-07T00:00:00"/>
    <s v="Riverside"/>
    <s v="London"/>
    <s v="Espresso"/>
    <s v="Drink"/>
    <n v="1"/>
    <n v="2.5"/>
    <s v="Cash"/>
    <s v="C1870"/>
    <n v="2.5"/>
    <s v="Sunday"/>
    <s v="December"/>
    <n v="2025"/>
  </r>
  <r>
    <x v="4677"/>
    <d v="2025-12-07T00:00:00"/>
    <s v="Central"/>
    <s v="Manchester"/>
    <s v="Espresso"/>
    <s v="Drink"/>
    <n v="1"/>
    <n v="2.5"/>
    <s v="Apple Pay"/>
    <s v="C1140"/>
    <n v="2.5"/>
    <s v="Sunday"/>
    <s v="December"/>
    <n v="2025"/>
  </r>
  <r>
    <x v="4678"/>
    <d v="2025-12-08T00:00:00"/>
    <s v="Station"/>
    <s v="Manchester"/>
    <s v="Cappuccino"/>
    <s v="Drink"/>
    <n v="5"/>
    <n v="3.8"/>
    <s v="Card"/>
    <s v="C1545"/>
    <n v="19"/>
    <s v="Monday"/>
    <s v="December"/>
    <n v="2025"/>
  </r>
  <r>
    <x v="4679"/>
    <d v="2025-12-08T00:00:00"/>
    <s v="Station"/>
    <s v="Manchester"/>
    <s v="Cappuccino"/>
    <s v="Drink"/>
    <n v="4"/>
    <n v="3.8"/>
    <s v="Card"/>
    <s v="C1393"/>
    <n v="15.2"/>
    <s v="Monday"/>
    <s v="December"/>
    <n v="2025"/>
  </r>
  <r>
    <x v="4680"/>
    <d v="2025-12-08T00:00:00"/>
    <s v="Station"/>
    <s v="Manchester"/>
    <s v="Espresso"/>
    <s v="Drink"/>
    <n v="5"/>
    <n v="2.5"/>
    <s v="Apple Pay"/>
    <s v="C1289"/>
    <n v="12.5"/>
    <s v="Monday"/>
    <s v="December"/>
    <n v="2025"/>
  </r>
  <r>
    <x v="4681"/>
    <d v="2025-12-08T00:00:00"/>
    <s v="Central"/>
    <s v="Bristol"/>
    <s v="Cappuccino"/>
    <s v="Drink"/>
    <n v="3"/>
    <n v="3.8"/>
    <s v="Apple Pay"/>
    <s v="C1485"/>
    <n v="11.399999999999999"/>
    <s v="Monday"/>
    <s v="December"/>
    <n v="2025"/>
  </r>
  <r>
    <x v="4682"/>
    <d v="2025-12-08T00:00:00"/>
    <s v="Central"/>
    <s v="Leeds"/>
    <s v="Espresso"/>
    <s v="Drink"/>
    <n v="4"/>
    <n v="2.5"/>
    <s v="Cash"/>
    <s v="C1550"/>
    <n v="10"/>
    <s v="Monday"/>
    <s v="December"/>
    <n v="2025"/>
  </r>
  <r>
    <x v="4683"/>
    <d v="2025-12-08T00:00:00"/>
    <s v="Riverside"/>
    <s v="Bristol"/>
    <s v="Muffin"/>
    <s v="Food"/>
    <n v="4"/>
    <n v="2.2000000000000002"/>
    <s v="Cash"/>
    <s v="C1873"/>
    <n v="8.8000000000000007"/>
    <s v="Monday"/>
    <s v="December"/>
    <n v="2025"/>
  </r>
  <r>
    <x v="4684"/>
    <d v="2025-12-08T00:00:00"/>
    <s v="Station"/>
    <s v="Bristol"/>
    <s v="Croissant"/>
    <s v="Food"/>
    <n v="3"/>
    <n v="2.8"/>
    <s v="Card"/>
    <s v="C1388"/>
    <n v="8.3999999999999986"/>
    <s v="Monday"/>
    <s v="December"/>
    <n v="2025"/>
  </r>
  <r>
    <x v="4685"/>
    <d v="2025-12-08T00:00:00"/>
    <s v="High Street"/>
    <s v="Leeds"/>
    <s v="Croissant"/>
    <s v="Food"/>
    <n v="2"/>
    <n v="2.8"/>
    <s v="Card"/>
    <s v="C1803"/>
    <n v="5.6"/>
    <s v="Monday"/>
    <s v="December"/>
    <n v="2025"/>
  </r>
  <r>
    <x v="4686"/>
    <d v="2025-12-08T00:00:00"/>
    <s v="High Street"/>
    <s v="Birmingham"/>
    <s v="Espresso"/>
    <s v="Drink"/>
    <n v="2"/>
    <n v="2.5"/>
    <s v="Card"/>
    <s v="C1260"/>
    <n v="5"/>
    <s v="Monday"/>
    <s v="December"/>
    <n v="2025"/>
  </r>
  <r>
    <x v="4687"/>
    <d v="2025-12-08T00:00:00"/>
    <s v="Riverside"/>
    <s v="Birmingham"/>
    <s v="Cappuccino"/>
    <s v="Drink"/>
    <n v="1"/>
    <n v="3.8"/>
    <s v="Card"/>
    <s v="C1754"/>
    <n v="3.8"/>
    <s v="Monday"/>
    <s v="December"/>
    <n v="2025"/>
  </r>
  <r>
    <x v="4688"/>
    <d v="2025-12-08T00:00:00"/>
    <s v="High Street"/>
    <s v="Bristol"/>
    <s v="Latte"/>
    <s v="Drink"/>
    <n v="1"/>
    <n v="3.5"/>
    <s v="Cash"/>
    <s v="C1071"/>
    <n v="3.5"/>
    <s v="Monday"/>
    <s v="December"/>
    <n v="2025"/>
  </r>
  <r>
    <x v="4689"/>
    <d v="2025-12-08T00:00:00"/>
    <s v="Riverside"/>
    <s v="Birmingham"/>
    <s v="Croissant"/>
    <s v="Food"/>
    <n v="1"/>
    <n v="2.8"/>
    <s v="Apple Pay"/>
    <s v="C1436"/>
    <n v="2.8"/>
    <s v="Monday"/>
    <s v="December"/>
    <n v="2025"/>
  </r>
  <r>
    <x v="4690"/>
    <d v="2025-12-08T00:00:00"/>
    <s v="Riverside"/>
    <s v="Leeds"/>
    <s v="Croissant"/>
    <s v="Food"/>
    <n v="1"/>
    <n v="2.8"/>
    <s v="Cash"/>
    <s v="C1246"/>
    <n v="2.8"/>
    <s v="Monday"/>
    <s v="December"/>
    <n v="2025"/>
  </r>
  <r>
    <x v="4691"/>
    <d v="2025-12-08T00:00:00"/>
    <s v="Riverside"/>
    <s v="Manchester"/>
    <s v="Espresso"/>
    <s v="Drink"/>
    <n v="1"/>
    <n v="2.5"/>
    <s v="Apple Pay"/>
    <s v="C1474"/>
    <n v="2.5"/>
    <s v="Monday"/>
    <s v="December"/>
    <n v="2025"/>
  </r>
  <r>
    <x v="4692"/>
    <d v="2025-12-08T00:00:00"/>
    <s v="Riverside"/>
    <s v="Bristol"/>
    <s v="Muffin"/>
    <s v="Food"/>
    <n v="1"/>
    <n v="2.2000000000000002"/>
    <s v="Card"/>
    <s v="C1800"/>
    <n v="2.2000000000000002"/>
    <s v="Monday"/>
    <s v="December"/>
    <n v="2025"/>
  </r>
  <r>
    <x v="4693"/>
    <d v="2025-12-09T00:00:00"/>
    <s v="Riverside"/>
    <s v="Bristol"/>
    <s v="Cappuccino"/>
    <s v="Drink"/>
    <n v="4"/>
    <n v="3.8"/>
    <s v="Card"/>
    <s v="C1231"/>
    <n v="15.2"/>
    <s v="Tuesday"/>
    <s v="December"/>
    <n v="2025"/>
  </r>
  <r>
    <x v="4694"/>
    <d v="2025-12-09T00:00:00"/>
    <s v="Riverside"/>
    <s v="London"/>
    <s v="Cappuccino"/>
    <s v="Drink"/>
    <n v="4"/>
    <n v="3.8"/>
    <s v="Cash"/>
    <s v="C1765"/>
    <n v="15.2"/>
    <s v="Tuesday"/>
    <s v="December"/>
    <n v="2025"/>
  </r>
  <r>
    <x v="4695"/>
    <d v="2025-12-09T00:00:00"/>
    <s v="High Street"/>
    <s v="Leeds"/>
    <s v="Latte"/>
    <s v="Drink"/>
    <n v="4"/>
    <n v="3.5"/>
    <s v="Card"/>
    <s v="C1343"/>
    <n v="14"/>
    <s v="Tuesday"/>
    <s v="December"/>
    <n v="2025"/>
  </r>
  <r>
    <x v="4696"/>
    <d v="2025-12-09T00:00:00"/>
    <s v="Station"/>
    <s v="Bristol"/>
    <s v="Cappuccino"/>
    <s v="Drink"/>
    <n v="3"/>
    <n v="3.8"/>
    <s v="Card"/>
    <s v="C1286"/>
    <n v="11.399999999999999"/>
    <s v="Tuesday"/>
    <s v="December"/>
    <n v="2025"/>
  </r>
  <r>
    <x v="4697"/>
    <d v="2025-12-09T00:00:00"/>
    <s v="Central"/>
    <s v="Birmingham"/>
    <s v="Croissant"/>
    <s v="Food"/>
    <n v="4"/>
    <n v="2.8"/>
    <s v="Card"/>
    <s v="C1836"/>
    <n v="11.2"/>
    <s v="Tuesday"/>
    <s v="December"/>
    <n v="2025"/>
  </r>
  <r>
    <x v="4698"/>
    <d v="2025-12-09T00:00:00"/>
    <s v="Station"/>
    <s v="London"/>
    <s v="Cappuccino"/>
    <s v="Drink"/>
    <n v="2"/>
    <n v="3.8"/>
    <s v="Cash"/>
    <s v="C1409"/>
    <n v="7.6"/>
    <s v="Tuesday"/>
    <s v="December"/>
    <n v="2025"/>
  </r>
  <r>
    <x v="4699"/>
    <d v="2025-12-09T00:00:00"/>
    <s v="Riverside"/>
    <s v="Leeds"/>
    <s v="Muffin"/>
    <s v="Food"/>
    <n v="2"/>
    <n v="2.2000000000000002"/>
    <s v="Apple Pay"/>
    <s v="C1023"/>
    <n v="4.4000000000000004"/>
    <s v="Tuesday"/>
    <s v="December"/>
    <n v="2025"/>
  </r>
  <r>
    <x v="4700"/>
    <d v="2025-12-09T00:00:00"/>
    <s v="Station"/>
    <s v="Manchester"/>
    <s v="Cappuccino"/>
    <s v="Drink"/>
    <n v="1"/>
    <n v="3.8"/>
    <s v="Apple Pay"/>
    <s v="C1463"/>
    <n v="3.8"/>
    <s v="Tuesday"/>
    <s v="December"/>
    <n v="2025"/>
  </r>
  <r>
    <x v="4701"/>
    <d v="2025-12-09T00:00:00"/>
    <s v="High Street"/>
    <s v="London"/>
    <s v="Latte"/>
    <s v="Drink"/>
    <n v="1"/>
    <n v="3.5"/>
    <s v="Card"/>
    <s v="C1798"/>
    <n v="3.5"/>
    <s v="Tuesday"/>
    <s v="December"/>
    <n v="2025"/>
  </r>
  <r>
    <x v="4702"/>
    <d v="2025-12-09T00:00:00"/>
    <s v="Central"/>
    <s v="Leeds"/>
    <s v="Espresso"/>
    <s v="Drink"/>
    <n v="1"/>
    <n v="2.5"/>
    <s v="Cash"/>
    <s v="C1168"/>
    <n v="2.5"/>
    <s v="Tuesday"/>
    <s v="December"/>
    <n v="2025"/>
  </r>
  <r>
    <x v="4703"/>
    <d v="2025-12-09T00:00:00"/>
    <s v="High Street"/>
    <s v="Birmingham"/>
    <s v="Espresso"/>
    <s v="Drink"/>
    <n v="1"/>
    <n v="2.5"/>
    <s v="Card"/>
    <s v="C1116"/>
    <n v="2.5"/>
    <s v="Tuesday"/>
    <s v="December"/>
    <n v="2025"/>
  </r>
  <r>
    <x v="4704"/>
    <d v="2025-12-09T00:00:00"/>
    <s v="Station"/>
    <s v="Birmingham"/>
    <s v="Muffin"/>
    <s v="Food"/>
    <n v="1"/>
    <n v="2.2000000000000002"/>
    <s v="Card"/>
    <s v="C1030"/>
    <n v="2.2000000000000002"/>
    <s v="Tuesday"/>
    <s v="December"/>
    <n v="2025"/>
  </r>
  <r>
    <x v="4705"/>
    <d v="2025-12-10T00:00:00"/>
    <s v="Station"/>
    <s v="London"/>
    <s v="Cappuccino"/>
    <s v="Drink"/>
    <n v="5"/>
    <n v="3.8"/>
    <s v="Cash"/>
    <s v="C1347"/>
    <n v="19"/>
    <s v="Wednesday"/>
    <s v="December"/>
    <n v="2025"/>
  </r>
  <r>
    <x v="4706"/>
    <d v="2025-12-10T00:00:00"/>
    <s v="High Street"/>
    <s v="London"/>
    <s v="Latte"/>
    <s v="Drink"/>
    <n v="5"/>
    <n v="3.5"/>
    <s v="Cash"/>
    <s v="C1452"/>
    <n v="17.5"/>
    <s v="Wednesday"/>
    <s v="December"/>
    <n v="2025"/>
  </r>
  <r>
    <x v="4707"/>
    <d v="2025-12-10T00:00:00"/>
    <s v="Station"/>
    <s v="Leeds"/>
    <s v="Cappuccino"/>
    <s v="Drink"/>
    <n v="4"/>
    <n v="3.8"/>
    <s v="Card"/>
    <s v="C1642"/>
    <n v="15.2"/>
    <s v="Wednesday"/>
    <s v="December"/>
    <n v="2025"/>
  </r>
  <r>
    <x v="4708"/>
    <d v="2025-12-10T00:00:00"/>
    <s v="Station"/>
    <s v="Birmingham"/>
    <s v="Croissant"/>
    <s v="Food"/>
    <n v="5"/>
    <n v="2.8"/>
    <s v="Apple Pay"/>
    <s v="C1251"/>
    <n v="14"/>
    <s v="Wednesday"/>
    <s v="December"/>
    <n v="2025"/>
  </r>
  <r>
    <x v="4709"/>
    <d v="2025-12-10T00:00:00"/>
    <s v="Central"/>
    <s v="Birmingham"/>
    <s v="Espresso"/>
    <s v="Drink"/>
    <n v="5"/>
    <n v="2.5"/>
    <s v="Cash"/>
    <s v="C1244"/>
    <n v="12.5"/>
    <s v="Wednesday"/>
    <s v="December"/>
    <n v="2025"/>
  </r>
  <r>
    <x v="4710"/>
    <d v="2025-12-10T00:00:00"/>
    <s v="High Street"/>
    <s v="Manchester"/>
    <s v="Cappuccino"/>
    <s v="Drink"/>
    <n v="3"/>
    <n v="3.8"/>
    <s v="Apple Pay"/>
    <s v="C1282"/>
    <n v="11.399999999999999"/>
    <s v="Wednesday"/>
    <s v="December"/>
    <n v="2025"/>
  </r>
  <r>
    <x v="4711"/>
    <d v="2025-12-10T00:00:00"/>
    <s v="Riverside"/>
    <s v="Manchester"/>
    <s v="Latte"/>
    <s v="Drink"/>
    <n v="3"/>
    <n v="3.5"/>
    <s v="Cash"/>
    <s v="C1510"/>
    <n v="10.5"/>
    <s v="Wednesday"/>
    <s v="December"/>
    <n v="2025"/>
  </r>
  <r>
    <x v="4712"/>
    <d v="2025-12-10T00:00:00"/>
    <s v="Station"/>
    <s v="Leeds"/>
    <s v="Muffin"/>
    <s v="Food"/>
    <n v="4"/>
    <n v="2.2000000000000002"/>
    <s v="Card"/>
    <s v="C1005"/>
    <n v="8.8000000000000007"/>
    <s v="Wednesday"/>
    <s v="December"/>
    <n v="2025"/>
  </r>
  <r>
    <x v="4713"/>
    <d v="2025-12-10T00:00:00"/>
    <s v="Station"/>
    <s v="Bristol"/>
    <s v="Croissant"/>
    <s v="Food"/>
    <n v="3"/>
    <n v="2.8"/>
    <s v="Apple Pay"/>
    <s v="C1842"/>
    <n v="8.3999999999999986"/>
    <s v="Wednesday"/>
    <s v="December"/>
    <n v="2025"/>
  </r>
  <r>
    <x v="4714"/>
    <d v="2025-12-10T00:00:00"/>
    <s v="Riverside"/>
    <s v="Birmingham"/>
    <s v="Latte"/>
    <s v="Drink"/>
    <n v="2"/>
    <n v="3.5"/>
    <s v="Apple Pay"/>
    <s v="C1608"/>
    <n v="7"/>
    <s v="Wednesday"/>
    <s v="December"/>
    <n v="2025"/>
  </r>
  <r>
    <x v="4715"/>
    <d v="2025-12-10T00:00:00"/>
    <s v="High Street"/>
    <s v="Birmingham"/>
    <s v="Muffin"/>
    <s v="Food"/>
    <n v="2"/>
    <n v="2.2000000000000002"/>
    <s v="Cash"/>
    <s v="C1507"/>
    <n v="4.4000000000000004"/>
    <s v="Wednesday"/>
    <s v="December"/>
    <n v="2025"/>
  </r>
  <r>
    <x v="4716"/>
    <d v="2025-12-10T00:00:00"/>
    <s v="Station"/>
    <s v="Manchester"/>
    <s v="Latte"/>
    <s v="Drink"/>
    <n v="1"/>
    <n v="3.5"/>
    <s v="Apple Pay"/>
    <s v="C1624"/>
    <n v="3.5"/>
    <s v="Wednesday"/>
    <s v="December"/>
    <n v="2025"/>
  </r>
  <r>
    <x v="4717"/>
    <d v="2025-12-11T00:00:00"/>
    <s v="High Street"/>
    <s v="London"/>
    <s v="Cappuccino"/>
    <s v="Drink"/>
    <n v="5"/>
    <n v="3.8"/>
    <s v="Card"/>
    <s v="C1284"/>
    <n v="19"/>
    <s v="Thursday"/>
    <s v="December"/>
    <n v="2025"/>
  </r>
  <r>
    <x v="4718"/>
    <d v="2025-12-11T00:00:00"/>
    <s v="High Street"/>
    <s v="Bristol"/>
    <s v="Latte"/>
    <s v="Drink"/>
    <n v="5"/>
    <n v="3.5"/>
    <s v="Apple Pay"/>
    <s v="C1872"/>
    <n v="17.5"/>
    <s v="Thursday"/>
    <s v="December"/>
    <n v="2025"/>
  </r>
  <r>
    <x v="4719"/>
    <d v="2025-12-11T00:00:00"/>
    <s v="Station"/>
    <s v="Manchester"/>
    <s v="Cappuccino"/>
    <s v="Drink"/>
    <n v="4"/>
    <n v="3.8"/>
    <s v="Card"/>
    <s v="C1016"/>
    <n v="15.2"/>
    <s v="Thursday"/>
    <s v="December"/>
    <n v="2025"/>
  </r>
  <r>
    <x v="4720"/>
    <d v="2025-12-11T00:00:00"/>
    <s v="Station"/>
    <s v="London"/>
    <s v="Cappuccino"/>
    <s v="Drink"/>
    <n v="3"/>
    <n v="3.8"/>
    <s v="Apple Pay"/>
    <s v="C1123"/>
    <n v="11.399999999999999"/>
    <s v="Thursday"/>
    <s v="December"/>
    <n v="2025"/>
  </r>
  <r>
    <x v="4721"/>
    <d v="2025-12-11T00:00:00"/>
    <s v="Central"/>
    <s v="Bristol"/>
    <s v="Muffin"/>
    <s v="Food"/>
    <n v="5"/>
    <n v="2.2000000000000002"/>
    <s v="Cash"/>
    <s v="C1643"/>
    <n v="11"/>
    <s v="Thursday"/>
    <s v="December"/>
    <n v="2025"/>
  </r>
  <r>
    <x v="4722"/>
    <d v="2025-12-11T00:00:00"/>
    <s v="Central"/>
    <s v="Leeds"/>
    <s v="Espresso"/>
    <s v="Drink"/>
    <n v="4"/>
    <n v="2.5"/>
    <s v="Apple Pay"/>
    <s v="C1358"/>
    <n v="10"/>
    <s v="Thursday"/>
    <s v="December"/>
    <n v="2025"/>
  </r>
  <r>
    <x v="4723"/>
    <d v="2025-12-11T00:00:00"/>
    <s v="Central"/>
    <s v="London"/>
    <s v="Muffin"/>
    <s v="Food"/>
    <n v="4"/>
    <n v="2.2000000000000002"/>
    <s v="Card"/>
    <s v="C1432"/>
    <n v="8.8000000000000007"/>
    <s v="Thursday"/>
    <s v="December"/>
    <n v="2025"/>
  </r>
  <r>
    <x v="4724"/>
    <d v="2025-12-11T00:00:00"/>
    <s v="Central"/>
    <s v="Leeds"/>
    <s v="Muffin"/>
    <s v="Food"/>
    <n v="3"/>
    <n v="2.2000000000000002"/>
    <s v="Apple Pay"/>
    <s v="C1531"/>
    <n v="6.6000000000000005"/>
    <s v="Thursday"/>
    <s v="December"/>
    <n v="2025"/>
  </r>
  <r>
    <x v="4725"/>
    <d v="2025-12-11T00:00:00"/>
    <s v="High Street"/>
    <s v="Manchester"/>
    <s v="Espresso"/>
    <s v="Drink"/>
    <n v="2"/>
    <n v="2.5"/>
    <s v="Card"/>
    <s v="C1513"/>
    <n v="5"/>
    <s v="Thursday"/>
    <s v="December"/>
    <n v="2025"/>
  </r>
  <r>
    <x v="4726"/>
    <d v="2025-12-11T00:00:00"/>
    <s v="Station"/>
    <s v="Manchester"/>
    <s v="Muffin"/>
    <s v="Food"/>
    <n v="2"/>
    <n v="2.2000000000000002"/>
    <s v="Cash"/>
    <s v="C1778"/>
    <n v="4.4000000000000004"/>
    <s v="Thursday"/>
    <s v="December"/>
    <n v="2025"/>
  </r>
  <r>
    <x v="4727"/>
    <d v="2025-12-11T00:00:00"/>
    <s v="Station"/>
    <s v="London"/>
    <s v="Muffin"/>
    <s v="Food"/>
    <n v="2"/>
    <n v="2.2000000000000002"/>
    <s v="Cash"/>
    <s v="C1764"/>
    <n v="4.4000000000000004"/>
    <s v="Thursday"/>
    <s v="December"/>
    <n v="2025"/>
  </r>
  <r>
    <x v="4728"/>
    <d v="2025-12-11T00:00:00"/>
    <s v="Central"/>
    <s v="Bristol"/>
    <s v="Cappuccino"/>
    <s v="Drink"/>
    <n v="1"/>
    <n v="3.8"/>
    <s v="Apple Pay"/>
    <s v="C1199"/>
    <n v="3.8"/>
    <s v="Thursday"/>
    <s v="December"/>
    <n v="2025"/>
  </r>
  <r>
    <x v="4729"/>
    <d v="2025-12-11T00:00:00"/>
    <s v="High Street"/>
    <s v="Bristol"/>
    <s v="Cappuccino"/>
    <s v="Drink"/>
    <n v="1"/>
    <n v="3.8"/>
    <s v="Apple Pay"/>
    <s v="C1963"/>
    <n v="3.8"/>
    <s v="Thursday"/>
    <s v="December"/>
    <n v="2025"/>
  </r>
  <r>
    <x v="4730"/>
    <d v="2025-12-11T00:00:00"/>
    <s v="Riverside"/>
    <s v="Manchester"/>
    <s v="Cappuccino"/>
    <s v="Drink"/>
    <n v="1"/>
    <n v="3.8"/>
    <s v="Apple Pay"/>
    <s v="C1786"/>
    <n v="3.8"/>
    <s v="Thursday"/>
    <s v="December"/>
    <n v="2025"/>
  </r>
  <r>
    <x v="4731"/>
    <d v="2025-12-12T00:00:00"/>
    <s v="Riverside"/>
    <s v="Leeds"/>
    <s v="Cappuccino"/>
    <s v="Drink"/>
    <n v="5"/>
    <n v="3.8"/>
    <s v="Apple Pay"/>
    <s v="C1891"/>
    <n v="19"/>
    <s v="Friday"/>
    <s v="December"/>
    <n v="2025"/>
  </r>
  <r>
    <x v="4732"/>
    <d v="2025-12-12T00:00:00"/>
    <s v="High Street"/>
    <s v="Birmingham"/>
    <s v="Cappuccino"/>
    <s v="Drink"/>
    <n v="4"/>
    <n v="3.8"/>
    <s v="Card"/>
    <s v="C1001"/>
    <n v="15.2"/>
    <s v="Friday"/>
    <s v="December"/>
    <n v="2025"/>
  </r>
  <r>
    <x v="4733"/>
    <d v="2025-12-12T00:00:00"/>
    <s v="Station"/>
    <s v="Birmingham"/>
    <s v="Cappuccino"/>
    <s v="Drink"/>
    <n v="4"/>
    <n v="3.8"/>
    <s v="Card"/>
    <s v="C1440"/>
    <n v="15.2"/>
    <s v="Friday"/>
    <s v="December"/>
    <n v="2025"/>
  </r>
  <r>
    <x v="4734"/>
    <d v="2025-12-12T00:00:00"/>
    <s v="Station"/>
    <s v="Manchester"/>
    <s v="Croissant"/>
    <s v="Food"/>
    <n v="5"/>
    <n v="2.8"/>
    <s v="Apple Pay"/>
    <s v="C1179"/>
    <n v="14"/>
    <s v="Friday"/>
    <s v="December"/>
    <n v="2025"/>
  </r>
  <r>
    <x v="4735"/>
    <d v="2025-12-12T00:00:00"/>
    <s v="Riverside"/>
    <s v="N/A"/>
    <s v="Croissant"/>
    <s v="Food"/>
    <n v="5"/>
    <n v="2.8"/>
    <s v="Apple Pay"/>
    <s v="C1335"/>
    <n v="14"/>
    <s v="Friday"/>
    <s v="December"/>
    <n v="2025"/>
  </r>
  <r>
    <x v="4736"/>
    <d v="2025-12-12T00:00:00"/>
    <s v="High Street"/>
    <s v="Birmingham"/>
    <s v="Muffin"/>
    <s v="Food"/>
    <n v="4"/>
    <n v="2.2000000000000002"/>
    <s v="Card"/>
    <s v="C1694"/>
    <n v="8.8000000000000007"/>
    <s v="Friday"/>
    <s v="December"/>
    <n v="2025"/>
  </r>
  <r>
    <x v="4737"/>
    <d v="2025-12-12T00:00:00"/>
    <s v="Riverside"/>
    <s v="Birmingham"/>
    <s v="Croissant"/>
    <s v="Food"/>
    <n v="3"/>
    <n v="2.8"/>
    <s v="Card"/>
    <s v="C1574"/>
    <n v="8.3999999999999986"/>
    <s v="Friday"/>
    <s v="December"/>
    <n v="2025"/>
  </r>
  <r>
    <x v="4738"/>
    <d v="2025-12-12T00:00:00"/>
    <s v="High Street"/>
    <s v="Bristol"/>
    <s v="Cappuccino"/>
    <s v="Drink"/>
    <n v="2"/>
    <n v="3.8"/>
    <s v="Card"/>
    <s v="C1448"/>
    <n v="7.6"/>
    <s v="Friday"/>
    <s v="December"/>
    <n v="2025"/>
  </r>
  <r>
    <x v="4739"/>
    <d v="2025-12-12T00:00:00"/>
    <s v="Central"/>
    <s v="Bristol"/>
    <s v="Latte"/>
    <s v="Drink"/>
    <n v="2"/>
    <n v="3.5"/>
    <s v="Apple Pay"/>
    <s v="C1252"/>
    <n v="7"/>
    <s v="Friday"/>
    <s v="December"/>
    <n v="2025"/>
  </r>
  <r>
    <x v="4740"/>
    <d v="2025-12-12T00:00:00"/>
    <s v="Station"/>
    <s v="Bristol"/>
    <s v="Muffin"/>
    <s v="Food"/>
    <n v="3"/>
    <n v="2.2000000000000002"/>
    <s v="Cash"/>
    <s v="C1164"/>
    <n v="6.6000000000000005"/>
    <s v="Friday"/>
    <s v="December"/>
    <n v="2025"/>
  </r>
  <r>
    <x v="4741"/>
    <d v="2025-12-12T00:00:00"/>
    <s v="Central"/>
    <s v="London"/>
    <s v="Muffin"/>
    <s v="Food"/>
    <n v="3"/>
    <n v="2.2000000000000002"/>
    <s v="Apple Pay"/>
    <s v="C1735"/>
    <n v="6.6000000000000005"/>
    <s v="Friday"/>
    <s v="December"/>
    <n v="2025"/>
  </r>
  <r>
    <x v="4742"/>
    <d v="2025-12-12T00:00:00"/>
    <s v="Central"/>
    <s v="Bristol"/>
    <s v="Croissant"/>
    <s v="Food"/>
    <n v="2"/>
    <n v="2.8"/>
    <s v="Cash"/>
    <s v="C1060"/>
    <n v="5.6"/>
    <s v="Friday"/>
    <s v="December"/>
    <n v="2025"/>
  </r>
  <r>
    <x v="4743"/>
    <d v="2025-12-12T00:00:00"/>
    <s v="High Street"/>
    <s v="Bristol"/>
    <s v="Croissant"/>
    <s v="Food"/>
    <n v="1"/>
    <n v="2.8"/>
    <s v="Card"/>
    <s v="C1303"/>
    <n v="2.8"/>
    <s v="Friday"/>
    <s v="December"/>
    <n v="2025"/>
  </r>
  <r>
    <x v="4744"/>
    <d v="2025-12-12T00:00:00"/>
    <s v="Central"/>
    <s v="London"/>
    <s v="Espresso"/>
    <s v="Drink"/>
    <n v="1"/>
    <n v="2.5"/>
    <s v="Apple Pay"/>
    <s v="C1819"/>
    <n v="2.5"/>
    <s v="Friday"/>
    <s v="December"/>
    <n v="2025"/>
  </r>
  <r>
    <x v="4745"/>
    <d v="2025-12-13T00:00:00"/>
    <s v="Station"/>
    <s v="Leeds"/>
    <s v="Latte"/>
    <s v="Drink"/>
    <n v="5"/>
    <n v="3.5"/>
    <s v="Apple Pay"/>
    <s v="C1052"/>
    <n v="17.5"/>
    <s v="Saturday"/>
    <s v="December"/>
    <n v="2025"/>
  </r>
  <r>
    <x v="4746"/>
    <d v="2025-12-13T00:00:00"/>
    <s v="Riverside"/>
    <s v="Birmingham"/>
    <s v="Latte"/>
    <s v="Drink"/>
    <n v="5"/>
    <n v="3.5"/>
    <s v="Cash"/>
    <s v="C1365"/>
    <n v="17.5"/>
    <s v="Saturday"/>
    <s v="December"/>
    <n v="2025"/>
  </r>
  <r>
    <x v="4747"/>
    <d v="2025-12-13T00:00:00"/>
    <s v="Station"/>
    <s v="Leeds"/>
    <s v="Croissant"/>
    <s v="Food"/>
    <n v="5"/>
    <n v="2.8"/>
    <s v="Cash"/>
    <s v="C1826"/>
    <n v="14"/>
    <s v="Saturday"/>
    <s v="December"/>
    <n v="2025"/>
  </r>
  <r>
    <x v="4748"/>
    <d v="2025-12-13T00:00:00"/>
    <s v="Station"/>
    <s v="London"/>
    <s v="Espresso"/>
    <s v="Drink"/>
    <n v="5"/>
    <n v="2.5"/>
    <s v="Cash"/>
    <s v="C1540"/>
    <n v="12.5"/>
    <s v="Saturday"/>
    <s v="December"/>
    <n v="2025"/>
  </r>
  <r>
    <x v="4749"/>
    <d v="2025-12-13T00:00:00"/>
    <s v="Station"/>
    <s v="Leeds"/>
    <s v="Latte"/>
    <s v="Drink"/>
    <n v="3"/>
    <n v="3.5"/>
    <s v="Card"/>
    <s v="C1940"/>
    <n v="10.5"/>
    <s v="Saturday"/>
    <s v="December"/>
    <n v="2025"/>
  </r>
  <r>
    <x v="4750"/>
    <d v="2025-12-13T00:00:00"/>
    <s v="Central"/>
    <s v="London"/>
    <s v="Latte"/>
    <s v="Drink"/>
    <n v="3"/>
    <n v="3.5"/>
    <s v="Card"/>
    <s v="C1076"/>
    <n v="10.5"/>
    <s v="Saturday"/>
    <s v="December"/>
    <n v="2025"/>
  </r>
  <r>
    <x v="4751"/>
    <d v="2025-12-13T00:00:00"/>
    <s v="Station"/>
    <s v="Birmingham"/>
    <s v="Cappuccino"/>
    <s v="Drink"/>
    <n v="2"/>
    <n v="3.8"/>
    <s v="Cash"/>
    <s v="C1980"/>
    <n v="7.6"/>
    <s v="Saturday"/>
    <s v="December"/>
    <n v="2025"/>
  </r>
  <r>
    <x v="4752"/>
    <d v="2025-12-13T00:00:00"/>
    <s v="Station"/>
    <s v="London"/>
    <s v="Croissant"/>
    <s v="Food"/>
    <n v="2"/>
    <n v="2.8"/>
    <s v="Card"/>
    <s v="C1605"/>
    <n v="5.6"/>
    <s v="Saturday"/>
    <s v="December"/>
    <n v="2025"/>
  </r>
  <r>
    <x v="4753"/>
    <d v="2025-12-13T00:00:00"/>
    <s v="Station"/>
    <s v="Birmingham"/>
    <s v="Espresso"/>
    <s v="Drink"/>
    <n v="2"/>
    <n v="2.5"/>
    <s v="Apple Pay"/>
    <s v="C1582"/>
    <n v="5"/>
    <s v="Saturday"/>
    <s v="December"/>
    <n v="2025"/>
  </r>
  <r>
    <x v="4754"/>
    <d v="2025-12-13T00:00:00"/>
    <s v="Station"/>
    <s v="London"/>
    <s v="Espresso"/>
    <s v="Drink"/>
    <n v="2"/>
    <n v="2.5"/>
    <s v="Cash"/>
    <s v="C1768"/>
    <n v="5"/>
    <s v="Saturday"/>
    <s v="December"/>
    <n v="2025"/>
  </r>
  <r>
    <x v="4755"/>
    <d v="2025-12-13T00:00:00"/>
    <s v="Central"/>
    <s v="Manchester"/>
    <s v="Muffin"/>
    <s v="Food"/>
    <n v="2"/>
    <n v="2.2000000000000002"/>
    <s v="Card"/>
    <s v="C1980"/>
    <n v="4.4000000000000004"/>
    <s v="Saturday"/>
    <s v="December"/>
    <n v="2025"/>
  </r>
  <r>
    <x v="4756"/>
    <d v="2025-12-13T00:00:00"/>
    <s v="High Street"/>
    <s v="Manchester"/>
    <s v="Muffin"/>
    <s v="Food"/>
    <n v="2"/>
    <n v="2.2000000000000002"/>
    <s v="Card"/>
    <s v="C1787"/>
    <n v="4.4000000000000004"/>
    <s v="Saturday"/>
    <s v="December"/>
    <n v="2025"/>
  </r>
  <r>
    <x v="4757"/>
    <d v="2025-12-13T00:00:00"/>
    <s v="Station"/>
    <s v="Birmingham"/>
    <s v="Muffin"/>
    <s v="Food"/>
    <n v="1"/>
    <n v="2.2000000000000002"/>
    <s v="Cash"/>
    <s v="C1674"/>
    <n v="2.2000000000000002"/>
    <s v="Saturday"/>
    <s v="December"/>
    <n v="2025"/>
  </r>
  <r>
    <x v="4758"/>
    <d v="2025-12-14T00:00:00"/>
    <s v="Central"/>
    <s v="Birmingham"/>
    <s v="Cappuccino"/>
    <s v="Drink"/>
    <n v="5"/>
    <n v="3.8"/>
    <s v="Card"/>
    <s v="C1567"/>
    <n v="19"/>
    <s v="Sunday"/>
    <s v="December"/>
    <n v="2025"/>
  </r>
  <r>
    <x v="4759"/>
    <d v="2025-12-14T00:00:00"/>
    <s v="Riverside"/>
    <s v="Leeds"/>
    <s v="Espresso"/>
    <s v="Drink"/>
    <n v="5"/>
    <n v="2.5"/>
    <s v="Apple Pay"/>
    <s v="C1581"/>
    <n v="12.5"/>
    <s v="Sunday"/>
    <s v="December"/>
    <n v="2025"/>
  </r>
  <r>
    <x v="4760"/>
    <d v="2025-12-14T00:00:00"/>
    <s v="Central"/>
    <s v="Birmingham"/>
    <s v="Cappuccino"/>
    <s v="Drink"/>
    <n v="3"/>
    <n v="3.8"/>
    <s v="Cash"/>
    <s v="C1449"/>
    <n v="11.399999999999999"/>
    <s v="Sunday"/>
    <s v="December"/>
    <n v="2025"/>
  </r>
  <r>
    <x v="4761"/>
    <d v="2025-12-14T00:00:00"/>
    <s v="Central"/>
    <s v="London"/>
    <s v="Cappuccino"/>
    <s v="Drink"/>
    <n v="3"/>
    <n v="3.8"/>
    <s v="Card"/>
    <s v="C1427"/>
    <n v="11.399999999999999"/>
    <s v="Sunday"/>
    <s v="December"/>
    <n v="2025"/>
  </r>
  <r>
    <x v="4762"/>
    <d v="2025-12-14T00:00:00"/>
    <s v="Central"/>
    <s v="Manchester"/>
    <s v="Muffin"/>
    <s v="Food"/>
    <n v="5"/>
    <n v="2.2000000000000002"/>
    <s v="Cash"/>
    <s v="C1599"/>
    <n v="11"/>
    <s v="Sunday"/>
    <s v="December"/>
    <n v="2025"/>
  </r>
  <r>
    <x v="4763"/>
    <d v="2025-12-14T00:00:00"/>
    <s v="Riverside"/>
    <s v="Manchester"/>
    <s v="Muffin"/>
    <s v="Food"/>
    <n v="4"/>
    <n v="2.2000000000000002"/>
    <s v="Card"/>
    <s v="C1442"/>
    <n v="8.8000000000000007"/>
    <s v="Sunday"/>
    <s v="December"/>
    <n v="2025"/>
  </r>
  <r>
    <x v="4764"/>
    <d v="2025-12-14T00:00:00"/>
    <s v="High Street"/>
    <s v="Bristol"/>
    <s v="Croissant"/>
    <s v="Food"/>
    <n v="3"/>
    <n v="2.8"/>
    <s v="Apple Pay"/>
    <s v="C1943"/>
    <n v="8.3999999999999986"/>
    <s v="Sunday"/>
    <s v="December"/>
    <n v="2025"/>
  </r>
  <r>
    <x v="4765"/>
    <d v="2025-12-14T00:00:00"/>
    <s v="Station"/>
    <s v="Leeds"/>
    <s v="Espresso"/>
    <s v="Drink"/>
    <n v="2"/>
    <n v="2.5"/>
    <s v="Card"/>
    <s v="C1941"/>
    <n v="5"/>
    <s v="Sunday"/>
    <s v="December"/>
    <n v="2025"/>
  </r>
  <r>
    <x v="4766"/>
    <d v="2025-12-14T00:00:00"/>
    <s v="Riverside"/>
    <s v="Leeds"/>
    <s v="Latte"/>
    <s v="Food"/>
    <n v="2"/>
    <n v="2.2000000000000002"/>
    <s v="Card"/>
    <s v="C1185"/>
    <n v="4.4000000000000004"/>
    <s v="Sunday"/>
    <s v="December"/>
    <n v="2025"/>
  </r>
  <r>
    <x v="4767"/>
    <d v="2025-12-14T00:00:00"/>
    <s v="Riverside"/>
    <s v="Bristol"/>
    <s v="Muffin"/>
    <s v="Food"/>
    <n v="2"/>
    <n v="2.2000000000000002"/>
    <s v="Card"/>
    <s v="C1837"/>
    <n v="4.4000000000000004"/>
    <s v="Sunday"/>
    <s v="December"/>
    <n v="2025"/>
  </r>
  <r>
    <x v="4768"/>
    <d v="2025-12-14T00:00:00"/>
    <s v="High Street"/>
    <s v="Birmingham"/>
    <s v="Muffin"/>
    <s v="Food"/>
    <n v="2"/>
    <n v="2.2000000000000002"/>
    <s v="Apple Pay"/>
    <s v="C1431"/>
    <n v="4.4000000000000004"/>
    <s v="Sunday"/>
    <s v="December"/>
    <n v="2025"/>
  </r>
  <r>
    <x v="4769"/>
    <d v="2025-12-14T00:00:00"/>
    <s v="Riverside"/>
    <s v="London"/>
    <s v="Espresso"/>
    <s v="Drink"/>
    <n v="1"/>
    <n v="2.5"/>
    <s v="Apple Pay"/>
    <s v="C1968"/>
    <n v="2.5"/>
    <s v="Sunday"/>
    <s v="December"/>
    <n v="2025"/>
  </r>
  <r>
    <x v="4770"/>
    <d v="2025-12-14T00:00:00"/>
    <s v="High Street"/>
    <s v="Bristol"/>
    <s v="Espresso"/>
    <s v="Drink"/>
    <n v="1"/>
    <n v="2.5"/>
    <s v="Card"/>
    <s v="C1660"/>
    <n v="2.5"/>
    <s v="Sunday"/>
    <s v="December"/>
    <n v="2025"/>
  </r>
  <r>
    <x v="4771"/>
    <d v="2025-12-14T00:00:00"/>
    <s v="Central"/>
    <s v="London"/>
    <s v="Muffin"/>
    <s v="Food"/>
    <n v="1"/>
    <n v="2.2000000000000002"/>
    <s v="Apple Pay"/>
    <s v="C1420"/>
    <n v="2.2000000000000002"/>
    <s v="Sunday"/>
    <s v="December"/>
    <n v="2025"/>
  </r>
  <r>
    <x v="4772"/>
    <d v="2025-12-15T00:00:00"/>
    <s v="High Street"/>
    <s v="Leeds"/>
    <s v="Cappuccino"/>
    <s v="Drink"/>
    <n v="3"/>
    <n v="3.8"/>
    <s v="Cash"/>
    <s v="C1750"/>
    <n v="11.399999999999999"/>
    <s v="Monday"/>
    <s v="December"/>
    <n v="2025"/>
  </r>
  <r>
    <x v="4773"/>
    <d v="2025-12-15T00:00:00"/>
    <s v="Riverside"/>
    <s v="Birmingham"/>
    <s v="Muffin"/>
    <s v="Food"/>
    <n v="4"/>
    <n v="2.2000000000000002"/>
    <s v="Cash"/>
    <s v="C1952"/>
    <n v="8.8000000000000007"/>
    <s v="Monday"/>
    <s v="December"/>
    <n v="2025"/>
  </r>
  <r>
    <x v="4774"/>
    <d v="2025-12-15T00:00:00"/>
    <s v="High Street"/>
    <s v="Bristol"/>
    <s v="Muffin"/>
    <s v="Food"/>
    <n v="4"/>
    <n v="2.2000000000000002"/>
    <s v="Card"/>
    <s v="C1516"/>
    <n v="8.8000000000000007"/>
    <s v="Monday"/>
    <s v="December"/>
    <n v="2025"/>
  </r>
  <r>
    <x v="4775"/>
    <d v="2025-12-15T00:00:00"/>
    <s v="High Street"/>
    <s v="Manchester"/>
    <s v="Muffin"/>
    <s v="Food"/>
    <n v="4"/>
    <n v="2.2000000000000002"/>
    <s v="Apple Pay"/>
    <s v="C1677"/>
    <n v="8.8000000000000007"/>
    <s v="Monday"/>
    <s v="December"/>
    <n v="2025"/>
  </r>
  <r>
    <x v="4776"/>
    <d v="2025-12-15T00:00:00"/>
    <s v="Central"/>
    <s v="Manchester"/>
    <s v="Espresso"/>
    <s v="Drink"/>
    <n v="3"/>
    <n v="2.5"/>
    <s v="Apple Pay"/>
    <s v="C1749"/>
    <n v="7.5"/>
    <s v="Monday"/>
    <s v="December"/>
    <n v="2025"/>
  </r>
  <r>
    <x v="4777"/>
    <d v="2025-12-15T00:00:00"/>
    <s v="Central"/>
    <s v="Manchester"/>
    <s v="Muffin"/>
    <s v="Food"/>
    <n v="3"/>
    <n v="2.2000000000000002"/>
    <s v="Cash"/>
    <s v="C1295"/>
    <n v="6.6000000000000005"/>
    <s v="Monday"/>
    <s v="December"/>
    <n v="2025"/>
  </r>
  <r>
    <x v="4778"/>
    <d v="2025-12-15T00:00:00"/>
    <s v="Station"/>
    <s v="Manchester"/>
    <s v="Muffin"/>
    <s v="Food"/>
    <n v="3"/>
    <n v="2.2000000000000002"/>
    <s v="Apple Pay"/>
    <s v="C1135"/>
    <n v="6.6000000000000005"/>
    <s v="Monday"/>
    <s v="December"/>
    <n v="2025"/>
  </r>
  <r>
    <x v="4779"/>
    <d v="2025-12-15T00:00:00"/>
    <s v="Riverside"/>
    <s v="Leeds"/>
    <s v="Cappuccino"/>
    <s v="Drink"/>
    <n v="1"/>
    <n v="3.8"/>
    <s v="Cash"/>
    <s v="C1790"/>
    <n v="3.8"/>
    <s v="Monday"/>
    <s v="December"/>
    <n v="2025"/>
  </r>
  <r>
    <x v="4780"/>
    <d v="2025-12-15T00:00:00"/>
    <s v="High Street"/>
    <s v="London"/>
    <s v="Espresso"/>
    <s v="Drink"/>
    <n v="1"/>
    <n v="2.5"/>
    <s v="Cash"/>
    <s v="C1401"/>
    <n v="2.5"/>
    <s v="Monday"/>
    <s v="December"/>
    <n v="2025"/>
  </r>
  <r>
    <x v="4781"/>
    <d v="2025-12-15T00:00:00"/>
    <s v="Station"/>
    <s v="London"/>
    <s v="Muffin"/>
    <s v="Food"/>
    <n v="1"/>
    <n v="2.2000000000000002"/>
    <s v="Cash"/>
    <s v="C1481"/>
    <n v="2.2000000000000002"/>
    <s v="Monday"/>
    <s v="December"/>
    <n v="2025"/>
  </r>
  <r>
    <x v="4782"/>
    <d v="2025-12-16T00:00:00"/>
    <s v="High Street"/>
    <s v="Leeds"/>
    <s v="Latte"/>
    <s v="Drink"/>
    <n v="5"/>
    <n v="3.5"/>
    <s v="Cash"/>
    <s v="C1343"/>
    <n v="17.5"/>
    <s v="Tuesday"/>
    <s v="December"/>
    <n v="2025"/>
  </r>
  <r>
    <x v="4783"/>
    <d v="2025-12-16T00:00:00"/>
    <s v="Station"/>
    <s v="Bristol"/>
    <s v="Latte"/>
    <s v="Drink"/>
    <n v="5"/>
    <n v="3.5"/>
    <s v="Card"/>
    <s v="C1021"/>
    <n v="17.5"/>
    <s v="Tuesday"/>
    <s v="December"/>
    <n v="2025"/>
  </r>
  <r>
    <x v="4784"/>
    <d v="2025-12-16T00:00:00"/>
    <s v="High Street"/>
    <s v="Leeds"/>
    <s v="Croissant"/>
    <s v="Food"/>
    <n v="5"/>
    <n v="2.8"/>
    <s v="Apple Pay"/>
    <s v="C1385"/>
    <n v="14"/>
    <s v="Tuesday"/>
    <s v="December"/>
    <n v="2025"/>
  </r>
  <r>
    <x v="4785"/>
    <d v="2025-12-16T00:00:00"/>
    <s v="Station"/>
    <s v="Bristol"/>
    <s v="Espresso"/>
    <s v="Drink"/>
    <n v="5"/>
    <n v="2.5"/>
    <s v="Card"/>
    <s v="C1757"/>
    <n v="12.5"/>
    <s v="Tuesday"/>
    <s v="December"/>
    <n v="2025"/>
  </r>
  <r>
    <x v="4786"/>
    <d v="2025-12-16T00:00:00"/>
    <s v="High Street"/>
    <s v="Birmingham"/>
    <s v="Croissant"/>
    <s v="Food"/>
    <n v="4"/>
    <n v="2.8"/>
    <s v="Cash"/>
    <s v="C1522"/>
    <n v="11.2"/>
    <s v="Tuesday"/>
    <s v="December"/>
    <n v="2025"/>
  </r>
  <r>
    <x v="4787"/>
    <d v="2025-12-16T00:00:00"/>
    <s v="High Street"/>
    <s v="Birmingham"/>
    <s v="Espresso"/>
    <s v="Drink"/>
    <n v="4"/>
    <n v="2.5"/>
    <s v="Card"/>
    <s v="C1856"/>
    <n v="10"/>
    <s v="Tuesday"/>
    <s v="December"/>
    <n v="2025"/>
  </r>
  <r>
    <x v="4788"/>
    <d v="2025-12-16T00:00:00"/>
    <s v="Riverside"/>
    <s v="Manchester"/>
    <s v="Croissant"/>
    <s v="Food"/>
    <n v="3"/>
    <n v="2.8"/>
    <s v="Card"/>
    <s v="C1674"/>
    <n v="8.3999999999999986"/>
    <s v="Tuesday"/>
    <s v="December"/>
    <n v="2025"/>
  </r>
  <r>
    <x v="4789"/>
    <d v="2025-12-16T00:00:00"/>
    <s v="Riverside"/>
    <s v="Birmingham"/>
    <s v="Muffin"/>
    <s v="Food"/>
    <n v="3"/>
    <n v="2.2000000000000002"/>
    <s v="Cash"/>
    <s v="C1345"/>
    <n v="6.6000000000000005"/>
    <s v="Tuesday"/>
    <s v="December"/>
    <n v="2025"/>
  </r>
  <r>
    <x v="4790"/>
    <d v="2025-12-16T00:00:00"/>
    <s v="Station"/>
    <s v="Manchester"/>
    <s v="Muffin"/>
    <s v="Food"/>
    <n v="3"/>
    <n v="2.2000000000000002"/>
    <s v="Card"/>
    <s v="C1584"/>
    <n v="6.6000000000000005"/>
    <s v="Tuesday"/>
    <s v="December"/>
    <n v="2025"/>
  </r>
  <r>
    <x v="4791"/>
    <d v="2025-12-16T00:00:00"/>
    <s v="Central"/>
    <s v="Leeds"/>
    <s v="Espresso"/>
    <s v="Drink"/>
    <n v="2"/>
    <n v="2.5"/>
    <s v="Cash"/>
    <s v="C1058"/>
    <n v="5"/>
    <s v="Tuesday"/>
    <s v="December"/>
    <n v="2025"/>
  </r>
  <r>
    <x v="4792"/>
    <d v="2025-12-16T00:00:00"/>
    <s v="High Street"/>
    <s v="Bristol"/>
    <s v="Latte"/>
    <s v="Drink"/>
    <n v="1"/>
    <n v="3.5"/>
    <s v="Cash"/>
    <s v="C1830"/>
    <n v="3.5"/>
    <s v="Tuesday"/>
    <s v="December"/>
    <n v="2025"/>
  </r>
  <r>
    <x v="4793"/>
    <d v="2025-12-16T00:00:00"/>
    <s v="Station"/>
    <s v="London"/>
    <s v="Croissant"/>
    <s v="Food"/>
    <n v="1"/>
    <n v="2.8"/>
    <s v="Cash"/>
    <s v="C1672"/>
    <n v="2.8"/>
    <s v="Tuesday"/>
    <s v="December"/>
    <n v="2025"/>
  </r>
  <r>
    <x v="4794"/>
    <d v="2025-12-17T00:00:00"/>
    <s v="Riverside"/>
    <s v="Leeds"/>
    <s v="Latte"/>
    <s v="Drink"/>
    <n v="4"/>
    <n v="3.5"/>
    <s v="Cash"/>
    <s v="C1203"/>
    <n v="14"/>
    <s v="Wednesday"/>
    <s v="December"/>
    <n v="2025"/>
  </r>
  <r>
    <x v="4795"/>
    <d v="2025-12-17T00:00:00"/>
    <s v="Central"/>
    <s v="Bristol"/>
    <s v="Croissant"/>
    <s v="Food"/>
    <n v="5"/>
    <n v="2.8"/>
    <s v="Cash"/>
    <s v="C1126"/>
    <n v="14"/>
    <s v="Wednesday"/>
    <s v="December"/>
    <n v="2025"/>
  </r>
  <r>
    <x v="4796"/>
    <d v="2025-12-17T00:00:00"/>
    <s v="Central"/>
    <s v="London"/>
    <s v="Latte"/>
    <s v="Drink"/>
    <n v="3"/>
    <n v="3.5"/>
    <s v="Apple Pay"/>
    <s v="C1294"/>
    <n v="10.5"/>
    <s v="Wednesday"/>
    <s v="December"/>
    <n v="2025"/>
  </r>
  <r>
    <x v="4797"/>
    <d v="2025-12-17T00:00:00"/>
    <s v="High Street"/>
    <s v="London"/>
    <s v="Croissant"/>
    <s v="Food"/>
    <n v="3"/>
    <n v="2.8"/>
    <s v="Card"/>
    <s v="C1467"/>
    <n v="8.3999999999999986"/>
    <s v="Wednesday"/>
    <s v="December"/>
    <n v="2025"/>
  </r>
  <r>
    <x v="4798"/>
    <d v="2025-12-17T00:00:00"/>
    <s v="Station"/>
    <s v="Bristol"/>
    <s v="Croissant"/>
    <s v="Food"/>
    <n v="3"/>
    <n v="2.8"/>
    <s v="Cash"/>
    <s v="C1552"/>
    <n v="8.3999999999999986"/>
    <s v="Wednesday"/>
    <s v="December"/>
    <n v="2025"/>
  </r>
  <r>
    <x v="4799"/>
    <d v="2025-12-17T00:00:00"/>
    <s v="Central"/>
    <s v="Manchester"/>
    <s v="Cappuccino"/>
    <s v="Drink"/>
    <n v="2"/>
    <n v="3.8"/>
    <s v="Cash"/>
    <s v="C1004"/>
    <n v="7.6"/>
    <s v="Wednesday"/>
    <s v="December"/>
    <n v="2025"/>
  </r>
  <r>
    <x v="4800"/>
    <d v="2025-12-17T00:00:00"/>
    <s v="Riverside"/>
    <s v="Manchester"/>
    <s v="Latte"/>
    <s v="Drink"/>
    <n v="2"/>
    <n v="3.5"/>
    <s v="Apple Pay"/>
    <s v="C1624"/>
    <n v="7"/>
    <s v="Wednesday"/>
    <s v="December"/>
    <n v="2025"/>
  </r>
  <r>
    <x v="4801"/>
    <d v="2025-12-17T00:00:00"/>
    <s v="High Street"/>
    <s v="Manchester"/>
    <s v="Muffin"/>
    <s v="Food"/>
    <n v="3"/>
    <n v="2.2000000000000002"/>
    <s v="Cash"/>
    <s v="C1620"/>
    <n v="6.6000000000000005"/>
    <s v="Wednesday"/>
    <s v="December"/>
    <n v="2025"/>
  </r>
  <r>
    <x v="4802"/>
    <d v="2025-12-17T00:00:00"/>
    <s v="Central"/>
    <s v="Birmingham"/>
    <s v="Croissant"/>
    <s v="Food"/>
    <n v="2"/>
    <n v="2.8"/>
    <s v="Apple Pay"/>
    <s v="C1035"/>
    <n v="5.6"/>
    <s v="Wednesday"/>
    <s v="December"/>
    <n v="2025"/>
  </r>
  <r>
    <x v="4803"/>
    <d v="2025-12-17T00:00:00"/>
    <s v="High Street"/>
    <s v="Birmingham"/>
    <s v="Espresso"/>
    <s v="Drink"/>
    <n v="1"/>
    <n v="2.5"/>
    <s v="Card"/>
    <s v="C1827"/>
    <n v="2.5"/>
    <s v="Wednesday"/>
    <s v="December"/>
    <n v="2025"/>
  </r>
  <r>
    <x v="4804"/>
    <d v="2025-12-18T00:00:00"/>
    <s v="Station"/>
    <s v="Bristol"/>
    <s v="Cappuccino"/>
    <s v="Drink"/>
    <n v="5"/>
    <n v="3.8"/>
    <s v="Cash"/>
    <s v="C1440"/>
    <n v="19"/>
    <s v="Thursday"/>
    <s v="December"/>
    <n v="2025"/>
  </r>
  <r>
    <x v="4805"/>
    <d v="2025-12-18T00:00:00"/>
    <s v="Station"/>
    <s v="Birmingham"/>
    <s v="Latte"/>
    <s v="Drink"/>
    <n v="4"/>
    <n v="3.5"/>
    <s v="Apple Pay"/>
    <s v="C1921"/>
    <n v="14"/>
    <s v="Thursday"/>
    <s v="December"/>
    <n v="2025"/>
  </r>
  <r>
    <x v="4806"/>
    <d v="2025-12-18T00:00:00"/>
    <s v="High Street"/>
    <s v="Bristol"/>
    <s v="Croissant"/>
    <s v="Food"/>
    <n v="5"/>
    <n v="2.8"/>
    <s v="Card"/>
    <s v="C1445"/>
    <n v="14"/>
    <s v="Thursday"/>
    <s v="December"/>
    <n v="2025"/>
  </r>
  <r>
    <x v="4807"/>
    <d v="2025-12-18T00:00:00"/>
    <s v="Central"/>
    <s v="Birmingham"/>
    <s v="Croissant"/>
    <s v="Food"/>
    <n v="5"/>
    <n v="2.8"/>
    <s v="Cash"/>
    <s v="C1242"/>
    <n v="14"/>
    <s v="Thursday"/>
    <s v="December"/>
    <n v="2025"/>
  </r>
  <r>
    <x v="4808"/>
    <d v="2025-12-18T00:00:00"/>
    <s v="High Street"/>
    <s v="Leeds"/>
    <s v="Espresso"/>
    <s v="Drink"/>
    <n v="5"/>
    <n v="2.5"/>
    <s v="Card"/>
    <s v="C1879"/>
    <n v="12.5"/>
    <s v="Thursday"/>
    <s v="December"/>
    <n v="2025"/>
  </r>
  <r>
    <x v="4809"/>
    <d v="2025-12-18T00:00:00"/>
    <s v="High Street"/>
    <s v="Bristol"/>
    <s v="Espresso"/>
    <s v="Drink"/>
    <n v="5"/>
    <n v="2.5"/>
    <s v="Apple Pay"/>
    <s v="C1662"/>
    <n v="12.5"/>
    <s v="Thursday"/>
    <s v="December"/>
    <n v="2025"/>
  </r>
  <r>
    <x v="4810"/>
    <d v="2025-12-18T00:00:00"/>
    <s v="High Street"/>
    <s v="Manchester"/>
    <s v="Latte"/>
    <s v="Drink"/>
    <n v="3"/>
    <n v="3.5"/>
    <s v="Apple Pay"/>
    <s v="C1641"/>
    <n v="10.5"/>
    <s v="Thursday"/>
    <s v="December"/>
    <n v="2025"/>
  </r>
  <r>
    <x v="4811"/>
    <d v="2025-12-18T00:00:00"/>
    <s v="Central"/>
    <s v="Bristol"/>
    <s v="Espresso"/>
    <s v="Drink"/>
    <n v="4"/>
    <n v="2.5"/>
    <s v="Cash"/>
    <s v="C1555"/>
    <n v="10"/>
    <s v="Thursday"/>
    <s v="December"/>
    <n v="2025"/>
  </r>
  <r>
    <x v="4812"/>
    <d v="2025-12-18T00:00:00"/>
    <s v="Station"/>
    <s v="Birmingham"/>
    <s v="Espresso"/>
    <s v="Drink"/>
    <n v="3"/>
    <n v="2.5"/>
    <s v="Card"/>
    <s v="C1502"/>
    <n v="7.5"/>
    <s v="Thursday"/>
    <s v="December"/>
    <n v="2025"/>
  </r>
  <r>
    <x v="4813"/>
    <d v="2025-12-18T00:00:00"/>
    <s v="Central"/>
    <s v="Bristol"/>
    <s v="Latte"/>
    <s v="Drink"/>
    <n v="2"/>
    <n v="3.5"/>
    <s v="Card"/>
    <s v="C1914"/>
    <n v="7"/>
    <s v="Thursday"/>
    <s v="December"/>
    <n v="2025"/>
  </r>
  <r>
    <x v="4814"/>
    <d v="2025-12-18T00:00:00"/>
    <s v="Station"/>
    <s v="Birmingham"/>
    <s v="Espresso"/>
    <s v="Drink"/>
    <n v="2"/>
    <n v="2.5"/>
    <s v="Card"/>
    <s v="C1786"/>
    <n v="5"/>
    <s v="Thursday"/>
    <s v="December"/>
    <n v="2025"/>
  </r>
  <r>
    <x v="4815"/>
    <d v="2025-12-18T00:00:00"/>
    <s v="Station"/>
    <s v="Bristol"/>
    <s v="Espresso"/>
    <s v="Drink"/>
    <n v="2"/>
    <n v="2.5"/>
    <s v="Card"/>
    <s v="C1637"/>
    <n v="5"/>
    <s v="Thursday"/>
    <s v="December"/>
    <n v="2025"/>
  </r>
  <r>
    <x v="4816"/>
    <d v="2025-12-18T00:00:00"/>
    <s v="Central"/>
    <s v="Leeds"/>
    <s v="Muffin"/>
    <s v="Food"/>
    <n v="2"/>
    <n v="2.2000000000000002"/>
    <s v="Card"/>
    <s v="C1094"/>
    <n v="4.4000000000000004"/>
    <s v="Thursday"/>
    <s v="December"/>
    <n v="2025"/>
  </r>
  <r>
    <x v="4817"/>
    <d v="2025-12-18T00:00:00"/>
    <s v="Station"/>
    <s v="Leeds"/>
    <s v="Croissant"/>
    <s v="Food"/>
    <n v="1"/>
    <n v="2.8"/>
    <s v="Apple Pay"/>
    <s v="C1279"/>
    <n v="2.8"/>
    <s v="Thursday"/>
    <s v="December"/>
    <n v="2025"/>
  </r>
  <r>
    <x v="4818"/>
    <d v="2025-12-18T00:00:00"/>
    <s v="High Street"/>
    <s v="London"/>
    <s v="Croissant"/>
    <s v="Food"/>
    <n v="1"/>
    <n v="2.8"/>
    <s v="Cash"/>
    <s v="C1176"/>
    <n v="2.8"/>
    <s v="Thursday"/>
    <s v="December"/>
    <n v="2025"/>
  </r>
  <r>
    <x v="4819"/>
    <d v="2025-12-19T00:00:00"/>
    <s v="Central"/>
    <s v="Bristol"/>
    <s v="Cappuccino"/>
    <s v="Drink"/>
    <n v="5"/>
    <n v="3.8"/>
    <s v="Cash"/>
    <s v="C1456"/>
    <n v="19"/>
    <s v="Friday"/>
    <s v="December"/>
    <n v="2025"/>
  </r>
  <r>
    <x v="4820"/>
    <d v="2025-12-19T00:00:00"/>
    <s v="Station"/>
    <s v="Birmingham"/>
    <s v="Latte"/>
    <s v="Drink"/>
    <n v="5"/>
    <n v="3.5"/>
    <s v="Apple Pay"/>
    <s v="C1086"/>
    <n v="17.5"/>
    <s v="Friday"/>
    <s v="December"/>
    <n v="2025"/>
  </r>
  <r>
    <x v="4821"/>
    <d v="2025-12-19T00:00:00"/>
    <s v="Riverside"/>
    <s v="Manchester"/>
    <s v="Croissant"/>
    <s v="Food"/>
    <n v="5"/>
    <n v="2.8"/>
    <s v="Cash"/>
    <s v="C1211"/>
    <n v="14"/>
    <s v="Friday"/>
    <s v="December"/>
    <n v="2025"/>
  </r>
  <r>
    <x v="4822"/>
    <d v="2025-12-19T00:00:00"/>
    <s v="High Street"/>
    <s v="Manchester"/>
    <s v="Croissant"/>
    <s v="Food"/>
    <n v="5"/>
    <n v="2.8"/>
    <s v="Apple Pay"/>
    <s v="C1011"/>
    <n v="14"/>
    <s v="Friday"/>
    <s v="December"/>
    <n v="2025"/>
  </r>
  <r>
    <x v="4823"/>
    <d v="2025-12-19T00:00:00"/>
    <s v="Station"/>
    <s v="London"/>
    <s v="Croissant"/>
    <s v="Food"/>
    <n v="5"/>
    <n v="2.8"/>
    <s v="Apple Pay"/>
    <s v="C1899"/>
    <n v="14"/>
    <s v="Friday"/>
    <s v="December"/>
    <n v="2025"/>
  </r>
  <r>
    <x v="4824"/>
    <d v="2025-12-19T00:00:00"/>
    <s v="Central"/>
    <s v="Leeds"/>
    <s v="Cappuccino"/>
    <s v="Drink"/>
    <n v="3"/>
    <n v="3.8"/>
    <s v="Apple Pay"/>
    <s v="C1594"/>
    <n v="11.399999999999999"/>
    <s v="Friday"/>
    <s v="December"/>
    <n v="2025"/>
  </r>
  <r>
    <x v="4825"/>
    <d v="2025-12-19T00:00:00"/>
    <s v="Central"/>
    <s v="Manchester"/>
    <s v="Muffin"/>
    <s v="Food"/>
    <n v="5"/>
    <n v="2.2000000000000002"/>
    <s v="Cash"/>
    <s v="C1760"/>
    <n v="11"/>
    <s v="Friday"/>
    <s v="December"/>
    <n v="2025"/>
  </r>
  <r>
    <x v="4826"/>
    <d v="2025-12-19T00:00:00"/>
    <s v="Central"/>
    <s v="Manchester"/>
    <s v="Latte"/>
    <s v="Drink"/>
    <n v="3"/>
    <n v="3.5"/>
    <s v="Cash"/>
    <s v="C1918"/>
    <n v="10.5"/>
    <s v="Friday"/>
    <s v="December"/>
    <n v="2025"/>
  </r>
  <r>
    <x v="4827"/>
    <d v="2025-12-19T00:00:00"/>
    <s v="Station"/>
    <s v="Manchester"/>
    <s v="Croissant"/>
    <s v="Food"/>
    <n v="3"/>
    <n v="2.8"/>
    <s v="Cash"/>
    <s v="C1610"/>
    <n v="8.3999999999999986"/>
    <s v="Friday"/>
    <s v="December"/>
    <n v="2025"/>
  </r>
  <r>
    <x v="4828"/>
    <d v="2025-12-19T00:00:00"/>
    <s v="Central"/>
    <s v="Leeds"/>
    <s v="Latte"/>
    <s v="Drink"/>
    <n v="2"/>
    <n v="3.5"/>
    <s v="Cash"/>
    <s v="C1221"/>
    <n v="7"/>
    <s v="Friday"/>
    <s v="December"/>
    <n v="2025"/>
  </r>
  <r>
    <x v="4829"/>
    <d v="2025-12-19T00:00:00"/>
    <s v="Central"/>
    <s v="Bristol"/>
    <s v="Espresso"/>
    <s v="Drink"/>
    <n v="2"/>
    <n v="2.5"/>
    <s v="Cash"/>
    <s v="C1097"/>
    <n v="5"/>
    <s v="Friday"/>
    <s v="December"/>
    <n v="2025"/>
  </r>
  <r>
    <x v="4830"/>
    <d v="2025-12-19T00:00:00"/>
    <s v="Station"/>
    <s v="London"/>
    <s v="Espresso"/>
    <s v="Drink"/>
    <n v="2"/>
    <n v="2.5"/>
    <s v="Card"/>
    <s v="C1661"/>
    <n v="5"/>
    <s v="Friday"/>
    <s v="December"/>
    <n v="2025"/>
  </r>
  <r>
    <x v="4831"/>
    <d v="2025-12-19T00:00:00"/>
    <s v="Riverside"/>
    <s v="London"/>
    <s v="Espresso"/>
    <s v="Drink"/>
    <n v="2"/>
    <n v="2.5"/>
    <s v="Cash"/>
    <s v="C1726"/>
    <n v="5"/>
    <s v="Friday"/>
    <s v="December"/>
    <n v="2025"/>
  </r>
  <r>
    <x v="4832"/>
    <d v="2025-12-19T00:00:00"/>
    <s v="Riverside"/>
    <s v="Bristol"/>
    <s v="Cappuccino"/>
    <s v="Drink"/>
    <n v="1"/>
    <n v="3.8"/>
    <s v="Cash"/>
    <s v="C1413"/>
    <n v="3.8"/>
    <s v="Friday"/>
    <s v="December"/>
    <n v="2025"/>
  </r>
  <r>
    <x v="4833"/>
    <d v="2025-12-19T00:00:00"/>
    <s v="Riverside"/>
    <s v="Manchester"/>
    <s v="Latte"/>
    <s v="Drink"/>
    <n v="1"/>
    <n v="3.5"/>
    <s v="Card"/>
    <s v="C1914"/>
    <n v="3.5"/>
    <s v="Friday"/>
    <s v="December"/>
    <n v="2025"/>
  </r>
  <r>
    <x v="4834"/>
    <d v="2025-12-19T00:00:00"/>
    <s v="High Street"/>
    <s v="Leeds"/>
    <s v="Espresso"/>
    <s v="Drink"/>
    <n v="1"/>
    <n v="2.5"/>
    <s v="Card"/>
    <s v="C1247"/>
    <n v="2.5"/>
    <s v="Friday"/>
    <s v="December"/>
    <n v="2025"/>
  </r>
  <r>
    <x v="4835"/>
    <d v="2025-12-19T00:00:00"/>
    <s v="High Street"/>
    <s v="Birmingham"/>
    <s v="Espresso"/>
    <s v="Drink"/>
    <n v="1"/>
    <n v="2.5"/>
    <s v="Cash"/>
    <s v="C1285"/>
    <n v="2.5"/>
    <s v="Friday"/>
    <s v="December"/>
    <n v="2025"/>
  </r>
  <r>
    <x v="4836"/>
    <d v="2025-12-20T00:00:00"/>
    <s v="Central"/>
    <s v="Leeds"/>
    <s v="Muffin"/>
    <s v="Food"/>
    <n v="5"/>
    <n v="2.2000000000000002"/>
    <s v="Card"/>
    <s v="C1617"/>
    <n v="11"/>
    <s v="Saturday"/>
    <s v="December"/>
    <n v="2025"/>
  </r>
  <r>
    <x v="4837"/>
    <d v="2025-12-20T00:00:00"/>
    <s v="Station"/>
    <s v="Birmingham"/>
    <s v="Latte"/>
    <s v="Drink"/>
    <n v="3"/>
    <n v="3.5"/>
    <s v="Apple Pay"/>
    <s v="C1424"/>
    <n v="10.5"/>
    <s v="Saturday"/>
    <s v="December"/>
    <n v="2025"/>
  </r>
  <r>
    <x v="4838"/>
    <d v="2025-12-20T00:00:00"/>
    <s v="High Street"/>
    <s v="Leeds"/>
    <s v="Croissant"/>
    <s v="Food"/>
    <n v="3"/>
    <n v="2.8"/>
    <s v="Card"/>
    <s v="C1713"/>
    <n v="8.3999999999999986"/>
    <s v="Saturday"/>
    <s v="December"/>
    <n v="2025"/>
  </r>
  <r>
    <x v="4839"/>
    <d v="2025-12-20T00:00:00"/>
    <s v="Station"/>
    <s v="Manchester"/>
    <s v="Espresso"/>
    <s v="Drink"/>
    <n v="3"/>
    <n v="2.5"/>
    <s v="Apple Pay"/>
    <s v="C1690"/>
    <n v="7.5"/>
    <s v="Saturday"/>
    <s v="December"/>
    <n v="2025"/>
  </r>
  <r>
    <x v="4840"/>
    <d v="2025-12-20T00:00:00"/>
    <s v="High Street"/>
    <s v="Manchester"/>
    <s v="Muffin"/>
    <s v="Food"/>
    <n v="3"/>
    <n v="2.2000000000000002"/>
    <s v="Apple Pay"/>
    <s v="C1995"/>
    <n v="6.6000000000000005"/>
    <s v="Saturday"/>
    <s v="December"/>
    <n v="2025"/>
  </r>
  <r>
    <x v="4841"/>
    <d v="2025-12-20T00:00:00"/>
    <s v="Riverside"/>
    <s v="Bristol"/>
    <s v="Muffin"/>
    <s v="Food"/>
    <n v="3"/>
    <n v="2.2000000000000002"/>
    <s v="Card"/>
    <s v="C1732"/>
    <n v="6.6000000000000005"/>
    <s v="Saturday"/>
    <s v="December"/>
    <n v="2025"/>
  </r>
  <r>
    <x v="4842"/>
    <d v="2025-12-20T00:00:00"/>
    <s v="High Street"/>
    <s v="Manchester"/>
    <s v="Muffin"/>
    <s v="Food"/>
    <n v="2"/>
    <n v="2.2000000000000002"/>
    <s v="Apple Pay"/>
    <s v="C1241"/>
    <n v="4.4000000000000004"/>
    <s v="Saturday"/>
    <s v="December"/>
    <n v="2025"/>
  </r>
  <r>
    <x v="4843"/>
    <d v="2025-12-20T00:00:00"/>
    <s v="Central"/>
    <s v="Leeds"/>
    <s v="Latte"/>
    <s v="Drink"/>
    <n v="1"/>
    <n v="3.5"/>
    <s v="Apple Pay"/>
    <s v="C1915"/>
    <n v="3.5"/>
    <s v="Saturday"/>
    <s v="December"/>
    <n v="2025"/>
  </r>
  <r>
    <x v="4844"/>
    <d v="2025-12-20T00:00:00"/>
    <s v="Station"/>
    <s v="Leeds"/>
    <s v="Latte"/>
    <s v="Drink"/>
    <n v="1"/>
    <n v="3.5"/>
    <s v="Cash"/>
    <s v="C1587"/>
    <n v="3.5"/>
    <s v="Saturday"/>
    <s v="December"/>
    <n v="2025"/>
  </r>
  <r>
    <x v="4845"/>
    <d v="2025-12-20T00:00:00"/>
    <s v="Riverside"/>
    <s v="Birmingham"/>
    <s v="Espresso"/>
    <s v="Drink"/>
    <n v="1"/>
    <n v="2.5"/>
    <s v="Cash"/>
    <s v="C1985"/>
    <n v="2.5"/>
    <s v="Saturday"/>
    <s v="December"/>
    <n v="2025"/>
  </r>
  <r>
    <x v="4846"/>
    <d v="2025-12-20T00:00:00"/>
    <s v="Station"/>
    <s v="Birmingham"/>
    <s v="Muffin"/>
    <s v="Food"/>
    <n v="1"/>
    <n v="2.2000000000000002"/>
    <s v="Card"/>
    <s v="C1426"/>
    <n v="2.2000000000000002"/>
    <s v="Saturday"/>
    <s v="December"/>
    <n v="2025"/>
  </r>
  <r>
    <x v="4847"/>
    <d v="2025-12-21T00:00:00"/>
    <s v="Riverside"/>
    <s v="Birmingham"/>
    <s v="Latte"/>
    <s v="Drink"/>
    <n v="5"/>
    <n v="3.5"/>
    <s v="Apple Pay"/>
    <s v="C1991"/>
    <n v="17.5"/>
    <s v="Sunday"/>
    <s v="December"/>
    <n v="2025"/>
  </r>
  <r>
    <x v="4848"/>
    <d v="2025-12-21T00:00:00"/>
    <s v="Station"/>
    <s v="Bristol"/>
    <s v="Cappuccino"/>
    <s v="Drink"/>
    <n v="4"/>
    <n v="3.8"/>
    <s v="Card"/>
    <s v="C1157"/>
    <n v="15.2"/>
    <s v="Sunday"/>
    <s v="December"/>
    <n v="2025"/>
  </r>
  <r>
    <x v="4849"/>
    <d v="2025-12-21T00:00:00"/>
    <s v="High Street"/>
    <s v="Manchester"/>
    <s v="Latte"/>
    <s v="Drink"/>
    <n v="4"/>
    <n v="3.5"/>
    <s v="Card"/>
    <s v="C1865"/>
    <n v="14"/>
    <s v="Sunday"/>
    <s v="December"/>
    <n v="2025"/>
  </r>
  <r>
    <x v="4850"/>
    <d v="2025-12-21T00:00:00"/>
    <s v="Central"/>
    <s v="Bristol"/>
    <s v="Latte"/>
    <s v="Drink"/>
    <n v="4"/>
    <n v="3.5"/>
    <s v="Apple Pay"/>
    <s v="C1477"/>
    <n v="14"/>
    <s v="Sunday"/>
    <s v="December"/>
    <n v="2025"/>
  </r>
  <r>
    <x v="4851"/>
    <d v="2025-12-21T00:00:00"/>
    <s v="High Street"/>
    <s v="Birmingham"/>
    <s v="Latte"/>
    <s v="Drink"/>
    <n v="3"/>
    <n v="3.5"/>
    <s v="Card"/>
    <s v="C1108"/>
    <n v="10.5"/>
    <s v="Sunday"/>
    <s v="December"/>
    <n v="2025"/>
  </r>
  <r>
    <x v="4852"/>
    <d v="2025-12-21T00:00:00"/>
    <s v="High Street"/>
    <s v="Leeds"/>
    <s v="Muffin"/>
    <s v="Food"/>
    <n v="4"/>
    <n v="2.2000000000000002"/>
    <s v="Apple Pay"/>
    <s v="C1958"/>
    <n v="8.8000000000000007"/>
    <s v="Sunday"/>
    <s v="December"/>
    <n v="2025"/>
  </r>
  <r>
    <x v="4853"/>
    <d v="2025-12-21T00:00:00"/>
    <s v="High Street"/>
    <s v="N/A"/>
    <s v="Muffin"/>
    <s v="Food"/>
    <n v="4"/>
    <n v="2.2000000000000002"/>
    <s v="Cash"/>
    <s v="C1015"/>
    <n v="8.8000000000000007"/>
    <s v="Sunday"/>
    <s v="December"/>
    <n v="2025"/>
  </r>
  <r>
    <x v="4854"/>
    <d v="2025-12-21T00:00:00"/>
    <s v="Central"/>
    <s v="Manchester"/>
    <s v="Croissant"/>
    <s v="Food"/>
    <n v="3"/>
    <n v="2.8"/>
    <s v="Cash"/>
    <s v="C1026"/>
    <n v="8.3999999999999986"/>
    <s v="Sunday"/>
    <s v="December"/>
    <n v="2025"/>
  </r>
  <r>
    <x v="4855"/>
    <d v="2025-12-21T00:00:00"/>
    <s v="Riverside"/>
    <s v="Birmingham"/>
    <s v="Espresso"/>
    <s v="Drink"/>
    <n v="3"/>
    <n v="2.5"/>
    <s v="Cash"/>
    <s v="C1674"/>
    <n v="7.5"/>
    <s v="Sunday"/>
    <s v="December"/>
    <n v="2025"/>
  </r>
  <r>
    <x v="4856"/>
    <d v="2025-12-21T00:00:00"/>
    <s v="Central"/>
    <s v="Birmingham"/>
    <s v="Latte"/>
    <s v="Drink"/>
    <n v="2"/>
    <n v="3.5"/>
    <s v="Card"/>
    <s v="C1904"/>
    <n v="7"/>
    <s v="Sunday"/>
    <s v="December"/>
    <n v="2025"/>
  </r>
  <r>
    <x v="4857"/>
    <d v="2025-12-21T00:00:00"/>
    <s v="Riverside"/>
    <s v="Leeds"/>
    <s v="Espresso"/>
    <s v="Drink"/>
    <n v="2"/>
    <n v="2.5"/>
    <s v="Card"/>
    <s v="C1664"/>
    <n v="5"/>
    <s v="Sunday"/>
    <s v="December"/>
    <n v="2025"/>
  </r>
  <r>
    <x v="4858"/>
    <d v="2025-12-21T00:00:00"/>
    <s v="Central"/>
    <s v="London"/>
    <s v="Muffin"/>
    <s v="Food"/>
    <n v="2"/>
    <n v="2.2000000000000002"/>
    <s v="Cash"/>
    <s v="C1143"/>
    <n v="4.4000000000000004"/>
    <s v="Sunday"/>
    <s v="December"/>
    <n v="2025"/>
  </r>
  <r>
    <x v="4859"/>
    <d v="2025-12-21T00:00:00"/>
    <s v="High Street"/>
    <s v="Birmingham"/>
    <s v="Cappuccino"/>
    <s v="Drink"/>
    <n v="1"/>
    <n v="3.8"/>
    <s v="Cash"/>
    <s v="C1115"/>
    <n v="3.8"/>
    <s v="Sunday"/>
    <s v="December"/>
    <n v="2025"/>
  </r>
  <r>
    <x v="4860"/>
    <d v="2025-12-22T00:00:00"/>
    <s v="High Street"/>
    <s v="Birmingham"/>
    <s v="Cappuccino"/>
    <s v="Drink"/>
    <n v="5"/>
    <n v="3.8"/>
    <s v="Cash"/>
    <s v="C1838"/>
    <n v="19"/>
    <s v="Monday"/>
    <s v="December"/>
    <n v="2025"/>
  </r>
  <r>
    <x v="4861"/>
    <d v="2025-12-22T00:00:00"/>
    <s v="Riverside"/>
    <s v="Bristol"/>
    <s v="Cappuccino"/>
    <s v="Drink"/>
    <n v="5"/>
    <n v="3.8"/>
    <s v="Apple Pay"/>
    <s v="C1377"/>
    <n v="19"/>
    <s v="Monday"/>
    <s v="December"/>
    <n v="2025"/>
  </r>
  <r>
    <x v="4862"/>
    <d v="2025-12-22T00:00:00"/>
    <s v="Station"/>
    <s v="London"/>
    <s v="Latte"/>
    <s v="Drink"/>
    <n v="4"/>
    <n v="3.5"/>
    <s v="Cash"/>
    <s v="C1944"/>
    <n v="14"/>
    <s v="Monday"/>
    <s v="December"/>
    <n v="2025"/>
  </r>
  <r>
    <x v="4863"/>
    <d v="2025-12-22T00:00:00"/>
    <s v="Station"/>
    <s v="Birmingham"/>
    <s v="Latte"/>
    <s v="Drink"/>
    <n v="4"/>
    <n v="3.5"/>
    <s v="Apple Pay"/>
    <s v="C1244"/>
    <n v="14"/>
    <s v="Monday"/>
    <s v="December"/>
    <n v="2025"/>
  </r>
  <r>
    <x v="4864"/>
    <d v="2025-12-22T00:00:00"/>
    <s v="Central"/>
    <s v="Bristol"/>
    <s v="Croissant"/>
    <s v="Food"/>
    <n v="5"/>
    <n v="2.8"/>
    <s v="Card"/>
    <s v="C1540"/>
    <n v="14"/>
    <s v="Monday"/>
    <s v="December"/>
    <n v="2025"/>
  </r>
  <r>
    <x v="4865"/>
    <d v="2025-12-22T00:00:00"/>
    <s v="Station"/>
    <s v="London"/>
    <s v="Latte"/>
    <s v="Drink"/>
    <n v="4"/>
    <n v="3.5"/>
    <s v="Cash"/>
    <s v="C1961"/>
    <n v="14"/>
    <s v="Monday"/>
    <s v="December"/>
    <n v="2025"/>
  </r>
  <r>
    <x v="4866"/>
    <d v="2025-12-22T00:00:00"/>
    <s v="Central"/>
    <s v="London"/>
    <s v="Cappuccino"/>
    <s v="Drink"/>
    <n v="3"/>
    <n v="3.8"/>
    <s v="Apple Pay"/>
    <s v="C1160"/>
    <n v="11.399999999999999"/>
    <s v="Monday"/>
    <s v="December"/>
    <n v="2025"/>
  </r>
  <r>
    <x v="4867"/>
    <d v="2025-12-22T00:00:00"/>
    <s v="Riverside"/>
    <s v="Leeds"/>
    <s v="Cappuccino"/>
    <s v="Drink"/>
    <n v="3"/>
    <n v="3.8"/>
    <s v="Apple Pay"/>
    <s v="C1590"/>
    <n v="11.399999999999999"/>
    <s v="Monday"/>
    <s v="December"/>
    <n v="2025"/>
  </r>
  <r>
    <x v="4868"/>
    <d v="2025-12-22T00:00:00"/>
    <s v="Station"/>
    <s v="Birmingham"/>
    <s v="Croissant"/>
    <s v="Food"/>
    <n v="4"/>
    <n v="2.8"/>
    <s v="Card"/>
    <s v="C1083"/>
    <n v="11.2"/>
    <s v="Monday"/>
    <s v="December"/>
    <n v="2025"/>
  </r>
  <r>
    <x v="4869"/>
    <d v="2025-12-22T00:00:00"/>
    <s v="Central"/>
    <s v="Bristol"/>
    <s v="Croissant"/>
    <s v="Food"/>
    <n v="4"/>
    <n v="2.8"/>
    <s v="Apple Pay"/>
    <s v="C1137"/>
    <n v="11.2"/>
    <s v="Monday"/>
    <s v="December"/>
    <n v="2025"/>
  </r>
  <r>
    <x v="4870"/>
    <d v="2025-12-22T00:00:00"/>
    <s v="Station"/>
    <s v="Birmingham"/>
    <s v="Latte"/>
    <s v="Drink"/>
    <n v="3"/>
    <n v="3.5"/>
    <s v="Apple Pay"/>
    <s v="C1292"/>
    <n v="10.5"/>
    <s v="Monday"/>
    <s v="December"/>
    <n v="2025"/>
  </r>
  <r>
    <x v="4871"/>
    <d v="2025-12-22T00:00:00"/>
    <s v="Riverside"/>
    <s v="Bristol"/>
    <s v="Espresso"/>
    <s v="Drink"/>
    <n v="4"/>
    <n v="2.5"/>
    <s v="Card"/>
    <s v="C1898"/>
    <n v="10"/>
    <s v="Monday"/>
    <s v="December"/>
    <n v="2025"/>
  </r>
  <r>
    <x v="4872"/>
    <d v="2025-12-22T00:00:00"/>
    <s v="Central"/>
    <s v="Leeds"/>
    <s v="Muffin"/>
    <s v="Food"/>
    <n v="3"/>
    <n v="2.2000000000000002"/>
    <s v="Cash"/>
    <s v="C1951"/>
    <n v="6.6000000000000005"/>
    <s v="Monday"/>
    <s v="December"/>
    <n v="2025"/>
  </r>
  <r>
    <x v="4873"/>
    <d v="2025-12-22T00:00:00"/>
    <s v="Riverside"/>
    <s v="Leeds"/>
    <s v="Espresso"/>
    <s v="Drink"/>
    <n v="2"/>
    <n v="2.5"/>
    <s v="Card"/>
    <s v="C1160"/>
    <n v="5"/>
    <s v="Monday"/>
    <s v="December"/>
    <n v="2025"/>
  </r>
  <r>
    <x v="4874"/>
    <d v="2025-12-22T00:00:00"/>
    <s v="Station"/>
    <s v="Manchester"/>
    <s v="Muffin"/>
    <s v="Food"/>
    <n v="2"/>
    <n v="2.2000000000000002"/>
    <s v="Card"/>
    <s v="C1668"/>
    <n v="4.4000000000000004"/>
    <s v="Monday"/>
    <s v="December"/>
    <n v="2025"/>
  </r>
  <r>
    <x v="4874"/>
    <d v="2025-12-22T00:00:00"/>
    <s v="Station"/>
    <s v="Manchester"/>
    <s v="Muffin"/>
    <s v="Food"/>
    <n v="2"/>
    <n v="2.2000000000000002"/>
    <s v="Apple Pay"/>
    <s v="C1668"/>
    <n v="4.4000000000000004"/>
    <s v="Monday"/>
    <s v="December"/>
    <n v="2025"/>
  </r>
  <r>
    <x v="4875"/>
    <d v="2025-12-22T00:00:00"/>
    <s v="Station"/>
    <s v="Leeds"/>
    <s v="Cappuccino"/>
    <s v="Drink"/>
    <n v="1"/>
    <n v="3.8"/>
    <s v="Apple Pay"/>
    <s v="C1104"/>
    <n v="3.8"/>
    <s v="Monday"/>
    <s v="December"/>
    <n v="2025"/>
  </r>
  <r>
    <x v="4876"/>
    <d v="2025-12-22T00:00:00"/>
    <s v="Riverside"/>
    <s v="Manchester"/>
    <s v="Espresso"/>
    <s v="Drink"/>
    <n v="1"/>
    <n v="2.5"/>
    <s v="Card"/>
    <s v="C1018"/>
    <n v="2.5"/>
    <s v="Monday"/>
    <s v="December"/>
    <n v="2025"/>
  </r>
  <r>
    <x v="4877"/>
    <d v="2025-12-23T00:00:00"/>
    <s v="Station"/>
    <s v="London"/>
    <s v="Cappuccino"/>
    <s v="Drink"/>
    <n v="5"/>
    <n v="3.8"/>
    <s v="Apple Pay"/>
    <s v="C1759"/>
    <n v="19"/>
    <s v="Tuesday"/>
    <s v="December"/>
    <n v="2025"/>
  </r>
  <r>
    <x v="4878"/>
    <d v="2025-12-23T00:00:00"/>
    <s v="Riverside"/>
    <s v="Bristol"/>
    <s v="Latte"/>
    <s v="Drink"/>
    <n v="5"/>
    <n v="3.5"/>
    <s v="Card"/>
    <s v="C1742"/>
    <n v="17.5"/>
    <s v="Tuesday"/>
    <s v="December"/>
    <n v="2025"/>
  </r>
  <r>
    <x v="4879"/>
    <d v="2025-12-23T00:00:00"/>
    <s v="Riverside"/>
    <s v="Bristol"/>
    <s v="Latte"/>
    <s v="Drink"/>
    <n v="4"/>
    <n v="3.5"/>
    <s v="Cash"/>
    <s v="C1268"/>
    <n v="14"/>
    <s v="Tuesday"/>
    <s v="December"/>
    <n v="2025"/>
  </r>
  <r>
    <x v="4880"/>
    <d v="2025-12-23T00:00:00"/>
    <s v="Riverside"/>
    <s v="Leeds"/>
    <s v="Croissant"/>
    <s v="Food"/>
    <n v="4"/>
    <n v="2.8"/>
    <s v="Cash"/>
    <s v="C1042"/>
    <n v="11.2"/>
    <s v="Tuesday"/>
    <s v="December"/>
    <n v="2025"/>
  </r>
  <r>
    <x v="4881"/>
    <d v="2025-12-23T00:00:00"/>
    <s v="Station"/>
    <s v="Leeds"/>
    <s v="Muffin"/>
    <s v="Food"/>
    <n v="5"/>
    <n v="2.2000000000000002"/>
    <s v="Apple Pay"/>
    <s v="C1489"/>
    <n v="11"/>
    <s v="Tuesday"/>
    <s v="December"/>
    <n v="2025"/>
  </r>
  <r>
    <x v="4882"/>
    <d v="2025-12-23T00:00:00"/>
    <s v="Central"/>
    <s v="Leeds"/>
    <s v="Muffin"/>
    <s v="Food"/>
    <n v="5"/>
    <n v="2.2000000000000002"/>
    <s v="Card"/>
    <s v="C1775"/>
    <n v="11"/>
    <s v="Tuesday"/>
    <s v="December"/>
    <n v="2025"/>
  </r>
  <r>
    <x v="4883"/>
    <d v="2025-12-23T00:00:00"/>
    <s v="High Street"/>
    <s v="Bristol"/>
    <s v="Muffin"/>
    <s v="Food"/>
    <n v="5"/>
    <n v="2.2000000000000002"/>
    <s v="Apple Pay"/>
    <s v="C1576"/>
    <n v="11"/>
    <s v="Tuesday"/>
    <s v="December"/>
    <n v="2025"/>
  </r>
  <r>
    <x v="4884"/>
    <d v="2025-12-23T00:00:00"/>
    <s v="Riverside"/>
    <s v="Leeds"/>
    <s v="Espresso"/>
    <s v="Drink"/>
    <n v="2"/>
    <n v="2.5"/>
    <s v="Cash"/>
    <s v="C1073"/>
    <n v="5"/>
    <s v="Tuesday"/>
    <s v="December"/>
    <n v="2025"/>
  </r>
  <r>
    <x v="4885"/>
    <d v="2025-12-23T00:00:00"/>
    <s v="Riverside"/>
    <s v="Bristol"/>
    <s v="Latte"/>
    <s v="Drink"/>
    <n v="1"/>
    <n v="3.5"/>
    <s v="Apple Pay"/>
    <s v="C1494"/>
    <n v="3.5"/>
    <s v="Tuesday"/>
    <s v="December"/>
    <n v="2025"/>
  </r>
  <r>
    <x v="4886"/>
    <d v="2025-12-23T00:00:00"/>
    <s v="Station"/>
    <s v="Bristol"/>
    <s v="Latte"/>
    <s v="Drink"/>
    <n v="1"/>
    <n v="3.5"/>
    <s v="Cash"/>
    <s v="C1389"/>
    <n v="3.5"/>
    <s v="Tuesday"/>
    <s v="December"/>
    <n v="2025"/>
  </r>
  <r>
    <x v="4887"/>
    <d v="2025-12-24T00:00:00"/>
    <s v="Station"/>
    <s v="Manchester"/>
    <s v="Latte"/>
    <s v="Drink"/>
    <n v="5"/>
    <n v="3.5"/>
    <s v="Cash"/>
    <s v="C1890"/>
    <n v="17.5"/>
    <s v="Wednesday"/>
    <s v="December"/>
    <n v="2025"/>
  </r>
  <r>
    <x v="4888"/>
    <d v="2025-12-24T00:00:00"/>
    <s v="Central"/>
    <s v="Leeds"/>
    <s v="Latte"/>
    <s v="Drink"/>
    <n v="4"/>
    <n v="3.5"/>
    <s v="Apple Pay"/>
    <s v="C1108"/>
    <n v="14"/>
    <s v="Wednesday"/>
    <s v="December"/>
    <n v="2025"/>
  </r>
  <r>
    <x v="4889"/>
    <d v="2025-12-24T00:00:00"/>
    <s v="High Street"/>
    <s v="Manchester"/>
    <s v="Muffin"/>
    <s v="Food"/>
    <n v="5"/>
    <n v="2.2000000000000002"/>
    <s v="Card"/>
    <s v="C1076"/>
    <n v="11"/>
    <s v="Wednesday"/>
    <s v="December"/>
    <n v="2025"/>
  </r>
  <r>
    <x v="4890"/>
    <d v="2025-12-24T00:00:00"/>
    <s v="Riverside"/>
    <s v="Manchester"/>
    <s v="Latte"/>
    <s v="Drink"/>
    <n v="3"/>
    <n v="3.5"/>
    <s v="Cash"/>
    <s v="C1598"/>
    <n v="10.5"/>
    <s v="Wednesday"/>
    <s v="December"/>
    <n v="2025"/>
  </r>
  <r>
    <x v="4891"/>
    <d v="2025-12-24T00:00:00"/>
    <s v="Station"/>
    <s v="Manchester"/>
    <s v="Latte"/>
    <s v="Drink"/>
    <n v="3"/>
    <n v="3.5"/>
    <s v="Card"/>
    <s v="C1715"/>
    <n v="10.5"/>
    <s v="Wednesday"/>
    <s v="December"/>
    <n v="2025"/>
  </r>
  <r>
    <x v="4892"/>
    <d v="2025-12-24T00:00:00"/>
    <s v="Riverside"/>
    <s v="Birmingham"/>
    <s v="Croissant"/>
    <s v="Food"/>
    <n v="3"/>
    <n v="2.8"/>
    <s v="Card"/>
    <s v="C1768"/>
    <n v="8.3999999999999986"/>
    <s v="Wednesday"/>
    <s v="December"/>
    <n v="2025"/>
  </r>
  <r>
    <x v="4893"/>
    <d v="2025-12-24T00:00:00"/>
    <s v="High Street"/>
    <s v="London"/>
    <s v="Cappuccino"/>
    <s v="Drink"/>
    <n v="2"/>
    <n v="3.8"/>
    <s v="Cash"/>
    <s v="C1448"/>
    <n v="7.6"/>
    <s v="Wednesday"/>
    <s v="December"/>
    <n v="2025"/>
  </r>
  <r>
    <x v="4894"/>
    <d v="2025-12-24T00:00:00"/>
    <s v="High Street"/>
    <s v="Birmingham"/>
    <s v="Espresso"/>
    <s v="Drink"/>
    <n v="3"/>
    <n v="2.5"/>
    <s v="Cash"/>
    <s v="C1101"/>
    <n v="7.5"/>
    <s v="Wednesday"/>
    <s v="December"/>
    <n v="2025"/>
  </r>
  <r>
    <x v="4895"/>
    <d v="2025-12-24T00:00:00"/>
    <s v="Station"/>
    <s v="Bristol"/>
    <s v="Muffin"/>
    <s v="Food"/>
    <n v="3"/>
    <n v="2.2000000000000002"/>
    <s v="Apple Pay"/>
    <s v="C1930"/>
    <n v="6.6000000000000005"/>
    <s v="Wednesday"/>
    <s v="December"/>
    <n v="2025"/>
  </r>
  <r>
    <x v="4896"/>
    <d v="2025-12-24T00:00:00"/>
    <s v="Central"/>
    <s v="Leeds"/>
    <s v="Muffin"/>
    <s v="Food"/>
    <n v="3"/>
    <n v="2.2000000000000002"/>
    <s v="Apple Pay"/>
    <s v="C1817"/>
    <n v="6.6000000000000005"/>
    <s v="Wednesday"/>
    <s v="December"/>
    <n v="2025"/>
  </r>
  <r>
    <x v="4897"/>
    <d v="2025-12-24T00:00:00"/>
    <s v="High Street"/>
    <s v="Leeds"/>
    <s v="Espresso"/>
    <s v="Drink"/>
    <n v="2"/>
    <n v="2.5"/>
    <s v="Card"/>
    <s v="C1301"/>
    <n v="5"/>
    <s v="Wednesday"/>
    <s v="December"/>
    <n v="2025"/>
  </r>
  <r>
    <x v="4898"/>
    <d v="2025-12-24T00:00:00"/>
    <s v="High Street"/>
    <s v="Birmingham"/>
    <s v="Cappuccino"/>
    <s v="Drink"/>
    <n v="1"/>
    <n v="3.8"/>
    <s v="Card"/>
    <s v="C1561"/>
    <n v="3.8"/>
    <s v="Wednesday"/>
    <s v="December"/>
    <n v="2025"/>
  </r>
  <r>
    <x v="4899"/>
    <d v="2025-12-24T00:00:00"/>
    <s v="Station"/>
    <s v="Manchester"/>
    <s v="Cappuccino"/>
    <s v="Drink"/>
    <n v="1"/>
    <n v="3.8"/>
    <s v="Card"/>
    <s v="C1587"/>
    <n v="3.8"/>
    <s v="Wednesday"/>
    <s v="December"/>
    <n v="2025"/>
  </r>
  <r>
    <x v="4900"/>
    <d v="2025-12-24T00:00:00"/>
    <s v="High Street"/>
    <s v="Leeds"/>
    <s v="Latte"/>
    <s v="Drink"/>
    <n v="1"/>
    <n v="3.5"/>
    <s v="Cash"/>
    <s v="C1460"/>
    <n v="3.5"/>
    <s v="Wednesday"/>
    <s v="December"/>
    <n v="2025"/>
  </r>
  <r>
    <x v="4901"/>
    <d v="2025-12-24T00:00:00"/>
    <s v="Central"/>
    <s v="Bristol"/>
    <s v="Latte"/>
    <s v="Drink"/>
    <n v="1"/>
    <n v="3.5"/>
    <s v="Cash"/>
    <s v="C1345"/>
    <n v="3.5"/>
    <s v="Wednesday"/>
    <s v="December"/>
    <n v="2025"/>
  </r>
  <r>
    <x v="4902"/>
    <d v="2025-12-24T00:00:00"/>
    <s v="Station"/>
    <s v="London"/>
    <s v="Croissant"/>
    <s v="Food"/>
    <n v="1"/>
    <n v="2.8"/>
    <s v="Cash"/>
    <s v="C1853"/>
    <n v="2.8"/>
    <s v="Wednesday"/>
    <s v="December"/>
    <n v="2025"/>
  </r>
  <r>
    <x v="4903"/>
    <d v="2025-12-24T00:00:00"/>
    <s v="Riverside"/>
    <s v="Manchester"/>
    <s v="Muffin"/>
    <s v="Food"/>
    <n v="1"/>
    <n v="2.2000000000000002"/>
    <s v="Cash"/>
    <s v="C1154"/>
    <n v="2.2000000000000002"/>
    <s v="Wednesday"/>
    <s v="December"/>
    <n v="2025"/>
  </r>
  <r>
    <x v="4904"/>
    <d v="2025-12-24T00:00:00"/>
    <s v="Station"/>
    <s v="London"/>
    <s v="Muffin"/>
    <s v="Food"/>
    <n v="1"/>
    <n v="2.2000000000000002"/>
    <s v="Cash"/>
    <s v="C1561"/>
    <n v="2.2000000000000002"/>
    <s v="Wednesday"/>
    <s v="December"/>
    <n v="2025"/>
  </r>
  <r>
    <x v="4905"/>
    <d v="2025-12-25T00:00:00"/>
    <s v="High Street"/>
    <s v="London"/>
    <s v="Cappuccino"/>
    <s v="Drink"/>
    <n v="5"/>
    <n v="3.8"/>
    <s v="Cash"/>
    <s v="C1378"/>
    <n v="19"/>
    <s v="Thursday"/>
    <s v="December"/>
    <n v="2025"/>
  </r>
  <r>
    <x v="4906"/>
    <d v="2025-12-25T00:00:00"/>
    <s v="Central"/>
    <s v="Leeds"/>
    <s v="Latte"/>
    <s v="Drink"/>
    <n v="5"/>
    <n v="3.5"/>
    <s v="Cash"/>
    <s v="C1738"/>
    <n v="17.5"/>
    <s v="Thursday"/>
    <s v="December"/>
    <n v="2025"/>
  </r>
  <r>
    <x v="4907"/>
    <d v="2025-12-25T00:00:00"/>
    <s v="Station"/>
    <s v="Bristol"/>
    <s v="Latte"/>
    <s v="Drink"/>
    <n v="4"/>
    <n v="3.5"/>
    <s v="Card"/>
    <s v="C1793"/>
    <n v="14"/>
    <s v="Thursday"/>
    <s v="December"/>
    <n v="2025"/>
  </r>
  <r>
    <x v="4908"/>
    <d v="2025-12-25T00:00:00"/>
    <s v="Riverside"/>
    <s v="Leeds"/>
    <s v="Cappuccino"/>
    <s v="Drink"/>
    <n v="3"/>
    <n v="3.8"/>
    <s v="Apple Pay"/>
    <s v="C1542"/>
    <n v="11.399999999999999"/>
    <s v="Thursday"/>
    <s v="December"/>
    <n v="2025"/>
  </r>
  <r>
    <x v="4909"/>
    <d v="2025-12-25T00:00:00"/>
    <s v="Central"/>
    <s v="Birmingham"/>
    <s v="Cappuccino"/>
    <s v="Drink"/>
    <n v="3"/>
    <n v="3.8"/>
    <s v="Card"/>
    <s v="C1549"/>
    <n v="11.399999999999999"/>
    <s v="Thursday"/>
    <s v="December"/>
    <n v="2025"/>
  </r>
  <r>
    <x v="4910"/>
    <d v="2025-12-25T00:00:00"/>
    <s v="Riverside"/>
    <s v="Leeds"/>
    <s v="Muffin"/>
    <s v="Food"/>
    <n v="5"/>
    <n v="2.2000000000000002"/>
    <s v="Cash"/>
    <s v="C1540"/>
    <n v="11"/>
    <s v="Thursday"/>
    <s v="December"/>
    <n v="2025"/>
  </r>
  <r>
    <x v="4911"/>
    <d v="2025-12-25T00:00:00"/>
    <s v="Station"/>
    <s v="Manchester"/>
    <s v="Espresso"/>
    <s v="Drink"/>
    <n v="4"/>
    <n v="2.5"/>
    <s v="Cash"/>
    <s v="C1809"/>
    <n v="10"/>
    <s v="Thursday"/>
    <s v="December"/>
    <n v="2025"/>
  </r>
  <r>
    <x v="4912"/>
    <d v="2025-12-25T00:00:00"/>
    <s v="Station"/>
    <s v="Birmingham"/>
    <s v="Croissant"/>
    <s v="Food"/>
    <n v="2"/>
    <n v="2.8"/>
    <s v="Apple Pay"/>
    <s v="C1809"/>
    <n v="5.6"/>
    <s v="Thursday"/>
    <s v="December"/>
    <n v="2025"/>
  </r>
  <r>
    <x v="4913"/>
    <d v="2025-12-25T00:00:00"/>
    <s v="Central"/>
    <s v="London"/>
    <s v="Cappuccino"/>
    <s v="Drink"/>
    <n v="1"/>
    <n v="3.8"/>
    <s v="Cash"/>
    <s v="C1293"/>
    <n v="3.8"/>
    <s v="Thursday"/>
    <s v="December"/>
    <n v="2025"/>
  </r>
  <r>
    <x v="4914"/>
    <d v="2025-12-25T00:00:00"/>
    <s v="Riverside"/>
    <s v="Birmingham"/>
    <s v="Latte"/>
    <s v="Drink"/>
    <n v="1"/>
    <n v="3.5"/>
    <s v="Cash"/>
    <s v="C1907"/>
    <n v="3.5"/>
    <s v="Thursday"/>
    <s v="December"/>
    <n v="2025"/>
  </r>
  <r>
    <x v="4915"/>
    <d v="2025-12-25T00:00:00"/>
    <s v="Riverside"/>
    <s v="Leeds"/>
    <s v="Muffin"/>
    <s v="Food"/>
    <n v="1"/>
    <n v="2.2000000000000002"/>
    <s v="Cash"/>
    <s v="C1087"/>
    <n v="2.2000000000000002"/>
    <s v="Thursday"/>
    <s v="December"/>
    <n v="2025"/>
  </r>
  <r>
    <x v="4916"/>
    <d v="2025-12-26T00:00:00"/>
    <s v="High Street"/>
    <s v="Birmingham"/>
    <s v="Cappuccino"/>
    <s v="Drink"/>
    <n v="5"/>
    <n v="3.8"/>
    <s v="Card"/>
    <s v="C1032"/>
    <n v="19"/>
    <s v="Friday"/>
    <s v="December"/>
    <n v="2025"/>
  </r>
  <r>
    <x v="4917"/>
    <d v="2025-12-26T00:00:00"/>
    <s v="Station"/>
    <s v="Bristol"/>
    <s v="Cappuccino"/>
    <s v="Drink"/>
    <n v="4"/>
    <n v="3.8"/>
    <s v="Apple Pay"/>
    <s v="C1530"/>
    <n v="15.2"/>
    <s v="Friday"/>
    <s v="December"/>
    <n v="2025"/>
  </r>
  <r>
    <x v="4918"/>
    <d v="2025-12-26T00:00:00"/>
    <s v="Station"/>
    <s v="Bristol"/>
    <s v="Latte"/>
    <s v="Drink"/>
    <n v="4"/>
    <n v="3.5"/>
    <s v="Apple Pay"/>
    <s v="C1209"/>
    <n v="14"/>
    <s v="Friday"/>
    <s v="December"/>
    <n v="2025"/>
  </r>
  <r>
    <x v="4919"/>
    <d v="2025-12-26T00:00:00"/>
    <s v="Station"/>
    <s v="Birmingham"/>
    <s v="Croissant"/>
    <s v="Food"/>
    <n v="4"/>
    <n v="2.8"/>
    <s v="Card"/>
    <s v="C1230"/>
    <n v="11.2"/>
    <s v="Friday"/>
    <s v="December"/>
    <n v="2025"/>
  </r>
  <r>
    <x v="4920"/>
    <d v="2025-12-26T00:00:00"/>
    <s v="Riverside"/>
    <s v="Leeds"/>
    <s v="Espresso"/>
    <s v="Drink"/>
    <n v="4"/>
    <n v="2.5"/>
    <s v="Apple Pay"/>
    <s v="C1897"/>
    <n v="10"/>
    <s v="Friday"/>
    <s v="December"/>
    <n v="2025"/>
  </r>
  <r>
    <x v="4921"/>
    <d v="2025-12-26T00:00:00"/>
    <s v="Station"/>
    <s v="Birmingham"/>
    <s v="Espresso"/>
    <s v="Drink"/>
    <n v="4"/>
    <n v="2.5"/>
    <s v="Cash"/>
    <s v="C1135"/>
    <n v="10"/>
    <s v="Friday"/>
    <s v="December"/>
    <n v="2025"/>
  </r>
  <r>
    <x v="4922"/>
    <d v="2025-12-26T00:00:00"/>
    <s v="Riverside"/>
    <s v="Manchester"/>
    <s v="Muffin"/>
    <s v="Food"/>
    <n v="4"/>
    <n v="2.2000000000000002"/>
    <s v="Apple Pay"/>
    <s v="C1727"/>
    <n v="8.8000000000000007"/>
    <s v="Friday"/>
    <s v="December"/>
    <n v="2025"/>
  </r>
  <r>
    <x v="4923"/>
    <d v="2025-12-26T00:00:00"/>
    <s v="Station"/>
    <s v="Birmingham"/>
    <s v="Croissant"/>
    <s v="Food"/>
    <n v="3"/>
    <n v="2.8"/>
    <s v="Apple Pay"/>
    <s v="C1056"/>
    <n v="8.3999999999999986"/>
    <s v="Friday"/>
    <s v="December"/>
    <n v="2025"/>
  </r>
  <r>
    <x v="4924"/>
    <d v="2025-12-26T00:00:00"/>
    <s v="Station"/>
    <s v="Leeds"/>
    <s v="Latte"/>
    <s v="Drink"/>
    <n v="2"/>
    <n v="3.5"/>
    <s v="Apple Pay"/>
    <s v="C1899"/>
    <n v="7"/>
    <s v="Friday"/>
    <s v="December"/>
    <n v="2025"/>
  </r>
  <r>
    <x v="4925"/>
    <d v="2025-12-26T00:00:00"/>
    <s v="Central"/>
    <s v="Bristol"/>
    <s v="Latte"/>
    <s v="Drink"/>
    <n v="2"/>
    <n v="3.5"/>
    <s v="Apple Pay"/>
    <s v="C1885"/>
    <n v="7"/>
    <s v="Friday"/>
    <s v="December"/>
    <n v="2025"/>
  </r>
  <r>
    <x v="4926"/>
    <d v="2025-12-26T00:00:00"/>
    <s v="High Street"/>
    <s v="Birmingham"/>
    <s v="Muffin"/>
    <s v="Food"/>
    <n v="3"/>
    <n v="2.2000000000000002"/>
    <s v="Cash"/>
    <s v="C1049"/>
    <n v="6.6000000000000005"/>
    <s v="Friday"/>
    <s v="December"/>
    <n v="2025"/>
  </r>
  <r>
    <x v="4927"/>
    <d v="2025-12-26T00:00:00"/>
    <s v="Station"/>
    <s v="London"/>
    <s v="Croissant"/>
    <s v="Food"/>
    <n v="2"/>
    <n v="2.8"/>
    <s v="Apple Pay"/>
    <s v="C1928"/>
    <n v="5.6"/>
    <s v="Friday"/>
    <s v="December"/>
    <n v="2025"/>
  </r>
  <r>
    <x v="4928"/>
    <d v="2025-12-26T00:00:00"/>
    <s v="High Street"/>
    <s v="Leeds"/>
    <s v="Croissant"/>
    <s v="Food"/>
    <n v="2"/>
    <n v="2.8"/>
    <s v="Card"/>
    <s v="C1257"/>
    <n v="5.6"/>
    <s v="Friday"/>
    <s v="December"/>
    <n v="2025"/>
  </r>
  <r>
    <x v="4929"/>
    <d v="2025-12-26T00:00:00"/>
    <s v="Station"/>
    <s v="Bristol"/>
    <s v="Croissant"/>
    <s v="Food"/>
    <n v="2"/>
    <n v="2.8"/>
    <s v="Card"/>
    <s v="C1252"/>
    <n v="5.6"/>
    <s v="Friday"/>
    <s v="December"/>
    <n v="2025"/>
  </r>
  <r>
    <x v="4930"/>
    <d v="2025-12-26T00:00:00"/>
    <s v="Central"/>
    <s v="Manchester"/>
    <s v="Espresso"/>
    <s v="Drink"/>
    <n v="2"/>
    <n v="2.5"/>
    <s v="Cash"/>
    <s v="C1069"/>
    <n v="5"/>
    <s v="Friday"/>
    <s v="December"/>
    <n v="2025"/>
  </r>
  <r>
    <x v="4931"/>
    <d v="2025-12-26T00:00:00"/>
    <s v="High Street"/>
    <s v="Manchester"/>
    <s v="Cappuccino"/>
    <s v="Drink"/>
    <n v="1"/>
    <n v="3.8"/>
    <s v="Cash"/>
    <s v="C1829"/>
    <n v="3.8"/>
    <s v="Friday"/>
    <s v="December"/>
    <n v="2025"/>
  </r>
  <r>
    <x v="4932"/>
    <d v="2025-12-26T00:00:00"/>
    <s v="Central"/>
    <s v="Leeds"/>
    <s v="Espresso"/>
    <s v="Drink"/>
    <n v="1"/>
    <n v="2.5"/>
    <s v="Card"/>
    <s v="C1441"/>
    <n v="2.5"/>
    <s v="Friday"/>
    <s v="December"/>
    <n v="2025"/>
  </r>
  <r>
    <x v="4933"/>
    <d v="2025-12-26T00:00:00"/>
    <s v="Station"/>
    <s v="Birmingham"/>
    <s v="Muffin"/>
    <s v="Food"/>
    <n v="1"/>
    <n v="2.2000000000000002"/>
    <s v="Apple Pay"/>
    <s v="C1363"/>
    <n v="2.2000000000000002"/>
    <s v="Friday"/>
    <s v="December"/>
    <n v="2025"/>
  </r>
  <r>
    <x v="4934"/>
    <d v="2025-12-27T00:00:00"/>
    <s v="Station"/>
    <s v="London"/>
    <s v="Cappuccino"/>
    <s v="Drink"/>
    <n v="5"/>
    <n v="3.8"/>
    <s v="Card"/>
    <s v="C1760"/>
    <n v="19"/>
    <s v="Saturday"/>
    <s v="December"/>
    <n v="2025"/>
  </r>
  <r>
    <x v="4935"/>
    <d v="2025-12-27T00:00:00"/>
    <s v="Riverside"/>
    <s v="Manchester"/>
    <s v="Latte"/>
    <s v="Drink"/>
    <n v="5"/>
    <n v="3.5"/>
    <s v="Card"/>
    <s v="C1306"/>
    <n v="17.5"/>
    <s v="Saturday"/>
    <s v="December"/>
    <n v="2025"/>
  </r>
  <r>
    <x v="4936"/>
    <d v="2025-12-27T00:00:00"/>
    <s v="High Street"/>
    <s v="Leeds"/>
    <s v="Latte"/>
    <s v="Drink"/>
    <n v="5"/>
    <n v="3.5"/>
    <s v="Card"/>
    <s v="C1924"/>
    <n v="17.5"/>
    <s v="Saturday"/>
    <s v="December"/>
    <n v="2025"/>
  </r>
  <r>
    <x v="4937"/>
    <d v="2025-12-27T00:00:00"/>
    <s v="High Street"/>
    <s v="Bristol"/>
    <s v="Latte"/>
    <s v="Drink"/>
    <n v="4"/>
    <n v="3.5"/>
    <s v="Apple Pay"/>
    <s v="C1402"/>
    <n v="14"/>
    <s v="Saturday"/>
    <s v="December"/>
    <n v="2025"/>
  </r>
  <r>
    <x v="4938"/>
    <d v="2025-12-27T00:00:00"/>
    <s v="Riverside"/>
    <s v="Birmingham"/>
    <s v="Muffin"/>
    <s v="Food"/>
    <n v="5"/>
    <n v="2.2000000000000002"/>
    <s v="Card"/>
    <s v="C1292"/>
    <n v="11"/>
    <s v="Saturday"/>
    <s v="December"/>
    <n v="2025"/>
  </r>
  <r>
    <x v="4939"/>
    <d v="2025-12-27T00:00:00"/>
    <s v="Riverside"/>
    <s v="Manchester"/>
    <s v="Croissant"/>
    <s v="Food"/>
    <n v="2"/>
    <n v="2.8"/>
    <s v="Cash"/>
    <s v="C1848"/>
    <n v="5.6"/>
    <s v="Saturday"/>
    <s v="December"/>
    <n v="2025"/>
  </r>
  <r>
    <x v="4940"/>
    <d v="2025-12-27T00:00:00"/>
    <s v="Central"/>
    <s v="Birmingham"/>
    <s v="Croissant"/>
    <s v="Food"/>
    <n v="2"/>
    <n v="2.8"/>
    <s v="Card"/>
    <s v="C1135"/>
    <n v="5.6"/>
    <s v="Saturday"/>
    <s v="December"/>
    <n v="2025"/>
  </r>
  <r>
    <x v="4941"/>
    <d v="2025-12-27T00:00:00"/>
    <s v="Riverside"/>
    <s v="Bristol"/>
    <s v="Muffin"/>
    <s v="Food"/>
    <n v="2"/>
    <n v="2.2000000000000002"/>
    <s v="Apple Pay"/>
    <s v="C1835"/>
    <n v="4.4000000000000004"/>
    <s v="Saturday"/>
    <s v="December"/>
    <n v="2025"/>
  </r>
  <r>
    <x v="4942"/>
    <d v="2025-12-27T00:00:00"/>
    <s v="High Street"/>
    <s v="Leeds"/>
    <s v="Muffin"/>
    <s v="Food"/>
    <n v="2"/>
    <n v="2.2000000000000002"/>
    <s v="Cash"/>
    <s v="C1064"/>
    <n v="4.4000000000000004"/>
    <s v="Saturday"/>
    <s v="December"/>
    <n v="2025"/>
  </r>
  <r>
    <x v="4943"/>
    <d v="2025-12-27T00:00:00"/>
    <s v="Station"/>
    <s v="Bristol"/>
    <s v="Latte"/>
    <s v="Drink"/>
    <n v="1"/>
    <n v="3.5"/>
    <s v="Apple Pay"/>
    <s v="C1555"/>
    <n v="3.5"/>
    <s v="Saturday"/>
    <s v="December"/>
    <n v="2025"/>
  </r>
  <r>
    <x v="4944"/>
    <d v="2025-12-27T00:00:00"/>
    <s v="High Street"/>
    <s v="London"/>
    <s v="Croissant"/>
    <s v="Food"/>
    <n v="1"/>
    <n v="2.8"/>
    <s v="Cash"/>
    <s v="C1000"/>
    <n v="2.8"/>
    <s v="Saturday"/>
    <s v="December"/>
    <n v="2025"/>
  </r>
  <r>
    <x v="4945"/>
    <d v="2025-12-28T00:00:00"/>
    <s v="High Street"/>
    <s v="London"/>
    <s v="Latte"/>
    <s v="Drink"/>
    <n v="5"/>
    <n v="3.5"/>
    <s v="Card"/>
    <s v="C1249"/>
    <n v="17.5"/>
    <s v="Sunday"/>
    <s v="December"/>
    <n v="2025"/>
  </r>
  <r>
    <x v="4946"/>
    <d v="2025-12-28T00:00:00"/>
    <s v="Central"/>
    <s v="London"/>
    <s v="Cappuccino"/>
    <s v="Drink"/>
    <n v="4"/>
    <n v="3.8"/>
    <s v="Apple Pay"/>
    <s v="C1507"/>
    <n v="15.2"/>
    <s v="Sunday"/>
    <s v="December"/>
    <n v="2025"/>
  </r>
  <r>
    <x v="4947"/>
    <d v="2025-12-28T00:00:00"/>
    <s v="Station"/>
    <s v="Bristol"/>
    <s v="Latte"/>
    <s v="Drink"/>
    <n v="3"/>
    <n v="3.5"/>
    <s v="Apple Pay"/>
    <s v="C1939"/>
    <n v="10.5"/>
    <s v="Sunday"/>
    <s v="December"/>
    <n v="2025"/>
  </r>
  <r>
    <x v="4948"/>
    <d v="2025-12-28T00:00:00"/>
    <s v="Riverside"/>
    <s v="Leeds"/>
    <s v="Croissant"/>
    <s v="Food"/>
    <n v="2"/>
    <n v="2.8"/>
    <s v="Cash"/>
    <s v="C1421"/>
    <n v="5.6"/>
    <s v="Sunday"/>
    <s v="December"/>
    <n v="2025"/>
  </r>
  <r>
    <x v="4949"/>
    <d v="2025-12-28T00:00:00"/>
    <s v="Station"/>
    <s v="London"/>
    <s v="Croissant"/>
    <s v="Food"/>
    <n v="2"/>
    <n v="2.8"/>
    <s v="Card"/>
    <s v="C1202"/>
    <n v="5.6"/>
    <s v="Sunday"/>
    <s v="December"/>
    <n v="2025"/>
  </r>
  <r>
    <x v="4950"/>
    <d v="2025-12-28T00:00:00"/>
    <s v="Station"/>
    <s v="Manchester"/>
    <s v="Espresso"/>
    <s v="Drink"/>
    <n v="2"/>
    <n v="2.5"/>
    <s v="Cash"/>
    <s v="C1565"/>
    <n v="5"/>
    <s v="Sunday"/>
    <s v="December"/>
    <n v="2025"/>
  </r>
  <r>
    <x v="4951"/>
    <d v="2025-12-28T00:00:00"/>
    <s v="Station"/>
    <s v="Manchester"/>
    <s v="Croissant"/>
    <s v="Food"/>
    <n v="1"/>
    <n v="2.8"/>
    <s v="Apple Pay"/>
    <s v="C1784"/>
    <n v="2.8"/>
    <s v="Sunday"/>
    <s v="December"/>
    <n v="2025"/>
  </r>
  <r>
    <x v="4952"/>
    <d v="2025-12-28T00:00:00"/>
    <s v="Station"/>
    <s v="Birmingham"/>
    <s v="Espresso"/>
    <s v="Drink"/>
    <n v="1"/>
    <n v="2.5"/>
    <s v="Card"/>
    <s v="C1316"/>
    <n v="2.5"/>
    <s v="Sunday"/>
    <s v="December"/>
    <n v="2025"/>
  </r>
  <r>
    <x v="4953"/>
    <d v="2025-12-29T00:00:00"/>
    <s v="Riverside"/>
    <s v="Leeds"/>
    <s v="Cappuccino"/>
    <s v="Drink"/>
    <n v="5"/>
    <n v="3.8"/>
    <s v="Card"/>
    <s v="C1011"/>
    <n v="19"/>
    <s v="Monday"/>
    <s v="December"/>
    <n v="2025"/>
  </r>
  <r>
    <x v="4954"/>
    <d v="2025-12-29T00:00:00"/>
    <s v="Station"/>
    <s v="Birmingham"/>
    <s v="Latte"/>
    <s v="Drink"/>
    <n v="5"/>
    <n v="3.5"/>
    <s v="Cash"/>
    <s v="C1177"/>
    <n v="17.5"/>
    <s v="Monday"/>
    <s v="December"/>
    <n v="2025"/>
  </r>
  <r>
    <x v="4955"/>
    <d v="2025-12-29T00:00:00"/>
    <s v="High Street"/>
    <s v="London"/>
    <s v="Latte"/>
    <s v="Drink"/>
    <n v="3"/>
    <n v="3.5"/>
    <s v="Apple Pay"/>
    <s v="C1800"/>
    <n v="10.5"/>
    <s v="Monday"/>
    <s v="December"/>
    <n v="2025"/>
  </r>
  <r>
    <x v="4956"/>
    <d v="2025-12-29T00:00:00"/>
    <s v="Central"/>
    <s v="Manchester"/>
    <s v="Espresso"/>
    <s v="Drink"/>
    <n v="4"/>
    <n v="2.5"/>
    <s v="Apple Pay"/>
    <s v="C1703"/>
    <n v="10"/>
    <s v="Monday"/>
    <s v="December"/>
    <n v="2025"/>
  </r>
  <r>
    <x v="4957"/>
    <d v="2025-12-29T00:00:00"/>
    <s v="Riverside"/>
    <s v="Leeds"/>
    <s v="Espresso"/>
    <s v="Drink"/>
    <n v="4"/>
    <n v="2.5"/>
    <s v="Cash"/>
    <s v="C1730"/>
    <n v="10"/>
    <s v="Monday"/>
    <s v="December"/>
    <n v="2025"/>
  </r>
  <r>
    <x v="4958"/>
    <d v="2025-12-29T00:00:00"/>
    <s v="Central"/>
    <s v="London"/>
    <s v="Muffin"/>
    <s v="Food"/>
    <n v="4"/>
    <n v="2.2000000000000002"/>
    <s v="Apple Pay"/>
    <s v="C1848"/>
    <n v="8.8000000000000007"/>
    <s v="Monday"/>
    <s v="December"/>
    <n v="2025"/>
  </r>
  <r>
    <x v="4959"/>
    <d v="2025-12-29T00:00:00"/>
    <s v="Riverside"/>
    <s v="Manchester"/>
    <s v="Espresso"/>
    <s v="Drink"/>
    <n v="3"/>
    <n v="2.5"/>
    <s v="Apple Pay"/>
    <s v="C1685"/>
    <n v="7.5"/>
    <s v="Monday"/>
    <s v="December"/>
    <n v="2025"/>
  </r>
  <r>
    <x v="4960"/>
    <d v="2025-12-29T00:00:00"/>
    <s v="Riverside"/>
    <s v="Manchester"/>
    <s v="Espresso"/>
    <s v="Drink"/>
    <n v="2"/>
    <n v="2.5"/>
    <s v="Apple Pay"/>
    <s v="C1220"/>
    <n v="5"/>
    <s v="Monday"/>
    <s v="December"/>
    <n v="2025"/>
  </r>
  <r>
    <x v="4961"/>
    <d v="2025-12-29T00:00:00"/>
    <s v="Riverside"/>
    <s v="Birmingham"/>
    <s v="Espresso"/>
    <s v="Drink"/>
    <n v="2"/>
    <n v="2.5"/>
    <s v="Cash"/>
    <s v="C1256"/>
    <n v="5"/>
    <s v="Monday"/>
    <s v="December"/>
    <n v="2025"/>
  </r>
  <r>
    <x v="4962"/>
    <d v="2025-12-29T00:00:00"/>
    <s v="High Street"/>
    <s v="Manchester"/>
    <s v="Cappuccino"/>
    <s v="Drink"/>
    <n v="1"/>
    <n v="3.8"/>
    <s v="Card"/>
    <s v="C1779"/>
    <n v="3.8"/>
    <s v="Monday"/>
    <s v="December"/>
    <n v="2025"/>
  </r>
  <r>
    <x v="4963"/>
    <d v="2025-12-29T00:00:00"/>
    <s v="Station"/>
    <s v="Bristol"/>
    <s v="Croissant"/>
    <s v="Food"/>
    <n v="1"/>
    <n v="2.8"/>
    <s v="Apple Pay"/>
    <s v="C1824"/>
    <n v="2.8"/>
    <s v="Monday"/>
    <s v="December"/>
    <n v="2025"/>
  </r>
  <r>
    <x v="4964"/>
    <d v="2025-12-29T00:00:00"/>
    <s v="Riverside"/>
    <s v="Manchester"/>
    <s v="Espresso"/>
    <s v="Drink"/>
    <n v="1"/>
    <n v="2.5"/>
    <s v="Apple Pay"/>
    <s v="C1427"/>
    <n v="2.5"/>
    <s v="Monday"/>
    <s v="December"/>
    <n v="2025"/>
  </r>
  <r>
    <x v="4965"/>
    <d v="2025-12-29T00:00:00"/>
    <s v="Central"/>
    <s v="Birmingham"/>
    <s v="Muffin"/>
    <s v="Food"/>
    <n v="1"/>
    <n v="2.2000000000000002"/>
    <s v="Card"/>
    <s v="C1527"/>
    <n v="2.2000000000000002"/>
    <s v="Monday"/>
    <s v="December"/>
    <n v="2025"/>
  </r>
  <r>
    <x v="4966"/>
    <d v="2025-12-30T00:00:00"/>
    <s v="Central"/>
    <s v="London"/>
    <s v="Cappuccino"/>
    <s v="Drink"/>
    <n v="3"/>
    <n v="3.8"/>
    <s v="Apple Pay"/>
    <s v="C1685"/>
    <n v="11.399999999999999"/>
    <s v="Tuesday"/>
    <s v="December"/>
    <n v="2025"/>
  </r>
  <r>
    <x v="4967"/>
    <d v="2025-12-30T00:00:00"/>
    <s v="High Street"/>
    <s v="London"/>
    <s v="Muffin"/>
    <s v="Food"/>
    <n v="4"/>
    <n v="2.2000000000000002"/>
    <s v="Cash"/>
    <s v="C1762"/>
    <n v="8.8000000000000007"/>
    <s v="Tuesday"/>
    <s v="December"/>
    <n v="2025"/>
  </r>
  <r>
    <x v="4968"/>
    <d v="2025-12-30T00:00:00"/>
    <s v="Station"/>
    <s v="Manchester"/>
    <s v="Espresso"/>
    <s v="Drink"/>
    <n v="3"/>
    <n v="2.5"/>
    <s v="Card"/>
    <s v="C1638"/>
    <n v="7.5"/>
    <s v="Tuesday"/>
    <s v="December"/>
    <n v="2025"/>
  </r>
  <r>
    <x v="4969"/>
    <d v="2025-12-30T00:00:00"/>
    <s v="Riverside"/>
    <s v="London"/>
    <s v="Espresso"/>
    <s v="Drink"/>
    <n v="2"/>
    <n v="2.5"/>
    <s v="Card"/>
    <s v="C1975"/>
    <n v="5"/>
    <s v="Tuesday"/>
    <s v="December"/>
    <n v="2025"/>
  </r>
  <r>
    <x v="4970"/>
    <d v="2025-12-30T00:00:00"/>
    <s v="High Street"/>
    <s v="Leeds"/>
    <s v="Muffin"/>
    <s v="Food"/>
    <n v="2"/>
    <n v="2.2000000000000002"/>
    <s v="Card"/>
    <s v="C1474"/>
    <n v="4.4000000000000004"/>
    <s v="Tuesday"/>
    <s v="December"/>
    <n v="2025"/>
  </r>
  <r>
    <x v="4971"/>
    <d v="2025-12-30T00:00:00"/>
    <s v="High Street"/>
    <s v="Manchester"/>
    <s v="Muffin"/>
    <s v="Food"/>
    <n v="2"/>
    <n v="2.2000000000000002"/>
    <s v="Card"/>
    <s v="C1061"/>
    <n v="4.4000000000000004"/>
    <s v="Tuesday"/>
    <s v="December"/>
    <n v="2025"/>
  </r>
  <r>
    <x v="4972"/>
    <d v="2025-12-30T00:00:00"/>
    <s v="Riverside"/>
    <s v="Birmingham"/>
    <s v="Cappuccino"/>
    <s v="Drink"/>
    <n v="1"/>
    <n v="3.8"/>
    <s v="Card"/>
    <s v="C1099"/>
    <n v="3.8"/>
    <s v="Tuesday"/>
    <s v="December"/>
    <n v="2025"/>
  </r>
  <r>
    <x v="4973"/>
    <d v="2025-12-30T00:00:00"/>
    <s v="Riverside"/>
    <s v="Manchester"/>
    <s v="Muffin"/>
    <s v="Food"/>
    <n v="1"/>
    <n v="2.2000000000000002"/>
    <s v="Cash"/>
    <s v="C1548"/>
    <n v="2.2000000000000002"/>
    <s v="Tuesday"/>
    <s v="December"/>
    <n v="2025"/>
  </r>
  <r>
    <x v="4974"/>
    <d v="2025-12-30T00:00:00"/>
    <s v="Station"/>
    <s v="London"/>
    <s v="Muffin"/>
    <s v="Food"/>
    <n v="1"/>
    <n v="2.2000000000000002"/>
    <s v="Apple Pay"/>
    <s v="C1474"/>
    <n v="2.2000000000000002"/>
    <s v="Tuesday"/>
    <s v="December"/>
    <n v="2025"/>
  </r>
  <r>
    <x v="4975"/>
    <d v="2025-12-31T00:00:00"/>
    <s v="Riverside"/>
    <s v="Birmingham"/>
    <s v="Croissant"/>
    <s v="Food"/>
    <n v="5"/>
    <n v="2.8"/>
    <s v="Card"/>
    <s v="C1092"/>
    <n v="14"/>
    <s v="Wednesday"/>
    <s v="December"/>
    <n v="2025"/>
  </r>
  <r>
    <x v="4976"/>
    <d v="2025-12-31T00:00:00"/>
    <s v="Station"/>
    <s v="Birmingham"/>
    <s v="Cappuccino"/>
    <s v="Drink"/>
    <n v="3"/>
    <n v="3.8"/>
    <s v="Card"/>
    <s v="C1978"/>
    <n v="11.399999999999999"/>
    <s v="Wednesday"/>
    <s v="December"/>
    <n v="2025"/>
  </r>
  <r>
    <x v="4977"/>
    <d v="2025-12-31T00:00:00"/>
    <s v="High Street"/>
    <s v="London"/>
    <s v="Croissant"/>
    <s v="Food"/>
    <n v="4"/>
    <n v="2.8"/>
    <s v="Apple Pay"/>
    <s v="C1672"/>
    <n v="11.2"/>
    <s v="Wednesday"/>
    <s v="December"/>
    <n v="2025"/>
  </r>
  <r>
    <x v="4978"/>
    <d v="2025-12-31T00:00:00"/>
    <s v="High Street"/>
    <s v="Bristol"/>
    <s v="Espresso"/>
    <s v="Drink"/>
    <n v="4"/>
    <n v="2.5"/>
    <s v="Card"/>
    <s v="C1660"/>
    <n v="10"/>
    <s v="Wednesday"/>
    <s v="December"/>
    <n v="2025"/>
  </r>
  <r>
    <x v="4979"/>
    <d v="2025-12-31T00:00:00"/>
    <s v="High Street"/>
    <s v="Manchester"/>
    <s v="Muffin"/>
    <s v="Food"/>
    <n v="4"/>
    <n v="2.2000000000000002"/>
    <s v="Cash"/>
    <s v="C1294"/>
    <n v="8.8000000000000007"/>
    <s v="Wednesday"/>
    <s v="December"/>
    <n v="2025"/>
  </r>
  <r>
    <x v="4980"/>
    <d v="2025-12-31T00:00:00"/>
    <s v="Central"/>
    <s v="Birmingham"/>
    <s v="Muffin"/>
    <s v="Food"/>
    <n v="4"/>
    <n v="2.2000000000000002"/>
    <s v="Card"/>
    <s v="C1963"/>
    <n v="8.8000000000000007"/>
    <s v="Wednesday"/>
    <s v="December"/>
    <n v="2025"/>
  </r>
  <r>
    <x v="4981"/>
    <d v="2025-12-31T00:00:00"/>
    <s v="Riverside"/>
    <s v="Bristol"/>
    <s v="Latte"/>
    <s v="Drink"/>
    <n v="2"/>
    <n v="3.5"/>
    <s v="Cash"/>
    <s v="C1124"/>
    <n v="7"/>
    <s v="Wednesday"/>
    <s v="December"/>
    <n v="2025"/>
  </r>
  <r>
    <x v="4982"/>
    <d v="2025-12-31T00:00:00"/>
    <s v="Station"/>
    <s v="Bristol"/>
    <s v="Muffin"/>
    <s v="Food"/>
    <n v="3"/>
    <n v="2.2000000000000002"/>
    <s v="Card"/>
    <s v="C1869"/>
    <n v="6.6000000000000005"/>
    <s v="Wednesday"/>
    <s v="December"/>
    <n v="2025"/>
  </r>
  <r>
    <x v="4983"/>
    <d v="2025-12-31T00:00:00"/>
    <s v="High Street"/>
    <s v="London"/>
    <s v="Muffin"/>
    <s v="Food"/>
    <n v="2"/>
    <n v="2.2000000000000002"/>
    <s v="Apple Pay"/>
    <s v="C1583"/>
    <n v="4.4000000000000004"/>
    <s v="Wednesday"/>
    <s v="December"/>
    <n v="2025"/>
  </r>
  <r>
    <x v="4984"/>
    <d v="2025-12-31T00:00:00"/>
    <s v="Station"/>
    <s v="Birmingham"/>
    <s v="Croissant"/>
    <s v="Food"/>
    <n v="1"/>
    <n v="2.8"/>
    <s v="Cash"/>
    <s v="C1655"/>
    <n v="2.8"/>
    <s v="Wednesday"/>
    <s v="December"/>
    <n v="2025"/>
  </r>
  <r>
    <x v="4985"/>
    <d v="2025-12-31T00:00:00"/>
    <s v="Central"/>
    <s v="London"/>
    <s v="Espresso"/>
    <s v="Drink"/>
    <n v="1"/>
    <n v="2.5"/>
    <s v="Cash"/>
    <s v="C1108"/>
    <n v="2.5"/>
    <s v="Wednesday"/>
    <s v="December"/>
    <n v="2025"/>
  </r>
  <r>
    <x v="4986"/>
    <d v="2025-12-31T00:00:00"/>
    <s v="Central"/>
    <s v="Birmingham"/>
    <s v="Muffin"/>
    <s v="Food"/>
    <n v="1"/>
    <n v="2.2000000000000002"/>
    <s v="Card"/>
    <s v="C1464"/>
    <n v="2.2000000000000002"/>
    <s v="Wednesday"/>
    <s v="December"/>
    <n v="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B87567-4349-4F27-BCBF-3F684012B7EE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4989" firstHeaderRow="1" firstDataRow="1" firstDataCol="1"/>
  <pivotFields count="14">
    <pivotField axis="axisRow" showAll="0">
      <items count="4988">
        <item x="362"/>
        <item x="471"/>
        <item x="1771"/>
        <item x="3492"/>
        <item x="35"/>
        <item x="173"/>
        <item x="1783"/>
        <item x="363"/>
        <item x="3401"/>
        <item x="955"/>
        <item x="2045"/>
        <item x="4900"/>
        <item x="712"/>
        <item x="3729"/>
        <item x="687"/>
        <item x="824"/>
        <item x="1808"/>
        <item x="23"/>
        <item x="794"/>
        <item x="3236"/>
        <item x="241"/>
        <item x="4732"/>
        <item x="2641"/>
        <item x="2486"/>
        <item x="2307"/>
        <item x="1578"/>
        <item x="1237"/>
        <item x="4408"/>
        <item x="2760"/>
        <item x="3411"/>
        <item x="1477"/>
        <item x="1746"/>
        <item x="4035"/>
        <item x="441"/>
        <item x="2720"/>
        <item x="4385"/>
        <item x="412"/>
        <item x="370"/>
        <item x="3123"/>
        <item x="1883"/>
        <item x="2977"/>
        <item x="172"/>
        <item x="3375"/>
        <item x="480"/>
        <item x="1410"/>
        <item x="2762"/>
        <item x="4308"/>
        <item x="2191"/>
        <item x="3858"/>
        <item x="970"/>
        <item x="198"/>
        <item x="243"/>
        <item x="3482"/>
        <item x="4567"/>
        <item x="3179"/>
        <item x="3970"/>
        <item x="4204"/>
        <item x="3008"/>
        <item x="1614"/>
        <item x="2464"/>
        <item x="1037"/>
        <item x="1172"/>
        <item x="917"/>
        <item x="2528"/>
        <item x="1707"/>
        <item x="3112"/>
        <item x="3049"/>
        <item x="4574"/>
        <item x="3947"/>
        <item x="4215"/>
        <item x="465"/>
        <item x="2802"/>
        <item x="1687"/>
        <item x="4472"/>
        <item x="3824"/>
        <item x="4214"/>
        <item x="2293"/>
        <item x="3593"/>
        <item x="2272"/>
        <item x="1404"/>
        <item x="2113"/>
        <item x="3080"/>
        <item x="4696"/>
        <item x="987"/>
        <item x="3353"/>
        <item x="72"/>
        <item x="2091"/>
        <item x="2424"/>
        <item x="2395"/>
        <item x="4286"/>
        <item x="3010"/>
        <item x="2246"/>
        <item x="3602"/>
        <item x="3060"/>
        <item x="3637"/>
        <item x="1155"/>
        <item x="3765"/>
        <item x="284"/>
        <item x="1004"/>
        <item x="4235"/>
        <item x="4361"/>
        <item x="1954"/>
        <item x="2568"/>
        <item x="3979"/>
        <item x="1488"/>
        <item x="2249"/>
        <item x="3487"/>
        <item x="2457"/>
        <item x="2210"/>
        <item x="3287"/>
        <item x="1965"/>
        <item x="3093"/>
        <item x="2912"/>
        <item x="4426"/>
        <item x="1608"/>
        <item x="4556"/>
        <item x="626"/>
        <item x="486"/>
        <item x="2232"/>
        <item x="2153"/>
        <item x="3020"/>
        <item x="3394"/>
        <item x="618"/>
        <item x="953"/>
        <item x="3124"/>
        <item x="3938"/>
        <item x="738"/>
        <item x="4335"/>
        <item x="2117"/>
        <item x="2145"/>
        <item x="58"/>
        <item x="4280"/>
        <item x="1260"/>
        <item x="3013"/>
        <item x="4920"/>
        <item x="124"/>
        <item x="3647"/>
        <item x="436"/>
        <item x="1003"/>
        <item x="235"/>
        <item x="3499"/>
        <item x="4398"/>
        <item x="1577"/>
        <item x="999"/>
        <item x="3414"/>
        <item x="3488"/>
        <item x="1644"/>
        <item x="1794"/>
        <item x="2365"/>
        <item x="2624"/>
        <item x="2691"/>
        <item x="643"/>
        <item x="3962"/>
        <item x="4110"/>
        <item x="62"/>
        <item x="3975"/>
        <item x="1935"/>
        <item x="2007"/>
        <item x="1832"/>
        <item x="4194"/>
        <item x="926"/>
        <item x="4220"/>
        <item x="3214"/>
        <item x="578"/>
        <item x="4148"/>
        <item x="2969"/>
        <item x="3663"/>
        <item x="2812"/>
        <item x="648"/>
        <item x="4479"/>
        <item x="1958"/>
        <item x="2485"/>
        <item x="221"/>
        <item x="4131"/>
        <item x="11"/>
        <item x="1544"/>
        <item x="624"/>
        <item x="1437"/>
        <item x="2838"/>
        <item x="81"/>
        <item x="1737"/>
        <item x="1592"/>
        <item x="3687"/>
        <item x="756"/>
        <item x="2662"/>
        <item x="3509"/>
        <item x="413"/>
        <item x="935"/>
        <item x="4726"/>
        <item x="3527"/>
        <item x="4310"/>
        <item x="950"/>
        <item x="2956"/>
        <item x="3301"/>
        <item x="4632"/>
        <item x="1009"/>
        <item x="1945"/>
        <item x="1034"/>
        <item x="1006"/>
        <item x="2126"/>
        <item x="1264"/>
        <item x="546"/>
        <item x="4749"/>
        <item x="932"/>
        <item x="2678"/>
        <item x="2198"/>
        <item x="356"/>
        <item x="4784"/>
        <item x="2324"/>
        <item x="2203"/>
        <item x="3395"/>
        <item x="2654"/>
        <item x="4543"/>
        <item x="858"/>
        <item x="335"/>
        <item x="3923"/>
        <item x="1226"/>
        <item x="3245"/>
        <item x="4862"/>
        <item x="4116"/>
        <item x="4895"/>
        <item x="295"/>
        <item x="2334"/>
        <item x="2851"/>
        <item x="3679"/>
        <item x="3920"/>
        <item x="2227"/>
        <item x="4223"/>
        <item x="4028"/>
        <item x="1752"/>
        <item x="3675"/>
        <item x="3935"/>
        <item x="379"/>
        <item x="2208"/>
        <item x="4105"/>
        <item x="2352"/>
        <item x="3914"/>
        <item x="4939"/>
        <item x="3758"/>
        <item x="3021"/>
        <item x="2450"/>
        <item x="666"/>
        <item x="4063"/>
        <item x="927"/>
        <item x="1507"/>
        <item x="4225"/>
        <item x="4"/>
        <item x="3463"/>
        <item x="232"/>
        <item x="374"/>
        <item x="216"/>
        <item x="1242"/>
        <item x="1089"/>
        <item x="347"/>
        <item x="1285"/>
        <item x="3585"/>
        <item x="415"/>
        <item x="1084"/>
        <item x="2545"/>
        <item x="1559"/>
        <item x="1766"/>
        <item x="2098"/>
        <item x="3143"/>
        <item x="669"/>
        <item x="433"/>
        <item x="2323"/>
        <item x="4601"/>
        <item x="1843"/>
        <item x="3510"/>
        <item x="3525"/>
        <item x="3740"/>
        <item x="2305"/>
        <item x="1055"/>
        <item x="1104"/>
        <item x="1932"/>
        <item x="2379"/>
        <item x="4532"/>
        <item x="1536"/>
        <item x="1452"/>
        <item x="3289"/>
        <item x="4044"/>
        <item x="1271"/>
        <item x="4458"/>
        <item x="3346"/>
        <item x="394"/>
        <item x="3263"/>
        <item x="4772"/>
        <item x="3386"/>
        <item x="812"/>
        <item x="3572"/>
        <item x="1223"/>
        <item x="456"/>
        <item x="2939"/>
        <item x="280"/>
        <item x="309"/>
        <item x="4973"/>
        <item x="1358"/>
        <item x="2086"/>
        <item x="2004"/>
        <item x="1928"/>
        <item x="2156"/>
        <item x="1866"/>
        <item x="2264"/>
        <item x="3450"/>
        <item x="4011"/>
        <item x="2773"/>
        <item x="77"/>
        <item x="1231"/>
        <item x="3393"/>
        <item x="4609"/>
        <item x="4762"/>
        <item x="2366"/>
        <item x="120"/>
        <item x="2029"/>
        <item x="1085"/>
        <item x="1053"/>
        <item x="3052"/>
        <item x="3726"/>
        <item x="866"/>
        <item x="261"/>
        <item x="4336"/>
        <item x="4177"/>
        <item x="3295"/>
        <item x="635"/>
        <item x="1495"/>
        <item x="3582"/>
        <item x="2218"/>
        <item x="1684"/>
        <item x="977"/>
        <item x="4313"/>
        <item x="2759"/>
        <item x="1718"/>
        <item x="3869"/>
        <item x="2917"/>
        <item x="667"/>
        <item x="177"/>
        <item x="2600"/>
        <item x="2225"/>
        <item x="1767"/>
        <item x="2958"/>
        <item x="3808"/>
        <item x="488"/>
        <item x="319"/>
        <item x="1497"/>
        <item x="1574"/>
        <item x="3557"/>
        <item x="2466"/>
        <item x="4630"/>
        <item x="2693"/>
        <item x="753"/>
        <item x="2633"/>
        <item x="4918"/>
        <item x="1755"/>
        <item x="481"/>
        <item x="1639"/>
        <item x="3847"/>
        <item x="2142"/>
        <item x="2603"/>
        <item x="3360"/>
        <item x="3191"/>
        <item x="1123"/>
        <item x="2489"/>
        <item x="168"/>
        <item x="2743"/>
        <item x="2331"/>
        <item x="460"/>
        <item x="978"/>
        <item x="2776"/>
        <item x="976"/>
        <item x="4922"/>
        <item x="2341"/>
        <item x="2090"/>
        <item x="16"/>
        <item x="155"/>
        <item x="3932"/>
        <item x="3428"/>
        <item x="921"/>
        <item x="2030"/>
        <item x="1276"/>
        <item x="2549"/>
        <item x="3457"/>
        <item x="4581"/>
        <item x="1573"/>
        <item x="4216"/>
        <item x="2675"/>
        <item x="4890"/>
        <item x="2964"/>
        <item x="103"/>
        <item x="1971"/>
        <item x="1403"/>
        <item x="2588"/>
        <item x="1789"/>
        <item x="928"/>
        <item x="1483"/>
        <item x="3178"/>
        <item x="4755"/>
        <item x="1778"/>
        <item x="4185"/>
        <item x="2996"/>
        <item x="74"/>
        <item x="3683"/>
        <item x="2715"/>
        <item x="2182"/>
        <item x="3855"/>
        <item x="2312"/>
        <item x="2712"/>
        <item x="623"/>
        <item x="3361"/>
        <item x="4355"/>
        <item x="1678"/>
        <item x="59"/>
        <item x="3439"/>
        <item x="3451"/>
        <item x="1594"/>
        <item x="822"/>
        <item x="1514"/>
        <item x="1938"/>
        <item x="3717"/>
        <item x="2429"/>
        <item x="1811"/>
        <item x="2477"/>
        <item x="4933"/>
        <item x="1030"/>
        <item x="2387"/>
        <item x="1385"/>
        <item x="996"/>
        <item x="3037"/>
        <item x="4323"/>
        <item x="2418"/>
        <item x="1874"/>
        <item x="326"/>
        <item x="1813"/>
        <item x="2140"/>
        <item x="2852"/>
        <item x="3715"/>
        <item x="2716"/>
        <item x="1950"/>
        <item x="3969"/>
        <item x="3652"/>
        <item x="2590"/>
        <item x="3530"/>
        <item x="2514"/>
        <item x="785"/>
        <item x="2155"/>
        <item x="2129"/>
        <item x="1953"/>
        <item x="1302"/>
        <item x="789"/>
        <item x="739"/>
        <item x="1723"/>
        <item x="838"/>
        <item x="1782"/>
        <item x="909"/>
        <item x="2634"/>
        <item x="4964"/>
        <item x="2170"/>
        <item x="3915"/>
        <item x="1579"/>
        <item x="4794"/>
        <item x="3322"/>
        <item x="2195"/>
        <item x="4126"/>
        <item x="780"/>
        <item x="4012"/>
        <item x="397"/>
        <item x="4613"/>
        <item x="2174"/>
        <item x="25"/>
        <item x="640"/>
        <item x="2829"/>
        <item x="4362"/>
        <item x="3208"/>
        <item x="4127"/>
        <item x="1532"/>
        <item x="1681"/>
        <item x="4423"/>
        <item x="3162"/>
        <item x="1585"/>
        <item x="4625"/>
        <item x="1763"/>
        <item x="592"/>
        <item x="8"/>
        <item x="4128"/>
        <item x="2230"/>
        <item x="1760"/>
        <item x="925"/>
        <item x="2187"/>
        <item x="2945"/>
        <item x="4793"/>
        <item x="51"/>
        <item x="4944"/>
        <item x="1796"/>
        <item x="3876"/>
        <item x="2874"/>
        <item x="2228"/>
        <item x="1196"/>
        <item x="4712"/>
        <item x="744"/>
        <item x="4255"/>
        <item x="619"/>
        <item x="2242"/>
        <item x="3312"/>
        <item x="409"/>
        <item x="4739"/>
        <item x="3240"/>
        <item x="1926"/>
        <item x="1153"/>
        <item x="2149"/>
        <item x="3291"/>
        <item x="4357"/>
        <item x="1401"/>
        <item x="4859"/>
        <item x="1880"/>
        <item x="3565"/>
        <item x="914"/>
        <item x="1910"/>
        <item x="3104"/>
        <item x="4268"/>
        <item x="351"/>
        <item x="1524"/>
        <item x="3873"/>
        <item x="1389"/>
        <item x="2148"/>
        <item x="1489"/>
        <item x="2301"/>
        <item x="1303"/>
        <item x="434"/>
        <item x="3173"/>
        <item x="1444"/>
        <item x="1340"/>
        <item x="3264"/>
        <item x="4253"/>
        <item x="1493"/>
        <item x="2074"/>
        <item x="713"/>
        <item x="4854"/>
        <item x="908"/>
        <item x="4612"/>
        <item x="3670"/>
        <item x="1499"/>
        <item x="2778"/>
        <item x="2731"/>
        <item x="4597"/>
        <item x="4681"/>
        <item x="4095"/>
        <item x="1905"/>
        <item x="2834"/>
        <item x="1417"/>
        <item x="1077"/>
        <item x="4454"/>
        <item x="1036"/>
        <item x="4321"/>
        <item x="4250"/>
        <item x="1458"/>
        <item x="2663"/>
        <item x="2059"/>
        <item x="2585"/>
        <item x="2124"/>
        <item x="3180"/>
        <item x="962"/>
        <item x="2983"/>
        <item x="1320"/>
        <item x="1316"/>
        <item x="2525"/>
        <item x="2111"/>
        <item x="4249"/>
        <item x="4344"/>
        <item x="320"/>
        <item x="4903"/>
        <item x="1015"/>
        <item x="1021"/>
        <item x="482"/>
        <item x="1277"/>
        <item x="966"/>
        <item x="888"/>
        <item x="4027"/>
        <item x="4048"/>
        <item x="833"/>
        <item x="3193"/>
        <item x="3942"/>
        <item x="2071"/>
        <item x="4821"/>
        <item x="4025"/>
        <item x="1222"/>
        <item x="3170"/>
        <item x="1173"/>
        <item x="994"/>
        <item x="629"/>
        <item x="638"/>
        <item x="1178"/>
        <item x="4960"/>
        <item x="2982"/>
        <item x="4421"/>
        <item x="2109"/>
        <item x="1304"/>
        <item x="1728"/>
        <item x="4392"/>
        <item x="3573"/>
        <item x="904"/>
        <item x="1914"/>
        <item x="3971"/>
        <item x="539"/>
        <item x="2931"/>
        <item x="2560"/>
        <item x="4064"/>
        <item x="3465"/>
        <item x="1779"/>
        <item x="772"/>
        <item x="1668"/>
        <item x="3133"/>
        <item x="605"/>
        <item x="1062"/>
        <item x="1508"/>
        <item x="3955"/>
        <item x="2266"/>
        <item x="2372"/>
        <item x="1793"/>
        <item x="4340"/>
        <item x="438"/>
        <item x="748"/>
        <item x="4627"/>
        <item x="1414"/>
        <item x="2670"/>
        <item x="1519"/>
        <item x="1554"/>
        <item x="4143"/>
        <item x="2801"/>
        <item x="2449"/>
        <item x="4827"/>
        <item x="2989"/>
        <item x="2740"/>
        <item x="3865"/>
        <item x="4019"/>
        <item x="473"/>
        <item x="1230"/>
        <item x="1033"/>
        <item x="722"/>
        <item x="1720"/>
        <item x="444"/>
        <item x="3113"/>
        <item x="1141"/>
        <item x="2317"/>
        <item x="4088"/>
        <item x="3872"/>
        <item x="4169"/>
        <item x="895"/>
        <item x="3917"/>
        <item x="3705"/>
        <item x="4327"/>
        <item x="4195"/>
        <item x="4781"/>
        <item x="1555"/>
        <item x="1092"/>
        <item x="2597"/>
        <item x="1080"/>
        <item x="3283"/>
        <item x="272"/>
        <item x="4301"/>
        <item x="3350"/>
        <item x="2582"/>
        <item x="97"/>
        <item x="4427"/>
        <item x="1305"/>
        <item x="2881"/>
        <item x="287"/>
        <item x="4536"/>
        <item x="1088"/>
        <item x="4070"/>
        <item x="2522"/>
        <item x="3149"/>
        <item x="484"/>
        <item x="1849"/>
        <item x="1099"/>
        <item x="3348"/>
        <item x="3044"/>
        <item x="4305"/>
        <item x="2216"/>
        <item x="2506"/>
        <item x="43"/>
        <item x="4707"/>
        <item x="329"/>
        <item x="1826"/>
        <item x="3368"/>
        <item x="2423"/>
        <item x="4881"/>
        <item x="3447"/>
        <item x="4591"/>
        <item x="3084"/>
        <item x="2032"/>
        <item x="2606"/>
        <item x="890"/>
        <item x="1071"/>
        <item x="306"/>
        <item x="129"/>
        <item x="4611"/>
        <item x="2064"/>
        <item x="1980"/>
        <item x="4676"/>
        <item x="118"/>
        <item x="4296"/>
        <item x="432"/>
        <item x="4805"/>
        <item x="1595"/>
        <item x="2083"/>
        <item x="661"/>
        <item x="178"/>
        <item x="3485"/>
        <item x="585"/>
        <item x="4324"/>
        <item x="1570"/>
        <item x="2027"/>
        <item x="2705"/>
        <item x="490"/>
        <item x="826"/>
        <item x="3177"/>
        <item x="1638"/>
        <item x="1798"/>
        <item x="2660"/>
        <item x="3467"/>
        <item x="4217"/>
        <item x="4722"/>
        <item x="3986"/>
        <item x="1073"/>
        <item x="491"/>
        <item x="963"/>
        <item x="4662"/>
        <item x="3622"/>
        <item x="4212"/>
        <item x="4158"/>
        <item x="4258"/>
        <item x="3505"/>
        <item x="2902"/>
        <item x="1924"/>
        <item x="4923"/>
        <item x="4374"/>
        <item x="3055"/>
        <item x="986"/>
        <item x="1133"/>
        <item x="1921"/>
        <item x="3197"/>
        <item x="3046"/>
        <item x="1245"/>
        <item x="1979"/>
        <item x="2944"/>
        <item x="3633"/>
        <item x="4685"/>
        <item x="1058"/>
        <item x="817"/>
        <item x="1274"/>
        <item x="3638"/>
        <item x="3871"/>
        <item x="3534"/>
        <item x="685"/>
        <item x="3586"/>
        <item x="2313"/>
        <item x="2843"/>
        <item x="820"/>
        <item x="2023"/>
        <item x="3047"/>
        <item x="2795"/>
        <item x="3096"/>
        <item x="2980"/>
        <item x="1341"/>
        <item x="3892"/>
        <item x="4006"/>
        <item x="4635"/>
        <item x="1457"/>
        <item x="380"/>
        <item x="762"/>
        <item x="4799"/>
        <item x="193"/>
        <item x="1666"/>
        <item x="1078"/>
        <item x="1500"/>
        <item x="4049"/>
        <item x="1202"/>
        <item x="4578"/>
        <item x="4114"/>
        <item x="861"/>
        <item x="1911"/>
        <item x="1427"/>
        <item x="134"/>
        <item x="3189"/>
        <item x="779"/>
        <item x="664"/>
        <item x="4198"/>
        <item x="1925"/>
        <item x="1673"/>
        <item x="803"/>
        <item x="4037"/>
        <item x="188"/>
        <item x="4307"/>
        <item x="823"/>
        <item x="2413"/>
        <item x="3220"/>
        <item x="1929"/>
        <item x="1651"/>
        <item x="992"/>
        <item x="4824"/>
        <item x="4787"/>
        <item x="2353"/>
        <item x="83"/>
        <item x="525"/>
        <item x="3213"/>
        <item x="1907"/>
        <item x="2909"/>
        <item x="727"/>
        <item x="1722"/>
        <item x="2709"/>
        <item x="152"/>
        <item x="3542"/>
        <item x="1787"/>
        <item x="2579"/>
        <item x="3205"/>
        <item x="2168"/>
        <item x="442"/>
        <item x="2824"/>
        <item x="671"/>
        <item x="334"/>
        <item x="2833"/>
        <item x="3965"/>
        <item x="3384"/>
        <item x="3281"/>
        <item x="1025"/>
        <item x="3101"/>
        <item x="4759"/>
        <item x="3800"/>
        <item x="1762"/>
        <item x="4797"/>
        <item x="989"/>
        <item x="4390"/>
        <item x="2400"/>
        <item x="516"/>
        <item x="3338"/>
        <item x="2040"/>
        <item x="2636"/>
        <item x="1180"/>
        <item x="398"/>
        <item x="4415"/>
        <item x="4526"/>
        <item x="3630"/>
        <item x="4731"/>
        <item x="238"/>
        <item x="4620"/>
        <item x="4463"/>
        <item x="2047"/>
        <item x="1875"/>
        <item x="101"/>
        <item x="3126"/>
        <item x="1944"/>
        <item x="1600"/>
        <item x="4758"/>
        <item x="3299"/>
        <item x="1754"/>
        <item x="3132"/>
        <item x="3595"/>
        <item x="4721"/>
        <item x="1799"/>
        <item x="3279"/>
        <item x="1011"/>
        <item x="757"/>
        <item x="4932"/>
        <item x="121"/>
        <item x="3806"/>
        <item x="3075"/>
        <item x="2235"/>
        <item x="1822"/>
        <item x="3834"/>
        <item x="3202"/>
        <item x="1701"/>
        <item x="6"/>
        <item x="4017"/>
        <item x="1093"/>
        <item x="1395"/>
        <item x="3949"/>
        <item x="4384"/>
        <item x="4439"/>
        <item x="4531"/>
        <item x="2665"/>
        <item x="338"/>
        <item x="1962"/>
        <item x="899"/>
        <item x="1352"/>
        <item x="231"/>
        <item x="4090"/>
        <item x="2537"/>
        <item x="3431"/>
        <item x="1669"/>
        <item x="3210"/>
        <item x="783"/>
        <item x="4342"/>
        <item x="839"/>
        <item x="4766"/>
        <item x="3907"/>
        <item x="4262"/>
        <item x="2868"/>
        <item x="1609"/>
        <item x="571"/>
        <item x="1525"/>
        <item x="693"/>
        <item x="4756"/>
        <item x="2388"/>
        <item x="4541"/>
        <item x="2393"/>
        <item x="3732"/>
        <item x="2256"/>
        <item x="675"/>
        <item x="4879"/>
        <item x="3754"/>
        <item x="277"/>
        <item x="4358"/>
        <item x="4803"/>
        <item x="2803"/>
        <item x="182"/>
        <item x="4117"/>
        <item x="2714"/>
        <item x="4289"/>
        <item x="572"/>
        <item x="3548"/>
        <item x="2229"/>
        <item x="1618"/>
        <item x="3556"/>
        <item x="590"/>
        <item x="3050"/>
        <item x="731"/>
        <item x="2500"/>
        <item x="4547"/>
        <item x="3120"/>
        <item x="2724"/>
        <item x="1512"/>
        <item x="1641"/>
        <item x="786"/>
        <item x="4461"/>
        <item x="3598"/>
        <item x="1438"/>
        <item x="2428"/>
        <item x="1607"/>
        <item x="31"/>
        <item x="3043"/>
        <item x="3130"/>
        <item x="3580"/>
        <item x="3324"/>
        <item x="2627"/>
        <item x="2442"/>
        <item x="1278"/>
        <item x="3886"/>
        <item x="2311"/>
        <item x="2711"/>
        <item x="3064"/>
        <item x="2889"/>
        <item x="4172"/>
        <item x="658"/>
        <item x="1784"/>
        <item x="3304"/>
        <item x="2332"/>
        <item x="2900"/>
        <item x="580"/>
        <item x="3677"/>
        <item x="3515"/>
        <item x="422"/>
        <item x="1205"/>
        <item x="1635"/>
        <item x="2557"/>
        <item x="515"/>
        <item x="156"/>
        <item x="1372"/>
        <item x="4753"/>
        <item x="3748"/>
        <item x="3665"/>
        <item x="714"/>
        <item x="4162"/>
        <item x="1319"/>
        <item x="1781"/>
        <item x="4024"/>
        <item x="1513"/>
        <item x="3329"/>
        <item x="4674"/>
        <item x="2302"/>
        <item x="2524"/>
        <item x="632"/>
        <item x="527"/>
        <item x="4814"/>
        <item x="3330"/>
        <item x="4298"/>
        <item x="1885"/>
        <item x="4149"/>
        <item x="2134"/>
        <item x="1256"/>
        <item x="1212"/>
        <item x="3211"/>
        <item x="1973"/>
        <item x="3766"/>
        <item x="518"/>
        <item x="1348"/>
        <item x="2490"/>
        <item x="49"/>
        <item x="4292"/>
        <item x="548"/>
        <item x="107"/>
        <item x="2558"/>
        <item x="4750"/>
        <item x="2406"/>
        <item x="4468"/>
        <item x="1296"/>
        <item x="3753"/>
        <item x="3936"/>
        <item x="4771"/>
        <item x="1371"/>
        <item x="1295"/>
        <item x="4269"/>
        <item x="1050"/>
        <item x="2755"/>
        <item x="2276"/>
        <item x="2013"/>
        <item x="1012"/>
        <item x="13"/>
        <item x="3890"/>
        <item x="765"/>
        <item x="3857"/>
        <item x="4708"/>
        <item x="3292"/>
        <item x="3819"/>
        <item x="2015"/>
        <item x="4822"/>
        <item x="2847"/>
        <item x="2820"/>
        <item x="1845"/>
        <item x="3801"/>
        <item x="2688"/>
        <item x="4913"/>
        <item x="4165"/>
        <item x="1337"/>
        <item x="1747"/>
        <item x="1566"/>
        <item x="4901"/>
        <item x="2292"/>
        <item x="2443"/>
        <item x="4728"/>
        <item x="405"/>
        <item x="1107"/>
        <item x="3703"/>
        <item x="1191"/>
        <item x="38"/>
        <item x="180"/>
        <item x="2339"/>
        <item x="4239"/>
        <item x="3382"/>
        <item x="4251"/>
        <item x="1688"/>
        <item x="4346"/>
        <item x="1419"/>
        <item x="1867"/>
        <item x="2703"/>
        <item x="1761"/>
        <item x="1698"/>
        <item x="4888"/>
        <item x="2432"/>
        <item x="2469"/>
        <item x="636"/>
        <item x="269"/>
        <item x="1991"/>
        <item x="366"/>
        <item x="4966"/>
        <item x="534"/>
        <item x="4089"/>
        <item x="4898"/>
        <item x="2251"/>
        <item x="89"/>
        <item x="1823"/>
        <item x="4958"/>
        <item x="2196"/>
        <item x="3713"/>
        <item x="4786"/>
        <item x="1353"/>
        <item x="3842"/>
        <item x="1151"/>
        <item x="3848"/>
        <item x="4264"/>
        <item x="1923"/>
        <item x="4894"/>
        <item x="57"/>
        <item x="1240"/>
        <item x="4640"/>
        <item x="3916"/>
        <item x="3682"/>
        <item x="1203"/>
        <item x="2538"/>
        <item x="2754"/>
        <item x="2433"/>
        <item x="174"/>
        <item x="4098"/>
        <item x="2231"/>
        <item x="2744"/>
        <item x="3976"/>
        <item x="579"/>
        <item x="207"/>
        <item x="3764"/>
        <item x="4484"/>
        <item x="1484"/>
        <item x="4206"/>
        <item x="1474"/>
        <item x="2021"/>
        <item x="1522"/>
        <item x="3440"/>
        <item x="3251"/>
        <item x="4502"/>
        <item x="1667"/>
        <item x="975"/>
        <item x="3496"/>
        <item x="4767"/>
        <item x="2817"/>
        <item x="1987"/>
        <item x="1147"/>
        <item x="3118"/>
        <item x="2993"/>
        <item x="3140"/>
        <item x="3710"/>
        <item x="617"/>
        <item x="2453"/>
        <item x="3226"/>
        <item x="4711"/>
        <item x="4829"/>
        <item x="3918"/>
        <item x="2122"/>
        <item x="1292"/>
        <item x="1232"/>
        <item x="4678"/>
        <item x="3827"/>
        <item x="4714"/>
        <item x="4592"/>
        <item x="1130"/>
        <item x="2192"/>
        <item x="1937"/>
        <item x="3749"/>
        <item x="4687"/>
        <item x="1985"/>
        <item x="2966"/>
        <item x="382"/>
        <item x="1208"/>
        <item x="3470"/>
        <item x="1912"/>
        <item x="2532"/>
        <item x="1207"/>
        <item x="620"/>
        <item x="3762"/>
        <item x="1548"/>
        <item x="1583"/>
        <item x="1887"/>
        <item x="3363"/>
        <item x="2070"/>
        <item x="2511"/>
        <item x="3090"/>
        <item x="2988"/>
        <item x="4817"/>
        <item x="2972"/>
        <item x="474"/>
        <item x="1633"/>
        <item x="2905"/>
        <item x="2883"/>
        <item x="2717"/>
        <item x="2855"/>
        <item x="1575"/>
        <item x="1314"/>
        <item x="2976"/>
        <item x="200"/>
        <item x="2097"/>
        <item x="399"/>
        <item x="4061"/>
        <item x="4052"/>
        <item x="2319"/>
        <item x="2152"/>
        <item x="4648"/>
        <item x="1941"/>
        <item x="1323"/>
        <item x="170"/>
        <item x="3708"/>
        <item x="2915"/>
        <item x="3750"/>
        <item x="1117"/>
        <item x="4897"/>
        <item x="4200"/>
        <item x="4285"/>
        <item x="2768"/>
        <item x="60"/>
        <item x="2493"/>
        <item x="3269"/>
        <item x="1492"/>
        <item x="2765"/>
        <item x="1727"/>
        <item x="4924"/>
        <item x="1339"/>
        <item x="1632"/>
        <item x="301"/>
        <item x="4085"/>
        <item x="4550"/>
        <item x="775"/>
        <item x="1518"/>
        <item x="2517"/>
        <item x="718"/>
        <item x="1625"/>
        <item x="3164"/>
        <item x="3445"/>
        <item x="162"/>
        <item x="4221"/>
        <item x="3896"/>
        <item x="1413"/>
        <item x="2763"/>
        <item x="1481"/>
        <item x="2414"/>
        <item x="936"/>
        <item x="4332"/>
        <item x="4691"/>
        <item x="3243"/>
        <item x="2221"/>
        <item x="4689"/>
        <item x="4509"/>
        <item x="4166"/>
        <item x="3626"/>
        <item x="1617"/>
        <item x="1192"/>
        <item x="3094"/>
        <item x="2189"/>
        <item x="1869"/>
        <item x="3498"/>
        <item x="1888"/>
        <item x="2056"/>
        <item x="2985"/>
        <item x="237"/>
        <item x="4375"/>
        <item x="218"/>
        <item x="3203"/>
        <item x="4316"/>
        <item x="2516"/>
        <item x="1145"/>
        <item x="2818"/>
        <item x="2901"/>
        <item x="3076"/>
        <item x="196"/>
        <item x="3504"/>
        <item x="725"/>
        <item x="1469"/>
        <item x="2495"/>
        <item x="3069"/>
        <item x="1975"/>
        <item x="4151"/>
        <item x="1801"/>
        <item x="2518"/>
        <item x="94"/>
        <item x="3026"/>
        <item x="4260"/>
        <item x="4616"/>
        <item x="2119"/>
        <item x="3664"/>
        <item x="3571"/>
        <item x="4912"/>
        <item x="4816"/>
        <item x="1895"/>
        <item x="4798"/>
        <item x="4207"/>
        <item x="1957"/>
        <item x="2084"/>
        <item x="3983"/>
        <item x="4174"/>
        <item x="3516"/>
        <item x="676"/>
        <item x="1847"/>
        <item x="4950"/>
        <item x="4688"/>
        <item x="2570"/>
        <item x="3351"/>
        <item x="4351"/>
        <item x="2781"/>
        <item x="4701"/>
        <item x="4435"/>
        <item x="1265"/>
        <item x="4444"/>
        <item x="4026"/>
        <item x="439"/>
        <item x="1537"/>
        <item x="53"/>
        <item x="424"/>
        <item x="3460"/>
        <item x="2631"/>
        <item x="2068"/>
        <item x="2441"/>
        <item x="3817"/>
        <item x="2679"/>
        <item x="2708"/>
        <item x="1475"/>
        <item x="4938"/>
        <item x="1517"/>
        <item x="312"/>
        <item x="4582"/>
        <item x="3421"/>
        <item x="3500"/>
        <item x="4040"/>
        <item x="4065"/>
        <item x="90"/>
        <item x="3810"/>
        <item x="2354"/>
        <item x="4520"/>
        <item x="1683"/>
        <item x="3325"/>
        <item x="3956"/>
        <item x="796"/>
        <item x="2385"/>
        <item x="1563"/>
        <item x="4470"/>
        <item x="1704"/>
        <item x="3649"/>
        <item x="520"/>
        <item x="3816"/>
        <item x="1113"/>
        <item x="4023"/>
        <item x="4153"/>
        <item x="1748"/>
        <item x="1250"/>
        <item x="3187"/>
        <item x="2748"/>
        <item x="3218"/>
        <item x="3987"/>
        <item x="3480"/>
        <item x="1338"/>
        <item x="4056"/>
        <item x="1656"/>
        <item x="1100"/>
        <item x="2974"/>
        <item x="304"/>
        <item x="1837"/>
        <item x="145"/>
        <item x="2790"/>
        <item x="3122"/>
        <item x="1393"/>
        <item x="3209"/>
        <item x="28"/>
        <item x="4277"/>
        <item x="1601"/>
        <item x="1345"/>
        <item x="4660"/>
        <item x="834"/>
        <item x="3672"/>
        <item x="4946"/>
        <item x="2139"/>
        <item x="2798"/>
        <item x="2898"/>
        <item x="2024"/>
        <item x="679"/>
        <item x="314"/>
        <item x="1997"/>
        <item x="3167"/>
        <item x="3964"/>
        <item x="2867"/>
        <item x="4104"/>
        <item x="4309"/>
        <item x="2632"/>
        <item x="4985"/>
        <item x="2461"/>
        <item x="2513"/>
        <item x="2509"/>
        <item x="3476"/>
        <item x="1125"/>
        <item x="3296"/>
        <item x="3984"/>
        <item x="468"/>
        <item x="4360"/>
        <item x="2872"/>
        <item x="2936"/>
        <item x="487"/>
        <item x="541"/>
        <item x="3059"/>
        <item x="86"/>
        <item x="1177"/>
        <item x="4566"/>
        <item x="4261"/>
        <item x="2669"/>
        <item x="1431"/>
        <item x="3396"/>
        <item x="3355"/>
        <item x="4352"/>
        <item x="495"/>
        <item x="2955"/>
        <item x="2973"/>
        <item x="4009"/>
        <item x="3878"/>
        <item x="1636"/>
        <item x="3019"/>
        <item x="4278"/>
        <item x="3464"/>
        <item x="1318"/>
        <item x="4276"/>
        <item x="2408"/>
        <item x="3185"/>
        <item x="2451"/>
        <item x="1721"/>
        <item x="3719"/>
        <item x="4492"/>
        <item x="270"/>
        <item x="4583"/>
        <item x="2734"/>
        <item x="2813"/>
        <item x="4300"/>
        <item x="2018"/>
        <item x="4015"/>
        <item x="3174"/>
        <item x="3157"/>
        <item x="854"/>
        <item x="3036"/>
        <item x="2827"/>
        <item x="2521"/>
        <item x="1538"/>
        <item x="2941"/>
        <item x="3029"/>
        <item x="9"/>
        <item x="1588"/>
        <item x="2907"/>
        <item x="3893"/>
        <item x="1689"/>
        <item x="3564"/>
        <item x="2125"/>
        <item x="4653"/>
        <item x="114"/>
        <item x="252"/>
        <item x="3223"/>
        <item x="115"/>
        <item x="3153"/>
        <item x="3769"/>
        <item x="1603"/>
        <item x="2415"/>
        <item x="1362"/>
        <item x="2186"/>
        <item x="3204"/>
        <item x="3054"/>
        <item x="1695"/>
        <item x="344"/>
        <item x="1821"/>
        <item x="979"/>
        <item x="2609"/>
        <item x="3706"/>
        <item x="2425"/>
        <item x="3697"/>
        <item x="3738"/>
        <item x="2536"/>
        <item x="3648"/>
        <item x="4353"/>
        <item x="4303"/>
        <item x="4792"/>
        <item x="4657"/>
        <item x="96"/>
        <item x="1643"/>
        <item x="4236"/>
        <item x="1992"/>
        <item x="4122"/>
        <item x="1184"/>
        <item x="126"/>
        <item x="3578"/>
        <item x="4745"/>
        <item x="1506"/>
        <item x="1672"/>
        <item x="4983"/>
        <item x="4170"/>
        <item x="1408"/>
        <item x="1619"/>
        <item x="1252"/>
        <item x="1360"/>
        <item x="939"/>
        <item x="384"/>
        <item x="3902"/>
        <item x="4161"/>
        <item x="2963"/>
        <item x="2656"/>
        <item x="2035"/>
        <item x="4137"/>
        <item x="48"/>
        <item x="4338"/>
        <item x="686"/>
        <item x="1063"/>
        <item x="1714"/>
        <item x="2273"/>
        <item x="868"/>
        <item x="3367"/>
        <item x="2328"/>
        <item x="2005"/>
        <item x="3219"/>
        <item x="702"/>
        <item x="3468"/>
        <item x="1160"/>
        <item x="2594"/>
        <item x="2671"/>
        <item x="884"/>
        <item x="2589"/>
        <item x="1872"/>
        <item x="3217"/>
        <item x="1863"/>
        <item x="1108"/>
        <item x="801"/>
        <item x="3701"/>
        <item x="993"/>
        <item x="3894"/>
        <item x="972"/>
        <item x="2329"/>
        <item x="2010"/>
        <item x="1467"/>
        <item x="3948"/>
        <item x="3058"/>
        <item x="4686"/>
        <item x="4647"/>
        <item x="1810"/>
        <item x="2751"/>
        <item x="3868"/>
        <item x="3780"/>
        <item x="2991"/>
        <item x="1916"/>
        <item x="2527"/>
        <item x="703"/>
        <item x="4489"/>
        <item x="4729"/>
        <item x="2541"/>
        <item x="1988"/>
        <item x="102"/>
        <item x="1333"/>
        <item x="959"/>
        <item x="799"/>
        <item x="4967"/>
        <item x="818"/>
        <item x="811"/>
        <item x="4405"/>
        <item x="606"/>
        <item x="3523"/>
        <item x="555"/>
        <item x="2199"/>
        <item x="2033"/>
        <item x="2095"/>
        <item x="1262"/>
        <item x="2730"/>
        <item x="4916"/>
        <item x="568"/>
        <item x="2930"/>
        <item x="2211"/>
        <item x="3300"/>
        <item x="2009"/>
        <item x="4243"/>
        <item x="922"/>
        <item x="1175"/>
        <item x="2025"/>
        <item x="4141"/>
        <item x="4705"/>
        <item x="3519"/>
        <item x="212"/>
        <item x="645"/>
        <item x="3844"/>
        <item x="3553"/>
        <item x="1745"/>
        <item x="704"/>
        <item x="239"/>
        <item x="4868"/>
        <item x="63"/>
        <item x="3307"/>
        <item x="2580"/>
        <item x="1630"/>
        <item x="2732"/>
        <item x="91"/>
        <item x="596"/>
        <item x="1441"/>
        <item x="3383"/>
        <item x="1947"/>
        <item x="2481"/>
        <item x="4356"/>
        <item x="2281"/>
        <item x="3215"/>
        <item x="2260"/>
        <item x="3959"/>
        <item x="1682"/>
        <item x="1663"/>
        <item x="2595"/>
        <item x="2922"/>
        <item x="949"/>
        <item x="3141"/>
        <item x="3493"/>
        <item x="1472"/>
        <item x="3655"/>
        <item x="4173"/>
        <item x="4673"/>
        <item x="612"/>
        <item x="790"/>
        <item x="1451"/>
        <item x="1906"/>
        <item x="1193"/>
        <item x="4810"/>
        <item x="2012"/>
        <item x="905"/>
        <item x="2357"/>
        <item x="2953"/>
        <item x="2913"/>
        <item x="4527"/>
        <item x="3958"/>
        <item x="3343"/>
        <item x="3901"/>
        <item x="426"/>
        <item x="522"/>
        <item x="1032"/>
        <item x="1233"/>
        <item x="4282"/>
        <item x="4834"/>
        <item x="2642"/>
        <item x="608"/>
        <item x="1432"/>
        <item x="2638"/>
        <item x="502"/>
        <item x="443"/>
        <item x="4473"/>
        <item x="4589"/>
        <item x="1005"/>
        <item x="2725"/>
        <item x="4152"/>
        <item x="1582"/>
        <item x="24"/>
        <item x="290"/>
        <item x="514"/>
        <item x="3309"/>
        <item x="4979"/>
        <item x="30"/>
        <item x="4642"/>
        <item x="982"/>
        <item x="2454"/>
        <item x="2247"/>
        <item x="2891"/>
        <item x="3852"/>
        <item x="450"/>
        <item x="2882"/>
        <item x="4564"/>
        <item x="4199"/>
        <item x="313"/>
        <item x="1204"/>
        <item x="2363"/>
        <item x="4354"/>
        <item x="4848"/>
        <item x="2573"/>
        <item x="2622"/>
        <item x="1526"/>
        <item x="2777"/>
        <item x="2041"/>
        <item x="1132"/>
        <item x="2873"/>
        <item x="3569"/>
        <item x="2830"/>
        <item x="3497"/>
        <item x="2970"/>
        <item x="1019"/>
        <item x="2175"/>
        <item x="4057"/>
        <item x="2535"/>
        <item x="4908"/>
        <item x="3473"/>
        <item x="4690"/>
        <item x="4279"/>
        <item x="3035"/>
        <item x="2586"/>
        <item x="4144"/>
        <item x="4252"/>
        <item x="3000"/>
        <item x="898"/>
        <item x="3456"/>
        <item x="1415"/>
        <item x="4571"/>
        <item x="1046"/>
        <item x="4513"/>
        <item x="1989"/>
        <item x="2026"/>
        <item x="4549"/>
        <item x="2158"/>
        <item x="285"/>
        <item x="2861"/>
        <item x="1344"/>
        <item x="1634"/>
        <item x="378"/>
        <item x="1650"/>
        <item x="1818"/>
        <item x="1569"/>
        <item x="3608"/>
        <item x="784"/>
        <item x="3839"/>
        <item x="2774"/>
        <item x="4402"/>
        <item x="4367"/>
        <item x="4545"/>
        <item x="2587"/>
        <item x="4801"/>
        <item x="2736"/>
        <item x="2757"/>
        <item x="2205"/>
        <item x="3430"/>
        <item x="2446"/>
        <item x="3086"/>
        <item x="4418"/>
        <item x="291"/>
        <item x="2320"/>
        <item x="2653"/>
        <item x="4885"/>
        <item x="707"/>
        <item x="3452"/>
        <item x="299"/>
        <item x="1308"/>
        <item x="2809"/>
        <item x="691"/>
        <item x="2857"/>
        <item x="279"/>
        <item x="3333"/>
        <item x="3181"/>
        <item x="4551"/>
        <item x="549"/>
        <item x="463"/>
        <item x="766"/>
        <item x="263"/>
        <item x="4830"/>
        <item x="4517"/>
        <item x="2150"/>
        <item x="1356"/>
        <item x="4935"/>
        <item x="4314"/>
        <item x="3623"/>
        <item x="3940"/>
        <item x="4045"/>
        <item x="758"/>
        <item x="3461"/>
        <item x="4818"/>
        <item x="2599"/>
        <item x="3560"/>
        <item x="855"/>
        <item x="4480"/>
        <item x="271"/>
        <item x="2979"/>
        <item x="2726"/>
        <item x="4523"/>
        <item x="4272"/>
        <item x="253"/>
        <item x="4190"/>
        <item x="184"/>
        <item x="1839"/>
        <item x="112"/>
        <item x="4849"/>
        <item x="4504"/>
        <item x="3175"/>
        <item x="2929"/>
        <item x="1621"/>
        <item x="425"/>
        <item x="1283"/>
        <item x="1776"/>
        <item x="3612"/>
        <item x="3183"/>
        <item x="1797"/>
        <item x="2555"/>
        <item x="2707"/>
        <item x="509"/>
        <item x="1194"/>
        <item x="4156"/>
        <item x="4181"/>
        <item x="1366"/>
        <item x="4373"/>
        <item x="3078"/>
        <item x="915"/>
        <item x="543"/>
        <item x="4656"/>
        <item x="2529"/>
        <item x="2359"/>
        <item x="1567"/>
        <item x="236"/>
        <item x="1809"/>
        <item x="2840"/>
        <item x="3073"/>
        <item x="4219"/>
        <item x="4302"/>
        <item x="1118"/>
        <item x="2787"/>
        <item x="2938"/>
        <item x="1047"/>
        <item x="622"/>
        <item x="4136"/>
        <item x="1713"/>
        <item x="233"/>
        <item x="4203"/>
        <item x="2659"/>
        <item x="2358"/>
        <item x="1870"/>
        <item x="2389"/>
        <item x="2650"/>
        <item x="2315"/>
        <item x="104"/>
        <item x="4500"/>
        <item x="4366"/>
        <item x="2794"/>
        <item x="2644"/>
        <item x="889"/>
        <item x="137"/>
        <item x="3434"/>
        <item x="2403"/>
        <item x="662"/>
        <item x="3757"/>
        <item x="3829"/>
        <item x="3331"/>
        <item x="46"/>
        <item x="4419"/>
        <item x="4873"/>
        <item x="1042"/>
        <item x="2583"/>
        <item x="4733"/>
        <item x="4411"/>
        <item x="3576"/>
        <item x="4182"/>
        <item x="4424"/>
        <item x="2994"/>
        <item x="267"/>
        <item x="967"/>
        <item x="4494"/>
        <item x="1253"/>
        <item x="494"/>
        <item x="4743"/>
        <item x="4147"/>
        <item x="4317"/>
        <item x="4734"/>
        <item x="4396"/>
        <item x="1370"/>
        <item x="2491"/>
        <item x="1361"/>
        <item x="2398"/>
        <item x="4020"/>
        <item x="4066"/>
        <item x="706"/>
        <item x="4850"/>
        <item x="891"/>
        <item x="19"/>
        <item x="2578"/>
        <item x="3960"/>
        <item x="2927"/>
        <item x="3931"/>
        <item x="4399"/>
        <item x="2440"/>
        <item x="4493"/>
        <item x="3863"/>
        <item x="3419"/>
        <item x="1857"/>
        <item x="3640"/>
        <item x="1115"/>
        <item x="29"/>
        <item x="1284"/>
        <item x="3006"/>
        <item x="3551"/>
        <item x="3255"/>
        <item x="4875"/>
        <item x="1896"/>
        <item x="1368"/>
        <item x="222"/>
        <item x="2253"/>
        <item x="1560"/>
        <item x="680"/>
        <item x="859"/>
        <item x="869"/>
        <item x="354"/>
        <item x="3105"/>
        <item x="1998"/>
        <item x="1840"/>
        <item x="804"/>
        <item x="3233"/>
        <item x="3615"/>
        <item x="4058"/>
        <item x="3056"/>
        <item x="3905"/>
        <item x="73"/>
        <item x="2087"/>
        <item x="1257"/>
        <item x="2727"/>
        <item x="627"/>
        <item x="1179"/>
        <item x="1139"/>
        <item x="4178"/>
        <item x="4512"/>
        <item x="4266"/>
        <item x="4709"/>
        <item x="4904"/>
        <item x="404"/>
        <item x="729"/>
        <item x="1140"/>
        <item x="4572"/>
        <item x="3261"/>
        <item x="4840"/>
        <item x="2294"/>
        <item x="835"/>
        <item x="2850"/>
        <item x="781"/>
        <item x="307"/>
        <item x="2832"/>
        <item x="2932"/>
        <item x="2903"/>
        <item x="3699"/>
        <item x="4910"/>
        <item x="3600"/>
        <item x="1693"/>
        <item x="1329"/>
        <item x="1743"/>
        <item x="4524"/>
        <item x="4031"/>
        <item x="3484"/>
        <item x="1936"/>
        <item x="3550"/>
        <item x="2051"/>
        <item x="2574"/>
        <item x="3433"/>
        <item x="3837"/>
        <item x="3840"/>
        <item x="2924"/>
        <item x="2701"/>
        <item x="1677"/>
        <item x="754"/>
        <item x="2505"/>
        <item x="1354"/>
        <item x="4952"/>
        <item x="4227"/>
        <item x="2138"/>
        <item x="3618"/>
        <item x="1882"/>
        <item x="2416"/>
        <item x="4101"/>
        <item x="105"/>
        <item x="3524"/>
        <item x="4986"/>
        <item x="1428"/>
        <item x="21"/>
        <item x="4118"/>
        <item x="3661"/>
        <item x="3077"/>
        <item x="2378"/>
        <item x="688"/>
        <item x="3760"/>
        <item x="1387"/>
        <item x="2333"/>
        <item x="4076"/>
        <item x="682"/>
        <item x="1503"/>
        <item x="2981"/>
        <item x="1357"/>
        <item x="300"/>
        <item x="2625"/>
        <item x="428"/>
        <item x="1263"/>
        <item x="4443"/>
        <item x="389"/>
        <item x="2257"/>
        <item x="3680"/>
        <item x="407"/>
        <item x="337"/>
        <item x="4115"/>
        <item x="2792"/>
        <item x="1186"/>
        <item x="2234"/>
        <item x="4150"/>
        <item x="4585"/>
        <item x="3356"/>
        <item x="683"/>
        <item x="1865"/>
        <item x="4436"/>
        <item x="3406"/>
        <item x="2401"/>
        <item x="4667"/>
        <item x="2298"/>
        <item x="3159"/>
        <item x="1972"/>
        <item x="4167"/>
        <item x="523"/>
        <item x="1301"/>
        <item x="778"/>
        <item x="4624"/>
        <item x="249"/>
        <item x="1711"/>
        <item x="1068"/>
        <item x="1328"/>
        <item x="3057"/>
        <item x="3910"/>
        <item x="1640"/>
        <item x="1478"/>
        <item x="3066"/>
        <item x="793"/>
        <item x="4740"/>
        <item x="3794"/>
        <item x="3678"/>
        <item x="4921"/>
        <item x="2078"/>
        <item x="1406"/>
        <item x="2390"/>
        <item x="4677"/>
        <item x="1812"/>
        <item x="3224"/>
        <item x="4937"/>
        <item x="3835"/>
        <item x="4469"/>
        <item x="1035"/>
        <item x="447"/>
        <item x="2261"/>
        <item x="600"/>
        <item x="4080"/>
        <item x="4184"/>
        <item x="4682"/>
        <item x="3611"/>
        <item x="2690"/>
        <item x="4806"/>
        <item x="4604"/>
        <item x="4650"/>
        <item x="1228"/>
        <item x="3294"/>
        <item x="4930"/>
        <item x="3767"/>
        <item x="740"/>
        <item x="3425"/>
        <item x="646"/>
        <item x="3156"/>
        <item x="2550"/>
        <item x="2356"/>
        <item x="3645"/>
        <item x="2176"/>
        <item x="4699"/>
        <item x="863"/>
        <item x="2906"/>
        <item x="3192"/>
        <item x="3229"/>
        <item x="3574"/>
        <item x="110"/>
        <item x="864"/>
        <item x="2236"/>
        <item x="1364"/>
        <item x="1744"/>
        <item x="4553"/>
        <item x="4927"/>
        <item x="1487"/>
        <item x="3432"/>
        <item x="4744"/>
        <item x="2886"/>
        <item x="4754"/>
        <item x="4487"/>
        <item x="3888"/>
        <item x="2593"/>
        <item x="2581"/>
        <item x="1119"/>
        <item x="3789"/>
        <item x="1558"/>
        <item x="652"/>
        <item x="4371"/>
        <item x="3804"/>
        <item x="1286"/>
        <item x="132"/>
        <item x="695"/>
        <item x="1213"/>
        <item x="1703"/>
        <item x="1351"/>
        <item x="700"/>
        <item x="1652"/>
        <item x="2082"/>
        <item x="2299"/>
        <item x="3695"/>
        <item x="3250"/>
        <item x="4825"/>
        <item x="4746"/>
        <item x="4969"/>
        <item x="651"/>
        <item x="3531"/>
        <item x="1889"/>
        <item x="3756"/>
        <item x="1206"/>
        <item x="1165"/>
        <item x="2553"/>
        <item x="1254"/>
        <item x="526"/>
        <item x="4299"/>
        <item x="4599"/>
        <item x="67"/>
        <item x="524"/>
        <item x="2036"/>
        <item x="4422"/>
        <item x="1740"/>
        <item x="133"/>
        <item x="1886"/>
        <item x="1436"/>
        <item x="1142"/>
        <item x="2478"/>
        <item x="4222"/>
        <item x="2551"/>
        <item x="391"/>
        <item x="4074"/>
        <item x="3121"/>
        <item x="2038"/>
        <item x="3946"/>
        <item x="1934"/>
        <item x="1993"/>
        <item x="2306"/>
        <item x="311"/>
        <item x="4465"/>
        <item x="2338"/>
        <item x="2799"/>
        <item x="4406"/>
        <item x="254"/>
        <item x="2106"/>
        <item x="733"/>
        <item x="4490"/>
        <item x="305"/>
        <item x="537"/>
        <item x="4281"/>
        <item x="3781"/>
        <item x="1951"/>
        <item x="599"/>
        <item x="2962"/>
        <item x="4132"/>
        <item x="2031"/>
        <item x="4000"/>
        <item x="505"/>
        <item x="4483"/>
        <item x="2761"/>
        <item x="1853"/>
        <item x="1750"/>
        <item x="2821"/>
        <item x="386"/>
        <item x="2694"/>
        <item x="3828"/>
        <item x="4874"/>
        <item x="4372"/>
        <item x="4891"/>
        <item x="1388"/>
        <item x="710"/>
        <item x="581"/>
        <item x="1590"/>
        <item x="709"/>
        <item x="1978"/>
        <item x="3688"/>
        <item x="1596"/>
        <item x="476"/>
        <item x="1290"/>
        <item x="3168"/>
        <item x="204"/>
        <item x="2350"/>
        <item x="597"/>
        <item x="2629"/>
        <item x="892"/>
        <item x="4980"/>
        <item x="544"/>
        <item x="1564"/>
        <item x="705"/>
        <item x="225"/>
        <item x="809"/>
        <item x="3903"/>
        <item x="2473"/>
        <item x="1168"/>
        <item x="4005"/>
        <item x="1670"/>
        <item x="1918"/>
        <item x="4201"/>
        <item x="3131"/>
        <item x="845"/>
        <item x="4605"/>
        <item x="3176"/>
        <item x="2171"/>
        <item x="4111"/>
        <item x="4507"/>
        <item x="340"/>
        <item x="3380"/>
        <item x="1342"/>
        <item x="3609"/>
        <item x="4290"/>
        <item x="265"/>
        <item x="3275"/>
        <item x="1272"/>
        <item x="1515"/>
        <item x="3651"/>
        <item x="4099"/>
        <item x="918"/>
        <item x="3004"/>
        <item x="3254"/>
        <item x="4257"/>
        <item x="4452"/>
        <item x="240"/>
        <item x="1279"/>
        <item x="3423"/>
        <item x="3853"/>
        <item x="3306"/>
        <item x="4240"/>
        <item x="4386"/>
        <item x="1143"/>
        <item x="2376"/>
        <item x="395"/>
        <item x="879"/>
        <item x="4947"/>
        <item x="1434"/>
        <item x="227"/>
        <item x="3418"/>
        <item x="3528"/>
        <item x="3993"/>
        <item x="2884"/>
        <item x="1008"/>
        <item x="4842"/>
        <item x="2510"/>
        <item x="1898"/>
        <item x="3950"/>
        <item x="230"/>
        <item x="4837"/>
        <item x="4633"/>
        <item x="323"/>
        <item x="2017"/>
        <item x="941"/>
        <item x="2878"/>
        <item x="4791"/>
        <item x="3135"/>
        <item x="1738"/>
        <item x="459"/>
        <item x="423"/>
        <item x="4376"/>
        <item x="5"/>
        <item x="4780"/>
        <item x="1509"/>
        <item x="3972"/>
        <item x="17"/>
        <item x="339"/>
        <item x="3718"/>
        <item x="4464"/>
        <item x="637"/>
        <item x="4959"/>
        <item x="3779"/>
        <item x="4232"/>
        <item x="1402"/>
        <item x="4514"/>
        <item x="1773"/>
        <item x="598"/>
        <item x="3669"/>
        <item x="163"/>
        <item x="1028"/>
        <item x="2655"/>
        <item x="3186"/>
        <item x="759"/>
        <item x="75"/>
        <item x="929"/>
        <item x="1654"/>
        <item x="3712"/>
        <item x="3768"/>
        <item x="4478"/>
        <item x="1114"/>
        <item x="4013"/>
        <item x="1280"/>
        <item x="3127"/>
        <item x="2767"/>
        <item x="1671"/>
        <item x="4617"/>
        <item x="654"/>
        <item x="2680"/>
        <item x="191"/>
        <item x="2141"/>
        <item x="805"/>
        <item x="3533"/>
        <item x="4140"/>
        <item x="1346"/>
        <item x="2764"/>
        <item x="3792"/>
        <item x="2661"/>
        <item x="2719"/>
        <item x="4498"/>
        <item x="4428"/>
        <item x="3790"/>
        <item x="3919"/>
        <item x="681"/>
        <item x="4892"/>
        <item x="3891"/>
        <item x="3807"/>
        <item x="4234"/>
        <item x="2163"/>
        <item x="1235"/>
        <item x="2310"/>
        <item x="2602"/>
        <item x="2254"/>
        <item x="4777"/>
        <item x="1715"/>
        <item x="392"/>
        <item x="4062"/>
        <item x="3088"/>
        <item x="2515"/>
        <item x="4533"/>
        <item x="3656"/>
        <item x="4917"/>
        <item x="4432"/>
        <item x="368"/>
        <item x="4237"/>
        <item x="2028"/>
        <item x="2243"/>
        <item x="2984"/>
        <item x="2608"/>
        <item x="4051"/>
        <item x="660"/>
        <item x="2811"/>
        <item x="264"/>
        <item x="1043"/>
        <item x="3232"/>
        <item x="4508"/>
        <item x="2918"/>
        <item x="3459"/>
        <item x="4672"/>
        <item x="3927"/>
        <item x="69"/>
        <item x="2856"/>
        <item x="1653"/>
        <item x="552"/>
        <item x="3999"/>
        <item x="4320"/>
        <item x="4400"/>
        <item x="943"/>
        <item x="4004"/>
        <item x="2463"/>
        <item x="4018"/>
        <item x="367"/>
        <item x="4103"/>
        <item x="3095"/>
        <item x="1589"/>
        <item x="27"/>
        <item x="3025"/>
        <item x="2054"/>
        <item x="4626"/>
        <item x="4610"/>
        <item x="3882"/>
        <item x="2672"/>
        <item x="4495"/>
        <item x="1841"/>
        <item x="3389"/>
        <item x="3830"/>
        <item x="2108"/>
        <item x="3889"/>
        <item x="2877"/>
        <item x="250"/>
        <item x="122"/>
        <item x="2003"/>
        <item x="4866"/>
        <item x="3415"/>
        <item x="406"/>
        <item x="1170"/>
        <item x="4284"/>
        <item x="2967"/>
        <item x="310"/>
        <item x="2448"/>
        <item x="2965"/>
        <item x="3954"/>
        <item x="4388"/>
        <item x="220"/>
        <item x="2885"/>
        <item x="4871"/>
        <item x="4228"/>
        <item x="2652"/>
        <item x="1332"/>
        <item x="2392"/>
        <item x="2417"/>
        <item x="3541"/>
        <item x="1258"/>
        <item x="673"/>
        <item x="1899"/>
        <item x="565"/>
        <item x="32"/>
        <item x="2997"/>
        <item x="3469"/>
        <item x="4348"/>
        <item x="1150"/>
        <item x="4347"/>
        <item x="503"/>
        <item x="4193"/>
        <item x="3285"/>
        <item x="3538"/>
        <item x="3390"/>
        <item x="458"/>
        <item x="3200"/>
        <item x="647"/>
        <item x="755"/>
        <item x="2383"/>
        <item x="3784"/>
        <item x="4867"/>
        <item x="2411"/>
        <item x="2698"/>
        <item x="1116"/>
        <item x="1247"/>
        <item x="1199"/>
        <item x="3561"/>
        <item x="3106"/>
        <item x="3777"/>
        <item x="3631"/>
        <item x="3660"/>
        <item x="3323"/>
        <item x="393"/>
        <item x="2241"/>
        <item x="4858"/>
        <item x="2213"/>
        <item x="4577"/>
        <item x="1940"/>
        <item x="4246"/>
        <item x="4525"/>
        <item x="164"/>
        <item x="3339"/>
        <item x="1580"/>
        <item x="4717"/>
        <item x="2430"/>
        <item x="4042"/>
        <item x="4420"/>
        <item x="500"/>
        <item x="4568"/>
        <item x="1733"/>
        <item x="3731"/>
        <item x="1768"/>
        <item x="109"/>
        <item x="1719"/>
        <item x="3071"/>
        <item x="4086"/>
        <item x="2844"/>
        <item x="3775"/>
        <item x="1884"/>
        <item x="2975"/>
        <item x="185"/>
        <item x="2819"/>
        <item x="4453"/>
        <item x="138"/>
        <item x="2237"/>
        <item x="3319"/>
        <item x="2771"/>
        <item x="3471"/>
        <item x="3702"/>
        <item x="2285"/>
        <item x="1060"/>
        <item x="3326"/>
        <item x="375"/>
        <item x="1581"/>
        <item x="3692"/>
        <item x="4528"/>
        <item x="1756"/>
        <item x="633"/>
        <item x="2154"/>
        <item x="2380"/>
        <item x="3933"/>
        <item x="4815"/>
        <item x="4663"/>
        <item x="3838"/>
        <item x="4664"/>
        <item x="4363"/>
        <item x="699"/>
        <item x="2438"/>
        <item x="575"/>
        <item x="1453"/>
        <item x="3163"/>
        <item x="3897"/>
        <item x="3403"/>
        <item x="983"/>
        <item x="1902"/>
        <item x="749"/>
        <item x="4951"/>
        <item x="3912"/>
        <item x="3399"/>
        <item x="576"/>
        <item x="4041"/>
        <item x="430"/>
        <item x="4224"/>
        <item x="1774"/>
        <item x="242"/>
        <item x="1908"/>
        <item x="1152"/>
        <item x="2942"/>
        <item x="1220"/>
        <item x="2696"/>
        <item x="3188"/>
        <item x="186"/>
        <item x="282"/>
        <item x="732"/>
        <item x="4877"/>
        <item x="3714"/>
        <item x="862"/>
        <item x="209"/>
        <item x="2498"/>
        <item x="1007"/>
        <item x="15"/>
        <item x="2127"/>
        <item x="2841"/>
        <item x="4622"/>
        <item x="1327"/>
        <item x="586"/>
        <item x="2132"/>
        <item x="3813"/>
        <item x="3070"/>
        <item x="3846"/>
        <item x="3698"/>
        <item x="4865"/>
        <item x="4540"/>
        <item x="158"/>
        <item x="2758"/>
        <item x="587"/>
        <item x="1605"/>
        <item x="1029"/>
        <item x="1999"/>
        <item x="2252"/>
        <item x="2683"/>
        <item x="3453"/>
        <item x="3628"/>
        <item x="562"/>
        <item x="2000"/>
        <item x="604"/>
        <item x="4401"/>
        <item x="2565"/>
        <item x="1157"/>
        <item x="4339"/>
        <item x="566"/>
        <item x="4588"/>
        <item x="808"/>
        <item x="4741"/>
        <item x="1398"/>
        <item x="798"/>
        <item x="1315"/>
        <item x="3885"/>
        <item x="1373"/>
        <item x="1967"/>
        <item x="1496"/>
        <item x="2238"/>
        <item x="1096"/>
        <item x="4914"/>
        <item x="1790"/>
        <item x="3577"/>
        <item x="78"/>
        <item x="2483"/>
        <item x="3859"/>
        <item x="2034"/>
        <item x="4393"/>
        <item x="2330"/>
        <item x="1105"/>
        <item x="3734"/>
        <item x="1629"/>
        <item x="303"/>
        <item x="119"/>
        <item x="4671"/>
        <item x="1724"/>
        <item x="3342"/>
        <item x="1876"/>
        <item x="388"/>
        <item x="4466"/>
        <item x="4108"/>
        <item x="4079"/>
        <item x="3786"/>
        <item x="2209"/>
        <item x="788"/>
        <item x="3437"/>
        <item x="501"/>
        <item x="1708"/>
        <item x="1612"/>
        <item x="1881"/>
        <item x="538"/>
        <item x="2397"/>
        <item x="4779"/>
        <item x="3607"/>
        <item x="3138"/>
        <item x="3190"/>
        <item x="521"/>
        <item x="1306"/>
        <item x="2128"/>
        <item x="1890"/>
        <item x="3884"/>
        <item x="642"/>
        <item x="3155"/>
        <item x="711"/>
        <item x="4112"/>
        <item x="3616"/>
        <item x="95"/>
        <item x="4226"/>
        <item x="2421"/>
        <item x="3833"/>
        <item x="478"/>
        <item x="3258"/>
        <item x="327"/>
        <item x="2501"/>
        <item x="2052"/>
        <item x="1268"/>
        <item x="4637"/>
        <item x="1087"/>
        <item x="4835"/>
        <item x="418"/>
        <item x="4069"/>
        <item x="1267"/>
        <item x="3023"/>
        <item x="593"/>
        <item x="4641"/>
        <item x="1214"/>
        <item x="2737"/>
        <item x="2336"/>
        <item x="4785"/>
        <item x="3067"/>
        <item x="1736"/>
        <item x="3787"/>
        <item x="3981"/>
        <item x="4515"/>
        <item x="4695"/>
        <item x="1407"/>
        <item x="782"/>
        <item x="1710"/>
        <item x="2422"/>
        <item x="1120"/>
        <item x="4506"/>
        <item x="4813"/>
        <item x="1527"/>
        <item x="2685"/>
        <item x="1690"/>
        <item x="4213"/>
        <item x="328"/>
        <item x="497"/>
        <item x="1961"/>
        <item x="810"/>
        <item x="3796"/>
        <item x="1017"/>
        <item x="2544"/>
        <item x="1128"/>
        <item x="2219"/>
        <item x="3544"/>
        <item x="127"/>
        <item x="1031"/>
        <item x="1326"/>
        <item x="451"/>
        <item x="1482"/>
        <item x="3016"/>
        <item x="1197"/>
        <item x="4978"/>
        <item x="316"/>
        <item x="1221"/>
        <item x="1606"/>
        <item x="2940"/>
        <item x="2043"/>
        <item x="4534"/>
        <item x="4448"/>
        <item x="4092"/>
        <item x="3991"/>
        <item x="4826"/>
        <item x="800"/>
        <item x="4433"/>
        <item x="3444"/>
        <item x="3221"/>
        <item x="4661"/>
        <item x="601"/>
        <item x="3486"/>
        <item x="4846"/>
        <item x="1851"/>
        <item x="4936"/>
        <item x="2487"/>
        <item x="3988"/>
        <item x="2674"/>
        <item x="317"/>
        <item x="3517"/>
        <item x="677"/>
        <item x="2835"/>
        <item x="4291"/>
        <item x="998"/>
        <item x="694"/>
        <item x="2136"/>
        <item x="1868"/>
        <item x="3709"/>
        <item x="3814"/>
        <item x="4623"/>
        <item x="4644"/>
        <item x="229"/>
        <item x="946"/>
        <item x="3513"/>
        <item x="690"/>
        <item x="4445"/>
        <item x="828"/>
        <item x="906"/>
        <item x="3041"/>
        <item x="3362"/>
        <item x="4899"/>
        <item x="4391"/>
        <item x="3575"/>
        <item x="4349"/>
        <item x="961"/>
        <item x="746"/>
        <item x="1429"/>
        <item x="2325"/>
        <item x="3671"/>
        <item x="4976"/>
        <item x="2434"/>
        <item x="2201"/>
        <item x="1154"/>
        <item x="3581"/>
        <item x="3881"/>
        <item x="570"/>
        <item x="2854"/>
        <item x="2911"/>
        <item x="4186"/>
        <item x="3570"/>
        <item x="141"/>
        <item x="1010"/>
        <item x="1465"/>
        <item x="4634"/>
        <item x="4097"/>
        <item x="445"/>
        <item x="4383"/>
        <item x="4943"/>
        <item x="865"/>
        <item x="2769"/>
        <item x="621"/>
        <item x="4851"/>
        <item x="1473"/>
        <item x="3554"/>
        <item x="234"/>
        <item x="1877"/>
        <item x="2110"/>
        <item x="3137"/>
        <item x="331"/>
        <item x="791"/>
        <item x="4697"/>
        <item x="3424"/>
        <item x="4229"/>
        <item x="4176"/>
        <item x="4093"/>
        <item x="4139"/>
        <item x="4267"/>
        <item x="2523"/>
        <item x="3314"/>
        <item x="4410"/>
        <item x="3109"/>
        <item x="1163"/>
        <item x="457"/>
        <item x="2735"/>
        <item x="1551"/>
        <item x="4404"/>
        <item x="2618"/>
        <item x="1620"/>
        <item x="4270"/>
        <item x="2612"/>
        <item x="1510"/>
        <item x="3427"/>
        <item x="4191"/>
        <item x="2598"/>
        <item x="288"/>
        <item x="1057"/>
        <item x="916"/>
        <item x="106"/>
        <item x="3358"/>
        <item x="2322"/>
        <item x="4560"/>
        <item x="1717"/>
        <item x="315"/>
        <item x="1716"/>
        <item x="764"/>
        <item x="2271"/>
        <item x="2822"/>
        <item x="4789"/>
        <item x="2046"/>
        <item x="1631"/>
        <item x="2604"/>
        <item x="4654"/>
        <item x="4230"/>
        <item x="2676"/>
        <item x="4628"/>
        <item x="2657"/>
        <item x="2079"/>
        <item x="3558"/>
        <item x="20"/>
        <item x="355"/>
        <item x="4855"/>
        <item x="2831"/>
        <item x="3478"/>
        <item x="2519"/>
        <item x="1694"/>
        <item x="730"/>
        <item x="2592"/>
        <item x="3199"/>
        <item x="4319"/>
        <item x="1562"/>
        <item x="3632"/>
        <item x="2986"/>
        <item x="4412"/>
        <item x="135"/>
        <item x="4071"/>
        <item x="2814"/>
        <item x="4318"/>
        <item x="1038"/>
        <item x="1311"/>
        <item x="4539"/>
        <item x="2460"/>
        <item x="4274"/>
        <item x="3596"/>
        <item x="70"/>
        <item x="3604"/>
        <item x="519"/>
        <item x="3014"/>
        <item x="1892"/>
        <item x="2465"/>
        <item x="3438"/>
        <item x="2075"/>
        <item x="4555"/>
        <item x="3613"/>
        <item x="1435"/>
        <item x="3370"/>
        <item x="1229"/>
        <item x="3957"/>
        <item x="2946"/>
        <item x="1520"/>
        <item x="2143"/>
        <item x="4841"/>
        <item x="1802"/>
        <item x="607"/>
        <item x="345"/>
        <item x="3374"/>
        <item x="4915"/>
        <item x="1291"/>
        <item x="3771"/>
        <item x="1842"/>
        <item x="4497"/>
        <item x="1712"/>
        <item x="3125"/>
        <item x="2344"/>
        <item x="1626"/>
        <item x="1933"/>
        <item x="2797"/>
        <item x="3866"/>
        <item x="3627"/>
        <item x="466"/>
        <item x="2526"/>
        <item x="1400"/>
        <item x="3832"/>
        <item x="2548"/>
        <item x="3321"/>
        <item x="4530"/>
        <item x="2267"/>
        <item x="3783"/>
        <item x="4378"/>
        <item x="728"/>
        <item x="4896"/>
        <item x="3543"/>
        <item x="50"/>
        <item x="556"/>
        <item x="248"/>
        <item x="37"/>
        <item x="3027"/>
        <item x="843"/>
        <item x="2159"/>
        <item x="1102"/>
        <item x="411"/>
        <item x="4072"/>
        <item x="942"/>
        <item x="1210"/>
        <item x="2115"/>
        <item x="1363"/>
        <item x="1664"/>
        <item x="1014"/>
        <item x="4587"/>
        <item x="3711"/>
        <item x="886"/>
        <item x="2978"/>
        <item x="4863"/>
        <item x="189"/>
        <item x="4535"/>
        <item x="1697"/>
        <item x="2848"/>
        <item x="498"/>
        <item x="2987"/>
        <item x="4394"/>
        <item x="1879"/>
        <item x="849"/>
        <item x="297"/>
        <item x="2954"/>
        <item x="1806"/>
        <item x="499"/>
        <item x="3230"/>
        <item x="4643"/>
        <item x="4129"/>
        <item x="2520"/>
        <item x="332"/>
        <item x="3003"/>
        <item x="2120"/>
        <item x="219"/>
        <item x="3926"/>
        <item x="954"/>
        <item x="870"/>
        <item x="881"/>
        <item x="1539"/>
        <item x="376"/>
        <item x="1016"/>
        <item x="696"/>
        <item x="720"/>
        <item x="1447"/>
        <item x="1347"/>
        <item x="1859"/>
        <item x="1814"/>
        <item x="4544"/>
        <item x="2496"/>
        <item x="1930"/>
        <item x="3249"/>
        <item x="2224"/>
        <item x="4485"/>
        <item x="1610"/>
        <item x="2728"/>
        <item x="4880"/>
        <item x="4838"/>
        <item x="1421"/>
        <item x="419"/>
        <item x="4569"/>
        <item x="594"/>
        <item x="3802"/>
        <item x="3116"/>
        <item x="2104"/>
        <item x="3092"/>
        <item x="3953"/>
        <item x="4724"/>
        <item x="2531"/>
        <item x="1772"/>
        <item x="2695"/>
        <item x="1422"/>
        <item x="3562"/>
        <item x="3994"/>
        <item x="4621"/>
        <item x="1369"/>
        <item x="1462"/>
        <item x="957"/>
        <item x="1834"/>
        <item x="257"/>
        <item x="3501"/>
        <item x="3843"/>
        <item x="3864"/>
        <item x="1190"/>
        <item x="80"/>
        <item x="4882"/>
        <item x="4919"/>
        <item x="205"/>
        <item x="4159"/>
        <item x="4334"/>
        <item x="4379"/>
        <item x="1602"/>
        <item x="2144"/>
        <item x="4039"/>
        <item x="3744"/>
        <item x="4382"/>
        <item x="144"/>
        <item x="639"/>
        <item x="851"/>
        <item x="573"/>
        <item x="2807"/>
        <item x="591"/>
        <item x="4977"/>
        <item x="4460"/>
        <item x="357"/>
        <item x="3336"/>
        <item x="1048"/>
        <item x="371"/>
        <item x="3398"/>
        <item x="3114"/>
        <item x="2635"/>
        <item x="2722"/>
        <item x="4145"/>
        <item x="4499"/>
        <item x="3545"/>
        <item x="1127"/>
        <item x="3033"/>
        <item x="3248"/>
        <item x="3115"/>
        <item x="2788"/>
        <item x="2666"/>
        <item x="3883"/>
        <item x="813"/>
        <item x="2374"/>
        <item x="4456"/>
        <item x="2233"/>
        <item x="3535"/>
        <item x="3154"/>
        <item x="408"/>
        <item x="3722"/>
        <item x="4752"/>
        <item x="2250"/>
        <item x="3265"/>
        <item x="2957"/>
        <item x="1442"/>
        <item x="1418"/>
        <item x="990"/>
        <item x="968"/>
        <item x="18"/>
        <item x="2185"/>
        <item x="4430"/>
        <item x="54"/>
        <item x="1269"/>
        <item x="1725"/>
        <item x="4288"/>
        <item x="4906"/>
        <item x="2620"/>
        <item x="416"/>
        <item x="3244"/>
        <item x="1146"/>
        <item x="1977"/>
        <item x="2800"/>
        <item x="1764"/>
        <item x="3372"/>
        <item x="4878"/>
        <item x="2008"/>
        <item x="1309"/>
        <item x="4021"/>
        <item x="2399"/>
        <item x="885"/>
        <item x="2614"/>
        <item x="3298"/>
        <item x="3552"/>
        <item x="4737"/>
        <item x="3793"/>
        <item x="1430"/>
        <item x="1396"/>
        <item x="3376"/>
        <item x="4763"/>
        <item x="920"/>
        <item x="1586"/>
        <item x="2775"/>
        <item x="4124"/>
        <item x="4614"/>
        <item x="4516"/>
        <item x="767"/>
        <item x="4395"/>
        <item x="2617"/>
        <item x="1702"/>
        <item x="4529"/>
        <item x="3673"/>
        <item x="2639"/>
        <item x="255"/>
        <item x="4965"/>
        <item x="1470"/>
        <item x="3736"/>
        <item x="995"/>
        <item x="980"/>
        <item x="3770"/>
        <item x="2479"/>
        <item x="3617"/>
        <item x="4304"/>
        <item x="262"/>
        <item x="737"/>
        <item x="830"/>
        <item x="3318"/>
        <item x="1584"/>
        <item x="4331"/>
        <item x="4884"/>
        <item x="3667"/>
        <item x="1502"/>
        <item x="3911"/>
        <item x="3818"/>
        <item x="819"/>
        <item x="3641"/>
        <item x="1983"/>
        <item x="3514"/>
        <item x="530"/>
        <item x="2684"/>
        <item x="1433"/>
        <item x="2314"/>
        <item x="1209"/>
        <item x="4631"/>
        <item x="1833"/>
        <item x="4330"/>
        <item x="4981"/>
        <item x="3782"/>
        <item x="4857"/>
        <item x="3378"/>
        <item x="1873"/>
        <item x="4010"/>
        <item x="4619"/>
        <item x="1622"/>
        <item x="3015"/>
        <item x="4819"/>
        <item x="3332"/>
        <item x="1041"/>
        <item x="1049"/>
        <item x="3270"/>
        <item x="2369"/>
        <item x="3303"/>
        <item x="2837"/>
        <item x="2552"/>
        <item x="795"/>
        <item x="4706"/>
        <item x="2217"/>
        <item x="1576"/>
        <item x="2888"/>
        <item x="154"/>
        <item x="4948"/>
        <item x="3977"/>
        <item x="350"/>
        <item x="1511"/>
        <item x="2349"/>
        <item x="4727"/>
        <item x="4055"/>
        <item x="717"/>
        <item x="3735"/>
        <item x="2863"/>
        <item x="2347"/>
        <item x="2508"/>
        <item x="1094"/>
        <item x="3752"/>
        <item x="123"/>
        <item x="1556"/>
        <item x="896"/>
        <item x="1535"/>
        <item x="4561"/>
        <item x="760"/>
        <item x="1824"/>
        <item x="3443"/>
        <item x="2783"/>
        <item x="2407"/>
        <item x="2093"/>
        <item x="806"/>
        <item x="1158"/>
        <item x="2937"/>
        <item x="4889"/>
        <item x="985"/>
        <item x="2255"/>
        <item x="2784"/>
        <item x="816"/>
        <item x="3182"/>
        <item x="1018"/>
        <item x="4615"/>
        <item x="1624"/>
        <item x="2435"/>
        <item x="536"/>
        <item x="4168"/>
        <item x="3147"/>
        <item x="4905"/>
        <item x="2475"/>
        <item x="3024"/>
        <item x="3099"/>
        <item x="2539"/>
        <item x="1109"/>
        <item x="401"/>
        <item x="1803"/>
        <item x="1411"/>
        <item x="336"/>
        <item x="2992"/>
        <item x="1955"/>
        <item x="2280"/>
        <item x="4263"/>
        <item x="4580"/>
        <item x="4747"/>
        <item x="2222"/>
        <item x="2554"/>
        <item x="610"/>
        <item x="842"/>
        <item x="4860"/>
        <item x="3449"/>
        <item x="1591"/>
        <item x="1616"/>
        <item x="1686"/>
        <item x="1376"/>
        <item x="3347"/>
        <item x="289"/>
        <item x="2772"/>
        <item x="4887"/>
        <item x="4719"/>
        <item x="2879"/>
        <item x="281"/>
        <item x="2160"/>
        <item x="2782"/>
        <item x="3788"/>
        <item x="1466"/>
        <item x="1394"/>
        <item x="381"/>
        <item x="4306"/>
        <item x="3364"/>
        <item x="2699"/>
        <item x="3809"/>
        <item x="1709"/>
        <item x="2925"/>
        <item x="3422"/>
        <item x="615"/>
        <item x="2373"/>
        <item x="1825"/>
        <item x="4970"/>
        <item x="2006"/>
        <item x="848"/>
        <item x="2572"/>
        <item x="206"/>
        <item x="3272"/>
        <item x="1553"/>
        <item x="2998"/>
        <item x="1420"/>
        <item x="1759"/>
        <item x="763"/>
        <item x="343"/>
        <item x="850"/>
        <item x="3990"/>
        <item x="3761"/>
        <item x="919"/>
        <item x="3646"/>
        <item x="98"/>
        <item x="4183"/>
        <item x="3402"/>
        <item x="1454"/>
        <item x="2193"/>
        <item x="12"/>
        <item x="873"/>
        <item x="4096"/>
        <item x="1392"/>
        <item x="469"/>
        <item x="2303"/>
        <item x="3587"/>
        <item x="3479"/>
        <item x="467"/>
        <item x="2533"/>
        <item x="2346"/>
        <item x="2239"/>
        <item x="1753"/>
        <item x="128"/>
        <item x="547"/>
        <item x="1020"/>
        <item x="589"/>
        <item x="3051"/>
        <item x="1126"/>
        <item x="3657"/>
        <item x="2897"/>
        <item x="894"/>
        <item x="4742"/>
        <item x="4828"/>
        <item x="4796"/>
        <item x="1915"/>
        <item x="452"/>
        <item x="4704"/>
        <item x="2342"/>
        <item x="2677"/>
        <item x="2164"/>
        <item x="2360"/>
        <item x="2752"/>
        <item x="1623"/>
        <item x="151"/>
        <item x="4788"/>
        <item x="837"/>
        <item x="3337"/>
        <item x="1266"/>
        <item x="4658"/>
        <item x="4902"/>
        <item x="2394"/>
        <item x="3227"/>
        <item x="752"/>
        <item x="3405"/>
        <item x="4208"/>
        <item x="4773"/>
        <item x="4808"/>
        <item x="1350"/>
        <item x="3795"/>
        <item x="2396"/>
        <item x="1022"/>
        <item x="3345"/>
        <item x="2062"/>
        <item x="4459"/>
        <item x="1039"/>
        <item x="477"/>
        <item x="4872"/>
        <item x="2943"/>
        <item x="4945"/>
        <item x="1903"/>
        <item x="352"/>
        <item x="1542"/>
        <item x="4008"/>
        <item x="3823"/>
        <item x="933"/>
        <item x="1412"/>
        <item x="3909"/>
        <item x="44"/>
        <item x="1529"/>
        <item x="3743"/>
        <item x="3063"/>
        <item x="910"/>
        <item x="2749"/>
        <item x="3518"/>
        <item x="213"/>
        <item x="3160"/>
        <item x="2842"/>
        <item x="4501"/>
        <item x="2309"/>
        <item x="4518"/>
        <item x="3310"/>
        <item x="3943"/>
        <item x="3151"/>
        <item x="3139"/>
        <item x="4160"/>
        <item x="582"/>
        <item x="2277"/>
        <item x="1861"/>
        <item x="4570"/>
        <item x="1312"/>
        <item x="0"/>
        <item x="3053"/>
        <item x="147"/>
        <item x="2173"/>
        <item x="3952"/>
        <item x="4790"/>
        <item x="4157"/>
        <item x="951"/>
        <item x="956"/>
        <item x="1994"/>
        <item x="1070"/>
        <item x="1730"/>
        <item x="3152"/>
        <item x="2258"/>
        <item x="3966"/>
        <item x="4776"/>
        <item x="4521"/>
        <item x="924"/>
        <item x="4417"/>
        <item x="4651"/>
        <item x="2497"/>
        <item x="1218"/>
        <item x="1054"/>
        <item x="4833"/>
        <item x="3502"/>
        <item x="3973"/>
        <item x="166"/>
        <item x="1665"/>
        <item x="1741"/>
        <item x="3928"/>
        <item x="2391"/>
        <item x="4847"/>
        <item x="3583"/>
        <item x="1187"/>
        <item x="2060"/>
        <item x="723"/>
        <item x="3235"/>
        <item x="1246"/>
        <item x="3385"/>
        <item x="1313"/>
        <item x="3851"/>
        <item x="674"/>
        <item x="1758"/>
        <item x="2621"/>
        <item x="3684"/>
        <item x="4409"/>
        <item x="2316"/>
        <item x="2214"/>
        <item x="840"/>
        <item x="41"/>
        <item x="2750"/>
        <item x="3387"/>
        <item x="2990"/>
        <item x="3584"/>
        <item x="558"/>
        <item x="2739"/>
        <item x="4036"/>
        <item x="2492"/>
        <item x="3412"/>
        <item x="4067"/>
        <item x="2245"/>
        <item x="3624"/>
        <item x="2053"/>
        <item x="569"/>
        <item x="462"/>
        <item x="210"/>
        <item x="2623"/>
        <item x="1963"/>
        <item x="283"/>
        <item x="4720"/>
        <item x="2864"/>
        <item x="483"/>
        <item x="1685"/>
        <item x="4106"/>
        <item x="292"/>
        <item x="773"/>
        <item x="655"/>
        <item x="876"/>
        <item x="1137"/>
        <item x="1374"/>
        <item x="1072"/>
        <item x="437"/>
        <item x="4192"/>
        <item x="2167"/>
        <item x="3340"/>
        <item x="542"/>
        <item x="275"/>
        <item x="387"/>
        <item x="1082"/>
        <item x="776"/>
        <item x="3730"/>
        <item x="528"/>
        <item x="4265"/>
        <item x="1598"/>
        <item x="3821"/>
        <item x="1365"/>
        <item x="369"/>
        <item x="745"/>
        <item x="3212"/>
        <item x="4205"/>
        <item x="3592"/>
        <item x="3508"/>
        <item x="3259"/>
        <item x="2248"/>
        <item x="3494"/>
        <item x="2959"/>
        <item x="2426"/>
        <item x="3723"/>
        <item x="364"/>
        <item x="3416"/>
        <item x="4038"/>
        <item x="4736"/>
        <item x="1138"/>
        <item x="440"/>
        <item x="2859"/>
        <item x="4081"/>
        <item x="1498"/>
        <item x="3260"/>
        <item x="2300"/>
        <item x="1377"/>
        <item x="1627"/>
        <item x="1243"/>
        <item x="3241"/>
        <item x="400"/>
        <item x="3785"/>
        <item x="2050"/>
        <item x="4077"/>
        <item x="1734"/>
        <item x="531"/>
        <item x="1349"/>
        <item x="741"/>
        <item x="815"/>
        <item x="226"/>
        <item x="4256"/>
        <item x="4293"/>
        <item x="3110"/>
        <item x="2069"/>
        <item x="1013"/>
        <item x="4869"/>
        <item x="4679"/>
        <item x="55"/>
        <item x="2118"/>
        <item x="2085"/>
        <item x="3161"/>
        <item x="4210"/>
        <item x="2183"/>
        <item x="2747"/>
        <item x="3982"/>
        <item x="26"/>
        <item x="684"/>
        <item x="1628"/>
        <item x="4441"/>
        <item x="2804"/>
        <item x="475"/>
        <item x="678"/>
        <item x="3288"/>
        <item x="3700"/>
        <item x="146"/>
        <item x="3009"/>
        <item x="2704"/>
        <item x="1848"/>
        <item x="79"/>
        <item x="2088"/>
        <item x="3741"/>
        <item x="3062"/>
        <item x="108"/>
        <item x="3359"/>
        <item x="361"/>
        <item x="2746"/>
        <item x="2011"/>
        <item x="1200"/>
        <item x="4102"/>
        <item x="2287"/>
        <item x="4364"/>
        <item x="1864"/>
        <item x="142"/>
        <item x="1960"/>
        <item x="2092"/>
        <item x="4163"/>
        <item x="3791"/>
        <item x="3082"/>
        <item x="4807"/>
        <item x="1949"/>
        <item x="453"/>
        <item x="1893"/>
        <item x="223"/>
        <item x="3107"/>
        <item x="2099"/>
        <item x="4476"/>
        <item x="1696"/>
        <item x="1236"/>
        <item x="1995"/>
        <item x="4075"/>
        <item x="1615"/>
        <item x="431"/>
        <item x="3662"/>
        <item x="912"/>
        <item x="2723"/>
        <item x="938"/>
        <item x="2326"/>
        <item x="4297"/>
        <item x="1996"/>
        <item x="52"/>
        <item x="4546"/>
        <item x="3879"/>
        <item x="4573"/>
        <item x="1751"/>
        <item x="4146"/>
        <item x="1545"/>
        <item x="472"/>
        <item x="934"/>
        <item x="743"/>
        <item x="3097"/>
        <item x="3334"/>
        <item x="1066"/>
        <item x="1185"/>
        <item x="1322"/>
        <item x="3365"/>
        <item x="2738"/>
        <item x="410"/>
        <item x="1830"/>
        <item x="1648"/>
        <item x="4968"/>
        <item x="3166"/>
        <item x="4804"/>
        <item x="1"/>
        <item x="4030"/>
        <item x="3408"/>
        <item x="2259"/>
        <item x="3536"/>
        <item x="4474"/>
        <item x="750"/>
        <item x="2439"/>
        <item x="716"/>
        <item x="595"/>
        <item x="3022"/>
        <item x="1293"/>
        <item x="449"/>
        <item x="2839"/>
        <item x="4231"/>
        <item x="3668"/>
        <item x="2910"/>
        <item x="4164"/>
        <item x="611"/>
        <item x="2215"/>
        <item x="3268"/>
        <item x="2161"/>
        <item x="3206"/>
        <item x="1224"/>
        <item x="1174"/>
        <item x="4407"/>
        <item x="3690"/>
        <item x="3184"/>
        <item x="1416"/>
        <item x="2476"/>
        <item x="258"/>
        <item x="1211"/>
        <item x="3951"/>
        <item x="1097"/>
        <item x="4876"/>
        <item x="2865"/>
        <item x="268"/>
        <item x="628"/>
        <item x="3941"/>
        <item x="390"/>
        <item x="4839"/>
        <item x="1819"/>
        <item x="2742"/>
        <item x="1181"/>
        <item x="3327"/>
        <item x="4629"/>
        <item x="3366"/>
        <item x="2921"/>
        <item x="131"/>
        <item x="4311"/>
        <item x="4593"/>
        <item x="464"/>
        <item x="3797"/>
        <item x="1820"/>
        <item x="1162"/>
        <item x="1182"/>
        <item x="1051"/>
        <item x="454"/>
        <item x="4715"/>
        <item x="3963"/>
        <item x="1027"/>
        <item x="4718"/>
        <item x="1920"/>
        <item x="2836"/>
        <item x="1111"/>
        <item x="1423"/>
        <item x="3065"/>
        <item x="2468"/>
        <item x="2766"/>
        <item x="1171"/>
        <item x="4446"/>
        <item x="1613"/>
        <item x="656"/>
        <item x="3252"/>
        <item x="4832"/>
        <item x="4138"/>
        <item x="3742"/>
        <item x="3091"/>
        <item x="359"/>
        <item x="1424"/>
        <item x="4179"/>
        <item x="4760"/>
        <item x="1045"/>
        <item x="984"/>
        <item x="322"/>
        <item x="3136"/>
        <item x="1189"/>
        <item x="3944"/>
        <item x="529"/>
        <item x="1425"/>
        <item x="3234"/>
        <item x="2419"/>
        <item x="1426"/>
        <item x="179"/>
        <item x="2459"/>
        <item x="4883"/>
        <item x="2014"/>
        <item x="4387"/>
        <item x="3532"/>
        <item x="2610"/>
        <item x="1939"/>
        <item x="1749"/>
        <item x="2297"/>
        <item x="3085"/>
        <item x="2556"/>
        <item x="4107"/>
        <item x="3489"/>
        <item x="4130"/>
        <item x="1251"/>
        <item x="3271"/>
        <item x="1075"/>
        <item x="2361"/>
        <item x="827"/>
        <item x="3089"/>
        <item x="4209"/>
        <item x="2436"/>
        <item x="3992"/>
        <item x="149"/>
        <item x="4451"/>
        <item x="3305"/>
        <item x="4295"/>
        <item x="3030"/>
        <item x="2220"/>
        <item x="553"/>
        <item x="2270"/>
        <item x="1791"/>
        <item x="2212"/>
        <item x="22"/>
        <item x="3899"/>
        <item x="4133"/>
        <item x="4397"/>
        <item x="42"/>
        <item x="111"/>
        <item x="4683"/>
        <item x="3276"/>
        <item x="4068"/>
        <item x="3148"/>
        <item x="2037"/>
        <item x="2096"/>
        <item x="4586"/>
        <item x="4618"/>
        <item x="1676"/>
        <item x="1083"/>
        <item x="2494"/>
        <item x="4315"/>
        <item x="2890"/>
        <item x="1850"/>
        <item x="167"/>
        <item x="3619"/>
        <item x="4510"/>
        <item x="1917"/>
        <item x="602"/>
        <item x="4596"/>
        <item x="3997"/>
        <item x="577"/>
        <item x="561"/>
        <item x="1777"/>
        <item x="4665"/>
        <item x="3490"/>
        <item x="4693"/>
        <item x="4503"/>
        <item x="1249"/>
        <item x="1159"/>
        <item x="2658"/>
        <item x="3778"/>
        <item x="1855"/>
        <item x="3429"/>
        <item x="4329"/>
        <item x="4154"/>
        <item x="3061"/>
        <item x="3246"/>
        <item x="3169"/>
        <item x="4486"/>
        <item x="3397"/>
        <item x="1816"/>
        <item x="769"/>
        <item x="203"/>
        <item x="3658"/>
        <item x="3194"/>
        <item x="4852"/>
        <item x="3605"/>
        <item x="1383"/>
        <item x="1546"/>
        <item x="1334"/>
        <item x="273"/>
        <item x="1044"/>
        <item x="3681"/>
        <item x="3253"/>
        <item x="1167"/>
        <item x="2455"/>
        <item x="846"/>
        <item x="3007"/>
        <item x="2263"/>
        <item x="3686"/>
        <item x="2615"/>
        <item x="1732"/>
        <item x="130"/>
        <item x="1835"/>
        <item x="4911"/>
        <item x="3413"/>
        <item x="4594"/>
        <item x="3849"/>
        <item x="33"/>
        <item x="2137"/>
        <item x="3967"/>
        <item x="1244"/>
        <item x="2697"/>
        <item x="2044"/>
        <item x="3659"/>
        <item x="278"/>
        <item x="3546"/>
        <item x="10"/>
        <item x="616"/>
        <item x="1144"/>
        <item x="4684"/>
        <item x="3998"/>
        <item x="215"/>
        <item x="1792"/>
        <item x="1788"/>
        <item x="3195"/>
        <item x="153"/>
        <item x="3145"/>
        <item x="448"/>
        <item x="2135"/>
        <item x="1948"/>
        <item x="2950"/>
        <item x="417"/>
        <item x="4283"/>
        <item x="99"/>
        <item x="3316"/>
        <item x="2482"/>
        <item x="4603"/>
        <item x="887"/>
        <item x="4972"/>
        <item x="2431"/>
        <item x="2244"/>
        <item x="4059"/>
        <item x="3381"/>
        <item x="302"/>
        <item x="2785"/>
        <item x="3567"/>
        <item x="1530"/>
        <item x="613"/>
        <item x="2895"/>
        <item x="1336"/>
        <item x="1655"/>
        <item x="1439"/>
        <item x="1572"/>
        <item x="1241"/>
        <item x="4675"/>
        <item x="2645"/>
        <item x="1215"/>
        <item x="2020"/>
        <item x="195"/>
        <item x="4761"/>
        <item x="3247"/>
        <item x="4730"/>
        <item x="2172"/>
        <item x="2562"/>
        <item x="3798"/>
        <item x="2502"/>
        <item x="4034"/>
        <item x="2919"/>
        <item x="383"/>
        <item x="4003"/>
        <item x="4949"/>
        <item x="2908"/>
        <item x="2081"/>
        <item x="1900"/>
        <item x="3273"/>
        <item x="3650"/>
        <item x="1894"/>
        <item x="1735"/>
        <item x="1769"/>
        <item x="4538"/>
        <item x="2355"/>
        <item x="1384"/>
        <item x="489"/>
        <item x="2340"/>
        <item x="1494"/>
        <item x="2571"/>
        <item x="4218"/>
        <item x="377"/>
        <item x="150"/>
        <item x="2853"/>
        <item x="831"/>
        <item x="1984"/>
        <item x="4956"/>
        <item x="3239"/>
        <item x="4692"/>
        <item x="3862"/>
        <item x="3503"/>
        <item x="1086"/>
        <item x="1770"/>
        <item x="1646"/>
        <item x="1101"/>
        <item x="4254"/>
        <item x="4800"/>
        <item x="1691"/>
        <item x="1067"/>
        <item x="321"/>
        <item x="2934"/>
        <item x="4575"/>
        <item x="1931"/>
        <item x="3825"/>
        <item x="4670"/>
        <item x="324"/>
        <item x="3996"/>
        <item x="251"/>
        <item x="3341"/>
        <item x="4155"/>
        <item x="4326"/>
        <item x="4437"/>
        <item x="341"/>
        <item x="4350"/>
        <item x="3017"/>
        <item x="2540"/>
        <item x="4082"/>
        <item x="1599"/>
        <item x="2165"/>
        <item x="2335"/>
        <item x="4823"/>
        <item x="1081"/>
        <item x="2452"/>
        <item x="2753"/>
        <item x="4941"/>
        <item x="903"/>
        <item x="923"/>
        <item x="719"/>
        <item x="61"/>
        <item x="1765"/>
        <item x="511"/>
        <item x="1827"/>
        <item x="3563"/>
        <item x="3601"/>
        <item x="641"/>
        <item x="3171"/>
        <item x="3454"/>
        <item x="625"/>
        <item x="4974"/>
        <item x="4413"/>
        <item x="1459"/>
        <item x="872"/>
        <item x="4073"/>
        <item x="1343"/>
        <item x="1294"/>
        <item x="3635"/>
        <item x="721"/>
        <item x="4087"/>
        <item x="3256"/>
        <item x="116"/>
        <item x="3861"/>
        <item x="1156"/>
        <item x="3001"/>
        <item x="3900"/>
        <item x="3549"/>
        <item x="4557"/>
        <item x="3354"/>
        <item x="1557"/>
        <item x="1969"/>
        <item x="2828"/>
        <item x="1468"/>
        <item x="991"/>
        <item x="2845"/>
        <item x="3906"/>
        <item x="1225"/>
        <item x="2381"/>
        <item x="4442"/>
        <item x="1064"/>
        <item x="1942"/>
        <item x="1297"/>
        <item x="4175"/>
        <item x="4984"/>
        <item x="3733"/>
        <item x="4607"/>
        <item x="308"/>
        <item x="4645"/>
        <item x="3072"/>
        <item x="3620"/>
        <item x="2543"/>
        <item x="2643"/>
        <item x="1367"/>
        <item x="1657"/>
        <item x="87"/>
        <item x="3805"/>
        <item x="4477"/>
        <item x="3747"/>
        <item x="2194"/>
        <item x="960"/>
        <item x="2926"/>
        <item x="3446"/>
        <item x="1076"/>
        <item x="1307"/>
        <item x="3874"/>
        <item x="4931"/>
        <item x="1647"/>
        <item x="4751"/>
        <item x="856"/>
        <item x="4244"/>
        <item x="3028"/>
        <item x="1485"/>
        <item x="533"/>
        <item x="353"/>
        <item x="3409"/>
        <item x="34"/>
        <item x="2101"/>
        <item x="3937"/>
        <item x="583"/>
        <item x="3081"/>
        <item x="4060"/>
        <item x="1379"/>
        <item x="4505"/>
        <item x="4926"/>
        <item x="1966"/>
        <item x="1409"/>
        <item x="2815"/>
        <item x="3466"/>
        <item x="1952"/>
        <item x="157"/>
        <item x="3400"/>
        <item x="506"/>
        <item x="2700"/>
        <item x="3929"/>
        <item x="3242"/>
        <item x="2157"/>
        <item x="2262"/>
        <item x="1757"/>
        <item x="2321"/>
        <item x="4738"/>
        <item x="4462"/>
        <item x="346"/>
        <item x="3845"/>
        <item x="1299"/>
        <item x="1106"/>
        <item x="2710"/>
        <item x="1817"/>
        <item x="165"/>
        <item x="857"/>
        <item x="1440"/>
        <item x="3328"/>
        <item x="4542"/>
        <item x="2384"/>
        <item x="2961"/>
        <item x="672"/>
        <item x="2055"/>
        <item x="2651"/>
        <item x="2816"/>
        <item x="2177"/>
        <item x="774"/>
        <item x="3676"/>
        <item x="4247"/>
        <item x="2456"/>
        <item x="3302"/>
        <item x="2960"/>
        <item x="3274"/>
        <item x="125"/>
        <item x="199"/>
        <item x="517"/>
        <item x="2647"/>
        <item x="2467"/>
        <item x="1486"/>
        <item x="1131"/>
        <item x="1909"/>
        <item x="2648"/>
        <item x="4471"/>
        <item x="708"/>
        <item x="2793"/>
        <item x="1550"/>
        <item x="3048"/>
        <item x="841"/>
        <item x="1913"/>
        <item x="3934"/>
        <item x="2729"/>
        <item x="2591"/>
        <item x="4196"/>
        <item x="2488"/>
        <item x="2474"/>
        <item x="3404"/>
        <item x="1090"/>
        <item x="1871"/>
        <item x="1568"/>
        <item x="1804"/>
        <item x="563"/>
        <item x="3696"/>
        <item x="1528"/>
        <item x="2935"/>
        <item x="907"/>
        <item x="194"/>
        <item x="4809"/>
        <item x="557"/>
        <item x="1287"/>
        <item x="1852"/>
        <item x="2880"/>
        <item x="2289"/>
        <item x="3134"/>
        <item x="2951"/>
        <item x="1471"/>
        <item x="4377"/>
        <item x="84"/>
        <item x="2503"/>
        <item x="3773"/>
        <item x="1729"/>
        <item x="2131"/>
        <item x="1692"/>
        <item x="1324"/>
        <item x="2846"/>
        <item x="747"/>
        <item x="3841"/>
        <item x="3521"/>
        <item x="2405"/>
        <item x="2607"/>
        <item x="2914"/>
        <item x="2756"/>
        <item x="2295"/>
        <item x="2733"/>
        <item x="3477"/>
        <item x="777"/>
        <item x="3621"/>
        <item x="871"/>
        <item x="2162"/>
        <item x="4962"/>
        <item x="2870"/>
        <item x="1317"/>
        <item x="3349"/>
        <item x="4782"/>
        <item x="3512"/>
        <item x="3005"/>
        <item x="4954"/>
        <item x="532"/>
        <item x="246"/>
        <item x="2664"/>
        <item x="3547"/>
        <item x="3277"/>
        <item x="4002"/>
        <item x="4700"/>
        <item x="1956"/>
        <item x="2058"/>
        <item x="4698"/>
        <item x="4496"/>
        <item x="603"/>
        <item x="139"/>
        <item x="2286"/>
        <item x="4434"/>
        <item x="1275"/>
        <item x="653"/>
        <item x="3257"/>
        <item x="3111"/>
        <item x="71"/>
        <item x="3040"/>
        <item x="4029"/>
        <item x="2114"/>
        <item x="4638"/>
        <item x="1281"/>
        <item x="4562"/>
        <item x="3904"/>
        <item x="3826"/>
        <item x="3119"/>
        <item x="421"/>
        <item x="3042"/>
        <item x="1321"/>
        <item x="2061"/>
        <item x="2364"/>
        <item x="4548"/>
        <item x="1261"/>
        <item x="4907"/>
        <item x="1040"/>
        <item x="3870"/>
        <item x="2368"/>
        <item x="3207"/>
        <item x="1161"/>
        <item x="567"/>
        <item x="2673"/>
        <item x="113"/>
        <item x="4725"/>
        <item x="4369"/>
        <item x="1001"/>
        <item x="882"/>
        <item x="940"/>
        <item x="2584"/>
        <item x="877"/>
        <item x="2596"/>
        <item x="4971"/>
        <item x="1183"/>
        <item x="4123"/>
        <item x="3238"/>
        <item x="4328"/>
        <item x="1490"/>
        <item x="2370"/>
        <item x="4864"/>
        <item x="1862"/>
        <item x="3639"/>
        <item x="2065"/>
        <item x="1386"/>
        <item x="298"/>
        <item x="3606"/>
        <item x="3237"/>
        <item x="293"/>
        <item x="3968"/>
        <item x="4713"/>
        <item x="2504"/>
        <item x="1399"/>
        <item x="2200"/>
        <item x="3098"/>
        <item x="3103"/>
        <item x="860"/>
        <item x="4843"/>
        <item x="3539"/>
        <item x="4928"/>
        <item x="348"/>
        <item x="2534"/>
        <item x="1289"/>
        <item x="294"/>
        <item x="689"/>
        <item x="4975"/>
        <item x="175"/>
        <item x="3526"/>
        <item x="3724"/>
        <item x="3201"/>
        <item x="4844"/>
        <item x="4233"/>
        <item x="1476"/>
        <item x="2001"/>
        <item x="4702"/>
        <item x="420"/>
        <item x="3737"/>
        <item x="3142"/>
        <item x="1838"/>
        <item x="4576"/>
        <item x="1227"/>
        <item x="1982"/>
        <item x="2268"/>
        <item x="2687"/>
        <item x="1828"/>
        <item x="4171"/>
        <item x="2875"/>
        <item x="3031"/>
        <item x="2042"/>
        <item x="832"/>
        <item x="1091"/>
        <item x="1780"/>
        <item x="247"/>
        <item x="1310"/>
        <item x="4554"/>
        <item x="4602"/>
        <item x="1919"/>
        <item x="1552"/>
        <item x="4940"/>
        <item x="2427"/>
        <item x="2290"/>
        <item x="2410"/>
        <item x="1516"/>
        <item x="93"/>
        <item x="1604"/>
        <item x="2471"/>
        <item x="4783"/>
        <item x="2420"/>
        <item x="4475"/>
        <item x="1611"/>
        <item x="2866"/>
        <item x="4598"/>
        <item x="3313"/>
        <item x="1380"/>
        <item x="4134"/>
        <item x="4389"/>
        <item x="3506"/>
        <item x="1056"/>
        <item x="4655"/>
        <item x="1461"/>
        <item x="659"/>
        <item x="3590"/>
        <item x="3799"/>
        <item x="2952"/>
        <item x="1775"/>
        <item x="4856"/>
        <item x="3420"/>
        <item x="1121"/>
        <item x="148"/>
        <item x="4189"/>
        <item x="3172"/>
        <item x="874"/>
        <item x="2206"/>
        <item x="1095"/>
        <item x="3436"/>
        <item x="1463"/>
        <item x="1661"/>
        <item x="4109"/>
        <item x="4438"/>
        <item x="3854"/>
        <item x="4455"/>
        <item x="2304"/>
        <item x="1922"/>
        <item x="4248"/>
        <item x="3820"/>
        <item x="4579"/>
        <item x="3588"/>
        <item x="1946"/>
        <item x="2616"/>
        <item x="1675"/>
        <item x="1188"/>
        <item x="2296"/>
        <item x="496"/>
        <item x="1571"/>
        <item x="3231"/>
        <item x="715"/>
        <item x="1405"/>
        <item x="2718"/>
        <item x="3945"/>
        <item x="1023"/>
        <item x="2121"/>
        <item x="2278"/>
        <item x="852"/>
        <item x="512"/>
        <item x="770"/>
        <item x="3315"/>
        <item x="211"/>
        <item x="1970"/>
        <item x="1135"/>
        <item x="1815"/>
        <item x="1829"/>
        <item x="4961"/>
        <item x="4429"/>
        <item x="4802"/>
        <item x="2971"/>
        <item x="3625"/>
        <item x="2896"/>
        <item x="2871"/>
        <item x="4649"/>
        <item x="3591"/>
        <item x="201"/>
        <item x="2682"/>
        <item x="3369"/>
        <item x="1455"/>
        <item x="2692"/>
        <item x="4716"/>
        <item x="4778"/>
        <item x="2279"/>
        <item x="2178"/>
        <item x="3495"/>
        <item x="2472"/>
        <item x="2741"/>
        <item x="3267"/>
        <item x="2892"/>
        <item x="2275"/>
        <item x="3589"/>
        <item x="372"/>
        <item x="2444"/>
        <item x="3520"/>
        <item x="1543"/>
        <item x="1836"/>
        <item x="1217"/>
        <item x="1238"/>
        <item x="3222"/>
        <item x="4488"/>
        <item x="4836"/>
        <item x="2130"/>
        <item x="4909"/>
        <item x="3483"/>
        <item x="2265"/>
        <item x="4275"/>
        <item x="3352"/>
        <item x="1298"/>
        <item x="609"/>
        <item x="2180"/>
        <item x="880"/>
        <item x="3391"/>
        <item x="2630"/>
        <item x="4078"/>
        <item x="1540"/>
        <item x="1904"/>
        <item x="224"/>
        <item x="3"/>
        <item x="2274"/>
        <item x="1679"/>
        <item x="3266"/>
        <item x="2499"/>
        <item x="3636"/>
        <item x="3674"/>
        <item x="2887"/>
        <item x="3989"/>
        <item x="3978"/>
        <item x="296"/>
        <item x="797"/>
        <item x="4119"/>
        <item x="1990"/>
        <item x="3146"/>
        <item x="2920"/>
        <item x="554"/>
        <item x="588"/>
        <item x="4312"/>
        <item x="948"/>
        <item x="4014"/>
        <item x="665"/>
        <item x="1541"/>
        <item x="68"/>
        <item x="40"/>
        <item x="4053"/>
        <item x="2860"/>
        <item x="1479"/>
        <item x="100"/>
        <item x="1061"/>
        <item x="2207"/>
        <item x="2076"/>
        <item x="2288"/>
        <item x="2072"/>
        <item x="3559"/>
        <item x="1739"/>
        <item x="649"/>
        <item x="286"/>
        <item x="2681"/>
        <item x="492"/>
        <item x="2190"/>
        <item x="4563"/>
        <item x="3921"/>
        <item x="1166"/>
        <item x="47"/>
        <item x="2462"/>
        <item x="1300"/>
        <item x="181"/>
        <item x="1110"/>
        <item x="45"/>
        <item x="4764"/>
        <item x="4482"/>
        <item x="260"/>
        <item x="169"/>
        <item x="1134"/>
        <item x="1700"/>
        <item x="2825"/>
        <item x="3566"/>
        <item x="66"/>
        <item x="2345"/>
        <item x="2637"/>
        <item x="1255"/>
        <item x="3074"/>
        <item x="3344"/>
        <item x="964"/>
        <item x="1976"/>
        <item x="427"/>
        <item x="1897"/>
        <item x="256"/>
        <item x="2202"/>
        <item x="792"/>
        <item x="2561"/>
        <item x="4723"/>
        <item x="3642"/>
        <item x="574"/>
        <item x="1981"/>
        <item x="3144"/>
        <item x="930"/>
        <item x="3129"/>
        <item x="584"/>
        <item x="358"/>
        <item x="4431"/>
        <item x="4001"/>
        <item x="829"/>
        <item x="507"/>
        <item x="1800"/>
        <item x="1523"/>
        <item x="2073"/>
        <item x="217"/>
        <item x="4957"/>
        <item x="1355"/>
        <item x="3079"/>
        <item x="3691"/>
        <item x="4032"/>
        <item x="2849"/>
        <item x="1795"/>
        <item x="3772"/>
        <item x="1858"/>
        <item x="2057"/>
        <item x="1065"/>
        <item x="1149"/>
        <item x="2686"/>
        <item x="1098"/>
        <item x="3284"/>
        <item x="4519"/>
        <item x="883"/>
        <item x="159"/>
        <item x="2"/>
        <item x="2862"/>
        <item x="3286"/>
        <item x="1330"/>
        <item x="3693"/>
        <item x="513"/>
        <item x="2576"/>
        <item x="701"/>
        <item x="2283"/>
        <item x="947"/>
        <item x="4322"/>
        <item x="614"/>
        <item x="3880"/>
        <item x="4091"/>
        <item x="1786"/>
        <item x="2375"/>
        <item x="4359"/>
        <item x="2282"/>
        <item x="670"/>
        <item x="4202"/>
        <item x="2689"/>
        <item x="176"/>
        <item x="697"/>
        <item x="1549"/>
        <item x="1375"/>
        <item x="4094"/>
        <item x="3811"/>
        <item x="3836"/>
        <item x="4595"/>
        <item x="2447"/>
        <item x="4934"/>
        <item x="4765"/>
        <item x="4054"/>
        <item x="1587"/>
        <item x="2564"/>
        <item x="2402"/>
        <item x="2823"/>
        <item x="446"/>
        <item x="2094"/>
        <item x="4211"/>
        <item x="2362"/>
        <item x="1445"/>
        <item x="3594"/>
        <item x="1699"/>
        <item x="3475"/>
        <item x="3083"/>
        <item x="2343"/>
        <item x="4639"/>
        <item x="2386"/>
        <item x="1637"/>
        <item x="3039"/>
        <item x="821"/>
        <item x="2858"/>
        <item x="3371"/>
        <item x="1124"/>
        <item x="4325"/>
        <item x="4403"/>
        <item x="508"/>
        <item x="318"/>
        <item x="3537"/>
        <item x="768"/>
        <item x="4522"/>
        <item x="3297"/>
        <item x="4646"/>
        <item x="4180"/>
        <item x="2547"/>
        <item x="2458"/>
        <item x="4416"/>
        <item x="1381"/>
        <item x="2133"/>
        <item x="2894"/>
        <item x="244"/>
        <item x="4449"/>
        <item x="2102"/>
        <item x="2770"/>
        <item x="736"/>
        <item x="4481"/>
        <item x="3555"/>
        <item x="973"/>
        <item x="3908"/>
        <item x="3491"/>
        <item x="2002"/>
        <item x="2542"/>
        <item x="4511"/>
        <item x="76"/>
        <item x="1662"/>
        <item x="2577"/>
        <item x="4831"/>
        <item x="2949"/>
        <item x="2559"/>
        <item x="2484"/>
        <item x="1129"/>
        <item x="2745"/>
        <item x="2169"/>
        <item x="3980"/>
        <item x="4125"/>
        <item x="3117"/>
        <item x="3018"/>
        <item x="435"/>
        <item x="1534"/>
        <item x="3629"/>
        <item x="911"/>
        <item x="2826"/>
        <item x="4820"/>
        <item x="171"/>
        <item x="4590"/>
        <item x="2077"/>
        <item x="510"/>
        <item x="1074"/>
        <item x="952"/>
        <item x="1878"/>
        <item x="3685"/>
        <item x="3887"/>
        <item x="4016"/>
        <item x="3481"/>
        <item x="2067"/>
        <item x="4337"/>
        <item x="2226"/>
        <item x="1331"/>
        <item x="2791"/>
        <item x="3458"/>
        <item x="867"/>
        <item x="1103"/>
        <item x="1234"/>
        <item x="2933"/>
        <item x="3262"/>
        <item x="3727"/>
        <item x="2968"/>
        <item x="1807"/>
        <item x="88"/>
        <item x="3850"/>
        <item x="3751"/>
        <item x="2512"/>
        <item x="4425"/>
        <item x="349"/>
        <item x="4853"/>
        <item x="4100"/>
        <item x="901"/>
        <item x="2337"/>
        <item x="3100"/>
        <item x="3603"/>
        <item x="4341"/>
        <item x="1273"/>
        <item x="4368"/>
        <item x="564"/>
        <item x="4457"/>
        <item x="771"/>
        <item x="1742"/>
        <item x="4982"/>
        <item x="2569"/>
        <item x="1216"/>
        <item x="1706"/>
        <item x="3721"/>
        <item x="1201"/>
        <item x="4861"/>
        <item x="657"/>
        <item x="2789"/>
        <item x="4668"/>
        <item x="1658"/>
        <item x="3812"/>
        <item x="3579"/>
        <item x="3898"/>
        <item x="92"/>
        <item x="3068"/>
        <item x="3165"/>
        <item x="751"/>
        <item x="1854"/>
        <item x="3974"/>
        <item x="4963"/>
        <item x="1891"/>
        <item x="3150"/>
        <item x="4769"/>
        <item x="2626"/>
        <item x="4273"/>
        <item x="3985"/>
        <item x="945"/>
        <item x="3102"/>
        <item x="365"/>
        <item x="2204"/>
        <item x="1645"/>
        <item x="630"/>
        <item x="1456"/>
        <item x="2048"/>
        <item x="2904"/>
        <item x="4942"/>
        <item x="2947"/>
        <item x="3012"/>
        <item x="2327"/>
        <item x="4467"/>
        <item x="875"/>
        <item x="969"/>
        <item x="3280"/>
        <item x="4245"/>
        <item x="2649"/>
        <item x="2147"/>
        <item x="3815"/>
        <item x="3507"/>
        <item x="1000"/>
        <item x="3335"/>
        <item x="3320"/>
        <item x="3317"/>
        <item x="4770"/>
        <item x="644"/>
        <item x="4370"/>
        <item x="4033"/>
        <item x="4121"/>
        <item x="2382"/>
        <item x="3831"/>
        <item x="958"/>
        <item x="3774"/>
        <item x="3925"/>
        <item x="802"/>
        <item x="3410"/>
        <item x="4380"/>
        <item x="726"/>
        <item x="787"/>
        <item x="485"/>
        <item x="1359"/>
        <item x="3522"/>
        <item x="4113"/>
        <item x="1844"/>
        <item x="1674"/>
        <item x="197"/>
        <item x="3694"/>
        <item x="3290"/>
        <item x="4584"/>
        <item x="650"/>
        <item x="1856"/>
        <item x="2404"/>
        <item x="4811"/>
        <item x="4197"/>
        <item x="1270"/>
        <item x="1198"/>
        <item x="4259"/>
        <item x="4187"/>
        <item x="414"/>
        <item x="2105"/>
        <item x="2445"/>
        <item x="3939"/>
        <item x="228"/>
        <item x="847"/>
        <item x="735"/>
        <item x="825"/>
        <item x="3614"/>
        <item x="2611"/>
        <item x="3860"/>
        <item x="143"/>
        <item x="4084"/>
        <item x="2530"/>
        <item x="1726"/>
        <item x="4381"/>
        <item x="2412"/>
        <item x="2116"/>
        <item x="3002"/>
        <item x="1860"/>
        <item x="36"/>
        <item x="14"/>
        <item x="330"/>
        <item x="1464"/>
        <item x="2123"/>
        <item x="965"/>
        <item x="3666"/>
        <item x="540"/>
        <item x="3032"/>
        <item x="4600"/>
        <item x="3875"/>
        <item x="3913"/>
        <item x="2107"/>
        <item x="1026"/>
        <item x="4559"/>
        <item x="1501"/>
        <item x="1964"/>
        <item x="3643"/>
        <item x="1649"/>
        <item x="944"/>
        <item x="402"/>
        <item x="1169"/>
        <item x="634"/>
        <item x="545"/>
        <item x="2916"/>
        <item x="1002"/>
        <item x="1446"/>
        <item x="2796"/>
        <item x="4659"/>
        <item x="3311"/>
        <item x="39"/>
        <item x="2948"/>
        <item x="3038"/>
        <item x="4135"/>
        <item x="2016"/>
        <item x="3597"/>
        <item x="160"/>
        <item x="325"/>
        <item x="2893"/>
        <item x="3803"/>
        <item x="2367"/>
        <item x="3568"/>
        <item x="1325"/>
        <item x="3634"/>
        <item x="1831"/>
        <item x="385"/>
        <item x="2780"/>
        <item x="3388"/>
        <item x="4440"/>
        <item x="4242"/>
        <item x="3759"/>
        <item x="3922"/>
        <item x="259"/>
        <item x="161"/>
        <item x="2181"/>
        <item x="3462"/>
        <item x="4845"/>
        <item x="2806"/>
        <item x="3728"/>
        <item x="56"/>
        <item x="4287"/>
        <item x="4537"/>
        <item x="4188"/>
        <item x="429"/>
        <item x="245"/>
        <item x="1659"/>
        <item x="893"/>
        <item x="4294"/>
        <item x="190"/>
        <item x="2667"/>
        <item x="814"/>
        <item x="2184"/>
        <item x="2480"/>
        <item x="3529"/>
        <item x="4043"/>
        <item x="4774"/>
        <item x="2269"/>
        <item x="3357"/>
        <item x="3856"/>
        <item x="3716"/>
        <item x="85"/>
        <item x="897"/>
        <item x="1122"/>
        <item x="2409"/>
        <item x="4241"/>
        <item x="807"/>
        <item x="4046"/>
        <item x="937"/>
        <item x="183"/>
        <item x="1986"/>
        <item x="2702"/>
        <item x="4343"/>
        <item x="1660"/>
        <item x="2371"/>
        <item x="3034"/>
        <item x="3426"/>
        <item x="1974"/>
        <item x="3158"/>
        <item x="3895"/>
        <item x="3455"/>
        <item x="1448"/>
        <item x="2377"/>
        <item x="3435"/>
        <item x="4007"/>
        <item x="1449"/>
        <item x="2923"/>
        <item x="2805"/>
        <item x="1397"/>
        <item x="3707"/>
        <item x="4652"/>
        <item x="2080"/>
        <item x="902"/>
        <item x="981"/>
        <item x="878"/>
        <item x="3225"/>
        <item x="2100"/>
        <item x="1112"/>
        <item x="3610"/>
        <item x="3961"/>
        <item x="2628"/>
        <item x="761"/>
        <item x="3472"/>
        <item x="2640"/>
        <item x="373"/>
        <item x="1705"/>
        <item x="1443"/>
        <item x="4680"/>
        <item x="3278"/>
        <item x="1335"/>
        <item x="470"/>
        <item x="1547"/>
        <item x="4666"/>
        <item x="2999"/>
        <item x="1176"/>
        <item x="136"/>
        <item x="4636"/>
        <item x="2721"/>
        <item x="1846"/>
        <item x="4768"/>
        <item x="3822"/>
        <item x="2575"/>
        <item x="2470"/>
        <item x="550"/>
        <item x="1642"/>
        <item x="4565"/>
        <item x="1052"/>
        <item x="4142"/>
        <item x="3763"/>
        <item x="4414"/>
        <item x="1079"/>
        <item x="202"/>
        <item x="3739"/>
        <item x="3924"/>
        <item x="4735"/>
        <item x="2308"/>
        <item x="1491"/>
        <item x="844"/>
        <item x="3720"/>
        <item x="3995"/>
        <item x="1505"/>
        <item x="3689"/>
        <item x="1480"/>
        <item x="4886"/>
        <item x="2348"/>
        <item x="2166"/>
        <item x="274"/>
        <item x="836"/>
        <item x="3379"/>
        <item x="1943"/>
        <item x="1164"/>
        <item x="4669"/>
        <item x="3011"/>
        <item x="342"/>
        <item x="4345"/>
        <item x="4812"/>
        <item x="2566"/>
        <item x="1288"/>
        <item x="3599"/>
        <item x="2223"/>
        <item x="2619"/>
        <item x="1959"/>
        <item x="2899"/>
        <item x="2284"/>
        <item x="3654"/>
        <item x="2103"/>
        <item x="2188"/>
        <item x="2613"/>
        <item x="1239"/>
        <item x="3755"/>
        <item x="663"/>
        <item x="4333"/>
        <item x="900"/>
        <item x="1148"/>
        <item x="396"/>
        <item x="493"/>
        <item x="4870"/>
        <item x="913"/>
        <item x="2876"/>
        <item x="2291"/>
        <item x="2810"/>
        <item x="2112"/>
        <item x="1450"/>
        <item x="3776"/>
        <item x="1282"/>
        <item x="1531"/>
        <item x="2022"/>
        <item x="1731"/>
        <item x="974"/>
        <item x="931"/>
        <item x="2437"/>
        <item x="4929"/>
        <item x="4893"/>
        <item x="1069"/>
        <item x="4450"/>
        <item x="3045"/>
        <item x="1805"/>
        <item x="214"/>
        <item x="2567"/>
        <item x="724"/>
        <item x="631"/>
        <item x="4953"/>
        <item x="2786"/>
        <item x="4775"/>
        <item x="1504"/>
        <item x="208"/>
        <item x="3704"/>
        <item x="192"/>
        <item x="140"/>
        <item x="1785"/>
        <item x="3653"/>
        <item x="479"/>
        <item x="2706"/>
        <item x="2197"/>
        <item x="2779"/>
        <item x="4748"/>
        <item x="2146"/>
        <item x="3108"/>
        <item x="65"/>
        <item x="988"/>
        <item x="2646"/>
        <item x="4795"/>
        <item x="1901"/>
        <item x="2151"/>
        <item x="1680"/>
        <item x="3128"/>
        <item x="276"/>
        <item x="3511"/>
        <item x="2808"/>
        <item x="3417"/>
        <item x="2089"/>
        <item x="1597"/>
        <item x="2063"/>
        <item x="1533"/>
        <item x="4050"/>
        <item x="3293"/>
        <item x="117"/>
        <item x="3228"/>
        <item x="2351"/>
        <item x="3930"/>
        <item x="4558"/>
        <item x="551"/>
        <item x="64"/>
        <item x="853"/>
        <item x="1059"/>
        <item x="3441"/>
        <item x="2066"/>
        <item x="504"/>
        <item x="1259"/>
        <item x="7"/>
        <item x="1521"/>
        <item x="4120"/>
        <item x="4022"/>
        <item x="1248"/>
        <item x="3745"/>
        <item x="3448"/>
        <item x="1378"/>
        <item x="4608"/>
        <item x="4271"/>
        <item x="4694"/>
        <item x="3474"/>
        <item x="3725"/>
        <item x="4491"/>
        <item x="3216"/>
        <item x="360"/>
        <item x="4710"/>
        <item x="461"/>
        <item x="2928"/>
        <item x="2179"/>
        <item x="1565"/>
        <item x="1219"/>
        <item x="560"/>
        <item x="1390"/>
        <item x="187"/>
        <item x="1024"/>
        <item x="698"/>
        <item x="1927"/>
        <item x="1460"/>
        <item x="1195"/>
        <item x="3644"/>
        <item x="2039"/>
        <item x="3373"/>
        <item x="3867"/>
        <item x="1968"/>
        <item x="668"/>
        <item x="2546"/>
        <item x="1391"/>
        <item x="4083"/>
        <item x="997"/>
        <item x="4925"/>
        <item x="4606"/>
        <item x="971"/>
        <item x="3308"/>
        <item x="4703"/>
        <item x="3407"/>
        <item x="4365"/>
        <item x="559"/>
        <item x="2019"/>
        <item x="742"/>
        <item x="1593"/>
        <item x="4447"/>
        <item x="4238"/>
        <item x="333"/>
        <item x="2563"/>
        <item x="2507"/>
        <item x="4955"/>
        <item x="266"/>
        <item x="3377"/>
        <item x="4047"/>
        <item x="734"/>
        <item x="3196"/>
        <item x="3198"/>
        <item x="1136"/>
        <item x="82"/>
        <item x="2318"/>
        <item x="403"/>
        <item x="3087"/>
        <item x="2601"/>
        <item x="692"/>
        <item x="3392"/>
        <item x="2668"/>
        <item x="2605"/>
        <item x="455"/>
        <item x="535"/>
        <item x="2049"/>
        <item x="4552"/>
        <item x="3540"/>
        <item x="4757"/>
        <item x="2713"/>
        <item x="2869"/>
        <item x="3442"/>
        <item x="3282"/>
        <item x="2240"/>
        <item x="3746"/>
        <item x="3877"/>
        <item x="2995"/>
        <item x="1561"/>
        <item x="1382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showAll="0"/>
    <pivotField showAll="0"/>
    <pivotField showAll="0"/>
  </pivotFields>
  <rowFields count="1">
    <field x="0"/>
  </rowFields>
  <rowItems count="49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 t="grand">
      <x/>
    </i>
  </rowItems>
  <colItems count="1">
    <i/>
  </colItems>
  <dataFields count="1">
    <dataField name="Sum of Revenue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ore_Record" displayName="Store_Record" ref="A1:N5001" totalsRowCount="1" headerRowDxfId="60">
  <autoFilter ref="A1:N5000" xr:uid="{00000000-0009-0000-0100-000001000000}"/>
  <sortState xmlns:xlrd2="http://schemas.microsoft.com/office/spreadsheetml/2017/richdata2" ref="A2:N5000">
    <sortCondition ref="B1:B5000"/>
  </sortState>
  <tableColumns count="14">
    <tableColumn id="1" xr3:uid="{00000000-0010-0000-0000-000001000000}" name="OrderID"/>
    <tableColumn id="2" xr3:uid="{00000000-0010-0000-0000-000002000000}" name="Date" dataDxfId="59" totalsRowDxfId="58"/>
    <tableColumn id="3" xr3:uid="{00000000-0010-0000-0000-000003000000}" name="Store" totalsRowDxfId="57"/>
    <tableColumn id="4" xr3:uid="{00000000-0010-0000-0000-000004000000}" name="City"/>
    <tableColumn id="5" xr3:uid="{00000000-0010-0000-0000-000005000000}" name="Product"/>
    <tableColumn id="6" xr3:uid="{00000000-0010-0000-0000-000006000000}" name="Category"/>
    <tableColumn id="7" xr3:uid="{00000000-0010-0000-0000-000007000000}" name="Qty"/>
    <tableColumn id="8" xr3:uid="{00000000-0010-0000-0000-000008000000}" name="UnitPriceGBP"/>
    <tableColumn id="11" xr3:uid="{00000000-0010-0000-0000-00000B000000}" name="Payment Type" dataDxfId="56" totalsRowDxfId="55"/>
    <tableColumn id="10" xr3:uid="{00000000-0010-0000-0000-00000A000000}" name="CustomerID"/>
    <tableColumn id="9" xr3:uid="{00000000-0010-0000-0000-000009000000}" name="Revenue" dataDxfId="54" totalsRowDxfId="53">
      <calculatedColumnFormula>Store_Record[[#This Row],[Qty]]*Store_Record[[#This Row],[UnitPriceGBP]]</calculatedColumnFormula>
    </tableColumn>
    <tableColumn id="12" xr3:uid="{00000000-0010-0000-0000-00000C000000}" name="Day of Week" dataDxfId="52" totalsRowDxfId="51">
      <calculatedColumnFormula>TEXT(Store_Record[[#This Row],[Date]],"dddd")</calculatedColumnFormula>
    </tableColumn>
    <tableColumn id="13" xr3:uid="{00000000-0010-0000-0000-00000D000000}" name="Month" dataDxfId="50" totalsRowDxfId="49">
      <calculatedColumnFormula>TEXT(Store_Record[[#This Row],[Date]],"mmmm")</calculatedColumnFormula>
    </tableColumn>
    <tableColumn id="14" xr3:uid="{00000000-0010-0000-0000-00000E000000}" name="Year" dataDxfId="48" totalsRowDxfId="47">
      <calculatedColumnFormula>YEAR(Store_Record[[#This Row],[Date]])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I16:J22" totalsRowShown="0" headerRowBorderDxfId="44" tableBorderDxfId="43" totalsRowBorderDxfId="42">
  <autoFilter ref="I16:J22" xr:uid="{00000000-0009-0000-0100-000006000000}"/>
  <tableColumns count="2">
    <tableColumn id="1" xr3:uid="{00000000-0010-0000-0100-000001000000}" name="City" dataDxfId="41"/>
    <tableColumn id="2" xr3:uid="{00000000-0010-0000-0100-000002000000}" name="Revenue" dataDxfId="4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6:B20" totalsRowShown="0" headerRowDxfId="39" dataDxfId="37" headerRowBorderDxfId="38" tableBorderDxfId="36" totalsRowBorderDxfId="35">
  <autoFilter ref="A16:B20" xr:uid="{00000000-0009-0000-0100-000007000000}"/>
  <tableColumns count="2">
    <tableColumn id="1" xr3:uid="{00000000-0010-0000-0200-000001000000}" name="Products" dataDxfId="34"/>
    <tableColumn id="2" xr3:uid="{00000000-0010-0000-0200-000002000000}" name="Revenue" dataDxfId="3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P16:Q20" totalsRowShown="0" headerRowDxfId="32" dataDxfId="30" headerRowBorderDxfId="31" tableBorderDxfId="29" totalsRowBorderDxfId="28">
  <autoFilter ref="P16:Q20" xr:uid="{00000000-0009-0000-0100-000008000000}"/>
  <tableColumns count="2">
    <tableColumn id="1" xr3:uid="{00000000-0010-0000-0300-000001000000}" name="Stores Name" dataDxfId="27"/>
    <tableColumn id="2" xr3:uid="{00000000-0010-0000-0300-000002000000}" name="Revenue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9" displayName="Table9" ref="I39:J42" totalsRowShown="0" headerRowDxfId="25" headerRowBorderDxfId="24" tableBorderDxfId="23" totalsRowBorderDxfId="22">
  <autoFilter ref="I39:J42" xr:uid="{00000000-0009-0000-0100-000009000000}"/>
  <tableColumns count="2">
    <tableColumn id="1" xr3:uid="{00000000-0010-0000-0400-000001000000}" name="Payment Methods" dataDxfId="21"/>
    <tableColumn id="2" xr3:uid="{00000000-0010-0000-0400-000002000000}" name="Times Used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10" displayName="Table10" ref="P39:Q42" totalsRowShown="0" headerRowDxfId="19" headerRowBorderDxfId="18" tableBorderDxfId="17" totalsRowBorderDxfId="16">
  <autoFilter ref="P39:Q42" xr:uid="{00000000-0009-0000-0100-00000A000000}"/>
  <tableColumns count="2">
    <tableColumn id="1" xr3:uid="{00000000-0010-0000-0500-000001000000}" name="Category Order " dataDxfId="15"/>
    <tableColumn id="2" xr3:uid="{00000000-0010-0000-0500-000002000000}" name="No of Times" dataDxfId="14">
      <calculatedColumnFormula>COUNTIF(Store_Record[Category], "Drink")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A1:B74" totalsRowShown="0" headerRowDxfId="13">
  <autoFilter ref="A1:B74" xr:uid="{00000000-0009-0000-0100-000005000000}"/>
  <tableColumns count="2">
    <tableColumn id="1" xr3:uid="{00000000-0010-0000-0600-000001000000}" name="Question/Calculations"/>
    <tableColumn id="2" xr3:uid="{00000000-0010-0000-0600-000002000000}" name="Answer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Table2" displayName="Table2" ref="A90:C93" totalsRowShown="0" headerRowDxfId="12" dataDxfId="11">
  <autoFilter ref="A90:C93" xr:uid="{00000000-0009-0000-0100-000002000000}"/>
  <tableColumns count="3">
    <tableColumn id="1" xr3:uid="{00000000-0010-0000-0700-000001000000}" name="Stores" dataDxfId="10"/>
    <tableColumn id="2" xr3:uid="{00000000-0010-0000-0700-000002000000}" name="Total Unit Price Grp" dataDxfId="9"/>
    <tableColumn id="3" xr3:uid="{00000000-0010-0000-0700-000003000000}" name="Total Qty" dataDxfId="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Table3" displayName="Table3" ref="A96:B101" totalsRowShown="0" headerRowDxfId="7" dataDxfId="6">
  <autoFilter ref="A96:B101" xr:uid="{00000000-0009-0000-0100-000003000000}"/>
  <tableColumns count="2">
    <tableColumn id="1" xr3:uid="{00000000-0010-0000-0800-000001000000}" name="Number of times sales are made in a particular store" dataDxfId="5"/>
    <tableColumn id="2" xr3:uid="{00000000-0010-0000-0800-000002000000}" name="Values" dataDxfId="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Table4" displayName="Table4" ref="A103:B107" totalsRowShown="0" headerRowDxfId="3" dataDxfId="2">
  <autoFilter ref="A103:B107" xr:uid="{00000000-0009-0000-0100-000004000000}"/>
  <tableColumns count="2">
    <tableColumn id="1" xr3:uid="{00000000-0010-0000-0900-000001000000}" name="How many times a Payment method is used" dataDxfId="1"/>
    <tableColumn id="2" xr3:uid="{00000000-0010-0000-0900-000002000000}" name="Valu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B9D20-17B4-48EC-8237-C04B4DD2C6C5}">
  <dimension ref="A1:B4989"/>
  <sheetViews>
    <sheetView tabSelected="1" workbookViewId="0"/>
  </sheetViews>
  <sheetFormatPr defaultRowHeight="14.5" x14ac:dyDescent="0.35"/>
  <cols>
    <col min="1" max="1" width="12.36328125" bestFit="1" customWidth="1"/>
    <col min="2" max="2" width="14.36328125" bestFit="1" customWidth="1"/>
  </cols>
  <sheetData>
    <row r="1" spans="1:2" x14ac:dyDescent="0.35">
      <c r="A1" s="90" t="s">
        <v>6157</v>
      </c>
      <c r="B1" t="s">
        <v>6159</v>
      </c>
    </row>
    <row r="2" spans="1:2" x14ac:dyDescent="0.35">
      <c r="A2" s="91" t="s">
        <v>690</v>
      </c>
      <c r="B2" s="9">
        <v>17.5</v>
      </c>
    </row>
    <row r="3" spans="1:2" x14ac:dyDescent="0.35">
      <c r="A3" s="91" t="s">
        <v>856</v>
      </c>
      <c r="B3" s="9">
        <v>3.5</v>
      </c>
    </row>
    <row r="4" spans="1:2" x14ac:dyDescent="0.35">
      <c r="A4" s="91" t="s">
        <v>2608</v>
      </c>
      <c r="B4" s="9">
        <v>12.5</v>
      </c>
    </row>
    <row r="5" spans="1:2" x14ac:dyDescent="0.35">
      <c r="A5" s="91" t="s">
        <v>4474</v>
      </c>
      <c r="B5" s="9">
        <v>14</v>
      </c>
    </row>
    <row r="6" spans="1:2" x14ac:dyDescent="0.35">
      <c r="A6" s="91" t="s">
        <v>73</v>
      </c>
      <c r="B6" s="9">
        <v>5</v>
      </c>
    </row>
    <row r="7" spans="1:2" x14ac:dyDescent="0.35">
      <c r="A7" s="91" t="s">
        <v>359</v>
      </c>
      <c r="B7" s="9">
        <v>14</v>
      </c>
    </row>
    <row r="8" spans="1:2" x14ac:dyDescent="0.35">
      <c r="A8" s="91" t="s">
        <v>2626</v>
      </c>
      <c r="B8" s="9">
        <v>10.5</v>
      </c>
    </row>
    <row r="9" spans="1:2" x14ac:dyDescent="0.35">
      <c r="A9" s="91" t="s">
        <v>692</v>
      </c>
      <c r="B9" s="9">
        <v>15.2</v>
      </c>
    </row>
    <row r="10" spans="1:2" x14ac:dyDescent="0.35">
      <c r="A10" s="91" t="s">
        <v>4375</v>
      </c>
      <c r="B10" s="9">
        <v>5.6</v>
      </c>
    </row>
    <row r="11" spans="1:2" x14ac:dyDescent="0.35">
      <c r="A11" s="91" t="s">
        <v>1589</v>
      </c>
      <c r="B11" s="9">
        <v>14</v>
      </c>
    </row>
    <row r="12" spans="1:2" x14ac:dyDescent="0.35">
      <c r="A12" s="91" t="s">
        <v>2922</v>
      </c>
      <c r="B12" s="9">
        <v>7.5</v>
      </c>
    </row>
    <row r="13" spans="1:2" x14ac:dyDescent="0.35">
      <c r="A13" s="91" t="s">
        <v>5889</v>
      </c>
      <c r="B13" s="9">
        <v>3.5</v>
      </c>
    </row>
    <row r="14" spans="1:2" x14ac:dyDescent="0.35">
      <c r="A14" s="91" t="s">
        <v>1232</v>
      </c>
      <c r="B14" s="9">
        <v>2.2000000000000002</v>
      </c>
    </row>
    <row r="15" spans="1:2" x14ac:dyDescent="0.35">
      <c r="A15" s="91" t="s">
        <v>4720</v>
      </c>
      <c r="B15" s="9">
        <v>14</v>
      </c>
    </row>
    <row r="16" spans="1:2" x14ac:dyDescent="0.35">
      <c r="A16" s="91" t="s">
        <v>1190</v>
      </c>
      <c r="B16" s="9">
        <v>2.2000000000000002</v>
      </c>
    </row>
    <row r="17" spans="1:2" x14ac:dyDescent="0.35">
      <c r="A17" s="91" t="s">
        <v>1399</v>
      </c>
      <c r="B17" s="9">
        <v>7.6</v>
      </c>
    </row>
    <row r="18" spans="1:2" x14ac:dyDescent="0.35">
      <c r="A18" s="91" t="s">
        <v>2655</v>
      </c>
      <c r="B18" s="9">
        <v>2.2000000000000002</v>
      </c>
    </row>
    <row r="19" spans="1:2" x14ac:dyDescent="0.35">
      <c r="A19" s="91" t="s">
        <v>75</v>
      </c>
      <c r="B19" s="9">
        <v>11.2</v>
      </c>
    </row>
    <row r="20" spans="1:2" x14ac:dyDescent="0.35">
      <c r="A20" s="91" t="s">
        <v>1352</v>
      </c>
      <c r="B20" s="9">
        <v>4.4000000000000004</v>
      </c>
    </row>
    <row r="21" spans="1:2" x14ac:dyDescent="0.35">
      <c r="A21" s="91" t="s">
        <v>4209</v>
      </c>
      <c r="B21" s="9">
        <v>7</v>
      </c>
    </row>
    <row r="22" spans="1:2" x14ac:dyDescent="0.35">
      <c r="A22" s="91" t="s">
        <v>482</v>
      </c>
      <c r="B22" s="9">
        <v>8.3999999999999986</v>
      </c>
    </row>
    <row r="23" spans="1:2" x14ac:dyDescent="0.35">
      <c r="A23" s="91" t="s">
        <v>5733</v>
      </c>
      <c r="B23" s="9">
        <v>15.2</v>
      </c>
    </row>
    <row r="24" spans="1:2" x14ac:dyDescent="0.35">
      <c r="A24" s="91" t="s">
        <v>3587</v>
      </c>
      <c r="B24" s="9">
        <v>11</v>
      </c>
    </row>
    <row r="25" spans="1:2" x14ac:dyDescent="0.35">
      <c r="A25" s="91" t="s">
        <v>3420</v>
      </c>
      <c r="B25" s="9">
        <v>14</v>
      </c>
    </row>
    <row r="26" spans="1:2" x14ac:dyDescent="0.35">
      <c r="A26" s="91" t="s">
        <v>3221</v>
      </c>
      <c r="B26" s="9">
        <v>11.399999999999999</v>
      </c>
    </row>
    <row r="27" spans="1:2" x14ac:dyDescent="0.35">
      <c r="A27" s="91" t="s">
        <v>2386</v>
      </c>
      <c r="B27" s="9">
        <v>15.2</v>
      </c>
    </row>
    <row r="28" spans="1:2" x14ac:dyDescent="0.35">
      <c r="A28" s="91" t="s">
        <v>1979</v>
      </c>
      <c r="B28" s="9">
        <v>17.5</v>
      </c>
    </row>
    <row r="29" spans="1:2" x14ac:dyDescent="0.35">
      <c r="A29" s="91" t="s">
        <v>5402</v>
      </c>
      <c r="B29" s="9">
        <v>7</v>
      </c>
    </row>
    <row r="30" spans="1:2" x14ac:dyDescent="0.35">
      <c r="A30" s="91" t="s">
        <v>3713</v>
      </c>
      <c r="B30" s="9">
        <v>8.8000000000000007</v>
      </c>
    </row>
    <row r="31" spans="1:2" x14ac:dyDescent="0.35">
      <c r="A31" s="91" t="s">
        <v>4387</v>
      </c>
      <c r="B31" s="9">
        <v>10.5</v>
      </c>
    </row>
    <row r="32" spans="1:2" x14ac:dyDescent="0.35">
      <c r="A32" s="91" t="s">
        <v>2269</v>
      </c>
      <c r="B32" s="9">
        <v>14</v>
      </c>
    </row>
    <row r="33" spans="1:2" x14ac:dyDescent="0.35">
      <c r="A33" s="91" t="s">
        <v>2576</v>
      </c>
      <c r="B33" s="9">
        <v>7.5</v>
      </c>
    </row>
    <row r="34" spans="1:2" x14ac:dyDescent="0.35">
      <c r="A34" s="91" t="s">
        <v>5028</v>
      </c>
      <c r="B34" s="9">
        <v>7</v>
      </c>
    </row>
    <row r="35" spans="1:2" x14ac:dyDescent="0.35">
      <c r="A35" s="91" t="s">
        <v>807</v>
      </c>
      <c r="B35" s="9">
        <v>7.6</v>
      </c>
    </row>
    <row r="36" spans="1:2" x14ac:dyDescent="0.35">
      <c r="A36" s="91" t="s">
        <v>3662</v>
      </c>
      <c r="B36" s="9">
        <v>3.8</v>
      </c>
    </row>
    <row r="37" spans="1:2" x14ac:dyDescent="0.35">
      <c r="A37" s="91" t="s">
        <v>5388</v>
      </c>
      <c r="B37" s="9">
        <v>19</v>
      </c>
    </row>
    <row r="38" spans="1:2" x14ac:dyDescent="0.35">
      <c r="A38" s="91" t="s">
        <v>754</v>
      </c>
      <c r="B38" s="9">
        <v>3.8</v>
      </c>
    </row>
    <row r="39" spans="1:2" x14ac:dyDescent="0.35">
      <c r="A39" s="91" t="s">
        <v>694</v>
      </c>
      <c r="B39" s="9">
        <v>8.8000000000000007</v>
      </c>
    </row>
    <row r="40" spans="1:2" x14ac:dyDescent="0.35">
      <c r="A40" s="91" t="s">
        <v>4095</v>
      </c>
      <c r="B40" s="9">
        <v>17.5</v>
      </c>
    </row>
    <row r="41" spans="1:2" x14ac:dyDescent="0.35">
      <c r="A41" s="91" t="s">
        <v>2734</v>
      </c>
      <c r="B41" s="9">
        <v>3.8</v>
      </c>
    </row>
    <row r="42" spans="1:2" x14ac:dyDescent="0.35">
      <c r="A42" s="91" t="s">
        <v>3933</v>
      </c>
      <c r="B42" s="9">
        <v>8.3999999999999986</v>
      </c>
    </row>
    <row r="43" spans="1:2" x14ac:dyDescent="0.35">
      <c r="A43" s="91" t="s">
        <v>360</v>
      </c>
      <c r="B43" s="9">
        <v>17.5</v>
      </c>
    </row>
    <row r="44" spans="1:2" x14ac:dyDescent="0.35">
      <c r="A44" s="91" t="s">
        <v>4352</v>
      </c>
      <c r="B44" s="9">
        <v>12.5</v>
      </c>
    </row>
    <row r="45" spans="1:2" x14ac:dyDescent="0.35">
      <c r="A45" s="91" t="s">
        <v>874</v>
      </c>
      <c r="B45" s="9">
        <v>14</v>
      </c>
    </row>
    <row r="46" spans="1:2" x14ac:dyDescent="0.35">
      <c r="A46" s="91" t="s">
        <v>2190</v>
      </c>
      <c r="B46" s="9">
        <v>19</v>
      </c>
    </row>
    <row r="47" spans="1:2" x14ac:dyDescent="0.35">
      <c r="A47" s="91" t="s">
        <v>3714</v>
      </c>
      <c r="B47" s="9">
        <v>6.6000000000000005</v>
      </c>
    </row>
    <row r="48" spans="1:2" x14ac:dyDescent="0.35">
      <c r="A48" s="91" t="s">
        <v>5311</v>
      </c>
      <c r="B48" s="9">
        <v>19</v>
      </c>
    </row>
    <row r="49" spans="1:2" x14ac:dyDescent="0.35">
      <c r="A49" s="91" t="s">
        <v>3094</v>
      </c>
      <c r="B49" s="9">
        <v>5</v>
      </c>
    </row>
    <row r="50" spans="1:2" x14ac:dyDescent="0.35">
      <c r="A50" s="91" t="s">
        <v>4844</v>
      </c>
      <c r="B50" s="9">
        <v>7.5</v>
      </c>
    </row>
    <row r="51" spans="1:2" x14ac:dyDescent="0.35">
      <c r="A51" s="91" t="s">
        <v>1604</v>
      </c>
      <c r="B51" s="9">
        <v>12.5</v>
      </c>
    </row>
    <row r="52" spans="1:2" x14ac:dyDescent="0.35">
      <c r="A52" s="91" t="s">
        <v>383</v>
      </c>
      <c r="B52" s="9">
        <v>3.5</v>
      </c>
    </row>
    <row r="53" spans="1:2" x14ac:dyDescent="0.35">
      <c r="A53" s="91" t="s">
        <v>483</v>
      </c>
      <c r="B53" s="9">
        <v>6.6000000000000005</v>
      </c>
    </row>
    <row r="54" spans="1:2" x14ac:dyDescent="0.35">
      <c r="A54" s="91" t="s">
        <v>4465</v>
      </c>
      <c r="B54" s="9">
        <v>17.5</v>
      </c>
    </row>
    <row r="55" spans="1:2" x14ac:dyDescent="0.35">
      <c r="A55" s="91" t="s">
        <v>5553</v>
      </c>
      <c r="B55" s="9">
        <v>3.8</v>
      </c>
    </row>
    <row r="56" spans="1:2" x14ac:dyDescent="0.35">
      <c r="A56" s="91" t="s">
        <v>4152</v>
      </c>
      <c r="B56" s="9">
        <v>14</v>
      </c>
    </row>
    <row r="57" spans="1:2" x14ac:dyDescent="0.35">
      <c r="A57" s="91" t="s">
        <v>4960</v>
      </c>
      <c r="B57" s="9">
        <v>10.5</v>
      </c>
    </row>
    <row r="58" spans="1:2" x14ac:dyDescent="0.35">
      <c r="A58" s="91" t="s">
        <v>5208</v>
      </c>
      <c r="B58" s="9">
        <v>19</v>
      </c>
    </row>
    <row r="59" spans="1:2" x14ac:dyDescent="0.35">
      <c r="A59" s="91" t="s">
        <v>3977</v>
      </c>
      <c r="B59" s="9">
        <v>19</v>
      </c>
    </row>
    <row r="60" spans="1:2" x14ac:dyDescent="0.35">
      <c r="A60" s="91" t="s">
        <v>2426</v>
      </c>
      <c r="B60" s="9">
        <v>3.8</v>
      </c>
    </row>
    <row r="61" spans="1:2" x14ac:dyDescent="0.35">
      <c r="A61" s="91" t="s">
        <v>3397</v>
      </c>
      <c r="B61" s="9">
        <v>11.399999999999999</v>
      </c>
    </row>
    <row r="62" spans="1:2" x14ac:dyDescent="0.35">
      <c r="A62" s="91" t="s">
        <v>1689</v>
      </c>
      <c r="B62" s="9">
        <v>7.6</v>
      </c>
    </row>
    <row r="63" spans="1:2" x14ac:dyDescent="0.35">
      <c r="A63" s="91" t="s">
        <v>1893</v>
      </c>
      <c r="B63" s="9">
        <v>11.399999999999999</v>
      </c>
    </row>
    <row r="64" spans="1:2" x14ac:dyDescent="0.35">
      <c r="A64" s="91" t="s">
        <v>1539</v>
      </c>
      <c r="B64" s="9">
        <v>17.5</v>
      </c>
    </row>
    <row r="65" spans="1:2" x14ac:dyDescent="0.35">
      <c r="A65" s="91" t="s">
        <v>3458</v>
      </c>
      <c r="B65" s="9">
        <v>2.5</v>
      </c>
    </row>
    <row r="66" spans="1:2" x14ac:dyDescent="0.35">
      <c r="A66" s="91" t="s">
        <v>2528</v>
      </c>
      <c r="B66" s="9">
        <v>7.5</v>
      </c>
    </row>
    <row r="67" spans="1:2" x14ac:dyDescent="0.35">
      <c r="A67" s="91" t="s">
        <v>4085</v>
      </c>
      <c r="B67" s="9">
        <v>19</v>
      </c>
    </row>
    <row r="68" spans="1:2" x14ac:dyDescent="0.35">
      <c r="A68" s="91" t="s">
        <v>4016</v>
      </c>
      <c r="B68" s="9">
        <v>10.5</v>
      </c>
    </row>
    <row r="69" spans="1:2" x14ac:dyDescent="0.35">
      <c r="A69" s="91" t="s">
        <v>5575</v>
      </c>
      <c r="B69" s="9">
        <v>14</v>
      </c>
    </row>
    <row r="70" spans="1:2" x14ac:dyDescent="0.35">
      <c r="A70" s="91" t="s">
        <v>4944</v>
      </c>
      <c r="B70" s="9">
        <v>17.5</v>
      </c>
    </row>
    <row r="71" spans="1:2" x14ac:dyDescent="0.35">
      <c r="A71" s="91" t="s">
        <v>5209</v>
      </c>
      <c r="B71" s="9">
        <v>7.6</v>
      </c>
    </row>
    <row r="72" spans="1:2" x14ac:dyDescent="0.35">
      <c r="A72" s="91" t="s">
        <v>857</v>
      </c>
      <c r="B72" s="9">
        <v>5.6</v>
      </c>
    </row>
    <row r="73" spans="1:2" x14ac:dyDescent="0.35">
      <c r="A73" s="91" t="s">
        <v>3752</v>
      </c>
      <c r="B73" s="9">
        <v>8.3999999999999986</v>
      </c>
    </row>
    <row r="74" spans="1:2" x14ac:dyDescent="0.35">
      <c r="A74" s="91" t="s">
        <v>2512</v>
      </c>
      <c r="B74" s="9">
        <v>5.6</v>
      </c>
    </row>
    <row r="75" spans="1:2" x14ac:dyDescent="0.35">
      <c r="A75" s="91" t="s">
        <v>5469</v>
      </c>
      <c r="B75" s="9">
        <v>5</v>
      </c>
    </row>
    <row r="76" spans="1:2" x14ac:dyDescent="0.35">
      <c r="A76" s="91" t="s">
        <v>4802</v>
      </c>
      <c r="B76" s="9">
        <v>2.2000000000000002</v>
      </c>
    </row>
    <row r="77" spans="1:2" x14ac:dyDescent="0.35">
      <c r="A77" s="91" t="s">
        <v>5210</v>
      </c>
      <c r="B77" s="9">
        <v>8.3999999999999986</v>
      </c>
    </row>
    <row r="78" spans="1:2" x14ac:dyDescent="0.35">
      <c r="A78" s="91" t="s">
        <v>3212</v>
      </c>
      <c r="B78" s="9">
        <v>15.2</v>
      </c>
    </row>
    <row r="79" spans="1:2" x14ac:dyDescent="0.35">
      <c r="A79" s="91" t="s">
        <v>4566</v>
      </c>
      <c r="B79" s="9">
        <v>5</v>
      </c>
    </row>
    <row r="80" spans="1:2" x14ac:dyDescent="0.35">
      <c r="A80" s="91" t="s">
        <v>3179</v>
      </c>
      <c r="B80" s="9">
        <v>2.2000000000000002</v>
      </c>
    </row>
    <row r="81" spans="1:2" x14ac:dyDescent="0.35">
      <c r="A81" s="91" t="s">
        <v>2178</v>
      </c>
      <c r="B81" s="9">
        <v>7.6</v>
      </c>
    </row>
    <row r="82" spans="1:2" x14ac:dyDescent="0.35">
      <c r="A82" s="91" t="s">
        <v>2998</v>
      </c>
      <c r="B82" s="9">
        <v>3.8</v>
      </c>
    </row>
    <row r="83" spans="1:2" x14ac:dyDescent="0.35">
      <c r="A83" s="91" t="s">
        <v>4041</v>
      </c>
      <c r="B83" s="9">
        <v>2.5</v>
      </c>
    </row>
    <row r="84" spans="1:2" x14ac:dyDescent="0.35">
      <c r="A84" s="91" t="s">
        <v>5695</v>
      </c>
      <c r="B84" s="9">
        <v>11.399999999999999</v>
      </c>
    </row>
    <row r="85" spans="1:2" x14ac:dyDescent="0.35">
      <c r="A85" s="91" t="s">
        <v>1631</v>
      </c>
      <c r="B85" s="9">
        <v>14</v>
      </c>
    </row>
    <row r="86" spans="1:2" x14ac:dyDescent="0.35">
      <c r="A86" s="91" t="s">
        <v>4322</v>
      </c>
      <c r="B86" s="9">
        <v>7.5</v>
      </c>
    </row>
    <row r="87" spans="1:2" x14ac:dyDescent="0.35">
      <c r="A87" s="91" t="s">
        <v>176</v>
      </c>
      <c r="B87" s="9">
        <v>14</v>
      </c>
    </row>
    <row r="88" spans="1:2" x14ac:dyDescent="0.35">
      <c r="A88" s="91" t="s">
        <v>2984</v>
      </c>
      <c r="B88" s="9">
        <v>19</v>
      </c>
    </row>
    <row r="89" spans="1:2" x14ac:dyDescent="0.35">
      <c r="A89" s="91" t="s">
        <v>3344</v>
      </c>
      <c r="B89" s="9">
        <v>7</v>
      </c>
    </row>
    <row r="90" spans="1:2" x14ac:dyDescent="0.35">
      <c r="A90" s="91" t="s">
        <v>3323</v>
      </c>
      <c r="B90" s="9">
        <v>11.399999999999999</v>
      </c>
    </row>
    <row r="91" spans="1:2" x14ac:dyDescent="0.35">
      <c r="A91" s="91" t="s">
        <v>5289</v>
      </c>
      <c r="B91" s="9">
        <v>19</v>
      </c>
    </row>
    <row r="92" spans="1:2" x14ac:dyDescent="0.35">
      <c r="A92" s="91" t="s">
        <v>3978</v>
      </c>
      <c r="B92" s="9">
        <v>14</v>
      </c>
    </row>
    <row r="93" spans="1:2" x14ac:dyDescent="0.35">
      <c r="A93" s="91" t="s">
        <v>3137</v>
      </c>
      <c r="B93" s="9">
        <v>2.2000000000000002</v>
      </c>
    </row>
    <row r="94" spans="1:2" x14ac:dyDescent="0.35">
      <c r="A94" s="91" t="s">
        <v>4585</v>
      </c>
      <c r="B94" s="9">
        <v>11</v>
      </c>
    </row>
    <row r="95" spans="1:2" x14ac:dyDescent="0.35">
      <c r="A95" s="91" t="s">
        <v>4028</v>
      </c>
      <c r="B95" s="9">
        <v>12.5</v>
      </c>
    </row>
    <row r="96" spans="1:2" x14ac:dyDescent="0.35">
      <c r="A96" s="91" t="s">
        <v>4618</v>
      </c>
      <c r="B96" s="9">
        <v>6.6000000000000005</v>
      </c>
    </row>
    <row r="97" spans="1:2" x14ac:dyDescent="0.35">
      <c r="A97" s="91" t="s">
        <v>1844</v>
      </c>
      <c r="B97" s="9">
        <v>2.8</v>
      </c>
    </row>
    <row r="98" spans="1:2" x14ac:dyDescent="0.35">
      <c r="A98" s="91" t="s">
        <v>4746</v>
      </c>
      <c r="B98" s="9">
        <v>7</v>
      </c>
    </row>
    <row r="99" spans="1:2" x14ac:dyDescent="0.35">
      <c r="A99" s="91" t="s">
        <v>529</v>
      </c>
      <c r="B99" s="9">
        <v>5</v>
      </c>
    </row>
    <row r="100" spans="1:2" x14ac:dyDescent="0.35">
      <c r="A100" s="91" t="s">
        <v>1659</v>
      </c>
      <c r="B100" s="9">
        <v>17.5</v>
      </c>
    </row>
    <row r="101" spans="1:2" x14ac:dyDescent="0.35">
      <c r="A101" s="91" t="s">
        <v>5229</v>
      </c>
      <c r="B101" s="9">
        <v>10.5</v>
      </c>
    </row>
    <row r="102" spans="1:2" x14ac:dyDescent="0.35">
      <c r="A102" s="91" t="s">
        <v>5998</v>
      </c>
      <c r="B102" s="9">
        <v>8.3999999999999986</v>
      </c>
    </row>
    <row r="103" spans="1:2" x14ac:dyDescent="0.35">
      <c r="A103" s="91" t="s">
        <v>2822</v>
      </c>
      <c r="B103" s="9">
        <v>7</v>
      </c>
    </row>
    <row r="104" spans="1:2" x14ac:dyDescent="0.35">
      <c r="A104" s="91" t="s">
        <v>3507</v>
      </c>
      <c r="B104" s="9">
        <v>8.8000000000000007</v>
      </c>
    </row>
    <row r="105" spans="1:2" x14ac:dyDescent="0.35">
      <c r="A105" s="91" t="s">
        <v>4961</v>
      </c>
      <c r="B105" s="9">
        <v>3.5</v>
      </c>
    </row>
    <row r="106" spans="1:2" x14ac:dyDescent="0.35">
      <c r="A106" s="91" t="s">
        <v>2270</v>
      </c>
      <c r="B106" s="9">
        <v>10</v>
      </c>
    </row>
    <row r="107" spans="1:2" x14ac:dyDescent="0.35">
      <c r="A107" s="91" t="s">
        <v>3161</v>
      </c>
      <c r="B107" s="9">
        <v>14</v>
      </c>
    </row>
    <row r="108" spans="1:2" x14ac:dyDescent="0.35">
      <c r="A108" s="91" t="s">
        <v>4466</v>
      </c>
      <c r="B108" s="9">
        <v>7.5</v>
      </c>
    </row>
    <row r="109" spans="1:2" x14ac:dyDescent="0.35">
      <c r="A109" s="91" t="s">
        <v>3392</v>
      </c>
      <c r="B109" s="9">
        <v>15.2</v>
      </c>
    </row>
    <row r="110" spans="1:2" x14ac:dyDescent="0.35">
      <c r="A110" s="91" t="s">
        <v>3120</v>
      </c>
      <c r="B110" s="9">
        <v>14</v>
      </c>
    </row>
    <row r="111" spans="1:2" x14ac:dyDescent="0.35">
      <c r="A111" s="91" t="s">
        <v>4253</v>
      </c>
      <c r="B111" s="9">
        <v>5.6</v>
      </c>
    </row>
    <row r="112" spans="1:2" x14ac:dyDescent="0.35">
      <c r="A112" s="91" t="s">
        <v>2841</v>
      </c>
      <c r="B112" s="9">
        <v>11.2</v>
      </c>
    </row>
    <row r="113" spans="1:2" x14ac:dyDescent="0.35">
      <c r="A113" s="91" t="s">
        <v>4054</v>
      </c>
      <c r="B113" s="9">
        <v>2.2000000000000002</v>
      </c>
    </row>
    <row r="114" spans="1:2" x14ac:dyDescent="0.35">
      <c r="A114" s="91" t="s">
        <v>3876</v>
      </c>
      <c r="B114" s="9">
        <v>17.5</v>
      </c>
    </row>
    <row r="115" spans="1:2" x14ac:dyDescent="0.35">
      <c r="A115" s="91" t="s">
        <v>5417</v>
      </c>
      <c r="B115" s="9">
        <v>3.5</v>
      </c>
    </row>
    <row r="116" spans="1:2" x14ac:dyDescent="0.35">
      <c r="A116" s="91" t="s">
        <v>2428</v>
      </c>
      <c r="B116" s="9">
        <v>14</v>
      </c>
    </row>
    <row r="117" spans="1:2" x14ac:dyDescent="0.35">
      <c r="A117" s="91" t="s">
        <v>5554</v>
      </c>
      <c r="B117" s="9">
        <v>11.2</v>
      </c>
    </row>
    <row r="118" spans="1:2" x14ac:dyDescent="0.35">
      <c r="A118" s="91" t="s">
        <v>1118</v>
      </c>
      <c r="B118" s="9">
        <v>15.2</v>
      </c>
    </row>
    <row r="119" spans="1:2" x14ac:dyDescent="0.35">
      <c r="A119" s="91" t="s">
        <v>876</v>
      </c>
      <c r="B119" s="9">
        <v>7.6</v>
      </c>
    </row>
    <row r="120" spans="1:2" x14ac:dyDescent="0.35">
      <c r="A120" s="91" t="s">
        <v>3138</v>
      </c>
      <c r="B120" s="9">
        <v>10.5</v>
      </c>
    </row>
    <row r="121" spans="1:2" x14ac:dyDescent="0.35">
      <c r="A121" s="91" t="s">
        <v>3050</v>
      </c>
      <c r="B121" s="9">
        <v>10</v>
      </c>
    </row>
    <row r="122" spans="1:2" x14ac:dyDescent="0.35">
      <c r="A122" s="91" t="s">
        <v>3979</v>
      </c>
      <c r="B122" s="9">
        <v>7</v>
      </c>
    </row>
    <row r="123" spans="1:2" x14ac:dyDescent="0.35">
      <c r="A123" s="91" t="s">
        <v>4376</v>
      </c>
      <c r="B123" s="9">
        <v>14</v>
      </c>
    </row>
    <row r="124" spans="1:2" x14ac:dyDescent="0.35">
      <c r="A124" s="91" t="s">
        <v>1091</v>
      </c>
      <c r="B124" s="9">
        <v>3.8</v>
      </c>
    </row>
    <row r="125" spans="1:2" x14ac:dyDescent="0.35">
      <c r="A125" s="91" t="s">
        <v>1568</v>
      </c>
      <c r="B125" s="9">
        <v>2.5</v>
      </c>
    </row>
    <row r="126" spans="1:2" x14ac:dyDescent="0.35">
      <c r="A126" s="91" t="s">
        <v>4097</v>
      </c>
      <c r="B126" s="9">
        <v>14</v>
      </c>
    </row>
    <row r="127" spans="1:2" x14ac:dyDescent="0.35">
      <c r="A127" s="91" t="s">
        <v>4930</v>
      </c>
      <c r="B127" s="9">
        <v>11.399999999999999</v>
      </c>
    </row>
    <row r="128" spans="1:2" x14ac:dyDescent="0.35">
      <c r="A128" s="91" t="s">
        <v>1272</v>
      </c>
      <c r="B128" s="9">
        <v>5.6</v>
      </c>
    </row>
    <row r="129" spans="1:2" x14ac:dyDescent="0.35">
      <c r="A129" s="91" t="s">
        <v>5332</v>
      </c>
      <c r="B129" s="9">
        <v>6.6000000000000005</v>
      </c>
    </row>
    <row r="130" spans="1:2" x14ac:dyDescent="0.35">
      <c r="A130" s="91" t="s">
        <v>3014</v>
      </c>
      <c r="B130" s="9">
        <v>15.2</v>
      </c>
    </row>
    <row r="131" spans="1:2" x14ac:dyDescent="0.35">
      <c r="A131" s="91" t="s">
        <v>3040</v>
      </c>
      <c r="B131" s="9">
        <v>2.2000000000000002</v>
      </c>
    </row>
    <row r="132" spans="1:2" x14ac:dyDescent="0.35">
      <c r="A132" s="91" t="s">
        <v>112</v>
      </c>
      <c r="B132" s="9">
        <v>2.5</v>
      </c>
    </row>
    <row r="133" spans="1:2" x14ac:dyDescent="0.35">
      <c r="A133" s="91" t="s">
        <v>5264</v>
      </c>
      <c r="B133" s="9">
        <v>3.5</v>
      </c>
    </row>
    <row r="134" spans="1:2" x14ac:dyDescent="0.35">
      <c r="A134" s="91" t="s">
        <v>2002</v>
      </c>
      <c r="B134" s="9">
        <v>7.5</v>
      </c>
    </row>
    <row r="135" spans="1:2" x14ac:dyDescent="0.35">
      <c r="A135" s="91" t="s">
        <v>3980</v>
      </c>
      <c r="B135" s="9">
        <v>11.399999999999999</v>
      </c>
    </row>
    <row r="136" spans="1:2" x14ac:dyDescent="0.35">
      <c r="A136" s="91" t="s">
        <v>5918</v>
      </c>
      <c r="B136" s="9">
        <v>10</v>
      </c>
    </row>
    <row r="137" spans="1:2" x14ac:dyDescent="0.35">
      <c r="A137" s="91" t="s">
        <v>248</v>
      </c>
      <c r="B137" s="9">
        <v>6.6000000000000005</v>
      </c>
    </row>
    <row r="138" spans="1:2" x14ac:dyDescent="0.35">
      <c r="A138" s="91" t="s">
        <v>4632</v>
      </c>
      <c r="B138" s="9">
        <v>14</v>
      </c>
    </row>
    <row r="139" spans="1:2" x14ac:dyDescent="0.35">
      <c r="A139" s="91" t="s">
        <v>809</v>
      </c>
      <c r="B139" s="9">
        <v>11</v>
      </c>
    </row>
    <row r="140" spans="1:2" x14ac:dyDescent="0.35">
      <c r="A140" s="91" t="s">
        <v>1660</v>
      </c>
      <c r="B140" s="9">
        <v>19</v>
      </c>
    </row>
    <row r="141" spans="1:2" x14ac:dyDescent="0.35">
      <c r="A141" s="91" t="s">
        <v>455</v>
      </c>
      <c r="B141" s="9">
        <v>6.6000000000000005</v>
      </c>
    </row>
    <row r="142" spans="1:2" x14ac:dyDescent="0.35">
      <c r="A142" s="91" t="s">
        <v>4475</v>
      </c>
      <c r="B142" s="9">
        <v>2.5</v>
      </c>
    </row>
    <row r="143" spans="1:2" x14ac:dyDescent="0.35">
      <c r="A143" s="91" t="s">
        <v>5389</v>
      </c>
      <c r="B143" s="9">
        <v>2.2000000000000002</v>
      </c>
    </row>
    <row r="144" spans="1:2" x14ac:dyDescent="0.35">
      <c r="A144" s="91" t="s">
        <v>2388</v>
      </c>
      <c r="B144" s="9">
        <v>17.5</v>
      </c>
    </row>
    <row r="145" spans="1:2" x14ac:dyDescent="0.35">
      <c r="A145" s="91" t="s">
        <v>1633</v>
      </c>
      <c r="B145" s="9">
        <v>3.8</v>
      </c>
    </row>
    <row r="146" spans="1:2" x14ac:dyDescent="0.35">
      <c r="A146" s="91" t="s">
        <v>4388</v>
      </c>
      <c r="B146" s="9">
        <v>7</v>
      </c>
    </row>
    <row r="147" spans="1:2" x14ac:dyDescent="0.35">
      <c r="A147" s="91" t="s">
        <v>4467</v>
      </c>
      <c r="B147" s="9">
        <v>4.4000000000000004</v>
      </c>
    </row>
    <row r="148" spans="1:2" x14ac:dyDescent="0.35">
      <c r="A148" s="91" t="s">
        <v>2454</v>
      </c>
      <c r="B148" s="9">
        <v>5</v>
      </c>
    </row>
    <row r="149" spans="1:2" x14ac:dyDescent="0.35">
      <c r="A149" s="91" t="s">
        <v>2632</v>
      </c>
      <c r="B149" s="9">
        <v>8.3999999999999986</v>
      </c>
    </row>
    <row r="150" spans="1:2" x14ac:dyDescent="0.35">
      <c r="A150" s="91" t="s">
        <v>3293</v>
      </c>
      <c r="B150" s="9">
        <v>14</v>
      </c>
    </row>
    <row r="151" spans="1:2" x14ac:dyDescent="0.35">
      <c r="A151" s="91" t="s">
        <v>3562</v>
      </c>
      <c r="B151" s="9">
        <v>2.2000000000000002</v>
      </c>
    </row>
    <row r="152" spans="1:2" x14ac:dyDescent="0.35">
      <c r="A152" s="91" t="s">
        <v>3644</v>
      </c>
      <c r="B152" s="9">
        <v>10.5</v>
      </c>
    </row>
    <row r="153" spans="1:2" x14ac:dyDescent="0.35">
      <c r="A153" s="91" t="s">
        <v>1136</v>
      </c>
      <c r="B153" s="9">
        <v>15.2</v>
      </c>
    </row>
    <row r="154" spans="1:2" x14ac:dyDescent="0.35">
      <c r="A154" s="91" t="s">
        <v>4945</v>
      </c>
      <c r="B154" s="9">
        <v>2.2000000000000002</v>
      </c>
    </row>
    <row r="155" spans="1:2" x14ac:dyDescent="0.35">
      <c r="A155" s="91" t="s">
        <v>5104</v>
      </c>
      <c r="B155" s="9">
        <v>7.5</v>
      </c>
    </row>
    <row r="156" spans="1:2" x14ac:dyDescent="0.35">
      <c r="A156" s="91" t="s">
        <v>149</v>
      </c>
      <c r="B156" s="9">
        <v>14</v>
      </c>
    </row>
    <row r="157" spans="1:2" x14ac:dyDescent="0.35">
      <c r="A157" s="91" t="s">
        <v>4962</v>
      </c>
      <c r="B157" s="9">
        <v>5.6</v>
      </c>
    </row>
    <row r="158" spans="1:2" x14ac:dyDescent="0.35">
      <c r="A158" s="91" t="s">
        <v>2803</v>
      </c>
      <c r="B158" s="9">
        <v>8.3999999999999986</v>
      </c>
    </row>
    <row r="159" spans="1:2" x14ac:dyDescent="0.35">
      <c r="A159" s="91" t="s">
        <v>2882</v>
      </c>
      <c r="B159" s="9">
        <v>5</v>
      </c>
    </row>
    <row r="160" spans="1:2" x14ac:dyDescent="0.35">
      <c r="A160" s="91" t="s">
        <v>2680</v>
      </c>
      <c r="B160" s="9">
        <v>10.5</v>
      </c>
    </row>
    <row r="161" spans="1:2" x14ac:dyDescent="0.35">
      <c r="A161" s="91" t="s">
        <v>5187</v>
      </c>
      <c r="B161" s="9">
        <v>7.6</v>
      </c>
    </row>
    <row r="162" spans="1:2" x14ac:dyDescent="0.35">
      <c r="A162" s="91" t="s">
        <v>1540</v>
      </c>
      <c r="B162" s="9">
        <v>5.6</v>
      </c>
    </row>
    <row r="163" spans="1:2" x14ac:dyDescent="0.35">
      <c r="A163" s="91" t="s">
        <v>5211</v>
      </c>
      <c r="B163" s="9">
        <v>3.8</v>
      </c>
    </row>
    <row r="164" spans="1:2" x14ac:dyDescent="0.35">
      <c r="A164" s="91" t="s">
        <v>4182</v>
      </c>
      <c r="B164" s="9">
        <v>5</v>
      </c>
    </row>
    <row r="165" spans="1:2" x14ac:dyDescent="0.35">
      <c r="A165" s="91" t="s">
        <v>1043</v>
      </c>
      <c r="B165" s="9">
        <v>19</v>
      </c>
    </row>
    <row r="166" spans="1:2" x14ac:dyDescent="0.35">
      <c r="A166" s="91" t="s">
        <v>5145</v>
      </c>
      <c r="B166" s="9">
        <v>14</v>
      </c>
    </row>
    <row r="167" spans="1:2" x14ac:dyDescent="0.35">
      <c r="A167" s="91" t="s">
        <v>3934</v>
      </c>
      <c r="B167" s="9">
        <v>15.2</v>
      </c>
    </row>
    <row r="168" spans="1:2" x14ac:dyDescent="0.35">
      <c r="A168" s="91" t="s">
        <v>4650</v>
      </c>
      <c r="B168" s="9">
        <v>12.5</v>
      </c>
    </row>
    <row r="169" spans="1:2" x14ac:dyDescent="0.35">
      <c r="A169" s="91" t="s">
        <v>3769</v>
      </c>
      <c r="B169" s="9">
        <v>7.5</v>
      </c>
    </row>
    <row r="170" spans="1:2" x14ac:dyDescent="0.35">
      <c r="A170" s="91" t="s">
        <v>1137</v>
      </c>
      <c r="B170" s="9">
        <v>11.399999999999999</v>
      </c>
    </row>
    <row r="171" spans="1:2" x14ac:dyDescent="0.35">
      <c r="A171" s="91" t="s">
        <v>5480</v>
      </c>
      <c r="B171" s="9">
        <v>14</v>
      </c>
    </row>
    <row r="172" spans="1:2" x14ac:dyDescent="0.35">
      <c r="A172" s="91" t="s">
        <v>2823</v>
      </c>
      <c r="B172" s="9">
        <v>2.8</v>
      </c>
    </row>
    <row r="173" spans="1:2" x14ac:dyDescent="0.35">
      <c r="A173" s="91" t="s">
        <v>3421</v>
      </c>
      <c r="B173" s="9">
        <v>15.2</v>
      </c>
    </row>
    <row r="174" spans="1:2" x14ac:dyDescent="0.35">
      <c r="A174" s="91" t="s">
        <v>429</v>
      </c>
      <c r="B174" s="9">
        <v>6.6000000000000005</v>
      </c>
    </row>
    <row r="175" spans="1:2" x14ac:dyDescent="0.35">
      <c r="A175" s="91" t="s">
        <v>5130</v>
      </c>
      <c r="B175" s="9">
        <v>12.5</v>
      </c>
    </row>
    <row r="176" spans="1:2" x14ac:dyDescent="0.35">
      <c r="A176" s="91" t="s">
        <v>9</v>
      </c>
      <c r="B176" s="9">
        <v>5</v>
      </c>
    </row>
    <row r="177" spans="1:2" x14ac:dyDescent="0.35">
      <c r="A177" s="91" t="s">
        <v>2343</v>
      </c>
      <c r="B177" s="9">
        <v>5</v>
      </c>
    </row>
    <row r="178" spans="1:2" x14ac:dyDescent="0.35">
      <c r="A178" s="91" t="s">
        <v>1093</v>
      </c>
      <c r="B178" s="9">
        <v>2.2000000000000002</v>
      </c>
    </row>
    <row r="179" spans="1:2" x14ac:dyDescent="0.35">
      <c r="A179" s="91" t="s">
        <v>2210</v>
      </c>
      <c r="B179" s="9">
        <v>5.6</v>
      </c>
    </row>
    <row r="180" spans="1:2" x14ac:dyDescent="0.35">
      <c r="A180" s="91" t="s">
        <v>3798</v>
      </c>
      <c r="B180" s="9">
        <v>19</v>
      </c>
    </row>
    <row r="181" spans="1:2" x14ac:dyDescent="0.35">
      <c r="A181" s="91" t="s">
        <v>178</v>
      </c>
      <c r="B181" s="9">
        <v>5</v>
      </c>
    </row>
    <row r="182" spans="1:2" x14ac:dyDescent="0.35">
      <c r="A182" s="91" t="s">
        <v>2558</v>
      </c>
      <c r="B182" s="9">
        <v>2.2000000000000002</v>
      </c>
    </row>
    <row r="183" spans="1:2" x14ac:dyDescent="0.35">
      <c r="A183" s="91" t="s">
        <v>2397</v>
      </c>
      <c r="B183" s="9">
        <v>7.5</v>
      </c>
    </row>
    <row r="184" spans="1:2" x14ac:dyDescent="0.35">
      <c r="A184" s="91" t="s">
        <v>4660</v>
      </c>
      <c r="B184" s="9">
        <v>2.5</v>
      </c>
    </row>
    <row r="185" spans="1:2" x14ac:dyDescent="0.35">
      <c r="A185" s="91" t="s">
        <v>1295</v>
      </c>
      <c r="B185" s="9">
        <v>7.6</v>
      </c>
    </row>
    <row r="186" spans="1:2" x14ac:dyDescent="0.35">
      <c r="A186" s="91" t="s">
        <v>3609</v>
      </c>
      <c r="B186" s="9">
        <v>10.5</v>
      </c>
    </row>
    <row r="187" spans="1:2" x14ac:dyDescent="0.35">
      <c r="A187" s="91" t="s">
        <v>4484</v>
      </c>
      <c r="B187" s="9">
        <v>10.5</v>
      </c>
    </row>
    <row r="188" spans="1:2" x14ac:dyDescent="0.35">
      <c r="A188" s="91" t="s">
        <v>756</v>
      </c>
      <c r="B188" s="9">
        <v>3.8</v>
      </c>
    </row>
    <row r="189" spans="1:2" x14ac:dyDescent="0.35">
      <c r="A189" s="91" t="s">
        <v>1542</v>
      </c>
      <c r="B189" s="9">
        <v>3.8</v>
      </c>
    </row>
    <row r="190" spans="1:2" x14ac:dyDescent="0.35">
      <c r="A190" s="91" t="s">
        <v>5719</v>
      </c>
      <c r="B190" s="9">
        <v>4.4000000000000004</v>
      </c>
    </row>
    <row r="191" spans="1:2" x14ac:dyDescent="0.35">
      <c r="A191" s="91" t="s">
        <v>4501</v>
      </c>
      <c r="B191" s="9">
        <v>5.6</v>
      </c>
    </row>
    <row r="192" spans="1:2" x14ac:dyDescent="0.35">
      <c r="A192" s="91" t="s">
        <v>5312</v>
      </c>
      <c r="B192" s="9">
        <v>14</v>
      </c>
    </row>
    <row r="193" spans="1:2" x14ac:dyDescent="0.35">
      <c r="A193" s="91" t="s">
        <v>1569</v>
      </c>
      <c r="B193" s="9">
        <v>3.5</v>
      </c>
    </row>
    <row r="194" spans="1:2" x14ac:dyDescent="0.35">
      <c r="A194" s="91" t="s">
        <v>3912</v>
      </c>
      <c r="B194" s="9">
        <v>7</v>
      </c>
    </row>
    <row r="195" spans="1:2" x14ac:dyDescent="0.35">
      <c r="A195" s="91" t="s">
        <v>4271</v>
      </c>
      <c r="B195" s="9">
        <v>7.5</v>
      </c>
    </row>
    <row r="196" spans="1:2" x14ac:dyDescent="0.35">
      <c r="A196" s="91" t="s">
        <v>5626</v>
      </c>
      <c r="B196" s="9">
        <v>3.5</v>
      </c>
    </row>
    <row r="197" spans="1:2" x14ac:dyDescent="0.35">
      <c r="A197" s="91" t="s">
        <v>1662</v>
      </c>
      <c r="B197" s="9">
        <v>11</v>
      </c>
    </row>
    <row r="198" spans="1:2" x14ac:dyDescent="0.35">
      <c r="A198" s="91" t="s">
        <v>2814</v>
      </c>
      <c r="B198" s="9">
        <v>7.6</v>
      </c>
    </row>
    <row r="199" spans="1:2" x14ac:dyDescent="0.35">
      <c r="A199" s="91" t="s">
        <v>1690</v>
      </c>
      <c r="B199" s="9">
        <v>8.8000000000000007</v>
      </c>
    </row>
    <row r="200" spans="1:2" x14ac:dyDescent="0.35">
      <c r="A200" s="91" t="s">
        <v>1664</v>
      </c>
      <c r="B200" s="9">
        <v>14</v>
      </c>
    </row>
    <row r="201" spans="1:2" x14ac:dyDescent="0.35">
      <c r="A201" s="91" t="s">
        <v>3015</v>
      </c>
      <c r="B201" s="9">
        <v>7.6</v>
      </c>
    </row>
    <row r="202" spans="1:2" x14ac:dyDescent="0.35">
      <c r="A202" s="91" t="s">
        <v>2012</v>
      </c>
      <c r="B202" s="9">
        <v>14</v>
      </c>
    </row>
    <row r="203" spans="1:2" x14ac:dyDescent="0.35">
      <c r="A203" s="91" t="s">
        <v>981</v>
      </c>
      <c r="B203" s="9">
        <v>11</v>
      </c>
    </row>
    <row r="204" spans="1:2" x14ac:dyDescent="0.35">
      <c r="A204" s="91" t="s">
        <v>5747</v>
      </c>
      <c r="B204" s="9">
        <v>10.5</v>
      </c>
    </row>
    <row r="205" spans="1:2" x14ac:dyDescent="0.35">
      <c r="A205" s="91" t="s">
        <v>1544</v>
      </c>
      <c r="B205" s="9">
        <v>5</v>
      </c>
    </row>
    <row r="206" spans="1:2" x14ac:dyDescent="0.35">
      <c r="A206" s="91" t="s">
        <v>3627</v>
      </c>
      <c r="B206" s="9">
        <v>14</v>
      </c>
    </row>
    <row r="207" spans="1:2" x14ac:dyDescent="0.35">
      <c r="A207" s="91" t="s">
        <v>3105</v>
      </c>
      <c r="B207" s="9">
        <v>11.399999999999999</v>
      </c>
    </row>
    <row r="208" spans="1:2" x14ac:dyDescent="0.35">
      <c r="A208" s="91" t="s">
        <v>658</v>
      </c>
      <c r="B208" s="9">
        <v>5.6</v>
      </c>
    </row>
    <row r="209" spans="1:2" x14ac:dyDescent="0.35">
      <c r="A209" s="91" t="s">
        <v>5783</v>
      </c>
      <c r="B209" s="9">
        <v>14</v>
      </c>
    </row>
    <row r="210" spans="1:2" x14ac:dyDescent="0.35">
      <c r="A210" s="91" t="s">
        <v>3238</v>
      </c>
      <c r="B210" s="9">
        <v>4.4000000000000004</v>
      </c>
    </row>
    <row r="211" spans="1:2" x14ac:dyDescent="0.35">
      <c r="A211" s="91" t="s">
        <v>3106</v>
      </c>
      <c r="B211" s="9">
        <v>7</v>
      </c>
    </row>
    <row r="212" spans="1:2" x14ac:dyDescent="0.35">
      <c r="A212" s="91" t="s">
        <v>4377</v>
      </c>
      <c r="B212" s="9">
        <v>14</v>
      </c>
    </row>
    <row r="213" spans="1:2" x14ac:dyDescent="0.35">
      <c r="A213" s="91" t="s">
        <v>3588</v>
      </c>
      <c r="B213" s="9">
        <v>2.8</v>
      </c>
    </row>
    <row r="214" spans="1:2" x14ac:dyDescent="0.35">
      <c r="A214" s="91" t="s">
        <v>5539</v>
      </c>
      <c r="B214" s="9">
        <v>8.8000000000000007</v>
      </c>
    </row>
    <row r="215" spans="1:2" x14ac:dyDescent="0.35">
      <c r="A215" s="91" t="s">
        <v>1454</v>
      </c>
      <c r="B215" s="9">
        <v>14</v>
      </c>
    </row>
    <row r="216" spans="1:2" x14ac:dyDescent="0.35">
      <c r="A216" s="91" t="s">
        <v>636</v>
      </c>
      <c r="B216" s="9">
        <v>8.3999999999999986</v>
      </c>
    </row>
    <row r="217" spans="1:2" x14ac:dyDescent="0.35">
      <c r="A217" s="91" t="s">
        <v>4920</v>
      </c>
      <c r="B217" s="9">
        <v>19</v>
      </c>
    </row>
    <row r="218" spans="1:2" x14ac:dyDescent="0.35">
      <c r="A218" s="91" t="s">
        <v>1959</v>
      </c>
      <c r="B218" s="9">
        <v>10.5</v>
      </c>
    </row>
    <row r="219" spans="1:2" x14ac:dyDescent="0.35">
      <c r="A219" s="91" t="s">
        <v>4217</v>
      </c>
      <c r="B219" s="9">
        <v>7.5</v>
      </c>
    </row>
    <row r="220" spans="1:2" x14ac:dyDescent="0.35">
      <c r="A220" s="91" t="s">
        <v>5862</v>
      </c>
      <c r="B220" s="9">
        <v>14</v>
      </c>
    </row>
    <row r="221" spans="1:2" x14ac:dyDescent="0.35">
      <c r="A221" s="91" t="s">
        <v>5105</v>
      </c>
      <c r="B221" s="9">
        <v>2.2000000000000002</v>
      </c>
    </row>
    <row r="222" spans="1:2" x14ac:dyDescent="0.35">
      <c r="A222" s="91" t="s">
        <v>5890</v>
      </c>
      <c r="B222" s="9">
        <v>6.6000000000000005</v>
      </c>
    </row>
    <row r="223" spans="1:2" x14ac:dyDescent="0.35">
      <c r="A223" s="91" t="s">
        <v>572</v>
      </c>
      <c r="B223" s="9">
        <v>11</v>
      </c>
    </row>
    <row r="224" spans="1:2" x14ac:dyDescent="0.35">
      <c r="A224" s="91" t="s">
        <v>3255</v>
      </c>
      <c r="B224" s="9">
        <v>15.2</v>
      </c>
    </row>
    <row r="225" spans="1:2" x14ac:dyDescent="0.35">
      <c r="A225" s="91" t="s">
        <v>3811</v>
      </c>
      <c r="B225" s="9">
        <v>17.5</v>
      </c>
    </row>
    <row r="226" spans="1:2" x14ac:dyDescent="0.35">
      <c r="A226" s="91" t="s">
        <v>4661</v>
      </c>
      <c r="B226" s="9">
        <v>7.6</v>
      </c>
    </row>
    <row r="227" spans="1:2" x14ac:dyDescent="0.35">
      <c r="A227" s="91" t="s">
        <v>4909</v>
      </c>
      <c r="B227" s="9">
        <v>5</v>
      </c>
    </row>
    <row r="228" spans="1:2" x14ac:dyDescent="0.35">
      <c r="A228" s="91" t="s">
        <v>3139</v>
      </c>
      <c r="B228" s="9">
        <v>17.5</v>
      </c>
    </row>
    <row r="229" spans="1:2" x14ac:dyDescent="0.35">
      <c r="A229" s="91" t="s">
        <v>5212</v>
      </c>
      <c r="B229" s="9">
        <v>2.8</v>
      </c>
    </row>
    <row r="230" spans="1:2" x14ac:dyDescent="0.35">
      <c r="A230" s="91" t="s">
        <v>5008</v>
      </c>
      <c r="B230" s="9">
        <v>2.5</v>
      </c>
    </row>
    <row r="231" spans="1:2" x14ac:dyDescent="0.35">
      <c r="A231" s="91" t="s">
        <v>2593</v>
      </c>
      <c r="B231" s="9">
        <v>14</v>
      </c>
    </row>
    <row r="232" spans="1:2" x14ac:dyDescent="0.35">
      <c r="A232" s="91" t="s">
        <v>4662</v>
      </c>
      <c r="B232" s="9">
        <v>11.2</v>
      </c>
    </row>
    <row r="233" spans="1:2" x14ac:dyDescent="0.35">
      <c r="A233" s="91" t="s">
        <v>4931</v>
      </c>
      <c r="B233" s="9">
        <v>14</v>
      </c>
    </row>
    <row r="234" spans="1:2" x14ac:dyDescent="0.35">
      <c r="A234" s="91" t="s">
        <v>695</v>
      </c>
      <c r="B234" s="9">
        <v>2.8</v>
      </c>
    </row>
    <row r="235" spans="1:2" x14ac:dyDescent="0.35">
      <c r="A235" s="91" t="s">
        <v>3121</v>
      </c>
      <c r="B235" s="9">
        <v>19</v>
      </c>
    </row>
    <row r="236" spans="1:2" x14ac:dyDescent="0.35">
      <c r="A236" s="91" t="s">
        <v>5106</v>
      </c>
      <c r="B236" s="9">
        <v>14</v>
      </c>
    </row>
    <row r="237" spans="1:2" x14ac:dyDescent="0.35">
      <c r="A237" s="91" t="s">
        <v>3277</v>
      </c>
      <c r="B237" s="9">
        <v>14</v>
      </c>
    </row>
    <row r="238" spans="1:2" x14ac:dyDescent="0.35">
      <c r="A238" s="91" t="s">
        <v>4910</v>
      </c>
      <c r="B238" s="9">
        <v>11.2</v>
      </c>
    </row>
    <row r="239" spans="1:2" x14ac:dyDescent="0.35">
      <c r="A239" s="91" t="s">
        <v>5936</v>
      </c>
      <c r="B239" s="9">
        <v>5.6</v>
      </c>
    </row>
    <row r="240" spans="1:2" x14ac:dyDescent="0.35">
      <c r="A240" s="91" t="s">
        <v>4747</v>
      </c>
      <c r="B240" s="9">
        <v>11.399999999999999</v>
      </c>
    </row>
    <row r="241" spans="1:2" x14ac:dyDescent="0.35">
      <c r="A241" s="91" t="s">
        <v>3981</v>
      </c>
      <c r="B241" s="9">
        <v>7</v>
      </c>
    </row>
    <row r="242" spans="1:2" x14ac:dyDescent="0.35">
      <c r="A242" s="91" t="s">
        <v>3380</v>
      </c>
      <c r="B242" s="9">
        <v>7.5</v>
      </c>
    </row>
    <row r="243" spans="1:2" x14ac:dyDescent="0.35">
      <c r="A243" s="91" t="s">
        <v>1166</v>
      </c>
      <c r="B243" s="9">
        <v>10.5</v>
      </c>
    </row>
    <row r="244" spans="1:2" x14ac:dyDescent="0.35">
      <c r="A244" s="91" t="s">
        <v>5061</v>
      </c>
      <c r="B244" s="9">
        <v>14</v>
      </c>
    </row>
    <row r="245" spans="1:2" x14ac:dyDescent="0.35">
      <c r="A245" s="91" t="s">
        <v>1545</v>
      </c>
      <c r="B245" s="9">
        <v>5.6</v>
      </c>
    </row>
    <row r="246" spans="1:2" x14ac:dyDescent="0.35">
      <c r="A246" s="91" t="s">
        <v>2308</v>
      </c>
      <c r="B246" s="9">
        <v>19</v>
      </c>
    </row>
    <row r="247" spans="1:2" x14ac:dyDescent="0.35">
      <c r="A247" s="91" t="s">
        <v>5230</v>
      </c>
      <c r="B247" s="9">
        <v>17.5</v>
      </c>
    </row>
    <row r="248" spans="1:2" x14ac:dyDescent="0.35">
      <c r="A248" s="91" t="s">
        <v>19</v>
      </c>
      <c r="B248" s="9">
        <v>12.5</v>
      </c>
    </row>
    <row r="249" spans="1:2" x14ac:dyDescent="0.35">
      <c r="A249" s="91" t="s">
        <v>4439</v>
      </c>
      <c r="B249" s="9">
        <v>7.5</v>
      </c>
    </row>
    <row r="250" spans="1:2" x14ac:dyDescent="0.35">
      <c r="A250" s="91" t="s">
        <v>457</v>
      </c>
      <c r="B250" s="9">
        <v>7.6</v>
      </c>
    </row>
    <row r="251" spans="1:2" x14ac:dyDescent="0.35">
      <c r="A251" s="91" t="s">
        <v>697</v>
      </c>
      <c r="B251" s="9">
        <v>8.3999999999999986</v>
      </c>
    </row>
    <row r="252" spans="1:2" x14ac:dyDescent="0.35">
      <c r="A252" s="91" t="s">
        <v>431</v>
      </c>
      <c r="B252" s="9">
        <v>11.399999999999999</v>
      </c>
    </row>
    <row r="253" spans="1:2" x14ac:dyDescent="0.35">
      <c r="A253" s="91" t="s">
        <v>1980</v>
      </c>
      <c r="B253" s="9">
        <v>10</v>
      </c>
    </row>
    <row r="254" spans="1:2" x14ac:dyDescent="0.35">
      <c r="A254" s="91" t="s">
        <v>1761</v>
      </c>
      <c r="B254" s="9">
        <v>2.5</v>
      </c>
    </row>
    <row r="255" spans="1:2" x14ac:dyDescent="0.35">
      <c r="A255" s="91" t="s">
        <v>660</v>
      </c>
      <c r="B255" s="9">
        <v>12.5</v>
      </c>
    </row>
    <row r="256" spans="1:2" x14ac:dyDescent="0.35">
      <c r="A256" s="91" t="s">
        <v>2026</v>
      </c>
      <c r="B256" s="9">
        <v>7.5</v>
      </c>
    </row>
    <row r="257" spans="1:2" x14ac:dyDescent="0.35">
      <c r="A257" s="91" t="s">
        <v>4567</v>
      </c>
      <c r="B257" s="9">
        <v>8.8000000000000007</v>
      </c>
    </row>
    <row r="258" spans="1:2" x14ac:dyDescent="0.35">
      <c r="A258" s="91" t="s">
        <v>758</v>
      </c>
      <c r="B258" s="9">
        <v>2.2000000000000002</v>
      </c>
    </row>
    <row r="259" spans="1:2" x14ac:dyDescent="0.35">
      <c r="A259" s="91" t="s">
        <v>1763</v>
      </c>
      <c r="B259" s="9">
        <v>5.6</v>
      </c>
    </row>
    <row r="260" spans="1:2" x14ac:dyDescent="0.35">
      <c r="A260" s="91" t="s">
        <v>3489</v>
      </c>
      <c r="B260" s="9">
        <v>15.2</v>
      </c>
    </row>
    <row r="261" spans="1:2" x14ac:dyDescent="0.35">
      <c r="A261" s="91" t="s">
        <v>2355</v>
      </c>
      <c r="B261" s="9">
        <v>3.5</v>
      </c>
    </row>
    <row r="262" spans="1:2" x14ac:dyDescent="0.35">
      <c r="A262" s="91" t="s">
        <v>2609</v>
      </c>
      <c r="B262" s="9">
        <v>15.2</v>
      </c>
    </row>
    <row r="263" spans="1:2" x14ac:dyDescent="0.35">
      <c r="A263" s="91" t="s">
        <v>2985</v>
      </c>
      <c r="B263" s="9">
        <v>5</v>
      </c>
    </row>
    <row r="264" spans="1:2" x14ac:dyDescent="0.35">
      <c r="A264" s="91" t="s">
        <v>4112</v>
      </c>
      <c r="B264" s="9">
        <v>7.5</v>
      </c>
    </row>
    <row r="265" spans="1:2" x14ac:dyDescent="0.35">
      <c r="A265" s="91" t="s">
        <v>1167</v>
      </c>
      <c r="B265" s="9">
        <v>7</v>
      </c>
    </row>
    <row r="266" spans="1:2" x14ac:dyDescent="0.35">
      <c r="A266" s="91" t="s">
        <v>810</v>
      </c>
      <c r="B266" s="9">
        <v>11.399999999999999</v>
      </c>
    </row>
    <row r="267" spans="1:2" x14ac:dyDescent="0.35">
      <c r="A267" s="91" t="s">
        <v>3239</v>
      </c>
      <c r="B267" s="9">
        <v>5.6</v>
      </c>
    </row>
    <row r="268" spans="1:2" x14ac:dyDescent="0.35">
      <c r="A268" s="91" t="s">
        <v>5591</v>
      </c>
      <c r="B268" s="9">
        <v>8.3999999999999986</v>
      </c>
    </row>
    <row r="269" spans="1:2" x14ac:dyDescent="0.35">
      <c r="A269" s="91" t="s">
        <v>2682</v>
      </c>
      <c r="B269" s="9">
        <v>2.2000000000000002</v>
      </c>
    </row>
    <row r="270" spans="1:2" x14ac:dyDescent="0.35">
      <c r="A270" s="91" t="s">
        <v>4485</v>
      </c>
      <c r="B270" s="9">
        <v>10</v>
      </c>
    </row>
    <row r="271" spans="1:2" x14ac:dyDescent="0.35">
      <c r="A271" s="91" t="s">
        <v>4502</v>
      </c>
      <c r="B271" s="9">
        <v>7</v>
      </c>
    </row>
    <row r="272" spans="1:2" x14ac:dyDescent="0.35">
      <c r="A272" s="91" t="s">
        <v>4729</v>
      </c>
      <c r="B272" s="9">
        <v>7</v>
      </c>
    </row>
    <row r="273" spans="1:2" x14ac:dyDescent="0.35">
      <c r="A273" s="91" t="s">
        <v>3222</v>
      </c>
      <c r="B273" s="9">
        <v>12.5</v>
      </c>
    </row>
    <row r="274" spans="1:2" x14ac:dyDescent="0.35">
      <c r="A274" s="91" t="s">
        <v>1732</v>
      </c>
      <c r="B274" s="9">
        <v>10.5</v>
      </c>
    </row>
    <row r="275" spans="1:2" x14ac:dyDescent="0.35">
      <c r="A275" s="91" t="s">
        <v>1785</v>
      </c>
      <c r="B275" s="9">
        <v>3.8</v>
      </c>
    </row>
    <row r="276" spans="1:2" x14ac:dyDescent="0.35">
      <c r="A276" s="91" t="s">
        <v>2804</v>
      </c>
      <c r="B276" s="9">
        <v>10.5</v>
      </c>
    </row>
    <row r="277" spans="1:2" x14ac:dyDescent="0.35">
      <c r="A277" s="91" t="s">
        <v>3308</v>
      </c>
      <c r="B277" s="9">
        <v>14</v>
      </c>
    </row>
    <row r="278" spans="1:2" x14ac:dyDescent="0.35">
      <c r="A278" s="91" t="s">
        <v>5526</v>
      </c>
      <c r="B278" s="9">
        <v>3.8</v>
      </c>
    </row>
    <row r="279" spans="1:2" x14ac:dyDescent="0.35">
      <c r="A279" s="91" t="s">
        <v>2321</v>
      </c>
      <c r="B279" s="9">
        <v>3.8</v>
      </c>
    </row>
    <row r="280" spans="1:2" x14ac:dyDescent="0.35">
      <c r="A280" s="91" t="s">
        <v>2234</v>
      </c>
      <c r="B280" s="9">
        <v>7.5</v>
      </c>
    </row>
    <row r="281" spans="1:2" x14ac:dyDescent="0.35">
      <c r="A281" s="91" t="s">
        <v>4255</v>
      </c>
      <c r="B281" s="9">
        <v>2.8</v>
      </c>
    </row>
    <row r="282" spans="1:2" x14ac:dyDescent="0.35">
      <c r="A282" s="91" t="s">
        <v>5038</v>
      </c>
      <c r="B282" s="9">
        <v>14</v>
      </c>
    </row>
    <row r="283" spans="1:2" x14ac:dyDescent="0.35">
      <c r="A283" s="91" t="s">
        <v>2014</v>
      </c>
      <c r="B283" s="9">
        <v>8.8000000000000007</v>
      </c>
    </row>
    <row r="284" spans="1:2" x14ac:dyDescent="0.35">
      <c r="A284" s="91" t="s">
        <v>5456</v>
      </c>
      <c r="B284" s="9">
        <v>8.3999999999999986</v>
      </c>
    </row>
    <row r="285" spans="1:2" x14ac:dyDescent="0.35">
      <c r="A285" s="91" t="s">
        <v>4323</v>
      </c>
      <c r="B285" s="9">
        <v>11.2</v>
      </c>
    </row>
    <row r="286" spans="1:2" x14ac:dyDescent="0.35">
      <c r="A286" s="91" t="s">
        <v>725</v>
      </c>
      <c r="B286" s="9">
        <v>7.6</v>
      </c>
    </row>
    <row r="287" spans="1:2" x14ac:dyDescent="0.35">
      <c r="A287" s="91" t="s">
        <v>4240</v>
      </c>
      <c r="B287" s="9">
        <v>19</v>
      </c>
    </row>
    <row r="288" spans="1:2" x14ac:dyDescent="0.35">
      <c r="A288" s="91" t="s">
        <v>5773</v>
      </c>
      <c r="B288" s="9">
        <v>11.399999999999999</v>
      </c>
    </row>
    <row r="289" spans="1:2" x14ac:dyDescent="0.35">
      <c r="A289" s="91" t="s">
        <v>4363</v>
      </c>
      <c r="B289" s="9">
        <v>10</v>
      </c>
    </row>
    <row r="290" spans="1:2" x14ac:dyDescent="0.35">
      <c r="A290" s="91" t="s">
        <v>1383</v>
      </c>
      <c r="B290" s="9">
        <v>4.4000000000000004</v>
      </c>
    </row>
    <row r="291" spans="1:2" x14ac:dyDescent="0.35">
      <c r="A291" s="91" t="s">
        <v>4558</v>
      </c>
      <c r="B291" s="9">
        <v>14</v>
      </c>
    </row>
    <row r="292" spans="1:2" x14ac:dyDescent="0.35">
      <c r="A292" s="91" t="s">
        <v>1960</v>
      </c>
      <c r="B292" s="9">
        <v>14</v>
      </c>
    </row>
    <row r="293" spans="1:2" x14ac:dyDescent="0.35">
      <c r="A293" s="91" t="s">
        <v>837</v>
      </c>
      <c r="B293" s="9">
        <v>11.2</v>
      </c>
    </row>
    <row r="294" spans="1:2" x14ac:dyDescent="0.35">
      <c r="A294" s="91" t="s">
        <v>3904</v>
      </c>
      <c r="B294" s="9">
        <v>11.399999999999999</v>
      </c>
    </row>
    <row r="295" spans="1:2" x14ac:dyDescent="0.35">
      <c r="A295" s="91" t="s">
        <v>531</v>
      </c>
      <c r="B295" s="9">
        <v>7.5</v>
      </c>
    </row>
    <row r="296" spans="1:2" x14ac:dyDescent="0.35">
      <c r="A296" s="91" t="s">
        <v>595</v>
      </c>
      <c r="B296" s="9">
        <v>10</v>
      </c>
    </row>
    <row r="297" spans="1:2" x14ac:dyDescent="0.35">
      <c r="A297" s="91" t="s">
        <v>5969</v>
      </c>
      <c r="B297" s="9">
        <v>2.2000000000000002</v>
      </c>
    </row>
    <row r="298" spans="1:2" x14ac:dyDescent="0.35">
      <c r="A298" s="91" t="s">
        <v>2126</v>
      </c>
      <c r="B298" s="9">
        <v>12.5</v>
      </c>
    </row>
    <row r="299" spans="1:2" x14ac:dyDescent="0.35">
      <c r="A299" s="91" t="s">
        <v>2970</v>
      </c>
      <c r="B299" s="9">
        <v>8.8000000000000007</v>
      </c>
    </row>
    <row r="300" spans="1:2" x14ac:dyDescent="0.35">
      <c r="A300" s="91" t="s">
        <v>6009</v>
      </c>
      <c r="B300" s="9">
        <v>8.3999999999999986</v>
      </c>
    </row>
    <row r="301" spans="1:2" x14ac:dyDescent="0.35">
      <c r="A301" s="91" t="s">
        <v>2788</v>
      </c>
      <c r="B301" s="9">
        <v>2.2000000000000002</v>
      </c>
    </row>
    <row r="302" spans="1:2" x14ac:dyDescent="0.35">
      <c r="A302" s="91" t="s">
        <v>3051</v>
      </c>
      <c r="B302" s="9">
        <v>3.8</v>
      </c>
    </row>
    <row r="303" spans="1:2" x14ac:dyDescent="0.35">
      <c r="A303" s="91" t="s">
        <v>2713</v>
      </c>
      <c r="B303" s="9">
        <v>4.4000000000000004</v>
      </c>
    </row>
    <row r="304" spans="1:2" x14ac:dyDescent="0.35">
      <c r="A304" s="91" t="s">
        <v>3180</v>
      </c>
      <c r="B304" s="9">
        <v>11.2</v>
      </c>
    </row>
    <row r="305" spans="1:2" x14ac:dyDescent="0.35">
      <c r="A305" s="91" t="s">
        <v>4428</v>
      </c>
      <c r="B305" s="9">
        <v>8.8000000000000007</v>
      </c>
    </row>
    <row r="306" spans="1:2" x14ac:dyDescent="0.35">
      <c r="A306" s="91" t="s">
        <v>5009</v>
      </c>
      <c r="B306" s="9">
        <v>19</v>
      </c>
    </row>
    <row r="307" spans="1:2" x14ac:dyDescent="0.35">
      <c r="A307" s="91" t="s">
        <v>3724</v>
      </c>
      <c r="B307" s="9">
        <v>11</v>
      </c>
    </row>
    <row r="308" spans="1:2" x14ac:dyDescent="0.35">
      <c r="A308" s="91" t="s">
        <v>180</v>
      </c>
      <c r="B308" s="9">
        <v>7.5</v>
      </c>
    </row>
    <row r="309" spans="1:2" x14ac:dyDescent="0.35">
      <c r="A309" s="91" t="s">
        <v>1961</v>
      </c>
      <c r="B309" s="9">
        <v>7</v>
      </c>
    </row>
    <row r="310" spans="1:2" x14ac:dyDescent="0.35">
      <c r="A310" s="91" t="s">
        <v>4378</v>
      </c>
      <c r="B310" s="9">
        <v>15.2</v>
      </c>
    </row>
    <row r="311" spans="1:2" x14ac:dyDescent="0.35">
      <c r="A311" s="91" t="s">
        <v>5608</v>
      </c>
      <c r="B311" s="9">
        <v>11.399999999999999</v>
      </c>
    </row>
    <row r="312" spans="1:2" x14ac:dyDescent="0.35">
      <c r="A312" s="91" t="s">
        <v>5759</v>
      </c>
      <c r="B312" s="9">
        <v>11</v>
      </c>
    </row>
    <row r="313" spans="1:2" x14ac:dyDescent="0.35">
      <c r="A313" s="91" t="s">
        <v>3294</v>
      </c>
      <c r="B313" s="9">
        <v>14</v>
      </c>
    </row>
    <row r="314" spans="1:2" x14ac:dyDescent="0.35">
      <c r="A314" s="91" t="s">
        <v>249</v>
      </c>
      <c r="B314" s="9">
        <v>8.3999999999999986</v>
      </c>
    </row>
    <row r="315" spans="1:2" x14ac:dyDescent="0.35">
      <c r="A315" s="91" t="s">
        <v>2907</v>
      </c>
      <c r="B315" s="9">
        <v>10.5</v>
      </c>
    </row>
    <row r="316" spans="1:2" x14ac:dyDescent="0.35">
      <c r="A316" s="91" t="s">
        <v>1764</v>
      </c>
      <c r="B316" s="9">
        <v>5.6</v>
      </c>
    </row>
    <row r="317" spans="1:2" x14ac:dyDescent="0.35">
      <c r="A317" s="91" t="s">
        <v>1719</v>
      </c>
      <c r="B317" s="9">
        <v>2.5</v>
      </c>
    </row>
    <row r="318" spans="1:2" x14ac:dyDescent="0.35">
      <c r="A318" s="91" t="s">
        <v>4017</v>
      </c>
      <c r="B318" s="9">
        <v>8.3999999999999986</v>
      </c>
    </row>
    <row r="319" spans="1:2" x14ac:dyDescent="0.35">
      <c r="A319" s="91" t="s">
        <v>4704</v>
      </c>
      <c r="B319" s="9">
        <v>5</v>
      </c>
    </row>
    <row r="320" spans="1:2" x14ac:dyDescent="0.35">
      <c r="A320" s="91" t="s">
        <v>1456</v>
      </c>
      <c r="B320" s="9">
        <v>2.2000000000000002</v>
      </c>
    </row>
    <row r="321" spans="1:2" x14ac:dyDescent="0.35">
      <c r="A321" s="91" t="s">
        <v>509</v>
      </c>
      <c r="B321" s="9">
        <v>10</v>
      </c>
    </row>
    <row r="322" spans="1:2" x14ac:dyDescent="0.35">
      <c r="A322" s="91" t="s">
        <v>5333</v>
      </c>
      <c r="B322" s="9">
        <v>5.6</v>
      </c>
    </row>
    <row r="323" spans="1:2" x14ac:dyDescent="0.35">
      <c r="A323" s="91" t="s">
        <v>5168</v>
      </c>
      <c r="B323" s="9">
        <v>2.5</v>
      </c>
    </row>
    <row r="324" spans="1:2" x14ac:dyDescent="0.35">
      <c r="A324" s="91" t="s">
        <v>4272</v>
      </c>
      <c r="B324" s="9">
        <v>11</v>
      </c>
    </row>
    <row r="325" spans="1:2" x14ac:dyDescent="0.35">
      <c r="A325" s="91" t="s">
        <v>1119</v>
      </c>
      <c r="B325" s="9">
        <v>4.4000000000000004</v>
      </c>
    </row>
    <row r="326" spans="1:2" x14ac:dyDescent="0.35">
      <c r="A326" s="91" t="s">
        <v>2295</v>
      </c>
      <c r="B326" s="9">
        <v>15.2</v>
      </c>
    </row>
    <row r="327" spans="1:2" x14ac:dyDescent="0.35">
      <c r="A327" s="91" t="s">
        <v>4568</v>
      </c>
      <c r="B327" s="9">
        <v>11</v>
      </c>
    </row>
    <row r="328" spans="1:2" x14ac:dyDescent="0.35">
      <c r="A328" s="91" t="s">
        <v>3122</v>
      </c>
      <c r="B328" s="9">
        <v>6.6000000000000005</v>
      </c>
    </row>
    <row r="329" spans="1:2" x14ac:dyDescent="0.35">
      <c r="A329" s="91" t="s">
        <v>2513</v>
      </c>
      <c r="B329" s="9">
        <v>14</v>
      </c>
    </row>
    <row r="330" spans="1:2" x14ac:dyDescent="0.35">
      <c r="A330" s="91" t="s">
        <v>1606</v>
      </c>
      <c r="B330" s="9">
        <v>7</v>
      </c>
    </row>
    <row r="331" spans="1:2" x14ac:dyDescent="0.35">
      <c r="A331" s="91" t="s">
        <v>5313</v>
      </c>
      <c r="B331" s="9">
        <v>11</v>
      </c>
    </row>
    <row r="332" spans="1:2" x14ac:dyDescent="0.35">
      <c r="A332" s="91" t="s">
        <v>3715</v>
      </c>
      <c r="B332" s="9">
        <v>12.5</v>
      </c>
    </row>
    <row r="333" spans="1:2" x14ac:dyDescent="0.35">
      <c r="A333" s="91" t="s">
        <v>2548</v>
      </c>
      <c r="B333" s="9">
        <v>7.5</v>
      </c>
    </row>
    <row r="334" spans="1:2" x14ac:dyDescent="0.35">
      <c r="A334" s="91" t="s">
        <v>4853</v>
      </c>
      <c r="B334" s="9">
        <v>5.6</v>
      </c>
    </row>
    <row r="335" spans="1:2" x14ac:dyDescent="0.35">
      <c r="A335" s="91" t="s">
        <v>3877</v>
      </c>
      <c r="B335" s="9">
        <v>11.2</v>
      </c>
    </row>
    <row r="336" spans="1:2" x14ac:dyDescent="0.35">
      <c r="A336" s="91" t="s">
        <v>1169</v>
      </c>
      <c r="B336" s="9">
        <v>10.5</v>
      </c>
    </row>
    <row r="337" spans="1:2" x14ac:dyDescent="0.35">
      <c r="A337" s="91" t="s">
        <v>361</v>
      </c>
      <c r="B337" s="9">
        <v>11.399999999999999</v>
      </c>
    </row>
    <row r="338" spans="1:2" x14ac:dyDescent="0.35">
      <c r="A338" s="91" t="s">
        <v>3545</v>
      </c>
      <c r="B338" s="9">
        <v>10</v>
      </c>
    </row>
    <row r="339" spans="1:2" x14ac:dyDescent="0.35">
      <c r="A339" s="91" t="s">
        <v>3140</v>
      </c>
      <c r="B339" s="9">
        <v>19</v>
      </c>
    </row>
    <row r="340" spans="1:2" x14ac:dyDescent="0.35">
      <c r="A340" s="91" t="s">
        <v>2610</v>
      </c>
      <c r="B340" s="9">
        <v>14</v>
      </c>
    </row>
    <row r="341" spans="1:2" x14ac:dyDescent="0.35">
      <c r="A341" s="91" t="s">
        <v>3913</v>
      </c>
      <c r="B341" s="9">
        <v>6.6000000000000005</v>
      </c>
    </row>
    <row r="342" spans="1:2" x14ac:dyDescent="0.35">
      <c r="A342" s="91" t="s">
        <v>4791</v>
      </c>
      <c r="B342" s="9">
        <v>7</v>
      </c>
    </row>
    <row r="343" spans="1:2" x14ac:dyDescent="0.35">
      <c r="A343" s="91" t="s">
        <v>878</v>
      </c>
      <c r="B343" s="9">
        <v>6.6000000000000005</v>
      </c>
    </row>
    <row r="344" spans="1:2" x14ac:dyDescent="0.35">
      <c r="A344" s="91" t="s">
        <v>603</v>
      </c>
      <c r="B344" s="9">
        <v>2.2000000000000002</v>
      </c>
    </row>
    <row r="345" spans="1:2" x14ac:dyDescent="0.35">
      <c r="A345" s="91" t="s">
        <v>2296</v>
      </c>
      <c r="B345" s="9">
        <v>12.5</v>
      </c>
    </row>
    <row r="346" spans="1:2" x14ac:dyDescent="0.35">
      <c r="A346" s="91" t="s">
        <v>2370</v>
      </c>
      <c r="B346" s="9">
        <v>2.5</v>
      </c>
    </row>
    <row r="347" spans="1:2" x14ac:dyDescent="0.35">
      <c r="A347" s="91" t="s">
        <v>4535</v>
      </c>
      <c r="B347" s="9">
        <v>4.4000000000000004</v>
      </c>
    </row>
    <row r="348" spans="1:2" x14ac:dyDescent="0.35">
      <c r="A348" s="91" t="s">
        <v>3399</v>
      </c>
      <c r="B348" s="9">
        <v>10.5</v>
      </c>
    </row>
    <row r="349" spans="1:2" x14ac:dyDescent="0.35">
      <c r="A349" s="91" t="s">
        <v>5627</v>
      </c>
      <c r="B349" s="9">
        <v>7</v>
      </c>
    </row>
    <row r="350" spans="1:2" x14ac:dyDescent="0.35">
      <c r="A350" s="91" t="s">
        <v>3645</v>
      </c>
      <c r="B350" s="9">
        <v>3.8</v>
      </c>
    </row>
    <row r="351" spans="1:2" x14ac:dyDescent="0.35">
      <c r="A351" s="91" t="s">
        <v>1296</v>
      </c>
      <c r="B351" s="9">
        <v>8.8000000000000007</v>
      </c>
    </row>
    <row r="352" spans="1:2" x14ac:dyDescent="0.35">
      <c r="A352" s="91" t="s">
        <v>3576</v>
      </c>
      <c r="B352" s="9">
        <v>3.8</v>
      </c>
    </row>
    <row r="353" spans="1:2" x14ac:dyDescent="0.35">
      <c r="A353" s="91" t="s">
        <v>5919</v>
      </c>
      <c r="B353" s="9">
        <v>14</v>
      </c>
    </row>
    <row r="354" spans="1:2" x14ac:dyDescent="0.35">
      <c r="A354" s="91" t="s">
        <v>2595</v>
      </c>
      <c r="B354" s="9">
        <v>10</v>
      </c>
    </row>
    <row r="355" spans="1:2" x14ac:dyDescent="0.35">
      <c r="A355" s="91" t="s">
        <v>880</v>
      </c>
      <c r="B355" s="9">
        <v>14</v>
      </c>
    </row>
    <row r="356" spans="1:2" x14ac:dyDescent="0.35">
      <c r="A356" s="91" t="s">
        <v>2455</v>
      </c>
      <c r="B356" s="9">
        <v>10</v>
      </c>
    </row>
    <row r="357" spans="1:2" x14ac:dyDescent="0.35">
      <c r="A357" s="91" t="s">
        <v>4833</v>
      </c>
      <c r="B357" s="9">
        <v>11.2</v>
      </c>
    </row>
    <row r="358" spans="1:2" x14ac:dyDescent="0.35">
      <c r="A358" s="91" t="s">
        <v>3041</v>
      </c>
      <c r="B358" s="9">
        <v>7</v>
      </c>
    </row>
    <row r="359" spans="1:2" x14ac:dyDescent="0.35">
      <c r="A359" s="91" t="s">
        <v>3546</v>
      </c>
      <c r="B359" s="9">
        <v>6.6000000000000005</v>
      </c>
    </row>
    <row r="360" spans="1:2" x14ac:dyDescent="0.35">
      <c r="A360" s="91" t="s">
        <v>4339</v>
      </c>
      <c r="B360" s="9">
        <v>17.5</v>
      </c>
    </row>
    <row r="361" spans="1:2" x14ac:dyDescent="0.35">
      <c r="A361" s="91" t="s">
        <v>4164</v>
      </c>
      <c r="B361" s="9">
        <v>12.5</v>
      </c>
    </row>
    <row r="362" spans="1:2" x14ac:dyDescent="0.35">
      <c r="A362" s="91" t="s">
        <v>1827</v>
      </c>
      <c r="B362" s="9">
        <v>19</v>
      </c>
    </row>
    <row r="363" spans="1:2" x14ac:dyDescent="0.35">
      <c r="A363" s="91" t="s">
        <v>3422</v>
      </c>
      <c r="B363" s="9">
        <v>8.8000000000000007</v>
      </c>
    </row>
    <row r="364" spans="1:2" x14ac:dyDescent="0.35">
      <c r="A364" s="91" t="s">
        <v>335</v>
      </c>
      <c r="B364" s="9">
        <v>6.6000000000000005</v>
      </c>
    </row>
    <row r="365" spans="1:2" x14ac:dyDescent="0.35">
      <c r="A365" s="91" t="s">
        <v>3688</v>
      </c>
      <c r="B365" s="9">
        <v>5</v>
      </c>
    </row>
    <row r="366" spans="1:2" x14ac:dyDescent="0.35">
      <c r="A366" s="91" t="s">
        <v>3256</v>
      </c>
      <c r="B366" s="9">
        <v>19</v>
      </c>
    </row>
    <row r="367" spans="1:2" x14ac:dyDescent="0.35">
      <c r="A367" s="91" t="s">
        <v>839</v>
      </c>
      <c r="B367" s="9">
        <v>5</v>
      </c>
    </row>
    <row r="368" spans="1:2" x14ac:dyDescent="0.35">
      <c r="A368" s="91" t="s">
        <v>1607</v>
      </c>
      <c r="B368" s="9">
        <v>7</v>
      </c>
    </row>
    <row r="369" spans="1:2" x14ac:dyDescent="0.35">
      <c r="A369" s="91" t="s">
        <v>3725</v>
      </c>
      <c r="B369" s="9">
        <v>7.5</v>
      </c>
    </row>
    <row r="370" spans="1:2" x14ac:dyDescent="0.35">
      <c r="A370" s="91" t="s">
        <v>1609</v>
      </c>
      <c r="B370" s="9">
        <v>8.3999999999999986</v>
      </c>
    </row>
    <row r="371" spans="1:2" x14ac:dyDescent="0.35">
      <c r="A371" s="91" t="s">
        <v>5920</v>
      </c>
      <c r="B371" s="9">
        <v>8.8000000000000007</v>
      </c>
    </row>
    <row r="372" spans="1:2" x14ac:dyDescent="0.35">
      <c r="A372" s="91" t="s">
        <v>3266</v>
      </c>
      <c r="B372" s="9">
        <v>17.5</v>
      </c>
    </row>
    <row r="373" spans="1:2" x14ac:dyDescent="0.35">
      <c r="A373" s="91" t="s">
        <v>2971</v>
      </c>
      <c r="B373" s="9">
        <v>3.5</v>
      </c>
    </row>
    <row r="374" spans="1:2" x14ac:dyDescent="0.35">
      <c r="A374" s="91" t="s">
        <v>63</v>
      </c>
      <c r="B374" s="9">
        <v>11.2</v>
      </c>
    </row>
    <row r="375" spans="1:2" x14ac:dyDescent="0.35">
      <c r="A375" s="91" t="s">
        <v>318</v>
      </c>
      <c r="B375" s="9">
        <v>3.8</v>
      </c>
    </row>
    <row r="376" spans="1:2" x14ac:dyDescent="0.35">
      <c r="A376" s="91" t="s">
        <v>4921</v>
      </c>
      <c r="B376" s="9">
        <v>2.8</v>
      </c>
    </row>
    <row r="377" spans="1:2" x14ac:dyDescent="0.35">
      <c r="A377" s="91" t="s">
        <v>4403</v>
      </c>
      <c r="B377" s="9">
        <v>6.6000000000000005</v>
      </c>
    </row>
    <row r="378" spans="1:2" x14ac:dyDescent="0.35">
      <c r="A378" s="91" t="s">
        <v>1546</v>
      </c>
      <c r="B378" s="9">
        <v>8.3999999999999986</v>
      </c>
    </row>
    <row r="379" spans="1:2" x14ac:dyDescent="0.35">
      <c r="A379" s="91" t="s">
        <v>2908</v>
      </c>
      <c r="B379" s="9">
        <v>10</v>
      </c>
    </row>
    <row r="380" spans="1:2" x14ac:dyDescent="0.35">
      <c r="A380" s="91" t="s">
        <v>2027</v>
      </c>
      <c r="B380" s="9">
        <v>19</v>
      </c>
    </row>
    <row r="381" spans="1:2" x14ac:dyDescent="0.35">
      <c r="A381" s="91" t="s">
        <v>3490</v>
      </c>
      <c r="B381" s="9">
        <v>11.2</v>
      </c>
    </row>
    <row r="382" spans="1:2" x14ac:dyDescent="0.35">
      <c r="A382" s="91" t="s">
        <v>4440</v>
      </c>
      <c r="B382" s="9">
        <v>15.2</v>
      </c>
    </row>
    <row r="383" spans="1:2" x14ac:dyDescent="0.35">
      <c r="A383" s="91" t="s">
        <v>5576</v>
      </c>
      <c r="B383" s="9">
        <v>10</v>
      </c>
    </row>
    <row r="384" spans="1:2" x14ac:dyDescent="0.35">
      <c r="A384" s="91" t="s">
        <v>2372</v>
      </c>
      <c r="B384" s="9">
        <v>4.4000000000000004</v>
      </c>
    </row>
    <row r="385" spans="1:2" x14ac:dyDescent="0.35">
      <c r="A385" s="91" t="s">
        <v>5213</v>
      </c>
      <c r="B385" s="9">
        <v>7.5</v>
      </c>
    </row>
    <row r="386" spans="1:2" x14ac:dyDescent="0.35">
      <c r="A386" s="91" t="s">
        <v>3628</v>
      </c>
      <c r="B386" s="9">
        <v>15.2</v>
      </c>
    </row>
    <row r="387" spans="1:2" x14ac:dyDescent="0.35">
      <c r="A387" s="91" t="s">
        <v>5891</v>
      </c>
      <c r="B387" s="9">
        <v>10.5</v>
      </c>
    </row>
    <row r="388" spans="1:2" x14ac:dyDescent="0.35">
      <c r="A388" s="91" t="s">
        <v>3914</v>
      </c>
      <c r="B388" s="9">
        <v>2.5</v>
      </c>
    </row>
    <row r="389" spans="1:2" x14ac:dyDescent="0.35">
      <c r="A389" s="91" t="s">
        <v>231</v>
      </c>
      <c r="B389" s="9">
        <v>14</v>
      </c>
    </row>
    <row r="390" spans="1:2" x14ac:dyDescent="0.35">
      <c r="A390" s="91" t="s">
        <v>2842</v>
      </c>
      <c r="B390" s="9">
        <v>5</v>
      </c>
    </row>
    <row r="391" spans="1:2" x14ac:dyDescent="0.35">
      <c r="A391" s="91" t="s">
        <v>2179</v>
      </c>
      <c r="B391" s="9">
        <v>8.3999999999999986</v>
      </c>
    </row>
    <row r="392" spans="1:2" x14ac:dyDescent="0.35">
      <c r="A392" s="91" t="s">
        <v>3530</v>
      </c>
      <c r="B392" s="9">
        <v>8.8000000000000007</v>
      </c>
    </row>
    <row r="393" spans="1:2" x14ac:dyDescent="0.35">
      <c r="A393" s="91" t="s">
        <v>2633</v>
      </c>
      <c r="B393" s="9">
        <v>14</v>
      </c>
    </row>
    <row r="394" spans="1:2" x14ac:dyDescent="0.35">
      <c r="A394" s="91" t="s">
        <v>1547</v>
      </c>
      <c r="B394" s="9">
        <v>5.6</v>
      </c>
    </row>
    <row r="395" spans="1:2" x14ac:dyDescent="0.35">
      <c r="A395" s="91" t="s">
        <v>2271</v>
      </c>
      <c r="B395" s="9">
        <v>11</v>
      </c>
    </row>
    <row r="396" spans="1:2" x14ac:dyDescent="0.35">
      <c r="A396" s="91" t="s">
        <v>4153</v>
      </c>
      <c r="B396" s="9">
        <v>17.5</v>
      </c>
    </row>
    <row r="397" spans="1:2" x14ac:dyDescent="0.35">
      <c r="A397" s="91" t="s">
        <v>5748</v>
      </c>
      <c r="B397" s="9">
        <v>4.4000000000000004</v>
      </c>
    </row>
    <row r="398" spans="1:2" x14ac:dyDescent="0.35">
      <c r="A398" s="91" t="s">
        <v>2611</v>
      </c>
      <c r="B398" s="9">
        <v>2.8</v>
      </c>
    </row>
    <row r="399" spans="1:2" x14ac:dyDescent="0.35">
      <c r="A399" s="91" t="s">
        <v>5188</v>
      </c>
      <c r="B399" s="9">
        <v>17.5</v>
      </c>
    </row>
    <row r="400" spans="1:2" x14ac:dyDescent="0.35">
      <c r="A400" s="91" t="s">
        <v>3964</v>
      </c>
      <c r="B400" s="9">
        <v>15.2</v>
      </c>
    </row>
    <row r="401" spans="1:2" x14ac:dyDescent="0.35">
      <c r="A401" s="91" t="s">
        <v>182</v>
      </c>
      <c r="B401" s="9">
        <v>11</v>
      </c>
    </row>
    <row r="402" spans="1:2" x14ac:dyDescent="0.35">
      <c r="A402" s="91" t="s">
        <v>4663</v>
      </c>
      <c r="B402" s="9">
        <v>5</v>
      </c>
    </row>
    <row r="403" spans="1:2" x14ac:dyDescent="0.35">
      <c r="A403" s="91" t="s">
        <v>3663</v>
      </c>
      <c r="B403" s="9">
        <v>6.6000000000000005</v>
      </c>
    </row>
    <row r="404" spans="1:2" x14ac:dyDescent="0.35">
      <c r="A404" s="91" t="s">
        <v>3076</v>
      </c>
      <c r="B404" s="9">
        <v>5</v>
      </c>
    </row>
    <row r="405" spans="1:2" x14ac:dyDescent="0.35">
      <c r="A405" s="91" t="s">
        <v>4845</v>
      </c>
      <c r="B405" s="9">
        <v>14</v>
      </c>
    </row>
    <row r="406" spans="1:2" x14ac:dyDescent="0.35">
      <c r="A406" s="91" t="s">
        <v>3223</v>
      </c>
      <c r="B406" s="9">
        <v>6.6000000000000005</v>
      </c>
    </row>
    <row r="407" spans="1:2" x14ac:dyDescent="0.35">
      <c r="A407" s="91" t="s">
        <v>3664</v>
      </c>
      <c r="B407" s="9">
        <v>8.3999999999999986</v>
      </c>
    </row>
    <row r="408" spans="1:2" x14ac:dyDescent="0.35">
      <c r="A408" s="91" t="s">
        <v>1094</v>
      </c>
      <c r="B408" s="9">
        <v>2.5</v>
      </c>
    </row>
    <row r="409" spans="1:2" x14ac:dyDescent="0.35">
      <c r="A409" s="91" t="s">
        <v>4340</v>
      </c>
      <c r="B409" s="9">
        <v>14</v>
      </c>
    </row>
    <row r="410" spans="1:2" x14ac:dyDescent="0.35">
      <c r="A410" s="91" t="s">
        <v>5356</v>
      </c>
      <c r="B410" s="9">
        <v>12.5</v>
      </c>
    </row>
    <row r="411" spans="1:2" x14ac:dyDescent="0.35">
      <c r="A411" s="91" t="s">
        <v>2486</v>
      </c>
      <c r="B411" s="9">
        <v>4.4000000000000004</v>
      </c>
    </row>
    <row r="412" spans="1:2" x14ac:dyDescent="0.35">
      <c r="A412" s="91" t="s">
        <v>151</v>
      </c>
      <c r="B412" s="9">
        <v>19</v>
      </c>
    </row>
    <row r="413" spans="1:2" x14ac:dyDescent="0.35">
      <c r="A413" s="91" t="s">
        <v>4415</v>
      </c>
      <c r="B413" s="9">
        <v>6.6000000000000005</v>
      </c>
    </row>
    <row r="414" spans="1:2" x14ac:dyDescent="0.35">
      <c r="A414" s="91" t="s">
        <v>4429</v>
      </c>
      <c r="B414" s="9">
        <v>7.5</v>
      </c>
    </row>
    <row r="415" spans="1:2" x14ac:dyDescent="0.35">
      <c r="A415" s="91" t="s">
        <v>2398</v>
      </c>
      <c r="B415" s="9">
        <v>6.6000000000000005</v>
      </c>
    </row>
    <row r="416" spans="1:2" x14ac:dyDescent="0.35">
      <c r="A416" s="91" t="s">
        <v>1400</v>
      </c>
      <c r="B416" s="9">
        <v>8.8000000000000007</v>
      </c>
    </row>
    <row r="417" spans="1:2" x14ac:dyDescent="0.35">
      <c r="A417" s="91" t="s">
        <v>2309</v>
      </c>
      <c r="B417" s="9">
        <v>11</v>
      </c>
    </row>
    <row r="418" spans="1:2" x14ac:dyDescent="0.35">
      <c r="A418" s="91" t="s">
        <v>2805</v>
      </c>
      <c r="B418" s="9">
        <v>6.6000000000000005</v>
      </c>
    </row>
    <row r="419" spans="1:2" x14ac:dyDescent="0.35">
      <c r="A419" s="91" t="s">
        <v>4705</v>
      </c>
      <c r="B419" s="9">
        <v>11</v>
      </c>
    </row>
    <row r="420" spans="1:2" x14ac:dyDescent="0.35">
      <c r="A420" s="91" t="s">
        <v>3363</v>
      </c>
      <c r="B420" s="9">
        <v>19</v>
      </c>
    </row>
    <row r="421" spans="1:2" x14ac:dyDescent="0.35">
      <c r="A421" s="91" t="s">
        <v>2663</v>
      </c>
      <c r="B421" s="9">
        <v>11.2</v>
      </c>
    </row>
    <row r="422" spans="1:2" x14ac:dyDescent="0.35">
      <c r="A422" s="91" t="s">
        <v>3410</v>
      </c>
      <c r="B422" s="9">
        <v>10</v>
      </c>
    </row>
    <row r="423" spans="1:2" x14ac:dyDescent="0.35">
      <c r="A423" s="91" t="s">
        <v>5921</v>
      </c>
      <c r="B423" s="9">
        <v>2.2000000000000002</v>
      </c>
    </row>
    <row r="424" spans="1:2" x14ac:dyDescent="0.35">
      <c r="A424" s="91" t="s">
        <v>1691</v>
      </c>
      <c r="B424" s="9">
        <v>11.2</v>
      </c>
    </row>
    <row r="425" spans="1:2" x14ac:dyDescent="0.35">
      <c r="A425" s="91" t="s">
        <v>3309</v>
      </c>
      <c r="B425" s="9">
        <v>6.6000000000000005</v>
      </c>
    </row>
    <row r="426" spans="1:2" x14ac:dyDescent="0.35">
      <c r="A426" s="91" t="s">
        <v>2145</v>
      </c>
      <c r="B426" s="9">
        <v>7.6</v>
      </c>
    </row>
    <row r="427" spans="1:2" x14ac:dyDescent="0.35">
      <c r="A427" s="91" t="s">
        <v>1634</v>
      </c>
      <c r="B427" s="9">
        <v>7.5</v>
      </c>
    </row>
    <row r="428" spans="1:2" x14ac:dyDescent="0.35">
      <c r="A428" s="91" t="s">
        <v>4000</v>
      </c>
      <c r="B428" s="9">
        <v>7.6</v>
      </c>
    </row>
    <row r="429" spans="1:2" x14ac:dyDescent="0.35">
      <c r="A429" s="91" t="s">
        <v>5314</v>
      </c>
      <c r="B429" s="9">
        <v>4.4000000000000004</v>
      </c>
    </row>
    <row r="430" spans="1:2" x14ac:dyDescent="0.35">
      <c r="A430" s="91" t="s">
        <v>3345</v>
      </c>
      <c r="B430" s="9">
        <v>10.5</v>
      </c>
    </row>
    <row r="431" spans="1:2" x14ac:dyDescent="0.35">
      <c r="A431" s="91" t="s">
        <v>2735</v>
      </c>
      <c r="B431" s="9">
        <v>7.5</v>
      </c>
    </row>
    <row r="432" spans="1:2" x14ac:dyDescent="0.35">
      <c r="A432" s="91" t="s">
        <v>617</v>
      </c>
      <c r="B432" s="9">
        <v>7.5</v>
      </c>
    </row>
    <row r="433" spans="1:2" x14ac:dyDescent="0.35">
      <c r="A433" s="91" t="s">
        <v>2664</v>
      </c>
      <c r="B433" s="9">
        <v>8.8000000000000007</v>
      </c>
    </row>
    <row r="434" spans="1:2" x14ac:dyDescent="0.35">
      <c r="A434" s="91" t="s">
        <v>3043</v>
      </c>
      <c r="B434" s="9">
        <v>14</v>
      </c>
    </row>
    <row r="435" spans="1:2" x14ac:dyDescent="0.35">
      <c r="A435" s="91" t="s">
        <v>3813</v>
      </c>
      <c r="B435" s="9">
        <v>15.2</v>
      </c>
    </row>
    <row r="436" spans="1:2" x14ac:dyDescent="0.35">
      <c r="A436" s="91" t="s">
        <v>4706</v>
      </c>
      <c r="B436" s="9">
        <v>14</v>
      </c>
    </row>
    <row r="437" spans="1:2" x14ac:dyDescent="0.35">
      <c r="A437" s="91" t="s">
        <v>3665</v>
      </c>
      <c r="B437" s="9">
        <v>6.6000000000000005</v>
      </c>
    </row>
    <row r="438" spans="1:2" x14ac:dyDescent="0.35">
      <c r="A438" s="91" t="s">
        <v>2824</v>
      </c>
      <c r="B438" s="9">
        <v>11.2</v>
      </c>
    </row>
    <row r="439" spans="1:2" x14ac:dyDescent="0.35">
      <c r="A439" s="91" t="s">
        <v>4963</v>
      </c>
      <c r="B439" s="9">
        <v>11</v>
      </c>
    </row>
    <row r="440" spans="1:2" x14ac:dyDescent="0.35">
      <c r="A440" s="91" t="s">
        <v>4633</v>
      </c>
      <c r="B440" s="9">
        <v>7.6</v>
      </c>
    </row>
    <row r="441" spans="1:2" x14ac:dyDescent="0.35">
      <c r="A441" s="91" t="s">
        <v>3532</v>
      </c>
      <c r="B441" s="9">
        <v>7.5</v>
      </c>
    </row>
    <row r="442" spans="1:2" x14ac:dyDescent="0.35">
      <c r="A442" s="91" t="s">
        <v>4503</v>
      </c>
      <c r="B442" s="9">
        <v>3.5</v>
      </c>
    </row>
    <row r="443" spans="1:2" x14ac:dyDescent="0.35">
      <c r="A443" s="91" t="s">
        <v>3441</v>
      </c>
      <c r="B443" s="9">
        <v>2.2000000000000002</v>
      </c>
    </row>
    <row r="444" spans="1:2" x14ac:dyDescent="0.35">
      <c r="A444" s="91" t="s">
        <v>1339</v>
      </c>
      <c r="B444" s="9">
        <v>2.2000000000000002</v>
      </c>
    </row>
    <row r="445" spans="1:2" x14ac:dyDescent="0.35">
      <c r="A445" s="91" t="s">
        <v>3052</v>
      </c>
      <c r="B445" s="9">
        <v>4.4000000000000004</v>
      </c>
    </row>
    <row r="446" spans="1:2" x14ac:dyDescent="0.35">
      <c r="A446" s="91" t="s">
        <v>3025</v>
      </c>
      <c r="B446" s="9">
        <v>15.2</v>
      </c>
    </row>
    <row r="447" spans="1:2" x14ac:dyDescent="0.35">
      <c r="A447" s="91" t="s">
        <v>2826</v>
      </c>
      <c r="B447" s="9">
        <v>7.6</v>
      </c>
    </row>
    <row r="448" spans="1:2" x14ac:dyDescent="0.35">
      <c r="A448" s="91" t="s">
        <v>2051</v>
      </c>
      <c r="B448" s="9">
        <v>8.8000000000000007</v>
      </c>
    </row>
    <row r="449" spans="1:2" x14ac:dyDescent="0.35">
      <c r="A449" s="91" t="s">
        <v>1354</v>
      </c>
      <c r="B449" s="9">
        <v>7.6</v>
      </c>
    </row>
    <row r="450" spans="1:2" x14ac:dyDescent="0.35">
      <c r="A450" s="91" t="s">
        <v>1274</v>
      </c>
      <c r="B450" s="9">
        <v>5.6</v>
      </c>
    </row>
    <row r="451" spans="1:2" x14ac:dyDescent="0.35">
      <c r="A451" s="91" t="s">
        <v>2559</v>
      </c>
      <c r="B451" s="9">
        <v>14</v>
      </c>
    </row>
    <row r="452" spans="1:2" x14ac:dyDescent="0.35">
      <c r="A452" s="91" t="s">
        <v>1416</v>
      </c>
      <c r="B452" s="9">
        <v>6.6000000000000005</v>
      </c>
    </row>
    <row r="453" spans="1:2" x14ac:dyDescent="0.35">
      <c r="A453" s="91" t="s">
        <v>2627</v>
      </c>
      <c r="B453" s="9">
        <v>14</v>
      </c>
    </row>
    <row r="454" spans="1:2" x14ac:dyDescent="0.35">
      <c r="A454" s="91" t="s">
        <v>1515</v>
      </c>
      <c r="B454" s="9">
        <v>7.6</v>
      </c>
    </row>
    <row r="455" spans="1:2" x14ac:dyDescent="0.35">
      <c r="A455" s="91" t="s">
        <v>3577</v>
      </c>
      <c r="B455" s="9">
        <v>3.8</v>
      </c>
    </row>
    <row r="456" spans="1:2" x14ac:dyDescent="0.35">
      <c r="A456" s="91" t="s">
        <v>5956</v>
      </c>
      <c r="B456" s="9">
        <v>2.5</v>
      </c>
    </row>
    <row r="457" spans="1:2" x14ac:dyDescent="0.35">
      <c r="A457" s="91" t="s">
        <v>3077</v>
      </c>
      <c r="B457" s="9">
        <v>12.5</v>
      </c>
    </row>
    <row r="458" spans="1:2" x14ac:dyDescent="0.35">
      <c r="A458" s="91" t="s">
        <v>4911</v>
      </c>
      <c r="B458" s="9">
        <v>11.2</v>
      </c>
    </row>
    <row r="459" spans="1:2" x14ac:dyDescent="0.35">
      <c r="A459" s="91" t="s">
        <v>2389</v>
      </c>
      <c r="B459" s="9">
        <v>14</v>
      </c>
    </row>
    <row r="460" spans="1:2" x14ac:dyDescent="0.35">
      <c r="A460" s="91" t="s">
        <v>5795</v>
      </c>
      <c r="B460" s="9">
        <v>14</v>
      </c>
    </row>
    <row r="461" spans="1:2" x14ac:dyDescent="0.35">
      <c r="A461" s="91" t="s">
        <v>4297</v>
      </c>
      <c r="B461" s="9">
        <v>7.6</v>
      </c>
    </row>
    <row r="462" spans="1:2" x14ac:dyDescent="0.35">
      <c r="A462" s="91" t="s">
        <v>3107</v>
      </c>
      <c r="B462" s="9">
        <v>14</v>
      </c>
    </row>
    <row r="463" spans="1:2" x14ac:dyDescent="0.35">
      <c r="A463" s="91" t="s">
        <v>5117</v>
      </c>
      <c r="B463" s="9">
        <v>7</v>
      </c>
    </row>
    <row r="464" spans="1:2" x14ac:dyDescent="0.35">
      <c r="A464" s="91" t="s">
        <v>1340</v>
      </c>
      <c r="B464" s="9">
        <v>10</v>
      </c>
    </row>
    <row r="465" spans="1:2" x14ac:dyDescent="0.35">
      <c r="A465" s="91" t="s">
        <v>5010</v>
      </c>
      <c r="B465" s="9">
        <v>19</v>
      </c>
    </row>
    <row r="466" spans="1:2" x14ac:dyDescent="0.35">
      <c r="A466" s="91" t="s">
        <v>726</v>
      </c>
      <c r="B466" s="9">
        <v>2.5</v>
      </c>
    </row>
    <row r="467" spans="1:2" x14ac:dyDescent="0.35">
      <c r="A467" s="91" t="s">
        <v>5609</v>
      </c>
      <c r="B467" s="9">
        <v>8.3999999999999986</v>
      </c>
    </row>
    <row r="468" spans="1:2" x14ac:dyDescent="0.35">
      <c r="A468" s="91" t="s">
        <v>3078</v>
      </c>
      <c r="B468" s="9">
        <v>10</v>
      </c>
    </row>
    <row r="469" spans="1:2" x14ac:dyDescent="0.35">
      <c r="A469" s="91" t="s">
        <v>77</v>
      </c>
      <c r="B469" s="9">
        <v>10</v>
      </c>
    </row>
    <row r="470" spans="1:2" x14ac:dyDescent="0.35">
      <c r="A470" s="91" t="s">
        <v>1138</v>
      </c>
      <c r="B470" s="9">
        <v>19</v>
      </c>
    </row>
    <row r="471" spans="1:2" x14ac:dyDescent="0.35">
      <c r="A471" s="91" t="s">
        <v>3784</v>
      </c>
      <c r="B471" s="9">
        <v>10.5</v>
      </c>
    </row>
    <row r="472" spans="1:2" x14ac:dyDescent="0.35">
      <c r="A472" s="91" t="s">
        <v>5357</v>
      </c>
      <c r="B472" s="9">
        <v>7.5</v>
      </c>
    </row>
    <row r="473" spans="1:2" x14ac:dyDescent="0.35">
      <c r="A473" s="91" t="s">
        <v>4183</v>
      </c>
      <c r="B473" s="9">
        <v>11.399999999999999</v>
      </c>
    </row>
    <row r="474" spans="1:2" x14ac:dyDescent="0.35">
      <c r="A474" s="91" t="s">
        <v>5118</v>
      </c>
      <c r="B474" s="9">
        <v>5</v>
      </c>
    </row>
    <row r="475" spans="1:2" x14ac:dyDescent="0.35">
      <c r="A475" s="91" t="s">
        <v>2323</v>
      </c>
      <c r="B475" s="9">
        <v>6.6000000000000005</v>
      </c>
    </row>
    <row r="476" spans="1:2" x14ac:dyDescent="0.35">
      <c r="A476" s="91" t="s">
        <v>2487</v>
      </c>
      <c r="B476" s="9">
        <v>2.5</v>
      </c>
    </row>
    <row r="477" spans="1:2" x14ac:dyDescent="0.35">
      <c r="A477" s="91" t="s">
        <v>5418</v>
      </c>
      <c r="B477" s="9">
        <v>3.8</v>
      </c>
    </row>
    <row r="478" spans="1:2" x14ac:dyDescent="0.35">
      <c r="A478" s="91" t="s">
        <v>4136</v>
      </c>
      <c r="B478" s="9">
        <v>19</v>
      </c>
    </row>
    <row r="479" spans="1:2" x14ac:dyDescent="0.35">
      <c r="A479" s="91" t="s">
        <v>2400</v>
      </c>
      <c r="B479" s="9">
        <v>14</v>
      </c>
    </row>
    <row r="480" spans="1:2" x14ac:dyDescent="0.35">
      <c r="A480" s="91" t="s">
        <v>5628</v>
      </c>
      <c r="B480" s="9">
        <v>15.2</v>
      </c>
    </row>
    <row r="481" spans="1:2" x14ac:dyDescent="0.35">
      <c r="A481" s="91" t="s">
        <v>2597</v>
      </c>
      <c r="B481" s="9">
        <v>2.2000000000000002</v>
      </c>
    </row>
    <row r="482" spans="1:2" x14ac:dyDescent="0.35">
      <c r="A482" s="91" t="s">
        <v>1045</v>
      </c>
      <c r="B482" s="9">
        <v>5</v>
      </c>
    </row>
    <row r="483" spans="1:2" x14ac:dyDescent="0.35">
      <c r="A483" s="91" t="s">
        <v>23</v>
      </c>
      <c r="B483" s="9">
        <v>7</v>
      </c>
    </row>
    <row r="484" spans="1:2" x14ac:dyDescent="0.35">
      <c r="A484" s="91" t="s">
        <v>5119</v>
      </c>
      <c r="B484" s="9">
        <v>2.8</v>
      </c>
    </row>
    <row r="485" spans="1:2" x14ac:dyDescent="0.35">
      <c r="A485" s="91" t="s">
        <v>3141</v>
      </c>
      <c r="B485" s="9">
        <v>11.2</v>
      </c>
    </row>
    <row r="486" spans="1:2" x14ac:dyDescent="0.35">
      <c r="A486" s="91" t="s">
        <v>2598</v>
      </c>
      <c r="B486" s="9">
        <v>3.8</v>
      </c>
    </row>
    <row r="487" spans="1:2" x14ac:dyDescent="0.35">
      <c r="A487" s="91" t="s">
        <v>1548</v>
      </c>
      <c r="B487" s="9">
        <v>7</v>
      </c>
    </row>
    <row r="488" spans="1:2" x14ac:dyDescent="0.35">
      <c r="A488" s="91" t="s">
        <v>3095</v>
      </c>
      <c r="B488" s="9">
        <v>11.399999999999999</v>
      </c>
    </row>
    <row r="489" spans="1:2" x14ac:dyDescent="0.35">
      <c r="A489" s="91" t="s">
        <v>3905</v>
      </c>
      <c r="B489" s="9">
        <v>4.4000000000000004</v>
      </c>
    </row>
    <row r="490" spans="1:2" x14ac:dyDescent="0.35">
      <c r="A490" s="91" t="s">
        <v>5784</v>
      </c>
      <c r="B490" s="9">
        <v>2.8</v>
      </c>
    </row>
    <row r="491" spans="1:2" x14ac:dyDescent="0.35">
      <c r="A491" s="91" t="s">
        <v>114</v>
      </c>
      <c r="B491" s="9">
        <v>7.6</v>
      </c>
    </row>
    <row r="492" spans="1:2" x14ac:dyDescent="0.35">
      <c r="A492" s="91" t="s">
        <v>5937</v>
      </c>
      <c r="B492" s="9">
        <v>2.8</v>
      </c>
    </row>
    <row r="493" spans="1:2" x14ac:dyDescent="0.35">
      <c r="A493" s="91" t="s">
        <v>2635</v>
      </c>
      <c r="B493" s="9">
        <v>7</v>
      </c>
    </row>
    <row r="494" spans="1:2" x14ac:dyDescent="0.35">
      <c r="A494" s="91" t="s">
        <v>4865</v>
      </c>
      <c r="B494" s="9">
        <v>12.5</v>
      </c>
    </row>
    <row r="495" spans="1:2" x14ac:dyDescent="0.35">
      <c r="A495" s="91" t="s">
        <v>3837</v>
      </c>
      <c r="B495" s="9">
        <v>15.2</v>
      </c>
    </row>
    <row r="496" spans="1:2" x14ac:dyDescent="0.35">
      <c r="A496" s="91" t="s">
        <v>3142</v>
      </c>
      <c r="B496" s="9">
        <v>12.5</v>
      </c>
    </row>
    <row r="497" spans="1:2" x14ac:dyDescent="0.35">
      <c r="A497" s="91" t="s">
        <v>1911</v>
      </c>
      <c r="B497" s="9">
        <v>7.6</v>
      </c>
    </row>
    <row r="498" spans="1:2" x14ac:dyDescent="0.35">
      <c r="A498" s="91" t="s">
        <v>5707</v>
      </c>
      <c r="B498" s="9">
        <v>8.8000000000000007</v>
      </c>
    </row>
    <row r="499" spans="1:2" x14ac:dyDescent="0.35">
      <c r="A499" s="91" t="s">
        <v>6003</v>
      </c>
      <c r="B499" s="9">
        <v>17.5</v>
      </c>
    </row>
    <row r="500" spans="1:2" x14ac:dyDescent="0.35">
      <c r="A500" s="91" t="s">
        <v>5253</v>
      </c>
      <c r="B500" s="9">
        <v>10</v>
      </c>
    </row>
    <row r="501" spans="1:2" x14ac:dyDescent="0.35">
      <c r="A501" s="91" t="s">
        <v>1096</v>
      </c>
      <c r="B501" s="9">
        <v>3.8</v>
      </c>
    </row>
    <row r="502" spans="1:2" x14ac:dyDescent="0.35">
      <c r="A502" s="91" t="s">
        <v>3144</v>
      </c>
      <c r="B502" s="9">
        <v>3.5</v>
      </c>
    </row>
    <row r="503" spans="1:2" x14ac:dyDescent="0.35">
      <c r="A503" s="91" t="s">
        <v>4287</v>
      </c>
      <c r="B503" s="9">
        <v>11.399999999999999</v>
      </c>
    </row>
    <row r="504" spans="1:2" x14ac:dyDescent="0.35">
      <c r="A504" s="91" t="s">
        <v>760</v>
      </c>
      <c r="B504" s="9">
        <v>8.3999999999999986</v>
      </c>
    </row>
    <row r="505" spans="1:2" x14ac:dyDescent="0.35">
      <c r="A505" s="91" t="s">
        <v>5734</v>
      </c>
      <c r="B505" s="9">
        <v>7</v>
      </c>
    </row>
    <row r="506" spans="1:2" x14ac:dyDescent="0.35">
      <c r="A506" s="91" t="s">
        <v>4218</v>
      </c>
      <c r="B506" s="9">
        <v>19</v>
      </c>
    </row>
    <row r="507" spans="1:2" x14ac:dyDescent="0.35">
      <c r="A507" s="91" t="s">
        <v>2789</v>
      </c>
      <c r="B507" s="9">
        <v>3.5</v>
      </c>
    </row>
    <row r="508" spans="1:2" x14ac:dyDescent="0.35">
      <c r="A508" s="91" t="s">
        <v>1846</v>
      </c>
      <c r="B508" s="9">
        <v>3.5</v>
      </c>
    </row>
    <row r="509" spans="1:2" x14ac:dyDescent="0.35">
      <c r="A509" s="91" t="s">
        <v>3053</v>
      </c>
      <c r="B509" s="9">
        <v>11.2</v>
      </c>
    </row>
    <row r="510" spans="1:2" x14ac:dyDescent="0.35">
      <c r="A510" s="91" t="s">
        <v>4273</v>
      </c>
      <c r="B510" s="9">
        <v>19</v>
      </c>
    </row>
    <row r="511" spans="1:2" x14ac:dyDescent="0.35">
      <c r="A511" s="91" t="s">
        <v>5358</v>
      </c>
      <c r="B511" s="9">
        <v>10</v>
      </c>
    </row>
    <row r="512" spans="1:2" x14ac:dyDescent="0.35">
      <c r="A512" s="91" t="s">
        <v>2180</v>
      </c>
      <c r="B512" s="9">
        <v>11</v>
      </c>
    </row>
    <row r="513" spans="1:2" x14ac:dyDescent="0.35">
      <c r="A513" s="91" t="s">
        <v>5849</v>
      </c>
      <c r="B513" s="9">
        <v>3.8</v>
      </c>
    </row>
    <row r="514" spans="1:2" x14ac:dyDescent="0.35">
      <c r="A514" s="91" t="s">
        <v>2736</v>
      </c>
      <c r="B514" s="9">
        <v>5</v>
      </c>
    </row>
    <row r="515" spans="1:2" x14ac:dyDescent="0.35">
      <c r="A515" s="91" t="s">
        <v>4545</v>
      </c>
      <c r="B515" s="9">
        <v>7.5</v>
      </c>
    </row>
    <row r="516" spans="1:2" x14ac:dyDescent="0.35">
      <c r="A516" s="91" t="s">
        <v>1516</v>
      </c>
      <c r="B516" s="9">
        <v>2.8</v>
      </c>
    </row>
    <row r="517" spans="1:2" x14ac:dyDescent="0.35">
      <c r="A517" s="91" t="s">
        <v>2778</v>
      </c>
      <c r="B517" s="9">
        <v>19</v>
      </c>
    </row>
    <row r="518" spans="1:2" x14ac:dyDescent="0.35">
      <c r="A518" s="91" t="s">
        <v>4066</v>
      </c>
      <c r="B518" s="9">
        <v>7.5</v>
      </c>
    </row>
    <row r="519" spans="1:2" x14ac:dyDescent="0.35">
      <c r="A519" s="91" t="s">
        <v>5265</v>
      </c>
      <c r="B519" s="9">
        <v>11.2</v>
      </c>
    </row>
    <row r="520" spans="1:2" x14ac:dyDescent="0.35">
      <c r="A520" s="91" t="s">
        <v>661</v>
      </c>
      <c r="B520" s="9">
        <v>10</v>
      </c>
    </row>
    <row r="521" spans="1:2" x14ac:dyDescent="0.35">
      <c r="A521" s="91" t="s">
        <v>2325</v>
      </c>
      <c r="B521" s="9">
        <v>22.4</v>
      </c>
    </row>
    <row r="522" spans="1:2" x14ac:dyDescent="0.35">
      <c r="A522" s="91" t="s">
        <v>4867</v>
      </c>
      <c r="B522" s="9">
        <v>19</v>
      </c>
    </row>
    <row r="523" spans="1:2" x14ac:dyDescent="0.35">
      <c r="A523" s="91" t="s">
        <v>2146</v>
      </c>
      <c r="B523" s="9">
        <v>2.2000000000000002</v>
      </c>
    </row>
    <row r="524" spans="1:2" x14ac:dyDescent="0.35">
      <c r="A524" s="91" t="s">
        <v>3054</v>
      </c>
      <c r="B524" s="9">
        <v>12.5</v>
      </c>
    </row>
    <row r="525" spans="1:2" x14ac:dyDescent="0.35">
      <c r="A525" s="91" t="s">
        <v>2272</v>
      </c>
      <c r="B525" s="9">
        <v>10</v>
      </c>
    </row>
    <row r="526" spans="1:2" x14ac:dyDescent="0.35">
      <c r="A526" s="91" t="s">
        <v>3213</v>
      </c>
      <c r="B526" s="9">
        <v>3.5</v>
      </c>
    </row>
    <row r="527" spans="1:2" x14ac:dyDescent="0.35">
      <c r="A527" s="91" t="s">
        <v>2053</v>
      </c>
      <c r="B527" s="9">
        <v>8.3999999999999986</v>
      </c>
    </row>
    <row r="528" spans="1:2" x14ac:dyDescent="0.35">
      <c r="A528" s="91" t="s">
        <v>812</v>
      </c>
      <c r="B528" s="9">
        <v>11.399999999999999</v>
      </c>
    </row>
    <row r="529" spans="1:2" x14ac:dyDescent="0.35">
      <c r="A529" s="91" t="s">
        <v>4137</v>
      </c>
      <c r="B529" s="9">
        <v>3.5</v>
      </c>
    </row>
    <row r="530" spans="1:2" x14ac:dyDescent="0.35">
      <c r="A530" s="91" t="s">
        <v>2235</v>
      </c>
      <c r="B530" s="9">
        <v>17.5</v>
      </c>
    </row>
    <row r="531" spans="1:2" x14ac:dyDescent="0.35">
      <c r="A531" s="91" t="s">
        <v>2104</v>
      </c>
      <c r="B531" s="9">
        <v>8.3999999999999986</v>
      </c>
    </row>
    <row r="532" spans="1:2" x14ac:dyDescent="0.35">
      <c r="A532" s="91" t="s">
        <v>4241</v>
      </c>
      <c r="B532" s="9">
        <v>14</v>
      </c>
    </row>
    <row r="533" spans="1:2" x14ac:dyDescent="0.35">
      <c r="A533" s="91" t="s">
        <v>5254</v>
      </c>
      <c r="B533" s="9">
        <v>11</v>
      </c>
    </row>
    <row r="534" spans="1:2" x14ac:dyDescent="0.35">
      <c r="A534" s="91" t="s">
        <v>2274</v>
      </c>
      <c r="B534" s="9">
        <v>5</v>
      </c>
    </row>
    <row r="535" spans="1:2" x14ac:dyDescent="0.35">
      <c r="A535" s="91" t="s">
        <v>2958</v>
      </c>
      <c r="B535" s="9">
        <v>10.5</v>
      </c>
    </row>
    <row r="536" spans="1:2" x14ac:dyDescent="0.35">
      <c r="A536" s="91" t="s">
        <v>1234</v>
      </c>
      <c r="B536" s="9">
        <v>2.2000000000000002</v>
      </c>
    </row>
    <row r="537" spans="1:2" x14ac:dyDescent="0.35">
      <c r="A537" s="91" t="s">
        <v>5850</v>
      </c>
      <c r="B537" s="9">
        <v>8.3999999999999986</v>
      </c>
    </row>
    <row r="538" spans="1:2" x14ac:dyDescent="0.35">
      <c r="A538" s="91" t="s">
        <v>1518</v>
      </c>
      <c r="B538" s="9">
        <v>8.3999999999999986</v>
      </c>
    </row>
    <row r="539" spans="1:2" x14ac:dyDescent="0.35">
      <c r="A539" s="91" t="s">
        <v>5610</v>
      </c>
      <c r="B539" s="9">
        <v>8.8000000000000007</v>
      </c>
    </row>
    <row r="540" spans="1:2" x14ac:dyDescent="0.35">
      <c r="A540" s="91" t="s">
        <v>4651</v>
      </c>
      <c r="B540" s="9">
        <v>3.5</v>
      </c>
    </row>
    <row r="541" spans="1:2" x14ac:dyDescent="0.35">
      <c r="A541" s="91" t="s">
        <v>2297</v>
      </c>
      <c r="B541" s="9">
        <v>11.2</v>
      </c>
    </row>
    <row r="542" spans="1:2" x14ac:dyDescent="0.35">
      <c r="A542" s="91" t="s">
        <v>3726</v>
      </c>
      <c r="B542" s="9">
        <v>7</v>
      </c>
    </row>
    <row r="543" spans="1:2" x14ac:dyDescent="0.35">
      <c r="A543" s="91" t="s">
        <v>3689</v>
      </c>
      <c r="B543" s="9">
        <v>12.5</v>
      </c>
    </row>
    <row r="544" spans="1:2" x14ac:dyDescent="0.35">
      <c r="A544" s="91" t="s">
        <v>5592</v>
      </c>
      <c r="B544" s="9">
        <v>10</v>
      </c>
    </row>
    <row r="545" spans="1:2" x14ac:dyDescent="0.35">
      <c r="A545" s="91" t="s">
        <v>5680</v>
      </c>
      <c r="B545" s="9">
        <v>11.399999999999999</v>
      </c>
    </row>
    <row r="546" spans="1:2" x14ac:dyDescent="0.35">
      <c r="A546" s="91" t="s">
        <v>5087</v>
      </c>
      <c r="B546" s="9">
        <v>10.5</v>
      </c>
    </row>
    <row r="547" spans="1:2" x14ac:dyDescent="0.35">
      <c r="A547" s="91" t="s">
        <v>2762</v>
      </c>
      <c r="B547" s="9">
        <v>5.6</v>
      </c>
    </row>
    <row r="548" spans="1:2" x14ac:dyDescent="0.35">
      <c r="A548" s="91" t="s">
        <v>3785</v>
      </c>
      <c r="B548" s="9">
        <v>3.8</v>
      </c>
    </row>
    <row r="549" spans="1:2" x14ac:dyDescent="0.35">
      <c r="A549" s="91" t="s">
        <v>2191</v>
      </c>
      <c r="B549" s="9">
        <v>5.6</v>
      </c>
    </row>
    <row r="550" spans="1:2" x14ac:dyDescent="0.35">
      <c r="A550" s="91" t="s">
        <v>1766</v>
      </c>
      <c r="B550" s="9">
        <v>10</v>
      </c>
    </row>
    <row r="551" spans="1:2" x14ac:dyDescent="0.35">
      <c r="A551" s="91" t="s">
        <v>5457</v>
      </c>
      <c r="B551" s="9">
        <v>14</v>
      </c>
    </row>
    <row r="552" spans="1:2" x14ac:dyDescent="0.35">
      <c r="A552" s="91" t="s">
        <v>1693</v>
      </c>
      <c r="B552" s="9">
        <v>8.3999999999999986</v>
      </c>
    </row>
    <row r="553" spans="1:2" x14ac:dyDescent="0.35">
      <c r="A553" s="91" t="s">
        <v>5315</v>
      </c>
      <c r="B553" s="9">
        <v>5</v>
      </c>
    </row>
    <row r="554" spans="1:2" x14ac:dyDescent="0.35">
      <c r="A554" s="91" t="s">
        <v>5255</v>
      </c>
      <c r="B554" s="9">
        <v>12.5</v>
      </c>
    </row>
    <row r="555" spans="1:2" x14ac:dyDescent="0.35">
      <c r="A555" s="91" t="s">
        <v>2237</v>
      </c>
      <c r="B555" s="9">
        <v>2.2000000000000002</v>
      </c>
    </row>
    <row r="556" spans="1:2" x14ac:dyDescent="0.35">
      <c r="A556" s="91" t="s">
        <v>3610</v>
      </c>
      <c r="B556" s="9">
        <v>10</v>
      </c>
    </row>
    <row r="557" spans="1:2" x14ac:dyDescent="0.35">
      <c r="A557" s="91" t="s">
        <v>2941</v>
      </c>
      <c r="B557" s="9">
        <v>8.3999999999999986</v>
      </c>
    </row>
    <row r="558" spans="1:2" x14ac:dyDescent="0.35">
      <c r="A558" s="91" t="s">
        <v>3533</v>
      </c>
      <c r="B558" s="9">
        <v>12.5</v>
      </c>
    </row>
    <row r="559" spans="1:2" x14ac:dyDescent="0.35">
      <c r="A559" s="91" t="s">
        <v>3016</v>
      </c>
      <c r="B559" s="9">
        <v>8.3999999999999986</v>
      </c>
    </row>
    <row r="560" spans="1:2" x14ac:dyDescent="0.35">
      <c r="A560" s="91" t="s">
        <v>4154</v>
      </c>
      <c r="B560" s="9">
        <v>14</v>
      </c>
    </row>
    <row r="561" spans="1:2" x14ac:dyDescent="0.35">
      <c r="A561" s="91" t="s">
        <v>1591</v>
      </c>
      <c r="B561" s="9">
        <v>5.6</v>
      </c>
    </row>
    <row r="562" spans="1:2" x14ac:dyDescent="0.35">
      <c r="A562" s="91" t="s">
        <v>3935</v>
      </c>
      <c r="B562" s="9">
        <v>4.4000000000000004</v>
      </c>
    </row>
    <row r="563" spans="1:2" x14ac:dyDescent="0.35">
      <c r="A563" s="91" t="s">
        <v>2076</v>
      </c>
      <c r="B563" s="9">
        <v>7</v>
      </c>
    </row>
    <row r="564" spans="1:2" x14ac:dyDescent="0.35">
      <c r="A564" s="91" t="s">
        <v>2077</v>
      </c>
      <c r="B564" s="9">
        <v>10.5</v>
      </c>
    </row>
    <row r="565" spans="1:2" x14ac:dyDescent="0.35">
      <c r="A565" s="91" t="s">
        <v>3459</v>
      </c>
      <c r="B565" s="9">
        <v>5</v>
      </c>
    </row>
    <row r="566" spans="1:2" x14ac:dyDescent="0.35">
      <c r="A566" s="91" t="s">
        <v>2999</v>
      </c>
      <c r="B566" s="9">
        <v>4.4000000000000004</v>
      </c>
    </row>
    <row r="567" spans="1:2" x14ac:dyDescent="0.35">
      <c r="A567" s="91" t="s">
        <v>5256</v>
      </c>
      <c r="B567" s="9">
        <v>14</v>
      </c>
    </row>
    <row r="568" spans="1:2" x14ac:dyDescent="0.35">
      <c r="A568" s="91" t="s">
        <v>5343</v>
      </c>
      <c r="B568" s="9">
        <v>11.2</v>
      </c>
    </row>
    <row r="569" spans="1:2" x14ac:dyDescent="0.35">
      <c r="A569" s="91" t="s">
        <v>605</v>
      </c>
      <c r="B569" s="9">
        <v>2.2000000000000002</v>
      </c>
    </row>
    <row r="570" spans="1:2" x14ac:dyDescent="0.35">
      <c r="A570" s="91" t="s">
        <v>5892</v>
      </c>
      <c r="B570" s="9">
        <v>2.2000000000000002</v>
      </c>
    </row>
    <row r="571" spans="1:2" x14ac:dyDescent="0.35">
      <c r="A571" s="91" t="s">
        <v>1665</v>
      </c>
      <c r="B571" s="9">
        <v>3.8</v>
      </c>
    </row>
    <row r="572" spans="1:2" x14ac:dyDescent="0.35">
      <c r="A572" s="91" t="s">
        <v>1680</v>
      </c>
      <c r="B572" s="9">
        <v>7.6</v>
      </c>
    </row>
    <row r="573" spans="1:2" x14ac:dyDescent="0.35">
      <c r="A573" s="91" t="s">
        <v>882</v>
      </c>
      <c r="B573" s="9">
        <v>12.5</v>
      </c>
    </row>
    <row r="574" spans="1:2" x14ac:dyDescent="0.35">
      <c r="A574" s="91" t="s">
        <v>2028</v>
      </c>
      <c r="B574" s="9">
        <v>19</v>
      </c>
    </row>
    <row r="575" spans="1:2" x14ac:dyDescent="0.35">
      <c r="A575" s="91" t="s">
        <v>1611</v>
      </c>
      <c r="B575" s="9">
        <v>17.5</v>
      </c>
    </row>
    <row r="576" spans="1:2" x14ac:dyDescent="0.35">
      <c r="A576" s="91" t="s">
        <v>1470</v>
      </c>
      <c r="B576" s="9">
        <v>2.2000000000000002</v>
      </c>
    </row>
    <row r="577" spans="1:2" x14ac:dyDescent="0.35">
      <c r="A577" s="91" t="s">
        <v>5011</v>
      </c>
      <c r="B577" s="9">
        <v>3.8</v>
      </c>
    </row>
    <row r="578" spans="1:2" x14ac:dyDescent="0.35">
      <c r="A578" s="91" t="s">
        <v>5039</v>
      </c>
      <c r="B578" s="9">
        <v>8.3999999999999986</v>
      </c>
    </row>
    <row r="579" spans="1:2" x14ac:dyDescent="0.35">
      <c r="A579" s="91" t="s">
        <v>1417</v>
      </c>
      <c r="B579" s="9">
        <v>11.399999999999999</v>
      </c>
    </row>
    <row r="580" spans="1:2" x14ac:dyDescent="0.35">
      <c r="A580" s="91" t="s">
        <v>4165</v>
      </c>
      <c r="B580" s="9">
        <v>11</v>
      </c>
    </row>
    <row r="581" spans="1:2" x14ac:dyDescent="0.35">
      <c r="A581" s="91" t="s">
        <v>4932</v>
      </c>
      <c r="B581" s="9">
        <v>7</v>
      </c>
    </row>
    <row r="582" spans="1:2" x14ac:dyDescent="0.35">
      <c r="A582" s="91" t="s">
        <v>2959</v>
      </c>
      <c r="B582" s="9">
        <v>11.399999999999999</v>
      </c>
    </row>
    <row r="583" spans="1:2" x14ac:dyDescent="0.35">
      <c r="A583" s="91" t="s">
        <v>5821</v>
      </c>
      <c r="B583" s="9">
        <v>14</v>
      </c>
    </row>
    <row r="584" spans="1:2" x14ac:dyDescent="0.35">
      <c r="A584" s="91" t="s">
        <v>5012</v>
      </c>
      <c r="B584" s="9">
        <v>4.4000000000000004</v>
      </c>
    </row>
    <row r="585" spans="1:2" x14ac:dyDescent="0.35">
      <c r="A585" s="91" t="s">
        <v>1962</v>
      </c>
      <c r="B585" s="9">
        <v>17.5</v>
      </c>
    </row>
    <row r="586" spans="1:2" x14ac:dyDescent="0.35">
      <c r="A586" s="91" t="s">
        <v>4138</v>
      </c>
      <c r="B586" s="9">
        <v>5.6</v>
      </c>
    </row>
    <row r="587" spans="1:2" x14ac:dyDescent="0.35">
      <c r="A587" s="91" t="s">
        <v>1894</v>
      </c>
      <c r="B587" s="9">
        <v>11.2</v>
      </c>
    </row>
    <row r="588" spans="1:2" x14ac:dyDescent="0.35">
      <c r="A588" s="91" t="s">
        <v>1635</v>
      </c>
      <c r="B588" s="9">
        <v>8.8000000000000007</v>
      </c>
    </row>
    <row r="589" spans="1:2" x14ac:dyDescent="0.35">
      <c r="A589" s="91" t="s">
        <v>1121</v>
      </c>
      <c r="B589" s="9">
        <v>10</v>
      </c>
    </row>
    <row r="590" spans="1:2" x14ac:dyDescent="0.35">
      <c r="A590" s="91" t="s">
        <v>1122</v>
      </c>
      <c r="B590" s="9">
        <v>2.8</v>
      </c>
    </row>
    <row r="591" spans="1:2" x14ac:dyDescent="0.35">
      <c r="A591" s="91" t="s">
        <v>1895</v>
      </c>
      <c r="B591" s="9">
        <v>6.6000000000000005</v>
      </c>
    </row>
    <row r="592" spans="1:2" x14ac:dyDescent="0.35">
      <c r="A592" s="91" t="s">
        <v>5957</v>
      </c>
      <c r="B592" s="9">
        <v>5</v>
      </c>
    </row>
    <row r="593" spans="1:2" x14ac:dyDescent="0.35">
      <c r="A593" s="91" t="s">
        <v>3936</v>
      </c>
      <c r="B593" s="9">
        <v>5</v>
      </c>
    </row>
    <row r="594" spans="1:2" x14ac:dyDescent="0.35">
      <c r="A594" s="91" t="s">
        <v>5419</v>
      </c>
      <c r="B594" s="9">
        <v>7</v>
      </c>
    </row>
    <row r="595" spans="1:2" x14ac:dyDescent="0.35">
      <c r="A595" s="91" t="s">
        <v>3000</v>
      </c>
      <c r="B595" s="9">
        <v>6.6000000000000005</v>
      </c>
    </row>
    <row r="596" spans="1:2" x14ac:dyDescent="0.35">
      <c r="A596" s="91" t="s">
        <v>2054</v>
      </c>
      <c r="B596" s="9">
        <v>8.3999999999999986</v>
      </c>
    </row>
    <row r="597" spans="1:2" x14ac:dyDescent="0.35">
      <c r="A597" s="91" t="s">
        <v>2560</v>
      </c>
      <c r="B597" s="9">
        <v>10</v>
      </c>
    </row>
    <row r="598" spans="1:2" x14ac:dyDescent="0.35">
      <c r="A598" s="91" t="s">
        <v>5390</v>
      </c>
      <c r="B598" s="9">
        <v>8.8000000000000007</v>
      </c>
    </row>
    <row r="599" spans="1:2" x14ac:dyDescent="0.35">
      <c r="A599" s="91" t="s">
        <v>4559</v>
      </c>
      <c r="B599" s="9">
        <v>12.5</v>
      </c>
    </row>
    <row r="600" spans="1:2" x14ac:dyDescent="0.35">
      <c r="A600" s="91" t="s">
        <v>1519</v>
      </c>
      <c r="B600" s="9">
        <v>10</v>
      </c>
    </row>
    <row r="601" spans="1:2" x14ac:dyDescent="0.35">
      <c r="A601" s="91" t="s">
        <v>2780</v>
      </c>
      <c r="B601" s="9">
        <v>8.8000000000000007</v>
      </c>
    </row>
    <row r="602" spans="1:2" x14ac:dyDescent="0.35">
      <c r="A602" s="91" t="s">
        <v>4964</v>
      </c>
      <c r="B602" s="9">
        <v>10</v>
      </c>
    </row>
    <row r="603" spans="1:2" x14ac:dyDescent="0.35">
      <c r="A603" s="91" t="s">
        <v>967</v>
      </c>
      <c r="B603" s="9">
        <v>2.8</v>
      </c>
    </row>
    <row r="604" spans="1:2" x14ac:dyDescent="0.35">
      <c r="A604" s="91" t="s">
        <v>3893</v>
      </c>
      <c r="B604" s="9">
        <v>11</v>
      </c>
    </row>
    <row r="605" spans="1:2" x14ac:dyDescent="0.35">
      <c r="A605" s="91" t="s">
        <v>3509</v>
      </c>
      <c r="B605" s="9">
        <v>15.2</v>
      </c>
    </row>
    <row r="606" spans="1:2" x14ac:dyDescent="0.35">
      <c r="A606" s="91" t="s">
        <v>5062</v>
      </c>
      <c r="B606" s="9">
        <v>11</v>
      </c>
    </row>
    <row r="607" spans="1:2" x14ac:dyDescent="0.35">
      <c r="A607" s="91" t="s">
        <v>4441</v>
      </c>
      <c r="B607" s="9">
        <v>7</v>
      </c>
    </row>
    <row r="608" spans="1:2" x14ac:dyDescent="0.35">
      <c r="A608" s="91" t="s">
        <v>2612</v>
      </c>
      <c r="B608" s="9">
        <v>2.8</v>
      </c>
    </row>
    <row r="609" spans="1:2" x14ac:dyDescent="0.35">
      <c r="A609" s="91" t="s">
        <v>1325</v>
      </c>
      <c r="B609" s="9">
        <v>2.5</v>
      </c>
    </row>
    <row r="610" spans="1:2" x14ac:dyDescent="0.35">
      <c r="A610" s="91" t="s">
        <v>2489</v>
      </c>
      <c r="B610" s="9">
        <v>10.5</v>
      </c>
    </row>
    <row r="611" spans="1:2" x14ac:dyDescent="0.35">
      <c r="A611" s="91" t="s">
        <v>4098</v>
      </c>
      <c r="B611" s="9">
        <v>7</v>
      </c>
    </row>
    <row r="612" spans="1:2" x14ac:dyDescent="0.35">
      <c r="A612" s="91" t="s">
        <v>1068</v>
      </c>
      <c r="B612" s="9">
        <v>6.6000000000000005</v>
      </c>
    </row>
    <row r="613" spans="1:2" x14ac:dyDescent="0.35">
      <c r="A613" s="91" t="s">
        <v>1744</v>
      </c>
      <c r="B613" s="9">
        <v>14</v>
      </c>
    </row>
    <row r="614" spans="1:2" x14ac:dyDescent="0.35">
      <c r="A614" s="91" t="s">
        <v>2310</v>
      </c>
      <c r="B614" s="9">
        <v>19</v>
      </c>
    </row>
    <row r="615" spans="1:2" x14ac:dyDescent="0.35">
      <c r="A615" s="91" t="s">
        <v>4946</v>
      </c>
      <c r="B615" s="9">
        <v>7.5</v>
      </c>
    </row>
    <row r="616" spans="1:2" x14ac:dyDescent="0.35">
      <c r="A616" s="91" t="s">
        <v>3181</v>
      </c>
      <c r="B616" s="9">
        <v>8.3999999999999986</v>
      </c>
    </row>
    <row r="617" spans="1:2" x14ac:dyDescent="0.35">
      <c r="A617" s="91" t="s">
        <v>3295</v>
      </c>
      <c r="B617" s="9">
        <v>6.6000000000000005</v>
      </c>
    </row>
    <row r="618" spans="1:2" x14ac:dyDescent="0.35">
      <c r="A618" s="91" t="s">
        <v>2636</v>
      </c>
      <c r="B618" s="9">
        <v>8.8000000000000007</v>
      </c>
    </row>
    <row r="619" spans="1:2" x14ac:dyDescent="0.35">
      <c r="A619" s="91" t="s">
        <v>5344</v>
      </c>
      <c r="B619" s="9">
        <v>17.5</v>
      </c>
    </row>
    <row r="620" spans="1:2" x14ac:dyDescent="0.35">
      <c r="A620" s="91" t="s">
        <v>814</v>
      </c>
      <c r="B620" s="9">
        <v>10</v>
      </c>
    </row>
    <row r="621" spans="1:2" x14ac:dyDescent="0.35">
      <c r="A621" s="91" t="s">
        <v>1297</v>
      </c>
      <c r="B621" s="9">
        <v>11.399999999999999</v>
      </c>
    </row>
    <row r="622" spans="1:2" x14ac:dyDescent="0.35">
      <c r="A622" s="91" t="s">
        <v>5629</v>
      </c>
      <c r="B622" s="9">
        <v>8.8000000000000007</v>
      </c>
    </row>
    <row r="623" spans="1:2" x14ac:dyDescent="0.35">
      <c r="A623" s="91" t="s">
        <v>2193</v>
      </c>
      <c r="B623" s="9">
        <v>8.3999999999999986</v>
      </c>
    </row>
    <row r="624" spans="1:2" x14ac:dyDescent="0.35">
      <c r="A624" s="91" t="s">
        <v>3611</v>
      </c>
      <c r="B624" s="9">
        <v>3.5</v>
      </c>
    </row>
    <row r="625" spans="1:2" x14ac:dyDescent="0.35">
      <c r="A625" s="91" t="s">
        <v>2311</v>
      </c>
      <c r="B625" s="9">
        <v>2.2000000000000002</v>
      </c>
    </row>
    <row r="626" spans="1:2" x14ac:dyDescent="0.35">
      <c r="A626" s="91" t="s">
        <v>2356</v>
      </c>
      <c r="B626" s="9">
        <v>8.8000000000000007</v>
      </c>
    </row>
    <row r="627" spans="1:2" x14ac:dyDescent="0.35">
      <c r="A627" s="91" t="s">
        <v>5131</v>
      </c>
      <c r="B627" s="9">
        <v>2.2000000000000002</v>
      </c>
    </row>
    <row r="628" spans="1:2" x14ac:dyDescent="0.35">
      <c r="A628" s="91" t="s">
        <v>3753</v>
      </c>
      <c r="B628" s="9">
        <v>8.8000000000000007</v>
      </c>
    </row>
    <row r="629" spans="1:2" x14ac:dyDescent="0.35">
      <c r="A629" s="91" t="s">
        <v>3381</v>
      </c>
      <c r="B629" s="9">
        <v>10.5</v>
      </c>
    </row>
    <row r="630" spans="1:2" x14ac:dyDescent="0.35">
      <c r="A630" s="91" t="s">
        <v>5822</v>
      </c>
      <c r="B630" s="9">
        <v>8.3999999999999986</v>
      </c>
    </row>
    <row r="631" spans="1:2" x14ac:dyDescent="0.35">
      <c r="A631" s="91" t="s">
        <v>3953</v>
      </c>
      <c r="B631" s="9">
        <v>10</v>
      </c>
    </row>
    <row r="632" spans="1:2" x14ac:dyDescent="0.35">
      <c r="A632" s="91" t="s">
        <v>3690</v>
      </c>
      <c r="B632" s="9">
        <v>7.5</v>
      </c>
    </row>
    <row r="633" spans="1:2" x14ac:dyDescent="0.35">
      <c r="A633" s="91" t="s">
        <v>4854</v>
      </c>
      <c r="B633" s="9">
        <v>10.5</v>
      </c>
    </row>
    <row r="634" spans="1:2" x14ac:dyDescent="0.35">
      <c r="A634" s="91" t="s">
        <v>5014</v>
      </c>
      <c r="B634" s="9">
        <v>11.399999999999999</v>
      </c>
    </row>
    <row r="635" spans="1:2" x14ac:dyDescent="0.35">
      <c r="A635" s="91" t="s">
        <v>858</v>
      </c>
      <c r="B635" s="9">
        <v>2.2000000000000002</v>
      </c>
    </row>
    <row r="636" spans="1:2" x14ac:dyDescent="0.35">
      <c r="A636" s="91" t="s">
        <v>1963</v>
      </c>
      <c r="B636" s="9">
        <v>7.6</v>
      </c>
    </row>
    <row r="637" spans="1:2" x14ac:dyDescent="0.35">
      <c r="A637" s="91" t="s">
        <v>1694</v>
      </c>
      <c r="B637" s="9">
        <v>10</v>
      </c>
    </row>
    <row r="638" spans="1:2" x14ac:dyDescent="0.35">
      <c r="A638" s="91" t="s">
        <v>1249</v>
      </c>
      <c r="B638" s="9">
        <v>5</v>
      </c>
    </row>
    <row r="639" spans="1:2" x14ac:dyDescent="0.35">
      <c r="A639" s="91" t="s">
        <v>2549</v>
      </c>
      <c r="B639" s="9">
        <v>5.6</v>
      </c>
    </row>
    <row r="640" spans="1:2" x14ac:dyDescent="0.35">
      <c r="A640" s="91" t="s">
        <v>816</v>
      </c>
      <c r="B640" s="9">
        <v>6.6000000000000005</v>
      </c>
    </row>
    <row r="641" spans="1:2" x14ac:dyDescent="0.35">
      <c r="A641" s="91" t="s">
        <v>4086</v>
      </c>
      <c r="B641" s="9">
        <v>19</v>
      </c>
    </row>
    <row r="642" spans="1:2" x14ac:dyDescent="0.35">
      <c r="A642" s="91" t="s">
        <v>1847</v>
      </c>
      <c r="B642" s="9">
        <v>12.5</v>
      </c>
    </row>
    <row r="643" spans="1:2" x14ac:dyDescent="0.35">
      <c r="A643" s="91" t="s">
        <v>3240</v>
      </c>
      <c r="B643" s="9">
        <v>14</v>
      </c>
    </row>
    <row r="644" spans="1:2" x14ac:dyDescent="0.35">
      <c r="A644" s="91" t="s">
        <v>5071</v>
      </c>
      <c r="B644" s="9">
        <v>2.2000000000000002</v>
      </c>
    </row>
    <row r="645" spans="1:2" x14ac:dyDescent="0.35">
      <c r="A645" s="91" t="s">
        <v>4855</v>
      </c>
      <c r="B645" s="9">
        <v>2.2000000000000002</v>
      </c>
    </row>
    <row r="646" spans="1:2" x14ac:dyDescent="0.35">
      <c r="A646" s="91" t="s">
        <v>5169</v>
      </c>
      <c r="B646" s="9">
        <v>11.2</v>
      </c>
    </row>
    <row r="647" spans="1:2" x14ac:dyDescent="0.35">
      <c r="A647" s="91" t="s">
        <v>1506</v>
      </c>
      <c r="B647" s="9">
        <v>4.4000000000000004</v>
      </c>
    </row>
    <row r="648" spans="1:2" x14ac:dyDescent="0.35">
      <c r="A648" s="91" t="s">
        <v>4912</v>
      </c>
      <c r="B648" s="9">
        <v>8.8000000000000007</v>
      </c>
    </row>
    <row r="649" spans="1:2" x14ac:dyDescent="0.35">
      <c r="A649" s="91" t="s">
        <v>4694</v>
      </c>
      <c r="B649" s="9">
        <v>19</v>
      </c>
    </row>
    <row r="650" spans="1:2" x14ac:dyDescent="0.35">
      <c r="A650" s="91" t="s">
        <v>5316</v>
      </c>
      <c r="B650" s="9">
        <v>3.5</v>
      </c>
    </row>
    <row r="651" spans="1:2" x14ac:dyDescent="0.35">
      <c r="A651" s="91" t="s">
        <v>5189</v>
      </c>
      <c r="B651" s="9">
        <v>7.6</v>
      </c>
    </row>
    <row r="652" spans="1:2" x14ac:dyDescent="0.35">
      <c r="A652" s="91" t="s">
        <v>5774</v>
      </c>
      <c r="B652" s="9">
        <v>2.2000000000000002</v>
      </c>
    </row>
    <row r="653" spans="1:2" x14ac:dyDescent="0.35">
      <c r="A653" s="91" t="s">
        <v>2357</v>
      </c>
      <c r="B653" s="9">
        <v>8.3999999999999986</v>
      </c>
    </row>
    <row r="654" spans="1:2" x14ac:dyDescent="0.35">
      <c r="A654" s="91" t="s">
        <v>1786</v>
      </c>
      <c r="B654" s="9">
        <v>15.2</v>
      </c>
    </row>
    <row r="655" spans="1:2" x14ac:dyDescent="0.35">
      <c r="A655" s="91" t="s">
        <v>3547</v>
      </c>
      <c r="B655" s="9">
        <v>14</v>
      </c>
    </row>
    <row r="656" spans="1:2" x14ac:dyDescent="0.35">
      <c r="A656" s="91" t="s">
        <v>1767</v>
      </c>
      <c r="B656" s="9">
        <v>8.3999999999999986</v>
      </c>
    </row>
    <row r="657" spans="1:2" x14ac:dyDescent="0.35">
      <c r="A657" s="91" t="s">
        <v>4257</v>
      </c>
      <c r="B657" s="9">
        <v>10</v>
      </c>
    </row>
    <row r="658" spans="1:2" x14ac:dyDescent="0.35">
      <c r="A658" s="91" t="s">
        <v>533</v>
      </c>
      <c r="B658" s="9">
        <v>14</v>
      </c>
    </row>
    <row r="659" spans="1:2" x14ac:dyDescent="0.35">
      <c r="A659" s="91" t="s">
        <v>5300</v>
      </c>
      <c r="B659" s="9">
        <v>8.3999999999999986</v>
      </c>
    </row>
    <row r="660" spans="1:2" x14ac:dyDescent="0.35">
      <c r="A660" s="91" t="s">
        <v>4324</v>
      </c>
      <c r="B660" s="9">
        <v>8.3999999999999986</v>
      </c>
    </row>
    <row r="661" spans="1:2" x14ac:dyDescent="0.35">
      <c r="A661" s="91" t="s">
        <v>3534</v>
      </c>
      <c r="B661" s="9">
        <v>14</v>
      </c>
    </row>
    <row r="662" spans="1:2" x14ac:dyDescent="0.35">
      <c r="A662" s="91" t="s">
        <v>207</v>
      </c>
      <c r="B662" s="9">
        <v>5</v>
      </c>
    </row>
    <row r="663" spans="1:2" x14ac:dyDescent="0.35">
      <c r="A663" s="91" t="s">
        <v>5420</v>
      </c>
      <c r="B663" s="9">
        <v>2.8</v>
      </c>
    </row>
    <row r="664" spans="1:2" x14ac:dyDescent="0.35">
      <c r="A664" s="91" t="s">
        <v>2056</v>
      </c>
      <c r="B664" s="9">
        <v>8.3999999999999986</v>
      </c>
    </row>
    <row r="665" spans="1:2" x14ac:dyDescent="0.35">
      <c r="A665" s="91" t="s">
        <v>3838</v>
      </c>
      <c r="B665" s="9">
        <v>11</v>
      </c>
    </row>
    <row r="666" spans="1:2" x14ac:dyDescent="0.35">
      <c r="A666" s="91" t="s">
        <v>535</v>
      </c>
      <c r="B666" s="9">
        <v>2.8</v>
      </c>
    </row>
    <row r="667" spans="1:2" x14ac:dyDescent="0.35">
      <c r="A667" s="91" t="s">
        <v>5540</v>
      </c>
      <c r="B667" s="9">
        <v>19</v>
      </c>
    </row>
    <row r="668" spans="1:2" x14ac:dyDescent="0.35">
      <c r="A668" s="91" t="s">
        <v>1769</v>
      </c>
      <c r="B668" s="9">
        <v>2.8</v>
      </c>
    </row>
    <row r="669" spans="1:2" x14ac:dyDescent="0.35">
      <c r="A669" s="91" t="s">
        <v>5063</v>
      </c>
      <c r="B669" s="9">
        <v>7</v>
      </c>
    </row>
    <row r="670" spans="1:2" x14ac:dyDescent="0.35">
      <c r="A670" s="91" t="s">
        <v>3460</v>
      </c>
      <c r="B670" s="9">
        <v>7</v>
      </c>
    </row>
    <row r="671" spans="1:2" x14ac:dyDescent="0.35">
      <c r="A671" s="91" t="s">
        <v>4113</v>
      </c>
      <c r="B671" s="9">
        <v>2.8</v>
      </c>
    </row>
    <row r="672" spans="1:2" x14ac:dyDescent="0.35">
      <c r="A672" s="91" t="s">
        <v>883</v>
      </c>
      <c r="B672" s="9">
        <v>11</v>
      </c>
    </row>
    <row r="673" spans="1:2" x14ac:dyDescent="0.35">
      <c r="A673" s="91" t="s">
        <v>2702</v>
      </c>
      <c r="B673" s="9">
        <v>7.6</v>
      </c>
    </row>
    <row r="674" spans="1:2" x14ac:dyDescent="0.35">
      <c r="A674" s="91" t="s">
        <v>1787</v>
      </c>
      <c r="B674" s="9">
        <v>10</v>
      </c>
    </row>
    <row r="675" spans="1:2" x14ac:dyDescent="0.35">
      <c r="A675" s="91" t="s">
        <v>4325</v>
      </c>
      <c r="B675" s="9">
        <v>10.5</v>
      </c>
    </row>
    <row r="676" spans="1:2" x14ac:dyDescent="0.35">
      <c r="A676" s="91" t="s">
        <v>4001</v>
      </c>
      <c r="B676" s="9">
        <v>2.2000000000000002</v>
      </c>
    </row>
    <row r="677" spans="1:2" x14ac:dyDescent="0.35">
      <c r="A677" s="91" t="s">
        <v>5301</v>
      </c>
      <c r="B677" s="9">
        <v>3.8</v>
      </c>
    </row>
    <row r="678" spans="1:2" x14ac:dyDescent="0.35">
      <c r="A678" s="91" t="s">
        <v>3123</v>
      </c>
      <c r="B678" s="9">
        <v>7.5</v>
      </c>
    </row>
    <row r="679" spans="1:2" x14ac:dyDescent="0.35">
      <c r="A679" s="91" t="s">
        <v>3442</v>
      </c>
      <c r="B679" s="9">
        <v>8.3999999999999986</v>
      </c>
    </row>
    <row r="680" spans="1:2" x14ac:dyDescent="0.35">
      <c r="A680" s="91" t="s">
        <v>116</v>
      </c>
      <c r="B680" s="9">
        <v>12.5</v>
      </c>
    </row>
    <row r="681" spans="1:2" x14ac:dyDescent="0.35">
      <c r="A681" s="91" t="s">
        <v>5708</v>
      </c>
      <c r="B681" s="9">
        <v>15.2</v>
      </c>
    </row>
    <row r="682" spans="1:2" x14ac:dyDescent="0.35">
      <c r="A682" s="91" t="s">
        <v>619</v>
      </c>
      <c r="B682" s="9">
        <v>3.5</v>
      </c>
    </row>
    <row r="683" spans="1:2" x14ac:dyDescent="0.35">
      <c r="A683" s="91" t="s">
        <v>2683</v>
      </c>
      <c r="B683" s="9">
        <v>19</v>
      </c>
    </row>
    <row r="684" spans="1:2" x14ac:dyDescent="0.35">
      <c r="A684" s="91" t="s">
        <v>4341</v>
      </c>
      <c r="B684" s="9">
        <v>5</v>
      </c>
    </row>
    <row r="685" spans="1:2" x14ac:dyDescent="0.35">
      <c r="A685" s="91" t="s">
        <v>3346</v>
      </c>
      <c r="B685" s="9">
        <v>7.6</v>
      </c>
    </row>
    <row r="686" spans="1:2" x14ac:dyDescent="0.35">
      <c r="A686" s="91" t="s">
        <v>5879</v>
      </c>
      <c r="B686" s="9">
        <v>11</v>
      </c>
    </row>
    <row r="687" spans="1:2" x14ac:dyDescent="0.35">
      <c r="A687" s="91" t="s">
        <v>4430</v>
      </c>
      <c r="B687" s="9">
        <v>14</v>
      </c>
    </row>
    <row r="688" spans="1:2" x14ac:dyDescent="0.35">
      <c r="A688" s="91" t="s">
        <v>5593</v>
      </c>
      <c r="B688" s="9">
        <v>17.5</v>
      </c>
    </row>
    <row r="689" spans="1:2" x14ac:dyDescent="0.35">
      <c r="A689" s="91" t="s">
        <v>4055</v>
      </c>
      <c r="B689" s="9">
        <v>10</v>
      </c>
    </row>
    <row r="690" spans="1:2" x14ac:dyDescent="0.35">
      <c r="A690" s="91" t="s">
        <v>2909</v>
      </c>
      <c r="B690" s="9">
        <v>8.3999999999999986</v>
      </c>
    </row>
    <row r="691" spans="1:2" x14ac:dyDescent="0.35">
      <c r="A691" s="91" t="s">
        <v>3548</v>
      </c>
      <c r="B691" s="9">
        <v>4.4000000000000004</v>
      </c>
    </row>
    <row r="692" spans="1:2" x14ac:dyDescent="0.35">
      <c r="A692" s="91" t="s">
        <v>1507</v>
      </c>
      <c r="B692" s="9">
        <v>14</v>
      </c>
    </row>
    <row r="693" spans="1:2" x14ac:dyDescent="0.35">
      <c r="A693" s="91" t="s">
        <v>1745</v>
      </c>
      <c r="B693" s="9">
        <v>2.2000000000000002</v>
      </c>
    </row>
    <row r="694" spans="1:2" x14ac:dyDescent="0.35">
      <c r="A694" s="91" t="s">
        <v>574</v>
      </c>
      <c r="B694" s="9">
        <v>2.5</v>
      </c>
    </row>
    <row r="695" spans="1:2" x14ac:dyDescent="0.35">
      <c r="A695" s="91" t="s">
        <v>282</v>
      </c>
      <c r="B695" s="9">
        <v>19</v>
      </c>
    </row>
    <row r="696" spans="1:2" x14ac:dyDescent="0.35">
      <c r="A696" s="91" t="s">
        <v>5611</v>
      </c>
      <c r="B696" s="9">
        <v>10</v>
      </c>
    </row>
    <row r="697" spans="1:2" x14ac:dyDescent="0.35">
      <c r="A697" s="91" t="s">
        <v>6012</v>
      </c>
      <c r="B697" s="9">
        <v>6.6000000000000005</v>
      </c>
    </row>
    <row r="698" spans="1:2" x14ac:dyDescent="0.35">
      <c r="A698" s="91" t="s">
        <v>2854</v>
      </c>
      <c r="B698" s="9">
        <v>7</v>
      </c>
    </row>
    <row r="699" spans="1:2" x14ac:dyDescent="0.35">
      <c r="A699" s="91" t="s">
        <v>5666</v>
      </c>
      <c r="B699" s="9">
        <v>2.5</v>
      </c>
    </row>
    <row r="700" spans="1:2" x14ac:dyDescent="0.35">
      <c r="A700" s="91" t="s">
        <v>251</v>
      </c>
      <c r="B700" s="9">
        <v>10</v>
      </c>
    </row>
    <row r="701" spans="1:2" x14ac:dyDescent="0.35">
      <c r="A701" s="91" t="s">
        <v>5290</v>
      </c>
      <c r="B701" s="9">
        <v>2.2000000000000002</v>
      </c>
    </row>
    <row r="702" spans="1:2" x14ac:dyDescent="0.35">
      <c r="A702" s="91" t="s">
        <v>818</v>
      </c>
      <c r="B702" s="9">
        <v>17.5</v>
      </c>
    </row>
    <row r="703" spans="1:2" x14ac:dyDescent="0.35">
      <c r="A703" s="91" t="s">
        <v>5806</v>
      </c>
      <c r="B703" s="9">
        <v>14</v>
      </c>
    </row>
    <row r="704" spans="1:2" x14ac:dyDescent="0.35">
      <c r="A704" s="91" t="s">
        <v>2402</v>
      </c>
      <c r="B704" s="9">
        <v>6.6000000000000005</v>
      </c>
    </row>
    <row r="705" spans="1:2" x14ac:dyDescent="0.35">
      <c r="A705" s="91" t="s">
        <v>2972</v>
      </c>
      <c r="B705" s="9">
        <v>14</v>
      </c>
    </row>
    <row r="706" spans="1:2" x14ac:dyDescent="0.35">
      <c r="A706" s="91" t="s">
        <v>1171</v>
      </c>
      <c r="B706" s="9">
        <v>14</v>
      </c>
    </row>
    <row r="707" spans="1:2" x14ac:dyDescent="0.35">
      <c r="A707" s="91" t="s">
        <v>363</v>
      </c>
      <c r="B707" s="9">
        <v>11</v>
      </c>
    </row>
    <row r="708" spans="1:2" x14ac:dyDescent="0.35">
      <c r="A708" s="91" t="s">
        <v>4468</v>
      </c>
      <c r="B708" s="9">
        <v>10</v>
      </c>
    </row>
    <row r="709" spans="1:2" x14ac:dyDescent="0.35">
      <c r="A709" s="91" t="s">
        <v>1047</v>
      </c>
      <c r="B709" s="9">
        <v>12.5</v>
      </c>
    </row>
    <row r="710" spans="1:2" x14ac:dyDescent="0.35">
      <c r="A710" s="91" t="s">
        <v>5317</v>
      </c>
      <c r="B710" s="9">
        <v>4.4000000000000004</v>
      </c>
    </row>
    <row r="711" spans="1:2" x14ac:dyDescent="0.35">
      <c r="A711" s="91" t="s">
        <v>2373</v>
      </c>
      <c r="B711" s="9">
        <v>7</v>
      </c>
    </row>
    <row r="712" spans="1:2" x14ac:dyDescent="0.35">
      <c r="A712" s="91" t="s">
        <v>2910</v>
      </c>
      <c r="B712" s="9">
        <v>11.399999999999999</v>
      </c>
    </row>
    <row r="713" spans="1:2" x14ac:dyDescent="0.35">
      <c r="A713" s="91" t="s">
        <v>3650</v>
      </c>
      <c r="B713" s="9">
        <v>6.6000000000000005</v>
      </c>
    </row>
    <row r="714" spans="1:2" x14ac:dyDescent="0.35">
      <c r="A714" s="91" t="s">
        <v>885</v>
      </c>
      <c r="B714" s="9">
        <v>5</v>
      </c>
    </row>
    <row r="715" spans="1:2" x14ac:dyDescent="0.35">
      <c r="A715" s="91" t="s">
        <v>1401</v>
      </c>
      <c r="B715" s="9">
        <v>5</v>
      </c>
    </row>
    <row r="716" spans="1:2" x14ac:dyDescent="0.35">
      <c r="A716" s="91" t="s">
        <v>4155</v>
      </c>
      <c r="B716" s="9">
        <v>19</v>
      </c>
    </row>
    <row r="717" spans="1:2" x14ac:dyDescent="0.35">
      <c r="A717" s="91" t="s">
        <v>2456</v>
      </c>
      <c r="B717" s="9">
        <v>12.5</v>
      </c>
    </row>
    <row r="718" spans="1:2" x14ac:dyDescent="0.35">
      <c r="A718" s="91" t="s">
        <v>2638</v>
      </c>
      <c r="B718" s="9">
        <v>4.4000000000000004</v>
      </c>
    </row>
    <row r="719" spans="1:2" x14ac:dyDescent="0.35">
      <c r="A719" s="91" t="s">
        <v>3612</v>
      </c>
      <c r="B719" s="9">
        <v>11.2</v>
      </c>
    </row>
    <row r="720" spans="1:2" x14ac:dyDescent="0.35">
      <c r="A720" s="91" t="s">
        <v>4442</v>
      </c>
      <c r="B720" s="9">
        <v>2.2000000000000002</v>
      </c>
    </row>
    <row r="721" spans="1:2" x14ac:dyDescent="0.35">
      <c r="A721" s="91" t="s">
        <v>5214</v>
      </c>
      <c r="B721" s="9">
        <v>7.5</v>
      </c>
    </row>
    <row r="722" spans="1:2" x14ac:dyDescent="0.35">
      <c r="A722" s="91" t="s">
        <v>5720</v>
      </c>
      <c r="B722" s="9">
        <v>10</v>
      </c>
    </row>
    <row r="723" spans="1:2" x14ac:dyDescent="0.35">
      <c r="A723" s="91" t="s">
        <v>4978</v>
      </c>
      <c r="B723" s="9">
        <v>11.2</v>
      </c>
    </row>
    <row r="724" spans="1:2" x14ac:dyDescent="0.35">
      <c r="A724" s="91" t="s">
        <v>1771</v>
      </c>
      <c r="B724" s="9">
        <v>19</v>
      </c>
    </row>
    <row r="725" spans="1:2" x14ac:dyDescent="0.35">
      <c r="A725" s="91" t="s">
        <v>887</v>
      </c>
      <c r="B725" s="9">
        <v>5</v>
      </c>
    </row>
    <row r="726" spans="1:2" x14ac:dyDescent="0.35">
      <c r="A726" s="91" t="s">
        <v>1592</v>
      </c>
      <c r="B726" s="9">
        <v>5</v>
      </c>
    </row>
    <row r="727" spans="1:2" x14ac:dyDescent="0.35">
      <c r="A727" s="91" t="s">
        <v>5649</v>
      </c>
      <c r="B727" s="9">
        <v>2.8</v>
      </c>
    </row>
    <row r="728" spans="1:2" x14ac:dyDescent="0.35">
      <c r="A728" s="91" t="s">
        <v>4598</v>
      </c>
      <c r="B728" s="9">
        <v>11</v>
      </c>
    </row>
    <row r="729" spans="1:2" x14ac:dyDescent="0.35">
      <c r="A729" s="91" t="s">
        <v>5215</v>
      </c>
      <c r="B729" s="9">
        <v>10.5</v>
      </c>
    </row>
    <row r="730" spans="1:2" x14ac:dyDescent="0.35">
      <c r="A730" s="91" t="s">
        <v>5146</v>
      </c>
      <c r="B730" s="9">
        <v>7.6</v>
      </c>
    </row>
    <row r="731" spans="1:2" x14ac:dyDescent="0.35">
      <c r="A731" s="91" t="s">
        <v>5257</v>
      </c>
      <c r="B731" s="9">
        <v>7.6</v>
      </c>
    </row>
    <row r="732" spans="1:2" x14ac:dyDescent="0.35">
      <c r="A732" s="91" t="s">
        <v>4486</v>
      </c>
      <c r="B732" s="9">
        <v>14</v>
      </c>
    </row>
    <row r="733" spans="1:2" x14ac:dyDescent="0.35">
      <c r="A733" s="91" t="s">
        <v>3864</v>
      </c>
      <c r="B733" s="9">
        <v>11.2</v>
      </c>
    </row>
    <row r="734" spans="1:2" x14ac:dyDescent="0.35">
      <c r="A734" s="91" t="s">
        <v>2791</v>
      </c>
      <c r="B734" s="9">
        <v>4.4000000000000004</v>
      </c>
    </row>
    <row r="735" spans="1:2" x14ac:dyDescent="0.35">
      <c r="A735" s="91" t="s">
        <v>5922</v>
      </c>
      <c r="B735" s="9">
        <v>8.3999999999999986</v>
      </c>
    </row>
    <row r="736" spans="1:2" x14ac:dyDescent="0.35">
      <c r="A736" s="91" t="s">
        <v>5376</v>
      </c>
      <c r="B736" s="9">
        <v>10</v>
      </c>
    </row>
    <row r="737" spans="1:2" x14ac:dyDescent="0.35">
      <c r="A737" s="91" t="s">
        <v>4018</v>
      </c>
      <c r="B737" s="9">
        <v>6.6000000000000005</v>
      </c>
    </row>
    <row r="738" spans="1:2" x14ac:dyDescent="0.35">
      <c r="A738" s="91" t="s">
        <v>1637</v>
      </c>
      <c r="B738" s="9">
        <v>15.2</v>
      </c>
    </row>
    <row r="739" spans="1:2" x14ac:dyDescent="0.35">
      <c r="A739" s="91" t="s">
        <v>1829</v>
      </c>
      <c r="B739" s="9">
        <v>2.8</v>
      </c>
    </row>
    <row r="740" spans="1:2" x14ac:dyDescent="0.35">
      <c r="A740" s="91" t="s">
        <v>2792</v>
      </c>
      <c r="B740" s="9">
        <v>6.6000000000000005</v>
      </c>
    </row>
    <row r="741" spans="1:2" x14ac:dyDescent="0.35">
      <c r="A741" s="91" t="s">
        <v>4166</v>
      </c>
      <c r="B741" s="9">
        <v>10.5</v>
      </c>
    </row>
    <row r="742" spans="1:2" x14ac:dyDescent="0.35">
      <c r="A742" s="91" t="s">
        <v>4019</v>
      </c>
      <c r="B742" s="9">
        <v>14</v>
      </c>
    </row>
    <row r="743" spans="1:2" x14ac:dyDescent="0.35">
      <c r="A743" s="91" t="s">
        <v>1981</v>
      </c>
      <c r="B743" s="9">
        <v>8.8000000000000007</v>
      </c>
    </row>
    <row r="744" spans="1:2" x14ac:dyDescent="0.35">
      <c r="A744" s="91" t="s">
        <v>2855</v>
      </c>
      <c r="B744" s="9">
        <v>7.5</v>
      </c>
    </row>
    <row r="745" spans="1:2" x14ac:dyDescent="0.35">
      <c r="A745" s="91" t="s">
        <v>3906</v>
      </c>
      <c r="B745" s="9">
        <v>7</v>
      </c>
    </row>
    <row r="746" spans="1:2" x14ac:dyDescent="0.35">
      <c r="A746" s="91" t="s">
        <v>4619</v>
      </c>
      <c r="B746" s="9">
        <v>12.5</v>
      </c>
    </row>
    <row r="747" spans="1:2" x14ac:dyDescent="0.35">
      <c r="A747" s="91" t="s">
        <v>5681</v>
      </c>
      <c r="B747" s="9">
        <v>5.6</v>
      </c>
    </row>
    <row r="748" spans="1:2" x14ac:dyDescent="0.35">
      <c r="A748" s="91" t="s">
        <v>1733</v>
      </c>
      <c r="B748" s="9">
        <v>5.6</v>
      </c>
    </row>
    <row r="749" spans="1:2" x14ac:dyDescent="0.35">
      <c r="A749" s="91" t="s">
        <v>1402</v>
      </c>
      <c r="B749" s="9">
        <v>14</v>
      </c>
    </row>
    <row r="750" spans="1:2" x14ac:dyDescent="0.35">
      <c r="A750" s="91" t="s">
        <v>2015</v>
      </c>
      <c r="B750" s="9">
        <v>2.5</v>
      </c>
    </row>
    <row r="751" spans="1:2" x14ac:dyDescent="0.35">
      <c r="A751" s="91" t="s">
        <v>4621</v>
      </c>
      <c r="B751" s="9">
        <v>6.6000000000000005</v>
      </c>
    </row>
    <row r="752" spans="1:2" x14ac:dyDescent="0.35">
      <c r="A752" s="91" t="s">
        <v>4856</v>
      </c>
      <c r="B752" s="9">
        <v>2.5</v>
      </c>
    </row>
    <row r="753" spans="1:2" x14ac:dyDescent="0.35">
      <c r="A753" s="91" t="s">
        <v>4516</v>
      </c>
      <c r="B753" s="9">
        <v>12.5</v>
      </c>
    </row>
    <row r="754" spans="1:2" x14ac:dyDescent="0.35">
      <c r="A754" s="91" t="s">
        <v>1192</v>
      </c>
      <c r="B754" s="9">
        <v>4.4000000000000004</v>
      </c>
    </row>
    <row r="755" spans="1:2" x14ac:dyDescent="0.35">
      <c r="A755" s="91" t="s">
        <v>4569</v>
      </c>
      <c r="B755" s="9">
        <v>7.5</v>
      </c>
    </row>
    <row r="756" spans="1:2" x14ac:dyDescent="0.35">
      <c r="A756" s="91" t="s">
        <v>3224</v>
      </c>
      <c r="B756" s="9">
        <v>3.8</v>
      </c>
    </row>
    <row r="757" spans="1:2" x14ac:dyDescent="0.35">
      <c r="A757" s="91" t="s">
        <v>3799</v>
      </c>
      <c r="B757" s="9">
        <v>8.3999999999999986</v>
      </c>
    </row>
    <row r="758" spans="1:2" x14ac:dyDescent="0.35">
      <c r="A758" s="91" t="s">
        <v>1404</v>
      </c>
      <c r="B758" s="9">
        <v>11.399999999999999</v>
      </c>
    </row>
    <row r="759" spans="1:2" x14ac:dyDescent="0.35">
      <c r="A759" s="91" t="s">
        <v>2895</v>
      </c>
      <c r="B759" s="9">
        <v>2.2000000000000002</v>
      </c>
    </row>
    <row r="760" spans="1:2" x14ac:dyDescent="0.35">
      <c r="A760" s="91" t="s">
        <v>4020</v>
      </c>
      <c r="B760" s="9">
        <v>14</v>
      </c>
    </row>
    <row r="761" spans="1:2" x14ac:dyDescent="0.35">
      <c r="A761" s="91" t="s">
        <v>3754</v>
      </c>
      <c r="B761" s="9">
        <v>15.2</v>
      </c>
    </row>
    <row r="762" spans="1:2" x14ac:dyDescent="0.35">
      <c r="A762" s="91" t="s">
        <v>4067</v>
      </c>
      <c r="B762" s="9">
        <v>17.5</v>
      </c>
    </row>
    <row r="763" spans="1:2" x14ac:dyDescent="0.35">
      <c r="A763" s="91" t="s">
        <v>3937</v>
      </c>
      <c r="B763" s="9">
        <v>7.5</v>
      </c>
    </row>
    <row r="764" spans="1:2" x14ac:dyDescent="0.35">
      <c r="A764" s="91" t="s">
        <v>2106</v>
      </c>
      <c r="B764" s="9">
        <v>7.5</v>
      </c>
    </row>
    <row r="765" spans="1:2" x14ac:dyDescent="0.35">
      <c r="A765" s="91" t="s">
        <v>4885</v>
      </c>
      <c r="B765" s="9">
        <v>11.399999999999999</v>
      </c>
    </row>
    <row r="766" spans="1:2" x14ac:dyDescent="0.35">
      <c r="A766" s="91" t="s">
        <v>4991</v>
      </c>
      <c r="B766" s="9">
        <v>3.8</v>
      </c>
    </row>
    <row r="767" spans="1:2" x14ac:dyDescent="0.35">
      <c r="A767" s="91" t="s">
        <v>5630</v>
      </c>
      <c r="B767" s="9">
        <v>2.5</v>
      </c>
    </row>
    <row r="768" spans="1:2" x14ac:dyDescent="0.35">
      <c r="A768" s="91" t="s">
        <v>2238</v>
      </c>
      <c r="B768" s="9">
        <v>2.5</v>
      </c>
    </row>
    <row r="769" spans="1:2" x14ac:dyDescent="0.35">
      <c r="A769" s="91" t="s">
        <v>699</v>
      </c>
      <c r="B769" s="9">
        <v>2.8</v>
      </c>
    </row>
    <row r="770" spans="1:2" x14ac:dyDescent="0.35">
      <c r="A770" s="91" t="s">
        <v>1298</v>
      </c>
      <c r="B770" s="9">
        <v>5</v>
      </c>
    </row>
    <row r="771" spans="1:2" x14ac:dyDescent="0.35">
      <c r="A771" s="91" t="s">
        <v>5796</v>
      </c>
      <c r="B771" s="9">
        <v>7.6</v>
      </c>
    </row>
    <row r="772" spans="1:2" x14ac:dyDescent="0.35">
      <c r="A772" s="91" t="s">
        <v>385</v>
      </c>
      <c r="B772" s="9">
        <v>11</v>
      </c>
    </row>
    <row r="773" spans="1:2" x14ac:dyDescent="0.35">
      <c r="A773" s="91" t="s">
        <v>2490</v>
      </c>
      <c r="B773" s="9">
        <v>11.399999999999999</v>
      </c>
    </row>
    <row r="774" spans="1:2" x14ac:dyDescent="0.35">
      <c r="A774" s="91" t="s">
        <v>1772</v>
      </c>
      <c r="B774" s="9">
        <v>10</v>
      </c>
    </row>
    <row r="775" spans="1:2" x14ac:dyDescent="0.35">
      <c r="A775" s="91" t="s">
        <v>2298</v>
      </c>
      <c r="B775" s="9">
        <v>11.2</v>
      </c>
    </row>
    <row r="776" spans="1:2" x14ac:dyDescent="0.35">
      <c r="A776" s="91" t="s">
        <v>5040</v>
      </c>
      <c r="B776" s="9">
        <v>6.6000000000000005</v>
      </c>
    </row>
    <row r="777" spans="1:2" x14ac:dyDescent="0.35">
      <c r="A777" s="91" t="s">
        <v>1913</v>
      </c>
      <c r="B777" s="9">
        <v>5</v>
      </c>
    </row>
    <row r="778" spans="1:2" x14ac:dyDescent="0.35">
      <c r="A778" s="91" t="s">
        <v>5577</v>
      </c>
      <c r="B778" s="9">
        <v>11</v>
      </c>
    </row>
    <row r="779" spans="1:2" x14ac:dyDescent="0.35">
      <c r="A779" s="91" t="s">
        <v>5107</v>
      </c>
      <c r="B779" s="9">
        <v>3.5</v>
      </c>
    </row>
    <row r="780" spans="1:2" x14ac:dyDescent="0.35">
      <c r="A780" s="91" t="s">
        <v>1457</v>
      </c>
      <c r="B780" s="9">
        <v>10</v>
      </c>
    </row>
    <row r="781" spans="1:2" x14ac:dyDescent="0.35">
      <c r="A781" s="91" t="s">
        <v>2782</v>
      </c>
      <c r="B781" s="9">
        <v>15.2</v>
      </c>
    </row>
    <row r="782" spans="1:2" x14ac:dyDescent="0.35">
      <c r="A782" s="91" t="s">
        <v>2195</v>
      </c>
      <c r="B782" s="9">
        <v>2.2000000000000002</v>
      </c>
    </row>
    <row r="783" spans="1:2" x14ac:dyDescent="0.35">
      <c r="A783" s="91" t="s">
        <v>283</v>
      </c>
      <c r="B783" s="9">
        <v>11</v>
      </c>
    </row>
    <row r="784" spans="1:2" x14ac:dyDescent="0.35">
      <c r="A784" s="91" t="s">
        <v>4167</v>
      </c>
      <c r="B784" s="9">
        <v>14</v>
      </c>
    </row>
    <row r="785" spans="1:2" x14ac:dyDescent="0.35">
      <c r="A785" s="91" t="s">
        <v>1341</v>
      </c>
      <c r="B785" s="9">
        <v>11</v>
      </c>
    </row>
    <row r="786" spans="1:2" x14ac:dyDescent="0.35">
      <c r="A786" s="91" t="s">
        <v>1172</v>
      </c>
      <c r="B786" s="9">
        <v>11.2</v>
      </c>
    </row>
    <row r="787" spans="1:2" x14ac:dyDescent="0.35">
      <c r="A787" s="91" t="s">
        <v>5190</v>
      </c>
      <c r="B787" s="9">
        <v>7</v>
      </c>
    </row>
    <row r="788" spans="1:2" x14ac:dyDescent="0.35">
      <c r="A788" s="91" t="s">
        <v>2793</v>
      </c>
      <c r="B788" s="9">
        <v>3.8</v>
      </c>
    </row>
    <row r="789" spans="1:2" x14ac:dyDescent="0.35">
      <c r="A789" s="91" t="s">
        <v>2491</v>
      </c>
      <c r="B789" s="9">
        <v>7.5</v>
      </c>
    </row>
    <row r="790" spans="1:2" x14ac:dyDescent="0.35">
      <c r="A790" s="91" t="s">
        <v>1373</v>
      </c>
      <c r="B790" s="9">
        <v>8.3999999999999986</v>
      </c>
    </row>
    <row r="791" spans="1:2" x14ac:dyDescent="0.35">
      <c r="A791" s="91" t="s">
        <v>5029</v>
      </c>
      <c r="B791" s="9">
        <v>5</v>
      </c>
    </row>
    <row r="792" spans="1:2" x14ac:dyDescent="0.35">
      <c r="A792" s="91" t="s">
        <v>387</v>
      </c>
      <c r="B792" s="9">
        <v>14</v>
      </c>
    </row>
    <row r="793" spans="1:2" x14ac:dyDescent="0.35">
      <c r="A793" s="91" t="s">
        <v>5302</v>
      </c>
      <c r="B793" s="9">
        <v>2.2000000000000002</v>
      </c>
    </row>
    <row r="794" spans="1:2" x14ac:dyDescent="0.35">
      <c r="A794" s="91" t="s">
        <v>1405</v>
      </c>
      <c r="B794" s="9">
        <v>8.8000000000000007</v>
      </c>
    </row>
    <row r="795" spans="1:2" x14ac:dyDescent="0.35">
      <c r="A795" s="91" t="s">
        <v>3347</v>
      </c>
      <c r="B795" s="9">
        <v>15.2</v>
      </c>
    </row>
    <row r="796" spans="1:2" x14ac:dyDescent="0.35">
      <c r="A796" s="91" t="s">
        <v>4193</v>
      </c>
      <c r="B796" s="9">
        <v>7.6</v>
      </c>
    </row>
    <row r="797" spans="1:2" x14ac:dyDescent="0.35">
      <c r="A797" s="91" t="s">
        <v>2795</v>
      </c>
      <c r="B797" s="9">
        <v>2.2000000000000002</v>
      </c>
    </row>
    <row r="798" spans="1:2" x14ac:dyDescent="0.35">
      <c r="A798" s="91" t="s">
        <v>2472</v>
      </c>
      <c r="B798" s="9">
        <v>14</v>
      </c>
    </row>
    <row r="799" spans="1:2" x14ac:dyDescent="0.35">
      <c r="A799" s="91" t="s">
        <v>1638</v>
      </c>
      <c r="B799" s="9">
        <v>10</v>
      </c>
    </row>
    <row r="800" spans="1:2" x14ac:dyDescent="0.35">
      <c r="A800" s="91" t="s">
        <v>5823</v>
      </c>
      <c r="B800" s="9">
        <v>11.399999999999999</v>
      </c>
    </row>
    <row r="801" spans="1:2" x14ac:dyDescent="0.35">
      <c r="A801" s="91" t="s">
        <v>5785</v>
      </c>
      <c r="B801" s="9">
        <v>10</v>
      </c>
    </row>
    <row r="802" spans="1:2" x14ac:dyDescent="0.35">
      <c r="A802" s="91" t="s">
        <v>3278</v>
      </c>
      <c r="B802" s="9">
        <v>14</v>
      </c>
    </row>
    <row r="803" spans="1:2" x14ac:dyDescent="0.35">
      <c r="A803" s="91" t="s">
        <v>184</v>
      </c>
      <c r="B803" s="9">
        <v>3.8</v>
      </c>
    </row>
    <row r="804" spans="1:2" x14ac:dyDescent="0.35">
      <c r="A804" s="91" t="s">
        <v>946</v>
      </c>
      <c r="B804" s="9">
        <v>8.8000000000000007</v>
      </c>
    </row>
    <row r="805" spans="1:2" x14ac:dyDescent="0.35">
      <c r="A805" s="91" t="s">
        <v>4184</v>
      </c>
      <c r="B805" s="9">
        <v>5.6</v>
      </c>
    </row>
    <row r="806" spans="1:2" x14ac:dyDescent="0.35">
      <c r="A806" s="91" t="s">
        <v>2763</v>
      </c>
      <c r="B806" s="9">
        <v>2.8</v>
      </c>
    </row>
    <row r="807" spans="1:2" x14ac:dyDescent="0.35">
      <c r="A807" s="91" t="s">
        <v>3865</v>
      </c>
      <c r="B807" s="9">
        <v>3.8</v>
      </c>
    </row>
    <row r="808" spans="1:2" x14ac:dyDescent="0.35">
      <c r="A808" s="91" t="s">
        <v>1251</v>
      </c>
      <c r="B808" s="9">
        <v>2.8</v>
      </c>
    </row>
    <row r="809" spans="1:2" x14ac:dyDescent="0.35">
      <c r="A809" s="91" t="s">
        <v>2550</v>
      </c>
      <c r="B809" s="9">
        <v>2.2000000000000002</v>
      </c>
    </row>
    <row r="810" spans="1:2" x14ac:dyDescent="0.35">
      <c r="A810" s="91" t="s">
        <v>3666</v>
      </c>
      <c r="B810" s="9">
        <v>11</v>
      </c>
    </row>
    <row r="811" spans="1:2" x14ac:dyDescent="0.35">
      <c r="A811" s="91" t="s">
        <v>320</v>
      </c>
      <c r="B811" s="9">
        <v>7</v>
      </c>
    </row>
    <row r="812" spans="1:2" x14ac:dyDescent="0.35">
      <c r="A812" s="91" t="s">
        <v>4517</v>
      </c>
      <c r="B812" s="9">
        <v>7</v>
      </c>
    </row>
    <row r="813" spans="1:2" x14ac:dyDescent="0.35">
      <c r="A813" s="91" t="s">
        <v>2639</v>
      </c>
      <c r="B813" s="9">
        <v>15.2</v>
      </c>
    </row>
    <row r="814" spans="1:2" x14ac:dyDescent="0.35">
      <c r="A814" s="91" t="s">
        <v>3510</v>
      </c>
      <c r="B814" s="9">
        <v>2.5</v>
      </c>
    </row>
    <row r="815" spans="1:2" x14ac:dyDescent="0.35">
      <c r="A815" s="91" t="s">
        <v>4168</v>
      </c>
      <c r="B815" s="9">
        <v>2.8</v>
      </c>
    </row>
    <row r="816" spans="1:2" x14ac:dyDescent="0.35">
      <c r="A816" s="91" t="s">
        <v>3079</v>
      </c>
      <c r="B816" s="9">
        <v>14</v>
      </c>
    </row>
    <row r="817" spans="1:2" x14ac:dyDescent="0.35">
      <c r="A817" s="91" t="s">
        <v>820</v>
      </c>
      <c r="B817" s="9">
        <v>7.6</v>
      </c>
    </row>
    <row r="818" spans="1:2" x14ac:dyDescent="0.35">
      <c r="A818" s="91" t="s">
        <v>3786</v>
      </c>
      <c r="B818" s="9">
        <v>19</v>
      </c>
    </row>
    <row r="819" spans="1:2" x14ac:dyDescent="0.35">
      <c r="A819" s="91" t="s">
        <v>1174</v>
      </c>
      <c r="B819" s="9">
        <v>6.6000000000000005</v>
      </c>
    </row>
    <row r="820" spans="1:2" x14ac:dyDescent="0.35">
      <c r="A820" s="91" t="s">
        <v>637</v>
      </c>
      <c r="B820" s="9">
        <v>8.8000000000000007</v>
      </c>
    </row>
    <row r="821" spans="1:2" x14ac:dyDescent="0.35">
      <c r="A821" s="91" t="s">
        <v>3787</v>
      </c>
      <c r="B821" s="9">
        <v>4.4000000000000004</v>
      </c>
    </row>
    <row r="822" spans="1:2" x14ac:dyDescent="0.35">
      <c r="A822" s="91" t="s">
        <v>4965</v>
      </c>
      <c r="B822" s="9">
        <v>14</v>
      </c>
    </row>
    <row r="823" spans="1:2" x14ac:dyDescent="0.35">
      <c r="A823" s="91" t="s">
        <v>4364</v>
      </c>
      <c r="B823" s="9">
        <v>11</v>
      </c>
    </row>
    <row r="824" spans="1:2" x14ac:dyDescent="0.35">
      <c r="A824" s="91" t="s">
        <v>4258</v>
      </c>
      <c r="B824" s="9">
        <v>11.399999999999999</v>
      </c>
    </row>
    <row r="825" spans="1:2" x14ac:dyDescent="0.35">
      <c r="A825" s="91" t="s">
        <v>1696</v>
      </c>
      <c r="B825" s="9">
        <v>19</v>
      </c>
    </row>
    <row r="826" spans="1:2" x14ac:dyDescent="0.35">
      <c r="A826" s="91" t="s">
        <v>4068</v>
      </c>
      <c r="B826" s="9">
        <v>12.5</v>
      </c>
    </row>
    <row r="827" spans="1:2" x14ac:dyDescent="0.35">
      <c r="A827" s="91" t="s">
        <v>5760</v>
      </c>
      <c r="B827" s="9">
        <v>12.5</v>
      </c>
    </row>
    <row r="828" spans="1:2" x14ac:dyDescent="0.35">
      <c r="A828" s="91" t="s">
        <v>4772</v>
      </c>
      <c r="B828" s="9">
        <v>3.5</v>
      </c>
    </row>
    <row r="829" spans="1:2" x14ac:dyDescent="0.35">
      <c r="A829" s="91" t="s">
        <v>2599</v>
      </c>
      <c r="B829" s="9">
        <v>2.5</v>
      </c>
    </row>
    <row r="830" spans="1:2" x14ac:dyDescent="0.35">
      <c r="A830" s="91" t="s">
        <v>5797</v>
      </c>
      <c r="B830" s="9">
        <v>8.3999999999999986</v>
      </c>
    </row>
    <row r="831" spans="1:2" x14ac:dyDescent="0.35">
      <c r="A831" s="91" t="s">
        <v>1640</v>
      </c>
      <c r="B831" s="9">
        <v>12.5</v>
      </c>
    </row>
    <row r="832" spans="1:2" x14ac:dyDescent="0.35">
      <c r="A832" s="91" t="s">
        <v>5391</v>
      </c>
      <c r="B832" s="9">
        <v>11.2</v>
      </c>
    </row>
    <row r="833" spans="1:2" x14ac:dyDescent="0.35">
      <c r="A833" s="91" t="s">
        <v>3324</v>
      </c>
      <c r="B833" s="9">
        <v>2.2000000000000002</v>
      </c>
    </row>
    <row r="834" spans="1:2" x14ac:dyDescent="0.35">
      <c r="A834" s="91" t="s">
        <v>920</v>
      </c>
      <c r="B834" s="9">
        <v>2.2000000000000002</v>
      </c>
    </row>
    <row r="835" spans="1:2" x14ac:dyDescent="0.35">
      <c r="A835" s="91" t="s">
        <v>4306</v>
      </c>
      <c r="B835" s="9">
        <v>5</v>
      </c>
    </row>
    <row r="836" spans="1:2" x14ac:dyDescent="0.35">
      <c r="A836" s="91" t="s">
        <v>2923</v>
      </c>
      <c r="B836" s="9">
        <v>14</v>
      </c>
    </row>
    <row r="837" spans="1:2" x14ac:dyDescent="0.35">
      <c r="A837" s="91" t="s">
        <v>3589</v>
      </c>
      <c r="B837" s="9">
        <v>15.2</v>
      </c>
    </row>
    <row r="838" spans="1:2" x14ac:dyDescent="0.35">
      <c r="A838" s="91" t="s">
        <v>1897</v>
      </c>
      <c r="B838" s="9">
        <v>5</v>
      </c>
    </row>
    <row r="839" spans="1:2" x14ac:dyDescent="0.35">
      <c r="A839" s="91" t="s">
        <v>727</v>
      </c>
      <c r="B839" s="9">
        <v>2.5</v>
      </c>
    </row>
    <row r="840" spans="1:2" x14ac:dyDescent="0.35">
      <c r="A840" s="91" t="s">
        <v>5421</v>
      </c>
      <c r="B840" s="9">
        <v>15.2</v>
      </c>
    </row>
    <row r="841" spans="1:2" x14ac:dyDescent="0.35">
      <c r="A841" s="91" t="s">
        <v>5527</v>
      </c>
      <c r="B841" s="9">
        <v>11.2</v>
      </c>
    </row>
    <row r="842" spans="1:2" x14ac:dyDescent="0.35">
      <c r="A842" s="91" t="s">
        <v>4599</v>
      </c>
      <c r="B842" s="9">
        <v>3.5</v>
      </c>
    </row>
    <row r="843" spans="1:2" x14ac:dyDescent="0.35">
      <c r="A843" s="91" t="s">
        <v>5735</v>
      </c>
      <c r="B843" s="9">
        <v>19</v>
      </c>
    </row>
    <row r="844" spans="1:2" x14ac:dyDescent="0.35">
      <c r="A844" s="91" t="s">
        <v>459</v>
      </c>
      <c r="B844" s="9">
        <v>3.5</v>
      </c>
    </row>
    <row r="845" spans="1:2" x14ac:dyDescent="0.35">
      <c r="A845" s="91" t="s">
        <v>5612</v>
      </c>
      <c r="B845" s="9">
        <v>3.8</v>
      </c>
    </row>
    <row r="846" spans="1:2" x14ac:dyDescent="0.35">
      <c r="A846" s="91" t="s">
        <v>5458</v>
      </c>
      <c r="B846" s="9">
        <v>4.4000000000000004</v>
      </c>
    </row>
    <row r="847" spans="1:2" x14ac:dyDescent="0.35">
      <c r="A847" s="91" t="s">
        <v>2924</v>
      </c>
      <c r="B847" s="9">
        <v>3.8</v>
      </c>
    </row>
    <row r="848" spans="1:2" x14ac:dyDescent="0.35">
      <c r="A848" s="91" t="s">
        <v>2737</v>
      </c>
      <c r="B848" s="9">
        <v>7</v>
      </c>
    </row>
    <row r="849" spans="1:2" x14ac:dyDescent="0.35">
      <c r="A849" s="91" t="s">
        <v>233</v>
      </c>
      <c r="B849" s="9">
        <v>19</v>
      </c>
    </row>
    <row r="850" spans="1:2" x14ac:dyDescent="0.35">
      <c r="A850" s="91" t="s">
        <v>4099</v>
      </c>
      <c r="B850" s="9">
        <v>12.5</v>
      </c>
    </row>
    <row r="851" spans="1:2" x14ac:dyDescent="0.35">
      <c r="A851" s="91" t="s">
        <v>2815</v>
      </c>
      <c r="B851" s="9">
        <v>8.8000000000000007</v>
      </c>
    </row>
    <row r="852" spans="1:2" x14ac:dyDescent="0.35">
      <c r="A852" s="91" t="s">
        <v>2416</v>
      </c>
      <c r="B852" s="9">
        <v>11.399999999999999</v>
      </c>
    </row>
    <row r="853" spans="1:2" x14ac:dyDescent="0.35">
      <c r="A853" s="91" t="s">
        <v>5761</v>
      </c>
      <c r="B853" s="9">
        <v>19</v>
      </c>
    </row>
    <row r="854" spans="1:2" x14ac:dyDescent="0.35">
      <c r="A854" s="91" t="s">
        <v>4274</v>
      </c>
      <c r="B854" s="9">
        <v>8.3999999999999986</v>
      </c>
    </row>
    <row r="855" spans="1:2" x14ac:dyDescent="0.35">
      <c r="A855" s="91" t="s">
        <v>2600</v>
      </c>
      <c r="B855" s="9">
        <v>10.5</v>
      </c>
    </row>
    <row r="856" spans="1:2" x14ac:dyDescent="0.35">
      <c r="A856" s="91" t="s">
        <v>4100</v>
      </c>
      <c r="B856" s="9">
        <v>7.6</v>
      </c>
    </row>
    <row r="857" spans="1:2" x14ac:dyDescent="0.35">
      <c r="A857" s="91" t="s">
        <v>4570</v>
      </c>
      <c r="B857" s="9">
        <v>3.8</v>
      </c>
    </row>
    <row r="858" spans="1:2" x14ac:dyDescent="0.35">
      <c r="A858" s="91" t="s">
        <v>5721</v>
      </c>
      <c r="B858" s="9">
        <v>11</v>
      </c>
    </row>
    <row r="859" spans="1:2" x14ac:dyDescent="0.35">
      <c r="A859" s="91" t="s">
        <v>2641</v>
      </c>
      <c r="B859" s="9">
        <v>3.8</v>
      </c>
    </row>
    <row r="860" spans="1:2" x14ac:dyDescent="0.35">
      <c r="A860" s="91" t="s">
        <v>4259</v>
      </c>
      <c r="B860" s="9">
        <v>14</v>
      </c>
    </row>
    <row r="861" spans="1:2" x14ac:dyDescent="0.35">
      <c r="A861" s="91" t="s">
        <v>1666</v>
      </c>
      <c r="B861" s="9">
        <v>5</v>
      </c>
    </row>
    <row r="862" spans="1:2" x14ac:dyDescent="0.35">
      <c r="A862" s="91" t="s">
        <v>1299</v>
      </c>
      <c r="B862" s="9">
        <v>7.6</v>
      </c>
    </row>
    <row r="863" spans="1:2" x14ac:dyDescent="0.35">
      <c r="A863" s="91" t="s">
        <v>5923</v>
      </c>
      <c r="B863" s="9">
        <v>2.5</v>
      </c>
    </row>
    <row r="864" spans="1:2" x14ac:dyDescent="0.35">
      <c r="A864" s="91" t="s">
        <v>253</v>
      </c>
      <c r="B864" s="9">
        <v>8.3999999999999986</v>
      </c>
    </row>
    <row r="865" spans="1:2" x14ac:dyDescent="0.35">
      <c r="A865" s="91" t="s">
        <v>4792</v>
      </c>
      <c r="B865" s="9">
        <v>7.5</v>
      </c>
    </row>
    <row r="866" spans="1:2" x14ac:dyDescent="0.35">
      <c r="A866" s="91" t="s">
        <v>4043</v>
      </c>
      <c r="B866" s="9">
        <v>7</v>
      </c>
    </row>
    <row r="867" spans="1:2" x14ac:dyDescent="0.35">
      <c r="A867" s="91" t="s">
        <v>3145</v>
      </c>
      <c r="B867" s="9">
        <v>5.6</v>
      </c>
    </row>
    <row r="868" spans="1:2" x14ac:dyDescent="0.35">
      <c r="A868" s="91" t="s">
        <v>2665</v>
      </c>
      <c r="B868" s="9">
        <v>3.5</v>
      </c>
    </row>
    <row r="869" spans="1:2" x14ac:dyDescent="0.35">
      <c r="A869" s="91" t="s">
        <v>4818</v>
      </c>
      <c r="B869" s="9">
        <v>8.3999999999999986</v>
      </c>
    </row>
    <row r="870" spans="1:2" x14ac:dyDescent="0.35">
      <c r="A870" s="91" t="s">
        <v>4169</v>
      </c>
      <c r="B870" s="9">
        <v>6.6000000000000005</v>
      </c>
    </row>
    <row r="871" spans="1:2" x14ac:dyDescent="0.35">
      <c r="A871" s="91" t="s">
        <v>2530</v>
      </c>
      <c r="B871" s="9">
        <v>11.399999999999999</v>
      </c>
    </row>
    <row r="872" spans="1:2" x14ac:dyDescent="0.35">
      <c r="A872" s="91" t="s">
        <v>28</v>
      </c>
      <c r="B872" s="9">
        <v>11.2</v>
      </c>
    </row>
    <row r="873" spans="1:2" x14ac:dyDescent="0.35">
      <c r="A873" s="91" t="s">
        <v>5015</v>
      </c>
      <c r="B873" s="9">
        <v>12.5</v>
      </c>
    </row>
    <row r="874" spans="1:2" x14ac:dyDescent="0.35">
      <c r="A874" s="91" t="s">
        <v>1789</v>
      </c>
      <c r="B874" s="9">
        <v>15.2</v>
      </c>
    </row>
    <row r="875" spans="1:2" x14ac:dyDescent="0.35">
      <c r="A875" s="91" t="s">
        <v>2165</v>
      </c>
      <c r="B875" s="9">
        <v>8.3999999999999986</v>
      </c>
    </row>
    <row r="876" spans="1:2" x14ac:dyDescent="0.35">
      <c r="A876" s="91" t="s">
        <v>4947</v>
      </c>
      <c r="B876" s="9">
        <v>14</v>
      </c>
    </row>
    <row r="877" spans="1:2" x14ac:dyDescent="0.35">
      <c r="A877" s="91" t="s">
        <v>5377</v>
      </c>
      <c r="B877" s="9">
        <v>2.5</v>
      </c>
    </row>
    <row r="878" spans="1:2" x14ac:dyDescent="0.35">
      <c r="A878" s="91" t="s">
        <v>5432</v>
      </c>
      <c r="B878" s="9">
        <v>5</v>
      </c>
    </row>
    <row r="879" spans="1:2" x14ac:dyDescent="0.35">
      <c r="A879" s="91" t="s">
        <v>5528</v>
      </c>
      <c r="B879" s="9">
        <v>5</v>
      </c>
    </row>
    <row r="880" spans="1:2" x14ac:dyDescent="0.35">
      <c r="A880" s="91" t="s">
        <v>3613</v>
      </c>
      <c r="B880" s="9">
        <v>7.6</v>
      </c>
    </row>
    <row r="881" spans="1:2" x14ac:dyDescent="0.35">
      <c r="A881" s="91" t="s">
        <v>639</v>
      </c>
      <c r="B881" s="9">
        <v>6.6000000000000005</v>
      </c>
    </row>
    <row r="882" spans="1:2" x14ac:dyDescent="0.35">
      <c r="A882" s="91" t="s">
        <v>2843</v>
      </c>
      <c r="B882" s="9">
        <v>14</v>
      </c>
    </row>
    <row r="883" spans="1:2" x14ac:dyDescent="0.35">
      <c r="A883" s="91" t="s">
        <v>1520</v>
      </c>
      <c r="B883" s="9">
        <v>14</v>
      </c>
    </row>
    <row r="884" spans="1:2" x14ac:dyDescent="0.35">
      <c r="A884" s="91" t="s">
        <v>2117</v>
      </c>
      <c r="B884" s="9">
        <v>4.4000000000000004</v>
      </c>
    </row>
    <row r="885" spans="1:2" x14ac:dyDescent="0.35">
      <c r="A885" s="91" t="s">
        <v>461</v>
      </c>
      <c r="B885" s="9">
        <v>8.8000000000000007</v>
      </c>
    </row>
    <row r="886" spans="1:2" x14ac:dyDescent="0.35">
      <c r="A886" s="91" t="s">
        <v>5088</v>
      </c>
      <c r="B886" s="9">
        <v>12.5</v>
      </c>
    </row>
    <row r="887" spans="1:2" x14ac:dyDescent="0.35">
      <c r="A887" s="91" t="s">
        <v>3473</v>
      </c>
      <c r="B887" s="9">
        <v>10.5</v>
      </c>
    </row>
    <row r="888" spans="1:2" x14ac:dyDescent="0.35">
      <c r="A888" s="91" t="s">
        <v>4404</v>
      </c>
      <c r="B888" s="9">
        <v>3.5</v>
      </c>
    </row>
    <row r="889" spans="1:2" x14ac:dyDescent="0.35">
      <c r="A889" s="91" t="s">
        <v>2492</v>
      </c>
      <c r="B889" s="9">
        <v>10.5</v>
      </c>
    </row>
    <row r="890" spans="1:2" x14ac:dyDescent="0.35">
      <c r="A890" s="91" t="s">
        <v>4185</v>
      </c>
      <c r="B890" s="9">
        <v>10</v>
      </c>
    </row>
    <row r="891" spans="1:2" x14ac:dyDescent="0.35">
      <c r="A891" s="91" t="s">
        <v>1342</v>
      </c>
      <c r="B891" s="9">
        <v>5.6</v>
      </c>
    </row>
    <row r="892" spans="1:2" x14ac:dyDescent="0.35">
      <c r="A892" s="91" t="s">
        <v>5345</v>
      </c>
      <c r="B892" s="9">
        <v>14</v>
      </c>
    </row>
    <row r="893" spans="1:2" x14ac:dyDescent="0.35">
      <c r="A893" s="91" t="s">
        <v>1419</v>
      </c>
      <c r="B893" s="9">
        <v>3.5</v>
      </c>
    </row>
    <row r="894" spans="1:2" x14ac:dyDescent="0.35">
      <c r="A894" s="91" t="s">
        <v>5762</v>
      </c>
      <c r="B894" s="9">
        <v>4.4000000000000004</v>
      </c>
    </row>
    <row r="895" spans="1:2" x14ac:dyDescent="0.35">
      <c r="A895" s="91" t="s">
        <v>4898</v>
      </c>
      <c r="B895" s="9">
        <v>8.8000000000000007</v>
      </c>
    </row>
    <row r="896" spans="1:2" x14ac:dyDescent="0.35">
      <c r="A896" s="91" t="s">
        <v>5995</v>
      </c>
      <c r="B896" s="9">
        <v>19</v>
      </c>
    </row>
    <row r="897" spans="1:2" x14ac:dyDescent="0.35">
      <c r="A897" s="91" t="s">
        <v>3821</v>
      </c>
      <c r="B897" s="9">
        <v>7</v>
      </c>
    </row>
    <row r="898" spans="1:2" x14ac:dyDescent="0.35">
      <c r="A898" s="91" t="s">
        <v>2429</v>
      </c>
      <c r="B898" s="9">
        <v>14</v>
      </c>
    </row>
    <row r="899" spans="1:2" x14ac:dyDescent="0.35">
      <c r="A899" s="91" t="s">
        <v>1010</v>
      </c>
      <c r="B899" s="9">
        <v>7.5</v>
      </c>
    </row>
    <row r="900" spans="1:2" x14ac:dyDescent="0.35">
      <c r="A900" s="91" t="s">
        <v>2326</v>
      </c>
      <c r="B900" s="9">
        <v>10.5</v>
      </c>
    </row>
    <row r="901" spans="1:2" x14ac:dyDescent="0.35">
      <c r="A901" s="91" t="s">
        <v>1209</v>
      </c>
      <c r="B901" s="9">
        <v>8.8000000000000007</v>
      </c>
    </row>
    <row r="902" spans="1:2" x14ac:dyDescent="0.35">
      <c r="A902" s="91" t="s">
        <v>5749</v>
      </c>
      <c r="B902" s="9">
        <v>4.4000000000000004</v>
      </c>
    </row>
    <row r="903" spans="1:2" x14ac:dyDescent="0.35">
      <c r="A903" s="91" t="s">
        <v>3310</v>
      </c>
      <c r="B903" s="9">
        <v>5.6</v>
      </c>
    </row>
    <row r="904" spans="1:2" x14ac:dyDescent="0.35">
      <c r="A904" s="91" t="s">
        <v>5541</v>
      </c>
      <c r="B904" s="9">
        <v>11.399999999999999</v>
      </c>
    </row>
    <row r="905" spans="1:2" x14ac:dyDescent="0.35">
      <c r="A905" s="91" t="s">
        <v>3325</v>
      </c>
      <c r="B905" s="9">
        <v>19</v>
      </c>
    </row>
    <row r="906" spans="1:2" x14ac:dyDescent="0.35">
      <c r="A906" s="91" t="s">
        <v>4721</v>
      </c>
      <c r="B906" s="9">
        <v>10</v>
      </c>
    </row>
    <row r="907" spans="1:2" x14ac:dyDescent="0.35">
      <c r="A907" s="91" t="s">
        <v>3163</v>
      </c>
      <c r="B907" s="9">
        <v>8.3999999999999986</v>
      </c>
    </row>
    <row r="908" spans="1:2" x14ac:dyDescent="0.35">
      <c r="A908" s="91" t="s">
        <v>1193</v>
      </c>
      <c r="B908" s="9">
        <v>19</v>
      </c>
    </row>
    <row r="909" spans="1:2" x14ac:dyDescent="0.35">
      <c r="A909" s="91" t="s">
        <v>5880</v>
      </c>
      <c r="B909" s="9">
        <v>14</v>
      </c>
    </row>
    <row r="910" spans="1:2" x14ac:dyDescent="0.35">
      <c r="A910" s="91" t="s">
        <v>4735</v>
      </c>
      <c r="B910" s="9">
        <v>3.8</v>
      </c>
    </row>
    <row r="911" spans="1:2" x14ac:dyDescent="0.35">
      <c r="A911" s="91" t="s">
        <v>537</v>
      </c>
      <c r="B911" s="9">
        <v>10</v>
      </c>
    </row>
    <row r="912" spans="1:2" x14ac:dyDescent="0.35">
      <c r="A912" s="91" t="s">
        <v>5359</v>
      </c>
      <c r="B912" s="9">
        <v>10</v>
      </c>
    </row>
    <row r="913" spans="1:2" x14ac:dyDescent="0.35">
      <c r="A913" s="91" t="s">
        <v>5798</v>
      </c>
      <c r="B913" s="9">
        <v>2.5</v>
      </c>
    </row>
    <row r="914" spans="1:2" x14ac:dyDescent="0.35">
      <c r="A914" s="91" t="s">
        <v>3755</v>
      </c>
      <c r="B914" s="9">
        <v>8.3999999999999986</v>
      </c>
    </row>
    <row r="915" spans="1:2" x14ac:dyDescent="0.35">
      <c r="A915" s="91" t="s">
        <v>365</v>
      </c>
      <c r="B915" s="9">
        <v>6.6000000000000005</v>
      </c>
    </row>
    <row r="916" spans="1:2" x14ac:dyDescent="0.35">
      <c r="A916" s="91" t="s">
        <v>5120</v>
      </c>
      <c r="B916" s="9">
        <v>17.5</v>
      </c>
    </row>
    <row r="917" spans="1:2" x14ac:dyDescent="0.35">
      <c r="A917" s="91" t="s">
        <v>3667</v>
      </c>
      <c r="B917" s="9">
        <v>7.5</v>
      </c>
    </row>
    <row r="918" spans="1:2" x14ac:dyDescent="0.35">
      <c r="A918" s="91" t="s">
        <v>5291</v>
      </c>
      <c r="B918" s="9">
        <v>11.2</v>
      </c>
    </row>
    <row r="919" spans="1:2" x14ac:dyDescent="0.35">
      <c r="A919" s="91" t="s">
        <v>1012</v>
      </c>
      <c r="B919" s="9">
        <v>7.5</v>
      </c>
    </row>
    <row r="920" spans="1:2" x14ac:dyDescent="0.35">
      <c r="A920" s="91" t="s">
        <v>4518</v>
      </c>
      <c r="B920" s="9">
        <v>2.8</v>
      </c>
    </row>
    <row r="921" spans="1:2" x14ac:dyDescent="0.35">
      <c r="A921" s="91" t="s">
        <v>3147</v>
      </c>
      <c r="B921" s="9">
        <v>25</v>
      </c>
    </row>
    <row r="922" spans="1:2" x14ac:dyDescent="0.35">
      <c r="A922" s="91" t="s">
        <v>2438</v>
      </c>
      <c r="B922" s="9">
        <v>17.5</v>
      </c>
    </row>
    <row r="923" spans="1:2" x14ac:dyDescent="0.35">
      <c r="A923" s="91" t="s">
        <v>4536</v>
      </c>
      <c r="B923" s="9">
        <v>7</v>
      </c>
    </row>
    <row r="924" spans="1:2" x14ac:dyDescent="0.35">
      <c r="A924" s="91" t="s">
        <v>1048</v>
      </c>
      <c r="B924" s="9">
        <v>7</v>
      </c>
    </row>
    <row r="925" spans="1:2" x14ac:dyDescent="0.35">
      <c r="A925" s="91" t="s">
        <v>4021</v>
      </c>
      <c r="B925" s="9">
        <v>10</v>
      </c>
    </row>
    <row r="926" spans="1:2" x14ac:dyDescent="0.35">
      <c r="A926" s="91" t="s">
        <v>1276</v>
      </c>
      <c r="B926" s="9">
        <v>14</v>
      </c>
    </row>
    <row r="927" spans="1:2" x14ac:dyDescent="0.35">
      <c r="A927" s="91" t="s">
        <v>3444</v>
      </c>
      <c r="B927" s="9">
        <v>17.5</v>
      </c>
    </row>
    <row r="928" spans="1:2" x14ac:dyDescent="0.35">
      <c r="A928" s="91" t="s">
        <v>5542</v>
      </c>
      <c r="B928" s="9">
        <v>2.8</v>
      </c>
    </row>
    <row r="929" spans="1:2" x14ac:dyDescent="0.35">
      <c r="A929" s="91" t="s">
        <v>4087</v>
      </c>
      <c r="B929" s="9">
        <v>2.8</v>
      </c>
    </row>
    <row r="930" spans="1:2" x14ac:dyDescent="0.35">
      <c r="A930" s="91" t="s">
        <v>3677</v>
      </c>
      <c r="B930" s="9">
        <v>10.5</v>
      </c>
    </row>
    <row r="931" spans="1:2" x14ac:dyDescent="0.35">
      <c r="A931" s="91" t="s">
        <v>2312</v>
      </c>
      <c r="B931" s="9">
        <v>11.399999999999999</v>
      </c>
    </row>
    <row r="932" spans="1:2" x14ac:dyDescent="0.35">
      <c r="A932" s="91" t="s">
        <v>2458</v>
      </c>
      <c r="B932" s="9">
        <v>7</v>
      </c>
    </row>
    <row r="933" spans="1:2" x14ac:dyDescent="0.35">
      <c r="A933" s="91" t="s">
        <v>1356</v>
      </c>
      <c r="B933" s="9">
        <v>11.2</v>
      </c>
    </row>
    <row r="934" spans="1:2" x14ac:dyDescent="0.35">
      <c r="A934" s="91" t="s">
        <v>5459</v>
      </c>
      <c r="B934" s="9">
        <v>7</v>
      </c>
    </row>
    <row r="935" spans="1:2" x14ac:dyDescent="0.35">
      <c r="A935" s="91" t="s">
        <v>4571</v>
      </c>
      <c r="B935" s="9">
        <v>2.2000000000000002</v>
      </c>
    </row>
    <row r="936" spans="1:2" x14ac:dyDescent="0.35">
      <c r="A936" s="91" t="s">
        <v>2211</v>
      </c>
      <c r="B936" s="9">
        <v>4.4000000000000004</v>
      </c>
    </row>
    <row r="937" spans="1:2" x14ac:dyDescent="0.35">
      <c r="A937" s="91" t="s">
        <v>3349</v>
      </c>
      <c r="B937" s="9">
        <v>2.5</v>
      </c>
    </row>
    <row r="938" spans="1:2" x14ac:dyDescent="0.35">
      <c r="A938" s="91" t="s">
        <v>2417</v>
      </c>
      <c r="B938" s="9">
        <v>2.8</v>
      </c>
    </row>
    <row r="939" spans="1:2" x14ac:dyDescent="0.35">
      <c r="A939" s="91" t="s">
        <v>79</v>
      </c>
      <c r="B939" s="9">
        <v>5.6</v>
      </c>
    </row>
    <row r="940" spans="1:2" x14ac:dyDescent="0.35">
      <c r="A940" s="91" t="s">
        <v>4002</v>
      </c>
      <c r="B940" s="9">
        <v>2.5</v>
      </c>
    </row>
    <row r="941" spans="1:2" x14ac:dyDescent="0.35">
      <c r="A941" s="91" t="s">
        <v>4102</v>
      </c>
      <c r="B941" s="9">
        <v>10.5</v>
      </c>
    </row>
    <row r="942" spans="1:2" x14ac:dyDescent="0.35">
      <c r="A942" s="91" t="s">
        <v>4572</v>
      </c>
      <c r="B942" s="9">
        <v>19</v>
      </c>
    </row>
    <row r="943" spans="1:2" x14ac:dyDescent="0.35">
      <c r="A943" s="91" t="s">
        <v>4298</v>
      </c>
      <c r="B943" s="9">
        <v>2.5</v>
      </c>
    </row>
    <row r="944" spans="1:2" x14ac:dyDescent="0.35">
      <c r="A944" s="91" t="s">
        <v>3578</v>
      </c>
      <c r="B944" s="9">
        <v>10.5</v>
      </c>
    </row>
    <row r="945" spans="1:2" x14ac:dyDescent="0.35">
      <c r="A945" s="91" t="s">
        <v>3364</v>
      </c>
      <c r="B945" s="9">
        <v>4.4000000000000004</v>
      </c>
    </row>
    <row r="946" spans="1:2" x14ac:dyDescent="0.35">
      <c r="A946" s="91" t="s">
        <v>2029</v>
      </c>
      <c r="B946" s="9">
        <v>17.5</v>
      </c>
    </row>
    <row r="947" spans="1:2" x14ac:dyDescent="0.35">
      <c r="A947" s="91" t="s">
        <v>4868</v>
      </c>
      <c r="B947" s="9">
        <v>6.6000000000000005</v>
      </c>
    </row>
    <row r="948" spans="1:2" x14ac:dyDescent="0.35">
      <c r="A948" s="91" t="s">
        <v>3225</v>
      </c>
      <c r="B948" s="9">
        <v>7</v>
      </c>
    </row>
    <row r="949" spans="1:2" x14ac:dyDescent="0.35">
      <c r="A949" s="91" t="s">
        <v>3668</v>
      </c>
      <c r="B949" s="9">
        <v>10</v>
      </c>
    </row>
    <row r="950" spans="1:2" x14ac:dyDescent="0.35">
      <c r="A950" s="91" t="s">
        <v>4029</v>
      </c>
      <c r="B950" s="9">
        <v>8.3999999999999986</v>
      </c>
    </row>
    <row r="951" spans="1:2" x14ac:dyDescent="0.35">
      <c r="A951" s="91" t="s">
        <v>3839</v>
      </c>
      <c r="B951" s="9">
        <v>5.6</v>
      </c>
    </row>
    <row r="952" spans="1:2" x14ac:dyDescent="0.35">
      <c r="A952" s="91" t="s">
        <v>5170</v>
      </c>
      <c r="B952" s="9">
        <v>11</v>
      </c>
    </row>
    <row r="953" spans="1:2" x14ac:dyDescent="0.35">
      <c r="A953" s="91" t="s">
        <v>1139</v>
      </c>
      <c r="B953" s="9">
        <v>2.5</v>
      </c>
    </row>
    <row r="954" spans="1:2" x14ac:dyDescent="0.35">
      <c r="A954" s="91" t="s">
        <v>2628</v>
      </c>
      <c r="B954" s="9">
        <v>8.8000000000000007</v>
      </c>
    </row>
    <row r="955" spans="1:2" x14ac:dyDescent="0.35">
      <c r="A955" s="91" t="s">
        <v>4275</v>
      </c>
      <c r="B955" s="9">
        <v>4.4000000000000004</v>
      </c>
    </row>
    <row r="956" spans="1:2" x14ac:dyDescent="0.35">
      <c r="A956" s="91" t="s">
        <v>3257</v>
      </c>
      <c r="B956" s="9">
        <v>17.5</v>
      </c>
    </row>
    <row r="957" spans="1:2" x14ac:dyDescent="0.35">
      <c r="A957" s="91" t="s">
        <v>3866</v>
      </c>
      <c r="B957" s="9">
        <v>17.5</v>
      </c>
    </row>
    <row r="958" spans="1:2" x14ac:dyDescent="0.35">
      <c r="A958" s="91" t="s">
        <v>1049</v>
      </c>
      <c r="B958" s="9">
        <v>15.2</v>
      </c>
    </row>
    <row r="959" spans="1:2" x14ac:dyDescent="0.35">
      <c r="A959" s="91" t="s">
        <v>4664</v>
      </c>
      <c r="B959" s="9">
        <v>10</v>
      </c>
    </row>
    <row r="960" spans="1:2" x14ac:dyDescent="0.35">
      <c r="A960" s="91" t="s">
        <v>4487</v>
      </c>
      <c r="B960" s="9">
        <v>6.6000000000000005</v>
      </c>
    </row>
    <row r="961" spans="1:2" x14ac:dyDescent="0.35">
      <c r="A961" s="91" t="s">
        <v>783</v>
      </c>
      <c r="B961" s="9">
        <v>8.8000000000000007</v>
      </c>
    </row>
    <row r="962" spans="1:2" x14ac:dyDescent="0.35">
      <c r="A962" s="91" t="s">
        <v>1914</v>
      </c>
      <c r="B962" s="9">
        <v>3.5</v>
      </c>
    </row>
    <row r="963" spans="1:2" x14ac:dyDescent="0.35">
      <c r="A963" s="91" t="s">
        <v>2459</v>
      </c>
      <c r="B963" s="9">
        <v>14</v>
      </c>
    </row>
    <row r="964" spans="1:2" x14ac:dyDescent="0.35">
      <c r="A964" s="91" t="s">
        <v>3491</v>
      </c>
      <c r="B964" s="9">
        <v>2.5</v>
      </c>
    </row>
    <row r="965" spans="1:2" x14ac:dyDescent="0.35">
      <c r="A965" s="91" t="s">
        <v>922</v>
      </c>
      <c r="B965" s="9">
        <v>3.5</v>
      </c>
    </row>
    <row r="966" spans="1:2" x14ac:dyDescent="0.35">
      <c r="A966" s="91" t="s">
        <v>322</v>
      </c>
      <c r="B966" s="9">
        <v>3.5</v>
      </c>
    </row>
    <row r="967" spans="1:2" x14ac:dyDescent="0.35">
      <c r="A967" s="91" t="s">
        <v>2147</v>
      </c>
      <c r="B967" s="9">
        <v>15.2</v>
      </c>
    </row>
    <row r="968" spans="1:2" x14ac:dyDescent="0.35">
      <c r="A968" s="91" t="s">
        <v>5750</v>
      </c>
      <c r="B968" s="9">
        <v>5</v>
      </c>
    </row>
    <row r="969" spans="1:2" x14ac:dyDescent="0.35">
      <c r="A969" s="91" t="s">
        <v>4736</v>
      </c>
      <c r="B969" s="9">
        <v>10</v>
      </c>
    </row>
    <row r="970" spans="1:2" x14ac:dyDescent="0.35">
      <c r="A970" s="91" t="s">
        <v>4652</v>
      </c>
      <c r="B970" s="9">
        <v>10.5</v>
      </c>
    </row>
    <row r="971" spans="1:2" x14ac:dyDescent="0.35">
      <c r="A971" s="91" t="s">
        <v>1253</v>
      </c>
      <c r="B971" s="9">
        <v>17.5</v>
      </c>
    </row>
    <row r="972" spans="1:2" x14ac:dyDescent="0.35">
      <c r="A972" s="91" t="s">
        <v>5147</v>
      </c>
      <c r="B972" s="9">
        <v>4.4000000000000004</v>
      </c>
    </row>
    <row r="973" spans="1:2" x14ac:dyDescent="0.35">
      <c r="A973" s="91" t="s">
        <v>2078</v>
      </c>
      <c r="B973" s="9">
        <v>7.5</v>
      </c>
    </row>
    <row r="974" spans="1:2" x14ac:dyDescent="0.35">
      <c r="A974" s="91" t="s">
        <v>2629</v>
      </c>
      <c r="B974" s="9">
        <v>17.5</v>
      </c>
    </row>
    <row r="975" spans="1:2" x14ac:dyDescent="0.35">
      <c r="A975" s="91" t="s">
        <v>5016</v>
      </c>
      <c r="B975" s="9">
        <v>5.6</v>
      </c>
    </row>
    <row r="976" spans="1:2" x14ac:dyDescent="0.35">
      <c r="A976" s="91" t="s">
        <v>2313</v>
      </c>
      <c r="B976" s="9">
        <v>11.2</v>
      </c>
    </row>
    <row r="977" spans="1:2" x14ac:dyDescent="0.35">
      <c r="A977" s="91" t="s">
        <v>4307</v>
      </c>
      <c r="B977" s="9">
        <v>11.2</v>
      </c>
    </row>
    <row r="978" spans="1:2" x14ac:dyDescent="0.35">
      <c r="A978" s="91" t="s">
        <v>5667</v>
      </c>
      <c r="B978" s="9">
        <v>4.4000000000000004</v>
      </c>
    </row>
    <row r="979" spans="1:2" x14ac:dyDescent="0.35">
      <c r="A979" s="91" t="s">
        <v>3226</v>
      </c>
      <c r="B979" s="9">
        <v>17.5</v>
      </c>
    </row>
    <row r="980" spans="1:2" x14ac:dyDescent="0.35">
      <c r="A980" s="91" t="s">
        <v>3461</v>
      </c>
      <c r="B980" s="9">
        <v>5.6</v>
      </c>
    </row>
    <row r="981" spans="1:2" x14ac:dyDescent="0.35">
      <c r="A981" s="91" t="s">
        <v>1123</v>
      </c>
      <c r="B981" s="9">
        <v>6.6000000000000005</v>
      </c>
    </row>
    <row r="982" spans="1:2" x14ac:dyDescent="0.35">
      <c r="A982" s="91" t="s">
        <v>948</v>
      </c>
      <c r="B982" s="9">
        <v>7</v>
      </c>
    </row>
    <row r="983" spans="1:2" x14ac:dyDescent="0.35">
      <c r="A983" s="91" t="s">
        <v>5807</v>
      </c>
      <c r="B983" s="9">
        <v>5</v>
      </c>
    </row>
    <row r="984" spans="1:2" x14ac:dyDescent="0.35">
      <c r="A984" s="91" t="s">
        <v>4308</v>
      </c>
      <c r="B984" s="9">
        <v>10</v>
      </c>
    </row>
    <row r="985" spans="1:2" x14ac:dyDescent="0.35">
      <c r="A985" s="91" t="s">
        <v>5303</v>
      </c>
      <c r="B985" s="9">
        <v>11</v>
      </c>
    </row>
    <row r="986" spans="1:2" x14ac:dyDescent="0.35">
      <c r="A986" s="91" t="s">
        <v>2738</v>
      </c>
      <c r="B986" s="9">
        <v>2.5</v>
      </c>
    </row>
    <row r="987" spans="1:2" x14ac:dyDescent="0.35">
      <c r="A987" s="91" t="s">
        <v>5148</v>
      </c>
      <c r="B987" s="9">
        <v>14</v>
      </c>
    </row>
    <row r="988" spans="1:2" x14ac:dyDescent="0.35">
      <c r="A988" s="91" t="s">
        <v>3026</v>
      </c>
      <c r="B988" s="9">
        <v>7</v>
      </c>
    </row>
    <row r="989" spans="1:2" x14ac:dyDescent="0.35">
      <c r="A989" s="91" t="s">
        <v>2004</v>
      </c>
      <c r="B989" s="9">
        <v>14</v>
      </c>
    </row>
    <row r="990" spans="1:2" x14ac:dyDescent="0.35">
      <c r="A990" s="91" t="s">
        <v>1942</v>
      </c>
      <c r="B990" s="9">
        <v>7.5</v>
      </c>
    </row>
    <row r="991" spans="1:2" x14ac:dyDescent="0.35">
      <c r="A991" s="91" t="s">
        <v>4186</v>
      </c>
      <c r="B991" s="9">
        <v>8.8000000000000007</v>
      </c>
    </row>
    <row r="992" spans="1:2" x14ac:dyDescent="0.35">
      <c r="A992" s="91" t="s">
        <v>2844</v>
      </c>
      <c r="B992" s="9">
        <v>2.2000000000000002</v>
      </c>
    </row>
    <row r="993" spans="1:2" x14ac:dyDescent="0.35">
      <c r="A993" s="91" t="s">
        <v>4748</v>
      </c>
      <c r="B993" s="9">
        <v>3.5</v>
      </c>
    </row>
    <row r="994" spans="1:2" x14ac:dyDescent="0.35">
      <c r="A994" s="91" t="s">
        <v>950</v>
      </c>
      <c r="B994" s="9">
        <v>17.5</v>
      </c>
    </row>
    <row r="995" spans="1:2" x14ac:dyDescent="0.35">
      <c r="A995" s="91" t="s">
        <v>2118</v>
      </c>
      <c r="B995" s="9">
        <v>19</v>
      </c>
    </row>
    <row r="996" spans="1:2" x14ac:dyDescent="0.35">
      <c r="A996" s="91" t="s">
        <v>3423</v>
      </c>
      <c r="B996" s="9">
        <v>8.3999999999999986</v>
      </c>
    </row>
    <row r="997" spans="1:2" x14ac:dyDescent="0.35">
      <c r="A997" s="91" t="s">
        <v>118</v>
      </c>
      <c r="B997" s="9">
        <v>8.3999999999999986</v>
      </c>
    </row>
    <row r="998" spans="1:2" x14ac:dyDescent="0.35">
      <c r="A998" s="91" t="s">
        <v>5292</v>
      </c>
      <c r="B998" s="9">
        <v>3.8</v>
      </c>
    </row>
    <row r="999" spans="1:2" x14ac:dyDescent="0.35">
      <c r="A999" s="91" t="s">
        <v>983</v>
      </c>
      <c r="B999" s="9">
        <v>10.5</v>
      </c>
    </row>
    <row r="1000" spans="1:2" x14ac:dyDescent="0.35">
      <c r="A1000" s="91" t="s">
        <v>235</v>
      </c>
      <c r="B1000" s="9">
        <v>7</v>
      </c>
    </row>
    <row r="1001" spans="1:2" x14ac:dyDescent="0.35">
      <c r="A1001" s="91" t="s">
        <v>3492</v>
      </c>
      <c r="B1001" s="9">
        <v>2.2000000000000002</v>
      </c>
    </row>
    <row r="1002" spans="1:2" x14ac:dyDescent="0.35">
      <c r="A1002" s="91" t="s">
        <v>5751</v>
      </c>
      <c r="B1002" s="9">
        <v>10.5</v>
      </c>
    </row>
    <row r="1003" spans="1:2" x14ac:dyDescent="0.35">
      <c r="A1003" s="91" t="s">
        <v>3332</v>
      </c>
      <c r="B1003" s="9">
        <v>7.5</v>
      </c>
    </row>
    <row r="1004" spans="1:2" x14ac:dyDescent="0.35">
      <c r="A1004" s="91" t="s">
        <v>5470</v>
      </c>
      <c r="B1004" s="9">
        <v>8.8000000000000007</v>
      </c>
    </row>
    <row r="1005" spans="1:2" x14ac:dyDescent="0.35">
      <c r="A1005" s="91" t="s">
        <v>2057</v>
      </c>
      <c r="B1005" s="9">
        <v>14</v>
      </c>
    </row>
    <row r="1006" spans="1:2" x14ac:dyDescent="0.35">
      <c r="A1006" s="91" t="s">
        <v>4737</v>
      </c>
      <c r="B1006" s="9">
        <v>5.6</v>
      </c>
    </row>
    <row r="1007" spans="1:2" x14ac:dyDescent="0.35">
      <c r="A1007" s="91" t="s">
        <v>4933</v>
      </c>
      <c r="B1007" s="9">
        <v>14</v>
      </c>
    </row>
    <row r="1008" spans="1:2" x14ac:dyDescent="0.35">
      <c r="A1008" s="91" t="s">
        <v>5763</v>
      </c>
      <c r="B1008" s="9">
        <v>2.2000000000000002</v>
      </c>
    </row>
    <row r="1009" spans="1:2" x14ac:dyDescent="0.35">
      <c r="A1009" s="91" t="s">
        <v>2127</v>
      </c>
      <c r="B1009" s="9">
        <v>2.2000000000000002</v>
      </c>
    </row>
    <row r="1010" spans="1:2" x14ac:dyDescent="0.35">
      <c r="A1010" s="91" t="s">
        <v>2058</v>
      </c>
      <c r="B1010" s="9">
        <v>19</v>
      </c>
    </row>
    <row r="1011" spans="1:2" x14ac:dyDescent="0.35">
      <c r="A1011" s="91" t="s">
        <v>5266</v>
      </c>
      <c r="B1011" s="9">
        <v>11.2</v>
      </c>
    </row>
    <row r="1012" spans="1:2" x14ac:dyDescent="0.35">
      <c r="A1012" s="91" t="s">
        <v>1720</v>
      </c>
      <c r="B1012" s="9">
        <v>5.6</v>
      </c>
    </row>
    <row r="1013" spans="1:2" x14ac:dyDescent="0.35">
      <c r="A1013" s="91" t="s">
        <v>3705</v>
      </c>
      <c r="B1013" s="9">
        <v>3.8</v>
      </c>
    </row>
    <row r="1014" spans="1:2" x14ac:dyDescent="0.35">
      <c r="A1014" s="91" t="s">
        <v>3191</v>
      </c>
      <c r="B1014" s="9">
        <v>17.5</v>
      </c>
    </row>
    <row r="1015" spans="1:2" x14ac:dyDescent="0.35">
      <c r="A1015" s="91" t="s">
        <v>2896</v>
      </c>
      <c r="B1015" s="9">
        <v>15.2</v>
      </c>
    </row>
    <row r="1016" spans="1:2" x14ac:dyDescent="0.35">
      <c r="A1016" s="91" t="s">
        <v>1668</v>
      </c>
      <c r="B1016" s="9">
        <v>5</v>
      </c>
    </row>
    <row r="1017" spans="1:2" x14ac:dyDescent="0.35">
      <c r="A1017" s="91" t="s">
        <v>33</v>
      </c>
      <c r="B1017" s="9">
        <v>4.4000000000000004</v>
      </c>
    </row>
    <row r="1018" spans="1:2" x14ac:dyDescent="0.35">
      <c r="A1018" s="91" t="s">
        <v>4886</v>
      </c>
      <c r="B1018" s="9">
        <v>14</v>
      </c>
    </row>
    <row r="1019" spans="1:2" x14ac:dyDescent="0.35">
      <c r="A1019" s="91" t="s">
        <v>1326</v>
      </c>
      <c r="B1019" s="9">
        <v>19</v>
      </c>
    </row>
    <row r="1020" spans="1:2" x14ac:dyDescent="0.35">
      <c r="A1020" s="91" t="s">
        <v>4846</v>
      </c>
      <c r="B1020" s="9">
        <v>10</v>
      </c>
    </row>
    <row r="1021" spans="1:2" x14ac:dyDescent="0.35">
      <c r="A1021" s="91" t="s">
        <v>5709</v>
      </c>
      <c r="B1021" s="9">
        <v>14</v>
      </c>
    </row>
    <row r="1022" spans="1:2" x14ac:dyDescent="0.35">
      <c r="A1022" s="91" t="s">
        <v>4276</v>
      </c>
      <c r="B1022" s="9">
        <v>14</v>
      </c>
    </row>
    <row r="1023" spans="1:2" x14ac:dyDescent="0.35">
      <c r="A1023" s="91" t="s">
        <v>4803</v>
      </c>
      <c r="B1023" s="9">
        <v>8.3999999999999986</v>
      </c>
    </row>
    <row r="1024" spans="1:2" x14ac:dyDescent="0.35">
      <c r="A1024" s="91" t="s">
        <v>2897</v>
      </c>
      <c r="B1024" s="9">
        <v>11.2</v>
      </c>
    </row>
    <row r="1025" spans="1:2" x14ac:dyDescent="0.35">
      <c r="A1025" s="91" t="s">
        <v>5824</v>
      </c>
      <c r="B1025" s="9">
        <v>14</v>
      </c>
    </row>
    <row r="1026" spans="1:2" x14ac:dyDescent="0.35">
      <c r="A1026" s="91" t="s">
        <v>3800</v>
      </c>
      <c r="B1026" s="9">
        <v>6.6000000000000005</v>
      </c>
    </row>
    <row r="1027" spans="1:2" x14ac:dyDescent="0.35">
      <c r="A1027" s="91" t="s">
        <v>3770</v>
      </c>
      <c r="B1027" s="9">
        <v>3.5</v>
      </c>
    </row>
    <row r="1028" spans="1:2" x14ac:dyDescent="0.35">
      <c r="A1028" s="91" t="s">
        <v>2703</v>
      </c>
      <c r="B1028" s="9">
        <v>17.5</v>
      </c>
    </row>
    <row r="1029" spans="1:2" x14ac:dyDescent="0.35">
      <c r="A1029" s="91" t="s">
        <v>4793</v>
      </c>
      <c r="B1029" s="9">
        <v>17.5</v>
      </c>
    </row>
    <row r="1030" spans="1:2" x14ac:dyDescent="0.35">
      <c r="A1030" s="91" t="s">
        <v>3629</v>
      </c>
      <c r="B1030" s="9">
        <v>2.8</v>
      </c>
    </row>
    <row r="1031" spans="1:2" x14ac:dyDescent="0.35">
      <c r="A1031" s="91" t="s">
        <v>5907</v>
      </c>
      <c r="B1031" s="9">
        <v>3.8</v>
      </c>
    </row>
    <row r="1032" spans="1:2" x14ac:dyDescent="0.35">
      <c r="A1032" s="91" t="s">
        <v>5149</v>
      </c>
      <c r="B1032" s="9">
        <v>2.2000000000000002</v>
      </c>
    </row>
    <row r="1033" spans="1:2" x14ac:dyDescent="0.35">
      <c r="A1033" s="91" t="s">
        <v>2107</v>
      </c>
      <c r="B1033" s="9">
        <v>17.5</v>
      </c>
    </row>
    <row r="1034" spans="1:2" x14ac:dyDescent="0.35">
      <c r="A1034" s="91" t="s">
        <v>2577</v>
      </c>
      <c r="B1034" s="9">
        <v>5.6</v>
      </c>
    </row>
    <row r="1035" spans="1:2" x14ac:dyDescent="0.35">
      <c r="A1035" s="91" t="s">
        <v>2375</v>
      </c>
      <c r="B1035" s="9">
        <v>11.2</v>
      </c>
    </row>
    <row r="1036" spans="1:2" x14ac:dyDescent="0.35">
      <c r="A1036" s="91" t="s">
        <v>5893</v>
      </c>
      <c r="B1036" s="9">
        <v>3.5</v>
      </c>
    </row>
    <row r="1037" spans="1:2" x14ac:dyDescent="0.35">
      <c r="A1037" s="91" t="s">
        <v>3192</v>
      </c>
      <c r="B1037" s="9">
        <v>2.8</v>
      </c>
    </row>
    <row r="1038" spans="1:2" x14ac:dyDescent="0.35">
      <c r="A1038" s="91" t="s">
        <v>3365</v>
      </c>
      <c r="B1038" s="9">
        <v>2.5</v>
      </c>
    </row>
    <row r="1039" spans="1:2" x14ac:dyDescent="0.35">
      <c r="A1039" s="91" t="s">
        <v>5722</v>
      </c>
      <c r="B1039" s="9">
        <v>3.8</v>
      </c>
    </row>
    <row r="1040" spans="1:2" x14ac:dyDescent="0.35">
      <c r="A1040" s="91" t="s">
        <v>762</v>
      </c>
      <c r="B1040" s="9">
        <v>10</v>
      </c>
    </row>
    <row r="1041" spans="1:2" x14ac:dyDescent="0.35">
      <c r="A1041" s="91" t="s">
        <v>1791</v>
      </c>
      <c r="B1041" s="9">
        <v>2.2000000000000002</v>
      </c>
    </row>
    <row r="1042" spans="1:2" x14ac:dyDescent="0.35">
      <c r="A1042" s="91" t="s">
        <v>4677</v>
      </c>
      <c r="B1042" s="9">
        <v>2.2000000000000002</v>
      </c>
    </row>
    <row r="1043" spans="1:2" x14ac:dyDescent="0.35">
      <c r="A1043" s="91" t="s">
        <v>1916</v>
      </c>
      <c r="B1043" s="9">
        <v>8.8000000000000007</v>
      </c>
    </row>
    <row r="1044" spans="1:2" x14ac:dyDescent="0.35">
      <c r="A1044" s="91" t="s">
        <v>81</v>
      </c>
      <c r="B1044" s="9">
        <v>2.8</v>
      </c>
    </row>
    <row r="1045" spans="1:2" x14ac:dyDescent="0.35">
      <c r="A1045" s="91" t="s">
        <v>367</v>
      </c>
      <c r="B1045" s="9">
        <v>7.6</v>
      </c>
    </row>
    <row r="1046" spans="1:2" x14ac:dyDescent="0.35">
      <c r="A1046" s="91" t="s">
        <v>3258</v>
      </c>
      <c r="B1046" s="9">
        <v>10</v>
      </c>
    </row>
    <row r="1047" spans="1:2" x14ac:dyDescent="0.35">
      <c r="A1047" s="91" t="s">
        <v>5231</v>
      </c>
      <c r="B1047" s="9">
        <v>7.6</v>
      </c>
    </row>
    <row r="1048" spans="1:2" x14ac:dyDescent="0.35">
      <c r="A1048" s="91" t="s">
        <v>4365</v>
      </c>
      <c r="B1048" s="9">
        <v>15.2</v>
      </c>
    </row>
    <row r="1049" spans="1:2" x14ac:dyDescent="0.35">
      <c r="A1049" s="91" t="s">
        <v>5258</v>
      </c>
      <c r="B1049" s="9">
        <v>12.5</v>
      </c>
    </row>
    <row r="1050" spans="1:2" x14ac:dyDescent="0.35">
      <c r="A1050" s="91" t="s">
        <v>2514</v>
      </c>
      <c r="B1050" s="9">
        <v>4.4000000000000004</v>
      </c>
    </row>
    <row r="1051" spans="1:2" x14ac:dyDescent="0.35">
      <c r="A1051" s="91" t="s">
        <v>5346</v>
      </c>
      <c r="B1051" s="9">
        <v>7.6</v>
      </c>
    </row>
    <row r="1052" spans="1:2" x14ac:dyDescent="0.35">
      <c r="A1052" s="91" t="s">
        <v>2196</v>
      </c>
      <c r="B1052" s="9">
        <v>5</v>
      </c>
    </row>
    <row r="1053" spans="1:2" x14ac:dyDescent="0.35">
      <c r="A1053" s="91" t="s">
        <v>2714</v>
      </c>
      <c r="B1053" s="9">
        <v>3.8</v>
      </c>
    </row>
    <row r="1054" spans="1:2" x14ac:dyDescent="0.35">
      <c r="A1054" s="91" t="s">
        <v>3651</v>
      </c>
      <c r="B1054" s="9">
        <v>7.6</v>
      </c>
    </row>
    <row r="1055" spans="1:2" x14ac:dyDescent="0.35">
      <c r="A1055" s="91" t="s">
        <v>2602</v>
      </c>
      <c r="B1055" s="9">
        <v>3.5</v>
      </c>
    </row>
    <row r="1056" spans="1:2" x14ac:dyDescent="0.35">
      <c r="A1056" s="91" t="s">
        <v>2531</v>
      </c>
      <c r="B1056" s="9">
        <v>14</v>
      </c>
    </row>
    <row r="1057" spans="1:2" x14ac:dyDescent="0.35">
      <c r="A1057" s="91" t="s">
        <v>5894</v>
      </c>
      <c r="B1057" s="9">
        <v>14</v>
      </c>
    </row>
    <row r="1058" spans="1:2" x14ac:dyDescent="0.35">
      <c r="A1058" s="91" t="s">
        <v>3366</v>
      </c>
      <c r="B1058" s="9">
        <v>14</v>
      </c>
    </row>
    <row r="1059" spans="1:2" x14ac:dyDescent="0.35">
      <c r="A1059" s="91" t="s">
        <v>3400</v>
      </c>
      <c r="B1059" s="9">
        <v>7</v>
      </c>
    </row>
    <row r="1060" spans="1:2" x14ac:dyDescent="0.35">
      <c r="A1060" s="91" t="s">
        <v>1124</v>
      </c>
      <c r="B1060" s="9">
        <v>4.4000000000000004</v>
      </c>
    </row>
    <row r="1061" spans="1:2" x14ac:dyDescent="0.35">
      <c r="A1061" s="91" t="s">
        <v>538</v>
      </c>
      <c r="B1061" s="9">
        <v>17.5</v>
      </c>
    </row>
    <row r="1062" spans="1:2" x14ac:dyDescent="0.35">
      <c r="A1062" s="91" t="s">
        <v>2863</v>
      </c>
      <c r="B1062" s="9">
        <v>5.6</v>
      </c>
    </row>
    <row r="1063" spans="1:2" x14ac:dyDescent="0.35">
      <c r="A1063" s="91" t="s">
        <v>701</v>
      </c>
      <c r="B1063" s="9">
        <v>11.399999999999999</v>
      </c>
    </row>
    <row r="1064" spans="1:2" x14ac:dyDescent="0.35">
      <c r="A1064" s="91" t="s">
        <v>5970</v>
      </c>
      <c r="B1064" s="9">
        <v>11.399999999999999</v>
      </c>
    </row>
    <row r="1065" spans="1:2" x14ac:dyDescent="0.35">
      <c r="A1065" s="91" t="s">
        <v>968</v>
      </c>
      <c r="B1065" s="9">
        <v>10</v>
      </c>
    </row>
    <row r="1066" spans="1:2" x14ac:dyDescent="0.35">
      <c r="A1066" s="91" t="s">
        <v>5089</v>
      </c>
      <c r="B1066" s="9">
        <v>19</v>
      </c>
    </row>
    <row r="1067" spans="1:2" x14ac:dyDescent="0.35">
      <c r="A1067" s="91" t="s">
        <v>5895</v>
      </c>
      <c r="B1067" s="9">
        <v>3.8</v>
      </c>
    </row>
    <row r="1068" spans="1:2" x14ac:dyDescent="0.35">
      <c r="A1068" s="91" t="s">
        <v>3164</v>
      </c>
      <c r="B1068" s="9">
        <v>12.5</v>
      </c>
    </row>
    <row r="1069" spans="1:2" x14ac:dyDescent="0.35">
      <c r="A1069" s="91" t="s">
        <v>209</v>
      </c>
      <c r="B1069" s="9">
        <v>12.5</v>
      </c>
    </row>
    <row r="1070" spans="1:2" x14ac:dyDescent="0.35">
      <c r="A1070" s="91" t="s">
        <v>2666</v>
      </c>
      <c r="B1070" s="9">
        <v>3.5</v>
      </c>
    </row>
    <row r="1071" spans="1:2" x14ac:dyDescent="0.35">
      <c r="A1071" s="91" t="s">
        <v>5958</v>
      </c>
      <c r="B1071" s="9">
        <v>8.8000000000000007</v>
      </c>
    </row>
    <row r="1072" spans="1:2" x14ac:dyDescent="0.35">
      <c r="A1072" s="91" t="s">
        <v>3108</v>
      </c>
      <c r="B1072" s="9">
        <v>14</v>
      </c>
    </row>
    <row r="1073" spans="1:2" x14ac:dyDescent="0.35">
      <c r="A1073" s="91" t="s">
        <v>4695</v>
      </c>
      <c r="B1073" s="9">
        <v>2.5</v>
      </c>
    </row>
    <row r="1074" spans="1:2" x14ac:dyDescent="0.35">
      <c r="A1074" s="91" t="s">
        <v>5786</v>
      </c>
      <c r="B1074" s="9">
        <v>11.2</v>
      </c>
    </row>
    <row r="1075" spans="1:2" x14ac:dyDescent="0.35">
      <c r="A1075" s="91" t="s">
        <v>2120</v>
      </c>
      <c r="B1075" s="9">
        <v>3.8</v>
      </c>
    </row>
    <row r="1076" spans="1:2" x14ac:dyDescent="0.35">
      <c r="A1076" s="91" t="s">
        <v>4834</v>
      </c>
      <c r="B1076" s="9">
        <v>17.5</v>
      </c>
    </row>
    <row r="1077" spans="1:2" x14ac:dyDescent="0.35">
      <c r="A1077" s="91" t="s">
        <v>1849</v>
      </c>
      <c r="B1077" s="9">
        <v>4.4000000000000004</v>
      </c>
    </row>
    <row r="1078" spans="1:2" x14ac:dyDescent="0.35">
      <c r="A1078" s="91" t="s">
        <v>4835</v>
      </c>
      <c r="B1078" s="9">
        <v>7.6</v>
      </c>
    </row>
    <row r="1079" spans="1:2" x14ac:dyDescent="0.35">
      <c r="A1079" s="91" t="s">
        <v>5267</v>
      </c>
      <c r="B1079" s="9">
        <v>14</v>
      </c>
    </row>
    <row r="1080" spans="1:2" x14ac:dyDescent="0.35">
      <c r="A1080" s="91" t="s">
        <v>2797</v>
      </c>
      <c r="B1080" s="9">
        <v>5</v>
      </c>
    </row>
    <row r="1081" spans="1:2" x14ac:dyDescent="0.35">
      <c r="A1081" s="91" t="s">
        <v>5896</v>
      </c>
      <c r="B1081" s="9">
        <v>7.5</v>
      </c>
    </row>
    <row r="1082" spans="1:2" x14ac:dyDescent="0.35">
      <c r="A1082" s="91" t="s">
        <v>120</v>
      </c>
      <c r="B1082" s="9">
        <v>2.8</v>
      </c>
    </row>
    <row r="1083" spans="1:2" x14ac:dyDescent="0.35">
      <c r="A1083" s="91" t="s">
        <v>1982</v>
      </c>
      <c r="B1083" s="9">
        <v>10.5</v>
      </c>
    </row>
    <row r="1084" spans="1:2" x14ac:dyDescent="0.35">
      <c r="A1084" s="91" t="s">
        <v>5639</v>
      </c>
      <c r="B1084" s="9">
        <v>17.5</v>
      </c>
    </row>
    <row r="1085" spans="1:2" x14ac:dyDescent="0.35">
      <c r="A1085" s="91" t="s">
        <v>4913</v>
      </c>
      <c r="B1085" s="9">
        <v>10</v>
      </c>
    </row>
    <row r="1086" spans="1:2" x14ac:dyDescent="0.35">
      <c r="A1086" s="91" t="s">
        <v>4665</v>
      </c>
      <c r="B1086" s="9">
        <v>6.6000000000000005</v>
      </c>
    </row>
    <row r="1087" spans="1:2" x14ac:dyDescent="0.35">
      <c r="A1087" s="91" t="s">
        <v>1917</v>
      </c>
      <c r="B1087" s="9">
        <v>4.4000000000000004</v>
      </c>
    </row>
    <row r="1088" spans="1:2" x14ac:dyDescent="0.35">
      <c r="A1088" s="91" t="s">
        <v>3474</v>
      </c>
      <c r="B1088" s="9">
        <v>10</v>
      </c>
    </row>
    <row r="1089" spans="1:2" x14ac:dyDescent="0.35">
      <c r="A1089" s="91" t="s">
        <v>3706</v>
      </c>
      <c r="B1089" s="9">
        <v>4.4000000000000004</v>
      </c>
    </row>
    <row r="1090" spans="1:2" x14ac:dyDescent="0.35">
      <c r="A1090" s="91" t="s">
        <v>3367</v>
      </c>
      <c r="B1090" s="9">
        <v>14</v>
      </c>
    </row>
    <row r="1091" spans="1:2" x14ac:dyDescent="0.35">
      <c r="A1091" s="91" t="s">
        <v>368</v>
      </c>
      <c r="B1091" s="9">
        <v>14</v>
      </c>
    </row>
    <row r="1092" spans="1:2" x14ac:dyDescent="0.35">
      <c r="A1092" s="91" t="s">
        <v>5090</v>
      </c>
      <c r="B1092" s="9">
        <v>7</v>
      </c>
    </row>
    <row r="1093" spans="1:2" x14ac:dyDescent="0.35">
      <c r="A1093" s="91" t="s">
        <v>3148</v>
      </c>
      <c r="B1093" s="9">
        <v>11.2</v>
      </c>
    </row>
    <row r="1094" spans="1:2" x14ac:dyDescent="0.35">
      <c r="A1094" s="91" t="s">
        <v>5999</v>
      </c>
      <c r="B1094" s="9">
        <v>5</v>
      </c>
    </row>
    <row r="1095" spans="1:2" x14ac:dyDescent="0.35">
      <c r="A1095" s="91" t="s">
        <v>4966</v>
      </c>
      <c r="B1095" s="9">
        <v>5</v>
      </c>
    </row>
    <row r="1096" spans="1:2" x14ac:dyDescent="0.35">
      <c r="A1096" s="91" t="s">
        <v>1050</v>
      </c>
      <c r="B1096" s="9">
        <v>19</v>
      </c>
    </row>
    <row r="1097" spans="1:2" x14ac:dyDescent="0.35">
      <c r="A1097" s="91" t="s">
        <v>410</v>
      </c>
      <c r="B1097" s="9">
        <v>5.6</v>
      </c>
    </row>
    <row r="1098" spans="1:2" x14ac:dyDescent="0.35">
      <c r="A1098" s="91" t="s">
        <v>4749</v>
      </c>
      <c r="B1098" s="9">
        <v>7.5</v>
      </c>
    </row>
    <row r="1099" spans="1:2" x14ac:dyDescent="0.35">
      <c r="A1099" s="91" t="s">
        <v>5481</v>
      </c>
      <c r="B1099" s="9">
        <v>7.5</v>
      </c>
    </row>
    <row r="1100" spans="1:2" x14ac:dyDescent="0.35">
      <c r="A1100" s="91" t="s">
        <v>2275</v>
      </c>
      <c r="B1100" s="9">
        <v>11</v>
      </c>
    </row>
    <row r="1101" spans="1:2" x14ac:dyDescent="0.35">
      <c r="A1101" s="91" t="s">
        <v>5216</v>
      </c>
      <c r="B1101" s="9">
        <v>15.2</v>
      </c>
    </row>
    <row r="1102" spans="1:2" x14ac:dyDescent="0.35">
      <c r="A1102" s="91" t="s">
        <v>2276</v>
      </c>
      <c r="B1102" s="9">
        <v>17.5</v>
      </c>
    </row>
    <row r="1103" spans="1:2" x14ac:dyDescent="0.35">
      <c r="A1103" s="91" t="s">
        <v>2898</v>
      </c>
      <c r="B1103" s="9">
        <v>3.5</v>
      </c>
    </row>
    <row r="1104" spans="1:2" x14ac:dyDescent="0.35">
      <c r="A1104" s="91" t="s">
        <v>2327</v>
      </c>
      <c r="B1104" s="9">
        <v>11.399999999999999</v>
      </c>
    </row>
    <row r="1105" spans="1:2" x14ac:dyDescent="0.35">
      <c r="A1105" s="91" t="s">
        <v>4416</v>
      </c>
      <c r="B1105" s="9">
        <v>6.6000000000000005</v>
      </c>
    </row>
    <row r="1106" spans="1:2" x14ac:dyDescent="0.35">
      <c r="A1106" s="91" t="s">
        <v>4227</v>
      </c>
      <c r="B1106" s="9">
        <v>14</v>
      </c>
    </row>
    <row r="1107" spans="1:2" x14ac:dyDescent="0.35">
      <c r="A1107" s="91" t="s">
        <v>5497</v>
      </c>
      <c r="B1107" s="9">
        <v>6.6000000000000005</v>
      </c>
    </row>
    <row r="1108" spans="1:2" x14ac:dyDescent="0.35">
      <c r="A1108" s="91" t="s">
        <v>2493</v>
      </c>
      <c r="B1108" s="9">
        <v>11.2</v>
      </c>
    </row>
    <row r="1109" spans="1:2" x14ac:dyDescent="0.35">
      <c r="A1109" s="91" t="s">
        <v>1612</v>
      </c>
      <c r="B1109" s="9">
        <v>11</v>
      </c>
    </row>
    <row r="1110" spans="1:2" x14ac:dyDescent="0.35">
      <c r="A1110" s="91" t="s">
        <v>4476</v>
      </c>
      <c r="B1110" s="9">
        <v>8.8000000000000007</v>
      </c>
    </row>
    <row r="1111" spans="1:2" x14ac:dyDescent="0.35">
      <c r="A1111" s="91" t="s">
        <v>5764</v>
      </c>
      <c r="B1111" s="9">
        <v>4.4000000000000004</v>
      </c>
    </row>
    <row r="1112" spans="1:2" x14ac:dyDescent="0.35">
      <c r="A1112" s="91" t="s">
        <v>3771</v>
      </c>
      <c r="B1112" s="9">
        <v>5.6</v>
      </c>
    </row>
    <row r="1113" spans="1:2" x14ac:dyDescent="0.35">
      <c r="A1113" s="91" t="s">
        <v>2864</v>
      </c>
      <c r="B1113" s="9">
        <v>7.5</v>
      </c>
    </row>
    <row r="1114" spans="1:2" x14ac:dyDescent="0.35">
      <c r="A1114" s="91" t="s">
        <v>1851</v>
      </c>
      <c r="B1114" s="9">
        <v>8.3999999999999986</v>
      </c>
    </row>
    <row r="1115" spans="1:2" x14ac:dyDescent="0.35">
      <c r="A1115" s="91" t="s">
        <v>4088</v>
      </c>
      <c r="B1115" s="9">
        <v>4.4000000000000004</v>
      </c>
    </row>
    <row r="1116" spans="1:2" x14ac:dyDescent="0.35">
      <c r="A1116" s="91" t="s">
        <v>3954</v>
      </c>
      <c r="B1116" s="9">
        <v>5</v>
      </c>
    </row>
    <row r="1117" spans="1:2" x14ac:dyDescent="0.35">
      <c r="A1117" s="91" t="s">
        <v>4114</v>
      </c>
      <c r="B1117" s="9">
        <v>12.5</v>
      </c>
    </row>
    <row r="1118" spans="1:2" x14ac:dyDescent="0.35">
      <c r="A1118" s="91" t="s">
        <v>4696</v>
      </c>
      <c r="B1118" s="9">
        <v>7</v>
      </c>
    </row>
    <row r="1119" spans="1:2" x14ac:dyDescent="0.35">
      <c r="A1119" s="91" t="s">
        <v>1098</v>
      </c>
      <c r="B1119" s="9">
        <v>4.4000000000000004</v>
      </c>
    </row>
    <row r="1120" spans="1:2" x14ac:dyDescent="0.35">
      <c r="A1120" s="91" t="s">
        <v>3382</v>
      </c>
      <c r="B1120" s="9">
        <v>3.5</v>
      </c>
    </row>
    <row r="1121" spans="1:2" x14ac:dyDescent="0.35">
      <c r="A1121" s="91" t="s">
        <v>4194</v>
      </c>
      <c r="B1121" s="9">
        <v>2.5</v>
      </c>
    </row>
    <row r="1122" spans="1:2" x14ac:dyDescent="0.35">
      <c r="A1122" s="91" t="s">
        <v>5710</v>
      </c>
      <c r="B1122" s="9">
        <v>10.5</v>
      </c>
    </row>
    <row r="1123" spans="1:2" x14ac:dyDescent="0.35">
      <c r="A1123" s="91" t="s">
        <v>5825</v>
      </c>
      <c r="B1123" s="9">
        <v>5</v>
      </c>
    </row>
    <row r="1124" spans="1:2" x14ac:dyDescent="0.35">
      <c r="A1124" s="91" t="s">
        <v>4914</v>
      </c>
      <c r="B1124" s="9">
        <v>8.3999999999999986</v>
      </c>
    </row>
    <row r="1125" spans="1:2" x14ac:dyDescent="0.35">
      <c r="A1125" s="91" t="s">
        <v>3017</v>
      </c>
      <c r="B1125" s="9">
        <v>11</v>
      </c>
    </row>
    <row r="1126" spans="1:2" x14ac:dyDescent="0.35">
      <c r="A1126" s="91" t="s">
        <v>2031</v>
      </c>
      <c r="B1126" s="9">
        <v>2.5</v>
      </c>
    </row>
    <row r="1127" spans="1:2" x14ac:dyDescent="0.35">
      <c r="A1127" s="91" t="s">
        <v>1964</v>
      </c>
      <c r="B1127" s="9">
        <v>5</v>
      </c>
    </row>
    <row r="1128" spans="1:2" x14ac:dyDescent="0.35">
      <c r="A1128" s="91" t="s">
        <v>5682</v>
      </c>
      <c r="B1128" s="9">
        <v>19</v>
      </c>
    </row>
    <row r="1129" spans="1:2" x14ac:dyDescent="0.35">
      <c r="A1129" s="91" t="s">
        <v>4819</v>
      </c>
      <c r="B1129" s="9">
        <v>19</v>
      </c>
    </row>
    <row r="1130" spans="1:2" x14ac:dyDescent="0.35">
      <c r="A1130" s="91" t="s">
        <v>5711</v>
      </c>
      <c r="B1130" s="9">
        <v>7</v>
      </c>
    </row>
    <row r="1131" spans="1:2" x14ac:dyDescent="0.35">
      <c r="A1131" s="91" t="s">
        <v>5594</v>
      </c>
      <c r="B1131" s="9">
        <v>17.5</v>
      </c>
    </row>
    <row r="1132" spans="1:2" x14ac:dyDescent="0.35">
      <c r="A1132" s="91" t="s">
        <v>1830</v>
      </c>
      <c r="B1132" s="9">
        <v>6.6000000000000005</v>
      </c>
    </row>
    <row r="1133" spans="1:2" x14ac:dyDescent="0.35">
      <c r="A1133" s="91" t="s">
        <v>3096</v>
      </c>
      <c r="B1133" s="9">
        <v>5</v>
      </c>
    </row>
    <row r="1134" spans="1:2" x14ac:dyDescent="0.35">
      <c r="A1134" s="91" t="s">
        <v>2806</v>
      </c>
      <c r="B1134" s="9">
        <v>7.5</v>
      </c>
    </row>
    <row r="1135" spans="1:2" x14ac:dyDescent="0.35">
      <c r="A1135" s="91" t="s">
        <v>4738</v>
      </c>
      <c r="B1135" s="9">
        <v>10</v>
      </c>
    </row>
    <row r="1136" spans="1:2" x14ac:dyDescent="0.35">
      <c r="A1136" s="91" t="s">
        <v>5683</v>
      </c>
      <c r="B1136" s="9">
        <v>3.8</v>
      </c>
    </row>
    <row r="1137" spans="1:2" x14ac:dyDescent="0.35">
      <c r="A1137" s="91" t="s">
        <v>2865</v>
      </c>
      <c r="B1137" s="9">
        <v>11.399999999999999</v>
      </c>
    </row>
    <row r="1138" spans="1:2" x14ac:dyDescent="0.35">
      <c r="A1138" s="91" t="s">
        <v>3915</v>
      </c>
      <c r="B1138" s="9">
        <v>2.2000000000000002</v>
      </c>
    </row>
    <row r="1139" spans="1:2" x14ac:dyDescent="0.35">
      <c r="A1139" s="91" t="s">
        <v>702</v>
      </c>
      <c r="B1139" s="9">
        <v>2.2000000000000002</v>
      </c>
    </row>
    <row r="1140" spans="1:2" x14ac:dyDescent="0.35">
      <c r="A1140" s="91" t="s">
        <v>1944</v>
      </c>
      <c r="B1140" s="9">
        <v>11.399999999999999</v>
      </c>
    </row>
    <row r="1141" spans="1:2" x14ac:dyDescent="0.35">
      <c r="A1141" s="91" t="s">
        <v>4452</v>
      </c>
      <c r="B1141" s="9">
        <v>17.5</v>
      </c>
    </row>
    <row r="1142" spans="1:2" x14ac:dyDescent="0.35">
      <c r="A1142" s="91" t="s">
        <v>2783</v>
      </c>
      <c r="B1142" s="9">
        <v>11.2</v>
      </c>
    </row>
    <row r="1143" spans="1:2" x14ac:dyDescent="0.35">
      <c r="A1143" s="91" t="s">
        <v>3475</v>
      </c>
      <c r="B1143" s="9">
        <v>14</v>
      </c>
    </row>
    <row r="1144" spans="1:2" x14ac:dyDescent="0.35">
      <c r="A1144" s="91" t="s">
        <v>1945</v>
      </c>
      <c r="B1144" s="9">
        <v>12.5</v>
      </c>
    </row>
    <row r="1145" spans="1:2" x14ac:dyDescent="0.35">
      <c r="A1145" s="91" t="s">
        <v>1100</v>
      </c>
      <c r="B1145" s="9">
        <v>3.8</v>
      </c>
    </row>
    <row r="1146" spans="1:2" x14ac:dyDescent="0.35">
      <c r="A1146" s="91" t="s">
        <v>4750</v>
      </c>
      <c r="B1146" s="9">
        <v>10.5</v>
      </c>
    </row>
    <row r="1147" spans="1:2" x14ac:dyDescent="0.35">
      <c r="A1147" s="91" t="s">
        <v>2344</v>
      </c>
      <c r="B1147" s="9">
        <v>2.5</v>
      </c>
    </row>
    <row r="1148" spans="1:2" x14ac:dyDescent="0.35">
      <c r="A1148" s="91" t="s">
        <v>2390</v>
      </c>
      <c r="B1148" s="9">
        <v>4.4000000000000004</v>
      </c>
    </row>
    <row r="1149" spans="1:2" x14ac:dyDescent="0.35">
      <c r="A1149" s="91" t="s">
        <v>2752</v>
      </c>
      <c r="B1149" s="9">
        <v>19</v>
      </c>
    </row>
    <row r="1150" spans="1:2" x14ac:dyDescent="0.35">
      <c r="A1150" s="91" t="s">
        <v>4342</v>
      </c>
      <c r="B1150" s="9">
        <v>12.5</v>
      </c>
    </row>
    <row r="1151" spans="1:2" x14ac:dyDescent="0.35">
      <c r="A1151" s="91" t="s">
        <v>2960</v>
      </c>
      <c r="B1151" s="9">
        <v>14</v>
      </c>
    </row>
    <row r="1152" spans="1:2" x14ac:dyDescent="0.35">
      <c r="A1152" s="91" t="s">
        <v>3445</v>
      </c>
      <c r="B1152" s="9">
        <v>3.5</v>
      </c>
    </row>
    <row r="1153" spans="1:2" x14ac:dyDescent="0.35">
      <c r="A1153" s="91" t="s">
        <v>4056</v>
      </c>
      <c r="B1153" s="9">
        <v>3.5</v>
      </c>
    </row>
    <row r="1154" spans="1:2" x14ac:dyDescent="0.35">
      <c r="A1154" s="91" t="s">
        <v>3955</v>
      </c>
      <c r="B1154" s="9">
        <v>11</v>
      </c>
    </row>
    <row r="1155" spans="1:2" x14ac:dyDescent="0.35">
      <c r="A1155" s="91" t="s">
        <v>5808</v>
      </c>
      <c r="B1155" s="9">
        <v>2.8</v>
      </c>
    </row>
    <row r="1156" spans="1:2" x14ac:dyDescent="0.35">
      <c r="A1156" s="91" t="s">
        <v>3938</v>
      </c>
      <c r="B1156" s="9">
        <v>12.5</v>
      </c>
    </row>
    <row r="1157" spans="1:2" x14ac:dyDescent="0.35">
      <c r="A1157" s="91" t="s">
        <v>859</v>
      </c>
      <c r="B1157" s="9">
        <v>2.2000000000000002</v>
      </c>
    </row>
    <row r="1158" spans="1:2" x14ac:dyDescent="0.35">
      <c r="A1158" s="91" t="s">
        <v>2460</v>
      </c>
      <c r="B1158" s="9">
        <v>17.5</v>
      </c>
    </row>
    <row r="1159" spans="1:2" x14ac:dyDescent="0.35">
      <c r="A1159" s="91" t="s">
        <v>3867</v>
      </c>
      <c r="B1159" s="9">
        <v>8.8000000000000007</v>
      </c>
    </row>
    <row r="1160" spans="1:2" x14ac:dyDescent="0.35">
      <c r="A1160" s="91" t="s">
        <v>3840</v>
      </c>
      <c r="B1160" s="9">
        <v>10</v>
      </c>
    </row>
    <row r="1161" spans="1:2" x14ac:dyDescent="0.35">
      <c r="A1161" s="91" t="s">
        <v>3669</v>
      </c>
      <c r="B1161" s="9">
        <v>5.6</v>
      </c>
    </row>
    <row r="1162" spans="1:2" x14ac:dyDescent="0.35">
      <c r="A1162" s="91" t="s">
        <v>3814</v>
      </c>
      <c r="B1162" s="9">
        <v>8.8000000000000007</v>
      </c>
    </row>
    <row r="1163" spans="1:2" x14ac:dyDescent="0.35">
      <c r="A1163" s="91" t="s">
        <v>2391</v>
      </c>
      <c r="B1163" s="9">
        <v>19</v>
      </c>
    </row>
    <row r="1164" spans="1:2" x14ac:dyDescent="0.35">
      <c r="A1164" s="91" t="s">
        <v>2080</v>
      </c>
      <c r="B1164" s="9">
        <v>15.2</v>
      </c>
    </row>
    <row r="1165" spans="1:2" x14ac:dyDescent="0.35">
      <c r="A1165" s="91" t="s">
        <v>3939</v>
      </c>
      <c r="B1165" s="9">
        <v>8.8000000000000007</v>
      </c>
    </row>
    <row r="1166" spans="1:2" x14ac:dyDescent="0.35">
      <c r="A1166" s="91" t="s">
        <v>412</v>
      </c>
      <c r="B1166" s="9">
        <v>11.2</v>
      </c>
    </row>
    <row r="1167" spans="1:2" x14ac:dyDescent="0.35">
      <c r="A1167" s="91" t="s">
        <v>2987</v>
      </c>
      <c r="B1167" s="9">
        <v>5.6</v>
      </c>
    </row>
    <row r="1168" spans="1:2" x14ac:dyDescent="0.35">
      <c r="A1168" s="91" t="s">
        <v>729</v>
      </c>
      <c r="B1168" s="9">
        <v>2.2000000000000002</v>
      </c>
    </row>
    <row r="1169" spans="1:2" x14ac:dyDescent="0.35">
      <c r="A1169" s="91" t="s">
        <v>5051</v>
      </c>
      <c r="B1169" s="9">
        <v>3.8</v>
      </c>
    </row>
    <row r="1170" spans="1:2" x14ac:dyDescent="0.35">
      <c r="A1170" s="91" t="s">
        <v>5041</v>
      </c>
      <c r="B1170" s="9">
        <v>2.2000000000000002</v>
      </c>
    </row>
    <row r="1171" spans="1:2" x14ac:dyDescent="0.35">
      <c r="A1171" s="91" t="s">
        <v>3242</v>
      </c>
      <c r="B1171" s="9">
        <v>11.399999999999999</v>
      </c>
    </row>
    <row r="1172" spans="1:2" x14ac:dyDescent="0.35">
      <c r="A1172" s="91" t="s">
        <v>3055</v>
      </c>
      <c r="B1172" s="9">
        <v>6.6000000000000005</v>
      </c>
    </row>
    <row r="1173" spans="1:2" x14ac:dyDescent="0.35">
      <c r="A1173" s="91" t="s">
        <v>5650</v>
      </c>
      <c r="B1173" s="9">
        <v>17.5</v>
      </c>
    </row>
    <row r="1174" spans="1:2" x14ac:dyDescent="0.35">
      <c r="A1174" s="91" t="s">
        <v>2816</v>
      </c>
      <c r="B1174" s="9">
        <v>10.5</v>
      </c>
    </row>
    <row r="1175" spans="1:2" x14ac:dyDescent="0.35">
      <c r="A1175" s="91" t="s">
        <v>2088</v>
      </c>
      <c r="B1175" s="9">
        <v>19</v>
      </c>
    </row>
    <row r="1176" spans="1:2" x14ac:dyDescent="0.35">
      <c r="A1176" s="91" t="s">
        <v>337</v>
      </c>
      <c r="B1176" s="9">
        <v>3.5</v>
      </c>
    </row>
    <row r="1177" spans="1:2" x14ac:dyDescent="0.35">
      <c r="A1177" s="91" t="s">
        <v>4697</v>
      </c>
      <c r="B1177" s="9">
        <v>10.5</v>
      </c>
    </row>
    <row r="1178" spans="1:2" x14ac:dyDescent="0.35">
      <c r="A1178" s="91" t="s">
        <v>3878</v>
      </c>
      <c r="B1178" s="9">
        <v>11.399999999999999</v>
      </c>
    </row>
    <row r="1179" spans="1:2" x14ac:dyDescent="0.35">
      <c r="A1179" s="91" t="s">
        <v>4739</v>
      </c>
      <c r="B1179" s="9">
        <v>8.3999999999999986</v>
      </c>
    </row>
    <row r="1180" spans="1:2" x14ac:dyDescent="0.35">
      <c r="A1180" s="91" t="s">
        <v>1810</v>
      </c>
      <c r="B1180" s="9">
        <v>2.8</v>
      </c>
    </row>
    <row r="1181" spans="1:2" x14ac:dyDescent="0.35">
      <c r="A1181" s="91" t="s">
        <v>5897</v>
      </c>
      <c r="B1181" s="9">
        <v>5</v>
      </c>
    </row>
    <row r="1182" spans="1:2" x14ac:dyDescent="0.35">
      <c r="A1182" s="91" t="s">
        <v>5191</v>
      </c>
      <c r="B1182" s="9">
        <v>5</v>
      </c>
    </row>
    <row r="1183" spans="1:2" x14ac:dyDescent="0.35">
      <c r="A1183" s="91" t="s">
        <v>5268</v>
      </c>
      <c r="B1183" s="9">
        <v>2.2000000000000002</v>
      </c>
    </row>
    <row r="1184" spans="1:2" x14ac:dyDescent="0.35">
      <c r="A1184" s="91" t="s">
        <v>3727</v>
      </c>
      <c r="B1184" s="9">
        <v>19</v>
      </c>
    </row>
    <row r="1185" spans="1:2" x14ac:dyDescent="0.35">
      <c r="A1185" s="91" t="s">
        <v>154</v>
      </c>
      <c r="B1185" s="9">
        <v>17.5</v>
      </c>
    </row>
    <row r="1186" spans="1:2" x14ac:dyDescent="0.35">
      <c r="A1186" s="91" t="s">
        <v>3424</v>
      </c>
      <c r="B1186" s="9">
        <v>7.5</v>
      </c>
    </row>
    <row r="1187" spans="1:2" x14ac:dyDescent="0.35">
      <c r="A1187" s="91" t="s">
        <v>4242</v>
      </c>
      <c r="B1187" s="9">
        <v>7.6</v>
      </c>
    </row>
    <row r="1188" spans="1:2" x14ac:dyDescent="0.35">
      <c r="A1188" s="91" t="s">
        <v>2277</v>
      </c>
      <c r="B1188" s="9">
        <v>7</v>
      </c>
    </row>
    <row r="1189" spans="1:2" x14ac:dyDescent="0.35">
      <c r="A1189" s="91" t="s">
        <v>3716</v>
      </c>
      <c r="B1189" s="9">
        <v>5</v>
      </c>
    </row>
    <row r="1190" spans="1:2" x14ac:dyDescent="0.35">
      <c r="A1190" s="91" t="s">
        <v>2561</v>
      </c>
      <c r="B1190" s="9">
        <v>11.399999999999999</v>
      </c>
    </row>
    <row r="1191" spans="1:2" x14ac:dyDescent="0.35">
      <c r="A1191" s="91" t="s">
        <v>5924</v>
      </c>
      <c r="B1191" s="9">
        <v>7</v>
      </c>
    </row>
    <row r="1192" spans="1:2" x14ac:dyDescent="0.35">
      <c r="A1192" s="91" t="s">
        <v>2108</v>
      </c>
      <c r="B1192" s="9">
        <v>11.2</v>
      </c>
    </row>
    <row r="1193" spans="1:2" x14ac:dyDescent="0.35">
      <c r="A1193" s="91" t="s">
        <v>2439</v>
      </c>
      <c r="B1193" s="9">
        <v>3.5</v>
      </c>
    </row>
    <row r="1194" spans="1:2" x14ac:dyDescent="0.35">
      <c r="A1194" s="91" t="s">
        <v>576</v>
      </c>
      <c r="B1194" s="9">
        <v>7.6</v>
      </c>
    </row>
    <row r="1195" spans="1:2" x14ac:dyDescent="0.35">
      <c r="A1195" s="91" t="s">
        <v>5072</v>
      </c>
      <c r="B1195" s="9">
        <v>3.5</v>
      </c>
    </row>
    <row r="1196" spans="1:2" x14ac:dyDescent="0.35">
      <c r="A1196" s="91" t="s">
        <v>5543</v>
      </c>
      <c r="B1196" s="9">
        <v>2.2000000000000002</v>
      </c>
    </row>
    <row r="1197" spans="1:2" x14ac:dyDescent="0.35">
      <c r="A1197" s="91" t="s">
        <v>1343</v>
      </c>
      <c r="B1197" s="9">
        <v>19</v>
      </c>
    </row>
    <row r="1198" spans="1:2" x14ac:dyDescent="0.35">
      <c r="A1198" s="91" t="s">
        <v>2314</v>
      </c>
      <c r="B1198" s="9">
        <v>4.4000000000000004</v>
      </c>
    </row>
    <row r="1199" spans="1:2" x14ac:dyDescent="0.35">
      <c r="A1199" s="91" t="s">
        <v>3462</v>
      </c>
      <c r="B1199" s="9">
        <v>15.2</v>
      </c>
    </row>
    <row r="1200" spans="1:2" x14ac:dyDescent="0.35">
      <c r="A1200" s="91" t="s">
        <v>1255</v>
      </c>
      <c r="B1200" s="9">
        <v>10.5</v>
      </c>
    </row>
    <row r="1201" spans="1:2" x14ac:dyDescent="0.35">
      <c r="A1201" s="91" t="s">
        <v>2440</v>
      </c>
      <c r="B1201" s="9">
        <v>7</v>
      </c>
    </row>
    <row r="1202" spans="1:2" x14ac:dyDescent="0.35">
      <c r="A1202" s="91" t="s">
        <v>4139</v>
      </c>
      <c r="B1202" s="9">
        <v>14</v>
      </c>
    </row>
    <row r="1203" spans="1:2" x14ac:dyDescent="0.35">
      <c r="A1203" s="91" t="s">
        <v>4417</v>
      </c>
      <c r="B1203" s="9">
        <v>2.2000000000000002</v>
      </c>
    </row>
    <row r="1204" spans="1:2" x14ac:dyDescent="0.35">
      <c r="A1204" s="91" t="s">
        <v>338</v>
      </c>
      <c r="B1204" s="9">
        <v>11.2</v>
      </c>
    </row>
    <row r="1205" spans="1:2" x14ac:dyDescent="0.35">
      <c r="A1205" s="91" t="s">
        <v>5217</v>
      </c>
      <c r="B1205" s="9">
        <v>3.8</v>
      </c>
    </row>
    <row r="1206" spans="1:2" x14ac:dyDescent="0.35">
      <c r="A1206" s="91" t="s">
        <v>4887</v>
      </c>
      <c r="B1206" s="9">
        <v>8.8000000000000007</v>
      </c>
    </row>
    <row r="1207" spans="1:2" x14ac:dyDescent="0.35">
      <c r="A1207" s="91" t="s">
        <v>2197</v>
      </c>
      <c r="B1207" s="9">
        <v>11</v>
      </c>
    </row>
    <row r="1208" spans="1:2" x14ac:dyDescent="0.35">
      <c r="A1208" s="91" t="s">
        <v>3717</v>
      </c>
      <c r="B1208" s="9">
        <v>5.6</v>
      </c>
    </row>
    <row r="1209" spans="1:2" x14ac:dyDescent="0.35">
      <c r="A1209" s="91" t="s">
        <v>2278</v>
      </c>
      <c r="B1209" s="9">
        <v>11.399999999999999</v>
      </c>
    </row>
    <row r="1210" spans="1:2" x14ac:dyDescent="0.35">
      <c r="A1210" s="91" t="s">
        <v>3350</v>
      </c>
      <c r="B1210" s="9">
        <v>14</v>
      </c>
    </row>
    <row r="1211" spans="1:2" x14ac:dyDescent="0.35">
      <c r="A1211" s="91" t="s">
        <v>1549</v>
      </c>
      <c r="B1211" s="9">
        <v>3.8</v>
      </c>
    </row>
    <row r="1212" spans="1:2" x14ac:dyDescent="0.35">
      <c r="A1212" s="91" t="s">
        <v>5334</v>
      </c>
      <c r="B1212" s="9">
        <v>10</v>
      </c>
    </row>
    <row r="1213" spans="1:2" x14ac:dyDescent="0.35">
      <c r="A1213" s="91" t="s">
        <v>5684</v>
      </c>
      <c r="B1213" s="9">
        <v>2.5</v>
      </c>
    </row>
    <row r="1214" spans="1:2" x14ac:dyDescent="0.35">
      <c r="A1214" s="91" t="s">
        <v>4219</v>
      </c>
      <c r="B1214" s="9">
        <v>12.5</v>
      </c>
    </row>
    <row r="1215" spans="1:2" x14ac:dyDescent="0.35">
      <c r="A1215" s="91" t="s">
        <v>3124</v>
      </c>
      <c r="B1215" s="9">
        <v>3.8</v>
      </c>
    </row>
    <row r="1216" spans="1:2" x14ac:dyDescent="0.35">
      <c r="A1216" s="91" t="s">
        <v>5685</v>
      </c>
      <c r="B1216" s="9">
        <v>2.8</v>
      </c>
    </row>
    <row r="1217" spans="1:2" x14ac:dyDescent="0.35">
      <c r="A1217" s="91" t="s">
        <v>5512</v>
      </c>
      <c r="B1217" s="9">
        <v>19</v>
      </c>
    </row>
    <row r="1218" spans="1:2" x14ac:dyDescent="0.35">
      <c r="A1218" s="91" t="s">
        <v>5171</v>
      </c>
      <c r="B1218" s="9">
        <v>17.5</v>
      </c>
    </row>
    <row r="1219" spans="1:2" x14ac:dyDescent="0.35">
      <c r="A1219" s="91" t="s">
        <v>4600</v>
      </c>
      <c r="B1219" s="9">
        <v>7.6</v>
      </c>
    </row>
    <row r="1220" spans="1:2" x14ac:dyDescent="0.35">
      <c r="A1220" s="91" t="s">
        <v>2430</v>
      </c>
      <c r="B1220" s="9">
        <v>2.2000000000000002</v>
      </c>
    </row>
    <row r="1221" spans="1:2" x14ac:dyDescent="0.35">
      <c r="A1221" s="91" t="s">
        <v>1918</v>
      </c>
      <c r="B1221" s="9">
        <v>8.8000000000000007</v>
      </c>
    </row>
    <row r="1222" spans="1:2" x14ac:dyDescent="0.35">
      <c r="A1222" s="91" t="s">
        <v>4069</v>
      </c>
      <c r="B1222" s="9">
        <v>19</v>
      </c>
    </row>
    <row r="1223" spans="1:2" x14ac:dyDescent="0.35">
      <c r="A1223" s="91" t="s">
        <v>3097</v>
      </c>
      <c r="B1223" s="9">
        <v>8.3999999999999986</v>
      </c>
    </row>
    <row r="1224" spans="1:2" x14ac:dyDescent="0.35">
      <c r="A1224" s="91" t="s">
        <v>2715</v>
      </c>
      <c r="B1224" s="9">
        <v>2.5</v>
      </c>
    </row>
    <row r="1225" spans="1:2" x14ac:dyDescent="0.35">
      <c r="A1225" s="91" t="s">
        <v>4477</v>
      </c>
      <c r="B1225" s="9">
        <v>3.5</v>
      </c>
    </row>
    <row r="1226" spans="1:2" x14ac:dyDescent="0.35">
      <c r="A1226" s="91" t="s">
        <v>2753</v>
      </c>
      <c r="B1226" s="9">
        <v>19</v>
      </c>
    </row>
    <row r="1227" spans="1:2" x14ac:dyDescent="0.35">
      <c r="A1227" s="91" t="s">
        <v>2942</v>
      </c>
      <c r="B1227" s="9">
        <v>10.5</v>
      </c>
    </row>
    <row r="1228" spans="1:2" x14ac:dyDescent="0.35">
      <c r="A1228" s="91" t="s">
        <v>3956</v>
      </c>
      <c r="B1228" s="9">
        <v>19</v>
      </c>
    </row>
    <row r="1229" spans="1:2" x14ac:dyDescent="0.35">
      <c r="A1229" s="91" t="s">
        <v>463</v>
      </c>
      <c r="B1229" s="9">
        <v>3.8</v>
      </c>
    </row>
    <row r="1230" spans="1:2" x14ac:dyDescent="0.35">
      <c r="A1230" s="91" t="s">
        <v>5378</v>
      </c>
      <c r="B1230" s="9">
        <v>8.8000000000000007</v>
      </c>
    </row>
    <row r="1231" spans="1:2" x14ac:dyDescent="0.35">
      <c r="A1231" s="91" t="s">
        <v>433</v>
      </c>
      <c r="B1231" s="9">
        <v>10.5</v>
      </c>
    </row>
    <row r="1232" spans="1:2" x14ac:dyDescent="0.35">
      <c r="A1232" s="91" t="s">
        <v>4170</v>
      </c>
      <c r="B1232" s="9">
        <v>6.6000000000000005</v>
      </c>
    </row>
    <row r="1233" spans="1:2" x14ac:dyDescent="0.35">
      <c r="A1233" s="91" t="s">
        <v>5318</v>
      </c>
      <c r="B1233" s="9">
        <v>8.3999999999999986</v>
      </c>
    </row>
    <row r="1234" spans="1:2" x14ac:dyDescent="0.35">
      <c r="A1234" s="91" t="s">
        <v>3463</v>
      </c>
      <c r="B1234" s="9">
        <v>19</v>
      </c>
    </row>
    <row r="1235" spans="1:2" x14ac:dyDescent="0.35">
      <c r="A1235" s="91" t="s">
        <v>1853</v>
      </c>
      <c r="B1235" s="9">
        <v>8.8000000000000007</v>
      </c>
    </row>
    <row r="1236" spans="1:2" x14ac:dyDescent="0.35">
      <c r="A1236" s="91" t="s">
        <v>3772</v>
      </c>
      <c r="B1236" s="9">
        <v>4.4000000000000004</v>
      </c>
    </row>
    <row r="1237" spans="1:2" x14ac:dyDescent="0.35">
      <c r="A1237" s="91" t="s">
        <v>3868</v>
      </c>
      <c r="B1237" s="9">
        <v>12.5</v>
      </c>
    </row>
    <row r="1238" spans="1:2" x14ac:dyDescent="0.35">
      <c r="A1238" s="91" t="s">
        <v>4044</v>
      </c>
      <c r="B1238" s="9">
        <v>7</v>
      </c>
    </row>
    <row r="1239" spans="1:2" x14ac:dyDescent="0.35">
      <c r="A1239" s="91" t="s">
        <v>389</v>
      </c>
      <c r="B1239" s="9">
        <v>7</v>
      </c>
    </row>
    <row r="1240" spans="1:2" x14ac:dyDescent="0.35">
      <c r="A1240" s="91" t="s">
        <v>4488</v>
      </c>
      <c r="B1240" s="9">
        <v>15.2</v>
      </c>
    </row>
    <row r="1241" spans="1:2" x14ac:dyDescent="0.35">
      <c r="A1241" s="91" t="s">
        <v>1256</v>
      </c>
      <c r="B1241" s="9">
        <v>3.8</v>
      </c>
    </row>
    <row r="1242" spans="1:2" x14ac:dyDescent="0.35">
      <c r="A1242" s="91" t="s">
        <v>2252</v>
      </c>
      <c r="B1242" s="9">
        <v>5</v>
      </c>
    </row>
    <row r="1243" spans="1:2" x14ac:dyDescent="0.35">
      <c r="A1243" s="91" t="s">
        <v>3425</v>
      </c>
      <c r="B1243" s="9">
        <v>7</v>
      </c>
    </row>
    <row r="1244" spans="1:2" x14ac:dyDescent="0.35">
      <c r="A1244" s="91" t="s">
        <v>4030</v>
      </c>
      <c r="B1244" s="9">
        <v>2.8</v>
      </c>
    </row>
    <row r="1245" spans="1:2" x14ac:dyDescent="0.35">
      <c r="A1245" s="91" t="s">
        <v>2856</v>
      </c>
      <c r="B1245" s="9">
        <v>14</v>
      </c>
    </row>
    <row r="1246" spans="1:2" x14ac:dyDescent="0.35">
      <c r="A1246" s="91" t="s">
        <v>5150</v>
      </c>
      <c r="B1246" s="9">
        <v>11.2</v>
      </c>
    </row>
    <row r="1247" spans="1:2" x14ac:dyDescent="0.35">
      <c r="A1247" s="91" t="s">
        <v>2643</v>
      </c>
      <c r="B1247" s="9">
        <v>3.5</v>
      </c>
    </row>
    <row r="1248" spans="1:2" x14ac:dyDescent="0.35">
      <c r="A1248" s="91" t="s">
        <v>3464</v>
      </c>
      <c r="B1248" s="9">
        <v>14</v>
      </c>
    </row>
    <row r="1249" spans="1:2" x14ac:dyDescent="0.35">
      <c r="A1249" s="91" t="s">
        <v>211</v>
      </c>
      <c r="B1249" s="9">
        <v>7.6</v>
      </c>
    </row>
    <row r="1250" spans="1:2" x14ac:dyDescent="0.35">
      <c r="A1250" s="91" t="s">
        <v>3982</v>
      </c>
      <c r="B1250" s="9">
        <v>4.4000000000000004</v>
      </c>
    </row>
    <row r="1251" spans="1:2" x14ac:dyDescent="0.35">
      <c r="A1251" s="91" t="s">
        <v>5269</v>
      </c>
      <c r="B1251" s="9">
        <v>19</v>
      </c>
    </row>
    <row r="1252" spans="1:2" x14ac:dyDescent="0.35">
      <c r="A1252" s="91" t="s">
        <v>5613</v>
      </c>
      <c r="B1252" s="9">
        <v>6.6000000000000005</v>
      </c>
    </row>
    <row r="1253" spans="1:2" x14ac:dyDescent="0.35">
      <c r="A1253" s="91" t="s">
        <v>3019</v>
      </c>
      <c r="B1253" s="9">
        <v>11.399999999999999</v>
      </c>
    </row>
    <row r="1254" spans="1:2" x14ac:dyDescent="0.35">
      <c r="A1254" s="91" t="s">
        <v>4653</v>
      </c>
      <c r="B1254" s="9">
        <v>12.5</v>
      </c>
    </row>
    <row r="1255" spans="1:2" x14ac:dyDescent="0.35">
      <c r="A1255" s="91" t="s">
        <v>4546</v>
      </c>
      <c r="B1255" s="9">
        <v>2.2000000000000002</v>
      </c>
    </row>
    <row r="1256" spans="1:2" x14ac:dyDescent="0.35">
      <c r="A1256" s="91" t="s">
        <v>5908</v>
      </c>
      <c r="B1256" s="9">
        <v>5.6</v>
      </c>
    </row>
    <row r="1257" spans="1:2" x14ac:dyDescent="0.35">
      <c r="A1257" s="91" t="s">
        <v>5809</v>
      </c>
      <c r="B1257" s="9">
        <v>4.4000000000000004</v>
      </c>
    </row>
    <row r="1258" spans="1:2" x14ac:dyDescent="0.35">
      <c r="A1258" s="91" t="s">
        <v>2754</v>
      </c>
      <c r="B1258" s="9">
        <v>3.8</v>
      </c>
    </row>
    <row r="1259" spans="1:2" x14ac:dyDescent="0.35">
      <c r="A1259" s="91" t="s">
        <v>5799</v>
      </c>
      <c r="B1259" s="9">
        <v>8.3999999999999986</v>
      </c>
    </row>
    <row r="1260" spans="1:2" x14ac:dyDescent="0.35">
      <c r="A1260" s="91" t="s">
        <v>5218</v>
      </c>
      <c r="B1260" s="9">
        <v>15.2</v>
      </c>
    </row>
    <row r="1261" spans="1:2" x14ac:dyDescent="0.35">
      <c r="A1261" s="91" t="s">
        <v>2828</v>
      </c>
      <c r="B1261" s="9">
        <v>6.6000000000000005</v>
      </c>
    </row>
    <row r="1262" spans="1:2" x14ac:dyDescent="0.35">
      <c r="A1262" s="91" t="s">
        <v>2974</v>
      </c>
      <c r="B1262" s="9">
        <v>12.5</v>
      </c>
    </row>
    <row r="1263" spans="1:2" x14ac:dyDescent="0.35">
      <c r="A1263" s="91" t="s">
        <v>4979</v>
      </c>
      <c r="B1263" s="9">
        <v>11.399999999999999</v>
      </c>
    </row>
    <row r="1264" spans="1:2" x14ac:dyDescent="0.35">
      <c r="A1264" s="91" t="s">
        <v>5172</v>
      </c>
      <c r="B1264" s="9">
        <v>10</v>
      </c>
    </row>
    <row r="1265" spans="1:2" x14ac:dyDescent="0.35">
      <c r="A1265" s="91" t="s">
        <v>4489</v>
      </c>
      <c r="B1265" s="9">
        <v>6.6000000000000005</v>
      </c>
    </row>
    <row r="1266" spans="1:2" x14ac:dyDescent="0.35">
      <c r="A1266" s="91" t="s">
        <v>1195</v>
      </c>
      <c r="B1266" s="9">
        <v>15.2</v>
      </c>
    </row>
    <row r="1267" spans="1:2" x14ac:dyDescent="0.35">
      <c r="A1267" s="91" t="s">
        <v>2704</v>
      </c>
      <c r="B1267" s="9">
        <v>10</v>
      </c>
    </row>
    <row r="1268" spans="1:2" x14ac:dyDescent="0.35">
      <c r="A1268" s="91" t="s">
        <v>5947</v>
      </c>
      <c r="B1268" s="9">
        <v>5</v>
      </c>
    </row>
    <row r="1269" spans="1:2" x14ac:dyDescent="0.35">
      <c r="A1269" s="91" t="s">
        <v>5686</v>
      </c>
      <c r="B1269" s="9">
        <v>3.5</v>
      </c>
    </row>
    <row r="1270" spans="1:2" x14ac:dyDescent="0.35">
      <c r="A1270" s="91" t="s">
        <v>3511</v>
      </c>
      <c r="B1270" s="9">
        <v>7.6</v>
      </c>
    </row>
    <row r="1271" spans="1:2" x14ac:dyDescent="0.35">
      <c r="A1271" s="91" t="s">
        <v>4326</v>
      </c>
      <c r="B1271" s="9">
        <v>8.3999999999999986</v>
      </c>
    </row>
    <row r="1272" spans="1:2" x14ac:dyDescent="0.35">
      <c r="A1272" s="91" t="s">
        <v>5347</v>
      </c>
      <c r="B1272" s="9">
        <v>2.2000000000000002</v>
      </c>
    </row>
    <row r="1273" spans="1:2" x14ac:dyDescent="0.35">
      <c r="A1273" s="91" t="s">
        <v>3728</v>
      </c>
      <c r="B1273" s="9">
        <v>3.5</v>
      </c>
    </row>
    <row r="1274" spans="1:2" x14ac:dyDescent="0.35">
      <c r="A1274" s="91" t="s">
        <v>5696</v>
      </c>
      <c r="B1274" s="9">
        <v>3.5</v>
      </c>
    </row>
    <row r="1275" spans="1:2" x14ac:dyDescent="0.35">
      <c r="A1275" s="91" t="s">
        <v>5433</v>
      </c>
      <c r="B1275" s="9">
        <v>7</v>
      </c>
    </row>
    <row r="1276" spans="1:2" x14ac:dyDescent="0.35">
      <c r="A1276" s="91" t="s">
        <v>2016</v>
      </c>
      <c r="B1276" s="9">
        <v>14</v>
      </c>
    </row>
    <row r="1277" spans="1:2" x14ac:dyDescent="0.35">
      <c r="A1277" s="91" t="s">
        <v>5445</v>
      </c>
      <c r="B1277" s="9">
        <v>11</v>
      </c>
    </row>
    <row r="1278" spans="1:2" x14ac:dyDescent="0.35">
      <c r="A1278" s="91" t="s">
        <v>5017</v>
      </c>
      <c r="B1278" s="9">
        <v>4.4000000000000004</v>
      </c>
    </row>
    <row r="1279" spans="1:2" x14ac:dyDescent="0.35">
      <c r="A1279" s="91" t="s">
        <v>821</v>
      </c>
      <c r="B1279" s="9">
        <v>8.8000000000000007</v>
      </c>
    </row>
    <row r="1280" spans="1:2" x14ac:dyDescent="0.35">
      <c r="A1280" s="91" t="s">
        <v>2328</v>
      </c>
      <c r="B1280" s="9">
        <v>2.8</v>
      </c>
    </row>
    <row r="1281" spans="1:2" x14ac:dyDescent="0.35">
      <c r="A1281" s="91" t="s">
        <v>122</v>
      </c>
      <c r="B1281" s="9">
        <v>4.4000000000000004</v>
      </c>
    </row>
    <row r="1282" spans="1:2" x14ac:dyDescent="0.35">
      <c r="A1282" s="91" t="s">
        <v>785</v>
      </c>
      <c r="B1282" s="9">
        <v>7.5</v>
      </c>
    </row>
    <row r="1283" spans="1:2" x14ac:dyDescent="0.35">
      <c r="A1283" s="91" t="s">
        <v>4443</v>
      </c>
      <c r="B1283" s="9">
        <v>11</v>
      </c>
    </row>
    <row r="1284" spans="1:2" x14ac:dyDescent="0.35">
      <c r="A1284" s="91" t="s">
        <v>3579</v>
      </c>
      <c r="B1284" s="9">
        <v>7</v>
      </c>
    </row>
    <row r="1285" spans="1:2" x14ac:dyDescent="0.35">
      <c r="A1285" s="91" t="s">
        <v>2943</v>
      </c>
      <c r="B1285" s="9">
        <v>2.5</v>
      </c>
    </row>
    <row r="1286" spans="1:2" x14ac:dyDescent="0.35">
      <c r="A1286" s="91" t="s">
        <v>3368</v>
      </c>
      <c r="B1286" s="9">
        <v>7.5</v>
      </c>
    </row>
    <row r="1287" spans="1:2" x14ac:dyDescent="0.35">
      <c r="A1287" s="91" t="s">
        <v>4804</v>
      </c>
      <c r="B1287" s="9">
        <v>11.2</v>
      </c>
    </row>
    <row r="1288" spans="1:2" x14ac:dyDescent="0.35">
      <c r="A1288" s="91" t="s">
        <v>3630</v>
      </c>
      <c r="B1288" s="9">
        <v>14</v>
      </c>
    </row>
    <row r="1289" spans="1:2" x14ac:dyDescent="0.35">
      <c r="A1289" s="91" t="s">
        <v>3670</v>
      </c>
      <c r="B1289" s="9">
        <v>11.2</v>
      </c>
    </row>
    <row r="1290" spans="1:2" x14ac:dyDescent="0.35">
      <c r="A1290" s="91" t="s">
        <v>2280</v>
      </c>
      <c r="B1290" s="9">
        <v>17.5</v>
      </c>
    </row>
    <row r="1291" spans="1:2" x14ac:dyDescent="0.35">
      <c r="A1291" s="91" t="s">
        <v>5938</v>
      </c>
      <c r="B1291" s="9">
        <v>11</v>
      </c>
    </row>
    <row r="1292" spans="1:2" x14ac:dyDescent="0.35">
      <c r="A1292" s="91" t="s">
        <v>2315</v>
      </c>
      <c r="B1292" s="9">
        <v>5.6</v>
      </c>
    </row>
    <row r="1293" spans="1:2" x14ac:dyDescent="0.35">
      <c r="A1293" s="91" t="s">
        <v>6008</v>
      </c>
      <c r="B1293" s="9">
        <v>10</v>
      </c>
    </row>
    <row r="1294" spans="1:2" x14ac:dyDescent="0.35">
      <c r="A1294" s="91" t="s">
        <v>5578</v>
      </c>
      <c r="B1294" s="9">
        <v>10</v>
      </c>
    </row>
    <row r="1295" spans="1:2" x14ac:dyDescent="0.35">
      <c r="A1295" s="91" t="s">
        <v>4405</v>
      </c>
      <c r="B1295" s="9">
        <v>17.5</v>
      </c>
    </row>
    <row r="1296" spans="1:2" x14ac:dyDescent="0.35">
      <c r="A1296" s="91" t="s">
        <v>4478</v>
      </c>
      <c r="B1296" s="9">
        <v>2.5</v>
      </c>
    </row>
    <row r="1297" spans="1:2" x14ac:dyDescent="0.35">
      <c r="A1297" s="91" t="s">
        <v>5042</v>
      </c>
      <c r="B1297" s="9">
        <v>17.5</v>
      </c>
    </row>
    <row r="1298" spans="1:2" x14ac:dyDescent="0.35">
      <c r="A1298" s="91" t="s">
        <v>5064</v>
      </c>
      <c r="B1298" s="9">
        <v>11</v>
      </c>
    </row>
    <row r="1299" spans="1:2" x14ac:dyDescent="0.35">
      <c r="A1299" s="91" t="s">
        <v>213</v>
      </c>
      <c r="B1299" s="9">
        <v>12.5</v>
      </c>
    </row>
    <row r="1300" spans="1:2" x14ac:dyDescent="0.35">
      <c r="A1300" s="91" t="s">
        <v>4794</v>
      </c>
      <c r="B1300" s="9">
        <v>3.8</v>
      </c>
    </row>
    <row r="1301" spans="1:2" x14ac:dyDescent="0.35">
      <c r="A1301" s="91" t="s">
        <v>3279</v>
      </c>
      <c r="B1301" s="9">
        <v>14</v>
      </c>
    </row>
    <row r="1302" spans="1:2" x14ac:dyDescent="0.35">
      <c r="A1302" s="91" t="s">
        <v>5513</v>
      </c>
      <c r="B1302" s="9">
        <v>5</v>
      </c>
    </row>
    <row r="1303" spans="1:2" x14ac:dyDescent="0.35">
      <c r="A1303" s="91" t="s">
        <v>2515</v>
      </c>
      <c r="B1303" s="9">
        <v>15.2</v>
      </c>
    </row>
    <row r="1304" spans="1:2" x14ac:dyDescent="0.35">
      <c r="A1304" s="91" t="s">
        <v>4299</v>
      </c>
      <c r="B1304" s="9">
        <v>2.2000000000000002</v>
      </c>
    </row>
    <row r="1305" spans="1:2" x14ac:dyDescent="0.35">
      <c r="A1305" s="91" t="s">
        <v>4948</v>
      </c>
      <c r="B1305" s="9">
        <v>6.6000000000000005</v>
      </c>
    </row>
    <row r="1306" spans="1:2" x14ac:dyDescent="0.35">
      <c r="A1306" s="91" t="s">
        <v>1358</v>
      </c>
      <c r="B1306" s="9">
        <v>3.5</v>
      </c>
    </row>
    <row r="1307" spans="1:2" x14ac:dyDescent="0.35">
      <c r="A1307" s="91" t="s">
        <v>3311</v>
      </c>
      <c r="B1307" s="9">
        <v>7.6</v>
      </c>
    </row>
    <row r="1308" spans="1:2" x14ac:dyDescent="0.35">
      <c r="A1308" s="91" t="s">
        <v>2376</v>
      </c>
      <c r="B1308" s="9">
        <v>14</v>
      </c>
    </row>
    <row r="1309" spans="1:2" x14ac:dyDescent="0.35">
      <c r="A1309" s="91" t="s">
        <v>5471</v>
      </c>
      <c r="B1309" s="9">
        <v>7</v>
      </c>
    </row>
    <row r="1310" spans="1:2" x14ac:dyDescent="0.35">
      <c r="A1310" s="91" t="s">
        <v>2532</v>
      </c>
      <c r="B1310" s="9">
        <v>11</v>
      </c>
    </row>
    <row r="1311" spans="1:2" x14ac:dyDescent="0.35">
      <c r="A1311" s="91" t="s">
        <v>4634</v>
      </c>
      <c r="B1311" s="9">
        <v>11.2</v>
      </c>
    </row>
    <row r="1312" spans="1:2" x14ac:dyDescent="0.35">
      <c r="A1312" s="91" t="s">
        <v>952</v>
      </c>
      <c r="B1312" s="9">
        <v>15.2</v>
      </c>
    </row>
    <row r="1313" spans="1:2" x14ac:dyDescent="0.35">
      <c r="A1313" s="91" t="s">
        <v>4805</v>
      </c>
      <c r="B1313" s="9">
        <v>11.399999999999999</v>
      </c>
    </row>
    <row r="1314" spans="1:2" x14ac:dyDescent="0.35">
      <c r="A1314" s="91" t="s">
        <v>1811</v>
      </c>
      <c r="B1314" s="9">
        <v>10.5</v>
      </c>
    </row>
    <row r="1315" spans="1:2" x14ac:dyDescent="0.35">
      <c r="A1315" s="91" t="s">
        <v>5018</v>
      </c>
      <c r="B1315" s="9">
        <v>7</v>
      </c>
    </row>
    <row r="1316" spans="1:2" x14ac:dyDescent="0.35">
      <c r="A1316" s="91" t="s">
        <v>5151</v>
      </c>
      <c r="B1316" s="9">
        <v>11</v>
      </c>
    </row>
    <row r="1317" spans="1:2" x14ac:dyDescent="0.35">
      <c r="A1317" s="91" t="s">
        <v>2579</v>
      </c>
      <c r="B1317" s="9">
        <v>4.4000000000000004</v>
      </c>
    </row>
    <row r="1318" spans="1:2" x14ac:dyDescent="0.35">
      <c r="A1318" s="91" t="s">
        <v>1984</v>
      </c>
      <c r="B1318" s="9">
        <v>3.8</v>
      </c>
    </row>
    <row r="1319" spans="1:2" x14ac:dyDescent="0.35">
      <c r="A1319" s="91" t="s">
        <v>4156</v>
      </c>
      <c r="B1319" s="9">
        <v>2.8</v>
      </c>
    </row>
    <row r="1320" spans="1:2" x14ac:dyDescent="0.35">
      <c r="A1320" s="91" t="s">
        <v>3691</v>
      </c>
      <c r="B1320" s="9">
        <v>2.2000000000000002</v>
      </c>
    </row>
    <row r="1321" spans="1:2" x14ac:dyDescent="0.35">
      <c r="A1321" s="91" t="s">
        <v>4195</v>
      </c>
      <c r="B1321" s="9">
        <v>20</v>
      </c>
    </row>
    <row r="1322" spans="1:2" x14ac:dyDescent="0.35">
      <c r="A1322" s="91" t="s">
        <v>4980</v>
      </c>
      <c r="B1322" s="9">
        <v>10.5</v>
      </c>
    </row>
    <row r="1323" spans="1:2" x14ac:dyDescent="0.35">
      <c r="A1323" s="91" t="s">
        <v>4453</v>
      </c>
      <c r="B1323" s="9">
        <v>2.8</v>
      </c>
    </row>
    <row r="1324" spans="1:2" x14ac:dyDescent="0.35">
      <c r="A1324" s="91" t="s">
        <v>2109</v>
      </c>
      <c r="B1324" s="9">
        <v>14</v>
      </c>
    </row>
    <row r="1325" spans="1:2" x14ac:dyDescent="0.35">
      <c r="A1325" s="91" t="s">
        <v>5052</v>
      </c>
      <c r="B1325" s="9">
        <v>8.3999999999999986</v>
      </c>
    </row>
    <row r="1326" spans="1:2" x14ac:dyDescent="0.35">
      <c r="A1326" s="91" t="s">
        <v>2473</v>
      </c>
      <c r="B1326" s="9">
        <v>5</v>
      </c>
    </row>
    <row r="1327" spans="1:2" x14ac:dyDescent="0.35">
      <c r="A1327" s="91" t="s">
        <v>1793</v>
      </c>
      <c r="B1327" s="9">
        <v>10</v>
      </c>
    </row>
    <row r="1328" spans="1:2" x14ac:dyDescent="0.35">
      <c r="A1328" s="91" t="s">
        <v>3940</v>
      </c>
      <c r="B1328" s="9">
        <v>11.2</v>
      </c>
    </row>
    <row r="1329" spans="1:2" x14ac:dyDescent="0.35">
      <c r="A1329" s="91" t="s">
        <v>577</v>
      </c>
      <c r="B1329" s="9">
        <v>3.5</v>
      </c>
    </row>
    <row r="1330" spans="1:2" x14ac:dyDescent="0.35">
      <c r="A1330" s="91" t="s">
        <v>2684</v>
      </c>
      <c r="B1330" s="9">
        <v>5.6</v>
      </c>
    </row>
    <row r="1331" spans="1:2" x14ac:dyDescent="0.35">
      <c r="A1331" s="91" t="s">
        <v>285</v>
      </c>
      <c r="B1331" s="9">
        <v>3.5</v>
      </c>
    </row>
    <row r="1332" spans="1:2" x14ac:dyDescent="0.35">
      <c r="A1332" s="91" t="s">
        <v>3741</v>
      </c>
      <c r="B1332" s="9">
        <v>8.3999999999999986</v>
      </c>
    </row>
    <row r="1333" spans="1:2" x14ac:dyDescent="0.35">
      <c r="A1333" s="91" t="s">
        <v>4089</v>
      </c>
      <c r="B1333" s="9">
        <v>2.2000000000000002</v>
      </c>
    </row>
    <row r="1334" spans="1:2" x14ac:dyDescent="0.35">
      <c r="A1334" s="91" t="s">
        <v>2167</v>
      </c>
      <c r="B1334" s="9">
        <v>11</v>
      </c>
    </row>
    <row r="1335" spans="1:2" x14ac:dyDescent="0.35">
      <c r="A1335" s="91" t="s">
        <v>4187</v>
      </c>
      <c r="B1335" s="9">
        <v>11</v>
      </c>
    </row>
    <row r="1336" spans="1:2" x14ac:dyDescent="0.35">
      <c r="A1336" s="91" t="s">
        <v>83</v>
      </c>
      <c r="B1336" s="9">
        <v>7.6</v>
      </c>
    </row>
    <row r="1337" spans="1:2" x14ac:dyDescent="0.35">
      <c r="A1337" s="91" t="s">
        <v>5270</v>
      </c>
      <c r="B1337" s="9">
        <v>5</v>
      </c>
    </row>
    <row r="1338" spans="1:2" x14ac:dyDescent="0.35">
      <c r="A1338" s="91" t="s">
        <v>2418</v>
      </c>
      <c r="B1338" s="9">
        <v>8.8000000000000007</v>
      </c>
    </row>
    <row r="1339" spans="1:2" x14ac:dyDescent="0.35">
      <c r="A1339" s="91" t="s">
        <v>2110</v>
      </c>
      <c r="B1339" s="9">
        <v>4.4000000000000004</v>
      </c>
    </row>
    <row r="1340" spans="1:2" x14ac:dyDescent="0.35">
      <c r="A1340" s="91" t="s">
        <v>5651</v>
      </c>
      <c r="B1340" s="9">
        <v>3.5</v>
      </c>
    </row>
    <row r="1341" spans="1:2" x14ac:dyDescent="0.35">
      <c r="A1341" s="91" t="s">
        <v>1421</v>
      </c>
      <c r="B1341" s="9">
        <v>11.399999999999999</v>
      </c>
    </row>
    <row r="1342" spans="1:2" x14ac:dyDescent="0.35">
      <c r="A1342" s="91" t="s">
        <v>4666</v>
      </c>
      <c r="B1342" s="9">
        <v>14</v>
      </c>
    </row>
    <row r="1343" spans="1:2" x14ac:dyDescent="0.35">
      <c r="A1343" s="91" t="s">
        <v>5949</v>
      </c>
      <c r="B1343" s="9">
        <v>15.2</v>
      </c>
    </row>
    <row r="1344" spans="1:2" x14ac:dyDescent="0.35">
      <c r="A1344" s="91" t="s">
        <v>3044</v>
      </c>
      <c r="B1344" s="9">
        <v>15.2</v>
      </c>
    </row>
    <row r="1345" spans="1:2" x14ac:dyDescent="0.35">
      <c r="A1345" s="91" t="s">
        <v>3756</v>
      </c>
      <c r="B1345" s="9">
        <v>10</v>
      </c>
    </row>
    <row r="1346" spans="1:2" x14ac:dyDescent="0.35">
      <c r="A1346" s="91" t="s">
        <v>3858</v>
      </c>
      <c r="B1346" s="9">
        <v>2.2000000000000002</v>
      </c>
    </row>
    <row r="1347" spans="1:2" x14ac:dyDescent="0.35">
      <c r="A1347" s="91" t="s">
        <v>2912</v>
      </c>
      <c r="B1347" s="9">
        <v>19</v>
      </c>
    </row>
    <row r="1348" spans="1:2" x14ac:dyDescent="0.35">
      <c r="A1348" s="91" t="s">
        <v>1196</v>
      </c>
      <c r="B1348" s="9">
        <v>10.5</v>
      </c>
    </row>
    <row r="1349" spans="1:2" x14ac:dyDescent="0.35">
      <c r="A1349" s="91" t="s">
        <v>606</v>
      </c>
      <c r="B1349" s="9">
        <v>5.6</v>
      </c>
    </row>
    <row r="1350" spans="1:2" x14ac:dyDescent="0.35">
      <c r="A1350" s="91" t="s">
        <v>2866</v>
      </c>
      <c r="B1350" s="9">
        <v>3.5</v>
      </c>
    </row>
    <row r="1351" spans="1:2" x14ac:dyDescent="0.35">
      <c r="A1351" s="91" t="s">
        <v>4140</v>
      </c>
      <c r="B1351" s="9">
        <v>10</v>
      </c>
    </row>
    <row r="1352" spans="1:2" x14ac:dyDescent="0.35">
      <c r="A1352" s="91" t="s">
        <v>4967</v>
      </c>
      <c r="B1352" s="9">
        <v>17.5</v>
      </c>
    </row>
    <row r="1353" spans="1:2" x14ac:dyDescent="0.35">
      <c r="A1353" s="91" t="s">
        <v>3822</v>
      </c>
      <c r="B1353" s="9">
        <v>7.6</v>
      </c>
    </row>
    <row r="1354" spans="1:2" x14ac:dyDescent="0.35">
      <c r="A1354" s="91" t="s">
        <v>5091</v>
      </c>
      <c r="B1354" s="9">
        <v>2.5</v>
      </c>
    </row>
    <row r="1355" spans="1:2" x14ac:dyDescent="0.35">
      <c r="A1355" s="91" t="s">
        <v>5319</v>
      </c>
      <c r="B1355" s="9">
        <v>15.2</v>
      </c>
    </row>
    <row r="1356" spans="1:2" x14ac:dyDescent="0.35">
      <c r="A1356" s="91" t="s">
        <v>3580</v>
      </c>
      <c r="B1356" s="9">
        <v>6.6000000000000005</v>
      </c>
    </row>
    <row r="1357" spans="1:2" x14ac:dyDescent="0.35">
      <c r="A1357" s="91" t="s">
        <v>5978</v>
      </c>
      <c r="B1357" s="9">
        <v>2.5</v>
      </c>
    </row>
    <row r="1358" spans="1:2" x14ac:dyDescent="0.35">
      <c r="A1358" s="91" t="s">
        <v>3393</v>
      </c>
      <c r="B1358" s="9">
        <v>5</v>
      </c>
    </row>
    <row r="1359" spans="1:2" x14ac:dyDescent="0.35">
      <c r="A1359" s="91" t="s">
        <v>3446</v>
      </c>
      <c r="B1359" s="9">
        <v>2.5</v>
      </c>
    </row>
    <row r="1360" spans="1:2" x14ac:dyDescent="0.35">
      <c r="A1360" s="91" t="s">
        <v>3447</v>
      </c>
      <c r="B1360" s="9">
        <v>5.6</v>
      </c>
    </row>
    <row r="1361" spans="1:2" x14ac:dyDescent="0.35">
      <c r="A1361" s="91" t="s">
        <v>4454</v>
      </c>
      <c r="B1361" s="9">
        <v>11</v>
      </c>
    </row>
    <row r="1362" spans="1:2" x14ac:dyDescent="0.35">
      <c r="A1362" s="91" t="s">
        <v>1831</v>
      </c>
      <c r="B1362" s="9">
        <v>12.5</v>
      </c>
    </row>
    <row r="1363" spans="1:2" x14ac:dyDescent="0.35">
      <c r="A1363" s="91" t="s">
        <v>4277</v>
      </c>
      <c r="B1363" s="9">
        <v>11</v>
      </c>
    </row>
    <row r="1364" spans="1:2" x14ac:dyDescent="0.35">
      <c r="A1364" s="91" t="s">
        <v>4981</v>
      </c>
      <c r="B1364" s="9">
        <v>11.399999999999999</v>
      </c>
    </row>
    <row r="1365" spans="1:2" x14ac:dyDescent="0.35">
      <c r="A1365" s="91" t="s">
        <v>861</v>
      </c>
      <c r="B1365" s="9">
        <v>4.4000000000000004</v>
      </c>
    </row>
    <row r="1366" spans="1:2" x14ac:dyDescent="0.35">
      <c r="A1366" s="91" t="s">
        <v>5360</v>
      </c>
      <c r="B1366" s="9">
        <v>8.3999999999999986</v>
      </c>
    </row>
    <row r="1367" spans="1:2" x14ac:dyDescent="0.35">
      <c r="A1367" s="91" t="s">
        <v>3823</v>
      </c>
      <c r="B1367" s="9">
        <v>5</v>
      </c>
    </row>
    <row r="1368" spans="1:2" x14ac:dyDescent="0.35">
      <c r="A1368" s="91" t="s">
        <v>3894</v>
      </c>
      <c r="B1368" s="9">
        <v>3.5</v>
      </c>
    </row>
    <row r="1369" spans="1:2" x14ac:dyDescent="0.35">
      <c r="A1369" s="91" t="s">
        <v>889</v>
      </c>
      <c r="B1369" s="9">
        <v>7.6</v>
      </c>
    </row>
    <row r="1370" spans="1:2" x14ac:dyDescent="0.35">
      <c r="A1370" s="91" t="s">
        <v>985</v>
      </c>
      <c r="B1370" s="9">
        <v>15.2</v>
      </c>
    </row>
    <row r="1371" spans="1:2" x14ac:dyDescent="0.35">
      <c r="A1371" s="91" t="s">
        <v>4031</v>
      </c>
      <c r="B1371" s="9">
        <v>14</v>
      </c>
    </row>
    <row r="1372" spans="1:2" x14ac:dyDescent="0.35">
      <c r="A1372" s="91" t="s">
        <v>186</v>
      </c>
      <c r="B1372" s="9">
        <v>2.2000000000000002</v>
      </c>
    </row>
    <row r="1373" spans="1:2" x14ac:dyDescent="0.35">
      <c r="A1373" s="91" t="s">
        <v>1898</v>
      </c>
      <c r="B1373" s="9">
        <v>8.3999999999999986</v>
      </c>
    </row>
    <row r="1374" spans="1:2" x14ac:dyDescent="0.35">
      <c r="A1374" s="91" t="s">
        <v>5555</v>
      </c>
      <c r="B1374" s="9">
        <v>4.4000000000000004</v>
      </c>
    </row>
    <row r="1375" spans="1:2" x14ac:dyDescent="0.35">
      <c r="A1375" s="91" t="s">
        <v>5271</v>
      </c>
      <c r="B1375" s="9">
        <v>19</v>
      </c>
    </row>
    <row r="1376" spans="1:2" x14ac:dyDescent="0.35">
      <c r="A1376" s="91" t="s">
        <v>3614</v>
      </c>
      <c r="B1376" s="9">
        <v>5.6</v>
      </c>
    </row>
    <row r="1377" spans="1:2" x14ac:dyDescent="0.35">
      <c r="A1377" s="91" t="s">
        <v>2213</v>
      </c>
      <c r="B1377" s="9">
        <v>12.5</v>
      </c>
    </row>
    <row r="1378" spans="1:2" x14ac:dyDescent="0.35">
      <c r="A1378" s="91" t="s">
        <v>4379</v>
      </c>
      <c r="B1378" s="9">
        <v>14</v>
      </c>
    </row>
    <row r="1379" spans="1:2" x14ac:dyDescent="0.35">
      <c r="A1379" s="91" t="s">
        <v>4327</v>
      </c>
      <c r="B1379" s="9">
        <v>7</v>
      </c>
    </row>
    <row r="1380" spans="1:2" x14ac:dyDescent="0.35">
      <c r="A1380" s="91" t="s">
        <v>5361</v>
      </c>
      <c r="B1380" s="9">
        <v>17.5</v>
      </c>
    </row>
    <row r="1381" spans="1:2" x14ac:dyDescent="0.35">
      <c r="A1381" s="91" t="s">
        <v>907</v>
      </c>
      <c r="B1381" s="9">
        <v>19</v>
      </c>
    </row>
    <row r="1382" spans="1:2" x14ac:dyDescent="0.35">
      <c r="A1382" s="91" t="s">
        <v>3916</v>
      </c>
      <c r="B1382" s="9">
        <v>7.5</v>
      </c>
    </row>
    <row r="1383" spans="1:2" x14ac:dyDescent="0.35">
      <c r="A1383" s="91" t="s">
        <v>3942</v>
      </c>
      <c r="B1383" s="9">
        <v>11.399999999999999</v>
      </c>
    </row>
    <row r="1384" spans="1:2" x14ac:dyDescent="0.35">
      <c r="A1384" s="91" t="s">
        <v>4992</v>
      </c>
      <c r="B1384" s="9">
        <v>2.2000000000000002</v>
      </c>
    </row>
    <row r="1385" spans="1:2" x14ac:dyDescent="0.35">
      <c r="A1385" s="91" t="s">
        <v>4869</v>
      </c>
      <c r="B1385" s="9">
        <v>11.2</v>
      </c>
    </row>
    <row r="1386" spans="1:2" x14ac:dyDescent="0.35">
      <c r="A1386" s="91" t="s">
        <v>2461</v>
      </c>
      <c r="B1386" s="9">
        <v>14</v>
      </c>
    </row>
    <row r="1387" spans="1:2" x14ac:dyDescent="0.35">
      <c r="A1387" s="91" t="s">
        <v>3983</v>
      </c>
      <c r="B1387" s="9">
        <v>7.5</v>
      </c>
    </row>
    <row r="1388" spans="1:2" x14ac:dyDescent="0.35">
      <c r="A1388" s="91" t="s">
        <v>5272</v>
      </c>
      <c r="B1388" s="9">
        <v>3.8</v>
      </c>
    </row>
    <row r="1389" spans="1:2" x14ac:dyDescent="0.35">
      <c r="A1389" s="91" t="s">
        <v>4444</v>
      </c>
      <c r="B1389" s="9">
        <v>7.5</v>
      </c>
    </row>
    <row r="1390" spans="1:2" x14ac:dyDescent="0.35">
      <c r="A1390" s="91" t="s">
        <v>2081</v>
      </c>
      <c r="B1390" s="9">
        <v>8.8000000000000007</v>
      </c>
    </row>
    <row r="1391" spans="1:2" x14ac:dyDescent="0.35">
      <c r="A1391" s="91" t="s">
        <v>5273</v>
      </c>
      <c r="B1391" s="9">
        <v>7.5</v>
      </c>
    </row>
    <row r="1392" spans="1:2" x14ac:dyDescent="0.35">
      <c r="A1392" s="91" t="s">
        <v>3333</v>
      </c>
      <c r="B1392" s="9">
        <v>5.6</v>
      </c>
    </row>
    <row r="1393" spans="1:2" x14ac:dyDescent="0.35">
      <c r="A1393" s="91" t="s">
        <v>4157</v>
      </c>
      <c r="B1393" s="9">
        <v>4.4000000000000004</v>
      </c>
    </row>
    <row r="1394" spans="1:2" x14ac:dyDescent="0.35">
      <c r="A1394" s="91" t="s">
        <v>3384</v>
      </c>
      <c r="B1394" s="9">
        <v>7</v>
      </c>
    </row>
    <row r="1395" spans="1:2" x14ac:dyDescent="0.35">
      <c r="A1395" s="91" t="s">
        <v>2551</v>
      </c>
      <c r="B1395" s="9">
        <v>5</v>
      </c>
    </row>
    <row r="1396" spans="1:2" x14ac:dyDescent="0.35">
      <c r="A1396" s="91" t="s">
        <v>4707</v>
      </c>
      <c r="B1396" s="9">
        <v>10.5</v>
      </c>
    </row>
    <row r="1397" spans="1:2" x14ac:dyDescent="0.35">
      <c r="A1397" s="91" t="s">
        <v>5482</v>
      </c>
      <c r="B1397" s="9">
        <v>2.2000000000000002</v>
      </c>
    </row>
    <row r="1398" spans="1:2" x14ac:dyDescent="0.35">
      <c r="A1398" s="91" t="s">
        <v>540</v>
      </c>
      <c r="B1398" s="9">
        <v>17.5</v>
      </c>
    </row>
    <row r="1399" spans="1:2" x14ac:dyDescent="0.35">
      <c r="A1399" s="91" t="s">
        <v>5579</v>
      </c>
      <c r="B1399" s="9">
        <v>8.3999999999999986</v>
      </c>
    </row>
    <row r="1400" spans="1:2" x14ac:dyDescent="0.35">
      <c r="A1400" s="91" t="s">
        <v>3692</v>
      </c>
      <c r="B1400" s="9">
        <v>11</v>
      </c>
    </row>
    <row r="1401" spans="1:2" x14ac:dyDescent="0.35">
      <c r="A1401" s="91" t="s">
        <v>3774</v>
      </c>
      <c r="B1401" s="9">
        <v>7</v>
      </c>
    </row>
    <row r="1402" spans="1:2" x14ac:dyDescent="0.35">
      <c r="A1402" s="91" t="s">
        <v>5304</v>
      </c>
      <c r="B1402" s="9">
        <v>8.8000000000000007</v>
      </c>
    </row>
    <row r="1403" spans="1:2" x14ac:dyDescent="0.35">
      <c r="A1403" s="91" t="s">
        <v>2899</v>
      </c>
      <c r="B1403" s="9">
        <v>5.6</v>
      </c>
    </row>
    <row r="1404" spans="1:2" x14ac:dyDescent="0.35">
      <c r="A1404" s="91" t="s">
        <v>5019</v>
      </c>
      <c r="B1404" s="9">
        <v>15.2</v>
      </c>
    </row>
    <row r="1405" spans="1:2" x14ac:dyDescent="0.35">
      <c r="A1405" s="91" t="s">
        <v>4141</v>
      </c>
      <c r="B1405" s="9">
        <v>2.5</v>
      </c>
    </row>
    <row r="1406" spans="1:2" x14ac:dyDescent="0.35">
      <c r="A1406" s="91" t="s">
        <v>4124</v>
      </c>
      <c r="B1406" s="9">
        <v>7.6</v>
      </c>
    </row>
    <row r="1407" spans="1:2" x14ac:dyDescent="0.35">
      <c r="A1407" s="91" t="s">
        <v>1437</v>
      </c>
      <c r="B1407" s="9">
        <v>6.6000000000000005</v>
      </c>
    </row>
    <row r="1408" spans="1:2" x14ac:dyDescent="0.35">
      <c r="A1408" s="91" t="s">
        <v>4003</v>
      </c>
      <c r="B1408" s="9">
        <v>8.3999999999999986</v>
      </c>
    </row>
    <row r="1409" spans="1:2" x14ac:dyDescent="0.35">
      <c r="A1409" s="91" t="s">
        <v>3788</v>
      </c>
      <c r="B1409" s="9">
        <v>11.399999999999999</v>
      </c>
    </row>
    <row r="1410" spans="1:2" x14ac:dyDescent="0.35">
      <c r="A1410" s="91" t="s">
        <v>3465</v>
      </c>
      <c r="B1410" s="9">
        <v>11.399999999999999</v>
      </c>
    </row>
    <row r="1411" spans="1:2" x14ac:dyDescent="0.35">
      <c r="A1411" s="91" t="s">
        <v>2345</v>
      </c>
      <c r="B1411" s="9">
        <v>17.5</v>
      </c>
    </row>
    <row r="1412" spans="1:2" x14ac:dyDescent="0.35">
      <c r="A1412" s="91" t="s">
        <v>3907</v>
      </c>
      <c r="B1412" s="9">
        <v>10</v>
      </c>
    </row>
    <row r="1413" spans="1:2" x14ac:dyDescent="0.35">
      <c r="A1413" s="91" t="s">
        <v>3984</v>
      </c>
      <c r="B1413" s="9">
        <v>2.2000000000000002</v>
      </c>
    </row>
    <row r="1414" spans="1:2" x14ac:dyDescent="0.35">
      <c r="A1414" s="91" t="s">
        <v>37</v>
      </c>
      <c r="B1414" s="9">
        <v>7</v>
      </c>
    </row>
    <row r="1415" spans="1:2" x14ac:dyDescent="0.35">
      <c r="A1415" s="91" t="s">
        <v>2403</v>
      </c>
      <c r="B1415" s="9">
        <v>12.5</v>
      </c>
    </row>
    <row r="1416" spans="1:2" x14ac:dyDescent="0.35">
      <c r="A1416" s="91" t="s">
        <v>3869</v>
      </c>
      <c r="B1416" s="9">
        <v>7</v>
      </c>
    </row>
    <row r="1417" spans="1:2" x14ac:dyDescent="0.35">
      <c r="A1417" s="91" t="s">
        <v>4888</v>
      </c>
      <c r="B1417" s="9">
        <v>11.2</v>
      </c>
    </row>
    <row r="1418" spans="1:2" x14ac:dyDescent="0.35">
      <c r="A1418" s="91" t="s">
        <v>2516</v>
      </c>
      <c r="B1418" s="9">
        <v>3.8</v>
      </c>
    </row>
    <row r="1419" spans="1:2" x14ac:dyDescent="0.35">
      <c r="A1419" s="91" t="s">
        <v>4547</v>
      </c>
      <c r="B1419" s="9">
        <v>8.3999999999999986</v>
      </c>
    </row>
    <row r="1420" spans="1:2" x14ac:dyDescent="0.35">
      <c r="A1420" s="91" t="s">
        <v>3020</v>
      </c>
      <c r="B1420" s="9">
        <v>8.3999999999999986</v>
      </c>
    </row>
    <row r="1421" spans="1:2" x14ac:dyDescent="0.35">
      <c r="A1421" s="91" t="s">
        <v>5652</v>
      </c>
      <c r="B1421" s="9">
        <v>11.399999999999999</v>
      </c>
    </row>
    <row r="1422" spans="1:2" x14ac:dyDescent="0.35">
      <c r="A1422" s="91" t="s">
        <v>255</v>
      </c>
      <c r="B1422" s="9">
        <v>12.5</v>
      </c>
    </row>
    <row r="1423" spans="1:2" x14ac:dyDescent="0.35">
      <c r="A1423" s="91" t="s">
        <v>491</v>
      </c>
      <c r="B1423" s="9">
        <v>3.8</v>
      </c>
    </row>
    <row r="1424" spans="1:2" x14ac:dyDescent="0.35">
      <c r="A1424" s="91" t="s">
        <v>4196</v>
      </c>
      <c r="B1424" s="9">
        <v>7.5</v>
      </c>
    </row>
    <row r="1425" spans="1:2" x14ac:dyDescent="0.35">
      <c r="A1425" s="91" t="s">
        <v>257</v>
      </c>
      <c r="B1425" s="9">
        <v>11</v>
      </c>
    </row>
    <row r="1426" spans="1:2" x14ac:dyDescent="0.35">
      <c r="A1426" s="91" t="s">
        <v>4125</v>
      </c>
      <c r="B1426" s="9">
        <v>14</v>
      </c>
    </row>
    <row r="1427" spans="1:2" x14ac:dyDescent="0.35">
      <c r="A1427" s="91" t="s">
        <v>4751</v>
      </c>
      <c r="B1427" s="9">
        <v>2.5</v>
      </c>
    </row>
    <row r="1428" spans="1:2" x14ac:dyDescent="0.35">
      <c r="A1428" s="91" t="s">
        <v>2419</v>
      </c>
      <c r="B1428" s="9">
        <v>8.3999999999999986</v>
      </c>
    </row>
    <row r="1429" spans="1:2" x14ac:dyDescent="0.35">
      <c r="A1429" s="91" t="s">
        <v>3351</v>
      </c>
      <c r="B1429" s="9">
        <v>11.399999999999999</v>
      </c>
    </row>
    <row r="1430" spans="1:2" x14ac:dyDescent="0.35">
      <c r="A1430" s="91" t="s">
        <v>2128</v>
      </c>
      <c r="B1430" s="9">
        <v>11.2</v>
      </c>
    </row>
    <row r="1431" spans="1:2" x14ac:dyDescent="0.35">
      <c r="A1431" s="91" t="s">
        <v>3098</v>
      </c>
      <c r="B1431" s="9">
        <v>15.2</v>
      </c>
    </row>
    <row r="1432" spans="1:2" x14ac:dyDescent="0.35">
      <c r="A1432" s="91" t="s">
        <v>4171</v>
      </c>
      <c r="B1432" s="9">
        <v>6.6000000000000005</v>
      </c>
    </row>
    <row r="1433" spans="1:2" x14ac:dyDescent="0.35">
      <c r="A1433" s="91" t="s">
        <v>4022</v>
      </c>
      <c r="B1433" s="9">
        <v>7.5</v>
      </c>
    </row>
    <row r="1434" spans="1:2" x14ac:dyDescent="0.35">
      <c r="A1434" s="91" t="s">
        <v>2517</v>
      </c>
      <c r="B1434" s="9">
        <v>2.5</v>
      </c>
    </row>
    <row r="1435" spans="1:2" x14ac:dyDescent="0.35">
      <c r="A1435" s="91" t="s">
        <v>663</v>
      </c>
      <c r="B1435" s="9">
        <v>17.5</v>
      </c>
    </row>
    <row r="1436" spans="1:2" x14ac:dyDescent="0.35">
      <c r="A1436" s="91" t="s">
        <v>2667</v>
      </c>
      <c r="B1436" s="9">
        <v>3.8</v>
      </c>
    </row>
    <row r="1437" spans="1:2" x14ac:dyDescent="0.35">
      <c r="A1437" s="91" t="s">
        <v>1613</v>
      </c>
      <c r="B1437" s="9">
        <v>5.6</v>
      </c>
    </row>
    <row r="1438" spans="1:2" x14ac:dyDescent="0.35">
      <c r="A1438" s="91" t="s">
        <v>3549</v>
      </c>
      <c r="B1438" s="9">
        <v>2.5</v>
      </c>
    </row>
    <row r="1439" spans="1:2" x14ac:dyDescent="0.35">
      <c r="A1439" s="91" t="s">
        <v>4698</v>
      </c>
      <c r="B1439" s="9">
        <v>19</v>
      </c>
    </row>
    <row r="1440" spans="1:2" x14ac:dyDescent="0.35">
      <c r="A1440" s="91" t="s">
        <v>3352</v>
      </c>
      <c r="B1440" s="9">
        <v>6.6000000000000005</v>
      </c>
    </row>
    <row r="1441" spans="1:2" x14ac:dyDescent="0.35">
      <c r="A1441" s="91" t="s">
        <v>4678</v>
      </c>
      <c r="B1441" s="9">
        <v>7.5</v>
      </c>
    </row>
    <row r="1442" spans="1:2" x14ac:dyDescent="0.35">
      <c r="A1442" s="91" t="s">
        <v>4722</v>
      </c>
      <c r="B1442" s="9">
        <v>2.2000000000000002</v>
      </c>
    </row>
    <row r="1443" spans="1:2" x14ac:dyDescent="0.35">
      <c r="A1443" s="91" t="s">
        <v>3476</v>
      </c>
      <c r="B1443" s="9">
        <v>11</v>
      </c>
    </row>
    <row r="1444" spans="1:2" x14ac:dyDescent="0.35">
      <c r="A1444" s="91" t="s">
        <v>4635</v>
      </c>
      <c r="B1444" s="9">
        <v>14</v>
      </c>
    </row>
    <row r="1445" spans="1:2" x14ac:dyDescent="0.35">
      <c r="A1445" s="91" t="s">
        <v>5362</v>
      </c>
      <c r="B1445" s="9">
        <v>14</v>
      </c>
    </row>
    <row r="1446" spans="1:2" x14ac:dyDescent="0.35">
      <c r="A1446" s="91" t="s">
        <v>5305</v>
      </c>
      <c r="B1446" s="9">
        <v>6.6000000000000005</v>
      </c>
    </row>
    <row r="1447" spans="1:2" x14ac:dyDescent="0.35">
      <c r="A1447" s="91" t="s">
        <v>5787</v>
      </c>
      <c r="B1447" s="9">
        <v>3.5</v>
      </c>
    </row>
    <row r="1448" spans="1:2" x14ac:dyDescent="0.35">
      <c r="A1448" s="91" t="s">
        <v>5653</v>
      </c>
      <c r="B1448" s="9">
        <v>7.5</v>
      </c>
    </row>
    <row r="1449" spans="1:2" x14ac:dyDescent="0.35">
      <c r="A1449" s="91" t="s">
        <v>215</v>
      </c>
      <c r="B1449" s="9">
        <v>6.6000000000000005</v>
      </c>
    </row>
    <row r="1450" spans="1:2" x14ac:dyDescent="0.35">
      <c r="A1450" s="91" t="s">
        <v>2462</v>
      </c>
      <c r="B1450" s="9">
        <v>6.6000000000000005</v>
      </c>
    </row>
    <row r="1451" spans="1:2" x14ac:dyDescent="0.35">
      <c r="A1451" s="91" t="s">
        <v>5232</v>
      </c>
      <c r="B1451" s="9">
        <v>10</v>
      </c>
    </row>
    <row r="1452" spans="1:2" x14ac:dyDescent="0.35">
      <c r="A1452" s="91" t="s">
        <v>2868</v>
      </c>
      <c r="B1452" s="9">
        <v>5</v>
      </c>
    </row>
    <row r="1453" spans="1:2" x14ac:dyDescent="0.35">
      <c r="A1453" s="91" t="s">
        <v>5121</v>
      </c>
      <c r="B1453" s="9">
        <v>10</v>
      </c>
    </row>
    <row r="1454" spans="1:2" x14ac:dyDescent="0.35">
      <c r="A1454" s="91" t="s">
        <v>1919</v>
      </c>
      <c r="B1454" s="9">
        <v>15.2</v>
      </c>
    </row>
    <row r="1455" spans="1:2" x14ac:dyDescent="0.35">
      <c r="A1455" s="91" t="s">
        <v>259</v>
      </c>
      <c r="B1455" s="9">
        <v>5</v>
      </c>
    </row>
    <row r="1456" spans="1:2" x14ac:dyDescent="0.35">
      <c r="A1456" s="91" t="s">
        <v>4560</v>
      </c>
      <c r="B1456" s="9">
        <v>5</v>
      </c>
    </row>
    <row r="1457" spans="1:2" x14ac:dyDescent="0.35">
      <c r="A1457" s="91" t="s">
        <v>5752</v>
      </c>
      <c r="B1457" s="9">
        <v>17.5</v>
      </c>
    </row>
    <row r="1458" spans="1:2" x14ac:dyDescent="0.35">
      <c r="A1458" s="91" t="s">
        <v>2300</v>
      </c>
      <c r="B1458" s="9">
        <v>3.8</v>
      </c>
    </row>
    <row r="1459" spans="1:2" x14ac:dyDescent="0.35">
      <c r="A1459" s="91" t="s">
        <v>2494</v>
      </c>
      <c r="B1459" s="9">
        <v>8.3999999999999986</v>
      </c>
    </row>
    <row r="1460" spans="1:2" x14ac:dyDescent="0.35">
      <c r="A1460" s="91" t="s">
        <v>5979</v>
      </c>
      <c r="B1460" s="9">
        <v>4.4000000000000004</v>
      </c>
    </row>
    <row r="1461" spans="1:2" x14ac:dyDescent="0.35">
      <c r="A1461" s="91" t="s">
        <v>5174</v>
      </c>
      <c r="B1461" s="9">
        <v>11.2</v>
      </c>
    </row>
    <row r="1462" spans="1:2" x14ac:dyDescent="0.35">
      <c r="A1462" s="91" t="s">
        <v>2181</v>
      </c>
      <c r="B1462" s="9">
        <v>3.8</v>
      </c>
    </row>
    <row r="1463" spans="1:2" x14ac:dyDescent="0.35">
      <c r="A1463" s="91" t="s">
        <v>2441</v>
      </c>
      <c r="B1463" s="9">
        <v>17.5</v>
      </c>
    </row>
    <row r="1464" spans="1:2" x14ac:dyDescent="0.35">
      <c r="A1464" s="91" t="s">
        <v>1986</v>
      </c>
      <c r="B1464" s="9">
        <v>2.2000000000000002</v>
      </c>
    </row>
    <row r="1465" spans="1:2" x14ac:dyDescent="0.35">
      <c r="A1465" s="91" t="s">
        <v>2129</v>
      </c>
      <c r="B1465" s="9">
        <v>11.399999999999999</v>
      </c>
    </row>
    <row r="1466" spans="1:2" x14ac:dyDescent="0.35">
      <c r="A1466" s="91" t="s">
        <v>1570</v>
      </c>
      <c r="B1466" s="9">
        <v>15.2</v>
      </c>
    </row>
    <row r="1467" spans="1:2" x14ac:dyDescent="0.35">
      <c r="A1467" s="91" t="s">
        <v>731</v>
      </c>
      <c r="B1467" s="9">
        <v>14</v>
      </c>
    </row>
    <row r="1468" spans="1:2" x14ac:dyDescent="0.35">
      <c r="A1468" s="91" t="s">
        <v>4899</v>
      </c>
      <c r="B1468" s="9">
        <v>19</v>
      </c>
    </row>
    <row r="1469" spans="1:2" x14ac:dyDescent="0.35">
      <c r="A1469" s="91" t="s">
        <v>5152</v>
      </c>
      <c r="B1469" s="9">
        <v>6.6000000000000005</v>
      </c>
    </row>
    <row r="1470" spans="1:2" x14ac:dyDescent="0.35">
      <c r="A1470" s="91" t="s">
        <v>3917</v>
      </c>
      <c r="B1470" s="9">
        <v>2.8</v>
      </c>
    </row>
    <row r="1471" spans="1:2" x14ac:dyDescent="0.35">
      <c r="A1471" s="91" t="s">
        <v>3615</v>
      </c>
      <c r="B1471" s="9">
        <v>17.5</v>
      </c>
    </row>
    <row r="1472" spans="1:2" x14ac:dyDescent="0.35">
      <c r="A1472" s="91" t="s">
        <v>2913</v>
      </c>
      <c r="B1472" s="9">
        <v>6.6000000000000005</v>
      </c>
    </row>
    <row r="1473" spans="1:2" x14ac:dyDescent="0.35">
      <c r="A1473" s="91" t="s">
        <v>5132</v>
      </c>
      <c r="B1473" s="9">
        <v>7.6</v>
      </c>
    </row>
    <row r="1474" spans="1:2" x14ac:dyDescent="0.35">
      <c r="A1474" s="91" t="s">
        <v>124</v>
      </c>
      <c r="B1474" s="9">
        <v>8.8000000000000007</v>
      </c>
    </row>
    <row r="1475" spans="1:2" x14ac:dyDescent="0.35">
      <c r="A1475" s="91" t="s">
        <v>5335</v>
      </c>
      <c r="B1475" s="9">
        <v>2.2000000000000002</v>
      </c>
    </row>
    <row r="1476" spans="1:2" x14ac:dyDescent="0.35">
      <c r="A1476" s="91" t="s">
        <v>1197</v>
      </c>
      <c r="B1476" s="9">
        <v>4.4000000000000004</v>
      </c>
    </row>
    <row r="1477" spans="1:2" x14ac:dyDescent="0.35">
      <c r="A1477" s="91" t="s">
        <v>1747</v>
      </c>
      <c r="B1477" s="9">
        <v>12.5</v>
      </c>
    </row>
    <row r="1478" spans="1:2" x14ac:dyDescent="0.35">
      <c r="A1478" s="91" t="s">
        <v>2552</v>
      </c>
      <c r="B1478" s="9">
        <v>15.2</v>
      </c>
    </row>
    <row r="1479" spans="1:2" x14ac:dyDescent="0.35">
      <c r="A1479" s="91" t="s">
        <v>3182</v>
      </c>
      <c r="B1479" s="9">
        <v>2.2000000000000002</v>
      </c>
    </row>
    <row r="1480" spans="1:2" x14ac:dyDescent="0.35">
      <c r="A1480" s="91" t="s">
        <v>1472</v>
      </c>
      <c r="B1480" s="9">
        <v>17.5</v>
      </c>
    </row>
    <row r="1481" spans="1:2" x14ac:dyDescent="0.35">
      <c r="A1481" s="91" t="s">
        <v>4343</v>
      </c>
      <c r="B1481" s="9">
        <v>5.6</v>
      </c>
    </row>
    <row r="1482" spans="1:2" x14ac:dyDescent="0.35">
      <c r="A1482" s="91" t="s">
        <v>3243</v>
      </c>
      <c r="B1482" s="9">
        <v>2.5</v>
      </c>
    </row>
    <row r="1483" spans="1:2" x14ac:dyDescent="0.35">
      <c r="A1483" s="91" t="s">
        <v>2884</v>
      </c>
      <c r="B1483" s="9">
        <v>7</v>
      </c>
    </row>
    <row r="1484" spans="1:2" x14ac:dyDescent="0.35">
      <c r="A1484" s="91" t="s">
        <v>4197</v>
      </c>
      <c r="B1484" s="9">
        <v>8.8000000000000007</v>
      </c>
    </row>
    <row r="1485" spans="1:2" x14ac:dyDescent="0.35">
      <c r="A1485" s="91" t="s">
        <v>1235</v>
      </c>
      <c r="B1485" s="9">
        <v>14</v>
      </c>
    </row>
    <row r="1486" spans="1:2" x14ac:dyDescent="0.35">
      <c r="A1486" s="91" t="s">
        <v>4445</v>
      </c>
      <c r="B1486" s="9">
        <v>2.2000000000000002</v>
      </c>
    </row>
    <row r="1487" spans="1:2" x14ac:dyDescent="0.35">
      <c r="A1487" s="91" t="s">
        <v>1880</v>
      </c>
      <c r="B1487" s="9">
        <v>19</v>
      </c>
    </row>
    <row r="1488" spans="1:2" x14ac:dyDescent="0.35">
      <c r="A1488" s="91" t="s">
        <v>3535</v>
      </c>
      <c r="B1488" s="9">
        <v>3.5</v>
      </c>
    </row>
    <row r="1489" spans="1:2" x14ac:dyDescent="0.35">
      <c r="A1489" s="91" t="s">
        <v>3616</v>
      </c>
      <c r="B1489" s="9">
        <v>3.5</v>
      </c>
    </row>
    <row r="1490" spans="1:2" x14ac:dyDescent="0.35">
      <c r="A1490" s="91" t="s">
        <v>1473</v>
      </c>
      <c r="B1490" s="9">
        <v>4.4000000000000004</v>
      </c>
    </row>
    <row r="1491" spans="1:2" x14ac:dyDescent="0.35">
      <c r="A1491" s="91" t="s">
        <v>5993</v>
      </c>
      <c r="B1491" s="9">
        <v>8.3999999999999986</v>
      </c>
    </row>
    <row r="1492" spans="1:2" x14ac:dyDescent="0.35">
      <c r="A1492" s="91" t="s">
        <v>2739</v>
      </c>
      <c r="B1492" s="9">
        <v>17.5</v>
      </c>
    </row>
    <row r="1493" spans="1:2" x14ac:dyDescent="0.35">
      <c r="A1493" s="91" t="s">
        <v>4188</v>
      </c>
      <c r="B1493" s="9">
        <v>2.5</v>
      </c>
    </row>
    <row r="1494" spans="1:2" x14ac:dyDescent="0.35">
      <c r="A1494" s="91" t="s">
        <v>2716</v>
      </c>
      <c r="B1494" s="9">
        <v>8.3999999999999986</v>
      </c>
    </row>
    <row r="1495" spans="1:2" x14ac:dyDescent="0.35">
      <c r="A1495" s="91" t="s">
        <v>1812</v>
      </c>
      <c r="B1495" s="9">
        <v>17.5</v>
      </c>
    </row>
    <row r="1496" spans="1:2" x14ac:dyDescent="0.35">
      <c r="A1496" s="91" t="s">
        <v>1374</v>
      </c>
      <c r="B1496" s="9">
        <v>11.2</v>
      </c>
    </row>
    <row r="1497" spans="1:2" x14ac:dyDescent="0.35">
      <c r="A1497" s="91" t="s">
        <v>4679</v>
      </c>
      <c r="B1497" s="9">
        <v>2.5</v>
      </c>
    </row>
    <row r="1498" spans="1:2" x14ac:dyDescent="0.35">
      <c r="A1498" s="91" t="s">
        <v>1642</v>
      </c>
      <c r="B1498" s="9">
        <v>10</v>
      </c>
    </row>
    <row r="1499" spans="1:2" x14ac:dyDescent="0.35">
      <c r="A1499" s="91" t="s">
        <v>4889</v>
      </c>
      <c r="B1499" s="9">
        <v>10.5</v>
      </c>
    </row>
    <row r="1500" spans="1:2" x14ac:dyDescent="0.35">
      <c r="A1500" s="91" t="s">
        <v>1615</v>
      </c>
      <c r="B1500" s="9">
        <v>11.399999999999999</v>
      </c>
    </row>
    <row r="1501" spans="1:2" x14ac:dyDescent="0.35">
      <c r="A1501" s="91" t="s">
        <v>3244</v>
      </c>
      <c r="B1501" s="9">
        <v>2.5</v>
      </c>
    </row>
    <row r="1502" spans="1:2" x14ac:dyDescent="0.35">
      <c r="A1502" s="91" t="s">
        <v>2885</v>
      </c>
      <c r="B1502" s="9">
        <v>2.8</v>
      </c>
    </row>
    <row r="1503" spans="1:2" x14ac:dyDescent="0.35">
      <c r="A1503" s="91" t="s">
        <v>2253</v>
      </c>
      <c r="B1503" s="9">
        <v>10</v>
      </c>
    </row>
    <row r="1504" spans="1:2" x14ac:dyDescent="0.35">
      <c r="A1504" s="91" t="s">
        <v>4949</v>
      </c>
      <c r="B1504" s="9">
        <v>15.2</v>
      </c>
    </row>
    <row r="1505" spans="1:2" x14ac:dyDescent="0.35">
      <c r="A1505" s="91" t="s">
        <v>4032</v>
      </c>
      <c r="B1505" s="9">
        <v>17.5</v>
      </c>
    </row>
    <row r="1506" spans="1:2" x14ac:dyDescent="0.35">
      <c r="A1506" s="91" t="s">
        <v>5687</v>
      </c>
      <c r="B1506" s="9">
        <v>5</v>
      </c>
    </row>
    <row r="1507" spans="1:2" x14ac:dyDescent="0.35">
      <c r="A1507" s="91" t="s">
        <v>5654</v>
      </c>
      <c r="B1507" s="9">
        <v>19</v>
      </c>
    </row>
    <row r="1508" spans="1:2" x14ac:dyDescent="0.35">
      <c r="A1508" s="91" t="s">
        <v>2668</v>
      </c>
      <c r="B1508" s="9">
        <v>11.399999999999999</v>
      </c>
    </row>
    <row r="1509" spans="1:2" x14ac:dyDescent="0.35">
      <c r="A1509" s="91" t="s">
        <v>3707</v>
      </c>
      <c r="B1509" s="9">
        <v>10.5</v>
      </c>
    </row>
    <row r="1510" spans="1:2" x14ac:dyDescent="0.35">
      <c r="A1510" s="91" t="s">
        <v>4857</v>
      </c>
      <c r="B1510" s="9">
        <v>7.5</v>
      </c>
    </row>
    <row r="1511" spans="1:2" x14ac:dyDescent="0.35">
      <c r="A1511" s="91" t="s">
        <v>4760</v>
      </c>
      <c r="B1511" s="9">
        <v>2.2000000000000002</v>
      </c>
    </row>
    <row r="1512" spans="1:2" x14ac:dyDescent="0.35">
      <c r="A1512" s="91" t="s">
        <v>3957</v>
      </c>
      <c r="B1512" s="9">
        <v>7</v>
      </c>
    </row>
    <row r="1513" spans="1:2" x14ac:dyDescent="0.35">
      <c r="A1513" s="91" t="s">
        <v>2784</v>
      </c>
      <c r="B1513" s="9">
        <v>7</v>
      </c>
    </row>
    <row r="1514" spans="1:2" x14ac:dyDescent="0.35">
      <c r="A1514" s="91" t="s">
        <v>3466</v>
      </c>
      <c r="B1514" s="9">
        <v>2.8</v>
      </c>
    </row>
    <row r="1515" spans="1:2" x14ac:dyDescent="0.35">
      <c r="A1515" s="91" t="s">
        <v>1236</v>
      </c>
      <c r="B1515" s="9">
        <v>14</v>
      </c>
    </row>
    <row r="1516" spans="1:2" x14ac:dyDescent="0.35">
      <c r="A1516" s="91" t="s">
        <v>5483</v>
      </c>
      <c r="B1516" s="9">
        <v>5</v>
      </c>
    </row>
    <row r="1517" spans="1:2" x14ac:dyDescent="0.35">
      <c r="A1517" s="91" t="s">
        <v>5723</v>
      </c>
      <c r="B1517" s="9">
        <v>3.8</v>
      </c>
    </row>
    <row r="1518" spans="1:2" x14ac:dyDescent="0.35">
      <c r="A1518" s="91" t="s">
        <v>3477</v>
      </c>
      <c r="B1518" s="9">
        <v>7.5</v>
      </c>
    </row>
    <row r="1519" spans="1:2" x14ac:dyDescent="0.35">
      <c r="A1519" s="91" t="s">
        <v>2869</v>
      </c>
      <c r="B1519" s="9">
        <v>7.5</v>
      </c>
    </row>
    <row r="1520" spans="1:2" x14ac:dyDescent="0.35">
      <c r="A1520" s="91" t="s">
        <v>236</v>
      </c>
      <c r="B1520" s="9">
        <v>17.5</v>
      </c>
    </row>
    <row r="1521" spans="1:2" x14ac:dyDescent="0.35">
      <c r="A1521" s="91" t="s">
        <v>2089</v>
      </c>
      <c r="B1521" s="9">
        <v>2.8</v>
      </c>
    </row>
    <row r="1522" spans="1:2" x14ac:dyDescent="0.35">
      <c r="A1522" s="91" t="s">
        <v>1594</v>
      </c>
      <c r="B1522" s="9">
        <v>11</v>
      </c>
    </row>
    <row r="1523" spans="1:2" x14ac:dyDescent="0.35">
      <c r="A1523" s="91" t="s">
        <v>1375</v>
      </c>
      <c r="B1523" s="9">
        <v>17.5</v>
      </c>
    </row>
    <row r="1524" spans="1:2" x14ac:dyDescent="0.35">
      <c r="A1524" s="91" t="s">
        <v>5971</v>
      </c>
      <c r="B1524" s="9">
        <v>8.8000000000000007</v>
      </c>
    </row>
    <row r="1525" spans="1:2" x14ac:dyDescent="0.35">
      <c r="A1525" s="91" t="s">
        <v>1407</v>
      </c>
      <c r="B1525" s="9">
        <v>12.5</v>
      </c>
    </row>
    <row r="1526" spans="1:2" x14ac:dyDescent="0.35">
      <c r="A1526" s="91" t="s">
        <v>1385</v>
      </c>
      <c r="B1526" s="9">
        <v>7</v>
      </c>
    </row>
    <row r="1527" spans="1:2" x14ac:dyDescent="0.35">
      <c r="A1527" s="91" t="s">
        <v>5403</v>
      </c>
      <c r="B1527" s="9">
        <v>8.3999999999999986</v>
      </c>
    </row>
    <row r="1528" spans="1:2" x14ac:dyDescent="0.35">
      <c r="A1528" s="91" t="s">
        <v>1069</v>
      </c>
      <c r="B1528" s="9">
        <v>4.4000000000000004</v>
      </c>
    </row>
    <row r="1529" spans="1:2" x14ac:dyDescent="0.35">
      <c r="A1529" s="91" t="s">
        <v>4504</v>
      </c>
      <c r="B1529" s="9">
        <v>7.6</v>
      </c>
    </row>
    <row r="1530" spans="1:2" x14ac:dyDescent="0.35">
      <c r="A1530" s="91" t="s">
        <v>987</v>
      </c>
      <c r="B1530" s="9">
        <v>3.5</v>
      </c>
    </row>
    <row r="1531" spans="1:2" x14ac:dyDescent="0.35">
      <c r="A1531" s="91" t="s">
        <v>3109</v>
      </c>
      <c r="B1531" s="9">
        <v>8.3999999999999986</v>
      </c>
    </row>
    <row r="1532" spans="1:2" x14ac:dyDescent="0.35">
      <c r="A1532" s="91" t="s">
        <v>2914</v>
      </c>
      <c r="B1532" s="9">
        <v>8.3999999999999986</v>
      </c>
    </row>
    <row r="1533" spans="1:2" x14ac:dyDescent="0.35">
      <c r="A1533" s="91" t="s">
        <v>2988</v>
      </c>
      <c r="B1533" s="9">
        <v>8.8000000000000007</v>
      </c>
    </row>
    <row r="1534" spans="1:2" x14ac:dyDescent="0.35">
      <c r="A1534" s="91" t="s">
        <v>2005</v>
      </c>
      <c r="B1534" s="9">
        <v>6.6000000000000005</v>
      </c>
    </row>
    <row r="1535" spans="1:2" x14ac:dyDescent="0.35">
      <c r="A1535" s="91" t="s">
        <v>3678</v>
      </c>
      <c r="B1535" s="9">
        <v>2.8</v>
      </c>
    </row>
    <row r="1536" spans="1:2" x14ac:dyDescent="0.35">
      <c r="A1536" s="91" t="s">
        <v>5925</v>
      </c>
      <c r="B1536" s="9">
        <v>19</v>
      </c>
    </row>
    <row r="1537" spans="1:2" x14ac:dyDescent="0.35">
      <c r="A1537" s="91" t="s">
        <v>1014</v>
      </c>
      <c r="B1537" s="9">
        <v>10</v>
      </c>
    </row>
    <row r="1538" spans="1:2" x14ac:dyDescent="0.35">
      <c r="A1538" s="91" t="s">
        <v>3895</v>
      </c>
      <c r="B1538" s="9">
        <v>11.2</v>
      </c>
    </row>
    <row r="1539" spans="1:2" x14ac:dyDescent="0.35">
      <c r="A1539" s="91" t="s">
        <v>3125</v>
      </c>
      <c r="B1539" s="9">
        <v>14</v>
      </c>
    </row>
    <row r="1540" spans="1:2" x14ac:dyDescent="0.35">
      <c r="A1540" s="91" t="s">
        <v>4278</v>
      </c>
      <c r="B1540" s="9">
        <v>7.6</v>
      </c>
    </row>
    <row r="1541" spans="1:2" x14ac:dyDescent="0.35">
      <c r="A1541" s="91" t="s">
        <v>2886</v>
      </c>
      <c r="B1541" s="9">
        <v>3.5</v>
      </c>
    </row>
    <row r="1542" spans="1:2" x14ac:dyDescent="0.35">
      <c r="A1542" s="91" t="s">
        <v>5233</v>
      </c>
      <c r="B1542" s="9">
        <v>3.5</v>
      </c>
    </row>
    <row r="1543" spans="1:2" x14ac:dyDescent="0.35">
      <c r="A1543" s="91" t="s">
        <v>1551</v>
      </c>
      <c r="B1543" s="9">
        <v>7.6</v>
      </c>
    </row>
    <row r="1544" spans="1:2" x14ac:dyDescent="0.35">
      <c r="A1544" s="91" t="s">
        <v>1899</v>
      </c>
      <c r="B1544" s="9">
        <v>11</v>
      </c>
    </row>
    <row r="1545" spans="1:2" x14ac:dyDescent="0.35">
      <c r="A1545" s="91" t="s">
        <v>2915</v>
      </c>
      <c r="B1545" s="9">
        <v>17.5</v>
      </c>
    </row>
    <row r="1546" spans="1:2" x14ac:dyDescent="0.35">
      <c r="A1546" s="91" t="s">
        <v>5133</v>
      </c>
      <c r="B1546" s="9">
        <v>2.8</v>
      </c>
    </row>
    <row r="1547" spans="1:2" x14ac:dyDescent="0.35">
      <c r="A1547" s="91" t="s">
        <v>5712</v>
      </c>
      <c r="B1547" s="9">
        <v>19</v>
      </c>
    </row>
    <row r="1548" spans="1:2" x14ac:dyDescent="0.35">
      <c r="A1548" s="91" t="s">
        <v>4505</v>
      </c>
      <c r="B1548" s="9">
        <v>15.2</v>
      </c>
    </row>
    <row r="1549" spans="1:2" x14ac:dyDescent="0.35">
      <c r="A1549" s="91" t="s">
        <v>435</v>
      </c>
      <c r="B1549" s="9">
        <v>14</v>
      </c>
    </row>
    <row r="1550" spans="1:2" x14ac:dyDescent="0.35">
      <c r="A1550" s="91" t="s">
        <v>1140</v>
      </c>
      <c r="B1550" s="9">
        <v>14</v>
      </c>
    </row>
    <row r="1551" spans="1:2" x14ac:dyDescent="0.35">
      <c r="A1551" s="91" t="s">
        <v>4836</v>
      </c>
      <c r="B1551" s="9">
        <v>14</v>
      </c>
    </row>
    <row r="1552" spans="1:2" x14ac:dyDescent="0.35">
      <c r="A1552" s="91" t="s">
        <v>4537</v>
      </c>
      <c r="B1552" s="9">
        <v>10</v>
      </c>
    </row>
    <row r="1553" spans="1:2" x14ac:dyDescent="0.35">
      <c r="A1553" s="91" t="s">
        <v>2580</v>
      </c>
      <c r="B1553" s="9">
        <v>10</v>
      </c>
    </row>
    <row r="1554" spans="1:2" x14ac:dyDescent="0.35">
      <c r="A1554" s="91" t="s">
        <v>1237</v>
      </c>
      <c r="B1554" s="9">
        <v>14</v>
      </c>
    </row>
    <row r="1555" spans="1:2" x14ac:dyDescent="0.35">
      <c r="A1555" s="91" t="s">
        <v>485</v>
      </c>
      <c r="B1555" s="9">
        <v>17.5</v>
      </c>
    </row>
    <row r="1556" spans="1:2" x14ac:dyDescent="0.35">
      <c r="A1556" s="91" t="s">
        <v>5863</v>
      </c>
      <c r="B1556" s="9">
        <v>11.2</v>
      </c>
    </row>
    <row r="1557" spans="1:2" x14ac:dyDescent="0.35">
      <c r="A1557" s="91" t="s">
        <v>156</v>
      </c>
      <c r="B1557" s="9">
        <v>12.5</v>
      </c>
    </row>
    <row r="1558" spans="1:2" x14ac:dyDescent="0.35">
      <c r="A1558" s="91" t="s">
        <v>4288</v>
      </c>
      <c r="B1558" s="9">
        <v>17.5</v>
      </c>
    </row>
    <row r="1559" spans="1:2" x14ac:dyDescent="0.35">
      <c r="A1559" s="91" t="s">
        <v>3512</v>
      </c>
      <c r="B1559" s="9">
        <v>2.5</v>
      </c>
    </row>
    <row r="1560" spans="1:2" x14ac:dyDescent="0.35">
      <c r="A1560" s="91" t="s">
        <v>2442</v>
      </c>
      <c r="B1560" s="9">
        <v>4.4000000000000004</v>
      </c>
    </row>
    <row r="1561" spans="1:2" x14ac:dyDescent="0.35">
      <c r="A1561" s="91" t="s">
        <v>3693</v>
      </c>
      <c r="B1561" s="9">
        <v>12.5</v>
      </c>
    </row>
    <row r="1562" spans="1:2" x14ac:dyDescent="0.35">
      <c r="A1562" s="91" t="s">
        <v>217</v>
      </c>
      <c r="B1562" s="9">
        <v>10.5</v>
      </c>
    </row>
    <row r="1563" spans="1:2" x14ac:dyDescent="0.35">
      <c r="A1563" s="91" t="s">
        <v>1071</v>
      </c>
      <c r="B1563" s="9">
        <v>17.5</v>
      </c>
    </row>
    <row r="1564" spans="1:2" x14ac:dyDescent="0.35">
      <c r="A1564" s="91" t="s">
        <v>2214</v>
      </c>
      <c r="B1564" s="9">
        <v>3.8</v>
      </c>
    </row>
    <row r="1565" spans="1:2" x14ac:dyDescent="0.35">
      <c r="A1565" s="91" t="s">
        <v>4366</v>
      </c>
      <c r="B1565" s="9">
        <v>15.2</v>
      </c>
    </row>
    <row r="1566" spans="1:2" x14ac:dyDescent="0.35">
      <c r="A1566" s="91" t="s">
        <v>2817</v>
      </c>
      <c r="B1566" s="9">
        <v>3.8</v>
      </c>
    </row>
    <row r="1567" spans="1:2" x14ac:dyDescent="0.35">
      <c r="A1567" s="91" t="s">
        <v>3411</v>
      </c>
      <c r="B1567" s="9">
        <v>6.6000000000000005</v>
      </c>
    </row>
    <row r="1568" spans="1:2" x14ac:dyDescent="0.35">
      <c r="A1568" s="91" t="s">
        <v>5363</v>
      </c>
      <c r="B1568" s="9">
        <v>12.5</v>
      </c>
    </row>
    <row r="1569" spans="1:2" x14ac:dyDescent="0.35">
      <c r="A1569" s="91" t="s">
        <v>3193</v>
      </c>
      <c r="B1569" s="9">
        <v>11.399999999999999</v>
      </c>
    </row>
    <row r="1570" spans="1:2" x14ac:dyDescent="0.35">
      <c r="A1570" s="91" t="s">
        <v>4189</v>
      </c>
      <c r="B1570" s="9">
        <v>5</v>
      </c>
    </row>
    <row r="1571" spans="1:2" x14ac:dyDescent="0.35">
      <c r="A1571" s="91" t="s">
        <v>3165</v>
      </c>
      <c r="B1571" s="9">
        <v>5</v>
      </c>
    </row>
    <row r="1572" spans="1:2" x14ac:dyDescent="0.35">
      <c r="A1572" s="91" t="s">
        <v>4950</v>
      </c>
      <c r="B1572" s="9">
        <v>3.8</v>
      </c>
    </row>
    <row r="1573" spans="1:2" x14ac:dyDescent="0.35">
      <c r="A1573" s="91" t="s">
        <v>2496</v>
      </c>
      <c r="B1573" s="9">
        <v>2.2000000000000002</v>
      </c>
    </row>
    <row r="1574" spans="1:2" x14ac:dyDescent="0.35">
      <c r="A1574" s="91" t="s">
        <v>2497</v>
      </c>
      <c r="B1574" s="9">
        <v>14</v>
      </c>
    </row>
    <row r="1575" spans="1:2" x14ac:dyDescent="0.35">
      <c r="A1575" s="91" t="s">
        <v>3536</v>
      </c>
      <c r="B1575" s="9">
        <v>3.5</v>
      </c>
    </row>
    <row r="1576" spans="1:2" x14ac:dyDescent="0.35">
      <c r="A1576" s="91" t="s">
        <v>3879</v>
      </c>
      <c r="B1576" s="9">
        <v>6.6000000000000005</v>
      </c>
    </row>
    <row r="1577" spans="1:2" x14ac:dyDescent="0.35">
      <c r="A1577" s="91" t="s">
        <v>1571</v>
      </c>
      <c r="B1577" s="9">
        <v>3.8</v>
      </c>
    </row>
    <row r="1578" spans="1:2" x14ac:dyDescent="0.35">
      <c r="A1578" s="91" t="s">
        <v>4115</v>
      </c>
      <c r="B1578" s="9">
        <v>11.2</v>
      </c>
    </row>
    <row r="1579" spans="1:2" x14ac:dyDescent="0.35">
      <c r="A1579" s="91" t="s">
        <v>4479</v>
      </c>
      <c r="B1579" s="9">
        <v>12.5</v>
      </c>
    </row>
    <row r="1580" spans="1:2" x14ac:dyDescent="0.35">
      <c r="A1580" s="91" t="s">
        <v>2254</v>
      </c>
      <c r="B1580" s="9">
        <v>2.2000000000000002</v>
      </c>
    </row>
    <row r="1581" spans="1:2" x14ac:dyDescent="0.35">
      <c r="A1581" s="91" t="s">
        <v>4636</v>
      </c>
      <c r="B1581" s="9">
        <v>5</v>
      </c>
    </row>
    <row r="1582" spans="1:2" x14ac:dyDescent="0.35">
      <c r="A1582" s="91" t="s">
        <v>5175</v>
      </c>
      <c r="B1582" s="9">
        <v>11</v>
      </c>
    </row>
    <row r="1583" spans="1:2" x14ac:dyDescent="0.35">
      <c r="A1583" s="91" t="s">
        <v>5668</v>
      </c>
      <c r="B1583" s="9">
        <v>7</v>
      </c>
    </row>
    <row r="1584" spans="1:2" x14ac:dyDescent="0.35">
      <c r="A1584" s="91" t="s">
        <v>1102</v>
      </c>
      <c r="B1584" s="9">
        <v>7.5</v>
      </c>
    </row>
    <row r="1585" spans="1:2" x14ac:dyDescent="0.35">
      <c r="A1585" s="91" t="s">
        <v>1359</v>
      </c>
      <c r="B1585" s="9">
        <v>7.5</v>
      </c>
    </row>
    <row r="1586" spans="1:2" x14ac:dyDescent="0.35">
      <c r="A1586" s="91" t="s">
        <v>2239</v>
      </c>
      <c r="B1586" s="9">
        <v>7.6</v>
      </c>
    </row>
    <row r="1587" spans="1:2" x14ac:dyDescent="0.35">
      <c r="A1587" s="91" t="s">
        <v>2765</v>
      </c>
      <c r="B1587" s="9">
        <v>3.5</v>
      </c>
    </row>
    <row r="1588" spans="1:2" x14ac:dyDescent="0.35">
      <c r="A1588" s="91" t="s">
        <v>1920</v>
      </c>
      <c r="B1588" s="9">
        <v>8.8000000000000007</v>
      </c>
    </row>
    <row r="1589" spans="1:2" x14ac:dyDescent="0.35">
      <c r="A1589" s="91" t="s">
        <v>5810</v>
      </c>
      <c r="B1589" s="9">
        <v>10.5</v>
      </c>
    </row>
    <row r="1590" spans="1:2" x14ac:dyDescent="0.35">
      <c r="A1590" s="91" t="s">
        <v>2900</v>
      </c>
      <c r="B1590" s="9">
        <v>19</v>
      </c>
    </row>
    <row r="1591" spans="1:2" x14ac:dyDescent="0.35">
      <c r="A1591" s="91" t="s">
        <v>1521</v>
      </c>
      <c r="B1591" s="9">
        <v>10</v>
      </c>
    </row>
    <row r="1592" spans="1:2" x14ac:dyDescent="0.35">
      <c r="A1592" s="91" t="s">
        <v>3281</v>
      </c>
      <c r="B1592" s="9">
        <v>10.5</v>
      </c>
    </row>
    <row r="1593" spans="1:2" x14ac:dyDescent="0.35">
      <c r="A1593" s="91" t="s">
        <v>3918</v>
      </c>
      <c r="B1593" s="9">
        <v>11.2</v>
      </c>
    </row>
    <row r="1594" spans="1:2" x14ac:dyDescent="0.35">
      <c r="A1594" s="91" t="s">
        <v>3880</v>
      </c>
      <c r="B1594" s="9">
        <v>17.5</v>
      </c>
    </row>
    <row r="1595" spans="1:2" x14ac:dyDescent="0.35">
      <c r="A1595" s="91" t="s">
        <v>5529</v>
      </c>
      <c r="B1595" s="9">
        <v>10</v>
      </c>
    </row>
    <row r="1596" spans="1:2" x14ac:dyDescent="0.35">
      <c r="A1596" s="91" t="s">
        <v>4951</v>
      </c>
      <c r="B1596" s="9">
        <v>4.4000000000000004</v>
      </c>
    </row>
    <row r="1597" spans="1:2" x14ac:dyDescent="0.35">
      <c r="A1597" s="91" t="s">
        <v>4328</v>
      </c>
      <c r="B1597" s="9">
        <v>15.2</v>
      </c>
    </row>
    <row r="1598" spans="1:2" x14ac:dyDescent="0.35">
      <c r="A1598" s="91" t="s">
        <v>4890</v>
      </c>
      <c r="B1598" s="9">
        <v>2.2000000000000002</v>
      </c>
    </row>
    <row r="1599" spans="1:2" x14ac:dyDescent="0.35">
      <c r="A1599" s="91" t="s">
        <v>787</v>
      </c>
      <c r="B1599" s="9">
        <v>4.4000000000000004</v>
      </c>
    </row>
    <row r="1600" spans="1:2" x14ac:dyDescent="0.35">
      <c r="A1600" s="91" t="s">
        <v>953</v>
      </c>
      <c r="B1600" s="9">
        <v>11.2</v>
      </c>
    </row>
    <row r="1601" spans="1:2" x14ac:dyDescent="0.35">
      <c r="A1601" s="91" t="s">
        <v>1698</v>
      </c>
      <c r="B1601" s="9">
        <v>11</v>
      </c>
    </row>
    <row r="1602" spans="1:2" x14ac:dyDescent="0.35">
      <c r="A1602" s="91" t="s">
        <v>1965</v>
      </c>
      <c r="B1602" s="9">
        <v>4.4000000000000004</v>
      </c>
    </row>
    <row r="1603" spans="1:2" x14ac:dyDescent="0.35">
      <c r="A1603" s="91" t="s">
        <v>5274</v>
      </c>
      <c r="B1603" s="9">
        <v>2.8</v>
      </c>
    </row>
    <row r="1604" spans="1:2" x14ac:dyDescent="0.35">
      <c r="A1604" s="91" t="s">
        <v>5826</v>
      </c>
      <c r="B1604" s="9">
        <v>2.5</v>
      </c>
    </row>
    <row r="1605" spans="1:2" x14ac:dyDescent="0.35">
      <c r="A1605" s="91" t="s">
        <v>3590</v>
      </c>
      <c r="B1605" s="9">
        <v>11</v>
      </c>
    </row>
    <row r="1606" spans="1:2" x14ac:dyDescent="0.35">
      <c r="A1606" s="91" t="s">
        <v>1072</v>
      </c>
      <c r="B1606" s="9">
        <v>3.5</v>
      </c>
    </row>
    <row r="1607" spans="1:2" x14ac:dyDescent="0.35">
      <c r="A1607" s="91" t="s">
        <v>2215</v>
      </c>
      <c r="B1607" s="9">
        <v>11.399999999999999</v>
      </c>
    </row>
    <row r="1608" spans="1:2" x14ac:dyDescent="0.35">
      <c r="A1608" s="91" t="s">
        <v>3591</v>
      </c>
      <c r="B1608" s="9">
        <v>12.5</v>
      </c>
    </row>
    <row r="1609" spans="1:2" x14ac:dyDescent="0.35">
      <c r="A1609" s="91" t="s">
        <v>909</v>
      </c>
      <c r="B1609" s="9">
        <v>2.2000000000000002</v>
      </c>
    </row>
    <row r="1610" spans="1:2" x14ac:dyDescent="0.35">
      <c r="A1610" s="91" t="s">
        <v>822</v>
      </c>
      <c r="B1610" s="9">
        <v>7.6</v>
      </c>
    </row>
    <row r="1611" spans="1:2" x14ac:dyDescent="0.35">
      <c r="A1611" s="91" t="s">
        <v>5472</v>
      </c>
      <c r="B1611" s="9">
        <v>4.4000000000000004</v>
      </c>
    </row>
    <row r="1612" spans="1:2" x14ac:dyDescent="0.35">
      <c r="A1612" s="91" t="s">
        <v>5595</v>
      </c>
      <c r="B1612" s="9">
        <v>19</v>
      </c>
    </row>
    <row r="1613" spans="1:2" x14ac:dyDescent="0.35">
      <c r="A1613" s="91" t="s">
        <v>1670</v>
      </c>
      <c r="B1613" s="9">
        <v>17.5</v>
      </c>
    </row>
    <row r="1614" spans="1:2" x14ac:dyDescent="0.35">
      <c r="A1614" s="91" t="s">
        <v>3679</v>
      </c>
      <c r="B1614" s="9">
        <v>7.5</v>
      </c>
    </row>
    <row r="1615" spans="1:2" x14ac:dyDescent="0.35">
      <c r="A1615" s="91" t="s">
        <v>5154</v>
      </c>
      <c r="B1615" s="9">
        <v>11.2</v>
      </c>
    </row>
    <row r="1616" spans="1:2" x14ac:dyDescent="0.35">
      <c r="A1616" s="91" t="s">
        <v>2392</v>
      </c>
      <c r="B1616" s="9">
        <v>7.6</v>
      </c>
    </row>
    <row r="1617" spans="1:2" x14ac:dyDescent="0.35">
      <c r="A1617" s="91" t="s">
        <v>85</v>
      </c>
      <c r="B1617" s="9">
        <v>10.5</v>
      </c>
    </row>
    <row r="1618" spans="1:2" x14ac:dyDescent="0.35">
      <c r="A1618" s="91" t="s">
        <v>542</v>
      </c>
      <c r="B1618" s="9">
        <v>2.2000000000000002</v>
      </c>
    </row>
    <row r="1619" spans="1:2" x14ac:dyDescent="0.35">
      <c r="A1619" s="91" t="s">
        <v>924</v>
      </c>
      <c r="B1619" s="9">
        <v>6.6000000000000005</v>
      </c>
    </row>
    <row r="1620" spans="1:2" x14ac:dyDescent="0.35">
      <c r="A1620" s="91" t="s">
        <v>4289</v>
      </c>
      <c r="B1620" s="9">
        <v>15.2</v>
      </c>
    </row>
    <row r="1621" spans="1:2" x14ac:dyDescent="0.35">
      <c r="A1621" s="91" t="s">
        <v>5980</v>
      </c>
      <c r="B1621" s="9">
        <v>8.8000000000000007</v>
      </c>
    </row>
    <row r="1622" spans="1:2" x14ac:dyDescent="0.35">
      <c r="A1622" s="91" t="s">
        <v>87</v>
      </c>
      <c r="B1622" s="9">
        <v>6.6000000000000005</v>
      </c>
    </row>
    <row r="1623" spans="1:2" x14ac:dyDescent="0.35">
      <c r="A1623" s="91" t="s">
        <v>5640</v>
      </c>
      <c r="B1623" s="9">
        <v>8.8000000000000007</v>
      </c>
    </row>
    <row r="1624" spans="1:2" x14ac:dyDescent="0.35">
      <c r="A1624" s="91" t="s">
        <v>1617</v>
      </c>
      <c r="B1624" s="9">
        <v>3.5</v>
      </c>
    </row>
    <row r="1625" spans="1:2" x14ac:dyDescent="0.35">
      <c r="A1625" s="91" t="s">
        <v>3385</v>
      </c>
      <c r="B1625" s="9">
        <v>2.5</v>
      </c>
    </row>
    <row r="1626" spans="1:2" x14ac:dyDescent="0.35">
      <c r="A1626" s="91" t="s">
        <v>3166</v>
      </c>
      <c r="B1626" s="9">
        <v>17.5</v>
      </c>
    </row>
    <row r="1627" spans="1:2" x14ac:dyDescent="0.35">
      <c r="A1627" s="91" t="s">
        <v>3841</v>
      </c>
      <c r="B1627" s="9">
        <v>2.2000000000000002</v>
      </c>
    </row>
    <row r="1628" spans="1:2" x14ac:dyDescent="0.35">
      <c r="A1628" s="91" t="s">
        <v>4837</v>
      </c>
      <c r="B1628" s="9">
        <v>2.5</v>
      </c>
    </row>
    <row r="1629" spans="1:2" x14ac:dyDescent="0.35">
      <c r="A1629" s="91" t="s">
        <v>841</v>
      </c>
      <c r="B1629" s="9">
        <v>14</v>
      </c>
    </row>
    <row r="1630" spans="1:2" x14ac:dyDescent="0.35">
      <c r="A1630" s="91" t="s">
        <v>3842</v>
      </c>
      <c r="B1630" s="9">
        <v>11</v>
      </c>
    </row>
    <row r="1631" spans="1:2" x14ac:dyDescent="0.35">
      <c r="A1631" s="91" t="s">
        <v>5556</v>
      </c>
      <c r="B1631" s="9">
        <v>5.6</v>
      </c>
    </row>
    <row r="1632" spans="1:2" x14ac:dyDescent="0.35">
      <c r="A1632" s="91" t="s">
        <v>5192</v>
      </c>
      <c r="B1632" s="9">
        <v>5.6</v>
      </c>
    </row>
    <row r="1633" spans="1:2" x14ac:dyDescent="0.35">
      <c r="A1633" s="91" t="s">
        <v>608</v>
      </c>
      <c r="B1633" s="9">
        <v>8.8000000000000007</v>
      </c>
    </row>
    <row r="1634" spans="1:2" x14ac:dyDescent="0.35">
      <c r="A1634" s="91" t="s">
        <v>1922</v>
      </c>
      <c r="B1634" s="9">
        <v>3.8</v>
      </c>
    </row>
    <row r="1635" spans="1:2" x14ac:dyDescent="0.35">
      <c r="A1635" s="91" t="s">
        <v>3283</v>
      </c>
      <c r="B1635" s="9">
        <v>2.5</v>
      </c>
    </row>
    <row r="1636" spans="1:2" x14ac:dyDescent="0.35">
      <c r="A1636" s="91" t="s">
        <v>5364</v>
      </c>
      <c r="B1636" s="9">
        <v>14</v>
      </c>
    </row>
    <row r="1637" spans="1:2" x14ac:dyDescent="0.35">
      <c r="A1637" s="91" t="s">
        <v>5851</v>
      </c>
      <c r="B1637" s="9">
        <v>15.2</v>
      </c>
    </row>
    <row r="1638" spans="1:2" x14ac:dyDescent="0.35">
      <c r="A1638" s="91" t="s">
        <v>3513</v>
      </c>
      <c r="B1638" s="9">
        <v>7</v>
      </c>
    </row>
    <row r="1639" spans="1:2" x14ac:dyDescent="0.35">
      <c r="A1639" s="91" t="s">
        <v>3563</v>
      </c>
      <c r="B1639" s="9">
        <v>2.5</v>
      </c>
    </row>
    <row r="1640" spans="1:2" x14ac:dyDescent="0.35">
      <c r="A1640" s="91" t="s">
        <v>2329</v>
      </c>
      <c r="B1640" s="9">
        <v>10</v>
      </c>
    </row>
    <row r="1641" spans="1:2" x14ac:dyDescent="0.35">
      <c r="A1641" s="91" t="s">
        <v>3729</v>
      </c>
      <c r="B1641" s="9">
        <v>7.5</v>
      </c>
    </row>
    <row r="1642" spans="1:2" x14ac:dyDescent="0.35">
      <c r="A1642" s="91" t="s">
        <v>2926</v>
      </c>
      <c r="B1642" s="9">
        <v>12.5</v>
      </c>
    </row>
    <row r="1643" spans="1:2" x14ac:dyDescent="0.35">
      <c r="A1643" s="91" t="s">
        <v>1832</v>
      </c>
      <c r="B1643" s="9">
        <v>5</v>
      </c>
    </row>
    <row r="1644" spans="1:2" x14ac:dyDescent="0.35">
      <c r="A1644" s="91" t="s">
        <v>3824</v>
      </c>
      <c r="B1644" s="9">
        <v>4.4000000000000004</v>
      </c>
    </row>
    <row r="1645" spans="1:2" x14ac:dyDescent="0.35">
      <c r="A1645" s="91" t="s">
        <v>4548</v>
      </c>
      <c r="B1645" s="9">
        <v>4.4000000000000004</v>
      </c>
    </row>
    <row r="1646" spans="1:2" x14ac:dyDescent="0.35">
      <c r="A1646" s="91" t="s">
        <v>3789</v>
      </c>
      <c r="B1646" s="9">
        <v>8.3999999999999986</v>
      </c>
    </row>
    <row r="1647" spans="1:2" x14ac:dyDescent="0.35">
      <c r="A1647" s="91" t="s">
        <v>4480</v>
      </c>
      <c r="B1647" s="9">
        <v>8.8000000000000007</v>
      </c>
    </row>
    <row r="1648" spans="1:2" x14ac:dyDescent="0.35">
      <c r="A1648" s="91" t="s">
        <v>3943</v>
      </c>
      <c r="B1648" s="9">
        <v>15.2</v>
      </c>
    </row>
    <row r="1649" spans="1:2" x14ac:dyDescent="0.35">
      <c r="A1649" s="91" t="s">
        <v>1681</v>
      </c>
      <c r="B1649" s="9">
        <v>10.5</v>
      </c>
    </row>
    <row r="1650" spans="1:2" x14ac:dyDescent="0.35">
      <c r="A1650" s="91" t="s">
        <v>3080</v>
      </c>
      <c r="B1650" s="9">
        <v>10</v>
      </c>
    </row>
    <row r="1651" spans="1:2" x14ac:dyDescent="0.35">
      <c r="A1651" s="91" t="s">
        <v>5053</v>
      </c>
      <c r="B1651" s="9">
        <v>7.5</v>
      </c>
    </row>
    <row r="1652" spans="1:2" x14ac:dyDescent="0.35">
      <c r="A1652" s="91" t="s">
        <v>3479</v>
      </c>
      <c r="B1652" s="9">
        <v>12.5</v>
      </c>
    </row>
    <row r="1653" spans="1:2" x14ac:dyDescent="0.35">
      <c r="A1653" s="91" t="s">
        <v>5909</v>
      </c>
      <c r="B1653" s="9">
        <v>11.399999999999999</v>
      </c>
    </row>
    <row r="1654" spans="1:2" x14ac:dyDescent="0.35">
      <c r="A1654" s="91" t="s">
        <v>4456</v>
      </c>
      <c r="B1654" s="9">
        <v>15.2</v>
      </c>
    </row>
    <row r="1655" spans="1:2" x14ac:dyDescent="0.35">
      <c r="A1655" s="91" t="s">
        <v>5688</v>
      </c>
      <c r="B1655" s="9">
        <v>2.8</v>
      </c>
    </row>
    <row r="1656" spans="1:2" x14ac:dyDescent="0.35">
      <c r="A1656" s="91" t="s">
        <v>5275</v>
      </c>
      <c r="B1656" s="9">
        <v>3.8</v>
      </c>
    </row>
    <row r="1657" spans="1:2" x14ac:dyDescent="0.35">
      <c r="A1657" s="91" t="s">
        <v>4004</v>
      </c>
      <c r="B1657" s="9">
        <v>8.8000000000000007</v>
      </c>
    </row>
    <row r="1658" spans="1:2" x14ac:dyDescent="0.35">
      <c r="A1658" s="91" t="s">
        <v>3537</v>
      </c>
      <c r="B1658" s="9">
        <v>11.399999999999999</v>
      </c>
    </row>
    <row r="1659" spans="1:2" x14ac:dyDescent="0.35">
      <c r="A1659" s="91" t="s">
        <v>5155</v>
      </c>
      <c r="B1659" s="9">
        <v>19</v>
      </c>
    </row>
    <row r="1660" spans="1:2" x14ac:dyDescent="0.35">
      <c r="A1660" s="91" t="s">
        <v>5259</v>
      </c>
      <c r="B1660" s="9">
        <v>11.2</v>
      </c>
    </row>
    <row r="1661" spans="1:2" x14ac:dyDescent="0.35">
      <c r="A1661" s="91" t="s">
        <v>3965</v>
      </c>
      <c r="B1661" s="9">
        <v>10</v>
      </c>
    </row>
    <row r="1662" spans="1:2" x14ac:dyDescent="0.35">
      <c r="A1662" s="91" t="s">
        <v>1523</v>
      </c>
      <c r="B1662" s="9">
        <v>15.2</v>
      </c>
    </row>
    <row r="1663" spans="1:2" x14ac:dyDescent="0.35">
      <c r="A1663" s="91" t="s">
        <v>4431</v>
      </c>
      <c r="B1663" s="9">
        <v>2.5</v>
      </c>
    </row>
    <row r="1664" spans="1:2" x14ac:dyDescent="0.35">
      <c r="A1664" s="91" t="s">
        <v>2198</v>
      </c>
      <c r="B1664" s="9">
        <v>7.6</v>
      </c>
    </row>
    <row r="1665" spans="1:2" x14ac:dyDescent="0.35">
      <c r="A1665" s="91" t="s">
        <v>5557</v>
      </c>
      <c r="B1665" s="9">
        <v>2.5</v>
      </c>
    </row>
    <row r="1666" spans="1:2" x14ac:dyDescent="0.35">
      <c r="A1666" s="91" t="s">
        <v>1722</v>
      </c>
      <c r="B1666" s="9">
        <v>11.2</v>
      </c>
    </row>
    <row r="1667" spans="1:2" x14ac:dyDescent="0.35">
      <c r="A1667" s="91" t="s">
        <v>5514</v>
      </c>
      <c r="B1667" s="9">
        <v>12.5</v>
      </c>
    </row>
    <row r="1668" spans="1:2" x14ac:dyDescent="0.35">
      <c r="A1668" s="91" t="s">
        <v>2870</v>
      </c>
      <c r="B1668" s="9">
        <v>7.5</v>
      </c>
    </row>
    <row r="1669" spans="1:2" x14ac:dyDescent="0.35">
      <c r="A1669" s="91" t="s">
        <v>2916</v>
      </c>
      <c r="B1669" s="9">
        <v>14</v>
      </c>
    </row>
    <row r="1670" spans="1:2" x14ac:dyDescent="0.35">
      <c r="A1670" s="91" t="s">
        <v>5544</v>
      </c>
      <c r="B1670" s="9">
        <v>2.5</v>
      </c>
    </row>
    <row r="1671" spans="1:2" x14ac:dyDescent="0.35">
      <c r="A1671" s="91" t="s">
        <v>3063</v>
      </c>
      <c r="B1671" s="9">
        <v>15.2</v>
      </c>
    </row>
    <row r="1672" spans="1:2" x14ac:dyDescent="0.35">
      <c r="A1672" s="91" t="s">
        <v>544</v>
      </c>
      <c r="B1672" s="9">
        <v>5</v>
      </c>
    </row>
    <row r="1673" spans="1:2" x14ac:dyDescent="0.35">
      <c r="A1673" s="91" t="s">
        <v>3826</v>
      </c>
      <c r="B1673" s="9">
        <v>17.5</v>
      </c>
    </row>
    <row r="1674" spans="1:2" x14ac:dyDescent="0.35">
      <c r="A1674" s="91" t="s">
        <v>2111</v>
      </c>
      <c r="B1674" s="9">
        <v>5</v>
      </c>
    </row>
    <row r="1675" spans="1:2" x14ac:dyDescent="0.35">
      <c r="A1675" s="91" t="s">
        <v>2463</v>
      </c>
      <c r="B1675" s="9">
        <v>15.2</v>
      </c>
    </row>
    <row r="1676" spans="1:2" x14ac:dyDescent="0.35">
      <c r="A1676" s="91" t="s">
        <v>704</v>
      </c>
      <c r="B1676" s="9">
        <v>3.5</v>
      </c>
    </row>
    <row r="1677" spans="1:2" x14ac:dyDescent="0.35">
      <c r="A1677" s="91" t="s">
        <v>2474</v>
      </c>
      <c r="B1677" s="9">
        <v>15.2</v>
      </c>
    </row>
    <row r="1678" spans="1:2" x14ac:dyDescent="0.35">
      <c r="A1678" s="91" t="s">
        <v>2669</v>
      </c>
      <c r="B1678" s="9">
        <v>7.5</v>
      </c>
    </row>
    <row r="1679" spans="1:2" x14ac:dyDescent="0.35">
      <c r="A1679" s="91" t="s">
        <v>2377</v>
      </c>
      <c r="B1679" s="9">
        <v>10.5</v>
      </c>
    </row>
    <row r="1680" spans="1:2" x14ac:dyDescent="0.35">
      <c r="A1680" s="91" t="s">
        <v>4586</v>
      </c>
      <c r="B1680" s="9">
        <v>5.6</v>
      </c>
    </row>
    <row r="1681" spans="1:2" x14ac:dyDescent="0.35">
      <c r="A1681" s="91" t="s">
        <v>1344</v>
      </c>
      <c r="B1681" s="9">
        <v>3.5</v>
      </c>
    </row>
    <row r="1682" spans="1:2" x14ac:dyDescent="0.35">
      <c r="A1682" s="91" t="s">
        <v>4820</v>
      </c>
      <c r="B1682" s="9">
        <v>5</v>
      </c>
    </row>
    <row r="1683" spans="1:2" x14ac:dyDescent="0.35">
      <c r="A1683" s="91" t="s">
        <v>3730</v>
      </c>
      <c r="B1683" s="9">
        <v>8.8000000000000007</v>
      </c>
    </row>
    <row r="1684" spans="1:2" x14ac:dyDescent="0.35">
      <c r="A1684" s="91" t="s">
        <v>5404</v>
      </c>
      <c r="B1684" s="9">
        <v>11.399999999999999</v>
      </c>
    </row>
    <row r="1685" spans="1:2" x14ac:dyDescent="0.35">
      <c r="A1685" s="91" t="s">
        <v>5365</v>
      </c>
      <c r="B1685" s="9">
        <v>5.6</v>
      </c>
    </row>
    <row r="1686" spans="1:2" x14ac:dyDescent="0.35">
      <c r="A1686" s="91" t="s">
        <v>5545</v>
      </c>
      <c r="B1686" s="9">
        <v>3.5</v>
      </c>
    </row>
    <row r="1687" spans="1:2" x14ac:dyDescent="0.35">
      <c r="A1687" s="91" t="s">
        <v>3538</v>
      </c>
      <c r="B1687" s="9">
        <v>10.5</v>
      </c>
    </row>
    <row r="1688" spans="1:2" x14ac:dyDescent="0.35">
      <c r="A1688" s="91" t="s">
        <v>5800</v>
      </c>
      <c r="B1688" s="9">
        <v>6.6000000000000005</v>
      </c>
    </row>
    <row r="1689" spans="1:2" x14ac:dyDescent="0.35">
      <c r="A1689" s="91" t="s">
        <v>3694</v>
      </c>
      <c r="B1689" s="9">
        <v>10</v>
      </c>
    </row>
    <row r="1690" spans="1:2" x14ac:dyDescent="0.35">
      <c r="A1690" s="91" t="s">
        <v>6002</v>
      </c>
      <c r="B1690" s="9">
        <v>17.5</v>
      </c>
    </row>
    <row r="1691" spans="1:2" x14ac:dyDescent="0.35">
      <c r="A1691" s="91" t="s">
        <v>3110</v>
      </c>
      <c r="B1691" s="9">
        <v>6.6000000000000005</v>
      </c>
    </row>
    <row r="1692" spans="1:2" x14ac:dyDescent="0.35">
      <c r="A1692" s="91" t="s">
        <v>4406</v>
      </c>
      <c r="B1692" s="9">
        <v>3.8</v>
      </c>
    </row>
    <row r="1693" spans="1:2" x14ac:dyDescent="0.35">
      <c r="A1693" s="91" t="s">
        <v>3386</v>
      </c>
      <c r="B1693" s="9">
        <v>19</v>
      </c>
    </row>
    <row r="1694" spans="1:2" x14ac:dyDescent="0.35">
      <c r="A1694" s="91" t="s">
        <v>4057</v>
      </c>
      <c r="B1694" s="9">
        <v>7.6</v>
      </c>
    </row>
    <row r="1695" spans="1:2" x14ac:dyDescent="0.35">
      <c r="A1695" s="91" t="s">
        <v>5422</v>
      </c>
      <c r="B1695" s="9">
        <v>11.399999999999999</v>
      </c>
    </row>
    <row r="1696" spans="1:2" x14ac:dyDescent="0.35">
      <c r="A1696" s="91" t="s">
        <v>546</v>
      </c>
      <c r="B1696" s="9">
        <v>2.2000000000000002</v>
      </c>
    </row>
    <row r="1697" spans="1:2" x14ac:dyDescent="0.35">
      <c r="A1697" s="91" t="s">
        <v>3245</v>
      </c>
      <c r="B1697" s="9">
        <v>11</v>
      </c>
    </row>
    <row r="1698" spans="1:2" x14ac:dyDescent="0.35">
      <c r="A1698" s="91" t="s">
        <v>3592</v>
      </c>
      <c r="B1698" s="9">
        <v>3.8</v>
      </c>
    </row>
    <row r="1699" spans="1:2" x14ac:dyDescent="0.35">
      <c r="A1699" s="91" t="s">
        <v>5881</v>
      </c>
      <c r="B1699" s="9">
        <v>3.5</v>
      </c>
    </row>
    <row r="1700" spans="1:2" x14ac:dyDescent="0.35">
      <c r="A1700" s="91" t="s">
        <v>1239</v>
      </c>
      <c r="B1700" s="9">
        <v>7.5</v>
      </c>
    </row>
    <row r="1701" spans="1:2" x14ac:dyDescent="0.35">
      <c r="A1701" s="91" t="s">
        <v>4432</v>
      </c>
      <c r="B1701" s="9">
        <v>7</v>
      </c>
    </row>
    <row r="1702" spans="1:2" x14ac:dyDescent="0.35">
      <c r="A1702" s="91" t="s">
        <v>579</v>
      </c>
      <c r="B1702" s="9">
        <v>8.8000000000000007</v>
      </c>
    </row>
    <row r="1703" spans="1:2" x14ac:dyDescent="0.35">
      <c r="A1703" s="91" t="s">
        <v>2059</v>
      </c>
      <c r="B1703" s="9">
        <v>7.5</v>
      </c>
    </row>
    <row r="1704" spans="1:2" x14ac:dyDescent="0.35">
      <c r="A1704" s="91" t="s">
        <v>3757</v>
      </c>
      <c r="B1704" s="9">
        <v>2.8</v>
      </c>
    </row>
    <row r="1705" spans="1:2" x14ac:dyDescent="0.35">
      <c r="A1705" s="91" t="s">
        <v>1211</v>
      </c>
      <c r="B1705" s="9">
        <v>11.399999999999999</v>
      </c>
    </row>
    <row r="1706" spans="1:2" x14ac:dyDescent="0.35">
      <c r="A1706" s="91" t="s">
        <v>3815</v>
      </c>
      <c r="B1706" s="9">
        <v>7</v>
      </c>
    </row>
    <row r="1707" spans="1:2" x14ac:dyDescent="0.35">
      <c r="A1707" s="91" t="s">
        <v>548</v>
      </c>
      <c r="B1707" s="9">
        <v>7.6</v>
      </c>
    </row>
    <row r="1708" spans="1:2" x14ac:dyDescent="0.35">
      <c r="A1708" s="91" t="s">
        <v>4309</v>
      </c>
      <c r="B1708" s="9">
        <v>6.6000000000000005</v>
      </c>
    </row>
    <row r="1709" spans="1:2" x14ac:dyDescent="0.35">
      <c r="A1709" s="91" t="s">
        <v>4158</v>
      </c>
      <c r="B1709" s="9">
        <v>14</v>
      </c>
    </row>
    <row r="1710" spans="1:2" x14ac:dyDescent="0.35">
      <c r="A1710" s="91" t="s">
        <v>5558</v>
      </c>
      <c r="B1710" s="9">
        <v>17.5</v>
      </c>
    </row>
    <row r="1711" spans="1:2" x14ac:dyDescent="0.35">
      <c r="A1711" s="91" t="s">
        <v>988</v>
      </c>
      <c r="B1711" s="9">
        <v>10</v>
      </c>
    </row>
    <row r="1712" spans="1:2" x14ac:dyDescent="0.35">
      <c r="A1712" s="91" t="s">
        <v>863</v>
      </c>
      <c r="B1712" s="9">
        <v>14</v>
      </c>
    </row>
    <row r="1713" spans="1:2" x14ac:dyDescent="0.35">
      <c r="A1713" s="91" t="s">
        <v>1328</v>
      </c>
      <c r="B1713" s="9">
        <v>17.5</v>
      </c>
    </row>
    <row r="1714" spans="1:2" x14ac:dyDescent="0.35">
      <c r="A1714" s="91" t="s">
        <v>511</v>
      </c>
      <c r="B1714" s="9">
        <v>7.6</v>
      </c>
    </row>
    <row r="1715" spans="1:2" x14ac:dyDescent="0.35">
      <c r="A1715" s="91" t="s">
        <v>5827</v>
      </c>
      <c r="B1715" s="9">
        <v>5</v>
      </c>
    </row>
    <row r="1716" spans="1:2" x14ac:dyDescent="0.35">
      <c r="A1716" s="91" t="s">
        <v>5515</v>
      </c>
      <c r="B1716" s="9">
        <v>7.6</v>
      </c>
    </row>
    <row r="1717" spans="1:2" x14ac:dyDescent="0.35">
      <c r="A1717" s="91" t="s">
        <v>3056</v>
      </c>
      <c r="B1717" s="9">
        <v>11</v>
      </c>
    </row>
    <row r="1718" spans="1:2" x14ac:dyDescent="0.35">
      <c r="A1718" s="91" t="s">
        <v>2131</v>
      </c>
      <c r="B1718" s="9">
        <v>17.5</v>
      </c>
    </row>
    <row r="1719" spans="1:2" x14ac:dyDescent="0.35">
      <c r="A1719" s="91" t="s">
        <v>5939</v>
      </c>
      <c r="B1719" s="9">
        <v>17.5</v>
      </c>
    </row>
    <row r="1720" spans="1:2" x14ac:dyDescent="0.35">
      <c r="A1720" s="91" t="s">
        <v>5320</v>
      </c>
      <c r="B1720" s="9">
        <v>10.5</v>
      </c>
    </row>
    <row r="1721" spans="1:2" x14ac:dyDescent="0.35">
      <c r="A1721" s="91" t="s">
        <v>4601</v>
      </c>
      <c r="B1721" s="9">
        <v>22</v>
      </c>
    </row>
    <row r="1722" spans="1:2" x14ac:dyDescent="0.35">
      <c r="A1722" s="91" t="s">
        <v>4934</v>
      </c>
      <c r="B1722" s="9">
        <v>8.8000000000000007</v>
      </c>
    </row>
    <row r="1723" spans="1:2" x14ac:dyDescent="0.35">
      <c r="A1723" s="91" t="s">
        <v>5043</v>
      </c>
      <c r="B1723" s="9">
        <v>14</v>
      </c>
    </row>
    <row r="1724" spans="1:2" x14ac:dyDescent="0.35">
      <c r="A1724" s="91" t="s">
        <v>1301</v>
      </c>
      <c r="B1724" s="9">
        <v>7.6</v>
      </c>
    </row>
    <row r="1725" spans="1:2" x14ac:dyDescent="0.35">
      <c r="A1725" s="91" t="s">
        <v>4446</v>
      </c>
      <c r="B1725" s="9">
        <v>10.5</v>
      </c>
    </row>
    <row r="1726" spans="1:2" x14ac:dyDescent="0.35">
      <c r="A1726" s="91" t="s">
        <v>5811</v>
      </c>
      <c r="B1726" s="9">
        <v>2.8</v>
      </c>
    </row>
    <row r="1727" spans="1:2" x14ac:dyDescent="0.35">
      <c r="A1727" s="91" t="s">
        <v>3550</v>
      </c>
      <c r="B1727" s="9">
        <v>11</v>
      </c>
    </row>
    <row r="1728" spans="1:2" x14ac:dyDescent="0.35">
      <c r="A1728" s="91" t="s">
        <v>4549</v>
      </c>
      <c r="B1728" s="9">
        <v>11.399999999999999</v>
      </c>
    </row>
    <row r="1729" spans="1:2" x14ac:dyDescent="0.35">
      <c r="A1729" s="91" t="s">
        <v>1438</v>
      </c>
      <c r="B1729" s="9">
        <v>5.6</v>
      </c>
    </row>
    <row r="1730" spans="1:2" x14ac:dyDescent="0.35">
      <c r="A1730" s="91" t="s">
        <v>5484</v>
      </c>
      <c r="B1730" s="9">
        <v>14</v>
      </c>
    </row>
    <row r="1731" spans="1:2" x14ac:dyDescent="0.35">
      <c r="A1731" s="91" t="s">
        <v>550</v>
      </c>
      <c r="B1731" s="9">
        <v>15.2</v>
      </c>
    </row>
    <row r="1732" spans="1:2" x14ac:dyDescent="0.35">
      <c r="A1732" s="91" t="s">
        <v>3944</v>
      </c>
      <c r="B1732" s="9">
        <v>7.6</v>
      </c>
    </row>
    <row r="1733" spans="1:2" x14ac:dyDescent="0.35">
      <c r="A1733" s="91" t="s">
        <v>3681</v>
      </c>
      <c r="B1733" s="9">
        <v>7.5</v>
      </c>
    </row>
    <row r="1734" spans="1:2" x14ac:dyDescent="0.35">
      <c r="A1734" s="91" t="s">
        <v>5530</v>
      </c>
      <c r="B1734" s="9">
        <v>19</v>
      </c>
    </row>
    <row r="1735" spans="1:2" x14ac:dyDescent="0.35">
      <c r="A1735" s="91" t="s">
        <v>5276</v>
      </c>
      <c r="B1735" s="9">
        <v>10.5</v>
      </c>
    </row>
    <row r="1736" spans="1:2" x14ac:dyDescent="0.35">
      <c r="A1736" s="91" t="s">
        <v>492</v>
      </c>
      <c r="B1736" s="9">
        <v>2.8</v>
      </c>
    </row>
    <row r="1737" spans="1:2" x14ac:dyDescent="0.35">
      <c r="A1737" s="91" t="s">
        <v>5193</v>
      </c>
      <c r="B1737" s="9">
        <v>11.2</v>
      </c>
    </row>
    <row r="1738" spans="1:2" x14ac:dyDescent="0.35">
      <c r="A1738" s="91" t="s">
        <v>370</v>
      </c>
      <c r="B1738" s="9">
        <v>2.2000000000000002</v>
      </c>
    </row>
    <row r="1739" spans="1:2" x14ac:dyDescent="0.35">
      <c r="A1739" s="91" t="s">
        <v>2685</v>
      </c>
      <c r="B1739" s="9">
        <v>5</v>
      </c>
    </row>
    <row r="1740" spans="1:2" x14ac:dyDescent="0.35">
      <c r="A1740" s="91" t="s">
        <v>261</v>
      </c>
      <c r="B1740" s="9">
        <v>15.2</v>
      </c>
    </row>
    <row r="1741" spans="1:2" x14ac:dyDescent="0.35">
      <c r="A1741" s="91" t="s">
        <v>5852</v>
      </c>
      <c r="B1741" s="9">
        <v>14</v>
      </c>
    </row>
    <row r="1742" spans="1:2" x14ac:dyDescent="0.35">
      <c r="A1742" s="91" t="s">
        <v>5498</v>
      </c>
      <c r="B1742" s="9">
        <v>5</v>
      </c>
    </row>
    <row r="1743" spans="1:2" x14ac:dyDescent="0.35">
      <c r="A1743" s="91" t="s">
        <v>4142</v>
      </c>
      <c r="B1743" s="9">
        <v>2.2000000000000002</v>
      </c>
    </row>
    <row r="1744" spans="1:2" x14ac:dyDescent="0.35">
      <c r="A1744" s="91" t="s">
        <v>3896</v>
      </c>
      <c r="B1744" s="9">
        <v>14</v>
      </c>
    </row>
    <row r="1745" spans="1:2" x14ac:dyDescent="0.35">
      <c r="A1745" s="91" t="s">
        <v>2443</v>
      </c>
      <c r="B1745" s="9">
        <v>14</v>
      </c>
    </row>
    <row r="1746" spans="1:2" x14ac:dyDescent="0.35">
      <c r="A1746" s="91" t="s">
        <v>789</v>
      </c>
      <c r="B1746" s="9">
        <v>5.6</v>
      </c>
    </row>
    <row r="1747" spans="1:2" x14ac:dyDescent="0.35">
      <c r="A1747" s="91" t="s">
        <v>2033</v>
      </c>
      <c r="B1747" s="9">
        <v>10.5</v>
      </c>
    </row>
    <row r="1748" spans="1:2" x14ac:dyDescent="0.35">
      <c r="A1748" s="91" t="s">
        <v>2613</v>
      </c>
      <c r="B1748" s="9">
        <v>8.3999999999999986</v>
      </c>
    </row>
    <row r="1749" spans="1:2" x14ac:dyDescent="0.35">
      <c r="A1749" s="91" t="s">
        <v>4602</v>
      </c>
      <c r="B1749" s="9">
        <v>19</v>
      </c>
    </row>
    <row r="1750" spans="1:2" x14ac:dyDescent="0.35">
      <c r="A1750" s="91" t="s">
        <v>4159</v>
      </c>
      <c r="B1750" s="9">
        <v>7</v>
      </c>
    </row>
    <row r="1751" spans="1:2" x14ac:dyDescent="0.35">
      <c r="A1751" s="91" t="s">
        <v>2644</v>
      </c>
      <c r="B1751" s="9">
        <v>7</v>
      </c>
    </row>
    <row r="1752" spans="1:2" x14ac:dyDescent="0.35">
      <c r="A1752" s="91" t="s">
        <v>3494</v>
      </c>
      <c r="B1752" s="9">
        <v>3.8</v>
      </c>
    </row>
    <row r="1753" spans="1:2" x14ac:dyDescent="0.35">
      <c r="A1753" s="91" t="s">
        <v>3671</v>
      </c>
      <c r="B1753" s="9">
        <v>19</v>
      </c>
    </row>
    <row r="1754" spans="1:2" x14ac:dyDescent="0.35">
      <c r="A1754" s="91" t="s">
        <v>926</v>
      </c>
      <c r="B1754" s="9">
        <v>11</v>
      </c>
    </row>
    <row r="1755" spans="1:2" x14ac:dyDescent="0.35">
      <c r="A1755" s="91" t="s">
        <v>1923</v>
      </c>
      <c r="B1755" s="9">
        <v>8.3999999999999986</v>
      </c>
    </row>
    <row r="1756" spans="1:2" x14ac:dyDescent="0.35">
      <c r="A1756" s="91" t="s">
        <v>5156</v>
      </c>
      <c r="B1756" s="9">
        <v>8.3999999999999986</v>
      </c>
    </row>
    <row r="1757" spans="1:2" x14ac:dyDescent="0.35">
      <c r="A1757" s="91" t="s">
        <v>5181</v>
      </c>
      <c r="B1757" s="9">
        <v>4.4000000000000004</v>
      </c>
    </row>
    <row r="1758" spans="1:2" x14ac:dyDescent="0.35">
      <c r="A1758" s="91" t="s">
        <v>2132</v>
      </c>
      <c r="B1758" s="9">
        <v>10.5</v>
      </c>
    </row>
    <row r="1759" spans="1:2" x14ac:dyDescent="0.35">
      <c r="A1759" s="91" t="s">
        <v>5379</v>
      </c>
      <c r="B1759" s="9">
        <v>15.2</v>
      </c>
    </row>
    <row r="1760" spans="1:2" x14ac:dyDescent="0.35">
      <c r="A1760" s="91" t="s">
        <v>4045</v>
      </c>
      <c r="B1760" s="9">
        <v>6.6000000000000005</v>
      </c>
    </row>
    <row r="1761" spans="1:2" x14ac:dyDescent="0.35">
      <c r="A1761" s="91" t="s">
        <v>1525</v>
      </c>
      <c r="B1761" s="9">
        <v>2.2000000000000002</v>
      </c>
    </row>
    <row r="1762" spans="1:2" x14ac:dyDescent="0.35">
      <c r="A1762" s="91" t="s">
        <v>989</v>
      </c>
      <c r="B1762" s="9">
        <v>12.5</v>
      </c>
    </row>
    <row r="1763" spans="1:2" x14ac:dyDescent="0.35">
      <c r="A1763" s="91" t="s">
        <v>5655</v>
      </c>
      <c r="B1763" s="9">
        <v>7.6</v>
      </c>
    </row>
    <row r="1764" spans="1:2" x14ac:dyDescent="0.35">
      <c r="A1764" s="91" t="s">
        <v>3467</v>
      </c>
      <c r="B1764" s="9">
        <v>2.5</v>
      </c>
    </row>
    <row r="1765" spans="1:2" x14ac:dyDescent="0.35">
      <c r="A1765" s="91" t="s">
        <v>3284</v>
      </c>
      <c r="B1765" s="9">
        <v>3.5</v>
      </c>
    </row>
    <row r="1766" spans="1:2" x14ac:dyDescent="0.35">
      <c r="A1766" s="91" t="s">
        <v>2378</v>
      </c>
      <c r="B1766" s="9">
        <v>11.2</v>
      </c>
    </row>
    <row r="1767" spans="1:2" x14ac:dyDescent="0.35">
      <c r="A1767" s="91" t="s">
        <v>465</v>
      </c>
      <c r="B1767" s="9">
        <v>4.4000000000000004</v>
      </c>
    </row>
    <row r="1768" spans="1:2" x14ac:dyDescent="0.35">
      <c r="A1768" s="91" t="s">
        <v>2656</v>
      </c>
      <c r="B1768" s="9">
        <v>2.2000000000000002</v>
      </c>
    </row>
    <row r="1769" spans="1:2" x14ac:dyDescent="0.35">
      <c r="A1769" s="91" t="s">
        <v>3801</v>
      </c>
      <c r="B1769" s="9">
        <v>14</v>
      </c>
    </row>
    <row r="1770" spans="1:2" x14ac:dyDescent="0.35">
      <c r="A1770" s="91" t="s">
        <v>4046</v>
      </c>
      <c r="B1770" s="9">
        <v>11.2</v>
      </c>
    </row>
    <row r="1771" spans="1:2" x14ac:dyDescent="0.35">
      <c r="A1771" s="91" t="s">
        <v>5219</v>
      </c>
      <c r="B1771" s="9">
        <v>6.6000000000000005</v>
      </c>
    </row>
    <row r="1772" spans="1:2" x14ac:dyDescent="0.35">
      <c r="A1772" s="91" t="s">
        <v>5306</v>
      </c>
      <c r="B1772" s="9">
        <v>8.3999999999999986</v>
      </c>
    </row>
    <row r="1773" spans="1:2" x14ac:dyDescent="0.35">
      <c r="A1773" s="91" t="s">
        <v>1813</v>
      </c>
      <c r="B1773" s="9">
        <v>2.8</v>
      </c>
    </row>
    <row r="1774" spans="1:2" x14ac:dyDescent="0.35">
      <c r="A1774" s="91" t="s">
        <v>3742</v>
      </c>
      <c r="B1774" s="9">
        <v>11.399999999999999</v>
      </c>
    </row>
    <row r="1775" spans="1:2" x14ac:dyDescent="0.35">
      <c r="A1775" s="91" t="s">
        <v>3897</v>
      </c>
      <c r="B1775" s="9">
        <v>2.5</v>
      </c>
    </row>
    <row r="1776" spans="1:2" x14ac:dyDescent="0.35">
      <c r="A1776" s="91" t="s">
        <v>1723</v>
      </c>
      <c r="B1776" s="9">
        <v>8.8000000000000007</v>
      </c>
    </row>
    <row r="1777" spans="1:2" x14ac:dyDescent="0.35">
      <c r="A1777" s="91" t="s">
        <v>1103</v>
      </c>
      <c r="B1777" s="9">
        <v>2.8</v>
      </c>
    </row>
    <row r="1778" spans="1:2" x14ac:dyDescent="0.35">
      <c r="A1778" s="91" t="s">
        <v>5134</v>
      </c>
      <c r="B1778" s="9">
        <v>8.3999999999999986</v>
      </c>
    </row>
    <row r="1779" spans="1:2" x14ac:dyDescent="0.35">
      <c r="A1779" s="91" t="s">
        <v>2533</v>
      </c>
      <c r="B1779" s="9">
        <v>2.5</v>
      </c>
    </row>
    <row r="1780" spans="1:2" x14ac:dyDescent="0.35">
      <c r="A1780" s="91" t="s">
        <v>467</v>
      </c>
      <c r="B1780" s="9">
        <v>7.5</v>
      </c>
    </row>
    <row r="1781" spans="1:2" x14ac:dyDescent="0.35">
      <c r="A1781" s="91" t="s">
        <v>5194</v>
      </c>
      <c r="B1781" s="9">
        <v>2.2000000000000002</v>
      </c>
    </row>
    <row r="1782" spans="1:2" x14ac:dyDescent="0.35">
      <c r="A1782" s="91" t="s">
        <v>3617</v>
      </c>
      <c r="B1782" s="9">
        <v>11.399999999999999</v>
      </c>
    </row>
    <row r="1783" spans="1:2" x14ac:dyDescent="0.35">
      <c r="A1783" s="91" t="s">
        <v>3285</v>
      </c>
      <c r="B1783" s="9">
        <v>10.5</v>
      </c>
    </row>
    <row r="1784" spans="1:2" x14ac:dyDescent="0.35">
      <c r="A1784" s="91" t="s">
        <v>2718</v>
      </c>
      <c r="B1784" s="9">
        <v>2.2000000000000002</v>
      </c>
    </row>
    <row r="1785" spans="1:2" x14ac:dyDescent="0.35">
      <c r="A1785" s="91" t="s">
        <v>3312</v>
      </c>
      <c r="B1785" s="9">
        <v>2.5</v>
      </c>
    </row>
    <row r="1786" spans="1:2" x14ac:dyDescent="0.35">
      <c r="A1786" s="91" t="s">
        <v>3593</v>
      </c>
      <c r="B1786" s="9">
        <v>7</v>
      </c>
    </row>
    <row r="1787" spans="1:2" x14ac:dyDescent="0.35">
      <c r="A1787" s="91" t="s">
        <v>3227</v>
      </c>
      <c r="B1787" s="9">
        <v>2.2000000000000002</v>
      </c>
    </row>
    <row r="1788" spans="1:2" x14ac:dyDescent="0.35">
      <c r="A1788" s="91" t="s">
        <v>238</v>
      </c>
      <c r="B1788" s="9">
        <v>11</v>
      </c>
    </row>
    <row r="1789" spans="1:2" x14ac:dyDescent="0.35">
      <c r="A1789" s="91" t="s">
        <v>5499</v>
      </c>
      <c r="B1789" s="9">
        <v>7</v>
      </c>
    </row>
    <row r="1790" spans="1:2" x14ac:dyDescent="0.35">
      <c r="A1790" s="91" t="s">
        <v>5366</v>
      </c>
      <c r="B1790" s="9">
        <v>6.6000000000000005</v>
      </c>
    </row>
    <row r="1791" spans="1:2" x14ac:dyDescent="0.35">
      <c r="A1791" s="91" t="s">
        <v>3758</v>
      </c>
      <c r="B1791" s="9">
        <v>17.5</v>
      </c>
    </row>
    <row r="1792" spans="1:2" x14ac:dyDescent="0.35">
      <c r="A1792" s="91" t="s">
        <v>3594</v>
      </c>
      <c r="B1792" s="9">
        <v>10</v>
      </c>
    </row>
    <row r="1793" spans="1:2" x14ac:dyDescent="0.35">
      <c r="A1793" s="91" t="s">
        <v>1474</v>
      </c>
      <c r="B1793" s="9">
        <v>2.2000000000000002</v>
      </c>
    </row>
    <row r="1794" spans="1:2" x14ac:dyDescent="0.35">
      <c r="A1794" s="91" t="s">
        <v>287</v>
      </c>
      <c r="B1794" s="9">
        <v>8.3999999999999986</v>
      </c>
    </row>
    <row r="1795" spans="1:2" x14ac:dyDescent="0.35">
      <c r="A1795" s="91" t="s">
        <v>4418</v>
      </c>
      <c r="B1795" s="9">
        <v>14</v>
      </c>
    </row>
    <row r="1796" spans="1:2" x14ac:dyDescent="0.35">
      <c r="A1796" s="91" t="s">
        <v>3334</v>
      </c>
      <c r="B1796" s="9">
        <v>14</v>
      </c>
    </row>
    <row r="1797" spans="1:2" x14ac:dyDescent="0.35">
      <c r="A1797" s="91" t="s">
        <v>1176</v>
      </c>
      <c r="B1797" s="9">
        <v>14</v>
      </c>
    </row>
    <row r="1798" spans="1:2" x14ac:dyDescent="0.35">
      <c r="A1798" s="91" t="s">
        <v>4752</v>
      </c>
      <c r="B1798" s="9">
        <v>15.2</v>
      </c>
    </row>
    <row r="1799" spans="1:2" x14ac:dyDescent="0.35">
      <c r="A1799" s="91" t="s">
        <v>4821</v>
      </c>
      <c r="B1799" s="9">
        <v>14</v>
      </c>
    </row>
    <row r="1800" spans="1:2" x14ac:dyDescent="0.35">
      <c r="A1800" s="91" t="s">
        <v>4310</v>
      </c>
      <c r="B1800" s="9">
        <v>7.6</v>
      </c>
    </row>
    <row r="1801" spans="1:2" x14ac:dyDescent="0.35">
      <c r="A1801" s="91" t="s">
        <v>126</v>
      </c>
      <c r="B1801" s="9">
        <v>11</v>
      </c>
    </row>
    <row r="1802" spans="1:2" x14ac:dyDescent="0.35">
      <c r="A1802" s="91" t="s">
        <v>5423</v>
      </c>
      <c r="B1802" s="9">
        <v>11.2</v>
      </c>
    </row>
    <row r="1803" spans="1:2" x14ac:dyDescent="0.35">
      <c r="A1803" s="91" t="s">
        <v>5864</v>
      </c>
      <c r="B1803" s="9">
        <v>5</v>
      </c>
    </row>
    <row r="1804" spans="1:2" x14ac:dyDescent="0.35">
      <c r="A1804" s="91" t="s">
        <v>1699</v>
      </c>
      <c r="B1804" s="9">
        <v>3.8</v>
      </c>
    </row>
    <row r="1805" spans="1:2" x14ac:dyDescent="0.35">
      <c r="A1805" s="91" t="s">
        <v>3539</v>
      </c>
      <c r="B1805" s="9">
        <v>14</v>
      </c>
    </row>
    <row r="1806" spans="1:2" x14ac:dyDescent="0.35">
      <c r="A1806" s="91" t="s">
        <v>5736</v>
      </c>
      <c r="B1806" s="9">
        <v>15.2</v>
      </c>
    </row>
    <row r="1807" spans="1:2" x14ac:dyDescent="0.35">
      <c r="A1807" s="91" t="s">
        <v>5405</v>
      </c>
      <c r="B1807" s="9">
        <v>3.5</v>
      </c>
    </row>
    <row r="1808" spans="1:2" x14ac:dyDescent="0.35">
      <c r="A1808" s="91" t="s">
        <v>4561</v>
      </c>
      <c r="B1808" s="9">
        <v>7.5</v>
      </c>
    </row>
    <row r="1809" spans="1:2" x14ac:dyDescent="0.35">
      <c r="A1809" s="91" t="s">
        <v>5182</v>
      </c>
      <c r="B1809" s="9">
        <v>4.4000000000000004</v>
      </c>
    </row>
    <row r="1810" spans="1:2" x14ac:dyDescent="0.35">
      <c r="A1810" s="91" t="s">
        <v>5424</v>
      </c>
      <c r="B1810" s="9">
        <v>3.8</v>
      </c>
    </row>
    <row r="1811" spans="1:2" x14ac:dyDescent="0.35">
      <c r="A1811" s="91" t="s">
        <v>3958</v>
      </c>
      <c r="B1811" s="9">
        <v>3.5</v>
      </c>
    </row>
    <row r="1812" spans="1:2" x14ac:dyDescent="0.35">
      <c r="A1812" s="91" t="s">
        <v>512</v>
      </c>
      <c r="B1812" s="9">
        <v>2.5</v>
      </c>
    </row>
    <row r="1813" spans="1:2" x14ac:dyDescent="0.35">
      <c r="A1813" s="91" t="s">
        <v>1618</v>
      </c>
      <c r="B1813" s="9">
        <v>15.2</v>
      </c>
    </row>
    <row r="1814" spans="1:2" x14ac:dyDescent="0.35">
      <c r="A1814" s="91" t="s">
        <v>5500</v>
      </c>
      <c r="B1814" s="9">
        <v>12.5</v>
      </c>
    </row>
    <row r="1815" spans="1:2" x14ac:dyDescent="0.35">
      <c r="A1815" s="91" t="s">
        <v>1988</v>
      </c>
      <c r="B1815" s="9">
        <v>2.2000000000000002</v>
      </c>
    </row>
    <row r="1816" spans="1:2" x14ac:dyDescent="0.35">
      <c r="A1816" s="91" t="s">
        <v>891</v>
      </c>
      <c r="B1816" s="9">
        <v>2.2000000000000002</v>
      </c>
    </row>
    <row r="1817" spans="1:2" x14ac:dyDescent="0.35">
      <c r="A1817" s="91" t="s">
        <v>5737</v>
      </c>
      <c r="B1817" s="9">
        <v>2.8</v>
      </c>
    </row>
    <row r="1818" spans="1:2" x14ac:dyDescent="0.35">
      <c r="A1818" s="91" t="s">
        <v>5157</v>
      </c>
      <c r="B1818" s="9">
        <v>15.2</v>
      </c>
    </row>
    <row r="1819" spans="1:2" x14ac:dyDescent="0.35">
      <c r="A1819" s="91" t="s">
        <v>5321</v>
      </c>
      <c r="B1819" s="9">
        <v>7.6</v>
      </c>
    </row>
    <row r="1820" spans="1:2" x14ac:dyDescent="0.35">
      <c r="A1820" s="91" t="s">
        <v>5738</v>
      </c>
      <c r="B1820" s="9">
        <v>14</v>
      </c>
    </row>
    <row r="1821" spans="1:2" x14ac:dyDescent="0.35">
      <c r="A1821" s="91" t="s">
        <v>5392</v>
      </c>
      <c r="B1821" s="9">
        <v>5.6</v>
      </c>
    </row>
    <row r="1822" spans="1:2" x14ac:dyDescent="0.35">
      <c r="A1822" s="91" t="s">
        <v>2133</v>
      </c>
      <c r="B1822" s="9">
        <v>2.5</v>
      </c>
    </row>
    <row r="1823" spans="1:2" x14ac:dyDescent="0.35">
      <c r="A1823" s="91" t="s">
        <v>3426</v>
      </c>
      <c r="B1823" s="9">
        <v>8.3999999999999986</v>
      </c>
    </row>
    <row r="1824" spans="1:2" x14ac:dyDescent="0.35">
      <c r="A1824" s="91" t="s">
        <v>2135</v>
      </c>
      <c r="B1824" s="9">
        <v>11.399999999999999</v>
      </c>
    </row>
    <row r="1825" spans="1:2" x14ac:dyDescent="0.35">
      <c r="A1825" s="91" t="s">
        <v>3326</v>
      </c>
      <c r="B1825" s="9">
        <v>2.8</v>
      </c>
    </row>
    <row r="1826" spans="1:2" x14ac:dyDescent="0.35">
      <c r="A1826" s="91" t="s">
        <v>5020</v>
      </c>
      <c r="B1826" s="9">
        <v>8.3999999999999986</v>
      </c>
    </row>
    <row r="1827" spans="1:2" x14ac:dyDescent="0.35">
      <c r="A1827" s="91" t="s">
        <v>5065</v>
      </c>
      <c r="B1827" s="9">
        <v>11</v>
      </c>
    </row>
    <row r="1828" spans="1:2" x14ac:dyDescent="0.35">
      <c r="A1828" s="91" t="s">
        <v>1240</v>
      </c>
      <c r="B1828" s="9">
        <v>10</v>
      </c>
    </row>
    <row r="1829" spans="1:2" x14ac:dyDescent="0.35">
      <c r="A1829" s="91" t="s">
        <v>5853</v>
      </c>
      <c r="B1829" s="9">
        <v>14</v>
      </c>
    </row>
    <row r="1830" spans="1:2" x14ac:dyDescent="0.35">
      <c r="A1830" s="91" t="s">
        <v>1508</v>
      </c>
      <c r="B1830" s="9">
        <v>12.5</v>
      </c>
    </row>
    <row r="1831" spans="1:2" x14ac:dyDescent="0.35">
      <c r="A1831" s="91" t="s">
        <v>65</v>
      </c>
      <c r="B1831" s="9">
        <v>3.5</v>
      </c>
    </row>
    <row r="1832" spans="1:2" x14ac:dyDescent="0.35">
      <c r="A1832" s="91" t="s">
        <v>3514</v>
      </c>
      <c r="B1832" s="9">
        <v>3.5</v>
      </c>
    </row>
    <row r="1833" spans="1:2" x14ac:dyDescent="0.35">
      <c r="A1833" s="91" t="s">
        <v>4952</v>
      </c>
      <c r="B1833" s="9">
        <v>3.8</v>
      </c>
    </row>
    <row r="1834" spans="1:2" x14ac:dyDescent="0.35">
      <c r="A1834" s="91" t="s">
        <v>3881</v>
      </c>
      <c r="B1834" s="9">
        <v>2.2000000000000002</v>
      </c>
    </row>
    <row r="1835" spans="1:2" x14ac:dyDescent="0.35">
      <c r="A1835" s="91" t="s">
        <v>4922</v>
      </c>
      <c r="B1835" s="9">
        <v>4.4000000000000004</v>
      </c>
    </row>
    <row r="1836" spans="1:2" x14ac:dyDescent="0.35">
      <c r="A1836" s="91" t="s">
        <v>5406</v>
      </c>
      <c r="B1836" s="9">
        <v>19</v>
      </c>
    </row>
    <row r="1837" spans="1:2" x14ac:dyDescent="0.35">
      <c r="A1837" s="91" t="s">
        <v>3369</v>
      </c>
      <c r="B1837" s="9">
        <v>8.3999999999999986</v>
      </c>
    </row>
    <row r="1838" spans="1:2" x14ac:dyDescent="0.35">
      <c r="A1838" s="91" t="s">
        <v>5485</v>
      </c>
      <c r="B1838" s="9">
        <v>2.2000000000000002</v>
      </c>
    </row>
    <row r="1839" spans="1:2" x14ac:dyDescent="0.35">
      <c r="A1839" s="91" t="s">
        <v>4858</v>
      </c>
      <c r="B1839" s="9">
        <v>14</v>
      </c>
    </row>
    <row r="1840" spans="1:2" x14ac:dyDescent="0.35">
      <c r="A1840" s="91" t="s">
        <v>4389</v>
      </c>
      <c r="B1840" s="9">
        <v>3.5</v>
      </c>
    </row>
    <row r="1841" spans="1:2" x14ac:dyDescent="0.35">
      <c r="A1841" s="91" t="s">
        <v>2719</v>
      </c>
      <c r="B1841" s="9">
        <v>11.399999999999999</v>
      </c>
    </row>
    <row r="1842" spans="1:2" x14ac:dyDescent="0.35">
      <c r="A1842" s="91" t="s">
        <v>4622</v>
      </c>
      <c r="B1842" s="9">
        <v>4.4000000000000004</v>
      </c>
    </row>
    <row r="1843" spans="1:2" x14ac:dyDescent="0.35">
      <c r="A1843" s="91" t="s">
        <v>1815</v>
      </c>
      <c r="B1843" s="9">
        <v>3.5</v>
      </c>
    </row>
    <row r="1844" spans="1:2" x14ac:dyDescent="0.35">
      <c r="A1844" s="91" t="s">
        <v>88</v>
      </c>
      <c r="B1844" s="9">
        <v>7.6</v>
      </c>
    </row>
    <row r="1845" spans="1:2" x14ac:dyDescent="0.35">
      <c r="A1845" s="91" t="s">
        <v>2034</v>
      </c>
      <c r="B1845" s="9">
        <v>8.8000000000000007</v>
      </c>
    </row>
    <row r="1846" spans="1:2" x14ac:dyDescent="0.35">
      <c r="A1846" s="91" t="s">
        <v>3966</v>
      </c>
      <c r="B1846" s="9">
        <v>3.8</v>
      </c>
    </row>
    <row r="1847" spans="1:2" x14ac:dyDescent="0.35">
      <c r="A1847" s="91" t="s">
        <v>4538</v>
      </c>
      <c r="B1847" s="9">
        <v>11.2</v>
      </c>
    </row>
    <row r="1848" spans="1:2" x14ac:dyDescent="0.35">
      <c r="A1848" s="91" t="s">
        <v>4228</v>
      </c>
      <c r="B1848" s="9">
        <v>10.5</v>
      </c>
    </row>
    <row r="1849" spans="1:2" x14ac:dyDescent="0.35">
      <c r="A1849" s="91" t="s">
        <v>5865</v>
      </c>
      <c r="B1849" s="9">
        <v>3.8</v>
      </c>
    </row>
    <row r="1850" spans="1:2" x14ac:dyDescent="0.35">
      <c r="A1850" s="91" t="s">
        <v>2766</v>
      </c>
      <c r="B1850" s="9">
        <v>19</v>
      </c>
    </row>
    <row r="1851" spans="1:2" x14ac:dyDescent="0.35">
      <c r="A1851" s="91" t="s">
        <v>2136</v>
      </c>
      <c r="B1851" s="9">
        <v>10</v>
      </c>
    </row>
    <row r="1852" spans="1:2" x14ac:dyDescent="0.35">
      <c r="A1852" s="91" t="s">
        <v>437</v>
      </c>
      <c r="B1852" s="9">
        <v>5</v>
      </c>
    </row>
    <row r="1853" spans="1:2" x14ac:dyDescent="0.35">
      <c r="A1853" s="91" t="s">
        <v>3167</v>
      </c>
      <c r="B1853" s="9">
        <v>10.5</v>
      </c>
    </row>
    <row r="1854" spans="1:2" x14ac:dyDescent="0.35">
      <c r="A1854" s="91" t="s">
        <v>2358</v>
      </c>
      <c r="B1854" s="9">
        <v>2.8</v>
      </c>
    </row>
    <row r="1855" spans="1:2" x14ac:dyDescent="0.35">
      <c r="A1855" s="91" t="s">
        <v>1199</v>
      </c>
      <c r="B1855" s="9">
        <v>8.8000000000000007</v>
      </c>
    </row>
    <row r="1856" spans="1:2" x14ac:dyDescent="0.35">
      <c r="A1856" s="91" t="s">
        <v>1458</v>
      </c>
      <c r="B1856" s="9">
        <v>11.399999999999999</v>
      </c>
    </row>
    <row r="1857" spans="1:2" x14ac:dyDescent="0.35">
      <c r="A1857" s="91" t="s">
        <v>1476</v>
      </c>
      <c r="B1857" s="9">
        <v>15.2</v>
      </c>
    </row>
    <row r="1858" spans="1:2" x14ac:dyDescent="0.35">
      <c r="A1858" s="91" t="s">
        <v>664</v>
      </c>
      <c r="B1858" s="9">
        <v>7.6</v>
      </c>
    </row>
    <row r="1859" spans="1:2" x14ac:dyDescent="0.35">
      <c r="A1859" s="91" t="s">
        <v>4070</v>
      </c>
      <c r="B1859" s="9">
        <v>5.6</v>
      </c>
    </row>
    <row r="1860" spans="1:2" x14ac:dyDescent="0.35">
      <c r="A1860" s="91" t="s">
        <v>2871</v>
      </c>
      <c r="B1860" s="9">
        <v>2.5</v>
      </c>
    </row>
    <row r="1861" spans="1:2" x14ac:dyDescent="0.35">
      <c r="A1861" s="91" t="s">
        <v>2686</v>
      </c>
      <c r="B1861" s="9">
        <v>3.8</v>
      </c>
    </row>
    <row r="1862" spans="1:2" x14ac:dyDescent="0.35">
      <c r="A1862" s="91" t="s">
        <v>1376</v>
      </c>
      <c r="B1862" s="9">
        <v>7</v>
      </c>
    </row>
    <row r="1863" spans="1:2" x14ac:dyDescent="0.35">
      <c r="A1863" s="91" t="s">
        <v>4210</v>
      </c>
      <c r="B1863" s="9">
        <v>12.5</v>
      </c>
    </row>
    <row r="1864" spans="1:2" x14ac:dyDescent="0.35">
      <c r="A1864" s="91" t="s">
        <v>4603</v>
      </c>
      <c r="B1864" s="9">
        <v>15.2</v>
      </c>
    </row>
    <row r="1865" spans="1:2" x14ac:dyDescent="0.35">
      <c r="A1865" s="91" t="s">
        <v>5054</v>
      </c>
      <c r="B1865" s="9">
        <v>5</v>
      </c>
    </row>
    <row r="1866" spans="1:2" x14ac:dyDescent="0.35">
      <c r="A1866" s="91" t="s">
        <v>4023</v>
      </c>
      <c r="B1866" s="9">
        <v>4.4000000000000004</v>
      </c>
    </row>
    <row r="1867" spans="1:2" x14ac:dyDescent="0.35">
      <c r="A1867" s="91" t="s">
        <v>4900</v>
      </c>
      <c r="B1867" s="9">
        <v>11.2</v>
      </c>
    </row>
    <row r="1868" spans="1:2" x14ac:dyDescent="0.35">
      <c r="A1868" s="91" t="s">
        <v>188</v>
      </c>
      <c r="B1868" s="9">
        <v>14</v>
      </c>
    </row>
    <row r="1869" spans="1:2" x14ac:dyDescent="0.35">
      <c r="A1869" s="91" t="s">
        <v>2975</v>
      </c>
      <c r="B1869" s="9">
        <v>5</v>
      </c>
    </row>
    <row r="1870" spans="1:2" x14ac:dyDescent="0.35">
      <c r="A1870" s="91" t="s">
        <v>2006</v>
      </c>
      <c r="B1870" s="9">
        <v>11</v>
      </c>
    </row>
    <row r="1871" spans="1:2" x14ac:dyDescent="0.35">
      <c r="A1871" s="91" t="s">
        <v>3682</v>
      </c>
      <c r="B1871" s="9">
        <v>7.5</v>
      </c>
    </row>
    <row r="1872" spans="1:2" x14ac:dyDescent="0.35">
      <c r="A1872" s="91" t="s">
        <v>1125</v>
      </c>
      <c r="B1872" s="9">
        <v>15.2</v>
      </c>
    </row>
    <row r="1873" spans="1:2" x14ac:dyDescent="0.35">
      <c r="A1873" s="91" t="s">
        <v>1900</v>
      </c>
      <c r="B1873" s="9">
        <v>5.6</v>
      </c>
    </row>
    <row r="1874" spans="1:2" x14ac:dyDescent="0.35">
      <c r="A1874" s="91" t="s">
        <v>1855</v>
      </c>
      <c r="B1874" s="9">
        <v>14</v>
      </c>
    </row>
    <row r="1875" spans="1:2" x14ac:dyDescent="0.35">
      <c r="A1875" s="91" t="s">
        <v>5183</v>
      </c>
      <c r="B1875" s="9">
        <v>17.5</v>
      </c>
    </row>
    <row r="1876" spans="1:2" x14ac:dyDescent="0.35">
      <c r="A1876" s="91" t="s">
        <v>5516</v>
      </c>
      <c r="B1876" s="9">
        <v>14</v>
      </c>
    </row>
    <row r="1877" spans="1:2" x14ac:dyDescent="0.35">
      <c r="A1877" s="91" t="s">
        <v>5277</v>
      </c>
      <c r="B1877" s="9">
        <v>12.5</v>
      </c>
    </row>
    <row r="1878" spans="1:2" x14ac:dyDescent="0.35">
      <c r="A1878" s="91" t="s">
        <v>5713</v>
      </c>
      <c r="B1878" s="9">
        <v>12.5</v>
      </c>
    </row>
    <row r="1879" spans="1:2" x14ac:dyDescent="0.35">
      <c r="A1879" s="91" t="s">
        <v>5898</v>
      </c>
      <c r="B1879" s="9">
        <v>2.2000000000000002</v>
      </c>
    </row>
    <row r="1880" spans="1:2" x14ac:dyDescent="0.35">
      <c r="A1880" s="91" t="s">
        <v>763</v>
      </c>
      <c r="B1880" s="9">
        <v>10.5</v>
      </c>
    </row>
    <row r="1881" spans="1:2" x14ac:dyDescent="0.35">
      <c r="A1881" s="91" t="s">
        <v>1257</v>
      </c>
      <c r="B1881" s="9">
        <v>2.2000000000000002</v>
      </c>
    </row>
    <row r="1882" spans="1:2" x14ac:dyDescent="0.35">
      <c r="A1882" s="91" t="s">
        <v>1856</v>
      </c>
      <c r="B1882" s="9">
        <v>14</v>
      </c>
    </row>
    <row r="1883" spans="1:2" x14ac:dyDescent="0.35">
      <c r="A1883" s="91" t="s">
        <v>5559</v>
      </c>
      <c r="B1883" s="9">
        <v>2.2000000000000002</v>
      </c>
    </row>
    <row r="1884" spans="1:2" x14ac:dyDescent="0.35">
      <c r="A1884" s="91" t="s">
        <v>4229</v>
      </c>
      <c r="B1884" s="9">
        <v>2.5</v>
      </c>
    </row>
    <row r="1885" spans="1:2" x14ac:dyDescent="0.35">
      <c r="A1885" s="91" t="s">
        <v>5838</v>
      </c>
      <c r="B1885" s="9">
        <v>6.6000000000000005</v>
      </c>
    </row>
    <row r="1886" spans="1:2" x14ac:dyDescent="0.35">
      <c r="A1886" s="91" t="s">
        <v>3214</v>
      </c>
      <c r="B1886" s="9">
        <v>14</v>
      </c>
    </row>
    <row r="1887" spans="1:2" x14ac:dyDescent="0.35">
      <c r="A1887" s="91" t="s">
        <v>1422</v>
      </c>
      <c r="B1887" s="9">
        <v>11.399999999999999</v>
      </c>
    </row>
    <row r="1888" spans="1:2" x14ac:dyDescent="0.35">
      <c r="A1888" s="91" t="s">
        <v>6011</v>
      </c>
      <c r="B1888" s="9">
        <v>2.2000000000000002</v>
      </c>
    </row>
    <row r="1889" spans="1:2" x14ac:dyDescent="0.35">
      <c r="A1889" s="91" t="s">
        <v>1345</v>
      </c>
      <c r="B1889" s="9">
        <v>10</v>
      </c>
    </row>
    <row r="1890" spans="1:2" x14ac:dyDescent="0.35">
      <c r="A1890" s="91" t="s">
        <v>597</v>
      </c>
      <c r="B1890" s="9">
        <v>11.399999999999999</v>
      </c>
    </row>
    <row r="1891" spans="1:2" x14ac:dyDescent="0.35">
      <c r="A1891" s="91" t="s">
        <v>3790</v>
      </c>
      <c r="B1891" s="9">
        <v>5</v>
      </c>
    </row>
    <row r="1892" spans="1:2" x14ac:dyDescent="0.35">
      <c r="A1892" s="91" t="s">
        <v>3898</v>
      </c>
      <c r="B1892" s="9">
        <v>10.5</v>
      </c>
    </row>
    <row r="1893" spans="1:2" x14ac:dyDescent="0.35">
      <c r="A1893" s="91" t="s">
        <v>3870</v>
      </c>
      <c r="B1893" s="9">
        <v>10</v>
      </c>
    </row>
    <row r="1894" spans="1:2" x14ac:dyDescent="0.35">
      <c r="A1894" s="91" t="s">
        <v>4680</v>
      </c>
      <c r="B1894" s="9">
        <v>5</v>
      </c>
    </row>
    <row r="1895" spans="1:2" x14ac:dyDescent="0.35">
      <c r="A1895" s="91" t="s">
        <v>5910</v>
      </c>
      <c r="B1895" s="9">
        <v>11</v>
      </c>
    </row>
    <row r="1896" spans="1:2" x14ac:dyDescent="0.35">
      <c r="A1896" s="91" t="s">
        <v>4587</v>
      </c>
      <c r="B1896" s="9">
        <v>17.5</v>
      </c>
    </row>
    <row r="1897" spans="1:2" x14ac:dyDescent="0.35">
      <c r="A1897" s="91" t="s">
        <v>2518</v>
      </c>
      <c r="B1897" s="9">
        <v>2.8</v>
      </c>
    </row>
    <row r="1898" spans="1:2" x14ac:dyDescent="0.35">
      <c r="A1898" s="91" t="s">
        <v>2090</v>
      </c>
      <c r="B1898" s="9">
        <v>7</v>
      </c>
    </row>
    <row r="1899" spans="1:2" x14ac:dyDescent="0.35">
      <c r="A1899" s="91" t="s">
        <v>2582</v>
      </c>
      <c r="B1899" s="9">
        <v>10.5</v>
      </c>
    </row>
    <row r="1900" spans="1:2" x14ac:dyDescent="0.35">
      <c r="A1900" s="91" t="s">
        <v>5531</v>
      </c>
      <c r="B1900" s="9">
        <v>19</v>
      </c>
    </row>
    <row r="1901" spans="1:2" x14ac:dyDescent="0.35">
      <c r="A1901" s="91" t="s">
        <v>5030</v>
      </c>
      <c r="B1901" s="9">
        <v>12.5</v>
      </c>
    </row>
    <row r="1902" spans="1:2" x14ac:dyDescent="0.35">
      <c r="A1902" s="91" t="s">
        <v>4469</v>
      </c>
      <c r="B1902" s="9">
        <v>11.2</v>
      </c>
    </row>
    <row r="1903" spans="1:2" x14ac:dyDescent="0.35">
      <c r="A1903" s="91" t="s">
        <v>2807</v>
      </c>
      <c r="B1903" s="9">
        <v>8.3999999999999986</v>
      </c>
    </row>
    <row r="1904" spans="1:2" x14ac:dyDescent="0.35">
      <c r="A1904" s="91" t="s">
        <v>4539</v>
      </c>
      <c r="B1904" s="9">
        <v>14</v>
      </c>
    </row>
    <row r="1905" spans="1:2" x14ac:dyDescent="0.35">
      <c r="A1905" s="91" t="s">
        <v>2928</v>
      </c>
      <c r="B1905" s="9">
        <v>2.5</v>
      </c>
    </row>
    <row r="1906" spans="1:2" x14ac:dyDescent="0.35">
      <c r="A1906" s="91" t="s">
        <v>3515</v>
      </c>
      <c r="B1906" s="9">
        <v>5.6</v>
      </c>
    </row>
    <row r="1907" spans="1:2" x14ac:dyDescent="0.35">
      <c r="A1907" s="91" t="s">
        <v>4419</v>
      </c>
      <c r="B1907" s="9">
        <v>17.5</v>
      </c>
    </row>
    <row r="1908" spans="1:2" x14ac:dyDescent="0.35">
      <c r="A1908" s="91" t="s">
        <v>4822</v>
      </c>
      <c r="B1908" s="9">
        <v>5.6</v>
      </c>
    </row>
    <row r="1909" spans="1:2" x14ac:dyDescent="0.35">
      <c r="A1909" s="91" t="s">
        <v>4823</v>
      </c>
      <c r="B1909" s="9">
        <v>2.5</v>
      </c>
    </row>
    <row r="1910" spans="1:2" x14ac:dyDescent="0.35">
      <c r="A1910" s="91" t="s">
        <v>3882</v>
      </c>
      <c r="B1910" s="9">
        <v>4.4000000000000004</v>
      </c>
    </row>
    <row r="1911" spans="1:2" x14ac:dyDescent="0.35">
      <c r="A1911" s="91" t="s">
        <v>3652</v>
      </c>
      <c r="B1911" s="9">
        <v>10.5</v>
      </c>
    </row>
    <row r="1912" spans="1:2" x14ac:dyDescent="0.35">
      <c r="A1912" s="91" t="s">
        <v>2499</v>
      </c>
      <c r="B1912" s="9">
        <v>5</v>
      </c>
    </row>
    <row r="1913" spans="1:2" x14ac:dyDescent="0.35">
      <c r="A1913" s="91" t="s">
        <v>1303</v>
      </c>
      <c r="B1913" s="9">
        <v>8.8000000000000007</v>
      </c>
    </row>
    <row r="1914" spans="1:2" x14ac:dyDescent="0.35">
      <c r="A1914" s="91" t="s">
        <v>3448</v>
      </c>
      <c r="B1914" s="9">
        <v>8.8000000000000007</v>
      </c>
    </row>
    <row r="1915" spans="1:2" x14ac:dyDescent="0.35">
      <c r="A1915" s="91" t="s">
        <v>2121</v>
      </c>
      <c r="B1915" s="9">
        <v>2.8</v>
      </c>
    </row>
    <row r="1916" spans="1:2" x14ac:dyDescent="0.35">
      <c r="A1916" s="91" t="s">
        <v>5950</v>
      </c>
      <c r="B1916" s="9">
        <v>2.5</v>
      </c>
    </row>
    <row r="1917" spans="1:2" x14ac:dyDescent="0.35">
      <c r="A1917" s="91" t="s">
        <v>5234</v>
      </c>
      <c r="B1917" s="9">
        <v>15.2</v>
      </c>
    </row>
    <row r="1918" spans="1:2" x14ac:dyDescent="0.35">
      <c r="A1918" s="91" t="s">
        <v>3027</v>
      </c>
      <c r="B1918" s="9">
        <v>3.5</v>
      </c>
    </row>
    <row r="1919" spans="1:2" x14ac:dyDescent="0.35">
      <c r="A1919" s="91" t="s">
        <v>4604</v>
      </c>
      <c r="B1919" s="9">
        <v>11.399999999999999</v>
      </c>
    </row>
    <row r="1920" spans="1:2" x14ac:dyDescent="0.35">
      <c r="A1920" s="91" t="s">
        <v>2741</v>
      </c>
      <c r="B1920" s="9">
        <v>4.4000000000000004</v>
      </c>
    </row>
    <row r="1921" spans="1:2" x14ac:dyDescent="0.35">
      <c r="A1921" s="91" t="s">
        <v>3353</v>
      </c>
      <c r="B1921" s="9">
        <v>11.399999999999999</v>
      </c>
    </row>
    <row r="1922" spans="1:2" x14ac:dyDescent="0.35">
      <c r="A1922" s="91" t="s">
        <v>5092</v>
      </c>
      <c r="B1922" s="9">
        <v>5.6</v>
      </c>
    </row>
    <row r="1923" spans="1:2" x14ac:dyDescent="0.35">
      <c r="A1923" s="91" t="s">
        <v>240</v>
      </c>
      <c r="B1923" s="9">
        <v>7.5</v>
      </c>
    </row>
    <row r="1924" spans="1:2" x14ac:dyDescent="0.35">
      <c r="A1924" s="91" t="s">
        <v>4506</v>
      </c>
      <c r="B1924" s="9">
        <v>7.6</v>
      </c>
    </row>
    <row r="1925" spans="1:2" x14ac:dyDescent="0.35">
      <c r="A1925" s="91" t="s">
        <v>5981</v>
      </c>
      <c r="B1925" s="9">
        <v>2.2000000000000002</v>
      </c>
    </row>
    <row r="1926" spans="1:2" x14ac:dyDescent="0.35">
      <c r="A1926" s="91" t="s">
        <v>2217</v>
      </c>
      <c r="B1926" s="9">
        <v>14</v>
      </c>
    </row>
    <row r="1927" spans="1:2" x14ac:dyDescent="0.35">
      <c r="A1927" s="91" t="s">
        <v>90</v>
      </c>
      <c r="B1927" s="9">
        <v>15.2</v>
      </c>
    </row>
    <row r="1928" spans="1:2" x14ac:dyDescent="0.35">
      <c r="A1928" s="91" t="s">
        <v>5122</v>
      </c>
      <c r="B1928" s="9">
        <v>14</v>
      </c>
    </row>
    <row r="1929" spans="1:2" x14ac:dyDescent="0.35">
      <c r="A1929" s="91" t="s">
        <v>4654</v>
      </c>
      <c r="B1929" s="9">
        <v>17.5</v>
      </c>
    </row>
    <row r="1930" spans="1:2" x14ac:dyDescent="0.35">
      <c r="A1930" s="91" t="s">
        <v>4047</v>
      </c>
      <c r="B1930" s="9">
        <v>7</v>
      </c>
    </row>
    <row r="1931" spans="1:2" x14ac:dyDescent="0.35">
      <c r="A1931" s="91" t="s">
        <v>3296</v>
      </c>
      <c r="B1931" s="9">
        <v>3.5</v>
      </c>
    </row>
    <row r="1932" spans="1:2" x14ac:dyDescent="0.35">
      <c r="A1932" s="91" t="s">
        <v>1213</v>
      </c>
      <c r="B1932" s="9">
        <v>19</v>
      </c>
    </row>
    <row r="1933" spans="1:2" x14ac:dyDescent="0.35">
      <c r="A1933" s="91" t="s">
        <v>4753</v>
      </c>
      <c r="B1933" s="9">
        <v>11</v>
      </c>
    </row>
    <row r="1934" spans="1:2" x14ac:dyDescent="0.35">
      <c r="A1934" s="91" t="s">
        <v>2148</v>
      </c>
      <c r="B1934" s="9">
        <v>3.8</v>
      </c>
    </row>
    <row r="1935" spans="1:2" x14ac:dyDescent="0.35">
      <c r="A1935" s="91" t="s">
        <v>3259</v>
      </c>
      <c r="B1935" s="9">
        <v>17.5</v>
      </c>
    </row>
    <row r="1936" spans="1:2" x14ac:dyDescent="0.35">
      <c r="A1936" s="91" t="s">
        <v>5073</v>
      </c>
      <c r="B1936" s="9">
        <v>10.5</v>
      </c>
    </row>
    <row r="1937" spans="1:2" x14ac:dyDescent="0.35">
      <c r="A1937" s="91" t="s">
        <v>1201</v>
      </c>
      <c r="B1937" s="9">
        <v>5</v>
      </c>
    </row>
    <row r="1938" spans="1:2" x14ac:dyDescent="0.35">
      <c r="A1938" s="91" t="s">
        <v>2301</v>
      </c>
      <c r="B1938" s="9">
        <v>8.8000000000000007</v>
      </c>
    </row>
    <row r="1939" spans="1:2" x14ac:dyDescent="0.35">
      <c r="A1939" s="91" t="s">
        <v>3945</v>
      </c>
      <c r="B1939" s="9">
        <v>6.6000000000000005</v>
      </c>
    </row>
    <row r="1940" spans="1:2" x14ac:dyDescent="0.35">
      <c r="A1940" s="91" t="s">
        <v>2137</v>
      </c>
      <c r="B1940" s="9">
        <v>14</v>
      </c>
    </row>
    <row r="1941" spans="1:2" x14ac:dyDescent="0.35">
      <c r="A1941" s="91" t="s">
        <v>581</v>
      </c>
      <c r="B1941" s="9">
        <v>8.3999999999999986</v>
      </c>
    </row>
    <row r="1942" spans="1:2" x14ac:dyDescent="0.35">
      <c r="A1942" s="91" t="s">
        <v>3581</v>
      </c>
      <c r="B1942" s="9">
        <v>14</v>
      </c>
    </row>
    <row r="1943" spans="1:2" x14ac:dyDescent="0.35">
      <c r="A1943" s="91" t="s">
        <v>791</v>
      </c>
      <c r="B1943" s="9">
        <v>3.5</v>
      </c>
    </row>
    <row r="1944" spans="1:2" x14ac:dyDescent="0.35">
      <c r="A1944" s="91" t="s">
        <v>2007</v>
      </c>
      <c r="B1944" s="9">
        <v>3.5</v>
      </c>
    </row>
    <row r="1945" spans="1:2" x14ac:dyDescent="0.35">
      <c r="A1945" s="91" t="s">
        <v>5446</v>
      </c>
      <c r="B1945" s="9">
        <v>14</v>
      </c>
    </row>
    <row r="1946" spans="1:2" x14ac:dyDescent="0.35">
      <c r="A1946" s="91" t="s">
        <v>733</v>
      </c>
      <c r="B1946" s="9">
        <v>11</v>
      </c>
    </row>
    <row r="1947" spans="1:2" x14ac:dyDescent="0.35">
      <c r="A1947" s="91" t="s">
        <v>3169</v>
      </c>
      <c r="B1947" s="9">
        <v>7.6</v>
      </c>
    </row>
    <row r="1948" spans="1:2" x14ac:dyDescent="0.35">
      <c r="A1948" s="91" t="s">
        <v>4667</v>
      </c>
      <c r="B1948" s="9">
        <v>7.6</v>
      </c>
    </row>
    <row r="1949" spans="1:2" x14ac:dyDescent="0.35">
      <c r="A1949" s="91" t="s">
        <v>765</v>
      </c>
      <c r="B1949" s="9">
        <v>8.8000000000000007</v>
      </c>
    </row>
    <row r="1950" spans="1:2" x14ac:dyDescent="0.35">
      <c r="A1950" s="91" t="s">
        <v>641</v>
      </c>
      <c r="B1950" s="9">
        <v>7</v>
      </c>
    </row>
    <row r="1951" spans="1:2" x14ac:dyDescent="0.35">
      <c r="A1951" s="91" t="s">
        <v>5108</v>
      </c>
      <c r="B1951" s="9">
        <v>2.5</v>
      </c>
    </row>
    <row r="1952" spans="1:2" x14ac:dyDescent="0.35">
      <c r="A1952" s="91" t="s">
        <v>3743</v>
      </c>
      <c r="B1952" s="9">
        <v>2.2000000000000002</v>
      </c>
    </row>
    <row r="1953" spans="1:2" x14ac:dyDescent="0.35">
      <c r="A1953" s="91" t="s">
        <v>1924</v>
      </c>
      <c r="B1953" s="9">
        <v>14</v>
      </c>
    </row>
    <row r="1954" spans="1:2" x14ac:dyDescent="0.35">
      <c r="A1954" s="91" t="s">
        <v>3149</v>
      </c>
      <c r="B1954" s="9">
        <v>7.5</v>
      </c>
    </row>
    <row r="1955" spans="1:2" x14ac:dyDescent="0.35">
      <c r="A1955" s="91" t="s">
        <v>5158</v>
      </c>
      <c r="B1955" s="9">
        <v>12.5</v>
      </c>
    </row>
    <row r="1956" spans="1:2" x14ac:dyDescent="0.35">
      <c r="A1956" s="91" t="s">
        <v>5580</v>
      </c>
      <c r="B1956" s="9">
        <v>6.6000000000000005</v>
      </c>
    </row>
    <row r="1957" spans="1:2" x14ac:dyDescent="0.35">
      <c r="A1957" s="91" t="s">
        <v>4329</v>
      </c>
      <c r="B1957" s="9">
        <v>6.6000000000000005</v>
      </c>
    </row>
    <row r="1958" spans="1:2" x14ac:dyDescent="0.35">
      <c r="A1958" s="91" t="s">
        <v>1202</v>
      </c>
      <c r="B1958" s="9">
        <v>5</v>
      </c>
    </row>
    <row r="1959" spans="1:2" x14ac:dyDescent="0.35">
      <c r="A1959" s="91" t="s">
        <v>2721</v>
      </c>
      <c r="B1959" s="9">
        <v>7.5</v>
      </c>
    </row>
    <row r="1960" spans="1:2" x14ac:dyDescent="0.35">
      <c r="A1960" s="91" t="s">
        <v>5434</v>
      </c>
      <c r="B1960" s="9">
        <v>7</v>
      </c>
    </row>
    <row r="1961" spans="1:2" x14ac:dyDescent="0.35">
      <c r="A1961" s="91" t="s">
        <v>4390</v>
      </c>
      <c r="B1961" s="9">
        <v>14</v>
      </c>
    </row>
    <row r="1962" spans="1:2" x14ac:dyDescent="0.35">
      <c r="A1962" s="91" t="s">
        <v>3335</v>
      </c>
      <c r="B1962" s="9">
        <v>19</v>
      </c>
    </row>
    <row r="1963" spans="1:2" x14ac:dyDescent="0.35">
      <c r="A1963" s="91" t="s">
        <v>5669</v>
      </c>
      <c r="B1963" s="9">
        <v>14</v>
      </c>
    </row>
    <row r="1964" spans="1:2" x14ac:dyDescent="0.35">
      <c r="A1964" s="91" t="s">
        <v>3215</v>
      </c>
      <c r="B1964" s="9">
        <v>7</v>
      </c>
    </row>
    <row r="1965" spans="1:2" x14ac:dyDescent="0.35">
      <c r="A1965" s="91" t="s">
        <v>4126</v>
      </c>
      <c r="B1965" s="9">
        <v>5.6</v>
      </c>
    </row>
    <row r="1966" spans="1:2" x14ac:dyDescent="0.35">
      <c r="A1966" s="91" t="s">
        <v>2845</v>
      </c>
      <c r="B1966" s="9">
        <v>5</v>
      </c>
    </row>
    <row r="1967" spans="1:2" x14ac:dyDescent="0.35">
      <c r="A1967" s="91" t="s">
        <v>5176</v>
      </c>
      <c r="B1967" s="9">
        <v>17.5</v>
      </c>
    </row>
    <row r="1968" spans="1:2" x14ac:dyDescent="0.35">
      <c r="A1968" s="91" t="s">
        <v>954</v>
      </c>
      <c r="B1968" s="9">
        <v>11.2</v>
      </c>
    </row>
    <row r="1969" spans="1:2" x14ac:dyDescent="0.35">
      <c r="A1969" s="91" t="s">
        <v>2060</v>
      </c>
      <c r="B1969" s="9">
        <v>10</v>
      </c>
    </row>
    <row r="1970" spans="1:2" x14ac:dyDescent="0.35">
      <c r="A1970" s="91" t="s">
        <v>1347</v>
      </c>
      <c r="B1970" s="9">
        <v>12.5</v>
      </c>
    </row>
    <row r="1971" spans="1:2" x14ac:dyDescent="0.35">
      <c r="A1971" s="91" t="s">
        <v>5631</v>
      </c>
      <c r="B1971" s="9">
        <v>19</v>
      </c>
    </row>
    <row r="1972" spans="1:2" x14ac:dyDescent="0.35">
      <c r="A1972" s="91" t="s">
        <v>494</v>
      </c>
      <c r="B1972" s="9">
        <v>8.8000000000000007</v>
      </c>
    </row>
    <row r="1973" spans="1:2" x14ac:dyDescent="0.35">
      <c r="A1973" s="91" t="s">
        <v>2534</v>
      </c>
      <c r="B1973" s="9">
        <v>3.5</v>
      </c>
    </row>
    <row r="1974" spans="1:2" x14ac:dyDescent="0.35">
      <c r="A1974" s="91" t="s">
        <v>1748</v>
      </c>
      <c r="B1974" s="9">
        <v>4.4000000000000004</v>
      </c>
    </row>
    <row r="1975" spans="1:2" x14ac:dyDescent="0.35">
      <c r="A1975" s="91" t="s">
        <v>2091</v>
      </c>
      <c r="B1975" s="9">
        <v>8.3999999999999986</v>
      </c>
    </row>
    <row r="1976" spans="1:2" x14ac:dyDescent="0.35">
      <c r="A1976" s="91" t="s">
        <v>4024</v>
      </c>
      <c r="B1976" s="9">
        <v>3.8</v>
      </c>
    </row>
    <row r="1977" spans="1:2" x14ac:dyDescent="0.35">
      <c r="A1977" s="91" t="s">
        <v>4901</v>
      </c>
      <c r="B1977" s="9">
        <v>5</v>
      </c>
    </row>
    <row r="1978" spans="1:2" x14ac:dyDescent="0.35">
      <c r="A1978" s="91" t="s">
        <v>2464</v>
      </c>
      <c r="B1978" s="9">
        <v>7.5</v>
      </c>
    </row>
    <row r="1979" spans="1:2" x14ac:dyDescent="0.35">
      <c r="A1979" s="91" t="s">
        <v>2281</v>
      </c>
      <c r="B1979" s="9">
        <v>14</v>
      </c>
    </row>
    <row r="1980" spans="1:2" x14ac:dyDescent="0.35">
      <c r="A1980" s="91" t="s">
        <v>4033</v>
      </c>
      <c r="B1980" s="9">
        <v>6.6000000000000005</v>
      </c>
    </row>
    <row r="1981" spans="1:2" x14ac:dyDescent="0.35">
      <c r="A1981" s="91" t="s">
        <v>1361</v>
      </c>
      <c r="B1981" s="9">
        <v>5</v>
      </c>
    </row>
    <row r="1982" spans="1:2" x14ac:dyDescent="0.35">
      <c r="A1982" s="91" t="s">
        <v>5739</v>
      </c>
      <c r="B1982" s="9">
        <v>6.6000000000000005</v>
      </c>
    </row>
    <row r="1983" spans="1:2" x14ac:dyDescent="0.35">
      <c r="A1983" s="91" t="s">
        <v>4773</v>
      </c>
      <c r="B1983" s="9">
        <v>7.6</v>
      </c>
    </row>
    <row r="1984" spans="1:2" x14ac:dyDescent="0.35">
      <c r="A1984" s="91" t="s">
        <v>4668</v>
      </c>
      <c r="B1984" s="9">
        <v>10</v>
      </c>
    </row>
    <row r="1985" spans="1:2" x14ac:dyDescent="0.35">
      <c r="A1985" s="91" t="s">
        <v>5926</v>
      </c>
      <c r="B1985" s="9">
        <v>10</v>
      </c>
    </row>
    <row r="1986" spans="1:2" x14ac:dyDescent="0.35">
      <c r="A1986" s="91" t="s">
        <v>2976</v>
      </c>
      <c r="B1986" s="9">
        <v>19</v>
      </c>
    </row>
    <row r="1987" spans="1:2" x14ac:dyDescent="0.35">
      <c r="A1987" s="91" t="s">
        <v>2182</v>
      </c>
      <c r="B1987" s="9">
        <v>5</v>
      </c>
    </row>
    <row r="1988" spans="1:2" x14ac:dyDescent="0.35">
      <c r="A1988" s="91" t="s">
        <v>3313</v>
      </c>
      <c r="B1988" s="9">
        <v>2.5</v>
      </c>
    </row>
    <row r="1989" spans="1:2" x14ac:dyDescent="0.35">
      <c r="A1989" s="91" t="s">
        <v>5670</v>
      </c>
      <c r="B1989" s="9">
        <v>2.5</v>
      </c>
    </row>
    <row r="1990" spans="1:2" x14ac:dyDescent="0.35">
      <c r="A1990" s="91" t="s">
        <v>2670</v>
      </c>
      <c r="B1990" s="9">
        <v>10</v>
      </c>
    </row>
    <row r="1991" spans="1:2" x14ac:dyDescent="0.35">
      <c r="A1991" s="91" t="s">
        <v>4198</v>
      </c>
      <c r="B1991" s="9">
        <v>4.4000000000000004</v>
      </c>
    </row>
    <row r="1992" spans="1:2" x14ac:dyDescent="0.35">
      <c r="A1992" s="91" t="s">
        <v>5940</v>
      </c>
      <c r="B1992" s="9">
        <v>14</v>
      </c>
    </row>
    <row r="1993" spans="1:2" x14ac:dyDescent="0.35">
      <c r="A1993" s="91" t="s">
        <v>4824</v>
      </c>
      <c r="B1993" s="9">
        <v>8.3999999999999986</v>
      </c>
    </row>
    <row r="1994" spans="1:2" x14ac:dyDescent="0.35">
      <c r="A1994" s="91" t="s">
        <v>5473</v>
      </c>
      <c r="B1994" s="9">
        <v>8.8000000000000007</v>
      </c>
    </row>
    <row r="1995" spans="1:2" x14ac:dyDescent="0.35">
      <c r="A1995" s="91" t="s">
        <v>1701</v>
      </c>
      <c r="B1995" s="9">
        <v>8.8000000000000007</v>
      </c>
    </row>
    <row r="1996" spans="1:2" x14ac:dyDescent="0.35">
      <c r="A1996" s="91" t="s">
        <v>823</v>
      </c>
      <c r="B1996" s="9">
        <v>3.8</v>
      </c>
    </row>
    <row r="1997" spans="1:2" x14ac:dyDescent="0.35">
      <c r="A1997" s="91" t="s">
        <v>3170</v>
      </c>
      <c r="B1997" s="9">
        <v>5</v>
      </c>
    </row>
    <row r="1998" spans="1:2" x14ac:dyDescent="0.35">
      <c r="A1998" s="91" t="s">
        <v>1074</v>
      </c>
      <c r="B1998" s="9">
        <v>10.5</v>
      </c>
    </row>
    <row r="1999" spans="1:2" x14ac:dyDescent="0.35">
      <c r="A1999" s="91" t="s">
        <v>5074</v>
      </c>
      <c r="B1999" s="9">
        <v>8.8000000000000007</v>
      </c>
    </row>
    <row r="2000" spans="1:2" x14ac:dyDescent="0.35">
      <c r="A2000" s="91" t="s">
        <v>5195</v>
      </c>
      <c r="B2000" s="9">
        <v>19</v>
      </c>
    </row>
    <row r="2001" spans="1:2" x14ac:dyDescent="0.35">
      <c r="A2001" s="91" t="s">
        <v>5689</v>
      </c>
      <c r="B2001" s="9">
        <v>10</v>
      </c>
    </row>
    <row r="2002" spans="1:2" x14ac:dyDescent="0.35">
      <c r="A2002" s="91" t="s">
        <v>4588</v>
      </c>
      <c r="B2002" s="9">
        <v>2.2000000000000002</v>
      </c>
    </row>
    <row r="2003" spans="1:2" x14ac:dyDescent="0.35">
      <c r="A2003" s="91" t="s">
        <v>3646</v>
      </c>
      <c r="B2003" s="9">
        <v>17.5</v>
      </c>
    </row>
    <row r="2004" spans="1:2" x14ac:dyDescent="0.35">
      <c r="A2004" s="91" t="s">
        <v>5812</v>
      </c>
      <c r="B2004" s="9">
        <v>14</v>
      </c>
    </row>
    <row r="2005" spans="1:2" x14ac:dyDescent="0.35">
      <c r="A2005" s="91" t="s">
        <v>5596</v>
      </c>
      <c r="B2005" s="9">
        <v>3.5</v>
      </c>
    </row>
    <row r="2006" spans="1:2" x14ac:dyDescent="0.35">
      <c r="A2006" s="91" t="s">
        <v>5656</v>
      </c>
      <c r="B2006" s="9">
        <v>14</v>
      </c>
    </row>
    <row r="2007" spans="1:2" x14ac:dyDescent="0.35">
      <c r="A2007" s="91" t="s">
        <v>1966</v>
      </c>
      <c r="B2007" s="9">
        <v>10</v>
      </c>
    </row>
    <row r="2008" spans="1:2" x14ac:dyDescent="0.35">
      <c r="A2008" s="91" t="s">
        <v>4279</v>
      </c>
      <c r="B2008" s="9">
        <v>11.399999999999999</v>
      </c>
    </row>
    <row r="2009" spans="1:2" x14ac:dyDescent="0.35">
      <c r="A2009" s="91" t="s">
        <v>5927</v>
      </c>
      <c r="B2009" s="9">
        <v>5</v>
      </c>
    </row>
    <row r="2010" spans="1:2" x14ac:dyDescent="0.35">
      <c r="A2010" s="91" t="s">
        <v>4754</v>
      </c>
      <c r="B2010" s="9">
        <v>3.5</v>
      </c>
    </row>
    <row r="2011" spans="1:2" x14ac:dyDescent="0.35">
      <c r="A2011" s="91" t="s">
        <v>1277</v>
      </c>
      <c r="B2011" s="9">
        <v>5</v>
      </c>
    </row>
    <row r="2012" spans="1:2" x14ac:dyDescent="0.35">
      <c r="A2012" s="91" t="s">
        <v>4407</v>
      </c>
      <c r="B2012" s="9">
        <v>10</v>
      </c>
    </row>
    <row r="2013" spans="1:2" x14ac:dyDescent="0.35">
      <c r="A2013" s="91" t="s">
        <v>1142</v>
      </c>
      <c r="B2013" s="9">
        <v>14</v>
      </c>
    </row>
    <row r="2014" spans="1:2" x14ac:dyDescent="0.35">
      <c r="A2014" s="91" t="s">
        <v>4127</v>
      </c>
      <c r="B2014" s="9">
        <v>10.5</v>
      </c>
    </row>
    <row r="2015" spans="1:2" x14ac:dyDescent="0.35">
      <c r="A2015" s="91" t="s">
        <v>3495</v>
      </c>
      <c r="B2015" s="9">
        <v>8.8000000000000007</v>
      </c>
    </row>
    <row r="2016" spans="1:2" x14ac:dyDescent="0.35">
      <c r="A2016" s="91" t="s">
        <v>3286</v>
      </c>
      <c r="B2016" s="9">
        <v>11.399999999999999</v>
      </c>
    </row>
    <row r="2017" spans="1:2" x14ac:dyDescent="0.35">
      <c r="A2017" s="91" t="s">
        <v>4637</v>
      </c>
      <c r="B2017" s="9">
        <v>19</v>
      </c>
    </row>
    <row r="2018" spans="1:2" x14ac:dyDescent="0.35">
      <c r="A2018" s="91" t="s">
        <v>3081</v>
      </c>
      <c r="B2018" s="9">
        <v>10</v>
      </c>
    </row>
    <row r="2019" spans="1:2" x14ac:dyDescent="0.35">
      <c r="A2019" s="91" t="s">
        <v>5697</v>
      </c>
      <c r="B2019" s="9">
        <v>4.4000000000000004</v>
      </c>
    </row>
    <row r="2020" spans="1:2" x14ac:dyDescent="0.35">
      <c r="A2020" s="91" t="s">
        <v>1459</v>
      </c>
      <c r="B2020" s="9">
        <v>8.3999999999999986</v>
      </c>
    </row>
    <row r="2021" spans="1:2" x14ac:dyDescent="0.35">
      <c r="A2021" s="91" t="s">
        <v>3872</v>
      </c>
      <c r="B2021" s="9">
        <v>8.3999999999999986</v>
      </c>
    </row>
    <row r="2022" spans="1:2" x14ac:dyDescent="0.35">
      <c r="A2022" s="91" t="s">
        <v>4172</v>
      </c>
      <c r="B2022" s="9">
        <v>12.5</v>
      </c>
    </row>
    <row r="2023" spans="1:2" x14ac:dyDescent="0.35">
      <c r="A2023" s="91" t="s">
        <v>4204</v>
      </c>
      <c r="B2023" s="9">
        <v>12.5</v>
      </c>
    </row>
    <row r="2024" spans="1:2" x14ac:dyDescent="0.35">
      <c r="A2024" s="91" t="s">
        <v>4562</v>
      </c>
      <c r="B2024" s="9">
        <v>8.8000000000000007</v>
      </c>
    </row>
    <row r="2025" spans="1:2" x14ac:dyDescent="0.35">
      <c r="A2025" s="91" t="s">
        <v>263</v>
      </c>
      <c r="B2025" s="9">
        <v>17.5</v>
      </c>
    </row>
    <row r="2026" spans="1:2" x14ac:dyDescent="0.35">
      <c r="A2026" s="91" t="s">
        <v>1461</v>
      </c>
      <c r="B2026" s="9">
        <v>8.3999999999999986</v>
      </c>
    </row>
    <row r="2027" spans="1:2" x14ac:dyDescent="0.35">
      <c r="A2027" s="91" t="s">
        <v>3150</v>
      </c>
      <c r="B2027" s="9">
        <v>5.6</v>
      </c>
    </row>
    <row r="2028" spans="1:2" x14ac:dyDescent="0.35">
      <c r="A2028" s="91" t="s">
        <v>2138</v>
      </c>
      <c r="B2028" s="9">
        <v>11</v>
      </c>
    </row>
    <row r="2029" spans="1:2" x14ac:dyDescent="0.35">
      <c r="A2029" s="91" t="s">
        <v>2583</v>
      </c>
      <c r="B2029" s="9">
        <v>10.5</v>
      </c>
    </row>
    <row r="2030" spans="1:2" x14ac:dyDescent="0.35">
      <c r="A2030" s="91" t="s">
        <v>5560</v>
      </c>
      <c r="B2030" s="9">
        <v>14</v>
      </c>
    </row>
    <row r="2031" spans="1:2" x14ac:dyDescent="0.35">
      <c r="A2031" s="91" t="s">
        <v>5928</v>
      </c>
      <c r="B2031" s="9">
        <v>5.6</v>
      </c>
    </row>
    <row r="2032" spans="1:2" x14ac:dyDescent="0.35">
      <c r="A2032" s="91" t="s">
        <v>2282</v>
      </c>
      <c r="B2032" s="9">
        <v>10.5</v>
      </c>
    </row>
    <row r="2033" spans="1:2" x14ac:dyDescent="0.35">
      <c r="A2033" s="91" t="s">
        <v>4408</v>
      </c>
      <c r="B2033" s="9">
        <v>2.2000000000000002</v>
      </c>
    </row>
    <row r="2034" spans="1:2" x14ac:dyDescent="0.35">
      <c r="A2034" s="91" t="s">
        <v>5740</v>
      </c>
      <c r="B2034" s="9">
        <v>2.5</v>
      </c>
    </row>
    <row r="2035" spans="1:2" x14ac:dyDescent="0.35">
      <c r="A2035" s="91" t="s">
        <v>3843</v>
      </c>
      <c r="B2035" s="9">
        <v>7.6</v>
      </c>
    </row>
    <row r="2036" spans="1:2" x14ac:dyDescent="0.35">
      <c r="A2036" s="91" t="s">
        <v>5753</v>
      </c>
      <c r="B2036" s="9">
        <v>5</v>
      </c>
    </row>
    <row r="2037" spans="1:2" x14ac:dyDescent="0.35">
      <c r="A2037" s="91" t="s">
        <v>5486</v>
      </c>
      <c r="B2037" s="9">
        <v>6.6000000000000005</v>
      </c>
    </row>
    <row r="2038" spans="1:2" x14ac:dyDescent="0.35">
      <c r="A2038" s="91" t="s">
        <v>4871</v>
      </c>
      <c r="B2038" s="9">
        <v>5</v>
      </c>
    </row>
    <row r="2039" spans="1:2" x14ac:dyDescent="0.35">
      <c r="A2039" s="91" t="s">
        <v>3540</v>
      </c>
      <c r="B2039" s="9">
        <v>3.8</v>
      </c>
    </row>
    <row r="2040" spans="1:2" x14ac:dyDescent="0.35">
      <c r="A2040" s="91" t="s">
        <v>3541</v>
      </c>
      <c r="B2040" s="9">
        <v>17.5</v>
      </c>
    </row>
    <row r="2041" spans="1:2" x14ac:dyDescent="0.35">
      <c r="A2041" s="91" t="s">
        <v>1816</v>
      </c>
      <c r="B2041" s="9">
        <v>2.8</v>
      </c>
    </row>
    <row r="2042" spans="1:2" x14ac:dyDescent="0.35">
      <c r="A2042" s="91" t="s">
        <v>4774</v>
      </c>
      <c r="B2042" s="9">
        <v>8.8000000000000007</v>
      </c>
    </row>
    <row r="2043" spans="1:2" x14ac:dyDescent="0.35">
      <c r="A2043" s="91" t="s">
        <v>2359</v>
      </c>
      <c r="B2043" s="9">
        <v>4.4000000000000004</v>
      </c>
    </row>
    <row r="2044" spans="1:2" x14ac:dyDescent="0.35">
      <c r="A2044" s="91" t="s">
        <v>1144</v>
      </c>
      <c r="B2044" s="9">
        <v>5</v>
      </c>
    </row>
    <row r="2045" spans="1:2" x14ac:dyDescent="0.35">
      <c r="A2045" s="91" t="s">
        <v>5367</v>
      </c>
      <c r="B2045" s="9">
        <v>2.2000000000000002</v>
      </c>
    </row>
    <row r="2046" spans="1:2" x14ac:dyDescent="0.35">
      <c r="A2046" s="91" t="s">
        <v>4796</v>
      </c>
      <c r="B2046" s="9">
        <v>11.2</v>
      </c>
    </row>
    <row r="2047" spans="1:2" x14ac:dyDescent="0.35">
      <c r="A2047" s="91" t="s">
        <v>2035</v>
      </c>
      <c r="B2047" s="9">
        <v>7</v>
      </c>
    </row>
    <row r="2048" spans="1:2" x14ac:dyDescent="0.35">
      <c r="A2048" s="91" t="s">
        <v>288</v>
      </c>
      <c r="B2048" s="9">
        <v>14</v>
      </c>
    </row>
    <row r="2049" spans="1:2" x14ac:dyDescent="0.35">
      <c r="A2049" s="91" t="s">
        <v>1215</v>
      </c>
      <c r="B2049" s="9">
        <v>5</v>
      </c>
    </row>
    <row r="2050" spans="1:2" x14ac:dyDescent="0.35">
      <c r="A2050" s="91" t="s">
        <v>1946</v>
      </c>
      <c r="B2050" s="9">
        <v>6.6000000000000005</v>
      </c>
    </row>
    <row r="2051" spans="1:2" x14ac:dyDescent="0.35">
      <c r="A2051" s="91" t="s">
        <v>2535</v>
      </c>
      <c r="B2051" s="9">
        <v>11.2</v>
      </c>
    </row>
    <row r="2052" spans="1:2" x14ac:dyDescent="0.35">
      <c r="A2052" s="91" t="s">
        <v>2122</v>
      </c>
      <c r="B2052" s="9">
        <v>7</v>
      </c>
    </row>
    <row r="2053" spans="1:2" x14ac:dyDescent="0.35">
      <c r="A2053" s="91" t="s">
        <v>1216</v>
      </c>
      <c r="B2053" s="9">
        <v>2.5</v>
      </c>
    </row>
    <row r="2054" spans="1:2" x14ac:dyDescent="0.35">
      <c r="A2054" s="91" t="s">
        <v>2475</v>
      </c>
      <c r="B2054" s="9">
        <v>8.8000000000000007</v>
      </c>
    </row>
    <row r="2055" spans="1:2" x14ac:dyDescent="0.35">
      <c r="A2055" s="91" t="s">
        <v>2977</v>
      </c>
      <c r="B2055" s="9">
        <v>15.2</v>
      </c>
    </row>
    <row r="2056" spans="1:2" x14ac:dyDescent="0.35">
      <c r="A2056" s="91" t="s">
        <v>3216</v>
      </c>
      <c r="B2056" s="9">
        <v>7</v>
      </c>
    </row>
    <row r="2057" spans="1:2" x14ac:dyDescent="0.35">
      <c r="A2057" s="91" t="s">
        <v>4681</v>
      </c>
      <c r="B2057" s="9">
        <v>7.6</v>
      </c>
    </row>
    <row r="2058" spans="1:2" x14ac:dyDescent="0.35">
      <c r="A2058" s="91" t="s">
        <v>4230</v>
      </c>
      <c r="B2058" s="9">
        <v>19</v>
      </c>
    </row>
    <row r="2059" spans="1:2" x14ac:dyDescent="0.35">
      <c r="A2059" s="91" t="s">
        <v>5828</v>
      </c>
      <c r="B2059" s="9">
        <v>11</v>
      </c>
    </row>
    <row r="2060" spans="1:2" x14ac:dyDescent="0.35">
      <c r="A2060" s="91" t="s">
        <v>5754</v>
      </c>
      <c r="B2060" s="9">
        <v>17.5</v>
      </c>
    </row>
    <row r="2061" spans="1:2" x14ac:dyDescent="0.35">
      <c r="A2061" s="91" t="s">
        <v>5972</v>
      </c>
      <c r="B2061" s="9">
        <v>5</v>
      </c>
    </row>
    <row r="2062" spans="1:2" x14ac:dyDescent="0.35">
      <c r="A2062" s="91" t="s">
        <v>1146</v>
      </c>
      <c r="B2062" s="9">
        <v>8.8000000000000007</v>
      </c>
    </row>
    <row r="2063" spans="1:2" x14ac:dyDescent="0.35">
      <c r="A2063" s="91" t="s">
        <v>4507</v>
      </c>
      <c r="B2063" s="9">
        <v>3.5</v>
      </c>
    </row>
    <row r="2064" spans="1:2" x14ac:dyDescent="0.35">
      <c r="A2064" s="91" t="s">
        <v>2755</v>
      </c>
      <c r="B2064" s="9">
        <v>19</v>
      </c>
    </row>
    <row r="2065" spans="1:2" x14ac:dyDescent="0.35">
      <c r="A2065" s="91" t="s">
        <v>4755</v>
      </c>
      <c r="B2065" s="9">
        <v>17.5</v>
      </c>
    </row>
    <row r="2066" spans="1:2" x14ac:dyDescent="0.35">
      <c r="A2066" s="91" t="s">
        <v>1925</v>
      </c>
      <c r="B2066" s="9">
        <v>2.2000000000000002</v>
      </c>
    </row>
    <row r="2067" spans="1:2" x14ac:dyDescent="0.35">
      <c r="A2067" s="91" t="s">
        <v>1881</v>
      </c>
      <c r="B2067" s="9">
        <v>5</v>
      </c>
    </row>
    <row r="2068" spans="1:2" x14ac:dyDescent="0.35">
      <c r="A2068" s="91" t="s">
        <v>3496</v>
      </c>
      <c r="B2068" s="9">
        <v>7</v>
      </c>
    </row>
    <row r="2069" spans="1:2" x14ac:dyDescent="0.35">
      <c r="A2069" s="91" t="s">
        <v>1990</v>
      </c>
      <c r="B2069" s="9">
        <v>2.2000000000000002</v>
      </c>
    </row>
    <row r="2070" spans="1:2" x14ac:dyDescent="0.35">
      <c r="A2070" s="91" t="s">
        <v>955</v>
      </c>
      <c r="B2070" s="9">
        <v>8.8000000000000007</v>
      </c>
    </row>
    <row r="2071" spans="1:2" x14ac:dyDescent="0.35">
      <c r="A2071" s="91" t="s">
        <v>5307</v>
      </c>
      <c r="B2071" s="9">
        <v>11</v>
      </c>
    </row>
    <row r="2072" spans="1:2" x14ac:dyDescent="0.35">
      <c r="A2072" s="91" t="s">
        <v>5597</v>
      </c>
      <c r="B2072" s="9">
        <v>8.8000000000000007</v>
      </c>
    </row>
    <row r="2073" spans="1:2" x14ac:dyDescent="0.35">
      <c r="A2073" s="91" t="s">
        <v>158</v>
      </c>
      <c r="B2073" s="9">
        <v>7.5</v>
      </c>
    </row>
    <row r="2074" spans="1:2" x14ac:dyDescent="0.35">
      <c r="A2074" s="91" t="s">
        <v>956</v>
      </c>
      <c r="B2074" s="9">
        <v>11.2</v>
      </c>
    </row>
    <row r="2075" spans="1:2" x14ac:dyDescent="0.35">
      <c r="A2075" s="91" t="s">
        <v>2917</v>
      </c>
      <c r="B2075" s="9">
        <v>6.6000000000000005</v>
      </c>
    </row>
    <row r="2076" spans="1:2" x14ac:dyDescent="0.35">
      <c r="A2076" s="91" t="s">
        <v>5425</v>
      </c>
      <c r="B2076" s="9">
        <v>7</v>
      </c>
    </row>
    <row r="2077" spans="1:2" x14ac:dyDescent="0.35">
      <c r="A2077" s="91" t="s">
        <v>2584</v>
      </c>
      <c r="B2077" s="9">
        <v>14</v>
      </c>
    </row>
    <row r="2078" spans="1:2" x14ac:dyDescent="0.35">
      <c r="A2078" s="91" t="s">
        <v>290</v>
      </c>
      <c r="B2078" s="9">
        <v>14</v>
      </c>
    </row>
    <row r="2079" spans="1:2" x14ac:dyDescent="0.35">
      <c r="A2079" s="91" t="s">
        <v>2742</v>
      </c>
      <c r="B2079" s="9">
        <v>2.2000000000000002</v>
      </c>
    </row>
    <row r="2080" spans="1:2" x14ac:dyDescent="0.35">
      <c r="A2080" s="91" t="s">
        <v>2219</v>
      </c>
      <c r="B2080" s="9">
        <v>7</v>
      </c>
    </row>
    <row r="2081" spans="1:2" x14ac:dyDescent="0.35">
      <c r="A2081" s="91" t="s">
        <v>1857</v>
      </c>
      <c r="B2081" s="9">
        <v>11.2</v>
      </c>
    </row>
    <row r="2082" spans="1:2" x14ac:dyDescent="0.35">
      <c r="A2082" s="91" t="s">
        <v>3412</v>
      </c>
      <c r="B2082" s="9">
        <v>8.8000000000000007</v>
      </c>
    </row>
    <row r="2083" spans="1:2" x14ac:dyDescent="0.35">
      <c r="A2083" s="91" t="s">
        <v>5220</v>
      </c>
      <c r="B2083" s="9">
        <v>3.8</v>
      </c>
    </row>
    <row r="2084" spans="1:2" x14ac:dyDescent="0.35">
      <c r="A2084" s="91" t="s">
        <v>3497</v>
      </c>
      <c r="B2084" s="9">
        <v>8.3999999999999986</v>
      </c>
    </row>
    <row r="2085" spans="1:2" x14ac:dyDescent="0.35">
      <c r="A2085" s="91" t="s">
        <v>735</v>
      </c>
      <c r="B2085" s="9">
        <v>8.3999999999999986</v>
      </c>
    </row>
    <row r="2086" spans="1:2" x14ac:dyDescent="0.35">
      <c r="A2086" s="91" t="s">
        <v>5075</v>
      </c>
      <c r="B2086" s="9">
        <v>12.5</v>
      </c>
    </row>
    <row r="2087" spans="1:2" x14ac:dyDescent="0.35">
      <c r="A2087" s="91" t="s">
        <v>5997</v>
      </c>
      <c r="B2087" s="9">
        <v>2.5</v>
      </c>
    </row>
    <row r="2088" spans="1:2" x14ac:dyDescent="0.35">
      <c r="A2088" s="91" t="s">
        <v>2930</v>
      </c>
      <c r="B2088" s="9">
        <v>19</v>
      </c>
    </row>
    <row r="2089" spans="1:2" x14ac:dyDescent="0.35">
      <c r="A2089" s="91" t="s">
        <v>4935</v>
      </c>
      <c r="B2089" s="9">
        <v>2.5</v>
      </c>
    </row>
    <row r="2090" spans="1:2" x14ac:dyDescent="0.35">
      <c r="A2090" s="91" t="s">
        <v>2808</v>
      </c>
      <c r="B2090" s="9">
        <v>10</v>
      </c>
    </row>
    <row r="2091" spans="1:2" x14ac:dyDescent="0.35">
      <c r="A2091" s="91" t="s">
        <v>2873</v>
      </c>
      <c r="B2091" s="9">
        <v>5</v>
      </c>
    </row>
    <row r="2092" spans="1:2" x14ac:dyDescent="0.35">
      <c r="A2092" s="91" t="s">
        <v>3229</v>
      </c>
      <c r="B2092" s="9">
        <v>12.5</v>
      </c>
    </row>
    <row r="2093" spans="1:2" x14ac:dyDescent="0.35">
      <c r="A2093" s="91" t="s">
        <v>609</v>
      </c>
      <c r="B2093" s="9">
        <v>15.2</v>
      </c>
    </row>
    <row r="2094" spans="1:2" x14ac:dyDescent="0.35">
      <c r="A2094" s="91" t="s">
        <v>5460</v>
      </c>
      <c r="B2094" s="9">
        <v>2.5</v>
      </c>
    </row>
    <row r="2095" spans="1:2" x14ac:dyDescent="0.35">
      <c r="A2095" s="91" t="s">
        <v>3260</v>
      </c>
      <c r="B2095" s="9">
        <v>11.399999999999999</v>
      </c>
    </row>
    <row r="2096" spans="1:2" x14ac:dyDescent="0.35">
      <c r="A2096" s="91" t="s">
        <v>3760</v>
      </c>
      <c r="B2096" s="9">
        <v>10</v>
      </c>
    </row>
    <row r="2097" spans="1:2" x14ac:dyDescent="0.35">
      <c r="A2097" s="91" t="s">
        <v>5407</v>
      </c>
      <c r="B2097" s="9">
        <v>8.3999999999999986</v>
      </c>
    </row>
    <row r="2098" spans="1:2" x14ac:dyDescent="0.35">
      <c r="A2098" s="91" t="s">
        <v>496</v>
      </c>
      <c r="B2098" s="9">
        <v>2.8</v>
      </c>
    </row>
    <row r="2099" spans="1:2" x14ac:dyDescent="0.35">
      <c r="A2099" s="91" t="s">
        <v>3001</v>
      </c>
      <c r="B2099" s="9">
        <v>7.5</v>
      </c>
    </row>
    <row r="2100" spans="1:2" x14ac:dyDescent="0.35">
      <c r="A2100" s="91" t="s">
        <v>1278</v>
      </c>
      <c r="B2100" s="9">
        <v>11.399999999999999</v>
      </c>
    </row>
    <row r="2101" spans="1:2" x14ac:dyDescent="0.35">
      <c r="A2101" s="91" t="s">
        <v>5487</v>
      </c>
      <c r="B2101" s="9">
        <v>2.5</v>
      </c>
    </row>
    <row r="2102" spans="1:2" x14ac:dyDescent="0.35">
      <c r="A2102" s="91" t="s">
        <v>583</v>
      </c>
      <c r="B2102" s="9">
        <v>2.8</v>
      </c>
    </row>
    <row r="2103" spans="1:2" x14ac:dyDescent="0.35">
      <c r="A2103" s="91" t="s">
        <v>970</v>
      </c>
      <c r="B2103" s="9">
        <v>3.5</v>
      </c>
    </row>
    <row r="2104" spans="1:2" x14ac:dyDescent="0.35">
      <c r="A2104" s="91" t="s">
        <v>5278</v>
      </c>
      <c r="B2104" s="9">
        <v>3.5</v>
      </c>
    </row>
    <row r="2105" spans="1:2" x14ac:dyDescent="0.35">
      <c r="A2105" s="91" t="s">
        <v>4761</v>
      </c>
      <c r="B2105" s="9">
        <v>2.2000000000000002</v>
      </c>
    </row>
    <row r="2106" spans="1:2" x14ac:dyDescent="0.35">
      <c r="A2106" s="91" t="s">
        <v>2829</v>
      </c>
      <c r="B2106" s="9">
        <v>10.5</v>
      </c>
    </row>
    <row r="2107" spans="1:2" x14ac:dyDescent="0.35">
      <c r="A2107" s="91" t="s">
        <v>1075</v>
      </c>
      <c r="B2107" s="9">
        <v>11</v>
      </c>
    </row>
    <row r="2108" spans="1:2" x14ac:dyDescent="0.35">
      <c r="A2108" s="91" t="s">
        <v>3919</v>
      </c>
      <c r="B2108" s="9">
        <v>4.4000000000000004</v>
      </c>
    </row>
    <row r="2109" spans="1:2" x14ac:dyDescent="0.35">
      <c r="A2109" s="91" t="s">
        <v>5135</v>
      </c>
      <c r="B2109" s="9">
        <v>11</v>
      </c>
    </row>
    <row r="2110" spans="1:2" x14ac:dyDescent="0.35">
      <c r="A2110" s="91" t="s">
        <v>2918</v>
      </c>
      <c r="B2110" s="9">
        <v>10</v>
      </c>
    </row>
    <row r="2111" spans="1:2" x14ac:dyDescent="0.35">
      <c r="A2111" s="91" t="s">
        <v>4993</v>
      </c>
      <c r="B2111" s="9">
        <v>10</v>
      </c>
    </row>
    <row r="2112" spans="1:2" x14ac:dyDescent="0.35">
      <c r="A2112" s="91" t="s">
        <v>928</v>
      </c>
      <c r="B2112" s="9">
        <v>14</v>
      </c>
    </row>
    <row r="2113" spans="1:2" x14ac:dyDescent="0.35">
      <c r="A2113" s="91" t="s">
        <v>5488</v>
      </c>
      <c r="B2113" s="9">
        <v>7.6</v>
      </c>
    </row>
    <row r="2114" spans="1:2" x14ac:dyDescent="0.35">
      <c r="A2114" s="91" t="s">
        <v>3718</v>
      </c>
      <c r="B2114" s="9">
        <v>7.5</v>
      </c>
    </row>
    <row r="2115" spans="1:2" x14ac:dyDescent="0.35">
      <c r="A2115" s="91" t="s">
        <v>2705</v>
      </c>
      <c r="B2115" s="9">
        <v>2.2000000000000002</v>
      </c>
    </row>
    <row r="2116" spans="1:2" x14ac:dyDescent="0.35">
      <c r="A2116" s="91" t="s">
        <v>2585</v>
      </c>
      <c r="B2116" s="9">
        <v>3.5</v>
      </c>
    </row>
    <row r="2117" spans="1:2" x14ac:dyDescent="0.35">
      <c r="A2117" s="91" t="s">
        <v>3775</v>
      </c>
      <c r="B2117" s="9">
        <v>3.5</v>
      </c>
    </row>
    <row r="2118" spans="1:2" x14ac:dyDescent="0.35">
      <c r="A2118" s="91" t="s">
        <v>736</v>
      </c>
      <c r="B2118" s="9">
        <v>12.5</v>
      </c>
    </row>
    <row r="2119" spans="1:2" x14ac:dyDescent="0.35">
      <c r="A2119" s="91" t="s">
        <v>3647</v>
      </c>
      <c r="B2119" s="9">
        <v>2.5</v>
      </c>
    </row>
    <row r="2120" spans="1:2" x14ac:dyDescent="0.35">
      <c r="A2120" s="91" t="s">
        <v>4825</v>
      </c>
      <c r="B2120" s="9">
        <v>15.2</v>
      </c>
    </row>
    <row r="2121" spans="1:2" x14ac:dyDescent="0.35">
      <c r="A2121" s="91" t="s">
        <v>5866</v>
      </c>
      <c r="B2121" s="9">
        <v>8.8000000000000007</v>
      </c>
    </row>
    <row r="2122" spans="1:2" x14ac:dyDescent="0.35">
      <c r="A2122" s="91" t="s">
        <v>5368</v>
      </c>
      <c r="B2122" s="9">
        <v>2.2000000000000002</v>
      </c>
    </row>
    <row r="2123" spans="1:2" x14ac:dyDescent="0.35">
      <c r="A2123" s="91" t="s">
        <v>5899</v>
      </c>
      <c r="B2123" s="9">
        <v>10.5</v>
      </c>
    </row>
    <row r="2124" spans="1:2" x14ac:dyDescent="0.35">
      <c r="A2124" s="91" t="s">
        <v>2149</v>
      </c>
      <c r="B2124" s="9">
        <v>3.8</v>
      </c>
    </row>
    <row r="2125" spans="1:2" x14ac:dyDescent="0.35">
      <c r="A2125" s="91" t="s">
        <v>1241</v>
      </c>
      <c r="B2125" s="9">
        <v>4.4000000000000004</v>
      </c>
    </row>
    <row r="2126" spans="1:2" x14ac:dyDescent="0.35">
      <c r="A2126" s="91" t="s">
        <v>1051</v>
      </c>
      <c r="B2126" s="9">
        <v>15.2</v>
      </c>
    </row>
    <row r="2127" spans="1:2" x14ac:dyDescent="0.35">
      <c r="A2127" s="91" t="s">
        <v>2404</v>
      </c>
      <c r="B2127" s="9">
        <v>11</v>
      </c>
    </row>
    <row r="2128" spans="1:2" x14ac:dyDescent="0.35">
      <c r="A2128" s="91" t="s">
        <v>1243</v>
      </c>
      <c r="B2128" s="9">
        <v>5</v>
      </c>
    </row>
    <row r="2129" spans="1:2" x14ac:dyDescent="0.35">
      <c r="A2129" s="91" t="s">
        <v>2857</v>
      </c>
      <c r="B2129" s="9">
        <v>7.6</v>
      </c>
    </row>
    <row r="2130" spans="1:2" x14ac:dyDescent="0.35">
      <c r="A2130" s="91" t="s">
        <v>4682</v>
      </c>
      <c r="B2130" s="9">
        <v>14</v>
      </c>
    </row>
    <row r="2131" spans="1:2" x14ac:dyDescent="0.35">
      <c r="A2131" s="91" t="s">
        <v>2406</v>
      </c>
      <c r="B2131" s="9">
        <v>5.6</v>
      </c>
    </row>
    <row r="2132" spans="1:2" x14ac:dyDescent="0.35">
      <c r="A2132" s="91" t="s">
        <v>893</v>
      </c>
      <c r="B2132" s="9">
        <v>17.5</v>
      </c>
    </row>
    <row r="2133" spans="1:2" x14ac:dyDescent="0.35">
      <c r="A2133" s="91" t="s">
        <v>2037</v>
      </c>
      <c r="B2133" s="9">
        <v>4.4000000000000004</v>
      </c>
    </row>
    <row r="2134" spans="1:2" x14ac:dyDescent="0.35">
      <c r="A2134" s="91" t="s">
        <v>4143</v>
      </c>
      <c r="B2134" s="9">
        <v>8.3999999999999986</v>
      </c>
    </row>
    <row r="2135" spans="1:2" x14ac:dyDescent="0.35">
      <c r="A2135" s="91" t="s">
        <v>414</v>
      </c>
      <c r="B2135" s="9">
        <v>8.3999999999999986</v>
      </c>
    </row>
    <row r="2136" spans="1:2" x14ac:dyDescent="0.35">
      <c r="A2136" s="91" t="s">
        <v>3287</v>
      </c>
      <c r="B2136" s="9">
        <v>19</v>
      </c>
    </row>
    <row r="2137" spans="1:2" x14ac:dyDescent="0.35">
      <c r="A2137" s="91" t="s">
        <v>1076</v>
      </c>
      <c r="B2137" s="9">
        <v>14</v>
      </c>
    </row>
    <row r="2138" spans="1:2" x14ac:dyDescent="0.35">
      <c r="A2138" s="91" t="s">
        <v>3582</v>
      </c>
      <c r="B2138" s="9">
        <v>8.8000000000000007</v>
      </c>
    </row>
    <row r="2139" spans="1:2" x14ac:dyDescent="0.35">
      <c r="A2139" s="91" t="s">
        <v>1510</v>
      </c>
      <c r="B2139" s="9">
        <v>11.2</v>
      </c>
    </row>
    <row r="2140" spans="1:2" x14ac:dyDescent="0.35">
      <c r="A2140" s="91" t="s">
        <v>5982</v>
      </c>
      <c r="B2140" s="9">
        <v>8.8000000000000007</v>
      </c>
    </row>
    <row r="2141" spans="1:2" x14ac:dyDescent="0.35">
      <c r="A2141" s="91" t="s">
        <v>991</v>
      </c>
      <c r="B2141" s="9">
        <v>12.5</v>
      </c>
    </row>
    <row r="2142" spans="1:2" x14ac:dyDescent="0.35">
      <c r="A2142" s="91" t="s">
        <v>2379</v>
      </c>
      <c r="B2142" s="9">
        <v>12.5</v>
      </c>
    </row>
    <row r="2143" spans="1:2" x14ac:dyDescent="0.35">
      <c r="A2143" s="91" t="s">
        <v>1245</v>
      </c>
      <c r="B2143" s="9">
        <v>11.399999999999999</v>
      </c>
    </row>
    <row r="2144" spans="1:2" x14ac:dyDescent="0.35">
      <c r="A2144" s="91" t="s">
        <v>469</v>
      </c>
      <c r="B2144" s="9">
        <v>15.2</v>
      </c>
    </row>
    <row r="2145" spans="1:2" x14ac:dyDescent="0.35">
      <c r="A2145" s="91" t="s">
        <v>1386</v>
      </c>
      <c r="B2145" s="9">
        <v>8.8000000000000007</v>
      </c>
    </row>
    <row r="2146" spans="1:2" x14ac:dyDescent="0.35">
      <c r="A2146" s="91" t="s">
        <v>4902</v>
      </c>
      <c r="B2146" s="9">
        <v>17.5</v>
      </c>
    </row>
    <row r="2147" spans="1:2" x14ac:dyDescent="0.35">
      <c r="A2147" s="91" t="s">
        <v>3401</v>
      </c>
      <c r="B2147" s="9">
        <v>3.5</v>
      </c>
    </row>
    <row r="2148" spans="1:2" x14ac:dyDescent="0.35">
      <c r="A2148" s="91" t="s">
        <v>1883</v>
      </c>
      <c r="B2148" s="9">
        <v>3.8</v>
      </c>
    </row>
    <row r="2149" spans="1:2" x14ac:dyDescent="0.35">
      <c r="A2149" s="91" t="s">
        <v>4994</v>
      </c>
      <c r="B2149" s="9">
        <v>4.4000000000000004</v>
      </c>
    </row>
    <row r="2150" spans="1:2" x14ac:dyDescent="0.35">
      <c r="A2150" s="91" t="s">
        <v>2500</v>
      </c>
      <c r="B2150" s="9">
        <v>8.8000000000000007</v>
      </c>
    </row>
    <row r="2151" spans="1:2" x14ac:dyDescent="0.35">
      <c r="A2151" s="91" t="s">
        <v>2798</v>
      </c>
      <c r="B2151" s="9">
        <v>8.8000000000000007</v>
      </c>
    </row>
    <row r="2152" spans="1:2" x14ac:dyDescent="0.35">
      <c r="A2152" s="91" t="s">
        <v>5196</v>
      </c>
      <c r="B2152" s="9">
        <v>4.4000000000000004</v>
      </c>
    </row>
    <row r="2153" spans="1:2" x14ac:dyDescent="0.35">
      <c r="A2153" s="91" t="s">
        <v>4103</v>
      </c>
      <c r="B2153" s="9">
        <v>8.3999999999999986</v>
      </c>
    </row>
    <row r="2154" spans="1:2" x14ac:dyDescent="0.35">
      <c r="A2154" s="91" t="s">
        <v>1439</v>
      </c>
      <c r="B2154" s="9">
        <v>19</v>
      </c>
    </row>
    <row r="2155" spans="1:2" x14ac:dyDescent="0.35">
      <c r="A2155" s="91" t="s">
        <v>5598</v>
      </c>
      <c r="B2155" s="9">
        <v>3.5</v>
      </c>
    </row>
    <row r="2156" spans="1:2" x14ac:dyDescent="0.35">
      <c r="A2156" s="91" t="s">
        <v>4144</v>
      </c>
      <c r="B2156" s="9">
        <v>2.2000000000000002</v>
      </c>
    </row>
    <row r="2157" spans="1:2" x14ac:dyDescent="0.35">
      <c r="A2157" s="91" t="s">
        <v>3082</v>
      </c>
      <c r="B2157" s="9">
        <v>11.2</v>
      </c>
    </row>
    <row r="2158" spans="1:2" x14ac:dyDescent="0.35">
      <c r="A2158" s="91" t="s">
        <v>5109</v>
      </c>
      <c r="B2158" s="9">
        <v>6.6000000000000005</v>
      </c>
    </row>
    <row r="2159" spans="1:2" x14ac:dyDescent="0.35">
      <c r="A2159" s="91" t="s">
        <v>5501</v>
      </c>
      <c r="B2159" s="9">
        <v>2.2000000000000002</v>
      </c>
    </row>
    <row r="2160" spans="1:2" x14ac:dyDescent="0.35">
      <c r="A2160" s="91" t="s">
        <v>642</v>
      </c>
      <c r="B2160" s="9">
        <v>5</v>
      </c>
    </row>
    <row r="2161" spans="1:2" x14ac:dyDescent="0.35">
      <c r="A2161" s="91" t="s">
        <v>4353</v>
      </c>
      <c r="B2161" s="9">
        <v>3.5</v>
      </c>
    </row>
    <row r="2162" spans="1:2" x14ac:dyDescent="0.35">
      <c r="A2162" s="91" t="s">
        <v>2112</v>
      </c>
      <c r="B2162" s="9">
        <v>7.5</v>
      </c>
    </row>
    <row r="2163" spans="1:2" x14ac:dyDescent="0.35">
      <c r="A2163" s="91" t="s">
        <v>4589</v>
      </c>
      <c r="B2163" s="9">
        <v>4.4000000000000004</v>
      </c>
    </row>
    <row r="2164" spans="1:2" x14ac:dyDescent="0.35">
      <c r="A2164" s="91" t="s">
        <v>5293</v>
      </c>
      <c r="B2164" s="9">
        <v>11</v>
      </c>
    </row>
    <row r="2165" spans="1:2" x14ac:dyDescent="0.35">
      <c r="A2165" s="91" t="s">
        <v>514</v>
      </c>
      <c r="B2165" s="9">
        <v>3.5</v>
      </c>
    </row>
    <row r="2166" spans="1:2" x14ac:dyDescent="0.35">
      <c r="A2166" s="91" t="s">
        <v>4260</v>
      </c>
      <c r="B2166" s="9">
        <v>19</v>
      </c>
    </row>
    <row r="2167" spans="1:2" x14ac:dyDescent="0.35">
      <c r="A2167" s="91" t="s">
        <v>2018</v>
      </c>
      <c r="B2167" s="9">
        <v>5.6</v>
      </c>
    </row>
    <row r="2168" spans="1:2" x14ac:dyDescent="0.35">
      <c r="A2168" s="91" t="s">
        <v>2316</v>
      </c>
      <c r="B2168" s="9">
        <v>11</v>
      </c>
    </row>
    <row r="2169" spans="1:2" x14ac:dyDescent="0.35">
      <c r="A2169" s="91" t="s">
        <v>4638</v>
      </c>
      <c r="B2169" s="9">
        <v>8.3999999999999986</v>
      </c>
    </row>
    <row r="2170" spans="1:2" x14ac:dyDescent="0.35">
      <c r="A2170" s="91" t="s">
        <v>5093</v>
      </c>
      <c r="B2170" s="9">
        <v>6.6000000000000005</v>
      </c>
    </row>
    <row r="2171" spans="1:2" x14ac:dyDescent="0.35">
      <c r="A2171" s="91" t="s">
        <v>1552</v>
      </c>
      <c r="B2171" s="9">
        <v>11.399999999999999</v>
      </c>
    </row>
    <row r="2172" spans="1:2" x14ac:dyDescent="0.35">
      <c r="A2172" s="91" t="s">
        <v>3967</v>
      </c>
      <c r="B2172" s="9">
        <v>5.6</v>
      </c>
    </row>
    <row r="2173" spans="1:2" x14ac:dyDescent="0.35">
      <c r="A2173" s="91" t="s">
        <v>4231</v>
      </c>
      <c r="B2173" s="9">
        <v>11.399999999999999</v>
      </c>
    </row>
    <row r="2174" spans="1:2" x14ac:dyDescent="0.35">
      <c r="A2174" s="91" t="s">
        <v>5260</v>
      </c>
      <c r="B2174" s="9">
        <v>8.3999999999999986</v>
      </c>
    </row>
    <row r="2175" spans="1:2" x14ac:dyDescent="0.35">
      <c r="A2175" s="91" t="s">
        <v>5447</v>
      </c>
      <c r="B2175" s="9">
        <v>2.5</v>
      </c>
    </row>
    <row r="2176" spans="1:2" x14ac:dyDescent="0.35">
      <c r="A2176" s="91" t="s">
        <v>486</v>
      </c>
      <c r="B2176" s="9">
        <v>11</v>
      </c>
    </row>
    <row r="2177" spans="1:2" x14ac:dyDescent="0.35">
      <c r="A2177" s="91" t="s">
        <v>2038</v>
      </c>
      <c r="B2177" s="9">
        <v>12.5</v>
      </c>
    </row>
    <row r="2178" spans="1:2" x14ac:dyDescent="0.35">
      <c r="A2178" s="91" t="s">
        <v>4409</v>
      </c>
      <c r="B2178" s="9">
        <v>11.2</v>
      </c>
    </row>
    <row r="2179" spans="1:2" x14ac:dyDescent="0.35">
      <c r="A2179" s="91" t="s">
        <v>4847</v>
      </c>
      <c r="B2179" s="9">
        <v>17.5</v>
      </c>
    </row>
    <row r="2180" spans="1:2" x14ac:dyDescent="0.35">
      <c r="A2180" s="91" t="s">
        <v>4280</v>
      </c>
      <c r="B2180" s="9">
        <v>3.8</v>
      </c>
    </row>
    <row r="2181" spans="1:2" x14ac:dyDescent="0.35">
      <c r="A2181" s="91" t="s">
        <v>5235</v>
      </c>
      <c r="B2181" s="9">
        <v>7.6</v>
      </c>
    </row>
    <row r="2182" spans="1:2" x14ac:dyDescent="0.35">
      <c r="A2182" s="91" t="s">
        <v>5393</v>
      </c>
      <c r="B2182" s="9">
        <v>17.5</v>
      </c>
    </row>
    <row r="2183" spans="1:2" x14ac:dyDescent="0.35">
      <c r="A2183" s="91" t="s">
        <v>1858</v>
      </c>
      <c r="B2183" s="9">
        <v>11</v>
      </c>
    </row>
    <row r="2184" spans="1:2" x14ac:dyDescent="0.35">
      <c r="A2184" s="91" t="s">
        <v>3297</v>
      </c>
      <c r="B2184" s="9">
        <v>3.8</v>
      </c>
    </row>
    <row r="2185" spans="1:2" x14ac:dyDescent="0.35">
      <c r="A2185" s="91" t="s">
        <v>738</v>
      </c>
      <c r="B2185" s="9">
        <v>5.6</v>
      </c>
    </row>
    <row r="2186" spans="1:2" x14ac:dyDescent="0.35">
      <c r="A2186" s="91" t="s">
        <v>1478</v>
      </c>
      <c r="B2186" s="9">
        <v>7.6</v>
      </c>
    </row>
    <row r="2187" spans="1:2" x14ac:dyDescent="0.35">
      <c r="A2187" s="91" t="s">
        <v>5951</v>
      </c>
      <c r="B2187" s="9">
        <v>10.5</v>
      </c>
    </row>
    <row r="2188" spans="1:2" x14ac:dyDescent="0.35">
      <c r="A2188" s="91" t="s">
        <v>2221</v>
      </c>
      <c r="B2188" s="9">
        <v>10.5</v>
      </c>
    </row>
    <row r="2189" spans="1:2" x14ac:dyDescent="0.35">
      <c r="A2189" s="91" t="s">
        <v>471</v>
      </c>
      <c r="B2189" s="9">
        <v>11.399999999999999</v>
      </c>
    </row>
    <row r="2190" spans="1:2" x14ac:dyDescent="0.35">
      <c r="A2190" s="91" t="s">
        <v>4391</v>
      </c>
      <c r="B2190" s="9">
        <v>3.8</v>
      </c>
    </row>
    <row r="2191" spans="1:2" x14ac:dyDescent="0.35">
      <c r="A2191" s="91" t="s">
        <v>4508</v>
      </c>
      <c r="B2191" s="9">
        <v>4.4000000000000004</v>
      </c>
    </row>
    <row r="2192" spans="1:2" x14ac:dyDescent="0.35">
      <c r="A2192" s="91" t="s">
        <v>4982</v>
      </c>
      <c r="B2192" s="9">
        <v>2.8</v>
      </c>
    </row>
    <row r="2193" spans="1:2" x14ac:dyDescent="0.35">
      <c r="A2193" s="91" t="s">
        <v>3844</v>
      </c>
      <c r="B2193" s="9">
        <v>10</v>
      </c>
    </row>
    <row r="2194" spans="1:2" x14ac:dyDescent="0.35">
      <c r="A2194" s="91" t="s">
        <v>1671</v>
      </c>
      <c r="B2194" s="9">
        <v>12.5</v>
      </c>
    </row>
    <row r="2195" spans="1:2" x14ac:dyDescent="0.35">
      <c r="A2195" s="91" t="s">
        <v>5839</v>
      </c>
      <c r="B2195" s="9">
        <v>4.4000000000000004</v>
      </c>
    </row>
    <row r="2196" spans="1:2" x14ac:dyDescent="0.35">
      <c r="A2196" s="91" t="s">
        <v>3449</v>
      </c>
      <c r="B2196" s="9">
        <v>3.8</v>
      </c>
    </row>
    <row r="2197" spans="1:2" x14ac:dyDescent="0.35">
      <c r="A2197" s="91" t="s">
        <v>2767</v>
      </c>
      <c r="B2197" s="9">
        <v>14</v>
      </c>
    </row>
    <row r="2198" spans="1:2" x14ac:dyDescent="0.35">
      <c r="A2198" s="91" t="s">
        <v>4953</v>
      </c>
      <c r="B2198" s="9">
        <v>11.2</v>
      </c>
    </row>
    <row r="2199" spans="1:2" x14ac:dyDescent="0.35">
      <c r="A2199" s="91" t="s">
        <v>473</v>
      </c>
      <c r="B2199" s="9">
        <v>10</v>
      </c>
    </row>
    <row r="2200" spans="1:2" x14ac:dyDescent="0.35">
      <c r="A2200" s="91" t="s">
        <v>5840</v>
      </c>
      <c r="B2200" s="9">
        <v>10.5</v>
      </c>
    </row>
    <row r="2201" spans="1:2" x14ac:dyDescent="0.35">
      <c r="A2201" s="91" t="s">
        <v>5632</v>
      </c>
      <c r="B2201" s="9">
        <v>3.5</v>
      </c>
    </row>
    <row r="2202" spans="1:2" x14ac:dyDescent="0.35">
      <c r="A2202" s="91" t="s">
        <v>621</v>
      </c>
      <c r="B2202" s="9">
        <v>10</v>
      </c>
    </row>
    <row r="2203" spans="1:2" x14ac:dyDescent="0.35">
      <c r="A2203" s="91" t="s">
        <v>2901</v>
      </c>
      <c r="B2203" s="9">
        <v>7.5</v>
      </c>
    </row>
    <row r="2204" spans="1:2" x14ac:dyDescent="0.35">
      <c r="A2204" s="91" t="s">
        <v>1572</v>
      </c>
      <c r="B2204" s="9">
        <v>11.2</v>
      </c>
    </row>
    <row r="2205" spans="1:2" x14ac:dyDescent="0.35">
      <c r="A2205" s="91" t="s">
        <v>3845</v>
      </c>
      <c r="B2205" s="9">
        <v>11.2</v>
      </c>
    </row>
    <row r="2206" spans="1:2" x14ac:dyDescent="0.35">
      <c r="A2206" s="91" t="s">
        <v>5788</v>
      </c>
      <c r="B2206" s="9">
        <v>5</v>
      </c>
    </row>
    <row r="2207" spans="1:2" x14ac:dyDescent="0.35">
      <c r="A2207" s="91" t="s">
        <v>4104</v>
      </c>
      <c r="B2207" s="9">
        <v>5.6</v>
      </c>
    </row>
    <row r="2208" spans="1:2" x14ac:dyDescent="0.35">
      <c r="A2208" s="91" t="s">
        <v>2586</v>
      </c>
      <c r="B2208" s="9">
        <v>19</v>
      </c>
    </row>
    <row r="2209" spans="1:2" x14ac:dyDescent="0.35">
      <c r="A2209" s="91" t="s">
        <v>842</v>
      </c>
      <c r="B2209" s="9">
        <v>5.6</v>
      </c>
    </row>
    <row r="2210" spans="1:2" x14ac:dyDescent="0.35">
      <c r="A2210" s="91" t="s">
        <v>792</v>
      </c>
      <c r="B2210" s="9">
        <v>8.8000000000000007</v>
      </c>
    </row>
    <row r="2211" spans="1:2" x14ac:dyDescent="0.35">
      <c r="A2211" s="91" t="s">
        <v>5380</v>
      </c>
      <c r="B2211" s="9">
        <v>7.6</v>
      </c>
    </row>
    <row r="2212" spans="1:2" x14ac:dyDescent="0.35">
      <c r="A2212" s="91" t="s">
        <v>41</v>
      </c>
      <c r="B2212" s="9">
        <v>11.399999999999999</v>
      </c>
    </row>
    <row r="2213" spans="1:2" x14ac:dyDescent="0.35">
      <c r="A2213" s="91" t="s">
        <v>5775</v>
      </c>
      <c r="B2213" s="9">
        <v>2.5</v>
      </c>
    </row>
    <row r="2214" spans="1:2" x14ac:dyDescent="0.35">
      <c r="A2214" s="91" t="s">
        <v>2317</v>
      </c>
      <c r="B2214" s="9">
        <v>14</v>
      </c>
    </row>
    <row r="2215" spans="1:2" x14ac:dyDescent="0.35">
      <c r="A2215" s="91" t="s">
        <v>4968</v>
      </c>
      <c r="B2215" s="9">
        <v>8.3999999999999986</v>
      </c>
    </row>
    <row r="2216" spans="1:2" x14ac:dyDescent="0.35">
      <c r="A2216" s="91" t="s">
        <v>67</v>
      </c>
      <c r="B2216" s="9">
        <v>8.8000000000000007</v>
      </c>
    </row>
    <row r="2217" spans="1:2" x14ac:dyDescent="0.35">
      <c r="A2217" s="91" t="s">
        <v>643</v>
      </c>
      <c r="B2217" s="9">
        <v>5.6</v>
      </c>
    </row>
    <row r="2218" spans="1:2" x14ac:dyDescent="0.35">
      <c r="A2218" s="91" t="s">
        <v>4708</v>
      </c>
      <c r="B2218" s="9">
        <v>11</v>
      </c>
    </row>
    <row r="2219" spans="1:2" x14ac:dyDescent="0.35">
      <c r="A2219" s="91" t="s">
        <v>5461</v>
      </c>
      <c r="B2219" s="9">
        <v>3.8</v>
      </c>
    </row>
    <row r="2220" spans="1:2" x14ac:dyDescent="0.35">
      <c r="A2220" s="91" t="s">
        <v>1126</v>
      </c>
      <c r="B2220" s="9">
        <v>4.4000000000000004</v>
      </c>
    </row>
    <row r="2221" spans="1:2" x14ac:dyDescent="0.35">
      <c r="A2221" s="91" t="s">
        <v>5959</v>
      </c>
      <c r="B2221" s="9">
        <v>7.5</v>
      </c>
    </row>
    <row r="2222" spans="1:2" x14ac:dyDescent="0.35">
      <c r="A2222" s="91" t="s">
        <v>4762</v>
      </c>
      <c r="B2222" s="9">
        <v>2.8</v>
      </c>
    </row>
    <row r="2223" spans="1:2" x14ac:dyDescent="0.35">
      <c r="A2223" s="91" t="s">
        <v>5236</v>
      </c>
      <c r="B2223" s="9">
        <v>12.5</v>
      </c>
    </row>
    <row r="2224" spans="1:2" x14ac:dyDescent="0.35">
      <c r="A2224" s="91" t="s">
        <v>2183</v>
      </c>
      <c r="B2224" s="9">
        <v>8.8000000000000007</v>
      </c>
    </row>
    <row r="2225" spans="1:2" x14ac:dyDescent="0.35">
      <c r="A2225" s="91" t="s">
        <v>5517</v>
      </c>
      <c r="B2225" s="9">
        <v>12.5</v>
      </c>
    </row>
    <row r="2226" spans="1:2" x14ac:dyDescent="0.35">
      <c r="A2226" s="91" t="s">
        <v>2614</v>
      </c>
      <c r="B2226" s="9">
        <v>11</v>
      </c>
    </row>
    <row r="2227" spans="1:2" x14ac:dyDescent="0.35">
      <c r="A2227" s="91" t="s">
        <v>1078</v>
      </c>
      <c r="B2227" s="9">
        <v>14</v>
      </c>
    </row>
    <row r="2228" spans="1:2" x14ac:dyDescent="0.35">
      <c r="A2228" s="91" t="s">
        <v>4655</v>
      </c>
      <c r="B2228" s="9">
        <v>3.8</v>
      </c>
    </row>
    <row r="2229" spans="1:2" x14ac:dyDescent="0.35">
      <c r="A2229" s="91" t="s">
        <v>340</v>
      </c>
      <c r="B2229" s="9">
        <v>11.2</v>
      </c>
    </row>
    <row r="2230" spans="1:2" x14ac:dyDescent="0.35">
      <c r="A2230" s="91" t="s">
        <v>1702</v>
      </c>
      <c r="B2230" s="9">
        <v>11.399999999999999</v>
      </c>
    </row>
    <row r="2231" spans="1:2" x14ac:dyDescent="0.35">
      <c r="A2231" s="91" t="s">
        <v>3595</v>
      </c>
      <c r="B2231" s="9">
        <v>2.8</v>
      </c>
    </row>
    <row r="2232" spans="1:2" x14ac:dyDescent="0.35">
      <c r="A2232" s="91" t="s">
        <v>4160</v>
      </c>
      <c r="B2232" s="9">
        <v>3.8</v>
      </c>
    </row>
    <row r="2233" spans="1:2" x14ac:dyDescent="0.35">
      <c r="A2233" s="91" t="s">
        <v>1304</v>
      </c>
      <c r="B2233" s="9">
        <v>7.5</v>
      </c>
    </row>
    <row r="2234" spans="1:2" x14ac:dyDescent="0.35">
      <c r="A2234" s="91" t="s">
        <v>190</v>
      </c>
      <c r="B2234" s="9">
        <v>11</v>
      </c>
    </row>
    <row r="2235" spans="1:2" x14ac:dyDescent="0.35">
      <c r="A2235" s="91" t="s">
        <v>1554</v>
      </c>
      <c r="B2235" s="9">
        <v>5.6</v>
      </c>
    </row>
    <row r="2236" spans="1:2" x14ac:dyDescent="0.35">
      <c r="A2236" s="91" t="s">
        <v>2476</v>
      </c>
      <c r="B2236" s="9">
        <v>7.5</v>
      </c>
    </row>
    <row r="2237" spans="1:2" x14ac:dyDescent="0.35">
      <c r="A2237" s="91" t="s">
        <v>4699</v>
      </c>
      <c r="B2237" s="9">
        <v>5</v>
      </c>
    </row>
    <row r="2238" spans="1:2" x14ac:dyDescent="0.35">
      <c r="A2238" s="91" t="s">
        <v>4756</v>
      </c>
      <c r="B2238" s="9">
        <v>3.5</v>
      </c>
    </row>
    <row r="2239" spans="1:2" x14ac:dyDescent="0.35">
      <c r="A2239" s="91" t="s">
        <v>5489</v>
      </c>
      <c r="B2239" s="9">
        <v>17.5</v>
      </c>
    </row>
    <row r="2240" spans="1:2" x14ac:dyDescent="0.35">
      <c r="A2240" s="91" t="s">
        <v>1817</v>
      </c>
      <c r="B2240" s="9">
        <v>5.6</v>
      </c>
    </row>
    <row r="2241" spans="1:2" x14ac:dyDescent="0.35">
      <c r="A2241" s="91" t="s">
        <v>5021</v>
      </c>
      <c r="B2241" s="9">
        <v>19</v>
      </c>
    </row>
    <row r="2242" spans="1:2" x14ac:dyDescent="0.35">
      <c r="A2242" s="91" t="s">
        <v>2039</v>
      </c>
      <c r="B2242" s="9">
        <v>11.2</v>
      </c>
    </row>
    <row r="2243" spans="1:2" x14ac:dyDescent="0.35">
      <c r="A2243" s="91" t="s">
        <v>4105</v>
      </c>
      <c r="B2243" s="9">
        <v>11.399999999999999</v>
      </c>
    </row>
    <row r="2244" spans="1:2" x14ac:dyDescent="0.35">
      <c r="A2244" s="91" t="s">
        <v>3719</v>
      </c>
      <c r="B2244" s="9">
        <v>2.2000000000000002</v>
      </c>
    </row>
    <row r="2245" spans="1:2" x14ac:dyDescent="0.35">
      <c r="A2245" s="91" t="s">
        <v>2501</v>
      </c>
      <c r="B2245" s="9">
        <v>8.8000000000000007</v>
      </c>
    </row>
    <row r="2246" spans="1:2" x14ac:dyDescent="0.35">
      <c r="A2246" s="91" t="s">
        <v>5614</v>
      </c>
      <c r="B2246" s="9">
        <v>6.6000000000000005</v>
      </c>
    </row>
    <row r="2247" spans="1:2" x14ac:dyDescent="0.35">
      <c r="A2247" s="91" t="s">
        <v>1147</v>
      </c>
      <c r="B2247" s="9">
        <v>3.8</v>
      </c>
    </row>
    <row r="2248" spans="1:2" x14ac:dyDescent="0.35">
      <c r="A2248" s="91" t="s">
        <v>3631</v>
      </c>
      <c r="B2248" s="9">
        <v>12.5</v>
      </c>
    </row>
    <row r="2249" spans="1:2" x14ac:dyDescent="0.35">
      <c r="A2249" s="91" t="s">
        <v>391</v>
      </c>
      <c r="B2249" s="9">
        <v>12.5</v>
      </c>
    </row>
    <row r="2250" spans="1:2" x14ac:dyDescent="0.35">
      <c r="A2250" s="91" t="s">
        <v>3045</v>
      </c>
      <c r="B2250" s="9">
        <v>14</v>
      </c>
    </row>
    <row r="2251" spans="1:2" x14ac:dyDescent="0.35">
      <c r="A2251" s="91" t="s">
        <v>1377</v>
      </c>
      <c r="B2251" s="9">
        <v>6.6000000000000005</v>
      </c>
    </row>
    <row r="2252" spans="1:2" x14ac:dyDescent="0.35">
      <c r="A2252" s="91" t="s">
        <v>4519</v>
      </c>
      <c r="B2252" s="9">
        <v>14</v>
      </c>
    </row>
    <row r="2253" spans="1:2" x14ac:dyDescent="0.35">
      <c r="A2253" s="91" t="s">
        <v>5137</v>
      </c>
      <c r="B2253" s="9">
        <v>5.6</v>
      </c>
    </row>
    <row r="2254" spans="1:2" x14ac:dyDescent="0.35">
      <c r="A2254" s="91" t="s">
        <v>2113</v>
      </c>
      <c r="B2254" s="9">
        <v>3.8</v>
      </c>
    </row>
    <row r="2255" spans="1:2" x14ac:dyDescent="0.35">
      <c r="A2255" s="91" t="s">
        <v>3720</v>
      </c>
      <c r="B2255" s="9">
        <v>5.6</v>
      </c>
    </row>
    <row r="2256" spans="1:2" x14ac:dyDescent="0.35">
      <c r="A2256" s="91" t="s">
        <v>4775</v>
      </c>
      <c r="B2256" s="9">
        <v>8.3999999999999986</v>
      </c>
    </row>
    <row r="2257" spans="1:2" x14ac:dyDescent="0.35">
      <c r="A2257" s="91" t="s">
        <v>3618</v>
      </c>
      <c r="B2257" s="9">
        <v>11</v>
      </c>
    </row>
    <row r="2258" spans="1:2" x14ac:dyDescent="0.35">
      <c r="A2258" s="91" t="s">
        <v>3672</v>
      </c>
      <c r="B2258" s="9">
        <v>5</v>
      </c>
    </row>
    <row r="2259" spans="1:2" x14ac:dyDescent="0.35">
      <c r="A2259" s="91" t="s">
        <v>5502</v>
      </c>
      <c r="B2259" s="9">
        <v>8.3999999999999986</v>
      </c>
    </row>
    <row r="2260" spans="1:2" x14ac:dyDescent="0.35">
      <c r="A2260" s="91" t="s">
        <v>5426</v>
      </c>
      <c r="B2260" s="9">
        <v>2.8</v>
      </c>
    </row>
    <row r="2261" spans="1:2" x14ac:dyDescent="0.35">
      <c r="A2261" s="91" t="s">
        <v>4776</v>
      </c>
      <c r="B2261" s="9">
        <v>8.8000000000000007</v>
      </c>
    </row>
    <row r="2262" spans="1:2" x14ac:dyDescent="0.35">
      <c r="A2262" s="91" t="s">
        <v>4915</v>
      </c>
      <c r="B2262" s="9">
        <v>8.3999999999999986</v>
      </c>
    </row>
    <row r="2263" spans="1:2" x14ac:dyDescent="0.35">
      <c r="A2263" s="91" t="s">
        <v>1204</v>
      </c>
      <c r="B2263" s="9">
        <v>7.6</v>
      </c>
    </row>
    <row r="2264" spans="1:2" x14ac:dyDescent="0.35">
      <c r="A2264" s="91" t="s">
        <v>5900</v>
      </c>
      <c r="B2264" s="9">
        <v>8.3999999999999986</v>
      </c>
    </row>
    <row r="2265" spans="1:2" x14ac:dyDescent="0.35">
      <c r="A2265" s="91" t="s">
        <v>4891</v>
      </c>
      <c r="B2265" s="9">
        <v>14</v>
      </c>
    </row>
    <row r="2266" spans="1:2" x14ac:dyDescent="0.35">
      <c r="A2266" s="91" t="s">
        <v>4797</v>
      </c>
      <c r="B2266" s="9">
        <v>7.5</v>
      </c>
    </row>
    <row r="2267" spans="1:2" x14ac:dyDescent="0.35">
      <c r="A2267" s="91" t="s">
        <v>5237</v>
      </c>
      <c r="B2267" s="9">
        <v>11</v>
      </c>
    </row>
    <row r="2268" spans="1:2" x14ac:dyDescent="0.35">
      <c r="A2268" s="91" t="s">
        <v>3064</v>
      </c>
      <c r="B2268" s="9">
        <v>11</v>
      </c>
    </row>
    <row r="2269" spans="1:2" x14ac:dyDescent="0.35">
      <c r="A2269" s="91" t="s">
        <v>1967</v>
      </c>
      <c r="B2269" s="9">
        <v>2.2000000000000002</v>
      </c>
    </row>
    <row r="2270" spans="1:2" x14ac:dyDescent="0.35">
      <c r="A2270" s="91" t="s">
        <v>3230</v>
      </c>
      <c r="B2270" s="9">
        <v>8.3999999999999986</v>
      </c>
    </row>
    <row r="2271" spans="1:2" x14ac:dyDescent="0.35">
      <c r="A2271" s="91" t="s">
        <v>3551</v>
      </c>
      <c r="B2271" s="9">
        <v>7</v>
      </c>
    </row>
    <row r="2272" spans="1:2" x14ac:dyDescent="0.35">
      <c r="A2272" s="91" t="s">
        <v>3171</v>
      </c>
      <c r="B2272" s="9">
        <v>10.5</v>
      </c>
    </row>
    <row r="2273" spans="1:2" x14ac:dyDescent="0.35">
      <c r="A2273" s="91" t="s">
        <v>5776</v>
      </c>
      <c r="B2273" s="9">
        <v>6.6000000000000005</v>
      </c>
    </row>
    <row r="2274" spans="1:2" x14ac:dyDescent="0.35">
      <c r="A2274" s="91" t="s">
        <v>2554</v>
      </c>
      <c r="B2274" s="9">
        <v>10.5</v>
      </c>
    </row>
    <row r="2275" spans="1:2" x14ac:dyDescent="0.35">
      <c r="A2275" s="91" t="s">
        <v>740</v>
      </c>
      <c r="B2275" s="9">
        <v>8.3999999999999986</v>
      </c>
    </row>
    <row r="2276" spans="1:2" x14ac:dyDescent="0.35">
      <c r="A2276" s="91" t="s">
        <v>5055</v>
      </c>
      <c r="B2276" s="9">
        <v>2.5</v>
      </c>
    </row>
    <row r="2277" spans="1:2" x14ac:dyDescent="0.35">
      <c r="A2277" s="91" t="s">
        <v>4058</v>
      </c>
      <c r="B2277" s="9">
        <v>7</v>
      </c>
    </row>
    <row r="2278" spans="1:2" x14ac:dyDescent="0.35">
      <c r="A2278" s="91" t="s">
        <v>3450</v>
      </c>
      <c r="B2278" s="9">
        <v>2.2000000000000002</v>
      </c>
    </row>
    <row r="2279" spans="1:2" x14ac:dyDescent="0.35">
      <c r="A2279" s="91" t="s">
        <v>5532</v>
      </c>
      <c r="B2279" s="9">
        <v>3.8</v>
      </c>
    </row>
    <row r="2280" spans="1:2" x14ac:dyDescent="0.35">
      <c r="A2280" s="91" t="s">
        <v>4639</v>
      </c>
      <c r="B2280" s="9">
        <v>3.5</v>
      </c>
    </row>
    <row r="2281" spans="1:2" x14ac:dyDescent="0.35">
      <c r="A2281" s="91" t="s">
        <v>5929</v>
      </c>
      <c r="B2281" s="9">
        <v>15.2</v>
      </c>
    </row>
    <row r="2282" spans="1:2" x14ac:dyDescent="0.35">
      <c r="A2282" s="91" t="s">
        <v>5435</v>
      </c>
      <c r="B2282" s="9">
        <v>11</v>
      </c>
    </row>
    <row r="2283" spans="1:2" x14ac:dyDescent="0.35">
      <c r="A2283" s="91" t="s">
        <v>706</v>
      </c>
      <c r="B2283" s="9">
        <v>11</v>
      </c>
    </row>
    <row r="2284" spans="1:2" x14ac:dyDescent="0.35">
      <c r="A2284" s="91" t="s">
        <v>5238</v>
      </c>
      <c r="B2284" s="9">
        <v>8.8000000000000007</v>
      </c>
    </row>
    <row r="2285" spans="1:2" x14ac:dyDescent="0.35">
      <c r="A2285" s="91" t="s">
        <v>6010</v>
      </c>
      <c r="B2285" s="9">
        <v>11.399999999999999</v>
      </c>
    </row>
    <row r="2286" spans="1:2" x14ac:dyDescent="0.35">
      <c r="A2286" s="91" t="s">
        <v>3151</v>
      </c>
      <c r="B2286" s="9">
        <v>3.5</v>
      </c>
    </row>
    <row r="2287" spans="1:2" x14ac:dyDescent="0.35">
      <c r="A2287" s="91" t="s">
        <v>3946</v>
      </c>
      <c r="B2287" s="9">
        <v>3.8</v>
      </c>
    </row>
    <row r="2288" spans="1:2" x14ac:dyDescent="0.35">
      <c r="A2288" s="91" t="s">
        <v>3552</v>
      </c>
      <c r="B2288" s="9">
        <v>2.8</v>
      </c>
    </row>
    <row r="2289" spans="1:2" x14ac:dyDescent="0.35">
      <c r="A2289" s="91" t="s">
        <v>5044</v>
      </c>
      <c r="B2289" s="9">
        <v>2.5</v>
      </c>
    </row>
    <row r="2290" spans="1:2" x14ac:dyDescent="0.35">
      <c r="A2290" s="91" t="s">
        <v>1148</v>
      </c>
      <c r="B2290" s="9">
        <v>2.2000000000000002</v>
      </c>
    </row>
    <row r="2291" spans="1:2" x14ac:dyDescent="0.35">
      <c r="A2291" s="91" t="s">
        <v>3776</v>
      </c>
      <c r="B2291" s="9">
        <v>8.3999999999999986</v>
      </c>
    </row>
    <row r="2292" spans="1:2" x14ac:dyDescent="0.35">
      <c r="A2292" s="91" t="s">
        <v>516</v>
      </c>
      <c r="B2292" s="9">
        <v>3.8</v>
      </c>
    </row>
    <row r="2293" spans="1:2" x14ac:dyDescent="0.35">
      <c r="A2293" s="91" t="s">
        <v>1704</v>
      </c>
      <c r="B2293" s="9">
        <v>2.5</v>
      </c>
    </row>
    <row r="2294" spans="1:2" x14ac:dyDescent="0.35">
      <c r="A2294" s="91" t="s">
        <v>4211</v>
      </c>
      <c r="B2294" s="9">
        <v>19</v>
      </c>
    </row>
    <row r="2295" spans="1:2" x14ac:dyDescent="0.35">
      <c r="A2295" s="91" t="s">
        <v>5503</v>
      </c>
      <c r="B2295" s="9">
        <v>2.2000000000000002</v>
      </c>
    </row>
    <row r="2296" spans="1:2" x14ac:dyDescent="0.35">
      <c r="A2296" s="91" t="s">
        <v>3883</v>
      </c>
      <c r="B2296" s="9">
        <v>10</v>
      </c>
    </row>
    <row r="2297" spans="1:2" x14ac:dyDescent="0.35">
      <c r="A2297" s="91" t="s">
        <v>4447</v>
      </c>
      <c r="B2297" s="9">
        <v>12.5</v>
      </c>
    </row>
    <row r="2298" spans="1:2" x14ac:dyDescent="0.35">
      <c r="A2298" s="91" t="s">
        <v>5671</v>
      </c>
      <c r="B2298" s="9">
        <v>7.5</v>
      </c>
    </row>
    <row r="2299" spans="1:2" x14ac:dyDescent="0.35">
      <c r="A2299" s="91" t="s">
        <v>4923</v>
      </c>
      <c r="B2299" s="9">
        <v>10</v>
      </c>
    </row>
    <row r="2300" spans="1:2" x14ac:dyDescent="0.35">
      <c r="A2300" s="91" t="s">
        <v>160</v>
      </c>
      <c r="B2300" s="9">
        <v>6.6000000000000005</v>
      </c>
    </row>
    <row r="2301" spans="1:2" x14ac:dyDescent="0.35">
      <c r="A2301" s="91" t="s">
        <v>3816</v>
      </c>
      <c r="B2301" s="9">
        <v>7.6</v>
      </c>
    </row>
    <row r="2302" spans="1:2" x14ac:dyDescent="0.35">
      <c r="A2302" s="91" t="s">
        <v>2477</v>
      </c>
      <c r="B2302" s="9">
        <v>8.8000000000000007</v>
      </c>
    </row>
    <row r="2303" spans="1:2" x14ac:dyDescent="0.35">
      <c r="A2303" s="91" t="s">
        <v>993</v>
      </c>
      <c r="B2303" s="9">
        <v>6.6000000000000005</v>
      </c>
    </row>
    <row r="2304" spans="1:2" x14ac:dyDescent="0.35">
      <c r="A2304" s="91" t="s">
        <v>4995</v>
      </c>
      <c r="B2304" s="9">
        <v>10.5</v>
      </c>
    </row>
    <row r="2305" spans="1:2" x14ac:dyDescent="0.35">
      <c r="A2305" s="91" t="s">
        <v>5323</v>
      </c>
      <c r="B2305" s="9">
        <v>7</v>
      </c>
    </row>
    <row r="2306" spans="1:2" x14ac:dyDescent="0.35">
      <c r="A2306" s="91" t="s">
        <v>5408</v>
      </c>
      <c r="B2306" s="9">
        <v>17.5</v>
      </c>
    </row>
    <row r="2307" spans="1:2" x14ac:dyDescent="0.35">
      <c r="A2307" s="91" t="s">
        <v>1574</v>
      </c>
      <c r="B2307" s="9">
        <v>11</v>
      </c>
    </row>
    <row r="2308" spans="1:2" x14ac:dyDescent="0.35">
      <c r="A2308" s="91" t="s">
        <v>4996</v>
      </c>
      <c r="B2308" s="9">
        <v>5</v>
      </c>
    </row>
    <row r="2309" spans="1:2" x14ac:dyDescent="0.35">
      <c r="A2309" s="91" t="s">
        <v>3402</v>
      </c>
      <c r="B2309" s="9">
        <v>12.5</v>
      </c>
    </row>
    <row r="2310" spans="1:2" x14ac:dyDescent="0.35">
      <c r="A2310" s="91" t="s">
        <v>5022</v>
      </c>
      <c r="B2310" s="9">
        <v>12.5</v>
      </c>
    </row>
    <row r="2311" spans="1:2" x14ac:dyDescent="0.35">
      <c r="A2311" s="91" t="s">
        <v>707</v>
      </c>
      <c r="B2311" s="9">
        <v>11.2</v>
      </c>
    </row>
    <row r="2312" spans="1:2" x14ac:dyDescent="0.35">
      <c r="A2312" s="91" t="s">
        <v>5094</v>
      </c>
      <c r="B2312" s="9">
        <v>3.8</v>
      </c>
    </row>
    <row r="2313" spans="1:2" x14ac:dyDescent="0.35">
      <c r="A2313" s="91" t="s">
        <v>4071</v>
      </c>
      <c r="B2313" s="9">
        <v>19</v>
      </c>
    </row>
    <row r="2314" spans="1:2" x14ac:dyDescent="0.35">
      <c r="A2314" s="91" t="s">
        <v>2408</v>
      </c>
      <c r="B2314" s="9">
        <v>11.399999999999999</v>
      </c>
    </row>
    <row r="2315" spans="1:2" x14ac:dyDescent="0.35">
      <c r="A2315" s="91" t="s">
        <v>92</v>
      </c>
      <c r="B2315" s="9">
        <v>8.3999999999999986</v>
      </c>
    </row>
    <row r="2316" spans="1:2" x14ac:dyDescent="0.35">
      <c r="A2316" s="91" t="s">
        <v>3985</v>
      </c>
      <c r="B2316" s="9">
        <v>5</v>
      </c>
    </row>
    <row r="2317" spans="1:2" x14ac:dyDescent="0.35">
      <c r="A2317" s="91" t="s">
        <v>2944</v>
      </c>
      <c r="B2317" s="9">
        <v>11.2</v>
      </c>
    </row>
    <row r="2318" spans="1:2" x14ac:dyDescent="0.35">
      <c r="A2318" s="91" t="s">
        <v>5633</v>
      </c>
      <c r="B2318" s="9">
        <v>11</v>
      </c>
    </row>
    <row r="2319" spans="1:2" x14ac:dyDescent="0.35">
      <c r="A2319" s="91" t="s">
        <v>5615</v>
      </c>
      <c r="B2319" s="9">
        <v>11.399999999999999</v>
      </c>
    </row>
    <row r="2320" spans="1:2" x14ac:dyDescent="0.35">
      <c r="A2320" s="91" t="s">
        <v>4872</v>
      </c>
      <c r="B2320" s="9">
        <v>8.3999999999999986</v>
      </c>
    </row>
    <row r="2321" spans="1:2" x14ac:dyDescent="0.35">
      <c r="A2321" s="91" t="s">
        <v>3619</v>
      </c>
      <c r="B2321" s="9">
        <v>3.5</v>
      </c>
    </row>
    <row r="2322" spans="1:2" x14ac:dyDescent="0.35">
      <c r="A2322" s="91" t="s">
        <v>5504</v>
      </c>
      <c r="B2322" s="9">
        <v>10.5</v>
      </c>
    </row>
    <row r="2323" spans="1:2" x14ac:dyDescent="0.35">
      <c r="A2323" s="91" t="s">
        <v>2687</v>
      </c>
      <c r="B2323" s="9">
        <v>3.8</v>
      </c>
    </row>
    <row r="2324" spans="1:2" x14ac:dyDescent="0.35">
      <c r="A2324" s="91" t="s">
        <v>4367</v>
      </c>
      <c r="B2324" s="9">
        <v>2.8</v>
      </c>
    </row>
    <row r="2325" spans="1:2" x14ac:dyDescent="0.35">
      <c r="A2325" s="91" t="s">
        <v>4826</v>
      </c>
      <c r="B2325" s="9">
        <v>14</v>
      </c>
    </row>
    <row r="2326" spans="1:2" x14ac:dyDescent="0.35">
      <c r="A2326" s="91" t="s">
        <v>3002</v>
      </c>
      <c r="B2326" s="9">
        <v>7</v>
      </c>
    </row>
    <row r="2327" spans="1:2" x14ac:dyDescent="0.35">
      <c r="A2327" s="91" t="s">
        <v>4892</v>
      </c>
      <c r="B2327" s="9">
        <v>19</v>
      </c>
    </row>
    <row r="2328" spans="1:2" x14ac:dyDescent="0.35">
      <c r="A2328" s="91" t="s">
        <v>3846</v>
      </c>
      <c r="B2328" s="9">
        <v>11.399999999999999</v>
      </c>
    </row>
    <row r="2329" spans="1:2" x14ac:dyDescent="0.35">
      <c r="A2329" s="91" t="s">
        <v>498</v>
      </c>
      <c r="B2329" s="9">
        <v>7.5</v>
      </c>
    </row>
    <row r="2330" spans="1:2" x14ac:dyDescent="0.35">
      <c r="A2330" s="91" t="s">
        <v>264</v>
      </c>
      <c r="B2330" s="9">
        <v>7.5</v>
      </c>
    </row>
    <row r="2331" spans="1:2" x14ac:dyDescent="0.35">
      <c r="A2331" s="91" t="s">
        <v>2887</v>
      </c>
      <c r="B2331" s="9">
        <v>10</v>
      </c>
    </row>
    <row r="2332" spans="1:2" x14ac:dyDescent="0.35">
      <c r="A2332" s="91" t="s">
        <v>5867</v>
      </c>
      <c r="B2332" s="9">
        <v>11.399999999999999</v>
      </c>
    </row>
    <row r="2333" spans="1:2" x14ac:dyDescent="0.35">
      <c r="A2333" s="91" t="s">
        <v>4392</v>
      </c>
      <c r="B2333" s="9">
        <v>7</v>
      </c>
    </row>
    <row r="2334" spans="1:2" x14ac:dyDescent="0.35">
      <c r="A2334" s="91" t="s">
        <v>766</v>
      </c>
      <c r="B2334" s="9">
        <v>10</v>
      </c>
    </row>
    <row r="2335" spans="1:2" x14ac:dyDescent="0.35">
      <c r="A2335" s="91" t="s">
        <v>1901</v>
      </c>
      <c r="B2335" s="9">
        <v>14</v>
      </c>
    </row>
    <row r="2336" spans="1:2" x14ac:dyDescent="0.35">
      <c r="A2336" s="91" t="s">
        <v>5279</v>
      </c>
      <c r="B2336" s="9">
        <v>2.5</v>
      </c>
    </row>
    <row r="2337" spans="1:2" x14ac:dyDescent="0.35">
      <c r="A2337" s="91" t="s">
        <v>3947</v>
      </c>
      <c r="B2337" s="9">
        <v>19</v>
      </c>
    </row>
    <row r="2338" spans="1:2" x14ac:dyDescent="0.35">
      <c r="A2338" s="91" t="s">
        <v>599</v>
      </c>
      <c r="B2338" s="9">
        <v>7</v>
      </c>
    </row>
    <row r="2339" spans="1:2" x14ac:dyDescent="0.35">
      <c r="A2339" s="91" t="s">
        <v>3387</v>
      </c>
      <c r="B2339" s="9">
        <v>14</v>
      </c>
    </row>
    <row r="2340" spans="1:2" x14ac:dyDescent="0.35">
      <c r="A2340" s="91" t="s">
        <v>3920</v>
      </c>
      <c r="B2340" s="9">
        <v>2.5</v>
      </c>
    </row>
    <row r="2341" spans="1:2" x14ac:dyDescent="0.35">
      <c r="A2341" s="91" t="s">
        <v>4954</v>
      </c>
      <c r="B2341" s="9">
        <v>7.6</v>
      </c>
    </row>
    <row r="2342" spans="1:2" x14ac:dyDescent="0.35">
      <c r="A2342" s="91" t="s">
        <v>5394</v>
      </c>
      <c r="B2342" s="9">
        <v>14</v>
      </c>
    </row>
    <row r="2343" spans="1:2" x14ac:dyDescent="0.35">
      <c r="A2343" s="91" t="s">
        <v>438</v>
      </c>
      <c r="B2343" s="9">
        <v>7</v>
      </c>
    </row>
    <row r="2344" spans="1:2" x14ac:dyDescent="0.35">
      <c r="A2344" s="91" t="s">
        <v>3847</v>
      </c>
      <c r="B2344" s="9">
        <v>8.8000000000000007</v>
      </c>
    </row>
    <row r="2345" spans="1:2" x14ac:dyDescent="0.35">
      <c r="A2345" s="91" t="s">
        <v>5868</v>
      </c>
      <c r="B2345" s="9">
        <v>10</v>
      </c>
    </row>
    <row r="2346" spans="1:2" x14ac:dyDescent="0.35">
      <c r="A2346" s="91" t="s">
        <v>5239</v>
      </c>
      <c r="B2346" s="9">
        <v>15.2</v>
      </c>
    </row>
    <row r="2347" spans="1:2" x14ac:dyDescent="0.35">
      <c r="A2347" s="91" t="s">
        <v>3596</v>
      </c>
      <c r="B2347" s="9">
        <v>5.6</v>
      </c>
    </row>
    <row r="2348" spans="1:2" x14ac:dyDescent="0.35">
      <c r="A2348" s="91" t="s">
        <v>2092</v>
      </c>
      <c r="B2348" s="9">
        <v>3.5</v>
      </c>
    </row>
    <row r="2349" spans="1:2" x14ac:dyDescent="0.35">
      <c r="A2349" s="91" t="s">
        <v>3314</v>
      </c>
      <c r="B2349" s="9">
        <v>2.2000000000000002</v>
      </c>
    </row>
    <row r="2350" spans="1:2" x14ac:dyDescent="0.35">
      <c r="A2350" s="91" t="s">
        <v>3354</v>
      </c>
      <c r="B2350" s="9">
        <v>11.2</v>
      </c>
    </row>
    <row r="2351" spans="1:2" x14ac:dyDescent="0.35">
      <c r="A2351" s="91" t="s">
        <v>4520</v>
      </c>
      <c r="B2351" s="9">
        <v>7.6</v>
      </c>
    </row>
    <row r="2352" spans="1:2" x14ac:dyDescent="0.35">
      <c r="A2352" s="91" t="s">
        <v>2008</v>
      </c>
      <c r="B2352" s="9">
        <v>8.3999999999999986</v>
      </c>
    </row>
    <row r="2353" spans="1:2" x14ac:dyDescent="0.35">
      <c r="A2353" s="91" t="s">
        <v>1178</v>
      </c>
      <c r="B2353" s="9">
        <v>3.5</v>
      </c>
    </row>
    <row r="2354" spans="1:2" x14ac:dyDescent="0.35">
      <c r="A2354" s="91" t="s">
        <v>2768</v>
      </c>
      <c r="B2354" s="9">
        <v>12.5</v>
      </c>
    </row>
    <row r="2355" spans="1:2" x14ac:dyDescent="0.35">
      <c r="A2355" s="91" t="s">
        <v>1016</v>
      </c>
      <c r="B2355" s="9">
        <v>10.5</v>
      </c>
    </row>
    <row r="2356" spans="1:2" x14ac:dyDescent="0.35">
      <c r="A2356" s="91" t="s">
        <v>94</v>
      </c>
      <c r="B2356" s="9">
        <v>5.6</v>
      </c>
    </row>
    <row r="2357" spans="1:2" x14ac:dyDescent="0.35">
      <c r="A2357" s="91" t="s">
        <v>3969</v>
      </c>
      <c r="B2357" s="9">
        <v>11.399999999999999</v>
      </c>
    </row>
    <row r="2358" spans="1:2" x14ac:dyDescent="0.35">
      <c r="A2358" s="91" t="s">
        <v>4448</v>
      </c>
      <c r="B2358" s="9">
        <v>2.2000000000000002</v>
      </c>
    </row>
    <row r="2359" spans="1:2" x14ac:dyDescent="0.35">
      <c r="A2359" s="91" t="s">
        <v>5348</v>
      </c>
      <c r="B2359" s="9">
        <v>5.6</v>
      </c>
    </row>
    <row r="2360" spans="1:2" x14ac:dyDescent="0.35">
      <c r="A2360" s="91" t="s">
        <v>1859</v>
      </c>
      <c r="B2360" s="9">
        <v>5.6</v>
      </c>
    </row>
    <row r="2361" spans="1:2" x14ac:dyDescent="0.35">
      <c r="A2361" s="91" t="s">
        <v>5349</v>
      </c>
      <c r="B2361" s="9">
        <v>7.6</v>
      </c>
    </row>
    <row r="2362" spans="1:2" x14ac:dyDescent="0.35">
      <c r="A2362" s="91" t="s">
        <v>911</v>
      </c>
      <c r="B2362" s="9">
        <v>2.2000000000000002</v>
      </c>
    </row>
    <row r="2363" spans="1:2" x14ac:dyDescent="0.35">
      <c r="A2363" s="91" t="s">
        <v>5197</v>
      </c>
      <c r="B2363" s="9">
        <v>8.3999999999999986</v>
      </c>
    </row>
    <row r="2364" spans="1:2" x14ac:dyDescent="0.35">
      <c r="A2364" s="91" t="s">
        <v>4261</v>
      </c>
      <c r="B2364" s="9">
        <v>7.6</v>
      </c>
    </row>
    <row r="2365" spans="1:2" x14ac:dyDescent="0.35">
      <c r="A2365" s="91" t="s">
        <v>4521</v>
      </c>
      <c r="B2365" s="9">
        <v>10</v>
      </c>
    </row>
    <row r="2366" spans="1:2" x14ac:dyDescent="0.35">
      <c r="A2366" s="91" t="s">
        <v>4368</v>
      </c>
      <c r="B2366" s="9">
        <v>2.5</v>
      </c>
    </row>
    <row r="2367" spans="1:2" x14ac:dyDescent="0.35">
      <c r="A2367" s="91" t="s">
        <v>843</v>
      </c>
      <c r="B2367" s="9">
        <v>6.6000000000000005</v>
      </c>
    </row>
    <row r="2368" spans="1:2" x14ac:dyDescent="0.35">
      <c r="A2368" s="91" t="s">
        <v>4173</v>
      </c>
      <c r="B2368" s="9">
        <v>7</v>
      </c>
    </row>
    <row r="2369" spans="1:2" x14ac:dyDescent="0.35">
      <c r="A2369" s="91" t="s">
        <v>1150</v>
      </c>
      <c r="B2369" s="9">
        <v>14</v>
      </c>
    </row>
    <row r="2370" spans="1:2" x14ac:dyDescent="0.35">
      <c r="A2370" s="91" t="s">
        <v>1306</v>
      </c>
      <c r="B2370" s="9">
        <v>8.8000000000000007</v>
      </c>
    </row>
    <row r="2371" spans="1:2" x14ac:dyDescent="0.35">
      <c r="A2371" s="91" t="s">
        <v>3315</v>
      </c>
      <c r="B2371" s="9">
        <v>10</v>
      </c>
    </row>
    <row r="2372" spans="1:2" x14ac:dyDescent="0.35">
      <c r="A2372" s="91" t="s">
        <v>4777</v>
      </c>
      <c r="B2372" s="9">
        <v>15.2</v>
      </c>
    </row>
    <row r="2373" spans="1:2" x14ac:dyDescent="0.35">
      <c r="A2373" s="91" t="s">
        <v>5869</v>
      </c>
      <c r="B2373" s="9">
        <v>11.399999999999999</v>
      </c>
    </row>
    <row r="2374" spans="1:2" x14ac:dyDescent="0.35">
      <c r="A2374" s="91" t="s">
        <v>3336</v>
      </c>
      <c r="B2374" s="9">
        <v>2.2000000000000002</v>
      </c>
    </row>
    <row r="2375" spans="1:2" x14ac:dyDescent="0.35">
      <c r="A2375" s="91" t="s">
        <v>3653</v>
      </c>
      <c r="B2375" s="9">
        <v>17.5</v>
      </c>
    </row>
    <row r="2376" spans="1:2" x14ac:dyDescent="0.35">
      <c r="A2376" s="91" t="s">
        <v>1818</v>
      </c>
      <c r="B2376" s="9">
        <v>3.5</v>
      </c>
    </row>
    <row r="2377" spans="1:2" x14ac:dyDescent="0.35">
      <c r="A2377" s="91" t="s">
        <v>1991</v>
      </c>
      <c r="B2377" s="9">
        <v>5.6</v>
      </c>
    </row>
    <row r="2378" spans="1:2" x14ac:dyDescent="0.35">
      <c r="A2378" s="91" t="s">
        <v>1927</v>
      </c>
      <c r="B2378" s="9">
        <v>6.6000000000000005</v>
      </c>
    </row>
    <row r="2379" spans="1:2" x14ac:dyDescent="0.35">
      <c r="A2379" s="91" t="s">
        <v>4550</v>
      </c>
      <c r="B2379" s="9">
        <v>11.399999999999999</v>
      </c>
    </row>
    <row r="2380" spans="1:2" x14ac:dyDescent="0.35">
      <c r="A2380" s="91" t="s">
        <v>4072</v>
      </c>
      <c r="B2380" s="9">
        <v>5.6</v>
      </c>
    </row>
    <row r="2381" spans="1:2" x14ac:dyDescent="0.35">
      <c r="A2381" s="91" t="s">
        <v>4763</v>
      </c>
      <c r="B2381" s="9">
        <v>4.4000000000000004</v>
      </c>
    </row>
    <row r="2382" spans="1:2" x14ac:dyDescent="0.35">
      <c r="A2382" s="91" t="s">
        <v>4605</v>
      </c>
      <c r="B2382" s="9">
        <v>2.2000000000000002</v>
      </c>
    </row>
    <row r="2383" spans="1:2" x14ac:dyDescent="0.35">
      <c r="A2383" s="91" t="s">
        <v>4640</v>
      </c>
      <c r="B2383" s="9">
        <v>2.2000000000000002</v>
      </c>
    </row>
    <row r="2384" spans="1:2" x14ac:dyDescent="0.35">
      <c r="A2384" s="91" t="s">
        <v>4300</v>
      </c>
      <c r="B2384" s="9">
        <v>3.8</v>
      </c>
    </row>
    <row r="2385" spans="1:2" x14ac:dyDescent="0.35">
      <c r="A2385" s="91" t="s">
        <v>742</v>
      </c>
      <c r="B2385" s="9">
        <v>8.3999999999999986</v>
      </c>
    </row>
    <row r="2386" spans="1:2" x14ac:dyDescent="0.35">
      <c r="A2386" s="91" t="s">
        <v>3152</v>
      </c>
      <c r="B2386" s="9">
        <v>3.8</v>
      </c>
    </row>
    <row r="2387" spans="1:2" x14ac:dyDescent="0.35">
      <c r="A2387" s="91" t="s">
        <v>5854</v>
      </c>
      <c r="B2387" s="9">
        <v>4.4000000000000004</v>
      </c>
    </row>
    <row r="2388" spans="1:2" x14ac:dyDescent="0.35">
      <c r="A2388" s="91" t="s">
        <v>3126</v>
      </c>
      <c r="B2388" s="9">
        <v>11.2</v>
      </c>
    </row>
    <row r="2389" spans="1:2" x14ac:dyDescent="0.35">
      <c r="A2389" s="91" t="s">
        <v>5581</v>
      </c>
      <c r="B2389" s="9">
        <v>12.5</v>
      </c>
    </row>
    <row r="2390" spans="1:2" x14ac:dyDescent="0.35">
      <c r="A2390" s="91" t="s">
        <v>2809</v>
      </c>
      <c r="B2390" s="9">
        <v>2.2000000000000002</v>
      </c>
    </row>
    <row r="2391" spans="1:2" x14ac:dyDescent="0.35">
      <c r="A2391" s="91" t="s">
        <v>5240</v>
      </c>
      <c r="B2391" s="9">
        <v>2.2000000000000002</v>
      </c>
    </row>
    <row r="2392" spans="1:2" x14ac:dyDescent="0.35">
      <c r="A2392" s="91" t="s">
        <v>5533</v>
      </c>
      <c r="B2392" s="9">
        <v>19</v>
      </c>
    </row>
    <row r="2393" spans="1:2" x14ac:dyDescent="0.35">
      <c r="A2393" s="91" t="s">
        <v>342</v>
      </c>
      <c r="B2393" s="9">
        <v>11.2</v>
      </c>
    </row>
    <row r="2394" spans="1:2" x14ac:dyDescent="0.35">
      <c r="A2394" s="91" t="s">
        <v>4311</v>
      </c>
      <c r="B2394" s="9">
        <v>3.5</v>
      </c>
    </row>
    <row r="2395" spans="1:2" x14ac:dyDescent="0.35">
      <c r="A2395" s="91" t="s">
        <v>2393</v>
      </c>
      <c r="B2395" s="9">
        <v>14</v>
      </c>
    </row>
    <row r="2396" spans="1:2" x14ac:dyDescent="0.35">
      <c r="A2396" s="91" t="s">
        <v>5724</v>
      </c>
      <c r="B2396" s="9">
        <v>19</v>
      </c>
    </row>
    <row r="2397" spans="1:2" x14ac:dyDescent="0.35">
      <c r="A2397" s="91" t="s">
        <v>3370</v>
      </c>
      <c r="B2397" s="9">
        <v>17.5</v>
      </c>
    </row>
    <row r="2398" spans="1:2" x14ac:dyDescent="0.35">
      <c r="A2398" s="91" t="s">
        <v>5045</v>
      </c>
      <c r="B2398" s="9">
        <v>15.2</v>
      </c>
    </row>
    <row r="2399" spans="1:2" x14ac:dyDescent="0.35">
      <c r="A2399" s="91" t="s">
        <v>5427</v>
      </c>
      <c r="B2399" s="9">
        <v>8.8000000000000007</v>
      </c>
    </row>
    <row r="2400" spans="1:2" x14ac:dyDescent="0.35">
      <c r="A2400" s="91" t="s">
        <v>913</v>
      </c>
      <c r="B2400" s="9">
        <v>4.4000000000000004</v>
      </c>
    </row>
    <row r="2401" spans="1:2" x14ac:dyDescent="0.35">
      <c r="A2401" s="91" t="s">
        <v>5561</v>
      </c>
      <c r="B2401" s="9">
        <v>3.5</v>
      </c>
    </row>
    <row r="2402" spans="1:2" x14ac:dyDescent="0.35">
      <c r="A2402" s="91" t="s">
        <v>2562</v>
      </c>
      <c r="B2402" s="9">
        <v>4.4000000000000004</v>
      </c>
    </row>
    <row r="2403" spans="1:2" x14ac:dyDescent="0.35">
      <c r="A2403" s="91" t="s">
        <v>4723</v>
      </c>
      <c r="B2403" s="9">
        <v>11.399999999999999</v>
      </c>
    </row>
    <row r="2404" spans="1:2" x14ac:dyDescent="0.35">
      <c r="A2404" s="91" t="s">
        <v>2615</v>
      </c>
      <c r="B2404" s="9">
        <v>14</v>
      </c>
    </row>
    <row r="2405" spans="1:2" x14ac:dyDescent="0.35">
      <c r="A2405" s="91" t="s">
        <v>242</v>
      </c>
      <c r="B2405" s="9">
        <v>2.2000000000000002</v>
      </c>
    </row>
    <row r="2406" spans="1:2" x14ac:dyDescent="0.35">
      <c r="A2406" s="91" t="s">
        <v>2555</v>
      </c>
      <c r="B2406" s="9">
        <v>7.5</v>
      </c>
    </row>
    <row r="2407" spans="1:2" x14ac:dyDescent="0.35">
      <c r="A2407" s="91" t="s">
        <v>4048</v>
      </c>
      <c r="B2407" s="9">
        <v>17.5</v>
      </c>
    </row>
    <row r="2408" spans="1:2" x14ac:dyDescent="0.35">
      <c r="A2408" s="91" t="s">
        <v>5076</v>
      </c>
      <c r="B2408" s="9">
        <v>2.5</v>
      </c>
    </row>
    <row r="2409" spans="1:2" x14ac:dyDescent="0.35">
      <c r="A2409" s="91" t="s">
        <v>3802</v>
      </c>
      <c r="B2409" s="9">
        <v>7.6</v>
      </c>
    </row>
    <row r="2410" spans="1:2" x14ac:dyDescent="0.35">
      <c r="A2410" s="91" t="s">
        <v>4764</v>
      </c>
      <c r="B2410" s="9">
        <v>7</v>
      </c>
    </row>
    <row r="2411" spans="1:2" x14ac:dyDescent="0.35">
      <c r="A2411" s="91" t="s">
        <v>2743</v>
      </c>
      <c r="B2411" s="9">
        <v>2.8</v>
      </c>
    </row>
    <row r="2412" spans="1:2" x14ac:dyDescent="0.35">
      <c r="A2412" s="91" t="s">
        <v>3948</v>
      </c>
      <c r="B2412" s="9">
        <v>11.2</v>
      </c>
    </row>
    <row r="2413" spans="1:2" x14ac:dyDescent="0.35">
      <c r="A2413" s="91" t="s">
        <v>371</v>
      </c>
      <c r="B2413" s="9">
        <v>2.2000000000000002</v>
      </c>
    </row>
    <row r="2414" spans="1:2" x14ac:dyDescent="0.35">
      <c r="A2414" s="91" t="s">
        <v>3777</v>
      </c>
      <c r="B2414" s="9">
        <v>3.8</v>
      </c>
    </row>
    <row r="2415" spans="1:2" x14ac:dyDescent="0.35">
      <c r="A2415" s="91" t="s">
        <v>5462</v>
      </c>
      <c r="B2415" s="9">
        <v>15.2</v>
      </c>
    </row>
    <row r="2416" spans="1:2" x14ac:dyDescent="0.35">
      <c r="A2416" s="91" t="s">
        <v>291</v>
      </c>
      <c r="B2416" s="9">
        <v>8.3999999999999986</v>
      </c>
    </row>
    <row r="2417" spans="1:2" x14ac:dyDescent="0.35">
      <c r="A2417" s="91" t="s">
        <v>3153</v>
      </c>
      <c r="B2417" s="9">
        <v>5.6</v>
      </c>
    </row>
    <row r="2418" spans="1:2" x14ac:dyDescent="0.35">
      <c r="A2418" s="91" t="s">
        <v>4301</v>
      </c>
      <c r="B2418" s="9">
        <v>10.5</v>
      </c>
    </row>
    <row r="2419" spans="1:2" x14ac:dyDescent="0.35">
      <c r="A2419" s="91" t="s">
        <v>3732</v>
      </c>
      <c r="B2419" s="9">
        <v>11.399999999999999</v>
      </c>
    </row>
    <row r="2420" spans="1:2" x14ac:dyDescent="0.35">
      <c r="A2420" s="91" t="s">
        <v>4457</v>
      </c>
      <c r="B2420" s="9">
        <v>17.5</v>
      </c>
    </row>
    <row r="2421" spans="1:2" x14ac:dyDescent="0.35">
      <c r="A2421" s="91" t="s">
        <v>4683</v>
      </c>
      <c r="B2421" s="9">
        <v>2.5</v>
      </c>
    </row>
    <row r="2422" spans="1:2" x14ac:dyDescent="0.35">
      <c r="A2422" s="91" t="s">
        <v>3194</v>
      </c>
      <c r="B2422" s="9">
        <v>10</v>
      </c>
    </row>
    <row r="2423" spans="1:2" x14ac:dyDescent="0.35">
      <c r="A2423" s="91" t="s">
        <v>1735</v>
      </c>
      <c r="B2423" s="9">
        <v>5</v>
      </c>
    </row>
    <row r="2424" spans="1:2" x14ac:dyDescent="0.35">
      <c r="A2424" s="91" t="s">
        <v>4312</v>
      </c>
      <c r="B2424" s="9">
        <v>17.5</v>
      </c>
    </row>
    <row r="2425" spans="1:2" x14ac:dyDescent="0.35">
      <c r="A2425" s="91" t="s">
        <v>709</v>
      </c>
      <c r="B2425" s="9">
        <v>7.5</v>
      </c>
    </row>
    <row r="2426" spans="1:2" x14ac:dyDescent="0.35">
      <c r="A2426" s="91" t="s">
        <v>2394</v>
      </c>
      <c r="B2426" s="9">
        <v>12.5</v>
      </c>
    </row>
    <row r="2427" spans="1:2" x14ac:dyDescent="0.35">
      <c r="A2427" s="91" t="s">
        <v>4684</v>
      </c>
      <c r="B2427" s="9">
        <v>8.8000000000000007</v>
      </c>
    </row>
    <row r="2428" spans="1:2" x14ac:dyDescent="0.35">
      <c r="A2428" s="91" t="s">
        <v>5534</v>
      </c>
      <c r="B2428" s="9">
        <v>7.5</v>
      </c>
    </row>
    <row r="2429" spans="1:2" x14ac:dyDescent="0.35">
      <c r="A2429" s="91" t="s">
        <v>2603</v>
      </c>
      <c r="B2429" s="9">
        <v>10</v>
      </c>
    </row>
    <row r="2430" spans="1:2" x14ac:dyDescent="0.35">
      <c r="A2430" s="91" t="s">
        <v>1127</v>
      </c>
      <c r="B2430" s="9">
        <v>6.6000000000000005</v>
      </c>
    </row>
    <row r="2431" spans="1:2" x14ac:dyDescent="0.35">
      <c r="A2431" s="91" t="s">
        <v>3058</v>
      </c>
      <c r="B2431" s="9">
        <v>5</v>
      </c>
    </row>
    <row r="2432" spans="1:2" x14ac:dyDescent="0.35">
      <c r="A2432" s="91" t="s">
        <v>3316</v>
      </c>
      <c r="B2432" s="9">
        <v>14</v>
      </c>
    </row>
    <row r="2433" spans="1:2" x14ac:dyDescent="0.35">
      <c r="A2433" s="91" t="s">
        <v>4936</v>
      </c>
      <c r="B2433" s="9">
        <v>17.5</v>
      </c>
    </row>
    <row r="2434" spans="1:2" x14ac:dyDescent="0.35">
      <c r="A2434" s="91" t="s">
        <v>5813</v>
      </c>
      <c r="B2434" s="9">
        <v>5</v>
      </c>
    </row>
    <row r="2435" spans="1:2" x14ac:dyDescent="0.35">
      <c r="A2435" s="91" t="s">
        <v>5657</v>
      </c>
      <c r="B2435" s="9">
        <v>2.2000000000000002</v>
      </c>
    </row>
    <row r="2436" spans="1:2" x14ac:dyDescent="0.35">
      <c r="A2436" s="91" t="s">
        <v>4827</v>
      </c>
      <c r="B2436" s="9">
        <v>5.6</v>
      </c>
    </row>
    <row r="2437" spans="1:2" x14ac:dyDescent="0.35">
      <c r="A2437" s="91" t="s">
        <v>5672</v>
      </c>
      <c r="B2437" s="9">
        <v>17.5</v>
      </c>
    </row>
    <row r="2438" spans="1:2" x14ac:dyDescent="0.35">
      <c r="A2438" s="91" t="s">
        <v>5369</v>
      </c>
      <c r="B2438" s="9">
        <v>7.5</v>
      </c>
    </row>
    <row r="2439" spans="1:2" x14ac:dyDescent="0.35">
      <c r="A2439" s="91" t="s">
        <v>1218</v>
      </c>
      <c r="B2439" s="9">
        <v>2.8</v>
      </c>
    </row>
    <row r="2440" spans="1:2" x14ac:dyDescent="0.35">
      <c r="A2440" s="91" t="s">
        <v>3371</v>
      </c>
      <c r="B2440" s="9">
        <v>10.5</v>
      </c>
    </row>
    <row r="2441" spans="1:2" x14ac:dyDescent="0.35">
      <c r="A2441" s="91" t="s">
        <v>1018</v>
      </c>
      <c r="B2441" s="9">
        <v>3.5</v>
      </c>
    </row>
    <row r="2442" spans="1:2" x14ac:dyDescent="0.35">
      <c r="A2442" s="91" t="s">
        <v>2240</v>
      </c>
      <c r="B2442" s="9">
        <v>5</v>
      </c>
    </row>
    <row r="2443" spans="1:2" x14ac:dyDescent="0.35">
      <c r="A2443" s="91" t="s">
        <v>4146</v>
      </c>
      <c r="B2443" s="9">
        <v>19</v>
      </c>
    </row>
    <row r="2444" spans="1:2" x14ac:dyDescent="0.35">
      <c r="A2444" s="91" t="s">
        <v>4893</v>
      </c>
      <c r="B2444" s="9">
        <v>8.8000000000000007</v>
      </c>
    </row>
    <row r="2445" spans="1:2" x14ac:dyDescent="0.35">
      <c r="A2445" s="91" t="s">
        <v>4380</v>
      </c>
      <c r="B2445" s="9">
        <v>3.8</v>
      </c>
    </row>
    <row r="2446" spans="1:2" x14ac:dyDescent="0.35">
      <c r="A2446" s="91" t="s">
        <v>1619</v>
      </c>
      <c r="B2446" s="9">
        <v>2.5</v>
      </c>
    </row>
    <row r="2447" spans="1:2" x14ac:dyDescent="0.35">
      <c r="A2447" s="91" t="s">
        <v>2769</v>
      </c>
      <c r="B2447" s="9">
        <v>10</v>
      </c>
    </row>
    <row r="2448" spans="1:2" x14ac:dyDescent="0.35">
      <c r="A2448" s="91" t="s">
        <v>1307</v>
      </c>
      <c r="B2448" s="9">
        <v>11.399999999999999</v>
      </c>
    </row>
    <row r="2449" spans="1:2" x14ac:dyDescent="0.35">
      <c r="A2449" s="91" t="s">
        <v>5952</v>
      </c>
      <c r="B2449" s="9">
        <v>2.8</v>
      </c>
    </row>
    <row r="2450" spans="1:2" x14ac:dyDescent="0.35">
      <c r="A2450" s="91" t="s">
        <v>4916</v>
      </c>
      <c r="B2450" s="9">
        <v>14</v>
      </c>
    </row>
    <row r="2451" spans="1:2" x14ac:dyDescent="0.35">
      <c r="A2451" s="91" t="s">
        <v>4381</v>
      </c>
      <c r="B2451" s="9">
        <v>10.5</v>
      </c>
    </row>
    <row r="2452" spans="1:2" x14ac:dyDescent="0.35">
      <c r="A2452" s="91" t="s">
        <v>1019</v>
      </c>
      <c r="B2452" s="9">
        <v>3.5</v>
      </c>
    </row>
    <row r="2453" spans="1:2" x14ac:dyDescent="0.35">
      <c r="A2453" s="91" t="s">
        <v>5046</v>
      </c>
      <c r="B2453" s="9">
        <v>17.5</v>
      </c>
    </row>
    <row r="2454" spans="1:2" x14ac:dyDescent="0.35">
      <c r="A2454" s="91" t="s">
        <v>793</v>
      </c>
      <c r="B2454" s="9">
        <v>2.5</v>
      </c>
    </row>
    <row r="2455" spans="1:2" x14ac:dyDescent="0.35">
      <c r="A2455" s="91" t="s">
        <v>5221</v>
      </c>
      <c r="B2455" s="9">
        <v>2.8</v>
      </c>
    </row>
    <row r="2456" spans="1:2" x14ac:dyDescent="0.35">
      <c r="A2456" s="91" t="s">
        <v>2616</v>
      </c>
      <c r="B2456" s="9">
        <v>10</v>
      </c>
    </row>
    <row r="2457" spans="1:2" x14ac:dyDescent="0.35">
      <c r="A2457" s="91" t="s">
        <v>487</v>
      </c>
      <c r="B2457" s="9">
        <v>7</v>
      </c>
    </row>
    <row r="2458" spans="1:2" x14ac:dyDescent="0.35">
      <c r="A2458" s="91" t="s">
        <v>2771</v>
      </c>
      <c r="B2458" s="9">
        <v>2.8</v>
      </c>
    </row>
    <row r="2459" spans="1:2" x14ac:dyDescent="0.35">
      <c r="A2459" s="91" t="s">
        <v>1861</v>
      </c>
      <c r="B2459" s="9">
        <v>4.4000000000000004</v>
      </c>
    </row>
    <row r="2460" spans="1:2" x14ac:dyDescent="0.35">
      <c r="A2460" s="91" t="s">
        <v>3908</v>
      </c>
      <c r="B2460" s="9">
        <v>8.3999999999999986</v>
      </c>
    </row>
    <row r="2461" spans="1:2" x14ac:dyDescent="0.35">
      <c r="A2461" s="91" t="s">
        <v>1969</v>
      </c>
      <c r="B2461" s="9">
        <v>19</v>
      </c>
    </row>
    <row r="2462" spans="1:2" x14ac:dyDescent="0.35">
      <c r="A2462" s="91" t="s">
        <v>3654</v>
      </c>
      <c r="B2462" s="9">
        <v>19</v>
      </c>
    </row>
    <row r="2463" spans="1:2" x14ac:dyDescent="0.35">
      <c r="A2463" s="91" t="s">
        <v>4161</v>
      </c>
      <c r="B2463" s="9">
        <v>2.2000000000000002</v>
      </c>
    </row>
    <row r="2464" spans="1:2" x14ac:dyDescent="0.35">
      <c r="A2464" s="91" t="s">
        <v>393</v>
      </c>
      <c r="B2464" s="9">
        <v>19</v>
      </c>
    </row>
    <row r="2465" spans="1:2" x14ac:dyDescent="0.35">
      <c r="A2465" s="91" t="s">
        <v>552</v>
      </c>
      <c r="B2465" s="9">
        <v>6.6000000000000005</v>
      </c>
    </row>
    <row r="2466" spans="1:2" x14ac:dyDescent="0.35">
      <c r="A2466" s="91" t="s">
        <v>1279</v>
      </c>
      <c r="B2466" s="9">
        <v>14</v>
      </c>
    </row>
    <row r="2467" spans="1:2" x14ac:dyDescent="0.35">
      <c r="A2467" s="91" t="s">
        <v>5882</v>
      </c>
      <c r="B2467" s="9">
        <v>19</v>
      </c>
    </row>
    <row r="2468" spans="1:2" x14ac:dyDescent="0.35">
      <c r="A2468" s="91" t="s">
        <v>4709</v>
      </c>
      <c r="B2468" s="9">
        <v>15.2</v>
      </c>
    </row>
    <row r="2469" spans="1:2" x14ac:dyDescent="0.35">
      <c r="A2469" s="91" t="s">
        <v>1463</v>
      </c>
      <c r="B2469" s="9">
        <v>10</v>
      </c>
    </row>
    <row r="2470" spans="1:2" x14ac:dyDescent="0.35">
      <c r="A2470" s="91" t="s">
        <v>416</v>
      </c>
      <c r="B2470" s="9">
        <v>2.5</v>
      </c>
    </row>
    <row r="2471" spans="1:2" x14ac:dyDescent="0.35">
      <c r="A2471" s="91" t="s">
        <v>3427</v>
      </c>
      <c r="B2471" s="9">
        <v>4.4000000000000004</v>
      </c>
    </row>
    <row r="2472" spans="1:2" x14ac:dyDescent="0.35">
      <c r="A2472" s="91" t="s">
        <v>1673</v>
      </c>
      <c r="B2472" s="9">
        <v>14</v>
      </c>
    </row>
    <row r="2473" spans="1:2" x14ac:dyDescent="0.35">
      <c r="A2473" s="91" t="s">
        <v>69</v>
      </c>
      <c r="B2473" s="9">
        <v>15.2</v>
      </c>
    </row>
    <row r="2474" spans="1:2" x14ac:dyDescent="0.35">
      <c r="A2474" s="91" t="s">
        <v>3029</v>
      </c>
      <c r="B2474" s="9">
        <v>17.5</v>
      </c>
    </row>
    <row r="2475" spans="1:2" x14ac:dyDescent="0.35">
      <c r="A2475" s="91" t="s">
        <v>3803</v>
      </c>
      <c r="B2475" s="9">
        <v>11.399999999999999</v>
      </c>
    </row>
    <row r="2476" spans="1:2" x14ac:dyDescent="0.35">
      <c r="A2476" s="91" t="s">
        <v>5616</v>
      </c>
      <c r="B2476" s="9">
        <v>2.8</v>
      </c>
    </row>
    <row r="2477" spans="1:2" x14ac:dyDescent="0.35">
      <c r="A2477" s="91" t="s">
        <v>2094</v>
      </c>
      <c r="B2477" s="9">
        <v>10</v>
      </c>
    </row>
    <row r="2478" spans="1:2" x14ac:dyDescent="0.35">
      <c r="A2478" s="91" t="s">
        <v>1052</v>
      </c>
      <c r="B2478" s="9">
        <v>10</v>
      </c>
    </row>
    <row r="2479" spans="1:2" x14ac:dyDescent="0.35">
      <c r="A2479" s="91" t="s">
        <v>3030</v>
      </c>
      <c r="B2479" s="9">
        <v>8.8000000000000007</v>
      </c>
    </row>
    <row r="2480" spans="1:2" x14ac:dyDescent="0.35">
      <c r="A2480" s="91" t="s">
        <v>4806</v>
      </c>
      <c r="B2480" s="9">
        <v>15.2</v>
      </c>
    </row>
    <row r="2481" spans="1:2" x14ac:dyDescent="0.35">
      <c r="A2481" s="91" t="s">
        <v>4034</v>
      </c>
      <c r="B2481" s="9">
        <v>2.5</v>
      </c>
    </row>
    <row r="2482" spans="1:2" x14ac:dyDescent="0.35">
      <c r="A2482" s="91" t="s">
        <v>4838</v>
      </c>
      <c r="B2482" s="9">
        <v>11.399999999999999</v>
      </c>
    </row>
    <row r="2483" spans="1:2" x14ac:dyDescent="0.35">
      <c r="A2483" s="91" t="s">
        <v>4685</v>
      </c>
      <c r="B2483" s="9">
        <v>7</v>
      </c>
    </row>
    <row r="2484" spans="1:2" x14ac:dyDescent="0.35">
      <c r="A2484" s="91" t="s">
        <v>6005</v>
      </c>
      <c r="B2484" s="9">
        <v>14</v>
      </c>
    </row>
    <row r="2485" spans="1:2" x14ac:dyDescent="0.35">
      <c r="A2485" s="91" t="s">
        <v>5546</v>
      </c>
      <c r="B2485" s="9">
        <v>12.5</v>
      </c>
    </row>
    <row r="2486" spans="1:2" x14ac:dyDescent="0.35">
      <c r="A2486" s="91" t="s">
        <v>324</v>
      </c>
      <c r="B2486" s="9">
        <v>2.5</v>
      </c>
    </row>
    <row r="2487" spans="1:2" x14ac:dyDescent="0.35">
      <c r="A2487" s="91" t="s">
        <v>3721</v>
      </c>
      <c r="B2487" s="9">
        <v>15.2</v>
      </c>
    </row>
    <row r="2488" spans="1:2" x14ac:dyDescent="0.35">
      <c r="A2488" s="91" t="s">
        <v>1054</v>
      </c>
      <c r="B2488" s="9">
        <v>8.8000000000000007</v>
      </c>
    </row>
    <row r="2489" spans="1:2" x14ac:dyDescent="0.35">
      <c r="A2489" s="91" t="s">
        <v>2420</v>
      </c>
      <c r="B2489" s="9">
        <v>7.6</v>
      </c>
    </row>
    <row r="2490" spans="1:2" x14ac:dyDescent="0.35">
      <c r="A2490" s="91" t="s">
        <v>1706</v>
      </c>
      <c r="B2490" s="9">
        <v>11.399999999999999</v>
      </c>
    </row>
    <row r="2491" spans="1:2" x14ac:dyDescent="0.35">
      <c r="A2491" s="91" t="s">
        <v>2888</v>
      </c>
      <c r="B2491" s="9">
        <v>15.2</v>
      </c>
    </row>
    <row r="2492" spans="1:2" x14ac:dyDescent="0.35">
      <c r="A2492" s="91" t="s">
        <v>3172</v>
      </c>
      <c r="B2492" s="9">
        <v>11.399999999999999</v>
      </c>
    </row>
    <row r="2493" spans="1:2" x14ac:dyDescent="0.35">
      <c r="A2493" s="91" t="s">
        <v>3632</v>
      </c>
      <c r="B2493" s="9">
        <v>7</v>
      </c>
    </row>
    <row r="2494" spans="1:2" x14ac:dyDescent="0.35">
      <c r="A2494" s="91" t="s">
        <v>4433</v>
      </c>
      <c r="B2494" s="9">
        <v>5</v>
      </c>
    </row>
    <row r="2495" spans="1:2" x14ac:dyDescent="0.35">
      <c r="A2495" s="91" t="s">
        <v>4606</v>
      </c>
      <c r="B2495" s="9">
        <v>5.6</v>
      </c>
    </row>
    <row r="2496" spans="1:2" x14ac:dyDescent="0.35">
      <c r="A2496" s="91" t="s">
        <v>1021</v>
      </c>
      <c r="B2496" s="9">
        <v>11.2</v>
      </c>
    </row>
    <row r="2497" spans="1:2" x14ac:dyDescent="0.35">
      <c r="A2497" s="91" t="s">
        <v>2889</v>
      </c>
      <c r="B2497" s="9">
        <v>11.2</v>
      </c>
    </row>
    <row r="2498" spans="1:2" x14ac:dyDescent="0.35">
      <c r="A2498" s="91" t="s">
        <v>1080</v>
      </c>
      <c r="B2498" s="9">
        <v>7</v>
      </c>
    </row>
    <row r="2499" spans="1:2" x14ac:dyDescent="0.35">
      <c r="A2499" s="91" t="s">
        <v>5409</v>
      </c>
      <c r="B2499" s="9">
        <v>14</v>
      </c>
    </row>
    <row r="2500" spans="1:2" x14ac:dyDescent="0.35">
      <c r="A2500" s="91" t="s">
        <v>3516</v>
      </c>
      <c r="B2500" s="9">
        <v>10.5</v>
      </c>
    </row>
    <row r="2501" spans="1:2" x14ac:dyDescent="0.35">
      <c r="A2501" s="91" t="s">
        <v>1863</v>
      </c>
      <c r="B2501" s="9">
        <v>2.5</v>
      </c>
    </row>
    <row r="2502" spans="1:2" x14ac:dyDescent="0.35">
      <c r="A2502" s="91" t="s">
        <v>5350</v>
      </c>
      <c r="B2502" s="9">
        <v>19</v>
      </c>
    </row>
    <row r="2503" spans="1:2" x14ac:dyDescent="0.35">
      <c r="A2503" s="91" t="s">
        <v>1022</v>
      </c>
      <c r="B2503" s="9">
        <v>10.5</v>
      </c>
    </row>
    <row r="2504" spans="1:2" x14ac:dyDescent="0.35">
      <c r="A2504" s="91" t="s">
        <v>5582</v>
      </c>
      <c r="B2504" s="9">
        <v>4.4000000000000004</v>
      </c>
    </row>
    <row r="2505" spans="1:2" x14ac:dyDescent="0.35">
      <c r="A2505" s="91" t="s">
        <v>1388</v>
      </c>
      <c r="B2505" s="9">
        <v>10</v>
      </c>
    </row>
    <row r="2506" spans="1:2" x14ac:dyDescent="0.35">
      <c r="A2506" s="91" t="s">
        <v>5741</v>
      </c>
      <c r="B2506" s="9">
        <v>6.6000000000000005</v>
      </c>
    </row>
    <row r="2507" spans="1:2" x14ac:dyDescent="0.35">
      <c r="A2507" s="91" t="s">
        <v>2169</v>
      </c>
      <c r="B2507" s="9">
        <v>2.2000000000000002</v>
      </c>
    </row>
    <row r="2508" spans="1:2" x14ac:dyDescent="0.35">
      <c r="A2508" s="91" t="s">
        <v>1363</v>
      </c>
      <c r="B2508" s="9">
        <v>2.2000000000000002</v>
      </c>
    </row>
    <row r="2509" spans="1:2" x14ac:dyDescent="0.35">
      <c r="A2509" s="91" t="s">
        <v>2082</v>
      </c>
      <c r="B2509" s="9">
        <v>11.399999999999999</v>
      </c>
    </row>
    <row r="2510" spans="1:2" x14ac:dyDescent="0.35">
      <c r="A2510" s="91" t="s">
        <v>4873</v>
      </c>
      <c r="B2510" s="9">
        <v>7</v>
      </c>
    </row>
    <row r="2511" spans="1:2" x14ac:dyDescent="0.35">
      <c r="A2511" s="91" t="s">
        <v>2151</v>
      </c>
      <c r="B2511" s="9">
        <v>14</v>
      </c>
    </row>
    <row r="2512" spans="1:2" x14ac:dyDescent="0.35">
      <c r="A2512" s="91" t="s">
        <v>2846</v>
      </c>
      <c r="B2512" s="9">
        <v>8.8000000000000007</v>
      </c>
    </row>
    <row r="2513" spans="1:2" x14ac:dyDescent="0.35">
      <c r="A2513" s="91" t="s">
        <v>2302</v>
      </c>
      <c r="B2513" s="9">
        <v>14</v>
      </c>
    </row>
    <row r="2514" spans="1:2" x14ac:dyDescent="0.35">
      <c r="A2514" s="91" t="s">
        <v>3154</v>
      </c>
      <c r="B2514" s="9">
        <v>5.6</v>
      </c>
    </row>
    <row r="2515" spans="1:2" x14ac:dyDescent="0.35">
      <c r="A2515" s="91" t="s">
        <v>1794</v>
      </c>
      <c r="B2515" s="9">
        <v>14</v>
      </c>
    </row>
    <row r="2516" spans="1:2" x14ac:dyDescent="0.35">
      <c r="A2516" s="91" t="s">
        <v>5911</v>
      </c>
      <c r="B2516" s="9">
        <v>3.5</v>
      </c>
    </row>
    <row r="2517" spans="1:2" x14ac:dyDescent="0.35">
      <c r="A2517" s="91" t="s">
        <v>2645</v>
      </c>
      <c r="B2517" s="9">
        <v>14</v>
      </c>
    </row>
    <row r="2518" spans="1:2" x14ac:dyDescent="0.35">
      <c r="A2518" s="91" t="s">
        <v>4563</v>
      </c>
      <c r="B2518" s="9">
        <v>6.6000000000000005</v>
      </c>
    </row>
    <row r="2519" spans="1:2" x14ac:dyDescent="0.35">
      <c r="A2519" s="91" t="s">
        <v>192</v>
      </c>
      <c r="B2519" s="9">
        <v>7.5</v>
      </c>
    </row>
    <row r="2520" spans="1:2" x14ac:dyDescent="0.35">
      <c r="A2520" s="91" t="s">
        <v>3413</v>
      </c>
      <c r="B2520" s="9">
        <v>2.8</v>
      </c>
    </row>
    <row r="2521" spans="1:2" x14ac:dyDescent="0.35">
      <c r="A2521" s="91" t="s">
        <v>4848</v>
      </c>
      <c r="B2521" s="9">
        <v>13.200000000000001</v>
      </c>
    </row>
    <row r="2522" spans="1:2" x14ac:dyDescent="0.35">
      <c r="A2522" s="91" t="s">
        <v>2919</v>
      </c>
      <c r="B2522" s="9">
        <v>7</v>
      </c>
    </row>
    <row r="2523" spans="1:2" x14ac:dyDescent="0.35">
      <c r="A2523" s="91" t="s">
        <v>5395</v>
      </c>
      <c r="B2523" s="9">
        <v>8.3999999999999986</v>
      </c>
    </row>
    <row r="2524" spans="1:2" x14ac:dyDescent="0.35">
      <c r="A2524" s="91" t="s">
        <v>3246</v>
      </c>
      <c r="B2524" s="9">
        <v>2.5</v>
      </c>
    </row>
    <row r="2525" spans="1:2" x14ac:dyDescent="0.35">
      <c r="A2525" s="91" t="s">
        <v>1796</v>
      </c>
      <c r="B2525" s="9">
        <v>3.8</v>
      </c>
    </row>
    <row r="2526" spans="1:2" x14ac:dyDescent="0.35">
      <c r="A2526" s="91" t="s">
        <v>4724</v>
      </c>
      <c r="B2526" s="9">
        <v>8.8000000000000007</v>
      </c>
    </row>
    <row r="2527" spans="1:2" x14ac:dyDescent="0.35">
      <c r="A2527" s="91" t="s">
        <v>2444</v>
      </c>
      <c r="B2527" s="9">
        <v>5</v>
      </c>
    </row>
    <row r="2528" spans="1:2" x14ac:dyDescent="0.35">
      <c r="A2528" s="91" t="s">
        <v>584</v>
      </c>
      <c r="B2528" s="9">
        <v>5.6</v>
      </c>
    </row>
    <row r="2529" spans="1:2" x14ac:dyDescent="0.35">
      <c r="A2529" s="91" t="s">
        <v>266</v>
      </c>
      <c r="B2529" s="9">
        <v>8.8000000000000007</v>
      </c>
    </row>
    <row r="2530" spans="1:2" x14ac:dyDescent="0.35">
      <c r="A2530" s="91" t="s">
        <v>5673</v>
      </c>
      <c r="B2530" s="9">
        <v>8.3999999999999986</v>
      </c>
    </row>
    <row r="2531" spans="1:2" x14ac:dyDescent="0.35">
      <c r="A2531" s="91" t="s">
        <v>2563</v>
      </c>
      <c r="B2531" s="9">
        <v>14</v>
      </c>
    </row>
    <row r="2532" spans="1:2" x14ac:dyDescent="0.35">
      <c r="A2532" s="91" t="s">
        <v>4330</v>
      </c>
      <c r="B2532" s="9">
        <v>19</v>
      </c>
    </row>
    <row r="2533" spans="1:2" x14ac:dyDescent="0.35">
      <c r="A2533" s="91" t="s">
        <v>2744</v>
      </c>
      <c r="B2533" s="9">
        <v>7</v>
      </c>
    </row>
    <row r="2534" spans="1:2" x14ac:dyDescent="0.35">
      <c r="A2534" s="91" t="s">
        <v>744</v>
      </c>
      <c r="B2534" s="9">
        <v>11.2</v>
      </c>
    </row>
    <row r="2535" spans="1:2" x14ac:dyDescent="0.35">
      <c r="A2535" s="91" t="s">
        <v>5474</v>
      </c>
      <c r="B2535" s="9">
        <v>14</v>
      </c>
    </row>
    <row r="2536" spans="1:2" x14ac:dyDescent="0.35">
      <c r="A2536" s="91" t="s">
        <v>5110</v>
      </c>
      <c r="B2536" s="9">
        <v>8.3999999999999986</v>
      </c>
    </row>
    <row r="2537" spans="1:2" x14ac:dyDescent="0.35">
      <c r="A2537" s="91" t="s">
        <v>5077</v>
      </c>
      <c r="B2537" s="9">
        <v>10</v>
      </c>
    </row>
    <row r="2538" spans="1:2" x14ac:dyDescent="0.35">
      <c r="A2538" s="91" t="s">
        <v>4778</v>
      </c>
      <c r="B2538" s="9">
        <v>11.399999999999999</v>
      </c>
    </row>
    <row r="2539" spans="1:2" x14ac:dyDescent="0.35">
      <c r="A2539" s="91" t="s">
        <v>3127</v>
      </c>
      <c r="B2539" s="9">
        <v>15.2</v>
      </c>
    </row>
    <row r="2540" spans="1:2" x14ac:dyDescent="0.35">
      <c r="A2540" s="91" t="s">
        <v>1365</v>
      </c>
      <c r="B2540" s="9">
        <v>10.5</v>
      </c>
    </row>
    <row r="2541" spans="1:2" x14ac:dyDescent="0.35">
      <c r="A2541" s="91" t="s">
        <v>4420</v>
      </c>
      <c r="B2541" s="9">
        <v>7.6</v>
      </c>
    </row>
    <row r="2542" spans="1:2" x14ac:dyDescent="0.35">
      <c r="A2542" s="91" t="s">
        <v>914</v>
      </c>
      <c r="B2542" s="9">
        <v>3.8</v>
      </c>
    </row>
    <row r="2543" spans="1:2" x14ac:dyDescent="0.35">
      <c r="A2543" s="91" t="s">
        <v>2536</v>
      </c>
      <c r="B2543" s="9">
        <v>6.6000000000000005</v>
      </c>
    </row>
    <row r="2544" spans="1:2" x14ac:dyDescent="0.35">
      <c r="A2544" s="91" t="s">
        <v>2431</v>
      </c>
      <c r="B2544" s="9">
        <v>4.4000000000000004</v>
      </c>
    </row>
    <row r="2545" spans="1:2" x14ac:dyDescent="0.35">
      <c r="A2545" s="91" t="s">
        <v>2746</v>
      </c>
      <c r="B2545" s="9">
        <v>5</v>
      </c>
    </row>
    <row r="2546" spans="1:2" x14ac:dyDescent="0.35">
      <c r="A2546" s="91" t="s">
        <v>971</v>
      </c>
      <c r="B2546" s="9">
        <v>3.5</v>
      </c>
    </row>
    <row r="2547" spans="1:2" x14ac:dyDescent="0.35">
      <c r="A2547" s="91" t="s">
        <v>3327</v>
      </c>
      <c r="B2547" s="9">
        <v>4.4000000000000004</v>
      </c>
    </row>
    <row r="2548" spans="1:2" x14ac:dyDescent="0.35">
      <c r="A2548" s="91" t="s">
        <v>5777</v>
      </c>
      <c r="B2548" s="9">
        <v>3.8</v>
      </c>
    </row>
    <row r="2549" spans="1:2" x14ac:dyDescent="0.35">
      <c r="A2549" s="91" t="s">
        <v>4590</v>
      </c>
      <c r="B2549" s="9">
        <v>6.6000000000000005</v>
      </c>
    </row>
    <row r="2550" spans="1:2" x14ac:dyDescent="0.35">
      <c r="A2550" s="91" t="s">
        <v>4116</v>
      </c>
      <c r="B2550" s="9">
        <v>19</v>
      </c>
    </row>
    <row r="2551" spans="1:2" x14ac:dyDescent="0.35">
      <c r="A2551" s="91" t="s">
        <v>4174</v>
      </c>
      <c r="B2551" s="9">
        <v>14</v>
      </c>
    </row>
    <row r="2552" spans="1:2" x14ac:dyDescent="0.35">
      <c r="A2552" s="91" t="s">
        <v>957</v>
      </c>
      <c r="B2552" s="9">
        <v>12.5</v>
      </c>
    </row>
    <row r="2553" spans="1:2" x14ac:dyDescent="0.35">
      <c r="A2553" s="91" t="s">
        <v>2061</v>
      </c>
      <c r="B2553" s="9">
        <v>7.6</v>
      </c>
    </row>
    <row r="2554" spans="1:2" x14ac:dyDescent="0.35">
      <c r="A2554" s="91" t="s">
        <v>3031</v>
      </c>
      <c r="B2554" s="9">
        <v>17.5</v>
      </c>
    </row>
    <row r="2555" spans="1:2" x14ac:dyDescent="0.35">
      <c r="A2555" s="91" t="s">
        <v>2756</v>
      </c>
      <c r="B2555" s="9">
        <v>19</v>
      </c>
    </row>
    <row r="2556" spans="1:2" x14ac:dyDescent="0.35">
      <c r="A2556" s="91" t="s">
        <v>4875</v>
      </c>
      <c r="B2556" s="9">
        <v>7.5</v>
      </c>
    </row>
    <row r="2557" spans="1:2" x14ac:dyDescent="0.35">
      <c r="A2557" s="91" t="s">
        <v>1151</v>
      </c>
      <c r="B2557" s="9">
        <v>17.5</v>
      </c>
    </row>
    <row r="2558" spans="1:2" x14ac:dyDescent="0.35">
      <c r="A2558" s="91" t="s">
        <v>4128</v>
      </c>
      <c r="B2558" s="9">
        <v>11.2</v>
      </c>
    </row>
    <row r="2559" spans="1:2" x14ac:dyDescent="0.35">
      <c r="A2559" s="91" t="s">
        <v>1246</v>
      </c>
      <c r="B2559" s="9">
        <v>4.4000000000000004</v>
      </c>
    </row>
    <row r="2560" spans="1:2" x14ac:dyDescent="0.35">
      <c r="A2560" s="91" t="s">
        <v>5111</v>
      </c>
      <c r="B2560" s="9">
        <v>6.6000000000000005</v>
      </c>
    </row>
    <row r="2561" spans="1:2" x14ac:dyDescent="0.35">
      <c r="A2561" s="91" t="s">
        <v>4607</v>
      </c>
      <c r="B2561" s="9">
        <v>14</v>
      </c>
    </row>
    <row r="2562" spans="1:2" x14ac:dyDescent="0.35">
      <c r="A2562" s="91" t="s">
        <v>219</v>
      </c>
      <c r="B2562" s="9">
        <v>7</v>
      </c>
    </row>
    <row r="2563" spans="1:2" x14ac:dyDescent="0.35">
      <c r="A2563" s="91" t="s">
        <v>5241</v>
      </c>
      <c r="B2563" s="9">
        <v>17.5</v>
      </c>
    </row>
    <row r="2564" spans="1:2" x14ac:dyDescent="0.35">
      <c r="A2564" s="91" t="s">
        <v>3355</v>
      </c>
      <c r="B2564" s="9">
        <v>8.3999999999999986</v>
      </c>
    </row>
    <row r="2565" spans="1:2" x14ac:dyDescent="0.35">
      <c r="A2565" s="91" t="s">
        <v>4828</v>
      </c>
      <c r="B2565" s="9">
        <v>11.2</v>
      </c>
    </row>
    <row r="2566" spans="1:2" x14ac:dyDescent="0.35">
      <c r="A2566" s="91" t="s">
        <v>895</v>
      </c>
      <c r="B2566" s="9">
        <v>15.2</v>
      </c>
    </row>
    <row r="2567" spans="1:2" x14ac:dyDescent="0.35">
      <c r="A2567" s="91" t="s">
        <v>4232</v>
      </c>
      <c r="B2567" s="9">
        <v>4.4000000000000004</v>
      </c>
    </row>
    <row r="2568" spans="1:2" x14ac:dyDescent="0.35">
      <c r="A2568" s="91" t="s">
        <v>623</v>
      </c>
      <c r="B2568" s="9">
        <v>6.6000000000000005</v>
      </c>
    </row>
    <row r="2569" spans="1:2" x14ac:dyDescent="0.35">
      <c r="A2569" s="91" t="s">
        <v>3451</v>
      </c>
      <c r="B2569" s="9">
        <v>14</v>
      </c>
    </row>
    <row r="2570" spans="1:2" x14ac:dyDescent="0.35">
      <c r="A2570" s="91" t="s">
        <v>2945</v>
      </c>
      <c r="B2570" s="9">
        <v>17.5</v>
      </c>
    </row>
    <row r="2571" spans="1:2" x14ac:dyDescent="0.35">
      <c r="A2571" s="91" t="s">
        <v>2019</v>
      </c>
      <c r="B2571" s="9">
        <v>11</v>
      </c>
    </row>
    <row r="2572" spans="1:2" x14ac:dyDescent="0.35">
      <c r="A2572" s="91" t="s">
        <v>5641</v>
      </c>
      <c r="B2572" s="9">
        <v>19</v>
      </c>
    </row>
    <row r="2573" spans="1:2" x14ac:dyDescent="0.35">
      <c r="A2573" s="91" t="s">
        <v>1773</v>
      </c>
      <c r="B2573" s="9">
        <v>3.8</v>
      </c>
    </row>
    <row r="2574" spans="1:2" x14ac:dyDescent="0.35">
      <c r="A2574" s="91" t="s">
        <v>5829</v>
      </c>
      <c r="B2574" s="9">
        <v>2.5</v>
      </c>
    </row>
    <row r="2575" spans="1:2" x14ac:dyDescent="0.35">
      <c r="A2575" s="91" t="s">
        <v>794</v>
      </c>
      <c r="B2575" s="9">
        <v>14</v>
      </c>
    </row>
    <row r="2576" spans="1:2" x14ac:dyDescent="0.35">
      <c r="A2576" s="91" t="s">
        <v>5066</v>
      </c>
      <c r="B2576" s="9">
        <v>7.5</v>
      </c>
    </row>
    <row r="2577" spans="1:2" x14ac:dyDescent="0.35">
      <c r="A2577" s="91" t="s">
        <v>2020</v>
      </c>
      <c r="B2577" s="9">
        <v>12.5</v>
      </c>
    </row>
    <row r="2578" spans="1:2" x14ac:dyDescent="0.35">
      <c r="A2578" s="91" t="s">
        <v>3986</v>
      </c>
      <c r="B2578" s="9">
        <v>5.6</v>
      </c>
    </row>
    <row r="2579" spans="1:2" x14ac:dyDescent="0.35">
      <c r="A2579" s="91" t="s">
        <v>1056</v>
      </c>
      <c r="B2579" s="9">
        <v>4.4000000000000004</v>
      </c>
    </row>
    <row r="2580" spans="1:2" x14ac:dyDescent="0.35">
      <c r="A2580" s="91" t="s">
        <v>5642</v>
      </c>
      <c r="B2580" s="9">
        <v>10</v>
      </c>
    </row>
    <row r="2581" spans="1:2" x14ac:dyDescent="0.35">
      <c r="A2581" s="91" t="s">
        <v>1947</v>
      </c>
      <c r="B2581" s="9">
        <v>6.6000000000000005</v>
      </c>
    </row>
    <row r="2582" spans="1:2" x14ac:dyDescent="0.35">
      <c r="A2582" s="91" t="s">
        <v>3695</v>
      </c>
      <c r="B2582" s="9">
        <v>10</v>
      </c>
    </row>
    <row r="2583" spans="1:2" x14ac:dyDescent="0.35">
      <c r="A2583" s="91" t="s">
        <v>3261</v>
      </c>
      <c r="B2583" s="9">
        <v>14</v>
      </c>
    </row>
    <row r="2584" spans="1:2" x14ac:dyDescent="0.35">
      <c r="A2584" s="91" t="s">
        <v>5789</v>
      </c>
      <c r="B2584" s="9">
        <v>12.5</v>
      </c>
    </row>
    <row r="2585" spans="1:2" x14ac:dyDescent="0.35">
      <c r="A2585" s="91" t="s">
        <v>4035</v>
      </c>
      <c r="B2585" s="9">
        <v>5</v>
      </c>
    </row>
    <row r="2586" spans="1:2" x14ac:dyDescent="0.35">
      <c r="A2586" s="91" t="s">
        <v>2564</v>
      </c>
      <c r="B2586" s="9">
        <v>2.8</v>
      </c>
    </row>
    <row r="2587" spans="1:2" x14ac:dyDescent="0.35">
      <c r="A2587" s="91" t="s">
        <v>4779</v>
      </c>
      <c r="B2587" s="9">
        <v>11.399999999999999</v>
      </c>
    </row>
    <row r="2588" spans="1:2" x14ac:dyDescent="0.35">
      <c r="A2588" s="91" t="s">
        <v>4983</v>
      </c>
      <c r="B2588" s="9">
        <v>14</v>
      </c>
    </row>
    <row r="2589" spans="1:2" x14ac:dyDescent="0.35">
      <c r="A2589" s="91" t="s">
        <v>5518</v>
      </c>
      <c r="B2589" s="9">
        <v>8.8000000000000007</v>
      </c>
    </row>
    <row r="2590" spans="1:2" x14ac:dyDescent="0.35">
      <c r="A2590" s="91" t="s">
        <v>5698</v>
      </c>
      <c r="B2590" s="9">
        <v>14</v>
      </c>
    </row>
    <row r="2591" spans="1:2" x14ac:dyDescent="0.35">
      <c r="A2591" s="91" t="s">
        <v>2185</v>
      </c>
      <c r="B2591" s="9">
        <v>5</v>
      </c>
    </row>
    <row r="2592" spans="1:2" x14ac:dyDescent="0.35">
      <c r="A2592" s="91" t="s">
        <v>1348</v>
      </c>
      <c r="B2592" s="9">
        <v>6.6000000000000005</v>
      </c>
    </row>
    <row r="2593" spans="1:2" x14ac:dyDescent="0.35">
      <c r="A2593" s="91" t="s">
        <v>2538</v>
      </c>
      <c r="B2593" s="9">
        <v>5</v>
      </c>
    </row>
    <row r="2594" spans="1:2" x14ac:dyDescent="0.35">
      <c r="A2594" s="91" t="s">
        <v>3357</v>
      </c>
      <c r="B2594" s="9">
        <v>8.3999999999999986</v>
      </c>
    </row>
    <row r="2595" spans="1:2" x14ac:dyDescent="0.35">
      <c r="A2595" s="91" t="s">
        <v>1819</v>
      </c>
      <c r="B2595" s="9">
        <v>2.8</v>
      </c>
    </row>
    <row r="2596" spans="1:2" x14ac:dyDescent="0.35">
      <c r="A2596" s="91" t="s">
        <v>5505</v>
      </c>
      <c r="B2596" s="9">
        <v>3.5</v>
      </c>
    </row>
    <row r="2597" spans="1:2" x14ac:dyDescent="0.35">
      <c r="A2597" s="91" t="s">
        <v>5814</v>
      </c>
      <c r="B2597" s="9">
        <v>7</v>
      </c>
    </row>
    <row r="2598" spans="1:2" x14ac:dyDescent="0.35">
      <c r="A2598" s="91" t="s">
        <v>2330</v>
      </c>
      <c r="B2598" s="9">
        <v>10</v>
      </c>
    </row>
    <row r="2599" spans="1:2" x14ac:dyDescent="0.35">
      <c r="A2599" s="91" t="s">
        <v>3633</v>
      </c>
      <c r="B2599" s="9">
        <v>6.6000000000000005</v>
      </c>
    </row>
    <row r="2600" spans="1:2" x14ac:dyDescent="0.35">
      <c r="A2600" s="91" t="s">
        <v>2519</v>
      </c>
      <c r="B2600" s="9">
        <v>3.5</v>
      </c>
    </row>
    <row r="2601" spans="1:2" x14ac:dyDescent="0.35">
      <c r="A2601" s="91" t="s">
        <v>5222</v>
      </c>
      <c r="B2601" s="9">
        <v>10</v>
      </c>
    </row>
    <row r="2602" spans="1:2" x14ac:dyDescent="0.35">
      <c r="A2602" s="91" t="s">
        <v>625</v>
      </c>
      <c r="B2602" s="9">
        <v>5</v>
      </c>
    </row>
    <row r="2603" spans="1:2" x14ac:dyDescent="0.35">
      <c r="A2603" s="91" t="s">
        <v>915</v>
      </c>
      <c r="B2603" s="9">
        <v>11.2</v>
      </c>
    </row>
    <row r="2604" spans="1:2" x14ac:dyDescent="0.35">
      <c r="A2604" s="91" t="s">
        <v>2830</v>
      </c>
      <c r="B2604" s="9">
        <v>2.2000000000000002</v>
      </c>
    </row>
    <row r="2605" spans="1:2" x14ac:dyDescent="0.35">
      <c r="A2605" s="91" t="s">
        <v>1390</v>
      </c>
      <c r="B2605" s="9">
        <v>8.3999999999999986</v>
      </c>
    </row>
    <row r="2606" spans="1:2" x14ac:dyDescent="0.35">
      <c r="A2606" s="91" t="s">
        <v>4780</v>
      </c>
      <c r="B2606" s="9">
        <v>6.6000000000000005</v>
      </c>
    </row>
    <row r="2607" spans="1:2" x14ac:dyDescent="0.35">
      <c r="A2607" s="91" t="s">
        <v>1682</v>
      </c>
      <c r="B2607" s="9">
        <v>19</v>
      </c>
    </row>
    <row r="2608" spans="1:2" x14ac:dyDescent="0.35">
      <c r="A2608" s="91" t="s">
        <v>3480</v>
      </c>
      <c r="B2608" s="9">
        <v>2.2000000000000002</v>
      </c>
    </row>
    <row r="2609" spans="1:2" x14ac:dyDescent="0.35">
      <c r="A2609" s="91" t="s">
        <v>1834</v>
      </c>
      <c r="B2609" s="9">
        <v>10</v>
      </c>
    </row>
    <row r="2610" spans="1:2" x14ac:dyDescent="0.35">
      <c r="A2610" s="91" t="s">
        <v>3128</v>
      </c>
      <c r="B2610" s="9">
        <v>5</v>
      </c>
    </row>
    <row r="2611" spans="1:2" x14ac:dyDescent="0.35">
      <c r="A2611" s="91" t="s">
        <v>4523</v>
      </c>
      <c r="B2611" s="9">
        <v>4.4000000000000004</v>
      </c>
    </row>
    <row r="2612" spans="1:2" x14ac:dyDescent="0.35">
      <c r="A2612" s="91" t="s">
        <v>268</v>
      </c>
      <c r="B2612" s="9">
        <v>3.8</v>
      </c>
    </row>
    <row r="2613" spans="1:2" x14ac:dyDescent="0.35">
      <c r="A2613" s="91" t="s">
        <v>1707</v>
      </c>
      <c r="B2613" s="9">
        <v>11.2</v>
      </c>
    </row>
    <row r="2614" spans="1:2" x14ac:dyDescent="0.35">
      <c r="A2614" s="91" t="s">
        <v>2095</v>
      </c>
      <c r="B2614" s="9">
        <v>10.5</v>
      </c>
    </row>
    <row r="2615" spans="1:2" x14ac:dyDescent="0.35">
      <c r="A2615" s="91" t="s">
        <v>844</v>
      </c>
      <c r="B2615" s="9">
        <v>14</v>
      </c>
    </row>
    <row r="2616" spans="1:2" x14ac:dyDescent="0.35">
      <c r="A2616" s="91" t="s">
        <v>2283</v>
      </c>
      <c r="B2616" s="9">
        <v>11.2</v>
      </c>
    </row>
    <row r="2617" spans="1:2" x14ac:dyDescent="0.35">
      <c r="A2617" s="91" t="s">
        <v>3987</v>
      </c>
      <c r="B2617" s="9">
        <v>8.8000000000000007</v>
      </c>
    </row>
    <row r="2618" spans="1:2" x14ac:dyDescent="0.35">
      <c r="A2618" s="91" t="s">
        <v>1929</v>
      </c>
      <c r="B2618" s="9">
        <v>7.6</v>
      </c>
    </row>
    <row r="2619" spans="1:2" x14ac:dyDescent="0.35">
      <c r="A2619" s="91" t="s">
        <v>5983</v>
      </c>
      <c r="B2619" s="9">
        <v>10</v>
      </c>
    </row>
    <row r="2620" spans="1:2" x14ac:dyDescent="0.35">
      <c r="A2620" s="91" t="s">
        <v>611</v>
      </c>
      <c r="B2620" s="9">
        <v>3.5</v>
      </c>
    </row>
    <row r="2621" spans="1:2" x14ac:dyDescent="0.35">
      <c r="A2621" s="91" t="s">
        <v>1970</v>
      </c>
      <c r="B2621" s="9">
        <v>19</v>
      </c>
    </row>
    <row r="2622" spans="1:2" x14ac:dyDescent="0.35">
      <c r="A2622" s="91" t="s">
        <v>2421</v>
      </c>
      <c r="B2622" s="9">
        <v>3.8</v>
      </c>
    </row>
    <row r="2623" spans="1:2" x14ac:dyDescent="0.35">
      <c r="A2623" s="91" t="s">
        <v>3909</v>
      </c>
      <c r="B2623" s="9">
        <v>11</v>
      </c>
    </row>
    <row r="2624" spans="1:2" x14ac:dyDescent="0.35">
      <c r="A2624" s="91" t="s">
        <v>2931</v>
      </c>
      <c r="B2624" s="9">
        <v>10</v>
      </c>
    </row>
    <row r="2625" spans="1:2" x14ac:dyDescent="0.35">
      <c r="A2625" s="91" t="s">
        <v>5535</v>
      </c>
      <c r="B2625" s="9">
        <v>2.8</v>
      </c>
    </row>
    <row r="2626" spans="1:2" x14ac:dyDescent="0.35">
      <c r="A2626" s="91" t="s">
        <v>5448</v>
      </c>
      <c r="B2626" s="9">
        <v>7.6</v>
      </c>
    </row>
    <row r="2627" spans="1:2" x14ac:dyDescent="0.35">
      <c r="A2627" s="91" t="s">
        <v>5095</v>
      </c>
      <c r="B2627" s="9">
        <v>11.399999999999999</v>
      </c>
    </row>
    <row r="2628" spans="1:2" x14ac:dyDescent="0.35">
      <c r="A2628" s="91" t="s">
        <v>4984</v>
      </c>
      <c r="B2628" s="9">
        <v>7</v>
      </c>
    </row>
    <row r="2629" spans="1:2" x14ac:dyDescent="0.35">
      <c r="A2629" s="91" t="s">
        <v>5830</v>
      </c>
      <c r="B2629" s="9">
        <v>10.5</v>
      </c>
    </row>
    <row r="2630" spans="1:2" x14ac:dyDescent="0.35">
      <c r="A2630" s="91" t="s">
        <v>1378</v>
      </c>
      <c r="B2630" s="9">
        <v>14</v>
      </c>
    </row>
    <row r="2631" spans="1:2" x14ac:dyDescent="0.35">
      <c r="A2631" s="91" t="s">
        <v>5436</v>
      </c>
      <c r="B2631" s="9">
        <v>11</v>
      </c>
    </row>
    <row r="2632" spans="1:2" x14ac:dyDescent="0.35">
      <c r="A2632" s="91" t="s">
        <v>4421</v>
      </c>
      <c r="B2632" s="9">
        <v>2.5</v>
      </c>
    </row>
    <row r="2633" spans="1:2" x14ac:dyDescent="0.35">
      <c r="A2633" s="91" t="s">
        <v>4199</v>
      </c>
      <c r="B2633" s="9">
        <v>7.6</v>
      </c>
    </row>
    <row r="2634" spans="1:2" x14ac:dyDescent="0.35">
      <c r="A2634" s="91" t="s">
        <v>5658</v>
      </c>
      <c r="B2634" s="9">
        <v>3.5</v>
      </c>
    </row>
    <row r="2635" spans="1:2" x14ac:dyDescent="0.35">
      <c r="A2635" s="91" t="s">
        <v>1082</v>
      </c>
      <c r="B2635" s="9">
        <v>8.8000000000000007</v>
      </c>
    </row>
    <row r="2636" spans="1:2" x14ac:dyDescent="0.35">
      <c r="A2636" s="91" t="s">
        <v>4470</v>
      </c>
      <c r="B2636" s="9">
        <v>10</v>
      </c>
    </row>
    <row r="2637" spans="1:2" x14ac:dyDescent="0.35">
      <c r="A2637" s="91" t="s">
        <v>5841</v>
      </c>
      <c r="B2637" s="9">
        <v>2.2000000000000002</v>
      </c>
    </row>
    <row r="2638" spans="1:2" x14ac:dyDescent="0.35">
      <c r="A2638" s="91" t="s">
        <v>2706</v>
      </c>
      <c r="B2638" s="9">
        <v>3.5</v>
      </c>
    </row>
    <row r="2639" spans="1:2" x14ac:dyDescent="0.35">
      <c r="A2639" s="91" t="s">
        <v>5941</v>
      </c>
      <c r="B2639" s="9">
        <v>17.5</v>
      </c>
    </row>
    <row r="2640" spans="1:2" x14ac:dyDescent="0.35">
      <c r="A2640" s="91" t="s">
        <v>3428</v>
      </c>
      <c r="B2640" s="9">
        <v>11.399999999999999</v>
      </c>
    </row>
    <row r="2641" spans="1:2" x14ac:dyDescent="0.35">
      <c r="A2641" s="91" t="s">
        <v>4985</v>
      </c>
      <c r="B2641" s="9">
        <v>10</v>
      </c>
    </row>
    <row r="2642" spans="1:2" x14ac:dyDescent="0.35">
      <c r="A2642" s="91" t="s">
        <v>3635</v>
      </c>
      <c r="B2642" s="9">
        <v>19</v>
      </c>
    </row>
    <row r="2643" spans="1:2" x14ac:dyDescent="0.35">
      <c r="A2643" s="91" t="s">
        <v>613</v>
      </c>
      <c r="B2643" s="9">
        <v>3.5</v>
      </c>
    </row>
    <row r="2644" spans="1:2" x14ac:dyDescent="0.35">
      <c r="A2644" s="91" t="s">
        <v>4490</v>
      </c>
      <c r="B2644" s="9">
        <v>6.6000000000000005</v>
      </c>
    </row>
    <row r="2645" spans="1:2" x14ac:dyDescent="0.35">
      <c r="A2645" s="91" t="s">
        <v>1206</v>
      </c>
      <c r="B2645" s="9">
        <v>11.2</v>
      </c>
    </row>
    <row r="2646" spans="1:2" x14ac:dyDescent="0.35">
      <c r="A2646" s="91" t="s">
        <v>3791</v>
      </c>
      <c r="B2646" s="9">
        <v>3.8</v>
      </c>
    </row>
    <row r="2647" spans="1:2" x14ac:dyDescent="0.35">
      <c r="A2647" s="91" t="s">
        <v>5294</v>
      </c>
      <c r="B2647" s="9">
        <v>8.8000000000000007</v>
      </c>
    </row>
    <row r="2648" spans="1:2" x14ac:dyDescent="0.35">
      <c r="A2648" s="91" t="s">
        <v>1643</v>
      </c>
      <c r="B2648" s="9">
        <v>4.4000000000000004</v>
      </c>
    </row>
    <row r="2649" spans="1:2" x14ac:dyDescent="0.35">
      <c r="A2649" s="91" t="s">
        <v>1220</v>
      </c>
      <c r="B2649" s="9">
        <v>7</v>
      </c>
    </row>
    <row r="2650" spans="1:2" x14ac:dyDescent="0.35">
      <c r="A2650" s="91" t="s">
        <v>3032</v>
      </c>
      <c r="B2650" s="9">
        <v>6.6000000000000005</v>
      </c>
    </row>
    <row r="2651" spans="1:2" x14ac:dyDescent="0.35">
      <c r="A2651" s="91" t="s">
        <v>2723</v>
      </c>
      <c r="B2651" s="9">
        <v>3.5</v>
      </c>
    </row>
    <row r="2652" spans="1:2" x14ac:dyDescent="0.35">
      <c r="A2652" s="91" t="s">
        <v>4700</v>
      </c>
      <c r="B2652" s="9">
        <v>10.5</v>
      </c>
    </row>
    <row r="2653" spans="1:2" x14ac:dyDescent="0.35">
      <c r="A2653" s="91" t="s">
        <v>4807</v>
      </c>
      <c r="B2653" s="9">
        <v>14</v>
      </c>
    </row>
    <row r="2654" spans="1:2" x14ac:dyDescent="0.35">
      <c r="A2654" s="91" t="s">
        <v>5617</v>
      </c>
      <c r="B2654" s="9">
        <v>2.5</v>
      </c>
    </row>
    <row r="2655" spans="1:2" x14ac:dyDescent="0.35">
      <c r="A2655" s="91" t="s">
        <v>5643</v>
      </c>
      <c r="B2655" s="9">
        <v>7</v>
      </c>
    </row>
    <row r="2656" spans="1:2" x14ac:dyDescent="0.35">
      <c r="A2656" s="91" t="s">
        <v>475</v>
      </c>
      <c r="B2656" s="9">
        <v>11.2</v>
      </c>
    </row>
    <row r="2657" spans="1:2" x14ac:dyDescent="0.35">
      <c r="A2657" s="91" t="s">
        <v>1575</v>
      </c>
      <c r="B2657" s="9">
        <v>7</v>
      </c>
    </row>
    <row r="2658" spans="1:2" x14ac:dyDescent="0.35">
      <c r="A2658" s="91" t="s">
        <v>4491</v>
      </c>
      <c r="B2658" s="9">
        <v>7</v>
      </c>
    </row>
    <row r="2659" spans="1:2" x14ac:dyDescent="0.35">
      <c r="A2659" s="91" t="s">
        <v>1222</v>
      </c>
      <c r="B2659" s="9">
        <v>17.5</v>
      </c>
    </row>
    <row r="2660" spans="1:2" x14ac:dyDescent="0.35">
      <c r="A2660" s="91" t="s">
        <v>5449</v>
      </c>
      <c r="B2660" s="9">
        <v>11</v>
      </c>
    </row>
    <row r="2661" spans="1:2" x14ac:dyDescent="0.35">
      <c r="A2661" s="91" t="s">
        <v>1409</v>
      </c>
      <c r="B2661" s="9">
        <v>2.5</v>
      </c>
    </row>
    <row r="2662" spans="1:2" x14ac:dyDescent="0.35">
      <c r="A2662" s="91" t="s">
        <v>1527</v>
      </c>
      <c r="B2662" s="9">
        <v>8.8000000000000007</v>
      </c>
    </row>
    <row r="2663" spans="1:2" x14ac:dyDescent="0.35">
      <c r="A2663" s="91" t="s">
        <v>4005</v>
      </c>
      <c r="B2663" s="9">
        <v>3.8</v>
      </c>
    </row>
    <row r="2664" spans="1:2" x14ac:dyDescent="0.35">
      <c r="A2664" s="91" t="s">
        <v>4344</v>
      </c>
      <c r="B2664" s="9">
        <v>14</v>
      </c>
    </row>
    <row r="2665" spans="1:2" x14ac:dyDescent="0.35">
      <c r="A2665" s="91" t="s">
        <v>5901</v>
      </c>
      <c r="B2665" s="9">
        <v>3.8</v>
      </c>
    </row>
    <row r="2666" spans="1:2" x14ac:dyDescent="0.35">
      <c r="A2666" s="91" t="s">
        <v>5396</v>
      </c>
      <c r="B2666" s="9">
        <v>10.5</v>
      </c>
    </row>
    <row r="2667" spans="1:2" x14ac:dyDescent="0.35">
      <c r="A2667" s="91" t="s">
        <v>4564</v>
      </c>
      <c r="B2667" s="9">
        <v>8.8000000000000007</v>
      </c>
    </row>
    <row r="2668" spans="1:2" x14ac:dyDescent="0.35">
      <c r="A2668" s="91" t="s">
        <v>5351</v>
      </c>
      <c r="B2668" s="9">
        <v>5</v>
      </c>
    </row>
    <row r="2669" spans="1:2" x14ac:dyDescent="0.35">
      <c r="A2669" s="91" t="s">
        <v>1595</v>
      </c>
      <c r="B2669" s="9">
        <v>7.5</v>
      </c>
    </row>
    <row r="2670" spans="1:2" x14ac:dyDescent="0.35">
      <c r="A2670" s="91" t="s">
        <v>1308</v>
      </c>
      <c r="B2670" s="9">
        <v>14</v>
      </c>
    </row>
    <row r="2671" spans="1:2" x14ac:dyDescent="0.35">
      <c r="A2671" s="91" t="s">
        <v>2223</v>
      </c>
      <c r="B2671" s="9">
        <v>14</v>
      </c>
    </row>
    <row r="2672" spans="1:2" x14ac:dyDescent="0.35">
      <c r="A2672" s="91" t="s">
        <v>3247</v>
      </c>
      <c r="B2672" s="9">
        <v>4.4000000000000004</v>
      </c>
    </row>
    <row r="2673" spans="1:2" x14ac:dyDescent="0.35">
      <c r="A2673" s="91" t="s">
        <v>4669</v>
      </c>
      <c r="B2673" s="9">
        <v>17.5</v>
      </c>
    </row>
    <row r="2674" spans="1:2" x14ac:dyDescent="0.35">
      <c r="A2674" s="91" t="s">
        <v>5984</v>
      </c>
      <c r="B2674" s="9">
        <v>11.399999999999999</v>
      </c>
    </row>
    <row r="2675" spans="1:2" x14ac:dyDescent="0.35">
      <c r="A2675" s="91" t="s">
        <v>3372</v>
      </c>
      <c r="B2675" s="9">
        <v>14</v>
      </c>
    </row>
    <row r="2676" spans="1:2" x14ac:dyDescent="0.35">
      <c r="A2676" s="91" t="s">
        <v>3111</v>
      </c>
      <c r="B2676" s="9">
        <v>7.6</v>
      </c>
    </row>
    <row r="2677" spans="1:2" x14ac:dyDescent="0.35">
      <c r="A2677" s="91" t="s">
        <v>1865</v>
      </c>
      <c r="B2677" s="9">
        <v>3.5</v>
      </c>
    </row>
    <row r="2678" spans="1:2" x14ac:dyDescent="0.35">
      <c r="A2678" s="91" t="s">
        <v>4573</v>
      </c>
      <c r="B2678" s="9">
        <v>14</v>
      </c>
    </row>
    <row r="2679" spans="1:2" x14ac:dyDescent="0.35">
      <c r="A2679" s="91" t="s">
        <v>4876</v>
      </c>
      <c r="B2679" s="9">
        <v>10.5</v>
      </c>
    </row>
    <row r="2680" spans="1:2" x14ac:dyDescent="0.35">
      <c r="A2680" s="91" t="s">
        <v>1024</v>
      </c>
      <c r="B2680" s="9">
        <v>7.6</v>
      </c>
    </row>
    <row r="2681" spans="1:2" x14ac:dyDescent="0.35">
      <c r="A2681" s="91" t="s">
        <v>3817</v>
      </c>
      <c r="B2681" s="9">
        <v>14</v>
      </c>
    </row>
    <row r="2682" spans="1:2" x14ac:dyDescent="0.35">
      <c r="A2682" s="91" t="s">
        <v>6014</v>
      </c>
      <c r="B2682" s="9">
        <v>2.2000000000000002</v>
      </c>
    </row>
    <row r="2683" spans="1:2" x14ac:dyDescent="0.35">
      <c r="A2683" s="91" t="s">
        <v>5198</v>
      </c>
      <c r="B2683" s="9">
        <v>17.5</v>
      </c>
    </row>
    <row r="2684" spans="1:2" x14ac:dyDescent="0.35">
      <c r="A2684" s="91" t="s">
        <v>4551</v>
      </c>
      <c r="B2684" s="9">
        <v>2.5</v>
      </c>
    </row>
    <row r="2685" spans="1:2" x14ac:dyDescent="0.35">
      <c r="A2685" s="91" t="s">
        <v>293</v>
      </c>
      <c r="B2685" s="9">
        <v>5.6</v>
      </c>
    </row>
    <row r="2686" spans="1:2" x14ac:dyDescent="0.35">
      <c r="A2686" s="91" t="s">
        <v>1674</v>
      </c>
      <c r="B2686" s="9">
        <v>7.5</v>
      </c>
    </row>
    <row r="2687" spans="1:2" x14ac:dyDescent="0.35">
      <c r="A2687" s="91" t="s">
        <v>2256</v>
      </c>
      <c r="B2687" s="9">
        <v>12.5</v>
      </c>
    </row>
    <row r="2688" spans="1:2" x14ac:dyDescent="0.35">
      <c r="A2688" s="91" t="s">
        <v>5634</v>
      </c>
      <c r="B2688" s="9">
        <v>3.5</v>
      </c>
    </row>
    <row r="2689" spans="1:2" x14ac:dyDescent="0.35">
      <c r="A2689" s="91" t="s">
        <v>5096</v>
      </c>
      <c r="B2689" s="9">
        <v>7.5</v>
      </c>
    </row>
    <row r="2690" spans="1:2" x14ac:dyDescent="0.35">
      <c r="A2690" s="91" t="s">
        <v>825</v>
      </c>
      <c r="B2690" s="9">
        <v>5</v>
      </c>
    </row>
    <row r="2691" spans="1:2" x14ac:dyDescent="0.35">
      <c r="A2691" s="91" t="s">
        <v>5381</v>
      </c>
      <c r="B2691" s="9">
        <v>3.5</v>
      </c>
    </row>
    <row r="2692" spans="1:2" x14ac:dyDescent="0.35">
      <c r="A2692" s="91" t="s">
        <v>5942</v>
      </c>
      <c r="B2692" s="9">
        <v>3.5</v>
      </c>
    </row>
    <row r="2693" spans="1:2" x14ac:dyDescent="0.35">
      <c r="A2693" s="91" t="s">
        <v>1465</v>
      </c>
      <c r="B2693" s="9">
        <v>5.6</v>
      </c>
    </row>
    <row r="2694" spans="1:2" x14ac:dyDescent="0.35">
      <c r="A2694" s="91" t="s">
        <v>3733</v>
      </c>
      <c r="B2694" s="9">
        <v>17.5</v>
      </c>
    </row>
    <row r="2695" spans="1:2" x14ac:dyDescent="0.35">
      <c r="A2695" s="91" t="s">
        <v>1105</v>
      </c>
      <c r="B2695" s="9">
        <v>3.5</v>
      </c>
    </row>
    <row r="2696" spans="1:2" x14ac:dyDescent="0.35">
      <c r="A2696" s="91" t="s">
        <v>5855</v>
      </c>
      <c r="B2696" s="9">
        <v>10.5</v>
      </c>
    </row>
    <row r="2697" spans="1:2" x14ac:dyDescent="0.35">
      <c r="A2697" s="91" t="s">
        <v>2284</v>
      </c>
      <c r="B2697" s="9">
        <v>19</v>
      </c>
    </row>
    <row r="2698" spans="1:2" x14ac:dyDescent="0.35">
      <c r="A2698" s="91" t="s">
        <v>4540</v>
      </c>
      <c r="B2698" s="9">
        <v>7.5</v>
      </c>
    </row>
    <row r="2699" spans="1:2" x14ac:dyDescent="0.35">
      <c r="A2699" s="91" t="s">
        <v>477</v>
      </c>
      <c r="B2699" s="9">
        <v>7.5</v>
      </c>
    </row>
    <row r="2700" spans="1:2" x14ac:dyDescent="0.35">
      <c r="A2700" s="91" t="s">
        <v>2747</v>
      </c>
      <c r="B2700" s="9">
        <v>7</v>
      </c>
    </row>
    <row r="2701" spans="1:2" x14ac:dyDescent="0.35">
      <c r="A2701" s="91" t="s">
        <v>3003</v>
      </c>
      <c r="B2701" s="9">
        <v>6.6000000000000005</v>
      </c>
    </row>
    <row r="2702" spans="1:2" x14ac:dyDescent="0.35">
      <c r="A2702" s="91" t="s">
        <v>4106</v>
      </c>
      <c r="B2702" s="9">
        <v>2.8</v>
      </c>
    </row>
    <row r="2703" spans="1:2" x14ac:dyDescent="0.35">
      <c r="A2703" s="91" t="s">
        <v>645</v>
      </c>
      <c r="B2703" s="9">
        <v>19</v>
      </c>
    </row>
    <row r="2704" spans="1:2" x14ac:dyDescent="0.35">
      <c r="A2704" s="91" t="s">
        <v>1366</v>
      </c>
      <c r="B2704" s="9">
        <v>5.6</v>
      </c>
    </row>
    <row r="2705" spans="1:2" x14ac:dyDescent="0.35">
      <c r="A2705" s="91" t="s">
        <v>5699</v>
      </c>
      <c r="B2705" s="9">
        <v>11.2</v>
      </c>
    </row>
    <row r="2706" spans="1:2" x14ac:dyDescent="0.35">
      <c r="A2706" s="91" t="s">
        <v>4410</v>
      </c>
      <c r="B2706" s="9">
        <v>10.5</v>
      </c>
    </row>
    <row r="2707" spans="1:2" x14ac:dyDescent="0.35">
      <c r="A2707" s="91" t="s">
        <v>5242</v>
      </c>
      <c r="B2707" s="9">
        <v>15.2</v>
      </c>
    </row>
    <row r="2708" spans="1:2" x14ac:dyDescent="0.35">
      <c r="A2708" s="91" t="s">
        <v>5177</v>
      </c>
      <c r="B2708" s="9">
        <v>6.6000000000000005</v>
      </c>
    </row>
    <row r="2709" spans="1:2" x14ac:dyDescent="0.35">
      <c r="A2709" s="91" t="s">
        <v>5098</v>
      </c>
      <c r="B2709" s="9">
        <v>11</v>
      </c>
    </row>
    <row r="2710" spans="1:2" x14ac:dyDescent="0.35">
      <c r="A2710" s="91" t="s">
        <v>5138</v>
      </c>
      <c r="B2710" s="9">
        <v>7.5</v>
      </c>
    </row>
    <row r="2711" spans="1:2" x14ac:dyDescent="0.35">
      <c r="A2711" s="91" t="s">
        <v>5280</v>
      </c>
      <c r="B2711" s="9">
        <v>12.5</v>
      </c>
    </row>
    <row r="2712" spans="1:2" x14ac:dyDescent="0.35">
      <c r="A2712" s="91" t="s">
        <v>3468</v>
      </c>
      <c r="B2712" s="9">
        <v>6.6000000000000005</v>
      </c>
    </row>
    <row r="2713" spans="1:2" x14ac:dyDescent="0.35">
      <c r="A2713" s="91" t="s">
        <v>4290</v>
      </c>
      <c r="B2713" s="9">
        <v>6.6000000000000005</v>
      </c>
    </row>
    <row r="2714" spans="1:2" x14ac:dyDescent="0.35">
      <c r="A2714" s="91" t="s">
        <v>5410</v>
      </c>
      <c r="B2714" s="9">
        <v>5</v>
      </c>
    </row>
    <row r="2715" spans="1:2" x14ac:dyDescent="0.35">
      <c r="A2715" s="91" t="s">
        <v>4074</v>
      </c>
      <c r="B2715" s="9">
        <v>2.5</v>
      </c>
    </row>
    <row r="2716" spans="1:2" x14ac:dyDescent="0.35">
      <c r="A2716" s="91" t="s">
        <v>1885</v>
      </c>
      <c r="B2716" s="9">
        <v>10.5</v>
      </c>
    </row>
    <row r="2717" spans="1:2" x14ac:dyDescent="0.35">
      <c r="A2717" s="91" t="s">
        <v>845</v>
      </c>
      <c r="B2717" s="9">
        <v>8.3999999999999986</v>
      </c>
    </row>
    <row r="2718" spans="1:2" x14ac:dyDescent="0.35">
      <c r="A2718" s="91" t="s">
        <v>3696</v>
      </c>
      <c r="B2718" s="9">
        <v>11</v>
      </c>
    </row>
    <row r="2719" spans="1:2" x14ac:dyDescent="0.35">
      <c r="A2719" s="91" t="s">
        <v>2360</v>
      </c>
      <c r="B2719" s="9">
        <v>12.5</v>
      </c>
    </row>
    <row r="2720" spans="1:2" x14ac:dyDescent="0.35">
      <c r="A2720" s="91" t="s">
        <v>5411</v>
      </c>
      <c r="B2720" s="9">
        <v>10</v>
      </c>
    </row>
    <row r="2721" spans="1:2" x14ac:dyDescent="0.35">
      <c r="A2721" s="91" t="s">
        <v>3564</v>
      </c>
      <c r="B2721" s="9">
        <v>7.6</v>
      </c>
    </row>
    <row r="2722" spans="1:2" x14ac:dyDescent="0.35">
      <c r="A2722" s="91" t="s">
        <v>2445</v>
      </c>
      <c r="B2722" s="9">
        <v>15.2</v>
      </c>
    </row>
    <row r="2723" spans="1:2" x14ac:dyDescent="0.35">
      <c r="A2723" s="91" t="s">
        <v>5281</v>
      </c>
      <c r="B2723" s="9">
        <v>11</v>
      </c>
    </row>
    <row r="2724" spans="1:2" x14ac:dyDescent="0.35">
      <c r="A2724" s="91" t="s">
        <v>3565</v>
      </c>
      <c r="B2724" s="9">
        <v>19</v>
      </c>
    </row>
    <row r="2725" spans="1:2" x14ac:dyDescent="0.35">
      <c r="A2725" s="91" t="s">
        <v>2318</v>
      </c>
      <c r="B2725" s="9">
        <v>12.5</v>
      </c>
    </row>
    <row r="2726" spans="1:2" x14ac:dyDescent="0.35">
      <c r="A2726" s="91" t="s">
        <v>4411</v>
      </c>
      <c r="B2726" s="9">
        <v>7.6</v>
      </c>
    </row>
    <row r="2727" spans="1:2" x14ac:dyDescent="0.35">
      <c r="A2727" s="91" t="s">
        <v>5199</v>
      </c>
      <c r="B2727" s="9">
        <v>10.5</v>
      </c>
    </row>
    <row r="2728" spans="1:2" x14ac:dyDescent="0.35">
      <c r="A2728" s="91" t="s">
        <v>3553</v>
      </c>
      <c r="B2728" s="9">
        <v>14</v>
      </c>
    </row>
    <row r="2729" spans="1:2" x14ac:dyDescent="0.35">
      <c r="A2729" s="91" t="s">
        <v>554</v>
      </c>
      <c r="B2729" s="9">
        <v>2.8</v>
      </c>
    </row>
    <row r="2730" spans="1:2" x14ac:dyDescent="0.35">
      <c r="A2730" s="91" t="s">
        <v>1736</v>
      </c>
      <c r="B2730" s="9">
        <v>8.3999999999999986</v>
      </c>
    </row>
    <row r="2731" spans="1:2" x14ac:dyDescent="0.35">
      <c r="A2731" s="91" t="s">
        <v>1528</v>
      </c>
      <c r="B2731" s="9">
        <v>2.2000000000000002</v>
      </c>
    </row>
    <row r="2732" spans="1:2" x14ac:dyDescent="0.35">
      <c r="A2732" s="91" t="s">
        <v>244</v>
      </c>
      <c r="B2732" s="9">
        <v>7.5</v>
      </c>
    </row>
    <row r="2733" spans="1:2" x14ac:dyDescent="0.35">
      <c r="A2733" s="91" t="s">
        <v>4331</v>
      </c>
      <c r="B2733" s="9">
        <v>2.2000000000000002</v>
      </c>
    </row>
    <row r="2734" spans="1:2" x14ac:dyDescent="0.35">
      <c r="A2734" s="91" t="s">
        <v>3249</v>
      </c>
      <c r="B2734" s="9">
        <v>7.5</v>
      </c>
    </row>
    <row r="2735" spans="1:2" x14ac:dyDescent="0.35">
      <c r="A2735" s="91" t="s">
        <v>5562</v>
      </c>
      <c r="B2735" s="9">
        <v>8.3999999999999986</v>
      </c>
    </row>
    <row r="2736" spans="1:2" x14ac:dyDescent="0.35">
      <c r="A2736" s="91" t="s">
        <v>2556</v>
      </c>
      <c r="B2736" s="9">
        <v>7.6</v>
      </c>
    </row>
    <row r="2737" spans="1:2" x14ac:dyDescent="0.35">
      <c r="A2737" s="91" t="s">
        <v>614</v>
      </c>
      <c r="B2737" s="9">
        <v>4.4000000000000004</v>
      </c>
    </row>
    <row r="2738" spans="1:2" x14ac:dyDescent="0.35">
      <c r="A2738" s="91" t="s">
        <v>2557</v>
      </c>
      <c r="B2738" s="9">
        <v>8.8000000000000007</v>
      </c>
    </row>
    <row r="2739" spans="1:2" x14ac:dyDescent="0.35">
      <c r="A2739" s="91" t="s">
        <v>1309</v>
      </c>
      <c r="B2739" s="9">
        <v>2.8</v>
      </c>
    </row>
    <row r="2740" spans="1:2" x14ac:dyDescent="0.35">
      <c r="A2740" s="91" t="s">
        <v>3183</v>
      </c>
      <c r="B2740" s="9">
        <v>2.5</v>
      </c>
    </row>
    <row r="2741" spans="1:2" x14ac:dyDescent="0.35">
      <c r="A2741" s="91" t="s">
        <v>3778</v>
      </c>
      <c r="B2741" s="9">
        <v>3.5</v>
      </c>
    </row>
    <row r="2742" spans="1:2" x14ac:dyDescent="0.35">
      <c r="A2742" s="91" t="s">
        <v>5790</v>
      </c>
      <c r="B2742" s="9">
        <v>6.6000000000000005</v>
      </c>
    </row>
    <row r="2743" spans="1:2" x14ac:dyDescent="0.35">
      <c r="A2743" s="91" t="s">
        <v>2932</v>
      </c>
      <c r="B2743" s="9">
        <v>5</v>
      </c>
    </row>
    <row r="2744" spans="1:2" x14ac:dyDescent="0.35">
      <c r="A2744" s="91" t="s">
        <v>2446</v>
      </c>
      <c r="B2744" s="9">
        <v>3.8</v>
      </c>
    </row>
    <row r="2745" spans="1:2" x14ac:dyDescent="0.35">
      <c r="A2745" s="91" t="s">
        <v>3554</v>
      </c>
      <c r="B2745" s="9">
        <v>5</v>
      </c>
    </row>
    <row r="2746" spans="1:2" x14ac:dyDescent="0.35">
      <c r="A2746" s="91" t="s">
        <v>5659</v>
      </c>
      <c r="B2746" s="9">
        <v>11.2</v>
      </c>
    </row>
    <row r="2747" spans="1:2" x14ac:dyDescent="0.35">
      <c r="A2747" s="91" t="s">
        <v>5243</v>
      </c>
      <c r="B2747" s="9">
        <v>14</v>
      </c>
    </row>
    <row r="2748" spans="1:2" x14ac:dyDescent="0.35">
      <c r="A2748" s="91" t="s">
        <v>3636</v>
      </c>
      <c r="B2748" s="9">
        <v>15.2</v>
      </c>
    </row>
    <row r="2749" spans="1:2" x14ac:dyDescent="0.35">
      <c r="A2749" s="91" t="s">
        <v>5635</v>
      </c>
      <c r="B2749" s="9">
        <v>7.5</v>
      </c>
    </row>
    <row r="2750" spans="1:2" x14ac:dyDescent="0.35">
      <c r="A2750" s="91" t="s">
        <v>3620</v>
      </c>
      <c r="B2750" s="9">
        <v>12.5</v>
      </c>
    </row>
    <row r="2751" spans="1:2" x14ac:dyDescent="0.35">
      <c r="A2751" s="91" t="s">
        <v>2978</v>
      </c>
      <c r="B2751" s="9">
        <v>19</v>
      </c>
    </row>
    <row r="2752" spans="1:2" x14ac:dyDescent="0.35">
      <c r="A2752" s="91" t="s">
        <v>4541</v>
      </c>
      <c r="B2752" s="9">
        <v>3.5</v>
      </c>
    </row>
    <row r="2753" spans="1:2" x14ac:dyDescent="0.35">
      <c r="A2753" s="91" t="s">
        <v>96</v>
      </c>
      <c r="B2753" s="9">
        <v>19</v>
      </c>
    </row>
    <row r="2754" spans="1:2" x14ac:dyDescent="0.35">
      <c r="A2754" s="91" t="s">
        <v>666</v>
      </c>
      <c r="B2754" s="9">
        <v>7.5</v>
      </c>
    </row>
    <row r="2755" spans="1:2" x14ac:dyDescent="0.35">
      <c r="A2755" s="91" t="s">
        <v>5856</v>
      </c>
      <c r="B2755" s="9">
        <v>7.5</v>
      </c>
    </row>
    <row r="2756" spans="1:2" x14ac:dyDescent="0.35">
      <c r="A2756" s="91" t="s">
        <v>3792</v>
      </c>
      <c r="B2756" s="9">
        <v>5.6</v>
      </c>
    </row>
    <row r="2757" spans="1:2" x14ac:dyDescent="0.35">
      <c r="A2757" s="91" t="s">
        <v>4458</v>
      </c>
      <c r="B2757" s="9">
        <v>10</v>
      </c>
    </row>
    <row r="2758" spans="1:2" x14ac:dyDescent="0.35">
      <c r="A2758" s="91" t="s">
        <v>3469</v>
      </c>
      <c r="B2758" s="9">
        <v>14</v>
      </c>
    </row>
    <row r="2759" spans="1:2" x14ac:dyDescent="0.35">
      <c r="A2759" s="91" t="s">
        <v>2520</v>
      </c>
      <c r="B2759" s="9">
        <v>2.8</v>
      </c>
    </row>
    <row r="2760" spans="1:2" x14ac:dyDescent="0.35">
      <c r="A2760" s="91" t="s">
        <v>1281</v>
      </c>
      <c r="B2760" s="9">
        <v>15.2</v>
      </c>
    </row>
    <row r="2761" spans="1:2" x14ac:dyDescent="0.35">
      <c r="A2761" s="91" t="s">
        <v>3542</v>
      </c>
      <c r="B2761" s="9">
        <v>4.4000000000000004</v>
      </c>
    </row>
    <row r="2762" spans="1:2" x14ac:dyDescent="0.35">
      <c r="A2762" s="91" t="s">
        <v>4175</v>
      </c>
      <c r="B2762" s="9">
        <v>7.5</v>
      </c>
    </row>
    <row r="2763" spans="1:2" x14ac:dyDescent="0.35">
      <c r="A2763" s="91" t="s">
        <v>5324</v>
      </c>
      <c r="B2763" s="9">
        <v>7.5</v>
      </c>
    </row>
    <row r="2764" spans="1:2" x14ac:dyDescent="0.35">
      <c r="A2764" s="91" t="s">
        <v>2380</v>
      </c>
      <c r="B2764" s="9">
        <v>19</v>
      </c>
    </row>
    <row r="2765" spans="1:2" x14ac:dyDescent="0.35">
      <c r="A2765" s="91" t="s">
        <v>4623</v>
      </c>
      <c r="B2765" s="9">
        <v>19</v>
      </c>
    </row>
    <row r="2766" spans="1:2" x14ac:dyDescent="0.35">
      <c r="A2766" s="91" t="s">
        <v>3959</v>
      </c>
      <c r="B2766" s="9">
        <v>11.399999999999999</v>
      </c>
    </row>
    <row r="2767" spans="1:2" x14ac:dyDescent="0.35">
      <c r="A2767" s="91" t="s">
        <v>5412</v>
      </c>
      <c r="B2767" s="9">
        <v>2.5</v>
      </c>
    </row>
    <row r="2768" spans="1:2" x14ac:dyDescent="0.35">
      <c r="A2768" s="91" t="s">
        <v>295</v>
      </c>
      <c r="B2768" s="9">
        <v>10</v>
      </c>
    </row>
    <row r="2769" spans="1:2" x14ac:dyDescent="0.35">
      <c r="A2769" s="91" t="s">
        <v>5067</v>
      </c>
      <c r="B2769" s="9">
        <v>7</v>
      </c>
    </row>
    <row r="2770" spans="1:2" x14ac:dyDescent="0.35">
      <c r="A2770" s="91" t="s">
        <v>3779</v>
      </c>
      <c r="B2770" s="9">
        <v>7</v>
      </c>
    </row>
    <row r="2771" spans="1:2" x14ac:dyDescent="0.35">
      <c r="A2771" s="91" t="s">
        <v>5325</v>
      </c>
      <c r="B2771" s="9">
        <v>7.6</v>
      </c>
    </row>
    <row r="2772" spans="1:2" x14ac:dyDescent="0.35">
      <c r="A2772" s="91" t="s">
        <v>1709</v>
      </c>
      <c r="B2772" s="9">
        <v>7.6</v>
      </c>
    </row>
    <row r="2773" spans="1:2" x14ac:dyDescent="0.35">
      <c r="A2773" s="91" t="s">
        <v>2063</v>
      </c>
      <c r="B2773" s="9">
        <v>2.8</v>
      </c>
    </row>
    <row r="2774" spans="1:2" x14ac:dyDescent="0.35">
      <c r="A2774" s="91" t="s">
        <v>5547</v>
      </c>
      <c r="B2774" s="9">
        <v>14</v>
      </c>
    </row>
    <row r="2775" spans="1:2" x14ac:dyDescent="0.35">
      <c r="A2775" s="91" t="s">
        <v>3394</v>
      </c>
      <c r="B2775" s="9">
        <v>11</v>
      </c>
    </row>
    <row r="2776" spans="1:2" x14ac:dyDescent="0.35">
      <c r="A2776" s="91" t="s">
        <v>5282</v>
      </c>
      <c r="B2776" s="9">
        <v>8.8000000000000007</v>
      </c>
    </row>
    <row r="2777" spans="1:2" x14ac:dyDescent="0.35">
      <c r="A2777" s="91" t="s">
        <v>4574</v>
      </c>
      <c r="B2777" s="9">
        <v>3.8</v>
      </c>
    </row>
    <row r="2778" spans="1:2" x14ac:dyDescent="0.35">
      <c r="A2778" s="91" t="s">
        <v>162</v>
      </c>
      <c r="B2778" s="9">
        <v>3.8</v>
      </c>
    </row>
    <row r="2779" spans="1:2" x14ac:dyDescent="0.35">
      <c r="A2779" s="91" t="s">
        <v>4591</v>
      </c>
      <c r="B2779" s="9">
        <v>8.3999999999999986</v>
      </c>
    </row>
    <row r="2780" spans="1:2" x14ac:dyDescent="0.35">
      <c r="A2780" s="91" t="s">
        <v>959</v>
      </c>
      <c r="B2780" s="9">
        <v>17.5</v>
      </c>
    </row>
    <row r="2781" spans="1:2" x14ac:dyDescent="0.35">
      <c r="A2781" s="91" t="s">
        <v>3989</v>
      </c>
      <c r="B2781" s="9">
        <v>11.2</v>
      </c>
    </row>
    <row r="2782" spans="1:2" x14ac:dyDescent="0.35">
      <c r="A2782" s="91" t="s">
        <v>2757</v>
      </c>
      <c r="B2782" s="9">
        <v>6.6000000000000005</v>
      </c>
    </row>
    <row r="2783" spans="1:2" x14ac:dyDescent="0.35">
      <c r="A2783" s="91" t="s">
        <v>3403</v>
      </c>
      <c r="B2783" s="9">
        <v>11.399999999999999</v>
      </c>
    </row>
    <row r="2784" spans="1:2" x14ac:dyDescent="0.35">
      <c r="A2784" s="91" t="s">
        <v>4422</v>
      </c>
      <c r="B2784" s="9">
        <v>7</v>
      </c>
    </row>
    <row r="2785" spans="1:2" x14ac:dyDescent="0.35">
      <c r="A2785" s="91" t="s">
        <v>2961</v>
      </c>
      <c r="B2785" s="9">
        <v>5.6</v>
      </c>
    </row>
    <row r="2786" spans="1:2" x14ac:dyDescent="0.35">
      <c r="A2786" s="91" t="s">
        <v>5563</v>
      </c>
      <c r="B2786" s="9">
        <v>11.399999999999999</v>
      </c>
    </row>
    <row r="2787" spans="1:2" x14ac:dyDescent="0.35">
      <c r="A2787" s="91" t="s">
        <v>4608</v>
      </c>
      <c r="B2787" s="9">
        <v>17.5</v>
      </c>
    </row>
    <row r="2788" spans="1:2" x14ac:dyDescent="0.35">
      <c r="A2788" s="91" t="s">
        <v>2224</v>
      </c>
      <c r="B2788" s="9">
        <v>8.3999999999999986</v>
      </c>
    </row>
    <row r="2789" spans="1:2" x14ac:dyDescent="0.35">
      <c r="A2789" s="91" t="s">
        <v>4345</v>
      </c>
      <c r="B2789" s="9">
        <v>3.5</v>
      </c>
    </row>
    <row r="2790" spans="1:2" x14ac:dyDescent="0.35">
      <c r="A2790" s="91" t="s">
        <v>1971</v>
      </c>
      <c r="B2790" s="9">
        <v>10</v>
      </c>
    </row>
    <row r="2791" spans="1:2" x14ac:dyDescent="0.35">
      <c r="A2791" s="91" t="s">
        <v>4955</v>
      </c>
      <c r="B2791" s="9">
        <v>6.6000000000000005</v>
      </c>
    </row>
    <row r="2792" spans="1:2" x14ac:dyDescent="0.35">
      <c r="A2792" s="91" t="s">
        <v>3910</v>
      </c>
      <c r="B2792" s="9">
        <v>3.8</v>
      </c>
    </row>
    <row r="2793" spans="1:2" x14ac:dyDescent="0.35">
      <c r="A2793" s="91" t="s">
        <v>2331</v>
      </c>
      <c r="B2793" s="9">
        <v>19</v>
      </c>
    </row>
    <row r="2794" spans="1:2" x14ac:dyDescent="0.35">
      <c r="A2794" s="91" t="s">
        <v>3047</v>
      </c>
      <c r="B2794" s="9">
        <v>4.4000000000000004</v>
      </c>
    </row>
    <row r="2795" spans="1:2" x14ac:dyDescent="0.35">
      <c r="A2795" s="91" t="s">
        <v>5842</v>
      </c>
      <c r="B2795" s="9">
        <v>6.6000000000000005</v>
      </c>
    </row>
    <row r="2796" spans="1:2" x14ac:dyDescent="0.35">
      <c r="A2796" s="91" t="s">
        <v>2646</v>
      </c>
      <c r="B2796" s="9">
        <v>3.5</v>
      </c>
    </row>
    <row r="2797" spans="1:2" x14ac:dyDescent="0.35">
      <c r="A2797" s="91" t="s">
        <v>1084</v>
      </c>
      <c r="B2797" s="9">
        <v>3.8</v>
      </c>
    </row>
    <row r="2798" spans="1:2" x14ac:dyDescent="0.35">
      <c r="A2798" s="91" t="s">
        <v>668</v>
      </c>
      <c r="B2798" s="9">
        <v>17.5</v>
      </c>
    </row>
    <row r="2799" spans="1:2" x14ac:dyDescent="0.35">
      <c r="A2799" s="91" t="s">
        <v>4354</v>
      </c>
      <c r="B2799" s="9">
        <v>14</v>
      </c>
    </row>
    <row r="2800" spans="1:2" x14ac:dyDescent="0.35">
      <c r="A2800" s="91" t="s">
        <v>5912</v>
      </c>
      <c r="B2800" s="9">
        <v>2.2000000000000002</v>
      </c>
    </row>
    <row r="2801" spans="1:2" x14ac:dyDescent="0.35">
      <c r="A2801" s="91" t="s">
        <v>2040</v>
      </c>
      <c r="B2801" s="9">
        <v>3.8</v>
      </c>
    </row>
    <row r="2802" spans="1:2" x14ac:dyDescent="0.35">
      <c r="A2802" s="91" t="s">
        <v>4765</v>
      </c>
      <c r="B2802" s="9">
        <v>10.5</v>
      </c>
    </row>
    <row r="2803" spans="1:2" x14ac:dyDescent="0.35">
      <c r="A2803" s="91" t="s">
        <v>2688</v>
      </c>
      <c r="B2803" s="9">
        <v>2.8</v>
      </c>
    </row>
    <row r="2804" spans="1:2" x14ac:dyDescent="0.35">
      <c r="A2804" s="91" t="s">
        <v>5506</v>
      </c>
      <c r="B2804" s="9">
        <v>8.8000000000000007</v>
      </c>
    </row>
    <row r="2805" spans="1:2" x14ac:dyDescent="0.35">
      <c r="A2805" s="91" t="s">
        <v>2539</v>
      </c>
      <c r="B2805" s="9">
        <v>3.5</v>
      </c>
    </row>
    <row r="2806" spans="1:2" x14ac:dyDescent="0.35">
      <c r="A2806" s="91" t="s">
        <v>4107</v>
      </c>
      <c r="B2806" s="9">
        <v>14</v>
      </c>
    </row>
    <row r="2807" spans="1:2" x14ac:dyDescent="0.35">
      <c r="A2807" s="91" t="s">
        <v>3267</v>
      </c>
      <c r="B2807" s="9">
        <v>10.5</v>
      </c>
    </row>
    <row r="2808" spans="1:2" x14ac:dyDescent="0.35">
      <c r="A2808" s="91" t="s">
        <v>2447</v>
      </c>
      <c r="B2808" s="9">
        <v>6.6000000000000005</v>
      </c>
    </row>
    <row r="2809" spans="1:2" x14ac:dyDescent="0.35">
      <c r="A2809" s="91" t="s">
        <v>2810</v>
      </c>
      <c r="B2809" s="9">
        <v>10.5</v>
      </c>
    </row>
    <row r="2810" spans="1:2" x14ac:dyDescent="0.35">
      <c r="A2810" s="91" t="s">
        <v>3761</v>
      </c>
      <c r="B2810" s="9">
        <v>10.5</v>
      </c>
    </row>
    <row r="2811" spans="1:2" x14ac:dyDescent="0.35">
      <c r="A2811" s="91" t="s">
        <v>4859</v>
      </c>
      <c r="B2811" s="9">
        <v>10.5</v>
      </c>
    </row>
    <row r="2812" spans="1:2" x14ac:dyDescent="0.35">
      <c r="A2812" s="91" t="s">
        <v>4609</v>
      </c>
      <c r="B2812" s="9">
        <v>7</v>
      </c>
    </row>
    <row r="2813" spans="1:2" x14ac:dyDescent="0.35">
      <c r="A2813" s="91" t="s">
        <v>864</v>
      </c>
      <c r="B2813" s="9">
        <v>5</v>
      </c>
    </row>
    <row r="2814" spans="1:2" x14ac:dyDescent="0.35">
      <c r="A2814" s="91" t="s">
        <v>3470</v>
      </c>
      <c r="B2814" s="9">
        <v>3.5</v>
      </c>
    </row>
    <row r="2815" spans="1:2" x14ac:dyDescent="0.35">
      <c r="A2815" s="91" t="s">
        <v>2186</v>
      </c>
      <c r="B2815" s="9">
        <v>11.2</v>
      </c>
    </row>
    <row r="2816" spans="1:2" x14ac:dyDescent="0.35">
      <c r="A2816" s="91" t="s">
        <v>4829</v>
      </c>
      <c r="B2816" s="9">
        <v>11.399999999999999</v>
      </c>
    </row>
    <row r="2817" spans="1:2" x14ac:dyDescent="0.35">
      <c r="A2817" s="91" t="s">
        <v>3499</v>
      </c>
      <c r="B2817" s="9">
        <v>11.399999999999999</v>
      </c>
    </row>
    <row r="2818" spans="1:2" x14ac:dyDescent="0.35">
      <c r="A2818" s="91" t="s">
        <v>4302</v>
      </c>
      <c r="B2818" s="9">
        <v>8.8000000000000007</v>
      </c>
    </row>
    <row r="2819" spans="1:2" x14ac:dyDescent="0.35">
      <c r="A2819" s="91" t="s">
        <v>5536</v>
      </c>
      <c r="B2819" s="9">
        <v>5.6</v>
      </c>
    </row>
    <row r="2820" spans="1:2" x14ac:dyDescent="0.35">
      <c r="A2820" s="91" t="s">
        <v>3184</v>
      </c>
      <c r="B2820" s="9">
        <v>7.5</v>
      </c>
    </row>
    <row r="2821" spans="1:2" x14ac:dyDescent="0.35">
      <c r="A2821" s="91" t="s">
        <v>4781</v>
      </c>
      <c r="B2821" s="9">
        <v>17.5</v>
      </c>
    </row>
    <row r="2822" spans="1:2" x14ac:dyDescent="0.35">
      <c r="A2822" s="91" t="s">
        <v>5382</v>
      </c>
      <c r="B2822" s="9">
        <v>6.6000000000000005</v>
      </c>
    </row>
    <row r="2823" spans="1:2" x14ac:dyDescent="0.35">
      <c r="A2823" s="91" t="s">
        <v>1258</v>
      </c>
      <c r="B2823" s="9">
        <v>2.8</v>
      </c>
    </row>
    <row r="2824" spans="1:2" x14ac:dyDescent="0.35">
      <c r="A2824" s="91" t="s">
        <v>5902</v>
      </c>
      <c r="B2824" s="9">
        <v>6.6000000000000005</v>
      </c>
    </row>
    <row r="2825" spans="1:2" x14ac:dyDescent="0.35">
      <c r="A2825" s="91" t="s">
        <v>4524</v>
      </c>
      <c r="B2825" s="9">
        <v>5</v>
      </c>
    </row>
    <row r="2826" spans="1:2" x14ac:dyDescent="0.35">
      <c r="A2826" s="91" t="s">
        <v>128</v>
      </c>
      <c r="B2826" s="9">
        <v>8.3999999999999986</v>
      </c>
    </row>
    <row r="2827" spans="1:2" x14ac:dyDescent="0.35">
      <c r="A2827" s="91" t="s">
        <v>994</v>
      </c>
      <c r="B2827" s="9">
        <v>2.5</v>
      </c>
    </row>
    <row r="2828" spans="1:2" x14ac:dyDescent="0.35">
      <c r="A2828" s="91" t="s">
        <v>500</v>
      </c>
      <c r="B2828" s="9">
        <v>11.2</v>
      </c>
    </row>
    <row r="2829" spans="1:2" x14ac:dyDescent="0.35">
      <c r="A2829" s="91" t="s">
        <v>98</v>
      </c>
      <c r="B2829" s="9">
        <v>4.4000000000000004</v>
      </c>
    </row>
    <row r="2830" spans="1:2" x14ac:dyDescent="0.35">
      <c r="A2830" s="91" t="s">
        <v>3990</v>
      </c>
      <c r="B2830" s="9">
        <v>3.5</v>
      </c>
    </row>
    <row r="2831" spans="1:2" x14ac:dyDescent="0.35">
      <c r="A2831" s="91" t="s">
        <v>1423</v>
      </c>
      <c r="B2831" s="9">
        <v>2.5</v>
      </c>
    </row>
    <row r="2832" spans="1:2" x14ac:dyDescent="0.35">
      <c r="A2832" s="91" t="s">
        <v>3066</v>
      </c>
      <c r="B2832" s="9">
        <v>15.2</v>
      </c>
    </row>
    <row r="2833" spans="1:2" x14ac:dyDescent="0.35">
      <c r="A2833" s="91" t="s">
        <v>1797</v>
      </c>
      <c r="B2833" s="9">
        <v>7.5</v>
      </c>
    </row>
    <row r="2834" spans="1:2" x14ac:dyDescent="0.35">
      <c r="A2834" s="91" t="s">
        <v>768</v>
      </c>
      <c r="B2834" s="9">
        <v>6.6000000000000005</v>
      </c>
    </row>
    <row r="2835" spans="1:2" x14ac:dyDescent="0.35">
      <c r="A2835" s="91" t="s">
        <v>5068</v>
      </c>
      <c r="B2835" s="9">
        <v>2.8</v>
      </c>
    </row>
    <row r="2836" spans="1:2" x14ac:dyDescent="0.35">
      <c r="A2836" s="91" t="s">
        <v>1577</v>
      </c>
      <c r="B2836" s="9">
        <v>11.2</v>
      </c>
    </row>
    <row r="2837" spans="1:2" x14ac:dyDescent="0.35">
      <c r="A2837" s="91" t="s">
        <v>1949</v>
      </c>
      <c r="B2837" s="9">
        <v>11</v>
      </c>
    </row>
    <row r="2838" spans="1:2" x14ac:dyDescent="0.35">
      <c r="A2838" s="91" t="s">
        <v>3004</v>
      </c>
      <c r="B2838" s="9">
        <v>2.2000000000000002</v>
      </c>
    </row>
    <row r="2839" spans="1:2" x14ac:dyDescent="0.35">
      <c r="A2839" s="91" t="s">
        <v>2139</v>
      </c>
      <c r="B2839" s="9">
        <v>11.2</v>
      </c>
    </row>
    <row r="2840" spans="1:2" x14ac:dyDescent="0.35">
      <c r="A2840" s="91" t="s">
        <v>2502</v>
      </c>
      <c r="B2840" s="9">
        <v>14</v>
      </c>
    </row>
    <row r="2841" spans="1:2" x14ac:dyDescent="0.35">
      <c r="A2841" s="91" t="s">
        <v>1675</v>
      </c>
      <c r="B2841" s="9">
        <v>4.4000000000000004</v>
      </c>
    </row>
    <row r="2842" spans="1:2" x14ac:dyDescent="0.35">
      <c r="A2842" s="91" t="s">
        <v>5583</v>
      </c>
      <c r="B2842" s="9">
        <v>5</v>
      </c>
    </row>
    <row r="2843" spans="1:2" x14ac:dyDescent="0.35">
      <c r="A2843" s="91" t="s">
        <v>4702</v>
      </c>
      <c r="B2843" s="9">
        <v>7</v>
      </c>
    </row>
    <row r="2844" spans="1:2" x14ac:dyDescent="0.35">
      <c r="A2844" s="91" t="s">
        <v>1480</v>
      </c>
      <c r="B2844" s="9">
        <v>2.8</v>
      </c>
    </row>
    <row r="2845" spans="1:2" x14ac:dyDescent="0.35">
      <c r="A2845" s="91" t="s">
        <v>3949</v>
      </c>
      <c r="B2845" s="9">
        <v>8.3999999999999986</v>
      </c>
    </row>
    <row r="2846" spans="1:2" x14ac:dyDescent="0.35">
      <c r="A2846" s="91" t="s">
        <v>5870</v>
      </c>
      <c r="B2846" s="9">
        <v>14</v>
      </c>
    </row>
    <row r="2847" spans="1:2" x14ac:dyDescent="0.35">
      <c r="A2847" s="91" t="s">
        <v>395</v>
      </c>
      <c r="B2847" s="9">
        <v>14</v>
      </c>
    </row>
    <row r="2848" spans="1:2" x14ac:dyDescent="0.35">
      <c r="A2848" s="91" t="s">
        <v>5537</v>
      </c>
      <c r="B2848" s="9">
        <v>2.8</v>
      </c>
    </row>
    <row r="2849" spans="1:2" x14ac:dyDescent="0.35">
      <c r="A2849" s="91" t="s">
        <v>2540</v>
      </c>
      <c r="B2849" s="9">
        <v>19</v>
      </c>
    </row>
    <row r="2850" spans="1:2" x14ac:dyDescent="0.35">
      <c r="A2850" s="91" t="s">
        <v>3804</v>
      </c>
      <c r="B2850" s="9">
        <v>2.8</v>
      </c>
    </row>
    <row r="2851" spans="1:2" x14ac:dyDescent="0.35">
      <c r="A2851" s="91" t="s">
        <v>916</v>
      </c>
      <c r="B2851" s="9">
        <v>11</v>
      </c>
    </row>
    <row r="2852" spans="1:2" x14ac:dyDescent="0.35">
      <c r="A2852" s="91" t="s">
        <v>3960</v>
      </c>
      <c r="B2852" s="9">
        <v>11.399999999999999</v>
      </c>
    </row>
    <row r="2853" spans="1:2" x14ac:dyDescent="0.35">
      <c r="A2853" s="91" t="s">
        <v>5397</v>
      </c>
      <c r="B2853" s="9">
        <v>8.3999999999999986</v>
      </c>
    </row>
    <row r="2854" spans="1:2" x14ac:dyDescent="0.35">
      <c r="A2854" s="91" t="s">
        <v>2748</v>
      </c>
      <c r="B2854" s="9">
        <v>6.6000000000000005</v>
      </c>
    </row>
    <row r="2855" spans="1:2" x14ac:dyDescent="0.35">
      <c r="A2855" s="91" t="s">
        <v>1440</v>
      </c>
      <c r="B2855" s="9">
        <v>11</v>
      </c>
    </row>
    <row r="2856" spans="1:2" x14ac:dyDescent="0.35">
      <c r="A2856" s="91" t="s">
        <v>586</v>
      </c>
      <c r="B2856" s="9">
        <v>10.5</v>
      </c>
    </row>
    <row r="2857" spans="1:2" x14ac:dyDescent="0.35">
      <c r="A2857" s="91" t="s">
        <v>3921</v>
      </c>
      <c r="B2857" s="9">
        <v>8.8000000000000007</v>
      </c>
    </row>
    <row r="2858" spans="1:2" x14ac:dyDescent="0.35">
      <c r="A2858" s="91" t="s">
        <v>2657</v>
      </c>
      <c r="B2858" s="9">
        <v>10.5</v>
      </c>
    </row>
    <row r="2859" spans="1:2" x14ac:dyDescent="0.35">
      <c r="A2859" s="91" t="s">
        <v>917</v>
      </c>
      <c r="B2859" s="9">
        <v>10.5</v>
      </c>
    </row>
    <row r="2860" spans="1:2" x14ac:dyDescent="0.35">
      <c r="A2860" s="91" t="s">
        <v>4205</v>
      </c>
      <c r="B2860" s="9">
        <v>11.2</v>
      </c>
    </row>
    <row r="2861" spans="1:2" x14ac:dyDescent="0.35">
      <c r="A2861" s="91" t="s">
        <v>5644</v>
      </c>
      <c r="B2861" s="9">
        <v>8.3999999999999986</v>
      </c>
    </row>
    <row r="2862" spans="1:2" x14ac:dyDescent="0.35">
      <c r="A2862" s="91" t="s">
        <v>5123</v>
      </c>
      <c r="B2862" s="9">
        <v>2.5</v>
      </c>
    </row>
    <row r="2863" spans="1:2" x14ac:dyDescent="0.35">
      <c r="A2863" s="91" t="s">
        <v>3471</v>
      </c>
      <c r="B2863" s="9">
        <v>12.5</v>
      </c>
    </row>
    <row r="2864" spans="1:2" x14ac:dyDescent="0.35">
      <c r="A2864" s="91" t="s">
        <v>647</v>
      </c>
      <c r="B2864" s="9">
        <v>11</v>
      </c>
    </row>
    <row r="2865" spans="1:2" x14ac:dyDescent="0.35">
      <c r="A2865" s="91" t="s">
        <v>3970</v>
      </c>
      <c r="B2865" s="9">
        <v>6.6000000000000005</v>
      </c>
    </row>
    <row r="2866" spans="1:2" x14ac:dyDescent="0.35">
      <c r="A2866" s="91" t="s">
        <v>3021</v>
      </c>
      <c r="B2866" s="9">
        <v>11.399999999999999</v>
      </c>
    </row>
    <row r="2867" spans="1:2" x14ac:dyDescent="0.35">
      <c r="A2867" s="91" t="s">
        <v>440</v>
      </c>
      <c r="B2867" s="9">
        <v>10.5</v>
      </c>
    </row>
    <row r="2868" spans="1:2" x14ac:dyDescent="0.35">
      <c r="A2868" s="91" t="s">
        <v>4924</v>
      </c>
      <c r="B2868" s="9">
        <v>11.2</v>
      </c>
    </row>
    <row r="2869" spans="1:2" x14ac:dyDescent="0.35">
      <c r="A2869" s="91" t="s">
        <v>1579</v>
      </c>
      <c r="B2869" s="9">
        <v>2.5</v>
      </c>
    </row>
    <row r="2870" spans="1:2" x14ac:dyDescent="0.35">
      <c r="A2870" s="91" t="s">
        <v>1482</v>
      </c>
      <c r="B2870" s="9">
        <v>12.5</v>
      </c>
    </row>
    <row r="2871" spans="1:2" x14ac:dyDescent="0.35">
      <c r="A2871" s="91" t="s">
        <v>1483</v>
      </c>
      <c r="B2871" s="9">
        <v>7.5</v>
      </c>
    </row>
    <row r="2872" spans="1:2" x14ac:dyDescent="0.35">
      <c r="A2872" s="91" t="s">
        <v>2346</v>
      </c>
      <c r="B2872" s="9">
        <v>12.5</v>
      </c>
    </row>
    <row r="2873" spans="1:2" x14ac:dyDescent="0.35">
      <c r="A2873" s="91" t="s">
        <v>711</v>
      </c>
      <c r="B2873" s="9">
        <v>5</v>
      </c>
    </row>
    <row r="2874" spans="1:2" x14ac:dyDescent="0.35">
      <c r="A2874" s="91" t="s">
        <v>1677</v>
      </c>
      <c r="B2874" s="9">
        <v>3.8</v>
      </c>
    </row>
    <row r="2875" spans="1:2" x14ac:dyDescent="0.35">
      <c r="A2875" s="91" t="s">
        <v>1224</v>
      </c>
      <c r="B2875" s="9">
        <v>5</v>
      </c>
    </row>
    <row r="2876" spans="1:2" x14ac:dyDescent="0.35">
      <c r="A2876" s="91" t="s">
        <v>1259</v>
      </c>
      <c r="B2876" s="9">
        <v>6.6000000000000005</v>
      </c>
    </row>
    <row r="2877" spans="1:2" x14ac:dyDescent="0.35">
      <c r="A2877" s="91" t="s">
        <v>2242</v>
      </c>
      <c r="B2877" s="9">
        <v>10</v>
      </c>
    </row>
    <row r="2878" spans="1:2" x14ac:dyDescent="0.35">
      <c r="A2878" s="91" t="s">
        <v>2114</v>
      </c>
      <c r="B2878" s="9">
        <v>3.5</v>
      </c>
    </row>
    <row r="2879" spans="1:2" x14ac:dyDescent="0.35">
      <c r="A2879" s="91" t="s">
        <v>2724</v>
      </c>
      <c r="B2879" s="9">
        <v>11</v>
      </c>
    </row>
    <row r="2880" spans="1:2" x14ac:dyDescent="0.35">
      <c r="A2880" s="91" t="s">
        <v>2671</v>
      </c>
      <c r="B2880" s="9">
        <v>8.8000000000000007</v>
      </c>
    </row>
    <row r="2881" spans="1:2" x14ac:dyDescent="0.35">
      <c r="A2881" s="91" t="s">
        <v>6013</v>
      </c>
      <c r="B2881" s="9">
        <v>4.4000000000000004</v>
      </c>
    </row>
    <row r="2882" spans="1:2" x14ac:dyDescent="0.35">
      <c r="A2882" s="91" t="s">
        <v>3430</v>
      </c>
      <c r="B2882" s="9">
        <v>7</v>
      </c>
    </row>
    <row r="2883" spans="1:2" x14ac:dyDescent="0.35">
      <c r="A2883" s="91" t="s">
        <v>2811</v>
      </c>
      <c r="B2883" s="9">
        <v>14</v>
      </c>
    </row>
    <row r="2884" spans="1:2" x14ac:dyDescent="0.35">
      <c r="A2884" s="91" t="s">
        <v>4220</v>
      </c>
      <c r="B2884" s="9">
        <v>2.2000000000000002</v>
      </c>
    </row>
    <row r="2885" spans="1:2" x14ac:dyDescent="0.35">
      <c r="A2885" s="91" t="s">
        <v>3129</v>
      </c>
      <c r="B2885" s="9">
        <v>2.5</v>
      </c>
    </row>
    <row r="2886" spans="1:2" x14ac:dyDescent="0.35">
      <c r="A2886" s="91" t="s">
        <v>5490</v>
      </c>
      <c r="B2886" s="9">
        <v>7.5</v>
      </c>
    </row>
    <row r="2887" spans="1:2" x14ac:dyDescent="0.35">
      <c r="A2887" s="91" t="s">
        <v>2432</v>
      </c>
      <c r="B2887" s="9">
        <v>11</v>
      </c>
    </row>
    <row r="2888" spans="1:2" x14ac:dyDescent="0.35">
      <c r="A2888" s="91" t="s">
        <v>3683</v>
      </c>
      <c r="B2888" s="9">
        <v>7.5</v>
      </c>
    </row>
    <row r="2889" spans="1:2" x14ac:dyDescent="0.35">
      <c r="A2889" s="91" t="s">
        <v>5883</v>
      </c>
      <c r="B2889" s="9">
        <v>11.2</v>
      </c>
    </row>
    <row r="2890" spans="1:2" x14ac:dyDescent="0.35">
      <c r="A2890" s="91" t="s">
        <v>5843</v>
      </c>
      <c r="B2890" s="9">
        <v>8.3999999999999986</v>
      </c>
    </row>
    <row r="2891" spans="1:2" x14ac:dyDescent="0.35">
      <c r="A2891" s="91" t="s">
        <v>2199</v>
      </c>
      <c r="B2891" s="9">
        <v>2.8</v>
      </c>
    </row>
    <row r="2892" spans="1:2" x14ac:dyDescent="0.35">
      <c r="A2892" s="91" t="s">
        <v>796</v>
      </c>
      <c r="B2892" s="9">
        <v>14</v>
      </c>
    </row>
    <row r="2893" spans="1:2" x14ac:dyDescent="0.35">
      <c r="A2893" s="91" t="s">
        <v>5564</v>
      </c>
      <c r="B2893" s="9">
        <v>3.5</v>
      </c>
    </row>
    <row r="2894" spans="1:2" x14ac:dyDescent="0.35">
      <c r="A2894" s="91" t="s">
        <v>1057</v>
      </c>
      <c r="B2894" s="9">
        <v>3.5</v>
      </c>
    </row>
    <row r="2895" spans="1:2" x14ac:dyDescent="0.35">
      <c r="A2895" s="91" t="s">
        <v>4798</v>
      </c>
      <c r="B2895" s="9">
        <v>14</v>
      </c>
    </row>
    <row r="2896" spans="1:2" x14ac:dyDescent="0.35">
      <c r="A2896" s="91" t="s">
        <v>4090</v>
      </c>
      <c r="B2896" s="9">
        <v>11.2</v>
      </c>
    </row>
    <row r="2897" spans="1:2" x14ac:dyDescent="0.35">
      <c r="A2897" s="91" t="s">
        <v>3005</v>
      </c>
      <c r="B2897" s="9">
        <v>11</v>
      </c>
    </row>
    <row r="2898" spans="1:2" x14ac:dyDescent="0.35">
      <c r="A2898" s="91" t="s">
        <v>4059</v>
      </c>
      <c r="B2898" s="9">
        <v>2.5</v>
      </c>
    </row>
    <row r="2899" spans="1:2" x14ac:dyDescent="0.35">
      <c r="A2899" s="91" t="s">
        <v>4956</v>
      </c>
      <c r="B2899" s="9">
        <v>8.8000000000000007</v>
      </c>
    </row>
    <row r="2900" spans="1:2" x14ac:dyDescent="0.35">
      <c r="A2900" s="91" t="s">
        <v>5725</v>
      </c>
      <c r="B2900" s="9">
        <v>6.6000000000000005</v>
      </c>
    </row>
    <row r="2901" spans="1:2" x14ac:dyDescent="0.35">
      <c r="A2901" s="91" t="s">
        <v>3481</v>
      </c>
      <c r="B2901" s="9">
        <v>15.2</v>
      </c>
    </row>
    <row r="2902" spans="1:2" x14ac:dyDescent="0.35">
      <c r="A2902" s="91" t="s">
        <v>2618</v>
      </c>
      <c r="B2902" s="9">
        <v>11.399999999999999</v>
      </c>
    </row>
    <row r="2903" spans="1:2" x14ac:dyDescent="0.35">
      <c r="A2903" s="91" t="s">
        <v>3648</v>
      </c>
      <c r="B2903" s="9">
        <v>2.5</v>
      </c>
    </row>
    <row r="2904" spans="1:2" x14ac:dyDescent="0.35">
      <c r="A2904" s="91" t="s">
        <v>2200</v>
      </c>
      <c r="B2904" s="9">
        <v>2.8</v>
      </c>
    </row>
    <row r="2905" spans="1:2" x14ac:dyDescent="0.35">
      <c r="A2905" s="91" t="s">
        <v>4552</v>
      </c>
      <c r="B2905" s="9">
        <v>10</v>
      </c>
    </row>
    <row r="2906" spans="1:2" x14ac:dyDescent="0.35">
      <c r="A2906" s="91" t="s">
        <v>4997</v>
      </c>
      <c r="B2906" s="9">
        <v>17.5</v>
      </c>
    </row>
    <row r="2907" spans="1:2" x14ac:dyDescent="0.35">
      <c r="A2907" s="91" t="s">
        <v>5618</v>
      </c>
      <c r="B2907" s="9">
        <v>3.5</v>
      </c>
    </row>
    <row r="2908" spans="1:2" x14ac:dyDescent="0.35">
      <c r="A2908" s="91" t="s">
        <v>2140</v>
      </c>
      <c r="B2908" s="9">
        <v>2.8</v>
      </c>
    </row>
    <row r="2909" spans="1:2" x14ac:dyDescent="0.35">
      <c r="A2909" s="91" t="s">
        <v>2257</v>
      </c>
      <c r="B2909" s="9">
        <v>14</v>
      </c>
    </row>
    <row r="2910" spans="1:2" x14ac:dyDescent="0.35">
      <c r="A2910" s="91" t="s">
        <v>1597</v>
      </c>
      <c r="B2910" s="9">
        <v>11.2</v>
      </c>
    </row>
    <row r="2911" spans="1:2" x14ac:dyDescent="0.35">
      <c r="A2911" s="91" t="s">
        <v>2690</v>
      </c>
      <c r="B2911" s="9">
        <v>8.8000000000000007</v>
      </c>
    </row>
    <row r="2912" spans="1:2" x14ac:dyDescent="0.35">
      <c r="A2912" s="91" t="s">
        <v>517</v>
      </c>
      <c r="B2912" s="9">
        <v>11.399999999999999</v>
      </c>
    </row>
    <row r="2913" spans="1:2" x14ac:dyDescent="0.35">
      <c r="A2913" s="91" t="s">
        <v>4492</v>
      </c>
      <c r="B2913" s="9">
        <v>19</v>
      </c>
    </row>
    <row r="2914" spans="1:2" x14ac:dyDescent="0.35">
      <c r="A2914" s="91" t="s">
        <v>4839</v>
      </c>
      <c r="B2914" s="9">
        <v>17.5</v>
      </c>
    </row>
    <row r="2915" spans="1:2" x14ac:dyDescent="0.35">
      <c r="A2915" s="91" t="s">
        <v>4860</v>
      </c>
      <c r="B2915" s="9">
        <v>14</v>
      </c>
    </row>
    <row r="2916" spans="1:2" x14ac:dyDescent="0.35">
      <c r="A2916" s="91" t="s">
        <v>1931</v>
      </c>
      <c r="B2916" s="9">
        <v>10.5</v>
      </c>
    </row>
    <row r="2917" spans="1:2" x14ac:dyDescent="0.35">
      <c r="A2917" s="91" t="s">
        <v>194</v>
      </c>
      <c r="B2917" s="9">
        <v>5.6</v>
      </c>
    </row>
    <row r="2918" spans="1:2" x14ac:dyDescent="0.35">
      <c r="A2918" s="91" t="s">
        <v>5884</v>
      </c>
      <c r="B2918" s="9">
        <v>11</v>
      </c>
    </row>
    <row r="2919" spans="1:2" x14ac:dyDescent="0.35">
      <c r="A2919" s="91" t="s">
        <v>5930</v>
      </c>
      <c r="B2919" s="9">
        <v>11.2</v>
      </c>
    </row>
    <row r="2920" spans="1:2" x14ac:dyDescent="0.35">
      <c r="A2920" s="91" t="s">
        <v>418</v>
      </c>
      <c r="B2920" s="9">
        <v>8.3999999999999986</v>
      </c>
    </row>
    <row r="2921" spans="1:2" x14ac:dyDescent="0.35">
      <c r="A2921" s="91" t="s">
        <v>5159</v>
      </c>
      <c r="B2921" s="9">
        <v>15.2</v>
      </c>
    </row>
    <row r="2922" spans="1:2" x14ac:dyDescent="0.35">
      <c r="A2922" s="91" t="s">
        <v>5336</v>
      </c>
      <c r="B2922" s="9">
        <v>7.5</v>
      </c>
    </row>
    <row r="2923" spans="1:2" x14ac:dyDescent="0.35">
      <c r="A2923" s="91" t="s">
        <v>5383</v>
      </c>
      <c r="B2923" s="9">
        <v>6.6000000000000005</v>
      </c>
    </row>
    <row r="2924" spans="1:2" x14ac:dyDescent="0.35">
      <c r="A2924" s="91" t="s">
        <v>2423</v>
      </c>
      <c r="B2924" s="9">
        <v>8.8000000000000007</v>
      </c>
    </row>
    <row r="2925" spans="1:2" x14ac:dyDescent="0.35">
      <c r="A2925" s="91" t="s">
        <v>3048</v>
      </c>
      <c r="B2925" s="9">
        <v>2.8</v>
      </c>
    </row>
    <row r="2926" spans="1:2" x14ac:dyDescent="0.35">
      <c r="A2926" s="91" t="s">
        <v>5031</v>
      </c>
      <c r="B2926" s="9">
        <v>2.8</v>
      </c>
    </row>
    <row r="2927" spans="1:2" x14ac:dyDescent="0.35">
      <c r="A2927" s="91" t="s">
        <v>4730</v>
      </c>
      <c r="B2927" s="9">
        <v>3.5</v>
      </c>
    </row>
    <row r="2928" spans="1:2" x14ac:dyDescent="0.35">
      <c r="A2928" s="91" t="s">
        <v>5384</v>
      </c>
      <c r="B2928" s="9">
        <v>3.8</v>
      </c>
    </row>
    <row r="2929" spans="1:2" x14ac:dyDescent="0.35">
      <c r="A2929" s="91" t="s">
        <v>297</v>
      </c>
      <c r="B2929" s="9">
        <v>3.8</v>
      </c>
    </row>
    <row r="2930" spans="1:2" x14ac:dyDescent="0.35">
      <c r="A2930" s="91" t="s">
        <v>1129</v>
      </c>
      <c r="B2930" s="9">
        <v>2.2000000000000002</v>
      </c>
    </row>
    <row r="2931" spans="1:2" x14ac:dyDescent="0.35">
      <c r="A2931" s="91" t="s">
        <v>1441</v>
      </c>
      <c r="B2931" s="9">
        <v>8.8000000000000007</v>
      </c>
    </row>
    <row r="2932" spans="1:2" x14ac:dyDescent="0.35">
      <c r="A2932" s="91" t="s">
        <v>1026</v>
      </c>
      <c r="B2932" s="9">
        <v>7</v>
      </c>
    </row>
    <row r="2933" spans="1:2" x14ac:dyDescent="0.35">
      <c r="A2933" s="91" t="s">
        <v>3762</v>
      </c>
      <c r="B2933" s="9">
        <v>4.4000000000000004</v>
      </c>
    </row>
    <row r="2934" spans="1:2" x14ac:dyDescent="0.35">
      <c r="A2934" s="91" t="s">
        <v>1058</v>
      </c>
      <c r="B2934" s="9">
        <v>5.6</v>
      </c>
    </row>
    <row r="2935" spans="1:2" x14ac:dyDescent="0.35">
      <c r="A2935" s="91" t="s">
        <v>5985</v>
      </c>
      <c r="B2935" s="9">
        <v>11.2</v>
      </c>
    </row>
    <row r="2936" spans="1:2" x14ac:dyDescent="0.35">
      <c r="A2936" s="91" t="s">
        <v>5463</v>
      </c>
      <c r="B2936" s="9">
        <v>7.6</v>
      </c>
    </row>
    <row r="2937" spans="1:2" x14ac:dyDescent="0.35">
      <c r="A2937" s="91" t="s">
        <v>670</v>
      </c>
      <c r="B2937" s="9">
        <v>4.4000000000000004</v>
      </c>
    </row>
    <row r="2938" spans="1:2" x14ac:dyDescent="0.35">
      <c r="A2938" s="91" t="s">
        <v>4313</v>
      </c>
      <c r="B2938" s="9">
        <v>5.6</v>
      </c>
    </row>
    <row r="2939" spans="1:2" x14ac:dyDescent="0.35">
      <c r="A2939" s="91" t="s">
        <v>1724</v>
      </c>
      <c r="B2939" s="9">
        <v>8.8000000000000007</v>
      </c>
    </row>
    <row r="2940" spans="1:2" x14ac:dyDescent="0.35">
      <c r="A2940" s="91" t="s">
        <v>713</v>
      </c>
      <c r="B2940" s="9">
        <v>8.8000000000000007</v>
      </c>
    </row>
    <row r="2941" spans="1:2" x14ac:dyDescent="0.35">
      <c r="A2941" s="91" t="s">
        <v>4382</v>
      </c>
      <c r="B2941" s="9">
        <v>11.2</v>
      </c>
    </row>
    <row r="2942" spans="1:2" x14ac:dyDescent="0.35">
      <c r="A2942" s="91" t="s">
        <v>4091</v>
      </c>
      <c r="B2942" s="9">
        <v>17.5</v>
      </c>
    </row>
    <row r="2943" spans="1:2" x14ac:dyDescent="0.35">
      <c r="A2943" s="91" t="s">
        <v>3583</v>
      </c>
      <c r="B2943" s="9">
        <v>2.8</v>
      </c>
    </row>
    <row r="2944" spans="1:2" x14ac:dyDescent="0.35">
      <c r="A2944" s="91" t="s">
        <v>3684</v>
      </c>
      <c r="B2944" s="9">
        <v>11</v>
      </c>
    </row>
    <row r="2945" spans="1:2" x14ac:dyDescent="0.35">
      <c r="A2945" s="91" t="s">
        <v>5160</v>
      </c>
      <c r="B2945" s="9">
        <v>19</v>
      </c>
    </row>
    <row r="2946" spans="1:2" x14ac:dyDescent="0.35">
      <c r="A2946" s="91" t="s">
        <v>5507</v>
      </c>
      <c r="B2946" s="9">
        <v>8.3999999999999986</v>
      </c>
    </row>
    <row r="2947" spans="1:2" x14ac:dyDescent="0.35">
      <c r="A2947" s="91" t="s">
        <v>4525</v>
      </c>
      <c r="B2947" s="9">
        <v>3.5</v>
      </c>
    </row>
    <row r="2948" spans="1:2" x14ac:dyDescent="0.35">
      <c r="A2948" s="91" t="s">
        <v>1835</v>
      </c>
      <c r="B2948" s="9">
        <v>11</v>
      </c>
    </row>
    <row r="2949" spans="1:2" x14ac:dyDescent="0.35">
      <c r="A2949" s="91" t="s">
        <v>4006</v>
      </c>
      <c r="B2949" s="9">
        <v>11.399999999999999</v>
      </c>
    </row>
    <row r="2950" spans="1:2" x14ac:dyDescent="0.35">
      <c r="A2950" s="91" t="s">
        <v>4221</v>
      </c>
      <c r="B2950" s="9">
        <v>2.8</v>
      </c>
    </row>
    <row r="2951" spans="1:2" x14ac:dyDescent="0.35">
      <c r="A2951" s="91" t="s">
        <v>4092</v>
      </c>
      <c r="B2951" s="9">
        <v>14</v>
      </c>
    </row>
    <row r="2952" spans="1:2" x14ac:dyDescent="0.35">
      <c r="A2952" s="91" t="s">
        <v>3744</v>
      </c>
      <c r="B2952" s="9">
        <v>11.2</v>
      </c>
    </row>
    <row r="2953" spans="1:2" x14ac:dyDescent="0.35">
      <c r="A2953" s="91" t="s">
        <v>3621</v>
      </c>
      <c r="B2953" s="9">
        <v>7.6</v>
      </c>
    </row>
    <row r="2954" spans="1:2" x14ac:dyDescent="0.35">
      <c r="A2954" s="91" t="s">
        <v>4878</v>
      </c>
      <c r="B2954" s="9">
        <v>7.6</v>
      </c>
    </row>
    <row r="2955" spans="1:2" x14ac:dyDescent="0.35">
      <c r="A2955" s="91" t="s">
        <v>1392</v>
      </c>
      <c r="B2955" s="9">
        <v>4.4000000000000004</v>
      </c>
    </row>
    <row r="2956" spans="1:2" x14ac:dyDescent="0.35">
      <c r="A2956" s="91" t="s">
        <v>3298</v>
      </c>
      <c r="B2956" s="9">
        <v>5.6</v>
      </c>
    </row>
    <row r="2957" spans="1:2" x14ac:dyDescent="0.35">
      <c r="A2957" s="91" t="s">
        <v>5464</v>
      </c>
      <c r="B2957" s="9">
        <v>11</v>
      </c>
    </row>
    <row r="2958" spans="1:2" x14ac:dyDescent="0.35">
      <c r="A2958" s="91" t="s">
        <v>3155</v>
      </c>
      <c r="B2958" s="9">
        <v>8.3999999999999986</v>
      </c>
    </row>
    <row r="2959" spans="1:2" x14ac:dyDescent="0.35">
      <c r="A2959" s="91" t="s">
        <v>4526</v>
      </c>
      <c r="B2959" s="9">
        <v>12.5</v>
      </c>
    </row>
    <row r="2960" spans="1:2" x14ac:dyDescent="0.35">
      <c r="A2960" s="91" t="s">
        <v>4129</v>
      </c>
      <c r="B2960" s="9">
        <v>14</v>
      </c>
    </row>
    <row r="2961" spans="1:2" x14ac:dyDescent="0.35">
      <c r="A2961" s="91" t="s">
        <v>770</v>
      </c>
      <c r="B2961" s="9">
        <v>8.8000000000000007</v>
      </c>
    </row>
    <row r="2962" spans="1:2" x14ac:dyDescent="0.35">
      <c r="A2962" s="91" t="s">
        <v>4711</v>
      </c>
      <c r="B2962" s="9">
        <v>7.6</v>
      </c>
    </row>
    <row r="2963" spans="1:2" x14ac:dyDescent="0.35">
      <c r="A2963" s="91" t="s">
        <v>5755</v>
      </c>
      <c r="B2963" s="9">
        <v>5.6</v>
      </c>
    </row>
    <row r="2964" spans="1:2" x14ac:dyDescent="0.35">
      <c r="A2964" s="91" t="s">
        <v>3173</v>
      </c>
      <c r="B2964" s="9">
        <v>14</v>
      </c>
    </row>
    <row r="2965" spans="1:2" x14ac:dyDescent="0.35">
      <c r="A2965" s="91" t="s">
        <v>4243</v>
      </c>
      <c r="B2965" s="9">
        <v>14</v>
      </c>
    </row>
    <row r="2966" spans="1:2" x14ac:dyDescent="0.35">
      <c r="A2966" s="91" t="s">
        <v>3922</v>
      </c>
      <c r="B2966" s="9">
        <v>7</v>
      </c>
    </row>
    <row r="2967" spans="1:2" x14ac:dyDescent="0.35">
      <c r="A2967" s="91" t="s">
        <v>2226</v>
      </c>
      <c r="B2967" s="9">
        <v>2.8</v>
      </c>
    </row>
    <row r="2968" spans="1:2" x14ac:dyDescent="0.35">
      <c r="A2968" s="91" t="s">
        <v>2201</v>
      </c>
      <c r="B2968" s="9">
        <v>5.6</v>
      </c>
    </row>
    <row r="2969" spans="1:2" x14ac:dyDescent="0.35">
      <c r="A2969" s="91" t="s">
        <v>1645</v>
      </c>
      <c r="B2969" s="9">
        <v>11.399999999999999</v>
      </c>
    </row>
    <row r="2970" spans="1:2" x14ac:dyDescent="0.35">
      <c r="A2970" s="91" t="s">
        <v>1620</v>
      </c>
      <c r="B2970" s="9">
        <v>14</v>
      </c>
    </row>
    <row r="2971" spans="1:2" x14ac:dyDescent="0.35">
      <c r="A2971" s="91" t="s">
        <v>71</v>
      </c>
      <c r="B2971" s="9">
        <v>6.6000000000000005</v>
      </c>
    </row>
    <row r="2972" spans="1:2" x14ac:dyDescent="0.35">
      <c r="A2972" s="91" t="s">
        <v>3099</v>
      </c>
      <c r="B2972" s="9">
        <v>17.5</v>
      </c>
    </row>
    <row r="2973" spans="1:2" x14ac:dyDescent="0.35">
      <c r="A2973" s="91" t="s">
        <v>5437</v>
      </c>
      <c r="B2973" s="9">
        <v>14</v>
      </c>
    </row>
    <row r="2974" spans="1:2" x14ac:dyDescent="0.35">
      <c r="A2974" s="91" t="s">
        <v>130</v>
      </c>
      <c r="B2974" s="9">
        <v>3.8</v>
      </c>
    </row>
    <row r="2975" spans="1:2" x14ac:dyDescent="0.35">
      <c r="A2975" s="91" t="s">
        <v>2021</v>
      </c>
      <c r="B2975" s="9">
        <v>10.5</v>
      </c>
    </row>
    <row r="2976" spans="1:2" x14ac:dyDescent="0.35">
      <c r="A2976" s="91" t="s">
        <v>2565</v>
      </c>
      <c r="B2976" s="9">
        <v>14</v>
      </c>
    </row>
    <row r="2977" spans="1:2" x14ac:dyDescent="0.35">
      <c r="A2977" s="91" t="s">
        <v>5295</v>
      </c>
      <c r="B2977" s="9">
        <v>11.399999999999999</v>
      </c>
    </row>
    <row r="2978" spans="1:2" x14ac:dyDescent="0.35">
      <c r="A2978" s="91" t="s">
        <v>5913</v>
      </c>
      <c r="B2978" s="9">
        <v>17.5</v>
      </c>
    </row>
    <row r="2979" spans="1:2" x14ac:dyDescent="0.35">
      <c r="A2979" s="91" t="s">
        <v>3566</v>
      </c>
      <c r="B2979" s="9">
        <v>5.6</v>
      </c>
    </row>
    <row r="2980" spans="1:2" x14ac:dyDescent="0.35">
      <c r="A2980" s="91" t="s">
        <v>772</v>
      </c>
      <c r="B2980" s="9">
        <v>2.2000000000000002</v>
      </c>
    </row>
    <row r="2981" spans="1:2" x14ac:dyDescent="0.35">
      <c r="A2981" s="91" t="s">
        <v>4222</v>
      </c>
      <c r="B2981" s="9">
        <v>11.2</v>
      </c>
    </row>
    <row r="2982" spans="1:2" x14ac:dyDescent="0.35">
      <c r="A2982" s="91" t="s">
        <v>1866</v>
      </c>
      <c r="B2982" s="9">
        <v>8.8000000000000007</v>
      </c>
    </row>
    <row r="2983" spans="1:2" x14ac:dyDescent="0.35">
      <c r="A2983" s="91" t="s">
        <v>2859</v>
      </c>
      <c r="B2983" s="9">
        <v>10</v>
      </c>
    </row>
    <row r="2984" spans="1:2" x14ac:dyDescent="0.35">
      <c r="A2984" s="91" t="s">
        <v>3763</v>
      </c>
      <c r="B2984" s="9">
        <v>10</v>
      </c>
    </row>
    <row r="2985" spans="1:2" x14ac:dyDescent="0.35">
      <c r="A2985" s="91" t="s">
        <v>2619</v>
      </c>
      <c r="B2985" s="9">
        <v>17.5</v>
      </c>
    </row>
    <row r="2986" spans="1:2" x14ac:dyDescent="0.35">
      <c r="A2986" s="91" t="s">
        <v>4355</v>
      </c>
      <c r="B2986" s="9">
        <v>17.5</v>
      </c>
    </row>
    <row r="2987" spans="1:2" x14ac:dyDescent="0.35">
      <c r="A2987" s="91" t="s">
        <v>5885</v>
      </c>
      <c r="B2987" s="9">
        <v>17.5</v>
      </c>
    </row>
    <row r="2988" spans="1:2" x14ac:dyDescent="0.35">
      <c r="A2988" s="91" t="s">
        <v>2890</v>
      </c>
      <c r="B2988" s="9">
        <v>4.4000000000000004</v>
      </c>
    </row>
    <row r="2989" spans="1:2" x14ac:dyDescent="0.35">
      <c r="A2989" s="91" t="s">
        <v>2064</v>
      </c>
      <c r="B2989" s="9">
        <v>5</v>
      </c>
    </row>
    <row r="2990" spans="1:2" x14ac:dyDescent="0.35">
      <c r="A2990" s="91" t="s">
        <v>5023</v>
      </c>
      <c r="B2990" s="9">
        <v>7.6</v>
      </c>
    </row>
    <row r="2991" spans="1:2" x14ac:dyDescent="0.35">
      <c r="A2991" s="91" t="s">
        <v>3328</v>
      </c>
      <c r="B2991" s="9">
        <v>2.8</v>
      </c>
    </row>
    <row r="2992" spans="1:2" x14ac:dyDescent="0.35">
      <c r="A2992" s="91" t="s">
        <v>1485</v>
      </c>
      <c r="B2992" s="9">
        <v>3.8</v>
      </c>
    </row>
    <row r="2993" spans="1:2" x14ac:dyDescent="0.35">
      <c r="A2993" s="91" t="s">
        <v>3567</v>
      </c>
      <c r="B2993" s="9">
        <v>15.2</v>
      </c>
    </row>
    <row r="2994" spans="1:2" x14ac:dyDescent="0.35">
      <c r="A2994" s="91" t="s">
        <v>4281</v>
      </c>
      <c r="B2994" s="9">
        <v>8.8000000000000007</v>
      </c>
    </row>
    <row r="2995" spans="1:2" x14ac:dyDescent="0.35">
      <c r="A2995" s="91" t="s">
        <v>4542</v>
      </c>
      <c r="B2995" s="9">
        <v>11</v>
      </c>
    </row>
    <row r="2996" spans="1:2" x14ac:dyDescent="0.35">
      <c r="A2996" s="91" t="s">
        <v>5742</v>
      </c>
      <c r="B2996" s="9">
        <v>8.3999999999999986</v>
      </c>
    </row>
    <row r="2997" spans="1:2" x14ac:dyDescent="0.35">
      <c r="A2997" s="91" t="s">
        <v>4782</v>
      </c>
      <c r="B2997" s="9">
        <v>8.3999999999999986</v>
      </c>
    </row>
    <row r="2998" spans="1:2" x14ac:dyDescent="0.35">
      <c r="A2998" s="91" t="s">
        <v>2227</v>
      </c>
      <c r="B2998" s="9">
        <v>14</v>
      </c>
    </row>
    <row r="2999" spans="1:2" x14ac:dyDescent="0.35">
      <c r="A2999" s="91" t="s">
        <v>2170</v>
      </c>
      <c r="B2999" s="9">
        <v>6.6000000000000005</v>
      </c>
    </row>
    <row r="3000" spans="1:2" x14ac:dyDescent="0.35">
      <c r="A3000" s="91" t="s">
        <v>4357</v>
      </c>
      <c r="B3000" s="9">
        <v>10.5</v>
      </c>
    </row>
    <row r="3001" spans="1:2" x14ac:dyDescent="0.35">
      <c r="A3001" s="91" t="s">
        <v>5765</v>
      </c>
      <c r="B3001" s="9">
        <v>8.8000000000000007</v>
      </c>
    </row>
    <row r="3002" spans="1:2" x14ac:dyDescent="0.35">
      <c r="A3002" s="91" t="s">
        <v>1555</v>
      </c>
      <c r="B3002" s="9">
        <v>10</v>
      </c>
    </row>
    <row r="3003" spans="1:2" x14ac:dyDescent="0.35">
      <c r="A3003" s="91" t="s">
        <v>2409</v>
      </c>
      <c r="B3003" s="9">
        <v>14</v>
      </c>
    </row>
    <row r="3004" spans="1:2" x14ac:dyDescent="0.35">
      <c r="A3004" s="91" t="s">
        <v>3734</v>
      </c>
      <c r="B3004" s="9">
        <v>8.3999999999999986</v>
      </c>
    </row>
    <row r="3005" spans="1:2" x14ac:dyDescent="0.35">
      <c r="A3005" s="91" t="s">
        <v>5124</v>
      </c>
      <c r="B3005" s="9">
        <v>8.8000000000000007</v>
      </c>
    </row>
    <row r="3006" spans="1:2" x14ac:dyDescent="0.35">
      <c r="A3006" s="91" t="s">
        <v>5619</v>
      </c>
      <c r="B3006" s="9">
        <v>7.5</v>
      </c>
    </row>
    <row r="3007" spans="1:2" x14ac:dyDescent="0.35">
      <c r="A3007" s="91" t="s">
        <v>5519</v>
      </c>
      <c r="B3007" s="9">
        <v>8.8000000000000007</v>
      </c>
    </row>
    <row r="3008" spans="1:2" x14ac:dyDescent="0.35">
      <c r="A3008" s="91" t="s">
        <v>1330</v>
      </c>
      <c r="B3008" s="9">
        <v>15.2</v>
      </c>
    </row>
    <row r="3009" spans="1:2" x14ac:dyDescent="0.35">
      <c r="A3009" s="91" t="s">
        <v>5398</v>
      </c>
      <c r="B3009" s="9">
        <v>7</v>
      </c>
    </row>
    <row r="3010" spans="1:2" x14ac:dyDescent="0.35">
      <c r="A3010" s="91" t="s">
        <v>3568</v>
      </c>
      <c r="B3010" s="9">
        <v>10.5</v>
      </c>
    </row>
    <row r="3011" spans="1:2" x14ac:dyDescent="0.35">
      <c r="A3011" s="91" t="s">
        <v>2541</v>
      </c>
      <c r="B3011" s="9">
        <v>11.399999999999999</v>
      </c>
    </row>
    <row r="3012" spans="1:2" x14ac:dyDescent="0.35">
      <c r="A3012" s="91" t="s">
        <v>5538</v>
      </c>
      <c r="B3012" s="9">
        <v>7.5</v>
      </c>
    </row>
    <row r="3013" spans="1:2" x14ac:dyDescent="0.35">
      <c r="A3013" s="91" t="s">
        <v>4670</v>
      </c>
      <c r="B3013" s="9">
        <v>14</v>
      </c>
    </row>
    <row r="3014" spans="1:2" x14ac:dyDescent="0.35">
      <c r="A3014" s="91" t="s">
        <v>3597</v>
      </c>
      <c r="B3014" s="9">
        <v>12.5</v>
      </c>
    </row>
    <row r="3015" spans="1:2" x14ac:dyDescent="0.35">
      <c r="A3015" s="91" t="s">
        <v>502</v>
      </c>
      <c r="B3015" s="9">
        <v>2.5</v>
      </c>
    </row>
    <row r="3016" spans="1:2" x14ac:dyDescent="0.35">
      <c r="A3016" s="91" t="s">
        <v>5960</v>
      </c>
      <c r="B3016" s="9">
        <v>2.2000000000000002</v>
      </c>
    </row>
    <row r="3017" spans="1:2" x14ac:dyDescent="0.35">
      <c r="A3017" s="91" t="s">
        <v>2258</v>
      </c>
      <c r="B3017" s="9">
        <v>4.4000000000000004</v>
      </c>
    </row>
    <row r="3018" spans="1:2" x14ac:dyDescent="0.35">
      <c r="A3018" s="91" t="s">
        <v>4725</v>
      </c>
      <c r="B3018" s="9">
        <v>2.5</v>
      </c>
    </row>
    <row r="3019" spans="1:2" x14ac:dyDescent="0.35">
      <c r="A3019" s="91" t="s">
        <v>1647</v>
      </c>
      <c r="B3019" s="9">
        <v>8.8000000000000007</v>
      </c>
    </row>
    <row r="3020" spans="1:2" x14ac:dyDescent="0.35">
      <c r="A3020" s="91" t="s">
        <v>1621</v>
      </c>
      <c r="B3020" s="9">
        <v>3.8</v>
      </c>
    </row>
    <row r="3021" spans="1:2" x14ac:dyDescent="0.35">
      <c r="A3021" s="91" t="s">
        <v>4766</v>
      </c>
      <c r="B3021" s="9">
        <v>19</v>
      </c>
    </row>
    <row r="3022" spans="1:2" x14ac:dyDescent="0.35">
      <c r="A3022" s="91" t="s">
        <v>3414</v>
      </c>
      <c r="B3022" s="9">
        <v>8.8000000000000007</v>
      </c>
    </row>
    <row r="3023" spans="1:2" x14ac:dyDescent="0.35">
      <c r="A3023" s="91" t="s">
        <v>4610</v>
      </c>
      <c r="B3023" s="9">
        <v>14</v>
      </c>
    </row>
    <row r="3024" spans="1:2" x14ac:dyDescent="0.35">
      <c r="A3024" s="91" t="s">
        <v>5308</v>
      </c>
      <c r="B3024" s="9">
        <v>5</v>
      </c>
    </row>
    <row r="3025" spans="1:2" x14ac:dyDescent="0.35">
      <c r="A3025" s="91" t="s">
        <v>518</v>
      </c>
      <c r="B3025" s="9">
        <v>10</v>
      </c>
    </row>
    <row r="3026" spans="1:2" x14ac:dyDescent="0.35">
      <c r="A3026" s="91" t="s">
        <v>1282</v>
      </c>
      <c r="B3026" s="9">
        <v>7</v>
      </c>
    </row>
    <row r="3027" spans="1:2" x14ac:dyDescent="0.35">
      <c r="A3027" s="91" t="s">
        <v>1424</v>
      </c>
      <c r="B3027" s="9">
        <v>14</v>
      </c>
    </row>
    <row r="3028" spans="1:2" x14ac:dyDescent="0.35">
      <c r="A3028" s="91" t="s">
        <v>4303</v>
      </c>
      <c r="B3028" s="9">
        <v>14</v>
      </c>
    </row>
    <row r="3029" spans="1:2" x14ac:dyDescent="0.35">
      <c r="A3029" s="91" t="s">
        <v>2395</v>
      </c>
      <c r="B3029" s="9">
        <v>4.4000000000000004</v>
      </c>
    </row>
    <row r="3030" spans="1:2" x14ac:dyDescent="0.35">
      <c r="A3030" s="91" t="s">
        <v>5337</v>
      </c>
      <c r="B3030" s="9">
        <v>11.2</v>
      </c>
    </row>
    <row r="3031" spans="1:2" x14ac:dyDescent="0.35">
      <c r="A3031" s="91" t="s">
        <v>5886</v>
      </c>
      <c r="B3031" s="9">
        <v>5</v>
      </c>
    </row>
    <row r="3032" spans="1:2" x14ac:dyDescent="0.35">
      <c r="A3032" s="91" t="s">
        <v>4656</v>
      </c>
      <c r="B3032" s="9">
        <v>7.6</v>
      </c>
    </row>
    <row r="3033" spans="1:2" x14ac:dyDescent="0.35">
      <c r="A3033" s="91" t="s">
        <v>2303</v>
      </c>
      <c r="B3033" s="9">
        <v>10</v>
      </c>
    </row>
    <row r="3034" spans="1:2" x14ac:dyDescent="0.35">
      <c r="A3034" s="91" t="s">
        <v>4903</v>
      </c>
      <c r="B3034" s="9">
        <v>3.8</v>
      </c>
    </row>
    <row r="3035" spans="1:2" x14ac:dyDescent="0.35">
      <c r="A3035" s="91" t="s">
        <v>4808</v>
      </c>
      <c r="B3035" s="9">
        <v>11</v>
      </c>
    </row>
    <row r="3036" spans="1:2" x14ac:dyDescent="0.35">
      <c r="A3036" s="91" t="s">
        <v>1410</v>
      </c>
      <c r="B3036" s="9">
        <v>12.5</v>
      </c>
    </row>
    <row r="3037" spans="1:2" x14ac:dyDescent="0.35">
      <c r="A3037" s="91" t="s">
        <v>4624</v>
      </c>
      <c r="B3037" s="9">
        <v>3.5</v>
      </c>
    </row>
    <row r="3038" spans="1:2" x14ac:dyDescent="0.35">
      <c r="A3038" s="91" t="s">
        <v>2874</v>
      </c>
      <c r="B3038" s="9">
        <v>14</v>
      </c>
    </row>
    <row r="3039" spans="1:2" x14ac:dyDescent="0.35">
      <c r="A3039" s="91" t="s">
        <v>4493</v>
      </c>
      <c r="B3039" s="9">
        <v>7</v>
      </c>
    </row>
    <row r="3040" spans="1:2" x14ac:dyDescent="0.35">
      <c r="A3040" s="91" t="s">
        <v>960</v>
      </c>
      <c r="B3040" s="9">
        <v>2.5</v>
      </c>
    </row>
    <row r="3041" spans="1:2" x14ac:dyDescent="0.35">
      <c r="A3041" s="91" t="s">
        <v>3637</v>
      </c>
      <c r="B3041" s="9">
        <v>7</v>
      </c>
    </row>
    <row r="3042" spans="1:2" x14ac:dyDescent="0.35">
      <c r="A3042" s="91" t="s">
        <v>2228</v>
      </c>
      <c r="B3042" s="9">
        <v>11</v>
      </c>
    </row>
    <row r="3043" spans="1:2" x14ac:dyDescent="0.35">
      <c r="A3043" s="91" t="s">
        <v>3231</v>
      </c>
      <c r="B3043" s="9">
        <v>3.8</v>
      </c>
    </row>
    <row r="3044" spans="1:2" x14ac:dyDescent="0.35">
      <c r="A3044" s="91" t="s">
        <v>1951</v>
      </c>
      <c r="B3044" s="9">
        <v>11.2</v>
      </c>
    </row>
    <row r="3045" spans="1:2" x14ac:dyDescent="0.35">
      <c r="A3045" s="91" t="s">
        <v>5636</v>
      </c>
      <c r="B3045" s="9">
        <v>6.6000000000000005</v>
      </c>
    </row>
    <row r="3046" spans="1:2" x14ac:dyDescent="0.35">
      <c r="A3046" s="91" t="s">
        <v>2691</v>
      </c>
      <c r="B3046" s="9">
        <v>10.5</v>
      </c>
    </row>
    <row r="3047" spans="1:2" x14ac:dyDescent="0.35">
      <c r="A3047" s="91" t="s">
        <v>5338</v>
      </c>
      <c r="B3047" s="9">
        <v>11.399999999999999</v>
      </c>
    </row>
    <row r="3048" spans="1:2" x14ac:dyDescent="0.35">
      <c r="A3048" s="91" t="s">
        <v>5986</v>
      </c>
      <c r="B3048" s="9">
        <v>7</v>
      </c>
    </row>
    <row r="3049" spans="1:2" x14ac:dyDescent="0.35">
      <c r="A3049" s="91" t="s">
        <v>4783</v>
      </c>
      <c r="B3049" s="9">
        <v>19</v>
      </c>
    </row>
    <row r="3050" spans="1:2" x14ac:dyDescent="0.35">
      <c r="A3050" s="91" t="s">
        <v>5857</v>
      </c>
      <c r="B3050" s="9">
        <v>5</v>
      </c>
    </row>
    <row r="3051" spans="1:2" x14ac:dyDescent="0.35">
      <c r="A3051" s="91" t="s">
        <v>4358</v>
      </c>
      <c r="B3051" s="9">
        <v>5</v>
      </c>
    </row>
    <row r="3052" spans="1:2" x14ac:dyDescent="0.35">
      <c r="A3052" s="91" t="s">
        <v>2749</v>
      </c>
      <c r="B3052" s="9">
        <v>15.2</v>
      </c>
    </row>
    <row r="3053" spans="1:2" x14ac:dyDescent="0.35">
      <c r="A3053" s="91" t="s">
        <v>4998</v>
      </c>
      <c r="B3053" s="9">
        <v>2.2000000000000002</v>
      </c>
    </row>
    <row r="3054" spans="1:2" x14ac:dyDescent="0.35">
      <c r="A3054" s="91" t="s">
        <v>5620</v>
      </c>
      <c r="B3054" s="9">
        <v>4.4000000000000004</v>
      </c>
    </row>
    <row r="3055" spans="1:2" x14ac:dyDescent="0.35">
      <c r="A3055" s="91" t="s">
        <v>2448</v>
      </c>
      <c r="B3055" s="9">
        <v>12.5</v>
      </c>
    </row>
    <row r="3056" spans="1:2" x14ac:dyDescent="0.35">
      <c r="A3056" s="91" t="s">
        <v>3991</v>
      </c>
      <c r="B3056" s="9">
        <v>11.2</v>
      </c>
    </row>
    <row r="3057" spans="1:2" x14ac:dyDescent="0.35">
      <c r="A3057" s="91" t="s">
        <v>5831</v>
      </c>
      <c r="B3057" s="9">
        <v>19</v>
      </c>
    </row>
    <row r="3058" spans="1:2" x14ac:dyDescent="0.35">
      <c r="A3058" s="91" t="s">
        <v>4314</v>
      </c>
      <c r="B3058" s="9">
        <v>7.6</v>
      </c>
    </row>
    <row r="3059" spans="1:2" x14ac:dyDescent="0.35">
      <c r="A3059" s="91" t="s">
        <v>1711</v>
      </c>
      <c r="B3059" s="9">
        <v>4.4000000000000004</v>
      </c>
    </row>
    <row r="3060" spans="1:2" x14ac:dyDescent="0.35">
      <c r="A3060" s="91" t="s">
        <v>1726</v>
      </c>
      <c r="B3060" s="9">
        <v>7.6</v>
      </c>
    </row>
    <row r="3061" spans="1:2" x14ac:dyDescent="0.35">
      <c r="A3061" s="91" t="s">
        <v>4244</v>
      </c>
      <c r="B3061" s="9">
        <v>7</v>
      </c>
    </row>
    <row r="3062" spans="1:2" x14ac:dyDescent="0.35">
      <c r="A3062" s="91" t="s">
        <v>3299</v>
      </c>
      <c r="B3062" s="9">
        <v>11</v>
      </c>
    </row>
    <row r="3063" spans="1:2" x14ac:dyDescent="0.35">
      <c r="A3063" s="91" t="s">
        <v>4282</v>
      </c>
      <c r="B3063" s="9">
        <v>6.6000000000000005</v>
      </c>
    </row>
    <row r="3064" spans="1:2" x14ac:dyDescent="0.35">
      <c r="A3064" s="91" t="s">
        <v>3793</v>
      </c>
      <c r="B3064" s="9">
        <v>2.8</v>
      </c>
    </row>
    <row r="3065" spans="1:2" x14ac:dyDescent="0.35">
      <c r="A3065" s="91" t="s">
        <v>3500</v>
      </c>
      <c r="B3065" s="9">
        <v>7.5</v>
      </c>
    </row>
    <row r="3066" spans="1:2" x14ac:dyDescent="0.35">
      <c r="A3066" s="91" t="s">
        <v>1368</v>
      </c>
      <c r="B3066" s="9">
        <v>3.8</v>
      </c>
    </row>
    <row r="3067" spans="1:2" x14ac:dyDescent="0.35">
      <c r="A3067" s="91" t="s">
        <v>5714</v>
      </c>
      <c r="B3067" s="9">
        <v>17.5</v>
      </c>
    </row>
    <row r="3068" spans="1:2" x14ac:dyDescent="0.35">
      <c r="A3068" s="91" t="s">
        <v>3130</v>
      </c>
      <c r="B3068" s="9">
        <v>7</v>
      </c>
    </row>
    <row r="3069" spans="1:2" x14ac:dyDescent="0.35">
      <c r="A3069" s="91" t="s">
        <v>2396</v>
      </c>
      <c r="B3069" s="9">
        <v>19</v>
      </c>
    </row>
    <row r="3070" spans="1:2" x14ac:dyDescent="0.35">
      <c r="A3070" s="91" t="s">
        <v>3848</v>
      </c>
      <c r="B3070" s="9">
        <v>7</v>
      </c>
    </row>
    <row r="3071" spans="1:2" x14ac:dyDescent="0.35">
      <c r="A3071" s="91" t="s">
        <v>325</v>
      </c>
      <c r="B3071" s="9">
        <v>4.4000000000000004</v>
      </c>
    </row>
    <row r="3072" spans="1:2" x14ac:dyDescent="0.35">
      <c r="A3072" s="91" t="s">
        <v>5953</v>
      </c>
      <c r="B3072" s="9">
        <v>5.6</v>
      </c>
    </row>
    <row r="3073" spans="1:2" x14ac:dyDescent="0.35">
      <c r="A3073" s="91" t="s">
        <v>4969</v>
      </c>
      <c r="B3073" s="9">
        <v>4.4000000000000004</v>
      </c>
    </row>
    <row r="3074" spans="1:2" x14ac:dyDescent="0.35">
      <c r="A3074" s="91" t="s">
        <v>672</v>
      </c>
      <c r="B3074" s="9">
        <v>10.5</v>
      </c>
    </row>
    <row r="3075" spans="1:2" x14ac:dyDescent="0.35">
      <c r="A3075" s="91" t="s">
        <v>2319</v>
      </c>
      <c r="B3075" s="9">
        <v>12.5</v>
      </c>
    </row>
    <row r="3076" spans="1:2" x14ac:dyDescent="0.35">
      <c r="A3076" s="91" t="s">
        <v>3269</v>
      </c>
      <c r="B3076" s="9">
        <v>4.4000000000000004</v>
      </c>
    </row>
    <row r="3077" spans="1:2" x14ac:dyDescent="0.35">
      <c r="A3077" s="91" t="s">
        <v>5726</v>
      </c>
      <c r="B3077" s="9">
        <v>4.4000000000000004</v>
      </c>
    </row>
    <row r="3078" spans="1:2" x14ac:dyDescent="0.35">
      <c r="A3078" s="91" t="s">
        <v>5056</v>
      </c>
      <c r="B3078" s="9">
        <v>11.399999999999999</v>
      </c>
    </row>
    <row r="3079" spans="1:2" x14ac:dyDescent="0.35">
      <c r="A3079" s="91" t="s">
        <v>6001</v>
      </c>
      <c r="B3079" s="9">
        <v>14</v>
      </c>
    </row>
    <row r="3080" spans="1:2" x14ac:dyDescent="0.35">
      <c r="A3080" s="91" t="s">
        <v>4726</v>
      </c>
      <c r="B3080" s="9">
        <v>8.3999999999999986</v>
      </c>
    </row>
    <row r="3081" spans="1:2" x14ac:dyDescent="0.35">
      <c r="A3081" s="91" t="s">
        <v>3827</v>
      </c>
      <c r="B3081" s="9">
        <v>10.5</v>
      </c>
    </row>
    <row r="3082" spans="1:2" x14ac:dyDescent="0.35">
      <c r="A3082" s="91" t="s">
        <v>3270</v>
      </c>
      <c r="B3082" s="9">
        <v>5.6</v>
      </c>
    </row>
    <row r="3083" spans="1:2" x14ac:dyDescent="0.35">
      <c r="A3083" s="91" t="s">
        <v>3452</v>
      </c>
      <c r="B3083" s="9">
        <v>7</v>
      </c>
    </row>
    <row r="3084" spans="1:2" x14ac:dyDescent="0.35">
      <c r="A3084" s="91" t="s">
        <v>1798</v>
      </c>
      <c r="B3084" s="9">
        <v>15.2</v>
      </c>
    </row>
    <row r="3085" spans="1:2" x14ac:dyDescent="0.35">
      <c r="A3085" s="91" t="s">
        <v>4740</v>
      </c>
      <c r="B3085" s="9">
        <v>6.6000000000000005</v>
      </c>
    </row>
    <row r="3086" spans="1:2" x14ac:dyDescent="0.35">
      <c r="A3086" s="91" t="s">
        <v>270</v>
      </c>
      <c r="B3086" s="9">
        <v>7</v>
      </c>
    </row>
    <row r="3087" spans="1:2" x14ac:dyDescent="0.35">
      <c r="A3087" s="91" t="s">
        <v>2362</v>
      </c>
      <c r="B3087" s="9">
        <v>7.5</v>
      </c>
    </row>
    <row r="3088" spans="1:2" x14ac:dyDescent="0.35">
      <c r="A3088" s="91" t="s">
        <v>1511</v>
      </c>
      <c r="B3088" s="9">
        <v>3.8</v>
      </c>
    </row>
    <row r="3089" spans="1:2" x14ac:dyDescent="0.35">
      <c r="A3089" s="91" t="s">
        <v>2333</v>
      </c>
      <c r="B3089" s="9">
        <v>4.4000000000000004</v>
      </c>
    </row>
    <row r="3090" spans="1:2" x14ac:dyDescent="0.35">
      <c r="A3090" s="91" t="s">
        <v>5565</v>
      </c>
      <c r="B3090" s="9">
        <v>7.5</v>
      </c>
    </row>
    <row r="3091" spans="1:2" x14ac:dyDescent="0.35">
      <c r="A3091" s="91" t="s">
        <v>1311</v>
      </c>
      <c r="B3091" s="9">
        <v>7</v>
      </c>
    </row>
    <row r="3092" spans="1:2" x14ac:dyDescent="0.35">
      <c r="A3092" s="91" t="s">
        <v>2673</v>
      </c>
      <c r="B3092" s="9">
        <v>3.5</v>
      </c>
    </row>
    <row r="3093" spans="1:2" x14ac:dyDescent="0.35">
      <c r="A3093" s="91" t="s">
        <v>4423</v>
      </c>
      <c r="B3093" s="9">
        <v>5</v>
      </c>
    </row>
    <row r="3094" spans="1:2" x14ac:dyDescent="0.35">
      <c r="A3094" s="91" t="s">
        <v>3745</v>
      </c>
      <c r="B3094" s="9">
        <v>19</v>
      </c>
    </row>
    <row r="3095" spans="1:2" x14ac:dyDescent="0.35">
      <c r="A3095" s="91" t="s">
        <v>3337</v>
      </c>
      <c r="B3095" s="9">
        <v>7.5</v>
      </c>
    </row>
    <row r="3096" spans="1:2" x14ac:dyDescent="0.35">
      <c r="A3096" s="91" t="s">
        <v>2989</v>
      </c>
      <c r="B3096" s="9">
        <v>14</v>
      </c>
    </row>
    <row r="3097" spans="1:2" x14ac:dyDescent="0.35">
      <c r="A3097" s="91" t="s">
        <v>1380</v>
      </c>
      <c r="B3097" s="9">
        <v>2.8</v>
      </c>
    </row>
    <row r="3098" spans="1:2" x14ac:dyDescent="0.35">
      <c r="A3098" s="91" t="s">
        <v>1868</v>
      </c>
      <c r="B3098" s="9">
        <v>2.5</v>
      </c>
    </row>
    <row r="3099" spans="1:2" x14ac:dyDescent="0.35">
      <c r="A3099" s="91" t="s">
        <v>3899</v>
      </c>
      <c r="B3099" s="9">
        <v>2.8</v>
      </c>
    </row>
    <row r="3100" spans="1:2" x14ac:dyDescent="0.35">
      <c r="A3100" s="91" t="s">
        <v>5903</v>
      </c>
      <c r="B3100" s="9">
        <v>11</v>
      </c>
    </row>
    <row r="3101" spans="1:2" x14ac:dyDescent="0.35">
      <c r="A3101" s="91" t="s">
        <v>1648</v>
      </c>
      <c r="B3101" s="9">
        <v>17.5</v>
      </c>
    </row>
    <row r="3102" spans="1:2" x14ac:dyDescent="0.35">
      <c r="A3102" s="91" t="s">
        <v>3174</v>
      </c>
      <c r="B3102" s="9">
        <v>8.8000000000000007</v>
      </c>
    </row>
    <row r="3103" spans="1:2" x14ac:dyDescent="0.35">
      <c r="A3103" s="91" t="s">
        <v>3746</v>
      </c>
      <c r="B3103" s="9">
        <v>15.2</v>
      </c>
    </row>
    <row r="3104" spans="1:2" x14ac:dyDescent="0.35">
      <c r="A3104" s="91" t="s">
        <v>1412</v>
      </c>
      <c r="B3104" s="9">
        <v>17.5</v>
      </c>
    </row>
    <row r="3105" spans="1:2" x14ac:dyDescent="0.35">
      <c r="A3105" s="91" t="s">
        <v>4162</v>
      </c>
      <c r="B3105" s="9">
        <v>8.3999999999999986</v>
      </c>
    </row>
    <row r="3106" spans="1:2" x14ac:dyDescent="0.35">
      <c r="A3106" s="91" t="s">
        <v>1683</v>
      </c>
      <c r="B3106" s="9">
        <v>11.399999999999999</v>
      </c>
    </row>
    <row r="3107" spans="1:2" x14ac:dyDescent="0.35">
      <c r="A3107" s="91" t="s">
        <v>5621</v>
      </c>
      <c r="B3107" s="9">
        <v>7</v>
      </c>
    </row>
    <row r="3108" spans="1:2" x14ac:dyDescent="0.35">
      <c r="A3108" s="91" t="s">
        <v>2449</v>
      </c>
      <c r="B3108" s="9">
        <v>8.3999999999999986</v>
      </c>
    </row>
    <row r="3109" spans="1:2" x14ac:dyDescent="0.35">
      <c r="A3109" s="91" t="s">
        <v>3373</v>
      </c>
      <c r="B3109" s="9">
        <v>14</v>
      </c>
    </row>
    <row r="3110" spans="1:2" x14ac:dyDescent="0.35">
      <c r="A3110" s="91" t="s">
        <v>973</v>
      </c>
      <c r="B3110" s="9">
        <v>5.6</v>
      </c>
    </row>
    <row r="3111" spans="1:2" x14ac:dyDescent="0.35">
      <c r="A3111" s="91" t="s">
        <v>5178</v>
      </c>
      <c r="B3111" s="9">
        <v>14</v>
      </c>
    </row>
    <row r="3112" spans="1:2" x14ac:dyDescent="0.35">
      <c r="A3112" s="91" t="s">
        <v>4117</v>
      </c>
      <c r="B3112" s="9">
        <v>5</v>
      </c>
    </row>
    <row r="3113" spans="1:2" x14ac:dyDescent="0.35">
      <c r="A3113" s="91" t="s">
        <v>5914</v>
      </c>
      <c r="B3113" s="9">
        <v>19</v>
      </c>
    </row>
    <row r="3114" spans="1:2" x14ac:dyDescent="0.35">
      <c r="A3114" s="91" t="s">
        <v>3415</v>
      </c>
      <c r="B3114" s="9">
        <v>14</v>
      </c>
    </row>
    <row r="3115" spans="1:2" x14ac:dyDescent="0.35">
      <c r="A3115" s="91" t="s">
        <v>3992</v>
      </c>
      <c r="B3115" s="9">
        <v>5.6</v>
      </c>
    </row>
    <row r="3116" spans="1:2" x14ac:dyDescent="0.35">
      <c r="A3116" s="91" t="s">
        <v>4075</v>
      </c>
      <c r="B3116" s="9">
        <v>14</v>
      </c>
    </row>
    <row r="3117" spans="1:2" x14ac:dyDescent="0.35">
      <c r="A3117" s="91" t="s">
        <v>3482</v>
      </c>
      <c r="B3117" s="9">
        <v>8.8000000000000007</v>
      </c>
    </row>
    <row r="3118" spans="1:2" x14ac:dyDescent="0.35">
      <c r="A3118" s="91" t="s">
        <v>1820</v>
      </c>
      <c r="B3118" s="9">
        <v>17.5</v>
      </c>
    </row>
    <row r="3119" spans="1:2" x14ac:dyDescent="0.35">
      <c r="A3119" s="91" t="s">
        <v>773</v>
      </c>
      <c r="B3119" s="9">
        <v>15.2</v>
      </c>
    </row>
    <row r="3120" spans="1:2" x14ac:dyDescent="0.35">
      <c r="A3120" s="91" t="s">
        <v>2647</v>
      </c>
      <c r="B3120" s="9">
        <v>3.5</v>
      </c>
    </row>
    <row r="3121" spans="1:2" x14ac:dyDescent="0.35">
      <c r="A3121" s="91" t="s">
        <v>2202</v>
      </c>
      <c r="B3121" s="9">
        <v>12.5</v>
      </c>
    </row>
    <row r="3122" spans="1:2" x14ac:dyDescent="0.35">
      <c r="A3122" s="91" t="s">
        <v>649</v>
      </c>
      <c r="B3122" s="9">
        <v>8.3999999999999986</v>
      </c>
    </row>
    <row r="3123" spans="1:2" x14ac:dyDescent="0.35">
      <c r="A3123" s="91" t="s">
        <v>3961</v>
      </c>
      <c r="B3123" s="9">
        <v>6.6000000000000005</v>
      </c>
    </row>
    <row r="3124" spans="1:2" x14ac:dyDescent="0.35">
      <c r="A3124" s="91" t="s">
        <v>2831</v>
      </c>
      <c r="B3124" s="9">
        <v>7</v>
      </c>
    </row>
    <row r="3125" spans="1:2" x14ac:dyDescent="0.35">
      <c r="A3125" s="91" t="s">
        <v>3196</v>
      </c>
      <c r="B3125" s="9">
        <v>12.5</v>
      </c>
    </row>
    <row r="3126" spans="1:2" x14ac:dyDescent="0.35">
      <c r="A3126" s="91" t="s">
        <v>5283</v>
      </c>
      <c r="B3126" s="9">
        <v>15.2</v>
      </c>
    </row>
    <row r="3127" spans="1:2" x14ac:dyDescent="0.35">
      <c r="A3127" s="91" t="s">
        <v>5584</v>
      </c>
      <c r="B3127" s="9">
        <v>10.5</v>
      </c>
    </row>
    <row r="3128" spans="1:2" x14ac:dyDescent="0.35">
      <c r="A3128" s="91" t="s">
        <v>5756</v>
      </c>
      <c r="B3128" s="9">
        <v>14</v>
      </c>
    </row>
    <row r="3129" spans="1:2" x14ac:dyDescent="0.35">
      <c r="A3129" s="91" t="s">
        <v>3131</v>
      </c>
      <c r="B3129" s="9">
        <v>2.8</v>
      </c>
    </row>
    <row r="3130" spans="1:2" x14ac:dyDescent="0.35">
      <c r="A3130" s="91" t="s">
        <v>3501</v>
      </c>
      <c r="B3130" s="9">
        <v>5</v>
      </c>
    </row>
    <row r="3131" spans="1:2" x14ac:dyDescent="0.35">
      <c r="A3131" s="91" t="s">
        <v>1107</v>
      </c>
      <c r="B3131" s="9">
        <v>15.2</v>
      </c>
    </row>
    <row r="3132" spans="1:2" x14ac:dyDescent="0.35">
      <c r="A3132" s="91" t="s">
        <v>1425</v>
      </c>
      <c r="B3132" s="9">
        <v>2.8</v>
      </c>
    </row>
    <row r="3133" spans="1:2" x14ac:dyDescent="0.35">
      <c r="A3133" s="91" t="s">
        <v>5871</v>
      </c>
      <c r="B3133" s="9">
        <v>19</v>
      </c>
    </row>
    <row r="3134" spans="1:2" x14ac:dyDescent="0.35">
      <c r="A3134" s="91" t="s">
        <v>4434</v>
      </c>
      <c r="B3134" s="9">
        <v>10.5</v>
      </c>
    </row>
    <row r="3135" spans="1:2" x14ac:dyDescent="0.35">
      <c r="A3135" s="91" t="s">
        <v>2410</v>
      </c>
      <c r="B3135" s="9">
        <v>10</v>
      </c>
    </row>
    <row r="3136" spans="1:2" x14ac:dyDescent="0.35">
      <c r="A3136" s="91" t="s">
        <v>2434</v>
      </c>
      <c r="B3136" s="9">
        <v>2.5</v>
      </c>
    </row>
    <row r="3137" spans="1:2" x14ac:dyDescent="0.35">
      <c r="A3137" s="91" t="s">
        <v>2522</v>
      </c>
      <c r="B3137" s="9">
        <v>10</v>
      </c>
    </row>
    <row r="3138" spans="1:2" x14ac:dyDescent="0.35">
      <c r="A3138" s="91" t="s">
        <v>2152</v>
      </c>
      <c r="B3138" s="9">
        <v>11.2</v>
      </c>
    </row>
    <row r="3139" spans="1:2" x14ac:dyDescent="0.35">
      <c r="A3139" s="91" t="s">
        <v>4332</v>
      </c>
      <c r="B3139" s="9">
        <v>11</v>
      </c>
    </row>
    <row r="3140" spans="1:2" x14ac:dyDescent="0.35">
      <c r="A3140" s="91" t="s">
        <v>556</v>
      </c>
      <c r="B3140" s="9">
        <v>2.8</v>
      </c>
    </row>
    <row r="3141" spans="1:2" x14ac:dyDescent="0.35">
      <c r="A3141" s="91" t="s">
        <v>3736</v>
      </c>
      <c r="B3141" s="9">
        <v>11.399999999999999</v>
      </c>
    </row>
    <row r="3142" spans="1:2" x14ac:dyDescent="0.35">
      <c r="A3142" s="91" t="s">
        <v>5904</v>
      </c>
      <c r="B3142" s="9">
        <v>17.5</v>
      </c>
    </row>
    <row r="3143" spans="1:2" x14ac:dyDescent="0.35">
      <c r="A3143" s="91" t="s">
        <v>5727</v>
      </c>
      <c r="B3143" s="9">
        <v>15.2</v>
      </c>
    </row>
    <row r="3144" spans="1:2" x14ac:dyDescent="0.35">
      <c r="A3144" s="91" t="s">
        <v>3849</v>
      </c>
      <c r="B3144" s="9">
        <v>11.2</v>
      </c>
    </row>
    <row r="3145" spans="1:2" x14ac:dyDescent="0.35">
      <c r="A3145" s="91" t="s">
        <v>557</v>
      </c>
      <c r="B3145" s="9">
        <v>7.5</v>
      </c>
    </row>
    <row r="3146" spans="1:2" x14ac:dyDescent="0.35">
      <c r="A3146" s="91" t="s">
        <v>3067</v>
      </c>
      <c r="B3146" s="9">
        <v>15.2</v>
      </c>
    </row>
    <row r="3147" spans="1:2" x14ac:dyDescent="0.35">
      <c r="A3147" s="91" t="s">
        <v>3737</v>
      </c>
      <c r="B3147" s="9">
        <v>2.2000000000000002</v>
      </c>
    </row>
    <row r="3148" spans="1:2" x14ac:dyDescent="0.35">
      <c r="A3148" s="91" t="s">
        <v>4784</v>
      </c>
      <c r="B3148" s="9">
        <v>10.5</v>
      </c>
    </row>
    <row r="3149" spans="1:2" x14ac:dyDescent="0.35">
      <c r="A3149" s="91" t="s">
        <v>2259</v>
      </c>
      <c r="B3149" s="9">
        <v>11.399999999999999</v>
      </c>
    </row>
    <row r="3150" spans="1:2" x14ac:dyDescent="0.35">
      <c r="A3150" s="91" t="s">
        <v>2171</v>
      </c>
      <c r="B3150" s="9">
        <v>8.8000000000000007</v>
      </c>
    </row>
    <row r="3151" spans="1:2" x14ac:dyDescent="0.35">
      <c r="A3151" s="91" t="s">
        <v>715</v>
      </c>
      <c r="B3151" s="9">
        <v>2.5</v>
      </c>
    </row>
    <row r="3152" spans="1:2" x14ac:dyDescent="0.35">
      <c r="A3152" s="91" t="s">
        <v>5309</v>
      </c>
      <c r="B3152" s="9">
        <v>3.8</v>
      </c>
    </row>
    <row r="3153" spans="1:2" x14ac:dyDescent="0.35">
      <c r="A3153" s="91" t="s">
        <v>4346</v>
      </c>
      <c r="B3153" s="9">
        <v>12.5</v>
      </c>
    </row>
    <row r="3154" spans="1:2" x14ac:dyDescent="0.35">
      <c r="A3154" s="91" t="s">
        <v>3655</v>
      </c>
      <c r="B3154" s="9">
        <v>15.2</v>
      </c>
    </row>
    <row r="3155" spans="1:2" x14ac:dyDescent="0.35">
      <c r="A3155" s="91" t="s">
        <v>4799</v>
      </c>
      <c r="B3155" s="9">
        <v>7</v>
      </c>
    </row>
    <row r="3156" spans="1:2" x14ac:dyDescent="0.35">
      <c r="A3156" s="91" t="s">
        <v>2542</v>
      </c>
      <c r="B3156" s="9">
        <v>6.6000000000000005</v>
      </c>
    </row>
    <row r="3157" spans="1:2" x14ac:dyDescent="0.35">
      <c r="A3157" s="91" t="s">
        <v>3884</v>
      </c>
      <c r="B3157" s="9">
        <v>4.4000000000000004</v>
      </c>
    </row>
    <row r="3158" spans="1:2" x14ac:dyDescent="0.35">
      <c r="A3158" s="91" t="s">
        <v>4412</v>
      </c>
      <c r="B3158" s="9">
        <v>11.399999999999999</v>
      </c>
    </row>
    <row r="3159" spans="1:2" x14ac:dyDescent="0.35">
      <c r="A3159" s="91" t="s">
        <v>1108</v>
      </c>
      <c r="B3159" s="9">
        <v>6.6000000000000005</v>
      </c>
    </row>
    <row r="3160" spans="1:2" x14ac:dyDescent="0.35">
      <c r="A3160" s="91" t="s">
        <v>3300</v>
      </c>
      <c r="B3160" s="9">
        <v>6.6000000000000005</v>
      </c>
    </row>
    <row r="3161" spans="1:2" x14ac:dyDescent="0.35">
      <c r="A3161" s="91" t="s">
        <v>2674</v>
      </c>
      <c r="B3161" s="9">
        <v>2.2000000000000002</v>
      </c>
    </row>
    <row r="3162" spans="1:2" x14ac:dyDescent="0.35">
      <c r="A3162" s="91" t="s">
        <v>5973</v>
      </c>
      <c r="B3162" s="9">
        <v>4.4000000000000004</v>
      </c>
    </row>
    <row r="3163" spans="1:2" x14ac:dyDescent="0.35">
      <c r="A3163" s="91" t="s">
        <v>2891</v>
      </c>
      <c r="B3163" s="9">
        <v>5.6</v>
      </c>
    </row>
    <row r="3164" spans="1:2" x14ac:dyDescent="0.35">
      <c r="A3164" s="91" t="s">
        <v>1442</v>
      </c>
      <c r="B3164" s="9">
        <v>11.2</v>
      </c>
    </row>
    <row r="3165" spans="1:2" x14ac:dyDescent="0.35">
      <c r="A3165" s="91" t="s">
        <v>3517</v>
      </c>
      <c r="B3165" s="9">
        <v>7.5</v>
      </c>
    </row>
    <row r="3166" spans="1:2" x14ac:dyDescent="0.35">
      <c r="A3166" s="91" t="s">
        <v>420</v>
      </c>
      <c r="B3166" s="9">
        <v>7.5</v>
      </c>
    </row>
    <row r="3167" spans="1:2" x14ac:dyDescent="0.35">
      <c r="A3167" s="91" t="s">
        <v>4245</v>
      </c>
      <c r="B3167" s="9">
        <v>3.5</v>
      </c>
    </row>
    <row r="3168" spans="1:2" x14ac:dyDescent="0.35">
      <c r="A3168" s="91" t="s">
        <v>2363</v>
      </c>
      <c r="B3168" s="9">
        <v>10.5</v>
      </c>
    </row>
    <row r="3169" spans="1:2" x14ac:dyDescent="0.35">
      <c r="A3169" s="91" t="s">
        <v>3971</v>
      </c>
      <c r="B3169" s="9">
        <v>11</v>
      </c>
    </row>
    <row r="3170" spans="1:2" x14ac:dyDescent="0.35">
      <c r="A3170" s="91" t="s">
        <v>2203</v>
      </c>
      <c r="B3170" s="9">
        <v>3.5</v>
      </c>
    </row>
    <row r="3171" spans="1:2" x14ac:dyDescent="0.35">
      <c r="A3171" s="91" t="s">
        <v>2604</v>
      </c>
      <c r="B3171" s="9">
        <v>4.4000000000000004</v>
      </c>
    </row>
    <row r="3172" spans="1:2" x14ac:dyDescent="0.35">
      <c r="A3172" s="91" t="s">
        <v>1313</v>
      </c>
      <c r="B3172" s="9">
        <v>3.5</v>
      </c>
    </row>
    <row r="3173" spans="1:2" x14ac:dyDescent="0.35">
      <c r="A3173" s="91" t="s">
        <v>651</v>
      </c>
      <c r="B3173" s="9">
        <v>2.5</v>
      </c>
    </row>
    <row r="3174" spans="1:2" x14ac:dyDescent="0.35">
      <c r="A3174" s="91" t="s">
        <v>1443</v>
      </c>
      <c r="B3174" s="9">
        <v>10</v>
      </c>
    </row>
    <row r="3175" spans="1:2" x14ac:dyDescent="0.35">
      <c r="A3175" s="91" t="s">
        <v>4986</v>
      </c>
      <c r="B3175" s="9">
        <v>7.5</v>
      </c>
    </row>
    <row r="3176" spans="1:2" x14ac:dyDescent="0.35">
      <c r="A3176" s="91" t="s">
        <v>4757</v>
      </c>
      <c r="B3176" s="9">
        <v>11</v>
      </c>
    </row>
    <row r="3177" spans="1:2" x14ac:dyDescent="0.35">
      <c r="A3177" s="91" t="s">
        <v>1557</v>
      </c>
      <c r="B3177" s="9">
        <v>11.2</v>
      </c>
    </row>
    <row r="3178" spans="1:2" x14ac:dyDescent="0.35">
      <c r="A3178" s="91" t="s">
        <v>4642</v>
      </c>
      <c r="B3178" s="9">
        <v>19</v>
      </c>
    </row>
    <row r="3179" spans="1:2" x14ac:dyDescent="0.35">
      <c r="A3179" s="91" t="s">
        <v>221</v>
      </c>
      <c r="B3179" s="9">
        <v>4.4000000000000004</v>
      </c>
    </row>
    <row r="3180" spans="1:2" x14ac:dyDescent="0.35">
      <c r="A3180" s="91" t="s">
        <v>5184</v>
      </c>
      <c r="B3180" s="9">
        <v>2.8</v>
      </c>
    </row>
    <row r="3181" spans="1:2" x14ac:dyDescent="0.35">
      <c r="A3181" s="91" t="s">
        <v>4383</v>
      </c>
      <c r="B3181" s="9">
        <v>5.6</v>
      </c>
    </row>
    <row r="3182" spans="1:2" x14ac:dyDescent="0.35">
      <c r="A3182" s="91" t="s">
        <v>2243</v>
      </c>
      <c r="B3182" s="9">
        <v>5</v>
      </c>
    </row>
    <row r="3183" spans="1:2" x14ac:dyDescent="0.35">
      <c r="A3183" s="91" t="s">
        <v>3100</v>
      </c>
      <c r="B3183" s="9">
        <v>4.4000000000000004</v>
      </c>
    </row>
    <row r="3184" spans="1:2" x14ac:dyDescent="0.35">
      <c r="A3184" s="91" t="s">
        <v>46</v>
      </c>
      <c r="B3184" s="9">
        <v>5</v>
      </c>
    </row>
    <row r="3185" spans="1:2" x14ac:dyDescent="0.35">
      <c r="A3185" s="91" t="s">
        <v>1487</v>
      </c>
      <c r="B3185" s="9">
        <v>11</v>
      </c>
    </row>
    <row r="3186" spans="1:2" x14ac:dyDescent="0.35">
      <c r="A3186" s="91" t="s">
        <v>5099</v>
      </c>
      <c r="B3186" s="9">
        <v>8.8000000000000007</v>
      </c>
    </row>
    <row r="3187" spans="1:2" x14ac:dyDescent="0.35">
      <c r="A3187" s="91" t="s">
        <v>2173</v>
      </c>
      <c r="B3187" s="9">
        <v>11.2</v>
      </c>
    </row>
    <row r="3188" spans="1:2" x14ac:dyDescent="0.35">
      <c r="A3188" s="91" t="s">
        <v>865</v>
      </c>
      <c r="B3188" s="9">
        <v>3.8</v>
      </c>
    </row>
    <row r="3189" spans="1:2" x14ac:dyDescent="0.35">
      <c r="A3189" s="91" t="s">
        <v>3232</v>
      </c>
      <c r="B3189" s="9">
        <v>14</v>
      </c>
    </row>
    <row r="3190" spans="1:2" x14ac:dyDescent="0.35">
      <c r="A3190" s="91" t="s">
        <v>4575</v>
      </c>
      <c r="B3190" s="9">
        <v>7.5</v>
      </c>
    </row>
    <row r="3191" spans="1:2" x14ac:dyDescent="0.35">
      <c r="A3191" s="91" t="s">
        <v>4459</v>
      </c>
      <c r="B3191" s="9">
        <v>7.5</v>
      </c>
    </row>
    <row r="3192" spans="1:2" x14ac:dyDescent="0.35">
      <c r="A3192" s="91" t="s">
        <v>866</v>
      </c>
      <c r="B3192" s="9">
        <v>5</v>
      </c>
    </row>
    <row r="3193" spans="1:2" x14ac:dyDescent="0.35">
      <c r="A3193" s="91" t="s">
        <v>3483</v>
      </c>
      <c r="B3193" s="9">
        <v>14</v>
      </c>
    </row>
    <row r="3194" spans="1:2" x14ac:dyDescent="0.35">
      <c r="A3194" s="91" t="s">
        <v>3271</v>
      </c>
      <c r="B3194" s="9">
        <v>8.3999999999999986</v>
      </c>
    </row>
    <row r="3195" spans="1:2" x14ac:dyDescent="0.35">
      <c r="A3195" s="91" t="s">
        <v>3156</v>
      </c>
      <c r="B3195" s="9">
        <v>5.6</v>
      </c>
    </row>
    <row r="3196" spans="1:2" x14ac:dyDescent="0.35">
      <c r="A3196" s="91" t="s">
        <v>2605</v>
      </c>
      <c r="B3196" s="9">
        <v>14</v>
      </c>
    </row>
    <row r="3197" spans="1:2" x14ac:dyDescent="0.35">
      <c r="A3197" s="91" t="s">
        <v>272</v>
      </c>
      <c r="B3197" s="9">
        <v>3.8</v>
      </c>
    </row>
    <row r="3198" spans="1:2" x14ac:dyDescent="0.35">
      <c r="A3198" s="91" t="s">
        <v>995</v>
      </c>
      <c r="B3198" s="9">
        <v>11</v>
      </c>
    </row>
    <row r="3199" spans="1:2" x14ac:dyDescent="0.35">
      <c r="A3199" s="91" t="s">
        <v>1684</v>
      </c>
      <c r="B3199" s="9">
        <v>8.8000000000000007</v>
      </c>
    </row>
    <row r="3200" spans="1:2" x14ac:dyDescent="0.35">
      <c r="A3200" s="91" t="s">
        <v>1059</v>
      </c>
      <c r="B3200" s="9">
        <v>8.3999999999999986</v>
      </c>
    </row>
    <row r="3201" spans="1:2" x14ac:dyDescent="0.35">
      <c r="A3201" s="91" t="s">
        <v>4025</v>
      </c>
      <c r="B3201" s="9">
        <v>10</v>
      </c>
    </row>
    <row r="3202" spans="1:2" x14ac:dyDescent="0.35">
      <c r="A3202" s="91" t="s">
        <v>1837</v>
      </c>
      <c r="B3202" s="9">
        <v>11.399999999999999</v>
      </c>
    </row>
    <row r="3203" spans="1:2" x14ac:dyDescent="0.35">
      <c r="A3203" s="91" t="s">
        <v>4643</v>
      </c>
      <c r="B3203" s="9">
        <v>3.5</v>
      </c>
    </row>
    <row r="3204" spans="1:2" x14ac:dyDescent="0.35">
      <c r="A3204" s="91" t="s">
        <v>3859</v>
      </c>
      <c r="B3204" s="9">
        <v>5.6</v>
      </c>
    </row>
    <row r="3205" spans="1:2" x14ac:dyDescent="0.35">
      <c r="A3205" s="91" t="s">
        <v>1512</v>
      </c>
      <c r="B3205" s="9">
        <v>5.6</v>
      </c>
    </row>
    <row r="3206" spans="1:2" x14ac:dyDescent="0.35">
      <c r="A3206" s="91" t="s">
        <v>5743</v>
      </c>
      <c r="B3206" s="9">
        <v>5.6</v>
      </c>
    </row>
    <row r="3207" spans="1:2" x14ac:dyDescent="0.35">
      <c r="A3207" s="91" t="s">
        <v>5832</v>
      </c>
      <c r="B3207" s="9">
        <v>7</v>
      </c>
    </row>
    <row r="3208" spans="1:2" x14ac:dyDescent="0.35">
      <c r="A3208" s="91" t="s">
        <v>5801</v>
      </c>
      <c r="B3208" s="9">
        <v>10.5</v>
      </c>
    </row>
    <row r="3209" spans="1:2" x14ac:dyDescent="0.35">
      <c r="A3209" s="91" t="s">
        <v>2785</v>
      </c>
      <c r="B3209" s="9">
        <v>8.8000000000000007</v>
      </c>
    </row>
    <row r="3210" spans="1:2" x14ac:dyDescent="0.35">
      <c r="A3210" s="91" t="s">
        <v>847</v>
      </c>
      <c r="B3210" s="9">
        <v>11.399999999999999</v>
      </c>
    </row>
    <row r="3211" spans="1:2" x14ac:dyDescent="0.35">
      <c r="A3211" s="91" t="s">
        <v>5700</v>
      </c>
      <c r="B3211" s="9">
        <v>2.2000000000000002</v>
      </c>
    </row>
    <row r="3212" spans="1:2" x14ac:dyDescent="0.35">
      <c r="A3212" s="91" t="s">
        <v>3272</v>
      </c>
      <c r="B3212" s="9">
        <v>14</v>
      </c>
    </row>
    <row r="3213" spans="1:2" x14ac:dyDescent="0.35">
      <c r="A3213" s="91" t="s">
        <v>3638</v>
      </c>
      <c r="B3213" s="9">
        <v>15.2</v>
      </c>
    </row>
    <row r="3214" spans="1:2" x14ac:dyDescent="0.35">
      <c r="A3214" s="91" t="s">
        <v>3068</v>
      </c>
      <c r="B3214" s="9">
        <v>10.5</v>
      </c>
    </row>
    <row r="3215" spans="1:2" x14ac:dyDescent="0.35">
      <c r="A3215" s="91" t="s">
        <v>3288</v>
      </c>
      <c r="B3215" s="9">
        <v>3.5</v>
      </c>
    </row>
    <row r="3216" spans="1:2" x14ac:dyDescent="0.35">
      <c r="A3216" s="91" t="s">
        <v>3709</v>
      </c>
      <c r="B3216" s="9">
        <v>10.5</v>
      </c>
    </row>
    <row r="3217" spans="1:2" x14ac:dyDescent="0.35">
      <c r="A3217" s="91" t="s">
        <v>2450</v>
      </c>
      <c r="B3217" s="9">
        <v>11.399999999999999</v>
      </c>
    </row>
    <row r="3218" spans="1:2" x14ac:dyDescent="0.35">
      <c r="A3218" s="91" t="s">
        <v>327</v>
      </c>
      <c r="B3218" s="9">
        <v>10</v>
      </c>
    </row>
    <row r="3219" spans="1:2" x14ac:dyDescent="0.35">
      <c r="A3219" s="91" t="s">
        <v>5791</v>
      </c>
      <c r="B3219" s="9">
        <v>8.3999999999999986</v>
      </c>
    </row>
    <row r="3220" spans="1:2" x14ac:dyDescent="0.35">
      <c r="A3220" s="91" t="s">
        <v>1427</v>
      </c>
      <c r="B3220" s="9">
        <v>11</v>
      </c>
    </row>
    <row r="3221" spans="1:2" x14ac:dyDescent="0.35">
      <c r="A3221" s="91" t="s">
        <v>4315</v>
      </c>
      <c r="B3221" s="9">
        <v>5.6</v>
      </c>
    </row>
    <row r="3222" spans="1:2" x14ac:dyDescent="0.35">
      <c r="A3222" s="91" t="s">
        <v>2022</v>
      </c>
      <c r="B3222" s="9">
        <v>14</v>
      </c>
    </row>
    <row r="3223" spans="1:2" x14ac:dyDescent="0.35">
      <c r="A3223" s="91" t="s">
        <v>5660</v>
      </c>
      <c r="B3223" s="9">
        <v>7</v>
      </c>
    </row>
    <row r="3224" spans="1:2" x14ac:dyDescent="0.35">
      <c r="A3224" s="91" t="s">
        <v>5905</v>
      </c>
      <c r="B3224" s="9">
        <v>2.8</v>
      </c>
    </row>
    <row r="3225" spans="1:2" x14ac:dyDescent="0.35">
      <c r="A3225" s="91" t="s">
        <v>3329</v>
      </c>
      <c r="B3225" s="9">
        <v>14</v>
      </c>
    </row>
    <row r="3226" spans="1:2" x14ac:dyDescent="0.35">
      <c r="A3226" s="91" t="s">
        <v>4200</v>
      </c>
      <c r="B3226" s="9">
        <v>2.2000000000000002</v>
      </c>
    </row>
    <row r="3227" spans="1:2" x14ac:dyDescent="0.35">
      <c r="A3227" s="91" t="s">
        <v>1315</v>
      </c>
      <c r="B3227" s="9">
        <v>10.5</v>
      </c>
    </row>
    <row r="3228" spans="1:2" x14ac:dyDescent="0.35">
      <c r="A3228" s="91" t="s">
        <v>4393</v>
      </c>
      <c r="B3228" s="9">
        <v>15.2</v>
      </c>
    </row>
    <row r="3229" spans="1:2" x14ac:dyDescent="0.35">
      <c r="A3229" s="91" t="s">
        <v>5223</v>
      </c>
      <c r="B3229" s="9">
        <v>14</v>
      </c>
    </row>
    <row r="3230" spans="1:2" x14ac:dyDescent="0.35">
      <c r="A3230" s="91" t="s">
        <v>5778</v>
      </c>
      <c r="B3230" s="9">
        <v>8.8000000000000007</v>
      </c>
    </row>
    <row r="3231" spans="1:2" x14ac:dyDescent="0.35">
      <c r="A3231" s="91" t="s">
        <v>5815</v>
      </c>
      <c r="B3231" s="9">
        <v>12.5</v>
      </c>
    </row>
    <row r="3232" spans="1:2" x14ac:dyDescent="0.35">
      <c r="A3232" s="91" t="s">
        <v>2123</v>
      </c>
      <c r="B3232" s="9">
        <v>17.5</v>
      </c>
    </row>
    <row r="3233" spans="1:2" x14ac:dyDescent="0.35">
      <c r="A3233" s="91" t="s">
        <v>4785</v>
      </c>
      <c r="B3233" s="9">
        <v>7.6</v>
      </c>
    </row>
    <row r="3234" spans="1:2" x14ac:dyDescent="0.35">
      <c r="A3234" s="91" t="s">
        <v>3330</v>
      </c>
      <c r="B3234" s="9">
        <v>6.6000000000000005</v>
      </c>
    </row>
    <row r="3235" spans="1:2" x14ac:dyDescent="0.35">
      <c r="A3235" s="91" t="s">
        <v>1685</v>
      </c>
      <c r="B3235" s="9">
        <v>7.6</v>
      </c>
    </row>
    <row r="3236" spans="1:2" x14ac:dyDescent="0.35">
      <c r="A3236" s="91" t="s">
        <v>4333</v>
      </c>
      <c r="B3236" s="9">
        <v>11.399999999999999</v>
      </c>
    </row>
    <row r="3237" spans="1:2" x14ac:dyDescent="0.35">
      <c r="A3237" s="91" t="s">
        <v>2946</v>
      </c>
      <c r="B3237" s="9">
        <v>6.6000000000000005</v>
      </c>
    </row>
    <row r="3238" spans="1:2" x14ac:dyDescent="0.35">
      <c r="A3238" s="91" t="s">
        <v>5465</v>
      </c>
      <c r="B3238" s="9">
        <v>8.3999999999999986</v>
      </c>
    </row>
    <row r="3239" spans="1:2" x14ac:dyDescent="0.35">
      <c r="A3239" s="91" t="s">
        <v>1713</v>
      </c>
      <c r="B3239" s="9">
        <v>7.6</v>
      </c>
    </row>
    <row r="3240" spans="1:2" x14ac:dyDescent="0.35">
      <c r="A3240" s="91" t="s">
        <v>896</v>
      </c>
      <c r="B3240" s="9">
        <v>17.5</v>
      </c>
    </row>
    <row r="3241" spans="1:2" x14ac:dyDescent="0.35">
      <c r="A3241" s="91" t="s">
        <v>5872</v>
      </c>
      <c r="B3241" s="9">
        <v>6.6000000000000005</v>
      </c>
    </row>
    <row r="3242" spans="1:2" x14ac:dyDescent="0.35">
      <c r="A3242" s="91" t="s">
        <v>3911</v>
      </c>
      <c r="B3242" s="9">
        <v>8.3999999999999986</v>
      </c>
    </row>
    <row r="3243" spans="1:2" x14ac:dyDescent="0.35">
      <c r="A3243" s="91" t="s">
        <v>5954</v>
      </c>
      <c r="B3243" s="9">
        <v>17.5</v>
      </c>
    </row>
    <row r="3244" spans="1:2" x14ac:dyDescent="0.35">
      <c r="A3244" s="91" t="s">
        <v>2772</v>
      </c>
      <c r="B3244" s="9">
        <v>8.8000000000000007</v>
      </c>
    </row>
    <row r="3245" spans="1:2" x14ac:dyDescent="0.35">
      <c r="A3245" s="91" t="s">
        <v>674</v>
      </c>
      <c r="B3245" s="9">
        <v>10</v>
      </c>
    </row>
    <row r="3246" spans="1:2" x14ac:dyDescent="0.35">
      <c r="A3246" s="91" t="s">
        <v>2347</v>
      </c>
      <c r="B3246" s="9">
        <v>6.6000000000000005</v>
      </c>
    </row>
    <row r="3247" spans="1:2" x14ac:dyDescent="0.35">
      <c r="A3247" s="91" t="s">
        <v>4999</v>
      </c>
      <c r="B3247" s="9">
        <v>3.5</v>
      </c>
    </row>
    <row r="3248" spans="1:2" x14ac:dyDescent="0.35">
      <c r="A3248" s="91" t="s">
        <v>4809</v>
      </c>
      <c r="B3248" s="9">
        <v>2.5</v>
      </c>
    </row>
    <row r="3249" spans="1:2" x14ac:dyDescent="0.35">
      <c r="A3249" s="91" t="s">
        <v>1558</v>
      </c>
      <c r="B3249" s="9">
        <v>5</v>
      </c>
    </row>
    <row r="3250" spans="1:2" x14ac:dyDescent="0.35">
      <c r="A3250" s="91" t="s">
        <v>2204</v>
      </c>
      <c r="B3250" s="9">
        <v>12.5</v>
      </c>
    </row>
    <row r="3251" spans="1:2" x14ac:dyDescent="0.35">
      <c r="A3251" s="91" t="s">
        <v>4905</v>
      </c>
      <c r="B3251" s="9">
        <v>6.6000000000000005</v>
      </c>
    </row>
    <row r="3252" spans="1:2" x14ac:dyDescent="0.35">
      <c r="A3252" s="91" t="s">
        <v>132</v>
      </c>
      <c r="B3252" s="9">
        <v>11.399999999999999</v>
      </c>
    </row>
    <row r="3253" spans="1:2" x14ac:dyDescent="0.35">
      <c r="A3253" s="91" t="s">
        <v>2334</v>
      </c>
      <c r="B3253" s="9">
        <v>8.3999999999999986</v>
      </c>
    </row>
    <row r="3254" spans="1:2" x14ac:dyDescent="0.35">
      <c r="A3254" s="91" t="s">
        <v>4731</v>
      </c>
      <c r="B3254" s="9">
        <v>3.8</v>
      </c>
    </row>
    <row r="3255" spans="1:2" x14ac:dyDescent="0.35">
      <c r="A3255" s="91" t="s">
        <v>4036</v>
      </c>
      <c r="B3255" s="9">
        <v>8.8000000000000007</v>
      </c>
    </row>
    <row r="3256" spans="1:2" x14ac:dyDescent="0.35">
      <c r="A3256" s="91" t="s">
        <v>1529</v>
      </c>
      <c r="B3256" s="9">
        <v>7</v>
      </c>
    </row>
    <row r="3257" spans="1:2" x14ac:dyDescent="0.35">
      <c r="A3257" s="91" t="s">
        <v>3710</v>
      </c>
      <c r="B3257" s="9">
        <v>11.2</v>
      </c>
    </row>
    <row r="3258" spans="1:2" x14ac:dyDescent="0.35">
      <c r="A3258" s="91" t="s">
        <v>4509</v>
      </c>
      <c r="B3258" s="9">
        <v>17.5</v>
      </c>
    </row>
    <row r="3259" spans="1:2" x14ac:dyDescent="0.35">
      <c r="A3259" s="91" t="s">
        <v>441</v>
      </c>
      <c r="B3259" s="9">
        <v>14</v>
      </c>
    </row>
    <row r="3260" spans="1:2" x14ac:dyDescent="0.35">
      <c r="A3260" s="91" t="s">
        <v>4130</v>
      </c>
      <c r="B3260" s="9">
        <v>3.5</v>
      </c>
    </row>
    <row r="3261" spans="1:2" x14ac:dyDescent="0.35">
      <c r="A3261" s="91" t="s">
        <v>3806</v>
      </c>
      <c r="B3261" s="9">
        <v>11</v>
      </c>
    </row>
    <row r="3262" spans="1:2" x14ac:dyDescent="0.35">
      <c r="A3262" s="91" t="s">
        <v>5508</v>
      </c>
      <c r="B3262" s="9">
        <v>7</v>
      </c>
    </row>
    <row r="3263" spans="1:2" x14ac:dyDescent="0.35">
      <c r="A3263" s="91" t="s">
        <v>3234</v>
      </c>
      <c r="B3263" s="9">
        <v>8.8000000000000007</v>
      </c>
    </row>
    <row r="3264" spans="1:2" x14ac:dyDescent="0.35">
      <c r="A3264" s="91" t="s">
        <v>5520</v>
      </c>
      <c r="B3264" s="9">
        <v>7.6</v>
      </c>
    </row>
    <row r="3265" spans="1:2" x14ac:dyDescent="0.35">
      <c r="A3265" s="91" t="s">
        <v>4291</v>
      </c>
      <c r="B3265" s="9">
        <v>15.2</v>
      </c>
    </row>
    <row r="3266" spans="1:2" x14ac:dyDescent="0.35">
      <c r="A3266" s="91" t="s">
        <v>4937</v>
      </c>
      <c r="B3266" s="9">
        <v>5</v>
      </c>
    </row>
    <row r="3267" spans="1:2" x14ac:dyDescent="0.35">
      <c r="A3267" s="91" t="s">
        <v>4131</v>
      </c>
      <c r="B3267" s="9">
        <v>17.5</v>
      </c>
    </row>
    <row r="3268" spans="1:2" x14ac:dyDescent="0.35">
      <c r="A3268" s="91" t="s">
        <v>4118</v>
      </c>
      <c r="B3268" s="9">
        <v>14</v>
      </c>
    </row>
    <row r="3269" spans="1:2" x14ac:dyDescent="0.35">
      <c r="A3269" s="91" t="s">
        <v>5161</v>
      </c>
      <c r="B3269" s="9">
        <v>7.5</v>
      </c>
    </row>
    <row r="3270" spans="1:2" x14ac:dyDescent="0.35">
      <c r="A3270" s="91" t="s">
        <v>1060</v>
      </c>
      <c r="B3270" s="9">
        <v>14</v>
      </c>
    </row>
    <row r="3271" spans="1:2" x14ac:dyDescent="0.35">
      <c r="A3271" s="91" t="s">
        <v>3197</v>
      </c>
      <c r="B3271" s="9">
        <v>15.2</v>
      </c>
    </row>
    <row r="3272" spans="1:2" x14ac:dyDescent="0.35">
      <c r="A3272" s="91" t="s">
        <v>2725</v>
      </c>
      <c r="B3272" s="9">
        <v>8.8000000000000007</v>
      </c>
    </row>
    <row r="3273" spans="1:2" x14ac:dyDescent="0.35">
      <c r="A3273" s="91" t="s">
        <v>5566</v>
      </c>
      <c r="B3273" s="9">
        <v>2.8</v>
      </c>
    </row>
    <row r="3274" spans="1:2" x14ac:dyDescent="0.35">
      <c r="A3274" s="91" t="s">
        <v>2066</v>
      </c>
      <c r="B3274" s="9">
        <v>2.2000000000000002</v>
      </c>
    </row>
    <row r="3275" spans="1:2" x14ac:dyDescent="0.35">
      <c r="A3275" s="91" t="s">
        <v>49</v>
      </c>
      <c r="B3275" s="9">
        <v>19</v>
      </c>
    </row>
    <row r="3276" spans="1:2" x14ac:dyDescent="0.35">
      <c r="A3276" s="91" t="s">
        <v>4026</v>
      </c>
      <c r="B3276" s="9">
        <v>7.6</v>
      </c>
    </row>
    <row r="3277" spans="1:2" x14ac:dyDescent="0.35">
      <c r="A3277" s="91" t="s">
        <v>299</v>
      </c>
      <c r="B3277" s="9">
        <v>2.2000000000000002</v>
      </c>
    </row>
    <row r="3278" spans="1:2" x14ac:dyDescent="0.35">
      <c r="A3278" s="91" t="s">
        <v>5992</v>
      </c>
      <c r="B3278" s="9">
        <v>11</v>
      </c>
    </row>
    <row r="3279" spans="1:2" x14ac:dyDescent="0.35">
      <c r="A3279" s="91" t="s">
        <v>4957</v>
      </c>
      <c r="B3279" s="9">
        <v>10.5</v>
      </c>
    </row>
    <row r="3280" spans="1:2" x14ac:dyDescent="0.35">
      <c r="A3280" s="91" t="s">
        <v>5792</v>
      </c>
      <c r="B3280" s="9">
        <v>6.6000000000000005</v>
      </c>
    </row>
    <row r="3281" spans="1:2" x14ac:dyDescent="0.35">
      <c r="A3281" s="91" t="s">
        <v>5162</v>
      </c>
      <c r="B3281" s="9">
        <v>8.3999999999999986</v>
      </c>
    </row>
    <row r="3282" spans="1:2" x14ac:dyDescent="0.35">
      <c r="A3282" s="91" t="s">
        <v>1581</v>
      </c>
      <c r="B3282" s="9">
        <v>2.8</v>
      </c>
    </row>
    <row r="3283" spans="1:2" x14ac:dyDescent="0.35">
      <c r="A3283" s="91" t="s">
        <v>1599</v>
      </c>
      <c r="B3283" s="9">
        <v>14</v>
      </c>
    </row>
    <row r="3284" spans="1:2" x14ac:dyDescent="0.35">
      <c r="A3284" s="91" t="s">
        <v>2875</v>
      </c>
      <c r="B3284" s="9">
        <v>3.8</v>
      </c>
    </row>
    <row r="3285" spans="1:2" x14ac:dyDescent="0.35">
      <c r="A3285" s="91" t="s">
        <v>1750</v>
      </c>
      <c r="B3285" s="9">
        <v>2.8</v>
      </c>
    </row>
    <row r="3286" spans="1:2" x14ac:dyDescent="0.35">
      <c r="A3286" s="91" t="s">
        <v>2567</v>
      </c>
      <c r="B3286" s="9">
        <v>8.8000000000000007</v>
      </c>
    </row>
    <row r="3287" spans="1:2" x14ac:dyDescent="0.35">
      <c r="A3287" s="91" t="s">
        <v>4132</v>
      </c>
      <c r="B3287" s="9">
        <v>15.2</v>
      </c>
    </row>
    <row r="3288" spans="1:2" x14ac:dyDescent="0.35">
      <c r="A3288" s="91" t="s">
        <v>3175</v>
      </c>
      <c r="B3288" s="9">
        <v>6.6000000000000005</v>
      </c>
    </row>
    <row r="3289" spans="1:2" x14ac:dyDescent="0.35">
      <c r="A3289" s="91" t="s">
        <v>4970</v>
      </c>
      <c r="B3289" s="9">
        <v>14</v>
      </c>
    </row>
    <row r="3290" spans="1:2" x14ac:dyDescent="0.35">
      <c r="A3290" s="91" t="s">
        <v>5779</v>
      </c>
      <c r="B3290" s="9">
        <v>7.5</v>
      </c>
    </row>
    <row r="3291" spans="1:2" x14ac:dyDescent="0.35">
      <c r="A3291" s="91" t="s">
        <v>5521</v>
      </c>
      <c r="B3291" s="9">
        <v>3.5</v>
      </c>
    </row>
    <row r="3292" spans="1:2" x14ac:dyDescent="0.35">
      <c r="A3292" s="91" t="s">
        <v>1559</v>
      </c>
      <c r="B3292" s="9">
        <v>7.5</v>
      </c>
    </row>
    <row r="3293" spans="1:2" x14ac:dyDescent="0.35">
      <c r="A3293" s="91" t="s">
        <v>5428</v>
      </c>
      <c r="B3293" s="9">
        <v>12.5</v>
      </c>
    </row>
    <row r="3294" spans="1:2" x14ac:dyDescent="0.35">
      <c r="A3294" s="91" t="s">
        <v>5661</v>
      </c>
      <c r="B3294" s="9">
        <v>14</v>
      </c>
    </row>
    <row r="3295" spans="1:2" x14ac:dyDescent="0.35">
      <c r="A3295" s="91" t="s">
        <v>3432</v>
      </c>
      <c r="B3295" s="9">
        <v>6.6000000000000005</v>
      </c>
    </row>
    <row r="3296" spans="1:2" x14ac:dyDescent="0.35">
      <c r="A3296" s="91" t="s">
        <v>1952</v>
      </c>
      <c r="B3296" s="9">
        <v>3.8</v>
      </c>
    </row>
    <row r="3297" spans="1:2" x14ac:dyDescent="0.35">
      <c r="A3297" s="91" t="s">
        <v>1738</v>
      </c>
      <c r="B3297" s="9">
        <v>14</v>
      </c>
    </row>
    <row r="3298" spans="1:2" x14ac:dyDescent="0.35">
      <c r="A3298" s="91" t="s">
        <v>5833</v>
      </c>
      <c r="B3298" s="9">
        <v>3.5</v>
      </c>
    </row>
    <row r="3299" spans="1:2" x14ac:dyDescent="0.35">
      <c r="A3299" s="91" t="s">
        <v>4494</v>
      </c>
      <c r="B3299" s="9">
        <v>19</v>
      </c>
    </row>
    <row r="3300" spans="1:2" x14ac:dyDescent="0.35">
      <c r="A3300" s="91" t="s">
        <v>4971</v>
      </c>
      <c r="B3300" s="9">
        <v>8.3999999999999986</v>
      </c>
    </row>
    <row r="3301" spans="1:2" x14ac:dyDescent="0.35">
      <c r="A3301" s="91" t="s">
        <v>344</v>
      </c>
      <c r="B3301" s="9">
        <v>11</v>
      </c>
    </row>
    <row r="3302" spans="1:2" x14ac:dyDescent="0.35">
      <c r="A3302" s="91" t="s">
        <v>2503</v>
      </c>
      <c r="B3302" s="9">
        <v>14</v>
      </c>
    </row>
    <row r="3303" spans="1:2" x14ac:dyDescent="0.35">
      <c r="A3303" s="91" t="s">
        <v>2587</v>
      </c>
      <c r="B3303" s="9">
        <v>14</v>
      </c>
    </row>
    <row r="3304" spans="1:2" x14ac:dyDescent="0.35">
      <c r="A3304" s="91" t="s">
        <v>4925</v>
      </c>
      <c r="B3304" s="9">
        <v>10</v>
      </c>
    </row>
    <row r="3305" spans="1:2" x14ac:dyDescent="0.35">
      <c r="A3305" s="91" t="s">
        <v>3317</v>
      </c>
      <c r="B3305" s="9">
        <v>2.5</v>
      </c>
    </row>
    <row r="3306" spans="1:2" x14ac:dyDescent="0.35">
      <c r="A3306" s="91" t="s">
        <v>5858</v>
      </c>
      <c r="B3306" s="9">
        <v>17.5</v>
      </c>
    </row>
    <row r="3307" spans="1:2" x14ac:dyDescent="0.35">
      <c r="A3307" s="91" t="s">
        <v>4576</v>
      </c>
      <c r="B3307" s="9">
        <v>11</v>
      </c>
    </row>
    <row r="3308" spans="1:2" x14ac:dyDescent="0.35">
      <c r="A3308" s="91" t="s">
        <v>1932</v>
      </c>
      <c r="B3308" s="9">
        <v>14</v>
      </c>
    </row>
    <row r="3309" spans="1:2" x14ac:dyDescent="0.35">
      <c r="A3309" s="91" t="s">
        <v>2947</v>
      </c>
      <c r="B3309" s="9">
        <v>8.3999999999999986</v>
      </c>
    </row>
    <row r="3310" spans="1:2" x14ac:dyDescent="0.35">
      <c r="A3310" s="91" t="s">
        <v>1260</v>
      </c>
      <c r="B3310" s="9">
        <v>5</v>
      </c>
    </row>
    <row r="3311" spans="1:2" x14ac:dyDescent="0.35">
      <c r="A3311" s="91" t="s">
        <v>4212</v>
      </c>
      <c r="B3311" s="9">
        <v>8.8000000000000007</v>
      </c>
    </row>
    <row r="3312" spans="1:2" x14ac:dyDescent="0.35">
      <c r="A3312" s="91" t="s">
        <v>1992</v>
      </c>
      <c r="B3312" s="9">
        <v>8.3999999999999986</v>
      </c>
    </row>
    <row r="3313" spans="1:2" x14ac:dyDescent="0.35">
      <c r="A3313" s="91" t="s">
        <v>4369</v>
      </c>
      <c r="B3313" s="9">
        <v>11</v>
      </c>
    </row>
    <row r="3314" spans="1:2" x14ac:dyDescent="0.35">
      <c r="A3314" s="91" t="s">
        <v>2067</v>
      </c>
      <c r="B3314" s="9">
        <v>2.2000000000000002</v>
      </c>
    </row>
    <row r="3315" spans="1:2" x14ac:dyDescent="0.35">
      <c r="A3315" s="91" t="s">
        <v>4840</v>
      </c>
      <c r="B3315" s="9">
        <v>3.5</v>
      </c>
    </row>
    <row r="3316" spans="1:2" x14ac:dyDescent="0.35">
      <c r="A3316" s="91" t="s">
        <v>1180</v>
      </c>
      <c r="B3316" s="9">
        <v>2.5</v>
      </c>
    </row>
    <row r="3317" spans="1:2" x14ac:dyDescent="0.35">
      <c r="A3317" s="91" t="s">
        <v>2606</v>
      </c>
      <c r="B3317" s="9">
        <v>5.6</v>
      </c>
    </row>
    <row r="3318" spans="1:2" x14ac:dyDescent="0.35">
      <c r="A3318" s="91" t="s">
        <v>3569</v>
      </c>
      <c r="B3318" s="9">
        <v>5.6</v>
      </c>
    </row>
    <row r="3319" spans="1:2" x14ac:dyDescent="0.35">
      <c r="A3319" s="91" t="s">
        <v>4671</v>
      </c>
      <c r="B3319" s="9">
        <v>5</v>
      </c>
    </row>
    <row r="3320" spans="1:2" x14ac:dyDescent="0.35">
      <c r="A3320" s="91" t="s">
        <v>5413</v>
      </c>
      <c r="B3320" s="9">
        <v>5.6</v>
      </c>
    </row>
    <row r="3321" spans="1:2" x14ac:dyDescent="0.35">
      <c r="A3321" s="91" t="s">
        <v>3250</v>
      </c>
      <c r="B3321" s="9">
        <v>15.2</v>
      </c>
    </row>
    <row r="3322" spans="1:2" x14ac:dyDescent="0.35">
      <c r="A3322" s="91" t="s">
        <v>3132</v>
      </c>
      <c r="B3322" s="9">
        <v>11.2</v>
      </c>
    </row>
    <row r="3323" spans="1:2" x14ac:dyDescent="0.35">
      <c r="A3323" s="91" t="s">
        <v>1429</v>
      </c>
      <c r="B3323" s="9">
        <v>3.5</v>
      </c>
    </row>
    <row r="3324" spans="1:2" x14ac:dyDescent="0.35">
      <c r="A3324" s="91" t="s">
        <v>134</v>
      </c>
      <c r="B3324" s="9">
        <v>14</v>
      </c>
    </row>
    <row r="3325" spans="1:2" x14ac:dyDescent="0.35">
      <c r="A3325" s="91" t="s">
        <v>3711</v>
      </c>
      <c r="B3325" s="9">
        <v>11.2</v>
      </c>
    </row>
    <row r="3326" spans="1:2" x14ac:dyDescent="0.35">
      <c r="A3326" s="91" t="s">
        <v>4370</v>
      </c>
      <c r="B3326" s="9">
        <v>7.5</v>
      </c>
    </row>
    <row r="3327" spans="1:2" x14ac:dyDescent="0.35">
      <c r="A3327" s="91" t="s">
        <v>3962</v>
      </c>
      <c r="B3327" s="9">
        <v>7.5</v>
      </c>
    </row>
    <row r="3328" spans="1:2" x14ac:dyDescent="0.35">
      <c r="A3328" s="91" t="s">
        <v>4577</v>
      </c>
      <c r="B3328" s="9">
        <v>10.5</v>
      </c>
    </row>
    <row r="3329" spans="1:2" x14ac:dyDescent="0.35">
      <c r="A3329" s="91" t="s">
        <v>1027</v>
      </c>
      <c r="B3329" s="9">
        <v>17.5</v>
      </c>
    </row>
    <row r="3330" spans="1:2" x14ac:dyDescent="0.35">
      <c r="A3330" s="91" t="s">
        <v>3698</v>
      </c>
      <c r="B3330" s="9">
        <v>7.6</v>
      </c>
    </row>
    <row r="3331" spans="1:2" x14ac:dyDescent="0.35">
      <c r="A3331" s="91" t="s">
        <v>5032</v>
      </c>
      <c r="B3331" s="9">
        <v>6.6000000000000005</v>
      </c>
    </row>
    <row r="3332" spans="1:2" x14ac:dyDescent="0.35">
      <c r="A3332" s="91" t="s">
        <v>3434</v>
      </c>
      <c r="B3332" s="9">
        <v>8.3999999999999986</v>
      </c>
    </row>
    <row r="3333" spans="1:2" x14ac:dyDescent="0.35">
      <c r="A3333" s="91" t="s">
        <v>4394</v>
      </c>
      <c r="B3333" s="9">
        <v>7.6</v>
      </c>
    </row>
    <row r="3334" spans="1:2" x14ac:dyDescent="0.35">
      <c r="A3334" s="91" t="s">
        <v>5069</v>
      </c>
      <c r="B3334" s="9">
        <v>10.5</v>
      </c>
    </row>
    <row r="3335" spans="1:2" x14ac:dyDescent="0.35">
      <c r="A3335" s="91" t="s">
        <v>3157</v>
      </c>
      <c r="B3335" s="9">
        <v>2.5</v>
      </c>
    </row>
    <row r="3336" spans="1:2" x14ac:dyDescent="0.35">
      <c r="A3336" s="91" t="s">
        <v>4611</v>
      </c>
      <c r="B3336" s="9">
        <v>10.5</v>
      </c>
    </row>
    <row r="3337" spans="1:2" x14ac:dyDescent="0.35">
      <c r="A3337" s="91" t="s">
        <v>2949</v>
      </c>
      <c r="B3337" s="9">
        <v>15.2</v>
      </c>
    </row>
    <row r="3338" spans="1:2" x14ac:dyDescent="0.35">
      <c r="A3338" s="91" t="s">
        <v>1028</v>
      </c>
      <c r="B3338" s="9">
        <v>8.3999999999999986</v>
      </c>
    </row>
    <row r="3339" spans="1:2" x14ac:dyDescent="0.35">
      <c r="A3339" s="91" t="s">
        <v>867</v>
      </c>
      <c r="B3339" s="9">
        <v>15.2</v>
      </c>
    </row>
    <row r="3340" spans="1:2" x14ac:dyDescent="0.35">
      <c r="A3340" s="91" t="s">
        <v>442</v>
      </c>
      <c r="B3340" s="9">
        <v>15.2</v>
      </c>
    </row>
    <row r="3341" spans="1:2" x14ac:dyDescent="0.35">
      <c r="A3341" s="91" t="s">
        <v>3570</v>
      </c>
      <c r="B3341" s="9">
        <v>2.5</v>
      </c>
    </row>
    <row r="3342" spans="1:2" x14ac:dyDescent="0.35">
      <c r="A3342" s="91" t="s">
        <v>2847</v>
      </c>
      <c r="B3342" s="9">
        <v>11.399999999999999</v>
      </c>
    </row>
    <row r="3343" spans="1:2" x14ac:dyDescent="0.35">
      <c r="A3343" s="91" t="s">
        <v>559</v>
      </c>
      <c r="B3343" s="9">
        <v>5.6</v>
      </c>
    </row>
    <row r="3344" spans="1:2" x14ac:dyDescent="0.35">
      <c r="A3344" s="91" t="s">
        <v>5728</v>
      </c>
      <c r="B3344" s="9">
        <v>11.399999999999999</v>
      </c>
    </row>
    <row r="3345" spans="1:2" x14ac:dyDescent="0.35">
      <c r="A3345" s="91" t="s">
        <v>3828</v>
      </c>
      <c r="B3345" s="9">
        <v>10</v>
      </c>
    </row>
    <row r="3346" spans="1:2" x14ac:dyDescent="0.35">
      <c r="A3346" s="91" t="s">
        <v>897</v>
      </c>
      <c r="B3346" s="9">
        <v>11.399999999999999</v>
      </c>
    </row>
    <row r="3347" spans="1:2" x14ac:dyDescent="0.35">
      <c r="A3347" s="91" t="s">
        <v>2524</v>
      </c>
      <c r="B3347" s="9">
        <v>14</v>
      </c>
    </row>
    <row r="3348" spans="1:2" x14ac:dyDescent="0.35">
      <c r="A3348" s="91" t="s">
        <v>5112</v>
      </c>
      <c r="B3348" s="9">
        <v>8.8000000000000007</v>
      </c>
    </row>
    <row r="3349" spans="1:2" x14ac:dyDescent="0.35">
      <c r="A3349" s="91" t="s">
        <v>587</v>
      </c>
      <c r="B3349" s="9">
        <v>14</v>
      </c>
    </row>
    <row r="3350" spans="1:2" x14ac:dyDescent="0.35">
      <c r="A3350" s="91" t="s">
        <v>1331</v>
      </c>
      <c r="B3350" s="9">
        <v>2.5</v>
      </c>
    </row>
    <row r="3351" spans="1:2" x14ac:dyDescent="0.35">
      <c r="A3351" s="91" t="s">
        <v>1153</v>
      </c>
      <c r="B3351" s="9">
        <v>3.8</v>
      </c>
    </row>
    <row r="3352" spans="1:2" x14ac:dyDescent="0.35">
      <c r="A3352" s="91" t="s">
        <v>1489</v>
      </c>
      <c r="B3352" s="9">
        <v>10</v>
      </c>
    </row>
    <row r="3353" spans="1:2" x14ac:dyDescent="0.35">
      <c r="A3353" s="91" t="s">
        <v>1869</v>
      </c>
      <c r="B3353" s="9">
        <v>15.2</v>
      </c>
    </row>
    <row r="3354" spans="1:2" x14ac:dyDescent="0.35">
      <c r="A3354" s="91" t="s">
        <v>2153</v>
      </c>
      <c r="B3354" s="9">
        <v>14</v>
      </c>
    </row>
    <row r="3355" spans="1:2" x14ac:dyDescent="0.35">
      <c r="A3355" s="91" t="s">
        <v>1752</v>
      </c>
      <c r="B3355" s="9">
        <v>2.2000000000000002</v>
      </c>
    </row>
    <row r="3356" spans="1:2" x14ac:dyDescent="0.35">
      <c r="A3356" s="91" t="s">
        <v>826</v>
      </c>
      <c r="B3356" s="9">
        <v>10.5</v>
      </c>
    </row>
    <row r="3357" spans="1:2" x14ac:dyDescent="0.35">
      <c r="A3357" s="91" t="s">
        <v>5201</v>
      </c>
      <c r="B3357" s="9">
        <v>10</v>
      </c>
    </row>
    <row r="3358" spans="1:2" x14ac:dyDescent="0.35">
      <c r="A3358" s="91" t="s">
        <v>3069</v>
      </c>
      <c r="B3358" s="9">
        <v>5.6</v>
      </c>
    </row>
    <row r="3359" spans="1:2" x14ac:dyDescent="0.35">
      <c r="A3359" s="91" t="s">
        <v>4316</v>
      </c>
      <c r="B3359" s="9">
        <v>2.8</v>
      </c>
    </row>
    <row r="3360" spans="1:2" x14ac:dyDescent="0.35">
      <c r="A3360" s="91" t="s">
        <v>996</v>
      </c>
      <c r="B3360" s="9">
        <v>15.2</v>
      </c>
    </row>
    <row r="3361" spans="1:2" x14ac:dyDescent="0.35">
      <c r="A3361" s="91" t="s">
        <v>560</v>
      </c>
      <c r="B3361" s="9">
        <v>11.399999999999999</v>
      </c>
    </row>
    <row r="3362" spans="1:2" x14ac:dyDescent="0.35">
      <c r="A3362" s="91" t="s">
        <v>746</v>
      </c>
      <c r="B3362" s="9">
        <v>11.399999999999999</v>
      </c>
    </row>
    <row r="3363" spans="1:2" x14ac:dyDescent="0.35">
      <c r="A3363" s="91" t="s">
        <v>1774</v>
      </c>
      <c r="B3363" s="9">
        <v>6.6000000000000005</v>
      </c>
    </row>
    <row r="3364" spans="1:2" x14ac:dyDescent="0.35">
      <c r="A3364" s="91" t="s">
        <v>1350</v>
      </c>
      <c r="B3364" s="9">
        <v>19</v>
      </c>
    </row>
    <row r="3365" spans="1:2" x14ac:dyDescent="0.35">
      <c r="A3365" s="91" t="s">
        <v>4727</v>
      </c>
      <c r="B3365" s="9">
        <v>14</v>
      </c>
    </row>
    <row r="3366" spans="1:2" x14ac:dyDescent="0.35">
      <c r="A3366" s="91" t="s">
        <v>962</v>
      </c>
      <c r="B3366" s="9">
        <v>3.8</v>
      </c>
    </row>
    <row r="3367" spans="1:2" x14ac:dyDescent="0.35">
      <c r="A3367" s="91" t="s">
        <v>5284</v>
      </c>
      <c r="B3367" s="9">
        <v>14</v>
      </c>
    </row>
    <row r="3368" spans="1:2" x14ac:dyDescent="0.35">
      <c r="A3368" s="91" t="s">
        <v>2411</v>
      </c>
      <c r="B3368" s="9">
        <v>2.8</v>
      </c>
    </row>
    <row r="3369" spans="1:2" x14ac:dyDescent="0.35">
      <c r="A3369" s="91" t="s">
        <v>4810</v>
      </c>
      <c r="B3369" s="9">
        <v>3.8</v>
      </c>
    </row>
    <row r="3370" spans="1:2" x14ac:dyDescent="0.35">
      <c r="A3370" s="91" t="s">
        <v>2141</v>
      </c>
      <c r="B3370" s="9">
        <v>11</v>
      </c>
    </row>
    <row r="3371" spans="1:2" x14ac:dyDescent="0.35">
      <c r="A3371" s="91" t="s">
        <v>716</v>
      </c>
      <c r="B3371" s="9">
        <v>10</v>
      </c>
    </row>
    <row r="3372" spans="1:2" x14ac:dyDescent="0.35">
      <c r="A3372" s="91" t="s">
        <v>1317</v>
      </c>
      <c r="B3372" s="9">
        <v>15.2</v>
      </c>
    </row>
    <row r="3373" spans="1:2" x14ac:dyDescent="0.35">
      <c r="A3373" s="91" t="s">
        <v>4190</v>
      </c>
      <c r="B3373" s="9">
        <v>8.3999999999999986</v>
      </c>
    </row>
    <row r="3374" spans="1:2" x14ac:dyDescent="0.35">
      <c r="A3374" s="91" t="s">
        <v>5224</v>
      </c>
      <c r="B3374" s="9">
        <v>17.5</v>
      </c>
    </row>
    <row r="3375" spans="1:2" x14ac:dyDescent="0.35">
      <c r="A3375" s="91" t="s">
        <v>4578</v>
      </c>
      <c r="B3375" s="9">
        <v>5.6</v>
      </c>
    </row>
    <row r="3376" spans="1:2" x14ac:dyDescent="0.35">
      <c r="A3376" s="91" t="s">
        <v>4495</v>
      </c>
      <c r="B3376" s="9">
        <v>11</v>
      </c>
    </row>
    <row r="3377" spans="1:2" x14ac:dyDescent="0.35">
      <c r="A3377" s="91" t="s">
        <v>4233</v>
      </c>
      <c r="B3377" s="9">
        <v>3.8</v>
      </c>
    </row>
    <row r="3378" spans="1:2" x14ac:dyDescent="0.35">
      <c r="A3378" s="91" t="s">
        <v>3176</v>
      </c>
      <c r="B3378" s="9">
        <v>17.5</v>
      </c>
    </row>
    <row r="3379" spans="1:2" x14ac:dyDescent="0.35">
      <c r="A3379" s="91" t="s">
        <v>4481</v>
      </c>
      <c r="B3379" s="9">
        <v>10.5</v>
      </c>
    </row>
    <row r="3380" spans="1:2" x14ac:dyDescent="0.35">
      <c r="A3380" s="91" t="s">
        <v>3923</v>
      </c>
      <c r="B3380" s="9">
        <v>5.6</v>
      </c>
    </row>
    <row r="3381" spans="1:2" x14ac:dyDescent="0.35">
      <c r="A3381" s="91" t="s">
        <v>3358</v>
      </c>
      <c r="B3381" s="9">
        <v>3.8</v>
      </c>
    </row>
    <row r="3382" spans="1:2" x14ac:dyDescent="0.35">
      <c r="A3382" s="91" t="s">
        <v>4712</v>
      </c>
      <c r="B3382" s="9">
        <v>7</v>
      </c>
    </row>
    <row r="3383" spans="1:2" x14ac:dyDescent="0.35">
      <c r="A3383" s="91" t="s">
        <v>718</v>
      </c>
      <c r="B3383" s="9">
        <v>15.2</v>
      </c>
    </row>
    <row r="3384" spans="1:2" x14ac:dyDescent="0.35">
      <c r="A3384" s="91" t="s">
        <v>4395</v>
      </c>
      <c r="B3384" s="9">
        <v>6.6000000000000005</v>
      </c>
    </row>
    <row r="3385" spans="1:2" x14ac:dyDescent="0.35">
      <c r="A3385" s="91" t="s">
        <v>5033</v>
      </c>
      <c r="B3385" s="9">
        <v>4.4000000000000004</v>
      </c>
    </row>
    <row r="3386" spans="1:2" x14ac:dyDescent="0.35">
      <c r="A3386" s="91" t="s">
        <v>5744</v>
      </c>
      <c r="B3386" s="9">
        <v>8.8000000000000007</v>
      </c>
    </row>
    <row r="3387" spans="1:2" x14ac:dyDescent="0.35">
      <c r="A3387" s="91" t="s">
        <v>1870</v>
      </c>
      <c r="B3387" s="9">
        <v>15.2</v>
      </c>
    </row>
    <row r="3388" spans="1:2" x14ac:dyDescent="0.35">
      <c r="A3388" s="91" t="s">
        <v>828</v>
      </c>
      <c r="B3388" s="9">
        <v>8.3999999999999986</v>
      </c>
    </row>
    <row r="3389" spans="1:2" x14ac:dyDescent="0.35">
      <c r="A3389" s="91" t="s">
        <v>3818</v>
      </c>
      <c r="B3389" s="9">
        <v>3.8</v>
      </c>
    </row>
    <row r="3390" spans="1:2" x14ac:dyDescent="0.35">
      <c r="A3390" s="91" t="s">
        <v>5078</v>
      </c>
      <c r="B3390" s="9">
        <v>8.8000000000000007</v>
      </c>
    </row>
    <row r="3391" spans="1:2" x14ac:dyDescent="0.35">
      <c r="A3391" s="91" t="s">
        <v>2304</v>
      </c>
      <c r="B3391" s="9">
        <v>12.5</v>
      </c>
    </row>
    <row r="3392" spans="1:2" x14ac:dyDescent="0.35">
      <c r="A3392" s="91" t="s">
        <v>4234</v>
      </c>
      <c r="B3392" s="9">
        <v>2.8</v>
      </c>
    </row>
    <row r="3393" spans="1:2" x14ac:dyDescent="0.35">
      <c r="A3393" s="91" t="s">
        <v>3217</v>
      </c>
      <c r="B3393" s="9">
        <v>7</v>
      </c>
    </row>
    <row r="3394" spans="1:2" x14ac:dyDescent="0.35">
      <c r="A3394" s="91" t="s">
        <v>2154</v>
      </c>
      <c r="B3394" s="9">
        <v>11</v>
      </c>
    </row>
    <row r="3395" spans="1:2" x14ac:dyDescent="0.35">
      <c r="A3395" s="91" t="s">
        <v>2451</v>
      </c>
      <c r="B3395" s="9">
        <v>6.6000000000000005</v>
      </c>
    </row>
    <row r="3396" spans="1:2" x14ac:dyDescent="0.35">
      <c r="A3396" s="91" t="s">
        <v>1993</v>
      </c>
      <c r="B3396" s="9">
        <v>10</v>
      </c>
    </row>
    <row r="3397" spans="1:2" x14ac:dyDescent="0.35">
      <c r="A3397" s="91" t="s">
        <v>4223</v>
      </c>
      <c r="B3397" s="9">
        <v>14</v>
      </c>
    </row>
    <row r="3398" spans="1:2" x14ac:dyDescent="0.35">
      <c r="A3398" s="91" t="s">
        <v>775</v>
      </c>
      <c r="B3398" s="9">
        <v>17.5</v>
      </c>
    </row>
    <row r="3399" spans="1:2" x14ac:dyDescent="0.35">
      <c r="A3399" s="91" t="s">
        <v>4786</v>
      </c>
      <c r="B3399" s="9">
        <v>12.5</v>
      </c>
    </row>
    <row r="3400" spans="1:2" x14ac:dyDescent="0.35">
      <c r="A3400" s="91" t="s">
        <v>2933</v>
      </c>
      <c r="B3400" s="9">
        <v>2.8</v>
      </c>
    </row>
    <row r="3401" spans="1:2" x14ac:dyDescent="0.35">
      <c r="A3401" s="91" t="s">
        <v>5079</v>
      </c>
      <c r="B3401" s="9">
        <v>10.5</v>
      </c>
    </row>
    <row r="3402" spans="1:2" x14ac:dyDescent="0.35">
      <c r="A3402" s="91" t="s">
        <v>2569</v>
      </c>
      <c r="B3402" s="9">
        <v>3.8</v>
      </c>
    </row>
    <row r="3403" spans="1:2" x14ac:dyDescent="0.35">
      <c r="A3403" s="91" t="s">
        <v>964</v>
      </c>
      <c r="B3403" s="9">
        <v>2.2000000000000002</v>
      </c>
    </row>
    <row r="3404" spans="1:2" x14ac:dyDescent="0.35">
      <c r="A3404" s="91" t="s">
        <v>2124</v>
      </c>
      <c r="B3404" s="9">
        <v>19</v>
      </c>
    </row>
    <row r="3405" spans="1:2" x14ac:dyDescent="0.35">
      <c r="A3405" s="91" t="s">
        <v>1284</v>
      </c>
      <c r="B3405" s="9">
        <v>3.5</v>
      </c>
    </row>
    <row r="3406" spans="1:2" x14ac:dyDescent="0.35">
      <c r="A3406" s="91" t="s">
        <v>1394</v>
      </c>
      <c r="B3406" s="9">
        <v>2.5</v>
      </c>
    </row>
    <row r="3407" spans="1:2" x14ac:dyDescent="0.35">
      <c r="A3407" s="91" t="s">
        <v>479</v>
      </c>
      <c r="B3407" s="9">
        <v>14</v>
      </c>
    </row>
    <row r="3408" spans="1:2" x14ac:dyDescent="0.35">
      <c r="A3408" s="91" t="s">
        <v>5261</v>
      </c>
      <c r="B3408" s="9">
        <v>10</v>
      </c>
    </row>
    <row r="3409" spans="1:2" x14ac:dyDescent="0.35">
      <c r="A3409" s="91" t="s">
        <v>5296</v>
      </c>
      <c r="B3409" s="9">
        <v>3.8</v>
      </c>
    </row>
    <row r="3410" spans="1:2" x14ac:dyDescent="0.35">
      <c r="A3410" s="91" t="s">
        <v>4076</v>
      </c>
      <c r="B3410" s="9">
        <v>2.2000000000000002</v>
      </c>
    </row>
    <row r="3411" spans="1:2" x14ac:dyDescent="0.35">
      <c r="A3411" s="91" t="s">
        <v>2962</v>
      </c>
      <c r="B3411" s="9">
        <v>17.5</v>
      </c>
    </row>
    <row r="3412" spans="1:2" x14ac:dyDescent="0.35">
      <c r="A3412" s="91" t="s">
        <v>1679</v>
      </c>
      <c r="B3412" s="9">
        <v>5</v>
      </c>
    </row>
    <row r="3413" spans="1:2" x14ac:dyDescent="0.35">
      <c r="A3413" s="91" t="s">
        <v>5873</v>
      </c>
      <c r="B3413" s="9">
        <v>11.2</v>
      </c>
    </row>
    <row r="3414" spans="1:2" x14ac:dyDescent="0.35">
      <c r="A3414" s="91" t="s">
        <v>5690</v>
      </c>
      <c r="B3414" s="9">
        <v>15.2</v>
      </c>
    </row>
    <row r="3415" spans="1:2" x14ac:dyDescent="0.35">
      <c r="A3415" s="91" t="s">
        <v>136</v>
      </c>
      <c r="B3415" s="9">
        <v>3.5</v>
      </c>
    </row>
    <row r="3416" spans="1:2" x14ac:dyDescent="0.35">
      <c r="A3416" s="91" t="s">
        <v>3022</v>
      </c>
      <c r="B3416" s="9">
        <v>14</v>
      </c>
    </row>
    <row r="3417" spans="1:2" x14ac:dyDescent="0.35">
      <c r="A3417" s="91" t="s">
        <v>2979</v>
      </c>
      <c r="B3417" s="9">
        <v>12.5</v>
      </c>
    </row>
    <row r="3418" spans="1:2" x14ac:dyDescent="0.35">
      <c r="A3418" s="91" t="s">
        <v>4133</v>
      </c>
      <c r="B3418" s="9">
        <v>2.5</v>
      </c>
    </row>
    <row r="3419" spans="1:2" x14ac:dyDescent="0.35">
      <c r="A3419" s="91" t="s">
        <v>5225</v>
      </c>
      <c r="B3419" s="9">
        <v>11</v>
      </c>
    </row>
    <row r="3420" spans="1:2" x14ac:dyDescent="0.35">
      <c r="A3420" s="91" t="s">
        <v>3084</v>
      </c>
      <c r="B3420" s="9">
        <v>5</v>
      </c>
    </row>
    <row r="3421" spans="1:2" x14ac:dyDescent="0.35">
      <c r="A3421" s="91" t="s">
        <v>3699</v>
      </c>
      <c r="B3421" s="9">
        <v>3.5</v>
      </c>
    </row>
    <row r="3422" spans="1:2" x14ac:dyDescent="0.35">
      <c r="A3422" s="91" t="s">
        <v>4987</v>
      </c>
      <c r="B3422" s="9">
        <v>14</v>
      </c>
    </row>
    <row r="3423" spans="1:2" x14ac:dyDescent="0.35">
      <c r="A3423" s="91" t="s">
        <v>100</v>
      </c>
      <c r="B3423" s="9">
        <v>8.8000000000000007</v>
      </c>
    </row>
    <row r="3424" spans="1:2" x14ac:dyDescent="0.35">
      <c r="A3424" s="91" t="s">
        <v>1207</v>
      </c>
      <c r="B3424" s="9">
        <v>5</v>
      </c>
    </row>
    <row r="3425" spans="1:2" x14ac:dyDescent="0.35">
      <c r="A3425" s="91" t="s">
        <v>2452</v>
      </c>
      <c r="B3425" s="9">
        <v>5.6</v>
      </c>
    </row>
    <row r="3426" spans="1:2" x14ac:dyDescent="0.35">
      <c r="A3426" s="91" t="s">
        <v>5438</v>
      </c>
      <c r="B3426" s="9">
        <v>2.5</v>
      </c>
    </row>
    <row r="3427" spans="1:2" x14ac:dyDescent="0.35">
      <c r="A3427" s="91" t="s">
        <v>3764</v>
      </c>
      <c r="B3427" s="9">
        <v>8.3999999999999986</v>
      </c>
    </row>
    <row r="3428" spans="1:2" x14ac:dyDescent="0.35">
      <c r="A3428" s="91" t="s">
        <v>898</v>
      </c>
      <c r="B3428" s="9">
        <v>19</v>
      </c>
    </row>
    <row r="3429" spans="1:2" x14ac:dyDescent="0.35">
      <c r="A3429" s="91" t="s">
        <v>1208</v>
      </c>
      <c r="B3429" s="9">
        <v>11</v>
      </c>
    </row>
    <row r="3430" spans="1:2" x14ac:dyDescent="0.35">
      <c r="A3430" s="91" t="s">
        <v>4262</v>
      </c>
      <c r="B3430" s="9">
        <v>5</v>
      </c>
    </row>
    <row r="3431" spans="1:2" x14ac:dyDescent="0.35">
      <c r="A3431" s="91" t="s">
        <v>4686</v>
      </c>
      <c r="B3431" s="9">
        <v>3.8</v>
      </c>
    </row>
    <row r="3432" spans="1:2" x14ac:dyDescent="0.35">
      <c r="A3432" s="91" t="s">
        <v>301</v>
      </c>
      <c r="B3432" s="9">
        <v>2.8</v>
      </c>
    </row>
    <row r="3433" spans="1:2" x14ac:dyDescent="0.35">
      <c r="A3433" s="91" t="s">
        <v>3993</v>
      </c>
      <c r="B3433" s="9">
        <v>15.2</v>
      </c>
    </row>
    <row r="3434" spans="1:2" x14ac:dyDescent="0.35">
      <c r="A3434" s="91" t="s">
        <v>3656</v>
      </c>
      <c r="B3434" s="9">
        <v>7.5</v>
      </c>
    </row>
    <row r="3435" spans="1:2" x14ac:dyDescent="0.35">
      <c r="A3435" s="91" t="s">
        <v>2707</v>
      </c>
      <c r="B3435" s="9">
        <v>8.8000000000000007</v>
      </c>
    </row>
    <row r="3436" spans="1:2" x14ac:dyDescent="0.35">
      <c r="A3436" s="91" t="s">
        <v>196</v>
      </c>
      <c r="B3436" s="9">
        <v>7.5</v>
      </c>
    </row>
    <row r="3437" spans="1:2" x14ac:dyDescent="0.35">
      <c r="A3437" s="91" t="s">
        <v>2980</v>
      </c>
      <c r="B3437" s="9">
        <v>4.4000000000000004</v>
      </c>
    </row>
    <row r="3438" spans="1:2" x14ac:dyDescent="0.35">
      <c r="A3438" s="91" t="s">
        <v>4732</v>
      </c>
      <c r="B3438" s="9">
        <v>6.6000000000000005</v>
      </c>
    </row>
    <row r="3439" spans="1:2" x14ac:dyDescent="0.35">
      <c r="A3439" s="91" t="s">
        <v>4037</v>
      </c>
      <c r="B3439" s="9">
        <v>10.5</v>
      </c>
    </row>
    <row r="3440" spans="1:2" x14ac:dyDescent="0.35">
      <c r="A3440" s="91" t="s">
        <v>246</v>
      </c>
      <c r="B3440" s="9">
        <v>5.6</v>
      </c>
    </row>
    <row r="3441" spans="1:2" x14ac:dyDescent="0.35">
      <c r="A3441" s="91" t="s">
        <v>4347</v>
      </c>
      <c r="B3441" s="9">
        <v>19</v>
      </c>
    </row>
    <row r="3442" spans="1:2" x14ac:dyDescent="0.35">
      <c r="A3442" s="91" t="s">
        <v>676</v>
      </c>
      <c r="B3442" s="9">
        <v>2.2000000000000002</v>
      </c>
    </row>
    <row r="3443" spans="1:2" x14ac:dyDescent="0.35">
      <c r="A3443" s="91" t="s">
        <v>3700</v>
      </c>
      <c r="B3443" s="9">
        <v>3.8</v>
      </c>
    </row>
    <row r="3444" spans="1:2" x14ac:dyDescent="0.35">
      <c r="A3444" s="91" t="s">
        <v>2892</v>
      </c>
      <c r="B3444" s="9">
        <v>2.2000000000000002</v>
      </c>
    </row>
    <row r="3445" spans="1:2" x14ac:dyDescent="0.35">
      <c r="A3445" s="91" t="s">
        <v>1933</v>
      </c>
      <c r="B3445" s="9">
        <v>6.6000000000000005</v>
      </c>
    </row>
    <row r="3446" spans="1:2" x14ac:dyDescent="0.35">
      <c r="A3446" s="91" t="s">
        <v>5100</v>
      </c>
      <c r="B3446" s="9">
        <v>5.6</v>
      </c>
    </row>
    <row r="3447" spans="1:2" x14ac:dyDescent="0.35">
      <c r="A3447" s="91" t="s">
        <v>3198</v>
      </c>
      <c r="B3447" s="9">
        <v>8.3999999999999986</v>
      </c>
    </row>
    <row r="3448" spans="1:2" x14ac:dyDescent="0.35">
      <c r="A3448" s="91" t="s">
        <v>5370</v>
      </c>
      <c r="B3448" s="9">
        <v>7.5</v>
      </c>
    </row>
    <row r="3449" spans="1:2" x14ac:dyDescent="0.35">
      <c r="A3449" s="91" t="s">
        <v>2726</v>
      </c>
      <c r="B3449" s="9">
        <v>8.3999999999999986</v>
      </c>
    </row>
    <row r="3450" spans="1:2" x14ac:dyDescent="0.35">
      <c r="A3450" s="91" t="s">
        <v>303</v>
      </c>
      <c r="B3450" s="9">
        <v>5.6</v>
      </c>
    </row>
    <row r="3451" spans="1:2" x14ac:dyDescent="0.35">
      <c r="A3451" s="91" t="s">
        <v>2832</v>
      </c>
      <c r="B3451" s="9">
        <v>2.5</v>
      </c>
    </row>
    <row r="3452" spans="1:2" x14ac:dyDescent="0.35">
      <c r="A3452" s="91" t="s">
        <v>2991</v>
      </c>
      <c r="B3452" s="9">
        <v>17.5</v>
      </c>
    </row>
    <row r="3453" spans="1:2" x14ac:dyDescent="0.35">
      <c r="A3453" s="91" t="s">
        <v>5163</v>
      </c>
      <c r="B3453" s="9">
        <v>2.5</v>
      </c>
    </row>
    <row r="3454" spans="1:2" x14ac:dyDescent="0.35">
      <c r="A3454" s="91" t="s">
        <v>4787</v>
      </c>
      <c r="B3454" s="9">
        <v>8.8000000000000007</v>
      </c>
    </row>
    <row r="3455" spans="1:2" x14ac:dyDescent="0.35">
      <c r="A3455" s="91" t="s">
        <v>4060</v>
      </c>
      <c r="B3455" s="9">
        <v>12.5</v>
      </c>
    </row>
    <row r="3456" spans="1:2" x14ac:dyDescent="0.35">
      <c r="A3456" s="91" t="s">
        <v>5816</v>
      </c>
      <c r="B3456" s="9">
        <v>14</v>
      </c>
    </row>
    <row r="3457" spans="1:2" x14ac:dyDescent="0.35">
      <c r="A3457" s="91" t="s">
        <v>2834</v>
      </c>
      <c r="B3457" s="9">
        <v>11.399999999999999</v>
      </c>
    </row>
    <row r="3458" spans="1:2" x14ac:dyDescent="0.35">
      <c r="A3458" s="91" t="s">
        <v>849</v>
      </c>
      <c r="B3458" s="9">
        <v>11.399999999999999</v>
      </c>
    </row>
    <row r="3459" spans="1:2" x14ac:dyDescent="0.35">
      <c r="A3459" s="91" t="s">
        <v>2758</v>
      </c>
      <c r="B3459" s="9">
        <v>6.6000000000000005</v>
      </c>
    </row>
    <row r="3460" spans="1:2" x14ac:dyDescent="0.35">
      <c r="A3460" s="91" t="s">
        <v>444</v>
      </c>
      <c r="B3460" s="9">
        <v>2.5</v>
      </c>
    </row>
    <row r="3461" spans="1:2" x14ac:dyDescent="0.35">
      <c r="A3461" s="91" t="s">
        <v>4077</v>
      </c>
      <c r="B3461" s="9">
        <v>5</v>
      </c>
    </row>
    <row r="3462" spans="1:2" x14ac:dyDescent="0.35">
      <c r="A3462" s="91" t="s">
        <v>2993</v>
      </c>
      <c r="B3462" s="9">
        <v>2.8</v>
      </c>
    </row>
    <row r="3463" spans="1:2" x14ac:dyDescent="0.35">
      <c r="A3463" s="91" t="s">
        <v>5475</v>
      </c>
      <c r="B3463" s="9">
        <v>2.2000000000000002</v>
      </c>
    </row>
    <row r="3464" spans="1:2" x14ac:dyDescent="0.35">
      <c r="A3464" s="91" t="s">
        <v>2525</v>
      </c>
      <c r="B3464" s="9">
        <v>2.5</v>
      </c>
    </row>
    <row r="3465" spans="1:2" x14ac:dyDescent="0.35">
      <c r="A3465" s="91" t="s">
        <v>1972</v>
      </c>
      <c r="B3465" s="9">
        <v>2.2000000000000002</v>
      </c>
    </row>
    <row r="3466" spans="1:2" x14ac:dyDescent="0.35">
      <c r="A3466" s="91" t="s">
        <v>2876</v>
      </c>
      <c r="B3466" s="9">
        <v>3.8</v>
      </c>
    </row>
    <row r="3467" spans="1:2" x14ac:dyDescent="0.35">
      <c r="A3467" s="91" t="s">
        <v>5080</v>
      </c>
      <c r="B3467" s="9">
        <v>11.2</v>
      </c>
    </row>
    <row r="3468" spans="1:2" x14ac:dyDescent="0.35">
      <c r="A3468" s="91" t="s">
        <v>2435</v>
      </c>
      <c r="B3468" s="9">
        <v>2.8</v>
      </c>
    </row>
    <row r="3469" spans="1:2" x14ac:dyDescent="0.35">
      <c r="A3469" s="91" t="s">
        <v>829</v>
      </c>
      <c r="B3469" s="9">
        <v>19</v>
      </c>
    </row>
    <row r="3470" spans="1:2" x14ac:dyDescent="0.35">
      <c r="A3470" s="91" t="s">
        <v>4657</v>
      </c>
      <c r="B3470" s="9">
        <v>14</v>
      </c>
    </row>
    <row r="3471" spans="1:2" x14ac:dyDescent="0.35">
      <c r="A3471" s="91" t="s">
        <v>1530</v>
      </c>
      <c r="B3471" s="9">
        <v>5.6</v>
      </c>
    </row>
    <row r="3472" spans="1:2" x14ac:dyDescent="0.35">
      <c r="A3472" s="91" t="s">
        <v>3685</v>
      </c>
      <c r="B3472" s="9">
        <v>11</v>
      </c>
    </row>
    <row r="3473" spans="1:2" x14ac:dyDescent="0.35">
      <c r="A3473" s="91" t="s">
        <v>1560</v>
      </c>
      <c r="B3473" s="9">
        <v>2.5</v>
      </c>
    </row>
    <row r="3474" spans="1:2" x14ac:dyDescent="0.35">
      <c r="A3474" s="91" t="s">
        <v>3251</v>
      </c>
      <c r="B3474" s="9">
        <v>2.8</v>
      </c>
    </row>
    <row r="3475" spans="1:2" x14ac:dyDescent="0.35">
      <c r="A3475" s="91" t="s">
        <v>5310</v>
      </c>
      <c r="B3475" s="9">
        <v>12.5</v>
      </c>
    </row>
    <row r="3476" spans="1:2" x14ac:dyDescent="0.35">
      <c r="A3476" s="91" t="s">
        <v>6007</v>
      </c>
      <c r="B3476" s="9">
        <v>3.8</v>
      </c>
    </row>
    <row r="3477" spans="1:2" x14ac:dyDescent="0.35">
      <c r="A3477" s="91" t="s">
        <v>137</v>
      </c>
      <c r="B3477" s="9">
        <v>7.5</v>
      </c>
    </row>
    <row r="3478" spans="1:2" x14ac:dyDescent="0.35">
      <c r="A3478" s="91" t="s">
        <v>5548</v>
      </c>
      <c r="B3478" s="9">
        <v>3.5</v>
      </c>
    </row>
    <row r="3479" spans="1:2" x14ac:dyDescent="0.35">
      <c r="A3479" s="91" t="s">
        <v>4879</v>
      </c>
      <c r="B3479" s="9">
        <v>11</v>
      </c>
    </row>
    <row r="3480" spans="1:2" x14ac:dyDescent="0.35">
      <c r="A3480" s="91" t="s">
        <v>5585</v>
      </c>
      <c r="B3480" s="9">
        <v>17.5</v>
      </c>
    </row>
    <row r="3481" spans="1:2" x14ac:dyDescent="0.35">
      <c r="A3481" s="91" t="s">
        <v>2588</v>
      </c>
      <c r="B3481" s="9">
        <v>2.8</v>
      </c>
    </row>
    <row r="3482" spans="1:2" x14ac:dyDescent="0.35">
      <c r="A3482" s="91" t="s">
        <v>5164</v>
      </c>
      <c r="B3482" s="9">
        <v>19</v>
      </c>
    </row>
    <row r="3483" spans="1:2" x14ac:dyDescent="0.35">
      <c r="A3483" s="91" t="s">
        <v>2348</v>
      </c>
      <c r="B3483" s="9">
        <v>4.4000000000000004</v>
      </c>
    </row>
    <row r="3484" spans="1:2" x14ac:dyDescent="0.35">
      <c r="A3484" s="91" t="s">
        <v>868</v>
      </c>
      <c r="B3484" s="9">
        <v>2.8</v>
      </c>
    </row>
    <row r="3485" spans="1:2" x14ac:dyDescent="0.35">
      <c r="A3485" s="91" t="s">
        <v>1561</v>
      </c>
      <c r="B3485" s="9">
        <v>5</v>
      </c>
    </row>
    <row r="3486" spans="1:2" x14ac:dyDescent="0.35">
      <c r="A3486" s="91" t="s">
        <v>1286</v>
      </c>
      <c r="B3486" s="9">
        <v>2.5</v>
      </c>
    </row>
    <row r="3487" spans="1:2" x14ac:dyDescent="0.35">
      <c r="A3487" s="91" t="s">
        <v>4078</v>
      </c>
      <c r="B3487" s="9">
        <v>17.5</v>
      </c>
    </row>
    <row r="3488" spans="1:2" x14ac:dyDescent="0.35">
      <c r="A3488" s="91" t="s">
        <v>4317</v>
      </c>
      <c r="B3488" s="9">
        <v>6.6000000000000005</v>
      </c>
    </row>
    <row r="3489" spans="1:2" x14ac:dyDescent="0.35">
      <c r="A3489" s="91" t="s">
        <v>1754</v>
      </c>
      <c r="B3489" s="9">
        <v>7.5</v>
      </c>
    </row>
    <row r="3490" spans="1:2" x14ac:dyDescent="0.35">
      <c r="A3490" s="91" t="s">
        <v>1934</v>
      </c>
      <c r="B3490" s="9">
        <v>15.2</v>
      </c>
    </row>
    <row r="3491" spans="1:2" x14ac:dyDescent="0.35">
      <c r="A3491" s="91" t="s">
        <v>2083</v>
      </c>
      <c r="B3491" s="9">
        <v>2.2000000000000002</v>
      </c>
    </row>
    <row r="3492" spans="1:2" x14ac:dyDescent="0.35">
      <c r="A3492" s="91" t="s">
        <v>4348</v>
      </c>
      <c r="B3492" s="9">
        <v>8.8000000000000007</v>
      </c>
    </row>
    <row r="3493" spans="1:2" x14ac:dyDescent="0.35">
      <c r="A3493" s="91" t="s">
        <v>3701</v>
      </c>
      <c r="B3493" s="9">
        <v>10</v>
      </c>
    </row>
    <row r="3494" spans="1:2" x14ac:dyDescent="0.35">
      <c r="A3494" s="91" t="s">
        <v>776</v>
      </c>
      <c r="B3494" s="9">
        <v>8.3999999999999986</v>
      </c>
    </row>
    <row r="3495" spans="1:2" x14ac:dyDescent="0.35">
      <c r="A3495" s="91" t="s">
        <v>2692</v>
      </c>
      <c r="B3495" s="9">
        <v>11.399999999999999</v>
      </c>
    </row>
    <row r="3496" spans="1:2" x14ac:dyDescent="0.35">
      <c r="A3496" s="91" t="s">
        <v>2465</v>
      </c>
      <c r="B3496" s="9">
        <v>2.5</v>
      </c>
    </row>
    <row r="3497" spans="1:2" x14ac:dyDescent="0.35">
      <c r="A3497" s="91" t="s">
        <v>5974</v>
      </c>
      <c r="B3497" s="9">
        <v>7.5</v>
      </c>
    </row>
    <row r="3498" spans="1:2" x14ac:dyDescent="0.35">
      <c r="A3498" s="91" t="s">
        <v>4147</v>
      </c>
      <c r="B3498" s="9">
        <v>11</v>
      </c>
    </row>
    <row r="3499" spans="1:2" x14ac:dyDescent="0.35">
      <c r="A3499" s="91" t="s">
        <v>5817</v>
      </c>
      <c r="B3499" s="9">
        <v>19</v>
      </c>
    </row>
    <row r="3500" spans="1:2" x14ac:dyDescent="0.35">
      <c r="A3500" s="91" t="s">
        <v>51</v>
      </c>
      <c r="B3500" s="9">
        <v>19</v>
      </c>
    </row>
    <row r="3501" spans="1:2" x14ac:dyDescent="0.35">
      <c r="A3501" s="91" t="s">
        <v>5034</v>
      </c>
      <c r="B3501" s="9">
        <v>17.5</v>
      </c>
    </row>
    <row r="3502" spans="1:2" x14ac:dyDescent="0.35">
      <c r="A3502" s="91" t="s">
        <v>4396</v>
      </c>
      <c r="B3502" s="9">
        <v>12.5</v>
      </c>
    </row>
    <row r="3503" spans="1:2" x14ac:dyDescent="0.35">
      <c r="A3503" s="91" t="s">
        <v>3177</v>
      </c>
      <c r="B3503" s="9">
        <v>6.6000000000000005</v>
      </c>
    </row>
    <row r="3504" spans="1:2" x14ac:dyDescent="0.35">
      <c r="A3504" s="91" t="s">
        <v>4527</v>
      </c>
      <c r="B3504" s="9">
        <v>11.399999999999999</v>
      </c>
    </row>
    <row r="3505" spans="1:2" x14ac:dyDescent="0.35">
      <c r="A3505" s="91" t="s">
        <v>5476</v>
      </c>
      <c r="B3505" s="9">
        <v>3.5</v>
      </c>
    </row>
    <row r="3506" spans="1:2" x14ac:dyDescent="0.35">
      <c r="A3506" s="91" t="s">
        <v>1318</v>
      </c>
      <c r="B3506" s="9">
        <v>11.2</v>
      </c>
    </row>
    <row r="3507" spans="1:2" x14ac:dyDescent="0.35">
      <c r="A3507" s="91" t="s">
        <v>3374</v>
      </c>
      <c r="B3507" s="9">
        <v>10.5</v>
      </c>
    </row>
    <row r="3508" spans="1:2" x14ac:dyDescent="0.35">
      <c r="A3508" s="91" t="s">
        <v>1261</v>
      </c>
      <c r="B3508" s="9">
        <v>14</v>
      </c>
    </row>
    <row r="3509" spans="1:2" x14ac:dyDescent="0.35">
      <c r="A3509" s="91" t="s">
        <v>1062</v>
      </c>
      <c r="B3509" s="9">
        <v>3.5</v>
      </c>
    </row>
    <row r="3510" spans="1:2" x14ac:dyDescent="0.35">
      <c r="A3510" s="91" t="s">
        <v>3994</v>
      </c>
      <c r="B3510" s="9">
        <v>6.6000000000000005</v>
      </c>
    </row>
    <row r="3511" spans="1:2" x14ac:dyDescent="0.35">
      <c r="A3511" s="91" t="s">
        <v>2042</v>
      </c>
      <c r="B3511" s="9">
        <v>2.5</v>
      </c>
    </row>
    <row r="3512" spans="1:2" x14ac:dyDescent="0.35">
      <c r="A3512" s="91" t="s">
        <v>850</v>
      </c>
      <c r="B3512" s="9">
        <v>15.2</v>
      </c>
    </row>
    <row r="3513" spans="1:2" x14ac:dyDescent="0.35">
      <c r="A3513" s="91" t="s">
        <v>3807</v>
      </c>
      <c r="B3513" s="9">
        <v>15.2</v>
      </c>
    </row>
    <row r="3514" spans="1:2" x14ac:dyDescent="0.35">
      <c r="A3514" s="91" t="s">
        <v>5244</v>
      </c>
      <c r="B3514" s="9">
        <v>14</v>
      </c>
    </row>
    <row r="3515" spans="1:2" x14ac:dyDescent="0.35">
      <c r="A3515" s="91" t="s">
        <v>4658</v>
      </c>
      <c r="B3515" s="9">
        <v>4.4000000000000004</v>
      </c>
    </row>
    <row r="3516" spans="1:2" x14ac:dyDescent="0.35">
      <c r="A3516" s="91" t="s">
        <v>3873</v>
      </c>
      <c r="B3516" s="9">
        <v>2.2000000000000002</v>
      </c>
    </row>
    <row r="3517" spans="1:2" x14ac:dyDescent="0.35">
      <c r="A3517" s="91" t="s">
        <v>5165</v>
      </c>
      <c r="B3517" s="9">
        <v>2.5</v>
      </c>
    </row>
    <row r="3518" spans="1:2" x14ac:dyDescent="0.35">
      <c r="A3518" s="91" t="s">
        <v>1109</v>
      </c>
      <c r="B3518" s="9">
        <v>8.8000000000000007</v>
      </c>
    </row>
    <row r="3519" spans="1:2" x14ac:dyDescent="0.35">
      <c r="A3519" s="91" t="s">
        <v>3133</v>
      </c>
      <c r="B3519" s="9">
        <v>8.8000000000000007</v>
      </c>
    </row>
    <row r="3520" spans="1:2" x14ac:dyDescent="0.35">
      <c r="A3520" s="91" t="s">
        <v>4246</v>
      </c>
      <c r="B3520" s="9">
        <v>11.2</v>
      </c>
    </row>
    <row r="3521" spans="1:2" x14ac:dyDescent="0.35">
      <c r="A3521" s="91" t="s">
        <v>3070</v>
      </c>
      <c r="B3521" s="9">
        <v>15.2</v>
      </c>
    </row>
    <row r="3522" spans="1:2" x14ac:dyDescent="0.35">
      <c r="A3522" s="91" t="s">
        <v>4176</v>
      </c>
      <c r="B3522" s="9">
        <v>2.2000000000000002</v>
      </c>
    </row>
    <row r="3523" spans="1:2" x14ac:dyDescent="0.35">
      <c r="A3523" s="91" t="s">
        <v>1973</v>
      </c>
      <c r="B3523" s="9">
        <v>11.399999999999999</v>
      </c>
    </row>
    <row r="3524" spans="1:2" x14ac:dyDescent="0.35">
      <c r="A3524" s="91" t="s">
        <v>1902</v>
      </c>
      <c r="B3524" s="9">
        <v>11.2</v>
      </c>
    </row>
    <row r="3525" spans="1:2" x14ac:dyDescent="0.35">
      <c r="A3525" s="91" t="s">
        <v>5414</v>
      </c>
      <c r="B3525" s="9">
        <v>7.5</v>
      </c>
    </row>
    <row r="3526" spans="1:2" x14ac:dyDescent="0.35">
      <c r="A3526" s="91" t="s">
        <v>4687</v>
      </c>
      <c r="B3526" s="9">
        <v>10.5</v>
      </c>
    </row>
    <row r="3527" spans="1:2" x14ac:dyDescent="0.35">
      <c r="A3527" s="91" t="s">
        <v>4163</v>
      </c>
      <c r="B3527" s="9">
        <v>7</v>
      </c>
    </row>
    <row r="3528" spans="1:2" x14ac:dyDescent="0.35">
      <c r="A3528" s="91" t="s">
        <v>2205</v>
      </c>
      <c r="B3528" s="9">
        <v>7</v>
      </c>
    </row>
    <row r="3529" spans="1:2" x14ac:dyDescent="0.35">
      <c r="A3529" s="91" t="s">
        <v>3416</v>
      </c>
      <c r="B3529" s="9">
        <v>14</v>
      </c>
    </row>
    <row r="3530" spans="1:2" x14ac:dyDescent="0.35">
      <c r="A3530" s="91" t="s">
        <v>520</v>
      </c>
      <c r="B3530" s="9">
        <v>11</v>
      </c>
    </row>
    <row r="3531" spans="1:2" x14ac:dyDescent="0.35">
      <c r="A3531" s="91" t="s">
        <v>1953</v>
      </c>
      <c r="B3531" s="9">
        <v>8.8000000000000007</v>
      </c>
    </row>
    <row r="3532" spans="1:2" x14ac:dyDescent="0.35">
      <c r="A3532" s="91" t="s">
        <v>4958</v>
      </c>
      <c r="B3532" s="9">
        <v>11.2</v>
      </c>
    </row>
    <row r="3533" spans="1:2" x14ac:dyDescent="0.35">
      <c r="A3533" s="91" t="s">
        <v>1800</v>
      </c>
      <c r="B3533" s="9">
        <v>14</v>
      </c>
    </row>
    <row r="3534" spans="1:2" x14ac:dyDescent="0.35">
      <c r="A3534" s="91" t="s">
        <v>5875</v>
      </c>
      <c r="B3534" s="9">
        <v>2.5</v>
      </c>
    </row>
    <row r="3535" spans="1:2" x14ac:dyDescent="0.35">
      <c r="A3535" s="91" t="s">
        <v>3829</v>
      </c>
      <c r="B3535" s="9">
        <v>8.3999999999999986</v>
      </c>
    </row>
    <row r="3536" spans="1:2" x14ac:dyDescent="0.35">
      <c r="A3536" s="91" t="s">
        <v>562</v>
      </c>
      <c r="B3536" s="9">
        <v>19</v>
      </c>
    </row>
    <row r="3537" spans="1:2" x14ac:dyDescent="0.35">
      <c r="A3537" s="91" t="s">
        <v>1131</v>
      </c>
      <c r="B3537" s="9">
        <v>11</v>
      </c>
    </row>
    <row r="3538" spans="1:2" x14ac:dyDescent="0.35">
      <c r="A3538" s="91" t="s">
        <v>4938</v>
      </c>
      <c r="B3538" s="9">
        <v>8.8000000000000007</v>
      </c>
    </row>
    <row r="3539" spans="1:2" x14ac:dyDescent="0.35">
      <c r="A3539" s="91" t="s">
        <v>747</v>
      </c>
      <c r="B3539" s="9">
        <v>10</v>
      </c>
    </row>
    <row r="3540" spans="1:2" x14ac:dyDescent="0.35">
      <c r="A3540" s="91" t="s">
        <v>5844</v>
      </c>
      <c r="B3540" s="9">
        <v>7.5</v>
      </c>
    </row>
    <row r="3541" spans="1:2" x14ac:dyDescent="0.35">
      <c r="A3541" s="91" t="s">
        <v>2675</v>
      </c>
      <c r="B3541" s="9">
        <v>6.6000000000000005</v>
      </c>
    </row>
    <row r="3542" spans="1:2" x14ac:dyDescent="0.35">
      <c r="A3542" s="91" t="s">
        <v>3702</v>
      </c>
      <c r="B3542" s="9">
        <v>5.6</v>
      </c>
    </row>
    <row r="3543" spans="1:2" x14ac:dyDescent="0.35">
      <c r="A3543" s="91" t="s">
        <v>1903</v>
      </c>
      <c r="B3543" s="9">
        <v>4.4000000000000004</v>
      </c>
    </row>
    <row r="3544" spans="1:2" x14ac:dyDescent="0.35">
      <c r="A3544" s="91" t="s">
        <v>4318</v>
      </c>
      <c r="B3544" s="9">
        <v>14</v>
      </c>
    </row>
    <row r="3545" spans="1:2" x14ac:dyDescent="0.35">
      <c r="A3545" s="91" t="s">
        <v>5637</v>
      </c>
      <c r="B3545" s="9">
        <v>7.5</v>
      </c>
    </row>
    <row r="3546" spans="1:2" x14ac:dyDescent="0.35">
      <c r="A3546" s="91" t="s">
        <v>4349</v>
      </c>
      <c r="B3546" s="9">
        <v>7.5</v>
      </c>
    </row>
    <row r="3547" spans="1:2" x14ac:dyDescent="0.35">
      <c r="A3547" s="91" t="s">
        <v>3886</v>
      </c>
      <c r="B3547" s="9">
        <v>7</v>
      </c>
    </row>
    <row r="3548" spans="1:2" x14ac:dyDescent="0.35">
      <c r="A3548" s="91" t="s">
        <v>305</v>
      </c>
      <c r="B3548" s="9">
        <v>15.2</v>
      </c>
    </row>
    <row r="3549" spans="1:2" x14ac:dyDescent="0.35">
      <c r="A3549" s="91" t="s">
        <v>5326</v>
      </c>
      <c r="B3549" s="9">
        <v>14</v>
      </c>
    </row>
    <row r="3550" spans="1:2" x14ac:dyDescent="0.35">
      <c r="A3550" s="91" t="s">
        <v>5599</v>
      </c>
      <c r="B3550" s="9">
        <v>11.399999999999999</v>
      </c>
    </row>
    <row r="3551" spans="1:2" x14ac:dyDescent="0.35">
      <c r="A3551" s="91" t="s">
        <v>870</v>
      </c>
      <c r="B3551" s="9">
        <v>6.6000000000000005</v>
      </c>
    </row>
    <row r="3552" spans="1:2" x14ac:dyDescent="0.35">
      <c r="A3552" s="91" t="s">
        <v>4788</v>
      </c>
      <c r="B3552" s="9">
        <v>5.6</v>
      </c>
    </row>
    <row r="3553" spans="1:2" x14ac:dyDescent="0.35">
      <c r="A3553" s="91" t="s">
        <v>2676</v>
      </c>
      <c r="B3553" s="9">
        <v>6.6000000000000005</v>
      </c>
    </row>
    <row r="3554" spans="1:2" x14ac:dyDescent="0.35">
      <c r="A3554" s="91" t="s">
        <v>1886</v>
      </c>
      <c r="B3554" s="9">
        <v>14</v>
      </c>
    </row>
    <row r="3555" spans="1:2" x14ac:dyDescent="0.35">
      <c r="A3555" s="91" t="s">
        <v>1905</v>
      </c>
      <c r="B3555" s="9">
        <v>2.8</v>
      </c>
    </row>
    <row r="3556" spans="1:2" x14ac:dyDescent="0.35">
      <c r="A3556" s="91" t="s">
        <v>1727</v>
      </c>
      <c r="B3556" s="9">
        <v>5</v>
      </c>
    </row>
    <row r="3557" spans="1:2" x14ac:dyDescent="0.35">
      <c r="A3557" s="91" t="s">
        <v>851</v>
      </c>
      <c r="B3557" s="9">
        <v>11.399999999999999</v>
      </c>
    </row>
    <row r="3558" spans="1:2" x14ac:dyDescent="0.35">
      <c r="A3558" s="91" t="s">
        <v>5715</v>
      </c>
      <c r="B3558" s="9">
        <v>4.4000000000000004</v>
      </c>
    </row>
    <row r="3559" spans="1:2" x14ac:dyDescent="0.35">
      <c r="A3559" s="91" t="s">
        <v>4972</v>
      </c>
      <c r="B3559" s="9">
        <v>19</v>
      </c>
    </row>
    <row r="3560" spans="1:2" x14ac:dyDescent="0.35">
      <c r="A3560" s="91" t="s">
        <v>1715</v>
      </c>
      <c r="B3560" s="9">
        <v>15.2</v>
      </c>
    </row>
    <row r="3561" spans="1:2" x14ac:dyDescent="0.35">
      <c r="A3561" s="91" t="s">
        <v>5729</v>
      </c>
      <c r="B3561" s="9">
        <v>17.5</v>
      </c>
    </row>
    <row r="3562" spans="1:2" x14ac:dyDescent="0.35">
      <c r="A3562" s="91" t="s">
        <v>2799</v>
      </c>
      <c r="B3562" s="9">
        <v>7.6</v>
      </c>
    </row>
    <row r="3563" spans="1:2" x14ac:dyDescent="0.35">
      <c r="A3563" s="91" t="s">
        <v>3794</v>
      </c>
      <c r="B3563" s="9">
        <v>3.8</v>
      </c>
    </row>
    <row r="3564" spans="1:2" x14ac:dyDescent="0.35">
      <c r="A3564" s="91" t="s">
        <v>1821</v>
      </c>
      <c r="B3564" s="9">
        <v>12.5</v>
      </c>
    </row>
    <row r="3565" spans="1:2" x14ac:dyDescent="0.35">
      <c r="A3565" s="91" t="s">
        <v>2206</v>
      </c>
      <c r="B3565" s="9">
        <v>2.5</v>
      </c>
    </row>
    <row r="3566" spans="1:2" x14ac:dyDescent="0.35">
      <c r="A3566" s="91" t="s">
        <v>4038</v>
      </c>
      <c r="B3566" s="9">
        <v>8.3999999999999986</v>
      </c>
    </row>
    <row r="3567" spans="1:2" x14ac:dyDescent="0.35">
      <c r="A3567" s="91" t="s">
        <v>3404</v>
      </c>
      <c r="B3567" s="9">
        <v>7.6</v>
      </c>
    </row>
    <row r="3568" spans="1:2" x14ac:dyDescent="0.35">
      <c r="A3568" s="91" t="s">
        <v>3722</v>
      </c>
      <c r="B3568" s="9">
        <v>3.5</v>
      </c>
    </row>
    <row r="3569" spans="1:2" x14ac:dyDescent="0.35">
      <c r="A3569" s="91" t="s">
        <v>1906</v>
      </c>
      <c r="B3569" s="9">
        <v>14</v>
      </c>
    </row>
    <row r="3570" spans="1:2" x14ac:dyDescent="0.35">
      <c r="A3570" s="91" t="s">
        <v>5450</v>
      </c>
      <c r="B3570" s="9">
        <v>10.5</v>
      </c>
    </row>
    <row r="3571" spans="1:2" x14ac:dyDescent="0.35">
      <c r="A3571" s="91" t="s">
        <v>2436</v>
      </c>
      <c r="B3571" s="9">
        <v>4.4000000000000004</v>
      </c>
    </row>
    <row r="3572" spans="1:2" x14ac:dyDescent="0.35">
      <c r="A3572" s="91" t="s">
        <v>1154</v>
      </c>
      <c r="B3572" s="9">
        <v>2.8</v>
      </c>
    </row>
    <row r="3573" spans="1:2" x14ac:dyDescent="0.35">
      <c r="A3573" s="91" t="s">
        <v>4235</v>
      </c>
      <c r="B3573" s="9">
        <v>14</v>
      </c>
    </row>
    <row r="3574" spans="1:2" x14ac:dyDescent="0.35">
      <c r="A3574" s="91" t="s">
        <v>5834</v>
      </c>
      <c r="B3574" s="9">
        <v>3.8</v>
      </c>
    </row>
    <row r="3575" spans="1:2" x14ac:dyDescent="0.35">
      <c r="A3575" s="91" t="s">
        <v>5139</v>
      </c>
      <c r="B3575" s="9">
        <v>7.6</v>
      </c>
    </row>
    <row r="3576" spans="1:2" x14ac:dyDescent="0.35">
      <c r="A3576" s="91" t="s">
        <v>4733</v>
      </c>
      <c r="B3576" s="9">
        <v>5</v>
      </c>
    </row>
    <row r="3577" spans="1:2" x14ac:dyDescent="0.35">
      <c r="A3577" s="91" t="s">
        <v>4061</v>
      </c>
      <c r="B3577" s="9">
        <v>2.8</v>
      </c>
    </row>
    <row r="3578" spans="1:2" x14ac:dyDescent="0.35">
      <c r="A3578" s="91" t="s">
        <v>678</v>
      </c>
      <c r="B3578" s="9">
        <v>3.5</v>
      </c>
    </row>
    <row r="3579" spans="1:2" x14ac:dyDescent="0.35">
      <c r="A3579" s="91" t="s">
        <v>2207</v>
      </c>
      <c r="B3579" s="9">
        <v>2.5</v>
      </c>
    </row>
    <row r="3580" spans="1:2" x14ac:dyDescent="0.35">
      <c r="A3580" s="91" t="s">
        <v>5185</v>
      </c>
      <c r="B3580" s="9">
        <v>11.399999999999999</v>
      </c>
    </row>
    <row r="3581" spans="1:2" x14ac:dyDescent="0.35">
      <c r="A3581" s="91" t="s">
        <v>5766</v>
      </c>
      <c r="B3581" s="9">
        <v>11.399999999999999</v>
      </c>
    </row>
    <row r="3582" spans="1:2" x14ac:dyDescent="0.35">
      <c r="A3582" s="91" t="s">
        <v>1728</v>
      </c>
      <c r="B3582" s="9">
        <v>15.2</v>
      </c>
    </row>
    <row r="3583" spans="1:2" x14ac:dyDescent="0.35">
      <c r="A3583" s="91" t="s">
        <v>1623</v>
      </c>
      <c r="B3583" s="9">
        <v>2.2000000000000002</v>
      </c>
    </row>
    <row r="3584" spans="1:2" x14ac:dyDescent="0.35">
      <c r="A3584" s="91" t="s">
        <v>627</v>
      </c>
      <c r="B3584" s="9">
        <v>12.5</v>
      </c>
    </row>
    <row r="3585" spans="1:2" x14ac:dyDescent="0.35">
      <c r="A3585" s="91" t="s">
        <v>4108</v>
      </c>
      <c r="B3585" s="9">
        <v>5</v>
      </c>
    </row>
    <row r="3586" spans="1:2" x14ac:dyDescent="0.35">
      <c r="A3586" s="91" t="s">
        <v>1935</v>
      </c>
      <c r="B3586" s="9">
        <v>11</v>
      </c>
    </row>
    <row r="3587" spans="1:2" x14ac:dyDescent="0.35">
      <c r="A3587" s="91" t="s">
        <v>4939</v>
      </c>
      <c r="B3587" s="9">
        <v>4.4000000000000004</v>
      </c>
    </row>
    <row r="3588" spans="1:2" x14ac:dyDescent="0.35">
      <c r="A3588" s="91" t="s">
        <v>966</v>
      </c>
      <c r="B3588" s="9">
        <v>3.8</v>
      </c>
    </row>
    <row r="3589" spans="1:2" x14ac:dyDescent="0.35">
      <c r="A3589" s="91" t="s">
        <v>2208</v>
      </c>
      <c r="B3589" s="9">
        <v>2.5</v>
      </c>
    </row>
    <row r="3590" spans="1:2" x14ac:dyDescent="0.35">
      <c r="A3590" s="91" t="s">
        <v>4213</v>
      </c>
      <c r="B3590" s="9">
        <v>12.5</v>
      </c>
    </row>
    <row r="3591" spans="1:2" x14ac:dyDescent="0.35">
      <c r="A3591" s="91" t="s">
        <v>3359</v>
      </c>
      <c r="B3591" s="9">
        <v>10.5</v>
      </c>
    </row>
    <row r="3592" spans="1:2" x14ac:dyDescent="0.35">
      <c r="A3592" s="91" t="s">
        <v>2209</v>
      </c>
      <c r="B3592" s="9">
        <v>2.5</v>
      </c>
    </row>
    <row r="3593" spans="1:2" x14ac:dyDescent="0.35">
      <c r="A3593" s="91" t="s">
        <v>373</v>
      </c>
      <c r="B3593" s="9">
        <v>10.5</v>
      </c>
    </row>
    <row r="3594" spans="1:2" x14ac:dyDescent="0.35">
      <c r="A3594" s="91" t="s">
        <v>3395</v>
      </c>
      <c r="B3594" s="9">
        <v>11.2</v>
      </c>
    </row>
    <row r="3595" spans="1:2" x14ac:dyDescent="0.35">
      <c r="A3595" s="91" t="s">
        <v>5887</v>
      </c>
      <c r="B3595" s="9">
        <v>11</v>
      </c>
    </row>
    <row r="3596" spans="1:2" x14ac:dyDescent="0.35">
      <c r="A3596" s="91" t="s">
        <v>2902</v>
      </c>
      <c r="B3596" s="9">
        <v>12.5</v>
      </c>
    </row>
    <row r="3597" spans="1:2" x14ac:dyDescent="0.35">
      <c r="A3597" s="91" t="s">
        <v>5399</v>
      </c>
      <c r="B3597" s="9">
        <v>15.2</v>
      </c>
    </row>
    <row r="3598" spans="1:2" x14ac:dyDescent="0.35">
      <c r="A3598" s="91" t="s">
        <v>4528</v>
      </c>
      <c r="B3598" s="9">
        <v>15.2</v>
      </c>
    </row>
    <row r="3599" spans="1:2" x14ac:dyDescent="0.35">
      <c r="A3599" s="91" t="s">
        <v>3556</v>
      </c>
      <c r="B3599" s="9">
        <v>2.2000000000000002</v>
      </c>
    </row>
    <row r="3600" spans="1:2" x14ac:dyDescent="0.35">
      <c r="A3600" s="91" t="s">
        <v>2812</v>
      </c>
      <c r="B3600" s="9">
        <v>3.8</v>
      </c>
    </row>
    <row r="3601" spans="1:2" x14ac:dyDescent="0.35">
      <c r="A3601" s="91" t="s">
        <v>2590</v>
      </c>
      <c r="B3601" s="9">
        <v>4.4000000000000004</v>
      </c>
    </row>
    <row r="3602" spans="1:2" x14ac:dyDescent="0.35">
      <c r="A3602" s="91" t="s">
        <v>3218</v>
      </c>
      <c r="B3602" s="9">
        <v>10</v>
      </c>
    </row>
    <row r="3603" spans="1:2" x14ac:dyDescent="0.35">
      <c r="A3603" s="91" t="s">
        <v>4062</v>
      </c>
      <c r="B3603" s="9">
        <v>10</v>
      </c>
    </row>
    <row r="3604" spans="1:2" x14ac:dyDescent="0.35">
      <c r="A3604" s="91" t="s">
        <v>3502</v>
      </c>
      <c r="B3604" s="9">
        <v>2.8</v>
      </c>
    </row>
    <row r="3605" spans="1:2" x14ac:dyDescent="0.35">
      <c r="A3605" s="91" t="s">
        <v>5113</v>
      </c>
      <c r="B3605" s="9">
        <v>8.8000000000000007</v>
      </c>
    </row>
    <row r="3606" spans="1:2" x14ac:dyDescent="0.35">
      <c r="A3606" s="91" t="s">
        <v>4471</v>
      </c>
      <c r="B3606" s="9">
        <v>4.4000000000000004</v>
      </c>
    </row>
    <row r="3607" spans="1:2" x14ac:dyDescent="0.35">
      <c r="A3607" s="91" t="s">
        <v>5140</v>
      </c>
      <c r="B3607" s="9">
        <v>15.2</v>
      </c>
    </row>
    <row r="3608" spans="1:2" x14ac:dyDescent="0.35">
      <c r="A3608" s="91" t="s">
        <v>1994</v>
      </c>
      <c r="B3608" s="9">
        <v>2.8</v>
      </c>
    </row>
    <row r="3609" spans="1:2" x14ac:dyDescent="0.35">
      <c r="A3609" s="91" t="s">
        <v>4247</v>
      </c>
      <c r="B3609" s="9">
        <v>4.4000000000000004</v>
      </c>
    </row>
    <row r="3610" spans="1:2" x14ac:dyDescent="0.35">
      <c r="A3610" s="91" t="s">
        <v>1775</v>
      </c>
      <c r="B3610" s="9">
        <v>15.2</v>
      </c>
    </row>
    <row r="3611" spans="1:2" x14ac:dyDescent="0.35">
      <c r="A3611" s="91" t="s">
        <v>3289</v>
      </c>
      <c r="B3611" s="9">
        <v>2.8</v>
      </c>
    </row>
    <row r="3612" spans="1:2" x14ac:dyDescent="0.35">
      <c r="A3612" s="91" t="s">
        <v>1413</v>
      </c>
      <c r="B3612" s="9">
        <v>2.8</v>
      </c>
    </row>
    <row r="3613" spans="1:2" x14ac:dyDescent="0.35">
      <c r="A3613" s="91" t="s">
        <v>4063</v>
      </c>
      <c r="B3613" s="9">
        <v>5</v>
      </c>
    </row>
    <row r="3614" spans="1:2" x14ac:dyDescent="0.35">
      <c r="A3614" s="91" t="s">
        <v>5226</v>
      </c>
      <c r="B3614" s="9">
        <v>14</v>
      </c>
    </row>
    <row r="3615" spans="1:2" x14ac:dyDescent="0.35">
      <c r="A3615" s="91" t="s">
        <v>3375</v>
      </c>
      <c r="B3615" s="9">
        <v>11</v>
      </c>
    </row>
    <row r="3616" spans="1:2" x14ac:dyDescent="0.35">
      <c r="A3616" s="91" t="s">
        <v>4988</v>
      </c>
      <c r="B3616" s="9">
        <v>5.6</v>
      </c>
    </row>
    <row r="3617" spans="1:2" x14ac:dyDescent="0.35">
      <c r="A3617" s="91" t="s">
        <v>329</v>
      </c>
      <c r="B3617" s="9">
        <v>19</v>
      </c>
    </row>
    <row r="3618" spans="1:2" x14ac:dyDescent="0.35">
      <c r="A3618" s="91" t="s">
        <v>5451</v>
      </c>
      <c r="B3618" s="9">
        <v>3.5</v>
      </c>
    </row>
    <row r="3619" spans="1:2" x14ac:dyDescent="0.35">
      <c r="A3619" s="91" t="s">
        <v>4283</v>
      </c>
      <c r="B3619" s="9">
        <v>4.4000000000000004</v>
      </c>
    </row>
    <row r="3620" spans="1:2" x14ac:dyDescent="0.35">
      <c r="A3620" s="91" t="s">
        <v>5297</v>
      </c>
      <c r="B3620" s="9">
        <v>2.8</v>
      </c>
    </row>
    <row r="3621" spans="1:2" x14ac:dyDescent="0.35">
      <c r="A3621" s="91" t="s">
        <v>4007</v>
      </c>
      <c r="B3621" s="9">
        <v>19</v>
      </c>
    </row>
    <row r="3622" spans="1:2" x14ac:dyDescent="0.35">
      <c r="A3622" s="91" t="s">
        <v>3134</v>
      </c>
      <c r="B3622" s="9">
        <v>5</v>
      </c>
    </row>
    <row r="3623" spans="1:2" x14ac:dyDescent="0.35">
      <c r="A3623" s="91" t="s">
        <v>997</v>
      </c>
      <c r="B3623" s="9">
        <v>6.6000000000000005</v>
      </c>
    </row>
    <row r="3624" spans="1:2" x14ac:dyDescent="0.35">
      <c r="A3624" s="91" t="s">
        <v>3185</v>
      </c>
      <c r="B3624" s="9">
        <v>2.8</v>
      </c>
    </row>
    <row r="3625" spans="1:2" x14ac:dyDescent="0.35">
      <c r="A3625" s="91" t="s">
        <v>2648</v>
      </c>
      <c r="B3625" s="9">
        <v>14</v>
      </c>
    </row>
    <row r="3626" spans="1:2" x14ac:dyDescent="0.35">
      <c r="A3626" s="91" t="s">
        <v>3135</v>
      </c>
      <c r="B3626" s="9">
        <v>11.399999999999999</v>
      </c>
    </row>
    <row r="3627" spans="1:2" x14ac:dyDescent="0.35">
      <c r="A3627" s="91" t="s">
        <v>102</v>
      </c>
      <c r="B3627" s="9">
        <v>12.5</v>
      </c>
    </row>
    <row r="3628" spans="1:2" x14ac:dyDescent="0.35">
      <c r="A3628" s="91" t="s">
        <v>4894</v>
      </c>
      <c r="B3628" s="9">
        <v>3.8</v>
      </c>
    </row>
    <row r="3629" spans="1:2" x14ac:dyDescent="0.35">
      <c r="A3629" s="91" t="s">
        <v>5141</v>
      </c>
      <c r="B3629" s="9">
        <v>10.5</v>
      </c>
    </row>
    <row r="3630" spans="1:2" x14ac:dyDescent="0.35">
      <c r="A3630" s="91" t="s">
        <v>5400</v>
      </c>
      <c r="B3630" s="9">
        <v>3.8</v>
      </c>
    </row>
    <row r="3631" spans="1:2" x14ac:dyDescent="0.35">
      <c r="A3631" s="91" t="s">
        <v>139</v>
      </c>
      <c r="B3631" s="9">
        <v>14</v>
      </c>
    </row>
    <row r="3632" spans="1:2" x14ac:dyDescent="0.35">
      <c r="A3632" s="91" t="s">
        <v>274</v>
      </c>
      <c r="B3632" s="9">
        <v>17.5</v>
      </c>
    </row>
    <row r="3633" spans="1:2" x14ac:dyDescent="0.35">
      <c r="A3633" s="91" t="s">
        <v>5691</v>
      </c>
      <c r="B3633" s="9">
        <v>8.8000000000000007</v>
      </c>
    </row>
    <row r="3634" spans="1:2" x14ac:dyDescent="0.35">
      <c r="A3634" s="91" t="s">
        <v>4263</v>
      </c>
      <c r="B3634" s="9">
        <v>19</v>
      </c>
    </row>
    <row r="3635" spans="1:2" x14ac:dyDescent="0.35">
      <c r="A3635" s="91" t="s">
        <v>5070</v>
      </c>
      <c r="B3635" s="9">
        <v>10</v>
      </c>
    </row>
    <row r="3636" spans="1:2" x14ac:dyDescent="0.35">
      <c r="A3636" s="91" t="s">
        <v>4119</v>
      </c>
      <c r="B3636" s="9">
        <v>5</v>
      </c>
    </row>
    <row r="3637" spans="1:2" x14ac:dyDescent="0.35">
      <c r="A3637" s="91" t="s">
        <v>2921</v>
      </c>
      <c r="B3637" s="9">
        <v>2.5</v>
      </c>
    </row>
    <row r="3638" spans="1:2" x14ac:dyDescent="0.35">
      <c r="A3638" s="91" t="s">
        <v>2994</v>
      </c>
      <c r="B3638" s="9">
        <v>8.8000000000000007</v>
      </c>
    </row>
    <row r="3639" spans="1:2" x14ac:dyDescent="0.35">
      <c r="A3639" s="91" t="s">
        <v>5586</v>
      </c>
      <c r="B3639" s="9">
        <v>5.6</v>
      </c>
    </row>
    <row r="3640" spans="1:2" x14ac:dyDescent="0.35">
      <c r="A3640" s="91" t="s">
        <v>5622</v>
      </c>
      <c r="B3640" s="9">
        <v>5.6</v>
      </c>
    </row>
    <row r="3641" spans="1:2" x14ac:dyDescent="0.35">
      <c r="A3641" s="91" t="s">
        <v>2504</v>
      </c>
      <c r="B3641" s="9">
        <v>6.6000000000000005</v>
      </c>
    </row>
    <row r="3642" spans="1:2" x14ac:dyDescent="0.35">
      <c r="A3642" s="91" t="s">
        <v>1776</v>
      </c>
      <c r="B3642" s="9">
        <v>6.6000000000000005</v>
      </c>
    </row>
    <row r="3643" spans="1:2" x14ac:dyDescent="0.35">
      <c r="A3643" s="91" t="s">
        <v>3435</v>
      </c>
      <c r="B3643" s="9">
        <v>7.5</v>
      </c>
    </row>
    <row r="3644" spans="1:2" x14ac:dyDescent="0.35">
      <c r="A3644" s="91" t="s">
        <v>5327</v>
      </c>
      <c r="B3644" s="9">
        <v>10</v>
      </c>
    </row>
    <row r="3645" spans="1:2" x14ac:dyDescent="0.35">
      <c r="A3645" s="91" t="s">
        <v>3850</v>
      </c>
      <c r="B3645" s="9">
        <v>5.6</v>
      </c>
    </row>
    <row r="3646" spans="1:2" x14ac:dyDescent="0.35">
      <c r="A3646" s="91" t="s">
        <v>2708</v>
      </c>
      <c r="B3646" s="9">
        <v>6.6000000000000005</v>
      </c>
    </row>
    <row r="3647" spans="1:2" x14ac:dyDescent="0.35">
      <c r="A3647" s="91" t="s">
        <v>346</v>
      </c>
      <c r="B3647" s="9">
        <v>10.5</v>
      </c>
    </row>
    <row r="3648" spans="1:2" x14ac:dyDescent="0.35">
      <c r="A3648" s="91" t="s">
        <v>4612</v>
      </c>
      <c r="B3648" s="9">
        <v>11.399999999999999</v>
      </c>
    </row>
    <row r="3649" spans="1:2" x14ac:dyDescent="0.35">
      <c r="A3649" s="91" t="s">
        <v>5522</v>
      </c>
      <c r="B3649" s="9">
        <v>15.2</v>
      </c>
    </row>
    <row r="3650" spans="1:2" x14ac:dyDescent="0.35">
      <c r="A3650" s="91" t="s">
        <v>2786</v>
      </c>
      <c r="B3650" s="9">
        <v>3.8</v>
      </c>
    </row>
    <row r="3651" spans="1:2" x14ac:dyDescent="0.35">
      <c r="A3651" s="91" t="s">
        <v>1085</v>
      </c>
      <c r="B3651" s="9">
        <v>8.3999999999999986</v>
      </c>
    </row>
    <row r="3652" spans="1:2" x14ac:dyDescent="0.35">
      <c r="A3652" s="91" t="s">
        <v>5600</v>
      </c>
      <c r="B3652" s="9">
        <v>10.5</v>
      </c>
    </row>
    <row r="3653" spans="1:2" x14ac:dyDescent="0.35">
      <c r="A3653" s="91" t="s">
        <v>5000</v>
      </c>
      <c r="B3653" s="9">
        <v>11</v>
      </c>
    </row>
    <row r="3654" spans="1:2" x14ac:dyDescent="0.35">
      <c r="A3654" s="91" t="s">
        <v>1030</v>
      </c>
      <c r="B3654" s="9">
        <v>2.2000000000000002</v>
      </c>
    </row>
    <row r="3655" spans="1:2" x14ac:dyDescent="0.35">
      <c r="A3655" s="91" t="s">
        <v>1032</v>
      </c>
      <c r="B3655" s="9">
        <v>14</v>
      </c>
    </row>
    <row r="3656" spans="1:2" x14ac:dyDescent="0.35">
      <c r="A3656" s="91" t="s">
        <v>2620</v>
      </c>
      <c r="B3656" s="9">
        <v>5</v>
      </c>
    </row>
    <row r="3657" spans="1:2" x14ac:dyDescent="0.35">
      <c r="A3657" s="91" t="s">
        <v>5674</v>
      </c>
      <c r="B3657" s="9">
        <v>17.5</v>
      </c>
    </row>
    <row r="3658" spans="1:2" x14ac:dyDescent="0.35">
      <c r="A3658" s="91" t="s">
        <v>4472</v>
      </c>
      <c r="B3658" s="9">
        <v>2.5</v>
      </c>
    </row>
    <row r="3659" spans="1:2" x14ac:dyDescent="0.35">
      <c r="A3659" s="91" t="s">
        <v>5701</v>
      </c>
      <c r="B3659" s="9">
        <v>15.2</v>
      </c>
    </row>
    <row r="3660" spans="1:2" x14ac:dyDescent="0.35">
      <c r="A3660" s="91" t="s">
        <v>5509</v>
      </c>
      <c r="B3660" s="9">
        <v>5.6</v>
      </c>
    </row>
    <row r="3661" spans="1:2" x14ac:dyDescent="0.35">
      <c r="A3661" s="91" t="s">
        <v>1995</v>
      </c>
      <c r="B3661" s="9">
        <v>4.4000000000000004</v>
      </c>
    </row>
    <row r="3662" spans="1:2" x14ac:dyDescent="0.35">
      <c r="A3662" s="91" t="s">
        <v>1871</v>
      </c>
      <c r="B3662" s="9">
        <v>2.2000000000000002</v>
      </c>
    </row>
    <row r="3663" spans="1:2" x14ac:dyDescent="0.35">
      <c r="A3663" s="91" t="s">
        <v>3622</v>
      </c>
      <c r="B3663" s="9">
        <v>12.5</v>
      </c>
    </row>
    <row r="3664" spans="1:2" x14ac:dyDescent="0.35">
      <c r="A3664" s="91" t="s">
        <v>4767</v>
      </c>
      <c r="B3664" s="9">
        <v>3.8</v>
      </c>
    </row>
    <row r="3665" spans="1:2" x14ac:dyDescent="0.35">
      <c r="A3665" s="91" t="s">
        <v>2728</v>
      </c>
      <c r="B3665" s="9">
        <v>14</v>
      </c>
    </row>
    <row r="3666" spans="1:2" x14ac:dyDescent="0.35">
      <c r="A3666" s="91" t="s">
        <v>4413</v>
      </c>
      <c r="B3666" s="9">
        <v>5</v>
      </c>
    </row>
    <row r="3667" spans="1:2" x14ac:dyDescent="0.35">
      <c r="A3667" s="91" t="s">
        <v>5339</v>
      </c>
      <c r="B3667" s="9">
        <v>14</v>
      </c>
    </row>
    <row r="3668" spans="1:2" x14ac:dyDescent="0.35">
      <c r="A3668" s="91" t="s">
        <v>5166</v>
      </c>
      <c r="B3668" s="9">
        <v>10.5</v>
      </c>
    </row>
    <row r="3669" spans="1:2" x14ac:dyDescent="0.35">
      <c r="A3669" s="91" t="s">
        <v>4039</v>
      </c>
      <c r="B3669" s="9">
        <v>11.399999999999999</v>
      </c>
    </row>
    <row r="3670" spans="1:2" x14ac:dyDescent="0.35">
      <c r="A3670" s="91" t="s">
        <v>4224</v>
      </c>
      <c r="B3670" s="9">
        <v>7.5</v>
      </c>
    </row>
    <row r="3671" spans="1:2" x14ac:dyDescent="0.35">
      <c r="A3671" s="91" t="s">
        <v>4148</v>
      </c>
      <c r="B3671" s="9">
        <v>8.3999999999999986</v>
      </c>
    </row>
    <row r="3672" spans="1:2" x14ac:dyDescent="0.35">
      <c r="A3672" s="91" t="s">
        <v>5491</v>
      </c>
      <c r="B3672" s="9">
        <v>7.5</v>
      </c>
    </row>
    <row r="3673" spans="1:2" x14ac:dyDescent="0.35">
      <c r="A3673" s="91" t="s">
        <v>4384</v>
      </c>
      <c r="B3673" s="9">
        <v>11.399999999999999</v>
      </c>
    </row>
    <row r="3674" spans="1:2" x14ac:dyDescent="0.35">
      <c r="A3674" s="91" t="s">
        <v>2677</v>
      </c>
      <c r="B3674" s="9">
        <v>7.6</v>
      </c>
    </row>
    <row r="3675" spans="1:2" x14ac:dyDescent="0.35">
      <c r="A3675" s="91" t="s">
        <v>6006</v>
      </c>
      <c r="B3675" s="9">
        <v>15.2</v>
      </c>
    </row>
    <row r="3676" spans="1:2" x14ac:dyDescent="0.35">
      <c r="A3676" s="91" t="s">
        <v>422</v>
      </c>
      <c r="B3676" s="9">
        <v>8.8000000000000007</v>
      </c>
    </row>
    <row r="3677" spans="1:2" x14ac:dyDescent="0.35">
      <c r="A3677" s="91" t="s">
        <v>4645</v>
      </c>
      <c r="B3677" s="9">
        <v>3.5</v>
      </c>
    </row>
    <row r="3678" spans="1:2" x14ac:dyDescent="0.35">
      <c r="A3678" s="91" t="s">
        <v>4177</v>
      </c>
      <c r="B3678" s="9">
        <v>11</v>
      </c>
    </row>
    <row r="3679" spans="1:2" x14ac:dyDescent="0.35">
      <c r="A3679" s="91" t="s">
        <v>5859</v>
      </c>
      <c r="B3679" s="9">
        <v>8.8000000000000007</v>
      </c>
    </row>
    <row r="3680" spans="1:2" x14ac:dyDescent="0.35">
      <c r="A3680" s="91" t="s">
        <v>4592</v>
      </c>
      <c r="B3680" s="9">
        <v>7.5</v>
      </c>
    </row>
    <row r="3681" spans="1:2" x14ac:dyDescent="0.35">
      <c r="A3681" s="91" t="s">
        <v>2155</v>
      </c>
      <c r="B3681" s="9">
        <v>8.3999999999999986</v>
      </c>
    </row>
    <row r="3682" spans="1:2" x14ac:dyDescent="0.35">
      <c r="A3682" s="91" t="s">
        <v>2349</v>
      </c>
      <c r="B3682" s="9">
        <v>3.8</v>
      </c>
    </row>
    <row r="3683" spans="1:2" x14ac:dyDescent="0.35">
      <c r="A3683" s="91" t="s">
        <v>2096</v>
      </c>
      <c r="B3683" s="9">
        <v>2.8</v>
      </c>
    </row>
    <row r="3684" spans="1:2" x14ac:dyDescent="0.35">
      <c r="A3684" s="91" t="s">
        <v>564</v>
      </c>
      <c r="B3684" s="9">
        <v>14</v>
      </c>
    </row>
    <row r="3685" spans="1:2" x14ac:dyDescent="0.35">
      <c r="A3685" s="91" t="s">
        <v>1729</v>
      </c>
      <c r="B3685" s="9">
        <v>19</v>
      </c>
    </row>
    <row r="3686" spans="1:2" x14ac:dyDescent="0.35">
      <c r="A3686" s="91" t="s">
        <v>4672</v>
      </c>
      <c r="B3686" s="9">
        <v>7.5</v>
      </c>
    </row>
    <row r="3687" spans="1:2" x14ac:dyDescent="0.35">
      <c r="A3687" s="91" t="s">
        <v>4236</v>
      </c>
      <c r="B3687" s="9">
        <v>14</v>
      </c>
    </row>
    <row r="3688" spans="1:2" x14ac:dyDescent="0.35">
      <c r="A3688" s="91" t="s">
        <v>1887</v>
      </c>
      <c r="B3688" s="9">
        <v>4.4000000000000004</v>
      </c>
    </row>
    <row r="3689" spans="1:2" x14ac:dyDescent="0.35">
      <c r="A3689" s="91" t="s">
        <v>3388</v>
      </c>
      <c r="B3689" s="9">
        <v>2.5</v>
      </c>
    </row>
    <row r="3690" spans="1:2" x14ac:dyDescent="0.35">
      <c r="A3690" s="91" t="s">
        <v>1444</v>
      </c>
      <c r="B3690" s="9">
        <v>14</v>
      </c>
    </row>
    <row r="3691" spans="1:2" x14ac:dyDescent="0.35">
      <c r="A3691" s="91" t="s">
        <v>3972</v>
      </c>
      <c r="B3691" s="9">
        <v>2.5</v>
      </c>
    </row>
    <row r="3692" spans="1:2" x14ac:dyDescent="0.35">
      <c r="A3692" s="91" t="s">
        <v>3186</v>
      </c>
      <c r="B3692" s="9">
        <v>19</v>
      </c>
    </row>
    <row r="3693" spans="1:2" x14ac:dyDescent="0.35">
      <c r="A3693" s="91" t="s">
        <v>4673</v>
      </c>
      <c r="B3693" s="9">
        <v>2.8</v>
      </c>
    </row>
    <row r="3694" spans="1:2" x14ac:dyDescent="0.35">
      <c r="A3694" s="91" t="s">
        <v>3571</v>
      </c>
      <c r="B3694" s="9">
        <v>11</v>
      </c>
    </row>
    <row r="3695" spans="1:2" x14ac:dyDescent="0.35">
      <c r="A3695" s="91" t="s">
        <v>2570</v>
      </c>
      <c r="B3695" s="9">
        <v>7</v>
      </c>
    </row>
    <row r="3696" spans="1:2" x14ac:dyDescent="0.35">
      <c r="A3696" s="91" t="s">
        <v>307</v>
      </c>
      <c r="B3696" s="9">
        <v>19</v>
      </c>
    </row>
    <row r="3697" spans="1:2" x14ac:dyDescent="0.35">
      <c r="A3697" s="91" t="s">
        <v>2693</v>
      </c>
      <c r="B3697" s="9">
        <v>8.3999999999999986</v>
      </c>
    </row>
    <row r="3698" spans="1:2" x14ac:dyDescent="0.35">
      <c r="A3698" s="91" t="s">
        <v>5915</v>
      </c>
      <c r="B3698" s="9">
        <v>10</v>
      </c>
    </row>
    <row r="3699" spans="1:2" x14ac:dyDescent="0.35">
      <c r="A3699" s="91" t="s">
        <v>4397</v>
      </c>
      <c r="B3699" s="9">
        <v>7.5</v>
      </c>
    </row>
    <row r="3700" spans="1:2" x14ac:dyDescent="0.35">
      <c r="A3700" s="91" t="s">
        <v>5601</v>
      </c>
      <c r="B3700" s="9">
        <v>11.2</v>
      </c>
    </row>
    <row r="3701" spans="1:2" x14ac:dyDescent="0.35">
      <c r="A3701" s="91" t="s">
        <v>4841</v>
      </c>
      <c r="B3701" s="9">
        <v>7</v>
      </c>
    </row>
    <row r="3702" spans="1:2" x14ac:dyDescent="0.35">
      <c r="A3702" s="91" t="s">
        <v>104</v>
      </c>
      <c r="B3702" s="9">
        <v>5.6</v>
      </c>
    </row>
    <row r="3703" spans="1:2" x14ac:dyDescent="0.35">
      <c r="A3703" s="91" t="s">
        <v>3034</v>
      </c>
      <c r="B3703" s="9">
        <v>6.6000000000000005</v>
      </c>
    </row>
    <row r="3704" spans="1:2" x14ac:dyDescent="0.35">
      <c r="A3704" s="91" t="s">
        <v>4973</v>
      </c>
      <c r="B3704" s="9">
        <v>11.2</v>
      </c>
    </row>
    <row r="3705" spans="1:2" x14ac:dyDescent="0.35">
      <c r="A3705" s="91" t="s">
        <v>1996</v>
      </c>
      <c r="B3705" s="9">
        <v>10</v>
      </c>
    </row>
    <row r="3706" spans="1:2" x14ac:dyDescent="0.35">
      <c r="A3706" s="91" t="s">
        <v>3657</v>
      </c>
      <c r="B3706" s="9">
        <v>19</v>
      </c>
    </row>
    <row r="3707" spans="1:2" x14ac:dyDescent="0.35">
      <c r="A3707" s="91" t="s">
        <v>2934</v>
      </c>
      <c r="B3707" s="9">
        <v>10</v>
      </c>
    </row>
    <row r="3708" spans="1:2" x14ac:dyDescent="0.35">
      <c r="A3708" s="91" t="s">
        <v>4646</v>
      </c>
      <c r="B3708" s="9">
        <v>3.5</v>
      </c>
    </row>
    <row r="3709" spans="1:2" x14ac:dyDescent="0.35">
      <c r="A3709" s="91" t="s">
        <v>565</v>
      </c>
      <c r="B3709" s="9">
        <v>8.3999999999999986</v>
      </c>
    </row>
    <row r="3710" spans="1:2" x14ac:dyDescent="0.35">
      <c r="A3710" s="91" t="s">
        <v>4529</v>
      </c>
      <c r="B3710" s="9">
        <v>3.5</v>
      </c>
    </row>
    <row r="3711" spans="1:2" x14ac:dyDescent="0.35">
      <c r="A3711" s="91" t="s">
        <v>53</v>
      </c>
      <c r="B3711" s="9">
        <v>7</v>
      </c>
    </row>
    <row r="3712" spans="1:2" x14ac:dyDescent="0.35">
      <c r="A3712" s="91" t="s">
        <v>1111</v>
      </c>
      <c r="B3712" s="9">
        <v>6.6000000000000005</v>
      </c>
    </row>
    <row r="3713" spans="1:2" x14ac:dyDescent="0.35">
      <c r="A3713" s="91" t="s">
        <v>1873</v>
      </c>
      <c r="B3713" s="9">
        <v>10.5</v>
      </c>
    </row>
    <row r="3714" spans="1:2" x14ac:dyDescent="0.35">
      <c r="A3714" s="91" t="s">
        <v>5692</v>
      </c>
      <c r="B3714" s="9">
        <v>8.3999999999999986</v>
      </c>
    </row>
    <row r="3715" spans="1:2" x14ac:dyDescent="0.35">
      <c r="A3715" s="91" t="s">
        <v>5001</v>
      </c>
      <c r="B3715" s="9">
        <v>11</v>
      </c>
    </row>
    <row r="3716" spans="1:2" x14ac:dyDescent="0.35">
      <c r="A3716" s="91" t="s">
        <v>446</v>
      </c>
      <c r="B3716" s="9">
        <v>12.5</v>
      </c>
    </row>
    <row r="3717" spans="1:2" x14ac:dyDescent="0.35">
      <c r="A3717" s="91" t="s">
        <v>2650</v>
      </c>
      <c r="B3717" s="9">
        <v>10</v>
      </c>
    </row>
    <row r="3718" spans="1:2" x14ac:dyDescent="0.35">
      <c r="A3718" s="91" t="s">
        <v>2652</v>
      </c>
      <c r="B3718" s="9">
        <v>15.2</v>
      </c>
    </row>
    <row r="3719" spans="1:2" x14ac:dyDescent="0.35">
      <c r="A3719" s="91" t="s">
        <v>4178</v>
      </c>
      <c r="B3719" s="9">
        <v>11</v>
      </c>
    </row>
    <row r="3720" spans="1:2" x14ac:dyDescent="0.35">
      <c r="A3720" s="91" t="s">
        <v>330</v>
      </c>
      <c r="B3720" s="9">
        <v>6.6000000000000005</v>
      </c>
    </row>
    <row r="3721" spans="1:2" x14ac:dyDescent="0.35">
      <c r="A3721" s="91" t="s">
        <v>4120</v>
      </c>
      <c r="B3721" s="9">
        <v>11.2</v>
      </c>
    </row>
    <row r="3722" spans="1:2" x14ac:dyDescent="0.35">
      <c r="A3722" s="91" t="s">
        <v>831</v>
      </c>
      <c r="B3722" s="9">
        <v>3.5</v>
      </c>
    </row>
    <row r="3723" spans="1:2" x14ac:dyDescent="0.35">
      <c r="A3723" s="91" t="s">
        <v>3035</v>
      </c>
      <c r="B3723" s="9">
        <v>7</v>
      </c>
    </row>
    <row r="3724" spans="1:2" x14ac:dyDescent="0.35">
      <c r="A3724" s="91" t="s">
        <v>2835</v>
      </c>
      <c r="B3724" s="9">
        <v>15.2</v>
      </c>
    </row>
    <row r="3725" spans="1:2" x14ac:dyDescent="0.35">
      <c r="A3725" s="91" t="s">
        <v>3924</v>
      </c>
      <c r="B3725" s="9">
        <v>14</v>
      </c>
    </row>
    <row r="3726" spans="1:2" x14ac:dyDescent="0.35">
      <c r="A3726" s="91" t="s">
        <v>798</v>
      </c>
      <c r="B3726" s="9">
        <v>15.2</v>
      </c>
    </row>
    <row r="3727" spans="1:2" x14ac:dyDescent="0.35">
      <c r="A3727" s="91" t="s">
        <v>5285</v>
      </c>
      <c r="B3727" s="9">
        <v>2.8</v>
      </c>
    </row>
    <row r="3728" spans="1:2" x14ac:dyDescent="0.35">
      <c r="A3728" s="91" t="s">
        <v>223</v>
      </c>
      <c r="B3728" s="9">
        <v>3.8</v>
      </c>
    </row>
    <row r="3729" spans="1:2" x14ac:dyDescent="0.35">
      <c r="A3729" s="91" t="s">
        <v>4292</v>
      </c>
      <c r="B3729" s="9">
        <v>2.5</v>
      </c>
    </row>
    <row r="3730" spans="1:2" x14ac:dyDescent="0.35">
      <c r="A3730" s="91" t="s">
        <v>3417</v>
      </c>
      <c r="B3730" s="9">
        <v>3.8</v>
      </c>
    </row>
    <row r="3731" spans="1:2" x14ac:dyDescent="0.35">
      <c r="A3731" s="91" t="s">
        <v>5602</v>
      </c>
      <c r="B3731" s="9">
        <v>7</v>
      </c>
    </row>
    <row r="3732" spans="1:2" x14ac:dyDescent="0.35">
      <c r="A3732" s="91" t="s">
        <v>1491</v>
      </c>
      <c r="B3732" s="9">
        <v>2.5</v>
      </c>
    </row>
    <row r="3733" spans="1:2" x14ac:dyDescent="0.35">
      <c r="A3733" s="91" t="s">
        <v>5975</v>
      </c>
      <c r="B3733" s="9">
        <v>3.8</v>
      </c>
    </row>
    <row r="3734" spans="1:2" x14ac:dyDescent="0.35">
      <c r="A3734" s="91" t="s">
        <v>3376</v>
      </c>
      <c r="B3734" s="9">
        <v>17.5</v>
      </c>
    </row>
    <row r="3735" spans="1:2" x14ac:dyDescent="0.35">
      <c r="A3735" s="91" t="s">
        <v>3158</v>
      </c>
      <c r="B3735" s="9">
        <v>2.8</v>
      </c>
    </row>
    <row r="3736" spans="1:2" x14ac:dyDescent="0.35">
      <c r="A3736" s="91" t="s">
        <v>5057</v>
      </c>
      <c r="B3736" s="9">
        <v>5</v>
      </c>
    </row>
    <row r="3737" spans="1:2" x14ac:dyDescent="0.35">
      <c r="A3737" s="91" t="s">
        <v>4359</v>
      </c>
      <c r="B3737" s="9">
        <v>2.8</v>
      </c>
    </row>
    <row r="3738" spans="1:2" x14ac:dyDescent="0.35">
      <c r="A3738" s="91" t="s">
        <v>588</v>
      </c>
      <c r="B3738" s="9">
        <v>7.5</v>
      </c>
    </row>
    <row r="3739" spans="1:2" x14ac:dyDescent="0.35">
      <c r="A3739" s="91" t="s">
        <v>3747</v>
      </c>
      <c r="B3739" s="9">
        <v>15.2</v>
      </c>
    </row>
    <row r="3740" spans="1:2" x14ac:dyDescent="0.35">
      <c r="A3740" s="91" t="s">
        <v>4553</v>
      </c>
      <c r="B3740" s="9">
        <v>5</v>
      </c>
    </row>
    <row r="3741" spans="1:2" x14ac:dyDescent="0.35">
      <c r="A3741" s="91" t="s">
        <v>2335</v>
      </c>
      <c r="B3741" s="9">
        <v>8.3999999999999986</v>
      </c>
    </row>
    <row r="3742" spans="1:2" x14ac:dyDescent="0.35">
      <c r="A3742" s="91" t="s">
        <v>1113</v>
      </c>
      <c r="B3742" s="9">
        <v>7</v>
      </c>
    </row>
    <row r="3743" spans="1:2" x14ac:dyDescent="0.35">
      <c r="A3743" s="91" t="s">
        <v>3860</v>
      </c>
      <c r="B3743" s="9">
        <v>8.3999999999999986</v>
      </c>
    </row>
    <row r="3744" spans="1:2" x14ac:dyDescent="0.35">
      <c r="A3744" s="91" t="s">
        <v>2115</v>
      </c>
      <c r="B3744" s="9">
        <v>19</v>
      </c>
    </row>
    <row r="3745" spans="1:2" x14ac:dyDescent="0.35">
      <c r="A3745" s="91" t="s">
        <v>2479</v>
      </c>
      <c r="B3745" s="9">
        <v>5.6</v>
      </c>
    </row>
    <row r="3746" spans="1:2" x14ac:dyDescent="0.35">
      <c r="A3746" s="91" t="s">
        <v>2229</v>
      </c>
      <c r="B3746" s="9">
        <v>4.4000000000000004</v>
      </c>
    </row>
    <row r="3747" spans="1:2" x14ac:dyDescent="0.35">
      <c r="A3747" s="91" t="s">
        <v>2381</v>
      </c>
      <c r="B3747" s="9">
        <v>5.6</v>
      </c>
    </row>
    <row r="3748" spans="1:2" x14ac:dyDescent="0.35">
      <c r="A3748" s="91" t="s">
        <v>1997</v>
      </c>
      <c r="B3748" s="9">
        <v>10.5</v>
      </c>
    </row>
    <row r="3749" spans="1:2" x14ac:dyDescent="0.35">
      <c r="A3749" s="91" t="s">
        <v>5675</v>
      </c>
      <c r="B3749" s="9">
        <v>4.4000000000000004</v>
      </c>
    </row>
    <row r="3750" spans="1:2" x14ac:dyDescent="0.35">
      <c r="A3750" s="91" t="s">
        <v>3598</v>
      </c>
      <c r="B3750" s="9">
        <v>8.8000000000000007</v>
      </c>
    </row>
    <row r="3751" spans="1:2" x14ac:dyDescent="0.35">
      <c r="A3751" s="91" t="s">
        <v>1954</v>
      </c>
      <c r="B3751" s="9">
        <v>6.6000000000000005</v>
      </c>
    </row>
    <row r="3752" spans="1:2" x14ac:dyDescent="0.35">
      <c r="A3752" s="91" t="s">
        <v>2903</v>
      </c>
      <c r="B3752" s="9">
        <v>3.8</v>
      </c>
    </row>
    <row r="3753" spans="1:2" x14ac:dyDescent="0.35">
      <c r="A3753" s="91" t="s">
        <v>397</v>
      </c>
      <c r="B3753" s="9">
        <v>7.5</v>
      </c>
    </row>
    <row r="3754" spans="1:2" x14ac:dyDescent="0.35">
      <c r="A3754" s="91" t="s">
        <v>5767</v>
      </c>
      <c r="B3754" s="9">
        <v>11.399999999999999</v>
      </c>
    </row>
    <row r="3755" spans="1:2" x14ac:dyDescent="0.35">
      <c r="A3755" s="91" t="s">
        <v>4225</v>
      </c>
      <c r="B3755" s="9">
        <v>7.5</v>
      </c>
    </row>
    <row r="3756" spans="1:2" x14ac:dyDescent="0.35">
      <c r="A3756" s="91" t="s">
        <v>5730</v>
      </c>
      <c r="B3756" s="9">
        <v>3.8</v>
      </c>
    </row>
    <row r="3757" spans="1:2" x14ac:dyDescent="0.35">
      <c r="A3757" s="91" t="s">
        <v>3085</v>
      </c>
      <c r="B3757" s="9">
        <v>11</v>
      </c>
    </row>
    <row r="3758" spans="1:2" x14ac:dyDescent="0.35">
      <c r="A3758" s="91" t="s">
        <v>3518</v>
      </c>
      <c r="B3758" s="9">
        <v>11.2</v>
      </c>
    </row>
    <row r="3759" spans="1:2" x14ac:dyDescent="0.35">
      <c r="A3759" s="91" t="s">
        <v>4789</v>
      </c>
      <c r="B3759" s="9">
        <v>4.4000000000000004</v>
      </c>
    </row>
    <row r="3760" spans="1:2" x14ac:dyDescent="0.35">
      <c r="A3760" s="91" t="s">
        <v>3453</v>
      </c>
      <c r="B3760" s="9">
        <v>14</v>
      </c>
    </row>
    <row r="3761" spans="1:2" x14ac:dyDescent="0.35">
      <c r="A3761" s="91" t="s">
        <v>5035</v>
      </c>
      <c r="B3761" s="9">
        <v>7.6</v>
      </c>
    </row>
    <row r="3762" spans="1:2" x14ac:dyDescent="0.35">
      <c r="A3762" s="91" t="s">
        <v>3887</v>
      </c>
      <c r="B3762" s="9">
        <v>8.8000000000000007</v>
      </c>
    </row>
    <row r="3763" spans="1:2" x14ac:dyDescent="0.35">
      <c r="A3763" s="91" t="s">
        <v>749</v>
      </c>
      <c r="B3763" s="9">
        <v>17.5</v>
      </c>
    </row>
    <row r="3764" spans="1:2" x14ac:dyDescent="0.35">
      <c r="A3764" s="91" t="s">
        <v>5002</v>
      </c>
      <c r="B3764" s="9">
        <v>6.6000000000000005</v>
      </c>
    </row>
    <row r="3765" spans="1:2" x14ac:dyDescent="0.35">
      <c r="A3765" s="91" t="s">
        <v>5955</v>
      </c>
      <c r="B3765" s="9">
        <v>5.6</v>
      </c>
    </row>
    <row r="3766" spans="1:2" x14ac:dyDescent="0.35">
      <c r="A3766" s="91" t="s">
        <v>3874</v>
      </c>
      <c r="B3766" s="9">
        <v>5.6</v>
      </c>
    </row>
    <row r="3767" spans="1:2" x14ac:dyDescent="0.35">
      <c r="A3767" s="91" t="s">
        <v>2981</v>
      </c>
      <c r="B3767" s="9">
        <v>17.5</v>
      </c>
    </row>
    <row r="3768" spans="1:2" x14ac:dyDescent="0.35">
      <c r="A3768" s="91" t="s">
        <v>2773</v>
      </c>
      <c r="B3768" s="9">
        <v>11.399999999999999</v>
      </c>
    </row>
    <row r="3769" spans="1:2" x14ac:dyDescent="0.35">
      <c r="A3769" s="91" t="s">
        <v>4248</v>
      </c>
      <c r="B3769" s="9">
        <v>2.8</v>
      </c>
    </row>
    <row r="3770" spans="1:2" x14ac:dyDescent="0.35">
      <c r="A3770" s="91" t="s">
        <v>4647</v>
      </c>
      <c r="B3770" s="9">
        <v>11</v>
      </c>
    </row>
    <row r="3771" spans="1:2" x14ac:dyDescent="0.35">
      <c r="A3771" s="91" t="s">
        <v>2760</v>
      </c>
      <c r="B3771" s="9">
        <v>5.6</v>
      </c>
    </row>
    <row r="3772" spans="1:2" x14ac:dyDescent="0.35">
      <c r="A3772" s="91" t="s">
        <v>2571</v>
      </c>
      <c r="B3772" s="9">
        <v>3.5</v>
      </c>
    </row>
    <row r="3773" spans="1:2" x14ac:dyDescent="0.35">
      <c r="A3773" s="91" t="s">
        <v>2621</v>
      </c>
      <c r="B3773" s="9">
        <v>14</v>
      </c>
    </row>
    <row r="3774" spans="1:2" x14ac:dyDescent="0.35">
      <c r="A3774" s="91" t="s">
        <v>5549</v>
      </c>
      <c r="B3774" s="9">
        <v>15.2</v>
      </c>
    </row>
    <row r="3775" spans="1:2" x14ac:dyDescent="0.35">
      <c r="A3775" s="91" t="s">
        <v>3290</v>
      </c>
      <c r="B3775" s="9">
        <v>14</v>
      </c>
    </row>
    <row r="3776" spans="1:2" x14ac:dyDescent="0.35">
      <c r="A3776" s="91" t="s">
        <v>2156</v>
      </c>
      <c r="B3776" s="9">
        <v>8.3999999999999986</v>
      </c>
    </row>
    <row r="3777" spans="1:2" x14ac:dyDescent="0.35">
      <c r="A3777" s="91" t="s">
        <v>900</v>
      </c>
      <c r="B3777" s="9">
        <v>5.6</v>
      </c>
    </row>
    <row r="3778" spans="1:2" x14ac:dyDescent="0.35">
      <c r="A3778" s="91" t="s">
        <v>3262</v>
      </c>
      <c r="B3778" s="9">
        <v>6.6000000000000005</v>
      </c>
    </row>
    <row r="3779" spans="1:2" x14ac:dyDescent="0.35">
      <c r="A3779" s="91" t="s">
        <v>2285</v>
      </c>
      <c r="B3779" s="9">
        <v>2.5</v>
      </c>
    </row>
    <row r="3780" spans="1:2" x14ac:dyDescent="0.35">
      <c r="A3780" s="91" t="s">
        <v>3519</v>
      </c>
      <c r="B3780" s="9">
        <v>7.6</v>
      </c>
    </row>
    <row r="3781" spans="1:2" x14ac:dyDescent="0.35">
      <c r="A3781" s="91" t="s">
        <v>5227</v>
      </c>
      <c r="B3781" s="9">
        <v>7</v>
      </c>
    </row>
    <row r="3782" spans="1:2" x14ac:dyDescent="0.35">
      <c r="A3782" s="91" t="s">
        <v>719</v>
      </c>
      <c r="B3782" s="9">
        <v>3.8</v>
      </c>
    </row>
    <row r="3783" spans="1:2" x14ac:dyDescent="0.35">
      <c r="A3783" s="91" t="s">
        <v>332</v>
      </c>
      <c r="B3783" s="9">
        <v>19</v>
      </c>
    </row>
    <row r="3784" spans="1:2" x14ac:dyDescent="0.35">
      <c r="A3784" s="91" t="s">
        <v>3819</v>
      </c>
      <c r="B3784" s="9">
        <v>15.2</v>
      </c>
    </row>
    <row r="3785" spans="1:2" x14ac:dyDescent="0.35">
      <c r="A3785" s="91" t="s">
        <v>1430</v>
      </c>
      <c r="B3785" s="9">
        <v>14</v>
      </c>
    </row>
    <row r="3786" spans="1:2" x14ac:dyDescent="0.35">
      <c r="A3786" s="91" t="s">
        <v>2877</v>
      </c>
      <c r="B3786" s="9">
        <v>12.5</v>
      </c>
    </row>
    <row r="3787" spans="1:2" x14ac:dyDescent="0.35">
      <c r="A3787" s="91" t="s">
        <v>5961</v>
      </c>
      <c r="B3787" s="9">
        <v>10</v>
      </c>
    </row>
    <row r="3788" spans="1:2" x14ac:dyDescent="0.35">
      <c r="A3788" s="91" t="s">
        <v>4214</v>
      </c>
      <c r="B3788" s="9">
        <v>2.5</v>
      </c>
    </row>
    <row r="3789" spans="1:2" x14ac:dyDescent="0.35">
      <c r="A3789" s="91" t="s">
        <v>5693</v>
      </c>
      <c r="B3789" s="9">
        <v>2.2000000000000002</v>
      </c>
    </row>
    <row r="3790" spans="1:2" x14ac:dyDescent="0.35">
      <c r="A3790" s="91" t="s">
        <v>4861</v>
      </c>
      <c r="B3790" s="9">
        <v>19</v>
      </c>
    </row>
    <row r="3791" spans="1:2" x14ac:dyDescent="0.35">
      <c r="A3791" s="91" t="s">
        <v>4496</v>
      </c>
      <c r="B3791" s="9">
        <v>19</v>
      </c>
    </row>
    <row r="3792" spans="1:2" x14ac:dyDescent="0.35">
      <c r="A3792" s="91" t="s">
        <v>1778</v>
      </c>
      <c r="B3792" s="9">
        <v>5</v>
      </c>
    </row>
    <row r="3793" spans="1:2" x14ac:dyDescent="0.35">
      <c r="A3793" s="91" t="s">
        <v>2622</v>
      </c>
      <c r="B3793" s="9">
        <v>14</v>
      </c>
    </row>
    <row r="3794" spans="1:2" x14ac:dyDescent="0.35">
      <c r="A3794" s="91" t="s">
        <v>2467</v>
      </c>
      <c r="B3794" s="9">
        <v>2.8</v>
      </c>
    </row>
    <row r="3795" spans="1:2" x14ac:dyDescent="0.35">
      <c r="A3795" s="91" t="s">
        <v>1802</v>
      </c>
      <c r="B3795" s="9">
        <v>10</v>
      </c>
    </row>
    <row r="3796" spans="1:2" x14ac:dyDescent="0.35">
      <c r="A3796" s="91" t="s">
        <v>5262</v>
      </c>
      <c r="B3796" s="9">
        <v>10.5</v>
      </c>
    </row>
    <row r="3797" spans="1:2" x14ac:dyDescent="0.35">
      <c r="A3797" s="91" t="s">
        <v>5802</v>
      </c>
      <c r="B3797" s="9">
        <v>7</v>
      </c>
    </row>
    <row r="3798" spans="1:2" x14ac:dyDescent="0.35">
      <c r="A3798" s="91" t="s">
        <v>2526</v>
      </c>
      <c r="B3798" s="9">
        <v>3.5</v>
      </c>
    </row>
    <row r="3799" spans="1:2" x14ac:dyDescent="0.35">
      <c r="A3799" s="91" t="s">
        <v>1756</v>
      </c>
      <c r="B3799" s="9">
        <v>7</v>
      </c>
    </row>
    <row r="3800" spans="1:2" x14ac:dyDescent="0.35">
      <c r="A3800" s="91" t="s">
        <v>629</v>
      </c>
      <c r="B3800" s="9">
        <v>14</v>
      </c>
    </row>
    <row r="3801" spans="1:2" x14ac:dyDescent="0.35">
      <c r="A3801" s="91" t="s">
        <v>3900</v>
      </c>
      <c r="B3801" s="9">
        <v>6.6000000000000005</v>
      </c>
    </row>
    <row r="3802" spans="1:2" x14ac:dyDescent="0.35">
      <c r="A3802" s="91" t="s">
        <v>5587</v>
      </c>
      <c r="B3802" s="9">
        <v>14</v>
      </c>
    </row>
    <row r="3803" spans="1:2" x14ac:dyDescent="0.35">
      <c r="A3803" s="91" t="s">
        <v>2813</v>
      </c>
      <c r="B3803" s="9">
        <v>11</v>
      </c>
    </row>
    <row r="3804" spans="1:2" x14ac:dyDescent="0.35">
      <c r="A3804" s="91" t="s">
        <v>4811</v>
      </c>
      <c r="B3804" s="9">
        <v>2.2000000000000002</v>
      </c>
    </row>
    <row r="3805" spans="1:2" x14ac:dyDescent="0.35">
      <c r="A3805" s="91" t="s">
        <v>5676</v>
      </c>
      <c r="B3805" s="9">
        <v>8.8000000000000007</v>
      </c>
    </row>
    <row r="3806" spans="1:2" x14ac:dyDescent="0.35">
      <c r="A3806" s="91" t="s">
        <v>631</v>
      </c>
      <c r="B3806" s="9">
        <v>10</v>
      </c>
    </row>
    <row r="3807" spans="1:2" x14ac:dyDescent="0.35">
      <c r="A3807" s="91" t="s">
        <v>5003</v>
      </c>
      <c r="B3807" s="9">
        <v>15.2</v>
      </c>
    </row>
    <row r="3808" spans="1:2" x14ac:dyDescent="0.35">
      <c r="A3808" s="91" t="s">
        <v>503</v>
      </c>
      <c r="B3808" s="9">
        <v>6.6000000000000005</v>
      </c>
    </row>
    <row r="3809" spans="1:2" x14ac:dyDescent="0.35">
      <c r="A3809" s="91" t="s">
        <v>4319</v>
      </c>
      <c r="B3809" s="9">
        <v>2.5</v>
      </c>
    </row>
    <row r="3810" spans="1:2" x14ac:dyDescent="0.35">
      <c r="A3810" s="91" t="s">
        <v>5167</v>
      </c>
      <c r="B3810" s="9">
        <v>8.8000000000000007</v>
      </c>
    </row>
    <row r="3811" spans="1:2" x14ac:dyDescent="0.35">
      <c r="A3811" s="91" t="s">
        <v>5328</v>
      </c>
      <c r="B3811" s="9">
        <v>3.8</v>
      </c>
    </row>
    <row r="3812" spans="1:2" x14ac:dyDescent="0.35">
      <c r="A3812" s="91" t="s">
        <v>5439</v>
      </c>
      <c r="B3812" s="9">
        <v>7</v>
      </c>
    </row>
    <row r="3813" spans="1:2" x14ac:dyDescent="0.35">
      <c r="A3813" s="91" t="s">
        <v>653</v>
      </c>
      <c r="B3813" s="9">
        <v>3.5</v>
      </c>
    </row>
    <row r="3814" spans="1:2" x14ac:dyDescent="0.35">
      <c r="A3814" s="91" t="s">
        <v>5352</v>
      </c>
      <c r="B3814" s="9">
        <v>3.5</v>
      </c>
    </row>
    <row r="3815" spans="1:2" x14ac:dyDescent="0.35">
      <c r="A3815" s="91" t="s">
        <v>3995</v>
      </c>
      <c r="B3815" s="9">
        <v>7.6</v>
      </c>
    </row>
    <row r="3816" spans="1:2" x14ac:dyDescent="0.35">
      <c r="A3816" s="91" t="s">
        <v>3484</v>
      </c>
      <c r="B3816" s="9">
        <v>8.3999999999999986</v>
      </c>
    </row>
    <row r="3817" spans="1:2" x14ac:dyDescent="0.35">
      <c r="A3817" s="91" t="s">
        <v>5081</v>
      </c>
      <c r="B3817" s="9">
        <v>7</v>
      </c>
    </row>
    <row r="3818" spans="1:2" x14ac:dyDescent="0.35">
      <c r="A3818" s="91" t="s">
        <v>2424</v>
      </c>
      <c r="B3818" s="9">
        <v>19</v>
      </c>
    </row>
    <row r="3819" spans="1:2" x14ac:dyDescent="0.35">
      <c r="A3819" s="91" t="s">
        <v>3071</v>
      </c>
      <c r="B3819" s="9">
        <v>7.6</v>
      </c>
    </row>
    <row r="3820" spans="1:2" x14ac:dyDescent="0.35">
      <c r="A3820" s="91" t="s">
        <v>3263</v>
      </c>
      <c r="B3820" s="9">
        <v>15.2</v>
      </c>
    </row>
    <row r="3821" spans="1:2" x14ac:dyDescent="0.35">
      <c r="A3821" s="91" t="s">
        <v>5835</v>
      </c>
      <c r="B3821" s="9">
        <v>14</v>
      </c>
    </row>
    <row r="3822" spans="1:2" x14ac:dyDescent="0.35">
      <c r="A3822" s="91" t="s">
        <v>1779</v>
      </c>
      <c r="B3822" s="9">
        <v>7.6</v>
      </c>
    </row>
    <row r="3823" spans="1:2" x14ac:dyDescent="0.35">
      <c r="A3823" s="91" t="s">
        <v>3389</v>
      </c>
      <c r="B3823" s="9">
        <v>7</v>
      </c>
    </row>
    <row r="3824" spans="1:2" x14ac:dyDescent="0.35">
      <c r="A3824" s="91" t="s">
        <v>3712</v>
      </c>
      <c r="B3824" s="9">
        <v>10.5</v>
      </c>
    </row>
    <row r="3825" spans="1:2" x14ac:dyDescent="0.35">
      <c r="A3825" s="91" t="s">
        <v>5943</v>
      </c>
      <c r="B3825" s="9">
        <v>4.4000000000000004</v>
      </c>
    </row>
    <row r="3826" spans="1:2" x14ac:dyDescent="0.35">
      <c r="A3826" s="91" t="s">
        <v>1531</v>
      </c>
      <c r="B3826" s="9">
        <v>10.5</v>
      </c>
    </row>
    <row r="3827" spans="1:2" x14ac:dyDescent="0.35">
      <c r="A3827" s="91" t="s">
        <v>1562</v>
      </c>
      <c r="B3827" s="9">
        <v>7.6</v>
      </c>
    </row>
    <row r="3828" spans="1:2" x14ac:dyDescent="0.35">
      <c r="A3828" s="91" t="s">
        <v>1263</v>
      </c>
      <c r="B3828" s="9">
        <v>10</v>
      </c>
    </row>
    <row r="3829" spans="1:2" x14ac:dyDescent="0.35">
      <c r="A3829" s="91" t="s">
        <v>164</v>
      </c>
      <c r="B3829" s="9">
        <v>15.2</v>
      </c>
    </row>
    <row r="3830" spans="1:2" x14ac:dyDescent="0.35">
      <c r="A3830" s="91" t="s">
        <v>2623</v>
      </c>
      <c r="B3830" s="9">
        <v>17.5</v>
      </c>
    </row>
    <row r="3831" spans="1:2" x14ac:dyDescent="0.35">
      <c r="A3831" s="91" t="s">
        <v>930</v>
      </c>
      <c r="B3831" s="9">
        <v>10</v>
      </c>
    </row>
    <row r="3832" spans="1:2" x14ac:dyDescent="0.35">
      <c r="A3832" s="91" t="s">
        <v>2694</v>
      </c>
      <c r="B3832" s="9">
        <v>14</v>
      </c>
    </row>
    <row r="3833" spans="1:2" x14ac:dyDescent="0.35">
      <c r="A3833" s="91" t="s">
        <v>4554</v>
      </c>
      <c r="B3833" s="9">
        <v>10</v>
      </c>
    </row>
    <row r="3834" spans="1:2" x14ac:dyDescent="0.35">
      <c r="A3834" s="91" t="s">
        <v>4593</v>
      </c>
      <c r="B3834" s="9">
        <v>15.2</v>
      </c>
    </row>
    <row r="3835" spans="1:2" x14ac:dyDescent="0.35">
      <c r="A3835" s="91" t="s">
        <v>1155</v>
      </c>
      <c r="B3835" s="9">
        <v>19</v>
      </c>
    </row>
    <row r="3836" spans="1:2" x14ac:dyDescent="0.35">
      <c r="A3836" s="91" t="s">
        <v>4149</v>
      </c>
      <c r="B3836" s="9">
        <v>5</v>
      </c>
    </row>
    <row r="3837" spans="1:2" x14ac:dyDescent="0.35">
      <c r="A3837" s="91" t="s">
        <v>4435</v>
      </c>
      <c r="B3837" s="9">
        <v>3.8</v>
      </c>
    </row>
    <row r="3838" spans="1:2" x14ac:dyDescent="0.35">
      <c r="A3838" s="91" t="s">
        <v>1115</v>
      </c>
      <c r="B3838" s="9">
        <v>2.2000000000000002</v>
      </c>
    </row>
    <row r="3839" spans="1:2" x14ac:dyDescent="0.35">
      <c r="A3839" s="91" t="s">
        <v>5976</v>
      </c>
      <c r="B3839" s="9">
        <v>2.2000000000000002</v>
      </c>
    </row>
    <row r="3840" spans="1:2" x14ac:dyDescent="0.35">
      <c r="A3840" s="91" t="s">
        <v>5415</v>
      </c>
      <c r="B3840" s="9">
        <v>2.5</v>
      </c>
    </row>
    <row r="3841" spans="1:2" x14ac:dyDescent="0.35">
      <c r="A3841" s="91" t="s">
        <v>2260</v>
      </c>
      <c r="B3841" s="9">
        <v>19</v>
      </c>
    </row>
    <row r="3842" spans="1:2" x14ac:dyDescent="0.35">
      <c r="A3842" s="91" t="s">
        <v>1493</v>
      </c>
      <c r="B3842" s="9">
        <v>11.399999999999999</v>
      </c>
    </row>
    <row r="3843" spans="1:2" x14ac:dyDescent="0.35">
      <c r="A3843" s="91" t="s">
        <v>5082</v>
      </c>
      <c r="B3843" s="9">
        <v>19</v>
      </c>
    </row>
    <row r="3844" spans="1:2" x14ac:dyDescent="0.35">
      <c r="A3844" s="91" t="s">
        <v>2116</v>
      </c>
      <c r="B3844" s="9">
        <v>5.6</v>
      </c>
    </row>
    <row r="3845" spans="1:2" x14ac:dyDescent="0.35">
      <c r="A3845" s="91" t="s">
        <v>2043</v>
      </c>
      <c r="B3845" s="9">
        <v>2.5</v>
      </c>
    </row>
    <row r="3846" spans="1:2" x14ac:dyDescent="0.35">
      <c r="A3846" s="91" t="s">
        <v>4625</v>
      </c>
      <c r="B3846" s="9">
        <v>8.3999999999999986</v>
      </c>
    </row>
    <row r="3847" spans="1:2" x14ac:dyDescent="0.35">
      <c r="A3847" s="91" t="s">
        <v>1264</v>
      </c>
      <c r="B3847" s="9">
        <v>6.6000000000000005</v>
      </c>
    </row>
    <row r="3848" spans="1:2" x14ac:dyDescent="0.35">
      <c r="A3848" s="91" t="s">
        <v>5083</v>
      </c>
      <c r="B3848" s="9">
        <v>2.5</v>
      </c>
    </row>
    <row r="3849" spans="1:2" x14ac:dyDescent="0.35">
      <c r="A3849" s="91" t="s">
        <v>4237</v>
      </c>
      <c r="B3849" s="9">
        <v>8.8000000000000007</v>
      </c>
    </row>
    <row r="3850" spans="1:2" x14ac:dyDescent="0.35">
      <c r="A3850" s="91" t="s">
        <v>276</v>
      </c>
      <c r="B3850" s="9">
        <v>10.5</v>
      </c>
    </row>
    <row r="3851" spans="1:2" x14ac:dyDescent="0.35">
      <c r="A3851" s="91" t="s">
        <v>4849</v>
      </c>
      <c r="B3851" s="9">
        <v>2.8</v>
      </c>
    </row>
    <row r="3852" spans="1:2" x14ac:dyDescent="0.35">
      <c r="A3852" s="91" t="s">
        <v>1874</v>
      </c>
      <c r="B3852" s="9">
        <v>2.8</v>
      </c>
    </row>
    <row r="3853" spans="1:2" x14ac:dyDescent="0.35">
      <c r="A3853" s="91" t="s">
        <v>3973</v>
      </c>
      <c r="B3853" s="9">
        <v>10</v>
      </c>
    </row>
    <row r="3854" spans="1:2" x14ac:dyDescent="0.35">
      <c r="A3854" s="91" t="s">
        <v>4895</v>
      </c>
      <c r="B3854" s="9">
        <v>3.5</v>
      </c>
    </row>
    <row r="3855" spans="1:2" x14ac:dyDescent="0.35">
      <c r="A3855" s="91" t="s">
        <v>4543</v>
      </c>
      <c r="B3855" s="9">
        <v>15.2</v>
      </c>
    </row>
    <row r="3856" spans="1:2" x14ac:dyDescent="0.35">
      <c r="A3856" s="91" t="s">
        <v>5567</v>
      </c>
      <c r="B3856" s="9">
        <v>11.2</v>
      </c>
    </row>
    <row r="3857" spans="1:2" x14ac:dyDescent="0.35">
      <c r="A3857" s="91" t="s">
        <v>4334</v>
      </c>
      <c r="B3857" s="9">
        <v>7.5</v>
      </c>
    </row>
    <row r="3858" spans="1:2" x14ac:dyDescent="0.35">
      <c r="A3858" s="91" t="s">
        <v>2364</v>
      </c>
      <c r="B3858" s="9">
        <v>6.6000000000000005</v>
      </c>
    </row>
    <row r="3859" spans="1:2" x14ac:dyDescent="0.35">
      <c r="A3859" s="91" t="s">
        <v>2848</v>
      </c>
      <c r="B3859" s="9">
        <v>8.3999999999999986</v>
      </c>
    </row>
    <row r="3860" spans="1:2" x14ac:dyDescent="0.35">
      <c r="A3860" s="91" t="s">
        <v>3795</v>
      </c>
      <c r="B3860" s="9">
        <v>11.399999999999999</v>
      </c>
    </row>
    <row r="3861" spans="1:2" x14ac:dyDescent="0.35">
      <c r="A3861" s="91" t="s">
        <v>2261</v>
      </c>
      <c r="B3861" s="9">
        <v>7</v>
      </c>
    </row>
    <row r="3862" spans="1:2" x14ac:dyDescent="0.35">
      <c r="A3862" s="91" t="s">
        <v>1649</v>
      </c>
      <c r="B3862" s="9">
        <v>10.5</v>
      </c>
    </row>
    <row r="3863" spans="1:2" x14ac:dyDescent="0.35">
      <c r="A3863" s="91" t="s">
        <v>3808</v>
      </c>
      <c r="B3863" s="9">
        <v>7.6</v>
      </c>
    </row>
    <row r="3864" spans="1:2" x14ac:dyDescent="0.35">
      <c r="A3864" s="91" t="s">
        <v>4906</v>
      </c>
      <c r="B3864" s="9">
        <v>10.5</v>
      </c>
    </row>
    <row r="3865" spans="1:2" x14ac:dyDescent="0.35">
      <c r="A3865" s="91" t="s">
        <v>1974</v>
      </c>
      <c r="B3865" s="9">
        <v>11</v>
      </c>
    </row>
    <row r="3866" spans="1:2" x14ac:dyDescent="0.35">
      <c r="A3866" s="91" t="s">
        <v>3318</v>
      </c>
      <c r="B3866" s="9">
        <v>14</v>
      </c>
    </row>
    <row r="3867" spans="1:2" x14ac:dyDescent="0.35">
      <c r="A3867" s="91" t="s">
        <v>5452</v>
      </c>
      <c r="B3867" s="9">
        <v>15.2</v>
      </c>
    </row>
    <row r="3868" spans="1:2" x14ac:dyDescent="0.35">
      <c r="A3868" s="91" t="s">
        <v>1757</v>
      </c>
      <c r="B3868" s="9">
        <v>11</v>
      </c>
    </row>
    <row r="3869" spans="1:2" x14ac:dyDescent="0.35">
      <c r="A3869" s="91" t="s">
        <v>2819</v>
      </c>
      <c r="B3869" s="9">
        <v>10.5</v>
      </c>
    </row>
    <row r="3870" spans="1:2" x14ac:dyDescent="0.35">
      <c r="A3870" s="91" t="s">
        <v>2068</v>
      </c>
      <c r="B3870" s="9">
        <v>14</v>
      </c>
    </row>
    <row r="3871" spans="1:2" x14ac:dyDescent="0.35">
      <c r="A3871" s="91" t="s">
        <v>5179</v>
      </c>
      <c r="B3871" s="9">
        <v>8.8000000000000007</v>
      </c>
    </row>
    <row r="3872" spans="1:2" x14ac:dyDescent="0.35">
      <c r="A3872" s="91" t="s">
        <v>5987</v>
      </c>
      <c r="B3872" s="9">
        <v>2.8</v>
      </c>
    </row>
    <row r="3873" spans="1:2" x14ac:dyDescent="0.35">
      <c r="A3873" s="91" t="s">
        <v>5991</v>
      </c>
      <c r="B3873" s="9">
        <v>10</v>
      </c>
    </row>
    <row r="3874" spans="1:2" x14ac:dyDescent="0.35">
      <c r="A3874" s="91" t="s">
        <v>5623</v>
      </c>
      <c r="B3874" s="9">
        <v>14</v>
      </c>
    </row>
    <row r="3875" spans="1:2" x14ac:dyDescent="0.35">
      <c r="A3875" s="91" t="s">
        <v>601</v>
      </c>
      <c r="B3875" s="9">
        <v>11.2</v>
      </c>
    </row>
    <row r="3876" spans="1:2" x14ac:dyDescent="0.35">
      <c r="A3876" s="91" t="s">
        <v>5645</v>
      </c>
      <c r="B3876" s="9">
        <v>7</v>
      </c>
    </row>
    <row r="3877" spans="1:2" x14ac:dyDescent="0.35">
      <c r="A3877" s="91" t="s">
        <v>4050</v>
      </c>
      <c r="B3877" s="9">
        <v>11.399999999999999</v>
      </c>
    </row>
    <row r="3878" spans="1:2" x14ac:dyDescent="0.35">
      <c r="A3878" s="91" t="s">
        <v>4613</v>
      </c>
      <c r="B3878" s="9">
        <v>11.399999999999999</v>
      </c>
    </row>
    <row r="3879" spans="1:2" x14ac:dyDescent="0.35">
      <c r="A3879" s="91" t="s">
        <v>3485</v>
      </c>
      <c r="B3879" s="9">
        <v>5</v>
      </c>
    </row>
    <row r="3880" spans="1:2" x14ac:dyDescent="0.35">
      <c r="A3880" s="91" t="s">
        <v>3599</v>
      </c>
      <c r="B3880" s="9">
        <v>10.5</v>
      </c>
    </row>
    <row r="3881" spans="1:2" x14ac:dyDescent="0.35">
      <c r="A3881" s="91" t="s">
        <v>2143</v>
      </c>
      <c r="B3881" s="9">
        <v>10.5</v>
      </c>
    </row>
    <row r="3882" spans="1:2" x14ac:dyDescent="0.35">
      <c r="A3882" s="91" t="s">
        <v>2481</v>
      </c>
      <c r="B3882" s="9">
        <v>3.8</v>
      </c>
    </row>
    <row r="3883" spans="1:2" x14ac:dyDescent="0.35">
      <c r="A3883" s="91" t="s">
        <v>197</v>
      </c>
      <c r="B3883" s="9">
        <v>2.2000000000000002</v>
      </c>
    </row>
    <row r="3884" spans="1:2" x14ac:dyDescent="0.35">
      <c r="A3884" s="91" t="s">
        <v>4800</v>
      </c>
      <c r="B3884" s="9">
        <v>8.8000000000000007</v>
      </c>
    </row>
    <row r="3885" spans="1:2" x14ac:dyDescent="0.35">
      <c r="A3885" s="91" t="s">
        <v>5492</v>
      </c>
      <c r="B3885" s="9">
        <v>19</v>
      </c>
    </row>
    <row r="3886" spans="1:2" x14ac:dyDescent="0.35">
      <c r="A3886" s="91" t="s">
        <v>4741</v>
      </c>
      <c r="B3886" s="9">
        <v>10.5</v>
      </c>
    </row>
    <row r="3887" spans="1:2" x14ac:dyDescent="0.35">
      <c r="A3887" s="91" t="s">
        <v>3101</v>
      </c>
      <c r="B3887" s="9">
        <v>3.8</v>
      </c>
    </row>
    <row r="3888" spans="1:2" x14ac:dyDescent="0.35">
      <c r="A3888" s="91" t="s">
        <v>1600</v>
      </c>
      <c r="B3888" s="9">
        <v>7.6</v>
      </c>
    </row>
    <row r="3889" spans="1:2" x14ac:dyDescent="0.35">
      <c r="A3889" s="91" t="s">
        <v>3888</v>
      </c>
      <c r="B3889" s="9">
        <v>3.5</v>
      </c>
    </row>
    <row r="3890" spans="1:2" x14ac:dyDescent="0.35">
      <c r="A3890" s="91" t="s">
        <v>4436</v>
      </c>
      <c r="B3890" s="9">
        <v>19</v>
      </c>
    </row>
    <row r="3891" spans="1:2" x14ac:dyDescent="0.35">
      <c r="A3891" s="91" t="s">
        <v>1780</v>
      </c>
      <c r="B3891" s="9">
        <v>15.2</v>
      </c>
    </row>
    <row r="3892" spans="1:2" x14ac:dyDescent="0.35">
      <c r="A3892" s="91" t="s">
        <v>2069</v>
      </c>
      <c r="B3892" s="9">
        <v>7.6</v>
      </c>
    </row>
    <row r="3893" spans="1:2" x14ac:dyDescent="0.35">
      <c r="A3893" s="91" t="s">
        <v>4880</v>
      </c>
      <c r="B3893" s="9">
        <v>19</v>
      </c>
    </row>
    <row r="3894" spans="1:2" x14ac:dyDescent="0.35">
      <c r="A3894" s="91" t="s">
        <v>5931</v>
      </c>
      <c r="B3894" s="9">
        <v>3.8</v>
      </c>
    </row>
    <row r="3895" spans="1:2" x14ac:dyDescent="0.35">
      <c r="A3895" s="91" t="s">
        <v>2468</v>
      </c>
      <c r="B3895" s="9">
        <v>2.8</v>
      </c>
    </row>
    <row r="3896" spans="1:2" x14ac:dyDescent="0.35">
      <c r="A3896" s="91" t="s">
        <v>5757</v>
      </c>
      <c r="B3896" s="9">
        <v>7.6</v>
      </c>
    </row>
    <row r="3897" spans="1:2" x14ac:dyDescent="0.35">
      <c r="A3897" s="91" t="s">
        <v>1446</v>
      </c>
      <c r="B3897" s="9">
        <v>3.8</v>
      </c>
    </row>
    <row r="3898" spans="1:2" x14ac:dyDescent="0.35">
      <c r="A3898" s="91" t="s">
        <v>5245</v>
      </c>
      <c r="B3898" s="9">
        <v>2.5</v>
      </c>
    </row>
    <row r="3899" spans="1:2" x14ac:dyDescent="0.35">
      <c r="A3899" s="91" t="s">
        <v>3996</v>
      </c>
      <c r="B3899" s="9">
        <v>2.5</v>
      </c>
    </row>
    <row r="3900" spans="1:2" x14ac:dyDescent="0.35">
      <c r="A3900" s="91" t="s">
        <v>2287</v>
      </c>
      <c r="B3900" s="9">
        <v>11</v>
      </c>
    </row>
    <row r="3901" spans="1:2" x14ac:dyDescent="0.35">
      <c r="A3901" s="91" t="s">
        <v>975</v>
      </c>
      <c r="B3901" s="9">
        <v>10.5</v>
      </c>
    </row>
    <row r="3902" spans="1:2" x14ac:dyDescent="0.35">
      <c r="A3902" s="91" t="s">
        <v>680</v>
      </c>
      <c r="B3902" s="9">
        <v>8.8000000000000007</v>
      </c>
    </row>
    <row r="3903" spans="1:2" x14ac:dyDescent="0.35">
      <c r="A3903" s="91" t="s">
        <v>4398</v>
      </c>
      <c r="B3903" s="9">
        <v>11.399999999999999</v>
      </c>
    </row>
    <row r="3904" spans="1:2" x14ac:dyDescent="0.35">
      <c r="A3904" s="91" t="s">
        <v>106</v>
      </c>
      <c r="B3904" s="9">
        <v>5.6</v>
      </c>
    </row>
    <row r="3905" spans="1:2" x14ac:dyDescent="0.35">
      <c r="A3905" s="91" t="s">
        <v>3006</v>
      </c>
      <c r="B3905" s="9">
        <v>17.5</v>
      </c>
    </row>
    <row r="3906" spans="1:2" x14ac:dyDescent="0.35">
      <c r="A3906" s="91" t="s">
        <v>4940</v>
      </c>
      <c r="B3906" s="9">
        <v>14</v>
      </c>
    </row>
    <row r="3907" spans="1:2" x14ac:dyDescent="0.35">
      <c r="A3907" s="91" t="s">
        <v>1064</v>
      </c>
      <c r="B3907" s="9">
        <v>14</v>
      </c>
    </row>
    <row r="3908" spans="1:2" x14ac:dyDescent="0.35">
      <c r="A3908" s="91" t="s">
        <v>4051</v>
      </c>
      <c r="B3908" s="9">
        <v>2.2000000000000002</v>
      </c>
    </row>
    <row r="3909" spans="1:2" x14ac:dyDescent="0.35">
      <c r="A3909" s="91" t="s">
        <v>5058</v>
      </c>
      <c r="B3909" s="9">
        <v>5</v>
      </c>
    </row>
    <row r="3910" spans="1:2" x14ac:dyDescent="0.35">
      <c r="A3910" s="91" t="s">
        <v>2157</v>
      </c>
      <c r="B3910" s="9">
        <v>10.5</v>
      </c>
    </row>
    <row r="3911" spans="1:2" x14ac:dyDescent="0.35">
      <c r="A3911" s="91" t="s">
        <v>5510</v>
      </c>
      <c r="B3911" s="9">
        <v>4.4000000000000004</v>
      </c>
    </row>
    <row r="3912" spans="1:2" x14ac:dyDescent="0.35">
      <c r="A3912" s="91" t="s">
        <v>5932</v>
      </c>
      <c r="B3912" s="9">
        <v>6.6000000000000005</v>
      </c>
    </row>
    <row r="3913" spans="1:2" x14ac:dyDescent="0.35">
      <c r="A3913" s="91" t="s">
        <v>2849</v>
      </c>
      <c r="B3913" s="9">
        <v>11.2</v>
      </c>
    </row>
    <row r="3914" spans="1:2" x14ac:dyDescent="0.35">
      <c r="A3914" s="91" t="s">
        <v>2187</v>
      </c>
      <c r="B3914" s="9">
        <v>3.5</v>
      </c>
    </row>
    <row r="3915" spans="1:2" x14ac:dyDescent="0.35">
      <c r="A3915" s="91" t="s">
        <v>3780</v>
      </c>
      <c r="B3915" s="9">
        <v>7</v>
      </c>
    </row>
    <row r="3916" spans="1:2" x14ac:dyDescent="0.35">
      <c r="A3916" s="91" t="s">
        <v>4449</v>
      </c>
      <c r="B3916" s="9">
        <v>7</v>
      </c>
    </row>
    <row r="3917" spans="1:2" x14ac:dyDescent="0.35">
      <c r="A3917" s="91" t="s">
        <v>2836</v>
      </c>
      <c r="B3917" s="9">
        <v>8.3999999999999986</v>
      </c>
    </row>
    <row r="3918" spans="1:2" x14ac:dyDescent="0.35">
      <c r="A3918" s="91" t="s">
        <v>334</v>
      </c>
      <c r="B3918" s="9">
        <v>3.5</v>
      </c>
    </row>
    <row r="3919" spans="1:2" x14ac:dyDescent="0.35">
      <c r="A3919" s="91" t="s">
        <v>4385</v>
      </c>
      <c r="B3919" s="9">
        <v>10.5</v>
      </c>
    </row>
    <row r="3920" spans="1:2" x14ac:dyDescent="0.35">
      <c r="A3920" s="91" t="s">
        <v>932</v>
      </c>
      <c r="B3920" s="9">
        <v>14</v>
      </c>
    </row>
    <row r="3921" spans="1:2" x14ac:dyDescent="0.35">
      <c r="A3921" s="91" t="s">
        <v>3659</v>
      </c>
      <c r="B3921" s="9">
        <v>14</v>
      </c>
    </row>
    <row r="3922" spans="1:2" x14ac:dyDescent="0.35">
      <c r="A3922" s="91" t="s">
        <v>4926</v>
      </c>
      <c r="B3922" s="9">
        <v>7</v>
      </c>
    </row>
    <row r="3923" spans="1:2" x14ac:dyDescent="0.35">
      <c r="A3923" s="91" t="s">
        <v>4226</v>
      </c>
      <c r="B3923" s="9">
        <v>14</v>
      </c>
    </row>
    <row r="3924" spans="1:2" x14ac:dyDescent="0.35">
      <c r="A3924" s="91" t="s">
        <v>3060</v>
      </c>
      <c r="B3924" s="9">
        <v>2.8</v>
      </c>
    </row>
    <row r="3925" spans="1:2" x14ac:dyDescent="0.35">
      <c r="A3925" s="91" t="s">
        <v>3178</v>
      </c>
      <c r="B3925" s="9">
        <v>2.5</v>
      </c>
    </row>
    <row r="3926" spans="1:2" x14ac:dyDescent="0.35">
      <c r="A3926" s="91" t="s">
        <v>2607</v>
      </c>
      <c r="B3926" s="9">
        <v>8.8000000000000007</v>
      </c>
    </row>
    <row r="3927" spans="1:2" x14ac:dyDescent="0.35">
      <c r="A3927" s="91" t="s">
        <v>3252</v>
      </c>
      <c r="B3927" s="9">
        <v>8.3999999999999986</v>
      </c>
    </row>
    <row r="3928" spans="1:2" x14ac:dyDescent="0.35">
      <c r="A3928" s="91" t="s">
        <v>5745</v>
      </c>
      <c r="B3928" s="9">
        <v>7.6</v>
      </c>
    </row>
    <row r="3929" spans="1:2" x14ac:dyDescent="0.35">
      <c r="A3929" s="91" t="s">
        <v>5466</v>
      </c>
      <c r="B3929" s="9">
        <v>6.6000000000000005</v>
      </c>
    </row>
    <row r="3930" spans="1:2" x14ac:dyDescent="0.35">
      <c r="A3930" s="91" t="s">
        <v>681</v>
      </c>
      <c r="B3930" s="9">
        <v>14</v>
      </c>
    </row>
    <row r="3931" spans="1:2" x14ac:dyDescent="0.35">
      <c r="A3931" s="91" t="s">
        <v>4842</v>
      </c>
      <c r="B3931" s="9">
        <v>14</v>
      </c>
    </row>
    <row r="3932" spans="1:2" x14ac:dyDescent="0.35">
      <c r="A3932" s="91" t="s">
        <v>2070</v>
      </c>
      <c r="B3932" s="9">
        <v>11</v>
      </c>
    </row>
    <row r="3933" spans="1:2" x14ac:dyDescent="0.35">
      <c r="A3933" s="91" t="s">
        <v>1803</v>
      </c>
      <c r="B3933" s="9">
        <v>3.8</v>
      </c>
    </row>
    <row r="3934" spans="1:2" x14ac:dyDescent="0.35">
      <c r="A3934" s="91" t="s">
        <v>3674</v>
      </c>
      <c r="B3934" s="9">
        <v>11</v>
      </c>
    </row>
    <row r="3935" spans="1:2" x14ac:dyDescent="0.35">
      <c r="A3935" s="91" t="s">
        <v>2678</v>
      </c>
      <c r="B3935" s="9">
        <v>7.6</v>
      </c>
    </row>
    <row r="3936" spans="1:2" x14ac:dyDescent="0.35">
      <c r="A3936" s="91" t="s">
        <v>348</v>
      </c>
      <c r="B3936" s="9">
        <v>11.2</v>
      </c>
    </row>
    <row r="3937" spans="1:2" x14ac:dyDescent="0.35">
      <c r="A3937" s="91" t="s">
        <v>1448</v>
      </c>
      <c r="B3937" s="9">
        <v>2.2000000000000002</v>
      </c>
    </row>
    <row r="3938" spans="1:2" x14ac:dyDescent="0.35">
      <c r="A3938" s="91" t="s">
        <v>2230</v>
      </c>
      <c r="B3938" s="9">
        <v>4.4000000000000004</v>
      </c>
    </row>
    <row r="3939" spans="1:2" x14ac:dyDescent="0.35">
      <c r="A3939" s="91" t="s">
        <v>4320</v>
      </c>
      <c r="B3939" s="9">
        <v>14</v>
      </c>
    </row>
    <row r="3940" spans="1:2" x14ac:dyDescent="0.35">
      <c r="A3940" s="91" t="s">
        <v>5550</v>
      </c>
      <c r="B3940" s="9">
        <v>11</v>
      </c>
    </row>
    <row r="3941" spans="1:2" x14ac:dyDescent="0.35">
      <c r="A3941" s="91" t="s">
        <v>3319</v>
      </c>
      <c r="B3941" s="9">
        <v>8.3999999999999986</v>
      </c>
    </row>
    <row r="3942" spans="1:2" x14ac:dyDescent="0.35">
      <c r="A3942" s="91" t="s">
        <v>3925</v>
      </c>
      <c r="B3942" s="9">
        <v>5</v>
      </c>
    </row>
    <row r="3943" spans="1:2" x14ac:dyDescent="0.35">
      <c r="A3943" s="91" t="s">
        <v>1182</v>
      </c>
      <c r="B3943" s="9">
        <v>3.8</v>
      </c>
    </row>
    <row r="3944" spans="1:2" x14ac:dyDescent="0.35">
      <c r="A3944" s="91" t="s">
        <v>2950</v>
      </c>
      <c r="B3944" s="9">
        <v>11</v>
      </c>
    </row>
    <row r="3945" spans="1:2" x14ac:dyDescent="0.35">
      <c r="A3945" s="91" t="s">
        <v>3600</v>
      </c>
      <c r="B3945" s="9">
        <v>6.6000000000000005</v>
      </c>
    </row>
    <row r="3946" spans="1:2" x14ac:dyDescent="0.35">
      <c r="A3946" s="91" t="s">
        <v>3781</v>
      </c>
      <c r="B3946" s="9">
        <v>6.6000000000000005</v>
      </c>
    </row>
    <row r="3947" spans="1:2" x14ac:dyDescent="0.35">
      <c r="A3947" s="91" t="s">
        <v>3086</v>
      </c>
      <c r="B3947" s="9">
        <v>10</v>
      </c>
    </row>
    <row r="3948" spans="1:2" x14ac:dyDescent="0.35">
      <c r="A3948" s="91" t="s">
        <v>1333</v>
      </c>
      <c r="B3948" s="9">
        <v>2.2000000000000002</v>
      </c>
    </row>
    <row r="3949" spans="1:2" x14ac:dyDescent="0.35">
      <c r="A3949" s="91" t="s">
        <v>4674</v>
      </c>
      <c r="B3949" s="9">
        <v>11</v>
      </c>
    </row>
    <row r="3950" spans="1:2" x14ac:dyDescent="0.35">
      <c r="A3950" s="91" t="s">
        <v>5246</v>
      </c>
      <c r="B3950" s="9">
        <v>2.2000000000000002</v>
      </c>
    </row>
    <row r="3951" spans="1:2" x14ac:dyDescent="0.35">
      <c r="A3951" s="91" t="s">
        <v>3390</v>
      </c>
      <c r="B3951" s="9">
        <v>2.5</v>
      </c>
    </row>
    <row r="3952" spans="1:2" x14ac:dyDescent="0.35">
      <c r="A3952" s="91" t="s">
        <v>4284</v>
      </c>
      <c r="B3952" s="9">
        <v>7.5</v>
      </c>
    </row>
    <row r="3953" spans="1:2" x14ac:dyDescent="0.35">
      <c r="A3953" s="91" t="s">
        <v>3926</v>
      </c>
      <c r="B3953" s="9">
        <v>5.6</v>
      </c>
    </row>
    <row r="3954" spans="1:2" x14ac:dyDescent="0.35">
      <c r="A3954" s="91" t="s">
        <v>4249</v>
      </c>
      <c r="B3954" s="9">
        <v>2.8</v>
      </c>
    </row>
    <row r="3955" spans="1:2" x14ac:dyDescent="0.35">
      <c r="A3955" s="91" t="s">
        <v>278</v>
      </c>
      <c r="B3955" s="9">
        <v>5.6</v>
      </c>
    </row>
    <row r="3956" spans="1:2" x14ac:dyDescent="0.35">
      <c r="A3956" s="91" t="s">
        <v>399</v>
      </c>
      <c r="B3956" s="9">
        <v>2.8</v>
      </c>
    </row>
    <row r="3957" spans="1:2" x14ac:dyDescent="0.35">
      <c r="A3957" s="91" t="s">
        <v>933</v>
      </c>
      <c r="B3957" s="9">
        <v>2.2000000000000002</v>
      </c>
    </row>
    <row r="3958" spans="1:2" x14ac:dyDescent="0.35">
      <c r="A3958" s="91" t="s">
        <v>3601</v>
      </c>
      <c r="B3958" s="9">
        <v>7.5</v>
      </c>
    </row>
    <row r="3959" spans="1:2" x14ac:dyDescent="0.35">
      <c r="A3959" s="91" t="s">
        <v>3405</v>
      </c>
      <c r="B3959" s="9">
        <v>8.8000000000000007</v>
      </c>
    </row>
    <row r="3960" spans="1:2" x14ac:dyDescent="0.35">
      <c r="A3960" s="91" t="s">
        <v>2288</v>
      </c>
      <c r="B3960" s="9">
        <v>11</v>
      </c>
    </row>
    <row r="3961" spans="1:2" x14ac:dyDescent="0.35">
      <c r="A3961" s="91" t="s">
        <v>1839</v>
      </c>
      <c r="B3961" s="9">
        <v>5.6</v>
      </c>
    </row>
    <row r="3962" spans="1:2" x14ac:dyDescent="0.35">
      <c r="A3962" s="91" t="s">
        <v>2774</v>
      </c>
      <c r="B3962" s="9">
        <v>2.2000000000000002</v>
      </c>
    </row>
    <row r="3963" spans="1:2" x14ac:dyDescent="0.35">
      <c r="A3963" s="91" t="s">
        <v>3602</v>
      </c>
      <c r="B3963" s="9">
        <v>7.5</v>
      </c>
    </row>
    <row r="3964" spans="1:2" x14ac:dyDescent="0.35">
      <c r="A3964" s="91" t="s">
        <v>5477</v>
      </c>
      <c r="B3964" s="9">
        <v>7</v>
      </c>
    </row>
    <row r="3965" spans="1:2" x14ac:dyDescent="0.35">
      <c r="A3965" s="91" t="s">
        <v>1247</v>
      </c>
      <c r="B3965" s="9">
        <v>6.6000000000000005</v>
      </c>
    </row>
    <row r="3966" spans="1:2" x14ac:dyDescent="0.35">
      <c r="A3966" s="91" t="s">
        <v>3748</v>
      </c>
      <c r="B3966" s="9">
        <v>2.2000000000000002</v>
      </c>
    </row>
    <row r="3967" spans="1:2" x14ac:dyDescent="0.35">
      <c r="A3967" s="91" t="s">
        <v>2366</v>
      </c>
      <c r="B3967" s="9">
        <v>14</v>
      </c>
    </row>
    <row r="3968" spans="1:2" x14ac:dyDescent="0.35">
      <c r="A3968" s="91" t="s">
        <v>4027</v>
      </c>
      <c r="B3968" s="9">
        <v>11.2</v>
      </c>
    </row>
    <row r="3969" spans="1:2" x14ac:dyDescent="0.35">
      <c r="A3969" s="91" t="s">
        <v>1431</v>
      </c>
      <c r="B3969" s="9">
        <v>3.5</v>
      </c>
    </row>
    <row r="3970" spans="1:2" x14ac:dyDescent="0.35">
      <c r="A3970" s="91" t="s">
        <v>2787</v>
      </c>
      <c r="B3970" s="9">
        <v>10.5</v>
      </c>
    </row>
    <row r="3971" spans="1:2" x14ac:dyDescent="0.35">
      <c r="A3971" s="91" t="s">
        <v>4941</v>
      </c>
      <c r="B3971" s="9">
        <v>17.5</v>
      </c>
    </row>
    <row r="3972" spans="1:2" x14ac:dyDescent="0.35">
      <c r="A3972" s="91" t="s">
        <v>3686</v>
      </c>
      <c r="B3972" s="9">
        <v>7</v>
      </c>
    </row>
    <row r="3973" spans="1:2" x14ac:dyDescent="0.35">
      <c r="A3973" s="91" t="s">
        <v>3543</v>
      </c>
      <c r="B3973" s="9">
        <v>6.6000000000000005</v>
      </c>
    </row>
    <row r="3974" spans="1:2" x14ac:dyDescent="0.35">
      <c r="A3974" s="91" t="s">
        <v>5202</v>
      </c>
      <c r="B3974" s="9">
        <v>7.6</v>
      </c>
    </row>
    <row r="3975" spans="1:2" x14ac:dyDescent="0.35">
      <c r="A3975" s="91" t="s">
        <v>3437</v>
      </c>
      <c r="B3975" s="9">
        <v>10.5</v>
      </c>
    </row>
    <row r="3976" spans="1:2" x14ac:dyDescent="0.35">
      <c r="A3976" s="91" t="s">
        <v>3418</v>
      </c>
      <c r="B3976" s="9">
        <v>17.5</v>
      </c>
    </row>
    <row r="3977" spans="1:2" x14ac:dyDescent="0.35">
      <c r="A3977" s="91" t="s">
        <v>4386</v>
      </c>
      <c r="B3977" s="9">
        <v>2.8</v>
      </c>
    </row>
    <row r="3978" spans="1:2" x14ac:dyDescent="0.35">
      <c r="A3978" s="91" t="s">
        <v>1781</v>
      </c>
      <c r="B3978" s="9">
        <v>2.5</v>
      </c>
    </row>
    <row r="3979" spans="1:2" x14ac:dyDescent="0.35">
      <c r="A3979" s="91" t="s">
        <v>2750</v>
      </c>
      <c r="B3979" s="9">
        <v>19</v>
      </c>
    </row>
    <row r="3980" spans="1:2" x14ac:dyDescent="0.35">
      <c r="A3980" s="91" t="s">
        <v>2383</v>
      </c>
      <c r="B3980" s="9">
        <v>11</v>
      </c>
    </row>
    <row r="3981" spans="1:2" x14ac:dyDescent="0.35">
      <c r="A3981" s="91" t="s">
        <v>2659</v>
      </c>
      <c r="B3981" s="9">
        <v>15.2</v>
      </c>
    </row>
    <row r="3982" spans="1:2" x14ac:dyDescent="0.35">
      <c r="A3982" s="91" t="s">
        <v>1033</v>
      </c>
      <c r="B3982" s="9">
        <v>11</v>
      </c>
    </row>
    <row r="3983" spans="1:2" x14ac:dyDescent="0.35">
      <c r="A3983" s="91" t="s">
        <v>4688</v>
      </c>
      <c r="B3983" s="9">
        <v>7.6</v>
      </c>
    </row>
    <row r="3984" spans="1:2" x14ac:dyDescent="0.35">
      <c r="A3984" s="91" t="s">
        <v>2336</v>
      </c>
      <c r="B3984" s="9">
        <v>8.8000000000000007</v>
      </c>
    </row>
    <row r="3985" spans="1:2" x14ac:dyDescent="0.35">
      <c r="A3985" s="91" t="s">
        <v>3901</v>
      </c>
      <c r="B3985" s="9">
        <v>5.6</v>
      </c>
    </row>
    <row r="3986" spans="1:2" x14ac:dyDescent="0.35">
      <c r="A3986" s="91" t="s">
        <v>1532</v>
      </c>
      <c r="B3986" s="9">
        <v>8.8000000000000007</v>
      </c>
    </row>
    <row r="3987" spans="1:2" x14ac:dyDescent="0.35">
      <c r="A3987" s="91" t="s">
        <v>401</v>
      </c>
      <c r="B3987" s="9">
        <v>10</v>
      </c>
    </row>
    <row r="3988" spans="1:2" x14ac:dyDescent="0.35">
      <c r="A3988" s="91" t="s">
        <v>5818</v>
      </c>
      <c r="B3988" s="9">
        <v>12.5</v>
      </c>
    </row>
    <row r="3989" spans="1:2" x14ac:dyDescent="0.35">
      <c r="A3989" s="91" t="s">
        <v>999</v>
      </c>
      <c r="B3989" s="9">
        <v>2.2000000000000002</v>
      </c>
    </row>
    <row r="3990" spans="1:2" x14ac:dyDescent="0.35">
      <c r="A3990" s="91" t="s">
        <v>2044</v>
      </c>
      <c r="B3990" s="9">
        <v>7</v>
      </c>
    </row>
    <row r="3991" spans="1:2" x14ac:dyDescent="0.35">
      <c r="A3991" s="91" t="s">
        <v>2709</v>
      </c>
      <c r="B3991" s="9">
        <v>3.5</v>
      </c>
    </row>
    <row r="3992" spans="1:2" x14ac:dyDescent="0.35">
      <c r="A3992" s="91" t="s">
        <v>3851</v>
      </c>
      <c r="B3992" s="9">
        <v>11.2</v>
      </c>
    </row>
    <row r="3993" spans="1:2" x14ac:dyDescent="0.35">
      <c r="A3993" s="91" t="s">
        <v>3199</v>
      </c>
      <c r="B3993" s="9">
        <v>4.4000000000000004</v>
      </c>
    </row>
    <row r="3994" spans="1:2" x14ac:dyDescent="0.35">
      <c r="A3994" s="91" t="s">
        <v>4109</v>
      </c>
      <c r="B3994" s="9">
        <v>7</v>
      </c>
    </row>
    <row r="3995" spans="1:2" x14ac:dyDescent="0.35">
      <c r="A3995" s="91" t="s">
        <v>3927</v>
      </c>
      <c r="B3995" s="9">
        <v>14</v>
      </c>
    </row>
    <row r="3996" spans="1:2" x14ac:dyDescent="0.35">
      <c r="A3996" s="91" t="s">
        <v>2263</v>
      </c>
      <c r="B3996" s="9">
        <v>3.8</v>
      </c>
    </row>
    <row r="3997" spans="1:2" x14ac:dyDescent="0.35">
      <c r="A3997" s="91" t="s">
        <v>5385</v>
      </c>
      <c r="B3997" s="9">
        <v>7.5</v>
      </c>
    </row>
    <row r="3998" spans="1:2" x14ac:dyDescent="0.35">
      <c r="A3998" s="91" t="s">
        <v>199</v>
      </c>
      <c r="B3998" s="9">
        <v>2.8</v>
      </c>
    </row>
    <row r="3999" spans="1:2" x14ac:dyDescent="0.35">
      <c r="A3999" s="91" t="s">
        <v>3454</v>
      </c>
      <c r="B3999" s="9">
        <v>11.399999999999999</v>
      </c>
    </row>
    <row r="4000" spans="1:2" x14ac:dyDescent="0.35">
      <c r="A4000" s="91" t="s">
        <v>4768</v>
      </c>
      <c r="B4000" s="9">
        <v>7.6</v>
      </c>
    </row>
    <row r="4001" spans="1:2" x14ac:dyDescent="0.35">
      <c r="A4001" s="91" t="s">
        <v>2572</v>
      </c>
      <c r="B4001" s="9">
        <v>10</v>
      </c>
    </row>
    <row r="4002" spans="1:2" x14ac:dyDescent="0.35">
      <c r="A4002" s="91" t="s">
        <v>3036</v>
      </c>
      <c r="B4002" s="9">
        <v>11</v>
      </c>
    </row>
    <row r="4003" spans="1:2" x14ac:dyDescent="0.35">
      <c r="A4003" s="91" t="s">
        <v>2527</v>
      </c>
      <c r="B4003" s="9">
        <v>3.5</v>
      </c>
    </row>
    <row r="4004" spans="1:2" x14ac:dyDescent="0.35">
      <c r="A4004" s="91" t="s">
        <v>2097</v>
      </c>
      <c r="B4004" s="9">
        <v>11.2</v>
      </c>
    </row>
    <row r="4005" spans="1:2" x14ac:dyDescent="0.35">
      <c r="A4005" s="91" t="s">
        <v>3809</v>
      </c>
      <c r="B4005" s="9">
        <v>7</v>
      </c>
    </row>
    <row r="4006" spans="1:2" x14ac:dyDescent="0.35">
      <c r="A4006" s="91" t="s">
        <v>1320</v>
      </c>
      <c r="B4006" s="9">
        <v>14</v>
      </c>
    </row>
    <row r="4007" spans="1:2" x14ac:dyDescent="0.35">
      <c r="A4007" s="91" t="s">
        <v>4830</v>
      </c>
      <c r="B4007" s="9">
        <v>2.5</v>
      </c>
    </row>
    <row r="4008" spans="1:2" x14ac:dyDescent="0.35">
      <c r="A4008" s="91" t="s">
        <v>4510</v>
      </c>
      <c r="B4008" s="9">
        <v>12.5</v>
      </c>
    </row>
    <row r="4009" spans="1:2" x14ac:dyDescent="0.35">
      <c r="A4009" s="91" t="s">
        <v>3338</v>
      </c>
      <c r="B4009" s="9">
        <v>8.8000000000000007</v>
      </c>
    </row>
    <row r="4010" spans="1:2" x14ac:dyDescent="0.35">
      <c r="A4010" s="91" t="s">
        <v>3557</v>
      </c>
      <c r="B4010" s="9">
        <v>3.5</v>
      </c>
    </row>
    <row r="4011" spans="1:2" x14ac:dyDescent="0.35">
      <c r="A4011" s="91" t="s">
        <v>3889</v>
      </c>
      <c r="B4011" s="9">
        <v>14</v>
      </c>
    </row>
    <row r="4012" spans="1:2" x14ac:dyDescent="0.35">
      <c r="A4012" s="91" t="s">
        <v>3723</v>
      </c>
      <c r="B4012" s="9">
        <v>17.5</v>
      </c>
    </row>
    <row r="4013" spans="1:2" x14ac:dyDescent="0.35">
      <c r="A4013" s="91" t="s">
        <v>3219</v>
      </c>
      <c r="B4013" s="9">
        <v>14</v>
      </c>
    </row>
    <row r="4014" spans="1:2" x14ac:dyDescent="0.35">
      <c r="A4014" s="91" t="s">
        <v>3703</v>
      </c>
      <c r="B4014" s="9">
        <v>12.5</v>
      </c>
    </row>
    <row r="4015" spans="1:2" x14ac:dyDescent="0.35">
      <c r="A4015" s="91" t="s">
        <v>4460</v>
      </c>
      <c r="B4015" s="9">
        <v>11</v>
      </c>
    </row>
    <row r="4016" spans="1:2" x14ac:dyDescent="0.35">
      <c r="A4016" s="91" t="s">
        <v>1351</v>
      </c>
      <c r="B4016" s="9">
        <v>19</v>
      </c>
    </row>
    <row r="4017" spans="1:2" x14ac:dyDescent="0.35">
      <c r="A4017" s="91" t="s">
        <v>4614</v>
      </c>
      <c r="B4017" s="9">
        <v>11.2</v>
      </c>
    </row>
    <row r="4018" spans="1:2" x14ac:dyDescent="0.35">
      <c r="A4018" s="91" t="s">
        <v>1494</v>
      </c>
      <c r="B4018" s="9">
        <v>12.5</v>
      </c>
    </row>
    <row r="4019" spans="1:2" x14ac:dyDescent="0.35">
      <c r="A4019" s="91" t="s">
        <v>3073</v>
      </c>
      <c r="B4019" s="9">
        <v>12.5</v>
      </c>
    </row>
    <row r="4020" spans="1:2" x14ac:dyDescent="0.35">
      <c r="A4020" s="91" t="s">
        <v>5962</v>
      </c>
      <c r="B4020" s="9">
        <v>3.8</v>
      </c>
    </row>
    <row r="4021" spans="1:2" x14ac:dyDescent="0.35">
      <c r="A4021" s="91" t="s">
        <v>3830</v>
      </c>
      <c r="B4021" s="9">
        <v>5.6</v>
      </c>
    </row>
    <row r="4022" spans="1:2" x14ac:dyDescent="0.35">
      <c r="A4022" s="91" t="s">
        <v>2085</v>
      </c>
      <c r="B4022" s="9">
        <v>10</v>
      </c>
    </row>
    <row r="4023" spans="1:2" x14ac:dyDescent="0.35">
      <c r="A4023" s="91" t="s">
        <v>4335</v>
      </c>
      <c r="B4023" s="9">
        <v>8.8000000000000007</v>
      </c>
    </row>
    <row r="4024" spans="1:2" x14ac:dyDescent="0.35">
      <c r="A4024" s="91" t="s">
        <v>5793</v>
      </c>
      <c r="B4024" s="9">
        <v>17.5</v>
      </c>
    </row>
    <row r="4025" spans="1:2" x14ac:dyDescent="0.35">
      <c r="A4025" s="91" t="s">
        <v>4497</v>
      </c>
      <c r="B4025" s="9">
        <v>8.3999999999999986</v>
      </c>
    </row>
    <row r="4026" spans="1:2" x14ac:dyDescent="0.35">
      <c r="A4026" s="91" t="s">
        <v>3974</v>
      </c>
      <c r="B4026" s="9">
        <v>5.6</v>
      </c>
    </row>
    <row r="4027" spans="1:2" x14ac:dyDescent="0.35">
      <c r="A4027" s="91" t="s">
        <v>5963</v>
      </c>
      <c r="B4027" s="9">
        <v>17.5</v>
      </c>
    </row>
    <row r="4028" spans="1:2" x14ac:dyDescent="0.35">
      <c r="A4028" s="91" t="s">
        <v>977</v>
      </c>
      <c r="B4028" s="9">
        <v>14</v>
      </c>
    </row>
    <row r="4029" spans="1:2" x14ac:dyDescent="0.35">
      <c r="A4029" s="91" t="s">
        <v>505</v>
      </c>
      <c r="B4029" s="9">
        <v>14</v>
      </c>
    </row>
    <row r="4030" spans="1:2" x14ac:dyDescent="0.35">
      <c r="A4030" s="91" t="s">
        <v>3623</v>
      </c>
      <c r="B4030" s="9">
        <v>10</v>
      </c>
    </row>
    <row r="4031" spans="1:2" x14ac:dyDescent="0.35">
      <c r="A4031" s="91" t="s">
        <v>4530</v>
      </c>
      <c r="B4031" s="9">
        <v>3.5</v>
      </c>
    </row>
    <row r="4032" spans="1:2" x14ac:dyDescent="0.35">
      <c r="A4032" s="91" t="s">
        <v>4264</v>
      </c>
      <c r="B4032" s="9">
        <v>19</v>
      </c>
    </row>
    <row r="4033" spans="1:2" x14ac:dyDescent="0.35">
      <c r="A4033" s="91" t="s">
        <v>5004</v>
      </c>
      <c r="B4033" s="9">
        <v>7.6</v>
      </c>
    </row>
    <row r="4034" spans="1:2" x14ac:dyDescent="0.35">
      <c r="A4034" s="91" t="s">
        <v>5702</v>
      </c>
      <c r="B4034" s="9">
        <v>3.8</v>
      </c>
    </row>
    <row r="4035" spans="1:2" x14ac:dyDescent="0.35">
      <c r="A4035" s="91" t="s">
        <v>2838</v>
      </c>
      <c r="B4035" s="9">
        <v>7</v>
      </c>
    </row>
    <row r="4036" spans="1:2" x14ac:dyDescent="0.35">
      <c r="A4036" s="91" t="s">
        <v>2951</v>
      </c>
      <c r="B4036" s="9">
        <v>8.8000000000000007</v>
      </c>
    </row>
    <row r="4037" spans="1:2" x14ac:dyDescent="0.35">
      <c r="A4037" s="91" t="s">
        <v>5703</v>
      </c>
      <c r="B4037" s="9">
        <v>7.6</v>
      </c>
    </row>
    <row r="4038" spans="1:2" x14ac:dyDescent="0.35">
      <c r="A4038" s="91" t="s">
        <v>5511</v>
      </c>
      <c r="B4038" s="9">
        <v>10</v>
      </c>
    </row>
    <row r="4039" spans="1:2" x14ac:dyDescent="0.35">
      <c r="A4039" s="91" t="s">
        <v>1087</v>
      </c>
      <c r="B4039" s="9">
        <v>7.5</v>
      </c>
    </row>
    <row r="4040" spans="1:2" x14ac:dyDescent="0.35">
      <c r="A4040" s="91" t="s">
        <v>309</v>
      </c>
      <c r="B4040" s="9">
        <v>7.5</v>
      </c>
    </row>
    <row r="4041" spans="1:2" x14ac:dyDescent="0.35">
      <c r="A4041" s="91" t="s">
        <v>3200</v>
      </c>
      <c r="B4041" s="9">
        <v>10</v>
      </c>
    </row>
    <row r="4042" spans="1:2" x14ac:dyDescent="0.35">
      <c r="A4042" s="91" t="s">
        <v>5440</v>
      </c>
      <c r="B4042" s="9">
        <v>8.8000000000000007</v>
      </c>
    </row>
    <row r="4043" spans="1:2" x14ac:dyDescent="0.35">
      <c r="A4043" s="91" t="s">
        <v>2023</v>
      </c>
      <c r="B4043" s="9">
        <v>2.5</v>
      </c>
    </row>
    <row r="4044" spans="1:2" x14ac:dyDescent="0.35">
      <c r="A4044" s="91" t="s">
        <v>1157</v>
      </c>
      <c r="B4044" s="9">
        <v>4.4000000000000004</v>
      </c>
    </row>
    <row r="4045" spans="1:2" x14ac:dyDescent="0.35">
      <c r="A4045" s="91" t="s">
        <v>4238</v>
      </c>
      <c r="B4045" s="9">
        <v>7</v>
      </c>
    </row>
    <row r="4046" spans="1:2" x14ac:dyDescent="0.35">
      <c r="A4046" s="91" t="s">
        <v>4079</v>
      </c>
      <c r="B4046" s="9">
        <v>2.2000000000000002</v>
      </c>
    </row>
    <row r="4047" spans="1:2" x14ac:dyDescent="0.35">
      <c r="A4047" s="91" t="s">
        <v>166</v>
      </c>
      <c r="B4047" s="9">
        <v>2.5</v>
      </c>
    </row>
    <row r="4048" spans="1:2" x14ac:dyDescent="0.35">
      <c r="A4048" s="91" t="s">
        <v>4008</v>
      </c>
      <c r="B4048" s="9">
        <v>5</v>
      </c>
    </row>
    <row r="4049" spans="1:2" x14ac:dyDescent="0.35">
      <c r="A4049" s="91" t="s">
        <v>5024</v>
      </c>
      <c r="B4049" s="9">
        <v>2.5</v>
      </c>
    </row>
    <row r="4050" spans="1:2" x14ac:dyDescent="0.35">
      <c r="A4050" s="91" t="s">
        <v>3007</v>
      </c>
      <c r="B4050" s="9">
        <v>2.5</v>
      </c>
    </row>
    <row r="4051" spans="1:2" x14ac:dyDescent="0.35">
      <c r="A4051" s="91" t="s">
        <v>5646</v>
      </c>
      <c r="B4051" s="9">
        <v>19</v>
      </c>
    </row>
    <row r="4052" spans="1:2" x14ac:dyDescent="0.35">
      <c r="A4052" s="91" t="s">
        <v>2045</v>
      </c>
      <c r="B4052" s="9">
        <v>11.2</v>
      </c>
    </row>
    <row r="4053" spans="1:2" x14ac:dyDescent="0.35">
      <c r="A4053" s="91" t="s">
        <v>5568</v>
      </c>
      <c r="B4053" s="9">
        <v>7</v>
      </c>
    </row>
    <row r="4054" spans="1:2" x14ac:dyDescent="0.35">
      <c r="A4054" s="91" t="s">
        <v>4907</v>
      </c>
      <c r="B4054" s="9">
        <v>11.399999999999999</v>
      </c>
    </row>
    <row r="4055" spans="1:2" x14ac:dyDescent="0.35">
      <c r="A4055" s="91" t="s">
        <v>4812</v>
      </c>
      <c r="B4055" s="9">
        <v>2.2000000000000002</v>
      </c>
    </row>
    <row r="4056" spans="1:2" x14ac:dyDescent="0.35">
      <c r="A4056" s="91" t="s">
        <v>4093</v>
      </c>
      <c r="B4056" s="9">
        <v>4.4000000000000004</v>
      </c>
    </row>
    <row r="4057" spans="1:2" x14ac:dyDescent="0.35">
      <c r="A4057" s="91" t="s">
        <v>800</v>
      </c>
      <c r="B4057" s="9">
        <v>10.5</v>
      </c>
    </row>
    <row r="4058" spans="1:2" x14ac:dyDescent="0.35">
      <c r="A4058" s="91" t="s">
        <v>4009</v>
      </c>
      <c r="B4058" s="9">
        <v>3.8</v>
      </c>
    </row>
    <row r="4059" spans="1:2" x14ac:dyDescent="0.35">
      <c r="A4059" s="91" t="s">
        <v>2086</v>
      </c>
      <c r="B4059" s="9">
        <v>2.8</v>
      </c>
    </row>
    <row r="4060" spans="1:2" x14ac:dyDescent="0.35">
      <c r="A4060" s="91" t="s">
        <v>2952</v>
      </c>
      <c r="B4060" s="9">
        <v>7.6</v>
      </c>
    </row>
    <row r="4061" spans="1:2" x14ac:dyDescent="0.35">
      <c r="A4061" s="91" t="s">
        <v>3301</v>
      </c>
      <c r="B4061" s="9">
        <v>17.5</v>
      </c>
    </row>
    <row r="4062" spans="1:2" x14ac:dyDescent="0.35">
      <c r="A4062" s="91" t="s">
        <v>5551</v>
      </c>
      <c r="B4062" s="9">
        <v>2.8</v>
      </c>
    </row>
    <row r="4063" spans="1:2" x14ac:dyDescent="0.35">
      <c r="A4063" s="91" t="s">
        <v>2009</v>
      </c>
      <c r="B4063" s="9">
        <v>7.5</v>
      </c>
    </row>
    <row r="4064" spans="1:2" x14ac:dyDescent="0.35">
      <c r="A4064" s="91" t="s">
        <v>5916</v>
      </c>
      <c r="B4064" s="9">
        <v>14</v>
      </c>
    </row>
    <row r="4065" spans="1:2" x14ac:dyDescent="0.35">
      <c r="A4065" s="91" t="s">
        <v>1716</v>
      </c>
      <c r="B4065" s="9">
        <v>7</v>
      </c>
    </row>
    <row r="4066" spans="1:2" x14ac:dyDescent="0.35">
      <c r="A4066" s="91" t="s">
        <v>4862</v>
      </c>
      <c r="B4066" s="9">
        <v>3.5</v>
      </c>
    </row>
    <row r="4067" spans="1:2" x14ac:dyDescent="0.35">
      <c r="A4067" s="91" t="s">
        <v>3302</v>
      </c>
      <c r="B4067" s="9">
        <v>11.2</v>
      </c>
    </row>
    <row r="4068" spans="1:2" x14ac:dyDescent="0.35">
      <c r="A4068" s="91" t="s">
        <v>4191</v>
      </c>
      <c r="B4068" s="9">
        <v>19</v>
      </c>
    </row>
    <row r="4069" spans="1:2" x14ac:dyDescent="0.35">
      <c r="A4069" s="91" t="s">
        <v>1888</v>
      </c>
      <c r="B4069" s="9">
        <v>17.5</v>
      </c>
    </row>
    <row r="4070" spans="1:2" x14ac:dyDescent="0.35">
      <c r="A4070" s="91" t="s">
        <v>1035</v>
      </c>
      <c r="B4070" s="9">
        <v>10.5</v>
      </c>
    </row>
    <row r="4071" spans="1:2" x14ac:dyDescent="0.35">
      <c r="A4071" s="91" t="s">
        <v>3624</v>
      </c>
      <c r="B4071" s="9">
        <v>2.2000000000000002</v>
      </c>
    </row>
    <row r="4072" spans="1:2" x14ac:dyDescent="0.35">
      <c r="A4072" s="91" t="s">
        <v>5994</v>
      </c>
      <c r="B4072" s="9">
        <v>14</v>
      </c>
    </row>
    <row r="4073" spans="1:2" x14ac:dyDescent="0.35">
      <c r="A4073" s="91" t="s">
        <v>5731</v>
      </c>
      <c r="B4073" s="9">
        <v>5</v>
      </c>
    </row>
    <row r="4074" spans="1:2" x14ac:dyDescent="0.35">
      <c r="A4074" s="91" t="s">
        <v>5371</v>
      </c>
      <c r="B4074" s="9">
        <v>2.5</v>
      </c>
    </row>
    <row r="4075" spans="1:2" x14ac:dyDescent="0.35">
      <c r="A4075" s="91" t="s">
        <v>1650</v>
      </c>
      <c r="B4075" s="9">
        <v>3.5</v>
      </c>
    </row>
    <row r="4076" spans="1:2" x14ac:dyDescent="0.35">
      <c r="A4076" s="91" t="s">
        <v>1496</v>
      </c>
      <c r="B4076" s="9">
        <v>5</v>
      </c>
    </row>
    <row r="4077" spans="1:2" x14ac:dyDescent="0.35">
      <c r="A4077" s="91" t="s">
        <v>1582</v>
      </c>
      <c r="B4077" s="9">
        <v>14</v>
      </c>
    </row>
    <row r="4078" spans="1:2" x14ac:dyDescent="0.35">
      <c r="A4078" s="91" t="s">
        <v>3544</v>
      </c>
      <c r="B4078" s="9">
        <v>14</v>
      </c>
    </row>
    <row r="4079" spans="1:2" x14ac:dyDescent="0.35">
      <c r="A4079" s="91" t="s">
        <v>1498</v>
      </c>
      <c r="B4079" s="9">
        <v>10</v>
      </c>
    </row>
    <row r="4080" spans="1:2" x14ac:dyDescent="0.35">
      <c r="A4080" s="91" t="s">
        <v>3558</v>
      </c>
      <c r="B4080" s="9">
        <v>15.2</v>
      </c>
    </row>
    <row r="4081" spans="1:2" x14ac:dyDescent="0.35">
      <c r="A4081" s="91" t="s">
        <v>5977</v>
      </c>
      <c r="B4081" s="9">
        <v>4.4000000000000004</v>
      </c>
    </row>
    <row r="4082" spans="1:2" x14ac:dyDescent="0.35">
      <c r="A4082" s="91" t="s">
        <v>1908</v>
      </c>
      <c r="B4082" s="9">
        <v>2.2000000000000002</v>
      </c>
    </row>
    <row r="4083" spans="1:2" x14ac:dyDescent="0.35">
      <c r="A4083" s="91" t="s">
        <v>5125</v>
      </c>
      <c r="B4083" s="9">
        <v>10</v>
      </c>
    </row>
    <row r="4084" spans="1:2" x14ac:dyDescent="0.35">
      <c r="A4084" s="91" t="s">
        <v>4215</v>
      </c>
      <c r="B4084" s="9">
        <v>5.6</v>
      </c>
    </row>
    <row r="4085" spans="1:2" x14ac:dyDescent="0.35">
      <c r="A4085" s="91" t="s">
        <v>5340</v>
      </c>
      <c r="B4085" s="9">
        <v>15.2</v>
      </c>
    </row>
    <row r="4086" spans="1:2" x14ac:dyDescent="0.35">
      <c r="A4086" s="91" t="s">
        <v>2289</v>
      </c>
      <c r="B4086" s="9">
        <v>8.8000000000000007</v>
      </c>
    </row>
    <row r="4087" spans="1:2" x14ac:dyDescent="0.35">
      <c r="A4087" s="91" t="s">
        <v>3303</v>
      </c>
      <c r="B4087" s="9">
        <v>8.3999999999999986</v>
      </c>
    </row>
    <row r="4088" spans="1:2" x14ac:dyDescent="0.35">
      <c r="A4088" s="91" t="s">
        <v>5876</v>
      </c>
      <c r="B4088" s="9">
        <v>14</v>
      </c>
    </row>
    <row r="4089" spans="1:2" x14ac:dyDescent="0.35">
      <c r="A4089" s="91" t="s">
        <v>2729</v>
      </c>
      <c r="B4089" s="9">
        <v>8.8000000000000007</v>
      </c>
    </row>
    <row r="4090" spans="1:2" x14ac:dyDescent="0.35">
      <c r="A4090" s="91" t="s">
        <v>4626</v>
      </c>
      <c r="B4090" s="9">
        <v>6.6000000000000005</v>
      </c>
    </row>
    <row r="4091" spans="1:2" x14ac:dyDescent="0.35">
      <c r="A4091" s="91" t="s">
        <v>2953</v>
      </c>
      <c r="B4091" s="9">
        <v>5</v>
      </c>
    </row>
    <row r="4092" spans="1:2" x14ac:dyDescent="0.35">
      <c r="A4092" s="91" t="s">
        <v>2158</v>
      </c>
      <c r="B4092" s="9">
        <v>7.6</v>
      </c>
    </row>
    <row r="4093" spans="1:2" x14ac:dyDescent="0.35">
      <c r="A4093" s="91" t="s">
        <v>590</v>
      </c>
      <c r="B4093" s="9">
        <v>10.5</v>
      </c>
    </row>
    <row r="4094" spans="1:2" x14ac:dyDescent="0.35">
      <c r="A4094" s="91" t="s">
        <v>4594</v>
      </c>
      <c r="B4094" s="9">
        <v>7</v>
      </c>
    </row>
    <row r="4095" spans="1:2" x14ac:dyDescent="0.35">
      <c r="A4095" s="91" t="s">
        <v>4216</v>
      </c>
      <c r="B4095" s="9">
        <v>7</v>
      </c>
    </row>
    <row r="4096" spans="1:2" x14ac:dyDescent="0.35">
      <c r="A4096" s="91" t="s">
        <v>591</v>
      </c>
      <c r="B4096" s="9">
        <v>14</v>
      </c>
    </row>
    <row r="4097" spans="1:2" x14ac:dyDescent="0.35">
      <c r="A4097" s="91" t="s">
        <v>4974</v>
      </c>
      <c r="B4097" s="9">
        <v>11.2</v>
      </c>
    </row>
    <row r="4098" spans="1:2" x14ac:dyDescent="0.35">
      <c r="A4098" s="91" t="s">
        <v>5716</v>
      </c>
      <c r="B4098" s="9">
        <v>8.3999999999999986</v>
      </c>
    </row>
    <row r="4099" spans="1:2" x14ac:dyDescent="0.35">
      <c r="A4099" s="91" t="s">
        <v>3455</v>
      </c>
      <c r="B4099" s="9">
        <v>11.2</v>
      </c>
    </row>
    <row r="4100" spans="1:2" x14ac:dyDescent="0.35">
      <c r="A4100" s="91" t="s">
        <v>2188</v>
      </c>
      <c r="B4100" s="9">
        <v>12.5</v>
      </c>
    </row>
    <row r="4101" spans="1:2" x14ac:dyDescent="0.35">
      <c r="A4101" s="91" t="s">
        <v>3112</v>
      </c>
      <c r="B4101" s="9">
        <v>8.3999999999999986</v>
      </c>
    </row>
    <row r="4102" spans="1:2" x14ac:dyDescent="0.35">
      <c r="A4102" s="91" t="s">
        <v>4080</v>
      </c>
      <c r="B4102" s="9">
        <v>17.5</v>
      </c>
    </row>
    <row r="4103" spans="1:2" x14ac:dyDescent="0.35">
      <c r="A4103" s="91" t="s">
        <v>4081</v>
      </c>
      <c r="B4103" s="9">
        <v>8.3999999999999986</v>
      </c>
    </row>
    <row r="4104" spans="1:2" x14ac:dyDescent="0.35">
      <c r="A4104" s="91" t="s">
        <v>1467</v>
      </c>
      <c r="B4104" s="9">
        <v>11.2</v>
      </c>
    </row>
    <row r="4105" spans="1:2" x14ac:dyDescent="0.35">
      <c r="A4105" s="91" t="s">
        <v>5845</v>
      </c>
      <c r="B4105" s="9">
        <v>3.5</v>
      </c>
    </row>
    <row r="4106" spans="1:2" x14ac:dyDescent="0.35">
      <c r="A4106" s="91" t="s">
        <v>4532</v>
      </c>
      <c r="B4106" s="9">
        <v>10</v>
      </c>
    </row>
    <row r="4107" spans="1:2" x14ac:dyDescent="0.35">
      <c r="A4107" s="91" t="s">
        <v>5933</v>
      </c>
      <c r="B4107" s="9">
        <v>5.6</v>
      </c>
    </row>
    <row r="4108" spans="1:2" x14ac:dyDescent="0.35">
      <c r="A4108" s="91" t="s">
        <v>683</v>
      </c>
      <c r="B4108" s="9">
        <v>11.2</v>
      </c>
    </row>
    <row r="4109" spans="1:2" x14ac:dyDescent="0.35">
      <c r="A4109" s="91" t="s">
        <v>3487</v>
      </c>
      <c r="B4109" s="9">
        <v>14</v>
      </c>
    </row>
    <row r="4110" spans="1:2" x14ac:dyDescent="0.35">
      <c r="A4110" s="91" t="s">
        <v>2047</v>
      </c>
      <c r="B4110" s="9">
        <v>5</v>
      </c>
    </row>
    <row r="4111" spans="1:2" x14ac:dyDescent="0.35">
      <c r="A4111" s="91" t="s">
        <v>592</v>
      </c>
      <c r="B4111" s="9">
        <v>11.399999999999999</v>
      </c>
    </row>
    <row r="4112" spans="1:2" x14ac:dyDescent="0.35">
      <c r="A4112" s="91" t="s">
        <v>1226</v>
      </c>
      <c r="B4112" s="9">
        <v>19</v>
      </c>
    </row>
    <row r="4113" spans="1:2" x14ac:dyDescent="0.35">
      <c r="A4113" s="91" t="s">
        <v>5988</v>
      </c>
      <c r="B4113" s="9">
        <v>14</v>
      </c>
    </row>
    <row r="4114" spans="1:2" x14ac:dyDescent="0.35">
      <c r="A4114" s="91" t="s">
        <v>375</v>
      </c>
      <c r="B4114" s="9">
        <v>14</v>
      </c>
    </row>
    <row r="4115" spans="1:2" x14ac:dyDescent="0.35">
      <c r="A4115" s="91" t="s">
        <v>4511</v>
      </c>
      <c r="B4115" s="9">
        <v>7</v>
      </c>
    </row>
    <row r="4116" spans="1:2" x14ac:dyDescent="0.35">
      <c r="A4116" s="91" t="s">
        <v>4713</v>
      </c>
      <c r="B4116" s="9">
        <v>6.6000000000000005</v>
      </c>
    </row>
    <row r="4117" spans="1:2" x14ac:dyDescent="0.35">
      <c r="A4117" s="91" t="s">
        <v>4179</v>
      </c>
      <c r="B4117" s="9">
        <v>7</v>
      </c>
    </row>
    <row r="4118" spans="1:2" x14ac:dyDescent="0.35">
      <c r="A4118" s="91" t="s">
        <v>5846</v>
      </c>
      <c r="B4118" s="9">
        <v>3.5</v>
      </c>
    </row>
    <row r="4119" spans="1:2" x14ac:dyDescent="0.35">
      <c r="A4119" s="91" t="s">
        <v>5247</v>
      </c>
      <c r="B4119" s="9">
        <v>12.5</v>
      </c>
    </row>
    <row r="4120" spans="1:2" x14ac:dyDescent="0.35">
      <c r="A4120" s="91" t="s">
        <v>2290</v>
      </c>
      <c r="B4120" s="9">
        <v>17.5</v>
      </c>
    </row>
    <row r="4121" spans="1:2" x14ac:dyDescent="0.35">
      <c r="A4121" s="91" t="s">
        <v>2893</v>
      </c>
      <c r="B4121" s="9">
        <v>21</v>
      </c>
    </row>
    <row r="4122" spans="1:2" x14ac:dyDescent="0.35">
      <c r="A4122" s="91" t="s">
        <v>5704</v>
      </c>
      <c r="B4122" s="9">
        <v>2.5</v>
      </c>
    </row>
    <row r="4123" spans="1:2" x14ac:dyDescent="0.35">
      <c r="A4123" s="91" t="s">
        <v>801</v>
      </c>
      <c r="B4123" s="9">
        <v>11.399999999999999</v>
      </c>
    </row>
    <row r="4124" spans="1:2" x14ac:dyDescent="0.35">
      <c r="A4124" s="91" t="s">
        <v>4728</v>
      </c>
      <c r="B4124" s="9">
        <v>2.5</v>
      </c>
    </row>
    <row r="4125" spans="1:2" x14ac:dyDescent="0.35">
      <c r="A4125" s="91" t="s">
        <v>4121</v>
      </c>
      <c r="B4125" s="9">
        <v>11</v>
      </c>
    </row>
    <row r="4126" spans="1:2" x14ac:dyDescent="0.35">
      <c r="A4126" s="91" t="s">
        <v>2696</v>
      </c>
      <c r="B4126" s="9">
        <v>5.6</v>
      </c>
    </row>
    <row r="4127" spans="1:2" x14ac:dyDescent="0.35">
      <c r="A4127" s="91" t="s">
        <v>5588</v>
      </c>
      <c r="B4127" s="9">
        <v>14</v>
      </c>
    </row>
    <row r="4128" spans="1:2" x14ac:dyDescent="0.35">
      <c r="A4128" s="91" t="s">
        <v>1975</v>
      </c>
      <c r="B4128" s="9">
        <v>10.5</v>
      </c>
    </row>
    <row r="4129" spans="1:2" x14ac:dyDescent="0.35">
      <c r="A4129" s="91" t="s">
        <v>2878</v>
      </c>
      <c r="B4129" s="9">
        <v>17.5</v>
      </c>
    </row>
    <row r="4130" spans="1:2" x14ac:dyDescent="0.35">
      <c r="A4130" s="91" t="s">
        <v>3187</v>
      </c>
      <c r="B4130" s="9">
        <v>7.5</v>
      </c>
    </row>
    <row r="4131" spans="1:2" x14ac:dyDescent="0.35">
      <c r="A4131" s="91" t="s">
        <v>3639</v>
      </c>
      <c r="B4131" s="9">
        <v>3.8</v>
      </c>
    </row>
    <row r="4132" spans="1:2" x14ac:dyDescent="0.35">
      <c r="A4132" s="91" t="s">
        <v>2697</v>
      </c>
      <c r="B4132" s="9">
        <v>14</v>
      </c>
    </row>
    <row r="4133" spans="1:2" x14ac:dyDescent="0.35">
      <c r="A4133" s="91" t="s">
        <v>5180</v>
      </c>
      <c r="B4133" s="9">
        <v>11.2</v>
      </c>
    </row>
    <row r="4134" spans="1:2" x14ac:dyDescent="0.35">
      <c r="A4134" s="91" t="s">
        <v>3852</v>
      </c>
      <c r="B4134" s="9">
        <v>14</v>
      </c>
    </row>
    <row r="4135" spans="1:2" x14ac:dyDescent="0.35">
      <c r="A4135" s="91" t="s">
        <v>4010</v>
      </c>
      <c r="B4135" s="9">
        <v>19</v>
      </c>
    </row>
    <row r="4136" spans="1:2" x14ac:dyDescent="0.35">
      <c r="A4136" s="91" t="s">
        <v>2935</v>
      </c>
      <c r="B4136" s="9">
        <v>12.5</v>
      </c>
    </row>
    <row r="4137" spans="1:2" x14ac:dyDescent="0.35">
      <c r="A4137" s="91" t="s">
        <v>1432</v>
      </c>
      <c r="B4137" s="9">
        <v>12.5</v>
      </c>
    </row>
    <row r="4138" spans="1:2" x14ac:dyDescent="0.35">
      <c r="A4138" s="91" t="s">
        <v>1804</v>
      </c>
      <c r="B4138" s="9">
        <v>19</v>
      </c>
    </row>
    <row r="4139" spans="1:2" x14ac:dyDescent="0.35">
      <c r="A4139" s="91" t="s">
        <v>2624</v>
      </c>
      <c r="B4139" s="9">
        <v>2.2000000000000002</v>
      </c>
    </row>
    <row r="4140" spans="1:2" x14ac:dyDescent="0.35">
      <c r="A4140" s="91" t="s">
        <v>507</v>
      </c>
      <c r="B4140" s="9">
        <v>14</v>
      </c>
    </row>
    <row r="4141" spans="1:2" x14ac:dyDescent="0.35">
      <c r="A4141" s="91" t="s">
        <v>2072</v>
      </c>
      <c r="B4141" s="9">
        <v>3.5</v>
      </c>
    </row>
    <row r="4142" spans="1:2" x14ac:dyDescent="0.35">
      <c r="A4142" s="91" t="s">
        <v>5569</v>
      </c>
      <c r="B4142" s="9">
        <v>14</v>
      </c>
    </row>
    <row r="4143" spans="1:2" x14ac:dyDescent="0.35">
      <c r="A4143" s="91" t="s">
        <v>5603</v>
      </c>
      <c r="B4143" s="9">
        <v>7.6</v>
      </c>
    </row>
    <row r="4144" spans="1:2" x14ac:dyDescent="0.35">
      <c r="A4144" s="91" t="s">
        <v>2800</v>
      </c>
      <c r="B4144" s="9">
        <v>8.8000000000000007</v>
      </c>
    </row>
    <row r="4145" spans="1:2" x14ac:dyDescent="0.35">
      <c r="A4145" s="91" t="s">
        <v>2367</v>
      </c>
      <c r="B4145" s="9">
        <v>11</v>
      </c>
    </row>
    <row r="4146" spans="1:2" x14ac:dyDescent="0.35">
      <c r="A4146" s="91" t="s">
        <v>5944</v>
      </c>
      <c r="B4146" s="9">
        <v>5.6</v>
      </c>
    </row>
    <row r="4147" spans="1:2" x14ac:dyDescent="0.35">
      <c r="A4147" s="91" t="s">
        <v>3360</v>
      </c>
      <c r="B4147" s="9">
        <v>3.8</v>
      </c>
    </row>
    <row r="4148" spans="1:2" x14ac:dyDescent="0.35">
      <c r="A4148" s="91" t="s">
        <v>3201</v>
      </c>
      <c r="B4148" s="9">
        <v>4.4000000000000004</v>
      </c>
    </row>
    <row r="4149" spans="1:2" x14ac:dyDescent="0.35">
      <c r="A4149" s="91" t="s">
        <v>3339</v>
      </c>
      <c r="B4149" s="9">
        <v>2.8</v>
      </c>
    </row>
    <row r="4150" spans="1:2" x14ac:dyDescent="0.35">
      <c r="A4150" s="91" t="s">
        <v>2320</v>
      </c>
      <c r="B4150" s="9">
        <v>10</v>
      </c>
    </row>
    <row r="4151" spans="1:2" x14ac:dyDescent="0.35">
      <c r="A4151" s="91" t="s">
        <v>224</v>
      </c>
      <c r="B4151" s="9">
        <v>8.3999999999999986</v>
      </c>
    </row>
    <row r="4152" spans="1:2" x14ac:dyDescent="0.35">
      <c r="A4152" s="91" t="s">
        <v>2425</v>
      </c>
      <c r="B4152" s="9">
        <v>8.3999999999999986</v>
      </c>
    </row>
    <row r="4153" spans="1:2" x14ac:dyDescent="0.35">
      <c r="A4153" s="91" t="s">
        <v>3406</v>
      </c>
      <c r="B4153" s="9">
        <v>6.6000000000000005</v>
      </c>
    </row>
    <row r="4154" spans="1:2" x14ac:dyDescent="0.35">
      <c r="A4154" s="91" t="s">
        <v>5794</v>
      </c>
      <c r="B4154" s="9">
        <v>17.5</v>
      </c>
    </row>
    <row r="4155" spans="1:2" x14ac:dyDescent="0.35">
      <c r="A4155" s="91" t="s">
        <v>3361</v>
      </c>
      <c r="B4155" s="9">
        <v>10.5</v>
      </c>
    </row>
    <row r="4156" spans="1:2" x14ac:dyDescent="0.35">
      <c r="A4156" s="91" t="s">
        <v>5478</v>
      </c>
      <c r="B4156" s="9">
        <v>2.5</v>
      </c>
    </row>
    <row r="4157" spans="1:2" x14ac:dyDescent="0.35">
      <c r="A4157" s="91" t="s">
        <v>2437</v>
      </c>
      <c r="B4157" s="9">
        <v>6.6000000000000005</v>
      </c>
    </row>
    <row r="4158" spans="1:2" x14ac:dyDescent="0.35">
      <c r="A4158" s="91" t="s">
        <v>3832</v>
      </c>
      <c r="B4158" s="9">
        <v>8.3999999999999986</v>
      </c>
    </row>
    <row r="4159" spans="1:2" x14ac:dyDescent="0.35">
      <c r="A4159" s="91" t="s">
        <v>5604</v>
      </c>
      <c r="B4159" s="9">
        <v>10</v>
      </c>
    </row>
    <row r="4160" spans="1:2" x14ac:dyDescent="0.35">
      <c r="A4160" s="91" t="s">
        <v>4293</v>
      </c>
      <c r="B4160" s="9">
        <v>8.3999999999999986</v>
      </c>
    </row>
    <row r="4161" spans="1:2" x14ac:dyDescent="0.35">
      <c r="A4161" s="91" t="s">
        <v>2159</v>
      </c>
      <c r="B4161" s="9">
        <v>10</v>
      </c>
    </row>
    <row r="4162" spans="1:2" x14ac:dyDescent="0.35">
      <c r="A4162" s="91" t="s">
        <v>5142</v>
      </c>
      <c r="B4162" s="9">
        <v>10.5</v>
      </c>
    </row>
    <row r="4163" spans="1:2" x14ac:dyDescent="0.35">
      <c r="A4163" s="91" t="s">
        <v>5401</v>
      </c>
      <c r="B4163" s="9">
        <v>14</v>
      </c>
    </row>
    <row r="4164" spans="1:2" x14ac:dyDescent="0.35">
      <c r="A4164" s="91" t="s">
        <v>4498</v>
      </c>
      <c r="B4164" s="9">
        <v>12.5</v>
      </c>
    </row>
    <row r="4165" spans="1:2" x14ac:dyDescent="0.35">
      <c r="A4165" s="91" t="s">
        <v>1739</v>
      </c>
      <c r="B4165" s="9">
        <v>10.5</v>
      </c>
    </row>
    <row r="4166" spans="1:2" x14ac:dyDescent="0.35">
      <c r="A4166" s="91" t="s">
        <v>5662</v>
      </c>
      <c r="B4166" s="9">
        <v>8.8000000000000007</v>
      </c>
    </row>
    <row r="4167" spans="1:2" x14ac:dyDescent="0.35">
      <c r="A4167" s="91" t="s">
        <v>2264</v>
      </c>
      <c r="B4167" s="9">
        <v>15.2</v>
      </c>
    </row>
    <row r="4168" spans="1:2" x14ac:dyDescent="0.35">
      <c r="A4168" s="91" t="s">
        <v>1158</v>
      </c>
      <c r="B4168" s="9">
        <v>2.5</v>
      </c>
    </row>
    <row r="4169" spans="1:2" x14ac:dyDescent="0.35">
      <c r="A4169" s="91" t="s">
        <v>4579</v>
      </c>
      <c r="B4169" s="9">
        <v>7</v>
      </c>
    </row>
    <row r="4170" spans="1:2" x14ac:dyDescent="0.35">
      <c r="A4170" s="91" t="s">
        <v>4790</v>
      </c>
      <c r="B4170" s="9">
        <v>3.8</v>
      </c>
    </row>
    <row r="4171" spans="1:2" x14ac:dyDescent="0.35">
      <c r="A4171" s="91" t="s">
        <v>3928</v>
      </c>
      <c r="B4171" s="9">
        <v>14</v>
      </c>
    </row>
    <row r="4172" spans="1:2" x14ac:dyDescent="0.35">
      <c r="A4172" s="91" t="s">
        <v>2625</v>
      </c>
      <c r="B4172" s="9">
        <v>10</v>
      </c>
    </row>
    <row r="4173" spans="1:2" x14ac:dyDescent="0.35">
      <c r="A4173" s="91" t="s">
        <v>5860</v>
      </c>
      <c r="B4173" s="9">
        <v>7</v>
      </c>
    </row>
    <row r="4174" spans="1:2" x14ac:dyDescent="0.35">
      <c r="A4174" s="91" t="s">
        <v>4399</v>
      </c>
      <c r="B4174" s="9">
        <v>2.8</v>
      </c>
    </row>
    <row r="4175" spans="1:2" x14ac:dyDescent="0.35">
      <c r="A4175" s="91" t="s">
        <v>1822</v>
      </c>
      <c r="B4175" s="9">
        <v>2.5</v>
      </c>
    </row>
    <row r="4176" spans="1:2" x14ac:dyDescent="0.35">
      <c r="A4176" s="91" t="s">
        <v>311</v>
      </c>
      <c r="B4176" s="9">
        <v>2.2000000000000002</v>
      </c>
    </row>
    <row r="4177" spans="1:2" x14ac:dyDescent="0.35">
      <c r="A4177" s="91" t="s">
        <v>5203</v>
      </c>
      <c r="B4177" s="9">
        <v>11.399999999999999</v>
      </c>
    </row>
    <row r="4178" spans="1:2" x14ac:dyDescent="0.35">
      <c r="A4178" s="91" t="s">
        <v>4150</v>
      </c>
      <c r="B4178" s="9">
        <v>5</v>
      </c>
    </row>
    <row r="4179" spans="1:2" x14ac:dyDescent="0.35">
      <c r="A4179" s="91" t="s">
        <v>1499</v>
      </c>
      <c r="B4179" s="9">
        <v>11</v>
      </c>
    </row>
    <row r="4180" spans="1:2" x14ac:dyDescent="0.35">
      <c r="A4180" s="91" t="s">
        <v>3113</v>
      </c>
      <c r="B4180" s="9">
        <v>3.8</v>
      </c>
    </row>
    <row r="4181" spans="1:2" x14ac:dyDescent="0.35">
      <c r="A4181" s="91" t="s">
        <v>1805</v>
      </c>
      <c r="B4181" s="9">
        <v>15.2</v>
      </c>
    </row>
    <row r="4182" spans="1:2" x14ac:dyDescent="0.35">
      <c r="A4182" s="91" t="s">
        <v>4424</v>
      </c>
      <c r="B4182" s="9">
        <v>10</v>
      </c>
    </row>
    <row r="4183" spans="1:2" x14ac:dyDescent="0.35">
      <c r="A4183" s="91" t="s">
        <v>2265</v>
      </c>
      <c r="B4183" s="9">
        <v>14</v>
      </c>
    </row>
    <row r="4184" spans="1:2" x14ac:dyDescent="0.35">
      <c r="A4184" s="91" t="s">
        <v>2505</v>
      </c>
      <c r="B4184" s="9">
        <v>19</v>
      </c>
    </row>
    <row r="4185" spans="1:2" x14ac:dyDescent="0.35">
      <c r="A4185" s="91" t="s">
        <v>5115</v>
      </c>
      <c r="B4185" s="9">
        <v>8.3999999999999986</v>
      </c>
    </row>
    <row r="4186" spans="1:2" x14ac:dyDescent="0.35">
      <c r="A4186" s="91" t="s">
        <v>5441</v>
      </c>
      <c r="B4186" s="9">
        <v>5.6</v>
      </c>
    </row>
    <row r="4187" spans="1:2" x14ac:dyDescent="0.35">
      <c r="A4187" s="91" t="s">
        <v>4850</v>
      </c>
      <c r="B4187" s="9">
        <v>17.5</v>
      </c>
    </row>
    <row r="4188" spans="1:2" x14ac:dyDescent="0.35">
      <c r="A4188" s="91" t="s">
        <v>5467</v>
      </c>
      <c r="B4188" s="9">
        <v>14</v>
      </c>
    </row>
    <row r="4189" spans="1:2" x14ac:dyDescent="0.35">
      <c r="A4189" s="91" t="s">
        <v>3235</v>
      </c>
      <c r="B4189" s="9">
        <v>14</v>
      </c>
    </row>
    <row r="4190" spans="1:2" x14ac:dyDescent="0.35">
      <c r="A4190" s="91" t="s">
        <v>2801</v>
      </c>
      <c r="B4190" s="9">
        <v>6.6000000000000005</v>
      </c>
    </row>
    <row r="4191" spans="1:2" x14ac:dyDescent="0.35">
      <c r="A4191" s="91" t="s">
        <v>5248</v>
      </c>
      <c r="B4191" s="9">
        <v>2.2000000000000002</v>
      </c>
    </row>
    <row r="4192" spans="1:2" x14ac:dyDescent="0.35">
      <c r="A4192" s="91" t="s">
        <v>4813</v>
      </c>
      <c r="B4192" s="9">
        <v>4.4000000000000004</v>
      </c>
    </row>
    <row r="4193" spans="1:2" x14ac:dyDescent="0.35">
      <c r="A4193" s="91" t="s">
        <v>5589</v>
      </c>
      <c r="B4193" s="9">
        <v>11</v>
      </c>
    </row>
    <row r="4194" spans="1:2" x14ac:dyDescent="0.35">
      <c r="A4194" s="91" t="s">
        <v>4580</v>
      </c>
      <c r="B4194" s="9">
        <v>7.5</v>
      </c>
    </row>
    <row r="4195" spans="1:2" x14ac:dyDescent="0.35">
      <c r="A4195" s="91" t="s">
        <v>2820</v>
      </c>
      <c r="B4195" s="9">
        <v>7.5</v>
      </c>
    </row>
    <row r="4196" spans="1:2" x14ac:dyDescent="0.35">
      <c r="A4196" s="91" t="s">
        <v>3572</v>
      </c>
      <c r="B4196" s="9">
        <v>11</v>
      </c>
    </row>
    <row r="4197" spans="1:2" x14ac:dyDescent="0.35">
      <c r="A4197" s="91" t="s">
        <v>2507</v>
      </c>
      <c r="B4197" s="9">
        <v>7</v>
      </c>
    </row>
    <row r="4198" spans="1:2" x14ac:dyDescent="0.35">
      <c r="A4198" s="91" t="s">
        <v>1937</v>
      </c>
      <c r="B4198" s="9">
        <v>11.399999999999999</v>
      </c>
    </row>
    <row r="4199" spans="1:2" x14ac:dyDescent="0.35">
      <c r="A4199" s="91" t="s">
        <v>3220</v>
      </c>
      <c r="B4199" s="9">
        <v>14</v>
      </c>
    </row>
    <row r="4200" spans="1:2" x14ac:dyDescent="0.35">
      <c r="A4200" s="91" t="s">
        <v>919</v>
      </c>
      <c r="B4200" s="9">
        <v>19</v>
      </c>
    </row>
    <row r="4201" spans="1:2" x14ac:dyDescent="0.35">
      <c r="A4201" s="91" t="s">
        <v>2384</v>
      </c>
      <c r="B4201" s="9">
        <v>6.6000000000000005</v>
      </c>
    </row>
    <row r="4202" spans="1:2" x14ac:dyDescent="0.35">
      <c r="A4202" s="91" t="s">
        <v>4206</v>
      </c>
      <c r="B4202" s="9">
        <v>5</v>
      </c>
    </row>
    <row r="4203" spans="1:2" x14ac:dyDescent="0.35">
      <c r="A4203" s="91" t="s">
        <v>1266</v>
      </c>
      <c r="B4203" s="9">
        <v>15.2</v>
      </c>
    </row>
    <row r="4204" spans="1:2" x14ac:dyDescent="0.35">
      <c r="A4204" s="91" t="s">
        <v>2189</v>
      </c>
      <c r="B4204" s="9">
        <v>5.6</v>
      </c>
    </row>
    <row r="4205" spans="1:2" x14ac:dyDescent="0.35">
      <c r="A4205" s="91" t="s">
        <v>3675</v>
      </c>
      <c r="B4205" s="9">
        <v>5.6</v>
      </c>
    </row>
    <row r="4206" spans="1:2" x14ac:dyDescent="0.35">
      <c r="A4206" s="91" t="s">
        <v>4942</v>
      </c>
      <c r="B4206" s="9">
        <v>3.8</v>
      </c>
    </row>
    <row r="4207" spans="1:2" x14ac:dyDescent="0.35">
      <c r="A4207" s="91" t="s">
        <v>1686</v>
      </c>
      <c r="B4207" s="9">
        <v>5.6</v>
      </c>
    </row>
    <row r="4208" spans="1:2" x14ac:dyDescent="0.35">
      <c r="A4208" s="91" t="s">
        <v>3023</v>
      </c>
      <c r="B4208" s="9">
        <v>11.399999999999999</v>
      </c>
    </row>
    <row r="4209" spans="1:2" x14ac:dyDescent="0.35">
      <c r="A4209" s="91" t="s">
        <v>3202</v>
      </c>
      <c r="B4209" s="9">
        <v>14</v>
      </c>
    </row>
    <row r="4210" spans="1:2" x14ac:dyDescent="0.35">
      <c r="A4210" s="91" t="s">
        <v>1450</v>
      </c>
      <c r="B4210" s="9">
        <v>8.8000000000000007</v>
      </c>
    </row>
    <row r="4211" spans="1:2" x14ac:dyDescent="0.35">
      <c r="A4211" s="91" t="s">
        <v>935</v>
      </c>
      <c r="B4211" s="9">
        <v>7.5</v>
      </c>
    </row>
    <row r="4212" spans="1:2" x14ac:dyDescent="0.35">
      <c r="A4212" s="91" t="s">
        <v>1335</v>
      </c>
      <c r="B4212" s="9">
        <v>14</v>
      </c>
    </row>
    <row r="4213" spans="1:2" x14ac:dyDescent="0.35">
      <c r="A4213" s="91" t="s">
        <v>4294</v>
      </c>
      <c r="B4213" s="9">
        <v>3.5</v>
      </c>
    </row>
    <row r="4214" spans="1:2" x14ac:dyDescent="0.35">
      <c r="A4214" s="91" t="s">
        <v>447</v>
      </c>
      <c r="B4214" s="9">
        <v>15.2</v>
      </c>
    </row>
    <row r="4215" spans="1:2" x14ac:dyDescent="0.35">
      <c r="A4215" s="91" t="s">
        <v>2851</v>
      </c>
      <c r="B4215" s="9">
        <v>6.6000000000000005</v>
      </c>
    </row>
    <row r="4216" spans="1:2" x14ac:dyDescent="0.35">
      <c r="A4216" s="91" t="s">
        <v>1875</v>
      </c>
      <c r="B4216" s="9">
        <v>19</v>
      </c>
    </row>
    <row r="4217" spans="1:2" x14ac:dyDescent="0.35">
      <c r="A4217" s="91" t="s">
        <v>2679</v>
      </c>
      <c r="B4217" s="9">
        <v>8.3999999999999986</v>
      </c>
    </row>
    <row r="4218" spans="1:2" x14ac:dyDescent="0.35">
      <c r="A4218" s="91" t="s">
        <v>2698</v>
      </c>
      <c r="B4218" s="9">
        <v>12.5</v>
      </c>
    </row>
    <row r="4219" spans="1:2" x14ac:dyDescent="0.35">
      <c r="A4219" s="91" t="s">
        <v>5964</v>
      </c>
      <c r="B4219" s="9">
        <v>5</v>
      </c>
    </row>
    <row r="4220" spans="1:2" x14ac:dyDescent="0.35">
      <c r="A4220" s="91" t="s">
        <v>5442</v>
      </c>
      <c r="B4220" s="9">
        <v>17.5</v>
      </c>
    </row>
    <row r="4221" spans="1:2" x14ac:dyDescent="0.35">
      <c r="A4221" s="91" t="s">
        <v>5803</v>
      </c>
      <c r="B4221" s="9">
        <v>5.6</v>
      </c>
    </row>
    <row r="4222" spans="1:2" x14ac:dyDescent="0.35">
      <c r="A4222" s="91" t="s">
        <v>3951</v>
      </c>
      <c r="B4222" s="9">
        <v>15.2</v>
      </c>
    </row>
    <row r="4223" spans="1:2" x14ac:dyDescent="0.35">
      <c r="A4223" s="91" t="s">
        <v>4615</v>
      </c>
      <c r="B4223" s="9">
        <v>8.8000000000000007</v>
      </c>
    </row>
    <row r="4224" spans="1:2" x14ac:dyDescent="0.35">
      <c r="A4224" s="91" t="s">
        <v>3861</v>
      </c>
      <c r="B4224" s="9">
        <v>7.5</v>
      </c>
    </row>
    <row r="4225" spans="1:2" x14ac:dyDescent="0.35">
      <c r="A4225" s="91" t="s">
        <v>3833</v>
      </c>
      <c r="B4225" s="9">
        <v>5.6</v>
      </c>
    </row>
    <row r="4226" spans="1:2" x14ac:dyDescent="0.35">
      <c r="A4226" s="91" t="s">
        <v>5663</v>
      </c>
      <c r="B4226" s="9">
        <v>15.2</v>
      </c>
    </row>
    <row r="4227" spans="1:2" x14ac:dyDescent="0.35">
      <c r="A4227" s="91" t="s">
        <v>4581</v>
      </c>
      <c r="B4227" s="9">
        <v>7</v>
      </c>
    </row>
    <row r="4228" spans="1:2" x14ac:dyDescent="0.35">
      <c r="A4228" s="91" t="s">
        <v>424</v>
      </c>
      <c r="B4228" s="9">
        <v>10.5</v>
      </c>
    </row>
    <row r="4229" spans="1:2" x14ac:dyDescent="0.35">
      <c r="A4229" s="91" t="s">
        <v>3640</v>
      </c>
      <c r="B4229" s="9">
        <v>8.3999999999999986</v>
      </c>
    </row>
    <row r="4230" spans="1:2" x14ac:dyDescent="0.35">
      <c r="A4230" s="91" t="s">
        <v>4350</v>
      </c>
      <c r="B4230" s="9">
        <v>5</v>
      </c>
    </row>
    <row r="4231" spans="1:2" x14ac:dyDescent="0.35">
      <c r="A4231" s="91" t="s">
        <v>2244</v>
      </c>
      <c r="B4231" s="9">
        <v>5</v>
      </c>
    </row>
    <row r="4232" spans="1:2" x14ac:dyDescent="0.35">
      <c r="A4232" s="91" t="s">
        <v>3649</v>
      </c>
      <c r="B4232" s="9">
        <v>10</v>
      </c>
    </row>
    <row r="4233" spans="1:2" x14ac:dyDescent="0.35">
      <c r="A4233" s="91" t="s">
        <v>5717</v>
      </c>
      <c r="B4233" s="9">
        <v>3.5</v>
      </c>
    </row>
    <row r="4234" spans="1:2" x14ac:dyDescent="0.35">
      <c r="A4234" s="91" t="s">
        <v>5780</v>
      </c>
      <c r="B4234" s="9">
        <v>6.6000000000000005</v>
      </c>
    </row>
    <row r="4235" spans="1:2" x14ac:dyDescent="0.35">
      <c r="A4235" s="91" t="s">
        <v>3203</v>
      </c>
      <c r="B4235" s="9">
        <v>14</v>
      </c>
    </row>
    <row r="4236" spans="1:2" x14ac:dyDescent="0.35">
      <c r="A4236" s="91" t="s">
        <v>3087</v>
      </c>
      <c r="B4236" s="9">
        <v>8.8000000000000007</v>
      </c>
    </row>
    <row r="4237" spans="1:2" x14ac:dyDescent="0.35">
      <c r="A4237" s="91" t="s">
        <v>4482</v>
      </c>
      <c r="B4237" s="9">
        <v>10.5</v>
      </c>
    </row>
    <row r="4238" spans="1:2" x14ac:dyDescent="0.35">
      <c r="A4238" s="91" t="s">
        <v>3407</v>
      </c>
      <c r="B4238" s="9">
        <v>4.4000000000000004</v>
      </c>
    </row>
    <row r="4239" spans="1:2" x14ac:dyDescent="0.35">
      <c r="A4239" s="91" t="s">
        <v>3704</v>
      </c>
      <c r="B4239" s="9">
        <v>7</v>
      </c>
    </row>
    <row r="4240" spans="1:2" x14ac:dyDescent="0.35">
      <c r="A4240" s="91" t="s">
        <v>4250</v>
      </c>
      <c r="B4240" s="9">
        <v>11.399999999999999</v>
      </c>
    </row>
    <row r="4241" spans="1:2" x14ac:dyDescent="0.35">
      <c r="A4241" s="91" t="s">
        <v>3853</v>
      </c>
      <c r="B4241" s="9">
        <v>2.2000000000000002</v>
      </c>
    </row>
    <row r="4242" spans="1:2" x14ac:dyDescent="0.35">
      <c r="A4242" s="91" t="s">
        <v>3204</v>
      </c>
      <c r="B4242" s="9">
        <v>19</v>
      </c>
    </row>
    <row r="4243" spans="1:2" x14ac:dyDescent="0.35">
      <c r="A4243" s="91" t="s">
        <v>4582</v>
      </c>
      <c r="B4243" s="9">
        <v>7.5</v>
      </c>
    </row>
    <row r="4244" spans="1:2" x14ac:dyDescent="0.35">
      <c r="A4244" s="91" t="s">
        <v>720</v>
      </c>
      <c r="B4244" s="9">
        <v>8.8000000000000007</v>
      </c>
    </row>
    <row r="4245" spans="1:2" x14ac:dyDescent="0.35">
      <c r="A4245" s="91" t="s">
        <v>3377</v>
      </c>
      <c r="B4245" s="9">
        <v>2.5</v>
      </c>
    </row>
    <row r="4246" spans="1:2" x14ac:dyDescent="0.35">
      <c r="A4246" s="91" t="s">
        <v>4512</v>
      </c>
      <c r="B4246" s="9">
        <v>14</v>
      </c>
    </row>
    <row r="4247" spans="1:2" x14ac:dyDescent="0.35">
      <c r="A4247" s="91" t="s">
        <v>2350</v>
      </c>
      <c r="B4247" s="9">
        <v>5.6</v>
      </c>
    </row>
    <row r="4248" spans="1:2" x14ac:dyDescent="0.35">
      <c r="A4248" s="91" t="s">
        <v>2699</v>
      </c>
      <c r="B4248" s="9">
        <v>7.5</v>
      </c>
    </row>
    <row r="4249" spans="1:2" x14ac:dyDescent="0.35">
      <c r="A4249" s="91" t="s">
        <v>1956</v>
      </c>
      <c r="B4249" s="9">
        <v>5</v>
      </c>
    </row>
    <row r="4250" spans="1:2" x14ac:dyDescent="0.35">
      <c r="A4250" s="91" t="s">
        <v>1998</v>
      </c>
      <c r="B4250" s="9">
        <v>11.399999999999999</v>
      </c>
    </row>
    <row r="4251" spans="1:2" x14ac:dyDescent="0.35">
      <c r="A4251" s="91" t="s">
        <v>4201</v>
      </c>
      <c r="B4251" s="9">
        <v>7.6</v>
      </c>
    </row>
    <row r="4252" spans="1:2" x14ac:dyDescent="0.35">
      <c r="A4252" s="91" t="s">
        <v>5493</v>
      </c>
      <c r="B4252" s="9">
        <v>6.6000000000000005</v>
      </c>
    </row>
    <row r="4253" spans="1:2" x14ac:dyDescent="0.35">
      <c r="A4253" s="91" t="s">
        <v>5847</v>
      </c>
      <c r="B4253" s="9">
        <v>11</v>
      </c>
    </row>
    <row r="4254" spans="1:2" x14ac:dyDescent="0.35">
      <c r="A4254" s="91" t="s">
        <v>3037</v>
      </c>
      <c r="B4254" s="9">
        <v>11.2</v>
      </c>
    </row>
    <row r="4255" spans="1:2" x14ac:dyDescent="0.35">
      <c r="A4255" s="91" t="s">
        <v>5917</v>
      </c>
      <c r="B4255" s="9">
        <v>11.399999999999999</v>
      </c>
    </row>
    <row r="4256" spans="1:2" x14ac:dyDescent="0.35">
      <c r="A4256" s="91" t="s">
        <v>4473</v>
      </c>
      <c r="B4256" s="9">
        <v>12.5</v>
      </c>
    </row>
    <row r="4257" spans="1:2" x14ac:dyDescent="0.35">
      <c r="A4257" s="91" t="s">
        <v>3188</v>
      </c>
      <c r="B4257" s="9">
        <v>11.2</v>
      </c>
    </row>
    <row r="4258" spans="1:2" x14ac:dyDescent="0.35">
      <c r="A4258" s="91" t="s">
        <v>5286</v>
      </c>
      <c r="B4258" s="9">
        <v>8.8000000000000007</v>
      </c>
    </row>
    <row r="4259" spans="1:2" x14ac:dyDescent="0.35">
      <c r="A4259" s="91" t="s">
        <v>4336</v>
      </c>
      <c r="B4259" s="9">
        <v>8.3999999999999986</v>
      </c>
    </row>
    <row r="4260" spans="1:2" x14ac:dyDescent="0.35">
      <c r="A4260" s="91" t="s">
        <v>2073</v>
      </c>
      <c r="B4260" s="9">
        <v>14</v>
      </c>
    </row>
    <row r="4261" spans="1:2" x14ac:dyDescent="0.35">
      <c r="A4261" s="91" t="s">
        <v>1089</v>
      </c>
      <c r="B4261" s="9">
        <v>2.2000000000000002</v>
      </c>
    </row>
    <row r="4262" spans="1:2" x14ac:dyDescent="0.35">
      <c r="A4262" s="91" t="s">
        <v>3088</v>
      </c>
      <c r="B4262" s="9">
        <v>8.3999999999999986</v>
      </c>
    </row>
    <row r="4263" spans="1:2" x14ac:dyDescent="0.35">
      <c r="A4263" s="91" t="s">
        <v>1500</v>
      </c>
      <c r="B4263" s="9">
        <v>7.6</v>
      </c>
    </row>
    <row r="4264" spans="1:2" x14ac:dyDescent="0.35">
      <c r="A4264" s="91" t="s">
        <v>4372</v>
      </c>
      <c r="B4264" s="9">
        <v>2.5</v>
      </c>
    </row>
    <row r="4265" spans="1:2" x14ac:dyDescent="0.35">
      <c r="A4265" s="91" t="s">
        <v>3584</v>
      </c>
      <c r="B4265" s="9">
        <v>7.6</v>
      </c>
    </row>
    <row r="4266" spans="1:2" x14ac:dyDescent="0.35">
      <c r="A4266" s="91" t="s">
        <v>5084</v>
      </c>
      <c r="B4266" s="9">
        <v>10.5</v>
      </c>
    </row>
    <row r="4267" spans="1:2" x14ac:dyDescent="0.35">
      <c r="A4267" s="91" t="s">
        <v>2351</v>
      </c>
      <c r="B4267" s="9">
        <v>10</v>
      </c>
    </row>
    <row r="4268" spans="1:2" x14ac:dyDescent="0.35">
      <c r="A4268" s="91" t="s">
        <v>2775</v>
      </c>
      <c r="B4268" s="9">
        <v>7.6</v>
      </c>
    </row>
    <row r="4269" spans="1:2" x14ac:dyDescent="0.35">
      <c r="A4269" s="91" t="s">
        <v>449</v>
      </c>
      <c r="B4269" s="9">
        <v>2.2000000000000002</v>
      </c>
    </row>
    <row r="4270" spans="1:2" x14ac:dyDescent="0.35">
      <c r="A4270" s="91" t="s">
        <v>5990</v>
      </c>
      <c r="B4270" s="9">
        <v>14</v>
      </c>
    </row>
    <row r="4271" spans="1:2" x14ac:dyDescent="0.35">
      <c r="A4271" s="91" t="s">
        <v>3189</v>
      </c>
      <c r="B4271" s="9">
        <v>2.2000000000000002</v>
      </c>
    </row>
    <row r="4272" spans="1:2" x14ac:dyDescent="0.35">
      <c r="A4272" s="91" t="s">
        <v>2508</v>
      </c>
      <c r="B4272" s="9">
        <v>3.5</v>
      </c>
    </row>
    <row r="4273" spans="1:2" x14ac:dyDescent="0.35">
      <c r="A4273" s="91" t="s">
        <v>4251</v>
      </c>
      <c r="B4273" s="9">
        <v>12.5</v>
      </c>
    </row>
    <row r="4274" spans="1:2" x14ac:dyDescent="0.35">
      <c r="A4274" s="91" t="s">
        <v>3439</v>
      </c>
      <c r="B4274" s="9">
        <v>2.2000000000000002</v>
      </c>
    </row>
    <row r="4275" spans="1:2" x14ac:dyDescent="0.35">
      <c r="A4275" s="91" t="s">
        <v>4627</v>
      </c>
      <c r="B4275" s="9">
        <v>7</v>
      </c>
    </row>
    <row r="4276" spans="1:2" x14ac:dyDescent="0.35">
      <c r="A4276" s="91" t="s">
        <v>4675</v>
      </c>
      <c r="B4276" s="9">
        <v>14</v>
      </c>
    </row>
    <row r="4277" spans="1:2" x14ac:dyDescent="0.35">
      <c r="A4277" s="91" t="s">
        <v>3854</v>
      </c>
      <c r="B4277" s="9">
        <v>7.6</v>
      </c>
    </row>
    <row r="4278" spans="1:2" x14ac:dyDescent="0.35">
      <c r="A4278" s="91" t="s">
        <v>4989</v>
      </c>
      <c r="B4278" s="9">
        <v>8.3999999999999986</v>
      </c>
    </row>
    <row r="4279" spans="1:2" x14ac:dyDescent="0.35">
      <c r="A4279" s="91" t="s">
        <v>4975</v>
      </c>
      <c r="B4279" s="9">
        <v>4.4000000000000004</v>
      </c>
    </row>
    <row r="4280" spans="1:2" x14ac:dyDescent="0.35">
      <c r="A4280" s="91" t="s">
        <v>593</v>
      </c>
      <c r="B4280" s="9">
        <v>11</v>
      </c>
    </row>
    <row r="4281" spans="1:2" x14ac:dyDescent="0.35">
      <c r="A4281" s="91" t="s">
        <v>1369</v>
      </c>
      <c r="B4281" s="9">
        <v>2.5</v>
      </c>
    </row>
    <row r="4282" spans="1:2" x14ac:dyDescent="0.35">
      <c r="A4282" s="91" t="s">
        <v>5126</v>
      </c>
      <c r="B4282" s="9">
        <v>14</v>
      </c>
    </row>
    <row r="4283" spans="1:2" x14ac:dyDescent="0.35">
      <c r="A4283" s="91" t="s">
        <v>2879</v>
      </c>
      <c r="B4283" s="9">
        <v>7.5</v>
      </c>
    </row>
    <row r="4284" spans="1:2" x14ac:dyDescent="0.35">
      <c r="A4284" s="91" t="s">
        <v>4122</v>
      </c>
      <c r="B4284" s="9">
        <v>5.6</v>
      </c>
    </row>
    <row r="4285" spans="1:2" x14ac:dyDescent="0.35">
      <c r="A4285" s="91" t="s">
        <v>3890</v>
      </c>
      <c r="B4285" s="9">
        <v>8.3999999999999986</v>
      </c>
    </row>
    <row r="4286" spans="1:2" x14ac:dyDescent="0.35">
      <c r="A4286" s="91" t="s">
        <v>1001</v>
      </c>
      <c r="B4286" s="9">
        <v>5</v>
      </c>
    </row>
    <row r="4287" spans="1:2" x14ac:dyDescent="0.35">
      <c r="A4287" s="91" t="s">
        <v>1066</v>
      </c>
      <c r="B4287" s="9">
        <v>8.8000000000000007</v>
      </c>
    </row>
    <row r="4288" spans="1:2" x14ac:dyDescent="0.35">
      <c r="A4288" s="91" t="s">
        <v>5329</v>
      </c>
      <c r="B4288" s="9">
        <v>11.399999999999999</v>
      </c>
    </row>
    <row r="4289" spans="1:2" x14ac:dyDescent="0.35">
      <c r="A4289" s="91" t="s">
        <v>1583</v>
      </c>
      <c r="B4289" s="9">
        <v>4.4000000000000004</v>
      </c>
    </row>
    <row r="4290" spans="1:2" x14ac:dyDescent="0.35">
      <c r="A4290" s="91" t="s">
        <v>5025</v>
      </c>
      <c r="B4290" s="9">
        <v>17.5</v>
      </c>
    </row>
    <row r="4291" spans="1:2" x14ac:dyDescent="0.35">
      <c r="A4291" s="91" t="s">
        <v>1184</v>
      </c>
      <c r="B4291" s="9">
        <v>11</v>
      </c>
    </row>
    <row r="4292" spans="1:2" x14ac:dyDescent="0.35">
      <c r="A4292" s="91" t="s">
        <v>2353</v>
      </c>
      <c r="B4292" s="9">
        <v>8.8000000000000007</v>
      </c>
    </row>
    <row r="4293" spans="1:2" x14ac:dyDescent="0.35">
      <c r="A4293" s="91" t="s">
        <v>168</v>
      </c>
      <c r="B4293" s="9">
        <v>7.5</v>
      </c>
    </row>
    <row r="4294" spans="1:2" x14ac:dyDescent="0.35">
      <c r="A4294" s="91" t="s">
        <v>141</v>
      </c>
      <c r="B4294" s="9">
        <v>15.2</v>
      </c>
    </row>
    <row r="4295" spans="1:2" x14ac:dyDescent="0.35">
      <c r="A4295" s="91" t="s">
        <v>5059</v>
      </c>
      <c r="B4295" s="9">
        <v>19</v>
      </c>
    </row>
    <row r="4296" spans="1:2" x14ac:dyDescent="0.35">
      <c r="A4296" s="91" t="s">
        <v>3834</v>
      </c>
      <c r="B4296" s="9">
        <v>19</v>
      </c>
    </row>
    <row r="4297" spans="1:2" x14ac:dyDescent="0.35">
      <c r="A4297" s="91" t="s">
        <v>2291</v>
      </c>
      <c r="B4297" s="9">
        <v>14</v>
      </c>
    </row>
    <row r="4298" spans="1:2" x14ac:dyDescent="0.35">
      <c r="A4298" s="91" t="s">
        <v>226</v>
      </c>
      <c r="B4298" s="9">
        <v>2.2000000000000002</v>
      </c>
    </row>
    <row r="4299" spans="1:2" x14ac:dyDescent="0.35">
      <c r="A4299" s="91" t="s">
        <v>1740</v>
      </c>
      <c r="B4299" s="9">
        <v>2.8</v>
      </c>
    </row>
    <row r="4300" spans="1:2" x14ac:dyDescent="0.35">
      <c r="A4300" s="91" t="s">
        <v>3115</v>
      </c>
      <c r="B4300" s="9">
        <v>2.8</v>
      </c>
    </row>
    <row r="4301" spans="1:2" x14ac:dyDescent="0.35">
      <c r="A4301" s="91" t="s">
        <v>2963</v>
      </c>
      <c r="B4301" s="9">
        <v>3.8</v>
      </c>
    </row>
    <row r="4302" spans="1:2" x14ac:dyDescent="0.35">
      <c r="A4302" s="91" t="s">
        <v>3205</v>
      </c>
      <c r="B4302" s="9">
        <v>8.3999999999999986</v>
      </c>
    </row>
    <row r="4303" spans="1:2" x14ac:dyDescent="0.35">
      <c r="A4303" s="91" t="s">
        <v>2965</v>
      </c>
      <c r="B4303" s="9">
        <v>11.2</v>
      </c>
    </row>
    <row r="4304" spans="1:2" x14ac:dyDescent="0.35">
      <c r="A4304" s="91" t="s">
        <v>4555</v>
      </c>
      <c r="B4304" s="9">
        <v>15.2</v>
      </c>
    </row>
    <row r="4305" spans="1:2" x14ac:dyDescent="0.35">
      <c r="A4305" s="91" t="s">
        <v>2591</v>
      </c>
      <c r="B4305" s="9">
        <v>19</v>
      </c>
    </row>
    <row r="4306" spans="1:2" x14ac:dyDescent="0.35">
      <c r="A4306" s="91" t="s">
        <v>1159</v>
      </c>
      <c r="B4306" s="9">
        <v>11</v>
      </c>
    </row>
    <row r="4307" spans="1:2" x14ac:dyDescent="0.35">
      <c r="A4307" s="91" t="s">
        <v>566</v>
      </c>
      <c r="B4307" s="9">
        <v>5</v>
      </c>
    </row>
    <row r="4308" spans="1:2" x14ac:dyDescent="0.35">
      <c r="A4308" s="91" t="s">
        <v>3641</v>
      </c>
      <c r="B4308" s="9">
        <v>12.5</v>
      </c>
    </row>
    <row r="4309" spans="1:2" x14ac:dyDescent="0.35">
      <c r="A4309" s="91" t="s">
        <v>902</v>
      </c>
      <c r="B4309" s="9">
        <v>4.4000000000000004</v>
      </c>
    </row>
    <row r="4310" spans="1:2" x14ac:dyDescent="0.35">
      <c r="A4310" s="91" t="s">
        <v>3103</v>
      </c>
      <c r="B4310" s="9">
        <v>7.5</v>
      </c>
    </row>
    <row r="4311" spans="1:2" x14ac:dyDescent="0.35">
      <c r="A4311" s="91" t="s">
        <v>5570</v>
      </c>
      <c r="B4311" s="9">
        <v>7</v>
      </c>
    </row>
    <row r="4312" spans="1:2" x14ac:dyDescent="0.35">
      <c r="A4312" s="91" t="s">
        <v>4917</v>
      </c>
      <c r="B4312" s="9">
        <v>4.4000000000000004</v>
      </c>
    </row>
    <row r="4313" spans="1:2" x14ac:dyDescent="0.35">
      <c r="A4313" s="91" t="s">
        <v>1889</v>
      </c>
      <c r="B4313" s="9">
        <v>5</v>
      </c>
    </row>
    <row r="4314" spans="1:2" x14ac:dyDescent="0.35">
      <c r="A4314" s="91" t="s">
        <v>143</v>
      </c>
      <c r="B4314" s="9">
        <v>10</v>
      </c>
    </row>
    <row r="4315" spans="1:2" x14ac:dyDescent="0.35">
      <c r="A4315" s="91" t="s">
        <v>3408</v>
      </c>
      <c r="B4315" s="9">
        <v>14</v>
      </c>
    </row>
    <row r="4316" spans="1:2" x14ac:dyDescent="0.35">
      <c r="A4316" s="91" t="s">
        <v>2074</v>
      </c>
      <c r="B4316" s="9">
        <v>11</v>
      </c>
    </row>
    <row r="4317" spans="1:2" x14ac:dyDescent="0.35">
      <c r="A4317" s="91" t="s">
        <v>377</v>
      </c>
      <c r="B4317" s="9">
        <v>7.6</v>
      </c>
    </row>
    <row r="4318" spans="1:2" x14ac:dyDescent="0.35">
      <c r="A4318" s="91" t="s">
        <v>1823</v>
      </c>
      <c r="B4318" s="9">
        <v>17.5</v>
      </c>
    </row>
    <row r="4319" spans="1:2" x14ac:dyDescent="0.35">
      <c r="A4319" s="91" t="s">
        <v>145</v>
      </c>
      <c r="B4319" s="9">
        <v>11.399999999999999</v>
      </c>
    </row>
    <row r="4320" spans="1:2" x14ac:dyDescent="0.35">
      <c r="A4320" s="91" t="s">
        <v>5768</v>
      </c>
      <c r="B4320" s="9">
        <v>8.3999999999999986</v>
      </c>
    </row>
    <row r="4321" spans="1:2" x14ac:dyDescent="0.35">
      <c r="A4321" s="91" t="s">
        <v>5494</v>
      </c>
      <c r="B4321" s="9">
        <v>8.3999999999999986</v>
      </c>
    </row>
    <row r="4322" spans="1:2" x14ac:dyDescent="0.35">
      <c r="A4322" s="91" t="s">
        <v>521</v>
      </c>
      <c r="B4322" s="9">
        <v>10.5</v>
      </c>
    </row>
    <row r="4323" spans="1:2" x14ac:dyDescent="0.35">
      <c r="A4323" s="91" t="s">
        <v>350</v>
      </c>
      <c r="B4323" s="9">
        <v>4.4000000000000004</v>
      </c>
    </row>
    <row r="4324" spans="1:2" x14ac:dyDescent="0.35">
      <c r="A4324" s="91" t="s">
        <v>1841</v>
      </c>
      <c r="B4324" s="9">
        <v>2.5</v>
      </c>
    </row>
    <row r="4325" spans="1:2" x14ac:dyDescent="0.35">
      <c r="A4325" s="91" t="s">
        <v>2543</v>
      </c>
      <c r="B4325" s="9">
        <v>12.5</v>
      </c>
    </row>
    <row r="4326" spans="1:2" x14ac:dyDescent="0.35">
      <c r="A4326" s="91" t="s">
        <v>3796</v>
      </c>
      <c r="B4326" s="9">
        <v>15.2</v>
      </c>
    </row>
    <row r="4327" spans="1:2" x14ac:dyDescent="0.35">
      <c r="A4327" s="91" t="s">
        <v>4556</v>
      </c>
      <c r="B4327" s="9">
        <v>6.6000000000000005</v>
      </c>
    </row>
    <row r="4328" spans="1:2" x14ac:dyDescent="0.35">
      <c r="A4328" s="91" t="s">
        <v>170</v>
      </c>
      <c r="B4328" s="9">
        <v>8.3999999999999986</v>
      </c>
    </row>
    <row r="4329" spans="1:2" x14ac:dyDescent="0.35">
      <c r="A4329" s="91" t="s">
        <v>3274</v>
      </c>
      <c r="B4329" s="9">
        <v>8.8000000000000007</v>
      </c>
    </row>
    <row r="4330" spans="1:2" x14ac:dyDescent="0.35">
      <c r="A4330" s="91" t="s">
        <v>3603</v>
      </c>
      <c r="B4330" s="9">
        <v>14</v>
      </c>
    </row>
    <row r="4331" spans="1:2" x14ac:dyDescent="0.35">
      <c r="A4331" s="91" t="s">
        <v>2010</v>
      </c>
      <c r="B4331" s="9">
        <v>19</v>
      </c>
    </row>
    <row r="4332" spans="1:2" x14ac:dyDescent="0.35">
      <c r="A4332" s="91" t="s">
        <v>4052</v>
      </c>
      <c r="B4332" s="9">
        <v>8.8000000000000007</v>
      </c>
    </row>
    <row r="4333" spans="1:2" x14ac:dyDescent="0.35">
      <c r="A4333" s="91" t="s">
        <v>4337</v>
      </c>
      <c r="B4333" s="9">
        <v>14</v>
      </c>
    </row>
    <row r="4334" spans="1:2" x14ac:dyDescent="0.35">
      <c r="A4334" s="91" t="s">
        <v>1601</v>
      </c>
      <c r="B4334" s="9">
        <v>3.8</v>
      </c>
    </row>
    <row r="4335" spans="1:2" x14ac:dyDescent="0.35">
      <c r="A4335" s="91" t="s">
        <v>2860</v>
      </c>
      <c r="B4335" s="9">
        <v>11.399999999999999</v>
      </c>
    </row>
    <row r="4336" spans="1:2" x14ac:dyDescent="0.35">
      <c r="A4336" s="91" t="s">
        <v>803</v>
      </c>
      <c r="B4336" s="9">
        <v>3.8</v>
      </c>
    </row>
    <row r="4337" spans="1:2" x14ac:dyDescent="0.35">
      <c r="A4337" s="91" t="s">
        <v>2776</v>
      </c>
      <c r="B4337" s="9">
        <v>19</v>
      </c>
    </row>
    <row r="4338" spans="1:2" x14ac:dyDescent="0.35">
      <c r="A4338" s="91" t="s">
        <v>523</v>
      </c>
      <c r="B4338" s="9">
        <v>15.2</v>
      </c>
    </row>
    <row r="4339" spans="1:2" x14ac:dyDescent="0.35">
      <c r="A4339" s="91" t="s">
        <v>3116</v>
      </c>
      <c r="B4339" s="9">
        <v>7.5</v>
      </c>
    </row>
    <row r="4340" spans="1:2" x14ac:dyDescent="0.35">
      <c r="A4340" s="91" t="s">
        <v>1370</v>
      </c>
      <c r="B4340" s="9">
        <v>5.6</v>
      </c>
    </row>
    <row r="4341" spans="1:2" x14ac:dyDescent="0.35">
      <c r="A4341" s="91" t="s">
        <v>3520</v>
      </c>
      <c r="B4341" s="9">
        <v>14</v>
      </c>
    </row>
    <row r="4342" spans="1:2" x14ac:dyDescent="0.35">
      <c r="A4342" s="91" t="s">
        <v>5732</v>
      </c>
      <c r="B4342" s="9">
        <v>8.8000000000000007</v>
      </c>
    </row>
    <row r="4343" spans="1:2" x14ac:dyDescent="0.35">
      <c r="A4343" s="91" t="s">
        <v>4628</v>
      </c>
      <c r="B4343" s="9">
        <v>3.5</v>
      </c>
    </row>
    <row r="4344" spans="1:2" x14ac:dyDescent="0.35">
      <c r="A4344" s="91" t="s">
        <v>1037</v>
      </c>
      <c r="B4344" s="9">
        <v>6.6000000000000005</v>
      </c>
    </row>
    <row r="4345" spans="1:2" x14ac:dyDescent="0.35">
      <c r="A4345" s="91" t="s">
        <v>2861</v>
      </c>
      <c r="B4345" s="9">
        <v>2.8</v>
      </c>
    </row>
    <row r="4346" spans="1:2" x14ac:dyDescent="0.35">
      <c r="A4346" s="91" t="s">
        <v>4123</v>
      </c>
      <c r="B4346" s="9">
        <v>7</v>
      </c>
    </row>
    <row r="4347" spans="1:2" x14ac:dyDescent="0.35">
      <c r="A4347" s="91" t="s">
        <v>1563</v>
      </c>
      <c r="B4347" s="9">
        <v>5.6</v>
      </c>
    </row>
    <row r="4348" spans="1:2" x14ac:dyDescent="0.35">
      <c r="A4348" s="91" t="s">
        <v>4110</v>
      </c>
      <c r="B4348" s="9">
        <v>11</v>
      </c>
    </row>
    <row r="4349" spans="1:2" x14ac:dyDescent="0.35">
      <c r="A4349" s="91" t="s">
        <v>1067</v>
      </c>
      <c r="B4349" s="9">
        <v>14</v>
      </c>
    </row>
    <row r="4350" spans="1:2" x14ac:dyDescent="0.35">
      <c r="A4350" s="91" t="s">
        <v>685</v>
      </c>
      <c r="B4350" s="9">
        <v>3.8</v>
      </c>
    </row>
    <row r="4351" spans="1:2" x14ac:dyDescent="0.35">
      <c r="A4351" s="91" t="s">
        <v>5443</v>
      </c>
      <c r="B4351" s="9">
        <v>11.2</v>
      </c>
    </row>
    <row r="4352" spans="1:2" x14ac:dyDescent="0.35">
      <c r="A4352" s="91" t="s">
        <v>5005</v>
      </c>
      <c r="B4352" s="9">
        <v>8.3999999999999986</v>
      </c>
    </row>
    <row r="4353" spans="1:2" x14ac:dyDescent="0.35">
      <c r="A4353" s="91" t="s">
        <v>1433</v>
      </c>
      <c r="B4353" s="9">
        <v>17.5</v>
      </c>
    </row>
    <row r="4354" spans="1:2" x14ac:dyDescent="0.35">
      <c r="A4354" s="91" t="s">
        <v>937</v>
      </c>
      <c r="B4354" s="9">
        <v>11.2</v>
      </c>
    </row>
    <row r="4355" spans="1:2" x14ac:dyDescent="0.35">
      <c r="A4355" s="91" t="s">
        <v>2653</v>
      </c>
      <c r="B4355" s="9">
        <v>3.8</v>
      </c>
    </row>
    <row r="4356" spans="1:2" x14ac:dyDescent="0.35">
      <c r="A4356" s="91" t="s">
        <v>2338</v>
      </c>
      <c r="B4356" s="9">
        <v>11.399999999999999</v>
      </c>
    </row>
    <row r="4357" spans="1:2" x14ac:dyDescent="0.35">
      <c r="A4357" s="91" t="s">
        <v>2967</v>
      </c>
      <c r="B4357" s="9">
        <v>11</v>
      </c>
    </row>
    <row r="4358" spans="1:2" x14ac:dyDescent="0.35">
      <c r="A4358" s="91" t="s">
        <v>451</v>
      </c>
      <c r="B4358" s="9">
        <v>11.2</v>
      </c>
    </row>
    <row r="4359" spans="1:2" x14ac:dyDescent="0.35">
      <c r="A4359" s="91" t="s">
        <v>5965</v>
      </c>
      <c r="B4359" s="9">
        <v>10</v>
      </c>
    </row>
    <row r="4360" spans="1:2" x14ac:dyDescent="0.35">
      <c r="A4360" s="91" t="s">
        <v>2125</v>
      </c>
      <c r="B4360" s="9">
        <v>2.2000000000000002</v>
      </c>
    </row>
    <row r="4361" spans="1:2" x14ac:dyDescent="0.35">
      <c r="A4361" s="91" t="s">
        <v>4053</v>
      </c>
      <c r="B4361" s="9">
        <v>3.5</v>
      </c>
    </row>
    <row r="4362" spans="1:2" x14ac:dyDescent="0.35">
      <c r="A4362" s="91" t="s">
        <v>4689</v>
      </c>
      <c r="B4362" s="9">
        <v>10</v>
      </c>
    </row>
    <row r="4363" spans="1:2" x14ac:dyDescent="0.35">
      <c r="A4363" s="91" t="s">
        <v>5036</v>
      </c>
      <c r="B4363" s="9">
        <v>10.5</v>
      </c>
    </row>
    <row r="4364" spans="1:2" x14ac:dyDescent="0.35">
      <c r="A4364" s="91" t="s">
        <v>3810</v>
      </c>
      <c r="B4364" s="9">
        <v>2.5</v>
      </c>
    </row>
    <row r="4365" spans="1:2" x14ac:dyDescent="0.35">
      <c r="A4365" s="91" t="s">
        <v>2654</v>
      </c>
      <c r="B4365" s="9">
        <v>8.3999999999999986</v>
      </c>
    </row>
    <row r="4366" spans="1:2" x14ac:dyDescent="0.35">
      <c r="A4366" s="91" t="s">
        <v>4769</v>
      </c>
      <c r="B4366" s="9">
        <v>10</v>
      </c>
    </row>
    <row r="4367" spans="1:2" x14ac:dyDescent="0.35">
      <c r="A4367" s="91" t="s">
        <v>2730</v>
      </c>
      <c r="B4367" s="9">
        <v>11.2</v>
      </c>
    </row>
    <row r="4368" spans="1:2" x14ac:dyDescent="0.35">
      <c r="A4368" s="91" t="s">
        <v>2954</v>
      </c>
      <c r="B4368" s="9">
        <v>10</v>
      </c>
    </row>
    <row r="4369" spans="1:2" x14ac:dyDescent="0.35">
      <c r="A4369" s="91" t="s">
        <v>1758</v>
      </c>
      <c r="B4369" s="9">
        <v>11</v>
      </c>
    </row>
    <row r="4370" spans="1:2" x14ac:dyDescent="0.35">
      <c r="A4370" s="91" t="s">
        <v>1876</v>
      </c>
      <c r="B4370" s="9">
        <v>7</v>
      </c>
    </row>
    <row r="4371" spans="1:2" x14ac:dyDescent="0.35">
      <c r="A4371" s="91" t="s">
        <v>3642</v>
      </c>
      <c r="B4371" s="9">
        <v>4.4000000000000004</v>
      </c>
    </row>
    <row r="4372" spans="1:2" x14ac:dyDescent="0.35">
      <c r="A4372" s="91" t="s">
        <v>1807</v>
      </c>
      <c r="B4372" s="9">
        <v>14</v>
      </c>
    </row>
    <row r="4373" spans="1:2" x14ac:dyDescent="0.35">
      <c r="A4373" s="91" t="s">
        <v>4265</v>
      </c>
      <c r="B4373" s="9">
        <v>10</v>
      </c>
    </row>
    <row r="4374" spans="1:2" x14ac:dyDescent="0.35">
      <c r="A4374" s="91" t="s">
        <v>5523</v>
      </c>
      <c r="B4374" s="9">
        <v>7.6</v>
      </c>
    </row>
    <row r="4375" spans="1:2" x14ac:dyDescent="0.35">
      <c r="A4375" s="91" t="s">
        <v>1502</v>
      </c>
      <c r="B4375" s="9">
        <v>5</v>
      </c>
    </row>
    <row r="4376" spans="1:2" x14ac:dyDescent="0.35">
      <c r="A4376" s="91" t="s">
        <v>352</v>
      </c>
      <c r="B4376" s="9">
        <v>17.5</v>
      </c>
    </row>
    <row r="4377" spans="1:2" x14ac:dyDescent="0.35">
      <c r="A4377" s="91" t="s">
        <v>55</v>
      </c>
      <c r="B4377" s="9">
        <v>14</v>
      </c>
    </row>
    <row r="4378" spans="1:2" x14ac:dyDescent="0.35">
      <c r="A4378" s="91" t="s">
        <v>3835</v>
      </c>
      <c r="B4378" s="9">
        <v>17.5</v>
      </c>
    </row>
    <row r="4379" spans="1:2" x14ac:dyDescent="0.35">
      <c r="A4379" s="91" t="s">
        <v>4266</v>
      </c>
      <c r="B4379" s="9">
        <v>7</v>
      </c>
    </row>
    <row r="4380" spans="1:2" x14ac:dyDescent="0.35">
      <c r="A4380" s="91" t="s">
        <v>2099</v>
      </c>
      <c r="B4380" s="9">
        <v>7</v>
      </c>
    </row>
    <row r="4381" spans="1:2" x14ac:dyDescent="0.35">
      <c r="A4381" s="91" t="s">
        <v>4690</v>
      </c>
      <c r="B4381" s="9">
        <v>8.8000000000000007</v>
      </c>
    </row>
    <row r="4382" spans="1:2" x14ac:dyDescent="0.35">
      <c r="A4382" s="91" t="s">
        <v>939</v>
      </c>
      <c r="B4382" s="9">
        <v>7</v>
      </c>
    </row>
    <row r="4383" spans="1:2" x14ac:dyDescent="0.35">
      <c r="A4383" s="91" t="s">
        <v>3521</v>
      </c>
      <c r="B4383" s="9">
        <v>4.4000000000000004</v>
      </c>
    </row>
    <row r="4384" spans="1:2" x14ac:dyDescent="0.35">
      <c r="A4384" s="91" t="s">
        <v>1248</v>
      </c>
      <c r="B4384" s="9">
        <v>17.5</v>
      </c>
    </row>
    <row r="4385" spans="1:2" x14ac:dyDescent="0.35">
      <c r="A4385" s="91" t="s">
        <v>3206</v>
      </c>
      <c r="B4385" s="9">
        <v>10.5</v>
      </c>
    </row>
    <row r="4386" spans="1:2" x14ac:dyDescent="0.35">
      <c r="A4386" s="91" t="s">
        <v>1585</v>
      </c>
      <c r="B4386" s="9">
        <v>5</v>
      </c>
    </row>
    <row r="4387" spans="1:2" x14ac:dyDescent="0.35">
      <c r="A4387" s="91" t="s">
        <v>5330</v>
      </c>
      <c r="B4387" s="9">
        <v>5</v>
      </c>
    </row>
    <row r="4388" spans="1:2" x14ac:dyDescent="0.35">
      <c r="A4388" s="91" t="s">
        <v>1117</v>
      </c>
      <c r="B4388" s="9">
        <v>7</v>
      </c>
    </row>
    <row r="4389" spans="1:2" x14ac:dyDescent="0.35">
      <c r="A4389" s="91" t="s">
        <v>4881</v>
      </c>
      <c r="B4389" s="9">
        <v>11</v>
      </c>
    </row>
    <row r="4390" spans="1:2" x14ac:dyDescent="0.35">
      <c r="A4390" s="91" t="s">
        <v>5101</v>
      </c>
      <c r="B4390" s="9">
        <v>12.5</v>
      </c>
    </row>
    <row r="4391" spans="1:2" x14ac:dyDescent="0.35">
      <c r="A4391" s="91" t="s">
        <v>2630</v>
      </c>
      <c r="B4391" s="9">
        <v>3.8</v>
      </c>
    </row>
    <row r="4392" spans="1:2" x14ac:dyDescent="0.35">
      <c r="A4392" s="91" t="s">
        <v>3304</v>
      </c>
      <c r="B4392" s="9">
        <v>5.6</v>
      </c>
    </row>
    <row r="4393" spans="1:2" x14ac:dyDescent="0.35">
      <c r="A4393" s="91" t="s">
        <v>5372</v>
      </c>
      <c r="B4393" s="9">
        <v>8.8000000000000007</v>
      </c>
    </row>
    <row r="4394" spans="1:2" x14ac:dyDescent="0.35">
      <c r="A4394" s="91" t="s">
        <v>3208</v>
      </c>
      <c r="B4394" s="9">
        <v>11.399999999999999</v>
      </c>
    </row>
    <row r="4395" spans="1:2" x14ac:dyDescent="0.35">
      <c r="A4395" s="91" t="s">
        <v>1185</v>
      </c>
      <c r="B4395" s="9">
        <v>7</v>
      </c>
    </row>
    <row r="4396" spans="1:2" x14ac:dyDescent="0.35">
      <c r="A4396" s="91" t="s">
        <v>5204</v>
      </c>
      <c r="B4396" s="9">
        <v>3.5</v>
      </c>
    </row>
    <row r="4397" spans="1:2" x14ac:dyDescent="0.35">
      <c r="A4397" s="91" t="s">
        <v>3643</v>
      </c>
      <c r="B4397" s="9">
        <v>2.2000000000000002</v>
      </c>
    </row>
    <row r="4398" spans="1:2" x14ac:dyDescent="0.35">
      <c r="A4398" s="91" t="s">
        <v>379</v>
      </c>
      <c r="B4398" s="9">
        <v>12.5</v>
      </c>
    </row>
    <row r="4399" spans="1:2" x14ac:dyDescent="0.35">
      <c r="A4399" s="91" t="s">
        <v>1227</v>
      </c>
      <c r="B4399" s="9">
        <v>5</v>
      </c>
    </row>
    <row r="4400" spans="1:2" x14ac:dyDescent="0.35">
      <c r="A4400" s="91" t="s">
        <v>2368</v>
      </c>
      <c r="B4400" s="9">
        <v>19</v>
      </c>
    </row>
    <row r="4401" spans="1:2" x14ac:dyDescent="0.35">
      <c r="A4401" s="91" t="s">
        <v>2160</v>
      </c>
      <c r="B4401" s="9">
        <v>14</v>
      </c>
    </row>
    <row r="4402" spans="1:2" x14ac:dyDescent="0.35">
      <c r="A4402" s="91" t="s">
        <v>5102</v>
      </c>
      <c r="B4402" s="9">
        <v>11</v>
      </c>
    </row>
    <row r="4403" spans="1:2" x14ac:dyDescent="0.35">
      <c r="A4403" s="91" t="s">
        <v>4814</v>
      </c>
      <c r="B4403" s="9">
        <v>19</v>
      </c>
    </row>
    <row r="4404" spans="1:2" x14ac:dyDescent="0.35">
      <c r="A4404" s="91" t="s">
        <v>4831</v>
      </c>
      <c r="B4404" s="9">
        <v>7.5</v>
      </c>
    </row>
    <row r="4405" spans="1:2" x14ac:dyDescent="0.35">
      <c r="A4405" s="91" t="s">
        <v>5605</v>
      </c>
      <c r="B4405" s="9">
        <v>11.2</v>
      </c>
    </row>
    <row r="4406" spans="1:2" x14ac:dyDescent="0.35">
      <c r="A4406" s="91" t="s">
        <v>3391</v>
      </c>
      <c r="B4406" s="9">
        <v>15.2</v>
      </c>
    </row>
    <row r="4407" spans="1:2" x14ac:dyDescent="0.35">
      <c r="A4407" s="91" t="s">
        <v>5945</v>
      </c>
      <c r="B4407" s="9">
        <v>19</v>
      </c>
    </row>
    <row r="4408" spans="1:2" x14ac:dyDescent="0.35">
      <c r="A4408" s="91" t="s">
        <v>5769</v>
      </c>
      <c r="B4408" s="9">
        <v>5</v>
      </c>
    </row>
    <row r="4409" spans="1:2" x14ac:dyDescent="0.35">
      <c r="A4409" s="91" t="s">
        <v>5060</v>
      </c>
      <c r="B4409" s="9">
        <v>14</v>
      </c>
    </row>
    <row r="4410" spans="1:2" x14ac:dyDescent="0.35">
      <c r="A4410" s="91" t="s">
        <v>2412</v>
      </c>
      <c r="B4410" s="9">
        <v>14</v>
      </c>
    </row>
    <row r="4411" spans="1:2" x14ac:dyDescent="0.35">
      <c r="A4411" s="91" t="s">
        <v>3522</v>
      </c>
      <c r="B4411" s="9">
        <v>11</v>
      </c>
    </row>
    <row r="4412" spans="1:2" x14ac:dyDescent="0.35">
      <c r="A4412" s="91" t="s">
        <v>3341</v>
      </c>
      <c r="B4412" s="9">
        <v>19</v>
      </c>
    </row>
    <row r="4413" spans="1:2" x14ac:dyDescent="0.35">
      <c r="A4413" s="91" t="s">
        <v>3782</v>
      </c>
      <c r="B4413" s="9">
        <v>2.5</v>
      </c>
    </row>
    <row r="4414" spans="1:2" x14ac:dyDescent="0.35">
      <c r="A4414" s="91" t="s">
        <v>833</v>
      </c>
      <c r="B4414" s="9">
        <v>5</v>
      </c>
    </row>
    <row r="4415" spans="1:2" x14ac:dyDescent="0.35">
      <c r="A4415" s="91" t="s">
        <v>2996</v>
      </c>
      <c r="B4415" s="9">
        <v>11.2</v>
      </c>
    </row>
    <row r="4416" spans="1:2" x14ac:dyDescent="0.35">
      <c r="A4416" s="91" t="s">
        <v>5228</v>
      </c>
      <c r="B4416" s="9">
        <v>11</v>
      </c>
    </row>
    <row r="4417" spans="1:2" x14ac:dyDescent="0.35">
      <c r="A4417" s="91" t="s">
        <v>3291</v>
      </c>
      <c r="B4417" s="9">
        <v>2.8</v>
      </c>
    </row>
    <row r="4418" spans="1:2" x14ac:dyDescent="0.35">
      <c r="A4418" s="91" t="s">
        <v>2246</v>
      </c>
      <c r="B4418" s="9">
        <v>17.5</v>
      </c>
    </row>
    <row r="4419" spans="1:2" x14ac:dyDescent="0.35">
      <c r="A4419" s="91" t="s">
        <v>4583</v>
      </c>
      <c r="B4419" s="9">
        <v>4.4000000000000004</v>
      </c>
    </row>
    <row r="4420" spans="1:2" x14ac:dyDescent="0.35">
      <c r="A4420" s="91" t="s">
        <v>2544</v>
      </c>
      <c r="B4420" s="9">
        <v>14</v>
      </c>
    </row>
    <row r="4421" spans="1:2" x14ac:dyDescent="0.35">
      <c r="A4421" s="91" t="s">
        <v>4461</v>
      </c>
      <c r="B4421" s="9">
        <v>11.2</v>
      </c>
    </row>
    <row r="4422" spans="1:2" x14ac:dyDescent="0.35">
      <c r="A4422" s="91" t="s">
        <v>4064</v>
      </c>
      <c r="B4422" s="9">
        <v>10.5</v>
      </c>
    </row>
    <row r="4423" spans="1:2" x14ac:dyDescent="0.35">
      <c r="A4423" s="91" t="s">
        <v>3275</v>
      </c>
      <c r="B4423" s="9">
        <v>12.5</v>
      </c>
    </row>
    <row r="4424" spans="1:2" x14ac:dyDescent="0.35">
      <c r="A4424" s="91" t="s">
        <v>5647</v>
      </c>
      <c r="B4424" s="9">
        <v>19</v>
      </c>
    </row>
    <row r="4425" spans="1:2" x14ac:dyDescent="0.35">
      <c r="A4425" s="91" t="s">
        <v>3320</v>
      </c>
      <c r="B4425" s="9">
        <v>7.6</v>
      </c>
    </row>
    <row r="4426" spans="1:2" x14ac:dyDescent="0.35">
      <c r="A4426" s="91" t="s">
        <v>2469</v>
      </c>
      <c r="B4426" s="9">
        <v>14</v>
      </c>
    </row>
    <row r="4427" spans="1:2" x14ac:dyDescent="0.35">
      <c r="A4427" s="91" t="s">
        <v>4011</v>
      </c>
      <c r="B4427" s="9">
        <v>6.6000000000000005</v>
      </c>
    </row>
    <row r="4428" spans="1:2" x14ac:dyDescent="0.35">
      <c r="A4428" s="91" t="s">
        <v>1414</v>
      </c>
      <c r="B4428" s="9">
        <v>11</v>
      </c>
    </row>
    <row r="4429" spans="1:2" x14ac:dyDescent="0.35">
      <c r="A4429" s="91" t="s">
        <v>3820</v>
      </c>
      <c r="B4429" s="9">
        <v>4.4000000000000004</v>
      </c>
    </row>
    <row r="4430" spans="1:2" x14ac:dyDescent="0.35">
      <c r="A4430" s="91" t="s">
        <v>4351</v>
      </c>
      <c r="B4430" s="9">
        <v>3.5</v>
      </c>
    </row>
    <row r="4431" spans="1:2" x14ac:dyDescent="0.35">
      <c r="A4431" s="91" t="s">
        <v>1842</v>
      </c>
      <c r="B4431" s="9">
        <v>15.2</v>
      </c>
    </row>
    <row r="4432" spans="1:2" x14ac:dyDescent="0.35">
      <c r="A4432" s="91" t="s">
        <v>5331</v>
      </c>
      <c r="B4432" s="9">
        <v>4.4000000000000004</v>
      </c>
    </row>
    <row r="4433" spans="1:2" x14ac:dyDescent="0.35">
      <c r="A4433" s="91" t="s">
        <v>5416</v>
      </c>
      <c r="B4433" s="9">
        <v>11</v>
      </c>
    </row>
    <row r="4434" spans="1:2" x14ac:dyDescent="0.35">
      <c r="A4434" s="91" t="s">
        <v>940</v>
      </c>
      <c r="B4434" s="9">
        <v>11.2</v>
      </c>
    </row>
    <row r="4435" spans="1:2" x14ac:dyDescent="0.35">
      <c r="A4435" s="91" t="s">
        <v>615</v>
      </c>
      <c r="B4435" s="9">
        <v>2.5</v>
      </c>
    </row>
    <row r="4436" spans="1:2" x14ac:dyDescent="0.35">
      <c r="A4436" s="91" t="s">
        <v>4533</v>
      </c>
      <c r="B4436" s="9">
        <v>11</v>
      </c>
    </row>
    <row r="4437" spans="1:2" x14ac:dyDescent="0.35">
      <c r="A4437" s="91" t="s">
        <v>1336</v>
      </c>
      <c r="B4437" s="9">
        <v>15.2</v>
      </c>
    </row>
    <row r="4438" spans="1:2" x14ac:dyDescent="0.35">
      <c r="A4438" s="91" t="s">
        <v>5524</v>
      </c>
      <c r="B4438" s="9">
        <v>3.5</v>
      </c>
    </row>
    <row r="4439" spans="1:2" x14ac:dyDescent="0.35">
      <c r="A4439" s="91" t="s">
        <v>4285</v>
      </c>
      <c r="B4439" s="9">
        <v>10</v>
      </c>
    </row>
    <row r="4440" spans="1:2" x14ac:dyDescent="0.35">
      <c r="A4440" s="91" t="s">
        <v>5648</v>
      </c>
      <c r="B4440" s="9">
        <v>4.4000000000000004</v>
      </c>
    </row>
    <row r="4441" spans="1:2" x14ac:dyDescent="0.35">
      <c r="A4441" s="91" t="s">
        <v>5186</v>
      </c>
      <c r="B4441" s="9">
        <v>6.6000000000000005</v>
      </c>
    </row>
    <row r="4442" spans="1:2" x14ac:dyDescent="0.35">
      <c r="A4442" s="91" t="s">
        <v>3503</v>
      </c>
      <c r="B4442" s="9">
        <v>12.5</v>
      </c>
    </row>
    <row r="4443" spans="1:2" x14ac:dyDescent="0.35">
      <c r="A4443" s="91" t="s">
        <v>3396</v>
      </c>
      <c r="B4443" s="9">
        <v>14</v>
      </c>
    </row>
    <row r="4444" spans="1:2" x14ac:dyDescent="0.35">
      <c r="A4444" s="91" t="s">
        <v>5429</v>
      </c>
      <c r="B4444" s="9">
        <v>14</v>
      </c>
    </row>
    <row r="4445" spans="1:2" x14ac:dyDescent="0.35">
      <c r="A4445" s="91" t="s">
        <v>2161</v>
      </c>
      <c r="B4445" s="9">
        <v>8.8000000000000007</v>
      </c>
    </row>
    <row r="4446" spans="1:2" x14ac:dyDescent="0.35">
      <c r="A4446" s="91" t="s">
        <v>3038</v>
      </c>
      <c r="B4446" s="9">
        <v>8.8000000000000007</v>
      </c>
    </row>
    <row r="4447" spans="1:2" x14ac:dyDescent="0.35">
      <c r="A4447" s="91" t="s">
        <v>3862</v>
      </c>
      <c r="B4447" s="9">
        <v>14</v>
      </c>
    </row>
    <row r="4448" spans="1:2" x14ac:dyDescent="0.35">
      <c r="A4448" s="91" t="s">
        <v>488</v>
      </c>
      <c r="B4448" s="9">
        <v>6.6000000000000005</v>
      </c>
    </row>
    <row r="4449" spans="1:2" x14ac:dyDescent="0.35">
      <c r="A4449" s="91" t="s">
        <v>5453</v>
      </c>
      <c r="B4449" s="9">
        <v>7.5</v>
      </c>
    </row>
    <row r="4450" spans="1:2" x14ac:dyDescent="0.35">
      <c r="A4450" s="91" t="s">
        <v>3008</v>
      </c>
      <c r="B4450" s="9">
        <v>15.2</v>
      </c>
    </row>
    <row r="4451" spans="1:2" x14ac:dyDescent="0.35">
      <c r="A4451" s="91" t="s">
        <v>3738</v>
      </c>
      <c r="B4451" s="9">
        <v>15.2</v>
      </c>
    </row>
    <row r="4452" spans="1:2" x14ac:dyDescent="0.35">
      <c r="A4452" s="91" t="s">
        <v>1287</v>
      </c>
      <c r="B4452" s="9">
        <v>8.3999999999999986</v>
      </c>
    </row>
    <row r="4453" spans="1:2" x14ac:dyDescent="0.35">
      <c r="A4453" s="91" t="s">
        <v>5495</v>
      </c>
      <c r="B4453" s="9">
        <v>11.399999999999999</v>
      </c>
    </row>
    <row r="4454" spans="1:2" x14ac:dyDescent="0.35">
      <c r="A4454" s="91" t="s">
        <v>4544</v>
      </c>
      <c r="B4454" s="9">
        <v>7.5</v>
      </c>
    </row>
    <row r="4455" spans="1:2" x14ac:dyDescent="0.35">
      <c r="A4455" s="91" t="s">
        <v>1624</v>
      </c>
      <c r="B4455" s="9">
        <v>11.2</v>
      </c>
    </row>
    <row r="4456" spans="1:2" x14ac:dyDescent="0.35">
      <c r="A4456" s="91" t="s">
        <v>4908</v>
      </c>
      <c r="B4456" s="9">
        <v>8.8000000000000007</v>
      </c>
    </row>
    <row r="4457" spans="1:2" x14ac:dyDescent="0.35">
      <c r="A4457" s="91" t="s">
        <v>4483</v>
      </c>
      <c r="B4457" s="9">
        <v>17.5</v>
      </c>
    </row>
    <row r="4458" spans="1:2" x14ac:dyDescent="0.35">
      <c r="A4458" s="91" t="s">
        <v>2894</v>
      </c>
      <c r="B4458" s="9">
        <v>10.5</v>
      </c>
    </row>
    <row r="4459" spans="1:2" x14ac:dyDescent="0.35">
      <c r="A4459" s="91" t="s">
        <v>3488</v>
      </c>
      <c r="B4459" s="9">
        <v>7.5</v>
      </c>
    </row>
    <row r="4460" spans="1:2" x14ac:dyDescent="0.35">
      <c r="A4460" s="91" t="s">
        <v>5525</v>
      </c>
      <c r="B4460" s="9">
        <v>15.2</v>
      </c>
    </row>
    <row r="4461" spans="1:2" x14ac:dyDescent="0.35">
      <c r="A4461" s="91" t="s">
        <v>201</v>
      </c>
      <c r="B4461" s="9">
        <v>11</v>
      </c>
    </row>
    <row r="4462" spans="1:2" x14ac:dyDescent="0.35">
      <c r="A4462" s="91" t="s">
        <v>2509</v>
      </c>
      <c r="B4462" s="9">
        <v>17.5</v>
      </c>
    </row>
    <row r="4463" spans="1:2" x14ac:dyDescent="0.35">
      <c r="A4463" s="91" t="s">
        <v>3524</v>
      </c>
      <c r="B4463" s="9">
        <v>4.4000000000000004</v>
      </c>
    </row>
    <row r="4464" spans="1:2" x14ac:dyDescent="0.35">
      <c r="A4464" s="91" t="s">
        <v>5836</v>
      </c>
      <c r="B4464" s="9">
        <v>5</v>
      </c>
    </row>
    <row r="4465" spans="1:2" x14ac:dyDescent="0.35">
      <c r="A4465" s="91" t="s">
        <v>3929</v>
      </c>
      <c r="B4465" s="9">
        <v>15.2</v>
      </c>
    </row>
    <row r="4466" spans="1:2" x14ac:dyDescent="0.35">
      <c r="A4466" s="91" t="s">
        <v>3504</v>
      </c>
      <c r="B4466" s="9">
        <v>2.2000000000000002</v>
      </c>
    </row>
    <row r="4467" spans="1:2" x14ac:dyDescent="0.35">
      <c r="A4467" s="91" t="s">
        <v>3440</v>
      </c>
      <c r="B4467" s="9">
        <v>17.5</v>
      </c>
    </row>
    <row r="4468" spans="1:2" x14ac:dyDescent="0.35">
      <c r="A4468" s="91" t="s">
        <v>1843</v>
      </c>
      <c r="B4468" s="9">
        <v>8.8000000000000007</v>
      </c>
    </row>
    <row r="4469" spans="1:2" x14ac:dyDescent="0.35">
      <c r="A4469" s="91" t="s">
        <v>6000</v>
      </c>
      <c r="B4469" s="9">
        <v>4.4000000000000004</v>
      </c>
    </row>
    <row r="4470" spans="1:2" x14ac:dyDescent="0.35">
      <c r="A4470" s="91" t="s">
        <v>3090</v>
      </c>
      <c r="B4470" s="9">
        <v>14</v>
      </c>
    </row>
    <row r="4471" spans="1:2" x14ac:dyDescent="0.35">
      <c r="A4471" s="91" t="s">
        <v>4976</v>
      </c>
      <c r="B4471" s="9">
        <v>2.8</v>
      </c>
    </row>
    <row r="4472" spans="1:2" x14ac:dyDescent="0.35">
      <c r="A4472" s="91" t="s">
        <v>5127</v>
      </c>
      <c r="B4472" s="9">
        <v>8.8000000000000007</v>
      </c>
    </row>
    <row r="4473" spans="1:2" x14ac:dyDescent="0.35">
      <c r="A4473" s="91" t="s">
        <v>4094</v>
      </c>
      <c r="B4473" s="9">
        <v>10.5</v>
      </c>
    </row>
    <row r="4474" spans="1:2" x14ac:dyDescent="0.35">
      <c r="A4474" s="91" t="s">
        <v>3997</v>
      </c>
      <c r="B4474" s="9">
        <v>7.6</v>
      </c>
    </row>
    <row r="4475" spans="1:2" x14ac:dyDescent="0.35">
      <c r="A4475" s="91" t="s">
        <v>835</v>
      </c>
      <c r="B4475" s="9">
        <v>11.2</v>
      </c>
    </row>
    <row r="4476" spans="1:2" x14ac:dyDescent="0.35">
      <c r="A4476" s="91" t="s">
        <v>2339</v>
      </c>
      <c r="B4476" s="9">
        <v>5</v>
      </c>
    </row>
    <row r="4477" spans="1:2" x14ac:dyDescent="0.35">
      <c r="A4477" s="91" t="s">
        <v>4616</v>
      </c>
      <c r="B4477" s="9">
        <v>3.8</v>
      </c>
    </row>
    <row r="4478" spans="1:2" x14ac:dyDescent="0.35">
      <c r="A4478" s="91" t="s">
        <v>1533</v>
      </c>
      <c r="B4478" s="9">
        <v>6.6000000000000005</v>
      </c>
    </row>
    <row r="4479" spans="1:2" x14ac:dyDescent="0.35">
      <c r="A4479" s="91" t="s">
        <v>3797</v>
      </c>
      <c r="B4479" s="9">
        <v>15.2</v>
      </c>
    </row>
    <row r="4480" spans="1:2" x14ac:dyDescent="0.35">
      <c r="A4480" s="91" t="s">
        <v>5837</v>
      </c>
      <c r="B4480" s="9">
        <v>17.5</v>
      </c>
    </row>
    <row r="4481" spans="1:2" x14ac:dyDescent="0.35">
      <c r="A4481" s="91" t="s">
        <v>353</v>
      </c>
      <c r="B4481" s="9">
        <v>2.2000000000000002</v>
      </c>
    </row>
    <row r="4482" spans="1:2" x14ac:dyDescent="0.35">
      <c r="A4482" s="91" t="s">
        <v>5606</v>
      </c>
      <c r="B4482" s="9">
        <v>19</v>
      </c>
    </row>
    <row r="4483" spans="1:2" x14ac:dyDescent="0.35">
      <c r="A4483" s="91" t="s">
        <v>2969</v>
      </c>
      <c r="B4483" s="9">
        <v>2.2000000000000002</v>
      </c>
    </row>
    <row r="4484" spans="1:2" x14ac:dyDescent="0.35">
      <c r="A4484" s="91" t="s">
        <v>942</v>
      </c>
      <c r="B4484" s="9">
        <v>10.5</v>
      </c>
    </row>
    <row r="4485" spans="1:2" x14ac:dyDescent="0.35">
      <c r="A4485" s="91" t="s">
        <v>1783</v>
      </c>
      <c r="B4485" s="9">
        <v>19</v>
      </c>
    </row>
    <row r="4486" spans="1:2" x14ac:dyDescent="0.35">
      <c r="A4486" s="91" t="s">
        <v>1586</v>
      </c>
      <c r="B4486" s="9">
        <v>2.8</v>
      </c>
    </row>
    <row r="4487" spans="1:2" x14ac:dyDescent="0.35">
      <c r="A4487" s="91" t="s">
        <v>2751</v>
      </c>
      <c r="B4487" s="9">
        <v>7</v>
      </c>
    </row>
    <row r="4488" spans="1:2" x14ac:dyDescent="0.35">
      <c r="A4488" s="91" t="s">
        <v>4676</v>
      </c>
      <c r="B4488" s="9">
        <v>5</v>
      </c>
    </row>
    <row r="4489" spans="1:2" x14ac:dyDescent="0.35">
      <c r="A4489" s="91" t="s">
        <v>4882</v>
      </c>
      <c r="B4489" s="9">
        <v>5.6</v>
      </c>
    </row>
    <row r="4490" spans="1:2" x14ac:dyDescent="0.35">
      <c r="A4490" s="91" t="s">
        <v>5026</v>
      </c>
      <c r="B4490" s="9">
        <v>14</v>
      </c>
    </row>
    <row r="4491" spans="1:2" x14ac:dyDescent="0.35">
      <c r="A4491" s="91" t="s">
        <v>4462</v>
      </c>
      <c r="B4491" s="9">
        <v>2.2000000000000002</v>
      </c>
    </row>
    <row r="4492" spans="1:2" x14ac:dyDescent="0.35">
      <c r="A4492" s="91" t="s">
        <v>2955</v>
      </c>
      <c r="B4492" s="9">
        <v>3.5</v>
      </c>
    </row>
    <row r="4493" spans="1:2" x14ac:dyDescent="0.35">
      <c r="A4493" s="91" t="s">
        <v>5341</v>
      </c>
      <c r="B4493" s="9">
        <v>2.8</v>
      </c>
    </row>
    <row r="4494" spans="1:2" x14ac:dyDescent="0.35">
      <c r="A4494" s="91" t="s">
        <v>3159</v>
      </c>
      <c r="B4494" s="9">
        <v>19</v>
      </c>
    </row>
    <row r="4495" spans="1:2" x14ac:dyDescent="0.35">
      <c r="A4495" s="91" t="s">
        <v>2101</v>
      </c>
      <c r="B4495" s="9">
        <v>5</v>
      </c>
    </row>
    <row r="4496" spans="1:2" x14ac:dyDescent="0.35">
      <c r="A4496" s="91" t="s">
        <v>3749</v>
      </c>
      <c r="B4496" s="9">
        <v>4.4000000000000004</v>
      </c>
    </row>
    <row r="4497" spans="1:2" x14ac:dyDescent="0.35">
      <c r="A4497" s="91" t="s">
        <v>4450</v>
      </c>
      <c r="B4497" s="9">
        <v>14</v>
      </c>
    </row>
    <row r="4498" spans="1:2" x14ac:dyDescent="0.35">
      <c r="A4498" s="91" t="s">
        <v>1469</v>
      </c>
      <c r="B4498" s="9">
        <v>2.2000000000000002</v>
      </c>
    </row>
    <row r="4499" spans="1:2" x14ac:dyDescent="0.35">
      <c r="A4499" s="91" t="s">
        <v>1808</v>
      </c>
      <c r="B4499" s="9">
        <v>7.5</v>
      </c>
    </row>
    <row r="4500" spans="1:2" x14ac:dyDescent="0.35">
      <c r="A4500" s="91" t="s">
        <v>1977</v>
      </c>
      <c r="B4500" s="9">
        <v>2.5</v>
      </c>
    </row>
    <row r="4501" spans="1:2" x14ac:dyDescent="0.35">
      <c r="A4501" s="91" t="s">
        <v>3902</v>
      </c>
      <c r="B4501" s="9">
        <v>10.5</v>
      </c>
    </row>
    <row r="4502" spans="1:2" x14ac:dyDescent="0.35">
      <c r="A4502" s="91" t="s">
        <v>4239</v>
      </c>
      <c r="B4502" s="9">
        <v>2.5</v>
      </c>
    </row>
    <row r="4503" spans="1:2" x14ac:dyDescent="0.35">
      <c r="A4503" s="91" t="s">
        <v>4714</v>
      </c>
      <c r="B4503" s="9">
        <v>3.5</v>
      </c>
    </row>
    <row r="4504" spans="1:2" x14ac:dyDescent="0.35">
      <c r="A4504" s="91" t="s">
        <v>3952</v>
      </c>
      <c r="B4504" s="9">
        <v>17.5</v>
      </c>
    </row>
    <row r="4505" spans="1:2" x14ac:dyDescent="0.35">
      <c r="A4505" s="91" t="s">
        <v>2660</v>
      </c>
      <c r="B4505" s="9">
        <v>3.5</v>
      </c>
    </row>
    <row r="4506" spans="1:2" x14ac:dyDescent="0.35">
      <c r="A4506" s="91" t="s">
        <v>228</v>
      </c>
      <c r="B4506" s="9">
        <v>14</v>
      </c>
    </row>
    <row r="4507" spans="1:2" x14ac:dyDescent="0.35">
      <c r="A4507" s="91" t="s">
        <v>4843</v>
      </c>
      <c r="B4507" s="9">
        <v>6.6000000000000005</v>
      </c>
    </row>
    <row r="4508" spans="1:2" x14ac:dyDescent="0.35">
      <c r="A4508" s="91" t="s">
        <v>4742</v>
      </c>
      <c r="B4508" s="9">
        <v>8.3999999999999986</v>
      </c>
    </row>
    <row r="4509" spans="1:2" x14ac:dyDescent="0.35">
      <c r="A4509" s="91" t="s">
        <v>3456</v>
      </c>
      <c r="B4509" s="9">
        <v>3.5</v>
      </c>
    </row>
    <row r="4510" spans="1:2" x14ac:dyDescent="0.35">
      <c r="A4510" s="91" t="s">
        <v>5430</v>
      </c>
      <c r="B4510" s="9">
        <v>3.8</v>
      </c>
    </row>
    <row r="4511" spans="1:2" x14ac:dyDescent="0.35">
      <c r="A4511" s="91" t="s">
        <v>687</v>
      </c>
      <c r="B4511" s="9">
        <v>11</v>
      </c>
    </row>
    <row r="4512" spans="1:2" x14ac:dyDescent="0.35">
      <c r="A4512" s="91" t="s">
        <v>5861</v>
      </c>
      <c r="B4512" s="9">
        <v>8.8000000000000007</v>
      </c>
    </row>
    <row r="4513" spans="1:2" x14ac:dyDescent="0.35">
      <c r="A4513" s="91" t="s">
        <v>5103</v>
      </c>
      <c r="B4513" s="9">
        <v>6.6000000000000005</v>
      </c>
    </row>
    <row r="4514" spans="1:2" x14ac:dyDescent="0.35">
      <c r="A4514" s="91" t="s">
        <v>1534</v>
      </c>
      <c r="B4514" s="9">
        <v>11.399999999999999</v>
      </c>
    </row>
    <row r="4515" spans="1:2" x14ac:dyDescent="0.35">
      <c r="A4515" s="91" t="s">
        <v>3264</v>
      </c>
      <c r="B4515" s="9">
        <v>14</v>
      </c>
    </row>
    <row r="4516" spans="1:2" x14ac:dyDescent="0.35">
      <c r="A4516" s="91" t="s">
        <v>4082</v>
      </c>
      <c r="B4516" s="9">
        <v>14</v>
      </c>
    </row>
    <row r="4517" spans="1:2" x14ac:dyDescent="0.35">
      <c r="A4517" s="91" t="s">
        <v>4595</v>
      </c>
      <c r="B4517" s="9">
        <v>10.5</v>
      </c>
    </row>
    <row r="4518" spans="1:2" x14ac:dyDescent="0.35">
      <c r="A4518" s="91" t="s">
        <v>5353</v>
      </c>
      <c r="B4518" s="9">
        <v>15.2</v>
      </c>
    </row>
    <row r="4519" spans="1:2" x14ac:dyDescent="0.35">
      <c r="A4519" s="91" t="s">
        <v>2024</v>
      </c>
      <c r="B4519" s="9">
        <v>5.6</v>
      </c>
    </row>
    <row r="4520" spans="1:2" x14ac:dyDescent="0.35">
      <c r="A4520" s="91" t="s">
        <v>5373</v>
      </c>
      <c r="B4520" s="9">
        <v>3.5</v>
      </c>
    </row>
    <row r="4521" spans="1:2" x14ac:dyDescent="0.35">
      <c r="A4521" s="91" t="s">
        <v>1039</v>
      </c>
      <c r="B4521" s="9">
        <v>22</v>
      </c>
    </row>
    <row r="4522" spans="1:2" x14ac:dyDescent="0.35">
      <c r="A4522" s="91" t="s">
        <v>5468</v>
      </c>
      <c r="B4522" s="9">
        <v>10</v>
      </c>
    </row>
    <row r="4523" spans="1:2" x14ac:dyDescent="0.35">
      <c r="A4523" s="91" t="s">
        <v>1337</v>
      </c>
      <c r="B4523" s="9">
        <v>11</v>
      </c>
    </row>
    <row r="4524" spans="1:2" x14ac:dyDescent="0.35">
      <c r="A4524" s="91" t="s">
        <v>2592</v>
      </c>
      <c r="B4524" s="9">
        <v>11.2</v>
      </c>
    </row>
    <row r="4525" spans="1:2" x14ac:dyDescent="0.35">
      <c r="A4525" s="91" t="s">
        <v>5989</v>
      </c>
      <c r="B4525" s="9">
        <v>6.6000000000000005</v>
      </c>
    </row>
    <row r="4526" spans="1:2" x14ac:dyDescent="0.35">
      <c r="A4526" s="91" t="s">
        <v>3525</v>
      </c>
      <c r="B4526" s="9">
        <v>8.8000000000000007</v>
      </c>
    </row>
    <row r="4527" spans="1:2" x14ac:dyDescent="0.35">
      <c r="A4527" s="91" t="s">
        <v>1957</v>
      </c>
      <c r="B4527" s="9">
        <v>5.6</v>
      </c>
    </row>
    <row r="4528" spans="1:2" x14ac:dyDescent="0.35">
      <c r="A4528" s="91" t="s">
        <v>2545</v>
      </c>
      <c r="B4528" s="9">
        <v>8.8000000000000007</v>
      </c>
    </row>
    <row r="4529" spans="1:2" x14ac:dyDescent="0.35">
      <c r="A4529" s="91" t="s">
        <v>4715</v>
      </c>
      <c r="B4529" s="9">
        <v>10</v>
      </c>
    </row>
    <row r="4530" spans="1:2" x14ac:dyDescent="0.35">
      <c r="A4530" s="91" t="s">
        <v>1939</v>
      </c>
      <c r="B4530" s="9">
        <v>5.6</v>
      </c>
    </row>
    <row r="4531" spans="1:2" x14ac:dyDescent="0.35">
      <c r="A4531" s="91" t="s">
        <v>5877</v>
      </c>
      <c r="B4531" s="9">
        <v>19</v>
      </c>
    </row>
    <row r="4532" spans="1:2" x14ac:dyDescent="0.35">
      <c r="A4532" s="91" t="s">
        <v>1161</v>
      </c>
      <c r="B4532" s="9">
        <v>2.8</v>
      </c>
    </row>
    <row r="4533" spans="1:2" x14ac:dyDescent="0.35">
      <c r="A4533" s="91" t="s">
        <v>3750</v>
      </c>
      <c r="B4533" s="9">
        <v>10.5</v>
      </c>
    </row>
    <row r="4534" spans="1:2" x14ac:dyDescent="0.35">
      <c r="A4534" s="91" t="s">
        <v>5677</v>
      </c>
      <c r="B4534" s="9">
        <v>11.2</v>
      </c>
    </row>
    <row r="4535" spans="1:2" x14ac:dyDescent="0.35">
      <c r="A4535" s="91" t="s">
        <v>2482</v>
      </c>
      <c r="B4535" s="9">
        <v>3.8</v>
      </c>
    </row>
    <row r="4536" spans="1:2" x14ac:dyDescent="0.35">
      <c r="A4536" s="91" t="s">
        <v>4815</v>
      </c>
      <c r="B4536" s="9">
        <v>17.5</v>
      </c>
    </row>
    <row r="4537" spans="1:2" x14ac:dyDescent="0.35">
      <c r="A4537" s="91" t="s">
        <v>4565</v>
      </c>
      <c r="B4537" s="9">
        <v>2.8</v>
      </c>
    </row>
    <row r="4538" spans="1:2" x14ac:dyDescent="0.35">
      <c r="A4538" s="91" t="s">
        <v>4896</v>
      </c>
      <c r="B4538" s="9">
        <v>6.6000000000000005</v>
      </c>
    </row>
    <row r="4539" spans="1:2" x14ac:dyDescent="0.35">
      <c r="A4539" s="91" t="s">
        <v>229</v>
      </c>
      <c r="B4539" s="9">
        <v>10</v>
      </c>
    </row>
    <row r="4540" spans="1:2" x14ac:dyDescent="0.35">
      <c r="A4540" s="91" t="s">
        <v>4040</v>
      </c>
      <c r="B4540" s="9">
        <v>4.4000000000000004</v>
      </c>
    </row>
    <row r="4541" spans="1:2" x14ac:dyDescent="0.35">
      <c r="A4541" s="91" t="s">
        <v>4151</v>
      </c>
      <c r="B4541" s="9">
        <v>11.399999999999999</v>
      </c>
    </row>
    <row r="4542" spans="1:2" x14ac:dyDescent="0.35">
      <c r="A4542" s="91" t="s">
        <v>1322</v>
      </c>
      <c r="B4542" s="9">
        <v>11</v>
      </c>
    </row>
    <row r="4543" spans="1:2" x14ac:dyDescent="0.35">
      <c r="A4543" s="91" t="s">
        <v>2731</v>
      </c>
      <c r="B4543" s="9">
        <v>15.2</v>
      </c>
    </row>
    <row r="4544" spans="1:2" x14ac:dyDescent="0.35">
      <c r="A4544" s="91" t="s">
        <v>4977</v>
      </c>
      <c r="B4544" s="9">
        <v>7</v>
      </c>
    </row>
    <row r="4545" spans="1:2" x14ac:dyDescent="0.35">
      <c r="A4545" s="91" t="s">
        <v>5966</v>
      </c>
      <c r="B4545" s="9">
        <v>2.8</v>
      </c>
    </row>
    <row r="4546" spans="1:2" x14ac:dyDescent="0.35">
      <c r="A4546" s="91" t="s">
        <v>2761</v>
      </c>
      <c r="B4546" s="9">
        <v>7.6</v>
      </c>
    </row>
    <row r="4547" spans="1:2" x14ac:dyDescent="0.35">
      <c r="A4547" s="91" t="s">
        <v>4134</v>
      </c>
      <c r="B4547" s="9">
        <v>19</v>
      </c>
    </row>
    <row r="4548" spans="1:2" x14ac:dyDescent="0.35">
      <c r="A4548" s="91" t="s">
        <v>5770</v>
      </c>
      <c r="B4548" s="9">
        <v>2.5</v>
      </c>
    </row>
    <row r="4549" spans="1:2" x14ac:dyDescent="0.35">
      <c r="A4549" s="91" t="s">
        <v>3585</v>
      </c>
      <c r="B4549" s="9">
        <v>14</v>
      </c>
    </row>
    <row r="4550" spans="1:2" x14ac:dyDescent="0.35">
      <c r="A4550" s="91" t="s">
        <v>5287</v>
      </c>
      <c r="B4550" s="9">
        <v>10</v>
      </c>
    </row>
    <row r="4551" spans="1:2" x14ac:dyDescent="0.35">
      <c r="A4551" s="91" t="s">
        <v>4990</v>
      </c>
      <c r="B4551" s="9">
        <v>11.399999999999999</v>
      </c>
    </row>
    <row r="4552" spans="1:2" x14ac:dyDescent="0.35">
      <c r="A4552" s="91" t="s">
        <v>1587</v>
      </c>
      <c r="B4552" s="9">
        <v>7.6</v>
      </c>
    </row>
    <row r="4553" spans="1:2" x14ac:dyDescent="0.35">
      <c r="A4553" s="91" t="s">
        <v>4083</v>
      </c>
      <c r="B4553" s="9">
        <v>12.5</v>
      </c>
    </row>
    <row r="4554" spans="1:2" x14ac:dyDescent="0.35">
      <c r="A4554" s="91" t="s">
        <v>721</v>
      </c>
      <c r="B4554" s="9">
        <v>15.2</v>
      </c>
    </row>
    <row r="4555" spans="1:2" x14ac:dyDescent="0.35">
      <c r="A4555" s="91" t="s">
        <v>3117</v>
      </c>
      <c r="B4555" s="9">
        <v>7</v>
      </c>
    </row>
    <row r="4556" spans="1:2" x14ac:dyDescent="0.35">
      <c r="A4556" s="91" t="s">
        <v>2470</v>
      </c>
      <c r="B4556" s="9">
        <v>5</v>
      </c>
    </row>
    <row r="4557" spans="1:2" x14ac:dyDescent="0.35">
      <c r="A4557" s="91" t="s">
        <v>1133</v>
      </c>
      <c r="B4557" s="9">
        <v>10</v>
      </c>
    </row>
    <row r="4558" spans="1:2" x14ac:dyDescent="0.35">
      <c r="A4558" s="91" t="s">
        <v>2247</v>
      </c>
      <c r="B4558" s="9">
        <v>2.8</v>
      </c>
    </row>
    <row r="4559" spans="1:2" x14ac:dyDescent="0.35">
      <c r="A4559" s="91" t="s">
        <v>2936</v>
      </c>
      <c r="B4559" s="9">
        <v>3.8</v>
      </c>
    </row>
    <row r="4560" spans="1:2" x14ac:dyDescent="0.35">
      <c r="A4560" s="91" t="s">
        <v>3875</v>
      </c>
      <c r="B4560" s="9">
        <v>10</v>
      </c>
    </row>
    <row r="4561" spans="1:2" x14ac:dyDescent="0.35">
      <c r="A4561" s="91" t="s">
        <v>5946</v>
      </c>
      <c r="B4561" s="9">
        <v>4.4000000000000004</v>
      </c>
    </row>
    <row r="4562" spans="1:2" x14ac:dyDescent="0.35">
      <c r="A4562" s="91" t="s">
        <v>3931</v>
      </c>
      <c r="B4562" s="9">
        <v>19</v>
      </c>
    </row>
    <row r="4563" spans="1:2" x14ac:dyDescent="0.35">
      <c r="A4563" s="91" t="s">
        <v>3998</v>
      </c>
      <c r="B4563" s="9">
        <v>12.5</v>
      </c>
    </row>
    <row r="4564" spans="1:2" x14ac:dyDescent="0.35">
      <c r="A4564" s="91" t="s">
        <v>3253</v>
      </c>
      <c r="B4564" s="9">
        <v>2.8</v>
      </c>
    </row>
    <row r="4565" spans="1:2" x14ac:dyDescent="0.35">
      <c r="A4565" s="91" t="s">
        <v>5479</v>
      </c>
      <c r="B4565" s="9">
        <v>10.5</v>
      </c>
    </row>
    <row r="4566" spans="1:2" x14ac:dyDescent="0.35">
      <c r="A4566" s="91" t="s">
        <v>1503</v>
      </c>
      <c r="B4566" s="9">
        <v>10.5</v>
      </c>
    </row>
    <row r="4567" spans="1:2" x14ac:dyDescent="0.35">
      <c r="A4567" s="91" t="s">
        <v>1626</v>
      </c>
      <c r="B4567" s="9">
        <v>14</v>
      </c>
    </row>
    <row r="4568" spans="1:2" x14ac:dyDescent="0.35">
      <c r="A4568" s="91" t="s">
        <v>4267</v>
      </c>
      <c r="B4568" s="9">
        <v>14</v>
      </c>
    </row>
    <row r="4569" spans="1:2" x14ac:dyDescent="0.35">
      <c r="A4569" s="91" t="s">
        <v>5249</v>
      </c>
      <c r="B4569" s="9">
        <v>2.5</v>
      </c>
    </row>
    <row r="4570" spans="1:2" x14ac:dyDescent="0.35">
      <c r="A4570" s="91" t="s">
        <v>3604</v>
      </c>
      <c r="B4570" s="9">
        <v>7.5</v>
      </c>
    </row>
    <row r="4571" spans="1:2" x14ac:dyDescent="0.35">
      <c r="A4571" s="91" t="s">
        <v>3061</v>
      </c>
      <c r="B4571" s="9">
        <v>14</v>
      </c>
    </row>
    <row r="4572" spans="1:2" x14ac:dyDescent="0.35">
      <c r="A4572" s="91" t="s">
        <v>4816</v>
      </c>
      <c r="B4572" s="9">
        <v>14</v>
      </c>
    </row>
    <row r="4573" spans="1:2" x14ac:dyDescent="0.35">
      <c r="A4573" s="91" t="s">
        <v>4499</v>
      </c>
      <c r="B4573" s="9">
        <v>11.2</v>
      </c>
    </row>
    <row r="4574" spans="1:2" x14ac:dyDescent="0.35">
      <c r="A4574" s="91" t="s">
        <v>1652</v>
      </c>
      <c r="B4574" s="9">
        <v>3.8</v>
      </c>
    </row>
    <row r="4575" spans="1:2" x14ac:dyDescent="0.35">
      <c r="A4575" s="91" t="s">
        <v>4321</v>
      </c>
      <c r="B4575" s="9">
        <v>6.6000000000000005</v>
      </c>
    </row>
    <row r="4576" spans="1:2" x14ac:dyDescent="0.35">
      <c r="A4576" s="91" t="s">
        <v>4304</v>
      </c>
      <c r="B4576" s="9">
        <v>10</v>
      </c>
    </row>
    <row r="4577" spans="1:2" x14ac:dyDescent="0.35">
      <c r="A4577" s="91" t="s">
        <v>4305</v>
      </c>
      <c r="B4577" s="9">
        <v>15.2</v>
      </c>
    </row>
    <row r="4578" spans="1:2" x14ac:dyDescent="0.35">
      <c r="A4578" s="91" t="s">
        <v>5771</v>
      </c>
      <c r="B4578" s="9">
        <v>2.5</v>
      </c>
    </row>
    <row r="4579" spans="1:2" x14ac:dyDescent="0.35">
      <c r="A4579" s="91" t="s">
        <v>1162</v>
      </c>
      <c r="B4579" s="9">
        <v>15.2</v>
      </c>
    </row>
    <row r="4580" spans="1:2" x14ac:dyDescent="0.35">
      <c r="A4580" s="91" t="s">
        <v>5374</v>
      </c>
      <c r="B4580" s="9">
        <v>2.5</v>
      </c>
    </row>
    <row r="4581" spans="1:2" x14ac:dyDescent="0.35">
      <c r="A4581" s="91" t="s">
        <v>5037</v>
      </c>
      <c r="B4581" s="9">
        <v>8.3999999999999986</v>
      </c>
    </row>
    <row r="4582" spans="1:2" x14ac:dyDescent="0.35">
      <c r="A4582" s="91" t="s">
        <v>5128</v>
      </c>
      <c r="B4582" s="9">
        <v>10.5</v>
      </c>
    </row>
    <row r="4583" spans="1:2" x14ac:dyDescent="0.35">
      <c r="A4583" s="91" t="s">
        <v>3322</v>
      </c>
      <c r="B4583" s="9">
        <v>11</v>
      </c>
    </row>
    <row r="4584" spans="1:2" x14ac:dyDescent="0.35">
      <c r="A4584" s="91" t="s">
        <v>4832</v>
      </c>
      <c r="B4584" s="9">
        <v>14</v>
      </c>
    </row>
    <row r="4585" spans="1:2" x14ac:dyDescent="0.35">
      <c r="A4585" s="91" t="s">
        <v>1602</v>
      </c>
      <c r="B4585" s="9">
        <v>11.2</v>
      </c>
    </row>
    <row r="4586" spans="1:2" x14ac:dyDescent="0.35">
      <c r="A4586" s="91" t="s">
        <v>4770</v>
      </c>
      <c r="B4586" s="9">
        <v>7.5</v>
      </c>
    </row>
    <row r="4587" spans="1:2" x14ac:dyDescent="0.35">
      <c r="A4587" s="91" t="s">
        <v>4927</v>
      </c>
      <c r="B4587" s="9">
        <v>14</v>
      </c>
    </row>
    <row r="4588" spans="1:2" x14ac:dyDescent="0.35">
      <c r="A4588" s="91" t="s">
        <v>1381</v>
      </c>
      <c r="B4588" s="9">
        <v>11.2</v>
      </c>
    </row>
    <row r="4589" spans="1:2" x14ac:dyDescent="0.35">
      <c r="A4589" s="91" t="s">
        <v>4400</v>
      </c>
      <c r="B4589" s="9">
        <v>11.2</v>
      </c>
    </row>
    <row r="4590" spans="1:2" x14ac:dyDescent="0.35">
      <c r="A4590" s="91" t="s">
        <v>5386</v>
      </c>
      <c r="B4590" s="9">
        <v>6.6000000000000005</v>
      </c>
    </row>
    <row r="4591" spans="1:2" x14ac:dyDescent="0.35">
      <c r="A4591" s="91" t="s">
        <v>1268</v>
      </c>
      <c r="B4591" s="9">
        <v>3.5</v>
      </c>
    </row>
    <row r="4592" spans="1:2" x14ac:dyDescent="0.35">
      <c r="A4592" s="91" t="s">
        <v>1371</v>
      </c>
      <c r="B4592" s="9">
        <v>11</v>
      </c>
    </row>
    <row r="4593" spans="1:2" x14ac:dyDescent="0.35">
      <c r="A4593" s="91" t="s">
        <v>903</v>
      </c>
      <c r="B4593" s="9">
        <v>8.8000000000000007</v>
      </c>
    </row>
    <row r="4594" spans="1:2" x14ac:dyDescent="0.35">
      <c r="A4594" s="91" t="s">
        <v>2144</v>
      </c>
      <c r="B4594" s="9">
        <v>12.5</v>
      </c>
    </row>
    <row r="4595" spans="1:2" x14ac:dyDescent="0.35">
      <c r="A4595" s="91" t="s">
        <v>4513</v>
      </c>
      <c r="B4595" s="9">
        <v>12.5</v>
      </c>
    </row>
    <row r="4596" spans="1:2" x14ac:dyDescent="0.35">
      <c r="A4596" s="91" t="s">
        <v>5116</v>
      </c>
      <c r="B4596" s="9">
        <v>5.6</v>
      </c>
    </row>
    <row r="4597" spans="1:2" x14ac:dyDescent="0.35">
      <c r="A4597" s="91" t="s">
        <v>2710</v>
      </c>
      <c r="B4597" s="9">
        <v>19</v>
      </c>
    </row>
    <row r="4598" spans="1:2" x14ac:dyDescent="0.35">
      <c r="A4598" s="91" t="s">
        <v>2510</v>
      </c>
      <c r="B4598" s="9">
        <v>7.5</v>
      </c>
    </row>
    <row r="4599" spans="1:2" x14ac:dyDescent="0.35">
      <c r="A4599" s="91" t="s">
        <v>403</v>
      </c>
      <c r="B4599" s="9">
        <v>5.6</v>
      </c>
    </row>
    <row r="4600" spans="1:2" x14ac:dyDescent="0.35">
      <c r="A4600" s="91" t="s">
        <v>4691</v>
      </c>
      <c r="B4600" s="9">
        <v>8.3999999999999986</v>
      </c>
    </row>
    <row r="4601" spans="1:2" x14ac:dyDescent="0.35">
      <c r="A4601" s="91" t="s">
        <v>4268</v>
      </c>
      <c r="B4601" s="9">
        <v>2.8</v>
      </c>
    </row>
    <row r="4602" spans="1:2" x14ac:dyDescent="0.35">
      <c r="A4602" s="91" t="s">
        <v>5590</v>
      </c>
      <c r="B4602" s="9">
        <v>8.3999999999999986</v>
      </c>
    </row>
    <row r="4603" spans="1:2" x14ac:dyDescent="0.35">
      <c r="A4603" s="91" t="s">
        <v>1164</v>
      </c>
      <c r="B4603" s="9">
        <v>10.5</v>
      </c>
    </row>
    <row r="4604" spans="1:2" x14ac:dyDescent="0.35">
      <c r="A4604" s="91" t="s">
        <v>2732</v>
      </c>
      <c r="B4604" s="9">
        <v>12.5</v>
      </c>
    </row>
    <row r="4605" spans="1:2" x14ac:dyDescent="0.35">
      <c r="A4605" s="91" t="s">
        <v>3342</v>
      </c>
      <c r="B4605" s="9">
        <v>11</v>
      </c>
    </row>
    <row r="4606" spans="1:2" x14ac:dyDescent="0.35">
      <c r="A4606" s="91" t="s">
        <v>5819</v>
      </c>
      <c r="B4606" s="9">
        <v>10</v>
      </c>
    </row>
    <row r="4607" spans="1:2" x14ac:dyDescent="0.35">
      <c r="A4607" s="91" t="s">
        <v>5205</v>
      </c>
      <c r="B4607" s="9">
        <v>7.5</v>
      </c>
    </row>
    <row r="4608" spans="1:2" x14ac:dyDescent="0.35">
      <c r="A4608" s="91" t="s">
        <v>2025</v>
      </c>
      <c r="B4608" s="9">
        <v>10</v>
      </c>
    </row>
    <row r="4609" spans="1:2" x14ac:dyDescent="0.35">
      <c r="A4609" s="91" t="s">
        <v>1940</v>
      </c>
      <c r="B4609" s="9">
        <v>7.5</v>
      </c>
    </row>
    <row r="4610" spans="1:2" x14ac:dyDescent="0.35">
      <c r="A4610" s="91" t="s">
        <v>5263</v>
      </c>
      <c r="B4610" s="9">
        <v>6.6000000000000005</v>
      </c>
    </row>
    <row r="4611" spans="1:2" x14ac:dyDescent="0.35">
      <c r="A4611" s="91" t="s">
        <v>5206</v>
      </c>
      <c r="B4611" s="9">
        <v>12.5</v>
      </c>
    </row>
    <row r="4612" spans="1:2" x14ac:dyDescent="0.35">
      <c r="A4612" s="91" t="s">
        <v>777</v>
      </c>
      <c r="B4612" s="9">
        <v>3.8</v>
      </c>
    </row>
    <row r="4613" spans="1:2" x14ac:dyDescent="0.35">
      <c r="A4613" s="91" t="s">
        <v>3009</v>
      </c>
      <c r="B4613" s="9">
        <v>8.3999999999999986</v>
      </c>
    </row>
    <row r="4614" spans="1:2" x14ac:dyDescent="0.35">
      <c r="A4614" s="91" t="s">
        <v>3378</v>
      </c>
      <c r="B4614" s="9">
        <v>2.2000000000000002</v>
      </c>
    </row>
    <row r="4615" spans="1:2" x14ac:dyDescent="0.35">
      <c r="A4615" s="91" t="s">
        <v>4943</v>
      </c>
      <c r="B4615" s="9">
        <v>11.2</v>
      </c>
    </row>
    <row r="4616" spans="1:2" x14ac:dyDescent="0.35">
      <c r="A4616" s="91" t="s">
        <v>480</v>
      </c>
      <c r="B4616" s="9">
        <v>11.399999999999999</v>
      </c>
    </row>
    <row r="4617" spans="1:2" x14ac:dyDescent="0.35">
      <c r="A4617" s="91" t="s">
        <v>1451</v>
      </c>
      <c r="B4617" s="9">
        <v>12.5</v>
      </c>
    </row>
    <row r="4618" spans="1:2" x14ac:dyDescent="0.35">
      <c r="A4618" s="91" t="s">
        <v>1289</v>
      </c>
      <c r="B4618" s="9">
        <v>8.8000000000000007</v>
      </c>
    </row>
    <row r="4619" spans="1:2" x14ac:dyDescent="0.35">
      <c r="A4619" s="91" t="s">
        <v>1415</v>
      </c>
      <c r="B4619" s="9">
        <v>7.6</v>
      </c>
    </row>
    <row r="4620" spans="1:2" x14ac:dyDescent="0.35">
      <c r="A4620" s="91" t="s">
        <v>4617</v>
      </c>
      <c r="B4620" s="9">
        <v>17.5</v>
      </c>
    </row>
    <row r="4621" spans="1:2" x14ac:dyDescent="0.35">
      <c r="A4621" s="91" t="s">
        <v>3559</v>
      </c>
      <c r="B4621" s="9">
        <v>2.2000000000000002</v>
      </c>
    </row>
    <row r="4622" spans="1:2" x14ac:dyDescent="0.35">
      <c r="A4622" s="91" t="s">
        <v>4851</v>
      </c>
      <c r="B4622" s="9">
        <v>6.6000000000000005</v>
      </c>
    </row>
    <row r="4623" spans="1:2" x14ac:dyDescent="0.35">
      <c r="A4623" s="91" t="s">
        <v>313</v>
      </c>
      <c r="B4623" s="9">
        <v>4.4000000000000004</v>
      </c>
    </row>
    <row r="4624" spans="1:2" x14ac:dyDescent="0.35">
      <c r="A4624" s="91" t="s">
        <v>5085</v>
      </c>
      <c r="B4624" s="9">
        <v>4.4000000000000004</v>
      </c>
    </row>
    <row r="4625" spans="1:2" x14ac:dyDescent="0.35">
      <c r="A4625" s="91" t="s">
        <v>3472</v>
      </c>
      <c r="B4625" s="9">
        <v>2.2000000000000002</v>
      </c>
    </row>
    <row r="4626" spans="1:2" x14ac:dyDescent="0.35">
      <c r="A4626" s="91" t="s">
        <v>2573</v>
      </c>
      <c r="B4626" s="9">
        <v>14</v>
      </c>
    </row>
    <row r="4627" spans="1:2" x14ac:dyDescent="0.35">
      <c r="A4627" s="91" t="s">
        <v>5387</v>
      </c>
      <c r="B4627" s="9">
        <v>5.6</v>
      </c>
    </row>
    <row r="4628" spans="1:2" x14ac:dyDescent="0.35">
      <c r="A4628" s="91" t="s">
        <v>3362</v>
      </c>
      <c r="B4628" s="9">
        <v>17.5</v>
      </c>
    </row>
    <row r="4629" spans="1:2" x14ac:dyDescent="0.35">
      <c r="A4629" s="91" t="s">
        <v>3010</v>
      </c>
      <c r="B4629" s="9">
        <v>2.2000000000000002</v>
      </c>
    </row>
    <row r="4630" spans="1:2" x14ac:dyDescent="0.35">
      <c r="A4630" s="91" t="s">
        <v>3975</v>
      </c>
      <c r="B4630" s="9">
        <v>7.6</v>
      </c>
    </row>
    <row r="4631" spans="1:2" x14ac:dyDescent="0.35">
      <c r="A4631" s="91" t="s">
        <v>2733</v>
      </c>
      <c r="B4631" s="9">
        <v>10.5</v>
      </c>
    </row>
    <row r="4632" spans="1:2" x14ac:dyDescent="0.35">
      <c r="A4632" s="91" t="s">
        <v>108</v>
      </c>
      <c r="B4632" s="9">
        <v>5</v>
      </c>
    </row>
    <row r="4633" spans="1:2" x14ac:dyDescent="0.35">
      <c r="A4633" s="91" t="s">
        <v>58</v>
      </c>
      <c r="B4633" s="9">
        <v>2.2000000000000002</v>
      </c>
    </row>
    <row r="4634" spans="1:2" x14ac:dyDescent="0.35">
      <c r="A4634" s="91" t="s">
        <v>633</v>
      </c>
      <c r="B4634" s="9">
        <v>2.2000000000000002</v>
      </c>
    </row>
    <row r="4635" spans="1:2" x14ac:dyDescent="0.35">
      <c r="A4635" s="91" t="s">
        <v>2266</v>
      </c>
      <c r="B4635" s="9">
        <v>14</v>
      </c>
    </row>
    <row r="4636" spans="1:2" x14ac:dyDescent="0.35">
      <c r="A4636" s="91" t="s">
        <v>3024</v>
      </c>
      <c r="B4636" s="9">
        <v>10.5</v>
      </c>
    </row>
    <row r="4637" spans="1:2" x14ac:dyDescent="0.35">
      <c r="A4637" s="91" t="s">
        <v>1603</v>
      </c>
      <c r="B4637" s="9">
        <v>3.5</v>
      </c>
    </row>
    <row r="4638" spans="1:2" x14ac:dyDescent="0.35">
      <c r="A4638" s="91" t="s">
        <v>4659</v>
      </c>
      <c r="B4638" s="9">
        <v>10.5</v>
      </c>
    </row>
    <row r="4639" spans="1:2" x14ac:dyDescent="0.35">
      <c r="A4639" s="91" t="s">
        <v>1002</v>
      </c>
      <c r="B4639" s="9">
        <v>19</v>
      </c>
    </row>
    <row r="4640" spans="1:2" x14ac:dyDescent="0.35">
      <c r="A4640" s="91" t="s">
        <v>4012</v>
      </c>
      <c r="B4640" s="9">
        <v>17.5</v>
      </c>
    </row>
    <row r="4641" spans="1:2" x14ac:dyDescent="0.35">
      <c r="A4641" s="91" t="s">
        <v>5607</v>
      </c>
      <c r="B4641" s="9">
        <v>8.8000000000000007</v>
      </c>
    </row>
    <row r="4642" spans="1:2" x14ac:dyDescent="0.35">
      <c r="A4642" s="91" t="s">
        <v>4883</v>
      </c>
      <c r="B4642" s="9">
        <v>19</v>
      </c>
    </row>
    <row r="4643" spans="1:2" x14ac:dyDescent="0.35">
      <c r="A4643" s="91" t="s">
        <v>4918</v>
      </c>
      <c r="B4643" s="9">
        <v>11.399999999999999</v>
      </c>
    </row>
    <row r="4644" spans="1:2" x14ac:dyDescent="0.35">
      <c r="A4644" s="91" t="s">
        <v>3011</v>
      </c>
      <c r="B4644" s="9">
        <v>7.5</v>
      </c>
    </row>
    <row r="4645" spans="1:2" x14ac:dyDescent="0.35">
      <c r="A4645" s="91" t="s">
        <v>1717</v>
      </c>
      <c r="B4645" s="9">
        <v>19</v>
      </c>
    </row>
    <row r="4646" spans="1:2" x14ac:dyDescent="0.35">
      <c r="A4646" s="91" t="s">
        <v>5571</v>
      </c>
      <c r="B4646" s="9">
        <v>10.5</v>
      </c>
    </row>
    <row r="4647" spans="1:2" x14ac:dyDescent="0.35">
      <c r="A4647" s="91" t="s">
        <v>2305</v>
      </c>
      <c r="B4647" s="9">
        <v>11</v>
      </c>
    </row>
    <row r="4648" spans="1:2" x14ac:dyDescent="0.35">
      <c r="A4648" s="91" t="s">
        <v>2852</v>
      </c>
      <c r="B4648" s="9">
        <v>11.399999999999999</v>
      </c>
    </row>
    <row r="4649" spans="1:2" x14ac:dyDescent="0.35">
      <c r="A4649" s="91" t="s">
        <v>4629</v>
      </c>
      <c r="B4649" s="9">
        <v>3.5</v>
      </c>
    </row>
    <row r="4650" spans="1:2" x14ac:dyDescent="0.35">
      <c r="A4650" s="91" t="s">
        <v>2483</v>
      </c>
      <c r="B4650" s="9">
        <v>19</v>
      </c>
    </row>
    <row r="4651" spans="1:2" x14ac:dyDescent="0.35">
      <c r="A4651" s="91" t="s">
        <v>1588</v>
      </c>
      <c r="B4651" s="9">
        <v>10.5</v>
      </c>
    </row>
    <row r="4652" spans="1:2" x14ac:dyDescent="0.35">
      <c r="A4652" s="91" t="s">
        <v>779</v>
      </c>
      <c r="B4652" s="9">
        <v>14</v>
      </c>
    </row>
    <row r="4653" spans="1:2" x14ac:dyDescent="0.35">
      <c r="A4653" s="91" t="s">
        <v>1891</v>
      </c>
      <c r="B4653" s="9">
        <v>2.8</v>
      </c>
    </row>
    <row r="4654" spans="1:2" x14ac:dyDescent="0.35">
      <c r="A4654" s="91" t="s">
        <v>1134</v>
      </c>
      <c r="B4654" s="9">
        <v>6.6000000000000005</v>
      </c>
    </row>
    <row r="4655" spans="1:2" x14ac:dyDescent="0.35">
      <c r="A4655" s="91" t="s">
        <v>1004</v>
      </c>
      <c r="B4655" s="9">
        <v>11.2</v>
      </c>
    </row>
    <row r="4656" spans="1:2" x14ac:dyDescent="0.35">
      <c r="A4656" s="91" t="s">
        <v>3891</v>
      </c>
      <c r="B4656" s="9">
        <v>11.399999999999999</v>
      </c>
    </row>
    <row r="4657" spans="1:2" x14ac:dyDescent="0.35">
      <c r="A4657" s="91" t="s">
        <v>1654</v>
      </c>
      <c r="B4657" s="9">
        <v>2.5</v>
      </c>
    </row>
    <row r="4658" spans="1:2" x14ac:dyDescent="0.35">
      <c r="A4658" s="91" t="s">
        <v>2248</v>
      </c>
      <c r="B4658" s="9">
        <v>12.5</v>
      </c>
    </row>
    <row r="4659" spans="1:2" x14ac:dyDescent="0.35">
      <c r="A4659" s="91" t="s">
        <v>3765</v>
      </c>
      <c r="B4659" s="9">
        <v>11</v>
      </c>
    </row>
    <row r="4660" spans="1:2" x14ac:dyDescent="0.35">
      <c r="A4660" s="91" t="s">
        <v>5664</v>
      </c>
      <c r="B4660" s="9">
        <v>7</v>
      </c>
    </row>
    <row r="4661" spans="1:2" x14ac:dyDescent="0.35">
      <c r="A4661" s="91" t="s">
        <v>4295</v>
      </c>
      <c r="B4661" s="9">
        <v>15.2</v>
      </c>
    </row>
    <row r="4662" spans="1:2" x14ac:dyDescent="0.35">
      <c r="A4662" s="91" t="s">
        <v>110</v>
      </c>
      <c r="B4662" s="9">
        <v>2.5</v>
      </c>
    </row>
    <row r="4663" spans="1:2" x14ac:dyDescent="0.35">
      <c r="A4663" s="91" t="s">
        <v>3932</v>
      </c>
      <c r="B4663" s="9">
        <v>17.5</v>
      </c>
    </row>
    <row r="4664" spans="1:2" x14ac:dyDescent="0.35">
      <c r="A4664" s="91" t="s">
        <v>4013</v>
      </c>
      <c r="B4664" s="9">
        <v>7.5</v>
      </c>
    </row>
    <row r="4665" spans="1:2" x14ac:dyDescent="0.35">
      <c r="A4665" s="91" t="s">
        <v>5143</v>
      </c>
      <c r="B4665" s="9">
        <v>10</v>
      </c>
    </row>
    <row r="4666" spans="1:2" x14ac:dyDescent="0.35">
      <c r="A4666" s="91" t="s">
        <v>2904</v>
      </c>
      <c r="B4666" s="9">
        <v>11</v>
      </c>
    </row>
    <row r="4667" spans="1:2" x14ac:dyDescent="0.35">
      <c r="A4667" s="91" t="s">
        <v>6004</v>
      </c>
      <c r="B4667" s="9">
        <v>2.8</v>
      </c>
    </row>
    <row r="4668" spans="1:2" x14ac:dyDescent="0.35">
      <c r="A4668" s="91" t="s">
        <v>355</v>
      </c>
      <c r="B4668" s="9">
        <v>14</v>
      </c>
    </row>
    <row r="4669" spans="1:2" x14ac:dyDescent="0.35">
      <c r="A4669" s="91" t="s">
        <v>635</v>
      </c>
      <c r="B4669" s="9">
        <v>8.8000000000000007</v>
      </c>
    </row>
    <row r="4670" spans="1:2" x14ac:dyDescent="0.35">
      <c r="A4670" s="91" t="s">
        <v>3855</v>
      </c>
      <c r="B4670" s="9">
        <v>2.2000000000000002</v>
      </c>
    </row>
    <row r="4671" spans="1:2" x14ac:dyDescent="0.35">
      <c r="A4671" s="91" t="s">
        <v>4801</v>
      </c>
      <c r="B4671" s="9">
        <v>12.5</v>
      </c>
    </row>
    <row r="4672" spans="1:2" x14ac:dyDescent="0.35">
      <c r="A4672" s="91" t="s">
        <v>3305</v>
      </c>
      <c r="B4672" s="9">
        <v>14</v>
      </c>
    </row>
    <row r="4673" spans="1:2" x14ac:dyDescent="0.35">
      <c r="A4673" s="91" t="s">
        <v>4557</v>
      </c>
      <c r="B4673" s="9">
        <v>5</v>
      </c>
    </row>
    <row r="4674" spans="1:2" x14ac:dyDescent="0.35">
      <c r="A4674" s="91" t="s">
        <v>2102</v>
      </c>
      <c r="B4674" s="9">
        <v>11.2</v>
      </c>
    </row>
    <row r="4675" spans="1:2" x14ac:dyDescent="0.35">
      <c r="A4675" s="91" t="s">
        <v>4630</v>
      </c>
      <c r="B4675" s="9">
        <v>11</v>
      </c>
    </row>
    <row r="4676" spans="1:2" x14ac:dyDescent="0.35">
      <c r="A4676" s="91" t="s">
        <v>2701</v>
      </c>
      <c r="B4676" s="9">
        <v>11.399999999999999</v>
      </c>
    </row>
    <row r="4677" spans="1:2" x14ac:dyDescent="0.35">
      <c r="A4677" s="91" t="s">
        <v>751</v>
      </c>
      <c r="B4677" s="9">
        <v>14</v>
      </c>
    </row>
    <row r="4678" spans="1:2" x14ac:dyDescent="0.35">
      <c r="A4678" s="91" t="s">
        <v>3739</v>
      </c>
      <c r="B4678" s="9">
        <v>3.8</v>
      </c>
    </row>
    <row r="4679" spans="1:2" x14ac:dyDescent="0.35">
      <c r="A4679" s="91" t="s">
        <v>4373</v>
      </c>
      <c r="B4679" s="9">
        <v>5</v>
      </c>
    </row>
    <row r="4680" spans="1:2" x14ac:dyDescent="0.35">
      <c r="A4680" s="91" t="s">
        <v>5444</v>
      </c>
      <c r="B4680" s="9">
        <v>3.5</v>
      </c>
    </row>
    <row r="4681" spans="1:2" x14ac:dyDescent="0.35">
      <c r="A4681" s="91" t="s">
        <v>5250</v>
      </c>
      <c r="B4681" s="9">
        <v>4.4000000000000004</v>
      </c>
    </row>
    <row r="4682" spans="1:2" x14ac:dyDescent="0.35">
      <c r="A4682" s="91" t="s">
        <v>4758</v>
      </c>
      <c r="B4682" s="9">
        <v>11.399999999999999</v>
      </c>
    </row>
    <row r="4683" spans="1:2" x14ac:dyDescent="0.35">
      <c r="A4683" s="91" t="s">
        <v>4919</v>
      </c>
      <c r="B4683" s="9">
        <v>3.5</v>
      </c>
    </row>
    <row r="4684" spans="1:2" x14ac:dyDescent="0.35">
      <c r="A4684" s="91" t="s">
        <v>525</v>
      </c>
      <c r="B4684" s="9">
        <v>11</v>
      </c>
    </row>
    <row r="4685" spans="1:2" x14ac:dyDescent="0.35">
      <c r="A4685" s="91" t="s">
        <v>357</v>
      </c>
      <c r="B4685" s="9">
        <v>11.399999999999999</v>
      </c>
    </row>
    <row r="4686" spans="1:2" x14ac:dyDescent="0.35">
      <c r="A4686" s="91" t="s">
        <v>3091</v>
      </c>
      <c r="B4686" s="9">
        <v>5.6</v>
      </c>
    </row>
    <row r="4687" spans="1:2" x14ac:dyDescent="0.35">
      <c r="A4687" s="91" t="s">
        <v>4451</v>
      </c>
      <c r="B4687" s="9">
        <v>10.5</v>
      </c>
    </row>
    <row r="4688" spans="1:2" x14ac:dyDescent="0.35">
      <c r="A4688" s="91" t="s">
        <v>5848</v>
      </c>
      <c r="B4688" s="9">
        <v>2.5</v>
      </c>
    </row>
    <row r="4689" spans="1:2" x14ac:dyDescent="0.35">
      <c r="A4689" s="91" t="s">
        <v>3766</v>
      </c>
      <c r="B4689" s="9">
        <v>5.6</v>
      </c>
    </row>
    <row r="4690" spans="1:2" x14ac:dyDescent="0.35">
      <c r="A4690" s="91" t="s">
        <v>4716</v>
      </c>
      <c r="B4690" s="9">
        <v>3.5</v>
      </c>
    </row>
    <row r="4691" spans="1:2" x14ac:dyDescent="0.35">
      <c r="A4691" s="91" t="s">
        <v>147</v>
      </c>
      <c r="B4691" s="9">
        <v>3.5</v>
      </c>
    </row>
    <row r="4692" spans="1:2" x14ac:dyDescent="0.35">
      <c r="A4692" s="91" t="s">
        <v>5298</v>
      </c>
      <c r="B4692" s="9">
        <v>14</v>
      </c>
    </row>
    <row r="4693" spans="1:2" x14ac:dyDescent="0.35">
      <c r="A4693" s="91" t="s">
        <v>5552</v>
      </c>
      <c r="B4693" s="9">
        <v>17.5</v>
      </c>
    </row>
    <row r="4694" spans="1:2" x14ac:dyDescent="0.35">
      <c r="A4694" s="91" t="s">
        <v>5207</v>
      </c>
      <c r="B4694" s="9">
        <v>12.5</v>
      </c>
    </row>
    <row r="4695" spans="1:2" x14ac:dyDescent="0.35">
      <c r="A4695" s="91" t="s">
        <v>805</v>
      </c>
      <c r="B4695" s="9">
        <v>2.8</v>
      </c>
    </row>
    <row r="4696" spans="1:2" x14ac:dyDescent="0.35">
      <c r="A4696" s="91" t="s">
        <v>489</v>
      </c>
      <c r="B4696" s="9">
        <v>4.4000000000000004</v>
      </c>
    </row>
    <row r="4697" spans="1:2" x14ac:dyDescent="0.35">
      <c r="A4697" s="91" t="s">
        <v>2484</v>
      </c>
      <c r="B4697" s="9">
        <v>3.8</v>
      </c>
    </row>
    <row r="4698" spans="1:2" x14ac:dyDescent="0.35">
      <c r="A4698" s="91" t="s">
        <v>1513</v>
      </c>
      <c r="B4698" s="9">
        <v>10</v>
      </c>
    </row>
    <row r="4699" spans="1:2" x14ac:dyDescent="0.35">
      <c r="A4699" s="91" t="s">
        <v>5299</v>
      </c>
      <c r="B4699" s="9">
        <v>3.8</v>
      </c>
    </row>
    <row r="4700" spans="1:2" x14ac:dyDescent="0.35">
      <c r="A4700" s="91" t="s">
        <v>405</v>
      </c>
      <c r="B4700" s="9">
        <v>14</v>
      </c>
    </row>
    <row r="4701" spans="1:2" x14ac:dyDescent="0.35">
      <c r="A4701" s="91" t="s">
        <v>3625</v>
      </c>
      <c r="B4701" s="9">
        <v>7</v>
      </c>
    </row>
    <row r="4702" spans="1:2" x14ac:dyDescent="0.35">
      <c r="A4702" s="91" t="s">
        <v>1396</v>
      </c>
      <c r="B4702" s="9">
        <v>3.8</v>
      </c>
    </row>
    <row r="4703" spans="1:2" x14ac:dyDescent="0.35">
      <c r="A4703" s="91" t="s">
        <v>3092</v>
      </c>
      <c r="B4703" s="9">
        <v>2.5</v>
      </c>
    </row>
    <row r="4704" spans="1:2" x14ac:dyDescent="0.35">
      <c r="A4704" s="91" t="s">
        <v>3419</v>
      </c>
      <c r="B4704" s="9">
        <v>8.3999999999999986</v>
      </c>
    </row>
    <row r="4705" spans="1:2" x14ac:dyDescent="0.35">
      <c r="A4705" s="91" t="s">
        <v>4515</v>
      </c>
      <c r="B4705" s="9">
        <v>3.8</v>
      </c>
    </row>
    <row r="4706" spans="1:2" x14ac:dyDescent="0.35">
      <c r="A4706" s="91" t="s">
        <v>5047</v>
      </c>
      <c r="B4706" s="9">
        <v>15.2</v>
      </c>
    </row>
    <row r="4707" spans="1:2" x14ac:dyDescent="0.35">
      <c r="A4707" s="91" t="s">
        <v>5781</v>
      </c>
      <c r="B4707" s="9">
        <v>8.8000000000000007</v>
      </c>
    </row>
    <row r="4708" spans="1:2" x14ac:dyDescent="0.35">
      <c r="A4708" s="91" t="s">
        <v>3190</v>
      </c>
      <c r="B4708" s="9">
        <v>3.8</v>
      </c>
    </row>
    <row r="4709" spans="1:2" x14ac:dyDescent="0.35">
      <c r="A4709" s="91" t="s">
        <v>4338</v>
      </c>
      <c r="B4709" s="9">
        <v>4.4000000000000004</v>
      </c>
    </row>
    <row r="4710" spans="1:2" x14ac:dyDescent="0.35">
      <c r="A4710" s="91" t="s">
        <v>4852</v>
      </c>
      <c r="B4710" s="9">
        <v>12.5</v>
      </c>
    </row>
    <row r="4711" spans="1:2" x14ac:dyDescent="0.35">
      <c r="A4711" s="91" t="s">
        <v>4717</v>
      </c>
      <c r="B4711" s="9">
        <v>14</v>
      </c>
    </row>
    <row r="4712" spans="1:2" x14ac:dyDescent="0.35">
      <c r="A4712" s="91" t="s">
        <v>203</v>
      </c>
      <c r="B4712" s="9">
        <v>2.5</v>
      </c>
    </row>
    <row r="4713" spans="1:2" x14ac:dyDescent="0.35">
      <c r="A4713" s="91" t="s">
        <v>1514</v>
      </c>
      <c r="B4713" s="9">
        <v>3.5</v>
      </c>
    </row>
    <row r="4714" spans="1:2" x14ac:dyDescent="0.35">
      <c r="A4714" s="91" t="s">
        <v>1824</v>
      </c>
      <c r="B4714" s="9">
        <v>2.5</v>
      </c>
    </row>
    <row r="4715" spans="1:2" x14ac:dyDescent="0.35">
      <c r="A4715" s="91" t="s">
        <v>3343</v>
      </c>
      <c r="B4715" s="9">
        <v>5.6</v>
      </c>
    </row>
    <row r="4716" spans="1:2" x14ac:dyDescent="0.35">
      <c r="A4716" s="91" t="s">
        <v>5251</v>
      </c>
      <c r="B4716" s="9">
        <v>7.5</v>
      </c>
    </row>
    <row r="4717" spans="1:2" x14ac:dyDescent="0.35">
      <c r="A4717" s="91" t="s">
        <v>1398</v>
      </c>
      <c r="B4717" s="9">
        <v>14</v>
      </c>
    </row>
    <row r="4718" spans="1:2" x14ac:dyDescent="0.35">
      <c r="A4718" s="91" t="s">
        <v>5048</v>
      </c>
      <c r="B4718" s="9">
        <v>10</v>
      </c>
    </row>
    <row r="4719" spans="1:2" x14ac:dyDescent="0.35">
      <c r="A4719" s="91" t="s">
        <v>1565</v>
      </c>
      <c r="B4719" s="9">
        <v>2.8</v>
      </c>
    </row>
    <row r="4720" spans="1:2" x14ac:dyDescent="0.35">
      <c r="A4720" s="91" t="s">
        <v>381</v>
      </c>
      <c r="B4720" s="9">
        <v>2.8</v>
      </c>
    </row>
    <row r="4721" spans="1:2" x14ac:dyDescent="0.35">
      <c r="A4721" s="91" t="s">
        <v>2881</v>
      </c>
      <c r="B4721" s="9">
        <v>11.2</v>
      </c>
    </row>
    <row r="4722" spans="1:2" x14ac:dyDescent="0.35">
      <c r="A4722" s="91" t="s">
        <v>3660</v>
      </c>
      <c r="B4722" s="9">
        <v>8.3999999999999986</v>
      </c>
    </row>
    <row r="4723" spans="1:2" x14ac:dyDescent="0.35">
      <c r="A4723" s="91" t="s">
        <v>5354</v>
      </c>
      <c r="B4723" s="9">
        <v>12.5</v>
      </c>
    </row>
    <row r="4724" spans="1:2" x14ac:dyDescent="0.35">
      <c r="A4724" s="91" t="s">
        <v>2485</v>
      </c>
      <c r="B4724" s="9">
        <v>3.5</v>
      </c>
    </row>
    <row r="4725" spans="1:2" x14ac:dyDescent="0.35">
      <c r="A4725" s="91" t="s">
        <v>3306</v>
      </c>
      <c r="B4725" s="9">
        <v>8.3999999999999986</v>
      </c>
    </row>
    <row r="4726" spans="1:2" x14ac:dyDescent="0.35">
      <c r="A4726" s="91" t="s">
        <v>4014</v>
      </c>
      <c r="B4726" s="9">
        <v>10</v>
      </c>
    </row>
    <row r="4727" spans="1:2" x14ac:dyDescent="0.35">
      <c r="A4727" s="91" t="s">
        <v>4414</v>
      </c>
      <c r="B4727" s="9">
        <v>8.8000000000000007</v>
      </c>
    </row>
    <row r="4728" spans="1:2" x14ac:dyDescent="0.35">
      <c r="A4728" s="91" t="s">
        <v>2862</v>
      </c>
      <c r="B4728" s="9">
        <v>19</v>
      </c>
    </row>
    <row r="4729" spans="1:2" x14ac:dyDescent="0.35">
      <c r="A4729" s="91" t="s">
        <v>4135</v>
      </c>
      <c r="B4729" s="9">
        <v>7.5</v>
      </c>
    </row>
    <row r="4730" spans="1:2" x14ac:dyDescent="0.35">
      <c r="A4730" s="91" t="s">
        <v>4897</v>
      </c>
      <c r="B4730" s="9">
        <v>10</v>
      </c>
    </row>
    <row r="4731" spans="1:2" x14ac:dyDescent="0.35">
      <c r="A4731" s="91" t="s">
        <v>4437</v>
      </c>
      <c r="B4731" s="9">
        <v>2.8</v>
      </c>
    </row>
    <row r="4732" spans="1:2" x14ac:dyDescent="0.35">
      <c r="A4732" s="91" t="s">
        <v>2249</v>
      </c>
      <c r="B4732" s="9">
        <v>10</v>
      </c>
    </row>
    <row r="4733" spans="1:2" x14ac:dyDescent="0.35">
      <c r="A4733" s="91" t="s">
        <v>3307</v>
      </c>
      <c r="B4733" s="9">
        <v>3.8</v>
      </c>
    </row>
    <row r="4734" spans="1:2" x14ac:dyDescent="0.35">
      <c r="A4734" s="91" t="s">
        <v>4425</v>
      </c>
      <c r="B4734" s="9">
        <v>10.5</v>
      </c>
    </row>
    <row r="4735" spans="1:2" x14ac:dyDescent="0.35">
      <c r="A4735" s="91" t="s">
        <v>5006</v>
      </c>
      <c r="B4735" s="9">
        <v>3.8</v>
      </c>
    </row>
    <row r="4736" spans="1:2" x14ac:dyDescent="0.35">
      <c r="A4736" s="91" t="s">
        <v>2250</v>
      </c>
      <c r="B4736" s="9">
        <v>8.8000000000000007</v>
      </c>
    </row>
    <row r="4737" spans="1:2" x14ac:dyDescent="0.35">
      <c r="A4737" s="91" t="s">
        <v>3892</v>
      </c>
      <c r="B4737" s="9">
        <v>6.6000000000000005</v>
      </c>
    </row>
    <row r="4738" spans="1:2" x14ac:dyDescent="0.35">
      <c r="A4738" s="91" t="s">
        <v>3767</v>
      </c>
      <c r="B4738" s="9">
        <v>6.6000000000000005</v>
      </c>
    </row>
    <row r="4739" spans="1:2" x14ac:dyDescent="0.35">
      <c r="A4739" s="91" t="s">
        <v>2174</v>
      </c>
      <c r="B4739" s="9">
        <v>5</v>
      </c>
    </row>
    <row r="4740" spans="1:2" x14ac:dyDescent="0.35">
      <c r="A4740" s="91" t="s">
        <v>4703</v>
      </c>
      <c r="B4740" s="9">
        <v>11.2</v>
      </c>
    </row>
    <row r="4741" spans="1:2" x14ac:dyDescent="0.35">
      <c r="A4741" s="91" t="s">
        <v>5665</v>
      </c>
      <c r="B4741" s="9">
        <v>14</v>
      </c>
    </row>
    <row r="4742" spans="1:2" x14ac:dyDescent="0.35">
      <c r="A4742" s="91" t="s">
        <v>2982</v>
      </c>
      <c r="B4742" s="9">
        <v>19</v>
      </c>
    </row>
    <row r="4743" spans="1:2" x14ac:dyDescent="0.35">
      <c r="A4743" s="91" t="s">
        <v>1535</v>
      </c>
      <c r="B4743" s="9">
        <v>11.399999999999999</v>
      </c>
    </row>
    <row r="4744" spans="1:2" x14ac:dyDescent="0.35">
      <c r="A4744" s="91" t="s">
        <v>1627</v>
      </c>
      <c r="B4744" s="9">
        <v>3.8</v>
      </c>
    </row>
    <row r="4745" spans="1:2" x14ac:dyDescent="0.35">
      <c r="A4745" s="91" t="s">
        <v>1505</v>
      </c>
      <c r="B4745" s="9">
        <v>8.8000000000000007</v>
      </c>
    </row>
    <row r="4746" spans="1:2" x14ac:dyDescent="0.35">
      <c r="A4746" s="91" t="s">
        <v>4202</v>
      </c>
      <c r="B4746" s="9">
        <v>3.5</v>
      </c>
    </row>
    <row r="4747" spans="1:2" x14ac:dyDescent="0.35">
      <c r="A4747" s="91" t="s">
        <v>2997</v>
      </c>
      <c r="B4747" s="9">
        <v>2.5</v>
      </c>
    </row>
    <row r="4748" spans="1:2" x14ac:dyDescent="0.35">
      <c r="A4748" s="91" t="s">
        <v>1826</v>
      </c>
      <c r="B4748" s="9">
        <v>12.5</v>
      </c>
    </row>
    <row r="4749" spans="1:2" x14ac:dyDescent="0.35">
      <c r="A4749" s="91" t="s">
        <v>4596</v>
      </c>
      <c r="B4749" s="9">
        <v>4.4000000000000004</v>
      </c>
    </row>
    <row r="4750" spans="1:2" x14ac:dyDescent="0.35">
      <c r="A4750" s="91" t="s">
        <v>4959</v>
      </c>
      <c r="B4750" s="9">
        <v>3.5</v>
      </c>
    </row>
    <row r="4751" spans="1:2" x14ac:dyDescent="0.35">
      <c r="A4751" s="91" t="s">
        <v>3586</v>
      </c>
      <c r="B4751" s="9">
        <v>10</v>
      </c>
    </row>
    <row r="4752" spans="1:2" x14ac:dyDescent="0.35">
      <c r="A4752" s="91" t="s">
        <v>1324</v>
      </c>
      <c r="B4752" s="9">
        <v>6.6000000000000005</v>
      </c>
    </row>
    <row r="4753" spans="1:2" x14ac:dyDescent="0.35">
      <c r="A4753" s="91" t="s">
        <v>4463</v>
      </c>
      <c r="B4753" s="9">
        <v>17.5</v>
      </c>
    </row>
    <row r="4754" spans="1:2" x14ac:dyDescent="0.35">
      <c r="A4754" s="91" t="s">
        <v>3606</v>
      </c>
      <c r="B4754" s="9">
        <v>11.2</v>
      </c>
    </row>
    <row r="4755" spans="1:2" x14ac:dyDescent="0.35">
      <c r="A4755" s="91" t="s">
        <v>723</v>
      </c>
      <c r="B4755" s="9">
        <v>8.8000000000000007</v>
      </c>
    </row>
    <row r="4756" spans="1:2" x14ac:dyDescent="0.35">
      <c r="A4756" s="91" t="s">
        <v>2547</v>
      </c>
      <c r="B4756" s="9">
        <v>10</v>
      </c>
    </row>
    <row r="4757" spans="1:2" x14ac:dyDescent="0.35">
      <c r="A4757" s="91" t="s">
        <v>2232</v>
      </c>
      <c r="B4757" s="9">
        <v>2.8</v>
      </c>
    </row>
    <row r="4758" spans="1:2" x14ac:dyDescent="0.35">
      <c r="A4758" s="91" t="s">
        <v>5694</v>
      </c>
      <c r="B4758" s="9">
        <v>12.5</v>
      </c>
    </row>
    <row r="4759" spans="1:2" x14ac:dyDescent="0.35">
      <c r="A4759" s="91" t="s">
        <v>4269</v>
      </c>
      <c r="B4759" s="9">
        <v>17.5</v>
      </c>
    </row>
    <row r="4760" spans="1:2" x14ac:dyDescent="0.35">
      <c r="A4760" s="91" t="s">
        <v>2103</v>
      </c>
      <c r="B4760" s="9">
        <v>2.8</v>
      </c>
    </row>
    <row r="4761" spans="1:2" x14ac:dyDescent="0.35">
      <c r="A4761" s="91" t="s">
        <v>872</v>
      </c>
      <c r="B4761" s="9">
        <v>3.8</v>
      </c>
    </row>
    <row r="4762" spans="1:2" x14ac:dyDescent="0.35">
      <c r="A4762" s="91" t="s">
        <v>2354</v>
      </c>
      <c r="B4762" s="9">
        <v>2.8</v>
      </c>
    </row>
    <row r="4763" spans="1:2" x14ac:dyDescent="0.35">
      <c r="A4763" s="91" t="s">
        <v>5678</v>
      </c>
      <c r="B4763" s="9">
        <v>17.5</v>
      </c>
    </row>
    <row r="4764" spans="1:2" x14ac:dyDescent="0.35">
      <c r="A4764" s="91" t="s">
        <v>3976</v>
      </c>
      <c r="B4764" s="9">
        <v>10.5</v>
      </c>
    </row>
    <row r="4765" spans="1:2" x14ac:dyDescent="0.35">
      <c r="A4765" s="91" t="s">
        <v>1909</v>
      </c>
      <c r="B4765" s="9">
        <v>10.5</v>
      </c>
    </row>
    <row r="4766" spans="1:2" x14ac:dyDescent="0.35">
      <c r="A4766" s="91" t="s">
        <v>315</v>
      </c>
      <c r="B4766" s="9">
        <v>10</v>
      </c>
    </row>
    <row r="4767" spans="1:2" x14ac:dyDescent="0.35">
      <c r="A4767" s="91" t="s">
        <v>5638</v>
      </c>
      <c r="B4767" s="9">
        <v>2.5</v>
      </c>
    </row>
    <row r="4768" spans="1:2" x14ac:dyDescent="0.35">
      <c r="A4768" s="91" t="s">
        <v>3687</v>
      </c>
      <c r="B4768" s="9">
        <v>12.5</v>
      </c>
    </row>
    <row r="4769" spans="1:2" x14ac:dyDescent="0.35">
      <c r="A4769" s="91" t="s">
        <v>2712</v>
      </c>
      <c r="B4769" s="9">
        <v>14</v>
      </c>
    </row>
    <row r="4770" spans="1:2" x14ac:dyDescent="0.35">
      <c r="A4770" s="91" t="s">
        <v>5772</v>
      </c>
      <c r="B4770" s="9">
        <v>4.4000000000000004</v>
      </c>
    </row>
    <row r="4771" spans="1:2" x14ac:dyDescent="0.35">
      <c r="A4771" s="91" t="s">
        <v>4817</v>
      </c>
      <c r="B4771" s="9">
        <v>3.5</v>
      </c>
    </row>
    <row r="4772" spans="1:2" x14ac:dyDescent="0.35">
      <c r="A4772" s="91" t="s">
        <v>3526</v>
      </c>
      <c r="B4772" s="9">
        <v>5.6</v>
      </c>
    </row>
    <row r="4773" spans="1:2" x14ac:dyDescent="0.35">
      <c r="A4773" s="91" t="s">
        <v>3409</v>
      </c>
      <c r="B4773" s="9">
        <v>7</v>
      </c>
    </row>
    <row r="4774" spans="1:2" x14ac:dyDescent="0.35">
      <c r="A4774" s="91" t="s">
        <v>1006</v>
      </c>
      <c r="B4774" s="9">
        <v>8.3999999999999986</v>
      </c>
    </row>
    <row r="4775" spans="1:2" x14ac:dyDescent="0.35">
      <c r="A4775" s="91" t="s">
        <v>2471</v>
      </c>
      <c r="B4775" s="9">
        <v>7</v>
      </c>
    </row>
    <row r="4776" spans="1:2" x14ac:dyDescent="0.35">
      <c r="A4776" s="91" t="s">
        <v>5572</v>
      </c>
      <c r="B4776" s="9">
        <v>5</v>
      </c>
    </row>
    <row r="4777" spans="1:2" x14ac:dyDescent="0.35">
      <c r="A4777" s="91" t="s">
        <v>1730</v>
      </c>
      <c r="B4777" s="9">
        <v>2.8</v>
      </c>
    </row>
    <row r="4778" spans="1:2" x14ac:dyDescent="0.35">
      <c r="A4778" s="91" t="s">
        <v>5144</v>
      </c>
      <c r="B4778" s="9">
        <v>2.5</v>
      </c>
    </row>
    <row r="4779" spans="1:2" x14ac:dyDescent="0.35">
      <c r="A4779" s="91" t="s">
        <v>4759</v>
      </c>
      <c r="B4779" s="9">
        <v>8.8000000000000007</v>
      </c>
    </row>
    <row r="4780" spans="1:2" x14ac:dyDescent="0.35">
      <c r="A4780" s="91" t="s">
        <v>5431</v>
      </c>
      <c r="B4780" s="9">
        <v>17.5</v>
      </c>
    </row>
    <row r="4781" spans="1:2" x14ac:dyDescent="0.35">
      <c r="A4781" s="91" t="s">
        <v>1784</v>
      </c>
      <c r="B4781" s="9">
        <v>8.8000000000000007</v>
      </c>
    </row>
    <row r="4782" spans="1:2" x14ac:dyDescent="0.35">
      <c r="A4782" s="91" t="s">
        <v>425</v>
      </c>
      <c r="B4782" s="9">
        <v>10.5</v>
      </c>
    </row>
    <row r="4783" spans="1:2" x14ac:dyDescent="0.35">
      <c r="A4783" s="91" t="s">
        <v>4734</v>
      </c>
      <c r="B4783" s="9">
        <v>7.5</v>
      </c>
    </row>
    <row r="4784" spans="1:2" x14ac:dyDescent="0.35">
      <c r="A4784" s="91" t="s">
        <v>4928</v>
      </c>
      <c r="B4784" s="9">
        <v>19</v>
      </c>
    </row>
    <row r="4785" spans="1:2" x14ac:dyDescent="0.35">
      <c r="A4785" s="91" t="s">
        <v>5746</v>
      </c>
      <c r="B4785" s="9">
        <v>14</v>
      </c>
    </row>
    <row r="4786" spans="1:2" x14ac:dyDescent="0.35">
      <c r="A4786" s="91" t="s">
        <v>3236</v>
      </c>
      <c r="B4786" s="9">
        <v>10.5</v>
      </c>
    </row>
    <row r="4787" spans="1:2" x14ac:dyDescent="0.35">
      <c r="A4787" s="91" t="s">
        <v>2292</v>
      </c>
      <c r="B4787" s="9">
        <v>7.5</v>
      </c>
    </row>
    <row r="4788" spans="1:2" x14ac:dyDescent="0.35">
      <c r="A4788" s="91" t="s">
        <v>1435</v>
      </c>
      <c r="B4788" s="9">
        <v>2.2000000000000002</v>
      </c>
    </row>
    <row r="4789" spans="1:2" x14ac:dyDescent="0.35">
      <c r="A4789" s="91" t="s">
        <v>4718</v>
      </c>
      <c r="B4789" s="9">
        <v>10.5</v>
      </c>
    </row>
    <row r="4790" spans="1:2" x14ac:dyDescent="0.35">
      <c r="A4790" s="91" t="s">
        <v>5007</v>
      </c>
      <c r="B4790" s="9">
        <v>17.5</v>
      </c>
    </row>
    <row r="4791" spans="1:2" x14ac:dyDescent="0.35">
      <c r="A4791" s="91" t="s">
        <v>2306</v>
      </c>
      <c r="B4791" s="9">
        <v>6.6000000000000005</v>
      </c>
    </row>
    <row r="4792" spans="1:2" x14ac:dyDescent="0.35">
      <c r="A4792" s="91" t="s">
        <v>4692</v>
      </c>
      <c r="B4792" s="9">
        <v>11.399999999999999</v>
      </c>
    </row>
    <row r="4793" spans="1:2" x14ac:dyDescent="0.35">
      <c r="A4793" s="91" t="s">
        <v>2294</v>
      </c>
      <c r="B4793" s="9">
        <v>14</v>
      </c>
    </row>
    <row r="4794" spans="1:2" x14ac:dyDescent="0.35">
      <c r="A4794" s="91" t="s">
        <v>5888</v>
      </c>
      <c r="B4794" s="9">
        <v>3.5</v>
      </c>
    </row>
    <row r="4795" spans="1:2" x14ac:dyDescent="0.35">
      <c r="A4795" s="91" t="s">
        <v>3276</v>
      </c>
      <c r="B4795" s="9">
        <v>5</v>
      </c>
    </row>
    <row r="4796" spans="1:2" x14ac:dyDescent="0.35">
      <c r="A4796" s="91" t="s">
        <v>3074</v>
      </c>
      <c r="B4796" s="9">
        <v>7</v>
      </c>
    </row>
    <row r="4797" spans="1:2" x14ac:dyDescent="0.35">
      <c r="A4797" s="91" t="s">
        <v>568</v>
      </c>
      <c r="B4797" s="9">
        <v>14</v>
      </c>
    </row>
    <row r="4798" spans="1:2" x14ac:dyDescent="0.35">
      <c r="A4798" s="91" t="s">
        <v>1436</v>
      </c>
      <c r="B4798" s="9">
        <v>11.2</v>
      </c>
    </row>
    <row r="4799" spans="1:2" x14ac:dyDescent="0.35">
      <c r="A4799" s="91" t="s">
        <v>4360</v>
      </c>
      <c r="B4799" s="9">
        <v>5</v>
      </c>
    </row>
    <row r="4800" spans="1:2" x14ac:dyDescent="0.35">
      <c r="A4800" s="91" t="s">
        <v>2821</v>
      </c>
      <c r="B4800" s="9">
        <v>10.5</v>
      </c>
    </row>
    <row r="4801" spans="1:2" x14ac:dyDescent="0.35">
      <c r="A4801" s="91" t="s">
        <v>1892</v>
      </c>
      <c r="B4801" s="9">
        <v>10.5</v>
      </c>
    </row>
    <row r="4802" spans="1:2" x14ac:dyDescent="0.35">
      <c r="A4802" s="91" t="s">
        <v>5679</v>
      </c>
      <c r="B4802" s="9">
        <v>10</v>
      </c>
    </row>
    <row r="4803" spans="1:2" x14ac:dyDescent="0.35">
      <c r="A4803" s="91" t="s">
        <v>3999</v>
      </c>
      <c r="B4803" s="9">
        <v>14</v>
      </c>
    </row>
    <row r="4804" spans="1:2" x14ac:dyDescent="0.35">
      <c r="A4804" s="91" t="s">
        <v>655</v>
      </c>
      <c r="B4804" s="9">
        <v>3.5</v>
      </c>
    </row>
    <row r="4805" spans="1:2" x14ac:dyDescent="0.35">
      <c r="A4805" s="91" t="s">
        <v>5355</v>
      </c>
      <c r="B4805" s="9">
        <v>10</v>
      </c>
    </row>
    <row r="4806" spans="1:2" x14ac:dyDescent="0.35">
      <c r="A4806" s="91" t="s">
        <v>5820</v>
      </c>
      <c r="B4806" s="9">
        <v>7.5</v>
      </c>
    </row>
    <row r="4807" spans="1:2" x14ac:dyDescent="0.35">
      <c r="A4807" s="91" t="s">
        <v>3527</v>
      </c>
      <c r="B4807" s="9">
        <v>10</v>
      </c>
    </row>
    <row r="4808" spans="1:2" x14ac:dyDescent="0.35">
      <c r="A4808" s="91" t="s">
        <v>2049</v>
      </c>
      <c r="B4808" s="9">
        <v>5.6</v>
      </c>
    </row>
    <row r="4809" spans="1:2" x14ac:dyDescent="0.35">
      <c r="A4809" s="91" t="s">
        <v>4597</v>
      </c>
      <c r="B4809" s="9">
        <v>19</v>
      </c>
    </row>
    <row r="4810" spans="1:2" x14ac:dyDescent="0.35">
      <c r="A4810" s="91" t="s">
        <v>3136</v>
      </c>
      <c r="B4810" s="9">
        <v>2.8</v>
      </c>
    </row>
    <row r="4811" spans="1:2" x14ac:dyDescent="0.35">
      <c r="A4811" s="91" t="s">
        <v>3573</v>
      </c>
      <c r="B4811" s="9">
        <v>7.5</v>
      </c>
    </row>
    <row r="4812" spans="1:2" x14ac:dyDescent="0.35">
      <c r="A4812" s="91" t="s">
        <v>2840</v>
      </c>
      <c r="B4812" s="9">
        <v>2.8</v>
      </c>
    </row>
    <row r="4813" spans="1:2" x14ac:dyDescent="0.35">
      <c r="A4813" s="91" t="s">
        <v>3863</v>
      </c>
      <c r="B4813" s="9">
        <v>2.2000000000000002</v>
      </c>
    </row>
    <row r="4814" spans="1:2" x14ac:dyDescent="0.35">
      <c r="A4814" s="91" t="s">
        <v>3209</v>
      </c>
      <c r="B4814" s="9">
        <v>10.5</v>
      </c>
    </row>
    <row r="4815" spans="1:2" x14ac:dyDescent="0.35">
      <c r="A4815" s="91" t="s">
        <v>4648</v>
      </c>
      <c r="B4815" s="9">
        <v>5.6</v>
      </c>
    </row>
    <row r="4816" spans="1:2" x14ac:dyDescent="0.35">
      <c r="A4816" s="91" t="s">
        <v>3012</v>
      </c>
      <c r="B4816" s="9">
        <v>14</v>
      </c>
    </row>
    <row r="4817" spans="1:2" x14ac:dyDescent="0.35">
      <c r="A4817" s="91" t="s">
        <v>3104</v>
      </c>
      <c r="B4817" s="9">
        <v>11</v>
      </c>
    </row>
    <row r="4818" spans="1:2" x14ac:dyDescent="0.35">
      <c r="A4818" s="91" t="s">
        <v>3574</v>
      </c>
      <c r="B4818" s="9">
        <v>19</v>
      </c>
    </row>
    <row r="4819" spans="1:2" x14ac:dyDescent="0.35">
      <c r="A4819" s="91" t="s">
        <v>1999</v>
      </c>
      <c r="B4819" s="9">
        <v>11.2</v>
      </c>
    </row>
    <row r="4820" spans="1:2" x14ac:dyDescent="0.35">
      <c r="A4820" s="91" t="s">
        <v>4743</v>
      </c>
      <c r="B4820" s="9">
        <v>2.8</v>
      </c>
    </row>
    <row r="4821" spans="1:2" x14ac:dyDescent="0.35">
      <c r="A4821" s="91" t="s">
        <v>1186</v>
      </c>
      <c r="B4821" s="9">
        <v>14</v>
      </c>
    </row>
    <row r="4822" spans="1:2" x14ac:dyDescent="0.35">
      <c r="A4822" s="91" t="s">
        <v>5342</v>
      </c>
      <c r="B4822" s="9">
        <v>8.8000000000000007</v>
      </c>
    </row>
    <row r="4823" spans="1:2" x14ac:dyDescent="0.35">
      <c r="A4823" s="91" t="s">
        <v>1536</v>
      </c>
      <c r="B4823" s="9">
        <v>14</v>
      </c>
    </row>
    <row r="4824" spans="1:2" x14ac:dyDescent="0.35">
      <c r="A4824" s="91" t="s">
        <v>1877</v>
      </c>
      <c r="B4824" s="9">
        <v>8.3999999999999986</v>
      </c>
    </row>
    <row r="4825" spans="1:2" x14ac:dyDescent="0.35">
      <c r="A4825" s="91" t="s">
        <v>752</v>
      </c>
      <c r="B4825" s="9">
        <v>3.8</v>
      </c>
    </row>
    <row r="4826" spans="1:2" x14ac:dyDescent="0.35">
      <c r="A4826" s="91" t="s">
        <v>904</v>
      </c>
      <c r="B4826" s="9">
        <v>3.8</v>
      </c>
    </row>
    <row r="4827" spans="1:2" x14ac:dyDescent="0.35">
      <c r="A4827" s="91" t="s">
        <v>5878</v>
      </c>
      <c r="B4827" s="9">
        <v>10.5</v>
      </c>
    </row>
    <row r="4828" spans="1:2" x14ac:dyDescent="0.35">
      <c r="A4828" s="91" t="s">
        <v>1537</v>
      </c>
      <c r="B4828" s="9">
        <v>3.8</v>
      </c>
    </row>
    <row r="4829" spans="1:2" x14ac:dyDescent="0.35">
      <c r="A4829" s="91" t="s">
        <v>3857</v>
      </c>
      <c r="B4829" s="9">
        <v>14</v>
      </c>
    </row>
    <row r="4830" spans="1:2" x14ac:dyDescent="0.35">
      <c r="A4830" s="91" t="s">
        <v>3211</v>
      </c>
      <c r="B4830" s="9">
        <v>3.5</v>
      </c>
    </row>
    <row r="4831" spans="1:2" x14ac:dyDescent="0.35">
      <c r="A4831" s="91" t="s">
        <v>3783</v>
      </c>
      <c r="B4831" s="9">
        <v>14</v>
      </c>
    </row>
    <row r="4832" spans="1:2" x14ac:dyDescent="0.35">
      <c r="A4832" s="91" t="s">
        <v>3013</v>
      </c>
      <c r="B4832" s="9">
        <v>4.4000000000000004</v>
      </c>
    </row>
    <row r="4833" spans="1:2" x14ac:dyDescent="0.35">
      <c r="A4833" s="91" t="s">
        <v>2251</v>
      </c>
      <c r="B4833" s="9">
        <v>8.8000000000000007</v>
      </c>
    </row>
    <row r="4834" spans="1:2" x14ac:dyDescent="0.35">
      <c r="A4834" s="91" t="s">
        <v>4771</v>
      </c>
      <c r="B4834" s="9">
        <v>5</v>
      </c>
    </row>
    <row r="4835" spans="1:2" x14ac:dyDescent="0.35">
      <c r="A4835" s="91" t="s">
        <v>2050</v>
      </c>
      <c r="B4835" s="9">
        <v>11.2</v>
      </c>
    </row>
    <row r="4836" spans="1:2" x14ac:dyDescent="0.35">
      <c r="A4836" s="91" t="s">
        <v>2340</v>
      </c>
      <c r="B4836" s="9">
        <v>7.6</v>
      </c>
    </row>
    <row r="4837" spans="1:2" x14ac:dyDescent="0.35">
      <c r="A4837" s="91" t="s">
        <v>2905</v>
      </c>
      <c r="B4837" s="9">
        <v>2.5</v>
      </c>
    </row>
    <row r="4838" spans="1:2" x14ac:dyDescent="0.35">
      <c r="A4838" s="91" t="s">
        <v>2575</v>
      </c>
      <c r="B4838" s="9">
        <v>8.8000000000000007</v>
      </c>
    </row>
    <row r="4839" spans="1:2" x14ac:dyDescent="0.35">
      <c r="A4839" s="91" t="s">
        <v>1628</v>
      </c>
      <c r="B4839" s="9">
        <v>11.2</v>
      </c>
    </row>
    <row r="4840" spans="1:2" x14ac:dyDescent="0.35">
      <c r="A4840" s="91" t="s">
        <v>1567</v>
      </c>
      <c r="B4840" s="9">
        <v>5.6</v>
      </c>
    </row>
    <row r="4841" spans="1:2" x14ac:dyDescent="0.35">
      <c r="A4841" s="91" t="s">
        <v>3379</v>
      </c>
      <c r="B4841" s="9">
        <v>11</v>
      </c>
    </row>
    <row r="4842" spans="1:2" x14ac:dyDescent="0.35">
      <c r="A4842" s="91" t="s">
        <v>5934</v>
      </c>
      <c r="B4842" s="9">
        <v>5.6</v>
      </c>
    </row>
    <row r="4843" spans="1:2" x14ac:dyDescent="0.35">
      <c r="A4843" s="91" t="s">
        <v>5906</v>
      </c>
      <c r="B4843" s="9">
        <v>7.6</v>
      </c>
    </row>
    <row r="4844" spans="1:2" x14ac:dyDescent="0.35">
      <c r="A4844" s="91" t="s">
        <v>1759</v>
      </c>
      <c r="B4844" s="9">
        <v>3.5</v>
      </c>
    </row>
    <row r="4845" spans="1:2" x14ac:dyDescent="0.35">
      <c r="A4845" s="91" t="s">
        <v>5454</v>
      </c>
      <c r="B4845" s="9">
        <v>5.6</v>
      </c>
    </row>
    <row r="4846" spans="1:2" x14ac:dyDescent="0.35">
      <c r="A4846" s="91" t="s">
        <v>4015</v>
      </c>
      <c r="B4846" s="9">
        <v>2.2000000000000002</v>
      </c>
    </row>
    <row r="4847" spans="1:2" x14ac:dyDescent="0.35">
      <c r="A4847" s="91" t="s">
        <v>2662</v>
      </c>
      <c r="B4847" s="9">
        <v>11</v>
      </c>
    </row>
    <row r="4848" spans="1:2" x14ac:dyDescent="0.35">
      <c r="A4848" s="91" t="s">
        <v>453</v>
      </c>
      <c r="B4848" s="9">
        <v>14</v>
      </c>
    </row>
    <row r="4849" spans="1:2" x14ac:dyDescent="0.35">
      <c r="A4849" s="91" t="s">
        <v>3528</v>
      </c>
      <c r="B4849" s="9">
        <v>10</v>
      </c>
    </row>
    <row r="4850" spans="1:2" x14ac:dyDescent="0.35">
      <c r="A4850" s="91" t="s">
        <v>1270</v>
      </c>
      <c r="B4850" s="9">
        <v>4.4000000000000004</v>
      </c>
    </row>
    <row r="4851" spans="1:2" x14ac:dyDescent="0.35">
      <c r="A4851" s="91" t="s">
        <v>1135</v>
      </c>
      <c r="B4851" s="9">
        <v>7</v>
      </c>
    </row>
    <row r="4852" spans="1:2" x14ac:dyDescent="0.35">
      <c r="A4852" s="91" t="s">
        <v>5967</v>
      </c>
      <c r="B4852" s="9">
        <v>19</v>
      </c>
    </row>
    <row r="4853" spans="1:2" x14ac:dyDescent="0.35">
      <c r="A4853" s="91" t="s">
        <v>3751</v>
      </c>
      <c r="B4853" s="9">
        <v>12.5</v>
      </c>
    </row>
    <row r="4854" spans="1:2" x14ac:dyDescent="0.35">
      <c r="A4854" s="91" t="s">
        <v>5782</v>
      </c>
      <c r="B4854" s="9">
        <v>8.8000000000000007</v>
      </c>
    </row>
    <row r="4855" spans="1:2" x14ac:dyDescent="0.35">
      <c r="A4855" s="91" t="s">
        <v>2307</v>
      </c>
      <c r="B4855" s="9">
        <v>7.5</v>
      </c>
    </row>
    <row r="4856" spans="1:2" x14ac:dyDescent="0.35">
      <c r="A4856" s="91" t="s">
        <v>427</v>
      </c>
      <c r="B4856" s="9">
        <v>3.5</v>
      </c>
    </row>
    <row r="4857" spans="1:2" x14ac:dyDescent="0.35">
      <c r="A4857" s="91" t="s">
        <v>4693</v>
      </c>
      <c r="B4857" s="9">
        <v>2.2000000000000002</v>
      </c>
    </row>
    <row r="4858" spans="1:2" x14ac:dyDescent="0.35">
      <c r="A4858" s="91" t="s">
        <v>407</v>
      </c>
      <c r="B4858" s="9">
        <v>11.399999999999999</v>
      </c>
    </row>
    <row r="4859" spans="1:2" x14ac:dyDescent="0.35">
      <c r="A4859" s="91" t="s">
        <v>316</v>
      </c>
      <c r="B4859" s="9">
        <v>6.6000000000000005</v>
      </c>
    </row>
    <row r="4860" spans="1:2" x14ac:dyDescent="0.35">
      <c r="A4860" s="91" t="s">
        <v>2631</v>
      </c>
      <c r="B4860" s="9">
        <v>6.6000000000000005</v>
      </c>
    </row>
    <row r="4861" spans="1:2" x14ac:dyDescent="0.35">
      <c r="A4861" s="91" t="s">
        <v>4649</v>
      </c>
      <c r="B4861" s="9">
        <v>7</v>
      </c>
    </row>
    <row r="4862" spans="1:2" x14ac:dyDescent="0.35">
      <c r="A4862" s="91" t="s">
        <v>905</v>
      </c>
      <c r="B4862" s="9">
        <v>15.2</v>
      </c>
    </row>
    <row r="4863" spans="1:2" x14ac:dyDescent="0.35">
      <c r="A4863" s="91" t="s">
        <v>3661</v>
      </c>
      <c r="B4863" s="9">
        <v>2.2000000000000002</v>
      </c>
    </row>
    <row r="4864" spans="1:2" x14ac:dyDescent="0.35">
      <c r="A4864" s="91" t="s">
        <v>3118</v>
      </c>
      <c r="B4864" s="9">
        <v>14</v>
      </c>
    </row>
    <row r="4865" spans="1:2" x14ac:dyDescent="0.35">
      <c r="A4865" s="91" t="s">
        <v>3740</v>
      </c>
      <c r="B4865" s="9">
        <v>7</v>
      </c>
    </row>
    <row r="4866" spans="1:2" x14ac:dyDescent="0.35">
      <c r="A4866" s="91" t="s">
        <v>5996</v>
      </c>
      <c r="B4866" s="9">
        <v>12.5</v>
      </c>
    </row>
    <row r="4867" spans="1:2" x14ac:dyDescent="0.35">
      <c r="A4867" s="91" t="s">
        <v>3049</v>
      </c>
      <c r="B4867" s="9">
        <v>2.2000000000000002</v>
      </c>
    </row>
    <row r="4868" spans="1:2" x14ac:dyDescent="0.35">
      <c r="A4868" s="91" t="s">
        <v>4084</v>
      </c>
      <c r="B4868" s="9">
        <v>3.8</v>
      </c>
    </row>
    <row r="4869" spans="1:2" x14ac:dyDescent="0.35">
      <c r="A4869" s="91" t="s">
        <v>172</v>
      </c>
      <c r="B4869" s="9">
        <v>10</v>
      </c>
    </row>
    <row r="4870" spans="1:2" x14ac:dyDescent="0.35">
      <c r="A4870" s="91" t="s">
        <v>1656</v>
      </c>
      <c r="B4870" s="9">
        <v>14</v>
      </c>
    </row>
    <row r="4871" spans="1:2" x14ac:dyDescent="0.35">
      <c r="A4871" s="91" t="s">
        <v>3608</v>
      </c>
      <c r="B4871" s="9">
        <v>7.6</v>
      </c>
    </row>
    <row r="4872" spans="1:2" x14ac:dyDescent="0.35">
      <c r="A4872" s="91" t="s">
        <v>5804</v>
      </c>
      <c r="B4872" s="9">
        <v>14</v>
      </c>
    </row>
    <row r="4873" spans="1:2" x14ac:dyDescent="0.35">
      <c r="A4873" s="91" t="s">
        <v>2777</v>
      </c>
      <c r="B4873" s="9">
        <v>11.399999999999999</v>
      </c>
    </row>
    <row r="4874" spans="1:2" x14ac:dyDescent="0.35">
      <c r="A4874" s="91" t="s">
        <v>3062</v>
      </c>
      <c r="B4874" s="9">
        <v>7</v>
      </c>
    </row>
    <row r="4875" spans="1:2" x14ac:dyDescent="0.35">
      <c r="A4875" s="91" t="s">
        <v>2511</v>
      </c>
      <c r="B4875" s="9">
        <v>2.8</v>
      </c>
    </row>
    <row r="4876" spans="1:2" x14ac:dyDescent="0.35">
      <c r="A4876" s="91" t="s">
        <v>4111</v>
      </c>
      <c r="B4876" s="9">
        <v>11.2</v>
      </c>
    </row>
    <row r="4877" spans="1:2" x14ac:dyDescent="0.35">
      <c r="A4877" s="91" t="s">
        <v>570</v>
      </c>
      <c r="B4877" s="9">
        <v>10.5</v>
      </c>
    </row>
    <row r="4878" spans="1:2" x14ac:dyDescent="0.35">
      <c r="A4878" s="91" t="s">
        <v>4500</v>
      </c>
      <c r="B4878" s="9">
        <v>8.8000000000000007</v>
      </c>
    </row>
    <row r="4879" spans="1:2" x14ac:dyDescent="0.35">
      <c r="A4879" s="91" t="s">
        <v>3768</v>
      </c>
      <c r="B4879" s="9">
        <v>3.8</v>
      </c>
    </row>
    <row r="4880" spans="1:2" x14ac:dyDescent="0.35">
      <c r="A4880" s="91" t="s">
        <v>4401</v>
      </c>
      <c r="B4880" s="9">
        <v>5</v>
      </c>
    </row>
    <row r="4881" spans="1:2" x14ac:dyDescent="0.35">
      <c r="A4881" s="91" t="s">
        <v>2983</v>
      </c>
      <c r="B4881" s="9">
        <v>4.4000000000000004</v>
      </c>
    </row>
    <row r="4882" spans="1:2" x14ac:dyDescent="0.35">
      <c r="A4882" s="91" t="s">
        <v>2413</v>
      </c>
      <c r="B4882" s="9">
        <v>3.5</v>
      </c>
    </row>
    <row r="4883" spans="1:2" x14ac:dyDescent="0.35">
      <c r="A4883" s="91" t="s">
        <v>2956</v>
      </c>
      <c r="B4883" s="9">
        <v>6.6000000000000005</v>
      </c>
    </row>
    <row r="4884" spans="1:2" x14ac:dyDescent="0.35">
      <c r="A4884" s="91" t="s">
        <v>2341</v>
      </c>
      <c r="B4884" s="9">
        <v>5.6</v>
      </c>
    </row>
    <row r="4885" spans="1:2" x14ac:dyDescent="0.35">
      <c r="A4885" s="91" t="s">
        <v>5049</v>
      </c>
      <c r="B4885" s="9">
        <v>4.4000000000000004</v>
      </c>
    </row>
    <row r="4886" spans="1:2" x14ac:dyDescent="0.35">
      <c r="A4886" s="91" t="s">
        <v>4286</v>
      </c>
      <c r="B4886" s="9">
        <v>12.5</v>
      </c>
    </row>
    <row r="4887" spans="1:2" x14ac:dyDescent="0.35">
      <c r="A4887" s="91" t="s">
        <v>280</v>
      </c>
      <c r="B4887" s="9">
        <v>10.5</v>
      </c>
    </row>
    <row r="4888" spans="1:2" x14ac:dyDescent="0.35">
      <c r="A4888" s="91" t="s">
        <v>4207</v>
      </c>
      <c r="B4888" s="9">
        <v>14</v>
      </c>
    </row>
    <row r="4889" spans="1:2" x14ac:dyDescent="0.35">
      <c r="A4889" s="91" t="s">
        <v>3292</v>
      </c>
      <c r="B4889" s="9">
        <v>19</v>
      </c>
    </row>
    <row r="4890" spans="1:2" x14ac:dyDescent="0.35">
      <c r="A4890" s="91" t="s">
        <v>4929</v>
      </c>
      <c r="B4890" s="9">
        <v>6.6000000000000005</v>
      </c>
    </row>
    <row r="4891" spans="1:2" x14ac:dyDescent="0.35">
      <c r="A4891" s="91" t="s">
        <v>5573</v>
      </c>
      <c r="B4891" s="9">
        <v>11</v>
      </c>
    </row>
    <row r="4892" spans="1:2" x14ac:dyDescent="0.35">
      <c r="A4892" s="91" t="s">
        <v>1008</v>
      </c>
      <c r="B4892" s="9">
        <v>7</v>
      </c>
    </row>
    <row r="4893" spans="1:2" x14ac:dyDescent="0.35">
      <c r="A4893" s="91" t="s">
        <v>174</v>
      </c>
      <c r="B4893" s="9">
        <v>11</v>
      </c>
    </row>
    <row r="4894" spans="1:2" x14ac:dyDescent="0.35">
      <c r="A4894" s="91" t="s">
        <v>1452</v>
      </c>
      <c r="B4894" s="9">
        <v>7.6</v>
      </c>
    </row>
    <row r="4895" spans="1:2" x14ac:dyDescent="0.35">
      <c r="A4895" s="91" t="s">
        <v>1742</v>
      </c>
      <c r="B4895" s="9">
        <v>5.6</v>
      </c>
    </row>
    <row r="4896" spans="1:2" x14ac:dyDescent="0.35">
      <c r="A4896" s="91" t="s">
        <v>4426</v>
      </c>
      <c r="B4896" s="9">
        <v>6.6000000000000005</v>
      </c>
    </row>
    <row r="4897" spans="1:2" x14ac:dyDescent="0.35">
      <c r="A4897" s="91" t="s">
        <v>2957</v>
      </c>
      <c r="B4897" s="9">
        <v>5</v>
      </c>
    </row>
    <row r="4898" spans="1:2" x14ac:dyDescent="0.35">
      <c r="A4898" s="91" t="s">
        <v>944</v>
      </c>
      <c r="B4898" s="9">
        <v>15.2</v>
      </c>
    </row>
    <row r="4899" spans="1:2" x14ac:dyDescent="0.35">
      <c r="A4899" s="91" t="s">
        <v>2011</v>
      </c>
      <c r="B4899" s="9">
        <v>7.6</v>
      </c>
    </row>
    <row r="4900" spans="1:2" x14ac:dyDescent="0.35">
      <c r="A4900" s="91" t="s">
        <v>60</v>
      </c>
      <c r="B4900" s="9">
        <v>10.5</v>
      </c>
    </row>
    <row r="4901" spans="1:2" x14ac:dyDescent="0.35">
      <c r="A4901" s="91" t="s">
        <v>2342</v>
      </c>
      <c r="B4901" s="9">
        <v>14</v>
      </c>
    </row>
    <row r="4902" spans="1:2" x14ac:dyDescent="0.35">
      <c r="A4902" s="91" t="s">
        <v>5129</v>
      </c>
      <c r="B4902" s="9">
        <v>14</v>
      </c>
    </row>
    <row r="4903" spans="1:2" x14ac:dyDescent="0.35">
      <c r="A4903" s="91" t="s">
        <v>5027</v>
      </c>
      <c r="B4903" s="9">
        <v>7.5</v>
      </c>
    </row>
    <row r="4904" spans="1:2" x14ac:dyDescent="0.35">
      <c r="A4904" s="91" t="s">
        <v>2000</v>
      </c>
      <c r="B4904" s="9">
        <v>5</v>
      </c>
    </row>
    <row r="4905" spans="1:2" x14ac:dyDescent="0.35">
      <c r="A4905" s="91" t="s">
        <v>4744</v>
      </c>
      <c r="B4905" s="9">
        <v>11.399999999999999</v>
      </c>
    </row>
    <row r="4906" spans="1:2" x14ac:dyDescent="0.35">
      <c r="A4906" s="91" t="s">
        <v>4438</v>
      </c>
      <c r="B4906" s="9">
        <v>14</v>
      </c>
    </row>
    <row r="4907" spans="1:2" x14ac:dyDescent="0.35">
      <c r="A4907" s="91" t="s">
        <v>2163</v>
      </c>
      <c r="B4907" s="9">
        <v>11</v>
      </c>
    </row>
    <row r="4908" spans="1:2" x14ac:dyDescent="0.35">
      <c r="A4908" s="91" t="s">
        <v>5624</v>
      </c>
      <c r="B4908" s="9">
        <v>14</v>
      </c>
    </row>
    <row r="4909" spans="1:2" x14ac:dyDescent="0.35">
      <c r="A4909" s="91" t="s">
        <v>5288</v>
      </c>
      <c r="B4909" s="9">
        <v>11</v>
      </c>
    </row>
    <row r="4910" spans="1:2" x14ac:dyDescent="0.35">
      <c r="A4910" s="91" t="s">
        <v>5705</v>
      </c>
      <c r="B4910" s="9">
        <v>15.2</v>
      </c>
    </row>
    <row r="4911" spans="1:2" x14ac:dyDescent="0.35">
      <c r="A4911" s="91" t="s">
        <v>4464</v>
      </c>
      <c r="B4911" s="9">
        <v>14</v>
      </c>
    </row>
    <row r="4912" spans="1:2" x14ac:dyDescent="0.35">
      <c r="A4912" s="91" t="s">
        <v>4719</v>
      </c>
      <c r="B4912" s="9">
        <v>6.6000000000000005</v>
      </c>
    </row>
    <row r="4913" spans="1:2" x14ac:dyDescent="0.35">
      <c r="A4913" s="91" t="s">
        <v>5496</v>
      </c>
      <c r="B4913" s="9">
        <v>2.5</v>
      </c>
    </row>
    <row r="4914" spans="1:2" x14ac:dyDescent="0.35">
      <c r="A4914" s="91" t="s">
        <v>4192</v>
      </c>
      <c r="B4914" s="9">
        <v>3.5</v>
      </c>
    </row>
    <row r="4915" spans="1:2" x14ac:dyDescent="0.35">
      <c r="A4915" s="91" t="s">
        <v>688</v>
      </c>
      <c r="B4915" s="9">
        <v>2.5</v>
      </c>
    </row>
    <row r="4916" spans="1:2" x14ac:dyDescent="0.35">
      <c r="A4916" s="91" t="s">
        <v>5718</v>
      </c>
      <c r="B4916" s="9">
        <v>11.399999999999999</v>
      </c>
    </row>
    <row r="4917" spans="1:2" x14ac:dyDescent="0.35">
      <c r="A4917" s="91" t="s">
        <v>853</v>
      </c>
      <c r="B4917" s="9">
        <v>2.8</v>
      </c>
    </row>
    <row r="4918" spans="1:2" x14ac:dyDescent="0.35">
      <c r="A4918" s="91" t="s">
        <v>3903</v>
      </c>
      <c r="B4918" s="9">
        <v>19</v>
      </c>
    </row>
    <row r="4919" spans="1:2" x14ac:dyDescent="0.35">
      <c r="A4919" s="91" t="s">
        <v>3093</v>
      </c>
      <c r="B4919" s="9">
        <v>8.8000000000000007</v>
      </c>
    </row>
    <row r="4920" spans="1:2" x14ac:dyDescent="0.35">
      <c r="A4920" s="91" t="s">
        <v>2385</v>
      </c>
      <c r="B4920" s="9">
        <v>11.399999999999999</v>
      </c>
    </row>
    <row r="4921" spans="1:2" x14ac:dyDescent="0.35">
      <c r="A4921" s="91" t="s">
        <v>1958</v>
      </c>
      <c r="B4921" s="9">
        <v>4.4000000000000004</v>
      </c>
    </row>
    <row r="4922" spans="1:2" x14ac:dyDescent="0.35">
      <c r="A4922" s="91" t="s">
        <v>1040</v>
      </c>
      <c r="B4922" s="9">
        <v>15.2</v>
      </c>
    </row>
    <row r="4923" spans="1:2" x14ac:dyDescent="0.35">
      <c r="A4923" s="91" t="s">
        <v>2175</v>
      </c>
      <c r="B4923" s="9">
        <v>14</v>
      </c>
    </row>
    <row r="4924" spans="1:2" x14ac:dyDescent="0.35">
      <c r="A4924" s="91" t="s">
        <v>408</v>
      </c>
      <c r="B4924" s="9">
        <v>19</v>
      </c>
    </row>
    <row r="4925" spans="1:2" x14ac:dyDescent="0.35">
      <c r="A4925" s="91" t="s">
        <v>1688</v>
      </c>
      <c r="B4925" s="9">
        <v>5</v>
      </c>
    </row>
    <row r="4926" spans="1:2" x14ac:dyDescent="0.35">
      <c r="A4926" s="91" t="s">
        <v>1229</v>
      </c>
      <c r="B4926" s="9">
        <v>3.8</v>
      </c>
    </row>
    <row r="4927" spans="1:2" x14ac:dyDescent="0.35">
      <c r="A4927" s="91" t="s">
        <v>2802</v>
      </c>
      <c r="B4927" s="9">
        <v>2.8</v>
      </c>
    </row>
    <row r="4928" spans="1:2" x14ac:dyDescent="0.35">
      <c r="A4928" s="91" t="s">
        <v>2268</v>
      </c>
      <c r="B4928" s="9">
        <v>17.5</v>
      </c>
    </row>
    <row r="4929" spans="1:2" x14ac:dyDescent="0.35">
      <c r="A4929" s="91" t="s">
        <v>1941</v>
      </c>
      <c r="B4929" s="9">
        <v>8.3999999999999986</v>
      </c>
    </row>
    <row r="4930" spans="1:2" x14ac:dyDescent="0.35">
      <c r="A4930" s="91" t="s">
        <v>4631</v>
      </c>
      <c r="B4930" s="9">
        <v>2.8</v>
      </c>
    </row>
    <row r="4931" spans="1:2" x14ac:dyDescent="0.35">
      <c r="A4931" s="91" t="s">
        <v>2937</v>
      </c>
      <c r="B4931" s="9">
        <v>15.2</v>
      </c>
    </row>
    <row r="4932" spans="1:2" x14ac:dyDescent="0.35">
      <c r="A4932" s="91" t="s">
        <v>4361</v>
      </c>
      <c r="B4932" s="9">
        <v>15.2</v>
      </c>
    </row>
    <row r="4933" spans="1:2" x14ac:dyDescent="0.35">
      <c r="A4933" s="91" t="s">
        <v>4864</v>
      </c>
      <c r="B4933" s="9">
        <v>10</v>
      </c>
    </row>
    <row r="4934" spans="1:2" x14ac:dyDescent="0.35">
      <c r="A4934" s="91" t="s">
        <v>2853</v>
      </c>
      <c r="B4934" s="9">
        <v>8.8000000000000007</v>
      </c>
    </row>
    <row r="4935" spans="1:2" x14ac:dyDescent="0.35">
      <c r="A4935" s="91" t="s">
        <v>1188</v>
      </c>
      <c r="B4935" s="9">
        <v>10.5</v>
      </c>
    </row>
    <row r="4936" spans="1:2" x14ac:dyDescent="0.35">
      <c r="A4936" s="91" t="s">
        <v>3506</v>
      </c>
      <c r="B4936" s="9">
        <v>15.2</v>
      </c>
    </row>
    <row r="4937" spans="1:2" x14ac:dyDescent="0.35">
      <c r="A4937" s="91" t="s">
        <v>2176</v>
      </c>
      <c r="B4937" s="9">
        <v>14</v>
      </c>
    </row>
    <row r="4938" spans="1:2" x14ac:dyDescent="0.35">
      <c r="A4938" s="91" t="s">
        <v>5086</v>
      </c>
      <c r="B4938" s="9">
        <v>5</v>
      </c>
    </row>
    <row r="4939" spans="1:2" x14ac:dyDescent="0.35">
      <c r="A4939" s="91" t="s">
        <v>1658</v>
      </c>
      <c r="B4939" s="9">
        <v>5.6</v>
      </c>
    </row>
    <row r="4940" spans="1:2" x14ac:dyDescent="0.35">
      <c r="A4940" s="91" t="s">
        <v>5935</v>
      </c>
      <c r="B4940" s="9">
        <v>7</v>
      </c>
    </row>
    <row r="4941" spans="1:2" x14ac:dyDescent="0.35">
      <c r="A4941" s="91" t="s">
        <v>5625</v>
      </c>
      <c r="B4941" s="9">
        <v>19</v>
      </c>
    </row>
    <row r="4942" spans="1:2" x14ac:dyDescent="0.35">
      <c r="A4942" s="91" t="s">
        <v>1630</v>
      </c>
      <c r="B4942" s="9">
        <v>12.5</v>
      </c>
    </row>
    <row r="4943" spans="1:2" x14ac:dyDescent="0.35">
      <c r="A4943" s="91" t="s">
        <v>4296</v>
      </c>
      <c r="B4943" s="9">
        <v>17.5</v>
      </c>
    </row>
    <row r="4944" spans="1:2" x14ac:dyDescent="0.35">
      <c r="A4944" s="91" t="s">
        <v>5706</v>
      </c>
      <c r="B4944" s="9">
        <v>2.5</v>
      </c>
    </row>
    <row r="4945" spans="1:2" x14ac:dyDescent="0.35">
      <c r="A4945" s="91" t="s">
        <v>4402</v>
      </c>
      <c r="B4945" s="9">
        <v>14</v>
      </c>
    </row>
    <row r="4946" spans="1:2" x14ac:dyDescent="0.35">
      <c r="A4946" s="91" t="s">
        <v>5375</v>
      </c>
      <c r="B4946" s="9">
        <v>7</v>
      </c>
    </row>
    <row r="4947" spans="1:2" x14ac:dyDescent="0.35">
      <c r="A4947" s="91" t="s">
        <v>1041</v>
      </c>
      <c r="B4947" s="9">
        <v>17.5</v>
      </c>
    </row>
    <row r="4948" spans="1:2" x14ac:dyDescent="0.35">
      <c r="A4948" s="91" t="s">
        <v>2906</v>
      </c>
      <c r="B4948" s="9">
        <v>5.6</v>
      </c>
    </row>
    <row r="4949" spans="1:2" x14ac:dyDescent="0.35">
      <c r="A4949" s="91" t="s">
        <v>1291</v>
      </c>
      <c r="B4949" s="9">
        <v>3.5</v>
      </c>
    </row>
    <row r="4950" spans="1:2" x14ac:dyDescent="0.35">
      <c r="A4950" s="91" t="s">
        <v>2414</v>
      </c>
      <c r="B4950" s="9">
        <v>7</v>
      </c>
    </row>
    <row r="4951" spans="1:2" x14ac:dyDescent="0.35">
      <c r="A4951" s="91" t="s">
        <v>5455</v>
      </c>
      <c r="B4951" s="9">
        <v>10.5</v>
      </c>
    </row>
    <row r="4952" spans="1:2" x14ac:dyDescent="0.35">
      <c r="A4952" s="91" t="s">
        <v>5252</v>
      </c>
      <c r="B4952" s="9">
        <v>8.3999999999999986</v>
      </c>
    </row>
    <row r="4953" spans="1:2" x14ac:dyDescent="0.35">
      <c r="A4953" s="91" t="s">
        <v>657</v>
      </c>
      <c r="B4953" s="9">
        <v>10.5</v>
      </c>
    </row>
    <row r="4954" spans="1:2" x14ac:dyDescent="0.35">
      <c r="A4954" s="91" t="s">
        <v>3529</v>
      </c>
      <c r="B4954" s="9">
        <v>11.2</v>
      </c>
    </row>
    <row r="4955" spans="1:2" x14ac:dyDescent="0.35">
      <c r="A4955" s="91" t="s">
        <v>3457</v>
      </c>
      <c r="B4955" s="9">
        <v>7.6</v>
      </c>
    </row>
    <row r="4956" spans="1:2" x14ac:dyDescent="0.35">
      <c r="A4956" s="91" t="s">
        <v>5968</v>
      </c>
      <c r="B4956" s="9">
        <v>10.5</v>
      </c>
    </row>
    <row r="4957" spans="1:2" x14ac:dyDescent="0.35">
      <c r="A4957" s="91" t="s">
        <v>527</v>
      </c>
      <c r="B4957" s="9">
        <v>3.5</v>
      </c>
    </row>
    <row r="4958" spans="1:2" x14ac:dyDescent="0.35">
      <c r="A4958" s="91" t="s">
        <v>4362</v>
      </c>
      <c r="B4958" s="9">
        <v>10.5</v>
      </c>
    </row>
    <row r="4959" spans="1:2" x14ac:dyDescent="0.35">
      <c r="A4959" s="91" t="s">
        <v>5050</v>
      </c>
      <c r="B4959" s="9">
        <v>8.8000000000000007</v>
      </c>
    </row>
    <row r="4960" spans="1:2" x14ac:dyDescent="0.35">
      <c r="A4960" s="91" t="s">
        <v>1293</v>
      </c>
      <c r="B4960" s="9">
        <v>10</v>
      </c>
    </row>
    <row r="4961" spans="1:2" x14ac:dyDescent="0.35">
      <c r="A4961" s="91" t="s">
        <v>4180</v>
      </c>
      <c r="B4961" s="9">
        <v>11</v>
      </c>
    </row>
    <row r="4962" spans="1:2" x14ac:dyDescent="0.35">
      <c r="A4962" s="91" t="s">
        <v>4181</v>
      </c>
      <c r="B4962" s="9">
        <v>8.3999999999999986</v>
      </c>
    </row>
    <row r="4963" spans="1:2" x14ac:dyDescent="0.35">
      <c r="A4963" s="91" t="s">
        <v>1878</v>
      </c>
      <c r="B4963" s="9">
        <v>19</v>
      </c>
    </row>
    <row r="4964" spans="1:2" x14ac:dyDescent="0.35">
      <c r="A4964" s="91" t="s">
        <v>205</v>
      </c>
      <c r="B4964" s="9">
        <v>5</v>
      </c>
    </row>
    <row r="4965" spans="1:2" x14ac:dyDescent="0.35">
      <c r="A4965" s="91" t="s">
        <v>3254</v>
      </c>
      <c r="B4965" s="9">
        <v>14</v>
      </c>
    </row>
    <row r="4966" spans="1:2" x14ac:dyDescent="0.35">
      <c r="A4966" s="91" t="s">
        <v>781</v>
      </c>
      <c r="B4966" s="9">
        <v>14</v>
      </c>
    </row>
    <row r="4967" spans="1:2" x14ac:dyDescent="0.35">
      <c r="A4967" s="91" t="s">
        <v>4065</v>
      </c>
      <c r="B4967" s="9">
        <v>7.5</v>
      </c>
    </row>
    <row r="4968" spans="1:2" x14ac:dyDescent="0.35">
      <c r="A4968" s="91" t="s">
        <v>3560</v>
      </c>
      <c r="B4968" s="9">
        <v>8.8000000000000007</v>
      </c>
    </row>
    <row r="4969" spans="1:2" x14ac:dyDescent="0.35">
      <c r="A4969" s="91" t="s">
        <v>1231</v>
      </c>
      <c r="B4969" s="9">
        <v>10</v>
      </c>
    </row>
    <row r="4970" spans="1:2" x14ac:dyDescent="0.35">
      <c r="A4970" s="91" t="s">
        <v>4374</v>
      </c>
      <c r="B4970" s="9">
        <v>2.5</v>
      </c>
    </row>
    <row r="4971" spans="1:2" x14ac:dyDescent="0.35">
      <c r="A4971" s="91" t="s">
        <v>3626</v>
      </c>
      <c r="B4971" s="9">
        <v>6.6000000000000005</v>
      </c>
    </row>
    <row r="4972" spans="1:2" x14ac:dyDescent="0.35">
      <c r="A4972" s="91" t="s">
        <v>3561</v>
      </c>
      <c r="B4972" s="9">
        <v>5</v>
      </c>
    </row>
    <row r="4973" spans="1:2" x14ac:dyDescent="0.35">
      <c r="A4973" s="91" t="s">
        <v>854</v>
      </c>
      <c r="B4973" s="9">
        <v>11.399999999999999</v>
      </c>
    </row>
    <row r="4974" spans="1:2" x14ac:dyDescent="0.35">
      <c r="A4974" s="91" t="s">
        <v>979</v>
      </c>
      <c r="B4974" s="9">
        <v>8.8000000000000007</v>
      </c>
    </row>
    <row r="4975" spans="1:2" x14ac:dyDescent="0.35">
      <c r="A4975" s="91" t="s">
        <v>2939</v>
      </c>
      <c r="B4975" s="9">
        <v>3.5</v>
      </c>
    </row>
    <row r="4976" spans="1:2" x14ac:dyDescent="0.35">
      <c r="A4976" s="91" t="s">
        <v>5574</v>
      </c>
      <c r="B4976" s="9">
        <v>17.5</v>
      </c>
    </row>
    <row r="4977" spans="1:2" x14ac:dyDescent="0.35">
      <c r="A4977" s="91" t="s">
        <v>4534</v>
      </c>
      <c r="B4977" s="9">
        <v>8.3999999999999986</v>
      </c>
    </row>
    <row r="4978" spans="1:2" x14ac:dyDescent="0.35">
      <c r="A4978" s="91" t="s">
        <v>5758</v>
      </c>
      <c r="B4978" s="9">
        <v>2.2000000000000002</v>
      </c>
    </row>
    <row r="4979" spans="1:2" x14ac:dyDescent="0.35">
      <c r="A4979" s="91" t="s">
        <v>3676</v>
      </c>
      <c r="B4979" s="9">
        <v>8.3999999999999986</v>
      </c>
    </row>
    <row r="4980" spans="1:2" x14ac:dyDescent="0.35">
      <c r="A4980" s="91" t="s">
        <v>3836</v>
      </c>
      <c r="B4980" s="9">
        <v>6.6000000000000005</v>
      </c>
    </row>
    <row r="4981" spans="1:2" x14ac:dyDescent="0.35">
      <c r="A4981" s="91" t="s">
        <v>4427</v>
      </c>
      <c r="B4981" s="9">
        <v>5.6</v>
      </c>
    </row>
    <row r="4982" spans="1:2" x14ac:dyDescent="0.35">
      <c r="A4982" s="91" t="s">
        <v>4270</v>
      </c>
      <c r="B4982" s="9">
        <v>11.2</v>
      </c>
    </row>
    <row r="4983" spans="1:2" x14ac:dyDescent="0.35">
      <c r="A4983" s="91" t="s">
        <v>3160</v>
      </c>
      <c r="B4983" s="9">
        <v>4.4000000000000004</v>
      </c>
    </row>
    <row r="4984" spans="1:2" x14ac:dyDescent="0.35">
      <c r="A4984" s="91" t="s">
        <v>4745</v>
      </c>
      <c r="B4984" s="9">
        <v>11.399999999999999</v>
      </c>
    </row>
    <row r="4985" spans="1:2" x14ac:dyDescent="0.35">
      <c r="A4985" s="91" t="s">
        <v>4884</v>
      </c>
      <c r="B4985" s="9">
        <v>12.5</v>
      </c>
    </row>
    <row r="4986" spans="1:2" x14ac:dyDescent="0.35">
      <c r="A4986" s="91" t="s">
        <v>3963</v>
      </c>
      <c r="B4986" s="9">
        <v>2.8</v>
      </c>
    </row>
    <row r="4987" spans="1:2" x14ac:dyDescent="0.35">
      <c r="A4987" s="91" t="s">
        <v>2369</v>
      </c>
      <c r="B4987" s="9">
        <v>2.2000000000000002</v>
      </c>
    </row>
    <row r="4988" spans="1:2" x14ac:dyDescent="0.35">
      <c r="A4988" s="91" t="s">
        <v>2164</v>
      </c>
      <c r="B4988" s="9">
        <v>8.8000000000000007</v>
      </c>
    </row>
    <row r="4989" spans="1:2" x14ac:dyDescent="0.35">
      <c r="A4989" s="91" t="s">
        <v>6158</v>
      </c>
      <c r="B4989" s="9">
        <v>44389.400000000045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5001"/>
  <sheetViews>
    <sheetView topLeftCell="A2" zoomScale="86" zoomScaleNormal="84" workbookViewId="0">
      <selection activeCell="A2" sqref="A2:A5000"/>
    </sheetView>
  </sheetViews>
  <sheetFormatPr defaultRowHeight="14.5" x14ac:dyDescent="0.35"/>
  <cols>
    <col min="1" max="1" width="12" style="5" customWidth="1"/>
    <col min="2" max="2" width="13.7265625" style="5" customWidth="1"/>
    <col min="3" max="3" width="11.453125" style="5" bestFit="1" customWidth="1"/>
    <col min="4" max="4" width="12.453125" style="5" bestFit="1" customWidth="1"/>
    <col min="5" max="5" width="11.7265625" style="5" bestFit="1" customWidth="1"/>
    <col min="6" max="6" width="11.453125" style="5" bestFit="1" customWidth="1"/>
    <col min="7" max="7" width="7" style="5" bestFit="1" customWidth="1"/>
    <col min="8" max="8" width="15.453125" style="5" bestFit="1" customWidth="1"/>
    <col min="9" max="9" width="16" style="5" bestFit="1" customWidth="1"/>
    <col min="10" max="10" width="13.7265625" style="5" bestFit="1" customWidth="1"/>
    <col min="11" max="11" width="12.453125" style="5" bestFit="1" customWidth="1"/>
    <col min="12" max="12" width="15" style="5" bestFit="1" customWidth="1"/>
    <col min="13" max="13" width="10.81640625" style="5" bestFit="1" customWidth="1"/>
    <col min="14" max="14" width="7.81640625" style="5" bestFit="1" customWidth="1"/>
    <col min="15" max="15" width="18.1796875" style="5" bestFit="1" customWidth="1"/>
    <col min="16" max="16" width="18.81640625" bestFit="1" customWidth="1"/>
    <col min="17" max="17" width="12.7265625" customWidth="1"/>
  </cols>
  <sheetData>
    <row r="1" spans="1:17" s="3" customForma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6070</v>
      </c>
      <c r="J1" s="4" t="s">
        <v>8</v>
      </c>
      <c r="K1" s="11" t="s">
        <v>6056</v>
      </c>
      <c r="L1" s="8" t="s">
        <v>6057</v>
      </c>
      <c r="M1" s="8" t="s">
        <v>6058</v>
      </c>
      <c r="N1" s="8" t="s">
        <v>6059</v>
      </c>
    </row>
    <row r="2" spans="1:17" x14ac:dyDescent="0.35">
      <c r="A2" t="s">
        <v>49</v>
      </c>
      <c r="B2" s="2">
        <v>45658</v>
      </c>
      <c r="C2" t="s">
        <v>10</v>
      </c>
      <c r="D2" t="s">
        <v>38</v>
      </c>
      <c r="E2" t="s">
        <v>42</v>
      </c>
      <c r="F2" t="s">
        <v>13</v>
      </c>
      <c r="G2">
        <v>5</v>
      </c>
      <c r="H2">
        <v>3.8</v>
      </c>
      <c r="I2" t="s">
        <v>39</v>
      </c>
      <c r="J2" t="s">
        <v>50</v>
      </c>
      <c r="K2" s="12">
        <f>Store_Record[[#This Row],[Qty]]*Store_Record[[#This Row],[UnitPriceGBP]]</f>
        <v>19</v>
      </c>
      <c r="L2" s="5" t="str">
        <f>TEXT(Store_Record[[#This Row],[Date]],"dddd")</f>
        <v>Wednesday</v>
      </c>
      <c r="M2" s="5" t="str">
        <f>TEXT(Store_Record[[#This Row],[Date]],"mmmm")</f>
        <v>January</v>
      </c>
      <c r="N2" s="5">
        <f>YEAR(Store_Record[[#This Row],[Date]])</f>
        <v>2025</v>
      </c>
      <c r="O2"/>
    </row>
    <row r="3" spans="1:17" x14ac:dyDescent="0.35">
      <c r="A3" t="s">
        <v>51</v>
      </c>
      <c r="B3" s="2">
        <v>45658</v>
      </c>
      <c r="C3" t="s">
        <v>10</v>
      </c>
      <c r="D3" t="s">
        <v>11</v>
      </c>
      <c r="E3" t="s">
        <v>42</v>
      </c>
      <c r="F3" t="s">
        <v>13</v>
      </c>
      <c r="G3">
        <v>5</v>
      </c>
      <c r="H3">
        <v>3.8</v>
      </c>
      <c r="I3" t="s">
        <v>39</v>
      </c>
      <c r="J3" t="s">
        <v>52</v>
      </c>
      <c r="K3" s="12">
        <f>Store_Record[[#This Row],[Qty]]*Store_Record[[#This Row],[UnitPriceGBP]]</f>
        <v>19</v>
      </c>
      <c r="L3" s="5" t="str">
        <f>TEXT(Store_Record[[#This Row],[Date]],"dddd")</f>
        <v>Wednesday</v>
      </c>
      <c r="M3" s="5" t="str">
        <f>TEXT(Store_Record[[#This Row],[Date]],"mmmm")</f>
        <v>January</v>
      </c>
      <c r="N3" s="5">
        <f>YEAR(Store_Record[[#This Row],[Date]])</f>
        <v>2025</v>
      </c>
      <c r="O3"/>
    </row>
    <row r="4" spans="1:17" x14ac:dyDescent="0.35">
      <c r="A4" t="s">
        <v>55</v>
      </c>
      <c r="B4" s="2">
        <v>45658</v>
      </c>
      <c r="C4" t="s">
        <v>20</v>
      </c>
      <c r="D4" t="s">
        <v>29</v>
      </c>
      <c r="E4" t="s">
        <v>26</v>
      </c>
      <c r="F4" t="s">
        <v>13</v>
      </c>
      <c r="G4">
        <v>4</v>
      </c>
      <c r="H4">
        <v>3.5</v>
      </c>
      <c r="I4" t="s">
        <v>21</v>
      </c>
      <c r="J4" t="s">
        <v>56</v>
      </c>
      <c r="K4" s="12">
        <f>Store_Record[[#This Row],[Qty]]*Store_Record[[#This Row],[UnitPriceGBP]]</f>
        <v>14</v>
      </c>
      <c r="L4" s="5" t="str">
        <f>TEXT(Store_Record[[#This Row],[Date]],"dddd")</f>
        <v>Wednesday</v>
      </c>
      <c r="M4" s="5" t="str">
        <f>TEXT(Store_Record[[#This Row],[Date]],"mmmm")</f>
        <v>January</v>
      </c>
      <c r="N4" s="5">
        <f>YEAR(Store_Record[[#This Row],[Date]])</f>
        <v>2025</v>
      </c>
      <c r="O4"/>
    </row>
    <row r="5" spans="1:17" x14ac:dyDescent="0.35">
      <c r="A5" t="s">
        <v>5990</v>
      </c>
      <c r="B5" s="2">
        <v>45658</v>
      </c>
      <c r="C5" t="s">
        <v>20</v>
      </c>
      <c r="D5" t="s">
        <v>38</v>
      </c>
      <c r="E5" t="s">
        <v>30</v>
      </c>
      <c r="F5" t="s">
        <v>31</v>
      </c>
      <c r="G5">
        <v>5</v>
      </c>
      <c r="H5">
        <v>2.8</v>
      </c>
      <c r="I5" t="s">
        <v>21</v>
      </c>
      <c r="J5" t="s">
        <v>710</v>
      </c>
      <c r="K5" s="12">
        <f>Store_Record[[#This Row],[Qty]]*Store_Record[[#This Row],[UnitPriceGBP]]</f>
        <v>14</v>
      </c>
      <c r="L5" s="5" t="str">
        <f>TEXT(Store_Record[[#This Row],[Date]],"dddd")</f>
        <v>Wednesday</v>
      </c>
      <c r="M5" s="5" t="str">
        <f>TEXT(Store_Record[[#This Row],[Date]],"mmmm")</f>
        <v>January</v>
      </c>
      <c r="N5" s="5">
        <f>YEAR(Store_Record[[#This Row],[Date]])</f>
        <v>2025</v>
      </c>
      <c r="O5"/>
    </row>
    <row r="6" spans="1:17" x14ac:dyDescent="0.35">
      <c r="A6" t="s">
        <v>19</v>
      </c>
      <c r="B6" s="2">
        <v>45658</v>
      </c>
      <c r="C6" t="s">
        <v>20</v>
      </c>
      <c r="D6" t="s">
        <v>11</v>
      </c>
      <c r="E6" t="s">
        <v>12</v>
      </c>
      <c r="F6" t="s">
        <v>13</v>
      </c>
      <c r="G6">
        <v>5</v>
      </c>
      <c r="H6">
        <v>2.5</v>
      </c>
      <c r="I6" t="s">
        <v>21</v>
      </c>
      <c r="J6" t="s">
        <v>22</v>
      </c>
      <c r="K6" s="12">
        <f>Store_Record[[#This Row],[Qty]]*Store_Record[[#This Row],[UnitPriceGBP]]</f>
        <v>12.5</v>
      </c>
      <c r="L6" s="5" t="str">
        <f>TEXT(Store_Record[[#This Row],[Date]],"dddd")</f>
        <v>Wednesday</v>
      </c>
      <c r="M6" s="5" t="str">
        <f>TEXT(Store_Record[[#This Row],[Date]],"mmmm")</f>
        <v>January</v>
      </c>
      <c r="N6" s="5">
        <f>YEAR(Store_Record[[#This Row],[Date]])</f>
        <v>2025</v>
      </c>
      <c r="O6"/>
    </row>
    <row r="7" spans="1:17" x14ac:dyDescent="0.35">
      <c r="A7" t="s">
        <v>41</v>
      </c>
      <c r="B7" s="2">
        <v>45658</v>
      </c>
      <c r="C7" t="s">
        <v>24</v>
      </c>
      <c r="D7" t="s">
        <v>25</v>
      </c>
      <c r="E7" t="s">
        <v>42</v>
      </c>
      <c r="F7" t="s">
        <v>13</v>
      </c>
      <c r="G7">
        <v>3</v>
      </c>
      <c r="H7">
        <v>3.8</v>
      </c>
      <c r="I7" t="s">
        <v>21</v>
      </c>
      <c r="J7" t="s">
        <v>43</v>
      </c>
      <c r="K7" s="12">
        <f>Store_Record[[#This Row],[Qty]]*Store_Record[[#This Row],[UnitPriceGBP]]</f>
        <v>11.399999999999999</v>
      </c>
      <c r="L7" s="5" t="str">
        <f>TEXT(Store_Record[[#This Row],[Date]],"dddd")</f>
        <v>Wednesday</v>
      </c>
      <c r="M7" s="5" t="str">
        <f>TEXT(Store_Record[[#This Row],[Date]],"mmmm")</f>
        <v>January</v>
      </c>
      <c r="N7" s="5">
        <f>YEAR(Store_Record[[#This Row],[Date]])</f>
        <v>2025</v>
      </c>
      <c r="O7"/>
    </row>
    <row r="8" spans="1:17" x14ac:dyDescent="0.35">
      <c r="A8" t="s">
        <v>28</v>
      </c>
      <c r="B8" s="2">
        <v>45658</v>
      </c>
      <c r="C8" t="s">
        <v>20</v>
      </c>
      <c r="D8" t="s">
        <v>29</v>
      </c>
      <c r="E8" t="s">
        <v>30</v>
      </c>
      <c r="F8" t="s">
        <v>31</v>
      </c>
      <c r="G8">
        <v>4</v>
      </c>
      <c r="H8">
        <v>2.8</v>
      </c>
      <c r="I8" t="s">
        <v>21</v>
      </c>
      <c r="J8" t="s">
        <v>32</v>
      </c>
      <c r="K8" s="12">
        <f>Store_Record[[#This Row],[Qty]]*Store_Record[[#This Row],[UnitPriceGBP]]</f>
        <v>11.2</v>
      </c>
      <c r="L8" s="5" t="str">
        <f>TEXT(Store_Record[[#This Row],[Date]],"dddd")</f>
        <v>Wednesday</v>
      </c>
      <c r="M8" s="5" t="str">
        <f>TEXT(Store_Record[[#This Row],[Date]],"mmmm")</f>
        <v>January</v>
      </c>
      <c r="N8" s="5">
        <f>YEAR(Store_Record[[#This Row],[Date]])</f>
        <v>2025</v>
      </c>
      <c r="O8"/>
    </row>
    <row r="9" spans="1:17" x14ac:dyDescent="0.35">
      <c r="A9" t="s">
        <v>60</v>
      </c>
      <c r="B9" s="2">
        <v>45658</v>
      </c>
      <c r="C9" t="s">
        <v>36</v>
      </c>
      <c r="D9" t="s">
        <v>47</v>
      </c>
      <c r="E9" t="s">
        <v>26</v>
      </c>
      <c r="F9" t="s">
        <v>13</v>
      </c>
      <c r="G9">
        <v>3</v>
      </c>
      <c r="H9">
        <v>3.5</v>
      </c>
      <c r="I9" t="s">
        <v>21</v>
      </c>
      <c r="J9" t="s">
        <v>61</v>
      </c>
      <c r="K9" s="12">
        <f>Store_Record[[#This Row],[Qty]]*Store_Record[[#This Row],[UnitPriceGBP]]</f>
        <v>10.5</v>
      </c>
      <c r="L9" s="5" t="str">
        <f>TEXT(Store_Record[[#This Row],[Date]],"dddd")</f>
        <v>Wednesday</v>
      </c>
      <c r="M9" s="5" t="str">
        <f>TEXT(Store_Record[[#This Row],[Date]],"mmmm")</f>
        <v>January</v>
      </c>
      <c r="N9" s="5">
        <f>YEAR(Store_Record[[#This Row],[Date]])</f>
        <v>2025</v>
      </c>
      <c r="O9"/>
    </row>
    <row r="10" spans="1:17" x14ac:dyDescent="0.35">
      <c r="A10" t="s">
        <v>23</v>
      </c>
      <c r="B10" s="2">
        <v>45658</v>
      </c>
      <c r="C10" t="s">
        <v>24</v>
      </c>
      <c r="D10" t="s">
        <v>25</v>
      </c>
      <c r="E10" t="s">
        <v>26</v>
      </c>
      <c r="F10" t="s">
        <v>13</v>
      </c>
      <c r="G10">
        <v>2</v>
      </c>
      <c r="H10">
        <v>3.5</v>
      </c>
      <c r="I10" t="s">
        <v>21</v>
      </c>
      <c r="J10" t="s">
        <v>27</v>
      </c>
      <c r="K10" s="12">
        <f>Store_Record[[#This Row],[Qty]]*Store_Record[[#This Row],[UnitPriceGBP]]</f>
        <v>7</v>
      </c>
      <c r="L10" s="5" t="str">
        <f>TEXT(Store_Record[[#This Row],[Date]],"dddd")</f>
        <v>Wednesday</v>
      </c>
      <c r="M10" s="5" t="str">
        <f>TEXT(Store_Record[[#This Row],[Date]],"mmmm")</f>
        <v>January</v>
      </c>
      <c r="N10" s="5">
        <f>YEAR(Store_Record[[#This Row],[Date]])</f>
        <v>2025</v>
      </c>
      <c r="O10"/>
    </row>
    <row r="11" spans="1:17" x14ac:dyDescent="0.35">
      <c r="A11" t="s">
        <v>37</v>
      </c>
      <c r="B11" s="2">
        <v>45658</v>
      </c>
      <c r="C11" t="s">
        <v>36</v>
      </c>
      <c r="D11" t="s">
        <v>38</v>
      </c>
      <c r="E11" t="s">
        <v>26</v>
      </c>
      <c r="F11" t="s">
        <v>13</v>
      </c>
      <c r="G11">
        <v>2</v>
      </c>
      <c r="H11">
        <v>3.5</v>
      </c>
      <c r="I11" t="s">
        <v>39</v>
      </c>
      <c r="J11" t="s">
        <v>40</v>
      </c>
      <c r="K11" s="12">
        <f>Store_Record[[#This Row],[Qty]]*Store_Record[[#This Row],[UnitPriceGBP]]</f>
        <v>7</v>
      </c>
      <c r="L11" s="5" t="str">
        <f>TEXT(Store_Record[[#This Row],[Date]],"dddd")</f>
        <v>Wednesday</v>
      </c>
      <c r="M11" s="5" t="str">
        <f>TEXT(Store_Record[[#This Row],[Date]],"mmmm")</f>
        <v>January</v>
      </c>
      <c r="N11" s="5">
        <f>YEAR(Store_Record[[#This Row],[Date]])</f>
        <v>2025</v>
      </c>
      <c r="O11"/>
    </row>
    <row r="12" spans="1:17" x14ac:dyDescent="0.35">
      <c r="A12" t="s">
        <v>53</v>
      </c>
      <c r="B12" s="2">
        <v>45658</v>
      </c>
      <c r="C12" t="s">
        <v>10</v>
      </c>
      <c r="D12" t="s">
        <v>11</v>
      </c>
      <c r="E12" t="s">
        <v>26</v>
      </c>
      <c r="F12" t="s">
        <v>13</v>
      </c>
      <c r="G12">
        <v>2</v>
      </c>
      <c r="H12">
        <v>3.5</v>
      </c>
      <c r="I12" t="s">
        <v>14</v>
      </c>
      <c r="J12" t="s">
        <v>54</v>
      </c>
      <c r="K12" s="12">
        <f>Store_Record[[#This Row],[Qty]]*Store_Record[[#This Row],[UnitPriceGBP]]</f>
        <v>7</v>
      </c>
      <c r="L12" s="5" t="str">
        <f>TEXT(Store_Record[[#This Row],[Date]],"dddd")</f>
        <v>Wednesday</v>
      </c>
      <c r="M12" s="5" t="str">
        <f>TEXT(Store_Record[[#This Row],[Date]],"mmmm")</f>
        <v>January</v>
      </c>
      <c r="N12" s="5">
        <f>YEAR(Store_Record[[#This Row],[Date]])</f>
        <v>2025</v>
      </c>
      <c r="O12"/>
    </row>
    <row r="13" spans="1:17" x14ac:dyDescent="0.35">
      <c r="A13" t="s">
        <v>9</v>
      </c>
      <c r="B13" s="2">
        <v>45658</v>
      </c>
      <c r="C13" t="s">
        <v>10</v>
      </c>
      <c r="D13" t="s">
        <v>11</v>
      </c>
      <c r="E13" t="s">
        <v>12</v>
      </c>
      <c r="F13" t="s">
        <v>13</v>
      </c>
      <c r="G13">
        <v>2</v>
      </c>
      <c r="H13">
        <v>2.5</v>
      </c>
      <c r="I13" t="s">
        <v>14</v>
      </c>
      <c r="J13" t="s">
        <v>15</v>
      </c>
      <c r="K13" s="12">
        <f>Store_Record[[#This Row],[Qty]]*Store_Record[[#This Row],[UnitPriceGBP]]</f>
        <v>5</v>
      </c>
      <c r="L13" s="5" t="str">
        <f>TEXT(Store_Record[[#This Row],[Date]],"dddd")</f>
        <v>Wednesday</v>
      </c>
      <c r="M13" s="5" t="str">
        <f>TEXT(Store_Record[[#This Row],[Date]],"mmmm")</f>
        <v>January</v>
      </c>
      <c r="N13" s="5">
        <f>YEAR(Store_Record[[#This Row],[Date]])</f>
        <v>2025</v>
      </c>
      <c r="O13"/>
    </row>
    <row r="14" spans="1:17" x14ac:dyDescent="0.35">
      <c r="A14" t="s">
        <v>46</v>
      </c>
      <c r="B14" s="2">
        <v>45658</v>
      </c>
      <c r="C14" t="s">
        <v>20</v>
      </c>
      <c r="D14" t="s">
        <v>47</v>
      </c>
      <c r="E14" t="s">
        <v>12</v>
      </c>
      <c r="F14" t="s">
        <v>13</v>
      </c>
      <c r="G14">
        <v>2</v>
      </c>
      <c r="H14">
        <v>2.5</v>
      </c>
      <c r="I14" t="s">
        <v>39</v>
      </c>
      <c r="J14" t="s">
        <v>48</v>
      </c>
      <c r="K14" s="12">
        <f>Store_Record[[#This Row],[Qty]]*Store_Record[[#This Row],[UnitPriceGBP]]</f>
        <v>5</v>
      </c>
      <c r="L14" s="5" t="str">
        <f>TEXT(Store_Record[[#This Row],[Date]],"dddd")</f>
        <v>Wednesday</v>
      </c>
      <c r="M14" s="5" t="str">
        <f>TEXT(Store_Record[[#This Row],[Date]],"mmmm")</f>
        <v>January</v>
      </c>
      <c r="N14" s="5">
        <f>YEAR(Store_Record[[#This Row],[Date]])</f>
        <v>2025</v>
      </c>
      <c r="O14"/>
    </row>
    <row r="15" spans="1:17" x14ac:dyDescent="0.35">
      <c r="A15" t="s">
        <v>33</v>
      </c>
      <c r="B15" s="2">
        <v>45658</v>
      </c>
      <c r="C15" t="s">
        <v>10</v>
      </c>
      <c r="D15" t="s">
        <v>25</v>
      </c>
      <c r="E15" t="s">
        <v>34</v>
      </c>
      <c r="F15" t="s">
        <v>31</v>
      </c>
      <c r="G15">
        <v>2</v>
      </c>
      <c r="H15">
        <v>2.2000000000000002</v>
      </c>
      <c r="I15" t="s">
        <v>14</v>
      </c>
      <c r="J15" t="s">
        <v>35</v>
      </c>
      <c r="K15" s="12">
        <f>Store_Record[[#This Row],[Qty]]*Store_Record[[#This Row],[UnitPriceGBP]]</f>
        <v>4.4000000000000004</v>
      </c>
      <c r="L15" s="5" t="str">
        <f>TEXT(Store_Record[[#This Row],[Date]],"dddd")</f>
        <v>Wednesday</v>
      </c>
      <c r="M15" s="5" t="str">
        <f>TEXT(Store_Record[[#This Row],[Date]],"mmmm")</f>
        <v>January</v>
      </c>
      <c r="N15" s="5">
        <f>YEAR(Store_Record[[#This Row],[Date]])</f>
        <v>2025</v>
      </c>
      <c r="O15"/>
    </row>
    <row r="16" spans="1:17" x14ac:dyDescent="0.35">
      <c r="A16" t="s">
        <v>58</v>
      </c>
      <c r="B16" s="2">
        <v>45658</v>
      </c>
      <c r="C16" t="s">
        <v>24</v>
      </c>
      <c r="D16" t="s">
        <v>38</v>
      </c>
      <c r="E16" t="s">
        <v>34</v>
      </c>
      <c r="F16" t="s">
        <v>31</v>
      </c>
      <c r="G16">
        <v>1</v>
      </c>
      <c r="H16">
        <v>2.2000000000000002</v>
      </c>
      <c r="I16" t="s">
        <v>39</v>
      </c>
      <c r="J16" t="s">
        <v>59</v>
      </c>
      <c r="K16" s="12">
        <f>Store_Record[[#This Row],[Qty]]*Store_Record[[#This Row],[UnitPriceGBP]]</f>
        <v>2.2000000000000002</v>
      </c>
      <c r="L16" s="5" t="str">
        <f>TEXT(Store_Record[[#This Row],[Date]],"dddd")</f>
        <v>Wednesday</v>
      </c>
      <c r="M16" s="5" t="str">
        <f>TEXT(Store_Record[[#This Row],[Date]],"mmmm")</f>
        <v>January</v>
      </c>
      <c r="N16" s="5">
        <f>YEAR(Store_Record[[#This Row],[Date]])</f>
        <v>2025</v>
      </c>
      <c r="O16"/>
      <c r="P16" t="s">
        <v>6060</v>
      </c>
      <c r="Q16" s="36">
        <f>SUM(Store_Record[Revenue])</f>
        <v>44389.400000000074</v>
      </c>
    </row>
    <row r="17" spans="1:17" x14ac:dyDescent="0.35">
      <c r="A17" t="s">
        <v>69</v>
      </c>
      <c r="B17" s="2">
        <v>45659</v>
      </c>
      <c r="C17" t="s">
        <v>20</v>
      </c>
      <c r="D17" t="s">
        <v>29</v>
      </c>
      <c r="E17" t="s">
        <v>42</v>
      </c>
      <c r="F17" t="s">
        <v>13</v>
      </c>
      <c r="G17">
        <v>4</v>
      </c>
      <c r="H17">
        <v>3.8</v>
      </c>
      <c r="I17" t="s">
        <v>21</v>
      </c>
      <c r="J17" t="s">
        <v>70</v>
      </c>
      <c r="K17" s="12">
        <f>Store_Record[[#This Row],[Qty]]*Store_Record[[#This Row],[UnitPriceGBP]]</f>
        <v>15.2</v>
      </c>
      <c r="L17" s="5" t="str">
        <f>TEXT(Store_Record[[#This Row],[Date]],"dddd")</f>
        <v>Thursday</v>
      </c>
      <c r="M17" s="5" t="str">
        <f>TEXT(Store_Record[[#This Row],[Date]],"mmmm")</f>
        <v>January</v>
      </c>
      <c r="N17" s="5">
        <f>YEAR(Store_Record[[#This Row],[Date]])</f>
        <v>2025</v>
      </c>
      <c r="O17"/>
      <c r="P17" t="s">
        <v>6130</v>
      </c>
      <c r="Q17">
        <v>4999</v>
      </c>
    </row>
    <row r="18" spans="1:17" x14ac:dyDescent="0.35">
      <c r="A18" t="s">
        <v>63</v>
      </c>
      <c r="B18" s="2">
        <v>45659</v>
      </c>
      <c r="C18" t="s">
        <v>10</v>
      </c>
      <c r="D18" t="s">
        <v>38</v>
      </c>
      <c r="E18" t="s">
        <v>30</v>
      </c>
      <c r="F18" t="s">
        <v>31</v>
      </c>
      <c r="G18">
        <v>4</v>
      </c>
      <c r="H18">
        <v>2.8</v>
      </c>
      <c r="I18" t="s">
        <v>39</v>
      </c>
      <c r="J18" t="s">
        <v>64</v>
      </c>
      <c r="K18" s="12">
        <f>Store_Record[[#This Row],[Qty]]*Store_Record[[#This Row],[UnitPriceGBP]]</f>
        <v>11.2</v>
      </c>
      <c r="L18" s="5" t="str">
        <f>TEXT(Store_Record[[#This Row],[Date]],"dddd")</f>
        <v>Thursday</v>
      </c>
      <c r="M18" s="5" t="str">
        <f>TEXT(Store_Record[[#This Row],[Date]],"mmmm")</f>
        <v>January</v>
      </c>
      <c r="N18" s="5">
        <f>YEAR(Store_Record[[#This Row],[Date]])</f>
        <v>2025</v>
      </c>
      <c r="O18"/>
      <c r="P18" t="s">
        <v>6131</v>
      </c>
      <c r="Q18">
        <f>SUM(Store_Record[Qty])</f>
        <v>15030</v>
      </c>
    </row>
    <row r="19" spans="1:17" x14ac:dyDescent="0.35">
      <c r="A19" t="s">
        <v>67</v>
      </c>
      <c r="B19" s="2">
        <v>45659</v>
      </c>
      <c r="C19" t="s">
        <v>36</v>
      </c>
      <c r="D19" t="s">
        <v>11</v>
      </c>
      <c r="E19" t="s">
        <v>34</v>
      </c>
      <c r="F19" t="s">
        <v>31</v>
      </c>
      <c r="G19">
        <v>4</v>
      </c>
      <c r="H19">
        <v>2.2000000000000002</v>
      </c>
      <c r="I19" t="s">
        <v>21</v>
      </c>
      <c r="J19" t="s">
        <v>68</v>
      </c>
      <c r="K19" s="12">
        <f>Store_Record[[#This Row],[Qty]]*Store_Record[[#This Row],[UnitPriceGBP]]</f>
        <v>8.8000000000000007</v>
      </c>
      <c r="L19" s="5" t="str">
        <f>TEXT(Store_Record[[#This Row],[Date]],"dddd")</f>
        <v>Thursday</v>
      </c>
      <c r="M19" s="5" t="str">
        <f>TEXT(Store_Record[[#This Row],[Date]],"mmmm")</f>
        <v>January</v>
      </c>
      <c r="N19" s="5">
        <f>YEAR(Store_Record[[#This Row],[Date]])</f>
        <v>2025</v>
      </c>
      <c r="O19"/>
      <c r="P19" t="s">
        <v>6062</v>
      </c>
      <c r="Q19" s="37">
        <f>AVERAGE(Store_Record[Revenue])</f>
        <v>8.8796559311862513</v>
      </c>
    </row>
    <row r="20" spans="1:17" x14ac:dyDescent="0.35">
      <c r="A20" t="s">
        <v>71</v>
      </c>
      <c r="B20" s="2">
        <v>45659</v>
      </c>
      <c r="C20" t="s">
        <v>24</v>
      </c>
      <c r="D20" t="s">
        <v>47</v>
      </c>
      <c r="E20" t="s">
        <v>34</v>
      </c>
      <c r="F20" t="s">
        <v>31</v>
      </c>
      <c r="G20">
        <v>3</v>
      </c>
      <c r="H20">
        <v>2.2000000000000002</v>
      </c>
      <c r="I20" t="s">
        <v>21</v>
      </c>
      <c r="J20" t="s">
        <v>72</v>
      </c>
      <c r="K20" s="12">
        <f>Store_Record[[#This Row],[Qty]]*Store_Record[[#This Row],[UnitPriceGBP]]</f>
        <v>6.6000000000000005</v>
      </c>
      <c r="L20" s="5" t="str">
        <f>TEXT(Store_Record[[#This Row],[Date]],"dddd")</f>
        <v>Thursday</v>
      </c>
      <c r="M20" s="5" t="str">
        <f>TEXT(Store_Record[[#This Row],[Date]],"mmmm")</f>
        <v>January</v>
      </c>
      <c r="N20" s="5">
        <f>YEAR(Store_Record[[#This Row],[Date]])</f>
        <v>2025</v>
      </c>
      <c r="O20"/>
    </row>
    <row r="21" spans="1:17" x14ac:dyDescent="0.35">
      <c r="A21" t="s">
        <v>65</v>
      </c>
      <c r="B21" s="2">
        <v>45659</v>
      </c>
      <c r="C21" t="s">
        <v>20</v>
      </c>
      <c r="D21" t="s">
        <v>11</v>
      </c>
      <c r="E21" t="s">
        <v>26</v>
      </c>
      <c r="F21" t="s">
        <v>13</v>
      </c>
      <c r="G21">
        <v>1</v>
      </c>
      <c r="H21">
        <v>3.5</v>
      </c>
      <c r="I21" t="s">
        <v>14</v>
      </c>
      <c r="J21" t="s">
        <v>66</v>
      </c>
      <c r="K21" s="12">
        <f>Store_Record[[#This Row],[Qty]]*Store_Record[[#This Row],[UnitPriceGBP]]</f>
        <v>3.5</v>
      </c>
      <c r="L21" s="5" t="str">
        <f>TEXT(Store_Record[[#This Row],[Date]],"dddd")</f>
        <v>Thursday</v>
      </c>
      <c r="M21" s="5" t="str">
        <f>TEXT(Store_Record[[#This Row],[Date]],"mmmm")</f>
        <v>January</v>
      </c>
      <c r="N21" s="5">
        <f>YEAR(Store_Record[[#This Row],[Date]])</f>
        <v>2025</v>
      </c>
      <c r="O21"/>
    </row>
    <row r="22" spans="1:17" x14ac:dyDescent="0.35">
      <c r="A22" t="s">
        <v>96</v>
      </c>
      <c r="B22" s="2">
        <v>45660</v>
      </c>
      <c r="C22" t="s">
        <v>24</v>
      </c>
      <c r="D22" t="s">
        <v>11</v>
      </c>
      <c r="E22" t="s">
        <v>42</v>
      </c>
      <c r="F22" t="s">
        <v>13</v>
      </c>
      <c r="G22">
        <v>5</v>
      </c>
      <c r="H22">
        <v>3.8</v>
      </c>
      <c r="I22" t="s">
        <v>14</v>
      </c>
      <c r="J22" t="s">
        <v>97</v>
      </c>
      <c r="K22" s="12">
        <f>Store_Record[[#This Row],[Qty]]*Store_Record[[#This Row],[UnitPriceGBP]]</f>
        <v>19</v>
      </c>
      <c r="L22" s="5" t="str">
        <f>TEXT(Store_Record[[#This Row],[Date]],"dddd")</f>
        <v>Friday</v>
      </c>
      <c r="M22" s="5" t="str">
        <f>TEXT(Store_Record[[#This Row],[Date]],"mmmm")</f>
        <v>January</v>
      </c>
      <c r="N22" s="5">
        <f>YEAR(Store_Record[[#This Row],[Date]])</f>
        <v>2025</v>
      </c>
      <c r="O22"/>
    </row>
    <row r="23" spans="1:17" x14ac:dyDescent="0.35">
      <c r="A23" t="s">
        <v>90</v>
      </c>
      <c r="B23" s="2">
        <v>45660</v>
      </c>
      <c r="C23" t="s">
        <v>10</v>
      </c>
      <c r="D23" t="s">
        <v>47</v>
      </c>
      <c r="E23" t="s">
        <v>42</v>
      </c>
      <c r="F23" t="s">
        <v>13</v>
      </c>
      <c r="G23">
        <v>4</v>
      </c>
      <c r="H23">
        <v>3.8</v>
      </c>
      <c r="I23" t="s">
        <v>14</v>
      </c>
      <c r="J23" t="s">
        <v>91</v>
      </c>
      <c r="K23" s="12">
        <f>Store_Record[[#This Row],[Qty]]*Store_Record[[#This Row],[UnitPriceGBP]]</f>
        <v>15.2</v>
      </c>
      <c r="L23" s="5" t="str">
        <f>TEXT(Store_Record[[#This Row],[Date]],"dddd")</f>
        <v>Friday</v>
      </c>
      <c r="M23" s="5" t="str">
        <f>TEXT(Store_Record[[#This Row],[Date]],"mmmm")</f>
        <v>January</v>
      </c>
      <c r="N23" s="5">
        <f>YEAR(Store_Record[[#This Row],[Date]])</f>
        <v>2025</v>
      </c>
      <c r="O23"/>
    </row>
    <row r="24" spans="1:17" x14ac:dyDescent="0.35">
      <c r="A24" t="s">
        <v>102</v>
      </c>
      <c r="B24" s="2">
        <v>45660</v>
      </c>
      <c r="C24" t="s">
        <v>10</v>
      </c>
      <c r="D24" t="s">
        <v>47</v>
      </c>
      <c r="E24" t="s">
        <v>12</v>
      </c>
      <c r="F24" t="s">
        <v>13</v>
      </c>
      <c r="G24">
        <v>5</v>
      </c>
      <c r="H24">
        <v>2.5</v>
      </c>
      <c r="I24" t="s">
        <v>14</v>
      </c>
      <c r="J24" t="s">
        <v>103</v>
      </c>
      <c r="K24" s="12">
        <f>Store_Record[[#This Row],[Qty]]*Store_Record[[#This Row],[UnitPriceGBP]]</f>
        <v>12.5</v>
      </c>
      <c r="L24" s="5" t="str">
        <f>TEXT(Store_Record[[#This Row],[Date]],"dddd")</f>
        <v>Friday</v>
      </c>
      <c r="M24" s="5" t="str">
        <f>TEXT(Store_Record[[#This Row],[Date]],"mmmm")</f>
        <v>January</v>
      </c>
      <c r="N24" s="5">
        <f>YEAR(Store_Record[[#This Row],[Date]])</f>
        <v>2025</v>
      </c>
      <c r="O24"/>
    </row>
    <row r="25" spans="1:17" x14ac:dyDescent="0.35">
      <c r="A25" t="s">
        <v>75</v>
      </c>
      <c r="B25" s="2">
        <v>45660</v>
      </c>
      <c r="C25" t="s">
        <v>36</v>
      </c>
      <c r="D25" t="s">
        <v>47</v>
      </c>
      <c r="E25" t="s">
        <v>30</v>
      </c>
      <c r="F25" t="s">
        <v>31</v>
      </c>
      <c r="G25">
        <v>4</v>
      </c>
      <c r="H25">
        <v>2.8</v>
      </c>
      <c r="I25" t="s">
        <v>14</v>
      </c>
      <c r="J25" t="s">
        <v>76</v>
      </c>
      <c r="K25" s="12">
        <f>Store_Record[[#This Row],[Qty]]*Store_Record[[#This Row],[UnitPriceGBP]]</f>
        <v>11.2</v>
      </c>
      <c r="L25" s="5" t="str">
        <f>TEXT(Store_Record[[#This Row],[Date]],"dddd")</f>
        <v>Friday</v>
      </c>
      <c r="M25" s="5" t="str">
        <f>TEXT(Store_Record[[#This Row],[Date]],"mmmm")</f>
        <v>January</v>
      </c>
      <c r="N25" s="5">
        <f>YEAR(Store_Record[[#This Row],[Date]])</f>
        <v>2025</v>
      </c>
      <c r="O25"/>
    </row>
    <row r="26" spans="1:17" x14ac:dyDescent="0.35">
      <c r="A26" t="s">
        <v>85</v>
      </c>
      <c r="B26" s="2">
        <v>45660</v>
      </c>
      <c r="C26" t="s">
        <v>36</v>
      </c>
      <c r="D26" t="s">
        <v>38</v>
      </c>
      <c r="E26" t="s">
        <v>26</v>
      </c>
      <c r="F26" t="s">
        <v>13</v>
      </c>
      <c r="G26">
        <v>3</v>
      </c>
      <c r="H26">
        <v>3.5</v>
      </c>
      <c r="I26" t="s">
        <v>39</v>
      </c>
      <c r="J26" t="s">
        <v>86</v>
      </c>
      <c r="K26" s="12">
        <f>Store_Record[[#This Row],[Qty]]*Store_Record[[#This Row],[UnitPriceGBP]]</f>
        <v>10.5</v>
      </c>
      <c r="L26" s="5" t="str">
        <f>TEXT(Store_Record[[#This Row],[Date]],"dddd")</f>
        <v>Friday</v>
      </c>
      <c r="M26" s="5" t="str">
        <f>TEXT(Store_Record[[#This Row],[Date]],"mmmm")</f>
        <v>January</v>
      </c>
      <c r="N26" s="5">
        <f>YEAR(Store_Record[[#This Row],[Date]])</f>
        <v>2025</v>
      </c>
      <c r="O26"/>
    </row>
    <row r="27" spans="1:17" x14ac:dyDescent="0.35">
      <c r="A27" t="s">
        <v>77</v>
      </c>
      <c r="B27" s="2">
        <v>45660</v>
      </c>
      <c r="C27" t="s">
        <v>20</v>
      </c>
      <c r="D27" t="s">
        <v>47</v>
      </c>
      <c r="E27" t="s">
        <v>12</v>
      </c>
      <c r="F27" t="s">
        <v>13</v>
      </c>
      <c r="G27">
        <v>4</v>
      </c>
      <c r="H27">
        <v>2.5</v>
      </c>
      <c r="I27" t="s">
        <v>39</v>
      </c>
      <c r="J27" t="s">
        <v>78</v>
      </c>
      <c r="K27" s="12">
        <f>Store_Record[[#This Row],[Qty]]*Store_Record[[#This Row],[UnitPriceGBP]]</f>
        <v>10</v>
      </c>
      <c r="L27" s="5" t="str">
        <f>TEXT(Store_Record[[#This Row],[Date]],"dddd")</f>
        <v>Friday</v>
      </c>
      <c r="M27" s="5" t="str">
        <f>TEXT(Store_Record[[#This Row],[Date]],"mmmm")</f>
        <v>January</v>
      </c>
      <c r="N27" s="5">
        <f>YEAR(Store_Record[[#This Row],[Date]])</f>
        <v>2025</v>
      </c>
      <c r="O27"/>
    </row>
    <row r="28" spans="1:17" x14ac:dyDescent="0.35">
      <c r="A28" t="s">
        <v>100</v>
      </c>
      <c r="B28" s="2">
        <v>45660</v>
      </c>
      <c r="C28" t="s">
        <v>20</v>
      </c>
      <c r="D28" t="s">
        <v>47</v>
      </c>
      <c r="E28" t="s">
        <v>34</v>
      </c>
      <c r="F28" t="s">
        <v>31</v>
      </c>
      <c r="G28">
        <v>4</v>
      </c>
      <c r="H28">
        <v>2.2000000000000002</v>
      </c>
      <c r="I28" t="s">
        <v>39</v>
      </c>
      <c r="J28" t="s">
        <v>101</v>
      </c>
      <c r="K28" s="12">
        <f>Store_Record[[#This Row],[Qty]]*Store_Record[[#This Row],[UnitPriceGBP]]</f>
        <v>8.8000000000000007</v>
      </c>
      <c r="L28" s="5" t="str">
        <f>TEXT(Store_Record[[#This Row],[Date]],"dddd")</f>
        <v>Friday</v>
      </c>
      <c r="M28" s="5" t="str">
        <f>TEXT(Store_Record[[#This Row],[Date]],"mmmm")</f>
        <v>January</v>
      </c>
      <c r="N28" s="5">
        <f>YEAR(Store_Record[[#This Row],[Date]])</f>
        <v>2025</v>
      </c>
      <c r="O28"/>
    </row>
    <row r="29" spans="1:17" x14ac:dyDescent="0.35">
      <c r="A29" t="s">
        <v>92</v>
      </c>
      <c r="B29" s="2">
        <v>45660</v>
      </c>
      <c r="C29" t="s">
        <v>20</v>
      </c>
      <c r="D29" t="s">
        <v>11</v>
      </c>
      <c r="E29" t="s">
        <v>30</v>
      </c>
      <c r="F29" t="s">
        <v>31</v>
      </c>
      <c r="G29">
        <v>3</v>
      </c>
      <c r="H29">
        <v>2.8</v>
      </c>
      <c r="I29" t="s">
        <v>21</v>
      </c>
      <c r="J29" t="s">
        <v>93</v>
      </c>
      <c r="K29" s="12">
        <f>Store_Record[[#This Row],[Qty]]*Store_Record[[#This Row],[UnitPriceGBP]]</f>
        <v>8.3999999999999986</v>
      </c>
      <c r="L29" s="5" t="str">
        <f>TEXT(Store_Record[[#This Row],[Date]],"dddd")</f>
        <v>Friday</v>
      </c>
      <c r="M29" s="5" t="str">
        <f>TEXT(Store_Record[[#This Row],[Date]],"mmmm")</f>
        <v>January</v>
      </c>
      <c r="N29" s="5">
        <f>YEAR(Store_Record[[#This Row],[Date]])</f>
        <v>2025</v>
      </c>
      <c r="O29"/>
    </row>
    <row r="30" spans="1:17" x14ac:dyDescent="0.35">
      <c r="A30" t="s">
        <v>83</v>
      </c>
      <c r="B30" s="2">
        <v>45660</v>
      </c>
      <c r="C30" t="s">
        <v>10</v>
      </c>
      <c r="D30" t="s">
        <v>11</v>
      </c>
      <c r="E30" t="s">
        <v>42</v>
      </c>
      <c r="F30" t="s">
        <v>13</v>
      </c>
      <c r="G30">
        <v>2</v>
      </c>
      <c r="H30">
        <v>3.8</v>
      </c>
      <c r="I30" t="s">
        <v>14</v>
      </c>
      <c r="J30" t="s">
        <v>84</v>
      </c>
      <c r="K30" s="12">
        <f>Store_Record[[#This Row],[Qty]]*Store_Record[[#This Row],[UnitPriceGBP]]</f>
        <v>7.6</v>
      </c>
      <c r="L30" s="5" t="str">
        <f>TEXT(Store_Record[[#This Row],[Date]],"dddd")</f>
        <v>Friday</v>
      </c>
      <c r="M30" s="5" t="str">
        <f>TEXT(Store_Record[[#This Row],[Date]],"mmmm")</f>
        <v>January</v>
      </c>
      <c r="N30" s="5">
        <f>YEAR(Store_Record[[#This Row],[Date]])</f>
        <v>2025</v>
      </c>
      <c r="O30"/>
    </row>
    <row r="31" spans="1:17" x14ac:dyDescent="0.35">
      <c r="A31" t="s">
        <v>88</v>
      </c>
      <c r="B31" s="2">
        <v>45660</v>
      </c>
      <c r="C31" t="s">
        <v>10</v>
      </c>
      <c r="D31" t="s">
        <v>25</v>
      </c>
      <c r="E31" t="s">
        <v>42</v>
      </c>
      <c r="F31" t="s">
        <v>13</v>
      </c>
      <c r="G31">
        <v>2</v>
      </c>
      <c r="H31">
        <v>3.8</v>
      </c>
      <c r="I31" t="s">
        <v>39</v>
      </c>
      <c r="J31" t="s">
        <v>89</v>
      </c>
      <c r="K31" s="12">
        <f>Store_Record[[#This Row],[Qty]]*Store_Record[[#This Row],[UnitPriceGBP]]</f>
        <v>7.6</v>
      </c>
      <c r="L31" s="5" t="str">
        <f>TEXT(Store_Record[[#This Row],[Date]],"dddd")</f>
        <v>Friday</v>
      </c>
      <c r="M31" s="5" t="str">
        <f>TEXT(Store_Record[[#This Row],[Date]],"mmmm")</f>
        <v>January</v>
      </c>
      <c r="N31" s="5">
        <f>YEAR(Store_Record[[#This Row],[Date]])</f>
        <v>2025</v>
      </c>
      <c r="O31"/>
    </row>
    <row r="32" spans="1:17" x14ac:dyDescent="0.35">
      <c r="A32" t="s">
        <v>87</v>
      </c>
      <c r="B32" s="2">
        <v>45660</v>
      </c>
      <c r="C32" t="s">
        <v>10</v>
      </c>
      <c r="D32" t="s">
        <v>29</v>
      </c>
      <c r="E32" t="s">
        <v>34</v>
      </c>
      <c r="F32" t="s">
        <v>31</v>
      </c>
      <c r="G32">
        <v>3</v>
      </c>
      <c r="H32">
        <v>2.2000000000000002</v>
      </c>
      <c r="I32" t="s">
        <v>21</v>
      </c>
      <c r="J32" t="s">
        <v>68</v>
      </c>
      <c r="K32" s="12">
        <f>Store_Record[[#This Row],[Qty]]*Store_Record[[#This Row],[UnitPriceGBP]]</f>
        <v>6.6000000000000005</v>
      </c>
      <c r="L32" s="5" t="str">
        <f>TEXT(Store_Record[[#This Row],[Date]],"dddd")</f>
        <v>Friday</v>
      </c>
      <c r="M32" s="5" t="str">
        <f>TEXT(Store_Record[[#This Row],[Date]],"mmmm")</f>
        <v>January</v>
      </c>
      <c r="N32" s="5">
        <f>YEAR(Store_Record[[#This Row],[Date]])</f>
        <v>2025</v>
      </c>
      <c r="O32"/>
    </row>
    <row r="33" spans="1:15" x14ac:dyDescent="0.35">
      <c r="A33" t="s">
        <v>79</v>
      </c>
      <c r="B33" s="2">
        <v>45660</v>
      </c>
      <c r="C33" t="s">
        <v>24</v>
      </c>
      <c r="D33" t="s">
        <v>47</v>
      </c>
      <c r="E33" t="s">
        <v>30</v>
      </c>
      <c r="F33" t="s">
        <v>31</v>
      </c>
      <c r="G33">
        <v>2</v>
      </c>
      <c r="H33">
        <v>2.8</v>
      </c>
      <c r="I33" t="s">
        <v>39</v>
      </c>
      <c r="J33" t="s">
        <v>80</v>
      </c>
      <c r="K33" s="12">
        <f>Store_Record[[#This Row],[Qty]]*Store_Record[[#This Row],[UnitPriceGBP]]</f>
        <v>5.6</v>
      </c>
      <c r="L33" s="5" t="str">
        <f>TEXT(Store_Record[[#This Row],[Date]],"dddd")</f>
        <v>Friday</v>
      </c>
      <c r="M33" s="5" t="str">
        <f>TEXT(Store_Record[[#This Row],[Date]],"mmmm")</f>
        <v>January</v>
      </c>
      <c r="N33" s="5">
        <f>YEAR(Store_Record[[#This Row],[Date]])</f>
        <v>2025</v>
      </c>
      <c r="O33"/>
    </row>
    <row r="34" spans="1:15" x14ac:dyDescent="0.35">
      <c r="A34" t="s">
        <v>94</v>
      </c>
      <c r="B34" s="2">
        <v>45660</v>
      </c>
      <c r="C34" t="s">
        <v>10</v>
      </c>
      <c r="D34" t="s">
        <v>29</v>
      </c>
      <c r="E34" t="s">
        <v>30</v>
      </c>
      <c r="F34" t="s">
        <v>31</v>
      </c>
      <c r="G34">
        <v>2</v>
      </c>
      <c r="H34">
        <v>2.8</v>
      </c>
      <c r="I34" t="s">
        <v>39</v>
      </c>
      <c r="J34" t="s">
        <v>95</v>
      </c>
      <c r="K34" s="12">
        <f>Store_Record[[#This Row],[Qty]]*Store_Record[[#This Row],[UnitPriceGBP]]</f>
        <v>5.6</v>
      </c>
      <c r="L34" s="5" t="str">
        <f>TEXT(Store_Record[[#This Row],[Date]],"dddd")</f>
        <v>Friday</v>
      </c>
      <c r="M34" s="5" t="str">
        <f>TEXT(Store_Record[[#This Row],[Date]],"mmmm")</f>
        <v>January</v>
      </c>
      <c r="N34" s="5">
        <f>YEAR(Store_Record[[#This Row],[Date]])</f>
        <v>2025</v>
      </c>
      <c r="O34"/>
    </row>
    <row r="35" spans="1:15" x14ac:dyDescent="0.35">
      <c r="A35" t="s">
        <v>104</v>
      </c>
      <c r="B35" s="2">
        <v>45660</v>
      </c>
      <c r="C35" t="s">
        <v>24</v>
      </c>
      <c r="D35" t="s">
        <v>11</v>
      </c>
      <c r="E35" t="s">
        <v>30</v>
      </c>
      <c r="F35" t="s">
        <v>31</v>
      </c>
      <c r="G35">
        <v>2</v>
      </c>
      <c r="H35">
        <v>2.8</v>
      </c>
      <c r="I35" t="s">
        <v>21</v>
      </c>
      <c r="J35" t="s">
        <v>105</v>
      </c>
      <c r="K35" s="12">
        <f>Store_Record[[#This Row],[Qty]]*Store_Record[[#This Row],[UnitPriceGBP]]</f>
        <v>5.6</v>
      </c>
      <c r="L35" s="5" t="str">
        <f>TEXT(Store_Record[[#This Row],[Date]],"dddd")</f>
        <v>Friday</v>
      </c>
      <c r="M35" s="5" t="str">
        <f>TEXT(Store_Record[[#This Row],[Date]],"mmmm")</f>
        <v>January</v>
      </c>
      <c r="N35" s="5">
        <f>YEAR(Store_Record[[#This Row],[Date]])</f>
        <v>2025</v>
      </c>
      <c r="O35"/>
    </row>
    <row r="36" spans="1:15" x14ac:dyDescent="0.35">
      <c r="A36" t="s">
        <v>106</v>
      </c>
      <c r="B36" s="2">
        <v>45660</v>
      </c>
      <c r="C36" t="s">
        <v>24</v>
      </c>
      <c r="D36" t="s">
        <v>47</v>
      </c>
      <c r="E36" t="s">
        <v>30</v>
      </c>
      <c r="F36" t="s">
        <v>31</v>
      </c>
      <c r="G36">
        <v>2</v>
      </c>
      <c r="H36">
        <v>2.8</v>
      </c>
      <c r="I36" t="s">
        <v>21</v>
      </c>
      <c r="J36" t="s">
        <v>107</v>
      </c>
      <c r="K36" s="12">
        <f>Store_Record[[#This Row],[Qty]]*Store_Record[[#This Row],[UnitPriceGBP]]</f>
        <v>5.6</v>
      </c>
      <c r="L36" s="5" t="str">
        <f>TEXT(Store_Record[[#This Row],[Date]],"dddd")</f>
        <v>Friday</v>
      </c>
      <c r="M36" s="5" t="str">
        <f>TEXT(Store_Record[[#This Row],[Date]],"mmmm")</f>
        <v>January</v>
      </c>
      <c r="N36" s="5">
        <f>YEAR(Store_Record[[#This Row],[Date]])</f>
        <v>2025</v>
      </c>
      <c r="O36"/>
    </row>
    <row r="37" spans="1:15" x14ac:dyDescent="0.35">
      <c r="A37" t="s">
        <v>73</v>
      </c>
      <c r="B37" s="2">
        <v>45660</v>
      </c>
      <c r="C37" t="s">
        <v>10</v>
      </c>
      <c r="D37" t="s">
        <v>25</v>
      </c>
      <c r="E37" t="s">
        <v>12</v>
      </c>
      <c r="F37" t="s">
        <v>13</v>
      </c>
      <c r="G37">
        <v>2</v>
      </c>
      <c r="H37">
        <v>2.5</v>
      </c>
      <c r="I37" t="s">
        <v>39</v>
      </c>
      <c r="J37" t="s">
        <v>74</v>
      </c>
      <c r="K37" s="12">
        <f>Store_Record[[#This Row],[Qty]]*Store_Record[[#This Row],[UnitPriceGBP]]</f>
        <v>5</v>
      </c>
      <c r="L37" s="5" t="str">
        <f>TEXT(Store_Record[[#This Row],[Date]],"dddd")</f>
        <v>Friday</v>
      </c>
      <c r="M37" s="5" t="str">
        <f>TEXT(Store_Record[[#This Row],[Date]],"mmmm")</f>
        <v>January</v>
      </c>
      <c r="N37" s="5">
        <f>YEAR(Store_Record[[#This Row],[Date]])</f>
        <v>2025</v>
      </c>
      <c r="O37"/>
    </row>
    <row r="38" spans="1:15" x14ac:dyDescent="0.35">
      <c r="A38" t="s">
        <v>108</v>
      </c>
      <c r="B38" s="2">
        <v>45660</v>
      </c>
      <c r="C38" t="s">
        <v>36</v>
      </c>
      <c r="D38" t="s">
        <v>11</v>
      </c>
      <c r="E38" t="s">
        <v>12</v>
      </c>
      <c r="F38" t="s">
        <v>13</v>
      </c>
      <c r="G38">
        <v>2</v>
      </c>
      <c r="H38">
        <v>2.5</v>
      </c>
      <c r="I38" t="s">
        <v>14</v>
      </c>
      <c r="J38" t="s">
        <v>109</v>
      </c>
      <c r="K38" s="12">
        <f>Store_Record[[#This Row],[Qty]]*Store_Record[[#This Row],[UnitPriceGBP]]</f>
        <v>5</v>
      </c>
      <c r="L38" s="5" t="str">
        <f>TEXT(Store_Record[[#This Row],[Date]],"dddd")</f>
        <v>Friday</v>
      </c>
      <c r="M38" s="5" t="str">
        <f>TEXT(Store_Record[[#This Row],[Date]],"mmmm")</f>
        <v>January</v>
      </c>
      <c r="N38" s="5">
        <f>YEAR(Store_Record[[#This Row],[Date]])</f>
        <v>2025</v>
      </c>
      <c r="O38"/>
    </row>
    <row r="39" spans="1:15" x14ac:dyDescent="0.35">
      <c r="A39" t="s">
        <v>98</v>
      </c>
      <c r="B39" s="2">
        <v>45660</v>
      </c>
      <c r="C39" t="s">
        <v>24</v>
      </c>
      <c r="D39" t="s">
        <v>11</v>
      </c>
      <c r="E39" t="s">
        <v>34</v>
      </c>
      <c r="F39" t="s">
        <v>31</v>
      </c>
      <c r="G39">
        <v>2</v>
      </c>
      <c r="H39">
        <v>2.2000000000000002</v>
      </c>
      <c r="I39" t="s">
        <v>39</v>
      </c>
      <c r="J39" t="s">
        <v>99</v>
      </c>
      <c r="K39" s="12">
        <f>Store_Record[[#This Row],[Qty]]*Store_Record[[#This Row],[UnitPriceGBP]]</f>
        <v>4.4000000000000004</v>
      </c>
      <c r="L39" s="5" t="str">
        <f>TEXT(Store_Record[[#This Row],[Date]],"dddd")</f>
        <v>Friday</v>
      </c>
      <c r="M39" s="5" t="str">
        <f>TEXT(Store_Record[[#This Row],[Date]],"mmmm")</f>
        <v>January</v>
      </c>
      <c r="N39" s="5">
        <f>YEAR(Store_Record[[#This Row],[Date]])</f>
        <v>2025</v>
      </c>
      <c r="O39"/>
    </row>
    <row r="40" spans="1:15" x14ac:dyDescent="0.35">
      <c r="A40" t="s">
        <v>81</v>
      </c>
      <c r="B40" s="2">
        <v>45660</v>
      </c>
      <c r="C40" t="s">
        <v>20</v>
      </c>
      <c r="D40" t="s">
        <v>11</v>
      </c>
      <c r="E40" t="s">
        <v>30</v>
      </c>
      <c r="F40" t="s">
        <v>31</v>
      </c>
      <c r="G40">
        <v>1</v>
      </c>
      <c r="H40">
        <v>2.8</v>
      </c>
      <c r="I40" t="s">
        <v>14</v>
      </c>
      <c r="J40" t="s">
        <v>82</v>
      </c>
      <c r="K40" s="12">
        <f>Store_Record[[#This Row],[Qty]]*Store_Record[[#This Row],[UnitPriceGBP]]</f>
        <v>2.8</v>
      </c>
      <c r="L40" s="5" t="str">
        <f>TEXT(Store_Record[[#This Row],[Date]],"dddd")</f>
        <v>Friday</v>
      </c>
      <c r="M40" s="5" t="str">
        <f>TEXT(Store_Record[[#This Row],[Date]],"mmmm")</f>
        <v>January</v>
      </c>
      <c r="N40" s="5">
        <f>YEAR(Store_Record[[#This Row],[Date]])</f>
        <v>2025</v>
      </c>
      <c r="O40"/>
    </row>
    <row r="41" spans="1:15" x14ac:dyDescent="0.35">
      <c r="A41" t="s">
        <v>110</v>
      </c>
      <c r="B41" s="2">
        <v>45660</v>
      </c>
      <c r="C41" t="s">
        <v>24</v>
      </c>
      <c r="D41" t="s">
        <v>47</v>
      </c>
      <c r="E41" t="s">
        <v>12</v>
      </c>
      <c r="F41" t="s">
        <v>13</v>
      </c>
      <c r="G41">
        <v>1</v>
      </c>
      <c r="H41">
        <v>2.5</v>
      </c>
      <c r="I41" t="s">
        <v>14</v>
      </c>
      <c r="J41" t="s">
        <v>111</v>
      </c>
      <c r="K41" s="12">
        <f>Store_Record[[#This Row],[Qty]]*Store_Record[[#This Row],[UnitPriceGBP]]</f>
        <v>2.5</v>
      </c>
      <c r="L41" s="5" t="str">
        <f>TEXT(Store_Record[[#This Row],[Date]],"dddd")</f>
        <v>Friday</v>
      </c>
      <c r="M41" s="5" t="str">
        <f>TEXT(Store_Record[[#This Row],[Date]],"mmmm")</f>
        <v>January</v>
      </c>
      <c r="N41" s="5">
        <f>YEAR(Store_Record[[#This Row],[Date]])</f>
        <v>2025</v>
      </c>
      <c r="O41"/>
    </row>
    <row r="42" spans="1:15" x14ac:dyDescent="0.35">
      <c r="A42" t="s">
        <v>141</v>
      </c>
      <c r="B42" s="2">
        <v>45661</v>
      </c>
      <c r="C42" t="s">
        <v>10</v>
      </c>
      <c r="D42" t="s">
        <v>11</v>
      </c>
      <c r="E42" t="s">
        <v>42</v>
      </c>
      <c r="F42" t="s">
        <v>13</v>
      </c>
      <c r="G42">
        <v>4</v>
      </c>
      <c r="H42">
        <v>3.8</v>
      </c>
      <c r="I42" t="s">
        <v>21</v>
      </c>
      <c r="J42" t="s">
        <v>142</v>
      </c>
      <c r="K42" s="12">
        <f>Store_Record[[#This Row],[Qty]]*Store_Record[[#This Row],[UnitPriceGBP]]</f>
        <v>15.2</v>
      </c>
      <c r="L42" s="5" t="str">
        <f>TEXT(Store_Record[[#This Row],[Date]],"dddd")</f>
        <v>Saturday</v>
      </c>
      <c r="M42" s="5" t="str">
        <f>TEXT(Store_Record[[#This Row],[Date]],"mmmm")</f>
        <v>January</v>
      </c>
      <c r="N42" s="5">
        <f>YEAR(Store_Record[[#This Row],[Date]])</f>
        <v>2025</v>
      </c>
      <c r="O42"/>
    </row>
    <row r="43" spans="1:15" x14ac:dyDescent="0.35">
      <c r="A43" t="s">
        <v>134</v>
      </c>
      <c r="B43" s="2">
        <v>45661</v>
      </c>
      <c r="C43" t="s">
        <v>36</v>
      </c>
      <c r="D43" t="s">
        <v>11</v>
      </c>
      <c r="E43" t="s">
        <v>30</v>
      </c>
      <c r="F43" t="s">
        <v>31</v>
      </c>
      <c r="G43">
        <v>5</v>
      </c>
      <c r="H43">
        <v>2.8</v>
      </c>
      <c r="I43" t="s">
        <v>21</v>
      </c>
      <c r="J43" t="s">
        <v>135</v>
      </c>
      <c r="K43" s="12">
        <f>Store_Record[[#This Row],[Qty]]*Store_Record[[#This Row],[UnitPriceGBP]]</f>
        <v>14</v>
      </c>
      <c r="L43" s="5" t="str">
        <f>TEXT(Store_Record[[#This Row],[Date]],"dddd")</f>
        <v>Saturday</v>
      </c>
      <c r="M43" s="5" t="str">
        <f>TEXT(Store_Record[[#This Row],[Date]],"mmmm")</f>
        <v>January</v>
      </c>
      <c r="N43" s="5">
        <f>YEAR(Store_Record[[#This Row],[Date]])</f>
        <v>2025</v>
      </c>
      <c r="O43"/>
    </row>
    <row r="44" spans="1:15" x14ac:dyDescent="0.35">
      <c r="A44" t="s">
        <v>139</v>
      </c>
      <c r="B44" s="2">
        <v>45661</v>
      </c>
      <c r="C44" t="s">
        <v>24</v>
      </c>
      <c r="D44" t="s">
        <v>11</v>
      </c>
      <c r="E44" t="s">
        <v>26</v>
      </c>
      <c r="F44" t="s">
        <v>13</v>
      </c>
      <c r="G44">
        <v>4</v>
      </c>
      <c r="H44">
        <v>3.5</v>
      </c>
      <c r="I44" t="s">
        <v>21</v>
      </c>
      <c r="J44" t="s">
        <v>140</v>
      </c>
      <c r="K44" s="12">
        <f>Store_Record[[#This Row],[Qty]]*Store_Record[[#This Row],[UnitPriceGBP]]</f>
        <v>14</v>
      </c>
      <c r="L44" s="5" t="str">
        <f>TEXT(Store_Record[[#This Row],[Date]],"dddd")</f>
        <v>Saturday</v>
      </c>
      <c r="M44" s="5" t="str">
        <f>TEXT(Store_Record[[#This Row],[Date]],"mmmm")</f>
        <v>January</v>
      </c>
      <c r="N44" s="5">
        <f>YEAR(Store_Record[[#This Row],[Date]])</f>
        <v>2025</v>
      </c>
      <c r="O44"/>
    </row>
    <row r="45" spans="1:15" x14ac:dyDescent="0.35">
      <c r="A45" t="s">
        <v>116</v>
      </c>
      <c r="B45" s="2">
        <v>45661</v>
      </c>
      <c r="C45" t="s">
        <v>36</v>
      </c>
      <c r="D45" t="s">
        <v>11</v>
      </c>
      <c r="E45" t="s">
        <v>12</v>
      </c>
      <c r="F45" t="s">
        <v>13</v>
      </c>
      <c r="G45">
        <v>5</v>
      </c>
      <c r="H45">
        <v>2.5</v>
      </c>
      <c r="I45" t="s">
        <v>39</v>
      </c>
      <c r="J45" t="s">
        <v>117</v>
      </c>
      <c r="K45" s="12">
        <f>Store_Record[[#This Row],[Qty]]*Store_Record[[#This Row],[UnitPriceGBP]]</f>
        <v>12.5</v>
      </c>
      <c r="L45" s="5" t="str">
        <f>TEXT(Store_Record[[#This Row],[Date]],"dddd")</f>
        <v>Saturday</v>
      </c>
      <c r="M45" s="5" t="str">
        <f>TEXT(Store_Record[[#This Row],[Date]],"mmmm")</f>
        <v>January</v>
      </c>
      <c r="N45" s="5">
        <f>YEAR(Store_Record[[#This Row],[Date]])</f>
        <v>2025</v>
      </c>
      <c r="O45"/>
    </row>
    <row r="46" spans="1:15" x14ac:dyDescent="0.35">
      <c r="A46" t="s">
        <v>132</v>
      </c>
      <c r="B46" s="2">
        <v>45661</v>
      </c>
      <c r="C46" t="s">
        <v>20</v>
      </c>
      <c r="D46" t="s">
        <v>38</v>
      </c>
      <c r="E46" t="s">
        <v>42</v>
      </c>
      <c r="F46" t="s">
        <v>13</v>
      </c>
      <c r="G46">
        <v>3</v>
      </c>
      <c r="H46">
        <v>3.8</v>
      </c>
      <c r="I46" t="s">
        <v>14</v>
      </c>
      <c r="J46" t="s">
        <v>133</v>
      </c>
      <c r="K46" s="12">
        <f>Store_Record[[#This Row],[Qty]]*Store_Record[[#This Row],[UnitPriceGBP]]</f>
        <v>11.399999999999999</v>
      </c>
      <c r="L46" s="5" t="str">
        <f>TEXT(Store_Record[[#This Row],[Date]],"dddd")</f>
        <v>Saturday</v>
      </c>
      <c r="M46" s="5" t="str">
        <f>TEXT(Store_Record[[#This Row],[Date]],"mmmm")</f>
        <v>January</v>
      </c>
      <c r="N46" s="5">
        <f>YEAR(Store_Record[[#This Row],[Date]])</f>
        <v>2025</v>
      </c>
      <c r="O46"/>
    </row>
    <row r="47" spans="1:15" x14ac:dyDescent="0.35">
      <c r="A47" t="s">
        <v>145</v>
      </c>
      <c r="B47" s="2">
        <v>45661</v>
      </c>
      <c r="C47" t="s">
        <v>10</v>
      </c>
      <c r="D47" t="s">
        <v>38</v>
      </c>
      <c r="E47" t="s">
        <v>42</v>
      </c>
      <c r="F47" t="s">
        <v>13</v>
      </c>
      <c r="G47">
        <v>3</v>
      </c>
      <c r="H47">
        <v>3.8</v>
      </c>
      <c r="I47" t="s">
        <v>14</v>
      </c>
      <c r="J47" t="s">
        <v>146</v>
      </c>
      <c r="K47" s="12">
        <f>Store_Record[[#This Row],[Qty]]*Store_Record[[#This Row],[UnitPriceGBP]]</f>
        <v>11.399999999999999</v>
      </c>
      <c r="L47" s="5" t="str">
        <f>TEXT(Store_Record[[#This Row],[Date]],"dddd")</f>
        <v>Saturday</v>
      </c>
      <c r="M47" s="5" t="str">
        <f>TEXT(Store_Record[[#This Row],[Date]],"mmmm")</f>
        <v>January</v>
      </c>
      <c r="N47" s="5">
        <f>YEAR(Store_Record[[#This Row],[Date]])</f>
        <v>2025</v>
      </c>
      <c r="O47"/>
    </row>
    <row r="48" spans="1:15" x14ac:dyDescent="0.35">
      <c r="A48" t="s">
        <v>126</v>
      </c>
      <c r="B48" s="2">
        <v>45661</v>
      </c>
      <c r="C48" t="s">
        <v>36</v>
      </c>
      <c r="D48" t="s">
        <v>25</v>
      </c>
      <c r="E48" t="s">
        <v>34</v>
      </c>
      <c r="F48" t="s">
        <v>31</v>
      </c>
      <c r="G48">
        <v>5</v>
      </c>
      <c r="H48">
        <v>2.2000000000000002</v>
      </c>
      <c r="I48" t="s">
        <v>39</v>
      </c>
      <c r="J48" t="s">
        <v>127</v>
      </c>
      <c r="K48" s="12">
        <f>Store_Record[[#This Row],[Qty]]*Store_Record[[#This Row],[UnitPriceGBP]]</f>
        <v>11</v>
      </c>
      <c r="L48" s="5" t="str">
        <f>TEXT(Store_Record[[#This Row],[Date]],"dddd")</f>
        <v>Saturday</v>
      </c>
      <c r="M48" s="5" t="str">
        <f>TEXT(Store_Record[[#This Row],[Date]],"mmmm")</f>
        <v>January</v>
      </c>
      <c r="N48" s="5">
        <f>YEAR(Store_Record[[#This Row],[Date]])</f>
        <v>2025</v>
      </c>
      <c r="O48"/>
    </row>
    <row r="49" spans="1:15" x14ac:dyDescent="0.35">
      <c r="A49" t="s">
        <v>143</v>
      </c>
      <c r="B49" s="2">
        <v>45661</v>
      </c>
      <c r="C49" t="s">
        <v>36</v>
      </c>
      <c r="D49" t="s">
        <v>29</v>
      </c>
      <c r="E49" t="s">
        <v>12</v>
      </c>
      <c r="F49" t="s">
        <v>13</v>
      </c>
      <c r="G49">
        <v>4</v>
      </c>
      <c r="H49">
        <v>2.5</v>
      </c>
      <c r="I49" t="s">
        <v>21</v>
      </c>
      <c r="J49" t="s">
        <v>144</v>
      </c>
      <c r="K49" s="12">
        <f>Store_Record[[#This Row],[Qty]]*Store_Record[[#This Row],[UnitPriceGBP]]</f>
        <v>10</v>
      </c>
      <c r="L49" s="5" t="str">
        <f>TEXT(Store_Record[[#This Row],[Date]],"dddd")</f>
        <v>Saturday</v>
      </c>
      <c r="M49" s="5" t="str">
        <f>TEXT(Store_Record[[#This Row],[Date]],"mmmm")</f>
        <v>January</v>
      </c>
      <c r="N49" s="5">
        <f>YEAR(Store_Record[[#This Row],[Date]])</f>
        <v>2025</v>
      </c>
      <c r="O49"/>
    </row>
    <row r="50" spans="1:15" x14ac:dyDescent="0.35">
      <c r="A50" t="s">
        <v>124</v>
      </c>
      <c r="B50" s="2">
        <v>45661</v>
      </c>
      <c r="C50" t="s">
        <v>36</v>
      </c>
      <c r="D50" t="s">
        <v>38</v>
      </c>
      <c r="E50" t="s">
        <v>34</v>
      </c>
      <c r="F50" t="s">
        <v>31</v>
      </c>
      <c r="G50">
        <v>4</v>
      </c>
      <c r="H50">
        <v>2.2000000000000002</v>
      </c>
      <c r="I50" t="s">
        <v>39</v>
      </c>
      <c r="J50" t="s">
        <v>125</v>
      </c>
      <c r="K50" s="12">
        <f>Store_Record[[#This Row],[Qty]]*Store_Record[[#This Row],[UnitPriceGBP]]</f>
        <v>8.8000000000000007</v>
      </c>
      <c r="L50" s="5" t="str">
        <f>TEXT(Store_Record[[#This Row],[Date]],"dddd")</f>
        <v>Saturday</v>
      </c>
      <c r="M50" s="5" t="str">
        <f>TEXT(Store_Record[[#This Row],[Date]],"mmmm")</f>
        <v>January</v>
      </c>
      <c r="N50" s="5">
        <f>YEAR(Store_Record[[#This Row],[Date]])</f>
        <v>2025</v>
      </c>
      <c r="O50"/>
    </row>
    <row r="51" spans="1:15" x14ac:dyDescent="0.35">
      <c r="A51" t="s">
        <v>118</v>
      </c>
      <c r="B51" s="2">
        <v>45661</v>
      </c>
      <c r="C51" t="s">
        <v>20</v>
      </c>
      <c r="D51" t="s">
        <v>29</v>
      </c>
      <c r="E51" t="s">
        <v>30</v>
      </c>
      <c r="F51" t="s">
        <v>31</v>
      </c>
      <c r="G51">
        <v>3</v>
      </c>
      <c r="H51">
        <v>2.8</v>
      </c>
      <c r="I51" t="s">
        <v>14</v>
      </c>
      <c r="J51" t="s">
        <v>119</v>
      </c>
      <c r="K51" s="12">
        <f>Store_Record[[#This Row],[Qty]]*Store_Record[[#This Row],[UnitPriceGBP]]</f>
        <v>8.3999999999999986</v>
      </c>
      <c r="L51" s="5" t="str">
        <f>TEXT(Store_Record[[#This Row],[Date]],"dddd")</f>
        <v>Saturday</v>
      </c>
      <c r="M51" s="5" t="str">
        <f>TEXT(Store_Record[[#This Row],[Date]],"mmmm")</f>
        <v>January</v>
      </c>
      <c r="N51" s="5">
        <f>YEAR(Store_Record[[#This Row],[Date]])</f>
        <v>2025</v>
      </c>
      <c r="O51"/>
    </row>
    <row r="52" spans="1:15" x14ac:dyDescent="0.35">
      <c r="A52" t="s">
        <v>128</v>
      </c>
      <c r="B52" s="2">
        <v>45661</v>
      </c>
      <c r="C52" t="s">
        <v>24</v>
      </c>
      <c r="D52" t="s">
        <v>29</v>
      </c>
      <c r="E52" t="s">
        <v>30</v>
      </c>
      <c r="F52" t="s">
        <v>31</v>
      </c>
      <c r="G52">
        <v>3</v>
      </c>
      <c r="H52">
        <v>2.8</v>
      </c>
      <c r="I52" t="s">
        <v>39</v>
      </c>
      <c r="J52" t="s">
        <v>129</v>
      </c>
      <c r="K52" s="12">
        <f>Store_Record[[#This Row],[Qty]]*Store_Record[[#This Row],[UnitPriceGBP]]</f>
        <v>8.3999999999999986</v>
      </c>
      <c r="L52" s="5" t="str">
        <f>TEXT(Store_Record[[#This Row],[Date]],"dddd")</f>
        <v>Saturday</v>
      </c>
      <c r="M52" s="5" t="str">
        <f>TEXT(Store_Record[[#This Row],[Date]],"mmmm")</f>
        <v>January</v>
      </c>
      <c r="N52" s="5">
        <f>YEAR(Store_Record[[#This Row],[Date]])</f>
        <v>2025</v>
      </c>
      <c r="O52"/>
    </row>
    <row r="53" spans="1:15" x14ac:dyDescent="0.35">
      <c r="A53" t="s">
        <v>114</v>
      </c>
      <c r="B53" s="2">
        <v>45661</v>
      </c>
      <c r="C53" t="s">
        <v>10</v>
      </c>
      <c r="D53" t="s">
        <v>47</v>
      </c>
      <c r="E53" t="s">
        <v>42</v>
      </c>
      <c r="F53" t="s">
        <v>13</v>
      </c>
      <c r="G53">
        <v>2</v>
      </c>
      <c r="H53">
        <v>3.8</v>
      </c>
      <c r="I53" t="s">
        <v>21</v>
      </c>
      <c r="J53" t="s">
        <v>115</v>
      </c>
      <c r="K53" s="12">
        <f>Store_Record[[#This Row],[Qty]]*Store_Record[[#This Row],[UnitPriceGBP]]</f>
        <v>7.6</v>
      </c>
      <c r="L53" s="5" t="str">
        <f>TEXT(Store_Record[[#This Row],[Date]],"dddd")</f>
        <v>Saturday</v>
      </c>
      <c r="M53" s="5" t="str">
        <f>TEXT(Store_Record[[#This Row],[Date]],"mmmm")</f>
        <v>January</v>
      </c>
      <c r="N53" s="5">
        <f>YEAR(Store_Record[[#This Row],[Date]])</f>
        <v>2025</v>
      </c>
      <c r="O53"/>
    </row>
    <row r="54" spans="1:15" x14ac:dyDescent="0.35">
      <c r="A54" t="s">
        <v>137</v>
      </c>
      <c r="B54" s="2">
        <v>45661</v>
      </c>
      <c r="C54" t="s">
        <v>20</v>
      </c>
      <c r="D54" t="s">
        <v>38</v>
      </c>
      <c r="E54" t="s">
        <v>12</v>
      </c>
      <c r="F54" t="s">
        <v>13</v>
      </c>
      <c r="G54">
        <v>3</v>
      </c>
      <c r="H54">
        <v>2.5</v>
      </c>
      <c r="I54" t="s">
        <v>39</v>
      </c>
      <c r="J54" t="s">
        <v>138</v>
      </c>
      <c r="K54" s="12">
        <f>Store_Record[[#This Row],[Qty]]*Store_Record[[#This Row],[UnitPriceGBP]]</f>
        <v>7.5</v>
      </c>
      <c r="L54" s="5" t="str">
        <f>TEXT(Store_Record[[#This Row],[Date]],"dddd")</f>
        <v>Saturday</v>
      </c>
      <c r="M54" s="5" t="str">
        <f>TEXT(Store_Record[[#This Row],[Date]],"mmmm")</f>
        <v>January</v>
      </c>
      <c r="N54" s="5">
        <f>YEAR(Store_Record[[#This Row],[Date]])</f>
        <v>2025</v>
      </c>
      <c r="O54"/>
    </row>
    <row r="55" spans="1:15" x14ac:dyDescent="0.35">
      <c r="A55" t="s">
        <v>122</v>
      </c>
      <c r="B55" s="2">
        <v>45661</v>
      </c>
      <c r="C55" t="s">
        <v>10</v>
      </c>
      <c r="D55" t="s">
        <v>11</v>
      </c>
      <c r="E55" t="s">
        <v>34</v>
      </c>
      <c r="F55" t="s">
        <v>31</v>
      </c>
      <c r="G55">
        <v>2</v>
      </c>
      <c r="H55">
        <v>2.2000000000000002</v>
      </c>
      <c r="I55" t="s">
        <v>21</v>
      </c>
      <c r="J55" t="s">
        <v>123</v>
      </c>
      <c r="K55" s="12">
        <f>Store_Record[[#This Row],[Qty]]*Store_Record[[#This Row],[UnitPriceGBP]]</f>
        <v>4.4000000000000004</v>
      </c>
      <c r="L55" s="5" t="str">
        <f>TEXT(Store_Record[[#This Row],[Date]],"dddd")</f>
        <v>Saturday</v>
      </c>
      <c r="M55" s="5" t="str">
        <f>TEXT(Store_Record[[#This Row],[Date]],"mmmm")</f>
        <v>January</v>
      </c>
      <c r="N55" s="5">
        <f>YEAR(Store_Record[[#This Row],[Date]])</f>
        <v>2025</v>
      </c>
      <c r="O55"/>
    </row>
    <row r="56" spans="1:15" x14ac:dyDescent="0.35">
      <c r="A56" t="s">
        <v>130</v>
      </c>
      <c r="B56" s="2">
        <v>45661</v>
      </c>
      <c r="C56" t="s">
        <v>36</v>
      </c>
      <c r="D56" t="s">
        <v>38</v>
      </c>
      <c r="E56" t="s">
        <v>42</v>
      </c>
      <c r="F56" t="s">
        <v>13</v>
      </c>
      <c r="G56">
        <v>1</v>
      </c>
      <c r="H56">
        <v>3.8</v>
      </c>
      <c r="I56" t="s">
        <v>39</v>
      </c>
      <c r="J56" t="s">
        <v>131</v>
      </c>
      <c r="K56" s="12">
        <f>Store_Record[[#This Row],[Qty]]*Store_Record[[#This Row],[UnitPriceGBP]]</f>
        <v>3.8</v>
      </c>
      <c r="L56" s="5" t="str">
        <f>TEXT(Store_Record[[#This Row],[Date]],"dddd")</f>
        <v>Saturday</v>
      </c>
      <c r="M56" s="5" t="str">
        <f>TEXT(Store_Record[[#This Row],[Date]],"mmmm")</f>
        <v>January</v>
      </c>
      <c r="N56" s="5">
        <f>YEAR(Store_Record[[#This Row],[Date]])</f>
        <v>2025</v>
      </c>
      <c r="O56"/>
    </row>
    <row r="57" spans="1:15" x14ac:dyDescent="0.35">
      <c r="A57" t="s">
        <v>136</v>
      </c>
      <c r="B57" s="2">
        <v>45661</v>
      </c>
      <c r="C57" t="s">
        <v>20</v>
      </c>
      <c r="D57" t="s">
        <v>47</v>
      </c>
      <c r="E57" t="s">
        <v>26</v>
      </c>
      <c r="F57" t="s">
        <v>13</v>
      </c>
      <c r="G57">
        <v>1</v>
      </c>
      <c r="H57">
        <v>3.5</v>
      </c>
      <c r="I57" t="s">
        <v>14</v>
      </c>
      <c r="J57" t="s">
        <v>32</v>
      </c>
      <c r="K57" s="12">
        <f>Store_Record[[#This Row],[Qty]]*Store_Record[[#This Row],[UnitPriceGBP]]</f>
        <v>3.5</v>
      </c>
      <c r="L57" s="5" t="str">
        <f>TEXT(Store_Record[[#This Row],[Date]],"dddd")</f>
        <v>Saturday</v>
      </c>
      <c r="M57" s="5" t="str">
        <f>TEXT(Store_Record[[#This Row],[Date]],"mmmm")</f>
        <v>January</v>
      </c>
      <c r="N57" s="5">
        <f>YEAR(Store_Record[[#This Row],[Date]])</f>
        <v>2025</v>
      </c>
      <c r="O57"/>
    </row>
    <row r="58" spans="1:15" x14ac:dyDescent="0.35">
      <c r="A58" t="s">
        <v>147</v>
      </c>
      <c r="B58" s="2">
        <v>45661</v>
      </c>
      <c r="C58" t="s">
        <v>36</v>
      </c>
      <c r="D58" t="s">
        <v>29</v>
      </c>
      <c r="E58" t="s">
        <v>26</v>
      </c>
      <c r="F58" t="s">
        <v>13</v>
      </c>
      <c r="G58">
        <v>1</v>
      </c>
      <c r="H58">
        <v>3.5</v>
      </c>
      <c r="I58" t="s">
        <v>39</v>
      </c>
      <c r="J58" t="s">
        <v>148</v>
      </c>
      <c r="K58" s="12">
        <f>Store_Record[[#This Row],[Qty]]*Store_Record[[#This Row],[UnitPriceGBP]]</f>
        <v>3.5</v>
      </c>
      <c r="L58" s="5" t="str">
        <f>TEXT(Store_Record[[#This Row],[Date]],"dddd")</f>
        <v>Saturday</v>
      </c>
      <c r="M58" s="5" t="str">
        <f>TEXT(Store_Record[[#This Row],[Date]],"mmmm")</f>
        <v>January</v>
      </c>
      <c r="N58" s="5">
        <f>YEAR(Store_Record[[#This Row],[Date]])</f>
        <v>2025</v>
      </c>
      <c r="O58"/>
    </row>
    <row r="59" spans="1:15" x14ac:dyDescent="0.35">
      <c r="A59" t="s">
        <v>120</v>
      </c>
      <c r="B59" s="2">
        <v>45661</v>
      </c>
      <c r="C59" t="s">
        <v>10</v>
      </c>
      <c r="D59" t="s">
        <v>47</v>
      </c>
      <c r="E59" t="s">
        <v>30</v>
      </c>
      <c r="F59" t="s">
        <v>31</v>
      </c>
      <c r="G59">
        <v>1</v>
      </c>
      <c r="H59">
        <v>2.8</v>
      </c>
      <c r="I59" t="s">
        <v>14</v>
      </c>
      <c r="J59" t="s">
        <v>121</v>
      </c>
      <c r="K59" s="12">
        <f>Store_Record[[#This Row],[Qty]]*Store_Record[[#This Row],[UnitPriceGBP]]</f>
        <v>2.8</v>
      </c>
      <c r="L59" s="5" t="str">
        <f>TEXT(Store_Record[[#This Row],[Date]],"dddd")</f>
        <v>Saturday</v>
      </c>
      <c r="M59" s="5" t="str">
        <f>TEXT(Store_Record[[#This Row],[Date]],"mmmm")</f>
        <v>January</v>
      </c>
      <c r="N59" s="5">
        <f>YEAR(Store_Record[[#This Row],[Date]])</f>
        <v>2025</v>
      </c>
      <c r="O59"/>
    </row>
    <row r="60" spans="1:15" x14ac:dyDescent="0.35">
      <c r="A60" t="s">
        <v>112</v>
      </c>
      <c r="B60" s="2">
        <v>45661</v>
      </c>
      <c r="C60" t="s">
        <v>20</v>
      </c>
      <c r="D60" t="s">
        <v>25</v>
      </c>
      <c r="E60" t="s">
        <v>12</v>
      </c>
      <c r="F60" t="s">
        <v>13</v>
      </c>
      <c r="G60">
        <v>1</v>
      </c>
      <c r="H60">
        <v>2.5</v>
      </c>
      <c r="I60" t="s">
        <v>14</v>
      </c>
      <c r="J60" t="s">
        <v>113</v>
      </c>
      <c r="K60" s="12">
        <f>Store_Record[[#This Row],[Qty]]*Store_Record[[#This Row],[UnitPriceGBP]]</f>
        <v>2.5</v>
      </c>
      <c r="L60" s="5" t="str">
        <f>TEXT(Store_Record[[#This Row],[Date]],"dddd")</f>
        <v>Saturday</v>
      </c>
      <c r="M60" s="5" t="str">
        <f>TEXT(Store_Record[[#This Row],[Date]],"mmmm")</f>
        <v>January</v>
      </c>
      <c r="N60" s="5">
        <f>YEAR(Store_Record[[#This Row],[Date]])</f>
        <v>2025</v>
      </c>
      <c r="O60"/>
    </row>
    <row r="61" spans="1:15" x14ac:dyDescent="0.35">
      <c r="A61" t="s">
        <v>151</v>
      </c>
      <c r="B61" s="2">
        <v>45662</v>
      </c>
      <c r="C61" t="s">
        <v>24</v>
      </c>
      <c r="D61" t="s">
        <v>152</v>
      </c>
      <c r="E61" t="s">
        <v>42</v>
      </c>
      <c r="F61" t="s">
        <v>13</v>
      </c>
      <c r="G61">
        <v>5</v>
      </c>
      <c r="H61">
        <v>3.8</v>
      </c>
      <c r="I61" t="s">
        <v>39</v>
      </c>
      <c r="J61" t="s">
        <v>153</v>
      </c>
      <c r="K61" s="12">
        <f>Store_Record[[#This Row],[Qty]]*Store_Record[[#This Row],[UnitPriceGBP]]</f>
        <v>19</v>
      </c>
      <c r="L61" s="5" t="str">
        <f>TEXT(Store_Record[[#This Row],[Date]],"dddd")</f>
        <v>Sunday</v>
      </c>
      <c r="M61" s="5" t="str">
        <f>TEXT(Store_Record[[#This Row],[Date]],"mmmm")</f>
        <v>January</v>
      </c>
      <c r="N61" s="5">
        <f>YEAR(Store_Record[[#This Row],[Date]])</f>
        <v>2025</v>
      </c>
      <c r="O61"/>
    </row>
    <row r="62" spans="1:15" x14ac:dyDescent="0.35">
      <c r="A62" t="s">
        <v>154</v>
      </c>
      <c r="B62" s="2">
        <v>45662</v>
      </c>
      <c r="C62" t="s">
        <v>20</v>
      </c>
      <c r="D62" t="s">
        <v>11</v>
      </c>
      <c r="E62" t="s">
        <v>26</v>
      </c>
      <c r="F62" t="s">
        <v>13</v>
      </c>
      <c r="G62">
        <v>5</v>
      </c>
      <c r="H62">
        <v>3.5</v>
      </c>
      <c r="I62" t="s">
        <v>14</v>
      </c>
      <c r="J62" t="s">
        <v>155</v>
      </c>
      <c r="K62" s="12">
        <f>Store_Record[[#This Row],[Qty]]*Store_Record[[#This Row],[UnitPriceGBP]]</f>
        <v>17.5</v>
      </c>
      <c r="L62" s="5" t="str">
        <f>TEXT(Store_Record[[#This Row],[Date]],"dddd")</f>
        <v>Sunday</v>
      </c>
      <c r="M62" s="5" t="str">
        <f>TEXT(Store_Record[[#This Row],[Date]],"mmmm")</f>
        <v>January</v>
      </c>
      <c r="N62" s="5">
        <f>YEAR(Store_Record[[#This Row],[Date]])</f>
        <v>2025</v>
      </c>
      <c r="O62"/>
    </row>
    <row r="63" spans="1:15" x14ac:dyDescent="0.35">
      <c r="A63" t="s">
        <v>164</v>
      </c>
      <c r="B63" s="2">
        <v>45662</v>
      </c>
      <c r="C63" t="s">
        <v>24</v>
      </c>
      <c r="D63" t="s">
        <v>47</v>
      </c>
      <c r="E63" t="s">
        <v>42</v>
      </c>
      <c r="F63" t="s">
        <v>13</v>
      </c>
      <c r="G63">
        <v>4</v>
      </c>
      <c r="H63">
        <v>3.8</v>
      </c>
      <c r="I63" t="s">
        <v>39</v>
      </c>
      <c r="J63" t="s">
        <v>165</v>
      </c>
      <c r="K63" s="12">
        <f>Store_Record[[#This Row],[Qty]]*Store_Record[[#This Row],[UnitPriceGBP]]</f>
        <v>15.2</v>
      </c>
      <c r="L63" s="5" t="str">
        <f>TEXT(Store_Record[[#This Row],[Date]],"dddd")</f>
        <v>Sunday</v>
      </c>
      <c r="M63" s="5" t="str">
        <f>TEXT(Store_Record[[#This Row],[Date]],"mmmm")</f>
        <v>January</v>
      </c>
      <c r="N63" s="5">
        <f>YEAR(Store_Record[[#This Row],[Date]])</f>
        <v>2025</v>
      </c>
      <c r="O63"/>
    </row>
    <row r="64" spans="1:15" x14ac:dyDescent="0.35">
      <c r="A64" t="s">
        <v>149</v>
      </c>
      <c r="B64" s="2">
        <v>45662</v>
      </c>
      <c r="C64" t="s">
        <v>20</v>
      </c>
      <c r="D64" t="s">
        <v>47</v>
      </c>
      <c r="E64" t="s">
        <v>26</v>
      </c>
      <c r="F64" t="s">
        <v>13</v>
      </c>
      <c r="G64">
        <v>4</v>
      </c>
      <c r="H64">
        <v>3.5</v>
      </c>
      <c r="I64" t="s">
        <v>21</v>
      </c>
      <c r="J64" t="s">
        <v>150</v>
      </c>
      <c r="K64" s="12">
        <f>Store_Record[[#This Row],[Qty]]*Store_Record[[#This Row],[UnitPriceGBP]]</f>
        <v>14</v>
      </c>
      <c r="L64" s="5" t="str">
        <f>TEXT(Store_Record[[#This Row],[Date]],"dddd")</f>
        <v>Sunday</v>
      </c>
      <c r="M64" s="5" t="str">
        <f>TEXT(Store_Record[[#This Row],[Date]],"mmmm")</f>
        <v>January</v>
      </c>
      <c r="N64" s="5">
        <f>YEAR(Store_Record[[#This Row],[Date]])</f>
        <v>2025</v>
      </c>
      <c r="O64"/>
    </row>
    <row r="65" spans="1:15" x14ac:dyDescent="0.35">
      <c r="A65" t="s">
        <v>156</v>
      </c>
      <c r="B65" s="2">
        <v>45662</v>
      </c>
      <c r="C65" t="s">
        <v>36</v>
      </c>
      <c r="D65" t="s">
        <v>11</v>
      </c>
      <c r="E65" t="s">
        <v>12</v>
      </c>
      <c r="F65" t="s">
        <v>13</v>
      </c>
      <c r="G65">
        <v>5</v>
      </c>
      <c r="H65">
        <v>2.5</v>
      </c>
      <c r="I65" t="s">
        <v>21</v>
      </c>
      <c r="J65" t="s">
        <v>157</v>
      </c>
      <c r="K65" s="12">
        <f>Store_Record[[#This Row],[Qty]]*Store_Record[[#This Row],[UnitPriceGBP]]</f>
        <v>12.5</v>
      </c>
      <c r="L65" s="5" t="str">
        <f>TEXT(Store_Record[[#This Row],[Date]],"dddd")</f>
        <v>Sunday</v>
      </c>
      <c r="M65" s="5" t="str">
        <f>TEXT(Store_Record[[#This Row],[Date]],"mmmm")</f>
        <v>January</v>
      </c>
      <c r="N65" s="5">
        <f>YEAR(Store_Record[[#This Row],[Date]])</f>
        <v>2025</v>
      </c>
      <c r="O65"/>
    </row>
    <row r="66" spans="1:15" x14ac:dyDescent="0.35">
      <c r="A66" t="s">
        <v>174</v>
      </c>
      <c r="B66" s="2">
        <v>45662</v>
      </c>
      <c r="C66" t="s">
        <v>24</v>
      </c>
      <c r="D66" t="s">
        <v>38</v>
      </c>
      <c r="E66" t="s">
        <v>26</v>
      </c>
      <c r="F66" t="s">
        <v>31</v>
      </c>
      <c r="G66">
        <v>5</v>
      </c>
      <c r="H66">
        <v>2.2000000000000002</v>
      </c>
      <c r="I66" t="s">
        <v>21</v>
      </c>
      <c r="J66" t="s">
        <v>175</v>
      </c>
      <c r="K66" s="12">
        <f>Store_Record[[#This Row],[Qty]]*Store_Record[[#This Row],[UnitPriceGBP]]</f>
        <v>11</v>
      </c>
      <c r="L66" s="5" t="str">
        <f>TEXT(Store_Record[[#This Row],[Date]],"dddd")</f>
        <v>Sunday</v>
      </c>
      <c r="M66" s="5" t="str">
        <f>TEXT(Store_Record[[#This Row],[Date]],"mmmm")</f>
        <v>January</v>
      </c>
      <c r="N66" s="5">
        <f>YEAR(Store_Record[[#This Row],[Date]])</f>
        <v>2025</v>
      </c>
      <c r="O66"/>
    </row>
    <row r="67" spans="1:15" x14ac:dyDescent="0.35">
      <c r="A67" t="s">
        <v>172</v>
      </c>
      <c r="B67" s="2">
        <v>45662</v>
      </c>
      <c r="C67" t="s">
        <v>36</v>
      </c>
      <c r="D67" t="s">
        <v>47</v>
      </c>
      <c r="E67" t="s">
        <v>12</v>
      </c>
      <c r="F67" t="s">
        <v>13</v>
      </c>
      <c r="G67">
        <v>4</v>
      </c>
      <c r="H67">
        <v>2.5</v>
      </c>
      <c r="I67" t="s">
        <v>14</v>
      </c>
      <c r="J67" t="s">
        <v>173</v>
      </c>
      <c r="K67" s="12">
        <f>Store_Record[[#This Row],[Qty]]*Store_Record[[#This Row],[UnitPriceGBP]]</f>
        <v>10</v>
      </c>
      <c r="L67" s="5" t="str">
        <f>TEXT(Store_Record[[#This Row],[Date]],"dddd")</f>
        <v>Sunday</v>
      </c>
      <c r="M67" s="5" t="str">
        <f>TEXT(Store_Record[[#This Row],[Date]],"mmmm")</f>
        <v>January</v>
      </c>
      <c r="N67" s="5">
        <f>YEAR(Store_Record[[#This Row],[Date]])</f>
        <v>2025</v>
      </c>
      <c r="O67"/>
    </row>
    <row r="68" spans="1:15" x14ac:dyDescent="0.35">
      <c r="A68" t="s">
        <v>170</v>
      </c>
      <c r="B68" s="2">
        <v>45662</v>
      </c>
      <c r="C68" t="s">
        <v>10</v>
      </c>
      <c r="D68" t="s">
        <v>25</v>
      </c>
      <c r="E68" t="s">
        <v>30</v>
      </c>
      <c r="F68" t="s">
        <v>31</v>
      </c>
      <c r="G68">
        <v>3</v>
      </c>
      <c r="H68">
        <v>2.8</v>
      </c>
      <c r="I68" t="s">
        <v>14</v>
      </c>
      <c r="J68" t="s">
        <v>171</v>
      </c>
      <c r="K68" s="12">
        <f>Store_Record[[#This Row],[Qty]]*Store_Record[[#This Row],[UnitPriceGBP]]</f>
        <v>8.3999999999999986</v>
      </c>
      <c r="L68" s="5" t="str">
        <f>TEXT(Store_Record[[#This Row],[Date]],"dddd")</f>
        <v>Sunday</v>
      </c>
      <c r="M68" s="5" t="str">
        <f>TEXT(Store_Record[[#This Row],[Date]],"mmmm")</f>
        <v>January</v>
      </c>
      <c r="N68" s="5">
        <f>YEAR(Store_Record[[#This Row],[Date]])</f>
        <v>2025</v>
      </c>
      <c r="O68"/>
    </row>
    <row r="69" spans="1:15" x14ac:dyDescent="0.35">
      <c r="A69" t="s">
        <v>158</v>
      </c>
      <c r="B69" s="2">
        <v>45662</v>
      </c>
      <c r="C69" t="s">
        <v>20</v>
      </c>
      <c r="D69" t="s">
        <v>25</v>
      </c>
      <c r="E69" t="s">
        <v>12</v>
      </c>
      <c r="F69" t="s">
        <v>13</v>
      </c>
      <c r="G69">
        <v>3</v>
      </c>
      <c r="H69">
        <v>2.5</v>
      </c>
      <c r="I69" t="s">
        <v>21</v>
      </c>
      <c r="J69" t="s">
        <v>159</v>
      </c>
      <c r="K69" s="12">
        <f>Store_Record[[#This Row],[Qty]]*Store_Record[[#This Row],[UnitPriceGBP]]</f>
        <v>7.5</v>
      </c>
      <c r="L69" s="5" t="str">
        <f>TEXT(Store_Record[[#This Row],[Date]],"dddd")</f>
        <v>Sunday</v>
      </c>
      <c r="M69" s="5" t="str">
        <f>TEXT(Store_Record[[#This Row],[Date]],"mmmm")</f>
        <v>January</v>
      </c>
      <c r="N69" s="5">
        <f>YEAR(Store_Record[[#This Row],[Date]])</f>
        <v>2025</v>
      </c>
      <c r="O69"/>
    </row>
    <row r="70" spans="1:15" x14ac:dyDescent="0.35">
      <c r="A70" t="s">
        <v>168</v>
      </c>
      <c r="B70" s="2">
        <v>45662</v>
      </c>
      <c r="C70" t="s">
        <v>10</v>
      </c>
      <c r="D70" t="s">
        <v>47</v>
      </c>
      <c r="E70" t="s">
        <v>12</v>
      </c>
      <c r="F70" t="s">
        <v>13</v>
      </c>
      <c r="G70">
        <v>3</v>
      </c>
      <c r="H70">
        <v>2.5</v>
      </c>
      <c r="I70" t="s">
        <v>21</v>
      </c>
      <c r="J70" t="s">
        <v>169</v>
      </c>
      <c r="K70" s="12">
        <f>Store_Record[[#This Row],[Qty]]*Store_Record[[#This Row],[UnitPriceGBP]]</f>
        <v>7.5</v>
      </c>
      <c r="L70" s="5" t="str">
        <f>TEXT(Store_Record[[#This Row],[Date]],"dddd")</f>
        <v>Sunday</v>
      </c>
      <c r="M70" s="5" t="str">
        <f>TEXT(Store_Record[[#This Row],[Date]],"mmmm")</f>
        <v>January</v>
      </c>
      <c r="N70" s="5">
        <f>YEAR(Store_Record[[#This Row],[Date]])</f>
        <v>2025</v>
      </c>
      <c r="O70"/>
    </row>
    <row r="71" spans="1:15" x14ac:dyDescent="0.35">
      <c r="A71" t="s">
        <v>160</v>
      </c>
      <c r="B71" s="2">
        <v>45662</v>
      </c>
      <c r="C71" t="s">
        <v>20</v>
      </c>
      <c r="D71" t="s">
        <v>38</v>
      </c>
      <c r="E71" t="s">
        <v>34</v>
      </c>
      <c r="F71" t="s">
        <v>31</v>
      </c>
      <c r="G71">
        <v>3</v>
      </c>
      <c r="H71">
        <v>2.2000000000000002</v>
      </c>
      <c r="I71" t="s">
        <v>21</v>
      </c>
      <c r="J71" t="s">
        <v>161</v>
      </c>
      <c r="K71" s="12">
        <f>Store_Record[[#This Row],[Qty]]*Store_Record[[#This Row],[UnitPriceGBP]]</f>
        <v>6.6000000000000005</v>
      </c>
      <c r="L71" s="5" t="str">
        <f>TEXT(Store_Record[[#This Row],[Date]],"dddd")</f>
        <v>Sunday</v>
      </c>
      <c r="M71" s="5" t="str">
        <f>TEXT(Store_Record[[#This Row],[Date]],"mmmm")</f>
        <v>January</v>
      </c>
      <c r="N71" s="5">
        <f>YEAR(Store_Record[[#This Row],[Date]])</f>
        <v>2025</v>
      </c>
      <c r="O71"/>
    </row>
    <row r="72" spans="1:15" x14ac:dyDescent="0.35">
      <c r="A72" t="s">
        <v>162</v>
      </c>
      <c r="B72" s="2">
        <v>45662</v>
      </c>
      <c r="C72" t="s">
        <v>20</v>
      </c>
      <c r="D72" t="s">
        <v>25</v>
      </c>
      <c r="E72" t="s">
        <v>42</v>
      </c>
      <c r="F72" t="s">
        <v>13</v>
      </c>
      <c r="G72">
        <v>1</v>
      </c>
      <c r="H72">
        <v>3.8</v>
      </c>
      <c r="I72" t="s">
        <v>21</v>
      </c>
      <c r="J72" t="s">
        <v>163</v>
      </c>
      <c r="K72" s="12">
        <f>Store_Record[[#This Row],[Qty]]*Store_Record[[#This Row],[UnitPriceGBP]]</f>
        <v>3.8</v>
      </c>
      <c r="L72" s="5" t="str">
        <f>TEXT(Store_Record[[#This Row],[Date]],"dddd")</f>
        <v>Sunday</v>
      </c>
      <c r="M72" s="5" t="str">
        <f>TEXT(Store_Record[[#This Row],[Date]],"mmmm")</f>
        <v>January</v>
      </c>
      <c r="N72" s="5">
        <f>YEAR(Store_Record[[#This Row],[Date]])</f>
        <v>2025</v>
      </c>
      <c r="O72"/>
    </row>
    <row r="73" spans="1:15" x14ac:dyDescent="0.35">
      <c r="A73" t="s">
        <v>166</v>
      </c>
      <c r="B73" s="2">
        <v>45662</v>
      </c>
      <c r="C73" t="s">
        <v>20</v>
      </c>
      <c r="D73" t="s">
        <v>11</v>
      </c>
      <c r="E73" t="s">
        <v>12</v>
      </c>
      <c r="F73" t="s">
        <v>13</v>
      </c>
      <c r="G73">
        <v>1</v>
      </c>
      <c r="H73">
        <v>2.5</v>
      </c>
      <c r="I73" t="s">
        <v>14</v>
      </c>
      <c r="J73" t="s">
        <v>167</v>
      </c>
      <c r="K73" s="12">
        <f>Store_Record[[#This Row],[Qty]]*Store_Record[[#This Row],[UnitPriceGBP]]</f>
        <v>2.5</v>
      </c>
      <c r="L73" s="5" t="str">
        <f>TEXT(Store_Record[[#This Row],[Date]],"dddd")</f>
        <v>Sunday</v>
      </c>
      <c r="M73" s="5" t="str">
        <f>TEXT(Store_Record[[#This Row],[Date]],"mmmm")</f>
        <v>January</v>
      </c>
      <c r="N73" s="5">
        <f>YEAR(Store_Record[[#This Row],[Date]])</f>
        <v>2025</v>
      </c>
      <c r="O73"/>
    </row>
    <row r="74" spans="1:15" x14ac:dyDescent="0.35">
      <c r="A74" t="s">
        <v>176</v>
      </c>
      <c r="B74" s="2">
        <v>45663</v>
      </c>
      <c r="C74" t="s">
        <v>36</v>
      </c>
      <c r="D74" t="s">
        <v>38</v>
      </c>
      <c r="E74" t="s">
        <v>30</v>
      </c>
      <c r="F74" t="s">
        <v>31</v>
      </c>
      <c r="G74">
        <v>5</v>
      </c>
      <c r="H74">
        <v>2.8</v>
      </c>
      <c r="I74" t="s">
        <v>14</v>
      </c>
      <c r="J74" t="s">
        <v>177</v>
      </c>
      <c r="K74" s="12">
        <f>Store_Record[[#This Row],[Qty]]*Store_Record[[#This Row],[UnitPriceGBP]]</f>
        <v>14</v>
      </c>
      <c r="L74" s="5" t="str">
        <f>TEXT(Store_Record[[#This Row],[Date]],"dddd")</f>
        <v>Monday</v>
      </c>
      <c r="M74" s="5" t="str">
        <f>TEXT(Store_Record[[#This Row],[Date]],"mmmm")</f>
        <v>January</v>
      </c>
      <c r="N74" s="5">
        <f>YEAR(Store_Record[[#This Row],[Date]])</f>
        <v>2025</v>
      </c>
      <c r="O74"/>
    </row>
    <row r="75" spans="1:15" x14ac:dyDescent="0.35">
      <c r="A75" t="s">
        <v>188</v>
      </c>
      <c r="B75" s="2">
        <v>45663</v>
      </c>
      <c r="C75" t="s">
        <v>24</v>
      </c>
      <c r="D75" t="s">
        <v>11</v>
      </c>
      <c r="E75" t="s">
        <v>26</v>
      </c>
      <c r="F75" t="s">
        <v>13</v>
      </c>
      <c r="G75">
        <v>4</v>
      </c>
      <c r="H75">
        <v>3.5</v>
      </c>
      <c r="I75" t="s">
        <v>14</v>
      </c>
      <c r="J75" t="s">
        <v>189</v>
      </c>
      <c r="K75" s="12">
        <f>Store_Record[[#This Row],[Qty]]*Store_Record[[#This Row],[UnitPriceGBP]]</f>
        <v>14</v>
      </c>
      <c r="L75" s="5" t="str">
        <f>TEXT(Store_Record[[#This Row],[Date]],"dddd")</f>
        <v>Monday</v>
      </c>
      <c r="M75" s="5" t="str">
        <f>TEXT(Store_Record[[#This Row],[Date]],"mmmm")</f>
        <v>January</v>
      </c>
      <c r="N75" s="5">
        <f>YEAR(Store_Record[[#This Row],[Date]])</f>
        <v>2025</v>
      </c>
      <c r="O75"/>
    </row>
    <row r="76" spans="1:15" x14ac:dyDescent="0.35">
      <c r="A76" t="s">
        <v>182</v>
      </c>
      <c r="B76" s="2">
        <v>45663</v>
      </c>
      <c r="C76" t="s">
        <v>36</v>
      </c>
      <c r="D76" t="s">
        <v>38</v>
      </c>
      <c r="E76" t="s">
        <v>34</v>
      </c>
      <c r="F76" t="s">
        <v>31</v>
      </c>
      <c r="G76">
        <v>5</v>
      </c>
      <c r="H76">
        <v>2.2000000000000002</v>
      </c>
      <c r="I76" t="s">
        <v>39</v>
      </c>
      <c r="J76" t="s">
        <v>183</v>
      </c>
      <c r="K76" s="12">
        <f>Store_Record[[#This Row],[Qty]]*Store_Record[[#This Row],[UnitPriceGBP]]</f>
        <v>11</v>
      </c>
      <c r="L76" s="5" t="str">
        <f>TEXT(Store_Record[[#This Row],[Date]],"dddd")</f>
        <v>Monday</v>
      </c>
      <c r="M76" s="5" t="str">
        <f>TEXT(Store_Record[[#This Row],[Date]],"mmmm")</f>
        <v>January</v>
      </c>
      <c r="N76" s="5">
        <f>YEAR(Store_Record[[#This Row],[Date]])</f>
        <v>2025</v>
      </c>
      <c r="O76"/>
    </row>
    <row r="77" spans="1:15" x14ac:dyDescent="0.35">
      <c r="A77" t="s">
        <v>190</v>
      </c>
      <c r="B77" s="2">
        <v>45663</v>
      </c>
      <c r="C77" t="s">
        <v>20</v>
      </c>
      <c r="D77" t="s">
        <v>38</v>
      </c>
      <c r="E77" t="s">
        <v>34</v>
      </c>
      <c r="F77" t="s">
        <v>31</v>
      </c>
      <c r="G77">
        <v>5</v>
      </c>
      <c r="H77">
        <v>2.2000000000000002</v>
      </c>
      <c r="I77" t="s">
        <v>39</v>
      </c>
      <c r="J77" t="s">
        <v>191</v>
      </c>
      <c r="K77" s="12">
        <f>Store_Record[[#This Row],[Qty]]*Store_Record[[#This Row],[UnitPriceGBP]]</f>
        <v>11</v>
      </c>
      <c r="L77" s="5" t="str">
        <f>TEXT(Store_Record[[#This Row],[Date]],"dddd")</f>
        <v>Monday</v>
      </c>
      <c r="M77" s="5" t="str">
        <f>TEXT(Store_Record[[#This Row],[Date]],"mmmm")</f>
        <v>January</v>
      </c>
      <c r="N77" s="5">
        <f>YEAR(Store_Record[[#This Row],[Date]])</f>
        <v>2025</v>
      </c>
      <c r="O77"/>
    </row>
    <row r="78" spans="1:15" x14ac:dyDescent="0.35">
      <c r="A78" t="s">
        <v>201</v>
      </c>
      <c r="B78" s="2">
        <v>45663</v>
      </c>
      <c r="C78" t="s">
        <v>20</v>
      </c>
      <c r="D78" t="s">
        <v>47</v>
      </c>
      <c r="E78" t="s">
        <v>34</v>
      </c>
      <c r="F78" t="s">
        <v>31</v>
      </c>
      <c r="G78">
        <v>5</v>
      </c>
      <c r="H78">
        <v>2.2000000000000002</v>
      </c>
      <c r="I78" t="s">
        <v>21</v>
      </c>
      <c r="J78" t="s">
        <v>202</v>
      </c>
      <c r="K78" s="12">
        <f>Store_Record[[#This Row],[Qty]]*Store_Record[[#This Row],[UnitPriceGBP]]</f>
        <v>11</v>
      </c>
      <c r="L78" s="5" t="str">
        <f>TEXT(Store_Record[[#This Row],[Date]],"dddd")</f>
        <v>Monday</v>
      </c>
      <c r="M78" s="5" t="str">
        <f>TEXT(Store_Record[[#This Row],[Date]],"mmmm")</f>
        <v>January</v>
      </c>
      <c r="N78" s="5">
        <f>YEAR(Store_Record[[#This Row],[Date]])</f>
        <v>2025</v>
      </c>
      <c r="O78"/>
    </row>
    <row r="79" spans="1:15" x14ac:dyDescent="0.35">
      <c r="A79" t="s">
        <v>180</v>
      </c>
      <c r="B79" s="2">
        <v>45663</v>
      </c>
      <c r="C79" t="s">
        <v>24</v>
      </c>
      <c r="D79" t="s">
        <v>38</v>
      </c>
      <c r="E79" t="s">
        <v>12</v>
      </c>
      <c r="F79" t="s">
        <v>13</v>
      </c>
      <c r="G79">
        <v>3</v>
      </c>
      <c r="H79">
        <v>2.5</v>
      </c>
      <c r="I79" t="s">
        <v>39</v>
      </c>
      <c r="J79" t="s">
        <v>181</v>
      </c>
      <c r="K79" s="12">
        <f>Store_Record[[#This Row],[Qty]]*Store_Record[[#This Row],[UnitPriceGBP]]</f>
        <v>7.5</v>
      </c>
      <c r="L79" s="5" t="str">
        <f>TEXT(Store_Record[[#This Row],[Date]],"dddd")</f>
        <v>Monday</v>
      </c>
      <c r="M79" s="5" t="str">
        <f>TEXT(Store_Record[[#This Row],[Date]],"mmmm")</f>
        <v>January</v>
      </c>
      <c r="N79" s="5">
        <f>YEAR(Store_Record[[#This Row],[Date]])</f>
        <v>2025</v>
      </c>
      <c r="O79"/>
    </row>
    <row r="80" spans="1:15" x14ac:dyDescent="0.35">
      <c r="A80" t="s">
        <v>192</v>
      </c>
      <c r="B80" s="2">
        <v>45663</v>
      </c>
      <c r="C80" t="s">
        <v>24</v>
      </c>
      <c r="D80" t="s">
        <v>11</v>
      </c>
      <c r="E80" t="s">
        <v>12</v>
      </c>
      <c r="F80" t="s">
        <v>13</v>
      </c>
      <c r="G80">
        <v>3</v>
      </c>
      <c r="H80">
        <v>2.5</v>
      </c>
      <c r="I80" t="s">
        <v>39</v>
      </c>
      <c r="J80" t="s">
        <v>193</v>
      </c>
      <c r="K80" s="12">
        <f>Store_Record[[#This Row],[Qty]]*Store_Record[[#This Row],[UnitPriceGBP]]</f>
        <v>7.5</v>
      </c>
      <c r="L80" s="5" t="str">
        <f>TEXT(Store_Record[[#This Row],[Date]],"dddd")</f>
        <v>Monday</v>
      </c>
      <c r="M80" s="5" t="str">
        <f>TEXT(Store_Record[[#This Row],[Date]],"mmmm")</f>
        <v>January</v>
      </c>
      <c r="N80" s="5">
        <f>YEAR(Store_Record[[#This Row],[Date]])</f>
        <v>2025</v>
      </c>
      <c r="O80"/>
    </row>
    <row r="81" spans="1:15" x14ac:dyDescent="0.35">
      <c r="A81" t="s">
        <v>196</v>
      </c>
      <c r="B81" s="2">
        <v>45663</v>
      </c>
      <c r="C81" t="s">
        <v>20</v>
      </c>
      <c r="D81" t="s">
        <v>25</v>
      </c>
      <c r="E81" t="s">
        <v>12</v>
      </c>
      <c r="F81" t="s">
        <v>13</v>
      </c>
      <c r="G81">
        <v>3</v>
      </c>
      <c r="H81">
        <v>2.5</v>
      </c>
      <c r="I81" t="s">
        <v>21</v>
      </c>
      <c r="J81" t="s">
        <v>161</v>
      </c>
      <c r="K81" s="12">
        <f>Store_Record[[#This Row],[Qty]]*Store_Record[[#This Row],[UnitPriceGBP]]</f>
        <v>7.5</v>
      </c>
      <c r="L81" s="5" t="str">
        <f>TEXT(Store_Record[[#This Row],[Date]],"dddd")</f>
        <v>Monday</v>
      </c>
      <c r="M81" s="5" t="str">
        <f>TEXT(Store_Record[[#This Row],[Date]],"mmmm")</f>
        <v>January</v>
      </c>
      <c r="N81" s="5">
        <f>YEAR(Store_Record[[#This Row],[Date]])</f>
        <v>2025</v>
      </c>
      <c r="O81"/>
    </row>
    <row r="82" spans="1:15" x14ac:dyDescent="0.35">
      <c r="A82" t="s">
        <v>194</v>
      </c>
      <c r="B82" s="2">
        <v>45663</v>
      </c>
      <c r="C82" t="s">
        <v>24</v>
      </c>
      <c r="D82" t="s">
        <v>11</v>
      </c>
      <c r="E82" t="s">
        <v>30</v>
      </c>
      <c r="F82" t="s">
        <v>31</v>
      </c>
      <c r="G82">
        <v>2</v>
      </c>
      <c r="H82">
        <v>2.8</v>
      </c>
      <c r="I82" t="s">
        <v>21</v>
      </c>
      <c r="J82" t="s">
        <v>195</v>
      </c>
      <c r="K82" s="12">
        <f>Store_Record[[#This Row],[Qty]]*Store_Record[[#This Row],[UnitPriceGBP]]</f>
        <v>5.6</v>
      </c>
      <c r="L82" s="5" t="str">
        <f>TEXT(Store_Record[[#This Row],[Date]],"dddd")</f>
        <v>Monday</v>
      </c>
      <c r="M82" s="5" t="str">
        <f>TEXT(Store_Record[[#This Row],[Date]],"mmmm")</f>
        <v>January</v>
      </c>
      <c r="N82" s="5">
        <f>YEAR(Store_Record[[#This Row],[Date]])</f>
        <v>2025</v>
      </c>
      <c r="O82"/>
    </row>
    <row r="83" spans="1:15" x14ac:dyDescent="0.35">
      <c r="A83" t="s">
        <v>178</v>
      </c>
      <c r="B83" s="2">
        <v>45663</v>
      </c>
      <c r="C83" t="s">
        <v>20</v>
      </c>
      <c r="D83" t="s">
        <v>47</v>
      </c>
      <c r="E83" t="s">
        <v>12</v>
      </c>
      <c r="F83" t="s">
        <v>13</v>
      </c>
      <c r="G83">
        <v>2</v>
      </c>
      <c r="H83">
        <v>2.5</v>
      </c>
      <c r="I83" t="s">
        <v>39</v>
      </c>
      <c r="J83" t="s">
        <v>179</v>
      </c>
      <c r="K83" s="12">
        <f>Store_Record[[#This Row],[Qty]]*Store_Record[[#This Row],[UnitPriceGBP]]</f>
        <v>5</v>
      </c>
      <c r="L83" s="5" t="str">
        <f>TEXT(Store_Record[[#This Row],[Date]],"dddd")</f>
        <v>Monday</v>
      </c>
      <c r="M83" s="5" t="str">
        <f>TEXT(Store_Record[[#This Row],[Date]],"mmmm")</f>
        <v>January</v>
      </c>
      <c r="N83" s="5">
        <f>YEAR(Store_Record[[#This Row],[Date]])</f>
        <v>2025</v>
      </c>
      <c r="O83"/>
    </row>
    <row r="84" spans="1:15" x14ac:dyDescent="0.35">
      <c r="A84" t="s">
        <v>205</v>
      </c>
      <c r="B84" s="2">
        <v>45663</v>
      </c>
      <c r="C84" t="s">
        <v>20</v>
      </c>
      <c r="D84" t="s">
        <v>47</v>
      </c>
      <c r="E84" t="s">
        <v>12</v>
      </c>
      <c r="F84" t="s">
        <v>13</v>
      </c>
      <c r="G84">
        <v>2</v>
      </c>
      <c r="H84">
        <v>2.5</v>
      </c>
      <c r="I84" t="s">
        <v>21</v>
      </c>
      <c r="J84" t="s">
        <v>206</v>
      </c>
      <c r="K84" s="12">
        <f>Store_Record[[#This Row],[Qty]]*Store_Record[[#This Row],[UnitPriceGBP]]</f>
        <v>5</v>
      </c>
      <c r="L84" s="5" t="str">
        <f>TEXT(Store_Record[[#This Row],[Date]],"dddd")</f>
        <v>Monday</v>
      </c>
      <c r="M84" s="5" t="str">
        <f>TEXT(Store_Record[[#This Row],[Date]],"mmmm")</f>
        <v>January</v>
      </c>
      <c r="N84" s="5">
        <f>YEAR(Store_Record[[#This Row],[Date]])</f>
        <v>2025</v>
      </c>
      <c r="O84"/>
    </row>
    <row r="85" spans="1:15" x14ac:dyDescent="0.35">
      <c r="A85" t="s">
        <v>184</v>
      </c>
      <c r="B85" s="2">
        <v>45663</v>
      </c>
      <c r="C85" t="s">
        <v>20</v>
      </c>
      <c r="D85" t="s">
        <v>11</v>
      </c>
      <c r="E85" t="s">
        <v>42</v>
      </c>
      <c r="F85" t="s">
        <v>13</v>
      </c>
      <c r="G85">
        <v>1</v>
      </c>
      <c r="H85">
        <v>3.8</v>
      </c>
      <c r="I85" t="s">
        <v>21</v>
      </c>
      <c r="J85" t="s">
        <v>185</v>
      </c>
      <c r="K85" s="12">
        <f>Store_Record[[#This Row],[Qty]]*Store_Record[[#This Row],[UnitPriceGBP]]</f>
        <v>3.8</v>
      </c>
      <c r="L85" s="5" t="str">
        <f>TEXT(Store_Record[[#This Row],[Date]],"dddd")</f>
        <v>Monday</v>
      </c>
      <c r="M85" s="5" t="str">
        <f>TEXT(Store_Record[[#This Row],[Date]],"mmmm")</f>
        <v>January</v>
      </c>
      <c r="N85" s="5">
        <f>YEAR(Store_Record[[#This Row],[Date]])</f>
        <v>2025</v>
      </c>
      <c r="O85"/>
    </row>
    <row r="86" spans="1:15" x14ac:dyDescent="0.35">
      <c r="A86" t="s">
        <v>199</v>
      </c>
      <c r="B86" s="2">
        <v>45663</v>
      </c>
      <c r="C86" t="s">
        <v>10</v>
      </c>
      <c r="D86" t="s">
        <v>25</v>
      </c>
      <c r="E86" t="s">
        <v>30</v>
      </c>
      <c r="F86" t="s">
        <v>31</v>
      </c>
      <c r="G86">
        <v>1</v>
      </c>
      <c r="H86">
        <v>2.8</v>
      </c>
      <c r="I86" t="s">
        <v>39</v>
      </c>
      <c r="J86" t="s">
        <v>200</v>
      </c>
      <c r="K86" s="12">
        <f>Store_Record[[#This Row],[Qty]]*Store_Record[[#This Row],[UnitPriceGBP]]</f>
        <v>2.8</v>
      </c>
      <c r="L86" s="5" t="str">
        <f>TEXT(Store_Record[[#This Row],[Date]],"dddd")</f>
        <v>Monday</v>
      </c>
      <c r="M86" s="5" t="str">
        <f>TEXT(Store_Record[[#This Row],[Date]],"mmmm")</f>
        <v>January</v>
      </c>
      <c r="N86" s="5">
        <f>YEAR(Store_Record[[#This Row],[Date]])</f>
        <v>2025</v>
      </c>
      <c r="O86"/>
    </row>
    <row r="87" spans="1:15" x14ac:dyDescent="0.35">
      <c r="A87" t="s">
        <v>203</v>
      </c>
      <c r="B87" s="2">
        <v>45663</v>
      </c>
      <c r="C87" t="s">
        <v>24</v>
      </c>
      <c r="D87" t="s">
        <v>29</v>
      </c>
      <c r="E87" t="s">
        <v>12</v>
      </c>
      <c r="F87" t="s">
        <v>13</v>
      </c>
      <c r="G87">
        <v>1</v>
      </c>
      <c r="H87">
        <v>2.5</v>
      </c>
      <c r="I87" t="s">
        <v>39</v>
      </c>
      <c r="J87" t="s">
        <v>204</v>
      </c>
      <c r="K87" s="12">
        <f>Store_Record[[#This Row],[Qty]]*Store_Record[[#This Row],[UnitPriceGBP]]</f>
        <v>2.5</v>
      </c>
      <c r="L87" s="5" t="str">
        <f>TEXT(Store_Record[[#This Row],[Date]],"dddd")</f>
        <v>Monday</v>
      </c>
      <c r="M87" s="5" t="str">
        <f>TEXT(Store_Record[[#This Row],[Date]],"mmmm")</f>
        <v>January</v>
      </c>
      <c r="N87" s="5">
        <f>YEAR(Store_Record[[#This Row],[Date]])</f>
        <v>2025</v>
      </c>
      <c r="O87"/>
    </row>
    <row r="88" spans="1:15" x14ac:dyDescent="0.35">
      <c r="A88" t="s">
        <v>186</v>
      </c>
      <c r="B88" s="2">
        <v>45663</v>
      </c>
      <c r="C88" t="s">
        <v>24</v>
      </c>
      <c r="D88" t="s">
        <v>38</v>
      </c>
      <c r="E88" t="s">
        <v>34</v>
      </c>
      <c r="F88" t="s">
        <v>31</v>
      </c>
      <c r="G88">
        <v>1</v>
      </c>
      <c r="H88">
        <v>2.2000000000000002</v>
      </c>
      <c r="I88" t="s">
        <v>21</v>
      </c>
      <c r="J88" t="s">
        <v>187</v>
      </c>
      <c r="K88" s="12">
        <f>Store_Record[[#This Row],[Qty]]*Store_Record[[#This Row],[UnitPriceGBP]]</f>
        <v>2.2000000000000002</v>
      </c>
      <c r="L88" s="5" t="str">
        <f>TEXT(Store_Record[[#This Row],[Date]],"dddd")</f>
        <v>Monday</v>
      </c>
      <c r="M88" s="5" t="str">
        <f>TEXT(Store_Record[[#This Row],[Date]],"mmmm")</f>
        <v>January</v>
      </c>
      <c r="N88" s="5">
        <f>YEAR(Store_Record[[#This Row],[Date]])</f>
        <v>2025</v>
      </c>
      <c r="O88"/>
    </row>
    <row r="89" spans="1:15" x14ac:dyDescent="0.35">
      <c r="A89" t="s">
        <v>197</v>
      </c>
      <c r="B89" s="2">
        <v>45663</v>
      </c>
      <c r="C89" t="s">
        <v>10</v>
      </c>
      <c r="D89" t="s">
        <v>11</v>
      </c>
      <c r="E89" t="s">
        <v>34</v>
      </c>
      <c r="F89" t="s">
        <v>31</v>
      </c>
      <c r="G89">
        <v>1</v>
      </c>
      <c r="H89">
        <v>2.2000000000000002</v>
      </c>
      <c r="I89" t="s">
        <v>21</v>
      </c>
      <c r="J89" t="s">
        <v>198</v>
      </c>
      <c r="K89" s="12">
        <f>Store_Record[[#This Row],[Qty]]*Store_Record[[#This Row],[UnitPriceGBP]]</f>
        <v>2.2000000000000002</v>
      </c>
      <c r="L89" s="5" t="str">
        <f>TEXT(Store_Record[[#This Row],[Date]],"dddd")</f>
        <v>Monday</v>
      </c>
      <c r="M89" s="5" t="str">
        <f>TEXT(Store_Record[[#This Row],[Date]],"mmmm")</f>
        <v>January</v>
      </c>
      <c r="N89" s="5">
        <f>YEAR(Store_Record[[#This Row],[Date]])</f>
        <v>2025</v>
      </c>
      <c r="O89"/>
    </row>
    <row r="90" spans="1:15" x14ac:dyDescent="0.35">
      <c r="A90" t="s">
        <v>228</v>
      </c>
      <c r="B90" s="2">
        <v>45664</v>
      </c>
      <c r="C90" t="s">
        <v>10</v>
      </c>
      <c r="D90" t="s">
        <v>25</v>
      </c>
      <c r="E90" t="s">
        <v>26</v>
      </c>
      <c r="F90" t="s">
        <v>13</v>
      </c>
      <c r="G90">
        <v>4</v>
      </c>
      <c r="H90">
        <v>3.5</v>
      </c>
      <c r="I90" t="s">
        <v>39</v>
      </c>
      <c r="J90" t="s">
        <v>185</v>
      </c>
      <c r="K90" s="12">
        <f>Store_Record[[#This Row],[Qty]]*Store_Record[[#This Row],[UnitPriceGBP]]</f>
        <v>14</v>
      </c>
      <c r="L90" s="5" t="str">
        <f>TEXT(Store_Record[[#This Row],[Date]],"dddd")</f>
        <v>Tuesday</v>
      </c>
      <c r="M90" s="5" t="str">
        <f>TEXT(Store_Record[[#This Row],[Date]],"mmmm")</f>
        <v>January</v>
      </c>
      <c r="N90" s="5">
        <f>YEAR(Store_Record[[#This Row],[Date]])</f>
        <v>2025</v>
      </c>
      <c r="O90"/>
    </row>
    <row r="91" spans="1:15" x14ac:dyDescent="0.35">
      <c r="A91" t="s">
        <v>209</v>
      </c>
      <c r="B91" s="2">
        <v>45664</v>
      </c>
      <c r="C91" t="s">
        <v>10</v>
      </c>
      <c r="D91" t="s">
        <v>11</v>
      </c>
      <c r="E91" t="s">
        <v>12</v>
      </c>
      <c r="F91" t="s">
        <v>13</v>
      </c>
      <c r="G91">
        <v>5</v>
      </c>
      <c r="H91">
        <v>2.5</v>
      </c>
      <c r="I91" t="s">
        <v>39</v>
      </c>
      <c r="J91" t="s">
        <v>210</v>
      </c>
      <c r="K91" s="12">
        <f>Store_Record[[#This Row],[Qty]]*Store_Record[[#This Row],[UnitPriceGBP]]</f>
        <v>12.5</v>
      </c>
      <c r="L91" s="5" t="str">
        <f>TEXT(Store_Record[[#This Row],[Date]],"dddd")</f>
        <v>Tuesday</v>
      </c>
      <c r="M91" s="5" t="str">
        <f>TEXT(Store_Record[[#This Row],[Date]],"mmmm")</f>
        <v>January</v>
      </c>
      <c r="N91" s="5">
        <f>YEAR(Store_Record[[#This Row],[Date]])</f>
        <v>2025</v>
      </c>
      <c r="O91"/>
    </row>
    <row r="92" spans="1:15" x14ac:dyDescent="0.35">
      <c r="A92" t="s">
        <v>213</v>
      </c>
      <c r="B92" s="2">
        <v>45664</v>
      </c>
      <c r="C92" t="s">
        <v>36</v>
      </c>
      <c r="D92" t="s">
        <v>11</v>
      </c>
      <c r="E92" t="s">
        <v>12</v>
      </c>
      <c r="F92" t="s">
        <v>13</v>
      </c>
      <c r="G92">
        <v>5</v>
      </c>
      <c r="H92">
        <v>2.5</v>
      </c>
      <c r="I92" t="s">
        <v>39</v>
      </c>
      <c r="J92" t="s">
        <v>214</v>
      </c>
      <c r="K92" s="12">
        <f>Store_Record[[#This Row],[Qty]]*Store_Record[[#This Row],[UnitPriceGBP]]</f>
        <v>12.5</v>
      </c>
      <c r="L92" s="5" t="str">
        <f>TEXT(Store_Record[[#This Row],[Date]],"dddd")</f>
        <v>Tuesday</v>
      </c>
      <c r="M92" s="5" t="str">
        <f>TEXT(Store_Record[[#This Row],[Date]],"mmmm")</f>
        <v>January</v>
      </c>
      <c r="N92" s="5">
        <f>YEAR(Store_Record[[#This Row],[Date]])</f>
        <v>2025</v>
      </c>
      <c r="O92"/>
    </row>
    <row r="93" spans="1:15" x14ac:dyDescent="0.35">
      <c r="A93" t="s">
        <v>217</v>
      </c>
      <c r="B93" s="2">
        <v>45664</v>
      </c>
      <c r="C93" t="s">
        <v>20</v>
      </c>
      <c r="D93" t="s">
        <v>47</v>
      </c>
      <c r="E93" t="s">
        <v>26</v>
      </c>
      <c r="F93" t="s">
        <v>13</v>
      </c>
      <c r="G93">
        <v>3</v>
      </c>
      <c r="H93">
        <v>3.5</v>
      </c>
      <c r="I93" t="s">
        <v>14</v>
      </c>
      <c r="J93" t="s">
        <v>218</v>
      </c>
      <c r="K93" s="12">
        <f>Store_Record[[#This Row],[Qty]]*Store_Record[[#This Row],[UnitPriceGBP]]</f>
        <v>10.5</v>
      </c>
      <c r="L93" s="5" t="str">
        <f>TEXT(Store_Record[[#This Row],[Date]],"dddd")</f>
        <v>Tuesday</v>
      </c>
      <c r="M93" s="5" t="str">
        <f>TEXT(Store_Record[[#This Row],[Date]],"mmmm")</f>
        <v>January</v>
      </c>
      <c r="N93" s="5">
        <f>YEAR(Store_Record[[#This Row],[Date]])</f>
        <v>2025</v>
      </c>
      <c r="O93"/>
    </row>
    <row r="94" spans="1:15" x14ac:dyDescent="0.35">
      <c r="A94" t="s">
        <v>229</v>
      </c>
      <c r="B94" s="2">
        <v>45664</v>
      </c>
      <c r="C94" t="s">
        <v>10</v>
      </c>
      <c r="D94" t="s">
        <v>29</v>
      </c>
      <c r="E94" t="s">
        <v>12</v>
      </c>
      <c r="F94" t="s">
        <v>13</v>
      </c>
      <c r="G94">
        <v>4</v>
      </c>
      <c r="H94">
        <v>2.5</v>
      </c>
      <c r="I94" t="s">
        <v>14</v>
      </c>
      <c r="J94" t="s">
        <v>230</v>
      </c>
      <c r="K94" s="12">
        <f>Store_Record[[#This Row],[Qty]]*Store_Record[[#This Row],[UnitPriceGBP]]</f>
        <v>10</v>
      </c>
      <c r="L94" s="5" t="str">
        <f>TEXT(Store_Record[[#This Row],[Date]],"dddd")</f>
        <v>Tuesday</v>
      </c>
      <c r="M94" s="5" t="str">
        <f>TEXT(Store_Record[[#This Row],[Date]],"mmmm")</f>
        <v>January</v>
      </c>
      <c r="N94" s="5">
        <f>YEAR(Store_Record[[#This Row],[Date]])</f>
        <v>2025</v>
      </c>
      <c r="O94"/>
    </row>
    <row r="95" spans="1:15" x14ac:dyDescent="0.35">
      <c r="A95" t="s">
        <v>224</v>
      </c>
      <c r="B95" s="2">
        <v>45664</v>
      </c>
      <c r="C95" t="s">
        <v>24</v>
      </c>
      <c r="D95" t="s">
        <v>11</v>
      </c>
      <c r="E95" t="s">
        <v>30</v>
      </c>
      <c r="F95" t="s">
        <v>31</v>
      </c>
      <c r="G95">
        <v>3</v>
      </c>
      <c r="H95">
        <v>2.8</v>
      </c>
      <c r="I95" t="s">
        <v>21</v>
      </c>
      <c r="J95" t="s">
        <v>225</v>
      </c>
      <c r="K95" s="12">
        <f>Store_Record[[#This Row],[Qty]]*Store_Record[[#This Row],[UnitPriceGBP]]</f>
        <v>8.3999999999999986</v>
      </c>
      <c r="L95" s="5" t="str">
        <f>TEXT(Store_Record[[#This Row],[Date]],"dddd")</f>
        <v>Tuesday</v>
      </c>
      <c r="M95" s="5" t="str">
        <f>TEXT(Store_Record[[#This Row],[Date]],"mmmm")</f>
        <v>January</v>
      </c>
      <c r="N95" s="5">
        <f>YEAR(Store_Record[[#This Row],[Date]])</f>
        <v>2025</v>
      </c>
      <c r="O95"/>
    </row>
    <row r="96" spans="1:15" x14ac:dyDescent="0.35">
      <c r="A96" t="s">
        <v>211</v>
      </c>
      <c r="B96" s="2">
        <v>45664</v>
      </c>
      <c r="C96" t="s">
        <v>10</v>
      </c>
      <c r="D96" t="s">
        <v>25</v>
      </c>
      <c r="E96" t="s">
        <v>42</v>
      </c>
      <c r="F96" t="s">
        <v>13</v>
      </c>
      <c r="G96">
        <v>2</v>
      </c>
      <c r="H96">
        <v>3.8</v>
      </c>
      <c r="I96" t="s">
        <v>14</v>
      </c>
      <c r="J96" t="s">
        <v>212</v>
      </c>
      <c r="K96" s="12">
        <f>Store_Record[[#This Row],[Qty]]*Store_Record[[#This Row],[UnitPriceGBP]]</f>
        <v>7.6</v>
      </c>
      <c r="L96" s="5" t="str">
        <f>TEXT(Store_Record[[#This Row],[Date]],"dddd")</f>
        <v>Tuesday</v>
      </c>
      <c r="M96" s="5" t="str">
        <f>TEXT(Store_Record[[#This Row],[Date]],"mmmm")</f>
        <v>January</v>
      </c>
      <c r="N96" s="5">
        <f>YEAR(Store_Record[[#This Row],[Date]])</f>
        <v>2025</v>
      </c>
      <c r="O96"/>
    </row>
    <row r="97" spans="1:15" x14ac:dyDescent="0.35">
      <c r="A97" t="s">
        <v>219</v>
      </c>
      <c r="B97" s="2">
        <v>45664</v>
      </c>
      <c r="C97" t="s">
        <v>36</v>
      </c>
      <c r="D97" t="s">
        <v>47</v>
      </c>
      <c r="E97" t="s">
        <v>26</v>
      </c>
      <c r="F97" t="s">
        <v>13</v>
      </c>
      <c r="G97">
        <v>2</v>
      </c>
      <c r="H97">
        <v>3.5</v>
      </c>
      <c r="I97" t="s">
        <v>39</v>
      </c>
      <c r="J97" t="s">
        <v>220</v>
      </c>
      <c r="K97" s="12">
        <f>Store_Record[[#This Row],[Qty]]*Store_Record[[#This Row],[UnitPriceGBP]]</f>
        <v>7</v>
      </c>
      <c r="L97" s="5" t="str">
        <f>TEXT(Store_Record[[#This Row],[Date]],"dddd")</f>
        <v>Tuesday</v>
      </c>
      <c r="M97" s="5" t="str">
        <f>TEXT(Store_Record[[#This Row],[Date]],"mmmm")</f>
        <v>January</v>
      </c>
      <c r="N97" s="5">
        <f>YEAR(Store_Record[[#This Row],[Date]])</f>
        <v>2025</v>
      </c>
      <c r="O97"/>
    </row>
    <row r="98" spans="1:15" x14ac:dyDescent="0.35">
      <c r="A98" t="s">
        <v>215</v>
      </c>
      <c r="B98" s="2">
        <v>45664</v>
      </c>
      <c r="C98" t="s">
        <v>24</v>
      </c>
      <c r="D98" t="s">
        <v>11</v>
      </c>
      <c r="E98" t="s">
        <v>34</v>
      </c>
      <c r="F98" t="s">
        <v>31</v>
      </c>
      <c r="G98">
        <v>3</v>
      </c>
      <c r="H98">
        <v>2.2000000000000002</v>
      </c>
      <c r="I98" t="s">
        <v>14</v>
      </c>
      <c r="J98" t="s">
        <v>216</v>
      </c>
      <c r="K98" s="12">
        <f>Store_Record[[#This Row],[Qty]]*Store_Record[[#This Row],[UnitPriceGBP]]</f>
        <v>6.6000000000000005</v>
      </c>
      <c r="L98" s="5" t="str">
        <f>TEXT(Store_Record[[#This Row],[Date]],"dddd")</f>
        <v>Tuesday</v>
      </c>
      <c r="M98" s="5" t="str">
        <f>TEXT(Store_Record[[#This Row],[Date]],"mmmm")</f>
        <v>January</v>
      </c>
      <c r="N98" s="5">
        <f>YEAR(Store_Record[[#This Row],[Date]])</f>
        <v>2025</v>
      </c>
      <c r="O98"/>
    </row>
    <row r="99" spans="1:15" x14ac:dyDescent="0.35">
      <c r="A99" t="s">
        <v>207</v>
      </c>
      <c r="B99" s="2">
        <v>45664</v>
      </c>
      <c r="C99" t="s">
        <v>10</v>
      </c>
      <c r="D99" t="s">
        <v>38</v>
      </c>
      <c r="E99" t="s">
        <v>12</v>
      </c>
      <c r="F99" t="s">
        <v>13</v>
      </c>
      <c r="G99">
        <v>2</v>
      </c>
      <c r="H99">
        <v>2.5</v>
      </c>
      <c r="I99" t="s">
        <v>21</v>
      </c>
      <c r="J99" t="s">
        <v>208</v>
      </c>
      <c r="K99" s="12">
        <f>Store_Record[[#This Row],[Qty]]*Store_Record[[#This Row],[UnitPriceGBP]]</f>
        <v>5</v>
      </c>
      <c r="L99" s="5" t="str">
        <f>TEXT(Store_Record[[#This Row],[Date]],"dddd")</f>
        <v>Tuesday</v>
      </c>
      <c r="M99" s="5" t="str">
        <f>TEXT(Store_Record[[#This Row],[Date]],"mmmm")</f>
        <v>January</v>
      </c>
      <c r="N99" s="5">
        <f>YEAR(Store_Record[[#This Row],[Date]])</f>
        <v>2025</v>
      </c>
      <c r="O99"/>
    </row>
    <row r="100" spans="1:15" x14ac:dyDescent="0.35">
      <c r="A100" t="s">
        <v>221</v>
      </c>
      <c r="B100" s="2">
        <v>45664</v>
      </c>
      <c r="C100" t="s">
        <v>36</v>
      </c>
      <c r="D100" t="s">
        <v>11</v>
      </c>
      <c r="E100" t="s">
        <v>34</v>
      </c>
      <c r="F100" t="s">
        <v>31</v>
      </c>
      <c r="G100">
        <v>2</v>
      </c>
      <c r="H100">
        <v>2.2000000000000002</v>
      </c>
      <c r="I100" t="s">
        <v>14</v>
      </c>
      <c r="J100" t="s">
        <v>222</v>
      </c>
      <c r="K100" s="12">
        <f>Store_Record[[#This Row],[Qty]]*Store_Record[[#This Row],[UnitPriceGBP]]</f>
        <v>4.4000000000000004</v>
      </c>
      <c r="L100" s="5" t="str">
        <f>TEXT(Store_Record[[#This Row],[Date]],"dddd")</f>
        <v>Tuesday</v>
      </c>
      <c r="M100" s="5" t="str">
        <f>TEXT(Store_Record[[#This Row],[Date]],"mmmm")</f>
        <v>January</v>
      </c>
      <c r="N100" s="5">
        <f>YEAR(Store_Record[[#This Row],[Date]])</f>
        <v>2025</v>
      </c>
      <c r="O100"/>
    </row>
    <row r="101" spans="1:15" x14ac:dyDescent="0.35">
      <c r="A101" t="s">
        <v>223</v>
      </c>
      <c r="B101" s="2">
        <v>45664</v>
      </c>
      <c r="C101" t="s">
        <v>10</v>
      </c>
      <c r="D101" t="s">
        <v>11</v>
      </c>
      <c r="E101" t="s">
        <v>42</v>
      </c>
      <c r="F101" t="s">
        <v>13</v>
      </c>
      <c r="G101">
        <v>1</v>
      </c>
      <c r="H101">
        <v>3.8</v>
      </c>
      <c r="I101" t="s">
        <v>39</v>
      </c>
      <c r="J101" t="s">
        <v>50</v>
      </c>
      <c r="K101" s="12">
        <f>Store_Record[[#This Row],[Qty]]*Store_Record[[#This Row],[UnitPriceGBP]]</f>
        <v>3.8</v>
      </c>
      <c r="L101" s="5" t="str">
        <f>TEXT(Store_Record[[#This Row],[Date]],"dddd")</f>
        <v>Tuesday</v>
      </c>
      <c r="M101" s="5" t="str">
        <f>TEXT(Store_Record[[#This Row],[Date]],"mmmm")</f>
        <v>January</v>
      </c>
      <c r="N101" s="5">
        <f>YEAR(Store_Record[[#This Row],[Date]])</f>
        <v>2025</v>
      </c>
      <c r="O101"/>
    </row>
    <row r="102" spans="1:15" x14ac:dyDescent="0.35">
      <c r="A102" t="s">
        <v>226</v>
      </c>
      <c r="B102" s="2">
        <v>45664</v>
      </c>
      <c r="C102" t="s">
        <v>20</v>
      </c>
      <c r="D102" t="s">
        <v>11</v>
      </c>
      <c r="E102" t="s">
        <v>34</v>
      </c>
      <c r="F102" t="s">
        <v>31</v>
      </c>
      <c r="G102">
        <v>1</v>
      </c>
      <c r="H102">
        <v>2.2000000000000002</v>
      </c>
      <c r="I102" t="s">
        <v>14</v>
      </c>
      <c r="J102" t="s">
        <v>227</v>
      </c>
      <c r="K102" s="12">
        <f>Store_Record[[#This Row],[Qty]]*Store_Record[[#This Row],[UnitPriceGBP]]</f>
        <v>2.2000000000000002</v>
      </c>
      <c r="L102" s="5" t="str">
        <f>TEXT(Store_Record[[#This Row],[Date]],"dddd")</f>
        <v>Tuesday</v>
      </c>
      <c r="M102" s="5" t="str">
        <f>TEXT(Store_Record[[#This Row],[Date]],"mmmm")</f>
        <v>January</v>
      </c>
      <c r="N102" s="5">
        <f>YEAR(Store_Record[[#This Row],[Date]])</f>
        <v>2025</v>
      </c>
      <c r="O102"/>
    </row>
    <row r="103" spans="1:15" x14ac:dyDescent="0.35">
      <c r="A103" t="s">
        <v>233</v>
      </c>
      <c r="B103" s="2">
        <v>45665</v>
      </c>
      <c r="C103" t="s">
        <v>36</v>
      </c>
      <c r="D103" t="s">
        <v>29</v>
      </c>
      <c r="E103" t="s">
        <v>42</v>
      </c>
      <c r="F103" t="s">
        <v>13</v>
      </c>
      <c r="G103">
        <v>5</v>
      </c>
      <c r="H103">
        <v>3.8</v>
      </c>
      <c r="I103" t="s">
        <v>21</v>
      </c>
      <c r="J103" t="s">
        <v>234</v>
      </c>
      <c r="K103" s="12">
        <f>Store_Record[[#This Row],[Qty]]*Store_Record[[#This Row],[UnitPriceGBP]]</f>
        <v>19</v>
      </c>
      <c r="L103" s="5" t="str">
        <f>TEXT(Store_Record[[#This Row],[Date]],"dddd")</f>
        <v>Wednesday</v>
      </c>
      <c r="M103" s="5" t="str">
        <f>TEXT(Store_Record[[#This Row],[Date]],"mmmm")</f>
        <v>January</v>
      </c>
      <c r="N103" s="5">
        <f>YEAR(Store_Record[[#This Row],[Date]])</f>
        <v>2025</v>
      </c>
      <c r="O103"/>
    </row>
    <row r="104" spans="1:15" x14ac:dyDescent="0.35">
      <c r="A104" t="s">
        <v>236</v>
      </c>
      <c r="B104" s="2">
        <v>45665</v>
      </c>
      <c r="C104" t="s">
        <v>20</v>
      </c>
      <c r="D104" t="s">
        <v>11</v>
      </c>
      <c r="E104" t="s">
        <v>26</v>
      </c>
      <c r="F104" t="s">
        <v>13</v>
      </c>
      <c r="G104">
        <v>5</v>
      </c>
      <c r="H104">
        <v>3.5</v>
      </c>
      <c r="I104" t="s">
        <v>14</v>
      </c>
      <c r="J104" t="s">
        <v>237</v>
      </c>
      <c r="K104" s="12">
        <f>Store_Record[[#This Row],[Qty]]*Store_Record[[#This Row],[UnitPriceGBP]]</f>
        <v>17.5</v>
      </c>
      <c r="L104" s="5" t="str">
        <f>TEXT(Store_Record[[#This Row],[Date]],"dddd")</f>
        <v>Wednesday</v>
      </c>
      <c r="M104" s="5" t="str">
        <f>TEXT(Store_Record[[#This Row],[Date]],"mmmm")</f>
        <v>January</v>
      </c>
      <c r="N104" s="5">
        <f>YEAR(Store_Record[[#This Row],[Date]])</f>
        <v>2025</v>
      </c>
      <c r="O104"/>
    </row>
    <row r="105" spans="1:15" x14ac:dyDescent="0.35">
      <c r="A105" t="s">
        <v>231</v>
      </c>
      <c r="B105" s="2">
        <v>45665</v>
      </c>
      <c r="C105" t="s">
        <v>36</v>
      </c>
      <c r="D105" t="s">
        <v>25</v>
      </c>
      <c r="E105" t="s">
        <v>26</v>
      </c>
      <c r="F105" t="s">
        <v>13</v>
      </c>
      <c r="G105">
        <v>4</v>
      </c>
      <c r="H105">
        <v>3.5</v>
      </c>
      <c r="I105" t="s">
        <v>14</v>
      </c>
      <c r="J105" t="s">
        <v>232</v>
      </c>
      <c r="K105" s="12">
        <f>Store_Record[[#This Row],[Qty]]*Store_Record[[#This Row],[UnitPriceGBP]]</f>
        <v>14</v>
      </c>
      <c r="L105" s="5" t="str">
        <f>TEXT(Store_Record[[#This Row],[Date]],"dddd")</f>
        <v>Wednesday</v>
      </c>
      <c r="M105" s="5" t="str">
        <f>TEXT(Store_Record[[#This Row],[Date]],"mmmm")</f>
        <v>January</v>
      </c>
      <c r="N105" s="5">
        <f>YEAR(Store_Record[[#This Row],[Date]])</f>
        <v>2025</v>
      </c>
      <c r="O105"/>
    </row>
    <row r="106" spans="1:15" x14ac:dyDescent="0.35">
      <c r="A106" t="s">
        <v>238</v>
      </c>
      <c r="B106" s="2">
        <v>45665</v>
      </c>
      <c r="C106" t="s">
        <v>20</v>
      </c>
      <c r="D106" t="s">
        <v>11</v>
      </c>
      <c r="E106" t="s">
        <v>34</v>
      </c>
      <c r="F106" t="s">
        <v>31</v>
      </c>
      <c r="G106">
        <v>5</v>
      </c>
      <c r="H106">
        <v>2.2000000000000002</v>
      </c>
      <c r="I106" t="s">
        <v>39</v>
      </c>
      <c r="J106" t="s">
        <v>239</v>
      </c>
      <c r="K106" s="12">
        <f>Store_Record[[#This Row],[Qty]]*Store_Record[[#This Row],[UnitPriceGBP]]</f>
        <v>11</v>
      </c>
      <c r="L106" s="5" t="str">
        <f>TEXT(Store_Record[[#This Row],[Date]],"dddd")</f>
        <v>Wednesday</v>
      </c>
      <c r="M106" s="5" t="str">
        <f>TEXT(Store_Record[[#This Row],[Date]],"mmmm")</f>
        <v>January</v>
      </c>
      <c r="N106" s="5">
        <f>YEAR(Store_Record[[#This Row],[Date]])</f>
        <v>2025</v>
      </c>
      <c r="O106"/>
    </row>
    <row r="107" spans="1:15" x14ac:dyDescent="0.35">
      <c r="A107" t="s">
        <v>240</v>
      </c>
      <c r="B107" s="2">
        <v>45665</v>
      </c>
      <c r="C107" t="s">
        <v>36</v>
      </c>
      <c r="D107" t="s">
        <v>25</v>
      </c>
      <c r="E107" t="s">
        <v>12</v>
      </c>
      <c r="F107" t="s">
        <v>13</v>
      </c>
      <c r="G107">
        <v>3</v>
      </c>
      <c r="H107">
        <v>2.5</v>
      </c>
      <c r="I107" t="s">
        <v>21</v>
      </c>
      <c r="J107" t="s">
        <v>241</v>
      </c>
      <c r="K107" s="12">
        <f>Store_Record[[#This Row],[Qty]]*Store_Record[[#This Row],[UnitPriceGBP]]</f>
        <v>7.5</v>
      </c>
      <c r="L107" s="5" t="str">
        <f>TEXT(Store_Record[[#This Row],[Date]],"dddd")</f>
        <v>Wednesday</v>
      </c>
      <c r="M107" s="5" t="str">
        <f>TEXT(Store_Record[[#This Row],[Date]],"mmmm")</f>
        <v>January</v>
      </c>
      <c r="N107" s="5">
        <f>YEAR(Store_Record[[#This Row],[Date]])</f>
        <v>2025</v>
      </c>
      <c r="O107"/>
    </row>
    <row r="108" spans="1:15" x14ac:dyDescent="0.35">
      <c r="A108" t="s">
        <v>244</v>
      </c>
      <c r="B108" s="2">
        <v>45665</v>
      </c>
      <c r="C108" t="s">
        <v>24</v>
      </c>
      <c r="D108" t="s">
        <v>25</v>
      </c>
      <c r="E108" t="s">
        <v>12</v>
      </c>
      <c r="F108" t="s">
        <v>13</v>
      </c>
      <c r="G108">
        <v>3</v>
      </c>
      <c r="H108">
        <v>2.5</v>
      </c>
      <c r="I108" t="s">
        <v>21</v>
      </c>
      <c r="J108" t="s">
        <v>245</v>
      </c>
      <c r="K108" s="12">
        <f>Store_Record[[#This Row],[Qty]]*Store_Record[[#This Row],[UnitPriceGBP]]</f>
        <v>7.5</v>
      </c>
      <c r="L108" s="5" t="str">
        <f>TEXT(Store_Record[[#This Row],[Date]],"dddd")</f>
        <v>Wednesday</v>
      </c>
      <c r="M108" s="5" t="str">
        <f>TEXT(Store_Record[[#This Row],[Date]],"mmmm")</f>
        <v>January</v>
      </c>
      <c r="N108" s="5">
        <f>YEAR(Store_Record[[#This Row],[Date]])</f>
        <v>2025</v>
      </c>
      <c r="O108"/>
    </row>
    <row r="109" spans="1:15" x14ac:dyDescent="0.35">
      <c r="A109" t="s">
        <v>235</v>
      </c>
      <c r="B109" s="2">
        <v>45665</v>
      </c>
      <c r="C109" t="s">
        <v>24</v>
      </c>
      <c r="D109" t="s">
        <v>29</v>
      </c>
      <c r="E109" t="s">
        <v>26</v>
      </c>
      <c r="F109" t="s">
        <v>13</v>
      </c>
      <c r="G109">
        <v>2</v>
      </c>
      <c r="H109">
        <v>3.5</v>
      </c>
      <c r="I109" t="s">
        <v>39</v>
      </c>
      <c r="J109" t="s">
        <v>153</v>
      </c>
      <c r="K109" s="12">
        <f>Store_Record[[#This Row],[Qty]]*Store_Record[[#This Row],[UnitPriceGBP]]</f>
        <v>7</v>
      </c>
      <c r="L109" s="5" t="str">
        <f>TEXT(Store_Record[[#This Row],[Date]],"dddd")</f>
        <v>Wednesday</v>
      </c>
      <c r="M109" s="5" t="str">
        <f>TEXT(Store_Record[[#This Row],[Date]],"mmmm")</f>
        <v>January</v>
      </c>
      <c r="N109" s="5">
        <f>YEAR(Store_Record[[#This Row],[Date]])</f>
        <v>2025</v>
      </c>
      <c r="O109"/>
    </row>
    <row r="110" spans="1:15" x14ac:dyDescent="0.35">
      <c r="A110" t="s">
        <v>246</v>
      </c>
      <c r="B110" s="2">
        <v>45665</v>
      </c>
      <c r="C110" t="s">
        <v>10</v>
      </c>
      <c r="D110" t="s">
        <v>38</v>
      </c>
      <c r="E110" t="s">
        <v>30</v>
      </c>
      <c r="F110" t="s">
        <v>31</v>
      </c>
      <c r="G110">
        <v>2</v>
      </c>
      <c r="H110">
        <v>2.8</v>
      </c>
      <c r="I110" t="s">
        <v>39</v>
      </c>
      <c r="J110" t="s">
        <v>247</v>
      </c>
      <c r="K110" s="12">
        <f>Store_Record[[#This Row],[Qty]]*Store_Record[[#This Row],[UnitPriceGBP]]</f>
        <v>5.6</v>
      </c>
      <c r="L110" s="5" t="str">
        <f>TEXT(Store_Record[[#This Row],[Date]],"dddd")</f>
        <v>Wednesday</v>
      </c>
      <c r="M110" s="5" t="str">
        <f>TEXT(Store_Record[[#This Row],[Date]],"mmmm")</f>
        <v>January</v>
      </c>
      <c r="N110" s="5">
        <f>YEAR(Store_Record[[#This Row],[Date]])</f>
        <v>2025</v>
      </c>
      <c r="O110"/>
    </row>
    <row r="111" spans="1:15" x14ac:dyDescent="0.35">
      <c r="A111" t="s">
        <v>242</v>
      </c>
      <c r="B111" s="2">
        <v>45665</v>
      </c>
      <c r="C111" t="s">
        <v>20</v>
      </c>
      <c r="D111" t="s">
        <v>47</v>
      </c>
      <c r="E111" t="s">
        <v>34</v>
      </c>
      <c r="F111" t="s">
        <v>31</v>
      </c>
      <c r="G111">
        <v>1</v>
      </c>
      <c r="H111">
        <v>2.2000000000000002</v>
      </c>
      <c r="I111" t="s">
        <v>21</v>
      </c>
      <c r="J111" t="s">
        <v>243</v>
      </c>
      <c r="K111" s="12">
        <f>Store_Record[[#This Row],[Qty]]*Store_Record[[#This Row],[UnitPriceGBP]]</f>
        <v>2.2000000000000002</v>
      </c>
      <c r="L111" s="5" t="str">
        <f>TEXT(Store_Record[[#This Row],[Date]],"dddd")</f>
        <v>Wednesday</v>
      </c>
      <c r="M111" s="5" t="str">
        <f>TEXT(Store_Record[[#This Row],[Date]],"mmmm")</f>
        <v>January</v>
      </c>
      <c r="N111" s="5">
        <f>YEAR(Store_Record[[#This Row],[Date]])</f>
        <v>2025</v>
      </c>
      <c r="O111"/>
    </row>
    <row r="112" spans="1:15" x14ac:dyDescent="0.35">
      <c r="A112" t="s">
        <v>263</v>
      </c>
      <c r="B112" s="2">
        <v>45666</v>
      </c>
      <c r="C112" t="s">
        <v>36</v>
      </c>
      <c r="D112" t="s">
        <v>38</v>
      </c>
      <c r="E112" t="s">
        <v>26</v>
      </c>
      <c r="F112" t="s">
        <v>13</v>
      </c>
      <c r="G112">
        <v>5</v>
      </c>
      <c r="H112">
        <v>3.5</v>
      </c>
      <c r="I112" t="s">
        <v>39</v>
      </c>
      <c r="J112" t="s">
        <v>163</v>
      </c>
      <c r="K112" s="12">
        <f>Store_Record[[#This Row],[Qty]]*Store_Record[[#This Row],[UnitPriceGBP]]</f>
        <v>17.5</v>
      </c>
      <c r="L112" s="5" t="str">
        <f>TEXT(Store_Record[[#This Row],[Date]],"dddd")</f>
        <v>Thursday</v>
      </c>
      <c r="M112" s="5" t="str">
        <f>TEXT(Store_Record[[#This Row],[Date]],"mmmm")</f>
        <v>January</v>
      </c>
      <c r="N112" s="5">
        <f>YEAR(Store_Record[[#This Row],[Date]])</f>
        <v>2025</v>
      </c>
      <c r="O112"/>
    </row>
    <row r="113" spans="1:15" x14ac:dyDescent="0.35">
      <c r="A113" t="s">
        <v>274</v>
      </c>
      <c r="B113" s="2">
        <v>45666</v>
      </c>
      <c r="C113" t="s">
        <v>24</v>
      </c>
      <c r="D113" t="s">
        <v>29</v>
      </c>
      <c r="E113" t="s">
        <v>26</v>
      </c>
      <c r="F113" t="s">
        <v>13</v>
      </c>
      <c r="G113">
        <v>5</v>
      </c>
      <c r="H113">
        <v>3.5</v>
      </c>
      <c r="I113" t="s">
        <v>14</v>
      </c>
      <c r="J113" t="s">
        <v>275</v>
      </c>
      <c r="K113" s="12">
        <f>Store_Record[[#This Row],[Qty]]*Store_Record[[#This Row],[UnitPriceGBP]]</f>
        <v>17.5</v>
      </c>
      <c r="L113" s="5" t="str">
        <f>TEXT(Store_Record[[#This Row],[Date]],"dddd")</f>
        <v>Thursday</v>
      </c>
      <c r="M113" s="5" t="str">
        <f>TEXT(Store_Record[[#This Row],[Date]],"mmmm")</f>
        <v>January</v>
      </c>
      <c r="N113" s="5">
        <f>YEAR(Store_Record[[#This Row],[Date]])</f>
        <v>2025</v>
      </c>
      <c r="O113"/>
    </row>
    <row r="114" spans="1:15" x14ac:dyDescent="0.35">
      <c r="A114" t="s">
        <v>261</v>
      </c>
      <c r="B114" s="2">
        <v>45666</v>
      </c>
      <c r="C114" t="s">
        <v>36</v>
      </c>
      <c r="D114" t="s">
        <v>29</v>
      </c>
      <c r="E114" t="s">
        <v>42</v>
      </c>
      <c r="F114" t="s">
        <v>13</v>
      </c>
      <c r="G114">
        <v>4</v>
      </c>
      <c r="H114">
        <v>3.8</v>
      </c>
      <c r="I114" t="s">
        <v>39</v>
      </c>
      <c r="J114" t="s">
        <v>262</v>
      </c>
      <c r="K114" s="12">
        <f>Store_Record[[#This Row],[Qty]]*Store_Record[[#This Row],[UnitPriceGBP]]</f>
        <v>15.2</v>
      </c>
      <c r="L114" s="5" t="str">
        <f>TEXT(Store_Record[[#This Row],[Date]],"dddd")</f>
        <v>Thursday</v>
      </c>
      <c r="M114" s="5" t="str">
        <f>TEXT(Store_Record[[#This Row],[Date]],"mmmm")</f>
        <v>January</v>
      </c>
      <c r="N114" s="5">
        <f>YEAR(Store_Record[[#This Row],[Date]])</f>
        <v>2025</v>
      </c>
      <c r="O114"/>
    </row>
    <row r="115" spans="1:15" x14ac:dyDescent="0.35">
      <c r="A115" t="s">
        <v>5994</v>
      </c>
      <c r="B115" s="2">
        <v>45666</v>
      </c>
      <c r="C115" t="s">
        <v>24</v>
      </c>
      <c r="D115" t="s">
        <v>11</v>
      </c>
      <c r="E115" t="s">
        <v>30</v>
      </c>
      <c r="F115" t="s">
        <v>31</v>
      </c>
      <c r="G115">
        <v>5</v>
      </c>
      <c r="H115">
        <v>2.8</v>
      </c>
      <c r="I115" t="s">
        <v>21</v>
      </c>
      <c r="J115" t="s">
        <v>1302</v>
      </c>
      <c r="K115" s="12">
        <f>Store_Record[[#This Row],[Qty]]*Store_Record[[#This Row],[UnitPriceGBP]]</f>
        <v>14</v>
      </c>
      <c r="L115" s="5" t="str">
        <f>TEXT(Store_Record[[#This Row],[Date]],"dddd")</f>
        <v>Thursday</v>
      </c>
      <c r="M115" s="5" t="str">
        <f>TEXT(Store_Record[[#This Row],[Date]],"mmmm")</f>
        <v>January</v>
      </c>
      <c r="N115" s="5">
        <f>YEAR(Store_Record[[#This Row],[Date]])</f>
        <v>2025</v>
      </c>
      <c r="O115"/>
    </row>
    <row r="116" spans="1:15" x14ac:dyDescent="0.35">
      <c r="A116" t="s">
        <v>255</v>
      </c>
      <c r="B116" s="2">
        <v>45666</v>
      </c>
      <c r="C116" t="s">
        <v>20</v>
      </c>
      <c r="D116" t="s">
        <v>25</v>
      </c>
      <c r="E116" t="s">
        <v>12</v>
      </c>
      <c r="F116" t="s">
        <v>13</v>
      </c>
      <c r="G116">
        <v>5</v>
      </c>
      <c r="H116">
        <v>2.5</v>
      </c>
      <c r="I116" t="s">
        <v>14</v>
      </c>
      <c r="J116" t="s">
        <v>256</v>
      </c>
      <c r="K116" s="12">
        <f>Store_Record[[#This Row],[Qty]]*Store_Record[[#This Row],[UnitPriceGBP]]</f>
        <v>12.5</v>
      </c>
      <c r="L116" s="5" t="str">
        <f>TEXT(Store_Record[[#This Row],[Date]],"dddd")</f>
        <v>Thursday</v>
      </c>
      <c r="M116" s="5" t="str">
        <f>TEXT(Store_Record[[#This Row],[Date]],"mmmm")</f>
        <v>January</v>
      </c>
      <c r="N116" s="5">
        <f>YEAR(Store_Record[[#This Row],[Date]])</f>
        <v>2025</v>
      </c>
      <c r="O116"/>
    </row>
    <row r="117" spans="1:15" x14ac:dyDescent="0.35">
      <c r="A117" t="s">
        <v>257</v>
      </c>
      <c r="B117" s="2">
        <v>45666</v>
      </c>
      <c r="C117" t="s">
        <v>24</v>
      </c>
      <c r="D117" t="s">
        <v>47</v>
      </c>
      <c r="E117" t="s">
        <v>34</v>
      </c>
      <c r="F117" t="s">
        <v>31</v>
      </c>
      <c r="G117">
        <v>5</v>
      </c>
      <c r="H117">
        <v>2.2000000000000002</v>
      </c>
      <c r="I117" t="s">
        <v>14</v>
      </c>
      <c r="J117" t="s">
        <v>258</v>
      </c>
      <c r="K117" s="12">
        <f>Store_Record[[#This Row],[Qty]]*Store_Record[[#This Row],[UnitPriceGBP]]</f>
        <v>11</v>
      </c>
      <c r="L117" s="5" t="str">
        <f>TEXT(Store_Record[[#This Row],[Date]],"dddd")</f>
        <v>Thursday</v>
      </c>
      <c r="M117" s="5" t="str">
        <f>TEXT(Store_Record[[#This Row],[Date]],"mmmm")</f>
        <v>January</v>
      </c>
      <c r="N117" s="5">
        <f>YEAR(Store_Record[[#This Row],[Date]])</f>
        <v>2025</v>
      </c>
      <c r="O117"/>
    </row>
    <row r="118" spans="1:15" x14ac:dyDescent="0.35">
      <c r="A118" t="s">
        <v>276</v>
      </c>
      <c r="B118" s="2">
        <v>45666</v>
      </c>
      <c r="C118" t="s">
        <v>24</v>
      </c>
      <c r="D118" t="s">
        <v>38</v>
      </c>
      <c r="E118" t="s">
        <v>26</v>
      </c>
      <c r="F118" t="s">
        <v>13</v>
      </c>
      <c r="G118">
        <v>3</v>
      </c>
      <c r="H118">
        <v>3.5</v>
      </c>
      <c r="I118" t="s">
        <v>39</v>
      </c>
      <c r="J118" t="s">
        <v>277</v>
      </c>
      <c r="K118" s="12">
        <f>Store_Record[[#This Row],[Qty]]*Store_Record[[#This Row],[UnitPriceGBP]]</f>
        <v>10.5</v>
      </c>
      <c r="L118" s="5" t="str">
        <f>TEXT(Store_Record[[#This Row],[Date]],"dddd")</f>
        <v>Thursday</v>
      </c>
      <c r="M118" s="5" t="str">
        <f>TEXT(Store_Record[[#This Row],[Date]],"mmmm")</f>
        <v>January</v>
      </c>
      <c r="N118" s="5">
        <f>YEAR(Store_Record[[#This Row],[Date]])</f>
        <v>2025</v>
      </c>
      <c r="O118"/>
    </row>
    <row r="119" spans="1:15" x14ac:dyDescent="0.35">
      <c r="A119" t="s">
        <v>280</v>
      </c>
      <c r="B119" s="2">
        <v>45666</v>
      </c>
      <c r="C119" t="s">
        <v>10</v>
      </c>
      <c r="D119" t="s">
        <v>29</v>
      </c>
      <c r="E119" t="s">
        <v>26</v>
      </c>
      <c r="F119" t="s">
        <v>13</v>
      </c>
      <c r="G119">
        <v>3</v>
      </c>
      <c r="H119">
        <v>3.5</v>
      </c>
      <c r="I119" t="s">
        <v>21</v>
      </c>
      <c r="J119" t="s">
        <v>281</v>
      </c>
      <c r="K119" s="12">
        <f>Store_Record[[#This Row],[Qty]]*Store_Record[[#This Row],[UnitPriceGBP]]</f>
        <v>10.5</v>
      </c>
      <c r="L119" s="5" t="str">
        <f>TEXT(Store_Record[[#This Row],[Date]],"dddd")</f>
        <v>Thursday</v>
      </c>
      <c r="M119" s="5" t="str">
        <f>TEXT(Store_Record[[#This Row],[Date]],"mmmm")</f>
        <v>January</v>
      </c>
      <c r="N119" s="5">
        <f>YEAR(Store_Record[[#This Row],[Date]])</f>
        <v>2025</v>
      </c>
      <c r="O119"/>
    </row>
    <row r="120" spans="1:15" x14ac:dyDescent="0.35">
      <c r="A120" t="s">
        <v>251</v>
      </c>
      <c r="B120" s="2">
        <v>45666</v>
      </c>
      <c r="C120" t="s">
        <v>20</v>
      </c>
      <c r="D120" t="s">
        <v>25</v>
      </c>
      <c r="E120" t="s">
        <v>12</v>
      </c>
      <c r="F120" t="s">
        <v>13</v>
      </c>
      <c r="G120">
        <v>4</v>
      </c>
      <c r="H120">
        <v>2.5</v>
      </c>
      <c r="I120" t="s">
        <v>21</v>
      </c>
      <c r="J120" t="s">
        <v>252</v>
      </c>
      <c r="K120" s="12">
        <f>Store_Record[[#This Row],[Qty]]*Store_Record[[#This Row],[UnitPriceGBP]]</f>
        <v>10</v>
      </c>
      <c r="L120" s="5" t="str">
        <f>TEXT(Store_Record[[#This Row],[Date]],"dddd")</f>
        <v>Thursday</v>
      </c>
      <c r="M120" s="5" t="str">
        <f>TEXT(Store_Record[[#This Row],[Date]],"mmmm")</f>
        <v>January</v>
      </c>
      <c r="N120" s="5">
        <f>YEAR(Store_Record[[#This Row],[Date]])</f>
        <v>2025</v>
      </c>
      <c r="O120"/>
    </row>
    <row r="121" spans="1:15" x14ac:dyDescent="0.35">
      <c r="A121" t="s">
        <v>266</v>
      </c>
      <c r="B121" s="2">
        <v>45666</v>
      </c>
      <c r="C121" t="s">
        <v>24</v>
      </c>
      <c r="D121" t="s">
        <v>29</v>
      </c>
      <c r="E121" t="s">
        <v>34</v>
      </c>
      <c r="F121" t="s">
        <v>31</v>
      </c>
      <c r="G121">
        <v>4</v>
      </c>
      <c r="H121">
        <v>2.2000000000000002</v>
      </c>
      <c r="I121" t="s">
        <v>14</v>
      </c>
      <c r="J121" t="s">
        <v>267</v>
      </c>
      <c r="K121" s="12">
        <f>Store_Record[[#This Row],[Qty]]*Store_Record[[#This Row],[UnitPriceGBP]]</f>
        <v>8.8000000000000007</v>
      </c>
      <c r="L121" s="5" t="str">
        <f>TEXT(Store_Record[[#This Row],[Date]],"dddd")</f>
        <v>Thursday</v>
      </c>
      <c r="M121" s="5" t="str">
        <f>TEXT(Store_Record[[#This Row],[Date]],"mmmm")</f>
        <v>January</v>
      </c>
      <c r="N121" s="5">
        <f>YEAR(Store_Record[[#This Row],[Date]])</f>
        <v>2025</v>
      </c>
      <c r="O121"/>
    </row>
    <row r="122" spans="1:15" x14ac:dyDescent="0.35">
      <c r="A122" t="s">
        <v>249</v>
      </c>
      <c r="B122" s="2">
        <v>45666</v>
      </c>
      <c r="C122" t="s">
        <v>24</v>
      </c>
      <c r="D122" t="s">
        <v>11</v>
      </c>
      <c r="E122" t="s">
        <v>30</v>
      </c>
      <c r="F122" t="s">
        <v>31</v>
      </c>
      <c r="G122">
        <v>3</v>
      </c>
      <c r="H122">
        <v>2.8</v>
      </c>
      <c r="I122" t="s">
        <v>21</v>
      </c>
      <c r="J122" t="s">
        <v>250</v>
      </c>
      <c r="K122" s="12">
        <f>Store_Record[[#This Row],[Qty]]*Store_Record[[#This Row],[UnitPriceGBP]]</f>
        <v>8.3999999999999986</v>
      </c>
      <c r="L122" s="5" t="str">
        <f>TEXT(Store_Record[[#This Row],[Date]],"dddd")</f>
        <v>Thursday</v>
      </c>
      <c r="M122" s="5" t="str">
        <f>TEXT(Store_Record[[#This Row],[Date]],"mmmm")</f>
        <v>January</v>
      </c>
      <c r="N122" s="5">
        <f>YEAR(Store_Record[[#This Row],[Date]])</f>
        <v>2025</v>
      </c>
      <c r="O122"/>
    </row>
    <row r="123" spans="1:15" x14ac:dyDescent="0.35">
      <c r="A123" t="s">
        <v>253</v>
      </c>
      <c r="B123" s="2">
        <v>45666</v>
      </c>
      <c r="C123" t="s">
        <v>10</v>
      </c>
      <c r="D123" t="s">
        <v>29</v>
      </c>
      <c r="E123" t="s">
        <v>30</v>
      </c>
      <c r="F123" t="s">
        <v>31</v>
      </c>
      <c r="G123">
        <v>3</v>
      </c>
      <c r="H123">
        <v>2.8</v>
      </c>
      <c r="I123" t="s">
        <v>39</v>
      </c>
      <c r="J123" t="s">
        <v>254</v>
      </c>
      <c r="K123" s="12">
        <f>Store_Record[[#This Row],[Qty]]*Store_Record[[#This Row],[UnitPriceGBP]]</f>
        <v>8.3999999999999986</v>
      </c>
      <c r="L123" s="5" t="str">
        <f>TEXT(Store_Record[[#This Row],[Date]],"dddd")</f>
        <v>Thursday</v>
      </c>
      <c r="M123" s="5" t="str">
        <f>TEXT(Store_Record[[#This Row],[Date]],"mmmm")</f>
        <v>January</v>
      </c>
      <c r="N123" s="5">
        <f>YEAR(Store_Record[[#This Row],[Date]])</f>
        <v>2025</v>
      </c>
      <c r="O123"/>
    </row>
    <row r="124" spans="1:15" x14ac:dyDescent="0.35">
      <c r="A124" t="s">
        <v>264</v>
      </c>
      <c r="B124" s="2">
        <v>45666</v>
      </c>
      <c r="C124" t="s">
        <v>10</v>
      </c>
      <c r="D124" t="s">
        <v>25</v>
      </c>
      <c r="E124" t="s">
        <v>12</v>
      </c>
      <c r="F124" t="s">
        <v>13</v>
      </c>
      <c r="G124">
        <v>3</v>
      </c>
      <c r="H124">
        <v>2.5</v>
      </c>
      <c r="I124" t="s">
        <v>21</v>
      </c>
      <c r="J124" t="s">
        <v>265</v>
      </c>
      <c r="K124" s="12">
        <f>Store_Record[[#This Row],[Qty]]*Store_Record[[#This Row],[UnitPriceGBP]]</f>
        <v>7.5</v>
      </c>
      <c r="L124" s="5" t="str">
        <f>TEXT(Store_Record[[#This Row],[Date]],"dddd")</f>
        <v>Thursday</v>
      </c>
      <c r="M124" s="5" t="str">
        <f>TEXT(Store_Record[[#This Row],[Date]],"mmmm")</f>
        <v>January</v>
      </c>
      <c r="N124" s="5">
        <f>YEAR(Store_Record[[#This Row],[Date]])</f>
        <v>2025</v>
      </c>
      <c r="O124"/>
    </row>
    <row r="125" spans="1:15" x14ac:dyDescent="0.35">
      <c r="A125" t="s">
        <v>270</v>
      </c>
      <c r="B125" s="2">
        <v>45666</v>
      </c>
      <c r="C125" t="s">
        <v>24</v>
      </c>
      <c r="D125" t="s">
        <v>38</v>
      </c>
      <c r="E125" t="s">
        <v>26</v>
      </c>
      <c r="F125" t="s">
        <v>13</v>
      </c>
      <c r="G125">
        <v>2</v>
      </c>
      <c r="H125">
        <v>3.5</v>
      </c>
      <c r="I125" t="s">
        <v>14</v>
      </c>
      <c r="J125" t="s">
        <v>271</v>
      </c>
      <c r="K125" s="12">
        <f>Store_Record[[#This Row],[Qty]]*Store_Record[[#This Row],[UnitPriceGBP]]</f>
        <v>7</v>
      </c>
      <c r="L125" s="5" t="str">
        <f>TEXT(Store_Record[[#This Row],[Date]],"dddd")</f>
        <v>Thursday</v>
      </c>
      <c r="M125" s="5" t="str">
        <f>TEXT(Store_Record[[#This Row],[Date]],"mmmm")</f>
        <v>January</v>
      </c>
      <c r="N125" s="5">
        <f>YEAR(Store_Record[[#This Row],[Date]])</f>
        <v>2025</v>
      </c>
      <c r="O125"/>
    </row>
    <row r="126" spans="1:15" x14ac:dyDescent="0.35">
      <c r="A126" t="s">
        <v>248</v>
      </c>
      <c r="B126" s="2">
        <v>45666</v>
      </c>
      <c r="C126" t="s">
        <v>36</v>
      </c>
      <c r="D126" t="s">
        <v>38</v>
      </c>
      <c r="E126" t="s">
        <v>34</v>
      </c>
      <c r="F126" t="s">
        <v>31</v>
      </c>
      <c r="G126">
        <v>3</v>
      </c>
      <c r="H126">
        <v>2.2000000000000002</v>
      </c>
      <c r="I126" t="s">
        <v>39</v>
      </c>
      <c r="J126" t="s">
        <v>247</v>
      </c>
      <c r="K126" s="12">
        <f>Store_Record[[#This Row],[Qty]]*Store_Record[[#This Row],[UnitPriceGBP]]</f>
        <v>6.6000000000000005</v>
      </c>
      <c r="L126" s="5" t="str">
        <f>TEXT(Store_Record[[#This Row],[Date]],"dddd")</f>
        <v>Thursday</v>
      </c>
      <c r="M126" s="5" t="str">
        <f>TEXT(Store_Record[[#This Row],[Date]],"mmmm")</f>
        <v>January</v>
      </c>
      <c r="N126" s="5">
        <f>YEAR(Store_Record[[#This Row],[Date]])</f>
        <v>2025</v>
      </c>
      <c r="O126"/>
    </row>
    <row r="127" spans="1:15" x14ac:dyDescent="0.35">
      <c r="A127" t="s">
        <v>278</v>
      </c>
      <c r="B127" s="2">
        <v>45666</v>
      </c>
      <c r="C127" t="s">
        <v>24</v>
      </c>
      <c r="D127" t="s">
        <v>47</v>
      </c>
      <c r="E127" t="s">
        <v>30</v>
      </c>
      <c r="F127" t="s">
        <v>31</v>
      </c>
      <c r="G127">
        <v>2</v>
      </c>
      <c r="H127">
        <v>2.8</v>
      </c>
      <c r="I127" t="s">
        <v>21</v>
      </c>
      <c r="J127" t="s">
        <v>279</v>
      </c>
      <c r="K127" s="12">
        <f>Store_Record[[#This Row],[Qty]]*Store_Record[[#This Row],[UnitPriceGBP]]</f>
        <v>5.6</v>
      </c>
      <c r="L127" s="5" t="str">
        <f>TEXT(Store_Record[[#This Row],[Date]],"dddd")</f>
        <v>Thursday</v>
      </c>
      <c r="M127" s="5" t="str">
        <f>TEXT(Store_Record[[#This Row],[Date]],"mmmm")</f>
        <v>January</v>
      </c>
      <c r="N127" s="5">
        <f>YEAR(Store_Record[[#This Row],[Date]])</f>
        <v>2025</v>
      </c>
      <c r="O127"/>
    </row>
    <row r="128" spans="1:15" x14ac:dyDescent="0.35">
      <c r="A128" t="s">
        <v>259</v>
      </c>
      <c r="B128" s="2">
        <v>45666</v>
      </c>
      <c r="C128" t="s">
        <v>36</v>
      </c>
      <c r="D128" t="s">
        <v>38</v>
      </c>
      <c r="E128" t="s">
        <v>12</v>
      </c>
      <c r="F128" t="s">
        <v>13</v>
      </c>
      <c r="G128">
        <v>2</v>
      </c>
      <c r="H128">
        <v>2.5</v>
      </c>
      <c r="I128" t="s">
        <v>14</v>
      </c>
      <c r="J128" t="s">
        <v>260</v>
      </c>
      <c r="K128" s="12">
        <f>Store_Record[[#This Row],[Qty]]*Store_Record[[#This Row],[UnitPriceGBP]]</f>
        <v>5</v>
      </c>
      <c r="L128" s="5" t="str">
        <f>TEXT(Store_Record[[#This Row],[Date]],"dddd")</f>
        <v>Thursday</v>
      </c>
      <c r="M128" s="5" t="str">
        <f>TEXT(Store_Record[[#This Row],[Date]],"mmmm")</f>
        <v>January</v>
      </c>
      <c r="N128" s="5">
        <f>YEAR(Store_Record[[#This Row],[Date]])</f>
        <v>2025</v>
      </c>
      <c r="O128"/>
    </row>
    <row r="129" spans="1:15" x14ac:dyDescent="0.35">
      <c r="A129" t="s">
        <v>268</v>
      </c>
      <c r="B129" s="2">
        <v>45666</v>
      </c>
      <c r="C129" t="s">
        <v>36</v>
      </c>
      <c r="D129" t="s">
        <v>29</v>
      </c>
      <c r="E129" t="s">
        <v>42</v>
      </c>
      <c r="F129" t="s">
        <v>13</v>
      </c>
      <c r="G129">
        <v>1</v>
      </c>
      <c r="H129">
        <v>3.8</v>
      </c>
      <c r="I129" t="s">
        <v>39</v>
      </c>
      <c r="J129" t="s">
        <v>269</v>
      </c>
      <c r="K129" s="12">
        <f>Store_Record[[#This Row],[Qty]]*Store_Record[[#This Row],[UnitPriceGBP]]</f>
        <v>3.8</v>
      </c>
      <c r="L129" s="5" t="str">
        <f>TEXT(Store_Record[[#This Row],[Date]],"dddd")</f>
        <v>Thursday</v>
      </c>
      <c r="M129" s="5" t="str">
        <f>TEXT(Store_Record[[#This Row],[Date]],"mmmm")</f>
        <v>January</v>
      </c>
      <c r="N129" s="5">
        <f>YEAR(Store_Record[[#This Row],[Date]])</f>
        <v>2025</v>
      </c>
      <c r="O129"/>
    </row>
    <row r="130" spans="1:15" x14ac:dyDescent="0.35">
      <c r="A130" t="s">
        <v>272</v>
      </c>
      <c r="B130" s="2">
        <v>45666</v>
      </c>
      <c r="C130" t="s">
        <v>36</v>
      </c>
      <c r="D130" t="s">
        <v>11</v>
      </c>
      <c r="E130" t="s">
        <v>42</v>
      </c>
      <c r="F130" t="s">
        <v>13</v>
      </c>
      <c r="G130">
        <v>1</v>
      </c>
      <c r="H130">
        <v>3.8</v>
      </c>
      <c r="I130" t="s">
        <v>14</v>
      </c>
      <c r="J130" t="s">
        <v>273</v>
      </c>
      <c r="K130" s="12">
        <f>Store_Record[[#This Row],[Qty]]*Store_Record[[#This Row],[UnitPriceGBP]]</f>
        <v>3.8</v>
      </c>
      <c r="L130" s="5" t="str">
        <f>TEXT(Store_Record[[#This Row],[Date]],"dddd")</f>
        <v>Thursday</v>
      </c>
      <c r="M130" s="5" t="str">
        <f>TEXT(Store_Record[[#This Row],[Date]],"mmmm")</f>
        <v>January</v>
      </c>
      <c r="N130" s="5">
        <f>YEAR(Store_Record[[#This Row],[Date]])</f>
        <v>2025</v>
      </c>
      <c r="O130"/>
    </row>
    <row r="131" spans="1:15" x14ac:dyDescent="0.35">
      <c r="A131" t="s">
        <v>282</v>
      </c>
      <c r="B131" s="2">
        <v>45667</v>
      </c>
      <c r="C131" t="s">
        <v>24</v>
      </c>
      <c r="D131" t="s">
        <v>47</v>
      </c>
      <c r="E131" t="s">
        <v>42</v>
      </c>
      <c r="F131" t="s">
        <v>13</v>
      </c>
      <c r="G131">
        <v>5</v>
      </c>
      <c r="H131">
        <v>3.8</v>
      </c>
      <c r="I131" t="s">
        <v>21</v>
      </c>
      <c r="J131" t="s">
        <v>256</v>
      </c>
      <c r="K131" s="12">
        <f>Store_Record[[#This Row],[Qty]]*Store_Record[[#This Row],[UnitPriceGBP]]</f>
        <v>19</v>
      </c>
      <c r="L131" s="5" t="str">
        <f>TEXT(Store_Record[[#This Row],[Date]],"dddd")</f>
        <v>Friday</v>
      </c>
      <c r="M131" s="5" t="str">
        <f>TEXT(Store_Record[[#This Row],[Date]],"mmmm")</f>
        <v>January</v>
      </c>
      <c r="N131" s="5">
        <f>YEAR(Store_Record[[#This Row],[Date]])</f>
        <v>2025</v>
      </c>
      <c r="O131"/>
    </row>
    <row r="132" spans="1:15" x14ac:dyDescent="0.35">
      <c r="A132" t="s">
        <v>307</v>
      </c>
      <c r="B132" s="2">
        <v>45667</v>
      </c>
      <c r="C132" t="s">
        <v>24</v>
      </c>
      <c r="D132" t="s">
        <v>47</v>
      </c>
      <c r="E132" t="s">
        <v>42</v>
      </c>
      <c r="F132" t="s">
        <v>13</v>
      </c>
      <c r="G132">
        <v>5</v>
      </c>
      <c r="H132">
        <v>3.8</v>
      </c>
      <c r="I132" t="s">
        <v>14</v>
      </c>
      <c r="J132" t="s">
        <v>308</v>
      </c>
      <c r="K132" s="12">
        <f>Store_Record[[#This Row],[Qty]]*Store_Record[[#This Row],[UnitPriceGBP]]</f>
        <v>19</v>
      </c>
      <c r="L132" s="5" t="str">
        <f>TEXT(Store_Record[[#This Row],[Date]],"dddd")</f>
        <v>Friday</v>
      </c>
      <c r="M132" s="5" t="str">
        <f>TEXT(Store_Record[[#This Row],[Date]],"mmmm")</f>
        <v>January</v>
      </c>
      <c r="N132" s="5">
        <f>YEAR(Store_Record[[#This Row],[Date]])</f>
        <v>2025</v>
      </c>
      <c r="O132"/>
    </row>
    <row r="133" spans="1:15" x14ac:dyDescent="0.35">
      <c r="A133" t="s">
        <v>305</v>
      </c>
      <c r="B133" s="2">
        <v>45667</v>
      </c>
      <c r="C133" t="s">
        <v>20</v>
      </c>
      <c r="D133" t="s">
        <v>47</v>
      </c>
      <c r="E133" t="s">
        <v>42</v>
      </c>
      <c r="F133" t="s">
        <v>13</v>
      </c>
      <c r="G133">
        <v>4</v>
      </c>
      <c r="H133">
        <v>3.8</v>
      </c>
      <c r="I133" t="s">
        <v>21</v>
      </c>
      <c r="J133" t="s">
        <v>306</v>
      </c>
      <c r="K133" s="12">
        <f>Store_Record[[#This Row],[Qty]]*Store_Record[[#This Row],[UnitPriceGBP]]</f>
        <v>15.2</v>
      </c>
      <c r="L133" s="5" t="str">
        <f>TEXT(Store_Record[[#This Row],[Date]],"dddd")</f>
        <v>Friday</v>
      </c>
      <c r="M133" s="5" t="str">
        <f>TEXT(Store_Record[[#This Row],[Date]],"mmmm")</f>
        <v>January</v>
      </c>
      <c r="N133" s="5">
        <f>YEAR(Store_Record[[#This Row],[Date]])</f>
        <v>2025</v>
      </c>
      <c r="O133"/>
    </row>
    <row r="134" spans="1:15" x14ac:dyDescent="0.35">
      <c r="A134" t="s">
        <v>288</v>
      </c>
      <c r="B134" s="2">
        <v>45667</v>
      </c>
      <c r="C134" t="s">
        <v>20</v>
      </c>
      <c r="D134" t="s">
        <v>29</v>
      </c>
      <c r="E134" t="s">
        <v>26</v>
      </c>
      <c r="F134" t="s">
        <v>13</v>
      </c>
      <c r="G134">
        <v>4</v>
      </c>
      <c r="H134">
        <v>3.5</v>
      </c>
      <c r="I134" t="s">
        <v>14</v>
      </c>
      <c r="J134" t="s">
        <v>289</v>
      </c>
      <c r="K134" s="12">
        <f>Store_Record[[#This Row],[Qty]]*Store_Record[[#This Row],[UnitPriceGBP]]</f>
        <v>14</v>
      </c>
      <c r="L134" s="5" t="str">
        <f>TEXT(Store_Record[[#This Row],[Date]],"dddd")</f>
        <v>Friday</v>
      </c>
      <c r="M134" s="5" t="str">
        <f>TEXT(Store_Record[[#This Row],[Date]],"mmmm")</f>
        <v>January</v>
      </c>
      <c r="N134" s="5">
        <f>YEAR(Store_Record[[#This Row],[Date]])</f>
        <v>2025</v>
      </c>
      <c r="O134"/>
    </row>
    <row r="135" spans="1:15" x14ac:dyDescent="0.35">
      <c r="A135" t="s">
        <v>290</v>
      </c>
      <c r="B135" s="2">
        <v>45667</v>
      </c>
      <c r="C135" t="s">
        <v>24</v>
      </c>
      <c r="D135" t="s">
        <v>47</v>
      </c>
      <c r="E135" t="s">
        <v>30</v>
      </c>
      <c r="F135" t="s">
        <v>31</v>
      </c>
      <c r="G135">
        <v>5</v>
      </c>
      <c r="H135">
        <v>2.8</v>
      </c>
      <c r="I135" t="s">
        <v>39</v>
      </c>
      <c r="J135" t="s">
        <v>22</v>
      </c>
      <c r="K135" s="12">
        <f>Store_Record[[#This Row],[Qty]]*Store_Record[[#This Row],[UnitPriceGBP]]</f>
        <v>14</v>
      </c>
      <c r="L135" s="5" t="str">
        <f>TEXT(Store_Record[[#This Row],[Date]],"dddd")</f>
        <v>Friday</v>
      </c>
      <c r="M135" s="5" t="str">
        <f>TEXT(Store_Record[[#This Row],[Date]],"mmmm")</f>
        <v>January</v>
      </c>
      <c r="N135" s="5">
        <f>YEAR(Store_Record[[#This Row],[Date]])</f>
        <v>2025</v>
      </c>
      <c r="O135"/>
    </row>
    <row r="136" spans="1:15" x14ac:dyDescent="0.35">
      <c r="A136" t="s">
        <v>283</v>
      </c>
      <c r="B136" s="2">
        <v>45667</v>
      </c>
      <c r="C136" t="s">
        <v>10</v>
      </c>
      <c r="D136" t="s">
        <v>25</v>
      </c>
      <c r="E136" t="s">
        <v>34</v>
      </c>
      <c r="F136" t="s">
        <v>31</v>
      </c>
      <c r="G136">
        <v>5</v>
      </c>
      <c r="H136">
        <v>2.2000000000000002</v>
      </c>
      <c r="I136" t="s">
        <v>21</v>
      </c>
      <c r="J136" t="s">
        <v>284</v>
      </c>
      <c r="K136" s="12">
        <f>Store_Record[[#This Row],[Qty]]*Store_Record[[#This Row],[UnitPriceGBP]]</f>
        <v>11</v>
      </c>
      <c r="L136" s="5" t="str">
        <f>TEXT(Store_Record[[#This Row],[Date]],"dddd")</f>
        <v>Friday</v>
      </c>
      <c r="M136" s="5" t="str">
        <f>TEXT(Store_Record[[#This Row],[Date]],"mmmm")</f>
        <v>January</v>
      </c>
      <c r="N136" s="5">
        <f>YEAR(Store_Record[[#This Row],[Date]])</f>
        <v>2025</v>
      </c>
      <c r="O136"/>
    </row>
    <row r="137" spans="1:15" x14ac:dyDescent="0.35">
      <c r="A137" t="s">
        <v>295</v>
      </c>
      <c r="B137" s="2">
        <v>45667</v>
      </c>
      <c r="C137" t="s">
        <v>36</v>
      </c>
      <c r="D137" t="s">
        <v>11</v>
      </c>
      <c r="E137" t="s">
        <v>12</v>
      </c>
      <c r="F137" t="s">
        <v>13</v>
      </c>
      <c r="G137">
        <v>4</v>
      </c>
      <c r="H137">
        <v>2.5</v>
      </c>
      <c r="I137" t="s">
        <v>39</v>
      </c>
      <c r="J137" t="s">
        <v>296</v>
      </c>
      <c r="K137" s="12">
        <f>Store_Record[[#This Row],[Qty]]*Store_Record[[#This Row],[UnitPriceGBP]]</f>
        <v>10</v>
      </c>
      <c r="L137" s="5" t="str">
        <f>TEXT(Store_Record[[#This Row],[Date]],"dddd")</f>
        <v>Friday</v>
      </c>
      <c r="M137" s="5" t="str">
        <f>TEXT(Store_Record[[#This Row],[Date]],"mmmm")</f>
        <v>January</v>
      </c>
      <c r="N137" s="5">
        <f>YEAR(Store_Record[[#This Row],[Date]])</f>
        <v>2025</v>
      </c>
      <c r="O137"/>
    </row>
    <row r="138" spans="1:15" x14ac:dyDescent="0.35">
      <c r="A138" t="s">
        <v>315</v>
      </c>
      <c r="B138" s="2">
        <v>45667</v>
      </c>
      <c r="C138" t="s">
        <v>36</v>
      </c>
      <c r="D138" t="s">
        <v>25</v>
      </c>
      <c r="E138" t="s">
        <v>12</v>
      </c>
      <c r="F138" t="s">
        <v>13</v>
      </c>
      <c r="G138">
        <v>4</v>
      </c>
      <c r="H138">
        <v>2.5</v>
      </c>
      <c r="I138" t="s">
        <v>14</v>
      </c>
      <c r="J138" t="s">
        <v>157</v>
      </c>
      <c r="K138" s="12">
        <f>Store_Record[[#This Row],[Qty]]*Store_Record[[#This Row],[UnitPriceGBP]]</f>
        <v>10</v>
      </c>
      <c r="L138" s="5" t="str">
        <f>TEXT(Store_Record[[#This Row],[Date]],"dddd")</f>
        <v>Friday</v>
      </c>
      <c r="M138" s="5" t="str">
        <f>TEXT(Store_Record[[#This Row],[Date]],"mmmm")</f>
        <v>January</v>
      </c>
      <c r="N138" s="5">
        <f>YEAR(Store_Record[[#This Row],[Date]])</f>
        <v>2025</v>
      </c>
      <c r="O138"/>
    </row>
    <row r="139" spans="1:15" x14ac:dyDescent="0.35">
      <c r="A139" t="s">
        <v>287</v>
      </c>
      <c r="B139" s="2">
        <v>45667</v>
      </c>
      <c r="C139" t="s">
        <v>36</v>
      </c>
      <c r="D139" t="s">
        <v>29</v>
      </c>
      <c r="E139" t="s">
        <v>30</v>
      </c>
      <c r="F139" t="s">
        <v>31</v>
      </c>
      <c r="G139">
        <v>3</v>
      </c>
      <c r="H139">
        <v>2.8</v>
      </c>
      <c r="I139" t="s">
        <v>14</v>
      </c>
      <c r="J139" t="s">
        <v>48</v>
      </c>
      <c r="K139" s="12">
        <f>Store_Record[[#This Row],[Qty]]*Store_Record[[#This Row],[UnitPriceGBP]]</f>
        <v>8.3999999999999986</v>
      </c>
      <c r="L139" s="5" t="str">
        <f>TEXT(Store_Record[[#This Row],[Date]],"dddd")</f>
        <v>Friday</v>
      </c>
      <c r="M139" s="5" t="str">
        <f>TEXT(Store_Record[[#This Row],[Date]],"mmmm")</f>
        <v>January</v>
      </c>
      <c r="N139" s="5">
        <f>YEAR(Store_Record[[#This Row],[Date]])</f>
        <v>2025</v>
      </c>
      <c r="O139"/>
    </row>
    <row r="140" spans="1:15" x14ac:dyDescent="0.35">
      <c r="A140" t="s">
        <v>291</v>
      </c>
      <c r="B140" s="2">
        <v>45667</v>
      </c>
      <c r="C140" t="s">
        <v>20</v>
      </c>
      <c r="D140" t="s">
        <v>29</v>
      </c>
      <c r="E140" t="s">
        <v>30</v>
      </c>
      <c r="F140" t="s">
        <v>31</v>
      </c>
      <c r="G140">
        <v>3</v>
      </c>
      <c r="H140">
        <v>2.8</v>
      </c>
      <c r="I140" t="s">
        <v>39</v>
      </c>
      <c r="J140" t="s">
        <v>292</v>
      </c>
      <c r="K140" s="12">
        <f>Store_Record[[#This Row],[Qty]]*Store_Record[[#This Row],[UnitPriceGBP]]</f>
        <v>8.3999999999999986</v>
      </c>
      <c r="L140" s="5" t="str">
        <f>TEXT(Store_Record[[#This Row],[Date]],"dddd")</f>
        <v>Friday</v>
      </c>
      <c r="M140" s="5" t="str">
        <f>TEXT(Store_Record[[#This Row],[Date]],"mmmm")</f>
        <v>January</v>
      </c>
      <c r="N140" s="5">
        <f>YEAR(Store_Record[[#This Row],[Date]])</f>
        <v>2025</v>
      </c>
      <c r="O140"/>
    </row>
    <row r="141" spans="1:15" x14ac:dyDescent="0.35">
      <c r="A141" t="s">
        <v>309</v>
      </c>
      <c r="B141" s="2">
        <v>45667</v>
      </c>
      <c r="C141" t="s">
        <v>10</v>
      </c>
      <c r="D141" t="s">
        <v>25</v>
      </c>
      <c r="E141" t="s">
        <v>12</v>
      </c>
      <c r="F141" t="s">
        <v>13</v>
      </c>
      <c r="G141">
        <v>3</v>
      </c>
      <c r="H141">
        <v>2.5</v>
      </c>
      <c r="I141" t="s">
        <v>14</v>
      </c>
      <c r="J141" t="s">
        <v>310</v>
      </c>
      <c r="K141" s="12">
        <f>Store_Record[[#This Row],[Qty]]*Store_Record[[#This Row],[UnitPriceGBP]]</f>
        <v>7.5</v>
      </c>
      <c r="L141" s="5" t="str">
        <f>TEXT(Store_Record[[#This Row],[Date]],"dddd")</f>
        <v>Friday</v>
      </c>
      <c r="M141" s="5" t="str">
        <f>TEXT(Store_Record[[#This Row],[Date]],"mmmm")</f>
        <v>January</v>
      </c>
      <c r="N141" s="5">
        <f>YEAR(Store_Record[[#This Row],[Date]])</f>
        <v>2025</v>
      </c>
      <c r="O141"/>
    </row>
    <row r="142" spans="1:15" x14ac:dyDescent="0.35">
      <c r="A142" t="s">
        <v>316</v>
      </c>
      <c r="B142" s="2">
        <v>45667</v>
      </c>
      <c r="C142" t="s">
        <v>36</v>
      </c>
      <c r="D142" t="s">
        <v>25</v>
      </c>
      <c r="E142" t="s">
        <v>34</v>
      </c>
      <c r="F142" t="s">
        <v>31</v>
      </c>
      <c r="G142">
        <v>3</v>
      </c>
      <c r="H142">
        <v>2.2000000000000002</v>
      </c>
      <c r="I142" t="s">
        <v>39</v>
      </c>
      <c r="J142" t="s">
        <v>317</v>
      </c>
      <c r="K142" s="12">
        <f>Store_Record[[#This Row],[Qty]]*Store_Record[[#This Row],[UnitPriceGBP]]</f>
        <v>6.6000000000000005</v>
      </c>
      <c r="L142" s="5" t="str">
        <f>TEXT(Store_Record[[#This Row],[Date]],"dddd")</f>
        <v>Friday</v>
      </c>
      <c r="M142" s="5" t="str">
        <f>TEXT(Store_Record[[#This Row],[Date]],"mmmm")</f>
        <v>January</v>
      </c>
      <c r="N142" s="5">
        <f>YEAR(Store_Record[[#This Row],[Date]])</f>
        <v>2025</v>
      </c>
      <c r="O142"/>
    </row>
    <row r="143" spans="1:15" x14ac:dyDescent="0.35">
      <c r="A143" t="s">
        <v>293</v>
      </c>
      <c r="B143" s="2">
        <v>45667</v>
      </c>
      <c r="C143" t="s">
        <v>24</v>
      </c>
      <c r="D143" t="s">
        <v>11</v>
      </c>
      <c r="E143" t="s">
        <v>30</v>
      </c>
      <c r="F143" t="s">
        <v>31</v>
      </c>
      <c r="G143">
        <v>2</v>
      </c>
      <c r="H143">
        <v>2.8</v>
      </c>
      <c r="I143" t="s">
        <v>14</v>
      </c>
      <c r="J143" t="s">
        <v>294</v>
      </c>
      <c r="K143" s="12">
        <f>Store_Record[[#This Row],[Qty]]*Store_Record[[#This Row],[UnitPriceGBP]]</f>
        <v>5.6</v>
      </c>
      <c r="L143" s="5" t="str">
        <f>TEXT(Store_Record[[#This Row],[Date]],"dddd")</f>
        <v>Friday</v>
      </c>
      <c r="M143" s="5" t="str">
        <f>TEXT(Store_Record[[#This Row],[Date]],"mmmm")</f>
        <v>January</v>
      </c>
      <c r="N143" s="5">
        <f>YEAR(Store_Record[[#This Row],[Date]])</f>
        <v>2025</v>
      </c>
      <c r="O143"/>
    </row>
    <row r="144" spans="1:15" x14ac:dyDescent="0.35">
      <c r="A144" t="s">
        <v>303</v>
      </c>
      <c r="B144" s="2">
        <v>45667</v>
      </c>
      <c r="C144" t="s">
        <v>20</v>
      </c>
      <c r="D144" t="s">
        <v>47</v>
      </c>
      <c r="E144" t="s">
        <v>30</v>
      </c>
      <c r="F144" t="s">
        <v>31</v>
      </c>
      <c r="G144">
        <v>2</v>
      </c>
      <c r="H144">
        <v>2.8</v>
      </c>
      <c r="I144" t="s">
        <v>39</v>
      </c>
      <c r="J144" t="s">
        <v>304</v>
      </c>
      <c r="K144" s="12">
        <f>Store_Record[[#This Row],[Qty]]*Store_Record[[#This Row],[UnitPriceGBP]]</f>
        <v>5.6</v>
      </c>
      <c r="L144" s="5" t="str">
        <f>TEXT(Store_Record[[#This Row],[Date]],"dddd")</f>
        <v>Friday</v>
      </c>
      <c r="M144" s="5" t="str">
        <f>TEXT(Store_Record[[#This Row],[Date]],"mmmm")</f>
        <v>January</v>
      </c>
      <c r="N144" s="5">
        <f>YEAR(Store_Record[[#This Row],[Date]])</f>
        <v>2025</v>
      </c>
      <c r="O144"/>
    </row>
    <row r="145" spans="1:15" x14ac:dyDescent="0.35">
      <c r="A145" t="s">
        <v>313</v>
      </c>
      <c r="B145" s="2">
        <v>45667</v>
      </c>
      <c r="C145" t="s">
        <v>24</v>
      </c>
      <c r="D145" t="s">
        <v>47</v>
      </c>
      <c r="E145" t="s">
        <v>34</v>
      </c>
      <c r="F145" t="s">
        <v>31</v>
      </c>
      <c r="G145">
        <v>2</v>
      </c>
      <c r="H145">
        <v>2.2000000000000002</v>
      </c>
      <c r="I145" t="s">
        <v>21</v>
      </c>
      <c r="J145" t="s">
        <v>314</v>
      </c>
      <c r="K145" s="12">
        <f>Store_Record[[#This Row],[Qty]]*Store_Record[[#This Row],[UnitPriceGBP]]</f>
        <v>4.4000000000000004</v>
      </c>
      <c r="L145" s="5" t="str">
        <f>TEXT(Store_Record[[#This Row],[Date]],"dddd")</f>
        <v>Friday</v>
      </c>
      <c r="M145" s="5" t="str">
        <f>TEXT(Store_Record[[#This Row],[Date]],"mmmm")</f>
        <v>January</v>
      </c>
      <c r="N145" s="5">
        <f>YEAR(Store_Record[[#This Row],[Date]])</f>
        <v>2025</v>
      </c>
      <c r="O145"/>
    </row>
    <row r="146" spans="1:15" x14ac:dyDescent="0.35">
      <c r="A146" t="s">
        <v>297</v>
      </c>
      <c r="B146" s="2">
        <v>45667</v>
      </c>
      <c r="C146" t="s">
        <v>24</v>
      </c>
      <c r="D146" t="s">
        <v>11</v>
      </c>
      <c r="E146" t="s">
        <v>42</v>
      </c>
      <c r="F146" t="s">
        <v>13</v>
      </c>
      <c r="G146">
        <v>1</v>
      </c>
      <c r="H146">
        <v>3.8</v>
      </c>
      <c r="I146" t="s">
        <v>14</v>
      </c>
      <c r="J146" t="s">
        <v>298</v>
      </c>
      <c r="K146" s="12">
        <f>Store_Record[[#This Row],[Qty]]*Store_Record[[#This Row],[UnitPriceGBP]]</f>
        <v>3.8</v>
      </c>
      <c r="L146" s="5" t="str">
        <f>TEXT(Store_Record[[#This Row],[Date]],"dddd")</f>
        <v>Friday</v>
      </c>
      <c r="M146" s="5" t="str">
        <f>TEXT(Store_Record[[#This Row],[Date]],"mmmm")</f>
        <v>January</v>
      </c>
      <c r="N146" s="5">
        <f>YEAR(Store_Record[[#This Row],[Date]])</f>
        <v>2025</v>
      </c>
      <c r="O146"/>
    </row>
    <row r="147" spans="1:15" x14ac:dyDescent="0.35">
      <c r="A147" t="s">
        <v>285</v>
      </c>
      <c r="B147" s="2">
        <v>45667</v>
      </c>
      <c r="C147" t="s">
        <v>36</v>
      </c>
      <c r="D147" t="s">
        <v>47</v>
      </c>
      <c r="E147" t="s">
        <v>26</v>
      </c>
      <c r="F147" t="s">
        <v>13</v>
      </c>
      <c r="G147">
        <v>1</v>
      </c>
      <c r="H147">
        <v>3.5</v>
      </c>
      <c r="I147" t="s">
        <v>39</v>
      </c>
      <c r="J147" t="s">
        <v>286</v>
      </c>
      <c r="K147" s="12">
        <f>Store_Record[[#This Row],[Qty]]*Store_Record[[#This Row],[UnitPriceGBP]]</f>
        <v>3.5</v>
      </c>
      <c r="L147" s="5" t="str">
        <f>TEXT(Store_Record[[#This Row],[Date]],"dddd")</f>
        <v>Friday</v>
      </c>
      <c r="M147" s="5" t="str">
        <f>TEXT(Store_Record[[#This Row],[Date]],"mmmm")</f>
        <v>January</v>
      </c>
      <c r="N147" s="5">
        <f>YEAR(Store_Record[[#This Row],[Date]])</f>
        <v>2025</v>
      </c>
      <c r="O147"/>
    </row>
    <row r="148" spans="1:15" x14ac:dyDescent="0.35">
      <c r="A148" t="s">
        <v>301</v>
      </c>
      <c r="B148" s="2">
        <v>45667</v>
      </c>
      <c r="C148" t="s">
        <v>36</v>
      </c>
      <c r="D148" t="s">
        <v>25</v>
      </c>
      <c r="E148" t="s">
        <v>30</v>
      </c>
      <c r="F148" t="s">
        <v>31</v>
      </c>
      <c r="G148">
        <v>1</v>
      </c>
      <c r="H148">
        <v>2.8</v>
      </c>
      <c r="I148" t="s">
        <v>14</v>
      </c>
      <c r="J148" t="s">
        <v>302</v>
      </c>
      <c r="K148" s="12">
        <f>Store_Record[[#This Row],[Qty]]*Store_Record[[#This Row],[UnitPriceGBP]]</f>
        <v>2.8</v>
      </c>
      <c r="L148" s="5" t="str">
        <f>TEXT(Store_Record[[#This Row],[Date]],"dddd")</f>
        <v>Friday</v>
      </c>
      <c r="M148" s="5" t="str">
        <f>TEXT(Store_Record[[#This Row],[Date]],"mmmm")</f>
        <v>January</v>
      </c>
      <c r="N148" s="5">
        <f>YEAR(Store_Record[[#This Row],[Date]])</f>
        <v>2025</v>
      </c>
      <c r="O148"/>
    </row>
    <row r="149" spans="1:15" x14ac:dyDescent="0.35">
      <c r="A149" t="s">
        <v>299</v>
      </c>
      <c r="B149" s="2">
        <v>45667</v>
      </c>
      <c r="C149" t="s">
        <v>36</v>
      </c>
      <c r="D149" t="s">
        <v>11</v>
      </c>
      <c r="E149" t="s">
        <v>34</v>
      </c>
      <c r="F149" t="s">
        <v>31</v>
      </c>
      <c r="G149">
        <v>1</v>
      </c>
      <c r="H149">
        <v>2.2000000000000002</v>
      </c>
      <c r="I149" t="s">
        <v>39</v>
      </c>
      <c r="J149" t="s">
        <v>300</v>
      </c>
      <c r="K149" s="12">
        <f>Store_Record[[#This Row],[Qty]]*Store_Record[[#This Row],[UnitPriceGBP]]</f>
        <v>2.2000000000000002</v>
      </c>
      <c r="L149" s="5" t="str">
        <f>TEXT(Store_Record[[#This Row],[Date]],"dddd")</f>
        <v>Friday</v>
      </c>
      <c r="M149" s="5" t="str">
        <f>TEXT(Store_Record[[#This Row],[Date]],"mmmm")</f>
        <v>January</v>
      </c>
      <c r="N149" s="5">
        <f>YEAR(Store_Record[[#This Row],[Date]])</f>
        <v>2025</v>
      </c>
      <c r="O149"/>
    </row>
    <row r="150" spans="1:15" x14ac:dyDescent="0.35">
      <c r="A150" t="s">
        <v>311</v>
      </c>
      <c r="B150" s="2">
        <v>45667</v>
      </c>
      <c r="C150" t="s">
        <v>10</v>
      </c>
      <c r="D150" t="s">
        <v>47</v>
      </c>
      <c r="E150" t="s">
        <v>34</v>
      </c>
      <c r="F150" t="s">
        <v>31</v>
      </c>
      <c r="G150">
        <v>1</v>
      </c>
      <c r="H150">
        <v>2.2000000000000002</v>
      </c>
      <c r="I150" t="s">
        <v>14</v>
      </c>
      <c r="J150" t="s">
        <v>312</v>
      </c>
      <c r="K150" s="12">
        <f>Store_Record[[#This Row],[Qty]]*Store_Record[[#This Row],[UnitPriceGBP]]</f>
        <v>2.2000000000000002</v>
      </c>
      <c r="L150" s="5" t="str">
        <f>TEXT(Store_Record[[#This Row],[Date]],"dddd")</f>
        <v>Friday</v>
      </c>
      <c r="M150" s="5" t="str">
        <f>TEXT(Store_Record[[#This Row],[Date]],"mmmm")</f>
        <v>January</v>
      </c>
      <c r="N150" s="5">
        <f>YEAR(Store_Record[[#This Row],[Date]])</f>
        <v>2025</v>
      </c>
      <c r="O150"/>
    </row>
    <row r="151" spans="1:15" x14ac:dyDescent="0.35">
      <c r="A151" t="s">
        <v>329</v>
      </c>
      <c r="B151" s="2">
        <v>45668</v>
      </c>
      <c r="C151" t="s">
        <v>24</v>
      </c>
      <c r="D151" t="s">
        <v>38</v>
      </c>
      <c r="E151" t="s">
        <v>42</v>
      </c>
      <c r="F151" t="s">
        <v>13</v>
      </c>
      <c r="G151">
        <v>5</v>
      </c>
      <c r="H151">
        <v>3.8</v>
      </c>
      <c r="I151" t="s">
        <v>14</v>
      </c>
      <c r="J151" t="s">
        <v>185</v>
      </c>
      <c r="K151" s="12">
        <f>Store_Record[[#This Row],[Qty]]*Store_Record[[#This Row],[UnitPriceGBP]]</f>
        <v>19</v>
      </c>
      <c r="L151" s="5" t="str">
        <f>TEXT(Store_Record[[#This Row],[Date]],"dddd")</f>
        <v>Saturday</v>
      </c>
      <c r="M151" s="5" t="str">
        <f>TEXT(Store_Record[[#This Row],[Date]],"mmmm")</f>
        <v>January</v>
      </c>
      <c r="N151" s="5">
        <f>YEAR(Store_Record[[#This Row],[Date]])</f>
        <v>2025</v>
      </c>
      <c r="O151"/>
    </row>
    <row r="152" spans="1:15" x14ac:dyDescent="0.35">
      <c r="A152" t="s">
        <v>332</v>
      </c>
      <c r="B152" s="2">
        <v>45668</v>
      </c>
      <c r="C152" t="s">
        <v>10</v>
      </c>
      <c r="D152" t="s">
        <v>29</v>
      </c>
      <c r="E152" t="s">
        <v>42</v>
      </c>
      <c r="F152" t="s">
        <v>13</v>
      </c>
      <c r="G152">
        <v>5</v>
      </c>
      <c r="H152">
        <v>3.8</v>
      </c>
      <c r="I152" t="s">
        <v>21</v>
      </c>
      <c r="J152" t="s">
        <v>333</v>
      </c>
      <c r="K152" s="12">
        <f>Store_Record[[#This Row],[Qty]]*Store_Record[[#This Row],[UnitPriceGBP]]</f>
        <v>19</v>
      </c>
      <c r="L152" s="5" t="str">
        <f>TEXT(Store_Record[[#This Row],[Date]],"dddd")</f>
        <v>Saturday</v>
      </c>
      <c r="M152" s="5" t="str">
        <f>TEXT(Store_Record[[#This Row],[Date]],"mmmm")</f>
        <v>January</v>
      </c>
      <c r="N152" s="5">
        <f>YEAR(Store_Record[[#This Row],[Date]])</f>
        <v>2025</v>
      </c>
      <c r="O152"/>
    </row>
    <row r="153" spans="1:15" x14ac:dyDescent="0.35">
      <c r="A153" t="s">
        <v>327</v>
      </c>
      <c r="B153" s="2">
        <v>45668</v>
      </c>
      <c r="C153" t="s">
        <v>36</v>
      </c>
      <c r="D153" t="s">
        <v>11</v>
      </c>
      <c r="E153" t="s">
        <v>12</v>
      </c>
      <c r="F153" t="s">
        <v>13</v>
      </c>
      <c r="G153">
        <v>4</v>
      </c>
      <c r="H153">
        <v>2.5</v>
      </c>
      <c r="I153" t="s">
        <v>14</v>
      </c>
      <c r="J153" t="s">
        <v>328</v>
      </c>
      <c r="K153" s="12">
        <f>Store_Record[[#This Row],[Qty]]*Store_Record[[#This Row],[UnitPriceGBP]]</f>
        <v>10</v>
      </c>
      <c r="L153" s="5" t="str">
        <f>TEXT(Store_Record[[#This Row],[Date]],"dddd")</f>
        <v>Saturday</v>
      </c>
      <c r="M153" s="5" t="str">
        <f>TEXT(Store_Record[[#This Row],[Date]],"mmmm")</f>
        <v>January</v>
      </c>
      <c r="N153" s="5">
        <f>YEAR(Store_Record[[#This Row],[Date]])</f>
        <v>2025</v>
      </c>
      <c r="O153"/>
    </row>
    <row r="154" spans="1:15" x14ac:dyDescent="0.35">
      <c r="A154" t="s">
        <v>320</v>
      </c>
      <c r="B154" s="2">
        <v>45668</v>
      </c>
      <c r="C154" t="s">
        <v>24</v>
      </c>
      <c r="D154" t="s">
        <v>29</v>
      </c>
      <c r="E154" t="s">
        <v>26</v>
      </c>
      <c r="F154" t="s">
        <v>13</v>
      </c>
      <c r="G154">
        <v>2</v>
      </c>
      <c r="H154">
        <v>3.5</v>
      </c>
      <c r="I154" t="s">
        <v>39</v>
      </c>
      <c r="J154" t="s">
        <v>321</v>
      </c>
      <c r="K154" s="12">
        <f>Store_Record[[#This Row],[Qty]]*Store_Record[[#This Row],[UnitPriceGBP]]</f>
        <v>7</v>
      </c>
      <c r="L154" s="5" t="str">
        <f>TEXT(Store_Record[[#This Row],[Date]],"dddd")</f>
        <v>Saturday</v>
      </c>
      <c r="M154" s="5" t="str">
        <f>TEXT(Store_Record[[#This Row],[Date]],"mmmm")</f>
        <v>January</v>
      </c>
      <c r="N154" s="5">
        <f>YEAR(Store_Record[[#This Row],[Date]])</f>
        <v>2025</v>
      </c>
      <c r="O154"/>
    </row>
    <row r="155" spans="1:15" x14ac:dyDescent="0.35">
      <c r="A155" t="s">
        <v>330</v>
      </c>
      <c r="B155" s="2">
        <v>45668</v>
      </c>
      <c r="C155" t="s">
        <v>20</v>
      </c>
      <c r="D155" t="s">
        <v>47</v>
      </c>
      <c r="E155" t="s">
        <v>34</v>
      </c>
      <c r="F155" t="s">
        <v>31</v>
      </c>
      <c r="G155">
        <v>3</v>
      </c>
      <c r="H155">
        <v>2.2000000000000002</v>
      </c>
      <c r="I155" t="s">
        <v>14</v>
      </c>
      <c r="J155" t="s">
        <v>331</v>
      </c>
      <c r="K155" s="12">
        <f>Store_Record[[#This Row],[Qty]]*Store_Record[[#This Row],[UnitPriceGBP]]</f>
        <v>6.6000000000000005</v>
      </c>
      <c r="L155" s="5" t="str">
        <f>TEXT(Store_Record[[#This Row],[Date]],"dddd")</f>
        <v>Saturday</v>
      </c>
      <c r="M155" s="5" t="str">
        <f>TEXT(Store_Record[[#This Row],[Date]],"mmmm")</f>
        <v>January</v>
      </c>
      <c r="N155" s="5">
        <f>YEAR(Store_Record[[#This Row],[Date]])</f>
        <v>2025</v>
      </c>
      <c r="O155"/>
    </row>
    <row r="156" spans="1:15" x14ac:dyDescent="0.35">
      <c r="A156" t="s">
        <v>325</v>
      </c>
      <c r="B156" s="2">
        <v>45668</v>
      </c>
      <c r="C156" t="s">
        <v>10</v>
      </c>
      <c r="D156" t="s">
        <v>29</v>
      </c>
      <c r="E156" t="s">
        <v>34</v>
      </c>
      <c r="F156" t="s">
        <v>31</v>
      </c>
      <c r="G156">
        <v>2</v>
      </c>
      <c r="H156">
        <v>2.2000000000000002</v>
      </c>
      <c r="I156" t="s">
        <v>14</v>
      </c>
      <c r="J156" t="s">
        <v>326</v>
      </c>
      <c r="K156" s="12">
        <f>Store_Record[[#This Row],[Qty]]*Store_Record[[#This Row],[UnitPriceGBP]]</f>
        <v>4.4000000000000004</v>
      </c>
      <c r="L156" s="5" t="str">
        <f>TEXT(Store_Record[[#This Row],[Date]],"dddd")</f>
        <v>Saturday</v>
      </c>
      <c r="M156" s="5" t="str">
        <f>TEXT(Store_Record[[#This Row],[Date]],"mmmm")</f>
        <v>January</v>
      </c>
      <c r="N156" s="5">
        <f>YEAR(Store_Record[[#This Row],[Date]])</f>
        <v>2025</v>
      </c>
      <c r="O156"/>
    </row>
    <row r="157" spans="1:15" x14ac:dyDescent="0.35">
      <c r="A157" t="s">
        <v>318</v>
      </c>
      <c r="B157" s="2">
        <v>45668</v>
      </c>
      <c r="C157" t="s">
        <v>24</v>
      </c>
      <c r="D157" t="s">
        <v>47</v>
      </c>
      <c r="E157" t="s">
        <v>42</v>
      </c>
      <c r="F157" t="s">
        <v>13</v>
      </c>
      <c r="G157">
        <v>1</v>
      </c>
      <c r="H157">
        <v>3.8</v>
      </c>
      <c r="I157" t="s">
        <v>14</v>
      </c>
      <c r="J157" t="s">
        <v>319</v>
      </c>
      <c r="K157" s="12">
        <f>Store_Record[[#This Row],[Qty]]*Store_Record[[#This Row],[UnitPriceGBP]]</f>
        <v>3.8</v>
      </c>
      <c r="L157" s="5" t="str">
        <f>TEXT(Store_Record[[#This Row],[Date]],"dddd")</f>
        <v>Saturday</v>
      </c>
      <c r="M157" s="5" t="str">
        <f>TEXT(Store_Record[[#This Row],[Date]],"mmmm")</f>
        <v>January</v>
      </c>
      <c r="N157" s="5">
        <f>YEAR(Store_Record[[#This Row],[Date]])</f>
        <v>2025</v>
      </c>
      <c r="O157"/>
    </row>
    <row r="158" spans="1:15" x14ac:dyDescent="0.35">
      <c r="A158" t="s">
        <v>322</v>
      </c>
      <c r="B158" s="2">
        <v>45668</v>
      </c>
      <c r="C158" t="s">
        <v>24</v>
      </c>
      <c r="D158" t="s">
        <v>38</v>
      </c>
      <c r="E158" t="s">
        <v>26</v>
      </c>
      <c r="F158" t="s">
        <v>13</v>
      </c>
      <c r="G158">
        <v>1</v>
      </c>
      <c r="H158">
        <v>3.5</v>
      </c>
      <c r="I158" t="s">
        <v>21</v>
      </c>
      <c r="J158" t="s">
        <v>323</v>
      </c>
      <c r="K158" s="12">
        <f>Store_Record[[#This Row],[Qty]]*Store_Record[[#This Row],[UnitPriceGBP]]</f>
        <v>3.5</v>
      </c>
      <c r="L158" s="5" t="str">
        <f>TEXT(Store_Record[[#This Row],[Date]],"dddd")</f>
        <v>Saturday</v>
      </c>
      <c r="M158" s="5" t="str">
        <f>TEXT(Store_Record[[#This Row],[Date]],"mmmm")</f>
        <v>January</v>
      </c>
      <c r="N158" s="5">
        <f>YEAR(Store_Record[[#This Row],[Date]])</f>
        <v>2025</v>
      </c>
      <c r="O158"/>
    </row>
    <row r="159" spans="1:15" x14ac:dyDescent="0.35">
      <c r="A159" t="s">
        <v>334</v>
      </c>
      <c r="B159" s="2">
        <v>45668</v>
      </c>
      <c r="C159" t="s">
        <v>20</v>
      </c>
      <c r="D159" t="s">
        <v>25</v>
      </c>
      <c r="E159" t="s">
        <v>26</v>
      </c>
      <c r="F159" t="s">
        <v>13</v>
      </c>
      <c r="G159">
        <v>1</v>
      </c>
      <c r="H159">
        <v>3.5</v>
      </c>
      <c r="I159" t="s">
        <v>21</v>
      </c>
      <c r="J159" t="s">
        <v>146</v>
      </c>
      <c r="K159" s="12">
        <f>Store_Record[[#This Row],[Qty]]*Store_Record[[#This Row],[UnitPriceGBP]]</f>
        <v>3.5</v>
      </c>
      <c r="L159" s="5" t="str">
        <f>TEXT(Store_Record[[#This Row],[Date]],"dddd")</f>
        <v>Saturday</v>
      </c>
      <c r="M159" s="5" t="str">
        <f>TEXT(Store_Record[[#This Row],[Date]],"mmmm")</f>
        <v>January</v>
      </c>
      <c r="N159" s="5">
        <f>YEAR(Store_Record[[#This Row],[Date]])</f>
        <v>2025</v>
      </c>
      <c r="O159"/>
    </row>
    <row r="160" spans="1:15" x14ac:dyDescent="0.35">
      <c r="A160" t="s">
        <v>324</v>
      </c>
      <c r="B160" s="2">
        <v>45668</v>
      </c>
      <c r="C160" t="s">
        <v>10</v>
      </c>
      <c r="D160" t="s">
        <v>29</v>
      </c>
      <c r="E160" t="s">
        <v>12</v>
      </c>
      <c r="F160" t="s">
        <v>13</v>
      </c>
      <c r="G160">
        <v>1</v>
      </c>
      <c r="H160">
        <v>2.5</v>
      </c>
      <c r="I160" t="s">
        <v>39</v>
      </c>
      <c r="J160" t="s">
        <v>306</v>
      </c>
      <c r="K160" s="12">
        <f>Store_Record[[#This Row],[Qty]]*Store_Record[[#This Row],[UnitPriceGBP]]</f>
        <v>2.5</v>
      </c>
      <c r="L160" s="5" t="str">
        <f>TEXT(Store_Record[[#This Row],[Date]],"dddd")</f>
        <v>Saturday</v>
      </c>
      <c r="M160" s="5" t="str">
        <f>TEXT(Store_Record[[#This Row],[Date]],"mmmm")</f>
        <v>January</v>
      </c>
      <c r="N160" s="5">
        <f>YEAR(Store_Record[[#This Row],[Date]])</f>
        <v>2025</v>
      </c>
      <c r="O160"/>
    </row>
    <row r="161" spans="1:15" x14ac:dyDescent="0.35">
      <c r="A161" t="s">
        <v>352</v>
      </c>
      <c r="B161" s="2">
        <v>45669</v>
      </c>
      <c r="C161" t="s">
        <v>36</v>
      </c>
      <c r="D161" t="s">
        <v>29</v>
      </c>
      <c r="E161" t="s">
        <v>26</v>
      </c>
      <c r="F161" t="s">
        <v>13</v>
      </c>
      <c r="G161">
        <v>5</v>
      </c>
      <c r="H161">
        <v>3.5</v>
      </c>
      <c r="I161" t="s">
        <v>14</v>
      </c>
      <c r="J161" t="s">
        <v>93</v>
      </c>
      <c r="K161" s="12">
        <f>Store_Record[[#This Row],[Qty]]*Store_Record[[#This Row],[UnitPriceGBP]]</f>
        <v>17.5</v>
      </c>
      <c r="L161" s="5" t="str">
        <f>TEXT(Store_Record[[#This Row],[Date]],"dddd")</f>
        <v>Sunday</v>
      </c>
      <c r="M161" s="5" t="str">
        <f>TEXT(Store_Record[[#This Row],[Date]],"mmmm")</f>
        <v>January</v>
      </c>
      <c r="N161" s="5">
        <f>YEAR(Store_Record[[#This Row],[Date]])</f>
        <v>2025</v>
      </c>
      <c r="O161"/>
    </row>
    <row r="162" spans="1:15" x14ac:dyDescent="0.35">
      <c r="A162" t="s">
        <v>355</v>
      </c>
      <c r="B162" s="2">
        <v>45669</v>
      </c>
      <c r="C162" t="s">
        <v>20</v>
      </c>
      <c r="D162" t="s">
        <v>29</v>
      </c>
      <c r="E162" t="s">
        <v>26</v>
      </c>
      <c r="F162" t="s">
        <v>13</v>
      </c>
      <c r="G162">
        <v>4</v>
      </c>
      <c r="H162">
        <v>3.5</v>
      </c>
      <c r="I162" t="s">
        <v>21</v>
      </c>
      <c r="J162" t="s">
        <v>356</v>
      </c>
      <c r="K162" s="12">
        <f>Store_Record[[#This Row],[Qty]]*Store_Record[[#This Row],[UnitPriceGBP]]</f>
        <v>14</v>
      </c>
      <c r="L162" s="5" t="str">
        <f>TEXT(Store_Record[[#This Row],[Date]],"dddd")</f>
        <v>Sunday</v>
      </c>
      <c r="M162" s="5" t="str">
        <f>TEXT(Store_Record[[#This Row],[Date]],"mmmm")</f>
        <v>January</v>
      </c>
      <c r="N162" s="5">
        <f>YEAR(Store_Record[[#This Row],[Date]])</f>
        <v>2025</v>
      </c>
      <c r="O162"/>
    </row>
    <row r="163" spans="1:15" x14ac:dyDescent="0.35">
      <c r="A163" t="s">
        <v>357</v>
      </c>
      <c r="B163" s="2">
        <v>45669</v>
      </c>
      <c r="C163" t="s">
        <v>24</v>
      </c>
      <c r="D163" t="s">
        <v>47</v>
      </c>
      <c r="E163" t="s">
        <v>42</v>
      </c>
      <c r="F163" t="s">
        <v>13</v>
      </c>
      <c r="G163">
        <v>3</v>
      </c>
      <c r="H163">
        <v>3.8</v>
      </c>
      <c r="I163" t="s">
        <v>14</v>
      </c>
      <c r="J163" t="s">
        <v>358</v>
      </c>
      <c r="K163" s="12">
        <f>Store_Record[[#This Row],[Qty]]*Store_Record[[#This Row],[UnitPriceGBP]]</f>
        <v>11.399999999999999</v>
      </c>
      <c r="L163" s="5" t="str">
        <f>TEXT(Store_Record[[#This Row],[Date]],"dddd")</f>
        <v>Sunday</v>
      </c>
      <c r="M163" s="5" t="str">
        <f>TEXT(Store_Record[[#This Row],[Date]],"mmmm")</f>
        <v>January</v>
      </c>
      <c r="N163" s="5">
        <f>YEAR(Store_Record[[#This Row],[Date]])</f>
        <v>2025</v>
      </c>
      <c r="O163"/>
    </row>
    <row r="164" spans="1:15" x14ac:dyDescent="0.35">
      <c r="A164" t="s">
        <v>338</v>
      </c>
      <c r="B164" s="2">
        <v>45669</v>
      </c>
      <c r="C164" t="s">
        <v>36</v>
      </c>
      <c r="D164" t="s">
        <v>29</v>
      </c>
      <c r="E164" t="s">
        <v>30</v>
      </c>
      <c r="F164" t="s">
        <v>31</v>
      </c>
      <c r="G164">
        <v>4</v>
      </c>
      <c r="H164">
        <v>2.8</v>
      </c>
      <c r="I164" t="s">
        <v>39</v>
      </c>
      <c r="J164" t="s">
        <v>339</v>
      </c>
      <c r="K164" s="12">
        <f>Store_Record[[#This Row],[Qty]]*Store_Record[[#This Row],[UnitPriceGBP]]</f>
        <v>11.2</v>
      </c>
      <c r="L164" s="5" t="str">
        <f>TEXT(Store_Record[[#This Row],[Date]],"dddd")</f>
        <v>Sunday</v>
      </c>
      <c r="M164" s="5" t="str">
        <f>TEXT(Store_Record[[#This Row],[Date]],"mmmm")</f>
        <v>January</v>
      </c>
      <c r="N164" s="5">
        <f>YEAR(Store_Record[[#This Row],[Date]])</f>
        <v>2025</v>
      </c>
      <c r="O164"/>
    </row>
    <row r="165" spans="1:15" x14ac:dyDescent="0.35">
      <c r="A165" t="s">
        <v>340</v>
      </c>
      <c r="B165" s="2">
        <v>45669</v>
      </c>
      <c r="C165" t="s">
        <v>24</v>
      </c>
      <c r="D165" t="s">
        <v>25</v>
      </c>
      <c r="E165" t="s">
        <v>30</v>
      </c>
      <c r="F165" t="s">
        <v>31</v>
      </c>
      <c r="G165">
        <v>4</v>
      </c>
      <c r="H165">
        <v>2.8</v>
      </c>
      <c r="I165" t="s">
        <v>14</v>
      </c>
      <c r="J165" t="s">
        <v>341</v>
      </c>
      <c r="K165" s="12">
        <f>Store_Record[[#This Row],[Qty]]*Store_Record[[#This Row],[UnitPriceGBP]]</f>
        <v>11.2</v>
      </c>
      <c r="L165" s="5" t="str">
        <f>TEXT(Store_Record[[#This Row],[Date]],"dddd")</f>
        <v>Sunday</v>
      </c>
      <c r="M165" s="5" t="str">
        <f>TEXT(Store_Record[[#This Row],[Date]],"mmmm")</f>
        <v>January</v>
      </c>
      <c r="N165" s="5">
        <f>YEAR(Store_Record[[#This Row],[Date]])</f>
        <v>2025</v>
      </c>
      <c r="O165"/>
    </row>
    <row r="166" spans="1:15" x14ac:dyDescent="0.35">
      <c r="A166" t="s">
        <v>342</v>
      </c>
      <c r="B166" s="2">
        <v>45669</v>
      </c>
      <c r="C166" t="s">
        <v>36</v>
      </c>
      <c r="D166" t="s">
        <v>38</v>
      </c>
      <c r="E166" t="s">
        <v>30</v>
      </c>
      <c r="F166" t="s">
        <v>31</v>
      </c>
      <c r="G166">
        <v>4</v>
      </c>
      <c r="H166">
        <v>2.8</v>
      </c>
      <c r="I166" t="s">
        <v>14</v>
      </c>
      <c r="J166" t="s">
        <v>343</v>
      </c>
      <c r="K166" s="12">
        <f>Store_Record[[#This Row],[Qty]]*Store_Record[[#This Row],[UnitPriceGBP]]</f>
        <v>11.2</v>
      </c>
      <c r="L166" s="5" t="str">
        <f>TEXT(Store_Record[[#This Row],[Date]],"dddd")</f>
        <v>Sunday</v>
      </c>
      <c r="M166" s="5" t="str">
        <f>TEXT(Store_Record[[#This Row],[Date]],"mmmm")</f>
        <v>January</v>
      </c>
      <c r="N166" s="5">
        <f>YEAR(Store_Record[[#This Row],[Date]])</f>
        <v>2025</v>
      </c>
      <c r="O166"/>
    </row>
    <row r="167" spans="1:15" x14ac:dyDescent="0.35">
      <c r="A167" t="s">
        <v>348</v>
      </c>
      <c r="B167" s="2">
        <v>45669</v>
      </c>
      <c r="C167" t="s">
        <v>36</v>
      </c>
      <c r="D167" t="s">
        <v>11</v>
      </c>
      <c r="E167" t="s">
        <v>30</v>
      </c>
      <c r="F167" t="s">
        <v>31</v>
      </c>
      <c r="G167">
        <v>4</v>
      </c>
      <c r="H167">
        <v>2.8</v>
      </c>
      <c r="I167" t="s">
        <v>14</v>
      </c>
      <c r="J167" t="s">
        <v>349</v>
      </c>
      <c r="K167" s="12">
        <f>Store_Record[[#This Row],[Qty]]*Store_Record[[#This Row],[UnitPriceGBP]]</f>
        <v>11.2</v>
      </c>
      <c r="L167" s="5" t="str">
        <f>TEXT(Store_Record[[#This Row],[Date]],"dddd")</f>
        <v>Sunday</v>
      </c>
      <c r="M167" s="5" t="str">
        <f>TEXT(Store_Record[[#This Row],[Date]],"mmmm")</f>
        <v>January</v>
      </c>
      <c r="N167" s="5">
        <f>YEAR(Store_Record[[#This Row],[Date]])</f>
        <v>2025</v>
      </c>
      <c r="O167"/>
    </row>
    <row r="168" spans="1:15" x14ac:dyDescent="0.35">
      <c r="A168" t="s">
        <v>344</v>
      </c>
      <c r="B168" s="2">
        <v>45669</v>
      </c>
      <c r="C168" t="s">
        <v>24</v>
      </c>
      <c r="D168" t="s">
        <v>38</v>
      </c>
      <c r="E168" t="s">
        <v>34</v>
      </c>
      <c r="F168" t="s">
        <v>31</v>
      </c>
      <c r="G168">
        <v>5</v>
      </c>
      <c r="H168">
        <v>2.2000000000000002</v>
      </c>
      <c r="I168" t="s">
        <v>14</v>
      </c>
      <c r="J168" t="s">
        <v>345</v>
      </c>
      <c r="K168" s="12">
        <f>Store_Record[[#This Row],[Qty]]*Store_Record[[#This Row],[UnitPriceGBP]]</f>
        <v>11</v>
      </c>
      <c r="L168" s="5" t="str">
        <f>TEXT(Store_Record[[#This Row],[Date]],"dddd")</f>
        <v>Sunday</v>
      </c>
      <c r="M168" s="5" t="str">
        <f>TEXT(Store_Record[[#This Row],[Date]],"mmmm")</f>
        <v>January</v>
      </c>
      <c r="N168" s="5">
        <f>YEAR(Store_Record[[#This Row],[Date]])</f>
        <v>2025</v>
      </c>
      <c r="O168"/>
    </row>
    <row r="169" spans="1:15" x14ac:dyDescent="0.35">
      <c r="A169" t="s">
        <v>346</v>
      </c>
      <c r="B169" s="2">
        <v>45669</v>
      </c>
      <c r="C169" t="s">
        <v>36</v>
      </c>
      <c r="D169" t="s">
        <v>38</v>
      </c>
      <c r="E169" t="s">
        <v>26</v>
      </c>
      <c r="F169" t="s">
        <v>13</v>
      </c>
      <c r="G169">
        <v>3</v>
      </c>
      <c r="H169">
        <v>3.5</v>
      </c>
      <c r="I169" t="s">
        <v>39</v>
      </c>
      <c r="J169" t="s">
        <v>347</v>
      </c>
      <c r="K169" s="12">
        <f>Store_Record[[#This Row],[Qty]]*Store_Record[[#This Row],[UnitPriceGBP]]</f>
        <v>10.5</v>
      </c>
      <c r="L169" s="5" t="str">
        <f>TEXT(Store_Record[[#This Row],[Date]],"dddd")</f>
        <v>Sunday</v>
      </c>
      <c r="M169" s="5" t="str">
        <f>TEXT(Store_Record[[#This Row],[Date]],"mmmm")</f>
        <v>January</v>
      </c>
      <c r="N169" s="5">
        <f>YEAR(Store_Record[[#This Row],[Date]])</f>
        <v>2025</v>
      </c>
      <c r="O169"/>
    </row>
    <row r="170" spans="1:15" x14ac:dyDescent="0.35">
      <c r="A170" t="s">
        <v>335</v>
      </c>
      <c r="B170" s="2">
        <v>45669</v>
      </c>
      <c r="C170" t="s">
        <v>24</v>
      </c>
      <c r="D170" t="s">
        <v>47</v>
      </c>
      <c r="E170" t="s">
        <v>34</v>
      </c>
      <c r="F170" t="s">
        <v>31</v>
      </c>
      <c r="G170">
        <v>3</v>
      </c>
      <c r="H170">
        <v>2.2000000000000002</v>
      </c>
      <c r="I170" t="s">
        <v>14</v>
      </c>
      <c r="J170" t="s">
        <v>336</v>
      </c>
      <c r="K170" s="12">
        <f>Store_Record[[#This Row],[Qty]]*Store_Record[[#This Row],[UnitPriceGBP]]</f>
        <v>6.6000000000000005</v>
      </c>
      <c r="L170" s="5" t="str">
        <f>TEXT(Store_Record[[#This Row],[Date]],"dddd")</f>
        <v>Sunday</v>
      </c>
      <c r="M170" s="5" t="str">
        <f>TEXT(Store_Record[[#This Row],[Date]],"mmmm")</f>
        <v>January</v>
      </c>
      <c r="N170" s="5">
        <f>YEAR(Store_Record[[#This Row],[Date]])</f>
        <v>2025</v>
      </c>
      <c r="O170"/>
    </row>
    <row r="171" spans="1:15" x14ac:dyDescent="0.35">
      <c r="A171" t="s">
        <v>350</v>
      </c>
      <c r="B171" s="2">
        <v>45669</v>
      </c>
      <c r="C171" t="s">
        <v>10</v>
      </c>
      <c r="D171" t="s">
        <v>29</v>
      </c>
      <c r="E171" t="s">
        <v>34</v>
      </c>
      <c r="F171" t="s">
        <v>31</v>
      </c>
      <c r="G171">
        <v>2</v>
      </c>
      <c r="H171">
        <v>2.2000000000000002</v>
      </c>
      <c r="I171" t="s">
        <v>14</v>
      </c>
      <c r="J171" t="s">
        <v>351</v>
      </c>
      <c r="K171" s="12">
        <f>Store_Record[[#This Row],[Qty]]*Store_Record[[#This Row],[UnitPriceGBP]]</f>
        <v>4.4000000000000004</v>
      </c>
      <c r="L171" s="5" t="str">
        <f>TEXT(Store_Record[[#This Row],[Date]],"dddd")</f>
        <v>Sunday</v>
      </c>
      <c r="M171" s="5" t="str">
        <f>TEXT(Store_Record[[#This Row],[Date]],"mmmm")</f>
        <v>January</v>
      </c>
      <c r="N171" s="5">
        <f>YEAR(Store_Record[[#This Row],[Date]])</f>
        <v>2025</v>
      </c>
      <c r="O171"/>
    </row>
    <row r="172" spans="1:15" x14ac:dyDescent="0.35">
      <c r="A172" t="s">
        <v>337</v>
      </c>
      <c r="B172" s="2">
        <v>45669</v>
      </c>
      <c r="C172" t="s">
        <v>10</v>
      </c>
      <c r="D172" t="s">
        <v>47</v>
      </c>
      <c r="E172" t="s">
        <v>26</v>
      </c>
      <c r="F172" t="s">
        <v>13</v>
      </c>
      <c r="G172">
        <v>1</v>
      </c>
      <c r="H172">
        <v>3.5</v>
      </c>
      <c r="I172" t="s">
        <v>39</v>
      </c>
      <c r="J172" t="s">
        <v>245</v>
      </c>
      <c r="K172" s="12">
        <f>Store_Record[[#This Row],[Qty]]*Store_Record[[#This Row],[UnitPriceGBP]]</f>
        <v>3.5</v>
      </c>
      <c r="L172" s="5" t="str">
        <f>TEXT(Store_Record[[#This Row],[Date]],"dddd")</f>
        <v>Sunday</v>
      </c>
      <c r="M172" s="5" t="str">
        <f>TEXT(Store_Record[[#This Row],[Date]],"mmmm")</f>
        <v>January</v>
      </c>
      <c r="N172" s="5">
        <f>YEAR(Store_Record[[#This Row],[Date]])</f>
        <v>2025</v>
      </c>
      <c r="O172"/>
    </row>
    <row r="173" spans="1:15" x14ac:dyDescent="0.35">
      <c r="A173" t="s">
        <v>353</v>
      </c>
      <c r="B173" s="2">
        <v>45669</v>
      </c>
      <c r="C173" t="s">
        <v>10</v>
      </c>
      <c r="D173" t="s">
        <v>38</v>
      </c>
      <c r="E173" t="s">
        <v>34</v>
      </c>
      <c r="F173" t="s">
        <v>31</v>
      </c>
      <c r="G173">
        <v>1</v>
      </c>
      <c r="H173">
        <v>2.2000000000000002</v>
      </c>
      <c r="I173" t="s">
        <v>14</v>
      </c>
      <c r="J173" t="s">
        <v>354</v>
      </c>
      <c r="K173" s="12">
        <f>Store_Record[[#This Row],[Qty]]*Store_Record[[#This Row],[UnitPriceGBP]]</f>
        <v>2.2000000000000002</v>
      </c>
      <c r="L173" s="5" t="str">
        <f>TEXT(Store_Record[[#This Row],[Date]],"dddd")</f>
        <v>Sunday</v>
      </c>
      <c r="M173" s="5" t="str">
        <f>TEXT(Store_Record[[#This Row],[Date]],"mmmm")</f>
        <v>January</v>
      </c>
      <c r="N173" s="5">
        <f>YEAR(Store_Record[[#This Row],[Date]])</f>
        <v>2025</v>
      </c>
      <c r="O173"/>
    </row>
    <row r="174" spans="1:15" x14ac:dyDescent="0.35">
      <c r="A174" t="s">
        <v>360</v>
      </c>
      <c r="B174" s="2">
        <v>45670</v>
      </c>
      <c r="C174" t="s">
        <v>20</v>
      </c>
      <c r="D174" t="s">
        <v>11</v>
      </c>
      <c r="E174" t="s">
        <v>26</v>
      </c>
      <c r="F174" t="s">
        <v>13</v>
      </c>
      <c r="G174">
        <v>5</v>
      </c>
      <c r="H174">
        <v>3.5</v>
      </c>
      <c r="I174" t="s">
        <v>39</v>
      </c>
      <c r="J174" t="s">
        <v>227</v>
      </c>
      <c r="K174" s="12">
        <f>Store_Record[[#This Row],[Qty]]*Store_Record[[#This Row],[UnitPriceGBP]]</f>
        <v>17.5</v>
      </c>
      <c r="L174" s="5" t="str">
        <f>TEXT(Store_Record[[#This Row],[Date]],"dddd")</f>
        <v>Monday</v>
      </c>
      <c r="M174" s="5" t="str">
        <f>TEXT(Store_Record[[#This Row],[Date]],"mmmm")</f>
        <v>January</v>
      </c>
      <c r="N174" s="5">
        <f>YEAR(Store_Record[[#This Row],[Date]])</f>
        <v>2025</v>
      </c>
      <c r="O174"/>
    </row>
    <row r="175" spans="1:15" x14ac:dyDescent="0.35">
      <c r="A175" t="s">
        <v>359</v>
      </c>
      <c r="B175" s="2">
        <v>45670</v>
      </c>
      <c r="C175" t="s">
        <v>36</v>
      </c>
      <c r="D175" t="s">
        <v>29</v>
      </c>
      <c r="E175" t="s">
        <v>30</v>
      </c>
      <c r="F175" t="s">
        <v>31</v>
      </c>
      <c r="G175">
        <v>5</v>
      </c>
      <c r="H175">
        <v>2.8</v>
      </c>
      <c r="I175" t="s">
        <v>39</v>
      </c>
      <c r="J175" t="s">
        <v>121</v>
      </c>
      <c r="K175" s="12">
        <f>Store_Record[[#This Row],[Qty]]*Store_Record[[#This Row],[UnitPriceGBP]]</f>
        <v>14</v>
      </c>
      <c r="L175" s="5" t="str">
        <f>TEXT(Store_Record[[#This Row],[Date]],"dddd")</f>
        <v>Monday</v>
      </c>
      <c r="M175" s="5" t="str">
        <f>TEXT(Store_Record[[#This Row],[Date]],"mmmm")</f>
        <v>January</v>
      </c>
      <c r="N175" s="5">
        <f>YEAR(Store_Record[[#This Row],[Date]])</f>
        <v>2025</v>
      </c>
      <c r="O175"/>
    </row>
    <row r="176" spans="1:15" x14ac:dyDescent="0.35">
      <c r="A176" t="s">
        <v>368</v>
      </c>
      <c r="B176" s="2">
        <v>45670</v>
      </c>
      <c r="C176" t="s">
        <v>24</v>
      </c>
      <c r="D176" t="s">
        <v>29</v>
      </c>
      <c r="E176" t="s">
        <v>26</v>
      </c>
      <c r="F176" t="s">
        <v>13</v>
      </c>
      <c r="G176">
        <v>4</v>
      </c>
      <c r="H176">
        <v>3.5</v>
      </c>
      <c r="I176" t="s">
        <v>14</v>
      </c>
      <c r="J176" t="s">
        <v>369</v>
      </c>
      <c r="K176" s="12">
        <f>Store_Record[[#This Row],[Qty]]*Store_Record[[#This Row],[UnitPriceGBP]]</f>
        <v>14</v>
      </c>
      <c r="L176" s="5" t="str">
        <f>TEXT(Store_Record[[#This Row],[Date]],"dddd")</f>
        <v>Monday</v>
      </c>
      <c r="M176" s="5" t="str">
        <f>TEXT(Store_Record[[#This Row],[Date]],"mmmm")</f>
        <v>January</v>
      </c>
      <c r="N176" s="5">
        <f>YEAR(Store_Record[[#This Row],[Date]])</f>
        <v>2025</v>
      </c>
      <c r="O176"/>
    </row>
    <row r="177" spans="1:15" x14ac:dyDescent="0.35">
      <c r="A177" t="s">
        <v>375</v>
      </c>
      <c r="B177" s="2">
        <v>45670</v>
      </c>
      <c r="C177" t="s">
        <v>10</v>
      </c>
      <c r="D177" t="s">
        <v>11</v>
      </c>
      <c r="E177" t="s">
        <v>30</v>
      </c>
      <c r="F177" t="s">
        <v>31</v>
      </c>
      <c r="G177">
        <v>5</v>
      </c>
      <c r="H177">
        <v>2.8</v>
      </c>
      <c r="I177" t="s">
        <v>21</v>
      </c>
      <c r="J177" t="s">
        <v>376</v>
      </c>
      <c r="K177" s="12">
        <f>Store_Record[[#This Row],[Qty]]*Store_Record[[#This Row],[UnitPriceGBP]]</f>
        <v>14</v>
      </c>
      <c r="L177" s="5" t="str">
        <f>TEXT(Store_Record[[#This Row],[Date]],"dddd")</f>
        <v>Monday</v>
      </c>
      <c r="M177" s="5" t="str">
        <f>TEXT(Store_Record[[#This Row],[Date]],"mmmm")</f>
        <v>January</v>
      </c>
      <c r="N177" s="5">
        <f>YEAR(Store_Record[[#This Row],[Date]])</f>
        <v>2025</v>
      </c>
      <c r="O177"/>
    </row>
    <row r="178" spans="1:15" x14ac:dyDescent="0.35">
      <c r="A178" t="s">
        <v>379</v>
      </c>
      <c r="B178" s="2">
        <v>45670</v>
      </c>
      <c r="C178" t="s">
        <v>10</v>
      </c>
      <c r="D178" t="s">
        <v>25</v>
      </c>
      <c r="E178" t="s">
        <v>12</v>
      </c>
      <c r="F178" t="s">
        <v>13</v>
      </c>
      <c r="G178">
        <v>5</v>
      </c>
      <c r="H178">
        <v>2.5</v>
      </c>
      <c r="I178" t="s">
        <v>14</v>
      </c>
      <c r="J178" t="s">
        <v>380</v>
      </c>
      <c r="K178" s="12">
        <f>Store_Record[[#This Row],[Qty]]*Store_Record[[#This Row],[UnitPriceGBP]]</f>
        <v>12.5</v>
      </c>
      <c r="L178" s="5" t="str">
        <f>TEXT(Store_Record[[#This Row],[Date]],"dddd")</f>
        <v>Monday</v>
      </c>
      <c r="M178" s="5" t="str">
        <f>TEXT(Store_Record[[#This Row],[Date]],"mmmm")</f>
        <v>January</v>
      </c>
      <c r="N178" s="5">
        <f>YEAR(Store_Record[[#This Row],[Date]])</f>
        <v>2025</v>
      </c>
      <c r="O178"/>
    </row>
    <row r="179" spans="1:15" x14ac:dyDescent="0.35">
      <c r="A179" t="s">
        <v>361</v>
      </c>
      <c r="B179" s="2">
        <v>45670</v>
      </c>
      <c r="C179" t="s">
        <v>36</v>
      </c>
      <c r="D179" t="s">
        <v>47</v>
      </c>
      <c r="E179" t="s">
        <v>42</v>
      </c>
      <c r="F179" t="s">
        <v>13</v>
      </c>
      <c r="G179">
        <v>3</v>
      </c>
      <c r="H179">
        <v>3.8</v>
      </c>
      <c r="I179" t="s">
        <v>14</v>
      </c>
      <c r="J179" t="s">
        <v>362</v>
      </c>
      <c r="K179" s="12">
        <f>Store_Record[[#This Row],[Qty]]*Store_Record[[#This Row],[UnitPriceGBP]]</f>
        <v>11.399999999999999</v>
      </c>
      <c r="L179" s="5" t="str">
        <f>TEXT(Store_Record[[#This Row],[Date]],"dddd")</f>
        <v>Monday</v>
      </c>
      <c r="M179" s="5" t="str">
        <f>TEXT(Store_Record[[#This Row],[Date]],"mmmm")</f>
        <v>January</v>
      </c>
      <c r="N179" s="5">
        <f>YEAR(Store_Record[[#This Row],[Date]])</f>
        <v>2025</v>
      </c>
      <c r="O179"/>
    </row>
    <row r="180" spans="1:15" x14ac:dyDescent="0.35">
      <c r="A180" t="s">
        <v>363</v>
      </c>
      <c r="B180" s="2">
        <v>45670</v>
      </c>
      <c r="C180" t="s">
        <v>36</v>
      </c>
      <c r="D180" t="s">
        <v>25</v>
      </c>
      <c r="E180" t="s">
        <v>34</v>
      </c>
      <c r="F180" t="s">
        <v>31</v>
      </c>
      <c r="G180">
        <v>5</v>
      </c>
      <c r="H180">
        <v>2.2000000000000002</v>
      </c>
      <c r="I180" t="s">
        <v>21</v>
      </c>
      <c r="J180" t="s">
        <v>364</v>
      </c>
      <c r="K180" s="12">
        <f>Store_Record[[#This Row],[Qty]]*Store_Record[[#This Row],[UnitPriceGBP]]</f>
        <v>11</v>
      </c>
      <c r="L180" s="5" t="str">
        <f>TEXT(Store_Record[[#This Row],[Date]],"dddd")</f>
        <v>Monday</v>
      </c>
      <c r="M180" s="5" t="str">
        <f>TEXT(Store_Record[[#This Row],[Date]],"mmmm")</f>
        <v>January</v>
      </c>
      <c r="N180" s="5">
        <f>YEAR(Store_Record[[#This Row],[Date]])</f>
        <v>2025</v>
      </c>
      <c r="O180"/>
    </row>
    <row r="181" spans="1:15" x14ac:dyDescent="0.35">
      <c r="A181" t="s">
        <v>373</v>
      </c>
      <c r="B181" s="2">
        <v>45670</v>
      </c>
      <c r="C181" t="s">
        <v>20</v>
      </c>
      <c r="D181" t="s">
        <v>29</v>
      </c>
      <c r="E181" t="s">
        <v>26</v>
      </c>
      <c r="F181" t="s">
        <v>13</v>
      </c>
      <c r="G181">
        <v>3</v>
      </c>
      <c r="H181">
        <v>3.5</v>
      </c>
      <c r="I181" t="s">
        <v>14</v>
      </c>
      <c r="J181" t="s">
        <v>374</v>
      </c>
      <c r="K181" s="12">
        <f>Store_Record[[#This Row],[Qty]]*Store_Record[[#This Row],[UnitPriceGBP]]</f>
        <v>10.5</v>
      </c>
      <c r="L181" s="5" t="str">
        <f>TEXT(Store_Record[[#This Row],[Date]],"dddd")</f>
        <v>Monday</v>
      </c>
      <c r="M181" s="5" t="str">
        <f>TEXT(Store_Record[[#This Row],[Date]],"mmmm")</f>
        <v>January</v>
      </c>
      <c r="N181" s="5">
        <f>YEAR(Store_Record[[#This Row],[Date]])</f>
        <v>2025</v>
      </c>
      <c r="O181"/>
    </row>
    <row r="182" spans="1:15" x14ac:dyDescent="0.35">
      <c r="A182" t="s">
        <v>367</v>
      </c>
      <c r="B182" s="2">
        <v>45670</v>
      </c>
      <c r="C182" t="s">
        <v>36</v>
      </c>
      <c r="D182" t="s">
        <v>25</v>
      </c>
      <c r="E182" t="s">
        <v>42</v>
      </c>
      <c r="F182" t="s">
        <v>13</v>
      </c>
      <c r="G182">
        <v>2</v>
      </c>
      <c r="H182">
        <v>3.8</v>
      </c>
      <c r="I182" t="s">
        <v>14</v>
      </c>
      <c r="J182" t="s">
        <v>173</v>
      </c>
      <c r="K182" s="12">
        <f>Store_Record[[#This Row],[Qty]]*Store_Record[[#This Row],[UnitPriceGBP]]</f>
        <v>7.6</v>
      </c>
      <c r="L182" s="5" t="str">
        <f>TEXT(Store_Record[[#This Row],[Date]],"dddd")</f>
        <v>Monday</v>
      </c>
      <c r="M182" s="5" t="str">
        <f>TEXT(Store_Record[[#This Row],[Date]],"mmmm")</f>
        <v>January</v>
      </c>
      <c r="N182" s="5">
        <f>YEAR(Store_Record[[#This Row],[Date]])</f>
        <v>2025</v>
      </c>
      <c r="O182"/>
    </row>
    <row r="183" spans="1:15" x14ac:dyDescent="0.35">
      <c r="A183" t="s">
        <v>377</v>
      </c>
      <c r="B183" s="2">
        <v>45670</v>
      </c>
      <c r="C183" t="s">
        <v>20</v>
      </c>
      <c r="D183" t="s">
        <v>29</v>
      </c>
      <c r="E183" t="s">
        <v>42</v>
      </c>
      <c r="F183" t="s">
        <v>13</v>
      </c>
      <c r="G183">
        <v>2</v>
      </c>
      <c r="H183">
        <v>3.8</v>
      </c>
      <c r="I183" t="s">
        <v>39</v>
      </c>
      <c r="J183" t="s">
        <v>378</v>
      </c>
      <c r="K183" s="12">
        <f>Store_Record[[#This Row],[Qty]]*Store_Record[[#This Row],[UnitPriceGBP]]</f>
        <v>7.6</v>
      </c>
      <c r="L183" s="5" t="str">
        <f>TEXT(Store_Record[[#This Row],[Date]],"dddd")</f>
        <v>Monday</v>
      </c>
      <c r="M183" s="5" t="str">
        <f>TEXT(Store_Record[[#This Row],[Date]],"mmmm")</f>
        <v>January</v>
      </c>
      <c r="N183" s="5">
        <f>YEAR(Store_Record[[#This Row],[Date]])</f>
        <v>2025</v>
      </c>
      <c r="O183"/>
    </row>
    <row r="184" spans="1:15" x14ac:dyDescent="0.35">
      <c r="A184" t="s">
        <v>365</v>
      </c>
      <c r="B184" s="2">
        <v>45670</v>
      </c>
      <c r="C184" t="s">
        <v>36</v>
      </c>
      <c r="D184" t="s">
        <v>38</v>
      </c>
      <c r="E184" t="s">
        <v>34</v>
      </c>
      <c r="F184" t="s">
        <v>31</v>
      </c>
      <c r="G184">
        <v>3</v>
      </c>
      <c r="H184">
        <v>2.2000000000000002</v>
      </c>
      <c r="I184" t="s">
        <v>39</v>
      </c>
      <c r="J184" t="s">
        <v>366</v>
      </c>
      <c r="K184" s="12">
        <f>Store_Record[[#This Row],[Qty]]*Store_Record[[#This Row],[UnitPriceGBP]]</f>
        <v>6.6000000000000005</v>
      </c>
      <c r="L184" s="5" t="str">
        <f>TEXT(Store_Record[[#This Row],[Date]],"dddd")</f>
        <v>Monday</v>
      </c>
      <c r="M184" s="5" t="str">
        <f>TEXT(Store_Record[[#This Row],[Date]],"mmmm")</f>
        <v>January</v>
      </c>
      <c r="N184" s="5">
        <f>YEAR(Store_Record[[#This Row],[Date]])</f>
        <v>2025</v>
      </c>
      <c r="O184"/>
    </row>
    <row r="185" spans="1:15" x14ac:dyDescent="0.35">
      <c r="A185" t="s">
        <v>381</v>
      </c>
      <c r="B185" s="2">
        <v>45670</v>
      </c>
      <c r="C185" t="s">
        <v>24</v>
      </c>
      <c r="D185" t="s">
        <v>47</v>
      </c>
      <c r="E185" t="s">
        <v>30</v>
      </c>
      <c r="F185" t="s">
        <v>31</v>
      </c>
      <c r="G185">
        <v>1</v>
      </c>
      <c r="H185">
        <v>2.8</v>
      </c>
      <c r="I185" t="s">
        <v>21</v>
      </c>
      <c r="J185" t="s">
        <v>382</v>
      </c>
      <c r="K185" s="12">
        <f>Store_Record[[#This Row],[Qty]]*Store_Record[[#This Row],[UnitPriceGBP]]</f>
        <v>2.8</v>
      </c>
      <c r="L185" s="5" t="str">
        <f>TEXT(Store_Record[[#This Row],[Date]],"dddd")</f>
        <v>Monday</v>
      </c>
      <c r="M185" s="5" t="str">
        <f>TEXT(Store_Record[[#This Row],[Date]],"mmmm")</f>
        <v>January</v>
      </c>
      <c r="N185" s="5">
        <f>YEAR(Store_Record[[#This Row],[Date]])</f>
        <v>2025</v>
      </c>
      <c r="O185"/>
    </row>
    <row r="186" spans="1:15" x14ac:dyDescent="0.35">
      <c r="A186" t="s">
        <v>370</v>
      </c>
      <c r="B186" s="2">
        <v>45670</v>
      </c>
      <c r="C186" t="s">
        <v>24</v>
      </c>
      <c r="D186" t="s">
        <v>25</v>
      </c>
      <c r="E186" t="s">
        <v>34</v>
      </c>
      <c r="F186" t="s">
        <v>31</v>
      </c>
      <c r="G186">
        <v>1</v>
      </c>
      <c r="H186">
        <v>2.2000000000000002</v>
      </c>
      <c r="I186" t="s">
        <v>14</v>
      </c>
      <c r="J186" t="s">
        <v>121</v>
      </c>
      <c r="K186" s="12">
        <f>Store_Record[[#This Row],[Qty]]*Store_Record[[#This Row],[UnitPriceGBP]]</f>
        <v>2.2000000000000002</v>
      </c>
      <c r="L186" s="5" t="str">
        <f>TEXT(Store_Record[[#This Row],[Date]],"dddd")</f>
        <v>Monday</v>
      </c>
      <c r="M186" s="5" t="str">
        <f>TEXT(Store_Record[[#This Row],[Date]],"mmmm")</f>
        <v>January</v>
      </c>
      <c r="N186" s="5">
        <f>YEAR(Store_Record[[#This Row],[Date]])</f>
        <v>2025</v>
      </c>
      <c r="O186"/>
    </row>
    <row r="187" spans="1:15" x14ac:dyDescent="0.35">
      <c r="A187" t="s">
        <v>371</v>
      </c>
      <c r="B187" s="2">
        <v>45670</v>
      </c>
      <c r="C187" t="s">
        <v>24</v>
      </c>
      <c r="D187" t="s">
        <v>29</v>
      </c>
      <c r="E187" t="s">
        <v>34</v>
      </c>
      <c r="F187" t="s">
        <v>31</v>
      </c>
      <c r="G187">
        <v>1</v>
      </c>
      <c r="H187">
        <v>2.2000000000000002</v>
      </c>
      <c r="I187" t="s">
        <v>21</v>
      </c>
      <c r="J187" t="s">
        <v>372</v>
      </c>
      <c r="K187" s="12">
        <f>Store_Record[[#This Row],[Qty]]*Store_Record[[#This Row],[UnitPriceGBP]]</f>
        <v>2.2000000000000002</v>
      </c>
      <c r="L187" s="5" t="str">
        <f>TEXT(Store_Record[[#This Row],[Date]],"dddd")</f>
        <v>Monday</v>
      </c>
      <c r="M187" s="5" t="str">
        <f>TEXT(Store_Record[[#This Row],[Date]],"mmmm")</f>
        <v>January</v>
      </c>
      <c r="N187" s="5">
        <f>YEAR(Store_Record[[#This Row],[Date]])</f>
        <v>2025</v>
      </c>
      <c r="O187"/>
    </row>
    <row r="188" spans="1:15" x14ac:dyDescent="0.35">
      <c r="A188" t="s">
        <v>393</v>
      </c>
      <c r="B188" s="2">
        <v>45671</v>
      </c>
      <c r="C188" t="s">
        <v>24</v>
      </c>
      <c r="D188" t="s">
        <v>47</v>
      </c>
      <c r="E188" t="s">
        <v>42</v>
      </c>
      <c r="F188" t="s">
        <v>13</v>
      </c>
      <c r="G188">
        <v>5</v>
      </c>
      <c r="H188">
        <v>3.8</v>
      </c>
      <c r="I188" t="s">
        <v>39</v>
      </c>
      <c r="J188" t="s">
        <v>394</v>
      </c>
      <c r="K188" s="12">
        <f>Store_Record[[#This Row],[Qty]]*Store_Record[[#This Row],[UnitPriceGBP]]</f>
        <v>19</v>
      </c>
      <c r="L188" s="5" t="str">
        <f>TEXT(Store_Record[[#This Row],[Date]],"dddd")</f>
        <v>Tuesday</v>
      </c>
      <c r="M188" s="5" t="str">
        <f>TEXT(Store_Record[[#This Row],[Date]],"mmmm")</f>
        <v>January</v>
      </c>
      <c r="N188" s="5">
        <f>YEAR(Store_Record[[#This Row],[Date]])</f>
        <v>2025</v>
      </c>
      <c r="O188"/>
    </row>
    <row r="189" spans="1:15" x14ac:dyDescent="0.35">
      <c r="A189" t="s">
        <v>408</v>
      </c>
      <c r="B189" s="2">
        <v>45671</v>
      </c>
      <c r="C189" t="s">
        <v>10</v>
      </c>
      <c r="D189" t="s">
        <v>25</v>
      </c>
      <c r="E189" t="s">
        <v>42</v>
      </c>
      <c r="F189" t="s">
        <v>13</v>
      </c>
      <c r="G189">
        <v>5</v>
      </c>
      <c r="H189">
        <v>3.8</v>
      </c>
      <c r="I189" t="s">
        <v>14</v>
      </c>
      <c r="J189" t="s">
        <v>409</v>
      </c>
      <c r="K189" s="12">
        <f>Store_Record[[#This Row],[Qty]]*Store_Record[[#This Row],[UnitPriceGBP]]</f>
        <v>19</v>
      </c>
      <c r="L189" s="5" t="str">
        <f>TEXT(Store_Record[[#This Row],[Date]],"dddd")</f>
        <v>Tuesday</v>
      </c>
      <c r="M189" s="5" t="str">
        <f>TEXT(Store_Record[[#This Row],[Date]],"mmmm")</f>
        <v>January</v>
      </c>
      <c r="N189" s="5">
        <f>YEAR(Store_Record[[#This Row],[Date]])</f>
        <v>2025</v>
      </c>
      <c r="O189"/>
    </row>
    <row r="190" spans="1:15" x14ac:dyDescent="0.35">
      <c r="A190" t="s">
        <v>387</v>
      </c>
      <c r="B190" s="2">
        <v>45671</v>
      </c>
      <c r="C190" t="s">
        <v>24</v>
      </c>
      <c r="D190" t="s">
        <v>29</v>
      </c>
      <c r="E190" t="s">
        <v>26</v>
      </c>
      <c r="F190" t="s">
        <v>13</v>
      </c>
      <c r="G190">
        <v>4</v>
      </c>
      <c r="H190">
        <v>3.5</v>
      </c>
      <c r="I190" t="s">
        <v>39</v>
      </c>
      <c r="J190" t="s">
        <v>388</v>
      </c>
      <c r="K190" s="12">
        <f>Store_Record[[#This Row],[Qty]]*Store_Record[[#This Row],[UnitPriceGBP]]</f>
        <v>14</v>
      </c>
      <c r="L190" s="5" t="str">
        <f>TEXT(Store_Record[[#This Row],[Date]],"dddd")</f>
        <v>Tuesday</v>
      </c>
      <c r="M190" s="5" t="str">
        <f>TEXT(Store_Record[[#This Row],[Date]],"mmmm")</f>
        <v>January</v>
      </c>
      <c r="N190" s="5">
        <f>YEAR(Store_Record[[#This Row],[Date]])</f>
        <v>2025</v>
      </c>
      <c r="O190"/>
    </row>
    <row r="191" spans="1:15" x14ac:dyDescent="0.35">
      <c r="A191" t="s">
        <v>395</v>
      </c>
      <c r="B191" s="2">
        <v>45671</v>
      </c>
      <c r="C191" t="s">
        <v>10</v>
      </c>
      <c r="D191" t="s">
        <v>11</v>
      </c>
      <c r="E191" t="s">
        <v>30</v>
      </c>
      <c r="F191" t="s">
        <v>31</v>
      </c>
      <c r="G191">
        <v>5</v>
      </c>
      <c r="H191">
        <v>2.8</v>
      </c>
      <c r="I191" t="s">
        <v>14</v>
      </c>
      <c r="J191" t="s">
        <v>396</v>
      </c>
      <c r="K191" s="12">
        <f>Store_Record[[#This Row],[Qty]]*Store_Record[[#This Row],[UnitPriceGBP]]</f>
        <v>14</v>
      </c>
      <c r="L191" s="5" t="str">
        <f>TEXT(Store_Record[[#This Row],[Date]],"dddd")</f>
        <v>Tuesday</v>
      </c>
      <c r="M191" s="5" t="str">
        <f>TEXT(Store_Record[[#This Row],[Date]],"mmmm")</f>
        <v>January</v>
      </c>
      <c r="N191" s="5">
        <f>YEAR(Store_Record[[#This Row],[Date]])</f>
        <v>2025</v>
      </c>
      <c r="O191"/>
    </row>
    <row r="192" spans="1:15" x14ac:dyDescent="0.35">
      <c r="A192" t="s">
        <v>405</v>
      </c>
      <c r="B192" s="2">
        <v>45671</v>
      </c>
      <c r="C192" t="s">
        <v>10</v>
      </c>
      <c r="D192" t="s">
        <v>47</v>
      </c>
      <c r="E192" t="s">
        <v>30</v>
      </c>
      <c r="F192" t="s">
        <v>31</v>
      </c>
      <c r="G192">
        <v>5</v>
      </c>
      <c r="H192">
        <v>2.8</v>
      </c>
      <c r="I192" t="s">
        <v>14</v>
      </c>
      <c r="J192" t="s">
        <v>406</v>
      </c>
      <c r="K192" s="12">
        <f>Store_Record[[#This Row],[Qty]]*Store_Record[[#This Row],[UnitPriceGBP]]</f>
        <v>14</v>
      </c>
      <c r="L192" s="5" t="str">
        <f>TEXT(Store_Record[[#This Row],[Date]],"dddd")</f>
        <v>Tuesday</v>
      </c>
      <c r="M192" s="5" t="str">
        <f>TEXT(Store_Record[[#This Row],[Date]],"mmmm")</f>
        <v>January</v>
      </c>
      <c r="N192" s="5">
        <f>YEAR(Store_Record[[#This Row],[Date]])</f>
        <v>2025</v>
      </c>
      <c r="O192"/>
    </row>
    <row r="193" spans="1:15" x14ac:dyDescent="0.35">
      <c r="A193" t="s">
        <v>391</v>
      </c>
      <c r="B193" s="2">
        <v>45671</v>
      </c>
      <c r="C193" t="s">
        <v>10</v>
      </c>
      <c r="D193" t="s">
        <v>25</v>
      </c>
      <c r="E193" t="s">
        <v>12</v>
      </c>
      <c r="F193" t="s">
        <v>13</v>
      </c>
      <c r="G193">
        <v>5</v>
      </c>
      <c r="H193">
        <v>2.5</v>
      </c>
      <c r="I193" t="s">
        <v>39</v>
      </c>
      <c r="J193" t="s">
        <v>392</v>
      </c>
      <c r="K193" s="12">
        <f>Store_Record[[#This Row],[Qty]]*Store_Record[[#This Row],[UnitPriceGBP]]</f>
        <v>12.5</v>
      </c>
      <c r="L193" s="5" t="str">
        <f>TEXT(Store_Record[[#This Row],[Date]],"dddd")</f>
        <v>Tuesday</v>
      </c>
      <c r="M193" s="5" t="str">
        <f>TEXT(Store_Record[[#This Row],[Date]],"mmmm")</f>
        <v>January</v>
      </c>
      <c r="N193" s="5">
        <f>YEAR(Store_Record[[#This Row],[Date]])</f>
        <v>2025</v>
      </c>
      <c r="O193"/>
    </row>
    <row r="194" spans="1:15" x14ac:dyDescent="0.35">
      <c r="A194" t="s">
        <v>407</v>
      </c>
      <c r="B194" s="2">
        <v>45671</v>
      </c>
      <c r="C194" t="s">
        <v>36</v>
      </c>
      <c r="D194" t="s">
        <v>47</v>
      </c>
      <c r="E194" t="s">
        <v>42</v>
      </c>
      <c r="F194" t="s">
        <v>13</v>
      </c>
      <c r="G194">
        <v>3</v>
      </c>
      <c r="H194">
        <v>3.8</v>
      </c>
      <c r="I194" t="s">
        <v>14</v>
      </c>
      <c r="J194" t="s">
        <v>380</v>
      </c>
      <c r="K194" s="12">
        <f>Store_Record[[#This Row],[Qty]]*Store_Record[[#This Row],[UnitPriceGBP]]</f>
        <v>11.399999999999999</v>
      </c>
      <c r="L194" s="5" t="str">
        <f>TEXT(Store_Record[[#This Row],[Date]],"dddd")</f>
        <v>Tuesday</v>
      </c>
      <c r="M194" s="5" t="str">
        <f>TEXT(Store_Record[[#This Row],[Date]],"mmmm")</f>
        <v>January</v>
      </c>
      <c r="N194" s="5">
        <f>YEAR(Store_Record[[#This Row],[Date]])</f>
        <v>2025</v>
      </c>
      <c r="O194"/>
    </row>
    <row r="195" spans="1:15" x14ac:dyDescent="0.35">
      <c r="A195" t="s">
        <v>385</v>
      </c>
      <c r="B195" s="2">
        <v>45671</v>
      </c>
      <c r="C195" t="s">
        <v>36</v>
      </c>
      <c r="D195" t="s">
        <v>29</v>
      </c>
      <c r="E195" t="s">
        <v>34</v>
      </c>
      <c r="F195" t="s">
        <v>31</v>
      </c>
      <c r="G195">
        <v>5</v>
      </c>
      <c r="H195">
        <v>2.2000000000000002</v>
      </c>
      <c r="I195" t="s">
        <v>21</v>
      </c>
      <c r="J195" t="s">
        <v>386</v>
      </c>
      <c r="K195" s="12">
        <f>Store_Record[[#This Row],[Qty]]*Store_Record[[#This Row],[UnitPriceGBP]]</f>
        <v>11</v>
      </c>
      <c r="L195" s="5" t="str">
        <f>TEXT(Store_Record[[#This Row],[Date]],"dddd")</f>
        <v>Tuesday</v>
      </c>
      <c r="M195" s="5" t="str">
        <f>TEXT(Store_Record[[#This Row],[Date]],"mmmm")</f>
        <v>January</v>
      </c>
      <c r="N195" s="5">
        <f>YEAR(Store_Record[[#This Row],[Date]])</f>
        <v>2025</v>
      </c>
      <c r="O195"/>
    </row>
    <row r="196" spans="1:15" x14ac:dyDescent="0.35">
      <c r="A196" t="s">
        <v>401</v>
      </c>
      <c r="B196" s="2">
        <v>45671</v>
      </c>
      <c r="C196" t="s">
        <v>36</v>
      </c>
      <c r="D196" t="s">
        <v>25</v>
      </c>
      <c r="E196" t="s">
        <v>12</v>
      </c>
      <c r="F196" t="s">
        <v>13</v>
      </c>
      <c r="G196">
        <v>4</v>
      </c>
      <c r="H196">
        <v>2.5</v>
      </c>
      <c r="I196" t="s">
        <v>21</v>
      </c>
      <c r="J196" t="s">
        <v>402</v>
      </c>
      <c r="K196" s="12">
        <f>Store_Record[[#This Row],[Qty]]*Store_Record[[#This Row],[UnitPriceGBP]]</f>
        <v>10</v>
      </c>
      <c r="L196" s="5" t="str">
        <f>TEXT(Store_Record[[#This Row],[Date]],"dddd")</f>
        <v>Tuesday</v>
      </c>
      <c r="M196" s="5" t="str">
        <f>TEXT(Store_Record[[#This Row],[Date]],"mmmm")</f>
        <v>January</v>
      </c>
      <c r="N196" s="5">
        <f>YEAR(Store_Record[[#This Row],[Date]])</f>
        <v>2025</v>
      </c>
      <c r="O196"/>
    </row>
    <row r="197" spans="1:15" x14ac:dyDescent="0.35">
      <c r="A197" t="s">
        <v>397</v>
      </c>
      <c r="B197" s="2">
        <v>45671</v>
      </c>
      <c r="C197" t="s">
        <v>24</v>
      </c>
      <c r="D197" t="s">
        <v>38</v>
      </c>
      <c r="E197" t="s">
        <v>12</v>
      </c>
      <c r="F197" t="s">
        <v>13</v>
      </c>
      <c r="G197">
        <v>3</v>
      </c>
      <c r="H197">
        <v>2.5</v>
      </c>
      <c r="I197" t="s">
        <v>14</v>
      </c>
      <c r="J197" t="s">
        <v>398</v>
      </c>
      <c r="K197" s="12">
        <f>Store_Record[[#This Row],[Qty]]*Store_Record[[#This Row],[UnitPriceGBP]]</f>
        <v>7.5</v>
      </c>
      <c r="L197" s="5" t="str">
        <f>TEXT(Store_Record[[#This Row],[Date]],"dddd")</f>
        <v>Tuesday</v>
      </c>
      <c r="M197" s="5" t="str">
        <f>TEXT(Store_Record[[#This Row],[Date]],"mmmm")</f>
        <v>January</v>
      </c>
      <c r="N197" s="5">
        <f>YEAR(Store_Record[[#This Row],[Date]])</f>
        <v>2025</v>
      </c>
      <c r="O197"/>
    </row>
    <row r="198" spans="1:15" x14ac:dyDescent="0.35">
      <c r="A198" t="s">
        <v>389</v>
      </c>
      <c r="B198" s="2">
        <v>45671</v>
      </c>
      <c r="C198" t="s">
        <v>36</v>
      </c>
      <c r="D198" t="s">
        <v>47</v>
      </c>
      <c r="E198" t="s">
        <v>26</v>
      </c>
      <c r="F198" t="s">
        <v>13</v>
      </c>
      <c r="G198">
        <v>2</v>
      </c>
      <c r="H198">
        <v>3.5</v>
      </c>
      <c r="I198" t="s">
        <v>14</v>
      </c>
      <c r="J198" t="s">
        <v>390</v>
      </c>
      <c r="K198" s="12">
        <f>Store_Record[[#This Row],[Qty]]*Store_Record[[#This Row],[UnitPriceGBP]]</f>
        <v>7</v>
      </c>
      <c r="L198" s="5" t="str">
        <f>TEXT(Store_Record[[#This Row],[Date]],"dddd")</f>
        <v>Tuesday</v>
      </c>
      <c r="M198" s="5" t="str">
        <f>TEXT(Store_Record[[#This Row],[Date]],"mmmm")</f>
        <v>January</v>
      </c>
      <c r="N198" s="5">
        <f>YEAR(Store_Record[[#This Row],[Date]])</f>
        <v>2025</v>
      </c>
      <c r="O198"/>
    </row>
    <row r="199" spans="1:15" x14ac:dyDescent="0.35">
      <c r="A199" t="s">
        <v>403</v>
      </c>
      <c r="B199" s="2">
        <v>45671</v>
      </c>
      <c r="C199" t="s">
        <v>24</v>
      </c>
      <c r="D199" t="s">
        <v>29</v>
      </c>
      <c r="E199" t="s">
        <v>30</v>
      </c>
      <c r="F199" t="s">
        <v>31</v>
      </c>
      <c r="G199">
        <v>2</v>
      </c>
      <c r="H199">
        <v>2.8</v>
      </c>
      <c r="I199" t="s">
        <v>21</v>
      </c>
      <c r="J199" t="s">
        <v>404</v>
      </c>
      <c r="K199" s="12">
        <f>Store_Record[[#This Row],[Qty]]*Store_Record[[#This Row],[UnitPriceGBP]]</f>
        <v>5.6</v>
      </c>
      <c r="L199" s="5" t="str">
        <f>TEXT(Store_Record[[#This Row],[Date]],"dddd")</f>
        <v>Tuesday</v>
      </c>
      <c r="M199" s="5" t="str">
        <f>TEXT(Store_Record[[#This Row],[Date]],"mmmm")</f>
        <v>January</v>
      </c>
      <c r="N199" s="5">
        <f>YEAR(Store_Record[[#This Row],[Date]])</f>
        <v>2025</v>
      </c>
      <c r="O199"/>
    </row>
    <row r="200" spans="1:15" x14ac:dyDescent="0.35">
      <c r="A200" t="s">
        <v>383</v>
      </c>
      <c r="B200" s="2">
        <v>45671</v>
      </c>
      <c r="C200" t="s">
        <v>36</v>
      </c>
      <c r="D200" t="s">
        <v>47</v>
      </c>
      <c r="E200" t="s">
        <v>26</v>
      </c>
      <c r="F200" t="s">
        <v>13</v>
      </c>
      <c r="G200">
        <v>1</v>
      </c>
      <c r="H200">
        <v>3.5</v>
      </c>
      <c r="I200" t="s">
        <v>14</v>
      </c>
      <c r="J200" t="s">
        <v>384</v>
      </c>
      <c r="K200" s="12">
        <f>Store_Record[[#This Row],[Qty]]*Store_Record[[#This Row],[UnitPriceGBP]]</f>
        <v>3.5</v>
      </c>
      <c r="L200" s="5" t="str">
        <f>TEXT(Store_Record[[#This Row],[Date]],"dddd")</f>
        <v>Tuesday</v>
      </c>
      <c r="M200" s="5" t="str">
        <f>TEXT(Store_Record[[#This Row],[Date]],"mmmm")</f>
        <v>January</v>
      </c>
      <c r="N200" s="5">
        <f>YEAR(Store_Record[[#This Row],[Date]])</f>
        <v>2025</v>
      </c>
      <c r="O200"/>
    </row>
    <row r="201" spans="1:15" x14ac:dyDescent="0.35">
      <c r="A201" t="s">
        <v>399</v>
      </c>
      <c r="B201" s="2">
        <v>45671</v>
      </c>
      <c r="C201" t="s">
        <v>36</v>
      </c>
      <c r="D201" t="s">
        <v>38</v>
      </c>
      <c r="E201" t="s">
        <v>30</v>
      </c>
      <c r="F201" t="s">
        <v>31</v>
      </c>
      <c r="G201">
        <v>1</v>
      </c>
      <c r="H201">
        <v>2.8</v>
      </c>
      <c r="I201" t="s">
        <v>14</v>
      </c>
      <c r="J201" t="s">
        <v>400</v>
      </c>
      <c r="K201" s="12">
        <f>Store_Record[[#This Row],[Qty]]*Store_Record[[#This Row],[UnitPriceGBP]]</f>
        <v>2.8</v>
      </c>
      <c r="L201" s="5" t="str">
        <f>TEXT(Store_Record[[#This Row],[Date]],"dddd")</f>
        <v>Tuesday</v>
      </c>
      <c r="M201" s="5" t="str">
        <f>TEXT(Store_Record[[#This Row],[Date]],"mmmm")</f>
        <v>January</v>
      </c>
      <c r="N201" s="5">
        <f>YEAR(Store_Record[[#This Row],[Date]])</f>
        <v>2025</v>
      </c>
      <c r="O201"/>
    </row>
    <row r="202" spans="1:15" x14ac:dyDescent="0.35">
      <c r="A202" t="s">
        <v>412</v>
      </c>
      <c r="B202" s="2">
        <v>45672</v>
      </c>
      <c r="C202" t="s">
        <v>20</v>
      </c>
      <c r="D202" t="s">
        <v>25</v>
      </c>
      <c r="E202" t="s">
        <v>30</v>
      </c>
      <c r="F202" t="s">
        <v>31</v>
      </c>
      <c r="G202">
        <v>4</v>
      </c>
      <c r="H202">
        <v>2.8</v>
      </c>
      <c r="I202" t="s">
        <v>21</v>
      </c>
      <c r="J202" t="s">
        <v>413</v>
      </c>
      <c r="K202" s="12">
        <f>Store_Record[[#This Row],[Qty]]*Store_Record[[#This Row],[UnitPriceGBP]]</f>
        <v>11.2</v>
      </c>
      <c r="L202" s="5" t="str">
        <f>TEXT(Store_Record[[#This Row],[Date]],"dddd")</f>
        <v>Wednesday</v>
      </c>
      <c r="M202" s="5" t="str">
        <f>TEXT(Store_Record[[#This Row],[Date]],"mmmm")</f>
        <v>January</v>
      </c>
      <c r="N202" s="5">
        <f>YEAR(Store_Record[[#This Row],[Date]])</f>
        <v>2025</v>
      </c>
      <c r="O202"/>
    </row>
    <row r="203" spans="1:15" x14ac:dyDescent="0.35">
      <c r="A203" t="s">
        <v>424</v>
      </c>
      <c r="B203" s="2">
        <v>45672</v>
      </c>
      <c r="C203" t="s">
        <v>36</v>
      </c>
      <c r="D203" t="s">
        <v>25</v>
      </c>
      <c r="E203" t="s">
        <v>26</v>
      </c>
      <c r="F203" t="s">
        <v>13</v>
      </c>
      <c r="G203">
        <v>3</v>
      </c>
      <c r="H203">
        <v>3.5</v>
      </c>
      <c r="I203" t="s">
        <v>39</v>
      </c>
      <c r="J203" t="s">
        <v>146</v>
      </c>
      <c r="K203" s="12">
        <f>Store_Record[[#This Row],[Qty]]*Store_Record[[#This Row],[UnitPriceGBP]]</f>
        <v>10.5</v>
      </c>
      <c r="L203" s="5" t="str">
        <f>TEXT(Store_Record[[#This Row],[Date]],"dddd")</f>
        <v>Wednesday</v>
      </c>
      <c r="M203" s="5" t="str">
        <f>TEXT(Store_Record[[#This Row],[Date]],"mmmm")</f>
        <v>January</v>
      </c>
      <c r="N203" s="5">
        <f>YEAR(Store_Record[[#This Row],[Date]])</f>
        <v>2025</v>
      </c>
      <c r="O203"/>
    </row>
    <row r="204" spans="1:15" x14ac:dyDescent="0.35">
      <c r="A204" t="s">
        <v>425</v>
      </c>
      <c r="B204" s="2">
        <v>45672</v>
      </c>
      <c r="C204" t="s">
        <v>24</v>
      </c>
      <c r="D204" t="s">
        <v>29</v>
      </c>
      <c r="E204" t="s">
        <v>26</v>
      </c>
      <c r="F204" t="s">
        <v>13</v>
      </c>
      <c r="G204">
        <v>3</v>
      </c>
      <c r="H204">
        <v>3.5</v>
      </c>
      <c r="I204" t="s">
        <v>39</v>
      </c>
      <c r="J204" t="s">
        <v>426</v>
      </c>
      <c r="K204" s="12">
        <f>Store_Record[[#This Row],[Qty]]*Store_Record[[#This Row],[UnitPriceGBP]]</f>
        <v>10.5</v>
      </c>
      <c r="L204" s="5" t="str">
        <f>TEXT(Store_Record[[#This Row],[Date]],"dddd")</f>
        <v>Wednesday</v>
      </c>
      <c r="M204" s="5" t="str">
        <f>TEXT(Store_Record[[#This Row],[Date]],"mmmm")</f>
        <v>January</v>
      </c>
      <c r="N204" s="5">
        <f>YEAR(Store_Record[[#This Row],[Date]])</f>
        <v>2025</v>
      </c>
      <c r="O204"/>
    </row>
    <row r="205" spans="1:15" x14ac:dyDescent="0.35">
      <c r="A205" t="s">
        <v>422</v>
      </c>
      <c r="B205" s="2">
        <v>45672</v>
      </c>
      <c r="C205" t="s">
        <v>20</v>
      </c>
      <c r="D205" t="s">
        <v>38</v>
      </c>
      <c r="E205" t="s">
        <v>34</v>
      </c>
      <c r="F205" t="s">
        <v>31</v>
      </c>
      <c r="G205">
        <v>4</v>
      </c>
      <c r="H205">
        <v>2.2000000000000002</v>
      </c>
      <c r="I205" t="s">
        <v>21</v>
      </c>
      <c r="J205" t="s">
        <v>423</v>
      </c>
      <c r="K205" s="12">
        <f>Store_Record[[#This Row],[Qty]]*Store_Record[[#This Row],[UnitPriceGBP]]</f>
        <v>8.8000000000000007</v>
      </c>
      <c r="L205" s="5" t="str">
        <f>TEXT(Store_Record[[#This Row],[Date]],"dddd")</f>
        <v>Wednesday</v>
      </c>
      <c r="M205" s="5" t="str">
        <f>TEXT(Store_Record[[#This Row],[Date]],"mmmm")</f>
        <v>January</v>
      </c>
      <c r="N205" s="5">
        <f>YEAR(Store_Record[[#This Row],[Date]])</f>
        <v>2025</v>
      </c>
      <c r="O205"/>
    </row>
    <row r="206" spans="1:15" x14ac:dyDescent="0.35">
      <c r="A206" t="s">
        <v>414</v>
      </c>
      <c r="B206" s="2">
        <v>45672</v>
      </c>
      <c r="C206" t="s">
        <v>24</v>
      </c>
      <c r="D206" t="s">
        <v>25</v>
      </c>
      <c r="E206" t="s">
        <v>30</v>
      </c>
      <c r="F206" t="s">
        <v>31</v>
      </c>
      <c r="G206">
        <v>3</v>
      </c>
      <c r="H206">
        <v>2.8</v>
      </c>
      <c r="I206" t="s">
        <v>14</v>
      </c>
      <c r="J206" t="s">
        <v>415</v>
      </c>
      <c r="K206" s="12">
        <f>Store_Record[[#This Row],[Qty]]*Store_Record[[#This Row],[UnitPriceGBP]]</f>
        <v>8.3999999999999986</v>
      </c>
      <c r="L206" s="5" t="str">
        <f>TEXT(Store_Record[[#This Row],[Date]],"dddd")</f>
        <v>Wednesday</v>
      </c>
      <c r="M206" s="5" t="str">
        <f>TEXT(Store_Record[[#This Row],[Date]],"mmmm")</f>
        <v>January</v>
      </c>
      <c r="N206" s="5">
        <f>YEAR(Store_Record[[#This Row],[Date]])</f>
        <v>2025</v>
      </c>
      <c r="O206"/>
    </row>
    <row r="207" spans="1:15" x14ac:dyDescent="0.35">
      <c r="A207" t="s">
        <v>418</v>
      </c>
      <c r="B207" s="2">
        <v>45672</v>
      </c>
      <c r="C207" t="s">
        <v>10</v>
      </c>
      <c r="D207" t="s">
        <v>29</v>
      </c>
      <c r="E207" t="s">
        <v>30</v>
      </c>
      <c r="F207" t="s">
        <v>31</v>
      </c>
      <c r="G207">
        <v>3</v>
      </c>
      <c r="H207">
        <v>2.8</v>
      </c>
      <c r="I207" t="s">
        <v>39</v>
      </c>
      <c r="J207" t="s">
        <v>419</v>
      </c>
      <c r="K207" s="12">
        <f>Store_Record[[#This Row],[Qty]]*Store_Record[[#This Row],[UnitPriceGBP]]</f>
        <v>8.3999999999999986</v>
      </c>
      <c r="L207" s="5" t="str">
        <f>TEXT(Store_Record[[#This Row],[Date]],"dddd")</f>
        <v>Wednesday</v>
      </c>
      <c r="M207" s="5" t="str">
        <f>TEXT(Store_Record[[#This Row],[Date]],"mmmm")</f>
        <v>January</v>
      </c>
      <c r="N207" s="5">
        <f>YEAR(Store_Record[[#This Row],[Date]])</f>
        <v>2025</v>
      </c>
      <c r="O207"/>
    </row>
    <row r="208" spans="1:15" x14ac:dyDescent="0.35">
      <c r="A208" t="s">
        <v>420</v>
      </c>
      <c r="B208" s="2">
        <v>45672</v>
      </c>
      <c r="C208" t="s">
        <v>10</v>
      </c>
      <c r="D208" t="s">
        <v>25</v>
      </c>
      <c r="E208" t="s">
        <v>12</v>
      </c>
      <c r="F208" t="s">
        <v>13</v>
      </c>
      <c r="G208">
        <v>3</v>
      </c>
      <c r="H208">
        <v>2.5</v>
      </c>
      <c r="I208" t="s">
        <v>14</v>
      </c>
      <c r="J208" t="s">
        <v>421</v>
      </c>
      <c r="K208" s="12">
        <f>Store_Record[[#This Row],[Qty]]*Store_Record[[#This Row],[UnitPriceGBP]]</f>
        <v>7.5</v>
      </c>
      <c r="L208" s="5" t="str">
        <f>TEXT(Store_Record[[#This Row],[Date]],"dddd")</f>
        <v>Wednesday</v>
      </c>
      <c r="M208" s="5" t="str">
        <f>TEXT(Store_Record[[#This Row],[Date]],"mmmm")</f>
        <v>January</v>
      </c>
      <c r="N208" s="5">
        <f>YEAR(Store_Record[[#This Row],[Date]])</f>
        <v>2025</v>
      </c>
      <c r="O208"/>
    </row>
    <row r="209" spans="1:15" x14ac:dyDescent="0.35">
      <c r="A209" t="s">
        <v>410</v>
      </c>
      <c r="B209" s="2">
        <v>45672</v>
      </c>
      <c r="C209" t="s">
        <v>10</v>
      </c>
      <c r="D209" t="s">
        <v>11</v>
      </c>
      <c r="E209" t="s">
        <v>30</v>
      </c>
      <c r="F209" t="s">
        <v>31</v>
      </c>
      <c r="G209">
        <v>2</v>
      </c>
      <c r="H209">
        <v>2.8</v>
      </c>
      <c r="I209" t="s">
        <v>39</v>
      </c>
      <c r="J209" t="s">
        <v>411</v>
      </c>
      <c r="K209" s="12">
        <f>Store_Record[[#This Row],[Qty]]*Store_Record[[#This Row],[UnitPriceGBP]]</f>
        <v>5.6</v>
      </c>
      <c r="L209" s="5" t="str">
        <f>TEXT(Store_Record[[#This Row],[Date]],"dddd")</f>
        <v>Wednesday</v>
      </c>
      <c r="M209" s="5" t="str">
        <f>TEXT(Store_Record[[#This Row],[Date]],"mmmm")</f>
        <v>January</v>
      </c>
      <c r="N209" s="5">
        <f>YEAR(Store_Record[[#This Row],[Date]])</f>
        <v>2025</v>
      </c>
      <c r="O209"/>
    </row>
    <row r="210" spans="1:15" x14ac:dyDescent="0.35">
      <c r="A210" t="s">
        <v>427</v>
      </c>
      <c r="B210" s="2">
        <v>45672</v>
      </c>
      <c r="C210" t="s">
        <v>36</v>
      </c>
      <c r="D210" t="s">
        <v>25</v>
      </c>
      <c r="E210" t="s">
        <v>26</v>
      </c>
      <c r="F210" t="s">
        <v>13</v>
      </c>
      <c r="G210">
        <v>1</v>
      </c>
      <c r="H210">
        <v>3.5</v>
      </c>
      <c r="I210" t="s">
        <v>21</v>
      </c>
      <c r="J210" t="s">
        <v>428</v>
      </c>
      <c r="K210" s="12">
        <f>Store_Record[[#This Row],[Qty]]*Store_Record[[#This Row],[UnitPriceGBP]]</f>
        <v>3.5</v>
      </c>
      <c r="L210" s="5" t="str">
        <f>TEXT(Store_Record[[#This Row],[Date]],"dddd")</f>
        <v>Wednesday</v>
      </c>
      <c r="M210" s="5" t="str">
        <f>TEXT(Store_Record[[#This Row],[Date]],"mmmm")</f>
        <v>January</v>
      </c>
      <c r="N210" s="5">
        <f>YEAR(Store_Record[[#This Row],[Date]])</f>
        <v>2025</v>
      </c>
      <c r="O210"/>
    </row>
    <row r="211" spans="1:15" x14ac:dyDescent="0.35">
      <c r="A211" t="s">
        <v>416</v>
      </c>
      <c r="B211" s="2">
        <v>45672</v>
      </c>
      <c r="C211" t="s">
        <v>36</v>
      </c>
      <c r="D211" t="s">
        <v>11</v>
      </c>
      <c r="E211" t="s">
        <v>12</v>
      </c>
      <c r="F211" t="s">
        <v>13</v>
      </c>
      <c r="G211">
        <v>1</v>
      </c>
      <c r="H211">
        <v>2.5</v>
      </c>
      <c r="I211" t="s">
        <v>14</v>
      </c>
      <c r="J211" t="s">
        <v>417</v>
      </c>
      <c r="K211" s="12">
        <f>Store_Record[[#This Row],[Qty]]*Store_Record[[#This Row],[UnitPriceGBP]]</f>
        <v>2.5</v>
      </c>
      <c r="L211" s="5" t="str">
        <f>TEXT(Store_Record[[#This Row],[Date]],"dddd")</f>
        <v>Wednesday</v>
      </c>
      <c r="M211" s="5" t="str">
        <f>TEXT(Store_Record[[#This Row],[Date]],"mmmm")</f>
        <v>January</v>
      </c>
      <c r="N211" s="5">
        <f>YEAR(Store_Record[[#This Row],[Date]])</f>
        <v>2025</v>
      </c>
      <c r="O211"/>
    </row>
    <row r="212" spans="1:15" x14ac:dyDescent="0.35">
      <c r="A212" t="s">
        <v>442</v>
      </c>
      <c r="B212" s="2">
        <v>45673</v>
      </c>
      <c r="C212" t="s">
        <v>24</v>
      </c>
      <c r="D212" t="s">
        <v>38</v>
      </c>
      <c r="E212" t="s">
        <v>42</v>
      </c>
      <c r="F212" t="s">
        <v>13</v>
      </c>
      <c r="G212">
        <v>4</v>
      </c>
      <c r="H212">
        <v>3.8</v>
      </c>
      <c r="I212" t="s">
        <v>14</v>
      </c>
      <c r="J212" t="s">
        <v>443</v>
      </c>
      <c r="K212" s="12">
        <f>Store_Record[[#This Row],[Qty]]*Store_Record[[#This Row],[UnitPriceGBP]]</f>
        <v>15.2</v>
      </c>
      <c r="L212" s="5" t="str">
        <f>TEXT(Store_Record[[#This Row],[Date]],"dddd")</f>
        <v>Thursday</v>
      </c>
      <c r="M212" s="5" t="str">
        <f>TEXT(Store_Record[[#This Row],[Date]],"mmmm")</f>
        <v>January</v>
      </c>
      <c r="N212" s="5">
        <f>YEAR(Store_Record[[#This Row],[Date]])</f>
        <v>2025</v>
      </c>
      <c r="O212"/>
    </row>
    <row r="213" spans="1:15" x14ac:dyDescent="0.35">
      <c r="A213" t="s">
        <v>447</v>
      </c>
      <c r="B213" s="2">
        <v>45673</v>
      </c>
      <c r="C213" t="s">
        <v>20</v>
      </c>
      <c r="D213" t="s">
        <v>29</v>
      </c>
      <c r="E213" t="s">
        <v>42</v>
      </c>
      <c r="F213" t="s">
        <v>13</v>
      </c>
      <c r="G213">
        <v>4</v>
      </c>
      <c r="H213">
        <v>3.8</v>
      </c>
      <c r="I213" t="s">
        <v>39</v>
      </c>
      <c r="J213" t="s">
        <v>448</v>
      </c>
      <c r="K213" s="12">
        <f>Store_Record[[#This Row],[Qty]]*Store_Record[[#This Row],[UnitPriceGBP]]</f>
        <v>15.2</v>
      </c>
      <c r="L213" s="5" t="str">
        <f>TEXT(Store_Record[[#This Row],[Date]],"dddd")</f>
        <v>Thursday</v>
      </c>
      <c r="M213" s="5" t="str">
        <f>TEXT(Store_Record[[#This Row],[Date]],"mmmm")</f>
        <v>January</v>
      </c>
      <c r="N213" s="5">
        <f>YEAR(Store_Record[[#This Row],[Date]])</f>
        <v>2025</v>
      </c>
      <c r="O213"/>
    </row>
    <row r="214" spans="1:15" x14ac:dyDescent="0.35">
      <c r="A214" t="s">
        <v>435</v>
      </c>
      <c r="B214" s="2">
        <v>45673</v>
      </c>
      <c r="C214" t="s">
        <v>36</v>
      </c>
      <c r="D214" t="s">
        <v>25</v>
      </c>
      <c r="E214" t="s">
        <v>30</v>
      </c>
      <c r="F214" t="s">
        <v>31</v>
      </c>
      <c r="G214">
        <v>5</v>
      </c>
      <c r="H214">
        <v>2.8</v>
      </c>
      <c r="I214" t="s">
        <v>14</v>
      </c>
      <c r="J214" t="s">
        <v>436</v>
      </c>
      <c r="K214" s="12">
        <f>Store_Record[[#This Row],[Qty]]*Store_Record[[#This Row],[UnitPriceGBP]]</f>
        <v>14</v>
      </c>
      <c r="L214" s="5" t="str">
        <f>TEXT(Store_Record[[#This Row],[Date]],"dddd")</f>
        <v>Thursday</v>
      </c>
      <c r="M214" s="5" t="str">
        <f>TEXT(Store_Record[[#This Row],[Date]],"mmmm")</f>
        <v>January</v>
      </c>
      <c r="N214" s="5">
        <f>YEAR(Store_Record[[#This Row],[Date]])</f>
        <v>2025</v>
      </c>
      <c r="O214"/>
    </row>
    <row r="215" spans="1:15" x14ac:dyDescent="0.35">
      <c r="A215" t="s">
        <v>441</v>
      </c>
      <c r="B215" s="2">
        <v>45673</v>
      </c>
      <c r="C215" t="s">
        <v>36</v>
      </c>
      <c r="D215" t="s">
        <v>47</v>
      </c>
      <c r="E215" t="s">
        <v>30</v>
      </c>
      <c r="F215" t="s">
        <v>31</v>
      </c>
      <c r="G215">
        <v>5</v>
      </c>
      <c r="H215">
        <v>2.8</v>
      </c>
      <c r="I215" t="s">
        <v>14</v>
      </c>
      <c r="J215" t="s">
        <v>91</v>
      </c>
      <c r="K215" s="12">
        <f>Store_Record[[#This Row],[Qty]]*Store_Record[[#This Row],[UnitPriceGBP]]</f>
        <v>14</v>
      </c>
      <c r="L215" s="5" t="str">
        <f>TEXT(Store_Record[[#This Row],[Date]],"dddd")</f>
        <v>Thursday</v>
      </c>
      <c r="M215" s="5" t="str">
        <f>TEXT(Store_Record[[#This Row],[Date]],"mmmm")</f>
        <v>January</v>
      </c>
      <c r="N215" s="5">
        <f>YEAR(Store_Record[[#This Row],[Date]])</f>
        <v>2025</v>
      </c>
      <c r="O215"/>
    </row>
    <row r="216" spans="1:15" x14ac:dyDescent="0.35">
      <c r="A216" t="s">
        <v>453</v>
      </c>
      <c r="B216" s="2">
        <v>45673</v>
      </c>
      <c r="C216" t="s">
        <v>24</v>
      </c>
      <c r="D216" t="s">
        <v>25</v>
      </c>
      <c r="E216" t="s">
        <v>30</v>
      </c>
      <c r="F216" t="s">
        <v>31</v>
      </c>
      <c r="G216">
        <v>5</v>
      </c>
      <c r="H216">
        <v>2.8</v>
      </c>
      <c r="I216" t="s">
        <v>14</v>
      </c>
      <c r="J216" t="s">
        <v>454</v>
      </c>
      <c r="K216" s="12">
        <f>Store_Record[[#This Row],[Qty]]*Store_Record[[#This Row],[UnitPriceGBP]]</f>
        <v>14</v>
      </c>
      <c r="L216" s="5" t="str">
        <f>TEXT(Store_Record[[#This Row],[Date]],"dddd")</f>
        <v>Thursday</v>
      </c>
      <c r="M216" s="5" t="str">
        <f>TEXT(Store_Record[[#This Row],[Date]],"mmmm")</f>
        <v>January</v>
      </c>
      <c r="N216" s="5">
        <f>YEAR(Store_Record[[#This Row],[Date]])</f>
        <v>2025</v>
      </c>
      <c r="O216"/>
    </row>
    <row r="217" spans="1:15" x14ac:dyDescent="0.35">
      <c r="A217" t="s">
        <v>446</v>
      </c>
      <c r="B217" s="2">
        <v>45673</v>
      </c>
      <c r="C217" t="s">
        <v>10</v>
      </c>
      <c r="D217" t="s">
        <v>29</v>
      </c>
      <c r="E217" t="s">
        <v>12</v>
      </c>
      <c r="F217" t="s">
        <v>13</v>
      </c>
      <c r="G217">
        <v>5</v>
      </c>
      <c r="H217">
        <v>2.5</v>
      </c>
      <c r="I217" t="s">
        <v>14</v>
      </c>
      <c r="J217" t="s">
        <v>302</v>
      </c>
      <c r="K217" s="12">
        <f>Store_Record[[#This Row],[Qty]]*Store_Record[[#This Row],[UnitPriceGBP]]</f>
        <v>12.5</v>
      </c>
      <c r="L217" s="5" t="str">
        <f>TEXT(Store_Record[[#This Row],[Date]],"dddd")</f>
        <v>Thursday</v>
      </c>
      <c r="M217" s="5" t="str">
        <f>TEXT(Store_Record[[#This Row],[Date]],"mmmm")</f>
        <v>January</v>
      </c>
      <c r="N217" s="5">
        <f>YEAR(Store_Record[[#This Row],[Date]])</f>
        <v>2025</v>
      </c>
      <c r="O217"/>
    </row>
    <row r="218" spans="1:15" x14ac:dyDescent="0.35">
      <c r="A218" t="s">
        <v>431</v>
      </c>
      <c r="B218" s="2">
        <v>45673</v>
      </c>
      <c r="C218" t="s">
        <v>10</v>
      </c>
      <c r="D218" t="s">
        <v>25</v>
      </c>
      <c r="E218" t="s">
        <v>42</v>
      </c>
      <c r="F218" t="s">
        <v>13</v>
      </c>
      <c r="G218">
        <v>3</v>
      </c>
      <c r="H218">
        <v>3.8</v>
      </c>
      <c r="I218" t="s">
        <v>21</v>
      </c>
      <c r="J218" t="s">
        <v>432</v>
      </c>
      <c r="K218" s="12">
        <f>Store_Record[[#This Row],[Qty]]*Store_Record[[#This Row],[UnitPriceGBP]]</f>
        <v>11.399999999999999</v>
      </c>
      <c r="L218" s="5" t="str">
        <f>TEXT(Store_Record[[#This Row],[Date]],"dddd")</f>
        <v>Thursday</v>
      </c>
      <c r="M218" s="5" t="str">
        <f>TEXT(Store_Record[[#This Row],[Date]],"mmmm")</f>
        <v>January</v>
      </c>
      <c r="N218" s="5">
        <f>YEAR(Store_Record[[#This Row],[Date]])</f>
        <v>2025</v>
      </c>
      <c r="O218"/>
    </row>
    <row r="219" spans="1:15" x14ac:dyDescent="0.35">
      <c r="A219" t="s">
        <v>451</v>
      </c>
      <c r="B219" s="2">
        <v>45673</v>
      </c>
      <c r="C219" t="s">
        <v>24</v>
      </c>
      <c r="D219" t="s">
        <v>25</v>
      </c>
      <c r="E219" t="s">
        <v>30</v>
      </c>
      <c r="F219" t="s">
        <v>31</v>
      </c>
      <c r="G219">
        <v>4</v>
      </c>
      <c r="H219">
        <v>2.8</v>
      </c>
      <c r="I219" t="s">
        <v>39</v>
      </c>
      <c r="J219" t="s">
        <v>452</v>
      </c>
      <c r="K219" s="12">
        <f>Store_Record[[#This Row],[Qty]]*Store_Record[[#This Row],[UnitPriceGBP]]</f>
        <v>11.2</v>
      </c>
      <c r="L219" s="5" t="str">
        <f>TEXT(Store_Record[[#This Row],[Date]],"dddd")</f>
        <v>Thursday</v>
      </c>
      <c r="M219" s="5" t="str">
        <f>TEXT(Store_Record[[#This Row],[Date]],"mmmm")</f>
        <v>January</v>
      </c>
      <c r="N219" s="5">
        <f>YEAR(Store_Record[[#This Row],[Date]])</f>
        <v>2025</v>
      </c>
      <c r="O219"/>
    </row>
    <row r="220" spans="1:15" x14ac:dyDescent="0.35">
      <c r="A220" t="s">
        <v>433</v>
      </c>
      <c r="B220" s="2">
        <v>45673</v>
      </c>
      <c r="C220" t="s">
        <v>36</v>
      </c>
      <c r="D220" t="s">
        <v>11</v>
      </c>
      <c r="E220" t="s">
        <v>26</v>
      </c>
      <c r="F220" t="s">
        <v>13</v>
      </c>
      <c r="G220">
        <v>3</v>
      </c>
      <c r="H220">
        <v>3.5</v>
      </c>
      <c r="I220" t="s">
        <v>39</v>
      </c>
      <c r="J220" t="s">
        <v>434</v>
      </c>
      <c r="K220" s="12">
        <f>Store_Record[[#This Row],[Qty]]*Store_Record[[#This Row],[UnitPriceGBP]]</f>
        <v>10.5</v>
      </c>
      <c r="L220" s="5" t="str">
        <f>TEXT(Store_Record[[#This Row],[Date]],"dddd")</f>
        <v>Thursday</v>
      </c>
      <c r="M220" s="5" t="str">
        <f>TEXT(Store_Record[[#This Row],[Date]],"mmmm")</f>
        <v>January</v>
      </c>
      <c r="N220" s="5">
        <f>YEAR(Store_Record[[#This Row],[Date]])</f>
        <v>2025</v>
      </c>
      <c r="O220"/>
    </row>
    <row r="221" spans="1:15" x14ac:dyDescent="0.35">
      <c r="A221" t="s">
        <v>440</v>
      </c>
      <c r="B221" s="2">
        <v>45673</v>
      </c>
      <c r="C221" t="s">
        <v>24</v>
      </c>
      <c r="D221" t="s">
        <v>29</v>
      </c>
      <c r="E221" t="s">
        <v>26</v>
      </c>
      <c r="F221" t="s">
        <v>13</v>
      </c>
      <c r="G221">
        <v>3</v>
      </c>
      <c r="H221">
        <v>3.5</v>
      </c>
      <c r="I221" t="s">
        <v>14</v>
      </c>
      <c r="J221" t="s">
        <v>296</v>
      </c>
      <c r="K221" s="12">
        <f>Store_Record[[#This Row],[Qty]]*Store_Record[[#This Row],[UnitPriceGBP]]</f>
        <v>10.5</v>
      </c>
      <c r="L221" s="5" t="str">
        <f>TEXT(Store_Record[[#This Row],[Date]],"dddd")</f>
        <v>Thursday</v>
      </c>
      <c r="M221" s="5" t="str">
        <f>TEXT(Store_Record[[#This Row],[Date]],"mmmm")</f>
        <v>January</v>
      </c>
      <c r="N221" s="5">
        <f>YEAR(Store_Record[[#This Row],[Date]])</f>
        <v>2025</v>
      </c>
      <c r="O221"/>
    </row>
    <row r="222" spans="1:15" x14ac:dyDescent="0.35">
      <c r="A222" t="s">
        <v>438</v>
      </c>
      <c r="B222" s="2">
        <v>45673</v>
      </c>
      <c r="C222" t="s">
        <v>20</v>
      </c>
      <c r="D222" t="s">
        <v>29</v>
      </c>
      <c r="E222" t="s">
        <v>26</v>
      </c>
      <c r="F222" t="s">
        <v>13</v>
      </c>
      <c r="G222">
        <v>2</v>
      </c>
      <c r="H222">
        <v>3.5</v>
      </c>
      <c r="I222" t="s">
        <v>39</v>
      </c>
      <c r="J222" t="s">
        <v>439</v>
      </c>
      <c r="K222" s="12">
        <f>Store_Record[[#This Row],[Qty]]*Store_Record[[#This Row],[UnitPriceGBP]]</f>
        <v>7</v>
      </c>
      <c r="L222" s="5" t="str">
        <f>TEXT(Store_Record[[#This Row],[Date]],"dddd")</f>
        <v>Thursday</v>
      </c>
      <c r="M222" s="5" t="str">
        <f>TEXT(Store_Record[[#This Row],[Date]],"mmmm")</f>
        <v>January</v>
      </c>
      <c r="N222" s="5">
        <f>YEAR(Store_Record[[#This Row],[Date]])</f>
        <v>2025</v>
      </c>
      <c r="O222"/>
    </row>
    <row r="223" spans="1:15" x14ac:dyDescent="0.35">
      <c r="A223" t="s">
        <v>429</v>
      </c>
      <c r="B223" s="2">
        <v>45673</v>
      </c>
      <c r="C223" t="s">
        <v>10</v>
      </c>
      <c r="D223" t="s">
        <v>38</v>
      </c>
      <c r="E223" t="s">
        <v>34</v>
      </c>
      <c r="F223" t="s">
        <v>31</v>
      </c>
      <c r="G223">
        <v>3</v>
      </c>
      <c r="H223">
        <v>2.2000000000000002</v>
      </c>
      <c r="I223" t="s">
        <v>14</v>
      </c>
      <c r="J223" t="s">
        <v>430</v>
      </c>
      <c r="K223" s="12">
        <f>Store_Record[[#This Row],[Qty]]*Store_Record[[#This Row],[UnitPriceGBP]]</f>
        <v>6.6000000000000005</v>
      </c>
      <c r="L223" s="5" t="str">
        <f>TEXT(Store_Record[[#This Row],[Date]],"dddd")</f>
        <v>Thursday</v>
      </c>
      <c r="M223" s="5" t="str">
        <f>TEXT(Store_Record[[#This Row],[Date]],"mmmm")</f>
        <v>January</v>
      </c>
      <c r="N223" s="5">
        <f>YEAR(Store_Record[[#This Row],[Date]])</f>
        <v>2025</v>
      </c>
      <c r="O223"/>
    </row>
    <row r="224" spans="1:15" x14ac:dyDescent="0.35">
      <c r="A224" t="s">
        <v>437</v>
      </c>
      <c r="B224" s="2">
        <v>45673</v>
      </c>
      <c r="C224" t="s">
        <v>24</v>
      </c>
      <c r="D224" t="s">
        <v>38</v>
      </c>
      <c r="E224" t="s">
        <v>12</v>
      </c>
      <c r="F224" t="s">
        <v>13</v>
      </c>
      <c r="G224">
        <v>2</v>
      </c>
      <c r="H224">
        <v>2.5</v>
      </c>
      <c r="I224" t="s">
        <v>39</v>
      </c>
      <c r="J224" t="s">
        <v>101</v>
      </c>
      <c r="K224" s="12">
        <f>Store_Record[[#This Row],[Qty]]*Store_Record[[#This Row],[UnitPriceGBP]]</f>
        <v>5</v>
      </c>
      <c r="L224" s="5" t="str">
        <f>TEXT(Store_Record[[#This Row],[Date]],"dddd")</f>
        <v>Thursday</v>
      </c>
      <c r="M224" s="5" t="str">
        <f>TEXT(Store_Record[[#This Row],[Date]],"mmmm")</f>
        <v>January</v>
      </c>
      <c r="N224" s="5">
        <f>YEAR(Store_Record[[#This Row],[Date]])</f>
        <v>2025</v>
      </c>
      <c r="O224"/>
    </row>
    <row r="225" spans="1:15" x14ac:dyDescent="0.35">
      <c r="A225" t="s">
        <v>444</v>
      </c>
      <c r="B225" s="2">
        <v>45673</v>
      </c>
      <c r="C225" t="s">
        <v>24</v>
      </c>
      <c r="D225" t="s">
        <v>47</v>
      </c>
      <c r="E225" t="s">
        <v>12</v>
      </c>
      <c r="F225" t="s">
        <v>13</v>
      </c>
      <c r="G225">
        <v>1</v>
      </c>
      <c r="H225">
        <v>2.5</v>
      </c>
      <c r="I225" t="s">
        <v>39</v>
      </c>
      <c r="J225" t="s">
        <v>445</v>
      </c>
      <c r="K225" s="12">
        <f>Store_Record[[#This Row],[Qty]]*Store_Record[[#This Row],[UnitPriceGBP]]</f>
        <v>2.5</v>
      </c>
      <c r="L225" s="5" t="str">
        <f>TEXT(Store_Record[[#This Row],[Date]],"dddd")</f>
        <v>Thursday</v>
      </c>
      <c r="M225" s="5" t="str">
        <f>TEXT(Store_Record[[#This Row],[Date]],"mmmm")</f>
        <v>January</v>
      </c>
      <c r="N225" s="5">
        <f>YEAR(Store_Record[[#This Row],[Date]])</f>
        <v>2025</v>
      </c>
      <c r="O225"/>
    </row>
    <row r="226" spans="1:15" x14ac:dyDescent="0.35">
      <c r="A226" t="s">
        <v>449</v>
      </c>
      <c r="B226" s="2">
        <v>45673</v>
      </c>
      <c r="C226" t="s">
        <v>24</v>
      </c>
      <c r="D226" t="s">
        <v>29</v>
      </c>
      <c r="E226" t="s">
        <v>34</v>
      </c>
      <c r="F226" t="s">
        <v>31</v>
      </c>
      <c r="G226">
        <v>1</v>
      </c>
      <c r="H226">
        <v>2.2000000000000002</v>
      </c>
      <c r="I226" t="s">
        <v>21</v>
      </c>
      <c r="J226" t="s">
        <v>450</v>
      </c>
      <c r="K226" s="12">
        <f>Store_Record[[#This Row],[Qty]]*Store_Record[[#This Row],[UnitPriceGBP]]</f>
        <v>2.2000000000000002</v>
      </c>
      <c r="L226" s="5" t="str">
        <f>TEXT(Store_Record[[#This Row],[Date]],"dddd")</f>
        <v>Thursday</v>
      </c>
      <c r="M226" s="5" t="str">
        <f>TEXT(Store_Record[[#This Row],[Date]],"mmmm")</f>
        <v>January</v>
      </c>
      <c r="N226" s="5">
        <f>YEAR(Store_Record[[#This Row],[Date]])</f>
        <v>2025</v>
      </c>
      <c r="O226"/>
    </row>
    <row r="227" spans="1:15" x14ac:dyDescent="0.35">
      <c r="A227" t="s">
        <v>469</v>
      </c>
      <c r="B227" s="2">
        <v>45674</v>
      </c>
      <c r="C227" t="s">
        <v>10</v>
      </c>
      <c r="D227" t="s">
        <v>47</v>
      </c>
      <c r="E227" t="s">
        <v>42</v>
      </c>
      <c r="F227" t="s">
        <v>13</v>
      </c>
      <c r="G227">
        <v>4</v>
      </c>
      <c r="H227">
        <v>3.8</v>
      </c>
      <c r="I227" t="s">
        <v>14</v>
      </c>
      <c r="J227" t="s">
        <v>470</v>
      </c>
      <c r="K227" s="12">
        <f>Store_Record[[#This Row],[Qty]]*Store_Record[[#This Row],[UnitPriceGBP]]</f>
        <v>15.2</v>
      </c>
      <c r="L227" s="5" t="str">
        <f>TEXT(Store_Record[[#This Row],[Date]],"dddd")</f>
        <v>Friday</v>
      </c>
      <c r="M227" s="5" t="str">
        <f>TEXT(Store_Record[[#This Row],[Date]],"mmmm")</f>
        <v>January</v>
      </c>
      <c r="N227" s="5">
        <f>YEAR(Store_Record[[#This Row],[Date]])</f>
        <v>2025</v>
      </c>
      <c r="O227"/>
    </row>
    <row r="228" spans="1:15" x14ac:dyDescent="0.35">
      <c r="A228" t="s">
        <v>479</v>
      </c>
      <c r="B228" s="2">
        <v>45674</v>
      </c>
      <c r="C228" t="s">
        <v>36</v>
      </c>
      <c r="D228" t="s">
        <v>38</v>
      </c>
      <c r="E228" t="s">
        <v>30</v>
      </c>
      <c r="F228" t="s">
        <v>31</v>
      </c>
      <c r="G228">
        <v>5</v>
      </c>
      <c r="H228">
        <v>2.8</v>
      </c>
      <c r="I228" t="s">
        <v>14</v>
      </c>
      <c r="J228" t="s">
        <v>362</v>
      </c>
      <c r="K228" s="12">
        <f>Store_Record[[#This Row],[Qty]]*Store_Record[[#This Row],[UnitPriceGBP]]</f>
        <v>14</v>
      </c>
      <c r="L228" s="5" t="str">
        <f>TEXT(Store_Record[[#This Row],[Date]],"dddd")</f>
        <v>Friday</v>
      </c>
      <c r="M228" s="5" t="str">
        <f>TEXT(Store_Record[[#This Row],[Date]],"mmmm")</f>
        <v>January</v>
      </c>
      <c r="N228" s="5">
        <f>YEAR(Store_Record[[#This Row],[Date]])</f>
        <v>2025</v>
      </c>
      <c r="O228"/>
    </row>
    <row r="229" spans="1:15" x14ac:dyDescent="0.35">
      <c r="A229" t="s">
        <v>471</v>
      </c>
      <c r="B229" s="2">
        <v>45674</v>
      </c>
      <c r="C229" t="s">
        <v>24</v>
      </c>
      <c r="D229" t="s">
        <v>38</v>
      </c>
      <c r="E229" t="s">
        <v>42</v>
      </c>
      <c r="F229" t="s">
        <v>13</v>
      </c>
      <c r="G229">
        <v>3</v>
      </c>
      <c r="H229">
        <v>3.8</v>
      </c>
      <c r="I229" t="s">
        <v>39</v>
      </c>
      <c r="J229" t="s">
        <v>472</v>
      </c>
      <c r="K229" s="12">
        <f>Store_Record[[#This Row],[Qty]]*Store_Record[[#This Row],[UnitPriceGBP]]</f>
        <v>11.399999999999999</v>
      </c>
      <c r="L229" s="5" t="str">
        <f>TEXT(Store_Record[[#This Row],[Date]],"dddd")</f>
        <v>Friday</v>
      </c>
      <c r="M229" s="5" t="str">
        <f>TEXT(Store_Record[[#This Row],[Date]],"mmmm")</f>
        <v>January</v>
      </c>
      <c r="N229" s="5">
        <f>YEAR(Store_Record[[#This Row],[Date]])</f>
        <v>2025</v>
      </c>
      <c r="O229"/>
    </row>
    <row r="230" spans="1:15" x14ac:dyDescent="0.35">
      <c r="A230" t="s">
        <v>480</v>
      </c>
      <c r="B230" s="2">
        <v>45674</v>
      </c>
      <c r="C230" t="s">
        <v>36</v>
      </c>
      <c r="D230" t="s">
        <v>11</v>
      </c>
      <c r="E230" t="s">
        <v>42</v>
      </c>
      <c r="F230" t="s">
        <v>13</v>
      </c>
      <c r="G230">
        <v>3</v>
      </c>
      <c r="H230">
        <v>3.8</v>
      </c>
      <c r="I230" t="s">
        <v>39</v>
      </c>
      <c r="J230" t="s">
        <v>481</v>
      </c>
      <c r="K230" s="12">
        <f>Store_Record[[#This Row],[Qty]]*Store_Record[[#This Row],[UnitPriceGBP]]</f>
        <v>11.399999999999999</v>
      </c>
      <c r="L230" s="5" t="str">
        <f>TEXT(Store_Record[[#This Row],[Date]],"dddd")</f>
        <v>Friday</v>
      </c>
      <c r="M230" s="5" t="str">
        <f>TEXT(Store_Record[[#This Row],[Date]],"mmmm")</f>
        <v>January</v>
      </c>
      <c r="N230" s="5">
        <f>YEAR(Store_Record[[#This Row],[Date]])</f>
        <v>2025</v>
      </c>
      <c r="O230"/>
    </row>
    <row r="231" spans="1:15" x14ac:dyDescent="0.35">
      <c r="A231" t="s">
        <v>475</v>
      </c>
      <c r="B231" s="2">
        <v>45674</v>
      </c>
      <c r="C231" t="s">
        <v>20</v>
      </c>
      <c r="D231" t="s">
        <v>47</v>
      </c>
      <c r="E231" t="s">
        <v>30</v>
      </c>
      <c r="F231" t="s">
        <v>31</v>
      </c>
      <c r="G231">
        <v>4</v>
      </c>
      <c r="H231">
        <v>2.8</v>
      </c>
      <c r="I231" t="s">
        <v>14</v>
      </c>
      <c r="J231" t="s">
        <v>476</v>
      </c>
      <c r="K231" s="12">
        <f>Store_Record[[#This Row],[Qty]]*Store_Record[[#This Row],[UnitPriceGBP]]</f>
        <v>11.2</v>
      </c>
      <c r="L231" s="5" t="str">
        <f>TEXT(Store_Record[[#This Row],[Date]],"dddd")</f>
        <v>Friday</v>
      </c>
      <c r="M231" s="5" t="str">
        <f>TEXT(Store_Record[[#This Row],[Date]],"mmmm")</f>
        <v>January</v>
      </c>
      <c r="N231" s="5">
        <f>YEAR(Store_Record[[#This Row],[Date]])</f>
        <v>2025</v>
      </c>
      <c r="O231"/>
    </row>
    <row r="232" spans="1:15" x14ac:dyDescent="0.35">
      <c r="A232" t="s">
        <v>473</v>
      </c>
      <c r="B232" s="2">
        <v>45674</v>
      </c>
      <c r="C232" t="s">
        <v>10</v>
      </c>
      <c r="D232" t="s">
        <v>25</v>
      </c>
      <c r="E232" t="s">
        <v>12</v>
      </c>
      <c r="F232" t="s">
        <v>13</v>
      </c>
      <c r="G232">
        <v>4</v>
      </c>
      <c r="H232">
        <v>2.5</v>
      </c>
      <c r="I232" t="s">
        <v>14</v>
      </c>
      <c r="J232" t="s">
        <v>474</v>
      </c>
      <c r="K232" s="12">
        <f>Store_Record[[#This Row],[Qty]]*Store_Record[[#This Row],[UnitPriceGBP]]</f>
        <v>10</v>
      </c>
      <c r="L232" s="5" t="str">
        <f>TEXT(Store_Record[[#This Row],[Date]],"dddd")</f>
        <v>Friday</v>
      </c>
      <c r="M232" s="5" t="str">
        <f>TEXT(Store_Record[[#This Row],[Date]],"mmmm")</f>
        <v>January</v>
      </c>
      <c r="N232" s="5">
        <f>YEAR(Store_Record[[#This Row],[Date]])</f>
        <v>2025</v>
      </c>
      <c r="O232"/>
    </row>
    <row r="233" spans="1:15" x14ac:dyDescent="0.35">
      <c r="A233" t="s">
        <v>461</v>
      </c>
      <c r="B233" s="2">
        <v>45674</v>
      </c>
      <c r="C233" t="s">
        <v>20</v>
      </c>
      <c r="D233" t="s">
        <v>47</v>
      </c>
      <c r="E233" t="s">
        <v>34</v>
      </c>
      <c r="F233" t="s">
        <v>31</v>
      </c>
      <c r="G233">
        <v>4</v>
      </c>
      <c r="H233">
        <v>2.2000000000000002</v>
      </c>
      <c r="I233" t="s">
        <v>14</v>
      </c>
      <c r="J233" t="s">
        <v>462</v>
      </c>
      <c r="K233" s="12">
        <f>Store_Record[[#This Row],[Qty]]*Store_Record[[#This Row],[UnitPriceGBP]]</f>
        <v>8.8000000000000007</v>
      </c>
      <c r="L233" s="5" t="str">
        <f>TEXT(Store_Record[[#This Row],[Date]],"dddd")</f>
        <v>Friday</v>
      </c>
      <c r="M233" s="5" t="str">
        <f>TEXT(Store_Record[[#This Row],[Date]],"mmmm")</f>
        <v>January</v>
      </c>
      <c r="N233" s="5">
        <f>YEAR(Store_Record[[#This Row],[Date]])</f>
        <v>2025</v>
      </c>
      <c r="O233"/>
    </row>
    <row r="234" spans="1:15" x14ac:dyDescent="0.35">
      <c r="A234" t="s">
        <v>457</v>
      </c>
      <c r="B234" s="2">
        <v>45674</v>
      </c>
      <c r="C234" t="s">
        <v>10</v>
      </c>
      <c r="D234" t="s">
        <v>38</v>
      </c>
      <c r="E234" t="s">
        <v>42</v>
      </c>
      <c r="F234" t="s">
        <v>13</v>
      </c>
      <c r="G234">
        <v>2</v>
      </c>
      <c r="H234">
        <v>3.8</v>
      </c>
      <c r="I234" t="s">
        <v>39</v>
      </c>
      <c r="J234" t="s">
        <v>458</v>
      </c>
      <c r="K234" s="12">
        <f>Store_Record[[#This Row],[Qty]]*Store_Record[[#This Row],[UnitPriceGBP]]</f>
        <v>7.6</v>
      </c>
      <c r="L234" s="5" t="str">
        <f>TEXT(Store_Record[[#This Row],[Date]],"dddd")</f>
        <v>Friday</v>
      </c>
      <c r="M234" s="5" t="str">
        <f>TEXT(Store_Record[[#This Row],[Date]],"mmmm")</f>
        <v>January</v>
      </c>
      <c r="N234" s="5">
        <f>YEAR(Store_Record[[#This Row],[Date]])</f>
        <v>2025</v>
      </c>
      <c r="O234"/>
    </row>
    <row r="235" spans="1:15" x14ac:dyDescent="0.35">
      <c r="A235" t="s">
        <v>467</v>
      </c>
      <c r="B235" s="2">
        <v>45674</v>
      </c>
      <c r="C235" t="s">
        <v>10</v>
      </c>
      <c r="D235" t="s">
        <v>29</v>
      </c>
      <c r="E235" t="s">
        <v>12</v>
      </c>
      <c r="F235" t="s">
        <v>13</v>
      </c>
      <c r="G235">
        <v>3</v>
      </c>
      <c r="H235">
        <v>2.5</v>
      </c>
      <c r="I235" t="s">
        <v>39</v>
      </c>
      <c r="J235" t="s">
        <v>468</v>
      </c>
      <c r="K235" s="12">
        <f>Store_Record[[#This Row],[Qty]]*Store_Record[[#This Row],[UnitPriceGBP]]</f>
        <v>7.5</v>
      </c>
      <c r="L235" s="5" t="str">
        <f>TEXT(Store_Record[[#This Row],[Date]],"dddd")</f>
        <v>Friday</v>
      </c>
      <c r="M235" s="5" t="str">
        <f>TEXT(Store_Record[[#This Row],[Date]],"mmmm")</f>
        <v>January</v>
      </c>
      <c r="N235" s="5">
        <f>YEAR(Store_Record[[#This Row],[Date]])</f>
        <v>2025</v>
      </c>
      <c r="O235"/>
    </row>
    <row r="236" spans="1:15" x14ac:dyDescent="0.35">
      <c r="A236" t="s">
        <v>477</v>
      </c>
      <c r="B236" s="2">
        <v>45674</v>
      </c>
      <c r="C236" t="s">
        <v>24</v>
      </c>
      <c r="D236" t="s">
        <v>38</v>
      </c>
      <c r="E236" t="s">
        <v>12</v>
      </c>
      <c r="F236" t="s">
        <v>13</v>
      </c>
      <c r="G236">
        <v>3</v>
      </c>
      <c r="H236">
        <v>2.5</v>
      </c>
      <c r="I236" t="s">
        <v>21</v>
      </c>
      <c r="J236" t="s">
        <v>478</v>
      </c>
      <c r="K236" s="12">
        <f>Store_Record[[#This Row],[Qty]]*Store_Record[[#This Row],[UnitPriceGBP]]</f>
        <v>7.5</v>
      </c>
      <c r="L236" s="5" t="str">
        <f>TEXT(Store_Record[[#This Row],[Date]],"dddd")</f>
        <v>Friday</v>
      </c>
      <c r="M236" s="5" t="str">
        <f>TEXT(Store_Record[[#This Row],[Date]],"mmmm")</f>
        <v>January</v>
      </c>
      <c r="N236" s="5">
        <f>YEAR(Store_Record[[#This Row],[Date]])</f>
        <v>2025</v>
      </c>
      <c r="O236"/>
    </row>
    <row r="237" spans="1:15" x14ac:dyDescent="0.35">
      <c r="A237" t="s">
        <v>455</v>
      </c>
      <c r="B237" s="2">
        <v>45674</v>
      </c>
      <c r="C237" t="s">
        <v>24</v>
      </c>
      <c r="D237" t="s">
        <v>38</v>
      </c>
      <c r="E237" t="s">
        <v>34</v>
      </c>
      <c r="F237" t="s">
        <v>31</v>
      </c>
      <c r="G237">
        <v>3</v>
      </c>
      <c r="H237">
        <v>2.2000000000000002</v>
      </c>
      <c r="I237" t="s">
        <v>39</v>
      </c>
      <c r="J237" t="s">
        <v>456</v>
      </c>
      <c r="K237" s="12">
        <f>Store_Record[[#This Row],[Qty]]*Store_Record[[#This Row],[UnitPriceGBP]]</f>
        <v>6.6000000000000005</v>
      </c>
      <c r="L237" s="5" t="str">
        <f>TEXT(Store_Record[[#This Row],[Date]],"dddd")</f>
        <v>Friday</v>
      </c>
      <c r="M237" s="5" t="str">
        <f>TEXT(Store_Record[[#This Row],[Date]],"mmmm")</f>
        <v>January</v>
      </c>
      <c r="N237" s="5">
        <f>YEAR(Store_Record[[#This Row],[Date]])</f>
        <v>2025</v>
      </c>
      <c r="O237"/>
    </row>
    <row r="238" spans="1:15" x14ac:dyDescent="0.35">
      <c r="A238" t="s">
        <v>465</v>
      </c>
      <c r="B238" s="2">
        <v>45674</v>
      </c>
      <c r="C238" t="s">
        <v>10</v>
      </c>
      <c r="D238" t="s">
        <v>11</v>
      </c>
      <c r="E238" t="s">
        <v>34</v>
      </c>
      <c r="F238" t="s">
        <v>31</v>
      </c>
      <c r="G238">
        <v>2</v>
      </c>
      <c r="H238">
        <v>2.2000000000000002</v>
      </c>
      <c r="I238" t="s">
        <v>39</v>
      </c>
      <c r="J238" t="s">
        <v>466</v>
      </c>
      <c r="K238" s="12">
        <f>Store_Record[[#This Row],[Qty]]*Store_Record[[#This Row],[UnitPriceGBP]]</f>
        <v>4.4000000000000004</v>
      </c>
      <c r="L238" s="5" t="str">
        <f>TEXT(Store_Record[[#This Row],[Date]],"dddd")</f>
        <v>Friday</v>
      </c>
      <c r="M238" s="5" t="str">
        <f>TEXT(Store_Record[[#This Row],[Date]],"mmmm")</f>
        <v>January</v>
      </c>
      <c r="N238" s="5">
        <f>YEAR(Store_Record[[#This Row],[Date]])</f>
        <v>2025</v>
      </c>
      <c r="O238"/>
    </row>
    <row r="239" spans="1:15" x14ac:dyDescent="0.35">
      <c r="A239" t="s">
        <v>463</v>
      </c>
      <c r="B239" s="2">
        <v>45674</v>
      </c>
      <c r="C239" t="s">
        <v>36</v>
      </c>
      <c r="D239" t="s">
        <v>29</v>
      </c>
      <c r="E239" t="s">
        <v>42</v>
      </c>
      <c r="F239" t="s">
        <v>13</v>
      </c>
      <c r="G239">
        <v>1</v>
      </c>
      <c r="H239">
        <v>3.8</v>
      </c>
      <c r="I239" t="s">
        <v>14</v>
      </c>
      <c r="J239" t="s">
        <v>464</v>
      </c>
      <c r="K239" s="12">
        <f>Store_Record[[#This Row],[Qty]]*Store_Record[[#This Row],[UnitPriceGBP]]</f>
        <v>3.8</v>
      </c>
      <c r="L239" s="5" t="str">
        <f>TEXT(Store_Record[[#This Row],[Date]],"dddd")</f>
        <v>Friday</v>
      </c>
      <c r="M239" s="5" t="str">
        <f>TEXT(Store_Record[[#This Row],[Date]],"mmmm")</f>
        <v>January</v>
      </c>
      <c r="N239" s="5">
        <f>YEAR(Store_Record[[#This Row],[Date]])</f>
        <v>2025</v>
      </c>
      <c r="O239"/>
    </row>
    <row r="240" spans="1:15" x14ac:dyDescent="0.35">
      <c r="A240" t="s">
        <v>459</v>
      </c>
      <c r="B240" s="2">
        <v>45674</v>
      </c>
      <c r="C240" t="s">
        <v>24</v>
      </c>
      <c r="D240" t="s">
        <v>38</v>
      </c>
      <c r="E240" t="s">
        <v>26</v>
      </c>
      <c r="F240" t="s">
        <v>13</v>
      </c>
      <c r="G240">
        <v>1</v>
      </c>
      <c r="H240">
        <v>3.5</v>
      </c>
      <c r="I240" t="s">
        <v>21</v>
      </c>
      <c r="J240" t="s">
        <v>460</v>
      </c>
      <c r="K240" s="12">
        <f>Store_Record[[#This Row],[Qty]]*Store_Record[[#This Row],[UnitPriceGBP]]</f>
        <v>3.5</v>
      </c>
      <c r="L240" s="5" t="str">
        <f>TEXT(Store_Record[[#This Row],[Date]],"dddd")</f>
        <v>Friday</v>
      </c>
      <c r="M240" s="5" t="str">
        <f>TEXT(Store_Record[[#This Row],[Date]],"mmmm")</f>
        <v>January</v>
      </c>
      <c r="N240" s="5">
        <f>YEAR(Store_Record[[#This Row],[Date]])</f>
        <v>2025</v>
      </c>
      <c r="O240"/>
    </row>
    <row r="241" spans="1:15" x14ac:dyDescent="0.35">
      <c r="A241" t="s">
        <v>485</v>
      </c>
      <c r="B241" s="2">
        <v>45675</v>
      </c>
      <c r="C241" t="s">
        <v>20</v>
      </c>
      <c r="D241" t="s">
        <v>25</v>
      </c>
      <c r="E241" t="s">
        <v>26</v>
      </c>
      <c r="F241" t="s">
        <v>13</v>
      </c>
      <c r="G241">
        <v>5</v>
      </c>
      <c r="H241">
        <v>3.5</v>
      </c>
      <c r="I241" t="s">
        <v>21</v>
      </c>
      <c r="J241" t="s">
        <v>234</v>
      </c>
      <c r="K241" s="12">
        <f>Store_Record[[#This Row],[Qty]]*Store_Record[[#This Row],[UnitPriceGBP]]</f>
        <v>17.5</v>
      </c>
      <c r="L241" s="5" t="str">
        <f>TEXT(Store_Record[[#This Row],[Date]],"dddd")</f>
        <v>Saturday</v>
      </c>
      <c r="M241" s="5" t="str">
        <f>TEXT(Store_Record[[#This Row],[Date]],"mmmm")</f>
        <v>January</v>
      </c>
      <c r="N241" s="5">
        <f>YEAR(Store_Record[[#This Row],[Date]])</f>
        <v>2025</v>
      </c>
      <c r="O241"/>
    </row>
    <row r="242" spans="1:15" x14ac:dyDescent="0.35">
      <c r="A242" t="s">
        <v>486</v>
      </c>
      <c r="B242" s="2">
        <v>45675</v>
      </c>
      <c r="C242" t="s">
        <v>36</v>
      </c>
      <c r="D242" t="s">
        <v>38</v>
      </c>
      <c r="E242" t="s">
        <v>34</v>
      </c>
      <c r="F242" t="s">
        <v>31</v>
      </c>
      <c r="G242">
        <v>5</v>
      </c>
      <c r="H242">
        <v>2.2000000000000002</v>
      </c>
      <c r="I242" t="s">
        <v>14</v>
      </c>
      <c r="J242" t="s">
        <v>52</v>
      </c>
      <c r="K242" s="12">
        <f>Store_Record[[#This Row],[Qty]]*Store_Record[[#This Row],[UnitPriceGBP]]</f>
        <v>11</v>
      </c>
      <c r="L242" s="5" t="str">
        <f>TEXT(Store_Record[[#This Row],[Date]],"dddd")</f>
        <v>Saturday</v>
      </c>
      <c r="M242" s="5" t="str">
        <f>TEXT(Store_Record[[#This Row],[Date]],"mmmm")</f>
        <v>January</v>
      </c>
      <c r="N242" s="5">
        <f>YEAR(Store_Record[[#This Row],[Date]])</f>
        <v>2025</v>
      </c>
      <c r="O242"/>
    </row>
    <row r="243" spans="1:15" x14ac:dyDescent="0.35">
      <c r="A243" t="s">
        <v>482</v>
      </c>
      <c r="B243" s="2">
        <v>45675</v>
      </c>
      <c r="C243" t="s">
        <v>36</v>
      </c>
      <c r="D243" t="s">
        <v>38</v>
      </c>
      <c r="E243" t="s">
        <v>30</v>
      </c>
      <c r="F243" t="s">
        <v>31</v>
      </c>
      <c r="G243">
        <v>3</v>
      </c>
      <c r="H243">
        <v>2.8</v>
      </c>
      <c r="I243" t="s">
        <v>39</v>
      </c>
      <c r="J243" t="s">
        <v>304</v>
      </c>
      <c r="K243" s="12">
        <f>Store_Record[[#This Row],[Qty]]*Store_Record[[#This Row],[UnitPriceGBP]]</f>
        <v>8.3999999999999986</v>
      </c>
      <c r="L243" s="5" t="str">
        <f>TEXT(Store_Record[[#This Row],[Date]],"dddd")</f>
        <v>Saturday</v>
      </c>
      <c r="M243" s="5" t="str">
        <f>TEXT(Store_Record[[#This Row],[Date]],"mmmm")</f>
        <v>January</v>
      </c>
      <c r="N243" s="5">
        <f>YEAR(Store_Record[[#This Row],[Date]])</f>
        <v>2025</v>
      </c>
      <c r="O243"/>
    </row>
    <row r="244" spans="1:15" x14ac:dyDescent="0.35">
      <c r="A244" t="s">
        <v>487</v>
      </c>
      <c r="B244" s="2">
        <v>45675</v>
      </c>
      <c r="C244" t="s">
        <v>10</v>
      </c>
      <c r="D244" t="s">
        <v>11</v>
      </c>
      <c r="E244" t="s">
        <v>26</v>
      </c>
      <c r="F244" t="s">
        <v>13</v>
      </c>
      <c r="G244">
        <v>2</v>
      </c>
      <c r="H244">
        <v>3.5</v>
      </c>
      <c r="I244" t="s">
        <v>39</v>
      </c>
      <c r="J244" t="s">
        <v>169</v>
      </c>
      <c r="K244" s="12">
        <f>Store_Record[[#This Row],[Qty]]*Store_Record[[#This Row],[UnitPriceGBP]]</f>
        <v>7</v>
      </c>
      <c r="L244" s="5" t="str">
        <f>TEXT(Store_Record[[#This Row],[Date]],"dddd")</f>
        <v>Saturday</v>
      </c>
      <c r="M244" s="5" t="str">
        <f>TEXT(Store_Record[[#This Row],[Date]],"mmmm")</f>
        <v>January</v>
      </c>
      <c r="N244" s="5">
        <f>YEAR(Store_Record[[#This Row],[Date]])</f>
        <v>2025</v>
      </c>
      <c r="O244"/>
    </row>
    <row r="245" spans="1:15" x14ac:dyDescent="0.35">
      <c r="A245" t="s">
        <v>483</v>
      </c>
      <c r="B245" s="2">
        <v>45675</v>
      </c>
      <c r="C245" t="s">
        <v>10</v>
      </c>
      <c r="D245" t="s">
        <v>11</v>
      </c>
      <c r="E245" t="s">
        <v>34</v>
      </c>
      <c r="F245" t="s">
        <v>31</v>
      </c>
      <c r="G245">
        <v>3</v>
      </c>
      <c r="H245">
        <v>2.2000000000000002</v>
      </c>
      <c r="I245" t="s">
        <v>21</v>
      </c>
      <c r="J245" t="s">
        <v>484</v>
      </c>
      <c r="K245" s="12">
        <f>Store_Record[[#This Row],[Qty]]*Store_Record[[#This Row],[UnitPriceGBP]]</f>
        <v>6.6000000000000005</v>
      </c>
      <c r="L245" s="5" t="str">
        <f>TEXT(Store_Record[[#This Row],[Date]],"dddd")</f>
        <v>Saturday</v>
      </c>
      <c r="M245" s="5" t="str">
        <f>TEXT(Store_Record[[#This Row],[Date]],"mmmm")</f>
        <v>January</v>
      </c>
      <c r="N245" s="5">
        <f>YEAR(Store_Record[[#This Row],[Date]])</f>
        <v>2025</v>
      </c>
      <c r="O245"/>
    </row>
    <row r="246" spans="1:15" x14ac:dyDescent="0.35">
      <c r="A246" t="s">
        <v>488</v>
      </c>
      <c r="B246" s="2">
        <v>45675</v>
      </c>
      <c r="C246" t="s">
        <v>36</v>
      </c>
      <c r="D246" t="s">
        <v>47</v>
      </c>
      <c r="E246" t="s">
        <v>34</v>
      </c>
      <c r="F246" t="s">
        <v>31</v>
      </c>
      <c r="G246">
        <v>3</v>
      </c>
      <c r="H246">
        <v>2.2000000000000002</v>
      </c>
      <c r="I246" t="s">
        <v>39</v>
      </c>
      <c r="J246" t="s">
        <v>262</v>
      </c>
      <c r="K246" s="12">
        <f>Store_Record[[#This Row],[Qty]]*Store_Record[[#This Row],[UnitPriceGBP]]</f>
        <v>6.6000000000000005</v>
      </c>
      <c r="L246" s="5" t="str">
        <f>TEXT(Store_Record[[#This Row],[Date]],"dddd")</f>
        <v>Saturday</v>
      </c>
      <c r="M246" s="5" t="str">
        <f>TEXT(Store_Record[[#This Row],[Date]],"mmmm")</f>
        <v>January</v>
      </c>
      <c r="N246" s="5">
        <f>YEAR(Store_Record[[#This Row],[Date]])</f>
        <v>2025</v>
      </c>
      <c r="O246"/>
    </row>
    <row r="247" spans="1:15" x14ac:dyDescent="0.35">
      <c r="A247" t="s">
        <v>489</v>
      </c>
      <c r="B247" s="2">
        <v>45675</v>
      </c>
      <c r="C247" t="s">
        <v>10</v>
      </c>
      <c r="D247" t="s">
        <v>47</v>
      </c>
      <c r="E247" t="s">
        <v>34</v>
      </c>
      <c r="F247" t="s">
        <v>31</v>
      </c>
      <c r="G247">
        <v>2</v>
      </c>
      <c r="H247">
        <v>2.2000000000000002</v>
      </c>
      <c r="I247" t="s">
        <v>39</v>
      </c>
      <c r="J247" t="s">
        <v>490</v>
      </c>
      <c r="K247" s="12">
        <f>Store_Record[[#This Row],[Qty]]*Store_Record[[#This Row],[UnitPriceGBP]]</f>
        <v>4.4000000000000004</v>
      </c>
      <c r="L247" s="5" t="str">
        <f>TEXT(Store_Record[[#This Row],[Date]],"dddd")</f>
        <v>Saturday</v>
      </c>
      <c r="M247" s="5" t="str">
        <f>TEXT(Store_Record[[#This Row],[Date]],"mmmm")</f>
        <v>January</v>
      </c>
      <c r="N247" s="5">
        <f>YEAR(Store_Record[[#This Row],[Date]])</f>
        <v>2025</v>
      </c>
      <c r="O247"/>
    </row>
    <row r="248" spans="1:15" x14ac:dyDescent="0.35">
      <c r="A248" t="s">
        <v>505</v>
      </c>
      <c r="B248" s="2">
        <v>45676</v>
      </c>
      <c r="C248" t="s">
        <v>24</v>
      </c>
      <c r="D248" t="s">
        <v>29</v>
      </c>
      <c r="E248" t="s">
        <v>30</v>
      </c>
      <c r="F248" t="s">
        <v>31</v>
      </c>
      <c r="G248">
        <v>5</v>
      </c>
      <c r="H248">
        <v>2.8</v>
      </c>
      <c r="I248" t="s">
        <v>14</v>
      </c>
      <c r="J248" t="s">
        <v>506</v>
      </c>
      <c r="K248" s="12">
        <f>Store_Record[[#This Row],[Qty]]*Store_Record[[#This Row],[UnitPriceGBP]]</f>
        <v>14</v>
      </c>
      <c r="L248" s="5" t="str">
        <f>TEXT(Store_Record[[#This Row],[Date]],"dddd")</f>
        <v>Sunday</v>
      </c>
      <c r="M248" s="5" t="str">
        <f>TEXT(Store_Record[[#This Row],[Date]],"mmmm")</f>
        <v>January</v>
      </c>
      <c r="N248" s="5">
        <f>YEAR(Store_Record[[#This Row],[Date]])</f>
        <v>2025</v>
      </c>
      <c r="O248"/>
    </row>
    <row r="249" spans="1:15" x14ac:dyDescent="0.35">
      <c r="A249" t="s">
        <v>507</v>
      </c>
      <c r="B249" s="2">
        <v>45676</v>
      </c>
      <c r="C249" t="s">
        <v>10</v>
      </c>
      <c r="D249" t="s">
        <v>11</v>
      </c>
      <c r="E249" t="s">
        <v>30</v>
      </c>
      <c r="F249" t="s">
        <v>31</v>
      </c>
      <c r="G249">
        <v>5</v>
      </c>
      <c r="H249">
        <v>2.8</v>
      </c>
      <c r="I249" t="s">
        <v>14</v>
      </c>
      <c r="J249" t="s">
        <v>508</v>
      </c>
      <c r="K249" s="12">
        <f>Store_Record[[#This Row],[Qty]]*Store_Record[[#This Row],[UnitPriceGBP]]</f>
        <v>14</v>
      </c>
      <c r="L249" s="5" t="str">
        <f>TEXT(Store_Record[[#This Row],[Date]],"dddd")</f>
        <v>Sunday</v>
      </c>
      <c r="M249" s="5" t="str">
        <f>TEXT(Store_Record[[#This Row],[Date]],"mmmm")</f>
        <v>January</v>
      </c>
      <c r="N249" s="5">
        <f>YEAR(Store_Record[[#This Row],[Date]])</f>
        <v>2025</v>
      </c>
      <c r="O249"/>
    </row>
    <row r="250" spans="1:15" x14ac:dyDescent="0.35">
      <c r="A250" t="s">
        <v>500</v>
      </c>
      <c r="B250" s="2">
        <v>45676</v>
      </c>
      <c r="C250" t="s">
        <v>10</v>
      </c>
      <c r="D250" t="s">
        <v>25</v>
      </c>
      <c r="E250" t="s">
        <v>30</v>
      </c>
      <c r="F250" t="s">
        <v>31</v>
      </c>
      <c r="G250">
        <v>4</v>
      </c>
      <c r="H250">
        <v>2.8</v>
      </c>
      <c r="I250" t="s">
        <v>39</v>
      </c>
      <c r="J250" t="s">
        <v>501</v>
      </c>
      <c r="K250" s="12">
        <f>Store_Record[[#This Row],[Qty]]*Store_Record[[#This Row],[UnitPriceGBP]]</f>
        <v>11.2</v>
      </c>
      <c r="L250" s="5" t="str">
        <f>TEXT(Store_Record[[#This Row],[Date]],"dddd")</f>
        <v>Sunday</v>
      </c>
      <c r="M250" s="5" t="str">
        <f>TEXT(Store_Record[[#This Row],[Date]],"mmmm")</f>
        <v>January</v>
      </c>
      <c r="N250" s="5">
        <f>YEAR(Store_Record[[#This Row],[Date]])</f>
        <v>2025</v>
      </c>
      <c r="O250"/>
    </row>
    <row r="251" spans="1:15" x14ac:dyDescent="0.35">
      <c r="A251" t="s">
        <v>494</v>
      </c>
      <c r="B251" s="2">
        <v>45676</v>
      </c>
      <c r="C251" t="s">
        <v>10</v>
      </c>
      <c r="D251" t="s">
        <v>25</v>
      </c>
      <c r="E251" t="s">
        <v>34</v>
      </c>
      <c r="F251" t="s">
        <v>31</v>
      </c>
      <c r="G251">
        <v>4</v>
      </c>
      <c r="H251">
        <v>2.2000000000000002</v>
      </c>
      <c r="I251" t="s">
        <v>21</v>
      </c>
      <c r="J251" t="s">
        <v>495</v>
      </c>
      <c r="K251" s="12">
        <f>Store_Record[[#This Row],[Qty]]*Store_Record[[#This Row],[UnitPriceGBP]]</f>
        <v>8.8000000000000007</v>
      </c>
      <c r="L251" s="5" t="str">
        <f>TEXT(Store_Record[[#This Row],[Date]],"dddd")</f>
        <v>Sunday</v>
      </c>
      <c r="M251" s="5" t="str">
        <f>TEXT(Store_Record[[#This Row],[Date]],"mmmm")</f>
        <v>January</v>
      </c>
      <c r="N251" s="5">
        <f>YEAR(Store_Record[[#This Row],[Date]])</f>
        <v>2025</v>
      </c>
      <c r="O251"/>
    </row>
    <row r="252" spans="1:15" x14ac:dyDescent="0.35">
      <c r="A252" t="s">
        <v>498</v>
      </c>
      <c r="B252" s="2">
        <v>45676</v>
      </c>
      <c r="C252" t="s">
        <v>24</v>
      </c>
      <c r="D252" t="s">
        <v>38</v>
      </c>
      <c r="E252" t="s">
        <v>12</v>
      </c>
      <c r="F252" t="s">
        <v>13</v>
      </c>
      <c r="G252">
        <v>3</v>
      </c>
      <c r="H252">
        <v>2.5</v>
      </c>
      <c r="I252" t="s">
        <v>21</v>
      </c>
      <c r="J252" t="s">
        <v>499</v>
      </c>
      <c r="K252" s="12">
        <f>Store_Record[[#This Row],[Qty]]*Store_Record[[#This Row],[UnitPriceGBP]]</f>
        <v>7.5</v>
      </c>
      <c r="L252" s="5" t="str">
        <f>TEXT(Store_Record[[#This Row],[Date]],"dddd")</f>
        <v>Sunday</v>
      </c>
      <c r="M252" s="5" t="str">
        <f>TEXT(Store_Record[[#This Row],[Date]],"mmmm")</f>
        <v>January</v>
      </c>
      <c r="N252" s="5">
        <f>YEAR(Store_Record[[#This Row],[Date]])</f>
        <v>2025</v>
      </c>
      <c r="O252"/>
    </row>
    <row r="253" spans="1:15" x14ac:dyDescent="0.35">
      <c r="A253" t="s">
        <v>503</v>
      </c>
      <c r="B253" s="2">
        <v>45676</v>
      </c>
      <c r="C253" t="s">
        <v>10</v>
      </c>
      <c r="D253" t="s">
        <v>47</v>
      </c>
      <c r="E253" t="s">
        <v>34</v>
      </c>
      <c r="F253" t="s">
        <v>31</v>
      </c>
      <c r="G253">
        <v>3</v>
      </c>
      <c r="H253">
        <v>2.2000000000000002</v>
      </c>
      <c r="I253" t="s">
        <v>21</v>
      </c>
      <c r="J253" t="s">
        <v>504</v>
      </c>
      <c r="K253" s="12">
        <f>Store_Record[[#This Row],[Qty]]*Store_Record[[#This Row],[UnitPriceGBP]]</f>
        <v>6.6000000000000005</v>
      </c>
      <c r="L253" s="5" t="str">
        <f>TEXT(Store_Record[[#This Row],[Date]],"dddd")</f>
        <v>Sunday</v>
      </c>
      <c r="M253" s="5" t="str">
        <f>TEXT(Store_Record[[#This Row],[Date]],"mmmm")</f>
        <v>January</v>
      </c>
      <c r="N253" s="5">
        <f>YEAR(Store_Record[[#This Row],[Date]])</f>
        <v>2025</v>
      </c>
      <c r="O253"/>
    </row>
    <row r="254" spans="1:15" x14ac:dyDescent="0.35">
      <c r="A254" t="s">
        <v>491</v>
      </c>
      <c r="B254" s="2">
        <v>45676</v>
      </c>
      <c r="C254" t="s">
        <v>24</v>
      </c>
      <c r="D254" t="s">
        <v>29</v>
      </c>
      <c r="E254" t="s">
        <v>42</v>
      </c>
      <c r="F254" t="s">
        <v>13</v>
      </c>
      <c r="G254">
        <v>1</v>
      </c>
      <c r="H254">
        <v>3.8</v>
      </c>
      <c r="I254" t="s">
        <v>21</v>
      </c>
      <c r="J254" t="s">
        <v>142</v>
      </c>
      <c r="K254" s="12">
        <f>Store_Record[[#This Row],[Qty]]*Store_Record[[#This Row],[UnitPriceGBP]]</f>
        <v>3.8</v>
      </c>
      <c r="L254" s="5" t="str">
        <f>TEXT(Store_Record[[#This Row],[Date]],"dddd")</f>
        <v>Sunday</v>
      </c>
      <c r="M254" s="5" t="str">
        <f>TEXT(Store_Record[[#This Row],[Date]],"mmmm")</f>
        <v>January</v>
      </c>
      <c r="N254" s="5">
        <f>YEAR(Store_Record[[#This Row],[Date]])</f>
        <v>2025</v>
      </c>
      <c r="O254"/>
    </row>
    <row r="255" spans="1:15" x14ac:dyDescent="0.35">
      <c r="A255" t="s">
        <v>492</v>
      </c>
      <c r="B255" s="2">
        <v>45676</v>
      </c>
      <c r="C255" t="s">
        <v>10</v>
      </c>
      <c r="D255" t="s">
        <v>11</v>
      </c>
      <c r="E255" t="s">
        <v>30</v>
      </c>
      <c r="F255" t="s">
        <v>31</v>
      </c>
      <c r="G255">
        <v>1</v>
      </c>
      <c r="H255">
        <v>2.8</v>
      </c>
      <c r="I255" t="s">
        <v>14</v>
      </c>
      <c r="J255" t="s">
        <v>493</v>
      </c>
      <c r="K255" s="12">
        <f>Store_Record[[#This Row],[Qty]]*Store_Record[[#This Row],[UnitPriceGBP]]</f>
        <v>2.8</v>
      </c>
      <c r="L255" s="5" t="str">
        <f>TEXT(Store_Record[[#This Row],[Date]],"dddd")</f>
        <v>Sunday</v>
      </c>
      <c r="M255" s="5" t="str">
        <f>TEXT(Store_Record[[#This Row],[Date]],"mmmm")</f>
        <v>January</v>
      </c>
      <c r="N255" s="5">
        <f>YEAR(Store_Record[[#This Row],[Date]])</f>
        <v>2025</v>
      </c>
      <c r="O255"/>
    </row>
    <row r="256" spans="1:15" x14ac:dyDescent="0.35">
      <c r="A256" t="s">
        <v>496</v>
      </c>
      <c r="B256" s="2">
        <v>45676</v>
      </c>
      <c r="C256" t="s">
        <v>36</v>
      </c>
      <c r="D256" t="s">
        <v>25</v>
      </c>
      <c r="E256" t="s">
        <v>30</v>
      </c>
      <c r="F256" t="s">
        <v>31</v>
      </c>
      <c r="G256">
        <v>1</v>
      </c>
      <c r="H256">
        <v>2.8</v>
      </c>
      <c r="I256" t="s">
        <v>14</v>
      </c>
      <c r="J256" t="s">
        <v>497</v>
      </c>
      <c r="K256" s="12">
        <f>Store_Record[[#This Row],[Qty]]*Store_Record[[#This Row],[UnitPriceGBP]]</f>
        <v>2.8</v>
      </c>
      <c r="L256" s="5" t="str">
        <f>TEXT(Store_Record[[#This Row],[Date]],"dddd")</f>
        <v>Sunday</v>
      </c>
      <c r="M256" s="5" t="str">
        <f>TEXT(Store_Record[[#This Row],[Date]],"mmmm")</f>
        <v>January</v>
      </c>
      <c r="N256" s="5">
        <f>YEAR(Store_Record[[#This Row],[Date]])</f>
        <v>2025</v>
      </c>
      <c r="O256"/>
    </row>
    <row r="257" spans="1:15" x14ac:dyDescent="0.35">
      <c r="A257" t="s">
        <v>502</v>
      </c>
      <c r="B257" s="2">
        <v>45676</v>
      </c>
      <c r="C257" t="s">
        <v>36</v>
      </c>
      <c r="D257" t="s">
        <v>38</v>
      </c>
      <c r="E257" t="s">
        <v>12</v>
      </c>
      <c r="F257" t="s">
        <v>13</v>
      </c>
      <c r="G257">
        <v>1</v>
      </c>
      <c r="H257">
        <v>2.5</v>
      </c>
      <c r="I257" t="s">
        <v>21</v>
      </c>
      <c r="J257" t="s">
        <v>189</v>
      </c>
      <c r="K257" s="12">
        <f>Store_Record[[#This Row],[Qty]]*Store_Record[[#This Row],[UnitPriceGBP]]</f>
        <v>2.5</v>
      </c>
      <c r="L257" s="5" t="str">
        <f>TEXT(Store_Record[[#This Row],[Date]],"dddd")</f>
        <v>Sunday</v>
      </c>
      <c r="M257" s="5" t="str">
        <f>TEXT(Store_Record[[#This Row],[Date]],"mmmm")</f>
        <v>January</v>
      </c>
      <c r="N257" s="5">
        <f>YEAR(Store_Record[[#This Row],[Date]])</f>
        <v>2025</v>
      </c>
      <c r="O257"/>
    </row>
    <row r="258" spans="1:15" x14ac:dyDescent="0.35">
      <c r="A258" t="s">
        <v>523</v>
      </c>
      <c r="B258" s="2">
        <v>45677</v>
      </c>
      <c r="C258" t="s">
        <v>10</v>
      </c>
      <c r="D258" t="s">
        <v>29</v>
      </c>
      <c r="E258" t="s">
        <v>42</v>
      </c>
      <c r="F258" t="s">
        <v>13</v>
      </c>
      <c r="G258">
        <v>4</v>
      </c>
      <c r="H258">
        <v>3.8</v>
      </c>
      <c r="I258" t="s">
        <v>21</v>
      </c>
      <c r="J258" t="s">
        <v>524</v>
      </c>
      <c r="K258" s="12">
        <f>Store_Record[[#This Row],[Qty]]*Store_Record[[#This Row],[UnitPriceGBP]]</f>
        <v>15.2</v>
      </c>
      <c r="L258" s="5" t="str">
        <f>TEXT(Store_Record[[#This Row],[Date]],"dddd")</f>
        <v>Monday</v>
      </c>
      <c r="M258" s="5" t="str">
        <f>TEXT(Store_Record[[#This Row],[Date]],"mmmm")</f>
        <v>January</v>
      </c>
      <c r="N258" s="5">
        <f>YEAR(Store_Record[[#This Row],[Date]])</f>
        <v>2025</v>
      </c>
      <c r="O258"/>
    </row>
    <row r="259" spans="1:15" x14ac:dyDescent="0.35">
      <c r="A259" t="s">
        <v>517</v>
      </c>
      <c r="B259" s="2">
        <v>45677</v>
      </c>
      <c r="C259" t="s">
        <v>24</v>
      </c>
      <c r="D259" t="s">
        <v>38</v>
      </c>
      <c r="E259" t="s">
        <v>42</v>
      </c>
      <c r="F259" t="s">
        <v>13</v>
      </c>
      <c r="G259">
        <v>3</v>
      </c>
      <c r="H259">
        <v>3.8</v>
      </c>
      <c r="I259" t="s">
        <v>21</v>
      </c>
      <c r="J259" t="s">
        <v>99</v>
      </c>
      <c r="K259" s="12">
        <f>Store_Record[[#This Row],[Qty]]*Store_Record[[#This Row],[UnitPriceGBP]]</f>
        <v>11.399999999999999</v>
      </c>
      <c r="L259" s="5" t="str">
        <f>TEXT(Store_Record[[#This Row],[Date]],"dddd")</f>
        <v>Monday</v>
      </c>
      <c r="M259" s="5" t="str">
        <f>TEXT(Store_Record[[#This Row],[Date]],"mmmm")</f>
        <v>January</v>
      </c>
      <c r="N259" s="5">
        <f>YEAR(Store_Record[[#This Row],[Date]])</f>
        <v>2025</v>
      </c>
      <c r="O259"/>
    </row>
    <row r="260" spans="1:15" x14ac:dyDescent="0.35">
      <c r="A260" t="s">
        <v>520</v>
      </c>
      <c r="B260" s="2">
        <v>45677</v>
      </c>
      <c r="C260" t="s">
        <v>20</v>
      </c>
      <c r="D260" t="s">
        <v>25</v>
      </c>
      <c r="E260" t="s">
        <v>34</v>
      </c>
      <c r="F260" t="s">
        <v>31</v>
      </c>
      <c r="G260">
        <v>5</v>
      </c>
      <c r="H260">
        <v>2.2000000000000002</v>
      </c>
      <c r="I260" t="s">
        <v>21</v>
      </c>
      <c r="J260" t="s">
        <v>321</v>
      </c>
      <c r="K260" s="12">
        <f>Store_Record[[#This Row],[Qty]]*Store_Record[[#This Row],[UnitPriceGBP]]</f>
        <v>11</v>
      </c>
      <c r="L260" s="5" t="str">
        <f>TEXT(Store_Record[[#This Row],[Date]],"dddd")</f>
        <v>Monday</v>
      </c>
      <c r="M260" s="5" t="str">
        <f>TEXT(Store_Record[[#This Row],[Date]],"mmmm")</f>
        <v>January</v>
      </c>
      <c r="N260" s="5">
        <f>YEAR(Store_Record[[#This Row],[Date]])</f>
        <v>2025</v>
      </c>
      <c r="O260"/>
    </row>
    <row r="261" spans="1:15" x14ac:dyDescent="0.35">
      <c r="A261" t="s">
        <v>525</v>
      </c>
      <c r="B261" s="2">
        <v>45677</v>
      </c>
      <c r="C261" t="s">
        <v>10</v>
      </c>
      <c r="D261" t="s">
        <v>47</v>
      </c>
      <c r="E261" t="s">
        <v>34</v>
      </c>
      <c r="F261" t="s">
        <v>31</v>
      </c>
      <c r="G261">
        <v>5</v>
      </c>
      <c r="H261">
        <v>2.2000000000000002</v>
      </c>
      <c r="I261" t="s">
        <v>39</v>
      </c>
      <c r="J261" t="s">
        <v>526</v>
      </c>
      <c r="K261" s="12">
        <f>Store_Record[[#This Row],[Qty]]*Store_Record[[#This Row],[UnitPriceGBP]]</f>
        <v>11</v>
      </c>
      <c r="L261" s="5" t="str">
        <f>TEXT(Store_Record[[#This Row],[Date]],"dddd")</f>
        <v>Monday</v>
      </c>
      <c r="M261" s="5" t="str">
        <f>TEXT(Store_Record[[#This Row],[Date]],"mmmm")</f>
        <v>January</v>
      </c>
      <c r="N261" s="5">
        <f>YEAR(Store_Record[[#This Row],[Date]])</f>
        <v>2025</v>
      </c>
      <c r="O261"/>
    </row>
    <row r="262" spans="1:15" x14ac:dyDescent="0.35">
      <c r="A262" t="s">
        <v>521</v>
      </c>
      <c r="B262" s="2">
        <v>45677</v>
      </c>
      <c r="C262" t="s">
        <v>36</v>
      </c>
      <c r="D262" t="s">
        <v>11</v>
      </c>
      <c r="E262" t="s">
        <v>26</v>
      </c>
      <c r="F262" t="s">
        <v>13</v>
      </c>
      <c r="G262">
        <v>3</v>
      </c>
      <c r="H262">
        <v>3.5</v>
      </c>
      <c r="I262" t="s">
        <v>14</v>
      </c>
      <c r="J262" t="s">
        <v>522</v>
      </c>
      <c r="K262" s="12">
        <f>Store_Record[[#This Row],[Qty]]*Store_Record[[#This Row],[UnitPriceGBP]]</f>
        <v>10.5</v>
      </c>
      <c r="L262" s="5" t="str">
        <f>TEXT(Store_Record[[#This Row],[Date]],"dddd")</f>
        <v>Monday</v>
      </c>
      <c r="M262" s="5" t="str">
        <f>TEXT(Store_Record[[#This Row],[Date]],"mmmm")</f>
        <v>January</v>
      </c>
      <c r="N262" s="5">
        <f>YEAR(Store_Record[[#This Row],[Date]])</f>
        <v>2025</v>
      </c>
      <c r="O262"/>
    </row>
    <row r="263" spans="1:15" x14ac:dyDescent="0.35">
      <c r="A263" t="s">
        <v>509</v>
      </c>
      <c r="B263" s="2">
        <v>45677</v>
      </c>
      <c r="C263" t="s">
        <v>10</v>
      </c>
      <c r="D263" t="s">
        <v>29</v>
      </c>
      <c r="E263" t="s">
        <v>12</v>
      </c>
      <c r="F263" t="s">
        <v>13</v>
      </c>
      <c r="G263">
        <v>4</v>
      </c>
      <c r="H263">
        <v>2.5</v>
      </c>
      <c r="I263" t="s">
        <v>21</v>
      </c>
      <c r="J263" t="s">
        <v>510</v>
      </c>
      <c r="K263" s="12">
        <f>Store_Record[[#This Row],[Qty]]*Store_Record[[#This Row],[UnitPriceGBP]]</f>
        <v>10</v>
      </c>
      <c r="L263" s="5" t="str">
        <f>TEXT(Store_Record[[#This Row],[Date]],"dddd")</f>
        <v>Monday</v>
      </c>
      <c r="M263" s="5" t="str">
        <f>TEXT(Store_Record[[#This Row],[Date]],"mmmm")</f>
        <v>January</v>
      </c>
      <c r="N263" s="5">
        <f>YEAR(Store_Record[[#This Row],[Date]])</f>
        <v>2025</v>
      </c>
      <c r="O263"/>
    </row>
    <row r="264" spans="1:15" x14ac:dyDescent="0.35">
      <c r="A264" t="s">
        <v>518</v>
      </c>
      <c r="B264" s="2">
        <v>45677</v>
      </c>
      <c r="C264" t="s">
        <v>10</v>
      </c>
      <c r="D264" t="s">
        <v>11</v>
      </c>
      <c r="E264" t="s">
        <v>12</v>
      </c>
      <c r="F264" t="s">
        <v>13</v>
      </c>
      <c r="G264">
        <v>4</v>
      </c>
      <c r="H264">
        <v>2.5</v>
      </c>
      <c r="I264" t="s">
        <v>39</v>
      </c>
      <c r="J264" t="s">
        <v>519</v>
      </c>
      <c r="K264" s="12">
        <f>Store_Record[[#This Row],[Qty]]*Store_Record[[#This Row],[UnitPriceGBP]]</f>
        <v>10</v>
      </c>
      <c r="L264" s="5" t="str">
        <f>TEXT(Store_Record[[#This Row],[Date]],"dddd")</f>
        <v>Monday</v>
      </c>
      <c r="M264" s="5" t="str">
        <f>TEXT(Store_Record[[#This Row],[Date]],"mmmm")</f>
        <v>January</v>
      </c>
      <c r="N264" s="5">
        <f>YEAR(Store_Record[[#This Row],[Date]])</f>
        <v>2025</v>
      </c>
      <c r="O264"/>
    </row>
    <row r="265" spans="1:15" x14ac:dyDescent="0.35">
      <c r="A265" t="s">
        <v>511</v>
      </c>
      <c r="B265" s="2">
        <v>45677</v>
      </c>
      <c r="C265" t="s">
        <v>20</v>
      </c>
      <c r="D265" t="s">
        <v>25</v>
      </c>
      <c r="E265" t="s">
        <v>42</v>
      </c>
      <c r="F265" t="s">
        <v>13</v>
      </c>
      <c r="G265">
        <v>2</v>
      </c>
      <c r="H265">
        <v>3.8</v>
      </c>
      <c r="I265" t="s">
        <v>14</v>
      </c>
      <c r="J265" t="s">
        <v>59</v>
      </c>
      <c r="K265" s="12">
        <f>Store_Record[[#This Row],[Qty]]*Store_Record[[#This Row],[UnitPriceGBP]]</f>
        <v>7.6</v>
      </c>
      <c r="L265" s="5" t="str">
        <f>TEXT(Store_Record[[#This Row],[Date]],"dddd")</f>
        <v>Monday</v>
      </c>
      <c r="M265" s="5" t="str">
        <f>TEXT(Store_Record[[#This Row],[Date]],"mmmm")</f>
        <v>January</v>
      </c>
      <c r="N265" s="5">
        <f>YEAR(Store_Record[[#This Row],[Date]])</f>
        <v>2025</v>
      </c>
      <c r="O265"/>
    </row>
    <row r="266" spans="1:15" x14ac:dyDescent="0.35">
      <c r="A266" t="s">
        <v>516</v>
      </c>
      <c r="B266" s="2">
        <v>45677</v>
      </c>
      <c r="C266" t="s">
        <v>10</v>
      </c>
      <c r="D266" t="s">
        <v>25</v>
      </c>
      <c r="E266" t="s">
        <v>42</v>
      </c>
      <c r="F266" t="s">
        <v>13</v>
      </c>
      <c r="G266">
        <v>1</v>
      </c>
      <c r="H266">
        <v>3.8</v>
      </c>
      <c r="I266" t="s">
        <v>14</v>
      </c>
      <c r="J266" t="s">
        <v>68</v>
      </c>
      <c r="K266" s="12">
        <f>Store_Record[[#This Row],[Qty]]*Store_Record[[#This Row],[UnitPriceGBP]]</f>
        <v>3.8</v>
      </c>
      <c r="L266" s="5" t="str">
        <f>TEXT(Store_Record[[#This Row],[Date]],"dddd")</f>
        <v>Monday</v>
      </c>
      <c r="M266" s="5" t="str">
        <f>TEXT(Store_Record[[#This Row],[Date]],"mmmm")</f>
        <v>January</v>
      </c>
      <c r="N266" s="5">
        <f>YEAR(Store_Record[[#This Row],[Date]])</f>
        <v>2025</v>
      </c>
      <c r="O266"/>
    </row>
    <row r="267" spans="1:15" x14ac:dyDescent="0.35">
      <c r="A267" t="s">
        <v>514</v>
      </c>
      <c r="B267" s="2">
        <v>45677</v>
      </c>
      <c r="C267" t="s">
        <v>36</v>
      </c>
      <c r="D267" t="s">
        <v>25</v>
      </c>
      <c r="E267" t="s">
        <v>26</v>
      </c>
      <c r="F267" t="s">
        <v>13</v>
      </c>
      <c r="G267">
        <v>1</v>
      </c>
      <c r="H267">
        <v>3.5</v>
      </c>
      <c r="I267" t="s">
        <v>14</v>
      </c>
      <c r="J267" t="s">
        <v>515</v>
      </c>
      <c r="K267" s="12">
        <f>Store_Record[[#This Row],[Qty]]*Store_Record[[#This Row],[UnitPriceGBP]]</f>
        <v>3.5</v>
      </c>
      <c r="L267" s="5" t="str">
        <f>TEXT(Store_Record[[#This Row],[Date]],"dddd")</f>
        <v>Monday</v>
      </c>
      <c r="M267" s="5" t="str">
        <f>TEXT(Store_Record[[#This Row],[Date]],"mmmm")</f>
        <v>January</v>
      </c>
      <c r="N267" s="5">
        <f>YEAR(Store_Record[[#This Row],[Date]])</f>
        <v>2025</v>
      </c>
      <c r="O267"/>
    </row>
    <row r="268" spans="1:15" x14ac:dyDescent="0.35">
      <c r="A268" t="s">
        <v>527</v>
      </c>
      <c r="B268" s="2">
        <v>45677</v>
      </c>
      <c r="C268" t="s">
        <v>36</v>
      </c>
      <c r="D268" t="s">
        <v>47</v>
      </c>
      <c r="E268" t="s">
        <v>26</v>
      </c>
      <c r="F268" t="s">
        <v>13</v>
      </c>
      <c r="G268">
        <v>1</v>
      </c>
      <c r="H268">
        <v>3.5</v>
      </c>
      <c r="I268" t="s">
        <v>39</v>
      </c>
      <c r="J268" t="s">
        <v>528</v>
      </c>
      <c r="K268" s="12">
        <f>Store_Record[[#This Row],[Qty]]*Store_Record[[#This Row],[UnitPriceGBP]]</f>
        <v>3.5</v>
      </c>
      <c r="L268" s="5" t="str">
        <f>TEXT(Store_Record[[#This Row],[Date]],"dddd")</f>
        <v>Monday</v>
      </c>
      <c r="M268" s="5" t="str">
        <f>TEXT(Store_Record[[#This Row],[Date]],"mmmm")</f>
        <v>January</v>
      </c>
      <c r="N268" s="5">
        <f>YEAR(Store_Record[[#This Row],[Date]])</f>
        <v>2025</v>
      </c>
      <c r="O268"/>
    </row>
    <row r="269" spans="1:15" x14ac:dyDescent="0.35">
      <c r="A269" t="s">
        <v>512</v>
      </c>
      <c r="B269" s="2">
        <v>45677</v>
      </c>
      <c r="C269" t="s">
        <v>36</v>
      </c>
      <c r="D269" t="s">
        <v>11</v>
      </c>
      <c r="E269" t="s">
        <v>12</v>
      </c>
      <c r="F269" t="s">
        <v>13</v>
      </c>
      <c r="G269">
        <v>1</v>
      </c>
      <c r="H269">
        <v>2.5</v>
      </c>
      <c r="I269" t="s">
        <v>21</v>
      </c>
      <c r="J269" t="s">
        <v>513</v>
      </c>
      <c r="K269" s="12">
        <f>Store_Record[[#This Row],[Qty]]*Store_Record[[#This Row],[UnitPriceGBP]]</f>
        <v>2.5</v>
      </c>
      <c r="L269" s="5" t="str">
        <f>TEXT(Store_Record[[#This Row],[Date]],"dddd")</f>
        <v>Monday</v>
      </c>
      <c r="M269" s="5" t="str">
        <f>TEXT(Store_Record[[#This Row],[Date]],"mmmm")</f>
        <v>January</v>
      </c>
      <c r="N269" s="5">
        <f>YEAR(Store_Record[[#This Row],[Date]])</f>
        <v>2025</v>
      </c>
      <c r="O269"/>
    </row>
    <row r="270" spans="1:15" x14ac:dyDescent="0.35">
      <c r="A270" t="s">
        <v>562</v>
      </c>
      <c r="B270" s="2">
        <v>45678</v>
      </c>
      <c r="C270" t="s">
        <v>20</v>
      </c>
      <c r="D270" t="s">
        <v>25</v>
      </c>
      <c r="E270" t="s">
        <v>42</v>
      </c>
      <c r="F270" t="s">
        <v>13</v>
      </c>
      <c r="G270">
        <v>5</v>
      </c>
      <c r="H270">
        <v>3.8</v>
      </c>
      <c r="I270" t="s">
        <v>14</v>
      </c>
      <c r="J270" t="s">
        <v>563</v>
      </c>
      <c r="K270" s="12">
        <f>Store_Record[[#This Row],[Qty]]*Store_Record[[#This Row],[UnitPriceGBP]]</f>
        <v>19</v>
      </c>
      <c r="L270" s="5" t="str">
        <f>TEXT(Store_Record[[#This Row],[Date]],"dddd")</f>
        <v>Tuesday</v>
      </c>
      <c r="M270" s="5" t="str">
        <f>TEXT(Store_Record[[#This Row],[Date]],"mmmm")</f>
        <v>January</v>
      </c>
      <c r="N270" s="5">
        <f>YEAR(Store_Record[[#This Row],[Date]])</f>
        <v>2025</v>
      </c>
      <c r="O270"/>
    </row>
    <row r="271" spans="1:15" x14ac:dyDescent="0.35">
      <c r="A271" t="s">
        <v>538</v>
      </c>
      <c r="B271" s="2">
        <v>45678</v>
      </c>
      <c r="C271" t="s">
        <v>20</v>
      </c>
      <c r="D271" t="s">
        <v>29</v>
      </c>
      <c r="E271" t="s">
        <v>26</v>
      </c>
      <c r="F271" t="s">
        <v>13</v>
      </c>
      <c r="G271">
        <v>5</v>
      </c>
      <c r="H271">
        <v>3.5</v>
      </c>
      <c r="I271" t="s">
        <v>21</v>
      </c>
      <c r="J271" t="s">
        <v>539</v>
      </c>
      <c r="K271" s="12">
        <f>Store_Record[[#This Row],[Qty]]*Store_Record[[#This Row],[UnitPriceGBP]]</f>
        <v>17.5</v>
      </c>
      <c r="L271" s="5" t="str">
        <f>TEXT(Store_Record[[#This Row],[Date]],"dddd")</f>
        <v>Tuesday</v>
      </c>
      <c r="M271" s="5" t="str">
        <f>TEXT(Store_Record[[#This Row],[Date]],"mmmm")</f>
        <v>January</v>
      </c>
      <c r="N271" s="5">
        <f>YEAR(Store_Record[[#This Row],[Date]])</f>
        <v>2025</v>
      </c>
      <c r="O271"/>
    </row>
    <row r="272" spans="1:15" x14ac:dyDescent="0.35">
      <c r="A272" t="s">
        <v>540</v>
      </c>
      <c r="B272" s="2">
        <v>45678</v>
      </c>
      <c r="C272" t="s">
        <v>20</v>
      </c>
      <c r="D272" t="s">
        <v>11</v>
      </c>
      <c r="E272" t="s">
        <v>26</v>
      </c>
      <c r="F272" t="s">
        <v>13</v>
      </c>
      <c r="G272">
        <v>5</v>
      </c>
      <c r="H272">
        <v>3.5</v>
      </c>
      <c r="I272" t="s">
        <v>21</v>
      </c>
      <c r="J272" t="s">
        <v>541</v>
      </c>
      <c r="K272" s="12">
        <f>Store_Record[[#This Row],[Qty]]*Store_Record[[#This Row],[UnitPriceGBP]]</f>
        <v>17.5</v>
      </c>
      <c r="L272" s="5" t="str">
        <f>TEXT(Store_Record[[#This Row],[Date]],"dddd")</f>
        <v>Tuesday</v>
      </c>
      <c r="M272" s="5" t="str">
        <f>TEXT(Store_Record[[#This Row],[Date]],"mmmm")</f>
        <v>January</v>
      </c>
      <c r="N272" s="5">
        <f>YEAR(Store_Record[[#This Row],[Date]])</f>
        <v>2025</v>
      </c>
      <c r="O272"/>
    </row>
    <row r="273" spans="1:15" x14ac:dyDescent="0.35">
      <c r="A273" t="s">
        <v>550</v>
      </c>
      <c r="B273" s="2">
        <v>45678</v>
      </c>
      <c r="C273" t="s">
        <v>20</v>
      </c>
      <c r="D273" t="s">
        <v>29</v>
      </c>
      <c r="E273" t="s">
        <v>42</v>
      </c>
      <c r="F273" t="s">
        <v>13</v>
      </c>
      <c r="G273">
        <v>4</v>
      </c>
      <c r="H273">
        <v>3.8</v>
      </c>
      <c r="I273" t="s">
        <v>21</v>
      </c>
      <c r="J273" t="s">
        <v>551</v>
      </c>
      <c r="K273" s="12">
        <f>Store_Record[[#This Row],[Qty]]*Store_Record[[#This Row],[UnitPriceGBP]]</f>
        <v>15.2</v>
      </c>
      <c r="L273" s="5" t="str">
        <f>TEXT(Store_Record[[#This Row],[Date]],"dddd")</f>
        <v>Tuesday</v>
      </c>
      <c r="M273" s="5" t="str">
        <f>TEXT(Store_Record[[#This Row],[Date]],"mmmm")</f>
        <v>January</v>
      </c>
      <c r="N273" s="5">
        <f>YEAR(Store_Record[[#This Row],[Date]])</f>
        <v>2025</v>
      </c>
      <c r="O273"/>
    </row>
    <row r="274" spans="1:15" x14ac:dyDescent="0.35">
      <c r="A274" t="s">
        <v>533</v>
      </c>
      <c r="B274" s="2">
        <v>45678</v>
      </c>
      <c r="C274" t="s">
        <v>36</v>
      </c>
      <c r="D274" t="s">
        <v>29</v>
      </c>
      <c r="E274" t="s">
        <v>30</v>
      </c>
      <c r="F274" t="s">
        <v>31</v>
      </c>
      <c r="G274">
        <v>5</v>
      </c>
      <c r="H274">
        <v>2.8</v>
      </c>
      <c r="I274" t="s">
        <v>14</v>
      </c>
      <c r="J274" t="s">
        <v>534</v>
      </c>
      <c r="K274" s="12">
        <f>Store_Record[[#This Row],[Qty]]*Store_Record[[#This Row],[UnitPriceGBP]]</f>
        <v>14</v>
      </c>
      <c r="L274" s="5" t="str">
        <f>TEXT(Store_Record[[#This Row],[Date]],"dddd")</f>
        <v>Tuesday</v>
      </c>
      <c r="M274" s="5" t="str">
        <f>TEXT(Store_Record[[#This Row],[Date]],"mmmm")</f>
        <v>January</v>
      </c>
      <c r="N274" s="5">
        <f>YEAR(Store_Record[[#This Row],[Date]])</f>
        <v>2025</v>
      </c>
      <c r="O274"/>
    </row>
    <row r="275" spans="1:15" x14ac:dyDescent="0.35">
      <c r="A275" t="s">
        <v>564</v>
      </c>
      <c r="B275" s="2">
        <v>45678</v>
      </c>
      <c r="C275" t="s">
        <v>24</v>
      </c>
      <c r="D275" t="s">
        <v>29</v>
      </c>
      <c r="E275" t="s">
        <v>26</v>
      </c>
      <c r="F275" t="s">
        <v>13</v>
      </c>
      <c r="G275">
        <v>4</v>
      </c>
      <c r="H275">
        <v>3.5</v>
      </c>
      <c r="I275" t="s">
        <v>14</v>
      </c>
      <c r="J275" t="s">
        <v>218</v>
      </c>
      <c r="K275" s="12">
        <f>Store_Record[[#This Row],[Qty]]*Store_Record[[#This Row],[UnitPriceGBP]]</f>
        <v>14</v>
      </c>
      <c r="L275" s="5" t="str">
        <f>TEXT(Store_Record[[#This Row],[Date]],"dddd")</f>
        <v>Tuesday</v>
      </c>
      <c r="M275" s="5" t="str">
        <f>TEXT(Store_Record[[#This Row],[Date]],"mmmm")</f>
        <v>January</v>
      </c>
      <c r="N275" s="5">
        <f>YEAR(Store_Record[[#This Row],[Date]])</f>
        <v>2025</v>
      </c>
      <c r="O275"/>
    </row>
    <row r="276" spans="1:15" x14ac:dyDescent="0.35">
      <c r="A276" t="s">
        <v>568</v>
      </c>
      <c r="B276" s="2">
        <v>45678</v>
      </c>
      <c r="C276" t="s">
        <v>20</v>
      </c>
      <c r="D276" t="s">
        <v>47</v>
      </c>
      <c r="E276" t="s">
        <v>30</v>
      </c>
      <c r="F276" t="s">
        <v>31</v>
      </c>
      <c r="G276">
        <v>5</v>
      </c>
      <c r="H276">
        <v>2.8</v>
      </c>
      <c r="I276" t="s">
        <v>21</v>
      </c>
      <c r="J276" t="s">
        <v>569</v>
      </c>
      <c r="K276" s="12">
        <f>Store_Record[[#This Row],[Qty]]*Store_Record[[#This Row],[UnitPriceGBP]]</f>
        <v>14</v>
      </c>
      <c r="L276" s="5" t="str">
        <f>TEXT(Store_Record[[#This Row],[Date]],"dddd")</f>
        <v>Tuesday</v>
      </c>
      <c r="M276" s="5" t="str">
        <f>TEXT(Store_Record[[#This Row],[Date]],"mmmm")</f>
        <v>January</v>
      </c>
      <c r="N276" s="5">
        <f>YEAR(Store_Record[[#This Row],[Date]])</f>
        <v>2025</v>
      </c>
      <c r="O276"/>
    </row>
    <row r="277" spans="1:15" x14ac:dyDescent="0.35">
      <c r="A277" t="s">
        <v>560</v>
      </c>
      <c r="B277" s="2">
        <v>45678</v>
      </c>
      <c r="C277" t="s">
        <v>20</v>
      </c>
      <c r="D277" t="s">
        <v>11</v>
      </c>
      <c r="E277" t="s">
        <v>42</v>
      </c>
      <c r="F277" t="s">
        <v>13</v>
      </c>
      <c r="G277">
        <v>3</v>
      </c>
      <c r="H277">
        <v>3.8</v>
      </c>
      <c r="I277" t="s">
        <v>14</v>
      </c>
      <c r="J277" t="s">
        <v>561</v>
      </c>
      <c r="K277" s="12">
        <f>Store_Record[[#This Row],[Qty]]*Store_Record[[#This Row],[UnitPriceGBP]]</f>
        <v>11.399999999999999</v>
      </c>
      <c r="L277" s="5" t="str">
        <f>TEXT(Store_Record[[#This Row],[Date]],"dddd")</f>
        <v>Tuesday</v>
      </c>
      <c r="M277" s="5" t="str">
        <f>TEXT(Store_Record[[#This Row],[Date]],"mmmm")</f>
        <v>January</v>
      </c>
      <c r="N277" s="5">
        <f>YEAR(Store_Record[[#This Row],[Date]])</f>
        <v>2025</v>
      </c>
      <c r="O277"/>
    </row>
    <row r="278" spans="1:15" x14ac:dyDescent="0.35">
      <c r="A278" t="s">
        <v>570</v>
      </c>
      <c r="B278" s="2">
        <v>45678</v>
      </c>
      <c r="C278" t="s">
        <v>36</v>
      </c>
      <c r="D278" t="s">
        <v>25</v>
      </c>
      <c r="E278" t="s">
        <v>26</v>
      </c>
      <c r="F278" t="s">
        <v>13</v>
      </c>
      <c r="G278">
        <v>3</v>
      </c>
      <c r="H278">
        <v>3.5</v>
      </c>
      <c r="I278" t="s">
        <v>21</v>
      </c>
      <c r="J278" t="s">
        <v>571</v>
      </c>
      <c r="K278" s="12">
        <f>Store_Record[[#This Row],[Qty]]*Store_Record[[#This Row],[UnitPriceGBP]]</f>
        <v>10.5</v>
      </c>
      <c r="L278" s="5" t="str">
        <f>TEXT(Store_Record[[#This Row],[Date]],"dddd")</f>
        <v>Tuesday</v>
      </c>
      <c r="M278" s="5" t="str">
        <f>TEXT(Store_Record[[#This Row],[Date]],"mmmm")</f>
        <v>January</v>
      </c>
      <c r="N278" s="5">
        <f>YEAR(Store_Record[[#This Row],[Date]])</f>
        <v>2025</v>
      </c>
      <c r="O278"/>
    </row>
    <row r="279" spans="1:15" x14ac:dyDescent="0.35">
      <c r="A279" t="s">
        <v>537</v>
      </c>
      <c r="B279" s="2">
        <v>45678</v>
      </c>
      <c r="C279" t="s">
        <v>20</v>
      </c>
      <c r="D279" t="s">
        <v>38</v>
      </c>
      <c r="E279" t="s">
        <v>12</v>
      </c>
      <c r="F279" t="s">
        <v>13</v>
      </c>
      <c r="G279">
        <v>4</v>
      </c>
      <c r="H279">
        <v>2.5</v>
      </c>
      <c r="I279" t="s">
        <v>21</v>
      </c>
      <c r="J279" t="s">
        <v>374</v>
      </c>
      <c r="K279" s="12">
        <f>Store_Record[[#This Row],[Qty]]*Store_Record[[#This Row],[UnitPriceGBP]]</f>
        <v>10</v>
      </c>
      <c r="L279" s="5" t="str">
        <f>TEXT(Store_Record[[#This Row],[Date]],"dddd")</f>
        <v>Tuesday</v>
      </c>
      <c r="M279" s="5" t="str">
        <f>TEXT(Store_Record[[#This Row],[Date]],"mmmm")</f>
        <v>January</v>
      </c>
      <c r="N279" s="5">
        <f>YEAR(Store_Record[[#This Row],[Date]])</f>
        <v>2025</v>
      </c>
      <c r="O279"/>
    </row>
    <row r="280" spans="1:15" x14ac:dyDescent="0.35">
      <c r="A280" t="s">
        <v>565</v>
      </c>
      <c r="B280" s="2">
        <v>45678</v>
      </c>
      <c r="C280" t="s">
        <v>10</v>
      </c>
      <c r="D280" t="s">
        <v>29</v>
      </c>
      <c r="E280" t="s">
        <v>30</v>
      </c>
      <c r="F280" t="s">
        <v>31</v>
      </c>
      <c r="G280">
        <v>3</v>
      </c>
      <c r="H280">
        <v>2.8</v>
      </c>
      <c r="I280" t="s">
        <v>14</v>
      </c>
      <c r="J280" t="s">
        <v>212</v>
      </c>
      <c r="K280" s="12">
        <f>Store_Record[[#This Row],[Qty]]*Store_Record[[#This Row],[UnitPriceGBP]]</f>
        <v>8.3999999999999986</v>
      </c>
      <c r="L280" s="5" t="str">
        <f>TEXT(Store_Record[[#This Row],[Date]],"dddd")</f>
        <v>Tuesday</v>
      </c>
      <c r="M280" s="5" t="str">
        <f>TEXT(Store_Record[[#This Row],[Date]],"mmmm")</f>
        <v>January</v>
      </c>
      <c r="N280" s="5">
        <f>YEAR(Store_Record[[#This Row],[Date]])</f>
        <v>2025</v>
      </c>
      <c r="O280"/>
    </row>
    <row r="281" spans="1:15" x14ac:dyDescent="0.35">
      <c r="A281" t="s">
        <v>548</v>
      </c>
      <c r="B281" s="2">
        <v>45678</v>
      </c>
      <c r="C281" t="s">
        <v>10</v>
      </c>
      <c r="D281" t="s">
        <v>47</v>
      </c>
      <c r="E281" t="s">
        <v>42</v>
      </c>
      <c r="F281" t="s">
        <v>13</v>
      </c>
      <c r="G281">
        <v>2</v>
      </c>
      <c r="H281">
        <v>3.8</v>
      </c>
      <c r="I281" t="s">
        <v>21</v>
      </c>
      <c r="J281" t="s">
        <v>549</v>
      </c>
      <c r="K281" s="12">
        <f>Store_Record[[#This Row],[Qty]]*Store_Record[[#This Row],[UnitPriceGBP]]</f>
        <v>7.6</v>
      </c>
      <c r="L281" s="5" t="str">
        <f>TEXT(Store_Record[[#This Row],[Date]],"dddd")</f>
        <v>Tuesday</v>
      </c>
      <c r="M281" s="5" t="str">
        <f>TEXT(Store_Record[[#This Row],[Date]],"mmmm")</f>
        <v>January</v>
      </c>
      <c r="N281" s="5">
        <f>YEAR(Store_Record[[#This Row],[Date]])</f>
        <v>2025</v>
      </c>
      <c r="O281"/>
    </row>
    <row r="282" spans="1:15" x14ac:dyDescent="0.35">
      <c r="A282" t="s">
        <v>531</v>
      </c>
      <c r="B282" s="2">
        <v>45678</v>
      </c>
      <c r="C282" t="s">
        <v>20</v>
      </c>
      <c r="D282" t="s">
        <v>25</v>
      </c>
      <c r="E282" t="s">
        <v>12</v>
      </c>
      <c r="F282" t="s">
        <v>13</v>
      </c>
      <c r="G282">
        <v>3</v>
      </c>
      <c r="H282">
        <v>2.5</v>
      </c>
      <c r="I282" t="s">
        <v>39</v>
      </c>
      <c r="J282" t="s">
        <v>532</v>
      </c>
      <c r="K282" s="12">
        <f>Store_Record[[#This Row],[Qty]]*Store_Record[[#This Row],[UnitPriceGBP]]</f>
        <v>7.5</v>
      </c>
      <c r="L282" s="5" t="str">
        <f>TEXT(Store_Record[[#This Row],[Date]],"dddd")</f>
        <v>Tuesday</v>
      </c>
      <c r="M282" s="5" t="str">
        <f>TEXT(Store_Record[[#This Row],[Date]],"mmmm")</f>
        <v>January</v>
      </c>
      <c r="N282" s="5">
        <f>YEAR(Store_Record[[#This Row],[Date]])</f>
        <v>2025</v>
      </c>
      <c r="O282"/>
    </row>
    <row r="283" spans="1:15" x14ac:dyDescent="0.35">
      <c r="A283" t="s">
        <v>557</v>
      </c>
      <c r="B283" s="2">
        <v>45678</v>
      </c>
      <c r="C283" t="s">
        <v>20</v>
      </c>
      <c r="D283" t="s">
        <v>152</v>
      </c>
      <c r="E283" t="s">
        <v>12</v>
      </c>
      <c r="F283" t="s">
        <v>13</v>
      </c>
      <c r="G283">
        <v>3</v>
      </c>
      <c r="H283">
        <v>2.5</v>
      </c>
      <c r="I283" t="s">
        <v>39</v>
      </c>
      <c r="J283" t="s">
        <v>558</v>
      </c>
      <c r="K283" s="12">
        <f>Store_Record[[#This Row],[Qty]]*Store_Record[[#This Row],[UnitPriceGBP]]</f>
        <v>7.5</v>
      </c>
      <c r="L283" s="5" t="str">
        <f>TEXT(Store_Record[[#This Row],[Date]],"dddd")</f>
        <v>Tuesday</v>
      </c>
      <c r="M283" s="5" t="str">
        <f>TEXT(Store_Record[[#This Row],[Date]],"mmmm")</f>
        <v>January</v>
      </c>
      <c r="N283" s="5">
        <f>YEAR(Store_Record[[#This Row],[Date]])</f>
        <v>2025</v>
      </c>
      <c r="O283"/>
    </row>
    <row r="284" spans="1:15" x14ac:dyDescent="0.35">
      <c r="A284" t="s">
        <v>552</v>
      </c>
      <c r="B284" s="2">
        <v>45678</v>
      </c>
      <c r="C284" t="s">
        <v>36</v>
      </c>
      <c r="D284" t="s">
        <v>29</v>
      </c>
      <c r="E284" t="s">
        <v>34</v>
      </c>
      <c r="F284" t="s">
        <v>31</v>
      </c>
      <c r="G284">
        <v>3</v>
      </c>
      <c r="H284">
        <v>2.2000000000000002</v>
      </c>
      <c r="I284" t="s">
        <v>21</v>
      </c>
      <c r="J284" t="s">
        <v>553</v>
      </c>
      <c r="K284" s="12">
        <f>Store_Record[[#This Row],[Qty]]*Store_Record[[#This Row],[UnitPriceGBP]]</f>
        <v>6.6000000000000005</v>
      </c>
      <c r="L284" s="5" t="str">
        <f>TEXT(Store_Record[[#This Row],[Date]],"dddd")</f>
        <v>Tuesday</v>
      </c>
      <c r="M284" s="5" t="str">
        <f>TEXT(Store_Record[[#This Row],[Date]],"mmmm")</f>
        <v>January</v>
      </c>
      <c r="N284" s="5">
        <f>YEAR(Store_Record[[#This Row],[Date]])</f>
        <v>2025</v>
      </c>
      <c r="O284"/>
    </row>
    <row r="285" spans="1:15" x14ac:dyDescent="0.35">
      <c r="A285" t="s">
        <v>559</v>
      </c>
      <c r="B285" s="2">
        <v>45678</v>
      </c>
      <c r="C285" t="s">
        <v>36</v>
      </c>
      <c r="D285" t="s">
        <v>47</v>
      </c>
      <c r="E285" t="s">
        <v>30</v>
      </c>
      <c r="F285" t="s">
        <v>31</v>
      </c>
      <c r="G285">
        <v>2</v>
      </c>
      <c r="H285">
        <v>2.8</v>
      </c>
      <c r="I285" t="s">
        <v>21</v>
      </c>
      <c r="J285" t="s">
        <v>530</v>
      </c>
      <c r="K285" s="12">
        <f>Store_Record[[#This Row],[Qty]]*Store_Record[[#This Row],[UnitPriceGBP]]</f>
        <v>5.6</v>
      </c>
      <c r="L285" s="5" t="str">
        <f>TEXT(Store_Record[[#This Row],[Date]],"dddd")</f>
        <v>Tuesday</v>
      </c>
      <c r="M285" s="5" t="str">
        <f>TEXT(Store_Record[[#This Row],[Date]],"mmmm")</f>
        <v>January</v>
      </c>
      <c r="N285" s="5">
        <f>YEAR(Store_Record[[#This Row],[Date]])</f>
        <v>2025</v>
      </c>
      <c r="O285"/>
    </row>
    <row r="286" spans="1:15" x14ac:dyDescent="0.35">
      <c r="A286" t="s">
        <v>529</v>
      </c>
      <c r="B286" s="2">
        <v>45678</v>
      </c>
      <c r="C286" t="s">
        <v>20</v>
      </c>
      <c r="D286" t="s">
        <v>38</v>
      </c>
      <c r="E286" t="s">
        <v>12</v>
      </c>
      <c r="F286" t="s">
        <v>13</v>
      </c>
      <c r="G286">
        <v>2</v>
      </c>
      <c r="H286">
        <v>2.5</v>
      </c>
      <c r="I286" t="s">
        <v>21</v>
      </c>
      <c r="J286" t="s">
        <v>530</v>
      </c>
      <c r="K286" s="12">
        <f>Store_Record[[#This Row],[Qty]]*Store_Record[[#This Row],[UnitPriceGBP]]</f>
        <v>5</v>
      </c>
      <c r="L286" s="5" t="str">
        <f>TEXT(Store_Record[[#This Row],[Date]],"dddd")</f>
        <v>Tuesday</v>
      </c>
      <c r="M286" s="5" t="str">
        <f>TEXT(Store_Record[[#This Row],[Date]],"mmmm")</f>
        <v>January</v>
      </c>
      <c r="N286" s="5">
        <f>YEAR(Store_Record[[#This Row],[Date]])</f>
        <v>2025</v>
      </c>
      <c r="O286"/>
    </row>
    <row r="287" spans="1:15" x14ac:dyDescent="0.35">
      <c r="A287" t="s">
        <v>544</v>
      </c>
      <c r="B287" s="2">
        <v>45678</v>
      </c>
      <c r="C287" t="s">
        <v>10</v>
      </c>
      <c r="D287" t="s">
        <v>47</v>
      </c>
      <c r="E287" t="s">
        <v>12</v>
      </c>
      <c r="F287" t="s">
        <v>13</v>
      </c>
      <c r="G287">
        <v>2</v>
      </c>
      <c r="H287">
        <v>2.5</v>
      </c>
      <c r="I287" t="s">
        <v>14</v>
      </c>
      <c r="J287" t="s">
        <v>545</v>
      </c>
      <c r="K287" s="12">
        <f>Store_Record[[#This Row],[Qty]]*Store_Record[[#This Row],[UnitPriceGBP]]</f>
        <v>5</v>
      </c>
      <c r="L287" s="5" t="str">
        <f>TEXT(Store_Record[[#This Row],[Date]],"dddd")</f>
        <v>Tuesday</v>
      </c>
      <c r="M287" s="5" t="str">
        <f>TEXT(Store_Record[[#This Row],[Date]],"mmmm")</f>
        <v>January</v>
      </c>
      <c r="N287" s="5">
        <f>YEAR(Store_Record[[#This Row],[Date]])</f>
        <v>2025</v>
      </c>
      <c r="O287"/>
    </row>
    <row r="288" spans="1:15" x14ac:dyDescent="0.35">
      <c r="A288" t="s">
        <v>566</v>
      </c>
      <c r="B288" s="2">
        <v>45678</v>
      </c>
      <c r="C288" t="s">
        <v>10</v>
      </c>
      <c r="D288" t="s">
        <v>38</v>
      </c>
      <c r="E288" t="s">
        <v>12</v>
      </c>
      <c r="F288" t="s">
        <v>13</v>
      </c>
      <c r="G288">
        <v>2</v>
      </c>
      <c r="H288">
        <v>2.5</v>
      </c>
      <c r="I288" t="s">
        <v>21</v>
      </c>
      <c r="J288" t="s">
        <v>567</v>
      </c>
      <c r="K288" s="12">
        <f>Store_Record[[#This Row],[Qty]]*Store_Record[[#This Row],[UnitPriceGBP]]</f>
        <v>5</v>
      </c>
      <c r="L288" s="5" t="str">
        <f>TEXT(Store_Record[[#This Row],[Date]],"dddd")</f>
        <v>Tuesday</v>
      </c>
      <c r="M288" s="5" t="str">
        <f>TEXT(Store_Record[[#This Row],[Date]],"mmmm")</f>
        <v>January</v>
      </c>
      <c r="N288" s="5">
        <f>YEAR(Store_Record[[#This Row],[Date]])</f>
        <v>2025</v>
      </c>
      <c r="O288"/>
    </row>
    <row r="289" spans="1:15" x14ac:dyDescent="0.35">
      <c r="A289" t="s">
        <v>535</v>
      </c>
      <c r="B289" s="2">
        <v>45678</v>
      </c>
      <c r="C289" t="s">
        <v>36</v>
      </c>
      <c r="D289" t="s">
        <v>25</v>
      </c>
      <c r="E289" t="s">
        <v>30</v>
      </c>
      <c r="F289" t="s">
        <v>31</v>
      </c>
      <c r="G289">
        <v>1</v>
      </c>
      <c r="H289">
        <v>2.8</v>
      </c>
      <c r="I289" t="s">
        <v>21</v>
      </c>
      <c r="J289" t="s">
        <v>536</v>
      </c>
      <c r="K289" s="12">
        <f>Store_Record[[#This Row],[Qty]]*Store_Record[[#This Row],[UnitPriceGBP]]</f>
        <v>2.8</v>
      </c>
      <c r="L289" s="5" t="str">
        <f>TEXT(Store_Record[[#This Row],[Date]],"dddd")</f>
        <v>Tuesday</v>
      </c>
      <c r="M289" s="5" t="str">
        <f>TEXT(Store_Record[[#This Row],[Date]],"mmmm")</f>
        <v>January</v>
      </c>
      <c r="N289" s="5">
        <f>YEAR(Store_Record[[#This Row],[Date]])</f>
        <v>2025</v>
      </c>
      <c r="O289"/>
    </row>
    <row r="290" spans="1:15" x14ac:dyDescent="0.35">
      <c r="A290" t="s">
        <v>554</v>
      </c>
      <c r="B290" s="2">
        <v>45678</v>
      </c>
      <c r="C290" t="s">
        <v>20</v>
      </c>
      <c r="D290" t="s">
        <v>29</v>
      </c>
      <c r="E290" t="s">
        <v>30</v>
      </c>
      <c r="F290" t="s">
        <v>31</v>
      </c>
      <c r="G290">
        <v>1</v>
      </c>
      <c r="H290">
        <v>2.8</v>
      </c>
      <c r="I290" t="s">
        <v>14</v>
      </c>
      <c r="J290" t="s">
        <v>555</v>
      </c>
      <c r="K290" s="12">
        <f>Store_Record[[#This Row],[Qty]]*Store_Record[[#This Row],[UnitPriceGBP]]</f>
        <v>2.8</v>
      </c>
      <c r="L290" s="5" t="str">
        <f>TEXT(Store_Record[[#This Row],[Date]],"dddd")</f>
        <v>Tuesday</v>
      </c>
      <c r="M290" s="5" t="str">
        <f>TEXT(Store_Record[[#This Row],[Date]],"mmmm")</f>
        <v>January</v>
      </c>
      <c r="N290" s="5">
        <f>YEAR(Store_Record[[#This Row],[Date]])</f>
        <v>2025</v>
      </c>
      <c r="O290"/>
    </row>
    <row r="291" spans="1:15" x14ac:dyDescent="0.35">
      <c r="A291" t="s">
        <v>556</v>
      </c>
      <c r="B291" s="2">
        <v>45678</v>
      </c>
      <c r="C291" t="s">
        <v>20</v>
      </c>
      <c r="D291" t="s">
        <v>11</v>
      </c>
      <c r="E291" t="s">
        <v>30</v>
      </c>
      <c r="F291" t="s">
        <v>31</v>
      </c>
      <c r="G291">
        <v>1</v>
      </c>
      <c r="H291">
        <v>2.8</v>
      </c>
      <c r="I291" t="s">
        <v>21</v>
      </c>
      <c r="J291" t="s">
        <v>56</v>
      </c>
      <c r="K291" s="12">
        <f>Store_Record[[#This Row],[Qty]]*Store_Record[[#This Row],[UnitPriceGBP]]</f>
        <v>2.8</v>
      </c>
      <c r="L291" s="5" t="str">
        <f>TEXT(Store_Record[[#This Row],[Date]],"dddd")</f>
        <v>Tuesday</v>
      </c>
      <c r="M291" s="5" t="str">
        <f>TEXT(Store_Record[[#This Row],[Date]],"mmmm")</f>
        <v>January</v>
      </c>
      <c r="N291" s="5">
        <f>YEAR(Store_Record[[#This Row],[Date]])</f>
        <v>2025</v>
      </c>
      <c r="O291"/>
    </row>
    <row r="292" spans="1:15" x14ac:dyDescent="0.35">
      <c r="A292" t="s">
        <v>542</v>
      </c>
      <c r="B292" s="2">
        <v>45678</v>
      </c>
      <c r="C292" t="s">
        <v>24</v>
      </c>
      <c r="D292" t="s">
        <v>11</v>
      </c>
      <c r="E292" t="s">
        <v>34</v>
      </c>
      <c r="F292" t="s">
        <v>31</v>
      </c>
      <c r="G292">
        <v>1</v>
      </c>
      <c r="H292">
        <v>2.2000000000000002</v>
      </c>
      <c r="I292" t="s">
        <v>21</v>
      </c>
      <c r="J292" t="s">
        <v>543</v>
      </c>
      <c r="K292" s="12">
        <f>Store_Record[[#This Row],[Qty]]*Store_Record[[#This Row],[UnitPriceGBP]]</f>
        <v>2.2000000000000002</v>
      </c>
      <c r="L292" s="5" t="str">
        <f>TEXT(Store_Record[[#This Row],[Date]],"dddd")</f>
        <v>Tuesday</v>
      </c>
      <c r="M292" s="5" t="str">
        <f>TEXT(Store_Record[[#This Row],[Date]],"mmmm")</f>
        <v>January</v>
      </c>
      <c r="N292" s="5">
        <f>YEAR(Store_Record[[#This Row],[Date]])</f>
        <v>2025</v>
      </c>
      <c r="O292"/>
    </row>
    <row r="293" spans="1:15" x14ac:dyDescent="0.35">
      <c r="A293" t="s">
        <v>546</v>
      </c>
      <c r="B293" s="2">
        <v>45678</v>
      </c>
      <c r="C293" t="s">
        <v>20</v>
      </c>
      <c r="D293" t="s">
        <v>47</v>
      </c>
      <c r="E293" t="s">
        <v>34</v>
      </c>
      <c r="F293" t="s">
        <v>31</v>
      </c>
      <c r="G293">
        <v>1</v>
      </c>
      <c r="H293">
        <v>2.2000000000000002</v>
      </c>
      <c r="I293" t="s">
        <v>14</v>
      </c>
      <c r="J293" t="s">
        <v>547</v>
      </c>
      <c r="K293" s="12">
        <f>Store_Record[[#This Row],[Qty]]*Store_Record[[#This Row],[UnitPriceGBP]]</f>
        <v>2.2000000000000002</v>
      </c>
      <c r="L293" s="5" t="str">
        <f>TEXT(Store_Record[[#This Row],[Date]],"dddd")</f>
        <v>Tuesday</v>
      </c>
      <c r="M293" s="5" t="str">
        <f>TEXT(Store_Record[[#This Row],[Date]],"mmmm")</f>
        <v>January</v>
      </c>
      <c r="N293" s="5">
        <f>YEAR(Store_Record[[#This Row],[Date]])</f>
        <v>2025</v>
      </c>
      <c r="O293"/>
    </row>
    <row r="294" spans="1:15" x14ac:dyDescent="0.35">
      <c r="A294" t="s">
        <v>587</v>
      </c>
      <c r="B294" s="2">
        <v>45679</v>
      </c>
      <c r="C294" t="s">
        <v>24</v>
      </c>
      <c r="D294" t="s">
        <v>38</v>
      </c>
      <c r="E294" t="s">
        <v>30</v>
      </c>
      <c r="F294" t="s">
        <v>31</v>
      </c>
      <c r="G294">
        <v>5</v>
      </c>
      <c r="H294">
        <v>2.8</v>
      </c>
      <c r="I294" t="s">
        <v>39</v>
      </c>
      <c r="J294" t="s">
        <v>208</v>
      </c>
      <c r="K294" s="12">
        <f>Store_Record[[#This Row],[Qty]]*Store_Record[[#This Row],[UnitPriceGBP]]</f>
        <v>14</v>
      </c>
      <c r="L294" s="5" t="str">
        <f>TEXT(Store_Record[[#This Row],[Date]],"dddd")</f>
        <v>Wednesday</v>
      </c>
      <c r="M294" s="5" t="str">
        <f>TEXT(Store_Record[[#This Row],[Date]],"mmmm")</f>
        <v>January</v>
      </c>
      <c r="N294" s="5">
        <f>YEAR(Store_Record[[#This Row],[Date]])</f>
        <v>2025</v>
      </c>
      <c r="O294"/>
    </row>
    <row r="295" spans="1:15" x14ac:dyDescent="0.35">
      <c r="A295" t="s">
        <v>591</v>
      </c>
      <c r="B295" s="2">
        <v>45679</v>
      </c>
      <c r="C295" t="s">
        <v>36</v>
      </c>
      <c r="D295" t="s">
        <v>29</v>
      </c>
      <c r="E295" t="s">
        <v>30</v>
      </c>
      <c r="F295" t="s">
        <v>31</v>
      </c>
      <c r="G295">
        <v>5</v>
      </c>
      <c r="H295">
        <v>2.8</v>
      </c>
      <c r="I295" t="s">
        <v>39</v>
      </c>
      <c r="J295" t="s">
        <v>277</v>
      </c>
      <c r="K295" s="12">
        <f>Store_Record[[#This Row],[Qty]]*Store_Record[[#This Row],[UnitPriceGBP]]</f>
        <v>14</v>
      </c>
      <c r="L295" s="5" t="str">
        <f>TEXT(Store_Record[[#This Row],[Date]],"dddd")</f>
        <v>Wednesday</v>
      </c>
      <c r="M295" s="5" t="str">
        <f>TEXT(Store_Record[[#This Row],[Date]],"mmmm")</f>
        <v>January</v>
      </c>
      <c r="N295" s="5">
        <f>YEAR(Store_Record[[#This Row],[Date]])</f>
        <v>2025</v>
      </c>
      <c r="O295"/>
    </row>
    <row r="296" spans="1:15" x14ac:dyDescent="0.35">
      <c r="A296" t="s">
        <v>592</v>
      </c>
      <c r="B296" s="2">
        <v>45679</v>
      </c>
      <c r="C296" t="s">
        <v>36</v>
      </c>
      <c r="D296" t="s">
        <v>38</v>
      </c>
      <c r="E296" t="s">
        <v>42</v>
      </c>
      <c r="F296" t="s">
        <v>13</v>
      </c>
      <c r="G296">
        <v>3</v>
      </c>
      <c r="H296">
        <v>3.8</v>
      </c>
      <c r="I296" t="s">
        <v>39</v>
      </c>
      <c r="J296" t="s">
        <v>428</v>
      </c>
      <c r="K296" s="12">
        <f>Store_Record[[#This Row],[Qty]]*Store_Record[[#This Row],[UnitPriceGBP]]</f>
        <v>11.399999999999999</v>
      </c>
      <c r="L296" s="5" t="str">
        <f>TEXT(Store_Record[[#This Row],[Date]],"dddd")</f>
        <v>Wednesday</v>
      </c>
      <c r="M296" s="5" t="str">
        <f>TEXT(Store_Record[[#This Row],[Date]],"mmmm")</f>
        <v>January</v>
      </c>
      <c r="N296" s="5">
        <f>YEAR(Store_Record[[#This Row],[Date]])</f>
        <v>2025</v>
      </c>
      <c r="O296"/>
    </row>
    <row r="297" spans="1:15" x14ac:dyDescent="0.35">
      <c r="A297" t="s">
        <v>572</v>
      </c>
      <c r="B297" s="2">
        <v>45679</v>
      </c>
      <c r="C297" t="s">
        <v>20</v>
      </c>
      <c r="D297" t="s">
        <v>11</v>
      </c>
      <c r="E297" t="s">
        <v>34</v>
      </c>
      <c r="F297" t="s">
        <v>31</v>
      </c>
      <c r="G297">
        <v>5</v>
      </c>
      <c r="H297">
        <v>2.2000000000000002</v>
      </c>
      <c r="I297" t="s">
        <v>21</v>
      </c>
      <c r="J297" t="s">
        <v>573</v>
      </c>
      <c r="K297" s="12">
        <f>Store_Record[[#This Row],[Qty]]*Store_Record[[#This Row],[UnitPriceGBP]]</f>
        <v>11</v>
      </c>
      <c r="L297" s="5" t="str">
        <f>TEXT(Store_Record[[#This Row],[Date]],"dddd")</f>
        <v>Wednesday</v>
      </c>
      <c r="M297" s="5" t="str">
        <f>TEXT(Store_Record[[#This Row],[Date]],"mmmm")</f>
        <v>January</v>
      </c>
      <c r="N297" s="5">
        <f>YEAR(Store_Record[[#This Row],[Date]])</f>
        <v>2025</v>
      </c>
      <c r="O297"/>
    </row>
    <row r="298" spans="1:15" x14ac:dyDescent="0.35">
      <c r="A298" t="s">
        <v>593</v>
      </c>
      <c r="B298" s="2">
        <v>45679</v>
      </c>
      <c r="C298" t="s">
        <v>24</v>
      </c>
      <c r="D298" t="s">
        <v>47</v>
      </c>
      <c r="E298" t="s">
        <v>34</v>
      </c>
      <c r="F298" t="s">
        <v>31</v>
      </c>
      <c r="G298">
        <v>5</v>
      </c>
      <c r="H298">
        <v>2.2000000000000002</v>
      </c>
      <c r="I298" t="s">
        <v>21</v>
      </c>
      <c r="J298" t="s">
        <v>594</v>
      </c>
      <c r="K298" s="12">
        <f>Store_Record[[#This Row],[Qty]]*Store_Record[[#This Row],[UnitPriceGBP]]</f>
        <v>11</v>
      </c>
      <c r="L298" s="5" t="str">
        <f>TEXT(Store_Record[[#This Row],[Date]],"dddd")</f>
        <v>Wednesday</v>
      </c>
      <c r="M298" s="5" t="str">
        <f>TEXT(Store_Record[[#This Row],[Date]],"mmmm")</f>
        <v>January</v>
      </c>
      <c r="N298" s="5">
        <f>YEAR(Store_Record[[#This Row],[Date]])</f>
        <v>2025</v>
      </c>
      <c r="O298"/>
    </row>
    <row r="299" spans="1:15" x14ac:dyDescent="0.35">
      <c r="A299" t="s">
        <v>586</v>
      </c>
      <c r="B299" s="2">
        <v>45679</v>
      </c>
      <c r="C299" t="s">
        <v>20</v>
      </c>
      <c r="D299" t="s">
        <v>47</v>
      </c>
      <c r="E299" t="s">
        <v>26</v>
      </c>
      <c r="F299" t="s">
        <v>13</v>
      </c>
      <c r="G299">
        <v>3</v>
      </c>
      <c r="H299">
        <v>3.5</v>
      </c>
      <c r="I299" t="s">
        <v>39</v>
      </c>
      <c r="J299" t="s">
        <v>198</v>
      </c>
      <c r="K299" s="12">
        <f>Store_Record[[#This Row],[Qty]]*Store_Record[[#This Row],[UnitPriceGBP]]</f>
        <v>10.5</v>
      </c>
      <c r="L299" s="5" t="str">
        <f>TEXT(Store_Record[[#This Row],[Date]],"dddd")</f>
        <v>Wednesday</v>
      </c>
      <c r="M299" s="5" t="str">
        <f>TEXT(Store_Record[[#This Row],[Date]],"mmmm")</f>
        <v>January</v>
      </c>
      <c r="N299" s="5">
        <f>YEAR(Store_Record[[#This Row],[Date]])</f>
        <v>2025</v>
      </c>
      <c r="O299"/>
    </row>
    <row r="300" spans="1:15" x14ac:dyDescent="0.35">
      <c r="A300" t="s">
        <v>590</v>
      </c>
      <c r="B300" s="2">
        <v>45679</v>
      </c>
      <c r="C300" t="s">
        <v>36</v>
      </c>
      <c r="D300" t="s">
        <v>11</v>
      </c>
      <c r="E300" t="s">
        <v>26</v>
      </c>
      <c r="F300" t="s">
        <v>13</v>
      </c>
      <c r="G300">
        <v>3</v>
      </c>
      <c r="H300">
        <v>3.5</v>
      </c>
      <c r="I300" t="s">
        <v>39</v>
      </c>
      <c r="J300" t="s">
        <v>93</v>
      </c>
      <c r="K300" s="12">
        <f>Store_Record[[#This Row],[Qty]]*Store_Record[[#This Row],[UnitPriceGBP]]</f>
        <v>10.5</v>
      </c>
      <c r="L300" s="5" t="str">
        <f>TEXT(Store_Record[[#This Row],[Date]],"dddd")</f>
        <v>Wednesday</v>
      </c>
      <c r="M300" s="5" t="str">
        <f>TEXT(Store_Record[[#This Row],[Date]],"mmmm")</f>
        <v>January</v>
      </c>
      <c r="N300" s="5">
        <f>YEAR(Store_Record[[#This Row],[Date]])</f>
        <v>2025</v>
      </c>
      <c r="O300"/>
    </row>
    <row r="301" spans="1:15" x14ac:dyDescent="0.35">
      <c r="A301" t="s">
        <v>579</v>
      </c>
      <c r="B301" s="2">
        <v>45679</v>
      </c>
      <c r="C301" t="s">
        <v>36</v>
      </c>
      <c r="D301" t="s">
        <v>47</v>
      </c>
      <c r="E301" t="s">
        <v>34</v>
      </c>
      <c r="F301" t="s">
        <v>31</v>
      </c>
      <c r="G301">
        <v>4</v>
      </c>
      <c r="H301">
        <v>2.2000000000000002</v>
      </c>
      <c r="I301" t="s">
        <v>21</v>
      </c>
      <c r="J301" t="s">
        <v>580</v>
      </c>
      <c r="K301" s="12">
        <f>Store_Record[[#This Row],[Qty]]*Store_Record[[#This Row],[UnitPriceGBP]]</f>
        <v>8.8000000000000007</v>
      </c>
      <c r="L301" s="5" t="str">
        <f>TEXT(Store_Record[[#This Row],[Date]],"dddd")</f>
        <v>Wednesday</v>
      </c>
      <c r="M301" s="5" t="str">
        <f>TEXT(Store_Record[[#This Row],[Date]],"mmmm")</f>
        <v>January</v>
      </c>
      <c r="N301" s="5">
        <f>YEAR(Store_Record[[#This Row],[Date]])</f>
        <v>2025</v>
      </c>
      <c r="O301"/>
    </row>
    <row r="302" spans="1:15" x14ac:dyDescent="0.35">
      <c r="A302" t="s">
        <v>581</v>
      </c>
      <c r="B302" s="2">
        <v>45679</v>
      </c>
      <c r="C302" t="s">
        <v>20</v>
      </c>
      <c r="D302" t="s">
        <v>29</v>
      </c>
      <c r="E302" t="s">
        <v>30</v>
      </c>
      <c r="F302" t="s">
        <v>31</v>
      </c>
      <c r="G302">
        <v>3</v>
      </c>
      <c r="H302">
        <v>2.8</v>
      </c>
      <c r="I302" t="s">
        <v>14</v>
      </c>
      <c r="J302" t="s">
        <v>582</v>
      </c>
      <c r="K302" s="12">
        <f>Store_Record[[#This Row],[Qty]]*Store_Record[[#This Row],[UnitPriceGBP]]</f>
        <v>8.3999999999999986</v>
      </c>
      <c r="L302" s="5" t="str">
        <f>TEXT(Store_Record[[#This Row],[Date]],"dddd")</f>
        <v>Wednesday</v>
      </c>
      <c r="M302" s="5" t="str">
        <f>TEXT(Store_Record[[#This Row],[Date]],"mmmm")</f>
        <v>January</v>
      </c>
      <c r="N302" s="5">
        <f>YEAR(Store_Record[[#This Row],[Date]])</f>
        <v>2025</v>
      </c>
      <c r="O302"/>
    </row>
    <row r="303" spans="1:15" x14ac:dyDescent="0.35">
      <c r="A303" t="s">
        <v>576</v>
      </c>
      <c r="B303" s="2">
        <v>45679</v>
      </c>
      <c r="C303" t="s">
        <v>20</v>
      </c>
      <c r="D303" t="s">
        <v>38</v>
      </c>
      <c r="E303" t="s">
        <v>42</v>
      </c>
      <c r="F303" t="s">
        <v>13</v>
      </c>
      <c r="G303">
        <v>2</v>
      </c>
      <c r="H303">
        <v>3.8</v>
      </c>
      <c r="I303" t="s">
        <v>39</v>
      </c>
      <c r="J303" t="s">
        <v>428</v>
      </c>
      <c r="K303" s="12">
        <f>Store_Record[[#This Row],[Qty]]*Store_Record[[#This Row],[UnitPriceGBP]]</f>
        <v>7.6</v>
      </c>
      <c r="L303" s="5" t="str">
        <f>TEXT(Store_Record[[#This Row],[Date]],"dddd")</f>
        <v>Wednesday</v>
      </c>
      <c r="M303" s="5" t="str">
        <f>TEXT(Store_Record[[#This Row],[Date]],"mmmm")</f>
        <v>January</v>
      </c>
      <c r="N303" s="5">
        <f>YEAR(Store_Record[[#This Row],[Date]])</f>
        <v>2025</v>
      </c>
      <c r="O303"/>
    </row>
    <row r="304" spans="1:15" x14ac:dyDescent="0.35">
      <c r="A304" t="s">
        <v>588</v>
      </c>
      <c r="B304" s="2">
        <v>45679</v>
      </c>
      <c r="C304" t="s">
        <v>20</v>
      </c>
      <c r="D304" t="s">
        <v>38</v>
      </c>
      <c r="E304" t="s">
        <v>12</v>
      </c>
      <c r="F304" t="s">
        <v>13</v>
      </c>
      <c r="G304">
        <v>3</v>
      </c>
      <c r="H304">
        <v>2.5</v>
      </c>
      <c r="I304" t="s">
        <v>39</v>
      </c>
      <c r="J304" t="s">
        <v>589</v>
      </c>
      <c r="K304" s="12">
        <f>Store_Record[[#This Row],[Qty]]*Store_Record[[#This Row],[UnitPriceGBP]]</f>
        <v>7.5</v>
      </c>
      <c r="L304" s="5" t="str">
        <f>TEXT(Store_Record[[#This Row],[Date]],"dddd")</f>
        <v>Wednesday</v>
      </c>
      <c r="M304" s="5" t="str">
        <f>TEXT(Store_Record[[#This Row],[Date]],"mmmm")</f>
        <v>January</v>
      </c>
      <c r="N304" s="5">
        <f>YEAR(Store_Record[[#This Row],[Date]])</f>
        <v>2025</v>
      </c>
      <c r="O304"/>
    </row>
    <row r="305" spans="1:15" x14ac:dyDescent="0.35">
      <c r="A305" t="s">
        <v>584</v>
      </c>
      <c r="B305" s="2">
        <v>45679</v>
      </c>
      <c r="C305" t="s">
        <v>20</v>
      </c>
      <c r="D305" t="s">
        <v>47</v>
      </c>
      <c r="E305" t="s">
        <v>30</v>
      </c>
      <c r="F305" t="s">
        <v>31</v>
      </c>
      <c r="G305">
        <v>2</v>
      </c>
      <c r="H305">
        <v>2.8</v>
      </c>
      <c r="I305" t="s">
        <v>39</v>
      </c>
      <c r="J305" t="s">
        <v>585</v>
      </c>
      <c r="K305" s="12">
        <f>Store_Record[[#This Row],[Qty]]*Store_Record[[#This Row],[UnitPriceGBP]]</f>
        <v>5.6</v>
      </c>
      <c r="L305" s="5" t="str">
        <f>TEXT(Store_Record[[#This Row],[Date]],"dddd")</f>
        <v>Wednesday</v>
      </c>
      <c r="M305" s="5" t="str">
        <f>TEXT(Store_Record[[#This Row],[Date]],"mmmm")</f>
        <v>January</v>
      </c>
      <c r="N305" s="5">
        <f>YEAR(Store_Record[[#This Row],[Date]])</f>
        <v>2025</v>
      </c>
      <c r="O305"/>
    </row>
    <row r="306" spans="1:15" x14ac:dyDescent="0.35">
      <c r="A306" t="s">
        <v>577</v>
      </c>
      <c r="B306" s="2">
        <v>45679</v>
      </c>
      <c r="C306" t="s">
        <v>36</v>
      </c>
      <c r="D306" t="s">
        <v>47</v>
      </c>
      <c r="E306" t="s">
        <v>26</v>
      </c>
      <c r="F306" t="s">
        <v>13</v>
      </c>
      <c r="G306">
        <v>1</v>
      </c>
      <c r="H306">
        <v>3.5</v>
      </c>
      <c r="I306" t="s">
        <v>14</v>
      </c>
      <c r="J306" t="s">
        <v>578</v>
      </c>
      <c r="K306" s="12">
        <f>Store_Record[[#This Row],[Qty]]*Store_Record[[#This Row],[UnitPriceGBP]]</f>
        <v>3.5</v>
      </c>
      <c r="L306" s="5" t="str">
        <f>TEXT(Store_Record[[#This Row],[Date]],"dddd")</f>
        <v>Wednesday</v>
      </c>
      <c r="M306" s="5" t="str">
        <f>TEXT(Store_Record[[#This Row],[Date]],"mmmm")</f>
        <v>January</v>
      </c>
      <c r="N306" s="5">
        <f>YEAR(Store_Record[[#This Row],[Date]])</f>
        <v>2025</v>
      </c>
      <c r="O306"/>
    </row>
    <row r="307" spans="1:15" x14ac:dyDescent="0.35">
      <c r="A307" t="s">
        <v>583</v>
      </c>
      <c r="B307" s="2">
        <v>45679</v>
      </c>
      <c r="C307" t="s">
        <v>36</v>
      </c>
      <c r="D307" t="s">
        <v>25</v>
      </c>
      <c r="E307" t="s">
        <v>30</v>
      </c>
      <c r="F307" t="s">
        <v>31</v>
      </c>
      <c r="G307">
        <v>1</v>
      </c>
      <c r="H307">
        <v>2.8</v>
      </c>
      <c r="I307" t="s">
        <v>39</v>
      </c>
      <c r="J307" t="s">
        <v>323</v>
      </c>
      <c r="K307" s="12">
        <f>Store_Record[[#This Row],[Qty]]*Store_Record[[#This Row],[UnitPriceGBP]]</f>
        <v>2.8</v>
      </c>
      <c r="L307" s="5" t="str">
        <f>TEXT(Store_Record[[#This Row],[Date]],"dddd")</f>
        <v>Wednesday</v>
      </c>
      <c r="M307" s="5" t="str">
        <f>TEXT(Store_Record[[#This Row],[Date]],"mmmm")</f>
        <v>January</v>
      </c>
      <c r="N307" s="5">
        <f>YEAR(Store_Record[[#This Row],[Date]])</f>
        <v>2025</v>
      </c>
      <c r="O307"/>
    </row>
    <row r="308" spans="1:15" x14ac:dyDescent="0.35">
      <c r="A308" t="s">
        <v>574</v>
      </c>
      <c r="B308" s="2">
        <v>45679</v>
      </c>
      <c r="C308" t="s">
        <v>36</v>
      </c>
      <c r="D308" t="s">
        <v>29</v>
      </c>
      <c r="E308" t="s">
        <v>12</v>
      </c>
      <c r="F308" t="s">
        <v>13</v>
      </c>
      <c r="G308">
        <v>1</v>
      </c>
      <c r="H308">
        <v>2.5</v>
      </c>
      <c r="I308" t="s">
        <v>21</v>
      </c>
      <c r="J308" t="s">
        <v>575</v>
      </c>
      <c r="K308" s="12">
        <f>Store_Record[[#This Row],[Qty]]*Store_Record[[#This Row],[UnitPriceGBP]]</f>
        <v>2.5</v>
      </c>
      <c r="L308" s="5" t="str">
        <f>TEXT(Store_Record[[#This Row],[Date]],"dddd")</f>
        <v>Wednesday</v>
      </c>
      <c r="M308" s="5" t="str">
        <f>TEXT(Store_Record[[#This Row],[Date]],"mmmm")</f>
        <v>January</v>
      </c>
      <c r="N308" s="5">
        <f>YEAR(Store_Record[[#This Row],[Date]])</f>
        <v>2025</v>
      </c>
      <c r="O308"/>
    </row>
    <row r="309" spans="1:15" x14ac:dyDescent="0.35">
      <c r="A309" t="s">
        <v>597</v>
      </c>
      <c r="B309" s="2">
        <v>45680</v>
      </c>
      <c r="C309" t="s">
        <v>10</v>
      </c>
      <c r="D309" t="s">
        <v>29</v>
      </c>
      <c r="E309" t="s">
        <v>42</v>
      </c>
      <c r="F309" t="s">
        <v>13</v>
      </c>
      <c r="G309">
        <v>3</v>
      </c>
      <c r="H309">
        <v>3.8</v>
      </c>
      <c r="I309" t="s">
        <v>39</v>
      </c>
      <c r="J309" t="s">
        <v>598</v>
      </c>
      <c r="K309" s="12">
        <f>Store_Record[[#This Row],[Qty]]*Store_Record[[#This Row],[UnitPriceGBP]]</f>
        <v>11.399999999999999</v>
      </c>
      <c r="L309" s="5" t="str">
        <f>TEXT(Store_Record[[#This Row],[Date]],"dddd")</f>
        <v>Thursday</v>
      </c>
      <c r="M309" s="5" t="str">
        <f>TEXT(Store_Record[[#This Row],[Date]],"mmmm")</f>
        <v>January</v>
      </c>
      <c r="N309" s="5">
        <f>YEAR(Store_Record[[#This Row],[Date]])</f>
        <v>2025</v>
      </c>
      <c r="O309"/>
    </row>
    <row r="310" spans="1:15" x14ac:dyDescent="0.35">
      <c r="A310" t="s">
        <v>601</v>
      </c>
      <c r="B310" s="2">
        <v>45680</v>
      </c>
      <c r="C310" t="s">
        <v>10</v>
      </c>
      <c r="D310" t="s">
        <v>29</v>
      </c>
      <c r="E310" t="s">
        <v>30</v>
      </c>
      <c r="F310" t="s">
        <v>31</v>
      </c>
      <c r="G310">
        <v>4</v>
      </c>
      <c r="H310">
        <v>2.8</v>
      </c>
      <c r="I310" t="s">
        <v>14</v>
      </c>
      <c r="J310" t="s">
        <v>602</v>
      </c>
      <c r="K310" s="12">
        <f>Store_Record[[#This Row],[Qty]]*Store_Record[[#This Row],[UnitPriceGBP]]</f>
        <v>11.2</v>
      </c>
      <c r="L310" s="5" t="str">
        <f>TEXT(Store_Record[[#This Row],[Date]],"dddd")</f>
        <v>Thursday</v>
      </c>
      <c r="M310" s="5" t="str">
        <f>TEXT(Store_Record[[#This Row],[Date]],"mmmm")</f>
        <v>January</v>
      </c>
      <c r="N310" s="5">
        <f>YEAR(Store_Record[[#This Row],[Date]])</f>
        <v>2025</v>
      </c>
      <c r="O310"/>
    </row>
    <row r="311" spans="1:15" x14ac:dyDescent="0.35">
      <c r="A311" t="s">
        <v>595</v>
      </c>
      <c r="B311" s="2">
        <v>45680</v>
      </c>
      <c r="C311" t="s">
        <v>10</v>
      </c>
      <c r="D311" t="s">
        <v>11</v>
      </c>
      <c r="E311" t="s">
        <v>12</v>
      </c>
      <c r="F311" t="s">
        <v>13</v>
      </c>
      <c r="G311">
        <v>4</v>
      </c>
      <c r="H311">
        <v>2.5</v>
      </c>
      <c r="I311" t="s">
        <v>39</v>
      </c>
      <c r="J311" t="s">
        <v>596</v>
      </c>
      <c r="K311" s="12">
        <f>Store_Record[[#This Row],[Qty]]*Store_Record[[#This Row],[UnitPriceGBP]]</f>
        <v>10</v>
      </c>
      <c r="L311" s="5" t="str">
        <f>TEXT(Store_Record[[#This Row],[Date]],"dddd")</f>
        <v>Thursday</v>
      </c>
      <c r="M311" s="5" t="str">
        <f>TEXT(Store_Record[[#This Row],[Date]],"mmmm")</f>
        <v>January</v>
      </c>
      <c r="N311" s="5">
        <f>YEAR(Store_Record[[#This Row],[Date]])</f>
        <v>2025</v>
      </c>
      <c r="O311"/>
    </row>
    <row r="312" spans="1:15" x14ac:dyDescent="0.35">
      <c r="A312" t="s">
        <v>599</v>
      </c>
      <c r="B312" s="2">
        <v>45680</v>
      </c>
      <c r="C312" t="s">
        <v>20</v>
      </c>
      <c r="D312" t="s">
        <v>11</v>
      </c>
      <c r="E312" t="s">
        <v>26</v>
      </c>
      <c r="F312" t="s">
        <v>13</v>
      </c>
      <c r="G312">
        <v>2</v>
      </c>
      <c r="H312">
        <v>3.5</v>
      </c>
      <c r="I312" t="s">
        <v>39</v>
      </c>
      <c r="J312" t="s">
        <v>600</v>
      </c>
      <c r="K312" s="12">
        <f>Store_Record[[#This Row],[Qty]]*Store_Record[[#This Row],[UnitPriceGBP]]</f>
        <v>7</v>
      </c>
      <c r="L312" s="5" t="str">
        <f>TEXT(Store_Record[[#This Row],[Date]],"dddd")</f>
        <v>Thursday</v>
      </c>
      <c r="M312" s="5" t="str">
        <f>TEXT(Store_Record[[#This Row],[Date]],"mmmm")</f>
        <v>January</v>
      </c>
      <c r="N312" s="5">
        <f>YEAR(Store_Record[[#This Row],[Date]])</f>
        <v>2025</v>
      </c>
      <c r="O312"/>
    </row>
    <row r="313" spans="1:15" x14ac:dyDescent="0.35">
      <c r="A313" t="s">
        <v>609</v>
      </c>
      <c r="B313" s="2">
        <v>45681</v>
      </c>
      <c r="C313" t="s">
        <v>36</v>
      </c>
      <c r="D313" t="s">
        <v>29</v>
      </c>
      <c r="E313" t="s">
        <v>42</v>
      </c>
      <c r="F313" t="s">
        <v>13</v>
      </c>
      <c r="G313">
        <v>4</v>
      </c>
      <c r="H313">
        <v>3.8</v>
      </c>
      <c r="I313" t="s">
        <v>14</v>
      </c>
      <c r="J313" t="s">
        <v>610</v>
      </c>
      <c r="K313" s="12">
        <f>Store_Record[[#This Row],[Qty]]*Store_Record[[#This Row],[UnitPriceGBP]]</f>
        <v>15.2</v>
      </c>
      <c r="L313" s="5" t="str">
        <f>TEXT(Store_Record[[#This Row],[Date]],"dddd")</f>
        <v>Friday</v>
      </c>
      <c r="M313" s="5" t="str">
        <f>TEXT(Store_Record[[#This Row],[Date]],"mmmm")</f>
        <v>January</v>
      </c>
      <c r="N313" s="5">
        <f>YEAR(Store_Record[[#This Row],[Date]])</f>
        <v>2025</v>
      </c>
      <c r="O313"/>
    </row>
    <row r="314" spans="1:15" x14ac:dyDescent="0.35">
      <c r="A314" t="s">
        <v>6008</v>
      </c>
      <c r="B314" s="2">
        <v>45681</v>
      </c>
      <c r="C314" t="s">
        <v>20</v>
      </c>
      <c r="D314" t="s">
        <v>25</v>
      </c>
      <c r="E314" t="s">
        <v>12</v>
      </c>
      <c r="F314" t="s">
        <v>13</v>
      </c>
      <c r="G314">
        <v>4</v>
      </c>
      <c r="H314">
        <v>2.5</v>
      </c>
      <c r="I314" t="s">
        <v>39</v>
      </c>
      <c r="J314" t="s">
        <v>1860</v>
      </c>
      <c r="K314" s="12">
        <f>Store_Record[[#This Row],[Qty]]*Store_Record[[#This Row],[UnitPriceGBP]]</f>
        <v>10</v>
      </c>
      <c r="L314" s="5" t="str">
        <f>TEXT(Store_Record[[#This Row],[Date]],"dddd")</f>
        <v>Friday</v>
      </c>
      <c r="M314" s="5" t="str">
        <f>TEXT(Store_Record[[#This Row],[Date]],"mmmm")</f>
        <v>January</v>
      </c>
      <c r="N314" s="5">
        <f>YEAR(Store_Record[[#This Row],[Date]])</f>
        <v>2025</v>
      </c>
      <c r="O314"/>
    </row>
    <row r="315" spans="1:15" x14ac:dyDescent="0.35">
      <c r="A315" t="s">
        <v>608</v>
      </c>
      <c r="B315" s="2">
        <v>45681</v>
      </c>
      <c r="C315" t="s">
        <v>36</v>
      </c>
      <c r="D315" t="s">
        <v>29</v>
      </c>
      <c r="E315" t="s">
        <v>34</v>
      </c>
      <c r="F315" t="s">
        <v>31</v>
      </c>
      <c r="G315">
        <v>4</v>
      </c>
      <c r="H315">
        <v>2.2000000000000002</v>
      </c>
      <c r="I315" t="s">
        <v>39</v>
      </c>
      <c r="J315" t="s">
        <v>390</v>
      </c>
      <c r="K315" s="12">
        <f>Store_Record[[#This Row],[Qty]]*Store_Record[[#This Row],[UnitPriceGBP]]</f>
        <v>8.8000000000000007</v>
      </c>
      <c r="L315" s="5" t="str">
        <f>TEXT(Store_Record[[#This Row],[Date]],"dddd")</f>
        <v>Friday</v>
      </c>
      <c r="M315" s="5" t="str">
        <f>TEXT(Store_Record[[#This Row],[Date]],"mmmm")</f>
        <v>January</v>
      </c>
      <c r="N315" s="5">
        <f>YEAR(Store_Record[[#This Row],[Date]])</f>
        <v>2025</v>
      </c>
      <c r="O315"/>
    </row>
    <row r="316" spans="1:15" x14ac:dyDescent="0.35">
      <c r="A316" t="s">
        <v>606</v>
      </c>
      <c r="B316" s="2">
        <v>45681</v>
      </c>
      <c r="C316" t="s">
        <v>24</v>
      </c>
      <c r="D316" t="s">
        <v>11</v>
      </c>
      <c r="E316" t="s">
        <v>30</v>
      </c>
      <c r="F316" t="s">
        <v>31</v>
      </c>
      <c r="G316">
        <v>2</v>
      </c>
      <c r="H316">
        <v>2.8</v>
      </c>
      <c r="I316" t="s">
        <v>21</v>
      </c>
      <c r="J316" t="s">
        <v>607</v>
      </c>
      <c r="K316" s="12">
        <f>Store_Record[[#This Row],[Qty]]*Store_Record[[#This Row],[UnitPriceGBP]]</f>
        <v>5.6</v>
      </c>
      <c r="L316" s="5" t="str">
        <f>TEXT(Store_Record[[#This Row],[Date]],"dddd")</f>
        <v>Friday</v>
      </c>
      <c r="M316" s="5" t="str">
        <f>TEXT(Store_Record[[#This Row],[Date]],"mmmm")</f>
        <v>January</v>
      </c>
      <c r="N316" s="5">
        <f>YEAR(Store_Record[[#This Row],[Date]])</f>
        <v>2025</v>
      </c>
      <c r="O316"/>
    </row>
    <row r="317" spans="1:15" x14ac:dyDescent="0.35">
      <c r="A317" t="s">
        <v>614</v>
      </c>
      <c r="B317" s="2">
        <v>45681</v>
      </c>
      <c r="C317" t="s">
        <v>24</v>
      </c>
      <c r="D317" t="s">
        <v>29</v>
      </c>
      <c r="E317" t="s">
        <v>34</v>
      </c>
      <c r="F317" t="s">
        <v>31</v>
      </c>
      <c r="G317">
        <v>2</v>
      </c>
      <c r="H317">
        <v>2.2000000000000002</v>
      </c>
      <c r="I317" t="s">
        <v>21</v>
      </c>
      <c r="J317" t="s">
        <v>52</v>
      </c>
      <c r="K317" s="12">
        <f>Store_Record[[#This Row],[Qty]]*Store_Record[[#This Row],[UnitPriceGBP]]</f>
        <v>4.4000000000000004</v>
      </c>
      <c r="L317" s="5" t="str">
        <f>TEXT(Store_Record[[#This Row],[Date]],"dddd")</f>
        <v>Friday</v>
      </c>
      <c r="M317" s="5" t="str">
        <f>TEXT(Store_Record[[#This Row],[Date]],"mmmm")</f>
        <v>January</v>
      </c>
      <c r="N317" s="5">
        <f>YEAR(Store_Record[[#This Row],[Date]])</f>
        <v>2025</v>
      </c>
      <c r="O317"/>
    </row>
    <row r="318" spans="1:15" x14ac:dyDescent="0.35">
      <c r="A318" t="s">
        <v>611</v>
      </c>
      <c r="B318" s="2">
        <v>45681</v>
      </c>
      <c r="C318" t="s">
        <v>20</v>
      </c>
      <c r="D318" t="s">
        <v>38</v>
      </c>
      <c r="E318" t="s">
        <v>26</v>
      </c>
      <c r="F318" t="s">
        <v>13</v>
      </c>
      <c r="G318">
        <v>1</v>
      </c>
      <c r="H318">
        <v>3.5</v>
      </c>
      <c r="I318" t="s">
        <v>14</v>
      </c>
      <c r="J318" t="s">
        <v>612</v>
      </c>
      <c r="K318" s="12">
        <f>Store_Record[[#This Row],[Qty]]*Store_Record[[#This Row],[UnitPriceGBP]]</f>
        <v>3.5</v>
      </c>
      <c r="L318" s="5" t="str">
        <f>TEXT(Store_Record[[#This Row],[Date]],"dddd")</f>
        <v>Friday</v>
      </c>
      <c r="M318" s="5" t="str">
        <f>TEXT(Store_Record[[#This Row],[Date]],"mmmm")</f>
        <v>January</v>
      </c>
      <c r="N318" s="5">
        <f>YEAR(Store_Record[[#This Row],[Date]])</f>
        <v>2025</v>
      </c>
      <c r="O318"/>
    </row>
    <row r="319" spans="1:15" x14ac:dyDescent="0.35">
      <c r="A319" t="s">
        <v>613</v>
      </c>
      <c r="B319" s="2">
        <v>45681</v>
      </c>
      <c r="C319" t="s">
        <v>36</v>
      </c>
      <c r="D319" t="s">
        <v>38</v>
      </c>
      <c r="E319" t="s">
        <v>26</v>
      </c>
      <c r="F319" t="s">
        <v>13</v>
      </c>
      <c r="G319">
        <v>1</v>
      </c>
      <c r="H319">
        <v>3.5</v>
      </c>
      <c r="I319" t="s">
        <v>39</v>
      </c>
      <c r="J319" t="s">
        <v>135</v>
      </c>
      <c r="K319" s="12">
        <f>Store_Record[[#This Row],[Qty]]*Store_Record[[#This Row],[UnitPriceGBP]]</f>
        <v>3.5</v>
      </c>
      <c r="L319" s="5" t="str">
        <f>TEXT(Store_Record[[#This Row],[Date]],"dddd")</f>
        <v>Friday</v>
      </c>
      <c r="M319" s="5" t="str">
        <f>TEXT(Store_Record[[#This Row],[Date]],"mmmm")</f>
        <v>January</v>
      </c>
      <c r="N319" s="5">
        <f>YEAR(Store_Record[[#This Row],[Date]])</f>
        <v>2025</v>
      </c>
      <c r="O319"/>
    </row>
    <row r="320" spans="1:15" x14ac:dyDescent="0.35">
      <c r="A320" t="s">
        <v>615</v>
      </c>
      <c r="B320" s="2">
        <v>45681</v>
      </c>
      <c r="C320" t="s">
        <v>10</v>
      </c>
      <c r="D320" t="s">
        <v>11</v>
      </c>
      <c r="E320" t="s">
        <v>12</v>
      </c>
      <c r="F320" t="s">
        <v>13</v>
      </c>
      <c r="G320">
        <v>1</v>
      </c>
      <c r="H320">
        <v>2.5</v>
      </c>
      <c r="I320" t="s">
        <v>21</v>
      </c>
      <c r="J320" t="s">
        <v>616</v>
      </c>
      <c r="K320" s="12">
        <f>Store_Record[[#This Row],[Qty]]*Store_Record[[#This Row],[UnitPriceGBP]]</f>
        <v>2.5</v>
      </c>
      <c r="L320" s="5" t="str">
        <f>TEXT(Store_Record[[#This Row],[Date]],"dddd")</f>
        <v>Friday</v>
      </c>
      <c r="M320" s="5" t="str">
        <f>TEXT(Store_Record[[#This Row],[Date]],"mmmm")</f>
        <v>January</v>
      </c>
      <c r="N320" s="5">
        <f>YEAR(Store_Record[[#This Row],[Date]])</f>
        <v>2025</v>
      </c>
      <c r="O320"/>
    </row>
    <row r="321" spans="1:15" x14ac:dyDescent="0.35">
      <c r="A321" t="s">
        <v>603</v>
      </c>
      <c r="B321" s="2">
        <v>45681</v>
      </c>
      <c r="C321" t="s">
        <v>20</v>
      </c>
      <c r="D321" t="s">
        <v>29</v>
      </c>
      <c r="E321" t="s">
        <v>34</v>
      </c>
      <c r="F321" t="s">
        <v>31</v>
      </c>
      <c r="G321">
        <v>1</v>
      </c>
      <c r="H321">
        <v>2.2000000000000002</v>
      </c>
      <c r="I321" t="s">
        <v>14</v>
      </c>
      <c r="J321" t="s">
        <v>604</v>
      </c>
      <c r="K321" s="12">
        <f>Store_Record[[#This Row],[Qty]]*Store_Record[[#This Row],[UnitPriceGBP]]</f>
        <v>2.2000000000000002</v>
      </c>
      <c r="L321" s="5" t="str">
        <f>TEXT(Store_Record[[#This Row],[Date]],"dddd")</f>
        <v>Friday</v>
      </c>
      <c r="M321" s="5" t="str">
        <f>TEXT(Store_Record[[#This Row],[Date]],"mmmm")</f>
        <v>January</v>
      </c>
      <c r="N321" s="5">
        <f>YEAR(Store_Record[[#This Row],[Date]])</f>
        <v>2025</v>
      </c>
      <c r="O321"/>
    </row>
    <row r="322" spans="1:15" x14ac:dyDescent="0.35">
      <c r="A322" t="s">
        <v>605</v>
      </c>
      <c r="B322" s="2">
        <v>45681</v>
      </c>
      <c r="C322" t="s">
        <v>20</v>
      </c>
      <c r="D322" t="s">
        <v>25</v>
      </c>
      <c r="E322" t="s">
        <v>34</v>
      </c>
      <c r="F322" t="s">
        <v>31</v>
      </c>
      <c r="G322">
        <v>1</v>
      </c>
      <c r="H322">
        <v>2.2000000000000002</v>
      </c>
      <c r="I322" t="s">
        <v>39</v>
      </c>
      <c r="J322" t="s">
        <v>232</v>
      </c>
      <c r="K322" s="12">
        <f>Store_Record[[#This Row],[Qty]]*Store_Record[[#This Row],[UnitPriceGBP]]</f>
        <v>2.2000000000000002</v>
      </c>
      <c r="L322" s="5" t="str">
        <f>TEXT(Store_Record[[#This Row],[Date]],"dddd")</f>
        <v>Friday</v>
      </c>
      <c r="M322" s="5" t="str">
        <f>TEXT(Store_Record[[#This Row],[Date]],"mmmm")</f>
        <v>January</v>
      </c>
      <c r="N322" s="5">
        <f>YEAR(Store_Record[[#This Row],[Date]])</f>
        <v>2025</v>
      </c>
      <c r="O322"/>
    </row>
    <row r="323" spans="1:15" x14ac:dyDescent="0.35">
      <c r="A323" t="s">
        <v>629</v>
      </c>
      <c r="B323" s="2">
        <v>45682</v>
      </c>
      <c r="C323" t="s">
        <v>24</v>
      </c>
      <c r="D323" t="s">
        <v>11</v>
      </c>
      <c r="E323" t="s">
        <v>26</v>
      </c>
      <c r="F323" t="s">
        <v>13</v>
      </c>
      <c r="G323">
        <v>4</v>
      </c>
      <c r="H323">
        <v>3.5</v>
      </c>
      <c r="I323" t="s">
        <v>39</v>
      </c>
      <c r="J323" t="s">
        <v>630</v>
      </c>
      <c r="K323" s="12">
        <f>Store_Record[[#This Row],[Qty]]*Store_Record[[#This Row],[UnitPriceGBP]]</f>
        <v>14</v>
      </c>
      <c r="L323" s="5" t="str">
        <f>TEXT(Store_Record[[#This Row],[Date]],"dddd")</f>
        <v>Saturday</v>
      </c>
      <c r="M323" s="5" t="str">
        <f>TEXT(Store_Record[[#This Row],[Date]],"mmmm")</f>
        <v>January</v>
      </c>
      <c r="N323" s="5">
        <f>YEAR(Store_Record[[#This Row],[Date]])</f>
        <v>2025</v>
      </c>
      <c r="O323"/>
    </row>
    <row r="324" spans="1:15" x14ac:dyDescent="0.35">
      <c r="A324" t="s">
        <v>627</v>
      </c>
      <c r="B324" s="2">
        <v>45682</v>
      </c>
      <c r="C324" t="s">
        <v>36</v>
      </c>
      <c r="D324" t="s">
        <v>47</v>
      </c>
      <c r="E324" t="s">
        <v>12</v>
      </c>
      <c r="F324" t="s">
        <v>13</v>
      </c>
      <c r="G324">
        <v>5</v>
      </c>
      <c r="H324">
        <v>2.5</v>
      </c>
      <c r="I324" t="s">
        <v>14</v>
      </c>
      <c r="J324" t="s">
        <v>628</v>
      </c>
      <c r="K324" s="12">
        <f>Store_Record[[#This Row],[Qty]]*Store_Record[[#This Row],[UnitPriceGBP]]</f>
        <v>12.5</v>
      </c>
      <c r="L324" s="5" t="str">
        <f>TEXT(Store_Record[[#This Row],[Date]],"dddd")</f>
        <v>Saturday</v>
      </c>
      <c r="M324" s="5" t="str">
        <f>TEXT(Store_Record[[#This Row],[Date]],"mmmm")</f>
        <v>January</v>
      </c>
      <c r="N324" s="5">
        <f>YEAR(Store_Record[[#This Row],[Date]])</f>
        <v>2025</v>
      </c>
      <c r="O324"/>
    </row>
    <row r="325" spans="1:15" x14ac:dyDescent="0.35">
      <c r="A325" t="s">
        <v>621</v>
      </c>
      <c r="B325" s="2">
        <v>45682</v>
      </c>
      <c r="C325" t="s">
        <v>20</v>
      </c>
      <c r="D325" t="s">
        <v>29</v>
      </c>
      <c r="E325" t="s">
        <v>12</v>
      </c>
      <c r="F325" t="s">
        <v>13</v>
      </c>
      <c r="G325">
        <v>4</v>
      </c>
      <c r="H325">
        <v>2.5</v>
      </c>
      <c r="I325" t="s">
        <v>39</v>
      </c>
      <c r="J325" t="s">
        <v>622</v>
      </c>
      <c r="K325" s="12">
        <f>Store_Record[[#This Row],[Qty]]*Store_Record[[#This Row],[UnitPriceGBP]]</f>
        <v>10</v>
      </c>
      <c r="L325" s="5" t="str">
        <f>TEXT(Store_Record[[#This Row],[Date]],"dddd")</f>
        <v>Saturday</v>
      </c>
      <c r="M325" s="5" t="str">
        <f>TEXT(Store_Record[[#This Row],[Date]],"mmmm")</f>
        <v>January</v>
      </c>
      <c r="N325" s="5">
        <f>YEAR(Store_Record[[#This Row],[Date]])</f>
        <v>2025</v>
      </c>
      <c r="O325"/>
    </row>
    <row r="326" spans="1:15" x14ac:dyDescent="0.35">
      <c r="A326" t="s">
        <v>631</v>
      </c>
      <c r="B326" s="2">
        <v>45682</v>
      </c>
      <c r="C326" t="s">
        <v>10</v>
      </c>
      <c r="D326" t="s">
        <v>25</v>
      </c>
      <c r="E326" t="s">
        <v>12</v>
      </c>
      <c r="F326" t="s">
        <v>13</v>
      </c>
      <c r="G326">
        <v>4</v>
      </c>
      <c r="H326">
        <v>2.5</v>
      </c>
      <c r="I326" t="s">
        <v>21</v>
      </c>
      <c r="J326" t="s">
        <v>632</v>
      </c>
      <c r="K326" s="12">
        <f>Store_Record[[#This Row],[Qty]]*Store_Record[[#This Row],[UnitPriceGBP]]</f>
        <v>10</v>
      </c>
      <c r="L326" s="5" t="str">
        <f>TEXT(Store_Record[[#This Row],[Date]],"dddd")</f>
        <v>Saturday</v>
      </c>
      <c r="M326" s="5" t="str">
        <f>TEXT(Store_Record[[#This Row],[Date]],"mmmm")</f>
        <v>January</v>
      </c>
      <c r="N326" s="5">
        <f>YEAR(Store_Record[[#This Row],[Date]])</f>
        <v>2025</v>
      </c>
      <c r="O326"/>
    </row>
    <row r="327" spans="1:15" x14ac:dyDescent="0.35">
      <c r="A327" t="s">
        <v>635</v>
      </c>
      <c r="B327" s="2">
        <v>45682</v>
      </c>
      <c r="C327" t="s">
        <v>24</v>
      </c>
      <c r="D327" t="s">
        <v>47</v>
      </c>
      <c r="E327" t="s">
        <v>34</v>
      </c>
      <c r="F327" t="s">
        <v>31</v>
      </c>
      <c r="G327">
        <v>4</v>
      </c>
      <c r="H327">
        <v>2.2000000000000002</v>
      </c>
      <c r="I327" t="s">
        <v>14</v>
      </c>
      <c r="J327" t="s">
        <v>234</v>
      </c>
      <c r="K327" s="12">
        <f>Store_Record[[#This Row],[Qty]]*Store_Record[[#This Row],[UnitPriceGBP]]</f>
        <v>8.8000000000000007</v>
      </c>
      <c r="L327" s="5" t="str">
        <f>TEXT(Store_Record[[#This Row],[Date]],"dddd")</f>
        <v>Saturday</v>
      </c>
      <c r="M327" s="5" t="str">
        <f>TEXT(Store_Record[[#This Row],[Date]],"mmmm")</f>
        <v>January</v>
      </c>
      <c r="N327" s="5">
        <f>YEAR(Store_Record[[#This Row],[Date]])</f>
        <v>2025</v>
      </c>
      <c r="O327"/>
    </row>
    <row r="328" spans="1:15" x14ac:dyDescent="0.35">
      <c r="A328" t="s">
        <v>617</v>
      </c>
      <c r="B328" s="2">
        <v>45682</v>
      </c>
      <c r="C328" t="s">
        <v>24</v>
      </c>
      <c r="D328" t="s">
        <v>25</v>
      </c>
      <c r="E328" t="s">
        <v>12</v>
      </c>
      <c r="F328" t="s">
        <v>13</v>
      </c>
      <c r="G328">
        <v>3</v>
      </c>
      <c r="H328">
        <v>2.5</v>
      </c>
      <c r="I328" t="s">
        <v>21</v>
      </c>
      <c r="J328" t="s">
        <v>618</v>
      </c>
      <c r="K328" s="12">
        <f>Store_Record[[#This Row],[Qty]]*Store_Record[[#This Row],[UnitPriceGBP]]</f>
        <v>7.5</v>
      </c>
      <c r="L328" s="5" t="str">
        <f>TEXT(Store_Record[[#This Row],[Date]],"dddd")</f>
        <v>Saturday</v>
      </c>
      <c r="M328" s="5" t="str">
        <f>TEXT(Store_Record[[#This Row],[Date]],"mmmm")</f>
        <v>January</v>
      </c>
      <c r="N328" s="5">
        <f>YEAR(Store_Record[[#This Row],[Date]])</f>
        <v>2025</v>
      </c>
      <c r="O328"/>
    </row>
    <row r="329" spans="1:15" x14ac:dyDescent="0.35">
      <c r="A329" t="s">
        <v>623</v>
      </c>
      <c r="B329" s="2">
        <v>45682</v>
      </c>
      <c r="C329" t="s">
        <v>24</v>
      </c>
      <c r="D329" t="s">
        <v>47</v>
      </c>
      <c r="E329" t="s">
        <v>34</v>
      </c>
      <c r="F329" t="s">
        <v>31</v>
      </c>
      <c r="G329">
        <v>3</v>
      </c>
      <c r="H329">
        <v>2.2000000000000002</v>
      </c>
      <c r="I329" t="s">
        <v>21</v>
      </c>
      <c r="J329" t="s">
        <v>624</v>
      </c>
      <c r="K329" s="12">
        <f>Store_Record[[#This Row],[Qty]]*Store_Record[[#This Row],[UnitPriceGBP]]</f>
        <v>6.6000000000000005</v>
      </c>
      <c r="L329" s="5" t="str">
        <f>TEXT(Store_Record[[#This Row],[Date]],"dddd")</f>
        <v>Saturday</v>
      </c>
      <c r="M329" s="5" t="str">
        <f>TEXT(Store_Record[[#This Row],[Date]],"mmmm")</f>
        <v>January</v>
      </c>
      <c r="N329" s="5">
        <f>YEAR(Store_Record[[#This Row],[Date]])</f>
        <v>2025</v>
      </c>
      <c r="O329"/>
    </row>
    <row r="330" spans="1:15" x14ac:dyDescent="0.35">
      <c r="A330" t="s">
        <v>625</v>
      </c>
      <c r="B330" s="2">
        <v>45682</v>
      </c>
      <c r="C330" t="s">
        <v>36</v>
      </c>
      <c r="D330" t="s">
        <v>11</v>
      </c>
      <c r="E330" t="s">
        <v>12</v>
      </c>
      <c r="F330" t="s">
        <v>13</v>
      </c>
      <c r="G330">
        <v>2</v>
      </c>
      <c r="H330">
        <v>2.5</v>
      </c>
      <c r="I330" t="s">
        <v>21</v>
      </c>
      <c r="J330" t="s">
        <v>626</v>
      </c>
      <c r="K330" s="12">
        <f>Store_Record[[#This Row],[Qty]]*Store_Record[[#This Row],[UnitPriceGBP]]</f>
        <v>5</v>
      </c>
      <c r="L330" s="5" t="str">
        <f>TEXT(Store_Record[[#This Row],[Date]],"dddd")</f>
        <v>Saturday</v>
      </c>
      <c r="M330" s="5" t="str">
        <f>TEXT(Store_Record[[#This Row],[Date]],"mmmm")</f>
        <v>January</v>
      </c>
      <c r="N330" s="5">
        <f>YEAR(Store_Record[[#This Row],[Date]])</f>
        <v>2025</v>
      </c>
      <c r="O330"/>
    </row>
    <row r="331" spans="1:15" x14ac:dyDescent="0.35">
      <c r="A331" t="s">
        <v>619</v>
      </c>
      <c r="B331" s="2">
        <v>45682</v>
      </c>
      <c r="C331" t="s">
        <v>24</v>
      </c>
      <c r="D331" t="s">
        <v>29</v>
      </c>
      <c r="E331" t="s">
        <v>26</v>
      </c>
      <c r="F331" t="s">
        <v>13</v>
      </c>
      <c r="G331">
        <v>1</v>
      </c>
      <c r="H331">
        <v>3.5</v>
      </c>
      <c r="I331" t="s">
        <v>14</v>
      </c>
      <c r="J331" t="s">
        <v>620</v>
      </c>
      <c r="K331" s="12">
        <f>Store_Record[[#This Row],[Qty]]*Store_Record[[#This Row],[UnitPriceGBP]]</f>
        <v>3.5</v>
      </c>
      <c r="L331" s="5" t="str">
        <f>TEXT(Store_Record[[#This Row],[Date]],"dddd")</f>
        <v>Saturday</v>
      </c>
      <c r="M331" s="5" t="str">
        <f>TEXT(Store_Record[[#This Row],[Date]],"mmmm")</f>
        <v>January</v>
      </c>
      <c r="N331" s="5">
        <f>YEAR(Store_Record[[#This Row],[Date]])</f>
        <v>2025</v>
      </c>
      <c r="O331"/>
    </row>
    <row r="332" spans="1:15" x14ac:dyDescent="0.35">
      <c r="A332" t="s">
        <v>633</v>
      </c>
      <c r="B332" s="2">
        <v>45682</v>
      </c>
      <c r="C332" t="s">
        <v>24</v>
      </c>
      <c r="D332" t="s">
        <v>47</v>
      </c>
      <c r="E332" t="s">
        <v>34</v>
      </c>
      <c r="F332" t="s">
        <v>31</v>
      </c>
      <c r="G332">
        <v>1</v>
      </c>
      <c r="H332">
        <v>2.2000000000000002</v>
      </c>
      <c r="I332" t="s">
        <v>39</v>
      </c>
      <c r="J332" t="s">
        <v>634</v>
      </c>
      <c r="K332" s="12">
        <f>Store_Record[[#This Row],[Qty]]*Store_Record[[#This Row],[UnitPriceGBP]]</f>
        <v>2.2000000000000002</v>
      </c>
      <c r="L332" s="5" t="str">
        <f>TEXT(Store_Record[[#This Row],[Date]],"dddd")</f>
        <v>Saturday</v>
      </c>
      <c r="M332" s="5" t="str">
        <f>TEXT(Store_Record[[#This Row],[Date]],"mmmm")</f>
        <v>January</v>
      </c>
      <c r="N332" s="5">
        <f>YEAR(Store_Record[[#This Row],[Date]])</f>
        <v>2025</v>
      </c>
      <c r="O332"/>
    </row>
    <row r="333" spans="1:15" x14ac:dyDescent="0.35">
      <c r="A333" t="s">
        <v>645</v>
      </c>
      <c r="B333" s="2">
        <v>45683</v>
      </c>
      <c r="C333" t="s">
        <v>20</v>
      </c>
      <c r="D333" t="s">
        <v>11</v>
      </c>
      <c r="E333" t="s">
        <v>42</v>
      </c>
      <c r="F333" t="s">
        <v>13</v>
      </c>
      <c r="G333">
        <v>5</v>
      </c>
      <c r="H333">
        <v>3.8</v>
      </c>
      <c r="I333" t="s">
        <v>39</v>
      </c>
      <c r="J333" t="s">
        <v>646</v>
      </c>
      <c r="K333" s="12">
        <f>Store_Record[[#This Row],[Qty]]*Store_Record[[#This Row],[UnitPriceGBP]]</f>
        <v>19</v>
      </c>
      <c r="L333" s="5" t="str">
        <f>TEXT(Store_Record[[#This Row],[Date]],"dddd")</f>
        <v>Sunday</v>
      </c>
      <c r="M333" s="5" t="str">
        <f>TEXT(Store_Record[[#This Row],[Date]],"mmmm")</f>
        <v>January</v>
      </c>
      <c r="N333" s="5">
        <f>YEAR(Store_Record[[#This Row],[Date]])</f>
        <v>2025</v>
      </c>
      <c r="O333"/>
    </row>
    <row r="334" spans="1:15" x14ac:dyDescent="0.35">
      <c r="A334" t="s">
        <v>647</v>
      </c>
      <c r="B334" s="2">
        <v>45683</v>
      </c>
      <c r="C334" t="s">
        <v>36</v>
      </c>
      <c r="D334" t="s">
        <v>11</v>
      </c>
      <c r="E334" t="s">
        <v>34</v>
      </c>
      <c r="F334" t="s">
        <v>31</v>
      </c>
      <c r="G334">
        <v>5</v>
      </c>
      <c r="H334">
        <v>2.2000000000000002</v>
      </c>
      <c r="I334" t="s">
        <v>39</v>
      </c>
      <c r="J334" t="s">
        <v>648</v>
      </c>
      <c r="K334" s="12">
        <f>Store_Record[[#This Row],[Qty]]*Store_Record[[#This Row],[UnitPriceGBP]]</f>
        <v>11</v>
      </c>
      <c r="L334" s="5" t="str">
        <f>TEXT(Store_Record[[#This Row],[Date]],"dddd")</f>
        <v>Sunday</v>
      </c>
      <c r="M334" s="5" t="str">
        <f>TEXT(Store_Record[[#This Row],[Date]],"mmmm")</f>
        <v>January</v>
      </c>
      <c r="N334" s="5">
        <f>YEAR(Store_Record[[#This Row],[Date]])</f>
        <v>2025</v>
      </c>
      <c r="O334"/>
    </row>
    <row r="335" spans="1:15" x14ac:dyDescent="0.35">
      <c r="A335" t="s">
        <v>657</v>
      </c>
      <c r="B335" s="2">
        <v>45683</v>
      </c>
      <c r="C335" t="s">
        <v>20</v>
      </c>
      <c r="D335" t="s">
        <v>47</v>
      </c>
      <c r="E335" t="s">
        <v>26</v>
      </c>
      <c r="F335" t="s">
        <v>13</v>
      </c>
      <c r="G335">
        <v>3</v>
      </c>
      <c r="H335">
        <v>3.5</v>
      </c>
      <c r="I335" t="s">
        <v>39</v>
      </c>
      <c r="J335" t="s">
        <v>456</v>
      </c>
      <c r="K335" s="12">
        <f>Store_Record[[#This Row],[Qty]]*Store_Record[[#This Row],[UnitPriceGBP]]</f>
        <v>10.5</v>
      </c>
      <c r="L335" s="5" t="str">
        <f>TEXT(Store_Record[[#This Row],[Date]],"dddd")</f>
        <v>Sunday</v>
      </c>
      <c r="M335" s="5" t="str">
        <f>TEXT(Store_Record[[#This Row],[Date]],"mmmm")</f>
        <v>January</v>
      </c>
      <c r="N335" s="5">
        <f>YEAR(Store_Record[[#This Row],[Date]])</f>
        <v>2025</v>
      </c>
      <c r="O335"/>
    </row>
    <row r="336" spans="1:15" x14ac:dyDescent="0.35">
      <c r="A336" t="s">
        <v>637</v>
      </c>
      <c r="B336" s="2">
        <v>45683</v>
      </c>
      <c r="C336" t="s">
        <v>10</v>
      </c>
      <c r="D336" t="s">
        <v>47</v>
      </c>
      <c r="E336" t="s">
        <v>34</v>
      </c>
      <c r="F336" t="s">
        <v>31</v>
      </c>
      <c r="G336">
        <v>4</v>
      </c>
      <c r="H336">
        <v>2.2000000000000002</v>
      </c>
      <c r="I336" t="s">
        <v>39</v>
      </c>
      <c r="J336" t="s">
        <v>638</v>
      </c>
      <c r="K336" s="12">
        <f>Store_Record[[#This Row],[Qty]]*Store_Record[[#This Row],[UnitPriceGBP]]</f>
        <v>8.8000000000000007</v>
      </c>
      <c r="L336" s="5" t="str">
        <f>TEXT(Store_Record[[#This Row],[Date]],"dddd")</f>
        <v>Sunday</v>
      </c>
      <c r="M336" s="5" t="str">
        <f>TEXT(Store_Record[[#This Row],[Date]],"mmmm")</f>
        <v>January</v>
      </c>
      <c r="N336" s="5">
        <f>YEAR(Store_Record[[#This Row],[Date]])</f>
        <v>2025</v>
      </c>
      <c r="O336"/>
    </row>
    <row r="337" spans="1:15" x14ac:dyDescent="0.35">
      <c r="A337" t="s">
        <v>636</v>
      </c>
      <c r="B337" s="2">
        <v>45683</v>
      </c>
      <c r="C337" t="s">
        <v>20</v>
      </c>
      <c r="D337" t="s">
        <v>25</v>
      </c>
      <c r="E337" t="s">
        <v>30</v>
      </c>
      <c r="F337" t="s">
        <v>31</v>
      </c>
      <c r="G337">
        <v>3</v>
      </c>
      <c r="H337">
        <v>2.8</v>
      </c>
      <c r="I337" t="s">
        <v>14</v>
      </c>
      <c r="J337" t="s">
        <v>561</v>
      </c>
      <c r="K337" s="12">
        <f>Store_Record[[#This Row],[Qty]]*Store_Record[[#This Row],[UnitPriceGBP]]</f>
        <v>8.3999999999999986</v>
      </c>
      <c r="L337" s="5" t="str">
        <f>TEXT(Store_Record[[#This Row],[Date]],"dddd")</f>
        <v>Sunday</v>
      </c>
      <c r="M337" s="5" t="str">
        <f>TEXT(Store_Record[[#This Row],[Date]],"mmmm")</f>
        <v>January</v>
      </c>
      <c r="N337" s="5">
        <f>YEAR(Store_Record[[#This Row],[Date]])</f>
        <v>2025</v>
      </c>
      <c r="O337"/>
    </row>
    <row r="338" spans="1:15" x14ac:dyDescent="0.35">
      <c r="A338" t="s">
        <v>649</v>
      </c>
      <c r="B338" s="2">
        <v>45683</v>
      </c>
      <c r="C338" t="s">
        <v>20</v>
      </c>
      <c r="D338" t="s">
        <v>29</v>
      </c>
      <c r="E338" t="s">
        <v>30</v>
      </c>
      <c r="F338" t="s">
        <v>31</v>
      </c>
      <c r="G338">
        <v>3</v>
      </c>
      <c r="H338">
        <v>2.8</v>
      </c>
      <c r="I338" t="s">
        <v>21</v>
      </c>
      <c r="J338" t="s">
        <v>650</v>
      </c>
      <c r="K338" s="12">
        <f>Store_Record[[#This Row],[Qty]]*Store_Record[[#This Row],[UnitPriceGBP]]</f>
        <v>8.3999999999999986</v>
      </c>
      <c r="L338" s="5" t="str">
        <f>TEXT(Store_Record[[#This Row],[Date]],"dddd")</f>
        <v>Sunday</v>
      </c>
      <c r="M338" s="5" t="str">
        <f>TEXT(Store_Record[[#This Row],[Date]],"mmmm")</f>
        <v>January</v>
      </c>
      <c r="N338" s="5">
        <f>YEAR(Store_Record[[#This Row],[Date]])</f>
        <v>2025</v>
      </c>
      <c r="O338"/>
    </row>
    <row r="339" spans="1:15" x14ac:dyDescent="0.35">
      <c r="A339" t="s">
        <v>641</v>
      </c>
      <c r="B339" s="2">
        <v>45683</v>
      </c>
      <c r="C339" t="s">
        <v>10</v>
      </c>
      <c r="D339" t="s">
        <v>38</v>
      </c>
      <c r="E339" t="s">
        <v>26</v>
      </c>
      <c r="F339" t="s">
        <v>13</v>
      </c>
      <c r="G339">
        <v>2</v>
      </c>
      <c r="H339">
        <v>3.5</v>
      </c>
      <c r="I339" t="s">
        <v>21</v>
      </c>
      <c r="J339" t="s">
        <v>319</v>
      </c>
      <c r="K339" s="12">
        <f>Store_Record[[#This Row],[Qty]]*Store_Record[[#This Row],[UnitPriceGBP]]</f>
        <v>7</v>
      </c>
      <c r="L339" s="5" t="str">
        <f>TEXT(Store_Record[[#This Row],[Date]],"dddd")</f>
        <v>Sunday</v>
      </c>
      <c r="M339" s="5" t="str">
        <f>TEXT(Store_Record[[#This Row],[Date]],"mmmm")</f>
        <v>January</v>
      </c>
      <c r="N339" s="5">
        <f>YEAR(Store_Record[[#This Row],[Date]])</f>
        <v>2025</v>
      </c>
      <c r="O339"/>
    </row>
    <row r="340" spans="1:15" x14ac:dyDescent="0.35">
      <c r="A340" t="s">
        <v>639</v>
      </c>
      <c r="B340" s="2">
        <v>45683</v>
      </c>
      <c r="C340" t="s">
        <v>20</v>
      </c>
      <c r="D340" t="s">
        <v>25</v>
      </c>
      <c r="E340" t="s">
        <v>34</v>
      </c>
      <c r="F340" t="s">
        <v>31</v>
      </c>
      <c r="G340">
        <v>3</v>
      </c>
      <c r="H340">
        <v>2.2000000000000002</v>
      </c>
      <c r="I340" t="s">
        <v>14</v>
      </c>
      <c r="J340" t="s">
        <v>640</v>
      </c>
      <c r="K340" s="12">
        <f>Store_Record[[#This Row],[Qty]]*Store_Record[[#This Row],[UnitPriceGBP]]</f>
        <v>6.6000000000000005</v>
      </c>
      <c r="L340" s="5" t="str">
        <f>TEXT(Store_Record[[#This Row],[Date]],"dddd")</f>
        <v>Sunday</v>
      </c>
      <c r="M340" s="5" t="str">
        <f>TEXT(Store_Record[[#This Row],[Date]],"mmmm")</f>
        <v>January</v>
      </c>
      <c r="N340" s="5">
        <f>YEAR(Store_Record[[#This Row],[Date]])</f>
        <v>2025</v>
      </c>
      <c r="O340"/>
    </row>
    <row r="341" spans="1:15" x14ac:dyDescent="0.35">
      <c r="A341" t="s">
        <v>643</v>
      </c>
      <c r="B341" s="2">
        <v>45683</v>
      </c>
      <c r="C341" t="s">
        <v>20</v>
      </c>
      <c r="D341" t="s">
        <v>38</v>
      </c>
      <c r="E341" t="s">
        <v>30</v>
      </c>
      <c r="F341" t="s">
        <v>31</v>
      </c>
      <c r="G341">
        <v>2</v>
      </c>
      <c r="H341">
        <v>2.8</v>
      </c>
      <c r="I341" t="s">
        <v>39</v>
      </c>
      <c r="J341" t="s">
        <v>644</v>
      </c>
      <c r="K341" s="12">
        <f>Store_Record[[#This Row],[Qty]]*Store_Record[[#This Row],[UnitPriceGBP]]</f>
        <v>5.6</v>
      </c>
      <c r="L341" s="5" t="str">
        <f>TEXT(Store_Record[[#This Row],[Date]],"dddd")</f>
        <v>Sunday</v>
      </c>
      <c r="M341" s="5" t="str">
        <f>TEXT(Store_Record[[#This Row],[Date]],"mmmm")</f>
        <v>January</v>
      </c>
      <c r="N341" s="5">
        <f>YEAR(Store_Record[[#This Row],[Date]])</f>
        <v>2025</v>
      </c>
      <c r="O341"/>
    </row>
    <row r="342" spans="1:15" x14ac:dyDescent="0.35">
      <c r="A342" t="s">
        <v>642</v>
      </c>
      <c r="B342" s="2">
        <v>45683</v>
      </c>
      <c r="C342" t="s">
        <v>24</v>
      </c>
      <c r="D342" t="s">
        <v>25</v>
      </c>
      <c r="E342" t="s">
        <v>12</v>
      </c>
      <c r="F342" t="s">
        <v>13</v>
      </c>
      <c r="G342">
        <v>2</v>
      </c>
      <c r="H342">
        <v>2.5</v>
      </c>
      <c r="I342" t="s">
        <v>39</v>
      </c>
      <c r="J342" t="s">
        <v>40</v>
      </c>
      <c r="K342" s="12">
        <f>Store_Record[[#This Row],[Qty]]*Store_Record[[#This Row],[UnitPriceGBP]]</f>
        <v>5</v>
      </c>
      <c r="L342" s="5" t="str">
        <f>TEXT(Store_Record[[#This Row],[Date]],"dddd")</f>
        <v>Sunday</v>
      </c>
      <c r="M342" s="5" t="str">
        <f>TEXT(Store_Record[[#This Row],[Date]],"mmmm")</f>
        <v>January</v>
      </c>
      <c r="N342" s="5">
        <f>YEAR(Store_Record[[#This Row],[Date]])</f>
        <v>2025</v>
      </c>
      <c r="O342"/>
    </row>
    <row r="343" spans="1:15" x14ac:dyDescent="0.35">
      <c r="A343" t="s">
        <v>653</v>
      </c>
      <c r="B343" s="2">
        <v>45683</v>
      </c>
      <c r="C343" t="s">
        <v>36</v>
      </c>
      <c r="D343" t="s">
        <v>11</v>
      </c>
      <c r="E343" t="s">
        <v>26</v>
      </c>
      <c r="F343" t="s">
        <v>13</v>
      </c>
      <c r="G343">
        <v>1</v>
      </c>
      <c r="H343">
        <v>3.5</v>
      </c>
      <c r="I343" t="s">
        <v>39</v>
      </c>
      <c r="J343" t="s">
        <v>654</v>
      </c>
      <c r="K343" s="12">
        <f>Store_Record[[#This Row],[Qty]]*Store_Record[[#This Row],[UnitPriceGBP]]</f>
        <v>3.5</v>
      </c>
      <c r="L343" s="5" t="str">
        <f>TEXT(Store_Record[[#This Row],[Date]],"dddd")</f>
        <v>Sunday</v>
      </c>
      <c r="M343" s="5" t="str">
        <f>TEXT(Store_Record[[#This Row],[Date]],"mmmm")</f>
        <v>January</v>
      </c>
      <c r="N343" s="5">
        <f>YEAR(Store_Record[[#This Row],[Date]])</f>
        <v>2025</v>
      </c>
      <c r="O343"/>
    </row>
    <row r="344" spans="1:15" x14ac:dyDescent="0.35">
      <c r="A344" t="s">
        <v>655</v>
      </c>
      <c r="B344" s="2">
        <v>45683</v>
      </c>
      <c r="C344" t="s">
        <v>10</v>
      </c>
      <c r="D344" t="s">
        <v>25</v>
      </c>
      <c r="E344" t="s">
        <v>26</v>
      </c>
      <c r="F344" t="s">
        <v>13</v>
      </c>
      <c r="G344">
        <v>1</v>
      </c>
      <c r="H344">
        <v>3.5</v>
      </c>
      <c r="I344" t="s">
        <v>39</v>
      </c>
      <c r="J344" t="s">
        <v>656</v>
      </c>
      <c r="K344" s="12">
        <f>Store_Record[[#This Row],[Qty]]*Store_Record[[#This Row],[UnitPriceGBP]]</f>
        <v>3.5</v>
      </c>
      <c r="L344" s="5" t="str">
        <f>TEXT(Store_Record[[#This Row],[Date]],"dddd")</f>
        <v>Sunday</v>
      </c>
      <c r="M344" s="5" t="str">
        <f>TEXT(Store_Record[[#This Row],[Date]],"mmmm")</f>
        <v>January</v>
      </c>
      <c r="N344" s="5">
        <f>YEAR(Store_Record[[#This Row],[Date]])</f>
        <v>2025</v>
      </c>
      <c r="O344"/>
    </row>
    <row r="345" spans="1:15" x14ac:dyDescent="0.35">
      <c r="A345" t="s">
        <v>651</v>
      </c>
      <c r="B345" s="2">
        <v>45683</v>
      </c>
      <c r="C345" t="s">
        <v>36</v>
      </c>
      <c r="D345" t="s">
        <v>11</v>
      </c>
      <c r="E345" t="s">
        <v>12</v>
      </c>
      <c r="F345" t="s">
        <v>13</v>
      </c>
      <c r="G345">
        <v>1</v>
      </c>
      <c r="H345">
        <v>2.5</v>
      </c>
      <c r="I345" t="s">
        <v>14</v>
      </c>
      <c r="J345" t="s">
        <v>652</v>
      </c>
      <c r="K345" s="12">
        <f>Store_Record[[#This Row],[Qty]]*Store_Record[[#This Row],[UnitPriceGBP]]</f>
        <v>2.5</v>
      </c>
      <c r="L345" s="5" t="str">
        <f>TEXT(Store_Record[[#This Row],[Date]],"dddd")</f>
        <v>Sunday</v>
      </c>
      <c r="M345" s="5" t="str">
        <f>TEXT(Store_Record[[#This Row],[Date]],"mmmm")</f>
        <v>January</v>
      </c>
      <c r="N345" s="5">
        <f>YEAR(Store_Record[[#This Row],[Date]])</f>
        <v>2025</v>
      </c>
      <c r="O345"/>
    </row>
    <row r="346" spans="1:15" x14ac:dyDescent="0.35">
      <c r="A346" t="s">
        <v>663</v>
      </c>
      <c r="B346" s="2">
        <v>45684</v>
      </c>
      <c r="C346" t="s">
        <v>24</v>
      </c>
      <c r="D346" t="s">
        <v>29</v>
      </c>
      <c r="E346" t="s">
        <v>26</v>
      </c>
      <c r="F346" t="s">
        <v>13</v>
      </c>
      <c r="G346">
        <v>5</v>
      </c>
      <c r="H346">
        <v>3.5</v>
      </c>
      <c r="I346" t="s">
        <v>14</v>
      </c>
      <c r="J346" t="s">
        <v>212</v>
      </c>
      <c r="K346" s="12">
        <f>Store_Record[[#This Row],[Qty]]*Store_Record[[#This Row],[UnitPriceGBP]]</f>
        <v>17.5</v>
      </c>
      <c r="L346" s="5" t="str">
        <f>TEXT(Store_Record[[#This Row],[Date]],"dddd")</f>
        <v>Monday</v>
      </c>
      <c r="M346" s="5" t="str">
        <f>TEXT(Store_Record[[#This Row],[Date]],"mmmm")</f>
        <v>January</v>
      </c>
      <c r="N346" s="5">
        <f>YEAR(Store_Record[[#This Row],[Date]])</f>
        <v>2025</v>
      </c>
      <c r="O346"/>
    </row>
    <row r="347" spans="1:15" x14ac:dyDescent="0.35">
      <c r="A347" t="s">
        <v>668</v>
      </c>
      <c r="B347" s="2">
        <v>45684</v>
      </c>
      <c r="C347" t="s">
        <v>20</v>
      </c>
      <c r="D347" t="s">
        <v>11</v>
      </c>
      <c r="E347" t="s">
        <v>26</v>
      </c>
      <c r="F347" t="s">
        <v>13</v>
      </c>
      <c r="G347">
        <v>5</v>
      </c>
      <c r="H347">
        <v>3.5</v>
      </c>
      <c r="I347" t="s">
        <v>21</v>
      </c>
      <c r="J347" t="s">
        <v>669</v>
      </c>
      <c r="K347" s="12">
        <f>Store_Record[[#This Row],[Qty]]*Store_Record[[#This Row],[UnitPriceGBP]]</f>
        <v>17.5</v>
      </c>
      <c r="L347" s="5" t="str">
        <f>TEXT(Store_Record[[#This Row],[Date]],"dddd")</f>
        <v>Monday</v>
      </c>
      <c r="M347" s="5" t="str">
        <f>TEXT(Store_Record[[#This Row],[Date]],"mmmm")</f>
        <v>January</v>
      </c>
      <c r="N347" s="5">
        <f>YEAR(Store_Record[[#This Row],[Date]])</f>
        <v>2025</v>
      </c>
      <c r="O347"/>
    </row>
    <row r="348" spans="1:15" x14ac:dyDescent="0.35">
      <c r="A348" t="s">
        <v>681</v>
      </c>
      <c r="B348" s="2">
        <v>45684</v>
      </c>
      <c r="C348" t="s">
        <v>20</v>
      </c>
      <c r="D348" t="s">
        <v>29</v>
      </c>
      <c r="E348" t="s">
        <v>30</v>
      </c>
      <c r="F348" t="s">
        <v>31</v>
      </c>
      <c r="G348">
        <v>5</v>
      </c>
      <c r="H348">
        <v>2.8</v>
      </c>
      <c r="I348" t="s">
        <v>39</v>
      </c>
      <c r="J348" t="s">
        <v>682</v>
      </c>
      <c r="K348" s="12">
        <f>Store_Record[[#This Row],[Qty]]*Store_Record[[#This Row],[UnitPriceGBP]]</f>
        <v>14</v>
      </c>
      <c r="L348" s="5" t="str">
        <f>TEXT(Store_Record[[#This Row],[Date]],"dddd")</f>
        <v>Monday</v>
      </c>
      <c r="M348" s="5" t="str">
        <f>TEXT(Store_Record[[#This Row],[Date]],"mmmm")</f>
        <v>January</v>
      </c>
      <c r="N348" s="5">
        <f>YEAR(Store_Record[[#This Row],[Date]])</f>
        <v>2025</v>
      </c>
      <c r="O348"/>
    </row>
    <row r="349" spans="1:15" x14ac:dyDescent="0.35">
      <c r="A349" t="s">
        <v>660</v>
      </c>
      <c r="B349" s="2">
        <v>45684</v>
      </c>
      <c r="C349" t="s">
        <v>10</v>
      </c>
      <c r="D349" t="s">
        <v>38</v>
      </c>
      <c r="E349" t="s">
        <v>12</v>
      </c>
      <c r="F349" t="s">
        <v>13</v>
      </c>
      <c r="G349">
        <v>5</v>
      </c>
      <c r="H349">
        <v>2.5</v>
      </c>
      <c r="I349" t="s">
        <v>21</v>
      </c>
      <c r="J349" t="s">
        <v>82</v>
      </c>
      <c r="K349" s="12">
        <f>Store_Record[[#This Row],[Qty]]*Store_Record[[#This Row],[UnitPriceGBP]]</f>
        <v>12.5</v>
      </c>
      <c r="L349" s="5" t="str">
        <f>TEXT(Store_Record[[#This Row],[Date]],"dddd")</f>
        <v>Monday</v>
      </c>
      <c r="M349" s="5" t="str">
        <f>TEXT(Store_Record[[#This Row],[Date]],"mmmm")</f>
        <v>January</v>
      </c>
      <c r="N349" s="5">
        <f>YEAR(Store_Record[[#This Row],[Date]])</f>
        <v>2025</v>
      </c>
      <c r="O349"/>
    </row>
    <row r="350" spans="1:15" x14ac:dyDescent="0.35">
      <c r="A350" t="s">
        <v>683</v>
      </c>
      <c r="B350" s="2">
        <v>45684</v>
      </c>
      <c r="C350" t="s">
        <v>20</v>
      </c>
      <c r="D350" t="s">
        <v>11</v>
      </c>
      <c r="E350" t="s">
        <v>30</v>
      </c>
      <c r="F350" t="s">
        <v>31</v>
      </c>
      <c r="G350">
        <v>4</v>
      </c>
      <c r="H350">
        <v>2.8</v>
      </c>
      <c r="I350" t="s">
        <v>39</v>
      </c>
      <c r="J350" t="s">
        <v>684</v>
      </c>
      <c r="K350" s="12">
        <f>Store_Record[[#This Row],[Qty]]*Store_Record[[#This Row],[UnitPriceGBP]]</f>
        <v>11.2</v>
      </c>
      <c r="L350" s="5" t="str">
        <f>TEXT(Store_Record[[#This Row],[Date]],"dddd")</f>
        <v>Monday</v>
      </c>
      <c r="M350" s="5" t="str">
        <f>TEXT(Store_Record[[#This Row],[Date]],"mmmm")</f>
        <v>January</v>
      </c>
      <c r="N350" s="5">
        <f>YEAR(Store_Record[[#This Row],[Date]])</f>
        <v>2025</v>
      </c>
      <c r="O350"/>
    </row>
    <row r="351" spans="1:15" x14ac:dyDescent="0.35">
      <c r="A351" t="s">
        <v>687</v>
      </c>
      <c r="B351" s="2">
        <v>45684</v>
      </c>
      <c r="C351" t="s">
        <v>24</v>
      </c>
      <c r="D351" t="s">
        <v>25</v>
      </c>
      <c r="E351" t="s">
        <v>34</v>
      </c>
      <c r="F351" t="s">
        <v>31</v>
      </c>
      <c r="G351">
        <v>5</v>
      </c>
      <c r="H351">
        <v>2.2000000000000002</v>
      </c>
      <c r="I351" t="s">
        <v>21</v>
      </c>
      <c r="J351" t="s">
        <v>648</v>
      </c>
      <c r="K351" s="12">
        <f>Store_Record[[#This Row],[Qty]]*Store_Record[[#This Row],[UnitPriceGBP]]</f>
        <v>11</v>
      </c>
      <c r="L351" s="5" t="str">
        <f>TEXT(Store_Record[[#This Row],[Date]],"dddd")</f>
        <v>Monday</v>
      </c>
      <c r="M351" s="5" t="str">
        <f>TEXT(Store_Record[[#This Row],[Date]],"mmmm")</f>
        <v>January</v>
      </c>
      <c r="N351" s="5">
        <f>YEAR(Store_Record[[#This Row],[Date]])</f>
        <v>2025</v>
      </c>
      <c r="O351"/>
    </row>
    <row r="352" spans="1:15" x14ac:dyDescent="0.35">
      <c r="A352" t="s">
        <v>672</v>
      </c>
      <c r="B352" s="2">
        <v>45684</v>
      </c>
      <c r="C352" t="s">
        <v>20</v>
      </c>
      <c r="D352" t="s">
        <v>11</v>
      </c>
      <c r="E352" t="s">
        <v>26</v>
      </c>
      <c r="F352" t="s">
        <v>13</v>
      </c>
      <c r="G352">
        <v>3</v>
      </c>
      <c r="H352">
        <v>3.5</v>
      </c>
      <c r="I352" t="s">
        <v>14</v>
      </c>
      <c r="J352" t="s">
        <v>673</v>
      </c>
      <c r="K352" s="12">
        <f>Store_Record[[#This Row],[Qty]]*Store_Record[[#This Row],[UnitPriceGBP]]</f>
        <v>10.5</v>
      </c>
      <c r="L352" s="5" t="str">
        <f>TEXT(Store_Record[[#This Row],[Date]],"dddd")</f>
        <v>Monday</v>
      </c>
      <c r="M352" s="5" t="str">
        <f>TEXT(Store_Record[[#This Row],[Date]],"mmmm")</f>
        <v>January</v>
      </c>
      <c r="N352" s="5">
        <f>YEAR(Store_Record[[#This Row],[Date]])</f>
        <v>2025</v>
      </c>
      <c r="O352"/>
    </row>
    <row r="353" spans="1:15" x14ac:dyDescent="0.35">
      <c r="A353" t="s">
        <v>661</v>
      </c>
      <c r="B353" s="2">
        <v>45684</v>
      </c>
      <c r="C353" t="s">
        <v>24</v>
      </c>
      <c r="D353" t="s">
        <v>38</v>
      </c>
      <c r="E353" t="s">
        <v>12</v>
      </c>
      <c r="F353" t="s">
        <v>13</v>
      </c>
      <c r="G353">
        <v>4</v>
      </c>
      <c r="H353">
        <v>2.5</v>
      </c>
      <c r="I353" t="s">
        <v>14</v>
      </c>
      <c r="J353" t="s">
        <v>662</v>
      </c>
      <c r="K353" s="12">
        <f>Store_Record[[#This Row],[Qty]]*Store_Record[[#This Row],[UnitPriceGBP]]</f>
        <v>10</v>
      </c>
      <c r="L353" s="5" t="str">
        <f>TEXT(Store_Record[[#This Row],[Date]],"dddd")</f>
        <v>Monday</v>
      </c>
      <c r="M353" s="5" t="str">
        <f>TEXT(Store_Record[[#This Row],[Date]],"mmmm")</f>
        <v>January</v>
      </c>
      <c r="N353" s="5">
        <f>YEAR(Store_Record[[#This Row],[Date]])</f>
        <v>2025</v>
      </c>
      <c r="O353"/>
    </row>
    <row r="354" spans="1:15" x14ac:dyDescent="0.35">
      <c r="A354" t="s">
        <v>674</v>
      </c>
      <c r="B354" s="2">
        <v>45684</v>
      </c>
      <c r="C354" t="s">
        <v>10</v>
      </c>
      <c r="D354" t="s">
        <v>29</v>
      </c>
      <c r="E354" t="s">
        <v>12</v>
      </c>
      <c r="F354" t="s">
        <v>13</v>
      </c>
      <c r="G354">
        <v>4</v>
      </c>
      <c r="H354">
        <v>2.5</v>
      </c>
      <c r="I354" t="s">
        <v>39</v>
      </c>
      <c r="J354" t="s">
        <v>675</v>
      </c>
      <c r="K354" s="12">
        <f>Store_Record[[#This Row],[Qty]]*Store_Record[[#This Row],[UnitPriceGBP]]</f>
        <v>10</v>
      </c>
      <c r="L354" s="5" t="str">
        <f>TEXT(Store_Record[[#This Row],[Date]],"dddd")</f>
        <v>Monday</v>
      </c>
      <c r="M354" s="5" t="str">
        <f>TEXT(Store_Record[[#This Row],[Date]],"mmmm")</f>
        <v>January</v>
      </c>
      <c r="N354" s="5">
        <f>YEAR(Store_Record[[#This Row],[Date]])</f>
        <v>2025</v>
      </c>
      <c r="O354"/>
    </row>
    <row r="355" spans="1:15" x14ac:dyDescent="0.35">
      <c r="A355" t="s">
        <v>680</v>
      </c>
      <c r="B355" s="2">
        <v>45684</v>
      </c>
      <c r="C355" t="s">
        <v>20</v>
      </c>
      <c r="D355" t="s">
        <v>47</v>
      </c>
      <c r="E355" t="s">
        <v>34</v>
      </c>
      <c r="F355" t="s">
        <v>31</v>
      </c>
      <c r="G355">
        <v>4</v>
      </c>
      <c r="H355">
        <v>2.2000000000000002</v>
      </c>
      <c r="I355" t="s">
        <v>39</v>
      </c>
      <c r="J355" t="s">
        <v>250</v>
      </c>
      <c r="K355" s="12">
        <f>Store_Record[[#This Row],[Qty]]*Store_Record[[#This Row],[UnitPriceGBP]]</f>
        <v>8.8000000000000007</v>
      </c>
      <c r="L355" s="5" t="str">
        <f>TEXT(Store_Record[[#This Row],[Date]],"dddd")</f>
        <v>Monday</v>
      </c>
      <c r="M355" s="5" t="str">
        <f>TEXT(Store_Record[[#This Row],[Date]],"mmmm")</f>
        <v>January</v>
      </c>
      <c r="N355" s="5">
        <f>YEAR(Store_Record[[#This Row],[Date]])</f>
        <v>2025</v>
      </c>
      <c r="O355"/>
    </row>
    <row r="356" spans="1:15" x14ac:dyDescent="0.35">
      <c r="A356" t="s">
        <v>664</v>
      </c>
      <c r="B356" s="2">
        <v>45684</v>
      </c>
      <c r="C356" t="s">
        <v>10</v>
      </c>
      <c r="D356" t="s">
        <v>11</v>
      </c>
      <c r="E356" t="s">
        <v>42</v>
      </c>
      <c r="F356" t="s">
        <v>13</v>
      </c>
      <c r="G356">
        <v>2</v>
      </c>
      <c r="H356">
        <v>3.8</v>
      </c>
      <c r="I356" t="s">
        <v>21</v>
      </c>
      <c r="J356" t="s">
        <v>665</v>
      </c>
      <c r="K356" s="12">
        <f>Store_Record[[#This Row],[Qty]]*Store_Record[[#This Row],[UnitPriceGBP]]</f>
        <v>7.6</v>
      </c>
      <c r="L356" s="5" t="str">
        <f>TEXT(Store_Record[[#This Row],[Date]],"dddd")</f>
        <v>Monday</v>
      </c>
      <c r="M356" s="5" t="str">
        <f>TEXT(Store_Record[[#This Row],[Date]],"mmmm")</f>
        <v>January</v>
      </c>
      <c r="N356" s="5">
        <f>YEAR(Store_Record[[#This Row],[Date]])</f>
        <v>2025</v>
      </c>
      <c r="O356"/>
    </row>
    <row r="357" spans="1:15" x14ac:dyDescent="0.35">
      <c r="A357" t="s">
        <v>666</v>
      </c>
      <c r="B357" s="2">
        <v>45684</v>
      </c>
      <c r="C357" t="s">
        <v>24</v>
      </c>
      <c r="D357" t="s">
        <v>47</v>
      </c>
      <c r="E357" t="s">
        <v>12</v>
      </c>
      <c r="F357" t="s">
        <v>13</v>
      </c>
      <c r="G357">
        <v>3</v>
      </c>
      <c r="H357">
        <v>2.5</v>
      </c>
      <c r="I357" t="s">
        <v>14</v>
      </c>
      <c r="J357" t="s">
        <v>667</v>
      </c>
      <c r="K357" s="12">
        <f>Store_Record[[#This Row],[Qty]]*Store_Record[[#This Row],[UnitPriceGBP]]</f>
        <v>7.5</v>
      </c>
      <c r="L357" s="5" t="str">
        <f>TEXT(Store_Record[[#This Row],[Date]],"dddd")</f>
        <v>Monday</v>
      </c>
      <c r="M357" s="5" t="str">
        <f>TEXT(Store_Record[[#This Row],[Date]],"mmmm")</f>
        <v>January</v>
      </c>
      <c r="N357" s="5">
        <f>YEAR(Store_Record[[#This Row],[Date]])</f>
        <v>2025</v>
      </c>
      <c r="O357"/>
    </row>
    <row r="358" spans="1:15" x14ac:dyDescent="0.35">
      <c r="A358" t="s">
        <v>658</v>
      </c>
      <c r="B358" s="2">
        <v>45684</v>
      </c>
      <c r="C358" t="s">
        <v>24</v>
      </c>
      <c r="D358" t="s">
        <v>38</v>
      </c>
      <c r="E358" t="s">
        <v>30</v>
      </c>
      <c r="F358" t="s">
        <v>31</v>
      </c>
      <c r="G358">
        <v>2</v>
      </c>
      <c r="H358">
        <v>2.8</v>
      </c>
      <c r="I358" t="s">
        <v>39</v>
      </c>
      <c r="J358" t="s">
        <v>659</v>
      </c>
      <c r="K358" s="12">
        <f>Store_Record[[#This Row],[Qty]]*Store_Record[[#This Row],[UnitPriceGBP]]</f>
        <v>5.6</v>
      </c>
      <c r="L358" s="5" t="str">
        <f>TEXT(Store_Record[[#This Row],[Date]],"dddd")</f>
        <v>Monday</v>
      </c>
      <c r="M358" s="5" t="str">
        <f>TEXT(Store_Record[[#This Row],[Date]],"mmmm")</f>
        <v>January</v>
      </c>
      <c r="N358" s="5">
        <f>YEAR(Store_Record[[#This Row],[Date]])</f>
        <v>2025</v>
      </c>
      <c r="O358"/>
    </row>
    <row r="359" spans="1:15" x14ac:dyDescent="0.35">
      <c r="A359" t="s">
        <v>670</v>
      </c>
      <c r="B359" s="2">
        <v>45684</v>
      </c>
      <c r="C359" t="s">
        <v>36</v>
      </c>
      <c r="D359" t="s">
        <v>11</v>
      </c>
      <c r="E359" t="s">
        <v>34</v>
      </c>
      <c r="F359" t="s">
        <v>31</v>
      </c>
      <c r="G359">
        <v>2</v>
      </c>
      <c r="H359">
        <v>2.2000000000000002</v>
      </c>
      <c r="I359" t="s">
        <v>21</v>
      </c>
      <c r="J359" t="s">
        <v>671</v>
      </c>
      <c r="K359" s="12">
        <f>Store_Record[[#This Row],[Qty]]*Store_Record[[#This Row],[UnitPriceGBP]]</f>
        <v>4.4000000000000004</v>
      </c>
      <c r="L359" s="5" t="str">
        <f>TEXT(Store_Record[[#This Row],[Date]],"dddd")</f>
        <v>Monday</v>
      </c>
      <c r="M359" s="5" t="str">
        <f>TEXT(Store_Record[[#This Row],[Date]],"mmmm")</f>
        <v>January</v>
      </c>
      <c r="N359" s="5">
        <f>YEAR(Store_Record[[#This Row],[Date]])</f>
        <v>2025</v>
      </c>
      <c r="O359"/>
    </row>
    <row r="360" spans="1:15" x14ac:dyDescent="0.35">
      <c r="A360" t="s">
        <v>685</v>
      </c>
      <c r="B360" s="2">
        <v>45684</v>
      </c>
      <c r="C360" t="s">
        <v>20</v>
      </c>
      <c r="D360" t="s">
        <v>11</v>
      </c>
      <c r="E360" t="s">
        <v>42</v>
      </c>
      <c r="F360" t="s">
        <v>13</v>
      </c>
      <c r="G360">
        <v>1</v>
      </c>
      <c r="H360">
        <v>3.8</v>
      </c>
      <c r="I360" t="s">
        <v>21</v>
      </c>
      <c r="J360" t="s">
        <v>686</v>
      </c>
      <c r="K360" s="12">
        <f>Store_Record[[#This Row],[Qty]]*Store_Record[[#This Row],[UnitPriceGBP]]</f>
        <v>3.8</v>
      </c>
      <c r="L360" s="5" t="str">
        <f>TEXT(Store_Record[[#This Row],[Date]],"dddd")</f>
        <v>Monday</v>
      </c>
      <c r="M360" s="5" t="str">
        <f>TEXT(Store_Record[[#This Row],[Date]],"mmmm")</f>
        <v>January</v>
      </c>
      <c r="N360" s="5">
        <f>YEAR(Store_Record[[#This Row],[Date]])</f>
        <v>2025</v>
      </c>
      <c r="O360"/>
    </row>
    <row r="361" spans="1:15" x14ac:dyDescent="0.35">
      <c r="A361" t="s">
        <v>678</v>
      </c>
      <c r="B361" s="2">
        <v>45684</v>
      </c>
      <c r="C361" t="s">
        <v>24</v>
      </c>
      <c r="D361" t="s">
        <v>38</v>
      </c>
      <c r="E361" t="s">
        <v>26</v>
      </c>
      <c r="F361" t="s">
        <v>13</v>
      </c>
      <c r="G361">
        <v>1</v>
      </c>
      <c r="H361">
        <v>3.5</v>
      </c>
      <c r="I361" t="s">
        <v>21</v>
      </c>
      <c r="J361" t="s">
        <v>679</v>
      </c>
      <c r="K361" s="12">
        <f>Store_Record[[#This Row],[Qty]]*Store_Record[[#This Row],[UnitPriceGBP]]</f>
        <v>3.5</v>
      </c>
      <c r="L361" s="5" t="str">
        <f>TEXT(Store_Record[[#This Row],[Date]],"dddd")</f>
        <v>Monday</v>
      </c>
      <c r="M361" s="5" t="str">
        <f>TEXT(Store_Record[[#This Row],[Date]],"mmmm")</f>
        <v>January</v>
      </c>
      <c r="N361" s="5">
        <f>YEAR(Store_Record[[#This Row],[Date]])</f>
        <v>2025</v>
      </c>
      <c r="O361"/>
    </row>
    <row r="362" spans="1:15" x14ac:dyDescent="0.35">
      <c r="A362" t="s">
        <v>688</v>
      </c>
      <c r="B362" s="2">
        <v>45684</v>
      </c>
      <c r="C362" t="s">
        <v>10</v>
      </c>
      <c r="D362" t="s">
        <v>47</v>
      </c>
      <c r="E362" t="s">
        <v>12</v>
      </c>
      <c r="F362" t="s">
        <v>13</v>
      </c>
      <c r="G362">
        <v>1</v>
      </c>
      <c r="H362">
        <v>2.5</v>
      </c>
      <c r="I362" t="s">
        <v>21</v>
      </c>
      <c r="J362" t="s">
        <v>689</v>
      </c>
      <c r="K362" s="12">
        <f>Store_Record[[#This Row],[Qty]]*Store_Record[[#This Row],[UnitPriceGBP]]</f>
        <v>2.5</v>
      </c>
      <c r="L362" s="5" t="str">
        <f>TEXT(Store_Record[[#This Row],[Date]],"dddd")</f>
        <v>Monday</v>
      </c>
      <c r="M362" s="5" t="str">
        <f>TEXT(Store_Record[[#This Row],[Date]],"mmmm")</f>
        <v>January</v>
      </c>
      <c r="N362" s="5">
        <f>YEAR(Store_Record[[#This Row],[Date]])</f>
        <v>2025</v>
      </c>
      <c r="O362"/>
    </row>
    <row r="363" spans="1:15" x14ac:dyDescent="0.35">
      <c r="A363" t="s">
        <v>676</v>
      </c>
      <c r="B363" s="2">
        <v>45684</v>
      </c>
      <c r="C363" t="s">
        <v>10</v>
      </c>
      <c r="D363" t="s">
        <v>25</v>
      </c>
      <c r="E363" t="s">
        <v>34</v>
      </c>
      <c r="F363" t="s">
        <v>31</v>
      </c>
      <c r="G363">
        <v>1</v>
      </c>
      <c r="H363">
        <v>2.2000000000000002</v>
      </c>
      <c r="I363" t="s">
        <v>39</v>
      </c>
      <c r="J363" t="s">
        <v>677</v>
      </c>
      <c r="K363" s="12">
        <f>Store_Record[[#This Row],[Qty]]*Store_Record[[#This Row],[UnitPriceGBP]]</f>
        <v>2.2000000000000002</v>
      </c>
      <c r="L363" s="5" t="str">
        <f>TEXT(Store_Record[[#This Row],[Date]],"dddd")</f>
        <v>Monday</v>
      </c>
      <c r="M363" s="5" t="str">
        <f>TEXT(Store_Record[[#This Row],[Date]],"mmmm")</f>
        <v>January</v>
      </c>
      <c r="N363" s="5">
        <f>YEAR(Store_Record[[#This Row],[Date]])</f>
        <v>2025</v>
      </c>
      <c r="O363"/>
    </row>
    <row r="364" spans="1:15" x14ac:dyDescent="0.35">
      <c r="A364" t="s">
        <v>690</v>
      </c>
      <c r="B364" s="2">
        <v>45685</v>
      </c>
      <c r="C364" t="s">
        <v>20</v>
      </c>
      <c r="D364" t="s">
        <v>152</v>
      </c>
      <c r="E364" t="s">
        <v>26</v>
      </c>
      <c r="F364" t="s">
        <v>13</v>
      </c>
      <c r="G364">
        <v>5</v>
      </c>
      <c r="H364">
        <v>3.5</v>
      </c>
      <c r="I364" t="s">
        <v>39</v>
      </c>
      <c r="J364" t="s">
        <v>691</v>
      </c>
      <c r="K364" s="12">
        <f>Store_Record[[#This Row],[Qty]]*Store_Record[[#This Row],[UnitPriceGBP]]</f>
        <v>17.5</v>
      </c>
      <c r="L364" s="5" t="str">
        <f>TEXT(Store_Record[[#This Row],[Date]],"dddd")</f>
        <v>Tuesday</v>
      </c>
      <c r="M364" s="5" t="str">
        <f>TEXT(Store_Record[[#This Row],[Date]],"mmmm")</f>
        <v>January</v>
      </c>
      <c r="N364" s="5">
        <f>YEAR(Store_Record[[#This Row],[Date]])</f>
        <v>2025</v>
      </c>
      <c r="O364"/>
    </row>
    <row r="365" spans="1:15" x14ac:dyDescent="0.35">
      <c r="A365" t="s">
        <v>692</v>
      </c>
      <c r="B365" s="2">
        <v>45685</v>
      </c>
      <c r="C365" t="s">
        <v>36</v>
      </c>
      <c r="D365" t="s">
        <v>25</v>
      </c>
      <c r="E365" t="s">
        <v>42</v>
      </c>
      <c r="F365" t="s">
        <v>13</v>
      </c>
      <c r="G365">
        <v>4</v>
      </c>
      <c r="H365">
        <v>3.8</v>
      </c>
      <c r="I365" t="s">
        <v>14</v>
      </c>
      <c r="J365" t="s">
        <v>693</v>
      </c>
      <c r="K365" s="12">
        <f>Store_Record[[#This Row],[Qty]]*Store_Record[[#This Row],[UnitPriceGBP]]</f>
        <v>15.2</v>
      </c>
      <c r="L365" s="5" t="str">
        <f>TEXT(Store_Record[[#This Row],[Date]],"dddd")</f>
        <v>Tuesday</v>
      </c>
      <c r="M365" s="5" t="str">
        <f>TEXT(Store_Record[[#This Row],[Date]],"mmmm")</f>
        <v>January</v>
      </c>
      <c r="N365" s="5">
        <f>YEAR(Store_Record[[#This Row],[Date]])</f>
        <v>2025</v>
      </c>
      <c r="O365"/>
    </row>
    <row r="366" spans="1:15" x14ac:dyDescent="0.35">
      <c r="A366" t="s">
        <v>718</v>
      </c>
      <c r="B366" s="2">
        <v>45685</v>
      </c>
      <c r="C366" t="s">
        <v>10</v>
      </c>
      <c r="D366" t="s">
        <v>38</v>
      </c>
      <c r="E366" t="s">
        <v>42</v>
      </c>
      <c r="F366" t="s">
        <v>13</v>
      </c>
      <c r="G366">
        <v>4</v>
      </c>
      <c r="H366">
        <v>3.8</v>
      </c>
      <c r="I366" t="s">
        <v>14</v>
      </c>
      <c r="J366" t="s">
        <v>573</v>
      </c>
      <c r="K366" s="12">
        <f>Store_Record[[#This Row],[Qty]]*Store_Record[[#This Row],[UnitPriceGBP]]</f>
        <v>15.2</v>
      </c>
      <c r="L366" s="5" t="str">
        <f>TEXT(Store_Record[[#This Row],[Date]],"dddd")</f>
        <v>Tuesday</v>
      </c>
      <c r="M366" s="5" t="str">
        <f>TEXT(Store_Record[[#This Row],[Date]],"mmmm")</f>
        <v>January</v>
      </c>
      <c r="N366" s="5">
        <f>YEAR(Store_Record[[#This Row],[Date]])</f>
        <v>2025</v>
      </c>
      <c r="O366"/>
    </row>
    <row r="367" spans="1:15" x14ac:dyDescent="0.35">
      <c r="A367" t="s">
        <v>721</v>
      </c>
      <c r="B367" s="2">
        <v>45685</v>
      </c>
      <c r="C367" t="s">
        <v>24</v>
      </c>
      <c r="D367" t="s">
        <v>29</v>
      </c>
      <c r="E367" t="s">
        <v>42</v>
      </c>
      <c r="F367" t="s">
        <v>13</v>
      </c>
      <c r="G367">
        <v>4</v>
      </c>
      <c r="H367">
        <v>3.8</v>
      </c>
      <c r="I367" t="s">
        <v>39</v>
      </c>
      <c r="J367" t="s">
        <v>722</v>
      </c>
      <c r="K367" s="12">
        <f>Store_Record[[#This Row],[Qty]]*Store_Record[[#This Row],[UnitPriceGBP]]</f>
        <v>15.2</v>
      </c>
      <c r="L367" s="5" t="str">
        <f>TEXT(Store_Record[[#This Row],[Date]],"dddd")</f>
        <v>Tuesday</v>
      </c>
      <c r="M367" s="5" t="str">
        <f>TEXT(Store_Record[[#This Row],[Date]],"mmmm")</f>
        <v>January</v>
      </c>
      <c r="N367" s="5">
        <f>YEAR(Store_Record[[#This Row],[Date]])</f>
        <v>2025</v>
      </c>
      <c r="O367"/>
    </row>
    <row r="368" spans="1:15" x14ac:dyDescent="0.35">
      <c r="A368" t="s">
        <v>701</v>
      </c>
      <c r="B368" s="2">
        <v>45685</v>
      </c>
      <c r="C368" t="s">
        <v>10</v>
      </c>
      <c r="D368" t="s">
        <v>25</v>
      </c>
      <c r="E368" t="s">
        <v>42</v>
      </c>
      <c r="F368" t="s">
        <v>13</v>
      </c>
      <c r="G368">
        <v>3</v>
      </c>
      <c r="H368">
        <v>3.8</v>
      </c>
      <c r="I368" t="s">
        <v>14</v>
      </c>
      <c r="J368" t="s">
        <v>99</v>
      </c>
      <c r="K368" s="12">
        <f>Store_Record[[#This Row],[Qty]]*Store_Record[[#This Row],[UnitPriceGBP]]</f>
        <v>11.399999999999999</v>
      </c>
      <c r="L368" s="5" t="str">
        <f>TEXT(Store_Record[[#This Row],[Date]],"dddd")</f>
        <v>Tuesday</v>
      </c>
      <c r="M368" s="5" t="str">
        <f>TEXT(Store_Record[[#This Row],[Date]],"mmmm")</f>
        <v>January</v>
      </c>
      <c r="N368" s="5">
        <f>YEAR(Store_Record[[#This Row],[Date]])</f>
        <v>2025</v>
      </c>
      <c r="O368"/>
    </row>
    <row r="369" spans="1:15" x14ac:dyDescent="0.35">
      <c r="A369" t="s">
        <v>707</v>
      </c>
      <c r="B369" s="2">
        <v>45685</v>
      </c>
      <c r="C369" t="s">
        <v>10</v>
      </c>
      <c r="D369" t="s">
        <v>11</v>
      </c>
      <c r="E369" t="s">
        <v>30</v>
      </c>
      <c r="F369" t="s">
        <v>31</v>
      </c>
      <c r="G369">
        <v>4</v>
      </c>
      <c r="H369">
        <v>2.8</v>
      </c>
      <c r="I369" t="s">
        <v>39</v>
      </c>
      <c r="J369" t="s">
        <v>708</v>
      </c>
      <c r="K369" s="12">
        <f>Store_Record[[#This Row],[Qty]]*Store_Record[[#This Row],[UnitPriceGBP]]</f>
        <v>11.2</v>
      </c>
      <c r="L369" s="5" t="str">
        <f>TEXT(Store_Record[[#This Row],[Date]],"dddd")</f>
        <v>Tuesday</v>
      </c>
      <c r="M369" s="5" t="str">
        <f>TEXT(Store_Record[[#This Row],[Date]],"mmmm")</f>
        <v>January</v>
      </c>
      <c r="N369" s="5">
        <f>YEAR(Store_Record[[#This Row],[Date]])</f>
        <v>2025</v>
      </c>
      <c r="O369"/>
    </row>
    <row r="370" spans="1:15" x14ac:dyDescent="0.35">
      <c r="A370" t="s">
        <v>706</v>
      </c>
      <c r="B370" s="2">
        <v>45685</v>
      </c>
      <c r="C370" t="s">
        <v>24</v>
      </c>
      <c r="D370" t="s">
        <v>11</v>
      </c>
      <c r="E370" t="s">
        <v>34</v>
      </c>
      <c r="F370" t="s">
        <v>31</v>
      </c>
      <c r="G370">
        <v>5</v>
      </c>
      <c r="H370">
        <v>2.2000000000000002</v>
      </c>
      <c r="I370" t="s">
        <v>14</v>
      </c>
      <c r="J370" t="s">
        <v>536</v>
      </c>
      <c r="K370" s="12">
        <f>Store_Record[[#This Row],[Qty]]*Store_Record[[#This Row],[UnitPriceGBP]]</f>
        <v>11</v>
      </c>
      <c r="L370" s="5" t="str">
        <f>TEXT(Store_Record[[#This Row],[Date]],"dddd")</f>
        <v>Tuesday</v>
      </c>
      <c r="M370" s="5" t="str">
        <f>TEXT(Store_Record[[#This Row],[Date]],"mmmm")</f>
        <v>January</v>
      </c>
      <c r="N370" s="5">
        <f>YEAR(Store_Record[[#This Row],[Date]])</f>
        <v>2025</v>
      </c>
      <c r="O370"/>
    </row>
    <row r="371" spans="1:15" x14ac:dyDescent="0.35">
      <c r="A371" t="s">
        <v>716</v>
      </c>
      <c r="B371" s="2">
        <v>45685</v>
      </c>
      <c r="C371" t="s">
        <v>10</v>
      </c>
      <c r="D371" t="s">
        <v>47</v>
      </c>
      <c r="E371" t="s">
        <v>12</v>
      </c>
      <c r="F371" t="s">
        <v>13</v>
      </c>
      <c r="G371">
        <v>4</v>
      </c>
      <c r="H371">
        <v>2.5</v>
      </c>
      <c r="I371" t="s">
        <v>21</v>
      </c>
      <c r="J371" t="s">
        <v>717</v>
      </c>
      <c r="K371" s="12">
        <f>Store_Record[[#This Row],[Qty]]*Store_Record[[#This Row],[UnitPriceGBP]]</f>
        <v>10</v>
      </c>
      <c r="L371" s="5" t="str">
        <f>TEXT(Store_Record[[#This Row],[Date]],"dddd")</f>
        <v>Tuesday</v>
      </c>
      <c r="M371" s="5" t="str">
        <f>TEXT(Store_Record[[#This Row],[Date]],"mmmm")</f>
        <v>January</v>
      </c>
      <c r="N371" s="5">
        <f>YEAR(Store_Record[[#This Row],[Date]])</f>
        <v>2025</v>
      </c>
      <c r="O371"/>
    </row>
    <row r="372" spans="1:15" x14ac:dyDescent="0.35">
      <c r="A372" t="s">
        <v>694</v>
      </c>
      <c r="B372" s="2">
        <v>45685</v>
      </c>
      <c r="C372" t="s">
        <v>20</v>
      </c>
      <c r="D372" t="s">
        <v>47</v>
      </c>
      <c r="E372" t="s">
        <v>34</v>
      </c>
      <c r="F372" t="s">
        <v>31</v>
      </c>
      <c r="G372">
        <v>4</v>
      </c>
      <c r="H372">
        <v>2.2000000000000002</v>
      </c>
      <c r="I372" t="s">
        <v>39</v>
      </c>
      <c r="J372" t="s">
        <v>144</v>
      </c>
      <c r="K372" s="12">
        <f>Store_Record[[#This Row],[Qty]]*Store_Record[[#This Row],[UnitPriceGBP]]</f>
        <v>8.8000000000000007</v>
      </c>
      <c r="L372" s="5" t="str">
        <f>TEXT(Store_Record[[#This Row],[Date]],"dddd")</f>
        <v>Tuesday</v>
      </c>
      <c r="M372" s="5" t="str">
        <f>TEXT(Store_Record[[#This Row],[Date]],"mmmm")</f>
        <v>January</v>
      </c>
      <c r="N372" s="5">
        <f>YEAR(Store_Record[[#This Row],[Date]])</f>
        <v>2025</v>
      </c>
      <c r="O372"/>
    </row>
    <row r="373" spans="1:15" x14ac:dyDescent="0.35">
      <c r="A373" t="s">
        <v>713</v>
      </c>
      <c r="B373" s="2">
        <v>45685</v>
      </c>
      <c r="C373" t="s">
        <v>36</v>
      </c>
      <c r="D373" t="s">
        <v>47</v>
      </c>
      <c r="E373" t="s">
        <v>34</v>
      </c>
      <c r="F373" t="s">
        <v>31</v>
      </c>
      <c r="G373">
        <v>4</v>
      </c>
      <c r="H373">
        <v>2.2000000000000002</v>
      </c>
      <c r="I373" t="s">
        <v>21</v>
      </c>
      <c r="J373" t="s">
        <v>714</v>
      </c>
      <c r="K373" s="12">
        <f>Store_Record[[#This Row],[Qty]]*Store_Record[[#This Row],[UnitPriceGBP]]</f>
        <v>8.8000000000000007</v>
      </c>
      <c r="L373" s="5" t="str">
        <f>TEXT(Store_Record[[#This Row],[Date]],"dddd")</f>
        <v>Tuesday</v>
      </c>
      <c r="M373" s="5" t="str">
        <f>TEXT(Store_Record[[#This Row],[Date]],"mmmm")</f>
        <v>January</v>
      </c>
      <c r="N373" s="5">
        <f>YEAR(Store_Record[[#This Row],[Date]])</f>
        <v>2025</v>
      </c>
      <c r="O373"/>
    </row>
    <row r="374" spans="1:15" x14ac:dyDescent="0.35">
      <c r="A374" t="s">
        <v>720</v>
      </c>
      <c r="B374" s="2">
        <v>45685</v>
      </c>
      <c r="C374" t="s">
        <v>36</v>
      </c>
      <c r="D374" t="s">
        <v>38</v>
      </c>
      <c r="E374" t="s">
        <v>34</v>
      </c>
      <c r="F374" t="s">
        <v>31</v>
      </c>
      <c r="G374">
        <v>4</v>
      </c>
      <c r="H374">
        <v>2.2000000000000002</v>
      </c>
      <c r="I374" t="s">
        <v>14</v>
      </c>
      <c r="J374" t="s">
        <v>292</v>
      </c>
      <c r="K374" s="12">
        <f>Store_Record[[#This Row],[Qty]]*Store_Record[[#This Row],[UnitPriceGBP]]</f>
        <v>8.8000000000000007</v>
      </c>
      <c r="L374" s="5" t="str">
        <f>TEXT(Store_Record[[#This Row],[Date]],"dddd")</f>
        <v>Tuesday</v>
      </c>
      <c r="M374" s="5" t="str">
        <f>TEXT(Store_Record[[#This Row],[Date]],"mmmm")</f>
        <v>January</v>
      </c>
      <c r="N374" s="5">
        <f>YEAR(Store_Record[[#This Row],[Date]])</f>
        <v>2025</v>
      </c>
      <c r="O374"/>
    </row>
    <row r="375" spans="1:15" x14ac:dyDescent="0.35">
      <c r="A375" t="s">
        <v>723</v>
      </c>
      <c r="B375" s="2">
        <v>45685</v>
      </c>
      <c r="C375" t="s">
        <v>20</v>
      </c>
      <c r="D375" t="s">
        <v>47</v>
      </c>
      <c r="E375" t="s">
        <v>34</v>
      </c>
      <c r="F375" t="s">
        <v>31</v>
      </c>
      <c r="G375">
        <v>4</v>
      </c>
      <c r="H375">
        <v>2.2000000000000002</v>
      </c>
      <c r="I375" t="s">
        <v>21</v>
      </c>
      <c r="J375" t="s">
        <v>724</v>
      </c>
      <c r="K375" s="12">
        <f>Store_Record[[#This Row],[Qty]]*Store_Record[[#This Row],[UnitPriceGBP]]</f>
        <v>8.8000000000000007</v>
      </c>
      <c r="L375" s="5" t="str">
        <f>TEXT(Store_Record[[#This Row],[Date]],"dddd")</f>
        <v>Tuesday</v>
      </c>
      <c r="M375" s="5" t="str">
        <f>TEXT(Store_Record[[#This Row],[Date]],"mmmm")</f>
        <v>January</v>
      </c>
      <c r="N375" s="5">
        <f>YEAR(Store_Record[[#This Row],[Date]])</f>
        <v>2025</v>
      </c>
      <c r="O375"/>
    </row>
    <row r="376" spans="1:15" x14ac:dyDescent="0.35">
      <c r="A376" t="s">
        <v>697</v>
      </c>
      <c r="B376" s="2">
        <v>45685</v>
      </c>
      <c r="C376" t="s">
        <v>24</v>
      </c>
      <c r="D376" t="s">
        <v>47</v>
      </c>
      <c r="E376" t="s">
        <v>30</v>
      </c>
      <c r="F376" t="s">
        <v>31</v>
      </c>
      <c r="G376">
        <v>3</v>
      </c>
      <c r="H376">
        <v>2.8</v>
      </c>
      <c r="I376" t="s">
        <v>21</v>
      </c>
      <c r="J376" t="s">
        <v>698</v>
      </c>
      <c r="K376" s="12">
        <f>Store_Record[[#This Row],[Qty]]*Store_Record[[#This Row],[UnitPriceGBP]]</f>
        <v>8.3999999999999986</v>
      </c>
      <c r="L376" s="5" t="str">
        <f>TEXT(Store_Record[[#This Row],[Date]],"dddd")</f>
        <v>Tuesday</v>
      </c>
      <c r="M376" s="5" t="str">
        <f>TEXT(Store_Record[[#This Row],[Date]],"mmmm")</f>
        <v>January</v>
      </c>
      <c r="N376" s="5">
        <f>YEAR(Store_Record[[#This Row],[Date]])</f>
        <v>2025</v>
      </c>
      <c r="O376"/>
    </row>
    <row r="377" spans="1:15" x14ac:dyDescent="0.35">
      <c r="A377" t="s">
        <v>709</v>
      </c>
      <c r="B377" s="2">
        <v>45685</v>
      </c>
      <c r="C377" t="s">
        <v>10</v>
      </c>
      <c r="D377" t="s">
        <v>11</v>
      </c>
      <c r="E377" t="s">
        <v>12</v>
      </c>
      <c r="F377" t="s">
        <v>13</v>
      </c>
      <c r="G377">
        <v>3</v>
      </c>
      <c r="H377">
        <v>2.5</v>
      </c>
      <c r="I377" t="s">
        <v>21</v>
      </c>
      <c r="J377" t="s">
        <v>710</v>
      </c>
      <c r="K377" s="12">
        <f>Store_Record[[#This Row],[Qty]]*Store_Record[[#This Row],[UnitPriceGBP]]</f>
        <v>7.5</v>
      </c>
      <c r="L377" s="5" t="str">
        <f>TEXT(Store_Record[[#This Row],[Date]],"dddd")</f>
        <v>Tuesday</v>
      </c>
      <c r="M377" s="5" t="str">
        <f>TEXT(Store_Record[[#This Row],[Date]],"mmmm")</f>
        <v>January</v>
      </c>
      <c r="N377" s="5">
        <f>YEAR(Store_Record[[#This Row],[Date]])</f>
        <v>2025</v>
      </c>
      <c r="O377"/>
    </row>
    <row r="378" spans="1:15" x14ac:dyDescent="0.35">
      <c r="A378" t="s">
        <v>711</v>
      </c>
      <c r="B378" s="2">
        <v>45685</v>
      </c>
      <c r="C378" t="s">
        <v>36</v>
      </c>
      <c r="D378" t="s">
        <v>11</v>
      </c>
      <c r="E378" t="s">
        <v>12</v>
      </c>
      <c r="F378" t="s">
        <v>13</v>
      </c>
      <c r="G378">
        <v>2</v>
      </c>
      <c r="H378">
        <v>2.5</v>
      </c>
      <c r="I378" t="s">
        <v>21</v>
      </c>
      <c r="J378" t="s">
        <v>712</v>
      </c>
      <c r="K378" s="12">
        <f>Store_Record[[#This Row],[Qty]]*Store_Record[[#This Row],[UnitPriceGBP]]</f>
        <v>5</v>
      </c>
      <c r="L378" s="5" t="str">
        <f>TEXT(Store_Record[[#This Row],[Date]],"dddd")</f>
        <v>Tuesday</v>
      </c>
      <c r="M378" s="5" t="str">
        <f>TEXT(Store_Record[[#This Row],[Date]],"mmmm")</f>
        <v>January</v>
      </c>
      <c r="N378" s="5">
        <f>YEAR(Store_Record[[#This Row],[Date]])</f>
        <v>2025</v>
      </c>
      <c r="O378"/>
    </row>
    <row r="379" spans="1:15" x14ac:dyDescent="0.35">
      <c r="A379" t="s">
        <v>719</v>
      </c>
      <c r="B379" s="2">
        <v>45685</v>
      </c>
      <c r="C379" t="s">
        <v>20</v>
      </c>
      <c r="D379" t="s">
        <v>38</v>
      </c>
      <c r="E379" t="s">
        <v>42</v>
      </c>
      <c r="F379" t="s">
        <v>13</v>
      </c>
      <c r="G379">
        <v>1</v>
      </c>
      <c r="H379">
        <v>3.8</v>
      </c>
      <c r="I379" t="s">
        <v>39</v>
      </c>
      <c r="J379" t="s">
        <v>445</v>
      </c>
      <c r="K379" s="12">
        <f>Store_Record[[#This Row],[Qty]]*Store_Record[[#This Row],[UnitPriceGBP]]</f>
        <v>3.8</v>
      </c>
      <c r="L379" s="5" t="str">
        <f>TEXT(Store_Record[[#This Row],[Date]],"dddd")</f>
        <v>Tuesday</v>
      </c>
      <c r="M379" s="5" t="str">
        <f>TEXT(Store_Record[[#This Row],[Date]],"mmmm")</f>
        <v>January</v>
      </c>
      <c r="N379" s="5">
        <f>YEAR(Store_Record[[#This Row],[Date]])</f>
        <v>2025</v>
      </c>
      <c r="O379"/>
    </row>
    <row r="380" spans="1:15" x14ac:dyDescent="0.35">
      <c r="A380" t="s">
        <v>704</v>
      </c>
      <c r="B380" s="2">
        <v>45685</v>
      </c>
      <c r="C380" t="s">
        <v>36</v>
      </c>
      <c r="D380" t="s">
        <v>25</v>
      </c>
      <c r="E380" t="s">
        <v>26</v>
      </c>
      <c r="F380" t="s">
        <v>13</v>
      </c>
      <c r="G380">
        <v>1</v>
      </c>
      <c r="H380">
        <v>3.5</v>
      </c>
      <c r="I380" t="s">
        <v>39</v>
      </c>
      <c r="J380" t="s">
        <v>705</v>
      </c>
      <c r="K380" s="12">
        <f>Store_Record[[#This Row],[Qty]]*Store_Record[[#This Row],[UnitPriceGBP]]</f>
        <v>3.5</v>
      </c>
      <c r="L380" s="5" t="str">
        <f>TEXT(Store_Record[[#This Row],[Date]],"dddd")</f>
        <v>Tuesday</v>
      </c>
      <c r="M380" s="5" t="str">
        <f>TEXT(Store_Record[[#This Row],[Date]],"mmmm")</f>
        <v>January</v>
      </c>
      <c r="N380" s="5">
        <f>YEAR(Store_Record[[#This Row],[Date]])</f>
        <v>2025</v>
      </c>
      <c r="O380"/>
    </row>
    <row r="381" spans="1:15" x14ac:dyDescent="0.35">
      <c r="A381" t="s">
        <v>695</v>
      </c>
      <c r="B381" s="2">
        <v>45685</v>
      </c>
      <c r="C381" t="s">
        <v>36</v>
      </c>
      <c r="D381" t="s">
        <v>11</v>
      </c>
      <c r="E381" t="s">
        <v>30</v>
      </c>
      <c r="F381" t="s">
        <v>31</v>
      </c>
      <c r="G381">
        <v>1</v>
      </c>
      <c r="H381">
        <v>2.8</v>
      </c>
      <c r="I381" t="s">
        <v>39</v>
      </c>
      <c r="J381" t="s">
        <v>696</v>
      </c>
      <c r="K381" s="12">
        <f>Store_Record[[#This Row],[Qty]]*Store_Record[[#This Row],[UnitPriceGBP]]</f>
        <v>2.8</v>
      </c>
      <c r="L381" s="5" t="str">
        <f>TEXT(Store_Record[[#This Row],[Date]],"dddd")</f>
        <v>Tuesday</v>
      </c>
      <c r="M381" s="5" t="str">
        <f>TEXT(Store_Record[[#This Row],[Date]],"mmmm")</f>
        <v>January</v>
      </c>
      <c r="N381" s="5">
        <f>YEAR(Store_Record[[#This Row],[Date]])</f>
        <v>2025</v>
      </c>
      <c r="O381"/>
    </row>
    <row r="382" spans="1:15" x14ac:dyDescent="0.35">
      <c r="A382" t="s">
        <v>699</v>
      </c>
      <c r="B382" s="2">
        <v>45685</v>
      </c>
      <c r="C382" t="s">
        <v>10</v>
      </c>
      <c r="D382" t="s">
        <v>47</v>
      </c>
      <c r="E382" t="s">
        <v>30</v>
      </c>
      <c r="F382" t="s">
        <v>31</v>
      </c>
      <c r="G382">
        <v>1</v>
      </c>
      <c r="H382">
        <v>2.8</v>
      </c>
      <c r="I382" t="s">
        <v>14</v>
      </c>
      <c r="J382" t="s">
        <v>700</v>
      </c>
      <c r="K382" s="12">
        <f>Store_Record[[#This Row],[Qty]]*Store_Record[[#This Row],[UnitPriceGBP]]</f>
        <v>2.8</v>
      </c>
      <c r="L382" s="5" t="str">
        <f>TEXT(Store_Record[[#This Row],[Date]],"dddd")</f>
        <v>Tuesday</v>
      </c>
      <c r="M382" s="5" t="str">
        <f>TEXT(Store_Record[[#This Row],[Date]],"mmmm")</f>
        <v>January</v>
      </c>
      <c r="N382" s="5">
        <f>YEAR(Store_Record[[#This Row],[Date]])</f>
        <v>2025</v>
      </c>
      <c r="O382"/>
    </row>
    <row r="383" spans="1:15" x14ac:dyDescent="0.35">
      <c r="A383" t="s">
        <v>715</v>
      </c>
      <c r="B383" s="2">
        <v>45685</v>
      </c>
      <c r="C383" t="s">
        <v>24</v>
      </c>
      <c r="D383" t="s">
        <v>25</v>
      </c>
      <c r="E383" t="s">
        <v>12</v>
      </c>
      <c r="F383" t="s">
        <v>13</v>
      </c>
      <c r="G383">
        <v>1</v>
      </c>
      <c r="H383">
        <v>2.5</v>
      </c>
      <c r="I383" t="s">
        <v>39</v>
      </c>
      <c r="J383" t="s">
        <v>222</v>
      </c>
      <c r="K383" s="12">
        <f>Store_Record[[#This Row],[Qty]]*Store_Record[[#This Row],[UnitPriceGBP]]</f>
        <v>2.5</v>
      </c>
      <c r="L383" s="5" t="str">
        <f>TEXT(Store_Record[[#This Row],[Date]],"dddd")</f>
        <v>Tuesday</v>
      </c>
      <c r="M383" s="5" t="str">
        <f>TEXT(Store_Record[[#This Row],[Date]],"mmmm")</f>
        <v>January</v>
      </c>
      <c r="N383" s="5">
        <f>YEAR(Store_Record[[#This Row],[Date]])</f>
        <v>2025</v>
      </c>
      <c r="O383"/>
    </row>
    <row r="384" spans="1:15" x14ac:dyDescent="0.35">
      <c r="A384" t="s">
        <v>702</v>
      </c>
      <c r="B384" s="2">
        <v>45685</v>
      </c>
      <c r="C384" t="s">
        <v>20</v>
      </c>
      <c r="D384" t="s">
        <v>38</v>
      </c>
      <c r="E384" t="s">
        <v>34</v>
      </c>
      <c r="F384" t="s">
        <v>31</v>
      </c>
      <c r="G384">
        <v>1</v>
      </c>
      <c r="H384">
        <v>2.2000000000000002</v>
      </c>
      <c r="I384" t="s">
        <v>39</v>
      </c>
      <c r="J384" t="s">
        <v>703</v>
      </c>
      <c r="K384" s="12">
        <f>Store_Record[[#This Row],[Qty]]*Store_Record[[#This Row],[UnitPriceGBP]]</f>
        <v>2.2000000000000002</v>
      </c>
      <c r="L384" s="5" t="str">
        <f>TEXT(Store_Record[[#This Row],[Date]],"dddd")</f>
        <v>Tuesday</v>
      </c>
      <c r="M384" s="5" t="str">
        <f>TEXT(Store_Record[[#This Row],[Date]],"mmmm")</f>
        <v>January</v>
      </c>
      <c r="N384" s="5">
        <f>YEAR(Store_Record[[#This Row],[Date]])</f>
        <v>2025</v>
      </c>
      <c r="O384"/>
    </row>
    <row r="385" spans="1:15" x14ac:dyDescent="0.35">
      <c r="A385" t="s">
        <v>749</v>
      </c>
      <c r="B385" s="2">
        <v>45686</v>
      </c>
      <c r="C385" t="s">
        <v>24</v>
      </c>
      <c r="D385" t="s">
        <v>47</v>
      </c>
      <c r="E385" t="s">
        <v>26</v>
      </c>
      <c r="F385" t="s">
        <v>13</v>
      </c>
      <c r="G385">
        <v>5</v>
      </c>
      <c r="H385">
        <v>3.5</v>
      </c>
      <c r="I385" t="s">
        <v>39</v>
      </c>
      <c r="J385" t="s">
        <v>750</v>
      </c>
      <c r="K385" s="12">
        <f>Store_Record[[#This Row],[Qty]]*Store_Record[[#This Row],[UnitPriceGBP]]</f>
        <v>17.5</v>
      </c>
      <c r="L385" s="5" t="str">
        <f>TEXT(Store_Record[[#This Row],[Date]],"dddd")</f>
        <v>Wednesday</v>
      </c>
      <c r="M385" s="5" t="str">
        <f>TEXT(Store_Record[[#This Row],[Date]],"mmmm")</f>
        <v>January</v>
      </c>
      <c r="N385" s="5">
        <f>YEAR(Store_Record[[#This Row],[Date]])</f>
        <v>2025</v>
      </c>
      <c r="O385"/>
    </row>
    <row r="386" spans="1:15" x14ac:dyDescent="0.35">
      <c r="A386" t="s">
        <v>731</v>
      </c>
      <c r="B386" s="2">
        <v>45686</v>
      </c>
      <c r="C386" t="s">
        <v>20</v>
      </c>
      <c r="D386" t="s">
        <v>29</v>
      </c>
      <c r="E386" t="s">
        <v>30</v>
      </c>
      <c r="F386" t="s">
        <v>31</v>
      </c>
      <c r="G386">
        <v>5</v>
      </c>
      <c r="H386">
        <v>2.8</v>
      </c>
      <c r="I386" t="s">
        <v>21</v>
      </c>
      <c r="J386" t="s">
        <v>732</v>
      </c>
      <c r="K386" s="12">
        <f>Store_Record[[#This Row],[Qty]]*Store_Record[[#This Row],[UnitPriceGBP]]</f>
        <v>14</v>
      </c>
      <c r="L386" s="5" t="str">
        <f>TEXT(Store_Record[[#This Row],[Date]],"dddd")</f>
        <v>Wednesday</v>
      </c>
      <c r="M386" s="5" t="str">
        <f>TEXT(Store_Record[[#This Row],[Date]],"mmmm")</f>
        <v>January</v>
      </c>
      <c r="N386" s="5">
        <f>YEAR(Store_Record[[#This Row],[Date]])</f>
        <v>2025</v>
      </c>
      <c r="O386"/>
    </row>
    <row r="387" spans="1:15" x14ac:dyDescent="0.35">
      <c r="A387" t="s">
        <v>751</v>
      </c>
      <c r="B387" s="2">
        <v>45686</v>
      </c>
      <c r="C387" t="s">
        <v>10</v>
      </c>
      <c r="D387" t="s">
        <v>11</v>
      </c>
      <c r="E387" t="s">
        <v>30</v>
      </c>
      <c r="F387" t="s">
        <v>31</v>
      </c>
      <c r="G387">
        <v>5</v>
      </c>
      <c r="H387">
        <v>2.8</v>
      </c>
      <c r="I387" t="s">
        <v>14</v>
      </c>
      <c r="J387" t="s">
        <v>273</v>
      </c>
      <c r="K387" s="12">
        <f>Store_Record[[#This Row],[Qty]]*Store_Record[[#This Row],[UnitPriceGBP]]</f>
        <v>14</v>
      </c>
      <c r="L387" s="5" t="str">
        <f>TEXT(Store_Record[[#This Row],[Date]],"dddd")</f>
        <v>Wednesday</v>
      </c>
      <c r="M387" s="5" t="str">
        <f>TEXT(Store_Record[[#This Row],[Date]],"mmmm")</f>
        <v>January</v>
      </c>
      <c r="N387" s="5">
        <f>YEAR(Store_Record[[#This Row],[Date]])</f>
        <v>2025</v>
      </c>
      <c r="O387"/>
    </row>
    <row r="388" spans="1:15" x14ac:dyDescent="0.35">
      <c r="A388" t="s">
        <v>736</v>
      </c>
      <c r="B388" s="2">
        <v>45686</v>
      </c>
      <c r="C388" t="s">
        <v>20</v>
      </c>
      <c r="D388" t="s">
        <v>29</v>
      </c>
      <c r="E388" t="s">
        <v>12</v>
      </c>
      <c r="F388" t="s">
        <v>13</v>
      </c>
      <c r="G388">
        <v>5</v>
      </c>
      <c r="H388">
        <v>2.5</v>
      </c>
      <c r="I388" t="s">
        <v>39</v>
      </c>
      <c r="J388" t="s">
        <v>737</v>
      </c>
      <c r="K388" s="12">
        <f>Store_Record[[#This Row],[Qty]]*Store_Record[[#This Row],[UnitPriceGBP]]</f>
        <v>12.5</v>
      </c>
      <c r="L388" s="5" t="str">
        <f>TEXT(Store_Record[[#This Row],[Date]],"dddd")</f>
        <v>Wednesday</v>
      </c>
      <c r="M388" s="5" t="str">
        <f>TEXT(Store_Record[[#This Row],[Date]],"mmmm")</f>
        <v>January</v>
      </c>
      <c r="N388" s="5">
        <f>YEAR(Store_Record[[#This Row],[Date]])</f>
        <v>2025</v>
      </c>
      <c r="O388"/>
    </row>
    <row r="389" spans="1:15" x14ac:dyDescent="0.35">
      <c r="A389" t="s">
        <v>746</v>
      </c>
      <c r="B389" s="2">
        <v>45686</v>
      </c>
      <c r="C389" t="s">
        <v>24</v>
      </c>
      <c r="D389" t="s">
        <v>47</v>
      </c>
      <c r="E389" t="s">
        <v>42</v>
      </c>
      <c r="F389" t="s">
        <v>13</v>
      </c>
      <c r="G389">
        <v>3</v>
      </c>
      <c r="H389">
        <v>3.8</v>
      </c>
      <c r="I389" t="s">
        <v>21</v>
      </c>
      <c r="J389" t="s">
        <v>80</v>
      </c>
      <c r="K389" s="12">
        <f>Store_Record[[#This Row],[Qty]]*Store_Record[[#This Row],[UnitPriceGBP]]</f>
        <v>11.399999999999999</v>
      </c>
      <c r="L389" s="5" t="str">
        <f>TEXT(Store_Record[[#This Row],[Date]],"dddd")</f>
        <v>Wednesday</v>
      </c>
      <c r="M389" s="5" t="str">
        <f>TEXT(Store_Record[[#This Row],[Date]],"mmmm")</f>
        <v>January</v>
      </c>
      <c r="N389" s="5">
        <f>YEAR(Store_Record[[#This Row],[Date]])</f>
        <v>2025</v>
      </c>
      <c r="O389"/>
    </row>
    <row r="390" spans="1:15" x14ac:dyDescent="0.35">
      <c r="A390" t="s">
        <v>744</v>
      </c>
      <c r="B390" s="2">
        <v>45686</v>
      </c>
      <c r="C390" t="s">
        <v>10</v>
      </c>
      <c r="D390" t="s">
        <v>29</v>
      </c>
      <c r="E390" t="s">
        <v>30</v>
      </c>
      <c r="F390" t="s">
        <v>31</v>
      </c>
      <c r="G390">
        <v>4</v>
      </c>
      <c r="H390">
        <v>2.8</v>
      </c>
      <c r="I390" t="s">
        <v>14</v>
      </c>
      <c r="J390" t="s">
        <v>745</v>
      </c>
      <c r="K390" s="12">
        <f>Store_Record[[#This Row],[Qty]]*Store_Record[[#This Row],[UnitPriceGBP]]</f>
        <v>11.2</v>
      </c>
      <c r="L390" s="5" t="str">
        <f>TEXT(Store_Record[[#This Row],[Date]],"dddd")</f>
        <v>Wednesday</v>
      </c>
      <c r="M390" s="5" t="str">
        <f>TEXT(Store_Record[[#This Row],[Date]],"mmmm")</f>
        <v>January</v>
      </c>
      <c r="N390" s="5">
        <f>YEAR(Store_Record[[#This Row],[Date]])</f>
        <v>2025</v>
      </c>
      <c r="O390"/>
    </row>
    <row r="391" spans="1:15" x14ac:dyDescent="0.35">
      <c r="A391" t="s">
        <v>733</v>
      </c>
      <c r="B391" s="2">
        <v>45686</v>
      </c>
      <c r="C391" t="s">
        <v>20</v>
      </c>
      <c r="D391" t="s">
        <v>29</v>
      </c>
      <c r="E391" t="s">
        <v>26</v>
      </c>
      <c r="F391" t="s">
        <v>31</v>
      </c>
      <c r="G391">
        <v>5</v>
      </c>
      <c r="H391">
        <v>2.2000000000000002</v>
      </c>
      <c r="I391" t="s">
        <v>39</v>
      </c>
      <c r="J391" t="s">
        <v>734</v>
      </c>
      <c r="K391" s="12">
        <f>Store_Record[[#This Row],[Qty]]*Store_Record[[#This Row],[UnitPriceGBP]]</f>
        <v>11</v>
      </c>
      <c r="L391" s="5" t="str">
        <f>TEXT(Store_Record[[#This Row],[Date]],"dddd")</f>
        <v>Wednesday</v>
      </c>
      <c r="M391" s="5" t="str">
        <f>TEXT(Store_Record[[#This Row],[Date]],"mmmm")</f>
        <v>January</v>
      </c>
      <c r="N391" s="5">
        <f>YEAR(Store_Record[[#This Row],[Date]])</f>
        <v>2025</v>
      </c>
      <c r="O391"/>
    </row>
    <row r="392" spans="1:15" x14ac:dyDescent="0.35">
      <c r="A392" t="s">
        <v>747</v>
      </c>
      <c r="B392" s="2">
        <v>45686</v>
      </c>
      <c r="C392" t="s">
        <v>36</v>
      </c>
      <c r="D392" t="s">
        <v>38</v>
      </c>
      <c r="E392" t="s">
        <v>12</v>
      </c>
      <c r="F392" t="s">
        <v>13</v>
      </c>
      <c r="G392">
        <v>4</v>
      </c>
      <c r="H392">
        <v>2.5</v>
      </c>
      <c r="I392" t="s">
        <v>14</v>
      </c>
      <c r="J392" t="s">
        <v>748</v>
      </c>
      <c r="K392" s="12">
        <f>Store_Record[[#This Row],[Qty]]*Store_Record[[#This Row],[UnitPriceGBP]]</f>
        <v>10</v>
      </c>
      <c r="L392" s="5" t="str">
        <f>TEXT(Store_Record[[#This Row],[Date]],"dddd")</f>
        <v>Wednesday</v>
      </c>
      <c r="M392" s="5" t="str">
        <f>TEXT(Store_Record[[#This Row],[Date]],"mmmm")</f>
        <v>January</v>
      </c>
      <c r="N392" s="5">
        <f>YEAR(Store_Record[[#This Row],[Date]])</f>
        <v>2025</v>
      </c>
      <c r="O392"/>
    </row>
    <row r="393" spans="1:15" x14ac:dyDescent="0.35">
      <c r="A393" t="s">
        <v>735</v>
      </c>
      <c r="B393" s="2">
        <v>45686</v>
      </c>
      <c r="C393" t="s">
        <v>10</v>
      </c>
      <c r="D393" t="s">
        <v>29</v>
      </c>
      <c r="E393" t="s">
        <v>30</v>
      </c>
      <c r="F393" t="s">
        <v>31</v>
      </c>
      <c r="G393">
        <v>3</v>
      </c>
      <c r="H393">
        <v>2.8</v>
      </c>
      <c r="I393" t="s">
        <v>14</v>
      </c>
      <c r="J393" t="s">
        <v>484</v>
      </c>
      <c r="K393" s="12">
        <f>Store_Record[[#This Row],[Qty]]*Store_Record[[#This Row],[UnitPriceGBP]]</f>
        <v>8.3999999999999986</v>
      </c>
      <c r="L393" s="5" t="str">
        <f>TEXT(Store_Record[[#This Row],[Date]],"dddd")</f>
        <v>Wednesday</v>
      </c>
      <c r="M393" s="5" t="str">
        <f>TEXT(Store_Record[[#This Row],[Date]],"mmmm")</f>
        <v>January</v>
      </c>
      <c r="N393" s="5">
        <f>YEAR(Store_Record[[#This Row],[Date]])</f>
        <v>2025</v>
      </c>
      <c r="O393"/>
    </row>
    <row r="394" spans="1:15" x14ac:dyDescent="0.35">
      <c r="A394" t="s">
        <v>740</v>
      </c>
      <c r="B394" s="2">
        <v>45686</v>
      </c>
      <c r="C394" t="s">
        <v>24</v>
      </c>
      <c r="D394" t="s">
        <v>38</v>
      </c>
      <c r="E394" t="s">
        <v>30</v>
      </c>
      <c r="F394" t="s">
        <v>31</v>
      </c>
      <c r="G394">
        <v>3</v>
      </c>
      <c r="H394">
        <v>2.8</v>
      </c>
      <c r="I394" t="s">
        <v>14</v>
      </c>
      <c r="J394" t="s">
        <v>741</v>
      </c>
      <c r="K394" s="12">
        <f>Store_Record[[#This Row],[Qty]]*Store_Record[[#This Row],[UnitPriceGBP]]</f>
        <v>8.3999999999999986</v>
      </c>
      <c r="L394" s="5" t="str">
        <f>TEXT(Store_Record[[#This Row],[Date]],"dddd")</f>
        <v>Wednesday</v>
      </c>
      <c r="M394" s="5" t="str">
        <f>TEXT(Store_Record[[#This Row],[Date]],"mmmm")</f>
        <v>January</v>
      </c>
      <c r="N394" s="5">
        <f>YEAR(Store_Record[[#This Row],[Date]])</f>
        <v>2025</v>
      </c>
      <c r="O394"/>
    </row>
    <row r="395" spans="1:15" x14ac:dyDescent="0.35">
      <c r="A395" t="s">
        <v>742</v>
      </c>
      <c r="B395" s="2">
        <v>45686</v>
      </c>
      <c r="C395" t="s">
        <v>36</v>
      </c>
      <c r="D395" t="s">
        <v>38</v>
      </c>
      <c r="E395" t="s">
        <v>30</v>
      </c>
      <c r="F395" t="s">
        <v>31</v>
      </c>
      <c r="G395">
        <v>3</v>
      </c>
      <c r="H395">
        <v>2.8</v>
      </c>
      <c r="I395" t="s">
        <v>39</v>
      </c>
      <c r="J395" t="s">
        <v>743</v>
      </c>
      <c r="K395" s="12">
        <f>Store_Record[[#This Row],[Qty]]*Store_Record[[#This Row],[UnitPriceGBP]]</f>
        <v>8.3999999999999986</v>
      </c>
      <c r="L395" s="5" t="str">
        <f>TEXT(Store_Record[[#This Row],[Date]],"dddd")</f>
        <v>Wednesday</v>
      </c>
      <c r="M395" s="5" t="str">
        <f>TEXT(Store_Record[[#This Row],[Date]],"mmmm")</f>
        <v>January</v>
      </c>
      <c r="N395" s="5">
        <f>YEAR(Store_Record[[#This Row],[Date]])</f>
        <v>2025</v>
      </c>
      <c r="O395"/>
    </row>
    <row r="396" spans="1:15" x14ac:dyDescent="0.35">
      <c r="A396" t="s">
        <v>725</v>
      </c>
      <c r="B396" s="2">
        <v>45686</v>
      </c>
      <c r="C396" t="s">
        <v>10</v>
      </c>
      <c r="D396" t="s">
        <v>29</v>
      </c>
      <c r="E396" t="s">
        <v>42</v>
      </c>
      <c r="F396" t="s">
        <v>13</v>
      </c>
      <c r="G396">
        <v>2</v>
      </c>
      <c r="H396">
        <v>3.8</v>
      </c>
      <c r="I396" t="s">
        <v>39</v>
      </c>
      <c r="J396" t="s">
        <v>369</v>
      </c>
      <c r="K396" s="12">
        <f>Store_Record[[#This Row],[Qty]]*Store_Record[[#This Row],[UnitPriceGBP]]</f>
        <v>7.6</v>
      </c>
      <c r="L396" s="5" t="str">
        <f>TEXT(Store_Record[[#This Row],[Date]],"dddd")</f>
        <v>Wednesday</v>
      </c>
      <c r="M396" s="5" t="str">
        <f>TEXT(Store_Record[[#This Row],[Date]],"mmmm")</f>
        <v>January</v>
      </c>
      <c r="N396" s="5">
        <f>YEAR(Store_Record[[#This Row],[Date]])</f>
        <v>2025</v>
      </c>
      <c r="O396"/>
    </row>
    <row r="397" spans="1:15" x14ac:dyDescent="0.35">
      <c r="A397" t="s">
        <v>738</v>
      </c>
      <c r="B397" s="2">
        <v>45686</v>
      </c>
      <c r="C397" t="s">
        <v>10</v>
      </c>
      <c r="D397" t="s">
        <v>25</v>
      </c>
      <c r="E397" t="s">
        <v>30</v>
      </c>
      <c r="F397" t="s">
        <v>31</v>
      </c>
      <c r="G397">
        <v>2</v>
      </c>
      <c r="H397">
        <v>2.8</v>
      </c>
      <c r="I397" t="s">
        <v>14</v>
      </c>
      <c r="J397" t="s">
        <v>739</v>
      </c>
      <c r="K397" s="12">
        <f>Store_Record[[#This Row],[Qty]]*Store_Record[[#This Row],[UnitPriceGBP]]</f>
        <v>5.6</v>
      </c>
      <c r="L397" s="5" t="str">
        <f>TEXT(Store_Record[[#This Row],[Date]],"dddd")</f>
        <v>Wednesday</v>
      </c>
      <c r="M397" s="5" t="str">
        <f>TEXT(Store_Record[[#This Row],[Date]],"mmmm")</f>
        <v>January</v>
      </c>
      <c r="N397" s="5">
        <f>YEAR(Store_Record[[#This Row],[Date]])</f>
        <v>2025</v>
      </c>
      <c r="O397"/>
    </row>
    <row r="398" spans="1:15" x14ac:dyDescent="0.35">
      <c r="A398" t="s">
        <v>752</v>
      </c>
      <c r="B398" s="2">
        <v>45686</v>
      </c>
      <c r="C398" t="s">
        <v>10</v>
      </c>
      <c r="D398" t="s">
        <v>38</v>
      </c>
      <c r="E398" t="s">
        <v>42</v>
      </c>
      <c r="F398" t="s">
        <v>13</v>
      </c>
      <c r="G398">
        <v>1</v>
      </c>
      <c r="H398">
        <v>3.8</v>
      </c>
      <c r="I398" t="s">
        <v>14</v>
      </c>
      <c r="J398" t="s">
        <v>753</v>
      </c>
      <c r="K398" s="12">
        <f>Store_Record[[#This Row],[Qty]]*Store_Record[[#This Row],[UnitPriceGBP]]</f>
        <v>3.8</v>
      </c>
      <c r="L398" s="5" t="str">
        <f>TEXT(Store_Record[[#This Row],[Date]],"dddd")</f>
        <v>Wednesday</v>
      </c>
      <c r="M398" s="5" t="str">
        <f>TEXT(Store_Record[[#This Row],[Date]],"mmmm")</f>
        <v>January</v>
      </c>
      <c r="N398" s="5">
        <f>YEAR(Store_Record[[#This Row],[Date]])</f>
        <v>2025</v>
      </c>
      <c r="O398"/>
    </row>
    <row r="399" spans="1:15" x14ac:dyDescent="0.35">
      <c r="A399" t="s">
        <v>726</v>
      </c>
      <c r="B399" s="2">
        <v>45686</v>
      </c>
      <c r="C399" t="s">
        <v>36</v>
      </c>
      <c r="D399" t="s">
        <v>25</v>
      </c>
      <c r="E399" t="s">
        <v>12</v>
      </c>
      <c r="F399" t="s">
        <v>13</v>
      </c>
      <c r="G399">
        <v>1</v>
      </c>
      <c r="H399">
        <v>2.5</v>
      </c>
      <c r="I399" t="s">
        <v>39</v>
      </c>
      <c r="J399" t="s">
        <v>644</v>
      </c>
      <c r="K399" s="12">
        <f>Store_Record[[#This Row],[Qty]]*Store_Record[[#This Row],[UnitPriceGBP]]</f>
        <v>2.5</v>
      </c>
      <c r="L399" s="5" t="str">
        <f>TEXT(Store_Record[[#This Row],[Date]],"dddd")</f>
        <v>Wednesday</v>
      </c>
      <c r="M399" s="5" t="str">
        <f>TEXT(Store_Record[[#This Row],[Date]],"mmmm")</f>
        <v>January</v>
      </c>
      <c r="N399" s="5">
        <f>YEAR(Store_Record[[#This Row],[Date]])</f>
        <v>2025</v>
      </c>
      <c r="O399"/>
    </row>
    <row r="400" spans="1:15" x14ac:dyDescent="0.35">
      <c r="A400" t="s">
        <v>727</v>
      </c>
      <c r="B400" s="2">
        <v>45686</v>
      </c>
      <c r="C400" t="s">
        <v>20</v>
      </c>
      <c r="D400" t="s">
        <v>29</v>
      </c>
      <c r="E400" t="s">
        <v>12</v>
      </c>
      <c r="F400" t="s">
        <v>13</v>
      </c>
      <c r="G400">
        <v>1</v>
      </c>
      <c r="H400">
        <v>2.5</v>
      </c>
      <c r="I400" t="s">
        <v>21</v>
      </c>
      <c r="J400" t="s">
        <v>728</v>
      </c>
      <c r="K400" s="12">
        <f>Store_Record[[#This Row],[Qty]]*Store_Record[[#This Row],[UnitPriceGBP]]</f>
        <v>2.5</v>
      </c>
      <c r="L400" s="5" t="str">
        <f>TEXT(Store_Record[[#This Row],[Date]],"dddd")</f>
        <v>Wednesday</v>
      </c>
      <c r="M400" s="5" t="str">
        <f>TEXT(Store_Record[[#This Row],[Date]],"mmmm")</f>
        <v>January</v>
      </c>
      <c r="N400" s="5">
        <f>YEAR(Store_Record[[#This Row],[Date]])</f>
        <v>2025</v>
      </c>
      <c r="O400"/>
    </row>
    <row r="401" spans="1:15" x14ac:dyDescent="0.35">
      <c r="A401" t="s">
        <v>729</v>
      </c>
      <c r="B401" s="2">
        <v>45686</v>
      </c>
      <c r="C401" t="s">
        <v>10</v>
      </c>
      <c r="D401" t="s">
        <v>47</v>
      </c>
      <c r="E401" t="s">
        <v>34</v>
      </c>
      <c r="F401" t="s">
        <v>31</v>
      </c>
      <c r="G401">
        <v>1</v>
      </c>
      <c r="H401">
        <v>2.2000000000000002</v>
      </c>
      <c r="I401" t="s">
        <v>39</v>
      </c>
      <c r="J401" t="s">
        <v>730</v>
      </c>
      <c r="K401" s="12">
        <f>Store_Record[[#This Row],[Qty]]*Store_Record[[#This Row],[UnitPriceGBP]]</f>
        <v>2.2000000000000002</v>
      </c>
      <c r="L401" s="5" t="str">
        <f>TEXT(Store_Record[[#This Row],[Date]],"dddd")</f>
        <v>Wednesday</v>
      </c>
      <c r="M401" s="5" t="str">
        <f>TEXT(Store_Record[[#This Row],[Date]],"mmmm")</f>
        <v>January</v>
      </c>
      <c r="N401" s="5">
        <f>YEAR(Store_Record[[#This Row],[Date]])</f>
        <v>2025</v>
      </c>
      <c r="O401"/>
    </row>
    <row r="402" spans="1:15" x14ac:dyDescent="0.35">
      <c r="A402" t="s">
        <v>775</v>
      </c>
      <c r="B402" s="2">
        <v>45687</v>
      </c>
      <c r="C402" t="s">
        <v>20</v>
      </c>
      <c r="D402" t="s">
        <v>29</v>
      </c>
      <c r="E402" t="s">
        <v>26</v>
      </c>
      <c r="F402" t="s">
        <v>13</v>
      </c>
      <c r="G402">
        <v>5</v>
      </c>
      <c r="H402">
        <v>3.5</v>
      </c>
      <c r="I402" t="s">
        <v>14</v>
      </c>
      <c r="J402" t="s">
        <v>140</v>
      </c>
      <c r="K402" s="12">
        <f>Store_Record[[#This Row],[Qty]]*Store_Record[[#This Row],[UnitPriceGBP]]</f>
        <v>17.5</v>
      </c>
      <c r="L402" s="5" t="str">
        <f>TEXT(Store_Record[[#This Row],[Date]],"dddd")</f>
        <v>Thursday</v>
      </c>
      <c r="M402" s="5" t="str">
        <f>TEXT(Store_Record[[#This Row],[Date]],"mmmm")</f>
        <v>January</v>
      </c>
      <c r="N402" s="5">
        <f>YEAR(Store_Record[[#This Row],[Date]])</f>
        <v>2025</v>
      </c>
      <c r="O402"/>
    </row>
    <row r="403" spans="1:15" x14ac:dyDescent="0.35">
      <c r="A403" t="s">
        <v>773</v>
      </c>
      <c r="B403" s="2">
        <v>45687</v>
      </c>
      <c r="C403" t="s">
        <v>36</v>
      </c>
      <c r="D403" t="s">
        <v>47</v>
      </c>
      <c r="E403" t="s">
        <v>42</v>
      </c>
      <c r="F403" t="s">
        <v>13</v>
      </c>
      <c r="G403">
        <v>4</v>
      </c>
      <c r="H403">
        <v>3.8</v>
      </c>
      <c r="I403" t="s">
        <v>39</v>
      </c>
      <c r="J403" t="s">
        <v>774</v>
      </c>
      <c r="K403" s="12">
        <f>Store_Record[[#This Row],[Qty]]*Store_Record[[#This Row],[UnitPriceGBP]]</f>
        <v>15.2</v>
      </c>
      <c r="L403" s="5" t="str">
        <f>TEXT(Store_Record[[#This Row],[Date]],"dddd")</f>
        <v>Thursday</v>
      </c>
      <c r="M403" s="5" t="str">
        <f>TEXT(Store_Record[[#This Row],[Date]],"mmmm")</f>
        <v>January</v>
      </c>
      <c r="N403" s="5">
        <f>YEAR(Store_Record[[#This Row],[Date]])</f>
        <v>2025</v>
      </c>
      <c r="O403"/>
    </row>
    <row r="404" spans="1:15" x14ac:dyDescent="0.35">
      <c r="A404" t="s">
        <v>779</v>
      </c>
      <c r="B404" s="2">
        <v>45687</v>
      </c>
      <c r="C404" t="s">
        <v>36</v>
      </c>
      <c r="D404" t="s">
        <v>29</v>
      </c>
      <c r="E404" t="s">
        <v>30</v>
      </c>
      <c r="F404" t="s">
        <v>31</v>
      </c>
      <c r="G404">
        <v>5</v>
      </c>
      <c r="H404">
        <v>2.8</v>
      </c>
      <c r="I404" t="s">
        <v>39</v>
      </c>
      <c r="J404" t="s">
        <v>780</v>
      </c>
      <c r="K404" s="12">
        <f>Store_Record[[#This Row],[Qty]]*Store_Record[[#This Row],[UnitPriceGBP]]</f>
        <v>14</v>
      </c>
      <c r="L404" s="5" t="str">
        <f>TEXT(Store_Record[[#This Row],[Date]],"dddd")</f>
        <v>Thursday</v>
      </c>
      <c r="M404" s="5" t="str">
        <f>TEXT(Store_Record[[#This Row],[Date]],"mmmm")</f>
        <v>January</v>
      </c>
      <c r="N404" s="5">
        <f>YEAR(Store_Record[[#This Row],[Date]])</f>
        <v>2025</v>
      </c>
      <c r="O404"/>
    </row>
    <row r="405" spans="1:15" x14ac:dyDescent="0.35">
      <c r="A405" t="s">
        <v>781</v>
      </c>
      <c r="B405" s="2">
        <v>45687</v>
      </c>
      <c r="C405" t="s">
        <v>36</v>
      </c>
      <c r="D405" t="s">
        <v>25</v>
      </c>
      <c r="E405" t="s">
        <v>30</v>
      </c>
      <c r="F405" t="s">
        <v>31</v>
      </c>
      <c r="G405">
        <v>5</v>
      </c>
      <c r="H405">
        <v>2.8</v>
      </c>
      <c r="I405" t="s">
        <v>14</v>
      </c>
      <c r="J405" t="s">
        <v>782</v>
      </c>
      <c r="K405" s="12">
        <f>Store_Record[[#This Row],[Qty]]*Store_Record[[#This Row],[UnitPriceGBP]]</f>
        <v>14</v>
      </c>
      <c r="L405" s="5" t="str">
        <f>TEXT(Store_Record[[#This Row],[Date]],"dddd")</f>
        <v>Thursday</v>
      </c>
      <c r="M405" s="5" t="str">
        <f>TEXT(Store_Record[[#This Row],[Date]],"mmmm")</f>
        <v>January</v>
      </c>
      <c r="N405" s="5">
        <f>YEAR(Store_Record[[#This Row],[Date]])</f>
        <v>2025</v>
      </c>
      <c r="O405"/>
    </row>
    <row r="406" spans="1:15" x14ac:dyDescent="0.35">
      <c r="A406" t="s">
        <v>763</v>
      </c>
      <c r="B406" s="2">
        <v>45687</v>
      </c>
      <c r="C406" t="s">
        <v>24</v>
      </c>
      <c r="D406" t="s">
        <v>11</v>
      </c>
      <c r="E406" t="s">
        <v>26</v>
      </c>
      <c r="F406" t="s">
        <v>13</v>
      </c>
      <c r="G406">
        <v>3</v>
      </c>
      <c r="H406">
        <v>3.5</v>
      </c>
      <c r="I406" t="s">
        <v>14</v>
      </c>
      <c r="J406" t="s">
        <v>764</v>
      </c>
      <c r="K406" s="12">
        <f>Store_Record[[#This Row],[Qty]]*Store_Record[[#This Row],[UnitPriceGBP]]</f>
        <v>10.5</v>
      </c>
      <c r="L406" s="5" t="str">
        <f>TEXT(Store_Record[[#This Row],[Date]],"dddd")</f>
        <v>Thursday</v>
      </c>
      <c r="M406" s="5" t="str">
        <f>TEXT(Store_Record[[#This Row],[Date]],"mmmm")</f>
        <v>January</v>
      </c>
      <c r="N406" s="5">
        <f>YEAR(Store_Record[[#This Row],[Date]])</f>
        <v>2025</v>
      </c>
      <c r="O406"/>
    </row>
    <row r="407" spans="1:15" x14ac:dyDescent="0.35">
      <c r="A407" t="s">
        <v>762</v>
      </c>
      <c r="B407" s="2">
        <v>45687</v>
      </c>
      <c r="C407" t="s">
        <v>10</v>
      </c>
      <c r="D407" t="s">
        <v>29</v>
      </c>
      <c r="E407" t="s">
        <v>12</v>
      </c>
      <c r="F407" t="s">
        <v>13</v>
      </c>
      <c r="G407">
        <v>4</v>
      </c>
      <c r="H407">
        <v>2.5</v>
      </c>
      <c r="I407" t="s">
        <v>14</v>
      </c>
      <c r="J407" t="s">
        <v>610</v>
      </c>
      <c r="K407" s="12">
        <f>Store_Record[[#This Row],[Qty]]*Store_Record[[#This Row],[UnitPriceGBP]]</f>
        <v>10</v>
      </c>
      <c r="L407" s="5" t="str">
        <f>TEXT(Store_Record[[#This Row],[Date]],"dddd")</f>
        <v>Thursday</v>
      </c>
      <c r="M407" s="5" t="str">
        <f>TEXT(Store_Record[[#This Row],[Date]],"mmmm")</f>
        <v>January</v>
      </c>
      <c r="N407" s="5">
        <f>YEAR(Store_Record[[#This Row],[Date]])</f>
        <v>2025</v>
      </c>
      <c r="O407"/>
    </row>
    <row r="408" spans="1:15" x14ac:dyDescent="0.35">
      <c r="A408" t="s">
        <v>766</v>
      </c>
      <c r="B408" s="2">
        <v>45687</v>
      </c>
      <c r="C408" t="s">
        <v>20</v>
      </c>
      <c r="D408" t="s">
        <v>25</v>
      </c>
      <c r="E408" t="s">
        <v>12</v>
      </c>
      <c r="F408" t="s">
        <v>13</v>
      </c>
      <c r="G408">
        <v>4</v>
      </c>
      <c r="H408">
        <v>2.5</v>
      </c>
      <c r="I408" t="s">
        <v>21</v>
      </c>
      <c r="J408" t="s">
        <v>767</v>
      </c>
      <c r="K408" s="12">
        <f>Store_Record[[#This Row],[Qty]]*Store_Record[[#This Row],[UnitPriceGBP]]</f>
        <v>10</v>
      </c>
      <c r="L408" s="5" t="str">
        <f>TEXT(Store_Record[[#This Row],[Date]],"dddd")</f>
        <v>Thursday</v>
      </c>
      <c r="M408" s="5" t="str">
        <f>TEXT(Store_Record[[#This Row],[Date]],"mmmm")</f>
        <v>January</v>
      </c>
      <c r="N408" s="5">
        <f>YEAR(Store_Record[[#This Row],[Date]])</f>
        <v>2025</v>
      </c>
      <c r="O408"/>
    </row>
    <row r="409" spans="1:15" x14ac:dyDescent="0.35">
      <c r="A409" t="s">
        <v>765</v>
      </c>
      <c r="B409" s="2">
        <v>45687</v>
      </c>
      <c r="C409" t="s">
        <v>10</v>
      </c>
      <c r="D409" t="s">
        <v>38</v>
      </c>
      <c r="E409" t="s">
        <v>34</v>
      </c>
      <c r="F409" t="s">
        <v>31</v>
      </c>
      <c r="G409">
        <v>4</v>
      </c>
      <c r="H409">
        <v>2.2000000000000002</v>
      </c>
      <c r="I409" t="s">
        <v>21</v>
      </c>
      <c r="J409" t="s">
        <v>386</v>
      </c>
      <c r="K409" s="12">
        <f>Store_Record[[#This Row],[Qty]]*Store_Record[[#This Row],[UnitPriceGBP]]</f>
        <v>8.8000000000000007</v>
      </c>
      <c r="L409" s="5" t="str">
        <f>TEXT(Store_Record[[#This Row],[Date]],"dddd")</f>
        <v>Thursday</v>
      </c>
      <c r="M409" s="5" t="str">
        <f>TEXT(Store_Record[[#This Row],[Date]],"mmmm")</f>
        <v>January</v>
      </c>
      <c r="N409" s="5">
        <f>YEAR(Store_Record[[#This Row],[Date]])</f>
        <v>2025</v>
      </c>
      <c r="O409"/>
    </row>
    <row r="410" spans="1:15" x14ac:dyDescent="0.35">
      <c r="A410" t="s">
        <v>770</v>
      </c>
      <c r="B410" s="2">
        <v>45687</v>
      </c>
      <c r="C410" t="s">
        <v>24</v>
      </c>
      <c r="D410" t="s">
        <v>29</v>
      </c>
      <c r="E410" t="s">
        <v>34</v>
      </c>
      <c r="F410" t="s">
        <v>31</v>
      </c>
      <c r="G410">
        <v>4</v>
      </c>
      <c r="H410">
        <v>2.2000000000000002</v>
      </c>
      <c r="I410" t="s">
        <v>39</v>
      </c>
      <c r="J410" t="s">
        <v>771</v>
      </c>
      <c r="K410" s="12">
        <f>Store_Record[[#This Row],[Qty]]*Store_Record[[#This Row],[UnitPriceGBP]]</f>
        <v>8.8000000000000007</v>
      </c>
      <c r="L410" s="5" t="str">
        <f>TEXT(Store_Record[[#This Row],[Date]],"dddd")</f>
        <v>Thursday</v>
      </c>
      <c r="M410" s="5" t="str">
        <f>TEXT(Store_Record[[#This Row],[Date]],"mmmm")</f>
        <v>January</v>
      </c>
      <c r="N410" s="5">
        <f>YEAR(Store_Record[[#This Row],[Date]])</f>
        <v>2025</v>
      </c>
      <c r="O410"/>
    </row>
    <row r="411" spans="1:15" x14ac:dyDescent="0.35">
      <c r="A411" t="s">
        <v>760</v>
      </c>
      <c r="B411" s="2">
        <v>45687</v>
      </c>
      <c r="C411" t="s">
        <v>24</v>
      </c>
      <c r="D411" t="s">
        <v>29</v>
      </c>
      <c r="E411" t="s">
        <v>30</v>
      </c>
      <c r="F411" t="s">
        <v>31</v>
      </c>
      <c r="G411">
        <v>3</v>
      </c>
      <c r="H411">
        <v>2.8</v>
      </c>
      <c r="I411" t="s">
        <v>21</v>
      </c>
      <c r="J411" t="s">
        <v>761</v>
      </c>
      <c r="K411" s="12">
        <f>Store_Record[[#This Row],[Qty]]*Store_Record[[#This Row],[UnitPriceGBP]]</f>
        <v>8.3999999999999986</v>
      </c>
      <c r="L411" s="5" t="str">
        <f>TEXT(Store_Record[[#This Row],[Date]],"dddd")</f>
        <v>Thursday</v>
      </c>
      <c r="M411" s="5" t="str">
        <f>TEXT(Store_Record[[#This Row],[Date]],"mmmm")</f>
        <v>January</v>
      </c>
      <c r="N411" s="5">
        <f>YEAR(Store_Record[[#This Row],[Date]])</f>
        <v>2025</v>
      </c>
      <c r="O411"/>
    </row>
    <row r="412" spans="1:15" x14ac:dyDescent="0.35">
      <c r="A412" t="s">
        <v>776</v>
      </c>
      <c r="B412" s="2">
        <v>45687</v>
      </c>
      <c r="C412" t="s">
        <v>10</v>
      </c>
      <c r="D412" t="s">
        <v>29</v>
      </c>
      <c r="E412" t="s">
        <v>30</v>
      </c>
      <c r="F412" t="s">
        <v>31</v>
      </c>
      <c r="G412">
        <v>3</v>
      </c>
      <c r="H412">
        <v>2.8</v>
      </c>
      <c r="I412" t="s">
        <v>39</v>
      </c>
      <c r="J412" t="s">
        <v>454</v>
      </c>
      <c r="K412" s="12">
        <f>Store_Record[[#This Row],[Qty]]*Store_Record[[#This Row],[UnitPriceGBP]]</f>
        <v>8.3999999999999986</v>
      </c>
      <c r="L412" s="5" t="str">
        <f>TEXT(Store_Record[[#This Row],[Date]],"dddd")</f>
        <v>Thursday</v>
      </c>
      <c r="M412" s="5" t="str">
        <f>TEXT(Store_Record[[#This Row],[Date]],"mmmm")</f>
        <v>January</v>
      </c>
      <c r="N412" s="5">
        <f>YEAR(Store_Record[[#This Row],[Date]])</f>
        <v>2025</v>
      </c>
      <c r="O412"/>
    </row>
    <row r="413" spans="1:15" x14ac:dyDescent="0.35">
      <c r="A413" t="s">
        <v>768</v>
      </c>
      <c r="B413" s="2">
        <v>45687</v>
      </c>
      <c r="C413" t="s">
        <v>36</v>
      </c>
      <c r="D413" t="s">
        <v>38</v>
      </c>
      <c r="E413" t="s">
        <v>34</v>
      </c>
      <c r="F413" t="s">
        <v>31</v>
      </c>
      <c r="G413">
        <v>3</v>
      </c>
      <c r="H413">
        <v>2.2000000000000002</v>
      </c>
      <c r="I413" t="s">
        <v>14</v>
      </c>
      <c r="J413" t="s">
        <v>769</v>
      </c>
      <c r="K413" s="12">
        <f>Store_Record[[#This Row],[Qty]]*Store_Record[[#This Row],[UnitPriceGBP]]</f>
        <v>6.6000000000000005</v>
      </c>
      <c r="L413" s="5" t="str">
        <f>TEXT(Store_Record[[#This Row],[Date]],"dddd")</f>
        <v>Thursday</v>
      </c>
      <c r="M413" s="5" t="str">
        <f>TEXT(Store_Record[[#This Row],[Date]],"mmmm")</f>
        <v>January</v>
      </c>
      <c r="N413" s="5">
        <f>YEAR(Store_Record[[#This Row],[Date]])</f>
        <v>2025</v>
      </c>
      <c r="O413"/>
    </row>
    <row r="414" spans="1:15" x14ac:dyDescent="0.35">
      <c r="A414" t="s">
        <v>754</v>
      </c>
      <c r="B414" s="2">
        <v>45687</v>
      </c>
      <c r="C414" t="s">
        <v>36</v>
      </c>
      <c r="D414" t="s">
        <v>47</v>
      </c>
      <c r="E414" t="s">
        <v>42</v>
      </c>
      <c r="F414" t="s">
        <v>13</v>
      </c>
      <c r="G414">
        <v>1</v>
      </c>
      <c r="H414">
        <v>3.8</v>
      </c>
      <c r="I414" t="s">
        <v>21</v>
      </c>
      <c r="J414" t="s">
        <v>755</v>
      </c>
      <c r="K414" s="12">
        <f>Store_Record[[#This Row],[Qty]]*Store_Record[[#This Row],[UnitPriceGBP]]</f>
        <v>3.8</v>
      </c>
      <c r="L414" s="5" t="str">
        <f>TEXT(Store_Record[[#This Row],[Date]],"dddd")</f>
        <v>Thursday</v>
      </c>
      <c r="M414" s="5" t="str">
        <f>TEXT(Store_Record[[#This Row],[Date]],"mmmm")</f>
        <v>January</v>
      </c>
      <c r="N414" s="5">
        <f>YEAR(Store_Record[[#This Row],[Date]])</f>
        <v>2025</v>
      </c>
      <c r="O414"/>
    </row>
    <row r="415" spans="1:15" x14ac:dyDescent="0.35">
      <c r="A415" t="s">
        <v>756</v>
      </c>
      <c r="B415" s="2">
        <v>45687</v>
      </c>
      <c r="C415" t="s">
        <v>24</v>
      </c>
      <c r="D415" t="s">
        <v>38</v>
      </c>
      <c r="E415" t="s">
        <v>42</v>
      </c>
      <c r="F415" t="s">
        <v>13</v>
      </c>
      <c r="G415">
        <v>1</v>
      </c>
      <c r="H415">
        <v>3.8</v>
      </c>
      <c r="I415" t="s">
        <v>39</v>
      </c>
      <c r="J415" t="s">
        <v>757</v>
      </c>
      <c r="K415" s="12">
        <f>Store_Record[[#This Row],[Qty]]*Store_Record[[#This Row],[UnitPriceGBP]]</f>
        <v>3.8</v>
      </c>
      <c r="L415" s="5" t="str">
        <f>TEXT(Store_Record[[#This Row],[Date]],"dddd")</f>
        <v>Thursday</v>
      </c>
      <c r="M415" s="5" t="str">
        <f>TEXT(Store_Record[[#This Row],[Date]],"mmmm")</f>
        <v>January</v>
      </c>
      <c r="N415" s="5">
        <f>YEAR(Store_Record[[#This Row],[Date]])</f>
        <v>2025</v>
      </c>
      <c r="O415"/>
    </row>
    <row r="416" spans="1:15" x14ac:dyDescent="0.35">
      <c r="A416" t="s">
        <v>777</v>
      </c>
      <c r="B416" s="2">
        <v>45687</v>
      </c>
      <c r="C416" t="s">
        <v>20</v>
      </c>
      <c r="D416" t="s">
        <v>25</v>
      </c>
      <c r="E416" t="s">
        <v>42</v>
      </c>
      <c r="F416" t="s">
        <v>13</v>
      </c>
      <c r="G416">
        <v>1</v>
      </c>
      <c r="H416">
        <v>3.8</v>
      </c>
      <c r="I416" t="s">
        <v>21</v>
      </c>
      <c r="J416" t="s">
        <v>778</v>
      </c>
      <c r="K416" s="12">
        <f>Store_Record[[#This Row],[Qty]]*Store_Record[[#This Row],[UnitPriceGBP]]</f>
        <v>3.8</v>
      </c>
      <c r="L416" s="5" t="str">
        <f>TEXT(Store_Record[[#This Row],[Date]],"dddd")</f>
        <v>Thursday</v>
      </c>
      <c r="M416" s="5" t="str">
        <f>TEXT(Store_Record[[#This Row],[Date]],"mmmm")</f>
        <v>January</v>
      </c>
      <c r="N416" s="5">
        <f>YEAR(Store_Record[[#This Row],[Date]])</f>
        <v>2025</v>
      </c>
      <c r="O416"/>
    </row>
    <row r="417" spans="1:15" x14ac:dyDescent="0.35">
      <c r="A417" t="s">
        <v>758</v>
      </c>
      <c r="B417" s="2">
        <v>45687</v>
      </c>
      <c r="C417" t="s">
        <v>24</v>
      </c>
      <c r="D417" t="s">
        <v>25</v>
      </c>
      <c r="E417" t="s">
        <v>34</v>
      </c>
      <c r="F417" t="s">
        <v>31</v>
      </c>
      <c r="G417">
        <v>1</v>
      </c>
      <c r="H417">
        <v>2.2000000000000002</v>
      </c>
      <c r="I417" t="s">
        <v>21</v>
      </c>
      <c r="J417" t="s">
        <v>759</v>
      </c>
      <c r="K417" s="12">
        <f>Store_Record[[#This Row],[Qty]]*Store_Record[[#This Row],[UnitPriceGBP]]</f>
        <v>2.2000000000000002</v>
      </c>
      <c r="L417" s="5" t="str">
        <f>TEXT(Store_Record[[#This Row],[Date]],"dddd")</f>
        <v>Thursday</v>
      </c>
      <c r="M417" s="5" t="str">
        <f>TEXT(Store_Record[[#This Row],[Date]],"mmmm")</f>
        <v>January</v>
      </c>
      <c r="N417" s="5">
        <f>YEAR(Store_Record[[#This Row],[Date]])</f>
        <v>2025</v>
      </c>
      <c r="O417"/>
    </row>
    <row r="418" spans="1:15" x14ac:dyDescent="0.35">
      <c r="A418" t="s">
        <v>772</v>
      </c>
      <c r="B418" s="2">
        <v>45687</v>
      </c>
      <c r="C418" t="s">
        <v>36</v>
      </c>
      <c r="D418" t="s">
        <v>38</v>
      </c>
      <c r="E418" t="s">
        <v>34</v>
      </c>
      <c r="F418" t="s">
        <v>31</v>
      </c>
      <c r="G418">
        <v>1</v>
      </c>
      <c r="H418">
        <v>2.2000000000000002</v>
      </c>
      <c r="I418" t="s">
        <v>39</v>
      </c>
      <c r="J418" t="s">
        <v>545</v>
      </c>
      <c r="K418" s="12">
        <f>Store_Record[[#This Row],[Qty]]*Store_Record[[#This Row],[UnitPriceGBP]]</f>
        <v>2.2000000000000002</v>
      </c>
      <c r="L418" s="5" t="str">
        <f>TEXT(Store_Record[[#This Row],[Date]],"dddd")</f>
        <v>Thursday</v>
      </c>
      <c r="M418" s="5" t="str">
        <f>TEXT(Store_Record[[#This Row],[Date]],"mmmm")</f>
        <v>January</v>
      </c>
      <c r="N418" s="5">
        <f>YEAR(Store_Record[[#This Row],[Date]])</f>
        <v>2025</v>
      </c>
      <c r="O418"/>
    </row>
    <row r="419" spans="1:15" x14ac:dyDescent="0.35">
      <c r="A419" t="s">
        <v>798</v>
      </c>
      <c r="B419" s="2">
        <v>45688</v>
      </c>
      <c r="C419" t="s">
        <v>20</v>
      </c>
      <c r="D419" t="s">
        <v>29</v>
      </c>
      <c r="E419" t="s">
        <v>42</v>
      </c>
      <c r="F419" t="s">
        <v>13</v>
      </c>
      <c r="G419">
        <v>4</v>
      </c>
      <c r="H419">
        <v>3.8</v>
      </c>
      <c r="I419" t="s">
        <v>39</v>
      </c>
      <c r="J419" t="s">
        <v>799</v>
      </c>
      <c r="K419" s="12">
        <f>Store_Record[[#This Row],[Qty]]*Store_Record[[#This Row],[UnitPriceGBP]]</f>
        <v>15.2</v>
      </c>
      <c r="L419" s="5" t="str">
        <f>TEXT(Store_Record[[#This Row],[Date]],"dddd")</f>
        <v>Friday</v>
      </c>
      <c r="M419" s="5" t="str">
        <f>TEXT(Store_Record[[#This Row],[Date]],"mmmm")</f>
        <v>January</v>
      </c>
      <c r="N419" s="5">
        <f>YEAR(Store_Record[[#This Row],[Date]])</f>
        <v>2025</v>
      </c>
      <c r="O419"/>
    </row>
    <row r="420" spans="1:15" x14ac:dyDescent="0.35">
      <c r="A420" t="s">
        <v>794</v>
      </c>
      <c r="B420" s="2">
        <v>45688</v>
      </c>
      <c r="C420" t="s">
        <v>24</v>
      </c>
      <c r="D420" t="s">
        <v>29</v>
      </c>
      <c r="E420" t="s">
        <v>30</v>
      </c>
      <c r="F420" t="s">
        <v>31</v>
      </c>
      <c r="G420">
        <v>5</v>
      </c>
      <c r="H420">
        <v>2.8</v>
      </c>
      <c r="I420" t="s">
        <v>21</v>
      </c>
      <c r="J420" t="s">
        <v>795</v>
      </c>
      <c r="K420" s="12">
        <f>Store_Record[[#This Row],[Qty]]*Store_Record[[#This Row],[UnitPriceGBP]]</f>
        <v>14</v>
      </c>
      <c r="L420" s="5" t="str">
        <f>TEXT(Store_Record[[#This Row],[Date]],"dddd")</f>
        <v>Friday</v>
      </c>
      <c r="M420" s="5" t="str">
        <f>TEXT(Store_Record[[#This Row],[Date]],"mmmm")</f>
        <v>January</v>
      </c>
      <c r="N420" s="5">
        <f>YEAR(Store_Record[[#This Row],[Date]])</f>
        <v>2025</v>
      </c>
      <c r="O420"/>
    </row>
    <row r="421" spans="1:15" x14ac:dyDescent="0.35">
      <c r="A421" t="s">
        <v>796</v>
      </c>
      <c r="B421" s="2">
        <v>45688</v>
      </c>
      <c r="C421" t="s">
        <v>10</v>
      </c>
      <c r="D421" t="s">
        <v>47</v>
      </c>
      <c r="E421" t="s">
        <v>26</v>
      </c>
      <c r="F421" t="s">
        <v>13</v>
      </c>
      <c r="G421">
        <v>4</v>
      </c>
      <c r="H421">
        <v>3.5</v>
      </c>
      <c r="I421" t="s">
        <v>14</v>
      </c>
      <c r="J421" t="s">
        <v>797</v>
      </c>
      <c r="K421" s="12">
        <f>Store_Record[[#This Row],[Qty]]*Store_Record[[#This Row],[UnitPriceGBP]]</f>
        <v>14</v>
      </c>
      <c r="L421" s="5" t="str">
        <f>TEXT(Store_Record[[#This Row],[Date]],"dddd")</f>
        <v>Friday</v>
      </c>
      <c r="M421" s="5" t="str">
        <f>TEXT(Store_Record[[#This Row],[Date]],"mmmm")</f>
        <v>January</v>
      </c>
      <c r="N421" s="5">
        <f>YEAR(Store_Record[[#This Row],[Date]])</f>
        <v>2025</v>
      </c>
      <c r="O421"/>
    </row>
    <row r="422" spans="1:15" x14ac:dyDescent="0.35">
      <c r="A422" t="s">
        <v>801</v>
      </c>
      <c r="B422" s="2">
        <v>45688</v>
      </c>
      <c r="C422" t="s">
        <v>10</v>
      </c>
      <c r="D422" t="s">
        <v>29</v>
      </c>
      <c r="E422" t="s">
        <v>42</v>
      </c>
      <c r="F422" t="s">
        <v>13</v>
      </c>
      <c r="G422">
        <v>3</v>
      </c>
      <c r="H422">
        <v>3.8</v>
      </c>
      <c r="I422" t="s">
        <v>21</v>
      </c>
      <c r="J422" t="s">
        <v>802</v>
      </c>
      <c r="K422" s="12">
        <f>Store_Record[[#This Row],[Qty]]*Store_Record[[#This Row],[UnitPriceGBP]]</f>
        <v>11.399999999999999</v>
      </c>
      <c r="L422" s="5" t="str">
        <f>TEXT(Store_Record[[#This Row],[Date]],"dddd")</f>
        <v>Friday</v>
      </c>
      <c r="M422" s="5" t="str">
        <f>TEXT(Store_Record[[#This Row],[Date]],"mmmm")</f>
        <v>January</v>
      </c>
      <c r="N422" s="5">
        <f>YEAR(Store_Record[[#This Row],[Date]])</f>
        <v>2025</v>
      </c>
      <c r="O422"/>
    </row>
    <row r="423" spans="1:15" x14ac:dyDescent="0.35">
      <c r="A423" t="s">
        <v>800</v>
      </c>
      <c r="B423" s="2">
        <v>45688</v>
      </c>
      <c r="C423" t="s">
        <v>10</v>
      </c>
      <c r="D423" t="s">
        <v>38</v>
      </c>
      <c r="E423" t="s">
        <v>26</v>
      </c>
      <c r="F423" t="s">
        <v>13</v>
      </c>
      <c r="G423">
        <v>3</v>
      </c>
      <c r="H423">
        <v>3.5</v>
      </c>
      <c r="I423" t="s">
        <v>21</v>
      </c>
      <c r="J423" t="s">
        <v>757</v>
      </c>
      <c r="K423" s="12">
        <f>Store_Record[[#This Row],[Qty]]*Store_Record[[#This Row],[UnitPriceGBP]]</f>
        <v>10.5</v>
      </c>
      <c r="L423" s="5" t="str">
        <f>TEXT(Store_Record[[#This Row],[Date]],"dddd")</f>
        <v>Friday</v>
      </c>
      <c r="M423" s="5" t="str">
        <f>TEXT(Store_Record[[#This Row],[Date]],"mmmm")</f>
        <v>January</v>
      </c>
      <c r="N423" s="5">
        <f>YEAR(Store_Record[[#This Row],[Date]])</f>
        <v>2025</v>
      </c>
      <c r="O423"/>
    </row>
    <row r="424" spans="1:15" x14ac:dyDescent="0.35">
      <c r="A424" t="s">
        <v>783</v>
      </c>
      <c r="B424" s="2">
        <v>45688</v>
      </c>
      <c r="C424" t="s">
        <v>10</v>
      </c>
      <c r="D424" t="s">
        <v>25</v>
      </c>
      <c r="E424" t="s">
        <v>34</v>
      </c>
      <c r="F424" t="s">
        <v>31</v>
      </c>
      <c r="G424">
        <v>4</v>
      </c>
      <c r="H424">
        <v>2.2000000000000002</v>
      </c>
      <c r="I424" t="s">
        <v>39</v>
      </c>
      <c r="J424" t="s">
        <v>784</v>
      </c>
      <c r="K424" s="12">
        <f>Store_Record[[#This Row],[Qty]]*Store_Record[[#This Row],[UnitPriceGBP]]</f>
        <v>8.8000000000000007</v>
      </c>
      <c r="L424" s="5" t="str">
        <f>TEXT(Store_Record[[#This Row],[Date]],"dddd")</f>
        <v>Friday</v>
      </c>
      <c r="M424" s="5" t="str">
        <f>TEXT(Store_Record[[#This Row],[Date]],"mmmm")</f>
        <v>January</v>
      </c>
      <c r="N424" s="5">
        <f>YEAR(Store_Record[[#This Row],[Date]])</f>
        <v>2025</v>
      </c>
      <c r="O424"/>
    </row>
    <row r="425" spans="1:15" x14ac:dyDescent="0.35">
      <c r="A425" t="s">
        <v>792</v>
      </c>
      <c r="B425" s="2">
        <v>45688</v>
      </c>
      <c r="C425" t="s">
        <v>24</v>
      </c>
      <c r="D425" t="s">
        <v>47</v>
      </c>
      <c r="E425" t="s">
        <v>34</v>
      </c>
      <c r="F425" t="s">
        <v>31</v>
      </c>
      <c r="G425">
        <v>4</v>
      </c>
      <c r="H425">
        <v>2.2000000000000002</v>
      </c>
      <c r="I425" t="s">
        <v>39</v>
      </c>
      <c r="J425" t="s">
        <v>241</v>
      </c>
      <c r="K425" s="12">
        <f>Store_Record[[#This Row],[Qty]]*Store_Record[[#This Row],[UnitPriceGBP]]</f>
        <v>8.8000000000000007</v>
      </c>
      <c r="L425" s="5" t="str">
        <f>TEXT(Store_Record[[#This Row],[Date]],"dddd")</f>
        <v>Friday</v>
      </c>
      <c r="M425" s="5" t="str">
        <f>TEXT(Store_Record[[#This Row],[Date]],"mmmm")</f>
        <v>January</v>
      </c>
      <c r="N425" s="5">
        <f>YEAR(Store_Record[[#This Row],[Date]])</f>
        <v>2025</v>
      </c>
      <c r="O425"/>
    </row>
    <row r="426" spans="1:15" x14ac:dyDescent="0.35">
      <c r="A426" t="s">
        <v>785</v>
      </c>
      <c r="B426" s="2">
        <v>45688</v>
      </c>
      <c r="C426" t="s">
        <v>36</v>
      </c>
      <c r="D426" t="s">
        <v>38</v>
      </c>
      <c r="E426" t="s">
        <v>12</v>
      </c>
      <c r="F426" t="s">
        <v>13</v>
      </c>
      <c r="G426">
        <v>3</v>
      </c>
      <c r="H426">
        <v>2.5</v>
      </c>
      <c r="I426" t="s">
        <v>14</v>
      </c>
      <c r="J426" t="s">
        <v>786</v>
      </c>
      <c r="K426" s="12">
        <f>Store_Record[[#This Row],[Qty]]*Store_Record[[#This Row],[UnitPriceGBP]]</f>
        <v>7.5</v>
      </c>
      <c r="L426" s="5" t="str">
        <f>TEXT(Store_Record[[#This Row],[Date]],"dddd")</f>
        <v>Friday</v>
      </c>
      <c r="M426" s="5" t="str">
        <f>TEXT(Store_Record[[#This Row],[Date]],"mmmm")</f>
        <v>January</v>
      </c>
      <c r="N426" s="5">
        <f>YEAR(Store_Record[[#This Row],[Date]])</f>
        <v>2025</v>
      </c>
      <c r="O426"/>
    </row>
    <row r="427" spans="1:15" x14ac:dyDescent="0.35">
      <c r="A427" t="s">
        <v>789</v>
      </c>
      <c r="B427" s="2">
        <v>45688</v>
      </c>
      <c r="C427" t="s">
        <v>36</v>
      </c>
      <c r="D427" t="s">
        <v>38</v>
      </c>
      <c r="E427" t="s">
        <v>30</v>
      </c>
      <c r="F427" t="s">
        <v>31</v>
      </c>
      <c r="G427">
        <v>2</v>
      </c>
      <c r="H427">
        <v>2.8</v>
      </c>
      <c r="I427" t="s">
        <v>21</v>
      </c>
      <c r="J427" t="s">
        <v>790</v>
      </c>
      <c r="K427" s="12">
        <f>Store_Record[[#This Row],[Qty]]*Store_Record[[#This Row],[UnitPriceGBP]]</f>
        <v>5.6</v>
      </c>
      <c r="L427" s="5" t="str">
        <f>TEXT(Store_Record[[#This Row],[Date]],"dddd")</f>
        <v>Friday</v>
      </c>
      <c r="M427" s="5" t="str">
        <f>TEXT(Store_Record[[#This Row],[Date]],"mmmm")</f>
        <v>January</v>
      </c>
      <c r="N427" s="5">
        <f>YEAR(Store_Record[[#This Row],[Date]])</f>
        <v>2025</v>
      </c>
      <c r="O427"/>
    </row>
    <row r="428" spans="1:15" x14ac:dyDescent="0.35">
      <c r="A428" t="s">
        <v>787</v>
      </c>
      <c r="B428" s="2">
        <v>45688</v>
      </c>
      <c r="C428" t="s">
        <v>10</v>
      </c>
      <c r="D428" t="s">
        <v>47</v>
      </c>
      <c r="E428" t="s">
        <v>34</v>
      </c>
      <c r="F428" t="s">
        <v>31</v>
      </c>
      <c r="G428">
        <v>2</v>
      </c>
      <c r="H428">
        <v>2.2000000000000002</v>
      </c>
      <c r="I428" t="s">
        <v>39</v>
      </c>
      <c r="J428" t="s">
        <v>788</v>
      </c>
      <c r="K428" s="12">
        <f>Store_Record[[#This Row],[Qty]]*Store_Record[[#This Row],[UnitPriceGBP]]</f>
        <v>4.4000000000000004</v>
      </c>
      <c r="L428" s="5" t="str">
        <f>TEXT(Store_Record[[#This Row],[Date]],"dddd")</f>
        <v>Friday</v>
      </c>
      <c r="M428" s="5" t="str">
        <f>TEXT(Store_Record[[#This Row],[Date]],"mmmm")</f>
        <v>January</v>
      </c>
      <c r="N428" s="5">
        <f>YEAR(Store_Record[[#This Row],[Date]])</f>
        <v>2025</v>
      </c>
      <c r="O428"/>
    </row>
    <row r="429" spans="1:15" x14ac:dyDescent="0.35">
      <c r="A429" t="s">
        <v>803</v>
      </c>
      <c r="B429" s="2">
        <v>45688</v>
      </c>
      <c r="C429" t="s">
        <v>24</v>
      </c>
      <c r="D429" t="s">
        <v>29</v>
      </c>
      <c r="E429" t="s">
        <v>42</v>
      </c>
      <c r="F429" t="s">
        <v>13</v>
      </c>
      <c r="G429">
        <v>1</v>
      </c>
      <c r="H429">
        <v>3.8</v>
      </c>
      <c r="I429" t="s">
        <v>21</v>
      </c>
      <c r="J429" t="s">
        <v>804</v>
      </c>
      <c r="K429" s="12">
        <f>Store_Record[[#This Row],[Qty]]*Store_Record[[#This Row],[UnitPriceGBP]]</f>
        <v>3.8</v>
      </c>
      <c r="L429" s="5" t="str">
        <f>TEXT(Store_Record[[#This Row],[Date]],"dddd")</f>
        <v>Friday</v>
      </c>
      <c r="M429" s="5" t="str">
        <f>TEXT(Store_Record[[#This Row],[Date]],"mmmm")</f>
        <v>January</v>
      </c>
      <c r="N429" s="5">
        <f>YEAR(Store_Record[[#This Row],[Date]])</f>
        <v>2025</v>
      </c>
      <c r="O429"/>
    </row>
    <row r="430" spans="1:15" x14ac:dyDescent="0.35">
      <c r="A430" t="s">
        <v>791</v>
      </c>
      <c r="B430" s="2">
        <v>45688</v>
      </c>
      <c r="C430" t="s">
        <v>20</v>
      </c>
      <c r="D430" t="s">
        <v>11</v>
      </c>
      <c r="E430" t="s">
        <v>26</v>
      </c>
      <c r="F430" t="s">
        <v>13</v>
      </c>
      <c r="G430">
        <v>1</v>
      </c>
      <c r="H430">
        <v>3.5</v>
      </c>
      <c r="I430" t="s">
        <v>14</v>
      </c>
      <c r="J430" t="s">
        <v>782</v>
      </c>
      <c r="K430" s="12">
        <f>Store_Record[[#This Row],[Qty]]*Store_Record[[#This Row],[UnitPriceGBP]]</f>
        <v>3.5</v>
      </c>
      <c r="L430" s="5" t="str">
        <f>TEXT(Store_Record[[#This Row],[Date]],"dddd")</f>
        <v>Friday</v>
      </c>
      <c r="M430" s="5" t="str">
        <f>TEXT(Store_Record[[#This Row],[Date]],"mmmm")</f>
        <v>January</v>
      </c>
      <c r="N430" s="5">
        <f>YEAR(Store_Record[[#This Row],[Date]])</f>
        <v>2025</v>
      </c>
      <c r="O430"/>
    </row>
    <row r="431" spans="1:15" x14ac:dyDescent="0.35">
      <c r="A431" t="s">
        <v>805</v>
      </c>
      <c r="B431" s="2">
        <v>45688</v>
      </c>
      <c r="C431" t="s">
        <v>24</v>
      </c>
      <c r="D431" t="s">
        <v>25</v>
      </c>
      <c r="E431" t="s">
        <v>30</v>
      </c>
      <c r="F431" t="s">
        <v>31</v>
      </c>
      <c r="G431">
        <v>1</v>
      </c>
      <c r="H431">
        <v>2.8</v>
      </c>
      <c r="I431" t="s">
        <v>14</v>
      </c>
      <c r="J431" t="s">
        <v>806</v>
      </c>
      <c r="K431" s="12">
        <f>Store_Record[[#This Row],[Qty]]*Store_Record[[#This Row],[UnitPriceGBP]]</f>
        <v>2.8</v>
      </c>
      <c r="L431" s="5" t="str">
        <f>TEXT(Store_Record[[#This Row],[Date]],"dddd")</f>
        <v>Friday</v>
      </c>
      <c r="M431" s="5" t="str">
        <f>TEXT(Store_Record[[#This Row],[Date]],"mmmm")</f>
        <v>January</v>
      </c>
      <c r="N431" s="5">
        <f>YEAR(Store_Record[[#This Row],[Date]])</f>
        <v>2025</v>
      </c>
      <c r="O431"/>
    </row>
    <row r="432" spans="1:15" x14ac:dyDescent="0.35">
      <c r="A432" t="s">
        <v>793</v>
      </c>
      <c r="B432" s="2">
        <v>45688</v>
      </c>
      <c r="C432" t="s">
        <v>10</v>
      </c>
      <c r="D432" t="s">
        <v>25</v>
      </c>
      <c r="E432" t="s">
        <v>12</v>
      </c>
      <c r="F432" t="s">
        <v>13</v>
      </c>
      <c r="G432">
        <v>1</v>
      </c>
      <c r="H432">
        <v>2.5</v>
      </c>
      <c r="I432" t="s">
        <v>21</v>
      </c>
      <c r="J432" t="s">
        <v>612</v>
      </c>
      <c r="K432" s="12">
        <f>Store_Record[[#This Row],[Qty]]*Store_Record[[#This Row],[UnitPriceGBP]]</f>
        <v>2.5</v>
      </c>
      <c r="L432" s="5" t="str">
        <f>TEXT(Store_Record[[#This Row],[Date]],"dddd")</f>
        <v>Friday</v>
      </c>
      <c r="M432" s="5" t="str">
        <f>TEXT(Store_Record[[#This Row],[Date]],"mmmm")</f>
        <v>January</v>
      </c>
      <c r="N432" s="5">
        <f>YEAR(Store_Record[[#This Row],[Date]])</f>
        <v>2025</v>
      </c>
      <c r="O432"/>
    </row>
    <row r="433" spans="1:15" x14ac:dyDescent="0.35">
      <c r="A433" t="s">
        <v>829</v>
      </c>
      <c r="B433" s="2">
        <v>45689</v>
      </c>
      <c r="C433" t="s">
        <v>24</v>
      </c>
      <c r="D433" t="s">
        <v>38</v>
      </c>
      <c r="E433" t="s">
        <v>42</v>
      </c>
      <c r="F433" t="s">
        <v>13</v>
      </c>
      <c r="G433">
        <v>5</v>
      </c>
      <c r="H433">
        <v>3.8</v>
      </c>
      <c r="I433" t="s">
        <v>14</v>
      </c>
      <c r="J433" t="s">
        <v>830</v>
      </c>
      <c r="K433" s="12">
        <f>Store_Record[[#This Row],[Qty]]*Store_Record[[#This Row],[UnitPriceGBP]]</f>
        <v>19</v>
      </c>
      <c r="L433" s="5" t="str">
        <f>TEXT(Store_Record[[#This Row],[Date]],"dddd")</f>
        <v>Saturday</v>
      </c>
      <c r="M433" s="5" t="str">
        <f>TEXT(Store_Record[[#This Row],[Date]],"mmmm")</f>
        <v>February</v>
      </c>
      <c r="N433" s="5">
        <f>YEAR(Store_Record[[#This Row],[Date]])</f>
        <v>2025</v>
      </c>
      <c r="O433"/>
    </row>
    <row r="434" spans="1:15" x14ac:dyDescent="0.35">
      <c r="A434" t="s">
        <v>818</v>
      </c>
      <c r="B434" s="2">
        <v>45689</v>
      </c>
      <c r="C434" t="s">
        <v>36</v>
      </c>
      <c r="D434" t="s">
        <v>25</v>
      </c>
      <c r="E434" t="s">
        <v>26</v>
      </c>
      <c r="F434" t="s">
        <v>13</v>
      </c>
      <c r="G434">
        <v>5</v>
      </c>
      <c r="H434">
        <v>3.5</v>
      </c>
      <c r="I434" t="s">
        <v>39</v>
      </c>
      <c r="J434" t="s">
        <v>819</v>
      </c>
      <c r="K434" s="12">
        <f>Store_Record[[#This Row],[Qty]]*Store_Record[[#This Row],[UnitPriceGBP]]</f>
        <v>17.5</v>
      </c>
      <c r="L434" s="5" t="str">
        <f>TEXT(Store_Record[[#This Row],[Date]],"dddd")</f>
        <v>Saturday</v>
      </c>
      <c r="M434" s="5" t="str">
        <f>TEXT(Store_Record[[#This Row],[Date]],"mmmm")</f>
        <v>February</v>
      </c>
      <c r="N434" s="5">
        <f>YEAR(Store_Record[[#This Row],[Date]])</f>
        <v>2025</v>
      </c>
      <c r="O434"/>
    </row>
    <row r="435" spans="1:15" x14ac:dyDescent="0.35">
      <c r="A435" t="s">
        <v>810</v>
      </c>
      <c r="B435" s="2">
        <v>45689</v>
      </c>
      <c r="C435" t="s">
        <v>20</v>
      </c>
      <c r="D435" t="s">
        <v>25</v>
      </c>
      <c r="E435" t="s">
        <v>42</v>
      </c>
      <c r="F435" t="s">
        <v>13</v>
      </c>
      <c r="G435">
        <v>3</v>
      </c>
      <c r="H435">
        <v>3.8</v>
      </c>
      <c r="I435" t="s">
        <v>39</v>
      </c>
      <c r="J435" t="s">
        <v>811</v>
      </c>
      <c r="K435" s="12">
        <f>Store_Record[[#This Row],[Qty]]*Store_Record[[#This Row],[UnitPriceGBP]]</f>
        <v>11.399999999999999</v>
      </c>
      <c r="L435" s="5" t="str">
        <f>TEXT(Store_Record[[#This Row],[Date]],"dddd")</f>
        <v>Saturday</v>
      </c>
      <c r="M435" s="5" t="str">
        <f>TEXT(Store_Record[[#This Row],[Date]],"mmmm")</f>
        <v>February</v>
      </c>
      <c r="N435" s="5">
        <f>YEAR(Store_Record[[#This Row],[Date]])</f>
        <v>2025</v>
      </c>
      <c r="O435"/>
    </row>
    <row r="436" spans="1:15" x14ac:dyDescent="0.35">
      <c r="A436" t="s">
        <v>812</v>
      </c>
      <c r="B436" s="2">
        <v>45689</v>
      </c>
      <c r="C436" t="s">
        <v>36</v>
      </c>
      <c r="D436" t="s">
        <v>11</v>
      </c>
      <c r="E436" t="s">
        <v>42</v>
      </c>
      <c r="F436" t="s">
        <v>13</v>
      </c>
      <c r="G436">
        <v>3</v>
      </c>
      <c r="H436">
        <v>3.8</v>
      </c>
      <c r="I436" t="s">
        <v>21</v>
      </c>
      <c r="J436" t="s">
        <v>813</v>
      </c>
      <c r="K436" s="12">
        <f>Store_Record[[#This Row],[Qty]]*Store_Record[[#This Row],[UnitPriceGBP]]</f>
        <v>11.399999999999999</v>
      </c>
      <c r="L436" s="5" t="str">
        <f>TEXT(Store_Record[[#This Row],[Date]],"dddd")</f>
        <v>Saturday</v>
      </c>
      <c r="M436" s="5" t="str">
        <f>TEXT(Store_Record[[#This Row],[Date]],"mmmm")</f>
        <v>February</v>
      </c>
      <c r="N436" s="5">
        <f>YEAR(Store_Record[[#This Row],[Date]])</f>
        <v>2025</v>
      </c>
      <c r="O436"/>
    </row>
    <row r="437" spans="1:15" x14ac:dyDescent="0.35">
      <c r="A437" t="s">
        <v>835</v>
      </c>
      <c r="B437" s="2">
        <v>45689</v>
      </c>
      <c r="C437" t="s">
        <v>10</v>
      </c>
      <c r="D437" t="s">
        <v>38</v>
      </c>
      <c r="E437" t="s">
        <v>30</v>
      </c>
      <c r="F437" t="s">
        <v>31</v>
      </c>
      <c r="G437">
        <v>4</v>
      </c>
      <c r="H437">
        <v>2.8</v>
      </c>
      <c r="I437" t="s">
        <v>39</v>
      </c>
      <c r="J437" t="s">
        <v>836</v>
      </c>
      <c r="K437" s="12">
        <f>Store_Record[[#This Row],[Qty]]*Store_Record[[#This Row],[UnitPriceGBP]]</f>
        <v>11.2</v>
      </c>
      <c r="L437" s="5" t="str">
        <f>TEXT(Store_Record[[#This Row],[Date]],"dddd")</f>
        <v>Saturday</v>
      </c>
      <c r="M437" s="5" t="str">
        <f>TEXT(Store_Record[[#This Row],[Date]],"mmmm")</f>
        <v>February</v>
      </c>
      <c r="N437" s="5">
        <f>YEAR(Store_Record[[#This Row],[Date]])</f>
        <v>2025</v>
      </c>
      <c r="O437"/>
    </row>
    <row r="438" spans="1:15" x14ac:dyDescent="0.35">
      <c r="A438" t="s">
        <v>809</v>
      </c>
      <c r="B438" s="2">
        <v>45689</v>
      </c>
      <c r="C438" t="s">
        <v>36</v>
      </c>
      <c r="D438" t="s">
        <v>38</v>
      </c>
      <c r="E438" t="s">
        <v>34</v>
      </c>
      <c r="F438" t="s">
        <v>31</v>
      </c>
      <c r="G438">
        <v>5</v>
      </c>
      <c r="H438">
        <v>2.2000000000000002</v>
      </c>
      <c r="I438" t="s">
        <v>21</v>
      </c>
      <c r="J438" t="s">
        <v>541</v>
      </c>
      <c r="K438" s="12">
        <f>Store_Record[[#This Row],[Qty]]*Store_Record[[#This Row],[UnitPriceGBP]]</f>
        <v>11</v>
      </c>
      <c r="L438" s="5" t="str">
        <f>TEXT(Store_Record[[#This Row],[Date]],"dddd")</f>
        <v>Saturday</v>
      </c>
      <c r="M438" s="5" t="str">
        <f>TEXT(Store_Record[[#This Row],[Date]],"mmmm")</f>
        <v>February</v>
      </c>
      <c r="N438" s="5">
        <f>YEAR(Store_Record[[#This Row],[Date]])</f>
        <v>2025</v>
      </c>
      <c r="O438"/>
    </row>
    <row r="439" spans="1:15" x14ac:dyDescent="0.35">
      <c r="A439" t="s">
        <v>826</v>
      </c>
      <c r="B439" s="2">
        <v>45689</v>
      </c>
      <c r="C439" t="s">
        <v>36</v>
      </c>
      <c r="D439" t="s">
        <v>25</v>
      </c>
      <c r="E439" t="s">
        <v>26</v>
      </c>
      <c r="F439" t="s">
        <v>13</v>
      </c>
      <c r="G439">
        <v>3</v>
      </c>
      <c r="H439">
        <v>3.5</v>
      </c>
      <c r="I439" t="s">
        <v>14</v>
      </c>
      <c r="J439" t="s">
        <v>827</v>
      </c>
      <c r="K439" s="12">
        <f>Store_Record[[#This Row],[Qty]]*Store_Record[[#This Row],[UnitPriceGBP]]</f>
        <v>10.5</v>
      </c>
      <c r="L439" s="5" t="str">
        <f>TEXT(Store_Record[[#This Row],[Date]],"dddd")</f>
        <v>Saturday</v>
      </c>
      <c r="M439" s="5" t="str">
        <f>TEXT(Store_Record[[#This Row],[Date]],"mmmm")</f>
        <v>February</v>
      </c>
      <c r="N439" s="5">
        <f>YEAR(Store_Record[[#This Row],[Date]])</f>
        <v>2025</v>
      </c>
      <c r="O439"/>
    </row>
    <row r="440" spans="1:15" x14ac:dyDescent="0.35">
      <c r="A440" t="s">
        <v>814</v>
      </c>
      <c r="B440" s="2">
        <v>45689</v>
      </c>
      <c r="C440" t="s">
        <v>20</v>
      </c>
      <c r="D440" t="s">
        <v>38</v>
      </c>
      <c r="E440" t="s">
        <v>12</v>
      </c>
      <c r="F440" t="s">
        <v>13</v>
      </c>
      <c r="G440">
        <v>4</v>
      </c>
      <c r="H440">
        <v>2.5</v>
      </c>
      <c r="I440" t="s">
        <v>21</v>
      </c>
      <c r="J440" t="s">
        <v>815</v>
      </c>
      <c r="K440" s="12">
        <f>Store_Record[[#This Row],[Qty]]*Store_Record[[#This Row],[UnitPriceGBP]]</f>
        <v>10</v>
      </c>
      <c r="L440" s="5" t="str">
        <f>TEXT(Store_Record[[#This Row],[Date]],"dddd")</f>
        <v>Saturday</v>
      </c>
      <c r="M440" s="5" t="str">
        <f>TEXT(Store_Record[[#This Row],[Date]],"mmmm")</f>
        <v>February</v>
      </c>
      <c r="N440" s="5">
        <f>YEAR(Store_Record[[#This Row],[Date]])</f>
        <v>2025</v>
      </c>
      <c r="O440"/>
    </row>
    <row r="441" spans="1:15" x14ac:dyDescent="0.35">
      <c r="A441" t="s">
        <v>821</v>
      </c>
      <c r="B441" s="2">
        <v>45689</v>
      </c>
      <c r="C441" t="s">
        <v>20</v>
      </c>
      <c r="D441" t="s">
        <v>11</v>
      </c>
      <c r="E441" t="s">
        <v>34</v>
      </c>
      <c r="F441" t="s">
        <v>31</v>
      </c>
      <c r="G441">
        <v>4</v>
      </c>
      <c r="H441">
        <v>2.2000000000000002</v>
      </c>
      <c r="I441" t="s">
        <v>14</v>
      </c>
      <c r="J441" t="s">
        <v>187</v>
      </c>
      <c r="K441" s="12">
        <f>Store_Record[[#This Row],[Qty]]*Store_Record[[#This Row],[UnitPriceGBP]]</f>
        <v>8.8000000000000007</v>
      </c>
      <c r="L441" s="5" t="str">
        <f>TEXT(Store_Record[[#This Row],[Date]],"dddd")</f>
        <v>Saturday</v>
      </c>
      <c r="M441" s="5" t="str">
        <f>TEXT(Store_Record[[#This Row],[Date]],"mmmm")</f>
        <v>February</v>
      </c>
      <c r="N441" s="5">
        <f>YEAR(Store_Record[[#This Row],[Date]])</f>
        <v>2025</v>
      </c>
      <c r="O441"/>
    </row>
    <row r="442" spans="1:15" x14ac:dyDescent="0.35">
      <c r="A442" t="s">
        <v>828</v>
      </c>
      <c r="B442" s="2">
        <v>45689</v>
      </c>
      <c r="C442" t="s">
        <v>36</v>
      </c>
      <c r="D442" t="s">
        <v>11</v>
      </c>
      <c r="E442" t="s">
        <v>30</v>
      </c>
      <c r="F442" t="s">
        <v>31</v>
      </c>
      <c r="G442">
        <v>3</v>
      </c>
      <c r="H442">
        <v>2.8</v>
      </c>
      <c r="I442" t="s">
        <v>14</v>
      </c>
      <c r="J442" t="s">
        <v>563</v>
      </c>
      <c r="K442" s="12">
        <f>Store_Record[[#This Row],[Qty]]*Store_Record[[#This Row],[UnitPriceGBP]]</f>
        <v>8.3999999999999986</v>
      </c>
      <c r="L442" s="5" t="str">
        <f>TEXT(Store_Record[[#This Row],[Date]],"dddd")</f>
        <v>Saturday</v>
      </c>
      <c r="M442" s="5" t="str">
        <f>TEXT(Store_Record[[#This Row],[Date]],"mmmm")</f>
        <v>February</v>
      </c>
      <c r="N442" s="5">
        <f>YEAR(Store_Record[[#This Row],[Date]])</f>
        <v>2025</v>
      </c>
      <c r="O442"/>
    </row>
    <row r="443" spans="1:15" x14ac:dyDescent="0.35">
      <c r="A443" t="s">
        <v>807</v>
      </c>
      <c r="B443" s="2">
        <v>45689</v>
      </c>
      <c r="C443" t="s">
        <v>24</v>
      </c>
      <c r="D443" t="s">
        <v>29</v>
      </c>
      <c r="E443" t="s">
        <v>42</v>
      </c>
      <c r="F443" t="s">
        <v>13</v>
      </c>
      <c r="G443">
        <v>2</v>
      </c>
      <c r="H443">
        <v>3.8</v>
      </c>
      <c r="I443" t="s">
        <v>21</v>
      </c>
      <c r="J443" t="s">
        <v>808</v>
      </c>
      <c r="K443" s="12">
        <f>Store_Record[[#This Row],[Qty]]*Store_Record[[#This Row],[UnitPriceGBP]]</f>
        <v>7.6</v>
      </c>
      <c r="L443" s="5" t="str">
        <f>TEXT(Store_Record[[#This Row],[Date]],"dddd")</f>
        <v>Saturday</v>
      </c>
      <c r="M443" s="5" t="str">
        <f>TEXT(Store_Record[[#This Row],[Date]],"mmmm")</f>
        <v>February</v>
      </c>
      <c r="N443" s="5">
        <f>YEAR(Store_Record[[#This Row],[Date]])</f>
        <v>2025</v>
      </c>
      <c r="O443"/>
    </row>
    <row r="444" spans="1:15" x14ac:dyDescent="0.35">
      <c r="A444" t="s">
        <v>820</v>
      </c>
      <c r="B444" s="2">
        <v>45689</v>
      </c>
      <c r="C444" t="s">
        <v>20</v>
      </c>
      <c r="D444" t="s">
        <v>25</v>
      </c>
      <c r="E444" t="s">
        <v>42</v>
      </c>
      <c r="F444" t="s">
        <v>13</v>
      </c>
      <c r="G444">
        <v>2</v>
      </c>
      <c r="H444">
        <v>3.8</v>
      </c>
      <c r="I444" t="s">
        <v>39</v>
      </c>
      <c r="J444" t="s">
        <v>323</v>
      </c>
      <c r="K444" s="12">
        <f>Store_Record[[#This Row],[Qty]]*Store_Record[[#This Row],[UnitPriceGBP]]</f>
        <v>7.6</v>
      </c>
      <c r="L444" s="5" t="str">
        <f>TEXT(Store_Record[[#This Row],[Date]],"dddd")</f>
        <v>Saturday</v>
      </c>
      <c r="M444" s="5" t="str">
        <f>TEXT(Store_Record[[#This Row],[Date]],"mmmm")</f>
        <v>February</v>
      </c>
      <c r="N444" s="5">
        <f>YEAR(Store_Record[[#This Row],[Date]])</f>
        <v>2025</v>
      </c>
      <c r="O444"/>
    </row>
    <row r="445" spans="1:15" x14ac:dyDescent="0.35">
      <c r="A445" t="s">
        <v>822</v>
      </c>
      <c r="B445" s="2">
        <v>45689</v>
      </c>
      <c r="C445" t="s">
        <v>36</v>
      </c>
      <c r="D445" t="s">
        <v>38</v>
      </c>
      <c r="E445" t="s">
        <v>42</v>
      </c>
      <c r="F445" t="s">
        <v>13</v>
      </c>
      <c r="G445">
        <v>2</v>
      </c>
      <c r="H445">
        <v>3.8</v>
      </c>
      <c r="I445" t="s">
        <v>39</v>
      </c>
      <c r="J445" t="s">
        <v>667</v>
      </c>
      <c r="K445" s="12">
        <f>Store_Record[[#This Row],[Qty]]*Store_Record[[#This Row],[UnitPriceGBP]]</f>
        <v>7.6</v>
      </c>
      <c r="L445" s="5" t="str">
        <f>TEXT(Store_Record[[#This Row],[Date]],"dddd")</f>
        <v>Saturday</v>
      </c>
      <c r="M445" s="5" t="str">
        <f>TEXT(Store_Record[[#This Row],[Date]],"mmmm")</f>
        <v>February</v>
      </c>
      <c r="N445" s="5">
        <f>YEAR(Store_Record[[#This Row],[Date]])</f>
        <v>2025</v>
      </c>
      <c r="O445"/>
    </row>
    <row r="446" spans="1:15" x14ac:dyDescent="0.35">
      <c r="A446" t="s">
        <v>816</v>
      </c>
      <c r="B446" s="2">
        <v>45689</v>
      </c>
      <c r="C446" t="s">
        <v>10</v>
      </c>
      <c r="D446" t="s">
        <v>25</v>
      </c>
      <c r="E446" t="s">
        <v>34</v>
      </c>
      <c r="F446" t="s">
        <v>31</v>
      </c>
      <c r="G446">
        <v>3</v>
      </c>
      <c r="H446">
        <v>2.2000000000000002</v>
      </c>
      <c r="I446" t="s">
        <v>21</v>
      </c>
      <c r="J446" t="s">
        <v>817</v>
      </c>
      <c r="K446" s="12">
        <f>Store_Record[[#This Row],[Qty]]*Store_Record[[#This Row],[UnitPriceGBP]]</f>
        <v>6.6000000000000005</v>
      </c>
      <c r="L446" s="5" t="str">
        <f>TEXT(Store_Record[[#This Row],[Date]],"dddd")</f>
        <v>Saturday</v>
      </c>
      <c r="M446" s="5" t="str">
        <f>TEXT(Store_Record[[#This Row],[Date]],"mmmm")</f>
        <v>February</v>
      </c>
      <c r="N446" s="5">
        <f>YEAR(Store_Record[[#This Row],[Date]])</f>
        <v>2025</v>
      </c>
      <c r="O446"/>
    </row>
    <row r="447" spans="1:15" x14ac:dyDescent="0.35">
      <c r="A447" t="s">
        <v>825</v>
      </c>
      <c r="B447" s="2">
        <v>45689</v>
      </c>
      <c r="C447" t="s">
        <v>10</v>
      </c>
      <c r="D447" t="s">
        <v>47</v>
      </c>
      <c r="E447" t="s">
        <v>12</v>
      </c>
      <c r="F447" t="s">
        <v>13</v>
      </c>
      <c r="G447">
        <v>2</v>
      </c>
      <c r="H447">
        <v>2.5</v>
      </c>
      <c r="I447" t="s">
        <v>21</v>
      </c>
      <c r="J447" t="s">
        <v>179</v>
      </c>
      <c r="K447" s="12">
        <f>Store_Record[[#This Row],[Qty]]*Store_Record[[#This Row],[UnitPriceGBP]]</f>
        <v>5</v>
      </c>
      <c r="L447" s="5" t="str">
        <f>TEXT(Store_Record[[#This Row],[Date]],"dddd")</f>
        <v>Saturday</v>
      </c>
      <c r="M447" s="5" t="str">
        <f>TEXT(Store_Record[[#This Row],[Date]],"mmmm")</f>
        <v>February</v>
      </c>
      <c r="N447" s="5">
        <f>YEAR(Store_Record[[#This Row],[Date]])</f>
        <v>2025</v>
      </c>
      <c r="O447"/>
    </row>
    <row r="448" spans="1:15" x14ac:dyDescent="0.35">
      <c r="A448" t="s">
        <v>833</v>
      </c>
      <c r="B448" s="2">
        <v>45689</v>
      </c>
      <c r="C448" t="s">
        <v>24</v>
      </c>
      <c r="D448" t="s">
        <v>38</v>
      </c>
      <c r="E448" t="s">
        <v>12</v>
      </c>
      <c r="F448" t="s">
        <v>13</v>
      </c>
      <c r="G448">
        <v>2</v>
      </c>
      <c r="H448">
        <v>2.5</v>
      </c>
      <c r="I448" t="s">
        <v>14</v>
      </c>
      <c r="J448" t="s">
        <v>834</v>
      </c>
      <c r="K448" s="12">
        <f>Store_Record[[#This Row],[Qty]]*Store_Record[[#This Row],[UnitPriceGBP]]</f>
        <v>5</v>
      </c>
      <c r="L448" s="5" t="str">
        <f>TEXT(Store_Record[[#This Row],[Date]],"dddd")</f>
        <v>Saturday</v>
      </c>
      <c r="M448" s="5" t="str">
        <f>TEXT(Store_Record[[#This Row],[Date]],"mmmm")</f>
        <v>February</v>
      </c>
      <c r="N448" s="5">
        <f>YEAR(Store_Record[[#This Row],[Date]])</f>
        <v>2025</v>
      </c>
      <c r="O448"/>
    </row>
    <row r="449" spans="1:15" x14ac:dyDescent="0.35">
      <c r="A449" t="s">
        <v>823</v>
      </c>
      <c r="B449" s="2">
        <v>45689</v>
      </c>
      <c r="C449" t="s">
        <v>36</v>
      </c>
      <c r="D449" t="s">
        <v>25</v>
      </c>
      <c r="E449" t="s">
        <v>42</v>
      </c>
      <c r="F449" t="s">
        <v>13</v>
      </c>
      <c r="G449">
        <v>1</v>
      </c>
      <c r="H449">
        <v>3.8</v>
      </c>
      <c r="I449" t="s">
        <v>39</v>
      </c>
      <c r="J449" t="s">
        <v>824</v>
      </c>
      <c r="K449" s="12">
        <f>Store_Record[[#This Row],[Qty]]*Store_Record[[#This Row],[UnitPriceGBP]]</f>
        <v>3.8</v>
      </c>
      <c r="L449" s="5" t="str">
        <f>TEXT(Store_Record[[#This Row],[Date]],"dddd")</f>
        <v>Saturday</v>
      </c>
      <c r="M449" s="5" t="str">
        <f>TEXT(Store_Record[[#This Row],[Date]],"mmmm")</f>
        <v>February</v>
      </c>
      <c r="N449" s="5">
        <f>YEAR(Store_Record[[#This Row],[Date]])</f>
        <v>2025</v>
      </c>
      <c r="O449"/>
    </row>
    <row r="450" spans="1:15" x14ac:dyDescent="0.35">
      <c r="A450" t="s">
        <v>831</v>
      </c>
      <c r="B450" s="2">
        <v>45689</v>
      </c>
      <c r="C450" t="s">
        <v>36</v>
      </c>
      <c r="D450" t="s">
        <v>29</v>
      </c>
      <c r="E450" t="s">
        <v>26</v>
      </c>
      <c r="F450" t="s">
        <v>13</v>
      </c>
      <c r="G450">
        <v>1</v>
      </c>
      <c r="H450">
        <v>3.5</v>
      </c>
      <c r="I450" t="s">
        <v>39</v>
      </c>
      <c r="J450" t="s">
        <v>832</v>
      </c>
      <c r="K450" s="12">
        <f>Store_Record[[#This Row],[Qty]]*Store_Record[[#This Row],[UnitPriceGBP]]</f>
        <v>3.5</v>
      </c>
      <c r="L450" s="5" t="str">
        <f>TEXT(Store_Record[[#This Row],[Date]],"dddd")</f>
        <v>Saturday</v>
      </c>
      <c r="M450" s="5" t="str">
        <f>TEXT(Store_Record[[#This Row],[Date]],"mmmm")</f>
        <v>February</v>
      </c>
      <c r="N450" s="5">
        <f>YEAR(Store_Record[[#This Row],[Date]])</f>
        <v>2025</v>
      </c>
      <c r="O450"/>
    </row>
    <row r="451" spans="1:15" x14ac:dyDescent="0.35">
      <c r="A451" t="s">
        <v>850</v>
      </c>
      <c r="B451" s="2">
        <v>45690</v>
      </c>
      <c r="C451" t="s">
        <v>10</v>
      </c>
      <c r="D451" t="s">
        <v>11</v>
      </c>
      <c r="E451" t="s">
        <v>42</v>
      </c>
      <c r="F451" t="s">
        <v>13</v>
      </c>
      <c r="G451">
        <v>4</v>
      </c>
      <c r="H451">
        <v>3.8</v>
      </c>
      <c r="I451" t="s">
        <v>39</v>
      </c>
      <c r="J451" t="s">
        <v>808</v>
      </c>
      <c r="K451" s="12">
        <f>Store_Record[[#This Row],[Qty]]*Store_Record[[#This Row],[UnitPriceGBP]]</f>
        <v>15.2</v>
      </c>
      <c r="L451" s="5" t="str">
        <f>TEXT(Store_Record[[#This Row],[Date]],"dddd")</f>
        <v>Sunday</v>
      </c>
      <c r="M451" s="5" t="str">
        <f>TEXT(Store_Record[[#This Row],[Date]],"mmmm")</f>
        <v>February</v>
      </c>
      <c r="N451" s="5">
        <f>YEAR(Store_Record[[#This Row],[Date]])</f>
        <v>2025</v>
      </c>
      <c r="O451"/>
    </row>
    <row r="452" spans="1:15" x14ac:dyDescent="0.35">
      <c r="A452" t="s">
        <v>841</v>
      </c>
      <c r="B452" s="2">
        <v>45690</v>
      </c>
      <c r="C452" t="s">
        <v>20</v>
      </c>
      <c r="D452" t="s">
        <v>25</v>
      </c>
      <c r="E452" t="s">
        <v>26</v>
      </c>
      <c r="F452" t="s">
        <v>13</v>
      </c>
      <c r="G452">
        <v>4</v>
      </c>
      <c r="H452">
        <v>3.5</v>
      </c>
      <c r="I452" t="s">
        <v>14</v>
      </c>
      <c r="J452" t="s">
        <v>302</v>
      </c>
      <c r="K452" s="12">
        <f>Store_Record[[#This Row],[Qty]]*Store_Record[[#This Row],[UnitPriceGBP]]</f>
        <v>14</v>
      </c>
      <c r="L452" s="5" t="str">
        <f>TEXT(Store_Record[[#This Row],[Date]],"dddd")</f>
        <v>Sunday</v>
      </c>
      <c r="M452" s="5" t="str">
        <f>TEXT(Store_Record[[#This Row],[Date]],"mmmm")</f>
        <v>February</v>
      </c>
      <c r="N452" s="5">
        <f>YEAR(Store_Record[[#This Row],[Date]])</f>
        <v>2025</v>
      </c>
      <c r="O452"/>
    </row>
    <row r="453" spans="1:15" x14ac:dyDescent="0.35">
      <c r="A453" t="s">
        <v>844</v>
      </c>
      <c r="B453" s="2">
        <v>45690</v>
      </c>
      <c r="C453" t="s">
        <v>10</v>
      </c>
      <c r="D453" t="s">
        <v>38</v>
      </c>
      <c r="E453" t="s">
        <v>26</v>
      </c>
      <c r="F453" t="s">
        <v>13</v>
      </c>
      <c r="G453">
        <v>4</v>
      </c>
      <c r="H453">
        <v>3.5</v>
      </c>
      <c r="I453" t="s">
        <v>39</v>
      </c>
      <c r="J453" t="s">
        <v>138</v>
      </c>
      <c r="K453" s="12">
        <f>Store_Record[[#This Row],[Qty]]*Store_Record[[#This Row],[UnitPriceGBP]]</f>
        <v>14</v>
      </c>
      <c r="L453" s="5" t="str">
        <f>TEXT(Store_Record[[#This Row],[Date]],"dddd")</f>
        <v>Sunday</v>
      </c>
      <c r="M453" s="5" t="str">
        <f>TEXT(Store_Record[[#This Row],[Date]],"mmmm")</f>
        <v>February</v>
      </c>
      <c r="N453" s="5">
        <f>YEAR(Store_Record[[#This Row],[Date]])</f>
        <v>2025</v>
      </c>
      <c r="O453"/>
    </row>
    <row r="454" spans="1:15" x14ac:dyDescent="0.35">
      <c r="A454" t="s">
        <v>847</v>
      </c>
      <c r="B454" s="2">
        <v>45690</v>
      </c>
      <c r="C454" t="s">
        <v>10</v>
      </c>
      <c r="D454" t="s">
        <v>11</v>
      </c>
      <c r="E454" t="s">
        <v>42</v>
      </c>
      <c r="F454" t="s">
        <v>13</v>
      </c>
      <c r="G454">
        <v>3</v>
      </c>
      <c r="H454">
        <v>3.8</v>
      </c>
      <c r="I454" t="s">
        <v>21</v>
      </c>
      <c r="J454" t="s">
        <v>848</v>
      </c>
      <c r="K454" s="12">
        <f>Store_Record[[#This Row],[Qty]]*Store_Record[[#This Row],[UnitPriceGBP]]</f>
        <v>11.399999999999999</v>
      </c>
      <c r="L454" s="5" t="str">
        <f>TEXT(Store_Record[[#This Row],[Date]],"dddd")</f>
        <v>Sunday</v>
      </c>
      <c r="M454" s="5" t="str">
        <f>TEXT(Store_Record[[#This Row],[Date]],"mmmm")</f>
        <v>February</v>
      </c>
      <c r="N454" s="5">
        <f>YEAR(Store_Record[[#This Row],[Date]])</f>
        <v>2025</v>
      </c>
      <c r="O454"/>
    </row>
    <row r="455" spans="1:15" x14ac:dyDescent="0.35">
      <c r="A455" t="s">
        <v>849</v>
      </c>
      <c r="B455" s="2">
        <v>45690</v>
      </c>
      <c r="C455" t="s">
        <v>24</v>
      </c>
      <c r="D455" t="s">
        <v>38</v>
      </c>
      <c r="E455" t="s">
        <v>42</v>
      </c>
      <c r="F455" t="s">
        <v>13</v>
      </c>
      <c r="G455">
        <v>3</v>
      </c>
      <c r="H455">
        <v>3.8</v>
      </c>
      <c r="I455" t="s">
        <v>21</v>
      </c>
      <c r="J455" t="s">
        <v>426</v>
      </c>
      <c r="K455" s="12">
        <f>Store_Record[[#This Row],[Qty]]*Store_Record[[#This Row],[UnitPriceGBP]]</f>
        <v>11.399999999999999</v>
      </c>
      <c r="L455" s="5" t="str">
        <f>TEXT(Store_Record[[#This Row],[Date]],"dddd")</f>
        <v>Sunday</v>
      </c>
      <c r="M455" s="5" t="str">
        <f>TEXT(Store_Record[[#This Row],[Date]],"mmmm")</f>
        <v>February</v>
      </c>
      <c r="N455" s="5">
        <f>YEAR(Store_Record[[#This Row],[Date]])</f>
        <v>2025</v>
      </c>
      <c r="O455"/>
    </row>
    <row r="456" spans="1:15" x14ac:dyDescent="0.35">
      <c r="A456" t="s">
        <v>851</v>
      </c>
      <c r="B456" s="2">
        <v>45690</v>
      </c>
      <c r="C456" t="s">
        <v>10</v>
      </c>
      <c r="D456" t="s">
        <v>25</v>
      </c>
      <c r="E456" t="s">
        <v>42</v>
      </c>
      <c r="F456" t="s">
        <v>13</v>
      </c>
      <c r="G456">
        <v>3</v>
      </c>
      <c r="H456">
        <v>3.8</v>
      </c>
      <c r="I456" t="s">
        <v>14</v>
      </c>
      <c r="J456" t="s">
        <v>852</v>
      </c>
      <c r="K456" s="12">
        <f>Store_Record[[#This Row],[Qty]]*Store_Record[[#This Row],[UnitPriceGBP]]</f>
        <v>11.399999999999999</v>
      </c>
      <c r="L456" s="5" t="str">
        <f>TEXT(Store_Record[[#This Row],[Date]],"dddd")</f>
        <v>Sunday</v>
      </c>
      <c r="M456" s="5" t="str">
        <f>TEXT(Store_Record[[#This Row],[Date]],"mmmm")</f>
        <v>February</v>
      </c>
      <c r="N456" s="5">
        <f>YEAR(Store_Record[[#This Row],[Date]])</f>
        <v>2025</v>
      </c>
      <c r="O456"/>
    </row>
    <row r="457" spans="1:15" x14ac:dyDescent="0.35">
      <c r="A457" t="s">
        <v>854</v>
      </c>
      <c r="B457" s="2">
        <v>45690</v>
      </c>
      <c r="C457" t="s">
        <v>24</v>
      </c>
      <c r="D457" t="s">
        <v>11</v>
      </c>
      <c r="E457" t="s">
        <v>42</v>
      </c>
      <c r="F457" t="s">
        <v>13</v>
      </c>
      <c r="G457">
        <v>3</v>
      </c>
      <c r="H457">
        <v>3.8</v>
      </c>
      <c r="I457" t="s">
        <v>14</v>
      </c>
      <c r="J457" t="s">
        <v>855</v>
      </c>
      <c r="K457" s="12">
        <f>Store_Record[[#This Row],[Qty]]*Store_Record[[#This Row],[UnitPriceGBP]]</f>
        <v>11.399999999999999</v>
      </c>
      <c r="L457" s="5" t="str">
        <f>TEXT(Store_Record[[#This Row],[Date]],"dddd")</f>
        <v>Sunday</v>
      </c>
      <c r="M457" s="5" t="str">
        <f>TEXT(Store_Record[[#This Row],[Date]],"mmmm")</f>
        <v>February</v>
      </c>
      <c r="N457" s="5">
        <f>YEAR(Store_Record[[#This Row],[Date]])</f>
        <v>2025</v>
      </c>
      <c r="O457"/>
    </row>
    <row r="458" spans="1:15" x14ac:dyDescent="0.35">
      <c r="A458" t="s">
        <v>837</v>
      </c>
      <c r="B458" s="2">
        <v>45690</v>
      </c>
      <c r="C458" t="s">
        <v>24</v>
      </c>
      <c r="D458" t="s">
        <v>38</v>
      </c>
      <c r="E458" t="s">
        <v>30</v>
      </c>
      <c r="F458" t="s">
        <v>31</v>
      </c>
      <c r="G458">
        <v>4</v>
      </c>
      <c r="H458">
        <v>2.8</v>
      </c>
      <c r="I458" t="s">
        <v>14</v>
      </c>
      <c r="J458" t="s">
        <v>838</v>
      </c>
      <c r="K458" s="12">
        <f>Store_Record[[#This Row],[Qty]]*Store_Record[[#This Row],[UnitPriceGBP]]</f>
        <v>11.2</v>
      </c>
      <c r="L458" s="5" t="str">
        <f>TEXT(Store_Record[[#This Row],[Date]],"dddd")</f>
        <v>Sunday</v>
      </c>
      <c r="M458" s="5" t="str">
        <f>TEXT(Store_Record[[#This Row],[Date]],"mmmm")</f>
        <v>February</v>
      </c>
      <c r="N458" s="5">
        <f>YEAR(Store_Record[[#This Row],[Date]])</f>
        <v>2025</v>
      </c>
      <c r="O458"/>
    </row>
    <row r="459" spans="1:15" x14ac:dyDescent="0.35">
      <c r="A459" t="s">
        <v>845</v>
      </c>
      <c r="B459" s="2">
        <v>45690</v>
      </c>
      <c r="C459" t="s">
        <v>36</v>
      </c>
      <c r="D459" t="s">
        <v>29</v>
      </c>
      <c r="E459" t="s">
        <v>30</v>
      </c>
      <c r="F459" t="s">
        <v>31</v>
      </c>
      <c r="G459">
        <v>3</v>
      </c>
      <c r="H459">
        <v>2.8</v>
      </c>
      <c r="I459" t="s">
        <v>14</v>
      </c>
      <c r="J459" t="s">
        <v>846</v>
      </c>
      <c r="K459" s="12">
        <f>Store_Record[[#This Row],[Qty]]*Store_Record[[#This Row],[UnitPriceGBP]]</f>
        <v>8.3999999999999986</v>
      </c>
      <c r="L459" s="5" t="str">
        <f>TEXT(Store_Record[[#This Row],[Date]],"dddd")</f>
        <v>Sunday</v>
      </c>
      <c r="M459" s="5" t="str">
        <f>TEXT(Store_Record[[#This Row],[Date]],"mmmm")</f>
        <v>February</v>
      </c>
      <c r="N459" s="5">
        <f>YEAR(Store_Record[[#This Row],[Date]])</f>
        <v>2025</v>
      </c>
      <c r="O459"/>
    </row>
    <row r="460" spans="1:15" x14ac:dyDescent="0.35">
      <c r="A460" t="s">
        <v>843</v>
      </c>
      <c r="B460" s="2">
        <v>45690</v>
      </c>
      <c r="C460" t="s">
        <v>10</v>
      </c>
      <c r="D460" t="s">
        <v>29</v>
      </c>
      <c r="E460" t="s">
        <v>26</v>
      </c>
      <c r="F460" t="s">
        <v>31</v>
      </c>
      <c r="G460">
        <v>3</v>
      </c>
      <c r="H460">
        <v>2.2000000000000002</v>
      </c>
      <c r="I460" t="s">
        <v>14</v>
      </c>
      <c r="J460" t="s">
        <v>799</v>
      </c>
      <c r="K460" s="12">
        <f>Store_Record[[#This Row],[Qty]]*Store_Record[[#This Row],[UnitPriceGBP]]</f>
        <v>6.6000000000000005</v>
      </c>
      <c r="L460" s="5" t="str">
        <f>TEXT(Store_Record[[#This Row],[Date]],"dddd")</f>
        <v>Sunday</v>
      </c>
      <c r="M460" s="5" t="str">
        <f>TEXT(Store_Record[[#This Row],[Date]],"mmmm")</f>
        <v>February</v>
      </c>
      <c r="N460" s="5">
        <f>YEAR(Store_Record[[#This Row],[Date]])</f>
        <v>2025</v>
      </c>
      <c r="O460"/>
    </row>
    <row r="461" spans="1:15" x14ac:dyDescent="0.35">
      <c r="A461" t="s">
        <v>842</v>
      </c>
      <c r="B461" s="2">
        <v>45690</v>
      </c>
      <c r="C461" t="s">
        <v>36</v>
      </c>
      <c r="D461" t="s">
        <v>11</v>
      </c>
      <c r="E461" t="s">
        <v>30</v>
      </c>
      <c r="F461" t="s">
        <v>31</v>
      </c>
      <c r="G461">
        <v>2</v>
      </c>
      <c r="H461">
        <v>2.8</v>
      </c>
      <c r="I461" t="s">
        <v>21</v>
      </c>
      <c r="J461" t="s">
        <v>275</v>
      </c>
      <c r="K461" s="12">
        <f>Store_Record[[#This Row],[Qty]]*Store_Record[[#This Row],[UnitPriceGBP]]</f>
        <v>5.6</v>
      </c>
      <c r="L461" s="5" t="str">
        <f>TEXT(Store_Record[[#This Row],[Date]],"dddd")</f>
        <v>Sunday</v>
      </c>
      <c r="M461" s="5" t="str">
        <f>TEXT(Store_Record[[#This Row],[Date]],"mmmm")</f>
        <v>February</v>
      </c>
      <c r="N461" s="5">
        <f>YEAR(Store_Record[[#This Row],[Date]])</f>
        <v>2025</v>
      </c>
      <c r="O461"/>
    </row>
    <row r="462" spans="1:15" x14ac:dyDescent="0.35">
      <c r="A462" t="s">
        <v>839</v>
      </c>
      <c r="B462" s="2">
        <v>45690</v>
      </c>
      <c r="C462" t="s">
        <v>24</v>
      </c>
      <c r="D462" t="s">
        <v>25</v>
      </c>
      <c r="E462" t="s">
        <v>12</v>
      </c>
      <c r="F462" t="s">
        <v>13</v>
      </c>
      <c r="G462">
        <v>2</v>
      </c>
      <c r="H462">
        <v>2.5</v>
      </c>
      <c r="I462" t="s">
        <v>39</v>
      </c>
      <c r="J462" t="s">
        <v>840</v>
      </c>
      <c r="K462" s="12">
        <f>Store_Record[[#This Row],[Qty]]*Store_Record[[#This Row],[UnitPriceGBP]]</f>
        <v>5</v>
      </c>
      <c r="L462" s="5" t="str">
        <f>TEXT(Store_Record[[#This Row],[Date]],"dddd")</f>
        <v>Sunday</v>
      </c>
      <c r="M462" s="5" t="str">
        <f>TEXT(Store_Record[[#This Row],[Date]],"mmmm")</f>
        <v>February</v>
      </c>
      <c r="N462" s="5">
        <f>YEAR(Store_Record[[#This Row],[Date]])</f>
        <v>2025</v>
      </c>
      <c r="O462"/>
    </row>
    <row r="463" spans="1:15" x14ac:dyDescent="0.35">
      <c r="A463" t="s">
        <v>853</v>
      </c>
      <c r="B463" s="2">
        <v>45690</v>
      </c>
      <c r="C463" t="s">
        <v>10</v>
      </c>
      <c r="D463" t="s">
        <v>38</v>
      </c>
      <c r="E463" t="s">
        <v>30</v>
      </c>
      <c r="F463" t="s">
        <v>31</v>
      </c>
      <c r="G463">
        <v>1</v>
      </c>
      <c r="H463">
        <v>2.8</v>
      </c>
      <c r="I463" t="s">
        <v>39</v>
      </c>
      <c r="J463" t="s">
        <v>300</v>
      </c>
      <c r="K463" s="12">
        <f>Store_Record[[#This Row],[Qty]]*Store_Record[[#This Row],[UnitPriceGBP]]</f>
        <v>2.8</v>
      </c>
      <c r="L463" s="5" t="str">
        <f>TEXT(Store_Record[[#This Row],[Date]],"dddd")</f>
        <v>Sunday</v>
      </c>
      <c r="M463" s="5" t="str">
        <f>TEXT(Store_Record[[#This Row],[Date]],"mmmm")</f>
        <v>February</v>
      </c>
      <c r="N463" s="5">
        <f>YEAR(Store_Record[[#This Row],[Date]])</f>
        <v>2025</v>
      </c>
      <c r="O463"/>
    </row>
    <row r="464" spans="1:15" x14ac:dyDescent="0.35">
      <c r="A464" t="s">
        <v>867</v>
      </c>
      <c r="B464" s="2">
        <v>45691</v>
      </c>
      <c r="C464" t="s">
        <v>36</v>
      </c>
      <c r="D464" t="s">
        <v>29</v>
      </c>
      <c r="E464" t="s">
        <v>42</v>
      </c>
      <c r="F464" t="s">
        <v>13</v>
      </c>
      <c r="G464">
        <v>4</v>
      </c>
      <c r="H464">
        <v>3.8</v>
      </c>
      <c r="I464" t="s">
        <v>39</v>
      </c>
      <c r="J464" t="s">
        <v>321</v>
      </c>
      <c r="K464" s="12">
        <f>Store_Record[[#This Row],[Qty]]*Store_Record[[#This Row],[UnitPriceGBP]]</f>
        <v>15.2</v>
      </c>
      <c r="L464" s="5" t="str">
        <f>TEXT(Store_Record[[#This Row],[Date]],"dddd")</f>
        <v>Monday</v>
      </c>
      <c r="M464" s="5" t="str">
        <f>TEXT(Store_Record[[#This Row],[Date]],"mmmm")</f>
        <v>February</v>
      </c>
      <c r="N464" s="5">
        <f>YEAR(Store_Record[[#This Row],[Date]])</f>
        <v>2025</v>
      </c>
      <c r="O464"/>
    </row>
    <row r="465" spans="1:15" x14ac:dyDescent="0.35">
      <c r="A465" t="s">
        <v>863</v>
      </c>
      <c r="B465" s="2">
        <v>45691</v>
      </c>
      <c r="C465" t="s">
        <v>24</v>
      </c>
      <c r="D465" t="s">
        <v>29</v>
      </c>
      <c r="E465" t="s">
        <v>26</v>
      </c>
      <c r="F465" t="s">
        <v>13</v>
      </c>
      <c r="G465">
        <v>4</v>
      </c>
      <c r="H465">
        <v>3.5</v>
      </c>
      <c r="I465" t="s">
        <v>21</v>
      </c>
      <c r="J465" t="s">
        <v>189</v>
      </c>
      <c r="K465" s="12">
        <f>Store_Record[[#This Row],[Qty]]*Store_Record[[#This Row],[UnitPriceGBP]]</f>
        <v>14</v>
      </c>
      <c r="L465" s="5" t="str">
        <f>TEXT(Store_Record[[#This Row],[Date]],"dddd")</f>
        <v>Monday</v>
      </c>
      <c r="M465" s="5" t="str">
        <f>TEXT(Store_Record[[#This Row],[Date]],"mmmm")</f>
        <v>February</v>
      </c>
      <c r="N465" s="5">
        <f>YEAR(Store_Record[[#This Row],[Date]])</f>
        <v>2025</v>
      </c>
      <c r="O465"/>
    </row>
    <row r="466" spans="1:15" x14ac:dyDescent="0.35">
      <c r="A466" t="s">
        <v>870</v>
      </c>
      <c r="B466" s="2">
        <v>45691</v>
      </c>
      <c r="C466" t="s">
        <v>24</v>
      </c>
      <c r="D466" t="s">
        <v>25</v>
      </c>
      <c r="E466" t="s">
        <v>34</v>
      </c>
      <c r="F466" t="s">
        <v>31</v>
      </c>
      <c r="G466">
        <v>3</v>
      </c>
      <c r="H466">
        <v>2.2000000000000002</v>
      </c>
      <c r="I466" t="s">
        <v>21</v>
      </c>
      <c r="J466" t="s">
        <v>871</v>
      </c>
      <c r="K466" s="12">
        <f>Store_Record[[#This Row],[Qty]]*Store_Record[[#This Row],[UnitPriceGBP]]</f>
        <v>6.6000000000000005</v>
      </c>
      <c r="L466" s="5" t="str">
        <f>TEXT(Store_Record[[#This Row],[Date]],"dddd")</f>
        <v>Monday</v>
      </c>
      <c r="M466" s="5" t="str">
        <f>TEXT(Store_Record[[#This Row],[Date]],"mmmm")</f>
        <v>February</v>
      </c>
      <c r="N466" s="5">
        <f>YEAR(Store_Record[[#This Row],[Date]])</f>
        <v>2025</v>
      </c>
      <c r="O466"/>
    </row>
    <row r="467" spans="1:15" x14ac:dyDescent="0.35">
      <c r="A467" t="s">
        <v>857</v>
      </c>
      <c r="B467" s="2">
        <v>45691</v>
      </c>
      <c r="C467" t="s">
        <v>10</v>
      </c>
      <c r="D467" t="s">
        <v>11</v>
      </c>
      <c r="E467" t="s">
        <v>30</v>
      </c>
      <c r="F467" t="s">
        <v>31</v>
      </c>
      <c r="G467">
        <v>2</v>
      </c>
      <c r="H467">
        <v>2.8</v>
      </c>
      <c r="I467" t="s">
        <v>14</v>
      </c>
      <c r="J467" t="s">
        <v>185</v>
      </c>
      <c r="K467" s="12">
        <f>Store_Record[[#This Row],[Qty]]*Store_Record[[#This Row],[UnitPriceGBP]]</f>
        <v>5.6</v>
      </c>
      <c r="L467" s="5" t="str">
        <f>TEXT(Store_Record[[#This Row],[Date]],"dddd")</f>
        <v>Monday</v>
      </c>
      <c r="M467" s="5" t="str">
        <f>TEXT(Store_Record[[#This Row],[Date]],"mmmm")</f>
        <v>February</v>
      </c>
      <c r="N467" s="5">
        <f>YEAR(Store_Record[[#This Row],[Date]])</f>
        <v>2025</v>
      </c>
      <c r="O467"/>
    </row>
    <row r="468" spans="1:15" x14ac:dyDescent="0.35">
      <c r="A468" t="s">
        <v>864</v>
      </c>
      <c r="B468" s="2">
        <v>45691</v>
      </c>
      <c r="C468" t="s">
        <v>10</v>
      </c>
      <c r="D468" t="s">
        <v>25</v>
      </c>
      <c r="E468" t="s">
        <v>12</v>
      </c>
      <c r="F468" t="s">
        <v>13</v>
      </c>
      <c r="G468">
        <v>2</v>
      </c>
      <c r="H468">
        <v>2.5</v>
      </c>
      <c r="I468" t="s">
        <v>21</v>
      </c>
      <c r="J468" t="s">
        <v>93</v>
      </c>
      <c r="K468" s="12">
        <f>Store_Record[[#This Row],[Qty]]*Store_Record[[#This Row],[UnitPriceGBP]]</f>
        <v>5</v>
      </c>
      <c r="L468" s="5" t="str">
        <f>TEXT(Store_Record[[#This Row],[Date]],"dddd")</f>
        <v>Monday</v>
      </c>
      <c r="M468" s="5" t="str">
        <f>TEXT(Store_Record[[#This Row],[Date]],"mmmm")</f>
        <v>February</v>
      </c>
      <c r="N468" s="5">
        <f>YEAR(Store_Record[[#This Row],[Date]])</f>
        <v>2025</v>
      </c>
      <c r="O468"/>
    </row>
    <row r="469" spans="1:15" x14ac:dyDescent="0.35">
      <c r="A469" t="s">
        <v>866</v>
      </c>
      <c r="B469" s="2">
        <v>45691</v>
      </c>
      <c r="C469" t="s">
        <v>10</v>
      </c>
      <c r="D469" t="s">
        <v>29</v>
      </c>
      <c r="E469" t="s">
        <v>12</v>
      </c>
      <c r="F469" t="s">
        <v>13</v>
      </c>
      <c r="G469">
        <v>2</v>
      </c>
      <c r="H469">
        <v>2.5</v>
      </c>
      <c r="I469" t="s">
        <v>21</v>
      </c>
      <c r="J469" t="s">
        <v>306</v>
      </c>
      <c r="K469" s="12">
        <f>Store_Record[[#This Row],[Qty]]*Store_Record[[#This Row],[UnitPriceGBP]]</f>
        <v>5</v>
      </c>
      <c r="L469" s="5" t="str">
        <f>TEXT(Store_Record[[#This Row],[Date]],"dddd")</f>
        <v>Monday</v>
      </c>
      <c r="M469" s="5" t="str">
        <f>TEXT(Store_Record[[#This Row],[Date]],"mmmm")</f>
        <v>February</v>
      </c>
      <c r="N469" s="5">
        <f>YEAR(Store_Record[[#This Row],[Date]])</f>
        <v>2025</v>
      </c>
      <c r="O469"/>
    </row>
    <row r="470" spans="1:15" x14ac:dyDescent="0.35">
      <c r="A470" t="s">
        <v>861</v>
      </c>
      <c r="B470" s="2">
        <v>45691</v>
      </c>
      <c r="C470" t="s">
        <v>10</v>
      </c>
      <c r="D470" t="s">
        <v>38</v>
      </c>
      <c r="E470" t="s">
        <v>34</v>
      </c>
      <c r="F470" t="s">
        <v>31</v>
      </c>
      <c r="G470">
        <v>2</v>
      </c>
      <c r="H470">
        <v>2.2000000000000002</v>
      </c>
      <c r="I470" t="s">
        <v>21</v>
      </c>
      <c r="J470" t="s">
        <v>862</v>
      </c>
      <c r="K470" s="12">
        <f>Store_Record[[#This Row],[Qty]]*Store_Record[[#This Row],[UnitPriceGBP]]</f>
        <v>4.4000000000000004</v>
      </c>
      <c r="L470" s="5" t="str">
        <f>TEXT(Store_Record[[#This Row],[Date]],"dddd")</f>
        <v>Monday</v>
      </c>
      <c r="M470" s="5" t="str">
        <f>TEXT(Store_Record[[#This Row],[Date]],"mmmm")</f>
        <v>February</v>
      </c>
      <c r="N470" s="5">
        <f>YEAR(Store_Record[[#This Row],[Date]])</f>
        <v>2025</v>
      </c>
      <c r="O470"/>
    </row>
    <row r="471" spans="1:15" x14ac:dyDescent="0.35">
      <c r="A471" t="s">
        <v>865</v>
      </c>
      <c r="B471" s="2">
        <v>45691</v>
      </c>
      <c r="C471" t="s">
        <v>10</v>
      </c>
      <c r="D471" t="s">
        <v>47</v>
      </c>
      <c r="E471" t="s">
        <v>42</v>
      </c>
      <c r="F471" t="s">
        <v>13</v>
      </c>
      <c r="G471">
        <v>1</v>
      </c>
      <c r="H471">
        <v>3.8</v>
      </c>
      <c r="I471" t="s">
        <v>39</v>
      </c>
      <c r="J471" t="s">
        <v>400</v>
      </c>
      <c r="K471" s="12">
        <f>Store_Record[[#This Row],[Qty]]*Store_Record[[#This Row],[UnitPriceGBP]]</f>
        <v>3.8</v>
      </c>
      <c r="L471" s="5" t="str">
        <f>TEXT(Store_Record[[#This Row],[Date]],"dddd")</f>
        <v>Monday</v>
      </c>
      <c r="M471" s="5" t="str">
        <f>TEXT(Store_Record[[#This Row],[Date]],"mmmm")</f>
        <v>February</v>
      </c>
      <c r="N471" s="5">
        <f>YEAR(Store_Record[[#This Row],[Date]])</f>
        <v>2025</v>
      </c>
      <c r="O471"/>
    </row>
    <row r="472" spans="1:15" x14ac:dyDescent="0.35">
      <c r="A472" t="s">
        <v>872</v>
      </c>
      <c r="B472" s="2">
        <v>45691</v>
      </c>
      <c r="C472" t="s">
        <v>24</v>
      </c>
      <c r="D472" t="s">
        <v>25</v>
      </c>
      <c r="E472" t="s">
        <v>42</v>
      </c>
      <c r="F472" t="s">
        <v>13</v>
      </c>
      <c r="G472">
        <v>1</v>
      </c>
      <c r="H472">
        <v>3.8</v>
      </c>
      <c r="I472" t="s">
        <v>39</v>
      </c>
      <c r="J472" t="s">
        <v>873</v>
      </c>
      <c r="K472" s="12">
        <f>Store_Record[[#This Row],[Qty]]*Store_Record[[#This Row],[UnitPriceGBP]]</f>
        <v>3.8</v>
      </c>
      <c r="L472" s="5" t="str">
        <f>TEXT(Store_Record[[#This Row],[Date]],"dddd")</f>
        <v>Monday</v>
      </c>
      <c r="M472" s="5" t="str">
        <f>TEXT(Store_Record[[#This Row],[Date]],"mmmm")</f>
        <v>February</v>
      </c>
      <c r="N472" s="5">
        <f>YEAR(Store_Record[[#This Row],[Date]])</f>
        <v>2025</v>
      </c>
      <c r="O472"/>
    </row>
    <row r="473" spans="1:15" x14ac:dyDescent="0.35">
      <c r="A473" t="s">
        <v>856</v>
      </c>
      <c r="B473" s="2">
        <v>45691</v>
      </c>
      <c r="C473" t="s">
        <v>24</v>
      </c>
      <c r="D473" t="s">
        <v>47</v>
      </c>
      <c r="E473" t="s">
        <v>26</v>
      </c>
      <c r="F473" t="s">
        <v>13</v>
      </c>
      <c r="G473">
        <v>1</v>
      </c>
      <c r="H473">
        <v>3.5</v>
      </c>
      <c r="I473" t="s">
        <v>39</v>
      </c>
      <c r="J473" t="s">
        <v>269</v>
      </c>
      <c r="K473" s="12">
        <f>Store_Record[[#This Row],[Qty]]*Store_Record[[#This Row],[UnitPriceGBP]]</f>
        <v>3.5</v>
      </c>
      <c r="L473" s="5" t="str">
        <f>TEXT(Store_Record[[#This Row],[Date]],"dddd")</f>
        <v>Monday</v>
      </c>
      <c r="M473" s="5" t="str">
        <f>TEXT(Store_Record[[#This Row],[Date]],"mmmm")</f>
        <v>February</v>
      </c>
      <c r="N473" s="5">
        <f>YEAR(Store_Record[[#This Row],[Date]])</f>
        <v>2025</v>
      </c>
      <c r="O473"/>
    </row>
    <row r="474" spans="1:15" x14ac:dyDescent="0.35">
      <c r="A474" t="s">
        <v>868</v>
      </c>
      <c r="B474" s="2">
        <v>45691</v>
      </c>
      <c r="C474" t="s">
        <v>20</v>
      </c>
      <c r="D474" t="s">
        <v>47</v>
      </c>
      <c r="E474" t="s">
        <v>30</v>
      </c>
      <c r="F474" t="s">
        <v>31</v>
      </c>
      <c r="G474">
        <v>1</v>
      </c>
      <c r="H474">
        <v>2.8</v>
      </c>
      <c r="I474" t="s">
        <v>14</v>
      </c>
      <c r="J474" t="s">
        <v>869</v>
      </c>
      <c r="K474" s="12">
        <f>Store_Record[[#This Row],[Qty]]*Store_Record[[#This Row],[UnitPriceGBP]]</f>
        <v>2.8</v>
      </c>
      <c r="L474" s="5" t="str">
        <f>TEXT(Store_Record[[#This Row],[Date]],"dddd")</f>
        <v>Monday</v>
      </c>
      <c r="M474" s="5" t="str">
        <f>TEXT(Store_Record[[#This Row],[Date]],"mmmm")</f>
        <v>February</v>
      </c>
      <c r="N474" s="5">
        <f>YEAR(Store_Record[[#This Row],[Date]])</f>
        <v>2025</v>
      </c>
      <c r="O474"/>
    </row>
    <row r="475" spans="1:15" x14ac:dyDescent="0.35">
      <c r="A475" t="s">
        <v>858</v>
      </c>
      <c r="B475" s="2">
        <v>45691</v>
      </c>
      <c r="C475" t="s">
        <v>24</v>
      </c>
      <c r="D475" t="s">
        <v>38</v>
      </c>
      <c r="E475" t="s">
        <v>34</v>
      </c>
      <c r="F475" t="s">
        <v>31</v>
      </c>
      <c r="G475">
        <v>1</v>
      </c>
      <c r="H475">
        <v>2.2000000000000002</v>
      </c>
      <c r="I475" t="s">
        <v>39</v>
      </c>
      <c r="J475" t="s">
        <v>179</v>
      </c>
      <c r="K475" s="12">
        <f>Store_Record[[#This Row],[Qty]]*Store_Record[[#This Row],[UnitPriceGBP]]</f>
        <v>2.2000000000000002</v>
      </c>
      <c r="L475" s="5" t="str">
        <f>TEXT(Store_Record[[#This Row],[Date]],"dddd")</f>
        <v>Monday</v>
      </c>
      <c r="M475" s="5" t="str">
        <f>TEXT(Store_Record[[#This Row],[Date]],"mmmm")</f>
        <v>February</v>
      </c>
      <c r="N475" s="5">
        <f>YEAR(Store_Record[[#This Row],[Date]])</f>
        <v>2025</v>
      </c>
      <c r="O475"/>
    </row>
    <row r="476" spans="1:15" x14ac:dyDescent="0.35">
      <c r="A476" t="s">
        <v>859</v>
      </c>
      <c r="B476" s="2">
        <v>45691</v>
      </c>
      <c r="C476" t="s">
        <v>24</v>
      </c>
      <c r="D476" t="s">
        <v>29</v>
      </c>
      <c r="E476" t="s">
        <v>34</v>
      </c>
      <c r="F476" t="s">
        <v>31</v>
      </c>
      <c r="G476">
        <v>1</v>
      </c>
      <c r="H476">
        <v>2.2000000000000002</v>
      </c>
      <c r="I476" t="s">
        <v>39</v>
      </c>
      <c r="J476" t="s">
        <v>860</v>
      </c>
      <c r="K476" s="12">
        <f>Store_Record[[#This Row],[Qty]]*Store_Record[[#This Row],[UnitPriceGBP]]</f>
        <v>2.2000000000000002</v>
      </c>
      <c r="L476" s="5" t="str">
        <f>TEXT(Store_Record[[#This Row],[Date]],"dddd")</f>
        <v>Monday</v>
      </c>
      <c r="M476" s="5" t="str">
        <f>TEXT(Store_Record[[#This Row],[Date]],"mmmm")</f>
        <v>February</v>
      </c>
      <c r="N476" s="5">
        <f>YEAR(Store_Record[[#This Row],[Date]])</f>
        <v>2025</v>
      </c>
      <c r="O476"/>
    </row>
    <row r="477" spans="1:15" x14ac:dyDescent="0.35">
      <c r="A477" t="s">
        <v>898</v>
      </c>
      <c r="B477" s="2">
        <v>45692</v>
      </c>
      <c r="C477" t="s">
        <v>20</v>
      </c>
      <c r="D477" t="s">
        <v>29</v>
      </c>
      <c r="E477" t="s">
        <v>42</v>
      </c>
      <c r="F477" t="s">
        <v>13</v>
      </c>
      <c r="G477">
        <v>5</v>
      </c>
      <c r="H477">
        <v>3.8</v>
      </c>
      <c r="I477" t="s">
        <v>14</v>
      </c>
      <c r="J477" t="s">
        <v>899</v>
      </c>
      <c r="K477" s="12">
        <f>Store_Record[[#This Row],[Qty]]*Store_Record[[#This Row],[UnitPriceGBP]]</f>
        <v>19</v>
      </c>
      <c r="L477" s="5" t="str">
        <f>TEXT(Store_Record[[#This Row],[Date]],"dddd")</f>
        <v>Tuesday</v>
      </c>
      <c r="M477" s="5" t="str">
        <f>TEXT(Store_Record[[#This Row],[Date]],"mmmm")</f>
        <v>February</v>
      </c>
      <c r="N477" s="5">
        <f>YEAR(Store_Record[[#This Row],[Date]])</f>
        <v>2025</v>
      </c>
      <c r="O477"/>
    </row>
    <row r="478" spans="1:15" x14ac:dyDescent="0.35">
      <c r="A478" t="s">
        <v>893</v>
      </c>
      <c r="B478" s="2">
        <v>45692</v>
      </c>
      <c r="C478" t="s">
        <v>24</v>
      </c>
      <c r="D478" t="s">
        <v>11</v>
      </c>
      <c r="E478" t="s">
        <v>26</v>
      </c>
      <c r="F478" t="s">
        <v>13</v>
      </c>
      <c r="G478">
        <v>5</v>
      </c>
      <c r="H478">
        <v>3.5</v>
      </c>
      <c r="I478" t="s">
        <v>39</v>
      </c>
      <c r="J478" t="s">
        <v>894</v>
      </c>
      <c r="K478" s="12">
        <f>Store_Record[[#This Row],[Qty]]*Store_Record[[#This Row],[UnitPriceGBP]]</f>
        <v>17.5</v>
      </c>
      <c r="L478" s="5" t="str">
        <f>TEXT(Store_Record[[#This Row],[Date]],"dddd")</f>
        <v>Tuesday</v>
      </c>
      <c r="M478" s="5" t="str">
        <f>TEXT(Store_Record[[#This Row],[Date]],"mmmm")</f>
        <v>February</v>
      </c>
      <c r="N478" s="5">
        <f>YEAR(Store_Record[[#This Row],[Date]])</f>
        <v>2025</v>
      </c>
      <c r="O478"/>
    </row>
    <row r="479" spans="1:15" x14ac:dyDescent="0.35">
      <c r="A479" t="s">
        <v>896</v>
      </c>
      <c r="B479" s="2">
        <v>45692</v>
      </c>
      <c r="C479" t="s">
        <v>10</v>
      </c>
      <c r="D479" t="s">
        <v>29</v>
      </c>
      <c r="E479" t="s">
        <v>26</v>
      </c>
      <c r="F479" t="s">
        <v>13</v>
      </c>
      <c r="G479">
        <v>5</v>
      </c>
      <c r="H479">
        <v>3.5</v>
      </c>
      <c r="I479" t="s">
        <v>39</v>
      </c>
      <c r="J479" t="s">
        <v>788</v>
      </c>
      <c r="K479" s="12">
        <f>Store_Record[[#This Row],[Qty]]*Store_Record[[#This Row],[UnitPriceGBP]]</f>
        <v>17.5</v>
      </c>
      <c r="L479" s="5" t="str">
        <f>TEXT(Store_Record[[#This Row],[Date]],"dddd")</f>
        <v>Tuesday</v>
      </c>
      <c r="M479" s="5" t="str">
        <f>TEXT(Store_Record[[#This Row],[Date]],"mmmm")</f>
        <v>February</v>
      </c>
      <c r="N479" s="5">
        <f>YEAR(Store_Record[[#This Row],[Date]])</f>
        <v>2025</v>
      </c>
      <c r="O479"/>
    </row>
    <row r="480" spans="1:15" x14ac:dyDescent="0.35">
      <c r="A480" t="s">
        <v>895</v>
      </c>
      <c r="B480" s="2">
        <v>45692</v>
      </c>
      <c r="C480" t="s">
        <v>36</v>
      </c>
      <c r="D480" t="s">
        <v>11</v>
      </c>
      <c r="E480" t="s">
        <v>42</v>
      </c>
      <c r="F480" t="s">
        <v>13</v>
      </c>
      <c r="G480">
        <v>4</v>
      </c>
      <c r="H480">
        <v>3.8</v>
      </c>
      <c r="I480" t="s">
        <v>21</v>
      </c>
      <c r="J480" t="s">
        <v>181</v>
      </c>
      <c r="K480" s="12">
        <f>Store_Record[[#This Row],[Qty]]*Store_Record[[#This Row],[UnitPriceGBP]]</f>
        <v>15.2</v>
      </c>
      <c r="L480" s="5" t="str">
        <f>TEXT(Store_Record[[#This Row],[Date]],"dddd")</f>
        <v>Tuesday</v>
      </c>
      <c r="M480" s="5" t="str">
        <f>TEXT(Store_Record[[#This Row],[Date]],"mmmm")</f>
        <v>February</v>
      </c>
      <c r="N480" s="5">
        <f>YEAR(Store_Record[[#This Row],[Date]])</f>
        <v>2025</v>
      </c>
      <c r="O480"/>
    </row>
    <row r="481" spans="1:15" x14ac:dyDescent="0.35">
      <c r="A481" t="s">
        <v>905</v>
      </c>
      <c r="B481" s="2">
        <v>45692</v>
      </c>
      <c r="C481" t="s">
        <v>24</v>
      </c>
      <c r="D481" t="s">
        <v>47</v>
      </c>
      <c r="E481" t="s">
        <v>42</v>
      </c>
      <c r="F481" t="s">
        <v>13</v>
      </c>
      <c r="G481">
        <v>4</v>
      </c>
      <c r="H481">
        <v>3.8</v>
      </c>
      <c r="I481" t="s">
        <v>14</v>
      </c>
      <c r="J481" t="s">
        <v>906</v>
      </c>
      <c r="K481" s="12">
        <f>Store_Record[[#This Row],[Qty]]*Store_Record[[#This Row],[UnitPriceGBP]]</f>
        <v>15.2</v>
      </c>
      <c r="L481" s="5" t="str">
        <f>TEXT(Store_Record[[#This Row],[Date]],"dddd")</f>
        <v>Tuesday</v>
      </c>
      <c r="M481" s="5" t="str">
        <f>TEXT(Store_Record[[#This Row],[Date]],"mmmm")</f>
        <v>February</v>
      </c>
      <c r="N481" s="5">
        <f>YEAR(Store_Record[[#This Row],[Date]])</f>
        <v>2025</v>
      </c>
      <c r="O481"/>
    </row>
    <row r="482" spans="1:15" x14ac:dyDescent="0.35">
      <c r="A482" t="s">
        <v>874</v>
      </c>
      <c r="B482" s="2">
        <v>45692</v>
      </c>
      <c r="C482" t="s">
        <v>10</v>
      </c>
      <c r="D482" t="s">
        <v>11</v>
      </c>
      <c r="E482" t="s">
        <v>26</v>
      </c>
      <c r="F482" t="s">
        <v>13</v>
      </c>
      <c r="G482">
        <v>4</v>
      </c>
      <c r="H482">
        <v>3.5</v>
      </c>
      <c r="I482" t="s">
        <v>14</v>
      </c>
      <c r="J482" t="s">
        <v>875</v>
      </c>
      <c r="K482" s="12">
        <f>Store_Record[[#This Row],[Qty]]*Store_Record[[#This Row],[UnitPriceGBP]]</f>
        <v>14</v>
      </c>
      <c r="L482" s="5" t="str">
        <f>TEXT(Store_Record[[#This Row],[Date]],"dddd")</f>
        <v>Tuesday</v>
      </c>
      <c r="M482" s="5" t="str">
        <f>TEXT(Store_Record[[#This Row],[Date]],"mmmm")</f>
        <v>February</v>
      </c>
      <c r="N482" s="5">
        <f>YEAR(Store_Record[[#This Row],[Date]])</f>
        <v>2025</v>
      </c>
      <c r="O482"/>
    </row>
    <row r="483" spans="1:15" x14ac:dyDescent="0.35">
      <c r="A483" t="s">
        <v>880</v>
      </c>
      <c r="B483" s="2">
        <v>45692</v>
      </c>
      <c r="C483" t="s">
        <v>10</v>
      </c>
      <c r="D483" t="s">
        <v>29</v>
      </c>
      <c r="E483" t="s">
        <v>26</v>
      </c>
      <c r="F483" t="s">
        <v>13</v>
      </c>
      <c r="G483">
        <v>4</v>
      </c>
      <c r="H483">
        <v>3.5</v>
      </c>
      <c r="I483" t="s">
        <v>39</v>
      </c>
      <c r="J483" t="s">
        <v>881</v>
      </c>
      <c r="K483" s="12">
        <f>Store_Record[[#This Row],[Qty]]*Store_Record[[#This Row],[UnitPriceGBP]]</f>
        <v>14</v>
      </c>
      <c r="L483" s="5" t="str">
        <f>TEXT(Store_Record[[#This Row],[Date]],"dddd")</f>
        <v>Tuesday</v>
      </c>
      <c r="M483" s="5" t="str">
        <f>TEXT(Store_Record[[#This Row],[Date]],"mmmm")</f>
        <v>February</v>
      </c>
      <c r="N483" s="5">
        <f>YEAR(Store_Record[[#This Row],[Date]])</f>
        <v>2025</v>
      </c>
      <c r="O483"/>
    </row>
    <row r="484" spans="1:15" x14ac:dyDescent="0.35">
      <c r="A484" t="s">
        <v>882</v>
      </c>
      <c r="B484" s="2">
        <v>45692</v>
      </c>
      <c r="C484" t="s">
        <v>10</v>
      </c>
      <c r="D484" t="s">
        <v>47</v>
      </c>
      <c r="E484" t="s">
        <v>12</v>
      </c>
      <c r="F484" t="s">
        <v>13</v>
      </c>
      <c r="G484">
        <v>5</v>
      </c>
      <c r="H484">
        <v>2.5</v>
      </c>
      <c r="I484" t="s">
        <v>39</v>
      </c>
      <c r="J484" t="s">
        <v>222</v>
      </c>
      <c r="K484" s="12">
        <f>Store_Record[[#This Row],[Qty]]*Store_Record[[#This Row],[UnitPriceGBP]]</f>
        <v>12.5</v>
      </c>
      <c r="L484" s="5" t="str">
        <f>TEXT(Store_Record[[#This Row],[Date]],"dddd")</f>
        <v>Tuesday</v>
      </c>
      <c r="M484" s="5" t="str">
        <f>TEXT(Store_Record[[#This Row],[Date]],"mmmm")</f>
        <v>February</v>
      </c>
      <c r="N484" s="5">
        <f>YEAR(Store_Record[[#This Row],[Date]])</f>
        <v>2025</v>
      </c>
      <c r="O484"/>
    </row>
    <row r="485" spans="1:15" x14ac:dyDescent="0.35">
      <c r="A485" t="s">
        <v>897</v>
      </c>
      <c r="B485" s="2">
        <v>45692</v>
      </c>
      <c r="C485" t="s">
        <v>20</v>
      </c>
      <c r="D485" t="s">
        <v>47</v>
      </c>
      <c r="E485" t="s">
        <v>42</v>
      </c>
      <c r="F485" t="s">
        <v>13</v>
      </c>
      <c r="G485">
        <v>3</v>
      </c>
      <c r="H485">
        <v>3.8</v>
      </c>
      <c r="I485" t="s">
        <v>39</v>
      </c>
      <c r="J485" t="s">
        <v>321</v>
      </c>
      <c r="K485" s="12">
        <f>Store_Record[[#This Row],[Qty]]*Store_Record[[#This Row],[UnitPriceGBP]]</f>
        <v>11.399999999999999</v>
      </c>
      <c r="L485" s="5" t="str">
        <f>TEXT(Store_Record[[#This Row],[Date]],"dddd")</f>
        <v>Tuesday</v>
      </c>
      <c r="M485" s="5" t="str">
        <f>TEXT(Store_Record[[#This Row],[Date]],"mmmm")</f>
        <v>February</v>
      </c>
      <c r="N485" s="5">
        <f>YEAR(Store_Record[[#This Row],[Date]])</f>
        <v>2025</v>
      </c>
      <c r="O485"/>
    </row>
    <row r="486" spans="1:15" x14ac:dyDescent="0.35">
      <c r="A486" t="s">
        <v>883</v>
      </c>
      <c r="B486" s="2">
        <v>45692</v>
      </c>
      <c r="C486" t="s">
        <v>36</v>
      </c>
      <c r="D486" t="s">
        <v>38</v>
      </c>
      <c r="E486" t="s">
        <v>34</v>
      </c>
      <c r="F486" t="s">
        <v>31</v>
      </c>
      <c r="G486">
        <v>5</v>
      </c>
      <c r="H486">
        <v>2.2000000000000002</v>
      </c>
      <c r="I486" t="s">
        <v>14</v>
      </c>
      <c r="J486" t="s">
        <v>884</v>
      </c>
      <c r="K486" s="12">
        <f>Store_Record[[#This Row],[Qty]]*Store_Record[[#This Row],[UnitPriceGBP]]</f>
        <v>11</v>
      </c>
      <c r="L486" s="5" t="str">
        <f>TEXT(Store_Record[[#This Row],[Date]],"dddd")</f>
        <v>Tuesday</v>
      </c>
      <c r="M486" s="5" t="str">
        <f>TEXT(Store_Record[[#This Row],[Date]],"mmmm")</f>
        <v>February</v>
      </c>
      <c r="N486" s="5">
        <f>YEAR(Store_Record[[#This Row],[Date]])</f>
        <v>2025</v>
      </c>
      <c r="O486"/>
    </row>
    <row r="487" spans="1:15" x14ac:dyDescent="0.35">
      <c r="A487" t="s">
        <v>903</v>
      </c>
      <c r="B487" s="2">
        <v>45692</v>
      </c>
      <c r="C487" t="s">
        <v>24</v>
      </c>
      <c r="D487" t="s">
        <v>29</v>
      </c>
      <c r="E487" t="s">
        <v>34</v>
      </c>
      <c r="F487" t="s">
        <v>31</v>
      </c>
      <c r="G487">
        <v>4</v>
      </c>
      <c r="H487">
        <v>2.2000000000000002</v>
      </c>
      <c r="I487" t="s">
        <v>21</v>
      </c>
      <c r="J487" t="s">
        <v>852</v>
      </c>
      <c r="K487" s="12">
        <f>Store_Record[[#This Row],[Qty]]*Store_Record[[#This Row],[UnitPriceGBP]]</f>
        <v>8.8000000000000007</v>
      </c>
      <c r="L487" s="5" t="str">
        <f>TEXT(Store_Record[[#This Row],[Date]],"dddd")</f>
        <v>Tuesday</v>
      </c>
      <c r="M487" s="5" t="str">
        <f>TEXT(Store_Record[[#This Row],[Date]],"mmmm")</f>
        <v>February</v>
      </c>
      <c r="N487" s="5">
        <f>YEAR(Store_Record[[#This Row],[Date]])</f>
        <v>2025</v>
      </c>
      <c r="O487"/>
    </row>
    <row r="488" spans="1:15" x14ac:dyDescent="0.35">
      <c r="A488" t="s">
        <v>876</v>
      </c>
      <c r="B488" s="2">
        <v>45692</v>
      </c>
      <c r="C488" t="s">
        <v>20</v>
      </c>
      <c r="D488" t="s">
        <v>38</v>
      </c>
      <c r="E488" t="s">
        <v>42</v>
      </c>
      <c r="F488" t="s">
        <v>13</v>
      </c>
      <c r="G488">
        <v>2</v>
      </c>
      <c r="H488">
        <v>3.8</v>
      </c>
      <c r="I488" t="s">
        <v>14</v>
      </c>
      <c r="J488" t="s">
        <v>877</v>
      </c>
      <c r="K488" s="12">
        <f>Store_Record[[#This Row],[Qty]]*Store_Record[[#This Row],[UnitPriceGBP]]</f>
        <v>7.6</v>
      </c>
      <c r="L488" s="5" t="str">
        <f>TEXT(Store_Record[[#This Row],[Date]],"dddd")</f>
        <v>Tuesday</v>
      </c>
      <c r="M488" s="5" t="str">
        <f>TEXT(Store_Record[[#This Row],[Date]],"mmmm")</f>
        <v>February</v>
      </c>
      <c r="N488" s="5">
        <f>YEAR(Store_Record[[#This Row],[Date]])</f>
        <v>2025</v>
      </c>
      <c r="O488"/>
    </row>
    <row r="489" spans="1:15" x14ac:dyDescent="0.35">
      <c r="A489" t="s">
        <v>889</v>
      </c>
      <c r="B489" s="2">
        <v>45692</v>
      </c>
      <c r="C489" t="s">
        <v>36</v>
      </c>
      <c r="D489" t="s">
        <v>25</v>
      </c>
      <c r="E489" t="s">
        <v>42</v>
      </c>
      <c r="F489" t="s">
        <v>13</v>
      </c>
      <c r="G489">
        <v>2</v>
      </c>
      <c r="H489">
        <v>3.8</v>
      </c>
      <c r="I489" t="s">
        <v>14</v>
      </c>
      <c r="J489" t="s">
        <v>890</v>
      </c>
      <c r="K489" s="12">
        <f>Store_Record[[#This Row],[Qty]]*Store_Record[[#This Row],[UnitPriceGBP]]</f>
        <v>7.6</v>
      </c>
      <c r="L489" s="5" t="str">
        <f>TEXT(Store_Record[[#This Row],[Date]],"dddd")</f>
        <v>Tuesday</v>
      </c>
      <c r="M489" s="5" t="str">
        <f>TEXT(Store_Record[[#This Row],[Date]],"mmmm")</f>
        <v>February</v>
      </c>
      <c r="N489" s="5">
        <f>YEAR(Store_Record[[#This Row],[Date]])</f>
        <v>2025</v>
      </c>
      <c r="O489"/>
    </row>
    <row r="490" spans="1:15" x14ac:dyDescent="0.35">
      <c r="A490" t="s">
        <v>878</v>
      </c>
      <c r="B490" s="2">
        <v>45692</v>
      </c>
      <c r="C490" t="s">
        <v>20</v>
      </c>
      <c r="D490" t="s">
        <v>38</v>
      </c>
      <c r="E490" t="s">
        <v>34</v>
      </c>
      <c r="F490" t="s">
        <v>31</v>
      </c>
      <c r="G490">
        <v>3</v>
      </c>
      <c r="H490">
        <v>2.2000000000000002</v>
      </c>
      <c r="I490" t="s">
        <v>14</v>
      </c>
      <c r="J490" t="s">
        <v>879</v>
      </c>
      <c r="K490" s="12">
        <f>Store_Record[[#This Row],[Qty]]*Store_Record[[#This Row],[UnitPriceGBP]]</f>
        <v>6.6000000000000005</v>
      </c>
      <c r="L490" s="5" t="str">
        <f>TEXT(Store_Record[[#This Row],[Date]],"dddd")</f>
        <v>Tuesday</v>
      </c>
      <c r="M490" s="5" t="str">
        <f>TEXT(Store_Record[[#This Row],[Date]],"mmmm")</f>
        <v>February</v>
      </c>
      <c r="N490" s="5">
        <f>YEAR(Store_Record[[#This Row],[Date]])</f>
        <v>2025</v>
      </c>
      <c r="O490"/>
    </row>
    <row r="491" spans="1:15" x14ac:dyDescent="0.35">
      <c r="A491" t="s">
        <v>900</v>
      </c>
      <c r="B491" s="2">
        <v>45692</v>
      </c>
      <c r="C491" t="s">
        <v>24</v>
      </c>
      <c r="D491" t="s">
        <v>47</v>
      </c>
      <c r="E491" t="s">
        <v>30</v>
      </c>
      <c r="F491" t="s">
        <v>31</v>
      </c>
      <c r="G491">
        <v>2</v>
      </c>
      <c r="H491">
        <v>2.8</v>
      </c>
      <c r="I491" t="s">
        <v>39</v>
      </c>
      <c r="J491" t="s">
        <v>901</v>
      </c>
      <c r="K491" s="12">
        <f>Store_Record[[#This Row],[Qty]]*Store_Record[[#This Row],[UnitPriceGBP]]</f>
        <v>5.6</v>
      </c>
      <c r="L491" s="5" t="str">
        <f>TEXT(Store_Record[[#This Row],[Date]],"dddd")</f>
        <v>Tuesday</v>
      </c>
      <c r="M491" s="5" t="str">
        <f>TEXT(Store_Record[[#This Row],[Date]],"mmmm")</f>
        <v>February</v>
      </c>
      <c r="N491" s="5">
        <f>YEAR(Store_Record[[#This Row],[Date]])</f>
        <v>2025</v>
      </c>
      <c r="O491"/>
    </row>
    <row r="492" spans="1:15" x14ac:dyDescent="0.35">
      <c r="A492" t="s">
        <v>885</v>
      </c>
      <c r="B492" s="2">
        <v>45692</v>
      </c>
      <c r="C492" t="s">
        <v>20</v>
      </c>
      <c r="D492" t="s">
        <v>11</v>
      </c>
      <c r="E492" t="s">
        <v>12</v>
      </c>
      <c r="F492" t="s">
        <v>13</v>
      </c>
      <c r="G492">
        <v>2</v>
      </c>
      <c r="H492">
        <v>2.5</v>
      </c>
      <c r="I492" t="s">
        <v>21</v>
      </c>
      <c r="J492" t="s">
        <v>886</v>
      </c>
      <c r="K492" s="12">
        <f>Store_Record[[#This Row],[Qty]]*Store_Record[[#This Row],[UnitPriceGBP]]</f>
        <v>5</v>
      </c>
      <c r="L492" s="5" t="str">
        <f>TEXT(Store_Record[[#This Row],[Date]],"dddd")</f>
        <v>Tuesday</v>
      </c>
      <c r="M492" s="5" t="str">
        <f>TEXT(Store_Record[[#This Row],[Date]],"mmmm")</f>
        <v>February</v>
      </c>
      <c r="N492" s="5">
        <f>YEAR(Store_Record[[#This Row],[Date]])</f>
        <v>2025</v>
      </c>
      <c r="O492"/>
    </row>
    <row r="493" spans="1:15" x14ac:dyDescent="0.35">
      <c r="A493" t="s">
        <v>887</v>
      </c>
      <c r="B493" s="2">
        <v>45692</v>
      </c>
      <c r="C493" t="s">
        <v>24</v>
      </c>
      <c r="D493" t="s">
        <v>11</v>
      </c>
      <c r="E493" t="s">
        <v>12</v>
      </c>
      <c r="F493" t="s">
        <v>13</v>
      </c>
      <c r="G493">
        <v>2</v>
      </c>
      <c r="H493">
        <v>2.5</v>
      </c>
      <c r="I493" t="s">
        <v>39</v>
      </c>
      <c r="J493" t="s">
        <v>888</v>
      </c>
      <c r="K493" s="12">
        <f>Store_Record[[#This Row],[Qty]]*Store_Record[[#This Row],[UnitPriceGBP]]</f>
        <v>5</v>
      </c>
      <c r="L493" s="5" t="str">
        <f>TEXT(Store_Record[[#This Row],[Date]],"dddd")</f>
        <v>Tuesday</v>
      </c>
      <c r="M493" s="5" t="str">
        <f>TEXT(Store_Record[[#This Row],[Date]],"mmmm")</f>
        <v>February</v>
      </c>
      <c r="N493" s="5">
        <f>YEAR(Store_Record[[#This Row],[Date]])</f>
        <v>2025</v>
      </c>
      <c r="O493"/>
    </row>
    <row r="494" spans="1:15" x14ac:dyDescent="0.35">
      <c r="A494" t="s">
        <v>902</v>
      </c>
      <c r="B494" s="2">
        <v>45692</v>
      </c>
      <c r="C494" t="s">
        <v>24</v>
      </c>
      <c r="D494" t="s">
        <v>29</v>
      </c>
      <c r="E494" t="s">
        <v>34</v>
      </c>
      <c r="F494" t="s">
        <v>31</v>
      </c>
      <c r="G494">
        <v>2</v>
      </c>
      <c r="H494">
        <v>2.2000000000000002</v>
      </c>
      <c r="I494" t="s">
        <v>21</v>
      </c>
      <c r="J494" t="s">
        <v>757</v>
      </c>
      <c r="K494" s="12">
        <f>Store_Record[[#This Row],[Qty]]*Store_Record[[#This Row],[UnitPriceGBP]]</f>
        <v>4.4000000000000004</v>
      </c>
      <c r="L494" s="5" t="str">
        <f>TEXT(Store_Record[[#This Row],[Date]],"dddd")</f>
        <v>Tuesday</v>
      </c>
      <c r="M494" s="5" t="str">
        <f>TEXT(Store_Record[[#This Row],[Date]],"mmmm")</f>
        <v>February</v>
      </c>
      <c r="N494" s="5">
        <f>YEAR(Store_Record[[#This Row],[Date]])</f>
        <v>2025</v>
      </c>
      <c r="O494"/>
    </row>
    <row r="495" spans="1:15" x14ac:dyDescent="0.35">
      <c r="A495" t="s">
        <v>904</v>
      </c>
      <c r="B495" s="2">
        <v>45692</v>
      </c>
      <c r="C495" t="s">
        <v>36</v>
      </c>
      <c r="D495" t="s">
        <v>38</v>
      </c>
      <c r="E495" t="s">
        <v>42</v>
      </c>
      <c r="F495" t="s">
        <v>13</v>
      </c>
      <c r="G495">
        <v>1</v>
      </c>
      <c r="H495">
        <v>3.8</v>
      </c>
      <c r="I495" t="s">
        <v>39</v>
      </c>
      <c r="J495" t="s">
        <v>146</v>
      </c>
      <c r="K495" s="12">
        <f>Store_Record[[#This Row],[Qty]]*Store_Record[[#This Row],[UnitPriceGBP]]</f>
        <v>3.8</v>
      </c>
      <c r="L495" s="5" t="str">
        <f>TEXT(Store_Record[[#This Row],[Date]],"dddd")</f>
        <v>Tuesday</v>
      </c>
      <c r="M495" s="5" t="str">
        <f>TEXT(Store_Record[[#This Row],[Date]],"mmmm")</f>
        <v>February</v>
      </c>
      <c r="N495" s="5">
        <f>YEAR(Store_Record[[#This Row],[Date]])</f>
        <v>2025</v>
      </c>
      <c r="O495"/>
    </row>
    <row r="496" spans="1:15" x14ac:dyDescent="0.35">
      <c r="A496" t="s">
        <v>891</v>
      </c>
      <c r="B496" s="2">
        <v>45692</v>
      </c>
      <c r="C496" t="s">
        <v>24</v>
      </c>
      <c r="D496" t="s">
        <v>47</v>
      </c>
      <c r="E496" t="s">
        <v>34</v>
      </c>
      <c r="F496" t="s">
        <v>31</v>
      </c>
      <c r="G496">
        <v>1</v>
      </c>
      <c r="H496">
        <v>2.2000000000000002</v>
      </c>
      <c r="I496" t="s">
        <v>14</v>
      </c>
      <c r="J496" t="s">
        <v>892</v>
      </c>
      <c r="K496" s="12">
        <f>Store_Record[[#This Row],[Qty]]*Store_Record[[#This Row],[UnitPriceGBP]]</f>
        <v>2.2000000000000002</v>
      </c>
      <c r="L496" s="5" t="str">
        <f>TEXT(Store_Record[[#This Row],[Date]],"dddd")</f>
        <v>Tuesday</v>
      </c>
      <c r="M496" s="5" t="str">
        <f>TEXT(Store_Record[[#This Row],[Date]],"mmmm")</f>
        <v>February</v>
      </c>
      <c r="N496" s="5">
        <f>YEAR(Store_Record[[#This Row],[Date]])</f>
        <v>2025</v>
      </c>
      <c r="O496"/>
    </row>
    <row r="497" spans="1:15" x14ac:dyDescent="0.35">
      <c r="A497" t="s">
        <v>907</v>
      </c>
      <c r="B497" s="2">
        <v>45693</v>
      </c>
      <c r="C497" t="s">
        <v>10</v>
      </c>
      <c r="D497" t="s">
        <v>29</v>
      </c>
      <c r="E497" t="s">
        <v>42</v>
      </c>
      <c r="F497" t="s">
        <v>13</v>
      </c>
      <c r="G497">
        <v>5</v>
      </c>
      <c r="H497">
        <v>3.8</v>
      </c>
      <c r="I497" t="s">
        <v>21</v>
      </c>
      <c r="J497" t="s">
        <v>908</v>
      </c>
      <c r="K497" s="12">
        <f>Store_Record[[#This Row],[Qty]]*Store_Record[[#This Row],[UnitPriceGBP]]</f>
        <v>19</v>
      </c>
      <c r="L497" s="5" t="str">
        <f>TEXT(Store_Record[[#This Row],[Date]],"dddd")</f>
        <v>Wednesday</v>
      </c>
      <c r="M497" s="5" t="str">
        <f>TEXT(Store_Record[[#This Row],[Date]],"mmmm")</f>
        <v>February</v>
      </c>
      <c r="N497" s="5">
        <f>YEAR(Store_Record[[#This Row],[Date]])</f>
        <v>2025</v>
      </c>
      <c r="O497"/>
    </row>
    <row r="498" spans="1:15" x14ac:dyDescent="0.35">
      <c r="A498" t="s">
        <v>919</v>
      </c>
      <c r="B498" s="2">
        <v>45693</v>
      </c>
      <c r="C498" t="s">
        <v>24</v>
      </c>
      <c r="D498" t="s">
        <v>47</v>
      </c>
      <c r="E498" t="s">
        <v>42</v>
      </c>
      <c r="F498" t="s">
        <v>13</v>
      </c>
      <c r="G498">
        <v>5</v>
      </c>
      <c r="H498">
        <v>3.8</v>
      </c>
      <c r="I498" t="s">
        <v>39</v>
      </c>
      <c r="J498" t="s">
        <v>411</v>
      </c>
      <c r="K498" s="12">
        <f>Store_Record[[#This Row],[Qty]]*Store_Record[[#This Row],[UnitPriceGBP]]</f>
        <v>19</v>
      </c>
      <c r="L498" s="5" t="str">
        <f>TEXT(Store_Record[[#This Row],[Date]],"dddd")</f>
        <v>Wednesday</v>
      </c>
      <c r="M498" s="5" t="str">
        <f>TEXT(Store_Record[[#This Row],[Date]],"mmmm")</f>
        <v>February</v>
      </c>
      <c r="N498" s="5">
        <f>YEAR(Store_Record[[#This Row],[Date]])</f>
        <v>2025</v>
      </c>
      <c r="O498"/>
    </row>
    <row r="499" spans="1:15" x14ac:dyDescent="0.35">
      <c r="A499" t="s">
        <v>915</v>
      </c>
      <c r="B499" s="2">
        <v>45693</v>
      </c>
      <c r="C499" t="s">
        <v>10</v>
      </c>
      <c r="D499" t="s">
        <v>25</v>
      </c>
      <c r="E499" t="s">
        <v>30</v>
      </c>
      <c r="F499" t="s">
        <v>31</v>
      </c>
      <c r="G499">
        <v>4</v>
      </c>
      <c r="H499">
        <v>2.8</v>
      </c>
      <c r="I499" t="s">
        <v>21</v>
      </c>
      <c r="J499" t="s">
        <v>364</v>
      </c>
      <c r="K499" s="12">
        <f>Store_Record[[#This Row],[Qty]]*Store_Record[[#This Row],[UnitPriceGBP]]</f>
        <v>11.2</v>
      </c>
      <c r="L499" s="5" t="str">
        <f>TEXT(Store_Record[[#This Row],[Date]],"dddd")</f>
        <v>Wednesday</v>
      </c>
      <c r="M499" s="5" t="str">
        <f>TEXT(Store_Record[[#This Row],[Date]],"mmmm")</f>
        <v>February</v>
      </c>
      <c r="N499" s="5">
        <f>YEAR(Store_Record[[#This Row],[Date]])</f>
        <v>2025</v>
      </c>
      <c r="O499"/>
    </row>
    <row r="500" spans="1:15" x14ac:dyDescent="0.35">
      <c r="A500" t="s">
        <v>916</v>
      </c>
      <c r="B500" s="2">
        <v>45693</v>
      </c>
      <c r="C500" t="s">
        <v>20</v>
      </c>
      <c r="D500" t="s">
        <v>11</v>
      </c>
      <c r="E500" t="s">
        <v>34</v>
      </c>
      <c r="F500" t="s">
        <v>31</v>
      </c>
      <c r="G500">
        <v>5</v>
      </c>
      <c r="H500">
        <v>2.2000000000000002</v>
      </c>
      <c r="I500" t="s">
        <v>39</v>
      </c>
      <c r="J500" t="s">
        <v>788</v>
      </c>
      <c r="K500" s="12">
        <f>Store_Record[[#This Row],[Qty]]*Store_Record[[#This Row],[UnitPriceGBP]]</f>
        <v>11</v>
      </c>
      <c r="L500" s="5" t="str">
        <f>TEXT(Store_Record[[#This Row],[Date]],"dddd")</f>
        <v>Wednesday</v>
      </c>
      <c r="M500" s="5" t="str">
        <f>TEXT(Store_Record[[#This Row],[Date]],"mmmm")</f>
        <v>February</v>
      </c>
      <c r="N500" s="5">
        <f>YEAR(Store_Record[[#This Row],[Date]])</f>
        <v>2025</v>
      </c>
      <c r="O500"/>
    </row>
    <row r="501" spans="1:15" x14ac:dyDescent="0.35">
      <c r="A501" t="s">
        <v>917</v>
      </c>
      <c r="B501" s="2">
        <v>45693</v>
      </c>
      <c r="C501" t="s">
        <v>24</v>
      </c>
      <c r="D501" t="s">
        <v>29</v>
      </c>
      <c r="E501" t="s">
        <v>26</v>
      </c>
      <c r="F501" t="s">
        <v>13</v>
      </c>
      <c r="G501">
        <v>3</v>
      </c>
      <c r="H501">
        <v>3.5</v>
      </c>
      <c r="I501" t="s">
        <v>14</v>
      </c>
      <c r="J501" t="s">
        <v>918</v>
      </c>
      <c r="K501" s="12">
        <f>Store_Record[[#This Row],[Qty]]*Store_Record[[#This Row],[UnitPriceGBP]]</f>
        <v>10.5</v>
      </c>
      <c r="L501" s="5" t="str">
        <f>TEXT(Store_Record[[#This Row],[Date]],"dddd")</f>
        <v>Wednesday</v>
      </c>
      <c r="M501" s="5" t="str">
        <f>TEXT(Store_Record[[#This Row],[Date]],"mmmm")</f>
        <v>February</v>
      </c>
      <c r="N501" s="5">
        <f>YEAR(Store_Record[[#This Row],[Date]])</f>
        <v>2025</v>
      </c>
      <c r="O501"/>
    </row>
    <row r="502" spans="1:15" x14ac:dyDescent="0.35">
      <c r="A502" t="s">
        <v>913</v>
      </c>
      <c r="B502" s="2">
        <v>45693</v>
      </c>
      <c r="C502" t="s">
        <v>10</v>
      </c>
      <c r="D502" t="s">
        <v>38</v>
      </c>
      <c r="E502" t="s">
        <v>34</v>
      </c>
      <c r="F502" t="s">
        <v>31</v>
      </c>
      <c r="G502">
        <v>2</v>
      </c>
      <c r="H502">
        <v>2.2000000000000002</v>
      </c>
      <c r="I502" t="s">
        <v>39</v>
      </c>
      <c r="J502" t="s">
        <v>624</v>
      </c>
      <c r="K502" s="12">
        <f>Store_Record[[#This Row],[Qty]]*Store_Record[[#This Row],[UnitPriceGBP]]</f>
        <v>4.4000000000000004</v>
      </c>
      <c r="L502" s="5" t="str">
        <f>TEXT(Store_Record[[#This Row],[Date]],"dddd")</f>
        <v>Wednesday</v>
      </c>
      <c r="M502" s="5" t="str">
        <f>TEXT(Store_Record[[#This Row],[Date]],"mmmm")</f>
        <v>February</v>
      </c>
      <c r="N502" s="5">
        <f>YEAR(Store_Record[[#This Row],[Date]])</f>
        <v>2025</v>
      </c>
      <c r="O502"/>
    </row>
    <row r="503" spans="1:15" x14ac:dyDescent="0.35">
      <c r="A503" t="s">
        <v>914</v>
      </c>
      <c r="B503" s="2">
        <v>45693</v>
      </c>
      <c r="C503" t="s">
        <v>10</v>
      </c>
      <c r="D503" t="s">
        <v>38</v>
      </c>
      <c r="E503" t="s">
        <v>42</v>
      </c>
      <c r="F503" t="s">
        <v>13</v>
      </c>
      <c r="G503">
        <v>1</v>
      </c>
      <c r="H503">
        <v>3.8</v>
      </c>
      <c r="I503" t="s">
        <v>21</v>
      </c>
      <c r="J503" t="s">
        <v>460</v>
      </c>
      <c r="K503" s="12">
        <f>Store_Record[[#This Row],[Qty]]*Store_Record[[#This Row],[UnitPriceGBP]]</f>
        <v>3.8</v>
      </c>
      <c r="L503" s="5" t="str">
        <f>TEXT(Store_Record[[#This Row],[Date]],"dddd")</f>
        <v>Wednesday</v>
      </c>
      <c r="M503" s="5" t="str">
        <f>TEXT(Store_Record[[#This Row],[Date]],"mmmm")</f>
        <v>February</v>
      </c>
      <c r="N503" s="5">
        <f>YEAR(Store_Record[[#This Row],[Date]])</f>
        <v>2025</v>
      </c>
      <c r="O503"/>
    </row>
    <row r="504" spans="1:15" x14ac:dyDescent="0.35">
      <c r="A504" t="s">
        <v>909</v>
      </c>
      <c r="B504" s="2">
        <v>45693</v>
      </c>
      <c r="C504" t="s">
        <v>36</v>
      </c>
      <c r="D504" t="s">
        <v>38</v>
      </c>
      <c r="E504" t="s">
        <v>34</v>
      </c>
      <c r="F504" t="s">
        <v>31</v>
      </c>
      <c r="G504">
        <v>1</v>
      </c>
      <c r="H504">
        <v>2.2000000000000002</v>
      </c>
      <c r="I504" t="s">
        <v>21</v>
      </c>
      <c r="J504" t="s">
        <v>910</v>
      </c>
      <c r="K504" s="12">
        <f>Store_Record[[#This Row],[Qty]]*Store_Record[[#This Row],[UnitPriceGBP]]</f>
        <v>2.2000000000000002</v>
      </c>
      <c r="L504" s="5" t="str">
        <f>TEXT(Store_Record[[#This Row],[Date]],"dddd")</f>
        <v>Wednesday</v>
      </c>
      <c r="M504" s="5" t="str">
        <f>TEXT(Store_Record[[#This Row],[Date]],"mmmm")</f>
        <v>February</v>
      </c>
      <c r="N504" s="5">
        <f>YEAR(Store_Record[[#This Row],[Date]])</f>
        <v>2025</v>
      </c>
      <c r="O504"/>
    </row>
    <row r="505" spans="1:15" x14ac:dyDescent="0.35">
      <c r="A505" t="s">
        <v>911</v>
      </c>
      <c r="B505" s="2">
        <v>45693</v>
      </c>
      <c r="C505" t="s">
        <v>10</v>
      </c>
      <c r="D505" t="s">
        <v>29</v>
      </c>
      <c r="E505" t="s">
        <v>34</v>
      </c>
      <c r="F505" t="s">
        <v>31</v>
      </c>
      <c r="G505">
        <v>1</v>
      </c>
      <c r="H505">
        <v>2.2000000000000002</v>
      </c>
      <c r="I505" t="s">
        <v>14</v>
      </c>
      <c r="J505" t="s">
        <v>912</v>
      </c>
      <c r="K505" s="12">
        <f>Store_Record[[#This Row],[Qty]]*Store_Record[[#This Row],[UnitPriceGBP]]</f>
        <v>2.2000000000000002</v>
      </c>
      <c r="L505" s="5" t="str">
        <f>TEXT(Store_Record[[#This Row],[Date]],"dddd")</f>
        <v>Wednesday</v>
      </c>
      <c r="M505" s="5" t="str">
        <f>TEXT(Store_Record[[#This Row],[Date]],"mmmm")</f>
        <v>February</v>
      </c>
      <c r="N505" s="5">
        <f>YEAR(Store_Record[[#This Row],[Date]])</f>
        <v>2025</v>
      </c>
      <c r="O505"/>
    </row>
    <row r="506" spans="1:15" x14ac:dyDescent="0.35">
      <c r="A506" t="s">
        <v>944</v>
      </c>
      <c r="B506" s="2">
        <v>45694</v>
      </c>
      <c r="C506" t="s">
        <v>36</v>
      </c>
      <c r="D506" t="s">
        <v>38</v>
      </c>
      <c r="E506" t="s">
        <v>42</v>
      </c>
      <c r="F506" t="s">
        <v>13</v>
      </c>
      <c r="G506">
        <v>4</v>
      </c>
      <c r="H506">
        <v>3.8</v>
      </c>
      <c r="I506" t="s">
        <v>14</v>
      </c>
      <c r="J506" t="s">
        <v>945</v>
      </c>
      <c r="K506" s="12">
        <f>Store_Record[[#This Row],[Qty]]*Store_Record[[#This Row],[UnitPriceGBP]]</f>
        <v>15.2</v>
      </c>
      <c r="L506" s="5" t="str">
        <f>TEXT(Store_Record[[#This Row],[Date]],"dddd")</f>
        <v>Thursday</v>
      </c>
      <c r="M506" s="5" t="str">
        <f>TEXT(Store_Record[[#This Row],[Date]],"mmmm")</f>
        <v>February</v>
      </c>
      <c r="N506" s="5">
        <f>YEAR(Store_Record[[#This Row],[Date]])</f>
        <v>2025</v>
      </c>
      <c r="O506"/>
    </row>
    <row r="507" spans="1:15" x14ac:dyDescent="0.35">
      <c r="A507" t="s">
        <v>928</v>
      </c>
      <c r="B507" s="2">
        <v>45694</v>
      </c>
      <c r="C507" t="s">
        <v>10</v>
      </c>
      <c r="D507" t="s">
        <v>11</v>
      </c>
      <c r="E507" t="s">
        <v>26</v>
      </c>
      <c r="F507" t="s">
        <v>13</v>
      </c>
      <c r="G507">
        <v>4</v>
      </c>
      <c r="H507">
        <v>3.5</v>
      </c>
      <c r="I507" t="s">
        <v>39</v>
      </c>
      <c r="J507" t="s">
        <v>929</v>
      </c>
      <c r="K507" s="12">
        <f>Store_Record[[#This Row],[Qty]]*Store_Record[[#This Row],[UnitPriceGBP]]</f>
        <v>14</v>
      </c>
      <c r="L507" s="5" t="str">
        <f>TEXT(Store_Record[[#This Row],[Date]],"dddd")</f>
        <v>Thursday</v>
      </c>
      <c r="M507" s="5" t="str">
        <f>TEXT(Store_Record[[#This Row],[Date]],"mmmm")</f>
        <v>February</v>
      </c>
      <c r="N507" s="5">
        <f>YEAR(Store_Record[[#This Row],[Date]])</f>
        <v>2025</v>
      </c>
      <c r="O507"/>
    </row>
    <row r="508" spans="1:15" x14ac:dyDescent="0.35">
      <c r="A508" t="s">
        <v>932</v>
      </c>
      <c r="B508" s="2">
        <v>45694</v>
      </c>
      <c r="C508" t="s">
        <v>36</v>
      </c>
      <c r="D508" t="s">
        <v>29</v>
      </c>
      <c r="E508" t="s">
        <v>26</v>
      </c>
      <c r="F508" t="s">
        <v>13</v>
      </c>
      <c r="G508">
        <v>4</v>
      </c>
      <c r="H508">
        <v>3.5</v>
      </c>
      <c r="I508" t="s">
        <v>39</v>
      </c>
      <c r="J508" t="s">
        <v>35</v>
      </c>
      <c r="K508" s="12">
        <f>Store_Record[[#This Row],[Qty]]*Store_Record[[#This Row],[UnitPriceGBP]]</f>
        <v>14</v>
      </c>
      <c r="L508" s="5" t="str">
        <f>TEXT(Store_Record[[#This Row],[Date]],"dddd")</f>
        <v>Thursday</v>
      </c>
      <c r="M508" s="5" t="str">
        <f>TEXT(Store_Record[[#This Row],[Date]],"mmmm")</f>
        <v>February</v>
      </c>
      <c r="N508" s="5">
        <f>YEAR(Store_Record[[#This Row],[Date]])</f>
        <v>2025</v>
      </c>
      <c r="O508"/>
    </row>
    <row r="509" spans="1:15" x14ac:dyDescent="0.35">
      <c r="A509" t="s">
        <v>937</v>
      </c>
      <c r="B509" s="2">
        <v>45694</v>
      </c>
      <c r="C509" t="s">
        <v>10</v>
      </c>
      <c r="D509" t="s">
        <v>47</v>
      </c>
      <c r="E509" t="s">
        <v>30</v>
      </c>
      <c r="F509" t="s">
        <v>31</v>
      </c>
      <c r="G509">
        <v>4</v>
      </c>
      <c r="H509">
        <v>2.8</v>
      </c>
      <c r="I509" t="s">
        <v>39</v>
      </c>
      <c r="J509" t="s">
        <v>938</v>
      </c>
      <c r="K509" s="12">
        <f>Store_Record[[#This Row],[Qty]]*Store_Record[[#This Row],[UnitPriceGBP]]</f>
        <v>11.2</v>
      </c>
      <c r="L509" s="5" t="str">
        <f>TEXT(Store_Record[[#This Row],[Date]],"dddd")</f>
        <v>Thursday</v>
      </c>
      <c r="M509" s="5" t="str">
        <f>TEXT(Store_Record[[#This Row],[Date]],"mmmm")</f>
        <v>February</v>
      </c>
      <c r="N509" s="5">
        <f>YEAR(Store_Record[[#This Row],[Date]])</f>
        <v>2025</v>
      </c>
      <c r="O509"/>
    </row>
    <row r="510" spans="1:15" x14ac:dyDescent="0.35">
      <c r="A510" t="s">
        <v>940</v>
      </c>
      <c r="B510" s="2">
        <v>45694</v>
      </c>
      <c r="C510" t="s">
        <v>24</v>
      </c>
      <c r="D510" t="s">
        <v>47</v>
      </c>
      <c r="E510" t="s">
        <v>30</v>
      </c>
      <c r="F510" t="s">
        <v>31</v>
      </c>
      <c r="G510">
        <v>4</v>
      </c>
      <c r="H510">
        <v>2.8</v>
      </c>
      <c r="I510" t="s">
        <v>21</v>
      </c>
      <c r="J510" t="s">
        <v>941</v>
      </c>
      <c r="K510" s="12">
        <f>Store_Record[[#This Row],[Qty]]*Store_Record[[#This Row],[UnitPriceGBP]]</f>
        <v>11.2</v>
      </c>
      <c r="L510" s="5" t="str">
        <f>TEXT(Store_Record[[#This Row],[Date]],"dddd")</f>
        <v>Thursday</v>
      </c>
      <c r="M510" s="5" t="str">
        <f>TEXT(Store_Record[[#This Row],[Date]],"mmmm")</f>
        <v>February</v>
      </c>
      <c r="N510" s="5">
        <f>YEAR(Store_Record[[#This Row],[Date]])</f>
        <v>2025</v>
      </c>
      <c r="O510"/>
    </row>
    <row r="511" spans="1:15" x14ac:dyDescent="0.35">
      <c r="A511" t="s">
        <v>926</v>
      </c>
      <c r="B511" s="2">
        <v>45694</v>
      </c>
      <c r="C511" t="s">
        <v>10</v>
      </c>
      <c r="D511" t="s">
        <v>47</v>
      </c>
      <c r="E511" t="s">
        <v>34</v>
      </c>
      <c r="F511" t="s">
        <v>31</v>
      </c>
      <c r="G511">
        <v>5</v>
      </c>
      <c r="H511">
        <v>2.2000000000000002</v>
      </c>
      <c r="I511" t="s">
        <v>39</v>
      </c>
      <c r="J511" t="s">
        <v>927</v>
      </c>
      <c r="K511" s="12">
        <f>Store_Record[[#This Row],[Qty]]*Store_Record[[#This Row],[UnitPriceGBP]]</f>
        <v>11</v>
      </c>
      <c r="L511" s="5" t="str">
        <f>TEXT(Store_Record[[#This Row],[Date]],"dddd")</f>
        <v>Thursday</v>
      </c>
      <c r="M511" s="5" t="str">
        <f>TEXT(Store_Record[[#This Row],[Date]],"mmmm")</f>
        <v>February</v>
      </c>
      <c r="N511" s="5">
        <f>YEAR(Store_Record[[#This Row],[Date]])</f>
        <v>2025</v>
      </c>
      <c r="O511"/>
    </row>
    <row r="512" spans="1:15" x14ac:dyDescent="0.35">
      <c r="A512" t="s">
        <v>942</v>
      </c>
      <c r="B512" s="2">
        <v>45694</v>
      </c>
      <c r="C512" t="s">
        <v>20</v>
      </c>
      <c r="D512" t="s">
        <v>25</v>
      </c>
      <c r="E512" t="s">
        <v>26</v>
      </c>
      <c r="F512" t="s">
        <v>13</v>
      </c>
      <c r="G512">
        <v>3</v>
      </c>
      <c r="H512">
        <v>3.5</v>
      </c>
      <c r="I512" t="s">
        <v>39</v>
      </c>
      <c r="J512" t="s">
        <v>943</v>
      </c>
      <c r="K512" s="12">
        <f>Store_Record[[#This Row],[Qty]]*Store_Record[[#This Row],[UnitPriceGBP]]</f>
        <v>10.5</v>
      </c>
      <c r="L512" s="5" t="str">
        <f>TEXT(Store_Record[[#This Row],[Date]],"dddd")</f>
        <v>Thursday</v>
      </c>
      <c r="M512" s="5" t="str">
        <f>TEXT(Store_Record[[#This Row],[Date]],"mmmm")</f>
        <v>February</v>
      </c>
      <c r="N512" s="5">
        <f>YEAR(Store_Record[[#This Row],[Date]])</f>
        <v>2025</v>
      </c>
      <c r="O512"/>
    </row>
    <row r="513" spans="1:15" x14ac:dyDescent="0.35">
      <c r="A513" t="s">
        <v>930</v>
      </c>
      <c r="B513" s="2">
        <v>45694</v>
      </c>
      <c r="C513" t="s">
        <v>20</v>
      </c>
      <c r="D513" t="s">
        <v>11</v>
      </c>
      <c r="E513" t="s">
        <v>12</v>
      </c>
      <c r="F513" t="s">
        <v>13</v>
      </c>
      <c r="G513">
        <v>4</v>
      </c>
      <c r="H513">
        <v>2.5</v>
      </c>
      <c r="I513" t="s">
        <v>39</v>
      </c>
      <c r="J513" t="s">
        <v>931</v>
      </c>
      <c r="K513" s="12">
        <f>Store_Record[[#This Row],[Qty]]*Store_Record[[#This Row],[UnitPriceGBP]]</f>
        <v>10</v>
      </c>
      <c r="L513" s="5" t="str">
        <f>TEXT(Store_Record[[#This Row],[Date]],"dddd")</f>
        <v>Thursday</v>
      </c>
      <c r="M513" s="5" t="str">
        <f>TEXT(Store_Record[[#This Row],[Date]],"mmmm")</f>
        <v>February</v>
      </c>
      <c r="N513" s="5">
        <f>YEAR(Store_Record[[#This Row],[Date]])</f>
        <v>2025</v>
      </c>
      <c r="O513"/>
    </row>
    <row r="514" spans="1:15" x14ac:dyDescent="0.35">
      <c r="A514" t="s">
        <v>935</v>
      </c>
      <c r="B514" s="2">
        <v>45694</v>
      </c>
      <c r="C514" t="s">
        <v>36</v>
      </c>
      <c r="D514" t="s">
        <v>25</v>
      </c>
      <c r="E514" t="s">
        <v>12</v>
      </c>
      <c r="F514" t="s">
        <v>13</v>
      </c>
      <c r="G514">
        <v>3</v>
      </c>
      <c r="H514">
        <v>2.5</v>
      </c>
      <c r="I514" t="s">
        <v>39</v>
      </c>
      <c r="J514" t="s">
        <v>936</v>
      </c>
      <c r="K514" s="12">
        <f>Store_Record[[#This Row],[Qty]]*Store_Record[[#This Row],[UnitPriceGBP]]</f>
        <v>7.5</v>
      </c>
      <c r="L514" s="5" t="str">
        <f>TEXT(Store_Record[[#This Row],[Date]],"dddd")</f>
        <v>Thursday</v>
      </c>
      <c r="M514" s="5" t="str">
        <f>TEXT(Store_Record[[#This Row],[Date]],"mmmm")</f>
        <v>February</v>
      </c>
      <c r="N514" s="5">
        <f>YEAR(Store_Record[[#This Row],[Date]])</f>
        <v>2025</v>
      </c>
      <c r="O514"/>
    </row>
    <row r="515" spans="1:15" x14ac:dyDescent="0.35">
      <c r="A515" t="s">
        <v>939</v>
      </c>
      <c r="B515" s="2">
        <v>45694</v>
      </c>
      <c r="C515" t="s">
        <v>10</v>
      </c>
      <c r="D515" t="s">
        <v>47</v>
      </c>
      <c r="E515" t="s">
        <v>26</v>
      </c>
      <c r="F515" t="s">
        <v>13</v>
      </c>
      <c r="G515">
        <v>2</v>
      </c>
      <c r="H515">
        <v>3.5</v>
      </c>
      <c r="I515" t="s">
        <v>21</v>
      </c>
      <c r="J515" t="s">
        <v>508</v>
      </c>
      <c r="K515" s="12">
        <f>Store_Record[[#This Row],[Qty]]*Store_Record[[#This Row],[UnitPriceGBP]]</f>
        <v>7</v>
      </c>
      <c r="L515" s="5" t="str">
        <f>TEXT(Store_Record[[#This Row],[Date]],"dddd")</f>
        <v>Thursday</v>
      </c>
      <c r="M515" s="5" t="str">
        <f>TEXT(Store_Record[[#This Row],[Date]],"mmmm")</f>
        <v>February</v>
      </c>
      <c r="N515" s="5">
        <f>YEAR(Store_Record[[#This Row],[Date]])</f>
        <v>2025</v>
      </c>
      <c r="O515"/>
    </row>
    <row r="516" spans="1:15" x14ac:dyDescent="0.35">
      <c r="A516" t="s">
        <v>924</v>
      </c>
      <c r="B516" s="2">
        <v>45694</v>
      </c>
      <c r="C516" t="s">
        <v>36</v>
      </c>
      <c r="D516" t="s">
        <v>29</v>
      </c>
      <c r="E516" t="s">
        <v>34</v>
      </c>
      <c r="F516" t="s">
        <v>31</v>
      </c>
      <c r="G516">
        <v>3</v>
      </c>
      <c r="H516">
        <v>2.2000000000000002</v>
      </c>
      <c r="I516" t="s">
        <v>14</v>
      </c>
      <c r="J516" t="s">
        <v>925</v>
      </c>
      <c r="K516" s="12">
        <f>Store_Record[[#This Row],[Qty]]*Store_Record[[#This Row],[UnitPriceGBP]]</f>
        <v>6.6000000000000005</v>
      </c>
      <c r="L516" s="5" t="str">
        <f>TEXT(Store_Record[[#This Row],[Date]],"dddd")</f>
        <v>Thursday</v>
      </c>
      <c r="M516" s="5" t="str">
        <f>TEXT(Store_Record[[#This Row],[Date]],"mmmm")</f>
        <v>February</v>
      </c>
      <c r="N516" s="5">
        <f>YEAR(Store_Record[[#This Row],[Date]])</f>
        <v>2025</v>
      </c>
      <c r="O516"/>
    </row>
    <row r="517" spans="1:15" x14ac:dyDescent="0.35">
      <c r="A517" t="s">
        <v>922</v>
      </c>
      <c r="B517" s="2">
        <v>45694</v>
      </c>
      <c r="C517" t="s">
        <v>10</v>
      </c>
      <c r="D517" t="s">
        <v>29</v>
      </c>
      <c r="E517" t="s">
        <v>26</v>
      </c>
      <c r="F517" t="s">
        <v>13</v>
      </c>
      <c r="G517">
        <v>1</v>
      </c>
      <c r="H517">
        <v>3.5</v>
      </c>
      <c r="I517" t="s">
        <v>14</v>
      </c>
      <c r="J517" t="s">
        <v>923</v>
      </c>
      <c r="K517" s="12">
        <f>Store_Record[[#This Row],[Qty]]*Store_Record[[#This Row],[UnitPriceGBP]]</f>
        <v>3.5</v>
      </c>
      <c r="L517" s="5" t="str">
        <f>TEXT(Store_Record[[#This Row],[Date]],"dddd")</f>
        <v>Thursday</v>
      </c>
      <c r="M517" s="5" t="str">
        <f>TEXT(Store_Record[[#This Row],[Date]],"mmmm")</f>
        <v>February</v>
      </c>
      <c r="N517" s="5">
        <f>YEAR(Store_Record[[#This Row],[Date]])</f>
        <v>2025</v>
      </c>
      <c r="O517"/>
    </row>
    <row r="518" spans="1:15" x14ac:dyDescent="0.35">
      <c r="A518" t="s">
        <v>920</v>
      </c>
      <c r="B518" s="2">
        <v>45694</v>
      </c>
      <c r="C518" t="s">
        <v>24</v>
      </c>
      <c r="D518" t="s">
        <v>11</v>
      </c>
      <c r="E518" t="s">
        <v>34</v>
      </c>
      <c r="F518" t="s">
        <v>31</v>
      </c>
      <c r="G518">
        <v>1</v>
      </c>
      <c r="H518">
        <v>2.2000000000000002</v>
      </c>
      <c r="I518" t="s">
        <v>39</v>
      </c>
      <c r="J518" t="s">
        <v>921</v>
      </c>
      <c r="K518" s="12">
        <f>Store_Record[[#This Row],[Qty]]*Store_Record[[#This Row],[UnitPriceGBP]]</f>
        <v>2.2000000000000002</v>
      </c>
      <c r="L518" s="5" t="str">
        <f>TEXT(Store_Record[[#This Row],[Date]],"dddd")</f>
        <v>Thursday</v>
      </c>
      <c r="M518" s="5" t="str">
        <f>TEXT(Store_Record[[#This Row],[Date]],"mmmm")</f>
        <v>February</v>
      </c>
      <c r="N518" s="5">
        <f>YEAR(Store_Record[[#This Row],[Date]])</f>
        <v>2025</v>
      </c>
      <c r="O518"/>
    </row>
    <row r="519" spans="1:15" x14ac:dyDescent="0.35">
      <c r="A519" t="s">
        <v>933</v>
      </c>
      <c r="B519" s="2">
        <v>45694</v>
      </c>
      <c r="C519" t="s">
        <v>20</v>
      </c>
      <c r="D519" t="s">
        <v>38</v>
      </c>
      <c r="E519" t="s">
        <v>34</v>
      </c>
      <c r="F519" t="s">
        <v>31</v>
      </c>
      <c r="G519">
        <v>1</v>
      </c>
      <c r="H519">
        <v>2.2000000000000002</v>
      </c>
      <c r="I519" t="s">
        <v>39</v>
      </c>
      <c r="J519" t="s">
        <v>934</v>
      </c>
      <c r="K519" s="12">
        <f>Store_Record[[#This Row],[Qty]]*Store_Record[[#This Row],[UnitPriceGBP]]</f>
        <v>2.2000000000000002</v>
      </c>
      <c r="L519" s="5" t="str">
        <f>TEXT(Store_Record[[#This Row],[Date]],"dddd")</f>
        <v>Thursday</v>
      </c>
      <c r="M519" s="5" t="str">
        <f>TEXT(Store_Record[[#This Row],[Date]],"mmmm")</f>
        <v>February</v>
      </c>
      <c r="N519" s="5">
        <f>YEAR(Store_Record[[#This Row],[Date]])</f>
        <v>2025</v>
      </c>
      <c r="O519"/>
    </row>
    <row r="520" spans="1:15" x14ac:dyDescent="0.35">
      <c r="A520" t="s">
        <v>950</v>
      </c>
      <c r="B520" s="2">
        <v>45695</v>
      </c>
      <c r="C520" t="s">
        <v>20</v>
      </c>
      <c r="D520" t="s">
        <v>47</v>
      </c>
      <c r="E520" t="s">
        <v>26</v>
      </c>
      <c r="F520" t="s">
        <v>13</v>
      </c>
      <c r="G520">
        <v>5</v>
      </c>
      <c r="H520">
        <v>3.5</v>
      </c>
      <c r="I520" t="s">
        <v>14</v>
      </c>
      <c r="J520" t="s">
        <v>951</v>
      </c>
      <c r="K520" s="12">
        <f>Store_Record[[#This Row],[Qty]]*Store_Record[[#This Row],[UnitPriceGBP]]</f>
        <v>17.5</v>
      </c>
      <c r="L520" s="5" t="str">
        <f>TEXT(Store_Record[[#This Row],[Date]],"dddd")</f>
        <v>Friday</v>
      </c>
      <c r="M520" s="5" t="str">
        <f>TEXT(Store_Record[[#This Row],[Date]],"mmmm")</f>
        <v>February</v>
      </c>
      <c r="N520" s="5">
        <f>YEAR(Store_Record[[#This Row],[Date]])</f>
        <v>2025</v>
      </c>
      <c r="O520"/>
    </row>
    <row r="521" spans="1:15" x14ac:dyDescent="0.35">
      <c r="A521" t="s">
        <v>959</v>
      </c>
      <c r="B521" s="2">
        <v>45695</v>
      </c>
      <c r="C521" t="s">
        <v>20</v>
      </c>
      <c r="D521" t="s">
        <v>25</v>
      </c>
      <c r="E521" t="s">
        <v>26</v>
      </c>
      <c r="F521" t="s">
        <v>13</v>
      </c>
      <c r="G521">
        <v>5</v>
      </c>
      <c r="H521">
        <v>3.5</v>
      </c>
      <c r="I521" t="s">
        <v>39</v>
      </c>
      <c r="J521" t="s">
        <v>218</v>
      </c>
      <c r="K521" s="12">
        <f>Store_Record[[#This Row],[Qty]]*Store_Record[[#This Row],[UnitPriceGBP]]</f>
        <v>17.5</v>
      </c>
      <c r="L521" s="5" t="str">
        <f>TEXT(Store_Record[[#This Row],[Date]],"dddd")</f>
        <v>Friday</v>
      </c>
      <c r="M521" s="5" t="str">
        <f>TEXT(Store_Record[[#This Row],[Date]],"mmmm")</f>
        <v>February</v>
      </c>
      <c r="N521" s="5">
        <f>YEAR(Store_Record[[#This Row],[Date]])</f>
        <v>2025</v>
      </c>
      <c r="O521"/>
    </row>
    <row r="522" spans="1:15" x14ac:dyDescent="0.35">
      <c r="A522" t="s">
        <v>952</v>
      </c>
      <c r="B522" s="2">
        <v>45695</v>
      </c>
      <c r="C522" t="s">
        <v>36</v>
      </c>
      <c r="D522" t="s">
        <v>29</v>
      </c>
      <c r="E522" t="s">
        <v>42</v>
      </c>
      <c r="F522" t="s">
        <v>13</v>
      </c>
      <c r="G522">
        <v>4</v>
      </c>
      <c r="H522">
        <v>3.8</v>
      </c>
      <c r="I522" t="s">
        <v>21</v>
      </c>
      <c r="J522" t="s">
        <v>123</v>
      </c>
      <c r="K522" s="12">
        <f>Store_Record[[#This Row],[Qty]]*Store_Record[[#This Row],[UnitPriceGBP]]</f>
        <v>15.2</v>
      </c>
      <c r="L522" s="5" t="str">
        <f>TEXT(Store_Record[[#This Row],[Date]],"dddd")</f>
        <v>Friday</v>
      </c>
      <c r="M522" s="5" t="str">
        <f>TEXT(Store_Record[[#This Row],[Date]],"mmmm")</f>
        <v>February</v>
      </c>
      <c r="N522" s="5">
        <f>YEAR(Store_Record[[#This Row],[Date]])</f>
        <v>2025</v>
      </c>
      <c r="O522"/>
    </row>
    <row r="523" spans="1:15" x14ac:dyDescent="0.35">
      <c r="A523" t="s">
        <v>957</v>
      </c>
      <c r="B523" s="2">
        <v>45695</v>
      </c>
      <c r="C523" t="s">
        <v>20</v>
      </c>
      <c r="D523" t="s">
        <v>11</v>
      </c>
      <c r="E523" t="s">
        <v>12</v>
      </c>
      <c r="F523" t="s">
        <v>13</v>
      </c>
      <c r="G523">
        <v>5</v>
      </c>
      <c r="H523">
        <v>2.5</v>
      </c>
      <c r="I523" t="s">
        <v>39</v>
      </c>
      <c r="J523" t="s">
        <v>958</v>
      </c>
      <c r="K523" s="12">
        <f>Store_Record[[#This Row],[Qty]]*Store_Record[[#This Row],[UnitPriceGBP]]</f>
        <v>12.5</v>
      </c>
      <c r="L523" s="5" t="str">
        <f>TEXT(Store_Record[[#This Row],[Date]],"dddd")</f>
        <v>Friday</v>
      </c>
      <c r="M523" s="5" t="str">
        <f>TEXT(Store_Record[[#This Row],[Date]],"mmmm")</f>
        <v>February</v>
      </c>
      <c r="N523" s="5">
        <f>YEAR(Store_Record[[#This Row],[Date]])</f>
        <v>2025</v>
      </c>
      <c r="O523"/>
    </row>
    <row r="524" spans="1:15" x14ac:dyDescent="0.35">
      <c r="A524" t="s">
        <v>953</v>
      </c>
      <c r="B524" s="2">
        <v>45695</v>
      </c>
      <c r="C524" t="s">
        <v>10</v>
      </c>
      <c r="D524" t="s">
        <v>25</v>
      </c>
      <c r="E524" t="s">
        <v>30</v>
      </c>
      <c r="F524" t="s">
        <v>31</v>
      </c>
      <c r="G524">
        <v>4</v>
      </c>
      <c r="H524">
        <v>2.8</v>
      </c>
      <c r="I524" t="s">
        <v>14</v>
      </c>
      <c r="J524" t="s">
        <v>319</v>
      </c>
      <c r="K524" s="12">
        <f>Store_Record[[#This Row],[Qty]]*Store_Record[[#This Row],[UnitPriceGBP]]</f>
        <v>11.2</v>
      </c>
      <c r="L524" s="5" t="str">
        <f>TEXT(Store_Record[[#This Row],[Date]],"dddd")</f>
        <v>Friday</v>
      </c>
      <c r="M524" s="5" t="str">
        <f>TEXT(Store_Record[[#This Row],[Date]],"mmmm")</f>
        <v>February</v>
      </c>
      <c r="N524" s="5">
        <f>YEAR(Store_Record[[#This Row],[Date]])</f>
        <v>2025</v>
      </c>
      <c r="O524"/>
    </row>
    <row r="525" spans="1:15" x14ac:dyDescent="0.35">
      <c r="A525" t="s">
        <v>954</v>
      </c>
      <c r="B525" s="2">
        <v>45695</v>
      </c>
      <c r="C525" t="s">
        <v>20</v>
      </c>
      <c r="D525" t="s">
        <v>25</v>
      </c>
      <c r="E525" t="s">
        <v>30</v>
      </c>
      <c r="F525" t="s">
        <v>31</v>
      </c>
      <c r="G525">
        <v>4</v>
      </c>
      <c r="H525">
        <v>2.8</v>
      </c>
      <c r="I525" t="s">
        <v>14</v>
      </c>
      <c r="J525" t="s">
        <v>323</v>
      </c>
      <c r="K525" s="12">
        <f>Store_Record[[#This Row],[Qty]]*Store_Record[[#This Row],[UnitPriceGBP]]</f>
        <v>11.2</v>
      </c>
      <c r="L525" s="5" t="str">
        <f>TEXT(Store_Record[[#This Row],[Date]],"dddd")</f>
        <v>Friday</v>
      </c>
      <c r="M525" s="5" t="str">
        <f>TEXT(Store_Record[[#This Row],[Date]],"mmmm")</f>
        <v>February</v>
      </c>
      <c r="N525" s="5">
        <f>YEAR(Store_Record[[#This Row],[Date]])</f>
        <v>2025</v>
      </c>
      <c r="O525"/>
    </row>
    <row r="526" spans="1:15" x14ac:dyDescent="0.35">
      <c r="A526" t="s">
        <v>956</v>
      </c>
      <c r="B526" s="2">
        <v>45695</v>
      </c>
      <c r="C526" t="s">
        <v>36</v>
      </c>
      <c r="D526" t="s">
        <v>25</v>
      </c>
      <c r="E526" t="s">
        <v>30</v>
      </c>
      <c r="F526" t="s">
        <v>31</v>
      </c>
      <c r="G526">
        <v>4</v>
      </c>
      <c r="H526">
        <v>2.8</v>
      </c>
      <c r="I526" t="s">
        <v>21</v>
      </c>
      <c r="J526" t="s">
        <v>183</v>
      </c>
      <c r="K526" s="12">
        <f>Store_Record[[#This Row],[Qty]]*Store_Record[[#This Row],[UnitPriceGBP]]</f>
        <v>11.2</v>
      </c>
      <c r="L526" s="5" t="str">
        <f>TEXT(Store_Record[[#This Row],[Date]],"dddd")</f>
        <v>Friday</v>
      </c>
      <c r="M526" s="5" t="str">
        <f>TEXT(Store_Record[[#This Row],[Date]],"mmmm")</f>
        <v>February</v>
      </c>
      <c r="N526" s="5">
        <f>YEAR(Store_Record[[#This Row],[Date]])</f>
        <v>2025</v>
      </c>
      <c r="O526"/>
    </row>
    <row r="527" spans="1:15" x14ac:dyDescent="0.35">
      <c r="A527" t="s">
        <v>946</v>
      </c>
      <c r="B527" s="2">
        <v>45695</v>
      </c>
      <c r="C527" t="s">
        <v>10</v>
      </c>
      <c r="D527" t="s">
        <v>25</v>
      </c>
      <c r="E527" t="s">
        <v>34</v>
      </c>
      <c r="F527" t="s">
        <v>31</v>
      </c>
      <c r="G527">
        <v>4</v>
      </c>
      <c r="H527">
        <v>2.2000000000000002</v>
      </c>
      <c r="I527" t="s">
        <v>14</v>
      </c>
      <c r="J527" t="s">
        <v>947</v>
      </c>
      <c r="K527" s="12">
        <f>Store_Record[[#This Row],[Qty]]*Store_Record[[#This Row],[UnitPriceGBP]]</f>
        <v>8.8000000000000007</v>
      </c>
      <c r="L527" s="5" t="str">
        <f>TEXT(Store_Record[[#This Row],[Date]],"dddd")</f>
        <v>Friday</v>
      </c>
      <c r="M527" s="5" t="str">
        <f>TEXT(Store_Record[[#This Row],[Date]],"mmmm")</f>
        <v>February</v>
      </c>
      <c r="N527" s="5">
        <f>YEAR(Store_Record[[#This Row],[Date]])</f>
        <v>2025</v>
      </c>
      <c r="O527"/>
    </row>
    <row r="528" spans="1:15" x14ac:dyDescent="0.35">
      <c r="A528" t="s">
        <v>955</v>
      </c>
      <c r="B528" s="2">
        <v>45695</v>
      </c>
      <c r="C528" t="s">
        <v>36</v>
      </c>
      <c r="D528" t="s">
        <v>29</v>
      </c>
      <c r="E528" t="s">
        <v>34</v>
      </c>
      <c r="F528" t="s">
        <v>31</v>
      </c>
      <c r="G528">
        <v>4</v>
      </c>
      <c r="H528">
        <v>2.2000000000000002</v>
      </c>
      <c r="I528" t="s">
        <v>14</v>
      </c>
      <c r="J528" t="s">
        <v>860</v>
      </c>
      <c r="K528" s="12">
        <f>Store_Record[[#This Row],[Qty]]*Store_Record[[#This Row],[UnitPriceGBP]]</f>
        <v>8.8000000000000007</v>
      </c>
      <c r="L528" s="5" t="str">
        <f>TEXT(Store_Record[[#This Row],[Date]],"dddd")</f>
        <v>Friday</v>
      </c>
      <c r="M528" s="5" t="str">
        <f>TEXT(Store_Record[[#This Row],[Date]],"mmmm")</f>
        <v>February</v>
      </c>
      <c r="N528" s="5">
        <f>YEAR(Store_Record[[#This Row],[Date]])</f>
        <v>2025</v>
      </c>
      <c r="O528"/>
    </row>
    <row r="529" spans="1:15" x14ac:dyDescent="0.35">
      <c r="A529" t="s">
        <v>948</v>
      </c>
      <c r="B529" s="2">
        <v>45695</v>
      </c>
      <c r="C529" t="s">
        <v>20</v>
      </c>
      <c r="D529" t="s">
        <v>25</v>
      </c>
      <c r="E529" t="s">
        <v>26</v>
      </c>
      <c r="F529" t="s">
        <v>13</v>
      </c>
      <c r="G529">
        <v>2</v>
      </c>
      <c r="H529">
        <v>3.5</v>
      </c>
      <c r="I529" t="s">
        <v>39</v>
      </c>
      <c r="J529" t="s">
        <v>949</v>
      </c>
      <c r="K529" s="12">
        <f>Store_Record[[#This Row],[Qty]]*Store_Record[[#This Row],[UnitPriceGBP]]</f>
        <v>7</v>
      </c>
      <c r="L529" s="5" t="str">
        <f>TEXT(Store_Record[[#This Row],[Date]],"dddd")</f>
        <v>Friday</v>
      </c>
      <c r="M529" s="5" t="str">
        <f>TEXT(Store_Record[[#This Row],[Date]],"mmmm")</f>
        <v>February</v>
      </c>
      <c r="N529" s="5">
        <f>YEAR(Store_Record[[#This Row],[Date]])</f>
        <v>2025</v>
      </c>
      <c r="O529"/>
    </row>
    <row r="530" spans="1:15" x14ac:dyDescent="0.35">
      <c r="A530" t="s">
        <v>962</v>
      </c>
      <c r="B530" s="2">
        <v>45695</v>
      </c>
      <c r="C530" t="s">
        <v>24</v>
      </c>
      <c r="D530" t="s">
        <v>25</v>
      </c>
      <c r="E530" t="s">
        <v>42</v>
      </c>
      <c r="F530" t="s">
        <v>13</v>
      </c>
      <c r="G530">
        <v>1</v>
      </c>
      <c r="H530">
        <v>3.8</v>
      </c>
      <c r="I530" t="s">
        <v>14</v>
      </c>
      <c r="J530" t="s">
        <v>963</v>
      </c>
      <c r="K530" s="12">
        <f>Store_Record[[#This Row],[Qty]]*Store_Record[[#This Row],[UnitPriceGBP]]</f>
        <v>3.8</v>
      </c>
      <c r="L530" s="5" t="str">
        <f>TEXT(Store_Record[[#This Row],[Date]],"dddd")</f>
        <v>Friday</v>
      </c>
      <c r="M530" s="5" t="str">
        <f>TEXT(Store_Record[[#This Row],[Date]],"mmmm")</f>
        <v>February</v>
      </c>
      <c r="N530" s="5">
        <f>YEAR(Store_Record[[#This Row],[Date]])</f>
        <v>2025</v>
      </c>
      <c r="O530"/>
    </row>
    <row r="531" spans="1:15" x14ac:dyDescent="0.35">
      <c r="A531" t="s">
        <v>966</v>
      </c>
      <c r="B531" s="2">
        <v>45695</v>
      </c>
      <c r="C531" t="s">
        <v>24</v>
      </c>
      <c r="D531" t="s">
        <v>11</v>
      </c>
      <c r="E531" t="s">
        <v>42</v>
      </c>
      <c r="F531" t="s">
        <v>13</v>
      </c>
      <c r="G531">
        <v>1</v>
      </c>
      <c r="H531">
        <v>3.8</v>
      </c>
      <c r="I531" t="s">
        <v>21</v>
      </c>
      <c r="J531" t="s">
        <v>632</v>
      </c>
      <c r="K531" s="12">
        <f>Store_Record[[#This Row],[Qty]]*Store_Record[[#This Row],[UnitPriceGBP]]</f>
        <v>3.8</v>
      </c>
      <c r="L531" s="5" t="str">
        <f>TEXT(Store_Record[[#This Row],[Date]],"dddd")</f>
        <v>Friday</v>
      </c>
      <c r="M531" s="5" t="str">
        <f>TEXT(Store_Record[[#This Row],[Date]],"mmmm")</f>
        <v>February</v>
      </c>
      <c r="N531" s="5">
        <f>YEAR(Store_Record[[#This Row],[Date]])</f>
        <v>2025</v>
      </c>
      <c r="O531"/>
    </row>
    <row r="532" spans="1:15" x14ac:dyDescent="0.35">
      <c r="A532" t="s">
        <v>960</v>
      </c>
      <c r="B532" s="2">
        <v>45695</v>
      </c>
      <c r="C532" t="s">
        <v>10</v>
      </c>
      <c r="D532" t="s">
        <v>25</v>
      </c>
      <c r="E532" t="s">
        <v>12</v>
      </c>
      <c r="F532" t="s">
        <v>13</v>
      </c>
      <c r="G532">
        <v>1</v>
      </c>
      <c r="H532">
        <v>2.5</v>
      </c>
      <c r="I532" t="s">
        <v>39</v>
      </c>
      <c r="J532" t="s">
        <v>961</v>
      </c>
      <c r="K532" s="12">
        <f>Store_Record[[#This Row],[Qty]]*Store_Record[[#This Row],[UnitPriceGBP]]</f>
        <v>2.5</v>
      </c>
      <c r="L532" s="5" t="str">
        <f>TEXT(Store_Record[[#This Row],[Date]],"dddd")</f>
        <v>Friday</v>
      </c>
      <c r="M532" s="5" t="str">
        <f>TEXT(Store_Record[[#This Row],[Date]],"mmmm")</f>
        <v>February</v>
      </c>
      <c r="N532" s="5">
        <f>YEAR(Store_Record[[#This Row],[Date]])</f>
        <v>2025</v>
      </c>
      <c r="O532"/>
    </row>
    <row r="533" spans="1:15" x14ac:dyDescent="0.35">
      <c r="A533" t="s">
        <v>964</v>
      </c>
      <c r="B533" s="2">
        <v>45695</v>
      </c>
      <c r="C533" t="s">
        <v>10</v>
      </c>
      <c r="D533" t="s">
        <v>38</v>
      </c>
      <c r="E533" t="s">
        <v>34</v>
      </c>
      <c r="F533" t="s">
        <v>31</v>
      </c>
      <c r="G533">
        <v>1</v>
      </c>
      <c r="H533">
        <v>2.2000000000000002</v>
      </c>
      <c r="I533" t="s">
        <v>14</v>
      </c>
      <c r="J533" t="s">
        <v>965</v>
      </c>
      <c r="K533" s="12">
        <f>Store_Record[[#This Row],[Qty]]*Store_Record[[#This Row],[UnitPriceGBP]]</f>
        <v>2.2000000000000002</v>
      </c>
      <c r="L533" s="5" t="str">
        <f>TEXT(Store_Record[[#This Row],[Date]],"dddd")</f>
        <v>Friday</v>
      </c>
      <c r="M533" s="5" t="str">
        <f>TEXT(Store_Record[[#This Row],[Date]],"mmmm")</f>
        <v>February</v>
      </c>
      <c r="N533" s="5">
        <f>YEAR(Store_Record[[#This Row],[Date]])</f>
        <v>2025</v>
      </c>
      <c r="O533"/>
    </row>
    <row r="534" spans="1:15" x14ac:dyDescent="0.35">
      <c r="A534" t="s">
        <v>977</v>
      </c>
      <c r="B534" s="2">
        <v>45696</v>
      </c>
      <c r="C534" t="s">
        <v>10</v>
      </c>
      <c r="D534" t="s">
        <v>25</v>
      </c>
      <c r="E534" t="s">
        <v>26</v>
      </c>
      <c r="F534" t="s">
        <v>13</v>
      </c>
      <c r="G534">
        <v>4</v>
      </c>
      <c r="H534">
        <v>3.5</v>
      </c>
      <c r="I534" t="s">
        <v>14</v>
      </c>
      <c r="J534" t="s">
        <v>978</v>
      </c>
      <c r="K534" s="12">
        <f>Store_Record[[#This Row],[Qty]]*Store_Record[[#This Row],[UnitPriceGBP]]</f>
        <v>14</v>
      </c>
      <c r="L534" s="5" t="str">
        <f>TEXT(Store_Record[[#This Row],[Date]],"dddd")</f>
        <v>Saturday</v>
      </c>
      <c r="M534" s="5" t="str">
        <f>TEXT(Store_Record[[#This Row],[Date]],"mmmm")</f>
        <v>February</v>
      </c>
      <c r="N534" s="5">
        <f>YEAR(Store_Record[[#This Row],[Date]])</f>
        <v>2025</v>
      </c>
      <c r="O534"/>
    </row>
    <row r="535" spans="1:15" x14ac:dyDescent="0.35">
      <c r="A535" t="s">
        <v>975</v>
      </c>
      <c r="B535" s="2">
        <v>45696</v>
      </c>
      <c r="C535" t="s">
        <v>36</v>
      </c>
      <c r="D535" t="s">
        <v>25</v>
      </c>
      <c r="E535" t="s">
        <v>26</v>
      </c>
      <c r="F535" t="s">
        <v>13</v>
      </c>
      <c r="G535">
        <v>3</v>
      </c>
      <c r="H535">
        <v>3.5</v>
      </c>
      <c r="I535" t="s">
        <v>21</v>
      </c>
      <c r="J535" t="s">
        <v>976</v>
      </c>
      <c r="K535" s="12">
        <f>Store_Record[[#This Row],[Qty]]*Store_Record[[#This Row],[UnitPriceGBP]]</f>
        <v>10.5</v>
      </c>
      <c r="L535" s="5" t="str">
        <f>TEXT(Store_Record[[#This Row],[Date]],"dddd")</f>
        <v>Saturday</v>
      </c>
      <c r="M535" s="5" t="str">
        <f>TEXT(Store_Record[[#This Row],[Date]],"mmmm")</f>
        <v>February</v>
      </c>
      <c r="N535" s="5">
        <f>YEAR(Store_Record[[#This Row],[Date]])</f>
        <v>2025</v>
      </c>
      <c r="O535"/>
    </row>
    <row r="536" spans="1:15" x14ac:dyDescent="0.35">
      <c r="A536" t="s">
        <v>968</v>
      </c>
      <c r="B536" s="2">
        <v>45696</v>
      </c>
      <c r="C536" t="s">
        <v>24</v>
      </c>
      <c r="D536" t="s">
        <v>29</v>
      </c>
      <c r="E536" t="s">
        <v>12</v>
      </c>
      <c r="F536" t="s">
        <v>13</v>
      </c>
      <c r="G536">
        <v>4</v>
      </c>
      <c r="H536">
        <v>2.5</v>
      </c>
      <c r="I536" t="s">
        <v>21</v>
      </c>
      <c r="J536" t="s">
        <v>969</v>
      </c>
      <c r="K536" s="12">
        <f>Store_Record[[#This Row],[Qty]]*Store_Record[[#This Row],[UnitPriceGBP]]</f>
        <v>10</v>
      </c>
      <c r="L536" s="5" t="str">
        <f>TEXT(Store_Record[[#This Row],[Date]],"dddd")</f>
        <v>Saturday</v>
      </c>
      <c r="M536" s="5" t="str">
        <f>TEXT(Store_Record[[#This Row],[Date]],"mmmm")</f>
        <v>February</v>
      </c>
      <c r="N536" s="5">
        <f>YEAR(Store_Record[[#This Row],[Date]])</f>
        <v>2025</v>
      </c>
      <c r="O536"/>
    </row>
    <row r="537" spans="1:15" x14ac:dyDescent="0.35">
      <c r="A537" t="s">
        <v>979</v>
      </c>
      <c r="B537" s="2">
        <v>45696</v>
      </c>
      <c r="C537" t="s">
        <v>10</v>
      </c>
      <c r="D537" t="s">
        <v>47</v>
      </c>
      <c r="E537" t="s">
        <v>34</v>
      </c>
      <c r="F537" t="s">
        <v>31</v>
      </c>
      <c r="G537">
        <v>4</v>
      </c>
      <c r="H537">
        <v>2.2000000000000002</v>
      </c>
      <c r="I537" t="s">
        <v>39</v>
      </c>
      <c r="J537" t="s">
        <v>980</v>
      </c>
      <c r="K537" s="12">
        <f>Store_Record[[#This Row],[Qty]]*Store_Record[[#This Row],[UnitPriceGBP]]</f>
        <v>8.8000000000000007</v>
      </c>
      <c r="L537" s="5" t="str">
        <f>TEXT(Store_Record[[#This Row],[Date]],"dddd")</f>
        <v>Saturday</v>
      </c>
      <c r="M537" s="5" t="str">
        <f>TEXT(Store_Record[[#This Row],[Date]],"mmmm")</f>
        <v>February</v>
      </c>
      <c r="N537" s="5">
        <f>YEAR(Store_Record[[#This Row],[Date]])</f>
        <v>2025</v>
      </c>
      <c r="O537"/>
    </row>
    <row r="538" spans="1:15" x14ac:dyDescent="0.35">
      <c r="A538" t="s">
        <v>973</v>
      </c>
      <c r="B538" s="2">
        <v>45696</v>
      </c>
      <c r="C538" t="s">
        <v>24</v>
      </c>
      <c r="D538" t="s">
        <v>29</v>
      </c>
      <c r="E538" t="s">
        <v>30</v>
      </c>
      <c r="F538" t="s">
        <v>31</v>
      </c>
      <c r="G538">
        <v>2</v>
      </c>
      <c r="H538">
        <v>2.8</v>
      </c>
      <c r="I538" t="s">
        <v>21</v>
      </c>
      <c r="J538" t="s">
        <v>974</v>
      </c>
      <c r="K538" s="12">
        <f>Store_Record[[#This Row],[Qty]]*Store_Record[[#This Row],[UnitPriceGBP]]</f>
        <v>5.6</v>
      </c>
      <c r="L538" s="5" t="str">
        <f>TEXT(Store_Record[[#This Row],[Date]],"dddd")</f>
        <v>Saturday</v>
      </c>
      <c r="M538" s="5" t="str">
        <f>TEXT(Store_Record[[#This Row],[Date]],"mmmm")</f>
        <v>February</v>
      </c>
      <c r="N538" s="5">
        <f>YEAR(Store_Record[[#This Row],[Date]])</f>
        <v>2025</v>
      </c>
      <c r="O538"/>
    </row>
    <row r="539" spans="1:15" x14ac:dyDescent="0.35">
      <c r="A539" t="s">
        <v>970</v>
      </c>
      <c r="B539" s="2">
        <v>45696</v>
      </c>
      <c r="C539" t="s">
        <v>36</v>
      </c>
      <c r="D539" t="s">
        <v>47</v>
      </c>
      <c r="E539" t="s">
        <v>26</v>
      </c>
      <c r="F539" t="s">
        <v>13</v>
      </c>
      <c r="G539">
        <v>1</v>
      </c>
      <c r="H539">
        <v>3.5</v>
      </c>
      <c r="I539" t="s">
        <v>14</v>
      </c>
      <c r="J539" t="s">
        <v>901</v>
      </c>
      <c r="K539" s="12">
        <f>Store_Record[[#This Row],[Qty]]*Store_Record[[#This Row],[UnitPriceGBP]]</f>
        <v>3.5</v>
      </c>
      <c r="L539" s="5" t="str">
        <f>TEXT(Store_Record[[#This Row],[Date]],"dddd")</f>
        <v>Saturday</v>
      </c>
      <c r="M539" s="5" t="str">
        <f>TEXT(Store_Record[[#This Row],[Date]],"mmmm")</f>
        <v>February</v>
      </c>
      <c r="N539" s="5">
        <f>YEAR(Store_Record[[#This Row],[Date]])</f>
        <v>2025</v>
      </c>
      <c r="O539"/>
    </row>
    <row r="540" spans="1:15" x14ac:dyDescent="0.35">
      <c r="A540" t="s">
        <v>971</v>
      </c>
      <c r="B540" s="2">
        <v>45696</v>
      </c>
      <c r="C540" t="s">
        <v>10</v>
      </c>
      <c r="D540" t="s">
        <v>11</v>
      </c>
      <c r="E540" t="s">
        <v>26</v>
      </c>
      <c r="F540" t="s">
        <v>13</v>
      </c>
      <c r="G540">
        <v>1</v>
      </c>
      <c r="H540">
        <v>3.5</v>
      </c>
      <c r="I540" t="s">
        <v>14</v>
      </c>
      <c r="J540" t="s">
        <v>972</v>
      </c>
      <c r="K540" s="12">
        <f>Store_Record[[#This Row],[Qty]]*Store_Record[[#This Row],[UnitPriceGBP]]</f>
        <v>3.5</v>
      </c>
      <c r="L540" s="5" t="str">
        <f>TEXT(Store_Record[[#This Row],[Date]],"dddd")</f>
        <v>Saturday</v>
      </c>
      <c r="M540" s="5" t="str">
        <f>TEXT(Store_Record[[#This Row],[Date]],"mmmm")</f>
        <v>February</v>
      </c>
      <c r="N540" s="5">
        <f>YEAR(Store_Record[[#This Row],[Date]])</f>
        <v>2025</v>
      </c>
      <c r="O540"/>
    </row>
    <row r="541" spans="1:15" x14ac:dyDescent="0.35">
      <c r="A541" t="s">
        <v>967</v>
      </c>
      <c r="B541" s="2">
        <v>45696</v>
      </c>
      <c r="C541" t="s">
        <v>10</v>
      </c>
      <c r="D541" t="s">
        <v>11</v>
      </c>
      <c r="E541" t="s">
        <v>30</v>
      </c>
      <c r="F541" t="s">
        <v>31</v>
      </c>
      <c r="G541">
        <v>1</v>
      </c>
      <c r="H541">
        <v>2.8</v>
      </c>
      <c r="I541" t="s">
        <v>39</v>
      </c>
      <c r="J541" t="s">
        <v>225</v>
      </c>
      <c r="K541" s="12">
        <f>Store_Record[[#This Row],[Qty]]*Store_Record[[#This Row],[UnitPriceGBP]]</f>
        <v>2.8</v>
      </c>
      <c r="L541" s="5" t="str">
        <f>TEXT(Store_Record[[#This Row],[Date]],"dddd")</f>
        <v>Saturday</v>
      </c>
      <c r="M541" s="5" t="str">
        <f>TEXT(Store_Record[[#This Row],[Date]],"mmmm")</f>
        <v>February</v>
      </c>
      <c r="N541" s="5">
        <f>YEAR(Store_Record[[#This Row],[Date]])</f>
        <v>2025</v>
      </c>
      <c r="O541"/>
    </row>
    <row r="542" spans="1:15" x14ac:dyDescent="0.35">
      <c r="A542" t="s">
        <v>1002</v>
      </c>
      <c r="B542" s="2">
        <v>45697</v>
      </c>
      <c r="C542" t="s">
        <v>24</v>
      </c>
      <c r="D542" t="s">
        <v>11</v>
      </c>
      <c r="E542" t="s">
        <v>42</v>
      </c>
      <c r="F542" t="s">
        <v>13</v>
      </c>
      <c r="G542">
        <v>5</v>
      </c>
      <c r="H542">
        <v>3.8</v>
      </c>
      <c r="I542" t="s">
        <v>21</v>
      </c>
      <c r="J542" t="s">
        <v>1003</v>
      </c>
      <c r="K542" s="12">
        <f>Store_Record[[#This Row],[Qty]]*Store_Record[[#This Row],[UnitPriceGBP]]</f>
        <v>19</v>
      </c>
      <c r="L542" s="5" t="str">
        <f>TEXT(Store_Record[[#This Row],[Date]],"dddd")</f>
        <v>Sunday</v>
      </c>
      <c r="M542" s="5" t="str">
        <f>TEXT(Store_Record[[#This Row],[Date]],"mmmm")</f>
        <v>February</v>
      </c>
      <c r="N542" s="5">
        <f>YEAR(Store_Record[[#This Row],[Date]])</f>
        <v>2025</v>
      </c>
      <c r="O542"/>
    </row>
    <row r="543" spans="1:15" x14ac:dyDescent="0.35">
      <c r="A543" t="s">
        <v>985</v>
      </c>
      <c r="B543" s="2">
        <v>45697</v>
      </c>
      <c r="C543" t="s">
        <v>24</v>
      </c>
      <c r="D543" t="s">
        <v>29</v>
      </c>
      <c r="E543" t="s">
        <v>42</v>
      </c>
      <c r="F543" t="s">
        <v>13</v>
      </c>
      <c r="G543">
        <v>4</v>
      </c>
      <c r="H543">
        <v>3.8</v>
      </c>
      <c r="I543" t="s">
        <v>39</v>
      </c>
      <c r="J543" t="s">
        <v>986</v>
      </c>
      <c r="K543" s="12">
        <f>Store_Record[[#This Row],[Qty]]*Store_Record[[#This Row],[UnitPriceGBP]]</f>
        <v>15.2</v>
      </c>
      <c r="L543" s="5" t="str">
        <f>TEXT(Store_Record[[#This Row],[Date]],"dddd")</f>
        <v>Sunday</v>
      </c>
      <c r="M543" s="5" t="str">
        <f>TEXT(Store_Record[[#This Row],[Date]],"mmmm")</f>
        <v>February</v>
      </c>
      <c r="N543" s="5">
        <f>YEAR(Store_Record[[#This Row],[Date]])</f>
        <v>2025</v>
      </c>
      <c r="O543"/>
    </row>
    <row r="544" spans="1:15" x14ac:dyDescent="0.35">
      <c r="A544" t="s">
        <v>996</v>
      </c>
      <c r="B544" s="2">
        <v>45697</v>
      </c>
      <c r="C544" t="s">
        <v>20</v>
      </c>
      <c r="D544" t="s">
        <v>38</v>
      </c>
      <c r="E544" t="s">
        <v>42</v>
      </c>
      <c r="F544" t="s">
        <v>13</v>
      </c>
      <c r="G544">
        <v>4</v>
      </c>
      <c r="H544">
        <v>3.8</v>
      </c>
      <c r="I544" t="s">
        <v>39</v>
      </c>
      <c r="J544" t="s">
        <v>943</v>
      </c>
      <c r="K544" s="12">
        <f>Store_Record[[#This Row],[Qty]]*Store_Record[[#This Row],[UnitPriceGBP]]</f>
        <v>15.2</v>
      </c>
      <c r="L544" s="5" t="str">
        <f>TEXT(Store_Record[[#This Row],[Date]],"dddd")</f>
        <v>Sunday</v>
      </c>
      <c r="M544" s="5" t="str">
        <f>TEXT(Store_Record[[#This Row],[Date]],"mmmm")</f>
        <v>February</v>
      </c>
      <c r="N544" s="5">
        <f>YEAR(Store_Record[[#This Row],[Date]])</f>
        <v>2025</v>
      </c>
      <c r="O544"/>
    </row>
    <row r="545" spans="1:15" x14ac:dyDescent="0.35">
      <c r="A545" t="s">
        <v>989</v>
      </c>
      <c r="B545" s="2">
        <v>45697</v>
      </c>
      <c r="C545" t="s">
        <v>20</v>
      </c>
      <c r="D545" t="s">
        <v>11</v>
      </c>
      <c r="E545" t="s">
        <v>12</v>
      </c>
      <c r="F545" t="s">
        <v>13</v>
      </c>
      <c r="G545">
        <v>5</v>
      </c>
      <c r="H545">
        <v>2.5</v>
      </c>
      <c r="I545" t="s">
        <v>39</v>
      </c>
      <c r="J545" t="s">
        <v>990</v>
      </c>
      <c r="K545" s="12">
        <f>Store_Record[[#This Row],[Qty]]*Store_Record[[#This Row],[UnitPriceGBP]]</f>
        <v>12.5</v>
      </c>
      <c r="L545" s="5" t="str">
        <f>TEXT(Store_Record[[#This Row],[Date]],"dddd")</f>
        <v>Sunday</v>
      </c>
      <c r="M545" s="5" t="str">
        <f>TEXT(Store_Record[[#This Row],[Date]],"mmmm")</f>
        <v>February</v>
      </c>
      <c r="N545" s="5">
        <f>YEAR(Store_Record[[#This Row],[Date]])</f>
        <v>2025</v>
      </c>
      <c r="O545"/>
    </row>
    <row r="546" spans="1:15" x14ac:dyDescent="0.35">
      <c r="A546" t="s">
        <v>991</v>
      </c>
      <c r="B546" s="2">
        <v>45697</v>
      </c>
      <c r="C546" t="s">
        <v>10</v>
      </c>
      <c r="D546" t="s">
        <v>38</v>
      </c>
      <c r="E546" t="s">
        <v>12</v>
      </c>
      <c r="F546" t="s">
        <v>13</v>
      </c>
      <c r="G546">
        <v>5</v>
      </c>
      <c r="H546">
        <v>2.5</v>
      </c>
      <c r="I546" t="s">
        <v>14</v>
      </c>
      <c r="J546" t="s">
        <v>992</v>
      </c>
      <c r="K546" s="12">
        <f>Store_Record[[#This Row],[Qty]]*Store_Record[[#This Row],[UnitPriceGBP]]</f>
        <v>12.5</v>
      </c>
      <c r="L546" s="5" t="str">
        <f>TEXT(Store_Record[[#This Row],[Date]],"dddd")</f>
        <v>Sunday</v>
      </c>
      <c r="M546" s="5" t="str">
        <f>TEXT(Store_Record[[#This Row],[Date]],"mmmm")</f>
        <v>February</v>
      </c>
      <c r="N546" s="5">
        <f>YEAR(Store_Record[[#This Row],[Date]])</f>
        <v>2025</v>
      </c>
      <c r="O546"/>
    </row>
    <row r="547" spans="1:15" x14ac:dyDescent="0.35">
      <c r="A547" t="s">
        <v>1004</v>
      </c>
      <c r="B547" s="2">
        <v>45697</v>
      </c>
      <c r="C547" t="s">
        <v>20</v>
      </c>
      <c r="D547" t="s">
        <v>11</v>
      </c>
      <c r="E547" t="s">
        <v>30</v>
      </c>
      <c r="F547" t="s">
        <v>31</v>
      </c>
      <c r="G547">
        <v>4</v>
      </c>
      <c r="H547">
        <v>2.8</v>
      </c>
      <c r="I547" t="s">
        <v>21</v>
      </c>
      <c r="J547" t="s">
        <v>1005</v>
      </c>
      <c r="K547" s="12">
        <f>Store_Record[[#This Row],[Qty]]*Store_Record[[#This Row],[UnitPriceGBP]]</f>
        <v>11.2</v>
      </c>
      <c r="L547" s="5" t="str">
        <f>TEXT(Store_Record[[#This Row],[Date]],"dddd")</f>
        <v>Sunday</v>
      </c>
      <c r="M547" s="5" t="str">
        <f>TEXT(Store_Record[[#This Row],[Date]],"mmmm")</f>
        <v>February</v>
      </c>
      <c r="N547" s="5">
        <f>YEAR(Store_Record[[#This Row],[Date]])</f>
        <v>2025</v>
      </c>
      <c r="O547"/>
    </row>
    <row r="548" spans="1:15" x14ac:dyDescent="0.35">
      <c r="A548" t="s">
        <v>981</v>
      </c>
      <c r="B548" s="2">
        <v>45697</v>
      </c>
      <c r="C548" t="s">
        <v>36</v>
      </c>
      <c r="D548" t="s">
        <v>29</v>
      </c>
      <c r="E548" t="s">
        <v>34</v>
      </c>
      <c r="F548" t="s">
        <v>31</v>
      </c>
      <c r="G548">
        <v>5</v>
      </c>
      <c r="H548">
        <v>2.2000000000000002</v>
      </c>
      <c r="I548" t="s">
        <v>14</v>
      </c>
      <c r="J548" t="s">
        <v>982</v>
      </c>
      <c r="K548" s="12">
        <f>Store_Record[[#This Row],[Qty]]*Store_Record[[#This Row],[UnitPriceGBP]]</f>
        <v>11</v>
      </c>
      <c r="L548" s="5" t="str">
        <f>TEXT(Store_Record[[#This Row],[Date]],"dddd")</f>
        <v>Sunday</v>
      </c>
      <c r="M548" s="5" t="str">
        <f>TEXT(Store_Record[[#This Row],[Date]],"mmmm")</f>
        <v>February</v>
      </c>
      <c r="N548" s="5">
        <f>YEAR(Store_Record[[#This Row],[Date]])</f>
        <v>2025</v>
      </c>
      <c r="O548"/>
    </row>
    <row r="549" spans="1:15" x14ac:dyDescent="0.35">
      <c r="A549" t="s">
        <v>995</v>
      </c>
      <c r="B549" s="2">
        <v>45697</v>
      </c>
      <c r="C549" t="s">
        <v>24</v>
      </c>
      <c r="D549" t="s">
        <v>11</v>
      </c>
      <c r="E549" t="s">
        <v>34</v>
      </c>
      <c r="F549" t="s">
        <v>31</v>
      </c>
      <c r="G549">
        <v>5</v>
      </c>
      <c r="H549">
        <v>2.2000000000000002</v>
      </c>
      <c r="I549" t="s">
        <v>39</v>
      </c>
      <c r="J549" t="s">
        <v>146</v>
      </c>
      <c r="K549" s="12">
        <f>Store_Record[[#This Row],[Qty]]*Store_Record[[#This Row],[UnitPriceGBP]]</f>
        <v>11</v>
      </c>
      <c r="L549" s="5" t="str">
        <f>TEXT(Store_Record[[#This Row],[Date]],"dddd")</f>
        <v>Sunday</v>
      </c>
      <c r="M549" s="5" t="str">
        <f>TEXT(Store_Record[[#This Row],[Date]],"mmmm")</f>
        <v>February</v>
      </c>
      <c r="N549" s="5">
        <f>YEAR(Store_Record[[#This Row],[Date]])</f>
        <v>2025</v>
      </c>
      <c r="O549"/>
    </row>
    <row r="550" spans="1:15" x14ac:dyDescent="0.35">
      <c r="A550" t="s">
        <v>983</v>
      </c>
      <c r="B550" s="2">
        <v>45697</v>
      </c>
      <c r="C550" t="s">
        <v>20</v>
      </c>
      <c r="D550" t="s">
        <v>25</v>
      </c>
      <c r="E550" t="s">
        <v>26</v>
      </c>
      <c r="F550" t="s">
        <v>13</v>
      </c>
      <c r="G550">
        <v>3</v>
      </c>
      <c r="H550">
        <v>3.5</v>
      </c>
      <c r="I550" t="s">
        <v>21</v>
      </c>
      <c r="J550" t="s">
        <v>984</v>
      </c>
      <c r="K550" s="12">
        <f>Store_Record[[#This Row],[Qty]]*Store_Record[[#This Row],[UnitPriceGBP]]</f>
        <v>10.5</v>
      </c>
      <c r="L550" s="5" t="str">
        <f>TEXT(Store_Record[[#This Row],[Date]],"dddd")</f>
        <v>Sunday</v>
      </c>
      <c r="M550" s="5" t="str">
        <f>TEXT(Store_Record[[#This Row],[Date]],"mmmm")</f>
        <v>February</v>
      </c>
      <c r="N550" s="5">
        <f>YEAR(Store_Record[[#This Row],[Date]])</f>
        <v>2025</v>
      </c>
      <c r="O550"/>
    </row>
    <row r="551" spans="1:15" x14ac:dyDescent="0.35">
      <c r="A551" t="s">
        <v>988</v>
      </c>
      <c r="B551" s="2">
        <v>45697</v>
      </c>
      <c r="C551" t="s">
        <v>24</v>
      </c>
      <c r="D551" t="s">
        <v>47</v>
      </c>
      <c r="E551" t="s">
        <v>12</v>
      </c>
      <c r="F551" t="s">
        <v>13</v>
      </c>
      <c r="G551">
        <v>4</v>
      </c>
      <c r="H551">
        <v>2.5</v>
      </c>
      <c r="I551" t="s">
        <v>39</v>
      </c>
      <c r="J551" t="s">
        <v>691</v>
      </c>
      <c r="K551" s="12">
        <f>Store_Record[[#This Row],[Qty]]*Store_Record[[#This Row],[UnitPriceGBP]]</f>
        <v>10</v>
      </c>
      <c r="L551" s="5" t="str">
        <f>TEXT(Store_Record[[#This Row],[Date]],"dddd")</f>
        <v>Sunday</v>
      </c>
      <c r="M551" s="5" t="str">
        <f>TEXT(Store_Record[[#This Row],[Date]],"mmmm")</f>
        <v>February</v>
      </c>
      <c r="N551" s="5">
        <f>YEAR(Store_Record[[#This Row],[Date]])</f>
        <v>2025</v>
      </c>
      <c r="O551"/>
    </row>
    <row r="552" spans="1:15" x14ac:dyDescent="0.35">
      <c r="A552" t="s">
        <v>1006</v>
      </c>
      <c r="B552" s="2">
        <v>45697</v>
      </c>
      <c r="C552" t="s">
        <v>20</v>
      </c>
      <c r="D552" t="s">
        <v>38</v>
      </c>
      <c r="E552" t="s">
        <v>30</v>
      </c>
      <c r="F552" t="s">
        <v>31</v>
      </c>
      <c r="G552">
        <v>3</v>
      </c>
      <c r="H552">
        <v>2.8</v>
      </c>
      <c r="I552" t="s">
        <v>39</v>
      </c>
      <c r="J552" t="s">
        <v>1007</v>
      </c>
      <c r="K552" s="12">
        <f>Store_Record[[#This Row],[Qty]]*Store_Record[[#This Row],[UnitPriceGBP]]</f>
        <v>8.3999999999999986</v>
      </c>
      <c r="L552" s="5" t="str">
        <f>TEXT(Store_Record[[#This Row],[Date]],"dddd")</f>
        <v>Sunday</v>
      </c>
      <c r="M552" s="5" t="str">
        <f>TEXT(Store_Record[[#This Row],[Date]],"mmmm")</f>
        <v>February</v>
      </c>
      <c r="N552" s="5">
        <f>YEAR(Store_Record[[#This Row],[Date]])</f>
        <v>2025</v>
      </c>
      <c r="O552"/>
    </row>
    <row r="553" spans="1:15" x14ac:dyDescent="0.35">
      <c r="A553" t="s">
        <v>1008</v>
      </c>
      <c r="B553" s="2">
        <v>45697</v>
      </c>
      <c r="C553" t="s">
        <v>10</v>
      </c>
      <c r="D553" t="s">
        <v>29</v>
      </c>
      <c r="E553" t="s">
        <v>26</v>
      </c>
      <c r="F553" t="s">
        <v>13</v>
      </c>
      <c r="G553">
        <v>2</v>
      </c>
      <c r="H553">
        <v>3.5</v>
      </c>
      <c r="I553" t="s">
        <v>39</v>
      </c>
      <c r="J553" t="s">
        <v>1009</v>
      </c>
      <c r="K553" s="12">
        <f>Store_Record[[#This Row],[Qty]]*Store_Record[[#This Row],[UnitPriceGBP]]</f>
        <v>7</v>
      </c>
      <c r="L553" s="5" t="str">
        <f>TEXT(Store_Record[[#This Row],[Date]],"dddd")</f>
        <v>Sunday</v>
      </c>
      <c r="M553" s="5" t="str">
        <f>TEXT(Store_Record[[#This Row],[Date]],"mmmm")</f>
        <v>February</v>
      </c>
      <c r="N553" s="5">
        <f>YEAR(Store_Record[[#This Row],[Date]])</f>
        <v>2025</v>
      </c>
      <c r="O553"/>
    </row>
    <row r="554" spans="1:15" x14ac:dyDescent="0.35">
      <c r="A554" t="s">
        <v>993</v>
      </c>
      <c r="B554" s="2">
        <v>45697</v>
      </c>
      <c r="C554" t="s">
        <v>36</v>
      </c>
      <c r="D554" t="s">
        <v>29</v>
      </c>
      <c r="E554" t="s">
        <v>34</v>
      </c>
      <c r="F554" t="s">
        <v>31</v>
      </c>
      <c r="G554">
        <v>3</v>
      </c>
      <c r="H554">
        <v>2.2000000000000002</v>
      </c>
      <c r="I554" t="s">
        <v>14</v>
      </c>
      <c r="J554" t="s">
        <v>497</v>
      </c>
      <c r="K554" s="12">
        <f>Store_Record[[#This Row],[Qty]]*Store_Record[[#This Row],[UnitPriceGBP]]</f>
        <v>6.6000000000000005</v>
      </c>
      <c r="L554" s="5" t="str">
        <f>TEXT(Store_Record[[#This Row],[Date]],"dddd")</f>
        <v>Sunday</v>
      </c>
      <c r="M554" s="5" t="str">
        <f>TEXT(Store_Record[[#This Row],[Date]],"mmmm")</f>
        <v>February</v>
      </c>
      <c r="N554" s="5">
        <f>YEAR(Store_Record[[#This Row],[Date]])</f>
        <v>2025</v>
      </c>
      <c r="O554"/>
    </row>
    <row r="555" spans="1:15" x14ac:dyDescent="0.35">
      <c r="A555" t="s">
        <v>997</v>
      </c>
      <c r="B555" s="2">
        <v>45697</v>
      </c>
      <c r="C555" t="s">
        <v>10</v>
      </c>
      <c r="D555" t="s">
        <v>47</v>
      </c>
      <c r="E555" t="s">
        <v>34</v>
      </c>
      <c r="F555" t="s">
        <v>31</v>
      </c>
      <c r="G555">
        <v>3</v>
      </c>
      <c r="H555">
        <v>2.2000000000000002</v>
      </c>
      <c r="I555" t="s">
        <v>21</v>
      </c>
      <c r="J555" t="s">
        <v>998</v>
      </c>
      <c r="K555" s="12">
        <f>Store_Record[[#This Row],[Qty]]*Store_Record[[#This Row],[UnitPriceGBP]]</f>
        <v>6.6000000000000005</v>
      </c>
      <c r="L555" s="5" t="str">
        <f>TEXT(Store_Record[[#This Row],[Date]],"dddd")</f>
        <v>Sunday</v>
      </c>
      <c r="M555" s="5" t="str">
        <f>TEXT(Store_Record[[#This Row],[Date]],"mmmm")</f>
        <v>February</v>
      </c>
      <c r="N555" s="5">
        <f>YEAR(Store_Record[[#This Row],[Date]])</f>
        <v>2025</v>
      </c>
      <c r="O555"/>
    </row>
    <row r="556" spans="1:15" x14ac:dyDescent="0.35">
      <c r="A556" t="s">
        <v>1001</v>
      </c>
      <c r="B556" s="2">
        <v>45697</v>
      </c>
      <c r="C556" t="s">
        <v>24</v>
      </c>
      <c r="D556" t="s">
        <v>25</v>
      </c>
      <c r="E556" t="s">
        <v>12</v>
      </c>
      <c r="F556" t="s">
        <v>13</v>
      </c>
      <c r="G556">
        <v>2</v>
      </c>
      <c r="H556">
        <v>2.5</v>
      </c>
      <c r="I556" t="s">
        <v>39</v>
      </c>
      <c r="J556" t="s">
        <v>667</v>
      </c>
      <c r="K556" s="12">
        <f>Store_Record[[#This Row],[Qty]]*Store_Record[[#This Row],[UnitPriceGBP]]</f>
        <v>5</v>
      </c>
      <c r="L556" s="5" t="str">
        <f>TEXT(Store_Record[[#This Row],[Date]],"dddd")</f>
        <v>Sunday</v>
      </c>
      <c r="M556" s="5" t="str">
        <f>TEXT(Store_Record[[#This Row],[Date]],"mmmm")</f>
        <v>February</v>
      </c>
      <c r="N556" s="5">
        <f>YEAR(Store_Record[[#This Row],[Date]])</f>
        <v>2025</v>
      </c>
      <c r="O556"/>
    </row>
    <row r="557" spans="1:15" x14ac:dyDescent="0.35">
      <c r="A557" t="s">
        <v>987</v>
      </c>
      <c r="B557" s="2">
        <v>45697</v>
      </c>
      <c r="C557" t="s">
        <v>36</v>
      </c>
      <c r="D557" t="s">
        <v>38</v>
      </c>
      <c r="E557" t="s">
        <v>26</v>
      </c>
      <c r="F557" t="s">
        <v>13</v>
      </c>
      <c r="G557">
        <v>1</v>
      </c>
      <c r="H557">
        <v>3.5</v>
      </c>
      <c r="I557" t="s">
        <v>39</v>
      </c>
      <c r="J557" t="s">
        <v>757</v>
      </c>
      <c r="K557" s="12">
        <f>Store_Record[[#This Row],[Qty]]*Store_Record[[#This Row],[UnitPriceGBP]]</f>
        <v>3.5</v>
      </c>
      <c r="L557" s="5" t="str">
        <f>TEXT(Store_Record[[#This Row],[Date]],"dddd")</f>
        <v>Sunday</v>
      </c>
      <c r="M557" s="5" t="str">
        <f>TEXT(Store_Record[[#This Row],[Date]],"mmmm")</f>
        <v>February</v>
      </c>
      <c r="N557" s="5">
        <f>YEAR(Store_Record[[#This Row],[Date]])</f>
        <v>2025</v>
      </c>
      <c r="O557"/>
    </row>
    <row r="558" spans="1:15" x14ac:dyDescent="0.35">
      <c r="A558" t="s">
        <v>994</v>
      </c>
      <c r="B558" s="2">
        <v>45697</v>
      </c>
      <c r="C558" t="s">
        <v>36</v>
      </c>
      <c r="D558" t="s">
        <v>11</v>
      </c>
      <c r="E558" t="s">
        <v>12</v>
      </c>
      <c r="F558" t="s">
        <v>13</v>
      </c>
      <c r="G558">
        <v>1</v>
      </c>
      <c r="H558">
        <v>2.5</v>
      </c>
      <c r="I558" t="s">
        <v>39</v>
      </c>
      <c r="J558" t="s">
        <v>682</v>
      </c>
      <c r="K558" s="12">
        <f>Store_Record[[#This Row],[Qty]]*Store_Record[[#This Row],[UnitPriceGBP]]</f>
        <v>2.5</v>
      </c>
      <c r="L558" s="5" t="str">
        <f>TEXT(Store_Record[[#This Row],[Date]],"dddd")</f>
        <v>Sunday</v>
      </c>
      <c r="M558" s="5" t="str">
        <f>TEXT(Store_Record[[#This Row],[Date]],"mmmm")</f>
        <v>February</v>
      </c>
      <c r="N558" s="5">
        <f>YEAR(Store_Record[[#This Row],[Date]])</f>
        <v>2025</v>
      </c>
      <c r="O558"/>
    </row>
    <row r="559" spans="1:15" x14ac:dyDescent="0.35">
      <c r="A559" t="s">
        <v>999</v>
      </c>
      <c r="B559" s="2">
        <v>45697</v>
      </c>
      <c r="C559" t="s">
        <v>24</v>
      </c>
      <c r="D559" t="s">
        <v>38</v>
      </c>
      <c r="E559" t="s">
        <v>34</v>
      </c>
      <c r="F559" t="s">
        <v>31</v>
      </c>
      <c r="G559">
        <v>1</v>
      </c>
      <c r="H559">
        <v>2.2000000000000002</v>
      </c>
      <c r="I559" t="s">
        <v>39</v>
      </c>
      <c r="J559" t="s">
        <v>1000</v>
      </c>
      <c r="K559" s="12">
        <f>Store_Record[[#This Row],[Qty]]*Store_Record[[#This Row],[UnitPriceGBP]]</f>
        <v>2.2000000000000002</v>
      </c>
      <c r="L559" s="5" t="str">
        <f>TEXT(Store_Record[[#This Row],[Date]],"dddd")</f>
        <v>Sunday</v>
      </c>
      <c r="M559" s="5" t="str">
        <f>TEXT(Store_Record[[#This Row],[Date]],"mmmm")</f>
        <v>February</v>
      </c>
      <c r="N559" s="5">
        <f>YEAR(Store_Record[[#This Row],[Date]])</f>
        <v>2025</v>
      </c>
      <c r="O559"/>
    </row>
    <row r="560" spans="1:15" x14ac:dyDescent="0.35">
      <c r="A560" t="s">
        <v>1027</v>
      </c>
      <c r="B560" s="2">
        <v>45698</v>
      </c>
      <c r="C560" t="s">
        <v>24</v>
      </c>
      <c r="D560" t="s">
        <v>47</v>
      </c>
      <c r="E560" t="s">
        <v>26</v>
      </c>
      <c r="F560" t="s">
        <v>13</v>
      </c>
      <c r="G560">
        <v>5</v>
      </c>
      <c r="H560">
        <v>3.5</v>
      </c>
      <c r="I560" t="s">
        <v>39</v>
      </c>
      <c r="J560" t="s">
        <v>358</v>
      </c>
      <c r="K560" s="12">
        <f>Store_Record[[#This Row],[Qty]]*Store_Record[[#This Row],[UnitPriceGBP]]</f>
        <v>17.5</v>
      </c>
      <c r="L560" s="5" t="str">
        <f>TEXT(Store_Record[[#This Row],[Date]],"dddd")</f>
        <v>Monday</v>
      </c>
      <c r="M560" s="5" t="str">
        <f>TEXT(Store_Record[[#This Row],[Date]],"mmmm")</f>
        <v>February</v>
      </c>
      <c r="N560" s="5">
        <f>YEAR(Store_Record[[#This Row],[Date]])</f>
        <v>2025</v>
      </c>
      <c r="O560"/>
    </row>
    <row r="561" spans="1:15" x14ac:dyDescent="0.35">
      <c r="A561" t="s">
        <v>1041</v>
      </c>
      <c r="B561" s="2">
        <v>45698</v>
      </c>
      <c r="C561" t="s">
        <v>20</v>
      </c>
      <c r="D561" t="s">
        <v>38</v>
      </c>
      <c r="E561" t="s">
        <v>26</v>
      </c>
      <c r="F561" t="s">
        <v>13</v>
      </c>
      <c r="G561">
        <v>5</v>
      </c>
      <c r="H561">
        <v>3.5</v>
      </c>
      <c r="I561" t="s">
        <v>14</v>
      </c>
      <c r="J561" t="s">
        <v>1042</v>
      </c>
      <c r="K561" s="12">
        <f>Store_Record[[#This Row],[Qty]]*Store_Record[[#This Row],[UnitPriceGBP]]</f>
        <v>17.5</v>
      </c>
      <c r="L561" s="5" t="str">
        <f>TEXT(Store_Record[[#This Row],[Date]],"dddd")</f>
        <v>Monday</v>
      </c>
      <c r="M561" s="5" t="str">
        <f>TEXT(Store_Record[[#This Row],[Date]],"mmmm")</f>
        <v>February</v>
      </c>
      <c r="N561" s="5">
        <f>YEAR(Store_Record[[#This Row],[Date]])</f>
        <v>2025</v>
      </c>
      <c r="O561"/>
    </row>
    <row r="562" spans="1:15" x14ac:dyDescent="0.35">
      <c r="A562" t="s">
        <v>1040</v>
      </c>
      <c r="B562" s="2">
        <v>45698</v>
      </c>
      <c r="C562" t="s">
        <v>36</v>
      </c>
      <c r="D562" t="s">
        <v>29</v>
      </c>
      <c r="E562" t="s">
        <v>42</v>
      </c>
      <c r="F562" t="s">
        <v>13</v>
      </c>
      <c r="G562">
        <v>4</v>
      </c>
      <c r="H562">
        <v>3.8</v>
      </c>
      <c r="I562" t="s">
        <v>39</v>
      </c>
      <c r="J562" t="s">
        <v>963</v>
      </c>
      <c r="K562" s="12">
        <f>Store_Record[[#This Row],[Qty]]*Store_Record[[#This Row],[UnitPriceGBP]]</f>
        <v>15.2</v>
      </c>
      <c r="L562" s="5" t="str">
        <f>TEXT(Store_Record[[#This Row],[Date]],"dddd")</f>
        <v>Monday</v>
      </c>
      <c r="M562" s="5" t="str">
        <f>TEXT(Store_Record[[#This Row],[Date]],"mmmm")</f>
        <v>February</v>
      </c>
      <c r="N562" s="5">
        <f>YEAR(Store_Record[[#This Row],[Date]])</f>
        <v>2025</v>
      </c>
      <c r="O562"/>
    </row>
    <row r="563" spans="1:15" x14ac:dyDescent="0.35">
      <c r="A563" t="s">
        <v>1032</v>
      </c>
      <c r="B563" s="2">
        <v>45698</v>
      </c>
      <c r="C563" t="s">
        <v>36</v>
      </c>
      <c r="D563" t="s">
        <v>47</v>
      </c>
      <c r="E563" t="s">
        <v>30</v>
      </c>
      <c r="F563" t="s">
        <v>31</v>
      </c>
      <c r="G563">
        <v>5</v>
      </c>
      <c r="H563">
        <v>2.8</v>
      </c>
      <c r="I563" t="s">
        <v>39</v>
      </c>
      <c r="J563" t="s">
        <v>415</v>
      </c>
      <c r="K563" s="12">
        <f>Store_Record[[#This Row],[Qty]]*Store_Record[[#This Row],[UnitPriceGBP]]</f>
        <v>14</v>
      </c>
      <c r="L563" s="5" t="str">
        <f>TEXT(Store_Record[[#This Row],[Date]],"dddd")</f>
        <v>Monday</v>
      </c>
      <c r="M563" s="5" t="str">
        <f>TEXT(Store_Record[[#This Row],[Date]],"mmmm")</f>
        <v>February</v>
      </c>
      <c r="N563" s="5">
        <f>YEAR(Store_Record[[#This Row],[Date]])</f>
        <v>2025</v>
      </c>
      <c r="O563"/>
    </row>
    <row r="564" spans="1:15" x14ac:dyDescent="0.35">
      <c r="A564" t="s">
        <v>1021</v>
      </c>
      <c r="B564" s="2">
        <v>45698</v>
      </c>
      <c r="C564" t="s">
        <v>20</v>
      </c>
      <c r="D564" t="s">
        <v>38</v>
      </c>
      <c r="E564" t="s">
        <v>30</v>
      </c>
      <c r="F564" t="s">
        <v>31</v>
      </c>
      <c r="G564">
        <v>4</v>
      </c>
      <c r="H564">
        <v>2.8</v>
      </c>
      <c r="I564" t="s">
        <v>39</v>
      </c>
      <c r="J564" t="s">
        <v>539</v>
      </c>
      <c r="K564" s="12">
        <f>Store_Record[[#This Row],[Qty]]*Store_Record[[#This Row],[UnitPriceGBP]]</f>
        <v>11.2</v>
      </c>
      <c r="L564" s="5" t="str">
        <f>TEXT(Store_Record[[#This Row],[Date]],"dddd")</f>
        <v>Monday</v>
      </c>
      <c r="M564" s="5" t="str">
        <f>TEXT(Store_Record[[#This Row],[Date]],"mmmm")</f>
        <v>February</v>
      </c>
      <c r="N564" s="5">
        <f>YEAR(Store_Record[[#This Row],[Date]])</f>
        <v>2025</v>
      </c>
      <c r="O564"/>
    </row>
    <row r="565" spans="1:15" x14ac:dyDescent="0.35">
      <c r="A565" t="s">
        <v>1033</v>
      </c>
      <c r="B565" s="2">
        <v>45698</v>
      </c>
      <c r="C565" t="s">
        <v>10</v>
      </c>
      <c r="D565" t="s">
        <v>38</v>
      </c>
      <c r="E565" t="s">
        <v>34</v>
      </c>
      <c r="F565" t="s">
        <v>31</v>
      </c>
      <c r="G565">
        <v>5</v>
      </c>
      <c r="H565">
        <v>2.2000000000000002</v>
      </c>
      <c r="I565" t="s">
        <v>21</v>
      </c>
      <c r="J565" t="s">
        <v>1034</v>
      </c>
      <c r="K565" s="12">
        <f>Store_Record[[#This Row],[Qty]]*Store_Record[[#This Row],[UnitPriceGBP]]</f>
        <v>11</v>
      </c>
      <c r="L565" s="5" t="str">
        <f>TEXT(Store_Record[[#This Row],[Date]],"dddd")</f>
        <v>Monday</v>
      </c>
      <c r="M565" s="5" t="str">
        <f>TEXT(Store_Record[[#This Row],[Date]],"mmmm")</f>
        <v>February</v>
      </c>
      <c r="N565" s="5">
        <f>YEAR(Store_Record[[#This Row],[Date]])</f>
        <v>2025</v>
      </c>
      <c r="O565"/>
    </row>
    <row r="566" spans="1:15" x14ac:dyDescent="0.35">
      <c r="A566" t="s">
        <v>1039</v>
      </c>
      <c r="B566" s="2">
        <v>45698</v>
      </c>
      <c r="C566" t="s">
        <v>24</v>
      </c>
      <c r="D566" t="s">
        <v>47</v>
      </c>
      <c r="E566" t="s">
        <v>34</v>
      </c>
      <c r="F566" t="s">
        <v>31</v>
      </c>
      <c r="G566">
        <v>5</v>
      </c>
      <c r="H566">
        <v>2.2000000000000002</v>
      </c>
      <c r="I566" t="s">
        <v>39</v>
      </c>
      <c r="J566" t="s">
        <v>279</v>
      </c>
      <c r="K566" s="12">
        <f>Store_Record[[#This Row],[Qty]]*Store_Record[[#This Row],[UnitPriceGBP]]</f>
        <v>11</v>
      </c>
      <c r="L566" s="5" t="str">
        <f>TEXT(Store_Record[[#This Row],[Date]],"dddd")</f>
        <v>Monday</v>
      </c>
      <c r="M566" s="5" t="str">
        <f>TEXT(Store_Record[[#This Row],[Date]],"mmmm")</f>
        <v>February</v>
      </c>
      <c r="N566" s="5">
        <f>YEAR(Store_Record[[#This Row],[Date]])</f>
        <v>2025</v>
      </c>
      <c r="O566"/>
    </row>
    <row r="567" spans="1:15" x14ac:dyDescent="0.35">
      <c r="A567" t="s">
        <v>1039</v>
      </c>
      <c r="B567" s="2">
        <v>45698</v>
      </c>
      <c r="C567" t="s">
        <v>24</v>
      </c>
      <c r="D567" t="s">
        <v>47</v>
      </c>
      <c r="E567" t="s">
        <v>34</v>
      </c>
      <c r="F567" t="s">
        <v>31</v>
      </c>
      <c r="G567">
        <v>5</v>
      </c>
      <c r="H567">
        <v>2.2000000000000002</v>
      </c>
      <c r="I567" t="s">
        <v>14</v>
      </c>
      <c r="J567" t="s">
        <v>279</v>
      </c>
      <c r="K567" s="12">
        <f>Store_Record[[#This Row],[Qty]]*Store_Record[[#This Row],[UnitPriceGBP]]</f>
        <v>11</v>
      </c>
      <c r="L567" s="5" t="str">
        <f>TEXT(Store_Record[[#This Row],[Date]],"dddd")</f>
        <v>Monday</v>
      </c>
      <c r="M567" s="5" t="str">
        <f>TEXT(Store_Record[[#This Row],[Date]],"mmmm")</f>
        <v>February</v>
      </c>
      <c r="N567" s="5">
        <f>YEAR(Store_Record[[#This Row],[Date]])</f>
        <v>2025</v>
      </c>
      <c r="O567"/>
    </row>
    <row r="568" spans="1:15" x14ac:dyDescent="0.35">
      <c r="A568" t="s">
        <v>1016</v>
      </c>
      <c r="B568" s="2">
        <v>45698</v>
      </c>
      <c r="C568" t="s">
        <v>24</v>
      </c>
      <c r="D568" t="s">
        <v>29</v>
      </c>
      <c r="E568" t="s">
        <v>26</v>
      </c>
      <c r="F568" t="s">
        <v>13</v>
      </c>
      <c r="G568">
        <v>3</v>
      </c>
      <c r="H568">
        <v>3.5</v>
      </c>
      <c r="I568" t="s">
        <v>39</v>
      </c>
      <c r="J568" t="s">
        <v>1017</v>
      </c>
      <c r="K568" s="12">
        <f>Store_Record[[#This Row],[Qty]]*Store_Record[[#This Row],[UnitPriceGBP]]</f>
        <v>10.5</v>
      </c>
      <c r="L568" s="5" t="str">
        <f>TEXT(Store_Record[[#This Row],[Date]],"dddd")</f>
        <v>Monday</v>
      </c>
      <c r="M568" s="5" t="str">
        <f>TEXT(Store_Record[[#This Row],[Date]],"mmmm")</f>
        <v>February</v>
      </c>
      <c r="N568" s="5">
        <f>YEAR(Store_Record[[#This Row],[Date]])</f>
        <v>2025</v>
      </c>
      <c r="O568"/>
    </row>
    <row r="569" spans="1:15" x14ac:dyDescent="0.35">
      <c r="A569" t="s">
        <v>1022</v>
      </c>
      <c r="B569" s="2">
        <v>45698</v>
      </c>
      <c r="C569" t="s">
        <v>20</v>
      </c>
      <c r="D569" t="s">
        <v>25</v>
      </c>
      <c r="E569" t="s">
        <v>26</v>
      </c>
      <c r="F569" t="s">
        <v>13</v>
      </c>
      <c r="G569">
        <v>3</v>
      </c>
      <c r="H569">
        <v>3.5</v>
      </c>
      <c r="I569" t="s">
        <v>21</v>
      </c>
      <c r="J569" t="s">
        <v>1023</v>
      </c>
      <c r="K569" s="12">
        <f>Store_Record[[#This Row],[Qty]]*Store_Record[[#This Row],[UnitPriceGBP]]</f>
        <v>10.5</v>
      </c>
      <c r="L569" s="5" t="str">
        <f>TEXT(Store_Record[[#This Row],[Date]],"dddd")</f>
        <v>Monday</v>
      </c>
      <c r="M569" s="5" t="str">
        <f>TEXT(Store_Record[[#This Row],[Date]],"mmmm")</f>
        <v>February</v>
      </c>
      <c r="N569" s="5">
        <f>YEAR(Store_Record[[#This Row],[Date]])</f>
        <v>2025</v>
      </c>
      <c r="O569"/>
    </row>
    <row r="570" spans="1:15" x14ac:dyDescent="0.35">
      <c r="A570" t="s">
        <v>1035</v>
      </c>
      <c r="B570" s="2">
        <v>45698</v>
      </c>
      <c r="C570" t="s">
        <v>10</v>
      </c>
      <c r="D570" t="s">
        <v>47</v>
      </c>
      <c r="E570" t="s">
        <v>26</v>
      </c>
      <c r="F570" t="s">
        <v>13</v>
      </c>
      <c r="G570">
        <v>3</v>
      </c>
      <c r="H570">
        <v>3.5</v>
      </c>
      <c r="I570" t="s">
        <v>14</v>
      </c>
      <c r="J570" t="s">
        <v>1036</v>
      </c>
      <c r="K570" s="12">
        <f>Store_Record[[#This Row],[Qty]]*Store_Record[[#This Row],[UnitPriceGBP]]</f>
        <v>10.5</v>
      </c>
      <c r="L570" s="5" t="str">
        <f>TEXT(Store_Record[[#This Row],[Date]],"dddd")</f>
        <v>Monday</v>
      </c>
      <c r="M570" s="5" t="str">
        <f>TEXT(Store_Record[[#This Row],[Date]],"mmmm")</f>
        <v>February</v>
      </c>
      <c r="N570" s="5">
        <f>YEAR(Store_Record[[#This Row],[Date]])</f>
        <v>2025</v>
      </c>
      <c r="O570"/>
    </row>
    <row r="571" spans="1:15" x14ac:dyDescent="0.35">
      <c r="A571" t="s">
        <v>1014</v>
      </c>
      <c r="B571" s="2">
        <v>45698</v>
      </c>
      <c r="C571" t="s">
        <v>36</v>
      </c>
      <c r="D571" t="s">
        <v>38</v>
      </c>
      <c r="E571" t="s">
        <v>12</v>
      </c>
      <c r="F571" t="s">
        <v>13</v>
      </c>
      <c r="G571">
        <v>4</v>
      </c>
      <c r="H571">
        <v>2.5</v>
      </c>
      <c r="I571" t="s">
        <v>39</v>
      </c>
      <c r="J571" t="s">
        <v>1015</v>
      </c>
      <c r="K571" s="12">
        <f>Store_Record[[#This Row],[Qty]]*Store_Record[[#This Row],[UnitPriceGBP]]</f>
        <v>10</v>
      </c>
      <c r="L571" s="5" t="str">
        <f>TEXT(Store_Record[[#This Row],[Date]],"dddd")</f>
        <v>Monday</v>
      </c>
      <c r="M571" s="5" t="str">
        <f>TEXT(Store_Record[[#This Row],[Date]],"mmmm")</f>
        <v>February</v>
      </c>
      <c r="N571" s="5">
        <f>YEAR(Store_Record[[#This Row],[Date]])</f>
        <v>2025</v>
      </c>
      <c r="O571"/>
    </row>
    <row r="572" spans="1:15" x14ac:dyDescent="0.35">
      <c r="A572" t="s">
        <v>1028</v>
      </c>
      <c r="B572" s="2">
        <v>45698</v>
      </c>
      <c r="C572" t="s">
        <v>10</v>
      </c>
      <c r="D572" t="s">
        <v>29</v>
      </c>
      <c r="E572" t="s">
        <v>30</v>
      </c>
      <c r="F572" t="s">
        <v>31</v>
      </c>
      <c r="G572">
        <v>3</v>
      </c>
      <c r="H572">
        <v>2.8</v>
      </c>
      <c r="I572" t="s">
        <v>39</v>
      </c>
      <c r="J572" t="s">
        <v>1029</v>
      </c>
      <c r="K572" s="12">
        <f>Store_Record[[#This Row],[Qty]]*Store_Record[[#This Row],[UnitPriceGBP]]</f>
        <v>8.3999999999999986</v>
      </c>
      <c r="L572" s="5" t="str">
        <f>TEXT(Store_Record[[#This Row],[Date]],"dddd")</f>
        <v>Monday</v>
      </c>
      <c r="M572" s="5" t="str">
        <f>TEXT(Store_Record[[#This Row],[Date]],"mmmm")</f>
        <v>February</v>
      </c>
      <c r="N572" s="5">
        <f>YEAR(Store_Record[[#This Row],[Date]])</f>
        <v>2025</v>
      </c>
      <c r="O572"/>
    </row>
    <row r="573" spans="1:15" x14ac:dyDescent="0.35">
      <c r="A573" t="s">
        <v>1024</v>
      </c>
      <c r="B573" s="2">
        <v>45698</v>
      </c>
      <c r="C573" t="s">
        <v>24</v>
      </c>
      <c r="D573" t="s">
        <v>38</v>
      </c>
      <c r="E573" t="s">
        <v>42</v>
      </c>
      <c r="F573" t="s">
        <v>13</v>
      </c>
      <c r="G573">
        <v>2</v>
      </c>
      <c r="H573">
        <v>3.8</v>
      </c>
      <c r="I573" t="s">
        <v>14</v>
      </c>
      <c r="J573" t="s">
        <v>1025</v>
      </c>
      <c r="K573" s="12">
        <f>Store_Record[[#This Row],[Qty]]*Store_Record[[#This Row],[UnitPriceGBP]]</f>
        <v>7.6</v>
      </c>
      <c r="L573" s="5" t="str">
        <f>TEXT(Store_Record[[#This Row],[Date]],"dddd")</f>
        <v>Monday</v>
      </c>
      <c r="M573" s="5" t="str">
        <f>TEXT(Store_Record[[#This Row],[Date]],"mmmm")</f>
        <v>February</v>
      </c>
      <c r="N573" s="5">
        <f>YEAR(Store_Record[[#This Row],[Date]])</f>
        <v>2025</v>
      </c>
      <c r="O573"/>
    </row>
    <row r="574" spans="1:15" x14ac:dyDescent="0.35">
      <c r="A574" t="s">
        <v>1010</v>
      </c>
      <c r="B574" s="2">
        <v>45698</v>
      </c>
      <c r="C574" t="s">
        <v>10</v>
      </c>
      <c r="D574" t="s">
        <v>29</v>
      </c>
      <c r="E574" t="s">
        <v>12</v>
      </c>
      <c r="F574" t="s">
        <v>13</v>
      </c>
      <c r="G574">
        <v>3</v>
      </c>
      <c r="H574">
        <v>2.5</v>
      </c>
      <c r="I574" t="s">
        <v>21</v>
      </c>
      <c r="J574" t="s">
        <v>1011</v>
      </c>
      <c r="K574" s="12">
        <f>Store_Record[[#This Row],[Qty]]*Store_Record[[#This Row],[UnitPriceGBP]]</f>
        <v>7.5</v>
      </c>
      <c r="L574" s="5" t="str">
        <f>TEXT(Store_Record[[#This Row],[Date]],"dddd")</f>
        <v>Monday</v>
      </c>
      <c r="M574" s="5" t="str">
        <f>TEXT(Store_Record[[#This Row],[Date]],"mmmm")</f>
        <v>February</v>
      </c>
      <c r="N574" s="5">
        <f>YEAR(Store_Record[[#This Row],[Date]])</f>
        <v>2025</v>
      </c>
      <c r="O574"/>
    </row>
    <row r="575" spans="1:15" x14ac:dyDescent="0.35">
      <c r="A575" t="s">
        <v>1012</v>
      </c>
      <c r="B575" s="2">
        <v>45698</v>
      </c>
      <c r="C575" t="s">
        <v>10</v>
      </c>
      <c r="D575" t="s">
        <v>47</v>
      </c>
      <c r="E575" t="s">
        <v>12</v>
      </c>
      <c r="F575" t="s">
        <v>13</v>
      </c>
      <c r="G575">
        <v>3</v>
      </c>
      <c r="H575">
        <v>2.5</v>
      </c>
      <c r="I575" t="s">
        <v>14</v>
      </c>
      <c r="J575" t="s">
        <v>1013</v>
      </c>
      <c r="K575" s="12">
        <f>Store_Record[[#This Row],[Qty]]*Store_Record[[#This Row],[UnitPriceGBP]]</f>
        <v>7.5</v>
      </c>
      <c r="L575" s="5" t="str">
        <f>TEXT(Store_Record[[#This Row],[Date]],"dddd")</f>
        <v>Monday</v>
      </c>
      <c r="M575" s="5" t="str">
        <f>TEXT(Store_Record[[#This Row],[Date]],"mmmm")</f>
        <v>February</v>
      </c>
      <c r="N575" s="5">
        <f>YEAR(Store_Record[[#This Row],[Date]])</f>
        <v>2025</v>
      </c>
      <c r="O575"/>
    </row>
    <row r="576" spans="1:15" x14ac:dyDescent="0.35">
      <c r="A576" t="s">
        <v>1026</v>
      </c>
      <c r="B576" s="2">
        <v>45698</v>
      </c>
      <c r="C576" t="s">
        <v>20</v>
      </c>
      <c r="D576" t="s">
        <v>29</v>
      </c>
      <c r="E576" t="s">
        <v>26</v>
      </c>
      <c r="F576" t="s">
        <v>13</v>
      </c>
      <c r="G576">
        <v>2</v>
      </c>
      <c r="H576">
        <v>3.5</v>
      </c>
      <c r="I576" t="s">
        <v>39</v>
      </c>
      <c r="J576" t="s">
        <v>372</v>
      </c>
      <c r="K576" s="12">
        <f>Store_Record[[#This Row],[Qty]]*Store_Record[[#This Row],[UnitPriceGBP]]</f>
        <v>7</v>
      </c>
      <c r="L576" s="5" t="str">
        <f>TEXT(Store_Record[[#This Row],[Date]],"dddd")</f>
        <v>Monday</v>
      </c>
      <c r="M576" s="5" t="str">
        <f>TEXT(Store_Record[[#This Row],[Date]],"mmmm")</f>
        <v>February</v>
      </c>
      <c r="N576" s="5">
        <f>YEAR(Store_Record[[#This Row],[Date]])</f>
        <v>2025</v>
      </c>
      <c r="O576"/>
    </row>
    <row r="577" spans="1:15" x14ac:dyDescent="0.35">
      <c r="A577" t="s">
        <v>1037</v>
      </c>
      <c r="B577" s="2">
        <v>45698</v>
      </c>
      <c r="C577" t="s">
        <v>24</v>
      </c>
      <c r="D577" t="s">
        <v>11</v>
      </c>
      <c r="E577" t="s">
        <v>34</v>
      </c>
      <c r="F577" t="s">
        <v>31</v>
      </c>
      <c r="G577">
        <v>3</v>
      </c>
      <c r="H577">
        <v>2.2000000000000002</v>
      </c>
      <c r="I577" t="s">
        <v>14</v>
      </c>
      <c r="J577" t="s">
        <v>1038</v>
      </c>
      <c r="K577" s="12">
        <f>Store_Record[[#This Row],[Qty]]*Store_Record[[#This Row],[UnitPriceGBP]]</f>
        <v>6.6000000000000005</v>
      </c>
      <c r="L577" s="5" t="str">
        <f>TEXT(Store_Record[[#This Row],[Date]],"dddd")</f>
        <v>Monday</v>
      </c>
      <c r="M577" s="5" t="str">
        <f>TEXT(Store_Record[[#This Row],[Date]],"mmmm")</f>
        <v>February</v>
      </c>
      <c r="N577" s="5">
        <f>YEAR(Store_Record[[#This Row],[Date]])</f>
        <v>2025</v>
      </c>
      <c r="O577"/>
    </row>
    <row r="578" spans="1:15" x14ac:dyDescent="0.35">
      <c r="A578" t="s">
        <v>1018</v>
      </c>
      <c r="B578" s="2">
        <v>45698</v>
      </c>
      <c r="C578" t="s">
        <v>20</v>
      </c>
      <c r="D578" t="s">
        <v>11</v>
      </c>
      <c r="E578" t="s">
        <v>26</v>
      </c>
      <c r="F578" t="s">
        <v>13</v>
      </c>
      <c r="G578">
        <v>1</v>
      </c>
      <c r="H578">
        <v>3.5</v>
      </c>
      <c r="I578" t="s">
        <v>14</v>
      </c>
      <c r="J578" t="s">
        <v>234</v>
      </c>
      <c r="K578" s="12">
        <f>Store_Record[[#This Row],[Qty]]*Store_Record[[#This Row],[UnitPriceGBP]]</f>
        <v>3.5</v>
      </c>
      <c r="L578" s="5" t="str">
        <f>TEXT(Store_Record[[#This Row],[Date]],"dddd")</f>
        <v>Monday</v>
      </c>
      <c r="M578" s="5" t="str">
        <f>TEXT(Store_Record[[#This Row],[Date]],"mmmm")</f>
        <v>February</v>
      </c>
      <c r="N578" s="5">
        <f>YEAR(Store_Record[[#This Row],[Date]])</f>
        <v>2025</v>
      </c>
      <c r="O578"/>
    </row>
    <row r="579" spans="1:15" x14ac:dyDescent="0.35">
      <c r="A579" t="s">
        <v>1019</v>
      </c>
      <c r="B579" s="2">
        <v>45698</v>
      </c>
      <c r="C579" t="s">
        <v>10</v>
      </c>
      <c r="D579" t="s">
        <v>11</v>
      </c>
      <c r="E579" t="s">
        <v>26</v>
      </c>
      <c r="F579" t="s">
        <v>13</v>
      </c>
      <c r="G579">
        <v>1</v>
      </c>
      <c r="H579">
        <v>3.5</v>
      </c>
      <c r="I579" t="s">
        <v>14</v>
      </c>
      <c r="J579" t="s">
        <v>1020</v>
      </c>
      <c r="K579" s="12">
        <f>Store_Record[[#This Row],[Qty]]*Store_Record[[#This Row],[UnitPriceGBP]]</f>
        <v>3.5</v>
      </c>
      <c r="L579" s="5" t="str">
        <f>TEXT(Store_Record[[#This Row],[Date]],"dddd")</f>
        <v>Monday</v>
      </c>
      <c r="M579" s="5" t="str">
        <f>TEXT(Store_Record[[#This Row],[Date]],"mmmm")</f>
        <v>February</v>
      </c>
      <c r="N579" s="5">
        <f>YEAR(Store_Record[[#This Row],[Date]])</f>
        <v>2025</v>
      </c>
      <c r="O579"/>
    </row>
    <row r="580" spans="1:15" x14ac:dyDescent="0.35">
      <c r="A580" t="s">
        <v>1030</v>
      </c>
      <c r="B580" s="2">
        <v>45698</v>
      </c>
      <c r="C580" t="s">
        <v>36</v>
      </c>
      <c r="D580" t="s">
        <v>47</v>
      </c>
      <c r="E580" t="s">
        <v>34</v>
      </c>
      <c r="F580" t="s">
        <v>31</v>
      </c>
      <c r="G580">
        <v>1</v>
      </c>
      <c r="H580">
        <v>2.2000000000000002</v>
      </c>
      <c r="I580" t="s">
        <v>14</v>
      </c>
      <c r="J580" t="s">
        <v>1031</v>
      </c>
      <c r="K580" s="12">
        <f>Store_Record[[#This Row],[Qty]]*Store_Record[[#This Row],[UnitPriceGBP]]</f>
        <v>2.2000000000000002</v>
      </c>
      <c r="L580" s="5" t="str">
        <f>TEXT(Store_Record[[#This Row],[Date]],"dddd")</f>
        <v>Monday</v>
      </c>
      <c r="M580" s="5" t="str">
        <f>TEXT(Store_Record[[#This Row],[Date]],"mmmm")</f>
        <v>February</v>
      </c>
      <c r="N580" s="5">
        <f>YEAR(Store_Record[[#This Row],[Date]])</f>
        <v>2025</v>
      </c>
      <c r="O580"/>
    </row>
    <row r="581" spans="1:15" x14ac:dyDescent="0.35">
      <c r="A581" t="s">
        <v>1043</v>
      </c>
      <c r="B581" s="2">
        <v>45699</v>
      </c>
      <c r="C581" t="s">
        <v>20</v>
      </c>
      <c r="D581" t="s">
        <v>11</v>
      </c>
      <c r="E581" t="s">
        <v>42</v>
      </c>
      <c r="F581" t="s">
        <v>13</v>
      </c>
      <c r="G581">
        <v>5</v>
      </c>
      <c r="H581">
        <v>3.8</v>
      </c>
      <c r="I581" t="s">
        <v>39</v>
      </c>
      <c r="J581" t="s">
        <v>1044</v>
      </c>
      <c r="K581" s="12">
        <f>Store_Record[[#This Row],[Qty]]*Store_Record[[#This Row],[UnitPriceGBP]]</f>
        <v>19</v>
      </c>
      <c r="L581" s="5" t="str">
        <f>TEXT(Store_Record[[#This Row],[Date]],"dddd")</f>
        <v>Tuesday</v>
      </c>
      <c r="M581" s="5" t="str">
        <f>TEXT(Store_Record[[#This Row],[Date]],"mmmm")</f>
        <v>February</v>
      </c>
      <c r="N581" s="5">
        <f>YEAR(Store_Record[[#This Row],[Date]])</f>
        <v>2025</v>
      </c>
      <c r="O581"/>
    </row>
    <row r="582" spans="1:15" x14ac:dyDescent="0.35">
      <c r="A582" t="s">
        <v>1050</v>
      </c>
      <c r="B582" s="2">
        <v>45699</v>
      </c>
      <c r="C582" t="s">
        <v>24</v>
      </c>
      <c r="D582" t="s">
        <v>25</v>
      </c>
      <c r="E582" t="s">
        <v>42</v>
      </c>
      <c r="F582" t="s">
        <v>13</v>
      </c>
      <c r="G582">
        <v>5</v>
      </c>
      <c r="H582">
        <v>3.8</v>
      </c>
      <c r="I582" t="s">
        <v>39</v>
      </c>
      <c r="J582" t="s">
        <v>757</v>
      </c>
      <c r="K582" s="12">
        <f>Store_Record[[#This Row],[Qty]]*Store_Record[[#This Row],[UnitPriceGBP]]</f>
        <v>19</v>
      </c>
      <c r="L582" s="5" t="str">
        <f>TEXT(Store_Record[[#This Row],[Date]],"dddd")</f>
        <v>Tuesday</v>
      </c>
      <c r="M582" s="5" t="str">
        <f>TEXT(Store_Record[[#This Row],[Date]],"mmmm")</f>
        <v>February</v>
      </c>
      <c r="N582" s="5">
        <f>YEAR(Store_Record[[#This Row],[Date]])</f>
        <v>2025</v>
      </c>
      <c r="O582"/>
    </row>
    <row r="583" spans="1:15" x14ac:dyDescent="0.35">
      <c r="A583" t="s">
        <v>1049</v>
      </c>
      <c r="B583" s="2">
        <v>45699</v>
      </c>
      <c r="C583" t="s">
        <v>24</v>
      </c>
      <c r="D583" t="s">
        <v>152</v>
      </c>
      <c r="E583" t="s">
        <v>42</v>
      </c>
      <c r="F583" t="s">
        <v>13</v>
      </c>
      <c r="G583">
        <v>4</v>
      </c>
      <c r="H583">
        <v>3.8</v>
      </c>
      <c r="I583" t="s">
        <v>39</v>
      </c>
      <c r="J583" t="s">
        <v>421</v>
      </c>
      <c r="K583" s="12">
        <f>Store_Record[[#This Row],[Qty]]*Store_Record[[#This Row],[UnitPriceGBP]]</f>
        <v>15.2</v>
      </c>
      <c r="L583" s="5" t="str">
        <f>TEXT(Store_Record[[#This Row],[Date]],"dddd")</f>
        <v>Tuesday</v>
      </c>
      <c r="M583" s="5" t="str">
        <f>TEXT(Store_Record[[#This Row],[Date]],"mmmm")</f>
        <v>February</v>
      </c>
      <c r="N583" s="5">
        <f>YEAR(Store_Record[[#This Row],[Date]])</f>
        <v>2025</v>
      </c>
      <c r="O583"/>
    </row>
    <row r="584" spans="1:15" x14ac:dyDescent="0.35">
      <c r="A584" t="s">
        <v>1051</v>
      </c>
      <c r="B584" s="2">
        <v>45699</v>
      </c>
      <c r="C584" t="s">
        <v>10</v>
      </c>
      <c r="D584" t="s">
        <v>11</v>
      </c>
      <c r="E584" t="s">
        <v>42</v>
      </c>
      <c r="F584" t="s">
        <v>13</v>
      </c>
      <c r="G584">
        <v>4</v>
      </c>
      <c r="H584">
        <v>3.8</v>
      </c>
      <c r="I584" t="s">
        <v>21</v>
      </c>
      <c r="J584" t="s">
        <v>654</v>
      </c>
      <c r="K584" s="12">
        <f>Store_Record[[#This Row],[Qty]]*Store_Record[[#This Row],[UnitPriceGBP]]</f>
        <v>15.2</v>
      </c>
      <c r="L584" s="5" t="str">
        <f>TEXT(Store_Record[[#This Row],[Date]],"dddd")</f>
        <v>Tuesday</v>
      </c>
      <c r="M584" s="5" t="str">
        <f>TEXT(Store_Record[[#This Row],[Date]],"mmmm")</f>
        <v>February</v>
      </c>
      <c r="N584" s="5">
        <f>YEAR(Store_Record[[#This Row],[Date]])</f>
        <v>2025</v>
      </c>
      <c r="O584"/>
    </row>
    <row r="585" spans="1:15" x14ac:dyDescent="0.35">
      <c r="A585" t="s">
        <v>1060</v>
      </c>
      <c r="B585" s="2">
        <v>45699</v>
      </c>
      <c r="C585" t="s">
        <v>20</v>
      </c>
      <c r="D585" t="s">
        <v>11</v>
      </c>
      <c r="E585" t="s">
        <v>30</v>
      </c>
      <c r="F585" t="s">
        <v>31</v>
      </c>
      <c r="G585">
        <v>5</v>
      </c>
      <c r="H585">
        <v>2.8</v>
      </c>
      <c r="I585" t="s">
        <v>39</v>
      </c>
      <c r="J585" t="s">
        <v>1061</v>
      </c>
      <c r="K585" s="12">
        <f>Store_Record[[#This Row],[Qty]]*Store_Record[[#This Row],[UnitPriceGBP]]</f>
        <v>14</v>
      </c>
      <c r="L585" s="5" t="str">
        <f>TEXT(Store_Record[[#This Row],[Date]],"dddd")</f>
        <v>Tuesday</v>
      </c>
      <c r="M585" s="5" t="str">
        <f>TEXT(Store_Record[[#This Row],[Date]],"mmmm")</f>
        <v>February</v>
      </c>
      <c r="N585" s="5">
        <f>YEAR(Store_Record[[#This Row],[Date]])</f>
        <v>2025</v>
      </c>
      <c r="O585"/>
    </row>
    <row r="586" spans="1:15" x14ac:dyDescent="0.35">
      <c r="A586" t="s">
        <v>1064</v>
      </c>
      <c r="B586" s="2">
        <v>45699</v>
      </c>
      <c r="C586" t="s">
        <v>10</v>
      </c>
      <c r="D586" t="s">
        <v>29</v>
      </c>
      <c r="E586" t="s">
        <v>30</v>
      </c>
      <c r="F586" t="s">
        <v>31</v>
      </c>
      <c r="G586">
        <v>5</v>
      </c>
      <c r="H586">
        <v>2.8</v>
      </c>
      <c r="I586" t="s">
        <v>14</v>
      </c>
      <c r="J586" t="s">
        <v>1065</v>
      </c>
      <c r="K586" s="12">
        <f>Store_Record[[#This Row],[Qty]]*Store_Record[[#This Row],[UnitPriceGBP]]</f>
        <v>14</v>
      </c>
      <c r="L586" s="5" t="str">
        <f>TEXT(Store_Record[[#This Row],[Date]],"dddd")</f>
        <v>Tuesday</v>
      </c>
      <c r="M586" s="5" t="str">
        <f>TEXT(Store_Record[[#This Row],[Date]],"mmmm")</f>
        <v>February</v>
      </c>
      <c r="N586" s="5">
        <f>YEAR(Store_Record[[#This Row],[Date]])</f>
        <v>2025</v>
      </c>
      <c r="O586"/>
    </row>
    <row r="587" spans="1:15" x14ac:dyDescent="0.35">
      <c r="A587" t="s">
        <v>1067</v>
      </c>
      <c r="B587" s="2">
        <v>45699</v>
      </c>
      <c r="C587" t="s">
        <v>24</v>
      </c>
      <c r="D587" t="s">
        <v>47</v>
      </c>
      <c r="E587" t="s">
        <v>26</v>
      </c>
      <c r="F587" t="s">
        <v>13</v>
      </c>
      <c r="G587">
        <v>4</v>
      </c>
      <c r="H587">
        <v>3.5</v>
      </c>
      <c r="I587" t="s">
        <v>14</v>
      </c>
      <c r="J587" t="s">
        <v>901</v>
      </c>
      <c r="K587" s="12">
        <f>Store_Record[[#This Row],[Qty]]*Store_Record[[#This Row],[UnitPriceGBP]]</f>
        <v>14</v>
      </c>
      <c r="L587" s="5" t="str">
        <f>TEXT(Store_Record[[#This Row],[Date]],"dddd")</f>
        <v>Tuesday</v>
      </c>
      <c r="M587" s="5" t="str">
        <f>TEXT(Store_Record[[#This Row],[Date]],"mmmm")</f>
        <v>February</v>
      </c>
      <c r="N587" s="5">
        <f>YEAR(Store_Record[[#This Row],[Date]])</f>
        <v>2025</v>
      </c>
      <c r="O587"/>
    </row>
    <row r="588" spans="1:15" x14ac:dyDescent="0.35">
      <c r="A588" t="s">
        <v>1047</v>
      </c>
      <c r="B588" s="2">
        <v>45699</v>
      </c>
      <c r="C588" t="s">
        <v>24</v>
      </c>
      <c r="D588" t="s">
        <v>29</v>
      </c>
      <c r="E588" t="s">
        <v>12</v>
      </c>
      <c r="F588" t="s">
        <v>13</v>
      </c>
      <c r="G588">
        <v>5</v>
      </c>
      <c r="H588">
        <v>2.5</v>
      </c>
      <c r="I588" t="s">
        <v>39</v>
      </c>
      <c r="J588" t="s">
        <v>323</v>
      </c>
      <c r="K588" s="12">
        <f>Store_Record[[#This Row],[Qty]]*Store_Record[[#This Row],[UnitPriceGBP]]</f>
        <v>12.5</v>
      </c>
      <c r="L588" s="5" t="str">
        <f>TEXT(Store_Record[[#This Row],[Date]],"dddd")</f>
        <v>Tuesday</v>
      </c>
      <c r="M588" s="5" t="str">
        <f>TEXT(Store_Record[[#This Row],[Date]],"mmmm")</f>
        <v>February</v>
      </c>
      <c r="N588" s="5">
        <f>YEAR(Store_Record[[#This Row],[Date]])</f>
        <v>2025</v>
      </c>
      <c r="O588"/>
    </row>
    <row r="589" spans="1:15" x14ac:dyDescent="0.35">
      <c r="A589" t="s">
        <v>1052</v>
      </c>
      <c r="B589" s="2">
        <v>45699</v>
      </c>
      <c r="C589" t="s">
        <v>24</v>
      </c>
      <c r="D589" t="s">
        <v>11</v>
      </c>
      <c r="E589" t="s">
        <v>12</v>
      </c>
      <c r="F589" t="s">
        <v>13</v>
      </c>
      <c r="G589">
        <v>4</v>
      </c>
      <c r="H589">
        <v>2.5</v>
      </c>
      <c r="I589" t="s">
        <v>39</v>
      </c>
      <c r="J589" t="s">
        <v>1053</v>
      </c>
      <c r="K589" s="12">
        <f>Store_Record[[#This Row],[Qty]]*Store_Record[[#This Row],[UnitPriceGBP]]</f>
        <v>10</v>
      </c>
      <c r="L589" s="5" t="str">
        <f>TEXT(Store_Record[[#This Row],[Date]],"dddd")</f>
        <v>Tuesday</v>
      </c>
      <c r="M589" s="5" t="str">
        <f>TEXT(Store_Record[[#This Row],[Date]],"mmmm")</f>
        <v>February</v>
      </c>
      <c r="N589" s="5">
        <f>YEAR(Store_Record[[#This Row],[Date]])</f>
        <v>2025</v>
      </c>
      <c r="O589"/>
    </row>
    <row r="590" spans="1:15" x14ac:dyDescent="0.35">
      <c r="A590" t="s">
        <v>1054</v>
      </c>
      <c r="B590" s="2">
        <v>45699</v>
      </c>
      <c r="C590" t="s">
        <v>10</v>
      </c>
      <c r="D590" t="s">
        <v>29</v>
      </c>
      <c r="E590" t="s">
        <v>34</v>
      </c>
      <c r="F590" t="s">
        <v>31</v>
      </c>
      <c r="G590">
        <v>4</v>
      </c>
      <c r="H590">
        <v>2.2000000000000002</v>
      </c>
      <c r="I590" t="s">
        <v>14</v>
      </c>
      <c r="J590" t="s">
        <v>1055</v>
      </c>
      <c r="K590" s="12">
        <f>Store_Record[[#This Row],[Qty]]*Store_Record[[#This Row],[UnitPriceGBP]]</f>
        <v>8.8000000000000007</v>
      </c>
      <c r="L590" s="5" t="str">
        <f>TEXT(Store_Record[[#This Row],[Date]],"dddd")</f>
        <v>Tuesday</v>
      </c>
      <c r="M590" s="5" t="str">
        <f>TEXT(Store_Record[[#This Row],[Date]],"mmmm")</f>
        <v>February</v>
      </c>
      <c r="N590" s="5">
        <f>YEAR(Store_Record[[#This Row],[Date]])</f>
        <v>2025</v>
      </c>
      <c r="O590"/>
    </row>
    <row r="591" spans="1:15" x14ac:dyDescent="0.35">
      <c r="A591" t="s">
        <v>1066</v>
      </c>
      <c r="B591" s="2">
        <v>45699</v>
      </c>
      <c r="C591" t="s">
        <v>10</v>
      </c>
      <c r="D591" t="s">
        <v>11</v>
      </c>
      <c r="E591" t="s">
        <v>34</v>
      </c>
      <c r="F591" t="s">
        <v>31</v>
      </c>
      <c r="G591">
        <v>4</v>
      </c>
      <c r="H591">
        <v>2.2000000000000002</v>
      </c>
      <c r="I591" t="s">
        <v>39</v>
      </c>
      <c r="J591" t="s">
        <v>434</v>
      </c>
      <c r="K591" s="12">
        <f>Store_Record[[#This Row],[Qty]]*Store_Record[[#This Row],[UnitPriceGBP]]</f>
        <v>8.8000000000000007</v>
      </c>
      <c r="L591" s="5" t="str">
        <f>TEXT(Store_Record[[#This Row],[Date]],"dddd")</f>
        <v>Tuesday</v>
      </c>
      <c r="M591" s="5" t="str">
        <f>TEXT(Store_Record[[#This Row],[Date]],"mmmm")</f>
        <v>February</v>
      </c>
      <c r="N591" s="5">
        <f>YEAR(Store_Record[[#This Row],[Date]])</f>
        <v>2025</v>
      </c>
      <c r="O591"/>
    </row>
    <row r="592" spans="1:15" x14ac:dyDescent="0.35">
      <c r="A592" t="s">
        <v>1059</v>
      </c>
      <c r="B592" s="2">
        <v>45699</v>
      </c>
      <c r="C592" t="s">
        <v>10</v>
      </c>
      <c r="D592" t="s">
        <v>38</v>
      </c>
      <c r="E592" t="s">
        <v>30</v>
      </c>
      <c r="F592" t="s">
        <v>31</v>
      </c>
      <c r="G592">
        <v>3</v>
      </c>
      <c r="H592">
        <v>2.8</v>
      </c>
      <c r="I592" t="s">
        <v>39</v>
      </c>
      <c r="J592" t="s">
        <v>774</v>
      </c>
      <c r="K592" s="12">
        <f>Store_Record[[#This Row],[Qty]]*Store_Record[[#This Row],[UnitPriceGBP]]</f>
        <v>8.3999999999999986</v>
      </c>
      <c r="L592" s="5" t="str">
        <f>TEXT(Store_Record[[#This Row],[Date]],"dddd")</f>
        <v>Tuesday</v>
      </c>
      <c r="M592" s="5" t="str">
        <f>TEXT(Store_Record[[#This Row],[Date]],"mmmm")</f>
        <v>February</v>
      </c>
      <c r="N592" s="5">
        <f>YEAR(Store_Record[[#This Row],[Date]])</f>
        <v>2025</v>
      </c>
      <c r="O592"/>
    </row>
    <row r="593" spans="1:15" x14ac:dyDescent="0.35">
      <c r="A593" t="s">
        <v>1048</v>
      </c>
      <c r="B593" s="2">
        <v>45699</v>
      </c>
      <c r="C593" t="s">
        <v>20</v>
      </c>
      <c r="D593" t="s">
        <v>38</v>
      </c>
      <c r="E593" t="s">
        <v>26</v>
      </c>
      <c r="F593" t="s">
        <v>13</v>
      </c>
      <c r="G593">
        <v>2</v>
      </c>
      <c r="H593">
        <v>3.5</v>
      </c>
      <c r="I593" t="s">
        <v>21</v>
      </c>
      <c r="J593" t="s">
        <v>275</v>
      </c>
      <c r="K593" s="12">
        <f>Store_Record[[#This Row],[Qty]]*Store_Record[[#This Row],[UnitPriceGBP]]</f>
        <v>7</v>
      </c>
      <c r="L593" s="5" t="str">
        <f>TEXT(Store_Record[[#This Row],[Date]],"dddd")</f>
        <v>Tuesday</v>
      </c>
      <c r="M593" s="5" t="str">
        <f>TEXT(Store_Record[[#This Row],[Date]],"mmmm")</f>
        <v>February</v>
      </c>
      <c r="N593" s="5">
        <f>YEAR(Store_Record[[#This Row],[Date]])</f>
        <v>2025</v>
      </c>
      <c r="O593"/>
    </row>
    <row r="594" spans="1:15" x14ac:dyDescent="0.35">
      <c r="A594" t="s">
        <v>1058</v>
      </c>
      <c r="B594" s="2">
        <v>45699</v>
      </c>
      <c r="C594" t="s">
        <v>36</v>
      </c>
      <c r="D594" t="s">
        <v>25</v>
      </c>
      <c r="E594" t="s">
        <v>30</v>
      </c>
      <c r="F594" t="s">
        <v>31</v>
      </c>
      <c r="G594">
        <v>2</v>
      </c>
      <c r="H594">
        <v>2.8</v>
      </c>
      <c r="I594" t="s">
        <v>39</v>
      </c>
      <c r="J594" t="s">
        <v>750</v>
      </c>
      <c r="K594" s="12">
        <f>Store_Record[[#This Row],[Qty]]*Store_Record[[#This Row],[UnitPriceGBP]]</f>
        <v>5.6</v>
      </c>
      <c r="L594" s="5" t="str">
        <f>TEXT(Store_Record[[#This Row],[Date]],"dddd")</f>
        <v>Tuesday</v>
      </c>
      <c r="M594" s="5" t="str">
        <f>TEXT(Store_Record[[#This Row],[Date]],"mmmm")</f>
        <v>February</v>
      </c>
      <c r="N594" s="5">
        <f>YEAR(Store_Record[[#This Row],[Date]])</f>
        <v>2025</v>
      </c>
      <c r="O594"/>
    </row>
    <row r="595" spans="1:15" x14ac:dyDescent="0.35">
      <c r="A595" t="s">
        <v>1045</v>
      </c>
      <c r="B595" s="2">
        <v>45699</v>
      </c>
      <c r="C595" t="s">
        <v>20</v>
      </c>
      <c r="D595" t="s">
        <v>25</v>
      </c>
      <c r="E595" t="s">
        <v>12</v>
      </c>
      <c r="F595" t="s">
        <v>13</v>
      </c>
      <c r="G595">
        <v>2</v>
      </c>
      <c r="H595">
        <v>2.5</v>
      </c>
      <c r="I595" t="s">
        <v>14</v>
      </c>
      <c r="J595" t="s">
        <v>1046</v>
      </c>
      <c r="K595" s="12">
        <f>Store_Record[[#This Row],[Qty]]*Store_Record[[#This Row],[UnitPriceGBP]]</f>
        <v>5</v>
      </c>
      <c r="L595" s="5" t="str">
        <f>TEXT(Store_Record[[#This Row],[Date]],"dddd")</f>
        <v>Tuesday</v>
      </c>
      <c r="M595" s="5" t="str">
        <f>TEXT(Store_Record[[#This Row],[Date]],"mmmm")</f>
        <v>February</v>
      </c>
      <c r="N595" s="5">
        <f>YEAR(Store_Record[[#This Row],[Date]])</f>
        <v>2025</v>
      </c>
      <c r="O595"/>
    </row>
    <row r="596" spans="1:15" x14ac:dyDescent="0.35">
      <c r="A596" t="s">
        <v>1056</v>
      </c>
      <c r="B596" s="2">
        <v>45699</v>
      </c>
      <c r="C596" t="s">
        <v>10</v>
      </c>
      <c r="D596" t="s">
        <v>38</v>
      </c>
      <c r="E596" t="s">
        <v>34</v>
      </c>
      <c r="F596" t="s">
        <v>31</v>
      </c>
      <c r="G596">
        <v>2</v>
      </c>
      <c r="H596">
        <v>2.2000000000000002</v>
      </c>
      <c r="I596" t="s">
        <v>14</v>
      </c>
      <c r="J596" t="s">
        <v>99</v>
      </c>
      <c r="K596" s="12">
        <f>Store_Record[[#This Row],[Qty]]*Store_Record[[#This Row],[UnitPriceGBP]]</f>
        <v>4.4000000000000004</v>
      </c>
      <c r="L596" s="5" t="str">
        <f>TEXT(Store_Record[[#This Row],[Date]],"dddd")</f>
        <v>Tuesday</v>
      </c>
      <c r="M596" s="5" t="str">
        <f>TEXT(Store_Record[[#This Row],[Date]],"mmmm")</f>
        <v>February</v>
      </c>
      <c r="N596" s="5">
        <f>YEAR(Store_Record[[#This Row],[Date]])</f>
        <v>2025</v>
      </c>
      <c r="O596"/>
    </row>
    <row r="597" spans="1:15" x14ac:dyDescent="0.35">
      <c r="A597" t="s">
        <v>1057</v>
      </c>
      <c r="B597" s="2">
        <v>45699</v>
      </c>
      <c r="C597" t="s">
        <v>24</v>
      </c>
      <c r="D597" t="s">
        <v>47</v>
      </c>
      <c r="E597" t="s">
        <v>26</v>
      </c>
      <c r="F597" t="s">
        <v>13</v>
      </c>
      <c r="G597">
        <v>1</v>
      </c>
      <c r="H597">
        <v>3.5</v>
      </c>
      <c r="I597" t="s">
        <v>14</v>
      </c>
      <c r="J597" t="s">
        <v>1020</v>
      </c>
      <c r="K597" s="12">
        <f>Store_Record[[#This Row],[Qty]]*Store_Record[[#This Row],[UnitPriceGBP]]</f>
        <v>3.5</v>
      </c>
      <c r="L597" s="5" t="str">
        <f>TEXT(Store_Record[[#This Row],[Date]],"dddd")</f>
        <v>Tuesday</v>
      </c>
      <c r="M597" s="5" t="str">
        <f>TEXT(Store_Record[[#This Row],[Date]],"mmmm")</f>
        <v>February</v>
      </c>
      <c r="N597" s="5">
        <f>YEAR(Store_Record[[#This Row],[Date]])</f>
        <v>2025</v>
      </c>
      <c r="O597"/>
    </row>
    <row r="598" spans="1:15" x14ac:dyDescent="0.35">
      <c r="A598" t="s">
        <v>1062</v>
      </c>
      <c r="B598" s="2">
        <v>45699</v>
      </c>
      <c r="C598" t="s">
        <v>24</v>
      </c>
      <c r="D598" t="s">
        <v>47</v>
      </c>
      <c r="E598" t="s">
        <v>26</v>
      </c>
      <c r="F598" t="s">
        <v>13</v>
      </c>
      <c r="G598">
        <v>1</v>
      </c>
      <c r="H598">
        <v>3.5</v>
      </c>
      <c r="I598" t="s">
        <v>21</v>
      </c>
      <c r="J598" t="s">
        <v>1063</v>
      </c>
      <c r="K598" s="12">
        <f>Store_Record[[#This Row],[Qty]]*Store_Record[[#This Row],[UnitPriceGBP]]</f>
        <v>3.5</v>
      </c>
      <c r="L598" s="5" t="str">
        <f>TEXT(Store_Record[[#This Row],[Date]],"dddd")</f>
        <v>Tuesday</v>
      </c>
      <c r="M598" s="5" t="str">
        <f>TEXT(Store_Record[[#This Row],[Date]],"mmmm")</f>
        <v>February</v>
      </c>
      <c r="N598" s="5">
        <f>YEAR(Store_Record[[#This Row],[Date]])</f>
        <v>2025</v>
      </c>
      <c r="O598"/>
    </row>
    <row r="599" spans="1:15" x14ac:dyDescent="0.35">
      <c r="A599" t="s">
        <v>1071</v>
      </c>
      <c r="B599" s="2">
        <v>45700</v>
      </c>
      <c r="C599" t="s">
        <v>36</v>
      </c>
      <c r="D599" t="s">
        <v>29</v>
      </c>
      <c r="E599" t="s">
        <v>26</v>
      </c>
      <c r="F599" t="s">
        <v>13</v>
      </c>
      <c r="G599">
        <v>5</v>
      </c>
      <c r="H599">
        <v>3.5</v>
      </c>
      <c r="I599" t="s">
        <v>14</v>
      </c>
      <c r="J599" t="s">
        <v>634</v>
      </c>
      <c r="K599" s="12">
        <f>Store_Record[[#This Row],[Qty]]*Store_Record[[#This Row],[UnitPriceGBP]]</f>
        <v>17.5</v>
      </c>
      <c r="L599" s="5" t="str">
        <f>TEXT(Store_Record[[#This Row],[Date]],"dddd")</f>
        <v>Wednesday</v>
      </c>
      <c r="M599" s="5" t="str">
        <f>TEXT(Store_Record[[#This Row],[Date]],"mmmm")</f>
        <v>February</v>
      </c>
      <c r="N599" s="5">
        <f>YEAR(Store_Record[[#This Row],[Date]])</f>
        <v>2025</v>
      </c>
      <c r="O599"/>
    </row>
    <row r="600" spans="1:15" x14ac:dyDescent="0.35">
      <c r="A600" t="s">
        <v>1076</v>
      </c>
      <c r="B600" s="2">
        <v>45700</v>
      </c>
      <c r="C600" t="s">
        <v>20</v>
      </c>
      <c r="D600" t="s">
        <v>29</v>
      </c>
      <c r="E600" t="s">
        <v>30</v>
      </c>
      <c r="F600" t="s">
        <v>31</v>
      </c>
      <c r="G600">
        <v>5</v>
      </c>
      <c r="H600">
        <v>2.8</v>
      </c>
      <c r="I600" t="s">
        <v>21</v>
      </c>
      <c r="J600" t="s">
        <v>1077</v>
      </c>
      <c r="K600" s="12">
        <f>Store_Record[[#This Row],[Qty]]*Store_Record[[#This Row],[UnitPriceGBP]]</f>
        <v>14</v>
      </c>
      <c r="L600" s="5" t="str">
        <f>TEXT(Store_Record[[#This Row],[Date]],"dddd")</f>
        <v>Wednesday</v>
      </c>
      <c r="M600" s="5" t="str">
        <f>TEXT(Store_Record[[#This Row],[Date]],"mmmm")</f>
        <v>February</v>
      </c>
      <c r="N600" s="5">
        <f>YEAR(Store_Record[[#This Row],[Date]])</f>
        <v>2025</v>
      </c>
      <c r="O600"/>
    </row>
    <row r="601" spans="1:15" x14ac:dyDescent="0.35">
      <c r="A601" t="s">
        <v>1078</v>
      </c>
      <c r="B601" s="2">
        <v>45700</v>
      </c>
      <c r="C601" t="s">
        <v>10</v>
      </c>
      <c r="D601" t="s">
        <v>47</v>
      </c>
      <c r="E601" t="s">
        <v>26</v>
      </c>
      <c r="F601" t="s">
        <v>13</v>
      </c>
      <c r="G601">
        <v>4</v>
      </c>
      <c r="H601">
        <v>3.5</v>
      </c>
      <c r="I601" t="s">
        <v>21</v>
      </c>
      <c r="J601" t="s">
        <v>1079</v>
      </c>
      <c r="K601" s="12">
        <f>Store_Record[[#This Row],[Qty]]*Store_Record[[#This Row],[UnitPriceGBP]]</f>
        <v>14</v>
      </c>
      <c r="L601" s="5" t="str">
        <f>TEXT(Store_Record[[#This Row],[Date]],"dddd")</f>
        <v>Wednesday</v>
      </c>
      <c r="M601" s="5" t="str">
        <f>TEXT(Store_Record[[#This Row],[Date]],"mmmm")</f>
        <v>February</v>
      </c>
      <c r="N601" s="5">
        <f>YEAR(Store_Record[[#This Row],[Date]])</f>
        <v>2025</v>
      </c>
      <c r="O601"/>
    </row>
    <row r="602" spans="1:15" x14ac:dyDescent="0.35">
      <c r="A602" t="s">
        <v>1075</v>
      </c>
      <c r="B602" s="2">
        <v>45700</v>
      </c>
      <c r="C602" t="s">
        <v>10</v>
      </c>
      <c r="D602" t="s">
        <v>29</v>
      </c>
      <c r="E602" t="s">
        <v>34</v>
      </c>
      <c r="F602" t="s">
        <v>31</v>
      </c>
      <c r="G602">
        <v>5</v>
      </c>
      <c r="H602">
        <v>2.2000000000000002</v>
      </c>
      <c r="I602" t="s">
        <v>39</v>
      </c>
      <c r="J602" t="s">
        <v>195</v>
      </c>
      <c r="K602" s="12">
        <f>Store_Record[[#This Row],[Qty]]*Store_Record[[#This Row],[UnitPriceGBP]]</f>
        <v>11</v>
      </c>
      <c r="L602" s="5" t="str">
        <f>TEXT(Store_Record[[#This Row],[Date]],"dddd")</f>
        <v>Wednesday</v>
      </c>
      <c r="M602" s="5" t="str">
        <f>TEXT(Store_Record[[#This Row],[Date]],"mmmm")</f>
        <v>February</v>
      </c>
      <c r="N602" s="5">
        <f>YEAR(Store_Record[[#This Row],[Date]])</f>
        <v>2025</v>
      </c>
      <c r="O602"/>
    </row>
    <row r="603" spans="1:15" x14ac:dyDescent="0.35">
      <c r="A603" t="s">
        <v>1074</v>
      </c>
      <c r="B603" s="2">
        <v>45700</v>
      </c>
      <c r="C603" t="s">
        <v>24</v>
      </c>
      <c r="D603" t="s">
        <v>25</v>
      </c>
      <c r="E603" t="s">
        <v>26</v>
      </c>
      <c r="F603" t="s">
        <v>13</v>
      </c>
      <c r="G603">
        <v>3</v>
      </c>
      <c r="H603">
        <v>3.5</v>
      </c>
      <c r="I603" t="s">
        <v>39</v>
      </c>
      <c r="J603" t="s">
        <v>771</v>
      </c>
      <c r="K603" s="12">
        <f>Store_Record[[#This Row],[Qty]]*Store_Record[[#This Row],[UnitPriceGBP]]</f>
        <v>10.5</v>
      </c>
      <c r="L603" s="5" t="str">
        <f>TEXT(Store_Record[[#This Row],[Date]],"dddd")</f>
        <v>Wednesday</v>
      </c>
      <c r="M603" s="5" t="str">
        <f>TEXT(Store_Record[[#This Row],[Date]],"mmmm")</f>
        <v>February</v>
      </c>
      <c r="N603" s="5">
        <f>YEAR(Store_Record[[#This Row],[Date]])</f>
        <v>2025</v>
      </c>
      <c r="O603"/>
    </row>
    <row r="604" spans="1:15" x14ac:dyDescent="0.35">
      <c r="A604" t="s">
        <v>1082</v>
      </c>
      <c r="B604" s="2">
        <v>45700</v>
      </c>
      <c r="C604" t="s">
        <v>20</v>
      </c>
      <c r="D604" t="s">
        <v>11</v>
      </c>
      <c r="E604" t="s">
        <v>34</v>
      </c>
      <c r="F604" t="s">
        <v>31</v>
      </c>
      <c r="G604">
        <v>4</v>
      </c>
      <c r="H604">
        <v>2.2000000000000002</v>
      </c>
      <c r="I604" t="s">
        <v>39</v>
      </c>
      <c r="J604" t="s">
        <v>1083</v>
      </c>
      <c r="K604" s="12">
        <f>Store_Record[[#This Row],[Qty]]*Store_Record[[#This Row],[UnitPriceGBP]]</f>
        <v>8.8000000000000007</v>
      </c>
      <c r="L604" s="5" t="str">
        <f>TEXT(Store_Record[[#This Row],[Date]],"dddd")</f>
        <v>Wednesday</v>
      </c>
      <c r="M604" s="5" t="str">
        <f>TEXT(Store_Record[[#This Row],[Date]],"mmmm")</f>
        <v>February</v>
      </c>
      <c r="N604" s="5">
        <f>YEAR(Store_Record[[#This Row],[Date]])</f>
        <v>2025</v>
      </c>
      <c r="O604"/>
    </row>
    <row r="605" spans="1:15" x14ac:dyDescent="0.35">
      <c r="A605" t="s">
        <v>1085</v>
      </c>
      <c r="B605" s="2">
        <v>45700</v>
      </c>
      <c r="C605" t="s">
        <v>24</v>
      </c>
      <c r="D605" t="s">
        <v>38</v>
      </c>
      <c r="E605" t="s">
        <v>30</v>
      </c>
      <c r="F605" t="s">
        <v>31</v>
      </c>
      <c r="G605">
        <v>3</v>
      </c>
      <c r="H605">
        <v>2.8</v>
      </c>
      <c r="I605" t="s">
        <v>21</v>
      </c>
      <c r="J605" t="s">
        <v>1086</v>
      </c>
      <c r="K605" s="12">
        <f>Store_Record[[#This Row],[Qty]]*Store_Record[[#This Row],[UnitPriceGBP]]</f>
        <v>8.3999999999999986</v>
      </c>
      <c r="L605" s="5" t="str">
        <f>TEXT(Store_Record[[#This Row],[Date]],"dddd")</f>
        <v>Wednesday</v>
      </c>
      <c r="M605" s="5" t="str">
        <f>TEXT(Store_Record[[#This Row],[Date]],"mmmm")</f>
        <v>February</v>
      </c>
      <c r="N605" s="5">
        <f>YEAR(Store_Record[[#This Row],[Date]])</f>
        <v>2025</v>
      </c>
      <c r="O605"/>
    </row>
    <row r="606" spans="1:15" x14ac:dyDescent="0.35">
      <c r="A606" t="s">
        <v>1087</v>
      </c>
      <c r="B606" s="2">
        <v>45700</v>
      </c>
      <c r="C606" t="s">
        <v>10</v>
      </c>
      <c r="D606" t="s">
        <v>29</v>
      </c>
      <c r="E606" t="s">
        <v>12</v>
      </c>
      <c r="F606" t="s">
        <v>13</v>
      </c>
      <c r="G606">
        <v>3</v>
      </c>
      <c r="H606">
        <v>2.5</v>
      </c>
      <c r="I606" t="s">
        <v>14</v>
      </c>
      <c r="J606" t="s">
        <v>1088</v>
      </c>
      <c r="K606" s="12">
        <f>Store_Record[[#This Row],[Qty]]*Store_Record[[#This Row],[UnitPriceGBP]]</f>
        <v>7.5</v>
      </c>
      <c r="L606" s="5" t="str">
        <f>TEXT(Store_Record[[#This Row],[Date]],"dddd")</f>
        <v>Wednesday</v>
      </c>
      <c r="M606" s="5" t="str">
        <f>TEXT(Store_Record[[#This Row],[Date]],"mmmm")</f>
        <v>February</v>
      </c>
      <c r="N606" s="5">
        <f>YEAR(Store_Record[[#This Row],[Date]])</f>
        <v>2025</v>
      </c>
      <c r="O606"/>
    </row>
    <row r="607" spans="1:15" x14ac:dyDescent="0.35">
      <c r="A607" t="s">
        <v>1080</v>
      </c>
      <c r="B607" s="2">
        <v>45700</v>
      </c>
      <c r="C607" t="s">
        <v>36</v>
      </c>
      <c r="D607" t="s">
        <v>38</v>
      </c>
      <c r="E607" t="s">
        <v>26</v>
      </c>
      <c r="F607" t="s">
        <v>13</v>
      </c>
      <c r="G607">
        <v>2</v>
      </c>
      <c r="H607">
        <v>3.5</v>
      </c>
      <c r="I607" t="s">
        <v>21</v>
      </c>
      <c r="J607" t="s">
        <v>1081</v>
      </c>
      <c r="K607" s="12">
        <f>Store_Record[[#This Row],[Qty]]*Store_Record[[#This Row],[UnitPriceGBP]]</f>
        <v>7</v>
      </c>
      <c r="L607" s="5" t="str">
        <f>TEXT(Store_Record[[#This Row],[Date]],"dddd")</f>
        <v>Wednesday</v>
      </c>
      <c r="M607" s="5" t="str">
        <f>TEXT(Store_Record[[#This Row],[Date]],"mmmm")</f>
        <v>February</v>
      </c>
      <c r="N607" s="5">
        <f>YEAR(Store_Record[[#This Row],[Date]])</f>
        <v>2025</v>
      </c>
      <c r="O607"/>
    </row>
    <row r="608" spans="1:15" x14ac:dyDescent="0.35">
      <c r="A608" t="s">
        <v>1068</v>
      </c>
      <c r="B608" s="2">
        <v>45700</v>
      </c>
      <c r="C608" t="s">
        <v>20</v>
      </c>
      <c r="D608" t="s">
        <v>47</v>
      </c>
      <c r="E608" t="s">
        <v>34</v>
      </c>
      <c r="F608" t="s">
        <v>31</v>
      </c>
      <c r="G608">
        <v>3</v>
      </c>
      <c r="H608">
        <v>2.2000000000000002</v>
      </c>
      <c r="I608" t="s">
        <v>21</v>
      </c>
      <c r="J608" t="s">
        <v>871</v>
      </c>
      <c r="K608" s="12">
        <f>Store_Record[[#This Row],[Qty]]*Store_Record[[#This Row],[UnitPriceGBP]]</f>
        <v>6.6000000000000005</v>
      </c>
      <c r="L608" s="5" t="str">
        <f>TEXT(Store_Record[[#This Row],[Date]],"dddd")</f>
        <v>Wednesday</v>
      </c>
      <c r="M608" s="5" t="str">
        <f>TEXT(Store_Record[[#This Row],[Date]],"mmmm")</f>
        <v>February</v>
      </c>
      <c r="N608" s="5">
        <f>YEAR(Store_Record[[#This Row],[Date]])</f>
        <v>2025</v>
      </c>
      <c r="O608"/>
    </row>
    <row r="609" spans="1:15" x14ac:dyDescent="0.35">
      <c r="A609" t="s">
        <v>1069</v>
      </c>
      <c r="B609" s="2">
        <v>45700</v>
      </c>
      <c r="C609" t="s">
        <v>24</v>
      </c>
      <c r="D609" t="s">
        <v>25</v>
      </c>
      <c r="E609" t="s">
        <v>34</v>
      </c>
      <c r="F609" t="s">
        <v>31</v>
      </c>
      <c r="G609">
        <v>2</v>
      </c>
      <c r="H609">
        <v>2.2000000000000002</v>
      </c>
      <c r="I609" t="s">
        <v>21</v>
      </c>
      <c r="J609" t="s">
        <v>1070</v>
      </c>
      <c r="K609" s="12">
        <f>Store_Record[[#This Row],[Qty]]*Store_Record[[#This Row],[UnitPriceGBP]]</f>
        <v>4.4000000000000004</v>
      </c>
      <c r="L609" s="5" t="str">
        <f>TEXT(Store_Record[[#This Row],[Date]],"dddd")</f>
        <v>Wednesday</v>
      </c>
      <c r="M609" s="5" t="str">
        <f>TEXT(Store_Record[[#This Row],[Date]],"mmmm")</f>
        <v>February</v>
      </c>
      <c r="N609" s="5">
        <f>YEAR(Store_Record[[#This Row],[Date]])</f>
        <v>2025</v>
      </c>
      <c r="O609"/>
    </row>
    <row r="610" spans="1:15" x14ac:dyDescent="0.35">
      <c r="A610" t="s">
        <v>1084</v>
      </c>
      <c r="B610" s="2">
        <v>45700</v>
      </c>
      <c r="C610" t="s">
        <v>36</v>
      </c>
      <c r="D610" t="s">
        <v>29</v>
      </c>
      <c r="E610" t="s">
        <v>42</v>
      </c>
      <c r="F610" t="s">
        <v>13</v>
      </c>
      <c r="G610">
        <v>1</v>
      </c>
      <c r="H610">
        <v>3.8</v>
      </c>
      <c r="I610" t="s">
        <v>39</v>
      </c>
      <c r="J610" t="s">
        <v>739</v>
      </c>
      <c r="K610" s="12">
        <f>Store_Record[[#This Row],[Qty]]*Store_Record[[#This Row],[UnitPriceGBP]]</f>
        <v>3.8</v>
      </c>
      <c r="L610" s="5" t="str">
        <f>TEXT(Store_Record[[#This Row],[Date]],"dddd")</f>
        <v>Wednesday</v>
      </c>
      <c r="M610" s="5" t="str">
        <f>TEXT(Store_Record[[#This Row],[Date]],"mmmm")</f>
        <v>February</v>
      </c>
      <c r="N610" s="5">
        <f>YEAR(Store_Record[[#This Row],[Date]])</f>
        <v>2025</v>
      </c>
      <c r="O610"/>
    </row>
    <row r="611" spans="1:15" x14ac:dyDescent="0.35">
      <c r="A611" t="s">
        <v>1072</v>
      </c>
      <c r="B611" s="2">
        <v>45700</v>
      </c>
      <c r="C611" t="s">
        <v>24</v>
      </c>
      <c r="D611" t="s">
        <v>38</v>
      </c>
      <c r="E611" t="s">
        <v>26</v>
      </c>
      <c r="F611" t="s">
        <v>13</v>
      </c>
      <c r="G611">
        <v>1</v>
      </c>
      <c r="H611">
        <v>3.5</v>
      </c>
      <c r="I611" t="s">
        <v>14</v>
      </c>
      <c r="J611" t="s">
        <v>1073</v>
      </c>
      <c r="K611" s="12">
        <f>Store_Record[[#This Row],[Qty]]*Store_Record[[#This Row],[UnitPriceGBP]]</f>
        <v>3.5</v>
      </c>
      <c r="L611" s="5" t="str">
        <f>TEXT(Store_Record[[#This Row],[Date]],"dddd")</f>
        <v>Wednesday</v>
      </c>
      <c r="M611" s="5" t="str">
        <f>TEXT(Store_Record[[#This Row],[Date]],"mmmm")</f>
        <v>February</v>
      </c>
      <c r="N611" s="5">
        <f>YEAR(Store_Record[[#This Row],[Date]])</f>
        <v>2025</v>
      </c>
      <c r="O611"/>
    </row>
    <row r="612" spans="1:15" x14ac:dyDescent="0.35">
      <c r="A612" t="s">
        <v>1089</v>
      </c>
      <c r="B612" s="2">
        <v>45700</v>
      </c>
      <c r="C612" t="s">
        <v>36</v>
      </c>
      <c r="D612" t="s">
        <v>11</v>
      </c>
      <c r="E612" t="s">
        <v>26</v>
      </c>
      <c r="F612" t="s">
        <v>31</v>
      </c>
      <c r="G612">
        <v>1</v>
      </c>
      <c r="H612">
        <v>2.2000000000000002</v>
      </c>
      <c r="I612" t="s">
        <v>14</v>
      </c>
      <c r="J612" t="s">
        <v>1090</v>
      </c>
      <c r="K612" s="12">
        <f>Store_Record[[#This Row],[Qty]]*Store_Record[[#This Row],[UnitPriceGBP]]</f>
        <v>2.2000000000000002</v>
      </c>
      <c r="L612" s="5" t="str">
        <f>TEXT(Store_Record[[#This Row],[Date]],"dddd")</f>
        <v>Wednesday</v>
      </c>
      <c r="M612" s="5" t="str">
        <f>TEXT(Store_Record[[#This Row],[Date]],"mmmm")</f>
        <v>February</v>
      </c>
      <c r="N612" s="5">
        <f>YEAR(Store_Record[[#This Row],[Date]])</f>
        <v>2025</v>
      </c>
      <c r="O612"/>
    </row>
    <row r="613" spans="1:15" x14ac:dyDescent="0.35">
      <c r="A613" t="s">
        <v>1107</v>
      </c>
      <c r="B613" s="2">
        <v>45701</v>
      </c>
      <c r="C613" t="s">
        <v>20</v>
      </c>
      <c r="D613" t="s">
        <v>25</v>
      </c>
      <c r="E613" t="s">
        <v>42</v>
      </c>
      <c r="F613" t="s">
        <v>13</v>
      </c>
      <c r="G613">
        <v>4</v>
      </c>
      <c r="H613">
        <v>3.8</v>
      </c>
      <c r="I613" t="s">
        <v>14</v>
      </c>
      <c r="J613" t="s">
        <v>277</v>
      </c>
      <c r="K613" s="12">
        <f>Store_Record[[#This Row],[Qty]]*Store_Record[[#This Row],[UnitPriceGBP]]</f>
        <v>15.2</v>
      </c>
      <c r="L613" s="5" t="str">
        <f>TEXT(Store_Record[[#This Row],[Date]],"dddd")</f>
        <v>Thursday</v>
      </c>
      <c r="M613" s="5" t="str">
        <f>TEXT(Store_Record[[#This Row],[Date]],"mmmm")</f>
        <v>February</v>
      </c>
      <c r="N613" s="5">
        <f>YEAR(Store_Record[[#This Row],[Date]])</f>
        <v>2025</v>
      </c>
      <c r="O613"/>
    </row>
    <row r="614" spans="1:15" x14ac:dyDescent="0.35">
      <c r="A614" t="s">
        <v>1109</v>
      </c>
      <c r="B614" s="2">
        <v>45701</v>
      </c>
      <c r="C614" t="s">
        <v>20</v>
      </c>
      <c r="D614" t="s">
        <v>47</v>
      </c>
      <c r="E614" t="s">
        <v>34</v>
      </c>
      <c r="F614" t="s">
        <v>31</v>
      </c>
      <c r="G614">
        <v>4</v>
      </c>
      <c r="H614">
        <v>2.2000000000000002</v>
      </c>
      <c r="I614" t="s">
        <v>39</v>
      </c>
      <c r="J614" t="s">
        <v>1110</v>
      </c>
      <c r="K614" s="12">
        <f>Store_Record[[#This Row],[Qty]]*Store_Record[[#This Row],[UnitPriceGBP]]</f>
        <v>8.8000000000000007</v>
      </c>
      <c r="L614" s="5" t="str">
        <f>TEXT(Store_Record[[#This Row],[Date]],"dddd")</f>
        <v>Thursday</v>
      </c>
      <c r="M614" s="5" t="str">
        <f>TEXT(Store_Record[[#This Row],[Date]],"mmmm")</f>
        <v>February</v>
      </c>
      <c r="N614" s="5">
        <f>YEAR(Store_Record[[#This Row],[Date]])</f>
        <v>2025</v>
      </c>
      <c r="O614"/>
    </row>
    <row r="615" spans="1:15" x14ac:dyDescent="0.35">
      <c r="A615" t="s">
        <v>1102</v>
      </c>
      <c r="B615" s="2">
        <v>45701</v>
      </c>
      <c r="C615" t="s">
        <v>36</v>
      </c>
      <c r="D615" t="s">
        <v>11</v>
      </c>
      <c r="E615" t="s">
        <v>12</v>
      </c>
      <c r="F615" t="s">
        <v>13</v>
      </c>
      <c r="G615">
        <v>3</v>
      </c>
      <c r="H615">
        <v>2.5</v>
      </c>
      <c r="I615" t="s">
        <v>21</v>
      </c>
      <c r="J615" t="s">
        <v>646</v>
      </c>
      <c r="K615" s="12">
        <f>Store_Record[[#This Row],[Qty]]*Store_Record[[#This Row],[UnitPriceGBP]]</f>
        <v>7.5</v>
      </c>
      <c r="L615" s="5" t="str">
        <f>TEXT(Store_Record[[#This Row],[Date]],"dddd")</f>
        <v>Thursday</v>
      </c>
      <c r="M615" s="5" t="str">
        <f>TEXT(Store_Record[[#This Row],[Date]],"mmmm")</f>
        <v>February</v>
      </c>
      <c r="N615" s="5">
        <f>YEAR(Store_Record[[#This Row],[Date]])</f>
        <v>2025</v>
      </c>
      <c r="O615"/>
    </row>
    <row r="616" spans="1:15" x14ac:dyDescent="0.35">
      <c r="A616" t="s">
        <v>1113</v>
      </c>
      <c r="B616" s="2">
        <v>45701</v>
      </c>
      <c r="C616" t="s">
        <v>36</v>
      </c>
      <c r="D616" t="s">
        <v>38</v>
      </c>
      <c r="E616" t="s">
        <v>26</v>
      </c>
      <c r="F616" t="s">
        <v>13</v>
      </c>
      <c r="G616">
        <v>2</v>
      </c>
      <c r="H616">
        <v>3.5</v>
      </c>
      <c r="I616" t="s">
        <v>21</v>
      </c>
      <c r="J616" t="s">
        <v>1114</v>
      </c>
      <c r="K616" s="12">
        <f>Store_Record[[#This Row],[Qty]]*Store_Record[[#This Row],[UnitPriceGBP]]</f>
        <v>7</v>
      </c>
      <c r="L616" s="5" t="str">
        <f>TEXT(Store_Record[[#This Row],[Date]],"dddd")</f>
        <v>Thursday</v>
      </c>
      <c r="M616" s="5" t="str">
        <f>TEXT(Store_Record[[#This Row],[Date]],"mmmm")</f>
        <v>February</v>
      </c>
      <c r="N616" s="5">
        <f>YEAR(Store_Record[[#This Row],[Date]])</f>
        <v>2025</v>
      </c>
      <c r="O616"/>
    </row>
    <row r="617" spans="1:15" x14ac:dyDescent="0.35">
      <c r="A617" t="s">
        <v>1117</v>
      </c>
      <c r="B617" s="2">
        <v>45701</v>
      </c>
      <c r="C617" t="s">
        <v>10</v>
      </c>
      <c r="D617" t="s">
        <v>47</v>
      </c>
      <c r="E617" t="s">
        <v>26</v>
      </c>
      <c r="F617" t="s">
        <v>13</v>
      </c>
      <c r="G617">
        <v>2</v>
      </c>
      <c r="H617">
        <v>3.5</v>
      </c>
      <c r="I617" t="s">
        <v>14</v>
      </c>
      <c r="J617" t="s">
        <v>1065</v>
      </c>
      <c r="K617" s="12">
        <f>Store_Record[[#This Row],[Qty]]*Store_Record[[#This Row],[UnitPriceGBP]]</f>
        <v>7</v>
      </c>
      <c r="L617" s="5" t="str">
        <f>TEXT(Store_Record[[#This Row],[Date]],"dddd")</f>
        <v>Thursday</v>
      </c>
      <c r="M617" s="5" t="str">
        <f>TEXT(Store_Record[[#This Row],[Date]],"mmmm")</f>
        <v>February</v>
      </c>
      <c r="N617" s="5">
        <f>YEAR(Store_Record[[#This Row],[Date]])</f>
        <v>2025</v>
      </c>
      <c r="O617"/>
    </row>
    <row r="618" spans="1:15" x14ac:dyDescent="0.35">
      <c r="A618" t="s">
        <v>1108</v>
      </c>
      <c r="B618" s="2">
        <v>45701</v>
      </c>
      <c r="C618" t="s">
        <v>36</v>
      </c>
      <c r="D618" t="s">
        <v>29</v>
      </c>
      <c r="E618" t="s">
        <v>34</v>
      </c>
      <c r="F618" t="s">
        <v>31</v>
      </c>
      <c r="G618">
        <v>3</v>
      </c>
      <c r="H618">
        <v>2.2000000000000002</v>
      </c>
      <c r="I618" t="s">
        <v>39</v>
      </c>
      <c r="J618" t="s">
        <v>686</v>
      </c>
      <c r="K618" s="12">
        <f>Store_Record[[#This Row],[Qty]]*Store_Record[[#This Row],[UnitPriceGBP]]</f>
        <v>6.6000000000000005</v>
      </c>
      <c r="L618" s="5" t="str">
        <f>TEXT(Store_Record[[#This Row],[Date]],"dddd")</f>
        <v>Thursday</v>
      </c>
      <c r="M618" s="5" t="str">
        <f>TEXT(Store_Record[[#This Row],[Date]],"mmmm")</f>
        <v>February</v>
      </c>
      <c r="N618" s="5">
        <f>YEAR(Store_Record[[#This Row],[Date]])</f>
        <v>2025</v>
      </c>
      <c r="O618"/>
    </row>
    <row r="619" spans="1:15" x14ac:dyDescent="0.35">
      <c r="A619" t="s">
        <v>1111</v>
      </c>
      <c r="B619" s="2">
        <v>45701</v>
      </c>
      <c r="C619" t="s">
        <v>10</v>
      </c>
      <c r="D619" t="s">
        <v>29</v>
      </c>
      <c r="E619" t="s">
        <v>34</v>
      </c>
      <c r="F619" t="s">
        <v>31</v>
      </c>
      <c r="G619">
        <v>3</v>
      </c>
      <c r="H619">
        <v>2.2000000000000002</v>
      </c>
      <c r="I619" t="s">
        <v>14</v>
      </c>
      <c r="J619" t="s">
        <v>1112</v>
      </c>
      <c r="K619" s="12">
        <f>Store_Record[[#This Row],[Qty]]*Store_Record[[#This Row],[UnitPriceGBP]]</f>
        <v>6.6000000000000005</v>
      </c>
      <c r="L619" s="5" t="str">
        <f>TEXT(Store_Record[[#This Row],[Date]],"dddd")</f>
        <v>Thursday</v>
      </c>
      <c r="M619" s="5" t="str">
        <f>TEXT(Store_Record[[#This Row],[Date]],"mmmm")</f>
        <v>February</v>
      </c>
      <c r="N619" s="5">
        <f>YEAR(Store_Record[[#This Row],[Date]])</f>
        <v>2025</v>
      </c>
      <c r="O619"/>
    </row>
    <row r="620" spans="1:15" x14ac:dyDescent="0.35">
      <c r="A620" t="s">
        <v>1098</v>
      </c>
      <c r="B620" s="2">
        <v>45701</v>
      </c>
      <c r="C620" t="s">
        <v>36</v>
      </c>
      <c r="D620" t="s">
        <v>25</v>
      </c>
      <c r="E620" t="s">
        <v>34</v>
      </c>
      <c r="F620" t="s">
        <v>31</v>
      </c>
      <c r="G620">
        <v>2</v>
      </c>
      <c r="H620">
        <v>2.2000000000000002</v>
      </c>
      <c r="I620" t="s">
        <v>14</v>
      </c>
      <c r="J620" t="s">
        <v>1099</v>
      </c>
      <c r="K620" s="12">
        <f>Store_Record[[#This Row],[Qty]]*Store_Record[[#This Row],[UnitPriceGBP]]</f>
        <v>4.4000000000000004</v>
      </c>
      <c r="L620" s="5" t="str">
        <f>TEXT(Store_Record[[#This Row],[Date]],"dddd")</f>
        <v>Thursday</v>
      </c>
      <c r="M620" s="5" t="str">
        <f>TEXT(Store_Record[[#This Row],[Date]],"mmmm")</f>
        <v>February</v>
      </c>
      <c r="N620" s="5">
        <f>YEAR(Store_Record[[#This Row],[Date]])</f>
        <v>2025</v>
      </c>
      <c r="O620"/>
    </row>
    <row r="621" spans="1:15" x14ac:dyDescent="0.35">
      <c r="A621" t="s">
        <v>1091</v>
      </c>
      <c r="B621" s="2">
        <v>45701</v>
      </c>
      <c r="C621" t="s">
        <v>20</v>
      </c>
      <c r="D621" t="s">
        <v>25</v>
      </c>
      <c r="E621" t="s">
        <v>42</v>
      </c>
      <c r="F621" t="s">
        <v>13</v>
      </c>
      <c r="G621">
        <v>1</v>
      </c>
      <c r="H621">
        <v>3.8</v>
      </c>
      <c r="I621" t="s">
        <v>39</v>
      </c>
      <c r="J621" t="s">
        <v>1092</v>
      </c>
      <c r="K621" s="12">
        <f>Store_Record[[#This Row],[Qty]]*Store_Record[[#This Row],[UnitPriceGBP]]</f>
        <v>3.8</v>
      </c>
      <c r="L621" s="5" t="str">
        <f>TEXT(Store_Record[[#This Row],[Date]],"dddd")</f>
        <v>Thursday</v>
      </c>
      <c r="M621" s="5" t="str">
        <f>TEXT(Store_Record[[#This Row],[Date]],"mmmm")</f>
        <v>February</v>
      </c>
      <c r="N621" s="5">
        <f>YEAR(Store_Record[[#This Row],[Date]])</f>
        <v>2025</v>
      </c>
      <c r="O621"/>
    </row>
    <row r="622" spans="1:15" x14ac:dyDescent="0.35">
      <c r="A622" t="s">
        <v>1096</v>
      </c>
      <c r="B622" s="2">
        <v>45701</v>
      </c>
      <c r="C622" t="s">
        <v>20</v>
      </c>
      <c r="D622" t="s">
        <v>11</v>
      </c>
      <c r="E622" t="s">
        <v>42</v>
      </c>
      <c r="F622" t="s">
        <v>13</v>
      </c>
      <c r="G622">
        <v>1</v>
      </c>
      <c r="H622">
        <v>3.8</v>
      </c>
      <c r="I622" t="s">
        <v>39</v>
      </c>
      <c r="J622" t="s">
        <v>1097</v>
      </c>
      <c r="K622" s="12">
        <f>Store_Record[[#This Row],[Qty]]*Store_Record[[#This Row],[UnitPriceGBP]]</f>
        <v>3.8</v>
      </c>
      <c r="L622" s="5" t="str">
        <f>TEXT(Store_Record[[#This Row],[Date]],"dddd")</f>
        <v>Thursday</v>
      </c>
      <c r="M622" s="5" t="str">
        <f>TEXT(Store_Record[[#This Row],[Date]],"mmmm")</f>
        <v>February</v>
      </c>
      <c r="N622" s="5">
        <f>YEAR(Store_Record[[#This Row],[Date]])</f>
        <v>2025</v>
      </c>
      <c r="O622"/>
    </row>
    <row r="623" spans="1:15" x14ac:dyDescent="0.35">
      <c r="A623" t="s">
        <v>1100</v>
      </c>
      <c r="B623" s="2">
        <v>45701</v>
      </c>
      <c r="C623" t="s">
        <v>20</v>
      </c>
      <c r="D623" t="s">
        <v>25</v>
      </c>
      <c r="E623" t="s">
        <v>42</v>
      </c>
      <c r="F623" t="s">
        <v>13</v>
      </c>
      <c r="G623">
        <v>1</v>
      </c>
      <c r="H623">
        <v>3.8</v>
      </c>
      <c r="I623" t="s">
        <v>14</v>
      </c>
      <c r="J623" t="s">
        <v>1101</v>
      </c>
      <c r="K623" s="12">
        <f>Store_Record[[#This Row],[Qty]]*Store_Record[[#This Row],[UnitPriceGBP]]</f>
        <v>3.8</v>
      </c>
      <c r="L623" s="5" t="str">
        <f>TEXT(Store_Record[[#This Row],[Date]],"dddd")</f>
        <v>Thursday</v>
      </c>
      <c r="M623" s="5" t="str">
        <f>TEXT(Store_Record[[#This Row],[Date]],"mmmm")</f>
        <v>February</v>
      </c>
      <c r="N623" s="5">
        <f>YEAR(Store_Record[[#This Row],[Date]])</f>
        <v>2025</v>
      </c>
      <c r="O623"/>
    </row>
    <row r="624" spans="1:15" x14ac:dyDescent="0.35">
      <c r="A624" t="s">
        <v>1105</v>
      </c>
      <c r="B624" s="2">
        <v>45701</v>
      </c>
      <c r="C624" t="s">
        <v>20</v>
      </c>
      <c r="D624" t="s">
        <v>29</v>
      </c>
      <c r="E624" t="s">
        <v>26</v>
      </c>
      <c r="F624" t="s">
        <v>13</v>
      </c>
      <c r="G624">
        <v>1</v>
      </c>
      <c r="H624">
        <v>3.5</v>
      </c>
      <c r="I624" t="s">
        <v>39</v>
      </c>
      <c r="J624" t="s">
        <v>1106</v>
      </c>
      <c r="K624" s="12">
        <f>Store_Record[[#This Row],[Qty]]*Store_Record[[#This Row],[UnitPriceGBP]]</f>
        <v>3.5</v>
      </c>
      <c r="L624" s="5" t="str">
        <f>TEXT(Store_Record[[#This Row],[Date]],"dddd")</f>
        <v>Thursday</v>
      </c>
      <c r="M624" s="5" t="str">
        <f>TEXT(Store_Record[[#This Row],[Date]],"mmmm")</f>
        <v>February</v>
      </c>
      <c r="N624" s="5">
        <f>YEAR(Store_Record[[#This Row],[Date]])</f>
        <v>2025</v>
      </c>
      <c r="O624"/>
    </row>
    <row r="625" spans="1:15" x14ac:dyDescent="0.35">
      <c r="A625" t="s">
        <v>1103</v>
      </c>
      <c r="B625" s="2">
        <v>45701</v>
      </c>
      <c r="C625" t="s">
        <v>36</v>
      </c>
      <c r="D625" t="s">
        <v>11</v>
      </c>
      <c r="E625" t="s">
        <v>30</v>
      </c>
      <c r="F625" t="s">
        <v>31</v>
      </c>
      <c r="G625">
        <v>1</v>
      </c>
      <c r="H625">
        <v>2.8</v>
      </c>
      <c r="I625" t="s">
        <v>39</v>
      </c>
      <c r="J625" t="s">
        <v>1104</v>
      </c>
      <c r="K625" s="12">
        <f>Store_Record[[#This Row],[Qty]]*Store_Record[[#This Row],[UnitPriceGBP]]</f>
        <v>2.8</v>
      </c>
      <c r="L625" s="5" t="str">
        <f>TEXT(Store_Record[[#This Row],[Date]],"dddd")</f>
        <v>Thursday</v>
      </c>
      <c r="M625" s="5" t="str">
        <f>TEXT(Store_Record[[#This Row],[Date]],"mmmm")</f>
        <v>February</v>
      </c>
      <c r="N625" s="5">
        <f>YEAR(Store_Record[[#This Row],[Date]])</f>
        <v>2025</v>
      </c>
      <c r="O625"/>
    </row>
    <row r="626" spans="1:15" x14ac:dyDescent="0.35">
      <c r="A626" t="s">
        <v>1094</v>
      </c>
      <c r="B626" s="2">
        <v>45701</v>
      </c>
      <c r="C626" t="s">
        <v>10</v>
      </c>
      <c r="D626" t="s">
        <v>11</v>
      </c>
      <c r="E626" t="s">
        <v>12</v>
      </c>
      <c r="F626" t="s">
        <v>13</v>
      </c>
      <c r="G626">
        <v>1</v>
      </c>
      <c r="H626">
        <v>2.5</v>
      </c>
      <c r="I626" t="s">
        <v>14</v>
      </c>
      <c r="J626" t="s">
        <v>1095</v>
      </c>
      <c r="K626" s="12">
        <f>Store_Record[[#This Row],[Qty]]*Store_Record[[#This Row],[UnitPriceGBP]]</f>
        <v>2.5</v>
      </c>
      <c r="L626" s="5" t="str">
        <f>TEXT(Store_Record[[#This Row],[Date]],"dddd")</f>
        <v>Thursday</v>
      </c>
      <c r="M626" s="5" t="str">
        <f>TEXT(Store_Record[[#This Row],[Date]],"mmmm")</f>
        <v>February</v>
      </c>
      <c r="N626" s="5">
        <f>YEAR(Store_Record[[#This Row],[Date]])</f>
        <v>2025</v>
      </c>
      <c r="O626"/>
    </row>
    <row r="627" spans="1:15" x14ac:dyDescent="0.35">
      <c r="A627" t="s">
        <v>1093</v>
      </c>
      <c r="B627" s="2">
        <v>45701</v>
      </c>
      <c r="C627" t="s">
        <v>24</v>
      </c>
      <c r="D627" t="s">
        <v>38</v>
      </c>
      <c r="E627" t="s">
        <v>34</v>
      </c>
      <c r="F627" t="s">
        <v>31</v>
      </c>
      <c r="G627">
        <v>1</v>
      </c>
      <c r="H627">
        <v>2.2000000000000002</v>
      </c>
      <c r="I627" t="s">
        <v>14</v>
      </c>
      <c r="J627" t="s">
        <v>1092</v>
      </c>
      <c r="K627" s="12">
        <f>Store_Record[[#This Row],[Qty]]*Store_Record[[#This Row],[UnitPriceGBP]]</f>
        <v>2.2000000000000002</v>
      </c>
      <c r="L627" s="5" t="str">
        <f>TEXT(Store_Record[[#This Row],[Date]],"dddd")</f>
        <v>Thursday</v>
      </c>
      <c r="M627" s="5" t="str">
        <f>TEXT(Store_Record[[#This Row],[Date]],"mmmm")</f>
        <v>February</v>
      </c>
      <c r="N627" s="5">
        <f>YEAR(Store_Record[[#This Row],[Date]])</f>
        <v>2025</v>
      </c>
      <c r="O627"/>
    </row>
    <row r="628" spans="1:15" x14ac:dyDescent="0.35">
      <c r="A628" t="s">
        <v>1115</v>
      </c>
      <c r="B628" s="2">
        <v>45701</v>
      </c>
      <c r="C628" t="s">
        <v>24</v>
      </c>
      <c r="D628" t="s">
        <v>38</v>
      </c>
      <c r="E628" t="s">
        <v>34</v>
      </c>
      <c r="F628" t="s">
        <v>31</v>
      </c>
      <c r="G628">
        <v>1</v>
      </c>
      <c r="H628">
        <v>2.2000000000000002</v>
      </c>
      <c r="I628" t="s">
        <v>21</v>
      </c>
      <c r="J628" t="s">
        <v>1116</v>
      </c>
      <c r="K628" s="12">
        <f>Store_Record[[#This Row],[Qty]]*Store_Record[[#This Row],[UnitPriceGBP]]</f>
        <v>2.2000000000000002</v>
      </c>
      <c r="L628" s="5" t="str">
        <f>TEXT(Store_Record[[#This Row],[Date]],"dddd")</f>
        <v>Thursday</v>
      </c>
      <c r="M628" s="5" t="str">
        <f>TEXT(Store_Record[[#This Row],[Date]],"mmmm")</f>
        <v>February</v>
      </c>
      <c r="N628" s="5">
        <f>YEAR(Store_Record[[#This Row],[Date]])</f>
        <v>2025</v>
      </c>
      <c r="O628"/>
    </row>
    <row r="629" spans="1:15" x14ac:dyDescent="0.35">
      <c r="A629" t="s">
        <v>1118</v>
      </c>
      <c r="B629" s="2">
        <v>45702</v>
      </c>
      <c r="C629" t="s">
        <v>10</v>
      </c>
      <c r="D629" t="s">
        <v>47</v>
      </c>
      <c r="E629" t="s">
        <v>42</v>
      </c>
      <c r="F629" t="s">
        <v>13</v>
      </c>
      <c r="G629">
        <v>4</v>
      </c>
      <c r="H629">
        <v>3.8</v>
      </c>
      <c r="I629" t="s">
        <v>39</v>
      </c>
      <c r="J629" t="s">
        <v>321</v>
      </c>
      <c r="K629" s="12">
        <f>Store_Record[[#This Row],[Qty]]*Store_Record[[#This Row],[UnitPriceGBP]]</f>
        <v>15.2</v>
      </c>
      <c r="L629" s="5" t="str">
        <f>TEXT(Store_Record[[#This Row],[Date]],"dddd")</f>
        <v>Friday</v>
      </c>
      <c r="M629" s="5" t="str">
        <f>TEXT(Store_Record[[#This Row],[Date]],"mmmm")</f>
        <v>February</v>
      </c>
      <c r="N629" s="5">
        <f>YEAR(Store_Record[[#This Row],[Date]])</f>
        <v>2025</v>
      </c>
      <c r="O629"/>
    </row>
    <row r="630" spans="1:15" x14ac:dyDescent="0.35">
      <c r="A630" t="s">
        <v>1125</v>
      </c>
      <c r="B630" s="2">
        <v>45702</v>
      </c>
      <c r="C630" t="s">
        <v>36</v>
      </c>
      <c r="D630" t="s">
        <v>29</v>
      </c>
      <c r="E630" t="s">
        <v>42</v>
      </c>
      <c r="F630" t="s">
        <v>13</v>
      </c>
      <c r="G630">
        <v>4</v>
      </c>
      <c r="H630">
        <v>3.8</v>
      </c>
      <c r="I630" t="s">
        <v>21</v>
      </c>
      <c r="J630" t="s">
        <v>202</v>
      </c>
      <c r="K630" s="12">
        <f>Store_Record[[#This Row],[Qty]]*Store_Record[[#This Row],[UnitPriceGBP]]</f>
        <v>15.2</v>
      </c>
      <c r="L630" s="5" t="str">
        <f>TEXT(Store_Record[[#This Row],[Date]],"dddd")</f>
        <v>Friday</v>
      </c>
      <c r="M630" s="5" t="str">
        <f>TEXT(Store_Record[[#This Row],[Date]],"mmmm")</f>
        <v>February</v>
      </c>
      <c r="N630" s="5">
        <f>YEAR(Store_Record[[#This Row],[Date]])</f>
        <v>2025</v>
      </c>
      <c r="O630"/>
    </row>
    <row r="631" spans="1:15" x14ac:dyDescent="0.35">
      <c r="A631" t="s">
        <v>1131</v>
      </c>
      <c r="B631" s="2">
        <v>45702</v>
      </c>
      <c r="C631" t="s">
        <v>10</v>
      </c>
      <c r="D631" t="s">
        <v>38</v>
      </c>
      <c r="E631" t="s">
        <v>34</v>
      </c>
      <c r="F631" t="s">
        <v>31</v>
      </c>
      <c r="G631">
        <v>5</v>
      </c>
      <c r="H631">
        <v>2.2000000000000002</v>
      </c>
      <c r="I631" t="s">
        <v>14</v>
      </c>
      <c r="J631" t="s">
        <v>1132</v>
      </c>
      <c r="K631" s="12">
        <f>Store_Record[[#This Row],[Qty]]*Store_Record[[#This Row],[UnitPriceGBP]]</f>
        <v>11</v>
      </c>
      <c r="L631" s="5" t="str">
        <f>TEXT(Store_Record[[#This Row],[Date]],"dddd")</f>
        <v>Friday</v>
      </c>
      <c r="M631" s="5" t="str">
        <f>TEXT(Store_Record[[#This Row],[Date]],"mmmm")</f>
        <v>February</v>
      </c>
      <c r="N631" s="5">
        <f>YEAR(Store_Record[[#This Row],[Date]])</f>
        <v>2025</v>
      </c>
      <c r="O631"/>
    </row>
    <row r="632" spans="1:15" x14ac:dyDescent="0.35">
      <c r="A632" t="s">
        <v>1121</v>
      </c>
      <c r="B632" s="2">
        <v>45702</v>
      </c>
      <c r="C632" t="s">
        <v>20</v>
      </c>
      <c r="D632" t="s">
        <v>29</v>
      </c>
      <c r="E632" t="s">
        <v>12</v>
      </c>
      <c r="F632" t="s">
        <v>13</v>
      </c>
      <c r="G632">
        <v>4</v>
      </c>
      <c r="H632">
        <v>2.5</v>
      </c>
      <c r="I632" t="s">
        <v>14</v>
      </c>
      <c r="J632" t="s">
        <v>426</v>
      </c>
      <c r="K632" s="12">
        <f>Store_Record[[#This Row],[Qty]]*Store_Record[[#This Row],[UnitPriceGBP]]</f>
        <v>10</v>
      </c>
      <c r="L632" s="5" t="str">
        <f>TEXT(Store_Record[[#This Row],[Date]],"dddd")</f>
        <v>Friday</v>
      </c>
      <c r="M632" s="5" t="str">
        <f>TEXT(Store_Record[[#This Row],[Date]],"mmmm")</f>
        <v>February</v>
      </c>
      <c r="N632" s="5">
        <f>YEAR(Store_Record[[#This Row],[Date]])</f>
        <v>2025</v>
      </c>
      <c r="O632"/>
    </row>
    <row r="633" spans="1:15" x14ac:dyDescent="0.35">
      <c r="A633" t="s">
        <v>1133</v>
      </c>
      <c r="B633" s="2">
        <v>45702</v>
      </c>
      <c r="C633" t="s">
        <v>36</v>
      </c>
      <c r="D633" t="s">
        <v>29</v>
      </c>
      <c r="E633" t="s">
        <v>12</v>
      </c>
      <c r="F633" t="s">
        <v>13</v>
      </c>
      <c r="G633">
        <v>4</v>
      </c>
      <c r="H633">
        <v>2.5</v>
      </c>
      <c r="I633" t="s">
        <v>21</v>
      </c>
      <c r="J633" t="s">
        <v>1106</v>
      </c>
      <c r="K633" s="12">
        <f>Store_Record[[#This Row],[Qty]]*Store_Record[[#This Row],[UnitPriceGBP]]</f>
        <v>10</v>
      </c>
      <c r="L633" s="5" t="str">
        <f>TEXT(Store_Record[[#This Row],[Date]],"dddd")</f>
        <v>Friday</v>
      </c>
      <c r="M633" s="5" t="str">
        <f>TEXT(Store_Record[[#This Row],[Date]],"mmmm")</f>
        <v>February</v>
      </c>
      <c r="N633" s="5">
        <f>YEAR(Store_Record[[#This Row],[Date]])</f>
        <v>2025</v>
      </c>
      <c r="O633"/>
    </row>
    <row r="634" spans="1:15" x14ac:dyDescent="0.35">
      <c r="A634" t="s">
        <v>1135</v>
      </c>
      <c r="B634" s="2">
        <v>45702</v>
      </c>
      <c r="C634" t="s">
        <v>10</v>
      </c>
      <c r="D634" t="s">
        <v>29</v>
      </c>
      <c r="E634" t="s">
        <v>26</v>
      </c>
      <c r="F634" t="s">
        <v>13</v>
      </c>
      <c r="G634">
        <v>2</v>
      </c>
      <c r="H634">
        <v>3.5</v>
      </c>
      <c r="I634" t="s">
        <v>21</v>
      </c>
      <c r="J634" t="s">
        <v>705</v>
      </c>
      <c r="K634" s="12">
        <f>Store_Record[[#This Row],[Qty]]*Store_Record[[#This Row],[UnitPriceGBP]]</f>
        <v>7</v>
      </c>
      <c r="L634" s="5" t="str">
        <f>TEXT(Store_Record[[#This Row],[Date]],"dddd")</f>
        <v>Friday</v>
      </c>
      <c r="M634" s="5" t="str">
        <f>TEXT(Store_Record[[#This Row],[Date]],"mmmm")</f>
        <v>February</v>
      </c>
      <c r="N634" s="5">
        <f>YEAR(Store_Record[[#This Row],[Date]])</f>
        <v>2025</v>
      </c>
      <c r="O634"/>
    </row>
    <row r="635" spans="1:15" x14ac:dyDescent="0.35">
      <c r="A635" t="s">
        <v>1123</v>
      </c>
      <c r="B635" s="2">
        <v>45702</v>
      </c>
      <c r="C635" t="s">
        <v>10</v>
      </c>
      <c r="D635" t="s">
        <v>47</v>
      </c>
      <c r="E635" t="s">
        <v>34</v>
      </c>
      <c r="F635" t="s">
        <v>31</v>
      </c>
      <c r="G635">
        <v>3</v>
      </c>
      <c r="H635">
        <v>2.2000000000000002</v>
      </c>
      <c r="I635" t="s">
        <v>39</v>
      </c>
      <c r="J635" t="s">
        <v>1101</v>
      </c>
      <c r="K635" s="12">
        <f>Store_Record[[#This Row],[Qty]]*Store_Record[[#This Row],[UnitPriceGBP]]</f>
        <v>6.6000000000000005</v>
      </c>
      <c r="L635" s="5" t="str">
        <f>TEXT(Store_Record[[#This Row],[Date]],"dddd")</f>
        <v>Friday</v>
      </c>
      <c r="M635" s="5" t="str">
        <f>TEXT(Store_Record[[#This Row],[Date]],"mmmm")</f>
        <v>February</v>
      </c>
      <c r="N635" s="5">
        <f>YEAR(Store_Record[[#This Row],[Date]])</f>
        <v>2025</v>
      </c>
      <c r="O635"/>
    </row>
    <row r="636" spans="1:15" x14ac:dyDescent="0.35">
      <c r="A636" t="s">
        <v>1127</v>
      </c>
      <c r="B636" s="2">
        <v>45702</v>
      </c>
      <c r="C636" t="s">
        <v>24</v>
      </c>
      <c r="D636" t="s">
        <v>25</v>
      </c>
      <c r="E636" t="s">
        <v>34</v>
      </c>
      <c r="F636" t="s">
        <v>31</v>
      </c>
      <c r="G636">
        <v>3</v>
      </c>
      <c r="H636">
        <v>2.2000000000000002</v>
      </c>
      <c r="I636" t="s">
        <v>14</v>
      </c>
      <c r="J636" t="s">
        <v>1128</v>
      </c>
      <c r="K636" s="12">
        <f>Store_Record[[#This Row],[Qty]]*Store_Record[[#This Row],[UnitPriceGBP]]</f>
        <v>6.6000000000000005</v>
      </c>
      <c r="L636" s="5" t="str">
        <f>TEXT(Store_Record[[#This Row],[Date]],"dddd")</f>
        <v>Friday</v>
      </c>
      <c r="M636" s="5" t="str">
        <f>TEXT(Store_Record[[#This Row],[Date]],"mmmm")</f>
        <v>February</v>
      </c>
      <c r="N636" s="5">
        <f>YEAR(Store_Record[[#This Row],[Date]])</f>
        <v>2025</v>
      </c>
      <c r="O636"/>
    </row>
    <row r="637" spans="1:15" x14ac:dyDescent="0.35">
      <c r="A637" t="s">
        <v>1134</v>
      </c>
      <c r="B637" s="2">
        <v>45702</v>
      </c>
      <c r="C637" t="s">
        <v>24</v>
      </c>
      <c r="D637" t="s">
        <v>38</v>
      </c>
      <c r="E637" t="s">
        <v>34</v>
      </c>
      <c r="F637" t="s">
        <v>31</v>
      </c>
      <c r="G637">
        <v>3</v>
      </c>
      <c r="H637">
        <v>2.2000000000000002</v>
      </c>
      <c r="I637" t="s">
        <v>21</v>
      </c>
      <c r="J637" t="s">
        <v>74</v>
      </c>
      <c r="K637" s="12">
        <f>Store_Record[[#This Row],[Qty]]*Store_Record[[#This Row],[UnitPriceGBP]]</f>
        <v>6.6000000000000005</v>
      </c>
      <c r="L637" s="5" t="str">
        <f>TEXT(Store_Record[[#This Row],[Date]],"dddd")</f>
        <v>Friday</v>
      </c>
      <c r="M637" s="5" t="str">
        <f>TEXT(Store_Record[[#This Row],[Date]],"mmmm")</f>
        <v>February</v>
      </c>
      <c r="N637" s="5">
        <f>YEAR(Store_Record[[#This Row],[Date]])</f>
        <v>2025</v>
      </c>
      <c r="O637"/>
    </row>
    <row r="638" spans="1:15" x14ac:dyDescent="0.35">
      <c r="A638" t="s">
        <v>1119</v>
      </c>
      <c r="B638" s="2">
        <v>45702</v>
      </c>
      <c r="C638" t="s">
        <v>20</v>
      </c>
      <c r="D638" t="s">
        <v>29</v>
      </c>
      <c r="E638" t="s">
        <v>34</v>
      </c>
      <c r="F638" t="s">
        <v>31</v>
      </c>
      <c r="G638">
        <v>2</v>
      </c>
      <c r="H638">
        <v>2.2000000000000002</v>
      </c>
      <c r="I638" t="s">
        <v>39</v>
      </c>
      <c r="J638" t="s">
        <v>1120</v>
      </c>
      <c r="K638" s="12">
        <f>Store_Record[[#This Row],[Qty]]*Store_Record[[#This Row],[UnitPriceGBP]]</f>
        <v>4.4000000000000004</v>
      </c>
      <c r="L638" s="5" t="str">
        <f>TEXT(Store_Record[[#This Row],[Date]],"dddd")</f>
        <v>Friday</v>
      </c>
      <c r="M638" s="5" t="str">
        <f>TEXT(Store_Record[[#This Row],[Date]],"mmmm")</f>
        <v>February</v>
      </c>
      <c r="N638" s="5">
        <f>YEAR(Store_Record[[#This Row],[Date]])</f>
        <v>2025</v>
      </c>
      <c r="O638"/>
    </row>
    <row r="639" spans="1:15" x14ac:dyDescent="0.35">
      <c r="A639" t="s">
        <v>1124</v>
      </c>
      <c r="B639" s="2">
        <v>45702</v>
      </c>
      <c r="C639" t="s">
        <v>10</v>
      </c>
      <c r="D639" t="s">
        <v>38</v>
      </c>
      <c r="E639" t="s">
        <v>34</v>
      </c>
      <c r="F639" t="s">
        <v>31</v>
      </c>
      <c r="G639">
        <v>2</v>
      </c>
      <c r="H639">
        <v>2.2000000000000002</v>
      </c>
      <c r="I639" t="s">
        <v>39</v>
      </c>
      <c r="J639" t="s">
        <v>708</v>
      </c>
      <c r="K639" s="12">
        <f>Store_Record[[#This Row],[Qty]]*Store_Record[[#This Row],[UnitPriceGBP]]</f>
        <v>4.4000000000000004</v>
      </c>
      <c r="L639" s="5" t="str">
        <f>TEXT(Store_Record[[#This Row],[Date]],"dddd")</f>
        <v>Friday</v>
      </c>
      <c r="M639" s="5" t="str">
        <f>TEXT(Store_Record[[#This Row],[Date]],"mmmm")</f>
        <v>February</v>
      </c>
      <c r="N639" s="5">
        <f>YEAR(Store_Record[[#This Row],[Date]])</f>
        <v>2025</v>
      </c>
      <c r="O639"/>
    </row>
    <row r="640" spans="1:15" x14ac:dyDescent="0.35">
      <c r="A640" t="s">
        <v>1126</v>
      </c>
      <c r="B640" s="2">
        <v>45702</v>
      </c>
      <c r="C640" t="s">
        <v>20</v>
      </c>
      <c r="D640" t="s">
        <v>47</v>
      </c>
      <c r="E640" t="s">
        <v>34</v>
      </c>
      <c r="F640" t="s">
        <v>31</v>
      </c>
      <c r="G640">
        <v>2</v>
      </c>
      <c r="H640">
        <v>2.2000000000000002</v>
      </c>
      <c r="I640" t="s">
        <v>39</v>
      </c>
      <c r="J640" t="s">
        <v>741</v>
      </c>
      <c r="K640" s="12">
        <f>Store_Record[[#This Row],[Qty]]*Store_Record[[#This Row],[UnitPriceGBP]]</f>
        <v>4.4000000000000004</v>
      </c>
      <c r="L640" s="5" t="str">
        <f>TEXT(Store_Record[[#This Row],[Date]],"dddd")</f>
        <v>Friday</v>
      </c>
      <c r="M640" s="5" t="str">
        <f>TEXT(Store_Record[[#This Row],[Date]],"mmmm")</f>
        <v>February</v>
      </c>
      <c r="N640" s="5">
        <f>YEAR(Store_Record[[#This Row],[Date]])</f>
        <v>2025</v>
      </c>
      <c r="O640"/>
    </row>
    <row r="641" spans="1:15" x14ac:dyDescent="0.35">
      <c r="A641" t="s">
        <v>1122</v>
      </c>
      <c r="B641" s="2">
        <v>45702</v>
      </c>
      <c r="C641" t="s">
        <v>24</v>
      </c>
      <c r="D641" t="s">
        <v>38</v>
      </c>
      <c r="E641" t="s">
        <v>30</v>
      </c>
      <c r="F641" t="s">
        <v>31</v>
      </c>
      <c r="G641">
        <v>1</v>
      </c>
      <c r="H641">
        <v>2.8</v>
      </c>
      <c r="I641" t="s">
        <v>21</v>
      </c>
      <c r="J641" t="s">
        <v>834</v>
      </c>
      <c r="K641" s="12">
        <f>Store_Record[[#This Row],[Qty]]*Store_Record[[#This Row],[UnitPriceGBP]]</f>
        <v>2.8</v>
      </c>
      <c r="L641" s="5" t="str">
        <f>TEXT(Store_Record[[#This Row],[Date]],"dddd")</f>
        <v>Friday</v>
      </c>
      <c r="M641" s="5" t="str">
        <f>TEXT(Store_Record[[#This Row],[Date]],"mmmm")</f>
        <v>February</v>
      </c>
      <c r="N641" s="5">
        <f>YEAR(Store_Record[[#This Row],[Date]])</f>
        <v>2025</v>
      </c>
      <c r="O641"/>
    </row>
    <row r="642" spans="1:15" x14ac:dyDescent="0.35">
      <c r="A642" t="s">
        <v>1129</v>
      </c>
      <c r="B642" s="2">
        <v>45702</v>
      </c>
      <c r="C642" t="s">
        <v>10</v>
      </c>
      <c r="D642" t="s">
        <v>47</v>
      </c>
      <c r="E642" t="s">
        <v>34</v>
      </c>
      <c r="F642" t="s">
        <v>31</v>
      </c>
      <c r="G642">
        <v>1</v>
      </c>
      <c r="H642">
        <v>2.2000000000000002</v>
      </c>
      <c r="I642" t="s">
        <v>21</v>
      </c>
      <c r="J642" t="s">
        <v>1130</v>
      </c>
      <c r="K642" s="12">
        <f>Store_Record[[#This Row],[Qty]]*Store_Record[[#This Row],[UnitPriceGBP]]</f>
        <v>2.2000000000000002</v>
      </c>
      <c r="L642" s="5" t="str">
        <f>TEXT(Store_Record[[#This Row],[Date]],"dddd")</f>
        <v>Friday</v>
      </c>
      <c r="M642" s="5" t="str">
        <f>TEXT(Store_Record[[#This Row],[Date]],"mmmm")</f>
        <v>February</v>
      </c>
      <c r="N642" s="5">
        <f>YEAR(Store_Record[[#This Row],[Date]])</f>
        <v>2025</v>
      </c>
      <c r="O642"/>
    </row>
    <row r="643" spans="1:15" x14ac:dyDescent="0.35">
      <c r="A643" t="s">
        <v>1138</v>
      </c>
      <c r="B643" s="2">
        <v>45703</v>
      </c>
      <c r="C643" t="s">
        <v>24</v>
      </c>
      <c r="D643" t="s">
        <v>29</v>
      </c>
      <c r="E643" t="s">
        <v>42</v>
      </c>
      <c r="F643" t="s">
        <v>13</v>
      </c>
      <c r="G643">
        <v>5</v>
      </c>
      <c r="H643">
        <v>3.8</v>
      </c>
      <c r="I643" t="s">
        <v>14</v>
      </c>
      <c r="J643" t="s">
        <v>35</v>
      </c>
      <c r="K643" s="12">
        <f>Store_Record[[#This Row],[Qty]]*Store_Record[[#This Row],[UnitPriceGBP]]</f>
        <v>19</v>
      </c>
      <c r="L643" s="5" t="str">
        <f>TEXT(Store_Record[[#This Row],[Date]],"dddd")</f>
        <v>Saturday</v>
      </c>
      <c r="M643" s="5" t="str">
        <f>TEXT(Store_Record[[#This Row],[Date]],"mmmm")</f>
        <v>February</v>
      </c>
      <c r="N643" s="5">
        <f>YEAR(Store_Record[[#This Row],[Date]])</f>
        <v>2025</v>
      </c>
      <c r="O643"/>
    </row>
    <row r="644" spans="1:15" x14ac:dyDescent="0.35">
      <c r="A644" t="s">
        <v>1155</v>
      </c>
      <c r="B644" s="2">
        <v>45703</v>
      </c>
      <c r="C644" t="s">
        <v>24</v>
      </c>
      <c r="D644" t="s">
        <v>11</v>
      </c>
      <c r="E644" t="s">
        <v>42</v>
      </c>
      <c r="F644" t="s">
        <v>13</v>
      </c>
      <c r="G644">
        <v>5</v>
      </c>
      <c r="H644">
        <v>3.8</v>
      </c>
      <c r="I644" t="s">
        <v>21</v>
      </c>
      <c r="J644" t="s">
        <v>1156</v>
      </c>
      <c r="K644" s="12">
        <f>Store_Record[[#This Row],[Qty]]*Store_Record[[#This Row],[UnitPriceGBP]]</f>
        <v>19</v>
      </c>
      <c r="L644" s="5" t="str">
        <f>TEXT(Store_Record[[#This Row],[Date]],"dddd")</f>
        <v>Saturday</v>
      </c>
      <c r="M644" s="5" t="str">
        <f>TEXT(Store_Record[[#This Row],[Date]],"mmmm")</f>
        <v>February</v>
      </c>
      <c r="N644" s="5">
        <f>YEAR(Store_Record[[#This Row],[Date]])</f>
        <v>2025</v>
      </c>
      <c r="O644"/>
    </row>
    <row r="645" spans="1:15" x14ac:dyDescent="0.35">
      <c r="A645" t="s">
        <v>1151</v>
      </c>
      <c r="B645" s="2">
        <v>45703</v>
      </c>
      <c r="C645" t="s">
        <v>24</v>
      </c>
      <c r="D645" t="s">
        <v>25</v>
      </c>
      <c r="E645" t="s">
        <v>26</v>
      </c>
      <c r="F645" t="s">
        <v>13</v>
      </c>
      <c r="G645">
        <v>5</v>
      </c>
      <c r="H645">
        <v>3.5</v>
      </c>
      <c r="I645" t="s">
        <v>21</v>
      </c>
      <c r="J645" t="s">
        <v>1152</v>
      </c>
      <c r="K645" s="12">
        <f>Store_Record[[#This Row],[Qty]]*Store_Record[[#This Row],[UnitPriceGBP]]</f>
        <v>17.5</v>
      </c>
      <c r="L645" s="5" t="str">
        <f>TEXT(Store_Record[[#This Row],[Date]],"dddd")</f>
        <v>Saturday</v>
      </c>
      <c r="M645" s="5" t="str">
        <f>TEXT(Store_Record[[#This Row],[Date]],"mmmm")</f>
        <v>February</v>
      </c>
      <c r="N645" s="5">
        <f>YEAR(Store_Record[[#This Row],[Date]])</f>
        <v>2025</v>
      </c>
      <c r="O645"/>
    </row>
    <row r="646" spans="1:15" x14ac:dyDescent="0.35">
      <c r="A646" t="s">
        <v>1136</v>
      </c>
      <c r="B646" s="2">
        <v>45703</v>
      </c>
      <c r="C646" t="s">
        <v>36</v>
      </c>
      <c r="D646" t="s">
        <v>25</v>
      </c>
      <c r="E646" t="s">
        <v>42</v>
      </c>
      <c r="F646" t="s">
        <v>13</v>
      </c>
      <c r="G646">
        <v>4</v>
      </c>
      <c r="H646">
        <v>3.8</v>
      </c>
      <c r="I646" t="s">
        <v>14</v>
      </c>
      <c r="J646" t="s">
        <v>72</v>
      </c>
      <c r="K646" s="12">
        <f>Store_Record[[#This Row],[Qty]]*Store_Record[[#This Row],[UnitPriceGBP]]</f>
        <v>15.2</v>
      </c>
      <c r="L646" s="5" t="str">
        <f>TEXT(Store_Record[[#This Row],[Date]],"dddd")</f>
        <v>Saturday</v>
      </c>
      <c r="M646" s="5" t="str">
        <f>TEXT(Store_Record[[#This Row],[Date]],"mmmm")</f>
        <v>February</v>
      </c>
      <c r="N646" s="5">
        <f>YEAR(Store_Record[[#This Row],[Date]])</f>
        <v>2025</v>
      </c>
      <c r="O646"/>
    </row>
    <row r="647" spans="1:15" x14ac:dyDescent="0.35">
      <c r="A647" t="s">
        <v>1162</v>
      </c>
      <c r="B647" s="2">
        <v>45703</v>
      </c>
      <c r="C647" t="s">
        <v>36</v>
      </c>
      <c r="D647" t="s">
        <v>29</v>
      </c>
      <c r="E647" t="s">
        <v>42</v>
      </c>
      <c r="F647" t="s">
        <v>13</v>
      </c>
      <c r="G647">
        <v>4</v>
      </c>
      <c r="H647">
        <v>3.8</v>
      </c>
      <c r="I647" t="s">
        <v>21</v>
      </c>
      <c r="J647" t="s">
        <v>1163</v>
      </c>
      <c r="K647" s="12">
        <f>Store_Record[[#This Row],[Qty]]*Store_Record[[#This Row],[UnitPriceGBP]]</f>
        <v>15.2</v>
      </c>
      <c r="L647" s="5" t="str">
        <f>TEXT(Store_Record[[#This Row],[Date]],"dddd")</f>
        <v>Saturday</v>
      </c>
      <c r="M647" s="5" t="str">
        <f>TEXT(Store_Record[[#This Row],[Date]],"mmmm")</f>
        <v>February</v>
      </c>
      <c r="N647" s="5">
        <f>YEAR(Store_Record[[#This Row],[Date]])</f>
        <v>2025</v>
      </c>
      <c r="O647"/>
    </row>
    <row r="648" spans="1:15" x14ac:dyDescent="0.35">
      <c r="A648" t="s">
        <v>1140</v>
      </c>
      <c r="B648" s="2">
        <v>45703</v>
      </c>
      <c r="C648" t="s">
        <v>20</v>
      </c>
      <c r="D648" t="s">
        <v>25</v>
      </c>
      <c r="E648" t="s">
        <v>26</v>
      </c>
      <c r="F648" t="s">
        <v>13</v>
      </c>
      <c r="G648">
        <v>4</v>
      </c>
      <c r="H648">
        <v>3.5</v>
      </c>
      <c r="I648" t="s">
        <v>14</v>
      </c>
      <c r="J648" t="s">
        <v>1141</v>
      </c>
      <c r="K648" s="12">
        <f>Store_Record[[#This Row],[Qty]]*Store_Record[[#This Row],[UnitPriceGBP]]</f>
        <v>14</v>
      </c>
      <c r="L648" s="5" t="str">
        <f>TEXT(Store_Record[[#This Row],[Date]],"dddd")</f>
        <v>Saturday</v>
      </c>
      <c r="M648" s="5" t="str">
        <f>TEXT(Store_Record[[#This Row],[Date]],"mmmm")</f>
        <v>February</v>
      </c>
      <c r="N648" s="5">
        <f>YEAR(Store_Record[[#This Row],[Date]])</f>
        <v>2025</v>
      </c>
      <c r="O648"/>
    </row>
    <row r="649" spans="1:15" x14ac:dyDescent="0.35">
      <c r="A649" t="s">
        <v>1142</v>
      </c>
      <c r="B649" s="2">
        <v>45703</v>
      </c>
      <c r="C649" t="s">
        <v>20</v>
      </c>
      <c r="D649" t="s">
        <v>11</v>
      </c>
      <c r="E649" t="s">
        <v>26</v>
      </c>
      <c r="F649" t="s">
        <v>13</v>
      </c>
      <c r="G649">
        <v>4</v>
      </c>
      <c r="H649">
        <v>3.5</v>
      </c>
      <c r="I649" t="s">
        <v>39</v>
      </c>
      <c r="J649" t="s">
        <v>1143</v>
      </c>
      <c r="K649" s="12">
        <f>Store_Record[[#This Row],[Qty]]*Store_Record[[#This Row],[UnitPriceGBP]]</f>
        <v>14</v>
      </c>
      <c r="L649" s="5" t="str">
        <f>TEXT(Store_Record[[#This Row],[Date]],"dddd")</f>
        <v>Saturday</v>
      </c>
      <c r="M649" s="5" t="str">
        <f>TEXT(Store_Record[[#This Row],[Date]],"mmmm")</f>
        <v>February</v>
      </c>
      <c r="N649" s="5">
        <f>YEAR(Store_Record[[#This Row],[Date]])</f>
        <v>2025</v>
      </c>
      <c r="O649"/>
    </row>
    <row r="650" spans="1:15" x14ac:dyDescent="0.35">
      <c r="A650" t="s">
        <v>1150</v>
      </c>
      <c r="B650" s="2">
        <v>45703</v>
      </c>
      <c r="C650" t="s">
        <v>24</v>
      </c>
      <c r="D650" t="s">
        <v>29</v>
      </c>
      <c r="E650" t="s">
        <v>30</v>
      </c>
      <c r="F650" t="s">
        <v>31</v>
      </c>
      <c r="G650">
        <v>5</v>
      </c>
      <c r="H650">
        <v>2.8</v>
      </c>
      <c r="I650" t="s">
        <v>39</v>
      </c>
      <c r="J650" t="s">
        <v>140</v>
      </c>
      <c r="K650" s="12">
        <f>Store_Record[[#This Row],[Qty]]*Store_Record[[#This Row],[UnitPriceGBP]]</f>
        <v>14</v>
      </c>
      <c r="L650" s="5" t="str">
        <f>TEXT(Store_Record[[#This Row],[Date]],"dddd")</f>
        <v>Saturday</v>
      </c>
      <c r="M650" s="5" t="str">
        <f>TEXT(Store_Record[[#This Row],[Date]],"mmmm")</f>
        <v>February</v>
      </c>
      <c r="N650" s="5">
        <f>YEAR(Store_Record[[#This Row],[Date]])</f>
        <v>2025</v>
      </c>
      <c r="O650"/>
    </row>
    <row r="651" spans="1:15" x14ac:dyDescent="0.35">
      <c r="A651" t="s">
        <v>1137</v>
      </c>
      <c r="B651" s="2">
        <v>45703</v>
      </c>
      <c r="C651" t="s">
        <v>10</v>
      </c>
      <c r="D651" t="s">
        <v>29</v>
      </c>
      <c r="E651" t="s">
        <v>42</v>
      </c>
      <c r="F651" t="s">
        <v>13</v>
      </c>
      <c r="G651">
        <v>3</v>
      </c>
      <c r="H651">
        <v>3.8</v>
      </c>
      <c r="I651" t="s">
        <v>14</v>
      </c>
      <c r="J651" t="s">
        <v>179</v>
      </c>
      <c r="K651" s="12">
        <f>Store_Record[[#This Row],[Qty]]*Store_Record[[#This Row],[UnitPriceGBP]]</f>
        <v>11.399999999999999</v>
      </c>
      <c r="L651" s="5" t="str">
        <f>TEXT(Store_Record[[#This Row],[Date]],"dddd")</f>
        <v>Saturday</v>
      </c>
      <c r="M651" s="5" t="str">
        <f>TEXT(Store_Record[[#This Row],[Date]],"mmmm")</f>
        <v>February</v>
      </c>
      <c r="N651" s="5">
        <f>YEAR(Store_Record[[#This Row],[Date]])</f>
        <v>2025</v>
      </c>
      <c r="O651"/>
    </row>
    <row r="652" spans="1:15" x14ac:dyDescent="0.35">
      <c r="A652" t="s">
        <v>1159</v>
      </c>
      <c r="B652" s="2">
        <v>45703</v>
      </c>
      <c r="C652" t="s">
        <v>10</v>
      </c>
      <c r="D652" t="s">
        <v>29</v>
      </c>
      <c r="E652" t="s">
        <v>34</v>
      </c>
      <c r="F652" t="s">
        <v>31</v>
      </c>
      <c r="G652">
        <v>5</v>
      </c>
      <c r="H652">
        <v>2.2000000000000002</v>
      </c>
      <c r="I652" t="s">
        <v>21</v>
      </c>
      <c r="J652" t="s">
        <v>1160</v>
      </c>
      <c r="K652" s="12">
        <f>Store_Record[[#This Row],[Qty]]*Store_Record[[#This Row],[UnitPriceGBP]]</f>
        <v>11</v>
      </c>
      <c r="L652" s="5" t="str">
        <f>TEXT(Store_Record[[#This Row],[Date]],"dddd")</f>
        <v>Saturday</v>
      </c>
      <c r="M652" s="5" t="str">
        <f>TEXT(Store_Record[[#This Row],[Date]],"mmmm")</f>
        <v>February</v>
      </c>
      <c r="N652" s="5">
        <f>YEAR(Store_Record[[#This Row],[Date]])</f>
        <v>2025</v>
      </c>
      <c r="O652"/>
    </row>
    <row r="653" spans="1:15" x14ac:dyDescent="0.35">
      <c r="A653" t="s">
        <v>1164</v>
      </c>
      <c r="B653" s="2">
        <v>45703</v>
      </c>
      <c r="C653" t="s">
        <v>10</v>
      </c>
      <c r="D653" t="s">
        <v>25</v>
      </c>
      <c r="E653" t="s">
        <v>26</v>
      </c>
      <c r="F653" t="s">
        <v>13</v>
      </c>
      <c r="G653">
        <v>3</v>
      </c>
      <c r="H653">
        <v>3.5</v>
      </c>
      <c r="I653" t="s">
        <v>14</v>
      </c>
      <c r="J653" t="s">
        <v>1165</v>
      </c>
      <c r="K653" s="12">
        <f>Store_Record[[#This Row],[Qty]]*Store_Record[[#This Row],[UnitPriceGBP]]</f>
        <v>10.5</v>
      </c>
      <c r="L653" s="5" t="str">
        <f>TEXT(Store_Record[[#This Row],[Date]],"dddd")</f>
        <v>Saturday</v>
      </c>
      <c r="M653" s="5" t="str">
        <f>TEXT(Store_Record[[#This Row],[Date]],"mmmm")</f>
        <v>February</v>
      </c>
      <c r="N653" s="5">
        <f>YEAR(Store_Record[[#This Row],[Date]])</f>
        <v>2025</v>
      </c>
      <c r="O653"/>
    </row>
    <row r="654" spans="1:15" x14ac:dyDescent="0.35">
      <c r="A654" t="s">
        <v>1146</v>
      </c>
      <c r="B654" s="2">
        <v>45703</v>
      </c>
      <c r="C654" t="s">
        <v>24</v>
      </c>
      <c r="D654" t="s">
        <v>11</v>
      </c>
      <c r="E654" t="s">
        <v>34</v>
      </c>
      <c r="F654" t="s">
        <v>31</v>
      </c>
      <c r="G654">
        <v>4</v>
      </c>
      <c r="H654">
        <v>2.2000000000000002</v>
      </c>
      <c r="I654" t="s">
        <v>21</v>
      </c>
      <c r="J654" t="s">
        <v>271</v>
      </c>
      <c r="K654" s="12">
        <f>Store_Record[[#This Row],[Qty]]*Store_Record[[#This Row],[UnitPriceGBP]]</f>
        <v>8.8000000000000007</v>
      </c>
      <c r="L654" s="5" t="str">
        <f>TEXT(Store_Record[[#This Row],[Date]],"dddd")</f>
        <v>Saturday</v>
      </c>
      <c r="M654" s="5" t="str">
        <f>TEXT(Store_Record[[#This Row],[Date]],"mmmm")</f>
        <v>February</v>
      </c>
      <c r="N654" s="5">
        <f>YEAR(Store_Record[[#This Row],[Date]])</f>
        <v>2025</v>
      </c>
      <c r="O654"/>
    </row>
    <row r="655" spans="1:15" x14ac:dyDescent="0.35">
      <c r="A655" t="s">
        <v>1144</v>
      </c>
      <c r="B655" s="2">
        <v>45703</v>
      </c>
      <c r="C655" t="s">
        <v>36</v>
      </c>
      <c r="D655" t="s">
        <v>11</v>
      </c>
      <c r="E655" t="s">
        <v>12</v>
      </c>
      <c r="F655" t="s">
        <v>13</v>
      </c>
      <c r="G655">
        <v>2</v>
      </c>
      <c r="H655">
        <v>2.5</v>
      </c>
      <c r="I655" t="s">
        <v>39</v>
      </c>
      <c r="J655" t="s">
        <v>1145</v>
      </c>
      <c r="K655" s="12">
        <f>Store_Record[[#This Row],[Qty]]*Store_Record[[#This Row],[UnitPriceGBP]]</f>
        <v>5</v>
      </c>
      <c r="L655" s="5" t="str">
        <f>TEXT(Store_Record[[#This Row],[Date]],"dddd")</f>
        <v>Saturday</v>
      </c>
      <c r="M655" s="5" t="str">
        <f>TEXT(Store_Record[[#This Row],[Date]],"mmmm")</f>
        <v>February</v>
      </c>
      <c r="N655" s="5">
        <f>YEAR(Store_Record[[#This Row],[Date]])</f>
        <v>2025</v>
      </c>
      <c r="O655"/>
    </row>
    <row r="656" spans="1:15" x14ac:dyDescent="0.35">
      <c r="A656" t="s">
        <v>1157</v>
      </c>
      <c r="B656" s="2">
        <v>45703</v>
      </c>
      <c r="C656" t="s">
        <v>10</v>
      </c>
      <c r="D656" t="s">
        <v>29</v>
      </c>
      <c r="E656" t="s">
        <v>34</v>
      </c>
      <c r="F656" t="s">
        <v>31</v>
      </c>
      <c r="G656">
        <v>2</v>
      </c>
      <c r="H656">
        <v>2.2000000000000002</v>
      </c>
      <c r="I656" t="s">
        <v>39</v>
      </c>
      <c r="J656" t="s">
        <v>254</v>
      </c>
      <c r="K656" s="12">
        <f>Store_Record[[#This Row],[Qty]]*Store_Record[[#This Row],[UnitPriceGBP]]</f>
        <v>4.4000000000000004</v>
      </c>
      <c r="L656" s="5" t="str">
        <f>TEXT(Store_Record[[#This Row],[Date]],"dddd")</f>
        <v>Saturday</v>
      </c>
      <c r="M656" s="5" t="str">
        <f>TEXT(Store_Record[[#This Row],[Date]],"mmmm")</f>
        <v>February</v>
      </c>
      <c r="N656" s="5">
        <f>YEAR(Store_Record[[#This Row],[Date]])</f>
        <v>2025</v>
      </c>
      <c r="O656"/>
    </row>
    <row r="657" spans="1:15" x14ac:dyDescent="0.35">
      <c r="A657" t="s">
        <v>1147</v>
      </c>
      <c r="B657" s="2">
        <v>45703</v>
      </c>
      <c r="C657" t="s">
        <v>20</v>
      </c>
      <c r="D657" t="s">
        <v>25</v>
      </c>
      <c r="E657" t="s">
        <v>42</v>
      </c>
      <c r="F657" t="s">
        <v>13</v>
      </c>
      <c r="G657">
        <v>1</v>
      </c>
      <c r="H657">
        <v>3.8</v>
      </c>
      <c r="I657" t="s">
        <v>39</v>
      </c>
      <c r="J657" t="s">
        <v>703</v>
      </c>
      <c r="K657" s="12">
        <f>Store_Record[[#This Row],[Qty]]*Store_Record[[#This Row],[UnitPriceGBP]]</f>
        <v>3.8</v>
      </c>
      <c r="L657" s="5" t="str">
        <f>TEXT(Store_Record[[#This Row],[Date]],"dddd")</f>
        <v>Saturday</v>
      </c>
      <c r="M657" s="5" t="str">
        <f>TEXT(Store_Record[[#This Row],[Date]],"mmmm")</f>
        <v>February</v>
      </c>
      <c r="N657" s="5">
        <f>YEAR(Store_Record[[#This Row],[Date]])</f>
        <v>2025</v>
      </c>
      <c r="O657"/>
    </row>
    <row r="658" spans="1:15" x14ac:dyDescent="0.35">
      <c r="A658" t="s">
        <v>1153</v>
      </c>
      <c r="B658" s="2">
        <v>45703</v>
      </c>
      <c r="C658" t="s">
        <v>20</v>
      </c>
      <c r="D658" t="s">
        <v>38</v>
      </c>
      <c r="E658" t="s">
        <v>42</v>
      </c>
      <c r="F658" t="s">
        <v>13</v>
      </c>
      <c r="G658">
        <v>1</v>
      </c>
      <c r="H658">
        <v>3.8</v>
      </c>
      <c r="I658" t="s">
        <v>14</v>
      </c>
      <c r="J658" t="s">
        <v>497</v>
      </c>
      <c r="K658" s="12">
        <f>Store_Record[[#This Row],[Qty]]*Store_Record[[#This Row],[UnitPriceGBP]]</f>
        <v>3.8</v>
      </c>
      <c r="L658" s="5" t="str">
        <f>TEXT(Store_Record[[#This Row],[Date]],"dddd")</f>
        <v>Saturday</v>
      </c>
      <c r="M658" s="5" t="str">
        <f>TEXT(Store_Record[[#This Row],[Date]],"mmmm")</f>
        <v>February</v>
      </c>
      <c r="N658" s="5">
        <f>YEAR(Store_Record[[#This Row],[Date]])</f>
        <v>2025</v>
      </c>
      <c r="O658"/>
    </row>
    <row r="659" spans="1:15" x14ac:dyDescent="0.35">
      <c r="A659" t="s">
        <v>1154</v>
      </c>
      <c r="B659" s="2">
        <v>45703</v>
      </c>
      <c r="C659" t="s">
        <v>20</v>
      </c>
      <c r="D659" t="s">
        <v>38</v>
      </c>
      <c r="E659" t="s">
        <v>30</v>
      </c>
      <c r="F659" t="s">
        <v>31</v>
      </c>
      <c r="G659">
        <v>1</v>
      </c>
      <c r="H659">
        <v>2.8</v>
      </c>
      <c r="I659" t="s">
        <v>14</v>
      </c>
      <c r="J659" t="s">
        <v>289</v>
      </c>
      <c r="K659" s="12">
        <f>Store_Record[[#This Row],[Qty]]*Store_Record[[#This Row],[UnitPriceGBP]]</f>
        <v>2.8</v>
      </c>
      <c r="L659" s="5" t="str">
        <f>TEXT(Store_Record[[#This Row],[Date]],"dddd")</f>
        <v>Saturday</v>
      </c>
      <c r="M659" s="5" t="str">
        <f>TEXT(Store_Record[[#This Row],[Date]],"mmmm")</f>
        <v>February</v>
      </c>
      <c r="N659" s="5">
        <f>YEAR(Store_Record[[#This Row],[Date]])</f>
        <v>2025</v>
      </c>
      <c r="O659"/>
    </row>
    <row r="660" spans="1:15" x14ac:dyDescent="0.35">
      <c r="A660" t="s">
        <v>1161</v>
      </c>
      <c r="B660" s="2">
        <v>45703</v>
      </c>
      <c r="C660" t="s">
        <v>36</v>
      </c>
      <c r="D660" t="s">
        <v>29</v>
      </c>
      <c r="E660" t="s">
        <v>30</v>
      </c>
      <c r="F660" t="s">
        <v>31</v>
      </c>
      <c r="G660">
        <v>1</v>
      </c>
      <c r="H660">
        <v>2.8</v>
      </c>
      <c r="I660" t="s">
        <v>21</v>
      </c>
      <c r="J660" t="s">
        <v>157</v>
      </c>
      <c r="K660" s="12">
        <f>Store_Record[[#This Row],[Qty]]*Store_Record[[#This Row],[UnitPriceGBP]]</f>
        <v>2.8</v>
      </c>
      <c r="L660" s="5" t="str">
        <f>TEXT(Store_Record[[#This Row],[Date]],"dddd")</f>
        <v>Saturday</v>
      </c>
      <c r="M660" s="5" t="str">
        <f>TEXT(Store_Record[[#This Row],[Date]],"mmmm")</f>
        <v>February</v>
      </c>
      <c r="N660" s="5">
        <f>YEAR(Store_Record[[#This Row],[Date]])</f>
        <v>2025</v>
      </c>
      <c r="O660"/>
    </row>
    <row r="661" spans="1:15" x14ac:dyDescent="0.35">
      <c r="A661" t="s">
        <v>1139</v>
      </c>
      <c r="B661" s="2">
        <v>45703</v>
      </c>
      <c r="C661" t="s">
        <v>36</v>
      </c>
      <c r="D661" t="s">
        <v>25</v>
      </c>
      <c r="E661" t="s">
        <v>12</v>
      </c>
      <c r="F661" t="s">
        <v>13</v>
      </c>
      <c r="G661">
        <v>1</v>
      </c>
      <c r="H661">
        <v>2.5</v>
      </c>
      <c r="I661" t="s">
        <v>39</v>
      </c>
      <c r="J661" t="s">
        <v>125</v>
      </c>
      <c r="K661" s="12">
        <f>Store_Record[[#This Row],[Qty]]*Store_Record[[#This Row],[UnitPriceGBP]]</f>
        <v>2.5</v>
      </c>
      <c r="L661" s="5" t="str">
        <f>TEXT(Store_Record[[#This Row],[Date]],"dddd")</f>
        <v>Saturday</v>
      </c>
      <c r="M661" s="5" t="str">
        <f>TEXT(Store_Record[[#This Row],[Date]],"mmmm")</f>
        <v>February</v>
      </c>
      <c r="N661" s="5">
        <f>YEAR(Store_Record[[#This Row],[Date]])</f>
        <v>2025</v>
      </c>
      <c r="O661"/>
    </row>
    <row r="662" spans="1:15" x14ac:dyDescent="0.35">
      <c r="A662" t="s">
        <v>1158</v>
      </c>
      <c r="B662" s="2">
        <v>45703</v>
      </c>
      <c r="C662" t="s">
        <v>36</v>
      </c>
      <c r="D662" t="s">
        <v>38</v>
      </c>
      <c r="E662" t="s">
        <v>12</v>
      </c>
      <c r="F662" t="s">
        <v>13</v>
      </c>
      <c r="G662">
        <v>1</v>
      </c>
      <c r="H662">
        <v>2.5</v>
      </c>
      <c r="I662" t="s">
        <v>21</v>
      </c>
      <c r="J662" t="s">
        <v>59</v>
      </c>
      <c r="K662" s="12">
        <f>Store_Record[[#This Row],[Qty]]*Store_Record[[#This Row],[UnitPriceGBP]]</f>
        <v>2.5</v>
      </c>
      <c r="L662" s="5" t="str">
        <f>TEXT(Store_Record[[#This Row],[Date]],"dddd")</f>
        <v>Saturday</v>
      </c>
      <c r="M662" s="5" t="str">
        <f>TEXT(Store_Record[[#This Row],[Date]],"mmmm")</f>
        <v>February</v>
      </c>
      <c r="N662" s="5">
        <f>YEAR(Store_Record[[#This Row],[Date]])</f>
        <v>2025</v>
      </c>
      <c r="O662"/>
    </row>
    <row r="663" spans="1:15" x14ac:dyDescent="0.35">
      <c r="A663" t="s">
        <v>1148</v>
      </c>
      <c r="B663" s="2">
        <v>45703</v>
      </c>
      <c r="C663" t="s">
        <v>36</v>
      </c>
      <c r="D663" t="s">
        <v>38</v>
      </c>
      <c r="E663" t="s">
        <v>34</v>
      </c>
      <c r="F663" t="s">
        <v>31</v>
      </c>
      <c r="G663">
        <v>1</v>
      </c>
      <c r="H663">
        <v>2.2000000000000002</v>
      </c>
      <c r="I663" t="s">
        <v>14</v>
      </c>
      <c r="J663" t="s">
        <v>1149</v>
      </c>
      <c r="K663" s="12">
        <f>Store_Record[[#This Row],[Qty]]*Store_Record[[#This Row],[UnitPriceGBP]]</f>
        <v>2.2000000000000002</v>
      </c>
      <c r="L663" s="5" t="str">
        <f>TEXT(Store_Record[[#This Row],[Date]],"dddd")</f>
        <v>Saturday</v>
      </c>
      <c r="M663" s="5" t="str">
        <f>TEXT(Store_Record[[#This Row],[Date]],"mmmm")</f>
        <v>February</v>
      </c>
      <c r="N663" s="5">
        <f>YEAR(Store_Record[[#This Row],[Date]])</f>
        <v>2025</v>
      </c>
      <c r="O663"/>
    </row>
    <row r="664" spans="1:15" x14ac:dyDescent="0.35">
      <c r="A664" t="s">
        <v>1171</v>
      </c>
      <c r="B664" s="2">
        <v>45704</v>
      </c>
      <c r="C664" t="s">
        <v>20</v>
      </c>
      <c r="D664" t="s">
        <v>47</v>
      </c>
      <c r="E664" t="s">
        <v>26</v>
      </c>
      <c r="F664" t="s">
        <v>13</v>
      </c>
      <c r="G664">
        <v>4</v>
      </c>
      <c r="H664">
        <v>3.5</v>
      </c>
      <c r="I664" t="s">
        <v>21</v>
      </c>
      <c r="J664" t="s">
        <v>144</v>
      </c>
      <c r="K664" s="12">
        <f>Store_Record[[#This Row],[Qty]]*Store_Record[[#This Row],[UnitPriceGBP]]</f>
        <v>14</v>
      </c>
      <c r="L664" s="5" t="str">
        <f>TEXT(Store_Record[[#This Row],[Date]],"dddd")</f>
        <v>Sunday</v>
      </c>
      <c r="M664" s="5" t="str">
        <f>TEXT(Store_Record[[#This Row],[Date]],"mmmm")</f>
        <v>February</v>
      </c>
      <c r="N664" s="5">
        <f>YEAR(Store_Record[[#This Row],[Date]])</f>
        <v>2025</v>
      </c>
      <c r="O664"/>
    </row>
    <row r="665" spans="1:15" x14ac:dyDescent="0.35">
      <c r="A665" t="s">
        <v>1176</v>
      </c>
      <c r="B665" s="2">
        <v>45704</v>
      </c>
      <c r="C665" t="s">
        <v>24</v>
      </c>
      <c r="D665" t="s">
        <v>47</v>
      </c>
      <c r="E665" t="s">
        <v>26</v>
      </c>
      <c r="F665" t="s">
        <v>13</v>
      </c>
      <c r="G665">
        <v>4</v>
      </c>
      <c r="H665">
        <v>3.5</v>
      </c>
      <c r="I665" t="s">
        <v>39</v>
      </c>
      <c r="J665" t="s">
        <v>1177</v>
      </c>
      <c r="K665" s="12">
        <f>Store_Record[[#This Row],[Qty]]*Store_Record[[#This Row],[UnitPriceGBP]]</f>
        <v>14</v>
      </c>
      <c r="L665" s="5" t="str">
        <f>TEXT(Store_Record[[#This Row],[Date]],"dddd")</f>
        <v>Sunday</v>
      </c>
      <c r="M665" s="5" t="str">
        <f>TEXT(Store_Record[[#This Row],[Date]],"mmmm")</f>
        <v>February</v>
      </c>
      <c r="N665" s="5">
        <f>YEAR(Store_Record[[#This Row],[Date]])</f>
        <v>2025</v>
      </c>
      <c r="O665"/>
    </row>
    <row r="666" spans="1:15" x14ac:dyDescent="0.35">
      <c r="A666" t="s">
        <v>1186</v>
      </c>
      <c r="B666" s="2">
        <v>45704</v>
      </c>
      <c r="C666" t="s">
        <v>24</v>
      </c>
      <c r="D666" t="s">
        <v>11</v>
      </c>
      <c r="E666" t="s">
        <v>30</v>
      </c>
      <c r="F666" t="s">
        <v>31</v>
      </c>
      <c r="G666">
        <v>5</v>
      </c>
      <c r="H666">
        <v>2.8</v>
      </c>
      <c r="I666" t="s">
        <v>14</v>
      </c>
      <c r="J666" t="s">
        <v>1187</v>
      </c>
      <c r="K666" s="12">
        <f>Store_Record[[#This Row],[Qty]]*Store_Record[[#This Row],[UnitPriceGBP]]</f>
        <v>14</v>
      </c>
      <c r="L666" s="5" t="str">
        <f>TEXT(Store_Record[[#This Row],[Date]],"dddd")</f>
        <v>Sunday</v>
      </c>
      <c r="M666" s="5" t="str">
        <f>TEXT(Store_Record[[#This Row],[Date]],"mmmm")</f>
        <v>February</v>
      </c>
      <c r="N666" s="5">
        <f>YEAR(Store_Record[[#This Row],[Date]])</f>
        <v>2025</v>
      </c>
      <c r="O666"/>
    </row>
    <row r="667" spans="1:15" x14ac:dyDescent="0.35">
      <c r="A667" t="s">
        <v>1172</v>
      </c>
      <c r="B667" s="2">
        <v>45704</v>
      </c>
      <c r="C667" t="s">
        <v>20</v>
      </c>
      <c r="D667" t="s">
        <v>29</v>
      </c>
      <c r="E667" t="s">
        <v>30</v>
      </c>
      <c r="F667" t="s">
        <v>31</v>
      </c>
      <c r="G667">
        <v>4</v>
      </c>
      <c r="H667">
        <v>2.8</v>
      </c>
      <c r="I667" t="s">
        <v>39</v>
      </c>
      <c r="J667" t="s">
        <v>1173</v>
      </c>
      <c r="K667" s="12">
        <f>Store_Record[[#This Row],[Qty]]*Store_Record[[#This Row],[UnitPriceGBP]]</f>
        <v>11.2</v>
      </c>
      <c r="L667" s="5" t="str">
        <f>TEXT(Store_Record[[#This Row],[Date]],"dddd")</f>
        <v>Sunday</v>
      </c>
      <c r="M667" s="5" t="str">
        <f>TEXT(Store_Record[[#This Row],[Date]],"mmmm")</f>
        <v>February</v>
      </c>
      <c r="N667" s="5">
        <f>YEAR(Store_Record[[#This Row],[Date]])</f>
        <v>2025</v>
      </c>
      <c r="O667"/>
    </row>
    <row r="668" spans="1:15" x14ac:dyDescent="0.35">
      <c r="A668" t="s">
        <v>1184</v>
      </c>
      <c r="B668" s="2">
        <v>45704</v>
      </c>
      <c r="C668" t="s">
        <v>10</v>
      </c>
      <c r="D668" t="s">
        <v>47</v>
      </c>
      <c r="E668" t="s">
        <v>34</v>
      </c>
      <c r="F668" t="s">
        <v>31</v>
      </c>
      <c r="G668">
        <v>5</v>
      </c>
      <c r="H668">
        <v>2.2000000000000002</v>
      </c>
      <c r="I668" t="s">
        <v>39</v>
      </c>
      <c r="J668" t="s">
        <v>504</v>
      </c>
      <c r="K668" s="12">
        <f>Store_Record[[#This Row],[Qty]]*Store_Record[[#This Row],[UnitPriceGBP]]</f>
        <v>11</v>
      </c>
      <c r="L668" s="5" t="str">
        <f>TEXT(Store_Record[[#This Row],[Date]],"dddd")</f>
        <v>Sunday</v>
      </c>
      <c r="M668" s="5" t="str">
        <f>TEXT(Store_Record[[#This Row],[Date]],"mmmm")</f>
        <v>February</v>
      </c>
      <c r="N668" s="5">
        <f>YEAR(Store_Record[[#This Row],[Date]])</f>
        <v>2025</v>
      </c>
      <c r="O668"/>
    </row>
    <row r="669" spans="1:15" x14ac:dyDescent="0.35">
      <c r="A669" t="s">
        <v>1166</v>
      </c>
      <c r="B669" s="2">
        <v>45704</v>
      </c>
      <c r="C669" t="s">
        <v>36</v>
      </c>
      <c r="D669" t="s">
        <v>38</v>
      </c>
      <c r="E669" t="s">
        <v>26</v>
      </c>
      <c r="F669" t="s">
        <v>13</v>
      </c>
      <c r="G669">
        <v>3</v>
      </c>
      <c r="H669">
        <v>3.5</v>
      </c>
      <c r="I669" t="s">
        <v>39</v>
      </c>
      <c r="J669" t="s">
        <v>308</v>
      </c>
      <c r="K669" s="12">
        <f>Store_Record[[#This Row],[Qty]]*Store_Record[[#This Row],[UnitPriceGBP]]</f>
        <v>10.5</v>
      </c>
      <c r="L669" s="5" t="str">
        <f>TEXT(Store_Record[[#This Row],[Date]],"dddd")</f>
        <v>Sunday</v>
      </c>
      <c r="M669" s="5" t="str">
        <f>TEXT(Store_Record[[#This Row],[Date]],"mmmm")</f>
        <v>February</v>
      </c>
      <c r="N669" s="5">
        <f>YEAR(Store_Record[[#This Row],[Date]])</f>
        <v>2025</v>
      </c>
      <c r="O669"/>
    </row>
    <row r="670" spans="1:15" x14ac:dyDescent="0.35">
      <c r="A670" t="s">
        <v>1169</v>
      </c>
      <c r="B670" s="2">
        <v>45704</v>
      </c>
      <c r="C670" t="s">
        <v>24</v>
      </c>
      <c r="D670" t="s">
        <v>47</v>
      </c>
      <c r="E670" t="s">
        <v>26</v>
      </c>
      <c r="F670" t="s">
        <v>13</v>
      </c>
      <c r="G670">
        <v>3</v>
      </c>
      <c r="H670">
        <v>3.5</v>
      </c>
      <c r="I670" t="s">
        <v>21</v>
      </c>
      <c r="J670" t="s">
        <v>1170</v>
      </c>
      <c r="K670" s="12">
        <f>Store_Record[[#This Row],[Qty]]*Store_Record[[#This Row],[UnitPriceGBP]]</f>
        <v>10.5</v>
      </c>
      <c r="L670" s="5" t="str">
        <f>TEXT(Store_Record[[#This Row],[Date]],"dddd")</f>
        <v>Sunday</v>
      </c>
      <c r="M670" s="5" t="str">
        <f>TEXT(Store_Record[[#This Row],[Date]],"mmmm")</f>
        <v>February</v>
      </c>
      <c r="N670" s="5">
        <f>YEAR(Store_Record[[#This Row],[Date]])</f>
        <v>2025</v>
      </c>
      <c r="O670"/>
    </row>
    <row r="671" spans="1:15" x14ac:dyDescent="0.35">
      <c r="A671" t="s">
        <v>1188</v>
      </c>
      <c r="B671" s="2">
        <v>45704</v>
      </c>
      <c r="C671" t="s">
        <v>36</v>
      </c>
      <c r="D671" t="s">
        <v>25</v>
      </c>
      <c r="E671" t="s">
        <v>26</v>
      </c>
      <c r="F671" t="s">
        <v>13</v>
      </c>
      <c r="G671">
        <v>3</v>
      </c>
      <c r="H671">
        <v>3.5</v>
      </c>
      <c r="I671" t="s">
        <v>21</v>
      </c>
      <c r="J671" t="s">
        <v>1189</v>
      </c>
      <c r="K671" s="12">
        <f>Store_Record[[#This Row],[Qty]]*Store_Record[[#This Row],[UnitPriceGBP]]</f>
        <v>10.5</v>
      </c>
      <c r="L671" s="5" t="str">
        <f>TEXT(Store_Record[[#This Row],[Date]],"dddd")</f>
        <v>Sunday</v>
      </c>
      <c r="M671" s="5" t="str">
        <f>TEXT(Store_Record[[#This Row],[Date]],"mmmm")</f>
        <v>February</v>
      </c>
      <c r="N671" s="5">
        <f>YEAR(Store_Record[[#This Row],[Date]])</f>
        <v>2025</v>
      </c>
      <c r="O671"/>
    </row>
    <row r="672" spans="1:15" x14ac:dyDescent="0.35">
      <c r="A672" t="s">
        <v>1167</v>
      </c>
      <c r="B672" s="2">
        <v>45704</v>
      </c>
      <c r="C672" t="s">
        <v>24</v>
      </c>
      <c r="D672" t="s">
        <v>47</v>
      </c>
      <c r="E672" t="s">
        <v>26</v>
      </c>
      <c r="F672" t="s">
        <v>13</v>
      </c>
      <c r="G672">
        <v>2</v>
      </c>
      <c r="H672">
        <v>3.5</v>
      </c>
      <c r="I672" t="s">
        <v>39</v>
      </c>
      <c r="J672" t="s">
        <v>1168</v>
      </c>
      <c r="K672" s="12">
        <f>Store_Record[[#This Row],[Qty]]*Store_Record[[#This Row],[UnitPriceGBP]]</f>
        <v>7</v>
      </c>
      <c r="L672" s="5" t="str">
        <f>TEXT(Store_Record[[#This Row],[Date]],"dddd")</f>
        <v>Sunday</v>
      </c>
      <c r="M672" s="5" t="str">
        <f>TEXT(Store_Record[[#This Row],[Date]],"mmmm")</f>
        <v>February</v>
      </c>
      <c r="N672" s="5">
        <f>YEAR(Store_Record[[#This Row],[Date]])</f>
        <v>2025</v>
      </c>
      <c r="O672"/>
    </row>
    <row r="673" spans="1:15" x14ac:dyDescent="0.35">
      <c r="A673" t="s">
        <v>1185</v>
      </c>
      <c r="B673" s="2">
        <v>45704</v>
      </c>
      <c r="C673" t="s">
        <v>36</v>
      </c>
      <c r="D673" t="s">
        <v>47</v>
      </c>
      <c r="E673" t="s">
        <v>26</v>
      </c>
      <c r="F673" t="s">
        <v>13</v>
      </c>
      <c r="G673">
        <v>2</v>
      </c>
      <c r="H673">
        <v>3.5</v>
      </c>
      <c r="I673" t="s">
        <v>39</v>
      </c>
      <c r="J673" t="s">
        <v>908</v>
      </c>
      <c r="K673" s="12">
        <f>Store_Record[[#This Row],[Qty]]*Store_Record[[#This Row],[UnitPriceGBP]]</f>
        <v>7</v>
      </c>
      <c r="L673" s="5" t="str">
        <f>TEXT(Store_Record[[#This Row],[Date]],"dddd")</f>
        <v>Sunday</v>
      </c>
      <c r="M673" s="5" t="str">
        <f>TEXT(Store_Record[[#This Row],[Date]],"mmmm")</f>
        <v>February</v>
      </c>
      <c r="N673" s="5">
        <f>YEAR(Store_Record[[#This Row],[Date]])</f>
        <v>2025</v>
      </c>
      <c r="O673"/>
    </row>
    <row r="674" spans="1:15" x14ac:dyDescent="0.35">
      <c r="A674" t="s">
        <v>1174</v>
      </c>
      <c r="B674" s="2">
        <v>45704</v>
      </c>
      <c r="C674" t="s">
        <v>36</v>
      </c>
      <c r="D674" t="s">
        <v>47</v>
      </c>
      <c r="E674" t="s">
        <v>34</v>
      </c>
      <c r="F674" t="s">
        <v>31</v>
      </c>
      <c r="G674">
        <v>3</v>
      </c>
      <c r="H674">
        <v>2.2000000000000002</v>
      </c>
      <c r="I674" t="s">
        <v>14</v>
      </c>
      <c r="J674" t="s">
        <v>1175</v>
      </c>
      <c r="K674" s="12">
        <f>Store_Record[[#This Row],[Qty]]*Store_Record[[#This Row],[UnitPriceGBP]]</f>
        <v>6.6000000000000005</v>
      </c>
      <c r="L674" s="5" t="str">
        <f>TEXT(Store_Record[[#This Row],[Date]],"dddd")</f>
        <v>Sunday</v>
      </c>
      <c r="M674" s="5" t="str">
        <f>TEXT(Store_Record[[#This Row],[Date]],"mmmm")</f>
        <v>February</v>
      </c>
      <c r="N674" s="5">
        <f>YEAR(Store_Record[[#This Row],[Date]])</f>
        <v>2025</v>
      </c>
      <c r="O674"/>
    </row>
    <row r="675" spans="1:15" x14ac:dyDescent="0.35">
      <c r="A675" t="s">
        <v>1182</v>
      </c>
      <c r="B675" s="2">
        <v>45704</v>
      </c>
      <c r="C675" t="s">
        <v>24</v>
      </c>
      <c r="D675" t="s">
        <v>25</v>
      </c>
      <c r="E675" t="s">
        <v>42</v>
      </c>
      <c r="F675" t="s">
        <v>13</v>
      </c>
      <c r="G675">
        <v>1</v>
      </c>
      <c r="H675">
        <v>3.8</v>
      </c>
      <c r="I675" t="s">
        <v>14</v>
      </c>
      <c r="J675" t="s">
        <v>1183</v>
      </c>
      <c r="K675" s="12">
        <f>Store_Record[[#This Row],[Qty]]*Store_Record[[#This Row],[UnitPriceGBP]]</f>
        <v>3.8</v>
      </c>
      <c r="L675" s="5" t="str">
        <f>TEXT(Store_Record[[#This Row],[Date]],"dddd")</f>
        <v>Sunday</v>
      </c>
      <c r="M675" s="5" t="str">
        <f>TEXT(Store_Record[[#This Row],[Date]],"mmmm")</f>
        <v>February</v>
      </c>
      <c r="N675" s="5">
        <f>YEAR(Store_Record[[#This Row],[Date]])</f>
        <v>2025</v>
      </c>
      <c r="O675"/>
    </row>
    <row r="676" spans="1:15" x14ac:dyDescent="0.35">
      <c r="A676" t="s">
        <v>1178</v>
      </c>
      <c r="B676" s="2">
        <v>45704</v>
      </c>
      <c r="C676" t="s">
        <v>24</v>
      </c>
      <c r="D676" t="s">
        <v>25</v>
      </c>
      <c r="E676" t="s">
        <v>26</v>
      </c>
      <c r="F676" t="s">
        <v>13</v>
      </c>
      <c r="G676">
        <v>1</v>
      </c>
      <c r="H676">
        <v>3.5</v>
      </c>
      <c r="I676" t="s">
        <v>39</v>
      </c>
      <c r="J676" t="s">
        <v>1179</v>
      </c>
      <c r="K676" s="12">
        <f>Store_Record[[#This Row],[Qty]]*Store_Record[[#This Row],[UnitPriceGBP]]</f>
        <v>3.5</v>
      </c>
      <c r="L676" s="5" t="str">
        <f>TEXT(Store_Record[[#This Row],[Date]],"dddd")</f>
        <v>Sunday</v>
      </c>
      <c r="M676" s="5" t="str">
        <f>TEXT(Store_Record[[#This Row],[Date]],"mmmm")</f>
        <v>February</v>
      </c>
      <c r="N676" s="5">
        <f>YEAR(Store_Record[[#This Row],[Date]])</f>
        <v>2025</v>
      </c>
      <c r="O676"/>
    </row>
    <row r="677" spans="1:15" x14ac:dyDescent="0.35">
      <c r="A677" t="s">
        <v>1180</v>
      </c>
      <c r="B677" s="2">
        <v>45704</v>
      </c>
      <c r="C677" t="s">
        <v>24</v>
      </c>
      <c r="D677" t="s">
        <v>29</v>
      </c>
      <c r="E677" t="s">
        <v>12</v>
      </c>
      <c r="F677" t="s">
        <v>13</v>
      </c>
      <c r="G677">
        <v>1</v>
      </c>
      <c r="H677">
        <v>2.5</v>
      </c>
      <c r="I677" t="s">
        <v>21</v>
      </c>
      <c r="J677" t="s">
        <v>1181</v>
      </c>
      <c r="K677" s="12">
        <f>Store_Record[[#This Row],[Qty]]*Store_Record[[#This Row],[UnitPriceGBP]]</f>
        <v>2.5</v>
      </c>
      <c r="L677" s="5" t="str">
        <f>TEXT(Store_Record[[#This Row],[Date]],"dddd")</f>
        <v>Sunday</v>
      </c>
      <c r="M677" s="5" t="str">
        <f>TEXT(Store_Record[[#This Row],[Date]],"mmmm")</f>
        <v>February</v>
      </c>
      <c r="N677" s="5">
        <f>YEAR(Store_Record[[#This Row],[Date]])</f>
        <v>2025</v>
      </c>
      <c r="O677"/>
    </row>
    <row r="678" spans="1:15" x14ac:dyDescent="0.35">
      <c r="A678" t="s">
        <v>1193</v>
      </c>
      <c r="B678" s="2">
        <v>45705</v>
      </c>
      <c r="C678" t="s">
        <v>36</v>
      </c>
      <c r="D678" t="s">
        <v>25</v>
      </c>
      <c r="E678" t="s">
        <v>42</v>
      </c>
      <c r="F678" t="s">
        <v>13</v>
      </c>
      <c r="G678">
        <v>5</v>
      </c>
      <c r="H678">
        <v>3.8</v>
      </c>
      <c r="I678" t="s">
        <v>39</v>
      </c>
      <c r="J678" t="s">
        <v>1194</v>
      </c>
      <c r="K678" s="12">
        <f>Store_Record[[#This Row],[Qty]]*Store_Record[[#This Row],[UnitPriceGBP]]</f>
        <v>19</v>
      </c>
      <c r="L678" s="5" t="str">
        <f>TEXT(Store_Record[[#This Row],[Date]],"dddd")</f>
        <v>Monday</v>
      </c>
      <c r="M678" s="5" t="str">
        <f>TEXT(Store_Record[[#This Row],[Date]],"mmmm")</f>
        <v>February</v>
      </c>
      <c r="N678" s="5">
        <f>YEAR(Store_Record[[#This Row],[Date]])</f>
        <v>2025</v>
      </c>
      <c r="O678"/>
    </row>
    <row r="679" spans="1:15" x14ac:dyDescent="0.35">
      <c r="A679" t="s">
        <v>1195</v>
      </c>
      <c r="B679" s="2">
        <v>45705</v>
      </c>
      <c r="C679" t="s">
        <v>10</v>
      </c>
      <c r="D679" t="s">
        <v>47</v>
      </c>
      <c r="E679" t="s">
        <v>42</v>
      </c>
      <c r="F679" t="s">
        <v>13</v>
      </c>
      <c r="G679">
        <v>4</v>
      </c>
      <c r="H679">
        <v>3.8</v>
      </c>
      <c r="I679" t="s">
        <v>14</v>
      </c>
      <c r="J679" t="s">
        <v>875</v>
      </c>
      <c r="K679" s="12">
        <f>Store_Record[[#This Row],[Qty]]*Store_Record[[#This Row],[UnitPriceGBP]]</f>
        <v>15.2</v>
      </c>
      <c r="L679" s="5" t="str">
        <f>TEXT(Store_Record[[#This Row],[Date]],"dddd")</f>
        <v>Monday</v>
      </c>
      <c r="M679" s="5" t="str">
        <f>TEXT(Store_Record[[#This Row],[Date]],"mmmm")</f>
        <v>February</v>
      </c>
      <c r="N679" s="5">
        <f>YEAR(Store_Record[[#This Row],[Date]])</f>
        <v>2025</v>
      </c>
      <c r="O679"/>
    </row>
    <row r="680" spans="1:15" x14ac:dyDescent="0.35">
      <c r="A680" t="s">
        <v>1206</v>
      </c>
      <c r="B680" s="2">
        <v>45705</v>
      </c>
      <c r="C680" t="s">
        <v>24</v>
      </c>
      <c r="D680" t="s">
        <v>29</v>
      </c>
      <c r="E680" t="s">
        <v>30</v>
      </c>
      <c r="F680" t="s">
        <v>31</v>
      </c>
      <c r="G680">
        <v>4</v>
      </c>
      <c r="H680">
        <v>2.8</v>
      </c>
      <c r="I680" t="s">
        <v>39</v>
      </c>
      <c r="J680" t="s">
        <v>214</v>
      </c>
      <c r="K680" s="12">
        <f>Store_Record[[#This Row],[Qty]]*Store_Record[[#This Row],[UnitPriceGBP]]</f>
        <v>11.2</v>
      </c>
      <c r="L680" s="5" t="str">
        <f>TEXT(Store_Record[[#This Row],[Date]],"dddd")</f>
        <v>Monday</v>
      </c>
      <c r="M680" s="5" t="str">
        <f>TEXT(Store_Record[[#This Row],[Date]],"mmmm")</f>
        <v>February</v>
      </c>
      <c r="N680" s="5">
        <f>YEAR(Store_Record[[#This Row],[Date]])</f>
        <v>2025</v>
      </c>
      <c r="O680"/>
    </row>
    <row r="681" spans="1:15" x14ac:dyDescent="0.35">
      <c r="A681" t="s">
        <v>1208</v>
      </c>
      <c r="B681" s="2">
        <v>45705</v>
      </c>
      <c r="C681" t="s">
        <v>10</v>
      </c>
      <c r="D681" t="s">
        <v>38</v>
      </c>
      <c r="E681" t="s">
        <v>34</v>
      </c>
      <c r="F681" t="s">
        <v>31</v>
      </c>
      <c r="G681">
        <v>5</v>
      </c>
      <c r="H681">
        <v>2.2000000000000002</v>
      </c>
      <c r="I681" t="s">
        <v>14</v>
      </c>
      <c r="J681" t="s">
        <v>646</v>
      </c>
      <c r="K681" s="12">
        <f>Store_Record[[#This Row],[Qty]]*Store_Record[[#This Row],[UnitPriceGBP]]</f>
        <v>11</v>
      </c>
      <c r="L681" s="5" t="str">
        <f>TEXT(Store_Record[[#This Row],[Date]],"dddd")</f>
        <v>Monday</v>
      </c>
      <c r="M681" s="5" t="str">
        <f>TEXT(Store_Record[[#This Row],[Date]],"mmmm")</f>
        <v>February</v>
      </c>
      <c r="N681" s="5">
        <f>YEAR(Store_Record[[#This Row],[Date]])</f>
        <v>2025</v>
      </c>
      <c r="O681"/>
    </row>
    <row r="682" spans="1:15" x14ac:dyDescent="0.35">
      <c r="A682" t="s">
        <v>1196</v>
      </c>
      <c r="B682" s="2">
        <v>45705</v>
      </c>
      <c r="C682" t="s">
        <v>24</v>
      </c>
      <c r="D682" t="s">
        <v>11</v>
      </c>
      <c r="E682" t="s">
        <v>26</v>
      </c>
      <c r="F682" t="s">
        <v>13</v>
      </c>
      <c r="G682">
        <v>3</v>
      </c>
      <c r="H682">
        <v>3.5</v>
      </c>
      <c r="I682" t="s">
        <v>21</v>
      </c>
      <c r="J682" t="s">
        <v>187</v>
      </c>
      <c r="K682" s="12">
        <f>Store_Record[[#This Row],[Qty]]*Store_Record[[#This Row],[UnitPriceGBP]]</f>
        <v>10.5</v>
      </c>
      <c r="L682" s="5" t="str">
        <f>TEXT(Store_Record[[#This Row],[Date]],"dddd")</f>
        <v>Monday</v>
      </c>
      <c r="M682" s="5" t="str">
        <f>TEXT(Store_Record[[#This Row],[Date]],"mmmm")</f>
        <v>February</v>
      </c>
      <c r="N682" s="5">
        <f>YEAR(Store_Record[[#This Row],[Date]])</f>
        <v>2025</v>
      </c>
      <c r="O682"/>
    </row>
    <row r="683" spans="1:15" x14ac:dyDescent="0.35">
      <c r="A683" t="s">
        <v>1199</v>
      </c>
      <c r="B683" s="2">
        <v>45705</v>
      </c>
      <c r="C683" t="s">
        <v>20</v>
      </c>
      <c r="D683" t="s">
        <v>47</v>
      </c>
      <c r="E683" t="s">
        <v>34</v>
      </c>
      <c r="F683" t="s">
        <v>31</v>
      </c>
      <c r="G683">
        <v>4</v>
      </c>
      <c r="H683">
        <v>2.2000000000000002</v>
      </c>
      <c r="I683" t="s">
        <v>39</v>
      </c>
      <c r="J683" t="s">
        <v>1200</v>
      </c>
      <c r="K683" s="12">
        <f>Store_Record[[#This Row],[Qty]]*Store_Record[[#This Row],[UnitPriceGBP]]</f>
        <v>8.8000000000000007</v>
      </c>
      <c r="L683" s="5" t="str">
        <f>TEXT(Store_Record[[#This Row],[Date]],"dddd")</f>
        <v>Monday</v>
      </c>
      <c r="M683" s="5" t="str">
        <f>TEXT(Store_Record[[#This Row],[Date]],"mmmm")</f>
        <v>February</v>
      </c>
      <c r="N683" s="5">
        <f>YEAR(Store_Record[[#This Row],[Date]])</f>
        <v>2025</v>
      </c>
      <c r="O683"/>
    </row>
    <row r="684" spans="1:15" x14ac:dyDescent="0.35">
      <c r="A684" t="s">
        <v>1204</v>
      </c>
      <c r="B684" s="2">
        <v>45705</v>
      </c>
      <c r="C684" t="s">
        <v>24</v>
      </c>
      <c r="D684" t="s">
        <v>38</v>
      </c>
      <c r="E684" t="s">
        <v>42</v>
      </c>
      <c r="F684" t="s">
        <v>13</v>
      </c>
      <c r="G684">
        <v>2</v>
      </c>
      <c r="H684">
        <v>3.8</v>
      </c>
      <c r="I684" t="s">
        <v>14</v>
      </c>
      <c r="J684" t="s">
        <v>1205</v>
      </c>
      <c r="K684" s="12">
        <f>Store_Record[[#This Row],[Qty]]*Store_Record[[#This Row],[UnitPriceGBP]]</f>
        <v>7.6</v>
      </c>
      <c r="L684" s="5" t="str">
        <f>TEXT(Store_Record[[#This Row],[Date]],"dddd")</f>
        <v>Monday</v>
      </c>
      <c r="M684" s="5" t="str">
        <f>TEXT(Store_Record[[#This Row],[Date]],"mmmm")</f>
        <v>February</v>
      </c>
      <c r="N684" s="5">
        <f>YEAR(Store_Record[[#This Row],[Date]])</f>
        <v>2025</v>
      </c>
      <c r="O684"/>
    </row>
    <row r="685" spans="1:15" x14ac:dyDescent="0.35">
      <c r="A685" t="s">
        <v>1201</v>
      </c>
      <c r="B685" s="2">
        <v>45705</v>
      </c>
      <c r="C685" t="s">
        <v>36</v>
      </c>
      <c r="D685" t="s">
        <v>47</v>
      </c>
      <c r="E685" t="s">
        <v>12</v>
      </c>
      <c r="F685" t="s">
        <v>13</v>
      </c>
      <c r="G685">
        <v>2</v>
      </c>
      <c r="H685">
        <v>2.5</v>
      </c>
      <c r="I685" t="s">
        <v>14</v>
      </c>
      <c r="J685" t="s">
        <v>113</v>
      </c>
      <c r="K685" s="12">
        <f>Store_Record[[#This Row],[Qty]]*Store_Record[[#This Row],[UnitPriceGBP]]</f>
        <v>5</v>
      </c>
      <c r="L685" s="5" t="str">
        <f>TEXT(Store_Record[[#This Row],[Date]],"dddd")</f>
        <v>Monday</v>
      </c>
      <c r="M685" s="5" t="str">
        <f>TEXT(Store_Record[[#This Row],[Date]],"mmmm")</f>
        <v>February</v>
      </c>
      <c r="N685" s="5">
        <f>YEAR(Store_Record[[#This Row],[Date]])</f>
        <v>2025</v>
      </c>
      <c r="O685"/>
    </row>
    <row r="686" spans="1:15" x14ac:dyDescent="0.35">
      <c r="A686" t="s">
        <v>1202</v>
      </c>
      <c r="B686" s="2">
        <v>45705</v>
      </c>
      <c r="C686" t="s">
        <v>24</v>
      </c>
      <c r="D686" t="s">
        <v>47</v>
      </c>
      <c r="E686" t="s">
        <v>12</v>
      </c>
      <c r="F686" t="s">
        <v>13</v>
      </c>
      <c r="G686">
        <v>2</v>
      </c>
      <c r="H686">
        <v>2.5</v>
      </c>
      <c r="I686" t="s">
        <v>21</v>
      </c>
      <c r="J686" t="s">
        <v>1203</v>
      </c>
      <c r="K686" s="12">
        <f>Store_Record[[#This Row],[Qty]]*Store_Record[[#This Row],[UnitPriceGBP]]</f>
        <v>5</v>
      </c>
      <c r="L686" s="5" t="str">
        <f>TEXT(Store_Record[[#This Row],[Date]],"dddd")</f>
        <v>Monday</v>
      </c>
      <c r="M686" s="5" t="str">
        <f>TEXT(Store_Record[[#This Row],[Date]],"mmmm")</f>
        <v>February</v>
      </c>
      <c r="N686" s="5">
        <f>YEAR(Store_Record[[#This Row],[Date]])</f>
        <v>2025</v>
      </c>
      <c r="O686"/>
    </row>
    <row r="687" spans="1:15" x14ac:dyDescent="0.35">
      <c r="A687" t="s">
        <v>1207</v>
      </c>
      <c r="B687" s="2">
        <v>45705</v>
      </c>
      <c r="C687" t="s">
        <v>10</v>
      </c>
      <c r="D687" t="s">
        <v>38</v>
      </c>
      <c r="E687" t="s">
        <v>12</v>
      </c>
      <c r="F687" t="s">
        <v>13</v>
      </c>
      <c r="G687">
        <v>2</v>
      </c>
      <c r="H687">
        <v>2.5</v>
      </c>
      <c r="I687" t="s">
        <v>39</v>
      </c>
      <c r="J687" t="s">
        <v>1187</v>
      </c>
      <c r="K687" s="12">
        <f>Store_Record[[#This Row],[Qty]]*Store_Record[[#This Row],[UnitPriceGBP]]</f>
        <v>5</v>
      </c>
      <c r="L687" s="5" t="str">
        <f>TEXT(Store_Record[[#This Row],[Date]],"dddd")</f>
        <v>Monday</v>
      </c>
      <c r="M687" s="5" t="str">
        <f>TEXT(Store_Record[[#This Row],[Date]],"mmmm")</f>
        <v>February</v>
      </c>
      <c r="N687" s="5">
        <f>YEAR(Store_Record[[#This Row],[Date]])</f>
        <v>2025</v>
      </c>
      <c r="O687"/>
    </row>
    <row r="688" spans="1:15" x14ac:dyDescent="0.35">
      <c r="A688" t="s">
        <v>1192</v>
      </c>
      <c r="B688" s="2">
        <v>45705</v>
      </c>
      <c r="C688" t="s">
        <v>24</v>
      </c>
      <c r="D688" t="s">
        <v>11</v>
      </c>
      <c r="E688" t="s">
        <v>34</v>
      </c>
      <c r="F688" t="s">
        <v>31</v>
      </c>
      <c r="G688">
        <v>2</v>
      </c>
      <c r="H688">
        <v>2.2000000000000002</v>
      </c>
      <c r="I688" t="s">
        <v>14</v>
      </c>
      <c r="J688" t="s">
        <v>113</v>
      </c>
      <c r="K688" s="12">
        <f>Store_Record[[#This Row],[Qty]]*Store_Record[[#This Row],[UnitPriceGBP]]</f>
        <v>4.4000000000000004</v>
      </c>
      <c r="L688" s="5" t="str">
        <f>TEXT(Store_Record[[#This Row],[Date]],"dddd")</f>
        <v>Monday</v>
      </c>
      <c r="M688" s="5" t="str">
        <f>TEXT(Store_Record[[#This Row],[Date]],"mmmm")</f>
        <v>February</v>
      </c>
      <c r="N688" s="5">
        <f>YEAR(Store_Record[[#This Row],[Date]])</f>
        <v>2025</v>
      </c>
      <c r="O688"/>
    </row>
    <row r="689" spans="1:15" x14ac:dyDescent="0.35">
      <c r="A689" t="s">
        <v>1197</v>
      </c>
      <c r="B689" s="2">
        <v>45705</v>
      </c>
      <c r="C689" t="s">
        <v>24</v>
      </c>
      <c r="D689" t="s">
        <v>11</v>
      </c>
      <c r="E689" t="s">
        <v>34</v>
      </c>
      <c r="F689" t="s">
        <v>31</v>
      </c>
      <c r="G689">
        <v>2</v>
      </c>
      <c r="H689">
        <v>2.2000000000000002</v>
      </c>
      <c r="I689" t="s">
        <v>39</v>
      </c>
      <c r="J689" t="s">
        <v>1198</v>
      </c>
      <c r="K689" s="12">
        <f>Store_Record[[#This Row],[Qty]]*Store_Record[[#This Row],[UnitPriceGBP]]</f>
        <v>4.4000000000000004</v>
      </c>
      <c r="L689" s="5" t="str">
        <f>TEXT(Store_Record[[#This Row],[Date]],"dddd")</f>
        <v>Monday</v>
      </c>
      <c r="M689" s="5" t="str">
        <f>TEXT(Store_Record[[#This Row],[Date]],"mmmm")</f>
        <v>February</v>
      </c>
      <c r="N689" s="5">
        <f>YEAR(Store_Record[[#This Row],[Date]])</f>
        <v>2025</v>
      </c>
      <c r="O689"/>
    </row>
    <row r="690" spans="1:15" x14ac:dyDescent="0.35">
      <c r="A690" t="s">
        <v>1190</v>
      </c>
      <c r="B690" s="2">
        <v>45705</v>
      </c>
      <c r="C690" t="s">
        <v>24</v>
      </c>
      <c r="D690" t="s">
        <v>29</v>
      </c>
      <c r="E690" t="s">
        <v>34</v>
      </c>
      <c r="F690" t="s">
        <v>31</v>
      </c>
      <c r="G690">
        <v>1</v>
      </c>
      <c r="H690">
        <v>2.2000000000000002</v>
      </c>
      <c r="I690" t="s">
        <v>14</v>
      </c>
      <c r="J690" t="s">
        <v>1191</v>
      </c>
      <c r="K690" s="12">
        <f>Store_Record[[#This Row],[Qty]]*Store_Record[[#This Row],[UnitPriceGBP]]</f>
        <v>2.2000000000000002</v>
      </c>
      <c r="L690" s="5" t="str">
        <f>TEXT(Store_Record[[#This Row],[Date]],"dddd")</f>
        <v>Monday</v>
      </c>
      <c r="M690" s="5" t="str">
        <f>TEXT(Store_Record[[#This Row],[Date]],"mmmm")</f>
        <v>February</v>
      </c>
      <c r="N690" s="5">
        <f>YEAR(Store_Record[[#This Row],[Date]])</f>
        <v>2025</v>
      </c>
      <c r="O690"/>
    </row>
    <row r="691" spans="1:15" x14ac:dyDescent="0.35">
      <c r="A691" t="s">
        <v>1213</v>
      </c>
      <c r="B691" s="2">
        <v>45706</v>
      </c>
      <c r="C691" t="s">
        <v>10</v>
      </c>
      <c r="D691" t="s">
        <v>25</v>
      </c>
      <c r="E691" t="s">
        <v>42</v>
      </c>
      <c r="F691" t="s">
        <v>13</v>
      </c>
      <c r="G691">
        <v>5</v>
      </c>
      <c r="H691">
        <v>3.8</v>
      </c>
      <c r="I691" t="s">
        <v>39</v>
      </c>
      <c r="J691" t="s">
        <v>1214</v>
      </c>
      <c r="K691" s="12">
        <f>Store_Record[[#This Row],[Qty]]*Store_Record[[#This Row],[UnitPriceGBP]]</f>
        <v>19</v>
      </c>
      <c r="L691" s="5" t="str">
        <f>TEXT(Store_Record[[#This Row],[Date]],"dddd")</f>
        <v>Tuesday</v>
      </c>
      <c r="M691" s="5" t="str">
        <f>TEXT(Store_Record[[#This Row],[Date]],"mmmm")</f>
        <v>February</v>
      </c>
      <c r="N691" s="5">
        <f>YEAR(Store_Record[[#This Row],[Date]])</f>
        <v>2025</v>
      </c>
      <c r="O691"/>
    </row>
    <row r="692" spans="1:15" x14ac:dyDescent="0.35">
      <c r="A692" t="s">
        <v>1226</v>
      </c>
      <c r="B692" s="2">
        <v>45706</v>
      </c>
      <c r="C692" t="s">
        <v>24</v>
      </c>
      <c r="D692" t="s">
        <v>11</v>
      </c>
      <c r="E692" t="s">
        <v>42</v>
      </c>
      <c r="F692" t="s">
        <v>13</v>
      </c>
      <c r="G692">
        <v>5</v>
      </c>
      <c r="H692">
        <v>3.8</v>
      </c>
      <c r="I692" t="s">
        <v>21</v>
      </c>
      <c r="J692" t="s">
        <v>838</v>
      </c>
      <c r="K692" s="12">
        <f>Store_Record[[#This Row],[Qty]]*Store_Record[[#This Row],[UnitPriceGBP]]</f>
        <v>19</v>
      </c>
      <c r="L692" s="5" t="str">
        <f>TEXT(Store_Record[[#This Row],[Date]],"dddd")</f>
        <v>Tuesday</v>
      </c>
      <c r="M692" s="5" t="str">
        <f>TEXT(Store_Record[[#This Row],[Date]],"mmmm")</f>
        <v>February</v>
      </c>
      <c r="N692" s="5">
        <f>YEAR(Store_Record[[#This Row],[Date]])</f>
        <v>2025</v>
      </c>
      <c r="O692"/>
    </row>
    <row r="693" spans="1:15" x14ac:dyDescent="0.35">
      <c r="A693" t="s">
        <v>1222</v>
      </c>
      <c r="B693" s="2">
        <v>45706</v>
      </c>
      <c r="C693" t="s">
        <v>20</v>
      </c>
      <c r="D693" t="s">
        <v>29</v>
      </c>
      <c r="E693" t="s">
        <v>26</v>
      </c>
      <c r="F693" t="s">
        <v>13</v>
      </c>
      <c r="G693">
        <v>5</v>
      </c>
      <c r="H693">
        <v>3.5</v>
      </c>
      <c r="I693" t="s">
        <v>14</v>
      </c>
      <c r="J693" t="s">
        <v>1223</v>
      </c>
      <c r="K693" s="12">
        <f>Store_Record[[#This Row],[Qty]]*Store_Record[[#This Row],[UnitPriceGBP]]</f>
        <v>17.5</v>
      </c>
      <c r="L693" s="5" t="str">
        <f>TEXT(Store_Record[[#This Row],[Date]],"dddd")</f>
        <v>Tuesday</v>
      </c>
      <c r="M693" s="5" t="str">
        <f>TEXT(Store_Record[[#This Row],[Date]],"mmmm")</f>
        <v>February</v>
      </c>
      <c r="N693" s="5">
        <f>YEAR(Store_Record[[#This Row],[Date]])</f>
        <v>2025</v>
      </c>
      <c r="O693"/>
    </row>
    <row r="694" spans="1:15" x14ac:dyDescent="0.35">
      <c r="A694" t="s">
        <v>1211</v>
      </c>
      <c r="B694" s="2">
        <v>45706</v>
      </c>
      <c r="C694" t="s">
        <v>36</v>
      </c>
      <c r="D694" t="s">
        <v>11</v>
      </c>
      <c r="E694" t="s">
        <v>42</v>
      </c>
      <c r="F694" t="s">
        <v>13</v>
      </c>
      <c r="G694">
        <v>3</v>
      </c>
      <c r="H694">
        <v>3.8</v>
      </c>
      <c r="I694" t="s">
        <v>14</v>
      </c>
      <c r="J694" t="s">
        <v>1212</v>
      </c>
      <c r="K694" s="12">
        <f>Store_Record[[#This Row],[Qty]]*Store_Record[[#This Row],[UnitPriceGBP]]</f>
        <v>11.399999999999999</v>
      </c>
      <c r="L694" s="5" t="str">
        <f>TEXT(Store_Record[[#This Row],[Date]],"dddd")</f>
        <v>Tuesday</v>
      </c>
      <c r="M694" s="5" t="str">
        <f>TEXT(Store_Record[[#This Row],[Date]],"mmmm")</f>
        <v>February</v>
      </c>
      <c r="N694" s="5">
        <f>YEAR(Store_Record[[#This Row],[Date]])</f>
        <v>2025</v>
      </c>
      <c r="O694"/>
    </row>
    <row r="695" spans="1:15" x14ac:dyDescent="0.35">
      <c r="A695" t="s">
        <v>1231</v>
      </c>
      <c r="B695" s="2">
        <v>45706</v>
      </c>
      <c r="C695" t="s">
        <v>20</v>
      </c>
      <c r="D695" t="s">
        <v>29</v>
      </c>
      <c r="E695" t="s">
        <v>12</v>
      </c>
      <c r="F695" t="s">
        <v>13</v>
      </c>
      <c r="G695">
        <v>4</v>
      </c>
      <c r="H695">
        <v>2.5</v>
      </c>
      <c r="I695" t="s">
        <v>21</v>
      </c>
      <c r="J695" t="s">
        <v>551</v>
      </c>
      <c r="K695" s="12">
        <f>Store_Record[[#This Row],[Qty]]*Store_Record[[#This Row],[UnitPriceGBP]]</f>
        <v>10</v>
      </c>
      <c r="L695" s="5" t="str">
        <f>TEXT(Store_Record[[#This Row],[Date]],"dddd")</f>
        <v>Tuesday</v>
      </c>
      <c r="M695" s="5" t="str">
        <f>TEXT(Store_Record[[#This Row],[Date]],"mmmm")</f>
        <v>February</v>
      </c>
      <c r="N695" s="5">
        <f>YEAR(Store_Record[[#This Row],[Date]])</f>
        <v>2025</v>
      </c>
      <c r="O695"/>
    </row>
    <row r="696" spans="1:15" x14ac:dyDescent="0.35">
      <c r="A696" t="s">
        <v>1209</v>
      </c>
      <c r="B696" s="2">
        <v>45706</v>
      </c>
      <c r="C696" t="s">
        <v>10</v>
      </c>
      <c r="D696" t="s">
        <v>38</v>
      </c>
      <c r="E696" t="s">
        <v>34</v>
      </c>
      <c r="F696" t="s">
        <v>31</v>
      </c>
      <c r="G696">
        <v>4</v>
      </c>
      <c r="H696">
        <v>2.2000000000000002</v>
      </c>
      <c r="I696" t="s">
        <v>14</v>
      </c>
      <c r="J696" t="s">
        <v>1210</v>
      </c>
      <c r="K696" s="12">
        <f>Store_Record[[#This Row],[Qty]]*Store_Record[[#This Row],[UnitPriceGBP]]</f>
        <v>8.8000000000000007</v>
      </c>
      <c r="L696" s="5" t="str">
        <f>TEXT(Store_Record[[#This Row],[Date]],"dddd")</f>
        <v>Tuesday</v>
      </c>
      <c r="M696" s="5" t="str">
        <f>TEXT(Store_Record[[#This Row],[Date]],"mmmm")</f>
        <v>February</v>
      </c>
      <c r="N696" s="5">
        <f>YEAR(Store_Record[[#This Row],[Date]])</f>
        <v>2025</v>
      </c>
      <c r="O696"/>
    </row>
    <row r="697" spans="1:15" x14ac:dyDescent="0.35">
      <c r="A697" t="s">
        <v>1220</v>
      </c>
      <c r="B697" s="2">
        <v>45706</v>
      </c>
      <c r="C697" t="s">
        <v>10</v>
      </c>
      <c r="D697" t="s">
        <v>38</v>
      </c>
      <c r="E697" t="s">
        <v>26</v>
      </c>
      <c r="F697" t="s">
        <v>13</v>
      </c>
      <c r="G697">
        <v>2</v>
      </c>
      <c r="H697">
        <v>3.5</v>
      </c>
      <c r="I697" t="s">
        <v>39</v>
      </c>
      <c r="J697" t="s">
        <v>1221</v>
      </c>
      <c r="K697" s="12">
        <f>Store_Record[[#This Row],[Qty]]*Store_Record[[#This Row],[UnitPriceGBP]]</f>
        <v>7</v>
      </c>
      <c r="L697" s="5" t="str">
        <f>TEXT(Store_Record[[#This Row],[Date]],"dddd")</f>
        <v>Tuesday</v>
      </c>
      <c r="M697" s="5" t="str">
        <f>TEXT(Store_Record[[#This Row],[Date]],"mmmm")</f>
        <v>February</v>
      </c>
      <c r="N697" s="5">
        <f>YEAR(Store_Record[[#This Row],[Date]])</f>
        <v>2025</v>
      </c>
      <c r="O697"/>
    </row>
    <row r="698" spans="1:15" x14ac:dyDescent="0.35">
      <c r="A698" t="s">
        <v>1215</v>
      </c>
      <c r="B698" s="2">
        <v>45706</v>
      </c>
      <c r="C698" t="s">
        <v>20</v>
      </c>
      <c r="D698" t="s">
        <v>11</v>
      </c>
      <c r="E698" t="s">
        <v>12</v>
      </c>
      <c r="F698" t="s">
        <v>13</v>
      </c>
      <c r="G698">
        <v>2</v>
      </c>
      <c r="H698">
        <v>2.5</v>
      </c>
      <c r="I698" t="s">
        <v>14</v>
      </c>
      <c r="J698" t="s">
        <v>980</v>
      </c>
      <c r="K698" s="12">
        <f>Store_Record[[#This Row],[Qty]]*Store_Record[[#This Row],[UnitPriceGBP]]</f>
        <v>5</v>
      </c>
      <c r="L698" s="5" t="str">
        <f>TEXT(Store_Record[[#This Row],[Date]],"dddd")</f>
        <v>Tuesday</v>
      </c>
      <c r="M698" s="5" t="str">
        <f>TEXT(Store_Record[[#This Row],[Date]],"mmmm")</f>
        <v>February</v>
      </c>
      <c r="N698" s="5">
        <f>YEAR(Store_Record[[#This Row],[Date]])</f>
        <v>2025</v>
      </c>
      <c r="O698"/>
    </row>
    <row r="699" spans="1:15" x14ac:dyDescent="0.35">
      <c r="A699" t="s">
        <v>1224</v>
      </c>
      <c r="B699" s="2">
        <v>45706</v>
      </c>
      <c r="C699" t="s">
        <v>20</v>
      </c>
      <c r="D699" t="s">
        <v>47</v>
      </c>
      <c r="E699" t="s">
        <v>12</v>
      </c>
      <c r="F699" t="s">
        <v>13</v>
      </c>
      <c r="G699">
        <v>2</v>
      </c>
      <c r="H699">
        <v>2.5</v>
      </c>
      <c r="I699" t="s">
        <v>21</v>
      </c>
      <c r="J699" t="s">
        <v>1225</v>
      </c>
      <c r="K699" s="12">
        <f>Store_Record[[#This Row],[Qty]]*Store_Record[[#This Row],[UnitPriceGBP]]</f>
        <v>5</v>
      </c>
      <c r="L699" s="5" t="str">
        <f>TEXT(Store_Record[[#This Row],[Date]],"dddd")</f>
        <v>Tuesday</v>
      </c>
      <c r="M699" s="5" t="str">
        <f>TEXT(Store_Record[[#This Row],[Date]],"mmmm")</f>
        <v>February</v>
      </c>
      <c r="N699" s="5">
        <f>YEAR(Store_Record[[#This Row],[Date]])</f>
        <v>2025</v>
      </c>
      <c r="O699"/>
    </row>
    <row r="700" spans="1:15" x14ac:dyDescent="0.35">
      <c r="A700" t="s">
        <v>1227</v>
      </c>
      <c r="B700" s="2">
        <v>45706</v>
      </c>
      <c r="C700" t="s">
        <v>36</v>
      </c>
      <c r="D700" t="s">
        <v>38</v>
      </c>
      <c r="E700" t="s">
        <v>12</v>
      </c>
      <c r="F700" t="s">
        <v>13</v>
      </c>
      <c r="G700">
        <v>2</v>
      </c>
      <c r="H700">
        <v>2.5</v>
      </c>
      <c r="I700" t="s">
        <v>21</v>
      </c>
      <c r="J700" t="s">
        <v>1228</v>
      </c>
      <c r="K700" s="12">
        <f>Store_Record[[#This Row],[Qty]]*Store_Record[[#This Row],[UnitPriceGBP]]</f>
        <v>5</v>
      </c>
      <c r="L700" s="5" t="str">
        <f>TEXT(Store_Record[[#This Row],[Date]],"dddd")</f>
        <v>Tuesday</v>
      </c>
      <c r="M700" s="5" t="str">
        <f>TEXT(Store_Record[[#This Row],[Date]],"mmmm")</f>
        <v>February</v>
      </c>
      <c r="N700" s="5">
        <f>YEAR(Store_Record[[#This Row],[Date]])</f>
        <v>2025</v>
      </c>
      <c r="O700"/>
    </row>
    <row r="701" spans="1:15" x14ac:dyDescent="0.35">
      <c r="A701" t="s">
        <v>1229</v>
      </c>
      <c r="B701" s="2">
        <v>45706</v>
      </c>
      <c r="C701" t="s">
        <v>10</v>
      </c>
      <c r="D701" t="s">
        <v>47</v>
      </c>
      <c r="E701" t="s">
        <v>42</v>
      </c>
      <c r="F701" t="s">
        <v>13</v>
      </c>
      <c r="G701">
        <v>1</v>
      </c>
      <c r="H701">
        <v>3.8</v>
      </c>
      <c r="I701" t="s">
        <v>39</v>
      </c>
      <c r="J701" t="s">
        <v>1230</v>
      </c>
      <c r="K701" s="12">
        <f>Store_Record[[#This Row],[Qty]]*Store_Record[[#This Row],[UnitPriceGBP]]</f>
        <v>3.8</v>
      </c>
      <c r="L701" s="5" t="str">
        <f>TEXT(Store_Record[[#This Row],[Date]],"dddd")</f>
        <v>Tuesday</v>
      </c>
      <c r="M701" s="5" t="str">
        <f>TEXT(Store_Record[[#This Row],[Date]],"mmmm")</f>
        <v>February</v>
      </c>
      <c r="N701" s="5">
        <f>YEAR(Store_Record[[#This Row],[Date]])</f>
        <v>2025</v>
      </c>
      <c r="O701"/>
    </row>
    <row r="702" spans="1:15" x14ac:dyDescent="0.35">
      <c r="A702" t="s">
        <v>1218</v>
      </c>
      <c r="B702" s="2">
        <v>45706</v>
      </c>
      <c r="C702" t="s">
        <v>20</v>
      </c>
      <c r="D702" t="s">
        <v>38</v>
      </c>
      <c r="E702" t="s">
        <v>30</v>
      </c>
      <c r="F702" t="s">
        <v>31</v>
      </c>
      <c r="G702">
        <v>1</v>
      </c>
      <c r="H702">
        <v>2.8</v>
      </c>
      <c r="I702" t="s">
        <v>39</v>
      </c>
      <c r="J702" t="s">
        <v>1219</v>
      </c>
      <c r="K702" s="12">
        <f>Store_Record[[#This Row],[Qty]]*Store_Record[[#This Row],[UnitPriceGBP]]</f>
        <v>2.8</v>
      </c>
      <c r="L702" s="5" t="str">
        <f>TEXT(Store_Record[[#This Row],[Date]],"dddd")</f>
        <v>Tuesday</v>
      </c>
      <c r="M702" s="5" t="str">
        <f>TEXT(Store_Record[[#This Row],[Date]],"mmmm")</f>
        <v>February</v>
      </c>
      <c r="N702" s="5">
        <f>YEAR(Store_Record[[#This Row],[Date]])</f>
        <v>2025</v>
      </c>
      <c r="O702"/>
    </row>
    <row r="703" spans="1:15" x14ac:dyDescent="0.35">
      <c r="A703" t="s">
        <v>1216</v>
      </c>
      <c r="B703" s="2">
        <v>45706</v>
      </c>
      <c r="C703" t="s">
        <v>10</v>
      </c>
      <c r="D703" t="s">
        <v>25</v>
      </c>
      <c r="E703" t="s">
        <v>12</v>
      </c>
      <c r="F703" t="s">
        <v>13</v>
      </c>
      <c r="G703">
        <v>1</v>
      </c>
      <c r="H703">
        <v>2.5</v>
      </c>
      <c r="I703" t="s">
        <v>39</v>
      </c>
      <c r="J703" t="s">
        <v>1217</v>
      </c>
      <c r="K703" s="12">
        <f>Store_Record[[#This Row],[Qty]]*Store_Record[[#This Row],[UnitPriceGBP]]</f>
        <v>2.5</v>
      </c>
      <c r="L703" s="5" t="str">
        <f>TEXT(Store_Record[[#This Row],[Date]],"dddd")</f>
        <v>Tuesday</v>
      </c>
      <c r="M703" s="5" t="str">
        <f>TEXT(Store_Record[[#This Row],[Date]],"mmmm")</f>
        <v>February</v>
      </c>
      <c r="N703" s="5">
        <f>YEAR(Store_Record[[#This Row],[Date]])</f>
        <v>2025</v>
      </c>
      <c r="O703"/>
    </row>
    <row r="704" spans="1:15" x14ac:dyDescent="0.35">
      <c r="A704" t="s">
        <v>1248</v>
      </c>
      <c r="B704" s="2">
        <v>45707</v>
      </c>
      <c r="C704" t="s">
        <v>36</v>
      </c>
      <c r="D704" t="s">
        <v>47</v>
      </c>
      <c r="E704" t="s">
        <v>26</v>
      </c>
      <c r="F704" t="s">
        <v>13</v>
      </c>
      <c r="G704">
        <v>5</v>
      </c>
      <c r="H704">
        <v>3.5</v>
      </c>
      <c r="I704" t="s">
        <v>14</v>
      </c>
      <c r="J704" t="s">
        <v>555</v>
      </c>
      <c r="K704" s="12">
        <f>Store_Record[[#This Row],[Qty]]*Store_Record[[#This Row],[UnitPriceGBP]]</f>
        <v>17.5</v>
      </c>
      <c r="L704" s="5" t="str">
        <f>TEXT(Store_Record[[#This Row],[Date]],"dddd")</f>
        <v>Wednesday</v>
      </c>
      <c r="M704" s="5" t="str">
        <f>TEXT(Store_Record[[#This Row],[Date]],"mmmm")</f>
        <v>February</v>
      </c>
      <c r="N704" s="5">
        <f>YEAR(Store_Record[[#This Row],[Date]])</f>
        <v>2025</v>
      </c>
      <c r="O704"/>
    </row>
    <row r="705" spans="1:15" x14ac:dyDescent="0.35">
      <c r="A705" t="s">
        <v>1235</v>
      </c>
      <c r="B705" s="2">
        <v>45707</v>
      </c>
      <c r="C705" t="s">
        <v>20</v>
      </c>
      <c r="D705" t="s">
        <v>38</v>
      </c>
      <c r="E705" t="s">
        <v>26</v>
      </c>
      <c r="F705" t="s">
        <v>13</v>
      </c>
      <c r="G705">
        <v>4</v>
      </c>
      <c r="H705">
        <v>3.5</v>
      </c>
      <c r="I705" t="s">
        <v>21</v>
      </c>
      <c r="J705" t="s">
        <v>499</v>
      </c>
      <c r="K705" s="12">
        <f>Store_Record[[#This Row],[Qty]]*Store_Record[[#This Row],[UnitPriceGBP]]</f>
        <v>14</v>
      </c>
      <c r="L705" s="5" t="str">
        <f>TEXT(Store_Record[[#This Row],[Date]],"dddd")</f>
        <v>Wednesday</v>
      </c>
      <c r="M705" s="5" t="str">
        <f>TEXT(Store_Record[[#This Row],[Date]],"mmmm")</f>
        <v>February</v>
      </c>
      <c r="N705" s="5">
        <f>YEAR(Store_Record[[#This Row],[Date]])</f>
        <v>2025</v>
      </c>
      <c r="O705"/>
    </row>
    <row r="706" spans="1:15" x14ac:dyDescent="0.35">
      <c r="A706" t="s">
        <v>1236</v>
      </c>
      <c r="B706" s="2">
        <v>45707</v>
      </c>
      <c r="C706" t="s">
        <v>20</v>
      </c>
      <c r="D706" t="s">
        <v>29</v>
      </c>
      <c r="E706" t="s">
        <v>26</v>
      </c>
      <c r="F706" t="s">
        <v>13</v>
      </c>
      <c r="G706">
        <v>4</v>
      </c>
      <c r="H706">
        <v>3.5</v>
      </c>
      <c r="I706" t="s">
        <v>14</v>
      </c>
      <c r="J706" t="s">
        <v>181</v>
      </c>
      <c r="K706" s="12">
        <f>Store_Record[[#This Row],[Qty]]*Store_Record[[#This Row],[UnitPriceGBP]]</f>
        <v>14</v>
      </c>
      <c r="L706" s="5" t="str">
        <f>TEXT(Store_Record[[#This Row],[Date]],"dddd")</f>
        <v>Wednesday</v>
      </c>
      <c r="M706" s="5" t="str">
        <f>TEXT(Store_Record[[#This Row],[Date]],"mmmm")</f>
        <v>February</v>
      </c>
      <c r="N706" s="5">
        <f>YEAR(Store_Record[[#This Row],[Date]])</f>
        <v>2025</v>
      </c>
      <c r="O706"/>
    </row>
    <row r="707" spans="1:15" x14ac:dyDescent="0.35">
      <c r="A707" t="s">
        <v>1237</v>
      </c>
      <c r="B707" s="2">
        <v>45707</v>
      </c>
      <c r="C707" t="s">
        <v>36</v>
      </c>
      <c r="D707" t="s">
        <v>25</v>
      </c>
      <c r="E707" t="s">
        <v>30</v>
      </c>
      <c r="F707" t="s">
        <v>31</v>
      </c>
      <c r="G707">
        <v>5</v>
      </c>
      <c r="H707">
        <v>2.8</v>
      </c>
      <c r="I707" t="s">
        <v>21</v>
      </c>
      <c r="J707" t="s">
        <v>1238</v>
      </c>
      <c r="K707" s="12">
        <f>Store_Record[[#This Row],[Qty]]*Store_Record[[#This Row],[UnitPriceGBP]]</f>
        <v>14</v>
      </c>
      <c r="L707" s="5" t="str">
        <f>TEXT(Store_Record[[#This Row],[Date]],"dddd")</f>
        <v>Wednesday</v>
      </c>
      <c r="M707" s="5" t="str">
        <f>TEXT(Store_Record[[#This Row],[Date]],"mmmm")</f>
        <v>February</v>
      </c>
      <c r="N707" s="5">
        <f>YEAR(Store_Record[[#This Row],[Date]])</f>
        <v>2025</v>
      </c>
      <c r="O707"/>
    </row>
    <row r="708" spans="1:15" x14ac:dyDescent="0.35">
      <c r="A708" t="s">
        <v>1245</v>
      </c>
      <c r="B708" s="2">
        <v>45707</v>
      </c>
      <c r="C708" t="s">
        <v>20</v>
      </c>
      <c r="D708" t="s">
        <v>29</v>
      </c>
      <c r="E708" t="s">
        <v>42</v>
      </c>
      <c r="F708" t="s">
        <v>13</v>
      </c>
      <c r="G708">
        <v>3</v>
      </c>
      <c r="H708">
        <v>3.8</v>
      </c>
      <c r="I708" t="s">
        <v>21</v>
      </c>
      <c r="J708" t="s">
        <v>1198</v>
      </c>
      <c r="K708" s="12">
        <f>Store_Record[[#This Row],[Qty]]*Store_Record[[#This Row],[UnitPriceGBP]]</f>
        <v>11.399999999999999</v>
      </c>
      <c r="L708" s="5" t="str">
        <f>TEXT(Store_Record[[#This Row],[Date]],"dddd")</f>
        <v>Wednesday</v>
      </c>
      <c r="M708" s="5" t="str">
        <f>TEXT(Store_Record[[#This Row],[Date]],"mmmm")</f>
        <v>February</v>
      </c>
      <c r="N708" s="5">
        <f>YEAR(Store_Record[[#This Row],[Date]])</f>
        <v>2025</v>
      </c>
      <c r="O708"/>
    </row>
    <row r="709" spans="1:15" x14ac:dyDescent="0.35">
      <c r="A709" t="s">
        <v>1240</v>
      </c>
      <c r="B709" s="2">
        <v>45707</v>
      </c>
      <c r="C709" t="s">
        <v>20</v>
      </c>
      <c r="D709" t="s">
        <v>38</v>
      </c>
      <c r="E709" t="s">
        <v>12</v>
      </c>
      <c r="F709" t="s">
        <v>13</v>
      </c>
      <c r="G709">
        <v>4</v>
      </c>
      <c r="H709">
        <v>2.5</v>
      </c>
      <c r="I709" t="s">
        <v>39</v>
      </c>
      <c r="J709" t="s">
        <v>1132</v>
      </c>
      <c r="K709" s="12">
        <f>Store_Record[[#This Row],[Qty]]*Store_Record[[#This Row],[UnitPriceGBP]]</f>
        <v>10</v>
      </c>
      <c r="L709" s="5" t="str">
        <f>TEXT(Store_Record[[#This Row],[Date]],"dddd")</f>
        <v>Wednesday</v>
      </c>
      <c r="M709" s="5" t="str">
        <f>TEXT(Store_Record[[#This Row],[Date]],"mmmm")</f>
        <v>February</v>
      </c>
      <c r="N709" s="5">
        <f>YEAR(Store_Record[[#This Row],[Date]])</f>
        <v>2025</v>
      </c>
      <c r="O709"/>
    </row>
    <row r="710" spans="1:15" x14ac:dyDescent="0.35">
      <c r="A710" t="s">
        <v>1239</v>
      </c>
      <c r="B710" s="2">
        <v>45707</v>
      </c>
      <c r="C710" t="s">
        <v>10</v>
      </c>
      <c r="D710" t="s">
        <v>25</v>
      </c>
      <c r="E710" t="s">
        <v>12</v>
      </c>
      <c r="F710" t="s">
        <v>13</v>
      </c>
      <c r="G710">
        <v>3</v>
      </c>
      <c r="H710">
        <v>2.5</v>
      </c>
      <c r="I710" t="s">
        <v>39</v>
      </c>
      <c r="J710" t="s">
        <v>48</v>
      </c>
      <c r="K710" s="12">
        <f>Store_Record[[#This Row],[Qty]]*Store_Record[[#This Row],[UnitPriceGBP]]</f>
        <v>7.5</v>
      </c>
      <c r="L710" s="5" t="str">
        <f>TEXT(Store_Record[[#This Row],[Date]],"dddd")</f>
        <v>Wednesday</v>
      </c>
      <c r="M710" s="5" t="str">
        <f>TEXT(Store_Record[[#This Row],[Date]],"mmmm")</f>
        <v>February</v>
      </c>
      <c r="N710" s="5">
        <f>YEAR(Store_Record[[#This Row],[Date]])</f>
        <v>2025</v>
      </c>
      <c r="O710"/>
    </row>
    <row r="711" spans="1:15" x14ac:dyDescent="0.35">
      <c r="A711" t="s">
        <v>1247</v>
      </c>
      <c r="B711" s="2">
        <v>45707</v>
      </c>
      <c r="C711" t="s">
        <v>24</v>
      </c>
      <c r="D711" t="s">
        <v>152</v>
      </c>
      <c r="E711" t="s">
        <v>34</v>
      </c>
      <c r="F711" t="s">
        <v>31</v>
      </c>
      <c r="G711">
        <v>3</v>
      </c>
      <c r="H711">
        <v>2.2000000000000002</v>
      </c>
      <c r="I711" t="s">
        <v>14</v>
      </c>
      <c r="J711" t="s">
        <v>774</v>
      </c>
      <c r="K711" s="12">
        <f>Store_Record[[#This Row],[Qty]]*Store_Record[[#This Row],[UnitPriceGBP]]</f>
        <v>6.6000000000000005</v>
      </c>
      <c r="L711" s="5" t="str">
        <f>TEXT(Store_Record[[#This Row],[Date]],"dddd")</f>
        <v>Wednesday</v>
      </c>
      <c r="M711" s="5" t="str">
        <f>TEXT(Store_Record[[#This Row],[Date]],"mmmm")</f>
        <v>February</v>
      </c>
      <c r="N711" s="5">
        <f>YEAR(Store_Record[[#This Row],[Date]])</f>
        <v>2025</v>
      </c>
      <c r="O711"/>
    </row>
    <row r="712" spans="1:15" x14ac:dyDescent="0.35">
      <c r="A712" t="s">
        <v>1243</v>
      </c>
      <c r="B712" s="2">
        <v>45707</v>
      </c>
      <c r="C712" t="s">
        <v>20</v>
      </c>
      <c r="D712" t="s">
        <v>38</v>
      </c>
      <c r="E712" t="s">
        <v>12</v>
      </c>
      <c r="F712" t="s">
        <v>13</v>
      </c>
      <c r="G712">
        <v>2</v>
      </c>
      <c r="H712">
        <v>2.5</v>
      </c>
      <c r="I712" t="s">
        <v>14</v>
      </c>
      <c r="J712" t="s">
        <v>1244</v>
      </c>
      <c r="K712" s="12">
        <f>Store_Record[[#This Row],[Qty]]*Store_Record[[#This Row],[UnitPriceGBP]]</f>
        <v>5</v>
      </c>
      <c r="L712" s="5" t="str">
        <f>TEXT(Store_Record[[#This Row],[Date]],"dddd")</f>
        <v>Wednesday</v>
      </c>
      <c r="M712" s="5" t="str">
        <f>TEXT(Store_Record[[#This Row],[Date]],"mmmm")</f>
        <v>February</v>
      </c>
      <c r="N712" s="5">
        <f>YEAR(Store_Record[[#This Row],[Date]])</f>
        <v>2025</v>
      </c>
      <c r="O712"/>
    </row>
    <row r="713" spans="1:15" x14ac:dyDescent="0.35">
      <c r="A713" t="s">
        <v>1241</v>
      </c>
      <c r="B713" s="2">
        <v>45707</v>
      </c>
      <c r="C713" t="s">
        <v>36</v>
      </c>
      <c r="D713" t="s">
        <v>29</v>
      </c>
      <c r="E713" t="s">
        <v>34</v>
      </c>
      <c r="F713" t="s">
        <v>31</v>
      </c>
      <c r="G713">
        <v>2</v>
      </c>
      <c r="H713">
        <v>2.2000000000000002</v>
      </c>
      <c r="I713" t="s">
        <v>21</v>
      </c>
      <c r="J713" t="s">
        <v>1242</v>
      </c>
      <c r="K713" s="12">
        <f>Store_Record[[#This Row],[Qty]]*Store_Record[[#This Row],[UnitPriceGBP]]</f>
        <v>4.4000000000000004</v>
      </c>
      <c r="L713" s="5" t="str">
        <f>TEXT(Store_Record[[#This Row],[Date]],"dddd")</f>
        <v>Wednesday</v>
      </c>
      <c r="M713" s="5" t="str">
        <f>TEXT(Store_Record[[#This Row],[Date]],"mmmm")</f>
        <v>February</v>
      </c>
      <c r="N713" s="5">
        <f>YEAR(Store_Record[[#This Row],[Date]])</f>
        <v>2025</v>
      </c>
      <c r="O713"/>
    </row>
    <row r="714" spans="1:15" x14ac:dyDescent="0.35">
      <c r="A714" t="s">
        <v>1246</v>
      </c>
      <c r="B714" s="2">
        <v>45707</v>
      </c>
      <c r="C714" t="s">
        <v>20</v>
      </c>
      <c r="D714" t="s">
        <v>25</v>
      </c>
      <c r="E714" t="s">
        <v>34</v>
      </c>
      <c r="F714" t="s">
        <v>31</v>
      </c>
      <c r="G714">
        <v>2</v>
      </c>
      <c r="H714">
        <v>2.2000000000000002</v>
      </c>
      <c r="I714" t="s">
        <v>39</v>
      </c>
      <c r="J714" t="s">
        <v>150</v>
      </c>
      <c r="K714" s="12">
        <f>Store_Record[[#This Row],[Qty]]*Store_Record[[#This Row],[UnitPriceGBP]]</f>
        <v>4.4000000000000004</v>
      </c>
      <c r="L714" s="5" t="str">
        <f>TEXT(Store_Record[[#This Row],[Date]],"dddd")</f>
        <v>Wednesday</v>
      </c>
      <c r="M714" s="5" t="str">
        <f>TEXT(Store_Record[[#This Row],[Date]],"mmmm")</f>
        <v>February</v>
      </c>
      <c r="N714" s="5">
        <f>YEAR(Store_Record[[#This Row],[Date]])</f>
        <v>2025</v>
      </c>
      <c r="O714"/>
    </row>
    <row r="715" spans="1:15" x14ac:dyDescent="0.35">
      <c r="A715" t="s">
        <v>1232</v>
      </c>
      <c r="B715" s="2">
        <v>45707</v>
      </c>
      <c r="C715" t="s">
        <v>24</v>
      </c>
      <c r="D715" t="s">
        <v>38</v>
      </c>
      <c r="E715" t="s">
        <v>34</v>
      </c>
      <c r="F715" t="s">
        <v>31</v>
      </c>
      <c r="G715">
        <v>1</v>
      </c>
      <c r="H715">
        <v>2.2000000000000002</v>
      </c>
      <c r="I715" t="s">
        <v>14</v>
      </c>
      <c r="J715" t="s">
        <v>1233</v>
      </c>
      <c r="K715" s="12">
        <f>Store_Record[[#This Row],[Qty]]*Store_Record[[#This Row],[UnitPriceGBP]]</f>
        <v>2.2000000000000002</v>
      </c>
      <c r="L715" s="5" t="str">
        <f>TEXT(Store_Record[[#This Row],[Date]],"dddd")</f>
        <v>Wednesday</v>
      </c>
      <c r="M715" s="5" t="str">
        <f>TEXT(Store_Record[[#This Row],[Date]],"mmmm")</f>
        <v>February</v>
      </c>
      <c r="N715" s="5">
        <f>YEAR(Store_Record[[#This Row],[Date]])</f>
        <v>2025</v>
      </c>
      <c r="O715"/>
    </row>
    <row r="716" spans="1:15" x14ac:dyDescent="0.35">
      <c r="A716" t="s">
        <v>1234</v>
      </c>
      <c r="B716" s="2">
        <v>45707</v>
      </c>
      <c r="C716" t="s">
        <v>20</v>
      </c>
      <c r="D716" t="s">
        <v>25</v>
      </c>
      <c r="E716" t="s">
        <v>34</v>
      </c>
      <c r="F716" t="s">
        <v>31</v>
      </c>
      <c r="G716">
        <v>1</v>
      </c>
      <c r="H716">
        <v>2.2000000000000002</v>
      </c>
      <c r="I716" t="s">
        <v>39</v>
      </c>
      <c r="J716" t="s">
        <v>848</v>
      </c>
      <c r="K716" s="12">
        <f>Store_Record[[#This Row],[Qty]]*Store_Record[[#This Row],[UnitPriceGBP]]</f>
        <v>2.2000000000000002</v>
      </c>
      <c r="L716" s="5" t="str">
        <f>TEXT(Store_Record[[#This Row],[Date]],"dddd")</f>
        <v>Wednesday</v>
      </c>
      <c r="M716" s="5" t="str">
        <f>TEXT(Store_Record[[#This Row],[Date]],"mmmm")</f>
        <v>February</v>
      </c>
      <c r="N716" s="5">
        <f>YEAR(Store_Record[[#This Row],[Date]])</f>
        <v>2025</v>
      </c>
      <c r="O716"/>
    </row>
    <row r="717" spans="1:15" x14ac:dyDescent="0.35">
      <c r="A717" t="s">
        <v>1253</v>
      </c>
      <c r="B717" s="2">
        <v>45708</v>
      </c>
      <c r="C717" t="s">
        <v>20</v>
      </c>
      <c r="D717" t="s">
        <v>11</v>
      </c>
      <c r="E717" t="s">
        <v>26</v>
      </c>
      <c r="F717" t="s">
        <v>13</v>
      </c>
      <c r="G717">
        <v>5</v>
      </c>
      <c r="H717">
        <v>3.5</v>
      </c>
      <c r="I717" t="s">
        <v>21</v>
      </c>
      <c r="J717" t="s">
        <v>1254</v>
      </c>
      <c r="K717" s="12">
        <f>Store_Record[[#This Row],[Qty]]*Store_Record[[#This Row],[UnitPriceGBP]]</f>
        <v>17.5</v>
      </c>
      <c r="L717" s="5" t="str">
        <f>TEXT(Store_Record[[#This Row],[Date]],"dddd")</f>
        <v>Thursday</v>
      </c>
      <c r="M717" s="5" t="str">
        <f>TEXT(Store_Record[[#This Row],[Date]],"mmmm")</f>
        <v>February</v>
      </c>
      <c r="N717" s="5">
        <f>YEAR(Store_Record[[#This Row],[Date]])</f>
        <v>2025</v>
      </c>
      <c r="O717"/>
    </row>
    <row r="718" spans="1:15" x14ac:dyDescent="0.35">
      <c r="A718" t="s">
        <v>1266</v>
      </c>
      <c r="B718" s="2">
        <v>45708</v>
      </c>
      <c r="C718" t="s">
        <v>10</v>
      </c>
      <c r="D718" t="s">
        <v>29</v>
      </c>
      <c r="E718" t="s">
        <v>42</v>
      </c>
      <c r="F718" t="s">
        <v>13</v>
      </c>
      <c r="G718">
        <v>4</v>
      </c>
      <c r="H718">
        <v>3.8</v>
      </c>
      <c r="I718" t="s">
        <v>14</v>
      </c>
      <c r="J718" t="s">
        <v>1267</v>
      </c>
      <c r="K718" s="12">
        <f>Store_Record[[#This Row],[Qty]]*Store_Record[[#This Row],[UnitPriceGBP]]</f>
        <v>15.2</v>
      </c>
      <c r="L718" s="5" t="str">
        <f>TEXT(Store_Record[[#This Row],[Date]],"dddd")</f>
        <v>Thursday</v>
      </c>
      <c r="M718" s="5" t="str">
        <f>TEXT(Store_Record[[#This Row],[Date]],"mmmm")</f>
        <v>February</v>
      </c>
      <c r="N718" s="5">
        <f>YEAR(Store_Record[[#This Row],[Date]])</f>
        <v>2025</v>
      </c>
      <c r="O718"/>
    </row>
    <row r="719" spans="1:15" x14ac:dyDescent="0.35">
      <c r="A719" t="s">
        <v>1261</v>
      </c>
      <c r="B719" s="2">
        <v>45708</v>
      </c>
      <c r="C719" t="s">
        <v>24</v>
      </c>
      <c r="D719" t="s">
        <v>11</v>
      </c>
      <c r="E719" t="s">
        <v>26</v>
      </c>
      <c r="F719" t="s">
        <v>13</v>
      </c>
      <c r="G719">
        <v>4</v>
      </c>
      <c r="H719">
        <v>3.5</v>
      </c>
      <c r="I719" t="s">
        <v>14</v>
      </c>
      <c r="J719" t="s">
        <v>1262</v>
      </c>
      <c r="K719" s="12">
        <f>Store_Record[[#This Row],[Qty]]*Store_Record[[#This Row],[UnitPriceGBP]]</f>
        <v>14</v>
      </c>
      <c r="L719" s="5" t="str">
        <f>TEXT(Store_Record[[#This Row],[Date]],"dddd")</f>
        <v>Thursday</v>
      </c>
      <c r="M719" s="5" t="str">
        <f>TEXT(Store_Record[[#This Row],[Date]],"mmmm")</f>
        <v>February</v>
      </c>
      <c r="N719" s="5">
        <f>YEAR(Store_Record[[#This Row],[Date]])</f>
        <v>2025</v>
      </c>
      <c r="O719"/>
    </row>
    <row r="720" spans="1:15" x14ac:dyDescent="0.35">
      <c r="A720" t="s">
        <v>6001</v>
      </c>
      <c r="B720" s="2">
        <v>45708</v>
      </c>
      <c r="C720" t="s">
        <v>36</v>
      </c>
      <c r="D720" t="s">
        <v>25</v>
      </c>
      <c r="E720" t="s">
        <v>30</v>
      </c>
      <c r="F720" t="s">
        <v>31</v>
      </c>
      <c r="G720">
        <v>5</v>
      </c>
      <c r="H720">
        <v>2.8</v>
      </c>
      <c r="I720" t="s">
        <v>21</v>
      </c>
      <c r="J720" t="s">
        <v>741</v>
      </c>
      <c r="K720" s="12">
        <f>Store_Record[[#This Row],[Qty]]*Store_Record[[#This Row],[UnitPriceGBP]]</f>
        <v>14</v>
      </c>
      <c r="L720" s="5" t="str">
        <f>TEXT(Store_Record[[#This Row],[Date]],"dddd")</f>
        <v>Thursday</v>
      </c>
      <c r="M720" s="5" t="str">
        <f>TEXT(Store_Record[[#This Row],[Date]],"mmmm")</f>
        <v>February</v>
      </c>
      <c r="N720" s="5">
        <f>YEAR(Store_Record[[#This Row],[Date]])</f>
        <v>2025</v>
      </c>
      <c r="O720"/>
    </row>
    <row r="721" spans="1:15" x14ac:dyDescent="0.35">
      <c r="A721" t="s">
        <v>1255</v>
      </c>
      <c r="B721" s="2">
        <v>45708</v>
      </c>
      <c r="C721" t="s">
        <v>24</v>
      </c>
      <c r="D721" t="s">
        <v>25</v>
      </c>
      <c r="E721" t="s">
        <v>26</v>
      </c>
      <c r="F721" t="s">
        <v>13</v>
      </c>
      <c r="G721">
        <v>3</v>
      </c>
      <c r="H721">
        <v>3.5</v>
      </c>
      <c r="I721" t="s">
        <v>39</v>
      </c>
      <c r="J721" t="s">
        <v>890</v>
      </c>
      <c r="K721" s="12">
        <f>Store_Record[[#This Row],[Qty]]*Store_Record[[#This Row],[UnitPriceGBP]]</f>
        <v>10.5</v>
      </c>
      <c r="L721" s="5" t="str">
        <f>TEXT(Store_Record[[#This Row],[Date]],"dddd")</f>
        <v>Thursday</v>
      </c>
      <c r="M721" s="5" t="str">
        <f>TEXT(Store_Record[[#This Row],[Date]],"mmmm")</f>
        <v>February</v>
      </c>
      <c r="N721" s="5">
        <f>YEAR(Store_Record[[#This Row],[Date]])</f>
        <v>2025</v>
      </c>
      <c r="O721"/>
    </row>
    <row r="722" spans="1:15" x14ac:dyDescent="0.35">
      <c r="A722" t="s">
        <v>1263</v>
      </c>
      <c r="B722" s="2">
        <v>45708</v>
      </c>
      <c r="C722" t="s">
        <v>24</v>
      </c>
      <c r="D722" t="s">
        <v>152</v>
      </c>
      <c r="E722" t="s">
        <v>12</v>
      </c>
      <c r="F722" t="s">
        <v>13</v>
      </c>
      <c r="G722">
        <v>4</v>
      </c>
      <c r="H722">
        <v>2.5</v>
      </c>
      <c r="I722" t="s">
        <v>21</v>
      </c>
      <c r="J722" t="s">
        <v>1179</v>
      </c>
      <c r="K722" s="12">
        <f>Store_Record[[#This Row],[Qty]]*Store_Record[[#This Row],[UnitPriceGBP]]</f>
        <v>10</v>
      </c>
      <c r="L722" s="5" t="str">
        <f>TEXT(Store_Record[[#This Row],[Date]],"dddd")</f>
        <v>Thursday</v>
      </c>
      <c r="M722" s="5" t="str">
        <f>TEXT(Store_Record[[#This Row],[Date]],"mmmm")</f>
        <v>February</v>
      </c>
      <c r="N722" s="5">
        <f>YEAR(Store_Record[[#This Row],[Date]])</f>
        <v>2025</v>
      </c>
      <c r="O722"/>
    </row>
    <row r="723" spans="1:15" x14ac:dyDescent="0.35">
      <c r="A723" t="s">
        <v>1259</v>
      </c>
      <c r="B723" s="2">
        <v>45708</v>
      </c>
      <c r="C723" t="s">
        <v>20</v>
      </c>
      <c r="D723" t="s">
        <v>25</v>
      </c>
      <c r="E723" t="s">
        <v>34</v>
      </c>
      <c r="F723" t="s">
        <v>31</v>
      </c>
      <c r="G723">
        <v>3</v>
      </c>
      <c r="H723">
        <v>2.2000000000000002</v>
      </c>
      <c r="I723" t="s">
        <v>14</v>
      </c>
      <c r="J723" t="s">
        <v>146</v>
      </c>
      <c r="K723" s="12">
        <f>Store_Record[[#This Row],[Qty]]*Store_Record[[#This Row],[UnitPriceGBP]]</f>
        <v>6.6000000000000005</v>
      </c>
      <c r="L723" s="5" t="str">
        <f>TEXT(Store_Record[[#This Row],[Date]],"dddd")</f>
        <v>Thursday</v>
      </c>
      <c r="M723" s="5" t="str">
        <f>TEXT(Store_Record[[#This Row],[Date]],"mmmm")</f>
        <v>February</v>
      </c>
      <c r="N723" s="5">
        <f>YEAR(Store_Record[[#This Row],[Date]])</f>
        <v>2025</v>
      </c>
      <c r="O723"/>
    </row>
    <row r="724" spans="1:15" x14ac:dyDescent="0.35">
      <c r="A724" t="s">
        <v>1264</v>
      </c>
      <c r="B724" s="2">
        <v>45708</v>
      </c>
      <c r="C724" t="s">
        <v>36</v>
      </c>
      <c r="D724" t="s">
        <v>38</v>
      </c>
      <c r="E724" t="s">
        <v>34</v>
      </c>
      <c r="F724" t="s">
        <v>31</v>
      </c>
      <c r="G724">
        <v>3</v>
      </c>
      <c r="H724">
        <v>2.2000000000000002</v>
      </c>
      <c r="I724" t="s">
        <v>14</v>
      </c>
      <c r="J724" t="s">
        <v>1265</v>
      </c>
      <c r="K724" s="12">
        <f>Store_Record[[#This Row],[Qty]]*Store_Record[[#This Row],[UnitPriceGBP]]</f>
        <v>6.6000000000000005</v>
      </c>
      <c r="L724" s="5" t="str">
        <f>TEXT(Store_Record[[#This Row],[Date]],"dddd")</f>
        <v>Thursday</v>
      </c>
      <c r="M724" s="5" t="str">
        <f>TEXT(Store_Record[[#This Row],[Date]],"mmmm")</f>
        <v>February</v>
      </c>
      <c r="N724" s="5">
        <f>YEAR(Store_Record[[#This Row],[Date]])</f>
        <v>2025</v>
      </c>
      <c r="O724"/>
    </row>
    <row r="725" spans="1:15" x14ac:dyDescent="0.35">
      <c r="A725" t="s">
        <v>1249</v>
      </c>
      <c r="B725" s="2">
        <v>45708</v>
      </c>
      <c r="C725" t="s">
        <v>24</v>
      </c>
      <c r="D725" t="s">
        <v>25</v>
      </c>
      <c r="E725" t="s">
        <v>12</v>
      </c>
      <c r="F725" t="s">
        <v>13</v>
      </c>
      <c r="G725">
        <v>2</v>
      </c>
      <c r="H725">
        <v>2.5</v>
      </c>
      <c r="I725" t="s">
        <v>14</v>
      </c>
      <c r="J725" t="s">
        <v>1250</v>
      </c>
      <c r="K725" s="12">
        <f>Store_Record[[#This Row],[Qty]]*Store_Record[[#This Row],[UnitPriceGBP]]</f>
        <v>5</v>
      </c>
      <c r="L725" s="5" t="str">
        <f>TEXT(Store_Record[[#This Row],[Date]],"dddd")</f>
        <v>Thursday</v>
      </c>
      <c r="M725" s="5" t="str">
        <f>TEXT(Store_Record[[#This Row],[Date]],"mmmm")</f>
        <v>February</v>
      </c>
      <c r="N725" s="5">
        <f>YEAR(Store_Record[[#This Row],[Date]])</f>
        <v>2025</v>
      </c>
      <c r="O725"/>
    </row>
    <row r="726" spans="1:15" x14ac:dyDescent="0.35">
      <c r="A726" t="s">
        <v>1260</v>
      </c>
      <c r="B726" s="2">
        <v>45708</v>
      </c>
      <c r="C726" t="s">
        <v>36</v>
      </c>
      <c r="D726" t="s">
        <v>47</v>
      </c>
      <c r="E726" t="s">
        <v>12</v>
      </c>
      <c r="F726" t="s">
        <v>13</v>
      </c>
      <c r="G726">
        <v>2</v>
      </c>
      <c r="H726">
        <v>2.5</v>
      </c>
      <c r="I726" t="s">
        <v>21</v>
      </c>
      <c r="J726" t="s">
        <v>464</v>
      </c>
      <c r="K726" s="12">
        <f>Store_Record[[#This Row],[Qty]]*Store_Record[[#This Row],[UnitPriceGBP]]</f>
        <v>5</v>
      </c>
      <c r="L726" s="5" t="str">
        <f>TEXT(Store_Record[[#This Row],[Date]],"dddd")</f>
        <v>Thursday</v>
      </c>
      <c r="M726" s="5" t="str">
        <f>TEXT(Store_Record[[#This Row],[Date]],"mmmm")</f>
        <v>February</v>
      </c>
      <c r="N726" s="5">
        <f>YEAR(Store_Record[[#This Row],[Date]])</f>
        <v>2025</v>
      </c>
      <c r="O726"/>
    </row>
    <row r="727" spans="1:15" x14ac:dyDescent="0.35">
      <c r="A727" t="s">
        <v>1270</v>
      </c>
      <c r="B727" s="2">
        <v>45708</v>
      </c>
      <c r="C727" t="s">
        <v>36</v>
      </c>
      <c r="D727" t="s">
        <v>38</v>
      </c>
      <c r="E727" t="s">
        <v>34</v>
      </c>
      <c r="F727" t="s">
        <v>31</v>
      </c>
      <c r="G727">
        <v>2</v>
      </c>
      <c r="H727">
        <v>2.2000000000000002</v>
      </c>
      <c r="I727" t="s">
        <v>14</v>
      </c>
      <c r="J727" t="s">
        <v>1271</v>
      </c>
      <c r="K727" s="12">
        <f>Store_Record[[#This Row],[Qty]]*Store_Record[[#This Row],[UnitPriceGBP]]</f>
        <v>4.4000000000000004</v>
      </c>
      <c r="L727" s="5" t="str">
        <f>TEXT(Store_Record[[#This Row],[Date]],"dddd")</f>
        <v>Thursday</v>
      </c>
      <c r="M727" s="5" t="str">
        <f>TEXT(Store_Record[[#This Row],[Date]],"mmmm")</f>
        <v>February</v>
      </c>
      <c r="N727" s="5">
        <f>YEAR(Store_Record[[#This Row],[Date]])</f>
        <v>2025</v>
      </c>
      <c r="O727"/>
    </row>
    <row r="728" spans="1:15" x14ac:dyDescent="0.35">
      <c r="A728" t="s">
        <v>1256</v>
      </c>
      <c r="B728" s="2">
        <v>45708</v>
      </c>
      <c r="C728" t="s">
        <v>24</v>
      </c>
      <c r="D728" t="s">
        <v>29</v>
      </c>
      <c r="E728" t="s">
        <v>42</v>
      </c>
      <c r="F728" t="s">
        <v>13</v>
      </c>
      <c r="G728">
        <v>1</v>
      </c>
      <c r="H728">
        <v>3.8</v>
      </c>
      <c r="I728" t="s">
        <v>14</v>
      </c>
      <c r="J728" t="s">
        <v>1081</v>
      </c>
      <c r="K728" s="12">
        <f>Store_Record[[#This Row],[Qty]]*Store_Record[[#This Row],[UnitPriceGBP]]</f>
        <v>3.8</v>
      </c>
      <c r="L728" s="5" t="str">
        <f>TEXT(Store_Record[[#This Row],[Date]],"dddd")</f>
        <v>Thursday</v>
      </c>
      <c r="M728" s="5" t="str">
        <f>TEXT(Store_Record[[#This Row],[Date]],"mmmm")</f>
        <v>February</v>
      </c>
      <c r="N728" s="5">
        <f>YEAR(Store_Record[[#This Row],[Date]])</f>
        <v>2025</v>
      </c>
      <c r="O728"/>
    </row>
    <row r="729" spans="1:15" x14ac:dyDescent="0.35">
      <c r="A729" t="s">
        <v>1268</v>
      </c>
      <c r="B729" s="2">
        <v>45708</v>
      </c>
      <c r="C729" t="s">
        <v>36</v>
      </c>
      <c r="D729" t="s">
        <v>11</v>
      </c>
      <c r="E729" t="s">
        <v>26</v>
      </c>
      <c r="F729" t="s">
        <v>13</v>
      </c>
      <c r="G729">
        <v>1</v>
      </c>
      <c r="H729">
        <v>3.5</v>
      </c>
      <c r="I729" t="s">
        <v>39</v>
      </c>
      <c r="J729" t="s">
        <v>1269</v>
      </c>
      <c r="K729" s="12">
        <f>Store_Record[[#This Row],[Qty]]*Store_Record[[#This Row],[UnitPriceGBP]]</f>
        <v>3.5</v>
      </c>
      <c r="L729" s="5" t="str">
        <f>TEXT(Store_Record[[#This Row],[Date]],"dddd")</f>
        <v>Thursday</v>
      </c>
      <c r="M729" s="5" t="str">
        <f>TEXT(Store_Record[[#This Row],[Date]],"mmmm")</f>
        <v>February</v>
      </c>
      <c r="N729" s="5">
        <f>YEAR(Store_Record[[#This Row],[Date]])</f>
        <v>2025</v>
      </c>
      <c r="O729"/>
    </row>
    <row r="730" spans="1:15" x14ac:dyDescent="0.35">
      <c r="A730" t="s">
        <v>1251</v>
      </c>
      <c r="B730" s="2">
        <v>45708</v>
      </c>
      <c r="C730" t="s">
        <v>10</v>
      </c>
      <c r="D730" t="s">
        <v>38</v>
      </c>
      <c r="E730" t="s">
        <v>30</v>
      </c>
      <c r="F730" t="s">
        <v>31</v>
      </c>
      <c r="G730">
        <v>1</v>
      </c>
      <c r="H730">
        <v>2.8</v>
      </c>
      <c r="I730" t="s">
        <v>39</v>
      </c>
      <c r="J730" t="s">
        <v>1252</v>
      </c>
      <c r="K730" s="12">
        <f>Store_Record[[#This Row],[Qty]]*Store_Record[[#This Row],[UnitPriceGBP]]</f>
        <v>2.8</v>
      </c>
      <c r="L730" s="5" t="str">
        <f>TEXT(Store_Record[[#This Row],[Date]],"dddd")</f>
        <v>Thursday</v>
      </c>
      <c r="M730" s="5" t="str">
        <f>TEXT(Store_Record[[#This Row],[Date]],"mmmm")</f>
        <v>February</v>
      </c>
      <c r="N730" s="5">
        <f>YEAR(Store_Record[[#This Row],[Date]])</f>
        <v>2025</v>
      </c>
      <c r="O730"/>
    </row>
    <row r="731" spans="1:15" x14ac:dyDescent="0.35">
      <c r="A731" t="s">
        <v>1258</v>
      </c>
      <c r="B731" s="2">
        <v>45708</v>
      </c>
      <c r="C731" t="s">
        <v>24</v>
      </c>
      <c r="D731" t="s">
        <v>38</v>
      </c>
      <c r="E731" t="s">
        <v>30</v>
      </c>
      <c r="F731" t="s">
        <v>31</v>
      </c>
      <c r="G731">
        <v>1</v>
      </c>
      <c r="H731">
        <v>2.8</v>
      </c>
      <c r="I731" t="s">
        <v>39</v>
      </c>
      <c r="J731" t="s">
        <v>618</v>
      </c>
      <c r="K731" s="12">
        <f>Store_Record[[#This Row],[Qty]]*Store_Record[[#This Row],[UnitPriceGBP]]</f>
        <v>2.8</v>
      </c>
      <c r="L731" s="5" t="str">
        <f>TEXT(Store_Record[[#This Row],[Date]],"dddd")</f>
        <v>Thursday</v>
      </c>
      <c r="M731" s="5" t="str">
        <f>TEXT(Store_Record[[#This Row],[Date]],"mmmm")</f>
        <v>February</v>
      </c>
      <c r="N731" s="5">
        <f>YEAR(Store_Record[[#This Row],[Date]])</f>
        <v>2025</v>
      </c>
      <c r="O731"/>
    </row>
    <row r="732" spans="1:15" x14ac:dyDescent="0.35">
      <c r="A732" t="s">
        <v>1257</v>
      </c>
      <c r="B732" s="2">
        <v>45708</v>
      </c>
      <c r="C732" t="s">
        <v>36</v>
      </c>
      <c r="D732" t="s">
        <v>29</v>
      </c>
      <c r="E732" t="s">
        <v>34</v>
      </c>
      <c r="F732" t="s">
        <v>31</v>
      </c>
      <c r="G732">
        <v>1</v>
      </c>
      <c r="H732">
        <v>2.2000000000000002</v>
      </c>
      <c r="I732" t="s">
        <v>39</v>
      </c>
      <c r="J732" t="s">
        <v>99</v>
      </c>
      <c r="K732" s="12">
        <f>Store_Record[[#This Row],[Qty]]*Store_Record[[#This Row],[UnitPriceGBP]]</f>
        <v>2.2000000000000002</v>
      </c>
      <c r="L732" s="5" t="str">
        <f>TEXT(Store_Record[[#This Row],[Date]],"dddd")</f>
        <v>Thursday</v>
      </c>
      <c r="M732" s="5" t="str">
        <f>TEXT(Store_Record[[#This Row],[Date]],"mmmm")</f>
        <v>February</v>
      </c>
      <c r="N732" s="5">
        <f>YEAR(Store_Record[[#This Row],[Date]])</f>
        <v>2025</v>
      </c>
      <c r="O732"/>
    </row>
    <row r="733" spans="1:15" x14ac:dyDescent="0.35">
      <c r="A733" t="s">
        <v>1281</v>
      </c>
      <c r="B733" s="2">
        <v>45709</v>
      </c>
      <c r="C733" t="s">
        <v>36</v>
      </c>
      <c r="D733" t="s">
        <v>29</v>
      </c>
      <c r="E733" t="s">
        <v>42</v>
      </c>
      <c r="F733" t="s">
        <v>13</v>
      </c>
      <c r="G733">
        <v>4</v>
      </c>
      <c r="H733">
        <v>3.8</v>
      </c>
      <c r="I733" t="s">
        <v>14</v>
      </c>
      <c r="J733" t="s">
        <v>27</v>
      </c>
      <c r="K733" s="12">
        <f>Store_Record[[#This Row],[Qty]]*Store_Record[[#This Row],[UnitPriceGBP]]</f>
        <v>15.2</v>
      </c>
      <c r="L733" s="5" t="str">
        <f>TEXT(Store_Record[[#This Row],[Date]],"dddd")</f>
        <v>Friday</v>
      </c>
      <c r="M733" s="5" t="str">
        <f>TEXT(Store_Record[[#This Row],[Date]],"mmmm")</f>
        <v>February</v>
      </c>
      <c r="N733" s="5">
        <f>YEAR(Store_Record[[#This Row],[Date]])</f>
        <v>2025</v>
      </c>
      <c r="O733"/>
    </row>
    <row r="734" spans="1:15" x14ac:dyDescent="0.35">
      <c r="A734" t="s">
        <v>1276</v>
      </c>
      <c r="B734" s="2">
        <v>45709</v>
      </c>
      <c r="C734" t="s">
        <v>24</v>
      </c>
      <c r="D734" t="s">
        <v>47</v>
      </c>
      <c r="E734" t="s">
        <v>26</v>
      </c>
      <c r="F734" t="s">
        <v>13</v>
      </c>
      <c r="G734">
        <v>4</v>
      </c>
      <c r="H734">
        <v>3.5</v>
      </c>
      <c r="I734" t="s">
        <v>14</v>
      </c>
      <c r="J734" t="s">
        <v>22</v>
      </c>
      <c r="K734" s="12">
        <f>Store_Record[[#This Row],[Qty]]*Store_Record[[#This Row],[UnitPriceGBP]]</f>
        <v>14</v>
      </c>
      <c r="L734" s="5" t="str">
        <f>TEXT(Store_Record[[#This Row],[Date]],"dddd")</f>
        <v>Friday</v>
      </c>
      <c r="M734" s="5" t="str">
        <f>TEXT(Store_Record[[#This Row],[Date]],"mmmm")</f>
        <v>February</v>
      </c>
      <c r="N734" s="5">
        <f>YEAR(Store_Record[[#This Row],[Date]])</f>
        <v>2025</v>
      </c>
      <c r="O734"/>
    </row>
    <row r="735" spans="1:15" x14ac:dyDescent="0.35">
      <c r="A735" t="s">
        <v>1279</v>
      </c>
      <c r="B735" s="2">
        <v>45709</v>
      </c>
      <c r="C735" t="s">
        <v>36</v>
      </c>
      <c r="D735" t="s">
        <v>25</v>
      </c>
      <c r="E735" t="s">
        <v>26</v>
      </c>
      <c r="F735" t="s">
        <v>13</v>
      </c>
      <c r="G735">
        <v>4</v>
      </c>
      <c r="H735">
        <v>3.5</v>
      </c>
      <c r="I735" t="s">
        <v>39</v>
      </c>
      <c r="J735" t="s">
        <v>1280</v>
      </c>
      <c r="K735" s="12">
        <f>Store_Record[[#This Row],[Qty]]*Store_Record[[#This Row],[UnitPriceGBP]]</f>
        <v>14</v>
      </c>
      <c r="L735" s="5" t="str">
        <f>TEXT(Store_Record[[#This Row],[Date]],"dddd")</f>
        <v>Friday</v>
      </c>
      <c r="M735" s="5" t="str">
        <f>TEXT(Store_Record[[#This Row],[Date]],"mmmm")</f>
        <v>February</v>
      </c>
      <c r="N735" s="5">
        <f>YEAR(Store_Record[[#This Row],[Date]])</f>
        <v>2025</v>
      </c>
      <c r="O735"/>
    </row>
    <row r="736" spans="1:15" x14ac:dyDescent="0.35">
      <c r="A736" t="s">
        <v>1278</v>
      </c>
      <c r="B736" s="2">
        <v>45709</v>
      </c>
      <c r="C736" t="s">
        <v>20</v>
      </c>
      <c r="D736" t="s">
        <v>38</v>
      </c>
      <c r="E736" t="s">
        <v>42</v>
      </c>
      <c r="F736" t="s">
        <v>13</v>
      </c>
      <c r="G736">
        <v>3</v>
      </c>
      <c r="H736">
        <v>3.8</v>
      </c>
      <c r="I736" t="s">
        <v>21</v>
      </c>
      <c r="J736" t="s">
        <v>549</v>
      </c>
      <c r="K736" s="12">
        <f>Store_Record[[#This Row],[Qty]]*Store_Record[[#This Row],[UnitPriceGBP]]</f>
        <v>11.399999999999999</v>
      </c>
      <c r="L736" s="5" t="str">
        <f>TEXT(Store_Record[[#This Row],[Date]],"dddd")</f>
        <v>Friday</v>
      </c>
      <c r="M736" s="5" t="str">
        <f>TEXT(Store_Record[[#This Row],[Date]],"mmmm")</f>
        <v>February</v>
      </c>
      <c r="N736" s="5">
        <f>YEAR(Store_Record[[#This Row],[Date]])</f>
        <v>2025</v>
      </c>
      <c r="O736"/>
    </row>
    <row r="737" spans="1:15" x14ac:dyDescent="0.35">
      <c r="A737" t="s">
        <v>1293</v>
      </c>
      <c r="B737" s="2">
        <v>45709</v>
      </c>
      <c r="C737" t="s">
        <v>20</v>
      </c>
      <c r="D737" t="s">
        <v>47</v>
      </c>
      <c r="E737" t="s">
        <v>12</v>
      </c>
      <c r="F737" t="s">
        <v>13</v>
      </c>
      <c r="G737">
        <v>4</v>
      </c>
      <c r="H737">
        <v>2.5</v>
      </c>
      <c r="I737" t="s">
        <v>39</v>
      </c>
      <c r="J737" t="s">
        <v>1294</v>
      </c>
      <c r="K737" s="12">
        <f>Store_Record[[#This Row],[Qty]]*Store_Record[[#This Row],[UnitPriceGBP]]</f>
        <v>10</v>
      </c>
      <c r="L737" s="5" t="str">
        <f>TEXT(Store_Record[[#This Row],[Date]],"dddd")</f>
        <v>Friday</v>
      </c>
      <c r="M737" s="5" t="str">
        <f>TEXT(Store_Record[[#This Row],[Date]],"mmmm")</f>
        <v>February</v>
      </c>
      <c r="N737" s="5">
        <f>YEAR(Store_Record[[#This Row],[Date]])</f>
        <v>2025</v>
      </c>
      <c r="O737"/>
    </row>
    <row r="738" spans="1:15" x14ac:dyDescent="0.35">
      <c r="A738" t="s">
        <v>1289</v>
      </c>
      <c r="B738" s="2">
        <v>45709</v>
      </c>
      <c r="C738" t="s">
        <v>10</v>
      </c>
      <c r="D738" t="s">
        <v>47</v>
      </c>
      <c r="E738" t="s">
        <v>34</v>
      </c>
      <c r="F738" t="s">
        <v>31</v>
      </c>
      <c r="G738">
        <v>4</v>
      </c>
      <c r="H738">
        <v>2.2000000000000002</v>
      </c>
      <c r="I738" t="s">
        <v>39</v>
      </c>
      <c r="J738" t="s">
        <v>1290</v>
      </c>
      <c r="K738" s="12">
        <f>Store_Record[[#This Row],[Qty]]*Store_Record[[#This Row],[UnitPriceGBP]]</f>
        <v>8.8000000000000007</v>
      </c>
      <c r="L738" s="5" t="str">
        <f>TEXT(Store_Record[[#This Row],[Date]],"dddd")</f>
        <v>Friday</v>
      </c>
      <c r="M738" s="5" t="str">
        <f>TEXT(Store_Record[[#This Row],[Date]],"mmmm")</f>
        <v>February</v>
      </c>
      <c r="N738" s="5">
        <f>YEAR(Store_Record[[#This Row],[Date]])</f>
        <v>2025</v>
      </c>
      <c r="O738"/>
    </row>
    <row r="739" spans="1:15" x14ac:dyDescent="0.35">
      <c r="A739" t="s">
        <v>1287</v>
      </c>
      <c r="B739" s="2">
        <v>45709</v>
      </c>
      <c r="C739" t="s">
        <v>36</v>
      </c>
      <c r="D739" t="s">
        <v>29</v>
      </c>
      <c r="E739" t="s">
        <v>30</v>
      </c>
      <c r="F739" t="s">
        <v>31</v>
      </c>
      <c r="G739">
        <v>3</v>
      </c>
      <c r="H739">
        <v>2.8</v>
      </c>
      <c r="I739" t="s">
        <v>14</v>
      </c>
      <c r="J739" t="s">
        <v>1288</v>
      </c>
      <c r="K739" s="12">
        <f>Store_Record[[#This Row],[Qty]]*Store_Record[[#This Row],[UnitPriceGBP]]</f>
        <v>8.3999999999999986</v>
      </c>
      <c r="L739" s="5" t="str">
        <f>TEXT(Store_Record[[#This Row],[Date]],"dddd")</f>
        <v>Friday</v>
      </c>
      <c r="M739" s="5" t="str">
        <f>TEXT(Store_Record[[#This Row],[Date]],"mmmm")</f>
        <v>February</v>
      </c>
      <c r="N739" s="5">
        <f>YEAR(Store_Record[[#This Row],[Date]])</f>
        <v>2025</v>
      </c>
      <c r="O739"/>
    </row>
    <row r="740" spans="1:15" x14ac:dyDescent="0.35">
      <c r="A740" t="s">
        <v>1282</v>
      </c>
      <c r="B740" s="2">
        <v>45709</v>
      </c>
      <c r="C740" t="s">
        <v>24</v>
      </c>
      <c r="D740" t="s">
        <v>29</v>
      </c>
      <c r="E740" t="s">
        <v>26</v>
      </c>
      <c r="F740" t="s">
        <v>13</v>
      </c>
      <c r="G740">
        <v>2</v>
      </c>
      <c r="H740">
        <v>3.5</v>
      </c>
      <c r="I740" t="s">
        <v>39</v>
      </c>
      <c r="J740" t="s">
        <v>1283</v>
      </c>
      <c r="K740" s="12">
        <f>Store_Record[[#This Row],[Qty]]*Store_Record[[#This Row],[UnitPriceGBP]]</f>
        <v>7</v>
      </c>
      <c r="L740" s="5" t="str">
        <f>TEXT(Store_Record[[#This Row],[Date]],"dddd")</f>
        <v>Friday</v>
      </c>
      <c r="M740" s="5" t="str">
        <f>TEXT(Store_Record[[#This Row],[Date]],"mmmm")</f>
        <v>February</v>
      </c>
      <c r="N740" s="5">
        <f>YEAR(Store_Record[[#This Row],[Date]])</f>
        <v>2025</v>
      </c>
      <c r="O740"/>
    </row>
    <row r="741" spans="1:15" x14ac:dyDescent="0.35">
      <c r="A741" t="s">
        <v>1272</v>
      </c>
      <c r="B741" s="2">
        <v>45709</v>
      </c>
      <c r="C741" t="s">
        <v>36</v>
      </c>
      <c r="D741" t="s">
        <v>29</v>
      </c>
      <c r="E741" t="s">
        <v>30</v>
      </c>
      <c r="F741" t="s">
        <v>31</v>
      </c>
      <c r="G741">
        <v>2</v>
      </c>
      <c r="H741">
        <v>2.8</v>
      </c>
      <c r="I741" t="s">
        <v>14</v>
      </c>
      <c r="J741" t="s">
        <v>1273</v>
      </c>
      <c r="K741" s="12">
        <f>Store_Record[[#This Row],[Qty]]*Store_Record[[#This Row],[UnitPriceGBP]]</f>
        <v>5.6</v>
      </c>
      <c r="L741" s="5" t="str">
        <f>TEXT(Store_Record[[#This Row],[Date]],"dddd")</f>
        <v>Friday</v>
      </c>
      <c r="M741" s="5" t="str">
        <f>TEXT(Store_Record[[#This Row],[Date]],"mmmm")</f>
        <v>February</v>
      </c>
      <c r="N741" s="5">
        <f>YEAR(Store_Record[[#This Row],[Date]])</f>
        <v>2025</v>
      </c>
      <c r="O741"/>
    </row>
    <row r="742" spans="1:15" x14ac:dyDescent="0.35">
      <c r="A742" t="s">
        <v>1274</v>
      </c>
      <c r="B742" s="2">
        <v>45709</v>
      </c>
      <c r="C742" t="s">
        <v>10</v>
      </c>
      <c r="D742" t="s">
        <v>47</v>
      </c>
      <c r="E742" t="s">
        <v>30</v>
      </c>
      <c r="F742" t="s">
        <v>31</v>
      </c>
      <c r="G742">
        <v>2</v>
      </c>
      <c r="H742">
        <v>2.8</v>
      </c>
      <c r="I742" t="s">
        <v>21</v>
      </c>
      <c r="J742" t="s">
        <v>1275</v>
      </c>
      <c r="K742" s="12">
        <f>Store_Record[[#This Row],[Qty]]*Store_Record[[#This Row],[UnitPriceGBP]]</f>
        <v>5.6</v>
      </c>
      <c r="L742" s="5" t="str">
        <f>TEXT(Store_Record[[#This Row],[Date]],"dddd")</f>
        <v>Friday</v>
      </c>
      <c r="M742" s="5" t="str">
        <f>TEXT(Store_Record[[#This Row],[Date]],"mmmm")</f>
        <v>February</v>
      </c>
      <c r="N742" s="5">
        <f>YEAR(Store_Record[[#This Row],[Date]])</f>
        <v>2025</v>
      </c>
      <c r="O742"/>
    </row>
    <row r="743" spans="1:15" x14ac:dyDescent="0.35">
      <c r="A743" t="s">
        <v>1277</v>
      </c>
      <c r="B743" s="2">
        <v>45709</v>
      </c>
      <c r="C743" t="s">
        <v>10</v>
      </c>
      <c r="D743" t="s">
        <v>38</v>
      </c>
      <c r="E743" t="s">
        <v>12</v>
      </c>
      <c r="F743" t="s">
        <v>13</v>
      </c>
      <c r="G743">
        <v>2</v>
      </c>
      <c r="H743">
        <v>2.5</v>
      </c>
      <c r="I743" t="s">
        <v>21</v>
      </c>
      <c r="J743" t="s">
        <v>728</v>
      </c>
      <c r="K743" s="12">
        <f>Store_Record[[#This Row],[Qty]]*Store_Record[[#This Row],[UnitPriceGBP]]</f>
        <v>5</v>
      </c>
      <c r="L743" s="5" t="str">
        <f>TEXT(Store_Record[[#This Row],[Date]],"dddd")</f>
        <v>Friday</v>
      </c>
      <c r="M743" s="5" t="str">
        <f>TEXT(Store_Record[[#This Row],[Date]],"mmmm")</f>
        <v>February</v>
      </c>
      <c r="N743" s="5">
        <f>YEAR(Store_Record[[#This Row],[Date]])</f>
        <v>2025</v>
      </c>
      <c r="O743"/>
    </row>
    <row r="744" spans="1:15" x14ac:dyDescent="0.35">
      <c r="A744" t="s">
        <v>1284</v>
      </c>
      <c r="B744" s="2">
        <v>45709</v>
      </c>
      <c r="C744" t="s">
        <v>24</v>
      </c>
      <c r="D744" t="s">
        <v>29</v>
      </c>
      <c r="E744" t="s">
        <v>26</v>
      </c>
      <c r="F744" t="s">
        <v>13</v>
      </c>
      <c r="G744">
        <v>1</v>
      </c>
      <c r="H744">
        <v>3.5</v>
      </c>
      <c r="I744" t="s">
        <v>21</v>
      </c>
      <c r="J744" t="s">
        <v>1285</v>
      </c>
      <c r="K744" s="12">
        <f>Store_Record[[#This Row],[Qty]]*Store_Record[[#This Row],[UnitPriceGBP]]</f>
        <v>3.5</v>
      </c>
      <c r="L744" s="5" t="str">
        <f>TEXT(Store_Record[[#This Row],[Date]],"dddd")</f>
        <v>Friday</v>
      </c>
      <c r="M744" s="5" t="str">
        <f>TEXT(Store_Record[[#This Row],[Date]],"mmmm")</f>
        <v>February</v>
      </c>
      <c r="N744" s="5">
        <f>YEAR(Store_Record[[#This Row],[Date]])</f>
        <v>2025</v>
      </c>
      <c r="O744"/>
    </row>
    <row r="745" spans="1:15" x14ac:dyDescent="0.35">
      <c r="A745" t="s">
        <v>1291</v>
      </c>
      <c r="B745" s="2">
        <v>45709</v>
      </c>
      <c r="C745" t="s">
        <v>24</v>
      </c>
      <c r="D745" t="s">
        <v>25</v>
      </c>
      <c r="E745" t="s">
        <v>26</v>
      </c>
      <c r="F745" t="s">
        <v>13</v>
      </c>
      <c r="G745">
        <v>1</v>
      </c>
      <c r="H745">
        <v>3.5</v>
      </c>
      <c r="I745" t="s">
        <v>14</v>
      </c>
      <c r="J745" t="s">
        <v>1292</v>
      </c>
      <c r="K745" s="12">
        <f>Store_Record[[#This Row],[Qty]]*Store_Record[[#This Row],[UnitPriceGBP]]</f>
        <v>3.5</v>
      </c>
      <c r="L745" s="5" t="str">
        <f>TEXT(Store_Record[[#This Row],[Date]],"dddd")</f>
        <v>Friday</v>
      </c>
      <c r="M745" s="5" t="str">
        <f>TEXT(Store_Record[[#This Row],[Date]],"mmmm")</f>
        <v>February</v>
      </c>
      <c r="N745" s="5">
        <f>YEAR(Store_Record[[#This Row],[Date]])</f>
        <v>2025</v>
      </c>
      <c r="O745"/>
    </row>
    <row r="746" spans="1:15" x14ac:dyDescent="0.35">
      <c r="A746" t="s">
        <v>1286</v>
      </c>
      <c r="B746" s="2">
        <v>45709</v>
      </c>
      <c r="C746" t="s">
        <v>20</v>
      </c>
      <c r="D746" t="s">
        <v>11</v>
      </c>
      <c r="E746" t="s">
        <v>12</v>
      </c>
      <c r="F746" t="s">
        <v>13</v>
      </c>
      <c r="G746">
        <v>1</v>
      </c>
      <c r="H746">
        <v>2.5</v>
      </c>
      <c r="I746" t="s">
        <v>14</v>
      </c>
      <c r="J746" t="s">
        <v>980</v>
      </c>
      <c r="K746" s="12">
        <f>Store_Record[[#This Row],[Qty]]*Store_Record[[#This Row],[UnitPriceGBP]]</f>
        <v>2.5</v>
      </c>
      <c r="L746" s="5" t="str">
        <f>TEXT(Store_Record[[#This Row],[Date]],"dddd")</f>
        <v>Friday</v>
      </c>
      <c r="M746" s="5" t="str">
        <f>TEXT(Store_Record[[#This Row],[Date]],"mmmm")</f>
        <v>February</v>
      </c>
      <c r="N746" s="5">
        <f>YEAR(Store_Record[[#This Row],[Date]])</f>
        <v>2025</v>
      </c>
      <c r="O746"/>
    </row>
    <row r="747" spans="1:15" x14ac:dyDescent="0.35">
      <c r="A747" t="s">
        <v>6003</v>
      </c>
      <c r="B747" s="2">
        <v>45710</v>
      </c>
      <c r="C747" t="s">
        <v>20</v>
      </c>
      <c r="D747" t="s">
        <v>11</v>
      </c>
      <c r="E747" t="s">
        <v>26</v>
      </c>
      <c r="F747" t="s">
        <v>13</v>
      </c>
      <c r="G747">
        <v>5</v>
      </c>
      <c r="H747">
        <v>3.5</v>
      </c>
      <c r="I747" t="s">
        <v>14</v>
      </c>
      <c r="J747" t="s">
        <v>2130</v>
      </c>
      <c r="K747" s="12">
        <f>Store_Record[[#This Row],[Qty]]*Store_Record[[#This Row],[UnitPriceGBP]]</f>
        <v>17.5</v>
      </c>
      <c r="L747" s="5" t="str">
        <f>TEXT(Store_Record[[#This Row],[Date]],"dddd")</f>
        <v>Saturday</v>
      </c>
      <c r="M747" s="5" t="str">
        <f>TEXT(Store_Record[[#This Row],[Date]],"mmmm")</f>
        <v>February</v>
      </c>
      <c r="N747" s="5">
        <f>YEAR(Store_Record[[#This Row],[Date]])</f>
        <v>2025</v>
      </c>
      <c r="O747"/>
    </row>
    <row r="748" spans="1:15" x14ac:dyDescent="0.35">
      <c r="A748" t="s">
        <v>1317</v>
      </c>
      <c r="B748" s="2">
        <v>45710</v>
      </c>
      <c r="C748" t="s">
        <v>10</v>
      </c>
      <c r="D748" t="s">
        <v>38</v>
      </c>
      <c r="E748" t="s">
        <v>42</v>
      </c>
      <c r="F748" t="s">
        <v>13</v>
      </c>
      <c r="G748">
        <v>4</v>
      </c>
      <c r="H748">
        <v>3.8</v>
      </c>
      <c r="I748" t="s">
        <v>39</v>
      </c>
      <c r="J748" t="s">
        <v>963</v>
      </c>
      <c r="K748" s="12">
        <f>Store_Record[[#This Row],[Qty]]*Store_Record[[#This Row],[UnitPriceGBP]]</f>
        <v>15.2</v>
      </c>
      <c r="L748" s="5" t="str">
        <f>TEXT(Store_Record[[#This Row],[Date]],"dddd")</f>
        <v>Saturday</v>
      </c>
      <c r="M748" s="5" t="str">
        <f>TEXT(Store_Record[[#This Row],[Date]],"mmmm")</f>
        <v>February</v>
      </c>
      <c r="N748" s="5">
        <f>YEAR(Store_Record[[#This Row],[Date]])</f>
        <v>2025</v>
      </c>
      <c r="O748"/>
    </row>
    <row r="749" spans="1:15" x14ac:dyDescent="0.35">
      <c r="A749" t="s">
        <v>1308</v>
      </c>
      <c r="B749" s="2">
        <v>45710</v>
      </c>
      <c r="C749" t="s">
        <v>10</v>
      </c>
      <c r="D749" t="s">
        <v>47</v>
      </c>
      <c r="E749" t="s">
        <v>26</v>
      </c>
      <c r="F749" t="s">
        <v>13</v>
      </c>
      <c r="G749">
        <v>4</v>
      </c>
      <c r="H749">
        <v>3.5</v>
      </c>
      <c r="I749" t="s">
        <v>14</v>
      </c>
      <c r="J749" t="s">
        <v>656</v>
      </c>
      <c r="K749" s="12">
        <f>Store_Record[[#This Row],[Qty]]*Store_Record[[#This Row],[UnitPriceGBP]]</f>
        <v>14</v>
      </c>
      <c r="L749" s="5" t="str">
        <f>TEXT(Store_Record[[#This Row],[Date]],"dddd")</f>
        <v>Saturday</v>
      </c>
      <c r="M749" s="5" t="str">
        <f>TEXT(Store_Record[[#This Row],[Date]],"mmmm")</f>
        <v>February</v>
      </c>
      <c r="N749" s="5">
        <f>YEAR(Store_Record[[#This Row],[Date]])</f>
        <v>2025</v>
      </c>
      <c r="O749"/>
    </row>
    <row r="750" spans="1:15" x14ac:dyDescent="0.35">
      <c r="A750" t="s">
        <v>1320</v>
      </c>
      <c r="B750" s="2">
        <v>45710</v>
      </c>
      <c r="C750" t="s">
        <v>10</v>
      </c>
      <c r="D750" t="s">
        <v>11</v>
      </c>
      <c r="E750" t="s">
        <v>30</v>
      </c>
      <c r="F750" t="s">
        <v>31</v>
      </c>
      <c r="G750">
        <v>5</v>
      </c>
      <c r="H750">
        <v>2.8</v>
      </c>
      <c r="I750" t="s">
        <v>14</v>
      </c>
      <c r="J750" t="s">
        <v>1321</v>
      </c>
      <c r="K750" s="12">
        <f>Store_Record[[#This Row],[Qty]]*Store_Record[[#This Row],[UnitPriceGBP]]</f>
        <v>14</v>
      </c>
      <c r="L750" s="5" t="str">
        <f>TEXT(Store_Record[[#This Row],[Date]],"dddd")</f>
        <v>Saturday</v>
      </c>
      <c r="M750" s="5" t="str">
        <f>TEXT(Store_Record[[#This Row],[Date]],"mmmm")</f>
        <v>February</v>
      </c>
      <c r="N750" s="5">
        <f>YEAR(Store_Record[[#This Row],[Date]])</f>
        <v>2025</v>
      </c>
      <c r="O750"/>
    </row>
    <row r="751" spans="1:15" x14ac:dyDescent="0.35">
      <c r="A751" t="s">
        <v>1297</v>
      </c>
      <c r="B751" s="2">
        <v>45710</v>
      </c>
      <c r="C751" t="s">
        <v>20</v>
      </c>
      <c r="D751" t="s">
        <v>38</v>
      </c>
      <c r="E751" t="s">
        <v>42</v>
      </c>
      <c r="F751" t="s">
        <v>13</v>
      </c>
      <c r="G751">
        <v>3</v>
      </c>
      <c r="H751">
        <v>3.8</v>
      </c>
      <c r="I751" t="s">
        <v>14</v>
      </c>
      <c r="J751" t="s">
        <v>830</v>
      </c>
      <c r="K751" s="12">
        <f>Store_Record[[#This Row],[Qty]]*Store_Record[[#This Row],[UnitPriceGBP]]</f>
        <v>11.399999999999999</v>
      </c>
      <c r="L751" s="5" t="str">
        <f>TEXT(Store_Record[[#This Row],[Date]],"dddd")</f>
        <v>Saturday</v>
      </c>
      <c r="M751" s="5" t="str">
        <f>TEXT(Store_Record[[#This Row],[Date]],"mmmm")</f>
        <v>February</v>
      </c>
      <c r="N751" s="5">
        <f>YEAR(Store_Record[[#This Row],[Date]])</f>
        <v>2025</v>
      </c>
      <c r="O751"/>
    </row>
    <row r="752" spans="1:15" x14ac:dyDescent="0.35">
      <c r="A752" t="s">
        <v>1307</v>
      </c>
      <c r="B752" s="2">
        <v>45710</v>
      </c>
      <c r="C752" t="s">
        <v>36</v>
      </c>
      <c r="D752" t="s">
        <v>11</v>
      </c>
      <c r="E752" t="s">
        <v>42</v>
      </c>
      <c r="F752" t="s">
        <v>13</v>
      </c>
      <c r="G752">
        <v>3</v>
      </c>
      <c r="H752">
        <v>3.8</v>
      </c>
      <c r="I752" t="s">
        <v>39</v>
      </c>
      <c r="J752" t="s">
        <v>150</v>
      </c>
      <c r="K752" s="12">
        <f>Store_Record[[#This Row],[Qty]]*Store_Record[[#This Row],[UnitPriceGBP]]</f>
        <v>11.399999999999999</v>
      </c>
      <c r="L752" s="5" t="str">
        <f>TEXT(Store_Record[[#This Row],[Date]],"dddd")</f>
        <v>Saturday</v>
      </c>
      <c r="M752" s="5" t="str">
        <f>TEXT(Store_Record[[#This Row],[Date]],"mmmm")</f>
        <v>February</v>
      </c>
      <c r="N752" s="5">
        <f>YEAR(Store_Record[[#This Row],[Date]])</f>
        <v>2025</v>
      </c>
      <c r="O752"/>
    </row>
    <row r="753" spans="1:15" x14ac:dyDescent="0.35">
      <c r="A753" t="s">
        <v>1318</v>
      </c>
      <c r="B753" s="2">
        <v>45710</v>
      </c>
      <c r="C753" t="s">
        <v>36</v>
      </c>
      <c r="D753" t="s">
        <v>47</v>
      </c>
      <c r="E753" t="s">
        <v>30</v>
      </c>
      <c r="F753" t="s">
        <v>31</v>
      </c>
      <c r="G753">
        <v>4</v>
      </c>
      <c r="H753">
        <v>2.8</v>
      </c>
      <c r="I753" t="s">
        <v>39</v>
      </c>
      <c r="J753" t="s">
        <v>1319</v>
      </c>
      <c r="K753" s="12">
        <f>Store_Record[[#This Row],[Qty]]*Store_Record[[#This Row],[UnitPriceGBP]]</f>
        <v>11.2</v>
      </c>
      <c r="L753" s="5" t="str">
        <f>TEXT(Store_Record[[#This Row],[Date]],"dddd")</f>
        <v>Saturday</v>
      </c>
      <c r="M753" s="5" t="str">
        <f>TEXT(Store_Record[[#This Row],[Date]],"mmmm")</f>
        <v>February</v>
      </c>
      <c r="N753" s="5">
        <f>YEAR(Store_Record[[#This Row],[Date]])</f>
        <v>2025</v>
      </c>
      <c r="O753"/>
    </row>
    <row r="754" spans="1:15" x14ac:dyDescent="0.35">
      <c r="A754" t="s">
        <v>1322</v>
      </c>
      <c r="B754" s="2">
        <v>45710</v>
      </c>
      <c r="C754" t="s">
        <v>10</v>
      </c>
      <c r="D754" t="s">
        <v>38</v>
      </c>
      <c r="E754" t="s">
        <v>34</v>
      </c>
      <c r="F754" t="s">
        <v>31</v>
      </c>
      <c r="G754">
        <v>5</v>
      </c>
      <c r="H754">
        <v>2.2000000000000002</v>
      </c>
      <c r="I754" t="s">
        <v>21</v>
      </c>
      <c r="J754" t="s">
        <v>1323</v>
      </c>
      <c r="K754" s="12">
        <f>Store_Record[[#This Row],[Qty]]*Store_Record[[#This Row],[UnitPriceGBP]]</f>
        <v>11</v>
      </c>
      <c r="L754" s="5" t="str">
        <f>TEXT(Store_Record[[#This Row],[Date]],"dddd")</f>
        <v>Saturday</v>
      </c>
      <c r="M754" s="5" t="str">
        <f>TEXT(Store_Record[[#This Row],[Date]],"mmmm")</f>
        <v>February</v>
      </c>
      <c r="N754" s="5">
        <f>YEAR(Store_Record[[#This Row],[Date]])</f>
        <v>2025</v>
      </c>
      <c r="O754"/>
    </row>
    <row r="755" spans="1:15" x14ac:dyDescent="0.35">
      <c r="A755" t="s">
        <v>1315</v>
      </c>
      <c r="B755" s="2">
        <v>45710</v>
      </c>
      <c r="C755" t="s">
        <v>20</v>
      </c>
      <c r="D755" t="s">
        <v>38</v>
      </c>
      <c r="E755" t="s">
        <v>26</v>
      </c>
      <c r="F755" t="s">
        <v>13</v>
      </c>
      <c r="G755">
        <v>3</v>
      </c>
      <c r="H755">
        <v>3.5</v>
      </c>
      <c r="I755" t="s">
        <v>39</v>
      </c>
      <c r="J755" t="s">
        <v>1316</v>
      </c>
      <c r="K755" s="12">
        <f>Store_Record[[#This Row],[Qty]]*Store_Record[[#This Row],[UnitPriceGBP]]</f>
        <v>10.5</v>
      </c>
      <c r="L755" s="5" t="str">
        <f>TEXT(Store_Record[[#This Row],[Date]],"dddd")</f>
        <v>Saturday</v>
      </c>
      <c r="M755" s="5" t="str">
        <f>TEXT(Store_Record[[#This Row],[Date]],"mmmm")</f>
        <v>February</v>
      </c>
      <c r="N755" s="5">
        <f>YEAR(Store_Record[[#This Row],[Date]])</f>
        <v>2025</v>
      </c>
      <c r="O755"/>
    </row>
    <row r="756" spans="1:15" x14ac:dyDescent="0.35">
      <c r="A756" t="s">
        <v>1296</v>
      </c>
      <c r="B756" s="2">
        <v>45710</v>
      </c>
      <c r="C756" t="s">
        <v>20</v>
      </c>
      <c r="D756" t="s">
        <v>47</v>
      </c>
      <c r="E756" t="s">
        <v>34</v>
      </c>
      <c r="F756" t="s">
        <v>31</v>
      </c>
      <c r="G756">
        <v>4</v>
      </c>
      <c r="H756">
        <v>2.2000000000000002</v>
      </c>
      <c r="I756" t="s">
        <v>39</v>
      </c>
      <c r="J756" t="s">
        <v>27</v>
      </c>
      <c r="K756" s="12">
        <f>Store_Record[[#This Row],[Qty]]*Store_Record[[#This Row],[UnitPriceGBP]]</f>
        <v>8.8000000000000007</v>
      </c>
      <c r="L756" s="5" t="str">
        <f>TEXT(Store_Record[[#This Row],[Date]],"dddd")</f>
        <v>Saturday</v>
      </c>
      <c r="M756" s="5" t="str">
        <f>TEXT(Store_Record[[#This Row],[Date]],"mmmm")</f>
        <v>February</v>
      </c>
      <c r="N756" s="5">
        <f>YEAR(Store_Record[[#This Row],[Date]])</f>
        <v>2025</v>
      </c>
      <c r="O756"/>
    </row>
    <row r="757" spans="1:15" x14ac:dyDescent="0.35">
      <c r="A757" t="s">
        <v>1303</v>
      </c>
      <c r="B757" s="2">
        <v>45710</v>
      </c>
      <c r="C757" t="s">
        <v>36</v>
      </c>
      <c r="D757" t="s">
        <v>25</v>
      </c>
      <c r="E757" t="s">
        <v>34</v>
      </c>
      <c r="F757" t="s">
        <v>31</v>
      </c>
      <c r="G757">
        <v>4</v>
      </c>
      <c r="H757">
        <v>2.2000000000000002</v>
      </c>
      <c r="I757" t="s">
        <v>14</v>
      </c>
      <c r="J757" t="s">
        <v>708</v>
      </c>
      <c r="K757" s="12">
        <f>Store_Record[[#This Row],[Qty]]*Store_Record[[#This Row],[UnitPriceGBP]]</f>
        <v>8.8000000000000007</v>
      </c>
      <c r="L757" s="5" t="str">
        <f>TEXT(Store_Record[[#This Row],[Date]],"dddd")</f>
        <v>Saturday</v>
      </c>
      <c r="M757" s="5" t="str">
        <f>TEXT(Store_Record[[#This Row],[Date]],"mmmm")</f>
        <v>February</v>
      </c>
      <c r="N757" s="5">
        <f>YEAR(Store_Record[[#This Row],[Date]])</f>
        <v>2025</v>
      </c>
      <c r="O757"/>
    </row>
    <row r="758" spans="1:15" x14ac:dyDescent="0.35">
      <c r="A758" t="s">
        <v>1306</v>
      </c>
      <c r="B758" s="2">
        <v>45710</v>
      </c>
      <c r="C758" t="s">
        <v>36</v>
      </c>
      <c r="D758" t="s">
        <v>47</v>
      </c>
      <c r="E758" t="s">
        <v>34</v>
      </c>
      <c r="F758" t="s">
        <v>31</v>
      </c>
      <c r="G758">
        <v>4</v>
      </c>
      <c r="H758">
        <v>2.2000000000000002</v>
      </c>
      <c r="I758" t="s">
        <v>21</v>
      </c>
      <c r="J758" t="s">
        <v>890</v>
      </c>
      <c r="K758" s="12">
        <f>Store_Record[[#This Row],[Qty]]*Store_Record[[#This Row],[UnitPriceGBP]]</f>
        <v>8.8000000000000007</v>
      </c>
      <c r="L758" s="5" t="str">
        <f>TEXT(Store_Record[[#This Row],[Date]],"dddd")</f>
        <v>Saturday</v>
      </c>
      <c r="M758" s="5" t="str">
        <f>TEXT(Store_Record[[#This Row],[Date]],"mmmm")</f>
        <v>February</v>
      </c>
      <c r="N758" s="5">
        <f>YEAR(Store_Record[[#This Row],[Date]])</f>
        <v>2025</v>
      </c>
      <c r="O758"/>
    </row>
    <row r="759" spans="1:15" x14ac:dyDescent="0.35">
      <c r="A759" t="s">
        <v>1295</v>
      </c>
      <c r="B759" s="2">
        <v>45710</v>
      </c>
      <c r="C759" t="s">
        <v>20</v>
      </c>
      <c r="D759" t="s">
        <v>38</v>
      </c>
      <c r="E759" t="s">
        <v>42</v>
      </c>
      <c r="F759" t="s">
        <v>13</v>
      </c>
      <c r="G759">
        <v>2</v>
      </c>
      <c r="H759">
        <v>3.8</v>
      </c>
      <c r="I759" t="s">
        <v>39</v>
      </c>
      <c r="J759" t="s">
        <v>220</v>
      </c>
      <c r="K759" s="12">
        <f>Store_Record[[#This Row],[Qty]]*Store_Record[[#This Row],[UnitPriceGBP]]</f>
        <v>7.6</v>
      </c>
      <c r="L759" s="5" t="str">
        <f>TEXT(Store_Record[[#This Row],[Date]],"dddd")</f>
        <v>Saturday</v>
      </c>
      <c r="M759" s="5" t="str">
        <f>TEXT(Store_Record[[#This Row],[Date]],"mmmm")</f>
        <v>February</v>
      </c>
      <c r="N759" s="5">
        <f>YEAR(Store_Record[[#This Row],[Date]])</f>
        <v>2025</v>
      </c>
      <c r="O759"/>
    </row>
    <row r="760" spans="1:15" x14ac:dyDescent="0.35">
      <c r="A760" t="s">
        <v>1299</v>
      </c>
      <c r="B760" s="2">
        <v>45710</v>
      </c>
      <c r="C760" t="s">
        <v>20</v>
      </c>
      <c r="D760" t="s">
        <v>29</v>
      </c>
      <c r="E760" t="s">
        <v>42</v>
      </c>
      <c r="F760" t="s">
        <v>13</v>
      </c>
      <c r="G760">
        <v>2</v>
      </c>
      <c r="H760">
        <v>3.8</v>
      </c>
      <c r="I760" t="s">
        <v>21</v>
      </c>
      <c r="J760" t="s">
        <v>1300</v>
      </c>
      <c r="K760" s="12">
        <f>Store_Record[[#This Row],[Qty]]*Store_Record[[#This Row],[UnitPriceGBP]]</f>
        <v>7.6</v>
      </c>
      <c r="L760" s="5" t="str">
        <f>TEXT(Store_Record[[#This Row],[Date]],"dddd")</f>
        <v>Saturday</v>
      </c>
      <c r="M760" s="5" t="str">
        <f>TEXT(Store_Record[[#This Row],[Date]],"mmmm")</f>
        <v>February</v>
      </c>
      <c r="N760" s="5">
        <f>YEAR(Store_Record[[#This Row],[Date]])</f>
        <v>2025</v>
      </c>
      <c r="O760"/>
    </row>
    <row r="761" spans="1:15" x14ac:dyDescent="0.35">
      <c r="A761" t="s">
        <v>1301</v>
      </c>
      <c r="B761" s="2">
        <v>45710</v>
      </c>
      <c r="C761" t="s">
        <v>36</v>
      </c>
      <c r="D761" t="s">
        <v>25</v>
      </c>
      <c r="E761" t="s">
        <v>42</v>
      </c>
      <c r="F761" t="s">
        <v>13</v>
      </c>
      <c r="G761">
        <v>2</v>
      </c>
      <c r="H761">
        <v>3.8</v>
      </c>
      <c r="I761" t="s">
        <v>39</v>
      </c>
      <c r="J761" t="s">
        <v>1302</v>
      </c>
      <c r="K761" s="12">
        <f>Store_Record[[#This Row],[Qty]]*Store_Record[[#This Row],[UnitPriceGBP]]</f>
        <v>7.6</v>
      </c>
      <c r="L761" s="5" t="str">
        <f>TEXT(Store_Record[[#This Row],[Date]],"dddd")</f>
        <v>Saturday</v>
      </c>
      <c r="M761" s="5" t="str">
        <f>TEXT(Store_Record[[#This Row],[Date]],"mmmm")</f>
        <v>February</v>
      </c>
      <c r="N761" s="5">
        <f>YEAR(Store_Record[[#This Row],[Date]])</f>
        <v>2025</v>
      </c>
      <c r="O761"/>
    </row>
    <row r="762" spans="1:15" x14ac:dyDescent="0.35">
      <c r="A762" t="s">
        <v>1304</v>
      </c>
      <c r="B762" s="2">
        <v>45710</v>
      </c>
      <c r="C762" t="s">
        <v>20</v>
      </c>
      <c r="D762" t="s">
        <v>25</v>
      </c>
      <c r="E762" t="s">
        <v>12</v>
      </c>
      <c r="F762" t="s">
        <v>13</v>
      </c>
      <c r="G762">
        <v>3</v>
      </c>
      <c r="H762">
        <v>2.5</v>
      </c>
      <c r="I762" t="s">
        <v>21</v>
      </c>
      <c r="J762" t="s">
        <v>1305</v>
      </c>
      <c r="K762" s="12">
        <f>Store_Record[[#This Row],[Qty]]*Store_Record[[#This Row],[UnitPriceGBP]]</f>
        <v>7.5</v>
      </c>
      <c r="L762" s="5" t="str">
        <f>TEXT(Store_Record[[#This Row],[Date]],"dddd")</f>
        <v>Saturday</v>
      </c>
      <c r="M762" s="5" t="str">
        <f>TEXT(Store_Record[[#This Row],[Date]],"mmmm")</f>
        <v>February</v>
      </c>
      <c r="N762" s="5">
        <f>YEAR(Store_Record[[#This Row],[Date]])</f>
        <v>2025</v>
      </c>
      <c r="O762"/>
    </row>
    <row r="763" spans="1:15" x14ac:dyDescent="0.35">
      <c r="A763" t="s">
        <v>1311</v>
      </c>
      <c r="B763" s="2">
        <v>45710</v>
      </c>
      <c r="C763" t="s">
        <v>20</v>
      </c>
      <c r="D763" t="s">
        <v>38</v>
      </c>
      <c r="E763" t="s">
        <v>26</v>
      </c>
      <c r="F763" t="s">
        <v>13</v>
      </c>
      <c r="G763">
        <v>2</v>
      </c>
      <c r="H763">
        <v>3.5</v>
      </c>
      <c r="I763" t="s">
        <v>14</v>
      </c>
      <c r="J763" t="s">
        <v>1312</v>
      </c>
      <c r="K763" s="12">
        <f>Store_Record[[#This Row],[Qty]]*Store_Record[[#This Row],[UnitPriceGBP]]</f>
        <v>7</v>
      </c>
      <c r="L763" s="5" t="str">
        <f>TEXT(Store_Record[[#This Row],[Date]],"dddd")</f>
        <v>Saturday</v>
      </c>
      <c r="M763" s="5" t="str">
        <f>TEXT(Store_Record[[#This Row],[Date]],"mmmm")</f>
        <v>February</v>
      </c>
      <c r="N763" s="5">
        <f>YEAR(Store_Record[[#This Row],[Date]])</f>
        <v>2025</v>
      </c>
      <c r="O763"/>
    </row>
    <row r="764" spans="1:15" x14ac:dyDescent="0.35">
      <c r="A764" t="s">
        <v>1324</v>
      </c>
      <c r="B764" s="2">
        <v>45710</v>
      </c>
      <c r="C764" t="s">
        <v>20</v>
      </c>
      <c r="D764" t="s">
        <v>29</v>
      </c>
      <c r="E764" t="s">
        <v>34</v>
      </c>
      <c r="F764" t="s">
        <v>31</v>
      </c>
      <c r="G764">
        <v>3</v>
      </c>
      <c r="H764">
        <v>2.2000000000000002</v>
      </c>
      <c r="I764" t="s">
        <v>39</v>
      </c>
      <c r="J764" t="s">
        <v>1173</v>
      </c>
      <c r="K764" s="12">
        <f>Store_Record[[#This Row],[Qty]]*Store_Record[[#This Row],[UnitPriceGBP]]</f>
        <v>6.6000000000000005</v>
      </c>
      <c r="L764" s="5" t="str">
        <f>TEXT(Store_Record[[#This Row],[Date]],"dddd")</f>
        <v>Saturday</v>
      </c>
      <c r="M764" s="5" t="str">
        <f>TEXT(Store_Record[[#This Row],[Date]],"mmmm")</f>
        <v>February</v>
      </c>
      <c r="N764" s="5">
        <f>YEAR(Store_Record[[#This Row],[Date]])</f>
        <v>2025</v>
      </c>
      <c r="O764"/>
    </row>
    <row r="765" spans="1:15" x14ac:dyDescent="0.35">
      <c r="A765" t="s">
        <v>1298</v>
      </c>
      <c r="B765" s="2">
        <v>45710</v>
      </c>
      <c r="C765" t="s">
        <v>20</v>
      </c>
      <c r="D765" t="s">
        <v>38</v>
      </c>
      <c r="E765" t="s">
        <v>12</v>
      </c>
      <c r="F765" t="s">
        <v>13</v>
      </c>
      <c r="G765">
        <v>2</v>
      </c>
      <c r="H765">
        <v>2.5</v>
      </c>
      <c r="I765" t="s">
        <v>39</v>
      </c>
      <c r="J765" t="s">
        <v>604</v>
      </c>
      <c r="K765" s="12">
        <f>Store_Record[[#This Row],[Qty]]*Store_Record[[#This Row],[UnitPriceGBP]]</f>
        <v>5</v>
      </c>
      <c r="L765" s="5" t="str">
        <f>TEXT(Store_Record[[#This Row],[Date]],"dddd")</f>
        <v>Saturday</v>
      </c>
      <c r="M765" s="5" t="str">
        <f>TEXT(Store_Record[[#This Row],[Date]],"mmmm")</f>
        <v>February</v>
      </c>
      <c r="N765" s="5">
        <f>YEAR(Store_Record[[#This Row],[Date]])</f>
        <v>2025</v>
      </c>
      <c r="O765"/>
    </row>
    <row r="766" spans="1:15" x14ac:dyDescent="0.35">
      <c r="A766" t="s">
        <v>1313</v>
      </c>
      <c r="B766" s="2">
        <v>45710</v>
      </c>
      <c r="C766" t="s">
        <v>24</v>
      </c>
      <c r="D766" t="s">
        <v>47</v>
      </c>
      <c r="E766" t="s">
        <v>26</v>
      </c>
      <c r="F766" t="s">
        <v>13</v>
      </c>
      <c r="G766">
        <v>1</v>
      </c>
      <c r="H766">
        <v>3.5</v>
      </c>
      <c r="I766" t="s">
        <v>21</v>
      </c>
      <c r="J766" t="s">
        <v>1314</v>
      </c>
      <c r="K766" s="12">
        <f>Store_Record[[#This Row],[Qty]]*Store_Record[[#This Row],[UnitPriceGBP]]</f>
        <v>3.5</v>
      </c>
      <c r="L766" s="5" t="str">
        <f>TEXT(Store_Record[[#This Row],[Date]],"dddd")</f>
        <v>Saturday</v>
      </c>
      <c r="M766" s="5" t="str">
        <f>TEXT(Store_Record[[#This Row],[Date]],"mmmm")</f>
        <v>February</v>
      </c>
      <c r="N766" s="5">
        <f>YEAR(Store_Record[[#This Row],[Date]])</f>
        <v>2025</v>
      </c>
      <c r="O766"/>
    </row>
    <row r="767" spans="1:15" x14ac:dyDescent="0.35">
      <c r="A767" t="s">
        <v>1309</v>
      </c>
      <c r="B767" s="2">
        <v>45710</v>
      </c>
      <c r="C767" t="s">
        <v>36</v>
      </c>
      <c r="D767" t="s">
        <v>29</v>
      </c>
      <c r="E767" t="s">
        <v>30</v>
      </c>
      <c r="F767" t="s">
        <v>31</v>
      </c>
      <c r="G767">
        <v>1</v>
      </c>
      <c r="H767">
        <v>2.8</v>
      </c>
      <c r="I767" t="s">
        <v>39</v>
      </c>
      <c r="J767" t="s">
        <v>1310</v>
      </c>
      <c r="K767" s="12">
        <f>Store_Record[[#This Row],[Qty]]*Store_Record[[#This Row],[UnitPriceGBP]]</f>
        <v>2.8</v>
      </c>
      <c r="L767" s="5" t="str">
        <f>TEXT(Store_Record[[#This Row],[Date]],"dddd")</f>
        <v>Saturday</v>
      </c>
      <c r="M767" s="5" t="str">
        <f>TEXT(Store_Record[[#This Row],[Date]],"mmmm")</f>
        <v>February</v>
      </c>
      <c r="N767" s="5">
        <f>YEAR(Store_Record[[#This Row],[Date]])</f>
        <v>2025</v>
      </c>
      <c r="O767"/>
    </row>
    <row r="768" spans="1:15" x14ac:dyDescent="0.35">
      <c r="A768" t="s">
        <v>1326</v>
      </c>
      <c r="B768" s="2">
        <v>45711</v>
      </c>
      <c r="C768" t="s">
        <v>10</v>
      </c>
      <c r="D768" t="s">
        <v>11</v>
      </c>
      <c r="E768" t="s">
        <v>42</v>
      </c>
      <c r="F768" t="s">
        <v>13</v>
      </c>
      <c r="G768">
        <v>5</v>
      </c>
      <c r="H768">
        <v>3.8</v>
      </c>
      <c r="I768" t="s">
        <v>21</v>
      </c>
      <c r="J768" t="s">
        <v>1327</v>
      </c>
      <c r="K768" s="12">
        <f>Store_Record[[#This Row],[Qty]]*Store_Record[[#This Row],[UnitPriceGBP]]</f>
        <v>19</v>
      </c>
      <c r="L768" s="5" t="str">
        <f>TEXT(Store_Record[[#This Row],[Date]],"dddd")</f>
        <v>Sunday</v>
      </c>
      <c r="M768" s="5" t="str">
        <f>TEXT(Store_Record[[#This Row],[Date]],"mmmm")</f>
        <v>February</v>
      </c>
      <c r="N768" s="5">
        <f>YEAR(Store_Record[[#This Row],[Date]])</f>
        <v>2025</v>
      </c>
      <c r="O768"/>
    </row>
    <row r="769" spans="1:15" x14ac:dyDescent="0.35">
      <c r="A769" t="s">
        <v>1328</v>
      </c>
      <c r="B769" s="2">
        <v>45711</v>
      </c>
      <c r="C769" t="s">
        <v>10</v>
      </c>
      <c r="D769" t="s">
        <v>11</v>
      </c>
      <c r="E769" t="s">
        <v>26</v>
      </c>
      <c r="F769" t="s">
        <v>13</v>
      </c>
      <c r="G769">
        <v>5</v>
      </c>
      <c r="H769">
        <v>3.5</v>
      </c>
      <c r="I769" t="s">
        <v>14</v>
      </c>
      <c r="J769" t="s">
        <v>1329</v>
      </c>
      <c r="K769" s="12">
        <f>Store_Record[[#This Row],[Qty]]*Store_Record[[#This Row],[UnitPriceGBP]]</f>
        <v>17.5</v>
      </c>
      <c r="L769" s="5" t="str">
        <f>TEXT(Store_Record[[#This Row],[Date]],"dddd")</f>
        <v>Sunday</v>
      </c>
      <c r="M769" s="5" t="str">
        <f>TEXT(Store_Record[[#This Row],[Date]],"mmmm")</f>
        <v>February</v>
      </c>
      <c r="N769" s="5">
        <f>YEAR(Store_Record[[#This Row],[Date]])</f>
        <v>2025</v>
      </c>
      <c r="O769"/>
    </row>
    <row r="770" spans="1:15" x14ac:dyDescent="0.35">
      <c r="A770" t="s">
        <v>1330</v>
      </c>
      <c r="B770" s="2">
        <v>45711</v>
      </c>
      <c r="C770" t="s">
        <v>24</v>
      </c>
      <c r="D770" t="s">
        <v>152</v>
      </c>
      <c r="E770" t="s">
        <v>42</v>
      </c>
      <c r="F770" t="s">
        <v>13</v>
      </c>
      <c r="G770">
        <v>4</v>
      </c>
      <c r="H770">
        <v>3.8</v>
      </c>
      <c r="I770" t="s">
        <v>14</v>
      </c>
      <c r="J770" t="s">
        <v>806</v>
      </c>
      <c r="K770" s="12">
        <f>Store_Record[[#This Row],[Qty]]*Store_Record[[#This Row],[UnitPriceGBP]]</f>
        <v>15.2</v>
      </c>
      <c r="L770" s="5" t="str">
        <f>TEXT(Store_Record[[#This Row],[Date]],"dddd")</f>
        <v>Sunday</v>
      </c>
      <c r="M770" s="5" t="str">
        <f>TEXT(Store_Record[[#This Row],[Date]],"mmmm")</f>
        <v>February</v>
      </c>
      <c r="N770" s="5">
        <f>YEAR(Store_Record[[#This Row],[Date]])</f>
        <v>2025</v>
      </c>
      <c r="O770"/>
    </row>
    <row r="771" spans="1:15" x14ac:dyDescent="0.35">
      <c r="A771" t="s">
        <v>1336</v>
      </c>
      <c r="B771" s="2">
        <v>45711</v>
      </c>
      <c r="C771" t="s">
        <v>20</v>
      </c>
      <c r="D771" t="s">
        <v>11</v>
      </c>
      <c r="E771" t="s">
        <v>42</v>
      </c>
      <c r="F771" t="s">
        <v>13</v>
      </c>
      <c r="G771">
        <v>4</v>
      </c>
      <c r="H771">
        <v>3.8</v>
      </c>
      <c r="I771" t="s">
        <v>39</v>
      </c>
      <c r="J771" t="s">
        <v>734</v>
      </c>
      <c r="K771" s="12">
        <f>Store_Record[[#This Row],[Qty]]*Store_Record[[#This Row],[UnitPriceGBP]]</f>
        <v>15.2</v>
      </c>
      <c r="L771" s="5" t="str">
        <f>TEXT(Store_Record[[#This Row],[Date]],"dddd")</f>
        <v>Sunday</v>
      </c>
      <c r="M771" s="5" t="str">
        <f>TEXT(Store_Record[[#This Row],[Date]],"mmmm")</f>
        <v>February</v>
      </c>
      <c r="N771" s="5">
        <f>YEAR(Store_Record[[#This Row],[Date]])</f>
        <v>2025</v>
      </c>
      <c r="O771"/>
    </row>
    <row r="772" spans="1:15" x14ac:dyDescent="0.35">
      <c r="A772" t="s">
        <v>6006</v>
      </c>
      <c r="B772" s="2">
        <v>45711</v>
      </c>
      <c r="C772" t="s">
        <v>24</v>
      </c>
      <c r="D772" t="s">
        <v>25</v>
      </c>
      <c r="E772" t="s">
        <v>42</v>
      </c>
      <c r="F772" t="s">
        <v>13</v>
      </c>
      <c r="G772">
        <v>4</v>
      </c>
      <c r="H772">
        <v>3.8</v>
      </c>
      <c r="I772" t="s">
        <v>14</v>
      </c>
      <c r="J772" t="s">
        <v>2337</v>
      </c>
      <c r="K772" s="12">
        <f>Store_Record[[#This Row],[Qty]]*Store_Record[[#This Row],[UnitPriceGBP]]</f>
        <v>15.2</v>
      </c>
      <c r="L772" s="5" t="str">
        <f>TEXT(Store_Record[[#This Row],[Date]],"dddd")</f>
        <v>Sunday</v>
      </c>
      <c r="M772" s="5" t="str">
        <f>TEXT(Store_Record[[#This Row],[Date]],"mmmm")</f>
        <v>February</v>
      </c>
      <c r="N772" s="5">
        <f>YEAR(Store_Record[[#This Row],[Date]])</f>
        <v>2025</v>
      </c>
      <c r="O772"/>
    </row>
    <row r="773" spans="1:15" x14ac:dyDescent="0.35">
      <c r="A773" t="s">
        <v>1335</v>
      </c>
      <c r="B773" s="2">
        <v>45711</v>
      </c>
      <c r="C773" t="s">
        <v>20</v>
      </c>
      <c r="D773" t="s">
        <v>29</v>
      </c>
      <c r="E773" t="s">
        <v>30</v>
      </c>
      <c r="F773" t="s">
        <v>31</v>
      </c>
      <c r="G773">
        <v>5</v>
      </c>
      <c r="H773">
        <v>2.8</v>
      </c>
      <c r="I773" t="s">
        <v>21</v>
      </c>
      <c r="J773" t="s">
        <v>1168</v>
      </c>
      <c r="K773" s="12">
        <f>Store_Record[[#This Row],[Qty]]*Store_Record[[#This Row],[UnitPriceGBP]]</f>
        <v>14</v>
      </c>
      <c r="L773" s="5" t="str">
        <f>TEXT(Store_Record[[#This Row],[Date]],"dddd")</f>
        <v>Sunday</v>
      </c>
      <c r="M773" s="5" t="str">
        <f>TEXT(Store_Record[[#This Row],[Date]],"mmmm")</f>
        <v>February</v>
      </c>
      <c r="N773" s="5">
        <f>YEAR(Store_Record[[#This Row],[Date]])</f>
        <v>2025</v>
      </c>
      <c r="O773"/>
    </row>
    <row r="774" spans="1:15" x14ac:dyDescent="0.35">
      <c r="A774" t="s">
        <v>1337</v>
      </c>
      <c r="B774" s="2">
        <v>45711</v>
      </c>
      <c r="C774" t="s">
        <v>10</v>
      </c>
      <c r="D774" t="s">
        <v>47</v>
      </c>
      <c r="E774" t="s">
        <v>34</v>
      </c>
      <c r="F774" t="s">
        <v>31</v>
      </c>
      <c r="G774">
        <v>5</v>
      </c>
      <c r="H774">
        <v>2.2000000000000002</v>
      </c>
      <c r="I774" t="s">
        <v>39</v>
      </c>
      <c r="J774" t="s">
        <v>1338</v>
      </c>
      <c r="K774" s="12">
        <f>Store_Record[[#This Row],[Qty]]*Store_Record[[#This Row],[UnitPriceGBP]]</f>
        <v>11</v>
      </c>
      <c r="L774" s="5" t="str">
        <f>TEXT(Store_Record[[#This Row],[Date]],"dddd")</f>
        <v>Sunday</v>
      </c>
      <c r="M774" s="5" t="str">
        <f>TEXT(Store_Record[[#This Row],[Date]],"mmmm")</f>
        <v>February</v>
      </c>
      <c r="N774" s="5">
        <f>YEAR(Store_Record[[#This Row],[Date]])</f>
        <v>2025</v>
      </c>
      <c r="O774"/>
    </row>
    <row r="775" spans="1:15" x14ac:dyDescent="0.35">
      <c r="A775" t="s">
        <v>1325</v>
      </c>
      <c r="B775" s="2">
        <v>45711</v>
      </c>
      <c r="C775" t="s">
        <v>10</v>
      </c>
      <c r="D775" t="s">
        <v>38</v>
      </c>
      <c r="E775" t="s">
        <v>12</v>
      </c>
      <c r="F775" t="s">
        <v>13</v>
      </c>
      <c r="G775">
        <v>1</v>
      </c>
      <c r="H775">
        <v>2.5</v>
      </c>
      <c r="I775" t="s">
        <v>21</v>
      </c>
      <c r="J775" t="s">
        <v>931</v>
      </c>
      <c r="K775" s="12">
        <f>Store_Record[[#This Row],[Qty]]*Store_Record[[#This Row],[UnitPriceGBP]]</f>
        <v>2.5</v>
      </c>
      <c r="L775" s="5" t="str">
        <f>TEXT(Store_Record[[#This Row],[Date]],"dddd")</f>
        <v>Sunday</v>
      </c>
      <c r="M775" s="5" t="str">
        <f>TEXT(Store_Record[[#This Row],[Date]],"mmmm")</f>
        <v>February</v>
      </c>
      <c r="N775" s="5">
        <f>YEAR(Store_Record[[#This Row],[Date]])</f>
        <v>2025</v>
      </c>
      <c r="O775"/>
    </row>
    <row r="776" spans="1:15" x14ac:dyDescent="0.35">
      <c r="A776" t="s">
        <v>1331</v>
      </c>
      <c r="B776" s="2">
        <v>45711</v>
      </c>
      <c r="C776" t="s">
        <v>24</v>
      </c>
      <c r="D776" t="s">
        <v>38</v>
      </c>
      <c r="E776" t="s">
        <v>12</v>
      </c>
      <c r="F776" t="s">
        <v>13</v>
      </c>
      <c r="G776">
        <v>1</v>
      </c>
      <c r="H776">
        <v>2.5</v>
      </c>
      <c r="I776" t="s">
        <v>39</v>
      </c>
      <c r="J776" t="s">
        <v>1332</v>
      </c>
      <c r="K776" s="12">
        <f>Store_Record[[#This Row],[Qty]]*Store_Record[[#This Row],[UnitPriceGBP]]</f>
        <v>2.5</v>
      </c>
      <c r="L776" s="5" t="str">
        <f>TEXT(Store_Record[[#This Row],[Date]],"dddd")</f>
        <v>Sunday</v>
      </c>
      <c r="M776" s="5" t="str">
        <f>TEXT(Store_Record[[#This Row],[Date]],"mmmm")</f>
        <v>February</v>
      </c>
      <c r="N776" s="5">
        <f>YEAR(Store_Record[[#This Row],[Date]])</f>
        <v>2025</v>
      </c>
      <c r="O776"/>
    </row>
    <row r="777" spans="1:15" x14ac:dyDescent="0.35">
      <c r="A777" t="s">
        <v>1333</v>
      </c>
      <c r="B777" s="2">
        <v>45711</v>
      </c>
      <c r="C777" t="s">
        <v>10</v>
      </c>
      <c r="D777" t="s">
        <v>38</v>
      </c>
      <c r="E777" t="s">
        <v>34</v>
      </c>
      <c r="F777" t="s">
        <v>31</v>
      </c>
      <c r="G777">
        <v>1</v>
      </c>
      <c r="H777">
        <v>2.2000000000000002</v>
      </c>
      <c r="I777" t="s">
        <v>39</v>
      </c>
      <c r="J777" t="s">
        <v>1334</v>
      </c>
      <c r="K777" s="12">
        <f>Store_Record[[#This Row],[Qty]]*Store_Record[[#This Row],[UnitPriceGBP]]</f>
        <v>2.2000000000000002</v>
      </c>
      <c r="L777" s="5" t="str">
        <f>TEXT(Store_Record[[#This Row],[Date]],"dddd")</f>
        <v>Sunday</v>
      </c>
      <c r="M777" s="5" t="str">
        <f>TEXT(Store_Record[[#This Row],[Date]],"mmmm")</f>
        <v>February</v>
      </c>
      <c r="N777" s="5">
        <f>YEAR(Store_Record[[#This Row],[Date]])</f>
        <v>2025</v>
      </c>
      <c r="O777"/>
    </row>
    <row r="778" spans="1:15" x14ac:dyDescent="0.35">
      <c r="A778" t="s">
        <v>1343</v>
      </c>
      <c r="B778" s="2">
        <v>45712</v>
      </c>
      <c r="C778" t="s">
        <v>24</v>
      </c>
      <c r="D778" t="s">
        <v>25</v>
      </c>
      <c r="E778" t="s">
        <v>42</v>
      </c>
      <c r="F778" t="s">
        <v>13</v>
      </c>
      <c r="G778">
        <v>5</v>
      </c>
      <c r="H778">
        <v>3.8</v>
      </c>
      <c r="I778" t="s">
        <v>39</v>
      </c>
      <c r="J778" t="s">
        <v>452</v>
      </c>
      <c r="K778" s="12">
        <f>Store_Record[[#This Row],[Qty]]*Store_Record[[#This Row],[UnitPriceGBP]]</f>
        <v>19</v>
      </c>
      <c r="L778" s="5" t="str">
        <f>TEXT(Store_Record[[#This Row],[Date]],"dddd")</f>
        <v>Monday</v>
      </c>
      <c r="M778" s="5" t="str">
        <f>TEXT(Store_Record[[#This Row],[Date]],"mmmm")</f>
        <v>February</v>
      </c>
      <c r="N778" s="5">
        <f>YEAR(Store_Record[[#This Row],[Date]])</f>
        <v>2025</v>
      </c>
      <c r="O778"/>
    </row>
    <row r="779" spans="1:15" x14ac:dyDescent="0.35">
      <c r="A779" t="s">
        <v>1350</v>
      </c>
      <c r="B779" s="2">
        <v>45712</v>
      </c>
      <c r="C779" t="s">
        <v>24</v>
      </c>
      <c r="D779" t="s">
        <v>25</v>
      </c>
      <c r="E779" t="s">
        <v>42</v>
      </c>
      <c r="F779" t="s">
        <v>13</v>
      </c>
      <c r="G779">
        <v>5</v>
      </c>
      <c r="H779">
        <v>3.8</v>
      </c>
      <c r="I779" t="s">
        <v>39</v>
      </c>
      <c r="J779" t="s">
        <v>472</v>
      </c>
      <c r="K779" s="12">
        <f>Store_Record[[#This Row],[Qty]]*Store_Record[[#This Row],[UnitPriceGBP]]</f>
        <v>19</v>
      </c>
      <c r="L779" s="5" t="str">
        <f>TEXT(Store_Record[[#This Row],[Date]],"dddd")</f>
        <v>Monday</v>
      </c>
      <c r="M779" s="5" t="str">
        <f>TEXT(Store_Record[[#This Row],[Date]],"mmmm")</f>
        <v>February</v>
      </c>
      <c r="N779" s="5">
        <f>YEAR(Store_Record[[#This Row],[Date]])</f>
        <v>2025</v>
      </c>
      <c r="O779"/>
    </row>
    <row r="780" spans="1:15" x14ac:dyDescent="0.35">
      <c r="A780" t="s">
        <v>1351</v>
      </c>
      <c r="B780" s="2">
        <v>45712</v>
      </c>
      <c r="C780" t="s">
        <v>10</v>
      </c>
      <c r="D780" t="s">
        <v>47</v>
      </c>
      <c r="E780" t="s">
        <v>42</v>
      </c>
      <c r="F780" t="s">
        <v>13</v>
      </c>
      <c r="G780">
        <v>5</v>
      </c>
      <c r="H780">
        <v>3.8</v>
      </c>
      <c r="I780" t="s">
        <v>14</v>
      </c>
      <c r="J780" t="s">
        <v>1038</v>
      </c>
      <c r="K780" s="12">
        <f>Store_Record[[#This Row],[Qty]]*Store_Record[[#This Row],[UnitPriceGBP]]</f>
        <v>19</v>
      </c>
      <c r="L780" s="5" t="str">
        <f>TEXT(Store_Record[[#This Row],[Date]],"dddd")</f>
        <v>Monday</v>
      </c>
      <c r="M780" s="5" t="str">
        <f>TEXT(Store_Record[[#This Row],[Date]],"mmmm")</f>
        <v>February</v>
      </c>
      <c r="N780" s="5">
        <f>YEAR(Store_Record[[#This Row],[Date]])</f>
        <v>2025</v>
      </c>
      <c r="O780"/>
    </row>
    <row r="781" spans="1:15" x14ac:dyDescent="0.35">
      <c r="A781" t="s">
        <v>1347</v>
      </c>
      <c r="B781" s="2">
        <v>45712</v>
      </c>
      <c r="C781" t="s">
        <v>20</v>
      </c>
      <c r="D781" t="s">
        <v>11</v>
      </c>
      <c r="E781" t="s">
        <v>12</v>
      </c>
      <c r="F781" t="s">
        <v>13</v>
      </c>
      <c r="G781">
        <v>5</v>
      </c>
      <c r="H781">
        <v>2.5</v>
      </c>
      <c r="I781" t="s">
        <v>39</v>
      </c>
      <c r="J781" t="s">
        <v>890</v>
      </c>
      <c r="K781" s="12">
        <f>Store_Record[[#This Row],[Qty]]*Store_Record[[#This Row],[UnitPriceGBP]]</f>
        <v>12.5</v>
      </c>
      <c r="L781" s="5" t="str">
        <f>TEXT(Store_Record[[#This Row],[Date]],"dddd")</f>
        <v>Monday</v>
      </c>
      <c r="M781" s="5" t="str">
        <f>TEXT(Store_Record[[#This Row],[Date]],"mmmm")</f>
        <v>February</v>
      </c>
      <c r="N781" s="5">
        <f>YEAR(Store_Record[[#This Row],[Date]])</f>
        <v>2025</v>
      </c>
      <c r="O781"/>
    </row>
    <row r="782" spans="1:15" x14ac:dyDescent="0.35">
      <c r="A782" t="s">
        <v>1341</v>
      </c>
      <c r="B782" s="2">
        <v>45712</v>
      </c>
      <c r="C782" t="s">
        <v>36</v>
      </c>
      <c r="D782" t="s">
        <v>11</v>
      </c>
      <c r="E782" t="s">
        <v>34</v>
      </c>
      <c r="F782" t="s">
        <v>31</v>
      </c>
      <c r="G782">
        <v>5</v>
      </c>
      <c r="H782">
        <v>2.2000000000000002</v>
      </c>
      <c r="I782" t="s">
        <v>14</v>
      </c>
      <c r="J782" t="s">
        <v>227</v>
      </c>
      <c r="K782" s="12">
        <f>Store_Record[[#This Row],[Qty]]*Store_Record[[#This Row],[UnitPriceGBP]]</f>
        <v>11</v>
      </c>
      <c r="L782" s="5" t="str">
        <f>TEXT(Store_Record[[#This Row],[Date]],"dddd")</f>
        <v>Monday</v>
      </c>
      <c r="M782" s="5" t="str">
        <f>TEXT(Store_Record[[#This Row],[Date]],"mmmm")</f>
        <v>February</v>
      </c>
      <c r="N782" s="5">
        <f>YEAR(Store_Record[[#This Row],[Date]])</f>
        <v>2025</v>
      </c>
      <c r="O782"/>
    </row>
    <row r="783" spans="1:15" x14ac:dyDescent="0.35">
      <c r="A783" t="s">
        <v>1340</v>
      </c>
      <c r="B783" s="2">
        <v>45712</v>
      </c>
      <c r="C783" t="s">
        <v>10</v>
      </c>
      <c r="D783" t="s">
        <v>11</v>
      </c>
      <c r="E783" t="s">
        <v>12</v>
      </c>
      <c r="F783" t="s">
        <v>13</v>
      </c>
      <c r="G783">
        <v>4</v>
      </c>
      <c r="H783">
        <v>2.5</v>
      </c>
      <c r="I783" t="s">
        <v>39</v>
      </c>
      <c r="J783" t="s">
        <v>739</v>
      </c>
      <c r="K783" s="12">
        <f>Store_Record[[#This Row],[Qty]]*Store_Record[[#This Row],[UnitPriceGBP]]</f>
        <v>10</v>
      </c>
      <c r="L783" s="5" t="str">
        <f>TEXT(Store_Record[[#This Row],[Date]],"dddd")</f>
        <v>Monday</v>
      </c>
      <c r="M783" s="5" t="str">
        <f>TEXT(Store_Record[[#This Row],[Date]],"mmmm")</f>
        <v>February</v>
      </c>
      <c r="N783" s="5">
        <f>YEAR(Store_Record[[#This Row],[Date]])</f>
        <v>2025</v>
      </c>
      <c r="O783"/>
    </row>
    <row r="784" spans="1:15" x14ac:dyDescent="0.35">
      <c r="A784" t="s">
        <v>1345</v>
      </c>
      <c r="B784" s="2">
        <v>45712</v>
      </c>
      <c r="C784" t="s">
        <v>10</v>
      </c>
      <c r="D784" t="s">
        <v>29</v>
      </c>
      <c r="E784" t="s">
        <v>12</v>
      </c>
      <c r="F784" t="s">
        <v>13</v>
      </c>
      <c r="G784">
        <v>4</v>
      </c>
      <c r="H784">
        <v>2.5</v>
      </c>
      <c r="I784" t="s">
        <v>39</v>
      </c>
      <c r="J784" t="s">
        <v>1346</v>
      </c>
      <c r="K784" s="12">
        <f>Store_Record[[#This Row],[Qty]]*Store_Record[[#This Row],[UnitPriceGBP]]</f>
        <v>10</v>
      </c>
      <c r="L784" s="5" t="str">
        <f>TEXT(Store_Record[[#This Row],[Date]],"dddd")</f>
        <v>Monday</v>
      </c>
      <c r="M784" s="5" t="str">
        <f>TEXT(Store_Record[[#This Row],[Date]],"mmmm")</f>
        <v>February</v>
      </c>
      <c r="N784" s="5">
        <f>YEAR(Store_Record[[#This Row],[Date]])</f>
        <v>2025</v>
      </c>
      <c r="O784"/>
    </row>
    <row r="785" spans="1:15" x14ac:dyDescent="0.35">
      <c r="A785" t="s">
        <v>1348</v>
      </c>
      <c r="B785" s="2">
        <v>45712</v>
      </c>
      <c r="C785" t="s">
        <v>20</v>
      </c>
      <c r="D785" t="s">
        <v>47</v>
      </c>
      <c r="E785" t="s">
        <v>34</v>
      </c>
      <c r="F785" t="s">
        <v>31</v>
      </c>
      <c r="G785">
        <v>3</v>
      </c>
      <c r="H785">
        <v>2.2000000000000002</v>
      </c>
      <c r="I785" t="s">
        <v>14</v>
      </c>
      <c r="J785" t="s">
        <v>1349</v>
      </c>
      <c r="K785" s="12">
        <f>Store_Record[[#This Row],[Qty]]*Store_Record[[#This Row],[UnitPriceGBP]]</f>
        <v>6.6000000000000005</v>
      </c>
      <c r="L785" s="5" t="str">
        <f>TEXT(Store_Record[[#This Row],[Date]],"dddd")</f>
        <v>Monday</v>
      </c>
      <c r="M785" s="5" t="str">
        <f>TEXT(Store_Record[[#This Row],[Date]],"mmmm")</f>
        <v>February</v>
      </c>
      <c r="N785" s="5">
        <f>YEAR(Store_Record[[#This Row],[Date]])</f>
        <v>2025</v>
      </c>
      <c r="O785"/>
    </row>
    <row r="786" spans="1:15" x14ac:dyDescent="0.35">
      <c r="A786" t="s">
        <v>1342</v>
      </c>
      <c r="B786" s="2">
        <v>45712</v>
      </c>
      <c r="C786" t="s">
        <v>36</v>
      </c>
      <c r="D786" t="s">
        <v>29</v>
      </c>
      <c r="E786" t="s">
        <v>30</v>
      </c>
      <c r="F786" t="s">
        <v>31</v>
      </c>
      <c r="G786">
        <v>2</v>
      </c>
      <c r="H786">
        <v>2.8</v>
      </c>
      <c r="I786" t="s">
        <v>14</v>
      </c>
      <c r="J786" t="s">
        <v>1217</v>
      </c>
      <c r="K786" s="12">
        <f>Store_Record[[#This Row],[Qty]]*Store_Record[[#This Row],[UnitPriceGBP]]</f>
        <v>5.6</v>
      </c>
      <c r="L786" s="5" t="str">
        <f>TEXT(Store_Record[[#This Row],[Date]],"dddd")</f>
        <v>Monday</v>
      </c>
      <c r="M786" s="5" t="str">
        <f>TEXT(Store_Record[[#This Row],[Date]],"mmmm")</f>
        <v>February</v>
      </c>
      <c r="N786" s="5">
        <f>YEAR(Store_Record[[#This Row],[Date]])</f>
        <v>2025</v>
      </c>
      <c r="O786"/>
    </row>
    <row r="787" spans="1:15" x14ac:dyDescent="0.35">
      <c r="A787" t="s">
        <v>1344</v>
      </c>
      <c r="B787" s="2">
        <v>45712</v>
      </c>
      <c r="C787" t="s">
        <v>36</v>
      </c>
      <c r="D787" t="s">
        <v>38</v>
      </c>
      <c r="E787" t="s">
        <v>26</v>
      </c>
      <c r="F787" t="s">
        <v>13</v>
      </c>
      <c r="G787">
        <v>1</v>
      </c>
      <c r="H787">
        <v>3.5</v>
      </c>
      <c r="I787" t="s">
        <v>39</v>
      </c>
      <c r="J787" t="s">
        <v>22</v>
      </c>
      <c r="K787" s="12">
        <f>Store_Record[[#This Row],[Qty]]*Store_Record[[#This Row],[UnitPriceGBP]]</f>
        <v>3.5</v>
      </c>
      <c r="L787" s="5" t="str">
        <f>TEXT(Store_Record[[#This Row],[Date]],"dddd")</f>
        <v>Monday</v>
      </c>
      <c r="M787" s="5" t="str">
        <f>TEXT(Store_Record[[#This Row],[Date]],"mmmm")</f>
        <v>February</v>
      </c>
      <c r="N787" s="5">
        <f>YEAR(Store_Record[[#This Row],[Date]])</f>
        <v>2025</v>
      </c>
      <c r="O787"/>
    </row>
    <row r="788" spans="1:15" x14ac:dyDescent="0.35">
      <c r="A788" t="s">
        <v>1339</v>
      </c>
      <c r="B788" s="2">
        <v>45712</v>
      </c>
      <c r="C788" t="s">
        <v>10</v>
      </c>
      <c r="D788" t="s">
        <v>25</v>
      </c>
      <c r="E788" t="s">
        <v>34</v>
      </c>
      <c r="F788" t="s">
        <v>31</v>
      </c>
      <c r="G788">
        <v>1</v>
      </c>
      <c r="H788">
        <v>2.2000000000000002</v>
      </c>
      <c r="I788" t="s">
        <v>14</v>
      </c>
      <c r="J788" t="s">
        <v>1244</v>
      </c>
      <c r="K788" s="12">
        <f>Store_Record[[#This Row],[Qty]]*Store_Record[[#This Row],[UnitPriceGBP]]</f>
        <v>2.2000000000000002</v>
      </c>
      <c r="L788" s="5" t="str">
        <f>TEXT(Store_Record[[#This Row],[Date]],"dddd")</f>
        <v>Monday</v>
      </c>
      <c r="M788" s="5" t="str">
        <f>TEXT(Store_Record[[#This Row],[Date]],"mmmm")</f>
        <v>February</v>
      </c>
      <c r="N788" s="5">
        <f>YEAR(Store_Record[[#This Row],[Date]])</f>
        <v>2025</v>
      </c>
      <c r="O788"/>
    </row>
    <row r="789" spans="1:15" x14ac:dyDescent="0.35">
      <c r="A789" t="s">
        <v>1356</v>
      </c>
      <c r="B789" s="2">
        <v>45713</v>
      </c>
      <c r="C789" t="s">
        <v>24</v>
      </c>
      <c r="D789" t="s">
        <v>38</v>
      </c>
      <c r="E789" t="s">
        <v>30</v>
      </c>
      <c r="F789" t="s">
        <v>31</v>
      </c>
      <c r="G789">
        <v>4</v>
      </c>
      <c r="H789">
        <v>2.8</v>
      </c>
      <c r="I789" t="s">
        <v>39</v>
      </c>
      <c r="J789" t="s">
        <v>1357</v>
      </c>
      <c r="K789" s="12">
        <f>Store_Record[[#This Row],[Qty]]*Store_Record[[#This Row],[UnitPriceGBP]]</f>
        <v>11.2</v>
      </c>
      <c r="L789" s="5" t="str">
        <f>TEXT(Store_Record[[#This Row],[Date]],"dddd")</f>
        <v>Tuesday</v>
      </c>
      <c r="M789" s="5" t="str">
        <f>TEXT(Store_Record[[#This Row],[Date]],"mmmm")</f>
        <v>February</v>
      </c>
      <c r="N789" s="5">
        <f>YEAR(Store_Record[[#This Row],[Date]])</f>
        <v>2025</v>
      </c>
      <c r="O789"/>
    </row>
    <row r="790" spans="1:15" x14ac:dyDescent="0.35">
      <c r="A790" t="s">
        <v>1371</v>
      </c>
      <c r="B790" s="2">
        <v>45713</v>
      </c>
      <c r="C790" t="s">
        <v>24</v>
      </c>
      <c r="D790" t="s">
        <v>38</v>
      </c>
      <c r="E790" t="s">
        <v>34</v>
      </c>
      <c r="F790" t="s">
        <v>31</v>
      </c>
      <c r="G790">
        <v>5</v>
      </c>
      <c r="H790">
        <v>2.2000000000000002</v>
      </c>
      <c r="I790" t="s">
        <v>14</v>
      </c>
      <c r="J790" t="s">
        <v>1372</v>
      </c>
      <c r="K790" s="12">
        <f>Store_Record[[#This Row],[Qty]]*Store_Record[[#This Row],[UnitPriceGBP]]</f>
        <v>11</v>
      </c>
      <c r="L790" s="5" t="str">
        <f>TEXT(Store_Record[[#This Row],[Date]],"dddd")</f>
        <v>Tuesday</v>
      </c>
      <c r="M790" s="5" t="str">
        <f>TEXT(Store_Record[[#This Row],[Date]],"mmmm")</f>
        <v>February</v>
      </c>
      <c r="N790" s="5">
        <f>YEAR(Store_Record[[#This Row],[Date]])</f>
        <v>2025</v>
      </c>
      <c r="O790"/>
    </row>
    <row r="791" spans="1:15" x14ac:dyDescent="0.35">
      <c r="A791" t="s">
        <v>1365</v>
      </c>
      <c r="B791" s="2">
        <v>45713</v>
      </c>
      <c r="C791" t="s">
        <v>10</v>
      </c>
      <c r="D791" t="s">
        <v>29</v>
      </c>
      <c r="E791" t="s">
        <v>26</v>
      </c>
      <c r="F791" t="s">
        <v>13</v>
      </c>
      <c r="G791">
        <v>3</v>
      </c>
      <c r="H791">
        <v>3.5</v>
      </c>
      <c r="I791" t="s">
        <v>21</v>
      </c>
      <c r="J791" t="s">
        <v>1223</v>
      </c>
      <c r="K791" s="12">
        <f>Store_Record[[#This Row],[Qty]]*Store_Record[[#This Row],[UnitPriceGBP]]</f>
        <v>10.5</v>
      </c>
      <c r="L791" s="5" t="str">
        <f>TEXT(Store_Record[[#This Row],[Date]],"dddd")</f>
        <v>Tuesday</v>
      </c>
      <c r="M791" s="5" t="str">
        <f>TEXT(Store_Record[[#This Row],[Date]],"mmmm")</f>
        <v>February</v>
      </c>
      <c r="N791" s="5">
        <f>YEAR(Store_Record[[#This Row],[Date]])</f>
        <v>2025</v>
      </c>
      <c r="O791"/>
    </row>
    <row r="792" spans="1:15" x14ac:dyDescent="0.35">
      <c r="A792" t="s">
        <v>1354</v>
      </c>
      <c r="B792" s="2">
        <v>45713</v>
      </c>
      <c r="C792" t="s">
        <v>36</v>
      </c>
      <c r="D792" t="s">
        <v>38</v>
      </c>
      <c r="E792" t="s">
        <v>42</v>
      </c>
      <c r="F792" t="s">
        <v>13</v>
      </c>
      <c r="G792">
        <v>2</v>
      </c>
      <c r="H792">
        <v>3.8</v>
      </c>
      <c r="I792" t="s">
        <v>39</v>
      </c>
      <c r="J792" t="s">
        <v>1355</v>
      </c>
      <c r="K792" s="12">
        <f>Store_Record[[#This Row],[Qty]]*Store_Record[[#This Row],[UnitPriceGBP]]</f>
        <v>7.6</v>
      </c>
      <c r="L792" s="5" t="str">
        <f>TEXT(Store_Record[[#This Row],[Date]],"dddd")</f>
        <v>Tuesday</v>
      </c>
      <c r="M792" s="5" t="str">
        <f>TEXT(Store_Record[[#This Row],[Date]],"mmmm")</f>
        <v>February</v>
      </c>
      <c r="N792" s="5">
        <f>YEAR(Store_Record[[#This Row],[Date]])</f>
        <v>2025</v>
      </c>
      <c r="O792"/>
    </row>
    <row r="793" spans="1:15" x14ac:dyDescent="0.35">
      <c r="A793" t="s">
        <v>1359</v>
      </c>
      <c r="B793" s="2">
        <v>45713</v>
      </c>
      <c r="C793" t="s">
        <v>10</v>
      </c>
      <c r="D793" t="s">
        <v>29</v>
      </c>
      <c r="E793" t="s">
        <v>12</v>
      </c>
      <c r="F793" t="s">
        <v>13</v>
      </c>
      <c r="G793">
        <v>3</v>
      </c>
      <c r="H793">
        <v>2.5</v>
      </c>
      <c r="I793" t="s">
        <v>14</v>
      </c>
      <c r="J793" t="s">
        <v>1360</v>
      </c>
      <c r="K793" s="12">
        <f>Store_Record[[#This Row],[Qty]]*Store_Record[[#This Row],[UnitPriceGBP]]</f>
        <v>7.5</v>
      </c>
      <c r="L793" s="5" t="str">
        <f>TEXT(Store_Record[[#This Row],[Date]],"dddd")</f>
        <v>Tuesday</v>
      </c>
      <c r="M793" s="5" t="str">
        <f>TEXT(Store_Record[[#This Row],[Date]],"mmmm")</f>
        <v>February</v>
      </c>
      <c r="N793" s="5">
        <f>YEAR(Store_Record[[#This Row],[Date]])</f>
        <v>2025</v>
      </c>
      <c r="O793"/>
    </row>
    <row r="794" spans="1:15" x14ac:dyDescent="0.35">
      <c r="A794" t="s">
        <v>1366</v>
      </c>
      <c r="B794" s="2">
        <v>45713</v>
      </c>
      <c r="C794" t="s">
        <v>24</v>
      </c>
      <c r="D794" t="s">
        <v>47</v>
      </c>
      <c r="E794" t="s">
        <v>30</v>
      </c>
      <c r="F794" t="s">
        <v>31</v>
      </c>
      <c r="G794">
        <v>2</v>
      </c>
      <c r="H794">
        <v>2.8</v>
      </c>
      <c r="I794" t="s">
        <v>39</v>
      </c>
      <c r="J794" t="s">
        <v>1367</v>
      </c>
      <c r="K794" s="12">
        <f>Store_Record[[#This Row],[Qty]]*Store_Record[[#This Row],[UnitPriceGBP]]</f>
        <v>5.6</v>
      </c>
      <c r="L794" s="5" t="str">
        <f>TEXT(Store_Record[[#This Row],[Date]],"dddd")</f>
        <v>Tuesday</v>
      </c>
      <c r="M794" s="5" t="str">
        <f>TEXT(Store_Record[[#This Row],[Date]],"mmmm")</f>
        <v>February</v>
      </c>
      <c r="N794" s="5">
        <f>YEAR(Store_Record[[#This Row],[Date]])</f>
        <v>2025</v>
      </c>
      <c r="O794"/>
    </row>
    <row r="795" spans="1:15" x14ac:dyDescent="0.35">
      <c r="A795" t="s">
        <v>1370</v>
      </c>
      <c r="B795" s="2">
        <v>45713</v>
      </c>
      <c r="C795" t="s">
        <v>20</v>
      </c>
      <c r="D795" t="s">
        <v>11</v>
      </c>
      <c r="E795" t="s">
        <v>30</v>
      </c>
      <c r="F795" t="s">
        <v>31</v>
      </c>
      <c r="G795">
        <v>2</v>
      </c>
      <c r="H795">
        <v>2.8</v>
      </c>
      <c r="I795" t="s">
        <v>14</v>
      </c>
      <c r="J795" t="s">
        <v>949</v>
      </c>
      <c r="K795" s="12">
        <f>Store_Record[[#This Row],[Qty]]*Store_Record[[#This Row],[UnitPriceGBP]]</f>
        <v>5.6</v>
      </c>
      <c r="L795" s="5" t="str">
        <f>TEXT(Store_Record[[#This Row],[Date]],"dddd")</f>
        <v>Tuesday</v>
      </c>
      <c r="M795" s="5" t="str">
        <f>TEXT(Store_Record[[#This Row],[Date]],"mmmm")</f>
        <v>February</v>
      </c>
      <c r="N795" s="5">
        <f>YEAR(Store_Record[[#This Row],[Date]])</f>
        <v>2025</v>
      </c>
      <c r="O795"/>
    </row>
    <row r="796" spans="1:15" x14ac:dyDescent="0.35">
      <c r="A796" t="s">
        <v>1361</v>
      </c>
      <c r="B796" s="2">
        <v>45713</v>
      </c>
      <c r="C796" t="s">
        <v>10</v>
      </c>
      <c r="D796" t="s">
        <v>25</v>
      </c>
      <c r="E796" t="s">
        <v>12</v>
      </c>
      <c r="F796" t="s">
        <v>13</v>
      </c>
      <c r="G796">
        <v>2</v>
      </c>
      <c r="H796">
        <v>2.5</v>
      </c>
      <c r="I796" t="s">
        <v>21</v>
      </c>
      <c r="J796" t="s">
        <v>1362</v>
      </c>
      <c r="K796" s="12">
        <f>Store_Record[[#This Row],[Qty]]*Store_Record[[#This Row],[UnitPriceGBP]]</f>
        <v>5</v>
      </c>
      <c r="L796" s="5" t="str">
        <f>TEXT(Store_Record[[#This Row],[Date]],"dddd")</f>
        <v>Tuesday</v>
      </c>
      <c r="M796" s="5" t="str">
        <f>TEXT(Store_Record[[#This Row],[Date]],"mmmm")</f>
        <v>February</v>
      </c>
      <c r="N796" s="5">
        <f>YEAR(Store_Record[[#This Row],[Date]])</f>
        <v>2025</v>
      </c>
      <c r="O796"/>
    </row>
    <row r="797" spans="1:15" x14ac:dyDescent="0.35">
      <c r="A797" t="s">
        <v>1352</v>
      </c>
      <c r="B797" s="2">
        <v>45713</v>
      </c>
      <c r="C797" t="s">
        <v>24</v>
      </c>
      <c r="D797" t="s">
        <v>25</v>
      </c>
      <c r="E797" t="s">
        <v>34</v>
      </c>
      <c r="F797" t="s">
        <v>31</v>
      </c>
      <c r="G797">
        <v>2</v>
      </c>
      <c r="H797">
        <v>2.2000000000000002</v>
      </c>
      <c r="I797" t="s">
        <v>21</v>
      </c>
      <c r="J797" t="s">
        <v>1353</v>
      </c>
      <c r="K797" s="12">
        <f>Store_Record[[#This Row],[Qty]]*Store_Record[[#This Row],[UnitPriceGBP]]</f>
        <v>4.4000000000000004</v>
      </c>
      <c r="L797" s="5" t="str">
        <f>TEXT(Store_Record[[#This Row],[Date]],"dddd")</f>
        <v>Tuesday</v>
      </c>
      <c r="M797" s="5" t="str">
        <f>TEXT(Store_Record[[#This Row],[Date]],"mmmm")</f>
        <v>February</v>
      </c>
      <c r="N797" s="5">
        <f>YEAR(Store_Record[[#This Row],[Date]])</f>
        <v>2025</v>
      </c>
      <c r="O797"/>
    </row>
    <row r="798" spans="1:15" x14ac:dyDescent="0.35">
      <c r="A798" t="s">
        <v>1368</v>
      </c>
      <c r="B798" s="2">
        <v>45713</v>
      </c>
      <c r="C798" t="s">
        <v>24</v>
      </c>
      <c r="D798" t="s">
        <v>38</v>
      </c>
      <c r="E798" t="s">
        <v>42</v>
      </c>
      <c r="F798" t="s">
        <v>13</v>
      </c>
      <c r="G798">
        <v>1</v>
      </c>
      <c r="H798">
        <v>3.8</v>
      </c>
      <c r="I798" t="s">
        <v>21</v>
      </c>
      <c r="J798" t="s">
        <v>1011</v>
      </c>
      <c r="K798" s="12">
        <f>Store_Record[[#This Row],[Qty]]*Store_Record[[#This Row],[UnitPriceGBP]]</f>
        <v>3.8</v>
      </c>
      <c r="L798" s="5" t="str">
        <f>TEXT(Store_Record[[#This Row],[Date]],"dddd")</f>
        <v>Tuesday</v>
      </c>
      <c r="M798" s="5" t="str">
        <f>TEXT(Store_Record[[#This Row],[Date]],"mmmm")</f>
        <v>February</v>
      </c>
      <c r="N798" s="5">
        <f>YEAR(Store_Record[[#This Row],[Date]])</f>
        <v>2025</v>
      </c>
      <c r="O798"/>
    </row>
    <row r="799" spans="1:15" x14ac:dyDescent="0.35">
      <c r="A799" t="s">
        <v>1358</v>
      </c>
      <c r="B799" s="2">
        <v>45713</v>
      </c>
      <c r="C799" t="s">
        <v>24</v>
      </c>
      <c r="D799" t="s">
        <v>38</v>
      </c>
      <c r="E799" t="s">
        <v>26</v>
      </c>
      <c r="F799" t="s">
        <v>13</v>
      </c>
      <c r="G799">
        <v>1</v>
      </c>
      <c r="H799">
        <v>3.5</v>
      </c>
      <c r="I799" t="s">
        <v>39</v>
      </c>
      <c r="J799" t="s">
        <v>1273</v>
      </c>
      <c r="K799" s="12">
        <f>Store_Record[[#This Row],[Qty]]*Store_Record[[#This Row],[UnitPriceGBP]]</f>
        <v>3.5</v>
      </c>
      <c r="L799" s="5" t="str">
        <f>TEXT(Store_Record[[#This Row],[Date]],"dddd")</f>
        <v>Tuesday</v>
      </c>
      <c r="M799" s="5" t="str">
        <f>TEXT(Store_Record[[#This Row],[Date]],"mmmm")</f>
        <v>February</v>
      </c>
      <c r="N799" s="5">
        <f>YEAR(Store_Record[[#This Row],[Date]])</f>
        <v>2025</v>
      </c>
      <c r="O799"/>
    </row>
    <row r="800" spans="1:15" x14ac:dyDescent="0.35">
      <c r="A800" t="s">
        <v>1369</v>
      </c>
      <c r="B800" s="2">
        <v>45713</v>
      </c>
      <c r="C800" t="s">
        <v>24</v>
      </c>
      <c r="D800" t="s">
        <v>25</v>
      </c>
      <c r="E800" t="s">
        <v>12</v>
      </c>
      <c r="F800" t="s">
        <v>13</v>
      </c>
      <c r="G800">
        <v>1</v>
      </c>
      <c r="H800">
        <v>2.5</v>
      </c>
      <c r="I800" t="s">
        <v>14</v>
      </c>
      <c r="J800" t="s">
        <v>1132</v>
      </c>
      <c r="K800" s="12">
        <f>Store_Record[[#This Row],[Qty]]*Store_Record[[#This Row],[UnitPriceGBP]]</f>
        <v>2.5</v>
      </c>
      <c r="L800" s="5" t="str">
        <f>TEXT(Store_Record[[#This Row],[Date]],"dddd")</f>
        <v>Tuesday</v>
      </c>
      <c r="M800" s="5" t="str">
        <f>TEXT(Store_Record[[#This Row],[Date]],"mmmm")</f>
        <v>February</v>
      </c>
      <c r="N800" s="5">
        <f>YEAR(Store_Record[[#This Row],[Date]])</f>
        <v>2025</v>
      </c>
      <c r="O800"/>
    </row>
    <row r="801" spans="1:15" x14ac:dyDescent="0.35">
      <c r="A801" t="s">
        <v>1363</v>
      </c>
      <c r="B801" s="2">
        <v>45713</v>
      </c>
      <c r="C801" t="s">
        <v>24</v>
      </c>
      <c r="D801" t="s">
        <v>47</v>
      </c>
      <c r="E801" t="s">
        <v>34</v>
      </c>
      <c r="F801" t="s">
        <v>31</v>
      </c>
      <c r="G801">
        <v>1</v>
      </c>
      <c r="H801">
        <v>2.2000000000000002</v>
      </c>
      <c r="I801" t="s">
        <v>14</v>
      </c>
      <c r="J801" t="s">
        <v>1364</v>
      </c>
      <c r="K801" s="12">
        <f>Store_Record[[#This Row],[Qty]]*Store_Record[[#This Row],[UnitPriceGBP]]</f>
        <v>2.2000000000000002</v>
      </c>
      <c r="L801" s="5" t="str">
        <f>TEXT(Store_Record[[#This Row],[Date]],"dddd")</f>
        <v>Tuesday</v>
      </c>
      <c r="M801" s="5" t="str">
        <f>TEXT(Store_Record[[#This Row],[Date]],"mmmm")</f>
        <v>February</v>
      </c>
      <c r="N801" s="5">
        <f>YEAR(Store_Record[[#This Row],[Date]])</f>
        <v>2025</v>
      </c>
      <c r="O801"/>
    </row>
    <row r="802" spans="1:15" x14ac:dyDescent="0.35">
      <c r="A802" t="s">
        <v>1375</v>
      </c>
      <c r="B802" s="2">
        <v>45714</v>
      </c>
      <c r="C802" t="s">
        <v>20</v>
      </c>
      <c r="D802" t="s">
        <v>25</v>
      </c>
      <c r="E802" t="s">
        <v>26</v>
      </c>
      <c r="F802" t="s">
        <v>13</v>
      </c>
      <c r="G802">
        <v>5</v>
      </c>
      <c r="H802">
        <v>3.5</v>
      </c>
      <c r="I802" t="s">
        <v>14</v>
      </c>
      <c r="J802" t="s">
        <v>561</v>
      </c>
      <c r="K802" s="12">
        <f>Store_Record[[#This Row],[Qty]]*Store_Record[[#This Row],[UnitPriceGBP]]</f>
        <v>17.5</v>
      </c>
      <c r="L802" s="5" t="str">
        <f>TEXT(Store_Record[[#This Row],[Date]],"dddd")</f>
        <v>Wednesday</v>
      </c>
      <c r="M802" s="5" t="str">
        <f>TEXT(Store_Record[[#This Row],[Date]],"mmmm")</f>
        <v>February</v>
      </c>
      <c r="N802" s="5">
        <f>YEAR(Store_Record[[#This Row],[Date]])</f>
        <v>2025</v>
      </c>
      <c r="O802"/>
    </row>
    <row r="803" spans="1:15" x14ac:dyDescent="0.35">
      <c r="A803" t="s">
        <v>1378</v>
      </c>
      <c r="B803" s="2">
        <v>45714</v>
      </c>
      <c r="C803" t="s">
        <v>36</v>
      </c>
      <c r="D803" t="s">
        <v>29</v>
      </c>
      <c r="E803" t="s">
        <v>30</v>
      </c>
      <c r="F803" t="s">
        <v>31</v>
      </c>
      <c r="G803">
        <v>5</v>
      </c>
      <c r="H803">
        <v>2.8</v>
      </c>
      <c r="I803" t="s">
        <v>21</v>
      </c>
      <c r="J803" t="s">
        <v>1379</v>
      </c>
      <c r="K803" s="12">
        <f>Store_Record[[#This Row],[Qty]]*Store_Record[[#This Row],[UnitPriceGBP]]</f>
        <v>14</v>
      </c>
      <c r="L803" s="5" t="str">
        <f>TEXT(Store_Record[[#This Row],[Date]],"dddd")</f>
        <v>Wednesday</v>
      </c>
      <c r="M803" s="5" t="str">
        <f>TEXT(Store_Record[[#This Row],[Date]],"mmmm")</f>
        <v>February</v>
      </c>
      <c r="N803" s="5">
        <f>YEAR(Store_Record[[#This Row],[Date]])</f>
        <v>2025</v>
      </c>
      <c r="O803"/>
    </row>
    <row r="804" spans="1:15" x14ac:dyDescent="0.35">
      <c r="A804" t="s">
        <v>1374</v>
      </c>
      <c r="B804" s="2">
        <v>45714</v>
      </c>
      <c r="C804" t="s">
        <v>36</v>
      </c>
      <c r="D804" t="s">
        <v>29</v>
      </c>
      <c r="E804" t="s">
        <v>30</v>
      </c>
      <c r="F804" t="s">
        <v>31</v>
      </c>
      <c r="G804">
        <v>4</v>
      </c>
      <c r="H804">
        <v>2.8</v>
      </c>
      <c r="I804" t="s">
        <v>14</v>
      </c>
      <c r="J804" t="s">
        <v>1280</v>
      </c>
      <c r="K804" s="12">
        <f>Store_Record[[#This Row],[Qty]]*Store_Record[[#This Row],[UnitPriceGBP]]</f>
        <v>11.2</v>
      </c>
      <c r="L804" s="5" t="str">
        <f>TEXT(Store_Record[[#This Row],[Date]],"dddd")</f>
        <v>Wednesday</v>
      </c>
      <c r="M804" s="5" t="str">
        <f>TEXT(Store_Record[[#This Row],[Date]],"mmmm")</f>
        <v>February</v>
      </c>
      <c r="N804" s="5">
        <f>YEAR(Store_Record[[#This Row],[Date]])</f>
        <v>2025</v>
      </c>
      <c r="O804"/>
    </row>
    <row r="805" spans="1:15" x14ac:dyDescent="0.35">
      <c r="A805" t="s">
        <v>1381</v>
      </c>
      <c r="B805" s="2">
        <v>45714</v>
      </c>
      <c r="C805" t="s">
        <v>24</v>
      </c>
      <c r="D805" t="s">
        <v>25</v>
      </c>
      <c r="E805" t="s">
        <v>30</v>
      </c>
      <c r="F805" t="s">
        <v>31</v>
      </c>
      <c r="G805">
        <v>4</v>
      </c>
      <c r="H805">
        <v>2.8</v>
      </c>
      <c r="I805" t="s">
        <v>14</v>
      </c>
      <c r="J805" t="s">
        <v>1382</v>
      </c>
      <c r="K805" s="12">
        <f>Store_Record[[#This Row],[Qty]]*Store_Record[[#This Row],[UnitPriceGBP]]</f>
        <v>11.2</v>
      </c>
      <c r="L805" s="5" t="str">
        <f>TEXT(Store_Record[[#This Row],[Date]],"dddd")</f>
        <v>Wednesday</v>
      </c>
      <c r="M805" s="5" t="str">
        <f>TEXT(Store_Record[[#This Row],[Date]],"mmmm")</f>
        <v>February</v>
      </c>
      <c r="N805" s="5">
        <f>YEAR(Store_Record[[#This Row],[Date]])</f>
        <v>2025</v>
      </c>
      <c r="O805"/>
    </row>
    <row r="806" spans="1:15" x14ac:dyDescent="0.35">
      <c r="A806" t="s">
        <v>1373</v>
      </c>
      <c r="B806" s="2">
        <v>45714</v>
      </c>
      <c r="C806" t="s">
        <v>20</v>
      </c>
      <c r="D806" t="s">
        <v>38</v>
      </c>
      <c r="E806" t="s">
        <v>30</v>
      </c>
      <c r="F806" t="s">
        <v>31</v>
      </c>
      <c r="G806">
        <v>3</v>
      </c>
      <c r="H806">
        <v>2.8</v>
      </c>
      <c r="I806" t="s">
        <v>14</v>
      </c>
      <c r="J806" t="s">
        <v>890</v>
      </c>
      <c r="K806" s="12">
        <f>Store_Record[[#This Row],[Qty]]*Store_Record[[#This Row],[UnitPriceGBP]]</f>
        <v>8.3999999999999986</v>
      </c>
      <c r="L806" s="5" t="str">
        <f>TEXT(Store_Record[[#This Row],[Date]],"dddd")</f>
        <v>Wednesday</v>
      </c>
      <c r="M806" s="5" t="str">
        <f>TEXT(Store_Record[[#This Row],[Date]],"mmmm")</f>
        <v>February</v>
      </c>
      <c r="N806" s="5">
        <f>YEAR(Store_Record[[#This Row],[Date]])</f>
        <v>2025</v>
      </c>
      <c r="O806"/>
    </row>
    <row r="807" spans="1:15" x14ac:dyDescent="0.35">
      <c r="A807" t="s">
        <v>1376</v>
      </c>
      <c r="B807" s="2">
        <v>45714</v>
      </c>
      <c r="C807" t="s">
        <v>20</v>
      </c>
      <c r="D807" t="s">
        <v>47</v>
      </c>
      <c r="E807" t="s">
        <v>26</v>
      </c>
      <c r="F807" t="s">
        <v>13</v>
      </c>
      <c r="G807">
        <v>2</v>
      </c>
      <c r="H807">
        <v>3.5</v>
      </c>
      <c r="I807" t="s">
        <v>14</v>
      </c>
      <c r="J807" t="s">
        <v>782</v>
      </c>
      <c r="K807" s="12">
        <f>Store_Record[[#This Row],[Qty]]*Store_Record[[#This Row],[UnitPriceGBP]]</f>
        <v>7</v>
      </c>
      <c r="L807" s="5" t="str">
        <f>TEXT(Store_Record[[#This Row],[Date]],"dddd")</f>
        <v>Wednesday</v>
      </c>
      <c r="M807" s="5" t="str">
        <f>TEXT(Store_Record[[#This Row],[Date]],"mmmm")</f>
        <v>February</v>
      </c>
      <c r="N807" s="5">
        <f>YEAR(Store_Record[[#This Row],[Date]])</f>
        <v>2025</v>
      </c>
      <c r="O807"/>
    </row>
    <row r="808" spans="1:15" x14ac:dyDescent="0.35">
      <c r="A808" t="s">
        <v>1377</v>
      </c>
      <c r="B808" s="2">
        <v>45714</v>
      </c>
      <c r="C808" t="s">
        <v>20</v>
      </c>
      <c r="D808" t="s">
        <v>11</v>
      </c>
      <c r="E808" t="s">
        <v>34</v>
      </c>
      <c r="F808" t="s">
        <v>31</v>
      </c>
      <c r="G808">
        <v>3</v>
      </c>
      <c r="H808">
        <v>2.2000000000000002</v>
      </c>
      <c r="I808" t="s">
        <v>21</v>
      </c>
      <c r="J808" t="s">
        <v>153</v>
      </c>
      <c r="K808" s="12">
        <f>Store_Record[[#This Row],[Qty]]*Store_Record[[#This Row],[UnitPriceGBP]]</f>
        <v>6.6000000000000005</v>
      </c>
      <c r="L808" s="5" t="str">
        <f>TEXT(Store_Record[[#This Row],[Date]],"dddd")</f>
        <v>Wednesday</v>
      </c>
      <c r="M808" s="5" t="str">
        <f>TEXT(Store_Record[[#This Row],[Date]],"mmmm")</f>
        <v>February</v>
      </c>
      <c r="N808" s="5">
        <f>YEAR(Store_Record[[#This Row],[Date]])</f>
        <v>2025</v>
      </c>
      <c r="O808"/>
    </row>
    <row r="809" spans="1:15" x14ac:dyDescent="0.35">
      <c r="A809" t="s">
        <v>1380</v>
      </c>
      <c r="B809" s="2">
        <v>45714</v>
      </c>
      <c r="C809" t="s">
        <v>10</v>
      </c>
      <c r="D809" t="s">
        <v>29</v>
      </c>
      <c r="E809" t="s">
        <v>30</v>
      </c>
      <c r="F809" t="s">
        <v>31</v>
      </c>
      <c r="G809">
        <v>1</v>
      </c>
      <c r="H809">
        <v>2.8</v>
      </c>
      <c r="I809" t="s">
        <v>14</v>
      </c>
      <c r="J809" t="s">
        <v>125</v>
      </c>
      <c r="K809" s="12">
        <f>Store_Record[[#This Row],[Qty]]*Store_Record[[#This Row],[UnitPriceGBP]]</f>
        <v>2.8</v>
      </c>
      <c r="L809" s="5" t="str">
        <f>TEXT(Store_Record[[#This Row],[Date]],"dddd")</f>
        <v>Wednesday</v>
      </c>
      <c r="M809" s="5" t="str">
        <f>TEXT(Store_Record[[#This Row],[Date]],"mmmm")</f>
        <v>February</v>
      </c>
      <c r="N809" s="5">
        <f>YEAR(Store_Record[[#This Row],[Date]])</f>
        <v>2025</v>
      </c>
      <c r="O809"/>
    </row>
    <row r="810" spans="1:15" x14ac:dyDescent="0.35">
      <c r="A810" t="s">
        <v>1398</v>
      </c>
      <c r="B810" s="2">
        <v>45715</v>
      </c>
      <c r="C810" t="s">
        <v>24</v>
      </c>
      <c r="D810" t="s">
        <v>11</v>
      </c>
      <c r="E810" t="s">
        <v>26</v>
      </c>
      <c r="F810" t="s">
        <v>13</v>
      </c>
      <c r="G810">
        <v>4</v>
      </c>
      <c r="H810">
        <v>3.5</v>
      </c>
      <c r="I810" t="s">
        <v>39</v>
      </c>
      <c r="J810" t="s">
        <v>879</v>
      </c>
      <c r="K810" s="12">
        <f>Store_Record[[#This Row],[Qty]]*Store_Record[[#This Row],[UnitPriceGBP]]</f>
        <v>14</v>
      </c>
      <c r="L810" s="5" t="str">
        <f>TEXT(Store_Record[[#This Row],[Date]],"dddd")</f>
        <v>Thursday</v>
      </c>
      <c r="M810" s="5" t="str">
        <f>TEXT(Store_Record[[#This Row],[Date]],"mmmm")</f>
        <v>February</v>
      </c>
      <c r="N810" s="5">
        <f>YEAR(Store_Record[[#This Row],[Date]])</f>
        <v>2025</v>
      </c>
      <c r="O810"/>
    </row>
    <row r="811" spans="1:15" x14ac:dyDescent="0.35">
      <c r="A811" t="s">
        <v>1388</v>
      </c>
      <c r="B811" s="2">
        <v>45715</v>
      </c>
      <c r="C811" t="s">
        <v>10</v>
      </c>
      <c r="D811" t="s">
        <v>47</v>
      </c>
      <c r="E811" t="s">
        <v>12</v>
      </c>
      <c r="F811" t="s">
        <v>13</v>
      </c>
      <c r="G811">
        <v>4</v>
      </c>
      <c r="H811">
        <v>2.5</v>
      </c>
      <c r="I811" t="s">
        <v>14</v>
      </c>
      <c r="J811" t="s">
        <v>1389</v>
      </c>
      <c r="K811" s="12">
        <f>Store_Record[[#This Row],[Qty]]*Store_Record[[#This Row],[UnitPriceGBP]]</f>
        <v>10</v>
      </c>
      <c r="L811" s="5" t="str">
        <f>TEXT(Store_Record[[#This Row],[Date]],"dddd")</f>
        <v>Thursday</v>
      </c>
      <c r="M811" s="5" t="str">
        <f>TEXT(Store_Record[[#This Row],[Date]],"mmmm")</f>
        <v>February</v>
      </c>
      <c r="N811" s="5">
        <f>YEAR(Store_Record[[#This Row],[Date]])</f>
        <v>2025</v>
      </c>
      <c r="O811"/>
    </row>
    <row r="812" spans="1:15" x14ac:dyDescent="0.35">
      <c r="A812" t="s">
        <v>1386</v>
      </c>
      <c r="B812" s="2">
        <v>45715</v>
      </c>
      <c r="C812" t="s">
        <v>10</v>
      </c>
      <c r="D812" t="s">
        <v>47</v>
      </c>
      <c r="E812" t="s">
        <v>34</v>
      </c>
      <c r="F812" t="s">
        <v>31</v>
      </c>
      <c r="G812">
        <v>4</v>
      </c>
      <c r="H812">
        <v>2.2000000000000002</v>
      </c>
      <c r="I812" t="s">
        <v>14</v>
      </c>
      <c r="J812" t="s">
        <v>1387</v>
      </c>
      <c r="K812" s="12">
        <f>Store_Record[[#This Row],[Qty]]*Store_Record[[#This Row],[UnitPriceGBP]]</f>
        <v>8.8000000000000007</v>
      </c>
      <c r="L812" s="5" t="str">
        <f>TEXT(Store_Record[[#This Row],[Date]],"dddd")</f>
        <v>Thursday</v>
      </c>
      <c r="M812" s="5" t="str">
        <f>TEXT(Store_Record[[#This Row],[Date]],"mmmm")</f>
        <v>February</v>
      </c>
      <c r="N812" s="5">
        <f>YEAR(Store_Record[[#This Row],[Date]])</f>
        <v>2025</v>
      </c>
      <c r="O812"/>
    </row>
    <row r="813" spans="1:15" x14ac:dyDescent="0.35">
      <c r="A813" t="s">
        <v>1390</v>
      </c>
      <c r="B813" s="2">
        <v>45715</v>
      </c>
      <c r="C813" t="s">
        <v>20</v>
      </c>
      <c r="D813" t="s">
        <v>47</v>
      </c>
      <c r="E813" t="s">
        <v>30</v>
      </c>
      <c r="F813" t="s">
        <v>31</v>
      </c>
      <c r="G813">
        <v>3</v>
      </c>
      <c r="H813">
        <v>2.8</v>
      </c>
      <c r="I813" t="s">
        <v>21</v>
      </c>
      <c r="J813" t="s">
        <v>1391</v>
      </c>
      <c r="K813" s="12">
        <f>Store_Record[[#This Row],[Qty]]*Store_Record[[#This Row],[UnitPriceGBP]]</f>
        <v>8.3999999999999986</v>
      </c>
      <c r="L813" s="5" t="str">
        <f>TEXT(Store_Record[[#This Row],[Date]],"dddd")</f>
        <v>Thursday</v>
      </c>
      <c r="M813" s="5" t="str">
        <f>TEXT(Store_Record[[#This Row],[Date]],"mmmm")</f>
        <v>February</v>
      </c>
      <c r="N813" s="5">
        <f>YEAR(Store_Record[[#This Row],[Date]])</f>
        <v>2025</v>
      </c>
      <c r="O813"/>
    </row>
    <row r="814" spans="1:15" x14ac:dyDescent="0.35">
      <c r="A814" t="s">
        <v>1385</v>
      </c>
      <c r="B814" s="2">
        <v>45715</v>
      </c>
      <c r="C814" t="s">
        <v>36</v>
      </c>
      <c r="D814" t="s">
        <v>38</v>
      </c>
      <c r="E814" t="s">
        <v>26</v>
      </c>
      <c r="F814" t="s">
        <v>13</v>
      </c>
      <c r="G814">
        <v>2</v>
      </c>
      <c r="H814">
        <v>3.5</v>
      </c>
      <c r="I814" t="s">
        <v>21</v>
      </c>
      <c r="J814" t="s">
        <v>91</v>
      </c>
      <c r="K814" s="12">
        <f>Store_Record[[#This Row],[Qty]]*Store_Record[[#This Row],[UnitPriceGBP]]</f>
        <v>7</v>
      </c>
      <c r="L814" s="5" t="str">
        <f>TEXT(Store_Record[[#This Row],[Date]],"dddd")</f>
        <v>Thursday</v>
      </c>
      <c r="M814" s="5" t="str">
        <f>TEXT(Store_Record[[#This Row],[Date]],"mmmm")</f>
        <v>February</v>
      </c>
      <c r="N814" s="5">
        <f>YEAR(Store_Record[[#This Row],[Date]])</f>
        <v>2025</v>
      </c>
      <c r="O814"/>
    </row>
    <row r="815" spans="1:15" x14ac:dyDescent="0.35">
      <c r="A815" t="s">
        <v>1383</v>
      </c>
      <c r="B815" s="2">
        <v>45715</v>
      </c>
      <c r="C815" t="s">
        <v>36</v>
      </c>
      <c r="D815" t="s">
        <v>25</v>
      </c>
      <c r="E815" t="s">
        <v>34</v>
      </c>
      <c r="F815" t="s">
        <v>31</v>
      </c>
      <c r="G815">
        <v>2</v>
      </c>
      <c r="H815">
        <v>2.2000000000000002</v>
      </c>
      <c r="I815" t="s">
        <v>14</v>
      </c>
      <c r="J815" t="s">
        <v>1384</v>
      </c>
      <c r="K815" s="12">
        <f>Store_Record[[#This Row],[Qty]]*Store_Record[[#This Row],[UnitPriceGBP]]</f>
        <v>4.4000000000000004</v>
      </c>
      <c r="L815" s="5" t="str">
        <f>TEXT(Store_Record[[#This Row],[Date]],"dddd")</f>
        <v>Thursday</v>
      </c>
      <c r="M815" s="5" t="str">
        <f>TEXT(Store_Record[[#This Row],[Date]],"mmmm")</f>
        <v>February</v>
      </c>
      <c r="N815" s="5">
        <f>YEAR(Store_Record[[#This Row],[Date]])</f>
        <v>2025</v>
      </c>
      <c r="O815"/>
    </row>
    <row r="816" spans="1:15" x14ac:dyDescent="0.35">
      <c r="A816" t="s">
        <v>1392</v>
      </c>
      <c r="B816" s="2">
        <v>45715</v>
      </c>
      <c r="C816" t="s">
        <v>24</v>
      </c>
      <c r="D816" t="s">
        <v>47</v>
      </c>
      <c r="E816" t="s">
        <v>34</v>
      </c>
      <c r="F816" t="s">
        <v>31</v>
      </c>
      <c r="G816">
        <v>2</v>
      </c>
      <c r="H816">
        <v>2.2000000000000002</v>
      </c>
      <c r="I816" t="s">
        <v>39</v>
      </c>
      <c r="J816" t="s">
        <v>1393</v>
      </c>
      <c r="K816" s="12">
        <f>Store_Record[[#This Row],[Qty]]*Store_Record[[#This Row],[UnitPriceGBP]]</f>
        <v>4.4000000000000004</v>
      </c>
      <c r="L816" s="5" t="str">
        <f>TEXT(Store_Record[[#This Row],[Date]],"dddd")</f>
        <v>Thursday</v>
      </c>
      <c r="M816" s="5" t="str">
        <f>TEXT(Store_Record[[#This Row],[Date]],"mmmm")</f>
        <v>February</v>
      </c>
      <c r="N816" s="5">
        <f>YEAR(Store_Record[[#This Row],[Date]])</f>
        <v>2025</v>
      </c>
      <c r="O816"/>
    </row>
    <row r="817" spans="1:15" x14ac:dyDescent="0.35">
      <c r="A817" t="s">
        <v>1396</v>
      </c>
      <c r="B817" s="2">
        <v>45715</v>
      </c>
      <c r="C817" t="s">
        <v>20</v>
      </c>
      <c r="D817" t="s">
        <v>11</v>
      </c>
      <c r="E817" t="s">
        <v>42</v>
      </c>
      <c r="F817" t="s">
        <v>13</v>
      </c>
      <c r="G817">
        <v>1</v>
      </c>
      <c r="H817">
        <v>3.8</v>
      </c>
      <c r="I817" t="s">
        <v>39</v>
      </c>
      <c r="J817" t="s">
        <v>1397</v>
      </c>
      <c r="K817" s="12">
        <f>Store_Record[[#This Row],[Qty]]*Store_Record[[#This Row],[UnitPriceGBP]]</f>
        <v>3.8</v>
      </c>
      <c r="L817" s="5" t="str">
        <f>TEXT(Store_Record[[#This Row],[Date]],"dddd")</f>
        <v>Thursday</v>
      </c>
      <c r="M817" s="5" t="str">
        <f>TEXT(Store_Record[[#This Row],[Date]],"mmmm")</f>
        <v>February</v>
      </c>
      <c r="N817" s="5">
        <f>YEAR(Store_Record[[#This Row],[Date]])</f>
        <v>2025</v>
      </c>
      <c r="O817"/>
    </row>
    <row r="818" spans="1:15" x14ac:dyDescent="0.35">
      <c r="A818" t="s">
        <v>1394</v>
      </c>
      <c r="B818" s="2">
        <v>45715</v>
      </c>
      <c r="C818" t="s">
        <v>24</v>
      </c>
      <c r="D818" t="s">
        <v>29</v>
      </c>
      <c r="E818" t="s">
        <v>12</v>
      </c>
      <c r="F818" t="s">
        <v>13</v>
      </c>
      <c r="G818">
        <v>1</v>
      </c>
      <c r="H818">
        <v>2.5</v>
      </c>
      <c r="I818" t="s">
        <v>21</v>
      </c>
      <c r="J818" t="s">
        <v>1395</v>
      </c>
      <c r="K818" s="12">
        <f>Store_Record[[#This Row],[Qty]]*Store_Record[[#This Row],[UnitPriceGBP]]</f>
        <v>2.5</v>
      </c>
      <c r="L818" s="5" t="str">
        <f>TEXT(Store_Record[[#This Row],[Date]],"dddd")</f>
        <v>Thursday</v>
      </c>
      <c r="M818" s="5" t="str">
        <f>TEXT(Store_Record[[#This Row],[Date]],"mmmm")</f>
        <v>February</v>
      </c>
      <c r="N818" s="5">
        <f>YEAR(Store_Record[[#This Row],[Date]])</f>
        <v>2025</v>
      </c>
      <c r="O818"/>
    </row>
    <row r="819" spans="1:15" x14ac:dyDescent="0.35">
      <c r="A819" t="s">
        <v>1412</v>
      </c>
      <c r="B819" s="2">
        <v>45716</v>
      </c>
      <c r="C819" t="s">
        <v>36</v>
      </c>
      <c r="D819" t="s">
        <v>25</v>
      </c>
      <c r="E819" t="s">
        <v>26</v>
      </c>
      <c r="F819" t="s">
        <v>13</v>
      </c>
      <c r="G819">
        <v>5</v>
      </c>
      <c r="H819">
        <v>3.5</v>
      </c>
      <c r="I819" t="s">
        <v>14</v>
      </c>
      <c r="J819" t="s">
        <v>345</v>
      </c>
      <c r="K819" s="12">
        <f>Store_Record[[#This Row],[Qty]]*Store_Record[[#This Row],[UnitPriceGBP]]</f>
        <v>17.5</v>
      </c>
      <c r="L819" s="5" t="str">
        <f>TEXT(Store_Record[[#This Row],[Date]],"dddd")</f>
        <v>Friday</v>
      </c>
      <c r="M819" s="5" t="str">
        <f>TEXT(Store_Record[[#This Row],[Date]],"mmmm")</f>
        <v>February</v>
      </c>
      <c r="N819" s="5">
        <f>YEAR(Store_Record[[#This Row],[Date]])</f>
        <v>2025</v>
      </c>
      <c r="O819"/>
    </row>
    <row r="820" spans="1:15" x14ac:dyDescent="0.35">
      <c r="A820" t="s">
        <v>1402</v>
      </c>
      <c r="B820" s="2">
        <v>45716</v>
      </c>
      <c r="C820" t="s">
        <v>36</v>
      </c>
      <c r="D820" t="s">
        <v>29</v>
      </c>
      <c r="E820" t="s">
        <v>26</v>
      </c>
      <c r="F820" t="s">
        <v>13</v>
      </c>
      <c r="G820">
        <v>4</v>
      </c>
      <c r="H820">
        <v>3.5</v>
      </c>
      <c r="I820" t="s">
        <v>21</v>
      </c>
      <c r="J820" t="s">
        <v>1403</v>
      </c>
      <c r="K820" s="12">
        <f>Store_Record[[#This Row],[Qty]]*Store_Record[[#This Row],[UnitPriceGBP]]</f>
        <v>14</v>
      </c>
      <c r="L820" s="5" t="str">
        <f>TEXT(Store_Record[[#This Row],[Date]],"dddd")</f>
        <v>Friday</v>
      </c>
      <c r="M820" s="5" t="str">
        <f>TEXT(Store_Record[[#This Row],[Date]],"mmmm")</f>
        <v>February</v>
      </c>
      <c r="N820" s="5">
        <f>YEAR(Store_Record[[#This Row],[Date]])</f>
        <v>2025</v>
      </c>
      <c r="O820"/>
    </row>
    <row r="821" spans="1:15" x14ac:dyDescent="0.35">
      <c r="A821" t="s">
        <v>1407</v>
      </c>
      <c r="B821" s="2">
        <v>45716</v>
      </c>
      <c r="C821" t="s">
        <v>10</v>
      </c>
      <c r="D821" t="s">
        <v>11</v>
      </c>
      <c r="E821" t="s">
        <v>26</v>
      </c>
      <c r="F821" t="s">
        <v>13</v>
      </c>
      <c r="G821">
        <v>5</v>
      </c>
      <c r="H821">
        <v>2.5</v>
      </c>
      <c r="I821" t="s">
        <v>14</v>
      </c>
      <c r="J821" t="s">
        <v>1408</v>
      </c>
      <c r="K821" s="12">
        <f>Store_Record[[#This Row],[Qty]]*Store_Record[[#This Row],[UnitPriceGBP]]</f>
        <v>12.5</v>
      </c>
      <c r="L821" s="5" t="str">
        <f>TEXT(Store_Record[[#This Row],[Date]],"dddd")</f>
        <v>Friday</v>
      </c>
      <c r="M821" s="5" t="str">
        <f>TEXT(Store_Record[[#This Row],[Date]],"mmmm")</f>
        <v>February</v>
      </c>
      <c r="N821" s="5">
        <f>YEAR(Store_Record[[#This Row],[Date]])</f>
        <v>2025</v>
      </c>
      <c r="O821"/>
    </row>
    <row r="822" spans="1:15" x14ac:dyDescent="0.35">
      <c r="A822" t="s">
        <v>1410</v>
      </c>
      <c r="B822" s="2">
        <v>45716</v>
      </c>
      <c r="C822" t="s">
        <v>36</v>
      </c>
      <c r="D822" t="s">
        <v>11</v>
      </c>
      <c r="E822" t="s">
        <v>12</v>
      </c>
      <c r="F822" t="s">
        <v>13</v>
      </c>
      <c r="G822">
        <v>5</v>
      </c>
      <c r="H822">
        <v>2.5</v>
      </c>
      <c r="I822" t="s">
        <v>14</v>
      </c>
      <c r="J822" t="s">
        <v>1411</v>
      </c>
      <c r="K822" s="12">
        <f>Store_Record[[#This Row],[Qty]]*Store_Record[[#This Row],[UnitPriceGBP]]</f>
        <v>12.5</v>
      </c>
      <c r="L822" s="5" t="str">
        <f>TEXT(Store_Record[[#This Row],[Date]],"dddd")</f>
        <v>Friday</v>
      </c>
      <c r="M822" s="5" t="str">
        <f>TEXT(Store_Record[[#This Row],[Date]],"mmmm")</f>
        <v>February</v>
      </c>
      <c r="N822" s="5">
        <f>YEAR(Store_Record[[#This Row],[Date]])</f>
        <v>2025</v>
      </c>
      <c r="O822"/>
    </row>
    <row r="823" spans="1:15" x14ac:dyDescent="0.35">
      <c r="A823" t="s">
        <v>1404</v>
      </c>
      <c r="B823" s="2">
        <v>45716</v>
      </c>
      <c r="C823" t="s">
        <v>24</v>
      </c>
      <c r="D823" t="s">
        <v>47</v>
      </c>
      <c r="E823" t="s">
        <v>42</v>
      </c>
      <c r="F823" t="s">
        <v>13</v>
      </c>
      <c r="G823">
        <v>3</v>
      </c>
      <c r="H823">
        <v>3.8</v>
      </c>
      <c r="I823" t="s">
        <v>39</v>
      </c>
      <c r="J823" t="s">
        <v>682</v>
      </c>
      <c r="K823" s="12">
        <f>Store_Record[[#This Row],[Qty]]*Store_Record[[#This Row],[UnitPriceGBP]]</f>
        <v>11.399999999999999</v>
      </c>
      <c r="L823" s="5" t="str">
        <f>TEXT(Store_Record[[#This Row],[Date]],"dddd")</f>
        <v>Friday</v>
      </c>
      <c r="M823" s="5" t="str">
        <f>TEXT(Store_Record[[#This Row],[Date]],"mmmm")</f>
        <v>February</v>
      </c>
      <c r="N823" s="5">
        <f>YEAR(Store_Record[[#This Row],[Date]])</f>
        <v>2025</v>
      </c>
      <c r="O823"/>
    </row>
    <row r="824" spans="1:15" x14ac:dyDescent="0.35">
      <c r="A824" t="s">
        <v>1414</v>
      </c>
      <c r="B824" s="2">
        <v>45716</v>
      </c>
      <c r="C824" t="s">
        <v>10</v>
      </c>
      <c r="D824" t="s">
        <v>29</v>
      </c>
      <c r="E824" t="s">
        <v>34</v>
      </c>
      <c r="F824" t="s">
        <v>31</v>
      </c>
      <c r="G824">
        <v>5</v>
      </c>
      <c r="H824">
        <v>2.2000000000000002</v>
      </c>
      <c r="I824" t="s">
        <v>39</v>
      </c>
      <c r="J824" t="s">
        <v>402</v>
      </c>
      <c r="K824" s="12">
        <f>Store_Record[[#This Row],[Qty]]*Store_Record[[#This Row],[UnitPriceGBP]]</f>
        <v>11</v>
      </c>
      <c r="L824" s="5" t="str">
        <f>TEXT(Store_Record[[#This Row],[Date]],"dddd")</f>
        <v>Friday</v>
      </c>
      <c r="M824" s="5" t="str">
        <f>TEXT(Store_Record[[#This Row],[Date]],"mmmm")</f>
        <v>February</v>
      </c>
      <c r="N824" s="5">
        <f>YEAR(Store_Record[[#This Row],[Date]])</f>
        <v>2025</v>
      </c>
      <c r="O824"/>
    </row>
    <row r="825" spans="1:15" x14ac:dyDescent="0.35">
      <c r="A825" t="s">
        <v>1400</v>
      </c>
      <c r="B825" s="2">
        <v>45716</v>
      </c>
      <c r="C825" t="s">
        <v>24</v>
      </c>
      <c r="D825" t="s">
        <v>11</v>
      </c>
      <c r="E825" t="s">
        <v>34</v>
      </c>
      <c r="F825" t="s">
        <v>31</v>
      </c>
      <c r="G825">
        <v>4</v>
      </c>
      <c r="H825">
        <v>2.2000000000000002</v>
      </c>
      <c r="I825" t="s">
        <v>14</v>
      </c>
      <c r="J825" t="s">
        <v>852</v>
      </c>
      <c r="K825" s="12">
        <f>Store_Record[[#This Row],[Qty]]*Store_Record[[#This Row],[UnitPriceGBP]]</f>
        <v>8.8000000000000007</v>
      </c>
      <c r="L825" s="5" t="str">
        <f>TEXT(Store_Record[[#This Row],[Date]],"dddd")</f>
        <v>Friday</v>
      </c>
      <c r="M825" s="5" t="str">
        <f>TEXT(Store_Record[[#This Row],[Date]],"mmmm")</f>
        <v>February</v>
      </c>
      <c r="N825" s="5">
        <f>YEAR(Store_Record[[#This Row],[Date]])</f>
        <v>2025</v>
      </c>
      <c r="O825"/>
    </row>
    <row r="826" spans="1:15" x14ac:dyDescent="0.35">
      <c r="A826" t="s">
        <v>1405</v>
      </c>
      <c r="B826" s="2">
        <v>45716</v>
      </c>
      <c r="C826" t="s">
        <v>24</v>
      </c>
      <c r="D826" t="s">
        <v>29</v>
      </c>
      <c r="E826" t="s">
        <v>34</v>
      </c>
      <c r="F826" t="s">
        <v>31</v>
      </c>
      <c r="G826">
        <v>4</v>
      </c>
      <c r="H826">
        <v>2.2000000000000002</v>
      </c>
      <c r="I826" t="s">
        <v>21</v>
      </c>
      <c r="J826" t="s">
        <v>1406</v>
      </c>
      <c r="K826" s="12">
        <f>Store_Record[[#This Row],[Qty]]*Store_Record[[#This Row],[UnitPriceGBP]]</f>
        <v>8.8000000000000007</v>
      </c>
      <c r="L826" s="5" t="str">
        <f>TEXT(Store_Record[[#This Row],[Date]],"dddd")</f>
        <v>Friday</v>
      </c>
      <c r="M826" s="5" t="str">
        <f>TEXT(Store_Record[[#This Row],[Date]],"mmmm")</f>
        <v>February</v>
      </c>
      <c r="N826" s="5">
        <f>YEAR(Store_Record[[#This Row],[Date]])</f>
        <v>2025</v>
      </c>
      <c r="O826"/>
    </row>
    <row r="827" spans="1:15" x14ac:dyDescent="0.35">
      <c r="A827" t="s">
        <v>1399</v>
      </c>
      <c r="B827" s="2">
        <v>45716</v>
      </c>
      <c r="C827" t="s">
        <v>20</v>
      </c>
      <c r="D827" t="s">
        <v>29</v>
      </c>
      <c r="E827" t="s">
        <v>42</v>
      </c>
      <c r="F827" t="s">
        <v>13</v>
      </c>
      <c r="G827">
        <v>2</v>
      </c>
      <c r="H827">
        <v>3.8</v>
      </c>
      <c r="I827" t="s">
        <v>14</v>
      </c>
      <c r="J827" t="s">
        <v>302</v>
      </c>
      <c r="K827" s="12">
        <f>Store_Record[[#This Row],[Qty]]*Store_Record[[#This Row],[UnitPriceGBP]]</f>
        <v>7.6</v>
      </c>
      <c r="L827" s="5" t="str">
        <f>TEXT(Store_Record[[#This Row],[Date]],"dddd")</f>
        <v>Friday</v>
      </c>
      <c r="M827" s="5" t="str">
        <f>TEXT(Store_Record[[#This Row],[Date]],"mmmm")</f>
        <v>February</v>
      </c>
      <c r="N827" s="5">
        <f>YEAR(Store_Record[[#This Row],[Date]])</f>
        <v>2025</v>
      </c>
      <c r="O827"/>
    </row>
    <row r="828" spans="1:15" x14ac:dyDescent="0.35">
      <c r="A828" t="s">
        <v>1415</v>
      </c>
      <c r="B828" s="2">
        <v>45716</v>
      </c>
      <c r="C828" t="s">
        <v>24</v>
      </c>
      <c r="D828" t="s">
        <v>47</v>
      </c>
      <c r="E828" t="s">
        <v>42</v>
      </c>
      <c r="F828" t="s">
        <v>13</v>
      </c>
      <c r="G828">
        <v>2</v>
      </c>
      <c r="H828">
        <v>3.8</v>
      </c>
      <c r="I828" t="s">
        <v>39</v>
      </c>
      <c r="J828" t="s">
        <v>64</v>
      </c>
      <c r="K828" s="12">
        <f>Store_Record[[#This Row],[Qty]]*Store_Record[[#This Row],[UnitPriceGBP]]</f>
        <v>7.6</v>
      </c>
      <c r="L828" s="5" t="str">
        <f>TEXT(Store_Record[[#This Row],[Date]],"dddd")</f>
        <v>Friday</v>
      </c>
      <c r="M828" s="5" t="str">
        <f>TEXT(Store_Record[[#This Row],[Date]],"mmmm")</f>
        <v>February</v>
      </c>
      <c r="N828" s="5">
        <f>YEAR(Store_Record[[#This Row],[Date]])</f>
        <v>2025</v>
      </c>
      <c r="O828"/>
    </row>
    <row r="829" spans="1:15" x14ac:dyDescent="0.35">
      <c r="A829" t="s">
        <v>1401</v>
      </c>
      <c r="B829" s="2">
        <v>45716</v>
      </c>
      <c r="C829" t="s">
        <v>24</v>
      </c>
      <c r="D829" t="s">
        <v>25</v>
      </c>
      <c r="E829" t="s">
        <v>12</v>
      </c>
      <c r="F829" t="s">
        <v>13</v>
      </c>
      <c r="G829">
        <v>2</v>
      </c>
      <c r="H829">
        <v>2.5</v>
      </c>
      <c r="I829" t="s">
        <v>21</v>
      </c>
      <c r="J829" t="s">
        <v>634</v>
      </c>
      <c r="K829" s="12">
        <f>Store_Record[[#This Row],[Qty]]*Store_Record[[#This Row],[UnitPriceGBP]]</f>
        <v>5</v>
      </c>
      <c r="L829" s="5" t="str">
        <f>TEXT(Store_Record[[#This Row],[Date]],"dddd")</f>
        <v>Friday</v>
      </c>
      <c r="M829" s="5" t="str">
        <f>TEXT(Store_Record[[#This Row],[Date]],"mmmm")</f>
        <v>February</v>
      </c>
      <c r="N829" s="5">
        <f>YEAR(Store_Record[[#This Row],[Date]])</f>
        <v>2025</v>
      </c>
      <c r="O829"/>
    </row>
    <row r="830" spans="1:15" x14ac:dyDescent="0.35">
      <c r="A830" t="s">
        <v>1413</v>
      </c>
      <c r="B830" s="2">
        <v>45716</v>
      </c>
      <c r="C830" t="s">
        <v>24</v>
      </c>
      <c r="D830" t="s">
        <v>11</v>
      </c>
      <c r="E830" t="s">
        <v>30</v>
      </c>
      <c r="F830" t="s">
        <v>31</v>
      </c>
      <c r="G830">
        <v>1</v>
      </c>
      <c r="H830">
        <v>2.8</v>
      </c>
      <c r="I830" t="s">
        <v>14</v>
      </c>
      <c r="J830" t="s">
        <v>1003</v>
      </c>
      <c r="K830" s="12">
        <f>Store_Record[[#This Row],[Qty]]*Store_Record[[#This Row],[UnitPriceGBP]]</f>
        <v>2.8</v>
      </c>
      <c r="L830" s="5" t="str">
        <f>TEXT(Store_Record[[#This Row],[Date]],"dddd")</f>
        <v>Friday</v>
      </c>
      <c r="M830" s="5" t="str">
        <f>TEXT(Store_Record[[#This Row],[Date]],"mmmm")</f>
        <v>February</v>
      </c>
      <c r="N830" s="5">
        <f>YEAR(Store_Record[[#This Row],[Date]])</f>
        <v>2025</v>
      </c>
      <c r="O830"/>
    </row>
    <row r="831" spans="1:15" x14ac:dyDescent="0.35">
      <c r="A831" t="s">
        <v>1409</v>
      </c>
      <c r="B831" s="2">
        <v>45716</v>
      </c>
      <c r="C831" t="s">
        <v>24</v>
      </c>
      <c r="D831" t="s">
        <v>25</v>
      </c>
      <c r="E831" t="s">
        <v>12</v>
      </c>
      <c r="F831" t="s">
        <v>13</v>
      </c>
      <c r="G831">
        <v>1</v>
      </c>
      <c r="H831">
        <v>2.5</v>
      </c>
      <c r="I831" t="s">
        <v>21</v>
      </c>
      <c r="J831" t="s">
        <v>769</v>
      </c>
      <c r="K831" s="12">
        <f>Store_Record[[#This Row],[Qty]]*Store_Record[[#This Row],[UnitPriceGBP]]</f>
        <v>2.5</v>
      </c>
      <c r="L831" s="5" t="str">
        <f>TEXT(Store_Record[[#This Row],[Date]],"dddd")</f>
        <v>Friday</v>
      </c>
      <c r="M831" s="5" t="str">
        <f>TEXT(Store_Record[[#This Row],[Date]],"mmmm")</f>
        <v>February</v>
      </c>
      <c r="N831" s="5">
        <f>YEAR(Store_Record[[#This Row],[Date]])</f>
        <v>2025</v>
      </c>
      <c r="O831"/>
    </row>
    <row r="832" spans="1:15" x14ac:dyDescent="0.35">
      <c r="A832" t="s">
        <v>1433</v>
      </c>
      <c r="B832" s="2">
        <v>45717</v>
      </c>
      <c r="C832" t="s">
        <v>10</v>
      </c>
      <c r="D832" t="s">
        <v>38</v>
      </c>
      <c r="E832" t="s">
        <v>26</v>
      </c>
      <c r="F832" t="s">
        <v>13</v>
      </c>
      <c r="G832">
        <v>5</v>
      </c>
      <c r="H832">
        <v>3.5</v>
      </c>
      <c r="I832" t="s">
        <v>14</v>
      </c>
      <c r="J832" t="s">
        <v>1434</v>
      </c>
      <c r="K832" s="12">
        <f>Store_Record[[#This Row],[Qty]]*Store_Record[[#This Row],[UnitPriceGBP]]</f>
        <v>17.5</v>
      </c>
      <c r="L832" s="5" t="str">
        <f>TEXT(Store_Record[[#This Row],[Date]],"dddd")</f>
        <v>Saturday</v>
      </c>
      <c r="M832" s="5" t="str">
        <f>TEXT(Store_Record[[#This Row],[Date]],"mmmm")</f>
        <v>March</v>
      </c>
      <c r="N832" s="5">
        <f>YEAR(Store_Record[[#This Row],[Date]])</f>
        <v>2025</v>
      </c>
      <c r="O832"/>
    </row>
    <row r="833" spans="1:15" x14ac:dyDescent="0.35">
      <c r="A833" t="s">
        <v>1424</v>
      </c>
      <c r="B833" s="2">
        <v>45717</v>
      </c>
      <c r="C833" t="s">
        <v>36</v>
      </c>
      <c r="D833" t="s">
        <v>11</v>
      </c>
      <c r="E833" t="s">
        <v>30</v>
      </c>
      <c r="F833" t="s">
        <v>31</v>
      </c>
      <c r="G833">
        <v>5</v>
      </c>
      <c r="H833">
        <v>2.8</v>
      </c>
      <c r="I833" t="s">
        <v>39</v>
      </c>
      <c r="J833" t="s">
        <v>990</v>
      </c>
      <c r="K833" s="12">
        <f>Store_Record[[#This Row],[Qty]]*Store_Record[[#This Row],[UnitPriceGBP]]</f>
        <v>14</v>
      </c>
      <c r="L833" s="5" t="str">
        <f>TEXT(Store_Record[[#This Row],[Date]],"dddd")</f>
        <v>Saturday</v>
      </c>
      <c r="M833" s="5" t="str">
        <f>TEXT(Store_Record[[#This Row],[Date]],"mmmm")</f>
        <v>March</v>
      </c>
      <c r="N833" s="5">
        <f>YEAR(Store_Record[[#This Row],[Date]])</f>
        <v>2025</v>
      </c>
      <c r="O833"/>
    </row>
    <row r="834" spans="1:15" x14ac:dyDescent="0.35">
      <c r="A834" t="s">
        <v>1430</v>
      </c>
      <c r="B834" s="2">
        <v>45717</v>
      </c>
      <c r="C834" t="s">
        <v>10</v>
      </c>
      <c r="D834" t="s">
        <v>47</v>
      </c>
      <c r="E834" t="s">
        <v>26</v>
      </c>
      <c r="F834" t="s">
        <v>13</v>
      </c>
      <c r="G834">
        <v>4</v>
      </c>
      <c r="H834">
        <v>3.5</v>
      </c>
      <c r="I834" t="s">
        <v>39</v>
      </c>
      <c r="J834" t="s">
        <v>886</v>
      </c>
      <c r="K834" s="12">
        <f>Store_Record[[#This Row],[Qty]]*Store_Record[[#This Row],[UnitPriceGBP]]</f>
        <v>14</v>
      </c>
      <c r="L834" s="5" t="str">
        <f>TEXT(Store_Record[[#This Row],[Date]],"dddd")</f>
        <v>Saturday</v>
      </c>
      <c r="M834" s="5" t="str">
        <f>TEXT(Store_Record[[#This Row],[Date]],"mmmm")</f>
        <v>March</v>
      </c>
      <c r="N834" s="5">
        <f>YEAR(Store_Record[[#This Row],[Date]])</f>
        <v>2025</v>
      </c>
      <c r="O834"/>
    </row>
    <row r="835" spans="1:15" x14ac:dyDescent="0.35">
      <c r="A835" t="s">
        <v>1432</v>
      </c>
      <c r="B835" s="2">
        <v>45717</v>
      </c>
      <c r="C835" t="s">
        <v>24</v>
      </c>
      <c r="D835" t="s">
        <v>47</v>
      </c>
      <c r="E835" t="s">
        <v>12</v>
      </c>
      <c r="F835" t="s">
        <v>13</v>
      </c>
      <c r="G835">
        <v>5</v>
      </c>
      <c r="H835">
        <v>2.5</v>
      </c>
      <c r="I835" t="s">
        <v>39</v>
      </c>
      <c r="J835" t="s">
        <v>40</v>
      </c>
      <c r="K835" s="12">
        <f>Store_Record[[#This Row],[Qty]]*Store_Record[[#This Row],[UnitPriceGBP]]</f>
        <v>12.5</v>
      </c>
      <c r="L835" s="5" t="str">
        <f>TEXT(Store_Record[[#This Row],[Date]],"dddd")</f>
        <v>Saturday</v>
      </c>
      <c r="M835" s="5" t="str">
        <f>TEXT(Store_Record[[#This Row],[Date]],"mmmm")</f>
        <v>March</v>
      </c>
      <c r="N835" s="5">
        <f>YEAR(Store_Record[[#This Row],[Date]])</f>
        <v>2025</v>
      </c>
      <c r="O835"/>
    </row>
    <row r="836" spans="1:15" x14ac:dyDescent="0.35">
      <c r="A836" t="s">
        <v>1417</v>
      </c>
      <c r="B836" s="2">
        <v>45717</v>
      </c>
      <c r="C836" t="s">
        <v>10</v>
      </c>
      <c r="D836" t="s">
        <v>47</v>
      </c>
      <c r="E836" t="s">
        <v>42</v>
      </c>
      <c r="F836" t="s">
        <v>13</v>
      </c>
      <c r="G836">
        <v>3</v>
      </c>
      <c r="H836">
        <v>3.8</v>
      </c>
      <c r="I836" t="s">
        <v>21</v>
      </c>
      <c r="J836" t="s">
        <v>1418</v>
      </c>
      <c r="K836" s="12">
        <f>Store_Record[[#This Row],[Qty]]*Store_Record[[#This Row],[UnitPriceGBP]]</f>
        <v>11.399999999999999</v>
      </c>
      <c r="L836" s="5" t="str">
        <f>TEXT(Store_Record[[#This Row],[Date]],"dddd")</f>
        <v>Saturday</v>
      </c>
      <c r="M836" s="5" t="str">
        <f>TEXT(Store_Record[[#This Row],[Date]],"mmmm")</f>
        <v>March</v>
      </c>
      <c r="N836" s="5">
        <f>YEAR(Store_Record[[#This Row],[Date]])</f>
        <v>2025</v>
      </c>
      <c r="O836"/>
    </row>
    <row r="837" spans="1:15" x14ac:dyDescent="0.35">
      <c r="A837" t="s">
        <v>1421</v>
      </c>
      <c r="B837" s="2">
        <v>45717</v>
      </c>
      <c r="C837" t="s">
        <v>24</v>
      </c>
      <c r="D837" t="s">
        <v>25</v>
      </c>
      <c r="E837" t="s">
        <v>42</v>
      </c>
      <c r="F837" t="s">
        <v>13</v>
      </c>
      <c r="G837">
        <v>3</v>
      </c>
      <c r="H837">
        <v>3.8</v>
      </c>
      <c r="I837" t="s">
        <v>39</v>
      </c>
      <c r="J837" t="s">
        <v>567</v>
      </c>
      <c r="K837" s="12">
        <f>Store_Record[[#This Row],[Qty]]*Store_Record[[#This Row],[UnitPriceGBP]]</f>
        <v>11.399999999999999</v>
      </c>
      <c r="L837" s="5" t="str">
        <f>TEXT(Store_Record[[#This Row],[Date]],"dddd")</f>
        <v>Saturday</v>
      </c>
      <c r="M837" s="5" t="str">
        <f>TEXT(Store_Record[[#This Row],[Date]],"mmmm")</f>
        <v>March</v>
      </c>
      <c r="N837" s="5">
        <f>YEAR(Store_Record[[#This Row],[Date]])</f>
        <v>2025</v>
      </c>
      <c r="O837"/>
    </row>
    <row r="838" spans="1:15" x14ac:dyDescent="0.35">
      <c r="A838" t="s">
        <v>1422</v>
      </c>
      <c r="B838" s="2">
        <v>45717</v>
      </c>
      <c r="C838" t="s">
        <v>36</v>
      </c>
      <c r="D838" t="s">
        <v>47</v>
      </c>
      <c r="E838" t="s">
        <v>42</v>
      </c>
      <c r="F838" t="s">
        <v>13</v>
      </c>
      <c r="G838">
        <v>3</v>
      </c>
      <c r="H838">
        <v>3.8</v>
      </c>
      <c r="I838" t="s">
        <v>21</v>
      </c>
      <c r="J838" t="s">
        <v>976</v>
      </c>
      <c r="K838" s="12">
        <f>Store_Record[[#This Row],[Qty]]*Store_Record[[#This Row],[UnitPriceGBP]]</f>
        <v>11.399999999999999</v>
      </c>
      <c r="L838" s="5" t="str">
        <f>TEXT(Store_Record[[#This Row],[Date]],"dddd")</f>
        <v>Saturday</v>
      </c>
      <c r="M838" s="5" t="str">
        <f>TEXT(Store_Record[[#This Row],[Date]],"mmmm")</f>
        <v>March</v>
      </c>
      <c r="N838" s="5">
        <f>YEAR(Store_Record[[#This Row],[Date]])</f>
        <v>2025</v>
      </c>
      <c r="O838"/>
    </row>
    <row r="839" spans="1:15" x14ac:dyDescent="0.35">
      <c r="A839" t="s">
        <v>1436</v>
      </c>
      <c r="B839" s="2">
        <v>45717</v>
      </c>
      <c r="C839" t="s">
        <v>10</v>
      </c>
      <c r="D839" t="s">
        <v>29</v>
      </c>
      <c r="E839" t="s">
        <v>30</v>
      </c>
      <c r="F839" t="s">
        <v>31</v>
      </c>
      <c r="G839">
        <v>4</v>
      </c>
      <c r="H839">
        <v>2.8</v>
      </c>
      <c r="I839" t="s">
        <v>21</v>
      </c>
      <c r="J839" t="s">
        <v>908</v>
      </c>
      <c r="K839" s="12">
        <f>Store_Record[[#This Row],[Qty]]*Store_Record[[#This Row],[UnitPriceGBP]]</f>
        <v>11.2</v>
      </c>
      <c r="L839" s="5" t="str">
        <f>TEXT(Store_Record[[#This Row],[Date]],"dddd")</f>
        <v>Saturday</v>
      </c>
      <c r="M839" s="5" t="str">
        <f>TEXT(Store_Record[[#This Row],[Date]],"mmmm")</f>
        <v>March</v>
      </c>
      <c r="N839" s="5">
        <f>YEAR(Store_Record[[#This Row],[Date]])</f>
        <v>2025</v>
      </c>
      <c r="O839"/>
    </row>
    <row r="840" spans="1:15" x14ac:dyDescent="0.35">
      <c r="A840" t="s">
        <v>1427</v>
      </c>
      <c r="B840" s="2">
        <v>45717</v>
      </c>
      <c r="C840" t="s">
        <v>20</v>
      </c>
      <c r="D840" t="s">
        <v>11</v>
      </c>
      <c r="E840" t="s">
        <v>34</v>
      </c>
      <c r="F840" t="s">
        <v>31</v>
      </c>
      <c r="G840">
        <v>5</v>
      </c>
      <c r="H840">
        <v>2.2000000000000002</v>
      </c>
      <c r="I840" t="s">
        <v>39</v>
      </c>
      <c r="J840" t="s">
        <v>1428</v>
      </c>
      <c r="K840" s="12">
        <f>Store_Record[[#This Row],[Qty]]*Store_Record[[#This Row],[UnitPriceGBP]]</f>
        <v>11</v>
      </c>
      <c r="L840" s="5" t="str">
        <f>TEXT(Store_Record[[#This Row],[Date]],"dddd")</f>
        <v>Saturday</v>
      </c>
      <c r="M840" s="5" t="str">
        <f>TEXT(Store_Record[[#This Row],[Date]],"mmmm")</f>
        <v>March</v>
      </c>
      <c r="N840" s="5">
        <f>YEAR(Store_Record[[#This Row],[Date]])</f>
        <v>2025</v>
      </c>
      <c r="O840"/>
    </row>
    <row r="841" spans="1:15" x14ac:dyDescent="0.35">
      <c r="A841" t="s">
        <v>1416</v>
      </c>
      <c r="B841" s="2">
        <v>45717</v>
      </c>
      <c r="C841" t="s">
        <v>24</v>
      </c>
      <c r="D841" t="s">
        <v>25</v>
      </c>
      <c r="E841" t="s">
        <v>34</v>
      </c>
      <c r="F841" t="s">
        <v>31</v>
      </c>
      <c r="G841">
        <v>3</v>
      </c>
      <c r="H841">
        <v>2.2000000000000002</v>
      </c>
      <c r="I841" t="s">
        <v>14</v>
      </c>
      <c r="J841" t="s">
        <v>394</v>
      </c>
      <c r="K841" s="12">
        <f>Store_Record[[#This Row],[Qty]]*Store_Record[[#This Row],[UnitPriceGBP]]</f>
        <v>6.6000000000000005</v>
      </c>
      <c r="L841" s="5" t="str">
        <f>TEXT(Store_Record[[#This Row],[Date]],"dddd")</f>
        <v>Saturday</v>
      </c>
      <c r="M841" s="5" t="str">
        <f>TEXT(Store_Record[[#This Row],[Date]],"mmmm")</f>
        <v>March</v>
      </c>
      <c r="N841" s="5">
        <f>YEAR(Store_Record[[#This Row],[Date]])</f>
        <v>2025</v>
      </c>
      <c r="O841"/>
    </row>
    <row r="842" spans="1:15" x14ac:dyDescent="0.35">
      <c r="A842" t="s">
        <v>1419</v>
      </c>
      <c r="B842" s="2">
        <v>45717</v>
      </c>
      <c r="C842" t="s">
        <v>24</v>
      </c>
      <c r="D842" t="s">
        <v>38</v>
      </c>
      <c r="E842" t="s">
        <v>26</v>
      </c>
      <c r="F842" t="s">
        <v>13</v>
      </c>
      <c r="G842">
        <v>1</v>
      </c>
      <c r="H842">
        <v>3.5</v>
      </c>
      <c r="I842" t="s">
        <v>39</v>
      </c>
      <c r="J842" t="s">
        <v>1420</v>
      </c>
      <c r="K842" s="12">
        <f>Store_Record[[#This Row],[Qty]]*Store_Record[[#This Row],[UnitPriceGBP]]</f>
        <v>3.5</v>
      </c>
      <c r="L842" s="5" t="str">
        <f>TEXT(Store_Record[[#This Row],[Date]],"dddd")</f>
        <v>Saturday</v>
      </c>
      <c r="M842" s="5" t="str">
        <f>TEXT(Store_Record[[#This Row],[Date]],"mmmm")</f>
        <v>March</v>
      </c>
      <c r="N842" s="5">
        <f>YEAR(Store_Record[[#This Row],[Date]])</f>
        <v>2025</v>
      </c>
      <c r="O842"/>
    </row>
    <row r="843" spans="1:15" x14ac:dyDescent="0.35">
      <c r="A843" t="s">
        <v>1429</v>
      </c>
      <c r="B843" s="2">
        <v>45717</v>
      </c>
      <c r="C843" t="s">
        <v>24</v>
      </c>
      <c r="D843" t="s">
        <v>38</v>
      </c>
      <c r="E843" t="s">
        <v>26</v>
      </c>
      <c r="F843" t="s">
        <v>13</v>
      </c>
      <c r="G843">
        <v>1</v>
      </c>
      <c r="H843">
        <v>3.5</v>
      </c>
      <c r="I843" t="s">
        <v>39</v>
      </c>
      <c r="J843" t="s">
        <v>476</v>
      </c>
      <c r="K843" s="12">
        <f>Store_Record[[#This Row],[Qty]]*Store_Record[[#This Row],[UnitPriceGBP]]</f>
        <v>3.5</v>
      </c>
      <c r="L843" s="5" t="str">
        <f>TEXT(Store_Record[[#This Row],[Date]],"dddd")</f>
        <v>Saturday</v>
      </c>
      <c r="M843" s="5" t="str">
        <f>TEXT(Store_Record[[#This Row],[Date]],"mmmm")</f>
        <v>March</v>
      </c>
      <c r="N843" s="5">
        <f>YEAR(Store_Record[[#This Row],[Date]])</f>
        <v>2025</v>
      </c>
      <c r="O843"/>
    </row>
    <row r="844" spans="1:15" x14ac:dyDescent="0.35">
      <c r="A844" t="s">
        <v>1431</v>
      </c>
      <c r="B844" s="2">
        <v>45717</v>
      </c>
      <c r="C844" t="s">
        <v>36</v>
      </c>
      <c r="D844" t="s">
        <v>38</v>
      </c>
      <c r="E844" t="s">
        <v>26</v>
      </c>
      <c r="F844" t="s">
        <v>13</v>
      </c>
      <c r="G844">
        <v>1</v>
      </c>
      <c r="H844">
        <v>3.5</v>
      </c>
      <c r="I844" t="s">
        <v>21</v>
      </c>
      <c r="J844" t="s">
        <v>113</v>
      </c>
      <c r="K844" s="12">
        <f>Store_Record[[#This Row],[Qty]]*Store_Record[[#This Row],[UnitPriceGBP]]</f>
        <v>3.5</v>
      </c>
      <c r="L844" s="5" t="str">
        <f>TEXT(Store_Record[[#This Row],[Date]],"dddd")</f>
        <v>Saturday</v>
      </c>
      <c r="M844" s="5" t="str">
        <f>TEXT(Store_Record[[#This Row],[Date]],"mmmm")</f>
        <v>March</v>
      </c>
      <c r="N844" s="5">
        <f>YEAR(Store_Record[[#This Row],[Date]])</f>
        <v>2025</v>
      </c>
      <c r="O844"/>
    </row>
    <row r="845" spans="1:15" x14ac:dyDescent="0.35">
      <c r="A845" t="s">
        <v>1425</v>
      </c>
      <c r="B845" s="2">
        <v>45717</v>
      </c>
      <c r="C845" t="s">
        <v>24</v>
      </c>
      <c r="D845" t="s">
        <v>47</v>
      </c>
      <c r="E845" t="s">
        <v>30</v>
      </c>
      <c r="F845" t="s">
        <v>31</v>
      </c>
      <c r="G845">
        <v>1</v>
      </c>
      <c r="H845">
        <v>2.8</v>
      </c>
      <c r="I845" t="s">
        <v>39</v>
      </c>
      <c r="J845" t="s">
        <v>1426</v>
      </c>
      <c r="K845" s="12">
        <f>Store_Record[[#This Row],[Qty]]*Store_Record[[#This Row],[UnitPriceGBP]]</f>
        <v>2.8</v>
      </c>
      <c r="L845" s="5" t="str">
        <f>TEXT(Store_Record[[#This Row],[Date]],"dddd")</f>
        <v>Saturday</v>
      </c>
      <c r="M845" s="5" t="str">
        <f>TEXT(Store_Record[[#This Row],[Date]],"mmmm")</f>
        <v>March</v>
      </c>
      <c r="N845" s="5">
        <f>YEAR(Store_Record[[#This Row],[Date]])</f>
        <v>2025</v>
      </c>
      <c r="O845"/>
    </row>
    <row r="846" spans="1:15" x14ac:dyDescent="0.35">
      <c r="A846" t="s">
        <v>1423</v>
      </c>
      <c r="B846" s="2">
        <v>45717</v>
      </c>
      <c r="C846" t="s">
        <v>20</v>
      </c>
      <c r="D846" t="s">
        <v>11</v>
      </c>
      <c r="E846" t="s">
        <v>12</v>
      </c>
      <c r="F846" t="s">
        <v>13</v>
      </c>
      <c r="G846">
        <v>1</v>
      </c>
      <c r="H846">
        <v>2.5</v>
      </c>
      <c r="I846" t="s">
        <v>39</v>
      </c>
      <c r="J846" t="s">
        <v>1156</v>
      </c>
      <c r="K846" s="12">
        <f>Store_Record[[#This Row],[Qty]]*Store_Record[[#This Row],[UnitPriceGBP]]</f>
        <v>2.5</v>
      </c>
      <c r="L846" s="5" t="str">
        <f>TEXT(Store_Record[[#This Row],[Date]],"dddd")</f>
        <v>Saturday</v>
      </c>
      <c r="M846" s="5" t="str">
        <f>TEXT(Store_Record[[#This Row],[Date]],"mmmm")</f>
        <v>March</v>
      </c>
      <c r="N846" s="5">
        <f>YEAR(Store_Record[[#This Row],[Date]])</f>
        <v>2025</v>
      </c>
      <c r="O846"/>
    </row>
    <row r="847" spans="1:15" x14ac:dyDescent="0.35">
      <c r="A847" t="s">
        <v>1435</v>
      </c>
      <c r="B847" s="2">
        <v>45717</v>
      </c>
      <c r="C847" t="s">
        <v>10</v>
      </c>
      <c r="D847" t="s">
        <v>38</v>
      </c>
      <c r="E847" t="s">
        <v>34</v>
      </c>
      <c r="F847" t="s">
        <v>31</v>
      </c>
      <c r="G847">
        <v>1</v>
      </c>
      <c r="H847">
        <v>2.2000000000000002</v>
      </c>
      <c r="I847" t="s">
        <v>14</v>
      </c>
      <c r="J847" t="s">
        <v>1200</v>
      </c>
      <c r="K847" s="12">
        <f>Store_Record[[#This Row],[Qty]]*Store_Record[[#This Row],[UnitPriceGBP]]</f>
        <v>2.2000000000000002</v>
      </c>
      <c r="L847" s="5" t="str">
        <f>TEXT(Store_Record[[#This Row],[Date]],"dddd")</f>
        <v>Saturday</v>
      </c>
      <c r="M847" s="5" t="str">
        <f>TEXT(Store_Record[[#This Row],[Date]],"mmmm")</f>
        <v>March</v>
      </c>
      <c r="N847" s="5">
        <f>YEAR(Store_Record[[#This Row],[Date]])</f>
        <v>2025</v>
      </c>
      <c r="O847"/>
    </row>
    <row r="848" spans="1:15" x14ac:dyDescent="0.35">
      <c r="A848" t="s">
        <v>1439</v>
      </c>
      <c r="B848" s="2">
        <v>45718</v>
      </c>
      <c r="C848" t="s">
        <v>10</v>
      </c>
      <c r="D848" t="s">
        <v>11</v>
      </c>
      <c r="E848" t="s">
        <v>42</v>
      </c>
      <c r="F848" t="s">
        <v>13</v>
      </c>
      <c r="G848">
        <v>5</v>
      </c>
      <c r="H848">
        <v>3.8</v>
      </c>
      <c r="I848" t="s">
        <v>21</v>
      </c>
      <c r="J848" t="s">
        <v>1360</v>
      </c>
      <c r="K848" s="12">
        <f>Store_Record[[#This Row],[Qty]]*Store_Record[[#This Row],[UnitPriceGBP]]</f>
        <v>19</v>
      </c>
      <c r="L848" s="5" t="str">
        <f>TEXT(Store_Record[[#This Row],[Date]],"dddd")</f>
        <v>Sunday</v>
      </c>
      <c r="M848" s="5" t="str">
        <f>TEXT(Store_Record[[#This Row],[Date]],"mmmm")</f>
        <v>March</v>
      </c>
      <c r="N848" s="5">
        <f>YEAR(Store_Record[[#This Row],[Date]])</f>
        <v>2025</v>
      </c>
      <c r="O848"/>
    </row>
    <row r="849" spans="1:15" x14ac:dyDescent="0.35">
      <c r="A849" t="s">
        <v>1444</v>
      </c>
      <c r="B849" s="2">
        <v>45718</v>
      </c>
      <c r="C849" t="s">
        <v>24</v>
      </c>
      <c r="D849" t="s">
        <v>47</v>
      </c>
      <c r="E849" t="s">
        <v>30</v>
      </c>
      <c r="F849" t="s">
        <v>31</v>
      </c>
      <c r="G849">
        <v>5</v>
      </c>
      <c r="H849">
        <v>2.8</v>
      </c>
      <c r="I849" t="s">
        <v>21</v>
      </c>
      <c r="J849" t="s">
        <v>1445</v>
      </c>
      <c r="K849" s="12">
        <f>Store_Record[[#This Row],[Qty]]*Store_Record[[#This Row],[UnitPriceGBP]]</f>
        <v>14</v>
      </c>
      <c r="L849" s="5" t="str">
        <f>TEXT(Store_Record[[#This Row],[Date]],"dddd")</f>
        <v>Sunday</v>
      </c>
      <c r="M849" s="5" t="str">
        <f>TEXT(Store_Record[[#This Row],[Date]],"mmmm")</f>
        <v>March</v>
      </c>
      <c r="N849" s="5">
        <f>YEAR(Store_Record[[#This Row],[Date]])</f>
        <v>2025</v>
      </c>
      <c r="O849"/>
    </row>
    <row r="850" spans="1:15" x14ac:dyDescent="0.35">
      <c r="A850" t="s">
        <v>1451</v>
      </c>
      <c r="B850" s="2">
        <v>45718</v>
      </c>
      <c r="C850" t="s">
        <v>24</v>
      </c>
      <c r="D850" t="s">
        <v>47</v>
      </c>
      <c r="E850" t="s">
        <v>12</v>
      </c>
      <c r="F850" t="s">
        <v>13</v>
      </c>
      <c r="G850">
        <v>5</v>
      </c>
      <c r="H850">
        <v>2.5</v>
      </c>
      <c r="I850" t="s">
        <v>21</v>
      </c>
      <c r="J850" t="s">
        <v>1267</v>
      </c>
      <c r="K850" s="12">
        <f>Store_Record[[#This Row],[Qty]]*Store_Record[[#This Row],[UnitPriceGBP]]</f>
        <v>12.5</v>
      </c>
      <c r="L850" s="5" t="str">
        <f>TEXT(Store_Record[[#This Row],[Date]],"dddd")</f>
        <v>Sunday</v>
      </c>
      <c r="M850" s="5" t="str">
        <f>TEXT(Store_Record[[#This Row],[Date]],"mmmm")</f>
        <v>March</v>
      </c>
      <c r="N850" s="5">
        <f>YEAR(Store_Record[[#This Row],[Date]])</f>
        <v>2025</v>
      </c>
      <c r="O850"/>
    </row>
    <row r="851" spans="1:15" x14ac:dyDescent="0.35">
      <c r="A851" t="s">
        <v>1442</v>
      </c>
      <c r="B851" s="2">
        <v>45718</v>
      </c>
      <c r="C851" t="s">
        <v>36</v>
      </c>
      <c r="D851" t="s">
        <v>38</v>
      </c>
      <c r="E851" t="s">
        <v>30</v>
      </c>
      <c r="F851" t="s">
        <v>31</v>
      </c>
      <c r="G851">
        <v>4</v>
      </c>
      <c r="H851">
        <v>2.8</v>
      </c>
      <c r="I851" t="s">
        <v>39</v>
      </c>
      <c r="J851" t="s">
        <v>806</v>
      </c>
      <c r="K851" s="12">
        <f>Store_Record[[#This Row],[Qty]]*Store_Record[[#This Row],[UnitPriceGBP]]</f>
        <v>11.2</v>
      </c>
      <c r="L851" s="5" t="str">
        <f>TEXT(Store_Record[[#This Row],[Date]],"dddd")</f>
        <v>Sunday</v>
      </c>
      <c r="M851" s="5" t="str">
        <f>TEXT(Store_Record[[#This Row],[Date]],"mmmm")</f>
        <v>March</v>
      </c>
      <c r="N851" s="5">
        <f>YEAR(Store_Record[[#This Row],[Date]])</f>
        <v>2025</v>
      </c>
      <c r="O851"/>
    </row>
    <row r="852" spans="1:15" x14ac:dyDescent="0.35">
      <c r="A852" t="s">
        <v>1440</v>
      </c>
      <c r="B852" s="2">
        <v>45718</v>
      </c>
      <c r="C852" t="s">
        <v>20</v>
      </c>
      <c r="D852" t="s">
        <v>38</v>
      </c>
      <c r="E852" t="s">
        <v>34</v>
      </c>
      <c r="F852" t="s">
        <v>31</v>
      </c>
      <c r="G852">
        <v>5</v>
      </c>
      <c r="H852">
        <v>2.2000000000000002</v>
      </c>
      <c r="I852" t="s">
        <v>21</v>
      </c>
      <c r="J852" t="s">
        <v>1338</v>
      </c>
      <c r="K852" s="12">
        <f>Store_Record[[#This Row],[Qty]]*Store_Record[[#This Row],[UnitPriceGBP]]</f>
        <v>11</v>
      </c>
      <c r="L852" s="5" t="str">
        <f>TEXT(Store_Record[[#This Row],[Date]],"dddd")</f>
        <v>Sunday</v>
      </c>
      <c r="M852" s="5" t="str">
        <f>TEXT(Store_Record[[#This Row],[Date]],"mmmm")</f>
        <v>March</v>
      </c>
      <c r="N852" s="5">
        <f>YEAR(Store_Record[[#This Row],[Date]])</f>
        <v>2025</v>
      </c>
      <c r="O852"/>
    </row>
    <row r="853" spans="1:15" x14ac:dyDescent="0.35">
      <c r="A853" t="s">
        <v>1443</v>
      </c>
      <c r="B853" s="2">
        <v>45718</v>
      </c>
      <c r="C853" t="s">
        <v>36</v>
      </c>
      <c r="D853" t="s">
        <v>25</v>
      </c>
      <c r="E853" t="s">
        <v>12</v>
      </c>
      <c r="F853" t="s">
        <v>13</v>
      </c>
      <c r="G853">
        <v>4</v>
      </c>
      <c r="H853">
        <v>2.5</v>
      </c>
      <c r="I853" t="s">
        <v>14</v>
      </c>
      <c r="J853" t="s">
        <v>1205</v>
      </c>
      <c r="K853" s="12">
        <f>Store_Record[[#This Row],[Qty]]*Store_Record[[#This Row],[UnitPriceGBP]]</f>
        <v>10</v>
      </c>
      <c r="L853" s="5" t="str">
        <f>TEXT(Store_Record[[#This Row],[Date]],"dddd")</f>
        <v>Sunday</v>
      </c>
      <c r="M853" s="5" t="str">
        <f>TEXT(Store_Record[[#This Row],[Date]],"mmmm")</f>
        <v>March</v>
      </c>
      <c r="N853" s="5">
        <f>YEAR(Store_Record[[#This Row],[Date]])</f>
        <v>2025</v>
      </c>
      <c r="O853"/>
    </row>
    <row r="854" spans="1:15" x14ac:dyDescent="0.35">
      <c r="A854" t="s">
        <v>1441</v>
      </c>
      <c r="B854" s="2">
        <v>45718</v>
      </c>
      <c r="C854" t="s">
        <v>36</v>
      </c>
      <c r="D854" t="s">
        <v>38</v>
      </c>
      <c r="E854" t="s">
        <v>34</v>
      </c>
      <c r="F854" t="s">
        <v>31</v>
      </c>
      <c r="G854">
        <v>4</v>
      </c>
      <c r="H854">
        <v>2.2000000000000002</v>
      </c>
      <c r="I854" t="s">
        <v>21</v>
      </c>
      <c r="J854" t="s">
        <v>739</v>
      </c>
      <c r="K854" s="12">
        <f>Store_Record[[#This Row],[Qty]]*Store_Record[[#This Row],[UnitPriceGBP]]</f>
        <v>8.8000000000000007</v>
      </c>
      <c r="L854" s="5" t="str">
        <f>TEXT(Store_Record[[#This Row],[Date]],"dddd")</f>
        <v>Sunday</v>
      </c>
      <c r="M854" s="5" t="str">
        <f>TEXT(Store_Record[[#This Row],[Date]],"mmmm")</f>
        <v>March</v>
      </c>
      <c r="N854" s="5">
        <f>YEAR(Store_Record[[#This Row],[Date]])</f>
        <v>2025</v>
      </c>
      <c r="O854"/>
    </row>
    <row r="855" spans="1:15" x14ac:dyDescent="0.35">
      <c r="A855" t="s">
        <v>1450</v>
      </c>
      <c r="B855" s="2">
        <v>45718</v>
      </c>
      <c r="C855" t="s">
        <v>10</v>
      </c>
      <c r="D855" t="s">
        <v>25</v>
      </c>
      <c r="E855" t="s">
        <v>34</v>
      </c>
      <c r="F855" t="s">
        <v>31</v>
      </c>
      <c r="G855">
        <v>4</v>
      </c>
      <c r="H855">
        <v>2.2000000000000002</v>
      </c>
      <c r="I855" t="s">
        <v>21</v>
      </c>
      <c r="J855" t="s">
        <v>1003</v>
      </c>
      <c r="K855" s="12">
        <f>Store_Record[[#This Row],[Qty]]*Store_Record[[#This Row],[UnitPriceGBP]]</f>
        <v>8.8000000000000007</v>
      </c>
      <c r="L855" s="5" t="str">
        <f>TEXT(Store_Record[[#This Row],[Date]],"dddd")</f>
        <v>Sunday</v>
      </c>
      <c r="M855" s="5" t="str">
        <f>TEXT(Store_Record[[#This Row],[Date]],"mmmm")</f>
        <v>March</v>
      </c>
      <c r="N855" s="5">
        <f>YEAR(Store_Record[[#This Row],[Date]])</f>
        <v>2025</v>
      </c>
      <c r="O855"/>
    </row>
    <row r="856" spans="1:15" x14ac:dyDescent="0.35">
      <c r="A856" t="s">
        <v>1452</v>
      </c>
      <c r="B856" s="2">
        <v>45718</v>
      </c>
      <c r="C856" t="s">
        <v>24</v>
      </c>
      <c r="D856" t="s">
        <v>38</v>
      </c>
      <c r="E856" t="s">
        <v>42</v>
      </c>
      <c r="F856" t="s">
        <v>13</v>
      </c>
      <c r="G856">
        <v>2</v>
      </c>
      <c r="H856">
        <v>3.8</v>
      </c>
      <c r="I856" t="s">
        <v>21</v>
      </c>
      <c r="J856" t="s">
        <v>1453</v>
      </c>
      <c r="K856" s="12">
        <f>Store_Record[[#This Row],[Qty]]*Store_Record[[#This Row],[UnitPriceGBP]]</f>
        <v>7.6</v>
      </c>
      <c r="L856" s="5" t="str">
        <f>TEXT(Store_Record[[#This Row],[Date]],"dddd")</f>
        <v>Sunday</v>
      </c>
      <c r="M856" s="5" t="str">
        <f>TEXT(Store_Record[[#This Row],[Date]],"mmmm")</f>
        <v>March</v>
      </c>
      <c r="N856" s="5">
        <f>YEAR(Store_Record[[#This Row],[Date]])</f>
        <v>2025</v>
      </c>
      <c r="O856"/>
    </row>
    <row r="857" spans="1:15" x14ac:dyDescent="0.35">
      <c r="A857" t="s">
        <v>1437</v>
      </c>
      <c r="B857" s="2">
        <v>45718</v>
      </c>
      <c r="C857" t="s">
        <v>10</v>
      </c>
      <c r="D857" t="s">
        <v>38</v>
      </c>
      <c r="E857" t="s">
        <v>34</v>
      </c>
      <c r="F857" t="s">
        <v>31</v>
      </c>
      <c r="G857">
        <v>3</v>
      </c>
      <c r="H857">
        <v>2.2000000000000002</v>
      </c>
      <c r="I857" t="s">
        <v>39</v>
      </c>
      <c r="J857" t="s">
        <v>906</v>
      </c>
      <c r="K857" s="12">
        <f>Store_Record[[#This Row],[Qty]]*Store_Record[[#This Row],[UnitPriceGBP]]</f>
        <v>6.6000000000000005</v>
      </c>
      <c r="L857" s="5" t="str">
        <f>TEXT(Store_Record[[#This Row],[Date]],"dddd")</f>
        <v>Sunday</v>
      </c>
      <c r="M857" s="5" t="str">
        <f>TEXT(Store_Record[[#This Row],[Date]],"mmmm")</f>
        <v>March</v>
      </c>
      <c r="N857" s="5">
        <f>YEAR(Store_Record[[#This Row],[Date]])</f>
        <v>2025</v>
      </c>
      <c r="O857"/>
    </row>
    <row r="858" spans="1:15" x14ac:dyDescent="0.35">
      <c r="A858" t="s">
        <v>1438</v>
      </c>
      <c r="B858" s="2">
        <v>45718</v>
      </c>
      <c r="C858" t="s">
        <v>36</v>
      </c>
      <c r="D858" t="s">
        <v>47</v>
      </c>
      <c r="E858" t="s">
        <v>30</v>
      </c>
      <c r="F858" t="s">
        <v>31</v>
      </c>
      <c r="G858">
        <v>2</v>
      </c>
      <c r="H858">
        <v>2.8</v>
      </c>
      <c r="I858" t="s">
        <v>14</v>
      </c>
      <c r="J858" t="s">
        <v>109</v>
      </c>
      <c r="K858" s="12">
        <f>Store_Record[[#This Row],[Qty]]*Store_Record[[#This Row],[UnitPriceGBP]]</f>
        <v>5.6</v>
      </c>
      <c r="L858" s="5" t="str">
        <f>TEXT(Store_Record[[#This Row],[Date]],"dddd")</f>
        <v>Sunday</v>
      </c>
      <c r="M858" s="5" t="str">
        <f>TEXT(Store_Record[[#This Row],[Date]],"mmmm")</f>
        <v>March</v>
      </c>
      <c r="N858" s="5">
        <f>YEAR(Store_Record[[#This Row],[Date]])</f>
        <v>2025</v>
      </c>
      <c r="O858"/>
    </row>
    <row r="859" spans="1:15" x14ac:dyDescent="0.35">
      <c r="A859" t="s">
        <v>1446</v>
      </c>
      <c r="B859" s="2">
        <v>45718</v>
      </c>
      <c r="C859" t="s">
        <v>20</v>
      </c>
      <c r="D859" t="s">
        <v>11</v>
      </c>
      <c r="E859" t="s">
        <v>42</v>
      </c>
      <c r="F859" t="s">
        <v>13</v>
      </c>
      <c r="G859">
        <v>1</v>
      </c>
      <c r="H859">
        <v>3.8</v>
      </c>
      <c r="I859" t="s">
        <v>14</v>
      </c>
      <c r="J859" t="s">
        <v>1447</v>
      </c>
      <c r="K859" s="12">
        <f>Store_Record[[#This Row],[Qty]]*Store_Record[[#This Row],[UnitPriceGBP]]</f>
        <v>3.8</v>
      </c>
      <c r="L859" s="5" t="str">
        <f>TEXT(Store_Record[[#This Row],[Date]],"dddd")</f>
        <v>Sunday</v>
      </c>
      <c r="M859" s="5" t="str">
        <f>TEXT(Store_Record[[#This Row],[Date]],"mmmm")</f>
        <v>March</v>
      </c>
      <c r="N859" s="5">
        <f>YEAR(Store_Record[[#This Row],[Date]])</f>
        <v>2025</v>
      </c>
      <c r="O859"/>
    </row>
    <row r="860" spans="1:15" x14ac:dyDescent="0.35">
      <c r="A860" t="s">
        <v>1448</v>
      </c>
      <c r="B860" s="2">
        <v>45718</v>
      </c>
      <c r="C860" t="s">
        <v>24</v>
      </c>
      <c r="D860" t="s">
        <v>11</v>
      </c>
      <c r="E860" t="s">
        <v>34</v>
      </c>
      <c r="F860" t="s">
        <v>31</v>
      </c>
      <c r="G860">
        <v>1</v>
      </c>
      <c r="H860">
        <v>2.2000000000000002</v>
      </c>
      <c r="I860" t="s">
        <v>21</v>
      </c>
      <c r="J860" t="s">
        <v>1449</v>
      </c>
      <c r="K860" s="12">
        <f>Store_Record[[#This Row],[Qty]]*Store_Record[[#This Row],[UnitPriceGBP]]</f>
        <v>2.2000000000000002</v>
      </c>
      <c r="L860" s="5" t="str">
        <f>TEXT(Store_Record[[#This Row],[Date]],"dddd")</f>
        <v>Sunday</v>
      </c>
      <c r="M860" s="5" t="str">
        <f>TEXT(Store_Record[[#This Row],[Date]],"mmmm")</f>
        <v>March</v>
      </c>
      <c r="N860" s="5">
        <f>YEAR(Store_Record[[#This Row],[Date]])</f>
        <v>2025</v>
      </c>
      <c r="O860"/>
    </row>
    <row r="861" spans="1:15" x14ac:dyDescent="0.35">
      <c r="A861" t="s">
        <v>1454</v>
      </c>
      <c r="B861" s="2">
        <v>45719</v>
      </c>
      <c r="C861" t="s">
        <v>20</v>
      </c>
      <c r="D861" t="s">
        <v>47</v>
      </c>
      <c r="E861" t="s">
        <v>30</v>
      </c>
      <c r="F861" t="s">
        <v>31</v>
      </c>
      <c r="G861">
        <v>5</v>
      </c>
      <c r="H861">
        <v>2.8</v>
      </c>
      <c r="I861" t="s">
        <v>14</v>
      </c>
      <c r="J861" t="s">
        <v>1455</v>
      </c>
      <c r="K861" s="12">
        <f>Store_Record[[#This Row],[Qty]]*Store_Record[[#This Row],[UnitPriceGBP]]</f>
        <v>14</v>
      </c>
      <c r="L861" s="5" t="str">
        <f>TEXT(Store_Record[[#This Row],[Date]],"dddd")</f>
        <v>Monday</v>
      </c>
      <c r="M861" s="5" t="str">
        <f>TEXT(Store_Record[[#This Row],[Date]],"mmmm")</f>
        <v>March</v>
      </c>
      <c r="N861" s="5">
        <f>YEAR(Store_Record[[#This Row],[Date]])</f>
        <v>2025</v>
      </c>
      <c r="O861"/>
    </row>
    <row r="862" spans="1:15" x14ac:dyDescent="0.35">
      <c r="A862" t="s">
        <v>1458</v>
      </c>
      <c r="B862" s="2">
        <v>45719</v>
      </c>
      <c r="C862" t="s">
        <v>20</v>
      </c>
      <c r="D862" t="s">
        <v>11</v>
      </c>
      <c r="E862" t="s">
        <v>42</v>
      </c>
      <c r="F862" t="s">
        <v>13</v>
      </c>
      <c r="G862">
        <v>3</v>
      </c>
      <c r="H862">
        <v>3.8</v>
      </c>
      <c r="I862" t="s">
        <v>14</v>
      </c>
      <c r="J862" t="s">
        <v>1445</v>
      </c>
      <c r="K862" s="12">
        <f>Store_Record[[#This Row],[Qty]]*Store_Record[[#This Row],[UnitPriceGBP]]</f>
        <v>11.399999999999999</v>
      </c>
      <c r="L862" s="5" t="str">
        <f>TEXT(Store_Record[[#This Row],[Date]],"dddd")</f>
        <v>Monday</v>
      </c>
      <c r="M862" s="5" t="str">
        <f>TEXT(Store_Record[[#This Row],[Date]],"mmmm")</f>
        <v>March</v>
      </c>
      <c r="N862" s="5">
        <f>YEAR(Store_Record[[#This Row],[Date]])</f>
        <v>2025</v>
      </c>
      <c r="O862"/>
    </row>
    <row r="863" spans="1:15" x14ac:dyDescent="0.35">
      <c r="A863" t="s">
        <v>1467</v>
      </c>
      <c r="B863" s="2">
        <v>45719</v>
      </c>
      <c r="C863" t="s">
        <v>10</v>
      </c>
      <c r="D863" t="s">
        <v>38</v>
      </c>
      <c r="E863" t="s">
        <v>30</v>
      </c>
      <c r="F863" t="s">
        <v>31</v>
      </c>
      <c r="G863">
        <v>4</v>
      </c>
      <c r="H863">
        <v>2.8</v>
      </c>
      <c r="I863" t="s">
        <v>21</v>
      </c>
      <c r="J863" t="s">
        <v>1468</v>
      </c>
      <c r="K863" s="12">
        <f>Store_Record[[#This Row],[Qty]]*Store_Record[[#This Row],[UnitPriceGBP]]</f>
        <v>11.2</v>
      </c>
      <c r="L863" s="5" t="str">
        <f>TEXT(Store_Record[[#This Row],[Date]],"dddd")</f>
        <v>Monday</v>
      </c>
      <c r="M863" s="5" t="str">
        <f>TEXT(Store_Record[[#This Row],[Date]],"mmmm")</f>
        <v>March</v>
      </c>
      <c r="N863" s="5">
        <f>YEAR(Store_Record[[#This Row],[Date]])</f>
        <v>2025</v>
      </c>
      <c r="O863"/>
    </row>
    <row r="864" spans="1:15" x14ac:dyDescent="0.35">
      <c r="A864" t="s">
        <v>1457</v>
      </c>
      <c r="B864" s="2">
        <v>45719</v>
      </c>
      <c r="C864" t="s">
        <v>36</v>
      </c>
      <c r="D864" t="s">
        <v>47</v>
      </c>
      <c r="E864" t="s">
        <v>12</v>
      </c>
      <c r="F864" t="s">
        <v>13</v>
      </c>
      <c r="G864">
        <v>4</v>
      </c>
      <c r="H864">
        <v>2.5</v>
      </c>
      <c r="I864" t="s">
        <v>39</v>
      </c>
      <c r="J864" t="s">
        <v>380</v>
      </c>
      <c r="K864" s="12">
        <f>Store_Record[[#This Row],[Qty]]*Store_Record[[#This Row],[UnitPriceGBP]]</f>
        <v>10</v>
      </c>
      <c r="L864" s="5" t="str">
        <f>TEXT(Store_Record[[#This Row],[Date]],"dddd")</f>
        <v>Monday</v>
      </c>
      <c r="M864" s="5" t="str">
        <f>TEXT(Store_Record[[#This Row],[Date]],"mmmm")</f>
        <v>March</v>
      </c>
      <c r="N864" s="5">
        <f>YEAR(Store_Record[[#This Row],[Date]])</f>
        <v>2025</v>
      </c>
      <c r="O864"/>
    </row>
    <row r="865" spans="1:15" x14ac:dyDescent="0.35">
      <c r="A865" t="s">
        <v>1463</v>
      </c>
      <c r="B865" s="2">
        <v>45719</v>
      </c>
      <c r="C865" t="s">
        <v>10</v>
      </c>
      <c r="D865" t="s">
        <v>47</v>
      </c>
      <c r="E865" t="s">
        <v>12</v>
      </c>
      <c r="F865" t="s">
        <v>13</v>
      </c>
      <c r="G865">
        <v>4</v>
      </c>
      <c r="H865">
        <v>2.5</v>
      </c>
      <c r="I865" t="s">
        <v>39</v>
      </c>
      <c r="J865" t="s">
        <v>1464</v>
      </c>
      <c r="K865" s="12">
        <f>Store_Record[[#This Row],[Qty]]*Store_Record[[#This Row],[UnitPriceGBP]]</f>
        <v>10</v>
      </c>
      <c r="L865" s="5" t="str">
        <f>TEXT(Store_Record[[#This Row],[Date]],"dddd")</f>
        <v>Monday</v>
      </c>
      <c r="M865" s="5" t="str">
        <f>TEXT(Store_Record[[#This Row],[Date]],"mmmm")</f>
        <v>March</v>
      </c>
      <c r="N865" s="5">
        <f>YEAR(Store_Record[[#This Row],[Date]])</f>
        <v>2025</v>
      </c>
      <c r="O865"/>
    </row>
    <row r="866" spans="1:15" x14ac:dyDescent="0.35">
      <c r="A866" t="s">
        <v>1459</v>
      </c>
      <c r="B866" s="2">
        <v>45719</v>
      </c>
      <c r="C866" t="s">
        <v>24</v>
      </c>
      <c r="D866" t="s">
        <v>47</v>
      </c>
      <c r="E866" t="s">
        <v>30</v>
      </c>
      <c r="F866" t="s">
        <v>31</v>
      </c>
      <c r="G866">
        <v>3</v>
      </c>
      <c r="H866">
        <v>2.8</v>
      </c>
      <c r="I866" t="s">
        <v>21</v>
      </c>
      <c r="J866" t="s">
        <v>1460</v>
      </c>
      <c r="K866" s="12">
        <f>Store_Record[[#This Row],[Qty]]*Store_Record[[#This Row],[UnitPriceGBP]]</f>
        <v>8.3999999999999986</v>
      </c>
      <c r="L866" s="5" t="str">
        <f>TEXT(Store_Record[[#This Row],[Date]],"dddd")</f>
        <v>Monday</v>
      </c>
      <c r="M866" s="5" t="str">
        <f>TEXT(Store_Record[[#This Row],[Date]],"mmmm")</f>
        <v>March</v>
      </c>
      <c r="N866" s="5">
        <f>YEAR(Store_Record[[#This Row],[Date]])</f>
        <v>2025</v>
      </c>
      <c r="O866"/>
    </row>
    <row r="867" spans="1:15" x14ac:dyDescent="0.35">
      <c r="A867" t="s">
        <v>1461</v>
      </c>
      <c r="B867" s="2">
        <v>45719</v>
      </c>
      <c r="C867" t="s">
        <v>24</v>
      </c>
      <c r="D867" t="s">
        <v>11</v>
      </c>
      <c r="E867" t="s">
        <v>30</v>
      </c>
      <c r="F867" t="s">
        <v>31</v>
      </c>
      <c r="G867">
        <v>3</v>
      </c>
      <c r="H867">
        <v>2.8</v>
      </c>
      <c r="I867" t="s">
        <v>39</v>
      </c>
      <c r="J867" t="s">
        <v>1462</v>
      </c>
      <c r="K867" s="12">
        <f>Store_Record[[#This Row],[Qty]]*Store_Record[[#This Row],[UnitPriceGBP]]</f>
        <v>8.3999999999999986</v>
      </c>
      <c r="L867" s="5" t="str">
        <f>TEXT(Store_Record[[#This Row],[Date]],"dddd")</f>
        <v>Monday</v>
      </c>
      <c r="M867" s="5" t="str">
        <f>TEXT(Store_Record[[#This Row],[Date]],"mmmm")</f>
        <v>March</v>
      </c>
      <c r="N867" s="5">
        <f>YEAR(Store_Record[[#This Row],[Date]])</f>
        <v>2025</v>
      </c>
      <c r="O867"/>
    </row>
    <row r="868" spans="1:15" x14ac:dyDescent="0.35">
      <c r="A868" t="s">
        <v>1465</v>
      </c>
      <c r="B868" s="2">
        <v>45719</v>
      </c>
      <c r="C868" t="s">
        <v>36</v>
      </c>
      <c r="D868" t="s">
        <v>38</v>
      </c>
      <c r="E868" t="s">
        <v>30</v>
      </c>
      <c r="F868" t="s">
        <v>31</v>
      </c>
      <c r="G868">
        <v>2</v>
      </c>
      <c r="H868">
        <v>2.8</v>
      </c>
      <c r="I868" t="s">
        <v>14</v>
      </c>
      <c r="J868" t="s">
        <v>1466</v>
      </c>
      <c r="K868" s="12">
        <f>Store_Record[[#This Row],[Qty]]*Store_Record[[#This Row],[UnitPriceGBP]]</f>
        <v>5.6</v>
      </c>
      <c r="L868" s="5" t="str">
        <f>TEXT(Store_Record[[#This Row],[Date]],"dddd")</f>
        <v>Monday</v>
      </c>
      <c r="M868" s="5" t="str">
        <f>TEXT(Store_Record[[#This Row],[Date]],"mmmm")</f>
        <v>March</v>
      </c>
      <c r="N868" s="5">
        <f>YEAR(Store_Record[[#This Row],[Date]])</f>
        <v>2025</v>
      </c>
      <c r="O868"/>
    </row>
    <row r="869" spans="1:15" x14ac:dyDescent="0.35">
      <c r="A869" t="s">
        <v>1456</v>
      </c>
      <c r="B869" s="2">
        <v>45719</v>
      </c>
      <c r="C869" t="s">
        <v>36</v>
      </c>
      <c r="D869" t="s">
        <v>38</v>
      </c>
      <c r="E869" t="s">
        <v>34</v>
      </c>
      <c r="F869" t="s">
        <v>31</v>
      </c>
      <c r="G869">
        <v>1</v>
      </c>
      <c r="H869">
        <v>2.2000000000000002</v>
      </c>
      <c r="I869" t="s">
        <v>39</v>
      </c>
      <c r="J869" t="s">
        <v>254</v>
      </c>
      <c r="K869" s="12">
        <f>Store_Record[[#This Row],[Qty]]*Store_Record[[#This Row],[UnitPriceGBP]]</f>
        <v>2.2000000000000002</v>
      </c>
      <c r="L869" s="5" t="str">
        <f>TEXT(Store_Record[[#This Row],[Date]],"dddd")</f>
        <v>Monday</v>
      </c>
      <c r="M869" s="5" t="str">
        <f>TEXT(Store_Record[[#This Row],[Date]],"mmmm")</f>
        <v>March</v>
      </c>
      <c r="N869" s="5">
        <f>YEAR(Store_Record[[#This Row],[Date]])</f>
        <v>2025</v>
      </c>
      <c r="O869"/>
    </row>
    <row r="870" spans="1:15" x14ac:dyDescent="0.35">
      <c r="A870" t="s">
        <v>1469</v>
      </c>
      <c r="B870" s="2">
        <v>45719</v>
      </c>
      <c r="C870" t="s">
        <v>10</v>
      </c>
      <c r="D870" t="s">
        <v>29</v>
      </c>
      <c r="E870" t="s">
        <v>34</v>
      </c>
      <c r="F870" t="s">
        <v>31</v>
      </c>
      <c r="G870">
        <v>1</v>
      </c>
      <c r="H870">
        <v>2.2000000000000002</v>
      </c>
      <c r="I870" t="s">
        <v>14</v>
      </c>
      <c r="J870" t="s">
        <v>677</v>
      </c>
      <c r="K870" s="12">
        <f>Store_Record[[#This Row],[Qty]]*Store_Record[[#This Row],[UnitPriceGBP]]</f>
        <v>2.2000000000000002</v>
      </c>
      <c r="L870" s="5" t="str">
        <f>TEXT(Store_Record[[#This Row],[Date]],"dddd")</f>
        <v>Monday</v>
      </c>
      <c r="M870" s="5" t="str">
        <f>TEXT(Store_Record[[#This Row],[Date]],"mmmm")</f>
        <v>March</v>
      </c>
      <c r="N870" s="5">
        <f>YEAR(Store_Record[[#This Row],[Date]])</f>
        <v>2025</v>
      </c>
      <c r="O870"/>
    </row>
    <row r="871" spans="1:15" x14ac:dyDescent="0.35">
      <c r="A871" t="s">
        <v>1472</v>
      </c>
      <c r="B871" s="2">
        <v>45720</v>
      </c>
      <c r="C871" t="s">
        <v>36</v>
      </c>
      <c r="D871" t="s">
        <v>11</v>
      </c>
      <c r="E871" t="s">
        <v>26</v>
      </c>
      <c r="F871" t="s">
        <v>13</v>
      </c>
      <c r="G871">
        <v>5</v>
      </c>
      <c r="H871">
        <v>3.5</v>
      </c>
      <c r="I871" t="s">
        <v>39</v>
      </c>
      <c r="J871" t="s">
        <v>1355</v>
      </c>
      <c r="K871" s="12">
        <f>Store_Record[[#This Row],[Qty]]*Store_Record[[#This Row],[UnitPriceGBP]]</f>
        <v>17.5</v>
      </c>
      <c r="L871" s="5" t="str">
        <f>TEXT(Store_Record[[#This Row],[Date]],"dddd")</f>
        <v>Tuesday</v>
      </c>
      <c r="M871" s="5" t="str">
        <f>TEXT(Store_Record[[#This Row],[Date]],"mmmm")</f>
        <v>March</v>
      </c>
      <c r="N871" s="5">
        <f>YEAR(Store_Record[[#This Row],[Date]])</f>
        <v>2025</v>
      </c>
      <c r="O871"/>
    </row>
    <row r="872" spans="1:15" x14ac:dyDescent="0.35">
      <c r="A872" t="s">
        <v>1476</v>
      </c>
      <c r="B872" s="2">
        <v>45720</v>
      </c>
      <c r="C872" t="s">
        <v>10</v>
      </c>
      <c r="D872" t="s">
        <v>29</v>
      </c>
      <c r="E872" t="s">
        <v>42</v>
      </c>
      <c r="F872" t="s">
        <v>13</v>
      </c>
      <c r="G872">
        <v>4</v>
      </c>
      <c r="H872">
        <v>3.8</v>
      </c>
      <c r="I872" t="s">
        <v>21</v>
      </c>
      <c r="J872" t="s">
        <v>1477</v>
      </c>
      <c r="K872" s="12">
        <f>Store_Record[[#This Row],[Qty]]*Store_Record[[#This Row],[UnitPriceGBP]]</f>
        <v>15.2</v>
      </c>
      <c r="L872" s="5" t="str">
        <f>TEXT(Store_Record[[#This Row],[Date]],"dddd")</f>
        <v>Tuesday</v>
      </c>
      <c r="M872" s="5" t="str">
        <f>TEXT(Store_Record[[#This Row],[Date]],"mmmm")</f>
        <v>March</v>
      </c>
      <c r="N872" s="5">
        <f>YEAR(Store_Record[[#This Row],[Date]])</f>
        <v>2025</v>
      </c>
      <c r="O872"/>
    </row>
    <row r="873" spans="1:15" x14ac:dyDescent="0.35">
      <c r="A873" t="s">
        <v>1482</v>
      </c>
      <c r="B873" s="2">
        <v>45720</v>
      </c>
      <c r="C873" t="s">
        <v>10</v>
      </c>
      <c r="D873" t="s">
        <v>38</v>
      </c>
      <c r="E873" t="s">
        <v>12</v>
      </c>
      <c r="F873" t="s">
        <v>13</v>
      </c>
      <c r="G873">
        <v>5</v>
      </c>
      <c r="H873">
        <v>2.5</v>
      </c>
      <c r="I873" t="s">
        <v>21</v>
      </c>
      <c r="J873" t="s">
        <v>737</v>
      </c>
      <c r="K873" s="12">
        <f>Store_Record[[#This Row],[Qty]]*Store_Record[[#This Row],[UnitPriceGBP]]</f>
        <v>12.5</v>
      </c>
      <c r="L873" s="5" t="str">
        <f>TEXT(Store_Record[[#This Row],[Date]],"dddd")</f>
        <v>Tuesday</v>
      </c>
      <c r="M873" s="5" t="str">
        <f>TEXT(Store_Record[[#This Row],[Date]],"mmmm")</f>
        <v>March</v>
      </c>
      <c r="N873" s="5">
        <f>YEAR(Store_Record[[#This Row],[Date]])</f>
        <v>2025</v>
      </c>
      <c r="O873"/>
    </row>
    <row r="874" spans="1:15" x14ac:dyDescent="0.35">
      <c r="A874" t="s">
        <v>1494</v>
      </c>
      <c r="B874" s="2">
        <v>45720</v>
      </c>
      <c r="C874" t="s">
        <v>10</v>
      </c>
      <c r="D874" t="s">
        <v>38</v>
      </c>
      <c r="E874" t="s">
        <v>12</v>
      </c>
      <c r="F874" t="s">
        <v>13</v>
      </c>
      <c r="G874">
        <v>5</v>
      </c>
      <c r="H874">
        <v>2.5</v>
      </c>
      <c r="I874" t="s">
        <v>14</v>
      </c>
      <c r="J874" t="s">
        <v>1495</v>
      </c>
      <c r="K874" s="12">
        <f>Store_Record[[#This Row],[Qty]]*Store_Record[[#This Row],[UnitPriceGBP]]</f>
        <v>12.5</v>
      </c>
      <c r="L874" s="5" t="str">
        <f>TEXT(Store_Record[[#This Row],[Date]],"dddd")</f>
        <v>Tuesday</v>
      </c>
      <c r="M874" s="5" t="str">
        <f>TEXT(Store_Record[[#This Row],[Date]],"mmmm")</f>
        <v>March</v>
      </c>
      <c r="N874" s="5">
        <f>YEAR(Store_Record[[#This Row],[Date]])</f>
        <v>2025</v>
      </c>
      <c r="O874"/>
    </row>
    <row r="875" spans="1:15" x14ac:dyDescent="0.35">
      <c r="A875" t="s">
        <v>1493</v>
      </c>
      <c r="B875" s="2">
        <v>45720</v>
      </c>
      <c r="C875" t="s">
        <v>24</v>
      </c>
      <c r="D875" t="s">
        <v>25</v>
      </c>
      <c r="E875" t="s">
        <v>42</v>
      </c>
      <c r="F875" t="s">
        <v>13</v>
      </c>
      <c r="G875">
        <v>3</v>
      </c>
      <c r="H875">
        <v>3.8</v>
      </c>
      <c r="I875" t="s">
        <v>39</v>
      </c>
      <c r="J875" t="s">
        <v>1165</v>
      </c>
      <c r="K875" s="12">
        <f>Store_Record[[#This Row],[Qty]]*Store_Record[[#This Row],[UnitPriceGBP]]</f>
        <v>11.399999999999999</v>
      </c>
      <c r="L875" s="5" t="str">
        <f>TEXT(Store_Record[[#This Row],[Date]],"dddd")</f>
        <v>Tuesday</v>
      </c>
      <c r="M875" s="5" t="str">
        <f>TEXT(Store_Record[[#This Row],[Date]],"mmmm")</f>
        <v>March</v>
      </c>
      <c r="N875" s="5">
        <f>YEAR(Store_Record[[#This Row],[Date]])</f>
        <v>2025</v>
      </c>
      <c r="O875"/>
    </row>
    <row r="876" spans="1:15" x14ac:dyDescent="0.35">
      <c r="A876" t="s">
        <v>1487</v>
      </c>
      <c r="B876" s="2">
        <v>45720</v>
      </c>
      <c r="C876" t="s">
        <v>20</v>
      </c>
      <c r="D876" t="s">
        <v>11</v>
      </c>
      <c r="E876" t="s">
        <v>34</v>
      </c>
      <c r="F876" t="s">
        <v>31</v>
      </c>
      <c r="G876">
        <v>5</v>
      </c>
      <c r="H876">
        <v>2.2000000000000002</v>
      </c>
      <c r="I876" t="s">
        <v>21</v>
      </c>
      <c r="J876" t="s">
        <v>1488</v>
      </c>
      <c r="K876" s="12">
        <f>Store_Record[[#This Row],[Qty]]*Store_Record[[#This Row],[UnitPriceGBP]]</f>
        <v>11</v>
      </c>
      <c r="L876" s="5" t="str">
        <f>TEXT(Store_Record[[#This Row],[Date]],"dddd")</f>
        <v>Tuesday</v>
      </c>
      <c r="M876" s="5" t="str">
        <f>TEXT(Store_Record[[#This Row],[Date]],"mmmm")</f>
        <v>March</v>
      </c>
      <c r="N876" s="5">
        <f>YEAR(Store_Record[[#This Row],[Date]])</f>
        <v>2025</v>
      </c>
      <c r="O876"/>
    </row>
    <row r="877" spans="1:15" x14ac:dyDescent="0.35">
      <c r="A877" t="s">
        <v>1499</v>
      </c>
      <c r="B877" s="2">
        <v>45720</v>
      </c>
      <c r="C877" t="s">
        <v>10</v>
      </c>
      <c r="D877" t="s">
        <v>11</v>
      </c>
      <c r="E877" t="s">
        <v>34</v>
      </c>
      <c r="F877" t="s">
        <v>31</v>
      </c>
      <c r="G877">
        <v>5</v>
      </c>
      <c r="H877">
        <v>2.2000000000000002</v>
      </c>
      <c r="I877" t="s">
        <v>39</v>
      </c>
      <c r="J877" t="s">
        <v>222</v>
      </c>
      <c r="K877" s="12">
        <f>Store_Record[[#This Row],[Qty]]*Store_Record[[#This Row],[UnitPriceGBP]]</f>
        <v>11</v>
      </c>
      <c r="L877" s="5" t="str">
        <f>TEXT(Store_Record[[#This Row],[Date]],"dddd")</f>
        <v>Tuesday</v>
      </c>
      <c r="M877" s="5" t="str">
        <f>TEXT(Store_Record[[#This Row],[Date]],"mmmm")</f>
        <v>March</v>
      </c>
      <c r="N877" s="5">
        <f>YEAR(Store_Record[[#This Row],[Date]])</f>
        <v>2025</v>
      </c>
      <c r="O877"/>
    </row>
    <row r="878" spans="1:15" x14ac:dyDescent="0.35">
      <c r="A878" t="s">
        <v>1503</v>
      </c>
      <c r="B878" s="2">
        <v>45720</v>
      </c>
      <c r="C878" t="s">
        <v>10</v>
      </c>
      <c r="D878" t="s">
        <v>38</v>
      </c>
      <c r="E878" t="s">
        <v>26</v>
      </c>
      <c r="F878" t="s">
        <v>13</v>
      </c>
      <c r="G878">
        <v>3</v>
      </c>
      <c r="H878">
        <v>3.5</v>
      </c>
      <c r="I878" t="s">
        <v>39</v>
      </c>
      <c r="J878" t="s">
        <v>1504</v>
      </c>
      <c r="K878" s="12">
        <f>Store_Record[[#This Row],[Qty]]*Store_Record[[#This Row],[UnitPriceGBP]]</f>
        <v>10.5</v>
      </c>
      <c r="L878" s="5" t="str">
        <f>TEXT(Store_Record[[#This Row],[Date]],"dddd")</f>
        <v>Tuesday</v>
      </c>
      <c r="M878" s="5" t="str">
        <f>TEXT(Store_Record[[#This Row],[Date]],"mmmm")</f>
        <v>March</v>
      </c>
      <c r="N878" s="5">
        <f>YEAR(Store_Record[[#This Row],[Date]])</f>
        <v>2025</v>
      </c>
      <c r="O878"/>
    </row>
    <row r="879" spans="1:15" x14ac:dyDescent="0.35">
      <c r="A879" t="s">
        <v>1489</v>
      </c>
      <c r="B879" s="2">
        <v>45720</v>
      </c>
      <c r="C879" t="s">
        <v>20</v>
      </c>
      <c r="D879" t="s">
        <v>38</v>
      </c>
      <c r="E879" t="s">
        <v>12</v>
      </c>
      <c r="F879" t="s">
        <v>13</v>
      </c>
      <c r="G879">
        <v>4</v>
      </c>
      <c r="H879">
        <v>2.5</v>
      </c>
      <c r="I879" t="s">
        <v>39</v>
      </c>
      <c r="J879" t="s">
        <v>1490</v>
      </c>
      <c r="K879" s="12">
        <f>Store_Record[[#This Row],[Qty]]*Store_Record[[#This Row],[UnitPriceGBP]]</f>
        <v>10</v>
      </c>
      <c r="L879" s="5" t="str">
        <f>TEXT(Store_Record[[#This Row],[Date]],"dddd")</f>
        <v>Tuesday</v>
      </c>
      <c r="M879" s="5" t="str">
        <f>TEXT(Store_Record[[#This Row],[Date]],"mmmm")</f>
        <v>March</v>
      </c>
      <c r="N879" s="5">
        <f>YEAR(Store_Record[[#This Row],[Date]])</f>
        <v>2025</v>
      </c>
      <c r="O879"/>
    </row>
    <row r="880" spans="1:15" x14ac:dyDescent="0.35">
      <c r="A880" t="s">
        <v>1498</v>
      </c>
      <c r="B880" s="2">
        <v>45720</v>
      </c>
      <c r="C880" t="s">
        <v>36</v>
      </c>
      <c r="D880" t="s">
        <v>25</v>
      </c>
      <c r="E880" t="s">
        <v>12</v>
      </c>
      <c r="F880" t="s">
        <v>13</v>
      </c>
      <c r="G880">
        <v>4</v>
      </c>
      <c r="H880">
        <v>2.5</v>
      </c>
      <c r="I880" t="s">
        <v>14</v>
      </c>
      <c r="J880" t="s">
        <v>1329</v>
      </c>
      <c r="K880" s="12">
        <f>Store_Record[[#This Row],[Qty]]*Store_Record[[#This Row],[UnitPriceGBP]]</f>
        <v>10</v>
      </c>
      <c r="L880" s="5" t="str">
        <f>TEXT(Store_Record[[#This Row],[Date]],"dddd")</f>
        <v>Tuesday</v>
      </c>
      <c r="M880" s="5" t="str">
        <f>TEXT(Store_Record[[#This Row],[Date]],"mmmm")</f>
        <v>March</v>
      </c>
      <c r="N880" s="5">
        <f>YEAR(Store_Record[[#This Row],[Date]])</f>
        <v>2025</v>
      </c>
      <c r="O880"/>
    </row>
    <row r="881" spans="1:15" x14ac:dyDescent="0.35">
      <c r="A881" t="s">
        <v>1505</v>
      </c>
      <c r="B881" s="2">
        <v>45720</v>
      </c>
      <c r="C881" t="s">
        <v>10</v>
      </c>
      <c r="D881" t="s">
        <v>29</v>
      </c>
      <c r="E881" t="s">
        <v>34</v>
      </c>
      <c r="F881" t="s">
        <v>31</v>
      </c>
      <c r="G881">
        <v>4</v>
      </c>
      <c r="H881">
        <v>2.2000000000000002</v>
      </c>
      <c r="I881" t="s">
        <v>21</v>
      </c>
      <c r="J881" t="s">
        <v>1053</v>
      </c>
      <c r="K881" s="12">
        <f>Store_Record[[#This Row],[Qty]]*Store_Record[[#This Row],[UnitPriceGBP]]</f>
        <v>8.8000000000000007</v>
      </c>
      <c r="L881" s="5" t="str">
        <f>TEXT(Store_Record[[#This Row],[Date]],"dddd")</f>
        <v>Tuesday</v>
      </c>
      <c r="M881" s="5" t="str">
        <f>TEXT(Store_Record[[#This Row],[Date]],"mmmm")</f>
        <v>March</v>
      </c>
      <c r="N881" s="5">
        <f>YEAR(Store_Record[[#This Row],[Date]])</f>
        <v>2025</v>
      </c>
      <c r="O881"/>
    </row>
    <row r="882" spans="1:15" x14ac:dyDescent="0.35">
      <c r="A882" t="s">
        <v>1478</v>
      </c>
      <c r="B882" s="2">
        <v>45720</v>
      </c>
      <c r="C882" t="s">
        <v>36</v>
      </c>
      <c r="D882" t="s">
        <v>29</v>
      </c>
      <c r="E882" t="s">
        <v>42</v>
      </c>
      <c r="F882" t="s">
        <v>13</v>
      </c>
      <c r="G882">
        <v>2</v>
      </c>
      <c r="H882">
        <v>3.8</v>
      </c>
      <c r="I882" t="s">
        <v>39</v>
      </c>
      <c r="J882" t="s">
        <v>1479</v>
      </c>
      <c r="K882" s="12">
        <f>Store_Record[[#This Row],[Qty]]*Store_Record[[#This Row],[UnitPriceGBP]]</f>
        <v>7.6</v>
      </c>
      <c r="L882" s="5" t="str">
        <f>TEXT(Store_Record[[#This Row],[Date]],"dddd")</f>
        <v>Tuesday</v>
      </c>
      <c r="M882" s="5" t="str">
        <f>TEXT(Store_Record[[#This Row],[Date]],"mmmm")</f>
        <v>March</v>
      </c>
      <c r="N882" s="5">
        <f>YEAR(Store_Record[[#This Row],[Date]])</f>
        <v>2025</v>
      </c>
      <c r="O882"/>
    </row>
    <row r="883" spans="1:15" x14ac:dyDescent="0.35">
      <c r="A883" t="s">
        <v>1500</v>
      </c>
      <c r="B883" s="2">
        <v>45720</v>
      </c>
      <c r="C883" t="s">
        <v>36</v>
      </c>
      <c r="D883" t="s">
        <v>11</v>
      </c>
      <c r="E883" t="s">
        <v>42</v>
      </c>
      <c r="F883" t="s">
        <v>13</v>
      </c>
      <c r="G883">
        <v>2</v>
      </c>
      <c r="H883">
        <v>3.8</v>
      </c>
      <c r="I883" t="s">
        <v>14</v>
      </c>
      <c r="J883" t="s">
        <v>1501</v>
      </c>
      <c r="K883" s="12">
        <f>Store_Record[[#This Row],[Qty]]*Store_Record[[#This Row],[UnitPriceGBP]]</f>
        <v>7.6</v>
      </c>
      <c r="L883" s="5" t="str">
        <f>TEXT(Store_Record[[#This Row],[Date]],"dddd")</f>
        <v>Tuesday</v>
      </c>
      <c r="M883" s="5" t="str">
        <f>TEXT(Store_Record[[#This Row],[Date]],"mmmm")</f>
        <v>March</v>
      </c>
      <c r="N883" s="5">
        <f>YEAR(Store_Record[[#This Row],[Date]])</f>
        <v>2025</v>
      </c>
      <c r="O883"/>
    </row>
    <row r="884" spans="1:15" x14ac:dyDescent="0.35">
      <c r="A884" t="s">
        <v>1483</v>
      </c>
      <c r="B884" s="2">
        <v>45720</v>
      </c>
      <c r="C884" t="s">
        <v>36</v>
      </c>
      <c r="D884" t="s">
        <v>29</v>
      </c>
      <c r="E884" t="s">
        <v>12</v>
      </c>
      <c r="F884" t="s">
        <v>13</v>
      </c>
      <c r="G884">
        <v>3</v>
      </c>
      <c r="H884">
        <v>2.5</v>
      </c>
      <c r="I884" t="s">
        <v>21</v>
      </c>
      <c r="J884" t="s">
        <v>1484</v>
      </c>
      <c r="K884" s="12">
        <f>Store_Record[[#This Row],[Qty]]*Store_Record[[#This Row],[UnitPriceGBP]]</f>
        <v>7.5</v>
      </c>
      <c r="L884" s="5" t="str">
        <f>TEXT(Store_Record[[#This Row],[Date]],"dddd")</f>
        <v>Tuesday</v>
      </c>
      <c r="M884" s="5" t="str">
        <f>TEXT(Store_Record[[#This Row],[Date]],"mmmm")</f>
        <v>March</v>
      </c>
      <c r="N884" s="5">
        <f>YEAR(Store_Record[[#This Row],[Date]])</f>
        <v>2025</v>
      </c>
      <c r="O884"/>
    </row>
    <row r="885" spans="1:15" x14ac:dyDescent="0.35">
      <c r="A885" t="s">
        <v>1496</v>
      </c>
      <c r="B885" s="2">
        <v>45720</v>
      </c>
      <c r="C885" t="s">
        <v>10</v>
      </c>
      <c r="D885" t="s">
        <v>25</v>
      </c>
      <c r="E885" t="s">
        <v>12</v>
      </c>
      <c r="F885" t="s">
        <v>13</v>
      </c>
      <c r="G885">
        <v>2</v>
      </c>
      <c r="H885">
        <v>2.5</v>
      </c>
      <c r="I885" t="s">
        <v>21</v>
      </c>
      <c r="J885" t="s">
        <v>1497</v>
      </c>
      <c r="K885" s="12">
        <f>Store_Record[[#This Row],[Qty]]*Store_Record[[#This Row],[UnitPriceGBP]]</f>
        <v>5</v>
      </c>
      <c r="L885" s="5" t="str">
        <f>TEXT(Store_Record[[#This Row],[Date]],"dddd")</f>
        <v>Tuesday</v>
      </c>
      <c r="M885" s="5" t="str">
        <f>TEXT(Store_Record[[#This Row],[Date]],"mmmm")</f>
        <v>March</v>
      </c>
      <c r="N885" s="5">
        <f>YEAR(Store_Record[[#This Row],[Date]])</f>
        <v>2025</v>
      </c>
      <c r="O885"/>
    </row>
    <row r="886" spans="1:15" x14ac:dyDescent="0.35">
      <c r="A886" t="s">
        <v>1502</v>
      </c>
      <c r="B886" s="2">
        <v>45720</v>
      </c>
      <c r="C886" t="s">
        <v>24</v>
      </c>
      <c r="D886" t="s">
        <v>152</v>
      </c>
      <c r="E886" t="s">
        <v>12</v>
      </c>
      <c r="F886" t="s">
        <v>13</v>
      </c>
      <c r="G886">
        <v>2</v>
      </c>
      <c r="H886">
        <v>2.5</v>
      </c>
      <c r="I886" t="s">
        <v>21</v>
      </c>
      <c r="J886" t="s">
        <v>1418</v>
      </c>
      <c r="K886" s="12">
        <f>Store_Record[[#This Row],[Qty]]*Store_Record[[#This Row],[UnitPriceGBP]]</f>
        <v>5</v>
      </c>
      <c r="L886" s="5" t="str">
        <f>TEXT(Store_Record[[#This Row],[Date]],"dddd")</f>
        <v>Tuesday</v>
      </c>
      <c r="M886" s="5" t="str">
        <f>TEXT(Store_Record[[#This Row],[Date]],"mmmm")</f>
        <v>March</v>
      </c>
      <c r="N886" s="5">
        <f>YEAR(Store_Record[[#This Row],[Date]])</f>
        <v>2025</v>
      </c>
      <c r="O886"/>
    </row>
    <row r="887" spans="1:15" x14ac:dyDescent="0.35">
      <c r="A887" t="s">
        <v>1473</v>
      </c>
      <c r="B887" s="2">
        <v>45720</v>
      </c>
      <c r="C887" t="s">
        <v>10</v>
      </c>
      <c r="D887" t="s">
        <v>47</v>
      </c>
      <c r="E887" t="s">
        <v>34</v>
      </c>
      <c r="F887" t="s">
        <v>31</v>
      </c>
      <c r="G887">
        <v>2</v>
      </c>
      <c r="H887">
        <v>2.2000000000000002</v>
      </c>
      <c r="I887" t="s">
        <v>14</v>
      </c>
      <c r="J887" t="s">
        <v>347</v>
      </c>
      <c r="K887" s="12">
        <f>Store_Record[[#This Row],[Qty]]*Store_Record[[#This Row],[UnitPriceGBP]]</f>
        <v>4.4000000000000004</v>
      </c>
      <c r="L887" s="5" t="str">
        <f>TEXT(Store_Record[[#This Row],[Date]],"dddd")</f>
        <v>Tuesday</v>
      </c>
      <c r="M887" s="5" t="str">
        <f>TEXT(Store_Record[[#This Row],[Date]],"mmmm")</f>
        <v>March</v>
      </c>
      <c r="N887" s="5">
        <f>YEAR(Store_Record[[#This Row],[Date]])</f>
        <v>2025</v>
      </c>
      <c r="O887"/>
    </row>
    <row r="888" spans="1:15" x14ac:dyDescent="0.35">
      <c r="A888" t="s">
        <v>1485</v>
      </c>
      <c r="B888" s="2">
        <v>45720</v>
      </c>
      <c r="C888" t="s">
        <v>20</v>
      </c>
      <c r="D888" t="s">
        <v>25</v>
      </c>
      <c r="E888" t="s">
        <v>42</v>
      </c>
      <c r="F888" t="s">
        <v>13</v>
      </c>
      <c r="G888">
        <v>1</v>
      </c>
      <c r="H888">
        <v>3.8</v>
      </c>
      <c r="I888" t="s">
        <v>21</v>
      </c>
      <c r="J888" t="s">
        <v>1486</v>
      </c>
      <c r="K888" s="12">
        <f>Store_Record[[#This Row],[Qty]]*Store_Record[[#This Row],[UnitPriceGBP]]</f>
        <v>3.8</v>
      </c>
      <c r="L888" s="5" t="str">
        <f>TEXT(Store_Record[[#This Row],[Date]],"dddd")</f>
        <v>Tuesday</v>
      </c>
      <c r="M888" s="5" t="str">
        <f>TEXT(Store_Record[[#This Row],[Date]],"mmmm")</f>
        <v>March</v>
      </c>
      <c r="N888" s="5">
        <f>YEAR(Store_Record[[#This Row],[Date]])</f>
        <v>2025</v>
      </c>
      <c r="O888"/>
    </row>
    <row r="889" spans="1:15" x14ac:dyDescent="0.35">
      <c r="A889" t="s">
        <v>1480</v>
      </c>
      <c r="B889" s="2">
        <v>45720</v>
      </c>
      <c r="C889" t="s">
        <v>10</v>
      </c>
      <c r="D889" t="s">
        <v>29</v>
      </c>
      <c r="E889" t="s">
        <v>30</v>
      </c>
      <c r="F889" t="s">
        <v>31</v>
      </c>
      <c r="G889">
        <v>1</v>
      </c>
      <c r="H889">
        <v>2.8</v>
      </c>
      <c r="I889" t="s">
        <v>21</v>
      </c>
      <c r="J889" t="s">
        <v>1481</v>
      </c>
      <c r="K889" s="12">
        <f>Store_Record[[#This Row],[Qty]]*Store_Record[[#This Row],[UnitPriceGBP]]</f>
        <v>2.8</v>
      </c>
      <c r="L889" s="5" t="str">
        <f>TEXT(Store_Record[[#This Row],[Date]],"dddd")</f>
        <v>Tuesday</v>
      </c>
      <c r="M889" s="5" t="str">
        <f>TEXT(Store_Record[[#This Row],[Date]],"mmmm")</f>
        <v>March</v>
      </c>
      <c r="N889" s="5">
        <f>YEAR(Store_Record[[#This Row],[Date]])</f>
        <v>2025</v>
      </c>
      <c r="O889"/>
    </row>
    <row r="890" spans="1:15" x14ac:dyDescent="0.35">
      <c r="A890" t="s">
        <v>1491</v>
      </c>
      <c r="B890" s="2">
        <v>45720</v>
      </c>
      <c r="C890" t="s">
        <v>36</v>
      </c>
      <c r="D890" t="s">
        <v>47</v>
      </c>
      <c r="E890" t="s">
        <v>12</v>
      </c>
      <c r="F890" t="s">
        <v>13</v>
      </c>
      <c r="G890">
        <v>1</v>
      </c>
      <c r="H890">
        <v>2.5</v>
      </c>
      <c r="I890" t="s">
        <v>39</v>
      </c>
      <c r="J890" t="s">
        <v>1492</v>
      </c>
      <c r="K890" s="12">
        <f>Store_Record[[#This Row],[Qty]]*Store_Record[[#This Row],[UnitPriceGBP]]</f>
        <v>2.5</v>
      </c>
      <c r="L890" s="5" t="str">
        <f>TEXT(Store_Record[[#This Row],[Date]],"dddd")</f>
        <v>Tuesday</v>
      </c>
      <c r="M890" s="5" t="str">
        <f>TEXT(Store_Record[[#This Row],[Date]],"mmmm")</f>
        <v>March</v>
      </c>
      <c r="N890" s="5">
        <f>YEAR(Store_Record[[#This Row],[Date]])</f>
        <v>2025</v>
      </c>
      <c r="O890"/>
    </row>
    <row r="891" spans="1:15" x14ac:dyDescent="0.35">
      <c r="A891" t="s">
        <v>1470</v>
      </c>
      <c r="B891" s="2">
        <v>45720</v>
      </c>
      <c r="C891" t="s">
        <v>20</v>
      </c>
      <c r="D891" t="s">
        <v>38</v>
      </c>
      <c r="E891" t="s">
        <v>34</v>
      </c>
      <c r="F891" t="s">
        <v>31</v>
      </c>
      <c r="G891">
        <v>1</v>
      </c>
      <c r="H891">
        <v>2.2000000000000002</v>
      </c>
      <c r="I891" t="s">
        <v>39</v>
      </c>
      <c r="J891" t="s">
        <v>1471</v>
      </c>
      <c r="K891" s="12">
        <f>Store_Record[[#This Row],[Qty]]*Store_Record[[#This Row],[UnitPriceGBP]]</f>
        <v>2.2000000000000002</v>
      </c>
      <c r="L891" s="5" t="str">
        <f>TEXT(Store_Record[[#This Row],[Date]],"dddd")</f>
        <v>Tuesday</v>
      </c>
      <c r="M891" s="5" t="str">
        <f>TEXT(Store_Record[[#This Row],[Date]],"mmmm")</f>
        <v>March</v>
      </c>
      <c r="N891" s="5">
        <f>YEAR(Store_Record[[#This Row],[Date]])</f>
        <v>2025</v>
      </c>
      <c r="O891"/>
    </row>
    <row r="892" spans="1:15" x14ac:dyDescent="0.35">
      <c r="A892" t="s">
        <v>1474</v>
      </c>
      <c r="B892" s="2">
        <v>45720</v>
      </c>
      <c r="C892" t="s">
        <v>20</v>
      </c>
      <c r="D892" t="s">
        <v>11</v>
      </c>
      <c r="E892" t="s">
        <v>34</v>
      </c>
      <c r="F892" t="s">
        <v>31</v>
      </c>
      <c r="G892">
        <v>1</v>
      </c>
      <c r="H892">
        <v>2.2000000000000002</v>
      </c>
      <c r="I892" t="s">
        <v>14</v>
      </c>
      <c r="J892" t="s">
        <v>1475</v>
      </c>
      <c r="K892" s="12">
        <f>Store_Record[[#This Row],[Qty]]*Store_Record[[#This Row],[UnitPriceGBP]]</f>
        <v>2.2000000000000002</v>
      </c>
      <c r="L892" s="5" t="str">
        <f>TEXT(Store_Record[[#This Row],[Date]],"dddd")</f>
        <v>Tuesday</v>
      </c>
      <c r="M892" s="5" t="str">
        <f>TEXT(Store_Record[[#This Row],[Date]],"mmmm")</f>
        <v>March</v>
      </c>
      <c r="N892" s="5">
        <f>YEAR(Store_Record[[#This Row],[Date]])</f>
        <v>2025</v>
      </c>
      <c r="O892"/>
    </row>
    <row r="893" spans="1:15" x14ac:dyDescent="0.35">
      <c r="A893" t="s">
        <v>1507</v>
      </c>
      <c r="B893" s="2">
        <v>45721</v>
      </c>
      <c r="C893" t="s">
        <v>36</v>
      </c>
      <c r="D893" t="s">
        <v>25</v>
      </c>
      <c r="E893" t="s">
        <v>30</v>
      </c>
      <c r="F893" t="s">
        <v>31</v>
      </c>
      <c r="G893">
        <v>5</v>
      </c>
      <c r="H893">
        <v>2.8</v>
      </c>
      <c r="I893" t="s">
        <v>39</v>
      </c>
      <c r="J893" t="s">
        <v>1191</v>
      </c>
      <c r="K893" s="12">
        <f>Store_Record[[#This Row],[Qty]]*Store_Record[[#This Row],[UnitPriceGBP]]</f>
        <v>14</v>
      </c>
      <c r="L893" s="5" t="str">
        <f>TEXT(Store_Record[[#This Row],[Date]],"dddd")</f>
        <v>Wednesday</v>
      </c>
      <c r="M893" s="5" t="str">
        <f>TEXT(Store_Record[[#This Row],[Date]],"mmmm")</f>
        <v>March</v>
      </c>
      <c r="N893" s="5">
        <f>YEAR(Store_Record[[#This Row],[Date]])</f>
        <v>2025</v>
      </c>
      <c r="O893"/>
    </row>
    <row r="894" spans="1:15" x14ac:dyDescent="0.35">
      <c r="A894" t="s">
        <v>1508</v>
      </c>
      <c r="B894" s="2">
        <v>45721</v>
      </c>
      <c r="C894" t="s">
        <v>24</v>
      </c>
      <c r="D894" t="s">
        <v>29</v>
      </c>
      <c r="E894" t="s">
        <v>12</v>
      </c>
      <c r="F894" t="s">
        <v>13</v>
      </c>
      <c r="G894">
        <v>5</v>
      </c>
      <c r="H894">
        <v>2.5</v>
      </c>
      <c r="I894" t="s">
        <v>39</v>
      </c>
      <c r="J894" t="s">
        <v>1509</v>
      </c>
      <c r="K894" s="12">
        <f>Store_Record[[#This Row],[Qty]]*Store_Record[[#This Row],[UnitPriceGBP]]</f>
        <v>12.5</v>
      </c>
      <c r="L894" s="5" t="str">
        <f>TEXT(Store_Record[[#This Row],[Date]],"dddd")</f>
        <v>Wednesday</v>
      </c>
      <c r="M894" s="5" t="str">
        <f>TEXT(Store_Record[[#This Row],[Date]],"mmmm")</f>
        <v>March</v>
      </c>
      <c r="N894" s="5">
        <f>YEAR(Store_Record[[#This Row],[Date]])</f>
        <v>2025</v>
      </c>
      <c r="O894"/>
    </row>
    <row r="895" spans="1:15" x14ac:dyDescent="0.35">
      <c r="A895" t="s">
        <v>1510</v>
      </c>
      <c r="B895" s="2">
        <v>45721</v>
      </c>
      <c r="C895" t="s">
        <v>20</v>
      </c>
      <c r="D895" t="s">
        <v>11</v>
      </c>
      <c r="E895" t="s">
        <v>30</v>
      </c>
      <c r="F895" t="s">
        <v>31</v>
      </c>
      <c r="G895">
        <v>4</v>
      </c>
      <c r="H895">
        <v>2.8</v>
      </c>
      <c r="I895" t="s">
        <v>39</v>
      </c>
      <c r="J895" t="s">
        <v>454</v>
      </c>
      <c r="K895" s="12">
        <f>Store_Record[[#This Row],[Qty]]*Store_Record[[#This Row],[UnitPriceGBP]]</f>
        <v>11.2</v>
      </c>
      <c r="L895" s="5" t="str">
        <f>TEXT(Store_Record[[#This Row],[Date]],"dddd")</f>
        <v>Wednesday</v>
      </c>
      <c r="M895" s="5" t="str">
        <f>TEXT(Store_Record[[#This Row],[Date]],"mmmm")</f>
        <v>March</v>
      </c>
      <c r="N895" s="5">
        <f>YEAR(Store_Record[[#This Row],[Date]])</f>
        <v>2025</v>
      </c>
      <c r="O895"/>
    </row>
    <row r="896" spans="1:15" x14ac:dyDescent="0.35">
      <c r="A896" t="s">
        <v>1513</v>
      </c>
      <c r="B896" s="2">
        <v>45721</v>
      </c>
      <c r="C896" t="s">
        <v>20</v>
      </c>
      <c r="D896" t="s">
        <v>38</v>
      </c>
      <c r="E896" t="s">
        <v>12</v>
      </c>
      <c r="F896" t="s">
        <v>13</v>
      </c>
      <c r="G896">
        <v>4</v>
      </c>
      <c r="H896">
        <v>2.5</v>
      </c>
      <c r="I896" t="s">
        <v>21</v>
      </c>
      <c r="J896" t="s">
        <v>1225</v>
      </c>
      <c r="K896" s="12">
        <f>Store_Record[[#This Row],[Qty]]*Store_Record[[#This Row],[UnitPriceGBP]]</f>
        <v>10</v>
      </c>
      <c r="L896" s="5" t="str">
        <f>TEXT(Store_Record[[#This Row],[Date]],"dddd")</f>
        <v>Wednesday</v>
      </c>
      <c r="M896" s="5" t="str">
        <f>TEXT(Store_Record[[#This Row],[Date]],"mmmm")</f>
        <v>March</v>
      </c>
      <c r="N896" s="5">
        <f>YEAR(Store_Record[[#This Row],[Date]])</f>
        <v>2025</v>
      </c>
      <c r="O896"/>
    </row>
    <row r="897" spans="1:15" x14ac:dyDescent="0.35">
      <c r="A897" t="s">
        <v>1512</v>
      </c>
      <c r="B897" s="2">
        <v>45721</v>
      </c>
      <c r="C897" t="s">
        <v>20</v>
      </c>
      <c r="D897" t="s">
        <v>29</v>
      </c>
      <c r="E897" t="s">
        <v>30</v>
      </c>
      <c r="F897" t="s">
        <v>31</v>
      </c>
      <c r="G897">
        <v>2</v>
      </c>
      <c r="H897">
        <v>2.8</v>
      </c>
      <c r="I897" t="s">
        <v>39</v>
      </c>
      <c r="J897" t="s">
        <v>549</v>
      </c>
      <c r="K897" s="12">
        <f>Store_Record[[#This Row],[Qty]]*Store_Record[[#This Row],[UnitPriceGBP]]</f>
        <v>5.6</v>
      </c>
      <c r="L897" s="5" t="str">
        <f>TEXT(Store_Record[[#This Row],[Date]],"dddd")</f>
        <v>Wednesday</v>
      </c>
      <c r="M897" s="5" t="str">
        <f>TEXT(Store_Record[[#This Row],[Date]],"mmmm")</f>
        <v>March</v>
      </c>
      <c r="N897" s="5">
        <f>YEAR(Store_Record[[#This Row],[Date]])</f>
        <v>2025</v>
      </c>
      <c r="O897"/>
    </row>
    <row r="898" spans="1:15" x14ac:dyDescent="0.35">
      <c r="A898" t="s">
        <v>1506</v>
      </c>
      <c r="B898" s="2">
        <v>45721</v>
      </c>
      <c r="C898" t="s">
        <v>20</v>
      </c>
      <c r="D898" t="s">
        <v>38</v>
      </c>
      <c r="E898" t="s">
        <v>34</v>
      </c>
      <c r="F898" t="s">
        <v>31</v>
      </c>
      <c r="G898">
        <v>2</v>
      </c>
      <c r="H898">
        <v>2.2000000000000002</v>
      </c>
      <c r="I898" t="s">
        <v>14</v>
      </c>
      <c r="J898" t="s">
        <v>708</v>
      </c>
      <c r="K898" s="12">
        <f>Store_Record[[#This Row],[Qty]]*Store_Record[[#This Row],[UnitPriceGBP]]</f>
        <v>4.4000000000000004</v>
      </c>
      <c r="L898" s="5" t="str">
        <f>TEXT(Store_Record[[#This Row],[Date]],"dddd")</f>
        <v>Wednesday</v>
      </c>
      <c r="M898" s="5" t="str">
        <f>TEXT(Store_Record[[#This Row],[Date]],"mmmm")</f>
        <v>March</v>
      </c>
      <c r="N898" s="5">
        <f>YEAR(Store_Record[[#This Row],[Date]])</f>
        <v>2025</v>
      </c>
      <c r="O898"/>
    </row>
    <row r="899" spans="1:15" x14ac:dyDescent="0.35">
      <c r="A899" t="s">
        <v>1511</v>
      </c>
      <c r="B899" s="2">
        <v>45721</v>
      </c>
      <c r="C899" t="s">
        <v>24</v>
      </c>
      <c r="D899" t="s">
        <v>11</v>
      </c>
      <c r="E899" t="s">
        <v>42</v>
      </c>
      <c r="F899" t="s">
        <v>13</v>
      </c>
      <c r="G899">
        <v>1</v>
      </c>
      <c r="H899">
        <v>3.8</v>
      </c>
      <c r="I899" t="s">
        <v>39</v>
      </c>
      <c r="J899" t="s">
        <v>808</v>
      </c>
      <c r="K899" s="12">
        <f>Store_Record[[#This Row],[Qty]]*Store_Record[[#This Row],[UnitPriceGBP]]</f>
        <v>3.8</v>
      </c>
      <c r="L899" s="5" t="str">
        <f>TEXT(Store_Record[[#This Row],[Date]],"dddd")</f>
        <v>Wednesday</v>
      </c>
      <c r="M899" s="5" t="str">
        <f>TEXT(Store_Record[[#This Row],[Date]],"mmmm")</f>
        <v>March</v>
      </c>
      <c r="N899" s="5">
        <f>YEAR(Store_Record[[#This Row],[Date]])</f>
        <v>2025</v>
      </c>
      <c r="O899"/>
    </row>
    <row r="900" spans="1:15" x14ac:dyDescent="0.35">
      <c r="A900" t="s">
        <v>1514</v>
      </c>
      <c r="B900" s="2">
        <v>45721</v>
      </c>
      <c r="C900" t="s">
        <v>36</v>
      </c>
      <c r="D900" t="s">
        <v>47</v>
      </c>
      <c r="E900" t="s">
        <v>26</v>
      </c>
      <c r="F900" t="s">
        <v>13</v>
      </c>
      <c r="G900">
        <v>1</v>
      </c>
      <c r="H900">
        <v>3.5</v>
      </c>
      <c r="I900" t="s">
        <v>21</v>
      </c>
      <c r="J900" t="s">
        <v>700</v>
      </c>
      <c r="K900" s="12">
        <f>Store_Record[[#This Row],[Qty]]*Store_Record[[#This Row],[UnitPriceGBP]]</f>
        <v>3.5</v>
      </c>
      <c r="L900" s="5" t="str">
        <f>TEXT(Store_Record[[#This Row],[Date]],"dddd")</f>
        <v>Wednesday</v>
      </c>
      <c r="M900" s="5" t="str">
        <f>TEXT(Store_Record[[#This Row],[Date]],"mmmm")</f>
        <v>March</v>
      </c>
      <c r="N900" s="5">
        <f>YEAR(Store_Record[[#This Row],[Date]])</f>
        <v>2025</v>
      </c>
      <c r="O900"/>
    </row>
    <row r="901" spans="1:15" x14ac:dyDescent="0.35">
      <c r="A901" t="s">
        <v>1523</v>
      </c>
      <c r="B901" s="2">
        <v>45722</v>
      </c>
      <c r="C901" t="s">
        <v>10</v>
      </c>
      <c r="D901" t="s">
        <v>38</v>
      </c>
      <c r="E901" t="s">
        <v>42</v>
      </c>
      <c r="F901" t="s">
        <v>13</v>
      </c>
      <c r="G901">
        <v>4</v>
      </c>
      <c r="H901">
        <v>3.8</v>
      </c>
      <c r="I901" t="s">
        <v>21</v>
      </c>
      <c r="J901" t="s">
        <v>1524</v>
      </c>
      <c r="K901" s="12">
        <f>Store_Record[[#This Row],[Qty]]*Store_Record[[#This Row],[UnitPriceGBP]]</f>
        <v>15.2</v>
      </c>
      <c r="L901" s="5" t="str">
        <f>TEXT(Store_Record[[#This Row],[Date]],"dddd")</f>
        <v>Thursday</v>
      </c>
      <c r="M901" s="5" t="str">
        <f>TEXT(Store_Record[[#This Row],[Date]],"mmmm")</f>
        <v>March</v>
      </c>
      <c r="N901" s="5">
        <f>YEAR(Store_Record[[#This Row],[Date]])</f>
        <v>2025</v>
      </c>
      <c r="O901"/>
    </row>
    <row r="902" spans="1:15" x14ac:dyDescent="0.35">
      <c r="A902" t="s">
        <v>1520</v>
      </c>
      <c r="B902" s="2">
        <v>45722</v>
      </c>
      <c r="C902" t="s">
        <v>24</v>
      </c>
      <c r="D902" t="s">
        <v>11</v>
      </c>
      <c r="E902" t="s">
        <v>26</v>
      </c>
      <c r="F902" t="s">
        <v>13</v>
      </c>
      <c r="G902">
        <v>4</v>
      </c>
      <c r="H902">
        <v>3.5</v>
      </c>
      <c r="I902" t="s">
        <v>21</v>
      </c>
      <c r="J902" t="s">
        <v>1114</v>
      </c>
      <c r="K902" s="12">
        <f>Store_Record[[#This Row],[Qty]]*Store_Record[[#This Row],[UnitPriceGBP]]</f>
        <v>14</v>
      </c>
      <c r="L902" s="5" t="str">
        <f>TEXT(Store_Record[[#This Row],[Date]],"dddd")</f>
        <v>Thursday</v>
      </c>
      <c r="M902" s="5" t="str">
        <f>TEXT(Store_Record[[#This Row],[Date]],"mmmm")</f>
        <v>March</v>
      </c>
      <c r="N902" s="5">
        <f>YEAR(Store_Record[[#This Row],[Date]])</f>
        <v>2025</v>
      </c>
      <c r="O902"/>
    </row>
    <row r="903" spans="1:15" x14ac:dyDescent="0.35">
      <c r="A903" t="s">
        <v>1536</v>
      </c>
      <c r="B903" s="2">
        <v>45722</v>
      </c>
      <c r="C903" t="s">
        <v>20</v>
      </c>
      <c r="D903" t="s">
        <v>38</v>
      </c>
      <c r="E903" t="s">
        <v>30</v>
      </c>
      <c r="F903" t="s">
        <v>31</v>
      </c>
      <c r="G903">
        <v>5</v>
      </c>
      <c r="H903">
        <v>2.8</v>
      </c>
      <c r="I903" t="s">
        <v>21</v>
      </c>
      <c r="J903" t="s">
        <v>1112</v>
      </c>
      <c r="K903" s="12">
        <f>Store_Record[[#This Row],[Qty]]*Store_Record[[#This Row],[UnitPriceGBP]]</f>
        <v>14</v>
      </c>
      <c r="L903" s="5" t="str">
        <f>TEXT(Store_Record[[#This Row],[Date]],"dddd")</f>
        <v>Thursday</v>
      </c>
      <c r="M903" s="5" t="str">
        <f>TEXT(Store_Record[[#This Row],[Date]],"mmmm")</f>
        <v>March</v>
      </c>
      <c r="N903" s="5">
        <f>YEAR(Store_Record[[#This Row],[Date]])</f>
        <v>2025</v>
      </c>
      <c r="O903"/>
    </row>
    <row r="904" spans="1:15" x14ac:dyDescent="0.35">
      <c r="A904" t="s">
        <v>1534</v>
      </c>
      <c r="B904" s="2">
        <v>45722</v>
      </c>
      <c r="C904" t="s">
        <v>24</v>
      </c>
      <c r="D904" t="s">
        <v>25</v>
      </c>
      <c r="E904" t="s">
        <v>42</v>
      </c>
      <c r="F904" t="s">
        <v>13</v>
      </c>
      <c r="G904">
        <v>3</v>
      </c>
      <c r="H904">
        <v>3.8</v>
      </c>
      <c r="I904" t="s">
        <v>21</v>
      </c>
      <c r="J904" t="s">
        <v>256</v>
      </c>
      <c r="K904" s="12">
        <f>Store_Record[[#This Row],[Qty]]*Store_Record[[#This Row],[UnitPriceGBP]]</f>
        <v>11.399999999999999</v>
      </c>
      <c r="L904" s="5" t="str">
        <f>TEXT(Store_Record[[#This Row],[Date]],"dddd")</f>
        <v>Thursday</v>
      </c>
      <c r="M904" s="5" t="str">
        <f>TEXT(Store_Record[[#This Row],[Date]],"mmmm")</f>
        <v>March</v>
      </c>
      <c r="N904" s="5">
        <f>YEAR(Store_Record[[#This Row],[Date]])</f>
        <v>2025</v>
      </c>
      <c r="O904"/>
    </row>
    <row r="905" spans="1:15" x14ac:dyDescent="0.35">
      <c r="A905" t="s">
        <v>1535</v>
      </c>
      <c r="B905" s="2">
        <v>45722</v>
      </c>
      <c r="C905" t="s">
        <v>24</v>
      </c>
      <c r="D905" t="s">
        <v>38</v>
      </c>
      <c r="E905" t="s">
        <v>42</v>
      </c>
      <c r="F905" t="s">
        <v>13</v>
      </c>
      <c r="G905">
        <v>3</v>
      </c>
      <c r="H905">
        <v>3.8</v>
      </c>
      <c r="I905" t="s">
        <v>39</v>
      </c>
      <c r="J905" t="s">
        <v>700</v>
      </c>
      <c r="K905" s="12">
        <f>Store_Record[[#This Row],[Qty]]*Store_Record[[#This Row],[UnitPriceGBP]]</f>
        <v>11.399999999999999</v>
      </c>
      <c r="L905" s="5" t="str">
        <f>TEXT(Store_Record[[#This Row],[Date]],"dddd")</f>
        <v>Thursday</v>
      </c>
      <c r="M905" s="5" t="str">
        <f>TEXT(Store_Record[[#This Row],[Date]],"mmmm")</f>
        <v>March</v>
      </c>
      <c r="N905" s="5">
        <f>YEAR(Store_Record[[#This Row],[Date]])</f>
        <v>2025</v>
      </c>
      <c r="O905"/>
    </row>
    <row r="906" spans="1:15" x14ac:dyDescent="0.35">
      <c r="A906" t="s">
        <v>1531</v>
      </c>
      <c r="B906" s="2">
        <v>45722</v>
      </c>
      <c r="C906" t="s">
        <v>36</v>
      </c>
      <c r="D906" t="s">
        <v>47</v>
      </c>
      <c r="E906" t="s">
        <v>26</v>
      </c>
      <c r="F906" t="s">
        <v>13</v>
      </c>
      <c r="G906">
        <v>3</v>
      </c>
      <c r="H906">
        <v>3.5</v>
      </c>
      <c r="I906" t="s">
        <v>21</v>
      </c>
      <c r="J906" t="s">
        <v>862</v>
      </c>
      <c r="K906" s="12">
        <f>Store_Record[[#This Row],[Qty]]*Store_Record[[#This Row],[UnitPriceGBP]]</f>
        <v>10.5</v>
      </c>
      <c r="L906" s="5" t="str">
        <f>TEXT(Store_Record[[#This Row],[Date]],"dddd")</f>
        <v>Thursday</v>
      </c>
      <c r="M906" s="5" t="str">
        <f>TEXT(Store_Record[[#This Row],[Date]],"mmmm")</f>
        <v>March</v>
      </c>
      <c r="N906" s="5">
        <f>YEAR(Store_Record[[#This Row],[Date]])</f>
        <v>2025</v>
      </c>
      <c r="O906"/>
    </row>
    <row r="907" spans="1:15" x14ac:dyDescent="0.35">
      <c r="A907" t="s">
        <v>1519</v>
      </c>
      <c r="B907" s="2">
        <v>45722</v>
      </c>
      <c r="C907" t="s">
        <v>36</v>
      </c>
      <c r="D907" t="s">
        <v>47</v>
      </c>
      <c r="E907" t="s">
        <v>12</v>
      </c>
      <c r="F907" t="s">
        <v>13</v>
      </c>
      <c r="G907">
        <v>4</v>
      </c>
      <c r="H907">
        <v>2.5</v>
      </c>
      <c r="I907" t="s">
        <v>39</v>
      </c>
      <c r="J907" t="s">
        <v>921</v>
      </c>
      <c r="K907" s="12">
        <f>Store_Record[[#This Row],[Qty]]*Store_Record[[#This Row],[UnitPriceGBP]]</f>
        <v>10</v>
      </c>
      <c r="L907" s="5" t="str">
        <f>TEXT(Store_Record[[#This Row],[Date]],"dddd")</f>
        <v>Thursday</v>
      </c>
      <c r="M907" s="5" t="str">
        <f>TEXT(Store_Record[[#This Row],[Date]],"mmmm")</f>
        <v>March</v>
      </c>
      <c r="N907" s="5">
        <f>YEAR(Store_Record[[#This Row],[Date]])</f>
        <v>2025</v>
      </c>
      <c r="O907"/>
    </row>
    <row r="908" spans="1:15" x14ac:dyDescent="0.35">
      <c r="A908" t="s">
        <v>1521</v>
      </c>
      <c r="B908" s="2">
        <v>45722</v>
      </c>
      <c r="C908" t="s">
        <v>10</v>
      </c>
      <c r="D908" t="s">
        <v>11</v>
      </c>
      <c r="E908" t="s">
        <v>12</v>
      </c>
      <c r="F908" t="s">
        <v>13</v>
      </c>
      <c r="G908">
        <v>4</v>
      </c>
      <c r="H908">
        <v>2.5</v>
      </c>
      <c r="I908" t="s">
        <v>21</v>
      </c>
      <c r="J908" t="s">
        <v>1522</v>
      </c>
      <c r="K908" s="12">
        <f>Store_Record[[#This Row],[Qty]]*Store_Record[[#This Row],[UnitPriceGBP]]</f>
        <v>10</v>
      </c>
      <c r="L908" s="5" t="str">
        <f>TEXT(Store_Record[[#This Row],[Date]],"dddd")</f>
        <v>Thursday</v>
      </c>
      <c r="M908" s="5" t="str">
        <f>TEXT(Store_Record[[#This Row],[Date]],"mmmm")</f>
        <v>March</v>
      </c>
      <c r="N908" s="5">
        <f>YEAR(Store_Record[[#This Row],[Date]])</f>
        <v>2025</v>
      </c>
      <c r="O908"/>
    </row>
    <row r="909" spans="1:15" x14ac:dyDescent="0.35">
      <c r="A909" t="s">
        <v>1527</v>
      </c>
      <c r="B909" s="2">
        <v>45722</v>
      </c>
      <c r="C909" t="s">
        <v>10</v>
      </c>
      <c r="D909" t="s">
        <v>38</v>
      </c>
      <c r="E909" t="s">
        <v>34</v>
      </c>
      <c r="F909" t="s">
        <v>31</v>
      </c>
      <c r="G909">
        <v>4</v>
      </c>
      <c r="H909">
        <v>2.2000000000000002</v>
      </c>
      <c r="I909" t="s">
        <v>39</v>
      </c>
      <c r="J909" t="s">
        <v>138</v>
      </c>
      <c r="K909" s="12">
        <f>Store_Record[[#This Row],[Qty]]*Store_Record[[#This Row],[UnitPriceGBP]]</f>
        <v>8.8000000000000007</v>
      </c>
      <c r="L909" s="5" t="str">
        <f>TEXT(Store_Record[[#This Row],[Date]],"dddd")</f>
        <v>Thursday</v>
      </c>
      <c r="M909" s="5" t="str">
        <f>TEXT(Store_Record[[#This Row],[Date]],"mmmm")</f>
        <v>March</v>
      </c>
      <c r="N909" s="5">
        <f>YEAR(Store_Record[[#This Row],[Date]])</f>
        <v>2025</v>
      </c>
      <c r="O909"/>
    </row>
    <row r="910" spans="1:15" x14ac:dyDescent="0.35">
      <c r="A910" t="s">
        <v>1532</v>
      </c>
      <c r="B910" s="2">
        <v>45722</v>
      </c>
      <c r="C910" t="s">
        <v>20</v>
      </c>
      <c r="D910" t="s">
        <v>38</v>
      </c>
      <c r="E910" t="s">
        <v>34</v>
      </c>
      <c r="F910" t="s">
        <v>31</v>
      </c>
      <c r="G910">
        <v>4</v>
      </c>
      <c r="H910">
        <v>2.2000000000000002</v>
      </c>
      <c r="I910" t="s">
        <v>39</v>
      </c>
      <c r="J910" t="s">
        <v>27</v>
      </c>
      <c r="K910" s="12">
        <f>Store_Record[[#This Row],[Qty]]*Store_Record[[#This Row],[UnitPriceGBP]]</f>
        <v>8.8000000000000007</v>
      </c>
      <c r="L910" s="5" t="str">
        <f>TEXT(Store_Record[[#This Row],[Date]],"dddd")</f>
        <v>Thursday</v>
      </c>
      <c r="M910" s="5" t="str">
        <f>TEXT(Store_Record[[#This Row],[Date]],"mmmm")</f>
        <v>March</v>
      </c>
      <c r="N910" s="5">
        <f>YEAR(Store_Record[[#This Row],[Date]])</f>
        <v>2025</v>
      </c>
      <c r="O910"/>
    </row>
    <row r="911" spans="1:15" x14ac:dyDescent="0.35">
      <c r="A911" t="s">
        <v>1518</v>
      </c>
      <c r="B911" s="2">
        <v>45722</v>
      </c>
      <c r="C911" t="s">
        <v>24</v>
      </c>
      <c r="D911" t="s">
        <v>25</v>
      </c>
      <c r="E911" t="s">
        <v>30</v>
      </c>
      <c r="F911" t="s">
        <v>31</v>
      </c>
      <c r="G911">
        <v>3</v>
      </c>
      <c r="H911">
        <v>2.8</v>
      </c>
      <c r="I911" t="s">
        <v>39</v>
      </c>
      <c r="J911" t="s">
        <v>811</v>
      </c>
      <c r="K911" s="12">
        <f>Store_Record[[#This Row],[Qty]]*Store_Record[[#This Row],[UnitPriceGBP]]</f>
        <v>8.3999999999999986</v>
      </c>
      <c r="L911" s="5" t="str">
        <f>TEXT(Store_Record[[#This Row],[Date]],"dddd")</f>
        <v>Thursday</v>
      </c>
      <c r="M911" s="5" t="str">
        <f>TEXT(Store_Record[[#This Row],[Date]],"mmmm")</f>
        <v>March</v>
      </c>
      <c r="N911" s="5">
        <f>YEAR(Store_Record[[#This Row],[Date]])</f>
        <v>2025</v>
      </c>
      <c r="O911"/>
    </row>
    <row r="912" spans="1:15" x14ac:dyDescent="0.35">
      <c r="A912" t="s">
        <v>1515</v>
      </c>
      <c r="B912" s="2">
        <v>45722</v>
      </c>
      <c r="C912" t="s">
        <v>10</v>
      </c>
      <c r="D912" t="s">
        <v>38</v>
      </c>
      <c r="E912" t="s">
        <v>42</v>
      </c>
      <c r="F912" t="s">
        <v>13</v>
      </c>
      <c r="G912">
        <v>2</v>
      </c>
      <c r="H912">
        <v>3.8</v>
      </c>
      <c r="I912" t="s">
        <v>39</v>
      </c>
      <c r="J912" t="s">
        <v>771</v>
      </c>
      <c r="K912" s="12">
        <f>Store_Record[[#This Row],[Qty]]*Store_Record[[#This Row],[UnitPriceGBP]]</f>
        <v>7.6</v>
      </c>
      <c r="L912" s="5" t="str">
        <f>TEXT(Store_Record[[#This Row],[Date]],"dddd")</f>
        <v>Thursday</v>
      </c>
      <c r="M912" s="5" t="str">
        <f>TEXT(Store_Record[[#This Row],[Date]],"mmmm")</f>
        <v>March</v>
      </c>
      <c r="N912" s="5">
        <f>YEAR(Store_Record[[#This Row],[Date]])</f>
        <v>2025</v>
      </c>
      <c r="O912"/>
    </row>
    <row r="913" spans="1:15" x14ac:dyDescent="0.35">
      <c r="A913" t="s">
        <v>1529</v>
      </c>
      <c r="B913" s="2">
        <v>45722</v>
      </c>
      <c r="C913" t="s">
        <v>20</v>
      </c>
      <c r="D913" t="s">
        <v>11</v>
      </c>
      <c r="E913" t="s">
        <v>26</v>
      </c>
      <c r="F913" t="s">
        <v>13</v>
      </c>
      <c r="G913">
        <v>2</v>
      </c>
      <c r="H913">
        <v>3.5</v>
      </c>
      <c r="I913" t="s">
        <v>39</v>
      </c>
      <c r="J913" t="s">
        <v>99</v>
      </c>
      <c r="K913" s="12">
        <f>Store_Record[[#This Row],[Qty]]*Store_Record[[#This Row],[UnitPriceGBP]]</f>
        <v>7</v>
      </c>
      <c r="L913" s="5" t="str">
        <f>TEXT(Store_Record[[#This Row],[Date]],"dddd")</f>
        <v>Thursday</v>
      </c>
      <c r="M913" s="5" t="str">
        <f>TEXT(Store_Record[[#This Row],[Date]],"mmmm")</f>
        <v>March</v>
      </c>
      <c r="N913" s="5">
        <f>YEAR(Store_Record[[#This Row],[Date]])</f>
        <v>2025</v>
      </c>
      <c r="O913"/>
    </row>
    <row r="914" spans="1:15" x14ac:dyDescent="0.35">
      <c r="A914" t="s">
        <v>1533</v>
      </c>
      <c r="B914" s="2">
        <v>45722</v>
      </c>
      <c r="C914" t="s">
        <v>24</v>
      </c>
      <c r="D914" t="s">
        <v>47</v>
      </c>
      <c r="E914" t="s">
        <v>34</v>
      </c>
      <c r="F914" t="s">
        <v>31</v>
      </c>
      <c r="G914">
        <v>3</v>
      </c>
      <c r="H914">
        <v>2.2000000000000002</v>
      </c>
      <c r="I914" t="s">
        <v>21</v>
      </c>
      <c r="J914" t="s">
        <v>140</v>
      </c>
      <c r="K914" s="12">
        <f>Store_Record[[#This Row],[Qty]]*Store_Record[[#This Row],[UnitPriceGBP]]</f>
        <v>6.6000000000000005</v>
      </c>
      <c r="L914" s="5" t="str">
        <f>TEXT(Store_Record[[#This Row],[Date]],"dddd")</f>
        <v>Thursday</v>
      </c>
      <c r="M914" s="5" t="str">
        <f>TEXT(Store_Record[[#This Row],[Date]],"mmmm")</f>
        <v>March</v>
      </c>
      <c r="N914" s="5">
        <f>YEAR(Store_Record[[#This Row],[Date]])</f>
        <v>2025</v>
      </c>
      <c r="O914"/>
    </row>
    <row r="915" spans="1:15" x14ac:dyDescent="0.35">
      <c r="A915" t="s">
        <v>1530</v>
      </c>
      <c r="B915" s="2">
        <v>45722</v>
      </c>
      <c r="C915" t="s">
        <v>24</v>
      </c>
      <c r="D915" t="s">
        <v>29</v>
      </c>
      <c r="E915" t="s">
        <v>30</v>
      </c>
      <c r="F915" t="s">
        <v>31</v>
      </c>
      <c r="G915">
        <v>2</v>
      </c>
      <c r="H915">
        <v>2.8</v>
      </c>
      <c r="I915" t="s">
        <v>14</v>
      </c>
      <c r="J915" t="s">
        <v>212</v>
      </c>
      <c r="K915" s="12">
        <f>Store_Record[[#This Row],[Qty]]*Store_Record[[#This Row],[UnitPriceGBP]]</f>
        <v>5.6</v>
      </c>
      <c r="L915" s="5" t="str">
        <f>TEXT(Store_Record[[#This Row],[Date]],"dddd")</f>
        <v>Thursday</v>
      </c>
      <c r="M915" s="5" t="str">
        <f>TEXT(Store_Record[[#This Row],[Date]],"mmmm")</f>
        <v>March</v>
      </c>
      <c r="N915" s="5">
        <f>YEAR(Store_Record[[#This Row],[Date]])</f>
        <v>2025</v>
      </c>
      <c r="O915"/>
    </row>
    <row r="916" spans="1:15" x14ac:dyDescent="0.35">
      <c r="A916" t="s">
        <v>1537</v>
      </c>
      <c r="B916" s="2">
        <v>45722</v>
      </c>
      <c r="C916" t="s">
        <v>20</v>
      </c>
      <c r="D916" t="s">
        <v>25</v>
      </c>
      <c r="E916" t="s">
        <v>42</v>
      </c>
      <c r="F916" t="s">
        <v>13</v>
      </c>
      <c r="G916">
        <v>1</v>
      </c>
      <c r="H916">
        <v>3.8</v>
      </c>
      <c r="I916" t="s">
        <v>21</v>
      </c>
      <c r="J916" t="s">
        <v>1538</v>
      </c>
      <c r="K916" s="12">
        <f>Store_Record[[#This Row],[Qty]]*Store_Record[[#This Row],[UnitPriceGBP]]</f>
        <v>3.8</v>
      </c>
      <c r="L916" s="5" t="str">
        <f>TEXT(Store_Record[[#This Row],[Date]],"dddd")</f>
        <v>Thursday</v>
      </c>
      <c r="M916" s="5" t="str">
        <f>TEXT(Store_Record[[#This Row],[Date]],"mmmm")</f>
        <v>March</v>
      </c>
      <c r="N916" s="5">
        <f>YEAR(Store_Record[[#This Row],[Date]])</f>
        <v>2025</v>
      </c>
      <c r="O916"/>
    </row>
    <row r="917" spans="1:15" x14ac:dyDescent="0.35">
      <c r="A917" t="s">
        <v>1516</v>
      </c>
      <c r="B917" s="2">
        <v>45722</v>
      </c>
      <c r="C917" t="s">
        <v>24</v>
      </c>
      <c r="D917" t="s">
        <v>25</v>
      </c>
      <c r="E917" t="s">
        <v>30</v>
      </c>
      <c r="F917" t="s">
        <v>31</v>
      </c>
      <c r="G917">
        <v>1</v>
      </c>
      <c r="H917">
        <v>2.8</v>
      </c>
      <c r="I917" t="s">
        <v>21</v>
      </c>
      <c r="J917" t="s">
        <v>1517</v>
      </c>
      <c r="K917" s="12">
        <f>Store_Record[[#This Row],[Qty]]*Store_Record[[#This Row],[UnitPriceGBP]]</f>
        <v>2.8</v>
      </c>
      <c r="L917" s="5" t="str">
        <f>TEXT(Store_Record[[#This Row],[Date]],"dddd")</f>
        <v>Thursday</v>
      </c>
      <c r="M917" s="5" t="str">
        <f>TEXT(Store_Record[[#This Row],[Date]],"mmmm")</f>
        <v>March</v>
      </c>
      <c r="N917" s="5">
        <f>YEAR(Store_Record[[#This Row],[Date]])</f>
        <v>2025</v>
      </c>
      <c r="O917"/>
    </row>
    <row r="918" spans="1:15" x14ac:dyDescent="0.35">
      <c r="A918" t="s">
        <v>1525</v>
      </c>
      <c r="B918" s="2">
        <v>45722</v>
      </c>
      <c r="C918" t="s">
        <v>10</v>
      </c>
      <c r="D918" t="s">
        <v>11</v>
      </c>
      <c r="E918" t="s">
        <v>34</v>
      </c>
      <c r="F918" t="s">
        <v>31</v>
      </c>
      <c r="G918">
        <v>1</v>
      </c>
      <c r="H918">
        <v>2.2000000000000002</v>
      </c>
      <c r="I918" t="s">
        <v>21</v>
      </c>
      <c r="J918" t="s">
        <v>1526</v>
      </c>
      <c r="K918" s="12">
        <f>Store_Record[[#This Row],[Qty]]*Store_Record[[#This Row],[UnitPriceGBP]]</f>
        <v>2.2000000000000002</v>
      </c>
      <c r="L918" s="5" t="str">
        <f>TEXT(Store_Record[[#This Row],[Date]],"dddd")</f>
        <v>Thursday</v>
      </c>
      <c r="M918" s="5" t="str">
        <f>TEXT(Store_Record[[#This Row],[Date]],"mmmm")</f>
        <v>March</v>
      </c>
      <c r="N918" s="5">
        <f>YEAR(Store_Record[[#This Row],[Date]])</f>
        <v>2025</v>
      </c>
      <c r="O918"/>
    </row>
    <row r="919" spans="1:15" x14ac:dyDescent="0.35">
      <c r="A919" t="s">
        <v>1528</v>
      </c>
      <c r="B919" s="2">
        <v>45722</v>
      </c>
      <c r="C919" t="s">
        <v>36</v>
      </c>
      <c r="D919" t="s">
        <v>11</v>
      </c>
      <c r="E919" t="s">
        <v>34</v>
      </c>
      <c r="F919" t="s">
        <v>31</v>
      </c>
      <c r="G919">
        <v>1</v>
      </c>
      <c r="H919">
        <v>2.2000000000000002</v>
      </c>
      <c r="I919" t="s">
        <v>39</v>
      </c>
      <c r="J919" t="s">
        <v>654</v>
      </c>
      <c r="K919" s="12">
        <f>Store_Record[[#This Row],[Qty]]*Store_Record[[#This Row],[UnitPriceGBP]]</f>
        <v>2.2000000000000002</v>
      </c>
      <c r="L919" s="5" t="str">
        <f>TEXT(Store_Record[[#This Row],[Date]],"dddd")</f>
        <v>Thursday</v>
      </c>
      <c r="M919" s="5" t="str">
        <f>TEXT(Store_Record[[#This Row],[Date]],"mmmm")</f>
        <v>March</v>
      </c>
      <c r="N919" s="5">
        <f>YEAR(Store_Record[[#This Row],[Date]])</f>
        <v>2025</v>
      </c>
      <c r="O919"/>
    </row>
    <row r="920" spans="1:15" x14ac:dyDescent="0.35">
      <c r="A920" t="s">
        <v>1539</v>
      </c>
      <c r="B920" s="2">
        <v>45723</v>
      </c>
      <c r="C920" t="s">
        <v>36</v>
      </c>
      <c r="D920" t="s">
        <v>11</v>
      </c>
      <c r="E920" t="s">
        <v>26</v>
      </c>
      <c r="F920" t="s">
        <v>13</v>
      </c>
      <c r="G920">
        <v>5</v>
      </c>
      <c r="H920">
        <v>3.5</v>
      </c>
      <c r="I920" t="s">
        <v>39</v>
      </c>
      <c r="J920" t="s">
        <v>1168</v>
      </c>
      <c r="K920" s="12">
        <f>Store_Record[[#This Row],[Qty]]*Store_Record[[#This Row],[UnitPriceGBP]]</f>
        <v>17.5</v>
      </c>
      <c r="L920" s="5" t="str">
        <f>TEXT(Store_Record[[#This Row],[Date]],"dddd")</f>
        <v>Friday</v>
      </c>
      <c r="M920" s="5" t="str">
        <f>TEXT(Store_Record[[#This Row],[Date]],"mmmm")</f>
        <v>March</v>
      </c>
      <c r="N920" s="5">
        <f>YEAR(Store_Record[[#This Row],[Date]])</f>
        <v>2025</v>
      </c>
      <c r="O920"/>
    </row>
    <row r="921" spans="1:15" x14ac:dyDescent="0.35">
      <c r="A921" t="s">
        <v>1552</v>
      </c>
      <c r="B921" s="2">
        <v>45723</v>
      </c>
      <c r="C921" t="s">
        <v>10</v>
      </c>
      <c r="D921" t="s">
        <v>38</v>
      </c>
      <c r="E921" t="s">
        <v>42</v>
      </c>
      <c r="F921" t="s">
        <v>13</v>
      </c>
      <c r="G921">
        <v>3</v>
      </c>
      <c r="H921">
        <v>3.8</v>
      </c>
      <c r="I921" t="s">
        <v>21</v>
      </c>
      <c r="J921" t="s">
        <v>1553</v>
      </c>
      <c r="K921" s="12">
        <f>Store_Record[[#This Row],[Qty]]*Store_Record[[#This Row],[UnitPriceGBP]]</f>
        <v>11.399999999999999</v>
      </c>
      <c r="L921" s="5" t="str">
        <f>TEXT(Store_Record[[#This Row],[Date]],"dddd")</f>
        <v>Friday</v>
      </c>
      <c r="M921" s="5" t="str">
        <f>TEXT(Store_Record[[#This Row],[Date]],"mmmm")</f>
        <v>March</v>
      </c>
      <c r="N921" s="5">
        <f>YEAR(Store_Record[[#This Row],[Date]])</f>
        <v>2025</v>
      </c>
      <c r="O921"/>
    </row>
    <row r="922" spans="1:15" x14ac:dyDescent="0.35">
      <c r="A922" t="s">
        <v>1557</v>
      </c>
      <c r="B922" s="2">
        <v>45723</v>
      </c>
      <c r="C922" t="s">
        <v>36</v>
      </c>
      <c r="D922" t="s">
        <v>38</v>
      </c>
      <c r="E922" t="s">
        <v>30</v>
      </c>
      <c r="F922" t="s">
        <v>31</v>
      </c>
      <c r="G922">
        <v>4</v>
      </c>
      <c r="H922">
        <v>2.8</v>
      </c>
      <c r="I922" t="s">
        <v>14</v>
      </c>
      <c r="J922" t="s">
        <v>1475</v>
      </c>
      <c r="K922" s="12">
        <f>Store_Record[[#This Row],[Qty]]*Store_Record[[#This Row],[UnitPriceGBP]]</f>
        <v>11.2</v>
      </c>
      <c r="L922" s="5" t="str">
        <f>TEXT(Store_Record[[#This Row],[Date]],"dddd")</f>
        <v>Friday</v>
      </c>
      <c r="M922" s="5" t="str">
        <f>TEXT(Store_Record[[#This Row],[Date]],"mmmm")</f>
        <v>March</v>
      </c>
      <c r="N922" s="5">
        <f>YEAR(Store_Record[[#This Row],[Date]])</f>
        <v>2025</v>
      </c>
      <c r="O922"/>
    </row>
    <row r="923" spans="1:15" x14ac:dyDescent="0.35">
      <c r="A923" t="s">
        <v>1555</v>
      </c>
      <c r="B923" s="2">
        <v>45723</v>
      </c>
      <c r="C923" t="s">
        <v>20</v>
      </c>
      <c r="D923" t="s">
        <v>38</v>
      </c>
      <c r="E923" t="s">
        <v>12</v>
      </c>
      <c r="F923" t="s">
        <v>13</v>
      </c>
      <c r="G923">
        <v>4</v>
      </c>
      <c r="H923">
        <v>2.5</v>
      </c>
      <c r="I923" t="s">
        <v>39</v>
      </c>
      <c r="J923" t="s">
        <v>1556</v>
      </c>
      <c r="K923" s="12">
        <f>Store_Record[[#This Row],[Qty]]*Store_Record[[#This Row],[UnitPriceGBP]]</f>
        <v>10</v>
      </c>
      <c r="L923" s="5" t="str">
        <f>TEXT(Store_Record[[#This Row],[Date]],"dddd")</f>
        <v>Friday</v>
      </c>
      <c r="M923" s="5" t="str">
        <f>TEXT(Store_Record[[#This Row],[Date]],"mmmm")</f>
        <v>March</v>
      </c>
      <c r="N923" s="5">
        <f>YEAR(Store_Record[[#This Row],[Date]])</f>
        <v>2025</v>
      </c>
      <c r="O923"/>
    </row>
    <row r="924" spans="1:15" x14ac:dyDescent="0.35">
      <c r="A924" t="s">
        <v>1546</v>
      </c>
      <c r="B924" s="2">
        <v>45723</v>
      </c>
      <c r="C924" t="s">
        <v>20</v>
      </c>
      <c r="D924" t="s">
        <v>47</v>
      </c>
      <c r="E924" t="s">
        <v>30</v>
      </c>
      <c r="F924" t="s">
        <v>31</v>
      </c>
      <c r="G924">
        <v>3</v>
      </c>
      <c r="H924">
        <v>2.8</v>
      </c>
      <c r="I924" t="s">
        <v>39</v>
      </c>
      <c r="J924" t="s">
        <v>739</v>
      </c>
      <c r="K924" s="12">
        <f>Store_Record[[#This Row],[Qty]]*Store_Record[[#This Row],[UnitPriceGBP]]</f>
        <v>8.3999999999999986</v>
      </c>
      <c r="L924" s="5" t="str">
        <f>TEXT(Store_Record[[#This Row],[Date]],"dddd")</f>
        <v>Friday</v>
      </c>
      <c r="M924" s="5" t="str">
        <f>TEXT(Store_Record[[#This Row],[Date]],"mmmm")</f>
        <v>March</v>
      </c>
      <c r="N924" s="5">
        <f>YEAR(Store_Record[[#This Row],[Date]])</f>
        <v>2025</v>
      </c>
      <c r="O924"/>
    </row>
    <row r="925" spans="1:15" x14ac:dyDescent="0.35">
      <c r="A925" t="s">
        <v>1551</v>
      </c>
      <c r="B925" s="2">
        <v>45723</v>
      </c>
      <c r="C925" t="s">
        <v>36</v>
      </c>
      <c r="D925" t="s">
        <v>11</v>
      </c>
      <c r="E925" t="s">
        <v>42</v>
      </c>
      <c r="F925" t="s">
        <v>13</v>
      </c>
      <c r="G925">
        <v>2</v>
      </c>
      <c r="H925">
        <v>3.8</v>
      </c>
      <c r="I925" t="s">
        <v>14</v>
      </c>
      <c r="J925" t="s">
        <v>406</v>
      </c>
      <c r="K925" s="12">
        <f>Store_Record[[#This Row],[Qty]]*Store_Record[[#This Row],[UnitPriceGBP]]</f>
        <v>7.6</v>
      </c>
      <c r="L925" s="5" t="str">
        <f>TEXT(Store_Record[[#This Row],[Date]],"dddd")</f>
        <v>Friday</v>
      </c>
      <c r="M925" s="5" t="str">
        <f>TEXT(Store_Record[[#This Row],[Date]],"mmmm")</f>
        <v>March</v>
      </c>
      <c r="N925" s="5">
        <f>YEAR(Store_Record[[#This Row],[Date]])</f>
        <v>2025</v>
      </c>
      <c r="O925"/>
    </row>
    <row r="926" spans="1:15" x14ac:dyDescent="0.35">
      <c r="A926" t="s">
        <v>1562</v>
      </c>
      <c r="B926" s="2">
        <v>45723</v>
      </c>
      <c r="C926" t="s">
        <v>20</v>
      </c>
      <c r="D926" t="s">
        <v>25</v>
      </c>
      <c r="E926" t="s">
        <v>42</v>
      </c>
      <c r="F926" t="s">
        <v>13</v>
      </c>
      <c r="G926">
        <v>2</v>
      </c>
      <c r="H926">
        <v>3.8</v>
      </c>
      <c r="I926" t="s">
        <v>21</v>
      </c>
      <c r="J926" t="s">
        <v>774</v>
      </c>
      <c r="K926" s="12">
        <f>Store_Record[[#This Row],[Qty]]*Store_Record[[#This Row],[UnitPriceGBP]]</f>
        <v>7.6</v>
      </c>
      <c r="L926" s="5" t="str">
        <f>TEXT(Store_Record[[#This Row],[Date]],"dddd")</f>
        <v>Friday</v>
      </c>
      <c r="M926" s="5" t="str">
        <f>TEXT(Store_Record[[#This Row],[Date]],"mmmm")</f>
        <v>March</v>
      </c>
      <c r="N926" s="5">
        <f>YEAR(Store_Record[[#This Row],[Date]])</f>
        <v>2025</v>
      </c>
      <c r="O926"/>
    </row>
    <row r="927" spans="1:15" x14ac:dyDescent="0.35">
      <c r="A927" t="s">
        <v>1559</v>
      </c>
      <c r="B927" s="2">
        <v>45723</v>
      </c>
      <c r="C927" t="s">
        <v>10</v>
      </c>
      <c r="D927" t="s">
        <v>47</v>
      </c>
      <c r="E927" t="s">
        <v>12</v>
      </c>
      <c r="F927" t="s">
        <v>13</v>
      </c>
      <c r="G927">
        <v>3</v>
      </c>
      <c r="H927">
        <v>2.5</v>
      </c>
      <c r="I927" t="s">
        <v>14</v>
      </c>
      <c r="J927" t="s">
        <v>481</v>
      </c>
      <c r="K927" s="12">
        <f>Store_Record[[#This Row],[Qty]]*Store_Record[[#This Row],[UnitPriceGBP]]</f>
        <v>7.5</v>
      </c>
      <c r="L927" s="5" t="str">
        <f>TEXT(Store_Record[[#This Row],[Date]],"dddd")</f>
        <v>Friday</v>
      </c>
      <c r="M927" s="5" t="str">
        <f>TEXT(Store_Record[[#This Row],[Date]],"mmmm")</f>
        <v>March</v>
      </c>
      <c r="N927" s="5">
        <f>YEAR(Store_Record[[#This Row],[Date]])</f>
        <v>2025</v>
      </c>
      <c r="O927"/>
    </row>
    <row r="928" spans="1:15" x14ac:dyDescent="0.35">
      <c r="A928" t="s">
        <v>1548</v>
      </c>
      <c r="B928" s="2">
        <v>45723</v>
      </c>
      <c r="C928" t="s">
        <v>36</v>
      </c>
      <c r="D928" t="s">
        <v>47</v>
      </c>
      <c r="E928" t="s">
        <v>26</v>
      </c>
      <c r="F928" t="s">
        <v>13</v>
      </c>
      <c r="G928">
        <v>2</v>
      </c>
      <c r="H928">
        <v>3.5</v>
      </c>
      <c r="I928" t="s">
        <v>21</v>
      </c>
      <c r="J928" t="s">
        <v>64</v>
      </c>
      <c r="K928" s="12">
        <f>Store_Record[[#This Row],[Qty]]*Store_Record[[#This Row],[UnitPriceGBP]]</f>
        <v>7</v>
      </c>
      <c r="L928" s="5" t="str">
        <f>TEXT(Store_Record[[#This Row],[Date]],"dddd")</f>
        <v>Friday</v>
      </c>
      <c r="M928" s="5" t="str">
        <f>TEXT(Store_Record[[#This Row],[Date]],"mmmm")</f>
        <v>March</v>
      </c>
      <c r="N928" s="5">
        <f>YEAR(Store_Record[[#This Row],[Date]])</f>
        <v>2025</v>
      </c>
      <c r="O928"/>
    </row>
    <row r="929" spans="1:15" x14ac:dyDescent="0.35">
      <c r="A929" t="s">
        <v>1540</v>
      </c>
      <c r="B929" s="2">
        <v>45723</v>
      </c>
      <c r="C929" t="s">
        <v>10</v>
      </c>
      <c r="D929" t="s">
        <v>47</v>
      </c>
      <c r="E929" t="s">
        <v>30</v>
      </c>
      <c r="F929" t="s">
        <v>31</v>
      </c>
      <c r="G929">
        <v>2</v>
      </c>
      <c r="H929">
        <v>2.8</v>
      </c>
      <c r="I929" t="s">
        <v>39</v>
      </c>
      <c r="J929" t="s">
        <v>1541</v>
      </c>
      <c r="K929" s="12">
        <f>Store_Record[[#This Row],[Qty]]*Store_Record[[#This Row],[UnitPriceGBP]]</f>
        <v>5.6</v>
      </c>
      <c r="L929" s="5" t="str">
        <f>TEXT(Store_Record[[#This Row],[Date]],"dddd")</f>
        <v>Friday</v>
      </c>
      <c r="M929" s="5" t="str">
        <f>TEXT(Store_Record[[#This Row],[Date]],"mmmm")</f>
        <v>March</v>
      </c>
      <c r="N929" s="5">
        <f>YEAR(Store_Record[[#This Row],[Date]])</f>
        <v>2025</v>
      </c>
      <c r="O929"/>
    </row>
    <row r="930" spans="1:15" x14ac:dyDescent="0.35">
      <c r="A930" t="s">
        <v>1545</v>
      </c>
      <c r="B930" s="2">
        <v>45723</v>
      </c>
      <c r="C930" t="s">
        <v>20</v>
      </c>
      <c r="D930" t="s">
        <v>25</v>
      </c>
      <c r="E930" t="s">
        <v>30</v>
      </c>
      <c r="F930" t="s">
        <v>31</v>
      </c>
      <c r="G930">
        <v>2</v>
      </c>
      <c r="H930">
        <v>2.8</v>
      </c>
      <c r="I930" t="s">
        <v>14</v>
      </c>
      <c r="J930" t="s">
        <v>1128</v>
      </c>
      <c r="K930" s="12">
        <f>Store_Record[[#This Row],[Qty]]*Store_Record[[#This Row],[UnitPriceGBP]]</f>
        <v>5.6</v>
      </c>
      <c r="L930" s="5" t="str">
        <f>TEXT(Store_Record[[#This Row],[Date]],"dddd")</f>
        <v>Friday</v>
      </c>
      <c r="M930" s="5" t="str">
        <f>TEXT(Store_Record[[#This Row],[Date]],"mmmm")</f>
        <v>March</v>
      </c>
      <c r="N930" s="5">
        <f>YEAR(Store_Record[[#This Row],[Date]])</f>
        <v>2025</v>
      </c>
      <c r="O930"/>
    </row>
    <row r="931" spans="1:15" x14ac:dyDescent="0.35">
      <c r="A931" t="s">
        <v>1547</v>
      </c>
      <c r="B931" s="2">
        <v>45723</v>
      </c>
      <c r="C931" t="s">
        <v>24</v>
      </c>
      <c r="D931" t="s">
        <v>47</v>
      </c>
      <c r="E931" t="s">
        <v>30</v>
      </c>
      <c r="F931" t="s">
        <v>31</v>
      </c>
      <c r="G931">
        <v>2</v>
      </c>
      <c r="H931">
        <v>2.8</v>
      </c>
      <c r="I931" t="s">
        <v>21</v>
      </c>
      <c r="J931" t="s">
        <v>80</v>
      </c>
      <c r="K931" s="12">
        <f>Store_Record[[#This Row],[Qty]]*Store_Record[[#This Row],[UnitPriceGBP]]</f>
        <v>5.6</v>
      </c>
      <c r="L931" s="5" t="str">
        <f>TEXT(Store_Record[[#This Row],[Date]],"dddd")</f>
        <v>Friday</v>
      </c>
      <c r="M931" s="5" t="str">
        <f>TEXT(Store_Record[[#This Row],[Date]],"mmmm")</f>
        <v>March</v>
      </c>
      <c r="N931" s="5">
        <f>YEAR(Store_Record[[#This Row],[Date]])</f>
        <v>2025</v>
      </c>
      <c r="O931"/>
    </row>
    <row r="932" spans="1:15" x14ac:dyDescent="0.35">
      <c r="A932" t="s">
        <v>1554</v>
      </c>
      <c r="B932" s="2">
        <v>45723</v>
      </c>
      <c r="C932" t="s">
        <v>20</v>
      </c>
      <c r="D932" t="s">
        <v>11</v>
      </c>
      <c r="E932" t="s">
        <v>30</v>
      </c>
      <c r="F932" t="s">
        <v>31</v>
      </c>
      <c r="G932">
        <v>2</v>
      </c>
      <c r="H932">
        <v>2.8</v>
      </c>
      <c r="I932" t="s">
        <v>14</v>
      </c>
      <c r="J932" t="s">
        <v>1003</v>
      </c>
      <c r="K932" s="12">
        <f>Store_Record[[#This Row],[Qty]]*Store_Record[[#This Row],[UnitPriceGBP]]</f>
        <v>5.6</v>
      </c>
      <c r="L932" s="5" t="str">
        <f>TEXT(Store_Record[[#This Row],[Date]],"dddd")</f>
        <v>Friday</v>
      </c>
      <c r="M932" s="5" t="str">
        <f>TEXT(Store_Record[[#This Row],[Date]],"mmmm")</f>
        <v>March</v>
      </c>
      <c r="N932" s="5">
        <f>YEAR(Store_Record[[#This Row],[Date]])</f>
        <v>2025</v>
      </c>
      <c r="O932"/>
    </row>
    <row r="933" spans="1:15" x14ac:dyDescent="0.35">
      <c r="A933" t="s">
        <v>1563</v>
      </c>
      <c r="B933" s="2">
        <v>45723</v>
      </c>
      <c r="C933" t="s">
        <v>20</v>
      </c>
      <c r="D933" t="s">
        <v>38</v>
      </c>
      <c r="E933" t="s">
        <v>30</v>
      </c>
      <c r="F933" t="s">
        <v>31</v>
      </c>
      <c r="G933">
        <v>2</v>
      </c>
      <c r="H933">
        <v>2.8</v>
      </c>
      <c r="I933" t="s">
        <v>39</v>
      </c>
      <c r="J933" t="s">
        <v>1564</v>
      </c>
      <c r="K933" s="12">
        <f>Store_Record[[#This Row],[Qty]]*Store_Record[[#This Row],[UnitPriceGBP]]</f>
        <v>5.6</v>
      </c>
      <c r="L933" s="5" t="str">
        <f>TEXT(Store_Record[[#This Row],[Date]],"dddd")</f>
        <v>Friday</v>
      </c>
      <c r="M933" s="5" t="str">
        <f>TEXT(Store_Record[[#This Row],[Date]],"mmmm")</f>
        <v>March</v>
      </c>
      <c r="N933" s="5">
        <f>YEAR(Store_Record[[#This Row],[Date]])</f>
        <v>2025</v>
      </c>
      <c r="O933"/>
    </row>
    <row r="934" spans="1:15" x14ac:dyDescent="0.35">
      <c r="A934" t="s">
        <v>1567</v>
      </c>
      <c r="B934" s="2">
        <v>45723</v>
      </c>
      <c r="C934" t="s">
        <v>24</v>
      </c>
      <c r="D934" t="s">
        <v>29</v>
      </c>
      <c r="E934" t="s">
        <v>30</v>
      </c>
      <c r="F934" t="s">
        <v>31</v>
      </c>
      <c r="G934">
        <v>2</v>
      </c>
      <c r="H934">
        <v>2.8</v>
      </c>
      <c r="I934" t="s">
        <v>21</v>
      </c>
      <c r="J934" t="s">
        <v>163</v>
      </c>
      <c r="K934" s="12">
        <f>Store_Record[[#This Row],[Qty]]*Store_Record[[#This Row],[UnitPriceGBP]]</f>
        <v>5.6</v>
      </c>
      <c r="L934" s="5" t="str">
        <f>TEXT(Store_Record[[#This Row],[Date]],"dddd")</f>
        <v>Friday</v>
      </c>
      <c r="M934" s="5" t="str">
        <f>TEXT(Store_Record[[#This Row],[Date]],"mmmm")</f>
        <v>March</v>
      </c>
      <c r="N934" s="5">
        <f>YEAR(Store_Record[[#This Row],[Date]])</f>
        <v>2025</v>
      </c>
      <c r="O934"/>
    </row>
    <row r="935" spans="1:15" x14ac:dyDescent="0.35">
      <c r="A935" t="s">
        <v>1544</v>
      </c>
      <c r="B935" s="2">
        <v>45723</v>
      </c>
      <c r="C935" t="s">
        <v>20</v>
      </c>
      <c r="D935" t="s">
        <v>38</v>
      </c>
      <c r="E935" t="s">
        <v>12</v>
      </c>
      <c r="F935" t="s">
        <v>13</v>
      </c>
      <c r="G935">
        <v>2</v>
      </c>
      <c r="H935">
        <v>2.5</v>
      </c>
      <c r="I935" t="s">
        <v>21</v>
      </c>
      <c r="J935" t="s">
        <v>1267</v>
      </c>
      <c r="K935" s="12">
        <f>Store_Record[[#This Row],[Qty]]*Store_Record[[#This Row],[UnitPriceGBP]]</f>
        <v>5</v>
      </c>
      <c r="L935" s="5" t="str">
        <f>TEXT(Store_Record[[#This Row],[Date]],"dddd")</f>
        <v>Friday</v>
      </c>
      <c r="M935" s="5" t="str">
        <f>TEXT(Store_Record[[#This Row],[Date]],"mmmm")</f>
        <v>March</v>
      </c>
      <c r="N935" s="5">
        <f>YEAR(Store_Record[[#This Row],[Date]])</f>
        <v>2025</v>
      </c>
      <c r="O935"/>
    </row>
    <row r="936" spans="1:15" x14ac:dyDescent="0.35">
      <c r="A936" t="s">
        <v>1558</v>
      </c>
      <c r="B936" s="2">
        <v>45723</v>
      </c>
      <c r="C936" t="s">
        <v>36</v>
      </c>
      <c r="D936" t="s">
        <v>29</v>
      </c>
      <c r="E936" t="s">
        <v>12</v>
      </c>
      <c r="F936" t="s">
        <v>13</v>
      </c>
      <c r="G936">
        <v>2</v>
      </c>
      <c r="H936">
        <v>2.5</v>
      </c>
      <c r="I936" t="s">
        <v>14</v>
      </c>
      <c r="J936" t="s">
        <v>470</v>
      </c>
      <c r="K936" s="12">
        <f>Store_Record[[#This Row],[Qty]]*Store_Record[[#This Row],[UnitPriceGBP]]</f>
        <v>5</v>
      </c>
      <c r="L936" s="5" t="str">
        <f>TEXT(Store_Record[[#This Row],[Date]],"dddd")</f>
        <v>Friday</v>
      </c>
      <c r="M936" s="5" t="str">
        <f>TEXT(Store_Record[[#This Row],[Date]],"mmmm")</f>
        <v>March</v>
      </c>
      <c r="N936" s="5">
        <f>YEAR(Store_Record[[#This Row],[Date]])</f>
        <v>2025</v>
      </c>
      <c r="O936"/>
    </row>
    <row r="937" spans="1:15" x14ac:dyDescent="0.35">
      <c r="A937" t="s">
        <v>1561</v>
      </c>
      <c r="B937" s="2">
        <v>45723</v>
      </c>
      <c r="C937" t="s">
        <v>24</v>
      </c>
      <c r="D937" t="s">
        <v>47</v>
      </c>
      <c r="E937" t="s">
        <v>12</v>
      </c>
      <c r="F937" t="s">
        <v>13</v>
      </c>
      <c r="G937">
        <v>2</v>
      </c>
      <c r="H937">
        <v>2.5</v>
      </c>
      <c r="I937" t="s">
        <v>14</v>
      </c>
      <c r="J937" t="s">
        <v>167</v>
      </c>
      <c r="K937" s="12">
        <f>Store_Record[[#This Row],[Qty]]*Store_Record[[#This Row],[UnitPriceGBP]]</f>
        <v>5</v>
      </c>
      <c r="L937" s="5" t="str">
        <f>TEXT(Store_Record[[#This Row],[Date]],"dddd")</f>
        <v>Friday</v>
      </c>
      <c r="M937" s="5" t="str">
        <f>TEXT(Store_Record[[#This Row],[Date]],"mmmm")</f>
        <v>March</v>
      </c>
      <c r="N937" s="5">
        <f>YEAR(Store_Record[[#This Row],[Date]])</f>
        <v>2025</v>
      </c>
      <c r="O937"/>
    </row>
    <row r="938" spans="1:15" x14ac:dyDescent="0.35">
      <c r="A938" t="s">
        <v>1542</v>
      </c>
      <c r="B938" s="2">
        <v>45723</v>
      </c>
      <c r="C938" t="s">
        <v>24</v>
      </c>
      <c r="D938" t="s">
        <v>29</v>
      </c>
      <c r="E938" t="s">
        <v>42</v>
      </c>
      <c r="F938" t="s">
        <v>13</v>
      </c>
      <c r="G938">
        <v>1</v>
      </c>
      <c r="H938">
        <v>3.8</v>
      </c>
      <c r="I938" t="s">
        <v>21</v>
      </c>
      <c r="J938" t="s">
        <v>1543</v>
      </c>
      <c r="K938" s="12">
        <f>Store_Record[[#This Row],[Qty]]*Store_Record[[#This Row],[UnitPriceGBP]]</f>
        <v>3.8</v>
      </c>
      <c r="L938" s="5" t="str">
        <f>TEXT(Store_Record[[#This Row],[Date]],"dddd")</f>
        <v>Friday</v>
      </c>
      <c r="M938" s="5" t="str">
        <f>TEXT(Store_Record[[#This Row],[Date]],"mmmm")</f>
        <v>March</v>
      </c>
      <c r="N938" s="5">
        <f>YEAR(Store_Record[[#This Row],[Date]])</f>
        <v>2025</v>
      </c>
      <c r="O938"/>
    </row>
    <row r="939" spans="1:15" x14ac:dyDescent="0.35">
      <c r="A939" t="s">
        <v>1549</v>
      </c>
      <c r="B939" s="2">
        <v>45723</v>
      </c>
      <c r="C939" t="s">
        <v>24</v>
      </c>
      <c r="D939" t="s">
        <v>25</v>
      </c>
      <c r="E939" t="s">
        <v>42</v>
      </c>
      <c r="F939" t="s">
        <v>13</v>
      </c>
      <c r="G939">
        <v>1</v>
      </c>
      <c r="H939">
        <v>3.8</v>
      </c>
      <c r="I939" t="s">
        <v>14</v>
      </c>
      <c r="J939" t="s">
        <v>1550</v>
      </c>
      <c r="K939" s="12">
        <f>Store_Record[[#This Row],[Qty]]*Store_Record[[#This Row],[UnitPriceGBP]]</f>
        <v>3.8</v>
      </c>
      <c r="L939" s="5" t="str">
        <f>TEXT(Store_Record[[#This Row],[Date]],"dddd")</f>
        <v>Friday</v>
      </c>
      <c r="M939" s="5" t="str">
        <f>TEXT(Store_Record[[#This Row],[Date]],"mmmm")</f>
        <v>March</v>
      </c>
      <c r="N939" s="5">
        <f>YEAR(Store_Record[[#This Row],[Date]])</f>
        <v>2025</v>
      </c>
      <c r="O939"/>
    </row>
    <row r="940" spans="1:15" x14ac:dyDescent="0.35">
      <c r="A940" t="s">
        <v>1565</v>
      </c>
      <c r="B940" s="2">
        <v>45723</v>
      </c>
      <c r="C940" t="s">
        <v>24</v>
      </c>
      <c r="D940" t="s">
        <v>38</v>
      </c>
      <c r="E940" t="s">
        <v>30</v>
      </c>
      <c r="F940" t="s">
        <v>31</v>
      </c>
      <c r="G940">
        <v>1</v>
      </c>
      <c r="H940">
        <v>2.8</v>
      </c>
      <c r="I940" t="s">
        <v>21</v>
      </c>
      <c r="J940" t="s">
        <v>1566</v>
      </c>
      <c r="K940" s="12">
        <f>Store_Record[[#This Row],[Qty]]*Store_Record[[#This Row],[UnitPriceGBP]]</f>
        <v>2.8</v>
      </c>
      <c r="L940" s="5" t="str">
        <f>TEXT(Store_Record[[#This Row],[Date]],"dddd")</f>
        <v>Friday</v>
      </c>
      <c r="M940" s="5" t="str">
        <f>TEXT(Store_Record[[#This Row],[Date]],"mmmm")</f>
        <v>March</v>
      </c>
      <c r="N940" s="5">
        <f>YEAR(Store_Record[[#This Row],[Date]])</f>
        <v>2025</v>
      </c>
      <c r="O940"/>
    </row>
    <row r="941" spans="1:15" x14ac:dyDescent="0.35">
      <c r="A941" t="s">
        <v>1560</v>
      </c>
      <c r="B941" s="2">
        <v>45723</v>
      </c>
      <c r="C941" t="s">
        <v>10</v>
      </c>
      <c r="D941" t="s">
        <v>47</v>
      </c>
      <c r="E941" t="s">
        <v>12</v>
      </c>
      <c r="F941" t="s">
        <v>13</v>
      </c>
      <c r="G941">
        <v>1</v>
      </c>
      <c r="H941">
        <v>2.5</v>
      </c>
      <c r="I941" t="s">
        <v>39</v>
      </c>
      <c r="J941" t="s">
        <v>289</v>
      </c>
      <c r="K941" s="12">
        <f>Store_Record[[#This Row],[Qty]]*Store_Record[[#This Row],[UnitPriceGBP]]</f>
        <v>2.5</v>
      </c>
      <c r="L941" s="5" t="str">
        <f>TEXT(Store_Record[[#This Row],[Date]],"dddd")</f>
        <v>Friday</v>
      </c>
      <c r="M941" s="5" t="str">
        <f>TEXT(Store_Record[[#This Row],[Date]],"mmmm")</f>
        <v>March</v>
      </c>
      <c r="N941" s="5">
        <f>YEAR(Store_Record[[#This Row],[Date]])</f>
        <v>2025</v>
      </c>
      <c r="O941"/>
    </row>
    <row r="942" spans="1:15" x14ac:dyDescent="0.35">
      <c r="A942" t="s">
        <v>1570</v>
      </c>
      <c r="B942" s="2">
        <v>45724</v>
      </c>
      <c r="C942" t="s">
        <v>36</v>
      </c>
      <c r="D942" t="s">
        <v>11</v>
      </c>
      <c r="E942" t="s">
        <v>42</v>
      </c>
      <c r="F942" t="s">
        <v>13</v>
      </c>
      <c r="G942">
        <v>4</v>
      </c>
      <c r="H942">
        <v>3.8</v>
      </c>
      <c r="I942" t="s">
        <v>14</v>
      </c>
      <c r="J942" t="s">
        <v>1132</v>
      </c>
      <c r="K942" s="12">
        <f>Store_Record[[#This Row],[Qty]]*Store_Record[[#This Row],[UnitPriceGBP]]</f>
        <v>15.2</v>
      </c>
      <c r="L942" s="5" t="str">
        <f>TEXT(Store_Record[[#This Row],[Date]],"dddd")</f>
        <v>Saturday</v>
      </c>
      <c r="M942" s="5" t="str">
        <f>TEXT(Store_Record[[#This Row],[Date]],"mmmm")</f>
        <v>March</v>
      </c>
      <c r="N942" s="5">
        <f>YEAR(Store_Record[[#This Row],[Date]])</f>
        <v>2025</v>
      </c>
      <c r="O942"/>
    </row>
    <row r="943" spans="1:15" x14ac:dyDescent="0.35">
      <c r="A943" t="s">
        <v>1582</v>
      </c>
      <c r="B943" s="2">
        <v>45724</v>
      </c>
      <c r="C943" t="s">
        <v>24</v>
      </c>
      <c r="D943" t="s">
        <v>47</v>
      </c>
      <c r="E943" t="s">
        <v>26</v>
      </c>
      <c r="F943" t="s">
        <v>13</v>
      </c>
      <c r="G943">
        <v>4</v>
      </c>
      <c r="H943">
        <v>3.5</v>
      </c>
      <c r="I943" t="s">
        <v>21</v>
      </c>
      <c r="J943" t="s">
        <v>220</v>
      </c>
      <c r="K943" s="12">
        <f>Store_Record[[#This Row],[Qty]]*Store_Record[[#This Row],[UnitPriceGBP]]</f>
        <v>14</v>
      </c>
      <c r="L943" s="5" t="str">
        <f>TEXT(Store_Record[[#This Row],[Date]],"dddd")</f>
        <v>Saturday</v>
      </c>
      <c r="M943" s="5" t="str">
        <f>TEXT(Store_Record[[#This Row],[Date]],"mmmm")</f>
        <v>March</v>
      </c>
      <c r="N943" s="5">
        <f>YEAR(Store_Record[[#This Row],[Date]])</f>
        <v>2025</v>
      </c>
      <c r="O943"/>
    </row>
    <row r="944" spans="1:15" x14ac:dyDescent="0.35">
      <c r="A944" t="s">
        <v>1572</v>
      </c>
      <c r="B944" s="2">
        <v>45724</v>
      </c>
      <c r="C944" t="s">
        <v>20</v>
      </c>
      <c r="D944" t="s">
        <v>29</v>
      </c>
      <c r="E944" t="s">
        <v>30</v>
      </c>
      <c r="F944" t="s">
        <v>31</v>
      </c>
      <c r="G944">
        <v>4</v>
      </c>
      <c r="H944">
        <v>2.8</v>
      </c>
      <c r="I944" t="s">
        <v>21</v>
      </c>
      <c r="J944" t="s">
        <v>1573</v>
      </c>
      <c r="K944" s="12">
        <f>Store_Record[[#This Row],[Qty]]*Store_Record[[#This Row],[UnitPriceGBP]]</f>
        <v>11.2</v>
      </c>
      <c r="L944" s="5" t="str">
        <f>TEXT(Store_Record[[#This Row],[Date]],"dddd")</f>
        <v>Saturday</v>
      </c>
      <c r="M944" s="5" t="str">
        <f>TEXT(Store_Record[[#This Row],[Date]],"mmmm")</f>
        <v>March</v>
      </c>
      <c r="N944" s="5">
        <f>YEAR(Store_Record[[#This Row],[Date]])</f>
        <v>2025</v>
      </c>
      <c r="O944"/>
    </row>
    <row r="945" spans="1:15" x14ac:dyDescent="0.35">
      <c r="A945" t="s">
        <v>1577</v>
      </c>
      <c r="B945" s="2">
        <v>45724</v>
      </c>
      <c r="C945" t="s">
        <v>24</v>
      </c>
      <c r="D945" t="s">
        <v>47</v>
      </c>
      <c r="E945" t="s">
        <v>30</v>
      </c>
      <c r="F945" t="s">
        <v>31</v>
      </c>
      <c r="G945">
        <v>4</v>
      </c>
      <c r="H945">
        <v>2.8</v>
      </c>
      <c r="I945" t="s">
        <v>21</v>
      </c>
      <c r="J945" t="s">
        <v>1578</v>
      </c>
      <c r="K945" s="12">
        <f>Store_Record[[#This Row],[Qty]]*Store_Record[[#This Row],[UnitPriceGBP]]</f>
        <v>11.2</v>
      </c>
      <c r="L945" s="5" t="str">
        <f>TEXT(Store_Record[[#This Row],[Date]],"dddd")</f>
        <v>Saturday</v>
      </c>
      <c r="M945" s="5" t="str">
        <f>TEXT(Store_Record[[#This Row],[Date]],"mmmm")</f>
        <v>March</v>
      </c>
      <c r="N945" s="5">
        <f>YEAR(Store_Record[[#This Row],[Date]])</f>
        <v>2025</v>
      </c>
      <c r="O945"/>
    </row>
    <row r="946" spans="1:15" x14ac:dyDescent="0.35">
      <c r="A946" t="s">
        <v>1574</v>
      </c>
      <c r="B946" s="2">
        <v>45724</v>
      </c>
      <c r="C946" t="s">
        <v>20</v>
      </c>
      <c r="D946" t="s">
        <v>25</v>
      </c>
      <c r="E946" t="s">
        <v>34</v>
      </c>
      <c r="F946" t="s">
        <v>31</v>
      </c>
      <c r="G946">
        <v>5</v>
      </c>
      <c r="H946">
        <v>2.2000000000000002</v>
      </c>
      <c r="I946" t="s">
        <v>14</v>
      </c>
      <c r="J946" t="s">
        <v>74</v>
      </c>
      <c r="K946" s="12">
        <f>Store_Record[[#This Row],[Qty]]*Store_Record[[#This Row],[UnitPriceGBP]]</f>
        <v>11</v>
      </c>
      <c r="L946" s="5" t="str">
        <f>TEXT(Store_Record[[#This Row],[Date]],"dddd")</f>
        <v>Saturday</v>
      </c>
      <c r="M946" s="5" t="str">
        <f>TEXT(Store_Record[[#This Row],[Date]],"mmmm")</f>
        <v>March</v>
      </c>
      <c r="N946" s="5">
        <f>YEAR(Store_Record[[#This Row],[Date]])</f>
        <v>2025</v>
      </c>
      <c r="O946"/>
    </row>
    <row r="947" spans="1:15" x14ac:dyDescent="0.35">
      <c r="A947" t="s">
        <v>1588</v>
      </c>
      <c r="B947" s="2">
        <v>45724</v>
      </c>
      <c r="C947" t="s">
        <v>10</v>
      </c>
      <c r="D947" t="s">
        <v>47</v>
      </c>
      <c r="E947" t="s">
        <v>26</v>
      </c>
      <c r="F947" t="s">
        <v>13</v>
      </c>
      <c r="G947">
        <v>3</v>
      </c>
      <c r="H947">
        <v>3.5</v>
      </c>
      <c r="I947" t="s">
        <v>39</v>
      </c>
      <c r="J947" t="s">
        <v>415</v>
      </c>
      <c r="K947" s="12">
        <f>Store_Record[[#This Row],[Qty]]*Store_Record[[#This Row],[UnitPriceGBP]]</f>
        <v>10.5</v>
      </c>
      <c r="L947" s="5" t="str">
        <f>TEXT(Store_Record[[#This Row],[Date]],"dddd")</f>
        <v>Saturday</v>
      </c>
      <c r="M947" s="5" t="str">
        <f>TEXT(Store_Record[[#This Row],[Date]],"mmmm")</f>
        <v>March</v>
      </c>
      <c r="N947" s="5">
        <f>YEAR(Store_Record[[#This Row],[Date]])</f>
        <v>2025</v>
      </c>
      <c r="O947"/>
    </row>
    <row r="948" spans="1:15" x14ac:dyDescent="0.35">
      <c r="A948" t="s">
        <v>1587</v>
      </c>
      <c r="B948" s="2">
        <v>45724</v>
      </c>
      <c r="C948" t="s">
        <v>10</v>
      </c>
      <c r="D948" t="s">
        <v>38</v>
      </c>
      <c r="E948" t="s">
        <v>42</v>
      </c>
      <c r="F948" t="s">
        <v>13</v>
      </c>
      <c r="G948">
        <v>2</v>
      </c>
      <c r="H948">
        <v>3.8</v>
      </c>
      <c r="I948" t="s">
        <v>14</v>
      </c>
      <c r="J948" t="s">
        <v>452</v>
      </c>
      <c r="K948" s="12">
        <f>Store_Record[[#This Row],[Qty]]*Store_Record[[#This Row],[UnitPriceGBP]]</f>
        <v>7.6</v>
      </c>
      <c r="L948" s="5" t="str">
        <f>TEXT(Store_Record[[#This Row],[Date]],"dddd")</f>
        <v>Saturday</v>
      </c>
      <c r="M948" s="5" t="str">
        <f>TEXT(Store_Record[[#This Row],[Date]],"mmmm")</f>
        <v>March</v>
      </c>
      <c r="N948" s="5">
        <f>YEAR(Store_Record[[#This Row],[Date]])</f>
        <v>2025</v>
      </c>
      <c r="O948"/>
    </row>
    <row r="949" spans="1:15" x14ac:dyDescent="0.35">
      <c r="A949" t="s">
        <v>1575</v>
      </c>
      <c r="B949" s="2">
        <v>45724</v>
      </c>
      <c r="C949" t="s">
        <v>20</v>
      </c>
      <c r="D949" t="s">
        <v>25</v>
      </c>
      <c r="E949" t="s">
        <v>26</v>
      </c>
      <c r="F949" t="s">
        <v>13</v>
      </c>
      <c r="G949">
        <v>2</v>
      </c>
      <c r="H949">
        <v>3.5</v>
      </c>
      <c r="I949" t="s">
        <v>39</v>
      </c>
      <c r="J949" t="s">
        <v>1576</v>
      </c>
      <c r="K949" s="12">
        <f>Store_Record[[#This Row],[Qty]]*Store_Record[[#This Row],[UnitPriceGBP]]</f>
        <v>7</v>
      </c>
      <c r="L949" s="5" t="str">
        <f>TEXT(Store_Record[[#This Row],[Date]],"dddd")</f>
        <v>Saturday</v>
      </c>
      <c r="M949" s="5" t="str">
        <f>TEXT(Store_Record[[#This Row],[Date]],"mmmm")</f>
        <v>March</v>
      </c>
      <c r="N949" s="5">
        <f>YEAR(Store_Record[[#This Row],[Date]])</f>
        <v>2025</v>
      </c>
      <c r="O949"/>
    </row>
    <row r="950" spans="1:15" x14ac:dyDescent="0.35">
      <c r="A950" t="s">
        <v>1585</v>
      </c>
      <c r="B950" s="2">
        <v>45724</v>
      </c>
      <c r="C950" t="s">
        <v>24</v>
      </c>
      <c r="D950" t="s">
        <v>25</v>
      </c>
      <c r="E950" t="s">
        <v>12</v>
      </c>
      <c r="F950" t="s">
        <v>13</v>
      </c>
      <c r="G950">
        <v>2</v>
      </c>
      <c r="H950">
        <v>2.5</v>
      </c>
      <c r="I950" t="s">
        <v>39</v>
      </c>
      <c r="J950" t="s">
        <v>1338</v>
      </c>
      <c r="K950" s="12">
        <f>Store_Record[[#This Row],[Qty]]*Store_Record[[#This Row],[UnitPriceGBP]]</f>
        <v>5</v>
      </c>
      <c r="L950" s="5" t="str">
        <f>TEXT(Store_Record[[#This Row],[Date]],"dddd")</f>
        <v>Saturday</v>
      </c>
      <c r="M950" s="5" t="str">
        <f>TEXT(Store_Record[[#This Row],[Date]],"mmmm")</f>
        <v>March</v>
      </c>
      <c r="N950" s="5">
        <f>YEAR(Store_Record[[#This Row],[Date]])</f>
        <v>2025</v>
      </c>
      <c r="O950"/>
    </row>
    <row r="951" spans="1:15" x14ac:dyDescent="0.35">
      <c r="A951" t="s">
        <v>1583</v>
      </c>
      <c r="B951" s="2">
        <v>45724</v>
      </c>
      <c r="C951" t="s">
        <v>20</v>
      </c>
      <c r="D951" t="s">
        <v>38</v>
      </c>
      <c r="E951" t="s">
        <v>34</v>
      </c>
      <c r="F951" t="s">
        <v>31</v>
      </c>
      <c r="G951">
        <v>2</v>
      </c>
      <c r="H951">
        <v>2.2000000000000002</v>
      </c>
      <c r="I951" t="s">
        <v>14</v>
      </c>
      <c r="J951" t="s">
        <v>1584</v>
      </c>
      <c r="K951" s="12">
        <f>Store_Record[[#This Row],[Qty]]*Store_Record[[#This Row],[UnitPriceGBP]]</f>
        <v>4.4000000000000004</v>
      </c>
      <c r="L951" s="5" t="str">
        <f>TEXT(Store_Record[[#This Row],[Date]],"dddd")</f>
        <v>Saturday</v>
      </c>
      <c r="M951" s="5" t="str">
        <f>TEXT(Store_Record[[#This Row],[Date]],"mmmm")</f>
        <v>March</v>
      </c>
      <c r="N951" s="5">
        <f>YEAR(Store_Record[[#This Row],[Date]])</f>
        <v>2025</v>
      </c>
      <c r="O951"/>
    </row>
    <row r="952" spans="1:15" x14ac:dyDescent="0.35">
      <c r="A952" t="s">
        <v>1571</v>
      </c>
      <c r="B952" s="2">
        <v>45724</v>
      </c>
      <c r="C952" t="s">
        <v>24</v>
      </c>
      <c r="D952" t="s">
        <v>11</v>
      </c>
      <c r="E952" t="s">
        <v>42</v>
      </c>
      <c r="F952" t="s">
        <v>13</v>
      </c>
      <c r="G952">
        <v>1</v>
      </c>
      <c r="H952">
        <v>3.8</v>
      </c>
      <c r="I952" t="s">
        <v>21</v>
      </c>
      <c r="J952" t="s">
        <v>1486</v>
      </c>
      <c r="K952" s="12">
        <f>Store_Record[[#This Row],[Qty]]*Store_Record[[#This Row],[UnitPriceGBP]]</f>
        <v>3.8</v>
      </c>
      <c r="L952" s="5" t="str">
        <f>TEXT(Store_Record[[#This Row],[Date]],"dddd")</f>
        <v>Saturday</v>
      </c>
      <c r="M952" s="5" t="str">
        <f>TEXT(Store_Record[[#This Row],[Date]],"mmmm")</f>
        <v>March</v>
      </c>
      <c r="N952" s="5">
        <f>YEAR(Store_Record[[#This Row],[Date]])</f>
        <v>2025</v>
      </c>
      <c r="O952"/>
    </row>
    <row r="953" spans="1:15" x14ac:dyDescent="0.35">
      <c r="A953" t="s">
        <v>1569</v>
      </c>
      <c r="B953" s="2">
        <v>45724</v>
      </c>
      <c r="C953" t="s">
        <v>36</v>
      </c>
      <c r="D953" t="s">
        <v>11</v>
      </c>
      <c r="E953" t="s">
        <v>26</v>
      </c>
      <c r="F953" t="s">
        <v>13</v>
      </c>
      <c r="G953">
        <v>1</v>
      </c>
      <c r="H953">
        <v>3.5</v>
      </c>
      <c r="I953" t="s">
        <v>14</v>
      </c>
      <c r="J953" t="s">
        <v>743</v>
      </c>
      <c r="K953" s="12">
        <f>Store_Record[[#This Row],[Qty]]*Store_Record[[#This Row],[UnitPriceGBP]]</f>
        <v>3.5</v>
      </c>
      <c r="L953" s="5" t="str">
        <f>TEXT(Store_Record[[#This Row],[Date]],"dddd")</f>
        <v>Saturday</v>
      </c>
      <c r="M953" s="5" t="str">
        <f>TEXT(Store_Record[[#This Row],[Date]],"mmmm")</f>
        <v>March</v>
      </c>
      <c r="N953" s="5">
        <f>YEAR(Store_Record[[#This Row],[Date]])</f>
        <v>2025</v>
      </c>
      <c r="O953"/>
    </row>
    <row r="954" spans="1:15" x14ac:dyDescent="0.35">
      <c r="A954" t="s">
        <v>1581</v>
      </c>
      <c r="B954" s="2">
        <v>45724</v>
      </c>
      <c r="C954" t="s">
        <v>36</v>
      </c>
      <c r="D954" t="s">
        <v>152</v>
      </c>
      <c r="E954" t="s">
        <v>30</v>
      </c>
      <c r="F954" t="s">
        <v>31</v>
      </c>
      <c r="G954">
        <v>1</v>
      </c>
      <c r="H954">
        <v>2.8</v>
      </c>
      <c r="I954" t="s">
        <v>14</v>
      </c>
      <c r="J954" t="s">
        <v>986</v>
      </c>
      <c r="K954" s="12">
        <f>Store_Record[[#This Row],[Qty]]*Store_Record[[#This Row],[UnitPriceGBP]]</f>
        <v>2.8</v>
      </c>
      <c r="L954" s="5" t="str">
        <f>TEXT(Store_Record[[#This Row],[Date]],"dddd")</f>
        <v>Saturday</v>
      </c>
      <c r="M954" s="5" t="str">
        <f>TEXT(Store_Record[[#This Row],[Date]],"mmmm")</f>
        <v>March</v>
      </c>
      <c r="N954" s="5">
        <f>YEAR(Store_Record[[#This Row],[Date]])</f>
        <v>2025</v>
      </c>
      <c r="O954"/>
    </row>
    <row r="955" spans="1:15" x14ac:dyDescent="0.35">
      <c r="A955" t="s">
        <v>1586</v>
      </c>
      <c r="B955" s="2">
        <v>45724</v>
      </c>
      <c r="C955" t="s">
        <v>24</v>
      </c>
      <c r="D955" t="s">
        <v>11</v>
      </c>
      <c r="E955" t="s">
        <v>30</v>
      </c>
      <c r="F955" t="s">
        <v>31</v>
      </c>
      <c r="G955">
        <v>1</v>
      </c>
      <c r="H955">
        <v>2.8</v>
      </c>
      <c r="I955" t="s">
        <v>14</v>
      </c>
      <c r="J955" t="s">
        <v>648</v>
      </c>
      <c r="K955" s="12">
        <f>Store_Record[[#This Row],[Qty]]*Store_Record[[#This Row],[UnitPriceGBP]]</f>
        <v>2.8</v>
      </c>
      <c r="L955" s="5" t="str">
        <f>TEXT(Store_Record[[#This Row],[Date]],"dddd")</f>
        <v>Saturday</v>
      </c>
      <c r="M955" s="5" t="str">
        <f>TEXT(Store_Record[[#This Row],[Date]],"mmmm")</f>
        <v>March</v>
      </c>
      <c r="N955" s="5">
        <f>YEAR(Store_Record[[#This Row],[Date]])</f>
        <v>2025</v>
      </c>
      <c r="O955"/>
    </row>
    <row r="956" spans="1:15" x14ac:dyDescent="0.35">
      <c r="A956" t="s">
        <v>1568</v>
      </c>
      <c r="B956" s="2">
        <v>45724</v>
      </c>
      <c r="C956" t="s">
        <v>20</v>
      </c>
      <c r="D956" t="s">
        <v>47</v>
      </c>
      <c r="E956" t="s">
        <v>12</v>
      </c>
      <c r="F956" t="s">
        <v>13</v>
      </c>
      <c r="G956">
        <v>1</v>
      </c>
      <c r="H956">
        <v>2.5</v>
      </c>
      <c r="I956" t="s">
        <v>14</v>
      </c>
      <c r="J956" t="s">
        <v>101</v>
      </c>
      <c r="K956" s="12">
        <f>Store_Record[[#This Row],[Qty]]*Store_Record[[#This Row],[UnitPriceGBP]]</f>
        <v>2.5</v>
      </c>
      <c r="L956" s="5" t="str">
        <f>TEXT(Store_Record[[#This Row],[Date]],"dddd")</f>
        <v>Saturday</v>
      </c>
      <c r="M956" s="5" t="str">
        <f>TEXT(Store_Record[[#This Row],[Date]],"mmmm")</f>
        <v>March</v>
      </c>
      <c r="N956" s="5">
        <f>YEAR(Store_Record[[#This Row],[Date]])</f>
        <v>2025</v>
      </c>
      <c r="O956"/>
    </row>
    <row r="957" spans="1:15" x14ac:dyDescent="0.35">
      <c r="A957" t="s">
        <v>1579</v>
      </c>
      <c r="B957" s="2">
        <v>45724</v>
      </c>
      <c r="C957" t="s">
        <v>24</v>
      </c>
      <c r="D957" t="s">
        <v>47</v>
      </c>
      <c r="E957" t="s">
        <v>12</v>
      </c>
      <c r="F957" t="s">
        <v>13</v>
      </c>
      <c r="G957">
        <v>1</v>
      </c>
      <c r="H957">
        <v>2.5</v>
      </c>
      <c r="I957" t="s">
        <v>14</v>
      </c>
      <c r="J957" t="s">
        <v>1580</v>
      </c>
      <c r="K957" s="12">
        <f>Store_Record[[#This Row],[Qty]]*Store_Record[[#This Row],[UnitPriceGBP]]</f>
        <v>2.5</v>
      </c>
      <c r="L957" s="5" t="str">
        <f>TEXT(Store_Record[[#This Row],[Date]],"dddd")</f>
        <v>Saturday</v>
      </c>
      <c r="M957" s="5" t="str">
        <f>TEXT(Store_Record[[#This Row],[Date]],"mmmm")</f>
        <v>March</v>
      </c>
      <c r="N957" s="5">
        <f>YEAR(Store_Record[[#This Row],[Date]])</f>
        <v>2025</v>
      </c>
      <c r="O957"/>
    </row>
    <row r="958" spans="1:15" x14ac:dyDescent="0.35">
      <c r="A958" t="s">
        <v>1589</v>
      </c>
      <c r="B958" s="2">
        <v>45725</v>
      </c>
      <c r="C958" t="s">
        <v>10</v>
      </c>
      <c r="D958" t="s">
        <v>47</v>
      </c>
      <c r="E958" t="s">
        <v>30</v>
      </c>
      <c r="F958" t="s">
        <v>31</v>
      </c>
      <c r="G958">
        <v>5</v>
      </c>
      <c r="H958">
        <v>2.8</v>
      </c>
      <c r="I958" t="s">
        <v>14</v>
      </c>
      <c r="J958" t="s">
        <v>1590</v>
      </c>
      <c r="K958" s="12">
        <f>Store_Record[[#This Row],[Qty]]*Store_Record[[#This Row],[UnitPriceGBP]]</f>
        <v>14</v>
      </c>
      <c r="L958" s="5" t="str">
        <f>TEXT(Store_Record[[#This Row],[Date]],"dddd")</f>
        <v>Sunday</v>
      </c>
      <c r="M958" s="5" t="str">
        <f>TEXT(Store_Record[[#This Row],[Date]],"mmmm")</f>
        <v>March</v>
      </c>
      <c r="N958" s="5">
        <f>YEAR(Store_Record[[#This Row],[Date]])</f>
        <v>2025</v>
      </c>
      <c r="O958"/>
    </row>
    <row r="959" spans="1:15" x14ac:dyDescent="0.35">
      <c r="A959" t="s">
        <v>1599</v>
      </c>
      <c r="B959" s="2">
        <v>45725</v>
      </c>
      <c r="C959" t="s">
        <v>10</v>
      </c>
      <c r="D959" t="s">
        <v>29</v>
      </c>
      <c r="E959" t="s">
        <v>30</v>
      </c>
      <c r="F959" t="s">
        <v>31</v>
      </c>
      <c r="G959">
        <v>5</v>
      </c>
      <c r="H959">
        <v>2.8</v>
      </c>
      <c r="I959" t="s">
        <v>21</v>
      </c>
      <c r="J959" t="s">
        <v>296</v>
      </c>
      <c r="K959" s="12">
        <f>Store_Record[[#This Row],[Qty]]*Store_Record[[#This Row],[UnitPriceGBP]]</f>
        <v>14</v>
      </c>
      <c r="L959" s="5" t="str">
        <f>TEXT(Store_Record[[#This Row],[Date]],"dddd")</f>
        <v>Sunday</v>
      </c>
      <c r="M959" s="5" t="str">
        <f>TEXT(Store_Record[[#This Row],[Date]],"mmmm")</f>
        <v>March</v>
      </c>
      <c r="N959" s="5">
        <f>YEAR(Store_Record[[#This Row],[Date]])</f>
        <v>2025</v>
      </c>
      <c r="O959"/>
    </row>
    <row r="960" spans="1:15" x14ac:dyDescent="0.35">
      <c r="A960" t="s">
        <v>1597</v>
      </c>
      <c r="B960" s="2">
        <v>45725</v>
      </c>
      <c r="C960" t="s">
        <v>24</v>
      </c>
      <c r="D960" t="s">
        <v>11</v>
      </c>
      <c r="E960" t="s">
        <v>30</v>
      </c>
      <c r="F960" t="s">
        <v>31</v>
      </c>
      <c r="G960">
        <v>4</v>
      </c>
      <c r="H960">
        <v>2.8</v>
      </c>
      <c r="I960" t="s">
        <v>21</v>
      </c>
      <c r="J960" t="s">
        <v>1598</v>
      </c>
      <c r="K960" s="12">
        <f>Store_Record[[#This Row],[Qty]]*Store_Record[[#This Row],[UnitPriceGBP]]</f>
        <v>11.2</v>
      </c>
      <c r="L960" s="5" t="str">
        <f>TEXT(Store_Record[[#This Row],[Date]],"dddd")</f>
        <v>Sunday</v>
      </c>
      <c r="M960" s="5" t="str">
        <f>TEXT(Store_Record[[#This Row],[Date]],"mmmm")</f>
        <v>March</v>
      </c>
      <c r="N960" s="5">
        <f>YEAR(Store_Record[[#This Row],[Date]])</f>
        <v>2025</v>
      </c>
      <c r="O960"/>
    </row>
    <row r="961" spans="1:15" x14ac:dyDescent="0.35">
      <c r="A961" t="s">
        <v>1602</v>
      </c>
      <c r="B961" s="2">
        <v>45725</v>
      </c>
      <c r="C961" t="s">
        <v>10</v>
      </c>
      <c r="D961" t="s">
        <v>25</v>
      </c>
      <c r="E961" t="s">
        <v>30</v>
      </c>
      <c r="F961" t="s">
        <v>31</v>
      </c>
      <c r="G961">
        <v>4</v>
      </c>
      <c r="H961">
        <v>2.8</v>
      </c>
      <c r="I961" t="s">
        <v>39</v>
      </c>
      <c r="J961" t="s">
        <v>624</v>
      </c>
      <c r="K961" s="12">
        <f>Store_Record[[#This Row],[Qty]]*Store_Record[[#This Row],[UnitPriceGBP]]</f>
        <v>11.2</v>
      </c>
      <c r="L961" s="5" t="str">
        <f>TEXT(Store_Record[[#This Row],[Date]],"dddd")</f>
        <v>Sunday</v>
      </c>
      <c r="M961" s="5" t="str">
        <f>TEXT(Store_Record[[#This Row],[Date]],"mmmm")</f>
        <v>March</v>
      </c>
      <c r="N961" s="5">
        <f>YEAR(Store_Record[[#This Row],[Date]])</f>
        <v>2025</v>
      </c>
      <c r="O961"/>
    </row>
    <row r="962" spans="1:15" x14ac:dyDescent="0.35">
      <c r="A962" t="s">
        <v>1594</v>
      </c>
      <c r="B962" s="2">
        <v>45725</v>
      </c>
      <c r="C962" t="s">
        <v>20</v>
      </c>
      <c r="D962" t="s">
        <v>29</v>
      </c>
      <c r="E962" t="s">
        <v>34</v>
      </c>
      <c r="F962" t="s">
        <v>31</v>
      </c>
      <c r="G962">
        <v>5</v>
      </c>
      <c r="H962">
        <v>2.2000000000000002</v>
      </c>
      <c r="I962" t="s">
        <v>21</v>
      </c>
      <c r="J962" t="s">
        <v>1486</v>
      </c>
      <c r="K962" s="12">
        <f>Store_Record[[#This Row],[Qty]]*Store_Record[[#This Row],[UnitPriceGBP]]</f>
        <v>11</v>
      </c>
      <c r="L962" s="5" t="str">
        <f>TEXT(Store_Record[[#This Row],[Date]],"dddd")</f>
        <v>Sunday</v>
      </c>
      <c r="M962" s="5" t="str">
        <f>TEXT(Store_Record[[#This Row],[Date]],"mmmm")</f>
        <v>March</v>
      </c>
      <c r="N962" s="5">
        <f>YEAR(Store_Record[[#This Row],[Date]])</f>
        <v>2025</v>
      </c>
      <c r="O962"/>
    </row>
    <row r="963" spans="1:15" x14ac:dyDescent="0.35">
      <c r="A963" t="s">
        <v>1600</v>
      </c>
      <c r="B963" s="2">
        <v>45725</v>
      </c>
      <c r="C963" t="s">
        <v>36</v>
      </c>
      <c r="D963" t="s">
        <v>38</v>
      </c>
      <c r="E963" t="s">
        <v>42</v>
      </c>
      <c r="F963" t="s">
        <v>13</v>
      </c>
      <c r="G963">
        <v>2</v>
      </c>
      <c r="H963">
        <v>3.8</v>
      </c>
      <c r="I963" t="s">
        <v>14</v>
      </c>
      <c r="J963" t="s">
        <v>72</v>
      </c>
      <c r="K963" s="12">
        <f>Store_Record[[#This Row],[Qty]]*Store_Record[[#This Row],[UnitPriceGBP]]</f>
        <v>7.6</v>
      </c>
      <c r="L963" s="5" t="str">
        <f>TEXT(Store_Record[[#This Row],[Date]],"dddd")</f>
        <v>Sunday</v>
      </c>
      <c r="M963" s="5" t="str">
        <f>TEXT(Store_Record[[#This Row],[Date]],"mmmm")</f>
        <v>March</v>
      </c>
      <c r="N963" s="5">
        <f>YEAR(Store_Record[[#This Row],[Date]])</f>
        <v>2025</v>
      </c>
      <c r="O963"/>
    </row>
    <row r="964" spans="1:15" x14ac:dyDescent="0.35">
      <c r="A964" t="s">
        <v>1595</v>
      </c>
      <c r="B964" s="2">
        <v>45725</v>
      </c>
      <c r="C964" t="s">
        <v>10</v>
      </c>
      <c r="D964" t="s">
        <v>11</v>
      </c>
      <c r="E964" t="s">
        <v>12</v>
      </c>
      <c r="F964" t="s">
        <v>13</v>
      </c>
      <c r="G964">
        <v>3</v>
      </c>
      <c r="H964">
        <v>2.5</v>
      </c>
      <c r="I964" t="s">
        <v>21</v>
      </c>
      <c r="J964" t="s">
        <v>1596</v>
      </c>
      <c r="K964" s="12">
        <f>Store_Record[[#This Row],[Qty]]*Store_Record[[#This Row],[UnitPriceGBP]]</f>
        <v>7.5</v>
      </c>
      <c r="L964" s="5" t="str">
        <f>TEXT(Store_Record[[#This Row],[Date]],"dddd")</f>
        <v>Sunday</v>
      </c>
      <c r="M964" s="5" t="str">
        <f>TEXT(Store_Record[[#This Row],[Date]],"mmmm")</f>
        <v>March</v>
      </c>
      <c r="N964" s="5">
        <f>YEAR(Store_Record[[#This Row],[Date]])</f>
        <v>2025</v>
      </c>
      <c r="O964"/>
    </row>
    <row r="965" spans="1:15" x14ac:dyDescent="0.35">
      <c r="A965" t="s">
        <v>1591</v>
      </c>
      <c r="B965" s="2">
        <v>45725</v>
      </c>
      <c r="C965" t="s">
        <v>36</v>
      </c>
      <c r="D965" t="s">
        <v>25</v>
      </c>
      <c r="E965" t="s">
        <v>30</v>
      </c>
      <c r="F965" t="s">
        <v>31</v>
      </c>
      <c r="G965">
        <v>2</v>
      </c>
      <c r="H965">
        <v>2.8</v>
      </c>
      <c r="I965" t="s">
        <v>14</v>
      </c>
      <c r="J965" t="s">
        <v>1005</v>
      </c>
      <c r="K965" s="12">
        <f>Store_Record[[#This Row],[Qty]]*Store_Record[[#This Row],[UnitPriceGBP]]</f>
        <v>5.6</v>
      </c>
      <c r="L965" s="5" t="str">
        <f>TEXT(Store_Record[[#This Row],[Date]],"dddd")</f>
        <v>Sunday</v>
      </c>
      <c r="M965" s="5" t="str">
        <f>TEXT(Store_Record[[#This Row],[Date]],"mmmm")</f>
        <v>March</v>
      </c>
      <c r="N965" s="5">
        <f>YEAR(Store_Record[[#This Row],[Date]])</f>
        <v>2025</v>
      </c>
      <c r="O965"/>
    </row>
    <row r="966" spans="1:15" x14ac:dyDescent="0.35">
      <c r="A966" t="s">
        <v>1592</v>
      </c>
      <c r="B966" s="2">
        <v>45725</v>
      </c>
      <c r="C966" t="s">
        <v>36</v>
      </c>
      <c r="D966" t="s">
        <v>38</v>
      </c>
      <c r="E966" t="s">
        <v>12</v>
      </c>
      <c r="F966" t="s">
        <v>13</v>
      </c>
      <c r="G966">
        <v>2</v>
      </c>
      <c r="H966">
        <v>2.5</v>
      </c>
      <c r="I966" t="s">
        <v>14</v>
      </c>
      <c r="J966" t="s">
        <v>1593</v>
      </c>
      <c r="K966" s="12">
        <f>Store_Record[[#This Row],[Qty]]*Store_Record[[#This Row],[UnitPriceGBP]]</f>
        <v>5</v>
      </c>
      <c r="L966" s="5" t="str">
        <f>TEXT(Store_Record[[#This Row],[Date]],"dddd")</f>
        <v>Sunday</v>
      </c>
      <c r="M966" s="5" t="str">
        <f>TEXT(Store_Record[[#This Row],[Date]],"mmmm")</f>
        <v>March</v>
      </c>
      <c r="N966" s="5">
        <f>YEAR(Store_Record[[#This Row],[Date]])</f>
        <v>2025</v>
      </c>
      <c r="O966"/>
    </row>
    <row r="967" spans="1:15" x14ac:dyDescent="0.35">
      <c r="A967" t="s">
        <v>1601</v>
      </c>
      <c r="B967" s="2">
        <v>45725</v>
      </c>
      <c r="C967" t="s">
        <v>10</v>
      </c>
      <c r="D967" t="s">
        <v>25</v>
      </c>
      <c r="E967" t="s">
        <v>42</v>
      </c>
      <c r="F967" t="s">
        <v>13</v>
      </c>
      <c r="G967">
        <v>1</v>
      </c>
      <c r="H967">
        <v>3.8</v>
      </c>
      <c r="I967" t="s">
        <v>39</v>
      </c>
      <c r="J967" t="s">
        <v>626</v>
      </c>
      <c r="K967" s="12">
        <f>Store_Record[[#This Row],[Qty]]*Store_Record[[#This Row],[UnitPriceGBP]]</f>
        <v>3.8</v>
      </c>
      <c r="L967" s="5" t="str">
        <f>TEXT(Store_Record[[#This Row],[Date]],"dddd")</f>
        <v>Sunday</v>
      </c>
      <c r="M967" s="5" t="str">
        <f>TEXT(Store_Record[[#This Row],[Date]],"mmmm")</f>
        <v>March</v>
      </c>
      <c r="N967" s="5">
        <f>YEAR(Store_Record[[#This Row],[Date]])</f>
        <v>2025</v>
      </c>
      <c r="O967"/>
    </row>
    <row r="968" spans="1:15" x14ac:dyDescent="0.35">
      <c r="A968" t="s">
        <v>1603</v>
      </c>
      <c r="B968" s="2">
        <v>45725</v>
      </c>
      <c r="C968" t="s">
        <v>20</v>
      </c>
      <c r="D968" t="s">
        <v>38</v>
      </c>
      <c r="E968" t="s">
        <v>26</v>
      </c>
      <c r="F968" t="s">
        <v>13</v>
      </c>
      <c r="G968">
        <v>1</v>
      </c>
      <c r="H968">
        <v>3.5</v>
      </c>
      <c r="I968" t="s">
        <v>21</v>
      </c>
      <c r="J968" t="s">
        <v>306</v>
      </c>
      <c r="K968" s="12">
        <f>Store_Record[[#This Row],[Qty]]*Store_Record[[#This Row],[UnitPriceGBP]]</f>
        <v>3.5</v>
      </c>
      <c r="L968" s="5" t="str">
        <f>TEXT(Store_Record[[#This Row],[Date]],"dddd")</f>
        <v>Sunday</v>
      </c>
      <c r="M968" s="5" t="str">
        <f>TEXT(Store_Record[[#This Row],[Date]],"mmmm")</f>
        <v>March</v>
      </c>
      <c r="N968" s="5">
        <f>YEAR(Store_Record[[#This Row],[Date]])</f>
        <v>2025</v>
      </c>
      <c r="O968"/>
    </row>
    <row r="969" spans="1:15" x14ac:dyDescent="0.35">
      <c r="A969" t="s">
        <v>1611</v>
      </c>
      <c r="B969" s="2">
        <v>45726</v>
      </c>
      <c r="C969" t="s">
        <v>24</v>
      </c>
      <c r="D969" t="s">
        <v>38</v>
      </c>
      <c r="E969" t="s">
        <v>26</v>
      </c>
      <c r="F969" t="s">
        <v>13</v>
      </c>
      <c r="G969">
        <v>5</v>
      </c>
      <c r="H969">
        <v>3.5</v>
      </c>
      <c r="I969" t="s">
        <v>39</v>
      </c>
      <c r="J969" t="s">
        <v>1468</v>
      </c>
      <c r="K969" s="12">
        <f>Store_Record[[#This Row],[Qty]]*Store_Record[[#This Row],[UnitPriceGBP]]</f>
        <v>17.5</v>
      </c>
      <c r="L969" s="5" t="str">
        <f>TEXT(Store_Record[[#This Row],[Date]],"dddd")</f>
        <v>Monday</v>
      </c>
      <c r="M969" s="5" t="str">
        <f>TEXT(Store_Record[[#This Row],[Date]],"mmmm")</f>
        <v>March</v>
      </c>
      <c r="N969" s="5">
        <f>YEAR(Store_Record[[#This Row],[Date]])</f>
        <v>2025</v>
      </c>
      <c r="O969"/>
    </row>
    <row r="970" spans="1:15" x14ac:dyDescent="0.35">
      <c r="A970" t="s">
        <v>1618</v>
      </c>
      <c r="B970" s="2">
        <v>45726</v>
      </c>
      <c r="C970" t="s">
        <v>10</v>
      </c>
      <c r="D970" t="s">
        <v>11</v>
      </c>
      <c r="E970" t="s">
        <v>42</v>
      </c>
      <c r="F970" t="s">
        <v>13</v>
      </c>
      <c r="G970">
        <v>4</v>
      </c>
      <c r="H970">
        <v>3.8</v>
      </c>
      <c r="I970" t="s">
        <v>14</v>
      </c>
      <c r="J970" t="s">
        <v>35</v>
      </c>
      <c r="K970" s="12">
        <f>Store_Record[[#This Row],[Qty]]*Store_Record[[#This Row],[UnitPriceGBP]]</f>
        <v>15.2</v>
      </c>
      <c r="L970" s="5" t="str">
        <f>TEXT(Store_Record[[#This Row],[Date]],"dddd")</f>
        <v>Monday</v>
      </c>
      <c r="M970" s="5" t="str">
        <f>TEXT(Store_Record[[#This Row],[Date]],"mmmm")</f>
        <v>March</v>
      </c>
      <c r="N970" s="5">
        <f>YEAR(Store_Record[[#This Row],[Date]])</f>
        <v>2025</v>
      </c>
      <c r="O970"/>
    </row>
    <row r="971" spans="1:15" x14ac:dyDescent="0.35">
      <c r="A971" t="s">
        <v>1620</v>
      </c>
      <c r="B971" s="2">
        <v>45726</v>
      </c>
      <c r="C971" t="s">
        <v>36</v>
      </c>
      <c r="D971" t="s">
        <v>47</v>
      </c>
      <c r="E971" t="s">
        <v>30</v>
      </c>
      <c r="F971" t="s">
        <v>31</v>
      </c>
      <c r="G971">
        <v>5</v>
      </c>
      <c r="H971">
        <v>2.8</v>
      </c>
      <c r="I971" t="s">
        <v>21</v>
      </c>
      <c r="J971" t="s">
        <v>82</v>
      </c>
      <c r="K971" s="12">
        <f>Store_Record[[#This Row],[Qty]]*Store_Record[[#This Row],[UnitPriceGBP]]</f>
        <v>14</v>
      </c>
      <c r="L971" s="5" t="str">
        <f>TEXT(Store_Record[[#This Row],[Date]],"dddd")</f>
        <v>Monday</v>
      </c>
      <c r="M971" s="5" t="str">
        <f>TEXT(Store_Record[[#This Row],[Date]],"mmmm")</f>
        <v>March</v>
      </c>
      <c r="N971" s="5">
        <f>YEAR(Store_Record[[#This Row],[Date]])</f>
        <v>2025</v>
      </c>
      <c r="O971"/>
    </row>
    <row r="972" spans="1:15" x14ac:dyDescent="0.35">
      <c r="A972" t="s">
        <v>1626</v>
      </c>
      <c r="B972" s="2">
        <v>45726</v>
      </c>
      <c r="C972" t="s">
        <v>10</v>
      </c>
      <c r="D972" t="s">
        <v>25</v>
      </c>
      <c r="E972" t="s">
        <v>26</v>
      </c>
      <c r="F972" t="s">
        <v>13</v>
      </c>
      <c r="G972">
        <v>4</v>
      </c>
      <c r="H972">
        <v>3.5</v>
      </c>
      <c r="I972" t="s">
        <v>39</v>
      </c>
      <c r="J972" t="s">
        <v>1327</v>
      </c>
      <c r="K972" s="12">
        <f>Store_Record[[#This Row],[Qty]]*Store_Record[[#This Row],[UnitPriceGBP]]</f>
        <v>14</v>
      </c>
      <c r="L972" s="5" t="str">
        <f>TEXT(Store_Record[[#This Row],[Date]],"dddd")</f>
        <v>Monday</v>
      </c>
      <c r="M972" s="5" t="str">
        <f>TEXT(Store_Record[[#This Row],[Date]],"mmmm")</f>
        <v>March</v>
      </c>
      <c r="N972" s="5">
        <f>YEAR(Store_Record[[#This Row],[Date]])</f>
        <v>2025</v>
      </c>
      <c r="O972"/>
    </row>
    <row r="973" spans="1:15" x14ac:dyDescent="0.35">
      <c r="A973" t="s">
        <v>1604</v>
      </c>
      <c r="B973" s="2">
        <v>45726</v>
      </c>
      <c r="C973" t="s">
        <v>20</v>
      </c>
      <c r="D973" t="s">
        <v>25</v>
      </c>
      <c r="E973" t="s">
        <v>12</v>
      </c>
      <c r="F973" t="s">
        <v>13</v>
      </c>
      <c r="G973">
        <v>5</v>
      </c>
      <c r="H973">
        <v>2.5</v>
      </c>
      <c r="I973" t="s">
        <v>39</v>
      </c>
      <c r="J973" t="s">
        <v>1605</v>
      </c>
      <c r="K973" s="12">
        <f>Store_Record[[#This Row],[Qty]]*Store_Record[[#This Row],[UnitPriceGBP]]</f>
        <v>12.5</v>
      </c>
      <c r="L973" s="5" t="str">
        <f>TEXT(Store_Record[[#This Row],[Date]],"dddd")</f>
        <v>Monday</v>
      </c>
      <c r="M973" s="5" t="str">
        <f>TEXT(Store_Record[[#This Row],[Date]],"mmmm")</f>
        <v>March</v>
      </c>
      <c r="N973" s="5">
        <f>YEAR(Store_Record[[#This Row],[Date]])</f>
        <v>2025</v>
      </c>
      <c r="O973"/>
    </row>
    <row r="974" spans="1:15" x14ac:dyDescent="0.35">
      <c r="A974" t="s">
        <v>1630</v>
      </c>
      <c r="B974" s="2">
        <v>45726</v>
      </c>
      <c r="C974" t="s">
        <v>36</v>
      </c>
      <c r="D974" t="s">
        <v>29</v>
      </c>
      <c r="E974" t="s">
        <v>12</v>
      </c>
      <c r="F974" t="s">
        <v>13</v>
      </c>
      <c r="G974">
        <v>5</v>
      </c>
      <c r="H974">
        <v>2.5</v>
      </c>
      <c r="I974" t="s">
        <v>39</v>
      </c>
      <c r="J974" t="s">
        <v>638</v>
      </c>
      <c r="K974" s="12">
        <f>Store_Record[[#This Row],[Qty]]*Store_Record[[#This Row],[UnitPriceGBP]]</f>
        <v>12.5</v>
      </c>
      <c r="L974" s="5" t="str">
        <f>TEXT(Store_Record[[#This Row],[Date]],"dddd")</f>
        <v>Monday</v>
      </c>
      <c r="M974" s="5" t="str">
        <f>TEXT(Store_Record[[#This Row],[Date]],"mmmm")</f>
        <v>March</v>
      </c>
      <c r="N974" s="5">
        <f>YEAR(Store_Record[[#This Row],[Date]])</f>
        <v>2025</v>
      </c>
      <c r="O974"/>
    </row>
    <row r="975" spans="1:15" x14ac:dyDescent="0.35">
      <c r="A975" t="s">
        <v>1615</v>
      </c>
      <c r="B975" s="2">
        <v>45726</v>
      </c>
      <c r="C975" t="s">
        <v>10</v>
      </c>
      <c r="D975" t="s">
        <v>38</v>
      </c>
      <c r="E975" t="s">
        <v>42</v>
      </c>
      <c r="F975" t="s">
        <v>13</v>
      </c>
      <c r="G975">
        <v>3</v>
      </c>
      <c r="H975">
        <v>3.8</v>
      </c>
      <c r="I975" t="s">
        <v>21</v>
      </c>
      <c r="J975" t="s">
        <v>1616</v>
      </c>
      <c r="K975" s="12">
        <f>Store_Record[[#This Row],[Qty]]*Store_Record[[#This Row],[UnitPriceGBP]]</f>
        <v>11.399999999999999</v>
      </c>
      <c r="L975" s="5" t="str">
        <f>TEXT(Store_Record[[#This Row],[Date]],"dddd")</f>
        <v>Monday</v>
      </c>
      <c r="M975" s="5" t="str">
        <f>TEXT(Store_Record[[#This Row],[Date]],"mmmm")</f>
        <v>March</v>
      </c>
      <c r="N975" s="5">
        <f>YEAR(Store_Record[[#This Row],[Date]])</f>
        <v>2025</v>
      </c>
      <c r="O975"/>
    </row>
    <row r="976" spans="1:15" x14ac:dyDescent="0.35">
      <c r="A976" t="s">
        <v>1624</v>
      </c>
      <c r="B976" s="2">
        <v>45726</v>
      </c>
      <c r="C976" t="s">
        <v>24</v>
      </c>
      <c r="D976" t="s">
        <v>47</v>
      </c>
      <c r="E976" t="s">
        <v>30</v>
      </c>
      <c r="F976" t="s">
        <v>31</v>
      </c>
      <c r="G976">
        <v>4</v>
      </c>
      <c r="H976">
        <v>2.8</v>
      </c>
      <c r="I976" t="s">
        <v>39</v>
      </c>
      <c r="J976" t="s">
        <v>1625</v>
      </c>
      <c r="K976" s="12">
        <f>Store_Record[[#This Row],[Qty]]*Store_Record[[#This Row],[UnitPriceGBP]]</f>
        <v>11.2</v>
      </c>
      <c r="L976" s="5" t="str">
        <f>TEXT(Store_Record[[#This Row],[Date]],"dddd")</f>
        <v>Monday</v>
      </c>
      <c r="M976" s="5" t="str">
        <f>TEXT(Store_Record[[#This Row],[Date]],"mmmm")</f>
        <v>March</v>
      </c>
      <c r="N976" s="5">
        <f>YEAR(Store_Record[[#This Row],[Date]])</f>
        <v>2025</v>
      </c>
      <c r="O976"/>
    </row>
    <row r="977" spans="1:15" x14ac:dyDescent="0.35">
      <c r="A977" t="s">
        <v>1628</v>
      </c>
      <c r="B977" s="2">
        <v>45726</v>
      </c>
      <c r="C977" t="s">
        <v>36</v>
      </c>
      <c r="D977" t="s">
        <v>29</v>
      </c>
      <c r="E977" t="s">
        <v>30</v>
      </c>
      <c r="F977" t="s">
        <v>31</v>
      </c>
      <c r="G977">
        <v>4</v>
      </c>
      <c r="H977">
        <v>2.8</v>
      </c>
      <c r="I977" t="s">
        <v>14</v>
      </c>
      <c r="J977" t="s">
        <v>1629</v>
      </c>
      <c r="K977" s="12">
        <f>Store_Record[[#This Row],[Qty]]*Store_Record[[#This Row],[UnitPriceGBP]]</f>
        <v>11.2</v>
      </c>
      <c r="L977" s="5" t="str">
        <f>TEXT(Store_Record[[#This Row],[Date]],"dddd")</f>
        <v>Monday</v>
      </c>
      <c r="M977" s="5" t="str">
        <f>TEXT(Store_Record[[#This Row],[Date]],"mmmm")</f>
        <v>March</v>
      </c>
      <c r="N977" s="5">
        <f>YEAR(Store_Record[[#This Row],[Date]])</f>
        <v>2025</v>
      </c>
      <c r="O977"/>
    </row>
    <row r="978" spans="1:15" x14ac:dyDescent="0.35">
      <c r="A978" t="s">
        <v>1612</v>
      </c>
      <c r="B978" s="2">
        <v>45726</v>
      </c>
      <c r="C978" t="s">
        <v>20</v>
      </c>
      <c r="D978" t="s">
        <v>29</v>
      </c>
      <c r="E978" t="s">
        <v>34</v>
      </c>
      <c r="F978" t="s">
        <v>31</v>
      </c>
      <c r="G978">
        <v>5</v>
      </c>
      <c r="H978">
        <v>2.2000000000000002</v>
      </c>
      <c r="I978" t="s">
        <v>21</v>
      </c>
      <c r="J978" t="s">
        <v>82</v>
      </c>
      <c r="K978" s="12">
        <f>Store_Record[[#This Row],[Qty]]*Store_Record[[#This Row],[UnitPriceGBP]]</f>
        <v>11</v>
      </c>
      <c r="L978" s="5" t="str">
        <f>TEXT(Store_Record[[#This Row],[Date]],"dddd")</f>
        <v>Monday</v>
      </c>
      <c r="M978" s="5" t="str">
        <f>TEXT(Store_Record[[#This Row],[Date]],"mmmm")</f>
        <v>March</v>
      </c>
      <c r="N978" s="5">
        <f>YEAR(Store_Record[[#This Row],[Date]])</f>
        <v>2025</v>
      </c>
      <c r="O978"/>
    </row>
    <row r="979" spans="1:15" x14ac:dyDescent="0.35">
      <c r="A979" t="s">
        <v>1609</v>
      </c>
      <c r="B979" s="2">
        <v>45726</v>
      </c>
      <c r="C979" t="s">
        <v>20</v>
      </c>
      <c r="D979" t="s">
        <v>29</v>
      </c>
      <c r="E979" t="s">
        <v>30</v>
      </c>
      <c r="F979" t="s">
        <v>31</v>
      </c>
      <c r="G979">
        <v>3</v>
      </c>
      <c r="H979">
        <v>2.8</v>
      </c>
      <c r="I979" t="s">
        <v>21</v>
      </c>
      <c r="J979" t="s">
        <v>1610</v>
      </c>
      <c r="K979" s="12">
        <f>Store_Record[[#This Row],[Qty]]*Store_Record[[#This Row],[UnitPriceGBP]]</f>
        <v>8.3999999999999986</v>
      </c>
      <c r="L979" s="5" t="str">
        <f>TEXT(Store_Record[[#This Row],[Date]],"dddd")</f>
        <v>Monday</v>
      </c>
      <c r="M979" s="5" t="str">
        <f>TEXT(Store_Record[[#This Row],[Date]],"mmmm")</f>
        <v>March</v>
      </c>
      <c r="N979" s="5">
        <f>YEAR(Store_Record[[#This Row],[Date]])</f>
        <v>2025</v>
      </c>
      <c r="O979"/>
    </row>
    <row r="980" spans="1:15" x14ac:dyDescent="0.35">
      <c r="A980" t="s">
        <v>1606</v>
      </c>
      <c r="B980" s="2">
        <v>45726</v>
      </c>
      <c r="C980" t="s">
        <v>10</v>
      </c>
      <c r="D980" t="s">
        <v>29</v>
      </c>
      <c r="E980" t="s">
        <v>26</v>
      </c>
      <c r="F980" t="s">
        <v>13</v>
      </c>
      <c r="G980">
        <v>2</v>
      </c>
      <c r="H980">
        <v>3.5</v>
      </c>
      <c r="I980" t="s">
        <v>14</v>
      </c>
      <c r="J980" t="s">
        <v>1580</v>
      </c>
      <c r="K980" s="12">
        <f>Store_Record[[#This Row],[Qty]]*Store_Record[[#This Row],[UnitPriceGBP]]</f>
        <v>7</v>
      </c>
      <c r="L980" s="5" t="str">
        <f>TEXT(Store_Record[[#This Row],[Date]],"dddd")</f>
        <v>Monday</v>
      </c>
      <c r="M980" s="5" t="str">
        <f>TEXT(Store_Record[[#This Row],[Date]],"mmmm")</f>
        <v>March</v>
      </c>
      <c r="N980" s="5">
        <f>YEAR(Store_Record[[#This Row],[Date]])</f>
        <v>2025</v>
      </c>
      <c r="O980"/>
    </row>
    <row r="981" spans="1:15" x14ac:dyDescent="0.35">
      <c r="A981" t="s">
        <v>1607</v>
      </c>
      <c r="B981" s="2">
        <v>45726</v>
      </c>
      <c r="C981" t="s">
        <v>24</v>
      </c>
      <c r="D981" t="s">
        <v>25</v>
      </c>
      <c r="E981" t="s">
        <v>26</v>
      </c>
      <c r="F981" t="s">
        <v>13</v>
      </c>
      <c r="G981">
        <v>2</v>
      </c>
      <c r="H981">
        <v>3.5</v>
      </c>
      <c r="I981" t="s">
        <v>21</v>
      </c>
      <c r="J981" t="s">
        <v>1608</v>
      </c>
      <c r="K981" s="12">
        <f>Store_Record[[#This Row],[Qty]]*Store_Record[[#This Row],[UnitPriceGBP]]</f>
        <v>7</v>
      </c>
      <c r="L981" s="5" t="str">
        <f>TEXT(Store_Record[[#This Row],[Date]],"dddd")</f>
        <v>Monday</v>
      </c>
      <c r="M981" s="5" t="str">
        <f>TEXT(Store_Record[[#This Row],[Date]],"mmmm")</f>
        <v>March</v>
      </c>
      <c r="N981" s="5">
        <f>YEAR(Store_Record[[#This Row],[Date]])</f>
        <v>2025</v>
      </c>
      <c r="O981"/>
    </row>
    <row r="982" spans="1:15" x14ac:dyDescent="0.35">
      <c r="A982" t="s">
        <v>1613</v>
      </c>
      <c r="B982" s="2">
        <v>45726</v>
      </c>
      <c r="C982" t="s">
        <v>10</v>
      </c>
      <c r="D982" t="s">
        <v>25</v>
      </c>
      <c r="E982" t="s">
        <v>30</v>
      </c>
      <c r="F982" t="s">
        <v>31</v>
      </c>
      <c r="G982">
        <v>2</v>
      </c>
      <c r="H982">
        <v>2.8</v>
      </c>
      <c r="I982" t="s">
        <v>39</v>
      </c>
      <c r="J982" t="s">
        <v>1614</v>
      </c>
      <c r="K982" s="12">
        <f>Store_Record[[#This Row],[Qty]]*Store_Record[[#This Row],[UnitPriceGBP]]</f>
        <v>5.6</v>
      </c>
      <c r="L982" s="5" t="str">
        <f>TEXT(Store_Record[[#This Row],[Date]],"dddd")</f>
        <v>Monday</v>
      </c>
      <c r="M982" s="5" t="str">
        <f>TEXT(Store_Record[[#This Row],[Date]],"mmmm")</f>
        <v>March</v>
      </c>
      <c r="N982" s="5">
        <f>YEAR(Store_Record[[#This Row],[Date]])</f>
        <v>2025</v>
      </c>
      <c r="O982"/>
    </row>
    <row r="983" spans="1:15" x14ac:dyDescent="0.35">
      <c r="A983" t="s">
        <v>1621</v>
      </c>
      <c r="B983" s="2">
        <v>45726</v>
      </c>
      <c r="C983" t="s">
        <v>10</v>
      </c>
      <c r="D983" t="s">
        <v>25</v>
      </c>
      <c r="E983" t="s">
        <v>42</v>
      </c>
      <c r="F983" t="s">
        <v>13</v>
      </c>
      <c r="G983">
        <v>1</v>
      </c>
      <c r="H983">
        <v>3.8</v>
      </c>
      <c r="I983" t="s">
        <v>14</v>
      </c>
      <c r="J983" t="s">
        <v>1622</v>
      </c>
      <c r="K983" s="12">
        <f>Store_Record[[#This Row],[Qty]]*Store_Record[[#This Row],[UnitPriceGBP]]</f>
        <v>3.8</v>
      </c>
      <c r="L983" s="5" t="str">
        <f>TEXT(Store_Record[[#This Row],[Date]],"dddd")</f>
        <v>Monday</v>
      </c>
      <c r="M983" s="5" t="str">
        <f>TEXT(Store_Record[[#This Row],[Date]],"mmmm")</f>
        <v>March</v>
      </c>
      <c r="N983" s="5">
        <f>YEAR(Store_Record[[#This Row],[Date]])</f>
        <v>2025</v>
      </c>
      <c r="O983"/>
    </row>
    <row r="984" spans="1:15" x14ac:dyDescent="0.35">
      <c r="A984" t="s">
        <v>1627</v>
      </c>
      <c r="B984" s="2">
        <v>45726</v>
      </c>
      <c r="C984" t="s">
        <v>36</v>
      </c>
      <c r="D984" t="s">
        <v>11</v>
      </c>
      <c r="E984" t="s">
        <v>42</v>
      </c>
      <c r="F984" t="s">
        <v>13</v>
      </c>
      <c r="G984">
        <v>1</v>
      </c>
      <c r="H984">
        <v>3.8</v>
      </c>
      <c r="I984" t="s">
        <v>21</v>
      </c>
      <c r="J984" t="s">
        <v>741</v>
      </c>
      <c r="K984" s="12">
        <f>Store_Record[[#This Row],[Qty]]*Store_Record[[#This Row],[UnitPriceGBP]]</f>
        <v>3.8</v>
      </c>
      <c r="L984" s="5" t="str">
        <f>TEXT(Store_Record[[#This Row],[Date]],"dddd")</f>
        <v>Monday</v>
      </c>
      <c r="M984" s="5" t="str">
        <f>TEXT(Store_Record[[#This Row],[Date]],"mmmm")</f>
        <v>March</v>
      </c>
      <c r="N984" s="5">
        <f>YEAR(Store_Record[[#This Row],[Date]])</f>
        <v>2025</v>
      </c>
      <c r="O984"/>
    </row>
    <row r="985" spans="1:15" x14ac:dyDescent="0.35">
      <c r="A985" t="s">
        <v>1617</v>
      </c>
      <c r="B985" s="2">
        <v>45726</v>
      </c>
      <c r="C985" t="s">
        <v>10</v>
      </c>
      <c r="D985" t="s">
        <v>47</v>
      </c>
      <c r="E985" t="s">
        <v>26</v>
      </c>
      <c r="F985" t="s">
        <v>13</v>
      </c>
      <c r="G985">
        <v>1</v>
      </c>
      <c r="H985">
        <v>3.5</v>
      </c>
      <c r="I985" t="s">
        <v>21</v>
      </c>
      <c r="J985" t="s">
        <v>1143</v>
      </c>
      <c r="K985" s="12">
        <f>Store_Record[[#This Row],[Qty]]*Store_Record[[#This Row],[UnitPriceGBP]]</f>
        <v>3.5</v>
      </c>
      <c r="L985" s="5" t="str">
        <f>TEXT(Store_Record[[#This Row],[Date]],"dddd")</f>
        <v>Monday</v>
      </c>
      <c r="M985" s="5" t="str">
        <f>TEXT(Store_Record[[#This Row],[Date]],"mmmm")</f>
        <v>March</v>
      </c>
      <c r="N985" s="5">
        <f>YEAR(Store_Record[[#This Row],[Date]])</f>
        <v>2025</v>
      </c>
      <c r="O985"/>
    </row>
    <row r="986" spans="1:15" x14ac:dyDescent="0.35">
      <c r="A986" t="s">
        <v>1619</v>
      </c>
      <c r="B986" s="2">
        <v>45726</v>
      </c>
      <c r="C986" t="s">
        <v>10</v>
      </c>
      <c r="D986" t="s">
        <v>47</v>
      </c>
      <c r="E986" t="s">
        <v>12</v>
      </c>
      <c r="F986" t="s">
        <v>13</v>
      </c>
      <c r="G986">
        <v>1</v>
      </c>
      <c r="H986">
        <v>2.5</v>
      </c>
      <c r="I986" t="s">
        <v>14</v>
      </c>
      <c r="J986" t="s">
        <v>1090</v>
      </c>
      <c r="K986" s="12">
        <f>Store_Record[[#This Row],[Qty]]*Store_Record[[#This Row],[UnitPriceGBP]]</f>
        <v>2.5</v>
      </c>
      <c r="L986" s="5" t="str">
        <f>TEXT(Store_Record[[#This Row],[Date]],"dddd")</f>
        <v>Monday</v>
      </c>
      <c r="M986" s="5" t="str">
        <f>TEXT(Store_Record[[#This Row],[Date]],"mmmm")</f>
        <v>March</v>
      </c>
      <c r="N986" s="5">
        <f>YEAR(Store_Record[[#This Row],[Date]])</f>
        <v>2025</v>
      </c>
      <c r="O986"/>
    </row>
    <row r="987" spans="1:15" x14ac:dyDescent="0.35">
      <c r="A987" t="s">
        <v>1623</v>
      </c>
      <c r="B987" s="2">
        <v>45726</v>
      </c>
      <c r="C987" t="s">
        <v>10</v>
      </c>
      <c r="D987" t="s">
        <v>29</v>
      </c>
      <c r="E987" t="s">
        <v>34</v>
      </c>
      <c r="F987" t="s">
        <v>31</v>
      </c>
      <c r="G987">
        <v>1</v>
      </c>
      <c r="H987">
        <v>2.2000000000000002</v>
      </c>
      <c r="I987" t="s">
        <v>14</v>
      </c>
      <c r="J987" t="s">
        <v>1466</v>
      </c>
      <c r="K987" s="12">
        <f>Store_Record[[#This Row],[Qty]]*Store_Record[[#This Row],[UnitPriceGBP]]</f>
        <v>2.2000000000000002</v>
      </c>
      <c r="L987" s="5" t="str">
        <f>TEXT(Store_Record[[#This Row],[Date]],"dddd")</f>
        <v>Monday</v>
      </c>
      <c r="M987" s="5" t="str">
        <f>TEXT(Store_Record[[#This Row],[Date]],"mmmm")</f>
        <v>March</v>
      </c>
      <c r="N987" s="5">
        <f>YEAR(Store_Record[[#This Row],[Date]])</f>
        <v>2025</v>
      </c>
      <c r="O987"/>
    </row>
    <row r="988" spans="1:15" x14ac:dyDescent="0.35">
      <c r="A988" t="s">
        <v>1648</v>
      </c>
      <c r="B988" s="2">
        <v>45727</v>
      </c>
      <c r="C988" t="s">
        <v>10</v>
      </c>
      <c r="D988" t="s">
        <v>11</v>
      </c>
      <c r="E988" t="s">
        <v>26</v>
      </c>
      <c r="F988" t="s">
        <v>13</v>
      </c>
      <c r="G988">
        <v>5</v>
      </c>
      <c r="H988">
        <v>3.5</v>
      </c>
      <c r="I988" t="s">
        <v>39</v>
      </c>
      <c r="J988" t="s">
        <v>227</v>
      </c>
      <c r="K988" s="12">
        <f>Store_Record[[#This Row],[Qty]]*Store_Record[[#This Row],[UnitPriceGBP]]</f>
        <v>17.5</v>
      </c>
      <c r="L988" s="5" t="str">
        <f>TEXT(Store_Record[[#This Row],[Date]],"dddd")</f>
        <v>Tuesday</v>
      </c>
      <c r="M988" s="5" t="str">
        <f>TEXT(Store_Record[[#This Row],[Date]],"mmmm")</f>
        <v>March</v>
      </c>
      <c r="N988" s="5">
        <f>YEAR(Store_Record[[#This Row],[Date]])</f>
        <v>2025</v>
      </c>
      <c r="O988"/>
    </row>
    <row r="989" spans="1:15" x14ac:dyDescent="0.35">
      <c r="A989" t="s">
        <v>1637</v>
      </c>
      <c r="B989" s="2">
        <v>45727</v>
      </c>
      <c r="C989" t="s">
        <v>24</v>
      </c>
      <c r="D989" t="s">
        <v>47</v>
      </c>
      <c r="E989" t="s">
        <v>42</v>
      </c>
      <c r="F989" t="s">
        <v>13</v>
      </c>
      <c r="G989">
        <v>4</v>
      </c>
      <c r="H989">
        <v>3.8</v>
      </c>
      <c r="I989" t="s">
        <v>21</v>
      </c>
      <c r="J989" t="s">
        <v>386</v>
      </c>
      <c r="K989" s="12">
        <f>Store_Record[[#This Row],[Qty]]*Store_Record[[#This Row],[UnitPriceGBP]]</f>
        <v>15.2</v>
      </c>
      <c r="L989" s="5" t="str">
        <f>TEXT(Store_Record[[#This Row],[Date]],"dddd")</f>
        <v>Tuesday</v>
      </c>
      <c r="M989" s="5" t="str">
        <f>TEXT(Store_Record[[#This Row],[Date]],"mmmm")</f>
        <v>March</v>
      </c>
      <c r="N989" s="5">
        <f>YEAR(Store_Record[[#This Row],[Date]])</f>
        <v>2025</v>
      </c>
      <c r="O989"/>
    </row>
    <row r="990" spans="1:15" x14ac:dyDescent="0.35">
      <c r="A990" t="s">
        <v>1631</v>
      </c>
      <c r="B990" s="2">
        <v>45727</v>
      </c>
      <c r="C990" t="s">
        <v>10</v>
      </c>
      <c r="D990" t="s">
        <v>11</v>
      </c>
      <c r="E990" t="s">
        <v>30</v>
      </c>
      <c r="F990" t="s">
        <v>31</v>
      </c>
      <c r="G990">
        <v>5</v>
      </c>
      <c r="H990">
        <v>2.8</v>
      </c>
      <c r="I990" t="s">
        <v>39</v>
      </c>
      <c r="J990" t="s">
        <v>1632</v>
      </c>
      <c r="K990" s="12">
        <f>Store_Record[[#This Row],[Qty]]*Store_Record[[#This Row],[UnitPriceGBP]]</f>
        <v>14</v>
      </c>
      <c r="L990" s="5" t="str">
        <f>TEXT(Store_Record[[#This Row],[Date]],"dddd")</f>
        <v>Tuesday</v>
      </c>
      <c r="M990" s="5" t="str">
        <f>TEXT(Store_Record[[#This Row],[Date]],"mmmm")</f>
        <v>March</v>
      </c>
      <c r="N990" s="5">
        <f>YEAR(Store_Record[[#This Row],[Date]])</f>
        <v>2025</v>
      </c>
      <c r="O990"/>
    </row>
    <row r="991" spans="1:15" x14ac:dyDescent="0.35">
      <c r="A991" t="s">
        <v>1656</v>
      </c>
      <c r="B991" s="2">
        <v>45727</v>
      </c>
      <c r="C991" t="s">
        <v>20</v>
      </c>
      <c r="D991" t="s">
        <v>38</v>
      </c>
      <c r="E991" t="s">
        <v>26</v>
      </c>
      <c r="F991" t="s">
        <v>13</v>
      </c>
      <c r="G991">
        <v>4</v>
      </c>
      <c r="H991">
        <v>3.5</v>
      </c>
      <c r="I991" t="s">
        <v>14</v>
      </c>
      <c r="J991" t="s">
        <v>1657</v>
      </c>
      <c r="K991" s="12">
        <f>Store_Record[[#This Row],[Qty]]*Store_Record[[#This Row],[UnitPriceGBP]]</f>
        <v>14</v>
      </c>
      <c r="L991" s="5" t="str">
        <f>TEXT(Store_Record[[#This Row],[Date]],"dddd")</f>
        <v>Tuesday</v>
      </c>
      <c r="M991" s="5" t="str">
        <f>TEXT(Store_Record[[#This Row],[Date]],"mmmm")</f>
        <v>March</v>
      </c>
      <c r="N991" s="5">
        <f>YEAR(Store_Record[[#This Row],[Date]])</f>
        <v>2025</v>
      </c>
      <c r="O991"/>
    </row>
    <row r="992" spans="1:15" x14ac:dyDescent="0.35">
      <c r="A992" t="s">
        <v>1640</v>
      </c>
      <c r="B992" s="2">
        <v>45727</v>
      </c>
      <c r="C992" t="s">
        <v>20</v>
      </c>
      <c r="D992" t="s">
        <v>25</v>
      </c>
      <c r="E992" t="s">
        <v>12</v>
      </c>
      <c r="F992" t="s">
        <v>13</v>
      </c>
      <c r="G992">
        <v>5</v>
      </c>
      <c r="H992">
        <v>2.5</v>
      </c>
      <c r="I992" t="s">
        <v>39</v>
      </c>
      <c r="J992" t="s">
        <v>1641</v>
      </c>
      <c r="K992" s="12">
        <f>Store_Record[[#This Row],[Qty]]*Store_Record[[#This Row],[UnitPriceGBP]]</f>
        <v>12.5</v>
      </c>
      <c r="L992" s="5" t="str">
        <f>TEXT(Store_Record[[#This Row],[Date]],"dddd")</f>
        <v>Tuesday</v>
      </c>
      <c r="M992" s="5" t="str">
        <f>TEXT(Store_Record[[#This Row],[Date]],"mmmm")</f>
        <v>March</v>
      </c>
      <c r="N992" s="5">
        <f>YEAR(Store_Record[[#This Row],[Date]])</f>
        <v>2025</v>
      </c>
      <c r="O992"/>
    </row>
    <row r="993" spans="1:15" x14ac:dyDescent="0.35">
      <c r="A993" t="s">
        <v>1645</v>
      </c>
      <c r="B993" s="2">
        <v>45727</v>
      </c>
      <c r="C993" t="s">
        <v>20</v>
      </c>
      <c r="D993" t="s">
        <v>25</v>
      </c>
      <c r="E993" t="s">
        <v>42</v>
      </c>
      <c r="F993" t="s">
        <v>13</v>
      </c>
      <c r="G993">
        <v>3</v>
      </c>
      <c r="H993">
        <v>3.8</v>
      </c>
      <c r="I993" t="s">
        <v>21</v>
      </c>
      <c r="J993" t="s">
        <v>1646</v>
      </c>
      <c r="K993" s="12">
        <f>Store_Record[[#This Row],[Qty]]*Store_Record[[#This Row],[UnitPriceGBP]]</f>
        <v>11.399999999999999</v>
      </c>
      <c r="L993" s="5" t="str">
        <f>TEXT(Store_Record[[#This Row],[Date]],"dddd")</f>
        <v>Tuesday</v>
      </c>
      <c r="M993" s="5" t="str">
        <f>TEXT(Store_Record[[#This Row],[Date]],"mmmm")</f>
        <v>March</v>
      </c>
      <c r="N993" s="5">
        <f>YEAR(Store_Record[[#This Row],[Date]])</f>
        <v>2025</v>
      </c>
      <c r="O993"/>
    </row>
    <row r="994" spans="1:15" x14ac:dyDescent="0.35">
      <c r="A994" t="s">
        <v>1649</v>
      </c>
      <c r="B994" s="2">
        <v>45727</v>
      </c>
      <c r="C994" t="s">
        <v>20</v>
      </c>
      <c r="D994" t="s">
        <v>25</v>
      </c>
      <c r="E994" t="s">
        <v>26</v>
      </c>
      <c r="F994" t="s">
        <v>13</v>
      </c>
      <c r="G994">
        <v>3</v>
      </c>
      <c r="H994">
        <v>3.5</v>
      </c>
      <c r="I994" t="s">
        <v>14</v>
      </c>
      <c r="J994" t="s">
        <v>123</v>
      </c>
      <c r="K994" s="12">
        <f>Store_Record[[#This Row],[Qty]]*Store_Record[[#This Row],[UnitPriceGBP]]</f>
        <v>10.5</v>
      </c>
      <c r="L994" s="5" t="str">
        <f>TEXT(Store_Record[[#This Row],[Date]],"dddd")</f>
        <v>Tuesday</v>
      </c>
      <c r="M994" s="5" t="str">
        <f>TEXT(Store_Record[[#This Row],[Date]],"mmmm")</f>
        <v>March</v>
      </c>
      <c r="N994" s="5">
        <f>YEAR(Store_Record[[#This Row],[Date]])</f>
        <v>2025</v>
      </c>
      <c r="O994"/>
    </row>
    <row r="995" spans="1:15" x14ac:dyDescent="0.35">
      <c r="A995" t="s">
        <v>1638</v>
      </c>
      <c r="B995" s="2">
        <v>45727</v>
      </c>
      <c r="C995" t="s">
        <v>20</v>
      </c>
      <c r="D995" t="s">
        <v>47</v>
      </c>
      <c r="E995" t="s">
        <v>12</v>
      </c>
      <c r="F995" t="s">
        <v>13</v>
      </c>
      <c r="G995">
        <v>4</v>
      </c>
      <c r="H995">
        <v>2.5</v>
      </c>
      <c r="I995" t="s">
        <v>21</v>
      </c>
      <c r="J995" t="s">
        <v>1639</v>
      </c>
      <c r="K995" s="12">
        <f>Store_Record[[#This Row],[Qty]]*Store_Record[[#This Row],[UnitPriceGBP]]</f>
        <v>10</v>
      </c>
      <c r="L995" s="5" t="str">
        <f>TEXT(Store_Record[[#This Row],[Date]],"dddd")</f>
        <v>Tuesday</v>
      </c>
      <c r="M995" s="5" t="str">
        <f>TEXT(Store_Record[[#This Row],[Date]],"mmmm")</f>
        <v>March</v>
      </c>
      <c r="N995" s="5">
        <f>YEAR(Store_Record[[#This Row],[Date]])</f>
        <v>2025</v>
      </c>
      <c r="O995"/>
    </row>
    <row r="996" spans="1:15" x14ac:dyDescent="0.35">
      <c r="A996" t="s">
        <v>1642</v>
      </c>
      <c r="B996" s="2">
        <v>45727</v>
      </c>
      <c r="C996" t="s">
        <v>10</v>
      </c>
      <c r="D996" t="s">
        <v>47</v>
      </c>
      <c r="E996" t="s">
        <v>12</v>
      </c>
      <c r="F996" t="s">
        <v>13</v>
      </c>
      <c r="G996">
        <v>4</v>
      </c>
      <c r="H996">
        <v>2.5</v>
      </c>
      <c r="I996" t="s">
        <v>14</v>
      </c>
      <c r="J996" t="s">
        <v>869</v>
      </c>
      <c r="K996" s="12">
        <f>Store_Record[[#This Row],[Qty]]*Store_Record[[#This Row],[UnitPriceGBP]]</f>
        <v>10</v>
      </c>
      <c r="L996" s="5" t="str">
        <f>TEXT(Store_Record[[#This Row],[Date]],"dddd")</f>
        <v>Tuesday</v>
      </c>
      <c r="M996" s="5" t="str">
        <f>TEXT(Store_Record[[#This Row],[Date]],"mmmm")</f>
        <v>March</v>
      </c>
      <c r="N996" s="5">
        <f>YEAR(Store_Record[[#This Row],[Date]])</f>
        <v>2025</v>
      </c>
      <c r="O996"/>
    </row>
    <row r="997" spans="1:15" x14ac:dyDescent="0.35">
      <c r="A997" t="s">
        <v>1635</v>
      </c>
      <c r="B997" s="2">
        <v>45727</v>
      </c>
      <c r="C997" t="s">
        <v>10</v>
      </c>
      <c r="D997" t="s">
        <v>47</v>
      </c>
      <c r="E997" t="s">
        <v>34</v>
      </c>
      <c r="F997" t="s">
        <v>31</v>
      </c>
      <c r="G997">
        <v>4</v>
      </c>
      <c r="H997">
        <v>2.2000000000000002</v>
      </c>
      <c r="I997" t="s">
        <v>14</v>
      </c>
      <c r="J997" t="s">
        <v>1636</v>
      </c>
      <c r="K997" s="12">
        <f>Store_Record[[#This Row],[Qty]]*Store_Record[[#This Row],[UnitPriceGBP]]</f>
        <v>8.8000000000000007</v>
      </c>
      <c r="L997" s="5" t="str">
        <f>TEXT(Store_Record[[#This Row],[Date]],"dddd")</f>
        <v>Tuesday</v>
      </c>
      <c r="M997" s="5" t="str">
        <f>TEXT(Store_Record[[#This Row],[Date]],"mmmm")</f>
        <v>March</v>
      </c>
      <c r="N997" s="5">
        <f>YEAR(Store_Record[[#This Row],[Date]])</f>
        <v>2025</v>
      </c>
      <c r="O997"/>
    </row>
    <row r="998" spans="1:15" x14ac:dyDescent="0.35">
      <c r="A998" t="s">
        <v>1647</v>
      </c>
      <c r="B998" s="2">
        <v>45727</v>
      </c>
      <c r="C998" t="s">
        <v>36</v>
      </c>
      <c r="D998" t="s">
        <v>11</v>
      </c>
      <c r="E998" t="s">
        <v>34</v>
      </c>
      <c r="F998" t="s">
        <v>31</v>
      </c>
      <c r="G998">
        <v>4</v>
      </c>
      <c r="H998">
        <v>2.2000000000000002</v>
      </c>
      <c r="I998" t="s">
        <v>21</v>
      </c>
      <c r="J998" t="s">
        <v>1397</v>
      </c>
      <c r="K998" s="12">
        <f>Store_Record[[#This Row],[Qty]]*Store_Record[[#This Row],[UnitPriceGBP]]</f>
        <v>8.8000000000000007</v>
      </c>
      <c r="L998" s="5" t="str">
        <f>TEXT(Store_Record[[#This Row],[Date]],"dddd")</f>
        <v>Tuesday</v>
      </c>
      <c r="M998" s="5" t="str">
        <f>TEXT(Store_Record[[#This Row],[Date]],"mmmm")</f>
        <v>March</v>
      </c>
      <c r="N998" s="5">
        <f>YEAR(Store_Record[[#This Row],[Date]])</f>
        <v>2025</v>
      </c>
      <c r="O998"/>
    </row>
    <row r="999" spans="1:15" x14ac:dyDescent="0.35">
      <c r="A999" t="s">
        <v>1634</v>
      </c>
      <c r="B999" s="2">
        <v>45727</v>
      </c>
      <c r="C999" t="s">
        <v>20</v>
      </c>
      <c r="D999" t="s">
        <v>38</v>
      </c>
      <c r="E999" t="s">
        <v>12</v>
      </c>
      <c r="F999" t="s">
        <v>13</v>
      </c>
      <c r="G999">
        <v>3</v>
      </c>
      <c r="H999">
        <v>2.5</v>
      </c>
      <c r="I999" t="s">
        <v>14</v>
      </c>
      <c r="J999" t="s">
        <v>208</v>
      </c>
      <c r="K999" s="12">
        <f>Store_Record[[#This Row],[Qty]]*Store_Record[[#This Row],[UnitPriceGBP]]</f>
        <v>7.5</v>
      </c>
      <c r="L999" s="5" t="str">
        <f>TEXT(Store_Record[[#This Row],[Date]],"dddd")</f>
        <v>Tuesday</v>
      </c>
      <c r="M999" s="5" t="str">
        <f>TEXT(Store_Record[[#This Row],[Date]],"mmmm")</f>
        <v>March</v>
      </c>
      <c r="N999" s="5">
        <f>YEAR(Store_Record[[#This Row],[Date]])</f>
        <v>2025</v>
      </c>
      <c r="O999"/>
    </row>
    <row r="1000" spans="1:15" x14ac:dyDescent="0.35">
      <c r="A1000" t="s">
        <v>1658</v>
      </c>
      <c r="B1000" s="2">
        <v>45727</v>
      </c>
      <c r="C1000" t="s">
        <v>20</v>
      </c>
      <c r="D1000" t="s">
        <v>11</v>
      </c>
      <c r="E1000" t="s">
        <v>30</v>
      </c>
      <c r="F1000" t="s">
        <v>31</v>
      </c>
      <c r="G1000">
        <v>2</v>
      </c>
      <c r="H1000">
        <v>2.8</v>
      </c>
      <c r="I1000" t="s">
        <v>21</v>
      </c>
      <c r="J1000" t="s">
        <v>1205</v>
      </c>
      <c r="K1000" s="12">
        <f>Store_Record[[#This Row],[Qty]]*Store_Record[[#This Row],[UnitPriceGBP]]</f>
        <v>5.6</v>
      </c>
      <c r="L1000" s="5" t="str">
        <f>TEXT(Store_Record[[#This Row],[Date]],"dddd")</f>
        <v>Tuesday</v>
      </c>
      <c r="M1000" s="5" t="str">
        <f>TEXT(Store_Record[[#This Row],[Date]],"mmmm")</f>
        <v>March</v>
      </c>
      <c r="N1000" s="5">
        <f>YEAR(Store_Record[[#This Row],[Date]])</f>
        <v>2025</v>
      </c>
      <c r="O1000"/>
    </row>
    <row r="1001" spans="1:15" x14ac:dyDescent="0.35">
      <c r="A1001" t="s">
        <v>1643</v>
      </c>
      <c r="B1001" s="2">
        <v>45727</v>
      </c>
      <c r="C1001" t="s">
        <v>24</v>
      </c>
      <c r="D1001" t="s">
        <v>29</v>
      </c>
      <c r="E1001" t="s">
        <v>34</v>
      </c>
      <c r="F1001" t="s">
        <v>31</v>
      </c>
      <c r="G1001">
        <v>2</v>
      </c>
      <c r="H1001">
        <v>2.2000000000000002</v>
      </c>
      <c r="I1001" t="s">
        <v>21</v>
      </c>
      <c r="J1001" t="s">
        <v>1644</v>
      </c>
      <c r="K1001" s="12">
        <f>Store_Record[[#This Row],[Qty]]*Store_Record[[#This Row],[UnitPriceGBP]]</f>
        <v>4.4000000000000004</v>
      </c>
      <c r="L1001" s="5" t="str">
        <f>TEXT(Store_Record[[#This Row],[Date]],"dddd")</f>
        <v>Tuesday</v>
      </c>
      <c r="M1001" s="5" t="str">
        <f>TEXT(Store_Record[[#This Row],[Date]],"mmmm")</f>
        <v>March</v>
      </c>
      <c r="N1001" s="5">
        <f>YEAR(Store_Record[[#This Row],[Date]])</f>
        <v>2025</v>
      </c>
      <c r="O1001"/>
    </row>
    <row r="1002" spans="1:15" x14ac:dyDescent="0.35">
      <c r="A1002" t="s">
        <v>1633</v>
      </c>
      <c r="B1002" s="2">
        <v>45727</v>
      </c>
      <c r="C1002" t="s">
        <v>36</v>
      </c>
      <c r="D1002" t="s">
        <v>47</v>
      </c>
      <c r="E1002" t="s">
        <v>42</v>
      </c>
      <c r="F1002" t="s">
        <v>13</v>
      </c>
      <c r="G1002">
        <v>1</v>
      </c>
      <c r="H1002">
        <v>3.8</v>
      </c>
      <c r="I1002" t="s">
        <v>14</v>
      </c>
      <c r="J1002" t="s">
        <v>686</v>
      </c>
      <c r="K1002" s="12">
        <f>Store_Record[[#This Row],[Qty]]*Store_Record[[#This Row],[UnitPriceGBP]]</f>
        <v>3.8</v>
      </c>
      <c r="L1002" s="5" t="str">
        <f>TEXT(Store_Record[[#This Row],[Date]],"dddd")</f>
        <v>Tuesday</v>
      </c>
      <c r="M1002" s="5" t="str">
        <f>TEXT(Store_Record[[#This Row],[Date]],"mmmm")</f>
        <v>March</v>
      </c>
      <c r="N1002" s="5">
        <f>YEAR(Store_Record[[#This Row],[Date]])</f>
        <v>2025</v>
      </c>
      <c r="O1002"/>
    </row>
    <row r="1003" spans="1:15" x14ac:dyDescent="0.35">
      <c r="A1003" t="s">
        <v>1652</v>
      </c>
      <c r="B1003" s="2">
        <v>45727</v>
      </c>
      <c r="C1003" t="s">
        <v>20</v>
      </c>
      <c r="D1003" t="s">
        <v>25</v>
      </c>
      <c r="E1003" t="s">
        <v>42</v>
      </c>
      <c r="F1003" t="s">
        <v>13</v>
      </c>
      <c r="G1003">
        <v>1</v>
      </c>
      <c r="H1003">
        <v>3.8</v>
      </c>
      <c r="I1003" t="s">
        <v>14</v>
      </c>
      <c r="J1003" t="s">
        <v>1653</v>
      </c>
      <c r="K1003" s="12">
        <f>Store_Record[[#This Row],[Qty]]*Store_Record[[#This Row],[UnitPriceGBP]]</f>
        <v>3.8</v>
      </c>
      <c r="L1003" s="5" t="str">
        <f>TEXT(Store_Record[[#This Row],[Date]],"dddd")</f>
        <v>Tuesday</v>
      </c>
      <c r="M1003" s="5" t="str">
        <f>TEXT(Store_Record[[#This Row],[Date]],"mmmm")</f>
        <v>March</v>
      </c>
      <c r="N1003" s="5">
        <f>YEAR(Store_Record[[#This Row],[Date]])</f>
        <v>2025</v>
      </c>
      <c r="O1003"/>
    </row>
    <row r="1004" spans="1:15" x14ac:dyDescent="0.35">
      <c r="A1004" t="s">
        <v>1650</v>
      </c>
      <c r="B1004" s="2">
        <v>45727</v>
      </c>
      <c r="C1004" t="s">
        <v>24</v>
      </c>
      <c r="D1004" t="s">
        <v>11</v>
      </c>
      <c r="E1004" t="s">
        <v>26</v>
      </c>
      <c r="F1004" t="s">
        <v>13</v>
      </c>
      <c r="G1004">
        <v>1</v>
      </c>
      <c r="H1004">
        <v>3.5</v>
      </c>
      <c r="I1004" t="s">
        <v>21</v>
      </c>
      <c r="J1004" t="s">
        <v>1651</v>
      </c>
      <c r="K1004" s="12">
        <f>Store_Record[[#This Row],[Qty]]*Store_Record[[#This Row],[UnitPriceGBP]]</f>
        <v>3.5</v>
      </c>
      <c r="L1004" s="5" t="str">
        <f>TEXT(Store_Record[[#This Row],[Date]],"dddd")</f>
        <v>Tuesday</v>
      </c>
      <c r="M1004" s="5" t="str">
        <f>TEXT(Store_Record[[#This Row],[Date]],"mmmm")</f>
        <v>March</v>
      </c>
      <c r="N1004" s="5">
        <f>YEAR(Store_Record[[#This Row],[Date]])</f>
        <v>2025</v>
      </c>
      <c r="O1004"/>
    </row>
    <row r="1005" spans="1:15" x14ac:dyDescent="0.35">
      <c r="A1005" t="s">
        <v>1654</v>
      </c>
      <c r="B1005" s="2">
        <v>45727</v>
      </c>
      <c r="C1005" t="s">
        <v>36</v>
      </c>
      <c r="D1005" t="s">
        <v>11</v>
      </c>
      <c r="E1005" t="s">
        <v>12</v>
      </c>
      <c r="F1005" t="s">
        <v>13</v>
      </c>
      <c r="G1005">
        <v>1</v>
      </c>
      <c r="H1005">
        <v>2.5</v>
      </c>
      <c r="I1005" t="s">
        <v>21</v>
      </c>
      <c r="J1005" t="s">
        <v>1655</v>
      </c>
      <c r="K1005" s="12">
        <f>Store_Record[[#This Row],[Qty]]*Store_Record[[#This Row],[UnitPriceGBP]]</f>
        <v>2.5</v>
      </c>
      <c r="L1005" s="5" t="str">
        <f>TEXT(Store_Record[[#This Row],[Date]],"dddd")</f>
        <v>Tuesday</v>
      </c>
      <c r="M1005" s="5" t="str">
        <f>TEXT(Store_Record[[#This Row],[Date]],"mmmm")</f>
        <v>March</v>
      </c>
      <c r="N1005" s="5">
        <f>YEAR(Store_Record[[#This Row],[Date]])</f>
        <v>2025</v>
      </c>
      <c r="O1005"/>
    </row>
    <row r="1006" spans="1:15" x14ac:dyDescent="0.35">
      <c r="A1006" t="s">
        <v>1660</v>
      </c>
      <c r="B1006" s="2">
        <v>45728</v>
      </c>
      <c r="C1006" t="s">
        <v>24</v>
      </c>
      <c r="D1006" t="s">
        <v>11</v>
      </c>
      <c r="E1006" t="s">
        <v>42</v>
      </c>
      <c r="F1006" t="s">
        <v>13</v>
      </c>
      <c r="G1006">
        <v>5</v>
      </c>
      <c r="H1006">
        <v>3.8</v>
      </c>
      <c r="I1006" t="s">
        <v>39</v>
      </c>
      <c r="J1006" t="s">
        <v>1661</v>
      </c>
      <c r="K1006" s="12">
        <f>Store_Record[[#This Row],[Qty]]*Store_Record[[#This Row],[UnitPriceGBP]]</f>
        <v>19</v>
      </c>
      <c r="L1006" s="5" t="str">
        <f>TEXT(Store_Record[[#This Row],[Date]],"dddd")</f>
        <v>Wednesday</v>
      </c>
      <c r="M1006" s="5" t="str">
        <f>TEXT(Store_Record[[#This Row],[Date]],"mmmm")</f>
        <v>March</v>
      </c>
      <c r="N1006" s="5">
        <f>YEAR(Store_Record[[#This Row],[Date]])</f>
        <v>2025</v>
      </c>
      <c r="O1006"/>
    </row>
    <row r="1007" spans="1:15" x14ac:dyDescent="0.35">
      <c r="A1007" t="s">
        <v>1659</v>
      </c>
      <c r="B1007" s="2">
        <v>45728</v>
      </c>
      <c r="C1007" t="s">
        <v>10</v>
      </c>
      <c r="D1007" t="s">
        <v>11</v>
      </c>
      <c r="E1007" t="s">
        <v>26</v>
      </c>
      <c r="F1007" t="s">
        <v>13</v>
      </c>
      <c r="G1007">
        <v>5</v>
      </c>
      <c r="H1007">
        <v>3.5</v>
      </c>
      <c r="I1007" t="s">
        <v>14</v>
      </c>
      <c r="J1007" t="s">
        <v>947</v>
      </c>
      <c r="K1007" s="12">
        <f>Store_Record[[#This Row],[Qty]]*Store_Record[[#This Row],[UnitPriceGBP]]</f>
        <v>17.5</v>
      </c>
      <c r="L1007" s="5" t="str">
        <f>TEXT(Store_Record[[#This Row],[Date]],"dddd")</f>
        <v>Wednesday</v>
      </c>
      <c r="M1007" s="5" t="str">
        <f>TEXT(Store_Record[[#This Row],[Date]],"mmmm")</f>
        <v>March</v>
      </c>
      <c r="N1007" s="5">
        <f>YEAR(Store_Record[[#This Row],[Date]])</f>
        <v>2025</v>
      </c>
      <c r="O1007"/>
    </row>
    <row r="1008" spans="1:15" x14ac:dyDescent="0.35">
      <c r="A1008" t="s">
        <v>1670</v>
      </c>
      <c r="B1008" s="2">
        <v>45728</v>
      </c>
      <c r="C1008" t="s">
        <v>36</v>
      </c>
      <c r="D1008" t="s">
        <v>38</v>
      </c>
      <c r="E1008" t="s">
        <v>26</v>
      </c>
      <c r="F1008" t="s">
        <v>13</v>
      </c>
      <c r="G1008">
        <v>5</v>
      </c>
      <c r="H1008">
        <v>3.5</v>
      </c>
      <c r="I1008" t="s">
        <v>14</v>
      </c>
      <c r="J1008" t="s">
        <v>673</v>
      </c>
      <c r="K1008" s="12">
        <f>Store_Record[[#This Row],[Qty]]*Store_Record[[#This Row],[UnitPriceGBP]]</f>
        <v>17.5</v>
      </c>
      <c r="L1008" s="5" t="str">
        <f>TEXT(Store_Record[[#This Row],[Date]],"dddd")</f>
        <v>Wednesday</v>
      </c>
      <c r="M1008" s="5" t="str">
        <f>TEXT(Store_Record[[#This Row],[Date]],"mmmm")</f>
        <v>March</v>
      </c>
      <c r="N1008" s="5">
        <f>YEAR(Store_Record[[#This Row],[Date]])</f>
        <v>2025</v>
      </c>
      <c r="O1008"/>
    </row>
    <row r="1009" spans="1:15" x14ac:dyDescent="0.35">
      <c r="A1009" t="s">
        <v>1664</v>
      </c>
      <c r="B1009" s="2">
        <v>45728</v>
      </c>
      <c r="C1009" t="s">
        <v>24</v>
      </c>
      <c r="D1009" t="s">
        <v>11</v>
      </c>
      <c r="E1009" t="s">
        <v>26</v>
      </c>
      <c r="F1009" t="s">
        <v>13</v>
      </c>
      <c r="G1009">
        <v>4</v>
      </c>
      <c r="H1009">
        <v>3.5</v>
      </c>
      <c r="I1009" t="s">
        <v>39</v>
      </c>
      <c r="J1009" t="s">
        <v>650</v>
      </c>
      <c r="K1009" s="12">
        <f>Store_Record[[#This Row],[Qty]]*Store_Record[[#This Row],[UnitPriceGBP]]</f>
        <v>14</v>
      </c>
      <c r="L1009" s="5" t="str">
        <f>TEXT(Store_Record[[#This Row],[Date]],"dddd")</f>
        <v>Wednesday</v>
      </c>
      <c r="M1009" s="5" t="str">
        <f>TEXT(Store_Record[[#This Row],[Date]],"mmmm")</f>
        <v>March</v>
      </c>
      <c r="N1009" s="5">
        <f>YEAR(Store_Record[[#This Row],[Date]])</f>
        <v>2025</v>
      </c>
      <c r="O1009"/>
    </row>
    <row r="1010" spans="1:15" x14ac:dyDescent="0.35">
      <c r="A1010" t="s">
        <v>1673</v>
      </c>
      <c r="B1010" s="2">
        <v>45728</v>
      </c>
      <c r="C1010" t="s">
        <v>24</v>
      </c>
      <c r="D1010" t="s">
        <v>38</v>
      </c>
      <c r="E1010" t="s">
        <v>26</v>
      </c>
      <c r="F1010" t="s">
        <v>13</v>
      </c>
      <c r="G1010">
        <v>4</v>
      </c>
      <c r="H1010">
        <v>3.5</v>
      </c>
      <c r="I1010" t="s">
        <v>14</v>
      </c>
      <c r="J1010" t="s">
        <v>1616</v>
      </c>
      <c r="K1010" s="12">
        <f>Store_Record[[#This Row],[Qty]]*Store_Record[[#This Row],[UnitPriceGBP]]</f>
        <v>14</v>
      </c>
      <c r="L1010" s="5" t="str">
        <f>TEXT(Store_Record[[#This Row],[Date]],"dddd")</f>
        <v>Wednesday</v>
      </c>
      <c r="M1010" s="5" t="str">
        <f>TEXT(Store_Record[[#This Row],[Date]],"mmmm")</f>
        <v>March</v>
      </c>
      <c r="N1010" s="5">
        <f>YEAR(Store_Record[[#This Row],[Date]])</f>
        <v>2025</v>
      </c>
      <c r="O1010"/>
    </row>
    <row r="1011" spans="1:15" x14ac:dyDescent="0.35">
      <c r="A1011" t="s">
        <v>1671</v>
      </c>
      <c r="B1011" s="2">
        <v>45728</v>
      </c>
      <c r="C1011" t="s">
        <v>20</v>
      </c>
      <c r="D1011" t="s">
        <v>29</v>
      </c>
      <c r="E1011" t="s">
        <v>12</v>
      </c>
      <c r="F1011" t="s">
        <v>13</v>
      </c>
      <c r="G1011">
        <v>5</v>
      </c>
      <c r="H1011">
        <v>2.5</v>
      </c>
      <c r="I1011" t="s">
        <v>39</v>
      </c>
      <c r="J1011" t="s">
        <v>1672</v>
      </c>
      <c r="K1011" s="12">
        <f>Store_Record[[#This Row],[Qty]]*Store_Record[[#This Row],[UnitPriceGBP]]</f>
        <v>12.5</v>
      </c>
      <c r="L1011" s="5" t="str">
        <f>TEXT(Store_Record[[#This Row],[Date]],"dddd")</f>
        <v>Wednesday</v>
      </c>
      <c r="M1011" s="5" t="str">
        <f>TEXT(Store_Record[[#This Row],[Date]],"mmmm")</f>
        <v>March</v>
      </c>
      <c r="N1011" s="5">
        <f>YEAR(Store_Record[[#This Row],[Date]])</f>
        <v>2025</v>
      </c>
      <c r="O1011"/>
    </row>
    <row r="1012" spans="1:15" x14ac:dyDescent="0.35">
      <c r="A1012" t="s">
        <v>1662</v>
      </c>
      <c r="B1012" s="2">
        <v>45728</v>
      </c>
      <c r="C1012" t="s">
        <v>36</v>
      </c>
      <c r="D1012" t="s">
        <v>29</v>
      </c>
      <c r="E1012" t="s">
        <v>34</v>
      </c>
      <c r="F1012" t="s">
        <v>31</v>
      </c>
      <c r="G1012">
        <v>5</v>
      </c>
      <c r="H1012">
        <v>2.2000000000000002</v>
      </c>
      <c r="I1012" t="s">
        <v>21</v>
      </c>
      <c r="J1012" t="s">
        <v>1663</v>
      </c>
      <c r="K1012" s="12">
        <f>Store_Record[[#This Row],[Qty]]*Store_Record[[#This Row],[UnitPriceGBP]]</f>
        <v>11</v>
      </c>
      <c r="L1012" s="5" t="str">
        <f>TEXT(Store_Record[[#This Row],[Date]],"dddd")</f>
        <v>Wednesday</v>
      </c>
      <c r="M1012" s="5" t="str">
        <f>TEXT(Store_Record[[#This Row],[Date]],"mmmm")</f>
        <v>March</v>
      </c>
      <c r="N1012" s="5">
        <f>YEAR(Store_Record[[#This Row],[Date]])</f>
        <v>2025</v>
      </c>
      <c r="O1012"/>
    </row>
    <row r="1013" spans="1:15" x14ac:dyDescent="0.35">
      <c r="A1013" t="s">
        <v>1674</v>
      </c>
      <c r="B1013" s="2">
        <v>45728</v>
      </c>
      <c r="C1013" t="s">
        <v>36</v>
      </c>
      <c r="D1013" t="s">
        <v>29</v>
      </c>
      <c r="E1013" t="s">
        <v>12</v>
      </c>
      <c r="F1013" t="s">
        <v>13</v>
      </c>
      <c r="G1013">
        <v>3</v>
      </c>
      <c r="H1013">
        <v>2.5</v>
      </c>
      <c r="I1013" t="s">
        <v>39</v>
      </c>
      <c r="J1013" t="s">
        <v>163</v>
      </c>
      <c r="K1013" s="12">
        <f>Store_Record[[#This Row],[Qty]]*Store_Record[[#This Row],[UnitPriceGBP]]</f>
        <v>7.5</v>
      </c>
      <c r="L1013" s="5" t="str">
        <f>TEXT(Store_Record[[#This Row],[Date]],"dddd")</f>
        <v>Wednesday</v>
      </c>
      <c r="M1013" s="5" t="str">
        <f>TEXT(Store_Record[[#This Row],[Date]],"mmmm")</f>
        <v>March</v>
      </c>
      <c r="N1013" s="5">
        <f>YEAR(Store_Record[[#This Row],[Date]])</f>
        <v>2025</v>
      </c>
      <c r="O1013"/>
    </row>
    <row r="1014" spans="1:15" x14ac:dyDescent="0.35">
      <c r="A1014" t="s">
        <v>1666</v>
      </c>
      <c r="B1014" s="2">
        <v>45728</v>
      </c>
      <c r="C1014" t="s">
        <v>24</v>
      </c>
      <c r="D1014" t="s">
        <v>11</v>
      </c>
      <c r="E1014" t="s">
        <v>12</v>
      </c>
      <c r="F1014" t="s">
        <v>13</v>
      </c>
      <c r="G1014">
        <v>2</v>
      </c>
      <c r="H1014">
        <v>2.5</v>
      </c>
      <c r="I1014" t="s">
        <v>39</v>
      </c>
      <c r="J1014" t="s">
        <v>1667</v>
      </c>
      <c r="K1014" s="12">
        <f>Store_Record[[#This Row],[Qty]]*Store_Record[[#This Row],[UnitPriceGBP]]</f>
        <v>5</v>
      </c>
      <c r="L1014" s="5" t="str">
        <f>TEXT(Store_Record[[#This Row],[Date]],"dddd")</f>
        <v>Wednesday</v>
      </c>
      <c r="M1014" s="5" t="str">
        <f>TEXT(Store_Record[[#This Row],[Date]],"mmmm")</f>
        <v>March</v>
      </c>
      <c r="N1014" s="5">
        <f>YEAR(Store_Record[[#This Row],[Date]])</f>
        <v>2025</v>
      </c>
      <c r="O1014"/>
    </row>
    <row r="1015" spans="1:15" x14ac:dyDescent="0.35">
      <c r="A1015" t="s">
        <v>1668</v>
      </c>
      <c r="B1015" s="2">
        <v>45728</v>
      </c>
      <c r="C1015" t="s">
        <v>20</v>
      </c>
      <c r="D1015" t="s">
        <v>29</v>
      </c>
      <c r="E1015" t="s">
        <v>12</v>
      </c>
      <c r="F1015" t="s">
        <v>13</v>
      </c>
      <c r="G1015">
        <v>2</v>
      </c>
      <c r="H1015">
        <v>2.5</v>
      </c>
      <c r="I1015" t="s">
        <v>39</v>
      </c>
      <c r="J1015" t="s">
        <v>1669</v>
      </c>
      <c r="K1015" s="12">
        <f>Store_Record[[#This Row],[Qty]]*Store_Record[[#This Row],[UnitPriceGBP]]</f>
        <v>5</v>
      </c>
      <c r="L1015" s="5" t="str">
        <f>TEXT(Store_Record[[#This Row],[Date]],"dddd")</f>
        <v>Wednesday</v>
      </c>
      <c r="M1015" s="5" t="str">
        <f>TEXT(Store_Record[[#This Row],[Date]],"mmmm")</f>
        <v>March</v>
      </c>
      <c r="N1015" s="5">
        <f>YEAR(Store_Record[[#This Row],[Date]])</f>
        <v>2025</v>
      </c>
      <c r="O1015"/>
    </row>
    <row r="1016" spans="1:15" x14ac:dyDescent="0.35">
      <c r="A1016" t="s">
        <v>1679</v>
      </c>
      <c r="B1016" s="2">
        <v>45728</v>
      </c>
      <c r="C1016" t="s">
        <v>20</v>
      </c>
      <c r="D1016" t="s">
        <v>25</v>
      </c>
      <c r="E1016" t="s">
        <v>12</v>
      </c>
      <c r="F1016" t="s">
        <v>13</v>
      </c>
      <c r="G1016">
        <v>2</v>
      </c>
      <c r="H1016">
        <v>2.5</v>
      </c>
      <c r="I1016" t="s">
        <v>39</v>
      </c>
      <c r="J1016" t="s">
        <v>173</v>
      </c>
      <c r="K1016" s="12">
        <f>Store_Record[[#This Row],[Qty]]*Store_Record[[#This Row],[UnitPriceGBP]]</f>
        <v>5</v>
      </c>
      <c r="L1016" s="5" t="str">
        <f>TEXT(Store_Record[[#This Row],[Date]],"dddd")</f>
        <v>Wednesday</v>
      </c>
      <c r="M1016" s="5" t="str">
        <f>TEXT(Store_Record[[#This Row],[Date]],"mmmm")</f>
        <v>March</v>
      </c>
      <c r="N1016" s="5">
        <f>YEAR(Store_Record[[#This Row],[Date]])</f>
        <v>2025</v>
      </c>
      <c r="O1016"/>
    </row>
    <row r="1017" spans="1:15" x14ac:dyDescent="0.35">
      <c r="A1017" t="s">
        <v>1675</v>
      </c>
      <c r="B1017" s="2">
        <v>45728</v>
      </c>
      <c r="C1017" t="s">
        <v>10</v>
      </c>
      <c r="D1017" t="s">
        <v>38</v>
      </c>
      <c r="E1017" t="s">
        <v>34</v>
      </c>
      <c r="F1017" t="s">
        <v>31</v>
      </c>
      <c r="G1017">
        <v>2</v>
      </c>
      <c r="H1017">
        <v>2.2000000000000002</v>
      </c>
      <c r="I1017" t="s">
        <v>14</v>
      </c>
      <c r="J1017" t="s">
        <v>1676</v>
      </c>
      <c r="K1017" s="12">
        <f>Store_Record[[#This Row],[Qty]]*Store_Record[[#This Row],[UnitPriceGBP]]</f>
        <v>4.4000000000000004</v>
      </c>
      <c r="L1017" s="5" t="str">
        <f>TEXT(Store_Record[[#This Row],[Date]],"dddd")</f>
        <v>Wednesday</v>
      </c>
      <c r="M1017" s="5" t="str">
        <f>TEXT(Store_Record[[#This Row],[Date]],"mmmm")</f>
        <v>March</v>
      </c>
      <c r="N1017" s="5">
        <f>YEAR(Store_Record[[#This Row],[Date]])</f>
        <v>2025</v>
      </c>
      <c r="O1017"/>
    </row>
    <row r="1018" spans="1:15" x14ac:dyDescent="0.35">
      <c r="A1018" t="s">
        <v>1665</v>
      </c>
      <c r="B1018" s="2">
        <v>45728</v>
      </c>
      <c r="C1018" t="s">
        <v>20</v>
      </c>
      <c r="D1018" t="s">
        <v>11</v>
      </c>
      <c r="E1018" t="s">
        <v>42</v>
      </c>
      <c r="F1018" t="s">
        <v>13</v>
      </c>
      <c r="G1018">
        <v>1</v>
      </c>
      <c r="H1018">
        <v>3.8</v>
      </c>
      <c r="I1018" t="s">
        <v>14</v>
      </c>
      <c r="J1018" t="s">
        <v>146</v>
      </c>
      <c r="K1018" s="12">
        <f>Store_Record[[#This Row],[Qty]]*Store_Record[[#This Row],[UnitPriceGBP]]</f>
        <v>3.8</v>
      </c>
      <c r="L1018" s="5" t="str">
        <f>TEXT(Store_Record[[#This Row],[Date]],"dddd")</f>
        <v>Wednesday</v>
      </c>
      <c r="M1018" s="5" t="str">
        <f>TEXT(Store_Record[[#This Row],[Date]],"mmmm")</f>
        <v>March</v>
      </c>
      <c r="N1018" s="5">
        <f>YEAR(Store_Record[[#This Row],[Date]])</f>
        <v>2025</v>
      </c>
      <c r="O1018"/>
    </row>
    <row r="1019" spans="1:15" x14ac:dyDescent="0.35">
      <c r="A1019" t="s">
        <v>1677</v>
      </c>
      <c r="B1019" s="2">
        <v>45728</v>
      </c>
      <c r="C1019" t="s">
        <v>36</v>
      </c>
      <c r="D1019" t="s">
        <v>25</v>
      </c>
      <c r="E1019" t="s">
        <v>42</v>
      </c>
      <c r="F1019" t="s">
        <v>13</v>
      </c>
      <c r="G1019">
        <v>1</v>
      </c>
      <c r="H1019">
        <v>3.8</v>
      </c>
      <c r="I1019" t="s">
        <v>14</v>
      </c>
      <c r="J1019" t="s">
        <v>1678</v>
      </c>
      <c r="K1019" s="12">
        <f>Store_Record[[#This Row],[Qty]]*Store_Record[[#This Row],[UnitPriceGBP]]</f>
        <v>3.8</v>
      </c>
      <c r="L1019" s="5" t="str">
        <f>TEXT(Store_Record[[#This Row],[Date]],"dddd")</f>
        <v>Wednesday</v>
      </c>
      <c r="M1019" s="5" t="str">
        <f>TEXT(Store_Record[[#This Row],[Date]],"mmmm")</f>
        <v>March</v>
      </c>
      <c r="N1019" s="5">
        <f>YEAR(Store_Record[[#This Row],[Date]])</f>
        <v>2025</v>
      </c>
      <c r="O1019"/>
    </row>
    <row r="1020" spans="1:15" x14ac:dyDescent="0.35">
      <c r="A1020" t="s">
        <v>1682</v>
      </c>
      <c r="B1020" s="2">
        <v>45729</v>
      </c>
      <c r="C1020" t="s">
        <v>24</v>
      </c>
      <c r="D1020" t="s">
        <v>47</v>
      </c>
      <c r="E1020" t="s">
        <v>42</v>
      </c>
      <c r="F1020" t="s">
        <v>13</v>
      </c>
      <c r="G1020">
        <v>5</v>
      </c>
      <c r="H1020">
        <v>3.8</v>
      </c>
      <c r="I1020" t="s">
        <v>14</v>
      </c>
      <c r="J1020" t="s">
        <v>466</v>
      </c>
      <c r="K1020" s="12">
        <f>Store_Record[[#This Row],[Qty]]*Store_Record[[#This Row],[UnitPriceGBP]]</f>
        <v>19</v>
      </c>
      <c r="L1020" s="5" t="str">
        <f>TEXT(Store_Record[[#This Row],[Date]],"dddd")</f>
        <v>Thursday</v>
      </c>
      <c r="M1020" s="5" t="str">
        <f>TEXT(Store_Record[[#This Row],[Date]],"mmmm")</f>
        <v>March</v>
      </c>
      <c r="N1020" s="5">
        <f>YEAR(Store_Record[[#This Row],[Date]])</f>
        <v>2025</v>
      </c>
      <c r="O1020"/>
    </row>
    <row r="1021" spans="1:15" x14ac:dyDescent="0.35">
      <c r="A1021" t="s">
        <v>1683</v>
      </c>
      <c r="B1021" s="2">
        <v>45729</v>
      </c>
      <c r="C1021" t="s">
        <v>10</v>
      </c>
      <c r="D1021" t="s">
        <v>38</v>
      </c>
      <c r="E1021" t="s">
        <v>42</v>
      </c>
      <c r="F1021" t="s">
        <v>13</v>
      </c>
      <c r="G1021">
        <v>3</v>
      </c>
      <c r="H1021">
        <v>3.8</v>
      </c>
      <c r="I1021" t="s">
        <v>14</v>
      </c>
      <c r="J1021" t="s">
        <v>819</v>
      </c>
      <c r="K1021" s="12">
        <f>Store_Record[[#This Row],[Qty]]*Store_Record[[#This Row],[UnitPriceGBP]]</f>
        <v>11.399999999999999</v>
      </c>
      <c r="L1021" s="5" t="str">
        <f>TEXT(Store_Record[[#This Row],[Date]],"dddd")</f>
        <v>Thursday</v>
      </c>
      <c r="M1021" s="5" t="str">
        <f>TEXT(Store_Record[[#This Row],[Date]],"mmmm")</f>
        <v>March</v>
      </c>
      <c r="N1021" s="5">
        <f>YEAR(Store_Record[[#This Row],[Date]])</f>
        <v>2025</v>
      </c>
      <c r="O1021"/>
    </row>
    <row r="1022" spans="1:15" x14ac:dyDescent="0.35">
      <c r="A1022" t="s">
        <v>1681</v>
      </c>
      <c r="B1022" s="2">
        <v>45729</v>
      </c>
      <c r="C1022" t="s">
        <v>24</v>
      </c>
      <c r="D1022" t="s">
        <v>25</v>
      </c>
      <c r="E1022" t="s">
        <v>26</v>
      </c>
      <c r="F1022" t="s">
        <v>13</v>
      </c>
      <c r="G1022">
        <v>3</v>
      </c>
      <c r="H1022">
        <v>3.5</v>
      </c>
      <c r="I1022" t="s">
        <v>21</v>
      </c>
      <c r="J1022" t="s">
        <v>421</v>
      </c>
      <c r="K1022" s="12">
        <f>Store_Record[[#This Row],[Qty]]*Store_Record[[#This Row],[UnitPriceGBP]]</f>
        <v>10.5</v>
      </c>
      <c r="L1022" s="5" t="str">
        <f>TEXT(Store_Record[[#This Row],[Date]],"dddd")</f>
        <v>Thursday</v>
      </c>
      <c r="M1022" s="5" t="str">
        <f>TEXT(Store_Record[[#This Row],[Date]],"mmmm")</f>
        <v>March</v>
      </c>
      <c r="N1022" s="5">
        <f>YEAR(Store_Record[[#This Row],[Date]])</f>
        <v>2025</v>
      </c>
      <c r="O1022"/>
    </row>
    <row r="1023" spans="1:15" x14ac:dyDescent="0.35">
      <c r="A1023" t="s">
        <v>1684</v>
      </c>
      <c r="B1023" s="2">
        <v>45729</v>
      </c>
      <c r="C1023" t="s">
        <v>36</v>
      </c>
      <c r="D1023" t="s">
        <v>25</v>
      </c>
      <c r="E1023" t="s">
        <v>34</v>
      </c>
      <c r="F1023" t="s">
        <v>31</v>
      </c>
      <c r="G1023">
        <v>4</v>
      </c>
      <c r="H1023">
        <v>2.2000000000000002</v>
      </c>
      <c r="I1023" t="s">
        <v>21</v>
      </c>
      <c r="J1023" t="s">
        <v>265</v>
      </c>
      <c r="K1023" s="12">
        <f>Store_Record[[#This Row],[Qty]]*Store_Record[[#This Row],[UnitPriceGBP]]</f>
        <v>8.8000000000000007</v>
      </c>
      <c r="L1023" s="5" t="str">
        <f>TEXT(Store_Record[[#This Row],[Date]],"dddd")</f>
        <v>Thursday</v>
      </c>
      <c r="M1023" s="5" t="str">
        <f>TEXT(Store_Record[[#This Row],[Date]],"mmmm")</f>
        <v>March</v>
      </c>
      <c r="N1023" s="5">
        <f>YEAR(Store_Record[[#This Row],[Date]])</f>
        <v>2025</v>
      </c>
      <c r="O1023"/>
    </row>
    <row r="1024" spans="1:15" x14ac:dyDescent="0.35">
      <c r="A1024" t="s">
        <v>1680</v>
      </c>
      <c r="B1024" s="2">
        <v>45729</v>
      </c>
      <c r="C1024" t="s">
        <v>24</v>
      </c>
      <c r="D1024" t="s">
        <v>29</v>
      </c>
      <c r="E1024" t="s">
        <v>42</v>
      </c>
      <c r="F1024" t="s">
        <v>13</v>
      </c>
      <c r="G1024">
        <v>2</v>
      </c>
      <c r="H1024">
        <v>3.8</v>
      </c>
      <c r="I1024" t="s">
        <v>14</v>
      </c>
      <c r="J1024" t="s">
        <v>458</v>
      </c>
      <c r="K1024" s="12">
        <f>Store_Record[[#This Row],[Qty]]*Store_Record[[#This Row],[UnitPriceGBP]]</f>
        <v>7.6</v>
      </c>
      <c r="L1024" s="5" t="str">
        <f>TEXT(Store_Record[[#This Row],[Date]],"dddd")</f>
        <v>Thursday</v>
      </c>
      <c r="M1024" s="5" t="str">
        <f>TEXT(Store_Record[[#This Row],[Date]],"mmmm")</f>
        <v>March</v>
      </c>
      <c r="N1024" s="5">
        <f>YEAR(Store_Record[[#This Row],[Date]])</f>
        <v>2025</v>
      </c>
      <c r="O1024"/>
    </row>
    <row r="1025" spans="1:15" x14ac:dyDescent="0.35">
      <c r="A1025" t="s">
        <v>1685</v>
      </c>
      <c r="B1025" s="2">
        <v>45729</v>
      </c>
      <c r="C1025" t="s">
        <v>24</v>
      </c>
      <c r="D1025" t="s">
        <v>38</v>
      </c>
      <c r="E1025" t="s">
        <v>42</v>
      </c>
      <c r="F1025" t="s">
        <v>13</v>
      </c>
      <c r="G1025">
        <v>2</v>
      </c>
      <c r="H1025">
        <v>3.8</v>
      </c>
      <c r="I1025" t="s">
        <v>39</v>
      </c>
      <c r="J1025" t="s">
        <v>555</v>
      </c>
      <c r="K1025" s="12">
        <f>Store_Record[[#This Row],[Qty]]*Store_Record[[#This Row],[UnitPriceGBP]]</f>
        <v>7.6</v>
      </c>
      <c r="L1025" s="5" t="str">
        <f>TEXT(Store_Record[[#This Row],[Date]],"dddd")</f>
        <v>Thursday</v>
      </c>
      <c r="M1025" s="5" t="str">
        <f>TEXT(Store_Record[[#This Row],[Date]],"mmmm")</f>
        <v>March</v>
      </c>
      <c r="N1025" s="5">
        <f>YEAR(Store_Record[[#This Row],[Date]])</f>
        <v>2025</v>
      </c>
      <c r="O1025"/>
    </row>
    <row r="1026" spans="1:15" x14ac:dyDescent="0.35">
      <c r="A1026" t="s">
        <v>1686</v>
      </c>
      <c r="B1026" s="2">
        <v>45729</v>
      </c>
      <c r="C1026" t="s">
        <v>10</v>
      </c>
      <c r="D1026" t="s">
        <v>47</v>
      </c>
      <c r="E1026" t="s">
        <v>30</v>
      </c>
      <c r="F1026" t="s">
        <v>31</v>
      </c>
      <c r="G1026">
        <v>2</v>
      </c>
      <c r="H1026">
        <v>2.8</v>
      </c>
      <c r="I1026" t="s">
        <v>21</v>
      </c>
      <c r="J1026" t="s">
        <v>1687</v>
      </c>
      <c r="K1026" s="12">
        <f>Store_Record[[#This Row],[Qty]]*Store_Record[[#This Row],[UnitPriceGBP]]</f>
        <v>5.6</v>
      </c>
      <c r="L1026" s="5" t="str">
        <f>TEXT(Store_Record[[#This Row],[Date]],"dddd")</f>
        <v>Thursday</v>
      </c>
      <c r="M1026" s="5" t="str">
        <f>TEXT(Store_Record[[#This Row],[Date]],"mmmm")</f>
        <v>March</v>
      </c>
      <c r="N1026" s="5">
        <f>YEAR(Store_Record[[#This Row],[Date]])</f>
        <v>2025</v>
      </c>
      <c r="O1026"/>
    </row>
    <row r="1027" spans="1:15" x14ac:dyDescent="0.35">
      <c r="A1027" t="s">
        <v>1688</v>
      </c>
      <c r="B1027" s="2">
        <v>45729</v>
      </c>
      <c r="C1027" t="s">
        <v>36</v>
      </c>
      <c r="D1027" t="s">
        <v>47</v>
      </c>
      <c r="E1027" t="s">
        <v>12</v>
      </c>
      <c r="F1027" t="s">
        <v>13</v>
      </c>
      <c r="G1027">
        <v>2</v>
      </c>
      <c r="H1027">
        <v>2.5</v>
      </c>
      <c r="I1027" t="s">
        <v>14</v>
      </c>
      <c r="J1027" t="s">
        <v>1449</v>
      </c>
      <c r="K1027" s="12">
        <f>Store_Record[[#This Row],[Qty]]*Store_Record[[#This Row],[UnitPriceGBP]]</f>
        <v>5</v>
      </c>
      <c r="L1027" s="5" t="str">
        <f>TEXT(Store_Record[[#This Row],[Date]],"dddd")</f>
        <v>Thursday</v>
      </c>
      <c r="M1027" s="5" t="str">
        <f>TEXT(Store_Record[[#This Row],[Date]],"mmmm")</f>
        <v>March</v>
      </c>
      <c r="N1027" s="5">
        <f>YEAR(Store_Record[[#This Row],[Date]])</f>
        <v>2025</v>
      </c>
      <c r="O1027"/>
    </row>
    <row r="1028" spans="1:15" x14ac:dyDescent="0.35">
      <c r="A1028" t="s">
        <v>1696</v>
      </c>
      <c r="B1028" s="2">
        <v>45730</v>
      </c>
      <c r="C1028" t="s">
        <v>24</v>
      </c>
      <c r="D1028" t="s">
        <v>29</v>
      </c>
      <c r="E1028" t="s">
        <v>42</v>
      </c>
      <c r="F1028" t="s">
        <v>13</v>
      </c>
      <c r="G1028">
        <v>5</v>
      </c>
      <c r="H1028">
        <v>3.8</v>
      </c>
      <c r="I1028" t="s">
        <v>21</v>
      </c>
      <c r="J1028" t="s">
        <v>1697</v>
      </c>
      <c r="K1028" s="12">
        <f>Store_Record[[#This Row],[Qty]]*Store_Record[[#This Row],[UnitPriceGBP]]</f>
        <v>19</v>
      </c>
      <c r="L1028" s="5" t="str">
        <f>TEXT(Store_Record[[#This Row],[Date]],"dddd")</f>
        <v>Friday</v>
      </c>
      <c r="M1028" s="5" t="str">
        <f>TEXT(Store_Record[[#This Row],[Date]],"mmmm")</f>
        <v>March</v>
      </c>
      <c r="N1028" s="5">
        <f>YEAR(Store_Record[[#This Row],[Date]])</f>
        <v>2025</v>
      </c>
      <c r="O1028"/>
    </row>
    <row r="1029" spans="1:15" x14ac:dyDescent="0.35">
      <c r="A1029" t="s">
        <v>1717</v>
      </c>
      <c r="B1029" s="2">
        <v>45730</v>
      </c>
      <c r="C1029" t="s">
        <v>20</v>
      </c>
      <c r="D1029" t="s">
        <v>29</v>
      </c>
      <c r="E1029" t="s">
        <v>42</v>
      </c>
      <c r="F1029" t="s">
        <v>13</v>
      </c>
      <c r="G1029">
        <v>5</v>
      </c>
      <c r="H1029">
        <v>3.8</v>
      </c>
      <c r="I1029" t="s">
        <v>14</v>
      </c>
      <c r="J1029" t="s">
        <v>1718</v>
      </c>
      <c r="K1029" s="12">
        <f>Store_Record[[#This Row],[Qty]]*Store_Record[[#This Row],[UnitPriceGBP]]</f>
        <v>19</v>
      </c>
      <c r="L1029" s="5" t="str">
        <f>TEXT(Store_Record[[#This Row],[Date]],"dddd")</f>
        <v>Friday</v>
      </c>
      <c r="M1029" s="5" t="str">
        <f>TEXT(Store_Record[[#This Row],[Date]],"mmmm")</f>
        <v>March</v>
      </c>
      <c r="N1029" s="5">
        <f>YEAR(Store_Record[[#This Row],[Date]])</f>
        <v>2025</v>
      </c>
      <c r="O1029"/>
    </row>
    <row r="1030" spans="1:15" x14ac:dyDescent="0.35">
      <c r="A1030" t="s">
        <v>1715</v>
      </c>
      <c r="B1030" s="2">
        <v>45730</v>
      </c>
      <c r="C1030" t="s">
        <v>36</v>
      </c>
      <c r="D1030" t="s">
        <v>38</v>
      </c>
      <c r="E1030" t="s">
        <v>42</v>
      </c>
      <c r="F1030" t="s">
        <v>13</v>
      </c>
      <c r="G1030">
        <v>4</v>
      </c>
      <c r="H1030">
        <v>3.8</v>
      </c>
      <c r="I1030" t="s">
        <v>39</v>
      </c>
      <c r="J1030" t="s">
        <v>1622</v>
      </c>
      <c r="K1030" s="12">
        <f>Store_Record[[#This Row],[Qty]]*Store_Record[[#This Row],[UnitPriceGBP]]</f>
        <v>15.2</v>
      </c>
      <c r="L1030" s="5" t="str">
        <f>TEXT(Store_Record[[#This Row],[Date]],"dddd")</f>
        <v>Friday</v>
      </c>
      <c r="M1030" s="5" t="str">
        <f>TEXT(Store_Record[[#This Row],[Date]],"mmmm")</f>
        <v>March</v>
      </c>
      <c r="N1030" s="5">
        <f>YEAR(Store_Record[[#This Row],[Date]])</f>
        <v>2025</v>
      </c>
      <c r="O1030"/>
    </row>
    <row r="1031" spans="1:15" x14ac:dyDescent="0.35">
      <c r="A1031" t="s">
        <v>1702</v>
      </c>
      <c r="B1031" s="2">
        <v>45730</v>
      </c>
      <c r="C1031" t="s">
        <v>24</v>
      </c>
      <c r="D1031" t="s">
        <v>11</v>
      </c>
      <c r="E1031" t="s">
        <v>42</v>
      </c>
      <c r="F1031" t="s">
        <v>13</v>
      </c>
      <c r="G1031">
        <v>3</v>
      </c>
      <c r="H1031">
        <v>3.8</v>
      </c>
      <c r="I1031" t="s">
        <v>14</v>
      </c>
      <c r="J1031" t="s">
        <v>1703</v>
      </c>
      <c r="K1031" s="12">
        <f>Store_Record[[#This Row],[Qty]]*Store_Record[[#This Row],[UnitPriceGBP]]</f>
        <v>11.399999999999999</v>
      </c>
      <c r="L1031" s="5" t="str">
        <f>TEXT(Store_Record[[#This Row],[Date]],"dddd")</f>
        <v>Friday</v>
      </c>
      <c r="M1031" s="5" t="str">
        <f>TEXT(Store_Record[[#This Row],[Date]],"mmmm")</f>
        <v>March</v>
      </c>
      <c r="N1031" s="5">
        <f>YEAR(Store_Record[[#This Row],[Date]])</f>
        <v>2025</v>
      </c>
      <c r="O1031"/>
    </row>
    <row r="1032" spans="1:15" x14ac:dyDescent="0.35">
      <c r="A1032" t="s">
        <v>1706</v>
      </c>
      <c r="B1032" s="2">
        <v>45730</v>
      </c>
      <c r="C1032" t="s">
        <v>36</v>
      </c>
      <c r="D1032" t="s">
        <v>47</v>
      </c>
      <c r="E1032" t="s">
        <v>42</v>
      </c>
      <c r="F1032" t="s">
        <v>13</v>
      </c>
      <c r="G1032">
        <v>3</v>
      </c>
      <c r="H1032">
        <v>3.8</v>
      </c>
      <c r="I1032" t="s">
        <v>14</v>
      </c>
      <c r="J1032" t="s">
        <v>682</v>
      </c>
      <c r="K1032" s="12">
        <f>Store_Record[[#This Row],[Qty]]*Store_Record[[#This Row],[UnitPriceGBP]]</f>
        <v>11.399999999999999</v>
      </c>
      <c r="L1032" s="5" t="str">
        <f>TEXT(Store_Record[[#This Row],[Date]],"dddd")</f>
        <v>Friday</v>
      </c>
      <c r="M1032" s="5" t="str">
        <f>TEXT(Store_Record[[#This Row],[Date]],"mmmm")</f>
        <v>March</v>
      </c>
      <c r="N1032" s="5">
        <f>YEAR(Store_Record[[#This Row],[Date]])</f>
        <v>2025</v>
      </c>
      <c r="O1032"/>
    </row>
    <row r="1033" spans="1:15" x14ac:dyDescent="0.35">
      <c r="A1033" t="s">
        <v>1691</v>
      </c>
      <c r="B1033" s="2">
        <v>45730</v>
      </c>
      <c r="C1033" t="s">
        <v>10</v>
      </c>
      <c r="D1033" t="s">
        <v>38</v>
      </c>
      <c r="E1033" t="s">
        <v>30</v>
      </c>
      <c r="F1033" t="s">
        <v>31</v>
      </c>
      <c r="G1033">
        <v>4</v>
      </c>
      <c r="H1033">
        <v>2.8</v>
      </c>
      <c r="I1033" t="s">
        <v>14</v>
      </c>
      <c r="J1033" t="s">
        <v>1692</v>
      </c>
      <c r="K1033" s="12">
        <f>Store_Record[[#This Row],[Qty]]*Store_Record[[#This Row],[UnitPriceGBP]]</f>
        <v>11.2</v>
      </c>
      <c r="L1033" s="5" t="str">
        <f>TEXT(Store_Record[[#This Row],[Date]],"dddd")</f>
        <v>Friday</v>
      </c>
      <c r="M1033" s="5" t="str">
        <f>TEXT(Store_Record[[#This Row],[Date]],"mmmm")</f>
        <v>March</v>
      </c>
      <c r="N1033" s="5">
        <f>YEAR(Store_Record[[#This Row],[Date]])</f>
        <v>2025</v>
      </c>
      <c r="O1033"/>
    </row>
    <row r="1034" spans="1:15" x14ac:dyDescent="0.35">
      <c r="A1034" t="s">
        <v>1707</v>
      </c>
      <c r="B1034" s="2">
        <v>45730</v>
      </c>
      <c r="C1034" t="s">
        <v>10</v>
      </c>
      <c r="D1034" t="s">
        <v>38</v>
      </c>
      <c r="E1034" t="s">
        <v>30</v>
      </c>
      <c r="F1034" t="s">
        <v>31</v>
      </c>
      <c r="G1034">
        <v>4</v>
      </c>
      <c r="H1034">
        <v>2.8</v>
      </c>
      <c r="I1034" t="s">
        <v>39</v>
      </c>
      <c r="J1034" t="s">
        <v>1708</v>
      </c>
      <c r="K1034" s="12">
        <f>Store_Record[[#This Row],[Qty]]*Store_Record[[#This Row],[UnitPriceGBP]]</f>
        <v>11.2</v>
      </c>
      <c r="L1034" s="5" t="str">
        <f>TEXT(Store_Record[[#This Row],[Date]],"dddd")</f>
        <v>Friday</v>
      </c>
      <c r="M1034" s="5" t="str">
        <f>TEXT(Store_Record[[#This Row],[Date]],"mmmm")</f>
        <v>March</v>
      </c>
      <c r="N1034" s="5">
        <f>YEAR(Store_Record[[#This Row],[Date]])</f>
        <v>2025</v>
      </c>
      <c r="O1034"/>
    </row>
    <row r="1035" spans="1:15" x14ac:dyDescent="0.35">
      <c r="A1035" t="s">
        <v>1698</v>
      </c>
      <c r="B1035" s="2">
        <v>45730</v>
      </c>
      <c r="C1035" t="s">
        <v>10</v>
      </c>
      <c r="D1035" t="s">
        <v>29</v>
      </c>
      <c r="E1035" t="s">
        <v>34</v>
      </c>
      <c r="F1035" t="s">
        <v>31</v>
      </c>
      <c r="G1035">
        <v>5</v>
      </c>
      <c r="H1035">
        <v>2.2000000000000002</v>
      </c>
      <c r="I1035" t="s">
        <v>39</v>
      </c>
      <c r="J1035" t="s">
        <v>204</v>
      </c>
      <c r="K1035" s="12">
        <f>Store_Record[[#This Row],[Qty]]*Store_Record[[#This Row],[UnitPriceGBP]]</f>
        <v>11</v>
      </c>
      <c r="L1035" s="5" t="str">
        <f>TEXT(Store_Record[[#This Row],[Date]],"dddd")</f>
        <v>Friday</v>
      </c>
      <c r="M1035" s="5" t="str">
        <f>TEXT(Store_Record[[#This Row],[Date]],"mmmm")</f>
        <v>March</v>
      </c>
      <c r="N1035" s="5">
        <f>YEAR(Store_Record[[#This Row],[Date]])</f>
        <v>2025</v>
      </c>
      <c r="O1035"/>
    </row>
    <row r="1036" spans="1:15" x14ac:dyDescent="0.35">
      <c r="A1036" t="s">
        <v>1694</v>
      </c>
      <c r="B1036" s="2">
        <v>45730</v>
      </c>
      <c r="C1036" t="s">
        <v>36</v>
      </c>
      <c r="D1036" t="s">
        <v>25</v>
      </c>
      <c r="E1036" t="s">
        <v>12</v>
      </c>
      <c r="F1036" t="s">
        <v>13</v>
      </c>
      <c r="G1036">
        <v>4</v>
      </c>
      <c r="H1036">
        <v>2.5</v>
      </c>
      <c r="I1036" t="s">
        <v>21</v>
      </c>
      <c r="J1036" t="s">
        <v>1695</v>
      </c>
      <c r="K1036" s="12">
        <f>Store_Record[[#This Row],[Qty]]*Store_Record[[#This Row],[UnitPriceGBP]]</f>
        <v>10</v>
      </c>
      <c r="L1036" s="5" t="str">
        <f>TEXT(Store_Record[[#This Row],[Date]],"dddd")</f>
        <v>Friday</v>
      </c>
      <c r="M1036" s="5" t="str">
        <f>TEXT(Store_Record[[#This Row],[Date]],"mmmm")</f>
        <v>March</v>
      </c>
      <c r="N1036" s="5">
        <f>YEAR(Store_Record[[#This Row],[Date]])</f>
        <v>2025</v>
      </c>
      <c r="O1036"/>
    </row>
    <row r="1037" spans="1:15" x14ac:dyDescent="0.35">
      <c r="A1037" t="s">
        <v>1690</v>
      </c>
      <c r="B1037" s="2">
        <v>45730</v>
      </c>
      <c r="C1037" t="s">
        <v>36</v>
      </c>
      <c r="D1037" t="s">
        <v>29</v>
      </c>
      <c r="E1037" t="s">
        <v>34</v>
      </c>
      <c r="F1037" t="s">
        <v>31</v>
      </c>
      <c r="G1037">
        <v>4</v>
      </c>
      <c r="H1037">
        <v>2.2000000000000002</v>
      </c>
      <c r="I1037" t="s">
        <v>14</v>
      </c>
      <c r="J1037" t="s">
        <v>452</v>
      </c>
      <c r="K1037" s="12">
        <f>Store_Record[[#This Row],[Qty]]*Store_Record[[#This Row],[UnitPriceGBP]]</f>
        <v>8.8000000000000007</v>
      </c>
      <c r="L1037" s="5" t="str">
        <f>TEXT(Store_Record[[#This Row],[Date]],"dddd")</f>
        <v>Friday</v>
      </c>
      <c r="M1037" s="5" t="str">
        <f>TEXT(Store_Record[[#This Row],[Date]],"mmmm")</f>
        <v>March</v>
      </c>
      <c r="N1037" s="5">
        <f>YEAR(Store_Record[[#This Row],[Date]])</f>
        <v>2025</v>
      </c>
      <c r="O1037"/>
    </row>
    <row r="1038" spans="1:15" x14ac:dyDescent="0.35">
      <c r="A1038" t="s">
        <v>1701</v>
      </c>
      <c r="B1038" s="2">
        <v>45730</v>
      </c>
      <c r="C1038" t="s">
        <v>20</v>
      </c>
      <c r="D1038" t="s">
        <v>25</v>
      </c>
      <c r="E1038" t="s">
        <v>34</v>
      </c>
      <c r="F1038" t="s">
        <v>31</v>
      </c>
      <c r="G1038">
        <v>4</v>
      </c>
      <c r="H1038">
        <v>2.2000000000000002</v>
      </c>
      <c r="I1038" t="s">
        <v>21</v>
      </c>
      <c r="J1038" t="s">
        <v>728</v>
      </c>
      <c r="K1038" s="12">
        <f>Store_Record[[#This Row],[Qty]]*Store_Record[[#This Row],[UnitPriceGBP]]</f>
        <v>8.8000000000000007</v>
      </c>
      <c r="L1038" s="5" t="str">
        <f>TEXT(Store_Record[[#This Row],[Date]],"dddd")</f>
        <v>Friday</v>
      </c>
      <c r="M1038" s="5" t="str">
        <f>TEXT(Store_Record[[#This Row],[Date]],"mmmm")</f>
        <v>March</v>
      </c>
      <c r="N1038" s="5">
        <f>YEAR(Store_Record[[#This Row],[Date]])</f>
        <v>2025</v>
      </c>
      <c r="O1038"/>
    </row>
    <row r="1039" spans="1:15" x14ac:dyDescent="0.35">
      <c r="A1039" t="s">
        <v>1693</v>
      </c>
      <c r="B1039" s="2">
        <v>45730</v>
      </c>
      <c r="C1039" t="s">
        <v>20</v>
      </c>
      <c r="D1039" t="s">
        <v>29</v>
      </c>
      <c r="E1039" t="s">
        <v>30</v>
      </c>
      <c r="F1039" t="s">
        <v>31</v>
      </c>
      <c r="G1039">
        <v>3</v>
      </c>
      <c r="H1039">
        <v>2.8</v>
      </c>
      <c r="I1039" t="s">
        <v>21</v>
      </c>
      <c r="J1039" t="s">
        <v>1316</v>
      </c>
      <c r="K1039" s="12">
        <f>Store_Record[[#This Row],[Qty]]*Store_Record[[#This Row],[UnitPriceGBP]]</f>
        <v>8.3999999999999986</v>
      </c>
      <c r="L1039" s="5" t="str">
        <f>TEXT(Store_Record[[#This Row],[Date]],"dddd")</f>
        <v>Friday</v>
      </c>
      <c r="M1039" s="5" t="str">
        <f>TEXT(Store_Record[[#This Row],[Date]],"mmmm")</f>
        <v>March</v>
      </c>
      <c r="N1039" s="5">
        <f>YEAR(Store_Record[[#This Row],[Date]])</f>
        <v>2025</v>
      </c>
      <c r="O1039"/>
    </row>
    <row r="1040" spans="1:15" x14ac:dyDescent="0.35">
      <c r="A1040" t="s">
        <v>1689</v>
      </c>
      <c r="B1040" s="2">
        <v>45730</v>
      </c>
      <c r="C1040" t="s">
        <v>10</v>
      </c>
      <c r="D1040" t="s">
        <v>29</v>
      </c>
      <c r="E1040" t="s">
        <v>42</v>
      </c>
      <c r="F1040" t="s">
        <v>13</v>
      </c>
      <c r="G1040">
        <v>2</v>
      </c>
      <c r="H1040">
        <v>3.8</v>
      </c>
      <c r="I1040" t="s">
        <v>14</v>
      </c>
      <c r="J1040" t="s">
        <v>684</v>
      </c>
      <c r="K1040" s="12">
        <f>Store_Record[[#This Row],[Qty]]*Store_Record[[#This Row],[UnitPriceGBP]]</f>
        <v>7.6</v>
      </c>
      <c r="L1040" s="5" t="str">
        <f>TEXT(Store_Record[[#This Row],[Date]],"dddd")</f>
        <v>Friday</v>
      </c>
      <c r="M1040" s="5" t="str">
        <f>TEXT(Store_Record[[#This Row],[Date]],"mmmm")</f>
        <v>March</v>
      </c>
      <c r="N1040" s="5">
        <f>YEAR(Store_Record[[#This Row],[Date]])</f>
        <v>2025</v>
      </c>
      <c r="O1040"/>
    </row>
    <row r="1041" spans="1:15" x14ac:dyDescent="0.35">
      <c r="A1041" t="s">
        <v>1709</v>
      </c>
      <c r="B1041" s="2">
        <v>45730</v>
      </c>
      <c r="C1041" t="s">
        <v>36</v>
      </c>
      <c r="D1041" t="s">
        <v>38</v>
      </c>
      <c r="E1041" t="s">
        <v>42</v>
      </c>
      <c r="F1041" t="s">
        <v>13</v>
      </c>
      <c r="G1041">
        <v>2</v>
      </c>
      <c r="H1041">
        <v>3.8</v>
      </c>
      <c r="I1041" t="s">
        <v>14</v>
      </c>
      <c r="J1041" t="s">
        <v>1710</v>
      </c>
      <c r="K1041" s="12">
        <f>Store_Record[[#This Row],[Qty]]*Store_Record[[#This Row],[UnitPriceGBP]]</f>
        <v>7.6</v>
      </c>
      <c r="L1041" s="5" t="str">
        <f>TEXT(Store_Record[[#This Row],[Date]],"dddd")</f>
        <v>Friday</v>
      </c>
      <c r="M1041" s="5" t="str">
        <f>TEXT(Store_Record[[#This Row],[Date]],"mmmm")</f>
        <v>March</v>
      </c>
      <c r="N1041" s="5">
        <f>YEAR(Store_Record[[#This Row],[Date]])</f>
        <v>2025</v>
      </c>
      <c r="O1041"/>
    </row>
    <row r="1042" spans="1:15" x14ac:dyDescent="0.35">
      <c r="A1042" t="s">
        <v>1713</v>
      </c>
      <c r="B1042" s="2">
        <v>45730</v>
      </c>
      <c r="C1042" t="s">
        <v>36</v>
      </c>
      <c r="D1042" t="s">
        <v>11</v>
      </c>
      <c r="E1042" t="s">
        <v>42</v>
      </c>
      <c r="F1042" t="s">
        <v>13</v>
      </c>
      <c r="G1042">
        <v>2</v>
      </c>
      <c r="H1042">
        <v>3.8</v>
      </c>
      <c r="I1042" t="s">
        <v>21</v>
      </c>
      <c r="J1042" t="s">
        <v>1714</v>
      </c>
      <c r="K1042" s="12">
        <f>Store_Record[[#This Row],[Qty]]*Store_Record[[#This Row],[UnitPriceGBP]]</f>
        <v>7.6</v>
      </c>
      <c r="L1042" s="5" t="str">
        <f>TEXT(Store_Record[[#This Row],[Date]],"dddd")</f>
        <v>Friday</v>
      </c>
      <c r="M1042" s="5" t="str">
        <f>TEXT(Store_Record[[#This Row],[Date]],"mmmm")</f>
        <v>March</v>
      </c>
      <c r="N1042" s="5">
        <f>YEAR(Store_Record[[#This Row],[Date]])</f>
        <v>2025</v>
      </c>
      <c r="O1042"/>
    </row>
    <row r="1043" spans="1:15" x14ac:dyDescent="0.35">
      <c r="A1043" t="s">
        <v>1716</v>
      </c>
      <c r="B1043" s="2">
        <v>45730</v>
      </c>
      <c r="C1043" t="s">
        <v>20</v>
      </c>
      <c r="D1043" t="s">
        <v>29</v>
      </c>
      <c r="E1043" t="s">
        <v>26</v>
      </c>
      <c r="F1043" t="s">
        <v>13</v>
      </c>
      <c r="G1043">
        <v>2</v>
      </c>
      <c r="H1043">
        <v>3.5</v>
      </c>
      <c r="I1043" t="s">
        <v>39</v>
      </c>
      <c r="J1043" t="s">
        <v>398</v>
      </c>
      <c r="K1043" s="12">
        <f>Store_Record[[#This Row],[Qty]]*Store_Record[[#This Row],[UnitPriceGBP]]</f>
        <v>7</v>
      </c>
      <c r="L1043" s="5" t="str">
        <f>TEXT(Store_Record[[#This Row],[Date]],"dddd")</f>
        <v>Friday</v>
      </c>
      <c r="M1043" s="5" t="str">
        <f>TEXT(Store_Record[[#This Row],[Date]],"mmmm")</f>
        <v>March</v>
      </c>
      <c r="N1043" s="5">
        <f>YEAR(Store_Record[[#This Row],[Date]])</f>
        <v>2025</v>
      </c>
      <c r="O1043"/>
    </row>
    <row r="1044" spans="1:15" x14ac:dyDescent="0.35">
      <c r="A1044" t="s">
        <v>1711</v>
      </c>
      <c r="B1044" s="2">
        <v>45730</v>
      </c>
      <c r="C1044" t="s">
        <v>36</v>
      </c>
      <c r="D1044" t="s">
        <v>38</v>
      </c>
      <c r="E1044" t="s">
        <v>34</v>
      </c>
      <c r="F1044" t="s">
        <v>31</v>
      </c>
      <c r="G1044">
        <v>2</v>
      </c>
      <c r="H1044">
        <v>2.2000000000000002</v>
      </c>
      <c r="I1044" t="s">
        <v>21</v>
      </c>
      <c r="J1044" t="s">
        <v>1712</v>
      </c>
      <c r="K1044" s="12">
        <f>Store_Record[[#This Row],[Qty]]*Store_Record[[#This Row],[UnitPriceGBP]]</f>
        <v>4.4000000000000004</v>
      </c>
      <c r="L1044" s="5" t="str">
        <f>TEXT(Store_Record[[#This Row],[Date]],"dddd")</f>
        <v>Friday</v>
      </c>
      <c r="M1044" s="5" t="str">
        <f>TEXT(Store_Record[[#This Row],[Date]],"mmmm")</f>
        <v>March</v>
      </c>
      <c r="N1044" s="5">
        <f>YEAR(Store_Record[[#This Row],[Date]])</f>
        <v>2025</v>
      </c>
      <c r="O1044"/>
    </row>
    <row r="1045" spans="1:15" x14ac:dyDescent="0.35">
      <c r="A1045" t="s">
        <v>1699</v>
      </c>
      <c r="B1045" s="2">
        <v>45730</v>
      </c>
      <c r="C1045" t="s">
        <v>36</v>
      </c>
      <c r="D1045" t="s">
        <v>47</v>
      </c>
      <c r="E1045" t="s">
        <v>42</v>
      </c>
      <c r="F1045" t="s">
        <v>13</v>
      </c>
      <c r="G1045">
        <v>1</v>
      </c>
      <c r="H1045">
        <v>3.8</v>
      </c>
      <c r="I1045" t="s">
        <v>14</v>
      </c>
      <c r="J1045" t="s">
        <v>1700</v>
      </c>
      <c r="K1045" s="12">
        <f>Store_Record[[#This Row],[Qty]]*Store_Record[[#This Row],[UnitPriceGBP]]</f>
        <v>3.8</v>
      </c>
      <c r="L1045" s="5" t="str">
        <f>TEXT(Store_Record[[#This Row],[Date]],"dddd")</f>
        <v>Friday</v>
      </c>
      <c r="M1045" s="5" t="str">
        <f>TEXT(Store_Record[[#This Row],[Date]],"mmmm")</f>
        <v>March</v>
      </c>
      <c r="N1045" s="5">
        <f>YEAR(Store_Record[[#This Row],[Date]])</f>
        <v>2025</v>
      </c>
      <c r="O1045"/>
    </row>
    <row r="1046" spans="1:15" x14ac:dyDescent="0.35">
      <c r="A1046" t="s">
        <v>1704</v>
      </c>
      <c r="B1046" s="2">
        <v>45730</v>
      </c>
      <c r="C1046" t="s">
        <v>24</v>
      </c>
      <c r="D1046" t="s">
        <v>29</v>
      </c>
      <c r="E1046" t="s">
        <v>12</v>
      </c>
      <c r="F1046" t="s">
        <v>13</v>
      </c>
      <c r="G1046">
        <v>1</v>
      </c>
      <c r="H1046">
        <v>2.5</v>
      </c>
      <c r="I1046" t="s">
        <v>39</v>
      </c>
      <c r="J1046" t="s">
        <v>1705</v>
      </c>
      <c r="K1046" s="12">
        <f>Store_Record[[#This Row],[Qty]]*Store_Record[[#This Row],[UnitPriceGBP]]</f>
        <v>2.5</v>
      </c>
      <c r="L1046" s="5" t="str">
        <f>TEXT(Store_Record[[#This Row],[Date]],"dddd")</f>
        <v>Friday</v>
      </c>
      <c r="M1046" s="5" t="str">
        <f>TEXT(Store_Record[[#This Row],[Date]],"mmmm")</f>
        <v>March</v>
      </c>
      <c r="N1046" s="5">
        <f>YEAR(Store_Record[[#This Row],[Date]])</f>
        <v>2025</v>
      </c>
      <c r="O1046"/>
    </row>
    <row r="1047" spans="1:15" x14ac:dyDescent="0.35">
      <c r="A1047" t="s">
        <v>1729</v>
      </c>
      <c r="B1047" s="2">
        <v>45731</v>
      </c>
      <c r="C1047" t="s">
        <v>24</v>
      </c>
      <c r="D1047" t="s">
        <v>11</v>
      </c>
      <c r="E1047" t="s">
        <v>42</v>
      </c>
      <c r="F1047" t="s">
        <v>13</v>
      </c>
      <c r="G1047">
        <v>5</v>
      </c>
      <c r="H1047">
        <v>3.8</v>
      </c>
      <c r="I1047" t="s">
        <v>39</v>
      </c>
      <c r="J1047" t="s">
        <v>869</v>
      </c>
      <c r="K1047" s="12">
        <f>Store_Record[[#This Row],[Qty]]*Store_Record[[#This Row],[UnitPriceGBP]]</f>
        <v>19</v>
      </c>
      <c r="L1047" s="5" t="str">
        <f>TEXT(Store_Record[[#This Row],[Date]],"dddd")</f>
        <v>Saturday</v>
      </c>
      <c r="M1047" s="5" t="str">
        <f>TEXT(Store_Record[[#This Row],[Date]],"mmmm")</f>
        <v>March</v>
      </c>
      <c r="N1047" s="5">
        <f>YEAR(Store_Record[[#This Row],[Date]])</f>
        <v>2025</v>
      </c>
      <c r="O1047"/>
    </row>
    <row r="1048" spans="1:15" x14ac:dyDescent="0.35">
      <c r="A1048" t="s">
        <v>1728</v>
      </c>
      <c r="B1048" s="2">
        <v>45731</v>
      </c>
      <c r="C1048" t="s">
        <v>20</v>
      </c>
      <c r="D1048" t="s">
        <v>38</v>
      </c>
      <c r="E1048" t="s">
        <v>42</v>
      </c>
      <c r="F1048" t="s">
        <v>13</v>
      </c>
      <c r="G1048">
        <v>4</v>
      </c>
      <c r="H1048">
        <v>3.8</v>
      </c>
      <c r="I1048" t="s">
        <v>14</v>
      </c>
      <c r="J1048" t="s">
        <v>936</v>
      </c>
      <c r="K1048" s="12">
        <f>Store_Record[[#This Row],[Qty]]*Store_Record[[#This Row],[UnitPriceGBP]]</f>
        <v>15.2</v>
      </c>
      <c r="L1048" s="5" t="str">
        <f>TEXT(Store_Record[[#This Row],[Date]],"dddd")</f>
        <v>Saturday</v>
      </c>
      <c r="M1048" s="5" t="str">
        <f>TEXT(Store_Record[[#This Row],[Date]],"mmmm")</f>
        <v>March</v>
      </c>
      <c r="N1048" s="5">
        <f>YEAR(Store_Record[[#This Row],[Date]])</f>
        <v>2025</v>
      </c>
      <c r="O1048"/>
    </row>
    <row r="1049" spans="1:15" x14ac:dyDescent="0.35">
      <c r="A1049" t="s">
        <v>1722</v>
      </c>
      <c r="B1049" s="2">
        <v>45731</v>
      </c>
      <c r="C1049" t="s">
        <v>24</v>
      </c>
      <c r="D1049" t="s">
        <v>47</v>
      </c>
      <c r="E1049" t="s">
        <v>30</v>
      </c>
      <c r="F1049" t="s">
        <v>31</v>
      </c>
      <c r="G1049">
        <v>4</v>
      </c>
      <c r="H1049">
        <v>2.8</v>
      </c>
      <c r="I1049" t="s">
        <v>39</v>
      </c>
      <c r="J1049" t="s">
        <v>123</v>
      </c>
      <c r="K1049" s="12">
        <f>Store_Record[[#This Row],[Qty]]*Store_Record[[#This Row],[UnitPriceGBP]]</f>
        <v>11.2</v>
      </c>
      <c r="L1049" s="5" t="str">
        <f>TEXT(Store_Record[[#This Row],[Date]],"dddd")</f>
        <v>Saturday</v>
      </c>
      <c r="M1049" s="5" t="str">
        <f>TEXT(Store_Record[[#This Row],[Date]],"mmmm")</f>
        <v>March</v>
      </c>
      <c r="N1049" s="5">
        <f>YEAR(Store_Record[[#This Row],[Date]])</f>
        <v>2025</v>
      </c>
      <c r="O1049"/>
    </row>
    <row r="1050" spans="1:15" x14ac:dyDescent="0.35">
      <c r="A1050" t="s">
        <v>1723</v>
      </c>
      <c r="B1050" s="2">
        <v>45731</v>
      </c>
      <c r="C1050" t="s">
        <v>10</v>
      </c>
      <c r="D1050" t="s">
        <v>47</v>
      </c>
      <c r="E1050" t="s">
        <v>34</v>
      </c>
      <c r="F1050" t="s">
        <v>31</v>
      </c>
      <c r="G1050">
        <v>4</v>
      </c>
      <c r="H1050">
        <v>2.2000000000000002</v>
      </c>
      <c r="I1050" t="s">
        <v>21</v>
      </c>
      <c r="J1050" t="s">
        <v>686</v>
      </c>
      <c r="K1050" s="12">
        <f>Store_Record[[#This Row],[Qty]]*Store_Record[[#This Row],[UnitPriceGBP]]</f>
        <v>8.8000000000000007</v>
      </c>
      <c r="L1050" s="5" t="str">
        <f>TEXT(Store_Record[[#This Row],[Date]],"dddd")</f>
        <v>Saturday</v>
      </c>
      <c r="M1050" s="5" t="str">
        <f>TEXT(Store_Record[[#This Row],[Date]],"mmmm")</f>
        <v>March</v>
      </c>
      <c r="N1050" s="5">
        <f>YEAR(Store_Record[[#This Row],[Date]])</f>
        <v>2025</v>
      </c>
      <c r="O1050"/>
    </row>
    <row r="1051" spans="1:15" x14ac:dyDescent="0.35">
      <c r="A1051" t="s">
        <v>1724</v>
      </c>
      <c r="B1051" s="2">
        <v>45731</v>
      </c>
      <c r="C1051" t="s">
        <v>24</v>
      </c>
      <c r="D1051" t="s">
        <v>25</v>
      </c>
      <c r="E1051" t="s">
        <v>34</v>
      </c>
      <c r="F1051" t="s">
        <v>31</v>
      </c>
      <c r="G1051">
        <v>4</v>
      </c>
      <c r="H1051">
        <v>2.2000000000000002</v>
      </c>
      <c r="I1051" t="s">
        <v>39</v>
      </c>
      <c r="J1051" t="s">
        <v>1725</v>
      </c>
      <c r="K1051" s="12">
        <f>Store_Record[[#This Row],[Qty]]*Store_Record[[#This Row],[UnitPriceGBP]]</f>
        <v>8.8000000000000007</v>
      </c>
      <c r="L1051" s="5" t="str">
        <f>TEXT(Store_Record[[#This Row],[Date]],"dddd")</f>
        <v>Saturday</v>
      </c>
      <c r="M1051" s="5" t="str">
        <f>TEXT(Store_Record[[#This Row],[Date]],"mmmm")</f>
        <v>March</v>
      </c>
      <c r="N1051" s="5">
        <f>YEAR(Store_Record[[#This Row],[Date]])</f>
        <v>2025</v>
      </c>
      <c r="O1051"/>
    </row>
    <row r="1052" spans="1:15" x14ac:dyDescent="0.35">
      <c r="A1052" t="s">
        <v>1726</v>
      </c>
      <c r="B1052" s="2">
        <v>45731</v>
      </c>
      <c r="C1052" t="s">
        <v>20</v>
      </c>
      <c r="D1052" t="s">
        <v>11</v>
      </c>
      <c r="E1052" t="s">
        <v>42</v>
      </c>
      <c r="F1052" t="s">
        <v>13</v>
      </c>
      <c r="G1052">
        <v>2</v>
      </c>
      <c r="H1052">
        <v>3.8</v>
      </c>
      <c r="I1052" t="s">
        <v>21</v>
      </c>
      <c r="J1052" t="s">
        <v>1632</v>
      </c>
      <c r="K1052" s="12">
        <f>Store_Record[[#This Row],[Qty]]*Store_Record[[#This Row],[UnitPriceGBP]]</f>
        <v>7.6</v>
      </c>
      <c r="L1052" s="5" t="str">
        <f>TEXT(Store_Record[[#This Row],[Date]],"dddd")</f>
        <v>Saturday</v>
      </c>
      <c r="M1052" s="5" t="str">
        <f>TEXT(Store_Record[[#This Row],[Date]],"mmmm")</f>
        <v>March</v>
      </c>
      <c r="N1052" s="5">
        <f>YEAR(Store_Record[[#This Row],[Date]])</f>
        <v>2025</v>
      </c>
      <c r="O1052"/>
    </row>
    <row r="1053" spans="1:15" x14ac:dyDescent="0.35">
      <c r="A1053" t="s">
        <v>1720</v>
      </c>
      <c r="B1053" s="2">
        <v>45731</v>
      </c>
      <c r="C1053" t="s">
        <v>36</v>
      </c>
      <c r="D1053" t="s">
        <v>47</v>
      </c>
      <c r="E1053" t="s">
        <v>30</v>
      </c>
      <c r="F1053" t="s">
        <v>31</v>
      </c>
      <c r="G1053">
        <v>2</v>
      </c>
      <c r="H1053">
        <v>2.8</v>
      </c>
      <c r="I1053" t="s">
        <v>39</v>
      </c>
      <c r="J1053" t="s">
        <v>1721</v>
      </c>
      <c r="K1053" s="12">
        <f>Store_Record[[#This Row],[Qty]]*Store_Record[[#This Row],[UnitPriceGBP]]</f>
        <v>5.6</v>
      </c>
      <c r="L1053" s="5" t="str">
        <f>TEXT(Store_Record[[#This Row],[Date]],"dddd")</f>
        <v>Saturday</v>
      </c>
      <c r="M1053" s="5" t="str">
        <f>TEXT(Store_Record[[#This Row],[Date]],"mmmm")</f>
        <v>March</v>
      </c>
      <c r="N1053" s="5">
        <f>YEAR(Store_Record[[#This Row],[Date]])</f>
        <v>2025</v>
      </c>
      <c r="O1053"/>
    </row>
    <row r="1054" spans="1:15" x14ac:dyDescent="0.35">
      <c r="A1054" t="s">
        <v>1727</v>
      </c>
      <c r="B1054" s="2">
        <v>45731</v>
      </c>
      <c r="C1054" t="s">
        <v>20</v>
      </c>
      <c r="D1054" t="s">
        <v>29</v>
      </c>
      <c r="E1054" t="s">
        <v>12</v>
      </c>
      <c r="F1054" t="s">
        <v>13</v>
      </c>
      <c r="G1054">
        <v>2</v>
      </c>
      <c r="H1054">
        <v>2.5</v>
      </c>
      <c r="I1054" t="s">
        <v>21</v>
      </c>
      <c r="J1054" t="s">
        <v>1007</v>
      </c>
      <c r="K1054" s="12">
        <f>Store_Record[[#This Row],[Qty]]*Store_Record[[#This Row],[UnitPriceGBP]]</f>
        <v>5</v>
      </c>
      <c r="L1054" s="5" t="str">
        <f>TEXT(Store_Record[[#This Row],[Date]],"dddd")</f>
        <v>Saturday</v>
      </c>
      <c r="M1054" s="5" t="str">
        <f>TEXT(Store_Record[[#This Row],[Date]],"mmmm")</f>
        <v>March</v>
      </c>
      <c r="N1054" s="5">
        <f>YEAR(Store_Record[[#This Row],[Date]])</f>
        <v>2025</v>
      </c>
      <c r="O1054"/>
    </row>
    <row r="1055" spans="1:15" x14ac:dyDescent="0.35">
      <c r="A1055" t="s">
        <v>1730</v>
      </c>
      <c r="B1055" s="2">
        <v>45731</v>
      </c>
      <c r="C1055" t="s">
        <v>20</v>
      </c>
      <c r="D1055" t="s">
        <v>47</v>
      </c>
      <c r="E1055" t="s">
        <v>30</v>
      </c>
      <c r="F1055" t="s">
        <v>31</v>
      </c>
      <c r="G1055">
        <v>1</v>
      </c>
      <c r="H1055">
        <v>2.8</v>
      </c>
      <c r="I1055" t="s">
        <v>21</v>
      </c>
      <c r="J1055" t="s">
        <v>1731</v>
      </c>
      <c r="K1055" s="12">
        <f>Store_Record[[#This Row],[Qty]]*Store_Record[[#This Row],[UnitPriceGBP]]</f>
        <v>2.8</v>
      </c>
      <c r="L1055" s="5" t="str">
        <f>TEXT(Store_Record[[#This Row],[Date]],"dddd")</f>
        <v>Saturday</v>
      </c>
      <c r="M1055" s="5" t="str">
        <f>TEXT(Store_Record[[#This Row],[Date]],"mmmm")</f>
        <v>March</v>
      </c>
      <c r="N1055" s="5">
        <f>YEAR(Store_Record[[#This Row],[Date]])</f>
        <v>2025</v>
      </c>
      <c r="O1055"/>
    </row>
    <row r="1056" spans="1:15" x14ac:dyDescent="0.35">
      <c r="A1056" t="s">
        <v>1719</v>
      </c>
      <c r="B1056" s="2">
        <v>45731</v>
      </c>
      <c r="C1056" t="s">
        <v>24</v>
      </c>
      <c r="D1056" t="s">
        <v>38</v>
      </c>
      <c r="E1056" t="s">
        <v>12</v>
      </c>
      <c r="F1056" t="s">
        <v>13</v>
      </c>
      <c r="G1056">
        <v>1</v>
      </c>
      <c r="H1056">
        <v>2.5</v>
      </c>
      <c r="I1056" t="s">
        <v>39</v>
      </c>
      <c r="J1056" t="s">
        <v>840</v>
      </c>
      <c r="K1056" s="12">
        <f>Store_Record[[#This Row],[Qty]]*Store_Record[[#This Row],[UnitPriceGBP]]</f>
        <v>2.5</v>
      </c>
      <c r="L1056" s="5" t="str">
        <f>TEXT(Store_Record[[#This Row],[Date]],"dddd")</f>
        <v>Saturday</v>
      </c>
      <c r="M1056" s="5" t="str">
        <f>TEXT(Store_Record[[#This Row],[Date]],"mmmm")</f>
        <v>March</v>
      </c>
      <c r="N1056" s="5">
        <f>YEAR(Store_Record[[#This Row],[Date]])</f>
        <v>2025</v>
      </c>
      <c r="O1056"/>
    </row>
    <row r="1057" spans="1:15" x14ac:dyDescent="0.35">
      <c r="A1057" t="s">
        <v>1738</v>
      </c>
      <c r="B1057" s="2">
        <v>45732</v>
      </c>
      <c r="C1057" t="s">
        <v>10</v>
      </c>
      <c r="D1057" t="s">
        <v>11</v>
      </c>
      <c r="E1057" t="s">
        <v>26</v>
      </c>
      <c r="F1057" t="s">
        <v>13</v>
      </c>
      <c r="G1057">
        <v>4</v>
      </c>
      <c r="H1057">
        <v>3.5</v>
      </c>
      <c r="I1057" t="s">
        <v>14</v>
      </c>
      <c r="J1057" t="s">
        <v>1132</v>
      </c>
      <c r="K1057" s="12">
        <f>Store_Record[[#This Row],[Qty]]*Store_Record[[#This Row],[UnitPriceGBP]]</f>
        <v>14</v>
      </c>
      <c r="L1057" s="5" t="str">
        <f>TEXT(Store_Record[[#This Row],[Date]],"dddd")</f>
        <v>Sunday</v>
      </c>
      <c r="M1057" s="5" t="str">
        <f>TEXT(Store_Record[[#This Row],[Date]],"mmmm")</f>
        <v>March</v>
      </c>
      <c r="N1057" s="5">
        <f>YEAR(Store_Record[[#This Row],[Date]])</f>
        <v>2025</v>
      </c>
      <c r="O1057"/>
    </row>
    <row r="1058" spans="1:15" x14ac:dyDescent="0.35">
      <c r="A1058" t="s">
        <v>1732</v>
      </c>
      <c r="B1058" s="2">
        <v>45732</v>
      </c>
      <c r="C1058" t="s">
        <v>24</v>
      </c>
      <c r="D1058" t="s">
        <v>29</v>
      </c>
      <c r="E1058" t="s">
        <v>26</v>
      </c>
      <c r="F1058" t="s">
        <v>13</v>
      </c>
      <c r="G1058">
        <v>3</v>
      </c>
      <c r="H1058">
        <v>3.5</v>
      </c>
      <c r="I1058" t="s">
        <v>14</v>
      </c>
      <c r="J1058" t="s">
        <v>1408</v>
      </c>
      <c r="K1058" s="12">
        <f>Store_Record[[#This Row],[Qty]]*Store_Record[[#This Row],[UnitPriceGBP]]</f>
        <v>10.5</v>
      </c>
      <c r="L1058" s="5" t="str">
        <f>TEXT(Store_Record[[#This Row],[Date]],"dddd")</f>
        <v>Sunday</v>
      </c>
      <c r="M1058" s="5" t="str">
        <f>TEXT(Store_Record[[#This Row],[Date]],"mmmm")</f>
        <v>March</v>
      </c>
      <c r="N1058" s="5">
        <f>YEAR(Store_Record[[#This Row],[Date]])</f>
        <v>2025</v>
      </c>
      <c r="O1058"/>
    </row>
    <row r="1059" spans="1:15" x14ac:dyDescent="0.35">
      <c r="A1059" t="s">
        <v>1739</v>
      </c>
      <c r="B1059" s="2">
        <v>45732</v>
      </c>
      <c r="C1059" t="s">
        <v>24</v>
      </c>
      <c r="D1059" t="s">
        <v>29</v>
      </c>
      <c r="E1059" t="s">
        <v>26</v>
      </c>
      <c r="F1059" t="s">
        <v>13</v>
      </c>
      <c r="G1059">
        <v>3</v>
      </c>
      <c r="H1059">
        <v>3.5</v>
      </c>
      <c r="I1059" t="s">
        <v>21</v>
      </c>
      <c r="J1059" t="s">
        <v>165</v>
      </c>
      <c r="K1059" s="12">
        <f>Store_Record[[#This Row],[Qty]]*Store_Record[[#This Row],[UnitPriceGBP]]</f>
        <v>10.5</v>
      </c>
      <c r="L1059" s="5" t="str">
        <f>TEXT(Store_Record[[#This Row],[Date]],"dddd")</f>
        <v>Sunday</v>
      </c>
      <c r="M1059" s="5" t="str">
        <f>TEXT(Store_Record[[#This Row],[Date]],"mmmm")</f>
        <v>March</v>
      </c>
      <c r="N1059" s="5">
        <f>YEAR(Store_Record[[#This Row],[Date]])</f>
        <v>2025</v>
      </c>
      <c r="O1059"/>
    </row>
    <row r="1060" spans="1:15" x14ac:dyDescent="0.35">
      <c r="A1060" t="s">
        <v>1736</v>
      </c>
      <c r="B1060" s="2">
        <v>45732</v>
      </c>
      <c r="C1060" t="s">
        <v>10</v>
      </c>
      <c r="D1060" t="s">
        <v>38</v>
      </c>
      <c r="E1060" t="s">
        <v>30</v>
      </c>
      <c r="F1060" t="s">
        <v>31</v>
      </c>
      <c r="G1060">
        <v>3</v>
      </c>
      <c r="H1060">
        <v>2.8</v>
      </c>
      <c r="I1060" t="s">
        <v>14</v>
      </c>
      <c r="J1060" t="s">
        <v>1737</v>
      </c>
      <c r="K1060" s="12">
        <f>Store_Record[[#This Row],[Qty]]*Store_Record[[#This Row],[UnitPriceGBP]]</f>
        <v>8.3999999999999986</v>
      </c>
      <c r="L1060" s="5" t="str">
        <f>TEXT(Store_Record[[#This Row],[Date]],"dddd")</f>
        <v>Sunday</v>
      </c>
      <c r="M1060" s="5" t="str">
        <f>TEXT(Store_Record[[#This Row],[Date]],"mmmm")</f>
        <v>March</v>
      </c>
      <c r="N1060" s="5">
        <f>YEAR(Store_Record[[#This Row],[Date]])</f>
        <v>2025</v>
      </c>
      <c r="O1060"/>
    </row>
    <row r="1061" spans="1:15" x14ac:dyDescent="0.35">
      <c r="A1061" t="s">
        <v>1733</v>
      </c>
      <c r="B1061" s="2">
        <v>45732</v>
      </c>
      <c r="C1061" t="s">
        <v>36</v>
      </c>
      <c r="D1061" t="s">
        <v>47</v>
      </c>
      <c r="E1061" t="s">
        <v>30</v>
      </c>
      <c r="F1061" t="s">
        <v>31</v>
      </c>
      <c r="G1061">
        <v>2</v>
      </c>
      <c r="H1061">
        <v>2.8</v>
      </c>
      <c r="I1061" t="s">
        <v>21</v>
      </c>
      <c r="J1061" t="s">
        <v>1734</v>
      </c>
      <c r="K1061" s="12">
        <f>Store_Record[[#This Row],[Qty]]*Store_Record[[#This Row],[UnitPriceGBP]]</f>
        <v>5.6</v>
      </c>
      <c r="L1061" s="5" t="str">
        <f>TEXT(Store_Record[[#This Row],[Date]],"dddd")</f>
        <v>Sunday</v>
      </c>
      <c r="M1061" s="5" t="str">
        <f>TEXT(Store_Record[[#This Row],[Date]],"mmmm")</f>
        <v>March</v>
      </c>
      <c r="N1061" s="5">
        <f>YEAR(Store_Record[[#This Row],[Date]])</f>
        <v>2025</v>
      </c>
      <c r="O1061"/>
    </row>
    <row r="1062" spans="1:15" x14ac:dyDescent="0.35">
      <c r="A1062" t="s">
        <v>1742</v>
      </c>
      <c r="B1062" s="2">
        <v>45732</v>
      </c>
      <c r="C1062" t="s">
        <v>24</v>
      </c>
      <c r="D1062" t="s">
        <v>47</v>
      </c>
      <c r="E1062" t="s">
        <v>30</v>
      </c>
      <c r="F1062" t="s">
        <v>31</v>
      </c>
      <c r="G1062">
        <v>2</v>
      </c>
      <c r="H1062">
        <v>2.8</v>
      </c>
      <c r="I1062" t="s">
        <v>39</v>
      </c>
      <c r="J1062" t="s">
        <v>1743</v>
      </c>
      <c r="K1062" s="12">
        <f>Store_Record[[#This Row],[Qty]]*Store_Record[[#This Row],[UnitPriceGBP]]</f>
        <v>5.6</v>
      </c>
      <c r="L1062" s="5" t="str">
        <f>TEXT(Store_Record[[#This Row],[Date]],"dddd")</f>
        <v>Sunday</v>
      </c>
      <c r="M1062" s="5" t="str">
        <f>TEXT(Store_Record[[#This Row],[Date]],"mmmm")</f>
        <v>March</v>
      </c>
      <c r="N1062" s="5">
        <f>YEAR(Store_Record[[#This Row],[Date]])</f>
        <v>2025</v>
      </c>
      <c r="O1062"/>
    </row>
    <row r="1063" spans="1:15" x14ac:dyDescent="0.35">
      <c r="A1063" t="s">
        <v>1735</v>
      </c>
      <c r="B1063" s="2">
        <v>45732</v>
      </c>
      <c r="C1063" t="s">
        <v>36</v>
      </c>
      <c r="D1063" t="s">
        <v>29</v>
      </c>
      <c r="E1063" t="s">
        <v>12</v>
      </c>
      <c r="F1063" t="s">
        <v>13</v>
      </c>
      <c r="G1063">
        <v>2</v>
      </c>
      <c r="H1063">
        <v>2.5</v>
      </c>
      <c r="I1063" t="s">
        <v>21</v>
      </c>
      <c r="J1063" t="s">
        <v>675</v>
      </c>
      <c r="K1063" s="12">
        <f>Store_Record[[#This Row],[Qty]]*Store_Record[[#This Row],[UnitPriceGBP]]</f>
        <v>5</v>
      </c>
      <c r="L1063" s="5" t="str">
        <f>TEXT(Store_Record[[#This Row],[Date]],"dddd")</f>
        <v>Sunday</v>
      </c>
      <c r="M1063" s="5" t="str">
        <f>TEXT(Store_Record[[#This Row],[Date]],"mmmm")</f>
        <v>March</v>
      </c>
      <c r="N1063" s="5">
        <f>YEAR(Store_Record[[#This Row],[Date]])</f>
        <v>2025</v>
      </c>
      <c r="O1063"/>
    </row>
    <row r="1064" spans="1:15" x14ac:dyDescent="0.35">
      <c r="A1064" t="s">
        <v>1740</v>
      </c>
      <c r="B1064" s="2">
        <v>45732</v>
      </c>
      <c r="C1064" t="s">
        <v>24</v>
      </c>
      <c r="D1064" t="s">
        <v>38</v>
      </c>
      <c r="E1064" t="s">
        <v>30</v>
      </c>
      <c r="F1064" t="s">
        <v>31</v>
      </c>
      <c r="G1064">
        <v>1</v>
      </c>
      <c r="H1064">
        <v>2.8</v>
      </c>
      <c r="I1064" t="s">
        <v>21</v>
      </c>
      <c r="J1064" t="s">
        <v>1741</v>
      </c>
      <c r="K1064" s="12">
        <f>Store_Record[[#This Row],[Qty]]*Store_Record[[#This Row],[UnitPriceGBP]]</f>
        <v>2.8</v>
      </c>
      <c r="L1064" s="5" t="str">
        <f>TEXT(Store_Record[[#This Row],[Date]],"dddd")</f>
        <v>Sunday</v>
      </c>
      <c r="M1064" s="5" t="str">
        <f>TEXT(Store_Record[[#This Row],[Date]],"mmmm")</f>
        <v>March</v>
      </c>
      <c r="N1064" s="5">
        <f>YEAR(Store_Record[[#This Row],[Date]])</f>
        <v>2025</v>
      </c>
      <c r="O1064"/>
    </row>
    <row r="1065" spans="1:15" x14ac:dyDescent="0.35">
      <c r="A1065" t="s">
        <v>1744</v>
      </c>
      <c r="B1065" s="2">
        <v>45733</v>
      </c>
      <c r="C1065" t="s">
        <v>36</v>
      </c>
      <c r="D1065" t="s">
        <v>25</v>
      </c>
      <c r="E1065" t="s">
        <v>30</v>
      </c>
      <c r="F1065" t="s">
        <v>31</v>
      </c>
      <c r="G1065">
        <v>5</v>
      </c>
      <c r="H1065">
        <v>2.8</v>
      </c>
      <c r="I1065" t="s">
        <v>39</v>
      </c>
      <c r="J1065" t="s">
        <v>767</v>
      </c>
      <c r="K1065" s="12">
        <f>Store_Record[[#This Row],[Qty]]*Store_Record[[#This Row],[UnitPriceGBP]]</f>
        <v>14</v>
      </c>
      <c r="L1065" s="5" t="str">
        <f>TEXT(Store_Record[[#This Row],[Date]],"dddd")</f>
        <v>Monday</v>
      </c>
      <c r="M1065" s="5" t="str">
        <f>TEXT(Store_Record[[#This Row],[Date]],"mmmm")</f>
        <v>March</v>
      </c>
      <c r="N1065" s="5">
        <f>YEAR(Store_Record[[#This Row],[Date]])</f>
        <v>2025</v>
      </c>
      <c r="O1065"/>
    </row>
    <row r="1066" spans="1:15" x14ac:dyDescent="0.35">
      <c r="A1066" t="s">
        <v>1747</v>
      </c>
      <c r="B1066" s="2">
        <v>45733</v>
      </c>
      <c r="C1066" t="s">
        <v>36</v>
      </c>
      <c r="D1066" t="s">
        <v>47</v>
      </c>
      <c r="E1066" t="s">
        <v>12</v>
      </c>
      <c r="F1066" t="s">
        <v>13</v>
      </c>
      <c r="G1066">
        <v>5</v>
      </c>
      <c r="H1066">
        <v>2.5</v>
      </c>
      <c r="I1066" t="s">
        <v>21</v>
      </c>
      <c r="J1066" t="s">
        <v>513</v>
      </c>
      <c r="K1066" s="12">
        <f>Store_Record[[#This Row],[Qty]]*Store_Record[[#This Row],[UnitPriceGBP]]</f>
        <v>12.5</v>
      </c>
      <c r="L1066" s="5" t="str">
        <f>TEXT(Store_Record[[#This Row],[Date]],"dddd")</f>
        <v>Monday</v>
      </c>
      <c r="M1066" s="5" t="str">
        <f>TEXT(Store_Record[[#This Row],[Date]],"mmmm")</f>
        <v>March</v>
      </c>
      <c r="N1066" s="5">
        <f>YEAR(Store_Record[[#This Row],[Date]])</f>
        <v>2025</v>
      </c>
      <c r="O1066"/>
    </row>
    <row r="1067" spans="1:15" x14ac:dyDescent="0.35">
      <c r="A1067" t="s">
        <v>1757</v>
      </c>
      <c r="B1067" s="2">
        <v>45733</v>
      </c>
      <c r="C1067" t="s">
        <v>24</v>
      </c>
      <c r="D1067" t="s">
        <v>47</v>
      </c>
      <c r="E1067" t="s">
        <v>34</v>
      </c>
      <c r="F1067" t="s">
        <v>31</v>
      </c>
      <c r="G1067">
        <v>5</v>
      </c>
      <c r="H1067">
        <v>2.2000000000000002</v>
      </c>
      <c r="I1067" t="s">
        <v>21</v>
      </c>
      <c r="J1067" t="s">
        <v>1445</v>
      </c>
      <c r="K1067" s="12">
        <f>Store_Record[[#This Row],[Qty]]*Store_Record[[#This Row],[UnitPriceGBP]]</f>
        <v>11</v>
      </c>
      <c r="L1067" s="5" t="str">
        <f>TEXT(Store_Record[[#This Row],[Date]],"dddd")</f>
        <v>Monday</v>
      </c>
      <c r="M1067" s="5" t="str">
        <f>TEXT(Store_Record[[#This Row],[Date]],"mmmm")</f>
        <v>March</v>
      </c>
      <c r="N1067" s="5">
        <f>YEAR(Store_Record[[#This Row],[Date]])</f>
        <v>2025</v>
      </c>
      <c r="O1067"/>
    </row>
    <row r="1068" spans="1:15" x14ac:dyDescent="0.35">
      <c r="A1068" t="s">
        <v>1758</v>
      </c>
      <c r="B1068" s="2">
        <v>45733</v>
      </c>
      <c r="C1068" t="s">
        <v>24</v>
      </c>
      <c r="D1068" t="s">
        <v>47</v>
      </c>
      <c r="E1068" t="s">
        <v>34</v>
      </c>
      <c r="F1068" t="s">
        <v>31</v>
      </c>
      <c r="G1068">
        <v>5</v>
      </c>
      <c r="H1068">
        <v>2.2000000000000002</v>
      </c>
      <c r="I1068" t="s">
        <v>39</v>
      </c>
      <c r="J1068" t="s">
        <v>990</v>
      </c>
      <c r="K1068" s="12">
        <f>Store_Record[[#This Row],[Qty]]*Store_Record[[#This Row],[UnitPriceGBP]]</f>
        <v>11</v>
      </c>
      <c r="L1068" s="5" t="str">
        <f>TEXT(Store_Record[[#This Row],[Date]],"dddd")</f>
        <v>Monday</v>
      </c>
      <c r="M1068" s="5" t="str">
        <f>TEXT(Store_Record[[#This Row],[Date]],"mmmm")</f>
        <v>March</v>
      </c>
      <c r="N1068" s="5">
        <f>YEAR(Store_Record[[#This Row],[Date]])</f>
        <v>2025</v>
      </c>
      <c r="O1068"/>
    </row>
    <row r="1069" spans="1:15" x14ac:dyDescent="0.35">
      <c r="A1069" t="s">
        <v>1754</v>
      </c>
      <c r="B1069" s="2">
        <v>45733</v>
      </c>
      <c r="C1069" t="s">
        <v>10</v>
      </c>
      <c r="D1069" t="s">
        <v>11</v>
      </c>
      <c r="E1069" t="s">
        <v>12</v>
      </c>
      <c r="F1069" t="s">
        <v>13</v>
      </c>
      <c r="G1069">
        <v>3</v>
      </c>
      <c r="H1069">
        <v>2.5</v>
      </c>
      <c r="I1069" t="s">
        <v>39</v>
      </c>
      <c r="J1069" t="s">
        <v>1755</v>
      </c>
      <c r="K1069" s="12">
        <f>Store_Record[[#This Row],[Qty]]*Store_Record[[#This Row],[UnitPriceGBP]]</f>
        <v>7.5</v>
      </c>
      <c r="L1069" s="5" t="str">
        <f>TEXT(Store_Record[[#This Row],[Date]],"dddd")</f>
        <v>Monday</v>
      </c>
      <c r="M1069" s="5" t="str">
        <f>TEXT(Store_Record[[#This Row],[Date]],"mmmm")</f>
        <v>March</v>
      </c>
      <c r="N1069" s="5">
        <f>YEAR(Store_Record[[#This Row],[Date]])</f>
        <v>2025</v>
      </c>
      <c r="O1069"/>
    </row>
    <row r="1070" spans="1:15" x14ac:dyDescent="0.35">
      <c r="A1070" t="s">
        <v>1756</v>
      </c>
      <c r="B1070" s="2">
        <v>45733</v>
      </c>
      <c r="C1070" t="s">
        <v>36</v>
      </c>
      <c r="D1070" t="s">
        <v>38</v>
      </c>
      <c r="E1070" t="s">
        <v>26</v>
      </c>
      <c r="F1070" t="s">
        <v>13</v>
      </c>
      <c r="G1070">
        <v>2</v>
      </c>
      <c r="H1070">
        <v>3.5</v>
      </c>
      <c r="I1070" t="s">
        <v>39</v>
      </c>
      <c r="J1070" t="s">
        <v>91</v>
      </c>
      <c r="K1070" s="12">
        <f>Store_Record[[#This Row],[Qty]]*Store_Record[[#This Row],[UnitPriceGBP]]</f>
        <v>7</v>
      </c>
      <c r="L1070" s="5" t="str">
        <f>TEXT(Store_Record[[#This Row],[Date]],"dddd")</f>
        <v>Monday</v>
      </c>
      <c r="M1070" s="5" t="str">
        <f>TEXT(Store_Record[[#This Row],[Date]],"mmmm")</f>
        <v>March</v>
      </c>
      <c r="N1070" s="5">
        <f>YEAR(Store_Record[[#This Row],[Date]])</f>
        <v>2025</v>
      </c>
      <c r="O1070"/>
    </row>
    <row r="1071" spans="1:15" x14ac:dyDescent="0.35">
      <c r="A1071" t="s">
        <v>1748</v>
      </c>
      <c r="B1071" s="2">
        <v>45733</v>
      </c>
      <c r="C1071" t="s">
        <v>36</v>
      </c>
      <c r="D1071" t="s">
        <v>47</v>
      </c>
      <c r="E1071" t="s">
        <v>34</v>
      </c>
      <c r="F1071" t="s">
        <v>31</v>
      </c>
      <c r="G1071">
        <v>2</v>
      </c>
      <c r="H1071">
        <v>2.2000000000000002</v>
      </c>
      <c r="I1071" t="s">
        <v>39</v>
      </c>
      <c r="J1071" t="s">
        <v>1749</v>
      </c>
      <c r="K1071" s="12">
        <f>Store_Record[[#This Row],[Qty]]*Store_Record[[#This Row],[UnitPriceGBP]]</f>
        <v>4.4000000000000004</v>
      </c>
      <c r="L1071" s="5" t="str">
        <f>TEXT(Store_Record[[#This Row],[Date]],"dddd")</f>
        <v>Monday</v>
      </c>
      <c r="M1071" s="5" t="str">
        <f>TEXT(Store_Record[[#This Row],[Date]],"mmmm")</f>
        <v>March</v>
      </c>
      <c r="N1071" s="5">
        <f>YEAR(Store_Record[[#This Row],[Date]])</f>
        <v>2025</v>
      </c>
      <c r="O1071"/>
    </row>
    <row r="1072" spans="1:15" x14ac:dyDescent="0.35">
      <c r="A1072" t="s">
        <v>1759</v>
      </c>
      <c r="B1072" s="2">
        <v>45733</v>
      </c>
      <c r="C1072" t="s">
        <v>24</v>
      </c>
      <c r="D1072" t="s">
        <v>29</v>
      </c>
      <c r="E1072" t="s">
        <v>26</v>
      </c>
      <c r="F1072" t="s">
        <v>13</v>
      </c>
      <c r="G1072">
        <v>1</v>
      </c>
      <c r="H1072">
        <v>3.5</v>
      </c>
      <c r="I1072" t="s">
        <v>21</v>
      </c>
      <c r="J1072" t="s">
        <v>1760</v>
      </c>
      <c r="K1072" s="12">
        <f>Store_Record[[#This Row],[Qty]]*Store_Record[[#This Row],[UnitPriceGBP]]</f>
        <v>3.5</v>
      </c>
      <c r="L1072" s="5" t="str">
        <f>TEXT(Store_Record[[#This Row],[Date]],"dddd")</f>
        <v>Monday</v>
      </c>
      <c r="M1072" s="5" t="str">
        <f>TEXT(Store_Record[[#This Row],[Date]],"mmmm")</f>
        <v>March</v>
      </c>
      <c r="N1072" s="5">
        <f>YEAR(Store_Record[[#This Row],[Date]])</f>
        <v>2025</v>
      </c>
      <c r="O1072"/>
    </row>
    <row r="1073" spans="1:15" x14ac:dyDescent="0.35">
      <c r="A1073" t="s">
        <v>1750</v>
      </c>
      <c r="B1073" s="2">
        <v>45733</v>
      </c>
      <c r="C1073" t="s">
        <v>10</v>
      </c>
      <c r="D1073" t="s">
        <v>38</v>
      </c>
      <c r="E1073" t="s">
        <v>30</v>
      </c>
      <c r="F1073" t="s">
        <v>31</v>
      </c>
      <c r="G1073">
        <v>1</v>
      </c>
      <c r="H1073">
        <v>2.8</v>
      </c>
      <c r="I1073" t="s">
        <v>21</v>
      </c>
      <c r="J1073" t="s">
        <v>1751</v>
      </c>
      <c r="K1073" s="12">
        <f>Store_Record[[#This Row],[Qty]]*Store_Record[[#This Row],[UnitPriceGBP]]</f>
        <v>2.8</v>
      </c>
      <c r="L1073" s="5" t="str">
        <f>TEXT(Store_Record[[#This Row],[Date]],"dddd")</f>
        <v>Monday</v>
      </c>
      <c r="M1073" s="5" t="str">
        <f>TEXT(Store_Record[[#This Row],[Date]],"mmmm")</f>
        <v>March</v>
      </c>
      <c r="N1073" s="5">
        <f>YEAR(Store_Record[[#This Row],[Date]])</f>
        <v>2025</v>
      </c>
      <c r="O1073"/>
    </row>
    <row r="1074" spans="1:15" x14ac:dyDescent="0.35">
      <c r="A1074" t="s">
        <v>1745</v>
      </c>
      <c r="B1074" s="2">
        <v>45733</v>
      </c>
      <c r="C1074" t="s">
        <v>20</v>
      </c>
      <c r="D1074" t="s">
        <v>47</v>
      </c>
      <c r="E1074" t="s">
        <v>34</v>
      </c>
      <c r="F1074" t="s">
        <v>31</v>
      </c>
      <c r="G1074">
        <v>1</v>
      </c>
      <c r="H1074">
        <v>2.2000000000000002</v>
      </c>
      <c r="I1074" t="s">
        <v>39</v>
      </c>
      <c r="J1074" t="s">
        <v>1746</v>
      </c>
      <c r="K1074" s="12">
        <f>Store_Record[[#This Row],[Qty]]*Store_Record[[#This Row],[UnitPriceGBP]]</f>
        <v>2.2000000000000002</v>
      </c>
      <c r="L1074" s="5" t="str">
        <f>TEXT(Store_Record[[#This Row],[Date]],"dddd")</f>
        <v>Monday</v>
      </c>
      <c r="M1074" s="5" t="str">
        <f>TEXT(Store_Record[[#This Row],[Date]],"mmmm")</f>
        <v>March</v>
      </c>
      <c r="N1074" s="5">
        <f>YEAR(Store_Record[[#This Row],[Date]])</f>
        <v>2025</v>
      </c>
      <c r="O1074"/>
    </row>
    <row r="1075" spans="1:15" x14ac:dyDescent="0.35">
      <c r="A1075" t="s">
        <v>1752</v>
      </c>
      <c r="B1075" s="2">
        <v>45733</v>
      </c>
      <c r="C1075" t="s">
        <v>36</v>
      </c>
      <c r="D1075" t="s">
        <v>25</v>
      </c>
      <c r="E1075" t="s">
        <v>34</v>
      </c>
      <c r="F1075" t="s">
        <v>31</v>
      </c>
      <c r="G1075">
        <v>1</v>
      </c>
      <c r="H1075">
        <v>2.2000000000000002</v>
      </c>
      <c r="I1075" t="s">
        <v>39</v>
      </c>
      <c r="J1075" t="s">
        <v>1753</v>
      </c>
      <c r="K1075" s="12">
        <f>Store_Record[[#This Row],[Qty]]*Store_Record[[#This Row],[UnitPriceGBP]]</f>
        <v>2.2000000000000002</v>
      </c>
      <c r="L1075" s="5" t="str">
        <f>TEXT(Store_Record[[#This Row],[Date]],"dddd")</f>
        <v>Monday</v>
      </c>
      <c r="M1075" s="5" t="str">
        <f>TEXT(Store_Record[[#This Row],[Date]],"mmmm")</f>
        <v>March</v>
      </c>
      <c r="N1075" s="5">
        <f>YEAR(Store_Record[[#This Row],[Date]])</f>
        <v>2025</v>
      </c>
      <c r="O1075"/>
    </row>
    <row r="1076" spans="1:15" x14ac:dyDescent="0.35">
      <c r="A1076" t="s">
        <v>1771</v>
      </c>
      <c r="B1076" s="2">
        <v>45734</v>
      </c>
      <c r="C1076" t="s">
        <v>36</v>
      </c>
      <c r="D1076" t="s">
        <v>11</v>
      </c>
      <c r="E1076" t="s">
        <v>42</v>
      </c>
      <c r="F1076" t="s">
        <v>13</v>
      </c>
      <c r="G1076">
        <v>5</v>
      </c>
      <c r="H1076">
        <v>3.8</v>
      </c>
      <c r="I1076" t="s">
        <v>21</v>
      </c>
      <c r="J1076" t="s">
        <v>575</v>
      </c>
      <c r="K1076" s="12">
        <f>Store_Record[[#This Row],[Qty]]*Store_Record[[#This Row],[UnitPriceGBP]]</f>
        <v>19</v>
      </c>
      <c r="L1076" s="5" t="str">
        <f>TEXT(Store_Record[[#This Row],[Date]],"dddd")</f>
        <v>Tuesday</v>
      </c>
      <c r="M1076" s="5" t="str">
        <f>TEXT(Store_Record[[#This Row],[Date]],"mmmm")</f>
        <v>March</v>
      </c>
      <c r="N1076" s="5">
        <f>YEAR(Store_Record[[#This Row],[Date]])</f>
        <v>2025</v>
      </c>
      <c r="O1076"/>
    </row>
    <row r="1077" spans="1:15" x14ac:dyDescent="0.35">
      <c r="A1077" t="s">
        <v>1783</v>
      </c>
      <c r="B1077" s="2">
        <v>45734</v>
      </c>
      <c r="C1077" t="s">
        <v>36</v>
      </c>
      <c r="D1077" t="s">
        <v>11</v>
      </c>
      <c r="E1077" t="s">
        <v>42</v>
      </c>
      <c r="F1077" t="s">
        <v>13</v>
      </c>
      <c r="G1077">
        <v>5</v>
      </c>
      <c r="H1077">
        <v>3.8</v>
      </c>
      <c r="I1077" t="s">
        <v>14</v>
      </c>
      <c r="J1077" t="s">
        <v>1267</v>
      </c>
      <c r="K1077" s="12">
        <f>Store_Record[[#This Row],[Qty]]*Store_Record[[#This Row],[UnitPriceGBP]]</f>
        <v>19</v>
      </c>
      <c r="L1077" s="5" t="str">
        <f>TEXT(Store_Record[[#This Row],[Date]],"dddd")</f>
        <v>Tuesday</v>
      </c>
      <c r="M1077" s="5" t="str">
        <f>TEXT(Store_Record[[#This Row],[Date]],"mmmm")</f>
        <v>March</v>
      </c>
      <c r="N1077" s="5">
        <f>YEAR(Store_Record[[#This Row],[Date]])</f>
        <v>2025</v>
      </c>
      <c r="O1077"/>
    </row>
    <row r="1078" spans="1:15" x14ac:dyDescent="0.35">
      <c r="A1078" t="s">
        <v>1775</v>
      </c>
      <c r="B1078" s="2">
        <v>45734</v>
      </c>
      <c r="C1078" t="s">
        <v>36</v>
      </c>
      <c r="D1078" t="s">
        <v>29</v>
      </c>
      <c r="E1078" t="s">
        <v>42</v>
      </c>
      <c r="F1078" t="s">
        <v>13</v>
      </c>
      <c r="G1078">
        <v>4</v>
      </c>
      <c r="H1078">
        <v>3.8</v>
      </c>
      <c r="I1078" t="s">
        <v>21</v>
      </c>
      <c r="J1078" t="s">
        <v>198</v>
      </c>
      <c r="K1078" s="12">
        <f>Store_Record[[#This Row],[Qty]]*Store_Record[[#This Row],[UnitPriceGBP]]</f>
        <v>15.2</v>
      </c>
      <c r="L1078" s="5" t="str">
        <f>TEXT(Store_Record[[#This Row],[Date]],"dddd")</f>
        <v>Tuesday</v>
      </c>
      <c r="M1078" s="5" t="str">
        <f>TEXT(Store_Record[[#This Row],[Date]],"mmmm")</f>
        <v>March</v>
      </c>
      <c r="N1078" s="5">
        <f>YEAR(Store_Record[[#This Row],[Date]])</f>
        <v>2025</v>
      </c>
      <c r="O1078"/>
    </row>
    <row r="1079" spans="1:15" x14ac:dyDescent="0.35">
      <c r="A1079" t="s">
        <v>1780</v>
      </c>
      <c r="B1079" s="2">
        <v>45734</v>
      </c>
      <c r="C1079" t="s">
        <v>24</v>
      </c>
      <c r="D1079" t="s">
        <v>29</v>
      </c>
      <c r="E1079" t="s">
        <v>42</v>
      </c>
      <c r="F1079" t="s">
        <v>13</v>
      </c>
      <c r="G1079">
        <v>4</v>
      </c>
      <c r="H1079">
        <v>3.8</v>
      </c>
      <c r="I1079" t="s">
        <v>21</v>
      </c>
      <c r="J1079" t="s">
        <v>200</v>
      </c>
      <c r="K1079" s="12">
        <f>Store_Record[[#This Row],[Qty]]*Store_Record[[#This Row],[UnitPriceGBP]]</f>
        <v>15.2</v>
      </c>
      <c r="L1079" s="5" t="str">
        <f>TEXT(Store_Record[[#This Row],[Date]],"dddd")</f>
        <v>Tuesday</v>
      </c>
      <c r="M1079" s="5" t="str">
        <f>TEXT(Store_Record[[#This Row],[Date]],"mmmm")</f>
        <v>March</v>
      </c>
      <c r="N1079" s="5">
        <f>YEAR(Store_Record[[#This Row],[Date]])</f>
        <v>2025</v>
      </c>
      <c r="O1079"/>
    </row>
    <row r="1080" spans="1:15" x14ac:dyDescent="0.35">
      <c r="A1080" t="s">
        <v>1766</v>
      </c>
      <c r="B1080" s="2">
        <v>45734</v>
      </c>
      <c r="C1080" t="s">
        <v>20</v>
      </c>
      <c r="D1080" t="s">
        <v>25</v>
      </c>
      <c r="E1080" t="s">
        <v>12</v>
      </c>
      <c r="F1080" t="s">
        <v>13</v>
      </c>
      <c r="G1080">
        <v>4</v>
      </c>
      <c r="H1080">
        <v>2.5</v>
      </c>
      <c r="I1080" t="s">
        <v>21</v>
      </c>
      <c r="J1080" t="s">
        <v>534</v>
      </c>
      <c r="K1080" s="12">
        <f>Store_Record[[#This Row],[Qty]]*Store_Record[[#This Row],[UnitPriceGBP]]</f>
        <v>10</v>
      </c>
      <c r="L1080" s="5" t="str">
        <f>TEXT(Store_Record[[#This Row],[Date]],"dddd")</f>
        <v>Tuesday</v>
      </c>
      <c r="M1080" s="5" t="str">
        <f>TEXT(Store_Record[[#This Row],[Date]],"mmmm")</f>
        <v>March</v>
      </c>
      <c r="N1080" s="5">
        <f>YEAR(Store_Record[[#This Row],[Date]])</f>
        <v>2025</v>
      </c>
      <c r="O1080"/>
    </row>
    <row r="1081" spans="1:15" x14ac:dyDescent="0.35">
      <c r="A1081" t="s">
        <v>1772</v>
      </c>
      <c r="B1081" s="2">
        <v>45734</v>
      </c>
      <c r="C1081" t="s">
        <v>10</v>
      </c>
      <c r="D1081" t="s">
        <v>25</v>
      </c>
      <c r="E1081" t="s">
        <v>12</v>
      </c>
      <c r="F1081" t="s">
        <v>13</v>
      </c>
      <c r="G1081">
        <v>4</v>
      </c>
      <c r="H1081">
        <v>2.5</v>
      </c>
      <c r="I1081" t="s">
        <v>39</v>
      </c>
      <c r="J1081" t="s">
        <v>1116</v>
      </c>
      <c r="K1081" s="12">
        <f>Store_Record[[#This Row],[Qty]]*Store_Record[[#This Row],[UnitPriceGBP]]</f>
        <v>10</v>
      </c>
      <c r="L1081" s="5" t="str">
        <f>TEXT(Store_Record[[#This Row],[Date]],"dddd")</f>
        <v>Tuesday</v>
      </c>
      <c r="M1081" s="5" t="str">
        <f>TEXT(Store_Record[[#This Row],[Date]],"mmmm")</f>
        <v>March</v>
      </c>
      <c r="N1081" s="5">
        <f>YEAR(Store_Record[[#This Row],[Date]])</f>
        <v>2025</v>
      </c>
      <c r="O1081"/>
    </row>
    <row r="1082" spans="1:15" x14ac:dyDescent="0.35">
      <c r="A1082" t="s">
        <v>1784</v>
      </c>
      <c r="B1082" s="2">
        <v>45734</v>
      </c>
      <c r="C1082" t="s">
        <v>36</v>
      </c>
      <c r="D1082" t="s">
        <v>38</v>
      </c>
      <c r="E1082" t="s">
        <v>34</v>
      </c>
      <c r="F1082" t="s">
        <v>31</v>
      </c>
      <c r="G1082">
        <v>4</v>
      </c>
      <c r="H1082">
        <v>2.2000000000000002</v>
      </c>
      <c r="I1082" t="s">
        <v>39</v>
      </c>
      <c r="J1082" t="s">
        <v>1319</v>
      </c>
      <c r="K1082" s="12">
        <f>Store_Record[[#This Row],[Qty]]*Store_Record[[#This Row],[UnitPriceGBP]]</f>
        <v>8.8000000000000007</v>
      </c>
      <c r="L1082" s="5" t="str">
        <f>TEXT(Store_Record[[#This Row],[Date]],"dddd")</f>
        <v>Tuesday</v>
      </c>
      <c r="M1082" s="5" t="str">
        <f>TEXT(Store_Record[[#This Row],[Date]],"mmmm")</f>
        <v>March</v>
      </c>
      <c r="N1082" s="5">
        <f>YEAR(Store_Record[[#This Row],[Date]])</f>
        <v>2025</v>
      </c>
      <c r="O1082"/>
    </row>
    <row r="1083" spans="1:15" x14ac:dyDescent="0.35">
      <c r="A1083" t="s">
        <v>1767</v>
      </c>
      <c r="B1083" s="2">
        <v>45734</v>
      </c>
      <c r="C1083" t="s">
        <v>20</v>
      </c>
      <c r="D1083" t="s">
        <v>29</v>
      </c>
      <c r="E1083" t="s">
        <v>30</v>
      </c>
      <c r="F1083" t="s">
        <v>31</v>
      </c>
      <c r="G1083">
        <v>3</v>
      </c>
      <c r="H1083">
        <v>2.8</v>
      </c>
      <c r="I1083" t="s">
        <v>14</v>
      </c>
      <c r="J1083" t="s">
        <v>1768</v>
      </c>
      <c r="K1083" s="12">
        <f>Store_Record[[#This Row],[Qty]]*Store_Record[[#This Row],[UnitPriceGBP]]</f>
        <v>8.3999999999999986</v>
      </c>
      <c r="L1083" s="5" t="str">
        <f>TEXT(Store_Record[[#This Row],[Date]],"dddd")</f>
        <v>Tuesday</v>
      </c>
      <c r="M1083" s="5" t="str">
        <f>TEXT(Store_Record[[#This Row],[Date]],"mmmm")</f>
        <v>March</v>
      </c>
      <c r="N1083" s="5">
        <f>YEAR(Store_Record[[#This Row],[Date]])</f>
        <v>2025</v>
      </c>
      <c r="O1083"/>
    </row>
    <row r="1084" spans="1:15" x14ac:dyDescent="0.35">
      <c r="A1084" t="s">
        <v>1779</v>
      </c>
      <c r="B1084" s="2">
        <v>45734</v>
      </c>
      <c r="C1084" t="s">
        <v>20</v>
      </c>
      <c r="D1084" t="s">
        <v>29</v>
      </c>
      <c r="E1084" t="s">
        <v>42</v>
      </c>
      <c r="F1084" t="s">
        <v>13</v>
      </c>
      <c r="G1084">
        <v>2</v>
      </c>
      <c r="H1084">
        <v>3.8</v>
      </c>
      <c r="I1084" t="s">
        <v>21</v>
      </c>
      <c r="J1084" t="s">
        <v>992</v>
      </c>
      <c r="K1084" s="12">
        <f>Store_Record[[#This Row],[Qty]]*Store_Record[[#This Row],[UnitPriceGBP]]</f>
        <v>7.6</v>
      </c>
      <c r="L1084" s="5" t="str">
        <f>TEXT(Store_Record[[#This Row],[Date]],"dddd")</f>
        <v>Tuesday</v>
      </c>
      <c r="M1084" s="5" t="str">
        <f>TEXT(Store_Record[[#This Row],[Date]],"mmmm")</f>
        <v>March</v>
      </c>
      <c r="N1084" s="5">
        <f>YEAR(Store_Record[[#This Row],[Date]])</f>
        <v>2025</v>
      </c>
      <c r="O1084"/>
    </row>
    <row r="1085" spans="1:15" x14ac:dyDescent="0.35">
      <c r="A1085" t="s">
        <v>1774</v>
      </c>
      <c r="B1085" s="2">
        <v>45734</v>
      </c>
      <c r="C1085" t="s">
        <v>20</v>
      </c>
      <c r="D1085" t="s">
        <v>29</v>
      </c>
      <c r="E1085" t="s">
        <v>34</v>
      </c>
      <c r="F1085" t="s">
        <v>31</v>
      </c>
      <c r="G1085">
        <v>3</v>
      </c>
      <c r="H1085">
        <v>2.2000000000000002</v>
      </c>
      <c r="I1085" t="s">
        <v>14</v>
      </c>
      <c r="J1085" t="s">
        <v>423</v>
      </c>
      <c r="K1085" s="12">
        <f>Store_Record[[#This Row],[Qty]]*Store_Record[[#This Row],[UnitPriceGBP]]</f>
        <v>6.6000000000000005</v>
      </c>
      <c r="L1085" s="5" t="str">
        <f>TEXT(Store_Record[[#This Row],[Date]],"dddd")</f>
        <v>Tuesday</v>
      </c>
      <c r="M1085" s="5" t="str">
        <f>TEXT(Store_Record[[#This Row],[Date]],"mmmm")</f>
        <v>March</v>
      </c>
      <c r="N1085" s="5">
        <f>YEAR(Store_Record[[#This Row],[Date]])</f>
        <v>2025</v>
      </c>
      <c r="O1085"/>
    </row>
    <row r="1086" spans="1:15" x14ac:dyDescent="0.35">
      <c r="A1086" t="s">
        <v>1776</v>
      </c>
      <c r="B1086" s="2">
        <v>45734</v>
      </c>
      <c r="C1086" t="s">
        <v>36</v>
      </c>
      <c r="D1086" t="s">
        <v>29</v>
      </c>
      <c r="E1086" t="s">
        <v>34</v>
      </c>
      <c r="F1086" t="s">
        <v>31</v>
      </c>
      <c r="G1086">
        <v>3</v>
      </c>
      <c r="H1086">
        <v>2.2000000000000002</v>
      </c>
      <c r="I1086" t="s">
        <v>39</v>
      </c>
      <c r="J1086" t="s">
        <v>1777</v>
      </c>
      <c r="K1086" s="12">
        <f>Store_Record[[#This Row],[Qty]]*Store_Record[[#This Row],[UnitPriceGBP]]</f>
        <v>6.6000000000000005</v>
      </c>
      <c r="L1086" s="5" t="str">
        <f>TEXT(Store_Record[[#This Row],[Date]],"dddd")</f>
        <v>Tuesday</v>
      </c>
      <c r="M1086" s="5" t="str">
        <f>TEXT(Store_Record[[#This Row],[Date]],"mmmm")</f>
        <v>March</v>
      </c>
      <c r="N1086" s="5">
        <f>YEAR(Store_Record[[#This Row],[Date]])</f>
        <v>2025</v>
      </c>
      <c r="O1086"/>
    </row>
    <row r="1087" spans="1:15" x14ac:dyDescent="0.35">
      <c r="A1087" t="s">
        <v>1763</v>
      </c>
      <c r="B1087" s="2">
        <v>45734</v>
      </c>
      <c r="C1087" t="s">
        <v>10</v>
      </c>
      <c r="D1087" t="s">
        <v>25</v>
      </c>
      <c r="E1087" t="s">
        <v>30</v>
      </c>
      <c r="F1087" t="s">
        <v>31</v>
      </c>
      <c r="G1087">
        <v>2</v>
      </c>
      <c r="H1087">
        <v>2.8</v>
      </c>
      <c r="I1087" t="s">
        <v>39</v>
      </c>
      <c r="J1087" t="s">
        <v>1079</v>
      </c>
      <c r="K1087" s="12">
        <f>Store_Record[[#This Row],[Qty]]*Store_Record[[#This Row],[UnitPriceGBP]]</f>
        <v>5.6</v>
      </c>
      <c r="L1087" s="5" t="str">
        <f>TEXT(Store_Record[[#This Row],[Date]],"dddd")</f>
        <v>Tuesday</v>
      </c>
      <c r="M1087" s="5" t="str">
        <f>TEXT(Store_Record[[#This Row],[Date]],"mmmm")</f>
        <v>March</v>
      </c>
      <c r="N1087" s="5">
        <f>YEAR(Store_Record[[#This Row],[Date]])</f>
        <v>2025</v>
      </c>
      <c r="O1087"/>
    </row>
    <row r="1088" spans="1:15" x14ac:dyDescent="0.35">
      <c r="A1088" t="s">
        <v>1764</v>
      </c>
      <c r="B1088" s="2">
        <v>45734</v>
      </c>
      <c r="C1088" t="s">
        <v>36</v>
      </c>
      <c r="D1088" t="s">
        <v>38</v>
      </c>
      <c r="E1088" t="s">
        <v>30</v>
      </c>
      <c r="F1088" t="s">
        <v>31</v>
      </c>
      <c r="G1088">
        <v>2</v>
      </c>
      <c r="H1088">
        <v>2.8</v>
      </c>
      <c r="I1088" t="s">
        <v>21</v>
      </c>
      <c r="J1088" t="s">
        <v>1765</v>
      </c>
      <c r="K1088" s="12">
        <f>Store_Record[[#This Row],[Qty]]*Store_Record[[#This Row],[UnitPriceGBP]]</f>
        <v>5.6</v>
      </c>
      <c r="L1088" s="5" t="str">
        <f>TEXT(Store_Record[[#This Row],[Date]],"dddd")</f>
        <v>Tuesday</v>
      </c>
      <c r="M1088" s="5" t="str">
        <f>TEXT(Store_Record[[#This Row],[Date]],"mmmm")</f>
        <v>March</v>
      </c>
      <c r="N1088" s="5">
        <f>YEAR(Store_Record[[#This Row],[Date]])</f>
        <v>2025</v>
      </c>
      <c r="O1088"/>
    </row>
    <row r="1089" spans="1:15" x14ac:dyDescent="0.35">
      <c r="A1089" t="s">
        <v>1778</v>
      </c>
      <c r="B1089" s="2">
        <v>45734</v>
      </c>
      <c r="C1089" t="s">
        <v>36</v>
      </c>
      <c r="D1089" t="s">
        <v>29</v>
      </c>
      <c r="E1089" t="s">
        <v>12</v>
      </c>
      <c r="F1089" t="s">
        <v>13</v>
      </c>
      <c r="G1089">
        <v>2</v>
      </c>
      <c r="H1089">
        <v>2.5</v>
      </c>
      <c r="I1089" t="s">
        <v>14</v>
      </c>
      <c r="J1089" t="s">
        <v>218</v>
      </c>
      <c r="K1089" s="12">
        <f>Store_Record[[#This Row],[Qty]]*Store_Record[[#This Row],[UnitPriceGBP]]</f>
        <v>5</v>
      </c>
      <c r="L1089" s="5" t="str">
        <f>TEXT(Store_Record[[#This Row],[Date]],"dddd")</f>
        <v>Tuesday</v>
      </c>
      <c r="M1089" s="5" t="str">
        <f>TEXT(Store_Record[[#This Row],[Date]],"mmmm")</f>
        <v>March</v>
      </c>
      <c r="N1089" s="5">
        <f>YEAR(Store_Record[[#This Row],[Date]])</f>
        <v>2025</v>
      </c>
      <c r="O1089"/>
    </row>
    <row r="1090" spans="1:15" x14ac:dyDescent="0.35">
      <c r="A1090" t="s">
        <v>1773</v>
      </c>
      <c r="B1090" s="2">
        <v>45734</v>
      </c>
      <c r="C1090" t="s">
        <v>10</v>
      </c>
      <c r="D1090" t="s">
        <v>38</v>
      </c>
      <c r="E1090" t="s">
        <v>42</v>
      </c>
      <c r="F1090" t="s">
        <v>13</v>
      </c>
      <c r="G1090">
        <v>1</v>
      </c>
      <c r="H1090">
        <v>3.8</v>
      </c>
      <c r="I1090" t="s">
        <v>21</v>
      </c>
      <c r="J1090" t="s">
        <v>1362</v>
      </c>
      <c r="K1090" s="12">
        <f>Store_Record[[#This Row],[Qty]]*Store_Record[[#This Row],[UnitPriceGBP]]</f>
        <v>3.8</v>
      </c>
      <c r="L1090" s="5" t="str">
        <f>TEXT(Store_Record[[#This Row],[Date]],"dddd")</f>
        <v>Tuesday</v>
      </c>
      <c r="M1090" s="5" t="str">
        <f>TEXT(Store_Record[[#This Row],[Date]],"mmmm")</f>
        <v>March</v>
      </c>
      <c r="N1090" s="5">
        <f>YEAR(Store_Record[[#This Row],[Date]])</f>
        <v>2025</v>
      </c>
      <c r="O1090"/>
    </row>
    <row r="1091" spans="1:15" x14ac:dyDescent="0.35">
      <c r="A1091" t="s">
        <v>1769</v>
      </c>
      <c r="B1091" s="2">
        <v>45734</v>
      </c>
      <c r="C1091" t="s">
        <v>20</v>
      </c>
      <c r="D1091" t="s">
        <v>47</v>
      </c>
      <c r="E1091" t="s">
        <v>30</v>
      </c>
      <c r="F1091" t="s">
        <v>31</v>
      </c>
      <c r="G1091">
        <v>1</v>
      </c>
      <c r="H1091">
        <v>2.8</v>
      </c>
      <c r="I1091" t="s">
        <v>14</v>
      </c>
      <c r="J1091" t="s">
        <v>1770</v>
      </c>
      <c r="K1091" s="12">
        <f>Store_Record[[#This Row],[Qty]]*Store_Record[[#This Row],[UnitPriceGBP]]</f>
        <v>2.8</v>
      </c>
      <c r="L1091" s="5" t="str">
        <f>TEXT(Store_Record[[#This Row],[Date]],"dddd")</f>
        <v>Tuesday</v>
      </c>
      <c r="M1091" s="5" t="str">
        <f>TEXT(Store_Record[[#This Row],[Date]],"mmmm")</f>
        <v>March</v>
      </c>
      <c r="N1091" s="5">
        <f>YEAR(Store_Record[[#This Row],[Date]])</f>
        <v>2025</v>
      </c>
      <c r="O1091"/>
    </row>
    <row r="1092" spans="1:15" x14ac:dyDescent="0.35">
      <c r="A1092" t="s">
        <v>1761</v>
      </c>
      <c r="B1092" s="2">
        <v>45734</v>
      </c>
      <c r="C1092" t="s">
        <v>20</v>
      </c>
      <c r="D1092" t="s">
        <v>47</v>
      </c>
      <c r="E1092" t="s">
        <v>12</v>
      </c>
      <c r="F1092" t="s">
        <v>13</v>
      </c>
      <c r="G1092">
        <v>1</v>
      </c>
      <c r="H1092">
        <v>2.5</v>
      </c>
      <c r="I1092" t="s">
        <v>21</v>
      </c>
      <c r="J1092" t="s">
        <v>1762</v>
      </c>
      <c r="K1092" s="12">
        <f>Store_Record[[#This Row],[Qty]]*Store_Record[[#This Row],[UnitPriceGBP]]</f>
        <v>2.5</v>
      </c>
      <c r="L1092" s="5" t="str">
        <f>TEXT(Store_Record[[#This Row],[Date]],"dddd")</f>
        <v>Tuesday</v>
      </c>
      <c r="M1092" s="5" t="str">
        <f>TEXT(Store_Record[[#This Row],[Date]],"mmmm")</f>
        <v>March</v>
      </c>
      <c r="N1092" s="5">
        <f>YEAR(Store_Record[[#This Row],[Date]])</f>
        <v>2025</v>
      </c>
      <c r="O1092"/>
    </row>
    <row r="1093" spans="1:15" x14ac:dyDescent="0.35">
      <c r="A1093" t="s">
        <v>1781</v>
      </c>
      <c r="B1093" s="2">
        <v>45734</v>
      </c>
      <c r="C1093" t="s">
        <v>20</v>
      </c>
      <c r="D1093" t="s">
        <v>38</v>
      </c>
      <c r="E1093" t="s">
        <v>12</v>
      </c>
      <c r="F1093" t="s">
        <v>13</v>
      </c>
      <c r="G1093">
        <v>1</v>
      </c>
      <c r="H1093">
        <v>2.5</v>
      </c>
      <c r="I1093" t="s">
        <v>39</v>
      </c>
      <c r="J1093" t="s">
        <v>1782</v>
      </c>
      <c r="K1093" s="12">
        <f>Store_Record[[#This Row],[Qty]]*Store_Record[[#This Row],[UnitPriceGBP]]</f>
        <v>2.5</v>
      </c>
      <c r="L1093" s="5" t="str">
        <f>TEXT(Store_Record[[#This Row],[Date]],"dddd")</f>
        <v>Tuesday</v>
      </c>
      <c r="M1093" s="5" t="str">
        <f>TEXT(Store_Record[[#This Row],[Date]],"mmmm")</f>
        <v>March</v>
      </c>
      <c r="N1093" s="5">
        <f>YEAR(Store_Record[[#This Row],[Date]])</f>
        <v>2025</v>
      </c>
      <c r="O1093"/>
    </row>
    <row r="1094" spans="1:15" x14ac:dyDescent="0.35">
      <c r="A1094" t="s">
        <v>1804</v>
      </c>
      <c r="B1094" s="2">
        <v>45735</v>
      </c>
      <c r="C1094" t="s">
        <v>36</v>
      </c>
      <c r="D1094" t="s">
        <v>29</v>
      </c>
      <c r="E1094" t="s">
        <v>42</v>
      </c>
      <c r="F1094" t="s">
        <v>13</v>
      </c>
      <c r="G1094">
        <v>5</v>
      </c>
      <c r="H1094">
        <v>3.8</v>
      </c>
      <c r="I1094" t="s">
        <v>14</v>
      </c>
      <c r="J1094" t="s">
        <v>339</v>
      </c>
      <c r="K1094" s="12">
        <f>Store_Record[[#This Row],[Qty]]*Store_Record[[#This Row],[UnitPriceGBP]]</f>
        <v>19</v>
      </c>
      <c r="L1094" s="5" t="str">
        <f>TEXT(Store_Record[[#This Row],[Date]],"dddd")</f>
        <v>Wednesday</v>
      </c>
      <c r="M1094" s="5" t="str">
        <f>TEXT(Store_Record[[#This Row],[Date]],"mmmm")</f>
        <v>March</v>
      </c>
      <c r="N1094" s="5">
        <f>YEAR(Store_Record[[#This Row],[Date]])</f>
        <v>2025</v>
      </c>
      <c r="O1094"/>
    </row>
    <row r="1095" spans="1:15" x14ac:dyDescent="0.35">
      <c r="A1095" t="s">
        <v>1786</v>
      </c>
      <c r="B1095" s="2">
        <v>45735</v>
      </c>
      <c r="C1095" t="s">
        <v>36</v>
      </c>
      <c r="D1095" t="s">
        <v>25</v>
      </c>
      <c r="E1095" t="s">
        <v>42</v>
      </c>
      <c r="F1095" t="s">
        <v>13</v>
      </c>
      <c r="G1095">
        <v>4</v>
      </c>
      <c r="H1095">
        <v>3.8</v>
      </c>
      <c r="I1095" t="s">
        <v>14</v>
      </c>
      <c r="J1095" t="s">
        <v>384</v>
      </c>
      <c r="K1095" s="12">
        <f>Store_Record[[#This Row],[Qty]]*Store_Record[[#This Row],[UnitPriceGBP]]</f>
        <v>15.2</v>
      </c>
      <c r="L1095" s="5" t="str">
        <f>TEXT(Store_Record[[#This Row],[Date]],"dddd")</f>
        <v>Wednesday</v>
      </c>
      <c r="M1095" s="5" t="str">
        <f>TEXT(Store_Record[[#This Row],[Date]],"mmmm")</f>
        <v>March</v>
      </c>
      <c r="N1095" s="5">
        <f>YEAR(Store_Record[[#This Row],[Date]])</f>
        <v>2025</v>
      </c>
      <c r="O1095"/>
    </row>
    <row r="1096" spans="1:15" x14ac:dyDescent="0.35">
      <c r="A1096" t="s">
        <v>1789</v>
      </c>
      <c r="B1096" s="2">
        <v>45735</v>
      </c>
      <c r="C1096" t="s">
        <v>20</v>
      </c>
      <c r="D1096" t="s">
        <v>29</v>
      </c>
      <c r="E1096" t="s">
        <v>42</v>
      </c>
      <c r="F1096" t="s">
        <v>13</v>
      </c>
      <c r="G1096">
        <v>4</v>
      </c>
      <c r="H1096">
        <v>3.8</v>
      </c>
      <c r="I1096" t="s">
        <v>21</v>
      </c>
      <c r="J1096" t="s">
        <v>1790</v>
      </c>
      <c r="K1096" s="12">
        <f>Store_Record[[#This Row],[Qty]]*Store_Record[[#This Row],[UnitPriceGBP]]</f>
        <v>15.2</v>
      </c>
      <c r="L1096" s="5" t="str">
        <f>TEXT(Store_Record[[#This Row],[Date]],"dddd")</f>
        <v>Wednesday</v>
      </c>
      <c r="M1096" s="5" t="str">
        <f>TEXT(Store_Record[[#This Row],[Date]],"mmmm")</f>
        <v>March</v>
      </c>
      <c r="N1096" s="5">
        <f>YEAR(Store_Record[[#This Row],[Date]])</f>
        <v>2025</v>
      </c>
      <c r="O1096"/>
    </row>
    <row r="1097" spans="1:15" x14ac:dyDescent="0.35">
      <c r="A1097" t="s">
        <v>1798</v>
      </c>
      <c r="B1097" s="2">
        <v>45735</v>
      </c>
      <c r="C1097" t="s">
        <v>36</v>
      </c>
      <c r="D1097" t="s">
        <v>38</v>
      </c>
      <c r="E1097" t="s">
        <v>42</v>
      </c>
      <c r="F1097" t="s">
        <v>13</v>
      </c>
      <c r="G1097">
        <v>4</v>
      </c>
      <c r="H1097">
        <v>3.8</v>
      </c>
      <c r="I1097" t="s">
        <v>14</v>
      </c>
      <c r="J1097" t="s">
        <v>1799</v>
      </c>
      <c r="K1097" s="12">
        <f>Store_Record[[#This Row],[Qty]]*Store_Record[[#This Row],[UnitPriceGBP]]</f>
        <v>15.2</v>
      </c>
      <c r="L1097" s="5" t="str">
        <f>TEXT(Store_Record[[#This Row],[Date]],"dddd")</f>
        <v>Wednesday</v>
      </c>
      <c r="M1097" s="5" t="str">
        <f>TEXT(Store_Record[[#This Row],[Date]],"mmmm")</f>
        <v>March</v>
      </c>
      <c r="N1097" s="5">
        <f>YEAR(Store_Record[[#This Row],[Date]])</f>
        <v>2025</v>
      </c>
      <c r="O1097"/>
    </row>
    <row r="1098" spans="1:15" x14ac:dyDescent="0.35">
      <c r="A1098" t="s">
        <v>1805</v>
      </c>
      <c r="B1098" s="2">
        <v>45735</v>
      </c>
      <c r="C1098" t="s">
        <v>36</v>
      </c>
      <c r="D1098" t="s">
        <v>38</v>
      </c>
      <c r="E1098" t="s">
        <v>42</v>
      </c>
      <c r="F1098" t="s">
        <v>13</v>
      </c>
      <c r="G1098">
        <v>4</v>
      </c>
      <c r="H1098">
        <v>3.8</v>
      </c>
      <c r="I1098" t="s">
        <v>21</v>
      </c>
      <c r="J1098" t="s">
        <v>1806</v>
      </c>
      <c r="K1098" s="12">
        <f>Store_Record[[#This Row],[Qty]]*Store_Record[[#This Row],[UnitPriceGBP]]</f>
        <v>15.2</v>
      </c>
      <c r="L1098" s="5" t="str">
        <f>TEXT(Store_Record[[#This Row],[Date]],"dddd")</f>
        <v>Wednesday</v>
      </c>
      <c r="M1098" s="5" t="str">
        <f>TEXT(Store_Record[[#This Row],[Date]],"mmmm")</f>
        <v>March</v>
      </c>
      <c r="N1098" s="5">
        <f>YEAR(Store_Record[[#This Row],[Date]])</f>
        <v>2025</v>
      </c>
      <c r="O1098"/>
    </row>
    <row r="1099" spans="1:15" x14ac:dyDescent="0.35">
      <c r="A1099" t="s">
        <v>1794</v>
      </c>
      <c r="B1099" s="2">
        <v>45735</v>
      </c>
      <c r="C1099" t="s">
        <v>10</v>
      </c>
      <c r="D1099" t="s">
        <v>29</v>
      </c>
      <c r="E1099" t="s">
        <v>26</v>
      </c>
      <c r="F1099" t="s">
        <v>13</v>
      </c>
      <c r="G1099">
        <v>4</v>
      </c>
      <c r="H1099">
        <v>3.5</v>
      </c>
      <c r="I1099" t="s">
        <v>21</v>
      </c>
      <c r="J1099" t="s">
        <v>1795</v>
      </c>
      <c r="K1099" s="12">
        <f>Store_Record[[#This Row],[Qty]]*Store_Record[[#This Row],[UnitPriceGBP]]</f>
        <v>14</v>
      </c>
      <c r="L1099" s="5" t="str">
        <f>TEXT(Store_Record[[#This Row],[Date]],"dddd")</f>
        <v>Wednesday</v>
      </c>
      <c r="M1099" s="5" t="str">
        <f>TEXT(Store_Record[[#This Row],[Date]],"mmmm")</f>
        <v>March</v>
      </c>
      <c r="N1099" s="5">
        <f>YEAR(Store_Record[[#This Row],[Date]])</f>
        <v>2025</v>
      </c>
      <c r="O1099"/>
    </row>
    <row r="1100" spans="1:15" x14ac:dyDescent="0.35">
      <c r="A1100" t="s">
        <v>1800</v>
      </c>
      <c r="B1100" s="2">
        <v>45735</v>
      </c>
      <c r="C1100" t="s">
        <v>10</v>
      </c>
      <c r="D1100" t="s">
        <v>25</v>
      </c>
      <c r="E1100" t="s">
        <v>26</v>
      </c>
      <c r="F1100" t="s">
        <v>13</v>
      </c>
      <c r="G1100">
        <v>4</v>
      </c>
      <c r="H1100">
        <v>3.5</v>
      </c>
      <c r="I1100" t="s">
        <v>39</v>
      </c>
      <c r="J1100" t="s">
        <v>1801</v>
      </c>
      <c r="K1100" s="12">
        <f>Store_Record[[#This Row],[Qty]]*Store_Record[[#This Row],[UnitPriceGBP]]</f>
        <v>14</v>
      </c>
      <c r="L1100" s="5" t="str">
        <f>TEXT(Store_Record[[#This Row],[Date]],"dddd")</f>
        <v>Wednesday</v>
      </c>
      <c r="M1100" s="5" t="str">
        <f>TEXT(Store_Record[[#This Row],[Date]],"mmmm")</f>
        <v>March</v>
      </c>
      <c r="N1100" s="5">
        <f>YEAR(Store_Record[[#This Row],[Date]])</f>
        <v>2025</v>
      </c>
      <c r="O1100"/>
    </row>
    <row r="1101" spans="1:15" x14ac:dyDescent="0.35">
      <c r="A1101" t="s">
        <v>1807</v>
      </c>
      <c r="B1101" s="2">
        <v>45735</v>
      </c>
      <c r="C1101" t="s">
        <v>10</v>
      </c>
      <c r="D1101" t="s">
        <v>11</v>
      </c>
      <c r="E1101" t="s">
        <v>30</v>
      </c>
      <c r="F1101" t="s">
        <v>31</v>
      </c>
      <c r="G1101">
        <v>5</v>
      </c>
      <c r="H1101">
        <v>2.8</v>
      </c>
      <c r="I1101" t="s">
        <v>14</v>
      </c>
      <c r="J1101" t="s">
        <v>1349</v>
      </c>
      <c r="K1101" s="12">
        <f>Store_Record[[#This Row],[Qty]]*Store_Record[[#This Row],[UnitPriceGBP]]</f>
        <v>14</v>
      </c>
      <c r="L1101" s="5" t="str">
        <f>TEXT(Store_Record[[#This Row],[Date]],"dddd")</f>
        <v>Wednesday</v>
      </c>
      <c r="M1101" s="5" t="str">
        <f>TEXT(Store_Record[[#This Row],[Date]],"mmmm")</f>
        <v>March</v>
      </c>
      <c r="N1101" s="5">
        <f>YEAR(Store_Record[[#This Row],[Date]])</f>
        <v>2025</v>
      </c>
      <c r="O1101"/>
    </row>
    <row r="1102" spans="1:15" x14ac:dyDescent="0.35">
      <c r="A1102" t="s">
        <v>1787</v>
      </c>
      <c r="B1102" s="2">
        <v>45735</v>
      </c>
      <c r="C1102" t="s">
        <v>10</v>
      </c>
      <c r="D1102" t="s">
        <v>11</v>
      </c>
      <c r="E1102" t="s">
        <v>12</v>
      </c>
      <c r="F1102" t="s">
        <v>13</v>
      </c>
      <c r="G1102">
        <v>4</v>
      </c>
      <c r="H1102">
        <v>2.5</v>
      </c>
      <c r="I1102" t="s">
        <v>21</v>
      </c>
      <c r="J1102" t="s">
        <v>1788</v>
      </c>
      <c r="K1102" s="12">
        <f>Store_Record[[#This Row],[Qty]]*Store_Record[[#This Row],[UnitPriceGBP]]</f>
        <v>10</v>
      </c>
      <c r="L1102" s="5" t="str">
        <f>TEXT(Store_Record[[#This Row],[Date]],"dddd")</f>
        <v>Wednesday</v>
      </c>
      <c r="M1102" s="5" t="str">
        <f>TEXT(Store_Record[[#This Row],[Date]],"mmmm")</f>
        <v>March</v>
      </c>
      <c r="N1102" s="5">
        <f>YEAR(Store_Record[[#This Row],[Date]])</f>
        <v>2025</v>
      </c>
      <c r="O1102"/>
    </row>
    <row r="1103" spans="1:15" x14ac:dyDescent="0.35">
      <c r="A1103" t="s">
        <v>1793</v>
      </c>
      <c r="B1103" s="2">
        <v>45735</v>
      </c>
      <c r="C1103" t="s">
        <v>36</v>
      </c>
      <c r="D1103" t="s">
        <v>38</v>
      </c>
      <c r="E1103" t="s">
        <v>12</v>
      </c>
      <c r="F1103" t="s">
        <v>13</v>
      </c>
      <c r="G1103">
        <v>4</v>
      </c>
      <c r="H1103">
        <v>2.5</v>
      </c>
      <c r="I1103" t="s">
        <v>39</v>
      </c>
      <c r="J1103" t="s">
        <v>300</v>
      </c>
      <c r="K1103" s="12">
        <f>Store_Record[[#This Row],[Qty]]*Store_Record[[#This Row],[UnitPriceGBP]]</f>
        <v>10</v>
      </c>
      <c r="L1103" s="5" t="str">
        <f>TEXT(Store_Record[[#This Row],[Date]],"dddd")</f>
        <v>Wednesday</v>
      </c>
      <c r="M1103" s="5" t="str">
        <f>TEXT(Store_Record[[#This Row],[Date]],"mmmm")</f>
        <v>March</v>
      </c>
      <c r="N1103" s="5">
        <f>YEAR(Store_Record[[#This Row],[Date]])</f>
        <v>2025</v>
      </c>
      <c r="O1103"/>
    </row>
    <row r="1104" spans="1:15" x14ac:dyDescent="0.35">
      <c r="A1104" t="s">
        <v>1802</v>
      </c>
      <c r="B1104" s="2">
        <v>45735</v>
      </c>
      <c r="C1104" t="s">
        <v>20</v>
      </c>
      <c r="D1104" t="s">
        <v>25</v>
      </c>
      <c r="E1104" t="s">
        <v>12</v>
      </c>
      <c r="F1104" t="s">
        <v>13</v>
      </c>
      <c r="G1104">
        <v>4</v>
      </c>
      <c r="H1104">
        <v>2.5</v>
      </c>
      <c r="I1104" t="s">
        <v>39</v>
      </c>
      <c r="J1104" t="s">
        <v>308</v>
      </c>
      <c r="K1104" s="12">
        <f>Store_Record[[#This Row],[Qty]]*Store_Record[[#This Row],[UnitPriceGBP]]</f>
        <v>10</v>
      </c>
      <c r="L1104" s="5" t="str">
        <f>TEXT(Store_Record[[#This Row],[Date]],"dddd")</f>
        <v>Wednesday</v>
      </c>
      <c r="M1104" s="5" t="str">
        <f>TEXT(Store_Record[[#This Row],[Date]],"mmmm")</f>
        <v>March</v>
      </c>
      <c r="N1104" s="5">
        <f>YEAR(Store_Record[[#This Row],[Date]])</f>
        <v>2025</v>
      </c>
      <c r="O1104"/>
    </row>
    <row r="1105" spans="1:15" x14ac:dyDescent="0.35">
      <c r="A1105" t="s">
        <v>1797</v>
      </c>
      <c r="B1105" s="2">
        <v>45735</v>
      </c>
      <c r="C1105" t="s">
        <v>24</v>
      </c>
      <c r="D1105" t="s">
        <v>38</v>
      </c>
      <c r="E1105" t="s">
        <v>12</v>
      </c>
      <c r="F1105" t="s">
        <v>13</v>
      </c>
      <c r="G1105">
        <v>3</v>
      </c>
      <c r="H1105">
        <v>2.5</v>
      </c>
      <c r="I1105" t="s">
        <v>14</v>
      </c>
      <c r="J1105" t="s">
        <v>1687</v>
      </c>
      <c r="K1105" s="12">
        <f>Store_Record[[#This Row],[Qty]]*Store_Record[[#This Row],[UnitPriceGBP]]</f>
        <v>7.5</v>
      </c>
      <c r="L1105" s="5" t="str">
        <f>TEXT(Store_Record[[#This Row],[Date]],"dddd")</f>
        <v>Wednesday</v>
      </c>
      <c r="M1105" s="5" t="str">
        <f>TEXT(Store_Record[[#This Row],[Date]],"mmmm")</f>
        <v>March</v>
      </c>
      <c r="N1105" s="5">
        <f>YEAR(Store_Record[[#This Row],[Date]])</f>
        <v>2025</v>
      </c>
      <c r="O1105"/>
    </row>
    <row r="1106" spans="1:15" x14ac:dyDescent="0.35">
      <c r="A1106" t="s">
        <v>1808</v>
      </c>
      <c r="B1106" s="2">
        <v>45735</v>
      </c>
      <c r="C1106" t="s">
        <v>24</v>
      </c>
      <c r="D1106" t="s">
        <v>29</v>
      </c>
      <c r="E1106" t="s">
        <v>12</v>
      </c>
      <c r="F1106" t="s">
        <v>13</v>
      </c>
      <c r="G1106">
        <v>3</v>
      </c>
      <c r="H1106">
        <v>2.5</v>
      </c>
      <c r="I1106" t="s">
        <v>21</v>
      </c>
      <c r="J1106" t="s">
        <v>1809</v>
      </c>
      <c r="K1106" s="12">
        <f>Store_Record[[#This Row],[Qty]]*Store_Record[[#This Row],[UnitPriceGBP]]</f>
        <v>7.5</v>
      </c>
      <c r="L1106" s="5" t="str">
        <f>TEXT(Store_Record[[#This Row],[Date]],"dddd")</f>
        <v>Wednesday</v>
      </c>
      <c r="M1106" s="5" t="str">
        <f>TEXT(Store_Record[[#This Row],[Date]],"mmmm")</f>
        <v>March</v>
      </c>
      <c r="N1106" s="5">
        <f>YEAR(Store_Record[[#This Row],[Date]])</f>
        <v>2025</v>
      </c>
      <c r="O1106"/>
    </row>
    <row r="1107" spans="1:15" x14ac:dyDescent="0.35">
      <c r="A1107" t="s">
        <v>1785</v>
      </c>
      <c r="B1107" s="2">
        <v>45735</v>
      </c>
      <c r="C1107" t="s">
        <v>24</v>
      </c>
      <c r="D1107" t="s">
        <v>152</v>
      </c>
      <c r="E1107" t="s">
        <v>42</v>
      </c>
      <c r="F1107" t="s">
        <v>13</v>
      </c>
      <c r="G1107">
        <v>1</v>
      </c>
      <c r="H1107">
        <v>3.8</v>
      </c>
      <c r="I1107" t="s">
        <v>21</v>
      </c>
      <c r="J1107" t="s">
        <v>551</v>
      </c>
      <c r="K1107" s="12">
        <f>Store_Record[[#This Row],[Qty]]*Store_Record[[#This Row],[UnitPriceGBP]]</f>
        <v>3.8</v>
      </c>
      <c r="L1107" s="5" t="str">
        <f>TEXT(Store_Record[[#This Row],[Date]],"dddd")</f>
        <v>Wednesday</v>
      </c>
      <c r="M1107" s="5" t="str">
        <f>TEXT(Store_Record[[#This Row],[Date]],"mmmm")</f>
        <v>March</v>
      </c>
      <c r="N1107" s="5">
        <f>YEAR(Store_Record[[#This Row],[Date]])</f>
        <v>2025</v>
      </c>
      <c r="O1107"/>
    </row>
    <row r="1108" spans="1:15" x14ac:dyDescent="0.35">
      <c r="A1108" t="s">
        <v>1796</v>
      </c>
      <c r="B1108" s="2">
        <v>45735</v>
      </c>
      <c r="C1108" t="s">
        <v>20</v>
      </c>
      <c r="D1108" t="s">
        <v>11</v>
      </c>
      <c r="E1108" t="s">
        <v>42</v>
      </c>
      <c r="F1108" t="s">
        <v>13</v>
      </c>
      <c r="G1108">
        <v>1</v>
      </c>
      <c r="H1108">
        <v>3.8</v>
      </c>
      <c r="I1108" t="s">
        <v>21</v>
      </c>
      <c r="J1108" t="s">
        <v>409</v>
      </c>
      <c r="K1108" s="12">
        <f>Store_Record[[#This Row],[Qty]]*Store_Record[[#This Row],[UnitPriceGBP]]</f>
        <v>3.8</v>
      </c>
      <c r="L1108" s="5" t="str">
        <f>TEXT(Store_Record[[#This Row],[Date]],"dddd")</f>
        <v>Wednesday</v>
      </c>
      <c r="M1108" s="5" t="str">
        <f>TEXT(Store_Record[[#This Row],[Date]],"mmmm")</f>
        <v>March</v>
      </c>
      <c r="N1108" s="5">
        <f>YEAR(Store_Record[[#This Row],[Date]])</f>
        <v>2025</v>
      </c>
      <c r="O1108"/>
    </row>
    <row r="1109" spans="1:15" x14ac:dyDescent="0.35">
      <c r="A1109" t="s">
        <v>1803</v>
      </c>
      <c r="B1109" s="2">
        <v>45735</v>
      </c>
      <c r="C1109" t="s">
        <v>20</v>
      </c>
      <c r="D1109" t="s">
        <v>25</v>
      </c>
      <c r="E1109" t="s">
        <v>42</v>
      </c>
      <c r="F1109" t="s">
        <v>13</v>
      </c>
      <c r="G1109">
        <v>1</v>
      </c>
      <c r="H1109">
        <v>3.8</v>
      </c>
      <c r="I1109" t="s">
        <v>14</v>
      </c>
      <c r="J1109" t="s">
        <v>1003</v>
      </c>
      <c r="K1109" s="12">
        <f>Store_Record[[#This Row],[Qty]]*Store_Record[[#This Row],[UnitPriceGBP]]</f>
        <v>3.8</v>
      </c>
      <c r="L1109" s="5" t="str">
        <f>TEXT(Store_Record[[#This Row],[Date]],"dddd")</f>
        <v>Wednesday</v>
      </c>
      <c r="M1109" s="5" t="str">
        <f>TEXT(Store_Record[[#This Row],[Date]],"mmmm")</f>
        <v>March</v>
      </c>
      <c r="N1109" s="5">
        <f>YEAR(Store_Record[[#This Row],[Date]])</f>
        <v>2025</v>
      </c>
      <c r="O1109"/>
    </row>
    <row r="1110" spans="1:15" x14ac:dyDescent="0.35">
      <c r="A1110" t="s">
        <v>1791</v>
      </c>
      <c r="B1110" s="2">
        <v>45735</v>
      </c>
      <c r="C1110" t="s">
        <v>10</v>
      </c>
      <c r="D1110" t="s">
        <v>38</v>
      </c>
      <c r="E1110" t="s">
        <v>34</v>
      </c>
      <c r="F1110" t="s">
        <v>31</v>
      </c>
      <c r="G1110">
        <v>1</v>
      </c>
      <c r="H1110">
        <v>2.2000000000000002</v>
      </c>
      <c r="I1110" t="s">
        <v>14</v>
      </c>
      <c r="J1110" t="s">
        <v>1792</v>
      </c>
      <c r="K1110" s="12">
        <f>Store_Record[[#This Row],[Qty]]*Store_Record[[#This Row],[UnitPriceGBP]]</f>
        <v>2.2000000000000002</v>
      </c>
      <c r="L1110" s="5" t="str">
        <f>TEXT(Store_Record[[#This Row],[Date]],"dddd")</f>
        <v>Wednesday</v>
      </c>
      <c r="M1110" s="5" t="str">
        <f>TEXT(Store_Record[[#This Row],[Date]],"mmmm")</f>
        <v>March</v>
      </c>
      <c r="N1110" s="5">
        <f>YEAR(Store_Record[[#This Row],[Date]])</f>
        <v>2025</v>
      </c>
      <c r="O1110"/>
    </row>
    <row r="1111" spans="1:15" x14ac:dyDescent="0.35">
      <c r="A1111" t="s">
        <v>1812</v>
      </c>
      <c r="B1111" s="2">
        <v>45736</v>
      </c>
      <c r="C1111" t="s">
        <v>24</v>
      </c>
      <c r="D1111" t="s">
        <v>11</v>
      </c>
      <c r="E1111" t="s">
        <v>26</v>
      </c>
      <c r="F1111" t="s">
        <v>13</v>
      </c>
      <c r="G1111">
        <v>5</v>
      </c>
      <c r="H1111">
        <v>3.5</v>
      </c>
      <c r="I1111" t="s">
        <v>21</v>
      </c>
      <c r="J1111" t="s">
        <v>396</v>
      </c>
      <c r="K1111" s="12">
        <f>Store_Record[[#This Row],[Qty]]*Store_Record[[#This Row],[UnitPriceGBP]]</f>
        <v>17.5</v>
      </c>
      <c r="L1111" s="5" t="str">
        <f>TEXT(Store_Record[[#This Row],[Date]],"dddd")</f>
        <v>Thursday</v>
      </c>
      <c r="M1111" s="5" t="str">
        <f>TEXT(Store_Record[[#This Row],[Date]],"mmmm")</f>
        <v>March</v>
      </c>
      <c r="N1111" s="5">
        <f>YEAR(Store_Record[[#This Row],[Date]])</f>
        <v>2025</v>
      </c>
      <c r="O1111"/>
    </row>
    <row r="1112" spans="1:15" x14ac:dyDescent="0.35">
      <c r="A1112" t="s">
        <v>1820</v>
      </c>
      <c r="B1112" s="2">
        <v>45736</v>
      </c>
      <c r="C1112" t="s">
        <v>24</v>
      </c>
      <c r="D1112" t="s">
        <v>29</v>
      </c>
      <c r="E1112" t="s">
        <v>26</v>
      </c>
      <c r="F1112" t="s">
        <v>13</v>
      </c>
      <c r="G1112">
        <v>5</v>
      </c>
      <c r="H1112">
        <v>3.5</v>
      </c>
      <c r="I1112" t="s">
        <v>21</v>
      </c>
      <c r="J1112" t="s">
        <v>1703</v>
      </c>
      <c r="K1112" s="12">
        <f>Store_Record[[#This Row],[Qty]]*Store_Record[[#This Row],[UnitPriceGBP]]</f>
        <v>17.5</v>
      </c>
      <c r="L1112" s="5" t="str">
        <f>TEXT(Store_Record[[#This Row],[Date]],"dddd")</f>
        <v>Thursday</v>
      </c>
      <c r="M1112" s="5" t="str">
        <f>TEXT(Store_Record[[#This Row],[Date]],"mmmm")</f>
        <v>March</v>
      </c>
      <c r="N1112" s="5">
        <f>YEAR(Store_Record[[#This Row],[Date]])</f>
        <v>2025</v>
      </c>
      <c r="O1112"/>
    </row>
    <row r="1113" spans="1:15" x14ac:dyDescent="0.35">
      <c r="A1113" t="s">
        <v>1823</v>
      </c>
      <c r="B1113" s="2">
        <v>45736</v>
      </c>
      <c r="C1113" t="s">
        <v>24</v>
      </c>
      <c r="D1113" t="s">
        <v>29</v>
      </c>
      <c r="E1113" t="s">
        <v>26</v>
      </c>
      <c r="F1113" t="s">
        <v>13</v>
      </c>
      <c r="G1113">
        <v>5</v>
      </c>
      <c r="H1113">
        <v>3.5</v>
      </c>
      <c r="I1113" t="s">
        <v>14</v>
      </c>
      <c r="J1113" t="s">
        <v>832</v>
      </c>
      <c r="K1113" s="12">
        <f>Store_Record[[#This Row],[Qty]]*Store_Record[[#This Row],[UnitPriceGBP]]</f>
        <v>17.5</v>
      </c>
      <c r="L1113" s="5" t="str">
        <f>TEXT(Store_Record[[#This Row],[Date]],"dddd")</f>
        <v>Thursday</v>
      </c>
      <c r="M1113" s="5" t="str">
        <f>TEXT(Store_Record[[#This Row],[Date]],"mmmm")</f>
        <v>March</v>
      </c>
      <c r="N1113" s="5">
        <f>YEAR(Store_Record[[#This Row],[Date]])</f>
        <v>2025</v>
      </c>
      <c r="O1113"/>
    </row>
    <row r="1114" spans="1:15" x14ac:dyDescent="0.35">
      <c r="A1114" t="s">
        <v>1821</v>
      </c>
      <c r="B1114" s="2">
        <v>45736</v>
      </c>
      <c r="C1114" t="s">
        <v>36</v>
      </c>
      <c r="D1114" t="s">
        <v>38</v>
      </c>
      <c r="E1114" t="s">
        <v>12</v>
      </c>
      <c r="F1114" t="s">
        <v>13</v>
      </c>
      <c r="G1114">
        <v>5</v>
      </c>
      <c r="H1114">
        <v>2.5</v>
      </c>
      <c r="I1114" t="s">
        <v>14</v>
      </c>
      <c r="J1114" t="s">
        <v>530</v>
      </c>
      <c r="K1114" s="12">
        <f>Store_Record[[#This Row],[Qty]]*Store_Record[[#This Row],[UnitPriceGBP]]</f>
        <v>12.5</v>
      </c>
      <c r="L1114" s="5" t="str">
        <f>TEXT(Store_Record[[#This Row],[Date]],"dddd")</f>
        <v>Thursday</v>
      </c>
      <c r="M1114" s="5" t="str">
        <f>TEXT(Store_Record[[#This Row],[Date]],"mmmm")</f>
        <v>March</v>
      </c>
      <c r="N1114" s="5">
        <f>YEAR(Store_Record[[#This Row],[Date]])</f>
        <v>2025</v>
      </c>
      <c r="O1114"/>
    </row>
    <row r="1115" spans="1:15" x14ac:dyDescent="0.35">
      <c r="A1115" t="s">
        <v>1826</v>
      </c>
      <c r="B1115" s="2">
        <v>45736</v>
      </c>
      <c r="C1115" t="s">
        <v>10</v>
      </c>
      <c r="D1115" t="s">
        <v>25</v>
      </c>
      <c r="E1115" t="s">
        <v>12</v>
      </c>
      <c r="F1115" t="s">
        <v>13</v>
      </c>
      <c r="G1115">
        <v>5</v>
      </c>
      <c r="H1115">
        <v>2.5</v>
      </c>
      <c r="I1115" t="s">
        <v>39</v>
      </c>
      <c r="J1115" t="s">
        <v>1814</v>
      </c>
      <c r="K1115" s="12">
        <f>Store_Record[[#This Row],[Qty]]*Store_Record[[#This Row],[UnitPriceGBP]]</f>
        <v>12.5</v>
      </c>
      <c r="L1115" s="5" t="str">
        <f>TEXT(Store_Record[[#This Row],[Date]],"dddd")</f>
        <v>Thursday</v>
      </c>
      <c r="M1115" s="5" t="str">
        <f>TEXT(Store_Record[[#This Row],[Date]],"mmmm")</f>
        <v>March</v>
      </c>
      <c r="N1115" s="5">
        <f>YEAR(Store_Record[[#This Row],[Date]])</f>
        <v>2025</v>
      </c>
      <c r="O1115"/>
    </row>
    <row r="1116" spans="1:15" x14ac:dyDescent="0.35">
      <c r="A1116" t="s">
        <v>1811</v>
      </c>
      <c r="B1116" s="2">
        <v>45736</v>
      </c>
      <c r="C1116" t="s">
        <v>10</v>
      </c>
      <c r="D1116" t="s">
        <v>38</v>
      </c>
      <c r="E1116" t="s">
        <v>26</v>
      </c>
      <c r="F1116" t="s">
        <v>13</v>
      </c>
      <c r="G1116">
        <v>3</v>
      </c>
      <c r="H1116">
        <v>3.5</v>
      </c>
      <c r="I1116" t="s">
        <v>21</v>
      </c>
      <c r="J1116" t="s">
        <v>571</v>
      </c>
      <c r="K1116" s="12">
        <f>Store_Record[[#This Row],[Qty]]*Store_Record[[#This Row],[UnitPriceGBP]]</f>
        <v>10.5</v>
      </c>
      <c r="L1116" s="5" t="str">
        <f>TEXT(Store_Record[[#This Row],[Date]],"dddd")</f>
        <v>Thursday</v>
      </c>
      <c r="M1116" s="5" t="str">
        <f>TEXT(Store_Record[[#This Row],[Date]],"mmmm")</f>
        <v>March</v>
      </c>
      <c r="N1116" s="5">
        <f>YEAR(Store_Record[[#This Row],[Date]])</f>
        <v>2025</v>
      </c>
      <c r="O1116"/>
    </row>
    <row r="1117" spans="1:15" x14ac:dyDescent="0.35">
      <c r="A1117" t="s">
        <v>1817</v>
      </c>
      <c r="B1117" s="2">
        <v>45736</v>
      </c>
      <c r="C1117" t="s">
        <v>20</v>
      </c>
      <c r="D1117" t="s">
        <v>38</v>
      </c>
      <c r="E1117" t="s">
        <v>30</v>
      </c>
      <c r="F1117" t="s">
        <v>31</v>
      </c>
      <c r="G1117">
        <v>2</v>
      </c>
      <c r="H1117">
        <v>2.8</v>
      </c>
      <c r="I1117" t="s">
        <v>39</v>
      </c>
      <c r="J1117" t="s">
        <v>1145</v>
      </c>
      <c r="K1117" s="12">
        <f>Store_Record[[#This Row],[Qty]]*Store_Record[[#This Row],[UnitPriceGBP]]</f>
        <v>5.6</v>
      </c>
      <c r="L1117" s="5" t="str">
        <f>TEXT(Store_Record[[#This Row],[Date]],"dddd")</f>
        <v>Thursday</v>
      </c>
      <c r="M1117" s="5" t="str">
        <f>TEXT(Store_Record[[#This Row],[Date]],"mmmm")</f>
        <v>March</v>
      </c>
      <c r="N1117" s="5">
        <f>YEAR(Store_Record[[#This Row],[Date]])</f>
        <v>2025</v>
      </c>
      <c r="O1117"/>
    </row>
    <row r="1118" spans="1:15" x14ac:dyDescent="0.35">
      <c r="A1118" t="s">
        <v>1815</v>
      </c>
      <c r="B1118" s="2">
        <v>45736</v>
      </c>
      <c r="C1118" t="s">
        <v>24</v>
      </c>
      <c r="D1118" t="s">
        <v>11</v>
      </c>
      <c r="E1118" t="s">
        <v>26</v>
      </c>
      <c r="F1118" t="s">
        <v>13</v>
      </c>
      <c r="G1118">
        <v>1</v>
      </c>
      <c r="H1118">
        <v>3.5</v>
      </c>
      <c r="I1118" t="s">
        <v>39</v>
      </c>
      <c r="J1118" t="s">
        <v>1462</v>
      </c>
      <c r="K1118" s="12">
        <f>Store_Record[[#This Row],[Qty]]*Store_Record[[#This Row],[UnitPriceGBP]]</f>
        <v>3.5</v>
      </c>
      <c r="L1118" s="5" t="str">
        <f>TEXT(Store_Record[[#This Row],[Date]],"dddd")</f>
        <v>Thursday</v>
      </c>
      <c r="M1118" s="5" t="str">
        <f>TEXT(Store_Record[[#This Row],[Date]],"mmmm")</f>
        <v>March</v>
      </c>
      <c r="N1118" s="5">
        <f>YEAR(Store_Record[[#This Row],[Date]])</f>
        <v>2025</v>
      </c>
      <c r="O1118"/>
    </row>
    <row r="1119" spans="1:15" x14ac:dyDescent="0.35">
      <c r="A1119" t="s">
        <v>1818</v>
      </c>
      <c r="B1119" s="2">
        <v>45736</v>
      </c>
      <c r="C1119" t="s">
        <v>24</v>
      </c>
      <c r="D1119" t="s">
        <v>25</v>
      </c>
      <c r="E1119" t="s">
        <v>26</v>
      </c>
      <c r="F1119" t="s">
        <v>13</v>
      </c>
      <c r="G1119">
        <v>1</v>
      </c>
      <c r="H1119">
        <v>3.5</v>
      </c>
      <c r="I1119" t="s">
        <v>21</v>
      </c>
      <c r="J1119" t="s">
        <v>1088</v>
      </c>
      <c r="K1119" s="12">
        <f>Store_Record[[#This Row],[Qty]]*Store_Record[[#This Row],[UnitPriceGBP]]</f>
        <v>3.5</v>
      </c>
      <c r="L1119" s="5" t="str">
        <f>TEXT(Store_Record[[#This Row],[Date]],"dddd")</f>
        <v>Thursday</v>
      </c>
      <c r="M1119" s="5" t="str">
        <f>TEXT(Store_Record[[#This Row],[Date]],"mmmm")</f>
        <v>March</v>
      </c>
      <c r="N1119" s="5">
        <f>YEAR(Store_Record[[#This Row],[Date]])</f>
        <v>2025</v>
      </c>
      <c r="O1119"/>
    </row>
    <row r="1120" spans="1:15" x14ac:dyDescent="0.35">
      <c r="A1120" t="s">
        <v>1810</v>
      </c>
      <c r="B1120" s="2">
        <v>45736</v>
      </c>
      <c r="C1120" t="s">
        <v>36</v>
      </c>
      <c r="D1120" t="s">
        <v>11</v>
      </c>
      <c r="E1120" t="s">
        <v>30</v>
      </c>
      <c r="F1120" t="s">
        <v>31</v>
      </c>
      <c r="G1120">
        <v>1</v>
      </c>
      <c r="H1120">
        <v>2.8</v>
      </c>
      <c r="I1120" t="s">
        <v>21</v>
      </c>
      <c r="J1120" t="s">
        <v>888</v>
      </c>
      <c r="K1120" s="12">
        <f>Store_Record[[#This Row],[Qty]]*Store_Record[[#This Row],[UnitPriceGBP]]</f>
        <v>2.8</v>
      </c>
      <c r="L1120" s="5" t="str">
        <f>TEXT(Store_Record[[#This Row],[Date]],"dddd")</f>
        <v>Thursday</v>
      </c>
      <c r="M1120" s="5" t="str">
        <f>TEXT(Store_Record[[#This Row],[Date]],"mmmm")</f>
        <v>March</v>
      </c>
      <c r="N1120" s="5">
        <f>YEAR(Store_Record[[#This Row],[Date]])</f>
        <v>2025</v>
      </c>
      <c r="O1120"/>
    </row>
    <row r="1121" spans="1:15" x14ac:dyDescent="0.35">
      <c r="A1121" t="s">
        <v>1813</v>
      </c>
      <c r="B1121" s="2">
        <v>45736</v>
      </c>
      <c r="C1121" t="s">
        <v>20</v>
      </c>
      <c r="D1121" t="s">
        <v>47</v>
      </c>
      <c r="E1121" t="s">
        <v>30</v>
      </c>
      <c r="F1121" t="s">
        <v>31</v>
      </c>
      <c r="G1121">
        <v>1</v>
      </c>
      <c r="H1121">
        <v>2.8</v>
      </c>
      <c r="I1121" t="s">
        <v>14</v>
      </c>
      <c r="J1121" t="s">
        <v>1814</v>
      </c>
      <c r="K1121" s="12">
        <f>Store_Record[[#This Row],[Qty]]*Store_Record[[#This Row],[UnitPriceGBP]]</f>
        <v>2.8</v>
      </c>
      <c r="L1121" s="5" t="str">
        <f>TEXT(Store_Record[[#This Row],[Date]],"dddd")</f>
        <v>Thursday</v>
      </c>
      <c r="M1121" s="5" t="str">
        <f>TEXT(Store_Record[[#This Row],[Date]],"mmmm")</f>
        <v>March</v>
      </c>
      <c r="N1121" s="5">
        <f>YEAR(Store_Record[[#This Row],[Date]])</f>
        <v>2025</v>
      </c>
      <c r="O1121"/>
    </row>
    <row r="1122" spans="1:15" x14ac:dyDescent="0.35">
      <c r="A1122" t="s">
        <v>1816</v>
      </c>
      <c r="B1122" s="2">
        <v>45736</v>
      </c>
      <c r="C1122" t="s">
        <v>20</v>
      </c>
      <c r="D1122" t="s">
        <v>47</v>
      </c>
      <c r="E1122" t="s">
        <v>30</v>
      </c>
      <c r="F1122" t="s">
        <v>31</v>
      </c>
      <c r="G1122">
        <v>1</v>
      </c>
      <c r="H1122">
        <v>2.8</v>
      </c>
      <c r="I1122" t="s">
        <v>39</v>
      </c>
      <c r="J1122" t="s">
        <v>1217</v>
      </c>
      <c r="K1122" s="12">
        <f>Store_Record[[#This Row],[Qty]]*Store_Record[[#This Row],[UnitPriceGBP]]</f>
        <v>2.8</v>
      </c>
      <c r="L1122" s="5" t="str">
        <f>TEXT(Store_Record[[#This Row],[Date]],"dddd")</f>
        <v>Thursday</v>
      </c>
      <c r="M1122" s="5" t="str">
        <f>TEXT(Store_Record[[#This Row],[Date]],"mmmm")</f>
        <v>March</v>
      </c>
      <c r="N1122" s="5">
        <f>YEAR(Store_Record[[#This Row],[Date]])</f>
        <v>2025</v>
      </c>
      <c r="O1122"/>
    </row>
    <row r="1123" spans="1:15" x14ac:dyDescent="0.35">
      <c r="A1123" t="s">
        <v>1819</v>
      </c>
      <c r="B1123" s="2">
        <v>45736</v>
      </c>
      <c r="C1123" t="s">
        <v>36</v>
      </c>
      <c r="D1123" t="s">
        <v>47</v>
      </c>
      <c r="E1123" t="s">
        <v>30</v>
      </c>
      <c r="F1123" t="s">
        <v>31</v>
      </c>
      <c r="G1123">
        <v>1</v>
      </c>
      <c r="H1123">
        <v>2.8</v>
      </c>
      <c r="I1123" t="s">
        <v>21</v>
      </c>
      <c r="J1123" t="s">
        <v>748</v>
      </c>
      <c r="K1123" s="12">
        <f>Store_Record[[#This Row],[Qty]]*Store_Record[[#This Row],[UnitPriceGBP]]</f>
        <v>2.8</v>
      </c>
      <c r="L1123" s="5" t="str">
        <f>TEXT(Store_Record[[#This Row],[Date]],"dddd")</f>
        <v>Thursday</v>
      </c>
      <c r="M1123" s="5" t="str">
        <f>TEXT(Store_Record[[#This Row],[Date]],"mmmm")</f>
        <v>March</v>
      </c>
      <c r="N1123" s="5">
        <f>YEAR(Store_Record[[#This Row],[Date]])</f>
        <v>2025</v>
      </c>
      <c r="O1123"/>
    </row>
    <row r="1124" spans="1:15" x14ac:dyDescent="0.35">
      <c r="A1124" t="s">
        <v>1822</v>
      </c>
      <c r="B1124" s="2">
        <v>45736</v>
      </c>
      <c r="C1124" t="s">
        <v>10</v>
      </c>
      <c r="D1124" t="s">
        <v>11</v>
      </c>
      <c r="E1124" t="s">
        <v>12</v>
      </c>
      <c r="F1124" t="s">
        <v>13</v>
      </c>
      <c r="G1124">
        <v>1</v>
      </c>
      <c r="H1124">
        <v>2.5</v>
      </c>
      <c r="I1124" t="s">
        <v>39</v>
      </c>
      <c r="J1124" t="s">
        <v>1455</v>
      </c>
      <c r="K1124" s="12">
        <f>Store_Record[[#This Row],[Qty]]*Store_Record[[#This Row],[UnitPriceGBP]]</f>
        <v>2.5</v>
      </c>
      <c r="L1124" s="5" t="str">
        <f>TEXT(Store_Record[[#This Row],[Date]],"dddd")</f>
        <v>Thursday</v>
      </c>
      <c r="M1124" s="5" t="str">
        <f>TEXT(Store_Record[[#This Row],[Date]],"mmmm")</f>
        <v>March</v>
      </c>
      <c r="N1124" s="5">
        <f>YEAR(Store_Record[[#This Row],[Date]])</f>
        <v>2025</v>
      </c>
      <c r="O1124"/>
    </row>
    <row r="1125" spans="1:15" x14ac:dyDescent="0.35">
      <c r="A1125" t="s">
        <v>1824</v>
      </c>
      <c r="B1125" s="2">
        <v>45736</v>
      </c>
      <c r="C1125" t="s">
        <v>24</v>
      </c>
      <c r="D1125" t="s">
        <v>11</v>
      </c>
      <c r="E1125" t="s">
        <v>12</v>
      </c>
      <c r="F1125" t="s">
        <v>13</v>
      </c>
      <c r="G1125">
        <v>1</v>
      </c>
      <c r="H1125">
        <v>2.5</v>
      </c>
      <c r="I1125" t="s">
        <v>21</v>
      </c>
      <c r="J1125" t="s">
        <v>1825</v>
      </c>
      <c r="K1125" s="12">
        <f>Store_Record[[#This Row],[Qty]]*Store_Record[[#This Row],[UnitPriceGBP]]</f>
        <v>2.5</v>
      </c>
      <c r="L1125" s="5" t="str">
        <f>TEXT(Store_Record[[#This Row],[Date]],"dddd")</f>
        <v>Thursday</v>
      </c>
      <c r="M1125" s="5" t="str">
        <f>TEXT(Store_Record[[#This Row],[Date]],"mmmm")</f>
        <v>March</v>
      </c>
      <c r="N1125" s="5">
        <f>YEAR(Store_Record[[#This Row],[Date]])</f>
        <v>2025</v>
      </c>
      <c r="O1125"/>
    </row>
    <row r="1126" spans="1:15" x14ac:dyDescent="0.35">
      <c r="A1126" t="s">
        <v>1827</v>
      </c>
      <c r="B1126" s="2">
        <v>45737</v>
      </c>
      <c r="C1126" t="s">
        <v>20</v>
      </c>
      <c r="D1126" t="s">
        <v>11</v>
      </c>
      <c r="E1126" t="s">
        <v>42</v>
      </c>
      <c r="F1126" t="s">
        <v>13</v>
      </c>
      <c r="G1126">
        <v>5</v>
      </c>
      <c r="H1126">
        <v>3.8</v>
      </c>
      <c r="I1126" t="s">
        <v>21</v>
      </c>
      <c r="J1126" t="s">
        <v>1828</v>
      </c>
      <c r="K1126" s="12">
        <f>Store_Record[[#This Row],[Qty]]*Store_Record[[#This Row],[UnitPriceGBP]]</f>
        <v>19</v>
      </c>
      <c r="L1126" s="5" t="str">
        <f>TEXT(Store_Record[[#This Row],[Date]],"dddd")</f>
        <v>Friday</v>
      </c>
      <c r="M1126" s="5" t="str">
        <f>TEXT(Store_Record[[#This Row],[Date]],"mmmm")</f>
        <v>March</v>
      </c>
      <c r="N1126" s="5">
        <f>YEAR(Store_Record[[#This Row],[Date]])</f>
        <v>2025</v>
      </c>
      <c r="O1126"/>
    </row>
    <row r="1127" spans="1:15" x14ac:dyDescent="0.35">
      <c r="A1127" t="s">
        <v>1842</v>
      </c>
      <c r="B1127" s="2">
        <v>45737</v>
      </c>
      <c r="C1127" t="s">
        <v>20</v>
      </c>
      <c r="D1127" t="s">
        <v>47</v>
      </c>
      <c r="E1127" t="s">
        <v>42</v>
      </c>
      <c r="F1127" t="s">
        <v>13</v>
      </c>
      <c r="G1127">
        <v>4</v>
      </c>
      <c r="H1127">
        <v>3.8</v>
      </c>
      <c r="I1127" t="s">
        <v>14</v>
      </c>
      <c r="J1127" t="s">
        <v>1799</v>
      </c>
      <c r="K1127" s="12">
        <f>Store_Record[[#This Row],[Qty]]*Store_Record[[#This Row],[UnitPriceGBP]]</f>
        <v>15.2</v>
      </c>
      <c r="L1127" s="5" t="str">
        <f>TEXT(Store_Record[[#This Row],[Date]],"dddd")</f>
        <v>Friday</v>
      </c>
      <c r="M1127" s="5" t="str">
        <f>TEXT(Store_Record[[#This Row],[Date]],"mmmm")</f>
        <v>March</v>
      </c>
      <c r="N1127" s="5">
        <f>YEAR(Store_Record[[#This Row],[Date]])</f>
        <v>2025</v>
      </c>
      <c r="O1127"/>
    </row>
    <row r="1128" spans="1:15" x14ac:dyDescent="0.35">
      <c r="A1128" t="s">
        <v>1831</v>
      </c>
      <c r="B1128" s="2">
        <v>45737</v>
      </c>
      <c r="C1128" t="s">
        <v>24</v>
      </c>
      <c r="D1128" t="s">
        <v>29</v>
      </c>
      <c r="E1128" t="s">
        <v>12</v>
      </c>
      <c r="F1128" t="s">
        <v>13</v>
      </c>
      <c r="G1128">
        <v>5</v>
      </c>
      <c r="H1128">
        <v>2.5</v>
      </c>
      <c r="I1128" t="s">
        <v>21</v>
      </c>
      <c r="J1128" t="s">
        <v>115</v>
      </c>
      <c r="K1128" s="12">
        <f>Store_Record[[#This Row],[Qty]]*Store_Record[[#This Row],[UnitPriceGBP]]</f>
        <v>12.5</v>
      </c>
      <c r="L1128" s="5" t="str">
        <f>TEXT(Store_Record[[#This Row],[Date]],"dddd")</f>
        <v>Friday</v>
      </c>
      <c r="M1128" s="5" t="str">
        <f>TEXT(Store_Record[[#This Row],[Date]],"mmmm")</f>
        <v>March</v>
      </c>
      <c r="N1128" s="5">
        <f>YEAR(Store_Record[[#This Row],[Date]])</f>
        <v>2025</v>
      </c>
      <c r="O1128"/>
    </row>
    <row r="1129" spans="1:15" x14ac:dyDescent="0.35">
      <c r="A1129" t="s">
        <v>1837</v>
      </c>
      <c r="B1129" s="2">
        <v>45737</v>
      </c>
      <c r="C1129" t="s">
        <v>24</v>
      </c>
      <c r="D1129" t="s">
        <v>38</v>
      </c>
      <c r="E1129" t="s">
        <v>42</v>
      </c>
      <c r="F1129" t="s">
        <v>13</v>
      </c>
      <c r="G1129">
        <v>3</v>
      </c>
      <c r="H1129">
        <v>3.8</v>
      </c>
      <c r="I1129" t="s">
        <v>39</v>
      </c>
      <c r="J1129" t="s">
        <v>1838</v>
      </c>
      <c r="K1129" s="12">
        <f>Store_Record[[#This Row],[Qty]]*Store_Record[[#This Row],[UnitPriceGBP]]</f>
        <v>11.399999999999999</v>
      </c>
      <c r="L1129" s="5" t="str">
        <f>TEXT(Store_Record[[#This Row],[Date]],"dddd")</f>
        <v>Friday</v>
      </c>
      <c r="M1129" s="5" t="str">
        <f>TEXT(Store_Record[[#This Row],[Date]],"mmmm")</f>
        <v>March</v>
      </c>
      <c r="N1129" s="5">
        <f>YEAR(Store_Record[[#This Row],[Date]])</f>
        <v>2025</v>
      </c>
      <c r="O1129"/>
    </row>
    <row r="1130" spans="1:15" x14ac:dyDescent="0.35">
      <c r="A1130" t="s">
        <v>1835</v>
      </c>
      <c r="B1130" s="2">
        <v>45737</v>
      </c>
      <c r="C1130" t="s">
        <v>24</v>
      </c>
      <c r="D1130" t="s">
        <v>25</v>
      </c>
      <c r="E1130" t="s">
        <v>34</v>
      </c>
      <c r="F1130" t="s">
        <v>31</v>
      </c>
      <c r="G1130">
        <v>5</v>
      </c>
      <c r="H1130">
        <v>2.2000000000000002</v>
      </c>
      <c r="I1130" t="s">
        <v>39</v>
      </c>
      <c r="J1130" t="s">
        <v>1836</v>
      </c>
      <c r="K1130" s="12">
        <f>Store_Record[[#This Row],[Qty]]*Store_Record[[#This Row],[UnitPriceGBP]]</f>
        <v>11</v>
      </c>
      <c r="L1130" s="5" t="str">
        <f>TEXT(Store_Record[[#This Row],[Date]],"dddd")</f>
        <v>Friday</v>
      </c>
      <c r="M1130" s="5" t="str">
        <f>TEXT(Store_Record[[#This Row],[Date]],"mmmm")</f>
        <v>March</v>
      </c>
      <c r="N1130" s="5">
        <f>YEAR(Store_Record[[#This Row],[Date]])</f>
        <v>2025</v>
      </c>
      <c r="O1130"/>
    </row>
    <row r="1131" spans="1:15" x14ac:dyDescent="0.35">
      <c r="A1131" t="s">
        <v>1834</v>
      </c>
      <c r="B1131" s="2">
        <v>45737</v>
      </c>
      <c r="C1131" t="s">
        <v>24</v>
      </c>
      <c r="D1131" t="s">
        <v>38</v>
      </c>
      <c r="E1131" t="s">
        <v>12</v>
      </c>
      <c r="F1131" t="s">
        <v>13</v>
      </c>
      <c r="G1131">
        <v>4</v>
      </c>
      <c r="H1131">
        <v>2.5</v>
      </c>
      <c r="I1131" t="s">
        <v>39</v>
      </c>
      <c r="J1131" t="s">
        <v>227</v>
      </c>
      <c r="K1131" s="12">
        <f>Store_Record[[#This Row],[Qty]]*Store_Record[[#This Row],[UnitPriceGBP]]</f>
        <v>10</v>
      </c>
      <c r="L1131" s="5" t="str">
        <f>TEXT(Store_Record[[#This Row],[Date]],"dddd")</f>
        <v>Friday</v>
      </c>
      <c r="M1131" s="5" t="str">
        <f>TEXT(Store_Record[[#This Row],[Date]],"mmmm")</f>
        <v>March</v>
      </c>
      <c r="N1131" s="5">
        <f>YEAR(Store_Record[[#This Row],[Date]])</f>
        <v>2025</v>
      </c>
      <c r="O1131"/>
    </row>
    <row r="1132" spans="1:15" x14ac:dyDescent="0.35">
      <c r="A1132" t="s">
        <v>1843</v>
      </c>
      <c r="B1132" s="2">
        <v>45737</v>
      </c>
      <c r="C1132" t="s">
        <v>24</v>
      </c>
      <c r="D1132" t="s">
        <v>38</v>
      </c>
      <c r="E1132" t="s">
        <v>34</v>
      </c>
      <c r="F1132" t="s">
        <v>31</v>
      </c>
      <c r="G1132">
        <v>4</v>
      </c>
      <c r="H1132">
        <v>2.2000000000000002</v>
      </c>
      <c r="I1132" t="s">
        <v>21</v>
      </c>
      <c r="J1132" t="s">
        <v>539</v>
      </c>
      <c r="K1132" s="12">
        <f>Store_Record[[#This Row],[Qty]]*Store_Record[[#This Row],[UnitPriceGBP]]</f>
        <v>8.8000000000000007</v>
      </c>
      <c r="L1132" s="5" t="str">
        <f>TEXT(Store_Record[[#This Row],[Date]],"dddd")</f>
        <v>Friday</v>
      </c>
      <c r="M1132" s="5" t="str">
        <f>TEXT(Store_Record[[#This Row],[Date]],"mmmm")</f>
        <v>March</v>
      </c>
      <c r="N1132" s="5">
        <f>YEAR(Store_Record[[#This Row],[Date]])</f>
        <v>2025</v>
      </c>
      <c r="O1132"/>
    </row>
    <row r="1133" spans="1:15" x14ac:dyDescent="0.35">
      <c r="A1133" t="s">
        <v>1830</v>
      </c>
      <c r="B1133" s="2">
        <v>45737</v>
      </c>
      <c r="C1133" t="s">
        <v>24</v>
      </c>
      <c r="D1133" t="s">
        <v>29</v>
      </c>
      <c r="E1133" t="s">
        <v>34</v>
      </c>
      <c r="F1133" t="s">
        <v>31</v>
      </c>
      <c r="G1133">
        <v>3</v>
      </c>
      <c r="H1133">
        <v>2.2000000000000002</v>
      </c>
      <c r="I1133" t="s">
        <v>39</v>
      </c>
      <c r="J1133" t="s">
        <v>774</v>
      </c>
      <c r="K1133" s="12">
        <f>Store_Record[[#This Row],[Qty]]*Store_Record[[#This Row],[UnitPriceGBP]]</f>
        <v>6.6000000000000005</v>
      </c>
      <c r="L1133" s="5" t="str">
        <f>TEXT(Store_Record[[#This Row],[Date]],"dddd")</f>
        <v>Friday</v>
      </c>
      <c r="M1133" s="5" t="str">
        <f>TEXT(Store_Record[[#This Row],[Date]],"mmmm")</f>
        <v>March</v>
      </c>
      <c r="N1133" s="5">
        <f>YEAR(Store_Record[[#This Row],[Date]])</f>
        <v>2025</v>
      </c>
      <c r="O1133"/>
    </row>
    <row r="1134" spans="1:15" x14ac:dyDescent="0.35">
      <c r="A1134" t="s">
        <v>1839</v>
      </c>
      <c r="B1134" s="2">
        <v>45737</v>
      </c>
      <c r="C1134" t="s">
        <v>20</v>
      </c>
      <c r="D1134" t="s">
        <v>29</v>
      </c>
      <c r="E1134" t="s">
        <v>30</v>
      </c>
      <c r="F1134" t="s">
        <v>31</v>
      </c>
      <c r="G1134">
        <v>2</v>
      </c>
      <c r="H1134">
        <v>2.8</v>
      </c>
      <c r="I1134" t="s">
        <v>39</v>
      </c>
      <c r="J1134" t="s">
        <v>1840</v>
      </c>
      <c r="K1134" s="12">
        <f>Store_Record[[#This Row],[Qty]]*Store_Record[[#This Row],[UnitPriceGBP]]</f>
        <v>5.6</v>
      </c>
      <c r="L1134" s="5" t="str">
        <f>TEXT(Store_Record[[#This Row],[Date]],"dddd")</f>
        <v>Friday</v>
      </c>
      <c r="M1134" s="5" t="str">
        <f>TEXT(Store_Record[[#This Row],[Date]],"mmmm")</f>
        <v>March</v>
      </c>
      <c r="N1134" s="5">
        <f>YEAR(Store_Record[[#This Row],[Date]])</f>
        <v>2025</v>
      </c>
      <c r="O1134"/>
    </row>
    <row r="1135" spans="1:15" x14ac:dyDescent="0.35">
      <c r="A1135" t="s">
        <v>1832</v>
      </c>
      <c r="B1135" s="2">
        <v>45737</v>
      </c>
      <c r="C1135" t="s">
        <v>20</v>
      </c>
      <c r="D1135" t="s">
        <v>29</v>
      </c>
      <c r="E1135" t="s">
        <v>12</v>
      </c>
      <c r="F1135" t="s">
        <v>13</v>
      </c>
      <c r="G1135">
        <v>2</v>
      </c>
      <c r="H1135">
        <v>2.5</v>
      </c>
      <c r="I1135" t="s">
        <v>39</v>
      </c>
      <c r="J1135" t="s">
        <v>1833</v>
      </c>
      <c r="K1135" s="12">
        <f>Store_Record[[#This Row],[Qty]]*Store_Record[[#This Row],[UnitPriceGBP]]</f>
        <v>5</v>
      </c>
      <c r="L1135" s="5" t="str">
        <f>TEXT(Store_Record[[#This Row],[Date]],"dddd")</f>
        <v>Friday</v>
      </c>
      <c r="M1135" s="5" t="str">
        <f>TEXT(Store_Record[[#This Row],[Date]],"mmmm")</f>
        <v>March</v>
      </c>
      <c r="N1135" s="5">
        <f>YEAR(Store_Record[[#This Row],[Date]])</f>
        <v>2025</v>
      </c>
      <c r="O1135"/>
    </row>
    <row r="1136" spans="1:15" x14ac:dyDescent="0.35">
      <c r="A1136" t="s">
        <v>1829</v>
      </c>
      <c r="B1136" s="2">
        <v>45737</v>
      </c>
      <c r="C1136" t="s">
        <v>36</v>
      </c>
      <c r="D1136" t="s">
        <v>29</v>
      </c>
      <c r="E1136" t="s">
        <v>30</v>
      </c>
      <c r="F1136" t="s">
        <v>31</v>
      </c>
      <c r="G1136">
        <v>1</v>
      </c>
      <c r="H1136">
        <v>2.8</v>
      </c>
      <c r="I1136" t="s">
        <v>14</v>
      </c>
      <c r="J1136" t="s">
        <v>426</v>
      </c>
      <c r="K1136" s="12">
        <f>Store_Record[[#This Row],[Qty]]*Store_Record[[#This Row],[UnitPriceGBP]]</f>
        <v>2.8</v>
      </c>
      <c r="L1136" s="5" t="str">
        <f>TEXT(Store_Record[[#This Row],[Date]],"dddd")</f>
        <v>Friday</v>
      </c>
      <c r="M1136" s="5" t="str">
        <f>TEXT(Store_Record[[#This Row],[Date]],"mmmm")</f>
        <v>March</v>
      </c>
      <c r="N1136" s="5">
        <f>YEAR(Store_Record[[#This Row],[Date]])</f>
        <v>2025</v>
      </c>
      <c r="O1136"/>
    </row>
    <row r="1137" spans="1:15" x14ac:dyDescent="0.35">
      <c r="A1137" t="s">
        <v>1841</v>
      </c>
      <c r="B1137" s="2">
        <v>45737</v>
      </c>
      <c r="C1137" t="s">
        <v>24</v>
      </c>
      <c r="D1137" t="s">
        <v>47</v>
      </c>
      <c r="E1137" t="s">
        <v>12</v>
      </c>
      <c r="F1137" t="s">
        <v>13</v>
      </c>
      <c r="G1137">
        <v>1</v>
      </c>
      <c r="H1137">
        <v>2.5</v>
      </c>
      <c r="I1137" t="s">
        <v>21</v>
      </c>
      <c r="J1137" t="s">
        <v>86</v>
      </c>
      <c r="K1137" s="12">
        <f>Store_Record[[#This Row],[Qty]]*Store_Record[[#This Row],[UnitPriceGBP]]</f>
        <v>2.5</v>
      </c>
      <c r="L1137" s="5" t="str">
        <f>TEXT(Store_Record[[#This Row],[Date]],"dddd")</f>
        <v>Friday</v>
      </c>
      <c r="M1137" s="5" t="str">
        <f>TEXT(Store_Record[[#This Row],[Date]],"mmmm")</f>
        <v>March</v>
      </c>
      <c r="N1137" s="5">
        <f>YEAR(Store_Record[[#This Row],[Date]])</f>
        <v>2025</v>
      </c>
      <c r="O1137"/>
    </row>
    <row r="1138" spans="1:15" x14ac:dyDescent="0.35">
      <c r="A1138" t="s">
        <v>1875</v>
      </c>
      <c r="B1138" s="2">
        <v>45738</v>
      </c>
      <c r="C1138" t="s">
        <v>10</v>
      </c>
      <c r="D1138" t="s">
        <v>29</v>
      </c>
      <c r="E1138" t="s">
        <v>42</v>
      </c>
      <c r="F1138" t="s">
        <v>13</v>
      </c>
      <c r="G1138">
        <v>5</v>
      </c>
      <c r="H1138">
        <v>3.8</v>
      </c>
      <c r="I1138" t="s">
        <v>14</v>
      </c>
      <c r="J1138" t="s">
        <v>300</v>
      </c>
      <c r="K1138" s="12">
        <f>Store_Record[[#This Row],[Qty]]*Store_Record[[#This Row],[UnitPriceGBP]]</f>
        <v>19</v>
      </c>
      <c r="L1138" s="5" t="str">
        <f>TEXT(Store_Record[[#This Row],[Date]],"dddd")</f>
        <v>Saturday</v>
      </c>
      <c r="M1138" s="5" t="str">
        <f>TEXT(Store_Record[[#This Row],[Date]],"mmmm")</f>
        <v>March</v>
      </c>
      <c r="N1138" s="5">
        <f>YEAR(Store_Record[[#This Row],[Date]])</f>
        <v>2025</v>
      </c>
      <c r="O1138"/>
    </row>
    <row r="1139" spans="1:15" x14ac:dyDescent="0.35">
      <c r="A1139" t="s">
        <v>1878</v>
      </c>
      <c r="B1139" s="2">
        <v>45738</v>
      </c>
      <c r="C1139" t="s">
        <v>20</v>
      </c>
      <c r="D1139" t="s">
        <v>38</v>
      </c>
      <c r="E1139" t="s">
        <v>42</v>
      </c>
      <c r="F1139" t="s">
        <v>13</v>
      </c>
      <c r="G1139">
        <v>5</v>
      </c>
      <c r="H1139">
        <v>3.8</v>
      </c>
      <c r="I1139" t="s">
        <v>21</v>
      </c>
      <c r="J1139" t="s">
        <v>1879</v>
      </c>
      <c r="K1139" s="12">
        <f>Store_Record[[#This Row],[Qty]]*Store_Record[[#This Row],[UnitPriceGBP]]</f>
        <v>19</v>
      </c>
      <c r="L1139" s="5" t="str">
        <f>TEXT(Store_Record[[#This Row],[Date]],"dddd")</f>
        <v>Saturday</v>
      </c>
      <c r="M1139" s="5" t="str">
        <f>TEXT(Store_Record[[#This Row],[Date]],"mmmm")</f>
        <v>March</v>
      </c>
      <c r="N1139" s="5">
        <f>YEAR(Store_Record[[#This Row],[Date]])</f>
        <v>2025</v>
      </c>
      <c r="O1139"/>
    </row>
    <row r="1140" spans="1:15" x14ac:dyDescent="0.35">
      <c r="A1140" t="s">
        <v>1869</v>
      </c>
      <c r="B1140" s="2">
        <v>45738</v>
      </c>
      <c r="C1140" t="s">
        <v>36</v>
      </c>
      <c r="D1140" t="s">
        <v>29</v>
      </c>
      <c r="E1140" t="s">
        <v>42</v>
      </c>
      <c r="F1140" t="s">
        <v>13</v>
      </c>
      <c r="G1140">
        <v>4</v>
      </c>
      <c r="H1140">
        <v>3.8</v>
      </c>
      <c r="I1140" t="s">
        <v>21</v>
      </c>
      <c r="J1140" t="s">
        <v>1384</v>
      </c>
      <c r="K1140" s="12">
        <f>Store_Record[[#This Row],[Qty]]*Store_Record[[#This Row],[UnitPriceGBP]]</f>
        <v>15.2</v>
      </c>
      <c r="L1140" s="5" t="str">
        <f>TEXT(Store_Record[[#This Row],[Date]],"dddd")</f>
        <v>Saturday</v>
      </c>
      <c r="M1140" s="5" t="str">
        <f>TEXT(Store_Record[[#This Row],[Date]],"mmmm")</f>
        <v>March</v>
      </c>
      <c r="N1140" s="5">
        <f>YEAR(Store_Record[[#This Row],[Date]])</f>
        <v>2025</v>
      </c>
      <c r="O1140"/>
    </row>
    <row r="1141" spans="1:15" x14ac:dyDescent="0.35">
      <c r="A1141" t="s">
        <v>1870</v>
      </c>
      <c r="B1141" s="2">
        <v>45738</v>
      </c>
      <c r="C1141" t="s">
        <v>20</v>
      </c>
      <c r="D1141" t="s">
        <v>25</v>
      </c>
      <c r="E1141" t="s">
        <v>42</v>
      </c>
      <c r="F1141" t="s">
        <v>13</v>
      </c>
      <c r="G1141">
        <v>4</v>
      </c>
      <c r="H1141">
        <v>3.8</v>
      </c>
      <c r="I1141" t="s">
        <v>39</v>
      </c>
      <c r="J1141" t="s">
        <v>183</v>
      </c>
      <c r="K1141" s="12">
        <f>Store_Record[[#This Row],[Qty]]*Store_Record[[#This Row],[UnitPriceGBP]]</f>
        <v>15.2</v>
      </c>
      <c r="L1141" s="5" t="str">
        <f>TEXT(Store_Record[[#This Row],[Date]],"dddd")</f>
        <v>Saturday</v>
      </c>
      <c r="M1141" s="5" t="str">
        <f>TEXT(Store_Record[[#This Row],[Date]],"mmmm")</f>
        <v>March</v>
      </c>
      <c r="N1141" s="5">
        <f>YEAR(Store_Record[[#This Row],[Date]])</f>
        <v>2025</v>
      </c>
      <c r="O1141"/>
    </row>
    <row r="1142" spans="1:15" x14ac:dyDescent="0.35">
      <c r="A1142" t="s">
        <v>1855</v>
      </c>
      <c r="B1142" s="2">
        <v>45738</v>
      </c>
      <c r="C1142" t="s">
        <v>10</v>
      </c>
      <c r="D1142" t="s">
        <v>11</v>
      </c>
      <c r="E1142" t="s">
        <v>26</v>
      </c>
      <c r="F1142" t="s">
        <v>13</v>
      </c>
      <c r="G1142">
        <v>4</v>
      </c>
      <c r="H1142">
        <v>3.5</v>
      </c>
      <c r="I1142" t="s">
        <v>21</v>
      </c>
      <c r="J1142" t="s">
        <v>1526</v>
      </c>
      <c r="K1142" s="12">
        <f>Store_Record[[#This Row],[Qty]]*Store_Record[[#This Row],[UnitPriceGBP]]</f>
        <v>14</v>
      </c>
      <c r="L1142" s="5" t="str">
        <f>TEXT(Store_Record[[#This Row],[Date]],"dddd")</f>
        <v>Saturday</v>
      </c>
      <c r="M1142" s="5" t="str">
        <f>TEXT(Store_Record[[#This Row],[Date]],"mmmm")</f>
        <v>March</v>
      </c>
      <c r="N1142" s="5">
        <f>YEAR(Store_Record[[#This Row],[Date]])</f>
        <v>2025</v>
      </c>
      <c r="O1142"/>
    </row>
    <row r="1143" spans="1:15" x14ac:dyDescent="0.35">
      <c r="A1143" t="s">
        <v>1856</v>
      </c>
      <c r="B1143" s="2">
        <v>45738</v>
      </c>
      <c r="C1143" t="s">
        <v>24</v>
      </c>
      <c r="D1143" t="s">
        <v>25</v>
      </c>
      <c r="E1143" t="s">
        <v>30</v>
      </c>
      <c r="F1143" t="s">
        <v>31</v>
      </c>
      <c r="G1143">
        <v>5</v>
      </c>
      <c r="H1143">
        <v>2.8</v>
      </c>
      <c r="I1143" t="s">
        <v>21</v>
      </c>
      <c r="J1143" t="s">
        <v>705</v>
      </c>
      <c r="K1143" s="12">
        <f>Store_Record[[#This Row],[Qty]]*Store_Record[[#This Row],[UnitPriceGBP]]</f>
        <v>14</v>
      </c>
      <c r="L1143" s="5" t="str">
        <f>TEXT(Store_Record[[#This Row],[Date]],"dddd")</f>
        <v>Saturday</v>
      </c>
      <c r="M1143" s="5" t="str">
        <f>TEXT(Store_Record[[#This Row],[Date]],"mmmm")</f>
        <v>March</v>
      </c>
      <c r="N1143" s="5">
        <f>YEAR(Store_Record[[#This Row],[Date]])</f>
        <v>2025</v>
      </c>
      <c r="O1143"/>
    </row>
    <row r="1144" spans="1:15" x14ac:dyDescent="0.35">
      <c r="A1144" t="s">
        <v>1847</v>
      </c>
      <c r="B1144" s="2">
        <v>45738</v>
      </c>
      <c r="C1144" t="s">
        <v>24</v>
      </c>
      <c r="D1144" t="s">
        <v>29</v>
      </c>
      <c r="E1144" t="s">
        <v>12</v>
      </c>
      <c r="F1144" t="s">
        <v>13</v>
      </c>
      <c r="G1144">
        <v>5</v>
      </c>
      <c r="H1144">
        <v>2.5</v>
      </c>
      <c r="I1144" t="s">
        <v>39</v>
      </c>
      <c r="J1144" t="s">
        <v>1848</v>
      </c>
      <c r="K1144" s="12">
        <f>Store_Record[[#This Row],[Qty]]*Store_Record[[#This Row],[UnitPriceGBP]]</f>
        <v>12.5</v>
      </c>
      <c r="L1144" s="5" t="str">
        <f>TEXT(Store_Record[[#This Row],[Date]],"dddd")</f>
        <v>Saturday</v>
      </c>
      <c r="M1144" s="5" t="str">
        <f>TEXT(Store_Record[[#This Row],[Date]],"mmmm")</f>
        <v>March</v>
      </c>
      <c r="N1144" s="5">
        <f>YEAR(Store_Record[[#This Row],[Date]])</f>
        <v>2025</v>
      </c>
      <c r="O1144"/>
    </row>
    <row r="1145" spans="1:15" x14ac:dyDescent="0.35">
      <c r="A1145" t="s">
        <v>1857</v>
      </c>
      <c r="B1145" s="2">
        <v>45738</v>
      </c>
      <c r="C1145" t="s">
        <v>24</v>
      </c>
      <c r="D1145" t="s">
        <v>47</v>
      </c>
      <c r="E1145" t="s">
        <v>30</v>
      </c>
      <c r="F1145" t="s">
        <v>31</v>
      </c>
      <c r="G1145">
        <v>4</v>
      </c>
      <c r="H1145">
        <v>2.8</v>
      </c>
      <c r="I1145" t="s">
        <v>21</v>
      </c>
      <c r="J1145" t="s">
        <v>1608</v>
      </c>
      <c r="K1145" s="12">
        <f>Store_Record[[#This Row],[Qty]]*Store_Record[[#This Row],[UnitPriceGBP]]</f>
        <v>11.2</v>
      </c>
      <c r="L1145" s="5" t="str">
        <f>TEXT(Store_Record[[#This Row],[Date]],"dddd")</f>
        <v>Saturday</v>
      </c>
      <c r="M1145" s="5" t="str">
        <f>TEXT(Store_Record[[#This Row],[Date]],"mmmm")</f>
        <v>March</v>
      </c>
      <c r="N1145" s="5">
        <f>YEAR(Store_Record[[#This Row],[Date]])</f>
        <v>2025</v>
      </c>
      <c r="O1145"/>
    </row>
    <row r="1146" spans="1:15" x14ac:dyDescent="0.35">
      <c r="A1146" t="s">
        <v>1858</v>
      </c>
      <c r="B1146" s="2">
        <v>45738</v>
      </c>
      <c r="C1146" t="s">
        <v>24</v>
      </c>
      <c r="D1146" t="s">
        <v>25</v>
      </c>
      <c r="E1146" t="s">
        <v>34</v>
      </c>
      <c r="F1146" t="s">
        <v>31</v>
      </c>
      <c r="G1146">
        <v>5</v>
      </c>
      <c r="H1146">
        <v>2.2000000000000002</v>
      </c>
      <c r="I1146" t="s">
        <v>14</v>
      </c>
      <c r="J1146" t="s">
        <v>1357</v>
      </c>
      <c r="K1146" s="12">
        <f>Store_Record[[#This Row],[Qty]]*Store_Record[[#This Row],[UnitPriceGBP]]</f>
        <v>11</v>
      </c>
      <c r="L1146" s="5" t="str">
        <f>TEXT(Store_Record[[#This Row],[Date]],"dddd")</f>
        <v>Saturday</v>
      </c>
      <c r="M1146" s="5" t="str">
        <f>TEXT(Store_Record[[#This Row],[Date]],"mmmm")</f>
        <v>March</v>
      </c>
      <c r="N1146" s="5">
        <f>YEAR(Store_Record[[#This Row],[Date]])</f>
        <v>2025</v>
      </c>
      <c r="O1146"/>
    </row>
    <row r="1147" spans="1:15" x14ac:dyDescent="0.35">
      <c r="A1147" t="s">
        <v>1873</v>
      </c>
      <c r="B1147" s="2">
        <v>45738</v>
      </c>
      <c r="C1147" t="s">
        <v>36</v>
      </c>
      <c r="D1147" t="s">
        <v>47</v>
      </c>
      <c r="E1147" t="s">
        <v>26</v>
      </c>
      <c r="F1147" t="s">
        <v>13</v>
      </c>
      <c r="G1147">
        <v>3</v>
      </c>
      <c r="H1147">
        <v>3.5</v>
      </c>
      <c r="I1147" t="s">
        <v>39</v>
      </c>
      <c r="J1147" t="s">
        <v>925</v>
      </c>
      <c r="K1147" s="12">
        <f>Store_Record[[#This Row],[Qty]]*Store_Record[[#This Row],[UnitPriceGBP]]</f>
        <v>10.5</v>
      </c>
      <c r="L1147" s="5" t="str">
        <f>TEXT(Store_Record[[#This Row],[Date]],"dddd")</f>
        <v>Saturday</v>
      </c>
      <c r="M1147" s="5" t="str">
        <f>TEXT(Store_Record[[#This Row],[Date]],"mmmm")</f>
        <v>March</v>
      </c>
      <c r="N1147" s="5">
        <f>YEAR(Store_Record[[#This Row],[Date]])</f>
        <v>2025</v>
      </c>
      <c r="O1147"/>
    </row>
    <row r="1148" spans="1:15" x14ac:dyDescent="0.35">
      <c r="A1148" t="s">
        <v>1853</v>
      </c>
      <c r="B1148" s="2">
        <v>45738</v>
      </c>
      <c r="C1148" t="s">
        <v>24</v>
      </c>
      <c r="D1148" t="s">
        <v>38</v>
      </c>
      <c r="E1148" t="s">
        <v>34</v>
      </c>
      <c r="F1148" t="s">
        <v>31</v>
      </c>
      <c r="G1148">
        <v>4</v>
      </c>
      <c r="H1148">
        <v>2.2000000000000002</v>
      </c>
      <c r="I1148" t="s">
        <v>14</v>
      </c>
      <c r="J1148" t="s">
        <v>1854</v>
      </c>
      <c r="K1148" s="12">
        <f>Store_Record[[#This Row],[Qty]]*Store_Record[[#This Row],[UnitPriceGBP]]</f>
        <v>8.8000000000000007</v>
      </c>
      <c r="L1148" s="5" t="str">
        <f>TEXT(Store_Record[[#This Row],[Date]],"dddd")</f>
        <v>Saturday</v>
      </c>
      <c r="M1148" s="5" t="str">
        <f>TEXT(Store_Record[[#This Row],[Date]],"mmmm")</f>
        <v>March</v>
      </c>
      <c r="N1148" s="5">
        <f>YEAR(Store_Record[[#This Row],[Date]])</f>
        <v>2025</v>
      </c>
      <c r="O1148"/>
    </row>
    <row r="1149" spans="1:15" x14ac:dyDescent="0.35">
      <c r="A1149" t="s">
        <v>1866</v>
      </c>
      <c r="B1149" s="2">
        <v>45738</v>
      </c>
      <c r="C1149" t="s">
        <v>36</v>
      </c>
      <c r="D1149" t="s">
        <v>38</v>
      </c>
      <c r="E1149" t="s">
        <v>34</v>
      </c>
      <c r="F1149" t="s">
        <v>31</v>
      </c>
      <c r="G1149">
        <v>4</v>
      </c>
      <c r="H1149">
        <v>2.2000000000000002</v>
      </c>
      <c r="I1149" t="s">
        <v>21</v>
      </c>
      <c r="J1149" t="s">
        <v>1867</v>
      </c>
      <c r="K1149" s="12">
        <f>Store_Record[[#This Row],[Qty]]*Store_Record[[#This Row],[UnitPriceGBP]]</f>
        <v>8.8000000000000007</v>
      </c>
      <c r="L1149" s="5" t="str">
        <f>TEXT(Store_Record[[#This Row],[Date]],"dddd")</f>
        <v>Saturday</v>
      </c>
      <c r="M1149" s="5" t="str">
        <f>TEXT(Store_Record[[#This Row],[Date]],"mmmm")</f>
        <v>March</v>
      </c>
      <c r="N1149" s="5">
        <f>YEAR(Store_Record[[#This Row],[Date]])</f>
        <v>2025</v>
      </c>
      <c r="O1149"/>
    </row>
    <row r="1150" spans="1:15" x14ac:dyDescent="0.35">
      <c r="A1150" t="s">
        <v>1851</v>
      </c>
      <c r="B1150" s="2">
        <v>45738</v>
      </c>
      <c r="C1150" t="s">
        <v>36</v>
      </c>
      <c r="D1150" t="s">
        <v>11</v>
      </c>
      <c r="E1150" t="s">
        <v>30</v>
      </c>
      <c r="F1150" t="s">
        <v>31</v>
      </c>
      <c r="G1150">
        <v>3</v>
      </c>
      <c r="H1150">
        <v>2.8</v>
      </c>
      <c r="I1150" t="s">
        <v>14</v>
      </c>
      <c r="J1150" t="s">
        <v>1852</v>
      </c>
      <c r="K1150" s="12">
        <f>Store_Record[[#This Row],[Qty]]*Store_Record[[#This Row],[UnitPriceGBP]]</f>
        <v>8.3999999999999986</v>
      </c>
      <c r="L1150" s="5" t="str">
        <f>TEXT(Store_Record[[#This Row],[Date]],"dddd")</f>
        <v>Saturday</v>
      </c>
      <c r="M1150" s="5" t="str">
        <f>TEXT(Store_Record[[#This Row],[Date]],"mmmm")</f>
        <v>March</v>
      </c>
      <c r="N1150" s="5">
        <f>YEAR(Store_Record[[#This Row],[Date]])</f>
        <v>2025</v>
      </c>
      <c r="O1150"/>
    </row>
    <row r="1151" spans="1:15" x14ac:dyDescent="0.35">
      <c r="A1151" t="s">
        <v>1877</v>
      </c>
      <c r="B1151" s="2">
        <v>45738</v>
      </c>
      <c r="C1151" t="s">
        <v>20</v>
      </c>
      <c r="D1151" t="s">
        <v>25</v>
      </c>
      <c r="E1151" t="s">
        <v>30</v>
      </c>
      <c r="F1151" t="s">
        <v>31</v>
      </c>
      <c r="G1151">
        <v>3</v>
      </c>
      <c r="H1151">
        <v>2.8</v>
      </c>
      <c r="I1151" t="s">
        <v>14</v>
      </c>
      <c r="J1151" t="s">
        <v>1782</v>
      </c>
      <c r="K1151" s="12">
        <f>Store_Record[[#This Row],[Qty]]*Store_Record[[#This Row],[UnitPriceGBP]]</f>
        <v>8.3999999999999986</v>
      </c>
      <c r="L1151" s="5" t="str">
        <f>TEXT(Store_Record[[#This Row],[Date]],"dddd")</f>
        <v>Saturday</v>
      </c>
      <c r="M1151" s="5" t="str">
        <f>TEXT(Store_Record[[#This Row],[Date]],"mmmm")</f>
        <v>March</v>
      </c>
      <c r="N1151" s="5">
        <f>YEAR(Store_Record[[#This Row],[Date]])</f>
        <v>2025</v>
      </c>
      <c r="O1151"/>
    </row>
    <row r="1152" spans="1:15" x14ac:dyDescent="0.35">
      <c r="A1152" t="s">
        <v>1876</v>
      </c>
      <c r="B1152" s="2">
        <v>45738</v>
      </c>
      <c r="C1152" t="s">
        <v>24</v>
      </c>
      <c r="D1152" t="s">
        <v>11</v>
      </c>
      <c r="E1152" t="s">
        <v>26</v>
      </c>
      <c r="F1152" t="s">
        <v>13</v>
      </c>
      <c r="G1152">
        <v>2</v>
      </c>
      <c r="H1152">
        <v>3.5</v>
      </c>
      <c r="I1152" t="s">
        <v>39</v>
      </c>
      <c r="J1152" t="s">
        <v>624</v>
      </c>
      <c r="K1152" s="12">
        <f>Store_Record[[#This Row],[Qty]]*Store_Record[[#This Row],[UnitPriceGBP]]</f>
        <v>7</v>
      </c>
      <c r="L1152" s="5" t="str">
        <f>TEXT(Store_Record[[#This Row],[Date]],"dddd")</f>
        <v>Saturday</v>
      </c>
      <c r="M1152" s="5" t="str">
        <f>TEXT(Store_Record[[#This Row],[Date]],"mmmm")</f>
        <v>March</v>
      </c>
      <c r="N1152" s="5">
        <f>YEAR(Store_Record[[#This Row],[Date]])</f>
        <v>2025</v>
      </c>
      <c r="O1152"/>
    </row>
    <row r="1153" spans="1:15" x14ac:dyDescent="0.35">
      <c r="A1153" t="s">
        <v>1859</v>
      </c>
      <c r="B1153" s="2">
        <v>45738</v>
      </c>
      <c r="C1153" t="s">
        <v>24</v>
      </c>
      <c r="D1153" t="s">
        <v>25</v>
      </c>
      <c r="E1153" t="s">
        <v>30</v>
      </c>
      <c r="F1153" t="s">
        <v>31</v>
      </c>
      <c r="G1153">
        <v>2</v>
      </c>
      <c r="H1153">
        <v>2.8</v>
      </c>
      <c r="I1153" t="s">
        <v>14</v>
      </c>
      <c r="J1153" t="s">
        <v>1860</v>
      </c>
      <c r="K1153" s="12">
        <f>Store_Record[[#This Row],[Qty]]*Store_Record[[#This Row],[UnitPriceGBP]]</f>
        <v>5.6</v>
      </c>
      <c r="L1153" s="5" t="str">
        <f>TEXT(Store_Record[[#This Row],[Date]],"dddd")</f>
        <v>Saturday</v>
      </c>
      <c r="M1153" s="5" t="str">
        <f>TEXT(Store_Record[[#This Row],[Date]],"mmmm")</f>
        <v>March</v>
      </c>
      <c r="N1153" s="5">
        <f>YEAR(Store_Record[[#This Row],[Date]])</f>
        <v>2025</v>
      </c>
      <c r="O1153"/>
    </row>
    <row r="1154" spans="1:15" x14ac:dyDescent="0.35">
      <c r="A1154" t="s">
        <v>1849</v>
      </c>
      <c r="B1154" s="2">
        <v>45738</v>
      </c>
      <c r="C1154" t="s">
        <v>10</v>
      </c>
      <c r="D1154" t="s">
        <v>38</v>
      </c>
      <c r="E1154" t="s">
        <v>34</v>
      </c>
      <c r="F1154" t="s">
        <v>31</v>
      </c>
      <c r="G1154">
        <v>2</v>
      </c>
      <c r="H1154">
        <v>2.2000000000000002</v>
      </c>
      <c r="I1154" t="s">
        <v>39</v>
      </c>
      <c r="J1154" t="s">
        <v>1850</v>
      </c>
      <c r="K1154" s="12">
        <f>Store_Record[[#This Row],[Qty]]*Store_Record[[#This Row],[UnitPriceGBP]]</f>
        <v>4.4000000000000004</v>
      </c>
      <c r="L1154" s="5" t="str">
        <f>TEXT(Store_Record[[#This Row],[Date]],"dddd")</f>
        <v>Saturday</v>
      </c>
      <c r="M1154" s="5" t="str">
        <f>TEXT(Store_Record[[#This Row],[Date]],"mmmm")</f>
        <v>March</v>
      </c>
      <c r="N1154" s="5">
        <f>YEAR(Store_Record[[#This Row],[Date]])</f>
        <v>2025</v>
      </c>
      <c r="O1154"/>
    </row>
    <row r="1155" spans="1:15" x14ac:dyDescent="0.35">
      <c r="A1155" t="s">
        <v>1861</v>
      </c>
      <c r="B1155" s="2">
        <v>45738</v>
      </c>
      <c r="C1155" t="s">
        <v>36</v>
      </c>
      <c r="D1155" t="s">
        <v>47</v>
      </c>
      <c r="E1155" t="s">
        <v>34</v>
      </c>
      <c r="F1155" t="s">
        <v>31</v>
      </c>
      <c r="G1155">
        <v>2</v>
      </c>
      <c r="H1155">
        <v>2.2000000000000002</v>
      </c>
      <c r="I1155" t="s">
        <v>39</v>
      </c>
      <c r="J1155" t="s">
        <v>1862</v>
      </c>
      <c r="K1155" s="12">
        <f>Store_Record[[#This Row],[Qty]]*Store_Record[[#This Row],[UnitPriceGBP]]</f>
        <v>4.4000000000000004</v>
      </c>
      <c r="L1155" s="5" t="str">
        <f>TEXT(Store_Record[[#This Row],[Date]],"dddd")</f>
        <v>Saturday</v>
      </c>
      <c r="M1155" s="5" t="str">
        <f>TEXT(Store_Record[[#This Row],[Date]],"mmmm")</f>
        <v>March</v>
      </c>
      <c r="N1155" s="5">
        <f>YEAR(Store_Record[[#This Row],[Date]])</f>
        <v>2025</v>
      </c>
      <c r="O1155"/>
    </row>
    <row r="1156" spans="1:15" x14ac:dyDescent="0.35">
      <c r="A1156" t="s">
        <v>1846</v>
      </c>
      <c r="B1156" s="2">
        <v>45738</v>
      </c>
      <c r="C1156" t="s">
        <v>36</v>
      </c>
      <c r="D1156" t="s">
        <v>11</v>
      </c>
      <c r="E1156" t="s">
        <v>26</v>
      </c>
      <c r="F1156" t="s">
        <v>13</v>
      </c>
      <c r="G1156">
        <v>1</v>
      </c>
      <c r="H1156">
        <v>3.5</v>
      </c>
      <c r="I1156" t="s">
        <v>14</v>
      </c>
      <c r="J1156" t="s">
        <v>218</v>
      </c>
      <c r="K1156" s="12">
        <f>Store_Record[[#This Row],[Qty]]*Store_Record[[#This Row],[UnitPriceGBP]]</f>
        <v>3.5</v>
      </c>
      <c r="L1156" s="5" t="str">
        <f>TEXT(Store_Record[[#This Row],[Date]],"dddd")</f>
        <v>Saturday</v>
      </c>
      <c r="M1156" s="5" t="str">
        <f>TEXT(Store_Record[[#This Row],[Date]],"mmmm")</f>
        <v>March</v>
      </c>
      <c r="N1156" s="5">
        <f>YEAR(Store_Record[[#This Row],[Date]])</f>
        <v>2025</v>
      </c>
      <c r="O1156"/>
    </row>
    <row r="1157" spans="1:15" x14ac:dyDescent="0.35">
      <c r="A1157" t="s">
        <v>1865</v>
      </c>
      <c r="B1157" s="2">
        <v>45738</v>
      </c>
      <c r="C1157" t="s">
        <v>24</v>
      </c>
      <c r="D1157" t="s">
        <v>29</v>
      </c>
      <c r="E1157" t="s">
        <v>26</v>
      </c>
      <c r="F1157" t="s">
        <v>13</v>
      </c>
      <c r="G1157">
        <v>1</v>
      </c>
      <c r="H1157">
        <v>3.5</v>
      </c>
      <c r="I1157" t="s">
        <v>21</v>
      </c>
      <c r="J1157" t="s">
        <v>1845</v>
      </c>
      <c r="K1157" s="12">
        <f>Store_Record[[#This Row],[Qty]]*Store_Record[[#This Row],[UnitPriceGBP]]</f>
        <v>3.5</v>
      </c>
      <c r="L1157" s="5" t="str">
        <f>TEXT(Store_Record[[#This Row],[Date]],"dddd")</f>
        <v>Saturday</v>
      </c>
      <c r="M1157" s="5" t="str">
        <f>TEXT(Store_Record[[#This Row],[Date]],"mmmm")</f>
        <v>March</v>
      </c>
      <c r="N1157" s="5">
        <f>YEAR(Store_Record[[#This Row],[Date]])</f>
        <v>2025</v>
      </c>
      <c r="O1157"/>
    </row>
    <row r="1158" spans="1:15" x14ac:dyDescent="0.35">
      <c r="A1158" t="s">
        <v>1844</v>
      </c>
      <c r="B1158" s="2">
        <v>45738</v>
      </c>
      <c r="C1158" t="s">
        <v>24</v>
      </c>
      <c r="D1158" t="s">
        <v>11</v>
      </c>
      <c r="E1158" t="s">
        <v>30</v>
      </c>
      <c r="F1158" t="s">
        <v>31</v>
      </c>
      <c r="G1158">
        <v>1</v>
      </c>
      <c r="H1158">
        <v>2.8</v>
      </c>
      <c r="I1158" t="s">
        <v>21</v>
      </c>
      <c r="J1158" t="s">
        <v>1845</v>
      </c>
      <c r="K1158" s="12">
        <f>Store_Record[[#This Row],[Qty]]*Store_Record[[#This Row],[UnitPriceGBP]]</f>
        <v>2.8</v>
      </c>
      <c r="L1158" s="5" t="str">
        <f>TEXT(Store_Record[[#This Row],[Date]],"dddd")</f>
        <v>Saturday</v>
      </c>
      <c r="M1158" s="5" t="str">
        <f>TEXT(Store_Record[[#This Row],[Date]],"mmmm")</f>
        <v>March</v>
      </c>
      <c r="N1158" s="5">
        <f>YEAR(Store_Record[[#This Row],[Date]])</f>
        <v>2025</v>
      </c>
      <c r="O1158"/>
    </row>
    <row r="1159" spans="1:15" x14ac:dyDescent="0.35">
      <c r="A1159" t="s">
        <v>1874</v>
      </c>
      <c r="B1159" s="2">
        <v>45738</v>
      </c>
      <c r="C1159" t="s">
        <v>20</v>
      </c>
      <c r="D1159" t="s">
        <v>11</v>
      </c>
      <c r="E1159" t="s">
        <v>30</v>
      </c>
      <c r="F1159" t="s">
        <v>31</v>
      </c>
      <c r="G1159">
        <v>1</v>
      </c>
      <c r="H1159">
        <v>2.8</v>
      </c>
      <c r="I1159" t="s">
        <v>39</v>
      </c>
      <c r="J1159" t="s">
        <v>239</v>
      </c>
      <c r="K1159" s="12">
        <f>Store_Record[[#This Row],[Qty]]*Store_Record[[#This Row],[UnitPriceGBP]]</f>
        <v>2.8</v>
      </c>
      <c r="L1159" s="5" t="str">
        <f>TEXT(Store_Record[[#This Row],[Date]],"dddd")</f>
        <v>Saturday</v>
      </c>
      <c r="M1159" s="5" t="str">
        <f>TEXT(Store_Record[[#This Row],[Date]],"mmmm")</f>
        <v>March</v>
      </c>
      <c r="N1159" s="5">
        <f>YEAR(Store_Record[[#This Row],[Date]])</f>
        <v>2025</v>
      </c>
      <c r="O1159"/>
    </row>
    <row r="1160" spans="1:15" x14ac:dyDescent="0.35">
      <c r="A1160" t="s">
        <v>1863</v>
      </c>
      <c r="B1160" s="2">
        <v>45738</v>
      </c>
      <c r="C1160" t="s">
        <v>36</v>
      </c>
      <c r="D1160" t="s">
        <v>47</v>
      </c>
      <c r="E1160" t="s">
        <v>12</v>
      </c>
      <c r="F1160" t="s">
        <v>13</v>
      </c>
      <c r="G1160">
        <v>1</v>
      </c>
      <c r="H1160">
        <v>2.5</v>
      </c>
      <c r="I1160" t="s">
        <v>39</v>
      </c>
      <c r="J1160" t="s">
        <v>1864</v>
      </c>
      <c r="K1160" s="12">
        <f>Store_Record[[#This Row],[Qty]]*Store_Record[[#This Row],[UnitPriceGBP]]</f>
        <v>2.5</v>
      </c>
      <c r="L1160" s="5" t="str">
        <f>TEXT(Store_Record[[#This Row],[Date]],"dddd")</f>
        <v>Saturday</v>
      </c>
      <c r="M1160" s="5" t="str">
        <f>TEXT(Store_Record[[#This Row],[Date]],"mmmm")</f>
        <v>March</v>
      </c>
      <c r="N1160" s="5">
        <f>YEAR(Store_Record[[#This Row],[Date]])</f>
        <v>2025</v>
      </c>
      <c r="O1160"/>
    </row>
    <row r="1161" spans="1:15" x14ac:dyDescent="0.35">
      <c r="A1161" t="s">
        <v>1868</v>
      </c>
      <c r="B1161" s="2">
        <v>45738</v>
      </c>
      <c r="C1161" t="s">
        <v>10</v>
      </c>
      <c r="D1161" t="s">
        <v>25</v>
      </c>
      <c r="E1161" t="s">
        <v>12</v>
      </c>
      <c r="F1161" t="s">
        <v>13</v>
      </c>
      <c r="G1161">
        <v>1</v>
      </c>
      <c r="H1161">
        <v>2.5</v>
      </c>
      <c r="I1161" t="s">
        <v>14</v>
      </c>
      <c r="J1161" t="s">
        <v>289</v>
      </c>
      <c r="K1161" s="12">
        <f>Store_Record[[#This Row],[Qty]]*Store_Record[[#This Row],[UnitPriceGBP]]</f>
        <v>2.5</v>
      </c>
      <c r="L1161" s="5" t="str">
        <f>TEXT(Store_Record[[#This Row],[Date]],"dddd")</f>
        <v>Saturday</v>
      </c>
      <c r="M1161" s="5" t="str">
        <f>TEXT(Store_Record[[#This Row],[Date]],"mmmm")</f>
        <v>March</v>
      </c>
      <c r="N1161" s="5">
        <f>YEAR(Store_Record[[#This Row],[Date]])</f>
        <v>2025</v>
      </c>
      <c r="O1161"/>
    </row>
    <row r="1162" spans="1:15" x14ac:dyDescent="0.35">
      <c r="A1162" t="s">
        <v>1871</v>
      </c>
      <c r="B1162" s="2">
        <v>45738</v>
      </c>
      <c r="C1162" t="s">
        <v>10</v>
      </c>
      <c r="D1162" t="s">
        <v>11</v>
      </c>
      <c r="E1162" t="s">
        <v>34</v>
      </c>
      <c r="F1162" t="s">
        <v>31</v>
      </c>
      <c r="G1162">
        <v>1</v>
      </c>
      <c r="H1162">
        <v>2.2000000000000002</v>
      </c>
      <c r="I1162" t="s">
        <v>21</v>
      </c>
      <c r="J1162" t="s">
        <v>1872</v>
      </c>
      <c r="K1162" s="12">
        <f>Store_Record[[#This Row],[Qty]]*Store_Record[[#This Row],[UnitPriceGBP]]</f>
        <v>2.2000000000000002</v>
      </c>
      <c r="L1162" s="5" t="str">
        <f>TEXT(Store_Record[[#This Row],[Date]],"dddd")</f>
        <v>Saturday</v>
      </c>
      <c r="M1162" s="5" t="str">
        <f>TEXT(Store_Record[[#This Row],[Date]],"mmmm")</f>
        <v>March</v>
      </c>
      <c r="N1162" s="5">
        <f>YEAR(Store_Record[[#This Row],[Date]])</f>
        <v>2025</v>
      </c>
      <c r="O1162"/>
    </row>
    <row r="1163" spans="1:15" x14ac:dyDescent="0.35">
      <c r="A1163" t="s">
        <v>1880</v>
      </c>
      <c r="B1163" s="2">
        <v>45739</v>
      </c>
      <c r="C1163" t="s">
        <v>36</v>
      </c>
      <c r="D1163" t="s">
        <v>47</v>
      </c>
      <c r="E1163" t="s">
        <v>42</v>
      </c>
      <c r="F1163" t="s">
        <v>13</v>
      </c>
      <c r="G1163">
        <v>5</v>
      </c>
      <c r="H1163">
        <v>3.8</v>
      </c>
      <c r="I1163" t="s">
        <v>39</v>
      </c>
      <c r="J1163" t="s">
        <v>654</v>
      </c>
      <c r="K1163" s="12">
        <f>Store_Record[[#This Row],[Qty]]*Store_Record[[#This Row],[UnitPriceGBP]]</f>
        <v>19</v>
      </c>
      <c r="L1163" s="5" t="str">
        <f>TEXT(Store_Record[[#This Row],[Date]],"dddd")</f>
        <v>Sunday</v>
      </c>
      <c r="M1163" s="5" t="str">
        <f>TEXT(Store_Record[[#This Row],[Date]],"mmmm")</f>
        <v>March</v>
      </c>
      <c r="N1163" s="5">
        <f>YEAR(Store_Record[[#This Row],[Date]])</f>
        <v>2025</v>
      </c>
      <c r="O1163"/>
    </row>
    <row r="1164" spans="1:15" x14ac:dyDescent="0.35">
      <c r="A1164" t="s">
        <v>1888</v>
      </c>
      <c r="B1164" s="2">
        <v>45739</v>
      </c>
      <c r="C1164" t="s">
        <v>20</v>
      </c>
      <c r="D1164" t="s">
        <v>47</v>
      </c>
      <c r="E1164" t="s">
        <v>26</v>
      </c>
      <c r="F1164" t="s">
        <v>13</v>
      </c>
      <c r="G1164">
        <v>5</v>
      </c>
      <c r="H1164">
        <v>3.5</v>
      </c>
      <c r="I1164" t="s">
        <v>14</v>
      </c>
      <c r="J1164" t="s">
        <v>448</v>
      </c>
      <c r="K1164" s="12">
        <f>Store_Record[[#This Row],[Qty]]*Store_Record[[#This Row],[UnitPriceGBP]]</f>
        <v>17.5</v>
      </c>
      <c r="L1164" s="5" t="str">
        <f>TEXT(Store_Record[[#This Row],[Date]],"dddd")</f>
        <v>Sunday</v>
      </c>
      <c r="M1164" s="5" t="str">
        <f>TEXT(Store_Record[[#This Row],[Date]],"mmmm")</f>
        <v>March</v>
      </c>
      <c r="N1164" s="5">
        <f>YEAR(Store_Record[[#This Row],[Date]])</f>
        <v>2025</v>
      </c>
      <c r="O1164"/>
    </row>
    <row r="1165" spans="1:15" x14ac:dyDescent="0.35">
      <c r="A1165" t="s">
        <v>1886</v>
      </c>
      <c r="B1165" s="2">
        <v>45739</v>
      </c>
      <c r="C1165" t="s">
        <v>20</v>
      </c>
      <c r="D1165" t="s">
        <v>11</v>
      </c>
      <c r="E1165" t="s">
        <v>30</v>
      </c>
      <c r="F1165" t="s">
        <v>31</v>
      </c>
      <c r="G1165">
        <v>5</v>
      </c>
      <c r="H1165">
        <v>2.8</v>
      </c>
      <c r="I1165" t="s">
        <v>14</v>
      </c>
      <c r="J1165" t="s">
        <v>1228</v>
      </c>
      <c r="K1165" s="12">
        <f>Store_Record[[#This Row],[Qty]]*Store_Record[[#This Row],[UnitPriceGBP]]</f>
        <v>14</v>
      </c>
      <c r="L1165" s="5" t="str">
        <f>TEXT(Store_Record[[#This Row],[Date]],"dddd")</f>
        <v>Sunday</v>
      </c>
      <c r="M1165" s="5" t="str">
        <f>TEXT(Store_Record[[#This Row],[Date]],"mmmm")</f>
        <v>March</v>
      </c>
      <c r="N1165" s="5">
        <f>YEAR(Store_Record[[#This Row],[Date]])</f>
        <v>2025</v>
      </c>
      <c r="O1165"/>
    </row>
    <row r="1166" spans="1:15" x14ac:dyDescent="0.35">
      <c r="A1166" t="s">
        <v>1885</v>
      </c>
      <c r="B1166" s="2">
        <v>45739</v>
      </c>
      <c r="C1166" t="s">
        <v>20</v>
      </c>
      <c r="D1166" t="s">
        <v>47</v>
      </c>
      <c r="E1166" t="s">
        <v>26</v>
      </c>
      <c r="F1166" t="s">
        <v>13</v>
      </c>
      <c r="G1166">
        <v>3</v>
      </c>
      <c r="H1166">
        <v>3.5</v>
      </c>
      <c r="I1166" t="s">
        <v>21</v>
      </c>
      <c r="J1166" t="s">
        <v>1044</v>
      </c>
      <c r="K1166" s="12">
        <f>Store_Record[[#This Row],[Qty]]*Store_Record[[#This Row],[UnitPriceGBP]]</f>
        <v>10.5</v>
      </c>
      <c r="L1166" s="5" t="str">
        <f>TEXT(Store_Record[[#This Row],[Date]],"dddd")</f>
        <v>Sunday</v>
      </c>
      <c r="M1166" s="5" t="str">
        <f>TEXT(Store_Record[[#This Row],[Date]],"mmmm")</f>
        <v>March</v>
      </c>
      <c r="N1166" s="5">
        <f>YEAR(Store_Record[[#This Row],[Date]])</f>
        <v>2025</v>
      </c>
      <c r="O1166"/>
    </row>
    <row r="1167" spans="1:15" x14ac:dyDescent="0.35">
      <c r="A1167" t="s">
        <v>1892</v>
      </c>
      <c r="B1167" s="2">
        <v>45739</v>
      </c>
      <c r="C1167" t="s">
        <v>24</v>
      </c>
      <c r="D1167" t="s">
        <v>25</v>
      </c>
      <c r="E1167" t="s">
        <v>26</v>
      </c>
      <c r="F1167" t="s">
        <v>13</v>
      </c>
      <c r="G1167">
        <v>3</v>
      </c>
      <c r="H1167">
        <v>3.5</v>
      </c>
      <c r="I1167" t="s">
        <v>39</v>
      </c>
      <c r="J1167" t="s">
        <v>734</v>
      </c>
      <c r="K1167" s="12">
        <f>Store_Record[[#This Row],[Qty]]*Store_Record[[#This Row],[UnitPriceGBP]]</f>
        <v>10.5</v>
      </c>
      <c r="L1167" s="5" t="str">
        <f>TEXT(Store_Record[[#This Row],[Date]],"dddd")</f>
        <v>Sunday</v>
      </c>
      <c r="M1167" s="5" t="str">
        <f>TEXT(Store_Record[[#This Row],[Date]],"mmmm")</f>
        <v>March</v>
      </c>
      <c r="N1167" s="5">
        <f>YEAR(Store_Record[[#This Row],[Date]])</f>
        <v>2025</v>
      </c>
      <c r="O1167"/>
    </row>
    <row r="1168" spans="1:15" x14ac:dyDescent="0.35">
      <c r="A1168" t="s">
        <v>1881</v>
      </c>
      <c r="B1168" s="2">
        <v>45739</v>
      </c>
      <c r="C1168" t="s">
        <v>20</v>
      </c>
      <c r="D1168" t="s">
        <v>25</v>
      </c>
      <c r="E1168" t="s">
        <v>12</v>
      </c>
      <c r="F1168" t="s">
        <v>13</v>
      </c>
      <c r="G1168">
        <v>2</v>
      </c>
      <c r="H1168">
        <v>2.5</v>
      </c>
      <c r="I1168" t="s">
        <v>39</v>
      </c>
      <c r="J1168" t="s">
        <v>1882</v>
      </c>
      <c r="K1168" s="12">
        <f>Store_Record[[#This Row],[Qty]]*Store_Record[[#This Row],[UnitPriceGBP]]</f>
        <v>5</v>
      </c>
      <c r="L1168" s="5" t="str">
        <f>TEXT(Store_Record[[#This Row],[Date]],"dddd")</f>
        <v>Sunday</v>
      </c>
      <c r="M1168" s="5" t="str">
        <f>TEXT(Store_Record[[#This Row],[Date]],"mmmm")</f>
        <v>March</v>
      </c>
      <c r="N1168" s="5">
        <f>YEAR(Store_Record[[#This Row],[Date]])</f>
        <v>2025</v>
      </c>
      <c r="O1168"/>
    </row>
    <row r="1169" spans="1:15" x14ac:dyDescent="0.35">
      <c r="A1169" t="s">
        <v>1889</v>
      </c>
      <c r="B1169" s="2">
        <v>45739</v>
      </c>
      <c r="C1169" t="s">
        <v>20</v>
      </c>
      <c r="D1169" t="s">
        <v>38</v>
      </c>
      <c r="E1169" t="s">
        <v>12</v>
      </c>
      <c r="F1169" t="s">
        <v>13</v>
      </c>
      <c r="G1169">
        <v>2</v>
      </c>
      <c r="H1169">
        <v>2.5</v>
      </c>
      <c r="I1169" t="s">
        <v>39</v>
      </c>
      <c r="J1169" t="s">
        <v>1890</v>
      </c>
      <c r="K1169" s="12">
        <f>Store_Record[[#This Row],[Qty]]*Store_Record[[#This Row],[UnitPriceGBP]]</f>
        <v>5</v>
      </c>
      <c r="L1169" s="5" t="str">
        <f>TEXT(Store_Record[[#This Row],[Date]],"dddd")</f>
        <v>Sunday</v>
      </c>
      <c r="M1169" s="5" t="str">
        <f>TEXT(Store_Record[[#This Row],[Date]],"mmmm")</f>
        <v>March</v>
      </c>
      <c r="N1169" s="5">
        <f>YEAR(Store_Record[[#This Row],[Date]])</f>
        <v>2025</v>
      </c>
      <c r="O1169"/>
    </row>
    <row r="1170" spans="1:15" x14ac:dyDescent="0.35">
      <c r="A1170" t="s">
        <v>1887</v>
      </c>
      <c r="B1170" s="2">
        <v>45739</v>
      </c>
      <c r="C1170" t="s">
        <v>20</v>
      </c>
      <c r="D1170" t="s">
        <v>11</v>
      </c>
      <c r="E1170" t="s">
        <v>34</v>
      </c>
      <c r="F1170" t="s">
        <v>31</v>
      </c>
      <c r="G1170">
        <v>2</v>
      </c>
      <c r="H1170">
        <v>2.2000000000000002</v>
      </c>
      <c r="I1170" t="s">
        <v>39</v>
      </c>
      <c r="J1170" t="s">
        <v>852</v>
      </c>
      <c r="K1170" s="12">
        <f>Store_Record[[#This Row],[Qty]]*Store_Record[[#This Row],[UnitPriceGBP]]</f>
        <v>4.4000000000000004</v>
      </c>
      <c r="L1170" s="5" t="str">
        <f>TEXT(Store_Record[[#This Row],[Date]],"dddd")</f>
        <v>Sunday</v>
      </c>
      <c r="M1170" s="5" t="str">
        <f>TEXT(Store_Record[[#This Row],[Date]],"mmmm")</f>
        <v>March</v>
      </c>
      <c r="N1170" s="5">
        <f>YEAR(Store_Record[[#This Row],[Date]])</f>
        <v>2025</v>
      </c>
      <c r="O1170"/>
    </row>
    <row r="1171" spans="1:15" x14ac:dyDescent="0.35">
      <c r="A1171" t="s">
        <v>1883</v>
      </c>
      <c r="B1171" s="2">
        <v>45739</v>
      </c>
      <c r="C1171" t="s">
        <v>10</v>
      </c>
      <c r="D1171" t="s">
        <v>38</v>
      </c>
      <c r="E1171" t="s">
        <v>42</v>
      </c>
      <c r="F1171" t="s">
        <v>13</v>
      </c>
      <c r="G1171">
        <v>1</v>
      </c>
      <c r="H1171">
        <v>3.8</v>
      </c>
      <c r="I1171" t="s">
        <v>14</v>
      </c>
      <c r="J1171" t="s">
        <v>1884</v>
      </c>
      <c r="K1171" s="12">
        <f>Store_Record[[#This Row],[Qty]]*Store_Record[[#This Row],[UnitPriceGBP]]</f>
        <v>3.8</v>
      </c>
      <c r="L1171" s="5" t="str">
        <f>TEXT(Store_Record[[#This Row],[Date]],"dddd")</f>
        <v>Sunday</v>
      </c>
      <c r="M1171" s="5" t="str">
        <f>TEXT(Store_Record[[#This Row],[Date]],"mmmm")</f>
        <v>March</v>
      </c>
      <c r="N1171" s="5">
        <f>YEAR(Store_Record[[#This Row],[Date]])</f>
        <v>2025</v>
      </c>
      <c r="O1171"/>
    </row>
    <row r="1172" spans="1:15" x14ac:dyDescent="0.35">
      <c r="A1172" t="s">
        <v>1891</v>
      </c>
      <c r="B1172" s="2">
        <v>45739</v>
      </c>
      <c r="C1172" t="s">
        <v>36</v>
      </c>
      <c r="D1172" t="s">
        <v>38</v>
      </c>
      <c r="E1172" t="s">
        <v>30</v>
      </c>
      <c r="F1172" t="s">
        <v>31</v>
      </c>
      <c r="G1172">
        <v>1</v>
      </c>
      <c r="H1172">
        <v>2.8</v>
      </c>
      <c r="I1172" t="s">
        <v>39</v>
      </c>
      <c r="J1172" t="s">
        <v>504</v>
      </c>
      <c r="K1172" s="12">
        <f>Store_Record[[#This Row],[Qty]]*Store_Record[[#This Row],[UnitPriceGBP]]</f>
        <v>2.8</v>
      </c>
      <c r="L1172" s="5" t="str">
        <f>TEXT(Store_Record[[#This Row],[Date]],"dddd")</f>
        <v>Sunday</v>
      </c>
      <c r="M1172" s="5" t="str">
        <f>TEXT(Store_Record[[#This Row],[Date]],"mmmm")</f>
        <v>March</v>
      </c>
      <c r="N1172" s="5">
        <f>YEAR(Store_Record[[#This Row],[Date]])</f>
        <v>2025</v>
      </c>
      <c r="O1172"/>
    </row>
    <row r="1173" spans="1:15" x14ac:dyDescent="0.35">
      <c r="A1173" t="s">
        <v>1901</v>
      </c>
      <c r="B1173" s="2">
        <v>45740</v>
      </c>
      <c r="C1173" t="s">
        <v>36</v>
      </c>
      <c r="D1173" t="s">
        <v>11</v>
      </c>
      <c r="E1173" t="s">
        <v>30</v>
      </c>
      <c r="F1173" t="s">
        <v>31</v>
      </c>
      <c r="G1173">
        <v>5</v>
      </c>
      <c r="H1173">
        <v>2.8</v>
      </c>
      <c r="I1173" t="s">
        <v>21</v>
      </c>
      <c r="J1173" t="s">
        <v>1061</v>
      </c>
      <c r="K1173" s="12">
        <f>Store_Record[[#This Row],[Qty]]*Store_Record[[#This Row],[UnitPriceGBP]]</f>
        <v>14</v>
      </c>
      <c r="L1173" s="5" t="str">
        <f>TEXT(Store_Record[[#This Row],[Date]],"dddd")</f>
        <v>Monday</v>
      </c>
      <c r="M1173" s="5" t="str">
        <f>TEXT(Store_Record[[#This Row],[Date]],"mmmm")</f>
        <v>March</v>
      </c>
      <c r="N1173" s="5">
        <f>YEAR(Store_Record[[#This Row],[Date]])</f>
        <v>2025</v>
      </c>
      <c r="O1173"/>
    </row>
    <row r="1174" spans="1:15" x14ac:dyDescent="0.35">
      <c r="A1174" t="s">
        <v>1906</v>
      </c>
      <c r="B1174" s="2">
        <v>45740</v>
      </c>
      <c r="C1174" t="s">
        <v>36</v>
      </c>
      <c r="D1174" t="s">
        <v>38</v>
      </c>
      <c r="E1174" t="s">
        <v>30</v>
      </c>
      <c r="F1174" t="s">
        <v>31</v>
      </c>
      <c r="G1174">
        <v>5</v>
      </c>
      <c r="H1174">
        <v>2.8</v>
      </c>
      <c r="I1174" t="s">
        <v>21</v>
      </c>
      <c r="J1174" t="s">
        <v>1907</v>
      </c>
      <c r="K1174" s="12">
        <f>Store_Record[[#This Row],[Qty]]*Store_Record[[#This Row],[UnitPriceGBP]]</f>
        <v>14</v>
      </c>
      <c r="L1174" s="5" t="str">
        <f>TEXT(Store_Record[[#This Row],[Date]],"dddd")</f>
        <v>Monday</v>
      </c>
      <c r="M1174" s="5" t="str">
        <f>TEXT(Store_Record[[#This Row],[Date]],"mmmm")</f>
        <v>March</v>
      </c>
      <c r="N1174" s="5">
        <f>YEAR(Store_Record[[#This Row],[Date]])</f>
        <v>2025</v>
      </c>
      <c r="O1174"/>
    </row>
    <row r="1175" spans="1:15" x14ac:dyDescent="0.35">
      <c r="A1175" t="s">
        <v>1893</v>
      </c>
      <c r="B1175" s="2">
        <v>45740</v>
      </c>
      <c r="C1175" t="s">
        <v>24</v>
      </c>
      <c r="D1175" t="s">
        <v>25</v>
      </c>
      <c r="E1175" t="s">
        <v>42</v>
      </c>
      <c r="F1175" t="s">
        <v>13</v>
      </c>
      <c r="G1175">
        <v>3</v>
      </c>
      <c r="H1175">
        <v>3.8</v>
      </c>
      <c r="I1175" t="s">
        <v>14</v>
      </c>
      <c r="J1175" t="s">
        <v>247</v>
      </c>
      <c r="K1175" s="12">
        <f>Store_Record[[#This Row],[Qty]]*Store_Record[[#This Row],[UnitPriceGBP]]</f>
        <v>11.399999999999999</v>
      </c>
      <c r="L1175" s="5" t="str">
        <f>TEXT(Store_Record[[#This Row],[Date]],"dddd")</f>
        <v>Monday</v>
      </c>
      <c r="M1175" s="5" t="str">
        <f>TEXT(Store_Record[[#This Row],[Date]],"mmmm")</f>
        <v>March</v>
      </c>
      <c r="N1175" s="5">
        <f>YEAR(Store_Record[[#This Row],[Date]])</f>
        <v>2025</v>
      </c>
      <c r="O1175"/>
    </row>
    <row r="1176" spans="1:15" x14ac:dyDescent="0.35">
      <c r="A1176" t="s">
        <v>1894</v>
      </c>
      <c r="B1176" s="2">
        <v>45740</v>
      </c>
      <c r="C1176" t="s">
        <v>24</v>
      </c>
      <c r="D1176" t="s">
        <v>38</v>
      </c>
      <c r="E1176" t="s">
        <v>30</v>
      </c>
      <c r="F1176" t="s">
        <v>31</v>
      </c>
      <c r="G1176">
        <v>4</v>
      </c>
      <c r="H1176">
        <v>2.8</v>
      </c>
      <c r="I1176" t="s">
        <v>39</v>
      </c>
      <c r="J1176" t="s">
        <v>580</v>
      </c>
      <c r="K1176" s="12">
        <f>Store_Record[[#This Row],[Qty]]*Store_Record[[#This Row],[UnitPriceGBP]]</f>
        <v>11.2</v>
      </c>
      <c r="L1176" s="5" t="str">
        <f>TEXT(Store_Record[[#This Row],[Date]],"dddd")</f>
        <v>Monday</v>
      </c>
      <c r="M1176" s="5" t="str">
        <f>TEXT(Store_Record[[#This Row],[Date]],"mmmm")</f>
        <v>March</v>
      </c>
      <c r="N1176" s="5">
        <f>YEAR(Store_Record[[#This Row],[Date]])</f>
        <v>2025</v>
      </c>
      <c r="O1176"/>
    </row>
    <row r="1177" spans="1:15" x14ac:dyDescent="0.35">
      <c r="A1177" t="s">
        <v>1902</v>
      </c>
      <c r="B1177" s="2">
        <v>45740</v>
      </c>
      <c r="C1177" t="s">
        <v>24</v>
      </c>
      <c r="D1177" t="s">
        <v>11</v>
      </c>
      <c r="E1177" t="s">
        <v>30</v>
      </c>
      <c r="F1177" t="s">
        <v>31</v>
      </c>
      <c r="G1177">
        <v>4</v>
      </c>
      <c r="H1177">
        <v>2.8</v>
      </c>
      <c r="I1177" t="s">
        <v>14</v>
      </c>
      <c r="J1177" t="s">
        <v>258</v>
      </c>
      <c r="K1177" s="12">
        <f>Store_Record[[#This Row],[Qty]]*Store_Record[[#This Row],[UnitPriceGBP]]</f>
        <v>11.2</v>
      </c>
      <c r="L1177" s="5" t="str">
        <f>TEXT(Store_Record[[#This Row],[Date]],"dddd")</f>
        <v>Monday</v>
      </c>
      <c r="M1177" s="5" t="str">
        <f>TEXT(Store_Record[[#This Row],[Date]],"mmmm")</f>
        <v>March</v>
      </c>
      <c r="N1177" s="5">
        <f>YEAR(Store_Record[[#This Row],[Date]])</f>
        <v>2025</v>
      </c>
      <c r="O1177"/>
    </row>
    <row r="1178" spans="1:15" x14ac:dyDescent="0.35">
      <c r="A1178" t="s">
        <v>1899</v>
      </c>
      <c r="B1178" s="2">
        <v>45740</v>
      </c>
      <c r="C1178" t="s">
        <v>36</v>
      </c>
      <c r="D1178" t="s">
        <v>11</v>
      </c>
      <c r="E1178" t="s">
        <v>34</v>
      </c>
      <c r="F1178" t="s">
        <v>31</v>
      </c>
      <c r="G1178">
        <v>5</v>
      </c>
      <c r="H1178">
        <v>2.2000000000000002</v>
      </c>
      <c r="I1178" t="s">
        <v>39</v>
      </c>
      <c r="J1178" t="s">
        <v>472</v>
      </c>
      <c r="K1178" s="12">
        <f>Store_Record[[#This Row],[Qty]]*Store_Record[[#This Row],[UnitPriceGBP]]</f>
        <v>11</v>
      </c>
      <c r="L1178" s="5" t="str">
        <f>TEXT(Store_Record[[#This Row],[Date]],"dddd")</f>
        <v>Monday</v>
      </c>
      <c r="M1178" s="5" t="str">
        <f>TEXT(Store_Record[[#This Row],[Date]],"mmmm")</f>
        <v>March</v>
      </c>
      <c r="N1178" s="5">
        <f>YEAR(Store_Record[[#This Row],[Date]])</f>
        <v>2025</v>
      </c>
      <c r="O1178"/>
    </row>
    <row r="1179" spans="1:15" x14ac:dyDescent="0.35">
      <c r="A1179" t="s">
        <v>1909</v>
      </c>
      <c r="B1179" s="2">
        <v>45740</v>
      </c>
      <c r="C1179" t="s">
        <v>20</v>
      </c>
      <c r="D1179" t="s">
        <v>29</v>
      </c>
      <c r="E1179" t="s">
        <v>26</v>
      </c>
      <c r="F1179" t="s">
        <v>13</v>
      </c>
      <c r="G1179">
        <v>3</v>
      </c>
      <c r="H1179">
        <v>3.5</v>
      </c>
      <c r="I1179" t="s">
        <v>14</v>
      </c>
      <c r="J1179" t="s">
        <v>1910</v>
      </c>
      <c r="K1179" s="12">
        <f>Store_Record[[#This Row],[Qty]]*Store_Record[[#This Row],[UnitPriceGBP]]</f>
        <v>10.5</v>
      </c>
      <c r="L1179" s="5" t="str">
        <f>TEXT(Store_Record[[#This Row],[Date]],"dddd")</f>
        <v>Monday</v>
      </c>
      <c r="M1179" s="5" t="str">
        <f>TEXT(Store_Record[[#This Row],[Date]],"mmmm")</f>
        <v>March</v>
      </c>
      <c r="N1179" s="5">
        <f>YEAR(Store_Record[[#This Row],[Date]])</f>
        <v>2025</v>
      </c>
      <c r="O1179"/>
    </row>
    <row r="1180" spans="1:15" x14ac:dyDescent="0.35">
      <c r="A1180" t="s">
        <v>1898</v>
      </c>
      <c r="B1180" s="2">
        <v>45740</v>
      </c>
      <c r="C1180" t="s">
        <v>20</v>
      </c>
      <c r="D1180" t="s">
        <v>29</v>
      </c>
      <c r="E1180" t="s">
        <v>30</v>
      </c>
      <c r="F1180" t="s">
        <v>31</v>
      </c>
      <c r="G1180">
        <v>3</v>
      </c>
      <c r="H1180">
        <v>2.8</v>
      </c>
      <c r="I1180" t="s">
        <v>14</v>
      </c>
      <c r="J1180" t="s">
        <v>582</v>
      </c>
      <c r="K1180" s="12">
        <f>Store_Record[[#This Row],[Qty]]*Store_Record[[#This Row],[UnitPriceGBP]]</f>
        <v>8.3999999999999986</v>
      </c>
      <c r="L1180" s="5" t="str">
        <f>TEXT(Store_Record[[#This Row],[Date]],"dddd")</f>
        <v>Monday</v>
      </c>
      <c r="M1180" s="5" t="str">
        <f>TEXT(Store_Record[[#This Row],[Date]],"mmmm")</f>
        <v>March</v>
      </c>
      <c r="N1180" s="5">
        <f>YEAR(Store_Record[[#This Row],[Date]])</f>
        <v>2025</v>
      </c>
      <c r="O1180"/>
    </row>
    <row r="1181" spans="1:15" x14ac:dyDescent="0.35">
      <c r="A1181" t="s">
        <v>1895</v>
      </c>
      <c r="B1181" s="2">
        <v>45740</v>
      </c>
      <c r="C1181" t="s">
        <v>24</v>
      </c>
      <c r="D1181" t="s">
        <v>38</v>
      </c>
      <c r="E1181" t="s">
        <v>34</v>
      </c>
      <c r="F1181" t="s">
        <v>31</v>
      </c>
      <c r="G1181">
        <v>3</v>
      </c>
      <c r="H1181">
        <v>2.2000000000000002</v>
      </c>
      <c r="I1181" t="s">
        <v>39</v>
      </c>
      <c r="J1181" t="s">
        <v>1896</v>
      </c>
      <c r="K1181" s="12">
        <f>Store_Record[[#This Row],[Qty]]*Store_Record[[#This Row],[UnitPriceGBP]]</f>
        <v>6.6000000000000005</v>
      </c>
      <c r="L1181" s="5" t="str">
        <f>TEXT(Store_Record[[#This Row],[Date]],"dddd")</f>
        <v>Monday</v>
      </c>
      <c r="M1181" s="5" t="str">
        <f>TEXT(Store_Record[[#This Row],[Date]],"mmmm")</f>
        <v>March</v>
      </c>
      <c r="N1181" s="5">
        <f>YEAR(Store_Record[[#This Row],[Date]])</f>
        <v>2025</v>
      </c>
      <c r="O1181"/>
    </row>
    <row r="1182" spans="1:15" x14ac:dyDescent="0.35">
      <c r="A1182" t="s">
        <v>1900</v>
      </c>
      <c r="B1182" s="2">
        <v>45740</v>
      </c>
      <c r="C1182" t="s">
        <v>24</v>
      </c>
      <c r="D1182" t="s">
        <v>25</v>
      </c>
      <c r="E1182" t="s">
        <v>30</v>
      </c>
      <c r="F1182" t="s">
        <v>31</v>
      </c>
      <c r="G1182">
        <v>2</v>
      </c>
      <c r="H1182">
        <v>2.8</v>
      </c>
      <c r="I1182" t="s">
        <v>14</v>
      </c>
      <c r="J1182" t="s">
        <v>802</v>
      </c>
      <c r="K1182" s="12">
        <f>Store_Record[[#This Row],[Qty]]*Store_Record[[#This Row],[UnitPriceGBP]]</f>
        <v>5.6</v>
      </c>
      <c r="L1182" s="5" t="str">
        <f>TEXT(Store_Record[[#This Row],[Date]],"dddd")</f>
        <v>Monday</v>
      </c>
      <c r="M1182" s="5" t="str">
        <f>TEXT(Store_Record[[#This Row],[Date]],"mmmm")</f>
        <v>March</v>
      </c>
      <c r="N1182" s="5">
        <f>YEAR(Store_Record[[#This Row],[Date]])</f>
        <v>2025</v>
      </c>
      <c r="O1182"/>
    </row>
    <row r="1183" spans="1:15" x14ac:dyDescent="0.35">
      <c r="A1183" t="s">
        <v>1897</v>
      </c>
      <c r="B1183" s="2">
        <v>45740</v>
      </c>
      <c r="C1183" t="s">
        <v>36</v>
      </c>
      <c r="D1183" t="s">
        <v>47</v>
      </c>
      <c r="E1183" t="s">
        <v>12</v>
      </c>
      <c r="F1183" t="s">
        <v>13</v>
      </c>
      <c r="G1183">
        <v>2</v>
      </c>
      <c r="H1183">
        <v>2.5</v>
      </c>
      <c r="I1183" t="s">
        <v>21</v>
      </c>
      <c r="J1183" t="s">
        <v>271</v>
      </c>
      <c r="K1183" s="12">
        <f>Store_Record[[#This Row],[Qty]]*Store_Record[[#This Row],[UnitPriceGBP]]</f>
        <v>5</v>
      </c>
      <c r="L1183" s="5" t="str">
        <f>TEXT(Store_Record[[#This Row],[Date]],"dddd")</f>
        <v>Monday</v>
      </c>
      <c r="M1183" s="5" t="str">
        <f>TEXT(Store_Record[[#This Row],[Date]],"mmmm")</f>
        <v>March</v>
      </c>
      <c r="N1183" s="5">
        <f>YEAR(Store_Record[[#This Row],[Date]])</f>
        <v>2025</v>
      </c>
      <c r="O1183"/>
    </row>
    <row r="1184" spans="1:15" x14ac:dyDescent="0.35">
      <c r="A1184" t="s">
        <v>1903</v>
      </c>
      <c r="B1184" s="2">
        <v>45740</v>
      </c>
      <c r="C1184" t="s">
        <v>20</v>
      </c>
      <c r="D1184" t="s">
        <v>38</v>
      </c>
      <c r="E1184" t="s">
        <v>34</v>
      </c>
      <c r="F1184" t="s">
        <v>31</v>
      </c>
      <c r="G1184">
        <v>2</v>
      </c>
      <c r="H1184">
        <v>2.2000000000000002</v>
      </c>
      <c r="I1184" t="s">
        <v>39</v>
      </c>
      <c r="J1184" t="s">
        <v>1904</v>
      </c>
      <c r="K1184" s="12">
        <f>Store_Record[[#This Row],[Qty]]*Store_Record[[#This Row],[UnitPriceGBP]]</f>
        <v>4.4000000000000004</v>
      </c>
      <c r="L1184" s="5" t="str">
        <f>TEXT(Store_Record[[#This Row],[Date]],"dddd")</f>
        <v>Monday</v>
      </c>
      <c r="M1184" s="5" t="str">
        <f>TEXT(Store_Record[[#This Row],[Date]],"mmmm")</f>
        <v>March</v>
      </c>
      <c r="N1184" s="5">
        <f>YEAR(Store_Record[[#This Row],[Date]])</f>
        <v>2025</v>
      </c>
      <c r="O1184"/>
    </row>
    <row r="1185" spans="1:15" x14ac:dyDescent="0.35">
      <c r="A1185" t="s">
        <v>1905</v>
      </c>
      <c r="B1185" s="2">
        <v>45740</v>
      </c>
      <c r="C1185" t="s">
        <v>10</v>
      </c>
      <c r="D1185" t="s">
        <v>152</v>
      </c>
      <c r="E1185" t="s">
        <v>30</v>
      </c>
      <c r="F1185" t="s">
        <v>31</v>
      </c>
      <c r="G1185">
        <v>1</v>
      </c>
      <c r="H1185">
        <v>2.8</v>
      </c>
      <c r="I1185" t="s">
        <v>21</v>
      </c>
      <c r="J1185" t="s">
        <v>1353</v>
      </c>
      <c r="K1185" s="12">
        <f>Store_Record[[#This Row],[Qty]]*Store_Record[[#This Row],[UnitPriceGBP]]</f>
        <v>2.8</v>
      </c>
      <c r="L1185" s="5" t="str">
        <f>TEXT(Store_Record[[#This Row],[Date]],"dddd")</f>
        <v>Monday</v>
      </c>
      <c r="M1185" s="5" t="str">
        <f>TEXT(Store_Record[[#This Row],[Date]],"mmmm")</f>
        <v>March</v>
      </c>
      <c r="N1185" s="5">
        <f>YEAR(Store_Record[[#This Row],[Date]])</f>
        <v>2025</v>
      </c>
      <c r="O1185"/>
    </row>
    <row r="1186" spans="1:15" x14ac:dyDescent="0.35">
      <c r="A1186" t="s">
        <v>1908</v>
      </c>
      <c r="B1186" s="2">
        <v>45740</v>
      </c>
      <c r="C1186" t="s">
        <v>36</v>
      </c>
      <c r="D1186" t="s">
        <v>11</v>
      </c>
      <c r="E1186" t="s">
        <v>34</v>
      </c>
      <c r="F1186" t="s">
        <v>31</v>
      </c>
      <c r="G1186">
        <v>1</v>
      </c>
      <c r="H1186">
        <v>2.2000000000000002</v>
      </c>
      <c r="I1186" t="s">
        <v>14</v>
      </c>
      <c r="J1186" t="s">
        <v>1801</v>
      </c>
      <c r="K1186" s="12">
        <f>Store_Record[[#This Row],[Qty]]*Store_Record[[#This Row],[UnitPriceGBP]]</f>
        <v>2.2000000000000002</v>
      </c>
      <c r="L1186" s="5" t="str">
        <f>TEXT(Store_Record[[#This Row],[Date]],"dddd")</f>
        <v>Monday</v>
      </c>
      <c r="M1186" s="5" t="str">
        <f>TEXT(Store_Record[[#This Row],[Date]],"mmmm")</f>
        <v>March</v>
      </c>
      <c r="N1186" s="5">
        <f>YEAR(Store_Record[[#This Row],[Date]])</f>
        <v>2025</v>
      </c>
      <c r="O1186"/>
    </row>
    <row r="1187" spans="1:15" x14ac:dyDescent="0.35">
      <c r="A1187" t="s">
        <v>1919</v>
      </c>
      <c r="B1187" s="2">
        <v>45741</v>
      </c>
      <c r="C1187" t="s">
        <v>20</v>
      </c>
      <c r="D1187" t="s">
        <v>29</v>
      </c>
      <c r="E1187" t="s">
        <v>42</v>
      </c>
      <c r="F1187" t="s">
        <v>13</v>
      </c>
      <c r="G1187">
        <v>4</v>
      </c>
      <c r="H1187">
        <v>3.8</v>
      </c>
      <c r="I1187" t="s">
        <v>14</v>
      </c>
      <c r="J1187" t="s">
        <v>508</v>
      </c>
      <c r="K1187" s="12">
        <f>Store_Record[[#This Row],[Qty]]*Store_Record[[#This Row],[UnitPriceGBP]]</f>
        <v>15.2</v>
      </c>
      <c r="L1187" s="5" t="str">
        <f>TEXT(Store_Record[[#This Row],[Date]],"dddd")</f>
        <v>Tuesday</v>
      </c>
      <c r="M1187" s="5" t="str">
        <f>TEXT(Store_Record[[#This Row],[Date]],"mmmm")</f>
        <v>March</v>
      </c>
      <c r="N1187" s="5">
        <f>YEAR(Store_Record[[#This Row],[Date]])</f>
        <v>2025</v>
      </c>
      <c r="O1187"/>
    </row>
    <row r="1188" spans="1:15" x14ac:dyDescent="0.35">
      <c r="A1188" t="s">
        <v>1934</v>
      </c>
      <c r="B1188" s="2">
        <v>45741</v>
      </c>
      <c r="C1188" t="s">
        <v>20</v>
      </c>
      <c r="D1188" t="s">
        <v>38</v>
      </c>
      <c r="E1188" t="s">
        <v>42</v>
      </c>
      <c r="F1188" t="s">
        <v>13</v>
      </c>
      <c r="G1188">
        <v>4</v>
      </c>
      <c r="H1188">
        <v>3.8</v>
      </c>
      <c r="I1188" t="s">
        <v>21</v>
      </c>
      <c r="J1188" t="s">
        <v>200</v>
      </c>
      <c r="K1188" s="12">
        <f>Store_Record[[#This Row],[Qty]]*Store_Record[[#This Row],[UnitPriceGBP]]</f>
        <v>15.2</v>
      </c>
      <c r="L1188" s="5" t="str">
        <f>TEXT(Store_Record[[#This Row],[Date]],"dddd")</f>
        <v>Tuesday</v>
      </c>
      <c r="M1188" s="5" t="str">
        <f>TEXT(Store_Record[[#This Row],[Date]],"mmmm")</f>
        <v>March</v>
      </c>
      <c r="N1188" s="5">
        <f>YEAR(Store_Record[[#This Row],[Date]])</f>
        <v>2025</v>
      </c>
      <c r="O1188"/>
    </row>
    <row r="1189" spans="1:15" x14ac:dyDescent="0.35">
      <c r="A1189" t="s">
        <v>1924</v>
      </c>
      <c r="B1189" s="2">
        <v>45741</v>
      </c>
      <c r="C1189" t="s">
        <v>24</v>
      </c>
      <c r="D1189" t="s">
        <v>38</v>
      </c>
      <c r="E1189" t="s">
        <v>26</v>
      </c>
      <c r="F1189" t="s">
        <v>13</v>
      </c>
      <c r="G1189">
        <v>4</v>
      </c>
      <c r="H1189">
        <v>3.5</v>
      </c>
      <c r="I1189" t="s">
        <v>14</v>
      </c>
      <c r="J1189" t="s">
        <v>157</v>
      </c>
      <c r="K1189" s="12">
        <f>Store_Record[[#This Row],[Qty]]*Store_Record[[#This Row],[UnitPriceGBP]]</f>
        <v>14</v>
      </c>
      <c r="L1189" s="5" t="str">
        <f>TEXT(Store_Record[[#This Row],[Date]],"dddd")</f>
        <v>Tuesday</v>
      </c>
      <c r="M1189" s="5" t="str">
        <f>TEXT(Store_Record[[#This Row],[Date]],"mmmm")</f>
        <v>March</v>
      </c>
      <c r="N1189" s="5">
        <f>YEAR(Store_Record[[#This Row],[Date]])</f>
        <v>2025</v>
      </c>
      <c r="O1189"/>
    </row>
    <row r="1190" spans="1:15" x14ac:dyDescent="0.35">
      <c r="A1190" t="s">
        <v>1932</v>
      </c>
      <c r="B1190" s="2">
        <v>45741</v>
      </c>
      <c r="C1190" t="s">
        <v>20</v>
      </c>
      <c r="D1190" t="s">
        <v>11</v>
      </c>
      <c r="E1190" t="s">
        <v>30</v>
      </c>
      <c r="F1190" t="s">
        <v>31</v>
      </c>
      <c r="G1190">
        <v>5</v>
      </c>
      <c r="H1190">
        <v>2.8</v>
      </c>
      <c r="I1190" t="s">
        <v>14</v>
      </c>
      <c r="J1190" t="s">
        <v>1332</v>
      </c>
      <c r="K1190" s="12">
        <f>Store_Record[[#This Row],[Qty]]*Store_Record[[#This Row],[UnitPriceGBP]]</f>
        <v>14</v>
      </c>
      <c r="L1190" s="5" t="str">
        <f>TEXT(Store_Record[[#This Row],[Date]],"dddd")</f>
        <v>Tuesday</v>
      </c>
      <c r="M1190" s="5" t="str">
        <f>TEXT(Store_Record[[#This Row],[Date]],"mmmm")</f>
        <v>March</v>
      </c>
      <c r="N1190" s="5">
        <f>YEAR(Store_Record[[#This Row],[Date]])</f>
        <v>2025</v>
      </c>
      <c r="O1190"/>
    </row>
    <row r="1191" spans="1:15" x14ac:dyDescent="0.35">
      <c r="A1191" t="s">
        <v>1937</v>
      </c>
      <c r="B1191" s="2">
        <v>45741</v>
      </c>
      <c r="C1191" t="s">
        <v>24</v>
      </c>
      <c r="D1191" t="s">
        <v>11</v>
      </c>
      <c r="E1191" t="s">
        <v>42</v>
      </c>
      <c r="F1191" t="s">
        <v>13</v>
      </c>
      <c r="G1191">
        <v>3</v>
      </c>
      <c r="H1191">
        <v>3.8</v>
      </c>
      <c r="I1191" t="s">
        <v>14</v>
      </c>
      <c r="J1191" t="s">
        <v>1938</v>
      </c>
      <c r="K1191" s="12">
        <f>Store_Record[[#This Row],[Qty]]*Store_Record[[#This Row],[UnitPriceGBP]]</f>
        <v>11.399999999999999</v>
      </c>
      <c r="L1191" s="5" t="str">
        <f>TEXT(Store_Record[[#This Row],[Date]],"dddd")</f>
        <v>Tuesday</v>
      </c>
      <c r="M1191" s="5" t="str">
        <f>TEXT(Store_Record[[#This Row],[Date]],"mmmm")</f>
        <v>March</v>
      </c>
      <c r="N1191" s="5">
        <f>YEAR(Store_Record[[#This Row],[Date]])</f>
        <v>2025</v>
      </c>
      <c r="O1191"/>
    </row>
    <row r="1192" spans="1:15" x14ac:dyDescent="0.35">
      <c r="A1192" t="s">
        <v>1935</v>
      </c>
      <c r="B1192" s="2">
        <v>45741</v>
      </c>
      <c r="C1192" t="s">
        <v>10</v>
      </c>
      <c r="D1192" t="s">
        <v>38</v>
      </c>
      <c r="E1192" t="s">
        <v>34</v>
      </c>
      <c r="F1192" t="s">
        <v>31</v>
      </c>
      <c r="G1192">
        <v>5</v>
      </c>
      <c r="H1192">
        <v>2.2000000000000002</v>
      </c>
      <c r="I1192" t="s">
        <v>39</v>
      </c>
      <c r="J1192" t="s">
        <v>1936</v>
      </c>
      <c r="K1192" s="12">
        <f>Store_Record[[#This Row],[Qty]]*Store_Record[[#This Row],[UnitPriceGBP]]</f>
        <v>11</v>
      </c>
      <c r="L1192" s="5" t="str">
        <f>TEXT(Store_Record[[#This Row],[Date]],"dddd")</f>
        <v>Tuesday</v>
      </c>
      <c r="M1192" s="5" t="str">
        <f>TEXT(Store_Record[[#This Row],[Date]],"mmmm")</f>
        <v>March</v>
      </c>
      <c r="N1192" s="5">
        <f>YEAR(Store_Record[[#This Row],[Date]])</f>
        <v>2025</v>
      </c>
      <c r="O1192"/>
    </row>
    <row r="1193" spans="1:15" x14ac:dyDescent="0.35">
      <c r="A1193" t="s">
        <v>1931</v>
      </c>
      <c r="B1193" s="2">
        <v>45741</v>
      </c>
      <c r="C1193" t="s">
        <v>20</v>
      </c>
      <c r="D1193" t="s">
        <v>25</v>
      </c>
      <c r="E1193" t="s">
        <v>26</v>
      </c>
      <c r="F1193" t="s">
        <v>13</v>
      </c>
      <c r="G1193">
        <v>3</v>
      </c>
      <c r="H1193">
        <v>3.5</v>
      </c>
      <c r="I1193" t="s">
        <v>39</v>
      </c>
      <c r="J1193" t="s">
        <v>404</v>
      </c>
      <c r="K1193" s="12">
        <f>Store_Record[[#This Row],[Qty]]*Store_Record[[#This Row],[UnitPriceGBP]]</f>
        <v>10.5</v>
      </c>
      <c r="L1193" s="5" t="str">
        <f>TEXT(Store_Record[[#This Row],[Date]],"dddd")</f>
        <v>Tuesday</v>
      </c>
      <c r="M1193" s="5" t="str">
        <f>TEXT(Store_Record[[#This Row],[Date]],"mmmm")</f>
        <v>March</v>
      </c>
      <c r="N1193" s="5">
        <f>YEAR(Store_Record[[#This Row],[Date]])</f>
        <v>2025</v>
      </c>
      <c r="O1193"/>
    </row>
    <row r="1194" spans="1:15" x14ac:dyDescent="0.35">
      <c r="A1194" t="s">
        <v>1916</v>
      </c>
      <c r="B1194" s="2">
        <v>45741</v>
      </c>
      <c r="C1194" t="s">
        <v>24</v>
      </c>
      <c r="D1194" t="s">
        <v>47</v>
      </c>
      <c r="E1194" t="s">
        <v>34</v>
      </c>
      <c r="F1194" t="s">
        <v>31</v>
      </c>
      <c r="G1194">
        <v>4</v>
      </c>
      <c r="H1194">
        <v>2.2000000000000002</v>
      </c>
      <c r="I1194" t="s">
        <v>21</v>
      </c>
      <c r="J1194" t="s">
        <v>992</v>
      </c>
      <c r="K1194" s="12">
        <f>Store_Record[[#This Row],[Qty]]*Store_Record[[#This Row],[UnitPriceGBP]]</f>
        <v>8.8000000000000007</v>
      </c>
      <c r="L1194" s="5" t="str">
        <f>TEXT(Store_Record[[#This Row],[Date]],"dddd")</f>
        <v>Tuesday</v>
      </c>
      <c r="M1194" s="5" t="str">
        <f>TEXT(Store_Record[[#This Row],[Date]],"mmmm")</f>
        <v>March</v>
      </c>
      <c r="N1194" s="5">
        <f>YEAR(Store_Record[[#This Row],[Date]])</f>
        <v>2025</v>
      </c>
      <c r="O1194"/>
    </row>
    <row r="1195" spans="1:15" x14ac:dyDescent="0.35">
      <c r="A1195" t="s">
        <v>1918</v>
      </c>
      <c r="B1195" s="2">
        <v>45741</v>
      </c>
      <c r="C1195" t="s">
        <v>10</v>
      </c>
      <c r="D1195" t="s">
        <v>38</v>
      </c>
      <c r="E1195" t="s">
        <v>34</v>
      </c>
      <c r="F1195" t="s">
        <v>31</v>
      </c>
      <c r="G1195">
        <v>4</v>
      </c>
      <c r="H1195">
        <v>2.2000000000000002</v>
      </c>
      <c r="I1195" t="s">
        <v>39</v>
      </c>
      <c r="J1195" t="s">
        <v>423</v>
      </c>
      <c r="K1195" s="12">
        <f>Store_Record[[#This Row],[Qty]]*Store_Record[[#This Row],[UnitPriceGBP]]</f>
        <v>8.8000000000000007</v>
      </c>
      <c r="L1195" s="5" t="str">
        <f>TEXT(Store_Record[[#This Row],[Date]],"dddd")</f>
        <v>Tuesday</v>
      </c>
      <c r="M1195" s="5" t="str">
        <f>TEXT(Store_Record[[#This Row],[Date]],"mmmm")</f>
        <v>March</v>
      </c>
      <c r="N1195" s="5">
        <f>YEAR(Store_Record[[#This Row],[Date]])</f>
        <v>2025</v>
      </c>
      <c r="O1195"/>
    </row>
    <row r="1196" spans="1:15" x14ac:dyDescent="0.35">
      <c r="A1196" t="s">
        <v>1920</v>
      </c>
      <c r="B1196" s="2">
        <v>45741</v>
      </c>
      <c r="C1196" t="s">
        <v>20</v>
      </c>
      <c r="D1196" t="s">
        <v>11</v>
      </c>
      <c r="E1196" t="s">
        <v>34</v>
      </c>
      <c r="F1196" t="s">
        <v>31</v>
      </c>
      <c r="G1196">
        <v>4</v>
      </c>
      <c r="H1196">
        <v>2.2000000000000002</v>
      </c>
      <c r="I1196" t="s">
        <v>39</v>
      </c>
      <c r="J1196" t="s">
        <v>1921</v>
      </c>
      <c r="K1196" s="12">
        <f>Store_Record[[#This Row],[Qty]]*Store_Record[[#This Row],[UnitPriceGBP]]</f>
        <v>8.8000000000000007</v>
      </c>
      <c r="L1196" s="5" t="str">
        <f>TEXT(Store_Record[[#This Row],[Date]],"dddd")</f>
        <v>Tuesday</v>
      </c>
      <c r="M1196" s="5" t="str">
        <f>TEXT(Store_Record[[#This Row],[Date]],"mmmm")</f>
        <v>March</v>
      </c>
      <c r="N1196" s="5">
        <f>YEAR(Store_Record[[#This Row],[Date]])</f>
        <v>2025</v>
      </c>
      <c r="O1196"/>
    </row>
    <row r="1197" spans="1:15" x14ac:dyDescent="0.35">
      <c r="A1197" t="s">
        <v>1923</v>
      </c>
      <c r="B1197" s="2">
        <v>45741</v>
      </c>
      <c r="C1197" t="s">
        <v>36</v>
      </c>
      <c r="D1197" t="s">
        <v>29</v>
      </c>
      <c r="E1197" t="s">
        <v>30</v>
      </c>
      <c r="F1197" t="s">
        <v>31</v>
      </c>
      <c r="G1197">
        <v>3</v>
      </c>
      <c r="H1197">
        <v>2.8</v>
      </c>
      <c r="I1197" t="s">
        <v>39</v>
      </c>
      <c r="J1197" t="s">
        <v>799</v>
      </c>
      <c r="K1197" s="12">
        <f>Store_Record[[#This Row],[Qty]]*Store_Record[[#This Row],[UnitPriceGBP]]</f>
        <v>8.3999999999999986</v>
      </c>
      <c r="L1197" s="5" t="str">
        <f>TEXT(Store_Record[[#This Row],[Date]],"dddd")</f>
        <v>Tuesday</v>
      </c>
      <c r="M1197" s="5" t="str">
        <f>TEXT(Store_Record[[#This Row],[Date]],"mmmm")</f>
        <v>March</v>
      </c>
      <c r="N1197" s="5">
        <f>YEAR(Store_Record[[#This Row],[Date]])</f>
        <v>2025</v>
      </c>
      <c r="O1197"/>
    </row>
    <row r="1198" spans="1:15" x14ac:dyDescent="0.35">
      <c r="A1198" t="s">
        <v>1941</v>
      </c>
      <c r="B1198" s="2">
        <v>45741</v>
      </c>
      <c r="C1198" t="s">
        <v>10</v>
      </c>
      <c r="D1198" t="s">
        <v>11</v>
      </c>
      <c r="E1198" t="s">
        <v>30</v>
      </c>
      <c r="F1198" t="s">
        <v>31</v>
      </c>
      <c r="G1198">
        <v>3</v>
      </c>
      <c r="H1198">
        <v>2.8</v>
      </c>
      <c r="I1198" t="s">
        <v>21</v>
      </c>
      <c r="J1198" t="s">
        <v>665</v>
      </c>
      <c r="K1198" s="12">
        <f>Store_Record[[#This Row],[Qty]]*Store_Record[[#This Row],[UnitPriceGBP]]</f>
        <v>8.3999999999999986</v>
      </c>
      <c r="L1198" s="5" t="str">
        <f>TEXT(Store_Record[[#This Row],[Date]],"dddd")</f>
        <v>Tuesday</v>
      </c>
      <c r="M1198" s="5" t="str">
        <f>TEXT(Store_Record[[#This Row],[Date]],"mmmm")</f>
        <v>March</v>
      </c>
      <c r="N1198" s="5">
        <f>YEAR(Store_Record[[#This Row],[Date]])</f>
        <v>2025</v>
      </c>
      <c r="O1198"/>
    </row>
    <row r="1199" spans="1:15" x14ac:dyDescent="0.35">
      <c r="A1199" t="s">
        <v>1911</v>
      </c>
      <c r="B1199" s="2">
        <v>45741</v>
      </c>
      <c r="C1199" t="s">
        <v>20</v>
      </c>
      <c r="D1199" t="s">
        <v>25</v>
      </c>
      <c r="E1199" t="s">
        <v>42</v>
      </c>
      <c r="F1199" t="s">
        <v>13</v>
      </c>
      <c r="G1199">
        <v>2</v>
      </c>
      <c r="H1199">
        <v>3.8</v>
      </c>
      <c r="I1199" t="s">
        <v>21</v>
      </c>
      <c r="J1199" t="s">
        <v>1912</v>
      </c>
      <c r="K1199" s="12">
        <f>Store_Record[[#This Row],[Qty]]*Store_Record[[#This Row],[UnitPriceGBP]]</f>
        <v>7.6</v>
      </c>
      <c r="L1199" s="5" t="str">
        <f>TEXT(Store_Record[[#This Row],[Date]],"dddd")</f>
        <v>Tuesday</v>
      </c>
      <c r="M1199" s="5" t="str">
        <f>TEXT(Store_Record[[#This Row],[Date]],"mmmm")</f>
        <v>March</v>
      </c>
      <c r="N1199" s="5">
        <f>YEAR(Store_Record[[#This Row],[Date]])</f>
        <v>2025</v>
      </c>
      <c r="O1199"/>
    </row>
    <row r="1200" spans="1:15" x14ac:dyDescent="0.35">
      <c r="A1200" t="s">
        <v>1929</v>
      </c>
      <c r="B1200" s="2">
        <v>45741</v>
      </c>
      <c r="C1200" t="s">
        <v>20</v>
      </c>
      <c r="D1200" t="s">
        <v>25</v>
      </c>
      <c r="E1200" t="s">
        <v>42</v>
      </c>
      <c r="F1200" t="s">
        <v>13</v>
      </c>
      <c r="G1200">
        <v>2</v>
      </c>
      <c r="H1200">
        <v>3.8</v>
      </c>
      <c r="I1200" t="s">
        <v>21</v>
      </c>
      <c r="J1200" t="s">
        <v>1930</v>
      </c>
      <c r="K1200" s="12">
        <f>Store_Record[[#This Row],[Qty]]*Store_Record[[#This Row],[UnitPriceGBP]]</f>
        <v>7.6</v>
      </c>
      <c r="L1200" s="5" t="str">
        <f>TEXT(Store_Record[[#This Row],[Date]],"dddd")</f>
        <v>Tuesday</v>
      </c>
      <c r="M1200" s="5" t="str">
        <f>TEXT(Store_Record[[#This Row],[Date]],"mmmm")</f>
        <v>March</v>
      </c>
      <c r="N1200" s="5">
        <f>YEAR(Store_Record[[#This Row],[Date]])</f>
        <v>2025</v>
      </c>
      <c r="O1200"/>
    </row>
    <row r="1201" spans="1:15" x14ac:dyDescent="0.35">
      <c r="A1201" t="s">
        <v>1940</v>
      </c>
      <c r="B1201" s="2">
        <v>45741</v>
      </c>
      <c r="C1201" t="s">
        <v>10</v>
      </c>
      <c r="D1201" t="s">
        <v>11</v>
      </c>
      <c r="E1201" t="s">
        <v>12</v>
      </c>
      <c r="F1201" t="s">
        <v>13</v>
      </c>
      <c r="G1201">
        <v>3</v>
      </c>
      <c r="H1201">
        <v>2.5</v>
      </c>
      <c r="I1201" t="s">
        <v>39</v>
      </c>
      <c r="J1201" t="s">
        <v>1703</v>
      </c>
      <c r="K1201" s="12">
        <f>Store_Record[[#This Row],[Qty]]*Store_Record[[#This Row],[UnitPriceGBP]]</f>
        <v>7.5</v>
      </c>
      <c r="L1201" s="5" t="str">
        <f>TEXT(Store_Record[[#This Row],[Date]],"dddd")</f>
        <v>Tuesday</v>
      </c>
      <c r="M1201" s="5" t="str">
        <f>TEXT(Store_Record[[#This Row],[Date]],"mmmm")</f>
        <v>March</v>
      </c>
      <c r="N1201" s="5">
        <f>YEAR(Store_Record[[#This Row],[Date]])</f>
        <v>2025</v>
      </c>
      <c r="O1201"/>
    </row>
    <row r="1202" spans="1:15" x14ac:dyDescent="0.35">
      <c r="A1202" t="s">
        <v>1927</v>
      </c>
      <c r="B1202" s="2">
        <v>45741</v>
      </c>
      <c r="C1202" t="s">
        <v>20</v>
      </c>
      <c r="D1202" t="s">
        <v>47</v>
      </c>
      <c r="E1202" t="s">
        <v>34</v>
      </c>
      <c r="F1202" t="s">
        <v>31</v>
      </c>
      <c r="G1202">
        <v>3</v>
      </c>
      <c r="H1202">
        <v>2.2000000000000002</v>
      </c>
      <c r="I1202" t="s">
        <v>39</v>
      </c>
      <c r="J1202" t="s">
        <v>1928</v>
      </c>
      <c r="K1202" s="12">
        <f>Store_Record[[#This Row],[Qty]]*Store_Record[[#This Row],[UnitPriceGBP]]</f>
        <v>6.6000000000000005</v>
      </c>
      <c r="L1202" s="5" t="str">
        <f>TEXT(Store_Record[[#This Row],[Date]],"dddd")</f>
        <v>Tuesday</v>
      </c>
      <c r="M1202" s="5" t="str">
        <f>TEXT(Store_Record[[#This Row],[Date]],"mmmm")</f>
        <v>March</v>
      </c>
      <c r="N1202" s="5">
        <f>YEAR(Store_Record[[#This Row],[Date]])</f>
        <v>2025</v>
      </c>
      <c r="O1202"/>
    </row>
    <row r="1203" spans="1:15" x14ac:dyDescent="0.35">
      <c r="A1203" t="s">
        <v>1933</v>
      </c>
      <c r="B1203" s="2">
        <v>45741</v>
      </c>
      <c r="C1203" t="s">
        <v>36</v>
      </c>
      <c r="D1203" t="s">
        <v>11</v>
      </c>
      <c r="E1203" t="s">
        <v>34</v>
      </c>
      <c r="F1203" t="s">
        <v>31</v>
      </c>
      <c r="G1203">
        <v>3</v>
      </c>
      <c r="H1203">
        <v>2.2000000000000002</v>
      </c>
      <c r="I1203" t="s">
        <v>21</v>
      </c>
      <c r="J1203" t="s">
        <v>380</v>
      </c>
      <c r="K1203" s="12">
        <f>Store_Record[[#This Row],[Qty]]*Store_Record[[#This Row],[UnitPriceGBP]]</f>
        <v>6.6000000000000005</v>
      </c>
      <c r="L1203" s="5" t="str">
        <f>TEXT(Store_Record[[#This Row],[Date]],"dddd")</f>
        <v>Tuesday</v>
      </c>
      <c r="M1203" s="5" t="str">
        <f>TEXT(Store_Record[[#This Row],[Date]],"mmmm")</f>
        <v>March</v>
      </c>
      <c r="N1203" s="5">
        <f>YEAR(Store_Record[[#This Row],[Date]])</f>
        <v>2025</v>
      </c>
      <c r="O1203"/>
    </row>
    <row r="1204" spans="1:15" x14ac:dyDescent="0.35">
      <c r="A1204" t="s">
        <v>1939</v>
      </c>
      <c r="B1204" s="2">
        <v>45741</v>
      </c>
      <c r="C1204" t="s">
        <v>20</v>
      </c>
      <c r="D1204" t="s">
        <v>47</v>
      </c>
      <c r="E1204" t="s">
        <v>30</v>
      </c>
      <c r="F1204" t="s">
        <v>31</v>
      </c>
      <c r="G1204">
        <v>2</v>
      </c>
      <c r="H1204">
        <v>2.8</v>
      </c>
      <c r="I1204" t="s">
        <v>39</v>
      </c>
      <c r="J1204" t="s">
        <v>413</v>
      </c>
      <c r="K1204" s="12">
        <f>Store_Record[[#This Row],[Qty]]*Store_Record[[#This Row],[UnitPriceGBP]]</f>
        <v>5.6</v>
      </c>
      <c r="L1204" s="5" t="str">
        <f>TEXT(Store_Record[[#This Row],[Date]],"dddd")</f>
        <v>Tuesday</v>
      </c>
      <c r="M1204" s="5" t="str">
        <f>TEXT(Store_Record[[#This Row],[Date]],"mmmm")</f>
        <v>March</v>
      </c>
      <c r="N1204" s="5">
        <f>YEAR(Store_Record[[#This Row],[Date]])</f>
        <v>2025</v>
      </c>
      <c r="O1204"/>
    </row>
    <row r="1205" spans="1:15" x14ac:dyDescent="0.35">
      <c r="A1205" t="s">
        <v>1913</v>
      </c>
      <c r="B1205" s="2">
        <v>45741</v>
      </c>
      <c r="C1205" t="s">
        <v>20</v>
      </c>
      <c r="D1205" t="s">
        <v>29</v>
      </c>
      <c r="E1205" t="s">
        <v>12</v>
      </c>
      <c r="F1205" t="s">
        <v>13</v>
      </c>
      <c r="G1205">
        <v>2</v>
      </c>
      <c r="H1205">
        <v>2.5</v>
      </c>
      <c r="I1205" t="s">
        <v>14</v>
      </c>
      <c r="J1205" t="s">
        <v>1221</v>
      </c>
      <c r="K1205" s="12">
        <f>Store_Record[[#This Row],[Qty]]*Store_Record[[#This Row],[UnitPriceGBP]]</f>
        <v>5</v>
      </c>
      <c r="L1205" s="5" t="str">
        <f>TEXT(Store_Record[[#This Row],[Date]],"dddd")</f>
        <v>Tuesday</v>
      </c>
      <c r="M1205" s="5" t="str">
        <f>TEXT(Store_Record[[#This Row],[Date]],"mmmm")</f>
        <v>March</v>
      </c>
      <c r="N1205" s="5">
        <f>YEAR(Store_Record[[#This Row],[Date]])</f>
        <v>2025</v>
      </c>
      <c r="O1205"/>
    </row>
    <row r="1206" spans="1:15" x14ac:dyDescent="0.35">
      <c r="A1206" t="s">
        <v>1917</v>
      </c>
      <c r="B1206" s="2">
        <v>45741</v>
      </c>
      <c r="C1206" t="s">
        <v>20</v>
      </c>
      <c r="D1206" t="s">
        <v>38</v>
      </c>
      <c r="E1206" t="s">
        <v>34</v>
      </c>
      <c r="F1206" t="s">
        <v>31</v>
      </c>
      <c r="G1206">
        <v>2</v>
      </c>
      <c r="H1206">
        <v>2.2000000000000002</v>
      </c>
      <c r="I1206" t="s">
        <v>14</v>
      </c>
      <c r="J1206" t="s">
        <v>265</v>
      </c>
      <c r="K1206" s="12">
        <f>Store_Record[[#This Row],[Qty]]*Store_Record[[#This Row],[UnitPriceGBP]]</f>
        <v>4.4000000000000004</v>
      </c>
      <c r="L1206" s="5" t="str">
        <f>TEXT(Store_Record[[#This Row],[Date]],"dddd")</f>
        <v>Tuesday</v>
      </c>
      <c r="M1206" s="5" t="str">
        <f>TEXT(Store_Record[[#This Row],[Date]],"mmmm")</f>
        <v>March</v>
      </c>
      <c r="N1206" s="5">
        <f>YEAR(Store_Record[[#This Row],[Date]])</f>
        <v>2025</v>
      </c>
      <c r="O1206"/>
    </row>
    <row r="1207" spans="1:15" x14ac:dyDescent="0.35">
      <c r="A1207" t="s">
        <v>1922</v>
      </c>
      <c r="B1207" s="2">
        <v>45741</v>
      </c>
      <c r="C1207" t="s">
        <v>20</v>
      </c>
      <c r="D1207" t="s">
        <v>25</v>
      </c>
      <c r="E1207" t="s">
        <v>42</v>
      </c>
      <c r="F1207" t="s">
        <v>13</v>
      </c>
      <c r="G1207">
        <v>1</v>
      </c>
      <c r="H1207">
        <v>3.8</v>
      </c>
      <c r="I1207" t="s">
        <v>21</v>
      </c>
      <c r="J1207" t="s">
        <v>398</v>
      </c>
      <c r="K1207" s="12">
        <f>Store_Record[[#This Row],[Qty]]*Store_Record[[#This Row],[UnitPriceGBP]]</f>
        <v>3.8</v>
      </c>
      <c r="L1207" s="5" t="str">
        <f>TEXT(Store_Record[[#This Row],[Date]],"dddd")</f>
        <v>Tuesday</v>
      </c>
      <c r="M1207" s="5" t="str">
        <f>TEXT(Store_Record[[#This Row],[Date]],"mmmm")</f>
        <v>March</v>
      </c>
      <c r="N1207" s="5">
        <f>YEAR(Store_Record[[#This Row],[Date]])</f>
        <v>2025</v>
      </c>
      <c r="O1207"/>
    </row>
    <row r="1208" spans="1:15" x14ac:dyDescent="0.35">
      <c r="A1208" t="s">
        <v>1914</v>
      </c>
      <c r="B1208" s="2">
        <v>45741</v>
      </c>
      <c r="C1208" t="s">
        <v>24</v>
      </c>
      <c r="D1208" t="s">
        <v>29</v>
      </c>
      <c r="E1208" t="s">
        <v>26</v>
      </c>
      <c r="F1208" t="s">
        <v>13</v>
      </c>
      <c r="G1208">
        <v>1</v>
      </c>
      <c r="H1208">
        <v>3.5</v>
      </c>
      <c r="I1208" t="s">
        <v>21</v>
      </c>
      <c r="J1208" t="s">
        <v>1915</v>
      </c>
      <c r="K1208" s="12">
        <f>Store_Record[[#This Row],[Qty]]*Store_Record[[#This Row],[UnitPriceGBP]]</f>
        <v>3.5</v>
      </c>
      <c r="L1208" s="5" t="str">
        <f>TEXT(Store_Record[[#This Row],[Date]],"dddd")</f>
        <v>Tuesday</v>
      </c>
      <c r="M1208" s="5" t="str">
        <f>TEXT(Store_Record[[#This Row],[Date]],"mmmm")</f>
        <v>March</v>
      </c>
      <c r="N1208" s="5">
        <f>YEAR(Store_Record[[#This Row],[Date]])</f>
        <v>2025</v>
      </c>
      <c r="O1208"/>
    </row>
    <row r="1209" spans="1:15" x14ac:dyDescent="0.35">
      <c r="A1209" t="s">
        <v>1925</v>
      </c>
      <c r="B1209" s="2">
        <v>45741</v>
      </c>
      <c r="C1209" t="s">
        <v>36</v>
      </c>
      <c r="D1209" t="s">
        <v>29</v>
      </c>
      <c r="E1209" t="s">
        <v>34</v>
      </c>
      <c r="F1209" t="s">
        <v>31</v>
      </c>
      <c r="G1209">
        <v>1</v>
      </c>
      <c r="H1209">
        <v>2.2000000000000002</v>
      </c>
      <c r="I1209" t="s">
        <v>21</v>
      </c>
      <c r="J1209" t="s">
        <v>1926</v>
      </c>
      <c r="K1209" s="12">
        <f>Store_Record[[#This Row],[Qty]]*Store_Record[[#This Row],[UnitPriceGBP]]</f>
        <v>2.2000000000000002</v>
      </c>
      <c r="L1209" s="5" t="str">
        <f>TEXT(Store_Record[[#This Row],[Date]],"dddd")</f>
        <v>Tuesday</v>
      </c>
      <c r="M1209" s="5" t="str">
        <f>TEXT(Store_Record[[#This Row],[Date]],"mmmm")</f>
        <v>March</v>
      </c>
      <c r="N1209" s="5">
        <f>YEAR(Store_Record[[#This Row],[Date]])</f>
        <v>2025</v>
      </c>
      <c r="O1209"/>
    </row>
    <row r="1210" spans="1:15" x14ac:dyDescent="0.35">
      <c r="A1210" t="s">
        <v>1945</v>
      </c>
      <c r="B1210" s="2">
        <v>45742</v>
      </c>
      <c r="C1210" t="s">
        <v>36</v>
      </c>
      <c r="D1210" t="s">
        <v>38</v>
      </c>
      <c r="E1210" t="s">
        <v>12</v>
      </c>
      <c r="F1210" t="s">
        <v>13</v>
      </c>
      <c r="G1210">
        <v>5</v>
      </c>
      <c r="H1210">
        <v>2.5</v>
      </c>
      <c r="I1210" t="s">
        <v>14</v>
      </c>
      <c r="J1210" t="s">
        <v>1120</v>
      </c>
      <c r="K1210" s="12">
        <f>Store_Record[[#This Row],[Qty]]*Store_Record[[#This Row],[UnitPriceGBP]]</f>
        <v>12.5</v>
      </c>
      <c r="L1210" s="5" t="str">
        <f>TEXT(Store_Record[[#This Row],[Date]],"dddd")</f>
        <v>Wednesday</v>
      </c>
      <c r="M1210" s="5" t="str">
        <f>TEXT(Store_Record[[#This Row],[Date]],"mmmm")</f>
        <v>March</v>
      </c>
      <c r="N1210" s="5">
        <f>YEAR(Store_Record[[#This Row],[Date]])</f>
        <v>2025</v>
      </c>
      <c r="O1210"/>
    </row>
    <row r="1211" spans="1:15" x14ac:dyDescent="0.35">
      <c r="A1211" t="s">
        <v>1944</v>
      </c>
      <c r="B1211" s="2">
        <v>45742</v>
      </c>
      <c r="C1211" t="s">
        <v>36</v>
      </c>
      <c r="D1211" t="s">
        <v>47</v>
      </c>
      <c r="E1211" t="s">
        <v>42</v>
      </c>
      <c r="F1211" t="s">
        <v>13</v>
      </c>
      <c r="G1211">
        <v>3</v>
      </c>
      <c r="H1211">
        <v>3.8</v>
      </c>
      <c r="I1211" t="s">
        <v>21</v>
      </c>
      <c r="J1211" t="s">
        <v>712</v>
      </c>
      <c r="K1211" s="12">
        <f>Store_Record[[#This Row],[Qty]]*Store_Record[[#This Row],[UnitPriceGBP]]</f>
        <v>11.399999999999999</v>
      </c>
      <c r="L1211" s="5" t="str">
        <f>TEXT(Store_Record[[#This Row],[Date]],"dddd")</f>
        <v>Wednesday</v>
      </c>
      <c r="M1211" s="5" t="str">
        <f>TEXT(Store_Record[[#This Row],[Date]],"mmmm")</f>
        <v>March</v>
      </c>
      <c r="N1211" s="5">
        <f>YEAR(Store_Record[[#This Row],[Date]])</f>
        <v>2025</v>
      </c>
      <c r="O1211"/>
    </row>
    <row r="1212" spans="1:15" x14ac:dyDescent="0.35">
      <c r="A1212" t="s">
        <v>1951</v>
      </c>
      <c r="B1212" s="2">
        <v>45742</v>
      </c>
      <c r="C1212" t="s">
        <v>20</v>
      </c>
      <c r="D1212" t="s">
        <v>38</v>
      </c>
      <c r="E1212" t="s">
        <v>30</v>
      </c>
      <c r="F1212" t="s">
        <v>31</v>
      </c>
      <c r="G1212">
        <v>4</v>
      </c>
      <c r="H1212">
        <v>2.8</v>
      </c>
      <c r="I1212" t="s">
        <v>14</v>
      </c>
      <c r="J1212" t="s">
        <v>1214</v>
      </c>
      <c r="K1212" s="12">
        <f>Store_Record[[#This Row],[Qty]]*Store_Record[[#This Row],[UnitPriceGBP]]</f>
        <v>11.2</v>
      </c>
      <c r="L1212" s="5" t="str">
        <f>TEXT(Store_Record[[#This Row],[Date]],"dddd")</f>
        <v>Wednesday</v>
      </c>
      <c r="M1212" s="5" t="str">
        <f>TEXT(Store_Record[[#This Row],[Date]],"mmmm")</f>
        <v>March</v>
      </c>
      <c r="N1212" s="5">
        <f>YEAR(Store_Record[[#This Row],[Date]])</f>
        <v>2025</v>
      </c>
      <c r="O1212"/>
    </row>
    <row r="1213" spans="1:15" x14ac:dyDescent="0.35">
      <c r="A1213" t="s">
        <v>1949</v>
      </c>
      <c r="B1213" s="2">
        <v>45742</v>
      </c>
      <c r="C1213" t="s">
        <v>20</v>
      </c>
      <c r="D1213" t="s">
        <v>47</v>
      </c>
      <c r="E1213" t="s">
        <v>34</v>
      </c>
      <c r="F1213" t="s">
        <v>31</v>
      </c>
      <c r="G1213">
        <v>5</v>
      </c>
      <c r="H1213">
        <v>2.2000000000000002</v>
      </c>
      <c r="I1213" t="s">
        <v>21</v>
      </c>
      <c r="J1213" t="s">
        <v>1950</v>
      </c>
      <c r="K1213" s="12">
        <f>Store_Record[[#This Row],[Qty]]*Store_Record[[#This Row],[UnitPriceGBP]]</f>
        <v>11</v>
      </c>
      <c r="L1213" s="5" t="str">
        <f>TEXT(Store_Record[[#This Row],[Date]],"dddd")</f>
        <v>Wednesday</v>
      </c>
      <c r="M1213" s="5" t="str">
        <f>TEXT(Store_Record[[#This Row],[Date]],"mmmm")</f>
        <v>March</v>
      </c>
      <c r="N1213" s="5">
        <f>YEAR(Store_Record[[#This Row],[Date]])</f>
        <v>2025</v>
      </c>
      <c r="O1213"/>
    </row>
    <row r="1214" spans="1:15" x14ac:dyDescent="0.35">
      <c r="A1214" t="s">
        <v>1953</v>
      </c>
      <c r="B1214" s="2">
        <v>45742</v>
      </c>
      <c r="C1214" t="s">
        <v>10</v>
      </c>
      <c r="D1214" t="s">
        <v>38</v>
      </c>
      <c r="E1214" t="s">
        <v>34</v>
      </c>
      <c r="F1214" t="s">
        <v>31</v>
      </c>
      <c r="G1214">
        <v>4</v>
      </c>
      <c r="H1214">
        <v>2.2000000000000002</v>
      </c>
      <c r="I1214" t="s">
        <v>14</v>
      </c>
      <c r="J1214" t="s">
        <v>1397</v>
      </c>
      <c r="K1214" s="12">
        <f>Store_Record[[#This Row],[Qty]]*Store_Record[[#This Row],[UnitPriceGBP]]</f>
        <v>8.8000000000000007</v>
      </c>
      <c r="L1214" s="5" t="str">
        <f>TEXT(Store_Record[[#This Row],[Date]],"dddd")</f>
        <v>Wednesday</v>
      </c>
      <c r="M1214" s="5" t="str">
        <f>TEXT(Store_Record[[#This Row],[Date]],"mmmm")</f>
        <v>March</v>
      </c>
      <c r="N1214" s="5">
        <f>YEAR(Store_Record[[#This Row],[Date]])</f>
        <v>2025</v>
      </c>
      <c r="O1214"/>
    </row>
    <row r="1215" spans="1:15" x14ac:dyDescent="0.35">
      <c r="A1215" t="s">
        <v>1942</v>
      </c>
      <c r="B1215" s="2">
        <v>45742</v>
      </c>
      <c r="C1215" t="s">
        <v>20</v>
      </c>
      <c r="D1215" t="s">
        <v>11</v>
      </c>
      <c r="E1215" t="s">
        <v>12</v>
      </c>
      <c r="F1215" t="s">
        <v>13</v>
      </c>
      <c r="G1215">
        <v>3</v>
      </c>
      <c r="H1215">
        <v>2.5</v>
      </c>
      <c r="I1215" t="s">
        <v>21</v>
      </c>
      <c r="J1215" t="s">
        <v>1943</v>
      </c>
      <c r="K1215" s="12">
        <f>Store_Record[[#This Row],[Qty]]*Store_Record[[#This Row],[UnitPriceGBP]]</f>
        <v>7.5</v>
      </c>
      <c r="L1215" s="5" t="str">
        <f>TEXT(Store_Record[[#This Row],[Date]],"dddd")</f>
        <v>Wednesday</v>
      </c>
      <c r="M1215" s="5" t="str">
        <f>TEXT(Store_Record[[#This Row],[Date]],"mmmm")</f>
        <v>March</v>
      </c>
      <c r="N1215" s="5">
        <f>YEAR(Store_Record[[#This Row],[Date]])</f>
        <v>2025</v>
      </c>
      <c r="O1215"/>
    </row>
    <row r="1216" spans="1:15" x14ac:dyDescent="0.35">
      <c r="A1216" t="s">
        <v>1946</v>
      </c>
      <c r="B1216" s="2">
        <v>45742</v>
      </c>
      <c r="C1216" t="s">
        <v>36</v>
      </c>
      <c r="D1216" t="s">
        <v>29</v>
      </c>
      <c r="E1216" t="s">
        <v>34</v>
      </c>
      <c r="F1216" t="s">
        <v>31</v>
      </c>
      <c r="G1216">
        <v>3</v>
      </c>
      <c r="H1216">
        <v>2.2000000000000002</v>
      </c>
      <c r="I1216" t="s">
        <v>14</v>
      </c>
      <c r="J1216" t="s">
        <v>1854</v>
      </c>
      <c r="K1216" s="12">
        <f>Store_Record[[#This Row],[Qty]]*Store_Record[[#This Row],[UnitPriceGBP]]</f>
        <v>6.6000000000000005</v>
      </c>
      <c r="L1216" s="5" t="str">
        <f>TEXT(Store_Record[[#This Row],[Date]],"dddd")</f>
        <v>Wednesday</v>
      </c>
      <c r="M1216" s="5" t="str">
        <f>TEXT(Store_Record[[#This Row],[Date]],"mmmm")</f>
        <v>March</v>
      </c>
      <c r="N1216" s="5">
        <f>YEAR(Store_Record[[#This Row],[Date]])</f>
        <v>2025</v>
      </c>
      <c r="O1216"/>
    </row>
    <row r="1217" spans="1:15" x14ac:dyDescent="0.35">
      <c r="A1217" t="s">
        <v>1947</v>
      </c>
      <c r="B1217" s="2">
        <v>45742</v>
      </c>
      <c r="C1217" t="s">
        <v>36</v>
      </c>
      <c r="D1217" t="s">
        <v>38</v>
      </c>
      <c r="E1217" t="s">
        <v>34</v>
      </c>
      <c r="F1217" t="s">
        <v>31</v>
      </c>
      <c r="G1217">
        <v>3</v>
      </c>
      <c r="H1217">
        <v>2.2000000000000002</v>
      </c>
      <c r="I1217" t="s">
        <v>14</v>
      </c>
      <c r="J1217" t="s">
        <v>1948</v>
      </c>
      <c r="K1217" s="12">
        <f>Store_Record[[#This Row],[Qty]]*Store_Record[[#This Row],[UnitPriceGBP]]</f>
        <v>6.6000000000000005</v>
      </c>
      <c r="L1217" s="5" t="str">
        <f>TEXT(Store_Record[[#This Row],[Date]],"dddd")</f>
        <v>Wednesday</v>
      </c>
      <c r="M1217" s="5" t="str">
        <f>TEXT(Store_Record[[#This Row],[Date]],"mmmm")</f>
        <v>March</v>
      </c>
      <c r="N1217" s="5">
        <f>YEAR(Store_Record[[#This Row],[Date]])</f>
        <v>2025</v>
      </c>
      <c r="O1217"/>
    </row>
    <row r="1218" spans="1:15" x14ac:dyDescent="0.35">
      <c r="A1218" t="s">
        <v>1954</v>
      </c>
      <c r="B1218" s="2">
        <v>45742</v>
      </c>
      <c r="C1218" t="s">
        <v>24</v>
      </c>
      <c r="D1218" t="s">
        <v>25</v>
      </c>
      <c r="E1218" t="s">
        <v>34</v>
      </c>
      <c r="F1218" t="s">
        <v>31</v>
      </c>
      <c r="G1218">
        <v>3</v>
      </c>
      <c r="H1218">
        <v>2.2000000000000002</v>
      </c>
      <c r="I1218" t="s">
        <v>21</v>
      </c>
      <c r="J1218" t="s">
        <v>1955</v>
      </c>
      <c r="K1218" s="12">
        <f>Store_Record[[#This Row],[Qty]]*Store_Record[[#This Row],[UnitPriceGBP]]</f>
        <v>6.6000000000000005</v>
      </c>
      <c r="L1218" s="5" t="str">
        <f>TEXT(Store_Record[[#This Row],[Date]],"dddd")</f>
        <v>Wednesday</v>
      </c>
      <c r="M1218" s="5" t="str">
        <f>TEXT(Store_Record[[#This Row],[Date]],"mmmm")</f>
        <v>March</v>
      </c>
      <c r="N1218" s="5">
        <f>YEAR(Store_Record[[#This Row],[Date]])</f>
        <v>2025</v>
      </c>
      <c r="O1218"/>
    </row>
    <row r="1219" spans="1:15" x14ac:dyDescent="0.35">
      <c r="A1219" t="s">
        <v>1957</v>
      </c>
      <c r="B1219" s="2">
        <v>45742</v>
      </c>
      <c r="C1219" t="s">
        <v>36</v>
      </c>
      <c r="D1219" t="s">
        <v>47</v>
      </c>
      <c r="E1219" t="s">
        <v>30</v>
      </c>
      <c r="F1219" t="s">
        <v>31</v>
      </c>
      <c r="G1219">
        <v>2</v>
      </c>
      <c r="H1219">
        <v>2.8</v>
      </c>
      <c r="I1219" t="s">
        <v>21</v>
      </c>
      <c r="J1219" t="s">
        <v>530</v>
      </c>
      <c r="K1219" s="12">
        <f>Store_Record[[#This Row],[Qty]]*Store_Record[[#This Row],[UnitPriceGBP]]</f>
        <v>5.6</v>
      </c>
      <c r="L1219" s="5" t="str">
        <f>TEXT(Store_Record[[#This Row],[Date]],"dddd")</f>
        <v>Wednesday</v>
      </c>
      <c r="M1219" s="5" t="str">
        <f>TEXT(Store_Record[[#This Row],[Date]],"mmmm")</f>
        <v>March</v>
      </c>
      <c r="N1219" s="5">
        <f>YEAR(Store_Record[[#This Row],[Date]])</f>
        <v>2025</v>
      </c>
      <c r="O1219"/>
    </row>
    <row r="1220" spans="1:15" x14ac:dyDescent="0.35">
      <c r="A1220" t="s">
        <v>1956</v>
      </c>
      <c r="B1220" s="2">
        <v>45742</v>
      </c>
      <c r="C1220" t="s">
        <v>36</v>
      </c>
      <c r="D1220" t="s">
        <v>38</v>
      </c>
      <c r="E1220" t="s">
        <v>12</v>
      </c>
      <c r="F1220" t="s">
        <v>13</v>
      </c>
      <c r="G1220">
        <v>2</v>
      </c>
      <c r="H1220">
        <v>2.5</v>
      </c>
      <c r="I1220" t="s">
        <v>21</v>
      </c>
      <c r="J1220" t="s">
        <v>230</v>
      </c>
      <c r="K1220" s="12">
        <f>Store_Record[[#This Row],[Qty]]*Store_Record[[#This Row],[UnitPriceGBP]]</f>
        <v>5</v>
      </c>
      <c r="L1220" s="5" t="str">
        <f>TEXT(Store_Record[[#This Row],[Date]],"dddd")</f>
        <v>Wednesday</v>
      </c>
      <c r="M1220" s="5" t="str">
        <f>TEXT(Store_Record[[#This Row],[Date]],"mmmm")</f>
        <v>March</v>
      </c>
      <c r="N1220" s="5">
        <f>YEAR(Store_Record[[#This Row],[Date]])</f>
        <v>2025</v>
      </c>
      <c r="O1220"/>
    </row>
    <row r="1221" spans="1:15" x14ac:dyDescent="0.35">
      <c r="A1221" t="s">
        <v>1952</v>
      </c>
      <c r="B1221" s="2">
        <v>45742</v>
      </c>
      <c r="C1221" t="s">
        <v>10</v>
      </c>
      <c r="D1221" t="s">
        <v>47</v>
      </c>
      <c r="E1221" t="s">
        <v>42</v>
      </c>
      <c r="F1221" t="s">
        <v>13</v>
      </c>
      <c r="G1221">
        <v>1</v>
      </c>
      <c r="H1221">
        <v>3.8</v>
      </c>
      <c r="I1221" t="s">
        <v>14</v>
      </c>
      <c r="J1221" t="s">
        <v>341</v>
      </c>
      <c r="K1221" s="12">
        <f>Store_Record[[#This Row],[Qty]]*Store_Record[[#This Row],[UnitPriceGBP]]</f>
        <v>3.8</v>
      </c>
      <c r="L1221" s="5" t="str">
        <f>TEXT(Store_Record[[#This Row],[Date]],"dddd")</f>
        <v>Wednesday</v>
      </c>
      <c r="M1221" s="5" t="str">
        <f>TEXT(Store_Record[[#This Row],[Date]],"mmmm")</f>
        <v>March</v>
      </c>
      <c r="N1221" s="5">
        <f>YEAR(Store_Record[[#This Row],[Date]])</f>
        <v>2025</v>
      </c>
      <c r="O1221"/>
    </row>
    <row r="1222" spans="1:15" x14ac:dyDescent="0.35">
      <c r="A1222" t="s">
        <v>1958</v>
      </c>
      <c r="B1222" s="2">
        <v>45742</v>
      </c>
      <c r="C1222" t="s">
        <v>20</v>
      </c>
      <c r="D1222" t="s">
        <v>38</v>
      </c>
      <c r="E1222" t="s">
        <v>34</v>
      </c>
      <c r="F1222" t="s">
        <v>31</v>
      </c>
      <c r="G1222">
        <v>1</v>
      </c>
      <c r="H1222">
        <v>2.2000000000000002</v>
      </c>
      <c r="I1222" t="s">
        <v>14</v>
      </c>
      <c r="J1222" t="s">
        <v>1850</v>
      </c>
      <c r="K1222" s="12">
        <f>Store_Record[[#This Row],[Qty]]*Store_Record[[#This Row],[UnitPriceGBP]]</f>
        <v>2.2000000000000002</v>
      </c>
      <c r="L1222" s="5" t="str">
        <f>TEXT(Store_Record[[#This Row],[Date]],"dddd")</f>
        <v>Wednesday</v>
      </c>
      <c r="M1222" s="5" t="str">
        <f>TEXT(Store_Record[[#This Row],[Date]],"mmmm")</f>
        <v>March</v>
      </c>
      <c r="N1222" s="5">
        <f>YEAR(Store_Record[[#This Row],[Date]])</f>
        <v>2025</v>
      </c>
      <c r="O1222"/>
    </row>
    <row r="1223" spans="1:15" x14ac:dyDescent="0.35">
      <c r="A1223" t="s">
        <v>1958</v>
      </c>
      <c r="B1223" s="2">
        <v>45742</v>
      </c>
      <c r="C1223" t="s">
        <v>20</v>
      </c>
      <c r="D1223" t="s">
        <v>38</v>
      </c>
      <c r="E1223" t="s">
        <v>34</v>
      </c>
      <c r="F1223" t="s">
        <v>31</v>
      </c>
      <c r="G1223">
        <v>1</v>
      </c>
      <c r="H1223">
        <v>2.2000000000000002</v>
      </c>
      <c r="I1223" t="s">
        <v>39</v>
      </c>
      <c r="J1223" t="s">
        <v>1850</v>
      </c>
      <c r="K1223" s="12">
        <f>Store_Record[[#This Row],[Qty]]*Store_Record[[#This Row],[UnitPriceGBP]]</f>
        <v>2.2000000000000002</v>
      </c>
      <c r="L1223" s="5" t="str">
        <f>TEXT(Store_Record[[#This Row],[Date]],"dddd")</f>
        <v>Wednesday</v>
      </c>
      <c r="M1223" s="5" t="str">
        <f>TEXT(Store_Record[[#This Row],[Date]],"mmmm")</f>
        <v>March</v>
      </c>
      <c r="N1223" s="5">
        <f>YEAR(Store_Record[[#This Row],[Date]])</f>
        <v>2025</v>
      </c>
      <c r="O1223"/>
    </row>
    <row r="1224" spans="1:15" x14ac:dyDescent="0.35">
      <c r="A1224" t="s">
        <v>1969</v>
      </c>
      <c r="B1224" s="2">
        <v>45743</v>
      </c>
      <c r="C1224" t="s">
        <v>20</v>
      </c>
      <c r="D1224" t="s">
        <v>38</v>
      </c>
      <c r="E1224" t="s">
        <v>42</v>
      </c>
      <c r="F1224" t="s">
        <v>13</v>
      </c>
      <c r="G1224">
        <v>5</v>
      </c>
      <c r="H1224">
        <v>3.8</v>
      </c>
      <c r="I1224" t="s">
        <v>21</v>
      </c>
      <c r="J1224" t="s">
        <v>1836</v>
      </c>
      <c r="K1224" s="12">
        <f>Store_Record[[#This Row],[Qty]]*Store_Record[[#This Row],[UnitPriceGBP]]</f>
        <v>19</v>
      </c>
      <c r="L1224" s="5" t="str">
        <f>TEXT(Store_Record[[#This Row],[Date]],"dddd")</f>
        <v>Thursday</v>
      </c>
      <c r="M1224" s="5" t="str">
        <f>TEXT(Store_Record[[#This Row],[Date]],"mmmm")</f>
        <v>March</v>
      </c>
      <c r="N1224" s="5">
        <f>YEAR(Store_Record[[#This Row],[Date]])</f>
        <v>2025</v>
      </c>
      <c r="O1224"/>
    </row>
    <row r="1225" spans="1:15" x14ac:dyDescent="0.35">
      <c r="A1225" t="s">
        <v>1970</v>
      </c>
      <c r="B1225" s="2">
        <v>45743</v>
      </c>
      <c r="C1225" t="s">
        <v>20</v>
      </c>
      <c r="D1225" t="s">
        <v>38</v>
      </c>
      <c r="E1225" t="s">
        <v>42</v>
      </c>
      <c r="F1225" t="s">
        <v>13</v>
      </c>
      <c r="G1225">
        <v>5</v>
      </c>
      <c r="H1225">
        <v>3.8</v>
      </c>
      <c r="I1225" t="s">
        <v>14</v>
      </c>
      <c r="J1225" t="s">
        <v>1801</v>
      </c>
      <c r="K1225" s="12">
        <f>Store_Record[[#This Row],[Qty]]*Store_Record[[#This Row],[UnitPriceGBP]]</f>
        <v>19</v>
      </c>
      <c r="L1225" s="5" t="str">
        <f>TEXT(Store_Record[[#This Row],[Date]],"dddd")</f>
        <v>Thursday</v>
      </c>
      <c r="M1225" s="5" t="str">
        <f>TEXT(Store_Record[[#This Row],[Date]],"mmmm")</f>
        <v>March</v>
      </c>
      <c r="N1225" s="5">
        <f>YEAR(Store_Record[[#This Row],[Date]])</f>
        <v>2025</v>
      </c>
      <c r="O1225"/>
    </row>
    <row r="1226" spans="1:15" x14ac:dyDescent="0.35">
      <c r="A1226" t="s">
        <v>1962</v>
      </c>
      <c r="B1226" s="2">
        <v>45743</v>
      </c>
      <c r="C1226" t="s">
        <v>36</v>
      </c>
      <c r="D1226" t="s">
        <v>25</v>
      </c>
      <c r="E1226" t="s">
        <v>26</v>
      </c>
      <c r="F1226" t="s">
        <v>13</v>
      </c>
      <c r="G1226">
        <v>5</v>
      </c>
      <c r="H1226">
        <v>3.5</v>
      </c>
      <c r="I1226" t="s">
        <v>21</v>
      </c>
      <c r="J1226" t="s">
        <v>470</v>
      </c>
      <c r="K1226" s="12">
        <f>Store_Record[[#This Row],[Qty]]*Store_Record[[#This Row],[UnitPriceGBP]]</f>
        <v>17.5</v>
      </c>
      <c r="L1226" s="5" t="str">
        <f>TEXT(Store_Record[[#This Row],[Date]],"dddd")</f>
        <v>Thursday</v>
      </c>
      <c r="M1226" s="5" t="str">
        <f>TEXT(Store_Record[[#This Row],[Date]],"mmmm")</f>
        <v>March</v>
      </c>
      <c r="N1226" s="5">
        <f>YEAR(Store_Record[[#This Row],[Date]])</f>
        <v>2025</v>
      </c>
      <c r="O1226"/>
    </row>
    <row r="1227" spans="1:15" x14ac:dyDescent="0.35">
      <c r="A1227" t="s">
        <v>1960</v>
      </c>
      <c r="B1227" s="2">
        <v>45743</v>
      </c>
      <c r="C1227" t="s">
        <v>36</v>
      </c>
      <c r="D1227" t="s">
        <v>29</v>
      </c>
      <c r="E1227" t="s">
        <v>26</v>
      </c>
      <c r="F1227" t="s">
        <v>13</v>
      </c>
      <c r="G1227">
        <v>4</v>
      </c>
      <c r="H1227">
        <v>3.5</v>
      </c>
      <c r="I1227" t="s">
        <v>14</v>
      </c>
      <c r="J1227" t="s">
        <v>1191</v>
      </c>
      <c r="K1227" s="12">
        <f>Store_Record[[#This Row],[Qty]]*Store_Record[[#This Row],[UnitPriceGBP]]</f>
        <v>14</v>
      </c>
      <c r="L1227" s="5" t="str">
        <f>TEXT(Store_Record[[#This Row],[Date]],"dddd")</f>
        <v>Thursday</v>
      </c>
      <c r="M1227" s="5" t="str">
        <f>TEXT(Store_Record[[#This Row],[Date]],"mmmm")</f>
        <v>March</v>
      </c>
      <c r="N1227" s="5">
        <f>YEAR(Store_Record[[#This Row],[Date]])</f>
        <v>2025</v>
      </c>
      <c r="O1227"/>
    </row>
    <row r="1228" spans="1:15" x14ac:dyDescent="0.35">
      <c r="A1228" t="s">
        <v>1973</v>
      </c>
      <c r="B1228" s="2">
        <v>45743</v>
      </c>
      <c r="C1228" t="s">
        <v>20</v>
      </c>
      <c r="D1228" t="s">
        <v>47</v>
      </c>
      <c r="E1228" t="s">
        <v>42</v>
      </c>
      <c r="F1228" t="s">
        <v>13</v>
      </c>
      <c r="G1228">
        <v>3</v>
      </c>
      <c r="H1228">
        <v>3.8</v>
      </c>
      <c r="I1228" t="s">
        <v>21</v>
      </c>
      <c r="J1228" t="s">
        <v>630</v>
      </c>
      <c r="K1228" s="12">
        <f>Store_Record[[#This Row],[Qty]]*Store_Record[[#This Row],[UnitPriceGBP]]</f>
        <v>11.399999999999999</v>
      </c>
      <c r="L1228" s="5" t="str">
        <f>TEXT(Store_Record[[#This Row],[Date]],"dddd")</f>
        <v>Thursday</v>
      </c>
      <c r="M1228" s="5" t="str">
        <f>TEXT(Store_Record[[#This Row],[Date]],"mmmm")</f>
        <v>March</v>
      </c>
      <c r="N1228" s="5">
        <f>YEAR(Store_Record[[#This Row],[Date]])</f>
        <v>2025</v>
      </c>
      <c r="O1228"/>
    </row>
    <row r="1229" spans="1:15" x14ac:dyDescent="0.35">
      <c r="A1229" t="s">
        <v>1974</v>
      </c>
      <c r="B1229" s="2">
        <v>45743</v>
      </c>
      <c r="C1229" t="s">
        <v>10</v>
      </c>
      <c r="D1229" t="s">
        <v>29</v>
      </c>
      <c r="E1229" t="s">
        <v>34</v>
      </c>
      <c r="F1229" t="s">
        <v>31</v>
      </c>
      <c r="G1229">
        <v>5</v>
      </c>
      <c r="H1229">
        <v>2.2000000000000002</v>
      </c>
      <c r="I1229" t="s">
        <v>39</v>
      </c>
      <c r="J1229" t="s">
        <v>243</v>
      </c>
      <c r="K1229" s="12">
        <f>Store_Record[[#This Row],[Qty]]*Store_Record[[#This Row],[UnitPriceGBP]]</f>
        <v>11</v>
      </c>
      <c r="L1229" s="5" t="str">
        <f>TEXT(Store_Record[[#This Row],[Date]],"dddd")</f>
        <v>Thursday</v>
      </c>
      <c r="M1229" s="5" t="str">
        <f>TEXT(Store_Record[[#This Row],[Date]],"mmmm")</f>
        <v>March</v>
      </c>
      <c r="N1229" s="5">
        <f>YEAR(Store_Record[[#This Row],[Date]])</f>
        <v>2025</v>
      </c>
      <c r="O1229"/>
    </row>
    <row r="1230" spans="1:15" x14ac:dyDescent="0.35">
      <c r="A1230" t="s">
        <v>1959</v>
      </c>
      <c r="B1230" s="2">
        <v>45743</v>
      </c>
      <c r="C1230" t="s">
        <v>24</v>
      </c>
      <c r="D1230" t="s">
        <v>38</v>
      </c>
      <c r="E1230" t="s">
        <v>26</v>
      </c>
      <c r="F1230" t="s">
        <v>13</v>
      </c>
      <c r="G1230">
        <v>3</v>
      </c>
      <c r="H1230">
        <v>3.5</v>
      </c>
      <c r="I1230" t="s">
        <v>39</v>
      </c>
      <c r="J1230" t="s">
        <v>358</v>
      </c>
      <c r="K1230" s="12">
        <f>Store_Record[[#This Row],[Qty]]*Store_Record[[#This Row],[UnitPriceGBP]]</f>
        <v>10.5</v>
      </c>
      <c r="L1230" s="5" t="str">
        <f>TEXT(Store_Record[[#This Row],[Date]],"dddd")</f>
        <v>Thursday</v>
      </c>
      <c r="M1230" s="5" t="str">
        <f>TEXT(Store_Record[[#This Row],[Date]],"mmmm")</f>
        <v>March</v>
      </c>
      <c r="N1230" s="5">
        <f>YEAR(Store_Record[[#This Row],[Date]])</f>
        <v>2025</v>
      </c>
      <c r="O1230"/>
    </row>
    <row r="1231" spans="1:15" x14ac:dyDescent="0.35">
      <c r="A1231" t="s">
        <v>1975</v>
      </c>
      <c r="B1231" s="2">
        <v>45743</v>
      </c>
      <c r="C1231" t="s">
        <v>20</v>
      </c>
      <c r="D1231" t="s">
        <v>38</v>
      </c>
      <c r="E1231" t="s">
        <v>26</v>
      </c>
      <c r="F1231" t="s">
        <v>13</v>
      </c>
      <c r="G1231">
        <v>3</v>
      </c>
      <c r="H1231">
        <v>3.5</v>
      </c>
      <c r="I1231" t="s">
        <v>21</v>
      </c>
      <c r="J1231" t="s">
        <v>1976</v>
      </c>
      <c r="K1231" s="12">
        <f>Store_Record[[#This Row],[Qty]]*Store_Record[[#This Row],[UnitPriceGBP]]</f>
        <v>10.5</v>
      </c>
      <c r="L1231" s="5" t="str">
        <f>TEXT(Store_Record[[#This Row],[Date]],"dddd")</f>
        <v>Thursday</v>
      </c>
      <c r="M1231" s="5" t="str">
        <f>TEXT(Store_Record[[#This Row],[Date]],"mmmm")</f>
        <v>March</v>
      </c>
      <c r="N1231" s="5">
        <f>YEAR(Store_Record[[#This Row],[Date]])</f>
        <v>2025</v>
      </c>
      <c r="O1231"/>
    </row>
    <row r="1232" spans="1:15" x14ac:dyDescent="0.35">
      <c r="A1232" t="s">
        <v>1966</v>
      </c>
      <c r="B1232" s="2">
        <v>45743</v>
      </c>
      <c r="C1232" t="s">
        <v>24</v>
      </c>
      <c r="D1232" t="s">
        <v>29</v>
      </c>
      <c r="E1232" t="s">
        <v>12</v>
      </c>
      <c r="F1232" t="s">
        <v>13</v>
      </c>
      <c r="G1232">
        <v>4</v>
      </c>
      <c r="H1232">
        <v>2.5</v>
      </c>
      <c r="I1232" t="s">
        <v>21</v>
      </c>
      <c r="J1232" t="s">
        <v>714</v>
      </c>
      <c r="K1232" s="12">
        <f>Store_Record[[#This Row],[Qty]]*Store_Record[[#This Row],[UnitPriceGBP]]</f>
        <v>10</v>
      </c>
      <c r="L1232" s="5" t="str">
        <f>TEXT(Store_Record[[#This Row],[Date]],"dddd")</f>
        <v>Thursday</v>
      </c>
      <c r="M1232" s="5" t="str">
        <f>TEXT(Store_Record[[#This Row],[Date]],"mmmm")</f>
        <v>March</v>
      </c>
      <c r="N1232" s="5">
        <f>YEAR(Store_Record[[#This Row],[Date]])</f>
        <v>2025</v>
      </c>
      <c r="O1232"/>
    </row>
    <row r="1233" spans="1:15" x14ac:dyDescent="0.35">
      <c r="A1233" t="s">
        <v>1971</v>
      </c>
      <c r="B1233" s="2">
        <v>45743</v>
      </c>
      <c r="C1233" t="s">
        <v>36</v>
      </c>
      <c r="D1233" t="s">
        <v>25</v>
      </c>
      <c r="E1233" t="s">
        <v>12</v>
      </c>
      <c r="F1233" t="s">
        <v>13</v>
      </c>
      <c r="G1233">
        <v>4</v>
      </c>
      <c r="H1233">
        <v>2.5</v>
      </c>
      <c r="I1233" t="s">
        <v>21</v>
      </c>
      <c r="J1233" t="s">
        <v>1189</v>
      </c>
      <c r="K1233" s="12">
        <f>Store_Record[[#This Row],[Qty]]*Store_Record[[#This Row],[UnitPriceGBP]]</f>
        <v>10</v>
      </c>
      <c r="L1233" s="5" t="str">
        <f>TEXT(Store_Record[[#This Row],[Date]],"dddd")</f>
        <v>Thursday</v>
      </c>
      <c r="M1233" s="5" t="str">
        <f>TEXT(Store_Record[[#This Row],[Date]],"mmmm")</f>
        <v>March</v>
      </c>
      <c r="N1233" s="5">
        <f>YEAR(Store_Record[[#This Row],[Date]])</f>
        <v>2025</v>
      </c>
      <c r="O1233"/>
    </row>
    <row r="1234" spans="1:15" x14ac:dyDescent="0.35">
      <c r="A1234" t="s">
        <v>1963</v>
      </c>
      <c r="B1234" s="2">
        <v>45743</v>
      </c>
      <c r="C1234" t="s">
        <v>10</v>
      </c>
      <c r="D1234" t="s">
        <v>11</v>
      </c>
      <c r="E1234" t="s">
        <v>42</v>
      </c>
      <c r="F1234" t="s">
        <v>13</v>
      </c>
      <c r="G1234">
        <v>2</v>
      </c>
      <c r="H1234">
        <v>3.8</v>
      </c>
      <c r="I1234" t="s">
        <v>14</v>
      </c>
      <c r="J1234" t="s">
        <v>417</v>
      </c>
      <c r="K1234" s="12">
        <f>Store_Record[[#This Row],[Qty]]*Store_Record[[#This Row],[UnitPriceGBP]]</f>
        <v>7.6</v>
      </c>
      <c r="L1234" s="5" t="str">
        <f>TEXT(Store_Record[[#This Row],[Date]],"dddd")</f>
        <v>Thursday</v>
      </c>
      <c r="M1234" s="5" t="str">
        <f>TEXT(Store_Record[[#This Row],[Date]],"mmmm")</f>
        <v>March</v>
      </c>
      <c r="N1234" s="5">
        <f>YEAR(Store_Record[[#This Row],[Date]])</f>
        <v>2025</v>
      </c>
      <c r="O1234"/>
    </row>
    <row r="1235" spans="1:15" x14ac:dyDescent="0.35">
      <c r="A1235" t="s">
        <v>1961</v>
      </c>
      <c r="B1235" s="2">
        <v>45743</v>
      </c>
      <c r="C1235" t="s">
        <v>20</v>
      </c>
      <c r="D1235" t="s">
        <v>47</v>
      </c>
      <c r="E1235" t="s">
        <v>26</v>
      </c>
      <c r="F1235" t="s">
        <v>13</v>
      </c>
      <c r="G1235">
        <v>2</v>
      </c>
      <c r="H1235">
        <v>3.5</v>
      </c>
      <c r="I1235" t="s">
        <v>39</v>
      </c>
      <c r="J1235" t="s">
        <v>927</v>
      </c>
      <c r="K1235" s="12">
        <f>Store_Record[[#This Row],[Qty]]*Store_Record[[#This Row],[UnitPriceGBP]]</f>
        <v>7</v>
      </c>
      <c r="L1235" s="5" t="str">
        <f>TEXT(Store_Record[[#This Row],[Date]],"dddd")</f>
        <v>Thursday</v>
      </c>
      <c r="M1235" s="5" t="str">
        <f>TEXT(Store_Record[[#This Row],[Date]],"mmmm")</f>
        <v>March</v>
      </c>
      <c r="N1235" s="5">
        <f>YEAR(Store_Record[[#This Row],[Date]])</f>
        <v>2025</v>
      </c>
      <c r="O1235"/>
    </row>
    <row r="1236" spans="1:15" x14ac:dyDescent="0.35">
      <c r="A1236" t="s">
        <v>1964</v>
      </c>
      <c r="B1236" s="2">
        <v>45743</v>
      </c>
      <c r="C1236" t="s">
        <v>36</v>
      </c>
      <c r="D1236" t="s">
        <v>11</v>
      </c>
      <c r="E1236" t="s">
        <v>12</v>
      </c>
      <c r="F1236" t="s">
        <v>13</v>
      </c>
      <c r="G1236">
        <v>2</v>
      </c>
      <c r="H1236">
        <v>2.5</v>
      </c>
      <c r="I1236" t="s">
        <v>39</v>
      </c>
      <c r="J1236" t="s">
        <v>1484</v>
      </c>
      <c r="K1236" s="12">
        <f>Store_Record[[#This Row],[Qty]]*Store_Record[[#This Row],[UnitPriceGBP]]</f>
        <v>5</v>
      </c>
      <c r="L1236" s="5" t="str">
        <f>TEXT(Store_Record[[#This Row],[Date]],"dddd")</f>
        <v>Thursday</v>
      </c>
      <c r="M1236" s="5" t="str">
        <f>TEXT(Store_Record[[#This Row],[Date]],"mmmm")</f>
        <v>March</v>
      </c>
      <c r="N1236" s="5">
        <f>YEAR(Store_Record[[#This Row],[Date]])</f>
        <v>2025</v>
      </c>
      <c r="O1236"/>
    </row>
    <row r="1237" spans="1:15" x14ac:dyDescent="0.35">
      <c r="A1237" t="s">
        <v>1965</v>
      </c>
      <c r="B1237" s="2">
        <v>45743</v>
      </c>
      <c r="C1237" t="s">
        <v>20</v>
      </c>
      <c r="D1237" t="s">
        <v>25</v>
      </c>
      <c r="E1237" t="s">
        <v>34</v>
      </c>
      <c r="F1237" t="s">
        <v>31</v>
      </c>
      <c r="G1237">
        <v>2</v>
      </c>
      <c r="H1237">
        <v>2.2000000000000002</v>
      </c>
      <c r="I1237" t="s">
        <v>14</v>
      </c>
      <c r="J1237" t="s">
        <v>1009</v>
      </c>
      <c r="K1237" s="12">
        <f>Store_Record[[#This Row],[Qty]]*Store_Record[[#This Row],[UnitPriceGBP]]</f>
        <v>4.4000000000000004</v>
      </c>
      <c r="L1237" s="5" t="str">
        <f>TEXT(Store_Record[[#This Row],[Date]],"dddd")</f>
        <v>Thursday</v>
      </c>
      <c r="M1237" s="5" t="str">
        <f>TEXT(Store_Record[[#This Row],[Date]],"mmmm")</f>
        <v>March</v>
      </c>
      <c r="N1237" s="5">
        <f>YEAR(Store_Record[[#This Row],[Date]])</f>
        <v>2025</v>
      </c>
      <c r="O1237"/>
    </row>
    <row r="1238" spans="1:15" x14ac:dyDescent="0.35">
      <c r="A1238" t="s">
        <v>1977</v>
      </c>
      <c r="B1238" s="2">
        <v>45743</v>
      </c>
      <c r="C1238" t="s">
        <v>24</v>
      </c>
      <c r="D1238" t="s">
        <v>38</v>
      </c>
      <c r="E1238" t="s">
        <v>12</v>
      </c>
      <c r="F1238" t="s">
        <v>13</v>
      </c>
      <c r="G1238">
        <v>1</v>
      </c>
      <c r="H1238">
        <v>2.5</v>
      </c>
      <c r="I1238" t="s">
        <v>39</v>
      </c>
      <c r="J1238" t="s">
        <v>1978</v>
      </c>
      <c r="K1238" s="12">
        <f>Store_Record[[#This Row],[Qty]]*Store_Record[[#This Row],[UnitPriceGBP]]</f>
        <v>2.5</v>
      </c>
      <c r="L1238" s="5" t="str">
        <f>TEXT(Store_Record[[#This Row],[Date]],"dddd")</f>
        <v>Thursday</v>
      </c>
      <c r="M1238" s="5" t="str">
        <f>TEXT(Store_Record[[#This Row],[Date]],"mmmm")</f>
        <v>March</v>
      </c>
      <c r="N1238" s="5">
        <f>YEAR(Store_Record[[#This Row],[Date]])</f>
        <v>2025</v>
      </c>
      <c r="O1238"/>
    </row>
    <row r="1239" spans="1:15" x14ac:dyDescent="0.35">
      <c r="A1239" t="s">
        <v>1967</v>
      </c>
      <c r="B1239" s="2">
        <v>45743</v>
      </c>
      <c r="C1239" t="s">
        <v>20</v>
      </c>
      <c r="D1239" t="s">
        <v>11</v>
      </c>
      <c r="E1239" t="s">
        <v>34</v>
      </c>
      <c r="F1239" t="s">
        <v>31</v>
      </c>
      <c r="G1239">
        <v>1</v>
      </c>
      <c r="H1239">
        <v>2.2000000000000002</v>
      </c>
      <c r="I1239" t="s">
        <v>39</v>
      </c>
      <c r="J1239" t="s">
        <v>1968</v>
      </c>
      <c r="K1239" s="12">
        <f>Store_Record[[#This Row],[Qty]]*Store_Record[[#This Row],[UnitPriceGBP]]</f>
        <v>2.2000000000000002</v>
      </c>
      <c r="L1239" s="5" t="str">
        <f>TEXT(Store_Record[[#This Row],[Date]],"dddd")</f>
        <v>Thursday</v>
      </c>
      <c r="M1239" s="5" t="str">
        <f>TEXT(Store_Record[[#This Row],[Date]],"mmmm")</f>
        <v>March</v>
      </c>
      <c r="N1239" s="5">
        <f>YEAR(Store_Record[[#This Row],[Date]])</f>
        <v>2025</v>
      </c>
      <c r="O1239"/>
    </row>
    <row r="1240" spans="1:15" x14ac:dyDescent="0.35">
      <c r="A1240" t="s">
        <v>1972</v>
      </c>
      <c r="B1240" s="2">
        <v>45743</v>
      </c>
      <c r="C1240" t="s">
        <v>36</v>
      </c>
      <c r="D1240" t="s">
        <v>29</v>
      </c>
      <c r="E1240" t="s">
        <v>34</v>
      </c>
      <c r="F1240" t="s">
        <v>31</v>
      </c>
      <c r="G1240">
        <v>1</v>
      </c>
      <c r="H1240">
        <v>2.2000000000000002</v>
      </c>
      <c r="I1240" t="s">
        <v>39</v>
      </c>
      <c r="J1240" t="s">
        <v>140</v>
      </c>
      <c r="K1240" s="12">
        <f>Store_Record[[#This Row],[Qty]]*Store_Record[[#This Row],[UnitPriceGBP]]</f>
        <v>2.2000000000000002</v>
      </c>
      <c r="L1240" s="5" t="str">
        <f>TEXT(Store_Record[[#This Row],[Date]],"dddd")</f>
        <v>Thursday</v>
      </c>
      <c r="M1240" s="5" t="str">
        <f>TEXT(Store_Record[[#This Row],[Date]],"mmmm")</f>
        <v>March</v>
      </c>
      <c r="N1240" s="5">
        <f>YEAR(Store_Record[[#This Row],[Date]])</f>
        <v>2025</v>
      </c>
      <c r="O1240"/>
    </row>
    <row r="1241" spans="1:15" x14ac:dyDescent="0.35">
      <c r="A1241" t="s">
        <v>1979</v>
      </c>
      <c r="B1241" s="2">
        <v>45744</v>
      </c>
      <c r="C1241" t="s">
        <v>10</v>
      </c>
      <c r="D1241" t="s">
        <v>47</v>
      </c>
      <c r="E1241" t="s">
        <v>26</v>
      </c>
      <c r="F1241" t="s">
        <v>13</v>
      </c>
      <c r="G1241">
        <v>5</v>
      </c>
      <c r="H1241">
        <v>3.5</v>
      </c>
      <c r="I1241" t="s">
        <v>39</v>
      </c>
      <c r="J1241" t="s">
        <v>101</v>
      </c>
      <c r="K1241" s="12">
        <f>Store_Record[[#This Row],[Qty]]*Store_Record[[#This Row],[UnitPriceGBP]]</f>
        <v>17.5</v>
      </c>
      <c r="L1241" s="5" t="str">
        <f>TEXT(Store_Record[[#This Row],[Date]],"dddd")</f>
        <v>Friday</v>
      </c>
      <c r="M1241" s="5" t="str">
        <f>TEXT(Store_Record[[#This Row],[Date]],"mmmm")</f>
        <v>March</v>
      </c>
      <c r="N1241" s="5">
        <f>YEAR(Store_Record[[#This Row],[Date]])</f>
        <v>2025</v>
      </c>
      <c r="O1241"/>
    </row>
    <row r="1242" spans="1:15" x14ac:dyDescent="0.35">
      <c r="A1242" t="s">
        <v>1998</v>
      </c>
      <c r="B1242" s="2">
        <v>45744</v>
      </c>
      <c r="C1242" t="s">
        <v>36</v>
      </c>
      <c r="D1242" t="s">
        <v>11</v>
      </c>
      <c r="E1242" t="s">
        <v>42</v>
      </c>
      <c r="F1242" t="s">
        <v>13</v>
      </c>
      <c r="G1242">
        <v>3</v>
      </c>
      <c r="H1242">
        <v>3.8</v>
      </c>
      <c r="I1242" t="s">
        <v>39</v>
      </c>
      <c r="J1242" t="s">
        <v>1484</v>
      </c>
      <c r="K1242" s="12">
        <f>Store_Record[[#This Row],[Qty]]*Store_Record[[#This Row],[UnitPriceGBP]]</f>
        <v>11.399999999999999</v>
      </c>
      <c r="L1242" s="5" t="str">
        <f>TEXT(Store_Record[[#This Row],[Date]],"dddd")</f>
        <v>Friday</v>
      </c>
      <c r="M1242" s="5" t="str">
        <f>TEXT(Store_Record[[#This Row],[Date]],"mmmm")</f>
        <v>March</v>
      </c>
      <c r="N1242" s="5">
        <f>YEAR(Store_Record[[#This Row],[Date]])</f>
        <v>2025</v>
      </c>
      <c r="O1242"/>
    </row>
    <row r="1243" spans="1:15" x14ac:dyDescent="0.35">
      <c r="A1243" t="s">
        <v>1999</v>
      </c>
      <c r="B1243" s="2">
        <v>45744</v>
      </c>
      <c r="C1243" t="s">
        <v>36</v>
      </c>
      <c r="D1243" t="s">
        <v>47</v>
      </c>
      <c r="E1243" t="s">
        <v>30</v>
      </c>
      <c r="F1243" t="s">
        <v>31</v>
      </c>
      <c r="G1243">
        <v>4</v>
      </c>
      <c r="H1243">
        <v>2.8</v>
      </c>
      <c r="I1243" t="s">
        <v>39</v>
      </c>
      <c r="J1243" t="s">
        <v>89</v>
      </c>
      <c r="K1243" s="12">
        <f>Store_Record[[#This Row],[Qty]]*Store_Record[[#This Row],[UnitPriceGBP]]</f>
        <v>11.2</v>
      </c>
      <c r="L1243" s="5" t="str">
        <f>TEXT(Store_Record[[#This Row],[Date]],"dddd")</f>
        <v>Friday</v>
      </c>
      <c r="M1243" s="5" t="str">
        <f>TEXT(Store_Record[[#This Row],[Date]],"mmmm")</f>
        <v>March</v>
      </c>
      <c r="N1243" s="5">
        <f>YEAR(Store_Record[[#This Row],[Date]])</f>
        <v>2025</v>
      </c>
      <c r="O1243"/>
    </row>
    <row r="1244" spans="1:15" x14ac:dyDescent="0.35">
      <c r="A1244" t="s">
        <v>1982</v>
      </c>
      <c r="B1244" s="2">
        <v>45744</v>
      </c>
      <c r="C1244" t="s">
        <v>10</v>
      </c>
      <c r="D1244" t="s">
        <v>38</v>
      </c>
      <c r="E1244" t="s">
        <v>26</v>
      </c>
      <c r="F1244" t="s">
        <v>13</v>
      </c>
      <c r="G1244">
        <v>3</v>
      </c>
      <c r="H1244">
        <v>3.5</v>
      </c>
      <c r="I1244" t="s">
        <v>14</v>
      </c>
      <c r="J1244" t="s">
        <v>1983</v>
      </c>
      <c r="K1244" s="12">
        <f>Store_Record[[#This Row],[Qty]]*Store_Record[[#This Row],[UnitPriceGBP]]</f>
        <v>10.5</v>
      </c>
      <c r="L1244" s="5" t="str">
        <f>TEXT(Store_Record[[#This Row],[Date]],"dddd")</f>
        <v>Friday</v>
      </c>
      <c r="M1244" s="5" t="str">
        <f>TEXT(Store_Record[[#This Row],[Date]],"mmmm")</f>
        <v>March</v>
      </c>
      <c r="N1244" s="5">
        <f>YEAR(Store_Record[[#This Row],[Date]])</f>
        <v>2025</v>
      </c>
      <c r="O1244"/>
    </row>
    <row r="1245" spans="1:15" x14ac:dyDescent="0.35">
      <c r="A1245" t="s">
        <v>1997</v>
      </c>
      <c r="B1245" s="2">
        <v>45744</v>
      </c>
      <c r="C1245" t="s">
        <v>20</v>
      </c>
      <c r="D1245" t="s">
        <v>25</v>
      </c>
      <c r="E1245" t="s">
        <v>26</v>
      </c>
      <c r="F1245" t="s">
        <v>13</v>
      </c>
      <c r="G1245">
        <v>3</v>
      </c>
      <c r="H1245">
        <v>3.5</v>
      </c>
      <c r="I1245" t="s">
        <v>14</v>
      </c>
      <c r="J1245" t="s">
        <v>232</v>
      </c>
      <c r="K1245" s="12">
        <f>Store_Record[[#This Row],[Qty]]*Store_Record[[#This Row],[UnitPriceGBP]]</f>
        <v>10.5</v>
      </c>
      <c r="L1245" s="5" t="str">
        <f>TEXT(Store_Record[[#This Row],[Date]],"dddd")</f>
        <v>Friday</v>
      </c>
      <c r="M1245" s="5" t="str">
        <f>TEXT(Store_Record[[#This Row],[Date]],"mmmm")</f>
        <v>March</v>
      </c>
      <c r="N1245" s="5">
        <f>YEAR(Store_Record[[#This Row],[Date]])</f>
        <v>2025</v>
      </c>
      <c r="O1245"/>
    </row>
    <row r="1246" spans="1:15" x14ac:dyDescent="0.35">
      <c r="A1246" t="s">
        <v>1980</v>
      </c>
      <c r="B1246" s="2">
        <v>45744</v>
      </c>
      <c r="C1246" t="s">
        <v>10</v>
      </c>
      <c r="D1246" t="s">
        <v>29</v>
      </c>
      <c r="E1246" t="s">
        <v>12</v>
      </c>
      <c r="F1246" t="s">
        <v>13</v>
      </c>
      <c r="G1246">
        <v>4</v>
      </c>
      <c r="H1246">
        <v>2.5</v>
      </c>
      <c r="I1246" t="s">
        <v>39</v>
      </c>
      <c r="J1246" t="s">
        <v>780</v>
      </c>
      <c r="K1246" s="12">
        <f>Store_Record[[#This Row],[Qty]]*Store_Record[[#This Row],[UnitPriceGBP]]</f>
        <v>10</v>
      </c>
      <c r="L1246" s="5" t="str">
        <f>TEXT(Store_Record[[#This Row],[Date]],"dddd")</f>
        <v>Friday</v>
      </c>
      <c r="M1246" s="5" t="str">
        <f>TEXT(Store_Record[[#This Row],[Date]],"mmmm")</f>
        <v>March</v>
      </c>
      <c r="N1246" s="5">
        <f>YEAR(Store_Record[[#This Row],[Date]])</f>
        <v>2025</v>
      </c>
      <c r="O1246"/>
    </row>
    <row r="1247" spans="1:15" x14ac:dyDescent="0.35">
      <c r="A1247" t="s">
        <v>1993</v>
      </c>
      <c r="B1247" s="2">
        <v>45744</v>
      </c>
      <c r="C1247" t="s">
        <v>24</v>
      </c>
      <c r="D1247" t="s">
        <v>29</v>
      </c>
      <c r="E1247" t="s">
        <v>12</v>
      </c>
      <c r="F1247" t="s">
        <v>13</v>
      </c>
      <c r="G1247">
        <v>4</v>
      </c>
      <c r="H1247">
        <v>2.5</v>
      </c>
      <c r="I1247" t="s">
        <v>14</v>
      </c>
      <c r="J1247" t="s">
        <v>1646</v>
      </c>
      <c r="K1247" s="12">
        <f>Store_Record[[#This Row],[Qty]]*Store_Record[[#This Row],[UnitPriceGBP]]</f>
        <v>10</v>
      </c>
      <c r="L1247" s="5" t="str">
        <f>TEXT(Store_Record[[#This Row],[Date]],"dddd")</f>
        <v>Friday</v>
      </c>
      <c r="M1247" s="5" t="str">
        <f>TEXT(Store_Record[[#This Row],[Date]],"mmmm")</f>
        <v>March</v>
      </c>
      <c r="N1247" s="5">
        <f>YEAR(Store_Record[[#This Row],[Date]])</f>
        <v>2025</v>
      </c>
      <c r="O1247"/>
    </row>
    <row r="1248" spans="1:15" x14ac:dyDescent="0.35">
      <c r="A1248" t="s">
        <v>1996</v>
      </c>
      <c r="B1248" s="2">
        <v>45744</v>
      </c>
      <c r="C1248" t="s">
        <v>10</v>
      </c>
      <c r="D1248" t="s">
        <v>38</v>
      </c>
      <c r="E1248" t="s">
        <v>12</v>
      </c>
      <c r="F1248" t="s">
        <v>13</v>
      </c>
      <c r="G1248">
        <v>4</v>
      </c>
      <c r="H1248">
        <v>2.5</v>
      </c>
      <c r="I1248" t="s">
        <v>14</v>
      </c>
      <c r="J1248" t="s">
        <v>638</v>
      </c>
      <c r="K1248" s="12">
        <f>Store_Record[[#This Row],[Qty]]*Store_Record[[#This Row],[UnitPriceGBP]]</f>
        <v>10</v>
      </c>
      <c r="L1248" s="5" t="str">
        <f>TEXT(Store_Record[[#This Row],[Date]],"dddd")</f>
        <v>Friday</v>
      </c>
      <c r="M1248" s="5" t="str">
        <f>TEXT(Store_Record[[#This Row],[Date]],"mmmm")</f>
        <v>March</v>
      </c>
      <c r="N1248" s="5">
        <f>YEAR(Store_Record[[#This Row],[Date]])</f>
        <v>2025</v>
      </c>
      <c r="O1248"/>
    </row>
    <row r="1249" spans="1:15" x14ac:dyDescent="0.35">
      <c r="A1249" t="s">
        <v>1981</v>
      </c>
      <c r="B1249" s="2">
        <v>45744</v>
      </c>
      <c r="C1249" t="s">
        <v>36</v>
      </c>
      <c r="D1249" t="s">
        <v>25</v>
      </c>
      <c r="E1249" t="s">
        <v>34</v>
      </c>
      <c r="F1249" t="s">
        <v>31</v>
      </c>
      <c r="G1249">
        <v>4</v>
      </c>
      <c r="H1249">
        <v>2.2000000000000002</v>
      </c>
      <c r="I1249" t="s">
        <v>21</v>
      </c>
      <c r="J1249" t="s">
        <v>380</v>
      </c>
      <c r="K1249" s="12">
        <f>Store_Record[[#This Row],[Qty]]*Store_Record[[#This Row],[UnitPriceGBP]]</f>
        <v>8.8000000000000007</v>
      </c>
      <c r="L1249" s="5" t="str">
        <f>TEXT(Store_Record[[#This Row],[Date]],"dddd")</f>
        <v>Friday</v>
      </c>
      <c r="M1249" s="5" t="str">
        <f>TEXT(Store_Record[[#This Row],[Date]],"mmmm")</f>
        <v>March</v>
      </c>
      <c r="N1249" s="5">
        <f>YEAR(Store_Record[[#This Row],[Date]])</f>
        <v>2025</v>
      </c>
      <c r="O1249"/>
    </row>
    <row r="1250" spans="1:15" x14ac:dyDescent="0.35">
      <c r="A1250" t="s">
        <v>1992</v>
      </c>
      <c r="B1250" s="2">
        <v>45744</v>
      </c>
      <c r="C1250" t="s">
        <v>10</v>
      </c>
      <c r="D1250" t="s">
        <v>25</v>
      </c>
      <c r="E1250" t="s">
        <v>30</v>
      </c>
      <c r="F1250" t="s">
        <v>31</v>
      </c>
      <c r="G1250">
        <v>3</v>
      </c>
      <c r="H1250">
        <v>2.8</v>
      </c>
      <c r="I1250" t="s">
        <v>39</v>
      </c>
      <c r="J1250" t="s">
        <v>27</v>
      </c>
      <c r="K1250" s="12">
        <f>Store_Record[[#This Row],[Qty]]*Store_Record[[#This Row],[UnitPriceGBP]]</f>
        <v>8.3999999999999986</v>
      </c>
      <c r="L1250" s="5" t="str">
        <f>TEXT(Store_Record[[#This Row],[Date]],"dddd")</f>
        <v>Friday</v>
      </c>
      <c r="M1250" s="5" t="str">
        <f>TEXT(Store_Record[[#This Row],[Date]],"mmmm")</f>
        <v>March</v>
      </c>
      <c r="N1250" s="5">
        <f>YEAR(Store_Record[[#This Row],[Date]])</f>
        <v>2025</v>
      </c>
      <c r="O1250"/>
    </row>
    <row r="1251" spans="1:15" x14ac:dyDescent="0.35">
      <c r="A1251" t="s">
        <v>1991</v>
      </c>
      <c r="B1251" s="2">
        <v>45744</v>
      </c>
      <c r="C1251" t="s">
        <v>36</v>
      </c>
      <c r="D1251" t="s">
        <v>29</v>
      </c>
      <c r="E1251" t="s">
        <v>30</v>
      </c>
      <c r="F1251" t="s">
        <v>31</v>
      </c>
      <c r="G1251">
        <v>2</v>
      </c>
      <c r="H1251">
        <v>2.8</v>
      </c>
      <c r="I1251" t="s">
        <v>39</v>
      </c>
      <c r="J1251" t="s">
        <v>755</v>
      </c>
      <c r="K1251" s="12">
        <f>Store_Record[[#This Row],[Qty]]*Store_Record[[#This Row],[UnitPriceGBP]]</f>
        <v>5.6</v>
      </c>
      <c r="L1251" s="5" t="str">
        <f>TEXT(Store_Record[[#This Row],[Date]],"dddd")</f>
        <v>Friday</v>
      </c>
      <c r="M1251" s="5" t="str">
        <f>TEXT(Store_Record[[#This Row],[Date]],"mmmm")</f>
        <v>March</v>
      </c>
      <c r="N1251" s="5">
        <f>YEAR(Store_Record[[#This Row],[Date]])</f>
        <v>2025</v>
      </c>
      <c r="O1251"/>
    </row>
    <row r="1252" spans="1:15" x14ac:dyDescent="0.35">
      <c r="A1252" t="s">
        <v>2000</v>
      </c>
      <c r="B1252" s="2">
        <v>45744</v>
      </c>
      <c r="C1252" t="s">
        <v>24</v>
      </c>
      <c r="D1252" t="s">
        <v>38</v>
      </c>
      <c r="E1252" t="s">
        <v>12</v>
      </c>
      <c r="F1252" t="s">
        <v>13</v>
      </c>
      <c r="G1252">
        <v>2</v>
      </c>
      <c r="H1252">
        <v>2.5</v>
      </c>
      <c r="I1252" t="s">
        <v>14</v>
      </c>
      <c r="J1252" t="s">
        <v>2001</v>
      </c>
      <c r="K1252" s="12">
        <f>Store_Record[[#This Row],[Qty]]*Store_Record[[#This Row],[UnitPriceGBP]]</f>
        <v>5</v>
      </c>
      <c r="L1252" s="5" t="str">
        <f>TEXT(Store_Record[[#This Row],[Date]],"dddd")</f>
        <v>Friday</v>
      </c>
      <c r="M1252" s="5" t="str">
        <f>TEXT(Store_Record[[#This Row],[Date]],"mmmm")</f>
        <v>March</v>
      </c>
      <c r="N1252" s="5">
        <f>YEAR(Store_Record[[#This Row],[Date]])</f>
        <v>2025</v>
      </c>
      <c r="O1252"/>
    </row>
    <row r="1253" spans="1:15" x14ac:dyDescent="0.35">
      <c r="A1253" t="s">
        <v>1995</v>
      </c>
      <c r="B1253" s="2">
        <v>45744</v>
      </c>
      <c r="C1253" t="s">
        <v>24</v>
      </c>
      <c r="D1253" t="s">
        <v>47</v>
      </c>
      <c r="E1253" t="s">
        <v>34</v>
      </c>
      <c r="F1253" t="s">
        <v>31</v>
      </c>
      <c r="G1253">
        <v>2</v>
      </c>
      <c r="H1253">
        <v>2.2000000000000002</v>
      </c>
      <c r="I1253" t="s">
        <v>14</v>
      </c>
      <c r="J1253" t="s">
        <v>1007</v>
      </c>
      <c r="K1253" s="12">
        <f>Store_Record[[#This Row],[Qty]]*Store_Record[[#This Row],[UnitPriceGBP]]</f>
        <v>4.4000000000000004</v>
      </c>
      <c r="L1253" s="5" t="str">
        <f>TEXT(Store_Record[[#This Row],[Date]],"dddd")</f>
        <v>Friday</v>
      </c>
      <c r="M1253" s="5" t="str">
        <f>TEXT(Store_Record[[#This Row],[Date]],"mmmm")</f>
        <v>March</v>
      </c>
      <c r="N1253" s="5">
        <f>YEAR(Store_Record[[#This Row],[Date]])</f>
        <v>2025</v>
      </c>
      <c r="O1253"/>
    </row>
    <row r="1254" spans="1:15" x14ac:dyDescent="0.35">
      <c r="A1254" t="s">
        <v>1984</v>
      </c>
      <c r="B1254" s="2">
        <v>45744</v>
      </c>
      <c r="C1254" t="s">
        <v>36</v>
      </c>
      <c r="D1254" t="s">
        <v>25</v>
      </c>
      <c r="E1254" t="s">
        <v>42</v>
      </c>
      <c r="F1254" t="s">
        <v>13</v>
      </c>
      <c r="G1254">
        <v>1</v>
      </c>
      <c r="H1254">
        <v>3.8</v>
      </c>
      <c r="I1254" t="s">
        <v>21</v>
      </c>
      <c r="J1254" t="s">
        <v>1985</v>
      </c>
      <c r="K1254" s="12">
        <f>Store_Record[[#This Row],[Qty]]*Store_Record[[#This Row],[UnitPriceGBP]]</f>
        <v>3.8</v>
      </c>
      <c r="L1254" s="5" t="str">
        <f>TEXT(Store_Record[[#This Row],[Date]],"dddd")</f>
        <v>Friday</v>
      </c>
      <c r="M1254" s="5" t="str">
        <f>TEXT(Store_Record[[#This Row],[Date]],"mmmm")</f>
        <v>March</v>
      </c>
      <c r="N1254" s="5">
        <f>YEAR(Store_Record[[#This Row],[Date]])</f>
        <v>2025</v>
      </c>
      <c r="O1254"/>
    </row>
    <row r="1255" spans="1:15" x14ac:dyDescent="0.35">
      <c r="A1255" t="s">
        <v>1994</v>
      </c>
      <c r="B1255" s="2">
        <v>45744</v>
      </c>
      <c r="C1255" t="s">
        <v>36</v>
      </c>
      <c r="D1255" t="s">
        <v>11</v>
      </c>
      <c r="E1255" t="s">
        <v>30</v>
      </c>
      <c r="F1255" t="s">
        <v>31</v>
      </c>
      <c r="G1255">
        <v>1</v>
      </c>
      <c r="H1255">
        <v>2.8</v>
      </c>
      <c r="I1255" t="s">
        <v>21</v>
      </c>
      <c r="J1255" t="s">
        <v>1814</v>
      </c>
      <c r="K1255" s="12">
        <f>Store_Record[[#This Row],[Qty]]*Store_Record[[#This Row],[UnitPriceGBP]]</f>
        <v>2.8</v>
      </c>
      <c r="L1255" s="5" t="str">
        <f>TEXT(Store_Record[[#This Row],[Date]],"dddd")</f>
        <v>Friday</v>
      </c>
      <c r="M1255" s="5" t="str">
        <f>TEXT(Store_Record[[#This Row],[Date]],"mmmm")</f>
        <v>March</v>
      </c>
      <c r="N1255" s="5">
        <f>YEAR(Store_Record[[#This Row],[Date]])</f>
        <v>2025</v>
      </c>
      <c r="O1255"/>
    </row>
    <row r="1256" spans="1:15" x14ac:dyDescent="0.35">
      <c r="A1256" t="s">
        <v>1986</v>
      </c>
      <c r="B1256" s="2">
        <v>45744</v>
      </c>
      <c r="C1256" t="s">
        <v>24</v>
      </c>
      <c r="D1256" t="s">
        <v>38</v>
      </c>
      <c r="E1256" t="s">
        <v>34</v>
      </c>
      <c r="F1256" t="s">
        <v>31</v>
      </c>
      <c r="G1256">
        <v>1</v>
      </c>
      <c r="H1256">
        <v>2.2000000000000002</v>
      </c>
      <c r="I1256" t="s">
        <v>14</v>
      </c>
      <c r="J1256" t="s">
        <v>1987</v>
      </c>
      <c r="K1256" s="12">
        <f>Store_Record[[#This Row],[Qty]]*Store_Record[[#This Row],[UnitPriceGBP]]</f>
        <v>2.2000000000000002</v>
      </c>
      <c r="L1256" s="5" t="str">
        <f>TEXT(Store_Record[[#This Row],[Date]],"dddd")</f>
        <v>Friday</v>
      </c>
      <c r="M1256" s="5" t="str">
        <f>TEXT(Store_Record[[#This Row],[Date]],"mmmm")</f>
        <v>March</v>
      </c>
      <c r="N1256" s="5">
        <f>YEAR(Store_Record[[#This Row],[Date]])</f>
        <v>2025</v>
      </c>
      <c r="O1256"/>
    </row>
    <row r="1257" spans="1:15" x14ac:dyDescent="0.35">
      <c r="A1257" t="s">
        <v>1988</v>
      </c>
      <c r="B1257" s="2">
        <v>45744</v>
      </c>
      <c r="C1257" t="s">
        <v>36</v>
      </c>
      <c r="D1257" t="s">
        <v>25</v>
      </c>
      <c r="E1257" t="s">
        <v>34</v>
      </c>
      <c r="F1257" t="s">
        <v>31</v>
      </c>
      <c r="G1257">
        <v>1</v>
      </c>
      <c r="H1257">
        <v>2.2000000000000002</v>
      </c>
      <c r="I1257" t="s">
        <v>21</v>
      </c>
      <c r="J1257" t="s">
        <v>1989</v>
      </c>
      <c r="K1257" s="12">
        <f>Store_Record[[#This Row],[Qty]]*Store_Record[[#This Row],[UnitPriceGBP]]</f>
        <v>2.2000000000000002</v>
      </c>
      <c r="L1257" s="5" t="str">
        <f>TEXT(Store_Record[[#This Row],[Date]],"dddd")</f>
        <v>Friday</v>
      </c>
      <c r="M1257" s="5" t="str">
        <f>TEXT(Store_Record[[#This Row],[Date]],"mmmm")</f>
        <v>March</v>
      </c>
      <c r="N1257" s="5">
        <f>YEAR(Store_Record[[#This Row],[Date]])</f>
        <v>2025</v>
      </c>
      <c r="O1257"/>
    </row>
    <row r="1258" spans="1:15" x14ac:dyDescent="0.35">
      <c r="A1258" t="s">
        <v>1990</v>
      </c>
      <c r="B1258" s="2">
        <v>45744</v>
      </c>
      <c r="C1258" t="s">
        <v>36</v>
      </c>
      <c r="D1258" t="s">
        <v>11</v>
      </c>
      <c r="E1258" t="s">
        <v>34</v>
      </c>
      <c r="F1258" t="s">
        <v>31</v>
      </c>
      <c r="G1258">
        <v>1</v>
      </c>
      <c r="H1258">
        <v>2.2000000000000002</v>
      </c>
      <c r="I1258" t="s">
        <v>14</v>
      </c>
      <c r="J1258" t="s">
        <v>50</v>
      </c>
      <c r="K1258" s="12">
        <f>Store_Record[[#This Row],[Qty]]*Store_Record[[#This Row],[UnitPriceGBP]]</f>
        <v>2.2000000000000002</v>
      </c>
      <c r="L1258" s="5" t="str">
        <f>TEXT(Store_Record[[#This Row],[Date]],"dddd")</f>
        <v>Friday</v>
      </c>
      <c r="M1258" s="5" t="str">
        <f>TEXT(Store_Record[[#This Row],[Date]],"mmmm")</f>
        <v>March</v>
      </c>
      <c r="N1258" s="5">
        <f>YEAR(Store_Record[[#This Row],[Date]])</f>
        <v>2025</v>
      </c>
      <c r="O1258"/>
    </row>
    <row r="1259" spans="1:15" x14ac:dyDescent="0.35">
      <c r="A1259" t="s">
        <v>2010</v>
      </c>
      <c r="B1259" s="2">
        <v>45745</v>
      </c>
      <c r="C1259" t="s">
        <v>20</v>
      </c>
      <c r="D1259" t="s">
        <v>11</v>
      </c>
      <c r="E1259" t="s">
        <v>42</v>
      </c>
      <c r="F1259" t="s">
        <v>13</v>
      </c>
      <c r="G1259">
        <v>5</v>
      </c>
      <c r="H1259">
        <v>3.8</v>
      </c>
      <c r="I1259" t="s">
        <v>14</v>
      </c>
      <c r="J1259" t="s">
        <v>1013</v>
      </c>
      <c r="K1259" s="12">
        <f>Store_Record[[#This Row],[Qty]]*Store_Record[[#This Row],[UnitPriceGBP]]</f>
        <v>19</v>
      </c>
      <c r="L1259" s="5" t="str">
        <f>TEXT(Store_Record[[#This Row],[Date]],"dddd")</f>
        <v>Saturday</v>
      </c>
      <c r="M1259" s="5" t="str">
        <f>TEXT(Store_Record[[#This Row],[Date]],"mmmm")</f>
        <v>March</v>
      </c>
      <c r="N1259" s="5">
        <f>YEAR(Store_Record[[#This Row],[Date]])</f>
        <v>2025</v>
      </c>
      <c r="O1259"/>
    </row>
    <row r="1260" spans="1:15" x14ac:dyDescent="0.35">
      <c r="A1260" t="s">
        <v>2004</v>
      </c>
      <c r="B1260" s="2">
        <v>45745</v>
      </c>
      <c r="C1260" t="s">
        <v>24</v>
      </c>
      <c r="D1260" t="s">
        <v>25</v>
      </c>
      <c r="E1260" t="s">
        <v>30</v>
      </c>
      <c r="F1260" t="s">
        <v>31</v>
      </c>
      <c r="G1260">
        <v>5</v>
      </c>
      <c r="H1260">
        <v>2.8</v>
      </c>
      <c r="I1260" t="s">
        <v>14</v>
      </c>
      <c r="J1260" t="s">
        <v>1814</v>
      </c>
      <c r="K1260" s="12">
        <f>Store_Record[[#This Row],[Qty]]*Store_Record[[#This Row],[UnitPriceGBP]]</f>
        <v>14</v>
      </c>
      <c r="L1260" s="5" t="str">
        <f>TEXT(Store_Record[[#This Row],[Date]],"dddd")</f>
        <v>Saturday</v>
      </c>
      <c r="M1260" s="5" t="str">
        <f>TEXT(Store_Record[[#This Row],[Date]],"mmmm")</f>
        <v>March</v>
      </c>
      <c r="N1260" s="5">
        <f>YEAR(Store_Record[[#This Row],[Date]])</f>
        <v>2025</v>
      </c>
      <c r="O1260"/>
    </row>
    <row r="1261" spans="1:15" x14ac:dyDescent="0.35">
      <c r="A1261" t="s">
        <v>2006</v>
      </c>
      <c r="B1261" s="2">
        <v>45745</v>
      </c>
      <c r="C1261" t="s">
        <v>36</v>
      </c>
      <c r="D1261" t="s">
        <v>11</v>
      </c>
      <c r="E1261" t="s">
        <v>34</v>
      </c>
      <c r="F1261" t="s">
        <v>31</v>
      </c>
      <c r="G1261">
        <v>5</v>
      </c>
      <c r="H1261">
        <v>2.2000000000000002</v>
      </c>
      <c r="I1261" t="s">
        <v>39</v>
      </c>
      <c r="J1261" t="s">
        <v>298</v>
      </c>
      <c r="K1261" s="12">
        <f>Store_Record[[#This Row],[Qty]]*Store_Record[[#This Row],[UnitPriceGBP]]</f>
        <v>11</v>
      </c>
      <c r="L1261" s="5" t="str">
        <f>TEXT(Store_Record[[#This Row],[Date]],"dddd")</f>
        <v>Saturday</v>
      </c>
      <c r="M1261" s="5" t="str">
        <f>TEXT(Store_Record[[#This Row],[Date]],"mmmm")</f>
        <v>March</v>
      </c>
      <c r="N1261" s="5">
        <f>YEAR(Store_Record[[#This Row],[Date]])</f>
        <v>2025</v>
      </c>
      <c r="O1261"/>
    </row>
    <row r="1262" spans="1:15" x14ac:dyDescent="0.35">
      <c r="A1262" t="s">
        <v>2008</v>
      </c>
      <c r="B1262" s="2">
        <v>45745</v>
      </c>
      <c r="C1262" t="s">
        <v>24</v>
      </c>
      <c r="D1262" t="s">
        <v>47</v>
      </c>
      <c r="E1262" t="s">
        <v>30</v>
      </c>
      <c r="F1262" t="s">
        <v>31</v>
      </c>
      <c r="G1262">
        <v>3</v>
      </c>
      <c r="H1262">
        <v>2.8</v>
      </c>
      <c r="I1262" t="s">
        <v>39</v>
      </c>
      <c r="J1262" t="s">
        <v>1214</v>
      </c>
      <c r="K1262" s="12">
        <f>Store_Record[[#This Row],[Qty]]*Store_Record[[#This Row],[UnitPriceGBP]]</f>
        <v>8.3999999999999986</v>
      </c>
      <c r="L1262" s="5" t="str">
        <f>TEXT(Store_Record[[#This Row],[Date]],"dddd")</f>
        <v>Saturday</v>
      </c>
      <c r="M1262" s="5" t="str">
        <f>TEXT(Store_Record[[#This Row],[Date]],"mmmm")</f>
        <v>March</v>
      </c>
      <c r="N1262" s="5">
        <f>YEAR(Store_Record[[#This Row],[Date]])</f>
        <v>2025</v>
      </c>
      <c r="O1262"/>
    </row>
    <row r="1263" spans="1:15" x14ac:dyDescent="0.35">
      <c r="A1263" t="s">
        <v>2011</v>
      </c>
      <c r="B1263" s="2">
        <v>45745</v>
      </c>
      <c r="C1263" t="s">
        <v>36</v>
      </c>
      <c r="D1263" t="s">
        <v>25</v>
      </c>
      <c r="E1263" t="s">
        <v>42</v>
      </c>
      <c r="F1263" t="s">
        <v>13</v>
      </c>
      <c r="G1263">
        <v>2</v>
      </c>
      <c r="H1263">
        <v>3.8</v>
      </c>
      <c r="I1263" t="s">
        <v>39</v>
      </c>
      <c r="J1263" t="s">
        <v>931</v>
      </c>
      <c r="K1263" s="12">
        <f>Store_Record[[#This Row],[Qty]]*Store_Record[[#This Row],[UnitPriceGBP]]</f>
        <v>7.6</v>
      </c>
      <c r="L1263" s="5" t="str">
        <f>TEXT(Store_Record[[#This Row],[Date]],"dddd")</f>
        <v>Saturday</v>
      </c>
      <c r="M1263" s="5" t="str">
        <f>TEXT(Store_Record[[#This Row],[Date]],"mmmm")</f>
        <v>March</v>
      </c>
      <c r="N1263" s="5">
        <f>YEAR(Store_Record[[#This Row],[Date]])</f>
        <v>2025</v>
      </c>
      <c r="O1263"/>
    </row>
    <row r="1264" spans="1:15" x14ac:dyDescent="0.35">
      <c r="A1264" t="s">
        <v>2002</v>
      </c>
      <c r="B1264" s="2">
        <v>45745</v>
      </c>
      <c r="C1264" t="s">
        <v>24</v>
      </c>
      <c r="D1264" t="s">
        <v>25</v>
      </c>
      <c r="E1264" t="s">
        <v>12</v>
      </c>
      <c r="F1264" t="s">
        <v>13</v>
      </c>
      <c r="G1264">
        <v>3</v>
      </c>
      <c r="H1264">
        <v>2.5</v>
      </c>
      <c r="I1264" t="s">
        <v>21</v>
      </c>
      <c r="J1264" t="s">
        <v>2003</v>
      </c>
      <c r="K1264" s="12">
        <f>Store_Record[[#This Row],[Qty]]*Store_Record[[#This Row],[UnitPriceGBP]]</f>
        <v>7.5</v>
      </c>
      <c r="L1264" s="5" t="str">
        <f>TEXT(Store_Record[[#This Row],[Date]],"dddd")</f>
        <v>Saturday</v>
      </c>
      <c r="M1264" s="5" t="str">
        <f>TEXT(Store_Record[[#This Row],[Date]],"mmmm")</f>
        <v>March</v>
      </c>
      <c r="N1264" s="5">
        <f>YEAR(Store_Record[[#This Row],[Date]])</f>
        <v>2025</v>
      </c>
      <c r="O1264"/>
    </row>
    <row r="1265" spans="1:15" x14ac:dyDescent="0.35">
      <c r="A1265" t="s">
        <v>2009</v>
      </c>
      <c r="B1265" s="2">
        <v>45745</v>
      </c>
      <c r="C1265" t="s">
        <v>10</v>
      </c>
      <c r="D1265" t="s">
        <v>38</v>
      </c>
      <c r="E1265" t="s">
        <v>12</v>
      </c>
      <c r="F1265" t="s">
        <v>13</v>
      </c>
      <c r="G1265">
        <v>3</v>
      </c>
      <c r="H1265">
        <v>2.5</v>
      </c>
      <c r="I1265" t="s">
        <v>39</v>
      </c>
      <c r="J1265" t="s">
        <v>745</v>
      </c>
      <c r="K1265" s="12">
        <f>Store_Record[[#This Row],[Qty]]*Store_Record[[#This Row],[UnitPriceGBP]]</f>
        <v>7.5</v>
      </c>
      <c r="L1265" s="5" t="str">
        <f>TEXT(Store_Record[[#This Row],[Date]],"dddd")</f>
        <v>Saturday</v>
      </c>
      <c r="M1265" s="5" t="str">
        <f>TEXT(Store_Record[[#This Row],[Date]],"mmmm")</f>
        <v>March</v>
      </c>
      <c r="N1265" s="5">
        <f>YEAR(Store_Record[[#This Row],[Date]])</f>
        <v>2025</v>
      </c>
      <c r="O1265"/>
    </row>
    <row r="1266" spans="1:15" x14ac:dyDescent="0.35">
      <c r="A1266" t="s">
        <v>2005</v>
      </c>
      <c r="B1266" s="2">
        <v>45745</v>
      </c>
      <c r="C1266" t="s">
        <v>10</v>
      </c>
      <c r="D1266" t="s">
        <v>38</v>
      </c>
      <c r="E1266" t="s">
        <v>34</v>
      </c>
      <c r="F1266" t="s">
        <v>31</v>
      </c>
      <c r="G1266">
        <v>3</v>
      </c>
      <c r="H1266">
        <v>2.2000000000000002</v>
      </c>
      <c r="I1266" t="s">
        <v>21</v>
      </c>
      <c r="J1266" t="s">
        <v>1755</v>
      </c>
      <c r="K1266" s="12">
        <f>Store_Record[[#This Row],[Qty]]*Store_Record[[#This Row],[UnitPriceGBP]]</f>
        <v>6.6000000000000005</v>
      </c>
      <c r="L1266" s="5" t="str">
        <f>TEXT(Store_Record[[#This Row],[Date]],"dddd")</f>
        <v>Saturday</v>
      </c>
      <c r="M1266" s="5" t="str">
        <f>TEXT(Store_Record[[#This Row],[Date]],"mmmm")</f>
        <v>March</v>
      </c>
      <c r="N1266" s="5">
        <f>YEAR(Store_Record[[#This Row],[Date]])</f>
        <v>2025</v>
      </c>
      <c r="O1266"/>
    </row>
    <row r="1267" spans="1:15" x14ac:dyDescent="0.35">
      <c r="A1267" t="s">
        <v>2007</v>
      </c>
      <c r="B1267" s="2">
        <v>45745</v>
      </c>
      <c r="C1267" t="s">
        <v>36</v>
      </c>
      <c r="D1267" t="s">
        <v>25</v>
      </c>
      <c r="E1267" t="s">
        <v>26</v>
      </c>
      <c r="F1267" t="s">
        <v>13</v>
      </c>
      <c r="G1267">
        <v>1</v>
      </c>
      <c r="H1267">
        <v>3.5</v>
      </c>
      <c r="I1267" t="s">
        <v>21</v>
      </c>
      <c r="J1267" t="s">
        <v>630</v>
      </c>
      <c r="K1267" s="12">
        <f>Store_Record[[#This Row],[Qty]]*Store_Record[[#This Row],[UnitPriceGBP]]</f>
        <v>3.5</v>
      </c>
      <c r="L1267" s="5" t="str">
        <f>TEXT(Store_Record[[#This Row],[Date]],"dddd")</f>
        <v>Saturday</v>
      </c>
      <c r="M1267" s="5" t="str">
        <f>TEXT(Store_Record[[#This Row],[Date]],"mmmm")</f>
        <v>March</v>
      </c>
      <c r="N1267" s="5">
        <f>YEAR(Store_Record[[#This Row],[Date]])</f>
        <v>2025</v>
      </c>
      <c r="O1267"/>
    </row>
    <row r="1268" spans="1:15" x14ac:dyDescent="0.35">
      <c r="A1268" t="s">
        <v>2012</v>
      </c>
      <c r="B1268" s="2">
        <v>45746</v>
      </c>
      <c r="C1268" t="s">
        <v>10</v>
      </c>
      <c r="D1268" t="s">
        <v>47</v>
      </c>
      <c r="E1268" t="s">
        <v>26</v>
      </c>
      <c r="F1268" t="s">
        <v>13</v>
      </c>
      <c r="G1268">
        <v>4</v>
      </c>
      <c r="H1268">
        <v>3.5</v>
      </c>
      <c r="I1268" t="s">
        <v>14</v>
      </c>
      <c r="J1268" t="s">
        <v>2013</v>
      </c>
      <c r="K1268" s="12">
        <f>Store_Record[[#This Row],[Qty]]*Store_Record[[#This Row],[UnitPriceGBP]]</f>
        <v>14</v>
      </c>
      <c r="L1268" s="5" t="str">
        <f>TEXT(Store_Record[[#This Row],[Date]],"dddd")</f>
        <v>Sunday</v>
      </c>
      <c r="M1268" s="5" t="str">
        <f>TEXT(Store_Record[[#This Row],[Date]],"mmmm")</f>
        <v>March</v>
      </c>
      <c r="N1268" s="5">
        <f>YEAR(Store_Record[[#This Row],[Date]])</f>
        <v>2025</v>
      </c>
      <c r="O1268"/>
    </row>
    <row r="1269" spans="1:15" x14ac:dyDescent="0.35">
      <c r="A1269" t="s">
        <v>2016</v>
      </c>
      <c r="B1269" s="2">
        <v>45746</v>
      </c>
      <c r="C1269" t="s">
        <v>36</v>
      </c>
      <c r="D1269" t="s">
        <v>29</v>
      </c>
      <c r="E1269" t="s">
        <v>26</v>
      </c>
      <c r="F1269" t="s">
        <v>13</v>
      </c>
      <c r="G1269">
        <v>4</v>
      </c>
      <c r="H1269">
        <v>3.5</v>
      </c>
      <c r="I1269" t="s">
        <v>14</v>
      </c>
      <c r="J1269" t="s">
        <v>2017</v>
      </c>
      <c r="K1269" s="12">
        <f>Store_Record[[#This Row],[Qty]]*Store_Record[[#This Row],[UnitPriceGBP]]</f>
        <v>14</v>
      </c>
      <c r="L1269" s="5" t="str">
        <f>TEXT(Store_Record[[#This Row],[Date]],"dddd")</f>
        <v>Sunday</v>
      </c>
      <c r="M1269" s="5" t="str">
        <f>TEXT(Store_Record[[#This Row],[Date]],"mmmm")</f>
        <v>March</v>
      </c>
      <c r="N1269" s="5">
        <f>YEAR(Store_Record[[#This Row],[Date]])</f>
        <v>2025</v>
      </c>
      <c r="O1269"/>
    </row>
    <row r="1270" spans="1:15" x14ac:dyDescent="0.35">
      <c r="A1270" t="s">
        <v>2022</v>
      </c>
      <c r="B1270" s="2">
        <v>45746</v>
      </c>
      <c r="C1270" t="s">
        <v>20</v>
      </c>
      <c r="D1270" t="s">
        <v>11</v>
      </c>
      <c r="E1270" t="s">
        <v>30</v>
      </c>
      <c r="F1270" t="s">
        <v>31</v>
      </c>
      <c r="G1270">
        <v>5</v>
      </c>
      <c r="H1270">
        <v>2.8</v>
      </c>
      <c r="I1270" t="s">
        <v>39</v>
      </c>
      <c r="J1270" t="s">
        <v>394</v>
      </c>
      <c r="K1270" s="12">
        <f>Store_Record[[#This Row],[Qty]]*Store_Record[[#This Row],[UnitPriceGBP]]</f>
        <v>14</v>
      </c>
      <c r="L1270" s="5" t="str">
        <f>TEXT(Store_Record[[#This Row],[Date]],"dddd")</f>
        <v>Sunday</v>
      </c>
      <c r="M1270" s="5" t="str">
        <f>TEXT(Store_Record[[#This Row],[Date]],"mmmm")</f>
        <v>March</v>
      </c>
      <c r="N1270" s="5">
        <f>YEAR(Store_Record[[#This Row],[Date]])</f>
        <v>2025</v>
      </c>
      <c r="O1270"/>
    </row>
    <row r="1271" spans="1:15" x14ac:dyDescent="0.35">
      <c r="A1271" t="s">
        <v>2020</v>
      </c>
      <c r="B1271" s="2">
        <v>45746</v>
      </c>
      <c r="C1271" t="s">
        <v>36</v>
      </c>
      <c r="D1271" t="s">
        <v>29</v>
      </c>
      <c r="E1271" t="s">
        <v>26</v>
      </c>
      <c r="F1271" t="s">
        <v>13</v>
      </c>
      <c r="G1271">
        <v>5</v>
      </c>
      <c r="H1271">
        <v>2.5</v>
      </c>
      <c r="I1271" t="s">
        <v>21</v>
      </c>
      <c r="J1271" t="s">
        <v>761</v>
      </c>
      <c r="K1271" s="12">
        <f>Store_Record[[#This Row],[Qty]]*Store_Record[[#This Row],[UnitPriceGBP]]</f>
        <v>12.5</v>
      </c>
      <c r="L1271" s="5" t="str">
        <f>TEXT(Store_Record[[#This Row],[Date]],"dddd")</f>
        <v>Sunday</v>
      </c>
      <c r="M1271" s="5" t="str">
        <f>TEXT(Store_Record[[#This Row],[Date]],"mmmm")</f>
        <v>March</v>
      </c>
      <c r="N1271" s="5">
        <f>YEAR(Store_Record[[#This Row],[Date]])</f>
        <v>2025</v>
      </c>
      <c r="O1271"/>
    </row>
    <row r="1272" spans="1:15" x14ac:dyDescent="0.35">
      <c r="A1272" t="s">
        <v>2019</v>
      </c>
      <c r="B1272" s="2">
        <v>45746</v>
      </c>
      <c r="C1272" t="s">
        <v>24</v>
      </c>
      <c r="D1272" t="s">
        <v>47</v>
      </c>
      <c r="E1272" t="s">
        <v>34</v>
      </c>
      <c r="F1272" t="s">
        <v>31</v>
      </c>
      <c r="G1272">
        <v>5</v>
      </c>
      <c r="H1272">
        <v>2.2000000000000002</v>
      </c>
      <c r="I1272" t="s">
        <v>39</v>
      </c>
      <c r="J1272" t="s">
        <v>326</v>
      </c>
      <c r="K1272" s="12">
        <f>Store_Record[[#This Row],[Qty]]*Store_Record[[#This Row],[UnitPriceGBP]]</f>
        <v>11</v>
      </c>
      <c r="L1272" s="5" t="str">
        <f>TEXT(Store_Record[[#This Row],[Date]],"dddd")</f>
        <v>Sunday</v>
      </c>
      <c r="M1272" s="5" t="str">
        <f>TEXT(Store_Record[[#This Row],[Date]],"mmmm")</f>
        <v>March</v>
      </c>
      <c r="N1272" s="5">
        <f>YEAR(Store_Record[[#This Row],[Date]])</f>
        <v>2025</v>
      </c>
      <c r="O1272"/>
    </row>
    <row r="1273" spans="1:15" x14ac:dyDescent="0.35">
      <c r="A1273" t="s">
        <v>2021</v>
      </c>
      <c r="B1273" s="2">
        <v>45746</v>
      </c>
      <c r="C1273" t="s">
        <v>36</v>
      </c>
      <c r="D1273" t="s">
        <v>38</v>
      </c>
      <c r="E1273" t="s">
        <v>26</v>
      </c>
      <c r="F1273" t="s">
        <v>13</v>
      </c>
      <c r="G1273">
        <v>3</v>
      </c>
      <c r="H1273">
        <v>3.5</v>
      </c>
      <c r="I1273" t="s">
        <v>21</v>
      </c>
      <c r="J1273" t="s">
        <v>1165</v>
      </c>
      <c r="K1273" s="12">
        <f>Store_Record[[#This Row],[Qty]]*Store_Record[[#This Row],[UnitPriceGBP]]</f>
        <v>10.5</v>
      </c>
      <c r="L1273" s="5" t="str">
        <f>TEXT(Store_Record[[#This Row],[Date]],"dddd")</f>
        <v>Sunday</v>
      </c>
      <c r="M1273" s="5" t="str">
        <f>TEXT(Store_Record[[#This Row],[Date]],"mmmm")</f>
        <v>March</v>
      </c>
      <c r="N1273" s="5">
        <f>YEAR(Store_Record[[#This Row],[Date]])</f>
        <v>2025</v>
      </c>
      <c r="O1273"/>
    </row>
    <row r="1274" spans="1:15" x14ac:dyDescent="0.35">
      <c r="A1274" t="s">
        <v>2025</v>
      </c>
      <c r="B1274" s="2">
        <v>45746</v>
      </c>
      <c r="C1274" t="s">
        <v>36</v>
      </c>
      <c r="D1274" t="s">
        <v>29</v>
      </c>
      <c r="E1274" t="s">
        <v>12</v>
      </c>
      <c r="F1274" t="s">
        <v>13</v>
      </c>
      <c r="G1274">
        <v>4</v>
      </c>
      <c r="H1274">
        <v>2.5</v>
      </c>
      <c r="I1274" t="s">
        <v>21</v>
      </c>
      <c r="J1274" t="s">
        <v>862</v>
      </c>
      <c r="K1274" s="12">
        <f>Store_Record[[#This Row],[Qty]]*Store_Record[[#This Row],[UnitPriceGBP]]</f>
        <v>10</v>
      </c>
      <c r="L1274" s="5" t="str">
        <f>TEXT(Store_Record[[#This Row],[Date]],"dddd")</f>
        <v>Sunday</v>
      </c>
      <c r="M1274" s="5" t="str">
        <f>TEXT(Store_Record[[#This Row],[Date]],"mmmm")</f>
        <v>March</v>
      </c>
      <c r="N1274" s="5">
        <f>YEAR(Store_Record[[#This Row],[Date]])</f>
        <v>2025</v>
      </c>
      <c r="O1274"/>
    </row>
    <row r="1275" spans="1:15" x14ac:dyDescent="0.35">
      <c r="A1275" t="s">
        <v>2014</v>
      </c>
      <c r="B1275" s="2">
        <v>45746</v>
      </c>
      <c r="C1275" t="s">
        <v>36</v>
      </c>
      <c r="D1275" t="s">
        <v>29</v>
      </c>
      <c r="E1275" t="s">
        <v>34</v>
      </c>
      <c r="F1275" t="s">
        <v>31</v>
      </c>
      <c r="G1275">
        <v>4</v>
      </c>
      <c r="H1275">
        <v>2.2000000000000002</v>
      </c>
      <c r="I1275" t="s">
        <v>39</v>
      </c>
      <c r="J1275" t="s">
        <v>1053</v>
      </c>
      <c r="K1275" s="12">
        <f>Store_Record[[#This Row],[Qty]]*Store_Record[[#This Row],[UnitPriceGBP]]</f>
        <v>8.8000000000000007</v>
      </c>
      <c r="L1275" s="5" t="str">
        <f>TEXT(Store_Record[[#This Row],[Date]],"dddd")</f>
        <v>Sunday</v>
      </c>
      <c r="M1275" s="5" t="str">
        <f>TEXT(Store_Record[[#This Row],[Date]],"mmmm")</f>
        <v>March</v>
      </c>
      <c r="N1275" s="5">
        <f>YEAR(Store_Record[[#This Row],[Date]])</f>
        <v>2025</v>
      </c>
      <c r="O1275"/>
    </row>
    <row r="1276" spans="1:15" x14ac:dyDescent="0.35">
      <c r="A1276" t="s">
        <v>2018</v>
      </c>
      <c r="B1276" s="2">
        <v>45746</v>
      </c>
      <c r="C1276" t="s">
        <v>36</v>
      </c>
      <c r="D1276" t="s">
        <v>29</v>
      </c>
      <c r="E1276" t="s">
        <v>30</v>
      </c>
      <c r="F1276" t="s">
        <v>31</v>
      </c>
      <c r="G1276">
        <v>2</v>
      </c>
      <c r="H1276">
        <v>2.8</v>
      </c>
      <c r="I1276" t="s">
        <v>21</v>
      </c>
      <c r="J1276" t="s">
        <v>448</v>
      </c>
      <c r="K1276" s="12">
        <f>Store_Record[[#This Row],[Qty]]*Store_Record[[#This Row],[UnitPriceGBP]]</f>
        <v>5.6</v>
      </c>
      <c r="L1276" s="5" t="str">
        <f>TEXT(Store_Record[[#This Row],[Date]],"dddd")</f>
        <v>Sunday</v>
      </c>
      <c r="M1276" s="5" t="str">
        <f>TEXT(Store_Record[[#This Row],[Date]],"mmmm")</f>
        <v>March</v>
      </c>
      <c r="N1276" s="5">
        <f>YEAR(Store_Record[[#This Row],[Date]])</f>
        <v>2025</v>
      </c>
      <c r="O1276"/>
    </row>
    <row r="1277" spans="1:15" x14ac:dyDescent="0.35">
      <c r="A1277" t="s">
        <v>2024</v>
      </c>
      <c r="B1277" s="2">
        <v>45746</v>
      </c>
      <c r="C1277" t="s">
        <v>24</v>
      </c>
      <c r="D1277" t="s">
        <v>29</v>
      </c>
      <c r="E1277" t="s">
        <v>30</v>
      </c>
      <c r="F1277" t="s">
        <v>31</v>
      </c>
      <c r="G1277">
        <v>2</v>
      </c>
      <c r="H1277">
        <v>2.8</v>
      </c>
      <c r="I1277" t="s">
        <v>14</v>
      </c>
      <c r="J1277" t="s">
        <v>1003</v>
      </c>
      <c r="K1277" s="12">
        <f>Store_Record[[#This Row],[Qty]]*Store_Record[[#This Row],[UnitPriceGBP]]</f>
        <v>5.6</v>
      </c>
      <c r="L1277" s="5" t="str">
        <f>TEXT(Store_Record[[#This Row],[Date]],"dddd")</f>
        <v>Sunday</v>
      </c>
      <c r="M1277" s="5" t="str">
        <f>TEXT(Store_Record[[#This Row],[Date]],"mmmm")</f>
        <v>March</v>
      </c>
      <c r="N1277" s="5">
        <f>YEAR(Store_Record[[#This Row],[Date]])</f>
        <v>2025</v>
      </c>
      <c r="O1277"/>
    </row>
    <row r="1278" spans="1:15" x14ac:dyDescent="0.35">
      <c r="A1278" t="s">
        <v>2015</v>
      </c>
      <c r="B1278" s="2">
        <v>45746</v>
      </c>
      <c r="C1278" t="s">
        <v>24</v>
      </c>
      <c r="D1278" t="s">
        <v>47</v>
      </c>
      <c r="E1278" t="s">
        <v>12</v>
      </c>
      <c r="F1278" t="s">
        <v>13</v>
      </c>
      <c r="G1278">
        <v>1</v>
      </c>
      <c r="H1278">
        <v>2.5</v>
      </c>
      <c r="I1278" t="s">
        <v>39</v>
      </c>
      <c r="J1278" t="s">
        <v>1038</v>
      </c>
      <c r="K1278" s="12">
        <f>Store_Record[[#This Row],[Qty]]*Store_Record[[#This Row],[UnitPriceGBP]]</f>
        <v>2.5</v>
      </c>
      <c r="L1278" s="5" t="str">
        <f>TEXT(Store_Record[[#This Row],[Date]],"dddd")</f>
        <v>Sunday</v>
      </c>
      <c r="M1278" s="5" t="str">
        <f>TEXT(Store_Record[[#This Row],[Date]],"mmmm")</f>
        <v>March</v>
      </c>
      <c r="N1278" s="5">
        <f>YEAR(Store_Record[[#This Row],[Date]])</f>
        <v>2025</v>
      </c>
      <c r="O1278"/>
    </row>
    <row r="1279" spans="1:15" x14ac:dyDescent="0.35">
      <c r="A1279" t="s">
        <v>2023</v>
      </c>
      <c r="B1279" s="2">
        <v>45746</v>
      </c>
      <c r="C1279" t="s">
        <v>24</v>
      </c>
      <c r="D1279" t="s">
        <v>29</v>
      </c>
      <c r="E1279" t="s">
        <v>12</v>
      </c>
      <c r="F1279" t="s">
        <v>13</v>
      </c>
      <c r="G1279">
        <v>1</v>
      </c>
      <c r="H1279">
        <v>2.5</v>
      </c>
      <c r="I1279" t="s">
        <v>39</v>
      </c>
      <c r="J1279" t="s">
        <v>1191</v>
      </c>
      <c r="K1279" s="12">
        <f>Store_Record[[#This Row],[Qty]]*Store_Record[[#This Row],[UnitPriceGBP]]</f>
        <v>2.5</v>
      </c>
      <c r="L1279" s="5" t="str">
        <f>TEXT(Store_Record[[#This Row],[Date]],"dddd")</f>
        <v>Sunday</v>
      </c>
      <c r="M1279" s="5" t="str">
        <f>TEXT(Store_Record[[#This Row],[Date]],"mmmm")</f>
        <v>March</v>
      </c>
      <c r="N1279" s="5">
        <f>YEAR(Store_Record[[#This Row],[Date]])</f>
        <v>2025</v>
      </c>
      <c r="O1279"/>
    </row>
    <row r="1280" spans="1:15" x14ac:dyDescent="0.35">
      <c r="A1280" t="s">
        <v>2027</v>
      </c>
      <c r="B1280" s="2">
        <v>45747</v>
      </c>
      <c r="C1280" t="s">
        <v>36</v>
      </c>
      <c r="D1280" t="s">
        <v>29</v>
      </c>
      <c r="E1280" t="s">
        <v>42</v>
      </c>
      <c r="F1280" t="s">
        <v>13</v>
      </c>
      <c r="G1280">
        <v>5</v>
      </c>
      <c r="H1280">
        <v>3.8</v>
      </c>
      <c r="I1280" t="s">
        <v>21</v>
      </c>
      <c r="J1280" t="s">
        <v>604</v>
      </c>
      <c r="K1280" s="12">
        <f>Store_Record[[#This Row],[Qty]]*Store_Record[[#This Row],[UnitPriceGBP]]</f>
        <v>19</v>
      </c>
      <c r="L1280" s="5" t="str">
        <f>TEXT(Store_Record[[#This Row],[Date]],"dddd")</f>
        <v>Monday</v>
      </c>
      <c r="M1280" s="5" t="str">
        <f>TEXT(Store_Record[[#This Row],[Date]],"mmmm")</f>
        <v>March</v>
      </c>
      <c r="N1280" s="5">
        <f>YEAR(Store_Record[[#This Row],[Date]])</f>
        <v>2025</v>
      </c>
      <c r="O1280"/>
    </row>
    <row r="1281" spans="1:15" x14ac:dyDescent="0.35">
      <c r="A1281" t="s">
        <v>2028</v>
      </c>
      <c r="B1281" s="2">
        <v>45747</v>
      </c>
      <c r="C1281" t="s">
        <v>24</v>
      </c>
      <c r="D1281" t="s">
        <v>25</v>
      </c>
      <c r="E1281" t="s">
        <v>42</v>
      </c>
      <c r="F1281" t="s">
        <v>13</v>
      </c>
      <c r="G1281">
        <v>5</v>
      </c>
      <c r="H1281">
        <v>3.8</v>
      </c>
      <c r="I1281" t="s">
        <v>39</v>
      </c>
      <c r="J1281" t="s">
        <v>1214</v>
      </c>
      <c r="K1281" s="12">
        <f>Store_Record[[#This Row],[Qty]]*Store_Record[[#This Row],[UnitPriceGBP]]</f>
        <v>19</v>
      </c>
      <c r="L1281" s="5" t="str">
        <f>TEXT(Store_Record[[#This Row],[Date]],"dddd")</f>
        <v>Monday</v>
      </c>
      <c r="M1281" s="5" t="str">
        <f>TEXT(Store_Record[[#This Row],[Date]],"mmmm")</f>
        <v>March</v>
      </c>
      <c r="N1281" s="5">
        <f>YEAR(Store_Record[[#This Row],[Date]])</f>
        <v>2025</v>
      </c>
      <c r="O1281"/>
    </row>
    <row r="1282" spans="1:15" x14ac:dyDescent="0.35">
      <c r="A1282" t="s">
        <v>2029</v>
      </c>
      <c r="B1282" s="2">
        <v>45747</v>
      </c>
      <c r="C1282" t="s">
        <v>36</v>
      </c>
      <c r="D1282" t="s">
        <v>25</v>
      </c>
      <c r="E1282" t="s">
        <v>26</v>
      </c>
      <c r="F1282" t="s">
        <v>13</v>
      </c>
      <c r="G1282">
        <v>5</v>
      </c>
      <c r="H1282">
        <v>3.5</v>
      </c>
      <c r="I1282" t="s">
        <v>14</v>
      </c>
      <c r="J1282" t="s">
        <v>2030</v>
      </c>
      <c r="K1282" s="12">
        <f>Store_Record[[#This Row],[Qty]]*Store_Record[[#This Row],[UnitPriceGBP]]</f>
        <v>17.5</v>
      </c>
      <c r="L1282" s="5" t="str">
        <f>TEXT(Store_Record[[#This Row],[Date]],"dddd")</f>
        <v>Monday</v>
      </c>
      <c r="M1282" s="5" t="str">
        <f>TEXT(Store_Record[[#This Row],[Date]],"mmmm")</f>
        <v>March</v>
      </c>
      <c r="N1282" s="5">
        <f>YEAR(Store_Record[[#This Row],[Date]])</f>
        <v>2025</v>
      </c>
      <c r="O1282"/>
    </row>
    <row r="1283" spans="1:15" x14ac:dyDescent="0.35">
      <c r="A1283" t="s">
        <v>2038</v>
      </c>
      <c r="B1283" s="2">
        <v>45747</v>
      </c>
      <c r="C1283" t="s">
        <v>36</v>
      </c>
      <c r="D1283" t="s">
        <v>47</v>
      </c>
      <c r="E1283" t="s">
        <v>12</v>
      </c>
      <c r="F1283" t="s">
        <v>13</v>
      </c>
      <c r="G1283">
        <v>5</v>
      </c>
      <c r="H1283">
        <v>2.5</v>
      </c>
      <c r="I1283" t="s">
        <v>39</v>
      </c>
      <c r="J1283" t="s">
        <v>778</v>
      </c>
      <c r="K1283" s="12">
        <f>Store_Record[[#This Row],[Qty]]*Store_Record[[#This Row],[UnitPriceGBP]]</f>
        <v>12.5</v>
      </c>
      <c r="L1283" s="5" t="str">
        <f>TEXT(Store_Record[[#This Row],[Date]],"dddd")</f>
        <v>Monday</v>
      </c>
      <c r="M1283" s="5" t="str">
        <f>TEXT(Store_Record[[#This Row],[Date]],"mmmm")</f>
        <v>March</v>
      </c>
      <c r="N1283" s="5">
        <f>YEAR(Store_Record[[#This Row],[Date]])</f>
        <v>2025</v>
      </c>
      <c r="O1283"/>
    </row>
    <row r="1284" spans="1:15" x14ac:dyDescent="0.35">
      <c r="A1284" t="s">
        <v>2039</v>
      </c>
      <c r="B1284" s="2">
        <v>45747</v>
      </c>
      <c r="C1284" t="s">
        <v>10</v>
      </c>
      <c r="D1284" t="s">
        <v>25</v>
      </c>
      <c r="E1284" t="s">
        <v>30</v>
      </c>
      <c r="F1284" t="s">
        <v>31</v>
      </c>
      <c r="G1284">
        <v>4</v>
      </c>
      <c r="H1284">
        <v>2.8</v>
      </c>
      <c r="I1284" t="s">
        <v>21</v>
      </c>
      <c r="J1284" t="s">
        <v>1095</v>
      </c>
      <c r="K1284" s="12">
        <f>Store_Record[[#This Row],[Qty]]*Store_Record[[#This Row],[UnitPriceGBP]]</f>
        <v>11.2</v>
      </c>
      <c r="L1284" s="5" t="str">
        <f>TEXT(Store_Record[[#This Row],[Date]],"dddd")</f>
        <v>Monday</v>
      </c>
      <c r="M1284" s="5" t="str">
        <f>TEXT(Store_Record[[#This Row],[Date]],"mmmm")</f>
        <v>March</v>
      </c>
      <c r="N1284" s="5">
        <f>YEAR(Store_Record[[#This Row],[Date]])</f>
        <v>2025</v>
      </c>
      <c r="O1284"/>
    </row>
    <row r="1285" spans="1:15" x14ac:dyDescent="0.35">
      <c r="A1285" t="s">
        <v>2045</v>
      </c>
      <c r="B1285" s="2">
        <v>45747</v>
      </c>
      <c r="C1285" t="s">
        <v>24</v>
      </c>
      <c r="D1285" t="s">
        <v>11</v>
      </c>
      <c r="E1285" t="s">
        <v>30</v>
      </c>
      <c r="F1285" t="s">
        <v>31</v>
      </c>
      <c r="G1285">
        <v>4</v>
      </c>
      <c r="H1285">
        <v>2.8</v>
      </c>
      <c r="I1285" t="s">
        <v>21</v>
      </c>
      <c r="J1285" t="s">
        <v>2046</v>
      </c>
      <c r="K1285" s="12">
        <f>Store_Record[[#This Row],[Qty]]*Store_Record[[#This Row],[UnitPriceGBP]]</f>
        <v>11.2</v>
      </c>
      <c r="L1285" s="5" t="str">
        <f>TEXT(Store_Record[[#This Row],[Date]],"dddd")</f>
        <v>Monday</v>
      </c>
      <c r="M1285" s="5" t="str">
        <f>TEXT(Store_Record[[#This Row],[Date]],"mmmm")</f>
        <v>March</v>
      </c>
      <c r="N1285" s="5">
        <f>YEAR(Store_Record[[#This Row],[Date]])</f>
        <v>2025</v>
      </c>
      <c r="O1285"/>
    </row>
    <row r="1286" spans="1:15" x14ac:dyDescent="0.35">
      <c r="A1286" t="s">
        <v>2050</v>
      </c>
      <c r="B1286" s="2">
        <v>45747</v>
      </c>
      <c r="C1286" t="s">
        <v>36</v>
      </c>
      <c r="D1286" t="s">
        <v>47</v>
      </c>
      <c r="E1286" t="s">
        <v>30</v>
      </c>
      <c r="F1286" t="s">
        <v>31</v>
      </c>
      <c r="G1286">
        <v>4</v>
      </c>
      <c r="H1286">
        <v>2.8</v>
      </c>
      <c r="I1286" t="s">
        <v>21</v>
      </c>
      <c r="J1286" t="s">
        <v>927</v>
      </c>
      <c r="K1286" s="12">
        <f>Store_Record[[#This Row],[Qty]]*Store_Record[[#This Row],[UnitPriceGBP]]</f>
        <v>11.2</v>
      </c>
      <c r="L1286" s="5" t="str">
        <f>TEXT(Store_Record[[#This Row],[Date]],"dddd")</f>
        <v>Monday</v>
      </c>
      <c r="M1286" s="5" t="str">
        <f>TEXT(Store_Record[[#This Row],[Date]],"mmmm")</f>
        <v>March</v>
      </c>
      <c r="N1286" s="5">
        <f>YEAR(Store_Record[[#This Row],[Date]])</f>
        <v>2025</v>
      </c>
      <c r="O1286"/>
    </row>
    <row r="1287" spans="1:15" x14ac:dyDescent="0.35">
      <c r="A1287" t="s">
        <v>2033</v>
      </c>
      <c r="B1287" s="2">
        <v>45747</v>
      </c>
      <c r="C1287" t="s">
        <v>20</v>
      </c>
      <c r="D1287" t="s">
        <v>29</v>
      </c>
      <c r="E1287" t="s">
        <v>26</v>
      </c>
      <c r="F1287" t="s">
        <v>13</v>
      </c>
      <c r="G1287">
        <v>3</v>
      </c>
      <c r="H1287">
        <v>3.5</v>
      </c>
      <c r="I1287" t="s">
        <v>21</v>
      </c>
      <c r="J1287" t="s">
        <v>374</v>
      </c>
      <c r="K1287" s="12">
        <f>Store_Record[[#This Row],[Qty]]*Store_Record[[#This Row],[UnitPriceGBP]]</f>
        <v>10.5</v>
      </c>
      <c r="L1287" s="5" t="str">
        <f>TEXT(Store_Record[[#This Row],[Date]],"dddd")</f>
        <v>Monday</v>
      </c>
      <c r="M1287" s="5" t="str">
        <f>TEXT(Store_Record[[#This Row],[Date]],"mmmm")</f>
        <v>March</v>
      </c>
      <c r="N1287" s="5">
        <f>YEAR(Store_Record[[#This Row],[Date]])</f>
        <v>2025</v>
      </c>
      <c r="O1287"/>
    </row>
    <row r="1288" spans="1:15" x14ac:dyDescent="0.35">
      <c r="A1288" t="s">
        <v>2034</v>
      </c>
      <c r="B1288" s="2">
        <v>45747</v>
      </c>
      <c r="C1288" t="s">
        <v>36</v>
      </c>
      <c r="D1288" t="s">
        <v>29</v>
      </c>
      <c r="E1288" t="s">
        <v>34</v>
      </c>
      <c r="F1288" t="s">
        <v>31</v>
      </c>
      <c r="G1288">
        <v>4</v>
      </c>
      <c r="H1288">
        <v>2.2000000000000002</v>
      </c>
      <c r="I1288" t="s">
        <v>39</v>
      </c>
      <c r="J1288" t="s">
        <v>195</v>
      </c>
      <c r="K1288" s="12">
        <f>Store_Record[[#This Row],[Qty]]*Store_Record[[#This Row],[UnitPriceGBP]]</f>
        <v>8.8000000000000007</v>
      </c>
      <c r="L1288" s="5" t="str">
        <f>TEXT(Store_Record[[#This Row],[Date]],"dddd")</f>
        <v>Monday</v>
      </c>
      <c r="M1288" s="5" t="str">
        <f>TEXT(Store_Record[[#This Row],[Date]],"mmmm")</f>
        <v>March</v>
      </c>
      <c r="N1288" s="5">
        <f>YEAR(Store_Record[[#This Row],[Date]])</f>
        <v>2025</v>
      </c>
      <c r="O1288"/>
    </row>
    <row r="1289" spans="1:15" x14ac:dyDescent="0.35">
      <c r="A1289" t="s">
        <v>2026</v>
      </c>
      <c r="B1289" s="2">
        <v>45747</v>
      </c>
      <c r="C1289" t="s">
        <v>10</v>
      </c>
      <c r="D1289" t="s">
        <v>38</v>
      </c>
      <c r="E1289" t="s">
        <v>12</v>
      </c>
      <c r="F1289" t="s">
        <v>13</v>
      </c>
      <c r="G1289">
        <v>3</v>
      </c>
      <c r="H1289">
        <v>2.5</v>
      </c>
      <c r="I1289" t="s">
        <v>21</v>
      </c>
      <c r="J1289" t="s">
        <v>1943</v>
      </c>
      <c r="K1289" s="12">
        <f>Store_Record[[#This Row],[Qty]]*Store_Record[[#This Row],[UnitPriceGBP]]</f>
        <v>7.5</v>
      </c>
      <c r="L1289" s="5" t="str">
        <f>TEXT(Store_Record[[#This Row],[Date]],"dddd")</f>
        <v>Monday</v>
      </c>
      <c r="M1289" s="5" t="str">
        <f>TEXT(Store_Record[[#This Row],[Date]],"mmmm")</f>
        <v>March</v>
      </c>
      <c r="N1289" s="5">
        <f>YEAR(Store_Record[[#This Row],[Date]])</f>
        <v>2025</v>
      </c>
      <c r="O1289"/>
    </row>
    <row r="1290" spans="1:15" x14ac:dyDescent="0.35">
      <c r="A1290" t="s">
        <v>2035</v>
      </c>
      <c r="B1290" s="2">
        <v>45747</v>
      </c>
      <c r="C1290" t="s">
        <v>10</v>
      </c>
      <c r="D1290" t="s">
        <v>47</v>
      </c>
      <c r="E1290" t="s">
        <v>26</v>
      </c>
      <c r="F1290" t="s">
        <v>13</v>
      </c>
      <c r="G1290">
        <v>2</v>
      </c>
      <c r="H1290">
        <v>3.5</v>
      </c>
      <c r="I1290" t="s">
        <v>39</v>
      </c>
      <c r="J1290" t="s">
        <v>2036</v>
      </c>
      <c r="K1290" s="12">
        <f>Store_Record[[#This Row],[Qty]]*Store_Record[[#This Row],[UnitPriceGBP]]</f>
        <v>7</v>
      </c>
      <c r="L1290" s="5" t="str">
        <f>TEXT(Store_Record[[#This Row],[Date]],"dddd")</f>
        <v>Monday</v>
      </c>
      <c r="M1290" s="5" t="str">
        <f>TEXT(Store_Record[[#This Row],[Date]],"mmmm")</f>
        <v>March</v>
      </c>
      <c r="N1290" s="5">
        <f>YEAR(Store_Record[[#This Row],[Date]])</f>
        <v>2025</v>
      </c>
      <c r="O1290"/>
    </row>
    <row r="1291" spans="1:15" x14ac:dyDescent="0.35">
      <c r="A1291" t="s">
        <v>2044</v>
      </c>
      <c r="B1291" s="2">
        <v>45747</v>
      </c>
      <c r="C1291" t="s">
        <v>20</v>
      </c>
      <c r="D1291" t="s">
        <v>47</v>
      </c>
      <c r="E1291" t="s">
        <v>26</v>
      </c>
      <c r="F1291" t="s">
        <v>13</v>
      </c>
      <c r="G1291">
        <v>2</v>
      </c>
      <c r="H1291">
        <v>3.5</v>
      </c>
      <c r="I1291" t="s">
        <v>14</v>
      </c>
      <c r="J1291" t="s">
        <v>628</v>
      </c>
      <c r="K1291" s="12">
        <f>Store_Record[[#This Row],[Qty]]*Store_Record[[#This Row],[UnitPriceGBP]]</f>
        <v>7</v>
      </c>
      <c r="L1291" s="5" t="str">
        <f>TEXT(Store_Record[[#This Row],[Date]],"dddd")</f>
        <v>Monday</v>
      </c>
      <c r="M1291" s="5" t="str">
        <f>TEXT(Store_Record[[#This Row],[Date]],"mmmm")</f>
        <v>March</v>
      </c>
      <c r="N1291" s="5">
        <f>YEAR(Store_Record[[#This Row],[Date]])</f>
        <v>2025</v>
      </c>
      <c r="O1291"/>
    </row>
    <row r="1292" spans="1:15" x14ac:dyDescent="0.35">
      <c r="A1292" t="s">
        <v>2049</v>
      </c>
      <c r="B1292" s="2">
        <v>45747</v>
      </c>
      <c r="C1292" t="s">
        <v>36</v>
      </c>
      <c r="D1292" t="s">
        <v>29</v>
      </c>
      <c r="E1292" t="s">
        <v>30</v>
      </c>
      <c r="F1292" t="s">
        <v>31</v>
      </c>
      <c r="G1292">
        <v>2</v>
      </c>
      <c r="H1292">
        <v>2.8</v>
      </c>
      <c r="I1292" t="s">
        <v>39</v>
      </c>
      <c r="J1292" t="s">
        <v>1501</v>
      </c>
      <c r="K1292" s="12">
        <f>Store_Record[[#This Row],[Qty]]*Store_Record[[#This Row],[UnitPriceGBP]]</f>
        <v>5.6</v>
      </c>
      <c r="L1292" s="5" t="str">
        <f>TEXT(Store_Record[[#This Row],[Date]],"dddd")</f>
        <v>Monday</v>
      </c>
      <c r="M1292" s="5" t="str">
        <f>TEXT(Store_Record[[#This Row],[Date]],"mmmm")</f>
        <v>March</v>
      </c>
      <c r="N1292" s="5">
        <f>YEAR(Store_Record[[#This Row],[Date]])</f>
        <v>2025</v>
      </c>
      <c r="O1292"/>
    </row>
    <row r="1293" spans="1:15" x14ac:dyDescent="0.35">
      <c r="A1293" t="s">
        <v>2047</v>
      </c>
      <c r="B1293" s="2">
        <v>45747</v>
      </c>
      <c r="C1293" t="s">
        <v>36</v>
      </c>
      <c r="D1293" t="s">
        <v>11</v>
      </c>
      <c r="E1293" t="s">
        <v>12</v>
      </c>
      <c r="F1293" t="s">
        <v>13</v>
      </c>
      <c r="G1293">
        <v>2</v>
      </c>
      <c r="H1293">
        <v>2.5</v>
      </c>
      <c r="I1293" t="s">
        <v>39</v>
      </c>
      <c r="J1293" t="s">
        <v>2048</v>
      </c>
      <c r="K1293" s="12">
        <f>Store_Record[[#This Row],[Qty]]*Store_Record[[#This Row],[UnitPriceGBP]]</f>
        <v>5</v>
      </c>
      <c r="L1293" s="5" t="str">
        <f>TEXT(Store_Record[[#This Row],[Date]],"dddd")</f>
        <v>Monday</v>
      </c>
      <c r="M1293" s="5" t="str">
        <f>TEXT(Store_Record[[#This Row],[Date]],"mmmm")</f>
        <v>March</v>
      </c>
      <c r="N1293" s="5">
        <f>YEAR(Store_Record[[#This Row],[Date]])</f>
        <v>2025</v>
      </c>
      <c r="O1293"/>
    </row>
    <row r="1294" spans="1:15" x14ac:dyDescent="0.35">
      <c r="A1294" t="s">
        <v>2037</v>
      </c>
      <c r="B1294" s="2">
        <v>45747</v>
      </c>
      <c r="C1294" t="s">
        <v>36</v>
      </c>
      <c r="D1294" t="s">
        <v>25</v>
      </c>
      <c r="E1294" t="s">
        <v>34</v>
      </c>
      <c r="F1294" t="s">
        <v>31</v>
      </c>
      <c r="G1294">
        <v>2</v>
      </c>
      <c r="H1294">
        <v>2.2000000000000002</v>
      </c>
      <c r="I1294" t="s">
        <v>39</v>
      </c>
      <c r="J1294" t="s">
        <v>481</v>
      </c>
      <c r="K1294" s="12">
        <f>Store_Record[[#This Row],[Qty]]*Store_Record[[#This Row],[UnitPriceGBP]]</f>
        <v>4.4000000000000004</v>
      </c>
      <c r="L1294" s="5" t="str">
        <f>TEXT(Store_Record[[#This Row],[Date]],"dddd")</f>
        <v>Monday</v>
      </c>
      <c r="M1294" s="5" t="str">
        <f>TEXT(Store_Record[[#This Row],[Date]],"mmmm")</f>
        <v>March</v>
      </c>
      <c r="N1294" s="5">
        <f>YEAR(Store_Record[[#This Row],[Date]])</f>
        <v>2025</v>
      </c>
      <c r="O1294"/>
    </row>
    <row r="1295" spans="1:15" x14ac:dyDescent="0.35">
      <c r="A1295" t="s">
        <v>2040</v>
      </c>
      <c r="B1295" s="2">
        <v>45747</v>
      </c>
      <c r="C1295" t="s">
        <v>10</v>
      </c>
      <c r="D1295" t="s">
        <v>47</v>
      </c>
      <c r="E1295" t="s">
        <v>42</v>
      </c>
      <c r="F1295" t="s">
        <v>13</v>
      </c>
      <c r="G1295">
        <v>1</v>
      </c>
      <c r="H1295">
        <v>3.8</v>
      </c>
      <c r="I1295" t="s">
        <v>39</v>
      </c>
      <c r="J1295" t="s">
        <v>2041</v>
      </c>
      <c r="K1295" s="12">
        <f>Store_Record[[#This Row],[Qty]]*Store_Record[[#This Row],[UnitPriceGBP]]</f>
        <v>3.8</v>
      </c>
      <c r="L1295" s="5" t="str">
        <f>TEXT(Store_Record[[#This Row],[Date]],"dddd")</f>
        <v>Monday</v>
      </c>
      <c r="M1295" s="5" t="str">
        <f>TEXT(Store_Record[[#This Row],[Date]],"mmmm")</f>
        <v>March</v>
      </c>
      <c r="N1295" s="5">
        <f>YEAR(Store_Record[[#This Row],[Date]])</f>
        <v>2025</v>
      </c>
      <c r="O1295"/>
    </row>
    <row r="1296" spans="1:15" x14ac:dyDescent="0.35">
      <c r="A1296" t="s">
        <v>2031</v>
      </c>
      <c r="B1296" s="2">
        <v>45747</v>
      </c>
      <c r="C1296" t="s">
        <v>24</v>
      </c>
      <c r="D1296" t="s">
        <v>38</v>
      </c>
      <c r="E1296" t="s">
        <v>12</v>
      </c>
      <c r="F1296" t="s">
        <v>13</v>
      </c>
      <c r="G1296">
        <v>1</v>
      </c>
      <c r="H1296">
        <v>2.5</v>
      </c>
      <c r="I1296" t="s">
        <v>39</v>
      </c>
      <c r="J1296" t="s">
        <v>2032</v>
      </c>
      <c r="K1296" s="12">
        <f>Store_Record[[#This Row],[Qty]]*Store_Record[[#This Row],[UnitPriceGBP]]</f>
        <v>2.5</v>
      </c>
      <c r="L1296" s="5" t="str">
        <f>TEXT(Store_Record[[#This Row],[Date]],"dddd")</f>
        <v>Monday</v>
      </c>
      <c r="M1296" s="5" t="str">
        <f>TEXT(Store_Record[[#This Row],[Date]],"mmmm")</f>
        <v>March</v>
      </c>
      <c r="N1296" s="5">
        <f>YEAR(Store_Record[[#This Row],[Date]])</f>
        <v>2025</v>
      </c>
      <c r="O1296"/>
    </row>
    <row r="1297" spans="1:15" x14ac:dyDescent="0.35">
      <c r="A1297" t="s">
        <v>2042</v>
      </c>
      <c r="B1297" s="2">
        <v>45747</v>
      </c>
      <c r="C1297" t="s">
        <v>10</v>
      </c>
      <c r="D1297" t="s">
        <v>25</v>
      </c>
      <c r="E1297" t="s">
        <v>12</v>
      </c>
      <c r="F1297" t="s">
        <v>13</v>
      </c>
      <c r="G1297">
        <v>1</v>
      </c>
      <c r="H1297">
        <v>2.5</v>
      </c>
      <c r="I1297" t="s">
        <v>21</v>
      </c>
      <c r="J1297" t="s">
        <v>1445</v>
      </c>
      <c r="K1297" s="12">
        <f>Store_Record[[#This Row],[Qty]]*Store_Record[[#This Row],[UnitPriceGBP]]</f>
        <v>2.5</v>
      </c>
      <c r="L1297" s="5" t="str">
        <f>TEXT(Store_Record[[#This Row],[Date]],"dddd")</f>
        <v>Monday</v>
      </c>
      <c r="M1297" s="5" t="str">
        <f>TEXT(Store_Record[[#This Row],[Date]],"mmmm")</f>
        <v>March</v>
      </c>
      <c r="N1297" s="5">
        <f>YEAR(Store_Record[[#This Row],[Date]])</f>
        <v>2025</v>
      </c>
      <c r="O1297"/>
    </row>
    <row r="1298" spans="1:15" x14ac:dyDescent="0.35">
      <c r="A1298" t="s">
        <v>2043</v>
      </c>
      <c r="B1298" s="2">
        <v>45747</v>
      </c>
      <c r="C1298" t="s">
        <v>36</v>
      </c>
      <c r="D1298" t="s">
        <v>11</v>
      </c>
      <c r="E1298" t="s">
        <v>12</v>
      </c>
      <c r="F1298" t="s">
        <v>13</v>
      </c>
      <c r="G1298">
        <v>1</v>
      </c>
      <c r="H1298">
        <v>2.5</v>
      </c>
      <c r="I1298" t="s">
        <v>21</v>
      </c>
      <c r="J1298" t="s">
        <v>1165</v>
      </c>
      <c r="K1298" s="12">
        <f>Store_Record[[#This Row],[Qty]]*Store_Record[[#This Row],[UnitPriceGBP]]</f>
        <v>2.5</v>
      </c>
      <c r="L1298" s="5" t="str">
        <f>TEXT(Store_Record[[#This Row],[Date]],"dddd")</f>
        <v>Monday</v>
      </c>
      <c r="M1298" s="5" t="str">
        <f>TEXT(Store_Record[[#This Row],[Date]],"mmmm")</f>
        <v>March</v>
      </c>
      <c r="N1298" s="5">
        <f>YEAR(Store_Record[[#This Row],[Date]])</f>
        <v>2025</v>
      </c>
      <c r="O1298"/>
    </row>
    <row r="1299" spans="1:15" x14ac:dyDescent="0.35">
      <c r="A1299" t="s">
        <v>2058</v>
      </c>
      <c r="B1299" s="2">
        <v>45748</v>
      </c>
      <c r="C1299" t="s">
        <v>24</v>
      </c>
      <c r="D1299" t="s">
        <v>38</v>
      </c>
      <c r="E1299" t="s">
        <v>42</v>
      </c>
      <c r="F1299" t="s">
        <v>13</v>
      </c>
      <c r="G1299">
        <v>5</v>
      </c>
      <c r="H1299">
        <v>3.8</v>
      </c>
      <c r="I1299" t="s">
        <v>14</v>
      </c>
      <c r="J1299" t="s">
        <v>2046</v>
      </c>
      <c r="K1299" s="12">
        <f>Store_Record[[#This Row],[Qty]]*Store_Record[[#This Row],[UnitPriceGBP]]</f>
        <v>19</v>
      </c>
      <c r="L1299" s="5" t="str">
        <f>TEXT(Store_Record[[#This Row],[Date]],"dddd")</f>
        <v>Tuesday</v>
      </c>
      <c r="M1299" s="5" t="str">
        <f>TEXT(Store_Record[[#This Row],[Date]],"mmmm")</f>
        <v>April</v>
      </c>
      <c r="N1299" s="5">
        <f>YEAR(Store_Record[[#This Row],[Date]])</f>
        <v>2025</v>
      </c>
      <c r="O1299"/>
    </row>
    <row r="1300" spans="1:15" x14ac:dyDescent="0.35">
      <c r="A1300" t="s">
        <v>2057</v>
      </c>
      <c r="B1300" s="2">
        <v>45748</v>
      </c>
      <c r="C1300" t="s">
        <v>20</v>
      </c>
      <c r="D1300" t="s">
        <v>38</v>
      </c>
      <c r="E1300" t="s">
        <v>26</v>
      </c>
      <c r="F1300" t="s">
        <v>13</v>
      </c>
      <c r="G1300">
        <v>4</v>
      </c>
      <c r="H1300">
        <v>3.5</v>
      </c>
      <c r="I1300" t="s">
        <v>14</v>
      </c>
      <c r="J1300" t="s">
        <v>750</v>
      </c>
      <c r="K1300" s="12">
        <f>Store_Record[[#This Row],[Qty]]*Store_Record[[#This Row],[UnitPriceGBP]]</f>
        <v>14</v>
      </c>
      <c r="L1300" s="5" t="str">
        <f>TEXT(Store_Record[[#This Row],[Date]],"dddd")</f>
        <v>Tuesday</v>
      </c>
      <c r="M1300" s="5" t="str">
        <f>TEXT(Store_Record[[#This Row],[Date]],"mmmm")</f>
        <v>April</v>
      </c>
      <c r="N1300" s="5">
        <f>YEAR(Store_Record[[#This Row],[Date]])</f>
        <v>2025</v>
      </c>
      <c r="O1300"/>
    </row>
    <row r="1301" spans="1:15" x14ac:dyDescent="0.35">
      <c r="A1301" t="s">
        <v>2068</v>
      </c>
      <c r="B1301" s="2">
        <v>45748</v>
      </c>
      <c r="C1301" t="s">
        <v>10</v>
      </c>
      <c r="D1301" t="s">
        <v>38</v>
      </c>
      <c r="E1301" t="s">
        <v>30</v>
      </c>
      <c r="F1301" t="s">
        <v>31</v>
      </c>
      <c r="G1301">
        <v>5</v>
      </c>
      <c r="H1301">
        <v>2.8</v>
      </c>
      <c r="I1301" t="s">
        <v>21</v>
      </c>
      <c r="J1301" t="s">
        <v>1099</v>
      </c>
      <c r="K1301" s="12">
        <f>Store_Record[[#This Row],[Qty]]*Store_Record[[#This Row],[UnitPriceGBP]]</f>
        <v>14</v>
      </c>
      <c r="L1301" s="5" t="str">
        <f>TEXT(Store_Record[[#This Row],[Date]],"dddd")</f>
        <v>Tuesday</v>
      </c>
      <c r="M1301" s="5" t="str">
        <f>TEXT(Store_Record[[#This Row],[Date]],"mmmm")</f>
        <v>April</v>
      </c>
      <c r="N1301" s="5">
        <f>YEAR(Store_Record[[#This Row],[Date]])</f>
        <v>2025</v>
      </c>
      <c r="O1301"/>
    </row>
    <row r="1302" spans="1:15" x14ac:dyDescent="0.35">
      <c r="A1302" t="s">
        <v>2073</v>
      </c>
      <c r="B1302" s="2">
        <v>45748</v>
      </c>
      <c r="C1302" t="s">
        <v>10</v>
      </c>
      <c r="D1302" t="s">
        <v>25</v>
      </c>
      <c r="E1302" t="s">
        <v>30</v>
      </c>
      <c r="F1302" t="s">
        <v>31</v>
      </c>
      <c r="G1302">
        <v>5</v>
      </c>
      <c r="H1302">
        <v>2.8</v>
      </c>
      <c r="I1302" t="s">
        <v>14</v>
      </c>
      <c r="J1302" t="s">
        <v>1141</v>
      </c>
      <c r="K1302" s="12">
        <f>Store_Record[[#This Row],[Qty]]*Store_Record[[#This Row],[UnitPriceGBP]]</f>
        <v>14</v>
      </c>
      <c r="L1302" s="5" t="str">
        <f>TEXT(Store_Record[[#This Row],[Date]],"dddd")</f>
        <v>Tuesday</v>
      </c>
      <c r="M1302" s="5" t="str">
        <f>TEXT(Store_Record[[#This Row],[Date]],"mmmm")</f>
        <v>April</v>
      </c>
      <c r="N1302" s="5">
        <f>YEAR(Store_Record[[#This Row],[Date]])</f>
        <v>2025</v>
      </c>
      <c r="O1302"/>
    </row>
    <row r="1303" spans="1:15" x14ac:dyDescent="0.35">
      <c r="A1303" t="s">
        <v>2070</v>
      </c>
      <c r="B1303" s="2">
        <v>45748</v>
      </c>
      <c r="C1303" t="s">
        <v>36</v>
      </c>
      <c r="D1303" t="s">
        <v>47</v>
      </c>
      <c r="E1303" t="s">
        <v>34</v>
      </c>
      <c r="F1303" t="s">
        <v>31</v>
      </c>
      <c r="G1303">
        <v>5</v>
      </c>
      <c r="H1303">
        <v>2.2000000000000002</v>
      </c>
      <c r="I1303" t="s">
        <v>39</v>
      </c>
      <c r="J1303" t="s">
        <v>2071</v>
      </c>
      <c r="K1303" s="12">
        <f>Store_Record[[#This Row],[Qty]]*Store_Record[[#This Row],[UnitPriceGBP]]</f>
        <v>11</v>
      </c>
      <c r="L1303" s="5" t="str">
        <f>TEXT(Store_Record[[#This Row],[Date]],"dddd")</f>
        <v>Tuesday</v>
      </c>
      <c r="M1303" s="5" t="str">
        <f>TEXT(Store_Record[[#This Row],[Date]],"mmmm")</f>
        <v>April</v>
      </c>
      <c r="N1303" s="5">
        <f>YEAR(Store_Record[[#This Row],[Date]])</f>
        <v>2025</v>
      </c>
      <c r="O1303"/>
    </row>
    <row r="1304" spans="1:15" x14ac:dyDescent="0.35">
      <c r="A1304" t="s">
        <v>2074</v>
      </c>
      <c r="B1304" s="2">
        <v>45748</v>
      </c>
      <c r="C1304" t="s">
        <v>24</v>
      </c>
      <c r="D1304" t="s">
        <v>25</v>
      </c>
      <c r="E1304" t="s">
        <v>34</v>
      </c>
      <c r="F1304" t="s">
        <v>31</v>
      </c>
      <c r="G1304">
        <v>5</v>
      </c>
      <c r="H1304">
        <v>2.2000000000000002</v>
      </c>
      <c r="I1304" t="s">
        <v>21</v>
      </c>
      <c r="J1304" t="s">
        <v>2075</v>
      </c>
      <c r="K1304" s="12">
        <f>Store_Record[[#This Row],[Qty]]*Store_Record[[#This Row],[UnitPriceGBP]]</f>
        <v>11</v>
      </c>
      <c r="L1304" s="5" t="str">
        <f>TEXT(Store_Record[[#This Row],[Date]],"dddd")</f>
        <v>Tuesday</v>
      </c>
      <c r="M1304" s="5" t="str">
        <f>TEXT(Store_Record[[#This Row],[Date]],"mmmm")</f>
        <v>April</v>
      </c>
      <c r="N1304" s="5">
        <f>YEAR(Store_Record[[#This Row],[Date]])</f>
        <v>2025</v>
      </c>
      <c r="O1304"/>
    </row>
    <row r="1305" spans="1:15" x14ac:dyDescent="0.35">
      <c r="A1305" t="s">
        <v>2060</v>
      </c>
      <c r="B1305" s="2">
        <v>45748</v>
      </c>
      <c r="C1305" t="s">
        <v>36</v>
      </c>
      <c r="D1305" t="s">
        <v>11</v>
      </c>
      <c r="E1305" t="s">
        <v>12</v>
      </c>
      <c r="F1305" t="s">
        <v>13</v>
      </c>
      <c r="G1305">
        <v>4</v>
      </c>
      <c r="H1305">
        <v>2.5</v>
      </c>
      <c r="I1305" t="s">
        <v>39</v>
      </c>
      <c r="J1305" t="s">
        <v>284</v>
      </c>
      <c r="K1305" s="12">
        <f>Store_Record[[#This Row],[Qty]]*Store_Record[[#This Row],[UnitPriceGBP]]</f>
        <v>10</v>
      </c>
      <c r="L1305" s="5" t="str">
        <f>TEXT(Store_Record[[#This Row],[Date]],"dddd")</f>
        <v>Tuesday</v>
      </c>
      <c r="M1305" s="5" t="str">
        <f>TEXT(Store_Record[[#This Row],[Date]],"mmmm")</f>
        <v>April</v>
      </c>
      <c r="N1305" s="5">
        <f>YEAR(Store_Record[[#This Row],[Date]])</f>
        <v>2025</v>
      </c>
      <c r="O1305"/>
    </row>
    <row r="1306" spans="1:15" x14ac:dyDescent="0.35">
      <c r="A1306" t="s">
        <v>2051</v>
      </c>
      <c r="B1306" s="2">
        <v>45748</v>
      </c>
      <c r="C1306" t="s">
        <v>36</v>
      </c>
      <c r="D1306" t="s">
        <v>47</v>
      </c>
      <c r="E1306" t="s">
        <v>34</v>
      </c>
      <c r="F1306" t="s">
        <v>31</v>
      </c>
      <c r="G1306">
        <v>4</v>
      </c>
      <c r="H1306">
        <v>2.2000000000000002</v>
      </c>
      <c r="I1306" t="s">
        <v>39</v>
      </c>
      <c r="J1306" t="s">
        <v>2052</v>
      </c>
      <c r="K1306" s="12">
        <f>Store_Record[[#This Row],[Qty]]*Store_Record[[#This Row],[UnitPriceGBP]]</f>
        <v>8.8000000000000007</v>
      </c>
      <c r="L1306" s="5" t="str">
        <f>TEXT(Store_Record[[#This Row],[Date]],"dddd")</f>
        <v>Tuesday</v>
      </c>
      <c r="M1306" s="5" t="str">
        <f>TEXT(Store_Record[[#This Row],[Date]],"mmmm")</f>
        <v>April</v>
      </c>
      <c r="N1306" s="5">
        <f>YEAR(Store_Record[[#This Row],[Date]])</f>
        <v>2025</v>
      </c>
      <c r="O1306"/>
    </row>
    <row r="1307" spans="1:15" x14ac:dyDescent="0.35">
      <c r="A1307" t="s">
        <v>2053</v>
      </c>
      <c r="B1307" s="2">
        <v>45748</v>
      </c>
      <c r="C1307" t="s">
        <v>36</v>
      </c>
      <c r="D1307" t="s">
        <v>25</v>
      </c>
      <c r="E1307" t="s">
        <v>30</v>
      </c>
      <c r="F1307" t="s">
        <v>31</v>
      </c>
      <c r="G1307">
        <v>3</v>
      </c>
      <c r="H1307">
        <v>2.8</v>
      </c>
      <c r="I1307" t="s">
        <v>21</v>
      </c>
      <c r="J1307" t="s">
        <v>852</v>
      </c>
      <c r="K1307" s="12">
        <f>Store_Record[[#This Row],[Qty]]*Store_Record[[#This Row],[UnitPriceGBP]]</f>
        <v>8.3999999999999986</v>
      </c>
      <c r="L1307" s="5" t="str">
        <f>TEXT(Store_Record[[#This Row],[Date]],"dddd")</f>
        <v>Tuesday</v>
      </c>
      <c r="M1307" s="5" t="str">
        <f>TEXT(Store_Record[[#This Row],[Date]],"mmmm")</f>
        <v>April</v>
      </c>
      <c r="N1307" s="5">
        <f>YEAR(Store_Record[[#This Row],[Date]])</f>
        <v>2025</v>
      </c>
      <c r="O1307"/>
    </row>
    <row r="1308" spans="1:15" x14ac:dyDescent="0.35">
      <c r="A1308" t="s">
        <v>2054</v>
      </c>
      <c r="B1308" s="2">
        <v>45748</v>
      </c>
      <c r="C1308" t="s">
        <v>10</v>
      </c>
      <c r="D1308" t="s">
        <v>11</v>
      </c>
      <c r="E1308" t="s">
        <v>30</v>
      </c>
      <c r="F1308" t="s">
        <v>31</v>
      </c>
      <c r="G1308">
        <v>3</v>
      </c>
      <c r="H1308">
        <v>2.8</v>
      </c>
      <c r="I1308" t="s">
        <v>14</v>
      </c>
      <c r="J1308" t="s">
        <v>2055</v>
      </c>
      <c r="K1308" s="12">
        <f>Store_Record[[#This Row],[Qty]]*Store_Record[[#This Row],[UnitPriceGBP]]</f>
        <v>8.3999999999999986</v>
      </c>
      <c r="L1308" s="5" t="str">
        <f>TEXT(Store_Record[[#This Row],[Date]],"dddd")</f>
        <v>Tuesday</v>
      </c>
      <c r="M1308" s="5" t="str">
        <f>TEXT(Store_Record[[#This Row],[Date]],"mmmm")</f>
        <v>April</v>
      </c>
      <c r="N1308" s="5">
        <f>YEAR(Store_Record[[#This Row],[Date]])</f>
        <v>2025</v>
      </c>
      <c r="O1308"/>
    </row>
    <row r="1309" spans="1:15" x14ac:dyDescent="0.35">
      <c r="A1309" t="s">
        <v>2056</v>
      </c>
      <c r="B1309" s="2">
        <v>45748</v>
      </c>
      <c r="C1309" t="s">
        <v>20</v>
      </c>
      <c r="D1309" t="s">
        <v>25</v>
      </c>
      <c r="E1309" t="s">
        <v>30</v>
      </c>
      <c r="F1309" t="s">
        <v>31</v>
      </c>
      <c r="G1309">
        <v>3</v>
      </c>
      <c r="H1309">
        <v>2.8</v>
      </c>
      <c r="I1309" t="s">
        <v>14</v>
      </c>
      <c r="J1309" t="s">
        <v>384</v>
      </c>
      <c r="K1309" s="12">
        <f>Store_Record[[#This Row],[Qty]]*Store_Record[[#This Row],[UnitPriceGBP]]</f>
        <v>8.3999999999999986</v>
      </c>
      <c r="L1309" s="5" t="str">
        <f>TEXT(Store_Record[[#This Row],[Date]],"dddd")</f>
        <v>Tuesday</v>
      </c>
      <c r="M1309" s="5" t="str">
        <f>TEXT(Store_Record[[#This Row],[Date]],"mmmm")</f>
        <v>April</v>
      </c>
      <c r="N1309" s="5">
        <f>YEAR(Store_Record[[#This Row],[Date]])</f>
        <v>2025</v>
      </c>
      <c r="O1309"/>
    </row>
    <row r="1310" spans="1:15" x14ac:dyDescent="0.35">
      <c r="A1310" t="s">
        <v>2061</v>
      </c>
      <c r="B1310" s="2">
        <v>45748</v>
      </c>
      <c r="C1310" t="s">
        <v>24</v>
      </c>
      <c r="D1310" t="s">
        <v>47</v>
      </c>
      <c r="E1310" t="s">
        <v>42</v>
      </c>
      <c r="F1310" t="s">
        <v>13</v>
      </c>
      <c r="G1310">
        <v>2</v>
      </c>
      <c r="H1310">
        <v>3.8</v>
      </c>
      <c r="I1310" t="s">
        <v>21</v>
      </c>
      <c r="J1310" t="s">
        <v>2062</v>
      </c>
      <c r="K1310" s="12">
        <f>Store_Record[[#This Row],[Qty]]*Store_Record[[#This Row],[UnitPriceGBP]]</f>
        <v>7.6</v>
      </c>
      <c r="L1310" s="5" t="str">
        <f>TEXT(Store_Record[[#This Row],[Date]],"dddd")</f>
        <v>Tuesday</v>
      </c>
      <c r="M1310" s="5" t="str">
        <f>TEXT(Store_Record[[#This Row],[Date]],"mmmm")</f>
        <v>April</v>
      </c>
      <c r="N1310" s="5">
        <f>YEAR(Store_Record[[#This Row],[Date]])</f>
        <v>2025</v>
      </c>
      <c r="O1310"/>
    </row>
    <row r="1311" spans="1:15" x14ac:dyDescent="0.35">
      <c r="A1311" t="s">
        <v>2069</v>
      </c>
      <c r="B1311" s="2">
        <v>45748</v>
      </c>
      <c r="C1311" t="s">
        <v>10</v>
      </c>
      <c r="D1311" t="s">
        <v>47</v>
      </c>
      <c r="E1311" t="s">
        <v>42</v>
      </c>
      <c r="F1311" t="s">
        <v>13</v>
      </c>
      <c r="G1311">
        <v>2</v>
      </c>
      <c r="H1311">
        <v>3.8</v>
      </c>
      <c r="I1311" t="s">
        <v>39</v>
      </c>
      <c r="J1311" t="s">
        <v>703</v>
      </c>
      <c r="K1311" s="12">
        <f>Store_Record[[#This Row],[Qty]]*Store_Record[[#This Row],[UnitPriceGBP]]</f>
        <v>7.6</v>
      </c>
      <c r="L1311" s="5" t="str">
        <f>TEXT(Store_Record[[#This Row],[Date]],"dddd")</f>
        <v>Tuesday</v>
      </c>
      <c r="M1311" s="5" t="str">
        <f>TEXT(Store_Record[[#This Row],[Date]],"mmmm")</f>
        <v>April</v>
      </c>
      <c r="N1311" s="5">
        <f>YEAR(Store_Record[[#This Row],[Date]])</f>
        <v>2025</v>
      </c>
      <c r="O1311"/>
    </row>
    <row r="1312" spans="1:15" x14ac:dyDescent="0.35">
      <c r="A1312" t="s">
        <v>2059</v>
      </c>
      <c r="B1312" s="2">
        <v>45748</v>
      </c>
      <c r="C1312" t="s">
        <v>20</v>
      </c>
      <c r="D1312" t="s">
        <v>38</v>
      </c>
      <c r="E1312" t="s">
        <v>12</v>
      </c>
      <c r="F1312" t="s">
        <v>13</v>
      </c>
      <c r="G1312">
        <v>3</v>
      </c>
      <c r="H1312">
        <v>2.5</v>
      </c>
      <c r="I1312" t="s">
        <v>39</v>
      </c>
      <c r="J1312" t="s">
        <v>795</v>
      </c>
      <c r="K1312" s="12">
        <f>Store_Record[[#This Row],[Qty]]*Store_Record[[#This Row],[UnitPriceGBP]]</f>
        <v>7.5</v>
      </c>
      <c r="L1312" s="5" t="str">
        <f>TEXT(Store_Record[[#This Row],[Date]],"dddd")</f>
        <v>Tuesday</v>
      </c>
      <c r="M1312" s="5" t="str">
        <f>TEXT(Store_Record[[#This Row],[Date]],"mmmm")</f>
        <v>April</v>
      </c>
      <c r="N1312" s="5">
        <f>YEAR(Store_Record[[#This Row],[Date]])</f>
        <v>2025</v>
      </c>
      <c r="O1312"/>
    </row>
    <row r="1313" spans="1:15" x14ac:dyDescent="0.35">
      <c r="A1313" t="s">
        <v>2064</v>
      </c>
      <c r="B1313" s="2">
        <v>45748</v>
      </c>
      <c r="C1313" t="s">
        <v>20</v>
      </c>
      <c r="D1313" t="s">
        <v>29</v>
      </c>
      <c r="E1313" t="s">
        <v>12</v>
      </c>
      <c r="F1313" t="s">
        <v>13</v>
      </c>
      <c r="G1313">
        <v>2</v>
      </c>
      <c r="H1313">
        <v>2.5</v>
      </c>
      <c r="I1313" t="s">
        <v>14</v>
      </c>
      <c r="J1313" t="s">
        <v>2065</v>
      </c>
      <c r="K1313" s="12">
        <f>Store_Record[[#This Row],[Qty]]*Store_Record[[#This Row],[UnitPriceGBP]]</f>
        <v>5</v>
      </c>
      <c r="L1313" s="5" t="str">
        <f>TEXT(Store_Record[[#This Row],[Date]],"dddd")</f>
        <v>Tuesday</v>
      </c>
      <c r="M1313" s="5" t="str">
        <f>TEXT(Store_Record[[#This Row],[Date]],"mmmm")</f>
        <v>April</v>
      </c>
      <c r="N1313" s="5">
        <f>YEAR(Store_Record[[#This Row],[Date]])</f>
        <v>2025</v>
      </c>
      <c r="O1313"/>
    </row>
    <row r="1314" spans="1:15" x14ac:dyDescent="0.35">
      <c r="A1314" t="s">
        <v>2072</v>
      </c>
      <c r="B1314" s="2">
        <v>45748</v>
      </c>
      <c r="C1314" t="s">
        <v>36</v>
      </c>
      <c r="D1314" t="s">
        <v>29</v>
      </c>
      <c r="E1314" t="s">
        <v>26</v>
      </c>
      <c r="F1314" t="s">
        <v>13</v>
      </c>
      <c r="G1314">
        <v>1</v>
      </c>
      <c r="H1314">
        <v>3.5</v>
      </c>
      <c r="I1314" t="s">
        <v>39</v>
      </c>
      <c r="J1314" t="s">
        <v>1788</v>
      </c>
      <c r="K1314" s="12">
        <f>Store_Record[[#This Row],[Qty]]*Store_Record[[#This Row],[UnitPriceGBP]]</f>
        <v>3.5</v>
      </c>
      <c r="L1314" s="5" t="str">
        <f>TEXT(Store_Record[[#This Row],[Date]],"dddd")</f>
        <v>Tuesday</v>
      </c>
      <c r="M1314" s="5" t="str">
        <f>TEXT(Store_Record[[#This Row],[Date]],"mmmm")</f>
        <v>April</v>
      </c>
      <c r="N1314" s="5">
        <f>YEAR(Store_Record[[#This Row],[Date]])</f>
        <v>2025</v>
      </c>
      <c r="O1314"/>
    </row>
    <row r="1315" spans="1:15" x14ac:dyDescent="0.35">
      <c r="A1315" t="s">
        <v>2063</v>
      </c>
      <c r="B1315" s="2">
        <v>45748</v>
      </c>
      <c r="C1315" t="s">
        <v>10</v>
      </c>
      <c r="D1315" t="s">
        <v>47</v>
      </c>
      <c r="E1315" t="s">
        <v>30</v>
      </c>
      <c r="F1315" t="s">
        <v>31</v>
      </c>
      <c r="G1315">
        <v>1</v>
      </c>
      <c r="H1315">
        <v>2.8</v>
      </c>
      <c r="I1315" t="s">
        <v>39</v>
      </c>
      <c r="J1315" t="s">
        <v>369</v>
      </c>
      <c r="K1315" s="12">
        <f>Store_Record[[#This Row],[Qty]]*Store_Record[[#This Row],[UnitPriceGBP]]</f>
        <v>2.8</v>
      </c>
      <c r="L1315" s="5" t="str">
        <f>TEXT(Store_Record[[#This Row],[Date]],"dddd")</f>
        <v>Tuesday</v>
      </c>
      <c r="M1315" s="5" t="str">
        <f>TEXT(Store_Record[[#This Row],[Date]],"mmmm")</f>
        <v>April</v>
      </c>
      <c r="N1315" s="5">
        <f>YEAR(Store_Record[[#This Row],[Date]])</f>
        <v>2025</v>
      </c>
      <c r="O1315"/>
    </row>
    <row r="1316" spans="1:15" x14ac:dyDescent="0.35">
      <c r="A1316" t="s">
        <v>2066</v>
      </c>
      <c r="B1316" s="2">
        <v>45748</v>
      </c>
      <c r="C1316" t="s">
        <v>20</v>
      </c>
      <c r="D1316" t="s">
        <v>11</v>
      </c>
      <c r="E1316" t="s">
        <v>34</v>
      </c>
      <c r="F1316" t="s">
        <v>31</v>
      </c>
      <c r="G1316">
        <v>1</v>
      </c>
      <c r="H1316">
        <v>2.2000000000000002</v>
      </c>
      <c r="I1316" t="s">
        <v>21</v>
      </c>
      <c r="J1316" t="s">
        <v>1777</v>
      </c>
      <c r="K1316" s="12">
        <f>Store_Record[[#This Row],[Qty]]*Store_Record[[#This Row],[UnitPriceGBP]]</f>
        <v>2.2000000000000002</v>
      </c>
      <c r="L1316" s="5" t="str">
        <f>TEXT(Store_Record[[#This Row],[Date]],"dddd")</f>
        <v>Tuesday</v>
      </c>
      <c r="M1316" s="5" t="str">
        <f>TEXT(Store_Record[[#This Row],[Date]],"mmmm")</f>
        <v>April</v>
      </c>
      <c r="N1316" s="5">
        <f>YEAR(Store_Record[[#This Row],[Date]])</f>
        <v>2025</v>
      </c>
      <c r="O1316"/>
    </row>
    <row r="1317" spans="1:15" x14ac:dyDescent="0.35">
      <c r="A1317" t="s">
        <v>2067</v>
      </c>
      <c r="B1317" s="2">
        <v>45748</v>
      </c>
      <c r="C1317" t="s">
        <v>10</v>
      </c>
      <c r="D1317" t="s">
        <v>47</v>
      </c>
      <c r="E1317" t="s">
        <v>34</v>
      </c>
      <c r="F1317" t="s">
        <v>31</v>
      </c>
      <c r="G1317">
        <v>1</v>
      </c>
      <c r="H1317">
        <v>2.2000000000000002</v>
      </c>
      <c r="I1317" t="s">
        <v>14</v>
      </c>
      <c r="J1317" t="s">
        <v>1163</v>
      </c>
      <c r="K1317" s="12">
        <f>Store_Record[[#This Row],[Qty]]*Store_Record[[#This Row],[UnitPriceGBP]]</f>
        <v>2.2000000000000002</v>
      </c>
      <c r="L1317" s="5" t="str">
        <f>TEXT(Store_Record[[#This Row],[Date]],"dddd")</f>
        <v>Tuesday</v>
      </c>
      <c r="M1317" s="5" t="str">
        <f>TEXT(Store_Record[[#This Row],[Date]],"mmmm")</f>
        <v>April</v>
      </c>
      <c r="N1317" s="5">
        <f>YEAR(Store_Record[[#This Row],[Date]])</f>
        <v>2025</v>
      </c>
      <c r="O1317"/>
    </row>
    <row r="1318" spans="1:15" x14ac:dyDescent="0.35">
      <c r="A1318" t="s">
        <v>2080</v>
      </c>
      <c r="B1318" s="2">
        <v>45749</v>
      </c>
      <c r="C1318" t="s">
        <v>10</v>
      </c>
      <c r="D1318" t="s">
        <v>47</v>
      </c>
      <c r="E1318" t="s">
        <v>42</v>
      </c>
      <c r="F1318" t="s">
        <v>13</v>
      </c>
      <c r="G1318">
        <v>4</v>
      </c>
      <c r="H1318">
        <v>3.8</v>
      </c>
      <c r="I1318" t="s">
        <v>21</v>
      </c>
      <c r="J1318" t="s">
        <v>1168</v>
      </c>
      <c r="K1318" s="12">
        <f>Store_Record[[#This Row],[Qty]]*Store_Record[[#This Row],[UnitPriceGBP]]</f>
        <v>15.2</v>
      </c>
      <c r="L1318" s="5" t="str">
        <f>TEXT(Store_Record[[#This Row],[Date]],"dddd")</f>
        <v>Wednesday</v>
      </c>
      <c r="M1318" s="5" t="str">
        <f>TEXT(Store_Record[[#This Row],[Date]],"mmmm")</f>
        <v>April</v>
      </c>
      <c r="N1318" s="5">
        <f>YEAR(Store_Record[[#This Row],[Date]])</f>
        <v>2025</v>
      </c>
      <c r="O1318"/>
    </row>
    <row r="1319" spans="1:15" x14ac:dyDescent="0.35">
      <c r="A1319" t="s">
        <v>2082</v>
      </c>
      <c r="B1319" s="2">
        <v>45749</v>
      </c>
      <c r="C1319" t="s">
        <v>10</v>
      </c>
      <c r="D1319" t="s">
        <v>47</v>
      </c>
      <c r="E1319" t="s">
        <v>42</v>
      </c>
      <c r="F1319" t="s">
        <v>13</v>
      </c>
      <c r="G1319">
        <v>3</v>
      </c>
      <c r="H1319">
        <v>3.8</v>
      </c>
      <c r="I1319" t="s">
        <v>39</v>
      </c>
      <c r="J1319" t="s">
        <v>753</v>
      </c>
      <c r="K1319" s="12">
        <f>Store_Record[[#This Row],[Qty]]*Store_Record[[#This Row],[UnitPriceGBP]]</f>
        <v>11.399999999999999</v>
      </c>
      <c r="L1319" s="5" t="str">
        <f>TEXT(Store_Record[[#This Row],[Date]],"dddd")</f>
        <v>Wednesday</v>
      </c>
      <c r="M1319" s="5" t="str">
        <f>TEXT(Store_Record[[#This Row],[Date]],"mmmm")</f>
        <v>April</v>
      </c>
      <c r="N1319" s="5">
        <f>YEAR(Store_Record[[#This Row],[Date]])</f>
        <v>2025</v>
      </c>
      <c r="O1319"/>
    </row>
    <row r="1320" spans="1:15" x14ac:dyDescent="0.35">
      <c r="A1320" t="s">
        <v>2077</v>
      </c>
      <c r="B1320" s="2">
        <v>45749</v>
      </c>
      <c r="C1320" t="s">
        <v>24</v>
      </c>
      <c r="D1320" t="s">
        <v>25</v>
      </c>
      <c r="E1320" t="s">
        <v>26</v>
      </c>
      <c r="F1320" t="s">
        <v>13</v>
      </c>
      <c r="G1320">
        <v>3</v>
      </c>
      <c r="H1320">
        <v>3.5</v>
      </c>
      <c r="I1320" t="s">
        <v>14</v>
      </c>
      <c r="J1320" t="s">
        <v>82</v>
      </c>
      <c r="K1320" s="12">
        <f>Store_Record[[#This Row],[Qty]]*Store_Record[[#This Row],[UnitPriceGBP]]</f>
        <v>10.5</v>
      </c>
      <c r="L1320" s="5" t="str">
        <f>TEXT(Store_Record[[#This Row],[Date]],"dddd")</f>
        <v>Wednesday</v>
      </c>
      <c r="M1320" s="5" t="str">
        <f>TEXT(Store_Record[[#This Row],[Date]],"mmmm")</f>
        <v>April</v>
      </c>
      <c r="N1320" s="5">
        <f>YEAR(Store_Record[[#This Row],[Date]])</f>
        <v>2025</v>
      </c>
      <c r="O1320"/>
    </row>
    <row r="1321" spans="1:15" x14ac:dyDescent="0.35">
      <c r="A1321" t="s">
        <v>2085</v>
      </c>
      <c r="B1321" s="2">
        <v>45749</v>
      </c>
      <c r="C1321" t="s">
        <v>10</v>
      </c>
      <c r="D1321" t="s">
        <v>38</v>
      </c>
      <c r="E1321" t="s">
        <v>12</v>
      </c>
      <c r="F1321" t="s">
        <v>13</v>
      </c>
      <c r="G1321">
        <v>4</v>
      </c>
      <c r="H1321">
        <v>2.5</v>
      </c>
      <c r="I1321" t="s">
        <v>14</v>
      </c>
      <c r="J1321" t="s">
        <v>1490</v>
      </c>
      <c r="K1321" s="12">
        <f>Store_Record[[#This Row],[Qty]]*Store_Record[[#This Row],[UnitPriceGBP]]</f>
        <v>10</v>
      </c>
      <c r="L1321" s="5" t="str">
        <f>TEXT(Store_Record[[#This Row],[Date]],"dddd")</f>
        <v>Wednesday</v>
      </c>
      <c r="M1321" s="5" t="str">
        <f>TEXT(Store_Record[[#This Row],[Date]],"mmmm")</f>
        <v>April</v>
      </c>
      <c r="N1321" s="5">
        <f>YEAR(Store_Record[[#This Row],[Date]])</f>
        <v>2025</v>
      </c>
      <c r="O1321"/>
    </row>
    <row r="1322" spans="1:15" x14ac:dyDescent="0.35">
      <c r="A1322" t="s">
        <v>2081</v>
      </c>
      <c r="B1322" s="2">
        <v>45749</v>
      </c>
      <c r="C1322" t="s">
        <v>10</v>
      </c>
      <c r="D1322" t="s">
        <v>38</v>
      </c>
      <c r="E1322" t="s">
        <v>34</v>
      </c>
      <c r="F1322" t="s">
        <v>31</v>
      </c>
      <c r="G1322">
        <v>4</v>
      </c>
      <c r="H1322">
        <v>2.2000000000000002</v>
      </c>
      <c r="I1322" t="s">
        <v>21</v>
      </c>
      <c r="J1322" t="s">
        <v>1406</v>
      </c>
      <c r="K1322" s="12">
        <f>Store_Record[[#This Row],[Qty]]*Store_Record[[#This Row],[UnitPriceGBP]]</f>
        <v>8.8000000000000007</v>
      </c>
      <c r="L1322" s="5" t="str">
        <f>TEXT(Store_Record[[#This Row],[Date]],"dddd")</f>
        <v>Wednesday</v>
      </c>
      <c r="M1322" s="5" t="str">
        <f>TEXT(Store_Record[[#This Row],[Date]],"mmmm")</f>
        <v>April</v>
      </c>
      <c r="N1322" s="5">
        <f>YEAR(Store_Record[[#This Row],[Date]])</f>
        <v>2025</v>
      </c>
      <c r="O1322"/>
    </row>
    <row r="1323" spans="1:15" x14ac:dyDescent="0.35">
      <c r="A1323" t="s">
        <v>2078</v>
      </c>
      <c r="B1323" s="2">
        <v>45749</v>
      </c>
      <c r="C1323" t="s">
        <v>10</v>
      </c>
      <c r="D1323" t="s">
        <v>25</v>
      </c>
      <c r="E1323" t="s">
        <v>12</v>
      </c>
      <c r="F1323" t="s">
        <v>13</v>
      </c>
      <c r="G1323">
        <v>3</v>
      </c>
      <c r="H1323">
        <v>2.5</v>
      </c>
      <c r="I1323" t="s">
        <v>14</v>
      </c>
      <c r="J1323" t="s">
        <v>2079</v>
      </c>
      <c r="K1323" s="12">
        <f>Store_Record[[#This Row],[Qty]]*Store_Record[[#This Row],[UnitPriceGBP]]</f>
        <v>7.5</v>
      </c>
      <c r="L1323" s="5" t="str">
        <f>TEXT(Store_Record[[#This Row],[Date]],"dddd")</f>
        <v>Wednesday</v>
      </c>
      <c r="M1323" s="5" t="str">
        <f>TEXT(Store_Record[[#This Row],[Date]],"mmmm")</f>
        <v>April</v>
      </c>
      <c r="N1323" s="5">
        <f>YEAR(Store_Record[[#This Row],[Date]])</f>
        <v>2025</v>
      </c>
      <c r="O1323"/>
    </row>
    <row r="1324" spans="1:15" x14ac:dyDescent="0.35">
      <c r="A1324" t="s">
        <v>2076</v>
      </c>
      <c r="B1324" s="2">
        <v>45749</v>
      </c>
      <c r="C1324" t="s">
        <v>24</v>
      </c>
      <c r="D1324" t="s">
        <v>38</v>
      </c>
      <c r="E1324" t="s">
        <v>26</v>
      </c>
      <c r="F1324" t="s">
        <v>13</v>
      </c>
      <c r="G1324">
        <v>2</v>
      </c>
      <c r="H1324">
        <v>3.5</v>
      </c>
      <c r="I1324" t="s">
        <v>39</v>
      </c>
      <c r="J1324" t="s">
        <v>2075</v>
      </c>
      <c r="K1324" s="12">
        <f>Store_Record[[#This Row],[Qty]]*Store_Record[[#This Row],[UnitPriceGBP]]</f>
        <v>7</v>
      </c>
      <c r="L1324" s="5" t="str">
        <f>TEXT(Store_Record[[#This Row],[Date]],"dddd")</f>
        <v>Wednesday</v>
      </c>
      <c r="M1324" s="5" t="str">
        <f>TEXT(Store_Record[[#This Row],[Date]],"mmmm")</f>
        <v>April</v>
      </c>
      <c r="N1324" s="5">
        <f>YEAR(Store_Record[[#This Row],[Date]])</f>
        <v>2025</v>
      </c>
      <c r="O1324"/>
    </row>
    <row r="1325" spans="1:15" x14ac:dyDescent="0.35">
      <c r="A1325" t="s">
        <v>2086</v>
      </c>
      <c r="B1325" s="2">
        <v>45749</v>
      </c>
      <c r="C1325" t="s">
        <v>36</v>
      </c>
      <c r="D1325" t="s">
        <v>25</v>
      </c>
      <c r="E1325" t="s">
        <v>30</v>
      </c>
      <c r="F1325" t="s">
        <v>31</v>
      </c>
      <c r="G1325">
        <v>1</v>
      </c>
      <c r="H1325">
        <v>2.8</v>
      </c>
      <c r="I1325" t="s">
        <v>14</v>
      </c>
      <c r="J1325" t="s">
        <v>2087</v>
      </c>
      <c r="K1325" s="12">
        <f>Store_Record[[#This Row],[Qty]]*Store_Record[[#This Row],[UnitPriceGBP]]</f>
        <v>2.8</v>
      </c>
      <c r="L1325" s="5" t="str">
        <f>TEXT(Store_Record[[#This Row],[Date]],"dddd")</f>
        <v>Wednesday</v>
      </c>
      <c r="M1325" s="5" t="str">
        <f>TEXT(Store_Record[[#This Row],[Date]],"mmmm")</f>
        <v>April</v>
      </c>
      <c r="N1325" s="5">
        <f>YEAR(Store_Record[[#This Row],[Date]])</f>
        <v>2025</v>
      </c>
      <c r="O1325"/>
    </row>
    <row r="1326" spans="1:15" x14ac:dyDescent="0.35">
      <c r="A1326" t="s">
        <v>2083</v>
      </c>
      <c r="B1326" s="2">
        <v>45749</v>
      </c>
      <c r="C1326" t="s">
        <v>36</v>
      </c>
      <c r="D1326" t="s">
        <v>47</v>
      </c>
      <c r="E1326" t="s">
        <v>34</v>
      </c>
      <c r="F1326" t="s">
        <v>31</v>
      </c>
      <c r="G1326">
        <v>1</v>
      </c>
      <c r="H1326">
        <v>2.2000000000000002</v>
      </c>
      <c r="I1326" t="s">
        <v>39</v>
      </c>
      <c r="J1326" t="s">
        <v>2084</v>
      </c>
      <c r="K1326" s="12">
        <f>Store_Record[[#This Row],[Qty]]*Store_Record[[#This Row],[UnitPriceGBP]]</f>
        <v>2.2000000000000002</v>
      </c>
      <c r="L1326" s="5" t="str">
        <f>TEXT(Store_Record[[#This Row],[Date]],"dddd")</f>
        <v>Wednesday</v>
      </c>
      <c r="M1326" s="5" t="str">
        <f>TEXT(Store_Record[[#This Row],[Date]],"mmmm")</f>
        <v>April</v>
      </c>
      <c r="N1326" s="5">
        <f>YEAR(Store_Record[[#This Row],[Date]])</f>
        <v>2025</v>
      </c>
      <c r="O1326"/>
    </row>
    <row r="1327" spans="1:15" x14ac:dyDescent="0.35">
      <c r="A1327" t="s">
        <v>2088</v>
      </c>
      <c r="B1327" s="2">
        <v>45750</v>
      </c>
      <c r="C1327" t="s">
        <v>20</v>
      </c>
      <c r="D1327" t="s">
        <v>38</v>
      </c>
      <c r="E1327" t="s">
        <v>42</v>
      </c>
      <c r="F1327" t="s">
        <v>13</v>
      </c>
      <c r="G1327">
        <v>5</v>
      </c>
      <c r="H1327">
        <v>3.8</v>
      </c>
      <c r="I1327" t="s">
        <v>14</v>
      </c>
      <c r="J1327" t="s">
        <v>1391</v>
      </c>
      <c r="K1327" s="12">
        <f>Store_Record[[#This Row],[Qty]]*Store_Record[[#This Row],[UnitPriceGBP]]</f>
        <v>19</v>
      </c>
      <c r="L1327" s="5" t="str">
        <f>TEXT(Store_Record[[#This Row],[Date]],"dddd")</f>
        <v>Thursday</v>
      </c>
      <c r="M1327" s="5" t="str">
        <f>TEXT(Store_Record[[#This Row],[Date]],"mmmm")</f>
        <v>April</v>
      </c>
      <c r="N1327" s="5">
        <f>YEAR(Store_Record[[#This Row],[Date]])</f>
        <v>2025</v>
      </c>
      <c r="O1327"/>
    </row>
    <row r="1328" spans="1:15" x14ac:dyDescent="0.35">
      <c r="A1328" t="s">
        <v>2097</v>
      </c>
      <c r="B1328" s="2">
        <v>45750</v>
      </c>
      <c r="C1328" t="s">
        <v>10</v>
      </c>
      <c r="D1328" t="s">
        <v>29</v>
      </c>
      <c r="E1328" t="s">
        <v>30</v>
      </c>
      <c r="F1328" t="s">
        <v>31</v>
      </c>
      <c r="G1328">
        <v>4</v>
      </c>
      <c r="H1328">
        <v>2.8</v>
      </c>
      <c r="I1328" t="s">
        <v>21</v>
      </c>
      <c r="J1328" t="s">
        <v>2098</v>
      </c>
      <c r="K1328" s="12">
        <f>Store_Record[[#This Row],[Qty]]*Store_Record[[#This Row],[UnitPriceGBP]]</f>
        <v>11.2</v>
      </c>
      <c r="L1328" s="5" t="str">
        <f>TEXT(Store_Record[[#This Row],[Date]],"dddd")</f>
        <v>Thursday</v>
      </c>
      <c r="M1328" s="5" t="str">
        <f>TEXT(Store_Record[[#This Row],[Date]],"mmmm")</f>
        <v>April</v>
      </c>
      <c r="N1328" s="5">
        <f>YEAR(Store_Record[[#This Row],[Date]])</f>
        <v>2025</v>
      </c>
      <c r="O1328"/>
    </row>
    <row r="1329" spans="1:15" x14ac:dyDescent="0.35">
      <c r="A1329" t="s">
        <v>2102</v>
      </c>
      <c r="B1329" s="2">
        <v>45750</v>
      </c>
      <c r="C1329" t="s">
        <v>10</v>
      </c>
      <c r="D1329" t="s">
        <v>47</v>
      </c>
      <c r="E1329" t="s">
        <v>30</v>
      </c>
      <c r="F1329" t="s">
        <v>31</v>
      </c>
      <c r="G1329">
        <v>4</v>
      </c>
      <c r="H1329">
        <v>2.8</v>
      </c>
      <c r="I1329" t="s">
        <v>39</v>
      </c>
      <c r="J1329" t="s">
        <v>390</v>
      </c>
      <c r="K1329" s="12">
        <f>Store_Record[[#This Row],[Qty]]*Store_Record[[#This Row],[UnitPriceGBP]]</f>
        <v>11.2</v>
      </c>
      <c r="L1329" s="5" t="str">
        <f>TEXT(Store_Record[[#This Row],[Date]],"dddd")</f>
        <v>Thursday</v>
      </c>
      <c r="M1329" s="5" t="str">
        <f>TEXT(Store_Record[[#This Row],[Date]],"mmmm")</f>
        <v>April</v>
      </c>
      <c r="N1329" s="5">
        <f>YEAR(Store_Record[[#This Row],[Date]])</f>
        <v>2025</v>
      </c>
      <c r="O1329"/>
    </row>
    <row r="1330" spans="1:15" x14ac:dyDescent="0.35">
      <c r="A1330" t="s">
        <v>2095</v>
      </c>
      <c r="B1330" s="2">
        <v>45750</v>
      </c>
      <c r="C1330" t="s">
        <v>36</v>
      </c>
      <c r="D1330" t="s">
        <v>25</v>
      </c>
      <c r="E1330" t="s">
        <v>26</v>
      </c>
      <c r="F1330" t="s">
        <v>13</v>
      </c>
      <c r="G1330">
        <v>3</v>
      </c>
      <c r="H1330">
        <v>3.5</v>
      </c>
      <c r="I1330" t="s">
        <v>14</v>
      </c>
      <c r="J1330" t="s">
        <v>1025</v>
      </c>
      <c r="K1330" s="12">
        <f>Store_Record[[#This Row],[Qty]]*Store_Record[[#This Row],[UnitPriceGBP]]</f>
        <v>10.5</v>
      </c>
      <c r="L1330" s="5" t="str">
        <f>TEXT(Store_Record[[#This Row],[Date]],"dddd")</f>
        <v>Thursday</v>
      </c>
      <c r="M1330" s="5" t="str">
        <f>TEXT(Store_Record[[#This Row],[Date]],"mmmm")</f>
        <v>April</v>
      </c>
      <c r="N1330" s="5">
        <f>YEAR(Store_Record[[#This Row],[Date]])</f>
        <v>2025</v>
      </c>
      <c r="O1330"/>
    </row>
    <row r="1331" spans="1:15" x14ac:dyDescent="0.35">
      <c r="A1331" t="s">
        <v>2094</v>
      </c>
      <c r="B1331" s="2">
        <v>45750</v>
      </c>
      <c r="C1331" t="s">
        <v>24</v>
      </c>
      <c r="D1331" t="s">
        <v>29</v>
      </c>
      <c r="E1331" t="s">
        <v>12</v>
      </c>
      <c r="F1331" t="s">
        <v>13</v>
      </c>
      <c r="G1331">
        <v>4</v>
      </c>
      <c r="H1331">
        <v>2.5</v>
      </c>
      <c r="I1331" t="s">
        <v>39</v>
      </c>
      <c r="J1331" t="s">
        <v>571</v>
      </c>
      <c r="K1331" s="12">
        <f>Store_Record[[#This Row],[Qty]]*Store_Record[[#This Row],[UnitPriceGBP]]</f>
        <v>10</v>
      </c>
      <c r="L1331" s="5" t="str">
        <f>TEXT(Store_Record[[#This Row],[Date]],"dddd")</f>
        <v>Thursday</v>
      </c>
      <c r="M1331" s="5" t="str">
        <f>TEXT(Store_Record[[#This Row],[Date]],"mmmm")</f>
        <v>April</v>
      </c>
      <c r="N1331" s="5">
        <f>YEAR(Store_Record[[#This Row],[Date]])</f>
        <v>2025</v>
      </c>
      <c r="O1331"/>
    </row>
    <row r="1332" spans="1:15" x14ac:dyDescent="0.35">
      <c r="A1332" t="s">
        <v>2091</v>
      </c>
      <c r="B1332" s="2">
        <v>45750</v>
      </c>
      <c r="C1332" t="s">
        <v>36</v>
      </c>
      <c r="D1332" t="s">
        <v>11</v>
      </c>
      <c r="E1332" t="s">
        <v>30</v>
      </c>
      <c r="F1332" t="s">
        <v>31</v>
      </c>
      <c r="G1332">
        <v>3</v>
      </c>
      <c r="H1332">
        <v>2.8</v>
      </c>
      <c r="I1332" t="s">
        <v>39</v>
      </c>
      <c r="J1332" t="s">
        <v>1475</v>
      </c>
      <c r="K1332" s="12">
        <f>Store_Record[[#This Row],[Qty]]*Store_Record[[#This Row],[UnitPriceGBP]]</f>
        <v>8.3999999999999986</v>
      </c>
      <c r="L1332" s="5" t="str">
        <f>TEXT(Store_Record[[#This Row],[Date]],"dddd")</f>
        <v>Thursday</v>
      </c>
      <c r="M1332" s="5" t="str">
        <f>TEXT(Store_Record[[#This Row],[Date]],"mmmm")</f>
        <v>April</v>
      </c>
      <c r="N1332" s="5">
        <f>YEAR(Store_Record[[#This Row],[Date]])</f>
        <v>2025</v>
      </c>
      <c r="O1332"/>
    </row>
    <row r="1333" spans="1:15" x14ac:dyDescent="0.35">
      <c r="A1333" t="s">
        <v>2090</v>
      </c>
      <c r="B1333" s="2">
        <v>45750</v>
      </c>
      <c r="C1333" t="s">
        <v>10</v>
      </c>
      <c r="D1333" t="s">
        <v>11</v>
      </c>
      <c r="E1333" t="s">
        <v>26</v>
      </c>
      <c r="F1333" t="s">
        <v>13</v>
      </c>
      <c r="G1333">
        <v>2</v>
      </c>
      <c r="H1333">
        <v>3.5</v>
      </c>
      <c r="I1333" t="s">
        <v>21</v>
      </c>
      <c r="J1333" t="s">
        <v>980</v>
      </c>
      <c r="K1333" s="12">
        <f>Store_Record[[#This Row],[Qty]]*Store_Record[[#This Row],[UnitPriceGBP]]</f>
        <v>7</v>
      </c>
      <c r="L1333" s="5" t="str">
        <f>TEXT(Store_Record[[#This Row],[Date]],"dddd")</f>
        <v>Thursday</v>
      </c>
      <c r="M1333" s="5" t="str">
        <f>TEXT(Store_Record[[#This Row],[Date]],"mmmm")</f>
        <v>April</v>
      </c>
      <c r="N1333" s="5">
        <f>YEAR(Store_Record[[#This Row],[Date]])</f>
        <v>2025</v>
      </c>
      <c r="O1333"/>
    </row>
    <row r="1334" spans="1:15" x14ac:dyDescent="0.35">
      <c r="A1334" t="s">
        <v>2099</v>
      </c>
      <c r="B1334" s="2">
        <v>45750</v>
      </c>
      <c r="C1334" t="s">
        <v>20</v>
      </c>
      <c r="D1334" t="s">
        <v>38</v>
      </c>
      <c r="E1334" t="s">
        <v>26</v>
      </c>
      <c r="F1334" t="s">
        <v>13</v>
      </c>
      <c r="G1334">
        <v>2</v>
      </c>
      <c r="H1334">
        <v>3.5</v>
      </c>
      <c r="I1334" t="s">
        <v>39</v>
      </c>
      <c r="J1334" t="s">
        <v>2100</v>
      </c>
      <c r="K1334" s="12">
        <f>Store_Record[[#This Row],[Qty]]*Store_Record[[#This Row],[UnitPriceGBP]]</f>
        <v>7</v>
      </c>
      <c r="L1334" s="5" t="str">
        <f>TEXT(Store_Record[[#This Row],[Date]],"dddd")</f>
        <v>Thursday</v>
      </c>
      <c r="M1334" s="5" t="str">
        <f>TEXT(Store_Record[[#This Row],[Date]],"mmmm")</f>
        <v>April</v>
      </c>
      <c r="N1334" s="5">
        <f>YEAR(Store_Record[[#This Row],[Date]])</f>
        <v>2025</v>
      </c>
      <c r="O1334"/>
    </row>
    <row r="1335" spans="1:15" x14ac:dyDescent="0.35">
      <c r="A1335" t="s">
        <v>2101</v>
      </c>
      <c r="B1335" s="2">
        <v>45750</v>
      </c>
      <c r="C1335" t="s">
        <v>10</v>
      </c>
      <c r="D1335" t="s">
        <v>38</v>
      </c>
      <c r="E1335" t="s">
        <v>12</v>
      </c>
      <c r="F1335" t="s">
        <v>13</v>
      </c>
      <c r="G1335">
        <v>2</v>
      </c>
      <c r="H1335">
        <v>2.5</v>
      </c>
      <c r="I1335" t="s">
        <v>39</v>
      </c>
      <c r="J1335" t="s">
        <v>1321</v>
      </c>
      <c r="K1335" s="12">
        <f>Store_Record[[#This Row],[Qty]]*Store_Record[[#This Row],[UnitPriceGBP]]</f>
        <v>5</v>
      </c>
      <c r="L1335" s="5" t="str">
        <f>TEXT(Store_Record[[#This Row],[Date]],"dddd")</f>
        <v>Thursday</v>
      </c>
      <c r="M1335" s="5" t="str">
        <f>TEXT(Store_Record[[#This Row],[Date]],"mmmm")</f>
        <v>April</v>
      </c>
      <c r="N1335" s="5">
        <f>YEAR(Store_Record[[#This Row],[Date]])</f>
        <v>2025</v>
      </c>
      <c r="O1335"/>
    </row>
    <row r="1336" spans="1:15" x14ac:dyDescent="0.35">
      <c r="A1336" t="s">
        <v>2092</v>
      </c>
      <c r="B1336" s="2">
        <v>45750</v>
      </c>
      <c r="C1336" t="s">
        <v>36</v>
      </c>
      <c r="D1336" t="s">
        <v>29</v>
      </c>
      <c r="E1336" t="s">
        <v>26</v>
      </c>
      <c r="F1336" t="s">
        <v>13</v>
      </c>
      <c r="G1336">
        <v>1</v>
      </c>
      <c r="H1336">
        <v>3.5</v>
      </c>
      <c r="I1336" t="s">
        <v>21</v>
      </c>
      <c r="J1336" t="s">
        <v>2093</v>
      </c>
      <c r="K1336" s="12">
        <f>Store_Record[[#This Row],[Qty]]*Store_Record[[#This Row],[UnitPriceGBP]]</f>
        <v>3.5</v>
      </c>
      <c r="L1336" s="5" t="str">
        <f>TEXT(Store_Record[[#This Row],[Date]],"dddd")</f>
        <v>Thursday</v>
      </c>
      <c r="M1336" s="5" t="str">
        <f>TEXT(Store_Record[[#This Row],[Date]],"mmmm")</f>
        <v>April</v>
      </c>
      <c r="N1336" s="5">
        <f>YEAR(Store_Record[[#This Row],[Date]])</f>
        <v>2025</v>
      </c>
      <c r="O1336"/>
    </row>
    <row r="1337" spans="1:15" x14ac:dyDescent="0.35">
      <c r="A1337" t="s">
        <v>2089</v>
      </c>
      <c r="B1337" s="2">
        <v>45750</v>
      </c>
      <c r="C1337" t="s">
        <v>10</v>
      </c>
      <c r="D1337" t="s">
        <v>29</v>
      </c>
      <c r="E1337" t="s">
        <v>30</v>
      </c>
      <c r="F1337" t="s">
        <v>31</v>
      </c>
      <c r="G1337">
        <v>1</v>
      </c>
      <c r="H1337">
        <v>2.8</v>
      </c>
      <c r="I1337" t="s">
        <v>21</v>
      </c>
      <c r="J1337" t="s">
        <v>109</v>
      </c>
      <c r="K1337" s="12">
        <f>Store_Record[[#This Row],[Qty]]*Store_Record[[#This Row],[UnitPriceGBP]]</f>
        <v>2.8</v>
      </c>
      <c r="L1337" s="5" t="str">
        <f>TEXT(Store_Record[[#This Row],[Date]],"dddd")</f>
        <v>Thursday</v>
      </c>
      <c r="M1337" s="5" t="str">
        <f>TEXT(Store_Record[[#This Row],[Date]],"mmmm")</f>
        <v>April</v>
      </c>
      <c r="N1337" s="5">
        <f>YEAR(Store_Record[[#This Row],[Date]])</f>
        <v>2025</v>
      </c>
      <c r="O1337"/>
    </row>
    <row r="1338" spans="1:15" x14ac:dyDescent="0.35">
      <c r="A1338" t="s">
        <v>2096</v>
      </c>
      <c r="B1338" s="2">
        <v>45750</v>
      </c>
      <c r="C1338" t="s">
        <v>20</v>
      </c>
      <c r="D1338" t="s">
        <v>11</v>
      </c>
      <c r="E1338" t="s">
        <v>30</v>
      </c>
      <c r="F1338" t="s">
        <v>31</v>
      </c>
      <c r="G1338">
        <v>1</v>
      </c>
      <c r="H1338">
        <v>2.8</v>
      </c>
      <c r="I1338" t="s">
        <v>39</v>
      </c>
      <c r="J1338" t="s">
        <v>978</v>
      </c>
      <c r="K1338" s="12">
        <f>Store_Record[[#This Row],[Qty]]*Store_Record[[#This Row],[UnitPriceGBP]]</f>
        <v>2.8</v>
      </c>
      <c r="L1338" s="5" t="str">
        <f>TEXT(Store_Record[[#This Row],[Date]],"dddd")</f>
        <v>Thursday</v>
      </c>
      <c r="M1338" s="5" t="str">
        <f>TEXT(Store_Record[[#This Row],[Date]],"mmmm")</f>
        <v>April</v>
      </c>
      <c r="N1338" s="5">
        <f>YEAR(Store_Record[[#This Row],[Date]])</f>
        <v>2025</v>
      </c>
      <c r="O1338"/>
    </row>
    <row r="1339" spans="1:15" x14ac:dyDescent="0.35">
      <c r="A1339" t="s">
        <v>2103</v>
      </c>
      <c r="B1339" s="2">
        <v>45750</v>
      </c>
      <c r="C1339" t="s">
        <v>20</v>
      </c>
      <c r="D1339" t="s">
        <v>47</v>
      </c>
      <c r="E1339" t="s">
        <v>30</v>
      </c>
      <c r="F1339" t="s">
        <v>31</v>
      </c>
      <c r="G1339">
        <v>1</v>
      </c>
      <c r="H1339">
        <v>2.8</v>
      </c>
      <c r="I1339" t="s">
        <v>39</v>
      </c>
      <c r="J1339" t="s">
        <v>2084</v>
      </c>
      <c r="K1339" s="12">
        <f>Store_Record[[#This Row],[Qty]]*Store_Record[[#This Row],[UnitPriceGBP]]</f>
        <v>2.8</v>
      </c>
      <c r="L1339" s="5" t="str">
        <f>TEXT(Store_Record[[#This Row],[Date]],"dddd")</f>
        <v>Thursday</v>
      </c>
      <c r="M1339" s="5" t="str">
        <f>TEXT(Store_Record[[#This Row],[Date]],"mmmm")</f>
        <v>April</v>
      </c>
      <c r="N1339" s="5">
        <f>YEAR(Store_Record[[#This Row],[Date]])</f>
        <v>2025</v>
      </c>
      <c r="O1339"/>
    </row>
    <row r="1340" spans="1:15" x14ac:dyDescent="0.35">
      <c r="A1340" t="s">
        <v>2115</v>
      </c>
      <c r="B1340" s="2">
        <v>45751</v>
      </c>
      <c r="C1340" t="s">
        <v>20</v>
      </c>
      <c r="D1340" t="s">
        <v>47</v>
      </c>
      <c r="E1340" t="s">
        <v>42</v>
      </c>
      <c r="F1340" t="s">
        <v>13</v>
      </c>
      <c r="G1340">
        <v>5</v>
      </c>
      <c r="H1340">
        <v>3.8</v>
      </c>
      <c r="I1340" t="s">
        <v>21</v>
      </c>
      <c r="J1340" t="s">
        <v>1329</v>
      </c>
      <c r="K1340" s="12">
        <f>Store_Record[[#This Row],[Qty]]*Store_Record[[#This Row],[UnitPriceGBP]]</f>
        <v>19</v>
      </c>
      <c r="L1340" s="5" t="str">
        <f>TEXT(Store_Record[[#This Row],[Date]],"dddd")</f>
        <v>Friday</v>
      </c>
      <c r="M1340" s="5" t="str">
        <f>TEXT(Store_Record[[#This Row],[Date]],"mmmm")</f>
        <v>April</v>
      </c>
      <c r="N1340" s="5">
        <f>YEAR(Store_Record[[#This Row],[Date]])</f>
        <v>2025</v>
      </c>
      <c r="O1340"/>
    </row>
    <row r="1341" spans="1:15" x14ac:dyDescent="0.35">
      <c r="A1341" t="s">
        <v>2107</v>
      </c>
      <c r="B1341" s="2">
        <v>45751</v>
      </c>
      <c r="C1341" t="s">
        <v>20</v>
      </c>
      <c r="D1341" t="s">
        <v>25</v>
      </c>
      <c r="E1341" t="s">
        <v>26</v>
      </c>
      <c r="F1341" t="s">
        <v>13</v>
      </c>
      <c r="G1341">
        <v>5</v>
      </c>
      <c r="H1341">
        <v>3.5</v>
      </c>
      <c r="I1341" t="s">
        <v>21</v>
      </c>
      <c r="J1341" t="s">
        <v>163</v>
      </c>
      <c r="K1341" s="12">
        <f>Store_Record[[#This Row],[Qty]]*Store_Record[[#This Row],[UnitPriceGBP]]</f>
        <v>17.5</v>
      </c>
      <c r="L1341" s="5" t="str">
        <f>TEXT(Store_Record[[#This Row],[Date]],"dddd")</f>
        <v>Friday</v>
      </c>
      <c r="M1341" s="5" t="str">
        <f>TEXT(Store_Record[[#This Row],[Date]],"mmmm")</f>
        <v>April</v>
      </c>
      <c r="N1341" s="5">
        <f>YEAR(Store_Record[[#This Row],[Date]])</f>
        <v>2025</v>
      </c>
      <c r="O1341"/>
    </row>
    <row r="1342" spans="1:15" x14ac:dyDescent="0.35">
      <c r="A1342" t="s">
        <v>2109</v>
      </c>
      <c r="B1342" s="2">
        <v>45751</v>
      </c>
      <c r="C1342" t="s">
        <v>24</v>
      </c>
      <c r="D1342" t="s">
        <v>25</v>
      </c>
      <c r="E1342" t="s">
        <v>26</v>
      </c>
      <c r="F1342" t="s">
        <v>13</v>
      </c>
      <c r="G1342">
        <v>4</v>
      </c>
      <c r="H1342">
        <v>3.5</v>
      </c>
      <c r="I1342" t="s">
        <v>21</v>
      </c>
      <c r="J1342" t="s">
        <v>698</v>
      </c>
      <c r="K1342" s="12">
        <f>Store_Record[[#This Row],[Qty]]*Store_Record[[#This Row],[UnitPriceGBP]]</f>
        <v>14</v>
      </c>
      <c r="L1342" s="5" t="str">
        <f>TEXT(Store_Record[[#This Row],[Date]],"dddd")</f>
        <v>Friday</v>
      </c>
      <c r="M1342" s="5" t="str">
        <f>TEXT(Store_Record[[#This Row],[Date]],"mmmm")</f>
        <v>April</v>
      </c>
      <c r="N1342" s="5">
        <f>YEAR(Store_Record[[#This Row],[Date]])</f>
        <v>2025</v>
      </c>
      <c r="O1342"/>
    </row>
    <row r="1343" spans="1:15" x14ac:dyDescent="0.35">
      <c r="A1343" t="s">
        <v>2108</v>
      </c>
      <c r="B1343" s="2">
        <v>45751</v>
      </c>
      <c r="C1343" t="s">
        <v>36</v>
      </c>
      <c r="D1343" t="s">
        <v>11</v>
      </c>
      <c r="E1343" t="s">
        <v>30</v>
      </c>
      <c r="F1343" t="s">
        <v>31</v>
      </c>
      <c r="G1343">
        <v>4</v>
      </c>
      <c r="H1343">
        <v>2.8</v>
      </c>
      <c r="I1343" t="s">
        <v>14</v>
      </c>
      <c r="J1343" t="s">
        <v>97</v>
      </c>
      <c r="K1343" s="12">
        <f>Store_Record[[#This Row],[Qty]]*Store_Record[[#This Row],[UnitPriceGBP]]</f>
        <v>11.2</v>
      </c>
      <c r="L1343" s="5" t="str">
        <f>TEXT(Store_Record[[#This Row],[Date]],"dddd")</f>
        <v>Friday</v>
      </c>
      <c r="M1343" s="5" t="str">
        <f>TEXT(Store_Record[[#This Row],[Date]],"mmmm")</f>
        <v>April</v>
      </c>
      <c r="N1343" s="5">
        <f>YEAR(Store_Record[[#This Row],[Date]])</f>
        <v>2025</v>
      </c>
      <c r="O1343"/>
    </row>
    <row r="1344" spans="1:15" x14ac:dyDescent="0.35">
      <c r="A1344" t="s">
        <v>2104</v>
      </c>
      <c r="B1344" s="2">
        <v>45751</v>
      </c>
      <c r="C1344" t="s">
        <v>20</v>
      </c>
      <c r="D1344" t="s">
        <v>25</v>
      </c>
      <c r="E1344" t="s">
        <v>30</v>
      </c>
      <c r="F1344" t="s">
        <v>31</v>
      </c>
      <c r="G1344">
        <v>3</v>
      </c>
      <c r="H1344">
        <v>2.8</v>
      </c>
      <c r="I1344" t="s">
        <v>14</v>
      </c>
      <c r="J1344" t="s">
        <v>2105</v>
      </c>
      <c r="K1344" s="12">
        <f>Store_Record[[#This Row],[Qty]]*Store_Record[[#This Row],[UnitPriceGBP]]</f>
        <v>8.3999999999999986</v>
      </c>
      <c r="L1344" s="5" t="str">
        <f>TEXT(Store_Record[[#This Row],[Date]],"dddd")</f>
        <v>Friday</v>
      </c>
      <c r="M1344" s="5" t="str">
        <f>TEXT(Store_Record[[#This Row],[Date]],"mmmm")</f>
        <v>April</v>
      </c>
      <c r="N1344" s="5">
        <f>YEAR(Store_Record[[#This Row],[Date]])</f>
        <v>2025</v>
      </c>
      <c r="O1344"/>
    </row>
    <row r="1345" spans="1:15" x14ac:dyDescent="0.35">
      <c r="A1345" t="s">
        <v>2106</v>
      </c>
      <c r="B1345" s="2">
        <v>45751</v>
      </c>
      <c r="C1345" t="s">
        <v>10</v>
      </c>
      <c r="D1345" t="s">
        <v>47</v>
      </c>
      <c r="E1345" t="s">
        <v>12</v>
      </c>
      <c r="F1345" t="s">
        <v>13</v>
      </c>
      <c r="G1345">
        <v>3</v>
      </c>
      <c r="H1345">
        <v>2.5</v>
      </c>
      <c r="I1345" t="s">
        <v>21</v>
      </c>
      <c r="J1345" t="s">
        <v>390</v>
      </c>
      <c r="K1345" s="12">
        <f>Store_Record[[#This Row],[Qty]]*Store_Record[[#This Row],[UnitPriceGBP]]</f>
        <v>7.5</v>
      </c>
      <c r="L1345" s="5" t="str">
        <f>TEXT(Store_Record[[#This Row],[Date]],"dddd")</f>
        <v>Friday</v>
      </c>
      <c r="M1345" s="5" t="str">
        <f>TEXT(Store_Record[[#This Row],[Date]],"mmmm")</f>
        <v>April</v>
      </c>
      <c r="N1345" s="5">
        <f>YEAR(Store_Record[[#This Row],[Date]])</f>
        <v>2025</v>
      </c>
      <c r="O1345"/>
    </row>
    <row r="1346" spans="1:15" x14ac:dyDescent="0.35">
      <c r="A1346" t="s">
        <v>2112</v>
      </c>
      <c r="B1346" s="2">
        <v>45751</v>
      </c>
      <c r="C1346" t="s">
        <v>36</v>
      </c>
      <c r="D1346" t="s">
        <v>47</v>
      </c>
      <c r="E1346" t="s">
        <v>12</v>
      </c>
      <c r="F1346" t="s">
        <v>13</v>
      </c>
      <c r="G1346">
        <v>3</v>
      </c>
      <c r="H1346">
        <v>2.5</v>
      </c>
      <c r="I1346" t="s">
        <v>21</v>
      </c>
      <c r="J1346" t="s">
        <v>1838</v>
      </c>
      <c r="K1346" s="12">
        <f>Store_Record[[#This Row],[Qty]]*Store_Record[[#This Row],[UnitPriceGBP]]</f>
        <v>7.5</v>
      </c>
      <c r="L1346" s="5" t="str">
        <f>TEXT(Store_Record[[#This Row],[Date]],"dddd")</f>
        <v>Friday</v>
      </c>
      <c r="M1346" s="5" t="str">
        <f>TEXT(Store_Record[[#This Row],[Date]],"mmmm")</f>
        <v>April</v>
      </c>
      <c r="N1346" s="5">
        <f>YEAR(Store_Record[[#This Row],[Date]])</f>
        <v>2025</v>
      </c>
      <c r="O1346"/>
    </row>
    <row r="1347" spans="1:15" x14ac:dyDescent="0.35">
      <c r="A1347" t="s">
        <v>2116</v>
      </c>
      <c r="B1347" s="2">
        <v>45751</v>
      </c>
      <c r="C1347" t="s">
        <v>10</v>
      </c>
      <c r="D1347" t="s">
        <v>47</v>
      </c>
      <c r="E1347" t="s">
        <v>30</v>
      </c>
      <c r="F1347" t="s">
        <v>31</v>
      </c>
      <c r="G1347">
        <v>2</v>
      </c>
      <c r="H1347">
        <v>2.8</v>
      </c>
      <c r="I1347" t="s">
        <v>21</v>
      </c>
      <c r="J1347" t="s">
        <v>869</v>
      </c>
      <c r="K1347" s="12">
        <f>Store_Record[[#This Row],[Qty]]*Store_Record[[#This Row],[UnitPriceGBP]]</f>
        <v>5.6</v>
      </c>
      <c r="L1347" s="5" t="str">
        <f>TEXT(Store_Record[[#This Row],[Date]],"dddd")</f>
        <v>Friday</v>
      </c>
      <c r="M1347" s="5" t="str">
        <f>TEXT(Store_Record[[#This Row],[Date]],"mmmm")</f>
        <v>April</v>
      </c>
      <c r="N1347" s="5">
        <f>YEAR(Store_Record[[#This Row],[Date]])</f>
        <v>2025</v>
      </c>
      <c r="O1347"/>
    </row>
    <row r="1348" spans="1:15" x14ac:dyDescent="0.35">
      <c r="A1348" t="s">
        <v>2111</v>
      </c>
      <c r="B1348" s="2">
        <v>45751</v>
      </c>
      <c r="C1348" t="s">
        <v>36</v>
      </c>
      <c r="D1348" t="s">
        <v>11</v>
      </c>
      <c r="E1348" t="s">
        <v>12</v>
      </c>
      <c r="F1348" t="s">
        <v>13</v>
      </c>
      <c r="G1348">
        <v>2</v>
      </c>
      <c r="H1348">
        <v>2.5</v>
      </c>
      <c r="I1348" t="s">
        <v>39</v>
      </c>
      <c r="J1348" t="s">
        <v>56</v>
      </c>
      <c r="K1348" s="12">
        <f>Store_Record[[#This Row],[Qty]]*Store_Record[[#This Row],[UnitPriceGBP]]</f>
        <v>5</v>
      </c>
      <c r="L1348" s="5" t="str">
        <f>TEXT(Store_Record[[#This Row],[Date]],"dddd")</f>
        <v>Friday</v>
      </c>
      <c r="M1348" s="5" t="str">
        <f>TEXT(Store_Record[[#This Row],[Date]],"mmmm")</f>
        <v>April</v>
      </c>
      <c r="N1348" s="5">
        <f>YEAR(Store_Record[[#This Row],[Date]])</f>
        <v>2025</v>
      </c>
      <c r="O1348"/>
    </row>
    <row r="1349" spans="1:15" x14ac:dyDescent="0.35">
      <c r="A1349" t="s">
        <v>2110</v>
      </c>
      <c r="B1349" s="2">
        <v>45751</v>
      </c>
      <c r="C1349" t="s">
        <v>36</v>
      </c>
      <c r="D1349" t="s">
        <v>25</v>
      </c>
      <c r="E1349" t="s">
        <v>34</v>
      </c>
      <c r="F1349" t="s">
        <v>31</v>
      </c>
      <c r="G1349">
        <v>2</v>
      </c>
      <c r="H1349">
        <v>2.2000000000000002</v>
      </c>
      <c r="I1349" t="s">
        <v>39</v>
      </c>
      <c r="J1349" t="s">
        <v>409</v>
      </c>
      <c r="K1349" s="12">
        <f>Store_Record[[#This Row],[Qty]]*Store_Record[[#This Row],[UnitPriceGBP]]</f>
        <v>4.4000000000000004</v>
      </c>
      <c r="L1349" s="5" t="str">
        <f>TEXT(Store_Record[[#This Row],[Date]],"dddd")</f>
        <v>Friday</v>
      </c>
      <c r="M1349" s="5" t="str">
        <f>TEXT(Store_Record[[#This Row],[Date]],"mmmm")</f>
        <v>April</v>
      </c>
      <c r="N1349" s="5">
        <f>YEAR(Store_Record[[#This Row],[Date]])</f>
        <v>2025</v>
      </c>
      <c r="O1349"/>
    </row>
    <row r="1350" spans="1:15" x14ac:dyDescent="0.35">
      <c r="A1350" t="s">
        <v>2113</v>
      </c>
      <c r="B1350" s="2">
        <v>45751</v>
      </c>
      <c r="C1350" t="s">
        <v>24</v>
      </c>
      <c r="D1350" t="s">
        <v>11</v>
      </c>
      <c r="E1350" t="s">
        <v>42</v>
      </c>
      <c r="F1350" t="s">
        <v>13</v>
      </c>
      <c r="G1350">
        <v>1</v>
      </c>
      <c r="H1350">
        <v>3.8</v>
      </c>
      <c r="I1350" t="s">
        <v>21</v>
      </c>
      <c r="J1350" t="s">
        <v>260</v>
      </c>
      <c r="K1350" s="12">
        <f>Store_Record[[#This Row],[Qty]]*Store_Record[[#This Row],[UnitPriceGBP]]</f>
        <v>3.8</v>
      </c>
      <c r="L1350" s="5" t="str">
        <f>TEXT(Store_Record[[#This Row],[Date]],"dddd")</f>
        <v>Friday</v>
      </c>
      <c r="M1350" s="5" t="str">
        <f>TEXT(Store_Record[[#This Row],[Date]],"mmmm")</f>
        <v>April</v>
      </c>
      <c r="N1350" s="5">
        <f>YEAR(Store_Record[[#This Row],[Date]])</f>
        <v>2025</v>
      </c>
      <c r="O1350"/>
    </row>
    <row r="1351" spans="1:15" x14ac:dyDescent="0.35">
      <c r="A1351" t="s">
        <v>2114</v>
      </c>
      <c r="B1351" s="2">
        <v>45751</v>
      </c>
      <c r="C1351" t="s">
        <v>36</v>
      </c>
      <c r="D1351" t="s">
        <v>29</v>
      </c>
      <c r="E1351" t="s">
        <v>26</v>
      </c>
      <c r="F1351" t="s">
        <v>13</v>
      </c>
      <c r="G1351">
        <v>1</v>
      </c>
      <c r="H1351">
        <v>3.5</v>
      </c>
      <c r="I1351" t="s">
        <v>39</v>
      </c>
      <c r="J1351" t="s">
        <v>567</v>
      </c>
      <c r="K1351" s="12">
        <f>Store_Record[[#This Row],[Qty]]*Store_Record[[#This Row],[UnitPriceGBP]]</f>
        <v>3.5</v>
      </c>
      <c r="L1351" s="5" t="str">
        <f>TEXT(Store_Record[[#This Row],[Date]],"dddd")</f>
        <v>Friday</v>
      </c>
      <c r="M1351" s="5" t="str">
        <f>TEXT(Store_Record[[#This Row],[Date]],"mmmm")</f>
        <v>April</v>
      </c>
      <c r="N1351" s="5">
        <f>YEAR(Store_Record[[#This Row],[Date]])</f>
        <v>2025</v>
      </c>
      <c r="O1351"/>
    </row>
    <row r="1352" spans="1:15" x14ac:dyDescent="0.35">
      <c r="A1352" t="s">
        <v>2118</v>
      </c>
      <c r="B1352" s="2">
        <v>45752</v>
      </c>
      <c r="C1352" t="s">
        <v>10</v>
      </c>
      <c r="D1352" t="s">
        <v>11</v>
      </c>
      <c r="E1352" t="s">
        <v>42</v>
      </c>
      <c r="F1352" t="s">
        <v>13</v>
      </c>
      <c r="G1352">
        <v>5</v>
      </c>
      <c r="H1352">
        <v>3.8</v>
      </c>
      <c r="I1352" t="s">
        <v>14</v>
      </c>
      <c r="J1352" t="s">
        <v>2119</v>
      </c>
      <c r="K1352" s="12">
        <f>Store_Record[[#This Row],[Qty]]*Store_Record[[#This Row],[UnitPriceGBP]]</f>
        <v>19</v>
      </c>
      <c r="L1352" s="5" t="str">
        <f>TEXT(Store_Record[[#This Row],[Date]],"dddd")</f>
        <v>Saturday</v>
      </c>
      <c r="M1352" s="5" t="str">
        <f>TEXT(Store_Record[[#This Row],[Date]],"mmmm")</f>
        <v>April</v>
      </c>
      <c r="N1352" s="5">
        <f>YEAR(Store_Record[[#This Row],[Date]])</f>
        <v>2025</v>
      </c>
      <c r="O1352"/>
    </row>
    <row r="1353" spans="1:15" x14ac:dyDescent="0.35">
      <c r="A1353" t="s">
        <v>2124</v>
      </c>
      <c r="B1353" s="2">
        <v>45752</v>
      </c>
      <c r="C1353" t="s">
        <v>20</v>
      </c>
      <c r="D1353" t="s">
        <v>29</v>
      </c>
      <c r="E1353" t="s">
        <v>42</v>
      </c>
      <c r="F1353" t="s">
        <v>13</v>
      </c>
      <c r="G1353">
        <v>5</v>
      </c>
      <c r="H1353">
        <v>3.8</v>
      </c>
      <c r="I1353" t="s">
        <v>14</v>
      </c>
      <c r="J1353" t="s">
        <v>1497</v>
      </c>
      <c r="K1353" s="12">
        <f>Store_Record[[#This Row],[Qty]]*Store_Record[[#This Row],[UnitPriceGBP]]</f>
        <v>19</v>
      </c>
      <c r="L1353" s="5" t="str">
        <f>TEXT(Store_Record[[#This Row],[Date]],"dddd")</f>
        <v>Saturday</v>
      </c>
      <c r="M1353" s="5" t="str">
        <f>TEXT(Store_Record[[#This Row],[Date]],"mmmm")</f>
        <v>April</v>
      </c>
      <c r="N1353" s="5">
        <f>YEAR(Store_Record[[#This Row],[Date]])</f>
        <v>2025</v>
      </c>
      <c r="O1353"/>
    </row>
    <row r="1354" spans="1:15" x14ac:dyDescent="0.35">
      <c r="A1354" t="s">
        <v>2123</v>
      </c>
      <c r="B1354" s="2">
        <v>45752</v>
      </c>
      <c r="C1354" t="s">
        <v>10</v>
      </c>
      <c r="D1354" t="s">
        <v>38</v>
      </c>
      <c r="E1354" t="s">
        <v>26</v>
      </c>
      <c r="F1354" t="s">
        <v>13</v>
      </c>
      <c r="G1354">
        <v>5</v>
      </c>
      <c r="H1354">
        <v>3.5</v>
      </c>
      <c r="I1354" t="s">
        <v>39</v>
      </c>
      <c r="J1354" t="s">
        <v>66</v>
      </c>
      <c r="K1354" s="12">
        <f>Store_Record[[#This Row],[Qty]]*Store_Record[[#This Row],[UnitPriceGBP]]</f>
        <v>17.5</v>
      </c>
      <c r="L1354" s="5" t="str">
        <f>TEXT(Store_Record[[#This Row],[Date]],"dddd")</f>
        <v>Saturday</v>
      </c>
      <c r="M1354" s="5" t="str">
        <f>TEXT(Store_Record[[#This Row],[Date]],"mmmm")</f>
        <v>April</v>
      </c>
      <c r="N1354" s="5">
        <f>YEAR(Store_Record[[#This Row],[Date]])</f>
        <v>2025</v>
      </c>
      <c r="O1354"/>
    </row>
    <row r="1355" spans="1:15" x14ac:dyDescent="0.35">
      <c r="A1355" t="s">
        <v>2122</v>
      </c>
      <c r="B1355" s="2">
        <v>45752</v>
      </c>
      <c r="C1355" t="s">
        <v>10</v>
      </c>
      <c r="D1355" t="s">
        <v>152</v>
      </c>
      <c r="E1355" t="s">
        <v>26</v>
      </c>
      <c r="F1355" t="s">
        <v>13</v>
      </c>
      <c r="G1355">
        <v>2</v>
      </c>
      <c r="H1355">
        <v>3.5</v>
      </c>
      <c r="I1355" t="s">
        <v>21</v>
      </c>
      <c r="J1355" t="s">
        <v>258</v>
      </c>
      <c r="K1355" s="12">
        <f>Store_Record[[#This Row],[Qty]]*Store_Record[[#This Row],[UnitPriceGBP]]</f>
        <v>7</v>
      </c>
      <c r="L1355" s="5" t="str">
        <f>TEXT(Store_Record[[#This Row],[Date]],"dddd")</f>
        <v>Saturday</v>
      </c>
      <c r="M1355" s="5" t="str">
        <f>TEXT(Store_Record[[#This Row],[Date]],"mmmm")</f>
        <v>April</v>
      </c>
      <c r="N1355" s="5">
        <f>YEAR(Store_Record[[#This Row],[Date]])</f>
        <v>2025</v>
      </c>
      <c r="O1355"/>
    </row>
    <row r="1356" spans="1:15" x14ac:dyDescent="0.35">
      <c r="A1356" t="s">
        <v>2117</v>
      </c>
      <c r="B1356" s="2">
        <v>45752</v>
      </c>
      <c r="C1356" t="s">
        <v>36</v>
      </c>
      <c r="D1356" t="s">
        <v>47</v>
      </c>
      <c r="E1356" t="s">
        <v>34</v>
      </c>
      <c r="F1356" t="s">
        <v>31</v>
      </c>
      <c r="G1356">
        <v>2</v>
      </c>
      <c r="H1356">
        <v>2.2000000000000002</v>
      </c>
      <c r="I1356" t="s">
        <v>21</v>
      </c>
      <c r="J1356" t="s">
        <v>380</v>
      </c>
      <c r="K1356" s="12">
        <f>Store_Record[[#This Row],[Qty]]*Store_Record[[#This Row],[UnitPriceGBP]]</f>
        <v>4.4000000000000004</v>
      </c>
      <c r="L1356" s="5" t="str">
        <f>TEXT(Store_Record[[#This Row],[Date]],"dddd")</f>
        <v>Saturday</v>
      </c>
      <c r="M1356" s="5" t="str">
        <f>TEXT(Store_Record[[#This Row],[Date]],"mmmm")</f>
        <v>April</v>
      </c>
      <c r="N1356" s="5">
        <f>YEAR(Store_Record[[#This Row],[Date]])</f>
        <v>2025</v>
      </c>
      <c r="O1356"/>
    </row>
    <row r="1357" spans="1:15" x14ac:dyDescent="0.35">
      <c r="A1357" t="s">
        <v>2120</v>
      </c>
      <c r="B1357" s="2">
        <v>45752</v>
      </c>
      <c r="C1357" t="s">
        <v>20</v>
      </c>
      <c r="D1357" t="s">
        <v>38</v>
      </c>
      <c r="E1357" t="s">
        <v>42</v>
      </c>
      <c r="F1357" t="s">
        <v>13</v>
      </c>
      <c r="G1357">
        <v>1</v>
      </c>
      <c r="H1357">
        <v>3.8</v>
      </c>
      <c r="I1357" t="s">
        <v>14</v>
      </c>
      <c r="J1357" t="s">
        <v>254</v>
      </c>
      <c r="K1357" s="12">
        <f>Store_Record[[#This Row],[Qty]]*Store_Record[[#This Row],[UnitPriceGBP]]</f>
        <v>3.8</v>
      </c>
      <c r="L1357" s="5" t="str">
        <f>TEXT(Store_Record[[#This Row],[Date]],"dddd")</f>
        <v>Saturday</v>
      </c>
      <c r="M1357" s="5" t="str">
        <f>TEXT(Store_Record[[#This Row],[Date]],"mmmm")</f>
        <v>April</v>
      </c>
      <c r="N1357" s="5">
        <f>YEAR(Store_Record[[#This Row],[Date]])</f>
        <v>2025</v>
      </c>
      <c r="O1357"/>
    </row>
    <row r="1358" spans="1:15" x14ac:dyDescent="0.35">
      <c r="A1358" t="s">
        <v>2121</v>
      </c>
      <c r="B1358" s="2">
        <v>45752</v>
      </c>
      <c r="C1358" t="s">
        <v>24</v>
      </c>
      <c r="D1358" t="s">
        <v>152</v>
      </c>
      <c r="E1358" t="s">
        <v>30</v>
      </c>
      <c r="F1358" t="s">
        <v>31</v>
      </c>
      <c r="G1358">
        <v>1</v>
      </c>
      <c r="H1358">
        <v>2.8</v>
      </c>
      <c r="I1358" t="s">
        <v>39</v>
      </c>
      <c r="J1358" t="s">
        <v>245</v>
      </c>
      <c r="K1358" s="12">
        <f>Store_Record[[#This Row],[Qty]]*Store_Record[[#This Row],[UnitPriceGBP]]</f>
        <v>2.8</v>
      </c>
      <c r="L1358" s="5" t="str">
        <f>TEXT(Store_Record[[#This Row],[Date]],"dddd")</f>
        <v>Saturday</v>
      </c>
      <c r="M1358" s="5" t="str">
        <f>TEXT(Store_Record[[#This Row],[Date]],"mmmm")</f>
        <v>April</v>
      </c>
      <c r="N1358" s="5">
        <f>YEAR(Store_Record[[#This Row],[Date]])</f>
        <v>2025</v>
      </c>
      <c r="O1358"/>
    </row>
    <row r="1359" spans="1:15" x14ac:dyDescent="0.35">
      <c r="A1359" t="s">
        <v>2125</v>
      </c>
      <c r="B1359" s="2">
        <v>45752</v>
      </c>
      <c r="C1359" t="s">
        <v>24</v>
      </c>
      <c r="D1359" t="s">
        <v>11</v>
      </c>
      <c r="E1359" t="s">
        <v>34</v>
      </c>
      <c r="F1359" t="s">
        <v>31</v>
      </c>
      <c r="G1359">
        <v>1</v>
      </c>
      <c r="H1359">
        <v>2.2000000000000002</v>
      </c>
      <c r="I1359" t="s">
        <v>21</v>
      </c>
      <c r="J1359" t="s">
        <v>1023</v>
      </c>
      <c r="K1359" s="12">
        <f>Store_Record[[#This Row],[Qty]]*Store_Record[[#This Row],[UnitPriceGBP]]</f>
        <v>2.2000000000000002</v>
      </c>
      <c r="L1359" s="5" t="str">
        <f>TEXT(Store_Record[[#This Row],[Date]],"dddd")</f>
        <v>Saturday</v>
      </c>
      <c r="M1359" s="5" t="str">
        <f>TEXT(Store_Record[[#This Row],[Date]],"mmmm")</f>
        <v>April</v>
      </c>
      <c r="N1359" s="5">
        <f>YEAR(Store_Record[[#This Row],[Date]])</f>
        <v>2025</v>
      </c>
      <c r="O1359"/>
    </row>
    <row r="1360" spans="1:15" x14ac:dyDescent="0.35">
      <c r="A1360" t="s">
        <v>2131</v>
      </c>
      <c r="B1360" s="2">
        <v>45753</v>
      </c>
      <c r="C1360" t="s">
        <v>10</v>
      </c>
      <c r="D1360" t="s">
        <v>29</v>
      </c>
      <c r="E1360" t="s">
        <v>26</v>
      </c>
      <c r="F1360" t="s">
        <v>13</v>
      </c>
      <c r="G1360">
        <v>5</v>
      </c>
      <c r="H1360">
        <v>3.5</v>
      </c>
      <c r="I1360" t="s">
        <v>39</v>
      </c>
      <c r="J1360" t="s">
        <v>1904</v>
      </c>
      <c r="K1360" s="12">
        <f>Store_Record[[#This Row],[Qty]]*Store_Record[[#This Row],[UnitPriceGBP]]</f>
        <v>17.5</v>
      </c>
      <c r="L1360" s="5" t="str">
        <f>TEXT(Store_Record[[#This Row],[Date]],"dddd")</f>
        <v>Sunday</v>
      </c>
      <c r="M1360" s="5" t="str">
        <f>TEXT(Store_Record[[#This Row],[Date]],"mmmm")</f>
        <v>April</v>
      </c>
      <c r="N1360" s="5">
        <f>YEAR(Store_Record[[#This Row],[Date]])</f>
        <v>2025</v>
      </c>
      <c r="O1360"/>
    </row>
    <row r="1361" spans="1:15" x14ac:dyDescent="0.35">
      <c r="A1361" t="s">
        <v>2137</v>
      </c>
      <c r="B1361" s="2">
        <v>45753</v>
      </c>
      <c r="C1361" t="s">
        <v>36</v>
      </c>
      <c r="D1361" t="s">
        <v>11</v>
      </c>
      <c r="E1361" t="s">
        <v>30</v>
      </c>
      <c r="F1361" t="s">
        <v>31</v>
      </c>
      <c r="G1361">
        <v>5</v>
      </c>
      <c r="H1361">
        <v>2.8</v>
      </c>
      <c r="I1361" t="s">
        <v>39</v>
      </c>
      <c r="J1361" t="s">
        <v>1198</v>
      </c>
      <c r="K1361" s="12">
        <f>Store_Record[[#This Row],[Qty]]*Store_Record[[#This Row],[UnitPriceGBP]]</f>
        <v>14</v>
      </c>
      <c r="L1361" s="5" t="str">
        <f>TEXT(Store_Record[[#This Row],[Date]],"dddd")</f>
        <v>Sunday</v>
      </c>
      <c r="M1361" s="5" t="str">
        <f>TEXT(Store_Record[[#This Row],[Date]],"mmmm")</f>
        <v>April</v>
      </c>
      <c r="N1361" s="5">
        <f>YEAR(Store_Record[[#This Row],[Date]])</f>
        <v>2025</v>
      </c>
      <c r="O1361"/>
    </row>
    <row r="1362" spans="1:15" x14ac:dyDescent="0.35">
      <c r="A1362" t="s">
        <v>2126</v>
      </c>
      <c r="B1362" s="2">
        <v>45753</v>
      </c>
      <c r="C1362" t="s">
        <v>10</v>
      </c>
      <c r="D1362" t="s">
        <v>29</v>
      </c>
      <c r="E1362" t="s">
        <v>12</v>
      </c>
      <c r="F1362" t="s">
        <v>13</v>
      </c>
      <c r="G1362">
        <v>5</v>
      </c>
      <c r="H1362">
        <v>2.5</v>
      </c>
      <c r="I1362" t="s">
        <v>21</v>
      </c>
      <c r="J1362" t="s">
        <v>986</v>
      </c>
      <c r="K1362" s="12">
        <f>Store_Record[[#This Row],[Qty]]*Store_Record[[#This Row],[UnitPriceGBP]]</f>
        <v>12.5</v>
      </c>
      <c r="L1362" s="5" t="str">
        <f>TEXT(Store_Record[[#This Row],[Date]],"dddd")</f>
        <v>Sunday</v>
      </c>
      <c r="M1362" s="5" t="str">
        <f>TEXT(Store_Record[[#This Row],[Date]],"mmmm")</f>
        <v>April</v>
      </c>
      <c r="N1362" s="5">
        <f>YEAR(Store_Record[[#This Row],[Date]])</f>
        <v>2025</v>
      </c>
      <c r="O1362"/>
    </row>
    <row r="1363" spans="1:15" x14ac:dyDescent="0.35">
      <c r="A1363" t="s">
        <v>2144</v>
      </c>
      <c r="B1363" s="2">
        <v>45753</v>
      </c>
      <c r="C1363" t="s">
        <v>20</v>
      </c>
      <c r="D1363" t="s">
        <v>25</v>
      </c>
      <c r="E1363" t="s">
        <v>12</v>
      </c>
      <c r="F1363" t="s">
        <v>13</v>
      </c>
      <c r="G1363">
        <v>5</v>
      </c>
      <c r="H1363">
        <v>2.5</v>
      </c>
      <c r="I1363" t="s">
        <v>14</v>
      </c>
      <c r="J1363" t="s">
        <v>769</v>
      </c>
      <c r="K1363" s="12">
        <f>Store_Record[[#This Row],[Qty]]*Store_Record[[#This Row],[UnitPriceGBP]]</f>
        <v>12.5</v>
      </c>
      <c r="L1363" s="5" t="str">
        <f>TEXT(Store_Record[[#This Row],[Date]],"dddd")</f>
        <v>Sunday</v>
      </c>
      <c r="M1363" s="5" t="str">
        <f>TEXT(Store_Record[[#This Row],[Date]],"mmmm")</f>
        <v>April</v>
      </c>
      <c r="N1363" s="5">
        <f>YEAR(Store_Record[[#This Row],[Date]])</f>
        <v>2025</v>
      </c>
      <c r="O1363"/>
    </row>
    <row r="1364" spans="1:15" x14ac:dyDescent="0.35">
      <c r="A1364" t="s">
        <v>2129</v>
      </c>
      <c r="B1364" s="2">
        <v>45753</v>
      </c>
      <c r="C1364" t="s">
        <v>24</v>
      </c>
      <c r="D1364" t="s">
        <v>25</v>
      </c>
      <c r="E1364" t="s">
        <v>42</v>
      </c>
      <c r="F1364" t="s">
        <v>13</v>
      </c>
      <c r="G1364">
        <v>3</v>
      </c>
      <c r="H1364">
        <v>3.8</v>
      </c>
      <c r="I1364" t="s">
        <v>14</v>
      </c>
      <c r="J1364" t="s">
        <v>2130</v>
      </c>
      <c r="K1364" s="12">
        <f>Store_Record[[#This Row],[Qty]]*Store_Record[[#This Row],[UnitPriceGBP]]</f>
        <v>11.399999999999999</v>
      </c>
      <c r="L1364" s="5" t="str">
        <f>TEXT(Store_Record[[#This Row],[Date]],"dddd")</f>
        <v>Sunday</v>
      </c>
      <c r="M1364" s="5" t="str">
        <f>TEXT(Store_Record[[#This Row],[Date]],"mmmm")</f>
        <v>April</v>
      </c>
      <c r="N1364" s="5">
        <f>YEAR(Store_Record[[#This Row],[Date]])</f>
        <v>2025</v>
      </c>
      <c r="O1364"/>
    </row>
    <row r="1365" spans="1:15" x14ac:dyDescent="0.35">
      <c r="A1365" t="s">
        <v>2135</v>
      </c>
      <c r="B1365" s="2">
        <v>45753</v>
      </c>
      <c r="C1365" t="s">
        <v>36</v>
      </c>
      <c r="D1365" t="s">
        <v>38</v>
      </c>
      <c r="E1365" t="s">
        <v>42</v>
      </c>
      <c r="F1365" t="s">
        <v>13</v>
      </c>
      <c r="G1365">
        <v>3</v>
      </c>
      <c r="H1365">
        <v>3.8</v>
      </c>
      <c r="I1365" t="s">
        <v>39</v>
      </c>
      <c r="J1365" t="s">
        <v>1734</v>
      </c>
      <c r="K1365" s="12">
        <f>Store_Record[[#This Row],[Qty]]*Store_Record[[#This Row],[UnitPriceGBP]]</f>
        <v>11.399999999999999</v>
      </c>
      <c r="L1365" s="5" t="str">
        <f>TEXT(Store_Record[[#This Row],[Date]],"dddd")</f>
        <v>Sunday</v>
      </c>
      <c r="M1365" s="5" t="str">
        <f>TEXT(Store_Record[[#This Row],[Date]],"mmmm")</f>
        <v>April</v>
      </c>
      <c r="N1365" s="5">
        <f>YEAR(Store_Record[[#This Row],[Date]])</f>
        <v>2025</v>
      </c>
      <c r="O1365"/>
    </row>
    <row r="1366" spans="1:15" x14ac:dyDescent="0.35">
      <c r="A1366" t="s">
        <v>2128</v>
      </c>
      <c r="B1366" s="2">
        <v>45753</v>
      </c>
      <c r="C1366" t="s">
        <v>10</v>
      </c>
      <c r="D1366" t="s">
        <v>29</v>
      </c>
      <c r="E1366" t="s">
        <v>30</v>
      </c>
      <c r="F1366" t="s">
        <v>31</v>
      </c>
      <c r="G1366">
        <v>4</v>
      </c>
      <c r="H1366">
        <v>2.8</v>
      </c>
      <c r="I1366" t="s">
        <v>21</v>
      </c>
      <c r="J1366" t="s">
        <v>121</v>
      </c>
      <c r="K1366" s="12">
        <f>Store_Record[[#This Row],[Qty]]*Store_Record[[#This Row],[UnitPriceGBP]]</f>
        <v>11.2</v>
      </c>
      <c r="L1366" s="5" t="str">
        <f>TEXT(Store_Record[[#This Row],[Date]],"dddd")</f>
        <v>Sunday</v>
      </c>
      <c r="M1366" s="5" t="str">
        <f>TEXT(Store_Record[[#This Row],[Date]],"mmmm")</f>
        <v>April</v>
      </c>
      <c r="N1366" s="5">
        <f>YEAR(Store_Record[[#This Row],[Date]])</f>
        <v>2025</v>
      </c>
      <c r="O1366"/>
    </row>
    <row r="1367" spans="1:15" x14ac:dyDescent="0.35">
      <c r="A1367" t="s">
        <v>2139</v>
      </c>
      <c r="B1367" s="2">
        <v>45753</v>
      </c>
      <c r="C1367" t="s">
        <v>20</v>
      </c>
      <c r="D1367" t="s">
        <v>38</v>
      </c>
      <c r="E1367" t="s">
        <v>30</v>
      </c>
      <c r="F1367" t="s">
        <v>31</v>
      </c>
      <c r="G1367">
        <v>4</v>
      </c>
      <c r="H1367">
        <v>2.8</v>
      </c>
      <c r="I1367" t="s">
        <v>14</v>
      </c>
      <c r="J1367" t="s">
        <v>1632</v>
      </c>
      <c r="K1367" s="12">
        <f>Store_Record[[#This Row],[Qty]]*Store_Record[[#This Row],[UnitPriceGBP]]</f>
        <v>11.2</v>
      </c>
      <c r="L1367" s="5" t="str">
        <f>TEXT(Store_Record[[#This Row],[Date]],"dddd")</f>
        <v>Sunday</v>
      </c>
      <c r="M1367" s="5" t="str">
        <f>TEXT(Store_Record[[#This Row],[Date]],"mmmm")</f>
        <v>April</v>
      </c>
      <c r="N1367" s="5">
        <f>YEAR(Store_Record[[#This Row],[Date]])</f>
        <v>2025</v>
      </c>
      <c r="O1367"/>
    </row>
    <row r="1368" spans="1:15" x14ac:dyDescent="0.35">
      <c r="A1368" t="s">
        <v>2138</v>
      </c>
      <c r="B1368" s="2">
        <v>45753</v>
      </c>
      <c r="C1368" t="s">
        <v>36</v>
      </c>
      <c r="D1368" t="s">
        <v>29</v>
      </c>
      <c r="E1368" t="s">
        <v>34</v>
      </c>
      <c r="F1368" t="s">
        <v>31</v>
      </c>
      <c r="G1368">
        <v>5</v>
      </c>
      <c r="H1368">
        <v>2.2000000000000002</v>
      </c>
      <c r="I1368" t="s">
        <v>21</v>
      </c>
      <c r="J1368" t="s">
        <v>1262</v>
      </c>
      <c r="K1368" s="12">
        <f>Store_Record[[#This Row],[Qty]]*Store_Record[[#This Row],[UnitPriceGBP]]</f>
        <v>11</v>
      </c>
      <c r="L1368" s="5" t="str">
        <f>TEXT(Store_Record[[#This Row],[Date]],"dddd")</f>
        <v>Sunday</v>
      </c>
      <c r="M1368" s="5" t="str">
        <f>TEXT(Store_Record[[#This Row],[Date]],"mmmm")</f>
        <v>April</v>
      </c>
      <c r="N1368" s="5">
        <f>YEAR(Store_Record[[#This Row],[Date]])</f>
        <v>2025</v>
      </c>
      <c r="O1368"/>
    </row>
    <row r="1369" spans="1:15" x14ac:dyDescent="0.35">
      <c r="A1369" t="s">
        <v>2141</v>
      </c>
      <c r="B1369" s="2">
        <v>45753</v>
      </c>
      <c r="C1369" t="s">
        <v>10</v>
      </c>
      <c r="D1369" t="s">
        <v>29</v>
      </c>
      <c r="E1369" t="s">
        <v>34</v>
      </c>
      <c r="F1369" t="s">
        <v>31</v>
      </c>
      <c r="G1369">
        <v>5</v>
      </c>
      <c r="H1369">
        <v>2.2000000000000002</v>
      </c>
      <c r="I1369" t="s">
        <v>14</v>
      </c>
      <c r="J1369" t="s">
        <v>2142</v>
      </c>
      <c r="K1369" s="12">
        <f>Store_Record[[#This Row],[Qty]]*Store_Record[[#This Row],[UnitPriceGBP]]</f>
        <v>11</v>
      </c>
      <c r="L1369" s="5" t="str">
        <f>TEXT(Store_Record[[#This Row],[Date]],"dddd")</f>
        <v>Sunday</v>
      </c>
      <c r="M1369" s="5" t="str">
        <f>TEXT(Store_Record[[#This Row],[Date]],"mmmm")</f>
        <v>April</v>
      </c>
      <c r="N1369" s="5">
        <f>YEAR(Store_Record[[#This Row],[Date]])</f>
        <v>2025</v>
      </c>
      <c r="O1369"/>
    </row>
    <row r="1370" spans="1:15" x14ac:dyDescent="0.35">
      <c r="A1370" t="s">
        <v>2132</v>
      </c>
      <c r="B1370" s="2">
        <v>45753</v>
      </c>
      <c r="C1370" t="s">
        <v>20</v>
      </c>
      <c r="D1370" t="s">
        <v>38</v>
      </c>
      <c r="E1370" t="s">
        <v>26</v>
      </c>
      <c r="F1370" t="s">
        <v>13</v>
      </c>
      <c r="G1370">
        <v>3</v>
      </c>
      <c r="H1370">
        <v>3.5</v>
      </c>
      <c r="I1370" t="s">
        <v>21</v>
      </c>
      <c r="J1370" t="s">
        <v>470</v>
      </c>
      <c r="K1370" s="12">
        <f>Store_Record[[#This Row],[Qty]]*Store_Record[[#This Row],[UnitPriceGBP]]</f>
        <v>10.5</v>
      </c>
      <c r="L1370" s="5" t="str">
        <f>TEXT(Store_Record[[#This Row],[Date]],"dddd")</f>
        <v>Sunday</v>
      </c>
      <c r="M1370" s="5" t="str">
        <f>TEXT(Store_Record[[#This Row],[Date]],"mmmm")</f>
        <v>April</v>
      </c>
      <c r="N1370" s="5">
        <f>YEAR(Store_Record[[#This Row],[Date]])</f>
        <v>2025</v>
      </c>
      <c r="O1370"/>
    </row>
    <row r="1371" spans="1:15" x14ac:dyDescent="0.35">
      <c r="A1371" t="s">
        <v>2143</v>
      </c>
      <c r="B1371" s="2">
        <v>45753</v>
      </c>
      <c r="C1371" t="s">
        <v>24</v>
      </c>
      <c r="D1371" t="s">
        <v>11</v>
      </c>
      <c r="E1371" t="s">
        <v>26</v>
      </c>
      <c r="F1371" t="s">
        <v>13</v>
      </c>
      <c r="G1371">
        <v>3</v>
      </c>
      <c r="H1371">
        <v>3.5</v>
      </c>
      <c r="I1371" t="s">
        <v>14</v>
      </c>
      <c r="J1371" t="s">
        <v>1029</v>
      </c>
      <c r="K1371" s="12">
        <f>Store_Record[[#This Row],[Qty]]*Store_Record[[#This Row],[UnitPriceGBP]]</f>
        <v>10.5</v>
      </c>
      <c r="L1371" s="5" t="str">
        <f>TEXT(Store_Record[[#This Row],[Date]],"dddd")</f>
        <v>Sunday</v>
      </c>
      <c r="M1371" s="5" t="str">
        <f>TEXT(Store_Record[[#This Row],[Date]],"mmmm")</f>
        <v>April</v>
      </c>
      <c r="N1371" s="5">
        <f>YEAR(Store_Record[[#This Row],[Date]])</f>
        <v>2025</v>
      </c>
      <c r="O1371"/>
    </row>
    <row r="1372" spans="1:15" x14ac:dyDescent="0.35">
      <c r="A1372" t="s">
        <v>2136</v>
      </c>
      <c r="B1372" s="2">
        <v>45753</v>
      </c>
      <c r="C1372" t="s">
        <v>10</v>
      </c>
      <c r="D1372" t="s">
        <v>25</v>
      </c>
      <c r="E1372" t="s">
        <v>12</v>
      </c>
      <c r="F1372" t="s">
        <v>13</v>
      </c>
      <c r="G1372">
        <v>4</v>
      </c>
      <c r="H1372">
        <v>2.5</v>
      </c>
      <c r="I1372" t="s">
        <v>21</v>
      </c>
      <c r="J1372" t="s">
        <v>380</v>
      </c>
      <c r="K1372" s="12">
        <f>Store_Record[[#This Row],[Qty]]*Store_Record[[#This Row],[UnitPriceGBP]]</f>
        <v>10</v>
      </c>
      <c r="L1372" s="5" t="str">
        <f>TEXT(Store_Record[[#This Row],[Date]],"dddd")</f>
        <v>Sunday</v>
      </c>
      <c r="M1372" s="5" t="str">
        <f>TEXT(Store_Record[[#This Row],[Date]],"mmmm")</f>
        <v>April</v>
      </c>
      <c r="N1372" s="5">
        <f>YEAR(Store_Record[[#This Row],[Date]])</f>
        <v>2025</v>
      </c>
      <c r="O1372"/>
    </row>
    <row r="1373" spans="1:15" x14ac:dyDescent="0.35">
      <c r="A1373" t="s">
        <v>2140</v>
      </c>
      <c r="B1373" s="2">
        <v>45753</v>
      </c>
      <c r="C1373" t="s">
        <v>36</v>
      </c>
      <c r="D1373" t="s">
        <v>47</v>
      </c>
      <c r="E1373" t="s">
        <v>30</v>
      </c>
      <c r="F1373" t="s">
        <v>31</v>
      </c>
      <c r="G1373">
        <v>1</v>
      </c>
      <c r="H1373">
        <v>2.8</v>
      </c>
      <c r="I1373" t="s">
        <v>14</v>
      </c>
      <c r="J1373" t="s">
        <v>1703</v>
      </c>
      <c r="K1373" s="12">
        <f>Store_Record[[#This Row],[Qty]]*Store_Record[[#This Row],[UnitPriceGBP]]</f>
        <v>2.8</v>
      </c>
      <c r="L1373" s="5" t="str">
        <f>TEXT(Store_Record[[#This Row],[Date]],"dddd")</f>
        <v>Sunday</v>
      </c>
      <c r="M1373" s="5" t="str">
        <f>TEXT(Store_Record[[#This Row],[Date]],"mmmm")</f>
        <v>April</v>
      </c>
      <c r="N1373" s="5">
        <f>YEAR(Store_Record[[#This Row],[Date]])</f>
        <v>2025</v>
      </c>
      <c r="O1373"/>
    </row>
    <row r="1374" spans="1:15" x14ac:dyDescent="0.35">
      <c r="A1374" t="s">
        <v>2133</v>
      </c>
      <c r="B1374" s="2">
        <v>45753</v>
      </c>
      <c r="C1374" t="s">
        <v>36</v>
      </c>
      <c r="D1374" t="s">
        <v>25</v>
      </c>
      <c r="E1374" t="s">
        <v>12</v>
      </c>
      <c r="F1374" t="s">
        <v>13</v>
      </c>
      <c r="G1374">
        <v>1</v>
      </c>
      <c r="H1374">
        <v>2.5</v>
      </c>
      <c r="I1374" t="s">
        <v>39</v>
      </c>
      <c r="J1374" t="s">
        <v>2134</v>
      </c>
      <c r="K1374" s="12">
        <f>Store_Record[[#This Row],[Qty]]*Store_Record[[#This Row],[UnitPriceGBP]]</f>
        <v>2.5</v>
      </c>
      <c r="L1374" s="5" t="str">
        <f>TEXT(Store_Record[[#This Row],[Date]],"dddd")</f>
        <v>Sunday</v>
      </c>
      <c r="M1374" s="5" t="str">
        <f>TEXT(Store_Record[[#This Row],[Date]],"mmmm")</f>
        <v>April</v>
      </c>
      <c r="N1374" s="5">
        <f>YEAR(Store_Record[[#This Row],[Date]])</f>
        <v>2025</v>
      </c>
      <c r="O1374"/>
    </row>
    <row r="1375" spans="1:15" x14ac:dyDescent="0.35">
      <c r="A1375" t="s">
        <v>2127</v>
      </c>
      <c r="B1375" s="2">
        <v>45753</v>
      </c>
      <c r="C1375" t="s">
        <v>36</v>
      </c>
      <c r="D1375" t="s">
        <v>29</v>
      </c>
      <c r="E1375" t="s">
        <v>34</v>
      </c>
      <c r="F1375" t="s">
        <v>31</v>
      </c>
      <c r="G1375">
        <v>1</v>
      </c>
      <c r="H1375">
        <v>2.2000000000000002</v>
      </c>
      <c r="I1375" t="s">
        <v>21</v>
      </c>
      <c r="J1375" t="s">
        <v>402</v>
      </c>
      <c r="K1375" s="12">
        <f>Store_Record[[#This Row],[Qty]]*Store_Record[[#This Row],[UnitPriceGBP]]</f>
        <v>2.2000000000000002</v>
      </c>
      <c r="L1375" s="5" t="str">
        <f>TEXT(Store_Record[[#This Row],[Date]],"dddd")</f>
        <v>Sunday</v>
      </c>
      <c r="M1375" s="5" t="str">
        <f>TEXT(Store_Record[[#This Row],[Date]],"mmmm")</f>
        <v>April</v>
      </c>
      <c r="N1375" s="5">
        <f>YEAR(Store_Record[[#This Row],[Date]])</f>
        <v>2025</v>
      </c>
      <c r="O1375"/>
    </row>
    <row r="1376" spans="1:15" x14ac:dyDescent="0.35">
      <c r="A1376" t="s">
        <v>2147</v>
      </c>
      <c r="B1376" s="2">
        <v>45754</v>
      </c>
      <c r="C1376" t="s">
        <v>20</v>
      </c>
      <c r="D1376" t="s">
        <v>38</v>
      </c>
      <c r="E1376" t="s">
        <v>42</v>
      </c>
      <c r="F1376" t="s">
        <v>13</v>
      </c>
      <c r="G1376">
        <v>4</v>
      </c>
      <c r="H1376">
        <v>3.8</v>
      </c>
      <c r="I1376" t="s">
        <v>14</v>
      </c>
      <c r="J1376" t="s">
        <v>1280</v>
      </c>
      <c r="K1376" s="12">
        <f>Store_Record[[#This Row],[Qty]]*Store_Record[[#This Row],[UnitPriceGBP]]</f>
        <v>15.2</v>
      </c>
      <c r="L1376" s="5" t="str">
        <f>TEXT(Store_Record[[#This Row],[Date]],"dddd")</f>
        <v>Monday</v>
      </c>
      <c r="M1376" s="5" t="str">
        <f>TEXT(Store_Record[[#This Row],[Date]],"mmmm")</f>
        <v>April</v>
      </c>
      <c r="N1376" s="5">
        <f>YEAR(Store_Record[[#This Row],[Date]])</f>
        <v>2025</v>
      </c>
      <c r="O1376"/>
    </row>
    <row r="1377" spans="1:15" x14ac:dyDescent="0.35">
      <c r="A1377" t="s">
        <v>2151</v>
      </c>
      <c r="B1377" s="2">
        <v>45754</v>
      </c>
      <c r="C1377" t="s">
        <v>36</v>
      </c>
      <c r="D1377" t="s">
        <v>25</v>
      </c>
      <c r="E1377" t="s">
        <v>30</v>
      </c>
      <c r="F1377" t="s">
        <v>31</v>
      </c>
      <c r="G1377">
        <v>5</v>
      </c>
      <c r="H1377">
        <v>2.8</v>
      </c>
      <c r="I1377" t="s">
        <v>14</v>
      </c>
      <c r="J1377" t="s">
        <v>165</v>
      </c>
      <c r="K1377" s="12">
        <f>Store_Record[[#This Row],[Qty]]*Store_Record[[#This Row],[UnitPriceGBP]]</f>
        <v>14</v>
      </c>
      <c r="L1377" s="5" t="str">
        <f>TEXT(Store_Record[[#This Row],[Date]],"dddd")</f>
        <v>Monday</v>
      </c>
      <c r="M1377" s="5" t="str">
        <f>TEXT(Store_Record[[#This Row],[Date]],"mmmm")</f>
        <v>April</v>
      </c>
      <c r="N1377" s="5">
        <f>YEAR(Store_Record[[#This Row],[Date]])</f>
        <v>2025</v>
      </c>
      <c r="O1377"/>
    </row>
    <row r="1378" spans="1:15" x14ac:dyDescent="0.35">
      <c r="A1378" t="s">
        <v>2153</v>
      </c>
      <c r="B1378" s="2">
        <v>45754</v>
      </c>
      <c r="C1378" t="s">
        <v>36</v>
      </c>
      <c r="D1378" t="s">
        <v>11</v>
      </c>
      <c r="E1378" t="s">
        <v>30</v>
      </c>
      <c r="F1378" t="s">
        <v>31</v>
      </c>
      <c r="G1378">
        <v>5</v>
      </c>
      <c r="H1378">
        <v>2.8</v>
      </c>
      <c r="I1378" t="s">
        <v>39</v>
      </c>
      <c r="J1378" t="s">
        <v>732</v>
      </c>
      <c r="K1378" s="12">
        <f>Store_Record[[#This Row],[Qty]]*Store_Record[[#This Row],[UnitPriceGBP]]</f>
        <v>14</v>
      </c>
      <c r="L1378" s="5" t="str">
        <f>TEXT(Store_Record[[#This Row],[Date]],"dddd")</f>
        <v>Monday</v>
      </c>
      <c r="M1378" s="5" t="str">
        <f>TEXT(Store_Record[[#This Row],[Date]],"mmmm")</f>
        <v>April</v>
      </c>
      <c r="N1378" s="5">
        <f>YEAR(Store_Record[[#This Row],[Date]])</f>
        <v>2025</v>
      </c>
      <c r="O1378"/>
    </row>
    <row r="1379" spans="1:15" x14ac:dyDescent="0.35">
      <c r="A1379" t="s">
        <v>2160</v>
      </c>
      <c r="B1379" s="2">
        <v>45754</v>
      </c>
      <c r="C1379" t="s">
        <v>36</v>
      </c>
      <c r="D1379" t="s">
        <v>47</v>
      </c>
      <c r="E1379" t="s">
        <v>30</v>
      </c>
      <c r="F1379" t="s">
        <v>31</v>
      </c>
      <c r="G1379">
        <v>5</v>
      </c>
      <c r="H1379">
        <v>2.8</v>
      </c>
      <c r="I1379" t="s">
        <v>39</v>
      </c>
      <c r="J1379" t="s">
        <v>2041</v>
      </c>
      <c r="K1379" s="12">
        <f>Store_Record[[#This Row],[Qty]]*Store_Record[[#This Row],[UnitPriceGBP]]</f>
        <v>14</v>
      </c>
      <c r="L1379" s="5" t="str">
        <f>TEXT(Store_Record[[#This Row],[Date]],"dddd")</f>
        <v>Monday</v>
      </c>
      <c r="M1379" s="5" t="str">
        <f>TEXT(Store_Record[[#This Row],[Date]],"mmmm")</f>
        <v>April</v>
      </c>
      <c r="N1379" s="5">
        <f>YEAR(Store_Record[[#This Row],[Date]])</f>
        <v>2025</v>
      </c>
      <c r="O1379"/>
    </row>
    <row r="1380" spans="1:15" x14ac:dyDescent="0.35">
      <c r="A1380" t="s">
        <v>2152</v>
      </c>
      <c r="B1380" s="2">
        <v>45754</v>
      </c>
      <c r="C1380" t="s">
        <v>10</v>
      </c>
      <c r="D1380" t="s">
        <v>38</v>
      </c>
      <c r="E1380" t="s">
        <v>30</v>
      </c>
      <c r="F1380" t="s">
        <v>31</v>
      </c>
      <c r="G1380">
        <v>4</v>
      </c>
      <c r="H1380">
        <v>2.8</v>
      </c>
      <c r="I1380" t="s">
        <v>14</v>
      </c>
      <c r="J1380" t="s">
        <v>1625</v>
      </c>
      <c r="K1380" s="12">
        <f>Store_Record[[#This Row],[Qty]]*Store_Record[[#This Row],[UnitPriceGBP]]</f>
        <v>11.2</v>
      </c>
      <c r="L1380" s="5" t="str">
        <f>TEXT(Store_Record[[#This Row],[Date]],"dddd")</f>
        <v>Monday</v>
      </c>
      <c r="M1380" s="5" t="str">
        <f>TEXT(Store_Record[[#This Row],[Date]],"mmmm")</f>
        <v>April</v>
      </c>
      <c r="N1380" s="5">
        <f>YEAR(Store_Record[[#This Row],[Date]])</f>
        <v>2025</v>
      </c>
      <c r="O1380"/>
    </row>
    <row r="1381" spans="1:15" x14ac:dyDescent="0.35">
      <c r="A1381" t="s">
        <v>2154</v>
      </c>
      <c r="B1381" s="2">
        <v>45754</v>
      </c>
      <c r="C1381" t="s">
        <v>24</v>
      </c>
      <c r="D1381" t="s">
        <v>29</v>
      </c>
      <c r="E1381" t="s">
        <v>34</v>
      </c>
      <c r="F1381" t="s">
        <v>31</v>
      </c>
      <c r="G1381">
        <v>5</v>
      </c>
      <c r="H1381">
        <v>2.2000000000000002</v>
      </c>
      <c r="I1381" t="s">
        <v>21</v>
      </c>
      <c r="J1381" t="s">
        <v>767</v>
      </c>
      <c r="K1381" s="12">
        <f>Store_Record[[#This Row],[Qty]]*Store_Record[[#This Row],[UnitPriceGBP]]</f>
        <v>11</v>
      </c>
      <c r="L1381" s="5" t="str">
        <f>TEXT(Store_Record[[#This Row],[Date]],"dddd")</f>
        <v>Monday</v>
      </c>
      <c r="M1381" s="5" t="str">
        <f>TEXT(Store_Record[[#This Row],[Date]],"mmmm")</f>
        <v>April</v>
      </c>
      <c r="N1381" s="5">
        <f>YEAR(Store_Record[[#This Row],[Date]])</f>
        <v>2025</v>
      </c>
      <c r="O1381"/>
    </row>
    <row r="1382" spans="1:15" x14ac:dyDescent="0.35">
      <c r="A1382" t="s">
        <v>2163</v>
      </c>
      <c r="B1382" s="2">
        <v>45754</v>
      </c>
      <c r="C1382" t="s">
        <v>20</v>
      </c>
      <c r="D1382" t="s">
        <v>47</v>
      </c>
      <c r="E1382" t="s">
        <v>34</v>
      </c>
      <c r="F1382" t="s">
        <v>31</v>
      </c>
      <c r="G1382">
        <v>5</v>
      </c>
      <c r="H1382">
        <v>2.2000000000000002</v>
      </c>
      <c r="I1382" t="s">
        <v>21</v>
      </c>
      <c r="J1382" t="s">
        <v>439</v>
      </c>
      <c r="K1382" s="12">
        <f>Store_Record[[#This Row],[Qty]]*Store_Record[[#This Row],[UnitPriceGBP]]</f>
        <v>11</v>
      </c>
      <c r="L1382" s="5" t="str">
        <f>TEXT(Store_Record[[#This Row],[Date]],"dddd")</f>
        <v>Monday</v>
      </c>
      <c r="M1382" s="5" t="str">
        <f>TEXT(Store_Record[[#This Row],[Date]],"mmmm")</f>
        <v>April</v>
      </c>
      <c r="N1382" s="5">
        <f>YEAR(Store_Record[[#This Row],[Date]])</f>
        <v>2025</v>
      </c>
      <c r="O1382"/>
    </row>
    <row r="1383" spans="1:15" x14ac:dyDescent="0.35">
      <c r="A1383" t="s">
        <v>2157</v>
      </c>
      <c r="B1383" s="2">
        <v>45754</v>
      </c>
      <c r="C1383" t="s">
        <v>36</v>
      </c>
      <c r="D1383" t="s">
        <v>47</v>
      </c>
      <c r="E1383" t="s">
        <v>26</v>
      </c>
      <c r="F1383" t="s">
        <v>13</v>
      </c>
      <c r="G1383">
        <v>3</v>
      </c>
      <c r="H1383">
        <v>3.5</v>
      </c>
      <c r="I1383" t="s">
        <v>14</v>
      </c>
      <c r="J1383" t="s">
        <v>89</v>
      </c>
      <c r="K1383" s="12">
        <f>Store_Record[[#This Row],[Qty]]*Store_Record[[#This Row],[UnitPriceGBP]]</f>
        <v>10.5</v>
      </c>
      <c r="L1383" s="5" t="str">
        <f>TEXT(Store_Record[[#This Row],[Date]],"dddd")</f>
        <v>Monday</v>
      </c>
      <c r="M1383" s="5" t="str">
        <f>TEXT(Store_Record[[#This Row],[Date]],"mmmm")</f>
        <v>April</v>
      </c>
      <c r="N1383" s="5">
        <f>YEAR(Store_Record[[#This Row],[Date]])</f>
        <v>2025</v>
      </c>
      <c r="O1383"/>
    </row>
    <row r="1384" spans="1:15" x14ac:dyDescent="0.35">
      <c r="A1384" t="s">
        <v>2159</v>
      </c>
      <c r="B1384" s="2">
        <v>45754</v>
      </c>
      <c r="C1384" t="s">
        <v>36</v>
      </c>
      <c r="D1384" t="s">
        <v>47</v>
      </c>
      <c r="E1384" t="s">
        <v>12</v>
      </c>
      <c r="F1384" t="s">
        <v>13</v>
      </c>
      <c r="G1384">
        <v>4</v>
      </c>
      <c r="H1384">
        <v>2.5</v>
      </c>
      <c r="I1384" t="s">
        <v>21</v>
      </c>
      <c r="J1384" t="s">
        <v>1283</v>
      </c>
      <c r="K1384" s="12">
        <f>Store_Record[[#This Row],[Qty]]*Store_Record[[#This Row],[UnitPriceGBP]]</f>
        <v>10</v>
      </c>
      <c r="L1384" s="5" t="str">
        <f>TEXT(Store_Record[[#This Row],[Date]],"dddd")</f>
        <v>Monday</v>
      </c>
      <c r="M1384" s="5" t="str">
        <f>TEXT(Store_Record[[#This Row],[Date]],"mmmm")</f>
        <v>April</v>
      </c>
      <c r="N1384" s="5">
        <f>YEAR(Store_Record[[#This Row],[Date]])</f>
        <v>2025</v>
      </c>
      <c r="O1384"/>
    </row>
    <row r="1385" spans="1:15" x14ac:dyDescent="0.35">
      <c r="A1385" t="s">
        <v>2161</v>
      </c>
      <c r="B1385" s="2">
        <v>45754</v>
      </c>
      <c r="C1385" t="s">
        <v>20</v>
      </c>
      <c r="D1385" t="s">
        <v>25</v>
      </c>
      <c r="E1385" t="s">
        <v>34</v>
      </c>
      <c r="F1385" t="s">
        <v>31</v>
      </c>
      <c r="G1385">
        <v>4</v>
      </c>
      <c r="H1385">
        <v>2.2000000000000002</v>
      </c>
      <c r="I1385" t="s">
        <v>14</v>
      </c>
      <c r="J1385" t="s">
        <v>2162</v>
      </c>
      <c r="K1385" s="12">
        <f>Store_Record[[#This Row],[Qty]]*Store_Record[[#This Row],[UnitPriceGBP]]</f>
        <v>8.8000000000000007</v>
      </c>
      <c r="L1385" s="5" t="str">
        <f>TEXT(Store_Record[[#This Row],[Date]],"dddd")</f>
        <v>Monday</v>
      </c>
      <c r="M1385" s="5" t="str">
        <f>TEXT(Store_Record[[#This Row],[Date]],"mmmm")</f>
        <v>April</v>
      </c>
      <c r="N1385" s="5">
        <f>YEAR(Store_Record[[#This Row],[Date]])</f>
        <v>2025</v>
      </c>
      <c r="O1385"/>
    </row>
    <row r="1386" spans="1:15" x14ac:dyDescent="0.35">
      <c r="A1386" t="s">
        <v>2164</v>
      </c>
      <c r="B1386" s="2">
        <v>45754</v>
      </c>
      <c r="C1386" t="s">
        <v>20</v>
      </c>
      <c r="D1386" t="s">
        <v>47</v>
      </c>
      <c r="E1386" t="s">
        <v>34</v>
      </c>
      <c r="F1386" t="s">
        <v>31</v>
      </c>
      <c r="G1386">
        <v>4</v>
      </c>
      <c r="H1386">
        <v>2.2000000000000002</v>
      </c>
      <c r="I1386" t="s">
        <v>21</v>
      </c>
      <c r="J1386" t="s">
        <v>1462</v>
      </c>
      <c r="K1386" s="12">
        <f>Store_Record[[#This Row],[Qty]]*Store_Record[[#This Row],[UnitPriceGBP]]</f>
        <v>8.8000000000000007</v>
      </c>
      <c r="L1386" s="5" t="str">
        <f>TEXT(Store_Record[[#This Row],[Date]],"dddd")</f>
        <v>Monday</v>
      </c>
      <c r="M1386" s="5" t="str">
        <f>TEXT(Store_Record[[#This Row],[Date]],"mmmm")</f>
        <v>April</v>
      </c>
      <c r="N1386" s="5">
        <f>YEAR(Store_Record[[#This Row],[Date]])</f>
        <v>2025</v>
      </c>
      <c r="O1386"/>
    </row>
    <row r="1387" spans="1:15" x14ac:dyDescent="0.35">
      <c r="A1387" t="s">
        <v>2155</v>
      </c>
      <c r="B1387" s="2">
        <v>45754</v>
      </c>
      <c r="C1387" t="s">
        <v>36</v>
      </c>
      <c r="D1387" t="s">
        <v>25</v>
      </c>
      <c r="E1387" t="s">
        <v>30</v>
      </c>
      <c r="F1387" t="s">
        <v>31</v>
      </c>
      <c r="G1387">
        <v>3</v>
      </c>
      <c r="H1387">
        <v>2.8</v>
      </c>
      <c r="I1387" t="s">
        <v>21</v>
      </c>
      <c r="J1387" t="s">
        <v>1550</v>
      </c>
      <c r="K1387" s="12">
        <f>Store_Record[[#This Row],[Qty]]*Store_Record[[#This Row],[UnitPriceGBP]]</f>
        <v>8.3999999999999986</v>
      </c>
      <c r="L1387" s="5" t="str">
        <f>TEXT(Store_Record[[#This Row],[Date]],"dddd")</f>
        <v>Monday</v>
      </c>
      <c r="M1387" s="5" t="str">
        <f>TEXT(Store_Record[[#This Row],[Date]],"mmmm")</f>
        <v>April</v>
      </c>
      <c r="N1387" s="5">
        <f>YEAR(Store_Record[[#This Row],[Date]])</f>
        <v>2025</v>
      </c>
      <c r="O1387"/>
    </row>
    <row r="1388" spans="1:15" x14ac:dyDescent="0.35">
      <c r="A1388" t="s">
        <v>2156</v>
      </c>
      <c r="B1388" s="2">
        <v>45754</v>
      </c>
      <c r="C1388" t="s">
        <v>10</v>
      </c>
      <c r="D1388" t="s">
        <v>47</v>
      </c>
      <c r="E1388" t="s">
        <v>30</v>
      </c>
      <c r="F1388" t="s">
        <v>31</v>
      </c>
      <c r="G1388">
        <v>3</v>
      </c>
      <c r="H1388">
        <v>2.8</v>
      </c>
      <c r="I1388" t="s">
        <v>39</v>
      </c>
      <c r="J1388" t="s">
        <v>165</v>
      </c>
      <c r="K1388" s="12">
        <f>Store_Record[[#This Row],[Qty]]*Store_Record[[#This Row],[UnitPriceGBP]]</f>
        <v>8.3999999999999986</v>
      </c>
      <c r="L1388" s="5" t="str">
        <f>TEXT(Store_Record[[#This Row],[Date]],"dddd")</f>
        <v>Monday</v>
      </c>
      <c r="M1388" s="5" t="str">
        <f>TEXT(Store_Record[[#This Row],[Date]],"mmmm")</f>
        <v>April</v>
      </c>
      <c r="N1388" s="5">
        <f>YEAR(Store_Record[[#This Row],[Date]])</f>
        <v>2025</v>
      </c>
      <c r="O1388"/>
    </row>
    <row r="1389" spans="1:15" x14ac:dyDescent="0.35">
      <c r="A1389" t="s">
        <v>2145</v>
      </c>
      <c r="B1389" s="2">
        <v>45754</v>
      </c>
      <c r="C1389" t="s">
        <v>20</v>
      </c>
      <c r="D1389" t="s">
        <v>38</v>
      </c>
      <c r="E1389" t="s">
        <v>42</v>
      </c>
      <c r="F1389" t="s">
        <v>13</v>
      </c>
      <c r="G1389">
        <v>2</v>
      </c>
      <c r="H1389">
        <v>3.8</v>
      </c>
      <c r="I1389" t="s">
        <v>39</v>
      </c>
      <c r="J1389" t="s">
        <v>1426</v>
      </c>
      <c r="K1389" s="12">
        <f>Store_Record[[#This Row],[Qty]]*Store_Record[[#This Row],[UnitPriceGBP]]</f>
        <v>7.6</v>
      </c>
      <c r="L1389" s="5" t="str">
        <f>TEXT(Store_Record[[#This Row],[Date]],"dddd")</f>
        <v>Monday</v>
      </c>
      <c r="M1389" s="5" t="str">
        <f>TEXT(Store_Record[[#This Row],[Date]],"mmmm")</f>
        <v>April</v>
      </c>
      <c r="N1389" s="5">
        <f>YEAR(Store_Record[[#This Row],[Date]])</f>
        <v>2025</v>
      </c>
      <c r="O1389"/>
    </row>
    <row r="1390" spans="1:15" x14ac:dyDescent="0.35">
      <c r="A1390" t="s">
        <v>2158</v>
      </c>
      <c r="B1390" s="2">
        <v>45754</v>
      </c>
      <c r="C1390" t="s">
        <v>20</v>
      </c>
      <c r="D1390" t="s">
        <v>47</v>
      </c>
      <c r="E1390" t="s">
        <v>42</v>
      </c>
      <c r="F1390" t="s">
        <v>13</v>
      </c>
      <c r="G1390">
        <v>2</v>
      </c>
      <c r="H1390">
        <v>3.8</v>
      </c>
      <c r="I1390" t="s">
        <v>21</v>
      </c>
      <c r="J1390" t="s">
        <v>1288</v>
      </c>
      <c r="K1390" s="12">
        <f>Store_Record[[#This Row],[Qty]]*Store_Record[[#This Row],[UnitPriceGBP]]</f>
        <v>7.6</v>
      </c>
      <c r="L1390" s="5" t="str">
        <f>TEXT(Store_Record[[#This Row],[Date]],"dddd")</f>
        <v>Monday</v>
      </c>
      <c r="M1390" s="5" t="str">
        <f>TEXT(Store_Record[[#This Row],[Date]],"mmmm")</f>
        <v>April</v>
      </c>
      <c r="N1390" s="5">
        <f>YEAR(Store_Record[[#This Row],[Date]])</f>
        <v>2025</v>
      </c>
      <c r="O1390"/>
    </row>
    <row r="1391" spans="1:15" x14ac:dyDescent="0.35">
      <c r="A1391" t="s">
        <v>2148</v>
      </c>
      <c r="B1391" s="2">
        <v>45754</v>
      </c>
      <c r="C1391" t="s">
        <v>24</v>
      </c>
      <c r="D1391" t="s">
        <v>25</v>
      </c>
      <c r="E1391" t="s">
        <v>42</v>
      </c>
      <c r="F1391" t="s">
        <v>13</v>
      </c>
      <c r="G1391">
        <v>1</v>
      </c>
      <c r="H1391">
        <v>3.8</v>
      </c>
      <c r="I1391" t="s">
        <v>14</v>
      </c>
      <c r="J1391" t="s">
        <v>187</v>
      </c>
      <c r="K1391" s="12">
        <f>Store_Record[[#This Row],[Qty]]*Store_Record[[#This Row],[UnitPriceGBP]]</f>
        <v>3.8</v>
      </c>
      <c r="L1391" s="5" t="str">
        <f>TEXT(Store_Record[[#This Row],[Date]],"dddd")</f>
        <v>Monday</v>
      </c>
      <c r="M1391" s="5" t="str">
        <f>TEXT(Store_Record[[#This Row],[Date]],"mmmm")</f>
        <v>April</v>
      </c>
      <c r="N1391" s="5">
        <f>YEAR(Store_Record[[#This Row],[Date]])</f>
        <v>2025</v>
      </c>
      <c r="O1391"/>
    </row>
    <row r="1392" spans="1:15" x14ac:dyDescent="0.35">
      <c r="A1392" t="s">
        <v>2149</v>
      </c>
      <c r="B1392" s="2">
        <v>45754</v>
      </c>
      <c r="C1392" t="s">
        <v>20</v>
      </c>
      <c r="D1392" t="s">
        <v>11</v>
      </c>
      <c r="E1392" t="s">
        <v>42</v>
      </c>
      <c r="F1392" t="s">
        <v>13</v>
      </c>
      <c r="G1392">
        <v>1</v>
      </c>
      <c r="H1392">
        <v>3.8</v>
      </c>
      <c r="I1392" t="s">
        <v>14</v>
      </c>
      <c r="J1392" t="s">
        <v>2150</v>
      </c>
      <c r="K1392" s="12">
        <f>Store_Record[[#This Row],[Qty]]*Store_Record[[#This Row],[UnitPriceGBP]]</f>
        <v>3.8</v>
      </c>
      <c r="L1392" s="5" t="str">
        <f>TEXT(Store_Record[[#This Row],[Date]],"dddd")</f>
        <v>Monday</v>
      </c>
      <c r="M1392" s="5" t="str">
        <f>TEXT(Store_Record[[#This Row],[Date]],"mmmm")</f>
        <v>April</v>
      </c>
      <c r="N1392" s="5">
        <f>YEAR(Store_Record[[#This Row],[Date]])</f>
        <v>2025</v>
      </c>
      <c r="O1392"/>
    </row>
    <row r="1393" spans="1:15" x14ac:dyDescent="0.35">
      <c r="A1393" t="s">
        <v>2146</v>
      </c>
      <c r="B1393" s="2">
        <v>45754</v>
      </c>
      <c r="C1393" t="s">
        <v>24</v>
      </c>
      <c r="D1393" t="s">
        <v>29</v>
      </c>
      <c r="E1393" t="s">
        <v>34</v>
      </c>
      <c r="F1393" t="s">
        <v>31</v>
      </c>
      <c r="G1393">
        <v>1</v>
      </c>
      <c r="H1393">
        <v>2.2000000000000002</v>
      </c>
      <c r="I1393" t="s">
        <v>14</v>
      </c>
      <c r="J1393" t="s">
        <v>171</v>
      </c>
      <c r="K1393" s="12">
        <f>Store_Record[[#This Row],[Qty]]*Store_Record[[#This Row],[UnitPriceGBP]]</f>
        <v>2.2000000000000002</v>
      </c>
      <c r="L1393" s="5" t="str">
        <f>TEXT(Store_Record[[#This Row],[Date]],"dddd")</f>
        <v>Monday</v>
      </c>
      <c r="M1393" s="5" t="str">
        <f>TEXT(Store_Record[[#This Row],[Date]],"mmmm")</f>
        <v>April</v>
      </c>
      <c r="N1393" s="5">
        <f>YEAR(Store_Record[[#This Row],[Date]])</f>
        <v>2025</v>
      </c>
      <c r="O1393"/>
    </row>
    <row r="1394" spans="1:15" x14ac:dyDescent="0.35">
      <c r="A1394" t="s">
        <v>2175</v>
      </c>
      <c r="B1394" s="2">
        <v>45755</v>
      </c>
      <c r="C1394" t="s">
        <v>20</v>
      </c>
      <c r="D1394" t="s">
        <v>38</v>
      </c>
      <c r="E1394" t="s">
        <v>26</v>
      </c>
      <c r="F1394" t="s">
        <v>13</v>
      </c>
      <c r="G1394">
        <v>4</v>
      </c>
      <c r="H1394">
        <v>3.5</v>
      </c>
      <c r="I1394" t="s">
        <v>14</v>
      </c>
      <c r="J1394" t="s">
        <v>101</v>
      </c>
      <c r="K1394" s="12">
        <f>Store_Record[[#This Row],[Qty]]*Store_Record[[#This Row],[UnitPriceGBP]]</f>
        <v>14</v>
      </c>
      <c r="L1394" s="5" t="str">
        <f>TEXT(Store_Record[[#This Row],[Date]],"dddd")</f>
        <v>Tuesday</v>
      </c>
      <c r="M1394" s="5" t="str">
        <f>TEXT(Store_Record[[#This Row],[Date]],"mmmm")</f>
        <v>April</v>
      </c>
      <c r="N1394" s="5">
        <f>YEAR(Store_Record[[#This Row],[Date]])</f>
        <v>2025</v>
      </c>
      <c r="O1394"/>
    </row>
    <row r="1395" spans="1:15" x14ac:dyDescent="0.35">
      <c r="A1395" t="s">
        <v>2176</v>
      </c>
      <c r="B1395" s="2">
        <v>45755</v>
      </c>
      <c r="C1395" t="s">
        <v>20</v>
      </c>
      <c r="D1395" t="s">
        <v>47</v>
      </c>
      <c r="E1395" t="s">
        <v>30</v>
      </c>
      <c r="F1395" t="s">
        <v>31</v>
      </c>
      <c r="G1395">
        <v>5</v>
      </c>
      <c r="H1395">
        <v>2.8</v>
      </c>
      <c r="I1395" t="s">
        <v>21</v>
      </c>
      <c r="J1395" t="s">
        <v>2177</v>
      </c>
      <c r="K1395" s="12">
        <f>Store_Record[[#This Row],[Qty]]*Store_Record[[#This Row],[UnitPriceGBP]]</f>
        <v>14</v>
      </c>
      <c r="L1395" s="5" t="str">
        <f>TEXT(Store_Record[[#This Row],[Date]],"dddd")</f>
        <v>Tuesday</v>
      </c>
      <c r="M1395" s="5" t="str">
        <f>TEXT(Store_Record[[#This Row],[Date]],"mmmm")</f>
        <v>April</v>
      </c>
      <c r="N1395" s="5">
        <f>YEAR(Store_Record[[#This Row],[Date]])</f>
        <v>2025</v>
      </c>
      <c r="O1395"/>
    </row>
    <row r="1396" spans="1:15" x14ac:dyDescent="0.35">
      <c r="A1396" t="s">
        <v>2173</v>
      </c>
      <c r="B1396" s="2">
        <v>45755</v>
      </c>
      <c r="C1396" t="s">
        <v>10</v>
      </c>
      <c r="D1396" t="s">
        <v>11</v>
      </c>
      <c r="E1396" t="s">
        <v>30</v>
      </c>
      <c r="F1396" t="s">
        <v>31</v>
      </c>
      <c r="G1396">
        <v>4</v>
      </c>
      <c r="H1396">
        <v>2.8</v>
      </c>
      <c r="I1396" t="s">
        <v>14</v>
      </c>
      <c r="J1396" t="s">
        <v>741</v>
      </c>
      <c r="K1396" s="12">
        <f>Store_Record[[#This Row],[Qty]]*Store_Record[[#This Row],[UnitPriceGBP]]</f>
        <v>11.2</v>
      </c>
      <c r="L1396" s="5" t="str">
        <f>TEXT(Store_Record[[#This Row],[Date]],"dddd")</f>
        <v>Tuesday</v>
      </c>
      <c r="M1396" s="5" t="str">
        <f>TEXT(Store_Record[[#This Row],[Date]],"mmmm")</f>
        <v>April</v>
      </c>
      <c r="N1396" s="5">
        <f>YEAR(Store_Record[[#This Row],[Date]])</f>
        <v>2025</v>
      </c>
      <c r="O1396"/>
    </row>
    <row r="1397" spans="1:15" x14ac:dyDescent="0.35">
      <c r="A1397" t="s">
        <v>2167</v>
      </c>
      <c r="B1397" s="2">
        <v>45755</v>
      </c>
      <c r="C1397" t="s">
        <v>36</v>
      </c>
      <c r="D1397" t="s">
        <v>47</v>
      </c>
      <c r="E1397" t="s">
        <v>34</v>
      </c>
      <c r="F1397" t="s">
        <v>31</v>
      </c>
      <c r="G1397">
        <v>5</v>
      </c>
      <c r="H1397">
        <v>2.2000000000000002</v>
      </c>
      <c r="I1397" t="s">
        <v>39</v>
      </c>
      <c r="J1397" t="s">
        <v>2168</v>
      </c>
      <c r="K1397" s="12">
        <f>Store_Record[[#This Row],[Qty]]*Store_Record[[#This Row],[UnitPriceGBP]]</f>
        <v>11</v>
      </c>
      <c r="L1397" s="5" t="str">
        <f>TEXT(Store_Record[[#This Row],[Date]],"dddd")</f>
        <v>Tuesday</v>
      </c>
      <c r="M1397" s="5" t="str">
        <f>TEXT(Store_Record[[#This Row],[Date]],"mmmm")</f>
        <v>April</v>
      </c>
      <c r="N1397" s="5">
        <f>YEAR(Store_Record[[#This Row],[Date]])</f>
        <v>2025</v>
      </c>
      <c r="O1397"/>
    </row>
    <row r="1398" spans="1:15" x14ac:dyDescent="0.35">
      <c r="A1398" t="s">
        <v>2171</v>
      </c>
      <c r="B1398" s="2">
        <v>45755</v>
      </c>
      <c r="C1398" t="s">
        <v>20</v>
      </c>
      <c r="D1398" t="s">
        <v>29</v>
      </c>
      <c r="E1398" t="s">
        <v>34</v>
      </c>
      <c r="F1398" t="s">
        <v>31</v>
      </c>
      <c r="G1398">
        <v>4</v>
      </c>
      <c r="H1398">
        <v>2.2000000000000002</v>
      </c>
      <c r="I1398" t="s">
        <v>14</v>
      </c>
      <c r="J1398" t="s">
        <v>2172</v>
      </c>
      <c r="K1398" s="12">
        <f>Store_Record[[#This Row],[Qty]]*Store_Record[[#This Row],[UnitPriceGBP]]</f>
        <v>8.8000000000000007</v>
      </c>
      <c r="L1398" s="5" t="str">
        <f>TEXT(Store_Record[[#This Row],[Date]],"dddd")</f>
        <v>Tuesday</v>
      </c>
      <c r="M1398" s="5" t="str">
        <f>TEXT(Store_Record[[#This Row],[Date]],"mmmm")</f>
        <v>April</v>
      </c>
      <c r="N1398" s="5">
        <f>YEAR(Store_Record[[#This Row],[Date]])</f>
        <v>2025</v>
      </c>
      <c r="O1398"/>
    </row>
    <row r="1399" spans="1:15" x14ac:dyDescent="0.35">
      <c r="A1399" t="s">
        <v>2165</v>
      </c>
      <c r="B1399" s="2">
        <v>45755</v>
      </c>
      <c r="C1399" t="s">
        <v>36</v>
      </c>
      <c r="D1399" t="s">
        <v>25</v>
      </c>
      <c r="E1399" t="s">
        <v>30</v>
      </c>
      <c r="F1399" t="s">
        <v>31</v>
      </c>
      <c r="G1399">
        <v>3</v>
      </c>
      <c r="H1399">
        <v>2.8</v>
      </c>
      <c r="I1399" t="s">
        <v>21</v>
      </c>
      <c r="J1399" t="s">
        <v>2166</v>
      </c>
      <c r="K1399" s="12">
        <f>Store_Record[[#This Row],[Qty]]*Store_Record[[#This Row],[UnitPriceGBP]]</f>
        <v>8.3999999999999986</v>
      </c>
      <c r="L1399" s="5" t="str">
        <f>TEXT(Store_Record[[#This Row],[Date]],"dddd")</f>
        <v>Tuesday</v>
      </c>
      <c r="M1399" s="5" t="str">
        <f>TEXT(Store_Record[[#This Row],[Date]],"mmmm")</f>
        <v>April</v>
      </c>
      <c r="N1399" s="5">
        <f>YEAR(Store_Record[[#This Row],[Date]])</f>
        <v>2025</v>
      </c>
      <c r="O1399"/>
    </row>
    <row r="1400" spans="1:15" x14ac:dyDescent="0.35">
      <c r="A1400" t="s">
        <v>2170</v>
      </c>
      <c r="B1400" s="2">
        <v>45755</v>
      </c>
      <c r="C1400" t="s">
        <v>36</v>
      </c>
      <c r="D1400" t="s">
        <v>29</v>
      </c>
      <c r="E1400" t="s">
        <v>34</v>
      </c>
      <c r="F1400" t="s">
        <v>31</v>
      </c>
      <c r="G1400">
        <v>3</v>
      </c>
      <c r="H1400">
        <v>2.2000000000000002</v>
      </c>
      <c r="I1400" t="s">
        <v>14</v>
      </c>
      <c r="J1400" t="s">
        <v>398</v>
      </c>
      <c r="K1400" s="12">
        <f>Store_Record[[#This Row],[Qty]]*Store_Record[[#This Row],[UnitPriceGBP]]</f>
        <v>6.6000000000000005</v>
      </c>
      <c r="L1400" s="5" t="str">
        <f>TEXT(Store_Record[[#This Row],[Date]],"dddd")</f>
        <v>Tuesday</v>
      </c>
      <c r="M1400" s="5" t="str">
        <f>TEXT(Store_Record[[#This Row],[Date]],"mmmm")</f>
        <v>April</v>
      </c>
      <c r="N1400" s="5">
        <f>YEAR(Store_Record[[#This Row],[Date]])</f>
        <v>2025</v>
      </c>
      <c r="O1400"/>
    </row>
    <row r="1401" spans="1:15" x14ac:dyDescent="0.35">
      <c r="A1401" t="s">
        <v>2174</v>
      </c>
      <c r="B1401" s="2">
        <v>45755</v>
      </c>
      <c r="C1401" t="s">
        <v>10</v>
      </c>
      <c r="D1401" t="s">
        <v>25</v>
      </c>
      <c r="E1401" t="s">
        <v>12</v>
      </c>
      <c r="F1401" t="s">
        <v>13</v>
      </c>
      <c r="G1401">
        <v>2</v>
      </c>
      <c r="H1401">
        <v>2.5</v>
      </c>
      <c r="I1401" t="s">
        <v>39</v>
      </c>
      <c r="J1401" t="s">
        <v>1079</v>
      </c>
      <c r="K1401" s="12">
        <f>Store_Record[[#This Row],[Qty]]*Store_Record[[#This Row],[UnitPriceGBP]]</f>
        <v>5</v>
      </c>
      <c r="L1401" s="5" t="str">
        <f>TEXT(Store_Record[[#This Row],[Date]],"dddd")</f>
        <v>Tuesday</v>
      </c>
      <c r="M1401" s="5" t="str">
        <f>TEXT(Store_Record[[#This Row],[Date]],"mmmm")</f>
        <v>April</v>
      </c>
      <c r="N1401" s="5">
        <f>YEAR(Store_Record[[#This Row],[Date]])</f>
        <v>2025</v>
      </c>
      <c r="O1401"/>
    </row>
    <row r="1402" spans="1:15" x14ac:dyDescent="0.35">
      <c r="A1402" t="s">
        <v>2169</v>
      </c>
      <c r="B1402" s="2">
        <v>45755</v>
      </c>
      <c r="C1402" t="s">
        <v>20</v>
      </c>
      <c r="D1402" t="s">
        <v>11</v>
      </c>
      <c r="E1402" t="s">
        <v>34</v>
      </c>
      <c r="F1402" t="s">
        <v>31</v>
      </c>
      <c r="G1402">
        <v>1</v>
      </c>
      <c r="H1402">
        <v>2.2000000000000002</v>
      </c>
      <c r="I1402" t="s">
        <v>14</v>
      </c>
      <c r="J1402" t="s">
        <v>1475</v>
      </c>
      <c r="K1402" s="12">
        <f>Store_Record[[#This Row],[Qty]]*Store_Record[[#This Row],[UnitPriceGBP]]</f>
        <v>2.2000000000000002</v>
      </c>
      <c r="L1402" s="5" t="str">
        <f>TEXT(Store_Record[[#This Row],[Date]],"dddd")</f>
        <v>Tuesday</v>
      </c>
      <c r="M1402" s="5" t="str">
        <f>TEXT(Store_Record[[#This Row],[Date]],"mmmm")</f>
        <v>April</v>
      </c>
      <c r="N1402" s="5">
        <f>YEAR(Store_Record[[#This Row],[Date]])</f>
        <v>2025</v>
      </c>
      <c r="O1402"/>
    </row>
    <row r="1403" spans="1:15" x14ac:dyDescent="0.35">
      <c r="A1403" t="s">
        <v>2188</v>
      </c>
      <c r="B1403" s="2">
        <v>45756</v>
      </c>
      <c r="C1403" t="s">
        <v>20</v>
      </c>
      <c r="D1403" t="s">
        <v>29</v>
      </c>
      <c r="E1403" t="s">
        <v>12</v>
      </c>
      <c r="F1403" t="s">
        <v>13</v>
      </c>
      <c r="G1403">
        <v>5</v>
      </c>
      <c r="H1403">
        <v>2.5</v>
      </c>
      <c r="I1403" t="s">
        <v>21</v>
      </c>
      <c r="J1403" t="s">
        <v>1490</v>
      </c>
      <c r="K1403" s="12">
        <f>Store_Record[[#This Row],[Qty]]*Store_Record[[#This Row],[UnitPriceGBP]]</f>
        <v>12.5</v>
      </c>
      <c r="L1403" s="5" t="str">
        <f>TEXT(Store_Record[[#This Row],[Date]],"dddd")</f>
        <v>Wednesday</v>
      </c>
      <c r="M1403" s="5" t="str">
        <f>TEXT(Store_Record[[#This Row],[Date]],"mmmm")</f>
        <v>April</v>
      </c>
      <c r="N1403" s="5">
        <f>YEAR(Store_Record[[#This Row],[Date]])</f>
        <v>2025</v>
      </c>
      <c r="O1403"/>
    </row>
    <row r="1404" spans="1:15" x14ac:dyDescent="0.35">
      <c r="A1404" t="s">
        <v>2186</v>
      </c>
      <c r="B1404" s="2">
        <v>45756</v>
      </c>
      <c r="C1404" t="s">
        <v>36</v>
      </c>
      <c r="D1404" t="s">
        <v>47</v>
      </c>
      <c r="E1404" t="s">
        <v>30</v>
      </c>
      <c r="F1404" t="s">
        <v>31</v>
      </c>
      <c r="G1404">
        <v>4</v>
      </c>
      <c r="H1404">
        <v>2.8</v>
      </c>
      <c r="I1404" t="s">
        <v>39</v>
      </c>
      <c r="J1404" t="s">
        <v>2166</v>
      </c>
      <c r="K1404" s="12">
        <f>Store_Record[[#This Row],[Qty]]*Store_Record[[#This Row],[UnitPriceGBP]]</f>
        <v>11.2</v>
      </c>
      <c r="L1404" s="5" t="str">
        <f>TEXT(Store_Record[[#This Row],[Date]],"dddd")</f>
        <v>Wednesday</v>
      </c>
      <c r="M1404" s="5" t="str">
        <f>TEXT(Store_Record[[#This Row],[Date]],"mmmm")</f>
        <v>April</v>
      </c>
      <c r="N1404" s="5">
        <f>YEAR(Store_Record[[#This Row],[Date]])</f>
        <v>2025</v>
      </c>
      <c r="O1404"/>
    </row>
    <row r="1405" spans="1:15" x14ac:dyDescent="0.35">
      <c r="A1405" t="s">
        <v>2180</v>
      </c>
      <c r="B1405" s="2">
        <v>45756</v>
      </c>
      <c r="C1405" t="s">
        <v>36</v>
      </c>
      <c r="D1405" t="s">
        <v>38</v>
      </c>
      <c r="E1405" t="s">
        <v>34</v>
      </c>
      <c r="F1405" t="s">
        <v>31</v>
      </c>
      <c r="G1405">
        <v>5</v>
      </c>
      <c r="H1405">
        <v>2.2000000000000002</v>
      </c>
      <c r="I1405" t="s">
        <v>14</v>
      </c>
      <c r="J1405" t="s">
        <v>1090</v>
      </c>
      <c r="K1405" s="12">
        <f>Store_Record[[#This Row],[Qty]]*Store_Record[[#This Row],[UnitPriceGBP]]</f>
        <v>11</v>
      </c>
      <c r="L1405" s="5" t="str">
        <f>TEXT(Store_Record[[#This Row],[Date]],"dddd")</f>
        <v>Wednesday</v>
      </c>
      <c r="M1405" s="5" t="str">
        <f>TEXT(Store_Record[[#This Row],[Date]],"mmmm")</f>
        <v>April</v>
      </c>
      <c r="N1405" s="5">
        <f>YEAR(Store_Record[[#This Row],[Date]])</f>
        <v>2025</v>
      </c>
      <c r="O1405"/>
    </row>
    <row r="1406" spans="1:15" x14ac:dyDescent="0.35">
      <c r="A1406" t="s">
        <v>2183</v>
      </c>
      <c r="B1406" s="2">
        <v>45756</v>
      </c>
      <c r="C1406" t="s">
        <v>20</v>
      </c>
      <c r="D1406" t="s">
        <v>11</v>
      </c>
      <c r="E1406" t="s">
        <v>34</v>
      </c>
      <c r="F1406" t="s">
        <v>31</v>
      </c>
      <c r="G1406">
        <v>4</v>
      </c>
      <c r="H1406">
        <v>2.2000000000000002</v>
      </c>
      <c r="I1406" t="s">
        <v>21</v>
      </c>
      <c r="J1406" t="s">
        <v>2184</v>
      </c>
      <c r="K1406" s="12">
        <f>Store_Record[[#This Row],[Qty]]*Store_Record[[#This Row],[UnitPriceGBP]]</f>
        <v>8.8000000000000007</v>
      </c>
      <c r="L1406" s="5" t="str">
        <f>TEXT(Store_Record[[#This Row],[Date]],"dddd")</f>
        <v>Wednesday</v>
      </c>
      <c r="M1406" s="5" t="str">
        <f>TEXT(Store_Record[[#This Row],[Date]],"mmmm")</f>
        <v>April</v>
      </c>
      <c r="N1406" s="5">
        <f>YEAR(Store_Record[[#This Row],[Date]])</f>
        <v>2025</v>
      </c>
      <c r="O1406"/>
    </row>
    <row r="1407" spans="1:15" x14ac:dyDescent="0.35">
      <c r="A1407" t="s">
        <v>2179</v>
      </c>
      <c r="B1407" s="2">
        <v>45756</v>
      </c>
      <c r="C1407" t="s">
        <v>24</v>
      </c>
      <c r="D1407" t="s">
        <v>29</v>
      </c>
      <c r="E1407" t="s">
        <v>30</v>
      </c>
      <c r="F1407" t="s">
        <v>31</v>
      </c>
      <c r="G1407">
        <v>3</v>
      </c>
      <c r="H1407">
        <v>2.8</v>
      </c>
      <c r="I1407" t="s">
        <v>39</v>
      </c>
      <c r="J1407" t="s">
        <v>1372</v>
      </c>
      <c r="K1407" s="12">
        <f>Store_Record[[#This Row],[Qty]]*Store_Record[[#This Row],[UnitPriceGBP]]</f>
        <v>8.3999999999999986</v>
      </c>
      <c r="L1407" s="5" t="str">
        <f>TEXT(Store_Record[[#This Row],[Date]],"dddd")</f>
        <v>Wednesday</v>
      </c>
      <c r="M1407" s="5" t="str">
        <f>TEXT(Store_Record[[#This Row],[Date]],"mmmm")</f>
        <v>April</v>
      </c>
      <c r="N1407" s="5">
        <f>YEAR(Store_Record[[#This Row],[Date]])</f>
        <v>2025</v>
      </c>
      <c r="O1407"/>
    </row>
    <row r="1408" spans="1:15" x14ac:dyDescent="0.35">
      <c r="A1408" t="s">
        <v>2178</v>
      </c>
      <c r="B1408" s="2">
        <v>45756</v>
      </c>
      <c r="C1408" t="s">
        <v>10</v>
      </c>
      <c r="D1408" t="s">
        <v>29</v>
      </c>
      <c r="E1408" t="s">
        <v>42</v>
      </c>
      <c r="F1408" t="s">
        <v>13</v>
      </c>
      <c r="G1408">
        <v>2</v>
      </c>
      <c r="H1408">
        <v>3.8</v>
      </c>
      <c r="I1408" t="s">
        <v>39</v>
      </c>
      <c r="J1408" t="s">
        <v>717</v>
      </c>
      <c r="K1408" s="12">
        <f>Store_Record[[#This Row],[Qty]]*Store_Record[[#This Row],[UnitPriceGBP]]</f>
        <v>7.6</v>
      </c>
      <c r="L1408" s="5" t="str">
        <f>TEXT(Store_Record[[#This Row],[Date]],"dddd")</f>
        <v>Wednesday</v>
      </c>
      <c r="M1408" s="5" t="str">
        <f>TEXT(Store_Record[[#This Row],[Date]],"mmmm")</f>
        <v>April</v>
      </c>
      <c r="N1408" s="5">
        <f>YEAR(Store_Record[[#This Row],[Date]])</f>
        <v>2025</v>
      </c>
      <c r="O1408"/>
    </row>
    <row r="1409" spans="1:15" x14ac:dyDescent="0.35">
      <c r="A1409" t="s">
        <v>2189</v>
      </c>
      <c r="B1409" s="2">
        <v>45756</v>
      </c>
      <c r="C1409" t="s">
        <v>10</v>
      </c>
      <c r="D1409" t="s">
        <v>29</v>
      </c>
      <c r="E1409" t="s">
        <v>30</v>
      </c>
      <c r="F1409" t="s">
        <v>31</v>
      </c>
      <c r="G1409">
        <v>2</v>
      </c>
      <c r="H1409">
        <v>2.8</v>
      </c>
      <c r="I1409" t="s">
        <v>21</v>
      </c>
      <c r="J1409" t="s">
        <v>1605</v>
      </c>
      <c r="K1409" s="12">
        <f>Store_Record[[#This Row],[Qty]]*Store_Record[[#This Row],[UnitPriceGBP]]</f>
        <v>5.6</v>
      </c>
      <c r="L1409" s="5" t="str">
        <f>TEXT(Store_Record[[#This Row],[Date]],"dddd")</f>
        <v>Wednesday</v>
      </c>
      <c r="M1409" s="5" t="str">
        <f>TEXT(Store_Record[[#This Row],[Date]],"mmmm")</f>
        <v>April</v>
      </c>
      <c r="N1409" s="5">
        <f>YEAR(Store_Record[[#This Row],[Date]])</f>
        <v>2025</v>
      </c>
      <c r="O1409"/>
    </row>
    <row r="1410" spans="1:15" x14ac:dyDescent="0.35">
      <c r="A1410" t="s">
        <v>2182</v>
      </c>
      <c r="B1410" s="2">
        <v>45756</v>
      </c>
      <c r="C1410" t="s">
        <v>10</v>
      </c>
      <c r="D1410" t="s">
        <v>47</v>
      </c>
      <c r="E1410" t="s">
        <v>12</v>
      </c>
      <c r="F1410" t="s">
        <v>13</v>
      </c>
      <c r="G1410">
        <v>2</v>
      </c>
      <c r="H1410">
        <v>2.5</v>
      </c>
      <c r="I1410" t="s">
        <v>14</v>
      </c>
      <c r="J1410" t="s">
        <v>129</v>
      </c>
      <c r="K1410" s="12">
        <f>Store_Record[[#This Row],[Qty]]*Store_Record[[#This Row],[UnitPriceGBP]]</f>
        <v>5</v>
      </c>
      <c r="L1410" s="5" t="str">
        <f>TEXT(Store_Record[[#This Row],[Date]],"dddd")</f>
        <v>Wednesday</v>
      </c>
      <c r="M1410" s="5" t="str">
        <f>TEXT(Store_Record[[#This Row],[Date]],"mmmm")</f>
        <v>April</v>
      </c>
      <c r="N1410" s="5">
        <f>YEAR(Store_Record[[#This Row],[Date]])</f>
        <v>2025</v>
      </c>
      <c r="O1410"/>
    </row>
    <row r="1411" spans="1:15" x14ac:dyDescent="0.35">
      <c r="A1411" t="s">
        <v>2185</v>
      </c>
      <c r="B1411" s="2">
        <v>45756</v>
      </c>
      <c r="C1411" t="s">
        <v>10</v>
      </c>
      <c r="D1411" t="s">
        <v>11</v>
      </c>
      <c r="E1411" t="s">
        <v>12</v>
      </c>
      <c r="F1411" t="s">
        <v>13</v>
      </c>
      <c r="G1411">
        <v>2</v>
      </c>
      <c r="H1411">
        <v>2.5</v>
      </c>
      <c r="I1411" t="s">
        <v>39</v>
      </c>
      <c r="J1411" t="s">
        <v>1327</v>
      </c>
      <c r="K1411" s="12">
        <f>Store_Record[[#This Row],[Qty]]*Store_Record[[#This Row],[UnitPriceGBP]]</f>
        <v>5</v>
      </c>
      <c r="L1411" s="5" t="str">
        <f>TEXT(Store_Record[[#This Row],[Date]],"dddd")</f>
        <v>Wednesday</v>
      </c>
      <c r="M1411" s="5" t="str">
        <f>TEXT(Store_Record[[#This Row],[Date]],"mmmm")</f>
        <v>April</v>
      </c>
      <c r="N1411" s="5">
        <f>YEAR(Store_Record[[#This Row],[Date]])</f>
        <v>2025</v>
      </c>
      <c r="O1411"/>
    </row>
    <row r="1412" spans="1:15" x14ac:dyDescent="0.35">
      <c r="A1412" t="s">
        <v>2181</v>
      </c>
      <c r="B1412" s="2">
        <v>45756</v>
      </c>
      <c r="C1412" t="s">
        <v>10</v>
      </c>
      <c r="D1412" t="s">
        <v>47</v>
      </c>
      <c r="E1412" t="s">
        <v>42</v>
      </c>
      <c r="F1412" t="s">
        <v>13</v>
      </c>
      <c r="G1412">
        <v>1</v>
      </c>
      <c r="H1412">
        <v>3.8</v>
      </c>
      <c r="I1412" t="s">
        <v>39</v>
      </c>
      <c r="J1412" t="s">
        <v>1403</v>
      </c>
      <c r="K1412" s="12">
        <f>Store_Record[[#This Row],[Qty]]*Store_Record[[#This Row],[UnitPriceGBP]]</f>
        <v>3.8</v>
      </c>
      <c r="L1412" s="5" t="str">
        <f>TEXT(Store_Record[[#This Row],[Date]],"dddd")</f>
        <v>Wednesday</v>
      </c>
      <c r="M1412" s="5" t="str">
        <f>TEXT(Store_Record[[#This Row],[Date]],"mmmm")</f>
        <v>April</v>
      </c>
      <c r="N1412" s="5">
        <f>YEAR(Store_Record[[#This Row],[Date]])</f>
        <v>2025</v>
      </c>
      <c r="O1412"/>
    </row>
    <row r="1413" spans="1:15" x14ac:dyDescent="0.35">
      <c r="A1413" t="s">
        <v>2187</v>
      </c>
      <c r="B1413" s="2">
        <v>45756</v>
      </c>
      <c r="C1413" t="s">
        <v>10</v>
      </c>
      <c r="D1413" t="s">
        <v>47</v>
      </c>
      <c r="E1413" t="s">
        <v>26</v>
      </c>
      <c r="F1413" t="s">
        <v>13</v>
      </c>
      <c r="G1413">
        <v>1</v>
      </c>
      <c r="H1413">
        <v>3.5</v>
      </c>
      <c r="I1413" t="s">
        <v>21</v>
      </c>
      <c r="J1413" t="s">
        <v>1003</v>
      </c>
      <c r="K1413" s="12">
        <f>Store_Record[[#This Row],[Qty]]*Store_Record[[#This Row],[UnitPriceGBP]]</f>
        <v>3.5</v>
      </c>
      <c r="L1413" s="5" t="str">
        <f>TEXT(Store_Record[[#This Row],[Date]],"dddd")</f>
        <v>Wednesday</v>
      </c>
      <c r="M1413" s="5" t="str">
        <f>TEXT(Store_Record[[#This Row],[Date]],"mmmm")</f>
        <v>April</v>
      </c>
      <c r="N1413" s="5">
        <f>YEAR(Store_Record[[#This Row],[Date]])</f>
        <v>2025</v>
      </c>
      <c r="O1413"/>
    </row>
    <row r="1414" spans="1:15" x14ac:dyDescent="0.35">
      <c r="A1414" t="s">
        <v>2190</v>
      </c>
      <c r="B1414" s="2">
        <v>45757</v>
      </c>
      <c r="C1414" t="s">
        <v>24</v>
      </c>
      <c r="D1414" t="s">
        <v>11</v>
      </c>
      <c r="E1414" t="s">
        <v>42</v>
      </c>
      <c r="F1414" t="s">
        <v>13</v>
      </c>
      <c r="G1414">
        <v>5</v>
      </c>
      <c r="H1414">
        <v>3.8</v>
      </c>
      <c r="I1414" t="s">
        <v>21</v>
      </c>
      <c r="J1414" t="s">
        <v>1406</v>
      </c>
      <c r="K1414" s="12">
        <f>Store_Record[[#This Row],[Qty]]*Store_Record[[#This Row],[UnitPriceGBP]]</f>
        <v>19</v>
      </c>
      <c r="L1414" s="5" t="str">
        <f>TEXT(Store_Record[[#This Row],[Date]],"dddd")</f>
        <v>Thursday</v>
      </c>
      <c r="M1414" s="5" t="str">
        <f>TEXT(Store_Record[[#This Row],[Date]],"mmmm")</f>
        <v>April</v>
      </c>
      <c r="N1414" s="5">
        <f>YEAR(Store_Record[[#This Row],[Date]])</f>
        <v>2025</v>
      </c>
      <c r="O1414"/>
    </row>
    <row r="1415" spans="1:15" x14ac:dyDescent="0.35">
      <c r="A1415" t="s">
        <v>2202</v>
      </c>
      <c r="B1415" s="2">
        <v>45757</v>
      </c>
      <c r="C1415" t="s">
        <v>36</v>
      </c>
      <c r="D1415" t="s">
        <v>25</v>
      </c>
      <c r="E1415" t="s">
        <v>12</v>
      </c>
      <c r="F1415" t="s">
        <v>13</v>
      </c>
      <c r="G1415">
        <v>5</v>
      </c>
      <c r="H1415">
        <v>2.5</v>
      </c>
      <c r="I1415" t="s">
        <v>21</v>
      </c>
      <c r="J1415" t="s">
        <v>70</v>
      </c>
      <c r="K1415" s="12">
        <f>Store_Record[[#This Row],[Qty]]*Store_Record[[#This Row],[UnitPriceGBP]]</f>
        <v>12.5</v>
      </c>
      <c r="L1415" s="5" t="str">
        <f>TEXT(Store_Record[[#This Row],[Date]],"dddd")</f>
        <v>Thursday</v>
      </c>
      <c r="M1415" s="5" t="str">
        <f>TEXT(Store_Record[[#This Row],[Date]],"mmmm")</f>
        <v>April</v>
      </c>
      <c r="N1415" s="5">
        <f>YEAR(Store_Record[[#This Row],[Date]])</f>
        <v>2025</v>
      </c>
      <c r="O1415"/>
    </row>
    <row r="1416" spans="1:15" x14ac:dyDescent="0.35">
      <c r="A1416" t="s">
        <v>2204</v>
      </c>
      <c r="B1416" s="2">
        <v>45757</v>
      </c>
      <c r="C1416" t="s">
        <v>24</v>
      </c>
      <c r="D1416" t="s">
        <v>29</v>
      </c>
      <c r="E1416" t="s">
        <v>12</v>
      </c>
      <c r="F1416" t="s">
        <v>13</v>
      </c>
      <c r="G1416">
        <v>5</v>
      </c>
      <c r="H1416">
        <v>2.5</v>
      </c>
      <c r="I1416" t="s">
        <v>39</v>
      </c>
      <c r="J1416" t="s">
        <v>161</v>
      </c>
      <c r="K1416" s="12">
        <f>Store_Record[[#This Row],[Qty]]*Store_Record[[#This Row],[UnitPriceGBP]]</f>
        <v>12.5</v>
      </c>
      <c r="L1416" s="5" t="str">
        <f>TEXT(Store_Record[[#This Row],[Date]],"dddd")</f>
        <v>Thursday</v>
      </c>
      <c r="M1416" s="5" t="str">
        <f>TEXT(Store_Record[[#This Row],[Date]],"mmmm")</f>
        <v>April</v>
      </c>
      <c r="N1416" s="5">
        <f>YEAR(Store_Record[[#This Row],[Date]])</f>
        <v>2025</v>
      </c>
      <c r="O1416"/>
    </row>
    <row r="1417" spans="1:15" x14ac:dyDescent="0.35">
      <c r="A1417" t="s">
        <v>2197</v>
      </c>
      <c r="B1417" s="2">
        <v>45757</v>
      </c>
      <c r="C1417" t="s">
        <v>36</v>
      </c>
      <c r="D1417" t="s">
        <v>38</v>
      </c>
      <c r="E1417" t="s">
        <v>34</v>
      </c>
      <c r="F1417" t="s">
        <v>31</v>
      </c>
      <c r="G1417">
        <v>5</v>
      </c>
      <c r="H1417">
        <v>2.2000000000000002</v>
      </c>
      <c r="I1417" t="s">
        <v>14</v>
      </c>
      <c r="J1417" t="s">
        <v>2052</v>
      </c>
      <c r="K1417" s="12">
        <f>Store_Record[[#This Row],[Qty]]*Store_Record[[#This Row],[UnitPriceGBP]]</f>
        <v>11</v>
      </c>
      <c r="L1417" s="5" t="str">
        <f>TEXT(Store_Record[[#This Row],[Date]],"dddd")</f>
        <v>Thursday</v>
      </c>
      <c r="M1417" s="5" t="str">
        <f>TEXT(Store_Record[[#This Row],[Date]],"mmmm")</f>
        <v>April</v>
      </c>
      <c r="N1417" s="5">
        <f>YEAR(Store_Record[[#This Row],[Date]])</f>
        <v>2025</v>
      </c>
      <c r="O1417"/>
    </row>
    <row r="1418" spans="1:15" x14ac:dyDescent="0.35">
      <c r="A1418" t="s">
        <v>2193</v>
      </c>
      <c r="B1418" s="2">
        <v>45757</v>
      </c>
      <c r="C1418" t="s">
        <v>36</v>
      </c>
      <c r="D1418" t="s">
        <v>38</v>
      </c>
      <c r="E1418" t="s">
        <v>30</v>
      </c>
      <c r="F1418" t="s">
        <v>31</v>
      </c>
      <c r="G1418">
        <v>3</v>
      </c>
      <c r="H1418">
        <v>2.8</v>
      </c>
      <c r="I1418" t="s">
        <v>14</v>
      </c>
      <c r="J1418" t="s">
        <v>2194</v>
      </c>
      <c r="K1418" s="12">
        <f>Store_Record[[#This Row],[Qty]]*Store_Record[[#This Row],[UnitPriceGBP]]</f>
        <v>8.3999999999999986</v>
      </c>
      <c r="L1418" s="5" t="str">
        <f>TEXT(Store_Record[[#This Row],[Date]],"dddd")</f>
        <v>Thursday</v>
      </c>
      <c r="M1418" s="5" t="str">
        <f>TEXT(Store_Record[[#This Row],[Date]],"mmmm")</f>
        <v>April</v>
      </c>
      <c r="N1418" s="5">
        <f>YEAR(Store_Record[[#This Row],[Date]])</f>
        <v>2025</v>
      </c>
      <c r="O1418"/>
    </row>
    <row r="1419" spans="1:15" x14ac:dyDescent="0.35">
      <c r="A1419" t="s">
        <v>2198</v>
      </c>
      <c r="B1419" s="2">
        <v>45757</v>
      </c>
      <c r="C1419" t="s">
        <v>20</v>
      </c>
      <c r="D1419" t="s">
        <v>11</v>
      </c>
      <c r="E1419" t="s">
        <v>42</v>
      </c>
      <c r="F1419" t="s">
        <v>13</v>
      </c>
      <c r="G1419">
        <v>2</v>
      </c>
      <c r="H1419">
        <v>3.8</v>
      </c>
      <c r="I1419" t="s">
        <v>14</v>
      </c>
      <c r="J1419" t="s">
        <v>1596</v>
      </c>
      <c r="K1419" s="12">
        <f>Store_Record[[#This Row],[Qty]]*Store_Record[[#This Row],[UnitPriceGBP]]</f>
        <v>7.6</v>
      </c>
      <c r="L1419" s="5" t="str">
        <f>TEXT(Store_Record[[#This Row],[Date]],"dddd")</f>
        <v>Thursday</v>
      </c>
      <c r="M1419" s="5" t="str">
        <f>TEXT(Store_Record[[#This Row],[Date]],"mmmm")</f>
        <v>April</v>
      </c>
      <c r="N1419" s="5">
        <f>YEAR(Store_Record[[#This Row],[Date]])</f>
        <v>2025</v>
      </c>
      <c r="O1419"/>
    </row>
    <row r="1420" spans="1:15" x14ac:dyDescent="0.35">
      <c r="A1420" t="s">
        <v>2205</v>
      </c>
      <c r="B1420" s="2">
        <v>45757</v>
      </c>
      <c r="C1420" t="s">
        <v>24</v>
      </c>
      <c r="D1420" t="s">
        <v>25</v>
      </c>
      <c r="E1420" t="s">
        <v>26</v>
      </c>
      <c r="F1420" t="s">
        <v>13</v>
      </c>
      <c r="G1420">
        <v>2</v>
      </c>
      <c r="H1420">
        <v>3.5</v>
      </c>
      <c r="I1420" t="s">
        <v>21</v>
      </c>
      <c r="J1420" t="s">
        <v>1543</v>
      </c>
      <c r="K1420" s="12">
        <f>Store_Record[[#This Row],[Qty]]*Store_Record[[#This Row],[UnitPriceGBP]]</f>
        <v>7</v>
      </c>
      <c r="L1420" s="5" t="str">
        <f>TEXT(Store_Record[[#This Row],[Date]],"dddd")</f>
        <v>Thursday</v>
      </c>
      <c r="M1420" s="5" t="str">
        <f>TEXT(Store_Record[[#This Row],[Date]],"mmmm")</f>
        <v>April</v>
      </c>
      <c r="N1420" s="5">
        <f>YEAR(Store_Record[[#This Row],[Date]])</f>
        <v>2025</v>
      </c>
      <c r="O1420"/>
    </row>
    <row r="1421" spans="1:15" x14ac:dyDescent="0.35">
      <c r="A1421" t="s">
        <v>2191</v>
      </c>
      <c r="B1421" s="2">
        <v>45757</v>
      </c>
      <c r="C1421" t="s">
        <v>20</v>
      </c>
      <c r="D1421" t="s">
        <v>47</v>
      </c>
      <c r="E1421" t="s">
        <v>30</v>
      </c>
      <c r="F1421" t="s">
        <v>31</v>
      </c>
      <c r="G1421">
        <v>2</v>
      </c>
      <c r="H1421">
        <v>2.8</v>
      </c>
      <c r="I1421" t="s">
        <v>39</v>
      </c>
      <c r="J1421" t="s">
        <v>2192</v>
      </c>
      <c r="K1421" s="12">
        <f>Store_Record[[#This Row],[Qty]]*Store_Record[[#This Row],[UnitPriceGBP]]</f>
        <v>5.6</v>
      </c>
      <c r="L1421" s="5" t="str">
        <f>TEXT(Store_Record[[#This Row],[Date]],"dddd")</f>
        <v>Thursday</v>
      </c>
      <c r="M1421" s="5" t="str">
        <f>TEXT(Store_Record[[#This Row],[Date]],"mmmm")</f>
        <v>April</v>
      </c>
      <c r="N1421" s="5">
        <f>YEAR(Store_Record[[#This Row],[Date]])</f>
        <v>2025</v>
      </c>
      <c r="O1421"/>
    </row>
    <row r="1422" spans="1:15" x14ac:dyDescent="0.35">
      <c r="A1422" t="s">
        <v>2201</v>
      </c>
      <c r="B1422" s="2">
        <v>45757</v>
      </c>
      <c r="C1422" t="s">
        <v>10</v>
      </c>
      <c r="D1422" t="s">
        <v>38</v>
      </c>
      <c r="E1422" t="s">
        <v>30</v>
      </c>
      <c r="F1422" t="s">
        <v>31</v>
      </c>
      <c r="G1422">
        <v>2</v>
      </c>
      <c r="H1422">
        <v>2.8</v>
      </c>
      <c r="I1422" t="s">
        <v>21</v>
      </c>
      <c r="J1422" t="s">
        <v>612</v>
      </c>
      <c r="K1422" s="12">
        <f>Store_Record[[#This Row],[Qty]]*Store_Record[[#This Row],[UnitPriceGBP]]</f>
        <v>5.6</v>
      </c>
      <c r="L1422" s="5" t="str">
        <f>TEXT(Store_Record[[#This Row],[Date]],"dddd")</f>
        <v>Thursday</v>
      </c>
      <c r="M1422" s="5" t="str">
        <f>TEXT(Store_Record[[#This Row],[Date]],"mmmm")</f>
        <v>April</v>
      </c>
      <c r="N1422" s="5">
        <f>YEAR(Store_Record[[#This Row],[Date]])</f>
        <v>2025</v>
      </c>
      <c r="O1422"/>
    </row>
    <row r="1423" spans="1:15" x14ac:dyDescent="0.35">
      <c r="A1423" t="s">
        <v>2196</v>
      </c>
      <c r="B1423" s="2">
        <v>45757</v>
      </c>
      <c r="C1423" t="s">
        <v>24</v>
      </c>
      <c r="D1423" t="s">
        <v>11</v>
      </c>
      <c r="E1423" t="s">
        <v>12</v>
      </c>
      <c r="F1423" t="s">
        <v>13</v>
      </c>
      <c r="G1423">
        <v>2</v>
      </c>
      <c r="H1423">
        <v>2.5</v>
      </c>
      <c r="I1423" t="s">
        <v>14</v>
      </c>
      <c r="J1423" t="s">
        <v>1584</v>
      </c>
      <c r="K1423" s="12">
        <f>Store_Record[[#This Row],[Qty]]*Store_Record[[#This Row],[UnitPriceGBP]]</f>
        <v>5</v>
      </c>
      <c r="L1423" s="5" t="str">
        <f>TEXT(Store_Record[[#This Row],[Date]],"dddd")</f>
        <v>Thursday</v>
      </c>
      <c r="M1423" s="5" t="str">
        <f>TEXT(Store_Record[[#This Row],[Date]],"mmmm")</f>
        <v>April</v>
      </c>
      <c r="N1423" s="5">
        <f>YEAR(Store_Record[[#This Row],[Date]])</f>
        <v>2025</v>
      </c>
      <c r="O1423"/>
    </row>
    <row r="1424" spans="1:15" x14ac:dyDescent="0.35">
      <c r="A1424" t="s">
        <v>2203</v>
      </c>
      <c r="B1424" s="2">
        <v>45757</v>
      </c>
      <c r="C1424" t="s">
        <v>10</v>
      </c>
      <c r="D1424" t="s">
        <v>38</v>
      </c>
      <c r="E1424" t="s">
        <v>26</v>
      </c>
      <c r="F1424" t="s">
        <v>13</v>
      </c>
      <c r="G1424">
        <v>1</v>
      </c>
      <c r="H1424">
        <v>3.5</v>
      </c>
      <c r="I1424" t="s">
        <v>21</v>
      </c>
      <c r="J1424" t="s">
        <v>1646</v>
      </c>
      <c r="K1424" s="12">
        <f>Store_Record[[#This Row],[Qty]]*Store_Record[[#This Row],[UnitPriceGBP]]</f>
        <v>3.5</v>
      </c>
      <c r="L1424" s="5" t="str">
        <f>TEXT(Store_Record[[#This Row],[Date]],"dddd")</f>
        <v>Thursday</v>
      </c>
      <c r="M1424" s="5" t="str">
        <f>TEXT(Store_Record[[#This Row],[Date]],"mmmm")</f>
        <v>April</v>
      </c>
      <c r="N1424" s="5">
        <f>YEAR(Store_Record[[#This Row],[Date]])</f>
        <v>2025</v>
      </c>
      <c r="O1424"/>
    </row>
    <row r="1425" spans="1:15" x14ac:dyDescent="0.35">
      <c r="A1425" t="s">
        <v>2199</v>
      </c>
      <c r="B1425" s="2">
        <v>45757</v>
      </c>
      <c r="C1425" t="s">
        <v>10</v>
      </c>
      <c r="D1425" t="s">
        <v>29</v>
      </c>
      <c r="E1425" t="s">
        <v>30</v>
      </c>
      <c r="F1425" t="s">
        <v>31</v>
      </c>
      <c r="G1425">
        <v>1</v>
      </c>
      <c r="H1425">
        <v>2.8</v>
      </c>
      <c r="I1425" t="s">
        <v>14</v>
      </c>
      <c r="J1425" t="s">
        <v>312</v>
      </c>
      <c r="K1425" s="12">
        <f>Store_Record[[#This Row],[Qty]]*Store_Record[[#This Row],[UnitPriceGBP]]</f>
        <v>2.8</v>
      </c>
      <c r="L1425" s="5" t="str">
        <f>TEXT(Store_Record[[#This Row],[Date]],"dddd")</f>
        <v>Thursday</v>
      </c>
      <c r="M1425" s="5" t="str">
        <f>TEXT(Store_Record[[#This Row],[Date]],"mmmm")</f>
        <v>April</v>
      </c>
      <c r="N1425" s="5">
        <f>YEAR(Store_Record[[#This Row],[Date]])</f>
        <v>2025</v>
      </c>
      <c r="O1425"/>
    </row>
    <row r="1426" spans="1:15" x14ac:dyDescent="0.35">
      <c r="A1426" t="s">
        <v>2200</v>
      </c>
      <c r="B1426" s="2">
        <v>45757</v>
      </c>
      <c r="C1426" t="s">
        <v>36</v>
      </c>
      <c r="D1426" t="s">
        <v>38</v>
      </c>
      <c r="E1426" t="s">
        <v>30</v>
      </c>
      <c r="F1426" t="s">
        <v>31</v>
      </c>
      <c r="G1426">
        <v>1</v>
      </c>
      <c r="H1426">
        <v>2.8</v>
      </c>
      <c r="I1426" t="s">
        <v>21</v>
      </c>
      <c r="J1426" t="s">
        <v>1110</v>
      </c>
      <c r="K1426" s="12">
        <f>Store_Record[[#This Row],[Qty]]*Store_Record[[#This Row],[UnitPriceGBP]]</f>
        <v>2.8</v>
      </c>
      <c r="L1426" s="5" t="str">
        <f>TEXT(Store_Record[[#This Row],[Date]],"dddd")</f>
        <v>Thursday</v>
      </c>
      <c r="M1426" s="5" t="str">
        <f>TEXT(Store_Record[[#This Row],[Date]],"mmmm")</f>
        <v>April</v>
      </c>
      <c r="N1426" s="5">
        <f>YEAR(Store_Record[[#This Row],[Date]])</f>
        <v>2025</v>
      </c>
      <c r="O1426"/>
    </row>
    <row r="1427" spans="1:15" x14ac:dyDescent="0.35">
      <c r="A1427" t="s">
        <v>2206</v>
      </c>
      <c r="B1427" s="2">
        <v>45757</v>
      </c>
      <c r="C1427" t="s">
        <v>24</v>
      </c>
      <c r="D1427" t="s">
        <v>11</v>
      </c>
      <c r="E1427" t="s">
        <v>12</v>
      </c>
      <c r="F1427" t="s">
        <v>13</v>
      </c>
      <c r="G1427">
        <v>1</v>
      </c>
      <c r="H1427">
        <v>2.5</v>
      </c>
      <c r="I1427" t="s">
        <v>21</v>
      </c>
      <c r="J1427" t="s">
        <v>292</v>
      </c>
      <c r="K1427" s="12">
        <f>Store_Record[[#This Row],[Qty]]*Store_Record[[#This Row],[UnitPriceGBP]]</f>
        <v>2.5</v>
      </c>
      <c r="L1427" s="5" t="str">
        <f>TEXT(Store_Record[[#This Row],[Date]],"dddd")</f>
        <v>Thursday</v>
      </c>
      <c r="M1427" s="5" t="str">
        <f>TEXT(Store_Record[[#This Row],[Date]],"mmmm")</f>
        <v>April</v>
      </c>
      <c r="N1427" s="5">
        <f>YEAR(Store_Record[[#This Row],[Date]])</f>
        <v>2025</v>
      </c>
      <c r="O1427"/>
    </row>
    <row r="1428" spans="1:15" x14ac:dyDescent="0.35">
      <c r="A1428" t="s">
        <v>2207</v>
      </c>
      <c r="B1428" s="2">
        <v>45757</v>
      </c>
      <c r="C1428" t="s">
        <v>36</v>
      </c>
      <c r="D1428" t="s">
        <v>29</v>
      </c>
      <c r="E1428" t="s">
        <v>12</v>
      </c>
      <c r="F1428" t="s">
        <v>13</v>
      </c>
      <c r="G1428">
        <v>1</v>
      </c>
      <c r="H1428">
        <v>2.5</v>
      </c>
      <c r="I1428" t="s">
        <v>14</v>
      </c>
      <c r="J1428" t="s">
        <v>819</v>
      </c>
      <c r="K1428" s="12">
        <f>Store_Record[[#This Row],[Qty]]*Store_Record[[#This Row],[UnitPriceGBP]]</f>
        <v>2.5</v>
      </c>
      <c r="L1428" s="5" t="str">
        <f>TEXT(Store_Record[[#This Row],[Date]],"dddd")</f>
        <v>Thursday</v>
      </c>
      <c r="M1428" s="5" t="str">
        <f>TEXT(Store_Record[[#This Row],[Date]],"mmmm")</f>
        <v>April</v>
      </c>
      <c r="N1428" s="5">
        <f>YEAR(Store_Record[[#This Row],[Date]])</f>
        <v>2025</v>
      </c>
      <c r="O1428"/>
    </row>
    <row r="1429" spans="1:15" x14ac:dyDescent="0.35">
      <c r="A1429" t="s">
        <v>2208</v>
      </c>
      <c r="B1429" s="2">
        <v>45757</v>
      </c>
      <c r="C1429" t="s">
        <v>20</v>
      </c>
      <c r="D1429" t="s">
        <v>47</v>
      </c>
      <c r="E1429" t="s">
        <v>12</v>
      </c>
      <c r="F1429" t="s">
        <v>13</v>
      </c>
      <c r="G1429">
        <v>1</v>
      </c>
      <c r="H1429">
        <v>2.5</v>
      </c>
      <c r="I1429" t="s">
        <v>21</v>
      </c>
      <c r="J1429" t="s">
        <v>144</v>
      </c>
      <c r="K1429" s="12">
        <f>Store_Record[[#This Row],[Qty]]*Store_Record[[#This Row],[UnitPriceGBP]]</f>
        <v>2.5</v>
      </c>
      <c r="L1429" s="5" t="str">
        <f>TEXT(Store_Record[[#This Row],[Date]],"dddd")</f>
        <v>Thursday</v>
      </c>
      <c r="M1429" s="5" t="str">
        <f>TEXT(Store_Record[[#This Row],[Date]],"mmmm")</f>
        <v>April</v>
      </c>
      <c r="N1429" s="5">
        <f>YEAR(Store_Record[[#This Row],[Date]])</f>
        <v>2025</v>
      </c>
      <c r="O1429"/>
    </row>
    <row r="1430" spans="1:15" x14ac:dyDescent="0.35">
      <c r="A1430" t="s">
        <v>2209</v>
      </c>
      <c r="B1430" s="2">
        <v>45757</v>
      </c>
      <c r="C1430" t="s">
        <v>36</v>
      </c>
      <c r="D1430" t="s">
        <v>25</v>
      </c>
      <c r="E1430" t="s">
        <v>12</v>
      </c>
      <c r="F1430" t="s">
        <v>13</v>
      </c>
      <c r="G1430">
        <v>1</v>
      </c>
      <c r="H1430">
        <v>2.5</v>
      </c>
      <c r="I1430" t="s">
        <v>39</v>
      </c>
      <c r="J1430" t="s">
        <v>1466</v>
      </c>
      <c r="K1430" s="12">
        <f>Store_Record[[#This Row],[Qty]]*Store_Record[[#This Row],[UnitPriceGBP]]</f>
        <v>2.5</v>
      </c>
      <c r="L1430" s="5" t="str">
        <f>TEXT(Store_Record[[#This Row],[Date]],"dddd")</f>
        <v>Thursday</v>
      </c>
      <c r="M1430" s="5" t="str">
        <f>TEXT(Store_Record[[#This Row],[Date]],"mmmm")</f>
        <v>April</v>
      </c>
      <c r="N1430" s="5">
        <f>YEAR(Store_Record[[#This Row],[Date]])</f>
        <v>2025</v>
      </c>
      <c r="O1430"/>
    </row>
    <row r="1431" spans="1:15" x14ac:dyDescent="0.35">
      <c r="A1431" t="s">
        <v>2195</v>
      </c>
      <c r="B1431" s="2">
        <v>45757</v>
      </c>
      <c r="C1431" t="s">
        <v>24</v>
      </c>
      <c r="D1431" t="s">
        <v>47</v>
      </c>
      <c r="E1431" t="s">
        <v>34</v>
      </c>
      <c r="F1431" t="s">
        <v>31</v>
      </c>
      <c r="G1431">
        <v>1</v>
      </c>
      <c r="H1431">
        <v>2.2000000000000002</v>
      </c>
      <c r="I1431" t="s">
        <v>39</v>
      </c>
      <c r="J1431" t="s">
        <v>1862</v>
      </c>
      <c r="K1431" s="12">
        <f>Store_Record[[#This Row],[Qty]]*Store_Record[[#This Row],[UnitPriceGBP]]</f>
        <v>2.2000000000000002</v>
      </c>
      <c r="L1431" s="5" t="str">
        <f>TEXT(Store_Record[[#This Row],[Date]],"dddd")</f>
        <v>Thursday</v>
      </c>
      <c r="M1431" s="5" t="str">
        <f>TEXT(Store_Record[[#This Row],[Date]],"mmmm")</f>
        <v>April</v>
      </c>
      <c r="N1431" s="5">
        <f>YEAR(Store_Record[[#This Row],[Date]])</f>
        <v>2025</v>
      </c>
      <c r="O1431"/>
    </row>
    <row r="1432" spans="1:15" x14ac:dyDescent="0.35">
      <c r="A1432" t="s">
        <v>2217</v>
      </c>
      <c r="B1432" s="2">
        <v>45758</v>
      </c>
      <c r="C1432" t="s">
        <v>36</v>
      </c>
      <c r="D1432" t="s">
        <v>47</v>
      </c>
      <c r="E1432" t="s">
        <v>26</v>
      </c>
      <c r="F1432" t="s">
        <v>13</v>
      </c>
      <c r="G1432">
        <v>4</v>
      </c>
      <c r="H1432">
        <v>3.5</v>
      </c>
      <c r="I1432" t="s">
        <v>14</v>
      </c>
      <c r="J1432" t="s">
        <v>2218</v>
      </c>
      <c r="K1432" s="12">
        <f>Store_Record[[#This Row],[Qty]]*Store_Record[[#This Row],[UnitPriceGBP]]</f>
        <v>14</v>
      </c>
      <c r="L1432" s="5" t="str">
        <f>TEXT(Store_Record[[#This Row],[Date]],"dddd")</f>
        <v>Friday</v>
      </c>
      <c r="M1432" s="5" t="str">
        <f>TEXT(Store_Record[[#This Row],[Date]],"mmmm")</f>
        <v>April</v>
      </c>
      <c r="N1432" s="5">
        <f>YEAR(Store_Record[[#This Row],[Date]])</f>
        <v>2025</v>
      </c>
      <c r="O1432"/>
    </row>
    <row r="1433" spans="1:15" x14ac:dyDescent="0.35">
      <c r="A1433" t="s">
        <v>2223</v>
      </c>
      <c r="B1433" s="2">
        <v>45758</v>
      </c>
      <c r="C1433" t="s">
        <v>36</v>
      </c>
      <c r="D1433" t="s">
        <v>38</v>
      </c>
      <c r="E1433" t="s">
        <v>26</v>
      </c>
      <c r="F1433" t="s">
        <v>13</v>
      </c>
      <c r="G1433">
        <v>4</v>
      </c>
      <c r="H1433">
        <v>3.5</v>
      </c>
      <c r="I1433" t="s">
        <v>14</v>
      </c>
      <c r="J1433" t="s">
        <v>35</v>
      </c>
      <c r="K1433" s="12">
        <f>Store_Record[[#This Row],[Qty]]*Store_Record[[#This Row],[UnitPriceGBP]]</f>
        <v>14</v>
      </c>
      <c r="L1433" s="5" t="str">
        <f>TEXT(Store_Record[[#This Row],[Date]],"dddd")</f>
        <v>Friday</v>
      </c>
      <c r="M1433" s="5" t="str">
        <f>TEXT(Store_Record[[#This Row],[Date]],"mmmm")</f>
        <v>April</v>
      </c>
      <c r="N1433" s="5">
        <f>YEAR(Store_Record[[#This Row],[Date]])</f>
        <v>2025</v>
      </c>
      <c r="O1433"/>
    </row>
    <row r="1434" spans="1:15" x14ac:dyDescent="0.35">
      <c r="A1434" t="s">
        <v>2227</v>
      </c>
      <c r="B1434" s="2">
        <v>45758</v>
      </c>
      <c r="C1434" t="s">
        <v>36</v>
      </c>
      <c r="D1434" t="s">
        <v>29</v>
      </c>
      <c r="E1434" t="s">
        <v>26</v>
      </c>
      <c r="F1434" t="s">
        <v>13</v>
      </c>
      <c r="G1434">
        <v>4</v>
      </c>
      <c r="H1434">
        <v>3.5</v>
      </c>
      <c r="I1434" t="s">
        <v>14</v>
      </c>
      <c r="J1434" t="s">
        <v>1092</v>
      </c>
      <c r="K1434" s="12">
        <f>Store_Record[[#This Row],[Qty]]*Store_Record[[#This Row],[UnitPriceGBP]]</f>
        <v>14</v>
      </c>
      <c r="L1434" s="5" t="str">
        <f>TEXT(Store_Record[[#This Row],[Date]],"dddd")</f>
        <v>Friday</v>
      </c>
      <c r="M1434" s="5" t="str">
        <f>TEXT(Store_Record[[#This Row],[Date]],"mmmm")</f>
        <v>April</v>
      </c>
      <c r="N1434" s="5">
        <f>YEAR(Store_Record[[#This Row],[Date]])</f>
        <v>2025</v>
      </c>
      <c r="O1434"/>
    </row>
    <row r="1435" spans="1:15" x14ac:dyDescent="0.35">
      <c r="A1435" t="s">
        <v>2213</v>
      </c>
      <c r="B1435" s="2">
        <v>45758</v>
      </c>
      <c r="C1435" t="s">
        <v>24</v>
      </c>
      <c r="D1435" t="s">
        <v>47</v>
      </c>
      <c r="E1435" t="s">
        <v>12</v>
      </c>
      <c r="F1435" t="s">
        <v>13</v>
      </c>
      <c r="G1435">
        <v>5</v>
      </c>
      <c r="H1435">
        <v>2.5</v>
      </c>
      <c r="I1435" t="s">
        <v>21</v>
      </c>
      <c r="J1435" t="s">
        <v>1989</v>
      </c>
      <c r="K1435" s="12">
        <f>Store_Record[[#This Row],[Qty]]*Store_Record[[#This Row],[UnitPriceGBP]]</f>
        <v>12.5</v>
      </c>
      <c r="L1435" s="5" t="str">
        <f>TEXT(Store_Record[[#This Row],[Date]],"dddd")</f>
        <v>Friday</v>
      </c>
      <c r="M1435" s="5" t="str">
        <f>TEXT(Store_Record[[#This Row],[Date]],"mmmm")</f>
        <v>April</v>
      </c>
      <c r="N1435" s="5">
        <f>YEAR(Store_Record[[#This Row],[Date]])</f>
        <v>2025</v>
      </c>
      <c r="O1435"/>
    </row>
    <row r="1436" spans="1:15" x14ac:dyDescent="0.35">
      <c r="A1436" t="s">
        <v>2215</v>
      </c>
      <c r="B1436" s="2">
        <v>45758</v>
      </c>
      <c r="C1436" t="s">
        <v>24</v>
      </c>
      <c r="D1436" t="s">
        <v>47</v>
      </c>
      <c r="E1436" t="s">
        <v>42</v>
      </c>
      <c r="F1436" t="s">
        <v>13</v>
      </c>
      <c r="G1436">
        <v>3</v>
      </c>
      <c r="H1436">
        <v>3.8</v>
      </c>
      <c r="I1436" t="s">
        <v>39</v>
      </c>
      <c r="J1436" t="s">
        <v>2216</v>
      </c>
      <c r="K1436" s="12">
        <f>Store_Record[[#This Row],[Qty]]*Store_Record[[#This Row],[UnitPriceGBP]]</f>
        <v>11.399999999999999</v>
      </c>
      <c r="L1436" s="5" t="str">
        <f>TEXT(Store_Record[[#This Row],[Date]],"dddd")</f>
        <v>Friday</v>
      </c>
      <c r="M1436" s="5" t="str">
        <f>TEXT(Store_Record[[#This Row],[Date]],"mmmm")</f>
        <v>April</v>
      </c>
      <c r="N1436" s="5">
        <f>YEAR(Store_Record[[#This Row],[Date]])</f>
        <v>2025</v>
      </c>
      <c r="O1436"/>
    </row>
    <row r="1437" spans="1:15" x14ac:dyDescent="0.35">
      <c r="A1437" t="s">
        <v>2228</v>
      </c>
      <c r="B1437" s="2">
        <v>45758</v>
      </c>
      <c r="C1437" t="s">
        <v>24</v>
      </c>
      <c r="D1437" t="s">
        <v>25</v>
      </c>
      <c r="E1437" t="s">
        <v>34</v>
      </c>
      <c r="F1437" t="s">
        <v>31</v>
      </c>
      <c r="G1437">
        <v>5</v>
      </c>
      <c r="H1437">
        <v>2.2000000000000002</v>
      </c>
      <c r="I1437" t="s">
        <v>39</v>
      </c>
      <c r="J1437" t="s">
        <v>941</v>
      </c>
      <c r="K1437" s="12">
        <f>Store_Record[[#This Row],[Qty]]*Store_Record[[#This Row],[UnitPriceGBP]]</f>
        <v>11</v>
      </c>
      <c r="L1437" s="5" t="str">
        <f>TEXT(Store_Record[[#This Row],[Date]],"dddd")</f>
        <v>Friday</v>
      </c>
      <c r="M1437" s="5" t="str">
        <f>TEXT(Store_Record[[#This Row],[Date]],"mmmm")</f>
        <v>April</v>
      </c>
      <c r="N1437" s="5">
        <f>YEAR(Store_Record[[#This Row],[Date]])</f>
        <v>2025</v>
      </c>
      <c r="O1437"/>
    </row>
    <row r="1438" spans="1:15" x14ac:dyDescent="0.35">
      <c r="A1438" t="s">
        <v>2221</v>
      </c>
      <c r="B1438" s="2">
        <v>45758</v>
      </c>
      <c r="C1438" t="s">
        <v>36</v>
      </c>
      <c r="D1438" t="s">
        <v>152</v>
      </c>
      <c r="E1438" t="s">
        <v>26</v>
      </c>
      <c r="F1438" t="s">
        <v>13</v>
      </c>
      <c r="G1438">
        <v>3</v>
      </c>
      <c r="H1438">
        <v>3.5</v>
      </c>
      <c r="I1438" t="s">
        <v>39</v>
      </c>
      <c r="J1438" t="s">
        <v>2222</v>
      </c>
      <c r="K1438" s="12">
        <f>Store_Record[[#This Row],[Qty]]*Store_Record[[#This Row],[UnitPriceGBP]]</f>
        <v>10.5</v>
      </c>
      <c r="L1438" s="5" t="str">
        <f>TEXT(Store_Record[[#This Row],[Date]],"dddd")</f>
        <v>Friday</v>
      </c>
      <c r="M1438" s="5" t="str">
        <f>TEXT(Store_Record[[#This Row],[Date]],"mmmm")</f>
        <v>April</v>
      </c>
      <c r="N1438" s="5">
        <f>YEAR(Store_Record[[#This Row],[Date]])</f>
        <v>2025</v>
      </c>
      <c r="O1438"/>
    </row>
    <row r="1439" spans="1:15" x14ac:dyDescent="0.35">
      <c r="A1439" t="s">
        <v>2224</v>
      </c>
      <c r="B1439" s="2">
        <v>45758</v>
      </c>
      <c r="C1439" t="s">
        <v>36</v>
      </c>
      <c r="D1439" t="s">
        <v>25</v>
      </c>
      <c r="E1439" t="s">
        <v>26</v>
      </c>
      <c r="F1439" t="s">
        <v>31</v>
      </c>
      <c r="G1439">
        <v>3</v>
      </c>
      <c r="H1439">
        <v>2.8</v>
      </c>
      <c r="I1439" t="s">
        <v>39</v>
      </c>
      <c r="J1439" t="s">
        <v>2225</v>
      </c>
      <c r="K1439" s="12">
        <f>Store_Record[[#This Row],[Qty]]*Store_Record[[#This Row],[UnitPriceGBP]]</f>
        <v>8.3999999999999986</v>
      </c>
      <c r="L1439" s="5" t="str">
        <f>TEXT(Store_Record[[#This Row],[Date]],"dddd")</f>
        <v>Friday</v>
      </c>
      <c r="M1439" s="5" t="str">
        <f>TEXT(Store_Record[[#This Row],[Date]],"mmmm")</f>
        <v>April</v>
      </c>
      <c r="N1439" s="5">
        <f>YEAR(Store_Record[[#This Row],[Date]])</f>
        <v>2025</v>
      </c>
      <c r="O1439"/>
    </row>
    <row r="1440" spans="1:15" x14ac:dyDescent="0.35">
      <c r="A1440" t="s">
        <v>2219</v>
      </c>
      <c r="B1440" s="2">
        <v>45758</v>
      </c>
      <c r="C1440" t="s">
        <v>24</v>
      </c>
      <c r="D1440" t="s">
        <v>25</v>
      </c>
      <c r="E1440" t="s">
        <v>26</v>
      </c>
      <c r="F1440" t="s">
        <v>13</v>
      </c>
      <c r="G1440">
        <v>2</v>
      </c>
      <c r="H1440">
        <v>3.5</v>
      </c>
      <c r="I1440" t="s">
        <v>21</v>
      </c>
      <c r="J1440" t="s">
        <v>2220</v>
      </c>
      <c r="K1440" s="12">
        <f>Store_Record[[#This Row],[Qty]]*Store_Record[[#This Row],[UnitPriceGBP]]</f>
        <v>7</v>
      </c>
      <c r="L1440" s="5" t="str">
        <f>TEXT(Store_Record[[#This Row],[Date]],"dddd")</f>
        <v>Friday</v>
      </c>
      <c r="M1440" s="5" t="str">
        <f>TEXT(Store_Record[[#This Row],[Date]],"mmmm")</f>
        <v>April</v>
      </c>
      <c r="N1440" s="5">
        <f>YEAR(Store_Record[[#This Row],[Date]])</f>
        <v>2025</v>
      </c>
      <c r="O1440"/>
    </row>
    <row r="1441" spans="1:15" x14ac:dyDescent="0.35">
      <c r="A1441" t="s">
        <v>2210</v>
      </c>
      <c r="B1441" s="2">
        <v>45758</v>
      </c>
      <c r="C1441" t="s">
        <v>36</v>
      </c>
      <c r="D1441" t="s">
        <v>11</v>
      </c>
      <c r="E1441" t="s">
        <v>30</v>
      </c>
      <c r="F1441" t="s">
        <v>31</v>
      </c>
      <c r="G1441">
        <v>2</v>
      </c>
      <c r="H1441">
        <v>2.8</v>
      </c>
      <c r="I1441" t="s">
        <v>39</v>
      </c>
      <c r="J1441" t="s">
        <v>1605</v>
      </c>
      <c r="K1441" s="12">
        <f>Store_Record[[#This Row],[Qty]]*Store_Record[[#This Row],[UnitPriceGBP]]</f>
        <v>5.6</v>
      </c>
      <c r="L1441" s="5" t="str">
        <f>TEXT(Store_Record[[#This Row],[Date]],"dddd")</f>
        <v>Friday</v>
      </c>
      <c r="M1441" s="5" t="str">
        <f>TEXT(Store_Record[[#This Row],[Date]],"mmmm")</f>
        <v>April</v>
      </c>
      <c r="N1441" s="5">
        <f>YEAR(Store_Record[[#This Row],[Date]])</f>
        <v>2025</v>
      </c>
      <c r="O1441"/>
    </row>
    <row r="1442" spans="1:15" x14ac:dyDescent="0.35">
      <c r="A1442" t="s">
        <v>2211</v>
      </c>
      <c r="B1442" s="2">
        <v>45758</v>
      </c>
      <c r="C1442" t="s">
        <v>36</v>
      </c>
      <c r="D1442" t="s">
        <v>29</v>
      </c>
      <c r="E1442" t="s">
        <v>34</v>
      </c>
      <c r="F1442" t="s">
        <v>31</v>
      </c>
      <c r="G1442">
        <v>2</v>
      </c>
      <c r="H1442">
        <v>2.2000000000000002</v>
      </c>
      <c r="I1442" t="s">
        <v>39</v>
      </c>
      <c r="J1442" t="s">
        <v>2212</v>
      </c>
      <c r="K1442" s="12">
        <f>Store_Record[[#This Row],[Qty]]*Store_Record[[#This Row],[UnitPriceGBP]]</f>
        <v>4.4000000000000004</v>
      </c>
      <c r="L1442" s="5" t="str">
        <f>TEXT(Store_Record[[#This Row],[Date]],"dddd")</f>
        <v>Friday</v>
      </c>
      <c r="M1442" s="5" t="str">
        <f>TEXT(Store_Record[[#This Row],[Date]],"mmmm")</f>
        <v>April</v>
      </c>
      <c r="N1442" s="5">
        <f>YEAR(Store_Record[[#This Row],[Date]])</f>
        <v>2025</v>
      </c>
      <c r="O1442"/>
    </row>
    <row r="1443" spans="1:15" x14ac:dyDescent="0.35">
      <c r="A1443" t="s">
        <v>2229</v>
      </c>
      <c r="B1443" s="2">
        <v>45758</v>
      </c>
      <c r="C1443" t="s">
        <v>20</v>
      </c>
      <c r="D1443" t="s">
        <v>47</v>
      </c>
      <c r="E1443" t="s">
        <v>34</v>
      </c>
      <c r="F1443" t="s">
        <v>31</v>
      </c>
      <c r="G1443">
        <v>2</v>
      </c>
      <c r="H1443">
        <v>2.2000000000000002</v>
      </c>
      <c r="I1443" t="s">
        <v>21</v>
      </c>
      <c r="J1443" t="s">
        <v>109</v>
      </c>
      <c r="K1443" s="12">
        <f>Store_Record[[#This Row],[Qty]]*Store_Record[[#This Row],[UnitPriceGBP]]</f>
        <v>4.4000000000000004</v>
      </c>
      <c r="L1443" s="5" t="str">
        <f>TEXT(Store_Record[[#This Row],[Date]],"dddd")</f>
        <v>Friday</v>
      </c>
      <c r="M1443" s="5" t="str">
        <f>TEXT(Store_Record[[#This Row],[Date]],"mmmm")</f>
        <v>April</v>
      </c>
      <c r="N1443" s="5">
        <f>YEAR(Store_Record[[#This Row],[Date]])</f>
        <v>2025</v>
      </c>
      <c r="O1443"/>
    </row>
    <row r="1444" spans="1:15" x14ac:dyDescent="0.35">
      <c r="A1444" t="s">
        <v>2230</v>
      </c>
      <c r="B1444" s="2">
        <v>45758</v>
      </c>
      <c r="C1444" t="s">
        <v>24</v>
      </c>
      <c r="D1444" t="s">
        <v>25</v>
      </c>
      <c r="E1444" t="s">
        <v>34</v>
      </c>
      <c r="F1444" t="s">
        <v>31</v>
      </c>
      <c r="G1444">
        <v>2</v>
      </c>
      <c r="H1444">
        <v>2.2000000000000002</v>
      </c>
      <c r="I1444" t="s">
        <v>39</v>
      </c>
      <c r="J1444" t="s">
        <v>2231</v>
      </c>
      <c r="K1444" s="12">
        <f>Store_Record[[#This Row],[Qty]]*Store_Record[[#This Row],[UnitPriceGBP]]</f>
        <v>4.4000000000000004</v>
      </c>
      <c r="L1444" s="5" t="str">
        <f>TEXT(Store_Record[[#This Row],[Date]],"dddd")</f>
        <v>Friday</v>
      </c>
      <c r="M1444" s="5" t="str">
        <f>TEXT(Store_Record[[#This Row],[Date]],"mmmm")</f>
        <v>April</v>
      </c>
      <c r="N1444" s="5">
        <f>YEAR(Store_Record[[#This Row],[Date]])</f>
        <v>2025</v>
      </c>
      <c r="O1444"/>
    </row>
    <row r="1445" spans="1:15" x14ac:dyDescent="0.35">
      <c r="A1445" t="s">
        <v>2214</v>
      </c>
      <c r="B1445" s="2">
        <v>45758</v>
      </c>
      <c r="C1445" t="s">
        <v>20</v>
      </c>
      <c r="D1445" t="s">
        <v>47</v>
      </c>
      <c r="E1445" t="s">
        <v>42</v>
      </c>
      <c r="F1445" t="s">
        <v>13</v>
      </c>
      <c r="G1445">
        <v>1</v>
      </c>
      <c r="H1445">
        <v>3.8</v>
      </c>
      <c r="I1445" t="s">
        <v>14</v>
      </c>
      <c r="J1445" t="s">
        <v>978</v>
      </c>
      <c r="K1445" s="12">
        <f>Store_Record[[#This Row],[Qty]]*Store_Record[[#This Row],[UnitPriceGBP]]</f>
        <v>3.8</v>
      </c>
      <c r="L1445" s="5" t="str">
        <f>TEXT(Store_Record[[#This Row],[Date]],"dddd")</f>
        <v>Friday</v>
      </c>
      <c r="M1445" s="5" t="str">
        <f>TEXT(Store_Record[[#This Row],[Date]],"mmmm")</f>
        <v>April</v>
      </c>
      <c r="N1445" s="5">
        <f>YEAR(Store_Record[[#This Row],[Date]])</f>
        <v>2025</v>
      </c>
      <c r="O1445"/>
    </row>
    <row r="1446" spans="1:15" x14ac:dyDescent="0.35">
      <c r="A1446" t="s">
        <v>2226</v>
      </c>
      <c r="B1446" s="2">
        <v>45758</v>
      </c>
      <c r="C1446" t="s">
        <v>20</v>
      </c>
      <c r="D1446" t="s">
        <v>11</v>
      </c>
      <c r="E1446" t="s">
        <v>30</v>
      </c>
      <c r="F1446" t="s">
        <v>31</v>
      </c>
      <c r="G1446">
        <v>1</v>
      </c>
      <c r="H1446">
        <v>2.8</v>
      </c>
      <c r="I1446" t="s">
        <v>14</v>
      </c>
      <c r="J1446" t="s">
        <v>539</v>
      </c>
      <c r="K1446" s="12">
        <f>Store_Record[[#This Row],[Qty]]*Store_Record[[#This Row],[UnitPriceGBP]]</f>
        <v>2.8</v>
      </c>
      <c r="L1446" s="5" t="str">
        <f>TEXT(Store_Record[[#This Row],[Date]],"dddd")</f>
        <v>Friday</v>
      </c>
      <c r="M1446" s="5" t="str">
        <f>TEXT(Store_Record[[#This Row],[Date]],"mmmm")</f>
        <v>April</v>
      </c>
      <c r="N1446" s="5">
        <f>YEAR(Store_Record[[#This Row],[Date]])</f>
        <v>2025</v>
      </c>
      <c r="O1446"/>
    </row>
    <row r="1447" spans="1:15" x14ac:dyDescent="0.35">
      <c r="A1447" t="s">
        <v>2232</v>
      </c>
      <c r="B1447" s="2">
        <v>45758</v>
      </c>
      <c r="C1447" t="s">
        <v>24</v>
      </c>
      <c r="D1447" t="s">
        <v>25</v>
      </c>
      <c r="E1447" t="s">
        <v>30</v>
      </c>
      <c r="F1447" t="s">
        <v>31</v>
      </c>
      <c r="G1447">
        <v>1</v>
      </c>
      <c r="H1447">
        <v>2.8</v>
      </c>
      <c r="I1447" t="s">
        <v>14</v>
      </c>
      <c r="J1447" t="s">
        <v>2233</v>
      </c>
      <c r="K1447" s="12">
        <f>Store_Record[[#This Row],[Qty]]*Store_Record[[#This Row],[UnitPriceGBP]]</f>
        <v>2.8</v>
      </c>
      <c r="L1447" s="5" t="str">
        <f>TEXT(Store_Record[[#This Row],[Date]],"dddd")</f>
        <v>Friday</v>
      </c>
      <c r="M1447" s="5" t="str">
        <f>TEXT(Store_Record[[#This Row],[Date]],"mmmm")</f>
        <v>April</v>
      </c>
      <c r="N1447" s="5">
        <f>YEAR(Store_Record[[#This Row],[Date]])</f>
        <v>2025</v>
      </c>
      <c r="O1447"/>
    </row>
    <row r="1448" spans="1:15" x14ac:dyDescent="0.35">
      <c r="A1448" t="s">
        <v>2235</v>
      </c>
      <c r="B1448" s="2">
        <v>45759</v>
      </c>
      <c r="C1448" t="s">
        <v>36</v>
      </c>
      <c r="D1448" t="s">
        <v>25</v>
      </c>
      <c r="E1448" t="s">
        <v>26</v>
      </c>
      <c r="F1448" t="s">
        <v>13</v>
      </c>
      <c r="G1448">
        <v>5</v>
      </c>
      <c r="H1448">
        <v>3.5</v>
      </c>
      <c r="I1448" t="s">
        <v>39</v>
      </c>
      <c r="J1448" t="s">
        <v>2236</v>
      </c>
      <c r="K1448" s="12">
        <f>Store_Record[[#This Row],[Qty]]*Store_Record[[#This Row],[UnitPriceGBP]]</f>
        <v>17.5</v>
      </c>
      <c r="L1448" s="5" t="str">
        <f>TEXT(Store_Record[[#This Row],[Date]],"dddd")</f>
        <v>Saturday</v>
      </c>
      <c r="M1448" s="5" t="str">
        <f>TEXT(Store_Record[[#This Row],[Date]],"mmmm")</f>
        <v>April</v>
      </c>
      <c r="N1448" s="5">
        <f>YEAR(Store_Record[[#This Row],[Date]])</f>
        <v>2025</v>
      </c>
      <c r="O1448"/>
    </row>
    <row r="1449" spans="1:15" x14ac:dyDescent="0.35">
      <c r="A1449" t="s">
        <v>2246</v>
      </c>
      <c r="B1449" s="2">
        <v>45759</v>
      </c>
      <c r="C1449" t="s">
        <v>20</v>
      </c>
      <c r="D1449" t="s">
        <v>47</v>
      </c>
      <c r="E1449" t="s">
        <v>26</v>
      </c>
      <c r="F1449" t="s">
        <v>13</v>
      </c>
      <c r="G1449">
        <v>5</v>
      </c>
      <c r="H1449">
        <v>3.5</v>
      </c>
      <c r="I1449" t="s">
        <v>21</v>
      </c>
      <c r="J1449" t="s">
        <v>40</v>
      </c>
      <c r="K1449" s="12">
        <f>Store_Record[[#This Row],[Qty]]*Store_Record[[#This Row],[UnitPriceGBP]]</f>
        <v>17.5</v>
      </c>
      <c r="L1449" s="5" t="str">
        <f>TEXT(Store_Record[[#This Row],[Date]],"dddd")</f>
        <v>Saturday</v>
      </c>
      <c r="M1449" s="5" t="str">
        <f>TEXT(Store_Record[[#This Row],[Date]],"mmmm")</f>
        <v>April</v>
      </c>
      <c r="N1449" s="5">
        <f>YEAR(Store_Record[[#This Row],[Date]])</f>
        <v>2025</v>
      </c>
      <c r="O1449"/>
    </row>
    <row r="1450" spans="1:15" x14ac:dyDescent="0.35">
      <c r="A1450" t="s">
        <v>2248</v>
      </c>
      <c r="B1450" s="2">
        <v>45759</v>
      </c>
      <c r="C1450" t="s">
        <v>10</v>
      </c>
      <c r="D1450" t="s">
        <v>29</v>
      </c>
      <c r="E1450" t="s">
        <v>12</v>
      </c>
      <c r="F1450" t="s">
        <v>13</v>
      </c>
      <c r="G1450">
        <v>5</v>
      </c>
      <c r="H1450">
        <v>2.5</v>
      </c>
      <c r="I1450" t="s">
        <v>14</v>
      </c>
      <c r="J1450" t="s">
        <v>549</v>
      </c>
      <c r="K1450" s="12">
        <f>Store_Record[[#This Row],[Qty]]*Store_Record[[#This Row],[UnitPriceGBP]]</f>
        <v>12.5</v>
      </c>
      <c r="L1450" s="5" t="str">
        <f>TEXT(Store_Record[[#This Row],[Date]],"dddd")</f>
        <v>Saturday</v>
      </c>
      <c r="M1450" s="5" t="str">
        <f>TEXT(Store_Record[[#This Row],[Date]],"mmmm")</f>
        <v>April</v>
      </c>
      <c r="N1450" s="5">
        <f>YEAR(Store_Record[[#This Row],[Date]])</f>
        <v>2025</v>
      </c>
      <c r="O1450"/>
    </row>
    <row r="1451" spans="1:15" x14ac:dyDescent="0.35">
      <c r="A1451" t="s">
        <v>2242</v>
      </c>
      <c r="B1451" s="2">
        <v>45759</v>
      </c>
      <c r="C1451" t="s">
        <v>36</v>
      </c>
      <c r="D1451" t="s">
        <v>11</v>
      </c>
      <c r="E1451" t="s">
        <v>12</v>
      </c>
      <c r="F1451" t="s">
        <v>13</v>
      </c>
      <c r="G1451">
        <v>4</v>
      </c>
      <c r="H1451">
        <v>2.5</v>
      </c>
      <c r="I1451" t="s">
        <v>39</v>
      </c>
      <c r="J1451" t="s">
        <v>654</v>
      </c>
      <c r="K1451" s="12">
        <f>Store_Record[[#This Row],[Qty]]*Store_Record[[#This Row],[UnitPriceGBP]]</f>
        <v>10</v>
      </c>
      <c r="L1451" s="5" t="str">
        <f>TEXT(Store_Record[[#This Row],[Date]],"dddd")</f>
        <v>Saturday</v>
      </c>
      <c r="M1451" s="5" t="str">
        <f>TEXT(Store_Record[[#This Row],[Date]],"mmmm")</f>
        <v>April</v>
      </c>
      <c r="N1451" s="5">
        <f>YEAR(Store_Record[[#This Row],[Date]])</f>
        <v>2025</v>
      </c>
      <c r="O1451"/>
    </row>
    <row r="1452" spans="1:15" x14ac:dyDescent="0.35">
      <c r="A1452" t="s">
        <v>2249</v>
      </c>
      <c r="B1452" s="2">
        <v>45759</v>
      </c>
      <c r="C1452" t="s">
        <v>24</v>
      </c>
      <c r="D1452" t="s">
        <v>38</v>
      </c>
      <c r="E1452" t="s">
        <v>12</v>
      </c>
      <c r="F1452" t="s">
        <v>13</v>
      </c>
      <c r="G1452">
        <v>4</v>
      </c>
      <c r="H1452">
        <v>2.5</v>
      </c>
      <c r="I1452" t="s">
        <v>39</v>
      </c>
      <c r="J1452" t="s">
        <v>1806</v>
      </c>
      <c r="K1452" s="12">
        <f>Store_Record[[#This Row],[Qty]]*Store_Record[[#This Row],[UnitPriceGBP]]</f>
        <v>10</v>
      </c>
      <c r="L1452" s="5" t="str">
        <f>TEXT(Store_Record[[#This Row],[Date]],"dddd")</f>
        <v>Saturday</v>
      </c>
      <c r="M1452" s="5" t="str">
        <f>TEXT(Store_Record[[#This Row],[Date]],"mmmm")</f>
        <v>April</v>
      </c>
      <c r="N1452" s="5">
        <f>YEAR(Store_Record[[#This Row],[Date]])</f>
        <v>2025</v>
      </c>
      <c r="O1452"/>
    </row>
    <row r="1453" spans="1:15" x14ac:dyDescent="0.35">
      <c r="A1453" t="s">
        <v>2250</v>
      </c>
      <c r="B1453" s="2">
        <v>45759</v>
      </c>
      <c r="C1453" t="s">
        <v>20</v>
      </c>
      <c r="D1453" t="s">
        <v>25</v>
      </c>
      <c r="E1453" t="s">
        <v>34</v>
      </c>
      <c r="F1453" t="s">
        <v>31</v>
      </c>
      <c r="G1453">
        <v>4</v>
      </c>
      <c r="H1453">
        <v>2.2000000000000002</v>
      </c>
      <c r="I1453" t="s">
        <v>14</v>
      </c>
      <c r="J1453" t="s">
        <v>1700</v>
      </c>
      <c r="K1453" s="12">
        <f>Store_Record[[#This Row],[Qty]]*Store_Record[[#This Row],[UnitPriceGBP]]</f>
        <v>8.8000000000000007</v>
      </c>
      <c r="L1453" s="5" t="str">
        <f>TEXT(Store_Record[[#This Row],[Date]],"dddd")</f>
        <v>Saturday</v>
      </c>
      <c r="M1453" s="5" t="str">
        <f>TEXT(Store_Record[[#This Row],[Date]],"mmmm")</f>
        <v>April</v>
      </c>
      <c r="N1453" s="5">
        <f>YEAR(Store_Record[[#This Row],[Date]])</f>
        <v>2025</v>
      </c>
      <c r="O1453"/>
    </row>
    <row r="1454" spans="1:15" x14ac:dyDescent="0.35">
      <c r="A1454" t="s">
        <v>2251</v>
      </c>
      <c r="B1454" s="2">
        <v>45759</v>
      </c>
      <c r="C1454" t="s">
        <v>10</v>
      </c>
      <c r="D1454" t="s">
        <v>47</v>
      </c>
      <c r="E1454" t="s">
        <v>34</v>
      </c>
      <c r="F1454" t="s">
        <v>31</v>
      </c>
      <c r="G1454">
        <v>4</v>
      </c>
      <c r="H1454">
        <v>2.2000000000000002</v>
      </c>
      <c r="I1454" t="s">
        <v>39</v>
      </c>
      <c r="J1454" t="s">
        <v>1329</v>
      </c>
      <c r="K1454" s="12">
        <f>Store_Record[[#This Row],[Qty]]*Store_Record[[#This Row],[UnitPriceGBP]]</f>
        <v>8.8000000000000007</v>
      </c>
      <c r="L1454" s="5" t="str">
        <f>TEXT(Store_Record[[#This Row],[Date]],"dddd")</f>
        <v>Saturday</v>
      </c>
      <c r="M1454" s="5" t="str">
        <f>TEXT(Store_Record[[#This Row],[Date]],"mmmm")</f>
        <v>April</v>
      </c>
      <c r="N1454" s="5">
        <f>YEAR(Store_Record[[#This Row],[Date]])</f>
        <v>2025</v>
      </c>
      <c r="O1454"/>
    </row>
    <row r="1455" spans="1:15" x14ac:dyDescent="0.35">
      <c r="A1455" t="s">
        <v>2239</v>
      </c>
      <c r="B1455" s="2">
        <v>45759</v>
      </c>
      <c r="C1455" t="s">
        <v>36</v>
      </c>
      <c r="D1455" t="s">
        <v>47</v>
      </c>
      <c r="E1455" t="s">
        <v>42</v>
      </c>
      <c r="F1455" t="s">
        <v>13</v>
      </c>
      <c r="G1455">
        <v>2</v>
      </c>
      <c r="H1455">
        <v>3.8</v>
      </c>
      <c r="I1455" t="s">
        <v>39</v>
      </c>
      <c r="J1455" t="s">
        <v>886</v>
      </c>
      <c r="K1455" s="12">
        <f>Store_Record[[#This Row],[Qty]]*Store_Record[[#This Row],[UnitPriceGBP]]</f>
        <v>7.6</v>
      </c>
      <c r="L1455" s="5" t="str">
        <f>TEXT(Store_Record[[#This Row],[Date]],"dddd")</f>
        <v>Saturday</v>
      </c>
      <c r="M1455" s="5" t="str">
        <f>TEXT(Store_Record[[#This Row],[Date]],"mmmm")</f>
        <v>April</v>
      </c>
      <c r="N1455" s="5">
        <f>YEAR(Store_Record[[#This Row],[Date]])</f>
        <v>2025</v>
      </c>
      <c r="O1455"/>
    </row>
    <row r="1456" spans="1:15" x14ac:dyDescent="0.35">
      <c r="A1456" t="s">
        <v>2234</v>
      </c>
      <c r="B1456" s="2">
        <v>45759</v>
      </c>
      <c r="C1456" t="s">
        <v>36</v>
      </c>
      <c r="D1456" t="s">
        <v>47</v>
      </c>
      <c r="E1456" t="s">
        <v>12</v>
      </c>
      <c r="F1456" t="s">
        <v>13</v>
      </c>
      <c r="G1456">
        <v>3</v>
      </c>
      <c r="H1456">
        <v>2.5</v>
      </c>
      <c r="I1456" t="s">
        <v>21</v>
      </c>
      <c r="J1456" t="s">
        <v>757</v>
      </c>
      <c r="K1456" s="12">
        <f>Store_Record[[#This Row],[Qty]]*Store_Record[[#This Row],[UnitPriceGBP]]</f>
        <v>7.5</v>
      </c>
      <c r="L1456" s="5" t="str">
        <f>TEXT(Store_Record[[#This Row],[Date]],"dddd")</f>
        <v>Saturday</v>
      </c>
      <c r="M1456" s="5" t="str">
        <f>TEXT(Store_Record[[#This Row],[Date]],"mmmm")</f>
        <v>April</v>
      </c>
      <c r="N1456" s="5">
        <f>YEAR(Store_Record[[#This Row],[Date]])</f>
        <v>2025</v>
      </c>
      <c r="O1456"/>
    </row>
    <row r="1457" spans="1:15" x14ac:dyDescent="0.35">
      <c r="A1457" t="s">
        <v>2240</v>
      </c>
      <c r="B1457" s="2">
        <v>45759</v>
      </c>
      <c r="C1457" t="s">
        <v>10</v>
      </c>
      <c r="D1457" t="s">
        <v>29</v>
      </c>
      <c r="E1457" t="s">
        <v>12</v>
      </c>
      <c r="F1457" t="s">
        <v>13</v>
      </c>
      <c r="G1457">
        <v>2</v>
      </c>
      <c r="H1457">
        <v>2.5</v>
      </c>
      <c r="I1457" t="s">
        <v>21</v>
      </c>
      <c r="J1457" t="s">
        <v>2241</v>
      </c>
      <c r="K1457" s="12">
        <f>Store_Record[[#This Row],[Qty]]*Store_Record[[#This Row],[UnitPriceGBP]]</f>
        <v>5</v>
      </c>
      <c r="L1457" s="5" t="str">
        <f>TEXT(Store_Record[[#This Row],[Date]],"dddd")</f>
        <v>Saturday</v>
      </c>
      <c r="M1457" s="5" t="str">
        <f>TEXT(Store_Record[[#This Row],[Date]],"mmmm")</f>
        <v>April</v>
      </c>
      <c r="N1457" s="5">
        <f>YEAR(Store_Record[[#This Row],[Date]])</f>
        <v>2025</v>
      </c>
      <c r="O1457"/>
    </row>
    <row r="1458" spans="1:15" x14ac:dyDescent="0.35">
      <c r="A1458" t="s">
        <v>2243</v>
      </c>
      <c r="B1458" s="2">
        <v>45759</v>
      </c>
      <c r="C1458" t="s">
        <v>10</v>
      </c>
      <c r="D1458" t="s">
        <v>47</v>
      </c>
      <c r="E1458" t="s">
        <v>12</v>
      </c>
      <c r="F1458" t="s">
        <v>13</v>
      </c>
      <c r="G1458">
        <v>2</v>
      </c>
      <c r="H1458">
        <v>2.5</v>
      </c>
      <c r="I1458" t="s">
        <v>39</v>
      </c>
      <c r="J1458" t="s">
        <v>1734</v>
      </c>
      <c r="K1458" s="12">
        <f>Store_Record[[#This Row],[Qty]]*Store_Record[[#This Row],[UnitPriceGBP]]</f>
        <v>5</v>
      </c>
      <c r="L1458" s="5" t="str">
        <f>TEXT(Store_Record[[#This Row],[Date]],"dddd")</f>
        <v>Saturday</v>
      </c>
      <c r="M1458" s="5" t="str">
        <f>TEXT(Store_Record[[#This Row],[Date]],"mmmm")</f>
        <v>April</v>
      </c>
      <c r="N1458" s="5">
        <f>YEAR(Store_Record[[#This Row],[Date]])</f>
        <v>2025</v>
      </c>
      <c r="O1458"/>
    </row>
    <row r="1459" spans="1:15" x14ac:dyDescent="0.35">
      <c r="A1459" t="s">
        <v>2244</v>
      </c>
      <c r="B1459" s="2">
        <v>45759</v>
      </c>
      <c r="C1459" t="s">
        <v>36</v>
      </c>
      <c r="D1459" t="s">
        <v>29</v>
      </c>
      <c r="E1459" t="s">
        <v>12</v>
      </c>
      <c r="F1459" t="s">
        <v>13</v>
      </c>
      <c r="G1459">
        <v>2</v>
      </c>
      <c r="H1459">
        <v>2.5</v>
      </c>
      <c r="I1459" t="s">
        <v>21</v>
      </c>
      <c r="J1459" t="s">
        <v>2245</v>
      </c>
      <c r="K1459" s="12">
        <f>Store_Record[[#This Row],[Qty]]*Store_Record[[#This Row],[UnitPriceGBP]]</f>
        <v>5</v>
      </c>
      <c r="L1459" s="5" t="str">
        <f>TEXT(Store_Record[[#This Row],[Date]],"dddd")</f>
        <v>Saturday</v>
      </c>
      <c r="M1459" s="5" t="str">
        <f>TEXT(Store_Record[[#This Row],[Date]],"mmmm")</f>
        <v>April</v>
      </c>
      <c r="N1459" s="5">
        <f>YEAR(Store_Record[[#This Row],[Date]])</f>
        <v>2025</v>
      </c>
      <c r="O1459"/>
    </row>
    <row r="1460" spans="1:15" x14ac:dyDescent="0.35">
      <c r="A1460" t="s">
        <v>2247</v>
      </c>
      <c r="B1460" s="2">
        <v>45759</v>
      </c>
      <c r="C1460" t="s">
        <v>20</v>
      </c>
      <c r="D1460" t="s">
        <v>25</v>
      </c>
      <c r="E1460" t="s">
        <v>30</v>
      </c>
      <c r="F1460" t="s">
        <v>31</v>
      </c>
      <c r="G1460">
        <v>1</v>
      </c>
      <c r="H1460">
        <v>2.8</v>
      </c>
      <c r="I1460" t="s">
        <v>39</v>
      </c>
      <c r="J1460" t="s">
        <v>1930</v>
      </c>
      <c r="K1460" s="12">
        <f>Store_Record[[#This Row],[Qty]]*Store_Record[[#This Row],[UnitPriceGBP]]</f>
        <v>2.8</v>
      </c>
      <c r="L1460" s="5" t="str">
        <f>TEXT(Store_Record[[#This Row],[Date]],"dddd")</f>
        <v>Saturday</v>
      </c>
      <c r="M1460" s="5" t="str">
        <f>TEXT(Store_Record[[#This Row],[Date]],"mmmm")</f>
        <v>April</v>
      </c>
      <c r="N1460" s="5">
        <f>YEAR(Store_Record[[#This Row],[Date]])</f>
        <v>2025</v>
      </c>
      <c r="O1460"/>
    </row>
    <row r="1461" spans="1:15" x14ac:dyDescent="0.35">
      <c r="A1461" t="s">
        <v>2238</v>
      </c>
      <c r="B1461" s="2">
        <v>45759</v>
      </c>
      <c r="C1461" t="s">
        <v>20</v>
      </c>
      <c r="D1461" t="s">
        <v>38</v>
      </c>
      <c r="E1461" t="s">
        <v>12</v>
      </c>
      <c r="F1461" t="s">
        <v>13</v>
      </c>
      <c r="G1461">
        <v>1</v>
      </c>
      <c r="H1461">
        <v>2.5</v>
      </c>
      <c r="I1461" t="s">
        <v>14</v>
      </c>
      <c r="J1461" t="s">
        <v>1848</v>
      </c>
      <c r="K1461" s="12">
        <f>Store_Record[[#This Row],[Qty]]*Store_Record[[#This Row],[UnitPriceGBP]]</f>
        <v>2.5</v>
      </c>
      <c r="L1461" s="5" t="str">
        <f>TEXT(Store_Record[[#This Row],[Date]],"dddd")</f>
        <v>Saturday</v>
      </c>
      <c r="M1461" s="5" t="str">
        <f>TEXT(Store_Record[[#This Row],[Date]],"mmmm")</f>
        <v>April</v>
      </c>
      <c r="N1461" s="5">
        <f>YEAR(Store_Record[[#This Row],[Date]])</f>
        <v>2025</v>
      </c>
      <c r="O1461"/>
    </row>
    <row r="1462" spans="1:15" x14ac:dyDescent="0.35">
      <c r="A1462" t="s">
        <v>2237</v>
      </c>
      <c r="B1462" s="2">
        <v>45759</v>
      </c>
      <c r="C1462" t="s">
        <v>36</v>
      </c>
      <c r="D1462" t="s">
        <v>11</v>
      </c>
      <c r="E1462" t="s">
        <v>34</v>
      </c>
      <c r="F1462" t="s">
        <v>31</v>
      </c>
      <c r="G1462">
        <v>1</v>
      </c>
      <c r="H1462">
        <v>2.2000000000000002</v>
      </c>
      <c r="I1462" t="s">
        <v>21</v>
      </c>
      <c r="J1462" t="s">
        <v>1349</v>
      </c>
      <c r="K1462" s="12">
        <f>Store_Record[[#This Row],[Qty]]*Store_Record[[#This Row],[UnitPriceGBP]]</f>
        <v>2.2000000000000002</v>
      </c>
      <c r="L1462" s="5" t="str">
        <f>TEXT(Store_Record[[#This Row],[Date]],"dddd")</f>
        <v>Saturday</v>
      </c>
      <c r="M1462" s="5" t="str">
        <f>TEXT(Store_Record[[#This Row],[Date]],"mmmm")</f>
        <v>April</v>
      </c>
      <c r="N1462" s="5">
        <f>YEAR(Store_Record[[#This Row],[Date]])</f>
        <v>2025</v>
      </c>
      <c r="O1462"/>
    </row>
    <row r="1463" spans="1:15" x14ac:dyDescent="0.35">
      <c r="A1463" t="s">
        <v>2260</v>
      </c>
      <c r="B1463" s="2">
        <v>45760</v>
      </c>
      <c r="C1463" t="s">
        <v>24</v>
      </c>
      <c r="D1463" t="s">
        <v>38</v>
      </c>
      <c r="E1463" t="s">
        <v>42</v>
      </c>
      <c r="F1463" t="s">
        <v>13</v>
      </c>
      <c r="G1463">
        <v>5</v>
      </c>
      <c r="H1463">
        <v>3.8</v>
      </c>
      <c r="I1463" t="s">
        <v>39</v>
      </c>
      <c r="J1463" t="s">
        <v>1173</v>
      </c>
      <c r="K1463" s="12">
        <f>Store_Record[[#This Row],[Qty]]*Store_Record[[#This Row],[UnitPriceGBP]]</f>
        <v>19</v>
      </c>
      <c r="L1463" s="5" t="str">
        <f>TEXT(Store_Record[[#This Row],[Date]],"dddd")</f>
        <v>Sunday</v>
      </c>
      <c r="M1463" s="5" t="str">
        <f>TEXT(Store_Record[[#This Row],[Date]],"mmmm")</f>
        <v>April</v>
      </c>
      <c r="N1463" s="5">
        <f>YEAR(Store_Record[[#This Row],[Date]])</f>
        <v>2025</v>
      </c>
      <c r="O1463"/>
    </row>
    <row r="1464" spans="1:15" x14ac:dyDescent="0.35">
      <c r="A1464" t="s">
        <v>2268</v>
      </c>
      <c r="B1464" s="2">
        <v>45760</v>
      </c>
      <c r="C1464" t="s">
        <v>20</v>
      </c>
      <c r="D1464" t="s">
        <v>38</v>
      </c>
      <c r="E1464" t="s">
        <v>26</v>
      </c>
      <c r="F1464" t="s">
        <v>13</v>
      </c>
      <c r="G1464">
        <v>5</v>
      </c>
      <c r="H1464">
        <v>3.5</v>
      </c>
      <c r="I1464" t="s">
        <v>39</v>
      </c>
      <c r="J1464" t="s">
        <v>1034</v>
      </c>
      <c r="K1464" s="12">
        <f>Store_Record[[#This Row],[Qty]]*Store_Record[[#This Row],[UnitPriceGBP]]</f>
        <v>17.5</v>
      </c>
      <c r="L1464" s="5" t="str">
        <f>TEXT(Store_Record[[#This Row],[Date]],"dddd")</f>
        <v>Sunday</v>
      </c>
      <c r="M1464" s="5" t="str">
        <f>TEXT(Store_Record[[#This Row],[Date]],"mmmm")</f>
        <v>April</v>
      </c>
      <c r="N1464" s="5">
        <f>YEAR(Store_Record[[#This Row],[Date]])</f>
        <v>2025</v>
      </c>
      <c r="O1464"/>
    </row>
    <row r="1465" spans="1:15" x14ac:dyDescent="0.35">
      <c r="A1465" t="s">
        <v>2264</v>
      </c>
      <c r="B1465" s="2">
        <v>45760</v>
      </c>
      <c r="C1465" t="s">
        <v>20</v>
      </c>
      <c r="D1465" t="s">
        <v>47</v>
      </c>
      <c r="E1465" t="s">
        <v>42</v>
      </c>
      <c r="F1465" t="s">
        <v>13</v>
      </c>
      <c r="G1465">
        <v>4</v>
      </c>
      <c r="H1465">
        <v>3.8</v>
      </c>
      <c r="I1465" t="s">
        <v>14</v>
      </c>
      <c r="J1465" t="s">
        <v>2048</v>
      </c>
      <c r="K1465" s="12">
        <f>Store_Record[[#This Row],[Qty]]*Store_Record[[#This Row],[UnitPriceGBP]]</f>
        <v>15.2</v>
      </c>
      <c r="L1465" s="5" t="str">
        <f>TEXT(Store_Record[[#This Row],[Date]],"dddd")</f>
        <v>Sunday</v>
      </c>
      <c r="M1465" s="5" t="str">
        <f>TEXT(Store_Record[[#This Row],[Date]],"mmmm")</f>
        <v>April</v>
      </c>
      <c r="N1465" s="5">
        <f>YEAR(Store_Record[[#This Row],[Date]])</f>
        <v>2025</v>
      </c>
      <c r="O1465"/>
    </row>
    <row r="1466" spans="1:15" x14ac:dyDescent="0.35">
      <c r="A1466" t="s">
        <v>2257</v>
      </c>
      <c r="B1466" s="2">
        <v>45760</v>
      </c>
      <c r="C1466" t="s">
        <v>20</v>
      </c>
      <c r="D1466" t="s">
        <v>47</v>
      </c>
      <c r="E1466" t="s">
        <v>30</v>
      </c>
      <c r="F1466" t="s">
        <v>31</v>
      </c>
      <c r="G1466">
        <v>5</v>
      </c>
      <c r="H1466">
        <v>2.8</v>
      </c>
      <c r="I1466" t="s">
        <v>39</v>
      </c>
      <c r="J1466" t="s">
        <v>1926</v>
      </c>
      <c r="K1466" s="12">
        <f>Store_Record[[#This Row],[Qty]]*Store_Record[[#This Row],[UnitPriceGBP]]</f>
        <v>14</v>
      </c>
      <c r="L1466" s="5" t="str">
        <f>TEXT(Store_Record[[#This Row],[Date]],"dddd")</f>
        <v>Sunday</v>
      </c>
      <c r="M1466" s="5" t="str">
        <f>TEXT(Store_Record[[#This Row],[Date]],"mmmm")</f>
        <v>April</v>
      </c>
      <c r="N1466" s="5">
        <f>YEAR(Store_Record[[#This Row],[Date]])</f>
        <v>2025</v>
      </c>
      <c r="O1466"/>
    </row>
    <row r="1467" spans="1:15" x14ac:dyDescent="0.35">
      <c r="A1467" t="s">
        <v>2265</v>
      </c>
      <c r="B1467" s="2">
        <v>45760</v>
      </c>
      <c r="C1467" t="s">
        <v>20</v>
      </c>
      <c r="D1467" t="s">
        <v>29</v>
      </c>
      <c r="E1467" t="s">
        <v>30</v>
      </c>
      <c r="F1467" t="s">
        <v>31</v>
      </c>
      <c r="G1467">
        <v>5</v>
      </c>
      <c r="H1467">
        <v>2.8</v>
      </c>
      <c r="I1467" t="s">
        <v>14</v>
      </c>
      <c r="J1467" t="s">
        <v>133</v>
      </c>
      <c r="K1467" s="12">
        <f>Store_Record[[#This Row],[Qty]]*Store_Record[[#This Row],[UnitPriceGBP]]</f>
        <v>14</v>
      </c>
      <c r="L1467" s="5" t="str">
        <f>TEXT(Store_Record[[#This Row],[Date]],"dddd")</f>
        <v>Sunday</v>
      </c>
      <c r="M1467" s="5" t="str">
        <f>TEXT(Store_Record[[#This Row],[Date]],"mmmm")</f>
        <v>April</v>
      </c>
      <c r="N1467" s="5">
        <f>YEAR(Store_Record[[#This Row],[Date]])</f>
        <v>2025</v>
      </c>
      <c r="O1467"/>
    </row>
    <row r="1468" spans="1:15" x14ac:dyDescent="0.35">
      <c r="A1468" t="s">
        <v>2266</v>
      </c>
      <c r="B1468" s="2">
        <v>45760</v>
      </c>
      <c r="C1468" t="s">
        <v>10</v>
      </c>
      <c r="D1468" t="s">
        <v>47</v>
      </c>
      <c r="E1468" t="s">
        <v>26</v>
      </c>
      <c r="F1468" t="s">
        <v>13</v>
      </c>
      <c r="G1468">
        <v>4</v>
      </c>
      <c r="H1468">
        <v>3.5</v>
      </c>
      <c r="I1468" t="s">
        <v>21</v>
      </c>
      <c r="J1468" t="s">
        <v>2267</v>
      </c>
      <c r="K1468" s="12">
        <f>Store_Record[[#This Row],[Qty]]*Store_Record[[#This Row],[UnitPriceGBP]]</f>
        <v>14</v>
      </c>
      <c r="L1468" s="5" t="str">
        <f>TEXT(Store_Record[[#This Row],[Date]],"dddd")</f>
        <v>Sunday</v>
      </c>
      <c r="M1468" s="5" t="str">
        <f>TEXT(Store_Record[[#This Row],[Date]],"mmmm")</f>
        <v>April</v>
      </c>
      <c r="N1468" s="5">
        <f>YEAR(Store_Record[[#This Row],[Date]])</f>
        <v>2025</v>
      </c>
      <c r="O1468"/>
    </row>
    <row r="1469" spans="1:15" x14ac:dyDescent="0.35">
      <c r="A1469" t="s">
        <v>2256</v>
      </c>
      <c r="B1469" s="2">
        <v>45760</v>
      </c>
      <c r="C1469" t="s">
        <v>10</v>
      </c>
      <c r="D1469" t="s">
        <v>38</v>
      </c>
      <c r="E1469" t="s">
        <v>12</v>
      </c>
      <c r="F1469" t="s">
        <v>13</v>
      </c>
      <c r="G1469">
        <v>5</v>
      </c>
      <c r="H1469">
        <v>2.5</v>
      </c>
      <c r="I1469" t="s">
        <v>21</v>
      </c>
      <c r="J1469" t="s">
        <v>1265</v>
      </c>
      <c r="K1469" s="12">
        <f>Store_Record[[#This Row],[Qty]]*Store_Record[[#This Row],[UnitPriceGBP]]</f>
        <v>12.5</v>
      </c>
      <c r="L1469" s="5" t="str">
        <f>TEXT(Store_Record[[#This Row],[Date]],"dddd")</f>
        <v>Sunday</v>
      </c>
      <c r="M1469" s="5" t="str">
        <f>TEXT(Store_Record[[#This Row],[Date]],"mmmm")</f>
        <v>April</v>
      </c>
      <c r="N1469" s="5">
        <f>YEAR(Store_Record[[#This Row],[Date]])</f>
        <v>2025</v>
      </c>
      <c r="O1469"/>
    </row>
    <row r="1470" spans="1:15" x14ac:dyDescent="0.35">
      <c r="A1470" t="s">
        <v>2259</v>
      </c>
      <c r="B1470" s="2">
        <v>45760</v>
      </c>
      <c r="C1470" t="s">
        <v>24</v>
      </c>
      <c r="D1470" t="s">
        <v>47</v>
      </c>
      <c r="E1470" t="s">
        <v>42</v>
      </c>
      <c r="F1470" t="s">
        <v>13</v>
      </c>
      <c r="G1470">
        <v>3</v>
      </c>
      <c r="H1470">
        <v>3.8</v>
      </c>
      <c r="I1470" t="s">
        <v>21</v>
      </c>
      <c r="J1470" t="s">
        <v>452</v>
      </c>
      <c r="K1470" s="12">
        <f>Store_Record[[#This Row],[Qty]]*Store_Record[[#This Row],[UnitPriceGBP]]</f>
        <v>11.399999999999999</v>
      </c>
      <c r="L1470" s="5" t="str">
        <f>TEXT(Store_Record[[#This Row],[Date]],"dddd")</f>
        <v>Sunday</v>
      </c>
      <c r="M1470" s="5" t="str">
        <f>TEXT(Store_Record[[#This Row],[Date]],"mmmm")</f>
        <v>April</v>
      </c>
      <c r="N1470" s="5">
        <f>YEAR(Store_Record[[#This Row],[Date]])</f>
        <v>2025</v>
      </c>
      <c r="O1470"/>
    </row>
    <row r="1471" spans="1:15" x14ac:dyDescent="0.35">
      <c r="A1471" t="s">
        <v>2253</v>
      </c>
      <c r="B1471" s="2">
        <v>45760</v>
      </c>
      <c r="C1471" t="s">
        <v>24</v>
      </c>
      <c r="D1471" t="s">
        <v>11</v>
      </c>
      <c r="E1471" t="s">
        <v>12</v>
      </c>
      <c r="F1471" t="s">
        <v>13</v>
      </c>
      <c r="G1471">
        <v>4</v>
      </c>
      <c r="H1471">
        <v>2.5</v>
      </c>
      <c r="I1471" t="s">
        <v>14</v>
      </c>
      <c r="J1471" t="s">
        <v>97</v>
      </c>
      <c r="K1471" s="12">
        <f>Store_Record[[#This Row],[Qty]]*Store_Record[[#This Row],[UnitPriceGBP]]</f>
        <v>10</v>
      </c>
      <c r="L1471" s="5" t="str">
        <f>TEXT(Store_Record[[#This Row],[Date]],"dddd")</f>
        <v>Sunday</v>
      </c>
      <c r="M1471" s="5" t="str">
        <f>TEXT(Store_Record[[#This Row],[Date]],"mmmm")</f>
        <v>April</v>
      </c>
      <c r="N1471" s="5">
        <f>YEAR(Store_Record[[#This Row],[Date]])</f>
        <v>2025</v>
      </c>
      <c r="O1471"/>
    </row>
    <row r="1472" spans="1:15" x14ac:dyDescent="0.35">
      <c r="A1472" t="s">
        <v>2261</v>
      </c>
      <c r="B1472" s="2">
        <v>45760</v>
      </c>
      <c r="C1472" t="s">
        <v>24</v>
      </c>
      <c r="D1472" t="s">
        <v>47</v>
      </c>
      <c r="E1472" t="s">
        <v>26</v>
      </c>
      <c r="F1472" t="s">
        <v>13</v>
      </c>
      <c r="G1472">
        <v>2</v>
      </c>
      <c r="H1472">
        <v>3.5</v>
      </c>
      <c r="I1472" t="s">
        <v>14</v>
      </c>
      <c r="J1472" t="s">
        <v>2262</v>
      </c>
      <c r="K1472" s="12">
        <f>Store_Record[[#This Row],[Qty]]*Store_Record[[#This Row],[UnitPriceGBP]]</f>
        <v>7</v>
      </c>
      <c r="L1472" s="5" t="str">
        <f>TEXT(Store_Record[[#This Row],[Date]],"dddd")</f>
        <v>Sunday</v>
      </c>
      <c r="M1472" s="5" t="str">
        <f>TEXT(Store_Record[[#This Row],[Date]],"mmmm")</f>
        <v>April</v>
      </c>
      <c r="N1472" s="5">
        <f>YEAR(Store_Record[[#This Row],[Date]])</f>
        <v>2025</v>
      </c>
      <c r="O1472"/>
    </row>
    <row r="1473" spans="1:15" x14ac:dyDescent="0.35">
      <c r="A1473" t="s">
        <v>2252</v>
      </c>
      <c r="B1473" s="2">
        <v>45760</v>
      </c>
      <c r="C1473" t="s">
        <v>36</v>
      </c>
      <c r="D1473" t="s">
        <v>11</v>
      </c>
      <c r="E1473" t="s">
        <v>12</v>
      </c>
      <c r="F1473" t="s">
        <v>13</v>
      </c>
      <c r="G1473">
        <v>2</v>
      </c>
      <c r="H1473">
        <v>2.5</v>
      </c>
      <c r="I1473" t="s">
        <v>21</v>
      </c>
      <c r="J1473" t="s">
        <v>734</v>
      </c>
      <c r="K1473" s="12">
        <f>Store_Record[[#This Row],[Qty]]*Store_Record[[#This Row],[UnitPriceGBP]]</f>
        <v>5</v>
      </c>
      <c r="L1473" s="5" t="str">
        <f>TEXT(Store_Record[[#This Row],[Date]],"dddd")</f>
        <v>Sunday</v>
      </c>
      <c r="M1473" s="5" t="str">
        <f>TEXT(Store_Record[[#This Row],[Date]],"mmmm")</f>
        <v>April</v>
      </c>
      <c r="N1473" s="5">
        <f>YEAR(Store_Record[[#This Row],[Date]])</f>
        <v>2025</v>
      </c>
      <c r="O1473"/>
    </row>
    <row r="1474" spans="1:15" x14ac:dyDescent="0.35">
      <c r="A1474" t="s">
        <v>2258</v>
      </c>
      <c r="B1474" s="2">
        <v>45760</v>
      </c>
      <c r="C1474" t="s">
        <v>36</v>
      </c>
      <c r="D1474" t="s">
        <v>25</v>
      </c>
      <c r="E1474" t="s">
        <v>34</v>
      </c>
      <c r="F1474" t="s">
        <v>31</v>
      </c>
      <c r="G1474">
        <v>2</v>
      </c>
      <c r="H1474">
        <v>2.2000000000000002</v>
      </c>
      <c r="I1474" t="s">
        <v>21</v>
      </c>
      <c r="J1474" t="s">
        <v>1936</v>
      </c>
      <c r="K1474" s="12">
        <f>Store_Record[[#This Row],[Qty]]*Store_Record[[#This Row],[UnitPriceGBP]]</f>
        <v>4.4000000000000004</v>
      </c>
      <c r="L1474" s="5" t="str">
        <f>TEXT(Store_Record[[#This Row],[Date]],"dddd")</f>
        <v>Sunday</v>
      </c>
      <c r="M1474" s="5" t="str">
        <f>TEXT(Store_Record[[#This Row],[Date]],"mmmm")</f>
        <v>April</v>
      </c>
      <c r="N1474" s="5">
        <f>YEAR(Store_Record[[#This Row],[Date]])</f>
        <v>2025</v>
      </c>
      <c r="O1474"/>
    </row>
    <row r="1475" spans="1:15" x14ac:dyDescent="0.35">
      <c r="A1475" t="s">
        <v>2263</v>
      </c>
      <c r="B1475" s="2">
        <v>45760</v>
      </c>
      <c r="C1475" t="s">
        <v>24</v>
      </c>
      <c r="D1475" t="s">
        <v>11</v>
      </c>
      <c r="E1475" t="s">
        <v>42</v>
      </c>
      <c r="F1475" t="s">
        <v>13</v>
      </c>
      <c r="G1475">
        <v>1</v>
      </c>
      <c r="H1475">
        <v>3.8</v>
      </c>
      <c r="I1475" t="s">
        <v>21</v>
      </c>
      <c r="J1475" t="s">
        <v>1653</v>
      </c>
      <c r="K1475" s="12">
        <f>Store_Record[[#This Row],[Qty]]*Store_Record[[#This Row],[UnitPriceGBP]]</f>
        <v>3.8</v>
      </c>
      <c r="L1475" s="5" t="str">
        <f>TEXT(Store_Record[[#This Row],[Date]],"dddd")</f>
        <v>Sunday</v>
      </c>
      <c r="M1475" s="5" t="str">
        <f>TEXT(Store_Record[[#This Row],[Date]],"mmmm")</f>
        <v>April</v>
      </c>
      <c r="N1475" s="5">
        <f>YEAR(Store_Record[[#This Row],[Date]])</f>
        <v>2025</v>
      </c>
      <c r="O1475"/>
    </row>
    <row r="1476" spans="1:15" x14ac:dyDescent="0.35">
      <c r="A1476" t="s">
        <v>2254</v>
      </c>
      <c r="B1476" s="2">
        <v>45760</v>
      </c>
      <c r="C1476" t="s">
        <v>10</v>
      </c>
      <c r="D1476" t="s">
        <v>29</v>
      </c>
      <c r="E1476" t="s">
        <v>34</v>
      </c>
      <c r="F1476" t="s">
        <v>31</v>
      </c>
      <c r="G1476">
        <v>1</v>
      </c>
      <c r="H1476">
        <v>2.2000000000000002</v>
      </c>
      <c r="I1476" t="s">
        <v>21</v>
      </c>
      <c r="J1476" t="s">
        <v>2255</v>
      </c>
      <c r="K1476" s="12">
        <f>Store_Record[[#This Row],[Qty]]*Store_Record[[#This Row],[UnitPriceGBP]]</f>
        <v>2.2000000000000002</v>
      </c>
      <c r="L1476" s="5" t="str">
        <f>TEXT(Store_Record[[#This Row],[Date]],"dddd")</f>
        <v>Sunday</v>
      </c>
      <c r="M1476" s="5" t="str">
        <f>TEXT(Store_Record[[#This Row],[Date]],"mmmm")</f>
        <v>April</v>
      </c>
      <c r="N1476" s="5">
        <f>YEAR(Store_Record[[#This Row],[Date]])</f>
        <v>2025</v>
      </c>
      <c r="O1476"/>
    </row>
    <row r="1477" spans="1:15" x14ac:dyDescent="0.35">
      <c r="A1477" t="s">
        <v>2284</v>
      </c>
      <c r="B1477" s="2">
        <v>45761</v>
      </c>
      <c r="C1477" t="s">
        <v>36</v>
      </c>
      <c r="D1477" t="s">
        <v>38</v>
      </c>
      <c r="E1477" t="s">
        <v>42</v>
      </c>
      <c r="F1477" t="s">
        <v>13</v>
      </c>
      <c r="G1477">
        <v>5</v>
      </c>
      <c r="H1477">
        <v>3.8</v>
      </c>
      <c r="I1477" t="s">
        <v>39</v>
      </c>
      <c r="J1477" t="s">
        <v>171</v>
      </c>
      <c r="K1477" s="12">
        <f>Store_Record[[#This Row],[Qty]]*Store_Record[[#This Row],[UnitPriceGBP]]</f>
        <v>19</v>
      </c>
      <c r="L1477" s="5" t="str">
        <f>TEXT(Store_Record[[#This Row],[Date]],"dddd")</f>
        <v>Monday</v>
      </c>
      <c r="M1477" s="5" t="str">
        <f>TEXT(Store_Record[[#This Row],[Date]],"mmmm")</f>
        <v>April</v>
      </c>
      <c r="N1477" s="5">
        <f>YEAR(Store_Record[[#This Row],[Date]])</f>
        <v>2025</v>
      </c>
      <c r="O1477"/>
    </row>
    <row r="1478" spans="1:15" x14ac:dyDescent="0.35">
      <c r="A1478" t="s">
        <v>2276</v>
      </c>
      <c r="B1478" s="2">
        <v>45761</v>
      </c>
      <c r="C1478" t="s">
        <v>36</v>
      </c>
      <c r="D1478" t="s">
        <v>29</v>
      </c>
      <c r="E1478" t="s">
        <v>26</v>
      </c>
      <c r="F1478" t="s">
        <v>13</v>
      </c>
      <c r="G1478">
        <v>5</v>
      </c>
      <c r="H1478">
        <v>3.5</v>
      </c>
      <c r="I1478" t="s">
        <v>14</v>
      </c>
      <c r="J1478" t="s">
        <v>458</v>
      </c>
      <c r="K1478" s="12">
        <f>Store_Record[[#This Row],[Qty]]*Store_Record[[#This Row],[UnitPriceGBP]]</f>
        <v>17.5</v>
      </c>
      <c r="L1478" s="5" t="str">
        <f>TEXT(Store_Record[[#This Row],[Date]],"dddd")</f>
        <v>Monday</v>
      </c>
      <c r="M1478" s="5" t="str">
        <f>TEXT(Store_Record[[#This Row],[Date]],"mmmm")</f>
        <v>April</v>
      </c>
      <c r="N1478" s="5">
        <f>YEAR(Store_Record[[#This Row],[Date]])</f>
        <v>2025</v>
      </c>
      <c r="O1478"/>
    </row>
    <row r="1479" spans="1:15" x14ac:dyDescent="0.35">
      <c r="A1479" t="s">
        <v>2280</v>
      </c>
      <c r="B1479" s="2">
        <v>45761</v>
      </c>
      <c r="C1479" t="s">
        <v>20</v>
      </c>
      <c r="D1479" t="s">
        <v>25</v>
      </c>
      <c r="E1479" t="s">
        <v>26</v>
      </c>
      <c r="F1479" t="s">
        <v>13</v>
      </c>
      <c r="G1479">
        <v>5</v>
      </c>
      <c r="H1479">
        <v>3.5</v>
      </c>
      <c r="I1479" t="s">
        <v>21</v>
      </c>
      <c r="J1479" t="s">
        <v>157</v>
      </c>
      <c r="K1479" s="12">
        <f>Store_Record[[#This Row],[Qty]]*Store_Record[[#This Row],[UnitPriceGBP]]</f>
        <v>17.5</v>
      </c>
      <c r="L1479" s="5" t="str">
        <f>TEXT(Store_Record[[#This Row],[Date]],"dddd")</f>
        <v>Monday</v>
      </c>
      <c r="M1479" s="5" t="str">
        <f>TEXT(Store_Record[[#This Row],[Date]],"mmmm")</f>
        <v>April</v>
      </c>
      <c r="N1479" s="5">
        <f>YEAR(Store_Record[[#This Row],[Date]])</f>
        <v>2025</v>
      </c>
      <c r="O1479"/>
    </row>
    <row r="1480" spans="1:15" x14ac:dyDescent="0.35">
      <c r="A1480" t="s">
        <v>2290</v>
      </c>
      <c r="B1480" s="2">
        <v>45761</v>
      </c>
      <c r="C1480" t="s">
        <v>36</v>
      </c>
      <c r="D1480" t="s">
        <v>11</v>
      </c>
      <c r="E1480" t="s">
        <v>26</v>
      </c>
      <c r="F1480" t="s">
        <v>13</v>
      </c>
      <c r="G1480">
        <v>5</v>
      </c>
      <c r="H1480">
        <v>3.5</v>
      </c>
      <c r="I1480" t="s">
        <v>14</v>
      </c>
      <c r="J1480" t="s">
        <v>2041</v>
      </c>
      <c r="K1480" s="12">
        <f>Store_Record[[#This Row],[Qty]]*Store_Record[[#This Row],[UnitPriceGBP]]</f>
        <v>17.5</v>
      </c>
      <c r="L1480" s="5" t="str">
        <f>TEXT(Store_Record[[#This Row],[Date]],"dddd")</f>
        <v>Monday</v>
      </c>
      <c r="M1480" s="5" t="str">
        <f>TEXT(Store_Record[[#This Row],[Date]],"mmmm")</f>
        <v>April</v>
      </c>
      <c r="N1480" s="5">
        <f>YEAR(Store_Record[[#This Row],[Date]])</f>
        <v>2025</v>
      </c>
      <c r="O1480"/>
    </row>
    <row r="1481" spans="1:15" x14ac:dyDescent="0.35">
      <c r="A1481" t="s">
        <v>2269</v>
      </c>
      <c r="B1481" s="2">
        <v>45761</v>
      </c>
      <c r="C1481" t="s">
        <v>10</v>
      </c>
      <c r="D1481" t="s">
        <v>47</v>
      </c>
      <c r="E1481" t="s">
        <v>26</v>
      </c>
      <c r="F1481" t="s">
        <v>13</v>
      </c>
      <c r="G1481">
        <v>4</v>
      </c>
      <c r="H1481">
        <v>3.5</v>
      </c>
      <c r="I1481" t="s">
        <v>14</v>
      </c>
      <c r="J1481" t="s">
        <v>1005</v>
      </c>
      <c r="K1481" s="12">
        <f>Store_Record[[#This Row],[Qty]]*Store_Record[[#This Row],[UnitPriceGBP]]</f>
        <v>14</v>
      </c>
      <c r="L1481" s="5" t="str">
        <f>TEXT(Store_Record[[#This Row],[Date]],"dddd")</f>
        <v>Monday</v>
      </c>
      <c r="M1481" s="5" t="str">
        <f>TEXT(Store_Record[[#This Row],[Date]],"mmmm")</f>
        <v>April</v>
      </c>
      <c r="N1481" s="5">
        <f>YEAR(Store_Record[[#This Row],[Date]])</f>
        <v>2025</v>
      </c>
      <c r="O1481"/>
    </row>
    <row r="1482" spans="1:15" x14ac:dyDescent="0.35">
      <c r="A1482" t="s">
        <v>2281</v>
      </c>
      <c r="B1482" s="2">
        <v>45761</v>
      </c>
      <c r="C1482" t="s">
        <v>24</v>
      </c>
      <c r="D1482" t="s">
        <v>47</v>
      </c>
      <c r="E1482" t="s">
        <v>26</v>
      </c>
      <c r="F1482" t="s">
        <v>13</v>
      </c>
      <c r="G1482">
        <v>4</v>
      </c>
      <c r="H1482">
        <v>3.5</v>
      </c>
      <c r="I1482" t="s">
        <v>21</v>
      </c>
      <c r="J1482" t="s">
        <v>580</v>
      </c>
      <c r="K1482" s="12">
        <f>Store_Record[[#This Row],[Qty]]*Store_Record[[#This Row],[UnitPriceGBP]]</f>
        <v>14</v>
      </c>
      <c r="L1482" s="5" t="str">
        <f>TEXT(Store_Record[[#This Row],[Date]],"dddd")</f>
        <v>Monday</v>
      </c>
      <c r="M1482" s="5" t="str">
        <f>TEXT(Store_Record[[#This Row],[Date]],"mmmm")</f>
        <v>April</v>
      </c>
      <c r="N1482" s="5">
        <f>YEAR(Store_Record[[#This Row],[Date]])</f>
        <v>2025</v>
      </c>
      <c r="O1482"/>
    </row>
    <row r="1483" spans="1:15" x14ac:dyDescent="0.35">
      <c r="A1483" t="s">
        <v>2291</v>
      </c>
      <c r="B1483" s="2">
        <v>45761</v>
      </c>
      <c r="C1483" t="s">
        <v>10</v>
      </c>
      <c r="D1483" t="s">
        <v>38</v>
      </c>
      <c r="E1483" t="s">
        <v>30</v>
      </c>
      <c r="F1483" t="s">
        <v>31</v>
      </c>
      <c r="G1483">
        <v>5</v>
      </c>
      <c r="H1483">
        <v>2.8</v>
      </c>
      <c r="I1483" t="s">
        <v>21</v>
      </c>
      <c r="J1483" t="s">
        <v>1031</v>
      </c>
      <c r="K1483" s="12">
        <f>Store_Record[[#This Row],[Qty]]*Store_Record[[#This Row],[UnitPriceGBP]]</f>
        <v>14</v>
      </c>
      <c r="L1483" s="5" t="str">
        <f>TEXT(Store_Record[[#This Row],[Date]],"dddd")</f>
        <v>Monday</v>
      </c>
      <c r="M1483" s="5" t="str">
        <f>TEXT(Store_Record[[#This Row],[Date]],"mmmm")</f>
        <v>April</v>
      </c>
      <c r="N1483" s="5">
        <f>YEAR(Store_Record[[#This Row],[Date]])</f>
        <v>2025</v>
      </c>
      <c r="O1483"/>
    </row>
    <row r="1484" spans="1:15" x14ac:dyDescent="0.35">
      <c r="A1484" t="s">
        <v>2294</v>
      </c>
      <c r="B1484" s="2">
        <v>45761</v>
      </c>
      <c r="C1484" t="s">
        <v>10</v>
      </c>
      <c r="D1484" t="s">
        <v>11</v>
      </c>
      <c r="E1484" t="s">
        <v>30</v>
      </c>
      <c r="F1484" t="s">
        <v>31</v>
      </c>
      <c r="G1484">
        <v>5</v>
      </c>
      <c r="H1484">
        <v>2.8</v>
      </c>
      <c r="I1484" t="s">
        <v>14</v>
      </c>
      <c r="J1484" t="s">
        <v>2212</v>
      </c>
      <c r="K1484" s="12">
        <f>Store_Record[[#This Row],[Qty]]*Store_Record[[#This Row],[UnitPriceGBP]]</f>
        <v>14</v>
      </c>
      <c r="L1484" s="5" t="str">
        <f>TEXT(Store_Record[[#This Row],[Date]],"dddd")</f>
        <v>Monday</v>
      </c>
      <c r="M1484" s="5" t="str">
        <f>TEXT(Store_Record[[#This Row],[Date]],"mmmm")</f>
        <v>April</v>
      </c>
      <c r="N1484" s="5">
        <f>YEAR(Store_Record[[#This Row],[Date]])</f>
        <v>2025</v>
      </c>
      <c r="O1484"/>
    </row>
    <row r="1485" spans="1:15" x14ac:dyDescent="0.35">
      <c r="A1485" t="s">
        <v>2278</v>
      </c>
      <c r="B1485" s="2">
        <v>45761</v>
      </c>
      <c r="C1485" t="s">
        <v>36</v>
      </c>
      <c r="D1485" t="s">
        <v>47</v>
      </c>
      <c r="E1485" t="s">
        <v>42</v>
      </c>
      <c r="F1485" t="s">
        <v>13</v>
      </c>
      <c r="G1485">
        <v>3</v>
      </c>
      <c r="H1485">
        <v>3.8</v>
      </c>
      <c r="I1485" t="s">
        <v>14</v>
      </c>
      <c r="J1485" t="s">
        <v>2279</v>
      </c>
      <c r="K1485" s="12">
        <f>Store_Record[[#This Row],[Qty]]*Store_Record[[#This Row],[UnitPriceGBP]]</f>
        <v>11.399999999999999</v>
      </c>
      <c r="L1485" s="5" t="str">
        <f>TEXT(Store_Record[[#This Row],[Date]],"dddd")</f>
        <v>Monday</v>
      </c>
      <c r="M1485" s="5" t="str">
        <f>TEXT(Store_Record[[#This Row],[Date]],"mmmm")</f>
        <v>April</v>
      </c>
      <c r="N1485" s="5">
        <f>YEAR(Store_Record[[#This Row],[Date]])</f>
        <v>2025</v>
      </c>
      <c r="O1485"/>
    </row>
    <row r="1486" spans="1:15" x14ac:dyDescent="0.35">
      <c r="A1486" t="s">
        <v>2283</v>
      </c>
      <c r="B1486" s="2">
        <v>45761</v>
      </c>
      <c r="C1486" t="s">
        <v>20</v>
      </c>
      <c r="D1486" t="s">
        <v>29</v>
      </c>
      <c r="E1486" t="s">
        <v>30</v>
      </c>
      <c r="F1486" t="s">
        <v>31</v>
      </c>
      <c r="G1486">
        <v>4</v>
      </c>
      <c r="H1486">
        <v>2.8</v>
      </c>
      <c r="I1486" t="s">
        <v>39</v>
      </c>
      <c r="J1486" t="s">
        <v>722</v>
      </c>
      <c r="K1486" s="12">
        <f>Store_Record[[#This Row],[Qty]]*Store_Record[[#This Row],[UnitPriceGBP]]</f>
        <v>11.2</v>
      </c>
      <c r="L1486" s="5" t="str">
        <f>TEXT(Store_Record[[#This Row],[Date]],"dddd")</f>
        <v>Monday</v>
      </c>
      <c r="M1486" s="5" t="str">
        <f>TEXT(Store_Record[[#This Row],[Date]],"mmmm")</f>
        <v>April</v>
      </c>
      <c r="N1486" s="5">
        <f>YEAR(Store_Record[[#This Row],[Date]])</f>
        <v>2025</v>
      </c>
      <c r="O1486"/>
    </row>
    <row r="1487" spans="1:15" x14ac:dyDescent="0.35">
      <c r="A1487" t="s">
        <v>2271</v>
      </c>
      <c r="B1487" s="2">
        <v>45761</v>
      </c>
      <c r="C1487" t="s">
        <v>24</v>
      </c>
      <c r="D1487" t="s">
        <v>38</v>
      </c>
      <c r="E1487" t="s">
        <v>34</v>
      </c>
      <c r="F1487" t="s">
        <v>31</v>
      </c>
      <c r="G1487">
        <v>5</v>
      </c>
      <c r="H1487">
        <v>2.2000000000000002</v>
      </c>
      <c r="I1487" t="s">
        <v>14</v>
      </c>
      <c r="J1487" t="s">
        <v>189</v>
      </c>
      <c r="K1487" s="12">
        <f>Store_Record[[#This Row],[Qty]]*Store_Record[[#This Row],[UnitPriceGBP]]</f>
        <v>11</v>
      </c>
      <c r="L1487" s="5" t="str">
        <f>TEXT(Store_Record[[#This Row],[Date]],"dddd")</f>
        <v>Monday</v>
      </c>
      <c r="M1487" s="5" t="str">
        <f>TEXT(Store_Record[[#This Row],[Date]],"mmmm")</f>
        <v>April</v>
      </c>
      <c r="N1487" s="5">
        <f>YEAR(Store_Record[[#This Row],[Date]])</f>
        <v>2025</v>
      </c>
      <c r="O1487"/>
    </row>
    <row r="1488" spans="1:15" x14ac:dyDescent="0.35">
      <c r="A1488" t="s">
        <v>2275</v>
      </c>
      <c r="B1488" s="2">
        <v>45761</v>
      </c>
      <c r="C1488" t="s">
        <v>36</v>
      </c>
      <c r="D1488" t="s">
        <v>38</v>
      </c>
      <c r="E1488" t="s">
        <v>34</v>
      </c>
      <c r="F1488" t="s">
        <v>31</v>
      </c>
      <c r="G1488">
        <v>5</v>
      </c>
      <c r="H1488">
        <v>2.2000000000000002</v>
      </c>
      <c r="I1488" t="s">
        <v>39</v>
      </c>
      <c r="J1488" t="s">
        <v>600</v>
      </c>
      <c r="K1488" s="12">
        <f>Store_Record[[#This Row],[Qty]]*Store_Record[[#This Row],[UnitPriceGBP]]</f>
        <v>11</v>
      </c>
      <c r="L1488" s="5" t="str">
        <f>TEXT(Store_Record[[#This Row],[Date]],"dddd")</f>
        <v>Monday</v>
      </c>
      <c r="M1488" s="5" t="str">
        <f>TEXT(Store_Record[[#This Row],[Date]],"mmmm")</f>
        <v>April</v>
      </c>
      <c r="N1488" s="5">
        <f>YEAR(Store_Record[[#This Row],[Date]])</f>
        <v>2025</v>
      </c>
      <c r="O1488"/>
    </row>
    <row r="1489" spans="1:15" x14ac:dyDescent="0.35">
      <c r="A1489" t="s">
        <v>2287</v>
      </c>
      <c r="B1489" s="2">
        <v>45761</v>
      </c>
      <c r="C1489" t="s">
        <v>10</v>
      </c>
      <c r="D1489" t="s">
        <v>38</v>
      </c>
      <c r="E1489" t="s">
        <v>34</v>
      </c>
      <c r="F1489" t="s">
        <v>31</v>
      </c>
      <c r="G1489">
        <v>5</v>
      </c>
      <c r="H1489">
        <v>2.2000000000000002</v>
      </c>
      <c r="I1489" t="s">
        <v>39</v>
      </c>
      <c r="J1489" t="s">
        <v>813</v>
      </c>
      <c r="K1489" s="12">
        <f>Store_Record[[#This Row],[Qty]]*Store_Record[[#This Row],[UnitPriceGBP]]</f>
        <v>11</v>
      </c>
      <c r="L1489" s="5" t="str">
        <f>TEXT(Store_Record[[#This Row],[Date]],"dddd")</f>
        <v>Monday</v>
      </c>
      <c r="M1489" s="5" t="str">
        <f>TEXT(Store_Record[[#This Row],[Date]],"mmmm")</f>
        <v>April</v>
      </c>
      <c r="N1489" s="5">
        <f>YEAR(Store_Record[[#This Row],[Date]])</f>
        <v>2025</v>
      </c>
      <c r="O1489"/>
    </row>
    <row r="1490" spans="1:15" x14ac:dyDescent="0.35">
      <c r="A1490" t="s">
        <v>2288</v>
      </c>
      <c r="B1490" s="2">
        <v>45761</v>
      </c>
      <c r="C1490" t="s">
        <v>20</v>
      </c>
      <c r="D1490" t="s">
        <v>38</v>
      </c>
      <c r="E1490" t="s">
        <v>34</v>
      </c>
      <c r="F1490" t="s">
        <v>31</v>
      </c>
      <c r="G1490">
        <v>5</v>
      </c>
      <c r="H1490">
        <v>2.2000000000000002</v>
      </c>
      <c r="I1490" t="s">
        <v>14</v>
      </c>
      <c r="J1490" t="s">
        <v>1262</v>
      </c>
      <c r="K1490" s="12">
        <f>Store_Record[[#This Row],[Qty]]*Store_Record[[#This Row],[UnitPriceGBP]]</f>
        <v>11</v>
      </c>
      <c r="L1490" s="5" t="str">
        <f>TEXT(Store_Record[[#This Row],[Date]],"dddd")</f>
        <v>Monday</v>
      </c>
      <c r="M1490" s="5" t="str">
        <f>TEXT(Store_Record[[#This Row],[Date]],"mmmm")</f>
        <v>April</v>
      </c>
      <c r="N1490" s="5">
        <f>YEAR(Store_Record[[#This Row],[Date]])</f>
        <v>2025</v>
      </c>
      <c r="O1490"/>
    </row>
    <row r="1491" spans="1:15" x14ac:dyDescent="0.35">
      <c r="A1491" t="s">
        <v>2282</v>
      </c>
      <c r="B1491" s="2">
        <v>45761</v>
      </c>
      <c r="C1491" t="s">
        <v>20</v>
      </c>
      <c r="D1491" t="s">
        <v>29</v>
      </c>
      <c r="E1491" t="s">
        <v>26</v>
      </c>
      <c r="F1491" t="s">
        <v>13</v>
      </c>
      <c r="G1491">
        <v>3</v>
      </c>
      <c r="H1491">
        <v>3.5</v>
      </c>
      <c r="I1491" t="s">
        <v>14</v>
      </c>
      <c r="J1491" t="s">
        <v>286</v>
      </c>
      <c r="K1491" s="12">
        <f>Store_Record[[#This Row],[Qty]]*Store_Record[[#This Row],[UnitPriceGBP]]</f>
        <v>10.5</v>
      </c>
      <c r="L1491" s="5" t="str">
        <f>TEXT(Store_Record[[#This Row],[Date]],"dddd")</f>
        <v>Monday</v>
      </c>
      <c r="M1491" s="5" t="str">
        <f>TEXT(Store_Record[[#This Row],[Date]],"mmmm")</f>
        <v>April</v>
      </c>
      <c r="N1491" s="5">
        <f>YEAR(Store_Record[[#This Row],[Date]])</f>
        <v>2025</v>
      </c>
      <c r="O1491"/>
    </row>
    <row r="1492" spans="1:15" x14ac:dyDescent="0.35">
      <c r="A1492" t="s">
        <v>2270</v>
      </c>
      <c r="B1492" s="2">
        <v>45761</v>
      </c>
      <c r="C1492" t="s">
        <v>20</v>
      </c>
      <c r="D1492" t="s">
        <v>38</v>
      </c>
      <c r="E1492" t="s">
        <v>12</v>
      </c>
      <c r="F1492" t="s">
        <v>13</v>
      </c>
      <c r="G1492">
        <v>4</v>
      </c>
      <c r="H1492">
        <v>2.5</v>
      </c>
      <c r="I1492" t="s">
        <v>14</v>
      </c>
      <c r="J1492" t="s">
        <v>782</v>
      </c>
      <c r="K1492" s="12">
        <f>Store_Record[[#This Row],[Qty]]*Store_Record[[#This Row],[UnitPriceGBP]]</f>
        <v>10</v>
      </c>
      <c r="L1492" s="5" t="str">
        <f>TEXT(Store_Record[[#This Row],[Date]],"dddd")</f>
        <v>Monday</v>
      </c>
      <c r="M1492" s="5" t="str">
        <f>TEXT(Store_Record[[#This Row],[Date]],"mmmm")</f>
        <v>April</v>
      </c>
      <c r="N1492" s="5">
        <f>YEAR(Store_Record[[#This Row],[Date]])</f>
        <v>2025</v>
      </c>
      <c r="O1492"/>
    </row>
    <row r="1493" spans="1:15" x14ac:dyDescent="0.35">
      <c r="A1493" t="s">
        <v>2272</v>
      </c>
      <c r="B1493" s="2">
        <v>45761</v>
      </c>
      <c r="C1493" t="s">
        <v>24</v>
      </c>
      <c r="D1493" t="s">
        <v>25</v>
      </c>
      <c r="E1493" t="s">
        <v>12</v>
      </c>
      <c r="F1493" t="s">
        <v>13</v>
      </c>
      <c r="G1493">
        <v>4</v>
      </c>
      <c r="H1493">
        <v>2.5</v>
      </c>
      <c r="I1493" t="s">
        <v>14</v>
      </c>
      <c r="J1493" t="s">
        <v>2273</v>
      </c>
      <c r="K1493" s="12">
        <f>Store_Record[[#This Row],[Qty]]*Store_Record[[#This Row],[UnitPriceGBP]]</f>
        <v>10</v>
      </c>
      <c r="L1493" s="5" t="str">
        <f>TEXT(Store_Record[[#This Row],[Date]],"dddd")</f>
        <v>Monday</v>
      </c>
      <c r="M1493" s="5" t="str">
        <f>TEXT(Store_Record[[#This Row],[Date]],"mmmm")</f>
        <v>April</v>
      </c>
      <c r="N1493" s="5">
        <f>YEAR(Store_Record[[#This Row],[Date]])</f>
        <v>2025</v>
      </c>
      <c r="O1493"/>
    </row>
    <row r="1494" spans="1:15" x14ac:dyDescent="0.35">
      <c r="A1494" t="s">
        <v>2289</v>
      </c>
      <c r="B1494" s="2">
        <v>45761</v>
      </c>
      <c r="C1494" t="s">
        <v>36</v>
      </c>
      <c r="D1494" t="s">
        <v>11</v>
      </c>
      <c r="E1494" t="s">
        <v>34</v>
      </c>
      <c r="F1494" t="s">
        <v>31</v>
      </c>
      <c r="G1494">
        <v>4</v>
      </c>
      <c r="H1494">
        <v>2.2000000000000002</v>
      </c>
      <c r="I1494" t="s">
        <v>21</v>
      </c>
      <c r="J1494" t="s">
        <v>1097</v>
      </c>
      <c r="K1494" s="12">
        <f>Store_Record[[#This Row],[Qty]]*Store_Record[[#This Row],[UnitPriceGBP]]</f>
        <v>8.8000000000000007</v>
      </c>
      <c r="L1494" s="5" t="str">
        <f>TEXT(Store_Record[[#This Row],[Date]],"dddd")</f>
        <v>Monday</v>
      </c>
      <c r="M1494" s="5" t="str">
        <f>TEXT(Store_Record[[#This Row],[Date]],"mmmm")</f>
        <v>April</v>
      </c>
      <c r="N1494" s="5">
        <f>YEAR(Store_Record[[#This Row],[Date]])</f>
        <v>2025</v>
      </c>
      <c r="O1494"/>
    </row>
    <row r="1495" spans="1:15" x14ac:dyDescent="0.35">
      <c r="A1495" t="s">
        <v>2292</v>
      </c>
      <c r="B1495" s="2">
        <v>45761</v>
      </c>
      <c r="C1495" t="s">
        <v>20</v>
      </c>
      <c r="D1495" t="s">
        <v>38</v>
      </c>
      <c r="E1495" t="s">
        <v>12</v>
      </c>
      <c r="F1495" t="s">
        <v>13</v>
      </c>
      <c r="G1495">
        <v>3</v>
      </c>
      <c r="H1495">
        <v>2.5</v>
      </c>
      <c r="I1495" t="s">
        <v>14</v>
      </c>
      <c r="J1495" t="s">
        <v>2293</v>
      </c>
      <c r="K1495" s="12">
        <f>Store_Record[[#This Row],[Qty]]*Store_Record[[#This Row],[UnitPriceGBP]]</f>
        <v>7.5</v>
      </c>
      <c r="L1495" s="5" t="str">
        <f>TEXT(Store_Record[[#This Row],[Date]],"dddd")</f>
        <v>Monday</v>
      </c>
      <c r="M1495" s="5" t="str">
        <f>TEXT(Store_Record[[#This Row],[Date]],"mmmm")</f>
        <v>April</v>
      </c>
      <c r="N1495" s="5">
        <f>YEAR(Store_Record[[#This Row],[Date]])</f>
        <v>2025</v>
      </c>
      <c r="O1495"/>
    </row>
    <row r="1496" spans="1:15" x14ac:dyDescent="0.35">
      <c r="A1496" t="s">
        <v>2277</v>
      </c>
      <c r="B1496" s="2">
        <v>45761</v>
      </c>
      <c r="C1496" t="s">
        <v>20</v>
      </c>
      <c r="D1496" t="s">
        <v>25</v>
      </c>
      <c r="E1496" t="s">
        <v>26</v>
      </c>
      <c r="F1496" t="s">
        <v>13</v>
      </c>
      <c r="G1496">
        <v>2</v>
      </c>
      <c r="H1496">
        <v>3.5</v>
      </c>
      <c r="I1496" t="s">
        <v>21</v>
      </c>
      <c r="J1496" t="s">
        <v>1838</v>
      </c>
      <c r="K1496" s="12">
        <f>Store_Record[[#This Row],[Qty]]*Store_Record[[#This Row],[UnitPriceGBP]]</f>
        <v>7</v>
      </c>
      <c r="L1496" s="5" t="str">
        <f>TEXT(Store_Record[[#This Row],[Date]],"dddd")</f>
        <v>Monday</v>
      </c>
      <c r="M1496" s="5" t="str">
        <f>TEXT(Store_Record[[#This Row],[Date]],"mmmm")</f>
        <v>April</v>
      </c>
      <c r="N1496" s="5">
        <f>YEAR(Store_Record[[#This Row],[Date]])</f>
        <v>2025</v>
      </c>
      <c r="O1496"/>
    </row>
    <row r="1497" spans="1:15" x14ac:dyDescent="0.35">
      <c r="A1497" t="s">
        <v>2274</v>
      </c>
      <c r="B1497" s="2">
        <v>45761</v>
      </c>
      <c r="C1497" t="s">
        <v>20</v>
      </c>
      <c r="D1497" t="s">
        <v>11</v>
      </c>
      <c r="E1497" t="s">
        <v>12</v>
      </c>
      <c r="F1497" t="s">
        <v>13</v>
      </c>
      <c r="G1497">
        <v>2</v>
      </c>
      <c r="H1497">
        <v>2.5</v>
      </c>
      <c r="I1497" t="s">
        <v>14</v>
      </c>
      <c r="J1497" t="s">
        <v>1031</v>
      </c>
      <c r="K1497" s="12">
        <f>Store_Record[[#This Row],[Qty]]*Store_Record[[#This Row],[UnitPriceGBP]]</f>
        <v>5</v>
      </c>
      <c r="L1497" s="5" t="str">
        <f>TEXT(Store_Record[[#This Row],[Date]],"dddd")</f>
        <v>Monday</v>
      </c>
      <c r="M1497" s="5" t="str">
        <f>TEXT(Store_Record[[#This Row],[Date]],"mmmm")</f>
        <v>April</v>
      </c>
      <c r="N1497" s="5">
        <f>YEAR(Store_Record[[#This Row],[Date]])</f>
        <v>2025</v>
      </c>
      <c r="O1497"/>
    </row>
    <row r="1498" spans="1:15" x14ac:dyDescent="0.35">
      <c r="A1498" t="s">
        <v>2285</v>
      </c>
      <c r="B1498" s="2">
        <v>45761</v>
      </c>
      <c r="C1498" t="s">
        <v>36</v>
      </c>
      <c r="D1498" t="s">
        <v>47</v>
      </c>
      <c r="E1498" t="s">
        <v>12</v>
      </c>
      <c r="F1498" t="s">
        <v>13</v>
      </c>
      <c r="G1498">
        <v>1</v>
      </c>
      <c r="H1498">
        <v>2.5</v>
      </c>
      <c r="I1498" t="s">
        <v>21</v>
      </c>
      <c r="J1498" t="s">
        <v>2286</v>
      </c>
      <c r="K1498" s="12">
        <f>Store_Record[[#This Row],[Qty]]*Store_Record[[#This Row],[UnitPriceGBP]]</f>
        <v>2.5</v>
      </c>
      <c r="L1498" s="5" t="str">
        <f>TEXT(Store_Record[[#This Row],[Date]],"dddd")</f>
        <v>Monday</v>
      </c>
      <c r="M1498" s="5" t="str">
        <f>TEXT(Store_Record[[#This Row],[Date]],"mmmm")</f>
        <v>April</v>
      </c>
      <c r="N1498" s="5">
        <f>YEAR(Store_Record[[#This Row],[Date]])</f>
        <v>2025</v>
      </c>
      <c r="O1498"/>
    </row>
    <row r="1499" spans="1:15" x14ac:dyDescent="0.35">
      <c r="A1499" t="s">
        <v>2295</v>
      </c>
      <c r="B1499" s="2">
        <v>45762</v>
      </c>
      <c r="C1499" t="s">
        <v>36</v>
      </c>
      <c r="D1499" t="s">
        <v>11</v>
      </c>
      <c r="E1499" t="s">
        <v>42</v>
      </c>
      <c r="F1499" t="s">
        <v>13</v>
      </c>
      <c r="G1499">
        <v>4</v>
      </c>
      <c r="H1499">
        <v>3.8</v>
      </c>
      <c r="I1499" t="s">
        <v>14</v>
      </c>
      <c r="J1499" t="s">
        <v>767</v>
      </c>
      <c r="K1499" s="12">
        <f>Store_Record[[#This Row],[Qty]]*Store_Record[[#This Row],[UnitPriceGBP]]</f>
        <v>15.2</v>
      </c>
      <c r="L1499" s="5" t="str">
        <f>TEXT(Store_Record[[#This Row],[Date]],"dddd")</f>
        <v>Tuesday</v>
      </c>
      <c r="M1499" s="5" t="str">
        <f>TEXT(Store_Record[[#This Row],[Date]],"mmmm")</f>
        <v>April</v>
      </c>
      <c r="N1499" s="5">
        <f>YEAR(Store_Record[[#This Row],[Date]])</f>
        <v>2025</v>
      </c>
      <c r="O1499"/>
    </row>
    <row r="1500" spans="1:15" x14ac:dyDescent="0.35">
      <c r="A1500" t="s">
        <v>2302</v>
      </c>
      <c r="B1500" s="2">
        <v>45762</v>
      </c>
      <c r="C1500" t="s">
        <v>36</v>
      </c>
      <c r="D1500" t="s">
        <v>11</v>
      </c>
      <c r="E1500" t="s">
        <v>26</v>
      </c>
      <c r="F1500" t="s">
        <v>13</v>
      </c>
      <c r="G1500">
        <v>4</v>
      </c>
      <c r="H1500">
        <v>3.5</v>
      </c>
      <c r="I1500" t="s">
        <v>14</v>
      </c>
      <c r="J1500" t="s">
        <v>1921</v>
      </c>
      <c r="K1500" s="12">
        <f>Store_Record[[#This Row],[Qty]]*Store_Record[[#This Row],[UnitPriceGBP]]</f>
        <v>14</v>
      </c>
      <c r="L1500" s="5" t="str">
        <f>TEXT(Store_Record[[#This Row],[Date]],"dddd")</f>
        <v>Tuesday</v>
      </c>
      <c r="M1500" s="5" t="str">
        <f>TEXT(Store_Record[[#This Row],[Date]],"mmmm")</f>
        <v>April</v>
      </c>
      <c r="N1500" s="5">
        <f>YEAR(Store_Record[[#This Row],[Date]])</f>
        <v>2025</v>
      </c>
      <c r="O1500"/>
    </row>
    <row r="1501" spans="1:15" x14ac:dyDescent="0.35">
      <c r="A1501" t="s">
        <v>2296</v>
      </c>
      <c r="B1501" s="2">
        <v>45762</v>
      </c>
      <c r="C1501" t="s">
        <v>24</v>
      </c>
      <c r="D1501" t="s">
        <v>25</v>
      </c>
      <c r="E1501" t="s">
        <v>12</v>
      </c>
      <c r="F1501" t="s">
        <v>13</v>
      </c>
      <c r="G1501">
        <v>5</v>
      </c>
      <c r="H1501">
        <v>2.5</v>
      </c>
      <c r="I1501" t="s">
        <v>39</v>
      </c>
      <c r="J1501" t="s">
        <v>1488</v>
      </c>
      <c r="K1501" s="12">
        <f>Store_Record[[#This Row],[Qty]]*Store_Record[[#This Row],[UnitPriceGBP]]</f>
        <v>12.5</v>
      </c>
      <c r="L1501" s="5" t="str">
        <f>TEXT(Store_Record[[#This Row],[Date]],"dddd")</f>
        <v>Tuesday</v>
      </c>
      <c r="M1501" s="5" t="str">
        <f>TEXT(Store_Record[[#This Row],[Date]],"mmmm")</f>
        <v>April</v>
      </c>
      <c r="N1501" s="5">
        <f>YEAR(Store_Record[[#This Row],[Date]])</f>
        <v>2025</v>
      </c>
      <c r="O1501"/>
    </row>
    <row r="1502" spans="1:15" x14ac:dyDescent="0.35">
      <c r="A1502" t="s">
        <v>2304</v>
      </c>
      <c r="B1502" s="2">
        <v>45762</v>
      </c>
      <c r="C1502" t="s">
        <v>10</v>
      </c>
      <c r="D1502" t="s">
        <v>38</v>
      </c>
      <c r="E1502" t="s">
        <v>12</v>
      </c>
      <c r="F1502" t="s">
        <v>13</v>
      </c>
      <c r="G1502">
        <v>5</v>
      </c>
      <c r="H1502">
        <v>2.5</v>
      </c>
      <c r="I1502" t="s">
        <v>14</v>
      </c>
      <c r="J1502" t="s">
        <v>961</v>
      </c>
      <c r="K1502" s="12">
        <f>Store_Record[[#This Row],[Qty]]*Store_Record[[#This Row],[UnitPriceGBP]]</f>
        <v>12.5</v>
      </c>
      <c r="L1502" s="5" t="str">
        <f>TEXT(Store_Record[[#This Row],[Date]],"dddd")</f>
        <v>Tuesday</v>
      </c>
      <c r="M1502" s="5" t="str">
        <f>TEXT(Store_Record[[#This Row],[Date]],"mmmm")</f>
        <v>April</v>
      </c>
      <c r="N1502" s="5">
        <f>YEAR(Store_Record[[#This Row],[Date]])</f>
        <v>2025</v>
      </c>
      <c r="O1502"/>
    </row>
    <row r="1503" spans="1:15" x14ac:dyDescent="0.35">
      <c r="A1503" t="s">
        <v>2297</v>
      </c>
      <c r="B1503" s="2">
        <v>45762</v>
      </c>
      <c r="C1503" t="s">
        <v>20</v>
      </c>
      <c r="D1503" t="s">
        <v>29</v>
      </c>
      <c r="E1503" t="s">
        <v>30</v>
      </c>
      <c r="F1503" t="s">
        <v>31</v>
      </c>
      <c r="G1503">
        <v>4</v>
      </c>
      <c r="H1503">
        <v>2.8</v>
      </c>
      <c r="I1503" t="s">
        <v>14</v>
      </c>
      <c r="J1503" t="s">
        <v>1316</v>
      </c>
      <c r="K1503" s="12">
        <f>Store_Record[[#This Row],[Qty]]*Store_Record[[#This Row],[UnitPriceGBP]]</f>
        <v>11.2</v>
      </c>
      <c r="L1503" s="5" t="str">
        <f>TEXT(Store_Record[[#This Row],[Date]],"dddd")</f>
        <v>Tuesday</v>
      </c>
      <c r="M1503" s="5" t="str">
        <f>TEXT(Store_Record[[#This Row],[Date]],"mmmm")</f>
        <v>April</v>
      </c>
      <c r="N1503" s="5">
        <f>YEAR(Store_Record[[#This Row],[Date]])</f>
        <v>2025</v>
      </c>
      <c r="O1503"/>
    </row>
    <row r="1504" spans="1:15" x14ac:dyDescent="0.35">
      <c r="A1504" t="s">
        <v>2298</v>
      </c>
      <c r="B1504" s="2">
        <v>45762</v>
      </c>
      <c r="C1504" t="s">
        <v>10</v>
      </c>
      <c r="D1504" t="s">
        <v>29</v>
      </c>
      <c r="E1504" t="s">
        <v>30</v>
      </c>
      <c r="F1504" t="s">
        <v>31</v>
      </c>
      <c r="G1504">
        <v>4</v>
      </c>
      <c r="H1504">
        <v>2.8</v>
      </c>
      <c r="I1504" t="s">
        <v>14</v>
      </c>
      <c r="J1504" t="s">
        <v>2299</v>
      </c>
      <c r="K1504" s="12">
        <f>Store_Record[[#This Row],[Qty]]*Store_Record[[#This Row],[UnitPriceGBP]]</f>
        <v>11.2</v>
      </c>
      <c r="L1504" s="5" t="str">
        <f>TEXT(Store_Record[[#This Row],[Date]],"dddd")</f>
        <v>Tuesday</v>
      </c>
      <c r="M1504" s="5" t="str">
        <f>TEXT(Store_Record[[#This Row],[Date]],"mmmm")</f>
        <v>April</v>
      </c>
      <c r="N1504" s="5">
        <f>YEAR(Store_Record[[#This Row],[Date]])</f>
        <v>2025</v>
      </c>
      <c r="O1504"/>
    </row>
    <row r="1505" spans="1:15" x14ac:dyDescent="0.35">
      <c r="A1505" t="s">
        <v>2305</v>
      </c>
      <c r="B1505" s="2">
        <v>45762</v>
      </c>
      <c r="C1505" t="s">
        <v>36</v>
      </c>
      <c r="D1505" t="s">
        <v>11</v>
      </c>
      <c r="E1505" t="s">
        <v>34</v>
      </c>
      <c r="F1505" t="s">
        <v>31</v>
      </c>
      <c r="G1505">
        <v>5</v>
      </c>
      <c r="H1505">
        <v>2.2000000000000002</v>
      </c>
      <c r="I1505" t="s">
        <v>14</v>
      </c>
      <c r="J1505" t="s">
        <v>187</v>
      </c>
      <c r="K1505" s="12">
        <f>Store_Record[[#This Row],[Qty]]*Store_Record[[#This Row],[UnitPriceGBP]]</f>
        <v>11</v>
      </c>
      <c r="L1505" s="5" t="str">
        <f>TEXT(Store_Record[[#This Row],[Date]],"dddd")</f>
        <v>Tuesday</v>
      </c>
      <c r="M1505" s="5" t="str">
        <f>TEXT(Store_Record[[#This Row],[Date]],"mmmm")</f>
        <v>April</v>
      </c>
      <c r="N1505" s="5">
        <f>YEAR(Store_Record[[#This Row],[Date]])</f>
        <v>2025</v>
      </c>
      <c r="O1505"/>
    </row>
    <row r="1506" spans="1:15" x14ac:dyDescent="0.35">
      <c r="A1506" t="s">
        <v>2303</v>
      </c>
      <c r="B1506" s="2">
        <v>45762</v>
      </c>
      <c r="C1506" t="s">
        <v>24</v>
      </c>
      <c r="D1506" t="s">
        <v>25</v>
      </c>
      <c r="E1506" t="s">
        <v>12</v>
      </c>
      <c r="F1506" t="s">
        <v>13</v>
      </c>
      <c r="G1506">
        <v>4</v>
      </c>
      <c r="H1506">
        <v>2.5</v>
      </c>
      <c r="I1506" t="s">
        <v>39</v>
      </c>
      <c r="J1506" t="s">
        <v>1250</v>
      </c>
      <c r="K1506" s="12">
        <f>Store_Record[[#This Row],[Qty]]*Store_Record[[#This Row],[UnitPriceGBP]]</f>
        <v>10</v>
      </c>
      <c r="L1506" s="5" t="str">
        <f>TEXT(Store_Record[[#This Row],[Date]],"dddd")</f>
        <v>Tuesday</v>
      </c>
      <c r="M1506" s="5" t="str">
        <f>TEXT(Store_Record[[#This Row],[Date]],"mmmm")</f>
        <v>April</v>
      </c>
      <c r="N1506" s="5">
        <f>YEAR(Store_Record[[#This Row],[Date]])</f>
        <v>2025</v>
      </c>
      <c r="O1506"/>
    </row>
    <row r="1507" spans="1:15" x14ac:dyDescent="0.35">
      <c r="A1507" t="s">
        <v>2301</v>
      </c>
      <c r="B1507" s="2">
        <v>45762</v>
      </c>
      <c r="C1507" t="s">
        <v>36</v>
      </c>
      <c r="D1507" t="s">
        <v>11</v>
      </c>
      <c r="E1507" t="s">
        <v>34</v>
      </c>
      <c r="F1507" t="s">
        <v>31</v>
      </c>
      <c r="G1507">
        <v>4</v>
      </c>
      <c r="H1507">
        <v>2.2000000000000002</v>
      </c>
      <c r="I1507" t="s">
        <v>39</v>
      </c>
      <c r="J1507" t="s">
        <v>1828</v>
      </c>
      <c r="K1507" s="12">
        <f>Store_Record[[#This Row],[Qty]]*Store_Record[[#This Row],[UnitPriceGBP]]</f>
        <v>8.8000000000000007</v>
      </c>
      <c r="L1507" s="5" t="str">
        <f>TEXT(Store_Record[[#This Row],[Date]],"dddd")</f>
        <v>Tuesday</v>
      </c>
      <c r="M1507" s="5" t="str">
        <f>TEXT(Store_Record[[#This Row],[Date]],"mmmm")</f>
        <v>April</v>
      </c>
      <c r="N1507" s="5">
        <f>YEAR(Store_Record[[#This Row],[Date]])</f>
        <v>2025</v>
      </c>
      <c r="O1507"/>
    </row>
    <row r="1508" spans="1:15" x14ac:dyDescent="0.35">
      <c r="A1508" t="s">
        <v>2307</v>
      </c>
      <c r="B1508" s="2">
        <v>45762</v>
      </c>
      <c r="C1508" t="s">
        <v>10</v>
      </c>
      <c r="D1508" t="s">
        <v>11</v>
      </c>
      <c r="E1508" t="s">
        <v>12</v>
      </c>
      <c r="F1508" t="s">
        <v>13</v>
      </c>
      <c r="G1508">
        <v>3</v>
      </c>
      <c r="H1508">
        <v>2.5</v>
      </c>
      <c r="I1508" t="s">
        <v>14</v>
      </c>
      <c r="J1508" t="s">
        <v>200</v>
      </c>
      <c r="K1508" s="12">
        <f>Store_Record[[#This Row],[Qty]]*Store_Record[[#This Row],[UnitPriceGBP]]</f>
        <v>7.5</v>
      </c>
      <c r="L1508" s="5" t="str">
        <f>TEXT(Store_Record[[#This Row],[Date]],"dddd")</f>
        <v>Tuesday</v>
      </c>
      <c r="M1508" s="5" t="str">
        <f>TEXT(Store_Record[[#This Row],[Date]],"mmmm")</f>
        <v>April</v>
      </c>
      <c r="N1508" s="5">
        <f>YEAR(Store_Record[[#This Row],[Date]])</f>
        <v>2025</v>
      </c>
      <c r="O1508"/>
    </row>
    <row r="1509" spans="1:15" x14ac:dyDescent="0.35">
      <c r="A1509" t="s">
        <v>2306</v>
      </c>
      <c r="B1509" s="2">
        <v>45762</v>
      </c>
      <c r="C1509" t="s">
        <v>36</v>
      </c>
      <c r="D1509" t="s">
        <v>38</v>
      </c>
      <c r="E1509" t="s">
        <v>34</v>
      </c>
      <c r="F1509" t="s">
        <v>31</v>
      </c>
      <c r="G1509">
        <v>3</v>
      </c>
      <c r="H1509">
        <v>2.2000000000000002</v>
      </c>
      <c r="I1509" t="s">
        <v>14</v>
      </c>
      <c r="J1509" t="s">
        <v>1183</v>
      </c>
      <c r="K1509" s="12">
        <f>Store_Record[[#This Row],[Qty]]*Store_Record[[#This Row],[UnitPriceGBP]]</f>
        <v>6.6000000000000005</v>
      </c>
      <c r="L1509" s="5" t="str">
        <f>TEXT(Store_Record[[#This Row],[Date]],"dddd")</f>
        <v>Tuesday</v>
      </c>
      <c r="M1509" s="5" t="str">
        <f>TEXT(Store_Record[[#This Row],[Date]],"mmmm")</f>
        <v>April</v>
      </c>
      <c r="N1509" s="5">
        <f>YEAR(Store_Record[[#This Row],[Date]])</f>
        <v>2025</v>
      </c>
      <c r="O1509"/>
    </row>
    <row r="1510" spans="1:15" x14ac:dyDescent="0.35">
      <c r="A1510" t="s">
        <v>2300</v>
      </c>
      <c r="B1510" s="2">
        <v>45762</v>
      </c>
      <c r="C1510" t="s">
        <v>24</v>
      </c>
      <c r="D1510" t="s">
        <v>38</v>
      </c>
      <c r="E1510" t="s">
        <v>42</v>
      </c>
      <c r="F1510" t="s">
        <v>13</v>
      </c>
      <c r="G1510">
        <v>1</v>
      </c>
      <c r="H1510">
        <v>3.8</v>
      </c>
      <c r="I1510" t="s">
        <v>14</v>
      </c>
      <c r="J1510" t="s">
        <v>908</v>
      </c>
      <c r="K1510" s="12">
        <f>Store_Record[[#This Row],[Qty]]*Store_Record[[#This Row],[UnitPriceGBP]]</f>
        <v>3.8</v>
      </c>
      <c r="L1510" s="5" t="str">
        <f>TEXT(Store_Record[[#This Row],[Date]],"dddd")</f>
        <v>Tuesday</v>
      </c>
      <c r="M1510" s="5" t="str">
        <f>TEXT(Store_Record[[#This Row],[Date]],"mmmm")</f>
        <v>April</v>
      </c>
      <c r="N1510" s="5">
        <f>YEAR(Store_Record[[#This Row],[Date]])</f>
        <v>2025</v>
      </c>
      <c r="O1510"/>
    </row>
    <row r="1511" spans="1:15" x14ac:dyDescent="0.35">
      <c r="A1511" t="s">
        <v>2308</v>
      </c>
      <c r="B1511" s="2">
        <v>45763</v>
      </c>
      <c r="C1511" t="s">
        <v>20</v>
      </c>
      <c r="D1511" t="s">
        <v>29</v>
      </c>
      <c r="E1511" t="s">
        <v>42</v>
      </c>
      <c r="F1511" t="s">
        <v>13</v>
      </c>
      <c r="G1511">
        <v>5</v>
      </c>
      <c r="H1511">
        <v>3.8</v>
      </c>
      <c r="I1511" t="s">
        <v>39</v>
      </c>
      <c r="J1511" t="s">
        <v>478</v>
      </c>
      <c r="K1511" s="12">
        <f>Store_Record[[#This Row],[Qty]]*Store_Record[[#This Row],[UnitPriceGBP]]</f>
        <v>19</v>
      </c>
      <c r="L1511" s="5" t="str">
        <f>TEXT(Store_Record[[#This Row],[Date]],"dddd")</f>
        <v>Wednesday</v>
      </c>
      <c r="M1511" s="5" t="str">
        <f>TEXT(Store_Record[[#This Row],[Date]],"mmmm")</f>
        <v>April</v>
      </c>
      <c r="N1511" s="5">
        <f>YEAR(Store_Record[[#This Row],[Date]])</f>
        <v>2025</v>
      </c>
      <c r="O1511"/>
    </row>
    <row r="1512" spans="1:15" x14ac:dyDescent="0.35">
      <c r="A1512" t="s">
        <v>2310</v>
      </c>
      <c r="B1512" s="2">
        <v>45763</v>
      </c>
      <c r="C1512" t="s">
        <v>20</v>
      </c>
      <c r="D1512" t="s">
        <v>11</v>
      </c>
      <c r="E1512" t="s">
        <v>42</v>
      </c>
      <c r="F1512" t="s">
        <v>13</v>
      </c>
      <c r="G1512">
        <v>5</v>
      </c>
      <c r="H1512">
        <v>3.8</v>
      </c>
      <c r="I1512" t="s">
        <v>21</v>
      </c>
      <c r="J1512" t="s">
        <v>384</v>
      </c>
      <c r="K1512" s="12">
        <f>Store_Record[[#This Row],[Qty]]*Store_Record[[#This Row],[UnitPriceGBP]]</f>
        <v>19</v>
      </c>
      <c r="L1512" s="5" t="str">
        <f>TEXT(Store_Record[[#This Row],[Date]],"dddd")</f>
        <v>Wednesday</v>
      </c>
      <c r="M1512" s="5" t="str">
        <f>TEXT(Store_Record[[#This Row],[Date]],"mmmm")</f>
        <v>April</v>
      </c>
      <c r="N1512" s="5">
        <f>YEAR(Store_Record[[#This Row],[Date]])</f>
        <v>2025</v>
      </c>
      <c r="O1512"/>
    </row>
    <row r="1513" spans="1:15" x14ac:dyDescent="0.35">
      <c r="A1513" t="s">
        <v>2317</v>
      </c>
      <c r="B1513" s="2">
        <v>45763</v>
      </c>
      <c r="C1513" t="s">
        <v>10</v>
      </c>
      <c r="D1513" t="s">
        <v>38</v>
      </c>
      <c r="E1513" t="s">
        <v>26</v>
      </c>
      <c r="F1513" t="s">
        <v>13</v>
      </c>
      <c r="G1513">
        <v>4</v>
      </c>
      <c r="H1513">
        <v>3.5</v>
      </c>
      <c r="I1513" t="s">
        <v>39</v>
      </c>
      <c r="J1513" t="s">
        <v>258</v>
      </c>
      <c r="K1513" s="12">
        <f>Store_Record[[#This Row],[Qty]]*Store_Record[[#This Row],[UnitPriceGBP]]</f>
        <v>14</v>
      </c>
      <c r="L1513" s="5" t="str">
        <f>TEXT(Store_Record[[#This Row],[Date]],"dddd")</f>
        <v>Wednesday</v>
      </c>
      <c r="M1513" s="5" t="str">
        <f>TEXT(Store_Record[[#This Row],[Date]],"mmmm")</f>
        <v>April</v>
      </c>
      <c r="N1513" s="5">
        <f>YEAR(Store_Record[[#This Row],[Date]])</f>
        <v>2025</v>
      </c>
      <c r="O1513"/>
    </row>
    <row r="1514" spans="1:15" x14ac:dyDescent="0.35">
      <c r="A1514" t="s">
        <v>2318</v>
      </c>
      <c r="B1514" s="2">
        <v>45763</v>
      </c>
      <c r="C1514" t="s">
        <v>10</v>
      </c>
      <c r="D1514" t="s">
        <v>29</v>
      </c>
      <c r="E1514" t="s">
        <v>12</v>
      </c>
      <c r="F1514" t="s">
        <v>13</v>
      </c>
      <c r="G1514">
        <v>5</v>
      </c>
      <c r="H1514">
        <v>2.5</v>
      </c>
      <c r="I1514" t="s">
        <v>39</v>
      </c>
      <c r="J1514" t="s">
        <v>761</v>
      </c>
      <c r="K1514" s="12">
        <f>Store_Record[[#This Row],[Qty]]*Store_Record[[#This Row],[UnitPriceGBP]]</f>
        <v>12.5</v>
      </c>
      <c r="L1514" s="5" t="str">
        <f>TEXT(Store_Record[[#This Row],[Date]],"dddd")</f>
        <v>Wednesday</v>
      </c>
      <c r="M1514" s="5" t="str">
        <f>TEXT(Store_Record[[#This Row],[Date]],"mmmm")</f>
        <v>April</v>
      </c>
      <c r="N1514" s="5">
        <f>YEAR(Store_Record[[#This Row],[Date]])</f>
        <v>2025</v>
      </c>
      <c r="O1514"/>
    </row>
    <row r="1515" spans="1:15" x14ac:dyDescent="0.35">
      <c r="A1515" t="s">
        <v>2319</v>
      </c>
      <c r="B1515" s="2">
        <v>45763</v>
      </c>
      <c r="C1515" t="s">
        <v>24</v>
      </c>
      <c r="D1515" t="s">
        <v>11</v>
      </c>
      <c r="E1515" t="s">
        <v>12</v>
      </c>
      <c r="F1515" t="s">
        <v>13</v>
      </c>
      <c r="G1515">
        <v>5</v>
      </c>
      <c r="H1515">
        <v>2.5</v>
      </c>
      <c r="I1515" t="s">
        <v>14</v>
      </c>
      <c r="J1515" t="s">
        <v>961</v>
      </c>
      <c r="K1515" s="12">
        <f>Store_Record[[#This Row],[Qty]]*Store_Record[[#This Row],[UnitPriceGBP]]</f>
        <v>12.5</v>
      </c>
      <c r="L1515" s="5" t="str">
        <f>TEXT(Store_Record[[#This Row],[Date]],"dddd")</f>
        <v>Wednesday</v>
      </c>
      <c r="M1515" s="5" t="str">
        <f>TEXT(Store_Record[[#This Row],[Date]],"mmmm")</f>
        <v>April</v>
      </c>
      <c r="N1515" s="5">
        <f>YEAR(Store_Record[[#This Row],[Date]])</f>
        <v>2025</v>
      </c>
      <c r="O1515"/>
    </row>
    <row r="1516" spans="1:15" x14ac:dyDescent="0.35">
      <c r="A1516" t="s">
        <v>2312</v>
      </c>
      <c r="B1516" s="2">
        <v>45763</v>
      </c>
      <c r="C1516" t="s">
        <v>24</v>
      </c>
      <c r="D1516" t="s">
        <v>38</v>
      </c>
      <c r="E1516" t="s">
        <v>42</v>
      </c>
      <c r="F1516" t="s">
        <v>13</v>
      </c>
      <c r="G1516">
        <v>3</v>
      </c>
      <c r="H1516">
        <v>3.8</v>
      </c>
      <c r="I1516" t="s">
        <v>14</v>
      </c>
      <c r="J1516" t="s">
        <v>146</v>
      </c>
      <c r="K1516" s="12">
        <f>Store_Record[[#This Row],[Qty]]*Store_Record[[#This Row],[UnitPriceGBP]]</f>
        <v>11.399999999999999</v>
      </c>
      <c r="L1516" s="5" t="str">
        <f>TEXT(Store_Record[[#This Row],[Date]],"dddd")</f>
        <v>Wednesday</v>
      </c>
      <c r="M1516" s="5" t="str">
        <f>TEXT(Store_Record[[#This Row],[Date]],"mmmm")</f>
        <v>April</v>
      </c>
      <c r="N1516" s="5">
        <f>YEAR(Store_Record[[#This Row],[Date]])</f>
        <v>2025</v>
      </c>
      <c r="O1516"/>
    </row>
    <row r="1517" spans="1:15" x14ac:dyDescent="0.35">
      <c r="A1517" t="s">
        <v>2313</v>
      </c>
      <c r="B1517" s="2">
        <v>45763</v>
      </c>
      <c r="C1517" t="s">
        <v>36</v>
      </c>
      <c r="D1517" t="s">
        <v>11</v>
      </c>
      <c r="E1517" t="s">
        <v>30</v>
      </c>
      <c r="F1517" t="s">
        <v>31</v>
      </c>
      <c r="G1517">
        <v>4</v>
      </c>
      <c r="H1517">
        <v>2.8</v>
      </c>
      <c r="I1517" t="s">
        <v>39</v>
      </c>
      <c r="J1517" t="s">
        <v>869</v>
      </c>
      <c r="K1517" s="12">
        <f>Store_Record[[#This Row],[Qty]]*Store_Record[[#This Row],[UnitPriceGBP]]</f>
        <v>11.2</v>
      </c>
      <c r="L1517" s="5" t="str">
        <f>TEXT(Store_Record[[#This Row],[Date]],"dddd")</f>
        <v>Wednesday</v>
      </c>
      <c r="M1517" s="5" t="str">
        <f>TEXT(Store_Record[[#This Row],[Date]],"mmmm")</f>
        <v>April</v>
      </c>
      <c r="N1517" s="5">
        <f>YEAR(Store_Record[[#This Row],[Date]])</f>
        <v>2025</v>
      </c>
      <c r="O1517"/>
    </row>
    <row r="1518" spans="1:15" x14ac:dyDescent="0.35">
      <c r="A1518" t="s">
        <v>2309</v>
      </c>
      <c r="B1518" s="2">
        <v>45763</v>
      </c>
      <c r="C1518" t="s">
        <v>36</v>
      </c>
      <c r="D1518" t="s">
        <v>38</v>
      </c>
      <c r="E1518" t="s">
        <v>34</v>
      </c>
      <c r="F1518" t="s">
        <v>31</v>
      </c>
      <c r="G1518">
        <v>5</v>
      </c>
      <c r="H1518">
        <v>2.2000000000000002</v>
      </c>
      <c r="I1518" t="s">
        <v>39</v>
      </c>
      <c r="J1518" t="s">
        <v>417</v>
      </c>
      <c r="K1518" s="12">
        <f>Store_Record[[#This Row],[Qty]]*Store_Record[[#This Row],[UnitPriceGBP]]</f>
        <v>11</v>
      </c>
      <c r="L1518" s="5" t="str">
        <f>TEXT(Store_Record[[#This Row],[Date]],"dddd")</f>
        <v>Wednesday</v>
      </c>
      <c r="M1518" s="5" t="str">
        <f>TEXT(Store_Record[[#This Row],[Date]],"mmmm")</f>
        <v>April</v>
      </c>
      <c r="N1518" s="5">
        <f>YEAR(Store_Record[[#This Row],[Date]])</f>
        <v>2025</v>
      </c>
      <c r="O1518"/>
    </row>
    <row r="1519" spans="1:15" x14ac:dyDescent="0.35">
      <c r="A1519" t="s">
        <v>2316</v>
      </c>
      <c r="B1519" s="2">
        <v>45763</v>
      </c>
      <c r="C1519" t="s">
        <v>24</v>
      </c>
      <c r="D1519" t="s">
        <v>47</v>
      </c>
      <c r="E1519" t="s">
        <v>34</v>
      </c>
      <c r="F1519" t="s">
        <v>31</v>
      </c>
      <c r="G1519">
        <v>5</v>
      </c>
      <c r="H1519">
        <v>2.2000000000000002</v>
      </c>
      <c r="I1519" t="s">
        <v>21</v>
      </c>
      <c r="J1519" t="s">
        <v>679</v>
      </c>
      <c r="K1519" s="12">
        <f>Store_Record[[#This Row],[Qty]]*Store_Record[[#This Row],[UnitPriceGBP]]</f>
        <v>11</v>
      </c>
      <c r="L1519" s="5" t="str">
        <f>TEXT(Store_Record[[#This Row],[Date]],"dddd")</f>
        <v>Wednesday</v>
      </c>
      <c r="M1519" s="5" t="str">
        <f>TEXT(Store_Record[[#This Row],[Date]],"mmmm")</f>
        <v>April</v>
      </c>
      <c r="N1519" s="5">
        <f>YEAR(Store_Record[[#This Row],[Date]])</f>
        <v>2025</v>
      </c>
      <c r="O1519"/>
    </row>
    <row r="1520" spans="1:15" x14ac:dyDescent="0.35">
      <c r="A1520" t="s">
        <v>2320</v>
      </c>
      <c r="B1520" s="2">
        <v>45763</v>
      </c>
      <c r="C1520" t="s">
        <v>24</v>
      </c>
      <c r="D1520" t="s">
        <v>38</v>
      </c>
      <c r="E1520" t="s">
        <v>12</v>
      </c>
      <c r="F1520" t="s">
        <v>13</v>
      </c>
      <c r="G1520">
        <v>4</v>
      </c>
      <c r="H1520">
        <v>2.5</v>
      </c>
      <c r="I1520" t="s">
        <v>21</v>
      </c>
      <c r="J1520" t="s">
        <v>267</v>
      </c>
      <c r="K1520" s="12">
        <f>Store_Record[[#This Row],[Qty]]*Store_Record[[#This Row],[UnitPriceGBP]]</f>
        <v>10</v>
      </c>
      <c r="L1520" s="5" t="str">
        <f>TEXT(Store_Record[[#This Row],[Date]],"dddd")</f>
        <v>Wednesday</v>
      </c>
      <c r="M1520" s="5" t="str">
        <f>TEXT(Store_Record[[#This Row],[Date]],"mmmm")</f>
        <v>April</v>
      </c>
      <c r="N1520" s="5">
        <f>YEAR(Store_Record[[#This Row],[Date]])</f>
        <v>2025</v>
      </c>
      <c r="O1520"/>
    </row>
    <row r="1521" spans="1:15" x14ac:dyDescent="0.35">
      <c r="A1521" t="s">
        <v>2315</v>
      </c>
      <c r="B1521" s="2">
        <v>45763</v>
      </c>
      <c r="C1521" t="s">
        <v>24</v>
      </c>
      <c r="D1521" t="s">
        <v>47</v>
      </c>
      <c r="E1521" t="s">
        <v>30</v>
      </c>
      <c r="F1521" t="s">
        <v>31</v>
      </c>
      <c r="G1521">
        <v>2</v>
      </c>
      <c r="H1521">
        <v>2.8</v>
      </c>
      <c r="I1521" t="s">
        <v>14</v>
      </c>
      <c r="J1521" t="s">
        <v>1460</v>
      </c>
      <c r="K1521" s="12">
        <f>Store_Record[[#This Row],[Qty]]*Store_Record[[#This Row],[UnitPriceGBP]]</f>
        <v>5.6</v>
      </c>
      <c r="L1521" s="5" t="str">
        <f>TEXT(Store_Record[[#This Row],[Date]],"dddd")</f>
        <v>Wednesday</v>
      </c>
      <c r="M1521" s="5" t="str">
        <f>TEXT(Store_Record[[#This Row],[Date]],"mmmm")</f>
        <v>April</v>
      </c>
      <c r="N1521" s="5">
        <f>YEAR(Store_Record[[#This Row],[Date]])</f>
        <v>2025</v>
      </c>
      <c r="O1521"/>
    </row>
    <row r="1522" spans="1:15" x14ac:dyDescent="0.35">
      <c r="A1522" t="s">
        <v>2314</v>
      </c>
      <c r="B1522" s="2">
        <v>45763</v>
      </c>
      <c r="C1522" t="s">
        <v>10</v>
      </c>
      <c r="D1522" t="s">
        <v>38</v>
      </c>
      <c r="E1522" t="s">
        <v>34</v>
      </c>
      <c r="F1522" t="s">
        <v>31</v>
      </c>
      <c r="G1522">
        <v>2</v>
      </c>
      <c r="H1522">
        <v>2.2000000000000002</v>
      </c>
      <c r="I1522" t="s">
        <v>14</v>
      </c>
      <c r="J1522" t="s">
        <v>1714</v>
      </c>
      <c r="K1522" s="12">
        <f>Store_Record[[#This Row],[Qty]]*Store_Record[[#This Row],[UnitPriceGBP]]</f>
        <v>4.4000000000000004</v>
      </c>
      <c r="L1522" s="5" t="str">
        <f>TEXT(Store_Record[[#This Row],[Date]],"dddd")</f>
        <v>Wednesday</v>
      </c>
      <c r="M1522" s="5" t="str">
        <f>TEXT(Store_Record[[#This Row],[Date]],"mmmm")</f>
        <v>April</v>
      </c>
      <c r="N1522" s="5">
        <f>YEAR(Store_Record[[#This Row],[Date]])</f>
        <v>2025</v>
      </c>
      <c r="O1522"/>
    </row>
    <row r="1523" spans="1:15" x14ac:dyDescent="0.35">
      <c r="A1523" t="s">
        <v>2311</v>
      </c>
      <c r="B1523" s="2">
        <v>45763</v>
      </c>
      <c r="C1523" t="s">
        <v>36</v>
      </c>
      <c r="D1523" t="s">
        <v>38</v>
      </c>
      <c r="E1523" t="s">
        <v>34</v>
      </c>
      <c r="F1523" t="s">
        <v>31</v>
      </c>
      <c r="G1523">
        <v>1</v>
      </c>
      <c r="H1523">
        <v>2.2000000000000002</v>
      </c>
      <c r="I1523" t="s">
        <v>14</v>
      </c>
      <c r="J1523" t="s">
        <v>976</v>
      </c>
      <c r="K1523" s="12">
        <f>Store_Record[[#This Row],[Qty]]*Store_Record[[#This Row],[UnitPriceGBP]]</f>
        <v>2.2000000000000002</v>
      </c>
      <c r="L1523" s="5" t="str">
        <f>TEXT(Store_Record[[#This Row],[Date]],"dddd")</f>
        <v>Wednesday</v>
      </c>
      <c r="M1523" s="5" t="str">
        <f>TEXT(Store_Record[[#This Row],[Date]],"mmmm")</f>
        <v>April</v>
      </c>
      <c r="N1523" s="5">
        <f>YEAR(Store_Record[[#This Row],[Date]])</f>
        <v>2025</v>
      </c>
      <c r="O1523"/>
    </row>
    <row r="1524" spans="1:15" x14ac:dyDescent="0.35">
      <c r="A1524" t="s">
        <v>2331</v>
      </c>
      <c r="B1524" s="2">
        <v>45764</v>
      </c>
      <c r="C1524" t="s">
        <v>10</v>
      </c>
      <c r="D1524" t="s">
        <v>47</v>
      </c>
      <c r="E1524" t="s">
        <v>42</v>
      </c>
      <c r="F1524" t="s">
        <v>13</v>
      </c>
      <c r="G1524">
        <v>5</v>
      </c>
      <c r="H1524">
        <v>3.8</v>
      </c>
      <c r="I1524" t="s">
        <v>21</v>
      </c>
      <c r="J1524" t="s">
        <v>2332</v>
      </c>
      <c r="K1524" s="12">
        <f>Store_Record[[#This Row],[Qty]]*Store_Record[[#This Row],[UnitPriceGBP]]</f>
        <v>19</v>
      </c>
      <c r="L1524" s="5" t="str">
        <f>TEXT(Store_Record[[#This Row],[Date]],"dddd")</f>
        <v>Thursday</v>
      </c>
      <c r="M1524" s="5" t="str">
        <f>TEXT(Store_Record[[#This Row],[Date]],"mmmm")</f>
        <v>April</v>
      </c>
      <c r="N1524" s="5">
        <f>YEAR(Store_Record[[#This Row],[Date]])</f>
        <v>2025</v>
      </c>
      <c r="O1524"/>
    </row>
    <row r="1525" spans="1:15" x14ac:dyDescent="0.35">
      <c r="A1525" t="s">
        <v>2342</v>
      </c>
      <c r="B1525" s="2">
        <v>45764</v>
      </c>
      <c r="C1525" t="s">
        <v>24</v>
      </c>
      <c r="D1525" t="s">
        <v>11</v>
      </c>
      <c r="E1525" t="s">
        <v>30</v>
      </c>
      <c r="F1525" t="s">
        <v>31</v>
      </c>
      <c r="G1525">
        <v>5</v>
      </c>
      <c r="H1525">
        <v>2.8</v>
      </c>
      <c r="I1525" t="s">
        <v>14</v>
      </c>
      <c r="J1525" t="s">
        <v>1710</v>
      </c>
      <c r="K1525" s="12">
        <f>Store_Record[[#This Row],[Qty]]*Store_Record[[#This Row],[UnitPriceGBP]]</f>
        <v>14</v>
      </c>
      <c r="L1525" s="5" t="str">
        <f>TEXT(Store_Record[[#This Row],[Date]],"dddd")</f>
        <v>Thursday</v>
      </c>
      <c r="M1525" s="5" t="str">
        <f>TEXT(Store_Record[[#This Row],[Date]],"mmmm")</f>
        <v>April</v>
      </c>
      <c r="N1525" s="5">
        <f>YEAR(Store_Record[[#This Row],[Date]])</f>
        <v>2025</v>
      </c>
      <c r="O1525"/>
    </row>
    <row r="1526" spans="1:15" x14ac:dyDescent="0.35">
      <c r="A1526" t="s">
        <v>2327</v>
      </c>
      <c r="B1526" s="2">
        <v>45764</v>
      </c>
      <c r="C1526" t="s">
        <v>24</v>
      </c>
      <c r="D1526" t="s">
        <v>25</v>
      </c>
      <c r="E1526" t="s">
        <v>26</v>
      </c>
      <c r="F1526" t="s">
        <v>13</v>
      </c>
      <c r="G1526">
        <v>3</v>
      </c>
      <c r="H1526">
        <v>3.8</v>
      </c>
      <c r="I1526" t="s">
        <v>21</v>
      </c>
      <c r="J1526" t="s">
        <v>84</v>
      </c>
      <c r="K1526" s="12">
        <f>Store_Record[[#This Row],[Qty]]*Store_Record[[#This Row],[UnitPriceGBP]]</f>
        <v>11.399999999999999</v>
      </c>
      <c r="L1526" s="5" t="str">
        <f>TEXT(Store_Record[[#This Row],[Date]],"dddd")</f>
        <v>Thursday</v>
      </c>
      <c r="M1526" s="5" t="str">
        <f>TEXT(Store_Record[[#This Row],[Date]],"mmmm")</f>
        <v>April</v>
      </c>
      <c r="N1526" s="5">
        <f>YEAR(Store_Record[[#This Row],[Date]])</f>
        <v>2025</v>
      </c>
      <c r="O1526"/>
    </row>
    <row r="1527" spans="1:15" x14ac:dyDescent="0.35">
      <c r="A1527" t="s">
        <v>2338</v>
      </c>
      <c r="B1527" s="2">
        <v>45764</v>
      </c>
      <c r="C1527" t="s">
        <v>36</v>
      </c>
      <c r="D1527" t="s">
        <v>25</v>
      </c>
      <c r="E1527" t="s">
        <v>42</v>
      </c>
      <c r="F1527" t="s">
        <v>13</v>
      </c>
      <c r="G1527">
        <v>3</v>
      </c>
      <c r="H1527">
        <v>3.8</v>
      </c>
      <c r="I1527" t="s">
        <v>14</v>
      </c>
      <c r="J1527" t="s">
        <v>1338</v>
      </c>
      <c r="K1527" s="12">
        <f>Store_Record[[#This Row],[Qty]]*Store_Record[[#This Row],[UnitPriceGBP]]</f>
        <v>11.399999999999999</v>
      </c>
      <c r="L1527" s="5" t="str">
        <f>TEXT(Store_Record[[#This Row],[Date]],"dddd")</f>
        <v>Thursday</v>
      </c>
      <c r="M1527" s="5" t="str">
        <f>TEXT(Store_Record[[#This Row],[Date]],"mmmm")</f>
        <v>April</v>
      </c>
      <c r="N1527" s="5">
        <f>YEAR(Store_Record[[#This Row],[Date]])</f>
        <v>2025</v>
      </c>
      <c r="O1527"/>
    </row>
    <row r="1528" spans="1:15" x14ac:dyDescent="0.35">
      <c r="A1528" t="s">
        <v>2325</v>
      </c>
      <c r="B1528" s="2">
        <v>45764</v>
      </c>
      <c r="C1528" t="s">
        <v>24</v>
      </c>
      <c r="D1528" t="s">
        <v>47</v>
      </c>
      <c r="E1528" t="s">
        <v>30</v>
      </c>
      <c r="F1528" t="s">
        <v>31</v>
      </c>
      <c r="G1528">
        <v>4</v>
      </c>
      <c r="H1528">
        <v>2.8</v>
      </c>
      <c r="I1528" t="s">
        <v>39</v>
      </c>
      <c r="J1528" t="s">
        <v>1632</v>
      </c>
      <c r="K1528" s="12">
        <f>Store_Record[[#This Row],[Qty]]*Store_Record[[#This Row],[UnitPriceGBP]]</f>
        <v>11.2</v>
      </c>
      <c r="L1528" s="5" t="str">
        <f>TEXT(Store_Record[[#This Row],[Date]],"dddd")</f>
        <v>Thursday</v>
      </c>
      <c r="M1528" s="5" t="str">
        <f>TEXT(Store_Record[[#This Row],[Date]],"mmmm")</f>
        <v>April</v>
      </c>
      <c r="N1528" s="5">
        <f>YEAR(Store_Record[[#This Row],[Date]])</f>
        <v>2025</v>
      </c>
      <c r="O1528"/>
    </row>
    <row r="1529" spans="1:15" x14ac:dyDescent="0.35">
      <c r="A1529" t="s">
        <v>2325</v>
      </c>
      <c r="B1529" s="2">
        <v>45764</v>
      </c>
      <c r="C1529" t="s">
        <v>24</v>
      </c>
      <c r="D1529" t="s">
        <v>47</v>
      </c>
      <c r="E1529" t="s">
        <v>30</v>
      </c>
      <c r="F1529" t="s">
        <v>31</v>
      </c>
      <c r="G1529">
        <v>4</v>
      </c>
      <c r="H1529">
        <v>2.8</v>
      </c>
      <c r="I1529" t="s">
        <v>14</v>
      </c>
      <c r="J1529" t="s">
        <v>1632</v>
      </c>
      <c r="K1529" s="12">
        <f>Store_Record[[#This Row],[Qty]]*Store_Record[[#This Row],[UnitPriceGBP]]</f>
        <v>11.2</v>
      </c>
      <c r="L1529" s="5" t="str">
        <f>TEXT(Store_Record[[#This Row],[Date]],"dddd")</f>
        <v>Thursday</v>
      </c>
      <c r="M1529" s="5" t="str">
        <f>TEXT(Store_Record[[#This Row],[Date]],"mmmm")</f>
        <v>April</v>
      </c>
      <c r="N1529" s="5">
        <f>YEAR(Store_Record[[#This Row],[Date]])</f>
        <v>2025</v>
      </c>
      <c r="O1529"/>
    </row>
    <row r="1530" spans="1:15" x14ac:dyDescent="0.35">
      <c r="A1530" t="s">
        <v>2326</v>
      </c>
      <c r="B1530" s="2">
        <v>45764</v>
      </c>
      <c r="C1530" t="s">
        <v>24</v>
      </c>
      <c r="D1530" t="s">
        <v>11</v>
      </c>
      <c r="E1530" t="s">
        <v>26</v>
      </c>
      <c r="F1530" t="s">
        <v>13</v>
      </c>
      <c r="G1530">
        <v>3</v>
      </c>
      <c r="H1530">
        <v>3.5</v>
      </c>
      <c r="I1530" t="s">
        <v>14</v>
      </c>
      <c r="J1530" t="s">
        <v>1262</v>
      </c>
      <c r="K1530" s="12">
        <f>Store_Record[[#This Row],[Qty]]*Store_Record[[#This Row],[UnitPriceGBP]]</f>
        <v>10.5</v>
      </c>
      <c r="L1530" s="5" t="str">
        <f>TEXT(Store_Record[[#This Row],[Date]],"dddd")</f>
        <v>Thursday</v>
      </c>
      <c r="M1530" s="5" t="str">
        <f>TEXT(Store_Record[[#This Row],[Date]],"mmmm")</f>
        <v>April</v>
      </c>
      <c r="N1530" s="5">
        <f>YEAR(Store_Record[[#This Row],[Date]])</f>
        <v>2025</v>
      </c>
      <c r="O1530"/>
    </row>
    <row r="1531" spans="1:15" x14ac:dyDescent="0.35">
      <c r="A1531" t="s">
        <v>2329</v>
      </c>
      <c r="B1531" s="2">
        <v>45764</v>
      </c>
      <c r="C1531" t="s">
        <v>10</v>
      </c>
      <c r="D1531" t="s">
        <v>38</v>
      </c>
      <c r="E1531" t="s">
        <v>12</v>
      </c>
      <c r="F1531" t="s">
        <v>13</v>
      </c>
      <c r="G1531">
        <v>4</v>
      </c>
      <c r="H1531">
        <v>2.5</v>
      </c>
      <c r="I1531" t="s">
        <v>39</v>
      </c>
      <c r="J1531" t="s">
        <v>682</v>
      </c>
      <c r="K1531" s="12">
        <f>Store_Record[[#This Row],[Qty]]*Store_Record[[#This Row],[UnitPriceGBP]]</f>
        <v>10</v>
      </c>
      <c r="L1531" s="5" t="str">
        <f>TEXT(Store_Record[[#This Row],[Date]],"dddd")</f>
        <v>Thursday</v>
      </c>
      <c r="M1531" s="5" t="str">
        <f>TEXT(Store_Record[[#This Row],[Date]],"mmmm")</f>
        <v>April</v>
      </c>
      <c r="N1531" s="5">
        <f>YEAR(Store_Record[[#This Row],[Date]])</f>
        <v>2025</v>
      </c>
      <c r="O1531"/>
    </row>
    <row r="1532" spans="1:15" x14ac:dyDescent="0.35">
      <c r="A1532" t="s">
        <v>2330</v>
      </c>
      <c r="B1532" s="2">
        <v>45764</v>
      </c>
      <c r="C1532" t="s">
        <v>36</v>
      </c>
      <c r="D1532" t="s">
        <v>152</v>
      </c>
      <c r="E1532" t="s">
        <v>12</v>
      </c>
      <c r="F1532" t="s">
        <v>13</v>
      </c>
      <c r="G1532">
        <v>4</v>
      </c>
      <c r="H1532">
        <v>2.5</v>
      </c>
      <c r="I1532" t="s">
        <v>21</v>
      </c>
      <c r="J1532" t="s">
        <v>1314</v>
      </c>
      <c r="K1532" s="12">
        <f>Store_Record[[#This Row],[Qty]]*Store_Record[[#This Row],[UnitPriceGBP]]</f>
        <v>10</v>
      </c>
      <c r="L1532" s="5" t="str">
        <f>TEXT(Store_Record[[#This Row],[Date]],"dddd")</f>
        <v>Thursday</v>
      </c>
      <c r="M1532" s="5" t="str">
        <f>TEXT(Store_Record[[#This Row],[Date]],"mmmm")</f>
        <v>April</v>
      </c>
      <c r="N1532" s="5">
        <f>YEAR(Store_Record[[#This Row],[Date]])</f>
        <v>2025</v>
      </c>
      <c r="O1532"/>
    </row>
    <row r="1533" spans="1:15" x14ac:dyDescent="0.35">
      <c r="A1533" t="s">
        <v>2336</v>
      </c>
      <c r="B1533" s="2">
        <v>45764</v>
      </c>
      <c r="C1533" t="s">
        <v>36</v>
      </c>
      <c r="D1533" t="s">
        <v>47</v>
      </c>
      <c r="E1533" t="s">
        <v>34</v>
      </c>
      <c r="F1533" t="s">
        <v>31</v>
      </c>
      <c r="G1533">
        <v>4</v>
      </c>
      <c r="H1533">
        <v>2.2000000000000002</v>
      </c>
      <c r="I1533" t="s">
        <v>21</v>
      </c>
      <c r="J1533" t="s">
        <v>2337</v>
      </c>
      <c r="K1533" s="12">
        <f>Store_Record[[#This Row],[Qty]]*Store_Record[[#This Row],[UnitPriceGBP]]</f>
        <v>8.8000000000000007</v>
      </c>
      <c r="L1533" s="5" t="str">
        <f>TEXT(Store_Record[[#This Row],[Date]],"dddd")</f>
        <v>Thursday</v>
      </c>
      <c r="M1533" s="5" t="str">
        <f>TEXT(Store_Record[[#This Row],[Date]],"mmmm")</f>
        <v>April</v>
      </c>
      <c r="N1533" s="5">
        <f>YEAR(Store_Record[[#This Row],[Date]])</f>
        <v>2025</v>
      </c>
      <c r="O1533"/>
    </row>
    <row r="1534" spans="1:15" x14ac:dyDescent="0.35">
      <c r="A1534" t="s">
        <v>2334</v>
      </c>
      <c r="B1534" s="2">
        <v>45764</v>
      </c>
      <c r="C1534" t="s">
        <v>10</v>
      </c>
      <c r="D1534" t="s">
        <v>25</v>
      </c>
      <c r="E1534" t="s">
        <v>30</v>
      </c>
      <c r="F1534" t="s">
        <v>31</v>
      </c>
      <c r="G1534">
        <v>3</v>
      </c>
      <c r="H1534">
        <v>2.8</v>
      </c>
      <c r="I1534" t="s">
        <v>21</v>
      </c>
      <c r="J1534" t="s">
        <v>881</v>
      </c>
      <c r="K1534" s="12">
        <f>Store_Record[[#This Row],[Qty]]*Store_Record[[#This Row],[UnitPriceGBP]]</f>
        <v>8.3999999999999986</v>
      </c>
      <c r="L1534" s="5" t="str">
        <f>TEXT(Store_Record[[#This Row],[Date]],"dddd")</f>
        <v>Thursday</v>
      </c>
      <c r="M1534" s="5" t="str">
        <f>TEXT(Store_Record[[#This Row],[Date]],"mmmm")</f>
        <v>April</v>
      </c>
      <c r="N1534" s="5">
        <f>YEAR(Store_Record[[#This Row],[Date]])</f>
        <v>2025</v>
      </c>
      <c r="O1534"/>
    </row>
    <row r="1535" spans="1:15" x14ac:dyDescent="0.35">
      <c r="A1535" t="s">
        <v>2335</v>
      </c>
      <c r="B1535" s="2">
        <v>45764</v>
      </c>
      <c r="C1535" t="s">
        <v>36</v>
      </c>
      <c r="D1535" t="s">
        <v>29</v>
      </c>
      <c r="E1535" t="s">
        <v>30</v>
      </c>
      <c r="F1535" t="s">
        <v>31</v>
      </c>
      <c r="G1535">
        <v>3</v>
      </c>
      <c r="H1535">
        <v>2.8</v>
      </c>
      <c r="I1535" t="s">
        <v>14</v>
      </c>
      <c r="J1535" t="s">
        <v>980</v>
      </c>
      <c r="K1535" s="12">
        <f>Store_Record[[#This Row],[Qty]]*Store_Record[[#This Row],[UnitPriceGBP]]</f>
        <v>8.3999999999999986</v>
      </c>
      <c r="L1535" s="5" t="str">
        <f>TEXT(Store_Record[[#This Row],[Date]],"dddd")</f>
        <v>Thursday</v>
      </c>
      <c r="M1535" s="5" t="str">
        <f>TEXT(Store_Record[[#This Row],[Date]],"mmmm")</f>
        <v>April</v>
      </c>
      <c r="N1535" s="5">
        <f>YEAR(Store_Record[[#This Row],[Date]])</f>
        <v>2025</v>
      </c>
      <c r="O1535"/>
    </row>
    <row r="1536" spans="1:15" x14ac:dyDescent="0.35">
      <c r="A1536" t="s">
        <v>2340</v>
      </c>
      <c r="B1536" s="2">
        <v>45764</v>
      </c>
      <c r="C1536" t="s">
        <v>36</v>
      </c>
      <c r="D1536" t="s">
        <v>11</v>
      </c>
      <c r="E1536" t="s">
        <v>42</v>
      </c>
      <c r="F1536" t="s">
        <v>13</v>
      </c>
      <c r="G1536">
        <v>2</v>
      </c>
      <c r="H1536">
        <v>3.8</v>
      </c>
      <c r="I1536" t="s">
        <v>21</v>
      </c>
      <c r="J1536" t="s">
        <v>782</v>
      </c>
      <c r="K1536" s="12">
        <f>Store_Record[[#This Row],[Qty]]*Store_Record[[#This Row],[UnitPriceGBP]]</f>
        <v>7.6</v>
      </c>
      <c r="L1536" s="5" t="str">
        <f>TEXT(Store_Record[[#This Row],[Date]],"dddd")</f>
        <v>Thursday</v>
      </c>
      <c r="M1536" s="5" t="str">
        <f>TEXT(Store_Record[[#This Row],[Date]],"mmmm")</f>
        <v>April</v>
      </c>
      <c r="N1536" s="5">
        <f>YEAR(Store_Record[[#This Row],[Date]])</f>
        <v>2025</v>
      </c>
      <c r="O1536"/>
    </row>
    <row r="1537" spans="1:15" x14ac:dyDescent="0.35">
      <c r="A1537" t="s">
        <v>2323</v>
      </c>
      <c r="B1537" s="2">
        <v>45764</v>
      </c>
      <c r="C1537" t="s">
        <v>20</v>
      </c>
      <c r="D1537" t="s">
        <v>11</v>
      </c>
      <c r="E1537" t="s">
        <v>34</v>
      </c>
      <c r="F1537" t="s">
        <v>31</v>
      </c>
      <c r="G1537">
        <v>3</v>
      </c>
      <c r="H1537">
        <v>2.2000000000000002</v>
      </c>
      <c r="I1537" t="s">
        <v>21</v>
      </c>
      <c r="J1537" t="s">
        <v>2324</v>
      </c>
      <c r="K1537" s="12">
        <f>Store_Record[[#This Row],[Qty]]*Store_Record[[#This Row],[UnitPriceGBP]]</f>
        <v>6.6000000000000005</v>
      </c>
      <c r="L1537" s="5" t="str">
        <f>TEXT(Store_Record[[#This Row],[Date]],"dddd")</f>
        <v>Thursday</v>
      </c>
      <c r="M1537" s="5" t="str">
        <f>TEXT(Store_Record[[#This Row],[Date]],"mmmm")</f>
        <v>April</v>
      </c>
      <c r="N1537" s="5">
        <f>YEAR(Store_Record[[#This Row],[Date]])</f>
        <v>2025</v>
      </c>
      <c r="O1537"/>
    </row>
    <row r="1538" spans="1:15" x14ac:dyDescent="0.35">
      <c r="A1538" t="s">
        <v>2341</v>
      </c>
      <c r="B1538" s="2">
        <v>45764</v>
      </c>
      <c r="C1538" t="s">
        <v>10</v>
      </c>
      <c r="D1538" t="s">
        <v>29</v>
      </c>
      <c r="E1538" t="s">
        <v>30</v>
      </c>
      <c r="F1538" t="s">
        <v>31</v>
      </c>
      <c r="G1538">
        <v>2</v>
      </c>
      <c r="H1538">
        <v>2.8</v>
      </c>
      <c r="I1538" t="s">
        <v>39</v>
      </c>
      <c r="J1538" t="s">
        <v>1221</v>
      </c>
      <c r="K1538" s="12">
        <f>Store_Record[[#This Row],[Qty]]*Store_Record[[#This Row],[UnitPriceGBP]]</f>
        <v>5.6</v>
      </c>
      <c r="L1538" s="5" t="str">
        <f>TEXT(Store_Record[[#This Row],[Date]],"dddd")</f>
        <v>Thursday</v>
      </c>
      <c r="M1538" s="5" t="str">
        <f>TEXT(Store_Record[[#This Row],[Date]],"mmmm")</f>
        <v>April</v>
      </c>
      <c r="N1538" s="5">
        <f>YEAR(Store_Record[[#This Row],[Date]])</f>
        <v>2025</v>
      </c>
      <c r="O1538"/>
    </row>
    <row r="1539" spans="1:15" x14ac:dyDescent="0.35">
      <c r="A1539" t="s">
        <v>2339</v>
      </c>
      <c r="B1539" s="2">
        <v>45764</v>
      </c>
      <c r="C1539" t="s">
        <v>10</v>
      </c>
      <c r="D1539" t="s">
        <v>47</v>
      </c>
      <c r="E1539" t="s">
        <v>12</v>
      </c>
      <c r="F1539" t="s">
        <v>13</v>
      </c>
      <c r="G1539">
        <v>2</v>
      </c>
      <c r="H1539">
        <v>2.5</v>
      </c>
      <c r="I1539" t="s">
        <v>14</v>
      </c>
      <c r="J1539" t="s">
        <v>1397</v>
      </c>
      <c r="K1539" s="12">
        <f>Store_Record[[#This Row],[Qty]]*Store_Record[[#This Row],[UnitPriceGBP]]</f>
        <v>5</v>
      </c>
      <c r="L1539" s="5" t="str">
        <f>TEXT(Store_Record[[#This Row],[Date]],"dddd")</f>
        <v>Thursday</v>
      </c>
      <c r="M1539" s="5" t="str">
        <f>TEXT(Store_Record[[#This Row],[Date]],"mmmm")</f>
        <v>April</v>
      </c>
      <c r="N1539" s="5">
        <f>YEAR(Store_Record[[#This Row],[Date]])</f>
        <v>2025</v>
      </c>
      <c r="O1539"/>
    </row>
    <row r="1540" spans="1:15" x14ac:dyDescent="0.35">
      <c r="A1540" t="s">
        <v>2333</v>
      </c>
      <c r="B1540" s="2">
        <v>45764</v>
      </c>
      <c r="C1540" t="s">
        <v>10</v>
      </c>
      <c r="D1540" t="s">
        <v>11</v>
      </c>
      <c r="E1540" t="s">
        <v>34</v>
      </c>
      <c r="F1540" t="s">
        <v>31</v>
      </c>
      <c r="G1540">
        <v>2</v>
      </c>
      <c r="H1540">
        <v>2.2000000000000002</v>
      </c>
      <c r="I1540" t="s">
        <v>21</v>
      </c>
      <c r="J1540" t="s">
        <v>1088</v>
      </c>
      <c r="K1540" s="12">
        <f>Store_Record[[#This Row],[Qty]]*Store_Record[[#This Row],[UnitPriceGBP]]</f>
        <v>4.4000000000000004</v>
      </c>
      <c r="L1540" s="5" t="str">
        <f>TEXT(Store_Record[[#This Row],[Date]],"dddd")</f>
        <v>Thursday</v>
      </c>
      <c r="M1540" s="5" t="str">
        <f>TEXT(Store_Record[[#This Row],[Date]],"mmmm")</f>
        <v>April</v>
      </c>
      <c r="N1540" s="5">
        <f>YEAR(Store_Record[[#This Row],[Date]])</f>
        <v>2025</v>
      </c>
      <c r="O1540"/>
    </row>
    <row r="1541" spans="1:15" x14ac:dyDescent="0.35">
      <c r="A1541" t="s">
        <v>2321</v>
      </c>
      <c r="B1541" s="2">
        <v>45764</v>
      </c>
      <c r="C1541" t="s">
        <v>24</v>
      </c>
      <c r="D1541" t="s">
        <v>29</v>
      </c>
      <c r="E1541" t="s">
        <v>42</v>
      </c>
      <c r="F1541" t="s">
        <v>13</v>
      </c>
      <c r="G1541">
        <v>1</v>
      </c>
      <c r="H1541">
        <v>3.8</v>
      </c>
      <c r="I1541" t="s">
        <v>39</v>
      </c>
      <c r="J1541" t="s">
        <v>2322</v>
      </c>
      <c r="K1541" s="12">
        <f>Store_Record[[#This Row],[Qty]]*Store_Record[[#This Row],[UnitPriceGBP]]</f>
        <v>3.8</v>
      </c>
      <c r="L1541" s="5" t="str">
        <f>TEXT(Store_Record[[#This Row],[Date]],"dddd")</f>
        <v>Thursday</v>
      </c>
      <c r="M1541" s="5" t="str">
        <f>TEXT(Store_Record[[#This Row],[Date]],"mmmm")</f>
        <v>April</v>
      </c>
      <c r="N1541" s="5">
        <f>YEAR(Store_Record[[#This Row],[Date]])</f>
        <v>2025</v>
      </c>
      <c r="O1541"/>
    </row>
    <row r="1542" spans="1:15" x14ac:dyDescent="0.35">
      <c r="A1542" t="s">
        <v>2328</v>
      </c>
      <c r="B1542" s="2">
        <v>45764</v>
      </c>
      <c r="C1542" t="s">
        <v>20</v>
      </c>
      <c r="D1542" t="s">
        <v>38</v>
      </c>
      <c r="E1542" t="s">
        <v>30</v>
      </c>
      <c r="F1542" t="s">
        <v>31</v>
      </c>
      <c r="G1542">
        <v>1</v>
      </c>
      <c r="H1542">
        <v>2.8</v>
      </c>
      <c r="I1542" t="s">
        <v>21</v>
      </c>
      <c r="J1542" t="s">
        <v>799</v>
      </c>
      <c r="K1542" s="12">
        <f>Store_Record[[#This Row],[Qty]]*Store_Record[[#This Row],[UnitPriceGBP]]</f>
        <v>2.8</v>
      </c>
      <c r="L1542" s="5" t="str">
        <f>TEXT(Store_Record[[#This Row],[Date]],"dddd")</f>
        <v>Thursday</v>
      </c>
      <c r="M1542" s="5" t="str">
        <f>TEXT(Store_Record[[#This Row],[Date]],"mmmm")</f>
        <v>April</v>
      </c>
      <c r="N1542" s="5">
        <f>YEAR(Store_Record[[#This Row],[Date]])</f>
        <v>2025</v>
      </c>
      <c r="O1542"/>
    </row>
    <row r="1543" spans="1:15" x14ac:dyDescent="0.35">
      <c r="A1543" t="s">
        <v>2345</v>
      </c>
      <c r="B1543" s="2">
        <v>45765</v>
      </c>
      <c r="C1543" t="s">
        <v>36</v>
      </c>
      <c r="D1543" t="s">
        <v>11</v>
      </c>
      <c r="E1543" t="s">
        <v>26</v>
      </c>
      <c r="F1543" t="s">
        <v>13</v>
      </c>
      <c r="G1543">
        <v>5</v>
      </c>
      <c r="H1543">
        <v>3.5</v>
      </c>
      <c r="I1543" t="s">
        <v>14</v>
      </c>
      <c r="J1543" t="s">
        <v>947</v>
      </c>
      <c r="K1543" s="12">
        <f>Store_Record[[#This Row],[Qty]]*Store_Record[[#This Row],[UnitPriceGBP]]</f>
        <v>17.5</v>
      </c>
      <c r="L1543" s="5" t="str">
        <f>TEXT(Store_Record[[#This Row],[Date]],"dddd")</f>
        <v>Friday</v>
      </c>
      <c r="M1543" s="5" t="str">
        <f>TEXT(Store_Record[[#This Row],[Date]],"mmmm")</f>
        <v>April</v>
      </c>
      <c r="N1543" s="5">
        <f>YEAR(Store_Record[[#This Row],[Date]])</f>
        <v>2025</v>
      </c>
      <c r="O1543"/>
    </row>
    <row r="1544" spans="1:15" x14ac:dyDescent="0.35">
      <c r="A1544" t="s">
        <v>2346</v>
      </c>
      <c r="B1544" s="2">
        <v>45765</v>
      </c>
      <c r="C1544" t="s">
        <v>36</v>
      </c>
      <c r="D1544" t="s">
        <v>152</v>
      </c>
      <c r="E1544" t="s">
        <v>12</v>
      </c>
      <c r="F1544" t="s">
        <v>13</v>
      </c>
      <c r="G1544">
        <v>5</v>
      </c>
      <c r="H1544">
        <v>2.5</v>
      </c>
      <c r="I1544" t="s">
        <v>14</v>
      </c>
      <c r="J1544" t="s">
        <v>1524</v>
      </c>
      <c r="K1544" s="12">
        <f>Store_Record[[#This Row],[Qty]]*Store_Record[[#This Row],[UnitPriceGBP]]</f>
        <v>12.5</v>
      </c>
      <c r="L1544" s="5" t="str">
        <f>TEXT(Store_Record[[#This Row],[Date]],"dddd")</f>
        <v>Friday</v>
      </c>
      <c r="M1544" s="5" t="str">
        <f>TEXT(Store_Record[[#This Row],[Date]],"mmmm")</f>
        <v>April</v>
      </c>
      <c r="N1544" s="5">
        <f>YEAR(Store_Record[[#This Row],[Date]])</f>
        <v>2025</v>
      </c>
      <c r="O1544"/>
    </row>
    <row r="1545" spans="1:15" x14ac:dyDescent="0.35">
      <c r="A1545" t="s">
        <v>2351</v>
      </c>
      <c r="B1545" s="2">
        <v>45765</v>
      </c>
      <c r="C1545" t="s">
        <v>10</v>
      </c>
      <c r="D1545" t="s">
        <v>25</v>
      </c>
      <c r="E1545" t="s">
        <v>12</v>
      </c>
      <c r="F1545" t="s">
        <v>13</v>
      </c>
      <c r="G1545">
        <v>4</v>
      </c>
      <c r="H1545">
        <v>2.5</v>
      </c>
      <c r="I1545" t="s">
        <v>14</v>
      </c>
      <c r="J1545" t="s">
        <v>2352</v>
      </c>
      <c r="K1545" s="12">
        <f>Store_Record[[#This Row],[Qty]]*Store_Record[[#This Row],[UnitPriceGBP]]</f>
        <v>10</v>
      </c>
      <c r="L1545" s="5" t="str">
        <f>TEXT(Store_Record[[#This Row],[Date]],"dddd")</f>
        <v>Friday</v>
      </c>
      <c r="M1545" s="5" t="str">
        <f>TEXT(Store_Record[[#This Row],[Date]],"mmmm")</f>
        <v>April</v>
      </c>
      <c r="N1545" s="5">
        <f>YEAR(Store_Record[[#This Row],[Date]])</f>
        <v>2025</v>
      </c>
      <c r="O1545"/>
    </row>
    <row r="1546" spans="1:15" x14ac:dyDescent="0.35">
      <c r="A1546" t="s">
        <v>2353</v>
      </c>
      <c r="B1546" s="2">
        <v>45765</v>
      </c>
      <c r="C1546" t="s">
        <v>24</v>
      </c>
      <c r="D1546" t="s">
        <v>47</v>
      </c>
      <c r="E1546" t="s">
        <v>34</v>
      </c>
      <c r="F1546" t="s">
        <v>31</v>
      </c>
      <c r="G1546">
        <v>4</v>
      </c>
      <c r="H1546">
        <v>2.2000000000000002</v>
      </c>
      <c r="I1546" t="s">
        <v>14</v>
      </c>
      <c r="J1546" t="s">
        <v>212</v>
      </c>
      <c r="K1546" s="12">
        <f>Store_Record[[#This Row],[Qty]]*Store_Record[[#This Row],[UnitPriceGBP]]</f>
        <v>8.8000000000000007</v>
      </c>
      <c r="L1546" s="5" t="str">
        <f>TEXT(Store_Record[[#This Row],[Date]],"dddd")</f>
        <v>Friday</v>
      </c>
      <c r="M1546" s="5" t="str">
        <f>TEXT(Store_Record[[#This Row],[Date]],"mmmm")</f>
        <v>April</v>
      </c>
      <c r="N1546" s="5">
        <f>YEAR(Store_Record[[#This Row],[Date]])</f>
        <v>2025</v>
      </c>
      <c r="O1546"/>
    </row>
    <row r="1547" spans="1:15" x14ac:dyDescent="0.35">
      <c r="A1547" t="s">
        <v>2347</v>
      </c>
      <c r="B1547" s="2">
        <v>45765</v>
      </c>
      <c r="C1547" t="s">
        <v>10</v>
      </c>
      <c r="D1547" t="s">
        <v>38</v>
      </c>
      <c r="E1547" t="s">
        <v>34</v>
      </c>
      <c r="F1547" t="s">
        <v>31</v>
      </c>
      <c r="G1547">
        <v>3</v>
      </c>
      <c r="H1547">
        <v>2.2000000000000002</v>
      </c>
      <c r="I1547" t="s">
        <v>14</v>
      </c>
      <c r="J1547" t="s">
        <v>684</v>
      </c>
      <c r="K1547" s="12">
        <f>Store_Record[[#This Row],[Qty]]*Store_Record[[#This Row],[UnitPriceGBP]]</f>
        <v>6.6000000000000005</v>
      </c>
      <c r="L1547" s="5" t="str">
        <f>TEXT(Store_Record[[#This Row],[Date]],"dddd")</f>
        <v>Friday</v>
      </c>
      <c r="M1547" s="5" t="str">
        <f>TEXT(Store_Record[[#This Row],[Date]],"mmmm")</f>
        <v>April</v>
      </c>
      <c r="N1547" s="5">
        <f>YEAR(Store_Record[[#This Row],[Date]])</f>
        <v>2025</v>
      </c>
      <c r="O1547"/>
    </row>
    <row r="1548" spans="1:15" x14ac:dyDescent="0.35">
      <c r="A1548" t="s">
        <v>2350</v>
      </c>
      <c r="B1548" s="2">
        <v>45765</v>
      </c>
      <c r="C1548" t="s">
        <v>10</v>
      </c>
      <c r="D1548" t="s">
        <v>25</v>
      </c>
      <c r="E1548" t="s">
        <v>30</v>
      </c>
      <c r="F1548" t="s">
        <v>31</v>
      </c>
      <c r="G1548">
        <v>2</v>
      </c>
      <c r="H1548">
        <v>2.8</v>
      </c>
      <c r="I1548" t="s">
        <v>39</v>
      </c>
      <c r="J1548" t="s">
        <v>569</v>
      </c>
      <c r="K1548" s="12">
        <f>Store_Record[[#This Row],[Qty]]*Store_Record[[#This Row],[UnitPriceGBP]]</f>
        <v>5.6</v>
      </c>
      <c r="L1548" s="5" t="str">
        <f>TEXT(Store_Record[[#This Row],[Date]],"dddd")</f>
        <v>Friday</v>
      </c>
      <c r="M1548" s="5" t="str">
        <f>TEXT(Store_Record[[#This Row],[Date]],"mmmm")</f>
        <v>April</v>
      </c>
      <c r="N1548" s="5">
        <f>YEAR(Store_Record[[#This Row],[Date]])</f>
        <v>2025</v>
      </c>
      <c r="O1548"/>
    </row>
    <row r="1549" spans="1:15" x14ac:dyDescent="0.35">
      <c r="A1549" t="s">
        <v>2343</v>
      </c>
      <c r="B1549" s="2">
        <v>45765</v>
      </c>
      <c r="C1549" t="s">
        <v>20</v>
      </c>
      <c r="D1549" t="s">
        <v>25</v>
      </c>
      <c r="E1549" t="s">
        <v>12</v>
      </c>
      <c r="F1549" t="s">
        <v>13</v>
      </c>
      <c r="G1549">
        <v>2</v>
      </c>
      <c r="H1549">
        <v>2.5</v>
      </c>
      <c r="I1549" t="s">
        <v>39</v>
      </c>
      <c r="J1549" t="s">
        <v>834</v>
      </c>
      <c r="K1549" s="12">
        <f>Store_Record[[#This Row],[Qty]]*Store_Record[[#This Row],[UnitPriceGBP]]</f>
        <v>5</v>
      </c>
      <c r="L1549" s="5" t="str">
        <f>TEXT(Store_Record[[#This Row],[Date]],"dddd")</f>
        <v>Friday</v>
      </c>
      <c r="M1549" s="5" t="str">
        <f>TEXT(Store_Record[[#This Row],[Date]],"mmmm")</f>
        <v>April</v>
      </c>
      <c r="N1549" s="5">
        <f>YEAR(Store_Record[[#This Row],[Date]])</f>
        <v>2025</v>
      </c>
      <c r="O1549"/>
    </row>
    <row r="1550" spans="1:15" x14ac:dyDescent="0.35">
      <c r="A1550" t="s">
        <v>2348</v>
      </c>
      <c r="B1550" s="2">
        <v>45765</v>
      </c>
      <c r="C1550" t="s">
        <v>24</v>
      </c>
      <c r="D1550" t="s">
        <v>11</v>
      </c>
      <c r="E1550" t="s">
        <v>34</v>
      </c>
      <c r="F1550" t="s">
        <v>31</v>
      </c>
      <c r="G1550">
        <v>2</v>
      </c>
      <c r="H1550">
        <v>2.2000000000000002</v>
      </c>
      <c r="I1550" t="s">
        <v>21</v>
      </c>
      <c r="J1550" t="s">
        <v>1262</v>
      </c>
      <c r="K1550" s="12">
        <f>Store_Record[[#This Row],[Qty]]*Store_Record[[#This Row],[UnitPriceGBP]]</f>
        <v>4.4000000000000004</v>
      </c>
      <c r="L1550" s="5" t="str">
        <f>TEXT(Store_Record[[#This Row],[Date]],"dddd")</f>
        <v>Friday</v>
      </c>
      <c r="M1550" s="5" t="str">
        <f>TEXT(Store_Record[[#This Row],[Date]],"mmmm")</f>
        <v>April</v>
      </c>
      <c r="N1550" s="5">
        <f>YEAR(Store_Record[[#This Row],[Date]])</f>
        <v>2025</v>
      </c>
      <c r="O1550"/>
    </row>
    <row r="1551" spans="1:15" x14ac:dyDescent="0.35">
      <c r="A1551" t="s">
        <v>2349</v>
      </c>
      <c r="B1551" s="2">
        <v>45765</v>
      </c>
      <c r="C1551" t="s">
        <v>20</v>
      </c>
      <c r="D1551" t="s">
        <v>11</v>
      </c>
      <c r="E1551" t="s">
        <v>42</v>
      </c>
      <c r="F1551" t="s">
        <v>13</v>
      </c>
      <c r="G1551">
        <v>1</v>
      </c>
      <c r="H1551">
        <v>3.8</v>
      </c>
      <c r="I1551" t="s">
        <v>14</v>
      </c>
      <c r="J1551" t="s">
        <v>536</v>
      </c>
      <c r="K1551" s="12">
        <f>Store_Record[[#This Row],[Qty]]*Store_Record[[#This Row],[UnitPriceGBP]]</f>
        <v>3.8</v>
      </c>
      <c r="L1551" s="5" t="str">
        <f>TEXT(Store_Record[[#This Row],[Date]],"dddd")</f>
        <v>Friday</v>
      </c>
      <c r="M1551" s="5" t="str">
        <f>TEXT(Store_Record[[#This Row],[Date]],"mmmm")</f>
        <v>April</v>
      </c>
      <c r="N1551" s="5">
        <f>YEAR(Store_Record[[#This Row],[Date]])</f>
        <v>2025</v>
      </c>
      <c r="O1551"/>
    </row>
    <row r="1552" spans="1:15" x14ac:dyDescent="0.35">
      <c r="A1552" t="s">
        <v>2354</v>
      </c>
      <c r="B1552" s="2">
        <v>45765</v>
      </c>
      <c r="C1552" t="s">
        <v>10</v>
      </c>
      <c r="D1552" t="s">
        <v>25</v>
      </c>
      <c r="E1552" t="s">
        <v>30</v>
      </c>
      <c r="F1552" t="s">
        <v>31</v>
      </c>
      <c r="G1552">
        <v>1</v>
      </c>
      <c r="H1552">
        <v>2.8</v>
      </c>
      <c r="I1552" t="s">
        <v>21</v>
      </c>
      <c r="J1552" t="s">
        <v>1017</v>
      </c>
      <c r="K1552" s="12">
        <f>Store_Record[[#This Row],[Qty]]*Store_Record[[#This Row],[UnitPriceGBP]]</f>
        <v>2.8</v>
      </c>
      <c r="L1552" s="5" t="str">
        <f>TEXT(Store_Record[[#This Row],[Date]],"dddd")</f>
        <v>Friday</v>
      </c>
      <c r="M1552" s="5" t="str">
        <f>TEXT(Store_Record[[#This Row],[Date]],"mmmm")</f>
        <v>April</v>
      </c>
      <c r="N1552" s="5">
        <f>YEAR(Store_Record[[#This Row],[Date]])</f>
        <v>2025</v>
      </c>
      <c r="O1552"/>
    </row>
    <row r="1553" spans="1:15" x14ac:dyDescent="0.35">
      <c r="A1553" t="s">
        <v>2344</v>
      </c>
      <c r="B1553" s="2">
        <v>45765</v>
      </c>
      <c r="C1553" t="s">
        <v>36</v>
      </c>
      <c r="D1553" t="s">
        <v>38</v>
      </c>
      <c r="E1553" t="s">
        <v>12</v>
      </c>
      <c r="F1553" t="s">
        <v>13</v>
      </c>
      <c r="G1553">
        <v>1</v>
      </c>
      <c r="H1553">
        <v>2.5</v>
      </c>
      <c r="I1553" t="s">
        <v>39</v>
      </c>
      <c r="J1553" t="s">
        <v>759</v>
      </c>
      <c r="K1553" s="12">
        <f>Store_Record[[#This Row],[Qty]]*Store_Record[[#This Row],[UnitPriceGBP]]</f>
        <v>2.5</v>
      </c>
      <c r="L1553" s="5" t="str">
        <f>TEXT(Store_Record[[#This Row],[Date]],"dddd")</f>
        <v>Friday</v>
      </c>
      <c r="M1553" s="5" t="str">
        <f>TEXT(Store_Record[[#This Row],[Date]],"mmmm")</f>
        <v>April</v>
      </c>
      <c r="N1553" s="5">
        <f>YEAR(Store_Record[[#This Row],[Date]])</f>
        <v>2025</v>
      </c>
      <c r="O1553"/>
    </row>
    <row r="1554" spans="1:15" x14ac:dyDescent="0.35">
      <c r="A1554" t="s">
        <v>2368</v>
      </c>
      <c r="B1554" s="2">
        <v>45766</v>
      </c>
      <c r="C1554" t="s">
        <v>36</v>
      </c>
      <c r="D1554" t="s">
        <v>47</v>
      </c>
      <c r="E1554" t="s">
        <v>42</v>
      </c>
      <c r="F1554" t="s">
        <v>13</v>
      </c>
      <c r="G1554">
        <v>5</v>
      </c>
      <c r="H1554">
        <v>3.8</v>
      </c>
      <c r="I1554" t="s">
        <v>39</v>
      </c>
      <c r="J1554" t="s">
        <v>1714</v>
      </c>
      <c r="K1554" s="12">
        <f>Store_Record[[#This Row],[Qty]]*Store_Record[[#This Row],[UnitPriceGBP]]</f>
        <v>19</v>
      </c>
      <c r="L1554" s="5" t="str">
        <f>TEXT(Store_Record[[#This Row],[Date]],"dddd")</f>
        <v>Saturday</v>
      </c>
      <c r="M1554" s="5" t="str">
        <f>TEXT(Store_Record[[#This Row],[Date]],"mmmm")</f>
        <v>April</v>
      </c>
      <c r="N1554" s="5">
        <f>YEAR(Store_Record[[#This Row],[Date]])</f>
        <v>2025</v>
      </c>
      <c r="O1554"/>
    </row>
    <row r="1555" spans="1:15" x14ac:dyDescent="0.35">
      <c r="A1555" t="s">
        <v>2366</v>
      </c>
      <c r="B1555" s="2">
        <v>45766</v>
      </c>
      <c r="C1555" t="s">
        <v>20</v>
      </c>
      <c r="D1555" t="s">
        <v>25</v>
      </c>
      <c r="E1555" t="s">
        <v>26</v>
      </c>
      <c r="F1555" t="s">
        <v>13</v>
      </c>
      <c r="G1555">
        <v>4</v>
      </c>
      <c r="H1555">
        <v>3.5</v>
      </c>
      <c r="I1555" t="s">
        <v>39</v>
      </c>
      <c r="J1555" t="s">
        <v>493</v>
      </c>
      <c r="K1555" s="12">
        <f>Store_Record[[#This Row],[Qty]]*Store_Record[[#This Row],[UnitPriceGBP]]</f>
        <v>14</v>
      </c>
      <c r="L1555" s="5" t="str">
        <f>TEXT(Store_Record[[#This Row],[Date]],"dddd")</f>
        <v>Saturday</v>
      </c>
      <c r="M1555" s="5" t="str">
        <f>TEXT(Store_Record[[#This Row],[Date]],"mmmm")</f>
        <v>April</v>
      </c>
      <c r="N1555" s="5">
        <f>YEAR(Store_Record[[#This Row],[Date]])</f>
        <v>2025</v>
      </c>
      <c r="O1555"/>
    </row>
    <row r="1556" spans="1:15" x14ac:dyDescent="0.35">
      <c r="A1556" t="s">
        <v>2360</v>
      </c>
      <c r="B1556" s="2">
        <v>45766</v>
      </c>
      <c r="C1556" t="s">
        <v>10</v>
      </c>
      <c r="D1556" t="s">
        <v>47</v>
      </c>
      <c r="E1556" t="s">
        <v>12</v>
      </c>
      <c r="F1556" t="s">
        <v>13</v>
      </c>
      <c r="G1556">
        <v>5</v>
      </c>
      <c r="H1556">
        <v>2.5</v>
      </c>
      <c r="I1556" t="s">
        <v>39</v>
      </c>
      <c r="J1556" t="s">
        <v>2361</v>
      </c>
      <c r="K1556" s="12">
        <f>Store_Record[[#This Row],[Qty]]*Store_Record[[#This Row],[UnitPriceGBP]]</f>
        <v>12.5</v>
      </c>
      <c r="L1556" s="5" t="str">
        <f>TEXT(Store_Record[[#This Row],[Date]],"dddd")</f>
        <v>Saturday</v>
      </c>
      <c r="M1556" s="5" t="str">
        <f>TEXT(Store_Record[[#This Row],[Date]],"mmmm")</f>
        <v>April</v>
      </c>
      <c r="N1556" s="5">
        <f>YEAR(Store_Record[[#This Row],[Date]])</f>
        <v>2025</v>
      </c>
      <c r="O1556"/>
    </row>
    <row r="1557" spans="1:15" x14ac:dyDescent="0.35">
      <c r="A1557" t="s">
        <v>2367</v>
      </c>
      <c r="B1557" s="2">
        <v>45766</v>
      </c>
      <c r="C1557" t="s">
        <v>10</v>
      </c>
      <c r="D1557" t="s">
        <v>38</v>
      </c>
      <c r="E1557" t="s">
        <v>34</v>
      </c>
      <c r="F1557" t="s">
        <v>31</v>
      </c>
      <c r="G1557">
        <v>5</v>
      </c>
      <c r="H1557">
        <v>2.2000000000000002</v>
      </c>
      <c r="I1557" t="s">
        <v>14</v>
      </c>
      <c r="J1557" t="s">
        <v>310</v>
      </c>
      <c r="K1557" s="12">
        <f>Store_Record[[#This Row],[Qty]]*Store_Record[[#This Row],[UnitPriceGBP]]</f>
        <v>11</v>
      </c>
      <c r="L1557" s="5" t="str">
        <f>TEXT(Store_Record[[#This Row],[Date]],"dddd")</f>
        <v>Saturday</v>
      </c>
      <c r="M1557" s="5" t="str">
        <f>TEXT(Store_Record[[#This Row],[Date]],"mmmm")</f>
        <v>April</v>
      </c>
      <c r="N1557" s="5">
        <f>YEAR(Store_Record[[#This Row],[Date]])</f>
        <v>2025</v>
      </c>
      <c r="O1557"/>
    </row>
    <row r="1558" spans="1:15" x14ac:dyDescent="0.35">
      <c r="A1558" t="s">
        <v>2363</v>
      </c>
      <c r="B1558" s="2">
        <v>45766</v>
      </c>
      <c r="C1558" t="s">
        <v>24</v>
      </c>
      <c r="D1558" t="s">
        <v>29</v>
      </c>
      <c r="E1558" t="s">
        <v>26</v>
      </c>
      <c r="F1558" t="s">
        <v>13</v>
      </c>
      <c r="G1558">
        <v>3</v>
      </c>
      <c r="H1558">
        <v>3.5</v>
      </c>
      <c r="I1558" t="s">
        <v>21</v>
      </c>
      <c r="J1558" t="s">
        <v>1636</v>
      </c>
      <c r="K1558" s="12">
        <f>Store_Record[[#This Row],[Qty]]*Store_Record[[#This Row],[UnitPriceGBP]]</f>
        <v>10.5</v>
      </c>
      <c r="L1558" s="5" t="str">
        <f>TEXT(Store_Record[[#This Row],[Date]],"dddd")</f>
        <v>Saturday</v>
      </c>
      <c r="M1558" s="5" t="str">
        <f>TEXT(Store_Record[[#This Row],[Date]],"mmmm")</f>
        <v>April</v>
      </c>
      <c r="N1558" s="5">
        <f>YEAR(Store_Record[[#This Row],[Date]])</f>
        <v>2025</v>
      </c>
      <c r="O1558"/>
    </row>
    <row r="1559" spans="1:15" x14ac:dyDescent="0.35">
      <c r="A1559" t="s">
        <v>2356</v>
      </c>
      <c r="B1559" s="2">
        <v>45766</v>
      </c>
      <c r="C1559" t="s">
        <v>24</v>
      </c>
      <c r="D1559" t="s">
        <v>29</v>
      </c>
      <c r="E1559" t="s">
        <v>34</v>
      </c>
      <c r="F1559" t="s">
        <v>31</v>
      </c>
      <c r="G1559">
        <v>4</v>
      </c>
      <c r="H1559">
        <v>2.2000000000000002</v>
      </c>
      <c r="I1559" t="s">
        <v>21</v>
      </c>
      <c r="J1559" t="s">
        <v>1550</v>
      </c>
      <c r="K1559" s="12">
        <f>Store_Record[[#This Row],[Qty]]*Store_Record[[#This Row],[UnitPriceGBP]]</f>
        <v>8.8000000000000007</v>
      </c>
      <c r="L1559" s="5" t="str">
        <f>TEXT(Store_Record[[#This Row],[Date]],"dddd")</f>
        <v>Saturday</v>
      </c>
      <c r="M1559" s="5" t="str">
        <f>TEXT(Store_Record[[#This Row],[Date]],"mmmm")</f>
        <v>April</v>
      </c>
      <c r="N1559" s="5">
        <f>YEAR(Store_Record[[#This Row],[Date]])</f>
        <v>2025</v>
      </c>
      <c r="O1559"/>
    </row>
    <row r="1560" spans="1:15" x14ac:dyDescent="0.35">
      <c r="A1560" t="s">
        <v>2357</v>
      </c>
      <c r="B1560" s="2">
        <v>45766</v>
      </c>
      <c r="C1560" t="s">
        <v>24</v>
      </c>
      <c r="D1560" t="s">
        <v>47</v>
      </c>
      <c r="E1560" t="s">
        <v>30</v>
      </c>
      <c r="F1560" t="s">
        <v>31</v>
      </c>
      <c r="G1560">
        <v>3</v>
      </c>
      <c r="H1560">
        <v>2.8</v>
      </c>
      <c r="I1560" t="s">
        <v>39</v>
      </c>
      <c r="J1560" t="s">
        <v>474</v>
      </c>
      <c r="K1560" s="12">
        <f>Store_Record[[#This Row],[Qty]]*Store_Record[[#This Row],[UnitPriceGBP]]</f>
        <v>8.3999999999999986</v>
      </c>
      <c r="L1560" s="5" t="str">
        <f>TEXT(Store_Record[[#This Row],[Date]],"dddd")</f>
        <v>Saturday</v>
      </c>
      <c r="M1560" s="5" t="str">
        <f>TEXT(Store_Record[[#This Row],[Date]],"mmmm")</f>
        <v>April</v>
      </c>
      <c r="N1560" s="5">
        <f>YEAR(Store_Record[[#This Row],[Date]])</f>
        <v>2025</v>
      </c>
      <c r="O1560"/>
    </row>
    <row r="1561" spans="1:15" x14ac:dyDescent="0.35">
      <c r="A1561" t="s">
        <v>2362</v>
      </c>
      <c r="B1561" s="2">
        <v>45766</v>
      </c>
      <c r="C1561" t="s">
        <v>10</v>
      </c>
      <c r="D1561" t="s">
        <v>47</v>
      </c>
      <c r="E1561" t="s">
        <v>12</v>
      </c>
      <c r="F1561" t="s">
        <v>13</v>
      </c>
      <c r="G1561">
        <v>3</v>
      </c>
      <c r="H1561">
        <v>2.5</v>
      </c>
      <c r="I1561" t="s">
        <v>21</v>
      </c>
      <c r="J1561" t="s">
        <v>1833</v>
      </c>
      <c r="K1561" s="12">
        <f>Store_Record[[#This Row],[Qty]]*Store_Record[[#This Row],[UnitPriceGBP]]</f>
        <v>7.5</v>
      </c>
      <c r="L1561" s="5" t="str">
        <f>TEXT(Store_Record[[#This Row],[Date]],"dddd")</f>
        <v>Saturday</v>
      </c>
      <c r="M1561" s="5" t="str">
        <f>TEXT(Store_Record[[#This Row],[Date]],"mmmm")</f>
        <v>April</v>
      </c>
      <c r="N1561" s="5">
        <f>YEAR(Store_Record[[#This Row],[Date]])</f>
        <v>2025</v>
      </c>
      <c r="O1561"/>
    </row>
    <row r="1562" spans="1:15" x14ac:dyDescent="0.35">
      <c r="A1562" t="s">
        <v>2364</v>
      </c>
      <c r="B1562" s="2">
        <v>45766</v>
      </c>
      <c r="C1562" t="s">
        <v>20</v>
      </c>
      <c r="D1562" t="s">
        <v>11</v>
      </c>
      <c r="E1562" t="s">
        <v>34</v>
      </c>
      <c r="F1562" t="s">
        <v>31</v>
      </c>
      <c r="G1562">
        <v>3</v>
      </c>
      <c r="H1562">
        <v>2.2000000000000002</v>
      </c>
      <c r="I1562" t="s">
        <v>21</v>
      </c>
      <c r="J1562" t="s">
        <v>2365</v>
      </c>
      <c r="K1562" s="12">
        <f>Store_Record[[#This Row],[Qty]]*Store_Record[[#This Row],[UnitPriceGBP]]</f>
        <v>6.6000000000000005</v>
      </c>
      <c r="L1562" s="5" t="str">
        <f>TEXT(Store_Record[[#This Row],[Date]],"dddd")</f>
        <v>Saturday</v>
      </c>
      <c r="M1562" s="5" t="str">
        <f>TEXT(Store_Record[[#This Row],[Date]],"mmmm")</f>
        <v>April</v>
      </c>
      <c r="N1562" s="5">
        <f>YEAR(Store_Record[[#This Row],[Date]])</f>
        <v>2025</v>
      </c>
      <c r="O1562"/>
    </row>
    <row r="1563" spans="1:15" x14ac:dyDescent="0.35">
      <c r="A1563" t="s">
        <v>2359</v>
      </c>
      <c r="B1563" s="2">
        <v>45766</v>
      </c>
      <c r="C1563" t="s">
        <v>10</v>
      </c>
      <c r="D1563" t="s">
        <v>29</v>
      </c>
      <c r="E1563" t="s">
        <v>34</v>
      </c>
      <c r="F1563" t="s">
        <v>31</v>
      </c>
      <c r="G1563">
        <v>2</v>
      </c>
      <c r="H1563">
        <v>2.2000000000000002</v>
      </c>
      <c r="I1563" t="s">
        <v>21</v>
      </c>
      <c r="J1563" t="s">
        <v>1128</v>
      </c>
      <c r="K1563" s="12">
        <f>Store_Record[[#This Row],[Qty]]*Store_Record[[#This Row],[UnitPriceGBP]]</f>
        <v>4.4000000000000004</v>
      </c>
      <c r="L1563" s="5" t="str">
        <f>TEXT(Store_Record[[#This Row],[Date]],"dddd")</f>
        <v>Saturday</v>
      </c>
      <c r="M1563" s="5" t="str">
        <f>TEXT(Store_Record[[#This Row],[Date]],"mmmm")</f>
        <v>April</v>
      </c>
      <c r="N1563" s="5">
        <f>YEAR(Store_Record[[#This Row],[Date]])</f>
        <v>2025</v>
      </c>
      <c r="O1563"/>
    </row>
    <row r="1564" spans="1:15" x14ac:dyDescent="0.35">
      <c r="A1564" t="s">
        <v>2355</v>
      </c>
      <c r="B1564" s="2">
        <v>45766</v>
      </c>
      <c r="C1564" t="s">
        <v>20</v>
      </c>
      <c r="D1564" t="s">
        <v>47</v>
      </c>
      <c r="E1564" t="s">
        <v>26</v>
      </c>
      <c r="F1564" t="s">
        <v>13</v>
      </c>
      <c r="G1564">
        <v>1</v>
      </c>
      <c r="H1564">
        <v>3.5</v>
      </c>
      <c r="I1564" t="s">
        <v>39</v>
      </c>
      <c r="J1564" t="s">
        <v>1406</v>
      </c>
      <c r="K1564" s="12">
        <f>Store_Record[[#This Row],[Qty]]*Store_Record[[#This Row],[UnitPriceGBP]]</f>
        <v>3.5</v>
      </c>
      <c r="L1564" s="5" t="str">
        <f>TEXT(Store_Record[[#This Row],[Date]],"dddd")</f>
        <v>Saturday</v>
      </c>
      <c r="M1564" s="5" t="str">
        <f>TEXT(Store_Record[[#This Row],[Date]],"mmmm")</f>
        <v>April</v>
      </c>
      <c r="N1564" s="5">
        <f>YEAR(Store_Record[[#This Row],[Date]])</f>
        <v>2025</v>
      </c>
      <c r="O1564"/>
    </row>
    <row r="1565" spans="1:15" x14ac:dyDescent="0.35">
      <c r="A1565" t="s">
        <v>2358</v>
      </c>
      <c r="B1565" s="2">
        <v>45766</v>
      </c>
      <c r="C1565" t="s">
        <v>10</v>
      </c>
      <c r="D1565" t="s">
        <v>47</v>
      </c>
      <c r="E1565" t="s">
        <v>30</v>
      </c>
      <c r="F1565" t="s">
        <v>31</v>
      </c>
      <c r="G1565">
        <v>1</v>
      </c>
      <c r="H1565">
        <v>2.8</v>
      </c>
      <c r="I1565" t="s">
        <v>39</v>
      </c>
      <c r="J1565" t="s">
        <v>696</v>
      </c>
      <c r="K1565" s="12">
        <f>Store_Record[[#This Row],[Qty]]*Store_Record[[#This Row],[UnitPriceGBP]]</f>
        <v>2.8</v>
      </c>
      <c r="L1565" s="5" t="str">
        <f>TEXT(Store_Record[[#This Row],[Date]],"dddd")</f>
        <v>Saturday</v>
      </c>
      <c r="M1565" s="5" t="str">
        <f>TEXT(Store_Record[[#This Row],[Date]],"mmmm")</f>
        <v>April</v>
      </c>
      <c r="N1565" s="5">
        <f>YEAR(Store_Record[[#This Row],[Date]])</f>
        <v>2025</v>
      </c>
      <c r="O1565"/>
    </row>
    <row r="1566" spans="1:15" x14ac:dyDescent="0.35">
      <c r="A1566" t="s">
        <v>2369</v>
      </c>
      <c r="B1566" s="2">
        <v>45766</v>
      </c>
      <c r="C1566" t="s">
        <v>36</v>
      </c>
      <c r="D1566" t="s">
        <v>11</v>
      </c>
      <c r="E1566" t="s">
        <v>34</v>
      </c>
      <c r="F1566" t="s">
        <v>31</v>
      </c>
      <c r="G1566">
        <v>1</v>
      </c>
      <c r="H1566">
        <v>2.2000000000000002</v>
      </c>
      <c r="I1566" t="s">
        <v>14</v>
      </c>
      <c r="J1566" t="s">
        <v>852</v>
      </c>
      <c r="K1566" s="12">
        <f>Store_Record[[#This Row],[Qty]]*Store_Record[[#This Row],[UnitPriceGBP]]</f>
        <v>2.2000000000000002</v>
      </c>
      <c r="L1566" s="5" t="str">
        <f>TEXT(Store_Record[[#This Row],[Date]],"dddd")</f>
        <v>Saturday</v>
      </c>
      <c r="M1566" s="5" t="str">
        <f>TEXT(Store_Record[[#This Row],[Date]],"mmmm")</f>
        <v>April</v>
      </c>
      <c r="N1566" s="5">
        <f>YEAR(Store_Record[[#This Row],[Date]])</f>
        <v>2025</v>
      </c>
      <c r="O1566"/>
    </row>
    <row r="1567" spans="1:15" x14ac:dyDescent="0.35">
      <c r="A1567" t="s">
        <v>2380</v>
      </c>
      <c r="B1567" s="2">
        <v>45767</v>
      </c>
      <c r="C1567" t="s">
        <v>10</v>
      </c>
      <c r="D1567" t="s">
        <v>29</v>
      </c>
      <c r="E1567" t="s">
        <v>42</v>
      </c>
      <c r="F1567" t="s">
        <v>13</v>
      </c>
      <c r="G1567">
        <v>5</v>
      </c>
      <c r="H1567">
        <v>3.8</v>
      </c>
      <c r="I1567" t="s">
        <v>14</v>
      </c>
      <c r="J1567" t="s">
        <v>906</v>
      </c>
      <c r="K1567" s="12">
        <f>Store_Record[[#This Row],[Qty]]*Store_Record[[#This Row],[UnitPriceGBP]]</f>
        <v>19</v>
      </c>
      <c r="L1567" s="5" t="str">
        <f>TEXT(Store_Record[[#This Row],[Date]],"dddd")</f>
        <v>Sunday</v>
      </c>
      <c r="M1567" s="5" t="str">
        <f>TEXT(Store_Record[[#This Row],[Date]],"mmmm")</f>
        <v>April</v>
      </c>
      <c r="N1567" s="5">
        <f>YEAR(Store_Record[[#This Row],[Date]])</f>
        <v>2025</v>
      </c>
      <c r="O1567"/>
    </row>
    <row r="1568" spans="1:15" x14ac:dyDescent="0.35">
      <c r="A1568" t="s">
        <v>2376</v>
      </c>
      <c r="B1568" s="2">
        <v>45767</v>
      </c>
      <c r="C1568" t="s">
        <v>20</v>
      </c>
      <c r="D1568" t="s">
        <v>11</v>
      </c>
      <c r="E1568" t="s">
        <v>30</v>
      </c>
      <c r="F1568" t="s">
        <v>31</v>
      </c>
      <c r="G1568">
        <v>5</v>
      </c>
      <c r="H1568">
        <v>2.8</v>
      </c>
      <c r="I1568" t="s">
        <v>39</v>
      </c>
      <c r="J1568" t="s">
        <v>2184</v>
      </c>
      <c r="K1568" s="12">
        <f>Store_Record[[#This Row],[Qty]]*Store_Record[[#This Row],[UnitPriceGBP]]</f>
        <v>14</v>
      </c>
      <c r="L1568" s="5" t="str">
        <f>TEXT(Store_Record[[#This Row],[Date]],"dddd")</f>
        <v>Sunday</v>
      </c>
      <c r="M1568" s="5" t="str">
        <f>TEXT(Store_Record[[#This Row],[Date]],"mmmm")</f>
        <v>April</v>
      </c>
      <c r="N1568" s="5">
        <f>YEAR(Store_Record[[#This Row],[Date]])</f>
        <v>2025</v>
      </c>
      <c r="O1568"/>
    </row>
    <row r="1569" spans="1:15" x14ac:dyDescent="0.35">
      <c r="A1569" t="s">
        <v>2379</v>
      </c>
      <c r="B1569" s="2">
        <v>45767</v>
      </c>
      <c r="C1569" t="s">
        <v>10</v>
      </c>
      <c r="D1569" t="s">
        <v>29</v>
      </c>
      <c r="E1569" t="s">
        <v>12</v>
      </c>
      <c r="F1569" t="s">
        <v>13</v>
      </c>
      <c r="G1569">
        <v>5</v>
      </c>
      <c r="H1569">
        <v>2.5</v>
      </c>
      <c r="I1569" t="s">
        <v>39</v>
      </c>
      <c r="J1569" t="s">
        <v>1007</v>
      </c>
      <c r="K1569" s="12">
        <f>Store_Record[[#This Row],[Qty]]*Store_Record[[#This Row],[UnitPriceGBP]]</f>
        <v>12.5</v>
      </c>
      <c r="L1569" s="5" t="str">
        <f>TEXT(Store_Record[[#This Row],[Date]],"dddd")</f>
        <v>Sunday</v>
      </c>
      <c r="M1569" s="5" t="str">
        <f>TEXT(Store_Record[[#This Row],[Date]],"mmmm")</f>
        <v>April</v>
      </c>
      <c r="N1569" s="5">
        <f>YEAR(Store_Record[[#This Row],[Date]])</f>
        <v>2025</v>
      </c>
      <c r="O1569"/>
    </row>
    <row r="1570" spans="1:15" x14ac:dyDescent="0.35">
      <c r="A1570" t="s">
        <v>2385</v>
      </c>
      <c r="B1570" s="2">
        <v>45767</v>
      </c>
      <c r="C1570" t="s">
        <v>20</v>
      </c>
      <c r="D1570" t="s">
        <v>47</v>
      </c>
      <c r="E1570" t="s">
        <v>42</v>
      </c>
      <c r="F1570" t="s">
        <v>13</v>
      </c>
      <c r="G1570">
        <v>3</v>
      </c>
      <c r="H1570">
        <v>3.8</v>
      </c>
      <c r="I1570" t="s">
        <v>14</v>
      </c>
      <c r="J1570" t="s">
        <v>1828</v>
      </c>
      <c r="K1570" s="12">
        <f>Store_Record[[#This Row],[Qty]]*Store_Record[[#This Row],[UnitPriceGBP]]</f>
        <v>11.399999999999999</v>
      </c>
      <c r="L1570" s="5" t="str">
        <f>TEXT(Store_Record[[#This Row],[Date]],"dddd")</f>
        <v>Sunday</v>
      </c>
      <c r="M1570" s="5" t="str">
        <f>TEXT(Store_Record[[#This Row],[Date]],"mmmm")</f>
        <v>April</v>
      </c>
      <c r="N1570" s="5">
        <f>YEAR(Store_Record[[#This Row],[Date]])</f>
        <v>2025</v>
      </c>
      <c r="O1570"/>
    </row>
    <row r="1571" spans="1:15" x14ac:dyDescent="0.35">
      <c r="A1571" t="s">
        <v>2375</v>
      </c>
      <c r="B1571" s="2">
        <v>45767</v>
      </c>
      <c r="C1571" t="s">
        <v>36</v>
      </c>
      <c r="D1571" t="s">
        <v>47</v>
      </c>
      <c r="E1571" t="s">
        <v>30</v>
      </c>
      <c r="F1571" t="s">
        <v>31</v>
      </c>
      <c r="G1571">
        <v>4</v>
      </c>
      <c r="H1571">
        <v>2.8</v>
      </c>
      <c r="I1571" t="s">
        <v>21</v>
      </c>
      <c r="J1571" t="s">
        <v>925</v>
      </c>
      <c r="K1571" s="12">
        <f>Store_Record[[#This Row],[Qty]]*Store_Record[[#This Row],[UnitPriceGBP]]</f>
        <v>11.2</v>
      </c>
      <c r="L1571" s="5" t="str">
        <f>TEXT(Store_Record[[#This Row],[Date]],"dddd")</f>
        <v>Sunday</v>
      </c>
      <c r="M1571" s="5" t="str">
        <f>TEXT(Store_Record[[#This Row],[Date]],"mmmm")</f>
        <v>April</v>
      </c>
      <c r="N1571" s="5">
        <f>YEAR(Store_Record[[#This Row],[Date]])</f>
        <v>2025</v>
      </c>
      <c r="O1571"/>
    </row>
    <row r="1572" spans="1:15" x14ac:dyDescent="0.35">
      <c r="A1572" t="s">
        <v>2378</v>
      </c>
      <c r="B1572" s="2">
        <v>45767</v>
      </c>
      <c r="C1572" t="s">
        <v>20</v>
      </c>
      <c r="D1572" t="s">
        <v>11</v>
      </c>
      <c r="E1572" t="s">
        <v>30</v>
      </c>
      <c r="F1572" t="s">
        <v>31</v>
      </c>
      <c r="G1572">
        <v>4</v>
      </c>
      <c r="H1572">
        <v>2.8</v>
      </c>
      <c r="I1572" t="s">
        <v>21</v>
      </c>
      <c r="J1572" t="s">
        <v>1657</v>
      </c>
      <c r="K1572" s="12">
        <f>Store_Record[[#This Row],[Qty]]*Store_Record[[#This Row],[UnitPriceGBP]]</f>
        <v>11.2</v>
      </c>
      <c r="L1572" s="5" t="str">
        <f>TEXT(Store_Record[[#This Row],[Date]],"dddd")</f>
        <v>Sunday</v>
      </c>
      <c r="M1572" s="5" t="str">
        <f>TEXT(Store_Record[[#This Row],[Date]],"mmmm")</f>
        <v>April</v>
      </c>
      <c r="N1572" s="5">
        <f>YEAR(Store_Record[[#This Row],[Date]])</f>
        <v>2025</v>
      </c>
      <c r="O1572"/>
    </row>
    <row r="1573" spans="1:15" x14ac:dyDescent="0.35">
      <c r="A1573" t="s">
        <v>2383</v>
      </c>
      <c r="B1573" s="2">
        <v>45767</v>
      </c>
      <c r="C1573" t="s">
        <v>10</v>
      </c>
      <c r="D1573" t="s">
        <v>11</v>
      </c>
      <c r="E1573" t="s">
        <v>34</v>
      </c>
      <c r="F1573" t="s">
        <v>31</v>
      </c>
      <c r="G1573">
        <v>5</v>
      </c>
      <c r="H1573">
        <v>2.2000000000000002</v>
      </c>
      <c r="I1573" t="s">
        <v>14</v>
      </c>
      <c r="J1573" t="s">
        <v>1411</v>
      </c>
      <c r="K1573" s="12">
        <f>Store_Record[[#This Row],[Qty]]*Store_Record[[#This Row],[UnitPriceGBP]]</f>
        <v>11</v>
      </c>
      <c r="L1573" s="5" t="str">
        <f>TEXT(Store_Record[[#This Row],[Date]],"dddd")</f>
        <v>Sunday</v>
      </c>
      <c r="M1573" s="5" t="str">
        <f>TEXT(Store_Record[[#This Row],[Date]],"mmmm")</f>
        <v>April</v>
      </c>
      <c r="N1573" s="5">
        <f>YEAR(Store_Record[[#This Row],[Date]])</f>
        <v>2025</v>
      </c>
      <c r="O1573"/>
    </row>
    <row r="1574" spans="1:15" x14ac:dyDescent="0.35">
      <c r="A1574" t="s">
        <v>2377</v>
      </c>
      <c r="B1574" s="2">
        <v>45767</v>
      </c>
      <c r="C1574" t="s">
        <v>10</v>
      </c>
      <c r="D1574" t="s">
        <v>11</v>
      </c>
      <c r="E1574" t="s">
        <v>26</v>
      </c>
      <c r="F1574" t="s">
        <v>13</v>
      </c>
      <c r="G1574">
        <v>3</v>
      </c>
      <c r="H1574">
        <v>3.5</v>
      </c>
      <c r="I1574" t="s">
        <v>21</v>
      </c>
      <c r="J1574" t="s">
        <v>155</v>
      </c>
      <c r="K1574" s="12">
        <f>Store_Record[[#This Row],[Qty]]*Store_Record[[#This Row],[UnitPriceGBP]]</f>
        <v>10.5</v>
      </c>
      <c r="L1574" s="5" t="str">
        <f>TEXT(Store_Record[[#This Row],[Date]],"dddd")</f>
        <v>Sunday</v>
      </c>
      <c r="M1574" s="5" t="str">
        <f>TEXT(Store_Record[[#This Row],[Date]],"mmmm")</f>
        <v>April</v>
      </c>
      <c r="N1574" s="5">
        <f>YEAR(Store_Record[[#This Row],[Date]])</f>
        <v>2025</v>
      </c>
      <c r="O1574"/>
    </row>
    <row r="1575" spans="1:15" x14ac:dyDescent="0.35">
      <c r="A1575" t="s">
        <v>2373</v>
      </c>
      <c r="B1575" s="2">
        <v>45767</v>
      </c>
      <c r="C1575" t="s">
        <v>10</v>
      </c>
      <c r="D1575" t="s">
        <v>29</v>
      </c>
      <c r="E1575" t="s">
        <v>26</v>
      </c>
      <c r="F1575" t="s">
        <v>13</v>
      </c>
      <c r="G1575">
        <v>2</v>
      </c>
      <c r="H1575">
        <v>3.5</v>
      </c>
      <c r="I1575" t="s">
        <v>14</v>
      </c>
      <c r="J1575" t="s">
        <v>2374</v>
      </c>
      <c r="K1575" s="12">
        <f>Store_Record[[#This Row],[Qty]]*Store_Record[[#This Row],[UnitPriceGBP]]</f>
        <v>7</v>
      </c>
      <c r="L1575" s="5" t="str">
        <f>TEXT(Store_Record[[#This Row],[Date]],"dddd")</f>
        <v>Sunday</v>
      </c>
      <c r="M1575" s="5" t="str">
        <f>TEXT(Store_Record[[#This Row],[Date]],"mmmm")</f>
        <v>April</v>
      </c>
      <c r="N1575" s="5">
        <f>YEAR(Store_Record[[#This Row],[Date]])</f>
        <v>2025</v>
      </c>
      <c r="O1575"/>
    </row>
    <row r="1576" spans="1:15" x14ac:dyDescent="0.35">
      <c r="A1576" t="s">
        <v>2384</v>
      </c>
      <c r="B1576" s="2">
        <v>45767</v>
      </c>
      <c r="C1576" t="s">
        <v>20</v>
      </c>
      <c r="D1576" t="s">
        <v>29</v>
      </c>
      <c r="E1576" t="s">
        <v>34</v>
      </c>
      <c r="F1576" t="s">
        <v>31</v>
      </c>
      <c r="G1576">
        <v>3</v>
      </c>
      <c r="H1576">
        <v>2.2000000000000002</v>
      </c>
      <c r="I1576" t="s">
        <v>14</v>
      </c>
      <c r="J1576" t="s">
        <v>594</v>
      </c>
      <c r="K1576" s="12">
        <f>Store_Record[[#This Row],[Qty]]*Store_Record[[#This Row],[UnitPriceGBP]]</f>
        <v>6.6000000000000005</v>
      </c>
      <c r="L1576" s="5" t="str">
        <f>TEXT(Store_Record[[#This Row],[Date]],"dddd")</f>
        <v>Sunday</v>
      </c>
      <c r="M1576" s="5" t="str">
        <f>TEXT(Store_Record[[#This Row],[Date]],"mmmm")</f>
        <v>April</v>
      </c>
      <c r="N1576" s="5">
        <f>YEAR(Store_Record[[#This Row],[Date]])</f>
        <v>2025</v>
      </c>
      <c r="O1576"/>
    </row>
    <row r="1577" spans="1:15" x14ac:dyDescent="0.35">
      <c r="A1577" t="s">
        <v>2381</v>
      </c>
      <c r="B1577" s="2">
        <v>45767</v>
      </c>
      <c r="C1577" t="s">
        <v>24</v>
      </c>
      <c r="D1577" t="s">
        <v>38</v>
      </c>
      <c r="E1577" t="s">
        <v>30</v>
      </c>
      <c r="F1577" t="s">
        <v>31</v>
      </c>
      <c r="G1577">
        <v>2</v>
      </c>
      <c r="H1577">
        <v>2.8</v>
      </c>
      <c r="I1577" t="s">
        <v>21</v>
      </c>
      <c r="J1577" t="s">
        <v>2382</v>
      </c>
      <c r="K1577" s="12">
        <f>Store_Record[[#This Row],[Qty]]*Store_Record[[#This Row],[UnitPriceGBP]]</f>
        <v>5.6</v>
      </c>
      <c r="L1577" s="5" t="str">
        <f>TEXT(Store_Record[[#This Row],[Date]],"dddd")</f>
        <v>Sunday</v>
      </c>
      <c r="M1577" s="5" t="str">
        <f>TEXT(Store_Record[[#This Row],[Date]],"mmmm")</f>
        <v>April</v>
      </c>
      <c r="N1577" s="5">
        <f>YEAR(Store_Record[[#This Row],[Date]])</f>
        <v>2025</v>
      </c>
      <c r="O1577"/>
    </row>
    <row r="1578" spans="1:15" x14ac:dyDescent="0.35">
      <c r="A1578" t="s">
        <v>2372</v>
      </c>
      <c r="B1578" s="2">
        <v>45767</v>
      </c>
      <c r="C1578" t="s">
        <v>20</v>
      </c>
      <c r="D1578" t="s">
        <v>29</v>
      </c>
      <c r="E1578" t="s">
        <v>34</v>
      </c>
      <c r="F1578" t="s">
        <v>31</v>
      </c>
      <c r="G1578">
        <v>2</v>
      </c>
      <c r="H1578">
        <v>2.2000000000000002</v>
      </c>
      <c r="I1578" t="s">
        <v>14</v>
      </c>
      <c r="J1578" t="s">
        <v>1765</v>
      </c>
      <c r="K1578" s="12">
        <f>Store_Record[[#This Row],[Qty]]*Store_Record[[#This Row],[UnitPriceGBP]]</f>
        <v>4.4000000000000004</v>
      </c>
      <c r="L1578" s="5" t="str">
        <f>TEXT(Store_Record[[#This Row],[Date]],"dddd")</f>
        <v>Sunday</v>
      </c>
      <c r="M1578" s="5" t="str">
        <f>TEXT(Store_Record[[#This Row],[Date]],"mmmm")</f>
        <v>April</v>
      </c>
      <c r="N1578" s="5">
        <f>YEAR(Store_Record[[#This Row],[Date]])</f>
        <v>2025</v>
      </c>
      <c r="O1578"/>
    </row>
    <row r="1579" spans="1:15" x14ac:dyDescent="0.35">
      <c r="A1579" t="s">
        <v>2370</v>
      </c>
      <c r="B1579" s="2">
        <v>45767</v>
      </c>
      <c r="C1579" t="s">
        <v>20</v>
      </c>
      <c r="D1579" t="s">
        <v>47</v>
      </c>
      <c r="E1579" t="s">
        <v>12</v>
      </c>
      <c r="F1579" t="s">
        <v>13</v>
      </c>
      <c r="G1579">
        <v>1</v>
      </c>
      <c r="H1579">
        <v>2.5</v>
      </c>
      <c r="I1579" t="s">
        <v>21</v>
      </c>
      <c r="J1579" t="s">
        <v>2371</v>
      </c>
      <c r="K1579" s="12">
        <f>Store_Record[[#This Row],[Qty]]*Store_Record[[#This Row],[UnitPriceGBP]]</f>
        <v>2.5</v>
      </c>
      <c r="L1579" s="5" t="str">
        <f>TEXT(Store_Record[[#This Row],[Date]],"dddd")</f>
        <v>Sunday</v>
      </c>
      <c r="M1579" s="5" t="str">
        <f>TEXT(Store_Record[[#This Row],[Date]],"mmmm")</f>
        <v>April</v>
      </c>
      <c r="N1579" s="5">
        <f>YEAR(Store_Record[[#This Row],[Date]])</f>
        <v>2025</v>
      </c>
      <c r="O1579"/>
    </row>
    <row r="1580" spans="1:15" x14ac:dyDescent="0.35">
      <c r="A1580" t="s">
        <v>2391</v>
      </c>
      <c r="B1580" s="2">
        <v>45768</v>
      </c>
      <c r="C1580" t="s">
        <v>36</v>
      </c>
      <c r="D1580" t="s">
        <v>29</v>
      </c>
      <c r="E1580" t="s">
        <v>42</v>
      </c>
      <c r="F1580" t="s">
        <v>13</v>
      </c>
      <c r="G1580">
        <v>5</v>
      </c>
      <c r="H1580">
        <v>3.8</v>
      </c>
      <c r="I1580" t="s">
        <v>21</v>
      </c>
      <c r="J1580" t="s">
        <v>969</v>
      </c>
      <c r="K1580" s="12">
        <f>Store_Record[[#This Row],[Qty]]*Store_Record[[#This Row],[UnitPriceGBP]]</f>
        <v>19</v>
      </c>
      <c r="L1580" s="5" t="str">
        <f>TEXT(Store_Record[[#This Row],[Date]],"dddd")</f>
        <v>Monday</v>
      </c>
      <c r="M1580" s="5" t="str">
        <f>TEXT(Store_Record[[#This Row],[Date]],"mmmm")</f>
        <v>April</v>
      </c>
      <c r="N1580" s="5">
        <f>YEAR(Store_Record[[#This Row],[Date]])</f>
        <v>2025</v>
      </c>
      <c r="O1580"/>
    </row>
    <row r="1581" spans="1:15" x14ac:dyDescent="0.35">
      <c r="A1581" t="s">
        <v>2396</v>
      </c>
      <c r="B1581" s="2">
        <v>45768</v>
      </c>
      <c r="C1581" t="s">
        <v>24</v>
      </c>
      <c r="D1581" t="s">
        <v>47</v>
      </c>
      <c r="E1581" t="s">
        <v>42</v>
      </c>
      <c r="F1581" t="s">
        <v>13</v>
      </c>
      <c r="G1581">
        <v>5</v>
      </c>
      <c r="H1581">
        <v>3.8</v>
      </c>
      <c r="I1581" t="s">
        <v>14</v>
      </c>
      <c r="J1581" t="s">
        <v>894</v>
      </c>
      <c r="K1581" s="12">
        <f>Store_Record[[#This Row],[Qty]]*Store_Record[[#This Row],[UnitPriceGBP]]</f>
        <v>19</v>
      </c>
      <c r="L1581" s="5" t="str">
        <f>TEXT(Store_Record[[#This Row],[Date]],"dddd")</f>
        <v>Monday</v>
      </c>
      <c r="M1581" s="5" t="str">
        <f>TEXT(Store_Record[[#This Row],[Date]],"mmmm")</f>
        <v>April</v>
      </c>
      <c r="N1581" s="5">
        <f>YEAR(Store_Record[[#This Row],[Date]])</f>
        <v>2025</v>
      </c>
      <c r="O1581"/>
    </row>
    <row r="1582" spans="1:15" x14ac:dyDescent="0.35">
      <c r="A1582" t="s">
        <v>2388</v>
      </c>
      <c r="B1582" s="2">
        <v>45768</v>
      </c>
      <c r="C1582" t="s">
        <v>24</v>
      </c>
      <c r="D1582" t="s">
        <v>29</v>
      </c>
      <c r="E1582" t="s">
        <v>26</v>
      </c>
      <c r="F1582" t="s">
        <v>13</v>
      </c>
      <c r="G1582">
        <v>5</v>
      </c>
      <c r="H1582">
        <v>3.5</v>
      </c>
      <c r="I1582" t="s">
        <v>14</v>
      </c>
      <c r="J1582" t="s">
        <v>927</v>
      </c>
      <c r="K1582" s="12">
        <f>Store_Record[[#This Row],[Qty]]*Store_Record[[#This Row],[UnitPriceGBP]]</f>
        <v>17.5</v>
      </c>
      <c r="L1582" s="5" t="str">
        <f>TEXT(Store_Record[[#This Row],[Date]],"dddd")</f>
        <v>Monday</v>
      </c>
      <c r="M1582" s="5" t="str">
        <f>TEXT(Store_Record[[#This Row],[Date]],"mmmm")</f>
        <v>April</v>
      </c>
      <c r="N1582" s="5">
        <f>YEAR(Store_Record[[#This Row],[Date]])</f>
        <v>2025</v>
      </c>
      <c r="O1582"/>
    </row>
    <row r="1583" spans="1:15" x14ac:dyDescent="0.35">
      <c r="A1583" t="s">
        <v>2386</v>
      </c>
      <c r="B1583" s="2">
        <v>45768</v>
      </c>
      <c r="C1583" t="s">
        <v>24</v>
      </c>
      <c r="D1583" t="s">
        <v>38</v>
      </c>
      <c r="E1583" t="s">
        <v>42</v>
      </c>
      <c r="F1583" t="s">
        <v>13</v>
      </c>
      <c r="G1583">
        <v>4</v>
      </c>
      <c r="H1583">
        <v>3.8</v>
      </c>
      <c r="I1583" t="s">
        <v>21</v>
      </c>
      <c r="J1583" t="s">
        <v>2387</v>
      </c>
      <c r="K1583" s="12">
        <f>Store_Record[[#This Row],[Qty]]*Store_Record[[#This Row],[UnitPriceGBP]]</f>
        <v>15.2</v>
      </c>
      <c r="L1583" s="5" t="str">
        <f>TEXT(Store_Record[[#This Row],[Date]],"dddd")</f>
        <v>Monday</v>
      </c>
      <c r="M1583" s="5" t="str">
        <f>TEXT(Store_Record[[#This Row],[Date]],"mmmm")</f>
        <v>April</v>
      </c>
      <c r="N1583" s="5">
        <f>YEAR(Store_Record[[#This Row],[Date]])</f>
        <v>2025</v>
      </c>
      <c r="O1583"/>
    </row>
    <row r="1584" spans="1:15" x14ac:dyDescent="0.35">
      <c r="A1584" t="s">
        <v>2389</v>
      </c>
      <c r="B1584" s="2">
        <v>45768</v>
      </c>
      <c r="C1584" t="s">
        <v>20</v>
      </c>
      <c r="D1584" t="s">
        <v>47</v>
      </c>
      <c r="E1584" t="s">
        <v>30</v>
      </c>
      <c r="F1584" t="s">
        <v>31</v>
      </c>
      <c r="G1584">
        <v>5</v>
      </c>
      <c r="H1584">
        <v>2.8</v>
      </c>
      <c r="I1584" t="s">
        <v>21</v>
      </c>
      <c r="J1584" t="s">
        <v>1083</v>
      </c>
      <c r="K1584" s="12">
        <f>Store_Record[[#This Row],[Qty]]*Store_Record[[#This Row],[UnitPriceGBP]]</f>
        <v>14</v>
      </c>
      <c r="L1584" s="5" t="str">
        <f>TEXT(Store_Record[[#This Row],[Date]],"dddd")</f>
        <v>Monday</v>
      </c>
      <c r="M1584" s="5" t="str">
        <f>TEXT(Store_Record[[#This Row],[Date]],"mmmm")</f>
        <v>April</v>
      </c>
      <c r="N1584" s="5">
        <f>YEAR(Store_Record[[#This Row],[Date]])</f>
        <v>2025</v>
      </c>
      <c r="O1584"/>
    </row>
    <row r="1585" spans="1:15" x14ac:dyDescent="0.35">
      <c r="A1585" t="s">
        <v>2393</v>
      </c>
      <c r="B1585" s="2">
        <v>45768</v>
      </c>
      <c r="C1585" t="s">
        <v>24</v>
      </c>
      <c r="D1585" t="s">
        <v>25</v>
      </c>
      <c r="E1585" t="s">
        <v>30</v>
      </c>
      <c r="F1585" t="s">
        <v>31</v>
      </c>
      <c r="G1585">
        <v>5</v>
      </c>
      <c r="H1585">
        <v>2.8</v>
      </c>
      <c r="I1585" t="s">
        <v>21</v>
      </c>
      <c r="J1585" t="s">
        <v>185</v>
      </c>
      <c r="K1585" s="12">
        <f>Store_Record[[#This Row],[Qty]]*Store_Record[[#This Row],[UnitPriceGBP]]</f>
        <v>14</v>
      </c>
      <c r="L1585" s="5" t="str">
        <f>TEXT(Store_Record[[#This Row],[Date]],"dddd")</f>
        <v>Monday</v>
      </c>
      <c r="M1585" s="5" t="str">
        <f>TEXT(Store_Record[[#This Row],[Date]],"mmmm")</f>
        <v>April</v>
      </c>
      <c r="N1585" s="5">
        <f>YEAR(Store_Record[[#This Row],[Date]])</f>
        <v>2025</v>
      </c>
      <c r="O1585"/>
    </row>
    <row r="1586" spans="1:15" x14ac:dyDescent="0.35">
      <c r="A1586" t="s">
        <v>2394</v>
      </c>
      <c r="B1586" s="2">
        <v>45768</v>
      </c>
      <c r="C1586" t="s">
        <v>36</v>
      </c>
      <c r="D1586" t="s">
        <v>38</v>
      </c>
      <c r="E1586" t="s">
        <v>12</v>
      </c>
      <c r="F1586" t="s">
        <v>13</v>
      </c>
      <c r="G1586">
        <v>5</v>
      </c>
      <c r="H1586">
        <v>2.5</v>
      </c>
      <c r="I1586" t="s">
        <v>14</v>
      </c>
      <c r="J1586" t="s">
        <v>1042</v>
      </c>
      <c r="K1586" s="12">
        <f>Store_Record[[#This Row],[Qty]]*Store_Record[[#This Row],[UnitPriceGBP]]</f>
        <v>12.5</v>
      </c>
      <c r="L1586" s="5" t="str">
        <f>TEXT(Store_Record[[#This Row],[Date]],"dddd")</f>
        <v>Monday</v>
      </c>
      <c r="M1586" s="5" t="str">
        <f>TEXT(Store_Record[[#This Row],[Date]],"mmmm")</f>
        <v>April</v>
      </c>
      <c r="N1586" s="5">
        <f>YEAR(Store_Record[[#This Row],[Date]])</f>
        <v>2025</v>
      </c>
      <c r="O1586"/>
    </row>
    <row r="1587" spans="1:15" x14ac:dyDescent="0.35">
      <c r="A1587" t="s">
        <v>2392</v>
      </c>
      <c r="B1587" s="2">
        <v>45768</v>
      </c>
      <c r="C1587" t="s">
        <v>36</v>
      </c>
      <c r="D1587" t="s">
        <v>11</v>
      </c>
      <c r="E1587" t="s">
        <v>42</v>
      </c>
      <c r="F1587" t="s">
        <v>13</v>
      </c>
      <c r="G1587">
        <v>2</v>
      </c>
      <c r="H1587">
        <v>3.8</v>
      </c>
      <c r="I1587" t="s">
        <v>39</v>
      </c>
      <c r="J1587" t="s">
        <v>2013</v>
      </c>
      <c r="K1587" s="12">
        <f>Store_Record[[#This Row],[Qty]]*Store_Record[[#This Row],[UnitPriceGBP]]</f>
        <v>7.6</v>
      </c>
      <c r="L1587" s="5" t="str">
        <f>TEXT(Store_Record[[#This Row],[Date]],"dddd")</f>
        <v>Monday</v>
      </c>
      <c r="M1587" s="5" t="str">
        <f>TEXT(Store_Record[[#This Row],[Date]],"mmmm")</f>
        <v>April</v>
      </c>
      <c r="N1587" s="5">
        <f>YEAR(Store_Record[[#This Row],[Date]])</f>
        <v>2025</v>
      </c>
      <c r="O1587"/>
    </row>
    <row r="1588" spans="1:15" x14ac:dyDescent="0.35">
      <c r="A1588" t="s">
        <v>2390</v>
      </c>
      <c r="B1588" s="2">
        <v>45768</v>
      </c>
      <c r="C1588" t="s">
        <v>20</v>
      </c>
      <c r="D1588" t="s">
        <v>11</v>
      </c>
      <c r="E1588" t="s">
        <v>34</v>
      </c>
      <c r="F1588" t="s">
        <v>31</v>
      </c>
      <c r="G1588">
        <v>2</v>
      </c>
      <c r="H1588">
        <v>2.2000000000000002</v>
      </c>
      <c r="I1588" t="s">
        <v>21</v>
      </c>
      <c r="J1588" t="s">
        <v>300</v>
      </c>
      <c r="K1588" s="12">
        <f>Store_Record[[#This Row],[Qty]]*Store_Record[[#This Row],[UnitPriceGBP]]</f>
        <v>4.4000000000000004</v>
      </c>
      <c r="L1588" s="5" t="str">
        <f>TEXT(Store_Record[[#This Row],[Date]],"dddd")</f>
        <v>Monday</v>
      </c>
      <c r="M1588" s="5" t="str">
        <f>TEXT(Store_Record[[#This Row],[Date]],"mmmm")</f>
        <v>April</v>
      </c>
      <c r="N1588" s="5">
        <f>YEAR(Store_Record[[#This Row],[Date]])</f>
        <v>2025</v>
      </c>
      <c r="O1588"/>
    </row>
    <row r="1589" spans="1:15" x14ac:dyDescent="0.35">
      <c r="A1589" t="s">
        <v>2395</v>
      </c>
      <c r="B1589" s="2">
        <v>45768</v>
      </c>
      <c r="C1589" t="s">
        <v>36</v>
      </c>
      <c r="D1589" t="s">
        <v>47</v>
      </c>
      <c r="E1589" t="s">
        <v>34</v>
      </c>
      <c r="F1589" t="s">
        <v>31</v>
      </c>
      <c r="G1589">
        <v>2</v>
      </c>
      <c r="H1589">
        <v>2.2000000000000002</v>
      </c>
      <c r="I1589" t="s">
        <v>39</v>
      </c>
      <c r="J1589" t="s">
        <v>1509</v>
      </c>
      <c r="K1589" s="12">
        <f>Store_Record[[#This Row],[Qty]]*Store_Record[[#This Row],[UnitPriceGBP]]</f>
        <v>4.4000000000000004</v>
      </c>
      <c r="L1589" s="5" t="str">
        <f>TEXT(Store_Record[[#This Row],[Date]],"dddd")</f>
        <v>Monday</v>
      </c>
      <c r="M1589" s="5" t="str">
        <f>TEXT(Store_Record[[#This Row],[Date]],"mmmm")</f>
        <v>April</v>
      </c>
      <c r="N1589" s="5">
        <f>YEAR(Store_Record[[#This Row],[Date]])</f>
        <v>2025</v>
      </c>
      <c r="O1589"/>
    </row>
    <row r="1590" spans="1:15" x14ac:dyDescent="0.35">
      <c r="A1590" t="s">
        <v>2400</v>
      </c>
      <c r="B1590" s="2">
        <v>45769</v>
      </c>
      <c r="C1590" t="s">
        <v>24</v>
      </c>
      <c r="D1590" t="s">
        <v>25</v>
      </c>
      <c r="E1590" t="s">
        <v>26</v>
      </c>
      <c r="F1590" t="s">
        <v>13</v>
      </c>
      <c r="G1590">
        <v>4</v>
      </c>
      <c r="H1590">
        <v>3.5</v>
      </c>
      <c r="I1590" t="s">
        <v>39</v>
      </c>
      <c r="J1590" t="s">
        <v>2401</v>
      </c>
      <c r="K1590" s="12">
        <f>Store_Record[[#This Row],[Qty]]*Store_Record[[#This Row],[UnitPriceGBP]]</f>
        <v>14</v>
      </c>
      <c r="L1590" s="5" t="str">
        <f>TEXT(Store_Record[[#This Row],[Date]],"dddd")</f>
        <v>Tuesday</v>
      </c>
      <c r="M1590" s="5" t="str">
        <f>TEXT(Store_Record[[#This Row],[Date]],"mmmm")</f>
        <v>April</v>
      </c>
      <c r="N1590" s="5">
        <f>YEAR(Store_Record[[#This Row],[Date]])</f>
        <v>2025</v>
      </c>
      <c r="O1590"/>
    </row>
    <row r="1591" spans="1:15" x14ac:dyDescent="0.35">
      <c r="A1591" t="s">
        <v>2409</v>
      </c>
      <c r="B1591" s="2">
        <v>45769</v>
      </c>
      <c r="C1591" t="s">
        <v>20</v>
      </c>
      <c r="D1591" t="s">
        <v>38</v>
      </c>
      <c r="E1591" t="s">
        <v>26</v>
      </c>
      <c r="F1591" t="s">
        <v>13</v>
      </c>
      <c r="G1591">
        <v>4</v>
      </c>
      <c r="H1591">
        <v>3.5</v>
      </c>
      <c r="I1591" t="s">
        <v>39</v>
      </c>
      <c r="J1591" t="s">
        <v>797</v>
      </c>
      <c r="K1591" s="12">
        <f>Store_Record[[#This Row],[Qty]]*Store_Record[[#This Row],[UnitPriceGBP]]</f>
        <v>14</v>
      </c>
      <c r="L1591" s="5" t="str">
        <f>TEXT(Store_Record[[#This Row],[Date]],"dddd")</f>
        <v>Tuesday</v>
      </c>
      <c r="M1591" s="5" t="str">
        <f>TEXT(Store_Record[[#This Row],[Date]],"mmmm")</f>
        <v>April</v>
      </c>
      <c r="N1591" s="5">
        <f>YEAR(Store_Record[[#This Row],[Date]])</f>
        <v>2025</v>
      </c>
      <c r="O1591"/>
    </row>
    <row r="1592" spans="1:15" x14ac:dyDescent="0.35">
      <c r="A1592" t="s">
        <v>2412</v>
      </c>
      <c r="B1592" s="2">
        <v>45769</v>
      </c>
      <c r="C1592" t="s">
        <v>10</v>
      </c>
      <c r="D1592" t="s">
        <v>25</v>
      </c>
      <c r="E1592" t="s">
        <v>30</v>
      </c>
      <c r="F1592" t="s">
        <v>31</v>
      </c>
      <c r="G1592">
        <v>5</v>
      </c>
      <c r="H1592">
        <v>2.8</v>
      </c>
      <c r="I1592" t="s">
        <v>14</v>
      </c>
      <c r="J1592" t="s">
        <v>27</v>
      </c>
      <c r="K1592" s="12">
        <f>Store_Record[[#This Row],[Qty]]*Store_Record[[#This Row],[UnitPriceGBP]]</f>
        <v>14</v>
      </c>
      <c r="L1592" s="5" t="str">
        <f>TEXT(Store_Record[[#This Row],[Date]],"dddd")</f>
        <v>Tuesday</v>
      </c>
      <c r="M1592" s="5" t="str">
        <f>TEXT(Store_Record[[#This Row],[Date]],"mmmm")</f>
        <v>April</v>
      </c>
      <c r="N1592" s="5">
        <f>YEAR(Store_Record[[#This Row],[Date]])</f>
        <v>2025</v>
      </c>
      <c r="O1592"/>
    </row>
    <row r="1593" spans="1:15" x14ac:dyDescent="0.35">
      <c r="A1593" t="s">
        <v>2403</v>
      </c>
      <c r="B1593" s="2">
        <v>45769</v>
      </c>
      <c r="C1593" t="s">
        <v>24</v>
      </c>
      <c r="D1593" t="s">
        <v>29</v>
      </c>
      <c r="E1593" t="s">
        <v>12</v>
      </c>
      <c r="F1593" t="s">
        <v>13</v>
      </c>
      <c r="G1593">
        <v>5</v>
      </c>
      <c r="H1593">
        <v>2.5</v>
      </c>
      <c r="I1593" t="s">
        <v>14</v>
      </c>
      <c r="J1593" t="s">
        <v>415</v>
      </c>
      <c r="K1593" s="12">
        <f>Store_Record[[#This Row],[Qty]]*Store_Record[[#This Row],[UnitPriceGBP]]</f>
        <v>12.5</v>
      </c>
      <c r="L1593" s="5" t="str">
        <f>TEXT(Store_Record[[#This Row],[Date]],"dddd")</f>
        <v>Tuesday</v>
      </c>
      <c r="M1593" s="5" t="str">
        <f>TEXT(Store_Record[[#This Row],[Date]],"mmmm")</f>
        <v>April</v>
      </c>
      <c r="N1593" s="5">
        <f>YEAR(Store_Record[[#This Row],[Date]])</f>
        <v>2025</v>
      </c>
      <c r="O1593"/>
    </row>
    <row r="1594" spans="1:15" x14ac:dyDescent="0.35">
      <c r="A1594" t="s">
        <v>2408</v>
      </c>
      <c r="B1594" s="2">
        <v>45769</v>
      </c>
      <c r="C1594" t="s">
        <v>36</v>
      </c>
      <c r="D1594" t="s">
        <v>29</v>
      </c>
      <c r="E1594" t="s">
        <v>42</v>
      </c>
      <c r="F1594" t="s">
        <v>13</v>
      </c>
      <c r="G1594">
        <v>3</v>
      </c>
      <c r="H1594">
        <v>3.8</v>
      </c>
      <c r="I1594" t="s">
        <v>21</v>
      </c>
      <c r="J1594" t="s">
        <v>1928</v>
      </c>
      <c r="K1594" s="12">
        <f>Store_Record[[#This Row],[Qty]]*Store_Record[[#This Row],[UnitPriceGBP]]</f>
        <v>11.399999999999999</v>
      </c>
      <c r="L1594" s="5" t="str">
        <f>TEXT(Store_Record[[#This Row],[Date]],"dddd")</f>
        <v>Tuesday</v>
      </c>
      <c r="M1594" s="5" t="str">
        <f>TEXT(Store_Record[[#This Row],[Date]],"mmmm")</f>
        <v>April</v>
      </c>
      <c r="N1594" s="5">
        <f>YEAR(Store_Record[[#This Row],[Date]])</f>
        <v>2025</v>
      </c>
      <c r="O1594"/>
    </row>
    <row r="1595" spans="1:15" x14ac:dyDescent="0.35">
      <c r="A1595" t="s">
        <v>2404</v>
      </c>
      <c r="B1595" s="2">
        <v>45769</v>
      </c>
      <c r="C1595" t="s">
        <v>10</v>
      </c>
      <c r="D1595" t="s">
        <v>47</v>
      </c>
      <c r="E1595" t="s">
        <v>34</v>
      </c>
      <c r="F1595" t="s">
        <v>31</v>
      </c>
      <c r="G1595">
        <v>5</v>
      </c>
      <c r="H1595">
        <v>2.2000000000000002</v>
      </c>
      <c r="I1595" t="s">
        <v>39</v>
      </c>
      <c r="J1595" t="s">
        <v>2405</v>
      </c>
      <c r="K1595" s="12">
        <f>Store_Record[[#This Row],[Qty]]*Store_Record[[#This Row],[UnitPriceGBP]]</f>
        <v>11</v>
      </c>
      <c r="L1595" s="5" t="str">
        <f>TEXT(Store_Record[[#This Row],[Date]],"dddd")</f>
        <v>Tuesday</v>
      </c>
      <c r="M1595" s="5" t="str">
        <f>TEXT(Store_Record[[#This Row],[Date]],"mmmm")</f>
        <v>April</v>
      </c>
      <c r="N1595" s="5">
        <f>YEAR(Store_Record[[#This Row],[Date]])</f>
        <v>2025</v>
      </c>
      <c r="O1595"/>
    </row>
    <row r="1596" spans="1:15" x14ac:dyDescent="0.35">
      <c r="A1596" t="s">
        <v>2410</v>
      </c>
      <c r="B1596" s="2">
        <v>45769</v>
      </c>
      <c r="C1596" t="s">
        <v>24</v>
      </c>
      <c r="D1596" t="s">
        <v>11</v>
      </c>
      <c r="E1596" t="s">
        <v>12</v>
      </c>
      <c r="F1596" t="s">
        <v>13</v>
      </c>
      <c r="G1596">
        <v>4</v>
      </c>
      <c r="H1596">
        <v>2.5</v>
      </c>
      <c r="I1596" t="s">
        <v>21</v>
      </c>
      <c r="J1596" t="s">
        <v>321</v>
      </c>
      <c r="K1596" s="12">
        <f>Store_Record[[#This Row],[Qty]]*Store_Record[[#This Row],[UnitPriceGBP]]</f>
        <v>10</v>
      </c>
      <c r="L1596" s="5" t="str">
        <f>TEXT(Store_Record[[#This Row],[Date]],"dddd")</f>
        <v>Tuesday</v>
      </c>
      <c r="M1596" s="5" t="str">
        <f>TEXT(Store_Record[[#This Row],[Date]],"mmmm")</f>
        <v>April</v>
      </c>
      <c r="N1596" s="5">
        <f>YEAR(Store_Record[[#This Row],[Date]])</f>
        <v>2025</v>
      </c>
      <c r="O1596"/>
    </row>
    <row r="1597" spans="1:15" x14ac:dyDescent="0.35">
      <c r="A1597" t="s">
        <v>2397</v>
      </c>
      <c r="B1597" s="2">
        <v>45769</v>
      </c>
      <c r="C1597" t="s">
        <v>24</v>
      </c>
      <c r="D1597" t="s">
        <v>11</v>
      </c>
      <c r="E1597" t="s">
        <v>12</v>
      </c>
      <c r="F1597" t="s">
        <v>13</v>
      </c>
      <c r="G1597">
        <v>3</v>
      </c>
      <c r="H1597">
        <v>2.5</v>
      </c>
      <c r="I1597" t="s">
        <v>21</v>
      </c>
      <c r="J1597" t="s">
        <v>2084</v>
      </c>
      <c r="K1597" s="12">
        <f>Store_Record[[#This Row],[Qty]]*Store_Record[[#This Row],[UnitPriceGBP]]</f>
        <v>7.5</v>
      </c>
      <c r="L1597" s="5" t="str">
        <f>TEXT(Store_Record[[#This Row],[Date]],"dddd")</f>
        <v>Tuesday</v>
      </c>
      <c r="M1597" s="5" t="str">
        <f>TEXT(Store_Record[[#This Row],[Date]],"mmmm")</f>
        <v>April</v>
      </c>
      <c r="N1597" s="5">
        <f>YEAR(Store_Record[[#This Row],[Date]])</f>
        <v>2025</v>
      </c>
      <c r="O1597"/>
    </row>
    <row r="1598" spans="1:15" x14ac:dyDescent="0.35">
      <c r="A1598" t="s">
        <v>2414</v>
      </c>
      <c r="B1598" s="2">
        <v>45769</v>
      </c>
      <c r="C1598" t="s">
        <v>36</v>
      </c>
      <c r="D1598" t="s">
        <v>25</v>
      </c>
      <c r="E1598" t="s">
        <v>26</v>
      </c>
      <c r="F1598" t="s">
        <v>13</v>
      </c>
      <c r="G1598">
        <v>2</v>
      </c>
      <c r="H1598">
        <v>3.5</v>
      </c>
      <c r="I1598" t="s">
        <v>21</v>
      </c>
      <c r="J1598" t="s">
        <v>2415</v>
      </c>
      <c r="K1598" s="12">
        <f>Store_Record[[#This Row],[Qty]]*Store_Record[[#This Row],[UnitPriceGBP]]</f>
        <v>7</v>
      </c>
      <c r="L1598" s="5" t="str">
        <f>TEXT(Store_Record[[#This Row],[Date]],"dddd")</f>
        <v>Tuesday</v>
      </c>
      <c r="M1598" s="5" t="str">
        <f>TEXT(Store_Record[[#This Row],[Date]],"mmmm")</f>
        <v>April</v>
      </c>
      <c r="N1598" s="5">
        <f>YEAR(Store_Record[[#This Row],[Date]])</f>
        <v>2025</v>
      </c>
      <c r="O1598"/>
    </row>
    <row r="1599" spans="1:15" x14ac:dyDescent="0.35">
      <c r="A1599" t="s">
        <v>2398</v>
      </c>
      <c r="B1599" s="2">
        <v>45769</v>
      </c>
      <c r="C1599" t="s">
        <v>36</v>
      </c>
      <c r="D1599" t="s">
        <v>47</v>
      </c>
      <c r="E1599" t="s">
        <v>34</v>
      </c>
      <c r="F1599" t="s">
        <v>31</v>
      </c>
      <c r="G1599">
        <v>3</v>
      </c>
      <c r="H1599">
        <v>2.2000000000000002</v>
      </c>
      <c r="I1599" t="s">
        <v>21</v>
      </c>
      <c r="J1599" t="s">
        <v>2399</v>
      </c>
      <c r="K1599" s="12">
        <f>Store_Record[[#This Row],[Qty]]*Store_Record[[#This Row],[UnitPriceGBP]]</f>
        <v>6.6000000000000005</v>
      </c>
      <c r="L1599" s="5" t="str">
        <f>TEXT(Store_Record[[#This Row],[Date]],"dddd")</f>
        <v>Tuesday</v>
      </c>
      <c r="M1599" s="5" t="str">
        <f>TEXT(Store_Record[[#This Row],[Date]],"mmmm")</f>
        <v>April</v>
      </c>
      <c r="N1599" s="5">
        <f>YEAR(Store_Record[[#This Row],[Date]])</f>
        <v>2025</v>
      </c>
      <c r="O1599"/>
    </row>
    <row r="1600" spans="1:15" x14ac:dyDescent="0.35">
      <c r="A1600" t="s">
        <v>2402</v>
      </c>
      <c r="B1600" s="2">
        <v>45769</v>
      </c>
      <c r="C1600" t="s">
        <v>36</v>
      </c>
      <c r="D1600" t="s">
        <v>25</v>
      </c>
      <c r="E1600" t="s">
        <v>34</v>
      </c>
      <c r="F1600" t="s">
        <v>31</v>
      </c>
      <c r="G1600">
        <v>3</v>
      </c>
      <c r="H1600">
        <v>2.2000000000000002</v>
      </c>
      <c r="I1600" t="s">
        <v>21</v>
      </c>
      <c r="J1600" t="s">
        <v>1168</v>
      </c>
      <c r="K1600" s="12">
        <f>Store_Record[[#This Row],[Qty]]*Store_Record[[#This Row],[UnitPriceGBP]]</f>
        <v>6.6000000000000005</v>
      </c>
      <c r="L1600" s="5" t="str">
        <f>TEXT(Store_Record[[#This Row],[Date]],"dddd")</f>
        <v>Tuesday</v>
      </c>
      <c r="M1600" s="5" t="str">
        <f>TEXT(Store_Record[[#This Row],[Date]],"mmmm")</f>
        <v>April</v>
      </c>
      <c r="N1600" s="5">
        <f>YEAR(Store_Record[[#This Row],[Date]])</f>
        <v>2025</v>
      </c>
      <c r="O1600"/>
    </row>
    <row r="1601" spans="1:15" x14ac:dyDescent="0.35">
      <c r="A1601" t="s">
        <v>2406</v>
      </c>
      <c r="B1601" s="2">
        <v>45769</v>
      </c>
      <c r="C1601" t="s">
        <v>36</v>
      </c>
      <c r="D1601" t="s">
        <v>38</v>
      </c>
      <c r="E1601" t="s">
        <v>30</v>
      </c>
      <c r="F1601" t="s">
        <v>31</v>
      </c>
      <c r="G1601">
        <v>2</v>
      </c>
      <c r="H1601">
        <v>2.8</v>
      </c>
      <c r="I1601" t="s">
        <v>39</v>
      </c>
      <c r="J1601" t="s">
        <v>2407</v>
      </c>
      <c r="K1601" s="12">
        <f>Store_Record[[#This Row],[Qty]]*Store_Record[[#This Row],[UnitPriceGBP]]</f>
        <v>5.6</v>
      </c>
      <c r="L1601" s="5" t="str">
        <f>TEXT(Store_Record[[#This Row],[Date]],"dddd")</f>
        <v>Tuesday</v>
      </c>
      <c r="M1601" s="5" t="str">
        <f>TEXT(Store_Record[[#This Row],[Date]],"mmmm")</f>
        <v>April</v>
      </c>
      <c r="N1601" s="5">
        <f>YEAR(Store_Record[[#This Row],[Date]])</f>
        <v>2025</v>
      </c>
      <c r="O1601"/>
    </row>
    <row r="1602" spans="1:15" x14ac:dyDescent="0.35">
      <c r="A1602" t="s">
        <v>2413</v>
      </c>
      <c r="B1602" s="2">
        <v>45769</v>
      </c>
      <c r="C1602" t="s">
        <v>20</v>
      </c>
      <c r="D1602" t="s">
        <v>29</v>
      </c>
      <c r="E1602" t="s">
        <v>26</v>
      </c>
      <c r="F1602" t="s">
        <v>13</v>
      </c>
      <c r="G1602">
        <v>1</v>
      </c>
      <c r="H1602">
        <v>3.5</v>
      </c>
      <c r="I1602" t="s">
        <v>14</v>
      </c>
      <c r="J1602" t="s">
        <v>563</v>
      </c>
      <c r="K1602" s="12">
        <f>Store_Record[[#This Row],[Qty]]*Store_Record[[#This Row],[UnitPriceGBP]]</f>
        <v>3.5</v>
      </c>
      <c r="L1602" s="5" t="str">
        <f>TEXT(Store_Record[[#This Row],[Date]],"dddd")</f>
        <v>Tuesday</v>
      </c>
      <c r="M1602" s="5" t="str">
        <f>TEXT(Store_Record[[#This Row],[Date]],"mmmm")</f>
        <v>April</v>
      </c>
      <c r="N1602" s="5">
        <f>YEAR(Store_Record[[#This Row],[Date]])</f>
        <v>2025</v>
      </c>
      <c r="O1602"/>
    </row>
    <row r="1603" spans="1:15" x14ac:dyDescent="0.35">
      <c r="A1603" t="s">
        <v>2411</v>
      </c>
      <c r="B1603" s="2">
        <v>45769</v>
      </c>
      <c r="C1603" t="s">
        <v>20</v>
      </c>
      <c r="D1603" t="s">
        <v>25</v>
      </c>
      <c r="E1603" t="s">
        <v>30</v>
      </c>
      <c r="F1603" t="s">
        <v>31</v>
      </c>
      <c r="G1603">
        <v>1</v>
      </c>
      <c r="H1603">
        <v>2.8</v>
      </c>
      <c r="I1603" t="s">
        <v>39</v>
      </c>
      <c r="J1603" t="s">
        <v>404</v>
      </c>
      <c r="K1603" s="12">
        <f>Store_Record[[#This Row],[Qty]]*Store_Record[[#This Row],[UnitPriceGBP]]</f>
        <v>2.8</v>
      </c>
      <c r="L1603" s="5" t="str">
        <f>TEXT(Store_Record[[#This Row],[Date]],"dddd")</f>
        <v>Tuesday</v>
      </c>
      <c r="M1603" s="5" t="str">
        <f>TEXT(Store_Record[[#This Row],[Date]],"mmmm")</f>
        <v>April</v>
      </c>
      <c r="N1603" s="5">
        <f>YEAR(Store_Record[[#This Row],[Date]])</f>
        <v>2025</v>
      </c>
      <c r="O1603"/>
    </row>
    <row r="1604" spans="1:15" x14ac:dyDescent="0.35">
      <c r="A1604" t="s">
        <v>2424</v>
      </c>
      <c r="B1604" s="2">
        <v>45770</v>
      </c>
      <c r="C1604" t="s">
        <v>10</v>
      </c>
      <c r="D1604" t="s">
        <v>29</v>
      </c>
      <c r="E1604" t="s">
        <v>42</v>
      </c>
      <c r="F1604" t="s">
        <v>13</v>
      </c>
      <c r="G1604">
        <v>5</v>
      </c>
      <c r="H1604">
        <v>3.8</v>
      </c>
      <c r="I1604" t="s">
        <v>14</v>
      </c>
      <c r="J1604" t="s">
        <v>819</v>
      </c>
      <c r="K1604" s="12">
        <f>Store_Record[[#This Row],[Qty]]*Store_Record[[#This Row],[UnitPriceGBP]]</f>
        <v>19</v>
      </c>
      <c r="L1604" s="5" t="str">
        <f>TEXT(Store_Record[[#This Row],[Date]],"dddd")</f>
        <v>Wednesday</v>
      </c>
      <c r="M1604" s="5" t="str">
        <f>TEXT(Store_Record[[#This Row],[Date]],"mmmm")</f>
        <v>April</v>
      </c>
      <c r="N1604" s="5">
        <f>YEAR(Store_Record[[#This Row],[Date]])</f>
        <v>2025</v>
      </c>
      <c r="O1604"/>
    </row>
    <row r="1605" spans="1:15" x14ac:dyDescent="0.35">
      <c r="A1605" t="s">
        <v>2416</v>
      </c>
      <c r="B1605" s="2">
        <v>45770</v>
      </c>
      <c r="C1605" t="s">
        <v>36</v>
      </c>
      <c r="D1605" t="s">
        <v>11</v>
      </c>
      <c r="E1605" t="s">
        <v>42</v>
      </c>
      <c r="F1605" t="s">
        <v>13</v>
      </c>
      <c r="G1605">
        <v>3</v>
      </c>
      <c r="H1605">
        <v>3.8</v>
      </c>
      <c r="I1605" t="s">
        <v>14</v>
      </c>
      <c r="J1605" t="s">
        <v>630</v>
      </c>
      <c r="K1605" s="12">
        <f>Store_Record[[#This Row],[Qty]]*Store_Record[[#This Row],[UnitPriceGBP]]</f>
        <v>11.399999999999999</v>
      </c>
      <c r="L1605" s="5" t="str">
        <f>TEXT(Store_Record[[#This Row],[Date]],"dddd")</f>
        <v>Wednesday</v>
      </c>
      <c r="M1605" s="5" t="str">
        <f>TEXT(Store_Record[[#This Row],[Date]],"mmmm")</f>
        <v>April</v>
      </c>
      <c r="N1605" s="5">
        <f>YEAR(Store_Record[[#This Row],[Date]])</f>
        <v>2025</v>
      </c>
      <c r="O1605"/>
    </row>
    <row r="1606" spans="1:15" x14ac:dyDescent="0.35">
      <c r="A1606" t="s">
        <v>2418</v>
      </c>
      <c r="B1606" s="2">
        <v>45770</v>
      </c>
      <c r="C1606" t="s">
        <v>36</v>
      </c>
      <c r="D1606" t="s">
        <v>11</v>
      </c>
      <c r="E1606" t="s">
        <v>34</v>
      </c>
      <c r="F1606" t="s">
        <v>31</v>
      </c>
      <c r="G1606">
        <v>4</v>
      </c>
      <c r="H1606">
        <v>2.2000000000000002</v>
      </c>
      <c r="I1606" t="s">
        <v>14</v>
      </c>
      <c r="J1606" t="s">
        <v>1116</v>
      </c>
      <c r="K1606" s="12">
        <f>Store_Record[[#This Row],[Qty]]*Store_Record[[#This Row],[UnitPriceGBP]]</f>
        <v>8.8000000000000007</v>
      </c>
      <c r="L1606" s="5" t="str">
        <f>TEXT(Store_Record[[#This Row],[Date]],"dddd")</f>
        <v>Wednesday</v>
      </c>
      <c r="M1606" s="5" t="str">
        <f>TEXT(Store_Record[[#This Row],[Date]],"mmmm")</f>
        <v>April</v>
      </c>
      <c r="N1606" s="5">
        <f>YEAR(Store_Record[[#This Row],[Date]])</f>
        <v>2025</v>
      </c>
      <c r="O1606"/>
    </row>
    <row r="1607" spans="1:15" x14ac:dyDescent="0.35">
      <c r="A1607" t="s">
        <v>2423</v>
      </c>
      <c r="B1607" s="2">
        <v>45770</v>
      </c>
      <c r="C1607" t="s">
        <v>24</v>
      </c>
      <c r="D1607" t="s">
        <v>38</v>
      </c>
      <c r="E1607" t="s">
        <v>34</v>
      </c>
      <c r="F1607" t="s">
        <v>31</v>
      </c>
      <c r="G1607">
        <v>4</v>
      </c>
      <c r="H1607">
        <v>2.2000000000000002</v>
      </c>
      <c r="I1607" t="s">
        <v>21</v>
      </c>
      <c r="J1607" t="s">
        <v>2401</v>
      </c>
      <c r="K1607" s="12">
        <f>Store_Record[[#This Row],[Qty]]*Store_Record[[#This Row],[UnitPriceGBP]]</f>
        <v>8.8000000000000007</v>
      </c>
      <c r="L1607" s="5" t="str">
        <f>TEXT(Store_Record[[#This Row],[Date]],"dddd")</f>
        <v>Wednesday</v>
      </c>
      <c r="M1607" s="5" t="str">
        <f>TEXT(Store_Record[[#This Row],[Date]],"mmmm")</f>
        <v>April</v>
      </c>
      <c r="N1607" s="5">
        <f>YEAR(Store_Record[[#This Row],[Date]])</f>
        <v>2025</v>
      </c>
      <c r="O1607"/>
    </row>
    <row r="1608" spans="1:15" x14ac:dyDescent="0.35">
      <c r="A1608" t="s">
        <v>2419</v>
      </c>
      <c r="B1608" s="2">
        <v>45770</v>
      </c>
      <c r="C1608" t="s">
        <v>10</v>
      </c>
      <c r="D1608" t="s">
        <v>29</v>
      </c>
      <c r="E1608" t="s">
        <v>30</v>
      </c>
      <c r="F1608" t="s">
        <v>31</v>
      </c>
      <c r="G1608">
        <v>3</v>
      </c>
      <c r="H1608">
        <v>2.8</v>
      </c>
      <c r="I1608" t="s">
        <v>39</v>
      </c>
      <c r="J1608" t="s">
        <v>1801</v>
      </c>
      <c r="K1608" s="12">
        <f>Store_Record[[#This Row],[Qty]]*Store_Record[[#This Row],[UnitPriceGBP]]</f>
        <v>8.3999999999999986</v>
      </c>
      <c r="L1608" s="5" t="str">
        <f>TEXT(Store_Record[[#This Row],[Date]],"dddd")</f>
        <v>Wednesday</v>
      </c>
      <c r="M1608" s="5" t="str">
        <f>TEXT(Store_Record[[#This Row],[Date]],"mmmm")</f>
        <v>April</v>
      </c>
      <c r="N1608" s="5">
        <f>YEAR(Store_Record[[#This Row],[Date]])</f>
        <v>2025</v>
      </c>
      <c r="O1608"/>
    </row>
    <row r="1609" spans="1:15" x14ac:dyDescent="0.35">
      <c r="A1609" t="s">
        <v>2425</v>
      </c>
      <c r="B1609" s="2">
        <v>45770</v>
      </c>
      <c r="C1609" t="s">
        <v>20</v>
      </c>
      <c r="D1609" t="s">
        <v>29</v>
      </c>
      <c r="E1609" t="s">
        <v>30</v>
      </c>
      <c r="F1609" t="s">
        <v>31</v>
      </c>
      <c r="G1609">
        <v>3</v>
      </c>
      <c r="H1609">
        <v>2.8</v>
      </c>
      <c r="I1609" t="s">
        <v>14</v>
      </c>
      <c r="J1609" t="s">
        <v>458</v>
      </c>
      <c r="K1609" s="12">
        <f>Store_Record[[#This Row],[Qty]]*Store_Record[[#This Row],[UnitPriceGBP]]</f>
        <v>8.3999999999999986</v>
      </c>
      <c r="L1609" s="5" t="str">
        <f>TEXT(Store_Record[[#This Row],[Date]],"dddd")</f>
        <v>Wednesday</v>
      </c>
      <c r="M1609" s="5" t="str">
        <f>TEXT(Store_Record[[#This Row],[Date]],"mmmm")</f>
        <v>April</v>
      </c>
      <c r="N1609" s="5">
        <f>YEAR(Store_Record[[#This Row],[Date]])</f>
        <v>2025</v>
      </c>
      <c r="O1609"/>
    </row>
    <row r="1610" spans="1:15" x14ac:dyDescent="0.35">
      <c r="A1610" t="s">
        <v>2420</v>
      </c>
      <c r="B1610" s="2">
        <v>45770</v>
      </c>
      <c r="C1610" t="s">
        <v>10</v>
      </c>
      <c r="D1610" t="s">
        <v>38</v>
      </c>
      <c r="E1610" t="s">
        <v>42</v>
      </c>
      <c r="F1610" t="s">
        <v>13</v>
      </c>
      <c r="G1610">
        <v>2</v>
      </c>
      <c r="H1610">
        <v>3.8</v>
      </c>
      <c r="I1610" t="s">
        <v>14</v>
      </c>
      <c r="J1610" t="s">
        <v>2322</v>
      </c>
      <c r="K1610" s="12">
        <f>Store_Record[[#This Row],[Qty]]*Store_Record[[#This Row],[UnitPriceGBP]]</f>
        <v>7.6</v>
      </c>
      <c r="L1610" s="5" t="str">
        <f>TEXT(Store_Record[[#This Row],[Date]],"dddd")</f>
        <v>Wednesday</v>
      </c>
      <c r="M1610" s="5" t="str">
        <f>TEXT(Store_Record[[#This Row],[Date]],"mmmm")</f>
        <v>April</v>
      </c>
      <c r="N1610" s="5">
        <f>YEAR(Store_Record[[#This Row],[Date]])</f>
        <v>2025</v>
      </c>
      <c r="O1610"/>
    </row>
    <row r="1611" spans="1:15" x14ac:dyDescent="0.35">
      <c r="A1611" t="s">
        <v>2421</v>
      </c>
      <c r="B1611" s="2">
        <v>45770</v>
      </c>
      <c r="C1611" t="s">
        <v>20</v>
      </c>
      <c r="D1611" t="s">
        <v>25</v>
      </c>
      <c r="E1611" t="s">
        <v>42</v>
      </c>
      <c r="F1611" t="s">
        <v>13</v>
      </c>
      <c r="G1611">
        <v>1</v>
      </c>
      <c r="H1611">
        <v>3.8</v>
      </c>
      <c r="I1611" t="s">
        <v>39</v>
      </c>
      <c r="J1611" t="s">
        <v>2422</v>
      </c>
      <c r="K1611" s="12">
        <f>Store_Record[[#This Row],[Qty]]*Store_Record[[#This Row],[UnitPriceGBP]]</f>
        <v>3.8</v>
      </c>
      <c r="L1611" s="5" t="str">
        <f>TEXT(Store_Record[[#This Row],[Date]],"dddd")</f>
        <v>Wednesday</v>
      </c>
      <c r="M1611" s="5" t="str">
        <f>TEXT(Store_Record[[#This Row],[Date]],"mmmm")</f>
        <v>April</v>
      </c>
      <c r="N1611" s="5">
        <f>YEAR(Store_Record[[#This Row],[Date]])</f>
        <v>2025</v>
      </c>
      <c r="O1611"/>
    </row>
    <row r="1612" spans="1:15" x14ac:dyDescent="0.35">
      <c r="A1612" t="s">
        <v>2417</v>
      </c>
      <c r="B1612" s="2">
        <v>45770</v>
      </c>
      <c r="C1612" t="s">
        <v>24</v>
      </c>
      <c r="D1612" t="s">
        <v>25</v>
      </c>
      <c r="E1612" t="s">
        <v>30</v>
      </c>
      <c r="F1612" t="s">
        <v>31</v>
      </c>
      <c r="G1612">
        <v>1</v>
      </c>
      <c r="H1612">
        <v>2.8</v>
      </c>
      <c r="I1612" t="s">
        <v>39</v>
      </c>
      <c r="J1612" t="s">
        <v>304</v>
      </c>
      <c r="K1612" s="12">
        <f>Store_Record[[#This Row],[Qty]]*Store_Record[[#This Row],[UnitPriceGBP]]</f>
        <v>2.8</v>
      </c>
      <c r="L1612" s="5" t="str">
        <f>TEXT(Store_Record[[#This Row],[Date]],"dddd")</f>
        <v>Wednesday</v>
      </c>
      <c r="M1612" s="5" t="str">
        <f>TEXT(Store_Record[[#This Row],[Date]],"mmmm")</f>
        <v>April</v>
      </c>
      <c r="N1612" s="5">
        <f>YEAR(Store_Record[[#This Row],[Date]])</f>
        <v>2025</v>
      </c>
      <c r="O1612"/>
    </row>
    <row r="1613" spans="1:15" x14ac:dyDescent="0.35">
      <c r="A1613" t="s">
        <v>2428</v>
      </c>
      <c r="B1613" s="2">
        <v>45771</v>
      </c>
      <c r="C1613" t="s">
        <v>10</v>
      </c>
      <c r="D1613" t="s">
        <v>47</v>
      </c>
      <c r="E1613" t="s">
        <v>30</v>
      </c>
      <c r="F1613" t="s">
        <v>31</v>
      </c>
      <c r="G1613">
        <v>5</v>
      </c>
      <c r="H1613">
        <v>2.8</v>
      </c>
      <c r="I1613" t="s">
        <v>14</v>
      </c>
      <c r="J1613" t="s">
        <v>530</v>
      </c>
      <c r="K1613" s="12">
        <f>Store_Record[[#This Row],[Qty]]*Store_Record[[#This Row],[UnitPriceGBP]]</f>
        <v>14</v>
      </c>
      <c r="L1613" s="5" t="str">
        <f>TEXT(Store_Record[[#This Row],[Date]],"dddd")</f>
        <v>Thursday</v>
      </c>
      <c r="M1613" s="5" t="str">
        <f>TEXT(Store_Record[[#This Row],[Date]],"mmmm")</f>
        <v>April</v>
      </c>
      <c r="N1613" s="5">
        <f>YEAR(Store_Record[[#This Row],[Date]])</f>
        <v>2025</v>
      </c>
      <c r="O1613"/>
    </row>
    <row r="1614" spans="1:15" x14ac:dyDescent="0.35">
      <c r="A1614" t="s">
        <v>2429</v>
      </c>
      <c r="B1614" s="2">
        <v>45771</v>
      </c>
      <c r="C1614" t="s">
        <v>36</v>
      </c>
      <c r="D1614" t="s">
        <v>25</v>
      </c>
      <c r="E1614" t="s">
        <v>26</v>
      </c>
      <c r="F1614" t="s">
        <v>13</v>
      </c>
      <c r="G1614">
        <v>4</v>
      </c>
      <c r="H1614">
        <v>3.5</v>
      </c>
      <c r="I1614" t="s">
        <v>14</v>
      </c>
      <c r="J1614" t="s">
        <v>415</v>
      </c>
      <c r="K1614" s="12">
        <f>Store_Record[[#This Row],[Qty]]*Store_Record[[#This Row],[UnitPriceGBP]]</f>
        <v>14</v>
      </c>
      <c r="L1614" s="5" t="str">
        <f>TEXT(Store_Record[[#This Row],[Date]],"dddd")</f>
        <v>Thursday</v>
      </c>
      <c r="M1614" s="5" t="str">
        <f>TEXT(Store_Record[[#This Row],[Date]],"mmmm")</f>
        <v>April</v>
      </c>
      <c r="N1614" s="5">
        <f>YEAR(Store_Record[[#This Row],[Date]])</f>
        <v>2025</v>
      </c>
      <c r="O1614"/>
    </row>
    <row r="1615" spans="1:15" x14ac:dyDescent="0.35">
      <c r="A1615" t="s">
        <v>2432</v>
      </c>
      <c r="B1615" s="2">
        <v>45771</v>
      </c>
      <c r="C1615" t="s">
        <v>36</v>
      </c>
      <c r="D1615" t="s">
        <v>38</v>
      </c>
      <c r="E1615" t="s">
        <v>34</v>
      </c>
      <c r="F1615" t="s">
        <v>31</v>
      </c>
      <c r="G1615">
        <v>5</v>
      </c>
      <c r="H1615">
        <v>2.2000000000000002</v>
      </c>
      <c r="I1615" t="s">
        <v>14</v>
      </c>
      <c r="J1615" t="s">
        <v>2433</v>
      </c>
      <c r="K1615" s="12">
        <f>Store_Record[[#This Row],[Qty]]*Store_Record[[#This Row],[UnitPriceGBP]]</f>
        <v>11</v>
      </c>
      <c r="L1615" s="5" t="str">
        <f>TEXT(Store_Record[[#This Row],[Date]],"dddd")</f>
        <v>Thursday</v>
      </c>
      <c r="M1615" s="5" t="str">
        <f>TEXT(Store_Record[[#This Row],[Date]],"mmmm")</f>
        <v>April</v>
      </c>
      <c r="N1615" s="5">
        <f>YEAR(Store_Record[[#This Row],[Date]])</f>
        <v>2025</v>
      </c>
      <c r="O1615"/>
    </row>
    <row r="1616" spans="1:15" x14ac:dyDescent="0.35">
      <c r="A1616" t="s">
        <v>2437</v>
      </c>
      <c r="B1616" s="2">
        <v>45771</v>
      </c>
      <c r="C1616" t="s">
        <v>20</v>
      </c>
      <c r="D1616" t="s">
        <v>25</v>
      </c>
      <c r="E1616" t="s">
        <v>34</v>
      </c>
      <c r="F1616" t="s">
        <v>31</v>
      </c>
      <c r="G1616">
        <v>3</v>
      </c>
      <c r="H1616">
        <v>2.2000000000000002</v>
      </c>
      <c r="I1616" t="s">
        <v>21</v>
      </c>
      <c r="J1616" t="s">
        <v>50</v>
      </c>
      <c r="K1616" s="12">
        <f>Store_Record[[#This Row],[Qty]]*Store_Record[[#This Row],[UnitPriceGBP]]</f>
        <v>6.6000000000000005</v>
      </c>
      <c r="L1616" s="5" t="str">
        <f>TEXT(Store_Record[[#This Row],[Date]],"dddd")</f>
        <v>Thursday</v>
      </c>
      <c r="M1616" s="5" t="str">
        <f>TEXT(Store_Record[[#This Row],[Date]],"mmmm")</f>
        <v>April</v>
      </c>
      <c r="N1616" s="5">
        <f>YEAR(Store_Record[[#This Row],[Date]])</f>
        <v>2025</v>
      </c>
      <c r="O1616"/>
    </row>
    <row r="1617" spans="1:15" x14ac:dyDescent="0.35">
      <c r="A1617" t="s">
        <v>2431</v>
      </c>
      <c r="B1617" s="2">
        <v>45771</v>
      </c>
      <c r="C1617" t="s">
        <v>36</v>
      </c>
      <c r="D1617" t="s">
        <v>47</v>
      </c>
      <c r="E1617" t="s">
        <v>34</v>
      </c>
      <c r="F1617" t="s">
        <v>31</v>
      </c>
      <c r="G1617">
        <v>2</v>
      </c>
      <c r="H1617">
        <v>2.2000000000000002</v>
      </c>
      <c r="I1617" t="s">
        <v>21</v>
      </c>
      <c r="J1617" t="s">
        <v>490</v>
      </c>
      <c r="K1617" s="12">
        <f>Store_Record[[#This Row],[Qty]]*Store_Record[[#This Row],[UnitPriceGBP]]</f>
        <v>4.4000000000000004</v>
      </c>
      <c r="L1617" s="5" t="str">
        <f>TEXT(Store_Record[[#This Row],[Date]],"dddd")</f>
        <v>Thursday</v>
      </c>
      <c r="M1617" s="5" t="str">
        <f>TEXT(Store_Record[[#This Row],[Date]],"mmmm")</f>
        <v>April</v>
      </c>
      <c r="N1617" s="5">
        <f>YEAR(Store_Record[[#This Row],[Date]])</f>
        <v>2025</v>
      </c>
      <c r="O1617"/>
    </row>
    <row r="1618" spans="1:15" x14ac:dyDescent="0.35">
      <c r="A1618" t="s">
        <v>2436</v>
      </c>
      <c r="B1618" s="2">
        <v>45771</v>
      </c>
      <c r="C1618" t="s">
        <v>24</v>
      </c>
      <c r="D1618" t="s">
        <v>11</v>
      </c>
      <c r="E1618" t="s">
        <v>34</v>
      </c>
      <c r="F1618" t="s">
        <v>31</v>
      </c>
      <c r="G1618">
        <v>2</v>
      </c>
      <c r="H1618">
        <v>2.2000000000000002</v>
      </c>
      <c r="I1618" t="s">
        <v>39</v>
      </c>
      <c r="J1618" t="s">
        <v>382</v>
      </c>
      <c r="K1618" s="12">
        <f>Store_Record[[#This Row],[Qty]]*Store_Record[[#This Row],[UnitPriceGBP]]</f>
        <v>4.4000000000000004</v>
      </c>
      <c r="L1618" s="5" t="str">
        <f>TEXT(Store_Record[[#This Row],[Date]],"dddd")</f>
        <v>Thursday</v>
      </c>
      <c r="M1618" s="5" t="str">
        <f>TEXT(Store_Record[[#This Row],[Date]],"mmmm")</f>
        <v>April</v>
      </c>
      <c r="N1618" s="5">
        <f>YEAR(Store_Record[[#This Row],[Date]])</f>
        <v>2025</v>
      </c>
      <c r="O1618"/>
    </row>
    <row r="1619" spans="1:15" x14ac:dyDescent="0.35">
      <c r="A1619" t="s">
        <v>2426</v>
      </c>
      <c r="B1619" s="2">
        <v>45771</v>
      </c>
      <c r="C1619" t="s">
        <v>20</v>
      </c>
      <c r="D1619" t="s">
        <v>38</v>
      </c>
      <c r="E1619" t="s">
        <v>42</v>
      </c>
      <c r="F1619" t="s">
        <v>13</v>
      </c>
      <c r="G1619">
        <v>1</v>
      </c>
      <c r="H1619">
        <v>3.8</v>
      </c>
      <c r="I1619" t="s">
        <v>14</v>
      </c>
      <c r="J1619" t="s">
        <v>2427</v>
      </c>
      <c r="K1619" s="12">
        <f>Store_Record[[#This Row],[Qty]]*Store_Record[[#This Row],[UnitPriceGBP]]</f>
        <v>3.8</v>
      </c>
      <c r="L1619" s="5" t="str">
        <f>TEXT(Store_Record[[#This Row],[Date]],"dddd")</f>
        <v>Thursday</v>
      </c>
      <c r="M1619" s="5" t="str">
        <f>TEXT(Store_Record[[#This Row],[Date]],"mmmm")</f>
        <v>April</v>
      </c>
      <c r="N1619" s="5">
        <f>YEAR(Store_Record[[#This Row],[Date]])</f>
        <v>2025</v>
      </c>
      <c r="O1619"/>
    </row>
    <row r="1620" spans="1:15" x14ac:dyDescent="0.35">
      <c r="A1620" t="s">
        <v>2435</v>
      </c>
      <c r="B1620" s="2">
        <v>45771</v>
      </c>
      <c r="C1620" t="s">
        <v>24</v>
      </c>
      <c r="D1620" t="s">
        <v>11</v>
      </c>
      <c r="E1620" t="s">
        <v>30</v>
      </c>
      <c r="F1620" t="s">
        <v>31</v>
      </c>
      <c r="G1620">
        <v>1</v>
      </c>
      <c r="H1620">
        <v>2.8</v>
      </c>
      <c r="I1620" t="s">
        <v>21</v>
      </c>
      <c r="J1620" t="s">
        <v>1116</v>
      </c>
      <c r="K1620" s="12">
        <f>Store_Record[[#This Row],[Qty]]*Store_Record[[#This Row],[UnitPriceGBP]]</f>
        <v>2.8</v>
      </c>
      <c r="L1620" s="5" t="str">
        <f>TEXT(Store_Record[[#This Row],[Date]],"dddd")</f>
        <v>Thursday</v>
      </c>
      <c r="M1620" s="5" t="str">
        <f>TEXT(Store_Record[[#This Row],[Date]],"mmmm")</f>
        <v>April</v>
      </c>
      <c r="N1620" s="5">
        <f>YEAR(Store_Record[[#This Row],[Date]])</f>
        <v>2025</v>
      </c>
      <c r="O1620"/>
    </row>
    <row r="1621" spans="1:15" x14ac:dyDescent="0.35">
      <c r="A1621" t="s">
        <v>2434</v>
      </c>
      <c r="B1621" s="2">
        <v>45771</v>
      </c>
      <c r="C1621" t="s">
        <v>10</v>
      </c>
      <c r="D1621" t="s">
        <v>47</v>
      </c>
      <c r="E1621" t="s">
        <v>12</v>
      </c>
      <c r="F1621" t="s">
        <v>13</v>
      </c>
      <c r="G1621">
        <v>1</v>
      </c>
      <c r="H1621">
        <v>2.5</v>
      </c>
      <c r="I1621" t="s">
        <v>39</v>
      </c>
      <c r="J1621" t="s">
        <v>947</v>
      </c>
      <c r="K1621" s="12">
        <f>Store_Record[[#This Row],[Qty]]*Store_Record[[#This Row],[UnitPriceGBP]]</f>
        <v>2.5</v>
      </c>
      <c r="L1621" s="5" t="str">
        <f>TEXT(Store_Record[[#This Row],[Date]],"dddd")</f>
        <v>Thursday</v>
      </c>
      <c r="M1621" s="5" t="str">
        <f>TEXT(Store_Record[[#This Row],[Date]],"mmmm")</f>
        <v>April</v>
      </c>
      <c r="N1621" s="5">
        <f>YEAR(Store_Record[[#This Row],[Date]])</f>
        <v>2025</v>
      </c>
      <c r="O1621"/>
    </row>
    <row r="1622" spans="1:15" x14ac:dyDescent="0.35">
      <c r="A1622" t="s">
        <v>2430</v>
      </c>
      <c r="B1622" s="2">
        <v>45771</v>
      </c>
      <c r="C1622" t="s">
        <v>36</v>
      </c>
      <c r="D1622" t="s">
        <v>29</v>
      </c>
      <c r="E1622" t="s">
        <v>34</v>
      </c>
      <c r="F1622" t="s">
        <v>31</v>
      </c>
      <c r="G1622">
        <v>1</v>
      </c>
      <c r="H1622">
        <v>2.2000000000000002</v>
      </c>
      <c r="I1622" t="s">
        <v>39</v>
      </c>
      <c r="J1622" t="s">
        <v>1936</v>
      </c>
      <c r="K1622" s="12">
        <f>Store_Record[[#This Row],[Qty]]*Store_Record[[#This Row],[UnitPriceGBP]]</f>
        <v>2.2000000000000002</v>
      </c>
      <c r="L1622" s="5" t="str">
        <f>TEXT(Store_Record[[#This Row],[Date]],"dddd")</f>
        <v>Thursday</v>
      </c>
      <c r="M1622" s="5" t="str">
        <f>TEXT(Store_Record[[#This Row],[Date]],"mmmm")</f>
        <v>April</v>
      </c>
      <c r="N1622" s="5">
        <f>YEAR(Store_Record[[#This Row],[Date]])</f>
        <v>2025</v>
      </c>
      <c r="O1622"/>
    </row>
    <row r="1623" spans="1:15" x14ac:dyDescent="0.35">
      <c r="A1623" t="s">
        <v>2438</v>
      </c>
      <c r="B1623" s="2">
        <v>45772</v>
      </c>
      <c r="C1623" t="s">
        <v>20</v>
      </c>
      <c r="D1623" t="s">
        <v>29</v>
      </c>
      <c r="E1623" t="s">
        <v>26</v>
      </c>
      <c r="F1623" t="s">
        <v>13</v>
      </c>
      <c r="G1623">
        <v>5</v>
      </c>
      <c r="H1623">
        <v>3.5</v>
      </c>
      <c r="I1623" t="s">
        <v>14</v>
      </c>
      <c r="J1623" t="s">
        <v>40</v>
      </c>
      <c r="K1623" s="12">
        <f>Store_Record[[#This Row],[Qty]]*Store_Record[[#This Row],[UnitPriceGBP]]</f>
        <v>17.5</v>
      </c>
      <c r="L1623" s="5" t="str">
        <f>TEXT(Store_Record[[#This Row],[Date]],"dddd")</f>
        <v>Friday</v>
      </c>
      <c r="M1623" s="5" t="str">
        <f>TEXT(Store_Record[[#This Row],[Date]],"mmmm")</f>
        <v>April</v>
      </c>
      <c r="N1623" s="5">
        <f>YEAR(Store_Record[[#This Row],[Date]])</f>
        <v>2025</v>
      </c>
      <c r="O1623"/>
    </row>
    <row r="1624" spans="1:15" x14ac:dyDescent="0.35">
      <c r="A1624" t="s">
        <v>2441</v>
      </c>
      <c r="B1624" s="2">
        <v>45772</v>
      </c>
      <c r="C1624" t="s">
        <v>36</v>
      </c>
      <c r="D1624" t="s">
        <v>25</v>
      </c>
      <c r="E1624" t="s">
        <v>26</v>
      </c>
      <c r="F1624" t="s">
        <v>13</v>
      </c>
      <c r="G1624">
        <v>5</v>
      </c>
      <c r="H1624">
        <v>3.5</v>
      </c>
      <c r="I1624" t="s">
        <v>39</v>
      </c>
      <c r="J1624" t="s">
        <v>1083</v>
      </c>
      <c r="K1624" s="12">
        <f>Store_Record[[#This Row],[Qty]]*Store_Record[[#This Row],[UnitPriceGBP]]</f>
        <v>17.5</v>
      </c>
      <c r="L1624" s="5" t="str">
        <f>TEXT(Store_Record[[#This Row],[Date]],"dddd")</f>
        <v>Friday</v>
      </c>
      <c r="M1624" s="5" t="str">
        <f>TEXT(Store_Record[[#This Row],[Date]],"mmmm")</f>
        <v>April</v>
      </c>
      <c r="N1624" s="5">
        <f>YEAR(Store_Record[[#This Row],[Date]])</f>
        <v>2025</v>
      </c>
      <c r="O1624"/>
    </row>
    <row r="1625" spans="1:15" x14ac:dyDescent="0.35">
      <c r="A1625" t="s">
        <v>2445</v>
      </c>
      <c r="B1625" s="2">
        <v>45772</v>
      </c>
      <c r="C1625" t="s">
        <v>24</v>
      </c>
      <c r="D1625" t="s">
        <v>38</v>
      </c>
      <c r="E1625" t="s">
        <v>42</v>
      </c>
      <c r="F1625" t="s">
        <v>13</v>
      </c>
      <c r="G1625">
        <v>4</v>
      </c>
      <c r="H1625">
        <v>3.8</v>
      </c>
      <c r="I1625" t="s">
        <v>14</v>
      </c>
      <c r="J1625" t="s">
        <v>109</v>
      </c>
      <c r="K1625" s="12">
        <f>Store_Record[[#This Row],[Qty]]*Store_Record[[#This Row],[UnitPriceGBP]]</f>
        <v>15.2</v>
      </c>
      <c r="L1625" s="5" t="str">
        <f>TEXT(Store_Record[[#This Row],[Date]],"dddd")</f>
        <v>Friday</v>
      </c>
      <c r="M1625" s="5" t="str">
        <f>TEXT(Store_Record[[#This Row],[Date]],"mmmm")</f>
        <v>April</v>
      </c>
      <c r="N1625" s="5">
        <f>YEAR(Store_Record[[#This Row],[Date]])</f>
        <v>2025</v>
      </c>
      <c r="O1625"/>
    </row>
    <row r="1626" spans="1:15" x14ac:dyDescent="0.35">
      <c r="A1626" t="s">
        <v>2443</v>
      </c>
      <c r="B1626" s="2">
        <v>45772</v>
      </c>
      <c r="C1626" t="s">
        <v>20</v>
      </c>
      <c r="D1626" t="s">
        <v>29</v>
      </c>
      <c r="E1626" t="s">
        <v>26</v>
      </c>
      <c r="F1626" t="s">
        <v>13</v>
      </c>
      <c r="G1626">
        <v>4</v>
      </c>
      <c r="H1626">
        <v>3.5</v>
      </c>
      <c r="I1626" t="s">
        <v>39</v>
      </c>
      <c r="J1626" t="s">
        <v>1655</v>
      </c>
      <c r="K1626" s="12">
        <f>Store_Record[[#This Row],[Qty]]*Store_Record[[#This Row],[UnitPriceGBP]]</f>
        <v>14</v>
      </c>
      <c r="L1626" s="5" t="str">
        <f>TEXT(Store_Record[[#This Row],[Date]],"dddd")</f>
        <v>Friday</v>
      </c>
      <c r="M1626" s="5" t="str">
        <f>TEXT(Store_Record[[#This Row],[Date]],"mmmm")</f>
        <v>April</v>
      </c>
      <c r="N1626" s="5">
        <f>YEAR(Store_Record[[#This Row],[Date]])</f>
        <v>2025</v>
      </c>
      <c r="O1626"/>
    </row>
    <row r="1627" spans="1:15" x14ac:dyDescent="0.35">
      <c r="A1627" t="s">
        <v>2448</v>
      </c>
      <c r="B1627" s="2">
        <v>45772</v>
      </c>
      <c r="C1627" t="s">
        <v>10</v>
      </c>
      <c r="D1627" t="s">
        <v>38</v>
      </c>
      <c r="E1627" t="s">
        <v>12</v>
      </c>
      <c r="F1627" t="s">
        <v>13</v>
      </c>
      <c r="G1627">
        <v>5</v>
      </c>
      <c r="H1627">
        <v>2.5</v>
      </c>
      <c r="I1627" t="s">
        <v>39</v>
      </c>
      <c r="J1627" t="s">
        <v>1408</v>
      </c>
      <c r="K1627" s="12">
        <f>Store_Record[[#This Row],[Qty]]*Store_Record[[#This Row],[UnitPriceGBP]]</f>
        <v>12.5</v>
      </c>
      <c r="L1627" s="5" t="str">
        <f>TEXT(Store_Record[[#This Row],[Date]],"dddd")</f>
        <v>Friday</v>
      </c>
      <c r="M1627" s="5" t="str">
        <f>TEXT(Store_Record[[#This Row],[Date]],"mmmm")</f>
        <v>April</v>
      </c>
      <c r="N1627" s="5">
        <f>YEAR(Store_Record[[#This Row],[Date]])</f>
        <v>2025</v>
      </c>
      <c r="O1627"/>
    </row>
    <row r="1628" spans="1:15" x14ac:dyDescent="0.35">
      <c r="A1628" t="s">
        <v>2450</v>
      </c>
      <c r="B1628" s="2">
        <v>45772</v>
      </c>
      <c r="C1628" t="s">
        <v>10</v>
      </c>
      <c r="D1628" t="s">
        <v>25</v>
      </c>
      <c r="E1628" t="s">
        <v>42</v>
      </c>
      <c r="F1628" t="s">
        <v>13</v>
      </c>
      <c r="G1628">
        <v>3</v>
      </c>
      <c r="H1628">
        <v>3.8</v>
      </c>
      <c r="I1628" t="s">
        <v>21</v>
      </c>
      <c r="J1628" t="s">
        <v>1283</v>
      </c>
      <c r="K1628" s="12">
        <f>Store_Record[[#This Row],[Qty]]*Store_Record[[#This Row],[UnitPriceGBP]]</f>
        <v>11.399999999999999</v>
      </c>
      <c r="L1628" s="5" t="str">
        <f>TEXT(Store_Record[[#This Row],[Date]],"dddd")</f>
        <v>Friday</v>
      </c>
      <c r="M1628" s="5" t="str">
        <f>TEXT(Store_Record[[#This Row],[Date]],"mmmm")</f>
        <v>April</v>
      </c>
      <c r="N1628" s="5">
        <f>YEAR(Store_Record[[#This Row],[Date]])</f>
        <v>2025</v>
      </c>
      <c r="O1628"/>
    </row>
    <row r="1629" spans="1:15" x14ac:dyDescent="0.35">
      <c r="A1629" t="s">
        <v>2449</v>
      </c>
      <c r="B1629" s="2">
        <v>45772</v>
      </c>
      <c r="C1629" t="s">
        <v>24</v>
      </c>
      <c r="D1629" t="s">
        <v>25</v>
      </c>
      <c r="E1629" t="s">
        <v>30</v>
      </c>
      <c r="F1629" t="s">
        <v>31</v>
      </c>
      <c r="G1629">
        <v>3</v>
      </c>
      <c r="H1629">
        <v>2.8</v>
      </c>
      <c r="I1629" t="s">
        <v>21</v>
      </c>
      <c r="J1629" t="s">
        <v>881</v>
      </c>
      <c r="K1629" s="12">
        <f>Store_Record[[#This Row],[Qty]]*Store_Record[[#This Row],[UnitPriceGBP]]</f>
        <v>8.3999999999999986</v>
      </c>
      <c r="L1629" s="5" t="str">
        <f>TEXT(Store_Record[[#This Row],[Date]],"dddd")</f>
        <v>Friday</v>
      </c>
      <c r="M1629" s="5" t="str">
        <f>TEXT(Store_Record[[#This Row],[Date]],"mmmm")</f>
        <v>April</v>
      </c>
      <c r="N1629" s="5">
        <f>YEAR(Store_Record[[#This Row],[Date]])</f>
        <v>2025</v>
      </c>
      <c r="O1629"/>
    </row>
    <row r="1630" spans="1:15" x14ac:dyDescent="0.35">
      <c r="A1630" t="s">
        <v>2440</v>
      </c>
      <c r="B1630" s="2">
        <v>45772</v>
      </c>
      <c r="C1630" t="s">
        <v>20</v>
      </c>
      <c r="D1630" t="s">
        <v>25</v>
      </c>
      <c r="E1630" t="s">
        <v>26</v>
      </c>
      <c r="F1630" t="s">
        <v>13</v>
      </c>
      <c r="G1630">
        <v>2</v>
      </c>
      <c r="H1630">
        <v>3.5</v>
      </c>
      <c r="I1630" t="s">
        <v>14</v>
      </c>
      <c r="J1630" t="s">
        <v>501</v>
      </c>
      <c r="K1630" s="12">
        <f>Store_Record[[#This Row],[Qty]]*Store_Record[[#This Row],[UnitPriceGBP]]</f>
        <v>7</v>
      </c>
      <c r="L1630" s="5" t="str">
        <f>TEXT(Store_Record[[#This Row],[Date]],"dddd")</f>
        <v>Friday</v>
      </c>
      <c r="M1630" s="5" t="str">
        <f>TEXT(Store_Record[[#This Row],[Date]],"mmmm")</f>
        <v>April</v>
      </c>
      <c r="N1630" s="5">
        <f>YEAR(Store_Record[[#This Row],[Date]])</f>
        <v>2025</v>
      </c>
      <c r="O1630"/>
    </row>
    <row r="1631" spans="1:15" x14ac:dyDescent="0.35">
      <c r="A1631" t="s">
        <v>2447</v>
      </c>
      <c r="B1631" s="2">
        <v>45772</v>
      </c>
      <c r="C1631" t="s">
        <v>10</v>
      </c>
      <c r="D1631" t="s">
        <v>38</v>
      </c>
      <c r="E1631" t="s">
        <v>34</v>
      </c>
      <c r="F1631" t="s">
        <v>31</v>
      </c>
      <c r="G1631">
        <v>3</v>
      </c>
      <c r="H1631">
        <v>2.2000000000000002</v>
      </c>
      <c r="I1631" t="s">
        <v>14</v>
      </c>
      <c r="J1631" t="s">
        <v>225</v>
      </c>
      <c r="K1631" s="12">
        <f>Store_Record[[#This Row],[Qty]]*Store_Record[[#This Row],[UnitPriceGBP]]</f>
        <v>6.6000000000000005</v>
      </c>
      <c r="L1631" s="5" t="str">
        <f>TEXT(Store_Record[[#This Row],[Date]],"dddd")</f>
        <v>Friday</v>
      </c>
      <c r="M1631" s="5" t="str">
        <f>TEXT(Store_Record[[#This Row],[Date]],"mmmm")</f>
        <v>April</v>
      </c>
      <c r="N1631" s="5">
        <f>YEAR(Store_Record[[#This Row],[Date]])</f>
        <v>2025</v>
      </c>
      <c r="O1631"/>
    </row>
    <row r="1632" spans="1:15" x14ac:dyDescent="0.35">
      <c r="A1632" t="s">
        <v>2451</v>
      </c>
      <c r="B1632" s="2">
        <v>45772</v>
      </c>
      <c r="C1632" t="s">
        <v>36</v>
      </c>
      <c r="D1632" t="s">
        <v>47</v>
      </c>
      <c r="E1632" t="s">
        <v>34</v>
      </c>
      <c r="F1632" t="s">
        <v>31</v>
      </c>
      <c r="G1632">
        <v>3</v>
      </c>
      <c r="H1632">
        <v>2.2000000000000002</v>
      </c>
      <c r="I1632" t="s">
        <v>14</v>
      </c>
      <c r="J1632" t="s">
        <v>1170</v>
      </c>
      <c r="K1632" s="12">
        <f>Store_Record[[#This Row],[Qty]]*Store_Record[[#This Row],[UnitPriceGBP]]</f>
        <v>6.6000000000000005</v>
      </c>
      <c r="L1632" s="5" t="str">
        <f>TEXT(Store_Record[[#This Row],[Date]],"dddd")</f>
        <v>Friday</v>
      </c>
      <c r="M1632" s="5" t="str">
        <f>TEXT(Store_Record[[#This Row],[Date]],"mmmm")</f>
        <v>April</v>
      </c>
      <c r="N1632" s="5">
        <f>YEAR(Store_Record[[#This Row],[Date]])</f>
        <v>2025</v>
      </c>
      <c r="O1632"/>
    </row>
    <row r="1633" spans="1:15" x14ac:dyDescent="0.35">
      <c r="A1633" t="s">
        <v>2452</v>
      </c>
      <c r="B1633" s="2">
        <v>45772</v>
      </c>
      <c r="C1633" t="s">
        <v>10</v>
      </c>
      <c r="D1633" t="s">
        <v>11</v>
      </c>
      <c r="E1633" t="s">
        <v>30</v>
      </c>
      <c r="F1633" t="s">
        <v>31</v>
      </c>
      <c r="G1633">
        <v>2</v>
      </c>
      <c r="H1633">
        <v>2.8</v>
      </c>
      <c r="I1633" t="s">
        <v>14</v>
      </c>
      <c r="J1633" t="s">
        <v>2453</v>
      </c>
      <c r="K1633" s="12">
        <f>Store_Record[[#This Row],[Qty]]*Store_Record[[#This Row],[UnitPriceGBP]]</f>
        <v>5.6</v>
      </c>
      <c r="L1633" s="5" t="str">
        <f>TEXT(Store_Record[[#This Row],[Date]],"dddd")</f>
        <v>Friday</v>
      </c>
      <c r="M1633" s="5" t="str">
        <f>TEXT(Store_Record[[#This Row],[Date]],"mmmm")</f>
        <v>April</v>
      </c>
      <c r="N1633" s="5">
        <f>YEAR(Store_Record[[#This Row],[Date]])</f>
        <v>2025</v>
      </c>
      <c r="O1633"/>
    </row>
    <row r="1634" spans="1:15" x14ac:dyDescent="0.35">
      <c r="A1634" t="s">
        <v>2444</v>
      </c>
      <c r="B1634" s="2">
        <v>45772</v>
      </c>
      <c r="C1634" t="s">
        <v>24</v>
      </c>
      <c r="D1634" t="s">
        <v>47</v>
      </c>
      <c r="E1634" t="s">
        <v>12</v>
      </c>
      <c r="F1634" t="s">
        <v>13</v>
      </c>
      <c r="G1634">
        <v>2</v>
      </c>
      <c r="H1634">
        <v>2.5</v>
      </c>
      <c r="I1634" t="s">
        <v>14</v>
      </c>
      <c r="J1634" t="s">
        <v>230</v>
      </c>
      <c r="K1634" s="12">
        <f>Store_Record[[#This Row],[Qty]]*Store_Record[[#This Row],[UnitPriceGBP]]</f>
        <v>5</v>
      </c>
      <c r="L1634" s="5" t="str">
        <f>TEXT(Store_Record[[#This Row],[Date]],"dddd")</f>
        <v>Friday</v>
      </c>
      <c r="M1634" s="5" t="str">
        <f>TEXT(Store_Record[[#This Row],[Date]],"mmmm")</f>
        <v>April</v>
      </c>
      <c r="N1634" s="5">
        <f>YEAR(Store_Record[[#This Row],[Date]])</f>
        <v>2025</v>
      </c>
      <c r="O1634"/>
    </row>
    <row r="1635" spans="1:15" x14ac:dyDescent="0.35">
      <c r="A1635" t="s">
        <v>2442</v>
      </c>
      <c r="B1635" s="2">
        <v>45772</v>
      </c>
      <c r="C1635" t="s">
        <v>10</v>
      </c>
      <c r="D1635" t="s">
        <v>25</v>
      </c>
      <c r="E1635" t="s">
        <v>34</v>
      </c>
      <c r="F1635" t="s">
        <v>31</v>
      </c>
      <c r="G1635">
        <v>2</v>
      </c>
      <c r="H1635">
        <v>2.2000000000000002</v>
      </c>
      <c r="I1635" t="s">
        <v>14</v>
      </c>
      <c r="J1635" t="s">
        <v>921</v>
      </c>
      <c r="K1635" s="12">
        <f>Store_Record[[#This Row],[Qty]]*Store_Record[[#This Row],[UnitPriceGBP]]</f>
        <v>4.4000000000000004</v>
      </c>
      <c r="L1635" s="5" t="str">
        <f>TEXT(Store_Record[[#This Row],[Date]],"dddd")</f>
        <v>Friday</v>
      </c>
      <c r="M1635" s="5" t="str">
        <f>TEXT(Store_Record[[#This Row],[Date]],"mmmm")</f>
        <v>April</v>
      </c>
      <c r="N1635" s="5">
        <f>YEAR(Store_Record[[#This Row],[Date]])</f>
        <v>2025</v>
      </c>
      <c r="O1635"/>
    </row>
    <row r="1636" spans="1:15" x14ac:dyDescent="0.35">
      <c r="A1636" t="s">
        <v>2446</v>
      </c>
      <c r="B1636" s="2">
        <v>45772</v>
      </c>
      <c r="C1636" t="s">
        <v>36</v>
      </c>
      <c r="D1636" t="s">
        <v>47</v>
      </c>
      <c r="E1636" t="s">
        <v>42</v>
      </c>
      <c r="F1636" t="s">
        <v>13</v>
      </c>
      <c r="G1636">
        <v>1</v>
      </c>
      <c r="H1636">
        <v>3.8</v>
      </c>
      <c r="I1636" t="s">
        <v>21</v>
      </c>
      <c r="J1636" t="s">
        <v>1132</v>
      </c>
      <c r="K1636" s="12">
        <f>Store_Record[[#This Row],[Qty]]*Store_Record[[#This Row],[UnitPriceGBP]]</f>
        <v>3.8</v>
      </c>
      <c r="L1636" s="5" t="str">
        <f>TEXT(Store_Record[[#This Row],[Date]],"dddd")</f>
        <v>Friday</v>
      </c>
      <c r="M1636" s="5" t="str">
        <f>TEXT(Store_Record[[#This Row],[Date]],"mmmm")</f>
        <v>April</v>
      </c>
      <c r="N1636" s="5">
        <f>YEAR(Store_Record[[#This Row],[Date]])</f>
        <v>2025</v>
      </c>
      <c r="O1636"/>
    </row>
    <row r="1637" spans="1:15" x14ac:dyDescent="0.35">
      <c r="A1637" t="s">
        <v>2439</v>
      </c>
      <c r="B1637" s="2">
        <v>45772</v>
      </c>
      <c r="C1637" t="s">
        <v>20</v>
      </c>
      <c r="D1637" t="s">
        <v>29</v>
      </c>
      <c r="E1637" t="s">
        <v>26</v>
      </c>
      <c r="F1637" t="s">
        <v>13</v>
      </c>
      <c r="G1637">
        <v>1</v>
      </c>
      <c r="H1637">
        <v>3.5</v>
      </c>
      <c r="I1637" t="s">
        <v>14</v>
      </c>
      <c r="J1637" t="s">
        <v>1267</v>
      </c>
      <c r="K1637" s="12">
        <f>Store_Record[[#This Row],[Qty]]*Store_Record[[#This Row],[UnitPriceGBP]]</f>
        <v>3.5</v>
      </c>
      <c r="L1637" s="5" t="str">
        <f>TEXT(Store_Record[[#This Row],[Date]],"dddd")</f>
        <v>Friday</v>
      </c>
      <c r="M1637" s="5" t="str">
        <f>TEXT(Store_Record[[#This Row],[Date]],"mmmm")</f>
        <v>April</v>
      </c>
      <c r="N1637" s="5">
        <f>YEAR(Store_Record[[#This Row],[Date]])</f>
        <v>2025</v>
      </c>
      <c r="O1637"/>
    </row>
    <row r="1638" spans="1:15" x14ac:dyDescent="0.35">
      <c r="A1638" t="s">
        <v>2460</v>
      </c>
      <c r="B1638" s="2">
        <v>45773</v>
      </c>
      <c r="C1638" t="s">
        <v>20</v>
      </c>
      <c r="D1638" t="s">
        <v>11</v>
      </c>
      <c r="E1638" t="s">
        <v>26</v>
      </c>
      <c r="F1638" t="s">
        <v>13</v>
      </c>
      <c r="G1638">
        <v>5</v>
      </c>
      <c r="H1638">
        <v>3.5</v>
      </c>
      <c r="I1638" t="s">
        <v>21</v>
      </c>
      <c r="J1638" t="s">
        <v>1029</v>
      </c>
      <c r="K1638" s="12">
        <f>Store_Record[[#This Row],[Qty]]*Store_Record[[#This Row],[UnitPriceGBP]]</f>
        <v>17.5</v>
      </c>
      <c r="L1638" s="5" t="str">
        <f>TEXT(Store_Record[[#This Row],[Date]],"dddd")</f>
        <v>Saturday</v>
      </c>
      <c r="M1638" s="5" t="str">
        <f>TEXT(Store_Record[[#This Row],[Date]],"mmmm")</f>
        <v>April</v>
      </c>
      <c r="N1638" s="5">
        <f>YEAR(Store_Record[[#This Row],[Date]])</f>
        <v>2025</v>
      </c>
      <c r="O1638"/>
    </row>
    <row r="1639" spans="1:15" x14ac:dyDescent="0.35">
      <c r="A1639" t="s">
        <v>2463</v>
      </c>
      <c r="B1639" s="2">
        <v>45773</v>
      </c>
      <c r="C1639" t="s">
        <v>20</v>
      </c>
      <c r="D1639" t="s">
        <v>29</v>
      </c>
      <c r="E1639" t="s">
        <v>42</v>
      </c>
      <c r="F1639" t="s">
        <v>13</v>
      </c>
      <c r="G1639">
        <v>4</v>
      </c>
      <c r="H1639">
        <v>3.8</v>
      </c>
      <c r="I1639" t="s">
        <v>14</v>
      </c>
      <c r="J1639" t="s">
        <v>1468</v>
      </c>
      <c r="K1639" s="12">
        <f>Store_Record[[#This Row],[Qty]]*Store_Record[[#This Row],[UnitPriceGBP]]</f>
        <v>15.2</v>
      </c>
      <c r="L1639" s="5" t="str">
        <f>TEXT(Store_Record[[#This Row],[Date]],"dddd")</f>
        <v>Saturday</v>
      </c>
      <c r="M1639" s="5" t="str">
        <f>TEXT(Store_Record[[#This Row],[Date]],"mmmm")</f>
        <v>April</v>
      </c>
      <c r="N1639" s="5">
        <f>YEAR(Store_Record[[#This Row],[Date]])</f>
        <v>2025</v>
      </c>
      <c r="O1639"/>
    </row>
    <row r="1640" spans="1:15" x14ac:dyDescent="0.35">
      <c r="A1640" t="s">
        <v>2459</v>
      </c>
      <c r="B1640" s="2">
        <v>45773</v>
      </c>
      <c r="C1640" t="s">
        <v>20</v>
      </c>
      <c r="D1640" t="s">
        <v>25</v>
      </c>
      <c r="E1640" t="s">
        <v>26</v>
      </c>
      <c r="F1640" t="s">
        <v>13</v>
      </c>
      <c r="G1640">
        <v>4</v>
      </c>
      <c r="H1640">
        <v>3.5</v>
      </c>
      <c r="I1640" t="s">
        <v>21</v>
      </c>
      <c r="J1640" t="s">
        <v>1976</v>
      </c>
      <c r="K1640" s="12">
        <f>Store_Record[[#This Row],[Qty]]*Store_Record[[#This Row],[UnitPriceGBP]]</f>
        <v>14</v>
      </c>
      <c r="L1640" s="5" t="str">
        <f>TEXT(Store_Record[[#This Row],[Date]],"dddd")</f>
        <v>Saturday</v>
      </c>
      <c r="M1640" s="5" t="str">
        <f>TEXT(Store_Record[[#This Row],[Date]],"mmmm")</f>
        <v>April</v>
      </c>
      <c r="N1640" s="5">
        <f>YEAR(Store_Record[[#This Row],[Date]])</f>
        <v>2025</v>
      </c>
      <c r="O1640"/>
    </row>
    <row r="1641" spans="1:15" x14ac:dyDescent="0.35">
      <c r="A1641" t="s">
        <v>2461</v>
      </c>
      <c r="B1641" s="2">
        <v>45773</v>
      </c>
      <c r="C1641" t="s">
        <v>10</v>
      </c>
      <c r="D1641" t="s">
        <v>25</v>
      </c>
      <c r="E1641" t="s">
        <v>30</v>
      </c>
      <c r="F1641" t="s">
        <v>31</v>
      </c>
      <c r="G1641">
        <v>5</v>
      </c>
      <c r="H1641">
        <v>2.8</v>
      </c>
      <c r="I1641" t="s">
        <v>39</v>
      </c>
      <c r="J1641" t="s">
        <v>298</v>
      </c>
      <c r="K1641" s="12">
        <f>Store_Record[[#This Row],[Qty]]*Store_Record[[#This Row],[UnitPriceGBP]]</f>
        <v>14</v>
      </c>
      <c r="L1641" s="5" t="str">
        <f>TEXT(Store_Record[[#This Row],[Date]],"dddd")</f>
        <v>Saturday</v>
      </c>
      <c r="M1641" s="5" t="str">
        <f>TEXT(Store_Record[[#This Row],[Date]],"mmmm")</f>
        <v>April</v>
      </c>
      <c r="N1641" s="5">
        <f>YEAR(Store_Record[[#This Row],[Date]])</f>
        <v>2025</v>
      </c>
      <c r="O1641"/>
    </row>
    <row r="1642" spans="1:15" x14ac:dyDescent="0.35">
      <c r="A1642" t="s">
        <v>2469</v>
      </c>
      <c r="B1642" s="2">
        <v>45773</v>
      </c>
      <c r="C1642" t="s">
        <v>20</v>
      </c>
      <c r="D1642" t="s">
        <v>11</v>
      </c>
      <c r="E1642" t="s">
        <v>26</v>
      </c>
      <c r="F1642" t="s">
        <v>13</v>
      </c>
      <c r="G1642">
        <v>4</v>
      </c>
      <c r="H1642">
        <v>3.5</v>
      </c>
      <c r="I1642" t="s">
        <v>21</v>
      </c>
      <c r="J1642" t="s">
        <v>1584</v>
      </c>
      <c r="K1642" s="12">
        <f>Store_Record[[#This Row],[Qty]]*Store_Record[[#This Row],[UnitPriceGBP]]</f>
        <v>14</v>
      </c>
      <c r="L1642" s="5" t="str">
        <f>TEXT(Store_Record[[#This Row],[Date]],"dddd")</f>
        <v>Saturday</v>
      </c>
      <c r="M1642" s="5" t="str">
        <f>TEXT(Store_Record[[#This Row],[Date]],"mmmm")</f>
        <v>April</v>
      </c>
      <c r="N1642" s="5">
        <f>YEAR(Store_Record[[#This Row],[Date]])</f>
        <v>2025</v>
      </c>
      <c r="O1642"/>
    </row>
    <row r="1643" spans="1:15" x14ac:dyDescent="0.35">
      <c r="A1643" t="s">
        <v>2456</v>
      </c>
      <c r="B1643" s="2">
        <v>45773</v>
      </c>
      <c r="C1643" t="s">
        <v>20</v>
      </c>
      <c r="D1643" t="s">
        <v>11</v>
      </c>
      <c r="E1643" t="s">
        <v>12</v>
      </c>
      <c r="F1643" t="s">
        <v>13</v>
      </c>
      <c r="G1643">
        <v>5</v>
      </c>
      <c r="H1643">
        <v>2.5</v>
      </c>
      <c r="I1643" t="s">
        <v>21</v>
      </c>
      <c r="J1643" t="s">
        <v>2457</v>
      </c>
      <c r="K1643" s="12">
        <f>Store_Record[[#This Row],[Qty]]*Store_Record[[#This Row],[UnitPriceGBP]]</f>
        <v>12.5</v>
      </c>
      <c r="L1643" s="5" t="str">
        <f>TEXT(Store_Record[[#This Row],[Date]],"dddd")</f>
        <v>Saturday</v>
      </c>
      <c r="M1643" s="5" t="str">
        <f>TEXT(Store_Record[[#This Row],[Date]],"mmmm")</f>
        <v>April</v>
      </c>
      <c r="N1643" s="5">
        <f>YEAR(Store_Record[[#This Row],[Date]])</f>
        <v>2025</v>
      </c>
      <c r="O1643"/>
    </row>
    <row r="1644" spans="1:15" x14ac:dyDescent="0.35">
      <c r="A1644" t="s">
        <v>2455</v>
      </c>
      <c r="B1644" s="2">
        <v>45773</v>
      </c>
      <c r="C1644" t="s">
        <v>36</v>
      </c>
      <c r="D1644" t="s">
        <v>29</v>
      </c>
      <c r="E1644" t="s">
        <v>12</v>
      </c>
      <c r="F1644" t="s">
        <v>13</v>
      </c>
      <c r="G1644">
        <v>4</v>
      </c>
      <c r="H1644">
        <v>2.5</v>
      </c>
      <c r="I1644" t="s">
        <v>21</v>
      </c>
      <c r="J1644" t="s">
        <v>32</v>
      </c>
      <c r="K1644" s="12">
        <f>Store_Record[[#This Row],[Qty]]*Store_Record[[#This Row],[UnitPriceGBP]]</f>
        <v>10</v>
      </c>
      <c r="L1644" s="5" t="str">
        <f>TEXT(Store_Record[[#This Row],[Date]],"dddd")</f>
        <v>Saturday</v>
      </c>
      <c r="M1644" s="5" t="str">
        <f>TEXT(Store_Record[[#This Row],[Date]],"mmmm")</f>
        <v>April</v>
      </c>
      <c r="N1644" s="5">
        <f>YEAR(Store_Record[[#This Row],[Date]])</f>
        <v>2025</v>
      </c>
      <c r="O1644"/>
    </row>
    <row r="1645" spans="1:15" x14ac:dyDescent="0.35">
      <c r="A1645" t="s">
        <v>2464</v>
      </c>
      <c r="B1645" s="2">
        <v>45773</v>
      </c>
      <c r="C1645" t="s">
        <v>10</v>
      </c>
      <c r="D1645" t="s">
        <v>29</v>
      </c>
      <c r="E1645" t="s">
        <v>12</v>
      </c>
      <c r="F1645" t="s">
        <v>13</v>
      </c>
      <c r="G1645">
        <v>3</v>
      </c>
      <c r="H1645">
        <v>2.5</v>
      </c>
      <c r="I1645" t="s">
        <v>21</v>
      </c>
      <c r="J1645" t="s">
        <v>109</v>
      </c>
      <c r="K1645" s="12">
        <f>Store_Record[[#This Row],[Qty]]*Store_Record[[#This Row],[UnitPriceGBP]]</f>
        <v>7.5</v>
      </c>
      <c r="L1645" s="5" t="str">
        <f>TEXT(Store_Record[[#This Row],[Date]],"dddd")</f>
        <v>Saturday</v>
      </c>
      <c r="M1645" s="5" t="str">
        <f>TEXT(Store_Record[[#This Row],[Date]],"mmmm")</f>
        <v>April</v>
      </c>
      <c r="N1645" s="5">
        <f>YEAR(Store_Record[[#This Row],[Date]])</f>
        <v>2025</v>
      </c>
      <c r="O1645"/>
    </row>
    <row r="1646" spans="1:15" x14ac:dyDescent="0.35">
      <c r="A1646" t="s">
        <v>2458</v>
      </c>
      <c r="B1646" s="2">
        <v>45773</v>
      </c>
      <c r="C1646" t="s">
        <v>36</v>
      </c>
      <c r="D1646" t="s">
        <v>38</v>
      </c>
      <c r="E1646" t="s">
        <v>26</v>
      </c>
      <c r="F1646" t="s">
        <v>13</v>
      </c>
      <c r="G1646">
        <v>2</v>
      </c>
      <c r="H1646">
        <v>3.5</v>
      </c>
      <c r="I1646" t="s">
        <v>14</v>
      </c>
      <c r="J1646" t="s">
        <v>1524</v>
      </c>
      <c r="K1646" s="12">
        <f>Store_Record[[#This Row],[Qty]]*Store_Record[[#This Row],[UnitPriceGBP]]</f>
        <v>7</v>
      </c>
      <c r="L1646" s="5" t="str">
        <f>TEXT(Store_Record[[#This Row],[Date]],"dddd")</f>
        <v>Saturday</v>
      </c>
      <c r="M1646" s="5" t="str">
        <f>TEXT(Store_Record[[#This Row],[Date]],"mmmm")</f>
        <v>April</v>
      </c>
      <c r="N1646" s="5">
        <f>YEAR(Store_Record[[#This Row],[Date]])</f>
        <v>2025</v>
      </c>
      <c r="O1646"/>
    </row>
    <row r="1647" spans="1:15" x14ac:dyDescent="0.35">
      <c r="A1647" t="s">
        <v>2471</v>
      </c>
      <c r="B1647" s="2">
        <v>45773</v>
      </c>
      <c r="C1647" t="s">
        <v>36</v>
      </c>
      <c r="D1647" t="s">
        <v>11</v>
      </c>
      <c r="E1647" t="s">
        <v>26</v>
      </c>
      <c r="F1647" t="s">
        <v>13</v>
      </c>
      <c r="G1647">
        <v>2</v>
      </c>
      <c r="H1647">
        <v>3.5</v>
      </c>
      <c r="I1647" t="s">
        <v>21</v>
      </c>
      <c r="J1647" t="s">
        <v>908</v>
      </c>
      <c r="K1647" s="12">
        <f>Store_Record[[#This Row],[Qty]]*Store_Record[[#This Row],[UnitPriceGBP]]</f>
        <v>7</v>
      </c>
      <c r="L1647" s="5" t="str">
        <f>TEXT(Store_Record[[#This Row],[Date]],"dddd")</f>
        <v>Saturday</v>
      </c>
      <c r="M1647" s="5" t="str">
        <f>TEXT(Store_Record[[#This Row],[Date]],"mmmm")</f>
        <v>April</v>
      </c>
      <c r="N1647" s="5">
        <f>YEAR(Store_Record[[#This Row],[Date]])</f>
        <v>2025</v>
      </c>
      <c r="O1647"/>
    </row>
    <row r="1648" spans="1:15" x14ac:dyDescent="0.35">
      <c r="A1648" t="s">
        <v>2462</v>
      </c>
      <c r="B1648" s="2">
        <v>45773</v>
      </c>
      <c r="C1648" t="s">
        <v>24</v>
      </c>
      <c r="D1648" t="s">
        <v>11</v>
      </c>
      <c r="E1648" t="s">
        <v>34</v>
      </c>
      <c r="F1648" t="s">
        <v>31</v>
      </c>
      <c r="G1648">
        <v>3</v>
      </c>
      <c r="H1648">
        <v>2.2000000000000002</v>
      </c>
      <c r="I1648" t="s">
        <v>21</v>
      </c>
      <c r="J1648" t="s">
        <v>860</v>
      </c>
      <c r="K1648" s="12">
        <f>Store_Record[[#This Row],[Qty]]*Store_Record[[#This Row],[UnitPriceGBP]]</f>
        <v>6.6000000000000005</v>
      </c>
      <c r="L1648" s="5" t="str">
        <f>TEXT(Store_Record[[#This Row],[Date]],"dddd")</f>
        <v>Saturday</v>
      </c>
      <c r="M1648" s="5" t="str">
        <f>TEXT(Store_Record[[#This Row],[Date]],"mmmm")</f>
        <v>April</v>
      </c>
      <c r="N1648" s="5">
        <f>YEAR(Store_Record[[#This Row],[Date]])</f>
        <v>2025</v>
      </c>
      <c r="O1648"/>
    </row>
    <row r="1649" spans="1:15" x14ac:dyDescent="0.35">
      <c r="A1649" t="s">
        <v>2454</v>
      </c>
      <c r="B1649" s="2">
        <v>45773</v>
      </c>
      <c r="C1649" t="s">
        <v>24</v>
      </c>
      <c r="D1649" t="s">
        <v>11</v>
      </c>
      <c r="E1649" t="s">
        <v>12</v>
      </c>
      <c r="F1649" t="s">
        <v>13</v>
      </c>
      <c r="G1649">
        <v>2</v>
      </c>
      <c r="H1649">
        <v>2.5</v>
      </c>
      <c r="I1649" t="s">
        <v>21</v>
      </c>
      <c r="J1649" t="s">
        <v>691</v>
      </c>
      <c r="K1649" s="12">
        <f>Store_Record[[#This Row],[Qty]]*Store_Record[[#This Row],[UnitPriceGBP]]</f>
        <v>5</v>
      </c>
      <c r="L1649" s="5" t="str">
        <f>TEXT(Store_Record[[#This Row],[Date]],"dddd")</f>
        <v>Saturday</v>
      </c>
      <c r="M1649" s="5" t="str">
        <f>TEXT(Store_Record[[#This Row],[Date]],"mmmm")</f>
        <v>April</v>
      </c>
      <c r="N1649" s="5">
        <f>YEAR(Store_Record[[#This Row],[Date]])</f>
        <v>2025</v>
      </c>
      <c r="O1649"/>
    </row>
    <row r="1650" spans="1:15" x14ac:dyDescent="0.35">
      <c r="A1650" t="s">
        <v>2470</v>
      </c>
      <c r="B1650" s="2">
        <v>45773</v>
      </c>
      <c r="C1650" t="s">
        <v>20</v>
      </c>
      <c r="D1650" t="s">
        <v>47</v>
      </c>
      <c r="E1650" t="s">
        <v>12</v>
      </c>
      <c r="F1650" t="s">
        <v>13</v>
      </c>
      <c r="G1650">
        <v>2</v>
      </c>
      <c r="H1650">
        <v>2.5</v>
      </c>
      <c r="I1650" t="s">
        <v>14</v>
      </c>
      <c r="J1650" t="s">
        <v>945</v>
      </c>
      <c r="K1650" s="12">
        <f>Store_Record[[#This Row],[Qty]]*Store_Record[[#This Row],[UnitPriceGBP]]</f>
        <v>5</v>
      </c>
      <c r="L1650" s="5" t="str">
        <f>TEXT(Store_Record[[#This Row],[Date]],"dddd")</f>
        <v>Saturday</v>
      </c>
      <c r="M1650" s="5" t="str">
        <f>TEXT(Store_Record[[#This Row],[Date]],"mmmm")</f>
        <v>April</v>
      </c>
      <c r="N1650" s="5">
        <f>YEAR(Store_Record[[#This Row],[Date]])</f>
        <v>2025</v>
      </c>
      <c r="O1650"/>
    </row>
    <row r="1651" spans="1:15" x14ac:dyDescent="0.35">
      <c r="A1651" t="s">
        <v>2467</v>
      </c>
      <c r="B1651" s="2">
        <v>45773</v>
      </c>
      <c r="C1651" t="s">
        <v>36</v>
      </c>
      <c r="D1651" t="s">
        <v>47</v>
      </c>
      <c r="E1651" t="s">
        <v>30</v>
      </c>
      <c r="F1651" t="s">
        <v>31</v>
      </c>
      <c r="G1651">
        <v>1</v>
      </c>
      <c r="H1651">
        <v>2.8</v>
      </c>
      <c r="I1651" t="s">
        <v>14</v>
      </c>
      <c r="J1651" t="s">
        <v>366</v>
      </c>
      <c r="K1651" s="12">
        <f>Store_Record[[#This Row],[Qty]]*Store_Record[[#This Row],[UnitPriceGBP]]</f>
        <v>2.8</v>
      </c>
      <c r="L1651" s="5" t="str">
        <f>TEXT(Store_Record[[#This Row],[Date]],"dddd")</f>
        <v>Saturday</v>
      </c>
      <c r="M1651" s="5" t="str">
        <f>TEXT(Store_Record[[#This Row],[Date]],"mmmm")</f>
        <v>April</v>
      </c>
      <c r="N1651" s="5">
        <f>YEAR(Store_Record[[#This Row],[Date]])</f>
        <v>2025</v>
      </c>
      <c r="O1651"/>
    </row>
    <row r="1652" spans="1:15" x14ac:dyDescent="0.35">
      <c r="A1652" t="s">
        <v>2468</v>
      </c>
      <c r="B1652" s="2">
        <v>45773</v>
      </c>
      <c r="C1652" t="s">
        <v>20</v>
      </c>
      <c r="D1652" t="s">
        <v>29</v>
      </c>
      <c r="E1652" t="s">
        <v>30</v>
      </c>
      <c r="F1652" t="s">
        <v>31</v>
      </c>
      <c r="G1652">
        <v>1</v>
      </c>
      <c r="H1652">
        <v>2.8</v>
      </c>
      <c r="I1652" t="s">
        <v>21</v>
      </c>
      <c r="J1652" t="s">
        <v>1214</v>
      </c>
      <c r="K1652" s="12">
        <f>Store_Record[[#This Row],[Qty]]*Store_Record[[#This Row],[UnitPriceGBP]]</f>
        <v>2.8</v>
      </c>
      <c r="L1652" s="5" t="str">
        <f>TEXT(Store_Record[[#This Row],[Date]],"dddd")</f>
        <v>Saturday</v>
      </c>
      <c r="M1652" s="5" t="str">
        <f>TEXT(Store_Record[[#This Row],[Date]],"mmmm")</f>
        <v>April</v>
      </c>
      <c r="N1652" s="5">
        <f>YEAR(Store_Record[[#This Row],[Date]])</f>
        <v>2025</v>
      </c>
      <c r="O1652"/>
    </row>
    <row r="1653" spans="1:15" x14ac:dyDescent="0.35">
      <c r="A1653" t="s">
        <v>2465</v>
      </c>
      <c r="B1653" s="2">
        <v>45773</v>
      </c>
      <c r="C1653" t="s">
        <v>24</v>
      </c>
      <c r="D1653" t="s">
        <v>25</v>
      </c>
      <c r="E1653" t="s">
        <v>12</v>
      </c>
      <c r="F1653" t="s">
        <v>13</v>
      </c>
      <c r="G1653">
        <v>1</v>
      </c>
      <c r="H1653">
        <v>2.5</v>
      </c>
      <c r="I1653" t="s">
        <v>21</v>
      </c>
      <c r="J1653" t="s">
        <v>2466</v>
      </c>
      <c r="K1653" s="12">
        <f>Store_Record[[#This Row],[Qty]]*Store_Record[[#This Row],[UnitPriceGBP]]</f>
        <v>2.5</v>
      </c>
      <c r="L1653" s="5" t="str">
        <f>TEXT(Store_Record[[#This Row],[Date]],"dddd")</f>
        <v>Saturday</v>
      </c>
      <c r="M1653" s="5" t="str">
        <f>TEXT(Store_Record[[#This Row],[Date]],"mmmm")</f>
        <v>April</v>
      </c>
      <c r="N1653" s="5">
        <f>YEAR(Store_Record[[#This Row],[Date]])</f>
        <v>2025</v>
      </c>
      <c r="O1653"/>
    </row>
    <row r="1654" spans="1:15" x14ac:dyDescent="0.35">
      <c r="A1654" t="s">
        <v>2483</v>
      </c>
      <c r="B1654" s="2">
        <v>45774</v>
      </c>
      <c r="C1654" t="s">
        <v>36</v>
      </c>
      <c r="D1654" t="s">
        <v>38</v>
      </c>
      <c r="E1654" t="s">
        <v>42</v>
      </c>
      <c r="F1654" t="s">
        <v>13</v>
      </c>
      <c r="G1654">
        <v>5</v>
      </c>
      <c r="H1654">
        <v>3.8</v>
      </c>
      <c r="I1654" t="s">
        <v>21</v>
      </c>
      <c r="J1654" t="s">
        <v>1616</v>
      </c>
      <c r="K1654" s="12">
        <f>Store_Record[[#This Row],[Qty]]*Store_Record[[#This Row],[UnitPriceGBP]]</f>
        <v>19</v>
      </c>
      <c r="L1654" s="5" t="str">
        <f>TEXT(Store_Record[[#This Row],[Date]],"dddd")</f>
        <v>Sunday</v>
      </c>
      <c r="M1654" s="5" t="str">
        <f>TEXT(Store_Record[[#This Row],[Date]],"mmmm")</f>
        <v>April</v>
      </c>
      <c r="N1654" s="5">
        <f>YEAR(Store_Record[[#This Row],[Date]])</f>
        <v>2025</v>
      </c>
      <c r="O1654"/>
    </row>
    <row r="1655" spans="1:15" x14ac:dyDescent="0.35">
      <c r="A1655" t="s">
        <v>2474</v>
      </c>
      <c r="B1655" s="2">
        <v>45774</v>
      </c>
      <c r="C1655" t="s">
        <v>36</v>
      </c>
      <c r="D1655" t="s">
        <v>29</v>
      </c>
      <c r="E1655" t="s">
        <v>42</v>
      </c>
      <c r="F1655" t="s">
        <v>13</v>
      </c>
      <c r="G1655">
        <v>4</v>
      </c>
      <c r="H1655">
        <v>3.8</v>
      </c>
      <c r="I1655" t="s">
        <v>21</v>
      </c>
      <c r="J1655" t="s">
        <v>173</v>
      </c>
      <c r="K1655" s="12">
        <f>Store_Record[[#This Row],[Qty]]*Store_Record[[#This Row],[UnitPriceGBP]]</f>
        <v>15.2</v>
      </c>
      <c r="L1655" s="5" t="str">
        <f>TEXT(Store_Record[[#This Row],[Date]],"dddd")</f>
        <v>Sunday</v>
      </c>
      <c r="M1655" s="5" t="str">
        <f>TEXT(Store_Record[[#This Row],[Date]],"mmmm")</f>
        <v>April</v>
      </c>
      <c r="N1655" s="5">
        <f>YEAR(Store_Record[[#This Row],[Date]])</f>
        <v>2025</v>
      </c>
      <c r="O1655"/>
    </row>
    <row r="1656" spans="1:15" x14ac:dyDescent="0.35">
      <c r="A1656" t="s">
        <v>2472</v>
      </c>
      <c r="B1656" s="2">
        <v>45774</v>
      </c>
      <c r="C1656" t="s">
        <v>20</v>
      </c>
      <c r="D1656" t="s">
        <v>29</v>
      </c>
      <c r="E1656" t="s">
        <v>30</v>
      </c>
      <c r="F1656" t="s">
        <v>31</v>
      </c>
      <c r="G1656">
        <v>5</v>
      </c>
      <c r="H1656">
        <v>2.8</v>
      </c>
      <c r="I1656" t="s">
        <v>21</v>
      </c>
      <c r="J1656" t="s">
        <v>745</v>
      </c>
      <c r="K1656" s="12">
        <f>Store_Record[[#This Row],[Qty]]*Store_Record[[#This Row],[UnitPriceGBP]]</f>
        <v>14</v>
      </c>
      <c r="L1656" s="5" t="str">
        <f>TEXT(Store_Record[[#This Row],[Date]],"dddd")</f>
        <v>Sunday</v>
      </c>
      <c r="M1656" s="5" t="str">
        <f>TEXT(Store_Record[[#This Row],[Date]],"mmmm")</f>
        <v>April</v>
      </c>
      <c r="N1656" s="5">
        <f>YEAR(Store_Record[[#This Row],[Date]])</f>
        <v>2025</v>
      </c>
      <c r="O1656"/>
    </row>
    <row r="1657" spans="1:15" x14ac:dyDescent="0.35">
      <c r="A1657" t="s">
        <v>2475</v>
      </c>
      <c r="B1657" s="2">
        <v>45774</v>
      </c>
      <c r="C1657" t="s">
        <v>20</v>
      </c>
      <c r="D1657" t="s">
        <v>25</v>
      </c>
      <c r="E1657" t="s">
        <v>34</v>
      </c>
      <c r="F1657" t="s">
        <v>31</v>
      </c>
      <c r="G1657">
        <v>4</v>
      </c>
      <c r="H1657">
        <v>2.2000000000000002</v>
      </c>
      <c r="I1657" t="s">
        <v>39</v>
      </c>
      <c r="J1657" t="s">
        <v>273</v>
      </c>
      <c r="K1657" s="12">
        <f>Store_Record[[#This Row],[Qty]]*Store_Record[[#This Row],[UnitPriceGBP]]</f>
        <v>8.8000000000000007</v>
      </c>
      <c r="L1657" s="5" t="str">
        <f>TEXT(Store_Record[[#This Row],[Date]],"dddd")</f>
        <v>Sunday</v>
      </c>
      <c r="M1657" s="5" t="str">
        <f>TEXT(Store_Record[[#This Row],[Date]],"mmmm")</f>
        <v>April</v>
      </c>
      <c r="N1657" s="5">
        <f>YEAR(Store_Record[[#This Row],[Date]])</f>
        <v>2025</v>
      </c>
      <c r="O1657"/>
    </row>
    <row r="1658" spans="1:15" x14ac:dyDescent="0.35">
      <c r="A1658" t="s">
        <v>2477</v>
      </c>
      <c r="B1658" s="2">
        <v>45774</v>
      </c>
      <c r="C1658" t="s">
        <v>20</v>
      </c>
      <c r="D1658" t="s">
        <v>25</v>
      </c>
      <c r="E1658" t="s">
        <v>34</v>
      </c>
      <c r="F1658" t="s">
        <v>31</v>
      </c>
      <c r="G1658">
        <v>4</v>
      </c>
      <c r="H1658">
        <v>2.2000000000000002</v>
      </c>
      <c r="I1658" t="s">
        <v>14</v>
      </c>
      <c r="J1658" t="s">
        <v>2478</v>
      </c>
      <c r="K1658" s="12">
        <f>Store_Record[[#This Row],[Qty]]*Store_Record[[#This Row],[UnitPriceGBP]]</f>
        <v>8.8000000000000007</v>
      </c>
      <c r="L1658" s="5" t="str">
        <f>TEXT(Store_Record[[#This Row],[Date]],"dddd")</f>
        <v>Sunday</v>
      </c>
      <c r="M1658" s="5" t="str">
        <f>TEXT(Store_Record[[#This Row],[Date]],"mmmm")</f>
        <v>April</v>
      </c>
      <c r="N1658" s="5">
        <f>YEAR(Store_Record[[#This Row],[Date]])</f>
        <v>2025</v>
      </c>
      <c r="O1658"/>
    </row>
    <row r="1659" spans="1:15" x14ac:dyDescent="0.35">
      <c r="A1659" t="s">
        <v>2476</v>
      </c>
      <c r="B1659" s="2">
        <v>45774</v>
      </c>
      <c r="C1659" t="s">
        <v>24</v>
      </c>
      <c r="D1659" t="s">
        <v>47</v>
      </c>
      <c r="E1659" t="s">
        <v>12</v>
      </c>
      <c r="F1659" t="s">
        <v>13</v>
      </c>
      <c r="G1659">
        <v>3</v>
      </c>
      <c r="H1659">
        <v>2.5</v>
      </c>
      <c r="I1659" t="s">
        <v>14</v>
      </c>
      <c r="J1659" t="s">
        <v>667</v>
      </c>
      <c r="K1659" s="12">
        <f>Store_Record[[#This Row],[Qty]]*Store_Record[[#This Row],[UnitPriceGBP]]</f>
        <v>7.5</v>
      </c>
      <c r="L1659" s="5" t="str">
        <f>TEXT(Store_Record[[#This Row],[Date]],"dddd")</f>
        <v>Sunday</v>
      </c>
      <c r="M1659" s="5" t="str">
        <f>TEXT(Store_Record[[#This Row],[Date]],"mmmm")</f>
        <v>April</v>
      </c>
      <c r="N1659" s="5">
        <f>YEAR(Store_Record[[#This Row],[Date]])</f>
        <v>2025</v>
      </c>
      <c r="O1659"/>
    </row>
    <row r="1660" spans="1:15" x14ac:dyDescent="0.35">
      <c r="A1660" t="s">
        <v>2479</v>
      </c>
      <c r="B1660" s="2">
        <v>45774</v>
      </c>
      <c r="C1660" t="s">
        <v>20</v>
      </c>
      <c r="D1660" t="s">
        <v>47</v>
      </c>
      <c r="E1660" t="s">
        <v>30</v>
      </c>
      <c r="F1660" t="s">
        <v>31</v>
      </c>
      <c r="G1660">
        <v>2</v>
      </c>
      <c r="H1660">
        <v>2.8</v>
      </c>
      <c r="I1660" t="s">
        <v>39</v>
      </c>
      <c r="J1660" t="s">
        <v>2480</v>
      </c>
      <c r="K1660" s="12">
        <f>Store_Record[[#This Row],[Qty]]*Store_Record[[#This Row],[UnitPriceGBP]]</f>
        <v>5.6</v>
      </c>
      <c r="L1660" s="5" t="str">
        <f>TEXT(Store_Record[[#This Row],[Date]],"dddd")</f>
        <v>Sunday</v>
      </c>
      <c r="M1660" s="5" t="str">
        <f>TEXT(Store_Record[[#This Row],[Date]],"mmmm")</f>
        <v>April</v>
      </c>
      <c r="N1660" s="5">
        <f>YEAR(Store_Record[[#This Row],[Date]])</f>
        <v>2025</v>
      </c>
      <c r="O1660"/>
    </row>
    <row r="1661" spans="1:15" x14ac:dyDescent="0.35">
      <c r="A1661" t="s">
        <v>2473</v>
      </c>
      <c r="B1661" s="2">
        <v>45774</v>
      </c>
      <c r="C1661" t="s">
        <v>20</v>
      </c>
      <c r="D1661" t="s">
        <v>47</v>
      </c>
      <c r="E1661" t="s">
        <v>12</v>
      </c>
      <c r="F1661" t="s">
        <v>13</v>
      </c>
      <c r="G1661">
        <v>2</v>
      </c>
      <c r="H1661">
        <v>2.5</v>
      </c>
      <c r="I1661" t="s">
        <v>21</v>
      </c>
      <c r="J1661" t="s">
        <v>698</v>
      </c>
      <c r="K1661" s="12">
        <f>Store_Record[[#This Row],[Qty]]*Store_Record[[#This Row],[UnitPriceGBP]]</f>
        <v>5</v>
      </c>
      <c r="L1661" s="5" t="str">
        <f>TEXT(Store_Record[[#This Row],[Date]],"dddd")</f>
        <v>Sunday</v>
      </c>
      <c r="M1661" s="5" t="str">
        <f>TEXT(Store_Record[[#This Row],[Date]],"mmmm")</f>
        <v>April</v>
      </c>
      <c r="N1661" s="5">
        <f>YEAR(Store_Record[[#This Row],[Date]])</f>
        <v>2025</v>
      </c>
      <c r="O1661"/>
    </row>
    <row r="1662" spans="1:15" x14ac:dyDescent="0.35">
      <c r="A1662" t="s">
        <v>2481</v>
      </c>
      <c r="B1662" s="2">
        <v>45774</v>
      </c>
      <c r="C1662" t="s">
        <v>20</v>
      </c>
      <c r="D1662" t="s">
        <v>47</v>
      </c>
      <c r="E1662" t="s">
        <v>42</v>
      </c>
      <c r="F1662" t="s">
        <v>13</v>
      </c>
      <c r="G1662">
        <v>1</v>
      </c>
      <c r="H1662">
        <v>3.8</v>
      </c>
      <c r="I1662" t="s">
        <v>21</v>
      </c>
      <c r="J1662" t="s">
        <v>1316</v>
      </c>
      <c r="K1662" s="12">
        <f>Store_Record[[#This Row],[Qty]]*Store_Record[[#This Row],[UnitPriceGBP]]</f>
        <v>3.8</v>
      </c>
      <c r="L1662" s="5" t="str">
        <f>TEXT(Store_Record[[#This Row],[Date]],"dddd")</f>
        <v>Sunday</v>
      </c>
      <c r="M1662" s="5" t="str">
        <f>TEXT(Store_Record[[#This Row],[Date]],"mmmm")</f>
        <v>April</v>
      </c>
      <c r="N1662" s="5">
        <f>YEAR(Store_Record[[#This Row],[Date]])</f>
        <v>2025</v>
      </c>
      <c r="O1662"/>
    </row>
    <row r="1663" spans="1:15" x14ac:dyDescent="0.35">
      <c r="A1663" t="s">
        <v>2482</v>
      </c>
      <c r="B1663" s="2">
        <v>45774</v>
      </c>
      <c r="C1663" t="s">
        <v>24</v>
      </c>
      <c r="D1663" t="s">
        <v>29</v>
      </c>
      <c r="E1663" t="s">
        <v>42</v>
      </c>
      <c r="F1663" t="s">
        <v>13</v>
      </c>
      <c r="G1663">
        <v>1</v>
      </c>
      <c r="H1663">
        <v>3.8</v>
      </c>
      <c r="I1663" t="s">
        <v>14</v>
      </c>
      <c r="J1663" t="s">
        <v>135</v>
      </c>
      <c r="K1663" s="12">
        <f>Store_Record[[#This Row],[Qty]]*Store_Record[[#This Row],[UnitPriceGBP]]</f>
        <v>3.8</v>
      </c>
      <c r="L1663" s="5" t="str">
        <f>TEXT(Store_Record[[#This Row],[Date]],"dddd")</f>
        <v>Sunday</v>
      </c>
      <c r="M1663" s="5" t="str">
        <f>TEXT(Store_Record[[#This Row],[Date]],"mmmm")</f>
        <v>April</v>
      </c>
      <c r="N1663" s="5">
        <f>YEAR(Store_Record[[#This Row],[Date]])</f>
        <v>2025</v>
      </c>
      <c r="O1663"/>
    </row>
    <row r="1664" spans="1:15" x14ac:dyDescent="0.35">
      <c r="A1664" t="s">
        <v>2484</v>
      </c>
      <c r="B1664" s="2">
        <v>45774</v>
      </c>
      <c r="C1664" t="s">
        <v>24</v>
      </c>
      <c r="D1664" t="s">
        <v>47</v>
      </c>
      <c r="E1664" t="s">
        <v>42</v>
      </c>
      <c r="F1664" t="s">
        <v>13</v>
      </c>
      <c r="G1664">
        <v>1</v>
      </c>
      <c r="H1664">
        <v>3.8</v>
      </c>
      <c r="I1664" t="s">
        <v>39</v>
      </c>
      <c r="J1664" t="s">
        <v>1795</v>
      </c>
      <c r="K1664" s="12">
        <f>Store_Record[[#This Row],[Qty]]*Store_Record[[#This Row],[UnitPriceGBP]]</f>
        <v>3.8</v>
      </c>
      <c r="L1664" s="5" t="str">
        <f>TEXT(Store_Record[[#This Row],[Date]],"dddd")</f>
        <v>Sunday</v>
      </c>
      <c r="M1664" s="5" t="str">
        <f>TEXT(Store_Record[[#This Row],[Date]],"mmmm")</f>
        <v>April</v>
      </c>
      <c r="N1664" s="5">
        <f>YEAR(Store_Record[[#This Row],[Date]])</f>
        <v>2025</v>
      </c>
      <c r="O1664"/>
    </row>
    <row r="1665" spans="1:15" x14ac:dyDescent="0.35">
      <c r="A1665" t="s">
        <v>2485</v>
      </c>
      <c r="B1665" s="2">
        <v>45774</v>
      </c>
      <c r="C1665" t="s">
        <v>24</v>
      </c>
      <c r="D1665" t="s">
        <v>38</v>
      </c>
      <c r="E1665" t="s">
        <v>26</v>
      </c>
      <c r="F1665" t="s">
        <v>13</v>
      </c>
      <c r="G1665">
        <v>1</v>
      </c>
      <c r="H1665">
        <v>3.5</v>
      </c>
      <c r="I1665" t="s">
        <v>21</v>
      </c>
      <c r="J1665" t="s">
        <v>1070</v>
      </c>
      <c r="K1665" s="12">
        <f>Store_Record[[#This Row],[Qty]]*Store_Record[[#This Row],[UnitPriceGBP]]</f>
        <v>3.5</v>
      </c>
      <c r="L1665" s="5" t="str">
        <f>TEXT(Store_Record[[#This Row],[Date]],"dddd")</f>
        <v>Sunday</v>
      </c>
      <c r="M1665" s="5" t="str">
        <f>TEXT(Store_Record[[#This Row],[Date]],"mmmm")</f>
        <v>April</v>
      </c>
      <c r="N1665" s="5">
        <f>YEAR(Store_Record[[#This Row],[Date]])</f>
        <v>2025</v>
      </c>
      <c r="O1665"/>
    </row>
    <row r="1666" spans="1:15" x14ac:dyDescent="0.35">
      <c r="A1666" t="s">
        <v>2505</v>
      </c>
      <c r="B1666" s="2">
        <v>45775</v>
      </c>
      <c r="C1666" t="s">
        <v>20</v>
      </c>
      <c r="D1666" t="s">
        <v>25</v>
      </c>
      <c r="E1666" t="s">
        <v>42</v>
      </c>
      <c r="F1666" t="s">
        <v>13</v>
      </c>
      <c r="G1666">
        <v>5</v>
      </c>
      <c r="H1666">
        <v>3.8</v>
      </c>
      <c r="I1666" t="s">
        <v>14</v>
      </c>
      <c r="J1666" t="s">
        <v>2506</v>
      </c>
      <c r="K1666" s="12">
        <f>Store_Record[[#This Row],[Qty]]*Store_Record[[#This Row],[UnitPriceGBP]]</f>
        <v>19</v>
      </c>
      <c r="L1666" s="5" t="str">
        <f>TEXT(Store_Record[[#This Row],[Date]],"dddd")</f>
        <v>Monday</v>
      </c>
      <c r="M1666" s="5" t="str">
        <f>TEXT(Store_Record[[#This Row],[Date]],"mmmm")</f>
        <v>April</v>
      </c>
      <c r="N1666" s="5">
        <f>YEAR(Store_Record[[#This Row],[Date]])</f>
        <v>2025</v>
      </c>
      <c r="O1666"/>
    </row>
    <row r="1667" spans="1:15" x14ac:dyDescent="0.35">
      <c r="A1667" t="s">
        <v>2509</v>
      </c>
      <c r="B1667" s="2">
        <v>45775</v>
      </c>
      <c r="C1667" t="s">
        <v>36</v>
      </c>
      <c r="D1667" t="s">
        <v>29</v>
      </c>
      <c r="E1667" t="s">
        <v>26</v>
      </c>
      <c r="F1667" t="s">
        <v>13</v>
      </c>
      <c r="G1667">
        <v>5</v>
      </c>
      <c r="H1667">
        <v>3.5</v>
      </c>
      <c r="I1667" t="s">
        <v>14</v>
      </c>
      <c r="J1667" t="s">
        <v>1930</v>
      </c>
      <c r="K1667" s="12">
        <f>Store_Record[[#This Row],[Qty]]*Store_Record[[#This Row],[UnitPriceGBP]]</f>
        <v>17.5</v>
      </c>
      <c r="L1667" s="5" t="str">
        <f>TEXT(Store_Record[[#This Row],[Date]],"dddd")</f>
        <v>Monday</v>
      </c>
      <c r="M1667" s="5" t="str">
        <f>TEXT(Store_Record[[#This Row],[Date]],"mmmm")</f>
        <v>April</v>
      </c>
      <c r="N1667" s="5">
        <f>YEAR(Store_Record[[#This Row],[Date]])</f>
        <v>2025</v>
      </c>
      <c r="O1667"/>
    </row>
    <row r="1668" spans="1:15" x14ac:dyDescent="0.35">
      <c r="A1668" t="s">
        <v>2497</v>
      </c>
      <c r="B1668" s="2">
        <v>45775</v>
      </c>
      <c r="C1668" t="s">
        <v>36</v>
      </c>
      <c r="D1668" t="s">
        <v>38</v>
      </c>
      <c r="E1668" t="s">
        <v>26</v>
      </c>
      <c r="F1668" t="s">
        <v>13</v>
      </c>
      <c r="G1668">
        <v>4</v>
      </c>
      <c r="H1668">
        <v>3.5</v>
      </c>
      <c r="I1668" t="s">
        <v>14</v>
      </c>
      <c r="J1668" t="s">
        <v>2498</v>
      </c>
      <c r="K1668" s="12">
        <f>Store_Record[[#This Row],[Qty]]*Store_Record[[#This Row],[UnitPriceGBP]]</f>
        <v>14</v>
      </c>
      <c r="L1668" s="5" t="str">
        <f>TEXT(Store_Record[[#This Row],[Date]],"dddd")</f>
        <v>Monday</v>
      </c>
      <c r="M1668" s="5" t="str">
        <f>TEXT(Store_Record[[#This Row],[Date]],"mmmm")</f>
        <v>April</v>
      </c>
      <c r="N1668" s="5">
        <f>YEAR(Store_Record[[#This Row],[Date]])</f>
        <v>2025</v>
      </c>
      <c r="O1668"/>
    </row>
    <row r="1669" spans="1:15" x14ac:dyDescent="0.35">
      <c r="A1669" t="s">
        <v>2502</v>
      </c>
      <c r="B1669" s="2">
        <v>45775</v>
      </c>
      <c r="C1669" t="s">
        <v>24</v>
      </c>
      <c r="D1669" t="s">
        <v>11</v>
      </c>
      <c r="E1669" t="s">
        <v>30</v>
      </c>
      <c r="F1669" t="s">
        <v>31</v>
      </c>
      <c r="G1669">
        <v>5</v>
      </c>
      <c r="H1669">
        <v>2.8</v>
      </c>
      <c r="I1669" t="s">
        <v>21</v>
      </c>
      <c r="J1669" t="s">
        <v>140</v>
      </c>
      <c r="K1669" s="12">
        <f>Store_Record[[#This Row],[Qty]]*Store_Record[[#This Row],[UnitPriceGBP]]</f>
        <v>14</v>
      </c>
      <c r="L1669" s="5" t="str">
        <f>TEXT(Store_Record[[#This Row],[Date]],"dddd")</f>
        <v>Monday</v>
      </c>
      <c r="M1669" s="5" t="str">
        <f>TEXT(Store_Record[[#This Row],[Date]],"mmmm")</f>
        <v>April</v>
      </c>
      <c r="N1669" s="5">
        <f>YEAR(Store_Record[[#This Row],[Date]])</f>
        <v>2025</v>
      </c>
      <c r="O1669"/>
    </row>
    <row r="1670" spans="1:15" x14ac:dyDescent="0.35">
      <c r="A1670" t="s">
        <v>2503</v>
      </c>
      <c r="B1670" s="2">
        <v>45775</v>
      </c>
      <c r="C1670" t="s">
        <v>10</v>
      </c>
      <c r="D1670" t="s">
        <v>47</v>
      </c>
      <c r="E1670" t="s">
        <v>30</v>
      </c>
      <c r="F1670" t="s">
        <v>31</v>
      </c>
      <c r="G1670">
        <v>5</v>
      </c>
      <c r="H1670">
        <v>2.8</v>
      </c>
      <c r="I1670" t="s">
        <v>14</v>
      </c>
      <c r="J1670" t="s">
        <v>175</v>
      </c>
      <c r="K1670" s="12">
        <f>Store_Record[[#This Row],[Qty]]*Store_Record[[#This Row],[UnitPriceGBP]]</f>
        <v>14</v>
      </c>
      <c r="L1670" s="5" t="str">
        <f>TEXT(Store_Record[[#This Row],[Date]],"dddd")</f>
        <v>Monday</v>
      </c>
      <c r="M1670" s="5" t="str">
        <f>TEXT(Store_Record[[#This Row],[Date]],"mmmm")</f>
        <v>April</v>
      </c>
      <c r="N1670" s="5">
        <f>YEAR(Store_Record[[#This Row],[Date]])</f>
        <v>2025</v>
      </c>
      <c r="O1670"/>
    </row>
    <row r="1671" spans="1:15" x14ac:dyDescent="0.35">
      <c r="A1671" t="s">
        <v>2490</v>
      </c>
      <c r="B1671" s="2">
        <v>45775</v>
      </c>
      <c r="C1671" t="s">
        <v>24</v>
      </c>
      <c r="D1671" t="s">
        <v>47</v>
      </c>
      <c r="E1671" t="s">
        <v>42</v>
      </c>
      <c r="F1671" t="s">
        <v>13</v>
      </c>
      <c r="G1671">
        <v>3</v>
      </c>
      <c r="H1671">
        <v>3.8</v>
      </c>
      <c r="I1671" t="s">
        <v>21</v>
      </c>
      <c r="J1671" t="s">
        <v>536</v>
      </c>
      <c r="K1671" s="12">
        <f>Store_Record[[#This Row],[Qty]]*Store_Record[[#This Row],[UnitPriceGBP]]</f>
        <v>11.399999999999999</v>
      </c>
      <c r="L1671" s="5" t="str">
        <f>TEXT(Store_Record[[#This Row],[Date]],"dddd")</f>
        <v>Monday</v>
      </c>
      <c r="M1671" s="5" t="str">
        <f>TEXT(Store_Record[[#This Row],[Date]],"mmmm")</f>
        <v>April</v>
      </c>
      <c r="N1671" s="5">
        <f>YEAR(Store_Record[[#This Row],[Date]])</f>
        <v>2025</v>
      </c>
      <c r="O1671"/>
    </row>
    <row r="1672" spans="1:15" x14ac:dyDescent="0.35">
      <c r="A1672" t="s">
        <v>2493</v>
      </c>
      <c r="B1672" s="2">
        <v>45775</v>
      </c>
      <c r="C1672" t="s">
        <v>36</v>
      </c>
      <c r="D1672" t="s">
        <v>25</v>
      </c>
      <c r="E1672" t="s">
        <v>30</v>
      </c>
      <c r="F1672" t="s">
        <v>31</v>
      </c>
      <c r="G1672">
        <v>4</v>
      </c>
      <c r="H1672">
        <v>2.8</v>
      </c>
      <c r="I1672" t="s">
        <v>14</v>
      </c>
      <c r="J1672" t="s">
        <v>871</v>
      </c>
      <c r="K1672" s="12">
        <f>Store_Record[[#This Row],[Qty]]*Store_Record[[#This Row],[UnitPriceGBP]]</f>
        <v>11.2</v>
      </c>
      <c r="L1672" s="5" t="str">
        <f>TEXT(Store_Record[[#This Row],[Date]],"dddd")</f>
        <v>Monday</v>
      </c>
      <c r="M1672" s="5" t="str">
        <f>TEXT(Store_Record[[#This Row],[Date]],"mmmm")</f>
        <v>April</v>
      </c>
      <c r="N1672" s="5">
        <f>YEAR(Store_Record[[#This Row],[Date]])</f>
        <v>2025</v>
      </c>
      <c r="O1672"/>
    </row>
    <row r="1673" spans="1:15" x14ac:dyDescent="0.35">
      <c r="A1673" t="s">
        <v>2489</v>
      </c>
      <c r="B1673" s="2">
        <v>45775</v>
      </c>
      <c r="C1673" t="s">
        <v>20</v>
      </c>
      <c r="D1673" t="s">
        <v>11</v>
      </c>
      <c r="E1673" t="s">
        <v>26</v>
      </c>
      <c r="F1673" t="s">
        <v>13</v>
      </c>
      <c r="G1673">
        <v>3</v>
      </c>
      <c r="H1673">
        <v>3.5</v>
      </c>
      <c r="I1673" t="s">
        <v>14</v>
      </c>
      <c r="J1673" t="s">
        <v>819</v>
      </c>
      <c r="K1673" s="12">
        <f>Store_Record[[#This Row],[Qty]]*Store_Record[[#This Row],[UnitPriceGBP]]</f>
        <v>10.5</v>
      </c>
      <c r="L1673" s="5" t="str">
        <f>TEXT(Store_Record[[#This Row],[Date]],"dddd")</f>
        <v>Monday</v>
      </c>
      <c r="M1673" s="5" t="str">
        <f>TEXT(Store_Record[[#This Row],[Date]],"mmmm")</f>
        <v>April</v>
      </c>
      <c r="N1673" s="5">
        <f>YEAR(Store_Record[[#This Row],[Date]])</f>
        <v>2025</v>
      </c>
      <c r="O1673"/>
    </row>
    <row r="1674" spans="1:15" x14ac:dyDescent="0.35">
      <c r="A1674" t="s">
        <v>2492</v>
      </c>
      <c r="B1674" s="2">
        <v>45775</v>
      </c>
      <c r="C1674" t="s">
        <v>24</v>
      </c>
      <c r="D1674" t="s">
        <v>38</v>
      </c>
      <c r="E1674" t="s">
        <v>26</v>
      </c>
      <c r="F1674" t="s">
        <v>13</v>
      </c>
      <c r="G1674">
        <v>3</v>
      </c>
      <c r="H1674">
        <v>3.5</v>
      </c>
      <c r="I1674" t="s">
        <v>21</v>
      </c>
      <c r="J1674" t="s">
        <v>976</v>
      </c>
      <c r="K1674" s="12">
        <f>Store_Record[[#This Row],[Qty]]*Store_Record[[#This Row],[UnitPriceGBP]]</f>
        <v>10.5</v>
      </c>
      <c r="L1674" s="5" t="str">
        <f>TEXT(Store_Record[[#This Row],[Date]],"dddd")</f>
        <v>Monday</v>
      </c>
      <c r="M1674" s="5" t="str">
        <f>TEXT(Store_Record[[#This Row],[Date]],"mmmm")</f>
        <v>April</v>
      </c>
      <c r="N1674" s="5">
        <f>YEAR(Store_Record[[#This Row],[Date]])</f>
        <v>2025</v>
      </c>
      <c r="O1674"/>
    </row>
    <row r="1675" spans="1:15" x14ac:dyDescent="0.35">
      <c r="A1675" t="s">
        <v>2500</v>
      </c>
      <c r="B1675" s="2">
        <v>45775</v>
      </c>
      <c r="C1675" t="s">
        <v>24</v>
      </c>
      <c r="D1675" t="s">
        <v>47</v>
      </c>
      <c r="E1675" t="s">
        <v>34</v>
      </c>
      <c r="F1675" t="s">
        <v>31</v>
      </c>
      <c r="G1675">
        <v>4</v>
      </c>
      <c r="H1675">
        <v>2.2000000000000002</v>
      </c>
      <c r="I1675" t="s">
        <v>39</v>
      </c>
      <c r="J1675" t="s">
        <v>871</v>
      </c>
      <c r="K1675" s="12">
        <f>Store_Record[[#This Row],[Qty]]*Store_Record[[#This Row],[UnitPriceGBP]]</f>
        <v>8.8000000000000007</v>
      </c>
      <c r="L1675" s="5" t="str">
        <f>TEXT(Store_Record[[#This Row],[Date]],"dddd")</f>
        <v>Monday</v>
      </c>
      <c r="M1675" s="5" t="str">
        <f>TEXT(Store_Record[[#This Row],[Date]],"mmmm")</f>
        <v>April</v>
      </c>
      <c r="N1675" s="5">
        <f>YEAR(Store_Record[[#This Row],[Date]])</f>
        <v>2025</v>
      </c>
      <c r="O1675"/>
    </row>
    <row r="1676" spans="1:15" x14ac:dyDescent="0.35">
      <c r="A1676" t="s">
        <v>2501</v>
      </c>
      <c r="B1676" s="2">
        <v>45775</v>
      </c>
      <c r="C1676" t="s">
        <v>24</v>
      </c>
      <c r="D1676" t="s">
        <v>11</v>
      </c>
      <c r="E1676" t="s">
        <v>34</v>
      </c>
      <c r="F1676" t="s">
        <v>31</v>
      </c>
      <c r="G1676">
        <v>4</v>
      </c>
      <c r="H1676">
        <v>2.2000000000000002</v>
      </c>
      <c r="I1676" t="s">
        <v>14</v>
      </c>
      <c r="J1676" t="s">
        <v>314</v>
      </c>
      <c r="K1676" s="12">
        <f>Store_Record[[#This Row],[Qty]]*Store_Record[[#This Row],[UnitPriceGBP]]</f>
        <v>8.8000000000000007</v>
      </c>
      <c r="L1676" s="5" t="str">
        <f>TEXT(Store_Record[[#This Row],[Date]],"dddd")</f>
        <v>Monday</v>
      </c>
      <c r="M1676" s="5" t="str">
        <f>TEXT(Store_Record[[#This Row],[Date]],"mmmm")</f>
        <v>April</v>
      </c>
      <c r="N1676" s="5">
        <f>YEAR(Store_Record[[#This Row],[Date]])</f>
        <v>2025</v>
      </c>
      <c r="O1676"/>
    </row>
    <row r="1677" spans="1:15" x14ac:dyDescent="0.35">
      <c r="A1677" t="s">
        <v>2494</v>
      </c>
      <c r="B1677" s="2">
        <v>45775</v>
      </c>
      <c r="C1677" t="s">
        <v>24</v>
      </c>
      <c r="D1677" t="s">
        <v>29</v>
      </c>
      <c r="E1677" t="s">
        <v>30</v>
      </c>
      <c r="F1677" t="s">
        <v>31</v>
      </c>
      <c r="G1677">
        <v>3</v>
      </c>
      <c r="H1677">
        <v>2.8</v>
      </c>
      <c r="I1677" t="s">
        <v>39</v>
      </c>
      <c r="J1677" t="s">
        <v>2495</v>
      </c>
      <c r="K1677" s="12">
        <f>Store_Record[[#This Row],[Qty]]*Store_Record[[#This Row],[UnitPriceGBP]]</f>
        <v>8.3999999999999986</v>
      </c>
      <c r="L1677" s="5" t="str">
        <f>TEXT(Store_Record[[#This Row],[Date]],"dddd")</f>
        <v>Monday</v>
      </c>
      <c r="M1677" s="5" t="str">
        <f>TEXT(Store_Record[[#This Row],[Date]],"mmmm")</f>
        <v>April</v>
      </c>
      <c r="N1677" s="5">
        <f>YEAR(Store_Record[[#This Row],[Date]])</f>
        <v>2025</v>
      </c>
      <c r="O1677"/>
    </row>
    <row r="1678" spans="1:15" x14ac:dyDescent="0.35">
      <c r="A1678" t="s">
        <v>2491</v>
      </c>
      <c r="B1678" s="2">
        <v>45775</v>
      </c>
      <c r="C1678" t="s">
        <v>20</v>
      </c>
      <c r="D1678" t="s">
        <v>38</v>
      </c>
      <c r="E1678" t="s">
        <v>12</v>
      </c>
      <c r="F1678" t="s">
        <v>13</v>
      </c>
      <c r="G1678">
        <v>3</v>
      </c>
      <c r="H1678">
        <v>2.5</v>
      </c>
      <c r="I1678" t="s">
        <v>14</v>
      </c>
      <c r="J1678" t="s">
        <v>1753</v>
      </c>
      <c r="K1678" s="12">
        <f>Store_Record[[#This Row],[Qty]]*Store_Record[[#This Row],[UnitPriceGBP]]</f>
        <v>7.5</v>
      </c>
      <c r="L1678" s="5" t="str">
        <f>TEXT(Store_Record[[#This Row],[Date]],"dddd")</f>
        <v>Monday</v>
      </c>
      <c r="M1678" s="5" t="str">
        <f>TEXT(Store_Record[[#This Row],[Date]],"mmmm")</f>
        <v>April</v>
      </c>
      <c r="N1678" s="5">
        <f>YEAR(Store_Record[[#This Row],[Date]])</f>
        <v>2025</v>
      </c>
      <c r="O1678"/>
    </row>
    <row r="1679" spans="1:15" x14ac:dyDescent="0.35">
      <c r="A1679" t="s">
        <v>2510</v>
      </c>
      <c r="B1679" s="2">
        <v>45775</v>
      </c>
      <c r="C1679" t="s">
        <v>20</v>
      </c>
      <c r="D1679" t="s">
        <v>47</v>
      </c>
      <c r="E1679" t="s">
        <v>12</v>
      </c>
      <c r="F1679" t="s">
        <v>13</v>
      </c>
      <c r="G1679">
        <v>3</v>
      </c>
      <c r="H1679">
        <v>2.5</v>
      </c>
      <c r="I1679" t="s">
        <v>21</v>
      </c>
      <c r="J1679" t="s">
        <v>1015</v>
      </c>
      <c r="K1679" s="12">
        <f>Store_Record[[#This Row],[Qty]]*Store_Record[[#This Row],[UnitPriceGBP]]</f>
        <v>7.5</v>
      </c>
      <c r="L1679" s="5" t="str">
        <f>TEXT(Store_Record[[#This Row],[Date]],"dddd")</f>
        <v>Monday</v>
      </c>
      <c r="M1679" s="5" t="str">
        <f>TEXT(Store_Record[[#This Row],[Date]],"mmmm")</f>
        <v>April</v>
      </c>
      <c r="N1679" s="5">
        <f>YEAR(Store_Record[[#This Row],[Date]])</f>
        <v>2025</v>
      </c>
      <c r="O1679"/>
    </row>
    <row r="1680" spans="1:15" x14ac:dyDescent="0.35">
      <c r="A1680" t="s">
        <v>2507</v>
      </c>
      <c r="B1680" s="2">
        <v>45775</v>
      </c>
      <c r="C1680" t="s">
        <v>20</v>
      </c>
      <c r="D1680" t="s">
        <v>25</v>
      </c>
      <c r="E1680" t="s">
        <v>26</v>
      </c>
      <c r="F1680" t="s">
        <v>13</v>
      </c>
      <c r="G1680">
        <v>2</v>
      </c>
      <c r="H1680">
        <v>3.5</v>
      </c>
      <c r="I1680" t="s">
        <v>14</v>
      </c>
      <c r="J1680" t="s">
        <v>563</v>
      </c>
      <c r="K1680" s="12">
        <f>Store_Record[[#This Row],[Qty]]*Store_Record[[#This Row],[UnitPriceGBP]]</f>
        <v>7</v>
      </c>
      <c r="L1680" s="5" t="str">
        <f>TEXT(Store_Record[[#This Row],[Date]],"dddd")</f>
        <v>Monday</v>
      </c>
      <c r="M1680" s="5" t="str">
        <f>TEXT(Store_Record[[#This Row],[Date]],"mmmm")</f>
        <v>April</v>
      </c>
      <c r="N1680" s="5">
        <f>YEAR(Store_Record[[#This Row],[Date]])</f>
        <v>2025</v>
      </c>
      <c r="O1680"/>
    </row>
    <row r="1681" spans="1:15" x14ac:dyDescent="0.35">
      <c r="A1681" t="s">
        <v>2504</v>
      </c>
      <c r="B1681" s="2">
        <v>45775</v>
      </c>
      <c r="C1681" t="s">
        <v>20</v>
      </c>
      <c r="D1681" t="s">
        <v>25</v>
      </c>
      <c r="E1681" t="s">
        <v>34</v>
      </c>
      <c r="F1681" t="s">
        <v>31</v>
      </c>
      <c r="G1681">
        <v>3</v>
      </c>
      <c r="H1681">
        <v>2.2000000000000002</v>
      </c>
      <c r="I1681" t="s">
        <v>21</v>
      </c>
      <c r="J1681" t="s">
        <v>1741</v>
      </c>
      <c r="K1681" s="12">
        <f>Store_Record[[#This Row],[Qty]]*Store_Record[[#This Row],[UnitPriceGBP]]</f>
        <v>6.6000000000000005</v>
      </c>
      <c r="L1681" s="5" t="str">
        <f>TEXT(Store_Record[[#This Row],[Date]],"dddd")</f>
        <v>Monday</v>
      </c>
      <c r="M1681" s="5" t="str">
        <f>TEXT(Store_Record[[#This Row],[Date]],"mmmm")</f>
        <v>April</v>
      </c>
      <c r="N1681" s="5">
        <f>YEAR(Store_Record[[#This Row],[Date]])</f>
        <v>2025</v>
      </c>
      <c r="O1681"/>
    </row>
    <row r="1682" spans="1:15" x14ac:dyDescent="0.35">
      <c r="A1682" t="s">
        <v>2499</v>
      </c>
      <c r="B1682" s="2">
        <v>45775</v>
      </c>
      <c r="C1682" t="s">
        <v>24</v>
      </c>
      <c r="D1682" t="s">
        <v>38</v>
      </c>
      <c r="E1682" t="s">
        <v>12</v>
      </c>
      <c r="F1682" t="s">
        <v>13</v>
      </c>
      <c r="G1682">
        <v>2</v>
      </c>
      <c r="H1682">
        <v>2.5</v>
      </c>
      <c r="I1682" t="s">
        <v>39</v>
      </c>
      <c r="J1682" t="s">
        <v>1978</v>
      </c>
      <c r="K1682" s="12">
        <f>Store_Record[[#This Row],[Qty]]*Store_Record[[#This Row],[UnitPriceGBP]]</f>
        <v>5</v>
      </c>
      <c r="L1682" s="5" t="str">
        <f>TEXT(Store_Record[[#This Row],[Date]],"dddd")</f>
        <v>Monday</v>
      </c>
      <c r="M1682" s="5" t="str">
        <f>TEXT(Store_Record[[#This Row],[Date]],"mmmm")</f>
        <v>April</v>
      </c>
      <c r="N1682" s="5">
        <f>YEAR(Store_Record[[#This Row],[Date]])</f>
        <v>2025</v>
      </c>
      <c r="O1682"/>
    </row>
    <row r="1683" spans="1:15" x14ac:dyDescent="0.35">
      <c r="A1683" t="s">
        <v>2486</v>
      </c>
      <c r="B1683" s="2">
        <v>45775</v>
      </c>
      <c r="C1683" t="s">
        <v>20</v>
      </c>
      <c r="D1683" t="s">
        <v>47</v>
      </c>
      <c r="E1683" t="s">
        <v>34</v>
      </c>
      <c r="F1683" t="s">
        <v>31</v>
      </c>
      <c r="G1683">
        <v>2</v>
      </c>
      <c r="H1683">
        <v>2.2000000000000002</v>
      </c>
      <c r="I1683" t="s">
        <v>39</v>
      </c>
      <c r="J1683" t="s">
        <v>745</v>
      </c>
      <c r="K1683" s="12">
        <f>Store_Record[[#This Row],[Qty]]*Store_Record[[#This Row],[UnitPriceGBP]]</f>
        <v>4.4000000000000004</v>
      </c>
      <c r="L1683" s="5" t="str">
        <f>TEXT(Store_Record[[#This Row],[Date]],"dddd")</f>
        <v>Monday</v>
      </c>
      <c r="M1683" s="5" t="str">
        <f>TEXT(Store_Record[[#This Row],[Date]],"mmmm")</f>
        <v>April</v>
      </c>
      <c r="N1683" s="5">
        <f>YEAR(Store_Record[[#This Row],[Date]])</f>
        <v>2025</v>
      </c>
      <c r="O1683"/>
    </row>
    <row r="1684" spans="1:15" x14ac:dyDescent="0.35">
      <c r="A1684" t="s">
        <v>2508</v>
      </c>
      <c r="B1684" s="2">
        <v>45775</v>
      </c>
      <c r="C1684" t="s">
        <v>20</v>
      </c>
      <c r="D1684" t="s">
        <v>25</v>
      </c>
      <c r="E1684" t="s">
        <v>26</v>
      </c>
      <c r="F1684" t="s">
        <v>13</v>
      </c>
      <c r="G1684">
        <v>1</v>
      </c>
      <c r="H1684">
        <v>3.5</v>
      </c>
      <c r="I1684" t="s">
        <v>14</v>
      </c>
      <c r="J1684" t="s">
        <v>1848</v>
      </c>
      <c r="K1684" s="12">
        <f>Store_Record[[#This Row],[Qty]]*Store_Record[[#This Row],[UnitPriceGBP]]</f>
        <v>3.5</v>
      </c>
      <c r="L1684" s="5" t="str">
        <f>TEXT(Store_Record[[#This Row],[Date]],"dddd")</f>
        <v>Monday</v>
      </c>
      <c r="M1684" s="5" t="str">
        <f>TEXT(Store_Record[[#This Row],[Date]],"mmmm")</f>
        <v>April</v>
      </c>
      <c r="N1684" s="5">
        <f>YEAR(Store_Record[[#This Row],[Date]])</f>
        <v>2025</v>
      </c>
      <c r="O1684"/>
    </row>
    <row r="1685" spans="1:15" x14ac:dyDescent="0.35">
      <c r="A1685" t="s">
        <v>2511</v>
      </c>
      <c r="B1685" s="2">
        <v>45775</v>
      </c>
      <c r="C1685" t="s">
        <v>10</v>
      </c>
      <c r="D1685" t="s">
        <v>47</v>
      </c>
      <c r="E1685" t="s">
        <v>30</v>
      </c>
      <c r="F1685" t="s">
        <v>31</v>
      </c>
      <c r="G1685">
        <v>1</v>
      </c>
      <c r="H1685">
        <v>2.8</v>
      </c>
      <c r="I1685" t="s">
        <v>21</v>
      </c>
      <c r="J1685" t="s">
        <v>1329</v>
      </c>
      <c r="K1685" s="12">
        <f>Store_Record[[#This Row],[Qty]]*Store_Record[[#This Row],[UnitPriceGBP]]</f>
        <v>2.8</v>
      </c>
      <c r="L1685" s="5" t="str">
        <f>TEXT(Store_Record[[#This Row],[Date]],"dddd")</f>
        <v>Monday</v>
      </c>
      <c r="M1685" s="5" t="str">
        <f>TEXT(Store_Record[[#This Row],[Date]],"mmmm")</f>
        <v>April</v>
      </c>
      <c r="N1685" s="5">
        <f>YEAR(Store_Record[[#This Row],[Date]])</f>
        <v>2025</v>
      </c>
      <c r="O1685"/>
    </row>
    <row r="1686" spans="1:15" x14ac:dyDescent="0.35">
      <c r="A1686" t="s">
        <v>2487</v>
      </c>
      <c r="B1686" s="2">
        <v>45775</v>
      </c>
      <c r="C1686" t="s">
        <v>36</v>
      </c>
      <c r="D1686" t="s">
        <v>47</v>
      </c>
      <c r="E1686" t="s">
        <v>12</v>
      </c>
      <c r="F1686" t="s">
        <v>13</v>
      </c>
      <c r="G1686">
        <v>1</v>
      </c>
      <c r="H1686">
        <v>2.5</v>
      </c>
      <c r="I1686" t="s">
        <v>21</v>
      </c>
      <c r="J1686" t="s">
        <v>2488</v>
      </c>
      <c r="K1686" s="12">
        <f>Store_Record[[#This Row],[Qty]]*Store_Record[[#This Row],[UnitPriceGBP]]</f>
        <v>2.5</v>
      </c>
      <c r="L1686" s="5" t="str">
        <f>TEXT(Store_Record[[#This Row],[Date]],"dddd")</f>
        <v>Monday</v>
      </c>
      <c r="M1686" s="5" t="str">
        <f>TEXT(Store_Record[[#This Row],[Date]],"mmmm")</f>
        <v>April</v>
      </c>
      <c r="N1686" s="5">
        <f>YEAR(Store_Record[[#This Row],[Date]])</f>
        <v>2025</v>
      </c>
      <c r="O1686"/>
    </row>
    <row r="1687" spans="1:15" x14ac:dyDescent="0.35">
      <c r="A1687" t="s">
        <v>2496</v>
      </c>
      <c r="B1687" s="2">
        <v>45775</v>
      </c>
      <c r="C1687" t="s">
        <v>20</v>
      </c>
      <c r="D1687" t="s">
        <v>47</v>
      </c>
      <c r="E1687" t="s">
        <v>34</v>
      </c>
      <c r="F1687" t="s">
        <v>31</v>
      </c>
      <c r="G1687">
        <v>1</v>
      </c>
      <c r="H1687">
        <v>2.2000000000000002</v>
      </c>
      <c r="I1687" t="s">
        <v>39</v>
      </c>
      <c r="J1687" t="s">
        <v>1170</v>
      </c>
      <c r="K1687" s="12">
        <f>Store_Record[[#This Row],[Qty]]*Store_Record[[#This Row],[UnitPriceGBP]]</f>
        <v>2.2000000000000002</v>
      </c>
      <c r="L1687" s="5" t="str">
        <f>TEXT(Store_Record[[#This Row],[Date]],"dddd")</f>
        <v>Monday</v>
      </c>
      <c r="M1687" s="5" t="str">
        <f>TEXT(Store_Record[[#This Row],[Date]],"mmmm")</f>
        <v>April</v>
      </c>
      <c r="N1687" s="5">
        <f>YEAR(Store_Record[[#This Row],[Date]])</f>
        <v>2025</v>
      </c>
      <c r="O1687"/>
    </row>
    <row r="1688" spans="1:15" x14ac:dyDescent="0.35">
      <c r="A1688" t="s">
        <v>2515</v>
      </c>
      <c r="B1688" s="2">
        <v>45776</v>
      </c>
      <c r="C1688" t="s">
        <v>20</v>
      </c>
      <c r="D1688" t="s">
        <v>47</v>
      </c>
      <c r="E1688" t="s">
        <v>42</v>
      </c>
      <c r="F1688" t="s">
        <v>13</v>
      </c>
      <c r="G1688">
        <v>4</v>
      </c>
      <c r="H1688">
        <v>3.8</v>
      </c>
      <c r="I1688" t="s">
        <v>39</v>
      </c>
      <c r="J1688" t="s">
        <v>2262</v>
      </c>
      <c r="K1688" s="12">
        <f>Store_Record[[#This Row],[Qty]]*Store_Record[[#This Row],[UnitPriceGBP]]</f>
        <v>15.2</v>
      </c>
      <c r="L1688" s="5" t="str">
        <f>TEXT(Store_Record[[#This Row],[Date]],"dddd")</f>
        <v>Tuesday</v>
      </c>
      <c r="M1688" s="5" t="str">
        <f>TEXT(Store_Record[[#This Row],[Date]],"mmmm")</f>
        <v>April</v>
      </c>
      <c r="N1688" s="5">
        <f>YEAR(Store_Record[[#This Row],[Date]])</f>
        <v>2025</v>
      </c>
      <c r="O1688"/>
    </row>
    <row r="1689" spans="1:15" x14ac:dyDescent="0.35">
      <c r="A1689" t="s">
        <v>2513</v>
      </c>
      <c r="B1689" s="2">
        <v>45776</v>
      </c>
      <c r="C1689" t="s">
        <v>36</v>
      </c>
      <c r="D1689" t="s">
        <v>11</v>
      </c>
      <c r="E1689" t="s">
        <v>30</v>
      </c>
      <c r="F1689" t="s">
        <v>31</v>
      </c>
      <c r="G1689">
        <v>5</v>
      </c>
      <c r="H1689">
        <v>2.8</v>
      </c>
      <c r="I1689" t="s">
        <v>21</v>
      </c>
      <c r="J1689" t="s">
        <v>908</v>
      </c>
      <c r="K1689" s="12">
        <f>Store_Record[[#This Row],[Qty]]*Store_Record[[#This Row],[UnitPriceGBP]]</f>
        <v>14</v>
      </c>
      <c r="L1689" s="5" t="str">
        <f>TEXT(Store_Record[[#This Row],[Date]],"dddd")</f>
        <v>Tuesday</v>
      </c>
      <c r="M1689" s="5" t="str">
        <f>TEXT(Store_Record[[#This Row],[Date]],"mmmm")</f>
        <v>April</v>
      </c>
      <c r="N1689" s="5">
        <f>YEAR(Store_Record[[#This Row],[Date]])</f>
        <v>2025</v>
      </c>
      <c r="O1689"/>
    </row>
    <row r="1690" spans="1:15" x14ac:dyDescent="0.35">
      <c r="A1690" t="s">
        <v>2524</v>
      </c>
      <c r="B1690" s="2">
        <v>45776</v>
      </c>
      <c r="C1690" t="s">
        <v>10</v>
      </c>
      <c r="D1690" t="s">
        <v>47</v>
      </c>
      <c r="E1690" t="s">
        <v>30</v>
      </c>
      <c r="F1690" t="s">
        <v>31</v>
      </c>
      <c r="G1690">
        <v>5</v>
      </c>
      <c r="H1690">
        <v>2.8</v>
      </c>
      <c r="I1690" t="s">
        <v>21</v>
      </c>
      <c r="J1690" t="s">
        <v>936</v>
      </c>
      <c r="K1690" s="12">
        <f>Store_Record[[#This Row],[Qty]]*Store_Record[[#This Row],[UnitPriceGBP]]</f>
        <v>14</v>
      </c>
      <c r="L1690" s="5" t="str">
        <f>TEXT(Store_Record[[#This Row],[Date]],"dddd")</f>
        <v>Tuesday</v>
      </c>
      <c r="M1690" s="5" t="str">
        <f>TEXT(Store_Record[[#This Row],[Date]],"mmmm")</f>
        <v>April</v>
      </c>
      <c r="N1690" s="5">
        <f>YEAR(Store_Record[[#This Row],[Date]])</f>
        <v>2025</v>
      </c>
      <c r="O1690"/>
    </row>
    <row r="1691" spans="1:15" x14ac:dyDescent="0.35">
      <c r="A1691" t="s">
        <v>2522</v>
      </c>
      <c r="B1691" s="2">
        <v>45776</v>
      </c>
      <c r="C1691" t="s">
        <v>36</v>
      </c>
      <c r="D1691" t="s">
        <v>38</v>
      </c>
      <c r="E1691" t="s">
        <v>12</v>
      </c>
      <c r="F1691" t="s">
        <v>13</v>
      </c>
      <c r="G1691">
        <v>4</v>
      </c>
      <c r="H1691">
        <v>2.5</v>
      </c>
      <c r="I1691" t="s">
        <v>39</v>
      </c>
      <c r="J1691" t="s">
        <v>2523</v>
      </c>
      <c r="K1691" s="12">
        <f>Store_Record[[#This Row],[Qty]]*Store_Record[[#This Row],[UnitPriceGBP]]</f>
        <v>10</v>
      </c>
      <c r="L1691" s="5" t="str">
        <f>TEXT(Store_Record[[#This Row],[Date]],"dddd")</f>
        <v>Tuesday</v>
      </c>
      <c r="M1691" s="5" t="str">
        <f>TEXT(Store_Record[[#This Row],[Date]],"mmmm")</f>
        <v>April</v>
      </c>
      <c r="N1691" s="5">
        <f>YEAR(Store_Record[[#This Row],[Date]])</f>
        <v>2025</v>
      </c>
      <c r="O1691"/>
    </row>
    <row r="1692" spans="1:15" x14ac:dyDescent="0.35">
      <c r="A1692" t="s">
        <v>2512</v>
      </c>
      <c r="B1692" s="2">
        <v>45776</v>
      </c>
      <c r="C1692" t="s">
        <v>24</v>
      </c>
      <c r="D1692" t="s">
        <v>11</v>
      </c>
      <c r="E1692" t="s">
        <v>30</v>
      </c>
      <c r="F1692" t="s">
        <v>31</v>
      </c>
      <c r="G1692">
        <v>2</v>
      </c>
      <c r="H1692">
        <v>2.8</v>
      </c>
      <c r="I1692" t="s">
        <v>21</v>
      </c>
      <c r="J1692" t="s">
        <v>848</v>
      </c>
      <c r="K1692" s="12">
        <f>Store_Record[[#This Row],[Qty]]*Store_Record[[#This Row],[UnitPriceGBP]]</f>
        <v>5.6</v>
      </c>
      <c r="L1692" s="5" t="str">
        <f>TEXT(Store_Record[[#This Row],[Date]],"dddd")</f>
        <v>Tuesday</v>
      </c>
      <c r="M1692" s="5" t="str">
        <f>TEXT(Store_Record[[#This Row],[Date]],"mmmm")</f>
        <v>April</v>
      </c>
      <c r="N1692" s="5">
        <f>YEAR(Store_Record[[#This Row],[Date]])</f>
        <v>2025</v>
      </c>
      <c r="O1692"/>
    </row>
    <row r="1693" spans="1:15" x14ac:dyDescent="0.35">
      <c r="A1693" t="s">
        <v>2514</v>
      </c>
      <c r="B1693" s="2">
        <v>45776</v>
      </c>
      <c r="C1693" t="s">
        <v>36</v>
      </c>
      <c r="D1693" t="s">
        <v>47</v>
      </c>
      <c r="E1693" t="s">
        <v>34</v>
      </c>
      <c r="F1693" t="s">
        <v>31</v>
      </c>
      <c r="G1693">
        <v>2</v>
      </c>
      <c r="H1693">
        <v>2.2000000000000002</v>
      </c>
      <c r="I1693" t="s">
        <v>14</v>
      </c>
      <c r="J1693" t="s">
        <v>1097</v>
      </c>
      <c r="K1693" s="12">
        <f>Store_Record[[#This Row],[Qty]]*Store_Record[[#This Row],[UnitPriceGBP]]</f>
        <v>4.4000000000000004</v>
      </c>
      <c r="L1693" s="5" t="str">
        <f>TEXT(Store_Record[[#This Row],[Date]],"dddd")</f>
        <v>Tuesday</v>
      </c>
      <c r="M1693" s="5" t="str">
        <f>TEXT(Store_Record[[#This Row],[Date]],"mmmm")</f>
        <v>April</v>
      </c>
      <c r="N1693" s="5">
        <f>YEAR(Store_Record[[#This Row],[Date]])</f>
        <v>2025</v>
      </c>
      <c r="O1693"/>
    </row>
    <row r="1694" spans="1:15" x14ac:dyDescent="0.35">
      <c r="A1694" t="s">
        <v>2516</v>
      </c>
      <c r="B1694" s="2">
        <v>45776</v>
      </c>
      <c r="C1694" t="s">
        <v>20</v>
      </c>
      <c r="D1694" t="s">
        <v>38</v>
      </c>
      <c r="E1694" t="s">
        <v>42</v>
      </c>
      <c r="F1694" t="s">
        <v>13</v>
      </c>
      <c r="G1694">
        <v>1</v>
      </c>
      <c r="H1694">
        <v>3.8</v>
      </c>
      <c r="I1694" t="s">
        <v>14</v>
      </c>
      <c r="J1694" t="s">
        <v>1025</v>
      </c>
      <c r="K1694" s="12">
        <f>Store_Record[[#This Row],[Qty]]*Store_Record[[#This Row],[UnitPriceGBP]]</f>
        <v>3.8</v>
      </c>
      <c r="L1694" s="5" t="str">
        <f>TEXT(Store_Record[[#This Row],[Date]],"dddd")</f>
        <v>Tuesday</v>
      </c>
      <c r="M1694" s="5" t="str">
        <f>TEXT(Store_Record[[#This Row],[Date]],"mmmm")</f>
        <v>April</v>
      </c>
      <c r="N1694" s="5">
        <f>YEAR(Store_Record[[#This Row],[Date]])</f>
        <v>2025</v>
      </c>
      <c r="O1694"/>
    </row>
    <row r="1695" spans="1:15" x14ac:dyDescent="0.35">
      <c r="A1695" t="s">
        <v>2519</v>
      </c>
      <c r="B1695" s="2">
        <v>45776</v>
      </c>
      <c r="C1695" t="s">
        <v>10</v>
      </c>
      <c r="D1695" t="s">
        <v>29</v>
      </c>
      <c r="E1695" t="s">
        <v>26</v>
      </c>
      <c r="F1695" t="s">
        <v>13</v>
      </c>
      <c r="G1695">
        <v>1</v>
      </c>
      <c r="H1695">
        <v>3.5</v>
      </c>
      <c r="I1695" t="s">
        <v>39</v>
      </c>
      <c r="J1695" t="s">
        <v>871</v>
      </c>
      <c r="K1695" s="12">
        <f>Store_Record[[#This Row],[Qty]]*Store_Record[[#This Row],[UnitPriceGBP]]</f>
        <v>3.5</v>
      </c>
      <c r="L1695" s="5" t="str">
        <f>TEXT(Store_Record[[#This Row],[Date]],"dddd")</f>
        <v>Tuesday</v>
      </c>
      <c r="M1695" s="5" t="str">
        <f>TEXT(Store_Record[[#This Row],[Date]],"mmmm")</f>
        <v>April</v>
      </c>
      <c r="N1695" s="5">
        <f>YEAR(Store_Record[[#This Row],[Date]])</f>
        <v>2025</v>
      </c>
      <c r="O1695"/>
    </row>
    <row r="1696" spans="1:15" x14ac:dyDescent="0.35">
      <c r="A1696" t="s">
        <v>2526</v>
      </c>
      <c r="B1696" s="2">
        <v>45776</v>
      </c>
      <c r="C1696" t="s">
        <v>36</v>
      </c>
      <c r="D1696" t="s">
        <v>11</v>
      </c>
      <c r="E1696" t="s">
        <v>26</v>
      </c>
      <c r="F1696" t="s">
        <v>13</v>
      </c>
      <c r="G1696">
        <v>1</v>
      </c>
      <c r="H1696">
        <v>3.5</v>
      </c>
      <c r="I1696" t="s">
        <v>39</v>
      </c>
      <c r="J1696" t="s">
        <v>1181</v>
      </c>
      <c r="K1696" s="12">
        <f>Store_Record[[#This Row],[Qty]]*Store_Record[[#This Row],[UnitPriceGBP]]</f>
        <v>3.5</v>
      </c>
      <c r="L1696" s="5" t="str">
        <f>TEXT(Store_Record[[#This Row],[Date]],"dddd")</f>
        <v>Tuesday</v>
      </c>
      <c r="M1696" s="5" t="str">
        <f>TEXT(Store_Record[[#This Row],[Date]],"mmmm")</f>
        <v>April</v>
      </c>
      <c r="N1696" s="5">
        <f>YEAR(Store_Record[[#This Row],[Date]])</f>
        <v>2025</v>
      </c>
      <c r="O1696"/>
    </row>
    <row r="1697" spans="1:15" x14ac:dyDescent="0.35">
      <c r="A1697" t="s">
        <v>2527</v>
      </c>
      <c r="B1697" s="2">
        <v>45776</v>
      </c>
      <c r="C1697" t="s">
        <v>10</v>
      </c>
      <c r="D1697" t="s">
        <v>25</v>
      </c>
      <c r="E1697" t="s">
        <v>26</v>
      </c>
      <c r="F1697" t="s">
        <v>13</v>
      </c>
      <c r="G1697">
        <v>1</v>
      </c>
      <c r="H1697">
        <v>3.5</v>
      </c>
      <c r="I1697" t="s">
        <v>39</v>
      </c>
      <c r="J1697" t="s">
        <v>464</v>
      </c>
      <c r="K1697" s="12">
        <f>Store_Record[[#This Row],[Qty]]*Store_Record[[#This Row],[UnitPriceGBP]]</f>
        <v>3.5</v>
      </c>
      <c r="L1697" s="5" t="str">
        <f>TEXT(Store_Record[[#This Row],[Date]],"dddd")</f>
        <v>Tuesday</v>
      </c>
      <c r="M1697" s="5" t="str">
        <f>TEXT(Store_Record[[#This Row],[Date]],"mmmm")</f>
        <v>April</v>
      </c>
      <c r="N1697" s="5">
        <f>YEAR(Store_Record[[#This Row],[Date]])</f>
        <v>2025</v>
      </c>
      <c r="O1697"/>
    </row>
    <row r="1698" spans="1:15" x14ac:dyDescent="0.35">
      <c r="A1698" t="s">
        <v>2518</v>
      </c>
      <c r="B1698" s="2">
        <v>45776</v>
      </c>
      <c r="C1698" t="s">
        <v>24</v>
      </c>
      <c r="D1698" t="s">
        <v>47</v>
      </c>
      <c r="E1698" t="s">
        <v>30</v>
      </c>
      <c r="F1698" t="s">
        <v>31</v>
      </c>
      <c r="G1698">
        <v>1</v>
      </c>
      <c r="H1698">
        <v>2.8</v>
      </c>
      <c r="I1698" t="s">
        <v>21</v>
      </c>
      <c r="J1698" t="s">
        <v>2236</v>
      </c>
      <c r="K1698" s="12">
        <f>Store_Record[[#This Row],[Qty]]*Store_Record[[#This Row],[UnitPriceGBP]]</f>
        <v>2.8</v>
      </c>
      <c r="L1698" s="5" t="str">
        <f>TEXT(Store_Record[[#This Row],[Date]],"dddd")</f>
        <v>Tuesday</v>
      </c>
      <c r="M1698" s="5" t="str">
        <f>TEXT(Store_Record[[#This Row],[Date]],"mmmm")</f>
        <v>April</v>
      </c>
      <c r="N1698" s="5">
        <f>YEAR(Store_Record[[#This Row],[Date]])</f>
        <v>2025</v>
      </c>
      <c r="O1698"/>
    </row>
    <row r="1699" spans="1:15" x14ac:dyDescent="0.35">
      <c r="A1699" t="s">
        <v>2520</v>
      </c>
      <c r="B1699" s="2">
        <v>45776</v>
      </c>
      <c r="C1699" t="s">
        <v>36</v>
      </c>
      <c r="D1699" t="s">
        <v>38</v>
      </c>
      <c r="E1699" t="s">
        <v>30</v>
      </c>
      <c r="F1699" t="s">
        <v>31</v>
      </c>
      <c r="G1699">
        <v>1</v>
      </c>
      <c r="H1699">
        <v>2.8</v>
      </c>
      <c r="I1699" t="s">
        <v>14</v>
      </c>
      <c r="J1699" t="s">
        <v>2521</v>
      </c>
      <c r="K1699" s="12">
        <f>Store_Record[[#This Row],[Qty]]*Store_Record[[#This Row],[UnitPriceGBP]]</f>
        <v>2.8</v>
      </c>
      <c r="L1699" s="5" t="str">
        <f>TEXT(Store_Record[[#This Row],[Date]],"dddd")</f>
        <v>Tuesday</v>
      </c>
      <c r="M1699" s="5" t="str">
        <f>TEXT(Store_Record[[#This Row],[Date]],"mmmm")</f>
        <v>April</v>
      </c>
      <c r="N1699" s="5">
        <f>YEAR(Store_Record[[#This Row],[Date]])</f>
        <v>2025</v>
      </c>
      <c r="O1699"/>
    </row>
    <row r="1700" spans="1:15" x14ac:dyDescent="0.35">
      <c r="A1700" t="s">
        <v>2517</v>
      </c>
      <c r="B1700" s="2">
        <v>45776</v>
      </c>
      <c r="C1700" t="s">
        <v>24</v>
      </c>
      <c r="D1700" t="s">
        <v>25</v>
      </c>
      <c r="E1700" t="s">
        <v>12</v>
      </c>
      <c r="F1700" t="s">
        <v>13</v>
      </c>
      <c r="G1700">
        <v>1</v>
      </c>
      <c r="H1700">
        <v>2.5</v>
      </c>
      <c r="I1700" t="s">
        <v>21</v>
      </c>
      <c r="J1700" t="s">
        <v>1042</v>
      </c>
      <c r="K1700" s="12">
        <f>Store_Record[[#This Row],[Qty]]*Store_Record[[#This Row],[UnitPriceGBP]]</f>
        <v>2.5</v>
      </c>
      <c r="L1700" s="5" t="str">
        <f>TEXT(Store_Record[[#This Row],[Date]],"dddd")</f>
        <v>Tuesday</v>
      </c>
      <c r="M1700" s="5" t="str">
        <f>TEXT(Store_Record[[#This Row],[Date]],"mmmm")</f>
        <v>April</v>
      </c>
      <c r="N1700" s="5">
        <f>YEAR(Store_Record[[#This Row],[Date]])</f>
        <v>2025</v>
      </c>
      <c r="O1700"/>
    </row>
    <row r="1701" spans="1:15" x14ac:dyDescent="0.35">
      <c r="A1701" t="s">
        <v>2525</v>
      </c>
      <c r="B1701" s="2">
        <v>45776</v>
      </c>
      <c r="C1701" t="s">
        <v>20</v>
      </c>
      <c r="D1701" t="s">
        <v>11</v>
      </c>
      <c r="E1701" t="s">
        <v>12</v>
      </c>
      <c r="F1701" t="s">
        <v>13</v>
      </c>
      <c r="G1701">
        <v>1</v>
      </c>
      <c r="H1701">
        <v>2.5</v>
      </c>
      <c r="I1701" t="s">
        <v>39</v>
      </c>
      <c r="J1701" t="s">
        <v>784</v>
      </c>
      <c r="K1701" s="12">
        <f>Store_Record[[#This Row],[Qty]]*Store_Record[[#This Row],[UnitPriceGBP]]</f>
        <v>2.5</v>
      </c>
      <c r="L1701" s="5" t="str">
        <f>TEXT(Store_Record[[#This Row],[Date]],"dddd")</f>
        <v>Tuesday</v>
      </c>
      <c r="M1701" s="5" t="str">
        <f>TEXT(Store_Record[[#This Row],[Date]],"mmmm")</f>
        <v>April</v>
      </c>
      <c r="N1701" s="5">
        <f>YEAR(Store_Record[[#This Row],[Date]])</f>
        <v>2025</v>
      </c>
      <c r="O1701"/>
    </row>
    <row r="1702" spans="1:15" x14ac:dyDescent="0.35">
      <c r="A1702" t="s">
        <v>2540</v>
      </c>
      <c r="B1702" s="2">
        <v>45777</v>
      </c>
      <c r="C1702" t="s">
        <v>10</v>
      </c>
      <c r="D1702" t="s">
        <v>38</v>
      </c>
      <c r="E1702" t="s">
        <v>42</v>
      </c>
      <c r="F1702" t="s">
        <v>13</v>
      </c>
      <c r="G1702">
        <v>5</v>
      </c>
      <c r="H1702">
        <v>3.8</v>
      </c>
      <c r="I1702" t="s">
        <v>39</v>
      </c>
      <c r="J1702" t="s">
        <v>1930</v>
      </c>
      <c r="K1702" s="12">
        <f>Store_Record[[#This Row],[Qty]]*Store_Record[[#This Row],[UnitPriceGBP]]</f>
        <v>19</v>
      </c>
      <c r="L1702" s="5" t="str">
        <f>TEXT(Store_Record[[#This Row],[Date]],"dddd")</f>
        <v>Wednesday</v>
      </c>
      <c r="M1702" s="5" t="str">
        <f>TEXT(Store_Record[[#This Row],[Date]],"mmmm")</f>
        <v>April</v>
      </c>
      <c r="N1702" s="5">
        <f>YEAR(Store_Record[[#This Row],[Date]])</f>
        <v>2025</v>
      </c>
      <c r="O1702"/>
    </row>
    <row r="1703" spans="1:15" x14ac:dyDescent="0.35">
      <c r="A1703" t="s">
        <v>2531</v>
      </c>
      <c r="B1703" s="2">
        <v>45777</v>
      </c>
      <c r="C1703" t="s">
        <v>24</v>
      </c>
      <c r="D1703" t="s">
        <v>38</v>
      </c>
      <c r="E1703" t="s">
        <v>30</v>
      </c>
      <c r="F1703" t="s">
        <v>31</v>
      </c>
      <c r="G1703">
        <v>5</v>
      </c>
      <c r="H1703">
        <v>2.8</v>
      </c>
      <c r="I1703" t="s">
        <v>21</v>
      </c>
      <c r="J1703" t="s">
        <v>125</v>
      </c>
      <c r="K1703" s="12">
        <f>Store_Record[[#This Row],[Qty]]*Store_Record[[#This Row],[UnitPriceGBP]]</f>
        <v>14</v>
      </c>
      <c r="L1703" s="5" t="str">
        <f>TEXT(Store_Record[[#This Row],[Date]],"dddd")</f>
        <v>Wednesday</v>
      </c>
      <c r="M1703" s="5" t="str">
        <f>TEXT(Store_Record[[#This Row],[Date]],"mmmm")</f>
        <v>April</v>
      </c>
      <c r="N1703" s="5">
        <f>YEAR(Store_Record[[#This Row],[Date]])</f>
        <v>2025</v>
      </c>
      <c r="O1703"/>
    </row>
    <row r="1704" spans="1:15" x14ac:dyDescent="0.35">
      <c r="A1704" t="s">
        <v>2544</v>
      </c>
      <c r="B1704" s="2">
        <v>45777</v>
      </c>
      <c r="C1704" t="s">
        <v>10</v>
      </c>
      <c r="D1704" t="s">
        <v>29</v>
      </c>
      <c r="E1704" t="s">
        <v>30</v>
      </c>
      <c r="F1704" t="s">
        <v>31</v>
      </c>
      <c r="G1704">
        <v>5</v>
      </c>
      <c r="H1704">
        <v>2.8</v>
      </c>
      <c r="I1704" t="s">
        <v>39</v>
      </c>
      <c r="J1704" t="s">
        <v>1486</v>
      </c>
      <c r="K1704" s="12">
        <f>Store_Record[[#This Row],[Qty]]*Store_Record[[#This Row],[UnitPriceGBP]]</f>
        <v>14</v>
      </c>
      <c r="L1704" s="5" t="str">
        <f>TEXT(Store_Record[[#This Row],[Date]],"dddd")</f>
        <v>Wednesday</v>
      </c>
      <c r="M1704" s="5" t="str">
        <f>TEXT(Store_Record[[#This Row],[Date]],"mmmm")</f>
        <v>April</v>
      </c>
      <c r="N1704" s="5">
        <f>YEAR(Store_Record[[#This Row],[Date]])</f>
        <v>2025</v>
      </c>
      <c r="O1704"/>
    </row>
    <row r="1705" spans="1:15" x14ac:dyDescent="0.35">
      <c r="A1705" t="s">
        <v>2543</v>
      </c>
      <c r="B1705" s="2">
        <v>45777</v>
      </c>
      <c r="C1705" t="s">
        <v>20</v>
      </c>
      <c r="D1705" t="s">
        <v>29</v>
      </c>
      <c r="E1705" t="s">
        <v>12</v>
      </c>
      <c r="F1705" t="s">
        <v>13</v>
      </c>
      <c r="G1705">
        <v>5</v>
      </c>
      <c r="H1705">
        <v>2.5</v>
      </c>
      <c r="I1705" t="s">
        <v>21</v>
      </c>
      <c r="J1705" t="s">
        <v>2523</v>
      </c>
      <c r="K1705" s="12">
        <f>Store_Record[[#This Row],[Qty]]*Store_Record[[#This Row],[UnitPriceGBP]]</f>
        <v>12.5</v>
      </c>
      <c r="L1705" s="5" t="str">
        <f>TEXT(Store_Record[[#This Row],[Date]],"dddd")</f>
        <v>Wednesday</v>
      </c>
      <c r="M1705" s="5" t="str">
        <f>TEXT(Store_Record[[#This Row],[Date]],"mmmm")</f>
        <v>April</v>
      </c>
      <c r="N1705" s="5">
        <f>YEAR(Store_Record[[#This Row],[Date]])</f>
        <v>2025</v>
      </c>
      <c r="O1705"/>
    </row>
    <row r="1706" spans="1:15" x14ac:dyDescent="0.35">
      <c r="A1706" t="s">
        <v>2530</v>
      </c>
      <c r="B1706" s="2">
        <v>45777</v>
      </c>
      <c r="C1706" t="s">
        <v>20</v>
      </c>
      <c r="D1706" t="s">
        <v>47</v>
      </c>
      <c r="E1706" t="s">
        <v>42</v>
      </c>
      <c r="F1706" t="s">
        <v>13</v>
      </c>
      <c r="G1706">
        <v>3</v>
      </c>
      <c r="H1706">
        <v>3.8</v>
      </c>
      <c r="I1706" t="s">
        <v>21</v>
      </c>
      <c r="J1706" t="s">
        <v>2032</v>
      </c>
      <c r="K1706" s="12">
        <f>Store_Record[[#This Row],[Qty]]*Store_Record[[#This Row],[UnitPriceGBP]]</f>
        <v>11.399999999999999</v>
      </c>
      <c r="L1706" s="5" t="str">
        <f>TEXT(Store_Record[[#This Row],[Date]],"dddd")</f>
        <v>Wednesday</v>
      </c>
      <c r="M1706" s="5" t="str">
        <f>TEXT(Store_Record[[#This Row],[Date]],"mmmm")</f>
        <v>April</v>
      </c>
      <c r="N1706" s="5">
        <f>YEAR(Store_Record[[#This Row],[Date]])</f>
        <v>2025</v>
      </c>
      <c r="O1706"/>
    </row>
    <row r="1707" spans="1:15" x14ac:dyDescent="0.35">
      <c r="A1707" t="s">
        <v>2541</v>
      </c>
      <c r="B1707" s="2">
        <v>45777</v>
      </c>
      <c r="C1707" t="s">
        <v>36</v>
      </c>
      <c r="D1707" t="s">
        <v>38</v>
      </c>
      <c r="E1707" t="s">
        <v>42</v>
      </c>
      <c r="F1707" t="s">
        <v>13</v>
      </c>
      <c r="G1707">
        <v>3</v>
      </c>
      <c r="H1707">
        <v>3.8</v>
      </c>
      <c r="I1707" t="s">
        <v>39</v>
      </c>
      <c r="J1707" t="s">
        <v>191</v>
      </c>
      <c r="K1707" s="12">
        <f>Store_Record[[#This Row],[Qty]]*Store_Record[[#This Row],[UnitPriceGBP]]</f>
        <v>11.399999999999999</v>
      </c>
      <c r="L1707" s="5" t="str">
        <f>TEXT(Store_Record[[#This Row],[Date]],"dddd")</f>
        <v>Wednesday</v>
      </c>
      <c r="M1707" s="5" t="str">
        <f>TEXT(Store_Record[[#This Row],[Date]],"mmmm")</f>
        <v>April</v>
      </c>
      <c r="N1707" s="5">
        <f>YEAR(Store_Record[[#This Row],[Date]])</f>
        <v>2025</v>
      </c>
      <c r="O1707"/>
    </row>
    <row r="1708" spans="1:15" x14ac:dyDescent="0.35">
      <c r="A1708" t="s">
        <v>2535</v>
      </c>
      <c r="B1708" s="2">
        <v>45777</v>
      </c>
      <c r="C1708" t="s">
        <v>24</v>
      </c>
      <c r="D1708" t="s">
        <v>11</v>
      </c>
      <c r="E1708" t="s">
        <v>30</v>
      </c>
      <c r="F1708" t="s">
        <v>31</v>
      </c>
      <c r="G1708">
        <v>4</v>
      </c>
      <c r="H1708">
        <v>2.8</v>
      </c>
      <c r="I1708" t="s">
        <v>21</v>
      </c>
      <c r="J1708" t="s">
        <v>753</v>
      </c>
      <c r="K1708" s="12">
        <f>Store_Record[[#This Row],[Qty]]*Store_Record[[#This Row],[UnitPriceGBP]]</f>
        <v>11.2</v>
      </c>
      <c r="L1708" s="5" t="str">
        <f>TEXT(Store_Record[[#This Row],[Date]],"dddd")</f>
        <v>Wednesday</v>
      </c>
      <c r="M1708" s="5" t="str">
        <f>TEXT(Store_Record[[#This Row],[Date]],"mmmm")</f>
        <v>April</v>
      </c>
      <c r="N1708" s="5">
        <f>YEAR(Store_Record[[#This Row],[Date]])</f>
        <v>2025</v>
      </c>
      <c r="O1708"/>
    </row>
    <row r="1709" spans="1:15" x14ac:dyDescent="0.35">
      <c r="A1709" t="s">
        <v>2532</v>
      </c>
      <c r="B1709" s="2">
        <v>45777</v>
      </c>
      <c r="C1709" t="s">
        <v>36</v>
      </c>
      <c r="D1709" t="s">
        <v>11</v>
      </c>
      <c r="E1709" t="s">
        <v>34</v>
      </c>
      <c r="F1709" t="s">
        <v>31</v>
      </c>
      <c r="G1709">
        <v>5</v>
      </c>
      <c r="H1709">
        <v>2.2000000000000002</v>
      </c>
      <c r="I1709" t="s">
        <v>21</v>
      </c>
      <c r="J1709" t="s">
        <v>78</v>
      </c>
      <c r="K1709" s="12">
        <f>Store_Record[[#This Row],[Qty]]*Store_Record[[#This Row],[UnitPriceGBP]]</f>
        <v>11</v>
      </c>
      <c r="L1709" s="5" t="str">
        <f>TEXT(Store_Record[[#This Row],[Date]],"dddd")</f>
        <v>Wednesday</v>
      </c>
      <c r="M1709" s="5" t="str">
        <f>TEXT(Store_Record[[#This Row],[Date]],"mmmm")</f>
        <v>April</v>
      </c>
      <c r="N1709" s="5">
        <f>YEAR(Store_Record[[#This Row],[Date]])</f>
        <v>2025</v>
      </c>
      <c r="O1709"/>
    </row>
    <row r="1710" spans="1:15" x14ac:dyDescent="0.35">
      <c r="A1710" t="s">
        <v>2547</v>
      </c>
      <c r="B1710" s="2">
        <v>45777</v>
      </c>
      <c r="C1710" t="s">
        <v>36</v>
      </c>
      <c r="D1710" t="s">
        <v>25</v>
      </c>
      <c r="E1710" t="s">
        <v>12</v>
      </c>
      <c r="F1710" t="s">
        <v>13</v>
      </c>
      <c r="G1710">
        <v>4</v>
      </c>
      <c r="H1710">
        <v>2.5</v>
      </c>
      <c r="I1710" t="s">
        <v>14</v>
      </c>
      <c r="J1710" t="s">
        <v>1327</v>
      </c>
      <c r="K1710" s="12">
        <f>Store_Record[[#This Row],[Qty]]*Store_Record[[#This Row],[UnitPriceGBP]]</f>
        <v>10</v>
      </c>
      <c r="L1710" s="5" t="str">
        <f>TEXT(Store_Record[[#This Row],[Date]],"dddd")</f>
        <v>Wednesday</v>
      </c>
      <c r="M1710" s="5" t="str">
        <f>TEXT(Store_Record[[#This Row],[Date]],"mmmm")</f>
        <v>April</v>
      </c>
      <c r="N1710" s="5">
        <f>YEAR(Store_Record[[#This Row],[Date]])</f>
        <v>2025</v>
      </c>
      <c r="O1710"/>
    </row>
    <row r="1711" spans="1:15" x14ac:dyDescent="0.35">
      <c r="A1711" t="s">
        <v>2545</v>
      </c>
      <c r="B1711" s="2">
        <v>45777</v>
      </c>
      <c r="C1711" t="s">
        <v>24</v>
      </c>
      <c r="D1711" t="s">
        <v>25</v>
      </c>
      <c r="E1711" t="s">
        <v>34</v>
      </c>
      <c r="F1711" t="s">
        <v>31</v>
      </c>
      <c r="G1711">
        <v>4</v>
      </c>
      <c r="H1711">
        <v>2.2000000000000002</v>
      </c>
      <c r="I1711" t="s">
        <v>14</v>
      </c>
      <c r="J1711" t="s">
        <v>2546</v>
      </c>
      <c r="K1711" s="12">
        <f>Store_Record[[#This Row],[Qty]]*Store_Record[[#This Row],[UnitPriceGBP]]</f>
        <v>8.8000000000000007</v>
      </c>
      <c r="L1711" s="5" t="str">
        <f>TEXT(Store_Record[[#This Row],[Date]],"dddd")</f>
        <v>Wednesday</v>
      </c>
      <c r="M1711" s="5" t="str">
        <f>TEXT(Store_Record[[#This Row],[Date]],"mmmm")</f>
        <v>April</v>
      </c>
      <c r="N1711" s="5">
        <f>YEAR(Store_Record[[#This Row],[Date]])</f>
        <v>2025</v>
      </c>
      <c r="O1711"/>
    </row>
    <row r="1712" spans="1:15" x14ac:dyDescent="0.35">
      <c r="A1712" t="s">
        <v>2528</v>
      </c>
      <c r="B1712" s="2">
        <v>45777</v>
      </c>
      <c r="C1712" t="s">
        <v>24</v>
      </c>
      <c r="D1712" t="s">
        <v>47</v>
      </c>
      <c r="E1712" t="s">
        <v>12</v>
      </c>
      <c r="F1712" t="s">
        <v>13</v>
      </c>
      <c r="G1712">
        <v>3</v>
      </c>
      <c r="H1712">
        <v>2.5</v>
      </c>
      <c r="I1712" t="s">
        <v>14</v>
      </c>
      <c r="J1712" t="s">
        <v>2529</v>
      </c>
      <c r="K1712" s="12">
        <f>Store_Record[[#This Row],[Qty]]*Store_Record[[#This Row],[UnitPriceGBP]]</f>
        <v>7.5</v>
      </c>
      <c r="L1712" s="5" t="str">
        <f>TEXT(Store_Record[[#This Row],[Date]],"dddd")</f>
        <v>Wednesday</v>
      </c>
      <c r="M1712" s="5" t="str">
        <f>TEXT(Store_Record[[#This Row],[Date]],"mmmm")</f>
        <v>April</v>
      </c>
      <c r="N1712" s="5">
        <f>YEAR(Store_Record[[#This Row],[Date]])</f>
        <v>2025</v>
      </c>
      <c r="O1712"/>
    </row>
    <row r="1713" spans="1:15" x14ac:dyDescent="0.35">
      <c r="A1713" t="s">
        <v>2536</v>
      </c>
      <c r="B1713" s="2">
        <v>45777</v>
      </c>
      <c r="C1713" t="s">
        <v>36</v>
      </c>
      <c r="D1713" t="s">
        <v>38</v>
      </c>
      <c r="E1713" t="s">
        <v>34</v>
      </c>
      <c r="F1713" t="s">
        <v>31</v>
      </c>
      <c r="G1713">
        <v>3</v>
      </c>
      <c r="H1713">
        <v>2.2000000000000002</v>
      </c>
      <c r="I1713" t="s">
        <v>14</v>
      </c>
      <c r="J1713" t="s">
        <v>2537</v>
      </c>
      <c r="K1713" s="12">
        <f>Store_Record[[#This Row],[Qty]]*Store_Record[[#This Row],[UnitPriceGBP]]</f>
        <v>6.6000000000000005</v>
      </c>
      <c r="L1713" s="5" t="str">
        <f>TEXT(Store_Record[[#This Row],[Date]],"dddd")</f>
        <v>Wednesday</v>
      </c>
      <c r="M1713" s="5" t="str">
        <f>TEXT(Store_Record[[#This Row],[Date]],"mmmm")</f>
        <v>April</v>
      </c>
      <c r="N1713" s="5">
        <f>YEAR(Store_Record[[#This Row],[Date]])</f>
        <v>2025</v>
      </c>
      <c r="O1713"/>
    </row>
    <row r="1714" spans="1:15" x14ac:dyDescent="0.35">
      <c r="A1714" t="s">
        <v>2542</v>
      </c>
      <c r="B1714" s="2">
        <v>45777</v>
      </c>
      <c r="C1714" t="s">
        <v>24</v>
      </c>
      <c r="D1714" t="s">
        <v>25</v>
      </c>
      <c r="E1714" t="s">
        <v>34</v>
      </c>
      <c r="F1714" t="s">
        <v>31</v>
      </c>
      <c r="G1714">
        <v>3</v>
      </c>
      <c r="H1714">
        <v>2.2000000000000002</v>
      </c>
      <c r="I1714" t="s">
        <v>21</v>
      </c>
      <c r="J1714" t="s">
        <v>2030</v>
      </c>
      <c r="K1714" s="12">
        <f>Store_Record[[#This Row],[Qty]]*Store_Record[[#This Row],[UnitPriceGBP]]</f>
        <v>6.6000000000000005</v>
      </c>
      <c r="L1714" s="5" t="str">
        <f>TEXT(Store_Record[[#This Row],[Date]],"dddd")</f>
        <v>Wednesday</v>
      </c>
      <c r="M1714" s="5" t="str">
        <f>TEXT(Store_Record[[#This Row],[Date]],"mmmm")</f>
        <v>April</v>
      </c>
      <c r="N1714" s="5">
        <f>YEAR(Store_Record[[#This Row],[Date]])</f>
        <v>2025</v>
      </c>
      <c r="O1714"/>
    </row>
    <row r="1715" spans="1:15" x14ac:dyDescent="0.35">
      <c r="A1715" t="s">
        <v>2538</v>
      </c>
      <c r="B1715" s="2">
        <v>45777</v>
      </c>
      <c r="C1715" t="s">
        <v>24</v>
      </c>
      <c r="D1715" t="s">
        <v>47</v>
      </c>
      <c r="E1715" t="s">
        <v>12</v>
      </c>
      <c r="F1715" t="s">
        <v>13</v>
      </c>
      <c r="G1715">
        <v>2</v>
      </c>
      <c r="H1715">
        <v>2.5</v>
      </c>
      <c r="I1715" t="s">
        <v>39</v>
      </c>
      <c r="J1715" t="s">
        <v>1484</v>
      </c>
      <c r="K1715" s="12">
        <f>Store_Record[[#This Row],[Qty]]*Store_Record[[#This Row],[UnitPriceGBP]]</f>
        <v>5</v>
      </c>
      <c r="L1715" s="5" t="str">
        <f>TEXT(Store_Record[[#This Row],[Date]],"dddd")</f>
        <v>Wednesday</v>
      </c>
      <c r="M1715" s="5" t="str">
        <f>TEXT(Store_Record[[#This Row],[Date]],"mmmm")</f>
        <v>April</v>
      </c>
      <c r="N1715" s="5">
        <f>YEAR(Store_Record[[#This Row],[Date]])</f>
        <v>2025</v>
      </c>
      <c r="O1715"/>
    </row>
    <row r="1716" spans="1:15" x14ac:dyDescent="0.35">
      <c r="A1716" t="s">
        <v>2534</v>
      </c>
      <c r="B1716" s="2">
        <v>45777</v>
      </c>
      <c r="C1716" t="s">
        <v>36</v>
      </c>
      <c r="D1716" t="s">
        <v>38</v>
      </c>
      <c r="E1716" t="s">
        <v>26</v>
      </c>
      <c r="F1716" t="s">
        <v>13</v>
      </c>
      <c r="G1716">
        <v>1</v>
      </c>
      <c r="H1716">
        <v>3.5</v>
      </c>
      <c r="I1716" t="s">
        <v>21</v>
      </c>
      <c r="J1716" t="s">
        <v>2427</v>
      </c>
      <c r="K1716" s="12">
        <f>Store_Record[[#This Row],[Qty]]*Store_Record[[#This Row],[UnitPriceGBP]]</f>
        <v>3.5</v>
      </c>
      <c r="L1716" s="5" t="str">
        <f>TEXT(Store_Record[[#This Row],[Date]],"dddd")</f>
        <v>Wednesday</v>
      </c>
      <c r="M1716" s="5" t="str">
        <f>TEXT(Store_Record[[#This Row],[Date]],"mmmm")</f>
        <v>April</v>
      </c>
      <c r="N1716" s="5">
        <f>YEAR(Store_Record[[#This Row],[Date]])</f>
        <v>2025</v>
      </c>
      <c r="O1716"/>
    </row>
    <row r="1717" spans="1:15" x14ac:dyDescent="0.35">
      <c r="A1717" t="s">
        <v>2539</v>
      </c>
      <c r="B1717" s="2">
        <v>45777</v>
      </c>
      <c r="C1717" t="s">
        <v>20</v>
      </c>
      <c r="D1717" t="s">
        <v>29</v>
      </c>
      <c r="E1717" t="s">
        <v>26</v>
      </c>
      <c r="F1717" t="s">
        <v>13</v>
      </c>
      <c r="G1717">
        <v>1</v>
      </c>
      <c r="H1717">
        <v>3.5</v>
      </c>
      <c r="I1717" t="s">
        <v>21</v>
      </c>
      <c r="J1717" t="s">
        <v>1616</v>
      </c>
      <c r="K1717" s="12">
        <f>Store_Record[[#This Row],[Qty]]*Store_Record[[#This Row],[UnitPriceGBP]]</f>
        <v>3.5</v>
      </c>
      <c r="L1717" s="5" t="str">
        <f>TEXT(Store_Record[[#This Row],[Date]],"dddd")</f>
        <v>Wednesday</v>
      </c>
      <c r="M1717" s="5" t="str">
        <f>TEXT(Store_Record[[#This Row],[Date]],"mmmm")</f>
        <v>April</v>
      </c>
      <c r="N1717" s="5">
        <f>YEAR(Store_Record[[#This Row],[Date]])</f>
        <v>2025</v>
      </c>
      <c r="O1717"/>
    </row>
    <row r="1718" spans="1:15" x14ac:dyDescent="0.35">
      <c r="A1718" t="s">
        <v>2533</v>
      </c>
      <c r="B1718" s="2">
        <v>45777</v>
      </c>
      <c r="C1718" t="s">
        <v>20</v>
      </c>
      <c r="D1718" t="s">
        <v>29</v>
      </c>
      <c r="E1718" t="s">
        <v>12</v>
      </c>
      <c r="F1718" t="s">
        <v>13</v>
      </c>
      <c r="G1718">
        <v>1</v>
      </c>
      <c r="H1718">
        <v>2.5</v>
      </c>
      <c r="I1718" t="s">
        <v>21</v>
      </c>
      <c r="J1718" t="s">
        <v>298</v>
      </c>
      <c r="K1718" s="12">
        <f>Store_Record[[#This Row],[Qty]]*Store_Record[[#This Row],[UnitPriceGBP]]</f>
        <v>2.5</v>
      </c>
      <c r="L1718" s="5" t="str">
        <f>TEXT(Store_Record[[#This Row],[Date]],"dddd")</f>
        <v>Wednesday</v>
      </c>
      <c r="M1718" s="5" t="str">
        <f>TEXT(Store_Record[[#This Row],[Date]],"mmmm")</f>
        <v>April</v>
      </c>
      <c r="N1718" s="5">
        <f>YEAR(Store_Record[[#This Row],[Date]])</f>
        <v>2025</v>
      </c>
      <c r="O1718"/>
    </row>
    <row r="1719" spans="1:15" x14ac:dyDescent="0.35">
      <c r="A1719" t="s">
        <v>2552</v>
      </c>
      <c r="B1719" s="2">
        <v>45778</v>
      </c>
      <c r="C1719" t="s">
        <v>36</v>
      </c>
      <c r="D1719" t="s">
        <v>11</v>
      </c>
      <c r="E1719" t="s">
        <v>42</v>
      </c>
      <c r="F1719" t="s">
        <v>13</v>
      </c>
      <c r="G1719">
        <v>4</v>
      </c>
      <c r="H1719">
        <v>3.8</v>
      </c>
      <c r="I1719" t="s">
        <v>21</v>
      </c>
      <c r="J1719" t="s">
        <v>2553</v>
      </c>
      <c r="K1719" s="12">
        <f>Store_Record[[#This Row],[Qty]]*Store_Record[[#This Row],[UnitPriceGBP]]</f>
        <v>15.2</v>
      </c>
      <c r="L1719" s="5" t="str">
        <f>TEXT(Store_Record[[#This Row],[Date]],"dddd")</f>
        <v>Thursday</v>
      </c>
      <c r="M1719" s="5" t="str">
        <f>TEXT(Store_Record[[#This Row],[Date]],"mmmm")</f>
        <v>May</v>
      </c>
      <c r="N1719" s="5">
        <f>YEAR(Store_Record[[#This Row],[Date]])</f>
        <v>2025</v>
      </c>
      <c r="O1719"/>
    </row>
    <row r="1720" spans="1:15" x14ac:dyDescent="0.35">
      <c r="A1720" t="s">
        <v>2554</v>
      </c>
      <c r="B1720" s="2">
        <v>45778</v>
      </c>
      <c r="C1720" t="s">
        <v>24</v>
      </c>
      <c r="D1720" t="s">
        <v>29</v>
      </c>
      <c r="E1720" t="s">
        <v>26</v>
      </c>
      <c r="F1720" t="s">
        <v>13</v>
      </c>
      <c r="G1720">
        <v>3</v>
      </c>
      <c r="H1720">
        <v>3.5</v>
      </c>
      <c r="I1720" t="s">
        <v>21</v>
      </c>
      <c r="J1720" t="s">
        <v>163</v>
      </c>
      <c r="K1720" s="12">
        <f>Store_Record[[#This Row],[Qty]]*Store_Record[[#This Row],[UnitPriceGBP]]</f>
        <v>10.5</v>
      </c>
      <c r="L1720" s="5" t="str">
        <f>TEXT(Store_Record[[#This Row],[Date]],"dddd")</f>
        <v>Thursday</v>
      </c>
      <c r="M1720" s="5" t="str">
        <f>TEXT(Store_Record[[#This Row],[Date]],"mmmm")</f>
        <v>May</v>
      </c>
      <c r="N1720" s="5">
        <f>YEAR(Store_Record[[#This Row],[Date]])</f>
        <v>2025</v>
      </c>
      <c r="O1720"/>
    </row>
    <row r="1721" spans="1:15" x14ac:dyDescent="0.35">
      <c r="A1721" t="s">
        <v>2557</v>
      </c>
      <c r="B1721" s="2">
        <v>45778</v>
      </c>
      <c r="C1721" t="s">
        <v>10</v>
      </c>
      <c r="D1721" t="s">
        <v>47</v>
      </c>
      <c r="E1721" t="s">
        <v>34</v>
      </c>
      <c r="F1721" t="s">
        <v>31</v>
      </c>
      <c r="G1721">
        <v>4</v>
      </c>
      <c r="H1721">
        <v>2.2000000000000002</v>
      </c>
      <c r="I1721" t="s">
        <v>39</v>
      </c>
      <c r="J1721" t="s">
        <v>1262</v>
      </c>
      <c r="K1721" s="12">
        <f>Store_Record[[#This Row],[Qty]]*Store_Record[[#This Row],[UnitPriceGBP]]</f>
        <v>8.8000000000000007</v>
      </c>
      <c r="L1721" s="5" t="str">
        <f>TEXT(Store_Record[[#This Row],[Date]],"dddd")</f>
        <v>Thursday</v>
      </c>
      <c r="M1721" s="5" t="str">
        <f>TEXT(Store_Record[[#This Row],[Date]],"mmmm")</f>
        <v>May</v>
      </c>
      <c r="N1721" s="5">
        <f>YEAR(Store_Record[[#This Row],[Date]])</f>
        <v>2025</v>
      </c>
      <c r="O1721"/>
    </row>
    <row r="1722" spans="1:15" x14ac:dyDescent="0.35">
      <c r="A1722" t="s">
        <v>2556</v>
      </c>
      <c r="B1722" s="2">
        <v>45778</v>
      </c>
      <c r="C1722" t="s">
        <v>10</v>
      </c>
      <c r="D1722" t="s">
        <v>25</v>
      </c>
      <c r="E1722" t="s">
        <v>42</v>
      </c>
      <c r="F1722" t="s">
        <v>13</v>
      </c>
      <c r="G1722">
        <v>2</v>
      </c>
      <c r="H1722">
        <v>3.8</v>
      </c>
      <c r="I1722" t="s">
        <v>39</v>
      </c>
      <c r="J1722" t="s">
        <v>1302</v>
      </c>
      <c r="K1722" s="12">
        <f>Store_Record[[#This Row],[Qty]]*Store_Record[[#This Row],[UnitPriceGBP]]</f>
        <v>7.6</v>
      </c>
      <c r="L1722" s="5" t="str">
        <f>TEXT(Store_Record[[#This Row],[Date]],"dddd")</f>
        <v>Thursday</v>
      </c>
      <c r="M1722" s="5" t="str">
        <f>TEXT(Store_Record[[#This Row],[Date]],"mmmm")</f>
        <v>May</v>
      </c>
      <c r="N1722" s="5">
        <f>YEAR(Store_Record[[#This Row],[Date]])</f>
        <v>2025</v>
      </c>
      <c r="O1722"/>
    </row>
    <row r="1723" spans="1:15" x14ac:dyDescent="0.35">
      <c r="A1723" t="s">
        <v>2548</v>
      </c>
      <c r="B1723" s="2">
        <v>45778</v>
      </c>
      <c r="C1723" t="s">
        <v>24</v>
      </c>
      <c r="D1723" t="s">
        <v>38</v>
      </c>
      <c r="E1723" t="s">
        <v>12</v>
      </c>
      <c r="F1723" t="s">
        <v>13</v>
      </c>
      <c r="G1723">
        <v>3</v>
      </c>
      <c r="H1723">
        <v>2.5</v>
      </c>
      <c r="I1723" t="s">
        <v>14</v>
      </c>
      <c r="J1723" t="s">
        <v>265</v>
      </c>
      <c r="K1723" s="12">
        <f>Store_Record[[#This Row],[Qty]]*Store_Record[[#This Row],[UnitPriceGBP]]</f>
        <v>7.5</v>
      </c>
      <c r="L1723" s="5" t="str">
        <f>TEXT(Store_Record[[#This Row],[Date]],"dddd")</f>
        <v>Thursday</v>
      </c>
      <c r="M1723" s="5" t="str">
        <f>TEXT(Store_Record[[#This Row],[Date]],"mmmm")</f>
        <v>May</v>
      </c>
      <c r="N1723" s="5">
        <f>YEAR(Store_Record[[#This Row],[Date]])</f>
        <v>2025</v>
      </c>
      <c r="O1723"/>
    </row>
    <row r="1724" spans="1:15" x14ac:dyDescent="0.35">
      <c r="A1724" t="s">
        <v>2555</v>
      </c>
      <c r="B1724" s="2">
        <v>45778</v>
      </c>
      <c r="C1724" t="s">
        <v>36</v>
      </c>
      <c r="D1724" t="s">
        <v>29</v>
      </c>
      <c r="E1724" t="s">
        <v>12</v>
      </c>
      <c r="F1724" t="s">
        <v>13</v>
      </c>
      <c r="G1724">
        <v>3</v>
      </c>
      <c r="H1724">
        <v>2.5</v>
      </c>
      <c r="I1724" t="s">
        <v>21</v>
      </c>
      <c r="J1724" t="s">
        <v>910</v>
      </c>
      <c r="K1724" s="12">
        <f>Store_Record[[#This Row],[Qty]]*Store_Record[[#This Row],[UnitPriceGBP]]</f>
        <v>7.5</v>
      </c>
      <c r="L1724" s="5" t="str">
        <f>TEXT(Store_Record[[#This Row],[Date]],"dddd")</f>
        <v>Thursday</v>
      </c>
      <c r="M1724" s="5" t="str">
        <f>TEXT(Store_Record[[#This Row],[Date]],"mmmm")</f>
        <v>May</v>
      </c>
      <c r="N1724" s="5">
        <f>YEAR(Store_Record[[#This Row],[Date]])</f>
        <v>2025</v>
      </c>
      <c r="O1724"/>
    </row>
    <row r="1725" spans="1:15" x14ac:dyDescent="0.35">
      <c r="A1725" t="s">
        <v>2549</v>
      </c>
      <c r="B1725" s="2">
        <v>45778</v>
      </c>
      <c r="C1725" t="s">
        <v>36</v>
      </c>
      <c r="D1725" t="s">
        <v>38</v>
      </c>
      <c r="E1725" t="s">
        <v>30</v>
      </c>
      <c r="F1725" t="s">
        <v>31</v>
      </c>
      <c r="G1725">
        <v>2</v>
      </c>
      <c r="H1725">
        <v>2.8</v>
      </c>
      <c r="I1725" t="s">
        <v>39</v>
      </c>
      <c r="J1725" t="s">
        <v>260</v>
      </c>
      <c r="K1725" s="12">
        <f>Store_Record[[#This Row],[Qty]]*Store_Record[[#This Row],[UnitPriceGBP]]</f>
        <v>5.6</v>
      </c>
      <c r="L1725" s="5" t="str">
        <f>TEXT(Store_Record[[#This Row],[Date]],"dddd")</f>
        <v>Thursday</v>
      </c>
      <c r="M1725" s="5" t="str">
        <f>TEXT(Store_Record[[#This Row],[Date]],"mmmm")</f>
        <v>May</v>
      </c>
      <c r="N1725" s="5">
        <f>YEAR(Store_Record[[#This Row],[Date]])</f>
        <v>2025</v>
      </c>
      <c r="O1725"/>
    </row>
    <row r="1726" spans="1:15" x14ac:dyDescent="0.35">
      <c r="A1726" t="s">
        <v>2551</v>
      </c>
      <c r="B1726" s="2">
        <v>45778</v>
      </c>
      <c r="C1726" t="s">
        <v>36</v>
      </c>
      <c r="D1726" t="s">
        <v>29</v>
      </c>
      <c r="E1726" t="s">
        <v>12</v>
      </c>
      <c r="F1726" t="s">
        <v>13</v>
      </c>
      <c r="G1726">
        <v>2</v>
      </c>
      <c r="H1726">
        <v>2.5</v>
      </c>
      <c r="I1726" t="s">
        <v>14</v>
      </c>
      <c r="J1726" t="s">
        <v>1593</v>
      </c>
      <c r="K1726" s="12">
        <f>Store_Record[[#This Row],[Qty]]*Store_Record[[#This Row],[UnitPriceGBP]]</f>
        <v>5</v>
      </c>
      <c r="L1726" s="5" t="str">
        <f>TEXT(Store_Record[[#This Row],[Date]],"dddd")</f>
        <v>Thursday</v>
      </c>
      <c r="M1726" s="5" t="str">
        <f>TEXT(Store_Record[[#This Row],[Date]],"mmmm")</f>
        <v>May</v>
      </c>
      <c r="N1726" s="5">
        <f>YEAR(Store_Record[[#This Row],[Date]])</f>
        <v>2025</v>
      </c>
      <c r="O1726"/>
    </row>
    <row r="1727" spans="1:15" x14ac:dyDescent="0.35">
      <c r="A1727" t="s">
        <v>2550</v>
      </c>
      <c r="B1727" s="2">
        <v>45778</v>
      </c>
      <c r="C1727" t="s">
        <v>36</v>
      </c>
      <c r="D1727" t="s">
        <v>25</v>
      </c>
      <c r="E1727" t="s">
        <v>34</v>
      </c>
      <c r="F1727" t="s">
        <v>31</v>
      </c>
      <c r="G1727">
        <v>1</v>
      </c>
      <c r="H1727">
        <v>2.2000000000000002</v>
      </c>
      <c r="I1727" t="s">
        <v>39</v>
      </c>
      <c r="J1727" t="s">
        <v>1504</v>
      </c>
      <c r="K1727" s="12">
        <f>Store_Record[[#This Row],[Qty]]*Store_Record[[#This Row],[UnitPriceGBP]]</f>
        <v>2.2000000000000002</v>
      </c>
      <c r="L1727" s="5" t="str">
        <f>TEXT(Store_Record[[#This Row],[Date]],"dddd")</f>
        <v>Thursday</v>
      </c>
      <c r="M1727" s="5" t="str">
        <f>TEXT(Store_Record[[#This Row],[Date]],"mmmm")</f>
        <v>May</v>
      </c>
      <c r="N1727" s="5">
        <f>YEAR(Store_Record[[#This Row],[Date]])</f>
        <v>2025</v>
      </c>
      <c r="O1727"/>
    </row>
    <row r="1728" spans="1:15" x14ac:dyDescent="0.35">
      <c r="A1728" t="s">
        <v>2559</v>
      </c>
      <c r="B1728" s="2">
        <v>45779</v>
      </c>
      <c r="C1728" t="s">
        <v>36</v>
      </c>
      <c r="D1728" t="s">
        <v>47</v>
      </c>
      <c r="E1728" t="s">
        <v>30</v>
      </c>
      <c r="F1728" t="s">
        <v>31</v>
      </c>
      <c r="G1728">
        <v>5</v>
      </c>
      <c r="H1728">
        <v>2.8</v>
      </c>
      <c r="I1728" t="s">
        <v>21</v>
      </c>
      <c r="J1728" t="s">
        <v>331</v>
      </c>
      <c r="K1728" s="12">
        <f>Store_Record[[#This Row],[Qty]]*Store_Record[[#This Row],[UnitPriceGBP]]</f>
        <v>14</v>
      </c>
      <c r="L1728" s="5" t="str">
        <f>TEXT(Store_Record[[#This Row],[Date]],"dddd")</f>
        <v>Friday</v>
      </c>
      <c r="M1728" s="5" t="str">
        <f>TEXT(Store_Record[[#This Row],[Date]],"mmmm")</f>
        <v>May</v>
      </c>
      <c r="N1728" s="5">
        <f>YEAR(Store_Record[[#This Row],[Date]])</f>
        <v>2025</v>
      </c>
      <c r="O1728"/>
    </row>
    <row r="1729" spans="1:15" x14ac:dyDescent="0.35">
      <c r="A1729" t="s">
        <v>2563</v>
      </c>
      <c r="B1729" s="2">
        <v>45779</v>
      </c>
      <c r="C1729" t="s">
        <v>20</v>
      </c>
      <c r="D1729" t="s">
        <v>11</v>
      </c>
      <c r="E1729" t="s">
        <v>26</v>
      </c>
      <c r="F1729" t="s">
        <v>13</v>
      </c>
      <c r="G1729">
        <v>4</v>
      </c>
      <c r="H1729">
        <v>3.5</v>
      </c>
      <c r="I1729" t="s">
        <v>39</v>
      </c>
      <c r="J1729" t="s">
        <v>547</v>
      </c>
      <c r="K1729" s="12">
        <f>Store_Record[[#This Row],[Qty]]*Store_Record[[#This Row],[UnitPriceGBP]]</f>
        <v>14</v>
      </c>
      <c r="L1729" s="5" t="str">
        <f>TEXT(Store_Record[[#This Row],[Date]],"dddd")</f>
        <v>Friday</v>
      </c>
      <c r="M1729" s="5" t="str">
        <f>TEXT(Store_Record[[#This Row],[Date]],"mmmm")</f>
        <v>May</v>
      </c>
      <c r="N1729" s="5">
        <f>YEAR(Store_Record[[#This Row],[Date]])</f>
        <v>2025</v>
      </c>
      <c r="O1729"/>
    </row>
    <row r="1730" spans="1:15" x14ac:dyDescent="0.35">
      <c r="A1730" t="s">
        <v>2565</v>
      </c>
      <c r="B1730" s="2">
        <v>45779</v>
      </c>
      <c r="C1730" t="s">
        <v>24</v>
      </c>
      <c r="D1730" t="s">
        <v>25</v>
      </c>
      <c r="E1730" t="s">
        <v>30</v>
      </c>
      <c r="F1730" t="s">
        <v>31</v>
      </c>
      <c r="G1730">
        <v>5</v>
      </c>
      <c r="H1730">
        <v>2.8</v>
      </c>
      <c r="I1730" t="s">
        <v>39</v>
      </c>
      <c r="J1730" t="s">
        <v>2566</v>
      </c>
      <c r="K1730" s="12">
        <f>Store_Record[[#This Row],[Qty]]*Store_Record[[#This Row],[UnitPriceGBP]]</f>
        <v>14</v>
      </c>
      <c r="L1730" s="5" t="str">
        <f>TEXT(Store_Record[[#This Row],[Date]],"dddd")</f>
        <v>Friday</v>
      </c>
      <c r="M1730" s="5" t="str">
        <f>TEXT(Store_Record[[#This Row],[Date]],"mmmm")</f>
        <v>May</v>
      </c>
      <c r="N1730" s="5">
        <f>YEAR(Store_Record[[#This Row],[Date]])</f>
        <v>2025</v>
      </c>
      <c r="O1730"/>
    </row>
    <row r="1731" spans="1:15" x14ac:dyDescent="0.35">
      <c r="A1731" t="s">
        <v>2573</v>
      </c>
      <c r="B1731" s="2">
        <v>45779</v>
      </c>
      <c r="C1731" t="s">
        <v>20</v>
      </c>
      <c r="D1731" t="s">
        <v>38</v>
      </c>
      <c r="E1731" t="s">
        <v>30</v>
      </c>
      <c r="F1731" t="s">
        <v>31</v>
      </c>
      <c r="G1731">
        <v>5</v>
      </c>
      <c r="H1731">
        <v>2.8</v>
      </c>
      <c r="I1731" t="s">
        <v>39</v>
      </c>
      <c r="J1731" t="s">
        <v>2574</v>
      </c>
      <c r="K1731" s="12">
        <f>Store_Record[[#This Row],[Qty]]*Store_Record[[#This Row],[UnitPriceGBP]]</f>
        <v>14</v>
      </c>
      <c r="L1731" s="5" t="str">
        <f>TEXT(Store_Record[[#This Row],[Date]],"dddd")</f>
        <v>Friday</v>
      </c>
      <c r="M1731" s="5" t="str">
        <f>TEXT(Store_Record[[#This Row],[Date]],"mmmm")</f>
        <v>May</v>
      </c>
      <c r="N1731" s="5">
        <f>YEAR(Store_Record[[#This Row],[Date]])</f>
        <v>2025</v>
      </c>
      <c r="O1731"/>
    </row>
    <row r="1732" spans="1:15" x14ac:dyDescent="0.35">
      <c r="A1732" t="s">
        <v>2561</v>
      </c>
      <c r="B1732" s="2">
        <v>45779</v>
      </c>
      <c r="C1732" t="s">
        <v>20</v>
      </c>
      <c r="D1732" t="s">
        <v>25</v>
      </c>
      <c r="E1732" t="s">
        <v>42</v>
      </c>
      <c r="F1732" t="s">
        <v>13</v>
      </c>
      <c r="G1732">
        <v>3</v>
      </c>
      <c r="H1732">
        <v>3.8</v>
      </c>
      <c r="I1732" t="s">
        <v>14</v>
      </c>
      <c r="J1732" t="s">
        <v>286</v>
      </c>
      <c r="K1732" s="12">
        <f>Store_Record[[#This Row],[Qty]]*Store_Record[[#This Row],[UnitPriceGBP]]</f>
        <v>11.399999999999999</v>
      </c>
      <c r="L1732" s="5" t="str">
        <f>TEXT(Store_Record[[#This Row],[Date]],"dddd")</f>
        <v>Friday</v>
      </c>
      <c r="M1732" s="5" t="str">
        <f>TEXT(Store_Record[[#This Row],[Date]],"mmmm")</f>
        <v>May</v>
      </c>
      <c r="N1732" s="5">
        <f>YEAR(Store_Record[[#This Row],[Date]])</f>
        <v>2025</v>
      </c>
      <c r="O1732"/>
    </row>
    <row r="1733" spans="1:15" x14ac:dyDescent="0.35">
      <c r="A1733" t="s">
        <v>2560</v>
      </c>
      <c r="B1733" s="2">
        <v>45779</v>
      </c>
      <c r="C1733" t="s">
        <v>20</v>
      </c>
      <c r="D1733" t="s">
        <v>29</v>
      </c>
      <c r="E1733" t="s">
        <v>12</v>
      </c>
      <c r="F1733" t="s">
        <v>13</v>
      </c>
      <c r="G1733">
        <v>4</v>
      </c>
      <c r="H1733">
        <v>2.5</v>
      </c>
      <c r="I1733" t="s">
        <v>39</v>
      </c>
      <c r="J1733" t="s">
        <v>1464</v>
      </c>
      <c r="K1733" s="12">
        <f>Store_Record[[#This Row],[Qty]]*Store_Record[[#This Row],[UnitPriceGBP]]</f>
        <v>10</v>
      </c>
      <c r="L1733" s="5" t="str">
        <f>TEXT(Store_Record[[#This Row],[Date]],"dddd")</f>
        <v>Friday</v>
      </c>
      <c r="M1733" s="5" t="str">
        <f>TEXT(Store_Record[[#This Row],[Date]],"mmmm")</f>
        <v>May</v>
      </c>
      <c r="N1733" s="5">
        <f>YEAR(Store_Record[[#This Row],[Date]])</f>
        <v>2025</v>
      </c>
      <c r="O1733"/>
    </row>
    <row r="1734" spans="1:15" x14ac:dyDescent="0.35">
      <c r="A1734" t="s">
        <v>2572</v>
      </c>
      <c r="B1734" s="2">
        <v>45779</v>
      </c>
      <c r="C1734" t="s">
        <v>10</v>
      </c>
      <c r="D1734" t="s">
        <v>29</v>
      </c>
      <c r="E1734" t="s">
        <v>12</v>
      </c>
      <c r="F1734" t="s">
        <v>13</v>
      </c>
      <c r="G1734">
        <v>4</v>
      </c>
      <c r="H1734">
        <v>2.5</v>
      </c>
      <c r="I1734" t="s">
        <v>21</v>
      </c>
      <c r="J1734" t="s">
        <v>638</v>
      </c>
      <c r="K1734" s="12">
        <f>Store_Record[[#This Row],[Qty]]*Store_Record[[#This Row],[UnitPriceGBP]]</f>
        <v>10</v>
      </c>
      <c r="L1734" s="5" t="str">
        <f>TEXT(Store_Record[[#This Row],[Date]],"dddd")</f>
        <v>Friday</v>
      </c>
      <c r="M1734" s="5" t="str">
        <f>TEXT(Store_Record[[#This Row],[Date]],"mmmm")</f>
        <v>May</v>
      </c>
      <c r="N1734" s="5">
        <f>YEAR(Store_Record[[#This Row],[Date]])</f>
        <v>2025</v>
      </c>
      <c r="O1734"/>
    </row>
    <row r="1735" spans="1:15" x14ac:dyDescent="0.35">
      <c r="A1735" t="s">
        <v>2567</v>
      </c>
      <c r="B1735" s="2">
        <v>45779</v>
      </c>
      <c r="C1735" t="s">
        <v>24</v>
      </c>
      <c r="D1735" t="s">
        <v>47</v>
      </c>
      <c r="E1735" t="s">
        <v>34</v>
      </c>
      <c r="F1735" t="s">
        <v>31</v>
      </c>
      <c r="G1735">
        <v>4</v>
      </c>
      <c r="H1735">
        <v>2.2000000000000002</v>
      </c>
      <c r="I1735" t="s">
        <v>21</v>
      </c>
      <c r="J1735" t="s">
        <v>2568</v>
      </c>
      <c r="K1735" s="12">
        <f>Store_Record[[#This Row],[Qty]]*Store_Record[[#This Row],[UnitPriceGBP]]</f>
        <v>8.8000000000000007</v>
      </c>
      <c r="L1735" s="5" t="str">
        <f>TEXT(Store_Record[[#This Row],[Date]],"dddd")</f>
        <v>Friday</v>
      </c>
      <c r="M1735" s="5" t="str">
        <f>TEXT(Store_Record[[#This Row],[Date]],"mmmm")</f>
        <v>May</v>
      </c>
      <c r="N1735" s="5">
        <f>YEAR(Store_Record[[#This Row],[Date]])</f>
        <v>2025</v>
      </c>
      <c r="O1735"/>
    </row>
    <row r="1736" spans="1:15" x14ac:dyDescent="0.35">
      <c r="A1736" t="s">
        <v>2575</v>
      </c>
      <c r="B1736" s="2">
        <v>45779</v>
      </c>
      <c r="C1736" t="s">
        <v>20</v>
      </c>
      <c r="D1736" t="s">
        <v>38</v>
      </c>
      <c r="E1736" t="s">
        <v>34</v>
      </c>
      <c r="F1736" t="s">
        <v>31</v>
      </c>
      <c r="G1736">
        <v>4</v>
      </c>
      <c r="H1736">
        <v>2.2000000000000002</v>
      </c>
      <c r="I1736" t="s">
        <v>21</v>
      </c>
      <c r="J1736" t="s">
        <v>2013</v>
      </c>
      <c r="K1736" s="12">
        <f>Store_Record[[#This Row],[Qty]]*Store_Record[[#This Row],[UnitPriceGBP]]</f>
        <v>8.8000000000000007</v>
      </c>
      <c r="L1736" s="5" t="str">
        <f>TEXT(Store_Record[[#This Row],[Date]],"dddd")</f>
        <v>Friday</v>
      </c>
      <c r="M1736" s="5" t="str">
        <f>TEXT(Store_Record[[#This Row],[Date]],"mmmm")</f>
        <v>May</v>
      </c>
      <c r="N1736" s="5">
        <f>YEAR(Store_Record[[#This Row],[Date]])</f>
        <v>2025</v>
      </c>
      <c r="O1736"/>
    </row>
    <row r="1737" spans="1:15" x14ac:dyDescent="0.35">
      <c r="A1737" t="s">
        <v>2570</v>
      </c>
      <c r="B1737" s="2">
        <v>45779</v>
      </c>
      <c r="C1737" t="s">
        <v>36</v>
      </c>
      <c r="D1737" t="s">
        <v>11</v>
      </c>
      <c r="E1737" t="s">
        <v>26</v>
      </c>
      <c r="F1737" t="s">
        <v>13</v>
      </c>
      <c r="G1737">
        <v>2</v>
      </c>
      <c r="H1737">
        <v>3.5</v>
      </c>
      <c r="I1737" t="s">
        <v>39</v>
      </c>
      <c r="J1737" t="s">
        <v>2537</v>
      </c>
      <c r="K1737" s="12">
        <f>Store_Record[[#This Row],[Qty]]*Store_Record[[#This Row],[UnitPriceGBP]]</f>
        <v>7</v>
      </c>
      <c r="L1737" s="5" t="str">
        <f>TEXT(Store_Record[[#This Row],[Date]],"dddd")</f>
        <v>Friday</v>
      </c>
      <c r="M1737" s="5" t="str">
        <f>TEXT(Store_Record[[#This Row],[Date]],"mmmm")</f>
        <v>May</v>
      </c>
      <c r="N1737" s="5">
        <f>YEAR(Store_Record[[#This Row],[Date]])</f>
        <v>2025</v>
      </c>
      <c r="O1737"/>
    </row>
    <row r="1738" spans="1:15" x14ac:dyDescent="0.35">
      <c r="A1738" t="s">
        <v>2562</v>
      </c>
      <c r="B1738" s="2">
        <v>45779</v>
      </c>
      <c r="C1738" t="s">
        <v>36</v>
      </c>
      <c r="D1738" t="s">
        <v>38</v>
      </c>
      <c r="E1738" t="s">
        <v>34</v>
      </c>
      <c r="F1738" t="s">
        <v>31</v>
      </c>
      <c r="G1738">
        <v>2</v>
      </c>
      <c r="H1738">
        <v>2.2000000000000002</v>
      </c>
      <c r="I1738" t="s">
        <v>14</v>
      </c>
      <c r="J1738" t="s">
        <v>86</v>
      </c>
      <c r="K1738" s="12">
        <f>Store_Record[[#This Row],[Qty]]*Store_Record[[#This Row],[UnitPriceGBP]]</f>
        <v>4.4000000000000004</v>
      </c>
      <c r="L1738" s="5" t="str">
        <f>TEXT(Store_Record[[#This Row],[Date]],"dddd")</f>
        <v>Friday</v>
      </c>
      <c r="M1738" s="5" t="str">
        <f>TEXT(Store_Record[[#This Row],[Date]],"mmmm")</f>
        <v>May</v>
      </c>
      <c r="N1738" s="5">
        <f>YEAR(Store_Record[[#This Row],[Date]])</f>
        <v>2025</v>
      </c>
      <c r="O1738"/>
    </row>
    <row r="1739" spans="1:15" x14ac:dyDescent="0.35">
      <c r="A1739" t="s">
        <v>2569</v>
      </c>
      <c r="B1739" s="2">
        <v>45779</v>
      </c>
      <c r="C1739" t="s">
        <v>20</v>
      </c>
      <c r="D1739" t="s">
        <v>29</v>
      </c>
      <c r="E1739" t="s">
        <v>42</v>
      </c>
      <c r="F1739" t="s">
        <v>13</v>
      </c>
      <c r="G1739">
        <v>1</v>
      </c>
      <c r="H1739">
        <v>3.8</v>
      </c>
      <c r="I1739" t="s">
        <v>14</v>
      </c>
      <c r="J1739" t="s">
        <v>1564</v>
      </c>
      <c r="K1739" s="12">
        <f>Store_Record[[#This Row],[Qty]]*Store_Record[[#This Row],[UnitPriceGBP]]</f>
        <v>3.8</v>
      </c>
      <c r="L1739" s="5" t="str">
        <f>TEXT(Store_Record[[#This Row],[Date]],"dddd")</f>
        <v>Friday</v>
      </c>
      <c r="M1739" s="5" t="str">
        <f>TEXT(Store_Record[[#This Row],[Date]],"mmmm")</f>
        <v>May</v>
      </c>
      <c r="N1739" s="5">
        <f>YEAR(Store_Record[[#This Row],[Date]])</f>
        <v>2025</v>
      </c>
      <c r="O1739"/>
    </row>
    <row r="1740" spans="1:15" x14ac:dyDescent="0.35">
      <c r="A1740" t="s">
        <v>2571</v>
      </c>
      <c r="B1740" s="2">
        <v>45779</v>
      </c>
      <c r="C1740" t="s">
        <v>10</v>
      </c>
      <c r="D1740" t="s">
        <v>11</v>
      </c>
      <c r="E1740" t="s">
        <v>26</v>
      </c>
      <c r="F1740" t="s">
        <v>13</v>
      </c>
      <c r="G1740">
        <v>1</v>
      </c>
      <c r="H1740">
        <v>3.5</v>
      </c>
      <c r="I1740" t="s">
        <v>39</v>
      </c>
      <c r="J1740" t="s">
        <v>443</v>
      </c>
      <c r="K1740" s="12">
        <f>Store_Record[[#This Row],[Qty]]*Store_Record[[#This Row],[UnitPriceGBP]]</f>
        <v>3.5</v>
      </c>
      <c r="L1740" s="5" t="str">
        <f>TEXT(Store_Record[[#This Row],[Date]],"dddd")</f>
        <v>Friday</v>
      </c>
      <c r="M1740" s="5" t="str">
        <f>TEXT(Store_Record[[#This Row],[Date]],"mmmm")</f>
        <v>May</v>
      </c>
      <c r="N1740" s="5">
        <f>YEAR(Store_Record[[#This Row],[Date]])</f>
        <v>2025</v>
      </c>
      <c r="O1740"/>
    </row>
    <row r="1741" spans="1:15" x14ac:dyDescent="0.35">
      <c r="A1741" t="s">
        <v>2564</v>
      </c>
      <c r="B1741" s="2">
        <v>45779</v>
      </c>
      <c r="C1741" t="s">
        <v>10</v>
      </c>
      <c r="D1741" t="s">
        <v>11</v>
      </c>
      <c r="E1741" t="s">
        <v>30</v>
      </c>
      <c r="F1741" t="s">
        <v>31</v>
      </c>
      <c r="G1741">
        <v>1</v>
      </c>
      <c r="H1741">
        <v>2.8</v>
      </c>
      <c r="I1741" t="s">
        <v>14</v>
      </c>
      <c r="J1741" t="s">
        <v>2036</v>
      </c>
      <c r="K1741" s="12">
        <f>Store_Record[[#This Row],[Qty]]*Store_Record[[#This Row],[UnitPriceGBP]]</f>
        <v>2.8</v>
      </c>
      <c r="L1741" s="5" t="str">
        <f>TEXT(Store_Record[[#This Row],[Date]],"dddd")</f>
        <v>Friday</v>
      </c>
      <c r="M1741" s="5" t="str">
        <f>TEXT(Store_Record[[#This Row],[Date]],"mmmm")</f>
        <v>May</v>
      </c>
      <c r="N1741" s="5">
        <f>YEAR(Store_Record[[#This Row],[Date]])</f>
        <v>2025</v>
      </c>
      <c r="O1741"/>
    </row>
    <row r="1742" spans="1:15" x14ac:dyDescent="0.35">
      <c r="A1742" t="s">
        <v>2558</v>
      </c>
      <c r="B1742" s="2">
        <v>45779</v>
      </c>
      <c r="C1742" t="s">
        <v>36</v>
      </c>
      <c r="D1742" t="s">
        <v>25</v>
      </c>
      <c r="E1742" t="s">
        <v>34</v>
      </c>
      <c r="F1742" t="s">
        <v>31</v>
      </c>
      <c r="G1742">
        <v>1</v>
      </c>
      <c r="H1742">
        <v>2.2000000000000002</v>
      </c>
      <c r="I1742" t="s">
        <v>21</v>
      </c>
      <c r="J1742" t="s">
        <v>951</v>
      </c>
      <c r="K1742" s="12">
        <f>Store_Record[[#This Row],[Qty]]*Store_Record[[#This Row],[UnitPriceGBP]]</f>
        <v>2.2000000000000002</v>
      </c>
      <c r="L1742" s="5" t="str">
        <f>TEXT(Store_Record[[#This Row],[Date]],"dddd")</f>
        <v>Friday</v>
      </c>
      <c r="M1742" s="5" t="str">
        <f>TEXT(Store_Record[[#This Row],[Date]],"mmmm")</f>
        <v>May</v>
      </c>
      <c r="N1742" s="5">
        <f>YEAR(Store_Record[[#This Row],[Date]])</f>
        <v>2025</v>
      </c>
      <c r="O1742"/>
    </row>
    <row r="1743" spans="1:15" x14ac:dyDescent="0.35">
      <c r="A1743" t="s">
        <v>2586</v>
      </c>
      <c r="B1743" s="2">
        <v>45780</v>
      </c>
      <c r="C1743" t="s">
        <v>20</v>
      </c>
      <c r="D1743" t="s">
        <v>11</v>
      </c>
      <c r="E1743" t="s">
        <v>42</v>
      </c>
      <c r="F1743" t="s">
        <v>13</v>
      </c>
      <c r="G1743">
        <v>5</v>
      </c>
      <c r="H1743">
        <v>3.8</v>
      </c>
      <c r="I1743" t="s">
        <v>21</v>
      </c>
      <c r="J1743" t="s">
        <v>2105</v>
      </c>
      <c r="K1743" s="12">
        <f>Store_Record[[#This Row],[Qty]]*Store_Record[[#This Row],[UnitPriceGBP]]</f>
        <v>19</v>
      </c>
      <c r="L1743" s="5" t="str">
        <f>TEXT(Store_Record[[#This Row],[Date]],"dddd")</f>
        <v>Saturday</v>
      </c>
      <c r="M1743" s="5" t="str">
        <f>TEXT(Store_Record[[#This Row],[Date]],"mmmm")</f>
        <v>May</v>
      </c>
      <c r="N1743" s="5">
        <f>YEAR(Store_Record[[#This Row],[Date]])</f>
        <v>2025</v>
      </c>
      <c r="O1743"/>
    </row>
    <row r="1744" spans="1:15" x14ac:dyDescent="0.35">
      <c r="A1744" t="s">
        <v>2591</v>
      </c>
      <c r="B1744" s="2">
        <v>45780</v>
      </c>
      <c r="C1744" t="s">
        <v>20</v>
      </c>
      <c r="D1744" t="s">
        <v>29</v>
      </c>
      <c r="E1744" t="s">
        <v>42</v>
      </c>
      <c r="F1744" t="s">
        <v>13</v>
      </c>
      <c r="G1744">
        <v>5</v>
      </c>
      <c r="H1744">
        <v>3.8</v>
      </c>
      <c r="I1744" t="s">
        <v>14</v>
      </c>
      <c r="J1744" t="s">
        <v>1667</v>
      </c>
      <c r="K1744" s="12">
        <f>Store_Record[[#This Row],[Qty]]*Store_Record[[#This Row],[UnitPriceGBP]]</f>
        <v>19</v>
      </c>
      <c r="L1744" s="5" t="str">
        <f>TEXT(Store_Record[[#This Row],[Date]],"dddd")</f>
        <v>Saturday</v>
      </c>
      <c r="M1744" s="5" t="str">
        <f>TEXT(Store_Record[[#This Row],[Date]],"mmmm")</f>
        <v>May</v>
      </c>
      <c r="N1744" s="5">
        <f>YEAR(Store_Record[[#This Row],[Date]])</f>
        <v>2025</v>
      </c>
      <c r="O1744"/>
    </row>
    <row r="1745" spans="1:15" x14ac:dyDescent="0.35">
      <c r="A1745" t="s">
        <v>2584</v>
      </c>
      <c r="B1745" s="2">
        <v>45780</v>
      </c>
      <c r="C1745" t="s">
        <v>10</v>
      </c>
      <c r="D1745" t="s">
        <v>38</v>
      </c>
      <c r="E1745" t="s">
        <v>30</v>
      </c>
      <c r="F1745" t="s">
        <v>31</v>
      </c>
      <c r="G1745">
        <v>5</v>
      </c>
      <c r="H1745">
        <v>2.8</v>
      </c>
      <c r="I1745" t="s">
        <v>21</v>
      </c>
      <c r="J1745" t="s">
        <v>2162</v>
      </c>
      <c r="K1745" s="12">
        <f>Store_Record[[#This Row],[Qty]]*Store_Record[[#This Row],[UnitPriceGBP]]</f>
        <v>14</v>
      </c>
      <c r="L1745" s="5" t="str">
        <f>TEXT(Store_Record[[#This Row],[Date]],"dddd")</f>
        <v>Saturday</v>
      </c>
      <c r="M1745" s="5" t="str">
        <f>TEXT(Store_Record[[#This Row],[Date]],"mmmm")</f>
        <v>May</v>
      </c>
      <c r="N1745" s="5">
        <f>YEAR(Store_Record[[#This Row],[Date]])</f>
        <v>2025</v>
      </c>
      <c r="O1745"/>
    </row>
    <row r="1746" spans="1:15" x14ac:dyDescent="0.35">
      <c r="A1746" t="s">
        <v>2587</v>
      </c>
      <c r="B1746" s="2">
        <v>45780</v>
      </c>
      <c r="C1746" t="s">
        <v>36</v>
      </c>
      <c r="D1746" t="s">
        <v>11</v>
      </c>
      <c r="E1746" t="s">
        <v>30</v>
      </c>
      <c r="F1746" t="s">
        <v>31</v>
      </c>
      <c r="G1746">
        <v>5</v>
      </c>
      <c r="H1746">
        <v>2.8</v>
      </c>
      <c r="I1746" t="s">
        <v>21</v>
      </c>
      <c r="J1746" t="s">
        <v>2262</v>
      </c>
      <c r="K1746" s="12">
        <f>Store_Record[[#This Row],[Qty]]*Store_Record[[#This Row],[UnitPriceGBP]]</f>
        <v>14</v>
      </c>
      <c r="L1746" s="5" t="str">
        <f>TEXT(Store_Record[[#This Row],[Date]],"dddd")</f>
        <v>Saturday</v>
      </c>
      <c r="M1746" s="5" t="str">
        <f>TEXT(Store_Record[[#This Row],[Date]],"mmmm")</f>
        <v>May</v>
      </c>
      <c r="N1746" s="5">
        <f>YEAR(Store_Record[[#This Row],[Date]])</f>
        <v>2025</v>
      </c>
      <c r="O1746"/>
    </row>
    <row r="1747" spans="1:15" x14ac:dyDescent="0.35">
      <c r="A1747" t="s">
        <v>2592</v>
      </c>
      <c r="B1747" s="2">
        <v>45780</v>
      </c>
      <c r="C1747" t="s">
        <v>10</v>
      </c>
      <c r="D1747" t="s">
        <v>38</v>
      </c>
      <c r="E1747" t="s">
        <v>30</v>
      </c>
      <c r="F1747" t="s">
        <v>31</v>
      </c>
      <c r="G1747">
        <v>4</v>
      </c>
      <c r="H1747">
        <v>2.8</v>
      </c>
      <c r="I1747" t="s">
        <v>39</v>
      </c>
      <c r="J1747" t="s">
        <v>1101</v>
      </c>
      <c r="K1747" s="12">
        <f>Store_Record[[#This Row],[Qty]]*Store_Record[[#This Row],[UnitPriceGBP]]</f>
        <v>11.2</v>
      </c>
      <c r="L1747" s="5" t="str">
        <f>TEXT(Store_Record[[#This Row],[Date]],"dddd")</f>
        <v>Saturday</v>
      </c>
      <c r="M1747" s="5" t="str">
        <f>TEXT(Store_Record[[#This Row],[Date]],"mmmm")</f>
        <v>May</v>
      </c>
      <c r="N1747" s="5">
        <f>YEAR(Store_Record[[#This Row],[Date]])</f>
        <v>2025</v>
      </c>
      <c r="O1747"/>
    </row>
    <row r="1748" spans="1:15" x14ac:dyDescent="0.35">
      <c r="A1748" t="s">
        <v>2582</v>
      </c>
      <c r="B1748" s="2">
        <v>45780</v>
      </c>
      <c r="C1748" t="s">
        <v>36</v>
      </c>
      <c r="D1748" t="s">
        <v>11</v>
      </c>
      <c r="E1748" t="s">
        <v>26</v>
      </c>
      <c r="F1748" t="s">
        <v>13</v>
      </c>
      <c r="G1748">
        <v>3</v>
      </c>
      <c r="H1748">
        <v>3.5</v>
      </c>
      <c r="I1748" t="s">
        <v>21</v>
      </c>
      <c r="J1748" t="s">
        <v>612</v>
      </c>
      <c r="K1748" s="12">
        <f>Store_Record[[#This Row],[Qty]]*Store_Record[[#This Row],[UnitPriceGBP]]</f>
        <v>10.5</v>
      </c>
      <c r="L1748" s="5" t="str">
        <f>TEXT(Store_Record[[#This Row],[Date]],"dddd")</f>
        <v>Saturday</v>
      </c>
      <c r="M1748" s="5" t="str">
        <f>TEXT(Store_Record[[#This Row],[Date]],"mmmm")</f>
        <v>May</v>
      </c>
      <c r="N1748" s="5">
        <f>YEAR(Store_Record[[#This Row],[Date]])</f>
        <v>2025</v>
      </c>
      <c r="O1748"/>
    </row>
    <row r="1749" spans="1:15" x14ac:dyDescent="0.35">
      <c r="A1749" t="s">
        <v>2583</v>
      </c>
      <c r="B1749" s="2">
        <v>45780</v>
      </c>
      <c r="C1749" t="s">
        <v>24</v>
      </c>
      <c r="D1749" t="s">
        <v>25</v>
      </c>
      <c r="E1749" t="s">
        <v>26</v>
      </c>
      <c r="F1749" t="s">
        <v>13</v>
      </c>
      <c r="G1749">
        <v>3</v>
      </c>
      <c r="H1749">
        <v>3.5</v>
      </c>
      <c r="I1749" t="s">
        <v>39</v>
      </c>
      <c r="J1749" t="s">
        <v>277</v>
      </c>
      <c r="K1749" s="12">
        <f>Store_Record[[#This Row],[Qty]]*Store_Record[[#This Row],[UnitPriceGBP]]</f>
        <v>10.5</v>
      </c>
      <c r="L1749" s="5" t="str">
        <f>TEXT(Store_Record[[#This Row],[Date]],"dddd")</f>
        <v>Saturday</v>
      </c>
      <c r="M1749" s="5" t="str">
        <f>TEXT(Store_Record[[#This Row],[Date]],"mmmm")</f>
        <v>May</v>
      </c>
      <c r="N1749" s="5">
        <f>YEAR(Store_Record[[#This Row],[Date]])</f>
        <v>2025</v>
      </c>
      <c r="O1749"/>
    </row>
    <row r="1750" spans="1:15" x14ac:dyDescent="0.35">
      <c r="A1750" t="s">
        <v>2580</v>
      </c>
      <c r="B1750" s="2">
        <v>45780</v>
      </c>
      <c r="C1750" t="s">
        <v>36</v>
      </c>
      <c r="D1750" t="s">
        <v>47</v>
      </c>
      <c r="E1750" t="s">
        <v>12</v>
      </c>
      <c r="F1750" t="s">
        <v>13</v>
      </c>
      <c r="G1750">
        <v>4</v>
      </c>
      <c r="H1750">
        <v>2.5</v>
      </c>
      <c r="I1750" t="s">
        <v>39</v>
      </c>
      <c r="J1750" t="s">
        <v>2581</v>
      </c>
      <c r="K1750" s="12">
        <f>Store_Record[[#This Row],[Qty]]*Store_Record[[#This Row],[UnitPriceGBP]]</f>
        <v>10</v>
      </c>
      <c r="L1750" s="5" t="str">
        <f>TEXT(Store_Record[[#This Row],[Date]],"dddd")</f>
        <v>Saturday</v>
      </c>
      <c r="M1750" s="5" t="str">
        <f>TEXT(Store_Record[[#This Row],[Date]],"mmmm")</f>
        <v>May</v>
      </c>
      <c r="N1750" s="5">
        <f>YEAR(Store_Record[[#This Row],[Date]])</f>
        <v>2025</v>
      </c>
      <c r="O1750"/>
    </row>
    <row r="1751" spans="1:15" x14ac:dyDescent="0.35">
      <c r="A1751" t="s">
        <v>2576</v>
      </c>
      <c r="B1751" s="2">
        <v>45780</v>
      </c>
      <c r="C1751" t="s">
        <v>10</v>
      </c>
      <c r="D1751" t="s">
        <v>11</v>
      </c>
      <c r="E1751" t="s">
        <v>12</v>
      </c>
      <c r="F1751" t="s">
        <v>13</v>
      </c>
      <c r="G1751">
        <v>3</v>
      </c>
      <c r="H1751">
        <v>2.5</v>
      </c>
      <c r="I1751" t="s">
        <v>39</v>
      </c>
      <c r="J1751" t="s">
        <v>1639</v>
      </c>
      <c r="K1751" s="12">
        <f>Store_Record[[#This Row],[Qty]]*Store_Record[[#This Row],[UnitPriceGBP]]</f>
        <v>7.5</v>
      </c>
      <c r="L1751" s="5" t="str">
        <f>TEXT(Store_Record[[#This Row],[Date]],"dddd")</f>
        <v>Saturday</v>
      </c>
      <c r="M1751" s="5" t="str">
        <f>TEXT(Store_Record[[#This Row],[Date]],"mmmm")</f>
        <v>May</v>
      </c>
      <c r="N1751" s="5">
        <f>YEAR(Store_Record[[#This Row],[Date]])</f>
        <v>2025</v>
      </c>
      <c r="O1751"/>
    </row>
    <row r="1752" spans="1:15" x14ac:dyDescent="0.35">
      <c r="A1752" t="s">
        <v>2577</v>
      </c>
      <c r="B1752" s="2">
        <v>45780</v>
      </c>
      <c r="C1752" t="s">
        <v>36</v>
      </c>
      <c r="D1752" t="s">
        <v>25</v>
      </c>
      <c r="E1752" t="s">
        <v>30</v>
      </c>
      <c r="F1752" t="s">
        <v>31</v>
      </c>
      <c r="G1752">
        <v>2</v>
      </c>
      <c r="H1752">
        <v>2.8</v>
      </c>
      <c r="I1752" t="s">
        <v>39</v>
      </c>
      <c r="J1752" t="s">
        <v>2578</v>
      </c>
      <c r="K1752" s="12">
        <f>Store_Record[[#This Row],[Qty]]*Store_Record[[#This Row],[UnitPriceGBP]]</f>
        <v>5.6</v>
      </c>
      <c r="L1752" s="5" t="str">
        <f>TEXT(Store_Record[[#This Row],[Date]],"dddd")</f>
        <v>Saturday</v>
      </c>
      <c r="M1752" s="5" t="str">
        <f>TEXT(Store_Record[[#This Row],[Date]],"mmmm")</f>
        <v>May</v>
      </c>
      <c r="N1752" s="5">
        <f>YEAR(Store_Record[[#This Row],[Date]])</f>
        <v>2025</v>
      </c>
      <c r="O1752"/>
    </row>
    <row r="1753" spans="1:15" x14ac:dyDescent="0.35">
      <c r="A1753" t="s">
        <v>2579</v>
      </c>
      <c r="B1753" s="2">
        <v>45780</v>
      </c>
      <c r="C1753" t="s">
        <v>24</v>
      </c>
      <c r="D1753" t="s">
        <v>38</v>
      </c>
      <c r="E1753" t="s">
        <v>34</v>
      </c>
      <c r="F1753" t="s">
        <v>31</v>
      </c>
      <c r="G1753">
        <v>2</v>
      </c>
      <c r="H1753">
        <v>2.2000000000000002</v>
      </c>
      <c r="I1753" t="s">
        <v>14</v>
      </c>
      <c r="J1753" t="s">
        <v>638</v>
      </c>
      <c r="K1753" s="12">
        <f>Store_Record[[#This Row],[Qty]]*Store_Record[[#This Row],[UnitPriceGBP]]</f>
        <v>4.4000000000000004</v>
      </c>
      <c r="L1753" s="5" t="str">
        <f>TEXT(Store_Record[[#This Row],[Date]],"dddd")</f>
        <v>Saturday</v>
      </c>
      <c r="M1753" s="5" t="str">
        <f>TEXT(Store_Record[[#This Row],[Date]],"mmmm")</f>
        <v>May</v>
      </c>
      <c r="N1753" s="5">
        <f>YEAR(Store_Record[[#This Row],[Date]])</f>
        <v>2025</v>
      </c>
      <c r="O1753"/>
    </row>
    <row r="1754" spans="1:15" x14ac:dyDescent="0.35">
      <c r="A1754" t="s">
        <v>2590</v>
      </c>
      <c r="B1754" s="2">
        <v>45780</v>
      </c>
      <c r="C1754" t="s">
        <v>20</v>
      </c>
      <c r="D1754" t="s">
        <v>38</v>
      </c>
      <c r="E1754" t="s">
        <v>34</v>
      </c>
      <c r="F1754" t="s">
        <v>31</v>
      </c>
      <c r="G1754">
        <v>2</v>
      </c>
      <c r="H1754">
        <v>2.2000000000000002</v>
      </c>
      <c r="I1754" t="s">
        <v>21</v>
      </c>
      <c r="J1754" t="s">
        <v>2231</v>
      </c>
      <c r="K1754" s="12">
        <f>Store_Record[[#This Row],[Qty]]*Store_Record[[#This Row],[UnitPriceGBP]]</f>
        <v>4.4000000000000004</v>
      </c>
      <c r="L1754" s="5" t="str">
        <f>TEXT(Store_Record[[#This Row],[Date]],"dddd")</f>
        <v>Saturday</v>
      </c>
      <c r="M1754" s="5" t="str">
        <f>TEXT(Store_Record[[#This Row],[Date]],"mmmm")</f>
        <v>May</v>
      </c>
      <c r="N1754" s="5">
        <f>YEAR(Store_Record[[#This Row],[Date]])</f>
        <v>2025</v>
      </c>
      <c r="O1754"/>
    </row>
    <row r="1755" spans="1:15" x14ac:dyDescent="0.35">
      <c r="A1755" t="s">
        <v>2585</v>
      </c>
      <c r="B1755" s="2">
        <v>45780</v>
      </c>
      <c r="C1755" t="s">
        <v>20</v>
      </c>
      <c r="D1755" t="s">
        <v>29</v>
      </c>
      <c r="E1755" t="s">
        <v>26</v>
      </c>
      <c r="F1755" t="s">
        <v>13</v>
      </c>
      <c r="G1755">
        <v>1</v>
      </c>
      <c r="H1755">
        <v>3.5</v>
      </c>
      <c r="I1755" t="s">
        <v>21</v>
      </c>
      <c r="J1755" t="s">
        <v>1238</v>
      </c>
      <c r="K1755" s="12">
        <f>Store_Record[[#This Row],[Qty]]*Store_Record[[#This Row],[UnitPriceGBP]]</f>
        <v>3.5</v>
      </c>
      <c r="L1755" s="5" t="str">
        <f>TEXT(Store_Record[[#This Row],[Date]],"dddd")</f>
        <v>Saturday</v>
      </c>
      <c r="M1755" s="5" t="str">
        <f>TEXT(Store_Record[[#This Row],[Date]],"mmmm")</f>
        <v>May</v>
      </c>
      <c r="N1755" s="5">
        <f>YEAR(Store_Record[[#This Row],[Date]])</f>
        <v>2025</v>
      </c>
      <c r="O1755"/>
    </row>
    <row r="1756" spans="1:15" x14ac:dyDescent="0.35">
      <c r="A1756" t="s">
        <v>2588</v>
      </c>
      <c r="B1756" s="2">
        <v>45780</v>
      </c>
      <c r="C1756" t="s">
        <v>20</v>
      </c>
      <c r="D1756" t="s">
        <v>11</v>
      </c>
      <c r="E1756" t="s">
        <v>30</v>
      </c>
      <c r="F1756" t="s">
        <v>31</v>
      </c>
      <c r="G1756">
        <v>1</v>
      </c>
      <c r="H1756">
        <v>2.8</v>
      </c>
      <c r="I1756" t="s">
        <v>21</v>
      </c>
      <c r="J1756" t="s">
        <v>2589</v>
      </c>
      <c r="K1756" s="12">
        <f>Store_Record[[#This Row],[Qty]]*Store_Record[[#This Row],[UnitPriceGBP]]</f>
        <v>2.8</v>
      </c>
      <c r="L1756" s="5" t="str">
        <f>TEXT(Store_Record[[#This Row],[Date]],"dddd")</f>
        <v>Saturday</v>
      </c>
      <c r="M1756" s="5" t="str">
        <f>TEXT(Store_Record[[#This Row],[Date]],"mmmm")</f>
        <v>May</v>
      </c>
      <c r="N1756" s="5">
        <f>YEAR(Store_Record[[#This Row],[Date]])</f>
        <v>2025</v>
      </c>
      <c r="O1756"/>
    </row>
    <row r="1757" spans="1:15" x14ac:dyDescent="0.35">
      <c r="A1757" t="s">
        <v>2593</v>
      </c>
      <c r="B1757" s="2">
        <v>45781</v>
      </c>
      <c r="C1757" t="s">
        <v>10</v>
      </c>
      <c r="D1757" t="s">
        <v>38</v>
      </c>
      <c r="E1757" t="s">
        <v>30</v>
      </c>
      <c r="F1757" t="s">
        <v>31</v>
      </c>
      <c r="G1757">
        <v>5</v>
      </c>
      <c r="H1757">
        <v>2.8</v>
      </c>
      <c r="I1757" t="s">
        <v>21</v>
      </c>
      <c r="J1757" t="s">
        <v>2594</v>
      </c>
      <c r="K1757" s="12">
        <f>Store_Record[[#This Row],[Qty]]*Store_Record[[#This Row],[UnitPriceGBP]]</f>
        <v>14</v>
      </c>
      <c r="L1757" s="5" t="str">
        <f>TEXT(Store_Record[[#This Row],[Date]],"dddd")</f>
        <v>Sunday</v>
      </c>
      <c r="M1757" s="5" t="str">
        <f>TEXT(Store_Record[[#This Row],[Date]],"mmmm")</f>
        <v>May</v>
      </c>
      <c r="N1757" s="5">
        <f>YEAR(Store_Record[[#This Row],[Date]])</f>
        <v>2025</v>
      </c>
      <c r="O1757"/>
    </row>
    <row r="1758" spans="1:15" x14ac:dyDescent="0.35">
      <c r="A1758" t="s">
        <v>2605</v>
      </c>
      <c r="B1758" s="2">
        <v>45781</v>
      </c>
      <c r="C1758" t="s">
        <v>10</v>
      </c>
      <c r="D1758" t="s">
        <v>29</v>
      </c>
      <c r="E1758" t="s">
        <v>30</v>
      </c>
      <c r="F1758" t="s">
        <v>31</v>
      </c>
      <c r="G1758">
        <v>5</v>
      </c>
      <c r="H1758">
        <v>2.8</v>
      </c>
      <c r="I1758" t="s">
        <v>39</v>
      </c>
      <c r="J1758" t="s">
        <v>204</v>
      </c>
      <c r="K1758" s="12">
        <f>Store_Record[[#This Row],[Qty]]*Store_Record[[#This Row],[UnitPriceGBP]]</f>
        <v>14</v>
      </c>
      <c r="L1758" s="5" t="str">
        <f>TEXT(Store_Record[[#This Row],[Date]],"dddd")</f>
        <v>Sunday</v>
      </c>
      <c r="M1758" s="5" t="str">
        <f>TEXT(Store_Record[[#This Row],[Date]],"mmmm")</f>
        <v>May</v>
      </c>
      <c r="N1758" s="5">
        <f>YEAR(Store_Record[[#This Row],[Date]])</f>
        <v>2025</v>
      </c>
      <c r="O1758"/>
    </row>
    <row r="1759" spans="1:15" x14ac:dyDescent="0.35">
      <c r="A1759" t="s">
        <v>2600</v>
      </c>
      <c r="B1759" s="2">
        <v>45781</v>
      </c>
      <c r="C1759" t="s">
        <v>36</v>
      </c>
      <c r="D1759" t="s">
        <v>11</v>
      </c>
      <c r="E1759" t="s">
        <v>26</v>
      </c>
      <c r="F1759" t="s">
        <v>13</v>
      </c>
      <c r="G1759">
        <v>3</v>
      </c>
      <c r="H1759">
        <v>3.5</v>
      </c>
      <c r="I1759" t="s">
        <v>14</v>
      </c>
      <c r="J1759" t="s">
        <v>2601</v>
      </c>
      <c r="K1759" s="12">
        <f>Store_Record[[#This Row],[Qty]]*Store_Record[[#This Row],[UnitPriceGBP]]</f>
        <v>10.5</v>
      </c>
      <c r="L1759" s="5" t="str">
        <f>TEXT(Store_Record[[#This Row],[Date]],"dddd")</f>
        <v>Sunday</v>
      </c>
      <c r="M1759" s="5" t="str">
        <f>TEXT(Store_Record[[#This Row],[Date]],"mmmm")</f>
        <v>May</v>
      </c>
      <c r="N1759" s="5">
        <f>YEAR(Store_Record[[#This Row],[Date]])</f>
        <v>2025</v>
      </c>
      <c r="O1759"/>
    </row>
    <row r="1760" spans="1:15" x14ac:dyDescent="0.35">
      <c r="A1760" t="s">
        <v>2595</v>
      </c>
      <c r="B1760" s="2">
        <v>45781</v>
      </c>
      <c r="C1760" t="s">
        <v>24</v>
      </c>
      <c r="D1760" t="s">
        <v>38</v>
      </c>
      <c r="E1760" t="s">
        <v>12</v>
      </c>
      <c r="F1760" t="s">
        <v>13</v>
      </c>
      <c r="G1760">
        <v>4</v>
      </c>
      <c r="H1760">
        <v>2.5</v>
      </c>
      <c r="I1760" t="s">
        <v>21</v>
      </c>
      <c r="J1760" t="s">
        <v>2596</v>
      </c>
      <c r="K1760" s="12">
        <f>Store_Record[[#This Row],[Qty]]*Store_Record[[#This Row],[UnitPriceGBP]]</f>
        <v>10</v>
      </c>
      <c r="L1760" s="5" t="str">
        <f>TEXT(Store_Record[[#This Row],[Date]],"dddd")</f>
        <v>Sunday</v>
      </c>
      <c r="M1760" s="5" t="str">
        <f>TEXT(Store_Record[[#This Row],[Date]],"mmmm")</f>
        <v>May</v>
      </c>
      <c r="N1760" s="5">
        <f>YEAR(Store_Record[[#This Row],[Date]])</f>
        <v>2025</v>
      </c>
      <c r="O1760"/>
    </row>
    <row r="1761" spans="1:15" x14ac:dyDescent="0.35">
      <c r="A1761" t="s">
        <v>2603</v>
      </c>
      <c r="B1761" s="2">
        <v>45781</v>
      </c>
      <c r="C1761" t="s">
        <v>24</v>
      </c>
      <c r="D1761" t="s">
        <v>47</v>
      </c>
      <c r="E1761" t="s">
        <v>12</v>
      </c>
      <c r="F1761" t="s">
        <v>13</v>
      </c>
      <c r="G1761">
        <v>4</v>
      </c>
      <c r="H1761">
        <v>2.5</v>
      </c>
      <c r="I1761" t="s">
        <v>39</v>
      </c>
      <c r="J1761" t="s">
        <v>208</v>
      </c>
      <c r="K1761" s="12">
        <f>Store_Record[[#This Row],[Qty]]*Store_Record[[#This Row],[UnitPriceGBP]]</f>
        <v>10</v>
      </c>
      <c r="L1761" s="5" t="str">
        <f>TEXT(Store_Record[[#This Row],[Date]],"dddd")</f>
        <v>Sunday</v>
      </c>
      <c r="M1761" s="5" t="str">
        <f>TEXT(Store_Record[[#This Row],[Date]],"mmmm")</f>
        <v>May</v>
      </c>
      <c r="N1761" s="5">
        <f>YEAR(Store_Record[[#This Row],[Date]])</f>
        <v>2025</v>
      </c>
      <c r="O1761"/>
    </row>
    <row r="1762" spans="1:15" x14ac:dyDescent="0.35">
      <c r="A1762" t="s">
        <v>2607</v>
      </c>
      <c r="B1762" s="2">
        <v>45781</v>
      </c>
      <c r="C1762" t="s">
        <v>36</v>
      </c>
      <c r="D1762" t="s">
        <v>11</v>
      </c>
      <c r="E1762" t="s">
        <v>34</v>
      </c>
      <c r="F1762" t="s">
        <v>31</v>
      </c>
      <c r="G1762">
        <v>4</v>
      </c>
      <c r="H1762">
        <v>2.2000000000000002</v>
      </c>
      <c r="I1762" t="s">
        <v>21</v>
      </c>
      <c r="J1762" t="s">
        <v>464</v>
      </c>
      <c r="K1762" s="12">
        <f>Store_Record[[#This Row],[Qty]]*Store_Record[[#This Row],[UnitPriceGBP]]</f>
        <v>8.8000000000000007</v>
      </c>
      <c r="L1762" s="5" t="str">
        <f>TEXT(Store_Record[[#This Row],[Date]],"dddd")</f>
        <v>Sunday</v>
      </c>
      <c r="M1762" s="5" t="str">
        <f>TEXT(Store_Record[[#This Row],[Date]],"mmmm")</f>
        <v>May</v>
      </c>
      <c r="N1762" s="5">
        <f>YEAR(Store_Record[[#This Row],[Date]])</f>
        <v>2025</v>
      </c>
      <c r="O1762"/>
    </row>
    <row r="1763" spans="1:15" x14ac:dyDescent="0.35">
      <c r="A1763" t="s">
        <v>2606</v>
      </c>
      <c r="B1763" s="2">
        <v>45781</v>
      </c>
      <c r="C1763" t="s">
        <v>10</v>
      </c>
      <c r="D1763" t="s">
        <v>47</v>
      </c>
      <c r="E1763" t="s">
        <v>30</v>
      </c>
      <c r="F1763" t="s">
        <v>31</v>
      </c>
      <c r="G1763">
        <v>2</v>
      </c>
      <c r="H1763">
        <v>2.8</v>
      </c>
      <c r="I1763" t="s">
        <v>21</v>
      </c>
      <c r="J1763" t="s">
        <v>1262</v>
      </c>
      <c r="K1763" s="12">
        <f>Store_Record[[#This Row],[Qty]]*Store_Record[[#This Row],[UnitPriceGBP]]</f>
        <v>5.6</v>
      </c>
      <c r="L1763" s="5" t="str">
        <f>TEXT(Store_Record[[#This Row],[Date]],"dddd")</f>
        <v>Sunday</v>
      </c>
      <c r="M1763" s="5" t="str">
        <f>TEXT(Store_Record[[#This Row],[Date]],"mmmm")</f>
        <v>May</v>
      </c>
      <c r="N1763" s="5">
        <f>YEAR(Store_Record[[#This Row],[Date]])</f>
        <v>2025</v>
      </c>
      <c r="O1763"/>
    </row>
    <row r="1764" spans="1:15" x14ac:dyDescent="0.35">
      <c r="A1764" t="s">
        <v>2604</v>
      </c>
      <c r="B1764" s="2">
        <v>45781</v>
      </c>
      <c r="C1764" t="s">
        <v>36</v>
      </c>
      <c r="D1764" t="s">
        <v>29</v>
      </c>
      <c r="E1764" t="s">
        <v>34</v>
      </c>
      <c r="F1764" t="s">
        <v>31</v>
      </c>
      <c r="G1764">
        <v>2</v>
      </c>
      <c r="H1764">
        <v>2.2000000000000002</v>
      </c>
      <c r="I1764" t="s">
        <v>21</v>
      </c>
      <c r="J1764" t="s">
        <v>1976</v>
      </c>
      <c r="K1764" s="12">
        <f>Store_Record[[#This Row],[Qty]]*Store_Record[[#This Row],[UnitPriceGBP]]</f>
        <v>4.4000000000000004</v>
      </c>
      <c r="L1764" s="5" t="str">
        <f>TEXT(Store_Record[[#This Row],[Date]],"dddd")</f>
        <v>Sunday</v>
      </c>
      <c r="M1764" s="5" t="str">
        <f>TEXT(Store_Record[[#This Row],[Date]],"mmmm")</f>
        <v>May</v>
      </c>
      <c r="N1764" s="5">
        <f>YEAR(Store_Record[[#This Row],[Date]])</f>
        <v>2025</v>
      </c>
      <c r="O1764"/>
    </row>
    <row r="1765" spans="1:15" x14ac:dyDescent="0.35">
      <c r="A1765" t="s">
        <v>2598</v>
      </c>
      <c r="B1765" s="2">
        <v>45781</v>
      </c>
      <c r="C1765" t="s">
        <v>20</v>
      </c>
      <c r="D1765" t="s">
        <v>38</v>
      </c>
      <c r="E1765" t="s">
        <v>42</v>
      </c>
      <c r="F1765" t="s">
        <v>13</v>
      </c>
      <c r="G1765">
        <v>1</v>
      </c>
      <c r="H1765">
        <v>3.8</v>
      </c>
      <c r="I1765" t="s">
        <v>14</v>
      </c>
      <c r="J1765" t="s">
        <v>328</v>
      </c>
      <c r="K1765" s="12">
        <f>Store_Record[[#This Row],[Qty]]*Store_Record[[#This Row],[UnitPriceGBP]]</f>
        <v>3.8</v>
      </c>
      <c r="L1765" s="5" t="str">
        <f>TEXT(Store_Record[[#This Row],[Date]],"dddd")</f>
        <v>Sunday</v>
      </c>
      <c r="M1765" s="5" t="str">
        <f>TEXT(Store_Record[[#This Row],[Date]],"mmmm")</f>
        <v>May</v>
      </c>
      <c r="N1765" s="5">
        <f>YEAR(Store_Record[[#This Row],[Date]])</f>
        <v>2025</v>
      </c>
      <c r="O1765"/>
    </row>
    <row r="1766" spans="1:15" x14ac:dyDescent="0.35">
      <c r="A1766" t="s">
        <v>2602</v>
      </c>
      <c r="B1766" s="2">
        <v>45781</v>
      </c>
      <c r="C1766" t="s">
        <v>10</v>
      </c>
      <c r="D1766" t="s">
        <v>11</v>
      </c>
      <c r="E1766" t="s">
        <v>26</v>
      </c>
      <c r="F1766" t="s">
        <v>13</v>
      </c>
      <c r="G1766">
        <v>1</v>
      </c>
      <c r="H1766">
        <v>3.5</v>
      </c>
      <c r="I1766" t="s">
        <v>14</v>
      </c>
      <c r="J1766" t="s">
        <v>1538</v>
      </c>
      <c r="K1766" s="12">
        <f>Store_Record[[#This Row],[Qty]]*Store_Record[[#This Row],[UnitPriceGBP]]</f>
        <v>3.5</v>
      </c>
      <c r="L1766" s="5" t="str">
        <f>TEXT(Store_Record[[#This Row],[Date]],"dddd")</f>
        <v>Sunday</v>
      </c>
      <c r="M1766" s="5" t="str">
        <f>TEXT(Store_Record[[#This Row],[Date]],"mmmm")</f>
        <v>May</v>
      </c>
      <c r="N1766" s="5">
        <f>YEAR(Store_Record[[#This Row],[Date]])</f>
        <v>2025</v>
      </c>
      <c r="O1766"/>
    </row>
    <row r="1767" spans="1:15" x14ac:dyDescent="0.35">
      <c r="A1767" t="s">
        <v>2599</v>
      </c>
      <c r="B1767" s="2">
        <v>45781</v>
      </c>
      <c r="C1767" t="s">
        <v>20</v>
      </c>
      <c r="D1767" t="s">
        <v>38</v>
      </c>
      <c r="E1767" t="s">
        <v>12</v>
      </c>
      <c r="F1767" t="s">
        <v>13</v>
      </c>
      <c r="G1767">
        <v>1</v>
      </c>
      <c r="H1767">
        <v>2.5</v>
      </c>
      <c r="I1767" t="s">
        <v>39</v>
      </c>
      <c r="J1767" t="s">
        <v>980</v>
      </c>
      <c r="K1767" s="12">
        <f>Store_Record[[#This Row],[Qty]]*Store_Record[[#This Row],[UnitPriceGBP]]</f>
        <v>2.5</v>
      </c>
      <c r="L1767" s="5" t="str">
        <f>TEXT(Store_Record[[#This Row],[Date]],"dddd")</f>
        <v>Sunday</v>
      </c>
      <c r="M1767" s="5" t="str">
        <f>TEXT(Store_Record[[#This Row],[Date]],"mmmm")</f>
        <v>May</v>
      </c>
      <c r="N1767" s="5">
        <f>YEAR(Store_Record[[#This Row],[Date]])</f>
        <v>2025</v>
      </c>
      <c r="O1767"/>
    </row>
    <row r="1768" spans="1:15" x14ac:dyDescent="0.35">
      <c r="A1768" t="s">
        <v>2597</v>
      </c>
      <c r="B1768" s="2">
        <v>45781</v>
      </c>
      <c r="C1768" t="s">
        <v>24</v>
      </c>
      <c r="D1768" t="s">
        <v>11</v>
      </c>
      <c r="E1768" t="s">
        <v>34</v>
      </c>
      <c r="F1768" t="s">
        <v>31</v>
      </c>
      <c r="G1768">
        <v>1</v>
      </c>
      <c r="H1768">
        <v>2.2000000000000002</v>
      </c>
      <c r="I1768" t="s">
        <v>39</v>
      </c>
      <c r="J1768" t="s">
        <v>677</v>
      </c>
      <c r="K1768" s="12">
        <f>Store_Record[[#This Row],[Qty]]*Store_Record[[#This Row],[UnitPriceGBP]]</f>
        <v>2.2000000000000002</v>
      </c>
      <c r="L1768" s="5" t="str">
        <f>TEXT(Store_Record[[#This Row],[Date]],"dddd")</f>
        <v>Sunday</v>
      </c>
      <c r="M1768" s="5" t="str">
        <f>TEXT(Store_Record[[#This Row],[Date]],"mmmm")</f>
        <v>May</v>
      </c>
      <c r="N1768" s="5">
        <f>YEAR(Store_Record[[#This Row],[Date]])</f>
        <v>2025</v>
      </c>
      <c r="O1768"/>
    </row>
    <row r="1769" spans="1:15" x14ac:dyDescent="0.35">
      <c r="A1769" t="s">
        <v>2619</v>
      </c>
      <c r="B1769" s="2">
        <v>45782</v>
      </c>
      <c r="C1769" t="s">
        <v>20</v>
      </c>
      <c r="D1769" t="s">
        <v>25</v>
      </c>
      <c r="E1769" t="s">
        <v>26</v>
      </c>
      <c r="F1769" t="s">
        <v>13</v>
      </c>
      <c r="G1769">
        <v>5</v>
      </c>
      <c r="H1769">
        <v>3.5</v>
      </c>
      <c r="I1769" t="s">
        <v>39</v>
      </c>
      <c r="J1769" t="s">
        <v>1734</v>
      </c>
      <c r="K1769" s="12">
        <f>Store_Record[[#This Row],[Qty]]*Store_Record[[#This Row],[UnitPriceGBP]]</f>
        <v>17.5</v>
      </c>
      <c r="L1769" s="5" t="str">
        <f>TEXT(Store_Record[[#This Row],[Date]],"dddd")</f>
        <v>Monday</v>
      </c>
      <c r="M1769" s="5" t="str">
        <f>TEXT(Store_Record[[#This Row],[Date]],"mmmm")</f>
        <v>May</v>
      </c>
      <c r="N1769" s="5">
        <f>YEAR(Store_Record[[#This Row],[Date]])</f>
        <v>2025</v>
      </c>
      <c r="O1769"/>
    </row>
    <row r="1770" spans="1:15" x14ac:dyDescent="0.35">
      <c r="A1770" t="s">
        <v>2623</v>
      </c>
      <c r="B1770" s="2">
        <v>45782</v>
      </c>
      <c r="C1770" t="s">
        <v>36</v>
      </c>
      <c r="D1770" t="s">
        <v>11</v>
      </c>
      <c r="E1770" t="s">
        <v>26</v>
      </c>
      <c r="F1770" t="s">
        <v>13</v>
      </c>
      <c r="G1770">
        <v>5</v>
      </c>
      <c r="H1770">
        <v>3.5</v>
      </c>
      <c r="I1770" t="s">
        <v>21</v>
      </c>
      <c r="J1770" t="s">
        <v>1406</v>
      </c>
      <c r="K1770" s="12">
        <f>Store_Record[[#This Row],[Qty]]*Store_Record[[#This Row],[UnitPriceGBP]]</f>
        <v>17.5</v>
      </c>
      <c r="L1770" s="5" t="str">
        <f>TEXT(Store_Record[[#This Row],[Date]],"dddd")</f>
        <v>Monday</v>
      </c>
      <c r="M1770" s="5" t="str">
        <f>TEXT(Store_Record[[#This Row],[Date]],"mmmm")</f>
        <v>May</v>
      </c>
      <c r="N1770" s="5">
        <f>YEAR(Store_Record[[#This Row],[Date]])</f>
        <v>2025</v>
      </c>
      <c r="O1770"/>
    </row>
    <row r="1771" spans="1:15" x14ac:dyDescent="0.35">
      <c r="A1771" t="s">
        <v>2609</v>
      </c>
      <c r="B1771" s="2">
        <v>45782</v>
      </c>
      <c r="C1771" t="s">
        <v>36</v>
      </c>
      <c r="D1771" t="s">
        <v>25</v>
      </c>
      <c r="E1771" t="s">
        <v>26</v>
      </c>
      <c r="F1771" t="s">
        <v>13</v>
      </c>
      <c r="G1771">
        <v>4</v>
      </c>
      <c r="H1771">
        <v>3.8</v>
      </c>
      <c r="I1771" t="s">
        <v>39</v>
      </c>
      <c r="J1771" t="s">
        <v>2466</v>
      </c>
      <c r="K1771" s="12">
        <f>Store_Record[[#This Row],[Qty]]*Store_Record[[#This Row],[UnitPriceGBP]]</f>
        <v>15.2</v>
      </c>
      <c r="L1771" s="5" t="str">
        <f>TEXT(Store_Record[[#This Row],[Date]],"dddd")</f>
        <v>Monday</v>
      </c>
      <c r="M1771" s="5" t="str">
        <f>TEXT(Store_Record[[#This Row],[Date]],"mmmm")</f>
        <v>May</v>
      </c>
      <c r="N1771" s="5">
        <f>YEAR(Store_Record[[#This Row],[Date]])</f>
        <v>2025</v>
      </c>
      <c r="O1771"/>
    </row>
    <row r="1772" spans="1:15" x14ac:dyDescent="0.35">
      <c r="A1772" t="s">
        <v>2610</v>
      </c>
      <c r="B1772" s="2">
        <v>45782</v>
      </c>
      <c r="C1772" t="s">
        <v>36</v>
      </c>
      <c r="D1772" t="s">
        <v>11</v>
      </c>
      <c r="E1772" t="s">
        <v>30</v>
      </c>
      <c r="F1772" t="s">
        <v>31</v>
      </c>
      <c r="G1772">
        <v>5</v>
      </c>
      <c r="H1772">
        <v>2.8</v>
      </c>
      <c r="I1772" t="s">
        <v>14</v>
      </c>
      <c r="J1772" t="s">
        <v>356</v>
      </c>
      <c r="K1772" s="12">
        <f>Store_Record[[#This Row],[Qty]]*Store_Record[[#This Row],[UnitPriceGBP]]</f>
        <v>14</v>
      </c>
      <c r="L1772" s="5" t="str">
        <f>TEXT(Store_Record[[#This Row],[Date]],"dddd")</f>
        <v>Monday</v>
      </c>
      <c r="M1772" s="5" t="str">
        <f>TEXT(Store_Record[[#This Row],[Date]],"mmmm")</f>
        <v>May</v>
      </c>
      <c r="N1772" s="5">
        <f>YEAR(Store_Record[[#This Row],[Date]])</f>
        <v>2025</v>
      </c>
      <c r="O1772"/>
    </row>
    <row r="1773" spans="1:15" x14ac:dyDescent="0.35">
      <c r="A1773" t="s">
        <v>2615</v>
      </c>
      <c r="B1773" s="2">
        <v>45782</v>
      </c>
      <c r="C1773" t="s">
        <v>20</v>
      </c>
      <c r="D1773" t="s">
        <v>38</v>
      </c>
      <c r="E1773" t="s">
        <v>26</v>
      </c>
      <c r="F1773" t="s">
        <v>13</v>
      </c>
      <c r="G1773">
        <v>4</v>
      </c>
      <c r="H1773">
        <v>3.5</v>
      </c>
      <c r="I1773" t="s">
        <v>39</v>
      </c>
      <c r="J1773" t="s">
        <v>1011</v>
      </c>
      <c r="K1773" s="12">
        <f>Store_Record[[#This Row],[Qty]]*Store_Record[[#This Row],[UnitPriceGBP]]</f>
        <v>14</v>
      </c>
      <c r="L1773" s="5" t="str">
        <f>TEXT(Store_Record[[#This Row],[Date]],"dddd")</f>
        <v>Monday</v>
      </c>
      <c r="M1773" s="5" t="str">
        <f>TEXT(Store_Record[[#This Row],[Date]],"mmmm")</f>
        <v>May</v>
      </c>
      <c r="N1773" s="5">
        <f>YEAR(Store_Record[[#This Row],[Date]])</f>
        <v>2025</v>
      </c>
      <c r="O1773"/>
    </row>
    <row r="1774" spans="1:15" x14ac:dyDescent="0.35">
      <c r="A1774" t="s">
        <v>2621</v>
      </c>
      <c r="B1774" s="2">
        <v>45782</v>
      </c>
      <c r="C1774" t="s">
        <v>20</v>
      </c>
      <c r="D1774" t="s">
        <v>29</v>
      </c>
      <c r="E1774" t="s">
        <v>26</v>
      </c>
      <c r="F1774" t="s">
        <v>13</v>
      </c>
      <c r="G1774">
        <v>4</v>
      </c>
      <c r="H1774">
        <v>3.5</v>
      </c>
      <c r="I1774" t="s">
        <v>21</v>
      </c>
      <c r="J1774" t="s">
        <v>163</v>
      </c>
      <c r="K1774" s="12">
        <f>Store_Record[[#This Row],[Qty]]*Store_Record[[#This Row],[UnitPriceGBP]]</f>
        <v>14</v>
      </c>
      <c r="L1774" s="5" t="str">
        <f>TEXT(Store_Record[[#This Row],[Date]],"dddd")</f>
        <v>Monday</v>
      </c>
      <c r="M1774" s="5" t="str">
        <f>TEXT(Store_Record[[#This Row],[Date]],"mmmm")</f>
        <v>May</v>
      </c>
      <c r="N1774" s="5">
        <f>YEAR(Store_Record[[#This Row],[Date]])</f>
        <v>2025</v>
      </c>
      <c r="O1774"/>
    </row>
    <row r="1775" spans="1:15" x14ac:dyDescent="0.35">
      <c r="A1775" t="s">
        <v>2622</v>
      </c>
      <c r="B1775" s="2">
        <v>45782</v>
      </c>
      <c r="C1775" t="s">
        <v>20</v>
      </c>
      <c r="D1775" t="s">
        <v>25</v>
      </c>
      <c r="E1775" t="s">
        <v>26</v>
      </c>
      <c r="F1775" t="s">
        <v>13</v>
      </c>
      <c r="G1775">
        <v>4</v>
      </c>
      <c r="H1775">
        <v>3.5</v>
      </c>
      <c r="I1775" t="s">
        <v>21</v>
      </c>
      <c r="J1775" t="s">
        <v>976</v>
      </c>
      <c r="K1775" s="12">
        <f>Store_Record[[#This Row],[Qty]]*Store_Record[[#This Row],[UnitPriceGBP]]</f>
        <v>14</v>
      </c>
      <c r="L1775" s="5" t="str">
        <f>TEXT(Store_Record[[#This Row],[Date]],"dddd")</f>
        <v>Monday</v>
      </c>
      <c r="M1775" s="5" t="str">
        <f>TEXT(Store_Record[[#This Row],[Date]],"mmmm")</f>
        <v>May</v>
      </c>
      <c r="N1775" s="5">
        <f>YEAR(Store_Record[[#This Row],[Date]])</f>
        <v>2025</v>
      </c>
      <c r="O1775"/>
    </row>
    <row r="1776" spans="1:15" x14ac:dyDescent="0.35">
      <c r="A1776" t="s">
        <v>2608</v>
      </c>
      <c r="B1776" s="2">
        <v>45782</v>
      </c>
      <c r="C1776" t="s">
        <v>20</v>
      </c>
      <c r="D1776" t="s">
        <v>11</v>
      </c>
      <c r="E1776" t="s">
        <v>12</v>
      </c>
      <c r="F1776" t="s">
        <v>13</v>
      </c>
      <c r="G1776">
        <v>5</v>
      </c>
      <c r="H1776">
        <v>2.5</v>
      </c>
      <c r="I1776" t="s">
        <v>21</v>
      </c>
      <c r="J1776" t="s">
        <v>1230</v>
      </c>
      <c r="K1776" s="12">
        <f>Store_Record[[#This Row],[Qty]]*Store_Record[[#This Row],[UnitPriceGBP]]</f>
        <v>12.5</v>
      </c>
      <c r="L1776" s="5" t="str">
        <f>TEXT(Store_Record[[#This Row],[Date]],"dddd")</f>
        <v>Monday</v>
      </c>
      <c r="M1776" s="5" t="str">
        <f>TEXT(Store_Record[[#This Row],[Date]],"mmmm")</f>
        <v>May</v>
      </c>
      <c r="N1776" s="5">
        <f>YEAR(Store_Record[[#This Row],[Date]])</f>
        <v>2025</v>
      </c>
      <c r="O1776"/>
    </row>
    <row r="1777" spans="1:15" x14ac:dyDescent="0.35">
      <c r="A1777" t="s">
        <v>2618</v>
      </c>
      <c r="B1777" s="2">
        <v>45782</v>
      </c>
      <c r="C1777" t="s">
        <v>10</v>
      </c>
      <c r="D1777" t="s">
        <v>29</v>
      </c>
      <c r="E1777" t="s">
        <v>42</v>
      </c>
      <c r="F1777" t="s">
        <v>13</v>
      </c>
      <c r="G1777">
        <v>3</v>
      </c>
      <c r="H1777">
        <v>3.8</v>
      </c>
      <c r="I1777" t="s">
        <v>39</v>
      </c>
      <c r="J1777" t="s">
        <v>97</v>
      </c>
      <c r="K1777" s="12">
        <f>Store_Record[[#This Row],[Qty]]*Store_Record[[#This Row],[UnitPriceGBP]]</f>
        <v>11.399999999999999</v>
      </c>
      <c r="L1777" s="5" t="str">
        <f>TEXT(Store_Record[[#This Row],[Date]],"dddd")</f>
        <v>Monday</v>
      </c>
      <c r="M1777" s="5" t="str">
        <f>TEXT(Store_Record[[#This Row],[Date]],"mmmm")</f>
        <v>May</v>
      </c>
      <c r="N1777" s="5">
        <f>YEAR(Store_Record[[#This Row],[Date]])</f>
        <v>2025</v>
      </c>
      <c r="O1777"/>
    </row>
    <row r="1778" spans="1:15" x14ac:dyDescent="0.35">
      <c r="A1778" t="s">
        <v>2614</v>
      </c>
      <c r="B1778" s="2">
        <v>45782</v>
      </c>
      <c r="C1778" t="s">
        <v>24</v>
      </c>
      <c r="D1778" t="s">
        <v>29</v>
      </c>
      <c r="E1778" t="s">
        <v>34</v>
      </c>
      <c r="F1778" t="s">
        <v>31</v>
      </c>
      <c r="G1778">
        <v>5</v>
      </c>
      <c r="H1778">
        <v>2.2000000000000002</v>
      </c>
      <c r="I1778" t="s">
        <v>21</v>
      </c>
      <c r="J1778" t="s">
        <v>1073</v>
      </c>
      <c r="K1778" s="12">
        <f>Store_Record[[#This Row],[Qty]]*Store_Record[[#This Row],[UnitPriceGBP]]</f>
        <v>11</v>
      </c>
      <c r="L1778" s="5" t="str">
        <f>TEXT(Store_Record[[#This Row],[Date]],"dddd")</f>
        <v>Monday</v>
      </c>
      <c r="M1778" s="5" t="str">
        <f>TEXT(Store_Record[[#This Row],[Date]],"mmmm")</f>
        <v>May</v>
      </c>
      <c r="N1778" s="5">
        <f>YEAR(Store_Record[[#This Row],[Date]])</f>
        <v>2025</v>
      </c>
      <c r="O1778"/>
    </row>
    <row r="1779" spans="1:15" x14ac:dyDescent="0.35">
      <c r="A1779" t="s">
        <v>2616</v>
      </c>
      <c r="B1779" s="2">
        <v>45782</v>
      </c>
      <c r="C1779" t="s">
        <v>20</v>
      </c>
      <c r="D1779" t="s">
        <v>29</v>
      </c>
      <c r="E1779" t="s">
        <v>12</v>
      </c>
      <c r="F1779" t="s">
        <v>13</v>
      </c>
      <c r="G1779">
        <v>4</v>
      </c>
      <c r="H1779">
        <v>2.5</v>
      </c>
      <c r="I1779" t="s">
        <v>39</v>
      </c>
      <c r="J1779" t="s">
        <v>2617</v>
      </c>
      <c r="K1779" s="12">
        <f>Store_Record[[#This Row],[Qty]]*Store_Record[[#This Row],[UnitPriceGBP]]</f>
        <v>10</v>
      </c>
      <c r="L1779" s="5" t="str">
        <f>TEXT(Store_Record[[#This Row],[Date]],"dddd")</f>
        <v>Monday</v>
      </c>
      <c r="M1779" s="5" t="str">
        <f>TEXT(Store_Record[[#This Row],[Date]],"mmmm")</f>
        <v>May</v>
      </c>
      <c r="N1779" s="5">
        <f>YEAR(Store_Record[[#This Row],[Date]])</f>
        <v>2025</v>
      </c>
      <c r="O1779"/>
    </row>
    <row r="1780" spans="1:15" x14ac:dyDescent="0.35">
      <c r="A1780" t="s">
        <v>2625</v>
      </c>
      <c r="B1780" s="2">
        <v>45782</v>
      </c>
      <c r="C1780" t="s">
        <v>10</v>
      </c>
      <c r="D1780" t="s">
        <v>47</v>
      </c>
      <c r="E1780" t="s">
        <v>12</v>
      </c>
      <c r="F1780" t="s">
        <v>13</v>
      </c>
      <c r="G1780">
        <v>4</v>
      </c>
      <c r="H1780">
        <v>2.5</v>
      </c>
      <c r="I1780" t="s">
        <v>14</v>
      </c>
      <c r="J1780" t="s">
        <v>571</v>
      </c>
      <c r="K1780" s="12">
        <f>Store_Record[[#This Row],[Qty]]*Store_Record[[#This Row],[UnitPriceGBP]]</f>
        <v>10</v>
      </c>
      <c r="L1780" s="5" t="str">
        <f>TEXT(Store_Record[[#This Row],[Date]],"dddd")</f>
        <v>Monday</v>
      </c>
      <c r="M1780" s="5" t="str">
        <f>TEXT(Store_Record[[#This Row],[Date]],"mmmm")</f>
        <v>May</v>
      </c>
      <c r="N1780" s="5">
        <f>YEAR(Store_Record[[#This Row],[Date]])</f>
        <v>2025</v>
      </c>
      <c r="O1780"/>
    </row>
    <row r="1781" spans="1:15" x14ac:dyDescent="0.35">
      <c r="A1781" t="s">
        <v>2613</v>
      </c>
      <c r="B1781" s="2">
        <v>45782</v>
      </c>
      <c r="C1781" t="s">
        <v>24</v>
      </c>
      <c r="D1781" t="s">
        <v>11</v>
      </c>
      <c r="E1781" t="s">
        <v>30</v>
      </c>
      <c r="F1781" t="s">
        <v>31</v>
      </c>
      <c r="G1781">
        <v>3</v>
      </c>
      <c r="H1781">
        <v>2.8</v>
      </c>
      <c r="I1781" t="s">
        <v>14</v>
      </c>
      <c r="J1781" t="s">
        <v>468</v>
      </c>
      <c r="K1781" s="12">
        <f>Store_Record[[#This Row],[Qty]]*Store_Record[[#This Row],[UnitPriceGBP]]</f>
        <v>8.3999999999999986</v>
      </c>
      <c r="L1781" s="5" t="str">
        <f>TEXT(Store_Record[[#This Row],[Date]],"dddd")</f>
        <v>Monday</v>
      </c>
      <c r="M1781" s="5" t="str">
        <f>TEXT(Store_Record[[#This Row],[Date]],"mmmm")</f>
        <v>May</v>
      </c>
      <c r="N1781" s="5">
        <f>YEAR(Store_Record[[#This Row],[Date]])</f>
        <v>2025</v>
      </c>
      <c r="O1781"/>
    </row>
    <row r="1782" spans="1:15" x14ac:dyDescent="0.35">
      <c r="A1782" t="s">
        <v>2620</v>
      </c>
      <c r="B1782" s="2">
        <v>45782</v>
      </c>
      <c r="C1782" t="s">
        <v>10</v>
      </c>
      <c r="D1782" t="s">
        <v>38</v>
      </c>
      <c r="E1782" t="s">
        <v>12</v>
      </c>
      <c r="F1782" t="s">
        <v>13</v>
      </c>
      <c r="G1782">
        <v>2</v>
      </c>
      <c r="H1782">
        <v>2.5</v>
      </c>
      <c r="I1782" t="s">
        <v>21</v>
      </c>
      <c r="J1782" t="s">
        <v>1833</v>
      </c>
      <c r="K1782" s="12">
        <f>Store_Record[[#This Row],[Qty]]*Store_Record[[#This Row],[UnitPriceGBP]]</f>
        <v>5</v>
      </c>
      <c r="L1782" s="5" t="str">
        <f>TEXT(Store_Record[[#This Row],[Date]],"dddd")</f>
        <v>Monday</v>
      </c>
      <c r="M1782" s="5" t="str">
        <f>TEXT(Store_Record[[#This Row],[Date]],"mmmm")</f>
        <v>May</v>
      </c>
      <c r="N1782" s="5">
        <f>YEAR(Store_Record[[#This Row],[Date]])</f>
        <v>2025</v>
      </c>
      <c r="O1782"/>
    </row>
    <row r="1783" spans="1:15" x14ac:dyDescent="0.35">
      <c r="A1783" t="s">
        <v>2611</v>
      </c>
      <c r="B1783" s="2">
        <v>45782</v>
      </c>
      <c r="C1783" t="s">
        <v>24</v>
      </c>
      <c r="D1783" t="s">
        <v>29</v>
      </c>
      <c r="E1783" t="s">
        <v>30</v>
      </c>
      <c r="F1783" t="s">
        <v>31</v>
      </c>
      <c r="G1783">
        <v>1</v>
      </c>
      <c r="H1783">
        <v>2.8</v>
      </c>
      <c r="I1783" t="s">
        <v>21</v>
      </c>
      <c r="J1783" t="s">
        <v>474</v>
      </c>
      <c r="K1783" s="12">
        <f>Store_Record[[#This Row],[Qty]]*Store_Record[[#This Row],[UnitPriceGBP]]</f>
        <v>2.8</v>
      </c>
      <c r="L1783" s="5" t="str">
        <f>TEXT(Store_Record[[#This Row],[Date]],"dddd")</f>
        <v>Monday</v>
      </c>
      <c r="M1783" s="5" t="str">
        <f>TEXT(Store_Record[[#This Row],[Date]],"mmmm")</f>
        <v>May</v>
      </c>
      <c r="N1783" s="5">
        <f>YEAR(Store_Record[[#This Row],[Date]])</f>
        <v>2025</v>
      </c>
      <c r="O1783"/>
    </row>
    <row r="1784" spans="1:15" x14ac:dyDescent="0.35">
      <c r="A1784" t="s">
        <v>2612</v>
      </c>
      <c r="B1784" s="2">
        <v>45782</v>
      </c>
      <c r="C1784" t="s">
        <v>24</v>
      </c>
      <c r="D1784" t="s">
        <v>38</v>
      </c>
      <c r="E1784" t="s">
        <v>30</v>
      </c>
      <c r="F1784" t="s">
        <v>31</v>
      </c>
      <c r="G1784">
        <v>1</v>
      </c>
      <c r="H1784">
        <v>2.8</v>
      </c>
      <c r="I1784" t="s">
        <v>14</v>
      </c>
      <c r="J1784" t="s">
        <v>1025</v>
      </c>
      <c r="K1784" s="12">
        <f>Store_Record[[#This Row],[Qty]]*Store_Record[[#This Row],[UnitPriceGBP]]</f>
        <v>2.8</v>
      </c>
      <c r="L1784" s="5" t="str">
        <f>TEXT(Store_Record[[#This Row],[Date]],"dddd")</f>
        <v>Monday</v>
      </c>
      <c r="M1784" s="5" t="str">
        <f>TEXT(Store_Record[[#This Row],[Date]],"mmmm")</f>
        <v>May</v>
      </c>
      <c r="N1784" s="5">
        <f>YEAR(Store_Record[[#This Row],[Date]])</f>
        <v>2025</v>
      </c>
      <c r="O1784"/>
    </row>
    <row r="1785" spans="1:15" x14ac:dyDescent="0.35">
      <c r="A1785" t="s">
        <v>2624</v>
      </c>
      <c r="B1785" s="2">
        <v>45782</v>
      </c>
      <c r="C1785" t="s">
        <v>20</v>
      </c>
      <c r="D1785" t="s">
        <v>11</v>
      </c>
      <c r="E1785" t="s">
        <v>34</v>
      </c>
      <c r="F1785" t="s">
        <v>31</v>
      </c>
      <c r="G1785">
        <v>1</v>
      </c>
      <c r="H1785">
        <v>2.2000000000000002</v>
      </c>
      <c r="I1785" t="s">
        <v>14</v>
      </c>
      <c r="J1785" t="s">
        <v>1145</v>
      </c>
      <c r="K1785" s="12">
        <f>Store_Record[[#This Row],[Qty]]*Store_Record[[#This Row],[UnitPriceGBP]]</f>
        <v>2.2000000000000002</v>
      </c>
      <c r="L1785" s="5" t="str">
        <f>TEXT(Store_Record[[#This Row],[Date]],"dddd")</f>
        <v>Monday</v>
      </c>
      <c r="M1785" s="5" t="str">
        <f>TEXT(Store_Record[[#This Row],[Date]],"mmmm")</f>
        <v>May</v>
      </c>
      <c r="N1785" s="5">
        <f>YEAR(Store_Record[[#This Row],[Date]])</f>
        <v>2025</v>
      </c>
      <c r="O1785"/>
    </row>
    <row r="1786" spans="1:15" x14ac:dyDescent="0.35">
      <c r="A1786" t="s">
        <v>2629</v>
      </c>
      <c r="B1786" s="2">
        <v>45783</v>
      </c>
      <c r="C1786" t="s">
        <v>24</v>
      </c>
      <c r="D1786" t="s">
        <v>38</v>
      </c>
      <c r="E1786" t="s">
        <v>26</v>
      </c>
      <c r="F1786" t="s">
        <v>13</v>
      </c>
      <c r="G1786">
        <v>5</v>
      </c>
      <c r="H1786">
        <v>3.5</v>
      </c>
      <c r="I1786" t="s">
        <v>14</v>
      </c>
      <c r="J1786" t="s">
        <v>109</v>
      </c>
      <c r="K1786" s="12">
        <f>Store_Record[[#This Row],[Qty]]*Store_Record[[#This Row],[UnitPriceGBP]]</f>
        <v>17.5</v>
      </c>
      <c r="L1786" s="5" t="str">
        <f>TEXT(Store_Record[[#This Row],[Date]],"dddd")</f>
        <v>Tuesday</v>
      </c>
      <c r="M1786" s="5" t="str">
        <f>TEXT(Store_Record[[#This Row],[Date]],"mmmm")</f>
        <v>May</v>
      </c>
      <c r="N1786" s="5">
        <f>YEAR(Store_Record[[#This Row],[Date]])</f>
        <v>2025</v>
      </c>
      <c r="O1786"/>
    </row>
    <row r="1787" spans="1:15" x14ac:dyDescent="0.35">
      <c r="A1787" t="s">
        <v>2627</v>
      </c>
      <c r="B1787" s="2">
        <v>45783</v>
      </c>
      <c r="C1787" t="s">
        <v>24</v>
      </c>
      <c r="D1787" t="s">
        <v>11</v>
      </c>
      <c r="E1787" t="s">
        <v>30</v>
      </c>
      <c r="F1787" t="s">
        <v>31</v>
      </c>
      <c r="G1787">
        <v>5</v>
      </c>
      <c r="H1787">
        <v>2.8</v>
      </c>
      <c r="I1787" t="s">
        <v>39</v>
      </c>
      <c r="J1787" t="s">
        <v>362</v>
      </c>
      <c r="K1787" s="12">
        <f>Store_Record[[#This Row],[Qty]]*Store_Record[[#This Row],[UnitPriceGBP]]</f>
        <v>14</v>
      </c>
      <c r="L1787" s="5" t="str">
        <f>TEXT(Store_Record[[#This Row],[Date]],"dddd")</f>
        <v>Tuesday</v>
      </c>
      <c r="M1787" s="5" t="str">
        <f>TEXT(Store_Record[[#This Row],[Date]],"mmmm")</f>
        <v>May</v>
      </c>
      <c r="N1787" s="5">
        <f>YEAR(Store_Record[[#This Row],[Date]])</f>
        <v>2025</v>
      </c>
      <c r="O1787"/>
    </row>
    <row r="1788" spans="1:15" x14ac:dyDescent="0.35">
      <c r="A1788" t="s">
        <v>2626</v>
      </c>
      <c r="B1788" s="2">
        <v>45783</v>
      </c>
      <c r="C1788" t="s">
        <v>10</v>
      </c>
      <c r="D1788" t="s">
        <v>29</v>
      </c>
      <c r="E1788" t="s">
        <v>26</v>
      </c>
      <c r="F1788" t="s">
        <v>13</v>
      </c>
      <c r="G1788">
        <v>3</v>
      </c>
      <c r="H1788">
        <v>3.5</v>
      </c>
      <c r="I1788" t="s">
        <v>21</v>
      </c>
      <c r="J1788" t="s">
        <v>1228</v>
      </c>
      <c r="K1788" s="12">
        <f>Store_Record[[#This Row],[Qty]]*Store_Record[[#This Row],[UnitPriceGBP]]</f>
        <v>10.5</v>
      </c>
      <c r="L1788" s="5" t="str">
        <f>TEXT(Store_Record[[#This Row],[Date]],"dddd")</f>
        <v>Tuesday</v>
      </c>
      <c r="M1788" s="5" t="str">
        <f>TEXT(Store_Record[[#This Row],[Date]],"mmmm")</f>
        <v>May</v>
      </c>
      <c r="N1788" s="5">
        <f>YEAR(Store_Record[[#This Row],[Date]])</f>
        <v>2025</v>
      </c>
      <c r="O1788"/>
    </row>
    <row r="1789" spans="1:15" x14ac:dyDescent="0.35">
      <c r="A1789" t="s">
        <v>2628</v>
      </c>
      <c r="B1789" s="2">
        <v>45783</v>
      </c>
      <c r="C1789" t="s">
        <v>24</v>
      </c>
      <c r="D1789" t="s">
        <v>11</v>
      </c>
      <c r="E1789" t="s">
        <v>34</v>
      </c>
      <c r="F1789" t="s">
        <v>31</v>
      </c>
      <c r="G1789">
        <v>4</v>
      </c>
      <c r="H1789">
        <v>2.2000000000000002</v>
      </c>
      <c r="I1789" t="s">
        <v>21</v>
      </c>
      <c r="J1789" t="s">
        <v>938</v>
      </c>
      <c r="K1789" s="12">
        <f>Store_Record[[#This Row],[Qty]]*Store_Record[[#This Row],[UnitPriceGBP]]</f>
        <v>8.8000000000000007</v>
      </c>
      <c r="L1789" s="5" t="str">
        <f>TEXT(Store_Record[[#This Row],[Date]],"dddd")</f>
        <v>Tuesday</v>
      </c>
      <c r="M1789" s="5" t="str">
        <f>TEXT(Store_Record[[#This Row],[Date]],"mmmm")</f>
        <v>May</v>
      </c>
      <c r="N1789" s="5">
        <f>YEAR(Store_Record[[#This Row],[Date]])</f>
        <v>2025</v>
      </c>
      <c r="O1789"/>
    </row>
    <row r="1790" spans="1:15" x14ac:dyDescent="0.35">
      <c r="A1790" t="s">
        <v>2631</v>
      </c>
      <c r="B1790" s="2">
        <v>45783</v>
      </c>
      <c r="C1790" t="s">
        <v>24</v>
      </c>
      <c r="D1790" t="s">
        <v>29</v>
      </c>
      <c r="E1790" t="s">
        <v>34</v>
      </c>
      <c r="F1790" t="s">
        <v>31</v>
      </c>
      <c r="G1790">
        <v>3</v>
      </c>
      <c r="H1790">
        <v>2.2000000000000002</v>
      </c>
      <c r="I1790" t="s">
        <v>39</v>
      </c>
      <c r="J1790" t="s">
        <v>541</v>
      </c>
      <c r="K1790" s="12">
        <f>Store_Record[[#This Row],[Qty]]*Store_Record[[#This Row],[UnitPriceGBP]]</f>
        <v>6.6000000000000005</v>
      </c>
      <c r="L1790" s="5" t="str">
        <f>TEXT(Store_Record[[#This Row],[Date]],"dddd")</f>
        <v>Tuesday</v>
      </c>
      <c r="M1790" s="5" t="str">
        <f>TEXT(Store_Record[[#This Row],[Date]],"mmmm")</f>
        <v>May</v>
      </c>
      <c r="N1790" s="5">
        <f>YEAR(Store_Record[[#This Row],[Date]])</f>
        <v>2025</v>
      </c>
      <c r="O1790"/>
    </row>
    <row r="1791" spans="1:15" x14ac:dyDescent="0.35">
      <c r="A1791" t="s">
        <v>2630</v>
      </c>
      <c r="B1791" s="2">
        <v>45783</v>
      </c>
      <c r="C1791" t="s">
        <v>36</v>
      </c>
      <c r="D1791" t="s">
        <v>11</v>
      </c>
      <c r="E1791" t="s">
        <v>42</v>
      </c>
      <c r="F1791" t="s">
        <v>13</v>
      </c>
      <c r="G1791">
        <v>1</v>
      </c>
      <c r="H1791">
        <v>3.8</v>
      </c>
      <c r="I1791" t="s">
        <v>21</v>
      </c>
      <c r="J1791" t="s">
        <v>394</v>
      </c>
      <c r="K1791" s="12">
        <f>Store_Record[[#This Row],[Qty]]*Store_Record[[#This Row],[UnitPriceGBP]]</f>
        <v>3.8</v>
      </c>
      <c r="L1791" s="5" t="str">
        <f>TEXT(Store_Record[[#This Row],[Date]],"dddd")</f>
        <v>Tuesday</v>
      </c>
      <c r="M1791" s="5" t="str">
        <f>TEXT(Store_Record[[#This Row],[Date]],"mmmm")</f>
        <v>May</v>
      </c>
      <c r="N1791" s="5">
        <f>YEAR(Store_Record[[#This Row],[Date]])</f>
        <v>2025</v>
      </c>
      <c r="O1791"/>
    </row>
    <row r="1792" spans="1:15" x14ac:dyDescent="0.35">
      <c r="A1792" t="s">
        <v>2639</v>
      </c>
      <c r="B1792" s="2">
        <v>45784</v>
      </c>
      <c r="C1792" t="s">
        <v>24</v>
      </c>
      <c r="D1792" t="s">
        <v>11</v>
      </c>
      <c r="E1792" t="s">
        <v>42</v>
      </c>
      <c r="F1792" t="s">
        <v>13</v>
      </c>
      <c r="G1792">
        <v>4</v>
      </c>
      <c r="H1792">
        <v>3.8</v>
      </c>
      <c r="I1792" t="s">
        <v>21</v>
      </c>
      <c r="J1792" t="s">
        <v>2640</v>
      </c>
      <c r="K1792" s="12">
        <f>Store_Record[[#This Row],[Qty]]*Store_Record[[#This Row],[UnitPriceGBP]]</f>
        <v>15.2</v>
      </c>
      <c r="L1792" s="5" t="str">
        <f>TEXT(Store_Record[[#This Row],[Date]],"dddd")</f>
        <v>Wednesday</v>
      </c>
      <c r="M1792" s="5" t="str">
        <f>TEXT(Store_Record[[#This Row],[Date]],"mmmm")</f>
        <v>May</v>
      </c>
      <c r="N1792" s="5">
        <f>YEAR(Store_Record[[#This Row],[Date]])</f>
        <v>2025</v>
      </c>
      <c r="O1792"/>
    </row>
    <row r="1793" spans="1:15" x14ac:dyDescent="0.35">
      <c r="A1793" t="s">
        <v>2652</v>
      </c>
      <c r="B1793" s="2">
        <v>45784</v>
      </c>
      <c r="C1793" t="s">
        <v>20</v>
      </c>
      <c r="D1793" t="s">
        <v>25</v>
      </c>
      <c r="E1793" t="s">
        <v>42</v>
      </c>
      <c r="F1793" t="s">
        <v>13</v>
      </c>
      <c r="G1793">
        <v>4</v>
      </c>
      <c r="H1793">
        <v>3.8</v>
      </c>
      <c r="I1793" t="s">
        <v>39</v>
      </c>
      <c r="J1793" t="s">
        <v>61</v>
      </c>
      <c r="K1793" s="12">
        <f>Store_Record[[#This Row],[Qty]]*Store_Record[[#This Row],[UnitPriceGBP]]</f>
        <v>15.2</v>
      </c>
      <c r="L1793" s="5" t="str">
        <f>TEXT(Store_Record[[#This Row],[Date]],"dddd")</f>
        <v>Wednesday</v>
      </c>
      <c r="M1793" s="5" t="str">
        <f>TEXT(Store_Record[[#This Row],[Date]],"mmmm")</f>
        <v>May</v>
      </c>
      <c r="N1793" s="5">
        <f>YEAR(Store_Record[[#This Row],[Date]])</f>
        <v>2025</v>
      </c>
      <c r="O1793"/>
    </row>
    <row r="1794" spans="1:15" x14ac:dyDescent="0.35">
      <c r="A1794" t="s">
        <v>2633</v>
      </c>
      <c r="B1794" s="2">
        <v>45784</v>
      </c>
      <c r="C1794" t="s">
        <v>20</v>
      </c>
      <c r="D1794" t="s">
        <v>47</v>
      </c>
      <c r="E1794" t="s">
        <v>26</v>
      </c>
      <c r="F1794" t="s">
        <v>13</v>
      </c>
      <c r="G1794">
        <v>4</v>
      </c>
      <c r="H1794">
        <v>3.5</v>
      </c>
      <c r="I1794" t="s">
        <v>21</v>
      </c>
      <c r="J1794" t="s">
        <v>2634</v>
      </c>
      <c r="K1794" s="12">
        <f>Store_Record[[#This Row],[Qty]]*Store_Record[[#This Row],[UnitPriceGBP]]</f>
        <v>14</v>
      </c>
      <c r="L1794" s="5" t="str">
        <f>TEXT(Store_Record[[#This Row],[Date]],"dddd")</f>
        <v>Wednesday</v>
      </c>
      <c r="M1794" s="5" t="str">
        <f>TEXT(Store_Record[[#This Row],[Date]],"mmmm")</f>
        <v>May</v>
      </c>
      <c r="N1794" s="5">
        <f>YEAR(Store_Record[[#This Row],[Date]])</f>
        <v>2025</v>
      </c>
      <c r="O1794"/>
    </row>
    <row r="1795" spans="1:15" x14ac:dyDescent="0.35">
      <c r="A1795" t="s">
        <v>2645</v>
      </c>
      <c r="B1795" s="2">
        <v>45784</v>
      </c>
      <c r="C1795" t="s">
        <v>36</v>
      </c>
      <c r="D1795" t="s">
        <v>47</v>
      </c>
      <c r="E1795" t="s">
        <v>30</v>
      </c>
      <c r="F1795" t="s">
        <v>31</v>
      </c>
      <c r="G1795">
        <v>5</v>
      </c>
      <c r="H1795">
        <v>2.8</v>
      </c>
      <c r="I1795" t="s">
        <v>21</v>
      </c>
      <c r="J1795" t="s">
        <v>462</v>
      </c>
      <c r="K1795" s="12">
        <f>Store_Record[[#This Row],[Qty]]*Store_Record[[#This Row],[UnitPriceGBP]]</f>
        <v>14</v>
      </c>
      <c r="L1795" s="5" t="str">
        <f>TEXT(Store_Record[[#This Row],[Date]],"dddd")</f>
        <v>Wednesday</v>
      </c>
      <c r="M1795" s="5" t="str">
        <f>TEXT(Store_Record[[#This Row],[Date]],"mmmm")</f>
        <v>May</v>
      </c>
      <c r="N1795" s="5">
        <f>YEAR(Store_Record[[#This Row],[Date]])</f>
        <v>2025</v>
      </c>
      <c r="O1795"/>
    </row>
    <row r="1796" spans="1:15" x14ac:dyDescent="0.35">
      <c r="A1796" t="s">
        <v>2648</v>
      </c>
      <c r="B1796" s="2">
        <v>45784</v>
      </c>
      <c r="C1796" t="s">
        <v>36</v>
      </c>
      <c r="D1796" t="s">
        <v>38</v>
      </c>
      <c r="E1796" t="s">
        <v>26</v>
      </c>
      <c r="F1796" t="s">
        <v>13</v>
      </c>
      <c r="G1796">
        <v>4</v>
      </c>
      <c r="H1796">
        <v>3.5</v>
      </c>
      <c r="I1796" t="s">
        <v>14</v>
      </c>
      <c r="J1796" t="s">
        <v>2649</v>
      </c>
      <c r="K1796" s="12">
        <f>Store_Record[[#This Row],[Qty]]*Store_Record[[#This Row],[UnitPriceGBP]]</f>
        <v>14</v>
      </c>
      <c r="L1796" s="5" t="str">
        <f>TEXT(Store_Record[[#This Row],[Date]],"dddd")</f>
        <v>Wednesday</v>
      </c>
      <c r="M1796" s="5" t="str">
        <f>TEXT(Store_Record[[#This Row],[Date]],"mmmm")</f>
        <v>May</v>
      </c>
      <c r="N1796" s="5">
        <f>YEAR(Store_Record[[#This Row],[Date]])</f>
        <v>2025</v>
      </c>
      <c r="O1796"/>
    </row>
    <row r="1797" spans="1:15" x14ac:dyDescent="0.35">
      <c r="A1797" t="s">
        <v>2650</v>
      </c>
      <c r="B1797" s="2">
        <v>45784</v>
      </c>
      <c r="C1797" t="s">
        <v>36</v>
      </c>
      <c r="D1797" t="s">
        <v>38</v>
      </c>
      <c r="E1797" t="s">
        <v>12</v>
      </c>
      <c r="F1797" t="s">
        <v>13</v>
      </c>
      <c r="G1797">
        <v>4</v>
      </c>
      <c r="H1797">
        <v>2.5</v>
      </c>
      <c r="I1797" t="s">
        <v>21</v>
      </c>
      <c r="J1797" t="s">
        <v>2651</v>
      </c>
      <c r="K1797" s="12">
        <f>Store_Record[[#This Row],[Qty]]*Store_Record[[#This Row],[UnitPriceGBP]]</f>
        <v>10</v>
      </c>
      <c r="L1797" s="5" t="str">
        <f>TEXT(Store_Record[[#This Row],[Date]],"dddd")</f>
        <v>Wednesday</v>
      </c>
      <c r="M1797" s="5" t="str">
        <f>TEXT(Store_Record[[#This Row],[Date]],"mmmm")</f>
        <v>May</v>
      </c>
      <c r="N1797" s="5">
        <f>YEAR(Store_Record[[#This Row],[Date]])</f>
        <v>2025</v>
      </c>
      <c r="O1797"/>
    </row>
    <row r="1798" spans="1:15" x14ac:dyDescent="0.35">
      <c r="A1798" t="s">
        <v>2636</v>
      </c>
      <c r="B1798" s="2">
        <v>45784</v>
      </c>
      <c r="C1798" t="s">
        <v>36</v>
      </c>
      <c r="D1798" t="s">
        <v>47</v>
      </c>
      <c r="E1798" t="s">
        <v>34</v>
      </c>
      <c r="F1798" t="s">
        <v>31</v>
      </c>
      <c r="G1798">
        <v>4</v>
      </c>
      <c r="H1798">
        <v>2.2000000000000002</v>
      </c>
      <c r="I1798" t="s">
        <v>21</v>
      </c>
      <c r="J1798" t="s">
        <v>2637</v>
      </c>
      <c r="K1798" s="12">
        <f>Store_Record[[#This Row],[Qty]]*Store_Record[[#This Row],[UnitPriceGBP]]</f>
        <v>8.8000000000000007</v>
      </c>
      <c r="L1798" s="5" t="str">
        <f>TEXT(Store_Record[[#This Row],[Date]],"dddd")</f>
        <v>Wednesday</v>
      </c>
      <c r="M1798" s="5" t="str">
        <f>TEXT(Store_Record[[#This Row],[Date]],"mmmm")</f>
        <v>May</v>
      </c>
      <c r="N1798" s="5">
        <f>YEAR(Store_Record[[#This Row],[Date]])</f>
        <v>2025</v>
      </c>
      <c r="O1798"/>
    </row>
    <row r="1799" spans="1:15" x14ac:dyDescent="0.35">
      <c r="A1799" t="s">
        <v>2632</v>
      </c>
      <c r="B1799" s="2">
        <v>45784</v>
      </c>
      <c r="C1799" t="s">
        <v>24</v>
      </c>
      <c r="D1799" t="s">
        <v>47</v>
      </c>
      <c r="E1799" t="s">
        <v>30</v>
      </c>
      <c r="F1799" t="s">
        <v>31</v>
      </c>
      <c r="G1799">
        <v>3</v>
      </c>
      <c r="H1799">
        <v>2.8</v>
      </c>
      <c r="I1799" t="s">
        <v>39</v>
      </c>
      <c r="J1799" t="s">
        <v>245</v>
      </c>
      <c r="K1799" s="12">
        <f>Store_Record[[#This Row],[Qty]]*Store_Record[[#This Row],[UnitPriceGBP]]</f>
        <v>8.3999999999999986</v>
      </c>
      <c r="L1799" s="5" t="str">
        <f>TEXT(Store_Record[[#This Row],[Date]],"dddd")</f>
        <v>Wednesday</v>
      </c>
      <c r="M1799" s="5" t="str">
        <f>TEXT(Store_Record[[#This Row],[Date]],"mmmm")</f>
        <v>May</v>
      </c>
      <c r="N1799" s="5">
        <f>YEAR(Store_Record[[#This Row],[Date]])</f>
        <v>2025</v>
      </c>
      <c r="O1799"/>
    </row>
    <row r="1800" spans="1:15" x14ac:dyDescent="0.35">
      <c r="A1800" t="s">
        <v>2654</v>
      </c>
      <c r="B1800" s="2">
        <v>45784</v>
      </c>
      <c r="C1800" t="s">
        <v>24</v>
      </c>
      <c r="D1800" t="s">
        <v>25</v>
      </c>
      <c r="E1800" t="s">
        <v>30</v>
      </c>
      <c r="F1800" t="s">
        <v>31</v>
      </c>
      <c r="G1800">
        <v>3</v>
      </c>
      <c r="H1800">
        <v>2.8</v>
      </c>
      <c r="I1800" t="s">
        <v>39</v>
      </c>
      <c r="J1800" t="s">
        <v>369</v>
      </c>
      <c r="K1800" s="12">
        <f>Store_Record[[#This Row],[Qty]]*Store_Record[[#This Row],[UnitPriceGBP]]</f>
        <v>8.3999999999999986</v>
      </c>
      <c r="L1800" s="5" t="str">
        <f>TEXT(Store_Record[[#This Row],[Date]],"dddd")</f>
        <v>Wednesday</v>
      </c>
      <c r="M1800" s="5" t="str">
        <f>TEXT(Store_Record[[#This Row],[Date]],"mmmm")</f>
        <v>May</v>
      </c>
      <c r="N1800" s="5">
        <f>YEAR(Store_Record[[#This Row],[Date]])</f>
        <v>2025</v>
      </c>
      <c r="O1800"/>
    </row>
    <row r="1801" spans="1:15" x14ac:dyDescent="0.35">
      <c r="A1801" t="s">
        <v>2635</v>
      </c>
      <c r="B1801" s="2">
        <v>45784</v>
      </c>
      <c r="C1801" t="s">
        <v>36</v>
      </c>
      <c r="D1801" t="s">
        <v>38</v>
      </c>
      <c r="E1801" t="s">
        <v>26</v>
      </c>
      <c r="F1801" t="s">
        <v>13</v>
      </c>
      <c r="G1801">
        <v>2</v>
      </c>
      <c r="H1801">
        <v>3.5</v>
      </c>
      <c r="I1801" t="s">
        <v>39</v>
      </c>
      <c r="J1801" t="s">
        <v>575</v>
      </c>
      <c r="K1801" s="12">
        <f>Store_Record[[#This Row],[Qty]]*Store_Record[[#This Row],[UnitPriceGBP]]</f>
        <v>7</v>
      </c>
      <c r="L1801" s="5" t="str">
        <f>TEXT(Store_Record[[#This Row],[Date]],"dddd")</f>
        <v>Wednesday</v>
      </c>
      <c r="M1801" s="5" t="str">
        <f>TEXT(Store_Record[[#This Row],[Date]],"mmmm")</f>
        <v>May</v>
      </c>
      <c r="N1801" s="5">
        <f>YEAR(Store_Record[[#This Row],[Date]])</f>
        <v>2025</v>
      </c>
      <c r="O1801"/>
    </row>
    <row r="1802" spans="1:15" x14ac:dyDescent="0.35">
      <c r="A1802" t="s">
        <v>2644</v>
      </c>
      <c r="B1802" s="2">
        <v>45784</v>
      </c>
      <c r="C1802" t="s">
        <v>20</v>
      </c>
      <c r="D1802" t="s">
        <v>38</v>
      </c>
      <c r="E1802" t="s">
        <v>26</v>
      </c>
      <c r="F1802" t="s">
        <v>13</v>
      </c>
      <c r="G1802">
        <v>2</v>
      </c>
      <c r="H1802">
        <v>3.5</v>
      </c>
      <c r="I1802" t="s">
        <v>14</v>
      </c>
      <c r="J1802" t="s">
        <v>243</v>
      </c>
      <c r="K1802" s="12">
        <f>Store_Record[[#This Row],[Qty]]*Store_Record[[#This Row],[UnitPriceGBP]]</f>
        <v>7</v>
      </c>
      <c r="L1802" s="5" t="str">
        <f>TEXT(Store_Record[[#This Row],[Date]],"dddd")</f>
        <v>Wednesday</v>
      </c>
      <c r="M1802" s="5" t="str">
        <f>TEXT(Store_Record[[#This Row],[Date]],"mmmm")</f>
        <v>May</v>
      </c>
      <c r="N1802" s="5">
        <f>YEAR(Store_Record[[#This Row],[Date]])</f>
        <v>2025</v>
      </c>
      <c r="O1802"/>
    </row>
    <row r="1803" spans="1:15" x14ac:dyDescent="0.35">
      <c r="A1803" t="s">
        <v>2638</v>
      </c>
      <c r="B1803" s="2">
        <v>45784</v>
      </c>
      <c r="C1803" t="s">
        <v>24</v>
      </c>
      <c r="D1803" t="s">
        <v>47</v>
      </c>
      <c r="E1803" t="s">
        <v>34</v>
      </c>
      <c r="F1803" t="s">
        <v>31</v>
      </c>
      <c r="G1803">
        <v>2</v>
      </c>
      <c r="H1803">
        <v>2.2000000000000002</v>
      </c>
      <c r="I1803" t="s">
        <v>39</v>
      </c>
      <c r="J1803" t="s">
        <v>52</v>
      </c>
      <c r="K1803" s="12">
        <f>Store_Record[[#This Row],[Qty]]*Store_Record[[#This Row],[UnitPriceGBP]]</f>
        <v>4.4000000000000004</v>
      </c>
      <c r="L1803" s="5" t="str">
        <f>TEXT(Store_Record[[#This Row],[Date]],"dddd")</f>
        <v>Wednesday</v>
      </c>
      <c r="M1803" s="5" t="str">
        <f>TEXT(Store_Record[[#This Row],[Date]],"mmmm")</f>
        <v>May</v>
      </c>
      <c r="N1803" s="5">
        <f>YEAR(Store_Record[[#This Row],[Date]])</f>
        <v>2025</v>
      </c>
      <c r="O1803"/>
    </row>
    <row r="1804" spans="1:15" x14ac:dyDescent="0.35">
      <c r="A1804" t="s">
        <v>2641</v>
      </c>
      <c r="B1804" s="2">
        <v>45784</v>
      </c>
      <c r="C1804" t="s">
        <v>36</v>
      </c>
      <c r="D1804" t="s">
        <v>47</v>
      </c>
      <c r="E1804" t="s">
        <v>42</v>
      </c>
      <c r="F1804" t="s">
        <v>13</v>
      </c>
      <c r="G1804">
        <v>1</v>
      </c>
      <c r="H1804">
        <v>3.8</v>
      </c>
      <c r="I1804" t="s">
        <v>39</v>
      </c>
      <c r="J1804" t="s">
        <v>2642</v>
      </c>
      <c r="K1804" s="12">
        <f>Store_Record[[#This Row],[Qty]]*Store_Record[[#This Row],[UnitPriceGBP]]</f>
        <v>3.8</v>
      </c>
      <c r="L1804" s="5" t="str">
        <f>TEXT(Store_Record[[#This Row],[Date]],"dddd")</f>
        <v>Wednesday</v>
      </c>
      <c r="M1804" s="5" t="str">
        <f>TEXT(Store_Record[[#This Row],[Date]],"mmmm")</f>
        <v>May</v>
      </c>
      <c r="N1804" s="5">
        <f>YEAR(Store_Record[[#This Row],[Date]])</f>
        <v>2025</v>
      </c>
      <c r="O1804"/>
    </row>
    <row r="1805" spans="1:15" x14ac:dyDescent="0.35">
      <c r="A1805" t="s">
        <v>2653</v>
      </c>
      <c r="B1805" s="2">
        <v>45784</v>
      </c>
      <c r="C1805" t="s">
        <v>10</v>
      </c>
      <c r="D1805" t="s">
        <v>11</v>
      </c>
      <c r="E1805" t="s">
        <v>42</v>
      </c>
      <c r="F1805" t="s">
        <v>13</v>
      </c>
      <c r="G1805">
        <v>1</v>
      </c>
      <c r="H1805">
        <v>3.8</v>
      </c>
      <c r="I1805" t="s">
        <v>21</v>
      </c>
      <c r="J1805" t="s">
        <v>1928</v>
      </c>
      <c r="K1805" s="12">
        <f>Store_Record[[#This Row],[Qty]]*Store_Record[[#This Row],[UnitPriceGBP]]</f>
        <v>3.8</v>
      </c>
      <c r="L1805" s="5" t="str">
        <f>TEXT(Store_Record[[#This Row],[Date]],"dddd")</f>
        <v>Wednesday</v>
      </c>
      <c r="M1805" s="5" t="str">
        <f>TEXT(Store_Record[[#This Row],[Date]],"mmmm")</f>
        <v>May</v>
      </c>
      <c r="N1805" s="5">
        <f>YEAR(Store_Record[[#This Row],[Date]])</f>
        <v>2025</v>
      </c>
      <c r="O1805"/>
    </row>
    <row r="1806" spans="1:15" x14ac:dyDescent="0.35">
      <c r="A1806" t="s">
        <v>2643</v>
      </c>
      <c r="B1806" s="2">
        <v>45784</v>
      </c>
      <c r="C1806" t="s">
        <v>10</v>
      </c>
      <c r="D1806" t="s">
        <v>25</v>
      </c>
      <c r="E1806" t="s">
        <v>26</v>
      </c>
      <c r="F1806" t="s">
        <v>13</v>
      </c>
      <c r="G1806">
        <v>1</v>
      </c>
      <c r="H1806">
        <v>3.5</v>
      </c>
      <c r="I1806" t="s">
        <v>14</v>
      </c>
      <c r="J1806" t="s">
        <v>1950</v>
      </c>
      <c r="K1806" s="12">
        <f>Store_Record[[#This Row],[Qty]]*Store_Record[[#This Row],[UnitPriceGBP]]</f>
        <v>3.5</v>
      </c>
      <c r="L1806" s="5" t="str">
        <f>TEXT(Store_Record[[#This Row],[Date]],"dddd")</f>
        <v>Wednesday</v>
      </c>
      <c r="M1806" s="5" t="str">
        <f>TEXT(Store_Record[[#This Row],[Date]],"mmmm")</f>
        <v>May</v>
      </c>
      <c r="N1806" s="5">
        <f>YEAR(Store_Record[[#This Row],[Date]])</f>
        <v>2025</v>
      </c>
      <c r="O1806"/>
    </row>
    <row r="1807" spans="1:15" x14ac:dyDescent="0.35">
      <c r="A1807" t="s">
        <v>2646</v>
      </c>
      <c r="B1807" s="2">
        <v>45784</v>
      </c>
      <c r="C1807" t="s">
        <v>20</v>
      </c>
      <c r="D1807" t="s">
        <v>11</v>
      </c>
      <c r="E1807" t="s">
        <v>26</v>
      </c>
      <c r="F1807" t="s">
        <v>13</v>
      </c>
      <c r="G1807">
        <v>1</v>
      </c>
      <c r="H1807">
        <v>3.5</v>
      </c>
      <c r="I1807" t="s">
        <v>21</v>
      </c>
      <c r="J1807" t="s">
        <v>1753</v>
      </c>
      <c r="K1807" s="12">
        <f>Store_Record[[#This Row],[Qty]]*Store_Record[[#This Row],[UnitPriceGBP]]</f>
        <v>3.5</v>
      </c>
      <c r="L1807" s="5" t="str">
        <f>TEXT(Store_Record[[#This Row],[Date]],"dddd")</f>
        <v>Wednesday</v>
      </c>
      <c r="M1807" s="5" t="str">
        <f>TEXT(Store_Record[[#This Row],[Date]],"mmmm")</f>
        <v>May</v>
      </c>
      <c r="N1807" s="5">
        <f>YEAR(Store_Record[[#This Row],[Date]])</f>
        <v>2025</v>
      </c>
      <c r="O1807"/>
    </row>
    <row r="1808" spans="1:15" x14ac:dyDescent="0.35">
      <c r="A1808" t="s">
        <v>2647</v>
      </c>
      <c r="B1808" s="2">
        <v>45784</v>
      </c>
      <c r="C1808" t="s">
        <v>36</v>
      </c>
      <c r="D1808" t="s">
        <v>38</v>
      </c>
      <c r="E1808" t="s">
        <v>26</v>
      </c>
      <c r="F1808" t="s">
        <v>13</v>
      </c>
      <c r="G1808">
        <v>1</v>
      </c>
      <c r="H1808">
        <v>3.5</v>
      </c>
      <c r="I1808" t="s">
        <v>14</v>
      </c>
      <c r="J1808" t="s">
        <v>1242</v>
      </c>
      <c r="K1808" s="12">
        <f>Store_Record[[#This Row],[Qty]]*Store_Record[[#This Row],[UnitPriceGBP]]</f>
        <v>3.5</v>
      </c>
      <c r="L1808" s="5" t="str">
        <f>TEXT(Store_Record[[#This Row],[Date]],"dddd")</f>
        <v>Wednesday</v>
      </c>
      <c r="M1808" s="5" t="str">
        <f>TEXT(Store_Record[[#This Row],[Date]],"mmmm")</f>
        <v>May</v>
      </c>
      <c r="N1808" s="5">
        <f>YEAR(Store_Record[[#This Row],[Date]])</f>
        <v>2025</v>
      </c>
      <c r="O1808"/>
    </row>
    <row r="1809" spans="1:15" x14ac:dyDescent="0.35">
      <c r="A1809" t="s">
        <v>2659</v>
      </c>
      <c r="B1809" s="2">
        <v>45785</v>
      </c>
      <c r="C1809" t="s">
        <v>20</v>
      </c>
      <c r="D1809" t="s">
        <v>47</v>
      </c>
      <c r="E1809" t="s">
        <v>42</v>
      </c>
      <c r="F1809" t="s">
        <v>13</v>
      </c>
      <c r="G1809">
        <v>4</v>
      </c>
      <c r="H1809">
        <v>3.8</v>
      </c>
      <c r="I1809" t="s">
        <v>21</v>
      </c>
      <c r="J1809" t="s">
        <v>862</v>
      </c>
      <c r="K1809" s="12">
        <f>Store_Record[[#This Row],[Qty]]*Store_Record[[#This Row],[UnitPriceGBP]]</f>
        <v>15.2</v>
      </c>
      <c r="L1809" s="5" t="str">
        <f>TEXT(Store_Record[[#This Row],[Date]],"dddd")</f>
        <v>Thursday</v>
      </c>
      <c r="M1809" s="5" t="str">
        <f>TEXT(Store_Record[[#This Row],[Date]],"mmmm")</f>
        <v>May</v>
      </c>
      <c r="N1809" s="5">
        <f>YEAR(Store_Record[[#This Row],[Date]])</f>
        <v>2025</v>
      </c>
      <c r="O1809"/>
    </row>
    <row r="1810" spans="1:15" x14ac:dyDescent="0.35">
      <c r="A1810" t="s">
        <v>2662</v>
      </c>
      <c r="B1810" s="2">
        <v>45785</v>
      </c>
      <c r="C1810" t="s">
        <v>36</v>
      </c>
      <c r="D1810" t="s">
        <v>38</v>
      </c>
      <c r="E1810" t="s">
        <v>34</v>
      </c>
      <c r="F1810" t="s">
        <v>31</v>
      </c>
      <c r="G1810">
        <v>5</v>
      </c>
      <c r="H1810">
        <v>2.2000000000000002</v>
      </c>
      <c r="I1810" t="s">
        <v>39</v>
      </c>
      <c r="J1810" t="s">
        <v>1191</v>
      </c>
      <c r="K1810" s="12">
        <f>Store_Record[[#This Row],[Qty]]*Store_Record[[#This Row],[UnitPriceGBP]]</f>
        <v>11</v>
      </c>
      <c r="L1810" s="5" t="str">
        <f>TEXT(Store_Record[[#This Row],[Date]],"dddd")</f>
        <v>Thursday</v>
      </c>
      <c r="M1810" s="5" t="str">
        <f>TEXT(Store_Record[[#This Row],[Date]],"mmmm")</f>
        <v>May</v>
      </c>
      <c r="N1810" s="5">
        <f>YEAR(Store_Record[[#This Row],[Date]])</f>
        <v>2025</v>
      </c>
      <c r="O1810"/>
    </row>
    <row r="1811" spans="1:15" x14ac:dyDescent="0.35">
      <c r="A1811" t="s">
        <v>2657</v>
      </c>
      <c r="B1811" s="2">
        <v>45785</v>
      </c>
      <c r="C1811" t="s">
        <v>20</v>
      </c>
      <c r="D1811" t="s">
        <v>25</v>
      </c>
      <c r="E1811" t="s">
        <v>26</v>
      </c>
      <c r="F1811" t="s">
        <v>13</v>
      </c>
      <c r="G1811">
        <v>3</v>
      </c>
      <c r="H1811">
        <v>3.5</v>
      </c>
      <c r="I1811" t="s">
        <v>39</v>
      </c>
      <c r="J1811" t="s">
        <v>2658</v>
      </c>
      <c r="K1811" s="12">
        <f>Store_Record[[#This Row],[Qty]]*Store_Record[[#This Row],[UnitPriceGBP]]</f>
        <v>10.5</v>
      </c>
      <c r="L1811" s="5" t="str">
        <f>TEXT(Store_Record[[#This Row],[Date]],"dddd")</f>
        <v>Thursday</v>
      </c>
      <c r="M1811" s="5" t="str">
        <f>TEXT(Store_Record[[#This Row],[Date]],"mmmm")</f>
        <v>May</v>
      </c>
      <c r="N1811" s="5">
        <f>YEAR(Store_Record[[#This Row],[Date]])</f>
        <v>2025</v>
      </c>
      <c r="O1811"/>
    </row>
    <row r="1812" spans="1:15" x14ac:dyDescent="0.35">
      <c r="A1812" t="s">
        <v>2660</v>
      </c>
      <c r="B1812" s="2">
        <v>45785</v>
      </c>
      <c r="C1812" t="s">
        <v>24</v>
      </c>
      <c r="D1812" t="s">
        <v>11</v>
      </c>
      <c r="E1812" t="s">
        <v>26</v>
      </c>
      <c r="F1812" t="s">
        <v>13</v>
      </c>
      <c r="G1812">
        <v>1</v>
      </c>
      <c r="H1812">
        <v>3.5</v>
      </c>
      <c r="I1812" t="s">
        <v>21</v>
      </c>
      <c r="J1812" t="s">
        <v>2661</v>
      </c>
      <c r="K1812" s="12">
        <f>Store_Record[[#This Row],[Qty]]*Store_Record[[#This Row],[UnitPriceGBP]]</f>
        <v>3.5</v>
      </c>
      <c r="L1812" s="5" t="str">
        <f>TEXT(Store_Record[[#This Row],[Date]],"dddd")</f>
        <v>Thursday</v>
      </c>
      <c r="M1812" s="5" t="str">
        <f>TEXT(Store_Record[[#This Row],[Date]],"mmmm")</f>
        <v>May</v>
      </c>
      <c r="N1812" s="5">
        <f>YEAR(Store_Record[[#This Row],[Date]])</f>
        <v>2025</v>
      </c>
      <c r="O1812"/>
    </row>
    <row r="1813" spans="1:15" x14ac:dyDescent="0.35">
      <c r="A1813" t="s">
        <v>2655</v>
      </c>
      <c r="B1813" s="2">
        <v>45785</v>
      </c>
      <c r="C1813" t="s">
        <v>24</v>
      </c>
      <c r="D1813" t="s">
        <v>47</v>
      </c>
      <c r="E1813" t="s">
        <v>34</v>
      </c>
      <c r="F1813" t="s">
        <v>31</v>
      </c>
      <c r="G1813">
        <v>1</v>
      </c>
      <c r="H1813">
        <v>2.2000000000000002</v>
      </c>
      <c r="I1813" t="s">
        <v>39</v>
      </c>
      <c r="J1813" t="s">
        <v>1205</v>
      </c>
      <c r="K1813" s="12">
        <f>Store_Record[[#This Row],[Qty]]*Store_Record[[#This Row],[UnitPriceGBP]]</f>
        <v>2.2000000000000002</v>
      </c>
      <c r="L1813" s="5" t="str">
        <f>TEXT(Store_Record[[#This Row],[Date]],"dddd")</f>
        <v>Thursday</v>
      </c>
      <c r="M1813" s="5" t="str">
        <f>TEXT(Store_Record[[#This Row],[Date]],"mmmm")</f>
        <v>May</v>
      </c>
      <c r="N1813" s="5">
        <f>YEAR(Store_Record[[#This Row],[Date]])</f>
        <v>2025</v>
      </c>
      <c r="O1813"/>
    </row>
    <row r="1814" spans="1:15" x14ac:dyDescent="0.35">
      <c r="A1814" t="s">
        <v>2656</v>
      </c>
      <c r="B1814" s="2">
        <v>45785</v>
      </c>
      <c r="C1814" t="s">
        <v>36</v>
      </c>
      <c r="D1814" t="s">
        <v>25</v>
      </c>
      <c r="E1814" t="s">
        <v>34</v>
      </c>
      <c r="F1814" t="s">
        <v>31</v>
      </c>
      <c r="G1814">
        <v>1</v>
      </c>
      <c r="H1814">
        <v>2.2000000000000002</v>
      </c>
      <c r="I1814" t="s">
        <v>39</v>
      </c>
      <c r="J1814" t="s">
        <v>101</v>
      </c>
      <c r="K1814" s="12">
        <f>Store_Record[[#This Row],[Qty]]*Store_Record[[#This Row],[UnitPriceGBP]]</f>
        <v>2.2000000000000002</v>
      </c>
      <c r="L1814" s="5" t="str">
        <f>TEXT(Store_Record[[#This Row],[Date]],"dddd")</f>
        <v>Thursday</v>
      </c>
      <c r="M1814" s="5" t="str">
        <f>TEXT(Store_Record[[#This Row],[Date]],"mmmm")</f>
        <v>May</v>
      </c>
      <c r="N1814" s="5">
        <f>YEAR(Store_Record[[#This Row],[Date]])</f>
        <v>2025</v>
      </c>
      <c r="O1814"/>
    </row>
    <row r="1815" spans="1:15" x14ac:dyDescent="0.35">
      <c r="A1815" t="s">
        <v>2668</v>
      </c>
      <c r="B1815" s="2">
        <v>45786</v>
      </c>
      <c r="C1815" t="s">
        <v>24</v>
      </c>
      <c r="D1815" t="s">
        <v>47</v>
      </c>
      <c r="E1815" t="s">
        <v>42</v>
      </c>
      <c r="F1815" t="s">
        <v>13</v>
      </c>
      <c r="G1815">
        <v>3</v>
      </c>
      <c r="H1815">
        <v>3.8</v>
      </c>
      <c r="I1815" t="s">
        <v>39</v>
      </c>
      <c r="J1815" t="s">
        <v>1099</v>
      </c>
      <c r="K1815" s="12">
        <f>Store_Record[[#This Row],[Qty]]*Store_Record[[#This Row],[UnitPriceGBP]]</f>
        <v>11.399999999999999</v>
      </c>
      <c r="L1815" s="5" t="str">
        <f>TEXT(Store_Record[[#This Row],[Date]],"dddd")</f>
        <v>Friday</v>
      </c>
      <c r="M1815" s="5" t="str">
        <f>TEXT(Store_Record[[#This Row],[Date]],"mmmm")</f>
        <v>May</v>
      </c>
      <c r="N1815" s="5">
        <f>YEAR(Store_Record[[#This Row],[Date]])</f>
        <v>2025</v>
      </c>
      <c r="O1815"/>
    </row>
    <row r="1816" spans="1:15" x14ac:dyDescent="0.35">
      <c r="A1816" t="s">
        <v>2663</v>
      </c>
      <c r="B1816" s="2">
        <v>45786</v>
      </c>
      <c r="C1816" t="s">
        <v>20</v>
      </c>
      <c r="D1816" t="s">
        <v>47</v>
      </c>
      <c r="E1816" t="s">
        <v>30</v>
      </c>
      <c r="F1816" t="s">
        <v>31</v>
      </c>
      <c r="G1816">
        <v>4</v>
      </c>
      <c r="H1816">
        <v>2.8</v>
      </c>
      <c r="I1816" t="s">
        <v>21</v>
      </c>
      <c r="J1816" t="s">
        <v>119</v>
      </c>
      <c r="K1816" s="12">
        <f>Store_Record[[#This Row],[Qty]]*Store_Record[[#This Row],[UnitPriceGBP]]</f>
        <v>11.2</v>
      </c>
      <c r="L1816" s="5" t="str">
        <f>TEXT(Store_Record[[#This Row],[Date]],"dddd")</f>
        <v>Friday</v>
      </c>
      <c r="M1816" s="5" t="str">
        <f>TEXT(Store_Record[[#This Row],[Date]],"mmmm")</f>
        <v>May</v>
      </c>
      <c r="N1816" s="5">
        <f>YEAR(Store_Record[[#This Row],[Date]])</f>
        <v>2025</v>
      </c>
      <c r="O1816"/>
    </row>
    <row r="1817" spans="1:15" x14ac:dyDescent="0.35">
      <c r="A1817" t="s">
        <v>2670</v>
      </c>
      <c r="B1817" s="2">
        <v>45786</v>
      </c>
      <c r="C1817" t="s">
        <v>24</v>
      </c>
      <c r="D1817" t="s">
        <v>29</v>
      </c>
      <c r="E1817" t="s">
        <v>12</v>
      </c>
      <c r="F1817" t="s">
        <v>13</v>
      </c>
      <c r="G1817">
        <v>4</v>
      </c>
      <c r="H1817">
        <v>2.5</v>
      </c>
      <c r="I1817" t="s">
        <v>14</v>
      </c>
      <c r="J1817" t="s">
        <v>369</v>
      </c>
      <c r="K1817" s="12">
        <f>Store_Record[[#This Row],[Qty]]*Store_Record[[#This Row],[UnitPriceGBP]]</f>
        <v>10</v>
      </c>
      <c r="L1817" s="5" t="str">
        <f>TEXT(Store_Record[[#This Row],[Date]],"dddd")</f>
        <v>Friday</v>
      </c>
      <c r="M1817" s="5" t="str">
        <f>TEXT(Store_Record[[#This Row],[Date]],"mmmm")</f>
        <v>May</v>
      </c>
      <c r="N1817" s="5">
        <f>YEAR(Store_Record[[#This Row],[Date]])</f>
        <v>2025</v>
      </c>
      <c r="O1817"/>
    </row>
    <row r="1818" spans="1:15" x14ac:dyDescent="0.35">
      <c r="A1818" t="s">
        <v>2664</v>
      </c>
      <c r="B1818" s="2">
        <v>45786</v>
      </c>
      <c r="C1818" t="s">
        <v>24</v>
      </c>
      <c r="D1818" t="s">
        <v>29</v>
      </c>
      <c r="E1818" t="s">
        <v>34</v>
      </c>
      <c r="F1818" t="s">
        <v>31</v>
      </c>
      <c r="G1818">
        <v>4</v>
      </c>
      <c r="H1818">
        <v>2.2000000000000002</v>
      </c>
      <c r="I1818" t="s">
        <v>21</v>
      </c>
      <c r="J1818" t="s">
        <v>421</v>
      </c>
      <c r="K1818" s="12">
        <f>Store_Record[[#This Row],[Qty]]*Store_Record[[#This Row],[UnitPriceGBP]]</f>
        <v>8.8000000000000007</v>
      </c>
      <c r="L1818" s="5" t="str">
        <f>TEXT(Store_Record[[#This Row],[Date]],"dddd")</f>
        <v>Friday</v>
      </c>
      <c r="M1818" s="5" t="str">
        <f>TEXT(Store_Record[[#This Row],[Date]],"mmmm")</f>
        <v>May</v>
      </c>
      <c r="N1818" s="5">
        <f>YEAR(Store_Record[[#This Row],[Date]])</f>
        <v>2025</v>
      </c>
      <c r="O1818"/>
    </row>
    <row r="1819" spans="1:15" x14ac:dyDescent="0.35">
      <c r="A1819" t="s">
        <v>2671</v>
      </c>
      <c r="B1819" s="2">
        <v>45786</v>
      </c>
      <c r="C1819" t="s">
        <v>10</v>
      </c>
      <c r="D1819" t="s">
        <v>29</v>
      </c>
      <c r="E1819" t="s">
        <v>34</v>
      </c>
      <c r="F1819" t="s">
        <v>31</v>
      </c>
      <c r="G1819">
        <v>4</v>
      </c>
      <c r="H1819">
        <v>2.2000000000000002</v>
      </c>
      <c r="I1819" t="s">
        <v>39</v>
      </c>
      <c r="J1819" t="s">
        <v>2672</v>
      </c>
      <c r="K1819" s="12">
        <f>Store_Record[[#This Row],[Qty]]*Store_Record[[#This Row],[UnitPriceGBP]]</f>
        <v>8.8000000000000007</v>
      </c>
      <c r="L1819" s="5" t="str">
        <f>TEXT(Store_Record[[#This Row],[Date]],"dddd")</f>
        <v>Friday</v>
      </c>
      <c r="M1819" s="5" t="str">
        <f>TEXT(Store_Record[[#This Row],[Date]],"mmmm")</f>
        <v>May</v>
      </c>
      <c r="N1819" s="5">
        <f>YEAR(Store_Record[[#This Row],[Date]])</f>
        <v>2025</v>
      </c>
      <c r="O1819"/>
    </row>
    <row r="1820" spans="1:15" x14ac:dyDescent="0.35">
      <c r="A1820" t="s">
        <v>2679</v>
      </c>
      <c r="B1820" s="2">
        <v>45786</v>
      </c>
      <c r="C1820" t="s">
        <v>20</v>
      </c>
      <c r="D1820" t="s">
        <v>47</v>
      </c>
      <c r="E1820" t="s">
        <v>30</v>
      </c>
      <c r="F1820" t="s">
        <v>31</v>
      </c>
      <c r="G1820">
        <v>3</v>
      </c>
      <c r="H1820">
        <v>2.8</v>
      </c>
      <c r="I1820" t="s">
        <v>39</v>
      </c>
      <c r="J1820" t="s">
        <v>2093</v>
      </c>
      <c r="K1820" s="12">
        <f>Store_Record[[#This Row],[Qty]]*Store_Record[[#This Row],[UnitPriceGBP]]</f>
        <v>8.3999999999999986</v>
      </c>
      <c r="L1820" s="5" t="str">
        <f>TEXT(Store_Record[[#This Row],[Date]],"dddd")</f>
        <v>Friday</v>
      </c>
      <c r="M1820" s="5" t="str">
        <f>TEXT(Store_Record[[#This Row],[Date]],"mmmm")</f>
        <v>May</v>
      </c>
      <c r="N1820" s="5">
        <f>YEAR(Store_Record[[#This Row],[Date]])</f>
        <v>2025</v>
      </c>
      <c r="O1820"/>
    </row>
    <row r="1821" spans="1:15" x14ac:dyDescent="0.35">
      <c r="A1821" t="s">
        <v>2677</v>
      </c>
      <c r="B1821" s="2">
        <v>45786</v>
      </c>
      <c r="C1821" t="s">
        <v>20</v>
      </c>
      <c r="D1821" t="s">
        <v>11</v>
      </c>
      <c r="E1821" t="s">
        <v>42</v>
      </c>
      <c r="F1821" t="s">
        <v>13</v>
      </c>
      <c r="G1821">
        <v>2</v>
      </c>
      <c r="H1821">
        <v>3.8</v>
      </c>
      <c r="I1821" t="s">
        <v>14</v>
      </c>
      <c r="J1821" t="s">
        <v>790</v>
      </c>
      <c r="K1821" s="12">
        <f>Store_Record[[#This Row],[Qty]]*Store_Record[[#This Row],[UnitPriceGBP]]</f>
        <v>7.6</v>
      </c>
      <c r="L1821" s="5" t="str">
        <f>TEXT(Store_Record[[#This Row],[Date]],"dddd")</f>
        <v>Friday</v>
      </c>
      <c r="M1821" s="5" t="str">
        <f>TEXT(Store_Record[[#This Row],[Date]],"mmmm")</f>
        <v>May</v>
      </c>
      <c r="N1821" s="5">
        <f>YEAR(Store_Record[[#This Row],[Date]])</f>
        <v>2025</v>
      </c>
      <c r="O1821"/>
    </row>
    <row r="1822" spans="1:15" x14ac:dyDescent="0.35">
      <c r="A1822" t="s">
        <v>2678</v>
      </c>
      <c r="B1822" s="2">
        <v>45786</v>
      </c>
      <c r="C1822" t="s">
        <v>20</v>
      </c>
      <c r="D1822" t="s">
        <v>29</v>
      </c>
      <c r="E1822" t="s">
        <v>42</v>
      </c>
      <c r="F1822" t="s">
        <v>13</v>
      </c>
      <c r="G1822">
        <v>2</v>
      </c>
      <c r="H1822">
        <v>3.8</v>
      </c>
      <c r="I1822" t="s">
        <v>14</v>
      </c>
      <c r="J1822" t="s">
        <v>524</v>
      </c>
      <c r="K1822" s="12">
        <f>Store_Record[[#This Row],[Qty]]*Store_Record[[#This Row],[UnitPriceGBP]]</f>
        <v>7.6</v>
      </c>
      <c r="L1822" s="5" t="str">
        <f>TEXT(Store_Record[[#This Row],[Date]],"dddd")</f>
        <v>Friday</v>
      </c>
      <c r="M1822" s="5" t="str">
        <f>TEXT(Store_Record[[#This Row],[Date]],"mmmm")</f>
        <v>May</v>
      </c>
      <c r="N1822" s="5">
        <f>YEAR(Store_Record[[#This Row],[Date]])</f>
        <v>2025</v>
      </c>
      <c r="O1822"/>
    </row>
    <row r="1823" spans="1:15" x14ac:dyDescent="0.35">
      <c r="A1823" t="s">
        <v>2669</v>
      </c>
      <c r="B1823" s="2">
        <v>45786</v>
      </c>
      <c r="C1823" t="s">
        <v>24</v>
      </c>
      <c r="D1823" t="s">
        <v>38</v>
      </c>
      <c r="E1823" t="s">
        <v>12</v>
      </c>
      <c r="F1823" t="s">
        <v>13</v>
      </c>
      <c r="G1823">
        <v>3</v>
      </c>
      <c r="H1823">
        <v>2.5</v>
      </c>
      <c r="I1823" t="s">
        <v>39</v>
      </c>
      <c r="J1823" t="s">
        <v>1141</v>
      </c>
      <c r="K1823" s="12">
        <f>Store_Record[[#This Row],[Qty]]*Store_Record[[#This Row],[UnitPriceGBP]]</f>
        <v>7.5</v>
      </c>
      <c r="L1823" s="5" t="str">
        <f>TEXT(Store_Record[[#This Row],[Date]],"dddd")</f>
        <v>Friday</v>
      </c>
      <c r="M1823" s="5" t="str">
        <f>TEXT(Store_Record[[#This Row],[Date]],"mmmm")</f>
        <v>May</v>
      </c>
      <c r="N1823" s="5">
        <f>YEAR(Store_Record[[#This Row],[Date]])</f>
        <v>2025</v>
      </c>
      <c r="O1823"/>
    </row>
    <row r="1824" spans="1:15" x14ac:dyDescent="0.35">
      <c r="A1824" t="s">
        <v>2675</v>
      </c>
      <c r="B1824" s="2">
        <v>45786</v>
      </c>
      <c r="C1824" t="s">
        <v>20</v>
      </c>
      <c r="D1824" t="s">
        <v>25</v>
      </c>
      <c r="E1824" t="s">
        <v>34</v>
      </c>
      <c r="F1824" t="s">
        <v>31</v>
      </c>
      <c r="G1824">
        <v>3</v>
      </c>
      <c r="H1824">
        <v>2.2000000000000002</v>
      </c>
      <c r="I1824" t="s">
        <v>14</v>
      </c>
      <c r="J1824" t="s">
        <v>2087</v>
      </c>
      <c r="K1824" s="12">
        <f>Store_Record[[#This Row],[Qty]]*Store_Record[[#This Row],[UnitPriceGBP]]</f>
        <v>6.6000000000000005</v>
      </c>
      <c r="L1824" s="5" t="str">
        <f>TEXT(Store_Record[[#This Row],[Date]],"dddd")</f>
        <v>Friday</v>
      </c>
      <c r="M1824" s="5" t="str">
        <f>TEXT(Store_Record[[#This Row],[Date]],"mmmm")</f>
        <v>May</v>
      </c>
      <c r="N1824" s="5">
        <f>YEAR(Store_Record[[#This Row],[Date]])</f>
        <v>2025</v>
      </c>
      <c r="O1824"/>
    </row>
    <row r="1825" spans="1:15" x14ac:dyDescent="0.35">
      <c r="A1825" t="s">
        <v>2676</v>
      </c>
      <c r="B1825" s="2">
        <v>45786</v>
      </c>
      <c r="C1825" t="s">
        <v>24</v>
      </c>
      <c r="D1825" t="s">
        <v>38</v>
      </c>
      <c r="E1825" t="s">
        <v>34</v>
      </c>
      <c r="F1825" t="s">
        <v>31</v>
      </c>
      <c r="G1825">
        <v>3</v>
      </c>
      <c r="H1825">
        <v>2.2000000000000002</v>
      </c>
      <c r="I1825" t="s">
        <v>14</v>
      </c>
      <c r="J1825" t="s">
        <v>1605</v>
      </c>
      <c r="K1825" s="12">
        <f>Store_Record[[#This Row],[Qty]]*Store_Record[[#This Row],[UnitPriceGBP]]</f>
        <v>6.6000000000000005</v>
      </c>
      <c r="L1825" s="5" t="str">
        <f>TEXT(Store_Record[[#This Row],[Date]],"dddd")</f>
        <v>Friday</v>
      </c>
      <c r="M1825" s="5" t="str">
        <f>TEXT(Store_Record[[#This Row],[Date]],"mmmm")</f>
        <v>May</v>
      </c>
      <c r="N1825" s="5">
        <f>YEAR(Store_Record[[#This Row],[Date]])</f>
        <v>2025</v>
      </c>
      <c r="O1825"/>
    </row>
    <row r="1826" spans="1:15" x14ac:dyDescent="0.35">
      <c r="A1826" t="s">
        <v>2667</v>
      </c>
      <c r="B1826" s="2">
        <v>45786</v>
      </c>
      <c r="C1826" t="s">
        <v>36</v>
      </c>
      <c r="D1826" t="s">
        <v>25</v>
      </c>
      <c r="E1826" t="s">
        <v>42</v>
      </c>
      <c r="F1826" t="s">
        <v>13</v>
      </c>
      <c r="G1826">
        <v>1</v>
      </c>
      <c r="H1826">
        <v>3.8</v>
      </c>
      <c r="I1826" t="s">
        <v>21</v>
      </c>
      <c r="J1826" t="s">
        <v>703</v>
      </c>
      <c r="K1826" s="12">
        <f>Store_Record[[#This Row],[Qty]]*Store_Record[[#This Row],[UnitPriceGBP]]</f>
        <v>3.8</v>
      </c>
      <c r="L1826" s="5" t="str">
        <f>TEXT(Store_Record[[#This Row],[Date]],"dddd")</f>
        <v>Friday</v>
      </c>
      <c r="M1826" s="5" t="str">
        <f>TEXT(Store_Record[[#This Row],[Date]],"mmmm")</f>
        <v>May</v>
      </c>
      <c r="N1826" s="5">
        <f>YEAR(Store_Record[[#This Row],[Date]])</f>
        <v>2025</v>
      </c>
      <c r="O1826"/>
    </row>
    <row r="1827" spans="1:15" x14ac:dyDescent="0.35">
      <c r="A1827" t="s">
        <v>2665</v>
      </c>
      <c r="B1827" s="2">
        <v>45786</v>
      </c>
      <c r="C1827" t="s">
        <v>24</v>
      </c>
      <c r="D1827" t="s">
        <v>29</v>
      </c>
      <c r="E1827" t="s">
        <v>26</v>
      </c>
      <c r="F1827" t="s">
        <v>13</v>
      </c>
      <c r="G1827">
        <v>1</v>
      </c>
      <c r="H1827">
        <v>3.5</v>
      </c>
      <c r="I1827" t="s">
        <v>14</v>
      </c>
      <c r="J1827" t="s">
        <v>1488</v>
      </c>
      <c r="K1827" s="12">
        <f>Store_Record[[#This Row],[Qty]]*Store_Record[[#This Row],[UnitPriceGBP]]</f>
        <v>3.5</v>
      </c>
      <c r="L1827" s="5" t="str">
        <f>TEXT(Store_Record[[#This Row],[Date]],"dddd")</f>
        <v>Friday</v>
      </c>
      <c r="M1827" s="5" t="str">
        <f>TEXT(Store_Record[[#This Row],[Date]],"mmmm")</f>
        <v>May</v>
      </c>
      <c r="N1827" s="5">
        <f>YEAR(Store_Record[[#This Row],[Date]])</f>
        <v>2025</v>
      </c>
      <c r="O1827"/>
    </row>
    <row r="1828" spans="1:15" x14ac:dyDescent="0.35">
      <c r="A1828" t="s">
        <v>2666</v>
      </c>
      <c r="B1828" s="2">
        <v>45786</v>
      </c>
      <c r="C1828" t="s">
        <v>36</v>
      </c>
      <c r="D1828" t="s">
        <v>47</v>
      </c>
      <c r="E1828" t="s">
        <v>26</v>
      </c>
      <c r="F1828" t="s">
        <v>13</v>
      </c>
      <c r="G1828">
        <v>1</v>
      </c>
      <c r="H1828">
        <v>3.5</v>
      </c>
      <c r="I1828" t="s">
        <v>21</v>
      </c>
      <c r="J1828" t="s">
        <v>1989</v>
      </c>
      <c r="K1828" s="12">
        <f>Store_Record[[#This Row],[Qty]]*Store_Record[[#This Row],[UnitPriceGBP]]</f>
        <v>3.5</v>
      </c>
      <c r="L1828" s="5" t="str">
        <f>TEXT(Store_Record[[#This Row],[Date]],"dddd")</f>
        <v>Friday</v>
      </c>
      <c r="M1828" s="5" t="str">
        <f>TEXT(Store_Record[[#This Row],[Date]],"mmmm")</f>
        <v>May</v>
      </c>
      <c r="N1828" s="5">
        <f>YEAR(Store_Record[[#This Row],[Date]])</f>
        <v>2025</v>
      </c>
      <c r="O1828"/>
    </row>
    <row r="1829" spans="1:15" x14ac:dyDescent="0.35">
      <c r="A1829" t="s">
        <v>2673</v>
      </c>
      <c r="B1829" s="2">
        <v>45786</v>
      </c>
      <c r="C1829" t="s">
        <v>24</v>
      </c>
      <c r="D1829" t="s">
        <v>38</v>
      </c>
      <c r="E1829" t="s">
        <v>26</v>
      </c>
      <c r="F1829" t="s">
        <v>13</v>
      </c>
      <c r="G1829">
        <v>1</v>
      </c>
      <c r="H1829">
        <v>3.5</v>
      </c>
      <c r="I1829" t="s">
        <v>39</v>
      </c>
      <c r="J1829" t="s">
        <v>910</v>
      </c>
      <c r="K1829" s="12">
        <f>Store_Record[[#This Row],[Qty]]*Store_Record[[#This Row],[UnitPriceGBP]]</f>
        <v>3.5</v>
      </c>
      <c r="L1829" s="5" t="str">
        <f>TEXT(Store_Record[[#This Row],[Date]],"dddd")</f>
        <v>Friday</v>
      </c>
      <c r="M1829" s="5" t="str">
        <f>TEXT(Store_Record[[#This Row],[Date]],"mmmm")</f>
        <v>May</v>
      </c>
      <c r="N1829" s="5">
        <f>YEAR(Store_Record[[#This Row],[Date]])</f>
        <v>2025</v>
      </c>
      <c r="O1829"/>
    </row>
    <row r="1830" spans="1:15" x14ac:dyDescent="0.35">
      <c r="A1830" t="s">
        <v>2674</v>
      </c>
      <c r="B1830" s="2">
        <v>45786</v>
      </c>
      <c r="C1830" t="s">
        <v>24</v>
      </c>
      <c r="D1830" t="s">
        <v>47</v>
      </c>
      <c r="E1830" t="s">
        <v>34</v>
      </c>
      <c r="F1830" t="s">
        <v>31</v>
      </c>
      <c r="G1830">
        <v>1</v>
      </c>
      <c r="H1830">
        <v>2.2000000000000002</v>
      </c>
      <c r="I1830" t="s">
        <v>39</v>
      </c>
      <c r="J1830" t="s">
        <v>286</v>
      </c>
      <c r="K1830" s="12">
        <f>Store_Record[[#This Row],[Qty]]*Store_Record[[#This Row],[UnitPriceGBP]]</f>
        <v>2.2000000000000002</v>
      </c>
      <c r="L1830" s="5" t="str">
        <f>TEXT(Store_Record[[#This Row],[Date]],"dddd")</f>
        <v>Friday</v>
      </c>
      <c r="M1830" s="5" t="str">
        <f>TEXT(Store_Record[[#This Row],[Date]],"mmmm")</f>
        <v>May</v>
      </c>
      <c r="N1830" s="5">
        <f>YEAR(Store_Record[[#This Row],[Date]])</f>
        <v>2025</v>
      </c>
      <c r="O1830"/>
    </row>
    <row r="1831" spans="1:15" x14ac:dyDescent="0.35">
      <c r="A1831" t="s">
        <v>2683</v>
      </c>
      <c r="B1831" s="2">
        <v>45787</v>
      </c>
      <c r="C1831" t="s">
        <v>20</v>
      </c>
      <c r="D1831" t="s">
        <v>38</v>
      </c>
      <c r="E1831" t="s">
        <v>26</v>
      </c>
      <c r="F1831" t="s">
        <v>13</v>
      </c>
      <c r="G1831">
        <v>5</v>
      </c>
      <c r="H1831">
        <v>3.8</v>
      </c>
      <c r="I1831" t="s">
        <v>39</v>
      </c>
      <c r="J1831" t="s">
        <v>22</v>
      </c>
      <c r="K1831" s="12">
        <f>Store_Record[[#This Row],[Qty]]*Store_Record[[#This Row],[UnitPriceGBP]]</f>
        <v>19</v>
      </c>
      <c r="L1831" s="5" t="str">
        <f>TEXT(Store_Record[[#This Row],[Date]],"dddd")</f>
        <v>Saturday</v>
      </c>
      <c r="M1831" s="5" t="str">
        <f>TEXT(Store_Record[[#This Row],[Date]],"mmmm")</f>
        <v>May</v>
      </c>
      <c r="N1831" s="5">
        <f>YEAR(Store_Record[[#This Row],[Date]])</f>
        <v>2025</v>
      </c>
      <c r="O1831"/>
    </row>
    <row r="1832" spans="1:15" x14ac:dyDescent="0.35">
      <c r="A1832" t="s">
        <v>2694</v>
      </c>
      <c r="B1832" s="2">
        <v>45787</v>
      </c>
      <c r="C1832" t="s">
        <v>10</v>
      </c>
      <c r="D1832" t="s">
        <v>47</v>
      </c>
      <c r="E1832" t="s">
        <v>26</v>
      </c>
      <c r="F1832" t="s">
        <v>13</v>
      </c>
      <c r="G1832">
        <v>4</v>
      </c>
      <c r="H1832">
        <v>3.5</v>
      </c>
      <c r="I1832" t="s">
        <v>14</v>
      </c>
      <c r="J1832" t="s">
        <v>2695</v>
      </c>
      <c r="K1832" s="12">
        <f>Store_Record[[#This Row],[Qty]]*Store_Record[[#This Row],[UnitPriceGBP]]</f>
        <v>14</v>
      </c>
      <c r="L1832" s="5" t="str">
        <f>TEXT(Store_Record[[#This Row],[Date]],"dddd")</f>
        <v>Saturday</v>
      </c>
      <c r="M1832" s="5" t="str">
        <f>TEXT(Store_Record[[#This Row],[Date]],"mmmm")</f>
        <v>May</v>
      </c>
      <c r="N1832" s="5">
        <f>YEAR(Store_Record[[#This Row],[Date]])</f>
        <v>2025</v>
      </c>
      <c r="O1832"/>
    </row>
    <row r="1833" spans="1:15" x14ac:dyDescent="0.35">
      <c r="A1833" t="s">
        <v>2697</v>
      </c>
      <c r="B1833" s="2">
        <v>45787</v>
      </c>
      <c r="C1833" t="s">
        <v>24</v>
      </c>
      <c r="D1833" t="s">
        <v>29</v>
      </c>
      <c r="E1833" t="s">
        <v>26</v>
      </c>
      <c r="F1833" t="s">
        <v>13</v>
      </c>
      <c r="G1833">
        <v>4</v>
      </c>
      <c r="H1833">
        <v>3.5</v>
      </c>
      <c r="I1833" t="s">
        <v>39</v>
      </c>
      <c r="J1833" t="s">
        <v>68</v>
      </c>
      <c r="K1833" s="12">
        <f>Store_Record[[#This Row],[Qty]]*Store_Record[[#This Row],[UnitPriceGBP]]</f>
        <v>14</v>
      </c>
      <c r="L1833" s="5" t="str">
        <f>TEXT(Store_Record[[#This Row],[Date]],"dddd")</f>
        <v>Saturday</v>
      </c>
      <c r="M1833" s="5" t="str">
        <f>TEXT(Store_Record[[#This Row],[Date]],"mmmm")</f>
        <v>May</v>
      </c>
      <c r="N1833" s="5">
        <f>YEAR(Store_Record[[#This Row],[Date]])</f>
        <v>2025</v>
      </c>
      <c r="O1833"/>
    </row>
    <row r="1834" spans="1:15" x14ac:dyDescent="0.35">
      <c r="A1834" t="s">
        <v>2698</v>
      </c>
      <c r="B1834" s="2">
        <v>45787</v>
      </c>
      <c r="C1834" t="s">
        <v>20</v>
      </c>
      <c r="D1834" t="s">
        <v>25</v>
      </c>
      <c r="E1834" t="s">
        <v>12</v>
      </c>
      <c r="F1834" t="s">
        <v>13</v>
      </c>
      <c r="G1834">
        <v>5</v>
      </c>
      <c r="H1834">
        <v>2.5</v>
      </c>
      <c r="I1834" t="s">
        <v>39</v>
      </c>
      <c r="J1834" t="s">
        <v>239</v>
      </c>
      <c r="K1834" s="12">
        <f>Store_Record[[#This Row],[Qty]]*Store_Record[[#This Row],[UnitPriceGBP]]</f>
        <v>12.5</v>
      </c>
      <c r="L1834" s="5" t="str">
        <f>TEXT(Store_Record[[#This Row],[Date]],"dddd")</f>
        <v>Saturday</v>
      </c>
      <c r="M1834" s="5" t="str">
        <f>TEXT(Store_Record[[#This Row],[Date]],"mmmm")</f>
        <v>May</v>
      </c>
      <c r="N1834" s="5">
        <f>YEAR(Store_Record[[#This Row],[Date]])</f>
        <v>2025</v>
      </c>
      <c r="O1834"/>
    </row>
    <row r="1835" spans="1:15" x14ac:dyDescent="0.35">
      <c r="A1835" t="s">
        <v>2692</v>
      </c>
      <c r="B1835" s="2">
        <v>45787</v>
      </c>
      <c r="C1835" t="s">
        <v>20</v>
      </c>
      <c r="D1835" t="s">
        <v>25</v>
      </c>
      <c r="E1835" t="s">
        <v>42</v>
      </c>
      <c r="F1835" t="s">
        <v>13</v>
      </c>
      <c r="G1835">
        <v>3</v>
      </c>
      <c r="H1835">
        <v>3.8</v>
      </c>
      <c r="I1835" t="s">
        <v>39</v>
      </c>
      <c r="J1835" t="s">
        <v>157</v>
      </c>
      <c r="K1835" s="12">
        <f>Store_Record[[#This Row],[Qty]]*Store_Record[[#This Row],[UnitPriceGBP]]</f>
        <v>11.399999999999999</v>
      </c>
      <c r="L1835" s="5" t="str">
        <f>TEXT(Store_Record[[#This Row],[Date]],"dddd")</f>
        <v>Saturday</v>
      </c>
      <c r="M1835" s="5" t="str">
        <f>TEXT(Store_Record[[#This Row],[Date]],"mmmm")</f>
        <v>May</v>
      </c>
      <c r="N1835" s="5">
        <f>YEAR(Store_Record[[#This Row],[Date]])</f>
        <v>2025</v>
      </c>
      <c r="O1835"/>
    </row>
    <row r="1836" spans="1:15" x14ac:dyDescent="0.35">
      <c r="A1836" t="s">
        <v>2701</v>
      </c>
      <c r="B1836" s="2">
        <v>45787</v>
      </c>
      <c r="C1836" t="s">
        <v>10</v>
      </c>
      <c r="D1836" t="s">
        <v>47</v>
      </c>
      <c r="E1836" t="s">
        <v>42</v>
      </c>
      <c r="F1836" t="s">
        <v>13</v>
      </c>
      <c r="G1836">
        <v>3</v>
      </c>
      <c r="H1836">
        <v>3.8</v>
      </c>
      <c r="I1836" t="s">
        <v>21</v>
      </c>
      <c r="J1836" t="s">
        <v>1928</v>
      </c>
      <c r="K1836" s="12">
        <f>Store_Record[[#This Row],[Qty]]*Store_Record[[#This Row],[UnitPriceGBP]]</f>
        <v>11.399999999999999</v>
      </c>
      <c r="L1836" s="5" t="str">
        <f>TEXT(Store_Record[[#This Row],[Date]],"dddd")</f>
        <v>Saturday</v>
      </c>
      <c r="M1836" s="5" t="str">
        <f>TEXT(Store_Record[[#This Row],[Date]],"mmmm")</f>
        <v>May</v>
      </c>
      <c r="N1836" s="5">
        <f>YEAR(Store_Record[[#This Row],[Date]])</f>
        <v>2025</v>
      </c>
      <c r="O1836"/>
    </row>
    <row r="1837" spans="1:15" x14ac:dyDescent="0.35">
      <c r="A1837" t="s">
        <v>2680</v>
      </c>
      <c r="B1837" s="2">
        <v>45787</v>
      </c>
      <c r="C1837" t="s">
        <v>36</v>
      </c>
      <c r="D1837" t="s">
        <v>25</v>
      </c>
      <c r="E1837" t="s">
        <v>26</v>
      </c>
      <c r="F1837" t="s">
        <v>13</v>
      </c>
      <c r="G1837">
        <v>3</v>
      </c>
      <c r="H1837">
        <v>3.5</v>
      </c>
      <c r="I1837" t="s">
        <v>39</v>
      </c>
      <c r="J1837" t="s">
        <v>2681</v>
      </c>
      <c r="K1837" s="12">
        <f>Store_Record[[#This Row],[Qty]]*Store_Record[[#This Row],[UnitPriceGBP]]</f>
        <v>10.5</v>
      </c>
      <c r="L1837" s="5" t="str">
        <f>TEXT(Store_Record[[#This Row],[Date]],"dddd")</f>
        <v>Saturday</v>
      </c>
      <c r="M1837" s="5" t="str">
        <f>TEXT(Store_Record[[#This Row],[Date]],"mmmm")</f>
        <v>May</v>
      </c>
      <c r="N1837" s="5">
        <f>YEAR(Store_Record[[#This Row],[Date]])</f>
        <v>2025</v>
      </c>
      <c r="O1837"/>
    </row>
    <row r="1838" spans="1:15" x14ac:dyDescent="0.35">
      <c r="A1838" t="s">
        <v>2691</v>
      </c>
      <c r="B1838" s="2">
        <v>45787</v>
      </c>
      <c r="C1838" t="s">
        <v>24</v>
      </c>
      <c r="D1838" t="s">
        <v>29</v>
      </c>
      <c r="E1838" t="s">
        <v>26</v>
      </c>
      <c r="F1838" t="s">
        <v>13</v>
      </c>
      <c r="G1838">
        <v>3</v>
      </c>
      <c r="H1838">
        <v>3.5</v>
      </c>
      <c r="I1838" t="s">
        <v>14</v>
      </c>
      <c r="J1838" t="s">
        <v>1860</v>
      </c>
      <c r="K1838" s="12">
        <f>Store_Record[[#This Row],[Qty]]*Store_Record[[#This Row],[UnitPriceGBP]]</f>
        <v>10.5</v>
      </c>
      <c r="L1838" s="5" t="str">
        <f>TEXT(Store_Record[[#This Row],[Date]],"dddd")</f>
        <v>Saturday</v>
      </c>
      <c r="M1838" s="5" t="str">
        <f>TEXT(Store_Record[[#This Row],[Date]],"mmmm")</f>
        <v>May</v>
      </c>
      <c r="N1838" s="5">
        <f>YEAR(Store_Record[[#This Row],[Date]])</f>
        <v>2025</v>
      </c>
      <c r="O1838"/>
    </row>
    <row r="1839" spans="1:15" x14ac:dyDescent="0.35">
      <c r="A1839" t="s">
        <v>2690</v>
      </c>
      <c r="B1839" s="2">
        <v>45787</v>
      </c>
      <c r="C1839" t="s">
        <v>36</v>
      </c>
      <c r="D1839" t="s">
        <v>25</v>
      </c>
      <c r="E1839" t="s">
        <v>34</v>
      </c>
      <c r="F1839" t="s">
        <v>31</v>
      </c>
      <c r="G1839">
        <v>4</v>
      </c>
      <c r="H1839">
        <v>2.2000000000000002</v>
      </c>
      <c r="I1839" t="s">
        <v>21</v>
      </c>
      <c r="J1839" t="s">
        <v>202</v>
      </c>
      <c r="K1839" s="12">
        <f>Store_Record[[#This Row],[Qty]]*Store_Record[[#This Row],[UnitPriceGBP]]</f>
        <v>8.8000000000000007</v>
      </c>
      <c r="L1839" s="5" t="str">
        <f>TEXT(Store_Record[[#This Row],[Date]],"dddd")</f>
        <v>Saturday</v>
      </c>
      <c r="M1839" s="5" t="str">
        <f>TEXT(Store_Record[[#This Row],[Date]],"mmmm")</f>
        <v>May</v>
      </c>
      <c r="N1839" s="5">
        <f>YEAR(Store_Record[[#This Row],[Date]])</f>
        <v>2025</v>
      </c>
      <c r="O1839"/>
    </row>
    <row r="1840" spans="1:15" x14ac:dyDescent="0.35">
      <c r="A1840" t="s">
        <v>2693</v>
      </c>
      <c r="B1840" s="2">
        <v>45787</v>
      </c>
      <c r="C1840" t="s">
        <v>36</v>
      </c>
      <c r="D1840" t="s">
        <v>11</v>
      </c>
      <c r="E1840" t="s">
        <v>30</v>
      </c>
      <c r="F1840" t="s">
        <v>31</v>
      </c>
      <c r="G1840">
        <v>3</v>
      </c>
      <c r="H1840">
        <v>2.8</v>
      </c>
      <c r="I1840" t="s">
        <v>21</v>
      </c>
      <c r="J1840" t="s">
        <v>93</v>
      </c>
      <c r="K1840" s="12">
        <f>Store_Record[[#This Row],[Qty]]*Store_Record[[#This Row],[UnitPriceGBP]]</f>
        <v>8.3999999999999986</v>
      </c>
      <c r="L1840" s="5" t="str">
        <f>TEXT(Store_Record[[#This Row],[Date]],"dddd")</f>
        <v>Saturday</v>
      </c>
      <c r="M1840" s="5" t="str">
        <f>TEXT(Store_Record[[#This Row],[Date]],"mmmm")</f>
        <v>May</v>
      </c>
      <c r="N1840" s="5">
        <f>YEAR(Store_Record[[#This Row],[Date]])</f>
        <v>2025</v>
      </c>
      <c r="O1840"/>
    </row>
    <row r="1841" spans="1:15" x14ac:dyDescent="0.35">
      <c r="A1841" t="s">
        <v>2699</v>
      </c>
      <c r="B1841" s="2">
        <v>45787</v>
      </c>
      <c r="C1841" t="s">
        <v>10</v>
      </c>
      <c r="D1841" t="s">
        <v>47</v>
      </c>
      <c r="E1841" t="s">
        <v>12</v>
      </c>
      <c r="F1841" t="s">
        <v>13</v>
      </c>
      <c r="G1841">
        <v>3</v>
      </c>
      <c r="H1841">
        <v>2.5</v>
      </c>
      <c r="I1841" t="s">
        <v>21</v>
      </c>
      <c r="J1841" t="s">
        <v>2700</v>
      </c>
      <c r="K1841" s="12">
        <f>Store_Record[[#This Row],[Qty]]*Store_Record[[#This Row],[UnitPriceGBP]]</f>
        <v>7.5</v>
      </c>
      <c r="L1841" s="5" t="str">
        <f>TEXT(Store_Record[[#This Row],[Date]],"dddd")</f>
        <v>Saturday</v>
      </c>
      <c r="M1841" s="5" t="str">
        <f>TEXT(Store_Record[[#This Row],[Date]],"mmmm")</f>
        <v>May</v>
      </c>
      <c r="N1841" s="5">
        <f>YEAR(Store_Record[[#This Row],[Date]])</f>
        <v>2025</v>
      </c>
      <c r="O1841"/>
    </row>
    <row r="1842" spans="1:15" x14ac:dyDescent="0.35">
      <c r="A1842" t="s">
        <v>2684</v>
      </c>
      <c r="B1842" s="2">
        <v>45787</v>
      </c>
      <c r="C1842" t="s">
        <v>36</v>
      </c>
      <c r="D1842" t="s">
        <v>47</v>
      </c>
      <c r="E1842" t="s">
        <v>30</v>
      </c>
      <c r="F1842" t="s">
        <v>31</v>
      </c>
      <c r="G1842">
        <v>2</v>
      </c>
      <c r="H1842">
        <v>2.8</v>
      </c>
      <c r="I1842" t="s">
        <v>39</v>
      </c>
      <c r="J1842" t="s">
        <v>187</v>
      </c>
      <c r="K1842" s="12">
        <f>Store_Record[[#This Row],[Qty]]*Store_Record[[#This Row],[UnitPriceGBP]]</f>
        <v>5.6</v>
      </c>
      <c r="L1842" s="5" t="str">
        <f>TEXT(Store_Record[[#This Row],[Date]],"dddd")</f>
        <v>Saturday</v>
      </c>
      <c r="M1842" s="5" t="str">
        <f>TEXT(Store_Record[[#This Row],[Date]],"mmmm")</f>
        <v>May</v>
      </c>
      <c r="N1842" s="5">
        <f>YEAR(Store_Record[[#This Row],[Date]])</f>
        <v>2025</v>
      </c>
      <c r="O1842"/>
    </row>
    <row r="1843" spans="1:15" x14ac:dyDescent="0.35">
      <c r="A1843" t="s">
        <v>2696</v>
      </c>
      <c r="B1843" s="2">
        <v>45787</v>
      </c>
      <c r="C1843" t="s">
        <v>36</v>
      </c>
      <c r="D1843" t="s">
        <v>11</v>
      </c>
      <c r="E1843" t="s">
        <v>30</v>
      </c>
      <c r="F1843" t="s">
        <v>31</v>
      </c>
      <c r="G1843">
        <v>2</v>
      </c>
      <c r="H1843">
        <v>2.8</v>
      </c>
      <c r="I1843" t="s">
        <v>39</v>
      </c>
      <c r="J1843" t="s">
        <v>454</v>
      </c>
      <c r="K1843" s="12">
        <f>Store_Record[[#This Row],[Qty]]*Store_Record[[#This Row],[UnitPriceGBP]]</f>
        <v>5.6</v>
      </c>
      <c r="L1843" s="5" t="str">
        <f>TEXT(Store_Record[[#This Row],[Date]],"dddd")</f>
        <v>Saturday</v>
      </c>
      <c r="M1843" s="5" t="str">
        <f>TEXT(Store_Record[[#This Row],[Date]],"mmmm")</f>
        <v>May</v>
      </c>
      <c r="N1843" s="5">
        <f>YEAR(Store_Record[[#This Row],[Date]])</f>
        <v>2025</v>
      </c>
      <c r="O1843"/>
    </row>
    <row r="1844" spans="1:15" x14ac:dyDescent="0.35">
      <c r="A1844" t="s">
        <v>2685</v>
      </c>
      <c r="B1844" s="2">
        <v>45787</v>
      </c>
      <c r="C1844" t="s">
        <v>20</v>
      </c>
      <c r="D1844" t="s">
        <v>38</v>
      </c>
      <c r="E1844" t="s">
        <v>12</v>
      </c>
      <c r="F1844" t="s">
        <v>13</v>
      </c>
      <c r="G1844">
        <v>2</v>
      </c>
      <c r="H1844">
        <v>2.5</v>
      </c>
      <c r="I1844" t="s">
        <v>14</v>
      </c>
      <c r="J1844" t="s">
        <v>52</v>
      </c>
      <c r="K1844" s="12">
        <f>Store_Record[[#This Row],[Qty]]*Store_Record[[#This Row],[UnitPriceGBP]]</f>
        <v>5</v>
      </c>
      <c r="L1844" s="5" t="str">
        <f>TEXT(Store_Record[[#This Row],[Date]],"dddd")</f>
        <v>Saturday</v>
      </c>
      <c r="M1844" s="5" t="str">
        <f>TEXT(Store_Record[[#This Row],[Date]],"mmmm")</f>
        <v>May</v>
      </c>
      <c r="N1844" s="5">
        <f>YEAR(Store_Record[[#This Row],[Date]])</f>
        <v>2025</v>
      </c>
      <c r="O1844"/>
    </row>
    <row r="1845" spans="1:15" x14ac:dyDescent="0.35">
      <c r="A1845" t="s">
        <v>2686</v>
      </c>
      <c r="B1845" s="2">
        <v>45787</v>
      </c>
      <c r="C1845" t="s">
        <v>10</v>
      </c>
      <c r="D1845" t="s">
        <v>11</v>
      </c>
      <c r="E1845" t="s">
        <v>42</v>
      </c>
      <c r="F1845" t="s">
        <v>13</v>
      </c>
      <c r="G1845">
        <v>1</v>
      </c>
      <c r="H1845">
        <v>3.8</v>
      </c>
      <c r="I1845" t="s">
        <v>14</v>
      </c>
      <c r="J1845" t="s">
        <v>1212</v>
      </c>
      <c r="K1845" s="12">
        <f>Store_Record[[#This Row],[Qty]]*Store_Record[[#This Row],[UnitPriceGBP]]</f>
        <v>3.8</v>
      </c>
      <c r="L1845" s="5" t="str">
        <f>TEXT(Store_Record[[#This Row],[Date]],"dddd")</f>
        <v>Saturday</v>
      </c>
      <c r="M1845" s="5" t="str">
        <f>TEXT(Store_Record[[#This Row],[Date]],"mmmm")</f>
        <v>May</v>
      </c>
      <c r="N1845" s="5">
        <f>YEAR(Store_Record[[#This Row],[Date]])</f>
        <v>2025</v>
      </c>
      <c r="O1845"/>
    </row>
    <row r="1846" spans="1:15" x14ac:dyDescent="0.35">
      <c r="A1846" t="s">
        <v>2687</v>
      </c>
      <c r="B1846" s="2">
        <v>45787</v>
      </c>
      <c r="C1846" t="s">
        <v>20</v>
      </c>
      <c r="D1846" t="s">
        <v>29</v>
      </c>
      <c r="E1846" t="s">
        <v>42</v>
      </c>
      <c r="F1846" t="s">
        <v>13</v>
      </c>
      <c r="G1846">
        <v>1</v>
      </c>
      <c r="H1846">
        <v>3.8</v>
      </c>
      <c r="I1846" t="s">
        <v>21</v>
      </c>
      <c r="J1846" t="s">
        <v>671</v>
      </c>
      <c r="K1846" s="12">
        <f>Store_Record[[#This Row],[Qty]]*Store_Record[[#This Row],[UnitPriceGBP]]</f>
        <v>3.8</v>
      </c>
      <c r="L1846" s="5" t="str">
        <f>TEXT(Store_Record[[#This Row],[Date]],"dddd")</f>
        <v>Saturday</v>
      </c>
      <c r="M1846" s="5" t="str">
        <f>TEXT(Store_Record[[#This Row],[Date]],"mmmm")</f>
        <v>May</v>
      </c>
      <c r="N1846" s="5">
        <f>YEAR(Store_Record[[#This Row],[Date]])</f>
        <v>2025</v>
      </c>
      <c r="O1846"/>
    </row>
    <row r="1847" spans="1:15" x14ac:dyDescent="0.35">
      <c r="A1847" t="s">
        <v>2688</v>
      </c>
      <c r="B1847" s="2">
        <v>45787</v>
      </c>
      <c r="C1847" t="s">
        <v>10</v>
      </c>
      <c r="D1847" t="s">
        <v>11</v>
      </c>
      <c r="E1847" t="s">
        <v>30</v>
      </c>
      <c r="F1847" t="s">
        <v>31</v>
      </c>
      <c r="G1847">
        <v>1</v>
      </c>
      <c r="H1847">
        <v>2.8</v>
      </c>
      <c r="I1847" t="s">
        <v>39</v>
      </c>
      <c r="J1847" t="s">
        <v>2689</v>
      </c>
      <c r="K1847" s="12">
        <f>Store_Record[[#This Row],[Qty]]*Store_Record[[#This Row],[UnitPriceGBP]]</f>
        <v>2.8</v>
      </c>
      <c r="L1847" s="5" t="str">
        <f>TEXT(Store_Record[[#This Row],[Date]],"dddd")</f>
        <v>Saturday</v>
      </c>
      <c r="M1847" s="5" t="str">
        <f>TEXT(Store_Record[[#This Row],[Date]],"mmmm")</f>
        <v>May</v>
      </c>
      <c r="N1847" s="5">
        <f>YEAR(Store_Record[[#This Row],[Date]])</f>
        <v>2025</v>
      </c>
      <c r="O1847"/>
    </row>
    <row r="1848" spans="1:15" x14ac:dyDescent="0.35">
      <c r="A1848" t="s">
        <v>2682</v>
      </c>
      <c r="B1848" s="2">
        <v>45787</v>
      </c>
      <c r="C1848" t="s">
        <v>24</v>
      </c>
      <c r="D1848" t="s">
        <v>25</v>
      </c>
      <c r="E1848" t="s">
        <v>34</v>
      </c>
      <c r="F1848" t="s">
        <v>31</v>
      </c>
      <c r="G1848">
        <v>1</v>
      </c>
      <c r="H1848">
        <v>2.2000000000000002</v>
      </c>
      <c r="I1848" t="s">
        <v>21</v>
      </c>
      <c r="J1848" t="s">
        <v>2166</v>
      </c>
      <c r="K1848" s="12">
        <f>Store_Record[[#This Row],[Qty]]*Store_Record[[#This Row],[UnitPriceGBP]]</f>
        <v>2.2000000000000002</v>
      </c>
      <c r="L1848" s="5" t="str">
        <f>TEXT(Store_Record[[#This Row],[Date]],"dddd")</f>
        <v>Saturday</v>
      </c>
      <c r="M1848" s="5" t="str">
        <f>TEXT(Store_Record[[#This Row],[Date]],"mmmm")</f>
        <v>May</v>
      </c>
      <c r="N1848" s="5">
        <f>YEAR(Store_Record[[#This Row],[Date]])</f>
        <v>2025</v>
      </c>
      <c r="O1848"/>
    </row>
    <row r="1849" spans="1:15" x14ac:dyDescent="0.35">
      <c r="A1849" t="s">
        <v>2710</v>
      </c>
      <c r="B1849" s="2">
        <v>45788</v>
      </c>
      <c r="C1849" t="s">
        <v>36</v>
      </c>
      <c r="D1849" t="s">
        <v>38</v>
      </c>
      <c r="E1849" t="s">
        <v>42</v>
      </c>
      <c r="F1849" t="s">
        <v>13</v>
      </c>
      <c r="G1849">
        <v>5</v>
      </c>
      <c r="H1849">
        <v>3.8</v>
      </c>
      <c r="I1849" t="s">
        <v>39</v>
      </c>
      <c r="J1849" t="s">
        <v>2711</v>
      </c>
      <c r="K1849" s="12">
        <f>Store_Record[[#This Row],[Qty]]*Store_Record[[#This Row],[UnitPriceGBP]]</f>
        <v>19</v>
      </c>
      <c r="L1849" s="5" t="str">
        <f>TEXT(Store_Record[[#This Row],[Date]],"dddd")</f>
        <v>Sunday</v>
      </c>
      <c r="M1849" s="5" t="str">
        <f>TEXT(Store_Record[[#This Row],[Date]],"mmmm")</f>
        <v>May</v>
      </c>
      <c r="N1849" s="5">
        <f>YEAR(Store_Record[[#This Row],[Date]])</f>
        <v>2025</v>
      </c>
      <c r="O1849"/>
    </row>
    <row r="1850" spans="1:15" x14ac:dyDescent="0.35">
      <c r="A1850" t="s">
        <v>2703</v>
      </c>
      <c r="B1850" s="2">
        <v>45788</v>
      </c>
      <c r="C1850" t="s">
        <v>20</v>
      </c>
      <c r="D1850" t="s">
        <v>11</v>
      </c>
      <c r="E1850" t="s">
        <v>26</v>
      </c>
      <c r="F1850" t="s">
        <v>13</v>
      </c>
      <c r="G1850">
        <v>5</v>
      </c>
      <c r="H1850">
        <v>3.5</v>
      </c>
      <c r="I1850" t="s">
        <v>14</v>
      </c>
      <c r="J1850" t="s">
        <v>230</v>
      </c>
      <c r="K1850" s="12">
        <f>Store_Record[[#This Row],[Qty]]*Store_Record[[#This Row],[UnitPriceGBP]]</f>
        <v>17.5</v>
      </c>
      <c r="L1850" s="5" t="str">
        <f>TEXT(Store_Record[[#This Row],[Date]],"dddd")</f>
        <v>Sunday</v>
      </c>
      <c r="M1850" s="5" t="str">
        <f>TEXT(Store_Record[[#This Row],[Date]],"mmmm")</f>
        <v>May</v>
      </c>
      <c r="N1850" s="5">
        <f>YEAR(Store_Record[[#This Row],[Date]])</f>
        <v>2025</v>
      </c>
      <c r="O1850"/>
    </row>
    <row r="1851" spans="1:15" x14ac:dyDescent="0.35">
      <c r="A1851" t="s">
        <v>2712</v>
      </c>
      <c r="B1851" s="2">
        <v>45788</v>
      </c>
      <c r="C1851" t="s">
        <v>36</v>
      </c>
      <c r="D1851" t="s">
        <v>47</v>
      </c>
      <c r="E1851" t="s">
        <v>30</v>
      </c>
      <c r="F1851" t="s">
        <v>31</v>
      </c>
      <c r="G1851">
        <v>5</v>
      </c>
      <c r="H1851">
        <v>2.8</v>
      </c>
      <c r="I1851" t="s">
        <v>21</v>
      </c>
      <c r="J1851" t="s">
        <v>1879</v>
      </c>
      <c r="K1851" s="12">
        <f>Store_Record[[#This Row],[Qty]]*Store_Record[[#This Row],[UnitPriceGBP]]</f>
        <v>14</v>
      </c>
      <c r="L1851" s="5" t="str">
        <f>TEXT(Store_Record[[#This Row],[Date]],"dddd")</f>
        <v>Sunday</v>
      </c>
      <c r="M1851" s="5" t="str">
        <f>TEXT(Store_Record[[#This Row],[Date]],"mmmm")</f>
        <v>May</v>
      </c>
      <c r="N1851" s="5">
        <f>YEAR(Store_Record[[#This Row],[Date]])</f>
        <v>2025</v>
      </c>
      <c r="O1851"/>
    </row>
    <row r="1852" spans="1:15" x14ac:dyDescent="0.35">
      <c r="A1852" t="s">
        <v>2704</v>
      </c>
      <c r="B1852" s="2">
        <v>45788</v>
      </c>
      <c r="C1852" t="s">
        <v>36</v>
      </c>
      <c r="D1852" t="s">
        <v>29</v>
      </c>
      <c r="E1852" t="s">
        <v>12</v>
      </c>
      <c r="F1852" t="s">
        <v>13</v>
      </c>
      <c r="G1852">
        <v>4</v>
      </c>
      <c r="H1852">
        <v>2.5</v>
      </c>
      <c r="I1852" t="s">
        <v>21</v>
      </c>
      <c r="J1852" t="s">
        <v>70</v>
      </c>
      <c r="K1852" s="12">
        <f>Store_Record[[#This Row],[Qty]]*Store_Record[[#This Row],[UnitPriceGBP]]</f>
        <v>10</v>
      </c>
      <c r="L1852" s="5" t="str">
        <f>TEXT(Store_Record[[#This Row],[Date]],"dddd")</f>
        <v>Sunday</v>
      </c>
      <c r="M1852" s="5" t="str">
        <f>TEXT(Store_Record[[#This Row],[Date]],"mmmm")</f>
        <v>May</v>
      </c>
      <c r="N1852" s="5">
        <f>YEAR(Store_Record[[#This Row],[Date]])</f>
        <v>2025</v>
      </c>
      <c r="O1852"/>
    </row>
    <row r="1853" spans="1:15" x14ac:dyDescent="0.35">
      <c r="A1853" t="s">
        <v>2707</v>
      </c>
      <c r="B1853" s="2">
        <v>45788</v>
      </c>
      <c r="C1853" t="s">
        <v>24</v>
      </c>
      <c r="D1853" t="s">
        <v>11</v>
      </c>
      <c r="E1853" t="s">
        <v>34</v>
      </c>
      <c r="F1853" t="s">
        <v>31</v>
      </c>
      <c r="G1853">
        <v>4</v>
      </c>
      <c r="H1853">
        <v>2.2000000000000002</v>
      </c>
      <c r="I1853" t="s">
        <v>39</v>
      </c>
      <c r="J1853" t="s">
        <v>2172</v>
      </c>
      <c r="K1853" s="12">
        <f>Store_Record[[#This Row],[Qty]]*Store_Record[[#This Row],[UnitPriceGBP]]</f>
        <v>8.8000000000000007</v>
      </c>
      <c r="L1853" s="5" t="str">
        <f>TEXT(Store_Record[[#This Row],[Date]],"dddd")</f>
        <v>Sunday</v>
      </c>
      <c r="M1853" s="5" t="str">
        <f>TEXT(Store_Record[[#This Row],[Date]],"mmmm")</f>
        <v>May</v>
      </c>
      <c r="N1853" s="5">
        <f>YEAR(Store_Record[[#This Row],[Date]])</f>
        <v>2025</v>
      </c>
      <c r="O1853"/>
    </row>
    <row r="1854" spans="1:15" x14ac:dyDescent="0.35">
      <c r="A1854" t="s">
        <v>2702</v>
      </c>
      <c r="B1854" s="2">
        <v>45788</v>
      </c>
      <c r="C1854" t="s">
        <v>10</v>
      </c>
      <c r="D1854" t="s">
        <v>47</v>
      </c>
      <c r="E1854" t="s">
        <v>42</v>
      </c>
      <c r="F1854" t="s">
        <v>13</v>
      </c>
      <c r="G1854">
        <v>2</v>
      </c>
      <c r="H1854">
        <v>3.8</v>
      </c>
      <c r="I1854" t="s">
        <v>14</v>
      </c>
      <c r="J1854" t="s">
        <v>382</v>
      </c>
      <c r="K1854" s="12">
        <f>Store_Record[[#This Row],[Qty]]*Store_Record[[#This Row],[UnitPriceGBP]]</f>
        <v>7.6</v>
      </c>
      <c r="L1854" s="5" t="str">
        <f>TEXT(Store_Record[[#This Row],[Date]],"dddd")</f>
        <v>Sunday</v>
      </c>
      <c r="M1854" s="5" t="str">
        <f>TEXT(Store_Record[[#This Row],[Date]],"mmmm")</f>
        <v>May</v>
      </c>
      <c r="N1854" s="5">
        <f>YEAR(Store_Record[[#This Row],[Date]])</f>
        <v>2025</v>
      </c>
      <c r="O1854"/>
    </row>
    <row r="1855" spans="1:15" x14ac:dyDescent="0.35">
      <c r="A1855" t="s">
        <v>2708</v>
      </c>
      <c r="B1855" s="2">
        <v>45788</v>
      </c>
      <c r="C1855" t="s">
        <v>24</v>
      </c>
      <c r="D1855" t="s">
        <v>47</v>
      </c>
      <c r="E1855" t="s">
        <v>34</v>
      </c>
      <c r="F1855" t="s">
        <v>31</v>
      </c>
      <c r="G1855">
        <v>3</v>
      </c>
      <c r="H1855">
        <v>2.2000000000000002</v>
      </c>
      <c r="I1855" t="s">
        <v>39</v>
      </c>
      <c r="J1855" t="s">
        <v>1896</v>
      </c>
      <c r="K1855" s="12">
        <f>Store_Record[[#This Row],[Qty]]*Store_Record[[#This Row],[UnitPriceGBP]]</f>
        <v>6.6000000000000005</v>
      </c>
      <c r="L1855" s="5" t="str">
        <f>TEXT(Store_Record[[#This Row],[Date]],"dddd")</f>
        <v>Sunday</v>
      </c>
      <c r="M1855" s="5" t="str">
        <f>TEXT(Store_Record[[#This Row],[Date]],"mmmm")</f>
        <v>May</v>
      </c>
      <c r="N1855" s="5">
        <f>YEAR(Store_Record[[#This Row],[Date]])</f>
        <v>2025</v>
      </c>
      <c r="O1855"/>
    </row>
    <row r="1856" spans="1:15" x14ac:dyDescent="0.35">
      <c r="A1856" t="s">
        <v>2706</v>
      </c>
      <c r="B1856" s="2">
        <v>45788</v>
      </c>
      <c r="C1856" t="s">
        <v>10</v>
      </c>
      <c r="D1856" t="s">
        <v>29</v>
      </c>
      <c r="E1856" t="s">
        <v>26</v>
      </c>
      <c r="F1856" t="s">
        <v>13</v>
      </c>
      <c r="G1856">
        <v>1</v>
      </c>
      <c r="H1856">
        <v>3.5</v>
      </c>
      <c r="I1856" t="s">
        <v>39</v>
      </c>
      <c r="J1856" t="s">
        <v>1015</v>
      </c>
      <c r="K1856" s="12">
        <f>Store_Record[[#This Row],[Qty]]*Store_Record[[#This Row],[UnitPriceGBP]]</f>
        <v>3.5</v>
      </c>
      <c r="L1856" s="5" t="str">
        <f>TEXT(Store_Record[[#This Row],[Date]],"dddd")</f>
        <v>Sunday</v>
      </c>
      <c r="M1856" s="5" t="str">
        <f>TEXT(Store_Record[[#This Row],[Date]],"mmmm")</f>
        <v>May</v>
      </c>
      <c r="N1856" s="5">
        <f>YEAR(Store_Record[[#This Row],[Date]])</f>
        <v>2025</v>
      </c>
      <c r="O1856"/>
    </row>
    <row r="1857" spans="1:15" x14ac:dyDescent="0.35">
      <c r="A1857" t="s">
        <v>2709</v>
      </c>
      <c r="B1857" s="2">
        <v>45788</v>
      </c>
      <c r="C1857" t="s">
        <v>20</v>
      </c>
      <c r="D1857" t="s">
        <v>29</v>
      </c>
      <c r="E1857" t="s">
        <v>26</v>
      </c>
      <c r="F1857" t="s">
        <v>13</v>
      </c>
      <c r="G1857">
        <v>1</v>
      </c>
      <c r="H1857">
        <v>3.5</v>
      </c>
      <c r="I1857" t="s">
        <v>39</v>
      </c>
      <c r="J1857" t="s">
        <v>689</v>
      </c>
      <c r="K1857" s="12">
        <f>Store_Record[[#This Row],[Qty]]*Store_Record[[#This Row],[UnitPriceGBP]]</f>
        <v>3.5</v>
      </c>
      <c r="L1857" s="5" t="str">
        <f>TEXT(Store_Record[[#This Row],[Date]],"dddd")</f>
        <v>Sunday</v>
      </c>
      <c r="M1857" s="5" t="str">
        <f>TEXT(Store_Record[[#This Row],[Date]],"mmmm")</f>
        <v>May</v>
      </c>
      <c r="N1857" s="5">
        <f>YEAR(Store_Record[[#This Row],[Date]])</f>
        <v>2025</v>
      </c>
      <c r="O1857"/>
    </row>
    <row r="1858" spans="1:15" x14ac:dyDescent="0.35">
      <c r="A1858" t="s">
        <v>2705</v>
      </c>
      <c r="B1858" s="2">
        <v>45788</v>
      </c>
      <c r="C1858" t="s">
        <v>36</v>
      </c>
      <c r="D1858" t="s">
        <v>25</v>
      </c>
      <c r="E1858" t="s">
        <v>34</v>
      </c>
      <c r="F1858" t="s">
        <v>31</v>
      </c>
      <c r="G1858">
        <v>1</v>
      </c>
      <c r="H1858">
        <v>2.2000000000000002</v>
      </c>
      <c r="I1858" t="s">
        <v>21</v>
      </c>
      <c r="J1858" t="s">
        <v>1395</v>
      </c>
      <c r="K1858" s="12">
        <f>Store_Record[[#This Row],[Qty]]*Store_Record[[#This Row],[UnitPriceGBP]]</f>
        <v>2.2000000000000002</v>
      </c>
      <c r="L1858" s="5" t="str">
        <f>TEXT(Store_Record[[#This Row],[Date]],"dddd")</f>
        <v>Sunday</v>
      </c>
      <c r="M1858" s="5" t="str">
        <f>TEXT(Store_Record[[#This Row],[Date]],"mmmm")</f>
        <v>May</v>
      </c>
      <c r="N1858" s="5">
        <f>YEAR(Store_Record[[#This Row],[Date]])</f>
        <v>2025</v>
      </c>
      <c r="O1858"/>
    </row>
    <row r="1859" spans="1:15" x14ac:dyDescent="0.35">
      <c r="A1859" t="s">
        <v>2731</v>
      </c>
      <c r="B1859" s="2">
        <v>45789</v>
      </c>
      <c r="C1859" t="s">
        <v>10</v>
      </c>
      <c r="D1859" t="s">
        <v>47</v>
      </c>
      <c r="E1859" t="s">
        <v>42</v>
      </c>
      <c r="F1859" t="s">
        <v>13</v>
      </c>
      <c r="G1859">
        <v>4</v>
      </c>
      <c r="H1859">
        <v>3.8</v>
      </c>
      <c r="I1859" t="s">
        <v>21</v>
      </c>
      <c r="J1859" t="s">
        <v>1468</v>
      </c>
      <c r="K1859" s="12">
        <f>Store_Record[[#This Row],[Qty]]*Store_Record[[#This Row],[UnitPriceGBP]]</f>
        <v>15.2</v>
      </c>
      <c r="L1859" s="5" t="str">
        <f>TEXT(Store_Record[[#This Row],[Date]],"dddd")</f>
        <v>Monday</v>
      </c>
      <c r="M1859" s="5" t="str">
        <f>TEXT(Store_Record[[#This Row],[Date]],"mmmm")</f>
        <v>May</v>
      </c>
      <c r="N1859" s="5">
        <f>YEAR(Store_Record[[#This Row],[Date]])</f>
        <v>2025</v>
      </c>
      <c r="O1859"/>
    </row>
    <row r="1860" spans="1:15" x14ac:dyDescent="0.35">
      <c r="A1860" t="s">
        <v>2728</v>
      </c>
      <c r="B1860" s="2">
        <v>45789</v>
      </c>
      <c r="C1860" t="s">
        <v>36</v>
      </c>
      <c r="D1860" t="s">
        <v>25</v>
      </c>
      <c r="E1860" t="s">
        <v>26</v>
      </c>
      <c r="F1860" t="s">
        <v>13</v>
      </c>
      <c r="G1860">
        <v>4</v>
      </c>
      <c r="H1860">
        <v>3.5</v>
      </c>
      <c r="I1860" t="s">
        <v>39</v>
      </c>
      <c r="J1860" t="s">
        <v>2649</v>
      </c>
      <c r="K1860" s="12">
        <f>Store_Record[[#This Row],[Qty]]*Store_Record[[#This Row],[UnitPriceGBP]]</f>
        <v>14</v>
      </c>
      <c r="L1860" s="5" t="str">
        <f>TEXT(Store_Record[[#This Row],[Date]],"dddd")</f>
        <v>Monday</v>
      </c>
      <c r="M1860" s="5" t="str">
        <f>TEXT(Store_Record[[#This Row],[Date]],"mmmm")</f>
        <v>May</v>
      </c>
      <c r="N1860" s="5">
        <f>YEAR(Store_Record[[#This Row],[Date]])</f>
        <v>2025</v>
      </c>
      <c r="O1860"/>
    </row>
    <row r="1861" spans="1:15" x14ac:dyDescent="0.35">
      <c r="A1861" t="s">
        <v>2732</v>
      </c>
      <c r="B1861" s="2">
        <v>45789</v>
      </c>
      <c r="C1861" t="s">
        <v>24</v>
      </c>
      <c r="D1861" t="s">
        <v>25</v>
      </c>
      <c r="E1861" t="s">
        <v>12</v>
      </c>
      <c r="F1861" t="s">
        <v>13</v>
      </c>
      <c r="G1861">
        <v>5</v>
      </c>
      <c r="H1861">
        <v>2.5</v>
      </c>
      <c r="I1861" t="s">
        <v>21</v>
      </c>
      <c r="J1861" t="s">
        <v>508</v>
      </c>
      <c r="K1861" s="12">
        <f>Store_Record[[#This Row],[Qty]]*Store_Record[[#This Row],[UnitPriceGBP]]</f>
        <v>12.5</v>
      </c>
      <c r="L1861" s="5" t="str">
        <f>TEXT(Store_Record[[#This Row],[Date]],"dddd")</f>
        <v>Monday</v>
      </c>
      <c r="M1861" s="5" t="str">
        <f>TEXT(Store_Record[[#This Row],[Date]],"mmmm")</f>
        <v>May</v>
      </c>
      <c r="N1861" s="5">
        <f>YEAR(Store_Record[[#This Row],[Date]])</f>
        <v>2025</v>
      </c>
      <c r="O1861"/>
    </row>
    <row r="1862" spans="1:15" x14ac:dyDescent="0.35">
      <c r="A1862" t="s">
        <v>2719</v>
      </c>
      <c r="B1862" s="2">
        <v>45789</v>
      </c>
      <c r="C1862" t="s">
        <v>24</v>
      </c>
      <c r="D1862" t="s">
        <v>29</v>
      </c>
      <c r="E1862" t="s">
        <v>42</v>
      </c>
      <c r="F1862" t="s">
        <v>13</v>
      </c>
      <c r="G1862">
        <v>3</v>
      </c>
      <c r="H1862">
        <v>3.8</v>
      </c>
      <c r="I1862" t="s">
        <v>14</v>
      </c>
      <c r="J1862" t="s">
        <v>2720</v>
      </c>
      <c r="K1862" s="12">
        <f>Store_Record[[#This Row],[Qty]]*Store_Record[[#This Row],[UnitPriceGBP]]</f>
        <v>11.399999999999999</v>
      </c>
      <c r="L1862" s="5" t="str">
        <f>TEXT(Store_Record[[#This Row],[Date]],"dddd")</f>
        <v>Monday</v>
      </c>
      <c r="M1862" s="5" t="str">
        <f>TEXT(Store_Record[[#This Row],[Date]],"mmmm")</f>
        <v>May</v>
      </c>
      <c r="N1862" s="5">
        <f>YEAR(Store_Record[[#This Row],[Date]])</f>
        <v>2025</v>
      </c>
      <c r="O1862"/>
    </row>
    <row r="1863" spans="1:15" x14ac:dyDescent="0.35">
      <c r="A1863" t="s">
        <v>2730</v>
      </c>
      <c r="B1863" s="2">
        <v>45789</v>
      </c>
      <c r="C1863" t="s">
        <v>36</v>
      </c>
      <c r="D1863" t="s">
        <v>25</v>
      </c>
      <c r="E1863" t="s">
        <v>30</v>
      </c>
      <c r="F1863" t="s">
        <v>31</v>
      </c>
      <c r="G1863">
        <v>4</v>
      </c>
      <c r="H1863">
        <v>2.8</v>
      </c>
      <c r="I1863" t="s">
        <v>39</v>
      </c>
      <c r="J1863" t="s">
        <v>281</v>
      </c>
      <c r="K1863" s="12">
        <f>Store_Record[[#This Row],[Qty]]*Store_Record[[#This Row],[UnitPriceGBP]]</f>
        <v>11.2</v>
      </c>
      <c r="L1863" s="5" t="str">
        <f>TEXT(Store_Record[[#This Row],[Date]],"dddd")</f>
        <v>Monday</v>
      </c>
      <c r="M1863" s="5" t="str">
        <f>TEXT(Store_Record[[#This Row],[Date]],"mmmm")</f>
        <v>May</v>
      </c>
      <c r="N1863" s="5">
        <f>YEAR(Store_Record[[#This Row],[Date]])</f>
        <v>2025</v>
      </c>
      <c r="O1863"/>
    </row>
    <row r="1864" spans="1:15" x14ac:dyDescent="0.35">
      <c r="A1864" t="s">
        <v>2724</v>
      </c>
      <c r="B1864" s="2">
        <v>45789</v>
      </c>
      <c r="C1864" t="s">
        <v>20</v>
      </c>
      <c r="D1864" t="s">
        <v>47</v>
      </c>
      <c r="E1864" t="s">
        <v>34</v>
      </c>
      <c r="F1864" t="s">
        <v>31</v>
      </c>
      <c r="G1864">
        <v>5</v>
      </c>
      <c r="H1864">
        <v>2.2000000000000002</v>
      </c>
      <c r="I1864" t="s">
        <v>21</v>
      </c>
      <c r="J1864" t="s">
        <v>2079</v>
      </c>
      <c r="K1864" s="12">
        <f>Store_Record[[#This Row],[Qty]]*Store_Record[[#This Row],[UnitPriceGBP]]</f>
        <v>11</v>
      </c>
      <c r="L1864" s="5" t="str">
        <f>TEXT(Store_Record[[#This Row],[Date]],"dddd")</f>
        <v>Monday</v>
      </c>
      <c r="M1864" s="5" t="str">
        <f>TEXT(Store_Record[[#This Row],[Date]],"mmmm")</f>
        <v>May</v>
      </c>
      <c r="N1864" s="5">
        <f>YEAR(Store_Record[[#This Row],[Date]])</f>
        <v>2025</v>
      </c>
      <c r="O1864"/>
    </row>
    <row r="1865" spans="1:15" x14ac:dyDescent="0.35">
      <c r="A1865" t="s">
        <v>2733</v>
      </c>
      <c r="B1865" s="2">
        <v>45789</v>
      </c>
      <c r="C1865" t="s">
        <v>36</v>
      </c>
      <c r="D1865" t="s">
        <v>47</v>
      </c>
      <c r="E1865" t="s">
        <v>26</v>
      </c>
      <c r="F1865" t="s">
        <v>13</v>
      </c>
      <c r="G1865">
        <v>3</v>
      </c>
      <c r="H1865">
        <v>3.5</v>
      </c>
      <c r="I1865" t="s">
        <v>39</v>
      </c>
      <c r="J1865" t="s">
        <v>630</v>
      </c>
      <c r="K1865" s="12">
        <f>Store_Record[[#This Row],[Qty]]*Store_Record[[#This Row],[UnitPriceGBP]]</f>
        <v>10.5</v>
      </c>
      <c r="L1865" s="5" t="str">
        <f>TEXT(Store_Record[[#This Row],[Date]],"dddd")</f>
        <v>Monday</v>
      </c>
      <c r="M1865" s="5" t="str">
        <f>TEXT(Store_Record[[#This Row],[Date]],"mmmm")</f>
        <v>May</v>
      </c>
      <c r="N1865" s="5">
        <f>YEAR(Store_Record[[#This Row],[Date]])</f>
        <v>2025</v>
      </c>
      <c r="O1865"/>
    </row>
    <row r="1866" spans="1:15" x14ac:dyDescent="0.35">
      <c r="A1866" t="s">
        <v>2725</v>
      </c>
      <c r="B1866" s="2">
        <v>45789</v>
      </c>
      <c r="C1866" t="s">
        <v>20</v>
      </c>
      <c r="D1866" t="s">
        <v>47</v>
      </c>
      <c r="E1866" t="s">
        <v>34</v>
      </c>
      <c r="F1866" t="s">
        <v>31</v>
      </c>
      <c r="G1866">
        <v>4</v>
      </c>
      <c r="H1866">
        <v>2.2000000000000002</v>
      </c>
      <c r="I1866" t="s">
        <v>14</v>
      </c>
      <c r="J1866" t="s">
        <v>2130</v>
      </c>
      <c r="K1866" s="12">
        <f>Store_Record[[#This Row],[Qty]]*Store_Record[[#This Row],[UnitPriceGBP]]</f>
        <v>8.8000000000000007</v>
      </c>
      <c r="L1866" s="5" t="str">
        <f>TEXT(Store_Record[[#This Row],[Date]],"dddd")</f>
        <v>Monday</v>
      </c>
      <c r="M1866" s="5" t="str">
        <f>TEXT(Store_Record[[#This Row],[Date]],"mmmm")</f>
        <v>May</v>
      </c>
      <c r="N1866" s="5">
        <f>YEAR(Store_Record[[#This Row],[Date]])</f>
        <v>2025</v>
      </c>
      <c r="O1866"/>
    </row>
    <row r="1867" spans="1:15" x14ac:dyDescent="0.35">
      <c r="A1867" t="s">
        <v>2729</v>
      </c>
      <c r="B1867" s="2">
        <v>45789</v>
      </c>
      <c r="C1867" t="s">
        <v>20</v>
      </c>
      <c r="D1867" t="s">
        <v>38</v>
      </c>
      <c r="E1867" t="s">
        <v>34</v>
      </c>
      <c r="F1867" t="s">
        <v>31</v>
      </c>
      <c r="G1867">
        <v>4</v>
      </c>
      <c r="H1867">
        <v>2.2000000000000002</v>
      </c>
      <c r="I1867" t="s">
        <v>21</v>
      </c>
      <c r="J1867" t="s">
        <v>210</v>
      </c>
      <c r="K1867" s="12">
        <f>Store_Record[[#This Row],[Qty]]*Store_Record[[#This Row],[UnitPriceGBP]]</f>
        <v>8.8000000000000007</v>
      </c>
      <c r="L1867" s="5" t="str">
        <f>TEXT(Store_Record[[#This Row],[Date]],"dddd")</f>
        <v>Monday</v>
      </c>
      <c r="M1867" s="5" t="str">
        <f>TEXT(Store_Record[[#This Row],[Date]],"mmmm")</f>
        <v>May</v>
      </c>
      <c r="N1867" s="5">
        <f>YEAR(Store_Record[[#This Row],[Date]])</f>
        <v>2025</v>
      </c>
      <c r="O1867"/>
    </row>
    <row r="1868" spans="1:15" x14ac:dyDescent="0.35">
      <c r="A1868" t="s">
        <v>2716</v>
      </c>
      <c r="B1868" s="2">
        <v>45789</v>
      </c>
      <c r="C1868" t="s">
        <v>20</v>
      </c>
      <c r="D1868" t="s">
        <v>47</v>
      </c>
      <c r="E1868" t="s">
        <v>30</v>
      </c>
      <c r="F1868" t="s">
        <v>31</v>
      </c>
      <c r="G1868">
        <v>3</v>
      </c>
      <c r="H1868">
        <v>2.8</v>
      </c>
      <c r="I1868" t="s">
        <v>21</v>
      </c>
      <c r="J1868" t="s">
        <v>2717</v>
      </c>
      <c r="K1868" s="12">
        <f>Store_Record[[#This Row],[Qty]]*Store_Record[[#This Row],[UnitPriceGBP]]</f>
        <v>8.3999999999999986</v>
      </c>
      <c r="L1868" s="5" t="str">
        <f>TEXT(Store_Record[[#This Row],[Date]],"dddd")</f>
        <v>Monday</v>
      </c>
      <c r="M1868" s="5" t="str">
        <f>TEXT(Store_Record[[#This Row],[Date]],"mmmm")</f>
        <v>May</v>
      </c>
      <c r="N1868" s="5">
        <f>YEAR(Store_Record[[#This Row],[Date]])</f>
        <v>2025</v>
      </c>
      <c r="O1868"/>
    </row>
    <row r="1869" spans="1:15" x14ac:dyDescent="0.35">
      <c r="A1869" t="s">
        <v>2726</v>
      </c>
      <c r="B1869" s="2">
        <v>45789</v>
      </c>
      <c r="C1869" t="s">
        <v>10</v>
      </c>
      <c r="D1869" t="s">
        <v>11</v>
      </c>
      <c r="E1869" t="s">
        <v>30</v>
      </c>
      <c r="F1869" t="s">
        <v>31</v>
      </c>
      <c r="G1869">
        <v>3</v>
      </c>
      <c r="H1869">
        <v>2.8</v>
      </c>
      <c r="I1869" t="s">
        <v>39</v>
      </c>
      <c r="J1869" t="s">
        <v>2727</v>
      </c>
      <c r="K1869" s="12">
        <f>Store_Record[[#This Row],[Qty]]*Store_Record[[#This Row],[UnitPriceGBP]]</f>
        <v>8.3999999999999986</v>
      </c>
      <c r="L1869" s="5" t="str">
        <f>TEXT(Store_Record[[#This Row],[Date]],"dddd")</f>
        <v>Monday</v>
      </c>
      <c r="M1869" s="5" t="str">
        <f>TEXT(Store_Record[[#This Row],[Date]],"mmmm")</f>
        <v>May</v>
      </c>
      <c r="N1869" s="5">
        <f>YEAR(Store_Record[[#This Row],[Date]])</f>
        <v>2025</v>
      </c>
      <c r="O1869"/>
    </row>
    <row r="1870" spans="1:15" x14ac:dyDescent="0.35">
      <c r="A1870" t="s">
        <v>2721</v>
      </c>
      <c r="B1870" s="2">
        <v>45789</v>
      </c>
      <c r="C1870" t="s">
        <v>24</v>
      </c>
      <c r="D1870" t="s">
        <v>29</v>
      </c>
      <c r="E1870" t="s">
        <v>12</v>
      </c>
      <c r="F1870" t="s">
        <v>13</v>
      </c>
      <c r="G1870">
        <v>3</v>
      </c>
      <c r="H1870">
        <v>2.5</v>
      </c>
      <c r="I1870" t="s">
        <v>21</v>
      </c>
      <c r="J1870" t="s">
        <v>2722</v>
      </c>
      <c r="K1870" s="12">
        <f>Store_Record[[#This Row],[Qty]]*Store_Record[[#This Row],[UnitPriceGBP]]</f>
        <v>7.5</v>
      </c>
      <c r="L1870" s="5" t="str">
        <f>TEXT(Store_Record[[#This Row],[Date]],"dddd")</f>
        <v>Monday</v>
      </c>
      <c r="M1870" s="5" t="str">
        <f>TEXT(Store_Record[[#This Row],[Date]],"mmmm")</f>
        <v>May</v>
      </c>
      <c r="N1870" s="5">
        <f>YEAR(Store_Record[[#This Row],[Date]])</f>
        <v>2025</v>
      </c>
      <c r="O1870"/>
    </row>
    <row r="1871" spans="1:15" x14ac:dyDescent="0.35">
      <c r="A1871" t="s">
        <v>2713</v>
      </c>
      <c r="B1871" s="2">
        <v>45789</v>
      </c>
      <c r="C1871" t="s">
        <v>20</v>
      </c>
      <c r="D1871" t="s">
        <v>47</v>
      </c>
      <c r="E1871" t="s">
        <v>34</v>
      </c>
      <c r="F1871" t="s">
        <v>31</v>
      </c>
      <c r="G1871">
        <v>2</v>
      </c>
      <c r="H1871">
        <v>2.2000000000000002</v>
      </c>
      <c r="I1871" t="s">
        <v>21</v>
      </c>
      <c r="J1871" t="s">
        <v>1718</v>
      </c>
      <c r="K1871" s="12">
        <f>Store_Record[[#This Row],[Qty]]*Store_Record[[#This Row],[UnitPriceGBP]]</f>
        <v>4.4000000000000004</v>
      </c>
      <c r="L1871" s="5" t="str">
        <f>TEXT(Store_Record[[#This Row],[Date]],"dddd")</f>
        <v>Monday</v>
      </c>
      <c r="M1871" s="5" t="str">
        <f>TEXT(Store_Record[[#This Row],[Date]],"mmmm")</f>
        <v>May</v>
      </c>
      <c r="N1871" s="5">
        <f>YEAR(Store_Record[[#This Row],[Date]])</f>
        <v>2025</v>
      </c>
      <c r="O1871"/>
    </row>
    <row r="1872" spans="1:15" x14ac:dyDescent="0.35">
      <c r="A1872" t="s">
        <v>2714</v>
      </c>
      <c r="B1872" s="2">
        <v>45789</v>
      </c>
      <c r="C1872" t="s">
        <v>36</v>
      </c>
      <c r="D1872" t="s">
        <v>25</v>
      </c>
      <c r="E1872" t="s">
        <v>42</v>
      </c>
      <c r="F1872" t="s">
        <v>13</v>
      </c>
      <c r="G1872">
        <v>1</v>
      </c>
      <c r="H1872">
        <v>3.8</v>
      </c>
      <c r="I1872" t="s">
        <v>39</v>
      </c>
      <c r="J1872" t="s">
        <v>191</v>
      </c>
      <c r="K1872" s="12">
        <f>Store_Record[[#This Row],[Qty]]*Store_Record[[#This Row],[UnitPriceGBP]]</f>
        <v>3.8</v>
      </c>
      <c r="L1872" s="5" t="str">
        <f>TEXT(Store_Record[[#This Row],[Date]],"dddd")</f>
        <v>Monday</v>
      </c>
      <c r="M1872" s="5" t="str">
        <f>TEXT(Store_Record[[#This Row],[Date]],"mmmm")</f>
        <v>May</v>
      </c>
      <c r="N1872" s="5">
        <f>YEAR(Store_Record[[#This Row],[Date]])</f>
        <v>2025</v>
      </c>
      <c r="O1872"/>
    </row>
    <row r="1873" spans="1:15" x14ac:dyDescent="0.35">
      <c r="A1873" t="s">
        <v>2723</v>
      </c>
      <c r="B1873" s="2">
        <v>45789</v>
      </c>
      <c r="C1873" t="s">
        <v>10</v>
      </c>
      <c r="D1873" t="s">
        <v>25</v>
      </c>
      <c r="E1873" t="s">
        <v>26</v>
      </c>
      <c r="F1873" t="s">
        <v>13</v>
      </c>
      <c r="G1873">
        <v>1</v>
      </c>
      <c r="H1873">
        <v>3.5</v>
      </c>
      <c r="I1873" t="s">
        <v>14</v>
      </c>
      <c r="J1873" t="s">
        <v>1743</v>
      </c>
      <c r="K1873" s="12">
        <f>Store_Record[[#This Row],[Qty]]*Store_Record[[#This Row],[UnitPriceGBP]]</f>
        <v>3.5</v>
      </c>
      <c r="L1873" s="5" t="str">
        <f>TEXT(Store_Record[[#This Row],[Date]],"dddd")</f>
        <v>Monday</v>
      </c>
      <c r="M1873" s="5" t="str">
        <f>TEXT(Store_Record[[#This Row],[Date]],"mmmm")</f>
        <v>May</v>
      </c>
      <c r="N1873" s="5">
        <f>YEAR(Store_Record[[#This Row],[Date]])</f>
        <v>2025</v>
      </c>
      <c r="O1873"/>
    </row>
    <row r="1874" spans="1:15" x14ac:dyDescent="0.35">
      <c r="A1874" t="s">
        <v>2715</v>
      </c>
      <c r="B1874" s="2">
        <v>45789</v>
      </c>
      <c r="C1874" t="s">
        <v>36</v>
      </c>
      <c r="D1874" t="s">
        <v>47</v>
      </c>
      <c r="E1874" t="s">
        <v>12</v>
      </c>
      <c r="F1874" t="s">
        <v>13</v>
      </c>
      <c r="G1874">
        <v>1</v>
      </c>
      <c r="H1874">
        <v>2.5</v>
      </c>
      <c r="I1874" t="s">
        <v>21</v>
      </c>
      <c r="J1874" t="s">
        <v>1838</v>
      </c>
      <c r="K1874" s="12">
        <f>Store_Record[[#This Row],[Qty]]*Store_Record[[#This Row],[UnitPriceGBP]]</f>
        <v>2.5</v>
      </c>
      <c r="L1874" s="5" t="str">
        <f>TEXT(Store_Record[[#This Row],[Date]],"dddd")</f>
        <v>Monday</v>
      </c>
      <c r="M1874" s="5" t="str">
        <f>TEXT(Store_Record[[#This Row],[Date]],"mmmm")</f>
        <v>May</v>
      </c>
      <c r="N1874" s="5">
        <f>YEAR(Store_Record[[#This Row],[Date]])</f>
        <v>2025</v>
      </c>
      <c r="O1874"/>
    </row>
    <row r="1875" spans="1:15" x14ac:dyDescent="0.35">
      <c r="A1875" t="s">
        <v>2718</v>
      </c>
      <c r="B1875" s="2">
        <v>45789</v>
      </c>
      <c r="C1875" t="s">
        <v>10</v>
      </c>
      <c r="D1875" t="s">
        <v>38</v>
      </c>
      <c r="E1875" t="s">
        <v>34</v>
      </c>
      <c r="F1875" t="s">
        <v>31</v>
      </c>
      <c r="G1875">
        <v>1</v>
      </c>
      <c r="H1875">
        <v>2.2000000000000002</v>
      </c>
      <c r="I1875" t="s">
        <v>21</v>
      </c>
      <c r="J1875" t="s">
        <v>432</v>
      </c>
      <c r="K1875" s="12">
        <f>Store_Record[[#This Row],[Qty]]*Store_Record[[#This Row],[UnitPriceGBP]]</f>
        <v>2.2000000000000002</v>
      </c>
      <c r="L1875" s="5" t="str">
        <f>TEXT(Store_Record[[#This Row],[Date]],"dddd")</f>
        <v>Monday</v>
      </c>
      <c r="M1875" s="5" t="str">
        <f>TEXT(Store_Record[[#This Row],[Date]],"mmmm")</f>
        <v>May</v>
      </c>
      <c r="N1875" s="5">
        <f>YEAR(Store_Record[[#This Row],[Date]])</f>
        <v>2025</v>
      </c>
      <c r="O1875"/>
    </row>
    <row r="1876" spans="1:15" x14ac:dyDescent="0.35">
      <c r="A1876" t="s">
        <v>2750</v>
      </c>
      <c r="B1876" s="2">
        <v>45790</v>
      </c>
      <c r="C1876" t="s">
        <v>10</v>
      </c>
      <c r="D1876" t="s">
        <v>38</v>
      </c>
      <c r="E1876" t="s">
        <v>42</v>
      </c>
      <c r="F1876" t="s">
        <v>13</v>
      </c>
      <c r="G1876">
        <v>5</v>
      </c>
      <c r="H1876">
        <v>3.8</v>
      </c>
      <c r="I1876" t="s">
        <v>39</v>
      </c>
      <c r="J1876" t="s">
        <v>730</v>
      </c>
      <c r="K1876" s="12">
        <f>Store_Record[[#This Row],[Qty]]*Store_Record[[#This Row],[UnitPriceGBP]]</f>
        <v>19</v>
      </c>
      <c r="L1876" s="5" t="str">
        <f>TEXT(Store_Record[[#This Row],[Date]],"dddd")</f>
        <v>Tuesday</v>
      </c>
      <c r="M1876" s="5" t="str">
        <f>TEXT(Store_Record[[#This Row],[Date]],"mmmm")</f>
        <v>May</v>
      </c>
      <c r="N1876" s="5">
        <f>YEAR(Store_Record[[#This Row],[Date]])</f>
        <v>2025</v>
      </c>
      <c r="O1876"/>
    </row>
    <row r="1877" spans="1:15" x14ac:dyDescent="0.35">
      <c r="A1877" t="s">
        <v>2739</v>
      </c>
      <c r="B1877" s="2">
        <v>45790</v>
      </c>
      <c r="C1877" t="s">
        <v>10</v>
      </c>
      <c r="D1877" t="s">
        <v>29</v>
      </c>
      <c r="E1877" t="s">
        <v>26</v>
      </c>
      <c r="F1877" t="s">
        <v>13</v>
      </c>
      <c r="G1877">
        <v>5</v>
      </c>
      <c r="H1877">
        <v>3.5</v>
      </c>
      <c r="I1877" t="s">
        <v>14</v>
      </c>
      <c r="J1877" t="s">
        <v>2740</v>
      </c>
      <c r="K1877" s="12">
        <f>Store_Record[[#This Row],[Qty]]*Store_Record[[#This Row],[UnitPriceGBP]]</f>
        <v>17.5</v>
      </c>
      <c r="L1877" s="5" t="str">
        <f>TEXT(Store_Record[[#This Row],[Date]],"dddd")</f>
        <v>Tuesday</v>
      </c>
      <c r="M1877" s="5" t="str">
        <f>TEXT(Store_Record[[#This Row],[Date]],"mmmm")</f>
        <v>May</v>
      </c>
      <c r="N1877" s="5">
        <f>YEAR(Store_Record[[#This Row],[Date]])</f>
        <v>2025</v>
      </c>
      <c r="O1877"/>
    </row>
    <row r="1878" spans="1:15" x14ac:dyDescent="0.35">
      <c r="A1878" t="s">
        <v>2749</v>
      </c>
      <c r="B1878" s="2">
        <v>45790</v>
      </c>
      <c r="C1878" t="s">
        <v>24</v>
      </c>
      <c r="D1878" t="s">
        <v>38</v>
      </c>
      <c r="E1878" t="s">
        <v>42</v>
      </c>
      <c r="F1878" t="s">
        <v>13</v>
      </c>
      <c r="G1878">
        <v>4</v>
      </c>
      <c r="H1878">
        <v>3.8</v>
      </c>
      <c r="I1878" t="s">
        <v>14</v>
      </c>
      <c r="J1878" t="s">
        <v>175</v>
      </c>
      <c r="K1878" s="12">
        <f>Store_Record[[#This Row],[Qty]]*Store_Record[[#This Row],[UnitPriceGBP]]</f>
        <v>15.2</v>
      </c>
      <c r="L1878" s="5" t="str">
        <f>TEXT(Store_Record[[#This Row],[Date]],"dddd")</f>
        <v>Tuesday</v>
      </c>
      <c r="M1878" s="5" t="str">
        <f>TEXT(Store_Record[[#This Row],[Date]],"mmmm")</f>
        <v>May</v>
      </c>
      <c r="N1878" s="5">
        <f>YEAR(Store_Record[[#This Row],[Date]])</f>
        <v>2025</v>
      </c>
      <c r="O1878"/>
    </row>
    <row r="1879" spans="1:15" x14ac:dyDescent="0.35">
      <c r="A1879" t="s">
        <v>2735</v>
      </c>
      <c r="B1879" s="2">
        <v>45790</v>
      </c>
      <c r="C1879" t="s">
        <v>20</v>
      </c>
      <c r="D1879" t="s">
        <v>29</v>
      </c>
      <c r="E1879" t="s">
        <v>12</v>
      </c>
      <c r="F1879" t="s">
        <v>13</v>
      </c>
      <c r="G1879">
        <v>3</v>
      </c>
      <c r="H1879">
        <v>2.5</v>
      </c>
      <c r="I1879" t="s">
        <v>39</v>
      </c>
      <c r="J1879" t="s">
        <v>2233</v>
      </c>
      <c r="K1879" s="12">
        <f>Store_Record[[#This Row],[Qty]]*Store_Record[[#This Row],[UnitPriceGBP]]</f>
        <v>7.5</v>
      </c>
      <c r="L1879" s="5" t="str">
        <f>TEXT(Store_Record[[#This Row],[Date]],"dddd")</f>
        <v>Tuesday</v>
      </c>
      <c r="M1879" s="5" t="str">
        <f>TEXT(Store_Record[[#This Row],[Date]],"mmmm")</f>
        <v>May</v>
      </c>
      <c r="N1879" s="5">
        <f>YEAR(Store_Record[[#This Row],[Date]])</f>
        <v>2025</v>
      </c>
      <c r="O1879"/>
    </row>
    <row r="1880" spans="1:15" x14ac:dyDescent="0.35">
      <c r="A1880" t="s">
        <v>2737</v>
      </c>
      <c r="B1880" s="2">
        <v>45790</v>
      </c>
      <c r="C1880" t="s">
        <v>20</v>
      </c>
      <c r="D1880" t="s">
        <v>11</v>
      </c>
      <c r="E1880" t="s">
        <v>26</v>
      </c>
      <c r="F1880" t="s">
        <v>13</v>
      </c>
      <c r="G1880">
        <v>2</v>
      </c>
      <c r="H1880">
        <v>3.5</v>
      </c>
      <c r="I1880" t="s">
        <v>21</v>
      </c>
      <c r="J1880" t="s">
        <v>402</v>
      </c>
      <c r="K1880" s="12">
        <f>Store_Record[[#This Row],[Qty]]*Store_Record[[#This Row],[UnitPriceGBP]]</f>
        <v>7</v>
      </c>
      <c r="L1880" s="5" t="str">
        <f>TEXT(Store_Record[[#This Row],[Date]],"dddd")</f>
        <v>Tuesday</v>
      </c>
      <c r="M1880" s="5" t="str">
        <f>TEXT(Store_Record[[#This Row],[Date]],"mmmm")</f>
        <v>May</v>
      </c>
      <c r="N1880" s="5">
        <f>YEAR(Store_Record[[#This Row],[Date]])</f>
        <v>2025</v>
      </c>
      <c r="O1880"/>
    </row>
    <row r="1881" spans="1:15" x14ac:dyDescent="0.35">
      <c r="A1881" t="s">
        <v>2744</v>
      </c>
      <c r="B1881" s="2">
        <v>45790</v>
      </c>
      <c r="C1881" t="s">
        <v>24</v>
      </c>
      <c r="D1881" t="s">
        <v>11</v>
      </c>
      <c r="E1881" t="s">
        <v>26</v>
      </c>
      <c r="F1881" t="s">
        <v>13</v>
      </c>
      <c r="G1881">
        <v>2</v>
      </c>
      <c r="H1881">
        <v>3.5</v>
      </c>
      <c r="I1881" t="s">
        <v>14</v>
      </c>
      <c r="J1881" t="s">
        <v>2745</v>
      </c>
      <c r="K1881" s="12">
        <f>Store_Record[[#This Row],[Qty]]*Store_Record[[#This Row],[UnitPriceGBP]]</f>
        <v>7</v>
      </c>
      <c r="L1881" s="5" t="str">
        <f>TEXT(Store_Record[[#This Row],[Date]],"dddd")</f>
        <v>Tuesday</v>
      </c>
      <c r="M1881" s="5" t="str">
        <f>TEXT(Store_Record[[#This Row],[Date]],"mmmm")</f>
        <v>May</v>
      </c>
      <c r="N1881" s="5">
        <f>YEAR(Store_Record[[#This Row],[Date]])</f>
        <v>2025</v>
      </c>
      <c r="O1881"/>
    </row>
    <row r="1882" spans="1:15" x14ac:dyDescent="0.35">
      <c r="A1882" t="s">
        <v>2747</v>
      </c>
      <c r="B1882" s="2">
        <v>45790</v>
      </c>
      <c r="C1882" t="s">
        <v>10</v>
      </c>
      <c r="D1882" t="s">
        <v>29</v>
      </c>
      <c r="E1882" t="s">
        <v>26</v>
      </c>
      <c r="F1882" t="s">
        <v>13</v>
      </c>
      <c r="G1882">
        <v>2</v>
      </c>
      <c r="H1882">
        <v>3.5</v>
      </c>
      <c r="I1882" t="s">
        <v>21</v>
      </c>
      <c r="J1882" t="s">
        <v>671</v>
      </c>
      <c r="K1882" s="12">
        <f>Store_Record[[#This Row],[Qty]]*Store_Record[[#This Row],[UnitPriceGBP]]</f>
        <v>7</v>
      </c>
      <c r="L1882" s="5" t="str">
        <f>TEXT(Store_Record[[#This Row],[Date]],"dddd")</f>
        <v>Tuesday</v>
      </c>
      <c r="M1882" s="5" t="str">
        <f>TEXT(Store_Record[[#This Row],[Date]],"mmmm")</f>
        <v>May</v>
      </c>
      <c r="N1882" s="5">
        <f>YEAR(Store_Record[[#This Row],[Date]])</f>
        <v>2025</v>
      </c>
      <c r="O1882"/>
    </row>
    <row r="1883" spans="1:15" x14ac:dyDescent="0.35">
      <c r="A1883" t="s">
        <v>2751</v>
      </c>
      <c r="B1883" s="2">
        <v>45790</v>
      </c>
      <c r="C1883" t="s">
        <v>10</v>
      </c>
      <c r="D1883" t="s">
        <v>25</v>
      </c>
      <c r="E1883" t="s">
        <v>26</v>
      </c>
      <c r="F1883" t="s">
        <v>13</v>
      </c>
      <c r="G1883">
        <v>2</v>
      </c>
      <c r="H1883">
        <v>3.5</v>
      </c>
      <c r="I1883" t="s">
        <v>14</v>
      </c>
      <c r="J1883" t="s">
        <v>394</v>
      </c>
      <c r="K1883" s="12">
        <f>Store_Record[[#This Row],[Qty]]*Store_Record[[#This Row],[UnitPriceGBP]]</f>
        <v>7</v>
      </c>
      <c r="L1883" s="5" t="str">
        <f>TEXT(Store_Record[[#This Row],[Date]],"dddd")</f>
        <v>Tuesday</v>
      </c>
      <c r="M1883" s="5" t="str">
        <f>TEXT(Store_Record[[#This Row],[Date]],"mmmm")</f>
        <v>May</v>
      </c>
      <c r="N1883" s="5">
        <f>YEAR(Store_Record[[#This Row],[Date]])</f>
        <v>2025</v>
      </c>
      <c r="O1883"/>
    </row>
    <row r="1884" spans="1:15" x14ac:dyDescent="0.35">
      <c r="A1884" t="s">
        <v>2748</v>
      </c>
      <c r="B1884" s="2">
        <v>45790</v>
      </c>
      <c r="C1884" t="s">
        <v>10</v>
      </c>
      <c r="D1884" t="s">
        <v>38</v>
      </c>
      <c r="E1884" t="s">
        <v>34</v>
      </c>
      <c r="F1884" t="s">
        <v>31</v>
      </c>
      <c r="G1884">
        <v>3</v>
      </c>
      <c r="H1884">
        <v>2.2000000000000002</v>
      </c>
      <c r="I1884" t="s">
        <v>14</v>
      </c>
      <c r="J1884" t="s">
        <v>1086</v>
      </c>
      <c r="K1884" s="12">
        <f>Store_Record[[#This Row],[Qty]]*Store_Record[[#This Row],[UnitPriceGBP]]</f>
        <v>6.6000000000000005</v>
      </c>
      <c r="L1884" s="5" t="str">
        <f>TEXT(Store_Record[[#This Row],[Date]],"dddd")</f>
        <v>Tuesday</v>
      </c>
      <c r="M1884" s="5" t="str">
        <f>TEXT(Store_Record[[#This Row],[Date]],"mmmm")</f>
        <v>May</v>
      </c>
      <c r="N1884" s="5">
        <f>YEAR(Store_Record[[#This Row],[Date]])</f>
        <v>2025</v>
      </c>
      <c r="O1884"/>
    </row>
    <row r="1885" spans="1:15" x14ac:dyDescent="0.35">
      <c r="A1885" t="s">
        <v>2736</v>
      </c>
      <c r="B1885" s="2">
        <v>45790</v>
      </c>
      <c r="C1885" t="s">
        <v>20</v>
      </c>
      <c r="D1885" t="s">
        <v>47</v>
      </c>
      <c r="E1885" t="s">
        <v>12</v>
      </c>
      <c r="F1885" t="s">
        <v>13</v>
      </c>
      <c r="G1885">
        <v>2</v>
      </c>
      <c r="H1885">
        <v>2.5</v>
      </c>
      <c r="I1885" t="s">
        <v>21</v>
      </c>
      <c r="J1885" t="s">
        <v>413</v>
      </c>
      <c r="K1885" s="12">
        <f>Store_Record[[#This Row],[Qty]]*Store_Record[[#This Row],[UnitPriceGBP]]</f>
        <v>5</v>
      </c>
      <c r="L1885" s="5" t="str">
        <f>TEXT(Store_Record[[#This Row],[Date]],"dddd")</f>
        <v>Tuesday</v>
      </c>
      <c r="M1885" s="5" t="str">
        <f>TEXT(Store_Record[[#This Row],[Date]],"mmmm")</f>
        <v>May</v>
      </c>
      <c r="N1885" s="5">
        <f>YEAR(Store_Record[[#This Row],[Date]])</f>
        <v>2025</v>
      </c>
      <c r="O1885"/>
    </row>
    <row r="1886" spans="1:15" x14ac:dyDescent="0.35">
      <c r="A1886" t="s">
        <v>2746</v>
      </c>
      <c r="B1886" s="2">
        <v>45790</v>
      </c>
      <c r="C1886" t="s">
        <v>10</v>
      </c>
      <c r="D1886" t="s">
        <v>47</v>
      </c>
      <c r="E1886" t="s">
        <v>12</v>
      </c>
      <c r="F1886" t="s">
        <v>13</v>
      </c>
      <c r="G1886">
        <v>2</v>
      </c>
      <c r="H1886">
        <v>2.5</v>
      </c>
      <c r="I1886" t="s">
        <v>14</v>
      </c>
      <c r="J1886" t="s">
        <v>869</v>
      </c>
      <c r="K1886" s="12">
        <f>Store_Record[[#This Row],[Qty]]*Store_Record[[#This Row],[UnitPriceGBP]]</f>
        <v>5</v>
      </c>
      <c r="L1886" s="5" t="str">
        <f>TEXT(Store_Record[[#This Row],[Date]],"dddd")</f>
        <v>Tuesday</v>
      </c>
      <c r="M1886" s="5" t="str">
        <f>TEXT(Store_Record[[#This Row],[Date]],"mmmm")</f>
        <v>May</v>
      </c>
      <c r="N1886" s="5">
        <f>YEAR(Store_Record[[#This Row],[Date]])</f>
        <v>2025</v>
      </c>
      <c r="O1886"/>
    </row>
    <row r="1887" spans="1:15" x14ac:dyDescent="0.35">
      <c r="A1887" t="s">
        <v>2741</v>
      </c>
      <c r="B1887" s="2">
        <v>45790</v>
      </c>
      <c r="C1887" t="s">
        <v>36</v>
      </c>
      <c r="D1887" t="s">
        <v>38</v>
      </c>
      <c r="E1887" t="s">
        <v>34</v>
      </c>
      <c r="F1887" t="s">
        <v>31</v>
      </c>
      <c r="G1887">
        <v>2</v>
      </c>
      <c r="H1887">
        <v>2.2000000000000002</v>
      </c>
      <c r="I1887" t="s">
        <v>14</v>
      </c>
      <c r="J1887" t="s">
        <v>1653</v>
      </c>
      <c r="K1887" s="12">
        <f>Store_Record[[#This Row],[Qty]]*Store_Record[[#This Row],[UnitPriceGBP]]</f>
        <v>4.4000000000000004</v>
      </c>
      <c r="L1887" s="5" t="str">
        <f>TEXT(Store_Record[[#This Row],[Date]],"dddd")</f>
        <v>Tuesday</v>
      </c>
      <c r="M1887" s="5" t="str">
        <f>TEXT(Store_Record[[#This Row],[Date]],"mmmm")</f>
        <v>May</v>
      </c>
      <c r="N1887" s="5">
        <f>YEAR(Store_Record[[#This Row],[Date]])</f>
        <v>2025</v>
      </c>
      <c r="O1887"/>
    </row>
    <row r="1888" spans="1:15" x14ac:dyDescent="0.35">
      <c r="A1888" t="s">
        <v>2734</v>
      </c>
      <c r="B1888" s="2">
        <v>45790</v>
      </c>
      <c r="C1888" t="s">
        <v>10</v>
      </c>
      <c r="D1888" t="s">
        <v>38</v>
      </c>
      <c r="E1888" t="s">
        <v>42</v>
      </c>
      <c r="F1888" t="s">
        <v>13</v>
      </c>
      <c r="G1888">
        <v>1</v>
      </c>
      <c r="H1888">
        <v>3.8</v>
      </c>
      <c r="I1888" t="s">
        <v>39</v>
      </c>
      <c r="J1888" t="s">
        <v>1712</v>
      </c>
      <c r="K1888" s="12">
        <f>Store_Record[[#This Row],[Qty]]*Store_Record[[#This Row],[UnitPriceGBP]]</f>
        <v>3.8</v>
      </c>
      <c r="L1888" s="5" t="str">
        <f>TEXT(Store_Record[[#This Row],[Date]],"dddd")</f>
        <v>Tuesday</v>
      </c>
      <c r="M1888" s="5" t="str">
        <f>TEXT(Store_Record[[#This Row],[Date]],"mmmm")</f>
        <v>May</v>
      </c>
      <c r="N1888" s="5">
        <f>YEAR(Store_Record[[#This Row],[Date]])</f>
        <v>2025</v>
      </c>
      <c r="O1888"/>
    </row>
    <row r="1889" spans="1:15" x14ac:dyDescent="0.35">
      <c r="A1889" t="s">
        <v>2743</v>
      </c>
      <c r="B1889" s="2">
        <v>45790</v>
      </c>
      <c r="C1889" t="s">
        <v>36</v>
      </c>
      <c r="D1889" t="s">
        <v>11</v>
      </c>
      <c r="E1889" t="s">
        <v>30</v>
      </c>
      <c r="F1889" t="s">
        <v>31</v>
      </c>
      <c r="G1889">
        <v>1</v>
      </c>
      <c r="H1889">
        <v>2.8</v>
      </c>
      <c r="I1889" t="s">
        <v>39</v>
      </c>
      <c r="J1889" t="s">
        <v>232</v>
      </c>
      <c r="K1889" s="12">
        <f>Store_Record[[#This Row],[Qty]]*Store_Record[[#This Row],[UnitPriceGBP]]</f>
        <v>2.8</v>
      </c>
      <c r="L1889" s="5" t="str">
        <f>TEXT(Store_Record[[#This Row],[Date]],"dddd")</f>
        <v>Tuesday</v>
      </c>
      <c r="M1889" s="5" t="str">
        <f>TEXT(Store_Record[[#This Row],[Date]],"mmmm")</f>
        <v>May</v>
      </c>
      <c r="N1889" s="5">
        <f>YEAR(Store_Record[[#This Row],[Date]])</f>
        <v>2025</v>
      </c>
      <c r="O1889"/>
    </row>
    <row r="1890" spans="1:15" x14ac:dyDescent="0.35">
      <c r="A1890" t="s">
        <v>2738</v>
      </c>
      <c r="B1890" s="2">
        <v>45790</v>
      </c>
      <c r="C1890" t="s">
        <v>24</v>
      </c>
      <c r="D1890" t="s">
        <v>29</v>
      </c>
      <c r="E1890" t="s">
        <v>12</v>
      </c>
      <c r="F1890" t="s">
        <v>13</v>
      </c>
      <c r="G1890">
        <v>1</v>
      </c>
      <c r="H1890">
        <v>2.5</v>
      </c>
      <c r="I1890" t="s">
        <v>39</v>
      </c>
      <c r="J1890" t="s">
        <v>292</v>
      </c>
      <c r="K1890" s="12">
        <f>Store_Record[[#This Row],[Qty]]*Store_Record[[#This Row],[UnitPriceGBP]]</f>
        <v>2.5</v>
      </c>
      <c r="L1890" s="5" t="str">
        <f>TEXT(Store_Record[[#This Row],[Date]],"dddd")</f>
        <v>Tuesday</v>
      </c>
      <c r="M1890" s="5" t="str">
        <f>TEXT(Store_Record[[#This Row],[Date]],"mmmm")</f>
        <v>May</v>
      </c>
      <c r="N1890" s="5">
        <f>YEAR(Store_Record[[#This Row],[Date]])</f>
        <v>2025</v>
      </c>
      <c r="O1890"/>
    </row>
    <row r="1891" spans="1:15" x14ac:dyDescent="0.35">
      <c r="A1891" t="s">
        <v>2742</v>
      </c>
      <c r="B1891" s="2">
        <v>45790</v>
      </c>
      <c r="C1891" t="s">
        <v>24</v>
      </c>
      <c r="D1891" t="s">
        <v>11</v>
      </c>
      <c r="E1891" t="s">
        <v>34</v>
      </c>
      <c r="F1891" t="s">
        <v>31</v>
      </c>
      <c r="G1891">
        <v>1</v>
      </c>
      <c r="H1891">
        <v>2.2000000000000002</v>
      </c>
      <c r="I1891" t="s">
        <v>14</v>
      </c>
      <c r="J1891" t="s">
        <v>1000</v>
      </c>
      <c r="K1891" s="12">
        <f>Store_Record[[#This Row],[Qty]]*Store_Record[[#This Row],[UnitPriceGBP]]</f>
        <v>2.2000000000000002</v>
      </c>
      <c r="L1891" s="5" t="str">
        <f>TEXT(Store_Record[[#This Row],[Date]],"dddd")</f>
        <v>Tuesday</v>
      </c>
      <c r="M1891" s="5" t="str">
        <f>TEXT(Store_Record[[#This Row],[Date]],"mmmm")</f>
        <v>May</v>
      </c>
      <c r="N1891" s="5">
        <f>YEAR(Store_Record[[#This Row],[Date]])</f>
        <v>2025</v>
      </c>
      <c r="O1891"/>
    </row>
    <row r="1892" spans="1:15" x14ac:dyDescent="0.35">
      <c r="A1892" t="s">
        <v>2752</v>
      </c>
      <c r="B1892" s="2">
        <v>45791</v>
      </c>
      <c r="C1892" t="s">
        <v>36</v>
      </c>
      <c r="D1892" t="s">
        <v>38</v>
      </c>
      <c r="E1892" t="s">
        <v>42</v>
      </c>
      <c r="F1892" t="s">
        <v>13</v>
      </c>
      <c r="G1892">
        <v>5</v>
      </c>
      <c r="H1892">
        <v>3.8</v>
      </c>
      <c r="I1892" t="s">
        <v>14</v>
      </c>
      <c r="J1892" t="s">
        <v>1020</v>
      </c>
      <c r="K1892" s="12">
        <f>Store_Record[[#This Row],[Qty]]*Store_Record[[#This Row],[UnitPriceGBP]]</f>
        <v>19</v>
      </c>
      <c r="L1892" s="5" t="str">
        <f>TEXT(Store_Record[[#This Row],[Date]],"dddd")</f>
        <v>Wednesday</v>
      </c>
      <c r="M1892" s="5" t="str">
        <f>TEXT(Store_Record[[#This Row],[Date]],"mmmm")</f>
        <v>May</v>
      </c>
      <c r="N1892" s="5">
        <f>YEAR(Store_Record[[#This Row],[Date]])</f>
        <v>2025</v>
      </c>
      <c r="O1892"/>
    </row>
    <row r="1893" spans="1:15" x14ac:dyDescent="0.35">
      <c r="A1893" t="s">
        <v>2753</v>
      </c>
      <c r="B1893" s="2">
        <v>45791</v>
      </c>
      <c r="C1893" t="s">
        <v>24</v>
      </c>
      <c r="D1893" t="s">
        <v>25</v>
      </c>
      <c r="E1893" t="s">
        <v>42</v>
      </c>
      <c r="F1893" t="s">
        <v>13</v>
      </c>
      <c r="G1893">
        <v>5</v>
      </c>
      <c r="H1893">
        <v>3.8</v>
      </c>
      <c r="I1893" t="s">
        <v>14</v>
      </c>
      <c r="J1893" t="s">
        <v>2166</v>
      </c>
      <c r="K1893" s="12">
        <f>Store_Record[[#This Row],[Qty]]*Store_Record[[#This Row],[UnitPriceGBP]]</f>
        <v>19</v>
      </c>
      <c r="L1893" s="5" t="str">
        <f>TEXT(Store_Record[[#This Row],[Date]],"dddd")</f>
        <v>Wednesday</v>
      </c>
      <c r="M1893" s="5" t="str">
        <f>TEXT(Store_Record[[#This Row],[Date]],"mmmm")</f>
        <v>May</v>
      </c>
      <c r="N1893" s="5">
        <f>YEAR(Store_Record[[#This Row],[Date]])</f>
        <v>2025</v>
      </c>
      <c r="O1893"/>
    </row>
    <row r="1894" spans="1:15" x14ac:dyDescent="0.35">
      <c r="A1894" t="s">
        <v>2755</v>
      </c>
      <c r="B1894" s="2">
        <v>45791</v>
      </c>
      <c r="C1894" t="s">
        <v>10</v>
      </c>
      <c r="D1894" t="s">
        <v>38</v>
      </c>
      <c r="E1894" t="s">
        <v>42</v>
      </c>
      <c r="F1894" t="s">
        <v>13</v>
      </c>
      <c r="G1894">
        <v>5</v>
      </c>
      <c r="H1894">
        <v>3.8</v>
      </c>
      <c r="I1894" t="s">
        <v>14</v>
      </c>
      <c r="J1894" t="s">
        <v>980</v>
      </c>
      <c r="K1894" s="12">
        <f>Store_Record[[#This Row],[Qty]]*Store_Record[[#This Row],[UnitPriceGBP]]</f>
        <v>19</v>
      </c>
      <c r="L1894" s="5" t="str">
        <f>TEXT(Store_Record[[#This Row],[Date]],"dddd")</f>
        <v>Wednesday</v>
      </c>
      <c r="M1894" s="5" t="str">
        <f>TEXT(Store_Record[[#This Row],[Date]],"mmmm")</f>
        <v>May</v>
      </c>
      <c r="N1894" s="5">
        <f>YEAR(Store_Record[[#This Row],[Date]])</f>
        <v>2025</v>
      </c>
      <c r="O1894"/>
    </row>
    <row r="1895" spans="1:15" x14ac:dyDescent="0.35">
      <c r="A1895" t="s">
        <v>2756</v>
      </c>
      <c r="B1895" s="2">
        <v>45791</v>
      </c>
      <c r="C1895" t="s">
        <v>24</v>
      </c>
      <c r="D1895" t="s">
        <v>38</v>
      </c>
      <c r="E1895" t="s">
        <v>42</v>
      </c>
      <c r="F1895" t="s">
        <v>13</v>
      </c>
      <c r="G1895">
        <v>5</v>
      </c>
      <c r="H1895">
        <v>3.8</v>
      </c>
      <c r="I1895" t="s">
        <v>39</v>
      </c>
      <c r="J1895" t="s">
        <v>2093</v>
      </c>
      <c r="K1895" s="12">
        <f>Store_Record[[#This Row],[Qty]]*Store_Record[[#This Row],[UnitPriceGBP]]</f>
        <v>19</v>
      </c>
      <c r="L1895" s="5" t="str">
        <f>TEXT(Store_Record[[#This Row],[Date]],"dddd")</f>
        <v>Wednesday</v>
      </c>
      <c r="M1895" s="5" t="str">
        <f>TEXT(Store_Record[[#This Row],[Date]],"mmmm")</f>
        <v>May</v>
      </c>
      <c r="N1895" s="5">
        <f>YEAR(Store_Record[[#This Row],[Date]])</f>
        <v>2025</v>
      </c>
      <c r="O1895"/>
    </row>
    <row r="1896" spans="1:15" x14ac:dyDescent="0.35">
      <c r="A1896" t="s">
        <v>2761</v>
      </c>
      <c r="B1896" s="2">
        <v>45791</v>
      </c>
      <c r="C1896" t="s">
        <v>36</v>
      </c>
      <c r="D1896" t="s">
        <v>25</v>
      </c>
      <c r="E1896" t="s">
        <v>42</v>
      </c>
      <c r="F1896" t="s">
        <v>13</v>
      </c>
      <c r="G1896">
        <v>2</v>
      </c>
      <c r="H1896">
        <v>3.8</v>
      </c>
      <c r="I1896" t="s">
        <v>39</v>
      </c>
      <c r="J1896" t="s">
        <v>1271</v>
      </c>
      <c r="K1896" s="12">
        <f>Store_Record[[#This Row],[Qty]]*Store_Record[[#This Row],[UnitPriceGBP]]</f>
        <v>7.6</v>
      </c>
      <c r="L1896" s="5" t="str">
        <f>TEXT(Store_Record[[#This Row],[Date]],"dddd")</f>
        <v>Wednesday</v>
      </c>
      <c r="M1896" s="5" t="str">
        <f>TEXT(Store_Record[[#This Row],[Date]],"mmmm")</f>
        <v>May</v>
      </c>
      <c r="N1896" s="5">
        <f>YEAR(Store_Record[[#This Row],[Date]])</f>
        <v>2025</v>
      </c>
      <c r="O1896"/>
    </row>
    <row r="1897" spans="1:15" x14ac:dyDescent="0.35">
      <c r="A1897" t="s">
        <v>2757</v>
      </c>
      <c r="B1897" s="2">
        <v>45791</v>
      </c>
      <c r="C1897" t="s">
        <v>36</v>
      </c>
      <c r="D1897" t="s">
        <v>11</v>
      </c>
      <c r="E1897" t="s">
        <v>34</v>
      </c>
      <c r="F1897" t="s">
        <v>31</v>
      </c>
      <c r="G1897">
        <v>3</v>
      </c>
      <c r="H1897">
        <v>2.2000000000000002</v>
      </c>
      <c r="I1897" t="s">
        <v>21</v>
      </c>
      <c r="J1897" t="s">
        <v>2566</v>
      </c>
      <c r="K1897" s="12">
        <f>Store_Record[[#This Row],[Qty]]*Store_Record[[#This Row],[UnitPriceGBP]]</f>
        <v>6.6000000000000005</v>
      </c>
      <c r="L1897" s="5" t="str">
        <f>TEXT(Store_Record[[#This Row],[Date]],"dddd")</f>
        <v>Wednesday</v>
      </c>
      <c r="M1897" s="5" t="str">
        <f>TEXT(Store_Record[[#This Row],[Date]],"mmmm")</f>
        <v>May</v>
      </c>
      <c r="N1897" s="5">
        <f>YEAR(Store_Record[[#This Row],[Date]])</f>
        <v>2025</v>
      </c>
      <c r="O1897"/>
    </row>
    <row r="1898" spans="1:15" x14ac:dyDescent="0.35">
      <c r="A1898" t="s">
        <v>2758</v>
      </c>
      <c r="B1898" s="2">
        <v>45791</v>
      </c>
      <c r="C1898" t="s">
        <v>36</v>
      </c>
      <c r="D1898" t="s">
        <v>47</v>
      </c>
      <c r="E1898" t="s">
        <v>34</v>
      </c>
      <c r="F1898" t="s">
        <v>31</v>
      </c>
      <c r="G1898">
        <v>3</v>
      </c>
      <c r="H1898">
        <v>2.2000000000000002</v>
      </c>
      <c r="I1898" t="s">
        <v>39</v>
      </c>
      <c r="J1898" t="s">
        <v>2759</v>
      </c>
      <c r="K1898" s="12">
        <f>Store_Record[[#This Row],[Qty]]*Store_Record[[#This Row],[UnitPriceGBP]]</f>
        <v>6.6000000000000005</v>
      </c>
      <c r="L1898" s="5" t="str">
        <f>TEXT(Store_Record[[#This Row],[Date]],"dddd")</f>
        <v>Wednesday</v>
      </c>
      <c r="M1898" s="5" t="str">
        <f>TEXT(Store_Record[[#This Row],[Date]],"mmmm")</f>
        <v>May</v>
      </c>
      <c r="N1898" s="5">
        <f>YEAR(Store_Record[[#This Row],[Date]])</f>
        <v>2025</v>
      </c>
      <c r="O1898"/>
    </row>
    <row r="1899" spans="1:15" x14ac:dyDescent="0.35">
      <c r="A1899" t="s">
        <v>2760</v>
      </c>
      <c r="B1899" s="2">
        <v>45791</v>
      </c>
      <c r="C1899" t="s">
        <v>36</v>
      </c>
      <c r="D1899" t="s">
        <v>47</v>
      </c>
      <c r="E1899" t="s">
        <v>30</v>
      </c>
      <c r="F1899" t="s">
        <v>31</v>
      </c>
      <c r="G1899">
        <v>2</v>
      </c>
      <c r="H1899">
        <v>2.8</v>
      </c>
      <c r="I1899" t="s">
        <v>39</v>
      </c>
      <c r="J1899" t="s">
        <v>1411</v>
      </c>
      <c r="K1899" s="12">
        <f>Store_Record[[#This Row],[Qty]]*Store_Record[[#This Row],[UnitPriceGBP]]</f>
        <v>5.6</v>
      </c>
      <c r="L1899" s="5" t="str">
        <f>TEXT(Store_Record[[#This Row],[Date]],"dddd")</f>
        <v>Wednesday</v>
      </c>
      <c r="M1899" s="5" t="str">
        <f>TEXT(Store_Record[[#This Row],[Date]],"mmmm")</f>
        <v>May</v>
      </c>
      <c r="N1899" s="5">
        <f>YEAR(Store_Record[[#This Row],[Date]])</f>
        <v>2025</v>
      </c>
      <c r="O1899"/>
    </row>
    <row r="1900" spans="1:15" x14ac:dyDescent="0.35">
      <c r="A1900" t="s">
        <v>2754</v>
      </c>
      <c r="B1900" s="2">
        <v>45791</v>
      </c>
      <c r="C1900" t="s">
        <v>10</v>
      </c>
      <c r="D1900" t="s">
        <v>47</v>
      </c>
      <c r="E1900" t="s">
        <v>42</v>
      </c>
      <c r="F1900" t="s">
        <v>13</v>
      </c>
      <c r="G1900">
        <v>1</v>
      </c>
      <c r="H1900">
        <v>3.8</v>
      </c>
      <c r="I1900" t="s">
        <v>39</v>
      </c>
      <c r="J1900" t="s">
        <v>1912</v>
      </c>
      <c r="K1900" s="12">
        <f>Store_Record[[#This Row],[Qty]]*Store_Record[[#This Row],[UnitPriceGBP]]</f>
        <v>3.8</v>
      </c>
      <c r="L1900" s="5" t="str">
        <f>TEXT(Store_Record[[#This Row],[Date]],"dddd")</f>
        <v>Wednesday</v>
      </c>
      <c r="M1900" s="5" t="str">
        <f>TEXT(Store_Record[[#This Row],[Date]],"mmmm")</f>
        <v>May</v>
      </c>
      <c r="N1900" s="5">
        <f>YEAR(Store_Record[[#This Row],[Date]])</f>
        <v>2025</v>
      </c>
      <c r="O1900"/>
    </row>
    <row r="1901" spans="1:15" x14ac:dyDescent="0.35">
      <c r="A1901" t="s">
        <v>2766</v>
      </c>
      <c r="B1901" s="2">
        <v>45792</v>
      </c>
      <c r="C1901" t="s">
        <v>10</v>
      </c>
      <c r="D1901" t="s">
        <v>38</v>
      </c>
      <c r="E1901" t="s">
        <v>42</v>
      </c>
      <c r="F1901" t="s">
        <v>13</v>
      </c>
      <c r="G1901">
        <v>5</v>
      </c>
      <c r="H1901">
        <v>3.8</v>
      </c>
      <c r="I1901" t="s">
        <v>14</v>
      </c>
      <c r="J1901" t="s">
        <v>1217</v>
      </c>
      <c r="K1901" s="12">
        <f>Store_Record[[#This Row],[Qty]]*Store_Record[[#This Row],[UnitPriceGBP]]</f>
        <v>19</v>
      </c>
      <c r="L1901" s="5" t="str">
        <f>TEXT(Store_Record[[#This Row],[Date]],"dddd")</f>
        <v>Thursday</v>
      </c>
      <c r="M1901" s="5" t="str">
        <f>TEXT(Store_Record[[#This Row],[Date]],"mmmm")</f>
        <v>May</v>
      </c>
      <c r="N1901" s="5">
        <f>YEAR(Store_Record[[#This Row],[Date]])</f>
        <v>2025</v>
      </c>
      <c r="O1901"/>
    </row>
    <row r="1902" spans="1:15" x14ac:dyDescent="0.35">
      <c r="A1902" t="s">
        <v>2776</v>
      </c>
      <c r="B1902" s="2">
        <v>45792</v>
      </c>
      <c r="C1902" t="s">
        <v>10</v>
      </c>
      <c r="D1902" t="s">
        <v>38</v>
      </c>
      <c r="E1902" t="s">
        <v>42</v>
      </c>
      <c r="F1902" t="s">
        <v>13</v>
      </c>
      <c r="G1902">
        <v>5</v>
      </c>
      <c r="H1902">
        <v>3.8</v>
      </c>
      <c r="I1902" t="s">
        <v>14</v>
      </c>
      <c r="J1902" t="s">
        <v>834</v>
      </c>
      <c r="K1902" s="12">
        <f>Store_Record[[#This Row],[Qty]]*Store_Record[[#This Row],[UnitPriceGBP]]</f>
        <v>19</v>
      </c>
      <c r="L1902" s="5" t="str">
        <f>TEXT(Store_Record[[#This Row],[Date]],"dddd")</f>
        <v>Thursday</v>
      </c>
      <c r="M1902" s="5" t="str">
        <f>TEXT(Store_Record[[#This Row],[Date]],"mmmm")</f>
        <v>May</v>
      </c>
      <c r="N1902" s="5">
        <f>YEAR(Store_Record[[#This Row],[Date]])</f>
        <v>2025</v>
      </c>
      <c r="O1902"/>
    </row>
    <row r="1903" spans="1:15" x14ac:dyDescent="0.35">
      <c r="A1903" t="s">
        <v>2767</v>
      </c>
      <c r="B1903" s="2">
        <v>45792</v>
      </c>
      <c r="C1903" t="s">
        <v>20</v>
      </c>
      <c r="D1903" t="s">
        <v>29</v>
      </c>
      <c r="E1903" t="s">
        <v>26</v>
      </c>
      <c r="F1903" t="s">
        <v>13</v>
      </c>
      <c r="G1903">
        <v>4</v>
      </c>
      <c r="H1903">
        <v>3.5</v>
      </c>
      <c r="I1903" t="s">
        <v>21</v>
      </c>
      <c r="J1903" t="s">
        <v>1029</v>
      </c>
      <c r="K1903" s="12">
        <f>Store_Record[[#This Row],[Qty]]*Store_Record[[#This Row],[UnitPriceGBP]]</f>
        <v>14</v>
      </c>
      <c r="L1903" s="5" t="str">
        <f>TEXT(Store_Record[[#This Row],[Date]],"dddd")</f>
        <v>Thursday</v>
      </c>
      <c r="M1903" s="5" t="str">
        <f>TEXT(Store_Record[[#This Row],[Date]],"mmmm")</f>
        <v>May</v>
      </c>
      <c r="N1903" s="5">
        <f>YEAR(Store_Record[[#This Row],[Date]])</f>
        <v>2025</v>
      </c>
      <c r="O1903"/>
    </row>
    <row r="1904" spans="1:15" x14ac:dyDescent="0.35">
      <c r="A1904" t="s">
        <v>2768</v>
      </c>
      <c r="B1904" s="2">
        <v>45792</v>
      </c>
      <c r="C1904" t="s">
        <v>24</v>
      </c>
      <c r="D1904" t="s">
        <v>29</v>
      </c>
      <c r="E1904" t="s">
        <v>12</v>
      </c>
      <c r="F1904" t="s">
        <v>13</v>
      </c>
      <c r="G1904">
        <v>5</v>
      </c>
      <c r="H1904">
        <v>2.5</v>
      </c>
      <c r="I1904" t="s">
        <v>39</v>
      </c>
      <c r="J1904" t="s">
        <v>1063</v>
      </c>
      <c r="K1904" s="12">
        <f>Store_Record[[#This Row],[Qty]]*Store_Record[[#This Row],[UnitPriceGBP]]</f>
        <v>12.5</v>
      </c>
      <c r="L1904" s="5" t="str">
        <f>TEXT(Store_Record[[#This Row],[Date]],"dddd")</f>
        <v>Thursday</v>
      </c>
      <c r="M1904" s="5" t="str">
        <f>TEXT(Store_Record[[#This Row],[Date]],"mmmm")</f>
        <v>May</v>
      </c>
      <c r="N1904" s="5">
        <f>YEAR(Store_Record[[#This Row],[Date]])</f>
        <v>2025</v>
      </c>
      <c r="O1904"/>
    </row>
    <row r="1905" spans="1:15" x14ac:dyDescent="0.35">
      <c r="A1905" t="s">
        <v>2773</v>
      </c>
      <c r="B1905" s="2">
        <v>45792</v>
      </c>
      <c r="C1905" t="s">
        <v>10</v>
      </c>
      <c r="D1905" t="s">
        <v>47</v>
      </c>
      <c r="E1905" t="s">
        <v>42</v>
      </c>
      <c r="F1905" t="s">
        <v>13</v>
      </c>
      <c r="G1905">
        <v>3</v>
      </c>
      <c r="H1905">
        <v>3.8</v>
      </c>
      <c r="I1905" t="s">
        <v>14</v>
      </c>
      <c r="J1905" t="s">
        <v>881</v>
      </c>
      <c r="K1905" s="12">
        <f>Store_Record[[#This Row],[Qty]]*Store_Record[[#This Row],[UnitPriceGBP]]</f>
        <v>11.399999999999999</v>
      </c>
      <c r="L1905" s="5" t="str">
        <f>TEXT(Store_Record[[#This Row],[Date]],"dddd")</f>
        <v>Thursday</v>
      </c>
      <c r="M1905" s="5" t="str">
        <f>TEXT(Store_Record[[#This Row],[Date]],"mmmm")</f>
        <v>May</v>
      </c>
      <c r="N1905" s="5">
        <f>YEAR(Store_Record[[#This Row],[Date]])</f>
        <v>2025</v>
      </c>
      <c r="O1905"/>
    </row>
    <row r="1906" spans="1:15" x14ac:dyDescent="0.35">
      <c r="A1906" t="s">
        <v>2777</v>
      </c>
      <c r="B1906" s="2">
        <v>45792</v>
      </c>
      <c r="C1906" t="s">
        <v>20</v>
      </c>
      <c r="D1906" t="s">
        <v>47</v>
      </c>
      <c r="E1906" t="s">
        <v>42</v>
      </c>
      <c r="F1906" t="s">
        <v>13</v>
      </c>
      <c r="G1906">
        <v>3</v>
      </c>
      <c r="H1906">
        <v>3.8</v>
      </c>
      <c r="I1906" t="s">
        <v>39</v>
      </c>
      <c r="J1906" t="s">
        <v>2299</v>
      </c>
      <c r="K1906" s="12">
        <f>Store_Record[[#This Row],[Qty]]*Store_Record[[#This Row],[UnitPriceGBP]]</f>
        <v>11.399999999999999</v>
      </c>
      <c r="L1906" s="5" t="str">
        <f>TEXT(Store_Record[[#This Row],[Date]],"dddd")</f>
        <v>Thursday</v>
      </c>
      <c r="M1906" s="5" t="str">
        <f>TEXT(Store_Record[[#This Row],[Date]],"mmmm")</f>
        <v>May</v>
      </c>
      <c r="N1906" s="5">
        <f>YEAR(Store_Record[[#This Row],[Date]])</f>
        <v>2025</v>
      </c>
      <c r="O1906"/>
    </row>
    <row r="1907" spans="1:15" x14ac:dyDescent="0.35">
      <c r="A1907" t="s">
        <v>2769</v>
      </c>
      <c r="B1907" s="2">
        <v>45792</v>
      </c>
      <c r="C1907" t="s">
        <v>24</v>
      </c>
      <c r="D1907" t="s">
        <v>29</v>
      </c>
      <c r="E1907" t="s">
        <v>12</v>
      </c>
      <c r="F1907" t="s">
        <v>13</v>
      </c>
      <c r="G1907">
        <v>4</v>
      </c>
      <c r="H1907">
        <v>2.5</v>
      </c>
      <c r="I1907" t="s">
        <v>39</v>
      </c>
      <c r="J1907" t="s">
        <v>2770</v>
      </c>
      <c r="K1907" s="12">
        <f>Store_Record[[#This Row],[Qty]]*Store_Record[[#This Row],[UnitPriceGBP]]</f>
        <v>10</v>
      </c>
      <c r="L1907" s="5" t="str">
        <f>TEXT(Store_Record[[#This Row],[Date]],"dddd")</f>
        <v>Thursday</v>
      </c>
      <c r="M1907" s="5" t="str">
        <f>TEXT(Store_Record[[#This Row],[Date]],"mmmm")</f>
        <v>May</v>
      </c>
      <c r="N1907" s="5">
        <f>YEAR(Store_Record[[#This Row],[Date]])</f>
        <v>2025</v>
      </c>
      <c r="O1907"/>
    </row>
    <row r="1908" spans="1:15" x14ac:dyDescent="0.35">
      <c r="A1908" t="s">
        <v>2772</v>
      </c>
      <c r="B1908" s="2">
        <v>45792</v>
      </c>
      <c r="C1908" t="s">
        <v>24</v>
      </c>
      <c r="D1908" t="s">
        <v>29</v>
      </c>
      <c r="E1908" t="s">
        <v>34</v>
      </c>
      <c r="F1908" t="s">
        <v>31</v>
      </c>
      <c r="G1908">
        <v>4</v>
      </c>
      <c r="H1908">
        <v>2.2000000000000002</v>
      </c>
      <c r="I1908" t="s">
        <v>39</v>
      </c>
      <c r="J1908" t="s">
        <v>1143</v>
      </c>
      <c r="K1908" s="12">
        <f>Store_Record[[#This Row],[Qty]]*Store_Record[[#This Row],[UnitPriceGBP]]</f>
        <v>8.8000000000000007</v>
      </c>
      <c r="L1908" s="5" t="str">
        <f>TEXT(Store_Record[[#This Row],[Date]],"dddd")</f>
        <v>Thursday</v>
      </c>
      <c r="M1908" s="5" t="str">
        <f>TEXT(Store_Record[[#This Row],[Date]],"mmmm")</f>
        <v>May</v>
      </c>
      <c r="N1908" s="5">
        <f>YEAR(Store_Record[[#This Row],[Date]])</f>
        <v>2025</v>
      </c>
      <c r="O1908"/>
    </row>
    <row r="1909" spans="1:15" x14ac:dyDescent="0.35">
      <c r="A1909" t="s">
        <v>2775</v>
      </c>
      <c r="B1909" s="2">
        <v>45792</v>
      </c>
      <c r="C1909" t="s">
        <v>10</v>
      </c>
      <c r="D1909" t="s">
        <v>47</v>
      </c>
      <c r="E1909" t="s">
        <v>42</v>
      </c>
      <c r="F1909" t="s">
        <v>13</v>
      </c>
      <c r="G1909">
        <v>2</v>
      </c>
      <c r="H1909">
        <v>3.8</v>
      </c>
      <c r="I1909" t="s">
        <v>21</v>
      </c>
      <c r="J1909" t="s">
        <v>1015</v>
      </c>
      <c r="K1909" s="12">
        <f>Store_Record[[#This Row],[Qty]]*Store_Record[[#This Row],[UnitPriceGBP]]</f>
        <v>7.6</v>
      </c>
      <c r="L1909" s="5" t="str">
        <f>TEXT(Store_Record[[#This Row],[Date]],"dddd")</f>
        <v>Thursday</v>
      </c>
      <c r="M1909" s="5" t="str">
        <f>TEXT(Store_Record[[#This Row],[Date]],"mmmm")</f>
        <v>May</v>
      </c>
      <c r="N1909" s="5">
        <f>YEAR(Store_Record[[#This Row],[Date]])</f>
        <v>2025</v>
      </c>
      <c r="O1909"/>
    </row>
    <row r="1910" spans="1:15" x14ac:dyDescent="0.35">
      <c r="A1910" t="s">
        <v>2762</v>
      </c>
      <c r="B1910" s="2">
        <v>45792</v>
      </c>
      <c r="C1910" t="s">
        <v>36</v>
      </c>
      <c r="D1910" t="s">
        <v>47</v>
      </c>
      <c r="E1910" t="s">
        <v>30</v>
      </c>
      <c r="F1910" t="s">
        <v>31</v>
      </c>
      <c r="G1910">
        <v>2</v>
      </c>
      <c r="H1910">
        <v>2.8</v>
      </c>
      <c r="I1910" t="s">
        <v>21</v>
      </c>
      <c r="J1910" t="s">
        <v>349</v>
      </c>
      <c r="K1910" s="12">
        <f>Store_Record[[#This Row],[Qty]]*Store_Record[[#This Row],[UnitPriceGBP]]</f>
        <v>5.6</v>
      </c>
      <c r="L1910" s="5" t="str">
        <f>TEXT(Store_Record[[#This Row],[Date]],"dddd")</f>
        <v>Thursday</v>
      </c>
      <c r="M1910" s="5" t="str">
        <f>TEXT(Store_Record[[#This Row],[Date]],"mmmm")</f>
        <v>May</v>
      </c>
      <c r="N1910" s="5">
        <f>YEAR(Store_Record[[#This Row],[Date]])</f>
        <v>2025</v>
      </c>
      <c r="O1910"/>
    </row>
    <row r="1911" spans="1:15" x14ac:dyDescent="0.35">
      <c r="A1911" t="s">
        <v>2765</v>
      </c>
      <c r="B1911" s="2">
        <v>45792</v>
      </c>
      <c r="C1911" t="s">
        <v>24</v>
      </c>
      <c r="D1911" t="s">
        <v>38</v>
      </c>
      <c r="E1911" t="s">
        <v>26</v>
      </c>
      <c r="F1911" t="s">
        <v>13</v>
      </c>
      <c r="G1911">
        <v>1</v>
      </c>
      <c r="H1911">
        <v>3.5</v>
      </c>
      <c r="I1911" t="s">
        <v>39</v>
      </c>
      <c r="J1911" t="s">
        <v>2184</v>
      </c>
      <c r="K1911" s="12">
        <f>Store_Record[[#This Row],[Qty]]*Store_Record[[#This Row],[UnitPriceGBP]]</f>
        <v>3.5</v>
      </c>
      <c r="L1911" s="5" t="str">
        <f>TEXT(Store_Record[[#This Row],[Date]],"dddd")</f>
        <v>Thursday</v>
      </c>
      <c r="M1911" s="5" t="str">
        <f>TEXT(Store_Record[[#This Row],[Date]],"mmmm")</f>
        <v>May</v>
      </c>
      <c r="N1911" s="5">
        <f>YEAR(Store_Record[[#This Row],[Date]])</f>
        <v>2025</v>
      </c>
      <c r="O1911"/>
    </row>
    <row r="1912" spans="1:15" x14ac:dyDescent="0.35">
      <c r="A1912" t="s">
        <v>2763</v>
      </c>
      <c r="B1912" s="2">
        <v>45792</v>
      </c>
      <c r="C1912" t="s">
        <v>36</v>
      </c>
      <c r="D1912" t="s">
        <v>38</v>
      </c>
      <c r="E1912" t="s">
        <v>30</v>
      </c>
      <c r="F1912" t="s">
        <v>31</v>
      </c>
      <c r="G1912">
        <v>1</v>
      </c>
      <c r="H1912">
        <v>2.8</v>
      </c>
      <c r="I1912" t="s">
        <v>39</v>
      </c>
      <c r="J1912" t="s">
        <v>2764</v>
      </c>
      <c r="K1912" s="12">
        <f>Store_Record[[#This Row],[Qty]]*Store_Record[[#This Row],[UnitPriceGBP]]</f>
        <v>2.8</v>
      </c>
      <c r="L1912" s="5" t="str">
        <f>TEXT(Store_Record[[#This Row],[Date]],"dddd")</f>
        <v>Thursday</v>
      </c>
      <c r="M1912" s="5" t="str">
        <f>TEXT(Store_Record[[#This Row],[Date]],"mmmm")</f>
        <v>May</v>
      </c>
      <c r="N1912" s="5">
        <f>YEAR(Store_Record[[#This Row],[Date]])</f>
        <v>2025</v>
      </c>
      <c r="O1912"/>
    </row>
    <row r="1913" spans="1:15" x14ac:dyDescent="0.35">
      <c r="A1913" t="s">
        <v>2771</v>
      </c>
      <c r="B1913" s="2">
        <v>45792</v>
      </c>
      <c r="C1913" t="s">
        <v>10</v>
      </c>
      <c r="D1913" t="s">
        <v>38</v>
      </c>
      <c r="E1913" t="s">
        <v>30</v>
      </c>
      <c r="F1913" t="s">
        <v>31</v>
      </c>
      <c r="G1913">
        <v>1</v>
      </c>
      <c r="H1913">
        <v>2.8</v>
      </c>
      <c r="I1913" t="s">
        <v>39</v>
      </c>
      <c r="J1913" t="s">
        <v>2286</v>
      </c>
      <c r="K1913" s="12">
        <f>Store_Record[[#This Row],[Qty]]*Store_Record[[#This Row],[UnitPriceGBP]]</f>
        <v>2.8</v>
      </c>
      <c r="L1913" s="5" t="str">
        <f>TEXT(Store_Record[[#This Row],[Date]],"dddd")</f>
        <v>Thursday</v>
      </c>
      <c r="M1913" s="5" t="str">
        <f>TEXT(Store_Record[[#This Row],[Date]],"mmmm")</f>
        <v>May</v>
      </c>
      <c r="N1913" s="5">
        <f>YEAR(Store_Record[[#This Row],[Date]])</f>
        <v>2025</v>
      </c>
      <c r="O1913"/>
    </row>
    <row r="1914" spans="1:15" x14ac:dyDescent="0.35">
      <c r="A1914" t="s">
        <v>2774</v>
      </c>
      <c r="B1914" s="2">
        <v>45792</v>
      </c>
      <c r="C1914" t="s">
        <v>20</v>
      </c>
      <c r="D1914" t="s">
        <v>29</v>
      </c>
      <c r="E1914" t="s">
        <v>34</v>
      </c>
      <c r="F1914" t="s">
        <v>31</v>
      </c>
      <c r="G1914">
        <v>1</v>
      </c>
      <c r="H1914">
        <v>2.2000000000000002</v>
      </c>
      <c r="I1914" t="s">
        <v>14</v>
      </c>
      <c r="J1914" t="s">
        <v>2401</v>
      </c>
      <c r="K1914" s="12">
        <f>Store_Record[[#This Row],[Qty]]*Store_Record[[#This Row],[UnitPriceGBP]]</f>
        <v>2.2000000000000002</v>
      </c>
      <c r="L1914" s="5" t="str">
        <f>TEXT(Store_Record[[#This Row],[Date]],"dddd")</f>
        <v>Thursday</v>
      </c>
      <c r="M1914" s="5" t="str">
        <f>TEXT(Store_Record[[#This Row],[Date]],"mmmm")</f>
        <v>May</v>
      </c>
      <c r="N1914" s="5">
        <f>YEAR(Store_Record[[#This Row],[Date]])</f>
        <v>2025</v>
      </c>
      <c r="O1914"/>
    </row>
    <row r="1915" spans="1:15" x14ac:dyDescent="0.35">
      <c r="A1915" t="s">
        <v>2778</v>
      </c>
      <c r="B1915" s="2">
        <v>45793</v>
      </c>
      <c r="C1915" t="s">
        <v>10</v>
      </c>
      <c r="D1915" t="s">
        <v>25</v>
      </c>
      <c r="E1915" t="s">
        <v>42</v>
      </c>
      <c r="F1915" t="s">
        <v>13</v>
      </c>
      <c r="G1915">
        <v>5</v>
      </c>
      <c r="H1915">
        <v>3.8</v>
      </c>
      <c r="I1915" t="s">
        <v>14</v>
      </c>
      <c r="J1915" t="s">
        <v>2779</v>
      </c>
      <c r="K1915" s="12">
        <f>Store_Record[[#This Row],[Qty]]*Store_Record[[#This Row],[UnitPriceGBP]]</f>
        <v>19</v>
      </c>
      <c r="L1915" s="5" t="str">
        <f>TEXT(Store_Record[[#This Row],[Date]],"dddd")</f>
        <v>Friday</v>
      </c>
      <c r="M1915" s="5" t="str">
        <f>TEXT(Store_Record[[#This Row],[Date]],"mmmm")</f>
        <v>May</v>
      </c>
      <c r="N1915" s="5">
        <f>YEAR(Store_Record[[#This Row],[Date]])</f>
        <v>2025</v>
      </c>
      <c r="O1915"/>
    </row>
    <row r="1916" spans="1:15" x14ac:dyDescent="0.35">
      <c r="A1916" t="s">
        <v>2782</v>
      </c>
      <c r="B1916" s="2">
        <v>45793</v>
      </c>
      <c r="C1916" t="s">
        <v>24</v>
      </c>
      <c r="D1916" t="s">
        <v>29</v>
      </c>
      <c r="E1916" t="s">
        <v>42</v>
      </c>
      <c r="F1916" t="s">
        <v>13</v>
      </c>
      <c r="G1916">
        <v>4</v>
      </c>
      <c r="H1916">
        <v>3.8</v>
      </c>
      <c r="I1916" t="s">
        <v>21</v>
      </c>
      <c r="J1916" t="s">
        <v>1657</v>
      </c>
      <c r="K1916" s="12">
        <f>Store_Record[[#This Row],[Qty]]*Store_Record[[#This Row],[UnitPriceGBP]]</f>
        <v>15.2</v>
      </c>
      <c r="L1916" s="5" t="str">
        <f>TEXT(Store_Record[[#This Row],[Date]],"dddd")</f>
        <v>Friday</v>
      </c>
      <c r="M1916" s="5" t="str">
        <f>TEXT(Store_Record[[#This Row],[Date]],"mmmm")</f>
        <v>May</v>
      </c>
      <c r="N1916" s="5">
        <f>YEAR(Store_Record[[#This Row],[Date]])</f>
        <v>2025</v>
      </c>
      <c r="O1916"/>
    </row>
    <row r="1917" spans="1:15" x14ac:dyDescent="0.35">
      <c r="A1917" t="s">
        <v>2783</v>
      </c>
      <c r="B1917" s="2">
        <v>45793</v>
      </c>
      <c r="C1917" t="s">
        <v>10</v>
      </c>
      <c r="D1917" t="s">
        <v>38</v>
      </c>
      <c r="E1917" t="s">
        <v>30</v>
      </c>
      <c r="F1917" t="s">
        <v>31</v>
      </c>
      <c r="G1917">
        <v>4</v>
      </c>
      <c r="H1917">
        <v>2.8</v>
      </c>
      <c r="I1917" t="s">
        <v>21</v>
      </c>
      <c r="J1917" t="s">
        <v>91</v>
      </c>
      <c r="K1917" s="12">
        <f>Store_Record[[#This Row],[Qty]]*Store_Record[[#This Row],[UnitPriceGBP]]</f>
        <v>11.2</v>
      </c>
      <c r="L1917" s="5" t="str">
        <f>TEXT(Store_Record[[#This Row],[Date]],"dddd")</f>
        <v>Friday</v>
      </c>
      <c r="M1917" s="5" t="str">
        <f>TEXT(Store_Record[[#This Row],[Date]],"mmmm")</f>
        <v>May</v>
      </c>
      <c r="N1917" s="5">
        <f>YEAR(Store_Record[[#This Row],[Date]])</f>
        <v>2025</v>
      </c>
      <c r="O1917"/>
    </row>
    <row r="1918" spans="1:15" x14ac:dyDescent="0.35">
      <c r="A1918" t="s">
        <v>2787</v>
      </c>
      <c r="B1918" s="2">
        <v>45793</v>
      </c>
      <c r="C1918" t="s">
        <v>24</v>
      </c>
      <c r="D1918" t="s">
        <v>25</v>
      </c>
      <c r="E1918" t="s">
        <v>26</v>
      </c>
      <c r="F1918" t="s">
        <v>13</v>
      </c>
      <c r="G1918">
        <v>3</v>
      </c>
      <c r="H1918">
        <v>3.5</v>
      </c>
      <c r="I1918" t="s">
        <v>21</v>
      </c>
      <c r="J1918" t="s">
        <v>832</v>
      </c>
      <c r="K1918" s="12">
        <f>Store_Record[[#This Row],[Qty]]*Store_Record[[#This Row],[UnitPriceGBP]]</f>
        <v>10.5</v>
      </c>
      <c r="L1918" s="5" t="str">
        <f>TEXT(Store_Record[[#This Row],[Date]],"dddd")</f>
        <v>Friday</v>
      </c>
      <c r="M1918" s="5" t="str">
        <f>TEXT(Store_Record[[#This Row],[Date]],"mmmm")</f>
        <v>May</v>
      </c>
      <c r="N1918" s="5">
        <f>YEAR(Store_Record[[#This Row],[Date]])</f>
        <v>2025</v>
      </c>
      <c r="O1918"/>
    </row>
    <row r="1919" spans="1:15" x14ac:dyDescent="0.35">
      <c r="A1919" t="s">
        <v>2780</v>
      </c>
      <c r="B1919" s="2">
        <v>45793</v>
      </c>
      <c r="C1919" t="s">
        <v>36</v>
      </c>
      <c r="D1919" t="s">
        <v>11</v>
      </c>
      <c r="E1919" t="s">
        <v>34</v>
      </c>
      <c r="F1919" t="s">
        <v>31</v>
      </c>
      <c r="G1919">
        <v>4</v>
      </c>
      <c r="H1919">
        <v>2.2000000000000002</v>
      </c>
      <c r="I1919" t="s">
        <v>39</v>
      </c>
      <c r="J1919" t="s">
        <v>2781</v>
      </c>
      <c r="K1919" s="12">
        <f>Store_Record[[#This Row],[Qty]]*Store_Record[[#This Row],[UnitPriceGBP]]</f>
        <v>8.8000000000000007</v>
      </c>
      <c r="L1919" s="5" t="str">
        <f>TEXT(Store_Record[[#This Row],[Date]],"dddd")</f>
        <v>Friday</v>
      </c>
      <c r="M1919" s="5" t="str">
        <f>TEXT(Store_Record[[#This Row],[Date]],"mmmm")</f>
        <v>May</v>
      </c>
      <c r="N1919" s="5">
        <f>YEAR(Store_Record[[#This Row],[Date]])</f>
        <v>2025</v>
      </c>
      <c r="O1919"/>
    </row>
    <row r="1920" spans="1:15" x14ac:dyDescent="0.35">
      <c r="A1920" t="s">
        <v>2785</v>
      </c>
      <c r="B1920" s="2">
        <v>45793</v>
      </c>
      <c r="C1920" t="s">
        <v>10</v>
      </c>
      <c r="D1920" t="s">
        <v>11</v>
      </c>
      <c r="E1920" t="s">
        <v>26</v>
      </c>
      <c r="F1920" t="s">
        <v>31</v>
      </c>
      <c r="G1920">
        <v>4</v>
      </c>
      <c r="H1920">
        <v>2.2000000000000002</v>
      </c>
      <c r="I1920" t="s">
        <v>14</v>
      </c>
      <c r="J1920" t="s">
        <v>1616</v>
      </c>
      <c r="K1920" s="12">
        <f>Store_Record[[#This Row],[Qty]]*Store_Record[[#This Row],[UnitPriceGBP]]</f>
        <v>8.8000000000000007</v>
      </c>
      <c r="L1920" s="5" t="str">
        <f>TEXT(Store_Record[[#This Row],[Date]],"dddd")</f>
        <v>Friday</v>
      </c>
      <c r="M1920" s="5" t="str">
        <f>TEXT(Store_Record[[#This Row],[Date]],"mmmm")</f>
        <v>May</v>
      </c>
      <c r="N1920" s="5">
        <f>YEAR(Store_Record[[#This Row],[Date]])</f>
        <v>2025</v>
      </c>
      <c r="O1920"/>
    </row>
    <row r="1921" spans="1:15" x14ac:dyDescent="0.35">
      <c r="A1921" t="s">
        <v>2784</v>
      </c>
      <c r="B1921" s="2">
        <v>45793</v>
      </c>
      <c r="C1921" t="s">
        <v>24</v>
      </c>
      <c r="D1921" t="s">
        <v>47</v>
      </c>
      <c r="E1921" t="s">
        <v>26</v>
      </c>
      <c r="F1921" t="s">
        <v>13</v>
      </c>
      <c r="G1921">
        <v>2</v>
      </c>
      <c r="H1921">
        <v>3.5</v>
      </c>
      <c r="I1921" t="s">
        <v>39</v>
      </c>
      <c r="J1921" t="s">
        <v>1983</v>
      </c>
      <c r="K1921" s="12">
        <f>Store_Record[[#This Row],[Qty]]*Store_Record[[#This Row],[UnitPriceGBP]]</f>
        <v>7</v>
      </c>
      <c r="L1921" s="5" t="str">
        <f>TEXT(Store_Record[[#This Row],[Date]],"dddd")</f>
        <v>Friday</v>
      </c>
      <c r="M1921" s="5" t="str">
        <f>TEXT(Store_Record[[#This Row],[Date]],"mmmm")</f>
        <v>May</v>
      </c>
      <c r="N1921" s="5">
        <f>YEAR(Store_Record[[#This Row],[Date]])</f>
        <v>2025</v>
      </c>
      <c r="O1921"/>
    </row>
    <row r="1922" spans="1:15" x14ac:dyDescent="0.35">
      <c r="A1922" t="s">
        <v>2786</v>
      </c>
      <c r="B1922" s="2">
        <v>45793</v>
      </c>
      <c r="C1922" t="s">
        <v>20</v>
      </c>
      <c r="D1922" t="s">
        <v>25</v>
      </c>
      <c r="E1922" t="s">
        <v>42</v>
      </c>
      <c r="F1922" t="s">
        <v>13</v>
      </c>
      <c r="G1922">
        <v>1</v>
      </c>
      <c r="H1922">
        <v>3.8</v>
      </c>
      <c r="I1922" t="s">
        <v>21</v>
      </c>
      <c r="J1922" t="s">
        <v>1926</v>
      </c>
      <c r="K1922" s="12">
        <f>Store_Record[[#This Row],[Qty]]*Store_Record[[#This Row],[UnitPriceGBP]]</f>
        <v>3.8</v>
      </c>
      <c r="L1922" s="5" t="str">
        <f>TEXT(Store_Record[[#This Row],[Date]],"dddd")</f>
        <v>Friday</v>
      </c>
      <c r="M1922" s="5" t="str">
        <f>TEXT(Store_Record[[#This Row],[Date]],"mmmm")</f>
        <v>May</v>
      </c>
      <c r="N1922" s="5">
        <f>YEAR(Store_Record[[#This Row],[Date]])</f>
        <v>2025</v>
      </c>
      <c r="O1922"/>
    </row>
    <row r="1923" spans="1:15" x14ac:dyDescent="0.35">
      <c r="A1923" t="s">
        <v>2798</v>
      </c>
      <c r="B1923" s="2">
        <v>45794</v>
      </c>
      <c r="C1923" t="s">
        <v>20</v>
      </c>
      <c r="D1923" t="s">
        <v>38</v>
      </c>
      <c r="E1923" t="s">
        <v>34</v>
      </c>
      <c r="F1923" t="s">
        <v>31</v>
      </c>
      <c r="G1923">
        <v>4</v>
      </c>
      <c r="H1923">
        <v>2.2000000000000002</v>
      </c>
      <c r="I1923" t="s">
        <v>14</v>
      </c>
      <c r="J1923" t="s">
        <v>1403</v>
      </c>
      <c r="K1923" s="12">
        <f>Store_Record[[#This Row],[Qty]]*Store_Record[[#This Row],[UnitPriceGBP]]</f>
        <v>8.8000000000000007</v>
      </c>
      <c r="L1923" s="5" t="str">
        <f>TEXT(Store_Record[[#This Row],[Date]],"dddd")</f>
        <v>Saturday</v>
      </c>
      <c r="M1923" s="5" t="str">
        <f>TEXT(Store_Record[[#This Row],[Date]],"mmmm")</f>
        <v>May</v>
      </c>
      <c r="N1923" s="5">
        <f>YEAR(Store_Record[[#This Row],[Date]])</f>
        <v>2025</v>
      </c>
      <c r="O1923"/>
    </row>
    <row r="1924" spans="1:15" x14ac:dyDescent="0.35">
      <c r="A1924" t="s">
        <v>2800</v>
      </c>
      <c r="B1924" s="2">
        <v>45794</v>
      </c>
      <c r="C1924" t="s">
        <v>36</v>
      </c>
      <c r="D1924" t="s">
        <v>25</v>
      </c>
      <c r="E1924" t="s">
        <v>34</v>
      </c>
      <c r="F1924" t="s">
        <v>31</v>
      </c>
      <c r="G1924">
        <v>4</v>
      </c>
      <c r="H1924">
        <v>2.2000000000000002</v>
      </c>
      <c r="I1924" t="s">
        <v>39</v>
      </c>
      <c r="J1924" t="s">
        <v>109</v>
      </c>
      <c r="K1924" s="12">
        <f>Store_Record[[#This Row],[Qty]]*Store_Record[[#This Row],[UnitPriceGBP]]</f>
        <v>8.8000000000000007</v>
      </c>
      <c r="L1924" s="5" t="str">
        <f>TEXT(Store_Record[[#This Row],[Date]],"dddd")</f>
        <v>Saturday</v>
      </c>
      <c r="M1924" s="5" t="str">
        <f>TEXT(Store_Record[[#This Row],[Date]],"mmmm")</f>
        <v>May</v>
      </c>
      <c r="N1924" s="5">
        <f>YEAR(Store_Record[[#This Row],[Date]])</f>
        <v>2025</v>
      </c>
      <c r="O1924"/>
    </row>
    <row r="1925" spans="1:15" x14ac:dyDescent="0.35">
      <c r="A1925" t="s">
        <v>2799</v>
      </c>
      <c r="B1925" s="2">
        <v>45794</v>
      </c>
      <c r="C1925" t="s">
        <v>36</v>
      </c>
      <c r="D1925" t="s">
        <v>11</v>
      </c>
      <c r="E1925" t="s">
        <v>42</v>
      </c>
      <c r="F1925" t="s">
        <v>13</v>
      </c>
      <c r="G1925">
        <v>2</v>
      </c>
      <c r="H1925">
        <v>3.8</v>
      </c>
      <c r="I1925" t="s">
        <v>14</v>
      </c>
      <c r="J1925" t="s">
        <v>2651</v>
      </c>
      <c r="K1925" s="12">
        <f>Store_Record[[#This Row],[Qty]]*Store_Record[[#This Row],[UnitPriceGBP]]</f>
        <v>7.6</v>
      </c>
      <c r="L1925" s="5" t="str">
        <f>TEXT(Store_Record[[#This Row],[Date]],"dddd")</f>
        <v>Saturday</v>
      </c>
      <c r="M1925" s="5" t="str">
        <f>TEXT(Store_Record[[#This Row],[Date]],"mmmm")</f>
        <v>May</v>
      </c>
      <c r="N1925" s="5">
        <f>YEAR(Store_Record[[#This Row],[Date]])</f>
        <v>2025</v>
      </c>
      <c r="O1925"/>
    </row>
    <row r="1926" spans="1:15" x14ac:dyDescent="0.35">
      <c r="A1926" t="s">
        <v>2792</v>
      </c>
      <c r="B1926" s="2">
        <v>45794</v>
      </c>
      <c r="C1926" t="s">
        <v>24</v>
      </c>
      <c r="D1926" t="s">
        <v>29</v>
      </c>
      <c r="E1926" t="s">
        <v>34</v>
      </c>
      <c r="F1926" t="s">
        <v>31</v>
      </c>
      <c r="G1926">
        <v>3</v>
      </c>
      <c r="H1926">
        <v>2.2000000000000002</v>
      </c>
      <c r="I1926" t="s">
        <v>14</v>
      </c>
      <c r="J1926" t="s">
        <v>1023</v>
      </c>
      <c r="K1926" s="12">
        <f>Store_Record[[#This Row],[Qty]]*Store_Record[[#This Row],[UnitPriceGBP]]</f>
        <v>6.6000000000000005</v>
      </c>
      <c r="L1926" s="5" t="str">
        <f>TEXT(Store_Record[[#This Row],[Date]],"dddd")</f>
        <v>Saturday</v>
      </c>
      <c r="M1926" s="5" t="str">
        <f>TEXT(Store_Record[[#This Row],[Date]],"mmmm")</f>
        <v>May</v>
      </c>
      <c r="N1926" s="5">
        <f>YEAR(Store_Record[[#This Row],[Date]])</f>
        <v>2025</v>
      </c>
      <c r="O1926"/>
    </row>
    <row r="1927" spans="1:15" x14ac:dyDescent="0.35">
      <c r="A1927" t="s">
        <v>2801</v>
      </c>
      <c r="B1927" s="2">
        <v>45794</v>
      </c>
      <c r="C1927" t="s">
        <v>20</v>
      </c>
      <c r="D1927" t="s">
        <v>47</v>
      </c>
      <c r="E1927" t="s">
        <v>34</v>
      </c>
      <c r="F1927" t="s">
        <v>31</v>
      </c>
      <c r="G1927">
        <v>3</v>
      </c>
      <c r="H1927">
        <v>2.2000000000000002</v>
      </c>
      <c r="I1927" t="s">
        <v>21</v>
      </c>
      <c r="J1927" t="s">
        <v>140</v>
      </c>
      <c r="K1927" s="12">
        <f>Store_Record[[#This Row],[Qty]]*Store_Record[[#This Row],[UnitPriceGBP]]</f>
        <v>6.6000000000000005</v>
      </c>
      <c r="L1927" s="5" t="str">
        <f>TEXT(Store_Record[[#This Row],[Date]],"dddd")</f>
        <v>Saturday</v>
      </c>
      <c r="M1927" s="5" t="str">
        <f>TEXT(Store_Record[[#This Row],[Date]],"mmmm")</f>
        <v>May</v>
      </c>
      <c r="N1927" s="5">
        <f>YEAR(Store_Record[[#This Row],[Date]])</f>
        <v>2025</v>
      </c>
      <c r="O1927"/>
    </row>
    <row r="1928" spans="1:15" x14ac:dyDescent="0.35">
      <c r="A1928" t="s">
        <v>2797</v>
      </c>
      <c r="B1928" s="2">
        <v>45794</v>
      </c>
      <c r="C1928" t="s">
        <v>36</v>
      </c>
      <c r="D1928" t="s">
        <v>11</v>
      </c>
      <c r="E1928" t="s">
        <v>12</v>
      </c>
      <c r="F1928" t="s">
        <v>13</v>
      </c>
      <c r="G1928">
        <v>2</v>
      </c>
      <c r="H1928">
        <v>2.5</v>
      </c>
      <c r="I1928" t="s">
        <v>14</v>
      </c>
      <c r="J1928" t="s">
        <v>976</v>
      </c>
      <c r="K1928" s="12">
        <f>Store_Record[[#This Row],[Qty]]*Store_Record[[#This Row],[UnitPriceGBP]]</f>
        <v>5</v>
      </c>
      <c r="L1928" s="5" t="str">
        <f>TEXT(Store_Record[[#This Row],[Date]],"dddd")</f>
        <v>Saturday</v>
      </c>
      <c r="M1928" s="5" t="str">
        <f>TEXT(Store_Record[[#This Row],[Date]],"mmmm")</f>
        <v>May</v>
      </c>
      <c r="N1928" s="5">
        <f>YEAR(Store_Record[[#This Row],[Date]])</f>
        <v>2025</v>
      </c>
      <c r="O1928"/>
    </row>
    <row r="1929" spans="1:15" x14ac:dyDescent="0.35">
      <c r="A1929" t="s">
        <v>2791</v>
      </c>
      <c r="B1929" s="2">
        <v>45794</v>
      </c>
      <c r="C1929" t="s">
        <v>10</v>
      </c>
      <c r="D1929" t="s">
        <v>25</v>
      </c>
      <c r="E1929" t="s">
        <v>34</v>
      </c>
      <c r="F1929" t="s">
        <v>31</v>
      </c>
      <c r="G1929">
        <v>2</v>
      </c>
      <c r="H1929">
        <v>2.2000000000000002</v>
      </c>
      <c r="I1929" t="s">
        <v>14</v>
      </c>
      <c r="J1929" t="s">
        <v>392</v>
      </c>
      <c r="K1929" s="12">
        <f>Store_Record[[#This Row],[Qty]]*Store_Record[[#This Row],[UnitPriceGBP]]</f>
        <v>4.4000000000000004</v>
      </c>
      <c r="L1929" s="5" t="str">
        <f>TEXT(Store_Record[[#This Row],[Date]],"dddd")</f>
        <v>Saturday</v>
      </c>
      <c r="M1929" s="5" t="str">
        <f>TEXT(Store_Record[[#This Row],[Date]],"mmmm")</f>
        <v>May</v>
      </c>
      <c r="N1929" s="5">
        <f>YEAR(Store_Record[[#This Row],[Date]])</f>
        <v>2025</v>
      </c>
      <c r="O1929"/>
    </row>
    <row r="1930" spans="1:15" x14ac:dyDescent="0.35">
      <c r="A1930" t="s">
        <v>2793</v>
      </c>
      <c r="B1930" s="2">
        <v>45794</v>
      </c>
      <c r="C1930" t="s">
        <v>20</v>
      </c>
      <c r="D1930" t="s">
        <v>47</v>
      </c>
      <c r="E1930" t="s">
        <v>42</v>
      </c>
      <c r="F1930" t="s">
        <v>13</v>
      </c>
      <c r="G1930">
        <v>1</v>
      </c>
      <c r="H1930">
        <v>3.8</v>
      </c>
      <c r="I1930" t="s">
        <v>21</v>
      </c>
      <c r="J1930" t="s">
        <v>2794</v>
      </c>
      <c r="K1930" s="12">
        <f>Store_Record[[#This Row],[Qty]]*Store_Record[[#This Row],[UnitPriceGBP]]</f>
        <v>3.8</v>
      </c>
      <c r="L1930" s="5" t="str">
        <f>TEXT(Store_Record[[#This Row],[Date]],"dddd")</f>
        <v>Saturday</v>
      </c>
      <c r="M1930" s="5" t="str">
        <f>TEXT(Store_Record[[#This Row],[Date]],"mmmm")</f>
        <v>May</v>
      </c>
      <c r="N1930" s="5">
        <f>YEAR(Store_Record[[#This Row],[Date]])</f>
        <v>2025</v>
      </c>
      <c r="O1930"/>
    </row>
    <row r="1931" spans="1:15" x14ac:dyDescent="0.35">
      <c r="A1931" t="s">
        <v>2789</v>
      </c>
      <c r="B1931" s="2">
        <v>45794</v>
      </c>
      <c r="C1931" t="s">
        <v>24</v>
      </c>
      <c r="D1931" t="s">
        <v>29</v>
      </c>
      <c r="E1931" t="s">
        <v>26</v>
      </c>
      <c r="F1931" t="s">
        <v>13</v>
      </c>
      <c r="G1931">
        <v>1</v>
      </c>
      <c r="H1931">
        <v>3.5</v>
      </c>
      <c r="I1931" t="s">
        <v>21</v>
      </c>
      <c r="J1931" t="s">
        <v>2790</v>
      </c>
      <c r="K1931" s="12">
        <f>Store_Record[[#This Row],[Qty]]*Store_Record[[#This Row],[UnitPriceGBP]]</f>
        <v>3.5</v>
      </c>
      <c r="L1931" s="5" t="str">
        <f>TEXT(Store_Record[[#This Row],[Date]],"dddd")</f>
        <v>Saturday</v>
      </c>
      <c r="M1931" s="5" t="str">
        <f>TEXT(Store_Record[[#This Row],[Date]],"mmmm")</f>
        <v>May</v>
      </c>
      <c r="N1931" s="5">
        <f>YEAR(Store_Record[[#This Row],[Date]])</f>
        <v>2025</v>
      </c>
      <c r="O1931"/>
    </row>
    <row r="1932" spans="1:15" x14ac:dyDescent="0.35">
      <c r="A1932" t="s">
        <v>2802</v>
      </c>
      <c r="B1932" s="2">
        <v>45794</v>
      </c>
      <c r="C1932" t="s">
        <v>24</v>
      </c>
      <c r="D1932" t="s">
        <v>11</v>
      </c>
      <c r="E1932" t="s">
        <v>30</v>
      </c>
      <c r="F1932" t="s">
        <v>31</v>
      </c>
      <c r="G1932">
        <v>1</v>
      </c>
      <c r="H1932">
        <v>2.8</v>
      </c>
      <c r="I1932" t="s">
        <v>39</v>
      </c>
      <c r="J1932" t="s">
        <v>48</v>
      </c>
      <c r="K1932" s="12">
        <f>Store_Record[[#This Row],[Qty]]*Store_Record[[#This Row],[UnitPriceGBP]]</f>
        <v>2.8</v>
      </c>
      <c r="L1932" s="5" t="str">
        <f>TEXT(Store_Record[[#This Row],[Date]],"dddd")</f>
        <v>Saturday</v>
      </c>
      <c r="M1932" s="5" t="str">
        <f>TEXT(Store_Record[[#This Row],[Date]],"mmmm")</f>
        <v>May</v>
      </c>
      <c r="N1932" s="5">
        <f>YEAR(Store_Record[[#This Row],[Date]])</f>
        <v>2025</v>
      </c>
      <c r="O1932"/>
    </row>
    <row r="1933" spans="1:15" x14ac:dyDescent="0.35">
      <c r="A1933" t="s">
        <v>2788</v>
      </c>
      <c r="B1933" s="2">
        <v>45794</v>
      </c>
      <c r="C1933" t="s">
        <v>10</v>
      </c>
      <c r="D1933" t="s">
        <v>29</v>
      </c>
      <c r="E1933" t="s">
        <v>34</v>
      </c>
      <c r="F1933" t="s">
        <v>31</v>
      </c>
      <c r="G1933">
        <v>1</v>
      </c>
      <c r="H1933">
        <v>2.2000000000000002</v>
      </c>
      <c r="I1933" t="s">
        <v>21</v>
      </c>
      <c r="J1933" t="s">
        <v>1481</v>
      </c>
      <c r="K1933" s="12">
        <f>Store_Record[[#This Row],[Qty]]*Store_Record[[#This Row],[UnitPriceGBP]]</f>
        <v>2.2000000000000002</v>
      </c>
      <c r="L1933" s="5" t="str">
        <f>TEXT(Store_Record[[#This Row],[Date]],"dddd")</f>
        <v>Saturday</v>
      </c>
      <c r="M1933" s="5" t="str">
        <f>TEXT(Store_Record[[#This Row],[Date]],"mmmm")</f>
        <v>May</v>
      </c>
      <c r="N1933" s="5">
        <f>YEAR(Store_Record[[#This Row],[Date]])</f>
        <v>2025</v>
      </c>
      <c r="O1933"/>
    </row>
    <row r="1934" spans="1:15" x14ac:dyDescent="0.35">
      <c r="A1934" t="s">
        <v>2795</v>
      </c>
      <c r="B1934" s="2">
        <v>45794</v>
      </c>
      <c r="C1934" t="s">
        <v>10</v>
      </c>
      <c r="D1934" t="s">
        <v>47</v>
      </c>
      <c r="E1934" t="s">
        <v>34</v>
      </c>
      <c r="F1934" t="s">
        <v>31</v>
      </c>
      <c r="G1934">
        <v>1</v>
      </c>
      <c r="H1934">
        <v>2.2000000000000002</v>
      </c>
      <c r="I1934" t="s">
        <v>39</v>
      </c>
      <c r="J1934" t="s">
        <v>2796</v>
      </c>
      <c r="K1934" s="12">
        <f>Store_Record[[#This Row],[Qty]]*Store_Record[[#This Row],[UnitPriceGBP]]</f>
        <v>2.2000000000000002</v>
      </c>
      <c r="L1934" s="5" t="str">
        <f>TEXT(Store_Record[[#This Row],[Date]],"dddd")</f>
        <v>Saturday</v>
      </c>
      <c r="M1934" s="5" t="str">
        <f>TEXT(Store_Record[[#This Row],[Date]],"mmmm")</f>
        <v>May</v>
      </c>
      <c r="N1934" s="5">
        <f>YEAR(Store_Record[[#This Row],[Date]])</f>
        <v>2025</v>
      </c>
      <c r="O1934"/>
    </row>
    <row r="1935" spans="1:15" x14ac:dyDescent="0.35">
      <c r="A1935" t="s">
        <v>2811</v>
      </c>
      <c r="B1935" s="2">
        <v>45795</v>
      </c>
      <c r="C1935" t="s">
        <v>20</v>
      </c>
      <c r="D1935" t="s">
        <v>11</v>
      </c>
      <c r="E1935" t="s">
        <v>30</v>
      </c>
      <c r="F1935" t="s">
        <v>31</v>
      </c>
      <c r="G1935">
        <v>5</v>
      </c>
      <c r="H1935">
        <v>2.8</v>
      </c>
      <c r="I1935" t="s">
        <v>14</v>
      </c>
      <c r="J1935" t="s">
        <v>836</v>
      </c>
      <c r="K1935" s="12">
        <f>Store_Record[[#This Row],[Qty]]*Store_Record[[#This Row],[UnitPriceGBP]]</f>
        <v>14</v>
      </c>
      <c r="L1935" s="5" t="str">
        <f>TEXT(Store_Record[[#This Row],[Date]],"dddd")</f>
        <v>Sunday</v>
      </c>
      <c r="M1935" s="5" t="str">
        <f>TEXT(Store_Record[[#This Row],[Date]],"mmmm")</f>
        <v>May</v>
      </c>
      <c r="N1935" s="5">
        <f>YEAR(Store_Record[[#This Row],[Date]])</f>
        <v>2025</v>
      </c>
      <c r="O1935"/>
    </row>
    <row r="1936" spans="1:15" x14ac:dyDescent="0.35">
      <c r="A1936" t="s">
        <v>2813</v>
      </c>
      <c r="B1936" s="2">
        <v>45795</v>
      </c>
      <c r="C1936" t="s">
        <v>20</v>
      </c>
      <c r="D1936" t="s">
        <v>11</v>
      </c>
      <c r="E1936" t="s">
        <v>34</v>
      </c>
      <c r="F1936" t="s">
        <v>31</v>
      </c>
      <c r="G1936">
        <v>5</v>
      </c>
      <c r="H1936">
        <v>2.2000000000000002</v>
      </c>
      <c r="I1936" t="s">
        <v>39</v>
      </c>
      <c r="J1936" t="s">
        <v>1005</v>
      </c>
      <c r="K1936" s="12">
        <f>Store_Record[[#This Row],[Qty]]*Store_Record[[#This Row],[UnitPriceGBP]]</f>
        <v>11</v>
      </c>
      <c r="L1936" s="5" t="str">
        <f>TEXT(Store_Record[[#This Row],[Date]],"dddd")</f>
        <v>Sunday</v>
      </c>
      <c r="M1936" s="5" t="str">
        <f>TEXT(Store_Record[[#This Row],[Date]],"mmmm")</f>
        <v>May</v>
      </c>
      <c r="N1936" s="5">
        <f>YEAR(Store_Record[[#This Row],[Date]])</f>
        <v>2025</v>
      </c>
      <c r="O1936"/>
    </row>
    <row r="1937" spans="1:15" x14ac:dyDescent="0.35">
      <c r="A1937" t="s">
        <v>2804</v>
      </c>
      <c r="B1937" s="2">
        <v>45795</v>
      </c>
      <c r="C1937" t="s">
        <v>36</v>
      </c>
      <c r="D1937" t="s">
        <v>29</v>
      </c>
      <c r="E1937" t="s">
        <v>26</v>
      </c>
      <c r="F1937" t="s">
        <v>13</v>
      </c>
      <c r="G1937">
        <v>3</v>
      </c>
      <c r="H1937">
        <v>3.5</v>
      </c>
      <c r="I1937" t="s">
        <v>39</v>
      </c>
      <c r="J1937" t="s">
        <v>1434</v>
      </c>
      <c r="K1937" s="12">
        <f>Store_Record[[#This Row],[Qty]]*Store_Record[[#This Row],[UnitPriceGBP]]</f>
        <v>10.5</v>
      </c>
      <c r="L1937" s="5" t="str">
        <f>TEXT(Store_Record[[#This Row],[Date]],"dddd")</f>
        <v>Sunday</v>
      </c>
      <c r="M1937" s="5" t="str">
        <f>TEXT(Store_Record[[#This Row],[Date]],"mmmm")</f>
        <v>May</v>
      </c>
      <c r="N1937" s="5">
        <f>YEAR(Store_Record[[#This Row],[Date]])</f>
        <v>2025</v>
      </c>
      <c r="O1937"/>
    </row>
    <row r="1938" spans="1:15" x14ac:dyDescent="0.35">
      <c r="A1938" t="s">
        <v>2810</v>
      </c>
      <c r="B1938" s="2">
        <v>45795</v>
      </c>
      <c r="C1938" t="s">
        <v>36</v>
      </c>
      <c r="D1938" t="s">
        <v>29</v>
      </c>
      <c r="E1938" t="s">
        <v>26</v>
      </c>
      <c r="F1938" t="s">
        <v>13</v>
      </c>
      <c r="G1938">
        <v>3</v>
      </c>
      <c r="H1938">
        <v>3.5</v>
      </c>
      <c r="I1938" t="s">
        <v>39</v>
      </c>
      <c r="J1938" t="s">
        <v>1449</v>
      </c>
      <c r="K1938" s="12">
        <f>Store_Record[[#This Row],[Qty]]*Store_Record[[#This Row],[UnitPriceGBP]]</f>
        <v>10.5</v>
      </c>
      <c r="L1938" s="5" t="str">
        <f>TEXT(Store_Record[[#This Row],[Date]],"dddd")</f>
        <v>Sunday</v>
      </c>
      <c r="M1938" s="5" t="str">
        <f>TEXT(Store_Record[[#This Row],[Date]],"mmmm")</f>
        <v>May</v>
      </c>
      <c r="N1938" s="5">
        <f>YEAR(Store_Record[[#This Row],[Date]])</f>
        <v>2025</v>
      </c>
      <c r="O1938"/>
    </row>
    <row r="1939" spans="1:15" x14ac:dyDescent="0.35">
      <c r="A1939" t="s">
        <v>2808</v>
      </c>
      <c r="B1939" s="2">
        <v>45795</v>
      </c>
      <c r="C1939" t="s">
        <v>20</v>
      </c>
      <c r="D1939" t="s">
        <v>11</v>
      </c>
      <c r="E1939" t="s">
        <v>12</v>
      </c>
      <c r="F1939" t="s">
        <v>13</v>
      </c>
      <c r="G1939">
        <v>4</v>
      </c>
      <c r="H1939">
        <v>2.5</v>
      </c>
      <c r="I1939" t="s">
        <v>14</v>
      </c>
      <c r="J1939" t="s">
        <v>561</v>
      </c>
      <c r="K1939" s="12">
        <f>Store_Record[[#This Row],[Qty]]*Store_Record[[#This Row],[UnitPriceGBP]]</f>
        <v>10</v>
      </c>
      <c r="L1939" s="5" t="str">
        <f>TEXT(Store_Record[[#This Row],[Date]],"dddd")</f>
        <v>Sunday</v>
      </c>
      <c r="M1939" s="5" t="str">
        <f>TEXT(Store_Record[[#This Row],[Date]],"mmmm")</f>
        <v>May</v>
      </c>
      <c r="N1939" s="5">
        <f>YEAR(Store_Record[[#This Row],[Date]])</f>
        <v>2025</v>
      </c>
      <c r="O1939"/>
    </row>
    <row r="1940" spans="1:15" x14ac:dyDescent="0.35">
      <c r="A1940" t="s">
        <v>2803</v>
      </c>
      <c r="B1940" s="2">
        <v>45795</v>
      </c>
      <c r="C1940" t="s">
        <v>20</v>
      </c>
      <c r="D1940" t="s">
        <v>25</v>
      </c>
      <c r="E1940" t="s">
        <v>30</v>
      </c>
      <c r="F1940" t="s">
        <v>31</v>
      </c>
      <c r="G1940">
        <v>3</v>
      </c>
      <c r="H1940">
        <v>2.8</v>
      </c>
      <c r="I1940" t="s">
        <v>39</v>
      </c>
      <c r="J1940" t="s">
        <v>2273</v>
      </c>
      <c r="K1940" s="12">
        <f>Store_Record[[#This Row],[Qty]]*Store_Record[[#This Row],[UnitPriceGBP]]</f>
        <v>8.3999999999999986</v>
      </c>
      <c r="L1940" s="5" t="str">
        <f>TEXT(Store_Record[[#This Row],[Date]],"dddd")</f>
        <v>Sunday</v>
      </c>
      <c r="M1940" s="5" t="str">
        <f>TEXT(Store_Record[[#This Row],[Date]],"mmmm")</f>
        <v>May</v>
      </c>
      <c r="N1940" s="5">
        <f>YEAR(Store_Record[[#This Row],[Date]])</f>
        <v>2025</v>
      </c>
      <c r="O1940"/>
    </row>
    <row r="1941" spans="1:15" x14ac:dyDescent="0.35">
      <c r="A1941" t="s">
        <v>2807</v>
      </c>
      <c r="B1941" s="2">
        <v>45795</v>
      </c>
      <c r="C1941" t="s">
        <v>36</v>
      </c>
      <c r="D1941" t="s">
        <v>47</v>
      </c>
      <c r="E1941" t="s">
        <v>30</v>
      </c>
      <c r="F1941" t="s">
        <v>31</v>
      </c>
      <c r="G1941">
        <v>3</v>
      </c>
      <c r="H1941">
        <v>2.8</v>
      </c>
      <c r="I1941" t="s">
        <v>14</v>
      </c>
      <c r="J1941" t="s">
        <v>2030</v>
      </c>
      <c r="K1941" s="12">
        <f>Store_Record[[#This Row],[Qty]]*Store_Record[[#This Row],[UnitPriceGBP]]</f>
        <v>8.3999999999999986</v>
      </c>
      <c r="L1941" s="5" t="str">
        <f>TEXT(Store_Record[[#This Row],[Date]],"dddd")</f>
        <v>Sunday</v>
      </c>
      <c r="M1941" s="5" t="str">
        <f>TEXT(Store_Record[[#This Row],[Date]],"mmmm")</f>
        <v>May</v>
      </c>
      <c r="N1941" s="5">
        <f>YEAR(Store_Record[[#This Row],[Date]])</f>
        <v>2025</v>
      </c>
      <c r="O1941"/>
    </row>
    <row r="1942" spans="1:15" x14ac:dyDescent="0.35">
      <c r="A1942" t="s">
        <v>2806</v>
      </c>
      <c r="B1942" s="2">
        <v>45795</v>
      </c>
      <c r="C1942" t="s">
        <v>36</v>
      </c>
      <c r="D1942" t="s">
        <v>11</v>
      </c>
      <c r="E1942" t="s">
        <v>12</v>
      </c>
      <c r="F1942" t="s">
        <v>13</v>
      </c>
      <c r="G1942">
        <v>3</v>
      </c>
      <c r="H1942">
        <v>2.5</v>
      </c>
      <c r="I1942" t="s">
        <v>21</v>
      </c>
      <c r="J1942" t="s">
        <v>1663</v>
      </c>
      <c r="K1942" s="12">
        <f>Store_Record[[#This Row],[Qty]]*Store_Record[[#This Row],[UnitPriceGBP]]</f>
        <v>7.5</v>
      </c>
      <c r="L1942" s="5" t="str">
        <f>TEXT(Store_Record[[#This Row],[Date]],"dddd")</f>
        <v>Sunday</v>
      </c>
      <c r="M1942" s="5" t="str">
        <f>TEXT(Store_Record[[#This Row],[Date]],"mmmm")</f>
        <v>May</v>
      </c>
      <c r="N1942" s="5">
        <f>YEAR(Store_Record[[#This Row],[Date]])</f>
        <v>2025</v>
      </c>
      <c r="O1942"/>
    </row>
    <row r="1943" spans="1:15" x14ac:dyDescent="0.35">
      <c r="A1943" t="s">
        <v>2805</v>
      </c>
      <c r="B1943" s="2">
        <v>45795</v>
      </c>
      <c r="C1943" t="s">
        <v>20</v>
      </c>
      <c r="D1943" t="s">
        <v>29</v>
      </c>
      <c r="E1943" t="s">
        <v>34</v>
      </c>
      <c r="F1943" t="s">
        <v>31</v>
      </c>
      <c r="G1943">
        <v>3</v>
      </c>
      <c r="H1943">
        <v>2.2000000000000002</v>
      </c>
      <c r="I1943" t="s">
        <v>14</v>
      </c>
      <c r="J1943" t="s">
        <v>462</v>
      </c>
      <c r="K1943" s="12">
        <f>Store_Record[[#This Row],[Qty]]*Store_Record[[#This Row],[UnitPriceGBP]]</f>
        <v>6.6000000000000005</v>
      </c>
      <c r="L1943" s="5" t="str">
        <f>TEXT(Store_Record[[#This Row],[Date]],"dddd")</f>
        <v>Sunday</v>
      </c>
      <c r="M1943" s="5" t="str">
        <f>TEXT(Store_Record[[#This Row],[Date]],"mmmm")</f>
        <v>May</v>
      </c>
      <c r="N1943" s="5">
        <f>YEAR(Store_Record[[#This Row],[Date]])</f>
        <v>2025</v>
      </c>
      <c r="O1943"/>
    </row>
    <row r="1944" spans="1:15" x14ac:dyDescent="0.35">
      <c r="A1944" t="s">
        <v>2812</v>
      </c>
      <c r="B1944" s="2">
        <v>45795</v>
      </c>
      <c r="C1944" t="s">
        <v>36</v>
      </c>
      <c r="D1944" t="s">
        <v>11</v>
      </c>
      <c r="E1944" t="s">
        <v>42</v>
      </c>
      <c r="F1944" t="s">
        <v>13</v>
      </c>
      <c r="G1944">
        <v>1</v>
      </c>
      <c r="H1944">
        <v>3.8</v>
      </c>
      <c r="I1944" t="s">
        <v>39</v>
      </c>
      <c r="J1944" t="s">
        <v>1625</v>
      </c>
      <c r="K1944" s="12">
        <f>Store_Record[[#This Row],[Qty]]*Store_Record[[#This Row],[UnitPriceGBP]]</f>
        <v>3.8</v>
      </c>
      <c r="L1944" s="5" t="str">
        <f>TEXT(Store_Record[[#This Row],[Date]],"dddd")</f>
        <v>Sunday</v>
      </c>
      <c r="M1944" s="5" t="str">
        <f>TEXT(Store_Record[[#This Row],[Date]],"mmmm")</f>
        <v>May</v>
      </c>
      <c r="N1944" s="5">
        <f>YEAR(Store_Record[[#This Row],[Date]])</f>
        <v>2025</v>
      </c>
      <c r="O1944"/>
    </row>
    <row r="1945" spans="1:15" x14ac:dyDescent="0.35">
      <c r="A1945" t="s">
        <v>2809</v>
      </c>
      <c r="B1945" s="2">
        <v>45795</v>
      </c>
      <c r="C1945" t="s">
        <v>24</v>
      </c>
      <c r="D1945" t="s">
        <v>38</v>
      </c>
      <c r="E1945" t="s">
        <v>34</v>
      </c>
      <c r="F1945" t="s">
        <v>31</v>
      </c>
      <c r="G1945">
        <v>1</v>
      </c>
      <c r="H1945">
        <v>2.2000000000000002</v>
      </c>
      <c r="I1945" t="s">
        <v>14</v>
      </c>
      <c r="J1945" t="s">
        <v>364</v>
      </c>
      <c r="K1945" s="12">
        <f>Store_Record[[#This Row],[Qty]]*Store_Record[[#This Row],[UnitPriceGBP]]</f>
        <v>2.2000000000000002</v>
      </c>
      <c r="L1945" s="5" t="str">
        <f>TEXT(Store_Record[[#This Row],[Date]],"dddd")</f>
        <v>Sunday</v>
      </c>
      <c r="M1945" s="5" t="str">
        <f>TEXT(Store_Record[[#This Row],[Date]],"mmmm")</f>
        <v>May</v>
      </c>
      <c r="N1945" s="5">
        <f>YEAR(Store_Record[[#This Row],[Date]])</f>
        <v>2025</v>
      </c>
      <c r="O1945"/>
    </row>
    <row r="1946" spans="1:15" x14ac:dyDescent="0.35">
      <c r="A1946" t="s">
        <v>2816</v>
      </c>
      <c r="B1946" s="2">
        <v>45796</v>
      </c>
      <c r="C1946" t="s">
        <v>20</v>
      </c>
      <c r="D1946" t="s">
        <v>47</v>
      </c>
      <c r="E1946" t="s">
        <v>26</v>
      </c>
      <c r="F1946" t="s">
        <v>13</v>
      </c>
      <c r="G1946">
        <v>3</v>
      </c>
      <c r="H1946">
        <v>3.5</v>
      </c>
      <c r="I1946" t="s">
        <v>14</v>
      </c>
      <c r="J1946" t="s">
        <v>1038</v>
      </c>
      <c r="K1946" s="12">
        <f>Store_Record[[#This Row],[Qty]]*Store_Record[[#This Row],[UnitPriceGBP]]</f>
        <v>10.5</v>
      </c>
      <c r="L1946" s="5" t="str">
        <f>TEXT(Store_Record[[#This Row],[Date]],"dddd")</f>
        <v>Monday</v>
      </c>
      <c r="M1946" s="5" t="str">
        <f>TEXT(Store_Record[[#This Row],[Date]],"mmmm")</f>
        <v>May</v>
      </c>
      <c r="N1946" s="5">
        <f>YEAR(Store_Record[[#This Row],[Date]])</f>
        <v>2025</v>
      </c>
      <c r="O1946"/>
    </row>
    <row r="1947" spans="1:15" x14ac:dyDescent="0.35">
      <c r="A1947" t="s">
        <v>2819</v>
      </c>
      <c r="B1947" s="2">
        <v>45796</v>
      </c>
      <c r="C1947" t="s">
        <v>20</v>
      </c>
      <c r="D1947" t="s">
        <v>11</v>
      </c>
      <c r="E1947" t="s">
        <v>26</v>
      </c>
      <c r="F1947" t="s">
        <v>13</v>
      </c>
      <c r="G1947">
        <v>3</v>
      </c>
      <c r="H1947">
        <v>3.5</v>
      </c>
      <c r="I1947" t="s">
        <v>14</v>
      </c>
      <c r="J1947" t="s">
        <v>181</v>
      </c>
      <c r="K1947" s="12">
        <f>Store_Record[[#This Row],[Qty]]*Store_Record[[#This Row],[UnitPriceGBP]]</f>
        <v>10.5</v>
      </c>
      <c r="L1947" s="5" t="str">
        <f>TEXT(Store_Record[[#This Row],[Date]],"dddd")</f>
        <v>Monday</v>
      </c>
      <c r="M1947" s="5" t="str">
        <f>TEXT(Store_Record[[#This Row],[Date]],"mmmm")</f>
        <v>May</v>
      </c>
      <c r="N1947" s="5">
        <f>YEAR(Store_Record[[#This Row],[Date]])</f>
        <v>2025</v>
      </c>
      <c r="O1947"/>
    </row>
    <row r="1948" spans="1:15" x14ac:dyDescent="0.35">
      <c r="A1948" t="s">
        <v>2821</v>
      </c>
      <c r="B1948" s="2">
        <v>45796</v>
      </c>
      <c r="C1948" t="s">
        <v>20</v>
      </c>
      <c r="D1948" t="s">
        <v>47</v>
      </c>
      <c r="E1948" t="s">
        <v>26</v>
      </c>
      <c r="F1948" t="s">
        <v>13</v>
      </c>
      <c r="G1948">
        <v>3</v>
      </c>
      <c r="H1948">
        <v>3.5</v>
      </c>
      <c r="I1948" t="s">
        <v>14</v>
      </c>
      <c r="J1948" t="s">
        <v>1023</v>
      </c>
      <c r="K1948" s="12">
        <f>Store_Record[[#This Row],[Qty]]*Store_Record[[#This Row],[UnitPriceGBP]]</f>
        <v>10.5</v>
      </c>
      <c r="L1948" s="5" t="str">
        <f>TEXT(Store_Record[[#This Row],[Date]],"dddd")</f>
        <v>Monday</v>
      </c>
      <c r="M1948" s="5" t="str">
        <f>TEXT(Store_Record[[#This Row],[Date]],"mmmm")</f>
        <v>May</v>
      </c>
      <c r="N1948" s="5">
        <f>YEAR(Store_Record[[#This Row],[Date]])</f>
        <v>2025</v>
      </c>
      <c r="O1948"/>
    </row>
    <row r="1949" spans="1:15" x14ac:dyDescent="0.35">
      <c r="A1949" t="s">
        <v>2815</v>
      </c>
      <c r="B1949" s="2">
        <v>45796</v>
      </c>
      <c r="C1949" t="s">
        <v>36</v>
      </c>
      <c r="D1949" t="s">
        <v>25</v>
      </c>
      <c r="E1949" t="s">
        <v>34</v>
      </c>
      <c r="F1949" t="s">
        <v>31</v>
      </c>
      <c r="G1949">
        <v>4</v>
      </c>
      <c r="H1949">
        <v>2.2000000000000002</v>
      </c>
      <c r="I1949" t="s">
        <v>21</v>
      </c>
      <c r="J1949" t="s">
        <v>378</v>
      </c>
      <c r="K1949" s="12">
        <f>Store_Record[[#This Row],[Qty]]*Store_Record[[#This Row],[UnitPriceGBP]]</f>
        <v>8.8000000000000007</v>
      </c>
      <c r="L1949" s="5" t="str">
        <f>TEXT(Store_Record[[#This Row],[Date]],"dddd")</f>
        <v>Monday</v>
      </c>
      <c r="M1949" s="5" t="str">
        <f>TEXT(Store_Record[[#This Row],[Date]],"mmmm")</f>
        <v>May</v>
      </c>
      <c r="N1949" s="5">
        <f>YEAR(Store_Record[[#This Row],[Date]])</f>
        <v>2025</v>
      </c>
      <c r="O1949"/>
    </row>
    <row r="1950" spans="1:15" x14ac:dyDescent="0.35">
      <c r="A1950" t="s">
        <v>2814</v>
      </c>
      <c r="B1950" s="2">
        <v>45796</v>
      </c>
      <c r="C1950" t="s">
        <v>24</v>
      </c>
      <c r="D1950" t="s">
        <v>29</v>
      </c>
      <c r="E1950" t="s">
        <v>42</v>
      </c>
      <c r="F1950" t="s">
        <v>13</v>
      </c>
      <c r="G1950">
        <v>2</v>
      </c>
      <c r="H1950">
        <v>3.8</v>
      </c>
      <c r="I1950" t="s">
        <v>21</v>
      </c>
      <c r="J1950" t="s">
        <v>594</v>
      </c>
      <c r="K1950" s="12">
        <f>Store_Record[[#This Row],[Qty]]*Store_Record[[#This Row],[UnitPriceGBP]]</f>
        <v>7.6</v>
      </c>
      <c r="L1950" s="5" t="str">
        <f>TEXT(Store_Record[[#This Row],[Date]],"dddd")</f>
        <v>Monday</v>
      </c>
      <c r="M1950" s="5" t="str">
        <f>TEXT(Store_Record[[#This Row],[Date]],"mmmm")</f>
        <v>May</v>
      </c>
      <c r="N1950" s="5">
        <f>YEAR(Store_Record[[#This Row],[Date]])</f>
        <v>2025</v>
      </c>
      <c r="O1950"/>
    </row>
    <row r="1951" spans="1:15" x14ac:dyDescent="0.35">
      <c r="A1951" t="s">
        <v>2820</v>
      </c>
      <c r="B1951" s="2">
        <v>45796</v>
      </c>
      <c r="C1951" t="s">
        <v>20</v>
      </c>
      <c r="D1951" t="s">
        <v>11</v>
      </c>
      <c r="E1951" t="s">
        <v>12</v>
      </c>
      <c r="F1951" t="s">
        <v>13</v>
      </c>
      <c r="G1951">
        <v>3</v>
      </c>
      <c r="H1951">
        <v>2.5</v>
      </c>
      <c r="I1951" t="s">
        <v>14</v>
      </c>
      <c r="J1951" t="s">
        <v>526</v>
      </c>
      <c r="K1951" s="12">
        <f>Store_Record[[#This Row],[Qty]]*Store_Record[[#This Row],[UnitPriceGBP]]</f>
        <v>7.5</v>
      </c>
      <c r="L1951" s="5" t="str">
        <f>TEXT(Store_Record[[#This Row],[Date]],"dddd")</f>
        <v>Monday</v>
      </c>
      <c r="M1951" s="5" t="str">
        <f>TEXT(Store_Record[[#This Row],[Date]],"mmmm")</f>
        <v>May</v>
      </c>
      <c r="N1951" s="5">
        <f>YEAR(Store_Record[[#This Row],[Date]])</f>
        <v>2025</v>
      </c>
      <c r="O1951"/>
    </row>
    <row r="1952" spans="1:15" x14ac:dyDescent="0.35">
      <c r="A1952" t="s">
        <v>2817</v>
      </c>
      <c r="B1952" s="2">
        <v>45796</v>
      </c>
      <c r="C1952" t="s">
        <v>20</v>
      </c>
      <c r="D1952" t="s">
        <v>47</v>
      </c>
      <c r="E1952" t="s">
        <v>42</v>
      </c>
      <c r="F1952" t="s">
        <v>13</v>
      </c>
      <c r="G1952">
        <v>1</v>
      </c>
      <c r="H1952">
        <v>3.8</v>
      </c>
      <c r="I1952" t="s">
        <v>21</v>
      </c>
      <c r="J1952" t="s">
        <v>2818</v>
      </c>
      <c r="K1952" s="12">
        <f>Store_Record[[#This Row],[Qty]]*Store_Record[[#This Row],[UnitPriceGBP]]</f>
        <v>3.8</v>
      </c>
      <c r="L1952" s="5" t="str">
        <f>TEXT(Store_Record[[#This Row],[Date]],"dddd")</f>
        <v>Monday</v>
      </c>
      <c r="M1952" s="5" t="str">
        <f>TEXT(Store_Record[[#This Row],[Date]],"mmmm")</f>
        <v>May</v>
      </c>
      <c r="N1952" s="5">
        <f>YEAR(Store_Record[[#This Row],[Date]])</f>
        <v>2025</v>
      </c>
      <c r="O1952"/>
    </row>
    <row r="1953" spans="1:15" x14ac:dyDescent="0.35">
      <c r="A1953" t="s">
        <v>2835</v>
      </c>
      <c r="B1953" s="2">
        <v>45797</v>
      </c>
      <c r="C1953" t="s">
        <v>24</v>
      </c>
      <c r="D1953" t="s">
        <v>11</v>
      </c>
      <c r="E1953" t="s">
        <v>42</v>
      </c>
      <c r="F1953" t="s">
        <v>13</v>
      </c>
      <c r="G1953">
        <v>4</v>
      </c>
      <c r="H1953">
        <v>3.8</v>
      </c>
      <c r="I1953" t="s">
        <v>39</v>
      </c>
      <c r="J1953" t="s">
        <v>150</v>
      </c>
      <c r="K1953" s="12">
        <f>Store_Record[[#This Row],[Qty]]*Store_Record[[#This Row],[UnitPriceGBP]]</f>
        <v>15.2</v>
      </c>
      <c r="L1953" s="5" t="str">
        <f>TEXT(Store_Record[[#This Row],[Date]],"dddd")</f>
        <v>Tuesday</v>
      </c>
      <c r="M1953" s="5" t="str">
        <f>TEXT(Store_Record[[#This Row],[Date]],"mmmm")</f>
        <v>May</v>
      </c>
      <c r="N1953" s="5">
        <f>YEAR(Store_Record[[#This Row],[Date]])</f>
        <v>2025</v>
      </c>
      <c r="O1953"/>
    </row>
    <row r="1954" spans="1:15" x14ac:dyDescent="0.35">
      <c r="A1954" t="s">
        <v>2834</v>
      </c>
      <c r="B1954" s="2">
        <v>45797</v>
      </c>
      <c r="C1954" t="s">
        <v>36</v>
      </c>
      <c r="D1954" t="s">
        <v>38</v>
      </c>
      <c r="E1954" t="s">
        <v>42</v>
      </c>
      <c r="F1954" t="s">
        <v>13</v>
      </c>
      <c r="G1954">
        <v>3</v>
      </c>
      <c r="H1954">
        <v>3.8</v>
      </c>
      <c r="I1954" t="s">
        <v>14</v>
      </c>
      <c r="J1954" t="s">
        <v>2681</v>
      </c>
      <c r="K1954" s="12">
        <f>Store_Record[[#This Row],[Qty]]*Store_Record[[#This Row],[UnitPriceGBP]]</f>
        <v>11.399999999999999</v>
      </c>
      <c r="L1954" s="5" t="str">
        <f>TEXT(Store_Record[[#This Row],[Date]],"dddd")</f>
        <v>Tuesday</v>
      </c>
      <c r="M1954" s="5" t="str">
        <f>TEXT(Store_Record[[#This Row],[Date]],"mmmm")</f>
        <v>May</v>
      </c>
      <c r="N1954" s="5">
        <f>YEAR(Store_Record[[#This Row],[Date]])</f>
        <v>2025</v>
      </c>
      <c r="O1954"/>
    </row>
    <row r="1955" spans="1:15" x14ac:dyDescent="0.35">
      <c r="A1955" t="s">
        <v>2824</v>
      </c>
      <c r="B1955" s="2">
        <v>45797</v>
      </c>
      <c r="C1955" t="s">
        <v>10</v>
      </c>
      <c r="D1955" t="s">
        <v>38</v>
      </c>
      <c r="E1955" t="s">
        <v>30</v>
      </c>
      <c r="F1955" t="s">
        <v>31</v>
      </c>
      <c r="G1955">
        <v>4</v>
      </c>
      <c r="H1955">
        <v>2.8</v>
      </c>
      <c r="I1955" t="s">
        <v>39</v>
      </c>
      <c r="J1955" t="s">
        <v>2825</v>
      </c>
      <c r="K1955" s="12">
        <f>Store_Record[[#This Row],[Qty]]*Store_Record[[#This Row],[UnitPriceGBP]]</f>
        <v>11.2</v>
      </c>
      <c r="L1955" s="5" t="str">
        <f>TEXT(Store_Record[[#This Row],[Date]],"dddd")</f>
        <v>Tuesday</v>
      </c>
      <c r="M1955" s="5" t="str">
        <f>TEXT(Store_Record[[#This Row],[Date]],"mmmm")</f>
        <v>May</v>
      </c>
      <c r="N1955" s="5">
        <f>YEAR(Store_Record[[#This Row],[Date]])</f>
        <v>2025</v>
      </c>
      <c r="O1955"/>
    </row>
    <row r="1956" spans="1:15" x14ac:dyDescent="0.35">
      <c r="A1956" t="s">
        <v>2829</v>
      </c>
      <c r="B1956" s="2">
        <v>45797</v>
      </c>
      <c r="C1956" t="s">
        <v>24</v>
      </c>
      <c r="D1956" t="s">
        <v>47</v>
      </c>
      <c r="E1956" t="s">
        <v>26</v>
      </c>
      <c r="F1956" t="s">
        <v>13</v>
      </c>
      <c r="G1956">
        <v>3</v>
      </c>
      <c r="H1956">
        <v>3.5</v>
      </c>
      <c r="I1956" t="s">
        <v>21</v>
      </c>
      <c r="J1956" t="s">
        <v>832</v>
      </c>
      <c r="K1956" s="12">
        <f>Store_Record[[#This Row],[Qty]]*Store_Record[[#This Row],[UnitPriceGBP]]</f>
        <v>10.5</v>
      </c>
      <c r="L1956" s="5" t="str">
        <f>TEXT(Store_Record[[#This Row],[Date]],"dddd")</f>
        <v>Tuesday</v>
      </c>
      <c r="M1956" s="5" t="str">
        <f>TEXT(Store_Record[[#This Row],[Date]],"mmmm")</f>
        <v>May</v>
      </c>
      <c r="N1956" s="5">
        <f>YEAR(Store_Record[[#This Row],[Date]])</f>
        <v>2025</v>
      </c>
      <c r="O1956"/>
    </row>
    <row r="1957" spans="1:15" x14ac:dyDescent="0.35">
      <c r="A1957" t="s">
        <v>2836</v>
      </c>
      <c r="B1957" s="2">
        <v>45797</v>
      </c>
      <c r="C1957" t="s">
        <v>20</v>
      </c>
      <c r="D1957" t="s">
        <v>47</v>
      </c>
      <c r="E1957" t="s">
        <v>30</v>
      </c>
      <c r="F1957" t="s">
        <v>31</v>
      </c>
      <c r="G1957">
        <v>3</v>
      </c>
      <c r="H1957">
        <v>2.8</v>
      </c>
      <c r="I1957" t="s">
        <v>39</v>
      </c>
      <c r="J1957" t="s">
        <v>2837</v>
      </c>
      <c r="K1957" s="12">
        <f>Store_Record[[#This Row],[Qty]]*Store_Record[[#This Row],[UnitPriceGBP]]</f>
        <v>8.3999999999999986</v>
      </c>
      <c r="L1957" s="5" t="str">
        <f>TEXT(Store_Record[[#This Row],[Date]],"dddd")</f>
        <v>Tuesday</v>
      </c>
      <c r="M1957" s="5" t="str">
        <f>TEXT(Store_Record[[#This Row],[Date]],"mmmm")</f>
        <v>May</v>
      </c>
      <c r="N1957" s="5">
        <f>YEAR(Store_Record[[#This Row],[Date]])</f>
        <v>2025</v>
      </c>
      <c r="O1957"/>
    </row>
    <row r="1958" spans="1:15" x14ac:dyDescent="0.35">
      <c r="A1958" t="s">
        <v>2826</v>
      </c>
      <c r="B1958" s="2">
        <v>45797</v>
      </c>
      <c r="C1958" t="s">
        <v>10</v>
      </c>
      <c r="D1958" t="s">
        <v>47</v>
      </c>
      <c r="E1958" t="s">
        <v>42</v>
      </c>
      <c r="F1958" t="s">
        <v>13</v>
      </c>
      <c r="G1958">
        <v>2</v>
      </c>
      <c r="H1958">
        <v>3.8</v>
      </c>
      <c r="I1958" t="s">
        <v>39</v>
      </c>
      <c r="J1958" t="s">
        <v>2827</v>
      </c>
      <c r="K1958" s="12">
        <f>Store_Record[[#This Row],[Qty]]*Store_Record[[#This Row],[UnitPriceGBP]]</f>
        <v>7.6</v>
      </c>
      <c r="L1958" s="5" t="str">
        <f>TEXT(Store_Record[[#This Row],[Date]],"dddd")</f>
        <v>Tuesday</v>
      </c>
      <c r="M1958" s="5" t="str">
        <f>TEXT(Store_Record[[#This Row],[Date]],"mmmm")</f>
        <v>May</v>
      </c>
      <c r="N1958" s="5">
        <f>YEAR(Store_Record[[#This Row],[Date]])</f>
        <v>2025</v>
      </c>
      <c r="O1958"/>
    </row>
    <row r="1959" spans="1:15" x14ac:dyDescent="0.35">
      <c r="A1959" t="s">
        <v>2822</v>
      </c>
      <c r="B1959" s="2">
        <v>45797</v>
      </c>
      <c r="C1959" t="s">
        <v>20</v>
      </c>
      <c r="D1959" t="s">
        <v>38</v>
      </c>
      <c r="E1959" t="s">
        <v>26</v>
      </c>
      <c r="F1959" t="s">
        <v>13</v>
      </c>
      <c r="G1959">
        <v>2</v>
      </c>
      <c r="H1959">
        <v>3.5</v>
      </c>
      <c r="I1959" t="s">
        <v>39</v>
      </c>
      <c r="J1959" t="s">
        <v>1538</v>
      </c>
      <c r="K1959" s="12">
        <f>Store_Record[[#This Row],[Qty]]*Store_Record[[#This Row],[UnitPriceGBP]]</f>
        <v>7</v>
      </c>
      <c r="L1959" s="5" t="str">
        <f>TEXT(Store_Record[[#This Row],[Date]],"dddd")</f>
        <v>Tuesday</v>
      </c>
      <c r="M1959" s="5" t="str">
        <f>TEXT(Store_Record[[#This Row],[Date]],"mmmm")</f>
        <v>May</v>
      </c>
      <c r="N1959" s="5">
        <f>YEAR(Store_Record[[#This Row],[Date]])</f>
        <v>2025</v>
      </c>
      <c r="O1959"/>
    </row>
    <row r="1960" spans="1:15" x14ac:dyDescent="0.35">
      <c r="A1960" t="s">
        <v>2831</v>
      </c>
      <c r="B1960" s="2">
        <v>45797</v>
      </c>
      <c r="C1960" t="s">
        <v>20</v>
      </c>
      <c r="D1960" t="s">
        <v>11</v>
      </c>
      <c r="E1960" t="s">
        <v>26</v>
      </c>
      <c r="F1960" t="s">
        <v>13</v>
      </c>
      <c r="G1960">
        <v>2</v>
      </c>
      <c r="H1960">
        <v>3.5</v>
      </c>
      <c r="I1960" t="s">
        <v>21</v>
      </c>
      <c r="J1960" t="s">
        <v>1194</v>
      </c>
      <c r="K1960" s="12">
        <f>Store_Record[[#This Row],[Qty]]*Store_Record[[#This Row],[UnitPriceGBP]]</f>
        <v>7</v>
      </c>
      <c r="L1960" s="5" t="str">
        <f>TEXT(Store_Record[[#This Row],[Date]],"dddd")</f>
        <v>Tuesday</v>
      </c>
      <c r="M1960" s="5" t="str">
        <f>TEXT(Store_Record[[#This Row],[Date]],"mmmm")</f>
        <v>May</v>
      </c>
      <c r="N1960" s="5">
        <f>YEAR(Store_Record[[#This Row],[Date]])</f>
        <v>2025</v>
      </c>
      <c r="O1960"/>
    </row>
    <row r="1961" spans="1:15" x14ac:dyDescent="0.35">
      <c r="A1961" t="s">
        <v>2838</v>
      </c>
      <c r="B1961" s="2">
        <v>45797</v>
      </c>
      <c r="C1961" t="s">
        <v>10</v>
      </c>
      <c r="D1961" t="s">
        <v>47</v>
      </c>
      <c r="E1961" t="s">
        <v>26</v>
      </c>
      <c r="F1961" t="s">
        <v>13</v>
      </c>
      <c r="G1961">
        <v>2</v>
      </c>
      <c r="H1961">
        <v>3.5</v>
      </c>
      <c r="I1961" t="s">
        <v>14</v>
      </c>
      <c r="J1961" t="s">
        <v>2839</v>
      </c>
      <c r="K1961" s="12">
        <f>Store_Record[[#This Row],[Qty]]*Store_Record[[#This Row],[UnitPriceGBP]]</f>
        <v>7</v>
      </c>
      <c r="L1961" s="5" t="str">
        <f>TEXT(Store_Record[[#This Row],[Date]],"dddd")</f>
        <v>Tuesday</v>
      </c>
      <c r="M1961" s="5" t="str">
        <f>TEXT(Store_Record[[#This Row],[Date]],"mmmm")</f>
        <v>May</v>
      </c>
      <c r="N1961" s="5">
        <f>YEAR(Store_Record[[#This Row],[Date]])</f>
        <v>2025</v>
      </c>
      <c r="O1961"/>
    </row>
    <row r="1962" spans="1:15" x14ac:dyDescent="0.35">
      <c r="A1962" t="s">
        <v>2828</v>
      </c>
      <c r="B1962" s="2">
        <v>45797</v>
      </c>
      <c r="C1962" t="s">
        <v>10</v>
      </c>
      <c r="D1962" t="s">
        <v>29</v>
      </c>
      <c r="E1962" t="s">
        <v>34</v>
      </c>
      <c r="F1962" t="s">
        <v>31</v>
      </c>
      <c r="G1962">
        <v>3</v>
      </c>
      <c r="H1962">
        <v>2.2000000000000002</v>
      </c>
      <c r="I1962" t="s">
        <v>39</v>
      </c>
      <c r="J1962" t="s">
        <v>275</v>
      </c>
      <c r="K1962" s="12">
        <f>Store_Record[[#This Row],[Qty]]*Store_Record[[#This Row],[UnitPriceGBP]]</f>
        <v>6.6000000000000005</v>
      </c>
      <c r="L1962" s="5" t="str">
        <f>TEXT(Store_Record[[#This Row],[Date]],"dddd")</f>
        <v>Tuesday</v>
      </c>
      <c r="M1962" s="5" t="str">
        <f>TEXT(Store_Record[[#This Row],[Date]],"mmmm")</f>
        <v>May</v>
      </c>
      <c r="N1962" s="5">
        <f>YEAR(Store_Record[[#This Row],[Date]])</f>
        <v>2025</v>
      </c>
      <c r="O1962"/>
    </row>
    <row r="1963" spans="1:15" x14ac:dyDescent="0.35">
      <c r="A1963" t="s">
        <v>2823</v>
      </c>
      <c r="B1963" s="2">
        <v>45797</v>
      </c>
      <c r="C1963" t="s">
        <v>20</v>
      </c>
      <c r="D1963" t="s">
        <v>29</v>
      </c>
      <c r="E1963" t="s">
        <v>30</v>
      </c>
      <c r="F1963" t="s">
        <v>31</v>
      </c>
      <c r="G1963">
        <v>1</v>
      </c>
      <c r="H1963">
        <v>2.8</v>
      </c>
      <c r="I1963" t="s">
        <v>39</v>
      </c>
      <c r="J1963" t="s">
        <v>2553</v>
      </c>
      <c r="K1963" s="12">
        <f>Store_Record[[#This Row],[Qty]]*Store_Record[[#This Row],[UnitPriceGBP]]</f>
        <v>2.8</v>
      </c>
      <c r="L1963" s="5" t="str">
        <f>TEXT(Store_Record[[#This Row],[Date]],"dddd")</f>
        <v>Tuesday</v>
      </c>
      <c r="M1963" s="5" t="str">
        <f>TEXT(Store_Record[[#This Row],[Date]],"mmmm")</f>
        <v>May</v>
      </c>
      <c r="N1963" s="5">
        <f>YEAR(Store_Record[[#This Row],[Date]])</f>
        <v>2025</v>
      </c>
      <c r="O1963"/>
    </row>
    <row r="1964" spans="1:15" x14ac:dyDescent="0.35">
      <c r="A1964" t="s">
        <v>2840</v>
      </c>
      <c r="B1964" s="2">
        <v>45797</v>
      </c>
      <c r="C1964" t="s">
        <v>24</v>
      </c>
      <c r="D1964" t="s">
        <v>11</v>
      </c>
      <c r="E1964" t="s">
        <v>30</v>
      </c>
      <c r="F1964" t="s">
        <v>31</v>
      </c>
      <c r="G1964">
        <v>1</v>
      </c>
      <c r="H1964">
        <v>2.8</v>
      </c>
      <c r="I1964" t="s">
        <v>39</v>
      </c>
      <c r="J1964" t="s">
        <v>40</v>
      </c>
      <c r="K1964" s="12">
        <f>Store_Record[[#This Row],[Qty]]*Store_Record[[#This Row],[UnitPriceGBP]]</f>
        <v>2.8</v>
      </c>
      <c r="L1964" s="5" t="str">
        <f>TEXT(Store_Record[[#This Row],[Date]],"dddd")</f>
        <v>Tuesday</v>
      </c>
      <c r="M1964" s="5" t="str">
        <f>TEXT(Store_Record[[#This Row],[Date]],"mmmm")</f>
        <v>May</v>
      </c>
      <c r="N1964" s="5">
        <f>YEAR(Store_Record[[#This Row],[Date]])</f>
        <v>2025</v>
      </c>
      <c r="O1964"/>
    </row>
    <row r="1965" spans="1:15" x14ac:dyDescent="0.35">
      <c r="A1965" t="s">
        <v>2832</v>
      </c>
      <c r="B1965" s="2">
        <v>45797</v>
      </c>
      <c r="C1965" t="s">
        <v>10</v>
      </c>
      <c r="D1965" t="s">
        <v>25</v>
      </c>
      <c r="E1965" t="s">
        <v>12</v>
      </c>
      <c r="F1965" t="s">
        <v>13</v>
      </c>
      <c r="G1965">
        <v>1</v>
      </c>
      <c r="H1965">
        <v>2.5</v>
      </c>
      <c r="I1965" t="s">
        <v>21</v>
      </c>
      <c r="J1965" t="s">
        <v>2833</v>
      </c>
      <c r="K1965" s="12">
        <f>Store_Record[[#This Row],[Qty]]*Store_Record[[#This Row],[UnitPriceGBP]]</f>
        <v>2.5</v>
      </c>
      <c r="L1965" s="5" t="str">
        <f>TEXT(Store_Record[[#This Row],[Date]],"dddd")</f>
        <v>Tuesday</v>
      </c>
      <c r="M1965" s="5" t="str">
        <f>TEXT(Store_Record[[#This Row],[Date]],"mmmm")</f>
        <v>May</v>
      </c>
      <c r="N1965" s="5">
        <f>YEAR(Store_Record[[#This Row],[Date]])</f>
        <v>2025</v>
      </c>
      <c r="O1965"/>
    </row>
    <row r="1966" spans="1:15" x14ac:dyDescent="0.35">
      <c r="A1966" t="s">
        <v>2830</v>
      </c>
      <c r="B1966" s="2">
        <v>45797</v>
      </c>
      <c r="C1966" t="s">
        <v>20</v>
      </c>
      <c r="D1966" t="s">
        <v>29</v>
      </c>
      <c r="E1966" t="s">
        <v>34</v>
      </c>
      <c r="F1966" t="s">
        <v>31</v>
      </c>
      <c r="G1966">
        <v>1</v>
      </c>
      <c r="H1966">
        <v>2.2000000000000002</v>
      </c>
      <c r="I1966" t="s">
        <v>21</v>
      </c>
      <c r="J1966" t="s">
        <v>402</v>
      </c>
      <c r="K1966" s="12">
        <f>Store_Record[[#This Row],[Qty]]*Store_Record[[#This Row],[UnitPriceGBP]]</f>
        <v>2.2000000000000002</v>
      </c>
      <c r="L1966" s="5" t="str">
        <f>TEXT(Store_Record[[#This Row],[Date]],"dddd")</f>
        <v>Tuesday</v>
      </c>
      <c r="M1966" s="5" t="str">
        <f>TEXT(Store_Record[[#This Row],[Date]],"mmmm")</f>
        <v>May</v>
      </c>
      <c r="N1966" s="5">
        <f>YEAR(Store_Record[[#This Row],[Date]])</f>
        <v>2025</v>
      </c>
      <c r="O1966"/>
    </row>
    <row r="1967" spans="1:15" x14ac:dyDescent="0.35">
      <c r="A1967" t="s">
        <v>2843</v>
      </c>
      <c r="B1967" s="2">
        <v>45798</v>
      </c>
      <c r="C1967" t="s">
        <v>24</v>
      </c>
      <c r="D1967" t="s">
        <v>29</v>
      </c>
      <c r="E1967" t="s">
        <v>30</v>
      </c>
      <c r="F1967" t="s">
        <v>31</v>
      </c>
      <c r="G1967">
        <v>5</v>
      </c>
      <c r="H1967">
        <v>2.8</v>
      </c>
      <c r="I1967" t="s">
        <v>21</v>
      </c>
      <c r="J1967" t="s">
        <v>1364</v>
      </c>
      <c r="K1967" s="12">
        <f>Store_Record[[#This Row],[Qty]]*Store_Record[[#This Row],[UnitPriceGBP]]</f>
        <v>14</v>
      </c>
      <c r="L1967" s="5" t="str">
        <f>TEXT(Store_Record[[#This Row],[Date]],"dddd")</f>
        <v>Wednesday</v>
      </c>
      <c r="M1967" s="5" t="str">
        <f>TEXT(Store_Record[[#This Row],[Date]],"mmmm")</f>
        <v>May</v>
      </c>
      <c r="N1967" s="5">
        <f>YEAR(Store_Record[[#This Row],[Date]])</f>
        <v>2025</v>
      </c>
      <c r="O1967"/>
    </row>
    <row r="1968" spans="1:15" x14ac:dyDescent="0.35">
      <c r="A1968" t="s">
        <v>2847</v>
      </c>
      <c r="B1968" s="2">
        <v>45798</v>
      </c>
      <c r="C1968" t="s">
        <v>24</v>
      </c>
      <c r="D1968" t="s">
        <v>11</v>
      </c>
      <c r="E1968" t="s">
        <v>42</v>
      </c>
      <c r="F1968" t="s">
        <v>13</v>
      </c>
      <c r="G1968">
        <v>3</v>
      </c>
      <c r="H1968">
        <v>3.8</v>
      </c>
      <c r="I1968" t="s">
        <v>14</v>
      </c>
      <c r="J1968" t="s">
        <v>943</v>
      </c>
      <c r="K1968" s="12">
        <f>Store_Record[[#This Row],[Qty]]*Store_Record[[#This Row],[UnitPriceGBP]]</f>
        <v>11.399999999999999</v>
      </c>
      <c r="L1968" s="5" t="str">
        <f>TEXT(Store_Record[[#This Row],[Date]],"dddd")</f>
        <v>Wednesday</v>
      </c>
      <c r="M1968" s="5" t="str">
        <f>TEXT(Store_Record[[#This Row],[Date]],"mmmm")</f>
        <v>May</v>
      </c>
      <c r="N1968" s="5">
        <f>YEAR(Store_Record[[#This Row],[Date]])</f>
        <v>2025</v>
      </c>
      <c r="O1968"/>
    </row>
    <row r="1969" spans="1:15" x14ac:dyDescent="0.35">
      <c r="A1969" t="s">
        <v>2852</v>
      </c>
      <c r="B1969" s="2">
        <v>45798</v>
      </c>
      <c r="C1969" t="s">
        <v>10</v>
      </c>
      <c r="D1969" t="s">
        <v>152</v>
      </c>
      <c r="E1969" t="s">
        <v>42</v>
      </c>
      <c r="F1969" t="s">
        <v>13</v>
      </c>
      <c r="G1969">
        <v>3</v>
      </c>
      <c r="H1969">
        <v>3.8</v>
      </c>
      <c r="I1969" t="s">
        <v>21</v>
      </c>
      <c r="J1969" t="s">
        <v>310</v>
      </c>
      <c r="K1969" s="12">
        <f>Store_Record[[#This Row],[Qty]]*Store_Record[[#This Row],[UnitPriceGBP]]</f>
        <v>11.399999999999999</v>
      </c>
      <c r="L1969" s="5" t="str">
        <f>TEXT(Store_Record[[#This Row],[Date]],"dddd")</f>
        <v>Wednesday</v>
      </c>
      <c r="M1969" s="5" t="str">
        <f>TEXT(Store_Record[[#This Row],[Date]],"mmmm")</f>
        <v>May</v>
      </c>
      <c r="N1969" s="5">
        <f>YEAR(Store_Record[[#This Row],[Date]])</f>
        <v>2025</v>
      </c>
      <c r="O1969"/>
    </row>
    <row r="1970" spans="1:15" x14ac:dyDescent="0.35">
      <c r="A1970" t="s">
        <v>2841</v>
      </c>
      <c r="B1970" s="2">
        <v>45798</v>
      </c>
      <c r="C1970" t="s">
        <v>10</v>
      </c>
      <c r="D1970" t="s">
        <v>47</v>
      </c>
      <c r="E1970" t="s">
        <v>30</v>
      </c>
      <c r="F1970" t="s">
        <v>31</v>
      </c>
      <c r="G1970">
        <v>4</v>
      </c>
      <c r="H1970">
        <v>2.8</v>
      </c>
      <c r="I1970" t="s">
        <v>21</v>
      </c>
      <c r="J1970" t="s">
        <v>1434</v>
      </c>
      <c r="K1970" s="12">
        <f>Store_Record[[#This Row],[Qty]]*Store_Record[[#This Row],[UnitPriceGBP]]</f>
        <v>11.2</v>
      </c>
      <c r="L1970" s="5" t="str">
        <f>TEXT(Store_Record[[#This Row],[Date]],"dddd")</f>
        <v>Wednesday</v>
      </c>
      <c r="M1970" s="5" t="str">
        <f>TEXT(Store_Record[[#This Row],[Date]],"mmmm")</f>
        <v>May</v>
      </c>
      <c r="N1970" s="5">
        <f>YEAR(Store_Record[[#This Row],[Date]])</f>
        <v>2025</v>
      </c>
      <c r="O1970"/>
    </row>
    <row r="1971" spans="1:15" x14ac:dyDescent="0.35">
      <c r="A1971" t="s">
        <v>2849</v>
      </c>
      <c r="B1971" s="2">
        <v>45798</v>
      </c>
      <c r="C1971" t="s">
        <v>10</v>
      </c>
      <c r="D1971" t="s">
        <v>29</v>
      </c>
      <c r="E1971" t="s">
        <v>30</v>
      </c>
      <c r="F1971" t="s">
        <v>31</v>
      </c>
      <c r="G1971">
        <v>4</v>
      </c>
      <c r="H1971">
        <v>2.8</v>
      </c>
      <c r="I1971" t="s">
        <v>21</v>
      </c>
      <c r="J1971" t="s">
        <v>2850</v>
      </c>
      <c r="K1971" s="12">
        <f>Store_Record[[#This Row],[Qty]]*Store_Record[[#This Row],[UnitPriceGBP]]</f>
        <v>11.2</v>
      </c>
      <c r="L1971" s="5" t="str">
        <f>TEXT(Store_Record[[#This Row],[Date]],"dddd")</f>
        <v>Wednesday</v>
      </c>
      <c r="M1971" s="5" t="str">
        <f>TEXT(Store_Record[[#This Row],[Date]],"mmmm")</f>
        <v>May</v>
      </c>
      <c r="N1971" s="5">
        <f>YEAR(Store_Record[[#This Row],[Date]])</f>
        <v>2025</v>
      </c>
      <c r="O1971"/>
    </row>
    <row r="1972" spans="1:15" x14ac:dyDescent="0.35">
      <c r="A1972" t="s">
        <v>2846</v>
      </c>
      <c r="B1972" s="2">
        <v>45798</v>
      </c>
      <c r="C1972" t="s">
        <v>24</v>
      </c>
      <c r="D1972" t="s">
        <v>25</v>
      </c>
      <c r="E1972" t="s">
        <v>34</v>
      </c>
      <c r="F1972" t="s">
        <v>31</v>
      </c>
      <c r="G1972">
        <v>4</v>
      </c>
      <c r="H1972">
        <v>2.2000000000000002</v>
      </c>
      <c r="I1972" t="s">
        <v>39</v>
      </c>
      <c r="J1972" t="s">
        <v>700</v>
      </c>
      <c r="K1972" s="12">
        <f>Store_Record[[#This Row],[Qty]]*Store_Record[[#This Row],[UnitPriceGBP]]</f>
        <v>8.8000000000000007</v>
      </c>
      <c r="L1972" s="5" t="str">
        <f>TEXT(Store_Record[[#This Row],[Date]],"dddd")</f>
        <v>Wednesday</v>
      </c>
      <c r="M1972" s="5" t="str">
        <f>TEXT(Store_Record[[#This Row],[Date]],"mmmm")</f>
        <v>May</v>
      </c>
      <c r="N1972" s="5">
        <f>YEAR(Store_Record[[#This Row],[Date]])</f>
        <v>2025</v>
      </c>
      <c r="O1972"/>
    </row>
    <row r="1973" spans="1:15" x14ac:dyDescent="0.35">
      <c r="A1973" t="s">
        <v>2853</v>
      </c>
      <c r="B1973" s="2">
        <v>45798</v>
      </c>
      <c r="C1973" t="s">
        <v>36</v>
      </c>
      <c r="D1973" t="s">
        <v>47</v>
      </c>
      <c r="E1973" t="s">
        <v>34</v>
      </c>
      <c r="F1973" t="s">
        <v>31</v>
      </c>
      <c r="G1973">
        <v>4</v>
      </c>
      <c r="H1973">
        <v>2.2000000000000002</v>
      </c>
      <c r="I1973" t="s">
        <v>14</v>
      </c>
      <c r="J1973" t="s">
        <v>378</v>
      </c>
      <c r="K1973" s="12">
        <f>Store_Record[[#This Row],[Qty]]*Store_Record[[#This Row],[UnitPriceGBP]]</f>
        <v>8.8000000000000007</v>
      </c>
      <c r="L1973" s="5" t="str">
        <f>TEXT(Store_Record[[#This Row],[Date]],"dddd")</f>
        <v>Wednesday</v>
      </c>
      <c r="M1973" s="5" t="str">
        <f>TEXT(Store_Record[[#This Row],[Date]],"mmmm")</f>
        <v>May</v>
      </c>
      <c r="N1973" s="5">
        <f>YEAR(Store_Record[[#This Row],[Date]])</f>
        <v>2025</v>
      </c>
      <c r="O1973"/>
    </row>
    <row r="1974" spans="1:15" x14ac:dyDescent="0.35">
      <c r="A1974" t="s">
        <v>2848</v>
      </c>
      <c r="B1974" s="2">
        <v>45798</v>
      </c>
      <c r="C1974" t="s">
        <v>36</v>
      </c>
      <c r="D1974" t="s">
        <v>25</v>
      </c>
      <c r="E1974" t="s">
        <v>30</v>
      </c>
      <c r="F1974" t="s">
        <v>31</v>
      </c>
      <c r="G1974">
        <v>3</v>
      </c>
      <c r="H1974">
        <v>2.8</v>
      </c>
      <c r="I1974" t="s">
        <v>14</v>
      </c>
      <c r="J1974" t="s">
        <v>1346</v>
      </c>
      <c r="K1974" s="12">
        <f>Store_Record[[#This Row],[Qty]]*Store_Record[[#This Row],[UnitPriceGBP]]</f>
        <v>8.3999999999999986</v>
      </c>
      <c r="L1974" s="5" t="str">
        <f>TEXT(Store_Record[[#This Row],[Date]],"dddd")</f>
        <v>Wednesday</v>
      </c>
      <c r="M1974" s="5" t="str">
        <f>TEXT(Store_Record[[#This Row],[Date]],"mmmm")</f>
        <v>May</v>
      </c>
      <c r="N1974" s="5">
        <f>YEAR(Store_Record[[#This Row],[Date]])</f>
        <v>2025</v>
      </c>
      <c r="O1974"/>
    </row>
    <row r="1975" spans="1:15" x14ac:dyDescent="0.35">
      <c r="A1975" t="s">
        <v>2851</v>
      </c>
      <c r="B1975" s="2">
        <v>45798</v>
      </c>
      <c r="C1975" t="s">
        <v>24</v>
      </c>
      <c r="D1975" t="s">
        <v>25</v>
      </c>
      <c r="E1975" t="s">
        <v>34</v>
      </c>
      <c r="F1975" t="s">
        <v>31</v>
      </c>
      <c r="G1975">
        <v>3</v>
      </c>
      <c r="H1975">
        <v>2.2000000000000002</v>
      </c>
      <c r="I1975" t="s">
        <v>39</v>
      </c>
      <c r="J1975" t="s">
        <v>2166</v>
      </c>
      <c r="K1975" s="12">
        <f>Store_Record[[#This Row],[Qty]]*Store_Record[[#This Row],[UnitPriceGBP]]</f>
        <v>6.6000000000000005</v>
      </c>
      <c r="L1975" s="5" t="str">
        <f>TEXT(Store_Record[[#This Row],[Date]],"dddd")</f>
        <v>Wednesday</v>
      </c>
      <c r="M1975" s="5" t="str">
        <f>TEXT(Store_Record[[#This Row],[Date]],"mmmm")</f>
        <v>May</v>
      </c>
      <c r="N1975" s="5">
        <f>YEAR(Store_Record[[#This Row],[Date]])</f>
        <v>2025</v>
      </c>
      <c r="O1975"/>
    </row>
    <row r="1976" spans="1:15" x14ac:dyDescent="0.35">
      <c r="A1976" t="s">
        <v>2842</v>
      </c>
      <c r="B1976" s="2">
        <v>45798</v>
      </c>
      <c r="C1976" t="s">
        <v>24</v>
      </c>
      <c r="D1976" t="s">
        <v>38</v>
      </c>
      <c r="E1976" t="s">
        <v>12</v>
      </c>
      <c r="F1976" t="s">
        <v>13</v>
      </c>
      <c r="G1976">
        <v>2</v>
      </c>
      <c r="H1976">
        <v>2.5</v>
      </c>
      <c r="I1976" t="s">
        <v>21</v>
      </c>
      <c r="J1976" t="s">
        <v>411</v>
      </c>
      <c r="K1976" s="12">
        <f>Store_Record[[#This Row],[Qty]]*Store_Record[[#This Row],[UnitPriceGBP]]</f>
        <v>5</v>
      </c>
      <c r="L1976" s="5" t="str">
        <f>TEXT(Store_Record[[#This Row],[Date]],"dddd")</f>
        <v>Wednesday</v>
      </c>
      <c r="M1976" s="5" t="str">
        <f>TEXT(Store_Record[[#This Row],[Date]],"mmmm")</f>
        <v>May</v>
      </c>
      <c r="N1976" s="5">
        <f>YEAR(Store_Record[[#This Row],[Date]])</f>
        <v>2025</v>
      </c>
      <c r="O1976"/>
    </row>
    <row r="1977" spans="1:15" x14ac:dyDescent="0.35">
      <c r="A1977" t="s">
        <v>2845</v>
      </c>
      <c r="B1977" s="2">
        <v>45798</v>
      </c>
      <c r="C1977" t="s">
        <v>36</v>
      </c>
      <c r="D1977" t="s">
        <v>29</v>
      </c>
      <c r="E1977" t="s">
        <v>12</v>
      </c>
      <c r="F1977" t="s">
        <v>13</v>
      </c>
      <c r="G1977">
        <v>2</v>
      </c>
      <c r="H1977">
        <v>2.5</v>
      </c>
      <c r="I1977" t="s">
        <v>39</v>
      </c>
      <c r="J1977" t="s">
        <v>1038</v>
      </c>
      <c r="K1977" s="12">
        <f>Store_Record[[#This Row],[Qty]]*Store_Record[[#This Row],[UnitPriceGBP]]</f>
        <v>5</v>
      </c>
      <c r="L1977" s="5" t="str">
        <f>TEXT(Store_Record[[#This Row],[Date]],"dddd")</f>
        <v>Wednesday</v>
      </c>
      <c r="M1977" s="5" t="str">
        <f>TEXT(Store_Record[[#This Row],[Date]],"mmmm")</f>
        <v>May</v>
      </c>
      <c r="N1977" s="5">
        <f>YEAR(Store_Record[[#This Row],[Date]])</f>
        <v>2025</v>
      </c>
      <c r="O1977"/>
    </row>
    <row r="1978" spans="1:15" x14ac:dyDescent="0.35">
      <c r="A1978" t="s">
        <v>2844</v>
      </c>
      <c r="B1978" s="2">
        <v>45798</v>
      </c>
      <c r="C1978" t="s">
        <v>36</v>
      </c>
      <c r="D1978" t="s">
        <v>11</v>
      </c>
      <c r="E1978" t="s">
        <v>34</v>
      </c>
      <c r="F1978" t="s">
        <v>31</v>
      </c>
      <c r="G1978">
        <v>1</v>
      </c>
      <c r="H1978">
        <v>2.2000000000000002</v>
      </c>
      <c r="I1978" t="s">
        <v>21</v>
      </c>
      <c r="J1978" t="s">
        <v>771</v>
      </c>
      <c r="K1978" s="12">
        <f>Store_Record[[#This Row],[Qty]]*Store_Record[[#This Row],[UnitPriceGBP]]</f>
        <v>2.2000000000000002</v>
      </c>
      <c r="L1978" s="5" t="str">
        <f>TEXT(Store_Record[[#This Row],[Date]],"dddd")</f>
        <v>Wednesday</v>
      </c>
      <c r="M1978" s="5" t="str">
        <f>TEXT(Store_Record[[#This Row],[Date]],"mmmm")</f>
        <v>May</v>
      </c>
      <c r="N1978" s="5">
        <f>YEAR(Store_Record[[#This Row],[Date]])</f>
        <v>2025</v>
      </c>
      <c r="O1978"/>
    </row>
    <row r="1979" spans="1:15" x14ac:dyDescent="0.35">
      <c r="A1979" t="s">
        <v>2862</v>
      </c>
      <c r="B1979" s="2">
        <v>45799</v>
      </c>
      <c r="C1979" t="s">
        <v>24</v>
      </c>
      <c r="D1979" t="s">
        <v>11</v>
      </c>
      <c r="E1979" t="s">
        <v>42</v>
      </c>
      <c r="F1979" t="s">
        <v>13</v>
      </c>
      <c r="G1979">
        <v>5</v>
      </c>
      <c r="H1979">
        <v>3.8</v>
      </c>
      <c r="I1979" t="s">
        <v>39</v>
      </c>
      <c r="J1979" t="s">
        <v>161</v>
      </c>
      <c r="K1979" s="12">
        <f>Store_Record[[#This Row],[Qty]]*Store_Record[[#This Row],[UnitPriceGBP]]</f>
        <v>19</v>
      </c>
      <c r="L1979" s="5" t="str">
        <f>TEXT(Store_Record[[#This Row],[Date]],"dddd")</f>
        <v>Thursday</v>
      </c>
      <c r="M1979" s="5" t="str">
        <f>TEXT(Store_Record[[#This Row],[Date]],"mmmm")</f>
        <v>May</v>
      </c>
      <c r="N1979" s="5">
        <f>YEAR(Store_Record[[#This Row],[Date]])</f>
        <v>2025</v>
      </c>
      <c r="O1979"/>
    </row>
    <row r="1980" spans="1:15" x14ac:dyDescent="0.35">
      <c r="A1980" t="s">
        <v>2856</v>
      </c>
      <c r="B1980" s="2">
        <v>45799</v>
      </c>
      <c r="C1980" t="s">
        <v>20</v>
      </c>
      <c r="D1980" t="s">
        <v>25</v>
      </c>
      <c r="E1980" t="s">
        <v>26</v>
      </c>
      <c r="F1980" t="s">
        <v>13</v>
      </c>
      <c r="G1980">
        <v>4</v>
      </c>
      <c r="H1980">
        <v>3.5</v>
      </c>
      <c r="I1980" t="s">
        <v>21</v>
      </c>
      <c r="J1980" t="s">
        <v>237</v>
      </c>
      <c r="K1980" s="12">
        <f>Store_Record[[#This Row],[Qty]]*Store_Record[[#This Row],[UnitPriceGBP]]</f>
        <v>14</v>
      </c>
      <c r="L1980" s="5" t="str">
        <f>TEXT(Store_Record[[#This Row],[Date]],"dddd")</f>
        <v>Thursday</v>
      </c>
      <c r="M1980" s="5" t="str">
        <f>TEXT(Store_Record[[#This Row],[Date]],"mmmm")</f>
        <v>May</v>
      </c>
      <c r="N1980" s="5">
        <f>YEAR(Store_Record[[#This Row],[Date]])</f>
        <v>2025</v>
      </c>
      <c r="O1980"/>
    </row>
    <row r="1981" spans="1:15" x14ac:dyDescent="0.35">
      <c r="A1981" t="s">
        <v>2860</v>
      </c>
      <c r="B1981" s="2">
        <v>45799</v>
      </c>
      <c r="C1981" t="s">
        <v>36</v>
      </c>
      <c r="D1981" t="s">
        <v>11</v>
      </c>
      <c r="E1981" t="s">
        <v>42</v>
      </c>
      <c r="F1981" t="s">
        <v>13</v>
      </c>
      <c r="G1981">
        <v>3</v>
      </c>
      <c r="H1981">
        <v>3.8</v>
      </c>
      <c r="I1981" t="s">
        <v>21</v>
      </c>
      <c r="J1981" t="s">
        <v>91</v>
      </c>
      <c r="K1981" s="12">
        <f>Store_Record[[#This Row],[Qty]]*Store_Record[[#This Row],[UnitPriceGBP]]</f>
        <v>11.399999999999999</v>
      </c>
      <c r="L1981" s="5" t="str">
        <f>TEXT(Store_Record[[#This Row],[Date]],"dddd")</f>
        <v>Thursday</v>
      </c>
      <c r="M1981" s="5" t="str">
        <f>TEXT(Store_Record[[#This Row],[Date]],"mmmm")</f>
        <v>May</v>
      </c>
      <c r="N1981" s="5">
        <f>YEAR(Store_Record[[#This Row],[Date]])</f>
        <v>2025</v>
      </c>
      <c r="O1981"/>
    </row>
    <row r="1982" spans="1:15" x14ac:dyDescent="0.35">
      <c r="A1982" t="s">
        <v>2859</v>
      </c>
      <c r="B1982" s="2">
        <v>45799</v>
      </c>
      <c r="C1982" t="s">
        <v>24</v>
      </c>
      <c r="D1982" t="s">
        <v>11</v>
      </c>
      <c r="E1982" t="s">
        <v>12</v>
      </c>
      <c r="F1982" t="s">
        <v>13</v>
      </c>
      <c r="G1982">
        <v>4</v>
      </c>
      <c r="H1982">
        <v>2.5</v>
      </c>
      <c r="I1982" t="s">
        <v>14</v>
      </c>
      <c r="J1982" t="s">
        <v>886</v>
      </c>
      <c r="K1982" s="12">
        <f>Store_Record[[#This Row],[Qty]]*Store_Record[[#This Row],[UnitPriceGBP]]</f>
        <v>10</v>
      </c>
      <c r="L1982" s="5" t="str">
        <f>TEXT(Store_Record[[#This Row],[Date]],"dddd")</f>
        <v>Thursday</v>
      </c>
      <c r="M1982" s="5" t="str">
        <f>TEXT(Store_Record[[#This Row],[Date]],"mmmm")</f>
        <v>May</v>
      </c>
      <c r="N1982" s="5">
        <f>YEAR(Store_Record[[#This Row],[Date]])</f>
        <v>2025</v>
      </c>
      <c r="O1982"/>
    </row>
    <row r="1983" spans="1:15" x14ac:dyDescent="0.35">
      <c r="A1983" t="s">
        <v>2857</v>
      </c>
      <c r="B1983" s="2">
        <v>45799</v>
      </c>
      <c r="C1983" t="s">
        <v>20</v>
      </c>
      <c r="D1983" t="s">
        <v>11</v>
      </c>
      <c r="E1983" t="s">
        <v>42</v>
      </c>
      <c r="F1983" t="s">
        <v>13</v>
      </c>
      <c r="G1983">
        <v>2</v>
      </c>
      <c r="H1983">
        <v>3.8</v>
      </c>
      <c r="I1983" t="s">
        <v>14</v>
      </c>
      <c r="J1983" t="s">
        <v>2858</v>
      </c>
      <c r="K1983" s="12">
        <f>Store_Record[[#This Row],[Qty]]*Store_Record[[#This Row],[UnitPriceGBP]]</f>
        <v>7.6</v>
      </c>
      <c r="L1983" s="5" t="str">
        <f>TEXT(Store_Record[[#This Row],[Date]],"dddd")</f>
        <v>Thursday</v>
      </c>
      <c r="M1983" s="5" t="str">
        <f>TEXT(Store_Record[[#This Row],[Date]],"mmmm")</f>
        <v>May</v>
      </c>
      <c r="N1983" s="5">
        <f>YEAR(Store_Record[[#This Row],[Date]])</f>
        <v>2025</v>
      </c>
      <c r="O1983"/>
    </row>
    <row r="1984" spans="1:15" x14ac:dyDescent="0.35">
      <c r="A1984" t="s">
        <v>2855</v>
      </c>
      <c r="B1984" s="2">
        <v>45799</v>
      </c>
      <c r="C1984" t="s">
        <v>20</v>
      </c>
      <c r="D1984" t="s">
        <v>38</v>
      </c>
      <c r="E1984" t="s">
        <v>12</v>
      </c>
      <c r="F1984" t="s">
        <v>13</v>
      </c>
      <c r="G1984">
        <v>3</v>
      </c>
      <c r="H1984">
        <v>2.5</v>
      </c>
      <c r="I1984" t="s">
        <v>39</v>
      </c>
      <c r="J1984" t="s">
        <v>1065</v>
      </c>
      <c r="K1984" s="12">
        <f>Store_Record[[#This Row],[Qty]]*Store_Record[[#This Row],[UnitPriceGBP]]</f>
        <v>7.5</v>
      </c>
      <c r="L1984" s="5" t="str">
        <f>TEXT(Store_Record[[#This Row],[Date]],"dddd")</f>
        <v>Thursday</v>
      </c>
      <c r="M1984" s="5" t="str">
        <f>TEXT(Store_Record[[#This Row],[Date]],"mmmm")</f>
        <v>May</v>
      </c>
      <c r="N1984" s="5">
        <f>YEAR(Store_Record[[#This Row],[Date]])</f>
        <v>2025</v>
      </c>
      <c r="O1984"/>
    </row>
    <row r="1985" spans="1:15" x14ac:dyDescent="0.35">
      <c r="A1985" t="s">
        <v>2854</v>
      </c>
      <c r="B1985" s="2">
        <v>45799</v>
      </c>
      <c r="C1985" t="s">
        <v>20</v>
      </c>
      <c r="D1985" t="s">
        <v>29</v>
      </c>
      <c r="E1985" t="s">
        <v>26</v>
      </c>
      <c r="F1985" t="s">
        <v>13</v>
      </c>
      <c r="G1985">
        <v>2</v>
      </c>
      <c r="H1985">
        <v>3.5</v>
      </c>
      <c r="I1985" t="s">
        <v>39</v>
      </c>
      <c r="J1985" t="s">
        <v>2495</v>
      </c>
      <c r="K1985" s="12">
        <f>Store_Record[[#This Row],[Qty]]*Store_Record[[#This Row],[UnitPriceGBP]]</f>
        <v>7</v>
      </c>
      <c r="L1985" s="5" t="str">
        <f>TEXT(Store_Record[[#This Row],[Date]],"dddd")</f>
        <v>Thursday</v>
      </c>
      <c r="M1985" s="5" t="str">
        <f>TEXT(Store_Record[[#This Row],[Date]],"mmmm")</f>
        <v>May</v>
      </c>
      <c r="N1985" s="5">
        <f>YEAR(Store_Record[[#This Row],[Date]])</f>
        <v>2025</v>
      </c>
      <c r="O1985"/>
    </row>
    <row r="1986" spans="1:15" x14ac:dyDescent="0.35">
      <c r="A1986" t="s">
        <v>2861</v>
      </c>
      <c r="B1986" s="2">
        <v>45799</v>
      </c>
      <c r="C1986" t="s">
        <v>20</v>
      </c>
      <c r="D1986" t="s">
        <v>47</v>
      </c>
      <c r="E1986" t="s">
        <v>30</v>
      </c>
      <c r="F1986" t="s">
        <v>31</v>
      </c>
      <c r="G1986">
        <v>1</v>
      </c>
      <c r="H1986">
        <v>2.8</v>
      </c>
      <c r="I1986" t="s">
        <v>39</v>
      </c>
      <c r="J1986" t="s">
        <v>1092</v>
      </c>
      <c r="K1986" s="12">
        <f>Store_Record[[#This Row],[Qty]]*Store_Record[[#This Row],[UnitPriceGBP]]</f>
        <v>2.8</v>
      </c>
      <c r="L1986" s="5" t="str">
        <f>TEXT(Store_Record[[#This Row],[Date]],"dddd")</f>
        <v>Thursday</v>
      </c>
      <c r="M1986" s="5" t="str">
        <f>TEXT(Store_Record[[#This Row],[Date]],"mmmm")</f>
        <v>May</v>
      </c>
      <c r="N1986" s="5">
        <f>YEAR(Store_Record[[#This Row],[Date]])</f>
        <v>2025</v>
      </c>
      <c r="O1986"/>
    </row>
    <row r="1987" spans="1:15" x14ac:dyDescent="0.35">
      <c r="A1987" t="s">
        <v>2878</v>
      </c>
      <c r="B1987" s="2">
        <v>45800</v>
      </c>
      <c r="C1987" t="s">
        <v>20</v>
      </c>
      <c r="D1987" t="s">
        <v>25</v>
      </c>
      <c r="E1987" t="s">
        <v>26</v>
      </c>
      <c r="F1987" t="s">
        <v>13</v>
      </c>
      <c r="G1987">
        <v>5</v>
      </c>
      <c r="H1987">
        <v>3.5</v>
      </c>
      <c r="I1987" t="s">
        <v>21</v>
      </c>
      <c r="J1987" t="s">
        <v>1955</v>
      </c>
      <c r="K1987" s="12">
        <f>Store_Record[[#This Row],[Qty]]*Store_Record[[#This Row],[UnitPriceGBP]]</f>
        <v>17.5</v>
      </c>
      <c r="L1987" s="5" t="str">
        <f>TEXT(Store_Record[[#This Row],[Date]],"dddd")</f>
        <v>Friday</v>
      </c>
      <c r="M1987" s="5" t="str">
        <f>TEXT(Store_Record[[#This Row],[Date]],"mmmm")</f>
        <v>May</v>
      </c>
      <c r="N1987" s="5">
        <f>YEAR(Store_Record[[#This Row],[Date]])</f>
        <v>2025</v>
      </c>
      <c r="O1987"/>
    </row>
    <row r="1988" spans="1:15" x14ac:dyDescent="0.35">
      <c r="A1988" t="s">
        <v>2874</v>
      </c>
      <c r="B1988" s="2">
        <v>45800</v>
      </c>
      <c r="C1988" t="s">
        <v>10</v>
      </c>
      <c r="D1988" t="s">
        <v>11</v>
      </c>
      <c r="E1988" t="s">
        <v>30</v>
      </c>
      <c r="F1988" t="s">
        <v>31</v>
      </c>
      <c r="G1988">
        <v>5</v>
      </c>
      <c r="H1988">
        <v>2.8</v>
      </c>
      <c r="I1988" t="s">
        <v>39</v>
      </c>
      <c r="J1988" t="s">
        <v>220</v>
      </c>
      <c r="K1988" s="12">
        <f>Store_Record[[#This Row],[Qty]]*Store_Record[[#This Row],[UnitPriceGBP]]</f>
        <v>14</v>
      </c>
      <c r="L1988" s="5" t="str">
        <f>TEXT(Store_Record[[#This Row],[Date]],"dddd")</f>
        <v>Friday</v>
      </c>
      <c r="M1988" s="5" t="str">
        <f>TEXT(Store_Record[[#This Row],[Date]],"mmmm")</f>
        <v>May</v>
      </c>
      <c r="N1988" s="5">
        <f>YEAR(Store_Record[[#This Row],[Date]])</f>
        <v>2025</v>
      </c>
      <c r="O1988"/>
    </row>
    <row r="1989" spans="1:15" x14ac:dyDescent="0.35">
      <c r="A1989" t="s">
        <v>2877</v>
      </c>
      <c r="B1989" s="2">
        <v>45800</v>
      </c>
      <c r="C1989" t="s">
        <v>20</v>
      </c>
      <c r="D1989" t="s">
        <v>29</v>
      </c>
      <c r="E1989" t="s">
        <v>12</v>
      </c>
      <c r="F1989" t="s">
        <v>13</v>
      </c>
      <c r="G1989">
        <v>5</v>
      </c>
      <c r="H1989">
        <v>2.5</v>
      </c>
      <c r="I1989" t="s">
        <v>39</v>
      </c>
      <c r="J1989" t="s">
        <v>737</v>
      </c>
      <c r="K1989" s="12">
        <f>Store_Record[[#This Row],[Qty]]*Store_Record[[#This Row],[UnitPriceGBP]]</f>
        <v>12.5</v>
      </c>
      <c r="L1989" s="5" t="str">
        <f>TEXT(Store_Record[[#This Row],[Date]],"dddd")</f>
        <v>Friday</v>
      </c>
      <c r="M1989" s="5" t="str">
        <f>TEXT(Store_Record[[#This Row],[Date]],"mmmm")</f>
        <v>May</v>
      </c>
      <c r="N1989" s="5">
        <f>YEAR(Store_Record[[#This Row],[Date]])</f>
        <v>2025</v>
      </c>
      <c r="O1989"/>
    </row>
    <row r="1990" spans="1:15" x14ac:dyDescent="0.35">
      <c r="A1990" t="s">
        <v>2865</v>
      </c>
      <c r="B1990" s="2">
        <v>45800</v>
      </c>
      <c r="C1990" t="s">
        <v>36</v>
      </c>
      <c r="D1990" t="s">
        <v>29</v>
      </c>
      <c r="E1990" t="s">
        <v>42</v>
      </c>
      <c r="F1990" t="s">
        <v>13</v>
      </c>
      <c r="G1990">
        <v>3</v>
      </c>
      <c r="H1990">
        <v>3.8</v>
      </c>
      <c r="I1990" t="s">
        <v>14</v>
      </c>
      <c r="J1990" t="s">
        <v>1334</v>
      </c>
      <c r="K1990" s="12">
        <f>Store_Record[[#This Row],[Qty]]*Store_Record[[#This Row],[UnitPriceGBP]]</f>
        <v>11.399999999999999</v>
      </c>
      <c r="L1990" s="5" t="str">
        <f>TEXT(Store_Record[[#This Row],[Date]],"dddd")</f>
        <v>Friday</v>
      </c>
      <c r="M1990" s="5" t="str">
        <f>TEXT(Store_Record[[#This Row],[Date]],"mmmm")</f>
        <v>May</v>
      </c>
      <c r="N1990" s="5">
        <f>YEAR(Store_Record[[#This Row],[Date]])</f>
        <v>2025</v>
      </c>
      <c r="O1990"/>
    </row>
    <row r="1991" spans="1:15" x14ac:dyDescent="0.35">
      <c r="A1991" t="s">
        <v>2881</v>
      </c>
      <c r="B1991" s="2">
        <v>45800</v>
      </c>
      <c r="C1991" t="s">
        <v>20</v>
      </c>
      <c r="D1991" t="s">
        <v>25</v>
      </c>
      <c r="E1991" t="s">
        <v>30</v>
      </c>
      <c r="F1991" t="s">
        <v>31</v>
      </c>
      <c r="G1991">
        <v>4</v>
      </c>
      <c r="H1991">
        <v>2.8</v>
      </c>
      <c r="I1991" t="s">
        <v>14</v>
      </c>
      <c r="J1991" t="s">
        <v>1061</v>
      </c>
      <c r="K1991" s="12">
        <f>Store_Record[[#This Row],[Qty]]*Store_Record[[#This Row],[UnitPriceGBP]]</f>
        <v>11.2</v>
      </c>
      <c r="L1991" s="5" t="str">
        <f>TEXT(Store_Record[[#This Row],[Date]],"dddd")</f>
        <v>Friday</v>
      </c>
      <c r="M1991" s="5" t="str">
        <f>TEXT(Store_Record[[#This Row],[Date]],"mmmm")</f>
        <v>May</v>
      </c>
      <c r="N1991" s="5">
        <f>YEAR(Store_Record[[#This Row],[Date]])</f>
        <v>2025</v>
      </c>
      <c r="O1991"/>
    </row>
    <row r="1992" spans="1:15" x14ac:dyDescent="0.35">
      <c r="A1992" t="s">
        <v>2864</v>
      </c>
      <c r="B1992" s="2">
        <v>45800</v>
      </c>
      <c r="C1992" t="s">
        <v>36</v>
      </c>
      <c r="D1992" t="s">
        <v>25</v>
      </c>
      <c r="E1992" t="s">
        <v>12</v>
      </c>
      <c r="F1992" t="s">
        <v>13</v>
      </c>
      <c r="G1992">
        <v>3</v>
      </c>
      <c r="H1992">
        <v>2.5</v>
      </c>
      <c r="I1992" t="s">
        <v>39</v>
      </c>
      <c r="J1992" t="s">
        <v>1271</v>
      </c>
      <c r="K1992" s="12">
        <f>Store_Record[[#This Row],[Qty]]*Store_Record[[#This Row],[UnitPriceGBP]]</f>
        <v>7.5</v>
      </c>
      <c r="L1992" s="5" t="str">
        <f>TEXT(Store_Record[[#This Row],[Date]],"dddd")</f>
        <v>Friday</v>
      </c>
      <c r="M1992" s="5" t="str">
        <f>TEXT(Store_Record[[#This Row],[Date]],"mmmm")</f>
        <v>May</v>
      </c>
      <c r="N1992" s="5">
        <f>YEAR(Store_Record[[#This Row],[Date]])</f>
        <v>2025</v>
      </c>
      <c r="O1992"/>
    </row>
    <row r="1993" spans="1:15" x14ac:dyDescent="0.35">
      <c r="A1993" t="s">
        <v>2869</v>
      </c>
      <c r="B1993" s="2">
        <v>45800</v>
      </c>
      <c r="C1993" t="s">
        <v>36</v>
      </c>
      <c r="D1993" t="s">
        <v>25</v>
      </c>
      <c r="E1993" t="s">
        <v>12</v>
      </c>
      <c r="F1993" t="s">
        <v>13</v>
      </c>
      <c r="G1993">
        <v>3</v>
      </c>
      <c r="H1993">
        <v>2.5</v>
      </c>
      <c r="I1993" t="s">
        <v>39</v>
      </c>
      <c r="J1993" t="s">
        <v>275</v>
      </c>
      <c r="K1993" s="12">
        <f>Store_Record[[#This Row],[Qty]]*Store_Record[[#This Row],[UnitPriceGBP]]</f>
        <v>7.5</v>
      </c>
      <c r="L1993" s="5" t="str">
        <f>TEXT(Store_Record[[#This Row],[Date]],"dddd")</f>
        <v>Friday</v>
      </c>
      <c r="M1993" s="5" t="str">
        <f>TEXT(Store_Record[[#This Row],[Date]],"mmmm")</f>
        <v>May</v>
      </c>
      <c r="N1993" s="5">
        <f>YEAR(Store_Record[[#This Row],[Date]])</f>
        <v>2025</v>
      </c>
      <c r="O1993"/>
    </row>
    <row r="1994" spans="1:15" x14ac:dyDescent="0.35">
      <c r="A1994" t="s">
        <v>2870</v>
      </c>
      <c r="B1994" s="2">
        <v>45800</v>
      </c>
      <c r="C1994" t="s">
        <v>24</v>
      </c>
      <c r="D1994" t="s">
        <v>47</v>
      </c>
      <c r="E1994" t="s">
        <v>12</v>
      </c>
      <c r="F1994" t="s">
        <v>13</v>
      </c>
      <c r="G1994">
        <v>3</v>
      </c>
      <c r="H1994">
        <v>2.5</v>
      </c>
      <c r="I1994" t="s">
        <v>21</v>
      </c>
      <c r="J1994" t="s">
        <v>936</v>
      </c>
      <c r="K1994" s="12">
        <f>Store_Record[[#This Row],[Qty]]*Store_Record[[#This Row],[UnitPriceGBP]]</f>
        <v>7.5</v>
      </c>
      <c r="L1994" s="5" t="str">
        <f>TEXT(Store_Record[[#This Row],[Date]],"dddd")</f>
        <v>Friday</v>
      </c>
      <c r="M1994" s="5" t="str">
        <f>TEXT(Store_Record[[#This Row],[Date]],"mmmm")</f>
        <v>May</v>
      </c>
      <c r="N1994" s="5">
        <f>YEAR(Store_Record[[#This Row],[Date]])</f>
        <v>2025</v>
      </c>
      <c r="O1994"/>
    </row>
    <row r="1995" spans="1:15" x14ac:dyDescent="0.35">
      <c r="A1995" t="s">
        <v>2879</v>
      </c>
      <c r="B1995" s="2">
        <v>45800</v>
      </c>
      <c r="C1995" t="s">
        <v>10</v>
      </c>
      <c r="D1995" t="s">
        <v>25</v>
      </c>
      <c r="E1995" t="s">
        <v>12</v>
      </c>
      <c r="F1995" t="s">
        <v>13</v>
      </c>
      <c r="G1995">
        <v>3</v>
      </c>
      <c r="H1995">
        <v>2.5</v>
      </c>
      <c r="I1995" t="s">
        <v>14</v>
      </c>
      <c r="J1995" t="s">
        <v>2880</v>
      </c>
      <c r="K1995" s="12">
        <f>Store_Record[[#This Row],[Qty]]*Store_Record[[#This Row],[UnitPriceGBP]]</f>
        <v>7.5</v>
      </c>
      <c r="L1995" s="5" t="str">
        <f>TEXT(Store_Record[[#This Row],[Date]],"dddd")</f>
        <v>Friday</v>
      </c>
      <c r="M1995" s="5" t="str">
        <f>TEXT(Store_Record[[#This Row],[Date]],"mmmm")</f>
        <v>May</v>
      </c>
      <c r="N1995" s="5">
        <f>YEAR(Store_Record[[#This Row],[Date]])</f>
        <v>2025</v>
      </c>
      <c r="O1995"/>
    </row>
    <row r="1996" spans="1:15" x14ac:dyDescent="0.35">
      <c r="A1996" t="s">
        <v>2863</v>
      </c>
      <c r="B1996" s="2">
        <v>45800</v>
      </c>
      <c r="C1996" t="s">
        <v>10</v>
      </c>
      <c r="D1996" t="s">
        <v>47</v>
      </c>
      <c r="E1996" t="s">
        <v>30</v>
      </c>
      <c r="F1996" t="s">
        <v>31</v>
      </c>
      <c r="G1996">
        <v>2</v>
      </c>
      <c r="H1996">
        <v>2.8</v>
      </c>
      <c r="I1996" t="s">
        <v>21</v>
      </c>
      <c r="J1996" t="s">
        <v>294</v>
      </c>
      <c r="K1996" s="12">
        <f>Store_Record[[#This Row],[Qty]]*Store_Record[[#This Row],[UnitPriceGBP]]</f>
        <v>5.6</v>
      </c>
      <c r="L1996" s="5" t="str">
        <f>TEXT(Store_Record[[#This Row],[Date]],"dddd")</f>
        <v>Friday</v>
      </c>
      <c r="M1996" s="5" t="str">
        <f>TEXT(Store_Record[[#This Row],[Date]],"mmmm")</f>
        <v>May</v>
      </c>
      <c r="N1996" s="5">
        <f>YEAR(Store_Record[[#This Row],[Date]])</f>
        <v>2025</v>
      </c>
      <c r="O1996"/>
    </row>
    <row r="1997" spans="1:15" x14ac:dyDescent="0.35">
      <c r="A1997" t="s">
        <v>2868</v>
      </c>
      <c r="B1997" s="2">
        <v>45800</v>
      </c>
      <c r="C1997" t="s">
        <v>24</v>
      </c>
      <c r="D1997" t="s">
        <v>11</v>
      </c>
      <c r="E1997" t="s">
        <v>12</v>
      </c>
      <c r="F1997" t="s">
        <v>13</v>
      </c>
      <c r="G1997">
        <v>2</v>
      </c>
      <c r="H1997">
        <v>2.5</v>
      </c>
      <c r="I1997" t="s">
        <v>14</v>
      </c>
      <c r="J1997" t="s">
        <v>748</v>
      </c>
      <c r="K1997" s="12">
        <f>Store_Record[[#This Row],[Qty]]*Store_Record[[#This Row],[UnitPriceGBP]]</f>
        <v>5</v>
      </c>
      <c r="L1997" s="5" t="str">
        <f>TEXT(Store_Record[[#This Row],[Date]],"dddd")</f>
        <v>Friday</v>
      </c>
      <c r="M1997" s="5" t="str">
        <f>TEXT(Store_Record[[#This Row],[Date]],"mmmm")</f>
        <v>May</v>
      </c>
      <c r="N1997" s="5">
        <f>YEAR(Store_Record[[#This Row],[Date]])</f>
        <v>2025</v>
      </c>
      <c r="O1997"/>
    </row>
    <row r="1998" spans="1:15" x14ac:dyDescent="0.35">
      <c r="A1998" t="s">
        <v>2873</v>
      </c>
      <c r="B1998" s="2">
        <v>45800</v>
      </c>
      <c r="C1998" t="s">
        <v>20</v>
      </c>
      <c r="D1998" t="s">
        <v>11</v>
      </c>
      <c r="E1998" t="s">
        <v>12</v>
      </c>
      <c r="F1998" t="s">
        <v>13</v>
      </c>
      <c r="G1998">
        <v>2</v>
      </c>
      <c r="H1998">
        <v>2.5</v>
      </c>
      <c r="I1998" t="s">
        <v>39</v>
      </c>
      <c r="J1998" t="s">
        <v>1316</v>
      </c>
      <c r="K1998" s="12">
        <f>Store_Record[[#This Row],[Qty]]*Store_Record[[#This Row],[UnitPriceGBP]]</f>
        <v>5</v>
      </c>
      <c r="L1998" s="5" t="str">
        <f>TEXT(Store_Record[[#This Row],[Date]],"dddd")</f>
        <v>Friday</v>
      </c>
      <c r="M1998" s="5" t="str">
        <f>TEXT(Store_Record[[#This Row],[Date]],"mmmm")</f>
        <v>May</v>
      </c>
      <c r="N1998" s="5">
        <f>YEAR(Store_Record[[#This Row],[Date]])</f>
        <v>2025</v>
      </c>
      <c r="O1998"/>
    </row>
    <row r="1999" spans="1:15" x14ac:dyDescent="0.35">
      <c r="A1999" t="s">
        <v>2875</v>
      </c>
      <c r="B1999" s="2">
        <v>45800</v>
      </c>
      <c r="C1999" t="s">
        <v>36</v>
      </c>
      <c r="D1999" t="s">
        <v>29</v>
      </c>
      <c r="E1999" t="s">
        <v>42</v>
      </c>
      <c r="F1999" t="s">
        <v>13</v>
      </c>
      <c r="G1999">
        <v>1</v>
      </c>
      <c r="H1999">
        <v>3.8</v>
      </c>
      <c r="I1999" t="s">
        <v>21</v>
      </c>
      <c r="J1999" t="s">
        <v>974</v>
      </c>
      <c r="K1999" s="12">
        <f>Store_Record[[#This Row],[Qty]]*Store_Record[[#This Row],[UnitPriceGBP]]</f>
        <v>3.8</v>
      </c>
      <c r="L1999" s="5" t="str">
        <f>TEXT(Store_Record[[#This Row],[Date]],"dddd")</f>
        <v>Friday</v>
      </c>
      <c r="M1999" s="5" t="str">
        <f>TEXT(Store_Record[[#This Row],[Date]],"mmmm")</f>
        <v>May</v>
      </c>
      <c r="N1999" s="5">
        <f>YEAR(Store_Record[[#This Row],[Date]])</f>
        <v>2025</v>
      </c>
      <c r="O1999"/>
    </row>
    <row r="2000" spans="1:15" x14ac:dyDescent="0.35">
      <c r="A2000" t="s">
        <v>2876</v>
      </c>
      <c r="B2000" s="2">
        <v>45800</v>
      </c>
      <c r="C2000" t="s">
        <v>20</v>
      </c>
      <c r="D2000" t="s">
        <v>29</v>
      </c>
      <c r="E2000" t="s">
        <v>42</v>
      </c>
      <c r="F2000" t="s">
        <v>13</v>
      </c>
      <c r="G2000">
        <v>1</v>
      </c>
      <c r="H2000">
        <v>3.8</v>
      </c>
      <c r="I2000" t="s">
        <v>21</v>
      </c>
      <c r="J2000" t="s">
        <v>551</v>
      </c>
      <c r="K2000" s="12">
        <f>Store_Record[[#This Row],[Qty]]*Store_Record[[#This Row],[UnitPriceGBP]]</f>
        <v>3.8</v>
      </c>
      <c r="L2000" s="5" t="str">
        <f>TEXT(Store_Record[[#This Row],[Date]],"dddd")</f>
        <v>Friday</v>
      </c>
      <c r="M2000" s="5" t="str">
        <f>TEXT(Store_Record[[#This Row],[Date]],"mmmm")</f>
        <v>May</v>
      </c>
      <c r="N2000" s="5">
        <f>YEAR(Store_Record[[#This Row],[Date]])</f>
        <v>2025</v>
      </c>
      <c r="O2000"/>
    </row>
    <row r="2001" spans="1:15" x14ac:dyDescent="0.35">
      <c r="A2001" t="s">
        <v>6007</v>
      </c>
      <c r="B2001" s="2">
        <v>45800</v>
      </c>
      <c r="C2001" t="s">
        <v>24</v>
      </c>
      <c r="D2001" t="s">
        <v>25</v>
      </c>
      <c r="E2001" t="s">
        <v>42</v>
      </c>
      <c r="F2001" t="s">
        <v>13</v>
      </c>
      <c r="G2001">
        <v>1</v>
      </c>
      <c r="H2001">
        <v>3.8</v>
      </c>
      <c r="I2001" t="s">
        <v>14</v>
      </c>
      <c r="J2001" t="s">
        <v>1985</v>
      </c>
      <c r="K2001" s="12">
        <f>Store_Record[[#This Row],[Qty]]*Store_Record[[#This Row],[UnitPriceGBP]]</f>
        <v>3.8</v>
      </c>
      <c r="L2001" s="5" t="str">
        <f>TEXT(Store_Record[[#This Row],[Date]],"dddd")</f>
        <v>Friday</v>
      </c>
      <c r="M2001" s="5" t="str">
        <f>TEXT(Store_Record[[#This Row],[Date]],"mmmm")</f>
        <v>May</v>
      </c>
      <c r="N2001" s="5">
        <f>YEAR(Store_Record[[#This Row],[Date]])</f>
        <v>2025</v>
      </c>
      <c r="O2001"/>
    </row>
    <row r="2002" spans="1:15" x14ac:dyDescent="0.35">
      <c r="A2002" t="s">
        <v>2866</v>
      </c>
      <c r="B2002" s="2">
        <v>45800</v>
      </c>
      <c r="C2002" t="s">
        <v>20</v>
      </c>
      <c r="D2002" t="s">
        <v>47</v>
      </c>
      <c r="E2002" t="s">
        <v>26</v>
      </c>
      <c r="F2002" t="s">
        <v>13</v>
      </c>
      <c r="G2002">
        <v>1</v>
      </c>
      <c r="H2002">
        <v>3.5</v>
      </c>
      <c r="I2002" t="s">
        <v>39</v>
      </c>
      <c r="J2002" t="s">
        <v>2867</v>
      </c>
      <c r="K2002" s="12">
        <f>Store_Record[[#This Row],[Qty]]*Store_Record[[#This Row],[UnitPriceGBP]]</f>
        <v>3.5</v>
      </c>
      <c r="L2002" s="5" t="str">
        <f>TEXT(Store_Record[[#This Row],[Date]],"dddd")</f>
        <v>Friday</v>
      </c>
      <c r="M2002" s="5" t="str">
        <f>TEXT(Store_Record[[#This Row],[Date]],"mmmm")</f>
        <v>May</v>
      </c>
      <c r="N2002" s="5">
        <f>YEAR(Store_Record[[#This Row],[Date]])</f>
        <v>2025</v>
      </c>
      <c r="O2002"/>
    </row>
    <row r="2003" spans="1:15" x14ac:dyDescent="0.35">
      <c r="A2003" t="s">
        <v>2871</v>
      </c>
      <c r="B2003" s="2">
        <v>45800</v>
      </c>
      <c r="C2003" t="s">
        <v>36</v>
      </c>
      <c r="D2003" t="s">
        <v>47</v>
      </c>
      <c r="E2003" t="s">
        <v>12</v>
      </c>
      <c r="F2003" t="s">
        <v>13</v>
      </c>
      <c r="G2003">
        <v>1</v>
      </c>
      <c r="H2003">
        <v>2.5</v>
      </c>
      <c r="I2003" t="s">
        <v>21</v>
      </c>
      <c r="J2003" t="s">
        <v>2872</v>
      </c>
      <c r="K2003" s="12">
        <f>Store_Record[[#This Row],[Qty]]*Store_Record[[#This Row],[UnitPriceGBP]]</f>
        <v>2.5</v>
      </c>
      <c r="L2003" s="5" t="str">
        <f>TEXT(Store_Record[[#This Row],[Date]],"dddd")</f>
        <v>Friday</v>
      </c>
      <c r="M2003" s="5" t="str">
        <f>TEXT(Store_Record[[#This Row],[Date]],"mmmm")</f>
        <v>May</v>
      </c>
      <c r="N2003" s="5">
        <f>YEAR(Store_Record[[#This Row],[Date]])</f>
        <v>2025</v>
      </c>
      <c r="O2003"/>
    </row>
    <row r="2004" spans="1:15" x14ac:dyDescent="0.35">
      <c r="A2004" t="s">
        <v>2888</v>
      </c>
      <c r="B2004" s="2">
        <v>45801</v>
      </c>
      <c r="C2004" t="s">
        <v>10</v>
      </c>
      <c r="D2004" t="s">
        <v>29</v>
      </c>
      <c r="E2004" t="s">
        <v>42</v>
      </c>
      <c r="F2004" t="s">
        <v>13</v>
      </c>
      <c r="G2004">
        <v>4</v>
      </c>
      <c r="H2004">
        <v>3.8</v>
      </c>
      <c r="I2004" t="s">
        <v>39</v>
      </c>
      <c r="J2004" t="s">
        <v>782</v>
      </c>
      <c r="K2004" s="12">
        <f>Store_Record[[#This Row],[Qty]]*Store_Record[[#This Row],[UnitPriceGBP]]</f>
        <v>15.2</v>
      </c>
      <c r="L2004" s="5" t="str">
        <f>TEXT(Store_Record[[#This Row],[Date]],"dddd")</f>
        <v>Saturday</v>
      </c>
      <c r="M2004" s="5" t="str">
        <f>TEXT(Store_Record[[#This Row],[Date]],"mmmm")</f>
        <v>May</v>
      </c>
      <c r="N2004" s="5">
        <f>YEAR(Store_Record[[#This Row],[Date]])</f>
        <v>2025</v>
      </c>
      <c r="O2004"/>
    </row>
    <row r="2005" spans="1:15" x14ac:dyDescent="0.35">
      <c r="A2005" t="s">
        <v>2889</v>
      </c>
      <c r="B2005" s="2">
        <v>45801</v>
      </c>
      <c r="C2005" t="s">
        <v>36</v>
      </c>
      <c r="D2005" t="s">
        <v>47</v>
      </c>
      <c r="E2005" t="s">
        <v>30</v>
      </c>
      <c r="F2005" t="s">
        <v>31</v>
      </c>
      <c r="G2005">
        <v>4</v>
      </c>
      <c r="H2005">
        <v>2.8</v>
      </c>
      <c r="I2005" t="s">
        <v>21</v>
      </c>
      <c r="J2005" t="s">
        <v>925</v>
      </c>
      <c r="K2005" s="12">
        <f>Store_Record[[#This Row],[Qty]]*Store_Record[[#This Row],[UnitPriceGBP]]</f>
        <v>11.2</v>
      </c>
      <c r="L2005" s="5" t="str">
        <f>TEXT(Store_Record[[#This Row],[Date]],"dddd")</f>
        <v>Saturday</v>
      </c>
      <c r="M2005" s="5" t="str">
        <f>TEXT(Store_Record[[#This Row],[Date]],"mmmm")</f>
        <v>May</v>
      </c>
      <c r="N2005" s="5">
        <f>YEAR(Store_Record[[#This Row],[Date]])</f>
        <v>2025</v>
      </c>
      <c r="O2005"/>
    </row>
    <row r="2006" spans="1:15" x14ac:dyDescent="0.35">
      <c r="A2006" t="s">
        <v>2893</v>
      </c>
      <c r="B2006" s="2">
        <v>45801</v>
      </c>
      <c r="C2006" t="s">
        <v>10</v>
      </c>
      <c r="D2006" t="s">
        <v>25</v>
      </c>
      <c r="E2006" t="s">
        <v>26</v>
      </c>
      <c r="F2006" t="s">
        <v>13</v>
      </c>
      <c r="G2006">
        <v>3</v>
      </c>
      <c r="H2006">
        <v>3.5</v>
      </c>
      <c r="I2006" t="s">
        <v>14</v>
      </c>
      <c r="J2006" t="s">
        <v>1792</v>
      </c>
      <c r="K2006" s="12">
        <f>Store_Record[[#This Row],[Qty]]*Store_Record[[#This Row],[UnitPriceGBP]]</f>
        <v>10.5</v>
      </c>
      <c r="L2006" s="5" t="str">
        <f>TEXT(Store_Record[[#This Row],[Date]],"dddd")</f>
        <v>Saturday</v>
      </c>
      <c r="M2006" s="5" t="str">
        <f>TEXT(Store_Record[[#This Row],[Date]],"mmmm")</f>
        <v>May</v>
      </c>
      <c r="N2006" s="5">
        <f>YEAR(Store_Record[[#This Row],[Date]])</f>
        <v>2025</v>
      </c>
      <c r="O2006"/>
    </row>
    <row r="2007" spans="1:15" x14ac:dyDescent="0.35">
      <c r="A2007" t="s">
        <v>2893</v>
      </c>
      <c r="B2007" s="2">
        <v>45801</v>
      </c>
      <c r="C2007" t="s">
        <v>10</v>
      </c>
      <c r="D2007" t="s">
        <v>25</v>
      </c>
      <c r="E2007" t="s">
        <v>26</v>
      </c>
      <c r="F2007" t="s">
        <v>13</v>
      </c>
      <c r="G2007">
        <v>3</v>
      </c>
      <c r="H2007">
        <v>3.5</v>
      </c>
      <c r="I2007" t="s">
        <v>39</v>
      </c>
      <c r="J2007" t="s">
        <v>1792</v>
      </c>
      <c r="K2007" s="12">
        <f>Store_Record[[#This Row],[Qty]]*Store_Record[[#This Row],[UnitPriceGBP]]</f>
        <v>10.5</v>
      </c>
      <c r="L2007" s="5" t="str">
        <f>TEXT(Store_Record[[#This Row],[Date]],"dddd")</f>
        <v>Saturday</v>
      </c>
      <c r="M2007" s="5" t="str">
        <f>TEXT(Store_Record[[#This Row],[Date]],"mmmm")</f>
        <v>May</v>
      </c>
      <c r="N2007" s="5">
        <f>YEAR(Store_Record[[#This Row],[Date]])</f>
        <v>2025</v>
      </c>
      <c r="O2007"/>
    </row>
    <row r="2008" spans="1:15" x14ac:dyDescent="0.35">
      <c r="A2008" t="s">
        <v>2894</v>
      </c>
      <c r="B2008" s="2">
        <v>45801</v>
      </c>
      <c r="C2008" t="s">
        <v>20</v>
      </c>
      <c r="D2008" t="s">
        <v>25</v>
      </c>
      <c r="E2008" t="s">
        <v>26</v>
      </c>
      <c r="F2008" t="s">
        <v>13</v>
      </c>
      <c r="G2008">
        <v>3</v>
      </c>
      <c r="H2008">
        <v>3.5</v>
      </c>
      <c r="I2008" t="s">
        <v>14</v>
      </c>
      <c r="J2008" t="s">
        <v>312</v>
      </c>
      <c r="K2008" s="12">
        <f>Store_Record[[#This Row],[Qty]]*Store_Record[[#This Row],[UnitPriceGBP]]</f>
        <v>10.5</v>
      </c>
      <c r="L2008" s="5" t="str">
        <f>TEXT(Store_Record[[#This Row],[Date]],"dddd")</f>
        <v>Saturday</v>
      </c>
      <c r="M2008" s="5" t="str">
        <f>TEXT(Store_Record[[#This Row],[Date]],"mmmm")</f>
        <v>May</v>
      </c>
      <c r="N2008" s="5">
        <f>YEAR(Store_Record[[#This Row],[Date]])</f>
        <v>2025</v>
      </c>
      <c r="O2008"/>
    </row>
    <row r="2009" spans="1:15" x14ac:dyDescent="0.35">
      <c r="A2009" t="s">
        <v>2887</v>
      </c>
      <c r="B2009" s="2">
        <v>45801</v>
      </c>
      <c r="C2009" t="s">
        <v>20</v>
      </c>
      <c r="D2009" t="s">
        <v>11</v>
      </c>
      <c r="E2009" t="s">
        <v>12</v>
      </c>
      <c r="F2009" t="s">
        <v>13</v>
      </c>
      <c r="G2009">
        <v>4</v>
      </c>
      <c r="H2009">
        <v>2.5</v>
      </c>
      <c r="I2009" t="s">
        <v>14</v>
      </c>
      <c r="J2009" t="s">
        <v>1910</v>
      </c>
      <c r="K2009" s="12">
        <f>Store_Record[[#This Row],[Qty]]*Store_Record[[#This Row],[UnitPriceGBP]]</f>
        <v>10</v>
      </c>
      <c r="L2009" s="5" t="str">
        <f>TEXT(Store_Record[[#This Row],[Date]],"dddd")</f>
        <v>Saturday</v>
      </c>
      <c r="M2009" s="5" t="str">
        <f>TEXT(Store_Record[[#This Row],[Date]],"mmmm")</f>
        <v>May</v>
      </c>
      <c r="N2009" s="5">
        <f>YEAR(Store_Record[[#This Row],[Date]])</f>
        <v>2025</v>
      </c>
      <c r="O2009"/>
    </row>
    <row r="2010" spans="1:15" x14ac:dyDescent="0.35">
      <c r="A2010" t="s">
        <v>6009</v>
      </c>
      <c r="B2010" s="2">
        <v>45801</v>
      </c>
      <c r="C2010" t="s">
        <v>20</v>
      </c>
      <c r="D2010" t="s">
        <v>38</v>
      </c>
      <c r="E2010" t="s">
        <v>30</v>
      </c>
      <c r="F2010" t="s">
        <v>31</v>
      </c>
      <c r="G2010">
        <v>3</v>
      </c>
      <c r="H2010">
        <v>2.8</v>
      </c>
      <c r="I2010" t="s">
        <v>39</v>
      </c>
      <c r="J2010" t="s">
        <v>5874</v>
      </c>
      <c r="K2010" s="12">
        <f>Store_Record[[#This Row],[Qty]]*Store_Record[[#This Row],[UnitPriceGBP]]</f>
        <v>8.3999999999999986</v>
      </c>
      <c r="L2010" s="5" t="str">
        <f>TEXT(Store_Record[[#This Row],[Date]],"dddd")</f>
        <v>Saturday</v>
      </c>
      <c r="M2010" s="5" t="str">
        <f>TEXT(Store_Record[[#This Row],[Date]],"mmmm")</f>
        <v>May</v>
      </c>
      <c r="N2010" s="5">
        <f>YEAR(Store_Record[[#This Row],[Date]])</f>
        <v>2025</v>
      </c>
      <c r="O2010"/>
    </row>
    <row r="2011" spans="1:15" x14ac:dyDescent="0.35">
      <c r="A2011" t="s">
        <v>2884</v>
      </c>
      <c r="B2011" s="2">
        <v>45801</v>
      </c>
      <c r="C2011" t="s">
        <v>20</v>
      </c>
      <c r="D2011" t="s">
        <v>11</v>
      </c>
      <c r="E2011" t="s">
        <v>26</v>
      </c>
      <c r="F2011" t="s">
        <v>13</v>
      </c>
      <c r="G2011">
        <v>2</v>
      </c>
      <c r="H2011">
        <v>3.5</v>
      </c>
      <c r="I2011" t="s">
        <v>39</v>
      </c>
      <c r="J2011" t="s">
        <v>273</v>
      </c>
      <c r="K2011" s="12">
        <f>Store_Record[[#This Row],[Qty]]*Store_Record[[#This Row],[UnitPriceGBP]]</f>
        <v>7</v>
      </c>
      <c r="L2011" s="5" t="str">
        <f>TEXT(Store_Record[[#This Row],[Date]],"dddd")</f>
        <v>Saturday</v>
      </c>
      <c r="M2011" s="5" t="str">
        <f>TEXT(Store_Record[[#This Row],[Date]],"mmmm")</f>
        <v>May</v>
      </c>
      <c r="N2011" s="5">
        <f>YEAR(Store_Record[[#This Row],[Date]])</f>
        <v>2025</v>
      </c>
      <c r="O2011"/>
    </row>
    <row r="2012" spans="1:15" x14ac:dyDescent="0.35">
      <c r="A2012" t="s">
        <v>2891</v>
      </c>
      <c r="B2012" s="2">
        <v>45801</v>
      </c>
      <c r="C2012" t="s">
        <v>24</v>
      </c>
      <c r="D2012" t="s">
        <v>25</v>
      </c>
      <c r="E2012" t="s">
        <v>30</v>
      </c>
      <c r="F2012" t="s">
        <v>31</v>
      </c>
      <c r="G2012">
        <v>2</v>
      </c>
      <c r="H2012">
        <v>2.8</v>
      </c>
      <c r="I2012" t="s">
        <v>39</v>
      </c>
      <c r="J2012" t="s">
        <v>965</v>
      </c>
      <c r="K2012" s="12">
        <f>Store_Record[[#This Row],[Qty]]*Store_Record[[#This Row],[UnitPriceGBP]]</f>
        <v>5.6</v>
      </c>
      <c r="L2012" s="5" t="str">
        <f>TEXT(Store_Record[[#This Row],[Date]],"dddd")</f>
        <v>Saturday</v>
      </c>
      <c r="M2012" s="5" t="str">
        <f>TEXT(Store_Record[[#This Row],[Date]],"mmmm")</f>
        <v>May</v>
      </c>
      <c r="N2012" s="5">
        <f>YEAR(Store_Record[[#This Row],[Date]])</f>
        <v>2025</v>
      </c>
      <c r="O2012"/>
    </row>
    <row r="2013" spans="1:15" x14ac:dyDescent="0.35">
      <c r="A2013" t="s">
        <v>2882</v>
      </c>
      <c r="B2013" s="2">
        <v>45801</v>
      </c>
      <c r="C2013" t="s">
        <v>24</v>
      </c>
      <c r="D2013" t="s">
        <v>25</v>
      </c>
      <c r="E2013" t="s">
        <v>12</v>
      </c>
      <c r="F2013" t="s">
        <v>13</v>
      </c>
      <c r="G2013">
        <v>2</v>
      </c>
      <c r="H2013">
        <v>2.5</v>
      </c>
      <c r="I2013" t="s">
        <v>21</v>
      </c>
      <c r="J2013" t="s">
        <v>2883</v>
      </c>
      <c r="K2013" s="12">
        <f>Store_Record[[#This Row],[Qty]]*Store_Record[[#This Row],[UnitPriceGBP]]</f>
        <v>5</v>
      </c>
      <c r="L2013" s="5" t="str">
        <f>TEXT(Store_Record[[#This Row],[Date]],"dddd")</f>
        <v>Saturday</v>
      </c>
      <c r="M2013" s="5" t="str">
        <f>TEXT(Store_Record[[#This Row],[Date]],"mmmm")</f>
        <v>May</v>
      </c>
      <c r="N2013" s="5">
        <f>YEAR(Store_Record[[#This Row],[Date]])</f>
        <v>2025</v>
      </c>
      <c r="O2013"/>
    </row>
    <row r="2014" spans="1:15" x14ac:dyDescent="0.35">
      <c r="A2014" t="s">
        <v>2890</v>
      </c>
      <c r="B2014" s="2">
        <v>45801</v>
      </c>
      <c r="C2014" t="s">
        <v>20</v>
      </c>
      <c r="D2014" t="s">
        <v>29</v>
      </c>
      <c r="E2014" t="s">
        <v>34</v>
      </c>
      <c r="F2014" t="s">
        <v>31</v>
      </c>
      <c r="G2014">
        <v>2</v>
      </c>
      <c r="H2014">
        <v>2.2000000000000002</v>
      </c>
      <c r="I2014" t="s">
        <v>14</v>
      </c>
      <c r="J2014" t="s">
        <v>2055</v>
      </c>
      <c r="K2014" s="12">
        <f>Store_Record[[#This Row],[Qty]]*Store_Record[[#This Row],[UnitPriceGBP]]</f>
        <v>4.4000000000000004</v>
      </c>
      <c r="L2014" s="5" t="str">
        <f>TEXT(Store_Record[[#This Row],[Date]],"dddd")</f>
        <v>Saturday</v>
      </c>
      <c r="M2014" s="5" t="str">
        <f>TEXT(Store_Record[[#This Row],[Date]],"mmmm")</f>
        <v>May</v>
      </c>
      <c r="N2014" s="5">
        <f>YEAR(Store_Record[[#This Row],[Date]])</f>
        <v>2025</v>
      </c>
      <c r="O2014"/>
    </row>
    <row r="2015" spans="1:15" x14ac:dyDescent="0.35">
      <c r="A2015" t="s">
        <v>2886</v>
      </c>
      <c r="B2015" s="2">
        <v>45801</v>
      </c>
      <c r="C2015" t="s">
        <v>20</v>
      </c>
      <c r="D2015" t="s">
        <v>29</v>
      </c>
      <c r="E2015" t="s">
        <v>26</v>
      </c>
      <c r="F2015" t="s">
        <v>13</v>
      </c>
      <c r="G2015">
        <v>1</v>
      </c>
      <c r="H2015">
        <v>3.5</v>
      </c>
      <c r="I2015" t="s">
        <v>21</v>
      </c>
      <c r="J2015" t="s">
        <v>2401</v>
      </c>
      <c r="K2015" s="12">
        <f>Store_Record[[#This Row],[Qty]]*Store_Record[[#This Row],[UnitPriceGBP]]</f>
        <v>3.5</v>
      </c>
      <c r="L2015" s="5" t="str">
        <f>TEXT(Store_Record[[#This Row],[Date]],"dddd")</f>
        <v>Saturday</v>
      </c>
      <c r="M2015" s="5" t="str">
        <f>TEXT(Store_Record[[#This Row],[Date]],"mmmm")</f>
        <v>May</v>
      </c>
      <c r="N2015" s="5">
        <f>YEAR(Store_Record[[#This Row],[Date]])</f>
        <v>2025</v>
      </c>
      <c r="O2015"/>
    </row>
    <row r="2016" spans="1:15" x14ac:dyDescent="0.35">
      <c r="A2016" t="s">
        <v>2885</v>
      </c>
      <c r="B2016" s="2">
        <v>45801</v>
      </c>
      <c r="C2016" t="s">
        <v>36</v>
      </c>
      <c r="D2016" t="s">
        <v>11</v>
      </c>
      <c r="E2016" t="s">
        <v>30</v>
      </c>
      <c r="F2016" t="s">
        <v>31</v>
      </c>
      <c r="G2016">
        <v>1</v>
      </c>
      <c r="H2016">
        <v>2.8</v>
      </c>
      <c r="I2016" t="s">
        <v>14</v>
      </c>
      <c r="J2016" t="s">
        <v>2062</v>
      </c>
      <c r="K2016" s="12">
        <f>Store_Record[[#This Row],[Qty]]*Store_Record[[#This Row],[UnitPriceGBP]]</f>
        <v>2.8</v>
      </c>
      <c r="L2016" s="5" t="str">
        <f>TEXT(Store_Record[[#This Row],[Date]],"dddd")</f>
        <v>Saturday</v>
      </c>
      <c r="M2016" s="5" t="str">
        <f>TEXT(Store_Record[[#This Row],[Date]],"mmmm")</f>
        <v>May</v>
      </c>
      <c r="N2016" s="5">
        <f>YEAR(Store_Record[[#This Row],[Date]])</f>
        <v>2025</v>
      </c>
      <c r="O2016"/>
    </row>
    <row r="2017" spans="1:15" x14ac:dyDescent="0.35">
      <c r="A2017" t="s">
        <v>2892</v>
      </c>
      <c r="B2017" s="2">
        <v>45801</v>
      </c>
      <c r="C2017" t="s">
        <v>20</v>
      </c>
      <c r="D2017" t="s">
        <v>29</v>
      </c>
      <c r="E2017" t="s">
        <v>34</v>
      </c>
      <c r="F2017" t="s">
        <v>31</v>
      </c>
      <c r="G2017">
        <v>1</v>
      </c>
      <c r="H2017">
        <v>2.2000000000000002</v>
      </c>
      <c r="I2017" t="s">
        <v>39</v>
      </c>
      <c r="J2017" t="s">
        <v>127</v>
      </c>
      <c r="K2017" s="12">
        <f>Store_Record[[#This Row],[Qty]]*Store_Record[[#This Row],[UnitPriceGBP]]</f>
        <v>2.2000000000000002</v>
      </c>
      <c r="L2017" s="5" t="str">
        <f>TEXT(Store_Record[[#This Row],[Date]],"dddd")</f>
        <v>Saturday</v>
      </c>
      <c r="M2017" s="5" t="str">
        <f>TEXT(Store_Record[[#This Row],[Date]],"mmmm")</f>
        <v>May</v>
      </c>
      <c r="N2017" s="5">
        <f>YEAR(Store_Record[[#This Row],[Date]])</f>
        <v>2025</v>
      </c>
      <c r="O2017"/>
    </row>
    <row r="2018" spans="1:15" x14ac:dyDescent="0.35">
      <c r="A2018" t="s">
        <v>2900</v>
      </c>
      <c r="B2018" s="2">
        <v>45802</v>
      </c>
      <c r="C2018" t="s">
        <v>20</v>
      </c>
      <c r="D2018" t="s">
        <v>38</v>
      </c>
      <c r="E2018" t="s">
        <v>42</v>
      </c>
      <c r="F2018" t="s">
        <v>13</v>
      </c>
      <c r="G2018">
        <v>5</v>
      </c>
      <c r="H2018">
        <v>3.8</v>
      </c>
      <c r="I2018" t="s">
        <v>21</v>
      </c>
      <c r="J2018" t="s">
        <v>349</v>
      </c>
      <c r="K2018" s="12">
        <f>Store_Record[[#This Row],[Qty]]*Store_Record[[#This Row],[UnitPriceGBP]]</f>
        <v>19</v>
      </c>
      <c r="L2018" s="5" t="str">
        <f>TEXT(Store_Record[[#This Row],[Date]],"dddd")</f>
        <v>Sunday</v>
      </c>
      <c r="M2018" s="5" t="str">
        <f>TEXT(Store_Record[[#This Row],[Date]],"mmmm")</f>
        <v>May</v>
      </c>
      <c r="N2018" s="5">
        <f>YEAR(Store_Record[[#This Row],[Date]])</f>
        <v>2025</v>
      </c>
      <c r="O2018"/>
    </row>
    <row r="2019" spans="1:15" x14ac:dyDescent="0.35">
      <c r="A2019" t="s">
        <v>2896</v>
      </c>
      <c r="B2019" s="2">
        <v>45802</v>
      </c>
      <c r="C2019" t="s">
        <v>20</v>
      </c>
      <c r="D2019" t="s">
        <v>38</v>
      </c>
      <c r="E2019" t="s">
        <v>42</v>
      </c>
      <c r="F2019" t="s">
        <v>13</v>
      </c>
      <c r="G2019">
        <v>4</v>
      </c>
      <c r="H2019">
        <v>3.8</v>
      </c>
      <c r="I2019" t="s">
        <v>21</v>
      </c>
      <c r="J2019" t="s">
        <v>539</v>
      </c>
      <c r="K2019" s="12">
        <f>Store_Record[[#This Row],[Qty]]*Store_Record[[#This Row],[UnitPriceGBP]]</f>
        <v>15.2</v>
      </c>
      <c r="L2019" s="5" t="str">
        <f>TEXT(Store_Record[[#This Row],[Date]],"dddd")</f>
        <v>Sunday</v>
      </c>
      <c r="M2019" s="5" t="str">
        <f>TEXT(Store_Record[[#This Row],[Date]],"mmmm")</f>
        <v>May</v>
      </c>
      <c r="N2019" s="5">
        <f>YEAR(Store_Record[[#This Row],[Date]])</f>
        <v>2025</v>
      </c>
      <c r="O2019"/>
    </row>
    <row r="2020" spans="1:15" x14ac:dyDescent="0.35">
      <c r="A2020" t="s">
        <v>2902</v>
      </c>
      <c r="B2020" s="2">
        <v>45802</v>
      </c>
      <c r="C2020" t="s">
        <v>36</v>
      </c>
      <c r="D2020" t="s">
        <v>11</v>
      </c>
      <c r="E2020" t="s">
        <v>12</v>
      </c>
      <c r="F2020" t="s">
        <v>13</v>
      </c>
      <c r="G2020">
        <v>5</v>
      </c>
      <c r="H2020">
        <v>2.5</v>
      </c>
      <c r="I2020" t="s">
        <v>21</v>
      </c>
      <c r="J2020" t="s">
        <v>1777</v>
      </c>
      <c r="K2020" s="12">
        <f>Store_Record[[#This Row],[Qty]]*Store_Record[[#This Row],[UnitPriceGBP]]</f>
        <v>12.5</v>
      </c>
      <c r="L2020" s="5" t="str">
        <f>TEXT(Store_Record[[#This Row],[Date]],"dddd")</f>
        <v>Sunday</v>
      </c>
      <c r="M2020" s="5" t="str">
        <f>TEXT(Store_Record[[#This Row],[Date]],"mmmm")</f>
        <v>May</v>
      </c>
      <c r="N2020" s="5">
        <f>YEAR(Store_Record[[#This Row],[Date]])</f>
        <v>2025</v>
      </c>
      <c r="O2020"/>
    </row>
    <row r="2021" spans="1:15" x14ac:dyDescent="0.35">
      <c r="A2021" t="s">
        <v>2897</v>
      </c>
      <c r="B2021" s="2">
        <v>45802</v>
      </c>
      <c r="C2021" t="s">
        <v>24</v>
      </c>
      <c r="D2021" t="s">
        <v>38</v>
      </c>
      <c r="E2021" t="s">
        <v>30</v>
      </c>
      <c r="F2021" t="s">
        <v>31</v>
      </c>
      <c r="G2021">
        <v>4</v>
      </c>
      <c r="H2021">
        <v>2.8</v>
      </c>
      <c r="I2021" t="s">
        <v>39</v>
      </c>
      <c r="J2021" t="s">
        <v>117</v>
      </c>
      <c r="K2021" s="12">
        <f>Store_Record[[#This Row],[Qty]]*Store_Record[[#This Row],[UnitPriceGBP]]</f>
        <v>11.2</v>
      </c>
      <c r="L2021" s="5" t="str">
        <f>TEXT(Store_Record[[#This Row],[Date]],"dddd")</f>
        <v>Sunday</v>
      </c>
      <c r="M2021" s="5" t="str">
        <f>TEXT(Store_Record[[#This Row],[Date]],"mmmm")</f>
        <v>May</v>
      </c>
      <c r="N2021" s="5">
        <f>YEAR(Store_Record[[#This Row],[Date]])</f>
        <v>2025</v>
      </c>
      <c r="O2021"/>
    </row>
    <row r="2022" spans="1:15" x14ac:dyDescent="0.35">
      <c r="A2022" t="s">
        <v>2904</v>
      </c>
      <c r="B2022" s="2">
        <v>45802</v>
      </c>
      <c r="C2022" t="s">
        <v>24</v>
      </c>
      <c r="D2022" t="s">
        <v>29</v>
      </c>
      <c r="E2022" t="s">
        <v>34</v>
      </c>
      <c r="F2022" t="s">
        <v>31</v>
      </c>
      <c r="G2022">
        <v>5</v>
      </c>
      <c r="H2022">
        <v>2.2000000000000002</v>
      </c>
      <c r="I2022" t="s">
        <v>14</v>
      </c>
      <c r="J2022" t="s">
        <v>1477</v>
      </c>
      <c r="K2022" s="12">
        <f>Store_Record[[#This Row],[Qty]]*Store_Record[[#This Row],[UnitPriceGBP]]</f>
        <v>11</v>
      </c>
      <c r="L2022" s="5" t="str">
        <f>TEXT(Store_Record[[#This Row],[Date]],"dddd")</f>
        <v>Sunday</v>
      </c>
      <c r="M2022" s="5" t="str">
        <f>TEXT(Store_Record[[#This Row],[Date]],"mmmm")</f>
        <v>May</v>
      </c>
      <c r="N2022" s="5">
        <f>YEAR(Store_Record[[#This Row],[Date]])</f>
        <v>2025</v>
      </c>
      <c r="O2022"/>
    </row>
    <row r="2023" spans="1:15" x14ac:dyDescent="0.35">
      <c r="A2023" t="s">
        <v>2901</v>
      </c>
      <c r="B2023" s="2">
        <v>45802</v>
      </c>
      <c r="C2023" t="s">
        <v>10</v>
      </c>
      <c r="D2023" t="s">
        <v>47</v>
      </c>
      <c r="E2023" t="s">
        <v>12</v>
      </c>
      <c r="F2023" t="s">
        <v>13</v>
      </c>
      <c r="G2023">
        <v>3</v>
      </c>
      <c r="H2023">
        <v>2.5</v>
      </c>
      <c r="I2023" t="s">
        <v>21</v>
      </c>
      <c r="J2023" t="s">
        <v>245</v>
      </c>
      <c r="K2023" s="12">
        <f>Store_Record[[#This Row],[Qty]]*Store_Record[[#This Row],[UnitPriceGBP]]</f>
        <v>7.5</v>
      </c>
      <c r="L2023" s="5" t="str">
        <f>TEXT(Store_Record[[#This Row],[Date]],"dddd")</f>
        <v>Sunday</v>
      </c>
      <c r="M2023" s="5" t="str">
        <f>TEXT(Store_Record[[#This Row],[Date]],"mmmm")</f>
        <v>May</v>
      </c>
      <c r="N2023" s="5">
        <f>YEAR(Store_Record[[#This Row],[Date]])</f>
        <v>2025</v>
      </c>
      <c r="O2023"/>
    </row>
    <row r="2024" spans="1:15" x14ac:dyDescent="0.35">
      <c r="A2024" t="s">
        <v>2899</v>
      </c>
      <c r="B2024" s="2">
        <v>45802</v>
      </c>
      <c r="C2024" t="s">
        <v>20</v>
      </c>
      <c r="D2024" t="s">
        <v>11</v>
      </c>
      <c r="E2024" t="s">
        <v>30</v>
      </c>
      <c r="F2024" t="s">
        <v>31</v>
      </c>
      <c r="G2024">
        <v>2</v>
      </c>
      <c r="H2024">
        <v>2.8</v>
      </c>
      <c r="I2024" t="s">
        <v>14</v>
      </c>
      <c r="J2024" t="s">
        <v>1541</v>
      </c>
      <c r="K2024" s="12">
        <f>Store_Record[[#This Row],[Qty]]*Store_Record[[#This Row],[UnitPriceGBP]]</f>
        <v>5.6</v>
      </c>
      <c r="L2024" s="5" t="str">
        <f>TEXT(Store_Record[[#This Row],[Date]],"dddd")</f>
        <v>Sunday</v>
      </c>
      <c r="M2024" s="5" t="str">
        <f>TEXT(Store_Record[[#This Row],[Date]],"mmmm")</f>
        <v>May</v>
      </c>
      <c r="N2024" s="5">
        <f>YEAR(Store_Record[[#This Row],[Date]])</f>
        <v>2025</v>
      </c>
      <c r="O2024"/>
    </row>
    <row r="2025" spans="1:15" x14ac:dyDescent="0.35">
      <c r="A2025" t="s">
        <v>2906</v>
      </c>
      <c r="B2025" s="2">
        <v>45802</v>
      </c>
      <c r="C2025" t="s">
        <v>10</v>
      </c>
      <c r="D2025" t="s">
        <v>11</v>
      </c>
      <c r="E2025" t="s">
        <v>30</v>
      </c>
      <c r="F2025" t="s">
        <v>31</v>
      </c>
      <c r="G2025">
        <v>2</v>
      </c>
      <c r="H2025">
        <v>2.8</v>
      </c>
      <c r="I2025" t="s">
        <v>21</v>
      </c>
      <c r="J2025" t="s">
        <v>908</v>
      </c>
      <c r="K2025" s="12">
        <f>Store_Record[[#This Row],[Qty]]*Store_Record[[#This Row],[UnitPriceGBP]]</f>
        <v>5.6</v>
      </c>
      <c r="L2025" s="5" t="str">
        <f>TEXT(Store_Record[[#This Row],[Date]],"dddd")</f>
        <v>Sunday</v>
      </c>
      <c r="M2025" s="5" t="str">
        <f>TEXT(Store_Record[[#This Row],[Date]],"mmmm")</f>
        <v>May</v>
      </c>
      <c r="N2025" s="5">
        <f>YEAR(Store_Record[[#This Row],[Date]])</f>
        <v>2025</v>
      </c>
      <c r="O2025"/>
    </row>
    <row r="2026" spans="1:15" x14ac:dyDescent="0.35">
      <c r="A2026" t="s">
        <v>2903</v>
      </c>
      <c r="B2026" s="2">
        <v>45802</v>
      </c>
      <c r="C2026" t="s">
        <v>10</v>
      </c>
      <c r="D2026" t="s">
        <v>11</v>
      </c>
      <c r="E2026" t="s">
        <v>42</v>
      </c>
      <c r="F2026" t="s">
        <v>13</v>
      </c>
      <c r="G2026">
        <v>1</v>
      </c>
      <c r="H2026">
        <v>3.8</v>
      </c>
      <c r="I2026" t="s">
        <v>21</v>
      </c>
      <c r="J2026" t="s">
        <v>409</v>
      </c>
      <c r="K2026" s="12">
        <f>Store_Record[[#This Row],[Qty]]*Store_Record[[#This Row],[UnitPriceGBP]]</f>
        <v>3.8</v>
      </c>
      <c r="L2026" s="5" t="str">
        <f>TEXT(Store_Record[[#This Row],[Date]],"dddd")</f>
        <v>Sunday</v>
      </c>
      <c r="M2026" s="5" t="str">
        <f>TEXT(Store_Record[[#This Row],[Date]],"mmmm")</f>
        <v>May</v>
      </c>
      <c r="N2026" s="5">
        <f>YEAR(Store_Record[[#This Row],[Date]])</f>
        <v>2025</v>
      </c>
      <c r="O2026"/>
    </row>
    <row r="2027" spans="1:15" x14ac:dyDescent="0.35">
      <c r="A2027" t="s">
        <v>2898</v>
      </c>
      <c r="B2027" s="2">
        <v>45802</v>
      </c>
      <c r="C2027" t="s">
        <v>24</v>
      </c>
      <c r="D2027" t="s">
        <v>38</v>
      </c>
      <c r="E2027" t="s">
        <v>26</v>
      </c>
      <c r="F2027" t="s">
        <v>13</v>
      </c>
      <c r="G2027">
        <v>1</v>
      </c>
      <c r="H2027">
        <v>3.5</v>
      </c>
      <c r="I2027" t="s">
        <v>39</v>
      </c>
      <c r="J2027" t="s">
        <v>1212</v>
      </c>
      <c r="K2027" s="12">
        <f>Store_Record[[#This Row],[Qty]]*Store_Record[[#This Row],[UnitPriceGBP]]</f>
        <v>3.5</v>
      </c>
      <c r="L2027" s="5" t="str">
        <f>TEXT(Store_Record[[#This Row],[Date]],"dddd")</f>
        <v>Sunday</v>
      </c>
      <c r="M2027" s="5" t="str">
        <f>TEXT(Store_Record[[#This Row],[Date]],"mmmm")</f>
        <v>May</v>
      </c>
      <c r="N2027" s="5">
        <f>YEAR(Store_Record[[#This Row],[Date]])</f>
        <v>2025</v>
      </c>
      <c r="O2027"/>
    </row>
    <row r="2028" spans="1:15" x14ac:dyDescent="0.35">
      <c r="A2028" t="s">
        <v>2905</v>
      </c>
      <c r="B2028" s="2">
        <v>45802</v>
      </c>
      <c r="C2028" t="s">
        <v>20</v>
      </c>
      <c r="D2028" t="s">
        <v>38</v>
      </c>
      <c r="E2028" t="s">
        <v>12</v>
      </c>
      <c r="F2028" t="s">
        <v>13</v>
      </c>
      <c r="G2028">
        <v>1</v>
      </c>
      <c r="H2028">
        <v>2.5</v>
      </c>
      <c r="I2028" t="s">
        <v>39</v>
      </c>
      <c r="J2028" t="s">
        <v>2574</v>
      </c>
      <c r="K2028" s="12">
        <f>Store_Record[[#This Row],[Qty]]*Store_Record[[#This Row],[UnitPriceGBP]]</f>
        <v>2.5</v>
      </c>
      <c r="L2028" s="5" t="str">
        <f>TEXT(Store_Record[[#This Row],[Date]],"dddd")</f>
        <v>Sunday</v>
      </c>
      <c r="M2028" s="5" t="str">
        <f>TEXT(Store_Record[[#This Row],[Date]],"mmmm")</f>
        <v>May</v>
      </c>
      <c r="N2028" s="5">
        <f>YEAR(Store_Record[[#This Row],[Date]])</f>
        <v>2025</v>
      </c>
      <c r="O2028"/>
    </row>
    <row r="2029" spans="1:15" x14ac:dyDescent="0.35">
      <c r="A2029" t="s">
        <v>2895</v>
      </c>
      <c r="B2029" s="2">
        <v>45802</v>
      </c>
      <c r="C2029" t="s">
        <v>20</v>
      </c>
      <c r="D2029" t="s">
        <v>25</v>
      </c>
      <c r="E2029" t="s">
        <v>34</v>
      </c>
      <c r="F2029" t="s">
        <v>31</v>
      </c>
      <c r="G2029">
        <v>1</v>
      </c>
      <c r="H2029">
        <v>2.2000000000000002</v>
      </c>
      <c r="I2029" t="s">
        <v>21</v>
      </c>
      <c r="J2029" t="s">
        <v>27</v>
      </c>
      <c r="K2029" s="12">
        <f>Store_Record[[#This Row],[Qty]]*Store_Record[[#This Row],[UnitPriceGBP]]</f>
        <v>2.2000000000000002</v>
      </c>
      <c r="L2029" s="5" t="str">
        <f>TEXT(Store_Record[[#This Row],[Date]],"dddd")</f>
        <v>Sunday</v>
      </c>
      <c r="M2029" s="5" t="str">
        <f>TEXT(Store_Record[[#This Row],[Date]],"mmmm")</f>
        <v>May</v>
      </c>
      <c r="N2029" s="5">
        <f>YEAR(Store_Record[[#This Row],[Date]])</f>
        <v>2025</v>
      </c>
      <c r="O2029"/>
    </row>
    <row r="2030" spans="1:15" x14ac:dyDescent="0.35">
      <c r="A2030" t="s">
        <v>2912</v>
      </c>
      <c r="B2030" s="2">
        <v>45803</v>
      </c>
      <c r="C2030" t="s">
        <v>36</v>
      </c>
      <c r="D2030" t="s">
        <v>29</v>
      </c>
      <c r="E2030" t="s">
        <v>42</v>
      </c>
      <c r="F2030" t="s">
        <v>13</v>
      </c>
      <c r="G2030">
        <v>5</v>
      </c>
      <c r="H2030">
        <v>3.8</v>
      </c>
      <c r="I2030" t="s">
        <v>39</v>
      </c>
      <c r="J2030" t="s">
        <v>969</v>
      </c>
      <c r="K2030" s="12">
        <f>Store_Record[[#This Row],[Qty]]*Store_Record[[#This Row],[UnitPriceGBP]]</f>
        <v>19</v>
      </c>
      <c r="L2030" s="5" t="str">
        <f>TEXT(Store_Record[[#This Row],[Date]],"dddd")</f>
        <v>Monday</v>
      </c>
      <c r="M2030" s="5" t="str">
        <f>TEXT(Store_Record[[#This Row],[Date]],"mmmm")</f>
        <v>May</v>
      </c>
      <c r="N2030" s="5">
        <f>YEAR(Store_Record[[#This Row],[Date]])</f>
        <v>2025</v>
      </c>
      <c r="O2030"/>
    </row>
    <row r="2031" spans="1:15" x14ac:dyDescent="0.35">
      <c r="A2031" t="s">
        <v>2915</v>
      </c>
      <c r="B2031" s="2">
        <v>45803</v>
      </c>
      <c r="C2031" t="s">
        <v>10</v>
      </c>
      <c r="D2031" t="s">
        <v>25</v>
      </c>
      <c r="E2031" t="s">
        <v>26</v>
      </c>
      <c r="F2031" t="s">
        <v>13</v>
      </c>
      <c r="G2031">
        <v>5</v>
      </c>
      <c r="H2031">
        <v>3.5</v>
      </c>
      <c r="I2031" t="s">
        <v>39</v>
      </c>
      <c r="J2031" t="s">
        <v>56</v>
      </c>
      <c r="K2031" s="12">
        <f>Store_Record[[#This Row],[Qty]]*Store_Record[[#This Row],[UnitPriceGBP]]</f>
        <v>17.5</v>
      </c>
      <c r="L2031" s="5" t="str">
        <f>TEXT(Store_Record[[#This Row],[Date]],"dddd")</f>
        <v>Monday</v>
      </c>
      <c r="M2031" s="5" t="str">
        <f>TEXT(Store_Record[[#This Row],[Date]],"mmmm")</f>
        <v>May</v>
      </c>
      <c r="N2031" s="5">
        <f>YEAR(Store_Record[[#This Row],[Date]])</f>
        <v>2025</v>
      </c>
      <c r="O2031"/>
    </row>
    <row r="2032" spans="1:15" x14ac:dyDescent="0.35">
      <c r="A2032" t="s">
        <v>2916</v>
      </c>
      <c r="B2032" s="2">
        <v>45803</v>
      </c>
      <c r="C2032" t="s">
        <v>24</v>
      </c>
      <c r="D2032" t="s">
        <v>11</v>
      </c>
      <c r="E2032" t="s">
        <v>30</v>
      </c>
      <c r="F2032" t="s">
        <v>31</v>
      </c>
      <c r="G2032">
        <v>5</v>
      </c>
      <c r="H2032">
        <v>2.8</v>
      </c>
      <c r="I2032" t="s">
        <v>21</v>
      </c>
      <c r="J2032" t="s">
        <v>286</v>
      </c>
      <c r="K2032" s="12">
        <f>Store_Record[[#This Row],[Qty]]*Store_Record[[#This Row],[UnitPriceGBP]]</f>
        <v>14</v>
      </c>
      <c r="L2032" s="5" t="str">
        <f>TEXT(Store_Record[[#This Row],[Date]],"dddd")</f>
        <v>Monday</v>
      </c>
      <c r="M2032" s="5" t="str">
        <f>TEXT(Store_Record[[#This Row],[Date]],"mmmm")</f>
        <v>May</v>
      </c>
      <c r="N2032" s="5">
        <f>YEAR(Store_Record[[#This Row],[Date]])</f>
        <v>2025</v>
      </c>
      <c r="O2032"/>
    </row>
    <row r="2033" spans="1:15" x14ac:dyDescent="0.35">
      <c r="A2033" t="s">
        <v>2910</v>
      </c>
      <c r="B2033" s="2">
        <v>45803</v>
      </c>
      <c r="C2033" t="s">
        <v>20</v>
      </c>
      <c r="D2033" t="s">
        <v>38</v>
      </c>
      <c r="E2033" t="s">
        <v>42</v>
      </c>
      <c r="F2033" t="s">
        <v>13</v>
      </c>
      <c r="G2033">
        <v>3</v>
      </c>
      <c r="H2033">
        <v>3.8</v>
      </c>
      <c r="I2033" t="s">
        <v>14</v>
      </c>
      <c r="J2033" t="s">
        <v>2911</v>
      </c>
      <c r="K2033" s="12">
        <f>Store_Record[[#This Row],[Qty]]*Store_Record[[#This Row],[UnitPriceGBP]]</f>
        <v>11.399999999999999</v>
      </c>
      <c r="L2033" s="5" t="str">
        <f>TEXT(Store_Record[[#This Row],[Date]],"dddd")</f>
        <v>Monday</v>
      </c>
      <c r="M2033" s="5" t="str">
        <f>TEXT(Store_Record[[#This Row],[Date]],"mmmm")</f>
        <v>May</v>
      </c>
      <c r="N2033" s="5">
        <f>YEAR(Store_Record[[#This Row],[Date]])</f>
        <v>2025</v>
      </c>
      <c r="O2033"/>
    </row>
    <row r="2034" spans="1:15" x14ac:dyDescent="0.35">
      <c r="A2034" t="s">
        <v>6010</v>
      </c>
      <c r="B2034" s="2">
        <v>45803</v>
      </c>
      <c r="C2034" t="s">
        <v>20</v>
      </c>
      <c r="D2034" t="s">
        <v>25</v>
      </c>
      <c r="E2034" t="s">
        <v>42</v>
      </c>
      <c r="F2034" t="s">
        <v>13</v>
      </c>
      <c r="G2034">
        <v>3</v>
      </c>
      <c r="H2034">
        <v>3.8</v>
      </c>
      <c r="I2034" t="s">
        <v>14</v>
      </c>
      <c r="J2034" t="s">
        <v>2192</v>
      </c>
      <c r="K2034" s="12">
        <f>Store_Record[[#This Row],[Qty]]*Store_Record[[#This Row],[UnitPriceGBP]]</f>
        <v>11.399999999999999</v>
      </c>
      <c r="L2034" s="5" t="str">
        <f>TEXT(Store_Record[[#This Row],[Date]],"dddd")</f>
        <v>Monday</v>
      </c>
      <c r="M2034" s="5" t="str">
        <f>TEXT(Store_Record[[#This Row],[Date]],"mmmm")</f>
        <v>May</v>
      </c>
      <c r="N2034" s="5">
        <f>YEAR(Store_Record[[#This Row],[Date]])</f>
        <v>2025</v>
      </c>
      <c r="O2034"/>
    </row>
    <row r="2035" spans="1:15" x14ac:dyDescent="0.35">
      <c r="A2035" t="s">
        <v>2907</v>
      </c>
      <c r="B2035" s="2">
        <v>45803</v>
      </c>
      <c r="C2035" t="s">
        <v>20</v>
      </c>
      <c r="D2035" t="s">
        <v>11</v>
      </c>
      <c r="E2035" t="s">
        <v>26</v>
      </c>
      <c r="F2035" t="s">
        <v>13</v>
      </c>
      <c r="G2035">
        <v>3</v>
      </c>
      <c r="H2035">
        <v>3.5</v>
      </c>
      <c r="I2035" t="s">
        <v>21</v>
      </c>
      <c r="J2035" t="s">
        <v>705</v>
      </c>
      <c r="K2035" s="12">
        <f>Store_Record[[#This Row],[Qty]]*Store_Record[[#This Row],[UnitPriceGBP]]</f>
        <v>10.5</v>
      </c>
      <c r="L2035" s="5" t="str">
        <f>TEXT(Store_Record[[#This Row],[Date]],"dddd")</f>
        <v>Monday</v>
      </c>
      <c r="M2035" s="5" t="str">
        <f>TEXT(Store_Record[[#This Row],[Date]],"mmmm")</f>
        <v>May</v>
      </c>
      <c r="N2035" s="5">
        <f>YEAR(Store_Record[[#This Row],[Date]])</f>
        <v>2025</v>
      </c>
      <c r="O2035"/>
    </row>
    <row r="2036" spans="1:15" x14ac:dyDescent="0.35">
      <c r="A2036" t="s">
        <v>2908</v>
      </c>
      <c r="B2036" s="2">
        <v>45803</v>
      </c>
      <c r="C2036" t="s">
        <v>24</v>
      </c>
      <c r="D2036" t="s">
        <v>11</v>
      </c>
      <c r="E2036" t="s">
        <v>12</v>
      </c>
      <c r="F2036" t="s">
        <v>13</v>
      </c>
      <c r="G2036">
        <v>4</v>
      </c>
      <c r="H2036">
        <v>2.5</v>
      </c>
      <c r="I2036" t="s">
        <v>39</v>
      </c>
      <c r="J2036" t="s">
        <v>89</v>
      </c>
      <c r="K2036" s="12">
        <f>Store_Record[[#This Row],[Qty]]*Store_Record[[#This Row],[UnitPriceGBP]]</f>
        <v>10</v>
      </c>
      <c r="L2036" s="5" t="str">
        <f>TEXT(Store_Record[[#This Row],[Date]],"dddd")</f>
        <v>Monday</v>
      </c>
      <c r="M2036" s="5" t="str">
        <f>TEXT(Store_Record[[#This Row],[Date]],"mmmm")</f>
        <v>May</v>
      </c>
      <c r="N2036" s="5">
        <f>YEAR(Store_Record[[#This Row],[Date]])</f>
        <v>2025</v>
      </c>
      <c r="O2036"/>
    </row>
    <row r="2037" spans="1:15" x14ac:dyDescent="0.35">
      <c r="A2037" t="s">
        <v>2918</v>
      </c>
      <c r="B2037" s="2">
        <v>45803</v>
      </c>
      <c r="C2037" t="s">
        <v>10</v>
      </c>
      <c r="D2037" t="s">
        <v>47</v>
      </c>
      <c r="E2037" t="s">
        <v>12</v>
      </c>
      <c r="F2037" t="s">
        <v>13</v>
      </c>
      <c r="G2037">
        <v>4</v>
      </c>
      <c r="H2037">
        <v>2.5</v>
      </c>
      <c r="I2037" t="s">
        <v>21</v>
      </c>
      <c r="J2037" t="s">
        <v>2568</v>
      </c>
      <c r="K2037" s="12">
        <f>Store_Record[[#This Row],[Qty]]*Store_Record[[#This Row],[UnitPriceGBP]]</f>
        <v>10</v>
      </c>
      <c r="L2037" s="5" t="str">
        <f>TEXT(Store_Record[[#This Row],[Date]],"dddd")</f>
        <v>Monday</v>
      </c>
      <c r="M2037" s="5" t="str">
        <f>TEXT(Store_Record[[#This Row],[Date]],"mmmm")</f>
        <v>May</v>
      </c>
      <c r="N2037" s="5">
        <f>YEAR(Store_Record[[#This Row],[Date]])</f>
        <v>2025</v>
      </c>
      <c r="O2037"/>
    </row>
    <row r="2038" spans="1:15" x14ac:dyDescent="0.35">
      <c r="A2038" t="s">
        <v>2909</v>
      </c>
      <c r="B2038" s="2">
        <v>45803</v>
      </c>
      <c r="C2038" t="s">
        <v>24</v>
      </c>
      <c r="D2038" t="s">
        <v>11</v>
      </c>
      <c r="E2038" t="s">
        <v>30</v>
      </c>
      <c r="F2038" t="s">
        <v>31</v>
      </c>
      <c r="G2038">
        <v>3</v>
      </c>
      <c r="H2038">
        <v>2.8</v>
      </c>
      <c r="I2038" t="s">
        <v>21</v>
      </c>
      <c r="J2038" t="s">
        <v>1955</v>
      </c>
      <c r="K2038" s="12">
        <f>Store_Record[[#This Row],[Qty]]*Store_Record[[#This Row],[UnitPriceGBP]]</f>
        <v>8.3999999999999986</v>
      </c>
      <c r="L2038" s="5" t="str">
        <f>TEXT(Store_Record[[#This Row],[Date]],"dddd")</f>
        <v>Monday</v>
      </c>
      <c r="M2038" s="5" t="str">
        <f>TEXT(Store_Record[[#This Row],[Date]],"mmmm")</f>
        <v>May</v>
      </c>
      <c r="N2038" s="5">
        <f>YEAR(Store_Record[[#This Row],[Date]])</f>
        <v>2025</v>
      </c>
      <c r="O2038"/>
    </row>
    <row r="2039" spans="1:15" x14ac:dyDescent="0.35">
      <c r="A2039" t="s">
        <v>2914</v>
      </c>
      <c r="B2039" s="2">
        <v>45803</v>
      </c>
      <c r="C2039" t="s">
        <v>20</v>
      </c>
      <c r="D2039" t="s">
        <v>29</v>
      </c>
      <c r="E2039" t="s">
        <v>30</v>
      </c>
      <c r="F2039" t="s">
        <v>31</v>
      </c>
      <c r="G2039">
        <v>3</v>
      </c>
      <c r="H2039">
        <v>2.8</v>
      </c>
      <c r="I2039" t="s">
        <v>21</v>
      </c>
      <c r="J2039" t="s">
        <v>281</v>
      </c>
      <c r="K2039" s="12">
        <f>Store_Record[[#This Row],[Qty]]*Store_Record[[#This Row],[UnitPriceGBP]]</f>
        <v>8.3999999999999986</v>
      </c>
      <c r="L2039" s="5" t="str">
        <f>TEXT(Store_Record[[#This Row],[Date]],"dddd")</f>
        <v>Monday</v>
      </c>
      <c r="M2039" s="5" t="str">
        <f>TEXT(Store_Record[[#This Row],[Date]],"mmmm")</f>
        <v>May</v>
      </c>
      <c r="N2039" s="5">
        <f>YEAR(Store_Record[[#This Row],[Date]])</f>
        <v>2025</v>
      </c>
      <c r="O2039"/>
    </row>
    <row r="2040" spans="1:15" x14ac:dyDescent="0.35">
      <c r="A2040" t="s">
        <v>2919</v>
      </c>
      <c r="B2040" s="2">
        <v>45803</v>
      </c>
      <c r="C2040" t="s">
        <v>36</v>
      </c>
      <c r="D2040" t="s">
        <v>29</v>
      </c>
      <c r="E2040" t="s">
        <v>26</v>
      </c>
      <c r="F2040" t="s">
        <v>13</v>
      </c>
      <c r="G2040">
        <v>2</v>
      </c>
      <c r="H2040">
        <v>3.5</v>
      </c>
      <c r="I2040" t="s">
        <v>39</v>
      </c>
      <c r="J2040" t="s">
        <v>2920</v>
      </c>
      <c r="K2040" s="12">
        <f>Store_Record[[#This Row],[Qty]]*Store_Record[[#This Row],[UnitPriceGBP]]</f>
        <v>7</v>
      </c>
      <c r="L2040" s="5" t="str">
        <f>TEXT(Store_Record[[#This Row],[Date]],"dddd")</f>
        <v>Monday</v>
      </c>
      <c r="M2040" s="5" t="str">
        <f>TEXT(Store_Record[[#This Row],[Date]],"mmmm")</f>
        <v>May</v>
      </c>
      <c r="N2040" s="5">
        <f>YEAR(Store_Record[[#This Row],[Date]])</f>
        <v>2025</v>
      </c>
      <c r="O2040"/>
    </row>
    <row r="2041" spans="1:15" x14ac:dyDescent="0.35">
      <c r="A2041" t="s">
        <v>2913</v>
      </c>
      <c r="B2041" s="2">
        <v>45803</v>
      </c>
      <c r="C2041" t="s">
        <v>24</v>
      </c>
      <c r="D2041" t="s">
        <v>11</v>
      </c>
      <c r="E2041" t="s">
        <v>34</v>
      </c>
      <c r="F2041" t="s">
        <v>31</v>
      </c>
      <c r="G2041">
        <v>3</v>
      </c>
      <c r="H2041">
        <v>2.2000000000000002</v>
      </c>
      <c r="I2041" t="s">
        <v>14</v>
      </c>
      <c r="J2041" t="s">
        <v>2013</v>
      </c>
      <c r="K2041" s="12">
        <f>Store_Record[[#This Row],[Qty]]*Store_Record[[#This Row],[UnitPriceGBP]]</f>
        <v>6.6000000000000005</v>
      </c>
      <c r="L2041" s="5" t="str">
        <f>TEXT(Store_Record[[#This Row],[Date]],"dddd")</f>
        <v>Monday</v>
      </c>
      <c r="M2041" s="5" t="str">
        <f>TEXT(Store_Record[[#This Row],[Date]],"mmmm")</f>
        <v>May</v>
      </c>
      <c r="N2041" s="5">
        <f>YEAR(Store_Record[[#This Row],[Date]])</f>
        <v>2025</v>
      </c>
      <c r="O2041"/>
    </row>
    <row r="2042" spans="1:15" x14ac:dyDescent="0.35">
      <c r="A2042" t="s">
        <v>2917</v>
      </c>
      <c r="B2042" s="2">
        <v>45803</v>
      </c>
      <c r="C2042" t="s">
        <v>10</v>
      </c>
      <c r="D2042" t="s">
        <v>25</v>
      </c>
      <c r="E2042" t="s">
        <v>34</v>
      </c>
      <c r="F2042" t="s">
        <v>31</v>
      </c>
      <c r="G2042">
        <v>3</v>
      </c>
      <c r="H2042">
        <v>2.2000000000000002</v>
      </c>
      <c r="I2042" t="s">
        <v>39</v>
      </c>
      <c r="J2042" t="s">
        <v>541</v>
      </c>
      <c r="K2042" s="12">
        <f>Store_Record[[#This Row],[Qty]]*Store_Record[[#This Row],[UnitPriceGBP]]</f>
        <v>6.6000000000000005</v>
      </c>
      <c r="L2042" s="5" t="str">
        <f>TEXT(Store_Record[[#This Row],[Date]],"dddd")</f>
        <v>Monday</v>
      </c>
      <c r="M2042" s="5" t="str">
        <f>TEXT(Store_Record[[#This Row],[Date]],"mmmm")</f>
        <v>May</v>
      </c>
      <c r="N2042" s="5">
        <f>YEAR(Store_Record[[#This Row],[Date]])</f>
        <v>2025</v>
      </c>
      <c r="O2042"/>
    </row>
    <row r="2043" spans="1:15" x14ac:dyDescent="0.35">
      <c r="A2043" t="s">
        <v>2921</v>
      </c>
      <c r="B2043" s="2">
        <v>45803</v>
      </c>
      <c r="C2043" t="s">
        <v>20</v>
      </c>
      <c r="D2043" t="s">
        <v>47</v>
      </c>
      <c r="E2043" t="s">
        <v>12</v>
      </c>
      <c r="F2043" t="s">
        <v>13</v>
      </c>
      <c r="G2043">
        <v>1</v>
      </c>
      <c r="H2043">
        <v>2.5</v>
      </c>
      <c r="I2043" t="s">
        <v>39</v>
      </c>
      <c r="J2043" t="s">
        <v>406</v>
      </c>
      <c r="K2043" s="12">
        <f>Store_Record[[#This Row],[Qty]]*Store_Record[[#This Row],[UnitPriceGBP]]</f>
        <v>2.5</v>
      </c>
      <c r="L2043" s="5" t="str">
        <f>TEXT(Store_Record[[#This Row],[Date]],"dddd")</f>
        <v>Monday</v>
      </c>
      <c r="M2043" s="5" t="str">
        <f>TEXT(Store_Record[[#This Row],[Date]],"mmmm")</f>
        <v>May</v>
      </c>
      <c r="N2043" s="5">
        <f>YEAR(Store_Record[[#This Row],[Date]])</f>
        <v>2025</v>
      </c>
      <c r="O2043"/>
    </row>
    <row r="2044" spans="1:15" x14ac:dyDescent="0.35">
      <c r="A2044" t="s">
        <v>2930</v>
      </c>
      <c r="B2044" s="2">
        <v>45804</v>
      </c>
      <c r="C2044" t="s">
        <v>20</v>
      </c>
      <c r="D2044" t="s">
        <v>25</v>
      </c>
      <c r="E2044" t="s">
        <v>42</v>
      </c>
      <c r="F2044" t="s">
        <v>13</v>
      </c>
      <c r="G2044">
        <v>5</v>
      </c>
      <c r="H2044">
        <v>3.8</v>
      </c>
      <c r="I2044" t="s">
        <v>39</v>
      </c>
      <c r="J2044" t="s">
        <v>947</v>
      </c>
      <c r="K2044" s="12">
        <f>Store_Record[[#This Row],[Qty]]*Store_Record[[#This Row],[UnitPriceGBP]]</f>
        <v>19</v>
      </c>
      <c r="L2044" s="5" t="str">
        <f>TEXT(Store_Record[[#This Row],[Date]],"dddd")</f>
        <v>Tuesday</v>
      </c>
      <c r="M2044" s="5" t="str">
        <f>TEXT(Store_Record[[#This Row],[Date]],"mmmm")</f>
        <v>May</v>
      </c>
      <c r="N2044" s="5">
        <f>YEAR(Store_Record[[#This Row],[Date]])</f>
        <v>2025</v>
      </c>
      <c r="O2044"/>
    </row>
    <row r="2045" spans="1:15" x14ac:dyDescent="0.35">
      <c r="A2045" t="s">
        <v>2937</v>
      </c>
      <c r="B2045" s="2">
        <v>45804</v>
      </c>
      <c r="C2045" t="s">
        <v>10</v>
      </c>
      <c r="D2045" t="s">
        <v>11</v>
      </c>
      <c r="E2045" t="s">
        <v>42</v>
      </c>
      <c r="F2045" t="s">
        <v>13</v>
      </c>
      <c r="G2045">
        <v>4</v>
      </c>
      <c r="H2045">
        <v>3.8</v>
      </c>
      <c r="I2045" t="s">
        <v>14</v>
      </c>
      <c r="J2045" t="s">
        <v>2938</v>
      </c>
      <c r="K2045" s="12">
        <f>Store_Record[[#This Row],[Qty]]*Store_Record[[#This Row],[UnitPriceGBP]]</f>
        <v>15.2</v>
      </c>
      <c r="L2045" s="5" t="str">
        <f>TEXT(Store_Record[[#This Row],[Date]],"dddd")</f>
        <v>Tuesday</v>
      </c>
      <c r="M2045" s="5" t="str">
        <f>TEXT(Store_Record[[#This Row],[Date]],"mmmm")</f>
        <v>May</v>
      </c>
      <c r="N2045" s="5">
        <f>YEAR(Store_Record[[#This Row],[Date]])</f>
        <v>2025</v>
      </c>
      <c r="O2045"/>
    </row>
    <row r="2046" spans="1:15" x14ac:dyDescent="0.35">
      <c r="A2046" t="s">
        <v>2923</v>
      </c>
      <c r="B2046" s="2">
        <v>45804</v>
      </c>
      <c r="C2046" t="s">
        <v>20</v>
      </c>
      <c r="D2046" t="s">
        <v>25</v>
      </c>
      <c r="E2046" t="s">
        <v>26</v>
      </c>
      <c r="F2046" t="s">
        <v>13</v>
      </c>
      <c r="G2046">
        <v>4</v>
      </c>
      <c r="H2046">
        <v>3.5</v>
      </c>
      <c r="I2046" t="s">
        <v>14</v>
      </c>
      <c r="J2046" t="s">
        <v>750</v>
      </c>
      <c r="K2046" s="12">
        <f>Store_Record[[#This Row],[Qty]]*Store_Record[[#This Row],[UnitPriceGBP]]</f>
        <v>14</v>
      </c>
      <c r="L2046" s="5" t="str">
        <f>TEXT(Store_Record[[#This Row],[Date]],"dddd")</f>
        <v>Tuesday</v>
      </c>
      <c r="M2046" s="5" t="str">
        <f>TEXT(Store_Record[[#This Row],[Date]],"mmmm")</f>
        <v>May</v>
      </c>
      <c r="N2046" s="5">
        <f>YEAR(Store_Record[[#This Row],[Date]])</f>
        <v>2025</v>
      </c>
      <c r="O2046"/>
    </row>
    <row r="2047" spans="1:15" x14ac:dyDescent="0.35">
      <c r="A2047" t="s">
        <v>2926</v>
      </c>
      <c r="B2047" s="2">
        <v>45804</v>
      </c>
      <c r="C2047" t="s">
        <v>36</v>
      </c>
      <c r="D2047" t="s">
        <v>152</v>
      </c>
      <c r="E2047" t="s">
        <v>12</v>
      </c>
      <c r="F2047" t="s">
        <v>13</v>
      </c>
      <c r="G2047">
        <v>5</v>
      </c>
      <c r="H2047">
        <v>2.5</v>
      </c>
      <c r="I2047" t="s">
        <v>21</v>
      </c>
      <c r="J2047" t="s">
        <v>2927</v>
      </c>
      <c r="K2047" s="12">
        <f>Store_Record[[#This Row],[Qty]]*Store_Record[[#This Row],[UnitPriceGBP]]</f>
        <v>12.5</v>
      </c>
      <c r="L2047" s="5" t="str">
        <f>TEXT(Store_Record[[#This Row],[Date]],"dddd")</f>
        <v>Tuesday</v>
      </c>
      <c r="M2047" s="5" t="str">
        <f>TEXT(Store_Record[[#This Row],[Date]],"mmmm")</f>
        <v>May</v>
      </c>
      <c r="N2047" s="5">
        <f>YEAR(Store_Record[[#This Row],[Date]])</f>
        <v>2025</v>
      </c>
      <c r="O2047"/>
    </row>
    <row r="2048" spans="1:15" x14ac:dyDescent="0.35">
      <c r="A2048" t="s">
        <v>2935</v>
      </c>
      <c r="B2048" s="2">
        <v>45804</v>
      </c>
      <c r="C2048" t="s">
        <v>10</v>
      </c>
      <c r="D2048" t="s">
        <v>25</v>
      </c>
      <c r="E2048" t="s">
        <v>12</v>
      </c>
      <c r="F2048" t="s">
        <v>13</v>
      </c>
      <c r="G2048">
        <v>5</v>
      </c>
      <c r="H2048">
        <v>2.5</v>
      </c>
      <c r="I2048" t="s">
        <v>21</v>
      </c>
      <c r="J2048" t="s">
        <v>150</v>
      </c>
      <c r="K2048" s="12">
        <f>Store_Record[[#This Row],[Qty]]*Store_Record[[#This Row],[UnitPriceGBP]]</f>
        <v>12.5</v>
      </c>
      <c r="L2048" s="5" t="str">
        <f>TEXT(Store_Record[[#This Row],[Date]],"dddd")</f>
        <v>Tuesday</v>
      </c>
      <c r="M2048" s="5" t="str">
        <f>TEXT(Store_Record[[#This Row],[Date]],"mmmm")</f>
        <v>May</v>
      </c>
      <c r="N2048" s="5">
        <f>YEAR(Store_Record[[#This Row],[Date]])</f>
        <v>2025</v>
      </c>
      <c r="O2048"/>
    </row>
    <row r="2049" spans="1:15" x14ac:dyDescent="0.35">
      <c r="A2049" t="s">
        <v>2931</v>
      </c>
      <c r="B2049" s="2">
        <v>45804</v>
      </c>
      <c r="C2049" t="s">
        <v>36</v>
      </c>
      <c r="D2049" t="s">
        <v>47</v>
      </c>
      <c r="E2049" t="s">
        <v>12</v>
      </c>
      <c r="F2049" t="s">
        <v>13</v>
      </c>
      <c r="G2049">
        <v>4</v>
      </c>
      <c r="H2049">
        <v>2.5</v>
      </c>
      <c r="I2049" t="s">
        <v>39</v>
      </c>
      <c r="J2049" t="s">
        <v>1183</v>
      </c>
      <c r="K2049" s="12">
        <f>Store_Record[[#This Row],[Qty]]*Store_Record[[#This Row],[UnitPriceGBP]]</f>
        <v>10</v>
      </c>
      <c r="L2049" s="5" t="str">
        <f>TEXT(Store_Record[[#This Row],[Date]],"dddd")</f>
        <v>Tuesday</v>
      </c>
      <c r="M2049" s="5" t="str">
        <f>TEXT(Store_Record[[#This Row],[Date]],"mmmm")</f>
        <v>May</v>
      </c>
      <c r="N2049" s="5">
        <f>YEAR(Store_Record[[#This Row],[Date]])</f>
        <v>2025</v>
      </c>
      <c r="O2049"/>
    </row>
    <row r="2050" spans="1:15" x14ac:dyDescent="0.35">
      <c r="A2050" t="s">
        <v>2934</v>
      </c>
      <c r="B2050" s="2">
        <v>45804</v>
      </c>
      <c r="C2050" t="s">
        <v>20</v>
      </c>
      <c r="D2050" t="s">
        <v>11</v>
      </c>
      <c r="E2050" t="s">
        <v>12</v>
      </c>
      <c r="F2050" t="s">
        <v>13</v>
      </c>
      <c r="G2050">
        <v>4</v>
      </c>
      <c r="H2050">
        <v>2.5</v>
      </c>
      <c r="I2050" t="s">
        <v>14</v>
      </c>
      <c r="J2050" t="s">
        <v>339</v>
      </c>
      <c r="K2050" s="12">
        <f>Store_Record[[#This Row],[Qty]]*Store_Record[[#This Row],[UnitPriceGBP]]</f>
        <v>10</v>
      </c>
      <c r="L2050" s="5" t="str">
        <f>TEXT(Store_Record[[#This Row],[Date]],"dddd")</f>
        <v>Tuesday</v>
      </c>
      <c r="M2050" s="5" t="str">
        <f>TEXT(Store_Record[[#This Row],[Date]],"mmmm")</f>
        <v>May</v>
      </c>
      <c r="N2050" s="5">
        <f>YEAR(Store_Record[[#This Row],[Date]])</f>
        <v>2025</v>
      </c>
      <c r="O2050"/>
    </row>
    <row r="2051" spans="1:15" x14ac:dyDescent="0.35">
      <c r="A2051" t="s">
        <v>2922</v>
      </c>
      <c r="B2051" s="2">
        <v>45804</v>
      </c>
      <c r="C2051" t="s">
        <v>24</v>
      </c>
      <c r="D2051" t="s">
        <v>47</v>
      </c>
      <c r="E2051" t="s">
        <v>12</v>
      </c>
      <c r="F2051" t="s">
        <v>13</v>
      </c>
      <c r="G2051">
        <v>3</v>
      </c>
      <c r="H2051">
        <v>2.5</v>
      </c>
      <c r="I2051" t="s">
        <v>39</v>
      </c>
      <c r="J2051" t="s">
        <v>2740</v>
      </c>
      <c r="K2051" s="12">
        <f>Store_Record[[#This Row],[Qty]]*Store_Record[[#This Row],[UnitPriceGBP]]</f>
        <v>7.5</v>
      </c>
      <c r="L2051" s="5" t="str">
        <f>TEXT(Store_Record[[#This Row],[Date]],"dddd")</f>
        <v>Tuesday</v>
      </c>
      <c r="M2051" s="5" t="str">
        <f>TEXT(Store_Record[[#This Row],[Date]],"mmmm")</f>
        <v>May</v>
      </c>
      <c r="N2051" s="5">
        <f>YEAR(Store_Record[[#This Row],[Date]])</f>
        <v>2025</v>
      </c>
      <c r="O2051"/>
    </row>
    <row r="2052" spans="1:15" x14ac:dyDescent="0.35">
      <c r="A2052" t="s">
        <v>2932</v>
      </c>
      <c r="B2052" s="2">
        <v>45804</v>
      </c>
      <c r="C2052" t="s">
        <v>10</v>
      </c>
      <c r="D2052" t="s">
        <v>25</v>
      </c>
      <c r="E2052" t="s">
        <v>12</v>
      </c>
      <c r="F2052" t="s">
        <v>13</v>
      </c>
      <c r="G2052">
        <v>2</v>
      </c>
      <c r="H2052">
        <v>2.5</v>
      </c>
      <c r="I2052" t="s">
        <v>14</v>
      </c>
      <c r="J2052" t="s">
        <v>1434</v>
      </c>
      <c r="K2052" s="12">
        <f>Store_Record[[#This Row],[Qty]]*Store_Record[[#This Row],[UnitPriceGBP]]</f>
        <v>5</v>
      </c>
      <c r="L2052" s="5" t="str">
        <f>TEXT(Store_Record[[#This Row],[Date]],"dddd")</f>
        <v>Tuesday</v>
      </c>
      <c r="M2052" s="5" t="str">
        <f>TEXT(Store_Record[[#This Row],[Date]],"mmmm")</f>
        <v>May</v>
      </c>
      <c r="N2052" s="5">
        <f>YEAR(Store_Record[[#This Row],[Date]])</f>
        <v>2025</v>
      </c>
      <c r="O2052"/>
    </row>
    <row r="2053" spans="1:15" x14ac:dyDescent="0.35">
      <c r="A2053" t="s">
        <v>2924</v>
      </c>
      <c r="B2053" s="2">
        <v>45804</v>
      </c>
      <c r="C2053" t="s">
        <v>36</v>
      </c>
      <c r="D2053" t="s">
        <v>47</v>
      </c>
      <c r="E2053" t="s">
        <v>42</v>
      </c>
      <c r="F2053" t="s">
        <v>13</v>
      </c>
      <c r="G2053">
        <v>1</v>
      </c>
      <c r="H2053">
        <v>3.8</v>
      </c>
      <c r="I2053" t="s">
        <v>14</v>
      </c>
      <c r="J2053" t="s">
        <v>2925</v>
      </c>
      <c r="K2053" s="12">
        <f>Store_Record[[#This Row],[Qty]]*Store_Record[[#This Row],[UnitPriceGBP]]</f>
        <v>3.8</v>
      </c>
      <c r="L2053" s="5" t="str">
        <f>TEXT(Store_Record[[#This Row],[Date]],"dddd")</f>
        <v>Tuesday</v>
      </c>
      <c r="M2053" s="5" t="str">
        <f>TEXT(Store_Record[[#This Row],[Date]],"mmmm")</f>
        <v>May</v>
      </c>
      <c r="N2053" s="5">
        <f>YEAR(Store_Record[[#This Row],[Date]])</f>
        <v>2025</v>
      </c>
      <c r="O2053"/>
    </row>
    <row r="2054" spans="1:15" x14ac:dyDescent="0.35">
      <c r="A2054" t="s">
        <v>2936</v>
      </c>
      <c r="B2054" s="2">
        <v>45804</v>
      </c>
      <c r="C2054" t="s">
        <v>20</v>
      </c>
      <c r="D2054" t="s">
        <v>47</v>
      </c>
      <c r="E2054" t="s">
        <v>42</v>
      </c>
      <c r="F2054" t="s">
        <v>13</v>
      </c>
      <c r="G2054">
        <v>1</v>
      </c>
      <c r="H2054">
        <v>3.8</v>
      </c>
      <c r="I2054" t="s">
        <v>39</v>
      </c>
      <c r="J2054" t="s">
        <v>2374</v>
      </c>
      <c r="K2054" s="12">
        <f>Store_Record[[#This Row],[Qty]]*Store_Record[[#This Row],[UnitPriceGBP]]</f>
        <v>3.8</v>
      </c>
      <c r="L2054" s="5" t="str">
        <f>TEXT(Store_Record[[#This Row],[Date]],"dddd")</f>
        <v>Tuesday</v>
      </c>
      <c r="M2054" s="5" t="str">
        <f>TEXT(Store_Record[[#This Row],[Date]],"mmmm")</f>
        <v>May</v>
      </c>
      <c r="N2054" s="5">
        <f>YEAR(Store_Record[[#This Row],[Date]])</f>
        <v>2025</v>
      </c>
      <c r="O2054"/>
    </row>
    <row r="2055" spans="1:15" x14ac:dyDescent="0.35">
      <c r="A2055" t="s">
        <v>2939</v>
      </c>
      <c r="B2055" s="2">
        <v>45804</v>
      </c>
      <c r="C2055" t="s">
        <v>36</v>
      </c>
      <c r="D2055" t="s">
        <v>11</v>
      </c>
      <c r="E2055" t="s">
        <v>26</v>
      </c>
      <c r="F2055" t="s">
        <v>13</v>
      </c>
      <c r="G2055">
        <v>1</v>
      </c>
      <c r="H2055">
        <v>3.5</v>
      </c>
      <c r="I2055" t="s">
        <v>39</v>
      </c>
      <c r="J2055" t="s">
        <v>2940</v>
      </c>
      <c r="K2055" s="12">
        <f>Store_Record[[#This Row],[Qty]]*Store_Record[[#This Row],[UnitPriceGBP]]</f>
        <v>3.5</v>
      </c>
      <c r="L2055" s="5" t="str">
        <f>TEXT(Store_Record[[#This Row],[Date]],"dddd")</f>
        <v>Tuesday</v>
      </c>
      <c r="M2055" s="5" t="str">
        <f>TEXT(Store_Record[[#This Row],[Date]],"mmmm")</f>
        <v>May</v>
      </c>
      <c r="N2055" s="5">
        <f>YEAR(Store_Record[[#This Row],[Date]])</f>
        <v>2025</v>
      </c>
      <c r="O2055"/>
    </row>
    <row r="2056" spans="1:15" x14ac:dyDescent="0.35">
      <c r="A2056" t="s">
        <v>2933</v>
      </c>
      <c r="B2056" s="2">
        <v>45804</v>
      </c>
      <c r="C2056" t="s">
        <v>36</v>
      </c>
      <c r="D2056" t="s">
        <v>38</v>
      </c>
      <c r="E2056" t="s">
        <v>30</v>
      </c>
      <c r="F2056" t="s">
        <v>31</v>
      </c>
      <c r="G2056">
        <v>1</v>
      </c>
      <c r="H2056">
        <v>2.8</v>
      </c>
      <c r="I2056" t="s">
        <v>14</v>
      </c>
      <c r="J2056" t="s">
        <v>2850</v>
      </c>
      <c r="K2056" s="12">
        <f>Store_Record[[#This Row],[Qty]]*Store_Record[[#This Row],[UnitPriceGBP]]</f>
        <v>2.8</v>
      </c>
      <c r="L2056" s="5" t="str">
        <f>TEXT(Store_Record[[#This Row],[Date]],"dddd")</f>
        <v>Tuesday</v>
      </c>
      <c r="M2056" s="5" t="str">
        <f>TEXT(Store_Record[[#This Row],[Date]],"mmmm")</f>
        <v>May</v>
      </c>
      <c r="N2056" s="5">
        <f>YEAR(Store_Record[[#This Row],[Date]])</f>
        <v>2025</v>
      </c>
      <c r="O2056"/>
    </row>
    <row r="2057" spans="1:15" x14ac:dyDescent="0.35">
      <c r="A2057" t="s">
        <v>2928</v>
      </c>
      <c r="B2057" s="2">
        <v>45804</v>
      </c>
      <c r="C2057" t="s">
        <v>24</v>
      </c>
      <c r="D2057" t="s">
        <v>38</v>
      </c>
      <c r="E2057" t="s">
        <v>12</v>
      </c>
      <c r="F2057" t="s">
        <v>13</v>
      </c>
      <c r="G2057">
        <v>1</v>
      </c>
      <c r="H2057">
        <v>2.5</v>
      </c>
      <c r="I2057" t="s">
        <v>39</v>
      </c>
      <c r="J2057" t="s">
        <v>2929</v>
      </c>
      <c r="K2057" s="12">
        <f>Store_Record[[#This Row],[Qty]]*Store_Record[[#This Row],[UnitPriceGBP]]</f>
        <v>2.5</v>
      </c>
      <c r="L2057" s="5" t="str">
        <f>TEXT(Store_Record[[#This Row],[Date]],"dddd")</f>
        <v>Tuesday</v>
      </c>
      <c r="M2057" s="5" t="str">
        <f>TEXT(Store_Record[[#This Row],[Date]],"mmmm")</f>
        <v>May</v>
      </c>
      <c r="N2057" s="5">
        <f>YEAR(Store_Record[[#This Row],[Date]])</f>
        <v>2025</v>
      </c>
      <c r="O2057"/>
    </row>
    <row r="2058" spans="1:15" x14ac:dyDescent="0.35">
      <c r="A2058" t="s">
        <v>2945</v>
      </c>
      <c r="B2058" s="2">
        <v>45805</v>
      </c>
      <c r="C2058" t="s">
        <v>10</v>
      </c>
      <c r="D2058" t="s">
        <v>38</v>
      </c>
      <c r="E2058" t="s">
        <v>26</v>
      </c>
      <c r="F2058" t="s">
        <v>13</v>
      </c>
      <c r="G2058">
        <v>5</v>
      </c>
      <c r="H2058">
        <v>3.5</v>
      </c>
      <c r="I2058" t="s">
        <v>14</v>
      </c>
      <c r="J2058" t="s">
        <v>493</v>
      </c>
      <c r="K2058" s="12">
        <f>Store_Record[[#This Row],[Qty]]*Store_Record[[#This Row],[UnitPriceGBP]]</f>
        <v>17.5</v>
      </c>
      <c r="L2058" s="5" t="str">
        <f>TEXT(Store_Record[[#This Row],[Date]],"dddd")</f>
        <v>Wednesday</v>
      </c>
      <c r="M2058" s="5" t="str">
        <f>TEXT(Store_Record[[#This Row],[Date]],"mmmm")</f>
        <v>May</v>
      </c>
      <c r="N2058" s="5">
        <f>YEAR(Store_Record[[#This Row],[Date]])</f>
        <v>2025</v>
      </c>
      <c r="O2058"/>
    </row>
    <row r="2059" spans="1:15" x14ac:dyDescent="0.35">
      <c r="A2059" t="s">
        <v>2949</v>
      </c>
      <c r="B2059" s="2">
        <v>45805</v>
      </c>
      <c r="C2059" t="s">
        <v>24</v>
      </c>
      <c r="D2059" t="s">
        <v>47</v>
      </c>
      <c r="E2059" t="s">
        <v>42</v>
      </c>
      <c r="F2059" t="s">
        <v>13</v>
      </c>
      <c r="G2059">
        <v>4</v>
      </c>
      <c r="H2059">
        <v>3.8</v>
      </c>
      <c r="I2059" t="s">
        <v>14</v>
      </c>
      <c r="J2059" t="s">
        <v>1101</v>
      </c>
      <c r="K2059" s="12">
        <f>Store_Record[[#This Row],[Qty]]*Store_Record[[#This Row],[UnitPriceGBP]]</f>
        <v>15.2</v>
      </c>
      <c r="L2059" s="5" t="str">
        <f>TEXT(Store_Record[[#This Row],[Date]],"dddd")</f>
        <v>Wednesday</v>
      </c>
      <c r="M2059" s="5" t="str">
        <f>TEXT(Store_Record[[#This Row],[Date]],"mmmm")</f>
        <v>May</v>
      </c>
      <c r="N2059" s="5">
        <f>YEAR(Store_Record[[#This Row],[Date]])</f>
        <v>2025</v>
      </c>
      <c r="O2059"/>
    </row>
    <row r="2060" spans="1:15" x14ac:dyDescent="0.35">
      <c r="A2060" t="s">
        <v>2944</v>
      </c>
      <c r="B2060" s="2">
        <v>45805</v>
      </c>
      <c r="C2060" t="s">
        <v>36</v>
      </c>
      <c r="D2060" t="s">
        <v>11</v>
      </c>
      <c r="E2060" t="s">
        <v>30</v>
      </c>
      <c r="F2060" t="s">
        <v>31</v>
      </c>
      <c r="G2060">
        <v>4</v>
      </c>
      <c r="H2060">
        <v>2.8</v>
      </c>
      <c r="I2060" t="s">
        <v>14</v>
      </c>
      <c r="J2060" t="s">
        <v>2574</v>
      </c>
      <c r="K2060" s="12">
        <f>Store_Record[[#This Row],[Qty]]*Store_Record[[#This Row],[UnitPriceGBP]]</f>
        <v>11.2</v>
      </c>
      <c r="L2060" s="5" t="str">
        <f>TEXT(Store_Record[[#This Row],[Date]],"dddd")</f>
        <v>Wednesday</v>
      </c>
      <c r="M2060" s="5" t="str">
        <f>TEXT(Store_Record[[#This Row],[Date]],"mmmm")</f>
        <v>May</v>
      </c>
      <c r="N2060" s="5">
        <f>YEAR(Store_Record[[#This Row],[Date]])</f>
        <v>2025</v>
      </c>
      <c r="O2060"/>
    </row>
    <row r="2061" spans="1:15" x14ac:dyDescent="0.35">
      <c r="A2061" t="s">
        <v>2950</v>
      </c>
      <c r="B2061" s="2">
        <v>45805</v>
      </c>
      <c r="C2061" t="s">
        <v>20</v>
      </c>
      <c r="D2061" t="s">
        <v>38</v>
      </c>
      <c r="E2061" t="s">
        <v>34</v>
      </c>
      <c r="F2061" t="s">
        <v>31</v>
      </c>
      <c r="G2061">
        <v>5</v>
      </c>
      <c r="H2061">
        <v>2.2000000000000002</v>
      </c>
      <c r="I2061" t="s">
        <v>39</v>
      </c>
      <c r="J2061" t="s">
        <v>714</v>
      </c>
      <c r="K2061" s="12">
        <f>Store_Record[[#This Row],[Qty]]*Store_Record[[#This Row],[UnitPriceGBP]]</f>
        <v>11</v>
      </c>
      <c r="L2061" s="5" t="str">
        <f>TEXT(Store_Record[[#This Row],[Date]],"dddd")</f>
        <v>Wednesday</v>
      </c>
      <c r="M2061" s="5" t="str">
        <f>TEXT(Store_Record[[#This Row],[Date]],"mmmm")</f>
        <v>May</v>
      </c>
      <c r="N2061" s="5">
        <f>YEAR(Store_Record[[#This Row],[Date]])</f>
        <v>2025</v>
      </c>
      <c r="O2061"/>
    </row>
    <row r="2062" spans="1:15" x14ac:dyDescent="0.35">
      <c r="A2062" t="s">
        <v>2942</v>
      </c>
      <c r="B2062" s="2">
        <v>45805</v>
      </c>
      <c r="C2062" t="s">
        <v>20</v>
      </c>
      <c r="D2062" t="s">
        <v>38</v>
      </c>
      <c r="E2062" t="s">
        <v>26</v>
      </c>
      <c r="F2062" t="s">
        <v>13</v>
      </c>
      <c r="G2062">
        <v>3</v>
      </c>
      <c r="H2062">
        <v>3.5</v>
      </c>
      <c r="I2062" t="s">
        <v>39</v>
      </c>
      <c r="J2062" t="s">
        <v>598</v>
      </c>
      <c r="K2062" s="12">
        <f>Store_Record[[#This Row],[Qty]]*Store_Record[[#This Row],[UnitPriceGBP]]</f>
        <v>10.5</v>
      </c>
      <c r="L2062" s="5" t="str">
        <f>TEXT(Store_Record[[#This Row],[Date]],"dddd")</f>
        <v>Wednesday</v>
      </c>
      <c r="M2062" s="5" t="str">
        <f>TEXT(Store_Record[[#This Row],[Date]],"mmmm")</f>
        <v>May</v>
      </c>
      <c r="N2062" s="5">
        <f>YEAR(Store_Record[[#This Row],[Date]])</f>
        <v>2025</v>
      </c>
      <c r="O2062"/>
    </row>
    <row r="2063" spans="1:15" x14ac:dyDescent="0.35">
      <c r="A2063" t="s">
        <v>2954</v>
      </c>
      <c r="B2063" s="2">
        <v>45805</v>
      </c>
      <c r="C2063" t="s">
        <v>10</v>
      </c>
      <c r="D2063" t="s">
        <v>47</v>
      </c>
      <c r="E2063" t="s">
        <v>12</v>
      </c>
      <c r="F2063" t="s">
        <v>13</v>
      </c>
      <c r="G2063">
        <v>4</v>
      </c>
      <c r="H2063">
        <v>2.5</v>
      </c>
      <c r="I2063" t="s">
        <v>39</v>
      </c>
      <c r="J2063" t="s">
        <v>185</v>
      </c>
      <c r="K2063" s="12">
        <f>Store_Record[[#This Row],[Qty]]*Store_Record[[#This Row],[UnitPriceGBP]]</f>
        <v>10</v>
      </c>
      <c r="L2063" s="5" t="str">
        <f>TEXT(Store_Record[[#This Row],[Date]],"dddd")</f>
        <v>Wednesday</v>
      </c>
      <c r="M2063" s="5" t="str">
        <f>TEXT(Store_Record[[#This Row],[Date]],"mmmm")</f>
        <v>May</v>
      </c>
      <c r="N2063" s="5">
        <f>YEAR(Store_Record[[#This Row],[Date]])</f>
        <v>2025</v>
      </c>
      <c r="O2063"/>
    </row>
    <row r="2064" spans="1:15" x14ac:dyDescent="0.35">
      <c r="A2064" t="s">
        <v>2951</v>
      </c>
      <c r="B2064" s="2">
        <v>45805</v>
      </c>
      <c r="C2064" t="s">
        <v>24</v>
      </c>
      <c r="D2064" t="s">
        <v>38</v>
      </c>
      <c r="E2064" t="s">
        <v>34</v>
      </c>
      <c r="F2064" t="s">
        <v>31</v>
      </c>
      <c r="G2064">
        <v>4</v>
      </c>
      <c r="H2064">
        <v>2.2000000000000002</v>
      </c>
      <c r="I2064" t="s">
        <v>21</v>
      </c>
      <c r="J2064" t="s">
        <v>1770</v>
      </c>
      <c r="K2064" s="12">
        <f>Store_Record[[#This Row],[Qty]]*Store_Record[[#This Row],[UnitPriceGBP]]</f>
        <v>8.8000000000000007</v>
      </c>
      <c r="L2064" s="5" t="str">
        <f>TEXT(Store_Record[[#This Row],[Date]],"dddd")</f>
        <v>Wednesday</v>
      </c>
      <c r="M2064" s="5" t="str">
        <f>TEXT(Store_Record[[#This Row],[Date]],"mmmm")</f>
        <v>May</v>
      </c>
      <c r="N2064" s="5">
        <f>YEAR(Store_Record[[#This Row],[Date]])</f>
        <v>2025</v>
      </c>
      <c r="O2064"/>
    </row>
    <row r="2065" spans="1:15" x14ac:dyDescent="0.35">
      <c r="A2065" t="s">
        <v>2941</v>
      </c>
      <c r="B2065" s="2">
        <v>45805</v>
      </c>
      <c r="C2065" t="s">
        <v>36</v>
      </c>
      <c r="D2065" t="s">
        <v>11</v>
      </c>
      <c r="E2065" t="s">
        <v>30</v>
      </c>
      <c r="F2065" t="s">
        <v>31</v>
      </c>
      <c r="G2065">
        <v>3</v>
      </c>
      <c r="H2065">
        <v>2.8</v>
      </c>
      <c r="I2065" t="s">
        <v>14</v>
      </c>
      <c r="J2065" t="s">
        <v>901</v>
      </c>
      <c r="K2065" s="12">
        <f>Store_Record[[#This Row],[Qty]]*Store_Record[[#This Row],[UnitPriceGBP]]</f>
        <v>8.3999999999999986</v>
      </c>
      <c r="L2065" s="5" t="str">
        <f>TEXT(Store_Record[[#This Row],[Date]],"dddd")</f>
        <v>Wednesday</v>
      </c>
      <c r="M2065" s="5" t="str">
        <f>TEXT(Store_Record[[#This Row],[Date]],"mmmm")</f>
        <v>May</v>
      </c>
      <c r="N2065" s="5">
        <f>YEAR(Store_Record[[#This Row],[Date]])</f>
        <v>2025</v>
      </c>
      <c r="O2065"/>
    </row>
    <row r="2066" spans="1:15" x14ac:dyDescent="0.35">
      <c r="A2066" t="s">
        <v>2947</v>
      </c>
      <c r="B2066" s="2">
        <v>45805</v>
      </c>
      <c r="C2066" t="s">
        <v>24</v>
      </c>
      <c r="D2066" t="s">
        <v>47</v>
      </c>
      <c r="E2066" t="s">
        <v>30</v>
      </c>
      <c r="F2066" t="s">
        <v>31</v>
      </c>
      <c r="G2066">
        <v>3</v>
      </c>
      <c r="H2066">
        <v>2.8</v>
      </c>
      <c r="I2066" t="s">
        <v>14</v>
      </c>
      <c r="J2066" t="s">
        <v>2948</v>
      </c>
      <c r="K2066" s="12">
        <f>Store_Record[[#This Row],[Qty]]*Store_Record[[#This Row],[UnitPriceGBP]]</f>
        <v>8.3999999999999986</v>
      </c>
      <c r="L2066" s="5" t="str">
        <f>TEXT(Store_Record[[#This Row],[Date]],"dddd")</f>
        <v>Wednesday</v>
      </c>
      <c r="M2066" s="5" t="str">
        <f>TEXT(Store_Record[[#This Row],[Date]],"mmmm")</f>
        <v>May</v>
      </c>
      <c r="N2066" s="5">
        <f>YEAR(Store_Record[[#This Row],[Date]])</f>
        <v>2025</v>
      </c>
      <c r="O2066"/>
    </row>
    <row r="2067" spans="1:15" x14ac:dyDescent="0.35">
      <c r="A2067" t="s">
        <v>2952</v>
      </c>
      <c r="B2067" s="2">
        <v>45805</v>
      </c>
      <c r="C2067" t="s">
        <v>20</v>
      </c>
      <c r="D2067" t="s">
        <v>11</v>
      </c>
      <c r="E2067" t="s">
        <v>42</v>
      </c>
      <c r="F2067" t="s">
        <v>13</v>
      </c>
      <c r="G2067">
        <v>2</v>
      </c>
      <c r="H2067">
        <v>3.8</v>
      </c>
      <c r="I2067" t="s">
        <v>21</v>
      </c>
      <c r="J2067" t="s">
        <v>347</v>
      </c>
      <c r="K2067" s="12">
        <f>Store_Record[[#This Row],[Qty]]*Store_Record[[#This Row],[UnitPriceGBP]]</f>
        <v>7.6</v>
      </c>
      <c r="L2067" s="5" t="str">
        <f>TEXT(Store_Record[[#This Row],[Date]],"dddd")</f>
        <v>Wednesday</v>
      </c>
      <c r="M2067" s="5" t="str">
        <f>TEXT(Store_Record[[#This Row],[Date]],"mmmm")</f>
        <v>May</v>
      </c>
      <c r="N2067" s="5">
        <f>YEAR(Store_Record[[#This Row],[Date]])</f>
        <v>2025</v>
      </c>
      <c r="O2067"/>
    </row>
    <row r="2068" spans="1:15" x14ac:dyDescent="0.35">
      <c r="A2068" t="s">
        <v>2946</v>
      </c>
      <c r="B2068" s="2">
        <v>45805</v>
      </c>
      <c r="C2068" t="s">
        <v>24</v>
      </c>
      <c r="D2068" t="s">
        <v>25</v>
      </c>
      <c r="E2068" t="s">
        <v>34</v>
      </c>
      <c r="F2068" t="s">
        <v>31</v>
      </c>
      <c r="G2068">
        <v>3</v>
      </c>
      <c r="H2068">
        <v>2.2000000000000002</v>
      </c>
      <c r="I2068" t="s">
        <v>14</v>
      </c>
      <c r="J2068" t="s">
        <v>1292</v>
      </c>
      <c r="K2068" s="12">
        <f>Store_Record[[#This Row],[Qty]]*Store_Record[[#This Row],[UnitPriceGBP]]</f>
        <v>6.6000000000000005</v>
      </c>
      <c r="L2068" s="5" t="str">
        <f>TEXT(Store_Record[[#This Row],[Date]],"dddd")</f>
        <v>Wednesday</v>
      </c>
      <c r="M2068" s="5" t="str">
        <f>TEXT(Store_Record[[#This Row],[Date]],"mmmm")</f>
        <v>May</v>
      </c>
      <c r="N2068" s="5">
        <f>YEAR(Store_Record[[#This Row],[Date]])</f>
        <v>2025</v>
      </c>
      <c r="O2068"/>
    </row>
    <row r="2069" spans="1:15" x14ac:dyDescent="0.35">
      <c r="A2069" t="s">
        <v>2956</v>
      </c>
      <c r="B2069" s="2">
        <v>45805</v>
      </c>
      <c r="C2069" t="s">
        <v>36</v>
      </c>
      <c r="D2069" t="s">
        <v>29</v>
      </c>
      <c r="E2069" t="s">
        <v>34</v>
      </c>
      <c r="F2069" t="s">
        <v>31</v>
      </c>
      <c r="G2069">
        <v>3</v>
      </c>
      <c r="H2069">
        <v>2.2000000000000002</v>
      </c>
      <c r="I2069" t="s">
        <v>14</v>
      </c>
      <c r="J2069" t="s">
        <v>1044</v>
      </c>
      <c r="K2069" s="12">
        <f>Store_Record[[#This Row],[Qty]]*Store_Record[[#This Row],[UnitPriceGBP]]</f>
        <v>6.6000000000000005</v>
      </c>
      <c r="L2069" s="5" t="str">
        <f>TEXT(Store_Record[[#This Row],[Date]],"dddd")</f>
        <v>Wednesday</v>
      </c>
      <c r="M2069" s="5" t="str">
        <f>TEXT(Store_Record[[#This Row],[Date]],"mmmm")</f>
        <v>May</v>
      </c>
      <c r="N2069" s="5">
        <f>YEAR(Store_Record[[#This Row],[Date]])</f>
        <v>2025</v>
      </c>
      <c r="O2069"/>
    </row>
    <row r="2070" spans="1:15" x14ac:dyDescent="0.35">
      <c r="A2070" t="s">
        <v>6012</v>
      </c>
      <c r="B2070" s="2">
        <v>45805</v>
      </c>
      <c r="C2070" t="s">
        <v>10</v>
      </c>
      <c r="D2070" t="s">
        <v>47</v>
      </c>
      <c r="E2070" t="s">
        <v>34</v>
      </c>
      <c r="F2070" t="s">
        <v>31</v>
      </c>
      <c r="G2070">
        <v>3</v>
      </c>
      <c r="H2070">
        <v>2.2000000000000002</v>
      </c>
      <c r="I2070" t="s">
        <v>14</v>
      </c>
      <c r="J2070" t="s">
        <v>1254</v>
      </c>
      <c r="K2070" s="12">
        <f>Store_Record[[#This Row],[Qty]]*Store_Record[[#This Row],[UnitPriceGBP]]</f>
        <v>6.6000000000000005</v>
      </c>
      <c r="L2070" s="5" t="str">
        <f>TEXT(Store_Record[[#This Row],[Date]],"dddd")</f>
        <v>Wednesday</v>
      </c>
      <c r="M2070" s="5" t="str">
        <f>TEXT(Store_Record[[#This Row],[Date]],"mmmm")</f>
        <v>May</v>
      </c>
      <c r="N2070" s="5">
        <f>YEAR(Store_Record[[#This Row],[Date]])</f>
        <v>2025</v>
      </c>
      <c r="O2070"/>
    </row>
    <row r="2071" spans="1:15" x14ac:dyDescent="0.35">
      <c r="A2071" t="s">
        <v>2953</v>
      </c>
      <c r="B2071" s="2">
        <v>45805</v>
      </c>
      <c r="C2071" t="s">
        <v>20</v>
      </c>
      <c r="D2071" t="s">
        <v>11</v>
      </c>
      <c r="E2071" t="s">
        <v>12</v>
      </c>
      <c r="F2071" t="s">
        <v>13</v>
      </c>
      <c r="G2071">
        <v>2</v>
      </c>
      <c r="H2071">
        <v>2.5</v>
      </c>
      <c r="I2071" t="s">
        <v>21</v>
      </c>
      <c r="J2071" t="s">
        <v>411</v>
      </c>
      <c r="K2071" s="12">
        <f>Store_Record[[#This Row],[Qty]]*Store_Record[[#This Row],[UnitPriceGBP]]</f>
        <v>5</v>
      </c>
      <c r="L2071" s="5" t="str">
        <f>TEXT(Store_Record[[#This Row],[Date]],"dddd")</f>
        <v>Wednesday</v>
      </c>
      <c r="M2071" s="5" t="str">
        <f>TEXT(Store_Record[[#This Row],[Date]],"mmmm")</f>
        <v>May</v>
      </c>
      <c r="N2071" s="5">
        <f>YEAR(Store_Record[[#This Row],[Date]])</f>
        <v>2025</v>
      </c>
      <c r="O2071"/>
    </row>
    <row r="2072" spans="1:15" x14ac:dyDescent="0.35">
      <c r="A2072" t="s">
        <v>2957</v>
      </c>
      <c r="B2072" s="2">
        <v>45805</v>
      </c>
      <c r="C2072" t="s">
        <v>10</v>
      </c>
      <c r="D2072" t="s">
        <v>11</v>
      </c>
      <c r="E2072" t="s">
        <v>12</v>
      </c>
      <c r="F2072" t="s">
        <v>13</v>
      </c>
      <c r="G2072">
        <v>2</v>
      </c>
      <c r="H2072">
        <v>2.5</v>
      </c>
      <c r="I2072" t="s">
        <v>14</v>
      </c>
      <c r="J2072" t="s">
        <v>1872</v>
      </c>
      <c r="K2072" s="12">
        <f>Store_Record[[#This Row],[Qty]]*Store_Record[[#This Row],[UnitPriceGBP]]</f>
        <v>5</v>
      </c>
      <c r="L2072" s="5" t="str">
        <f>TEXT(Store_Record[[#This Row],[Date]],"dddd")</f>
        <v>Wednesday</v>
      </c>
      <c r="M2072" s="5" t="str">
        <f>TEXT(Store_Record[[#This Row],[Date]],"mmmm")</f>
        <v>May</v>
      </c>
      <c r="N2072" s="5">
        <f>YEAR(Store_Record[[#This Row],[Date]])</f>
        <v>2025</v>
      </c>
      <c r="O2072"/>
    </row>
    <row r="2073" spans="1:15" x14ac:dyDescent="0.35">
      <c r="A2073" t="s">
        <v>2955</v>
      </c>
      <c r="B2073" s="2">
        <v>45805</v>
      </c>
      <c r="C2073" t="s">
        <v>24</v>
      </c>
      <c r="D2073" t="s">
        <v>29</v>
      </c>
      <c r="E2073" t="s">
        <v>26</v>
      </c>
      <c r="F2073" t="s">
        <v>13</v>
      </c>
      <c r="G2073">
        <v>1</v>
      </c>
      <c r="H2073">
        <v>3.5</v>
      </c>
      <c r="I2073" t="s">
        <v>39</v>
      </c>
      <c r="J2073" t="s">
        <v>610</v>
      </c>
      <c r="K2073" s="12">
        <f>Store_Record[[#This Row],[Qty]]*Store_Record[[#This Row],[UnitPriceGBP]]</f>
        <v>3.5</v>
      </c>
      <c r="L2073" s="5" t="str">
        <f>TEXT(Store_Record[[#This Row],[Date]],"dddd")</f>
        <v>Wednesday</v>
      </c>
      <c r="M2073" s="5" t="str">
        <f>TEXT(Store_Record[[#This Row],[Date]],"mmmm")</f>
        <v>May</v>
      </c>
      <c r="N2073" s="5">
        <f>YEAR(Store_Record[[#This Row],[Date]])</f>
        <v>2025</v>
      </c>
      <c r="O2073"/>
    </row>
    <row r="2074" spans="1:15" x14ac:dyDescent="0.35">
      <c r="A2074" t="s">
        <v>2943</v>
      </c>
      <c r="B2074" s="2">
        <v>45805</v>
      </c>
      <c r="C2074" t="s">
        <v>24</v>
      </c>
      <c r="D2074" t="s">
        <v>38</v>
      </c>
      <c r="E2074" t="s">
        <v>12</v>
      </c>
      <c r="F2074" t="s">
        <v>13</v>
      </c>
      <c r="G2074">
        <v>1</v>
      </c>
      <c r="H2074">
        <v>2.5</v>
      </c>
      <c r="I2074" t="s">
        <v>39</v>
      </c>
      <c r="J2074" t="s">
        <v>256</v>
      </c>
      <c r="K2074" s="12">
        <f>Store_Record[[#This Row],[Qty]]*Store_Record[[#This Row],[UnitPriceGBP]]</f>
        <v>2.5</v>
      </c>
      <c r="L2074" s="5" t="str">
        <f>TEXT(Store_Record[[#This Row],[Date]],"dddd")</f>
        <v>Wednesday</v>
      </c>
      <c r="M2074" s="5" t="str">
        <f>TEXT(Store_Record[[#This Row],[Date]],"mmmm")</f>
        <v>May</v>
      </c>
      <c r="N2074" s="5">
        <f>YEAR(Store_Record[[#This Row],[Date]])</f>
        <v>2025</v>
      </c>
      <c r="O2074"/>
    </row>
    <row r="2075" spans="1:15" x14ac:dyDescent="0.35">
      <c r="A2075" t="s">
        <v>2962</v>
      </c>
      <c r="B2075" s="2">
        <v>45806</v>
      </c>
      <c r="C2075" t="s">
        <v>10</v>
      </c>
      <c r="D2075" t="s">
        <v>25</v>
      </c>
      <c r="E2075" t="s">
        <v>26</v>
      </c>
      <c r="F2075" t="s">
        <v>13</v>
      </c>
      <c r="G2075">
        <v>5</v>
      </c>
      <c r="H2075">
        <v>3.5</v>
      </c>
      <c r="I2075" t="s">
        <v>21</v>
      </c>
      <c r="J2075" t="s">
        <v>1509</v>
      </c>
      <c r="K2075" s="12">
        <f>Store_Record[[#This Row],[Qty]]*Store_Record[[#This Row],[UnitPriceGBP]]</f>
        <v>17.5</v>
      </c>
      <c r="L2075" s="5" t="str">
        <f>TEXT(Store_Record[[#This Row],[Date]],"dddd")</f>
        <v>Thursday</v>
      </c>
      <c r="M2075" s="5" t="str">
        <f>TEXT(Store_Record[[#This Row],[Date]],"mmmm")</f>
        <v>May</v>
      </c>
      <c r="N2075" s="5">
        <f>YEAR(Store_Record[[#This Row],[Date]])</f>
        <v>2025</v>
      </c>
      <c r="O2075"/>
    </row>
    <row r="2076" spans="1:15" x14ac:dyDescent="0.35">
      <c r="A2076" t="s">
        <v>2960</v>
      </c>
      <c r="B2076" s="2">
        <v>45806</v>
      </c>
      <c r="C2076" t="s">
        <v>36</v>
      </c>
      <c r="D2076" t="s">
        <v>11</v>
      </c>
      <c r="E2076" t="s">
        <v>30</v>
      </c>
      <c r="F2076" t="s">
        <v>31</v>
      </c>
      <c r="G2076">
        <v>5</v>
      </c>
      <c r="H2076">
        <v>2.8</v>
      </c>
      <c r="I2076" t="s">
        <v>14</v>
      </c>
      <c r="J2076" t="s">
        <v>1464</v>
      </c>
      <c r="K2076" s="12">
        <f>Store_Record[[#This Row],[Qty]]*Store_Record[[#This Row],[UnitPriceGBP]]</f>
        <v>14</v>
      </c>
      <c r="L2076" s="5" t="str">
        <f>TEXT(Store_Record[[#This Row],[Date]],"dddd")</f>
        <v>Thursday</v>
      </c>
      <c r="M2076" s="5" t="str">
        <f>TEXT(Store_Record[[#This Row],[Date]],"mmmm")</f>
        <v>May</v>
      </c>
      <c r="N2076" s="5">
        <f>YEAR(Store_Record[[#This Row],[Date]])</f>
        <v>2025</v>
      </c>
      <c r="O2076"/>
    </row>
    <row r="2077" spans="1:15" x14ac:dyDescent="0.35">
      <c r="A2077" t="s">
        <v>2959</v>
      </c>
      <c r="B2077" s="2">
        <v>45806</v>
      </c>
      <c r="C2077" t="s">
        <v>10</v>
      </c>
      <c r="D2077" t="s">
        <v>38</v>
      </c>
      <c r="E2077" t="s">
        <v>42</v>
      </c>
      <c r="F2077" t="s">
        <v>13</v>
      </c>
      <c r="G2077">
        <v>3</v>
      </c>
      <c r="H2077">
        <v>3.8</v>
      </c>
      <c r="I2077" t="s">
        <v>39</v>
      </c>
      <c r="J2077" t="s">
        <v>945</v>
      </c>
      <c r="K2077" s="12">
        <f>Store_Record[[#This Row],[Qty]]*Store_Record[[#This Row],[UnitPriceGBP]]</f>
        <v>11.399999999999999</v>
      </c>
      <c r="L2077" s="5" t="str">
        <f>TEXT(Store_Record[[#This Row],[Date]],"dddd")</f>
        <v>Thursday</v>
      </c>
      <c r="M2077" s="5" t="str">
        <f>TEXT(Store_Record[[#This Row],[Date]],"mmmm")</f>
        <v>May</v>
      </c>
      <c r="N2077" s="5">
        <f>YEAR(Store_Record[[#This Row],[Date]])</f>
        <v>2025</v>
      </c>
      <c r="O2077"/>
    </row>
    <row r="2078" spans="1:15" x14ac:dyDescent="0.35">
      <c r="A2078" t="s">
        <v>2965</v>
      </c>
      <c r="B2078" s="2">
        <v>45806</v>
      </c>
      <c r="C2078" t="s">
        <v>36</v>
      </c>
      <c r="D2078" t="s">
        <v>11</v>
      </c>
      <c r="E2078" t="s">
        <v>30</v>
      </c>
      <c r="F2078" t="s">
        <v>31</v>
      </c>
      <c r="G2078">
        <v>4</v>
      </c>
      <c r="H2078">
        <v>2.8</v>
      </c>
      <c r="I2078" t="s">
        <v>39</v>
      </c>
      <c r="J2078" t="s">
        <v>2966</v>
      </c>
      <c r="K2078" s="12">
        <f>Store_Record[[#This Row],[Qty]]*Store_Record[[#This Row],[UnitPriceGBP]]</f>
        <v>11.2</v>
      </c>
      <c r="L2078" s="5" t="str">
        <f>TEXT(Store_Record[[#This Row],[Date]],"dddd")</f>
        <v>Thursday</v>
      </c>
      <c r="M2078" s="5" t="str">
        <f>TEXT(Store_Record[[#This Row],[Date]],"mmmm")</f>
        <v>May</v>
      </c>
      <c r="N2078" s="5">
        <f>YEAR(Store_Record[[#This Row],[Date]])</f>
        <v>2025</v>
      </c>
      <c r="O2078"/>
    </row>
    <row r="2079" spans="1:15" x14ac:dyDescent="0.35">
      <c r="A2079" t="s">
        <v>2967</v>
      </c>
      <c r="B2079" s="2">
        <v>45806</v>
      </c>
      <c r="C2079" t="s">
        <v>10</v>
      </c>
      <c r="D2079" t="s">
        <v>29</v>
      </c>
      <c r="E2079" t="s">
        <v>34</v>
      </c>
      <c r="F2079" t="s">
        <v>31</v>
      </c>
      <c r="G2079">
        <v>5</v>
      </c>
      <c r="H2079">
        <v>2.2000000000000002</v>
      </c>
      <c r="I2079" t="s">
        <v>14</v>
      </c>
      <c r="J2079" t="s">
        <v>2968</v>
      </c>
      <c r="K2079" s="12">
        <f>Store_Record[[#This Row],[Qty]]*Store_Record[[#This Row],[UnitPriceGBP]]</f>
        <v>11</v>
      </c>
      <c r="L2079" s="5" t="str">
        <f>TEXT(Store_Record[[#This Row],[Date]],"dddd")</f>
        <v>Thursday</v>
      </c>
      <c r="M2079" s="5" t="str">
        <f>TEXT(Store_Record[[#This Row],[Date]],"mmmm")</f>
        <v>May</v>
      </c>
      <c r="N2079" s="5">
        <f>YEAR(Store_Record[[#This Row],[Date]])</f>
        <v>2025</v>
      </c>
      <c r="O2079"/>
    </row>
    <row r="2080" spans="1:15" x14ac:dyDescent="0.35">
      <c r="A2080" t="s">
        <v>2958</v>
      </c>
      <c r="B2080" s="2">
        <v>45806</v>
      </c>
      <c r="C2080" t="s">
        <v>24</v>
      </c>
      <c r="D2080" t="s">
        <v>29</v>
      </c>
      <c r="E2080" t="s">
        <v>26</v>
      </c>
      <c r="F2080" t="s">
        <v>13</v>
      </c>
      <c r="G2080">
        <v>3</v>
      </c>
      <c r="H2080">
        <v>3.5</v>
      </c>
      <c r="I2080" t="s">
        <v>21</v>
      </c>
      <c r="J2080" t="s">
        <v>1653</v>
      </c>
      <c r="K2080" s="12">
        <f>Store_Record[[#This Row],[Qty]]*Store_Record[[#This Row],[UnitPriceGBP]]</f>
        <v>10.5</v>
      </c>
      <c r="L2080" s="5" t="str">
        <f>TEXT(Store_Record[[#This Row],[Date]],"dddd")</f>
        <v>Thursday</v>
      </c>
      <c r="M2080" s="5" t="str">
        <f>TEXT(Store_Record[[#This Row],[Date]],"mmmm")</f>
        <v>May</v>
      </c>
      <c r="N2080" s="5">
        <f>YEAR(Store_Record[[#This Row],[Date]])</f>
        <v>2025</v>
      </c>
      <c r="O2080"/>
    </row>
    <row r="2081" spans="1:15" x14ac:dyDescent="0.35">
      <c r="A2081" t="s">
        <v>2961</v>
      </c>
      <c r="B2081" s="2">
        <v>45806</v>
      </c>
      <c r="C2081" t="s">
        <v>20</v>
      </c>
      <c r="D2081" t="s">
        <v>29</v>
      </c>
      <c r="E2081" t="s">
        <v>30</v>
      </c>
      <c r="F2081" t="s">
        <v>31</v>
      </c>
      <c r="G2081">
        <v>2</v>
      </c>
      <c r="H2081">
        <v>2.8</v>
      </c>
      <c r="I2081" t="s">
        <v>14</v>
      </c>
      <c r="J2081" t="s">
        <v>677</v>
      </c>
      <c r="K2081" s="12">
        <f>Store_Record[[#This Row],[Qty]]*Store_Record[[#This Row],[UnitPriceGBP]]</f>
        <v>5.6</v>
      </c>
      <c r="L2081" s="5" t="str">
        <f>TEXT(Store_Record[[#This Row],[Date]],"dddd")</f>
        <v>Thursday</v>
      </c>
      <c r="M2081" s="5" t="str">
        <f>TEXT(Store_Record[[#This Row],[Date]],"mmmm")</f>
        <v>May</v>
      </c>
      <c r="N2081" s="5">
        <f>YEAR(Store_Record[[#This Row],[Date]])</f>
        <v>2025</v>
      </c>
      <c r="O2081"/>
    </row>
    <row r="2082" spans="1:15" x14ac:dyDescent="0.35">
      <c r="A2082" t="s">
        <v>2963</v>
      </c>
      <c r="B2082" s="2">
        <v>45806</v>
      </c>
      <c r="C2082" t="s">
        <v>20</v>
      </c>
      <c r="D2082" t="s">
        <v>29</v>
      </c>
      <c r="E2082" t="s">
        <v>42</v>
      </c>
      <c r="F2082" t="s">
        <v>13</v>
      </c>
      <c r="G2082">
        <v>1</v>
      </c>
      <c r="H2082">
        <v>3.8</v>
      </c>
      <c r="I2082" t="s">
        <v>14</v>
      </c>
      <c r="J2082" t="s">
        <v>2964</v>
      </c>
      <c r="K2082" s="12">
        <f>Store_Record[[#This Row],[Qty]]*Store_Record[[#This Row],[UnitPriceGBP]]</f>
        <v>3.8</v>
      </c>
      <c r="L2082" s="5" t="str">
        <f>TEXT(Store_Record[[#This Row],[Date]],"dddd")</f>
        <v>Thursday</v>
      </c>
      <c r="M2082" s="5" t="str">
        <f>TEXT(Store_Record[[#This Row],[Date]],"mmmm")</f>
        <v>May</v>
      </c>
      <c r="N2082" s="5">
        <f>YEAR(Store_Record[[#This Row],[Date]])</f>
        <v>2025</v>
      </c>
      <c r="O2082"/>
    </row>
    <row r="2083" spans="1:15" x14ac:dyDescent="0.35">
      <c r="A2083" t="s">
        <v>2969</v>
      </c>
      <c r="B2083" s="2">
        <v>45806</v>
      </c>
      <c r="C2083" t="s">
        <v>10</v>
      </c>
      <c r="D2083" t="s">
        <v>11</v>
      </c>
      <c r="E2083" t="s">
        <v>34</v>
      </c>
      <c r="F2083" t="s">
        <v>31</v>
      </c>
      <c r="G2083">
        <v>1</v>
      </c>
      <c r="H2083">
        <v>2.2000000000000002</v>
      </c>
      <c r="I2083" t="s">
        <v>14</v>
      </c>
      <c r="J2083" t="s">
        <v>2537</v>
      </c>
      <c r="K2083" s="12">
        <f>Store_Record[[#This Row],[Qty]]*Store_Record[[#This Row],[UnitPriceGBP]]</f>
        <v>2.2000000000000002</v>
      </c>
      <c r="L2083" s="5" t="str">
        <f>TEXT(Store_Record[[#This Row],[Date]],"dddd")</f>
        <v>Thursday</v>
      </c>
      <c r="M2083" s="5" t="str">
        <f>TEXT(Store_Record[[#This Row],[Date]],"mmmm")</f>
        <v>May</v>
      </c>
      <c r="N2083" s="5">
        <f>YEAR(Store_Record[[#This Row],[Date]])</f>
        <v>2025</v>
      </c>
      <c r="O2083"/>
    </row>
    <row r="2084" spans="1:15" x14ac:dyDescent="0.35">
      <c r="A2084" t="s">
        <v>2976</v>
      </c>
      <c r="B2084" s="2">
        <v>45807</v>
      </c>
      <c r="C2084" t="s">
        <v>10</v>
      </c>
      <c r="D2084" t="s">
        <v>38</v>
      </c>
      <c r="E2084" t="s">
        <v>42</v>
      </c>
      <c r="F2084" t="s">
        <v>13</v>
      </c>
      <c r="G2084">
        <v>5</v>
      </c>
      <c r="H2084">
        <v>3.8</v>
      </c>
      <c r="I2084" t="s">
        <v>39</v>
      </c>
      <c r="J2084" t="s">
        <v>22</v>
      </c>
      <c r="K2084" s="12">
        <f>Store_Record[[#This Row],[Qty]]*Store_Record[[#This Row],[UnitPriceGBP]]</f>
        <v>19</v>
      </c>
      <c r="L2084" s="5" t="str">
        <f>TEXT(Store_Record[[#This Row],[Date]],"dddd")</f>
        <v>Friday</v>
      </c>
      <c r="M2084" s="5" t="str">
        <f>TEXT(Store_Record[[#This Row],[Date]],"mmmm")</f>
        <v>May</v>
      </c>
      <c r="N2084" s="5">
        <f>YEAR(Store_Record[[#This Row],[Date]])</f>
        <v>2025</v>
      </c>
      <c r="O2084"/>
    </row>
    <row r="2085" spans="1:15" x14ac:dyDescent="0.35">
      <c r="A2085" t="s">
        <v>2978</v>
      </c>
      <c r="B2085" s="2">
        <v>45807</v>
      </c>
      <c r="C2085" t="s">
        <v>10</v>
      </c>
      <c r="D2085" t="s">
        <v>25</v>
      </c>
      <c r="E2085" t="s">
        <v>42</v>
      </c>
      <c r="F2085" t="s">
        <v>13</v>
      </c>
      <c r="G2085">
        <v>5</v>
      </c>
      <c r="H2085">
        <v>3.8</v>
      </c>
      <c r="I2085" t="s">
        <v>14</v>
      </c>
      <c r="J2085" t="s">
        <v>806</v>
      </c>
      <c r="K2085" s="12">
        <f>Store_Record[[#This Row],[Qty]]*Store_Record[[#This Row],[UnitPriceGBP]]</f>
        <v>19</v>
      </c>
      <c r="L2085" s="5" t="str">
        <f>TEXT(Store_Record[[#This Row],[Date]],"dddd")</f>
        <v>Friday</v>
      </c>
      <c r="M2085" s="5" t="str">
        <f>TEXT(Store_Record[[#This Row],[Date]],"mmmm")</f>
        <v>May</v>
      </c>
      <c r="N2085" s="5">
        <f>YEAR(Store_Record[[#This Row],[Date]])</f>
        <v>2025</v>
      </c>
      <c r="O2085"/>
    </row>
    <row r="2086" spans="1:15" x14ac:dyDescent="0.35">
      <c r="A2086" t="s">
        <v>2982</v>
      </c>
      <c r="B2086" s="2">
        <v>45807</v>
      </c>
      <c r="C2086" t="s">
        <v>36</v>
      </c>
      <c r="D2086" t="s">
        <v>11</v>
      </c>
      <c r="E2086" t="s">
        <v>42</v>
      </c>
      <c r="F2086" t="s">
        <v>13</v>
      </c>
      <c r="G2086">
        <v>5</v>
      </c>
      <c r="H2086">
        <v>3.8</v>
      </c>
      <c r="I2086" t="s">
        <v>14</v>
      </c>
      <c r="J2086" t="s">
        <v>1300</v>
      </c>
      <c r="K2086" s="12">
        <f>Store_Record[[#This Row],[Qty]]*Store_Record[[#This Row],[UnitPriceGBP]]</f>
        <v>19</v>
      </c>
      <c r="L2086" s="5" t="str">
        <f>TEXT(Store_Record[[#This Row],[Date]],"dddd")</f>
        <v>Friday</v>
      </c>
      <c r="M2086" s="5" t="str">
        <f>TEXT(Store_Record[[#This Row],[Date]],"mmmm")</f>
        <v>May</v>
      </c>
      <c r="N2086" s="5">
        <f>YEAR(Store_Record[[#This Row],[Date]])</f>
        <v>2025</v>
      </c>
      <c r="O2086"/>
    </row>
    <row r="2087" spans="1:15" x14ac:dyDescent="0.35">
      <c r="A2087" t="s">
        <v>2981</v>
      </c>
      <c r="B2087" s="2">
        <v>45807</v>
      </c>
      <c r="C2087" t="s">
        <v>36</v>
      </c>
      <c r="D2087" t="s">
        <v>29</v>
      </c>
      <c r="E2087" t="s">
        <v>26</v>
      </c>
      <c r="F2087" t="s">
        <v>13</v>
      </c>
      <c r="G2087">
        <v>5</v>
      </c>
      <c r="H2087">
        <v>3.5</v>
      </c>
      <c r="I2087" t="s">
        <v>14</v>
      </c>
      <c r="J2087" t="s">
        <v>899</v>
      </c>
      <c r="K2087" s="12">
        <f>Store_Record[[#This Row],[Qty]]*Store_Record[[#This Row],[UnitPriceGBP]]</f>
        <v>17.5</v>
      </c>
      <c r="L2087" s="5" t="str">
        <f>TEXT(Store_Record[[#This Row],[Date]],"dddd")</f>
        <v>Friday</v>
      </c>
      <c r="M2087" s="5" t="str">
        <f>TEXT(Store_Record[[#This Row],[Date]],"mmmm")</f>
        <v>May</v>
      </c>
      <c r="N2087" s="5">
        <f>YEAR(Store_Record[[#This Row],[Date]])</f>
        <v>2025</v>
      </c>
      <c r="O2087"/>
    </row>
    <row r="2088" spans="1:15" x14ac:dyDescent="0.35">
      <c r="A2088" t="s">
        <v>2977</v>
      </c>
      <c r="B2088" s="2">
        <v>45807</v>
      </c>
      <c r="C2088" t="s">
        <v>10</v>
      </c>
      <c r="D2088" t="s">
        <v>38</v>
      </c>
      <c r="E2088" t="s">
        <v>42</v>
      </c>
      <c r="F2088" t="s">
        <v>13</v>
      </c>
      <c r="G2088">
        <v>4</v>
      </c>
      <c r="H2088">
        <v>3.8</v>
      </c>
      <c r="I2088" t="s">
        <v>14</v>
      </c>
      <c r="J2088" t="s">
        <v>1644</v>
      </c>
      <c r="K2088" s="12">
        <f>Store_Record[[#This Row],[Qty]]*Store_Record[[#This Row],[UnitPriceGBP]]</f>
        <v>15.2</v>
      </c>
      <c r="L2088" s="5" t="str">
        <f>TEXT(Store_Record[[#This Row],[Date]],"dddd")</f>
        <v>Friday</v>
      </c>
      <c r="M2088" s="5" t="str">
        <f>TEXT(Store_Record[[#This Row],[Date]],"mmmm")</f>
        <v>May</v>
      </c>
      <c r="N2088" s="5">
        <f>YEAR(Store_Record[[#This Row],[Date]])</f>
        <v>2025</v>
      </c>
      <c r="O2088"/>
    </row>
    <row r="2089" spans="1:15" x14ac:dyDescent="0.35">
      <c r="A2089" t="s">
        <v>2972</v>
      </c>
      <c r="B2089" s="2">
        <v>45807</v>
      </c>
      <c r="C2089" t="s">
        <v>10</v>
      </c>
      <c r="D2089" t="s">
        <v>11</v>
      </c>
      <c r="E2089" t="s">
        <v>26</v>
      </c>
      <c r="F2089" t="s">
        <v>13</v>
      </c>
      <c r="G2089">
        <v>4</v>
      </c>
      <c r="H2089">
        <v>3.5</v>
      </c>
      <c r="I2089" t="s">
        <v>39</v>
      </c>
      <c r="J2089" t="s">
        <v>2973</v>
      </c>
      <c r="K2089" s="12">
        <f>Store_Record[[#This Row],[Qty]]*Store_Record[[#This Row],[UnitPriceGBP]]</f>
        <v>14</v>
      </c>
      <c r="L2089" s="5" t="str">
        <f>TEXT(Store_Record[[#This Row],[Date]],"dddd")</f>
        <v>Friday</v>
      </c>
      <c r="M2089" s="5" t="str">
        <f>TEXT(Store_Record[[#This Row],[Date]],"mmmm")</f>
        <v>May</v>
      </c>
      <c r="N2089" s="5">
        <f>YEAR(Store_Record[[#This Row],[Date]])</f>
        <v>2025</v>
      </c>
      <c r="O2089"/>
    </row>
    <row r="2090" spans="1:15" x14ac:dyDescent="0.35">
      <c r="A2090" t="s">
        <v>2974</v>
      </c>
      <c r="B2090" s="2">
        <v>45807</v>
      </c>
      <c r="C2090" t="s">
        <v>10</v>
      </c>
      <c r="D2090" t="s">
        <v>29</v>
      </c>
      <c r="E2090" t="s">
        <v>12</v>
      </c>
      <c r="F2090" t="s">
        <v>13</v>
      </c>
      <c r="G2090">
        <v>5</v>
      </c>
      <c r="H2090">
        <v>2.5</v>
      </c>
      <c r="I2090" t="s">
        <v>39</v>
      </c>
      <c r="J2090" t="s">
        <v>1156</v>
      </c>
      <c r="K2090" s="12">
        <f>Store_Record[[#This Row],[Qty]]*Store_Record[[#This Row],[UnitPriceGBP]]</f>
        <v>12.5</v>
      </c>
      <c r="L2090" s="5" t="str">
        <f>TEXT(Store_Record[[#This Row],[Date]],"dddd")</f>
        <v>Friday</v>
      </c>
      <c r="M2090" s="5" t="str">
        <f>TEXT(Store_Record[[#This Row],[Date]],"mmmm")</f>
        <v>May</v>
      </c>
      <c r="N2090" s="5">
        <f>YEAR(Store_Record[[#This Row],[Date]])</f>
        <v>2025</v>
      </c>
      <c r="O2090"/>
    </row>
    <row r="2091" spans="1:15" x14ac:dyDescent="0.35">
      <c r="A2091" t="s">
        <v>2979</v>
      </c>
      <c r="B2091" s="2">
        <v>45807</v>
      </c>
      <c r="C2091" t="s">
        <v>20</v>
      </c>
      <c r="D2091" t="s">
        <v>47</v>
      </c>
      <c r="E2091" t="s">
        <v>12</v>
      </c>
      <c r="F2091" t="s">
        <v>13</v>
      </c>
      <c r="G2091">
        <v>5</v>
      </c>
      <c r="H2091">
        <v>2.5</v>
      </c>
      <c r="I2091" t="s">
        <v>14</v>
      </c>
      <c r="J2091" t="s">
        <v>1987</v>
      </c>
      <c r="K2091" s="12">
        <f>Store_Record[[#This Row],[Qty]]*Store_Record[[#This Row],[UnitPriceGBP]]</f>
        <v>12.5</v>
      </c>
      <c r="L2091" s="5" t="str">
        <f>TEXT(Store_Record[[#This Row],[Date]],"dddd")</f>
        <v>Friday</v>
      </c>
      <c r="M2091" s="5" t="str">
        <f>TEXT(Store_Record[[#This Row],[Date]],"mmmm")</f>
        <v>May</v>
      </c>
      <c r="N2091" s="5">
        <f>YEAR(Store_Record[[#This Row],[Date]])</f>
        <v>2025</v>
      </c>
      <c r="O2091"/>
    </row>
    <row r="2092" spans="1:15" x14ac:dyDescent="0.35">
      <c r="A2092" t="s">
        <v>2970</v>
      </c>
      <c r="B2092" s="2">
        <v>45807</v>
      </c>
      <c r="C2092" t="s">
        <v>20</v>
      </c>
      <c r="D2092" t="s">
        <v>11</v>
      </c>
      <c r="E2092" t="s">
        <v>34</v>
      </c>
      <c r="F2092" t="s">
        <v>31</v>
      </c>
      <c r="G2092">
        <v>4</v>
      </c>
      <c r="H2092">
        <v>2.2000000000000002</v>
      </c>
      <c r="I2092" t="s">
        <v>14</v>
      </c>
      <c r="J2092" t="s">
        <v>1987</v>
      </c>
      <c r="K2092" s="12">
        <f>Store_Record[[#This Row],[Qty]]*Store_Record[[#This Row],[UnitPriceGBP]]</f>
        <v>8.8000000000000007</v>
      </c>
      <c r="L2092" s="5" t="str">
        <f>TEXT(Store_Record[[#This Row],[Date]],"dddd")</f>
        <v>Friday</v>
      </c>
      <c r="M2092" s="5" t="str">
        <f>TEXT(Store_Record[[#This Row],[Date]],"mmmm")</f>
        <v>May</v>
      </c>
      <c r="N2092" s="5">
        <f>YEAR(Store_Record[[#This Row],[Date]])</f>
        <v>2025</v>
      </c>
      <c r="O2092"/>
    </row>
    <row r="2093" spans="1:15" x14ac:dyDescent="0.35">
      <c r="A2093" t="s">
        <v>2975</v>
      </c>
      <c r="B2093" s="2">
        <v>45807</v>
      </c>
      <c r="C2093" t="s">
        <v>10</v>
      </c>
      <c r="D2093" t="s">
        <v>25</v>
      </c>
      <c r="E2093" t="s">
        <v>12</v>
      </c>
      <c r="F2093" t="s">
        <v>13</v>
      </c>
      <c r="G2093">
        <v>2</v>
      </c>
      <c r="H2093">
        <v>2.5</v>
      </c>
      <c r="I2093" t="s">
        <v>39</v>
      </c>
      <c r="J2093" t="s">
        <v>404</v>
      </c>
      <c r="K2093" s="12">
        <f>Store_Record[[#This Row],[Qty]]*Store_Record[[#This Row],[UnitPriceGBP]]</f>
        <v>5</v>
      </c>
      <c r="L2093" s="5" t="str">
        <f>TEXT(Store_Record[[#This Row],[Date]],"dddd")</f>
        <v>Friday</v>
      </c>
      <c r="M2093" s="5" t="str">
        <f>TEXT(Store_Record[[#This Row],[Date]],"mmmm")</f>
        <v>May</v>
      </c>
      <c r="N2093" s="5">
        <f>YEAR(Store_Record[[#This Row],[Date]])</f>
        <v>2025</v>
      </c>
      <c r="O2093"/>
    </row>
    <row r="2094" spans="1:15" x14ac:dyDescent="0.35">
      <c r="A2094" t="s">
        <v>2980</v>
      </c>
      <c r="B2094" s="2">
        <v>45807</v>
      </c>
      <c r="C2094" t="s">
        <v>10</v>
      </c>
      <c r="D2094" t="s">
        <v>29</v>
      </c>
      <c r="E2094" t="s">
        <v>34</v>
      </c>
      <c r="F2094" t="s">
        <v>31</v>
      </c>
      <c r="G2094">
        <v>2</v>
      </c>
      <c r="H2094">
        <v>2.2000000000000002</v>
      </c>
      <c r="I2094" t="s">
        <v>21</v>
      </c>
      <c r="J2094" t="s">
        <v>1639</v>
      </c>
      <c r="K2094" s="12">
        <f>Store_Record[[#This Row],[Qty]]*Store_Record[[#This Row],[UnitPriceGBP]]</f>
        <v>4.4000000000000004</v>
      </c>
      <c r="L2094" s="5" t="str">
        <f>TEXT(Store_Record[[#This Row],[Date]],"dddd")</f>
        <v>Friday</v>
      </c>
      <c r="M2094" s="5" t="str">
        <f>TEXT(Store_Record[[#This Row],[Date]],"mmmm")</f>
        <v>May</v>
      </c>
      <c r="N2094" s="5">
        <f>YEAR(Store_Record[[#This Row],[Date]])</f>
        <v>2025</v>
      </c>
      <c r="O2094"/>
    </row>
    <row r="2095" spans="1:15" x14ac:dyDescent="0.35">
      <c r="A2095" t="s">
        <v>2983</v>
      </c>
      <c r="B2095" s="2">
        <v>45807</v>
      </c>
      <c r="C2095" t="s">
        <v>24</v>
      </c>
      <c r="D2095" t="s">
        <v>25</v>
      </c>
      <c r="E2095" t="s">
        <v>34</v>
      </c>
      <c r="F2095" t="s">
        <v>31</v>
      </c>
      <c r="G2095">
        <v>2</v>
      </c>
      <c r="H2095">
        <v>2.2000000000000002</v>
      </c>
      <c r="I2095" t="s">
        <v>21</v>
      </c>
      <c r="J2095" t="s">
        <v>93</v>
      </c>
      <c r="K2095" s="12">
        <f>Store_Record[[#This Row],[Qty]]*Store_Record[[#This Row],[UnitPriceGBP]]</f>
        <v>4.4000000000000004</v>
      </c>
      <c r="L2095" s="5" t="str">
        <f>TEXT(Store_Record[[#This Row],[Date]],"dddd")</f>
        <v>Friday</v>
      </c>
      <c r="M2095" s="5" t="str">
        <f>TEXT(Store_Record[[#This Row],[Date]],"mmmm")</f>
        <v>May</v>
      </c>
      <c r="N2095" s="5">
        <f>YEAR(Store_Record[[#This Row],[Date]])</f>
        <v>2025</v>
      </c>
      <c r="O2095"/>
    </row>
    <row r="2096" spans="1:15" x14ac:dyDescent="0.35">
      <c r="A2096" t="s">
        <v>2971</v>
      </c>
      <c r="B2096" s="2">
        <v>45807</v>
      </c>
      <c r="C2096" t="s">
        <v>24</v>
      </c>
      <c r="D2096" t="s">
        <v>25</v>
      </c>
      <c r="E2096" t="s">
        <v>26</v>
      </c>
      <c r="F2096" t="s">
        <v>13</v>
      </c>
      <c r="G2096">
        <v>1</v>
      </c>
      <c r="H2096">
        <v>3.5</v>
      </c>
      <c r="I2096" t="s">
        <v>14</v>
      </c>
      <c r="J2096" t="s">
        <v>279</v>
      </c>
      <c r="K2096" s="12">
        <f>Store_Record[[#This Row],[Qty]]*Store_Record[[#This Row],[UnitPriceGBP]]</f>
        <v>3.5</v>
      </c>
      <c r="L2096" s="5" t="str">
        <f>TEXT(Store_Record[[#This Row],[Date]],"dddd")</f>
        <v>Friday</v>
      </c>
      <c r="M2096" s="5" t="str">
        <f>TEXT(Store_Record[[#This Row],[Date]],"mmmm")</f>
        <v>May</v>
      </c>
      <c r="N2096" s="5">
        <f>YEAR(Store_Record[[#This Row],[Date]])</f>
        <v>2025</v>
      </c>
      <c r="O2096"/>
    </row>
    <row r="2097" spans="1:15" x14ac:dyDescent="0.35">
      <c r="A2097" t="s">
        <v>2984</v>
      </c>
      <c r="B2097" s="2">
        <v>45808</v>
      </c>
      <c r="C2097" t="s">
        <v>24</v>
      </c>
      <c r="D2097" t="s">
        <v>47</v>
      </c>
      <c r="E2097" t="s">
        <v>42</v>
      </c>
      <c r="F2097" t="s">
        <v>13</v>
      </c>
      <c r="G2097">
        <v>5</v>
      </c>
      <c r="H2097">
        <v>3.8</v>
      </c>
      <c r="I2097" t="s">
        <v>39</v>
      </c>
      <c r="J2097" t="s">
        <v>2911</v>
      </c>
      <c r="K2097" s="12">
        <f>Store_Record[[#This Row],[Qty]]*Store_Record[[#This Row],[UnitPriceGBP]]</f>
        <v>19</v>
      </c>
      <c r="L2097" s="5" t="str">
        <f>TEXT(Store_Record[[#This Row],[Date]],"dddd")</f>
        <v>Saturday</v>
      </c>
      <c r="M2097" s="5" t="str">
        <f>TEXT(Store_Record[[#This Row],[Date]],"mmmm")</f>
        <v>May</v>
      </c>
      <c r="N2097" s="5">
        <f>YEAR(Store_Record[[#This Row],[Date]])</f>
        <v>2025</v>
      </c>
      <c r="O2097"/>
    </row>
    <row r="2098" spans="1:15" x14ac:dyDescent="0.35">
      <c r="A2098" t="s">
        <v>2991</v>
      </c>
      <c r="B2098" s="2">
        <v>45808</v>
      </c>
      <c r="C2098" t="s">
        <v>36</v>
      </c>
      <c r="D2098" t="s">
        <v>11</v>
      </c>
      <c r="E2098" t="s">
        <v>26</v>
      </c>
      <c r="F2098" t="s">
        <v>13</v>
      </c>
      <c r="G2098">
        <v>5</v>
      </c>
      <c r="H2098">
        <v>3.5</v>
      </c>
      <c r="I2098" t="s">
        <v>39</v>
      </c>
      <c r="J2098" t="s">
        <v>2992</v>
      </c>
      <c r="K2098" s="12">
        <f>Store_Record[[#This Row],[Qty]]*Store_Record[[#This Row],[UnitPriceGBP]]</f>
        <v>17.5</v>
      </c>
      <c r="L2098" s="5" t="str">
        <f>TEXT(Store_Record[[#This Row],[Date]],"dddd")</f>
        <v>Saturday</v>
      </c>
      <c r="M2098" s="5" t="str">
        <f>TEXT(Store_Record[[#This Row],[Date]],"mmmm")</f>
        <v>May</v>
      </c>
      <c r="N2098" s="5">
        <f>YEAR(Store_Record[[#This Row],[Date]])</f>
        <v>2025</v>
      </c>
      <c r="O2098"/>
    </row>
    <row r="2099" spans="1:15" x14ac:dyDescent="0.35">
      <c r="A2099" t="s">
        <v>2989</v>
      </c>
      <c r="B2099" s="2">
        <v>45808</v>
      </c>
      <c r="C2099" t="s">
        <v>20</v>
      </c>
      <c r="D2099" t="s">
        <v>25</v>
      </c>
      <c r="E2099" t="s">
        <v>30</v>
      </c>
      <c r="F2099" t="s">
        <v>31</v>
      </c>
      <c r="G2099">
        <v>5</v>
      </c>
      <c r="H2099">
        <v>2.8</v>
      </c>
      <c r="I2099" t="s">
        <v>14</v>
      </c>
      <c r="J2099" t="s">
        <v>2990</v>
      </c>
      <c r="K2099" s="12">
        <f>Store_Record[[#This Row],[Qty]]*Store_Record[[#This Row],[UnitPriceGBP]]</f>
        <v>14</v>
      </c>
      <c r="L2099" s="5" t="str">
        <f>TEXT(Store_Record[[#This Row],[Date]],"dddd")</f>
        <v>Saturday</v>
      </c>
      <c r="M2099" s="5" t="str">
        <f>TEXT(Store_Record[[#This Row],[Date]],"mmmm")</f>
        <v>May</v>
      </c>
      <c r="N2099" s="5">
        <f>YEAR(Store_Record[[#This Row],[Date]])</f>
        <v>2025</v>
      </c>
      <c r="O2099"/>
    </row>
    <row r="2100" spans="1:15" x14ac:dyDescent="0.35">
      <c r="A2100" t="s">
        <v>2996</v>
      </c>
      <c r="B2100" s="2">
        <v>45808</v>
      </c>
      <c r="C2100" t="s">
        <v>36</v>
      </c>
      <c r="D2100" t="s">
        <v>38</v>
      </c>
      <c r="E2100" t="s">
        <v>30</v>
      </c>
      <c r="F2100" t="s">
        <v>31</v>
      </c>
      <c r="G2100">
        <v>4</v>
      </c>
      <c r="H2100">
        <v>2.8</v>
      </c>
      <c r="I2100" t="s">
        <v>21</v>
      </c>
      <c r="J2100" t="s">
        <v>27</v>
      </c>
      <c r="K2100" s="12">
        <f>Store_Record[[#This Row],[Qty]]*Store_Record[[#This Row],[UnitPriceGBP]]</f>
        <v>11.2</v>
      </c>
      <c r="L2100" s="5" t="str">
        <f>TEXT(Store_Record[[#This Row],[Date]],"dddd")</f>
        <v>Saturday</v>
      </c>
      <c r="M2100" s="5" t="str">
        <f>TEXT(Store_Record[[#This Row],[Date]],"mmmm")</f>
        <v>May</v>
      </c>
      <c r="N2100" s="5">
        <f>YEAR(Store_Record[[#This Row],[Date]])</f>
        <v>2025</v>
      </c>
      <c r="O2100"/>
    </row>
    <row r="2101" spans="1:15" x14ac:dyDescent="0.35">
      <c r="A2101" t="s">
        <v>2988</v>
      </c>
      <c r="B2101" s="2">
        <v>45808</v>
      </c>
      <c r="C2101" t="s">
        <v>10</v>
      </c>
      <c r="D2101" t="s">
        <v>38</v>
      </c>
      <c r="E2101" t="s">
        <v>34</v>
      </c>
      <c r="F2101" t="s">
        <v>31</v>
      </c>
      <c r="G2101">
        <v>4</v>
      </c>
      <c r="H2101">
        <v>2.2000000000000002</v>
      </c>
      <c r="I2101" t="s">
        <v>14</v>
      </c>
      <c r="J2101" t="s">
        <v>1541</v>
      </c>
      <c r="K2101" s="12">
        <f>Store_Record[[#This Row],[Qty]]*Store_Record[[#This Row],[UnitPriceGBP]]</f>
        <v>8.8000000000000007</v>
      </c>
      <c r="L2101" s="5" t="str">
        <f>TEXT(Store_Record[[#This Row],[Date]],"dddd")</f>
        <v>Saturday</v>
      </c>
      <c r="M2101" s="5" t="str">
        <f>TEXT(Store_Record[[#This Row],[Date]],"mmmm")</f>
        <v>May</v>
      </c>
      <c r="N2101" s="5">
        <f>YEAR(Store_Record[[#This Row],[Date]])</f>
        <v>2025</v>
      </c>
      <c r="O2101"/>
    </row>
    <row r="2102" spans="1:15" x14ac:dyDescent="0.35">
      <c r="A2102" t="s">
        <v>2994</v>
      </c>
      <c r="B2102" s="2">
        <v>45808</v>
      </c>
      <c r="C2102" t="s">
        <v>20</v>
      </c>
      <c r="D2102" t="s">
        <v>29</v>
      </c>
      <c r="E2102" t="s">
        <v>34</v>
      </c>
      <c r="F2102" t="s">
        <v>31</v>
      </c>
      <c r="G2102">
        <v>4</v>
      </c>
      <c r="H2102">
        <v>2.2000000000000002</v>
      </c>
      <c r="I2102" t="s">
        <v>14</v>
      </c>
      <c r="J2102" t="s">
        <v>2995</v>
      </c>
      <c r="K2102" s="12">
        <f>Store_Record[[#This Row],[Qty]]*Store_Record[[#This Row],[UnitPriceGBP]]</f>
        <v>8.8000000000000007</v>
      </c>
      <c r="L2102" s="5" t="str">
        <f>TEXT(Store_Record[[#This Row],[Date]],"dddd")</f>
        <v>Saturday</v>
      </c>
      <c r="M2102" s="5" t="str">
        <f>TEXT(Store_Record[[#This Row],[Date]],"mmmm")</f>
        <v>May</v>
      </c>
      <c r="N2102" s="5">
        <f>YEAR(Store_Record[[#This Row],[Date]])</f>
        <v>2025</v>
      </c>
      <c r="O2102"/>
    </row>
    <row r="2103" spans="1:15" x14ac:dyDescent="0.35">
      <c r="A2103" t="s">
        <v>2987</v>
      </c>
      <c r="B2103" s="2">
        <v>45808</v>
      </c>
      <c r="C2103" t="s">
        <v>10</v>
      </c>
      <c r="D2103" t="s">
        <v>47</v>
      </c>
      <c r="E2103" t="s">
        <v>30</v>
      </c>
      <c r="F2103" t="s">
        <v>31</v>
      </c>
      <c r="G2103">
        <v>2</v>
      </c>
      <c r="H2103">
        <v>2.8</v>
      </c>
      <c r="I2103" t="s">
        <v>39</v>
      </c>
      <c r="J2103" t="s">
        <v>1316</v>
      </c>
      <c r="K2103" s="12">
        <f>Store_Record[[#This Row],[Qty]]*Store_Record[[#This Row],[UnitPriceGBP]]</f>
        <v>5.6</v>
      </c>
      <c r="L2103" s="5" t="str">
        <f>TEXT(Store_Record[[#This Row],[Date]],"dddd")</f>
        <v>Saturday</v>
      </c>
      <c r="M2103" s="5" t="str">
        <f>TEXT(Store_Record[[#This Row],[Date]],"mmmm")</f>
        <v>May</v>
      </c>
      <c r="N2103" s="5">
        <f>YEAR(Store_Record[[#This Row],[Date]])</f>
        <v>2025</v>
      </c>
      <c r="O2103"/>
    </row>
    <row r="2104" spans="1:15" x14ac:dyDescent="0.35">
      <c r="A2104" t="s">
        <v>2985</v>
      </c>
      <c r="B2104" s="2">
        <v>45808</v>
      </c>
      <c r="C2104" t="s">
        <v>36</v>
      </c>
      <c r="D2104" t="s">
        <v>25</v>
      </c>
      <c r="E2104" t="s">
        <v>12</v>
      </c>
      <c r="F2104" t="s">
        <v>13</v>
      </c>
      <c r="G2104">
        <v>2</v>
      </c>
      <c r="H2104">
        <v>2.5</v>
      </c>
      <c r="I2104" t="s">
        <v>14</v>
      </c>
      <c r="J2104" t="s">
        <v>2986</v>
      </c>
      <c r="K2104" s="12">
        <f>Store_Record[[#This Row],[Qty]]*Store_Record[[#This Row],[UnitPriceGBP]]</f>
        <v>5</v>
      </c>
      <c r="L2104" s="5" t="str">
        <f>TEXT(Store_Record[[#This Row],[Date]],"dddd")</f>
        <v>Saturday</v>
      </c>
      <c r="M2104" s="5" t="str">
        <f>TEXT(Store_Record[[#This Row],[Date]],"mmmm")</f>
        <v>May</v>
      </c>
      <c r="N2104" s="5">
        <f>YEAR(Store_Record[[#This Row],[Date]])</f>
        <v>2025</v>
      </c>
      <c r="O2104"/>
    </row>
    <row r="2105" spans="1:15" x14ac:dyDescent="0.35">
      <c r="A2105" t="s">
        <v>2993</v>
      </c>
      <c r="B2105" s="2">
        <v>45808</v>
      </c>
      <c r="C2105" t="s">
        <v>36</v>
      </c>
      <c r="D2105" t="s">
        <v>25</v>
      </c>
      <c r="E2105" t="s">
        <v>30</v>
      </c>
      <c r="F2105" t="s">
        <v>31</v>
      </c>
      <c r="G2105">
        <v>1</v>
      </c>
      <c r="H2105">
        <v>2.8</v>
      </c>
      <c r="I2105" t="s">
        <v>39</v>
      </c>
      <c r="J2105" t="s">
        <v>1187</v>
      </c>
      <c r="K2105" s="12">
        <f>Store_Record[[#This Row],[Qty]]*Store_Record[[#This Row],[UnitPriceGBP]]</f>
        <v>2.8</v>
      </c>
      <c r="L2105" s="5" t="str">
        <f>TEXT(Store_Record[[#This Row],[Date]],"dddd")</f>
        <v>Saturday</v>
      </c>
      <c r="M2105" s="5" t="str">
        <f>TEXT(Store_Record[[#This Row],[Date]],"mmmm")</f>
        <v>May</v>
      </c>
      <c r="N2105" s="5">
        <f>YEAR(Store_Record[[#This Row],[Date]])</f>
        <v>2025</v>
      </c>
      <c r="O2105"/>
    </row>
    <row r="2106" spans="1:15" x14ac:dyDescent="0.35">
      <c r="A2106" t="s">
        <v>2997</v>
      </c>
      <c r="B2106" s="2">
        <v>45808</v>
      </c>
      <c r="C2106" t="s">
        <v>24</v>
      </c>
      <c r="D2106" t="s">
        <v>11</v>
      </c>
      <c r="E2106" t="s">
        <v>12</v>
      </c>
      <c r="F2106" t="s">
        <v>13</v>
      </c>
      <c r="G2106">
        <v>1</v>
      </c>
      <c r="H2106">
        <v>2.5</v>
      </c>
      <c r="I2106" t="s">
        <v>21</v>
      </c>
      <c r="J2106" t="s">
        <v>2001</v>
      </c>
      <c r="K2106" s="12">
        <f>Store_Record[[#This Row],[Qty]]*Store_Record[[#This Row],[UnitPriceGBP]]</f>
        <v>2.5</v>
      </c>
      <c r="L2106" s="5" t="str">
        <f>TEXT(Store_Record[[#This Row],[Date]],"dddd")</f>
        <v>Saturday</v>
      </c>
      <c r="M2106" s="5" t="str">
        <f>TEXT(Store_Record[[#This Row],[Date]],"mmmm")</f>
        <v>May</v>
      </c>
      <c r="N2106" s="5">
        <f>YEAR(Store_Record[[#This Row],[Date]])</f>
        <v>2025</v>
      </c>
      <c r="O2106"/>
    </row>
    <row r="2107" spans="1:15" x14ac:dyDescent="0.35">
      <c r="A2107" t="s">
        <v>3006</v>
      </c>
      <c r="B2107" s="2">
        <v>45809</v>
      </c>
      <c r="C2107" t="s">
        <v>20</v>
      </c>
      <c r="D2107" t="s">
        <v>38</v>
      </c>
      <c r="E2107" t="s">
        <v>26</v>
      </c>
      <c r="F2107" t="s">
        <v>13</v>
      </c>
      <c r="G2107">
        <v>5</v>
      </c>
      <c r="H2107">
        <v>3.5</v>
      </c>
      <c r="I2107" t="s">
        <v>21</v>
      </c>
      <c r="J2107" t="s">
        <v>679</v>
      </c>
      <c r="K2107" s="12">
        <f>Store_Record[[#This Row],[Qty]]*Store_Record[[#This Row],[UnitPriceGBP]]</f>
        <v>17.5</v>
      </c>
      <c r="L2107" s="5" t="str">
        <f>TEXT(Store_Record[[#This Row],[Date]],"dddd")</f>
        <v>Sunday</v>
      </c>
      <c r="M2107" s="5" t="str">
        <f>TEXT(Store_Record[[#This Row],[Date]],"mmmm")</f>
        <v>June</v>
      </c>
      <c r="N2107" s="5">
        <f>YEAR(Store_Record[[#This Row],[Date]])</f>
        <v>2025</v>
      </c>
      <c r="O2107"/>
    </row>
    <row r="2108" spans="1:15" x14ac:dyDescent="0.35">
      <c r="A2108" t="s">
        <v>3008</v>
      </c>
      <c r="B2108" s="2">
        <v>45809</v>
      </c>
      <c r="C2108" t="s">
        <v>36</v>
      </c>
      <c r="D2108" t="s">
        <v>11</v>
      </c>
      <c r="E2108" t="s">
        <v>42</v>
      </c>
      <c r="F2108" t="s">
        <v>13</v>
      </c>
      <c r="G2108">
        <v>4</v>
      </c>
      <c r="H2108">
        <v>3.8</v>
      </c>
      <c r="I2108" t="s">
        <v>21</v>
      </c>
      <c r="J2108" t="s">
        <v>2589</v>
      </c>
      <c r="K2108" s="12">
        <f>Store_Record[[#This Row],[Qty]]*Store_Record[[#This Row],[UnitPriceGBP]]</f>
        <v>15.2</v>
      </c>
      <c r="L2108" s="5" t="str">
        <f>TEXT(Store_Record[[#This Row],[Date]],"dddd")</f>
        <v>Sunday</v>
      </c>
      <c r="M2108" s="5" t="str">
        <f>TEXT(Store_Record[[#This Row],[Date]],"mmmm")</f>
        <v>June</v>
      </c>
      <c r="N2108" s="5">
        <f>YEAR(Store_Record[[#This Row],[Date]])</f>
        <v>2025</v>
      </c>
      <c r="O2108"/>
    </row>
    <row r="2109" spans="1:15" x14ac:dyDescent="0.35">
      <c r="A2109" t="s">
        <v>3012</v>
      </c>
      <c r="B2109" s="2">
        <v>45809</v>
      </c>
      <c r="C2109" t="s">
        <v>36</v>
      </c>
      <c r="D2109" t="s">
        <v>29</v>
      </c>
      <c r="E2109" t="s">
        <v>26</v>
      </c>
      <c r="F2109" t="s">
        <v>13</v>
      </c>
      <c r="G2109">
        <v>4</v>
      </c>
      <c r="H2109">
        <v>3.5</v>
      </c>
      <c r="I2109" t="s">
        <v>21</v>
      </c>
      <c r="J2109" t="s">
        <v>737</v>
      </c>
      <c r="K2109" s="12">
        <f>Store_Record[[#This Row],[Qty]]*Store_Record[[#This Row],[UnitPriceGBP]]</f>
        <v>14</v>
      </c>
      <c r="L2109" s="5" t="str">
        <f>TEXT(Store_Record[[#This Row],[Date]],"dddd")</f>
        <v>Sunday</v>
      </c>
      <c r="M2109" s="5" t="str">
        <f>TEXT(Store_Record[[#This Row],[Date]],"mmmm")</f>
        <v>June</v>
      </c>
      <c r="N2109" s="5">
        <f>YEAR(Store_Record[[#This Row],[Date]])</f>
        <v>2025</v>
      </c>
      <c r="O2109"/>
    </row>
    <row r="2110" spans="1:15" x14ac:dyDescent="0.35">
      <c r="A2110" t="s">
        <v>3005</v>
      </c>
      <c r="B2110" s="2">
        <v>45809</v>
      </c>
      <c r="C2110" t="s">
        <v>24</v>
      </c>
      <c r="D2110" t="s">
        <v>11</v>
      </c>
      <c r="E2110" t="s">
        <v>34</v>
      </c>
      <c r="F2110" t="s">
        <v>31</v>
      </c>
      <c r="G2110">
        <v>5</v>
      </c>
      <c r="H2110">
        <v>2.2000000000000002</v>
      </c>
      <c r="I2110" t="s">
        <v>21</v>
      </c>
      <c r="J2110" t="s">
        <v>1770</v>
      </c>
      <c r="K2110" s="12">
        <f>Store_Record[[#This Row],[Qty]]*Store_Record[[#This Row],[UnitPriceGBP]]</f>
        <v>11</v>
      </c>
      <c r="L2110" s="5" t="str">
        <f>TEXT(Store_Record[[#This Row],[Date]],"dddd")</f>
        <v>Sunday</v>
      </c>
      <c r="M2110" s="5" t="str">
        <f>TEXT(Store_Record[[#This Row],[Date]],"mmmm")</f>
        <v>June</v>
      </c>
      <c r="N2110" s="5">
        <f>YEAR(Store_Record[[#This Row],[Date]])</f>
        <v>2025</v>
      </c>
      <c r="O2110"/>
    </row>
    <row r="2111" spans="1:15" x14ac:dyDescent="0.35">
      <c r="A2111" t="s">
        <v>3009</v>
      </c>
      <c r="B2111" s="2">
        <v>45809</v>
      </c>
      <c r="C2111" t="s">
        <v>20</v>
      </c>
      <c r="D2111" t="s">
        <v>38</v>
      </c>
      <c r="E2111" t="s">
        <v>30</v>
      </c>
      <c r="F2111" t="s">
        <v>31</v>
      </c>
      <c r="G2111">
        <v>3</v>
      </c>
      <c r="H2111">
        <v>2.8</v>
      </c>
      <c r="I2111" t="s">
        <v>39</v>
      </c>
      <c r="J2111" t="s">
        <v>2262</v>
      </c>
      <c r="K2111" s="12">
        <f>Store_Record[[#This Row],[Qty]]*Store_Record[[#This Row],[UnitPriceGBP]]</f>
        <v>8.3999999999999986</v>
      </c>
      <c r="L2111" s="5" t="str">
        <f>TEXT(Store_Record[[#This Row],[Date]],"dddd")</f>
        <v>Sunday</v>
      </c>
      <c r="M2111" s="5" t="str">
        <f>TEXT(Store_Record[[#This Row],[Date]],"mmmm")</f>
        <v>June</v>
      </c>
      <c r="N2111" s="5">
        <f>YEAR(Store_Record[[#This Row],[Date]])</f>
        <v>2025</v>
      </c>
      <c r="O2111"/>
    </row>
    <row r="2112" spans="1:15" x14ac:dyDescent="0.35">
      <c r="A2112" t="s">
        <v>3001</v>
      </c>
      <c r="B2112" s="2">
        <v>45809</v>
      </c>
      <c r="C2112" t="s">
        <v>24</v>
      </c>
      <c r="D2112" t="s">
        <v>47</v>
      </c>
      <c r="E2112" t="s">
        <v>12</v>
      </c>
      <c r="F2112" t="s">
        <v>13</v>
      </c>
      <c r="G2112">
        <v>3</v>
      </c>
      <c r="H2112">
        <v>2.5</v>
      </c>
      <c r="I2112" t="s">
        <v>21</v>
      </c>
      <c r="J2112" t="s">
        <v>714</v>
      </c>
      <c r="K2112" s="12">
        <f>Store_Record[[#This Row],[Qty]]*Store_Record[[#This Row],[UnitPriceGBP]]</f>
        <v>7.5</v>
      </c>
      <c r="L2112" s="5" t="str">
        <f>TEXT(Store_Record[[#This Row],[Date]],"dddd")</f>
        <v>Sunday</v>
      </c>
      <c r="M2112" s="5" t="str">
        <f>TEXT(Store_Record[[#This Row],[Date]],"mmmm")</f>
        <v>June</v>
      </c>
      <c r="N2112" s="5">
        <f>YEAR(Store_Record[[#This Row],[Date]])</f>
        <v>2025</v>
      </c>
      <c r="O2112"/>
    </row>
    <row r="2113" spans="1:15" x14ac:dyDescent="0.35">
      <c r="A2113" t="s">
        <v>3011</v>
      </c>
      <c r="B2113" s="2">
        <v>45809</v>
      </c>
      <c r="C2113" t="s">
        <v>24</v>
      </c>
      <c r="D2113" t="s">
        <v>38</v>
      </c>
      <c r="E2113" t="s">
        <v>12</v>
      </c>
      <c r="F2113" t="s">
        <v>13</v>
      </c>
      <c r="G2113">
        <v>3</v>
      </c>
      <c r="H2113">
        <v>2.5</v>
      </c>
      <c r="I2113" t="s">
        <v>39</v>
      </c>
      <c r="J2113" t="s">
        <v>135</v>
      </c>
      <c r="K2113" s="12">
        <f>Store_Record[[#This Row],[Qty]]*Store_Record[[#This Row],[UnitPriceGBP]]</f>
        <v>7.5</v>
      </c>
      <c r="L2113" s="5" t="str">
        <f>TEXT(Store_Record[[#This Row],[Date]],"dddd")</f>
        <v>Sunday</v>
      </c>
      <c r="M2113" s="5" t="str">
        <f>TEXT(Store_Record[[#This Row],[Date]],"mmmm")</f>
        <v>June</v>
      </c>
      <c r="N2113" s="5">
        <f>YEAR(Store_Record[[#This Row],[Date]])</f>
        <v>2025</v>
      </c>
      <c r="O2113"/>
    </row>
    <row r="2114" spans="1:15" x14ac:dyDescent="0.35">
      <c r="A2114" t="s">
        <v>3002</v>
      </c>
      <c r="B2114" s="2">
        <v>45809</v>
      </c>
      <c r="C2114" t="s">
        <v>24</v>
      </c>
      <c r="D2114" t="s">
        <v>47</v>
      </c>
      <c r="E2114" t="s">
        <v>26</v>
      </c>
      <c r="F2114" t="s">
        <v>13</v>
      </c>
      <c r="G2114">
        <v>2</v>
      </c>
      <c r="H2114">
        <v>3.5</v>
      </c>
      <c r="I2114" t="s">
        <v>39</v>
      </c>
      <c r="J2114" t="s">
        <v>1065</v>
      </c>
      <c r="K2114" s="12">
        <f>Store_Record[[#This Row],[Qty]]*Store_Record[[#This Row],[UnitPriceGBP]]</f>
        <v>7</v>
      </c>
      <c r="L2114" s="5" t="str">
        <f>TEXT(Store_Record[[#This Row],[Date]],"dddd")</f>
        <v>Sunday</v>
      </c>
      <c r="M2114" s="5" t="str">
        <f>TEXT(Store_Record[[#This Row],[Date]],"mmmm")</f>
        <v>June</v>
      </c>
      <c r="N2114" s="5">
        <f>YEAR(Store_Record[[#This Row],[Date]])</f>
        <v>2025</v>
      </c>
      <c r="O2114"/>
    </row>
    <row r="2115" spans="1:15" x14ac:dyDescent="0.35">
      <c r="A2115" t="s">
        <v>3000</v>
      </c>
      <c r="B2115" s="2">
        <v>45809</v>
      </c>
      <c r="C2115" t="s">
        <v>24</v>
      </c>
      <c r="D2115" t="s">
        <v>11</v>
      </c>
      <c r="E2115" t="s">
        <v>34</v>
      </c>
      <c r="F2115" t="s">
        <v>31</v>
      </c>
      <c r="G2115">
        <v>3</v>
      </c>
      <c r="H2115">
        <v>2.2000000000000002</v>
      </c>
      <c r="I2115" t="s">
        <v>14</v>
      </c>
      <c r="J2115" t="s">
        <v>1768</v>
      </c>
      <c r="K2115" s="12">
        <f>Store_Record[[#This Row],[Qty]]*Store_Record[[#This Row],[UnitPriceGBP]]</f>
        <v>6.6000000000000005</v>
      </c>
      <c r="L2115" s="5" t="str">
        <f>TEXT(Store_Record[[#This Row],[Date]],"dddd")</f>
        <v>Sunday</v>
      </c>
      <c r="M2115" s="5" t="str">
        <f>TEXT(Store_Record[[#This Row],[Date]],"mmmm")</f>
        <v>June</v>
      </c>
      <c r="N2115" s="5">
        <f>YEAR(Store_Record[[#This Row],[Date]])</f>
        <v>2025</v>
      </c>
      <c r="O2115"/>
    </row>
    <row r="2116" spans="1:15" x14ac:dyDescent="0.35">
      <c r="A2116" t="s">
        <v>3003</v>
      </c>
      <c r="B2116" s="2">
        <v>45809</v>
      </c>
      <c r="C2116" t="s">
        <v>10</v>
      </c>
      <c r="D2116" t="s">
        <v>11</v>
      </c>
      <c r="E2116" t="s">
        <v>34</v>
      </c>
      <c r="F2116" t="s">
        <v>31</v>
      </c>
      <c r="G2116">
        <v>3</v>
      </c>
      <c r="H2116">
        <v>2.2000000000000002</v>
      </c>
      <c r="I2116" t="s">
        <v>14</v>
      </c>
      <c r="J2116" t="s">
        <v>815</v>
      </c>
      <c r="K2116" s="12">
        <f>Store_Record[[#This Row],[Qty]]*Store_Record[[#This Row],[UnitPriceGBP]]</f>
        <v>6.6000000000000005</v>
      </c>
      <c r="L2116" s="5" t="str">
        <f>TEXT(Store_Record[[#This Row],[Date]],"dddd")</f>
        <v>Sunday</v>
      </c>
      <c r="M2116" s="5" t="str">
        <f>TEXT(Store_Record[[#This Row],[Date]],"mmmm")</f>
        <v>June</v>
      </c>
      <c r="N2116" s="5">
        <f>YEAR(Store_Record[[#This Row],[Date]])</f>
        <v>2025</v>
      </c>
      <c r="O2116"/>
    </row>
    <row r="2117" spans="1:15" x14ac:dyDescent="0.35">
      <c r="A2117" t="s">
        <v>2999</v>
      </c>
      <c r="B2117" s="2">
        <v>45809</v>
      </c>
      <c r="C2117" t="s">
        <v>24</v>
      </c>
      <c r="D2117" t="s">
        <v>25</v>
      </c>
      <c r="E2117" t="s">
        <v>34</v>
      </c>
      <c r="F2117" t="s">
        <v>31</v>
      </c>
      <c r="G2117">
        <v>2</v>
      </c>
      <c r="H2117">
        <v>2.2000000000000002</v>
      </c>
      <c r="I2117" t="s">
        <v>14</v>
      </c>
      <c r="J2117" t="s">
        <v>72</v>
      </c>
      <c r="K2117" s="12">
        <f>Store_Record[[#This Row],[Qty]]*Store_Record[[#This Row],[UnitPriceGBP]]</f>
        <v>4.4000000000000004</v>
      </c>
      <c r="L2117" s="5" t="str">
        <f>TEXT(Store_Record[[#This Row],[Date]],"dddd")</f>
        <v>Sunday</v>
      </c>
      <c r="M2117" s="5" t="str">
        <f>TEXT(Store_Record[[#This Row],[Date]],"mmmm")</f>
        <v>June</v>
      </c>
      <c r="N2117" s="5">
        <f>YEAR(Store_Record[[#This Row],[Date]])</f>
        <v>2025</v>
      </c>
      <c r="O2117"/>
    </row>
    <row r="2118" spans="1:15" x14ac:dyDescent="0.35">
      <c r="A2118" t="s">
        <v>3013</v>
      </c>
      <c r="B2118" s="2">
        <v>45809</v>
      </c>
      <c r="C2118" t="s">
        <v>24</v>
      </c>
      <c r="D2118" t="s">
        <v>47</v>
      </c>
      <c r="E2118" t="s">
        <v>34</v>
      </c>
      <c r="F2118" t="s">
        <v>31</v>
      </c>
      <c r="G2118">
        <v>2</v>
      </c>
      <c r="H2118">
        <v>2.2000000000000002</v>
      </c>
      <c r="I2118" t="s">
        <v>21</v>
      </c>
      <c r="J2118" t="s">
        <v>351</v>
      </c>
      <c r="K2118" s="12">
        <f>Store_Record[[#This Row],[Qty]]*Store_Record[[#This Row],[UnitPriceGBP]]</f>
        <v>4.4000000000000004</v>
      </c>
      <c r="L2118" s="5" t="str">
        <f>TEXT(Store_Record[[#This Row],[Date]],"dddd")</f>
        <v>Sunday</v>
      </c>
      <c r="M2118" s="5" t="str">
        <f>TEXT(Store_Record[[#This Row],[Date]],"mmmm")</f>
        <v>June</v>
      </c>
      <c r="N2118" s="5">
        <f>YEAR(Store_Record[[#This Row],[Date]])</f>
        <v>2025</v>
      </c>
      <c r="O2118"/>
    </row>
    <row r="2119" spans="1:15" x14ac:dyDescent="0.35">
      <c r="A2119" t="s">
        <v>2998</v>
      </c>
      <c r="B2119" s="2">
        <v>45809</v>
      </c>
      <c r="C2119" t="s">
        <v>10</v>
      </c>
      <c r="D2119" t="s">
        <v>25</v>
      </c>
      <c r="E2119" t="s">
        <v>42</v>
      </c>
      <c r="F2119" t="s">
        <v>13</v>
      </c>
      <c r="G2119">
        <v>1</v>
      </c>
      <c r="H2119">
        <v>3.8</v>
      </c>
      <c r="I2119" t="s">
        <v>21</v>
      </c>
      <c r="J2119" t="s">
        <v>2986</v>
      </c>
      <c r="K2119" s="12">
        <f>Store_Record[[#This Row],[Qty]]*Store_Record[[#This Row],[UnitPriceGBP]]</f>
        <v>3.8</v>
      </c>
      <c r="L2119" s="5" t="str">
        <f>TEXT(Store_Record[[#This Row],[Date]],"dddd")</f>
        <v>Sunday</v>
      </c>
      <c r="M2119" s="5" t="str">
        <f>TEXT(Store_Record[[#This Row],[Date]],"mmmm")</f>
        <v>June</v>
      </c>
      <c r="N2119" s="5">
        <f>YEAR(Store_Record[[#This Row],[Date]])</f>
        <v>2025</v>
      </c>
      <c r="O2119"/>
    </row>
    <row r="2120" spans="1:15" x14ac:dyDescent="0.35">
      <c r="A2120" t="s">
        <v>3007</v>
      </c>
      <c r="B2120" s="2">
        <v>45809</v>
      </c>
      <c r="C2120" t="s">
        <v>36</v>
      </c>
      <c r="D2120" t="s">
        <v>29</v>
      </c>
      <c r="E2120" t="s">
        <v>12</v>
      </c>
      <c r="F2120" t="s">
        <v>13</v>
      </c>
      <c r="G2120">
        <v>1</v>
      </c>
      <c r="H2120">
        <v>2.5</v>
      </c>
      <c r="I2120" t="s">
        <v>39</v>
      </c>
      <c r="J2120" t="s">
        <v>109</v>
      </c>
      <c r="K2120" s="12">
        <f>Store_Record[[#This Row],[Qty]]*Store_Record[[#This Row],[UnitPriceGBP]]</f>
        <v>2.5</v>
      </c>
      <c r="L2120" s="5" t="str">
        <f>TEXT(Store_Record[[#This Row],[Date]],"dddd")</f>
        <v>Sunday</v>
      </c>
      <c r="M2120" s="5" t="str">
        <f>TEXT(Store_Record[[#This Row],[Date]],"mmmm")</f>
        <v>June</v>
      </c>
      <c r="N2120" s="5">
        <f>YEAR(Store_Record[[#This Row],[Date]])</f>
        <v>2025</v>
      </c>
      <c r="O2120"/>
    </row>
    <row r="2121" spans="1:15" x14ac:dyDescent="0.35">
      <c r="A2121" t="s">
        <v>3004</v>
      </c>
      <c r="B2121" s="2">
        <v>45809</v>
      </c>
      <c r="C2121" t="s">
        <v>10</v>
      </c>
      <c r="D2121" t="s">
        <v>38</v>
      </c>
      <c r="E2121" t="s">
        <v>34</v>
      </c>
      <c r="F2121" t="s">
        <v>31</v>
      </c>
      <c r="G2121">
        <v>1</v>
      </c>
      <c r="H2121">
        <v>2.2000000000000002</v>
      </c>
      <c r="I2121" t="s">
        <v>21</v>
      </c>
      <c r="J2121" t="s">
        <v>404</v>
      </c>
      <c r="K2121" s="12">
        <f>Store_Record[[#This Row],[Qty]]*Store_Record[[#This Row],[UnitPriceGBP]]</f>
        <v>2.2000000000000002</v>
      </c>
      <c r="L2121" s="5" t="str">
        <f>TEXT(Store_Record[[#This Row],[Date]],"dddd")</f>
        <v>Sunday</v>
      </c>
      <c r="M2121" s="5" t="str">
        <f>TEXT(Store_Record[[#This Row],[Date]],"mmmm")</f>
        <v>June</v>
      </c>
      <c r="N2121" s="5">
        <f>YEAR(Store_Record[[#This Row],[Date]])</f>
        <v>2025</v>
      </c>
      <c r="O2121"/>
    </row>
    <row r="2122" spans="1:15" x14ac:dyDescent="0.35">
      <c r="A2122" t="s">
        <v>3010</v>
      </c>
      <c r="B2122" s="2">
        <v>45809</v>
      </c>
      <c r="C2122" t="s">
        <v>10</v>
      </c>
      <c r="D2122" t="s">
        <v>47</v>
      </c>
      <c r="E2122" t="s">
        <v>34</v>
      </c>
      <c r="F2122" t="s">
        <v>31</v>
      </c>
      <c r="G2122">
        <v>1</v>
      </c>
      <c r="H2122">
        <v>2.2000000000000002</v>
      </c>
      <c r="I2122" t="s">
        <v>21</v>
      </c>
      <c r="J2122" t="s">
        <v>691</v>
      </c>
      <c r="K2122" s="12">
        <f>Store_Record[[#This Row],[Qty]]*Store_Record[[#This Row],[UnitPriceGBP]]</f>
        <v>2.2000000000000002</v>
      </c>
      <c r="L2122" s="5" t="str">
        <f>TEXT(Store_Record[[#This Row],[Date]],"dddd")</f>
        <v>Sunday</v>
      </c>
      <c r="M2122" s="5" t="str">
        <f>TEXT(Store_Record[[#This Row],[Date]],"mmmm")</f>
        <v>June</v>
      </c>
      <c r="N2122" s="5">
        <f>YEAR(Store_Record[[#This Row],[Date]])</f>
        <v>2025</v>
      </c>
      <c r="O2122"/>
    </row>
    <row r="2123" spans="1:15" x14ac:dyDescent="0.35">
      <c r="A2123" t="s">
        <v>3014</v>
      </c>
      <c r="B2123" s="2">
        <v>45810</v>
      </c>
      <c r="C2123" t="s">
        <v>24</v>
      </c>
      <c r="D2123" t="s">
        <v>47</v>
      </c>
      <c r="E2123" t="s">
        <v>42</v>
      </c>
      <c r="F2123" t="s">
        <v>13</v>
      </c>
      <c r="G2123">
        <v>4</v>
      </c>
      <c r="H2123">
        <v>3.8</v>
      </c>
      <c r="I2123" t="s">
        <v>21</v>
      </c>
      <c r="J2123" t="s">
        <v>415</v>
      </c>
      <c r="K2123" s="12">
        <f>Store_Record[[#This Row],[Qty]]*Store_Record[[#This Row],[UnitPriceGBP]]</f>
        <v>15.2</v>
      </c>
      <c r="L2123" s="5" t="str">
        <f>TEXT(Store_Record[[#This Row],[Date]],"dddd")</f>
        <v>Monday</v>
      </c>
      <c r="M2123" s="5" t="str">
        <f>TEXT(Store_Record[[#This Row],[Date]],"mmmm")</f>
        <v>June</v>
      </c>
      <c r="N2123" s="5">
        <f>YEAR(Store_Record[[#This Row],[Date]])</f>
        <v>2025</v>
      </c>
      <c r="O2123"/>
    </row>
    <row r="2124" spans="1:15" x14ac:dyDescent="0.35">
      <c r="A2124" t="s">
        <v>3022</v>
      </c>
      <c r="B2124" s="2">
        <v>45810</v>
      </c>
      <c r="C2124" t="s">
        <v>10</v>
      </c>
      <c r="D2124" t="s">
        <v>25</v>
      </c>
      <c r="E2124" t="s">
        <v>30</v>
      </c>
      <c r="F2124" t="s">
        <v>31</v>
      </c>
      <c r="G2124">
        <v>5</v>
      </c>
      <c r="H2124">
        <v>2.8</v>
      </c>
      <c r="I2124" t="s">
        <v>14</v>
      </c>
      <c r="J2124" t="s">
        <v>1228</v>
      </c>
      <c r="K2124" s="12">
        <f>Store_Record[[#This Row],[Qty]]*Store_Record[[#This Row],[UnitPriceGBP]]</f>
        <v>14</v>
      </c>
      <c r="L2124" s="5" t="str">
        <f>TEXT(Store_Record[[#This Row],[Date]],"dddd")</f>
        <v>Monday</v>
      </c>
      <c r="M2124" s="5" t="str">
        <f>TEXT(Store_Record[[#This Row],[Date]],"mmmm")</f>
        <v>June</v>
      </c>
      <c r="N2124" s="5">
        <f>YEAR(Store_Record[[#This Row],[Date]])</f>
        <v>2025</v>
      </c>
      <c r="O2124"/>
    </row>
    <row r="2125" spans="1:15" x14ac:dyDescent="0.35">
      <c r="A2125" t="s">
        <v>3019</v>
      </c>
      <c r="B2125" s="2">
        <v>45810</v>
      </c>
      <c r="C2125" t="s">
        <v>24</v>
      </c>
      <c r="D2125" t="s">
        <v>47</v>
      </c>
      <c r="E2125" t="s">
        <v>42</v>
      </c>
      <c r="F2125" t="s">
        <v>13</v>
      </c>
      <c r="G2125">
        <v>3</v>
      </c>
      <c r="H2125">
        <v>3.8</v>
      </c>
      <c r="I2125" t="s">
        <v>14</v>
      </c>
      <c r="J2125" t="s">
        <v>1034</v>
      </c>
      <c r="K2125" s="12">
        <f>Store_Record[[#This Row],[Qty]]*Store_Record[[#This Row],[UnitPriceGBP]]</f>
        <v>11.399999999999999</v>
      </c>
      <c r="L2125" s="5" t="str">
        <f>TEXT(Store_Record[[#This Row],[Date]],"dddd")</f>
        <v>Monday</v>
      </c>
      <c r="M2125" s="5" t="str">
        <f>TEXT(Store_Record[[#This Row],[Date]],"mmmm")</f>
        <v>June</v>
      </c>
      <c r="N2125" s="5">
        <f>YEAR(Store_Record[[#This Row],[Date]])</f>
        <v>2025</v>
      </c>
      <c r="O2125"/>
    </row>
    <row r="2126" spans="1:15" x14ac:dyDescent="0.35">
      <c r="A2126" t="s">
        <v>3021</v>
      </c>
      <c r="B2126" s="2">
        <v>45810</v>
      </c>
      <c r="C2126" t="s">
        <v>24</v>
      </c>
      <c r="D2126" t="s">
        <v>38</v>
      </c>
      <c r="E2126" t="s">
        <v>42</v>
      </c>
      <c r="F2126" t="s">
        <v>13</v>
      </c>
      <c r="G2126">
        <v>3</v>
      </c>
      <c r="H2126">
        <v>3.8</v>
      </c>
      <c r="I2126" t="s">
        <v>39</v>
      </c>
      <c r="J2126" t="s">
        <v>1334</v>
      </c>
      <c r="K2126" s="12">
        <f>Store_Record[[#This Row],[Qty]]*Store_Record[[#This Row],[UnitPriceGBP]]</f>
        <v>11.399999999999999</v>
      </c>
      <c r="L2126" s="5" t="str">
        <f>TEXT(Store_Record[[#This Row],[Date]],"dddd")</f>
        <v>Monday</v>
      </c>
      <c r="M2126" s="5" t="str">
        <f>TEXT(Store_Record[[#This Row],[Date]],"mmmm")</f>
        <v>June</v>
      </c>
      <c r="N2126" s="5">
        <f>YEAR(Store_Record[[#This Row],[Date]])</f>
        <v>2025</v>
      </c>
      <c r="O2126"/>
    </row>
    <row r="2127" spans="1:15" x14ac:dyDescent="0.35">
      <c r="A2127" t="s">
        <v>3023</v>
      </c>
      <c r="B2127" s="2">
        <v>45810</v>
      </c>
      <c r="C2127" t="s">
        <v>20</v>
      </c>
      <c r="D2127" t="s">
        <v>47</v>
      </c>
      <c r="E2127" t="s">
        <v>42</v>
      </c>
      <c r="F2127" t="s">
        <v>13</v>
      </c>
      <c r="G2127">
        <v>3</v>
      </c>
      <c r="H2127">
        <v>3.8</v>
      </c>
      <c r="I2127" t="s">
        <v>39</v>
      </c>
      <c r="J2127" t="s">
        <v>693</v>
      </c>
      <c r="K2127" s="12">
        <f>Store_Record[[#This Row],[Qty]]*Store_Record[[#This Row],[UnitPriceGBP]]</f>
        <v>11.399999999999999</v>
      </c>
      <c r="L2127" s="5" t="str">
        <f>TEXT(Store_Record[[#This Row],[Date]],"dddd")</f>
        <v>Monday</v>
      </c>
      <c r="M2127" s="5" t="str">
        <f>TEXT(Store_Record[[#This Row],[Date]],"mmmm")</f>
        <v>June</v>
      </c>
      <c r="N2127" s="5">
        <f>YEAR(Store_Record[[#This Row],[Date]])</f>
        <v>2025</v>
      </c>
      <c r="O2127"/>
    </row>
    <row r="2128" spans="1:15" x14ac:dyDescent="0.35">
      <c r="A2128" t="s">
        <v>3017</v>
      </c>
      <c r="B2128" s="2">
        <v>45810</v>
      </c>
      <c r="C2128" t="s">
        <v>24</v>
      </c>
      <c r="D2128" t="s">
        <v>11</v>
      </c>
      <c r="E2128" t="s">
        <v>34</v>
      </c>
      <c r="F2128" t="s">
        <v>31</v>
      </c>
      <c r="G2128">
        <v>5</v>
      </c>
      <c r="H2128">
        <v>2.2000000000000002</v>
      </c>
      <c r="I2128" t="s">
        <v>21</v>
      </c>
      <c r="J2128" t="s">
        <v>3018</v>
      </c>
      <c r="K2128" s="12">
        <f>Store_Record[[#This Row],[Qty]]*Store_Record[[#This Row],[UnitPriceGBP]]</f>
        <v>11</v>
      </c>
      <c r="L2128" s="5" t="str">
        <f>TEXT(Store_Record[[#This Row],[Date]],"dddd")</f>
        <v>Monday</v>
      </c>
      <c r="M2128" s="5" t="str">
        <f>TEXT(Store_Record[[#This Row],[Date]],"mmmm")</f>
        <v>June</v>
      </c>
      <c r="N2128" s="5">
        <f>YEAR(Store_Record[[#This Row],[Date]])</f>
        <v>2025</v>
      </c>
      <c r="O2128"/>
    </row>
    <row r="2129" spans="1:15" x14ac:dyDescent="0.35">
      <c r="A2129" t="s">
        <v>3024</v>
      </c>
      <c r="B2129" s="2">
        <v>45810</v>
      </c>
      <c r="C2129" t="s">
        <v>10</v>
      </c>
      <c r="D2129" t="s">
        <v>47</v>
      </c>
      <c r="E2129" t="s">
        <v>26</v>
      </c>
      <c r="F2129" t="s">
        <v>13</v>
      </c>
      <c r="G2129">
        <v>3</v>
      </c>
      <c r="H2129">
        <v>3.5</v>
      </c>
      <c r="I2129" t="s">
        <v>21</v>
      </c>
      <c r="J2129" t="s">
        <v>815</v>
      </c>
      <c r="K2129" s="12">
        <f>Store_Record[[#This Row],[Qty]]*Store_Record[[#This Row],[UnitPriceGBP]]</f>
        <v>10.5</v>
      </c>
      <c r="L2129" s="5" t="str">
        <f>TEXT(Store_Record[[#This Row],[Date]],"dddd")</f>
        <v>Monday</v>
      </c>
      <c r="M2129" s="5" t="str">
        <f>TEXT(Store_Record[[#This Row],[Date]],"mmmm")</f>
        <v>June</v>
      </c>
      <c r="N2129" s="5">
        <f>YEAR(Store_Record[[#This Row],[Date]])</f>
        <v>2025</v>
      </c>
      <c r="O2129"/>
    </row>
    <row r="2130" spans="1:15" x14ac:dyDescent="0.35">
      <c r="A2130" t="s">
        <v>3016</v>
      </c>
      <c r="B2130" s="2">
        <v>45810</v>
      </c>
      <c r="C2130" t="s">
        <v>36</v>
      </c>
      <c r="D2130" t="s">
        <v>38</v>
      </c>
      <c r="E2130" t="s">
        <v>30</v>
      </c>
      <c r="F2130" t="s">
        <v>31</v>
      </c>
      <c r="G2130">
        <v>3</v>
      </c>
      <c r="H2130">
        <v>2.8</v>
      </c>
      <c r="I2130" t="s">
        <v>14</v>
      </c>
      <c r="J2130" t="s">
        <v>534</v>
      </c>
      <c r="K2130" s="12">
        <f>Store_Record[[#This Row],[Qty]]*Store_Record[[#This Row],[UnitPriceGBP]]</f>
        <v>8.3999999999999986</v>
      </c>
      <c r="L2130" s="5" t="str">
        <f>TEXT(Store_Record[[#This Row],[Date]],"dddd")</f>
        <v>Monday</v>
      </c>
      <c r="M2130" s="5" t="str">
        <f>TEXT(Store_Record[[#This Row],[Date]],"mmmm")</f>
        <v>June</v>
      </c>
      <c r="N2130" s="5">
        <f>YEAR(Store_Record[[#This Row],[Date]])</f>
        <v>2025</v>
      </c>
      <c r="O2130"/>
    </row>
    <row r="2131" spans="1:15" x14ac:dyDescent="0.35">
      <c r="A2131" t="s">
        <v>3020</v>
      </c>
      <c r="B2131" s="2">
        <v>45810</v>
      </c>
      <c r="C2131" t="s">
        <v>20</v>
      </c>
      <c r="D2131" t="s">
        <v>38</v>
      </c>
      <c r="E2131" t="s">
        <v>30</v>
      </c>
      <c r="F2131" t="s">
        <v>31</v>
      </c>
      <c r="G2131">
        <v>3</v>
      </c>
      <c r="H2131">
        <v>2.8</v>
      </c>
      <c r="I2131" t="s">
        <v>14</v>
      </c>
      <c r="J2131" t="s">
        <v>1310</v>
      </c>
      <c r="K2131" s="12">
        <f>Store_Record[[#This Row],[Qty]]*Store_Record[[#This Row],[UnitPriceGBP]]</f>
        <v>8.3999999999999986</v>
      </c>
      <c r="L2131" s="5" t="str">
        <f>TEXT(Store_Record[[#This Row],[Date]],"dddd")</f>
        <v>Monday</v>
      </c>
      <c r="M2131" s="5" t="str">
        <f>TEXT(Store_Record[[#This Row],[Date]],"mmmm")</f>
        <v>June</v>
      </c>
      <c r="N2131" s="5">
        <f>YEAR(Store_Record[[#This Row],[Date]])</f>
        <v>2025</v>
      </c>
      <c r="O2131"/>
    </row>
    <row r="2132" spans="1:15" x14ac:dyDescent="0.35">
      <c r="A2132" t="s">
        <v>3015</v>
      </c>
      <c r="B2132" s="2">
        <v>45810</v>
      </c>
      <c r="C2132" t="s">
        <v>24</v>
      </c>
      <c r="D2132" t="s">
        <v>25</v>
      </c>
      <c r="E2132" t="s">
        <v>42</v>
      </c>
      <c r="F2132" t="s">
        <v>13</v>
      </c>
      <c r="G2132">
        <v>2</v>
      </c>
      <c r="H2132">
        <v>3.8</v>
      </c>
      <c r="I2132" t="s">
        <v>39</v>
      </c>
      <c r="J2132" t="s">
        <v>2858</v>
      </c>
      <c r="K2132" s="12">
        <f>Store_Record[[#This Row],[Qty]]*Store_Record[[#This Row],[UnitPriceGBP]]</f>
        <v>7.6</v>
      </c>
      <c r="L2132" s="5" t="str">
        <f>TEXT(Store_Record[[#This Row],[Date]],"dddd")</f>
        <v>Monday</v>
      </c>
      <c r="M2132" s="5" t="str">
        <f>TEXT(Store_Record[[#This Row],[Date]],"mmmm")</f>
        <v>June</v>
      </c>
      <c r="N2132" s="5">
        <f>YEAR(Store_Record[[#This Row],[Date]])</f>
        <v>2025</v>
      </c>
      <c r="O2132"/>
    </row>
    <row r="2133" spans="1:15" x14ac:dyDescent="0.35">
      <c r="A2133" t="s">
        <v>3029</v>
      </c>
      <c r="B2133" s="2">
        <v>45811</v>
      </c>
      <c r="C2133" t="s">
        <v>24</v>
      </c>
      <c r="D2133" t="s">
        <v>11</v>
      </c>
      <c r="E2133" t="s">
        <v>26</v>
      </c>
      <c r="F2133" t="s">
        <v>13</v>
      </c>
      <c r="G2133">
        <v>5</v>
      </c>
      <c r="H2133">
        <v>3.5</v>
      </c>
      <c r="I2133" t="s">
        <v>21</v>
      </c>
      <c r="J2133" t="s">
        <v>131</v>
      </c>
      <c r="K2133" s="12">
        <f>Store_Record[[#This Row],[Qty]]*Store_Record[[#This Row],[UnitPriceGBP]]</f>
        <v>17.5</v>
      </c>
      <c r="L2133" s="5" t="str">
        <f>TEXT(Store_Record[[#This Row],[Date]],"dddd")</f>
        <v>Tuesday</v>
      </c>
      <c r="M2133" s="5" t="str">
        <f>TEXT(Store_Record[[#This Row],[Date]],"mmmm")</f>
        <v>June</v>
      </c>
      <c r="N2133" s="5">
        <f>YEAR(Store_Record[[#This Row],[Date]])</f>
        <v>2025</v>
      </c>
      <c r="O2133"/>
    </row>
    <row r="2134" spans="1:15" x14ac:dyDescent="0.35">
      <c r="A2134" t="s">
        <v>3031</v>
      </c>
      <c r="B2134" s="2">
        <v>45811</v>
      </c>
      <c r="C2134" t="s">
        <v>24</v>
      </c>
      <c r="D2134" t="s">
        <v>25</v>
      </c>
      <c r="E2134" t="s">
        <v>26</v>
      </c>
      <c r="F2134" t="s">
        <v>13</v>
      </c>
      <c r="G2134">
        <v>5</v>
      </c>
      <c r="H2134">
        <v>3.5</v>
      </c>
      <c r="I2134" t="s">
        <v>39</v>
      </c>
      <c r="J2134" t="s">
        <v>667</v>
      </c>
      <c r="K2134" s="12">
        <f>Store_Record[[#This Row],[Qty]]*Store_Record[[#This Row],[UnitPriceGBP]]</f>
        <v>17.5</v>
      </c>
      <c r="L2134" s="5" t="str">
        <f>TEXT(Store_Record[[#This Row],[Date]],"dddd")</f>
        <v>Tuesday</v>
      </c>
      <c r="M2134" s="5" t="str">
        <f>TEXT(Store_Record[[#This Row],[Date]],"mmmm")</f>
        <v>June</v>
      </c>
      <c r="N2134" s="5">
        <f>YEAR(Store_Record[[#This Row],[Date]])</f>
        <v>2025</v>
      </c>
      <c r="O2134"/>
    </row>
    <row r="2135" spans="1:15" x14ac:dyDescent="0.35">
      <c r="A2135" t="s">
        <v>3025</v>
      </c>
      <c r="B2135" s="2">
        <v>45811</v>
      </c>
      <c r="C2135" t="s">
        <v>20</v>
      </c>
      <c r="D2135" t="s">
        <v>47</v>
      </c>
      <c r="E2135" t="s">
        <v>42</v>
      </c>
      <c r="F2135" t="s">
        <v>13</v>
      </c>
      <c r="G2135">
        <v>4</v>
      </c>
      <c r="H2135">
        <v>3.8</v>
      </c>
      <c r="I2135" t="s">
        <v>14</v>
      </c>
      <c r="J2135" t="s">
        <v>1271</v>
      </c>
      <c r="K2135" s="12">
        <f>Store_Record[[#This Row],[Qty]]*Store_Record[[#This Row],[UnitPriceGBP]]</f>
        <v>15.2</v>
      </c>
      <c r="L2135" s="5" t="str">
        <f>TEXT(Store_Record[[#This Row],[Date]],"dddd")</f>
        <v>Tuesday</v>
      </c>
      <c r="M2135" s="5" t="str">
        <f>TEXT(Store_Record[[#This Row],[Date]],"mmmm")</f>
        <v>June</v>
      </c>
      <c r="N2135" s="5">
        <f>YEAR(Store_Record[[#This Row],[Date]])</f>
        <v>2025</v>
      </c>
      <c r="O2135"/>
    </row>
    <row r="2136" spans="1:15" x14ac:dyDescent="0.35">
      <c r="A2136" t="s">
        <v>3037</v>
      </c>
      <c r="B2136" s="2">
        <v>45811</v>
      </c>
      <c r="C2136" t="s">
        <v>24</v>
      </c>
      <c r="D2136" t="s">
        <v>29</v>
      </c>
      <c r="E2136" t="s">
        <v>30</v>
      </c>
      <c r="F2136" t="s">
        <v>31</v>
      </c>
      <c r="G2136">
        <v>4</v>
      </c>
      <c r="H2136">
        <v>2.8</v>
      </c>
      <c r="I2136" t="s">
        <v>14</v>
      </c>
      <c r="J2136" t="s">
        <v>428</v>
      </c>
      <c r="K2136" s="12">
        <f>Store_Record[[#This Row],[Qty]]*Store_Record[[#This Row],[UnitPriceGBP]]</f>
        <v>11.2</v>
      </c>
      <c r="L2136" s="5" t="str">
        <f>TEXT(Store_Record[[#This Row],[Date]],"dddd")</f>
        <v>Tuesday</v>
      </c>
      <c r="M2136" s="5" t="str">
        <f>TEXT(Store_Record[[#This Row],[Date]],"mmmm")</f>
        <v>June</v>
      </c>
      <c r="N2136" s="5">
        <f>YEAR(Store_Record[[#This Row],[Date]])</f>
        <v>2025</v>
      </c>
      <c r="O2136"/>
    </row>
    <row r="2137" spans="1:15" x14ac:dyDescent="0.35">
      <c r="A2137" t="s">
        <v>3036</v>
      </c>
      <c r="B2137" s="2">
        <v>45811</v>
      </c>
      <c r="C2137" t="s">
        <v>20</v>
      </c>
      <c r="D2137" t="s">
        <v>38</v>
      </c>
      <c r="E2137" t="s">
        <v>34</v>
      </c>
      <c r="F2137" t="s">
        <v>31</v>
      </c>
      <c r="G2137">
        <v>5</v>
      </c>
      <c r="H2137">
        <v>2.2000000000000002</v>
      </c>
      <c r="I2137" t="s">
        <v>39</v>
      </c>
      <c r="J2137" t="s">
        <v>630</v>
      </c>
      <c r="K2137" s="12">
        <f>Store_Record[[#This Row],[Qty]]*Store_Record[[#This Row],[UnitPriceGBP]]</f>
        <v>11</v>
      </c>
      <c r="L2137" s="5" t="str">
        <f>TEXT(Store_Record[[#This Row],[Date]],"dddd")</f>
        <v>Tuesday</v>
      </c>
      <c r="M2137" s="5" t="str">
        <f>TEXT(Store_Record[[#This Row],[Date]],"mmmm")</f>
        <v>June</v>
      </c>
      <c r="N2137" s="5">
        <f>YEAR(Store_Record[[#This Row],[Date]])</f>
        <v>2025</v>
      </c>
      <c r="O2137"/>
    </row>
    <row r="2138" spans="1:15" x14ac:dyDescent="0.35">
      <c r="A2138" t="s">
        <v>3030</v>
      </c>
      <c r="B2138" s="2">
        <v>45811</v>
      </c>
      <c r="C2138" t="s">
        <v>36</v>
      </c>
      <c r="D2138" t="s">
        <v>38</v>
      </c>
      <c r="E2138" t="s">
        <v>34</v>
      </c>
      <c r="F2138" t="s">
        <v>31</v>
      </c>
      <c r="G2138">
        <v>4</v>
      </c>
      <c r="H2138">
        <v>2.2000000000000002</v>
      </c>
      <c r="I2138" t="s">
        <v>21</v>
      </c>
      <c r="J2138" t="s">
        <v>1389</v>
      </c>
      <c r="K2138" s="12">
        <f>Store_Record[[#This Row],[Qty]]*Store_Record[[#This Row],[UnitPriceGBP]]</f>
        <v>8.8000000000000007</v>
      </c>
      <c r="L2138" s="5" t="str">
        <f>TEXT(Store_Record[[#This Row],[Date]],"dddd")</f>
        <v>Tuesday</v>
      </c>
      <c r="M2138" s="5" t="str">
        <f>TEXT(Store_Record[[#This Row],[Date]],"mmmm")</f>
        <v>June</v>
      </c>
      <c r="N2138" s="5">
        <f>YEAR(Store_Record[[#This Row],[Date]])</f>
        <v>2025</v>
      </c>
      <c r="O2138"/>
    </row>
    <row r="2139" spans="1:15" x14ac:dyDescent="0.35">
      <c r="A2139" t="s">
        <v>3038</v>
      </c>
      <c r="B2139" s="2">
        <v>45811</v>
      </c>
      <c r="C2139" t="s">
        <v>24</v>
      </c>
      <c r="D2139" t="s">
        <v>47</v>
      </c>
      <c r="E2139" t="s">
        <v>34</v>
      </c>
      <c r="F2139" t="s">
        <v>31</v>
      </c>
      <c r="G2139">
        <v>4</v>
      </c>
      <c r="H2139">
        <v>2.2000000000000002</v>
      </c>
      <c r="I2139" t="s">
        <v>21</v>
      </c>
      <c r="J2139" t="s">
        <v>3039</v>
      </c>
      <c r="K2139" s="12">
        <f>Store_Record[[#This Row],[Qty]]*Store_Record[[#This Row],[UnitPriceGBP]]</f>
        <v>8.8000000000000007</v>
      </c>
      <c r="L2139" s="5" t="str">
        <f>TEXT(Store_Record[[#This Row],[Date]],"dddd")</f>
        <v>Tuesday</v>
      </c>
      <c r="M2139" s="5" t="str">
        <f>TEXT(Store_Record[[#This Row],[Date]],"mmmm")</f>
        <v>June</v>
      </c>
      <c r="N2139" s="5">
        <f>YEAR(Store_Record[[#This Row],[Date]])</f>
        <v>2025</v>
      </c>
      <c r="O2139"/>
    </row>
    <row r="2140" spans="1:15" x14ac:dyDescent="0.35">
      <c r="A2140" t="s">
        <v>3026</v>
      </c>
      <c r="B2140" s="2">
        <v>45811</v>
      </c>
      <c r="C2140" t="s">
        <v>36</v>
      </c>
      <c r="D2140" t="s">
        <v>47</v>
      </c>
      <c r="E2140" t="s">
        <v>26</v>
      </c>
      <c r="F2140" t="s">
        <v>13</v>
      </c>
      <c r="G2140">
        <v>2</v>
      </c>
      <c r="H2140">
        <v>3.5</v>
      </c>
      <c r="I2140" t="s">
        <v>21</v>
      </c>
      <c r="J2140" t="s">
        <v>2100</v>
      </c>
      <c r="K2140" s="12">
        <f>Store_Record[[#This Row],[Qty]]*Store_Record[[#This Row],[UnitPriceGBP]]</f>
        <v>7</v>
      </c>
      <c r="L2140" s="5" t="str">
        <f>TEXT(Store_Record[[#This Row],[Date]],"dddd")</f>
        <v>Tuesday</v>
      </c>
      <c r="M2140" s="5" t="str">
        <f>TEXT(Store_Record[[#This Row],[Date]],"mmmm")</f>
        <v>June</v>
      </c>
      <c r="N2140" s="5">
        <f>YEAR(Store_Record[[#This Row],[Date]])</f>
        <v>2025</v>
      </c>
      <c r="O2140"/>
    </row>
    <row r="2141" spans="1:15" x14ac:dyDescent="0.35">
      <c r="A2141" t="s">
        <v>3035</v>
      </c>
      <c r="B2141" s="2">
        <v>45811</v>
      </c>
      <c r="C2141" t="s">
        <v>36</v>
      </c>
      <c r="D2141" t="s">
        <v>38</v>
      </c>
      <c r="E2141" t="s">
        <v>26</v>
      </c>
      <c r="F2141" t="s">
        <v>13</v>
      </c>
      <c r="G2141">
        <v>2</v>
      </c>
      <c r="H2141">
        <v>3.5</v>
      </c>
      <c r="I2141" t="s">
        <v>39</v>
      </c>
      <c r="J2141" t="s">
        <v>161</v>
      </c>
      <c r="K2141" s="12">
        <f>Store_Record[[#This Row],[Qty]]*Store_Record[[#This Row],[UnitPriceGBP]]</f>
        <v>7</v>
      </c>
      <c r="L2141" s="5" t="str">
        <f>TEXT(Store_Record[[#This Row],[Date]],"dddd")</f>
        <v>Tuesday</v>
      </c>
      <c r="M2141" s="5" t="str">
        <f>TEXT(Store_Record[[#This Row],[Date]],"mmmm")</f>
        <v>June</v>
      </c>
      <c r="N2141" s="5">
        <f>YEAR(Store_Record[[#This Row],[Date]])</f>
        <v>2025</v>
      </c>
      <c r="O2141"/>
    </row>
    <row r="2142" spans="1:15" x14ac:dyDescent="0.35">
      <c r="A2142" t="s">
        <v>3032</v>
      </c>
      <c r="B2142" s="2">
        <v>45811</v>
      </c>
      <c r="C2142" t="s">
        <v>36</v>
      </c>
      <c r="D2142" t="s">
        <v>29</v>
      </c>
      <c r="E2142" t="s">
        <v>34</v>
      </c>
      <c r="F2142" t="s">
        <v>31</v>
      </c>
      <c r="G2142">
        <v>3</v>
      </c>
      <c r="H2142">
        <v>2.2000000000000002</v>
      </c>
      <c r="I2142" t="s">
        <v>14</v>
      </c>
      <c r="J2142" t="s">
        <v>3033</v>
      </c>
      <c r="K2142" s="12">
        <f>Store_Record[[#This Row],[Qty]]*Store_Record[[#This Row],[UnitPriceGBP]]</f>
        <v>6.6000000000000005</v>
      </c>
      <c r="L2142" s="5" t="str">
        <f>TEXT(Store_Record[[#This Row],[Date]],"dddd")</f>
        <v>Tuesday</v>
      </c>
      <c r="M2142" s="5" t="str">
        <f>TEXT(Store_Record[[#This Row],[Date]],"mmmm")</f>
        <v>June</v>
      </c>
      <c r="N2142" s="5">
        <f>YEAR(Store_Record[[#This Row],[Date]])</f>
        <v>2025</v>
      </c>
      <c r="O2142"/>
    </row>
    <row r="2143" spans="1:15" x14ac:dyDescent="0.35">
      <c r="A2143" t="s">
        <v>3034</v>
      </c>
      <c r="B2143" s="2">
        <v>45811</v>
      </c>
      <c r="C2143" t="s">
        <v>20</v>
      </c>
      <c r="D2143" t="s">
        <v>11</v>
      </c>
      <c r="E2143" t="s">
        <v>34</v>
      </c>
      <c r="F2143" t="s">
        <v>31</v>
      </c>
      <c r="G2143">
        <v>3</v>
      </c>
      <c r="H2143">
        <v>2.2000000000000002</v>
      </c>
      <c r="I2143" t="s">
        <v>14</v>
      </c>
      <c r="J2143" t="s">
        <v>618</v>
      </c>
      <c r="K2143" s="12">
        <f>Store_Record[[#This Row],[Qty]]*Store_Record[[#This Row],[UnitPriceGBP]]</f>
        <v>6.6000000000000005</v>
      </c>
      <c r="L2143" s="5" t="str">
        <f>TEXT(Store_Record[[#This Row],[Date]],"dddd")</f>
        <v>Tuesday</v>
      </c>
      <c r="M2143" s="5" t="str">
        <f>TEXT(Store_Record[[#This Row],[Date]],"mmmm")</f>
        <v>June</v>
      </c>
      <c r="N2143" s="5">
        <f>YEAR(Store_Record[[#This Row],[Date]])</f>
        <v>2025</v>
      </c>
      <c r="O2143"/>
    </row>
    <row r="2144" spans="1:15" x14ac:dyDescent="0.35">
      <c r="A2144" t="s">
        <v>3027</v>
      </c>
      <c r="B2144" s="2">
        <v>45811</v>
      </c>
      <c r="C2144" t="s">
        <v>24</v>
      </c>
      <c r="D2144" t="s">
        <v>38</v>
      </c>
      <c r="E2144" t="s">
        <v>26</v>
      </c>
      <c r="F2144" t="s">
        <v>13</v>
      </c>
      <c r="G2144">
        <v>1</v>
      </c>
      <c r="H2144">
        <v>3.5</v>
      </c>
      <c r="I2144" t="s">
        <v>14</v>
      </c>
      <c r="J2144" t="s">
        <v>3028</v>
      </c>
      <c r="K2144" s="12">
        <f>Store_Record[[#This Row],[Qty]]*Store_Record[[#This Row],[UnitPriceGBP]]</f>
        <v>3.5</v>
      </c>
      <c r="L2144" s="5" t="str">
        <f>TEXT(Store_Record[[#This Row],[Date]],"dddd")</f>
        <v>Tuesday</v>
      </c>
      <c r="M2144" s="5" t="str">
        <f>TEXT(Store_Record[[#This Row],[Date]],"mmmm")</f>
        <v>June</v>
      </c>
      <c r="N2144" s="5">
        <f>YEAR(Store_Record[[#This Row],[Date]])</f>
        <v>2025</v>
      </c>
      <c r="O2144"/>
    </row>
    <row r="2145" spans="1:15" x14ac:dyDescent="0.35">
      <c r="A2145" t="s">
        <v>3044</v>
      </c>
      <c r="B2145" s="2">
        <v>45812</v>
      </c>
      <c r="C2145" t="s">
        <v>24</v>
      </c>
      <c r="D2145" t="s">
        <v>38</v>
      </c>
      <c r="E2145" t="s">
        <v>42</v>
      </c>
      <c r="F2145" t="s">
        <v>13</v>
      </c>
      <c r="G2145">
        <v>4</v>
      </c>
      <c r="H2145">
        <v>3.8</v>
      </c>
      <c r="I2145" t="s">
        <v>39</v>
      </c>
      <c r="J2145" t="s">
        <v>1449</v>
      </c>
      <c r="K2145" s="12">
        <f>Store_Record[[#This Row],[Qty]]*Store_Record[[#This Row],[UnitPriceGBP]]</f>
        <v>15.2</v>
      </c>
      <c r="L2145" s="5" t="str">
        <f>TEXT(Store_Record[[#This Row],[Date]],"dddd")</f>
        <v>Wednesday</v>
      </c>
      <c r="M2145" s="5" t="str">
        <f>TEXT(Store_Record[[#This Row],[Date]],"mmmm")</f>
        <v>June</v>
      </c>
      <c r="N2145" s="5">
        <f>YEAR(Store_Record[[#This Row],[Date]])</f>
        <v>2025</v>
      </c>
      <c r="O2145"/>
    </row>
    <row r="2146" spans="1:15" x14ac:dyDescent="0.35">
      <c r="A2146" t="s">
        <v>3043</v>
      </c>
      <c r="B2146" s="2">
        <v>45812</v>
      </c>
      <c r="C2146" t="s">
        <v>24</v>
      </c>
      <c r="D2146" t="s">
        <v>25</v>
      </c>
      <c r="E2146" t="s">
        <v>30</v>
      </c>
      <c r="F2146" t="s">
        <v>31</v>
      </c>
      <c r="G2146">
        <v>5</v>
      </c>
      <c r="H2146">
        <v>2.8</v>
      </c>
      <c r="I2146" t="s">
        <v>21</v>
      </c>
      <c r="J2146" t="s">
        <v>873</v>
      </c>
      <c r="K2146" s="12">
        <f>Store_Record[[#This Row],[Qty]]*Store_Record[[#This Row],[UnitPriceGBP]]</f>
        <v>14</v>
      </c>
      <c r="L2146" s="5" t="str">
        <f>TEXT(Store_Record[[#This Row],[Date]],"dddd")</f>
        <v>Wednesday</v>
      </c>
      <c r="M2146" s="5" t="str">
        <f>TEXT(Store_Record[[#This Row],[Date]],"mmmm")</f>
        <v>June</v>
      </c>
      <c r="N2146" s="5">
        <f>YEAR(Store_Record[[#This Row],[Date]])</f>
        <v>2025</v>
      </c>
      <c r="O2146"/>
    </row>
    <row r="2147" spans="1:15" x14ac:dyDescent="0.35">
      <c r="A2147" t="s">
        <v>3045</v>
      </c>
      <c r="B2147" s="2">
        <v>45812</v>
      </c>
      <c r="C2147" t="s">
        <v>20</v>
      </c>
      <c r="D2147" t="s">
        <v>25</v>
      </c>
      <c r="E2147" t="s">
        <v>30</v>
      </c>
      <c r="F2147" t="s">
        <v>31</v>
      </c>
      <c r="G2147">
        <v>5</v>
      </c>
      <c r="H2147">
        <v>2.8</v>
      </c>
      <c r="I2147" t="s">
        <v>21</v>
      </c>
      <c r="J2147" t="s">
        <v>3046</v>
      </c>
      <c r="K2147" s="12">
        <f>Store_Record[[#This Row],[Qty]]*Store_Record[[#This Row],[UnitPriceGBP]]</f>
        <v>14</v>
      </c>
      <c r="L2147" s="5" t="str">
        <f>TEXT(Store_Record[[#This Row],[Date]],"dddd")</f>
        <v>Wednesday</v>
      </c>
      <c r="M2147" s="5" t="str">
        <f>TEXT(Store_Record[[#This Row],[Date]],"mmmm")</f>
        <v>June</v>
      </c>
      <c r="N2147" s="5">
        <f>YEAR(Store_Record[[#This Row],[Date]])</f>
        <v>2025</v>
      </c>
      <c r="O2147"/>
    </row>
    <row r="2148" spans="1:15" x14ac:dyDescent="0.35">
      <c r="A2148" t="s">
        <v>3041</v>
      </c>
      <c r="B2148" s="2">
        <v>45812</v>
      </c>
      <c r="C2148" t="s">
        <v>24</v>
      </c>
      <c r="D2148" t="s">
        <v>11</v>
      </c>
      <c r="E2148" t="s">
        <v>26</v>
      </c>
      <c r="F2148" t="s">
        <v>13</v>
      </c>
      <c r="G2148">
        <v>2</v>
      </c>
      <c r="H2148">
        <v>3.5</v>
      </c>
      <c r="I2148" t="s">
        <v>21</v>
      </c>
      <c r="J2148" t="s">
        <v>3042</v>
      </c>
      <c r="K2148" s="12">
        <f>Store_Record[[#This Row],[Qty]]*Store_Record[[#This Row],[UnitPriceGBP]]</f>
        <v>7</v>
      </c>
      <c r="L2148" s="5" t="str">
        <f>TEXT(Store_Record[[#This Row],[Date]],"dddd")</f>
        <v>Wednesday</v>
      </c>
      <c r="M2148" s="5" t="str">
        <f>TEXT(Store_Record[[#This Row],[Date]],"mmmm")</f>
        <v>June</v>
      </c>
      <c r="N2148" s="5">
        <f>YEAR(Store_Record[[#This Row],[Date]])</f>
        <v>2025</v>
      </c>
      <c r="O2148"/>
    </row>
    <row r="2149" spans="1:15" x14ac:dyDescent="0.35">
      <c r="A2149" t="s">
        <v>3047</v>
      </c>
      <c r="B2149" s="2">
        <v>45812</v>
      </c>
      <c r="C2149" t="s">
        <v>24</v>
      </c>
      <c r="D2149" t="s">
        <v>11</v>
      </c>
      <c r="E2149" t="s">
        <v>34</v>
      </c>
      <c r="F2149" t="s">
        <v>31</v>
      </c>
      <c r="G2149">
        <v>2</v>
      </c>
      <c r="H2149">
        <v>2.2000000000000002</v>
      </c>
      <c r="I2149" t="s">
        <v>21</v>
      </c>
      <c r="J2149" t="s">
        <v>600</v>
      </c>
      <c r="K2149" s="12">
        <f>Store_Record[[#This Row],[Qty]]*Store_Record[[#This Row],[UnitPriceGBP]]</f>
        <v>4.4000000000000004</v>
      </c>
      <c r="L2149" s="5" t="str">
        <f>TEXT(Store_Record[[#This Row],[Date]],"dddd")</f>
        <v>Wednesday</v>
      </c>
      <c r="M2149" s="5" t="str">
        <f>TEXT(Store_Record[[#This Row],[Date]],"mmmm")</f>
        <v>June</v>
      </c>
      <c r="N2149" s="5">
        <f>YEAR(Store_Record[[#This Row],[Date]])</f>
        <v>2025</v>
      </c>
      <c r="O2149"/>
    </row>
    <row r="2150" spans="1:15" x14ac:dyDescent="0.35">
      <c r="A2150" t="s">
        <v>3048</v>
      </c>
      <c r="B2150" s="2">
        <v>45812</v>
      </c>
      <c r="C2150" t="s">
        <v>24</v>
      </c>
      <c r="D2150" t="s">
        <v>25</v>
      </c>
      <c r="E2150" t="s">
        <v>30</v>
      </c>
      <c r="F2150" t="s">
        <v>31</v>
      </c>
      <c r="G2150">
        <v>1</v>
      </c>
      <c r="H2150">
        <v>2.8</v>
      </c>
      <c r="I2150" t="s">
        <v>21</v>
      </c>
      <c r="J2150" t="s">
        <v>923</v>
      </c>
      <c r="K2150" s="12">
        <f>Store_Record[[#This Row],[Qty]]*Store_Record[[#This Row],[UnitPriceGBP]]</f>
        <v>2.8</v>
      </c>
      <c r="L2150" s="5" t="str">
        <f>TEXT(Store_Record[[#This Row],[Date]],"dddd")</f>
        <v>Wednesday</v>
      </c>
      <c r="M2150" s="5" t="str">
        <f>TEXT(Store_Record[[#This Row],[Date]],"mmmm")</f>
        <v>June</v>
      </c>
      <c r="N2150" s="5">
        <f>YEAR(Store_Record[[#This Row],[Date]])</f>
        <v>2025</v>
      </c>
      <c r="O2150"/>
    </row>
    <row r="2151" spans="1:15" x14ac:dyDescent="0.35">
      <c r="A2151" t="s">
        <v>3040</v>
      </c>
      <c r="B2151" s="2">
        <v>45812</v>
      </c>
      <c r="C2151" t="s">
        <v>36</v>
      </c>
      <c r="D2151" t="s">
        <v>47</v>
      </c>
      <c r="E2151" t="s">
        <v>34</v>
      </c>
      <c r="F2151" t="s">
        <v>31</v>
      </c>
      <c r="G2151">
        <v>1</v>
      </c>
      <c r="H2151">
        <v>2.2000000000000002</v>
      </c>
      <c r="I2151" t="s">
        <v>14</v>
      </c>
      <c r="J2151" t="s">
        <v>573</v>
      </c>
      <c r="K2151" s="12">
        <f>Store_Record[[#This Row],[Qty]]*Store_Record[[#This Row],[UnitPriceGBP]]</f>
        <v>2.2000000000000002</v>
      </c>
      <c r="L2151" s="5" t="str">
        <f>TEXT(Store_Record[[#This Row],[Date]],"dddd")</f>
        <v>Wednesday</v>
      </c>
      <c r="M2151" s="5" t="str">
        <f>TEXT(Store_Record[[#This Row],[Date]],"mmmm")</f>
        <v>June</v>
      </c>
      <c r="N2151" s="5">
        <f>YEAR(Store_Record[[#This Row],[Date]])</f>
        <v>2025</v>
      </c>
      <c r="O2151"/>
    </row>
    <row r="2152" spans="1:15" x14ac:dyDescent="0.35">
      <c r="A2152" t="s">
        <v>3049</v>
      </c>
      <c r="B2152" s="2">
        <v>45812</v>
      </c>
      <c r="C2152" t="s">
        <v>20</v>
      </c>
      <c r="D2152" t="s">
        <v>11</v>
      </c>
      <c r="E2152" t="s">
        <v>34</v>
      </c>
      <c r="F2152" t="s">
        <v>31</v>
      </c>
      <c r="G2152">
        <v>1</v>
      </c>
      <c r="H2152">
        <v>2.2000000000000002</v>
      </c>
      <c r="I2152" t="s">
        <v>39</v>
      </c>
      <c r="J2152" t="s">
        <v>2130</v>
      </c>
      <c r="K2152" s="12">
        <f>Store_Record[[#This Row],[Qty]]*Store_Record[[#This Row],[UnitPriceGBP]]</f>
        <v>2.2000000000000002</v>
      </c>
      <c r="L2152" s="5" t="str">
        <f>TEXT(Store_Record[[#This Row],[Date]],"dddd")</f>
        <v>Wednesday</v>
      </c>
      <c r="M2152" s="5" t="str">
        <f>TEXT(Store_Record[[#This Row],[Date]],"mmmm")</f>
        <v>June</v>
      </c>
      <c r="N2152" s="5">
        <f>YEAR(Store_Record[[#This Row],[Date]])</f>
        <v>2025</v>
      </c>
      <c r="O2152"/>
    </row>
    <row r="2153" spans="1:15" x14ac:dyDescent="0.35">
      <c r="A2153" t="s">
        <v>3061</v>
      </c>
      <c r="B2153" s="2">
        <v>45813</v>
      </c>
      <c r="C2153" t="s">
        <v>10</v>
      </c>
      <c r="D2153" t="s">
        <v>29</v>
      </c>
      <c r="E2153" t="s">
        <v>30</v>
      </c>
      <c r="F2153" t="s">
        <v>31</v>
      </c>
      <c r="G2153">
        <v>5</v>
      </c>
      <c r="H2153">
        <v>2.8</v>
      </c>
      <c r="I2153" t="s">
        <v>21</v>
      </c>
      <c r="J2153" t="s">
        <v>1912</v>
      </c>
      <c r="K2153" s="12">
        <f>Store_Record[[#This Row],[Qty]]*Store_Record[[#This Row],[UnitPriceGBP]]</f>
        <v>14</v>
      </c>
      <c r="L2153" s="5" t="str">
        <f>TEXT(Store_Record[[#This Row],[Date]],"dddd")</f>
        <v>Thursday</v>
      </c>
      <c r="M2153" s="5" t="str">
        <f>TEXT(Store_Record[[#This Row],[Date]],"mmmm")</f>
        <v>June</v>
      </c>
      <c r="N2153" s="5">
        <f>YEAR(Store_Record[[#This Row],[Date]])</f>
        <v>2025</v>
      </c>
      <c r="O2153"/>
    </row>
    <row r="2154" spans="1:15" x14ac:dyDescent="0.35">
      <c r="A2154" t="s">
        <v>3054</v>
      </c>
      <c r="B2154" s="2">
        <v>45813</v>
      </c>
      <c r="C2154" t="s">
        <v>10</v>
      </c>
      <c r="D2154" t="s">
        <v>29</v>
      </c>
      <c r="E2154" t="s">
        <v>12</v>
      </c>
      <c r="F2154" t="s">
        <v>13</v>
      </c>
      <c r="G2154">
        <v>5</v>
      </c>
      <c r="H2154">
        <v>2.5</v>
      </c>
      <c r="I2154" t="s">
        <v>21</v>
      </c>
      <c r="J2154" t="s">
        <v>1721</v>
      </c>
      <c r="K2154" s="12">
        <f>Store_Record[[#This Row],[Qty]]*Store_Record[[#This Row],[UnitPriceGBP]]</f>
        <v>12.5</v>
      </c>
      <c r="L2154" s="5" t="str">
        <f>TEXT(Store_Record[[#This Row],[Date]],"dddd")</f>
        <v>Thursday</v>
      </c>
      <c r="M2154" s="5" t="str">
        <f>TEXT(Store_Record[[#This Row],[Date]],"mmmm")</f>
        <v>June</v>
      </c>
      <c r="N2154" s="5">
        <f>YEAR(Store_Record[[#This Row],[Date]])</f>
        <v>2025</v>
      </c>
      <c r="O2154"/>
    </row>
    <row r="2155" spans="1:15" x14ac:dyDescent="0.35">
      <c r="A2155" t="s">
        <v>3053</v>
      </c>
      <c r="B2155" s="2">
        <v>45813</v>
      </c>
      <c r="C2155" t="s">
        <v>24</v>
      </c>
      <c r="D2155" t="s">
        <v>25</v>
      </c>
      <c r="E2155" t="s">
        <v>30</v>
      </c>
      <c r="F2155" t="s">
        <v>31</v>
      </c>
      <c r="G2155">
        <v>4</v>
      </c>
      <c r="H2155">
        <v>2.8</v>
      </c>
      <c r="I2155" t="s">
        <v>39</v>
      </c>
      <c r="J2155" t="s">
        <v>2279</v>
      </c>
      <c r="K2155" s="12">
        <f>Store_Record[[#This Row],[Qty]]*Store_Record[[#This Row],[UnitPriceGBP]]</f>
        <v>11.2</v>
      </c>
      <c r="L2155" s="5" t="str">
        <f>TEXT(Store_Record[[#This Row],[Date]],"dddd")</f>
        <v>Thursday</v>
      </c>
      <c r="M2155" s="5" t="str">
        <f>TEXT(Store_Record[[#This Row],[Date]],"mmmm")</f>
        <v>June</v>
      </c>
      <c r="N2155" s="5">
        <f>YEAR(Store_Record[[#This Row],[Date]])</f>
        <v>2025</v>
      </c>
      <c r="O2155"/>
    </row>
    <row r="2156" spans="1:15" x14ac:dyDescent="0.35">
      <c r="A2156" t="s">
        <v>3056</v>
      </c>
      <c r="B2156" s="2">
        <v>45813</v>
      </c>
      <c r="C2156" t="s">
        <v>20</v>
      </c>
      <c r="D2156" t="s">
        <v>25</v>
      </c>
      <c r="E2156" t="s">
        <v>34</v>
      </c>
      <c r="F2156" t="s">
        <v>31</v>
      </c>
      <c r="G2156">
        <v>5</v>
      </c>
      <c r="H2156">
        <v>2.2000000000000002</v>
      </c>
      <c r="I2156" t="s">
        <v>39</v>
      </c>
      <c r="J2156" t="s">
        <v>3057</v>
      </c>
      <c r="K2156" s="12">
        <f>Store_Record[[#This Row],[Qty]]*Store_Record[[#This Row],[UnitPriceGBP]]</f>
        <v>11</v>
      </c>
      <c r="L2156" s="5" t="str">
        <f>TEXT(Store_Record[[#This Row],[Date]],"dddd")</f>
        <v>Thursday</v>
      </c>
      <c r="M2156" s="5" t="str">
        <f>TEXT(Store_Record[[#This Row],[Date]],"mmmm")</f>
        <v>June</v>
      </c>
      <c r="N2156" s="5">
        <f>YEAR(Store_Record[[#This Row],[Date]])</f>
        <v>2025</v>
      </c>
      <c r="O2156"/>
    </row>
    <row r="2157" spans="1:15" x14ac:dyDescent="0.35">
      <c r="A2157" t="s">
        <v>3062</v>
      </c>
      <c r="B2157" s="2">
        <v>45813</v>
      </c>
      <c r="C2157" t="s">
        <v>36</v>
      </c>
      <c r="D2157" t="s">
        <v>29</v>
      </c>
      <c r="E2157" t="s">
        <v>26</v>
      </c>
      <c r="F2157" t="s">
        <v>13</v>
      </c>
      <c r="G2157">
        <v>2</v>
      </c>
      <c r="H2157">
        <v>3.5</v>
      </c>
      <c r="I2157" t="s">
        <v>14</v>
      </c>
      <c r="J2157" t="s">
        <v>1848</v>
      </c>
      <c r="K2157" s="12">
        <f>Store_Record[[#This Row],[Qty]]*Store_Record[[#This Row],[UnitPriceGBP]]</f>
        <v>7</v>
      </c>
      <c r="L2157" s="5" t="str">
        <f>TEXT(Store_Record[[#This Row],[Date]],"dddd")</f>
        <v>Thursday</v>
      </c>
      <c r="M2157" s="5" t="str">
        <f>TEXT(Store_Record[[#This Row],[Date]],"mmmm")</f>
        <v>June</v>
      </c>
      <c r="N2157" s="5">
        <f>YEAR(Store_Record[[#This Row],[Date]])</f>
        <v>2025</v>
      </c>
      <c r="O2157"/>
    </row>
    <row r="2158" spans="1:15" x14ac:dyDescent="0.35">
      <c r="A2158" t="s">
        <v>3055</v>
      </c>
      <c r="B2158" s="2">
        <v>45813</v>
      </c>
      <c r="C2158" t="s">
        <v>10</v>
      </c>
      <c r="D2158" t="s">
        <v>25</v>
      </c>
      <c r="E2158" t="s">
        <v>34</v>
      </c>
      <c r="F2158" t="s">
        <v>31</v>
      </c>
      <c r="G2158">
        <v>3</v>
      </c>
      <c r="H2158">
        <v>2.2000000000000002</v>
      </c>
      <c r="I2158" t="s">
        <v>14</v>
      </c>
      <c r="J2158" t="s">
        <v>2046</v>
      </c>
      <c r="K2158" s="12">
        <f>Store_Record[[#This Row],[Qty]]*Store_Record[[#This Row],[UnitPriceGBP]]</f>
        <v>6.6000000000000005</v>
      </c>
      <c r="L2158" s="5" t="str">
        <f>TEXT(Store_Record[[#This Row],[Date]],"dddd")</f>
        <v>Thursday</v>
      </c>
      <c r="M2158" s="5" t="str">
        <f>TEXT(Store_Record[[#This Row],[Date]],"mmmm")</f>
        <v>June</v>
      </c>
      <c r="N2158" s="5">
        <f>YEAR(Store_Record[[#This Row],[Date]])</f>
        <v>2025</v>
      </c>
      <c r="O2158"/>
    </row>
    <row r="2159" spans="1:15" x14ac:dyDescent="0.35">
      <c r="A2159" t="s">
        <v>3050</v>
      </c>
      <c r="B2159" s="2">
        <v>45813</v>
      </c>
      <c r="C2159" t="s">
        <v>36</v>
      </c>
      <c r="D2159" t="s">
        <v>47</v>
      </c>
      <c r="E2159" t="s">
        <v>12</v>
      </c>
      <c r="F2159" t="s">
        <v>13</v>
      </c>
      <c r="G2159">
        <v>2</v>
      </c>
      <c r="H2159">
        <v>2.5</v>
      </c>
      <c r="I2159" t="s">
        <v>14</v>
      </c>
      <c r="J2159" t="s">
        <v>2770</v>
      </c>
      <c r="K2159" s="12">
        <f>Store_Record[[#This Row],[Qty]]*Store_Record[[#This Row],[UnitPriceGBP]]</f>
        <v>5</v>
      </c>
      <c r="L2159" s="5" t="str">
        <f>TEXT(Store_Record[[#This Row],[Date]],"dddd")</f>
        <v>Thursday</v>
      </c>
      <c r="M2159" s="5" t="str">
        <f>TEXT(Store_Record[[#This Row],[Date]],"mmmm")</f>
        <v>June</v>
      </c>
      <c r="N2159" s="5">
        <f>YEAR(Store_Record[[#This Row],[Date]])</f>
        <v>2025</v>
      </c>
      <c r="O2159"/>
    </row>
    <row r="2160" spans="1:15" x14ac:dyDescent="0.35">
      <c r="A2160" t="s">
        <v>3050</v>
      </c>
      <c r="B2160" s="2">
        <v>45813</v>
      </c>
      <c r="C2160" t="s">
        <v>36</v>
      </c>
      <c r="D2160" t="s">
        <v>47</v>
      </c>
      <c r="E2160" t="s">
        <v>12</v>
      </c>
      <c r="F2160" t="s">
        <v>13</v>
      </c>
      <c r="G2160">
        <v>2</v>
      </c>
      <c r="H2160">
        <v>2.5</v>
      </c>
      <c r="I2160" t="s">
        <v>39</v>
      </c>
      <c r="J2160" t="s">
        <v>2770</v>
      </c>
      <c r="K2160" s="12">
        <f>Store_Record[[#This Row],[Qty]]*Store_Record[[#This Row],[UnitPriceGBP]]</f>
        <v>5</v>
      </c>
      <c r="L2160" s="5" t="str">
        <f>TEXT(Store_Record[[#This Row],[Date]],"dddd")</f>
        <v>Thursday</v>
      </c>
      <c r="M2160" s="5" t="str">
        <f>TEXT(Store_Record[[#This Row],[Date]],"mmmm")</f>
        <v>June</v>
      </c>
      <c r="N2160" s="5">
        <f>YEAR(Store_Record[[#This Row],[Date]])</f>
        <v>2025</v>
      </c>
      <c r="O2160"/>
    </row>
    <row r="2161" spans="1:15" x14ac:dyDescent="0.35">
      <c r="A2161" t="s">
        <v>3058</v>
      </c>
      <c r="B2161" s="2">
        <v>45813</v>
      </c>
      <c r="C2161" t="s">
        <v>36</v>
      </c>
      <c r="D2161" t="s">
        <v>38</v>
      </c>
      <c r="E2161" t="s">
        <v>12</v>
      </c>
      <c r="F2161" t="s">
        <v>13</v>
      </c>
      <c r="G2161">
        <v>2</v>
      </c>
      <c r="H2161">
        <v>2.5</v>
      </c>
      <c r="I2161" t="s">
        <v>21</v>
      </c>
      <c r="J2161" t="s">
        <v>3059</v>
      </c>
      <c r="K2161" s="12">
        <f>Store_Record[[#This Row],[Qty]]*Store_Record[[#This Row],[UnitPriceGBP]]</f>
        <v>5</v>
      </c>
      <c r="L2161" s="5" t="str">
        <f>TEXT(Store_Record[[#This Row],[Date]],"dddd")</f>
        <v>Thursday</v>
      </c>
      <c r="M2161" s="5" t="str">
        <f>TEXT(Store_Record[[#This Row],[Date]],"mmmm")</f>
        <v>June</v>
      </c>
      <c r="N2161" s="5">
        <f>YEAR(Store_Record[[#This Row],[Date]])</f>
        <v>2025</v>
      </c>
      <c r="O2161"/>
    </row>
    <row r="2162" spans="1:15" x14ac:dyDescent="0.35">
      <c r="A2162" t="s">
        <v>3052</v>
      </c>
      <c r="B2162" s="2">
        <v>45813</v>
      </c>
      <c r="C2162" t="s">
        <v>24</v>
      </c>
      <c r="D2162" t="s">
        <v>25</v>
      </c>
      <c r="E2162" t="s">
        <v>34</v>
      </c>
      <c r="F2162" t="s">
        <v>31</v>
      </c>
      <c r="G2162">
        <v>2</v>
      </c>
      <c r="H2162">
        <v>2.2000000000000002</v>
      </c>
      <c r="I2162" t="s">
        <v>39</v>
      </c>
      <c r="J2162" t="s">
        <v>1566</v>
      </c>
      <c r="K2162" s="12">
        <f>Store_Record[[#This Row],[Qty]]*Store_Record[[#This Row],[UnitPriceGBP]]</f>
        <v>4.4000000000000004</v>
      </c>
      <c r="L2162" s="5" t="str">
        <f>TEXT(Store_Record[[#This Row],[Date]],"dddd")</f>
        <v>Thursday</v>
      </c>
      <c r="M2162" s="5" t="str">
        <f>TEXT(Store_Record[[#This Row],[Date]],"mmmm")</f>
        <v>June</v>
      </c>
      <c r="N2162" s="5">
        <f>YEAR(Store_Record[[#This Row],[Date]])</f>
        <v>2025</v>
      </c>
      <c r="O2162"/>
    </row>
    <row r="2163" spans="1:15" x14ac:dyDescent="0.35">
      <c r="A2163" t="s">
        <v>3051</v>
      </c>
      <c r="B2163" s="2">
        <v>45813</v>
      </c>
      <c r="C2163" t="s">
        <v>36</v>
      </c>
      <c r="D2163" t="s">
        <v>25</v>
      </c>
      <c r="E2163" t="s">
        <v>42</v>
      </c>
      <c r="F2163" t="s">
        <v>13</v>
      </c>
      <c r="G2163">
        <v>1</v>
      </c>
      <c r="H2163">
        <v>3.8</v>
      </c>
      <c r="I2163" t="s">
        <v>14</v>
      </c>
      <c r="J2163" t="s">
        <v>673</v>
      </c>
      <c r="K2163" s="12">
        <f>Store_Record[[#This Row],[Qty]]*Store_Record[[#This Row],[UnitPriceGBP]]</f>
        <v>3.8</v>
      </c>
      <c r="L2163" s="5" t="str">
        <f>TEXT(Store_Record[[#This Row],[Date]],"dddd")</f>
        <v>Thursday</v>
      </c>
      <c r="M2163" s="5" t="str">
        <f>TEXT(Store_Record[[#This Row],[Date]],"mmmm")</f>
        <v>June</v>
      </c>
      <c r="N2163" s="5">
        <f>YEAR(Store_Record[[#This Row],[Date]])</f>
        <v>2025</v>
      </c>
      <c r="O2163"/>
    </row>
    <row r="2164" spans="1:15" x14ac:dyDescent="0.35">
      <c r="A2164" t="s">
        <v>3060</v>
      </c>
      <c r="B2164" s="2">
        <v>45813</v>
      </c>
      <c r="C2164" t="s">
        <v>36</v>
      </c>
      <c r="D2164" t="s">
        <v>11</v>
      </c>
      <c r="E2164" t="s">
        <v>30</v>
      </c>
      <c r="F2164" t="s">
        <v>31</v>
      </c>
      <c r="G2164">
        <v>1</v>
      </c>
      <c r="H2164">
        <v>2.8</v>
      </c>
      <c r="I2164" t="s">
        <v>39</v>
      </c>
      <c r="J2164" t="s">
        <v>384</v>
      </c>
      <c r="K2164" s="12">
        <f>Store_Record[[#This Row],[Qty]]*Store_Record[[#This Row],[UnitPriceGBP]]</f>
        <v>2.8</v>
      </c>
      <c r="L2164" s="5" t="str">
        <f>TEXT(Store_Record[[#This Row],[Date]],"dddd")</f>
        <v>Thursday</v>
      </c>
      <c r="M2164" s="5" t="str">
        <f>TEXT(Store_Record[[#This Row],[Date]],"mmmm")</f>
        <v>June</v>
      </c>
      <c r="N2164" s="5">
        <f>YEAR(Store_Record[[#This Row],[Date]])</f>
        <v>2025</v>
      </c>
      <c r="O2164"/>
    </row>
    <row r="2165" spans="1:15" x14ac:dyDescent="0.35">
      <c r="A2165" t="s">
        <v>3063</v>
      </c>
      <c r="B2165" s="2">
        <v>45814</v>
      </c>
      <c r="C2165" t="s">
        <v>36</v>
      </c>
      <c r="D2165" t="s">
        <v>29</v>
      </c>
      <c r="E2165" t="s">
        <v>42</v>
      </c>
      <c r="F2165" t="s">
        <v>13</v>
      </c>
      <c r="G2165">
        <v>4</v>
      </c>
      <c r="H2165">
        <v>3.8</v>
      </c>
      <c r="I2165" t="s">
        <v>14</v>
      </c>
      <c r="J2165" t="s">
        <v>640</v>
      </c>
      <c r="K2165" s="12">
        <f>Store_Record[[#This Row],[Qty]]*Store_Record[[#This Row],[UnitPriceGBP]]</f>
        <v>15.2</v>
      </c>
      <c r="L2165" s="5" t="str">
        <f>TEXT(Store_Record[[#This Row],[Date]],"dddd")</f>
        <v>Friday</v>
      </c>
      <c r="M2165" s="5" t="str">
        <f>TEXT(Store_Record[[#This Row],[Date]],"mmmm")</f>
        <v>June</v>
      </c>
      <c r="N2165" s="5">
        <f>YEAR(Store_Record[[#This Row],[Date]])</f>
        <v>2025</v>
      </c>
      <c r="O2165"/>
    </row>
    <row r="2166" spans="1:15" x14ac:dyDescent="0.35">
      <c r="A2166" t="s">
        <v>3066</v>
      </c>
      <c r="B2166" s="2">
        <v>45814</v>
      </c>
      <c r="C2166" t="s">
        <v>20</v>
      </c>
      <c r="D2166" t="s">
        <v>25</v>
      </c>
      <c r="E2166" t="s">
        <v>42</v>
      </c>
      <c r="F2166" t="s">
        <v>13</v>
      </c>
      <c r="G2166">
        <v>4</v>
      </c>
      <c r="H2166">
        <v>3.8</v>
      </c>
      <c r="I2166" t="s">
        <v>14</v>
      </c>
      <c r="J2166" t="s">
        <v>1061</v>
      </c>
      <c r="K2166" s="12">
        <f>Store_Record[[#This Row],[Qty]]*Store_Record[[#This Row],[UnitPriceGBP]]</f>
        <v>15.2</v>
      </c>
      <c r="L2166" s="5" t="str">
        <f>TEXT(Store_Record[[#This Row],[Date]],"dddd")</f>
        <v>Friday</v>
      </c>
      <c r="M2166" s="5" t="str">
        <f>TEXT(Store_Record[[#This Row],[Date]],"mmmm")</f>
        <v>June</v>
      </c>
      <c r="N2166" s="5">
        <f>YEAR(Store_Record[[#This Row],[Date]])</f>
        <v>2025</v>
      </c>
      <c r="O2166"/>
    </row>
    <row r="2167" spans="1:15" x14ac:dyDescent="0.35">
      <c r="A2167" t="s">
        <v>3067</v>
      </c>
      <c r="B2167" s="2">
        <v>45814</v>
      </c>
      <c r="C2167" t="s">
        <v>10</v>
      </c>
      <c r="D2167" t="s">
        <v>11</v>
      </c>
      <c r="E2167" t="s">
        <v>42</v>
      </c>
      <c r="F2167" t="s">
        <v>13</v>
      </c>
      <c r="G2167">
        <v>4</v>
      </c>
      <c r="H2167">
        <v>3.8</v>
      </c>
      <c r="I2167" t="s">
        <v>14</v>
      </c>
      <c r="J2167" t="s">
        <v>2130</v>
      </c>
      <c r="K2167" s="12">
        <f>Store_Record[[#This Row],[Qty]]*Store_Record[[#This Row],[UnitPriceGBP]]</f>
        <v>15.2</v>
      </c>
      <c r="L2167" s="5" t="str">
        <f>TEXT(Store_Record[[#This Row],[Date]],"dddd")</f>
        <v>Friday</v>
      </c>
      <c r="M2167" s="5" t="str">
        <f>TEXT(Store_Record[[#This Row],[Date]],"mmmm")</f>
        <v>June</v>
      </c>
      <c r="N2167" s="5">
        <f>YEAR(Store_Record[[#This Row],[Date]])</f>
        <v>2025</v>
      </c>
      <c r="O2167"/>
    </row>
    <row r="2168" spans="1:15" x14ac:dyDescent="0.35">
      <c r="A2168" t="s">
        <v>3070</v>
      </c>
      <c r="B2168" s="2">
        <v>45814</v>
      </c>
      <c r="C2168" t="s">
        <v>24</v>
      </c>
      <c r="D2168" t="s">
        <v>38</v>
      </c>
      <c r="E2168" t="s">
        <v>42</v>
      </c>
      <c r="F2168" t="s">
        <v>13</v>
      </c>
      <c r="G2168">
        <v>4</v>
      </c>
      <c r="H2168">
        <v>3.8</v>
      </c>
      <c r="I2168" t="s">
        <v>21</v>
      </c>
      <c r="J2168" t="s">
        <v>2642</v>
      </c>
      <c r="K2168" s="12">
        <f>Store_Record[[#This Row],[Qty]]*Store_Record[[#This Row],[UnitPriceGBP]]</f>
        <v>15.2</v>
      </c>
      <c r="L2168" s="5" t="str">
        <f>TEXT(Store_Record[[#This Row],[Date]],"dddd")</f>
        <v>Friday</v>
      </c>
      <c r="M2168" s="5" t="str">
        <f>TEXT(Store_Record[[#This Row],[Date]],"mmmm")</f>
        <v>June</v>
      </c>
      <c r="N2168" s="5">
        <f>YEAR(Store_Record[[#This Row],[Date]])</f>
        <v>2025</v>
      </c>
      <c r="O2168"/>
    </row>
    <row r="2169" spans="1:15" x14ac:dyDescent="0.35">
      <c r="A2169" t="s">
        <v>3073</v>
      </c>
      <c r="B2169" s="2">
        <v>45814</v>
      </c>
      <c r="C2169" t="s">
        <v>20</v>
      </c>
      <c r="D2169" t="s">
        <v>47</v>
      </c>
      <c r="E2169" t="s">
        <v>12</v>
      </c>
      <c r="F2169" t="s">
        <v>13</v>
      </c>
      <c r="G2169">
        <v>5</v>
      </c>
      <c r="H2169">
        <v>2.5</v>
      </c>
      <c r="I2169" t="s">
        <v>39</v>
      </c>
      <c r="J2169" t="s">
        <v>2453</v>
      </c>
      <c r="K2169" s="12">
        <f>Store_Record[[#This Row],[Qty]]*Store_Record[[#This Row],[UnitPriceGBP]]</f>
        <v>12.5</v>
      </c>
      <c r="L2169" s="5" t="str">
        <f>TEXT(Store_Record[[#This Row],[Date]],"dddd")</f>
        <v>Friday</v>
      </c>
      <c r="M2169" s="5" t="str">
        <f>TEXT(Store_Record[[#This Row],[Date]],"mmmm")</f>
        <v>June</v>
      </c>
      <c r="N2169" s="5">
        <f>YEAR(Store_Record[[#This Row],[Date]])</f>
        <v>2025</v>
      </c>
      <c r="O2169"/>
    </row>
    <row r="2170" spans="1:15" x14ac:dyDescent="0.35">
      <c r="A2170" t="s">
        <v>3064</v>
      </c>
      <c r="B2170" s="2">
        <v>45814</v>
      </c>
      <c r="C2170" t="s">
        <v>36</v>
      </c>
      <c r="D2170" t="s">
        <v>11</v>
      </c>
      <c r="E2170" t="s">
        <v>34</v>
      </c>
      <c r="F2170" t="s">
        <v>31</v>
      </c>
      <c r="G2170">
        <v>5</v>
      </c>
      <c r="H2170">
        <v>2.2000000000000002</v>
      </c>
      <c r="I2170" t="s">
        <v>14</v>
      </c>
      <c r="J2170" t="s">
        <v>3065</v>
      </c>
      <c r="K2170" s="12">
        <f>Store_Record[[#This Row],[Qty]]*Store_Record[[#This Row],[UnitPriceGBP]]</f>
        <v>11</v>
      </c>
      <c r="L2170" s="5" t="str">
        <f>TEXT(Store_Record[[#This Row],[Date]],"dddd")</f>
        <v>Friday</v>
      </c>
      <c r="M2170" s="5" t="str">
        <f>TEXT(Store_Record[[#This Row],[Date]],"mmmm")</f>
        <v>June</v>
      </c>
      <c r="N2170" s="5">
        <f>YEAR(Store_Record[[#This Row],[Date]])</f>
        <v>2025</v>
      </c>
      <c r="O2170"/>
    </row>
    <row r="2171" spans="1:15" x14ac:dyDescent="0.35">
      <c r="A2171" t="s">
        <v>3068</v>
      </c>
      <c r="B2171" s="2">
        <v>45814</v>
      </c>
      <c r="C2171" t="s">
        <v>20</v>
      </c>
      <c r="D2171" t="s">
        <v>25</v>
      </c>
      <c r="E2171" t="s">
        <v>26</v>
      </c>
      <c r="F2171" t="s">
        <v>13</v>
      </c>
      <c r="G2171">
        <v>3</v>
      </c>
      <c r="H2171">
        <v>3.5</v>
      </c>
      <c r="I2171" t="s">
        <v>21</v>
      </c>
      <c r="J2171" t="s">
        <v>2594</v>
      </c>
      <c r="K2171" s="12">
        <f>Store_Record[[#This Row],[Qty]]*Store_Record[[#This Row],[UnitPriceGBP]]</f>
        <v>10.5</v>
      </c>
      <c r="L2171" s="5" t="str">
        <f>TEXT(Store_Record[[#This Row],[Date]],"dddd")</f>
        <v>Friday</v>
      </c>
      <c r="M2171" s="5" t="str">
        <f>TEXT(Store_Record[[#This Row],[Date]],"mmmm")</f>
        <v>June</v>
      </c>
      <c r="N2171" s="5">
        <f>YEAR(Store_Record[[#This Row],[Date]])</f>
        <v>2025</v>
      </c>
      <c r="O2171"/>
    </row>
    <row r="2172" spans="1:15" x14ac:dyDescent="0.35">
      <c r="A2172" t="s">
        <v>3071</v>
      </c>
      <c r="B2172" s="2">
        <v>45814</v>
      </c>
      <c r="C2172" t="s">
        <v>10</v>
      </c>
      <c r="D2172" t="s">
        <v>11</v>
      </c>
      <c r="E2172" t="s">
        <v>42</v>
      </c>
      <c r="F2172" t="s">
        <v>13</v>
      </c>
      <c r="G2172">
        <v>2</v>
      </c>
      <c r="H2172">
        <v>3.8</v>
      </c>
      <c r="I2172" t="s">
        <v>21</v>
      </c>
      <c r="J2172" t="s">
        <v>3072</v>
      </c>
      <c r="K2172" s="12">
        <f>Store_Record[[#This Row],[Qty]]*Store_Record[[#This Row],[UnitPriceGBP]]</f>
        <v>7.6</v>
      </c>
      <c r="L2172" s="5" t="str">
        <f>TEXT(Store_Record[[#This Row],[Date]],"dddd")</f>
        <v>Friday</v>
      </c>
      <c r="M2172" s="5" t="str">
        <f>TEXT(Store_Record[[#This Row],[Date]],"mmmm")</f>
        <v>June</v>
      </c>
      <c r="N2172" s="5">
        <f>YEAR(Store_Record[[#This Row],[Date]])</f>
        <v>2025</v>
      </c>
      <c r="O2172"/>
    </row>
    <row r="2173" spans="1:15" x14ac:dyDescent="0.35">
      <c r="A2173" t="s">
        <v>3074</v>
      </c>
      <c r="B2173" s="2">
        <v>45814</v>
      </c>
      <c r="C2173" t="s">
        <v>36</v>
      </c>
      <c r="D2173" t="s">
        <v>47</v>
      </c>
      <c r="E2173" t="s">
        <v>26</v>
      </c>
      <c r="F2173" t="s">
        <v>13</v>
      </c>
      <c r="G2173">
        <v>2</v>
      </c>
      <c r="H2173">
        <v>3.5</v>
      </c>
      <c r="I2173" t="s">
        <v>14</v>
      </c>
      <c r="J2173" t="s">
        <v>3075</v>
      </c>
      <c r="K2173" s="12">
        <f>Store_Record[[#This Row],[Qty]]*Store_Record[[#This Row],[UnitPriceGBP]]</f>
        <v>7</v>
      </c>
      <c r="L2173" s="5" t="str">
        <f>TEXT(Store_Record[[#This Row],[Date]],"dddd")</f>
        <v>Friday</v>
      </c>
      <c r="M2173" s="5" t="str">
        <f>TEXT(Store_Record[[#This Row],[Date]],"mmmm")</f>
        <v>June</v>
      </c>
      <c r="N2173" s="5">
        <f>YEAR(Store_Record[[#This Row],[Date]])</f>
        <v>2025</v>
      </c>
      <c r="O2173"/>
    </row>
    <row r="2174" spans="1:15" x14ac:dyDescent="0.35">
      <c r="A2174" t="s">
        <v>3069</v>
      </c>
      <c r="B2174" s="2">
        <v>45814</v>
      </c>
      <c r="C2174" t="s">
        <v>10</v>
      </c>
      <c r="D2174" t="s">
        <v>47</v>
      </c>
      <c r="E2174" t="s">
        <v>30</v>
      </c>
      <c r="F2174" t="s">
        <v>31</v>
      </c>
      <c r="G2174">
        <v>2</v>
      </c>
      <c r="H2174">
        <v>2.8</v>
      </c>
      <c r="I2174" t="s">
        <v>21</v>
      </c>
      <c r="J2174" t="s">
        <v>296</v>
      </c>
      <c r="K2174" s="12">
        <f>Store_Record[[#This Row],[Qty]]*Store_Record[[#This Row],[UnitPriceGBP]]</f>
        <v>5.6</v>
      </c>
      <c r="L2174" s="5" t="str">
        <f>TEXT(Store_Record[[#This Row],[Date]],"dddd")</f>
        <v>Friday</v>
      </c>
      <c r="M2174" s="5" t="str">
        <f>TEXT(Store_Record[[#This Row],[Date]],"mmmm")</f>
        <v>June</v>
      </c>
      <c r="N2174" s="5">
        <f>YEAR(Store_Record[[#This Row],[Date]])</f>
        <v>2025</v>
      </c>
      <c r="O2174"/>
    </row>
    <row r="2175" spans="1:15" x14ac:dyDescent="0.35">
      <c r="A2175" t="s">
        <v>3079</v>
      </c>
      <c r="B2175" s="2">
        <v>45815</v>
      </c>
      <c r="C2175" t="s">
        <v>24</v>
      </c>
      <c r="D2175" t="s">
        <v>38</v>
      </c>
      <c r="E2175" t="s">
        <v>26</v>
      </c>
      <c r="F2175" t="s">
        <v>13</v>
      </c>
      <c r="G2175">
        <v>4</v>
      </c>
      <c r="H2175">
        <v>3.5</v>
      </c>
      <c r="I2175" t="s">
        <v>21</v>
      </c>
      <c r="J2175" t="s">
        <v>200</v>
      </c>
      <c r="K2175" s="12">
        <f>Store_Record[[#This Row],[Qty]]*Store_Record[[#This Row],[UnitPriceGBP]]</f>
        <v>14</v>
      </c>
      <c r="L2175" s="5" t="str">
        <f>TEXT(Store_Record[[#This Row],[Date]],"dddd")</f>
        <v>Saturday</v>
      </c>
      <c r="M2175" s="5" t="str">
        <f>TEXT(Store_Record[[#This Row],[Date]],"mmmm")</f>
        <v>June</v>
      </c>
      <c r="N2175" s="5">
        <f>YEAR(Store_Record[[#This Row],[Date]])</f>
        <v>2025</v>
      </c>
      <c r="O2175"/>
    </row>
    <row r="2176" spans="1:15" x14ac:dyDescent="0.35">
      <c r="A2176" t="s">
        <v>3090</v>
      </c>
      <c r="B2176" s="2">
        <v>45815</v>
      </c>
      <c r="C2176" t="s">
        <v>24</v>
      </c>
      <c r="D2176" t="s">
        <v>38</v>
      </c>
      <c r="E2176" t="s">
        <v>26</v>
      </c>
      <c r="F2176" t="s">
        <v>13</v>
      </c>
      <c r="G2176">
        <v>4</v>
      </c>
      <c r="H2176">
        <v>3.5</v>
      </c>
      <c r="I2176" t="s">
        <v>14</v>
      </c>
      <c r="J2176" t="s">
        <v>66</v>
      </c>
      <c r="K2176" s="12">
        <f>Store_Record[[#This Row],[Qty]]*Store_Record[[#This Row],[UnitPriceGBP]]</f>
        <v>14</v>
      </c>
      <c r="L2176" s="5" t="str">
        <f>TEXT(Store_Record[[#This Row],[Date]],"dddd")</f>
        <v>Saturday</v>
      </c>
      <c r="M2176" s="5" t="str">
        <f>TEXT(Store_Record[[#This Row],[Date]],"mmmm")</f>
        <v>June</v>
      </c>
      <c r="N2176" s="5">
        <f>YEAR(Store_Record[[#This Row],[Date]])</f>
        <v>2025</v>
      </c>
      <c r="O2176"/>
    </row>
    <row r="2177" spans="1:15" x14ac:dyDescent="0.35">
      <c r="A2177" t="s">
        <v>3077</v>
      </c>
      <c r="B2177" s="2">
        <v>45815</v>
      </c>
      <c r="C2177" t="s">
        <v>36</v>
      </c>
      <c r="D2177" t="s">
        <v>29</v>
      </c>
      <c r="E2177" t="s">
        <v>12</v>
      </c>
      <c r="F2177" t="s">
        <v>13</v>
      </c>
      <c r="G2177">
        <v>5</v>
      </c>
      <c r="H2177">
        <v>2.5</v>
      </c>
      <c r="I2177" t="s">
        <v>14</v>
      </c>
      <c r="J2177" t="s">
        <v>1042</v>
      </c>
      <c r="K2177" s="12">
        <f>Store_Record[[#This Row],[Qty]]*Store_Record[[#This Row],[UnitPriceGBP]]</f>
        <v>12.5</v>
      </c>
      <c r="L2177" s="5" t="str">
        <f>TEXT(Store_Record[[#This Row],[Date]],"dddd")</f>
        <v>Saturday</v>
      </c>
      <c r="M2177" s="5" t="str">
        <f>TEXT(Store_Record[[#This Row],[Date]],"mmmm")</f>
        <v>June</v>
      </c>
      <c r="N2177" s="5">
        <f>YEAR(Store_Record[[#This Row],[Date]])</f>
        <v>2025</v>
      </c>
      <c r="O2177"/>
    </row>
    <row r="2178" spans="1:15" x14ac:dyDescent="0.35">
      <c r="A2178" t="s">
        <v>3082</v>
      </c>
      <c r="B2178" s="2">
        <v>45815</v>
      </c>
      <c r="C2178" t="s">
        <v>36</v>
      </c>
      <c r="D2178" t="s">
        <v>38</v>
      </c>
      <c r="E2178" t="s">
        <v>30</v>
      </c>
      <c r="F2178" t="s">
        <v>31</v>
      </c>
      <c r="G2178">
        <v>4</v>
      </c>
      <c r="H2178">
        <v>2.8</v>
      </c>
      <c r="I2178" t="s">
        <v>21</v>
      </c>
      <c r="J2178" t="s">
        <v>3083</v>
      </c>
      <c r="K2178" s="12">
        <f>Store_Record[[#This Row],[Qty]]*Store_Record[[#This Row],[UnitPriceGBP]]</f>
        <v>11.2</v>
      </c>
      <c r="L2178" s="5" t="str">
        <f>TEXT(Store_Record[[#This Row],[Date]],"dddd")</f>
        <v>Saturday</v>
      </c>
      <c r="M2178" s="5" t="str">
        <f>TEXT(Store_Record[[#This Row],[Date]],"mmmm")</f>
        <v>June</v>
      </c>
      <c r="N2178" s="5">
        <f>YEAR(Store_Record[[#This Row],[Date]])</f>
        <v>2025</v>
      </c>
      <c r="O2178"/>
    </row>
    <row r="2179" spans="1:15" x14ac:dyDescent="0.35">
      <c r="A2179" t="s">
        <v>3085</v>
      </c>
      <c r="B2179" s="2">
        <v>45815</v>
      </c>
      <c r="C2179" t="s">
        <v>24</v>
      </c>
      <c r="D2179" t="s">
        <v>11</v>
      </c>
      <c r="E2179" t="s">
        <v>34</v>
      </c>
      <c r="F2179" t="s">
        <v>31</v>
      </c>
      <c r="G2179">
        <v>5</v>
      </c>
      <c r="H2179">
        <v>2.2000000000000002</v>
      </c>
      <c r="I2179" t="s">
        <v>21</v>
      </c>
      <c r="J2179" t="s">
        <v>2966</v>
      </c>
      <c r="K2179" s="12">
        <f>Store_Record[[#This Row],[Qty]]*Store_Record[[#This Row],[UnitPriceGBP]]</f>
        <v>11</v>
      </c>
      <c r="L2179" s="5" t="str">
        <f>TEXT(Store_Record[[#This Row],[Date]],"dddd")</f>
        <v>Saturday</v>
      </c>
      <c r="M2179" s="5" t="str">
        <f>TEXT(Store_Record[[#This Row],[Date]],"mmmm")</f>
        <v>June</v>
      </c>
      <c r="N2179" s="5">
        <f>YEAR(Store_Record[[#This Row],[Date]])</f>
        <v>2025</v>
      </c>
      <c r="O2179"/>
    </row>
    <row r="2180" spans="1:15" x14ac:dyDescent="0.35">
      <c r="A2180" t="s">
        <v>5992</v>
      </c>
      <c r="B2180" s="2">
        <v>45815</v>
      </c>
      <c r="C2180" t="s">
        <v>24</v>
      </c>
      <c r="D2180" t="s">
        <v>11</v>
      </c>
      <c r="E2180" t="s">
        <v>34</v>
      </c>
      <c r="F2180" t="s">
        <v>31</v>
      </c>
      <c r="G2180">
        <v>5</v>
      </c>
      <c r="H2180">
        <v>2.2000000000000002</v>
      </c>
      <c r="I2180" t="s">
        <v>14</v>
      </c>
      <c r="J2180" t="s">
        <v>3505</v>
      </c>
      <c r="K2180" s="12">
        <f>Store_Record[[#This Row],[Qty]]*Store_Record[[#This Row],[UnitPriceGBP]]</f>
        <v>11</v>
      </c>
      <c r="L2180" s="5" t="str">
        <f>TEXT(Store_Record[[#This Row],[Date]],"dddd")</f>
        <v>Saturday</v>
      </c>
      <c r="M2180" s="5" t="str">
        <f>TEXT(Store_Record[[#This Row],[Date]],"mmmm")</f>
        <v>June</v>
      </c>
      <c r="N2180" s="5">
        <f>YEAR(Store_Record[[#This Row],[Date]])</f>
        <v>2025</v>
      </c>
      <c r="O2180"/>
    </row>
    <row r="2181" spans="1:15" x14ac:dyDescent="0.35">
      <c r="A2181" t="s">
        <v>3078</v>
      </c>
      <c r="B2181" s="2">
        <v>45815</v>
      </c>
      <c r="C2181" t="s">
        <v>10</v>
      </c>
      <c r="D2181" t="s">
        <v>25</v>
      </c>
      <c r="E2181" t="s">
        <v>12</v>
      </c>
      <c r="F2181" t="s">
        <v>13</v>
      </c>
      <c r="G2181">
        <v>4</v>
      </c>
      <c r="H2181">
        <v>2.5</v>
      </c>
      <c r="I2181" t="s">
        <v>39</v>
      </c>
      <c r="J2181" t="s">
        <v>1013</v>
      </c>
      <c r="K2181" s="12">
        <f>Store_Record[[#This Row],[Qty]]*Store_Record[[#This Row],[UnitPriceGBP]]</f>
        <v>10</v>
      </c>
      <c r="L2181" s="5" t="str">
        <f>TEXT(Store_Record[[#This Row],[Date]],"dddd")</f>
        <v>Saturday</v>
      </c>
      <c r="M2181" s="5" t="str">
        <f>TEXT(Store_Record[[#This Row],[Date]],"mmmm")</f>
        <v>June</v>
      </c>
      <c r="N2181" s="5">
        <f>YEAR(Store_Record[[#This Row],[Date]])</f>
        <v>2025</v>
      </c>
      <c r="O2181"/>
    </row>
    <row r="2182" spans="1:15" x14ac:dyDescent="0.35">
      <c r="A2182" t="s">
        <v>3080</v>
      </c>
      <c r="B2182" s="2">
        <v>45815</v>
      </c>
      <c r="C2182" t="s">
        <v>10</v>
      </c>
      <c r="D2182" t="s">
        <v>25</v>
      </c>
      <c r="E2182" t="s">
        <v>12</v>
      </c>
      <c r="F2182" t="s">
        <v>13</v>
      </c>
      <c r="G2182">
        <v>4</v>
      </c>
      <c r="H2182">
        <v>2.5</v>
      </c>
      <c r="I2182" t="s">
        <v>21</v>
      </c>
      <c r="J2182" t="s">
        <v>2427</v>
      </c>
      <c r="K2182" s="12">
        <f>Store_Record[[#This Row],[Qty]]*Store_Record[[#This Row],[UnitPriceGBP]]</f>
        <v>10</v>
      </c>
      <c r="L2182" s="5" t="str">
        <f>TEXT(Store_Record[[#This Row],[Date]],"dddd")</f>
        <v>Saturday</v>
      </c>
      <c r="M2182" s="5" t="str">
        <f>TEXT(Store_Record[[#This Row],[Date]],"mmmm")</f>
        <v>June</v>
      </c>
      <c r="N2182" s="5">
        <f>YEAR(Store_Record[[#This Row],[Date]])</f>
        <v>2025</v>
      </c>
      <c r="O2182"/>
    </row>
    <row r="2183" spans="1:15" x14ac:dyDescent="0.35">
      <c r="A2183" t="s">
        <v>3081</v>
      </c>
      <c r="B2183" s="2">
        <v>45815</v>
      </c>
      <c r="C2183" t="s">
        <v>24</v>
      </c>
      <c r="D2183" t="s">
        <v>25</v>
      </c>
      <c r="E2183" t="s">
        <v>12</v>
      </c>
      <c r="F2183" t="s">
        <v>13</v>
      </c>
      <c r="G2183">
        <v>4</v>
      </c>
      <c r="H2183">
        <v>2.5</v>
      </c>
      <c r="I2183" t="s">
        <v>21</v>
      </c>
      <c r="J2183" t="s">
        <v>1655</v>
      </c>
      <c r="K2183" s="12">
        <f>Store_Record[[#This Row],[Qty]]*Store_Record[[#This Row],[UnitPriceGBP]]</f>
        <v>10</v>
      </c>
      <c r="L2183" s="5" t="str">
        <f>TEXT(Store_Record[[#This Row],[Date]],"dddd")</f>
        <v>Saturday</v>
      </c>
      <c r="M2183" s="5" t="str">
        <f>TEXT(Store_Record[[#This Row],[Date]],"mmmm")</f>
        <v>June</v>
      </c>
      <c r="N2183" s="5">
        <f>YEAR(Store_Record[[#This Row],[Date]])</f>
        <v>2025</v>
      </c>
      <c r="O2183"/>
    </row>
    <row r="2184" spans="1:15" x14ac:dyDescent="0.35">
      <c r="A2184" t="s">
        <v>3086</v>
      </c>
      <c r="B2184" s="2">
        <v>45815</v>
      </c>
      <c r="C2184" t="s">
        <v>10</v>
      </c>
      <c r="D2184" t="s">
        <v>47</v>
      </c>
      <c r="E2184" t="s">
        <v>12</v>
      </c>
      <c r="F2184" t="s">
        <v>13</v>
      </c>
      <c r="G2184">
        <v>4</v>
      </c>
      <c r="H2184">
        <v>2.5</v>
      </c>
      <c r="I2184" t="s">
        <v>39</v>
      </c>
      <c r="J2184" t="s">
        <v>388</v>
      </c>
      <c r="K2184" s="12">
        <f>Store_Record[[#This Row],[Qty]]*Store_Record[[#This Row],[UnitPriceGBP]]</f>
        <v>10</v>
      </c>
      <c r="L2184" s="5" t="str">
        <f>TEXT(Store_Record[[#This Row],[Date]],"dddd")</f>
        <v>Saturday</v>
      </c>
      <c r="M2184" s="5" t="str">
        <f>TEXT(Store_Record[[#This Row],[Date]],"mmmm")</f>
        <v>June</v>
      </c>
      <c r="N2184" s="5">
        <f>YEAR(Store_Record[[#This Row],[Date]])</f>
        <v>2025</v>
      </c>
      <c r="O2184"/>
    </row>
    <row r="2185" spans="1:15" x14ac:dyDescent="0.35">
      <c r="A2185" t="s">
        <v>3087</v>
      </c>
      <c r="B2185" s="2">
        <v>45815</v>
      </c>
      <c r="C2185" t="s">
        <v>10</v>
      </c>
      <c r="D2185" t="s">
        <v>29</v>
      </c>
      <c r="E2185" t="s">
        <v>34</v>
      </c>
      <c r="F2185" t="s">
        <v>31</v>
      </c>
      <c r="G2185">
        <v>4</v>
      </c>
      <c r="H2185">
        <v>2.2000000000000002</v>
      </c>
      <c r="I2185" t="s">
        <v>21</v>
      </c>
      <c r="J2185" t="s">
        <v>1792</v>
      </c>
      <c r="K2185" s="12">
        <f>Store_Record[[#This Row],[Qty]]*Store_Record[[#This Row],[UnitPriceGBP]]</f>
        <v>8.8000000000000007</v>
      </c>
      <c r="L2185" s="5" t="str">
        <f>TEXT(Store_Record[[#This Row],[Date]],"dddd")</f>
        <v>Saturday</v>
      </c>
      <c r="M2185" s="5" t="str">
        <f>TEXT(Store_Record[[#This Row],[Date]],"mmmm")</f>
        <v>June</v>
      </c>
      <c r="N2185" s="5">
        <f>YEAR(Store_Record[[#This Row],[Date]])</f>
        <v>2025</v>
      </c>
      <c r="O2185"/>
    </row>
    <row r="2186" spans="1:15" x14ac:dyDescent="0.35">
      <c r="A2186" t="s">
        <v>3093</v>
      </c>
      <c r="B2186" s="2">
        <v>45815</v>
      </c>
      <c r="C2186" t="s">
        <v>10</v>
      </c>
      <c r="D2186" t="s">
        <v>47</v>
      </c>
      <c r="E2186" t="s">
        <v>34</v>
      </c>
      <c r="F2186" t="s">
        <v>31</v>
      </c>
      <c r="G2186">
        <v>4</v>
      </c>
      <c r="H2186">
        <v>2.2000000000000002</v>
      </c>
      <c r="I2186" t="s">
        <v>14</v>
      </c>
      <c r="J2186" t="s">
        <v>2827</v>
      </c>
      <c r="K2186" s="12">
        <f>Store_Record[[#This Row],[Qty]]*Store_Record[[#This Row],[UnitPriceGBP]]</f>
        <v>8.8000000000000007</v>
      </c>
      <c r="L2186" s="5" t="str">
        <f>TEXT(Store_Record[[#This Row],[Date]],"dddd")</f>
        <v>Saturday</v>
      </c>
      <c r="M2186" s="5" t="str">
        <f>TEXT(Store_Record[[#This Row],[Date]],"mmmm")</f>
        <v>June</v>
      </c>
      <c r="N2186" s="5">
        <f>YEAR(Store_Record[[#This Row],[Date]])</f>
        <v>2025</v>
      </c>
      <c r="O2186"/>
    </row>
    <row r="2187" spans="1:15" x14ac:dyDescent="0.35">
      <c r="A2187" t="s">
        <v>3088</v>
      </c>
      <c r="B2187" s="2">
        <v>45815</v>
      </c>
      <c r="C2187" t="s">
        <v>10</v>
      </c>
      <c r="D2187" t="s">
        <v>29</v>
      </c>
      <c r="E2187" t="s">
        <v>30</v>
      </c>
      <c r="F2187" t="s">
        <v>31</v>
      </c>
      <c r="G2187">
        <v>3</v>
      </c>
      <c r="H2187">
        <v>2.8</v>
      </c>
      <c r="I2187" t="s">
        <v>14</v>
      </c>
      <c r="J2187" t="s">
        <v>3089</v>
      </c>
      <c r="K2187" s="12">
        <f>Store_Record[[#This Row],[Qty]]*Store_Record[[#This Row],[UnitPriceGBP]]</f>
        <v>8.3999999999999986</v>
      </c>
      <c r="L2187" s="5" t="str">
        <f>TEXT(Store_Record[[#This Row],[Date]],"dddd")</f>
        <v>Saturday</v>
      </c>
      <c r="M2187" s="5" t="str">
        <f>TEXT(Store_Record[[#This Row],[Date]],"mmmm")</f>
        <v>June</v>
      </c>
      <c r="N2187" s="5">
        <f>YEAR(Store_Record[[#This Row],[Date]])</f>
        <v>2025</v>
      </c>
      <c r="O2187"/>
    </row>
    <row r="2188" spans="1:15" x14ac:dyDescent="0.35">
      <c r="A2188" t="s">
        <v>3091</v>
      </c>
      <c r="B2188" s="2">
        <v>45815</v>
      </c>
      <c r="C2188" t="s">
        <v>20</v>
      </c>
      <c r="D2188" t="s">
        <v>38</v>
      </c>
      <c r="E2188" t="s">
        <v>30</v>
      </c>
      <c r="F2188" t="s">
        <v>31</v>
      </c>
      <c r="G2188">
        <v>2</v>
      </c>
      <c r="H2188">
        <v>2.8</v>
      </c>
      <c r="I2188" t="s">
        <v>39</v>
      </c>
      <c r="J2188" t="s">
        <v>945</v>
      </c>
      <c r="K2188" s="12">
        <f>Store_Record[[#This Row],[Qty]]*Store_Record[[#This Row],[UnitPriceGBP]]</f>
        <v>5.6</v>
      </c>
      <c r="L2188" s="5" t="str">
        <f>TEXT(Store_Record[[#This Row],[Date]],"dddd")</f>
        <v>Saturday</v>
      </c>
      <c r="M2188" s="5" t="str">
        <f>TEXT(Store_Record[[#This Row],[Date]],"mmmm")</f>
        <v>June</v>
      </c>
      <c r="N2188" s="5">
        <f>YEAR(Store_Record[[#This Row],[Date]])</f>
        <v>2025</v>
      </c>
      <c r="O2188"/>
    </row>
    <row r="2189" spans="1:15" x14ac:dyDescent="0.35">
      <c r="A2189" t="s">
        <v>3076</v>
      </c>
      <c r="B2189" s="2">
        <v>45815</v>
      </c>
      <c r="C2189" t="s">
        <v>10</v>
      </c>
      <c r="D2189" t="s">
        <v>25</v>
      </c>
      <c r="E2189" t="s">
        <v>12</v>
      </c>
      <c r="F2189" t="s">
        <v>13</v>
      </c>
      <c r="G2189">
        <v>2</v>
      </c>
      <c r="H2189">
        <v>2.5</v>
      </c>
      <c r="I2189" t="s">
        <v>21</v>
      </c>
      <c r="J2189" t="s">
        <v>501</v>
      </c>
      <c r="K2189" s="12">
        <f>Store_Record[[#This Row],[Qty]]*Store_Record[[#This Row],[UnitPriceGBP]]</f>
        <v>5</v>
      </c>
      <c r="L2189" s="5" t="str">
        <f>TEXT(Store_Record[[#This Row],[Date]],"dddd")</f>
        <v>Saturday</v>
      </c>
      <c r="M2189" s="5" t="str">
        <f>TEXT(Store_Record[[#This Row],[Date]],"mmmm")</f>
        <v>June</v>
      </c>
      <c r="N2189" s="5">
        <f>YEAR(Store_Record[[#This Row],[Date]])</f>
        <v>2025</v>
      </c>
      <c r="O2189"/>
    </row>
    <row r="2190" spans="1:15" x14ac:dyDescent="0.35">
      <c r="A2190" t="s">
        <v>3084</v>
      </c>
      <c r="B2190" s="2">
        <v>45815</v>
      </c>
      <c r="C2190" t="s">
        <v>20</v>
      </c>
      <c r="D2190" t="s">
        <v>47</v>
      </c>
      <c r="E2190" t="s">
        <v>12</v>
      </c>
      <c r="F2190" t="s">
        <v>13</v>
      </c>
      <c r="G2190">
        <v>2</v>
      </c>
      <c r="H2190">
        <v>2.5</v>
      </c>
      <c r="I2190" t="s">
        <v>21</v>
      </c>
      <c r="J2190" t="s">
        <v>2177</v>
      </c>
      <c r="K2190" s="12">
        <f>Store_Record[[#This Row],[Qty]]*Store_Record[[#This Row],[UnitPriceGBP]]</f>
        <v>5</v>
      </c>
      <c r="L2190" s="5" t="str">
        <f>TEXT(Store_Record[[#This Row],[Date]],"dddd")</f>
        <v>Saturday</v>
      </c>
      <c r="M2190" s="5" t="str">
        <f>TEXT(Store_Record[[#This Row],[Date]],"mmmm")</f>
        <v>June</v>
      </c>
      <c r="N2190" s="5">
        <f>YEAR(Store_Record[[#This Row],[Date]])</f>
        <v>2025</v>
      </c>
      <c r="O2190"/>
    </row>
    <row r="2191" spans="1:15" x14ac:dyDescent="0.35">
      <c r="A2191" t="s">
        <v>3092</v>
      </c>
      <c r="B2191" s="2">
        <v>45815</v>
      </c>
      <c r="C2191" t="s">
        <v>36</v>
      </c>
      <c r="D2191" t="s">
        <v>25</v>
      </c>
      <c r="E2191" t="s">
        <v>12</v>
      </c>
      <c r="F2191" t="s">
        <v>13</v>
      </c>
      <c r="G2191">
        <v>1</v>
      </c>
      <c r="H2191">
        <v>2.5</v>
      </c>
      <c r="I2191" t="s">
        <v>21</v>
      </c>
      <c r="J2191" t="s">
        <v>734</v>
      </c>
      <c r="K2191" s="12">
        <f>Store_Record[[#This Row],[Qty]]*Store_Record[[#This Row],[UnitPriceGBP]]</f>
        <v>2.5</v>
      </c>
      <c r="L2191" s="5" t="str">
        <f>TEXT(Store_Record[[#This Row],[Date]],"dddd")</f>
        <v>Saturday</v>
      </c>
      <c r="M2191" s="5" t="str">
        <f>TEXT(Store_Record[[#This Row],[Date]],"mmmm")</f>
        <v>June</v>
      </c>
      <c r="N2191" s="5">
        <f>YEAR(Store_Record[[#This Row],[Date]])</f>
        <v>2025</v>
      </c>
      <c r="O2191"/>
    </row>
    <row r="2192" spans="1:15" x14ac:dyDescent="0.35">
      <c r="A2192" t="s">
        <v>3099</v>
      </c>
      <c r="B2192" s="2">
        <v>45816</v>
      </c>
      <c r="C2192" t="s">
        <v>36</v>
      </c>
      <c r="D2192" t="s">
        <v>25</v>
      </c>
      <c r="E2192" t="s">
        <v>26</v>
      </c>
      <c r="F2192" t="s">
        <v>13</v>
      </c>
      <c r="G2192">
        <v>5</v>
      </c>
      <c r="H2192">
        <v>3.5</v>
      </c>
      <c r="I2192" t="s">
        <v>21</v>
      </c>
      <c r="J2192" t="s">
        <v>2453</v>
      </c>
      <c r="K2192" s="12">
        <f>Store_Record[[#This Row],[Qty]]*Store_Record[[#This Row],[UnitPriceGBP]]</f>
        <v>17.5</v>
      </c>
      <c r="L2192" s="5" t="str">
        <f>TEXT(Store_Record[[#This Row],[Date]],"dddd")</f>
        <v>Sunday</v>
      </c>
      <c r="M2192" s="5" t="str">
        <f>TEXT(Store_Record[[#This Row],[Date]],"mmmm")</f>
        <v>June</v>
      </c>
      <c r="N2192" s="5">
        <f>YEAR(Store_Record[[#This Row],[Date]])</f>
        <v>2025</v>
      </c>
      <c r="O2192"/>
    </row>
    <row r="2193" spans="1:15" x14ac:dyDescent="0.35">
      <c r="A2193" t="s">
        <v>3098</v>
      </c>
      <c r="B2193" s="2">
        <v>45816</v>
      </c>
      <c r="C2193" t="s">
        <v>36</v>
      </c>
      <c r="D2193" t="s">
        <v>29</v>
      </c>
      <c r="E2193" t="s">
        <v>42</v>
      </c>
      <c r="F2193" t="s">
        <v>13</v>
      </c>
      <c r="G2193">
        <v>4</v>
      </c>
      <c r="H2193">
        <v>3.8</v>
      </c>
      <c r="I2193" t="s">
        <v>14</v>
      </c>
      <c r="J2193" t="s">
        <v>650</v>
      </c>
      <c r="K2193" s="12">
        <f>Store_Record[[#This Row],[Qty]]*Store_Record[[#This Row],[UnitPriceGBP]]</f>
        <v>15.2</v>
      </c>
      <c r="L2193" s="5" t="str">
        <f>TEXT(Store_Record[[#This Row],[Date]],"dddd")</f>
        <v>Sunday</v>
      </c>
      <c r="M2193" s="5" t="str">
        <f>TEXT(Store_Record[[#This Row],[Date]],"mmmm")</f>
        <v>June</v>
      </c>
      <c r="N2193" s="5">
        <f>YEAR(Store_Record[[#This Row],[Date]])</f>
        <v>2025</v>
      </c>
      <c r="O2193"/>
    </row>
    <row r="2194" spans="1:15" x14ac:dyDescent="0.35">
      <c r="A2194" t="s">
        <v>3095</v>
      </c>
      <c r="B2194" s="2">
        <v>45816</v>
      </c>
      <c r="C2194" t="s">
        <v>36</v>
      </c>
      <c r="D2194" t="s">
        <v>25</v>
      </c>
      <c r="E2194" t="s">
        <v>42</v>
      </c>
      <c r="F2194" t="s">
        <v>13</v>
      </c>
      <c r="G2194">
        <v>3</v>
      </c>
      <c r="H2194">
        <v>3.8</v>
      </c>
      <c r="I2194" t="s">
        <v>21</v>
      </c>
      <c r="J2194" t="s">
        <v>150</v>
      </c>
      <c r="K2194" s="12">
        <f>Store_Record[[#This Row],[Qty]]*Store_Record[[#This Row],[UnitPriceGBP]]</f>
        <v>11.399999999999999</v>
      </c>
      <c r="L2194" s="5" t="str">
        <f>TEXT(Store_Record[[#This Row],[Date]],"dddd")</f>
        <v>Sunday</v>
      </c>
      <c r="M2194" s="5" t="str">
        <f>TEXT(Store_Record[[#This Row],[Date]],"mmmm")</f>
        <v>June</v>
      </c>
      <c r="N2194" s="5">
        <f>YEAR(Store_Record[[#This Row],[Date]])</f>
        <v>2025</v>
      </c>
      <c r="O2194"/>
    </row>
    <row r="2195" spans="1:15" x14ac:dyDescent="0.35">
      <c r="A2195" t="s">
        <v>3104</v>
      </c>
      <c r="B2195" s="2">
        <v>45816</v>
      </c>
      <c r="C2195" t="s">
        <v>36</v>
      </c>
      <c r="D2195" t="s">
        <v>29</v>
      </c>
      <c r="E2195" t="s">
        <v>34</v>
      </c>
      <c r="F2195" t="s">
        <v>31</v>
      </c>
      <c r="G2195">
        <v>5</v>
      </c>
      <c r="H2195">
        <v>2.2000000000000002</v>
      </c>
      <c r="I2195" t="s">
        <v>14</v>
      </c>
      <c r="J2195" t="s">
        <v>745</v>
      </c>
      <c r="K2195" s="12">
        <f>Store_Record[[#This Row],[Qty]]*Store_Record[[#This Row],[UnitPriceGBP]]</f>
        <v>11</v>
      </c>
      <c r="L2195" s="5" t="str">
        <f>TEXT(Store_Record[[#This Row],[Date]],"dddd")</f>
        <v>Sunday</v>
      </c>
      <c r="M2195" s="5" t="str">
        <f>TEXT(Store_Record[[#This Row],[Date]],"mmmm")</f>
        <v>June</v>
      </c>
      <c r="N2195" s="5">
        <f>YEAR(Store_Record[[#This Row],[Date]])</f>
        <v>2025</v>
      </c>
      <c r="O2195"/>
    </row>
    <row r="2196" spans="1:15" x14ac:dyDescent="0.35">
      <c r="A2196" t="s">
        <v>3097</v>
      </c>
      <c r="B2196" s="2">
        <v>45816</v>
      </c>
      <c r="C2196" t="s">
        <v>10</v>
      </c>
      <c r="D2196" t="s">
        <v>29</v>
      </c>
      <c r="E2196" t="s">
        <v>30</v>
      </c>
      <c r="F2196" t="s">
        <v>31</v>
      </c>
      <c r="G2196">
        <v>3</v>
      </c>
      <c r="H2196">
        <v>2.8</v>
      </c>
      <c r="I2196" t="s">
        <v>39</v>
      </c>
      <c r="J2196" t="s">
        <v>2119</v>
      </c>
      <c r="K2196" s="12">
        <f>Store_Record[[#This Row],[Qty]]*Store_Record[[#This Row],[UnitPriceGBP]]</f>
        <v>8.3999999999999986</v>
      </c>
      <c r="L2196" s="5" t="str">
        <f>TEXT(Store_Record[[#This Row],[Date]],"dddd")</f>
        <v>Sunday</v>
      </c>
      <c r="M2196" s="5" t="str">
        <f>TEXT(Store_Record[[#This Row],[Date]],"mmmm")</f>
        <v>June</v>
      </c>
      <c r="N2196" s="5">
        <f>YEAR(Store_Record[[#This Row],[Date]])</f>
        <v>2025</v>
      </c>
      <c r="O2196"/>
    </row>
    <row r="2197" spans="1:15" x14ac:dyDescent="0.35">
      <c r="A2197" t="s">
        <v>3103</v>
      </c>
      <c r="B2197" s="2">
        <v>45816</v>
      </c>
      <c r="C2197" t="s">
        <v>10</v>
      </c>
      <c r="D2197" t="s">
        <v>47</v>
      </c>
      <c r="E2197" t="s">
        <v>12</v>
      </c>
      <c r="F2197" t="s">
        <v>13</v>
      </c>
      <c r="G2197">
        <v>3</v>
      </c>
      <c r="H2197">
        <v>2.5</v>
      </c>
      <c r="I2197" t="s">
        <v>39</v>
      </c>
      <c r="J2197" t="s">
        <v>612</v>
      </c>
      <c r="K2197" s="12">
        <f>Store_Record[[#This Row],[Qty]]*Store_Record[[#This Row],[UnitPriceGBP]]</f>
        <v>7.5</v>
      </c>
      <c r="L2197" s="5" t="str">
        <f>TEXT(Store_Record[[#This Row],[Date]],"dddd")</f>
        <v>Sunday</v>
      </c>
      <c r="M2197" s="5" t="str">
        <f>TEXT(Store_Record[[#This Row],[Date]],"mmmm")</f>
        <v>June</v>
      </c>
      <c r="N2197" s="5">
        <f>YEAR(Store_Record[[#This Row],[Date]])</f>
        <v>2025</v>
      </c>
      <c r="O2197"/>
    </row>
    <row r="2198" spans="1:15" x14ac:dyDescent="0.35">
      <c r="A2198" t="s">
        <v>3094</v>
      </c>
      <c r="B2198" s="2">
        <v>45816</v>
      </c>
      <c r="C2198" t="s">
        <v>20</v>
      </c>
      <c r="D2198" t="s">
        <v>29</v>
      </c>
      <c r="E2198" t="s">
        <v>12</v>
      </c>
      <c r="F2198" t="s">
        <v>13</v>
      </c>
      <c r="G2198">
        <v>2</v>
      </c>
      <c r="H2198">
        <v>2.5</v>
      </c>
      <c r="I2198" t="s">
        <v>39</v>
      </c>
      <c r="J2198" t="s">
        <v>739</v>
      </c>
      <c r="K2198" s="12">
        <f>Store_Record[[#This Row],[Qty]]*Store_Record[[#This Row],[UnitPriceGBP]]</f>
        <v>5</v>
      </c>
      <c r="L2198" s="5" t="str">
        <f>TEXT(Store_Record[[#This Row],[Date]],"dddd")</f>
        <v>Sunday</v>
      </c>
      <c r="M2198" s="5" t="str">
        <f>TEXT(Store_Record[[#This Row],[Date]],"mmmm")</f>
        <v>June</v>
      </c>
      <c r="N2198" s="5">
        <f>YEAR(Store_Record[[#This Row],[Date]])</f>
        <v>2025</v>
      </c>
      <c r="O2198"/>
    </row>
    <row r="2199" spans="1:15" x14ac:dyDescent="0.35">
      <c r="A2199" t="s">
        <v>3096</v>
      </c>
      <c r="B2199" s="2">
        <v>45816</v>
      </c>
      <c r="C2199" t="s">
        <v>20</v>
      </c>
      <c r="D2199" t="s">
        <v>47</v>
      </c>
      <c r="E2199" t="s">
        <v>12</v>
      </c>
      <c r="F2199" t="s">
        <v>13</v>
      </c>
      <c r="G2199">
        <v>2</v>
      </c>
      <c r="H2199">
        <v>2.5</v>
      </c>
      <c r="I2199" t="s">
        <v>39</v>
      </c>
      <c r="J2199" t="s">
        <v>530</v>
      </c>
      <c r="K2199" s="12">
        <f>Store_Record[[#This Row],[Qty]]*Store_Record[[#This Row],[UnitPriceGBP]]</f>
        <v>5</v>
      </c>
      <c r="L2199" s="5" t="str">
        <f>TEXT(Store_Record[[#This Row],[Date]],"dddd")</f>
        <v>Sunday</v>
      </c>
      <c r="M2199" s="5" t="str">
        <f>TEXT(Store_Record[[#This Row],[Date]],"mmmm")</f>
        <v>June</v>
      </c>
      <c r="N2199" s="5">
        <f>YEAR(Store_Record[[#This Row],[Date]])</f>
        <v>2025</v>
      </c>
      <c r="O2199"/>
    </row>
    <row r="2200" spans="1:15" x14ac:dyDescent="0.35">
      <c r="A2200" t="s">
        <v>3100</v>
      </c>
      <c r="B2200" s="2">
        <v>45816</v>
      </c>
      <c r="C2200" t="s">
        <v>20</v>
      </c>
      <c r="D2200" t="s">
        <v>29</v>
      </c>
      <c r="E2200" t="s">
        <v>34</v>
      </c>
      <c r="F2200" t="s">
        <v>31</v>
      </c>
      <c r="G2200">
        <v>2</v>
      </c>
      <c r="H2200">
        <v>2.2000000000000002</v>
      </c>
      <c r="I2200" t="s">
        <v>21</v>
      </c>
      <c r="J2200" t="s">
        <v>624</v>
      </c>
      <c r="K2200" s="12">
        <f>Store_Record[[#This Row],[Qty]]*Store_Record[[#This Row],[UnitPriceGBP]]</f>
        <v>4.4000000000000004</v>
      </c>
      <c r="L2200" s="5" t="str">
        <f>TEXT(Store_Record[[#This Row],[Date]],"dddd")</f>
        <v>Sunday</v>
      </c>
      <c r="M2200" s="5" t="str">
        <f>TEXT(Store_Record[[#This Row],[Date]],"mmmm")</f>
        <v>June</v>
      </c>
      <c r="N2200" s="5">
        <f>YEAR(Store_Record[[#This Row],[Date]])</f>
        <v>2025</v>
      </c>
      <c r="O2200"/>
    </row>
    <row r="2201" spans="1:15" x14ac:dyDescent="0.35">
      <c r="A2201" t="s">
        <v>3101</v>
      </c>
      <c r="B2201" s="2">
        <v>45816</v>
      </c>
      <c r="C2201" t="s">
        <v>36</v>
      </c>
      <c r="D2201" t="s">
        <v>25</v>
      </c>
      <c r="E2201" t="s">
        <v>42</v>
      </c>
      <c r="F2201" t="s">
        <v>13</v>
      </c>
      <c r="G2201">
        <v>1</v>
      </c>
      <c r="H2201">
        <v>3.8</v>
      </c>
      <c r="I2201" t="s">
        <v>39</v>
      </c>
      <c r="J2201" t="s">
        <v>3102</v>
      </c>
      <c r="K2201" s="12">
        <f>Store_Record[[#This Row],[Qty]]*Store_Record[[#This Row],[UnitPriceGBP]]</f>
        <v>3.8</v>
      </c>
      <c r="L2201" s="5" t="str">
        <f>TEXT(Store_Record[[#This Row],[Date]],"dddd")</f>
        <v>Sunday</v>
      </c>
      <c r="M2201" s="5" t="str">
        <f>TEXT(Store_Record[[#This Row],[Date]],"mmmm")</f>
        <v>June</v>
      </c>
      <c r="N2201" s="5">
        <f>YEAR(Store_Record[[#This Row],[Date]])</f>
        <v>2025</v>
      </c>
      <c r="O2201"/>
    </row>
    <row r="2202" spans="1:15" x14ac:dyDescent="0.35">
      <c r="A2202" t="s">
        <v>3107</v>
      </c>
      <c r="B2202" s="2">
        <v>45817</v>
      </c>
      <c r="C2202" t="s">
        <v>10</v>
      </c>
      <c r="D2202" t="s">
        <v>47</v>
      </c>
      <c r="E2202" t="s">
        <v>30</v>
      </c>
      <c r="F2202" t="s">
        <v>31</v>
      </c>
      <c r="G2202">
        <v>5</v>
      </c>
      <c r="H2202">
        <v>2.8</v>
      </c>
      <c r="I2202" t="s">
        <v>21</v>
      </c>
      <c r="J2202" t="s">
        <v>1165</v>
      </c>
      <c r="K2202" s="12">
        <f>Store_Record[[#This Row],[Qty]]*Store_Record[[#This Row],[UnitPriceGBP]]</f>
        <v>14</v>
      </c>
      <c r="L2202" s="5" t="str">
        <f>TEXT(Store_Record[[#This Row],[Date]],"dddd")</f>
        <v>Monday</v>
      </c>
      <c r="M2202" s="5" t="str">
        <f>TEXT(Store_Record[[#This Row],[Date]],"mmmm")</f>
        <v>June</v>
      </c>
      <c r="N2202" s="5">
        <f>YEAR(Store_Record[[#This Row],[Date]])</f>
        <v>2025</v>
      </c>
      <c r="O2202"/>
    </row>
    <row r="2203" spans="1:15" x14ac:dyDescent="0.35">
      <c r="A2203" t="s">
        <v>3108</v>
      </c>
      <c r="B2203" s="2">
        <v>45817</v>
      </c>
      <c r="C2203" t="s">
        <v>24</v>
      </c>
      <c r="D2203" t="s">
        <v>29</v>
      </c>
      <c r="E2203" t="s">
        <v>26</v>
      </c>
      <c r="F2203" t="s">
        <v>13</v>
      </c>
      <c r="G2203">
        <v>4</v>
      </c>
      <c r="H2203">
        <v>3.5</v>
      </c>
      <c r="I2203" t="s">
        <v>21</v>
      </c>
      <c r="J2203" t="s">
        <v>1143</v>
      </c>
      <c r="K2203" s="12">
        <f>Store_Record[[#This Row],[Qty]]*Store_Record[[#This Row],[UnitPriceGBP]]</f>
        <v>14</v>
      </c>
      <c r="L2203" s="5" t="str">
        <f>TEXT(Store_Record[[#This Row],[Date]],"dddd")</f>
        <v>Monday</v>
      </c>
      <c r="M2203" s="5" t="str">
        <f>TEXT(Store_Record[[#This Row],[Date]],"mmmm")</f>
        <v>June</v>
      </c>
      <c r="N2203" s="5">
        <f>YEAR(Store_Record[[#This Row],[Date]])</f>
        <v>2025</v>
      </c>
      <c r="O2203"/>
    </row>
    <row r="2204" spans="1:15" x14ac:dyDescent="0.35">
      <c r="A2204" t="s">
        <v>3118</v>
      </c>
      <c r="B2204" s="2">
        <v>45817</v>
      </c>
      <c r="C2204" t="s">
        <v>10</v>
      </c>
      <c r="D2204" t="s">
        <v>25</v>
      </c>
      <c r="E2204" t="s">
        <v>26</v>
      </c>
      <c r="F2204" t="s">
        <v>13</v>
      </c>
      <c r="G2204">
        <v>4</v>
      </c>
      <c r="H2204">
        <v>3.5</v>
      </c>
      <c r="I2204" t="s">
        <v>39</v>
      </c>
      <c r="J2204" t="s">
        <v>3119</v>
      </c>
      <c r="K2204" s="12">
        <f>Store_Record[[#This Row],[Qty]]*Store_Record[[#This Row],[UnitPriceGBP]]</f>
        <v>14</v>
      </c>
      <c r="L2204" s="5" t="str">
        <f>TEXT(Store_Record[[#This Row],[Date]],"dddd")</f>
        <v>Monday</v>
      </c>
      <c r="M2204" s="5" t="str">
        <f>TEXT(Store_Record[[#This Row],[Date]],"mmmm")</f>
        <v>June</v>
      </c>
      <c r="N2204" s="5">
        <f>YEAR(Store_Record[[#This Row],[Date]])</f>
        <v>2025</v>
      </c>
      <c r="O2204"/>
    </row>
    <row r="2205" spans="1:15" x14ac:dyDescent="0.35">
      <c r="A2205" t="s">
        <v>3105</v>
      </c>
      <c r="B2205" s="2">
        <v>45817</v>
      </c>
      <c r="C2205" t="s">
        <v>24</v>
      </c>
      <c r="D2205" t="s">
        <v>29</v>
      </c>
      <c r="E2205" t="s">
        <v>42</v>
      </c>
      <c r="F2205" t="s">
        <v>13</v>
      </c>
      <c r="G2205">
        <v>3</v>
      </c>
      <c r="H2205">
        <v>3.8</v>
      </c>
      <c r="I2205" t="s">
        <v>39</v>
      </c>
      <c r="J2205" t="s">
        <v>2030</v>
      </c>
      <c r="K2205" s="12">
        <f>Store_Record[[#This Row],[Qty]]*Store_Record[[#This Row],[UnitPriceGBP]]</f>
        <v>11.399999999999999</v>
      </c>
      <c r="L2205" s="5" t="str">
        <f>TEXT(Store_Record[[#This Row],[Date]],"dddd")</f>
        <v>Monday</v>
      </c>
      <c r="M2205" s="5" t="str">
        <f>TEXT(Store_Record[[#This Row],[Date]],"mmmm")</f>
        <v>June</v>
      </c>
      <c r="N2205" s="5">
        <f>YEAR(Store_Record[[#This Row],[Date]])</f>
        <v>2025</v>
      </c>
      <c r="O2205"/>
    </row>
    <row r="2206" spans="1:15" x14ac:dyDescent="0.35">
      <c r="A2206" t="s">
        <v>3109</v>
      </c>
      <c r="B2206" s="2">
        <v>45817</v>
      </c>
      <c r="C2206" t="s">
        <v>36</v>
      </c>
      <c r="D2206" t="s">
        <v>11</v>
      </c>
      <c r="E2206" t="s">
        <v>30</v>
      </c>
      <c r="F2206" t="s">
        <v>31</v>
      </c>
      <c r="G2206">
        <v>3</v>
      </c>
      <c r="H2206">
        <v>2.8</v>
      </c>
      <c r="I2206" t="s">
        <v>21</v>
      </c>
      <c r="J2206" t="s">
        <v>665</v>
      </c>
      <c r="K2206" s="12">
        <f>Store_Record[[#This Row],[Qty]]*Store_Record[[#This Row],[UnitPriceGBP]]</f>
        <v>8.3999999999999986</v>
      </c>
      <c r="L2206" s="5" t="str">
        <f>TEXT(Store_Record[[#This Row],[Date]],"dddd")</f>
        <v>Monday</v>
      </c>
      <c r="M2206" s="5" t="str">
        <f>TEXT(Store_Record[[#This Row],[Date]],"mmmm")</f>
        <v>June</v>
      </c>
      <c r="N2206" s="5">
        <f>YEAR(Store_Record[[#This Row],[Date]])</f>
        <v>2025</v>
      </c>
      <c r="O2206"/>
    </row>
    <row r="2207" spans="1:15" x14ac:dyDescent="0.35">
      <c r="A2207" t="s">
        <v>3112</v>
      </c>
      <c r="B2207" s="2">
        <v>45817</v>
      </c>
      <c r="C2207" t="s">
        <v>20</v>
      </c>
      <c r="D2207" t="s">
        <v>38</v>
      </c>
      <c r="E2207" t="s">
        <v>30</v>
      </c>
      <c r="F2207" t="s">
        <v>31</v>
      </c>
      <c r="G2207">
        <v>3</v>
      </c>
      <c r="H2207">
        <v>2.8</v>
      </c>
      <c r="I2207" t="s">
        <v>14</v>
      </c>
      <c r="J2207" t="s">
        <v>2048</v>
      </c>
      <c r="K2207" s="12">
        <f>Store_Record[[#This Row],[Qty]]*Store_Record[[#This Row],[UnitPriceGBP]]</f>
        <v>8.3999999999999986</v>
      </c>
      <c r="L2207" s="5" t="str">
        <f>TEXT(Store_Record[[#This Row],[Date]],"dddd")</f>
        <v>Monday</v>
      </c>
      <c r="M2207" s="5" t="str">
        <f>TEXT(Store_Record[[#This Row],[Date]],"mmmm")</f>
        <v>June</v>
      </c>
      <c r="N2207" s="5">
        <f>YEAR(Store_Record[[#This Row],[Date]])</f>
        <v>2025</v>
      </c>
      <c r="O2207"/>
    </row>
    <row r="2208" spans="1:15" x14ac:dyDescent="0.35">
      <c r="A2208" t="s">
        <v>3111</v>
      </c>
      <c r="B2208" s="2">
        <v>45817</v>
      </c>
      <c r="C2208" t="s">
        <v>36</v>
      </c>
      <c r="D2208" t="s">
        <v>25</v>
      </c>
      <c r="E2208" t="s">
        <v>42</v>
      </c>
      <c r="F2208" t="s">
        <v>13</v>
      </c>
      <c r="G2208">
        <v>2</v>
      </c>
      <c r="H2208">
        <v>3.8</v>
      </c>
      <c r="I2208" t="s">
        <v>21</v>
      </c>
      <c r="J2208" t="s">
        <v>1462</v>
      </c>
      <c r="K2208" s="12">
        <f>Store_Record[[#This Row],[Qty]]*Store_Record[[#This Row],[UnitPriceGBP]]</f>
        <v>7.6</v>
      </c>
      <c r="L2208" s="5" t="str">
        <f>TEXT(Store_Record[[#This Row],[Date]],"dddd")</f>
        <v>Monday</v>
      </c>
      <c r="M2208" s="5" t="str">
        <f>TEXT(Store_Record[[#This Row],[Date]],"mmmm")</f>
        <v>June</v>
      </c>
      <c r="N2208" s="5">
        <f>YEAR(Store_Record[[#This Row],[Date]])</f>
        <v>2025</v>
      </c>
      <c r="O2208"/>
    </row>
    <row r="2209" spans="1:15" x14ac:dyDescent="0.35">
      <c r="A2209" t="s">
        <v>3116</v>
      </c>
      <c r="B2209" s="2">
        <v>45817</v>
      </c>
      <c r="C2209" t="s">
        <v>10</v>
      </c>
      <c r="D2209" t="s">
        <v>29</v>
      </c>
      <c r="E2209" t="s">
        <v>12</v>
      </c>
      <c r="F2209" t="s">
        <v>13</v>
      </c>
      <c r="G2209">
        <v>3</v>
      </c>
      <c r="H2209">
        <v>2.5</v>
      </c>
      <c r="I2209" t="s">
        <v>21</v>
      </c>
      <c r="J2209" t="s">
        <v>976</v>
      </c>
      <c r="K2209" s="12">
        <f>Store_Record[[#This Row],[Qty]]*Store_Record[[#This Row],[UnitPriceGBP]]</f>
        <v>7.5</v>
      </c>
      <c r="L2209" s="5" t="str">
        <f>TEXT(Store_Record[[#This Row],[Date]],"dddd")</f>
        <v>Monday</v>
      </c>
      <c r="M2209" s="5" t="str">
        <f>TEXT(Store_Record[[#This Row],[Date]],"mmmm")</f>
        <v>June</v>
      </c>
      <c r="N2209" s="5">
        <f>YEAR(Store_Record[[#This Row],[Date]])</f>
        <v>2025</v>
      </c>
      <c r="O2209"/>
    </row>
    <row r="2210" spans="1:15" x14ac:dyDescent="0.35">
      <c r="A2210" t="s">
        <v>3106</v>
      </c>
      <c r="B2210" s="2">
        <v>45817</v>
      </c>
      <c r="C2210" t="s">
        <v>36</v>
      </c>
      <c r="D2210" t="s">
        <v>25</v>
      </c>
      <c r="E2210" t="s">
        <v>26</v>
      </c>
      <c r="F2210" t="s">
        <v>13</v>
      </c>
      <c r="G2210">
        <v>2</v>
      </c>
      <c r="H2210">
        <v>3.5</v>
      </c>
      <c r="I2210" t="s">
        <v>21</v>
      </c>
      <c r="J2210" t="s">
        <v>1005</v>
      </c>
      <c r="K2210" s="12">
        <f>Store_Record[[#This Row],[Qty]]*Store_Record[[#This Row],[UnitPriceGBP]]</f>
        <v>7</v>
      </c>
      <c r="L2210" s="5" t="str">
        <f>TEXT(Store_Record[[#This Row],[Date]],"dddd")</f>
        <v>Monday</v>
      </c>
      <c r="M2210" s="5" t="str">
        <f>TEXT(Store_Record[[#This Row],[Date]],"mmmm")</f>
        <v>June</v>
      </c>
      <c r="N2210" s="5">
        <f>YEAR(Store_Record[[#This Row],[Date]])</f>
        <v>2025</v>
      </c>
      <c r="O2210"/>
    </row>
    <row r="2211" spans="1:15" x14ac:dyDescent="0.35">
      <c r="A2211" t="s">
        <v>3117</v>
      </c>
      <c r="B2211" s="2">
        <v>45817</v>
      </c>
      <c r="C2211" t="s">
        <v>20</v>
      </c>
      <c r="D2211" t="s">
        <v>38</v>
      </c>
      <c r="E2211" t="s">
        <v>26</v>
      </c>
      <c r="F2211" t="s">
        <v>13</v>
      </c>
      <c r="G2211">
        <v>2</v>
      </c>
      <c r="H2211">
        <v>3.5</v>
      </c>
      <c r="I2211" t="s">
        <v>14</v>
      </c>
      <c r="J2211" t="s">
        <v>1372</v>
      </c>
      <c r="K2211" s="12">
        <f>Store_Record[[#This Row],[Qty]]*Store_Record[[#This Row],[UnitPriceGBP]]</f>
        <v>7</v>
      </c>
      <c r="L2211" s="5" t="str">
        <f>TEXT(Store_Record[[#This Row],[Date]],"dddd")</f>
        <v>Monday</v>
      </c>
      <c r="M2211" s="5" t="str">
        <f>TEXT(Store_Record[[#This Row],[Date]],"mmmm")</f>
        <v>June</v>
      </c>
      <c r="N2211" s="5">
        <f>YEAR(Store_Record[[#This Row],[Date]])</f>
        <v>2025</v>
      </c>
      <c r="O2211"/>
    </row>
    <row r="2212" spans="1:15" x14ac:dyDescent="0.35">
      <c r="A2212" t="s">
        <v>3110</v>
      </c>
      <c r="B2212" s="2">
        <v>45817</v>
      </c>
      <c r="C2212" t="s">
        <v>24</v>
      </c>
      <c r="D2212" t="s">
        <v>25</v>
      </c>
      <c r="E2212" t="s">
        <v>34</v>
      </c>
      <c r="F2212" t="s">
        <v>31</v>
      </c>
      <c r="G2212">
        <v>3</v>
      </c>
      <c r="H2212">
        <v>2.2000000000000002</v>
      </c>
      <c r="I2212" t="s">
        <v>21</v>
      </c>
      <c r="J2212" t="s">
        <v>2466</v>
      </c>
      <c r="K2212" s="12">
        <f>Store_Record[[#This Row],[Qty]]*Store_Record[[#This Row],[UnitPriceGBP]]</f>
        <v>6.6000000000000005</v>
      </c>
      <c r="L2212" s="5" t="str">
        <f>TEXT(Store_Record[[#This Row],[Date]],"dddd")</f>
        <v>Monday</v>
      </c>
      <c r="M2212" s="5" t="str">
        <f>TEXT(Store_Record[[#This Row],[Date]],"mmmm")</f>
        <v>June</v>
      </c>
      <c r="N2212" s="5">
        <f>YEAR(Store_Record[[#This Row],[Date]])</f>
        <v>2025</v>
      </c>
      <c r="O2212"/>
    </row>
    <row r="2213" spans="1:15" x14ac:dyDescent="0.35">
      <c r="A2213" t="s">
        <v>3113</v>
      </c>
      <c r="B2213" s="2">
        <v>45817</v>
      </c>
      <c r="C2213" t="s">
        <v>36</v>
      </c>
      <c r="D2213" t="s">
        <v>47</v>
      </c>
      <c r="E2213" t="s">
        <v>42</v>
      </c>
      <c r="F2213" t="s">
        <v>13</v>
      </c>
      <c r="G2213">
        <v>1</v>
      </c>
      <c r="H2213">
        <v>3.8</v>
      </c>
      <c r="I2213" t="s">
        <v>14</v>
      </c>
      <c r="J2213" t="s">
        <v>3114</v>
      </c>
      <c r="K2213" s="12">
        <f>Store_Record[[#This Row],[Qty]]*Store_Record[[#This Row],[UnitPriceGBP]]</f>
        <v>3.8</v>
      </c>
      <c r="L2213" s="5" t="str">
        <f>TEXT(Store_Record[[#This Row],[Date]],"dddd")</f>
        <v>Monday</v>
      </c>
      <c r="M2213" s="5" t="str">
        <f>TEXT(Store_Record[[#This Row],[Date]],"mmmm")</f>
        <v>June</v>
      </c>
      <c r="N2213" s="5">
        <f>YEAR(Store_Record[[#This Row],[Date]])</f>
        <v>2025</v>
      </c>
      <c r="O2213"/>
    </row>
    <row r="2214" spans="1:15" x14ac:dyDescent="0.35">
      <c r="A2214" t="s">
        <v>3115</v>
      </c>
      <c r="B2214" s="2">
        <v>45817</v>
      </c>
      <c r="C2214" t="s">
        <v>24</v>
      </c>
      <c r="D2214" t="s">
        <v>11</v>
      </c>
      <c r="E2214" t="s">
        <v>30</v>
      </c>
      <c r="F2214" t="s">
        <v>31</v>
      </c>
      <c r="G2214">
        <v>1</v>
      </c>
      <c r="H2214">
        <v>2.8</v>
      </c>
      <c r="I2214" t="s">
        <v>14</v>
      </c>
      <c r="J2214" t="s">
        <v>761</v>
      </c>
      <c r="K2214" s="12">
        <f>Store_Record[[#This Row],[Qty]]*Store_Record[[#This Row],[UnitPriceGBP]]</f>
        <v>2.8</v>
      </c>
      <c r="L2214" s="5" t="str">
        <f>TEXT(Store_Record[[#This Row],[Date]],"dddd")</f>
        <v>Monday</v>
      </c>
      <c r="M2214" s="5" t="str">
        <f>TEXT(Store_Record[[#This Row],[Date]],"mmmm")</f>
        <v>June</v>
      </c>
      <c r="N2214" s="5">
        <f>YEAR(Store_Record[[#This Row],[Date]])</f>
        <v>2025</v>
      </c>
      <c r="O2214"/>
    </row>
    <row r="2215" spans="1:15" x14ac:dyDescent="0.35">
      <c r="A2215" t="s">
        <v>3121</v>
      </c>
      <c r="B2215" s="2">
        <v>45818</v>
      </c>
      <c r="C2215" t="s">
        <v>24</v>
      </c>
      <c r="D2215" t="s">
        <v>11</v>
      </c>
      <c r="E2215" t="s">
        <v>42</v>
      </c>
      <c r="F2215" t="s">
        <v>13</v>
      </c>
      <c r="G2215">
        <v>5</v>
      </c>
      <c r="H2215">
        <v>3.8</v>
      </c>
      <c r="I2215" t="s">
        <v>39</v>
      </c>
      <c r="J2215" t="s">
        <v>462</v>
      </c>
      <c r="K2215" s="12">
        <f>Store_Record[[#This Row],[Qty]]*Store_Record[[#This Row],[UnitPriceGBP]]</f>
        <v>19</v>
      </c>
      <c r="L2215" s="5" t="str">
        <f>TEXT(Store_Record[[#This Row],[Date]],"dddd")</f>
        <v>Tuesday</v>
      </c>
      <c r="M2215" s="5" t="str">
        <f>TEXT(Store_Record[[#This Row],[Date]],"mmmm")</f>
        <v>June</v>
      </c>
      <c r="N2215" s="5">
        <f>YEAR(Store_Record[[#This Row],[Date]])</f>
        <v>2025</v>
      </c>
      <c r="O2215"/>
    </row>
    <row r="2216" spans="1:15" x14ac:dyDescent="0.35">
      <c r="A2216" t="s">
        <v>3127</v>
      </c>
      <c r="B2216" s="2">
        <v>45818</v>
      </c>
      <c r="C2216" t="s">
        <v>10</v>
      </c>
      <c r="D2216" t="s">
        <v>25</v>
      </c>
      <c r="E2216" t="s">
        <v>42</v>
      </c>
      <c r="F2216" t="s">
        <v>13</v>
      </c>
      <c r="G2216">
        <v>4</v>
      </c>
      <c r="H2216">
        <v>3.8</v>
      </c>
      <c r="I2216" t="s">
        <v>39</v>
      </c>
      <c r="J2216" t="s">
        <v>2553</v>
      </c>
      <c r="K2216" s="12">
        <f>Store_Record[[#This Row],[Qty]]*Store_Record[[#This Row],[UnitPriceGBP]]</f>
        <v>15.2</v>
      </c>
      <c r="L2216" s="5" t="str">
        <f>TEXT(Store_Record[[#This Row],[Date]],"dddd")</f>
        <v>Tuesday</v>
      </c>
      <c r="M2216" s="5" t="str">
        <f>TEXT(Store_Record[[#This Row],[Date]],"mmmm")</f>
        <v>June</v>
      </c>
      <c r="N2216" s="5">
        <f>YEAR(Store_Record[[#This Row],[Date]])</f>
        <v>2025</v>
      </c>
      <c r="O2216"/>
    </row>
    <row r="2217" spans="1:15" x14ac:dyDescent="0.35">
      <c r="A2217" t="s">
        <v>3120</v>
      </c>
      <c r="B2217" s="2">
        <v>45818</v>
      </c>
      <c r="C2217" t="s">
        <v>10</v>
      </c>
      <c r="D2217" t="s">
        <v>25</v>
      </c>
      <c r="E2217" t="s">
        <v>26</v>
      </c>
      <c r="F2217" t="s">
        <v>13</v>
      </c>
      <c r="G2217">
        <v>4</v>
      </c>
      <c r="H2217">
        <v>3.5</v>
      </c>
      <c r="I2217" t="s">
        <v>39</v>
      </c>
      <c r="J2217" t="s">
        <v>2973</v>
      </c>
      <c r="K2217" s="12">
        <f>Store_Record[[#This Row],[Qty]]*Store_Record[[#This Row],[UnitPriceGBP]]</f>
        <v>14</v>
      </c>
      <c r="L2217" s="5" t="str">
        <f>TEXT(Store_Record[[#This Row],[Date]],"dddd")</f>
        <v>Tuesday</v>
      </c>
      <c r="M2217" s="5" t="str">
        <f>TEXT(Store_Record[[#This Row],[Date]],"mmmm")</f>
        <v>June</v>
      </c>
      <c r="N2217" s="5">
        <f>YEAR(Store_Record[[#This Row],[Date]])</f>
        <v>2025</v>
      </c>
      <c r="O2217"/>
    </row>
    <row r="2218" spans="1:15" x14ac:dyDescent="0.35">
      <c r="A2218" t="s">
        <v>3125</v>
      </c>
      <c r="B2218" s="2">
        <v>45818</v>
      </c>
      <c r="C2218" t="s">
        <v>10</v>
      </c>
      <c r="D2218" t="s">
        <v>29</v>
      </c>
      <c r="E2218" t="s">
        <v>30</v>
      </c>
      <c r="F2218" t="s">
        <v>31</v>
      </c>
      <c r="G2218">
        <v>5</v>
      </c>
      <c r="H2218">
        <v>2.8</v>
      </c>
      <c r="I2218" t="s">
        <v>39</v>
      </c>
      <c r="J2218" t="s">
        <v>99</v>
      </c>
      <c r="K2218" s="12">
        <f>Store_Record[[#This Row],[Qty]]*Store_Record[[#This Row],[UnitPriceGBP]]</f>
        <v>14</v>
      </c>
      <c r="L2218" s="5" t="str">
        <f>TEXT(Store_Record[[#This Row],[Date]],"dddd")</f>
        <v>Tuesday</v>
      </c>
      <c r="M2218" s="5" t="str">
        <f>TEXT(Store_Record[[#This Row],[Date]],"mmmm")</f>
        <v>June</v>
      </c>
      <c r="N2218" s="5">
        <f>YEAR(Store_Record[[#This Row],[Date]])</f>
        <v>2025</v>
      </c>
      <c r="O2218"/>
    </row>
    <row r="2219" spans="1:15" x14ac:dyDescent="0.35">
      <c r="A2219" t="s">
        <v>3135</v>
      </c>
      <c r="B2219" s="2">
        <v>45818</v>
      </c>
      <c r="C2219" t="s">
        <v>36</v>
      </c>
      <c r="D2219" t="s">
        <v>47</v>
      </c>
      <c r="E2219" t="s">
        <v>42</v>
      </c>
      <c r="F2219" t="s">
        <v>13</v>
      </c>
      <c r="G2219">
        <v>3</v>
      </c>
      <c r="H2219">
        <v>3.8</v>
      </c>
      <c r="I2219" t="s">
        <v>21</v>
      </c>
      <c r="J2219" t="s">
        <v>1657</v>
      </c>
      <c r="K2219" s="12">
        <f>Store_Record[[#This Row],[Qty]]*Store_Record[[#This Row],[UnitPriceGBP]]</f>
        <v>11.399999999999999</v>
      </c>
      <c r="L2219" s="5" t="str">
        <f>TEXT(Store_Record[[#This Row],[Date]],"dddd")</f>
        <v>Tuesday</v>
      </c>
      <c r="M2219" s="5" t="str">
        <f>TEXT(Store_Record[[#This Row],[Date]],"mmmm")</f>
        <v>June</v>
      </c>
      <c r="N2219" s="5">
        <f>YEAR(Store_Record[[#This Row],[Date]])</f>
        <v>2025</v>
      </c>
      <c r="O2219"/>
    </row>
    <row r="2220" spans="1:15" x14ac:dyDescent="0.35">
      <c r="A2220" t="s">
        <v>3126</v>
      </c>
      <c r="B2220" s="2">
        <v>45818</v>
      </c>
      <c r="C2220" t="s">
        <v>20</v>
      </c>
      <c r="D2220" t="s">
        <v>11</v>
      </c>
      <c r="E2220" t="s">
        <v>30</v>
      </c>
      <c r="F2220" t="s">
        <v>31</v>
      </c>
      <c r="G2220">
        <v>4</v>
      </c>
      <c r="H2220">
        <v>2.8</v>
      </c>
      <c r="I2220" t="s">
        <v>39</v>
      </c>
      <c r="J2220" t="s">
        <v>3072</v>
      </c>
      <c r="K2220" s="12">
        <f>Store_Record[[#This Row],[Qty]]*Store_Record[[#This Row],[UnitPriceGBP]]</f>
        <v>11.2</v>
      </c>
      <c r="L2220" s="5" t="str">
        <f>TEXT(Store_Record[[#This Row],[Date]],"dddd")</f>
        <v>Tuesday</v>
      </c>
      <c r="M2220" s="5" t="str">
        <f>TEXT(Store_Record[[#This Row],[Date]],"mmmm")</f>
        <v>June</v>
      </c>
      <c r="N2220" s="5">
        <f>YEAR(Store_Record[[#This Row],[Date]])</f>
        <v>2025</v>
      </c>
      <c r="O2220"/>
    </row>
    <row r="2221" spans="1:15" x14ac:dyDescent="0.35">
      <c r="A2221" t="s">
        <v>3132</v>
      </c>
      <c r="B2221" s="2">
        <v>45818</v>
      </c>
      <c r="C2221" t="s">
        <v>10</v>
      </c>
      <c r="D2221" t="s">
        <v>25</v>
      </c>
      <c r="E2221" t="s">
        <v>30</v>
      </c>
      <c r="F2221" t="s">
        <v>31</v>
      </c>
      <c r="G2221">
        <v>4</v>
      </c>
      <c r="H2221">
        <v>2.8</v>
      </c>
      <c r="I2221" t="s">
        <v>39</v>
      </c>
      <c r="J2221" t="s">
        <v>2850</v>
      </c>
      <c r="K2221" s="12">
        <f>Store_Record[[#This Row],[Qty]]*Store_Record[[#This Row],[UnitPriceGBP]]</f>
        <v>11.2</v>
      </c>
      <c r="L2221" s="5" t="str">
        <f>TEXT(Store_Record[[#This Row],[Date]],"dddd")</f>
        <v>Tuesday</v>
      </c>
      <c r="M2221" s="5" t="str">
        <f>TEXT(Store_Record[[#This Row],[Date]],"mmmm")</f>
        <v>June</v>
      </c>
      <c r="N2221" s="5">
        <f>YEAR(Store_Record[[#This Row],[Date]])</f>
        <v>2025</v>
      </c>
      <c r="O2221"/>
    </row>
    <row r="2222" spans="1:15" x14ac:dyDescent="0.35">
      <c r="A2222" t="s">
        <v>3133</v>
      </c>
      <c r="B2222" s="2">
        <v>45818</v>
      </c>
      <c r="C2222" t="s">
        <v>20</v>
      </c>
      <c r="D2222" t="s">
        <v>11</v>
      </c>
      <c r="E2222" t="s">
        <v>34</v>
      </c>
      <c r="F2222" t="s">
        <v>31</v>
      </c>
      <c r="G2222">
        <v>4</v>
      </c>
      <c r="H2222">
        <v>2.2000000000000002</v>
      </c>
      <c r="I2222" t="s">
        <v>14</v>
      </c>
      <c r="J2222" t="s">
        <v>97</v>
      </c>
      <c r="K2222" s="12">
        <f>Store_Record[[#This Row],[Qty]]*Store_Record[[#This Row],[UnitPriceGBP]]</f>
        <v>8.8000000000000007</v>
      </c>
      <c r="L2222" s="5" t="str">
        <f>TEXT(Store_Record[[#This Row],[Date]],"dddd")</f>
        <v>Tuesday</v>
      </c>
      <c r="M2222" s="5" t="str">
        <f>TEXT(Store_Record[[#This Row],[Date]],"mmmm")</f>
        <v>June</v>
      </c>
      <c r="N2222" s="5">
        <f>YEAR(Store_Record[[#This Row],[Date]])</f>
        <v>2025</v>
      </c>
      <c r="O2222"/>
    </row>
    <row r="2223" spans="1:15" x14ac:dyDescent="0.35">
      <c r="A2223" t="s">
        <v>3123</v>
      </c>
      <c r="B2223" s="2">
        <v>45818</v>
      </c>
      <c r="C2223" t="s">
        <v>20</v>
      </c>
      <c r="D2223" t="s">
        <v>47</v>
      </c>
      <c r="E2223" t="s">
        <v>12</v>
      </c>
      <c r="F2223" t="s">
        <v>13</v>
      </c>
      <c r="G2223">
        <v>3</v>
      </c>
      <c r="H2223">
        <v>2.5</v>
      </c>
      <c r="I2223" t="s">
        <v>39</v>
      </c>
      <c r="J2223" t="s">
        <v>888</v>
      </c>
      <c r="K2223" s="12">
        <f>Store_Record[[#This Row],[Qty]]*Store_Record[[#This Row],[UnitPriceGBP]]</f>
        <v>7.5</v>
      </c>
      <c r="L2223" s="5" t="str">
        <f>TEXT(Store_Record[[#This Row],[Date]],"dddd")</f>
        <v>Tuesday</v>
      </c>
      <c r="M2223" s="5" t="str">
        <f>TEXT(Store_Record[[#This Row],[Date]],"mmmm")</f>
        <v>June</v>
      </c>
      <c r="N2223" s="5">
        <f>YEAR(Store_Record[[#This Row],[Date]])</f>
        <v>2025</v>
      </c>
      <c r="O2223"/>
    </row>
    <row r="2224" spans="1:15" x14ac:dyDescent="0.35">
      <c r="A2224" t="s">
        <v>3130</v>
      </c>
      <c r="B2224" s="2">
        <v>45818</v>
      </c>
      <c r="C2224" t="s">
        <v>10</v>
      </c>
      <c r="D2224" t="s">
        <v>47</v>
      </c>
      <c r="E2224" t="s">
        <v>26</v>
      </c>
      <c r="F2224" t="s">
        <v>13</v>
      </c>
      <c r="G2224">
        <v>2</v>
      </c>
      <c r="H2224">
        <v>3.5</v>
      </c>
      <c r="I2224" t="s">
        <v>14</v>
      </c>
      <c r="J2224" t="s">
        <v>1275</v>
      </c>
      <c r="K2224" s="12">
        <f>Store_Record[[#This Row],[Qty]]*Store_Record[[#This Row],[UnitPriceGBP]]</f>
        <v>7</v>
      </c>
      <c r="L2224" s="5" t="str">
        <f>TEXT(Store_Record[[#This Row],[Date]],"dddd")</f>
        <v>Tuesday</v>
      </c>
      <c r="M2224" s="5" t="str">
        <f>TEXT(Store_Record[[#This Row],[Date]],"mmmm")</f>
        <v>June</v>
      </c>
      <c r="N2224" s="5">
        <f>YEAR(Store_Record[[#This Row],[Date]])</f>
        <v>2025</v>
      </c>
      <c r="O2224"/>
    </row>
    <row r="2225" spans="1:15" x14ac:dyDescent="0.35">
      <c r="A2225" t="s">
        <v>3122</v>
      </c>
      <c r="B2225" s="2">
        <v>45818</v>
      </c>
      <c r="C2225" t="s">
        <v>36</v>
      </c>
      <c r="D2225" t="s">
        <v>25</v>
      </c>
      <c r="E2225" t="s">
        <v>34</v>
      </c>
      <c r="F2225" t="s">
        <v>31</v>
      </c>
      <c r="G2225">
        <v>3</v>
      </c>
      <c r="H2225">
        <v>2.2000000000000002</v>
      </c>
      <c r="I2225" t="s">
        <v>39</v>
      </c>
      <c r="J2225" t="s">
        <v>1418</v>
      </c>
      <c r="K2225" s="12">
        <f>Store_Record[[#This Row],[Qty]]*Store_Record[[#This Row],[UnitPriceGBP]]</f>
        <v>6.6000000000000005</v>
      </c>
      <c r="L2225" s="5" t="str">
        <f>TEXT(Store_Record[[#This Row],[Date]],"dddd")</f>
        <v>Tuesday</v>
      </c>
      <c r="M2225" s="5" t="str">
        <f>TEXT(Store_Record[[#This Row],[Date]],"mmmm")</f>
        <v>June</v>
      </c>
      <c r="N2225" s="5">
        <f>YEAR(Store_Record[[#This Row],[Date]])</f>
        <v>2025</v>
      </c>
      <c r="O2225"/>
    </row>
    <row r="2226" spans="1:15" x14ac:dyDescent="0.35">
      <c r="A2226" t="s">
        <v>3128</v>
      </c>
      <c r="B2226" s="2">
        <v>45818</v>
      </c>
      <c r="C2226" t="s">
        <v>20</v>
      </c>
      <c r="D2226" t="s">
        <v>25</v>
      </c>
      <c r="E2226" t="s">
        <v>12</v>
      </c>
      <c r="F2226" t="s">
        <v>13</v>
      </c>
      <c r="G2226">
        <v>2</v>
      </c>
      <c r="H2226">
        <v>2.5</v>
      </c>
      <c r="I2226" t="s">
        <v>14</v>
      </c>
      <c r="J2226" t="s">
        <v>1143</v>
      </c>
      <c r="K2226" s="12">
        <f>Store_Record[[#This Row],[Qty]]*Store_Record[[#This Row],[UnitPriceGBP]]</f>
        <v>5</v>
      </c>
      <c r="L2226" s="5" t="str">
        <f>TEXT(Store_Record[[#This Row],[Date]],"dddd")</f>
        <v>Tuesday</v>
      </c>
      <c r="M2226" s="5" t="str">
        <f>TEXT(Store_Record[[#This Row],[Date]],"mmmm")</f>
        <v>June</v>
      </c>
      <c r="N2226" s="5">
        <f>YEAR(Store_Record[[#This Row],[Date]])</f>
        <v>2025</v>
      </c>
      <c r="O2226"/>
    </row>
    <row r="2227" spans="1:15" x14ac:dyDescent="0.35">
      <c r="A2227" t="s">
        <v>3134</v>
      </c>
      <c r="B2227" s="2">
        <v>45818</v>
      </c>
      <c r="C2227" t="s">
        <v>10</v>
      </c>
      <c r="D2227" t="s">
        <v>25</v>
      </c>
      <c r="E2227" t="s">
        <v>12</v>
      </c>
      <c r="F2227" t="s">
        <v>13</v>
      </c>
      <c r="G2227">
        <v>2</v>
      </c>
      <c r="H2227">
        <v>2.5</v>
      </c>
      <c r="I2227" t="s">
        <v>21</v>
      </c>
      <c r="J2227" t="s">
        <v>745</v>
      </c>
      <c r="K2227" s="12">
        <f>Store_Record[[#This Row],[Qty]]*Store_Record[[#This Row],[UnitPriceGBP]]</f>
        <v>5</v>
      </c>
      <c r="L2227" s="5" t="str">
        <f>TEXT(Store_Record[[#This Row],[Date]],"dddd")</f>
        <v>Tuesday</v>
      </c>
      <c r="M2227" s="5" t="str">
        <f>TEXT(Store_Record[[#This Row],[Date]],"mmmm")</f>
        <v>June</v>
      </c>
      <c r="N2227" s="5">
        <f>YEAR(Store_Record[[#This Row],[Date]])</f>
        <v>2025</v>
      </c>
      <c r="O2227"/>
    </row>
    <row r="2228" spans="1:15" x14ac:dyDescent="0.35">
      <c r="A2228" t="s">
        <v>3124</v>
      </c>
      <c r="B2228" s="2">
        <v>45818</v>
      </c>
      <c r="C2228" t="s">
        <v>24</v>
      </c>
      <c r="D2228" t="s">
        <v>29</v>
      </c>
      <c r="E2228" t="s">
        <v>42</v>
      </c>
      <c r="F2228" t="s">
        <v>13</v>
      </c>
      <c r="G2228">
        <v>1</v>
      </c>
      <c r="H2228">
        <v>3.8</v>
      </c>
      <c r="I2228" t="s">
        <v>14</v>
      </c>
      <c r="J2228" t="s">
        <v>260</v>
      </c>
      <c r="K2228" s="12">
        <f>Store_Record[[#This Row],[Qty]]*Store_Record[[#This Row],[UnitPriceGBP]]</f>
        <v>3.8</v>
      </c>
      <c r="L2228" s="5" t="str">
        <f>TEXT(Store_Record[[#This Row],[Date]],"dddd")</f>
        <v>Tuesday</v>
      </c>
      <c r="M2228" s="5" t="str">
        <f>TEXT(Store_Record[[#This Row],[Date]],"mmmm")</f>
        <v>June</v>
      </c>
      <c r="N2228" s="5">
        <f>YEAR(Store_Record[[#This Row],[Date]])</f>
        <v>2025</v>
      </c>
      <c r="O2228"/>
    </row>
    <row r="2229" spans="1:15" x14ac:dyDescent="0.35">
      <c r="A2229" t="s">
        <v>3131</v>
      </c>
      <c r="B2229" s="2">
        <v>45818</v>
      </c>
      <c r="C2229" t="s">
        <v>36</v>
      </c>
      <c r="D2229" t="s">
        <v>47</v>
      </c>
      <c r="E2229" t="s">
        <v>30</v>
      </c>
      <c r="F2229" t="s">
        <v>31</v>
      </c>
      <c r="G2229">
        <v>1</v>
      </c>
      <c r="H2229">
        <v>2.8</v>
      </c>
      <c r="I2229" t="s">
        <v>14</v>
      </c>
      <c r="J2229" t="s">
        <v>1411</v>
      </c>
      <c r="K2229" s="12">
        <f>Store_Record[[#This Row],[Qty]]*Store_Record[[#This Row],[UnitPriceGBP]]</f>
        <v>2.8</v>
      </c>
      <c r="L2229" s="5" t="str">
        <f>TEXT(Store_Record[[#This Row],[Date]],"dddd")</f>
        <v>Tuesday</v>
      </c>
      <c r="M2229" s="5" t="str">
        <f>TEXT(Store_Record[[#This Row],[Date]],"mmmm")</f>
        <v>June</v>
      </c>
      <c r="N2229" s="5">
        <f>YEAR(Store_Record[[#This Row],[Date]])</f>
        <v>2025</v>
      </c>
      <c r="O2229"/>
    </row>
    <row r="2230" spans="1:15" x14ac:dyDescent="0.35">
      <c r="A2230" t="s">
        <v>3136</v>
      </c>
      <c r="B2230" s="2">
        <v>45818</v>
      </c>
      <c r="C2230" t="s">
        <v>24</v>
      </c>
      <c r="D2230" t="s">
        <v>25</v>
      </c>
      <c r="E2230" t="s">
        <v>30</v>
      </c>
      <c r="F2230" t="s">
        <v>31</v>
      </c>
      <c r="G2230">
        <v>1</v>
      </c>
      <c r="H2230">
        <v>2.8</v>
      </c>
      <c r="I2230" t="s">
        <v>14</v>
      </c>
      <c r="J2230" t="s">
        <v>68</v>
      </c>
      <c r="K2230" s="12">
        <f>Store_Record[[#This Row],[Qty]]*Store_Record[[#This Row],[UnitPriceGBP]]</f>
        <v>2.8</v>
      </c>
      <c r="L2230" s="5" t="str">
        <f>TEXT(Store_Record[[#This Row],[Date]],"dddd")</f>
        <v>Tuesday</v>
      </c>
      <c r="M2230" s="5" t="str">
        <f>TEXT(Store_Record[[#This Row],[Date]],"mmmm")</f>
        <v>June</v>
      </c>
      <c r="N2230" s="5">
        <f>YEAR(Store_Record[[#This Row],[Date]])</f>
        <v>2025</v>
      </c>
      <c r="O2230"/>
    </row>
    <row r="2231" spans="1:15" x14ac:dyDescent="0.35">
      <c r="A2231" t="s">
        <v>3129</v>
      </c>
      <c r="B2231" s="2">
        <v>45818</v>
      </c>
      <c r="C2231" t="s">
        <v>20</v>
      </c>
      <c r="D2231" t="s">
        <v>38</v>
      </c>
      <c r="E2231" t="s">
        <v>12</v>
      </c>
      <c r="F2231" t="s">
        <v>13</v>
      </c>
      <c r="G2231">
        <v>1</v>
      </c>
      <c r="H2231">
        <v>2.5</v>
      </c>
      <c r="I2231" t="s">
        <v>14</v>
      </c>
      <c r="J2231" t="s">
        <v>1254</v>
      </c>
      <c r="K2231" s="12">
        <f>Store_Record[[#This Row],[Qty]]*Store_Record[[#This Row],[UnitPriceGBP]]</f>
        <v>2.5</v>
      </c>
      <c r="L2231" s="5" t="str">
        <f>TEXT(Store_Record[[#This Row],[Date]],"dddd")</f>
        <v>Tuesday</v>
      </c>
      <c r="M2231" s="5" t="str">
        <f>TEXT(Store_Record[[#This Row],[Date]],"mmmm")</f>
        <v>June</v>
      </c>
      <c r="N2231" s="5">
        <f>YEAR(Store_Record[[#This Row],[Date]])</f>
        <v>2025</v>
      </c>
      <c r="O2231"/>
    </row>
    <row r="2232" spans="1:15" x14ac:dyDescent="0.35">
      <c r="A2232" t="s">
        <v>3140</v>
      </c>
      <c r="B2232" s="2">
        <v>45819</v>
      </c>
      <c r="C2232" t="s">
        <v>10</v>
      </c>
      <c r="D2232" t="s">
        <v>29</v>
      </c>
      <c r="E2232" t="s">
        <v>42</v>
      </c>
      <c r="F2232" t="s">
        <v>13</v>
      </c>
      <c r="G2232">
        <v>5</v>
      </c>
      <c r="H2232">
        <v>3.8</v>
      </c>
      <c r="I2232" t="s">
        <v>39</v>
      </c>
      <c r="J2232" t="s">
        <v>2079</v>
      </c>
      <c r="K2232" s="12">
        <f>Store_Record[[#This Row],[Qty]]*Store_Record[[#This Row],[UnitPriceGBP]]</f>
        <v>19</v>
      </c>
      <c r="L2232" s="5" t="str">
        <f>TEXT(Store_Record[[#This Row],[Date]],"dddd")</f>
        <v>Wednesday</v>
      </c>
      <c r="M2232" s="5" t="str">
        <f>TEXT(Store_Record[[#This Row],[Date]],"mmmm")</f>
        <v>June</v>
      </c>
      <c r="N2232" s="5">
        <f>YEAR(Store_Record[[#This Row],[Date]])</f>
        <v>2025</v>
      </c>
      <c r="O2232"/>
    </row>
    <row r="2233" spans="1:15" x14ac:dyDescent="0.35">
      <c r="A2233" t="s">
        <v>3159</v>
      </c>
      <c r="B2233" s="2">
        <v>45819</v>
      </c>
      <c r="C2233" t="s">
        <v>24</v>
      </c>
      <c r="D2233" t="s">
        <v>25</v>
      </c>
      <c r="E2233" t="s">
        <v>42</v>
      </c>
      <c r="F2233" t="s">
        <v>13</v>
      </c>
      <c r="G2233">
        <v>5</v>
      </c>
      <c r="H2233">
        <v>3.8</v>
      </c>
      <c r="I2233" t="s">
        <v>14</v>
      </c>
      <c r="J2233" t="s">
        <v>1762</v>
      </c>
      <c r="K2233" s="12">
        <f>Store_Record[[#This Row],[Qty]]*Store_Record[[#This Row],[UnitPriceGBP]]</f>
        <v>19</v>
      </c>
      <c r="L2233" s="5" t="str">
        <f>TEXT(Store_Record[[#This Row],[Date]],"dddd")</f>
        <v>Wednesday</v>
      </c>
      <c r="M2233" s="5" t="str">
        <f>TEXT(Store_Record[[#This Row],[Date]],"mmmm")</f>
        <v>June</v>
      </c>
      <c r="N2233" s="5">
        <f>YEAR(Store_Record[[#This Row],[Date]])</f>
        <v>2025</v>
      </c>
      <c r="O2233"/>
    </row>
    <row r="2234" spans="1:15" x14ac:dyDescent="0.35">
      <c r="A2234" t="s">
        <v>3139</v>
      </c>
      <c r="B2234" s="2">
        <v>45819</v>
      </c>
      <c r="C2234" t="s">
        <v>10</v>
      </c>
      <c r="D2234" t="s">
        <v>47</v>
      </c>
      <c r="E2234" t="s">
        <v>26</v>
      </c>
      <c r="F2234" t="s">
        <v>13</v>
      </c>
      <c r="G2234">
        <v>5</v>
      </c>
      <c r="H2234">
        <v>3.5</v>
      </c>
      <c r="I2234" t="s">
        <v>14</v>
      </c>
      <c r="J2234" t="s">
        <v>1156</v>
      </c>
      <c r="K2234" s="12">
        <f>Store_Record[[#This Row],[Qty]]*Store_Record[[#This Row],[UnitPriceGBP]]</f>
        <v>17.5</v>
      </c>
      <c r="L2234" s="5" t="str">
        <f>TEXT(Store_Record[[#This Row],[Date]],"dddd")</f>
        <v>Wednesday</v>
      </c>
      <c r="M2234" s="5" t="str">
        <f>TEXT(Store_Record[[#This Row],[Date]],"mmmm")</f>
        <v>June</v>
      </c>
      <c r="N2234" s="5">
        <f>YEAR(Store_Record[[#This Row],[Date]])</f>
        <v>2025</v>
      </c>
      <c r="O2234"/>
    </row>
    <row r="2235" spans="1:15" x14ac:dyDescent="0.35">
      <c r="A2235" t="s">
        <v>3142</v>
      </c>
      <c r="B2235" s="2">
        <v>45819</v>
      </c>
      <c r="C2235" t="s">
        <v>10</v>
      </c>
      <c r="D2235" t="s">
        <v>38</v>
      </c>
      <c r="E2235" t="s">
        <v>12</v>
      </c>
      <c r="F2235" t="s">
        <v>13</v>
      </c>
      <c r="G2235">
        <v>5</v>
      </c>
      <c r="H2235">
        <v>2.5</v>
      </c>
      <c r="I2235" t="s">
        <v>14</v>
      </c>
      <c r="J2235" t="s">
        <v>3143</v>
      </c>
      <c r="K2235" s="12">
        <f>Store_Record[[#This Row],[Qty]]*Store_Record[[#This Row],[UnitPriceGBP]]</f>
        <v>12.5</v>
      </c>
      <c r="L2235" s="5" t="str">
        <f>TEXT(Store_Record[[#This Row],[Date]],"dddd")</f>
        <v>Wednesday</v>
      </c>
      <c r="M2235" s="5" t="str">
        <f>TEXT(Store_Record[[#This Row],[Date]],"mmmm")</f>
        <v>June</v>
      </c>
      <c r="N2235" s="5">
        <f>YEAR(Store_Record[[#This Row],[Date]])</f>
        <v>2025</v>
      </c>
      <c r="O2235"/>
    </row>
    <row r="2236" spans="1:15" x14ac:dyDescent="0.35">
      <c r="A2236" t="s">
        <v>3147</v>
      </c>
      <c r="B2236" s="2">
        <v>45819</v>
      </c>
      <c r="C2236" t="s">
        <v>36</v>
      </c>
      <c r="D2236" t="s">
        <v>25</v>
      </c>
      <c r="E2236" t="s">
        <v>12</v>
      </c>
      <c r="F2236" t="s">
        <v>13</v>
      </c>
      <c r="G2236">
        <v>5</v>
      </c>
      <c r="H2236">
        <v>2.5</v>
      </c>
      <c r="I2236" t="s">
        <v>39</v>
      </c>
      <c r="J2236" t="s">
        <v>466</v>
      </c>
      <c r="K2236" s="12">
        <f>Store_Record[[#This Row],[Qty]]*Store_Record[[#This Row],[UnitPriceGBP]]</f>
        <v>12.5</v>
      </c>
      <c r="L2236" s="5" t="str">
        <f>TEXT(Store_Record[[#This Row],[Date]],"dddd")</f>
        <v>Wednesday</v>
      </c>
      <c r="M2236" s="5" t="str">
        <f>TEXT(Store_Record[[#This Row],[Date]],"mmmm")</f>
        <v>June</v>
      </c>
      <c r="N2236" s="5">
        <f>YEAR(Store_Record[[#This Row],[Date]])</f>
        <v>2025</v>
      </c>
      <c r="O2236"/>
    </row>
    <row r="2237" spans="1:15" x14ac:dyDescent="0.35">
      <c r="A2237" t="s">
        <v>3147</v>
      </c>
      <c r="B2237" s="2">
        <v>45819</v>
      </c>
      <c r="C2237" t="s">
        <v>36</v>
      </c>
      <c r="D2237" t="s">
        <v>25</v>
      </c>
      <c r="E2237" t="s">
        <v>12</v>
      </c>
      <c r="F2237" t="s">
        <v>13</v>
      </c>
      <c r="G2237">
        <v>5</v>
      </c>
      <c r="H2237">
        <v>2.5</v>
      </c>
      <c r="I2237" t="s">
        <v>14</v>
      </c>
      <c r="J2237" t="s">
        <v>466</v>
      </c>
      <c r="K2237" s="12">
        <f>Store_Record[[#This Row],[Qty]]*Store_Record[[#This Row],[UnitPriceGBP]]</f>
        <v>12.5</v>
      </c>
      <c r="L2237" s="5" t="str">
        <f>TEXT(Store_Record[[#This Row],[Date]],"dddd")</f>
        <v>Wednesday</v>
      </c>
      <c r="M2237" s="5" t="str">
        <f>TEXT(Store_Record[[#This Row],[Date]],"mmmm")</f>
        <v>June</v>
      </c>
      <c r="N2237" s="5">
        <f>YEAR(Store_Record[[#This Row],[Date]])</f>
        <v>2025</v>
      </c>
      <c r="O2237"/>
    </row>
    <row r="2238" spans="1:15" x14ac:dyDescent="0.35">
      <c r="A2238" t="s">
        <v>3141</v>
      </c>
      <c r="B2238" s="2">
        <v>45819</v>
      </c>
      <c r="C2238" t="s">
        <v>24</v>
      </c>
      <c r="D2238" t="s">
        <v>47</v>
      </c>
      <c r="E2238" t="s">
        <v>30</v>
      </c>
      <c r="F2238" t="s">
        <v>31</v>
      </c>
      <c r="G2238">
        <v>4</v>
      </c>
      <c r="H2238">
        <v>2.8</v>
      </c>
      <c r="I2238" t="s">
        <v>21</v>
      </c>
      <c r="J2238" t="s">
        <v>925</v>
      </c>
      <c r="K2238" s="12">
        <f>Store_Record[[#This Row],[Qty]]*Store_Record[[#This Row],[UnitPriceGBP]]</f>
        <v>11.2</v>
      </c>
      <c r="L2238" s="5" t="str">
        <f>TEXT(Store_Record[[#This Row],[Date]],"dddd")</f>
        <v>Wednesday</v>
      </c>
      <c r="M2238" s="5" t="str">
        <f>TEXT(Store_Record[[#This Row],[Date]],"mmmm")</f>
        <v>June</v>
      </c>
      <c r="N2238" s="5">
        <f>YEAR(Store_Record[[#This Row],[Date]])</f>
        <v>2025</v>
      </c>
      <c r="O2238"/>
    </row>
    <row r="2239" spans="1:15" x14ac:dyDescent="0.35">
      <c r="A2239" t="s">
        <v>3148</v>
      </c>
      <c r="B2239" s="2">
        <v>45819</v>
      </c>
      <c r="C2239" t="s">
        <v>20</v>
      </c>
      <c r="D2239" t="s">
        <v>29</v>
      </c>
      <c r="E2239" t="s">
        <v>30</v>
      </c>
      <c r="F2239" t="s">
        <v>31</v>
      </c>
      <c r="G2239">
        <v>4</v>
      </c>
      <c r="H2239">
        <v>2.8</v>
      </c>
      <c r="I2239" t="s">
        <v>14</v>
      </c>
      <c r="J2239" t="s">
        <v>3114</v>
      </c>
      <c r="K2239" s="12">
        <f>Store_Record[[#This Row],[Qty]]*Store_Record[[#This Row],[UnitPriceGBP]]</f>
        <v>11.2</v>
      </c>
      <c r="L2239" s="5" t="str">
        <f>TEXT(Store_Record[[#This Row],[Date]],"dddd")</f>
        <v>Wednesday</v>
      </c>
      <c r="M2239" s="5" t="str">
        <f>TEXT(Store_Record[[#This Row],[Date]],"mmmm")</f>
        <v>June</v>
      </c>
      <c r="N2239" s="5">
        <f>YEAR(Store_Record[[#This Row],[Date]])</f>
        <v>2025</v>
      </c>
      <c r="O2239"/>
    </row>
    <row r="2240" spans="1:15" x14ac:dyDescent="0.35">
      <c r="A2240" t="s">
        <v>3138</v>
      </c>
      <c r="B2240" s="2">
        <v>45819</v>
      </c>
      <c r="C2240" t="s">
        <v>24</v>
      </c>
      <c r="D2240" t="s">
        <v>47</v>
      </c>
      <c r="E2240" t="s">
        <v>26</v>
      </c>
      <c r="F2240" t="s">
        <v>13</v>
      </c>
      <c r="G2240">
        <v>3</v>
      </c>
      <c r="H2240">
        <v>3.5</v>
      </c>
      <c r="I2240" t="s">
        <v>14</v>
      </c>
      <c r="J2240" t="s">
        <v>1845</v>
      </c>
      <c r="K2240" s="12">
        <f>Store_Record[[#This Row],[Qty]]*Store_Record[[#This Row],[UnitPriceGBP]]</f>
        <v>10.5</v>
      </c>
      <c r="L2240" s="5" t="str">
        <f>TEXT(Store_Record[[#This Row],[Date]],"dddd")</f>
        <v>Wednesday</v>
      </c>
      <c r="M2240" s="5" t="str">
        <f>TEXT(Store_Record[[#This Row],[Date]],"mmmm")</f>
        <v>June</v>
      </c>
      <c r="N2240" s="5">
        <f>YEAR(Store_Record[[#This Row],[Date]])</f>
        <v>2025</v>
      </c>
      <c r="O2240"/>
    </row>
    <row r="2241" spans="1:15" x14ac:dyDescent="0.35">
      <c r="A2241" t="s">
        <v>3155</v>
      </c>
      <c r="B2241" s="2">
        <v>45819</v>
      </c>
      <c r="C2241" t="s">
        <v>10</v>
      </c>
      <c r="D2241" t="s">
        <v>38</v>
      </c>
      <c r="E2241" t="s">
        <v>30</v>
      </c>
      <c r="F2241" t="s">
        <v>31</v>
      </c>
      <c r="G2241">
        <v>3</v>
      </c>
      <c r="H2241">
        <v>2.8</v>
      </c>
      <c r="I2241" t="s">
        <v>14</v>
      </c>
      <c r="J2241" t="s">
        <v>671</v>
      </c>
      <c r="K2241" s="12">
        <f>Store_Record[[#This Row],[Qty]]*Store_Record[[#This Row],[UnitPriceGBP]]</f>
        <v>8.3999999999999986</v>
      </c>
      <c r="L2241" s="5" t="str">
        <f>TEXT(Store_Record[[#This Row],[Date]],"dddd")</f>
        <v>Wednesday</v>
      </c>
      <c r="M2241" s="5" t="str">
        <f>TEXT(Store_Record[[#This Row],[Date]],"mmmm")</f>
        <v>June</v>
      </c>
      <c r="N2241" s="5">
        <f>YEAR(Store_Record[[#This Row],[Date]])</f>
        <v>2025</v>
      </c>
      <c r="O2241"/>
    </row>
    <row r="2242" spans="1:15" x14ac:dyDescent="0.35">
      <c r="A2242" t="s">
        <v>3149</v>
      </c>
      <c r="B2242" s="2">
        <v>45819</v>
      </c>
      <c r="C2242" t="s">
        <v>24</v>
      </c>
      <c r="D2242" t="s">
        <v>25</v>
      </c>
      <c r="E2242" t="s">
        <v>12</v>
      </c>
      <c r="F2242" t="s">
        <v>13</v>
      </c>
      <c r="G2242">
        <v>3</v>
      </c>
      <c r="H2242">
        <v>2.5</v>
      </c>
      <c r="I2242" t="s">
        <v>14</v>
      </c>
      <c r="J2242" t="s">
        <v>1086</v>
      </c>
      <c r="K2242" s="12">
        <f>Store_Record[[#This Row],[Qty]]*Store_Record[[#This Row],[UnitPriceGBP]]</f>
        <v>7.5</v>
      </c>
      <c r="L2242" s="5" t="str">
        <f>TEXT(Store_Record[[#This Row],[Date]],"dddd")</f>
        <v>Wednesday</v>
      </c>
      <c r="M2242" s="5" t="str">
        <f>TEXT(Store_Record[[#This Row],[Date]],"mmmm")</f>
        <v>June</v>
      </c>
      <c r="N2242" s="5">
        <f>YEAR(Store_Record[[#This Row],[Date]])</f>
        <v>2025</v>
      </c>
      <c r="O2242"/>
    </row>
    <row r="2243" spans="1:15" x14ac:dyDescent="0.35">
      <c r="A2243" t="s">
        <v>3145</v>
      </c>
      <c r="B2243" s="2">
        <v>45819</v>
      </c>
      <c r="C2243" t="s">
        <v>20</v>
      </c>
      <c r="D2243" t="s">
        <v>25</v>
      </c>
      <c r="E2243" t="s">
        <v>30</v>
      </c>
      <c r="F2243" t="s">
        <v>31</v>
      </c>
      <c r="G2243">
        <v>2</v>
      </c>
      <c r="H2243">
        <v>2.8</v>
      </c>
      <c r="I2243" t="s">
        <v>14</v>
      </c>
      <c r="J2243" t="s">
        <v>3146</v>
      </c>
      <c r="K2243" s="12">
        <f>Store_Record[[#This Row],[Qty]]*Store_Record[[#This Row],[UnitPriceGBP]]</f>
        <v>5.6</v>
      </c>
      <c r="L2243" s="5" t="str">
        <f>TEXT(Store_Record[[#This Row],[Date]],"dddd")</f>
        <v>Wednesday</v>
      </c>
      <c r="M2243" s="5" t="str">
        <f>TEXT(Store_Record[[#This Row],[Date]],"mmmm")</f>
        <v>June</v>
      </c>
      <c r="N2243" s="5">
        <f>YEAR(Store_Record[[#This Row],[Date]])</f>
        <v>2025</v>
      </c>
      <c r="O2243"/>
    </row>
    <row r="2244" spans="1:15" x14ac:dyDescent="0.35">
      <c r="A2244" t="s">
        <v>3150</v>
      </c>
      <c r="B2244" s="2">
        <v>45819</v>
      </c>
      <c r="C2244" t="s">
        <v>20</v>
      </c>
      <c r="D2244" t="s">
        <v>11</v>
      </c>
      <c r="E2244" t="s">
        <v>30</v>
      </c>
      <c r="F2244" t="s">
        <v>31</v>
      </c>
      <c r="G2244">
        <v>2</v>
      </c>
      <c r="H2244">
        <v>2.8</v>
      </c>
      <c r="I2244" t="s">
        <v>21</v>
      </c>
      <c r="J2244" t="s">
        <v>481</v>
      </c>
      <c r="K2244" s="12">
        <f>Store_Record[[#This Row],[Qty]]*Store_Record[[#This Row],[UnitPriceGBP]]</f>
        <v>5.6</v>
      </c>
      <c r="L2244" s="5" t="str">
        <f>TEXT(Store_Record[[#This Row],[Date]],"dddd")</f>
        <v>Wednesday</v>
      </c>
      <c r="M2244" s="5" t="str">
        <f>TEXT(Store_Record[[#This Row],[Date]],"mmmm")</f>
        <v>June</v>
      </c>
      <c r="N2244" s="5">
        <f>YEAR(Store_Record[[#This Row],[Date]])</f>
        <v>2025</v>
      </c>
      <c r="O2244"/>
    </row>
    <row r="2245" spans="1:15" x14ac:dyDescent="0.35">
      <c r="A2245" t="s">
        <v>3153</v>
      </c>
      <c r="B2245" s="2">
        <v>45819</v>
      </c>
      <c r="C2245" t="s">
        <v>20</v>
      </c>
      <c r="D2245" t="s">
        <v>47</v>
      </c>
      <c r="E2245" t="s">
        <v>30</v>
      </c>
      <c r="F2245" t="s">
        <v>31</v>
      </c>
      <c r="G2245">
        <v>2</v>
      </c>
      <c r="H2245">
        <v>2.8</v>
      </c>
      <c r="I2245" t="s">
        <v>21</v>
      </c>
      <c r="J2245" t="s">
        <v>1418</v>
      </c>
      <c r="K2245" s="12">
        <f>Store_Record[[#This Row],[Qty]]*Store_Record[[#This Row],[UnitPriceGBP]]</f>
        <v>5.6</v>
      </c>
      <c r="L2245" s="5" t="str">
        <f>TEXT(Store_Record[[#This Row],[Date]],"dddd")</f>
        <v>Wednesday</v>
      </c>
      <c r="M2245" s="5" t="str">
        <f>TEXT(Store_Record[[#This Row],[Date]],"mmmm")</f>
        <v>June</v>
      </c>
      <c r="N2245" s="5">
        <f>YEAR(Store_Record[[#This Row],[Date]])</f>
        <v>2025</v>
      </c>
      <c r="O2245"/>
    </row>
    <row r="2246" spans="1:15" x14ac:dyDescent="0.35">
      <c r="A2246" t="s">
        <v>3154</v>
      </c>
      <c r="B2246" s="2">
        <v>45819</v>
      </c>
      <c r="C2246" t="s">
        <v>36</v>
      </c>
      <c r="D2246" t="s">
        <v>38</v>
      </c>
      <c r="E2246" t="s">
        <v>30</v>
      </c>
      <c r="F2246" t="s">
        <v>31</v>
      </c>
      <c r="G2246">
        <v>2</v>
      </c>
      <c r="H2246">
        <v>2.8</v>
      </c>
      <c r="I2246" t="s">
        <v>14</v>
      </c>
      <c r="J2246" t="s">
        <v>1860</v>
      </c>
      <c r="K2246" s="12">
        <f>Store_Record[[#This Row],[Qty]]*Store_Record[[#This Row],[UnitPriceGBP]]</f>
        <v>5.6</v>
      </c>
      <c r="L2246" s="5" t="str">
        <f>TEXT(Store_Record[[#This Row],[Date]],"dddd")</f>
        <v>Wednesday</v>
      </c>
      <c r="M2246" s="5" t="str">
        <f>TEXT(Store_Record[[#This Row],[Date]],"mmmm")</f>
        <v>June</v>
      </c>
      <c r="N2246" s="5">
        <f>YEAR(Store_Record[[#This Row],[Date]])</f>
        <v>2025</v>
      </c>
      <c r="O2246"/>
    </row>
    <row r="2247" spans="1:15" x14ac:dyDescent="0.35">
      <c r="A2247" t="s">
        <v>3156</v>
      </c>
      <c r="B2247" s="2">
        <v>45819</v>
      </c>
      <c r="C2247" t="s">
        <v>20</v>
      </c>
      <c r="D2247" t="s">
        <v>38</v>
      </c>
      <c r="E2247" t="s">
        <v>30</v>
      </c>
      <c r="F2247" t="s">
        <v>31</v>
      </c>
      <c r="G2247">
        <v>2</v>
      </c>
      <c r="H2247">
        <v>2.8</v>
      </c>
      <c r="I2247" t="s">
        <v>21</v>
      </c>
      <c r="J2247" t="s">
        <v>310</v>
      </c>
      <c r="K2247" s="12">
        <f>Store_Record[[#This Row],[Qty]]*Store_Record[[#This Row],[UnitPriceGBP]]</f>
        <v>5.6</v>
      </c>
      <c r="L2247" s="5" t="str">
        <f>TEXT(Store_Record[[#This Row],[Date]],"dddd")</f>
        <v>Wednesday</v>
      </c>
      <c r="M2247" s="5" t="str">
        <f>TEXT(Store_Record[[#This Row],[Date]],"mmmm")</f>
        <v>June</v>
      </c>
      <c r="N2247" s="5">
        <f>YEAR(Store_Record[[#This Row],[Date]])</f>
        <v>2025</v>
      </c>
      <c r="O2247"/>
    </row>
    <row r="2248" spans="1:15" x14ac:dyDescent="0.35">
      <c r="A2248" t="s">
        <v>3160</v>
      </c>
      <c r="B2248" s="2">
        <v>45819</v>
      </c>
      <c r="C2248" t="s">
        <v>36</v>
      </c>
      <c r="D2248" t="s">
        <v>25</v>
      </c>
      <c r="E2248" t="s">
        <v>34</v>
      </c>
      <c r="F2248" t="s">
        <v>31</v>
      </c>
      <c r="G2248">
        <v>2</v>
      </c>
      <c r="H2248">
        <v>2.2000000000000002</v>
      </c>
      <c r="I2248" t="s">
        <v>21</v>
      </c>
      <c r="J2248" t="s">
        <v>1481</v>
      </c>
      <c r="K2248" s="12">
        <f>Store_Record[[#This Row],[Qty]]*Store_Record[[#This Row],[UnitPriceGBP]]</f>
        <v>4.4000000000000004</v>
      </c>
      <c r="L2248" s="5" t="str">
        <f>TEXT(Store_Record[[#This Row],[Date]],"dddd")</f>
        <v>Wednesday</v>
      </c>
      <c r="M2248" s="5" t="str">
        <f>TEXT(Store_Record[[#This Row],[Date]],"mmmm")</f>
        <v>June</v>
      </c>
      <c r="N2248" s="5">
        <f>YEAR(Store_Record[[#This Row],[Date]])</f>
        <v>2025</v>
      </c>
      <c r="O2248"/>
    </row>
    <row r="2249" spans="1:15" x14ac:dyDescent="0.35">
      <c r="A2249" t="s">
        <v>3152</v>
      </c>
      <c r="B2249" s="2">
        <v>45819</v>
      </c>
      <c r="C2249" t="s">
        <v>10</v>
      </c>
      <c r="D2249" t="s">
        <v>38</v>
      </c>
      <c r="E2249" t="s">
        <v>42</v>
      </c>
      <c r="F2249" t="s">
        <v>13</v>
      </c>
      <c r="G2249">
        <v>1</v>
      </c>
      <c r="H2249">
        <v>3.8</v>
      </c>
      <c r="I2249" t="s">
        <v>39</v>
      </c>
      <c r="J2249" t="s">
        <v>252</v>
      </c>
      <c r="K2249" s="12">
        <f>Store_Record[[#This Row],[Qty]]*Store_Record[[#This Row],[UnitPriceGBP]]</f>
        <v>3.8</v>
      </c>
      <c r="L2249" s="5" t="str">
        <f>TEXT(Store_Record[[#This Row],[Date]],"dddd")</f>
        <v>Wednesday</v>
      </c>
      <c r="M2249" s="5" t="str">
        <f>TEXT(Store_Record[[#This Row],[Date]],"mmmm")</f>
        <v>June</v>
      </c>
      <c r="N2249" s="5">
        <f>YEAR(Store_Record[[#This Row],[Date]])</f>
        <v>2025</v>
      </c>
      <c r="O2249"/>
    </row>
    <row r="2250" spans="1:15" x14ac:dyDescent="0.35">
      <c r="A2250" t="s">
        <v>3144</v>
      </c>
      <c r="B2250" s="2">
        <v>45819</v>
      </c>
      <c r="C2250" t="s">
        <v>24</v>
      </c>
      <c r="D2250" t="s">
        <v>11</v>
      </c>
      <c r="E2250" t="s">
        <v>26</v>
      </c>
      <c r="F2250" t="s">
        <v>13</v>
      </c>
      <c r="G2250">
        <v>1</v>
      </c>
      <c r="H2250">
        <v>3.5</v>
      </c>
      <c r="I2250" t="s">
        <v>39</v>
      </c>
      <c r="J2250" t="s">
        <v>1265</v>
      </c>
      <c r="K2250" s="12">
        <f>Store_Record[[#This Row],[Qty]]*Store_Record[[#This Row],[UnitPriceGBP]]</f>
        <v>3.5</v>
      </c>
      <c r="L2250" s="5" t="str">
        <f>TEXT(Store_Record[[#This Row],[Date]],"dddd")</f>
        <v>Wednesday</v>
      </c>
      <c r="M2250" s="5" t="str">
        <f>TEXT(Store_Record[[#This Row],[Date]],"mmmm")</f>
        <v>June</v>
      </c>
      <c r="N2250" s="5">
        <f>YEAR(Store_Record[[#This Row],[Date]])</f>
        <v>2025</v>
      </c>
      <c r="O2250"/>
    </row>
    <row r="2251" spans="1:15" x14ac:dyDescent="0.35">
      <c r="A2251" t="s">
        <v>3151</v>
      </c>
      <c r="B2251" s="2">
        <v>45819</v>
      </c>
      <c r="C2251" t="s">
        <v>24</v>
      </c>
      <c r="D2251" t="s">
        <v>47</v>
      </c>
      <c r="E2251" t="s">
        <v>26</v>
      </c>
      <c r="F2251" t="s">
        <v>13</v>
      </c>
      <c r="G2251">
        <v>1</v>
      </c>
      <c r="H2251">
        <v>3.5</v>
      </c>
      <c r="I2251" t="s">
        <v>21</v>
      </c>
      <c r="J2251" t="s">
        <v>1228</v>
      </c>
      <c r="K2251" s="12">
        <f>Store_Record[[#This Row],[Qty]]*Store_Record[[#This Row],[UnitPriceGBP]]</f>
        <v>3.5</v>
      </c>
      <c r="L2251" s="5" t="str">
        <f>TEXT(Store_Record[[#This Row],[Date]],"dddd")</f>
        <v>Wednesday</v>
      </c>
      <c r="M2251" s="5" t="str">
        <f>TEXT(Store_Record[[#This Row],[Date]],"mmmm")</f>
        <v>June</v>
      </c>
      <c r="N2251" s="5">
        <f>YEAR(Store_Record[[#This Row],[Date]])</f>
        <v>2025</v>
      </c>
      <c r="O2251"/>
    </row>
    <row r="2252" spans="1:15" x14ac:dyDescent="0.35">
      <c r="A2252" t="s">
        <v>3158</v>
      </c>
      <c r="B2252" s="2">
        <v>45819</v>
      </c>
      <c r="C2252" t="s">
        <v>36</v>
      </c>
      <c r="D2252" t="s">
        <v>38</v>
      </c>
      <c r="E2252" t="s">
        <v>30</v>
      </c>
      <c r="F2252" t="s">
        <v>31</v>
      </c>
      <c r="G2252">
        <v>1</v>
      </c>
      <c r="H2252">
        <v>2.8</v>
      </c>
      <c r="I2252" t="s">
        <v>21</v>
      </c>
      <c r="J2252" t="s">
        <v>656</v>
      </c>
      <c r="K2252" s="12">
        <f>Store_Record[[#This Row],[Qty]]*Store_Record[[#This Row],[UnitPriceGBP]]</f>
        <v>2.8</v>
      </c>
      <c r="L2252" s="5" t="str">
        <f>TEXT(Store_Record[[#This Row],[Date]],"dddd")</f>
        <v>Wednesday</v>
      </c>
      <c r="M2252" s="5" t="str">
        <f>TEXT(Store_Record[[#This Row],[Date]],"mmmm")</f>
        <v>June</v>
      </c>
      <c r="N2252" s="5">
        <f>YEAR(Store_Record[[#This Row],[Date]])</f>
        <v>2025</v>
      </c>
      <c r="O2252"/>
    </row>
    <row r="2253" spans="1:15" x14ac:dyDescent="0.35">
      <c r="A2253" t="s">
        <v>3157</v>
      </c>
      <c r="B2253" s="2">
        <v>45819</v>
      </c>
      <c r="C2253" t="s">
        <v>20</v>
      </c>
      <c r="D2253" t="s">
        <v>47</v>
      </c>
      <c r="E2253" t="s">
        <v>12</v>
      </c>
      <c r="F2253" t="s">
        <v>13</v>
      </c>
      <c r="G2253">
        <v>1</v>
      </c>
      <c r="H2253">
        <v>2.5</v>
      </c>
      <c r="I2253" t="s">
        <v>39</v>
      </c>
      <c r="J2253" t="s">
        <v>1389</v>
      </c>
      <c r="K2253" s="12">
        <f>Store_Record[[#This Row],[Qty]]*Store_Record[[#This Row],[UnitPriceGBP]]</f>
        <v>2.5</v>
      </c>
      <c r="L2253" s="5" t="str">
        <f>TEXT(Store_Record[[#This Row],[Date]],"dddd")</f>
        <v>Wednesday</v>
      </c>
      <c r="M2253" s="5" t="str">
        <f>TEXT(Store_Record[[#This Row],[Date]],"mmmm")</f>
        <v>June</v>
      </c>
      <c r="N2253" s="5">
        <f>YEAR(Store_Record[[#This Row],[Date]])</f>
        <v>2025</v>
      </c>
      <c r="O2253"/>
    </row>
    <row r="2254" spans="1:15" x14ac:dyDescent="0.35">
      <c r="A2254" t="s">
        <v>3137</v>
      </c>
      <c r="B2254" s="2">
        <v>45819</v>
      </c>
      <c r="C2254" t="s">
        <v>10</v>
      </c>
      <c r="D2254" t="s">
        <v>29</v>
      </c>
      <c r="E2254" t="s">
        <v>34</v>
      </c>
      <c r="F2254" t="s">
        <v>31</v>
      </c>
      <c r="G2254">
        <v>1</v>
      </c>
      <c r="H2254">
        <v>2.2000000000000002</v>
      </c>
      <c r="I2254" t="s">
        <v>39</v>
      </c>
      <c r="J2254" t="s">
        <v>578</v>
      </c>
      <c r="K2254" s="12">
        <f>Store_Record[[#This Row],[Qty]]*Store_Record[[#This Row],[UnitPriceGBP]]</f>
        <v>2.2000000000000002</v>
      </c>
      <c r="L2254" s="5" t="str">
        <f>TEXT(Store_Record[[#This Row],[Date]],"dddd")</f>
        <v>Wednesday</v>
      </c>
      <c r="M2254" s="5" t="str">
        <f>TEXT(Store_Record[[#This Row],[Date]],"mmmm")</f>
        <v>June</v>
      </c>
      <c r="N2254" s="5">
        <f>YEAR(Store_Record[[#This Row],[Date]])</f>
        <v>2025</v>
      </c>
      <c r="O2254"/>
    </row>
    <row r="2255" spans="1:15" x14ac:dyDescent="0.35">
      <c r="A2255" t="s">
        <v>3166</v>
      </c>
      <c r="B2255" s="2">
        <v>45820</v>
      </c>
      <c r="C2255" t="s">
        <v>36</v>
      </c>
      <c r="D2255" t="s">
        <v>47</v>
      </c>
      <c r="E2255" t="s">
        <v>26</v>
      </c>
      <c r="F2255" t="s">
        <v>13</v>
      </c>
      <c r="G2255">
        <v>5</v>
      </c>
      <c r="H2255">
        <v>3.5</v>
      </c>
      <c r="I2255" t="s">
        <v>21</v>
      </c>
      <c r="J2255" t="s">
        <v>1872</v>
      </c>
      <c r="K2255" s="12">
        <f>Store_Record[[#This Row],[Qty]]*Store_Record[[#This Row],[UnitPriceGBP]]</f>
        <v>17.5</v>
      </c>
      <c r="L2255" s="5" t="str">
        <f>TEXT(Store_Record[[#This Row],[Date]],"dddd")</f>
        <v>Thursday</v>
      </c>
      <c r="M2255" s="5" t="str">
        <f>TEXT(Store_Record[[#This Row],[Date]],"mmmm")</f>
        <v>June</v>
      </c>
      <c r="N2255" s="5">
        <f>YEAR(Store_Record[[#This Row],[Date]])</f>
        <v>2025</v>
      </c>
      <c r="O2255"/>
    </row>
    <row r="2256" spans="1:15" x14ac:dyDescent="0.35">
      <c r="A2256" t="s">
        <v>3176</v>
      </c>
      <c r="B2256" s="2">
        <v>45820</v>
      </c>
      <c r="C2256" t="s">
        <v>20</v>
      </c>
      <c r="D2256" t="s">
        <v>47</v>
      </c>
      <c r="E2256" t="s">
        <v>26</v>
      </c>
      <c r="F2256" t="s">
        <v>13</v>
      </c>
      <c r="G2256">
        <v>5</v>
      </c>
      <c r="H2256">
        <v>3.5</v>
      </c>
      <c r="I2256" t="s">
        <v>39</v>
      </c>
      <c r="J2256" t="s">
        <v>862</v>
      </c>
      <c r="K2256" s="12">
        <f>Store_Record[[#This Row],[Qty]]*Store_Record[[#This Row],[UnitPriceGBP]]</f>
        <v>17.5</v>
      </c>
      <c r="L2256" s="5" t="str">
        <f>TEXT(Store_Record[[#This Row],[Date]],"dddd")</f>
        <v>Thursday</v>
      </c>
      <c r="M2256" s="5" t="str">
        <f>TEXT(Store_Record[[#This Row],[Date]],"mmmm")</f>
        <v>June</v>
      </c>
      <c r="N2256" s="5">
        <f>YEAR(Store_Record[[#This Row],[Date]])</f>
        <v>2025</v>
      </c>
      <c r="O2256"/>
    </row>
    <row r="2257" spans="1:15" x14ac:dyDescent="0.35">
      <c r="A2257" t="s">
        <v>3161</v>
      </c>
      <c r="B2257" s="2">
        <v>45820</v>
      </c>
      <c r="C2257" t="s">
        <v>20</v>
      </c>
      <c r="D2257" t="s">
        <v>25</v>
      </c>
      <c r="E2257" t="s">
        <v>30</v>
      </c>
      <c r="F2257" t="s">
        <v>31</v>
      </c>
      <c r="G2257">
        <v>5</v>
      </c>
      <c r="H2257">
        <v>2.8</v>
      </c>
      <c r="I2257" t="s">
        <v>39</v>
      </c>
      <c r="J2257" t="s">
        <v>3162</v>
      </c>
      <c r="K2257" s="12">
        <f>Store_Record[[#This Row],[Qty]]*Store_Record[[#This Row],[UnitPriceGBP]]</f>
        <v>14</v>
      </c>
      <c r="L2257" s="5" t="str">
        <f>TEXT(Store_Record[[#This Row],[Date]],"dddd")</f>
        <v>Thursday</v>
      </c>
      <c r="M2257" s="5" t="str">
        <f>TEXT(Store_Record[[#This Row],[Date]],"mmmm")</f>
        <v>June</v>
      </c>
      <c r="N2257" s="5">
        <f>YEAR(Store_Record[[#This Row],[Date]])</f>
        <v>2025</v>
      </c>
      <c r="O2257"/>
    </row>
    <row r="2258" spans="1:15" x14ac:dyDescent="0.35">
      <c r="A2258" t="s">
        <v>3173</v>
      </c>
      <c r="B2258" s="2">
        <v>45820</v>
      </c>
      <c r="C2258" t="s">
        <v>10</v>
      </c>
      <c r="D2258" t="s">
        <v>11</v>
      </c>
      <c r="E2258" t="s">
        <v>30</v>
      </c>
      <c r="F2258" t="s">
        <v>31</v>
      </c>
      <c r="G2258">
        <v>5</v>
      </c>
      <c r="H2258">
        <v>2.8</v>
      </c>
      <c r="I2258" t="s">
        <v>39</v>
      </c>
      <c r="J2258" t="s">
        <v>1676</v>
      </c>
      <c r="K2258" s="12">
        <f>Store_Record[[#This Row],[Qty]]*Store_Record[[#This Row],[UnitPriceGBP]]</f>
        <v>14</v>
      </c>
      <c r="L2258" s="5" t="str">
        <f>TEXT(Store_Record[[#This Row],[Date]],"dddd")</f>
        <v>Thursday</v>
      </c>
      <c r="M2258" s="5" t="str">
        <f>TEXT(Store_Record[[#This Row],[Date]],"mmmm")</f>
        <v>June</v>
      </c>
      <c r="N2258" s="5">
        <f>YEAR(Store_Record[[#This Row],[Date]])</f>
        <v>2025</v>
      </c>
      <c r="O2258"/>
    </row>
    <row r="2259" spans="1:15" x14ac:dyDescent="0.35">
      <c r="A2259" t="s">
        <v>3164</v>
      </c>
      <c r="B2259" s="2">
        <v>45820</v>
      </c>
      <c r="C2259" t="s">
        <v>20</v>
      </c>
      <c r="D2259" t="s">
        <v>38</v>
      </c>
      <c r="E2259" t="s">
        <v>12</v>
      </c>
      <c r="F2259" t="s">
        <v>13</v>
      </c>
      <c r="G2259">
        <v>5</v>
      </c>
      <c r="H2259">
        <v>2.5</v>
      </c>
      <c r="I2259" t="s">
        <v>39</v>
      </c>
      <c r="J2259" t="s">
        <v>1271</v>
      </c>
      <c r="K2259" s="12">
        <f>Store_Record[[#This Row],[Qty]]*Store_Record[[#This Row],[UnitPriceGBP]]</f>
        <v>12.5</v>
      </c>
      <c r="L2259" s="5" t="str">
        <f>TEXT(Store_Record[[#This Row],[Date]],"dddd")</f>
        <v>Thursday</v>
      </c>
      <c r="M2259" s="5" t="str">
        <f>TEXT(Store_Record[[#This Row],[Date]],"mmmm")</f>
        <v>June</v>
      </c>
      <c r="N2259" s="5">
        <f>YEAR(Store_Record[[#This Row],[Date]])</f>
        <v>2025</v>
      </c>
      <c r="O2259"/>
    </row>
    <row r="2260" spans="1:15" x14ac:dyDescent="0.35">
      <c r="A2260" t="s">
        <v>3172</v>
      </c>
      <c r="B2260" s="2">
        <v>45820</v>
      </c>
      <c r="C2260" t="s">
        <v>20</v>
      </c>
      <c r="D2260" t="s">
        <v>25</v>
      </c>
      <c r="E2260" t="s">
        <v>42</v>
      </c>
      <c r="F2260" t="s">
        <v>13</v>
      </c>
      <c r="G2260">
        <v>3</v>
      </c>
      <c r="H2260">
        <v>3.8</v>
      </c>
      <c r="I2260" t="s">
        <v>39</v>
      </c>
      <c r="J2260" t="s">
        <v>778</v>
      </c>
      <c r="K2260" s="12">
        <f>Store_Record[[#This Row],[Qty]]*Store_Record[[#This Row],[UnitPriceGBP]]</f>
        <v>11.399999999999999</v>
      </c>
      <c r="L2260" s="5" t="str">
        <f>TEXT(Store_Record[[#This Row],[Date]],"dddd")</f>
        <v>Thursday</v>
      </c>
      <c r="M2260" s="5" t="str">
        <f>TEXT(Store_Record[[#This Row],[Date]],"mmmm")</f>
        <v>June</v>
      </c>
      <c r="N2260" s="5">
        <f>YEAR(Store_Record[[#This Row],[Date]])</f>
        <v>2025</v>
      </c>
      <c r="O2260"/>
    </row>
    <row r="2261" spans="1:15" x14ac:dyDescent="0.35">
      <c r="A2261" t="s">
        <v>3167</v>
      </c>
      <c r="B2261" s="2">
        <v>45820</v>
      </c>
      <c r="C2261" t="s">
        <v>10</v>
      </c>
      <c r="D2261" t="s">
        <v>38</v>
      </c>
      <c r="E2261" t="s">
        <v>26</v>
      </c>
      <c r="F2261" t="s">
        <v>13</v>
      </c>
      <c r="G2261">
        <v>3</v>
      </c>
      <c r="H2261">
        <v>3.5</v>
      </c>
      <c r="I2261" t="s">
        <v>39</v>
      </c>
      <c r="J2261" t="s">
        <v>3168</v>
      </c>
      <c r="K2261" s="12">
        <f>Store_Record[[#This Row],[Qty]]*Store_Record[[#This Row],[UnitPriceGBP]]</f>
        <v>10.5</v>
      </c>
      <c r="L2261" s="5" t="str">
        <f>TEXT(Store_Record[[#This Row],[Date]],"dddd")</f>
        <v>Thursday</v>
      </c>
      <c r="M2261" s="5" t="str">
        <f>TEXT(Store_Record[[#This Row],[Date]],"mmmm")</f>
        <v>June</v>
      </c>
      <c r="N2261" s="5">
        <f>YEAR(Store_Record[[#This Row],[Date]])</f>
        <v>2025</v>
      </c>
      <c r="O2261"/>
    </row>
    <row r="2262" spans="1:15" x14ac:dyDescent="0.35">
      <c r="A2262" t="s">
        <v>3171</v>
      </c>
      <c r="B2262" s="2">
        <v>45820</v>
      </c>
      <c r="C2262" t="s">
        <v>24</v>
      </c>
      <c r="D2262" t="s">
        <v>29</v>
      </c>
      <c r="E2262" t="s">
        <v>26</v>
      </c>
      <c r="F2262" t="s">
        <v>13</v>
      </c>
      <c r="G2262">
        <v>3</v>
      </c>
      <c r="H2262">
        <v>3.5</v>
      </c>
      <c r="I2262" t="s">
        <v>39</v>
      </c>
      <c r="J2262" t="s">
        <v>2720</v>
      </c>
      <c r="K2262" s="12">
        <f>Store_Record[[#This Row],[Qty]]*Store_Record[[#This Row],[UnitPriceGBP]]</f>
        <v>10.5</v>
      </c>
      <c r="L2262" s="5" t="str">
        <f>TEXT(Store_Record[[#This Row],[Date]],"dddd")</f>
        <v>Thursday</v>
      </c>
      <c r="M2262" s="5" t="str">
        <f>TEXT(Store_Record[[#This Row],[Date]],"mmmm")</f>
        <v>June</v>
      </c>
      <c r="N2262" s="5">
        <f>YEAR(Store_Record[[#This Row],[Date]])</f>
        <v>2025</v>
      </c>
      <c r="O2262"/>
    </row>
    <row r="2263" spans="1:15" x14ac:dyDescent="0.35">
      <c r="A2263" t="s">
        <v>3174</v>
      </c>
      <c r="B2263" s="2">
        <v>45820</v>
      </c>
      <c r="C2263" t="s">
        <v>36</v>
      </c>
      <c r="D2263" t="s">
        <v>47</v>
      </c>
      <c r="E2263" t="s">
        <v>34</v>
      </c>
      <c r="F2263" t="s">
        <v>31</v>
      </c>
      <c r="G2263">
        <v>4</v>
      </c>
      <c r="H2263">
        <v>2.2000000000000002</v>
      </c>
      <c r="I2263" t="s">
        <v>21</v>
      </c>
      <c r="J2263" t="s">
        <v>1160</v>
      </c>
      <c r="K2263" s="12">
        <f>Store_Record[[#This Row],[Qty]]*Store_Record[[#This Row],[UnitPriceGBP]]</f>
        <v>8.8000000000000007</v>
      </c>
      <c r="L2263" s="5" t="str">
        <f>TEXT(Store_Record[[#This Row],[Date]],"dddd")</f>
        <v>Thursday</v>
      </c>
      <c r="M2263" s="5" t="str">
        <f>TEXT(Store_Record[[#This Row],[Date]],"mmmm")</f>
        <v>June</v>
      </c>
      <c r="N2263" s="5">
        <f>YEAR(Store_Record[[#This Row],[Date]])</f>
        <v>2025</v>
      </c>
      <c r="O2263"/>
    </row>
    <row r="2264" spans="1:15" x14ac:dyDescent="0.35">
      <c r="A2264" t="s">
        <v>3163</v>
      </c>
      <c r="B2264" s="2">
        <v>45820</v>
      </c>
      <c r="C2264" t="s">
        <v>36</v>
      </c>
      <c r="D2264" t="s">
        <v>29</v>
      </c>
      <c r="E2264" t="s">
        <v>30</v>
      </c>
      <c r="F2264" t="s">
        <v>31</v>
      </c>
      <c r="G2264">
        <v>3</v>
      </c>
      <c r="H2264">
        <v>2.8</v>
      </c>
      <c r="I2264" t="s">
        <v>39</v>
      </c>
      <c r="J2264" t="s">
        <v>596</v>
      </c>
      <c r="K2264" s="12">
        <f>Store_Record[[#This Row],[Qty]]*Store_Record[[#This Row],[UnitPriceGBP]]</f>
        <v>8.3999999999999986</v>
      </c>
      <c r="L2264" s="5" t="str">
        <f>TEXT(Store_Record[[#This Row],[Date]],"dddd")</f>
        <v>Thursday</v>
      </c>
      <c r="M2264" s="5" t="str">
        <f>TEXT(Store_Record[[#This Row],[Date]],"mmmm")</f>
        <v>June</v>
      </c>
      <c r="N2264" s="5">
        <f>YEAR(Store_Record[[#This Row],[Date]])</f>
        <v>2025</v>
      </c>
      <c r="O2264"/>
    </row>
    <row r="2265" spans="1:15" x14ac:dyDescent="0.35">
      <c r="A2265" t="s">
        <v>3169</v>
      </c>
      <c r="B2265" s="2">
        <v>45820</v>
      </c>
      <c r="C2265" t="s">
        <v>24</v>
      </c>
      <c r="D2265" t="s">
        <v>11</v>
      </c>
      <c r="E2265" t="s">
        <v>42</v>
      </c>
      <c r="F2265" t="s">
        <v>13</v>
      </c>
      <c r="G2265">
        <v>2</v>
      </c>
      <c r="H2265">
        <v>3.8</v>
      </c>
      <c r="I2265" t="s">
        <v>21</v>
      </c>
      <c r="J2265" t="s">
        <v>304</v>
      </c>
      <c r="K2265" s="12">
        <f>Store_Record[[#This Row],[Qty]]*Store_Record[[#This Row],[UnitPriceGBP]]</f>
        <v>7.6</v>
      </c>
      <c r="L2265" s="5" t="str">
        <f>TEXT(Store_Record[[#This Row],[Date]],"dddd")</f>
        <v>Thursday</v>
      </c>
      <c r="M2265" s="5" t="str">
        <f>TEXT(Store_Record[[#This Row],[Date]],"mmmm")</f>
        <v>June</v>
      </c>
      <c r="N2265" s="5">
        <f>YEAR(Store_Record[[#This Row],[Date]])</f>
        <v>2025</v>
      </c>
      <c r="O2265"/>
    </row>
    <row r="2266" spans="1:15" x14ac:dyDescent="0.35">
      <c r="A2266" t="s">
        <v>3175</v>
      </c>
      <c r="B2266" s="2">
        <v>45820</v>
      </c>
      <c r="C2266" t="s">
        <v>36</v>
      </c>
      <c r="D2266" t="s">
        <v>29</v>
      </c>
      <c r="E2266" t="s">
        <v>34</v>
      </c>
      <c r="F2266" t="s">
        <v>31</v>
      </c>
      <c r="G2266">
        <v>3</v>
      </c>
      <c r="H2266">
        <v>2.2000000000000002</v>
      </c>
      <c r="I2266" t="s">
        <v>14</v>
      </c>
      <c r="J2266" t="s">
        <v>2927</v>
      </c>
      <c r="K2266" s="12">
        <f>Store_Record[[#This Row],[Qty]]*Store_Record[[#This Row],[UnitPriceGBP]]</f>
        <v>6.6000000000000005</v>
      </c>
      <c r="L2266" s="5" t="str">
        <f>TEXT(Store_Record[[#This Row],[Date]],"dddd")</f>
        <v>Thursday</v>
      </c>
      <c r="M2266" s="5" t="str">
        <f>TEXT(Store_Record[[#This Row],[Date]],"mmmm")</f>
        <v>June</v>
      </c>
      <c r="N2266" s="5">
        <f>YEAR(Store_Record[[#This Row],[Date]])</f>
        <v>2025</v>
      </c>
      <c r="O2266"/>
    </row>
    <row r="2267" spans="1:15" x14ac:dyDescent="0.35">
      <c r="A2267" t="s">
        <v>3177</v>
      </c>
      <c r="B2267" s="2">
        <v>45820</v>
      </c>
      <c r="C2267" t="s">
        <v>20</v>
      </c>
      <c r="D2267" t="s">
        <v>25</v>
      </c>
      <c r="E2267" t="s">
        <v>34</v>
      </c>
      <c r="F2267" t="s">
        <v>31</v>
      </c>
      <c r="G2267">
        <v>3</v>
      </c>
      <c r="H2267">
        <v>2.2000000000000002</v>
      </c>
      <c r="I2267" t="s">
        <v>21</v>
      </c>
      <c r="J2267" t="s">
        <v>400</v>
      </c>
      <c r="K2267" s="12">
        <f>Store_Record[[#This Row],[Qty]]*Store_Record[[#This Row],[UnitPriceGBP]]</f>
        <v>6.6000000000000005</v>
      </c>
      <c r="L2267" s="5" t="str">
        <f>TEXT(Store_Record[[#This Row],[Date]],"dddd")</f>
        <v>Thursday</v>
      </c>
      <c r="M2267" s="5" t="str">
        <f>TEXT(Store_Record[[#This Row],[Date]],"mmmm")</f>
        <v>June</v>
      </c>
      <c r="N2267" s="5">
        <f>YEAR(Store_Record[[#This Row],[Date]])</f>
        <v>2025</v>
      </c>
      <c r="O2267"/>
    </row>
    <row r="2268" spans="1:15" x14ac:dyDescent="0.35">
      <c r="A2268" t="s">
        <v>3165</v>
      </c>
      <c r="B2268" s="2">
        <v>45820</v>
      </c>
      <c r="C2268" t="s">
        <v>24</v>
      </c>
      <c r="D2268" t="s">
        <v>38</v>
      </c>
      <c r="E2268" t="s">
        <v>12</v>
      </c>
      <c r="F2268" t="s">
        <v>13</v>
      </c>
      <c r="G2268">
        <v>2</v>
      </c>
      <c r="H2268">
        <v>2.5</v>
      </c>
      <c r="I2268" t="s">
        <v>21</v>
      </c>
      <c r="J2268" t="s">
        <v>497</v>
      </c>
      <c r="K2268" s="12">
        <f>Store_Record[[#This Row],[Qty]]*Store_Record[[#This Row],[UnitPriceGBP]]</f>
        <v>5</v>
      </c>
      <c r="L2268" s="5" t="str">
        <f>TEXT(Store_Record[[#This Row],[Date]],"dddd")</f>
        <v>Thursday</v>
      </c>
      <c r="M2268" s="5" t="str">
        <f>TEXT(Store_Record[[#This Row],[Date]],"mmmm")</f>
        <v>June</v>
      </c>
      <c r="N2268" s="5">
        <f>YEAR(Store_Record[[#This Row],[Date]])</f>
        <v>2025</v>
      </c>
      <c r="O2268"/>
    </row>
    <row r="2269" spans="1:15" x14ac:dyDescent="0.35">
      <c r="A2269" t="s">
        <v>3170</v>
      </c>
      <c r="B2269" s="2">
        <v>45820</v>
      </c>
      <c r="C2269" t="s">
        <v>36</v>
      </c>
      <c r="D2269" t="s">
        <v>47</v>
      </c>
      <c r="E2269" t="s">
        <v>12</v>
      </c>
      <c r="F2269" t="s">
        <v>13</v>
      </c>
      <c r="G2269">
        <v>2</v>
      </c>
      <c r="H2269">
        <v>2.5</v>
      </c>
      <c r="I2269" t="s">
        <v>14</v>
      </c>
      <c r="J2269" t="s">
        <v>3102</v>
      </c>
      <c r="K2269" s="12">
        <f>Store_Record[[#This Row],[Qty]]*Store_Record[[#This Row],[UnitPriceGBP]]</f>
        <v>5</v>
      </c>
      <c r="L2269" s="5" t="str">
        <f>TEXT(Store_Record[[#This Row],[Date]],"dddd")</f>
        <v>Thursday</v>
      </c>
      <c r="M2269" s="5" t="str">
        <f>TEXT(Store_Record[[#This Row],[Date]],"mmmm")</f>
        <v>June</v>
      </c>
      <c r="N2269" s="5">
        <f>YEAR(Store_Record[[#This Row],[Date]])</f>
        <v>2025</v>
      </c>
      <c r="O2269"/>
    </row>
    <row r="2270" spans="1:15" x14ac:dyDescent="0.35">
      <c r="A2270" t="s">
        <v>3178</v>
      </c>
      <c r="B2270" s="2">
        <v>45820</v>
      </c>
      <c r="C2270" t="s">
        <v>20</v>
      </c>
      <c r="D2270" t="s">
        <v>38</v>
      </c>
      <c r="E2270" t="s">
        <v>12</v>
      </c>
      <c r="F2270" t="s">
        <v>13</v>
      </c>
      <c r="G2270">
        <v>1</v>
      </c>
      <c r="H2270">
        <v>2.5</v>
      </c>
      <c r="I2270" t="s">
        <v>39</v>
      </c>
      <c r="J2270" t="s">
        <v>2466</v>
      </c>
      <c r="K2270" s="12">
        <f>Store_Record[[#This Row],[Qty]]*Store_Record[[#This Row],[UnitPriceGBP]]</f>
        <v>2.5</v>
      </c>
      <c r="L2270" s="5" t="str">
        <f>TEXT(Store_Record[[#This Row],[Date]],"dddd")</f>
        <v>Thursday</v>
      </c>
      <c r="M2270" s="5" t="str">
        <f>TEXT(Store_Record[[#This Row],[Date]],"mmmm")</f>
        <v>June</v>
      </c>
      <c r="N2270" s="5">
        <f>YEAR(Store_Record[[#This Row],[Date]])</f>
        <v>2025</v>
      </c>
      <c r="O2270"/>
    </row>
    <row r="2271" spans="1:15" x14ac:dyDescent="0.35">
      <c r="A2271" t="s">
        <v>3186</v>
      </c>
      <c r="B2271" s="2">
        <v>45821</v>
      </c>
      <c r="C2271" t="s">
        <v>20</v>
      </c>
      <c r="D2271" t="s">
        <v>152</v>
      </c>
      <c r="E2271" t="s">
        <v>42</v>
      </c>
      <c r="F2271" t="s">
        <v>13</v>
      </c>
      <c r="G2271">
        <v>5</v>
      </c>
      <c r="H2271">
        <v>3.8</v>
      </c>
      <c r="I2271" t="s">
        <v>14</v>
      </c>
      <c r="J2271" t="s">
        <v>1101</v>
      </c>
      <c r="K2271" s="12">
        <f>Store_Record[[#This Row],[Qty]]*Store_Record[[#This Row],[UnitPriceGBP]]</f>
        <v>19</v>
      </c>
      <c r="L2271" s="5" t="str">
        <f>TEXT(Store_Record[[#This Row],[Date]],"dddd")</f>
        <v>Friday</v>
      </c>
      <c r="M2271" s="5" t="str">
        <f>TEXT(Store_Record[[#This Row],[Date]],"mmmm")</f>
        <v>June</v>
      </c>
      <c r="N2271" s="5">
        <f>YEAR(Store_Record[[#This Row],[Date]])</f>
        <v>2025</v>
      </c>
      <c r="O2271"/>
    </row>
    <row r="2272" spans="1:15" x14ac:dyDescent="0.35">
      <c r="A2272" t="s">
        <v>3180</v>
      </c>
      <c r="B2272" s="2">
        <v>45821</v>
      </c>
      <c r="C2272" t="s">
        <v>20</v>
      </c>
      <c r="D2272" t="s">
        <v>25</v>
      </c>
      <c r="E2272" t="s">
        <v>30</v>
      </c>
      <c r="F2272" t="s">
        <v>31</v>
      </c>
      <c r="G2272">
        <v>4</v>
      </c>
      <c r="H2272">
        <v>2.8</v>
      </c>
      <c r="I2272" t="s">
        <v>21</v>
      </c>
      <c r="J2272" t="s">
        <v>986</v>
      </c>
      <c r="K2272" s="12">
        <f>Store_Record[[#This Row],[Qty]]*Store_Record[[#This Row],[UnitPriceGBP]]</f>
        <v>11.2</v>
      </c>
      <c r="L2272" s="5" t="str">
        <f>TEXT(Store_Record[[#This Row],[Date]],"dddd")</f>
        <v>Friday</v>
      </c>
      <c r="M2272" s="5" t="str">
        <f>TEXT(Store_Record[[#This Row],[Date]],"mmmm")</f>
        <v>June</v>
      </c>
      <c r="N2272" s="5">
        <f>YEAR(Store_Record[[#This Row],[Date]])</f>
        <v>2025</v>
      </c>
      <c r="O2272"/>
    </row>
    <row r="2273" spans="1:15" x14ac:dyDescent="0.35">
      <c r="A2273" t="s">
        <v>3188</v>
      </c>
      <c r="B2273" s="2">
        <v>45821</v>
      </c>
      <c r="C2273" t="s">
        <v>10</v>
      </c>
      <c r="D2273" t="s">
        <v>29</v>
      </c>
      <c r="E2273" t="s">
        <v>30</v>
      </c>
      <c r="F2273" t="s">
        <v>31</v>
      </c>
      <c r="G2273">
        <v>4</v>
      </c>
      <c r="H2273">
        <v>2.8</v>
      </c>
      <c r="I2273" t="s">
        <v>14</v>
      </c>
      <c r="J2273" t="s">
        <v>2322</v>
      </c>
      <c r="K2273" s="12">
        <f>Store_Record[[#This Row],[Qty]]*Store_Record[[#This Row],[UnitPriceGBP]]</f>
        <v>11.2</v>
      </c>
      <c r="L2273" s="5" t="str">
        <f>TEXT(Store_Record[[#This Row],[Date]],"dddd")</f>
        <v>Friday</v>
      </c>
      <c r="M2273" s="5" t="str">
        <f>TEXT(Store_Record[[#This Row],[Date]],"mmmm")</f>
        <v>June</v>
      </c>
      <c r="N2273" s="5">
        <f>YEAR(Store_Record[[#This Row],[Date]])</f>
        <v>2025</v>
      </c>
      <c r="O2273"/>
    </row>
    <row r="2274" spans="1:15" x14ac:dyDescent="0.35">
      <c r="A2274" t="s">
        <v>3181</v>
      </c>
      <c r="B2274" s="2">
        <v>45821</v>
      </c>
      <c r="C2274" t="s">
        <v>24</v>
      </c>
      <c r="D2274" t="s">
        <v>25</v>
      </c>
      <c r="E2274" t="s">
        <v>30</v>
      </c>
      <c r="F2274" t="s">
        <v>31</v>
      </c>
      <c r="G2274">
        <v>3</v>
      </c>
      <c r="H2274">
        <v>2.8</v>
      </c>
      <c r="I2274" t="s">
        <v>39</v>
      </c>
      <c r="J2274" t="s">
        <v>239</v>
      </c>
      <c r="K2274" s="12">
        <f>Store_Record[[#This Row],[Qty]]*Store_Record[[#This Row],[UnitPriceGBP]]</f>
        <v>8.3999999999999986</v>
      </c>
      <c r="L2274" s="5" t="str">
        <f>TEXT(Store_Record[[#This Row],[Date]],"dddd")</f>
        <v>Friday</v>
      </c>
      <c r="M2274" s="5" t="str">
        <f>TEXT(Store_Record[[#This Row],[Date]],"mmmm")</f>
        <v>June</v>
      </c>
      <c r="N2274" s="5">
        <f>YEAR(Store_Record[[#This Row],[Date]])</f>
        <v>2025</v>
      </c>
      <c r="O2274"/>
    </row>
    <row r="2275" spans="1:15" x14ac:dyDescent="0.35">
      <c r="A2275" t="s">
        <v>3184</v>
      </c>
      <c r="B2275" s="2">
        <v>45821</v>
      </c>
      <c r="C2275" t="s">
        <v>20</v>
      </c>
      <c r="D2275" t="s">
        <v>11</v>
      </c>
      <c r="E2275" t="s">
        <v>12</v>
      </c>
      <c r="F2275" t="s">
        <v>13</v>
      </c>
      <c r="G2275">
        <v>3</v>
      </c>
      <c r="H2275">
        <v>2.5</v>
      </c>
      <c r="I2275" t="s">
        <v>39</v>
      </c>
      <c r="J2275" t="s">
        <v>1486</v>
      </c>
      <c r="K2275" s="12">
        <f>Store_Record[[#This Row],[Qty]]*Store_Record[[#This Row],[UnitPriceGBP]]</f>
        <v>7.5</v>
      </c>
      <c r="L2275" s="5" t="str">
        <f>TEXT(Store_Record[[#This Row],[Date]],"dddd")</f>
        <v>Friday</v>
      </c>
      <c r="M2275" s="5" t="str">
        <f>TEXT(Store_Record[[#This Row],[Date]],"mmmm")</f>
        <v>June</v>
      </c>
      <c r="N2275" s="5">
        <f>YEAR(Store_Record[[#This Row],[Date]])</f>
        <v>2025</v>
      </c>
      <c r="O2275"/>
    </row>
    <row r="2276" spans="1:15" x14ac:dyDescent="0.35">
      <c r="A2276" t="s">
        <v>3187</v>
      </c>
      <c r="B2276" s="2">
        <v>45821</v>
      </c>
      <c r="C2276" t="s">
        <v>20</v>
      </c>
      <c r="D2276" t="s">
        <v>25</v>
      </c>
      <c r="E2276" t="s">
        <v>12</v>
      </c>
      <c r="F2276" t="s">
        <v>13</v>
      </c>
      <c r="G2276">
        <v>3</v>
      </c>
      <c r="H2276">
        <v>2.5</v>
      </c>
      <c r="I2276" t="s">
        <v>14</v>
      </c>
      <c r="J2276" t="s">
        <v>1639</v>
      </c>
      <c r="K2276" s="12">
        <f>Store_Record[[#This Row],[Qty]]*Store_Record[[#This Row],[UnitPriceGBP]]</f>
        <v>7.5</v>
      </c>
      <c r="L2276" s="5" t="str">
        <f>TEXT(Store_Record[[#This Row],[Date]],"dddd")</f>
        <v>Friday</v>
      </c>
      <c r="M2276" s="5" t="str">
        <f>TEXT(Store_Record[[#This Row],[Date]],"mmmm")</f>
        <v>June</v>
      </c>
      <c r="N2276" s="5">
        <f>YEAR(Store_Record[[#This Row],[Date]])</f>
        <v>2025</v>
      </c>
      <c r="O2276"/>
    </row>
    <row r="2277" spans="1:15" x14ac:dyDescent="0.35">
      <c r="A2277" t="s">
        <v>3190</v>
      </c>
      <c r="B2277" s="2">
        <v>45821</v>
      </c>
      <c r="C2277" t="s">
        <v>36</v>
      </c>
      <c r="D2277" t="s">
        <v>47</v>
      </c>
      <c r="E2277" t="s">
        <v>42</v>
      </c>
      <c r="F2277" t="s">
        <v>13</v>
      </c>
      <c r="G2277">
        <v>1</v>
      </c>
      <c r="H2277">
        <v>3.8</v>
      </c>
      <c r="I2277" t="s">
        <v>39</v>
      </c>
      <c r="J2277" t="s">
        <v>734</v>
      </c>
      <c r="K2277" s="12">
        <f>Store_Record[[#This Row],[Qty]]*Store_Record[[#This Row],[UnitPriceGBP]]</f>
        <v>3.8</v>
      </c>
      <c r="L2277" s="5" t="str">
        <f>TEXT(Store_Record[[#This Row],[Date]],"dddd")</f>
        <v>Friday</v>
      </c>
      <c r="M2277" s="5" t="str">
        <f>TEXT(Store_Record[[#This Row],[Date]],"mmmm")</f>
        <v>June</v>
      </c>
      <c r="N2277" s="5">
        <f>YEAR(Store_Record[[#This Row],[Date]])</f>
        <v>2025</v>
      </c>
      <c r="O2277"/>
    </row>
    <row r="2278" spans="1:15" x14ac:dyDescent="0.35">
      <c r="A2278" t="s">
        <v>3185</v>
      </c>
      <c r="B2278" s="2">
        <v>45821</v>
      </c>
      <c r="C2278" t="s">
        <v>10</v>
      </c>
      <c r="D2278" t="s">
        <v>11</v>
      </c>
      <c r="E2278" t="s">
        <v>30</v>
      </c>
      <c r="F2278" t="s">
        <v>31</v>
      </c>
      <c r="G2278">
        <v>1</v>
      </c>
      <c r="H2278">
        <v>2.8</v>
      </c>
      <c r="I2278" t="s">
        <v>14</v>
      </c>
      <c r="J2278" t="s">
        <v>1790</v>
      </c>
      <c r="K2278" s="12">
        <f>Store_Record[[#This Row],[Qty]]*Store_Record[[#This Row],[UnitPriceGBP]]</f>
        <v>2.8</v>
      </c>
      <c r="L2278" s="5" t="str">
        <f>TEXT(Store_Record[[#This Row],[Date]],"dddd")</f>
        <v>Friday</v>
      </c>
      <c r="M2278" s="5" t="str">
        <f>TEXT(Store_Record[[#This Row],[Date]],"mmmm")</f>
        <v>June</v>
      </c>
      <c r="N2278" s="5">
        <f>YEAR(Store_Record[[#This Row],[Date]])</f>
        <v>2025</v>
      </c>
      <c r="O2278"/>
    </row>
    <row r="2279" spans="1:15" x14ac:dyDescent="0.35">
      <c r="A2279" t="s">
        <v>3183</v>
      </c>
      <c r="B2279" s="2">
        <v>45821</v>
      </c>
      <c r="C2279" t="s">
        <v>24</v>
      </c>
      <c r="D2279" t="s">
        <v>47</v>
      </c>
      <c r="E2279" t="s">
        <v>12</v>
      </c>
      <c r="F2279" t="s">
        <v>13</v>
      </c>
      <c r="G2279">
        <v>1</v>
      </c>
      <c r="H2279">
        <v>2.5</v>
      </c>
      <c r="I2279" t="s">
        <v>14</v>
      </c>
      <c r="J2279" t="s">
        <v>478</v>
      </c>
      <c r="K2279" s="12">
        <f>Store_Record[[#This Row],[Qty]]*Store_Record[[#This Row],[UnitPriceGBP]]</f>
        <v>2.5</v>
      </c>
      <c r="L2279" s="5" t="str">
        <f>TEXT(Store_Record[[#This Row],[Date]],"dddd")</f>
        <v>Friday</v>
      </c>
      <c r="M2279" s="5" t="str">
        <f>TEXT(Store_Record[[#This Row],[Date]],"mmmm")</f>
        <v>June</v>
      </c>
      <c r="N2279" s="5">
        <f>YEAR(Store_Record[[#This Row],[Date]])</f>
        <v>2025</v>
      </c>
      <c r="O2279"/>
    </row>
    <row r="2280" spans="1:15" x14ac:dyDescent="0.35">
      <c r="A2280" t="s">
        <v>3179</v>
      </c>
      <c r="B2280" s="2">
        <v>45821</v>
      </c>
      <c r="C2280" t="s">
        <v>10</v>
      </c>
      <c r="D2280" t="s">
        <v>47</v>
      </c>
      <c r="E2280" t="s">
        <v>34</v>
      </c>
      <c r="F2280" t="s">
        <v>31</v>
      </c>
      <c r="G2280">
        <v>1</v>
      </c>
      <c r="H2280">
        <v>2.2000000000000002</v>
      </c>
      <c r="I2280" t="s">
        <v>39</v>
      </c>
      <c r="J2280" t="s">
        <v>737</v>
      </c>
      <c r="K2280" s="12">
        <f>Store_Record[[#This Row],[Qty]]*Store_Record[[#This Row],[UnitPriceGBP]]</f>
        <v>2.2000000000000002</v>
      </c>
      <c r="L2280" s="5" t="str">
        <f>TEXT(Store_Record[[#This Row],[Date]],"dddd")</f>
        <v>Friday</v>
      </c>
      <c r="M2280" s="5" t="str">
        <f>TEXT(Store_Record[[#This Row],[Date]],"mmmm")</f>
        <v>June</v>
      </c>
      <c r="N2280" s="5">
        <f>YEAR(Store_Record[[#This Row],[Date]])</f>
        <v>2025</v>
      </c>
      <c r="O2280"/>
    </row>
    <row r="2281" spans="1:15" x14ac:dyDescent="0.35">
      <c r="A2281" t="s">
        <v>3182</v>
      </c>
      <c r="B2281" s="2">
        <v>45821</v>
      </c>
      <c r="C2281" t="s">
        <v>24</v>
      </c>
      <c r="D2281" t="s">
        <v>25</v>
      </c>
      <c r="E2281" t="s">
        <v>34</v>
      </c>
      <c r="F2281" t="s">
        <v>31</v>
      </c>
      <c r="G2281">
        <v>1</v>
      </c>
      <c r="H2281">
        <v>2.2000000000000002</v>
      </c>
      <c r="I2281" t="s">
        <v>39</v>
      </c>
      <c r="J2281" t="s">
        <v>1639</v>
      </c>
      <c r="K2281" s="12">
        <f>Store_Record[[#This Row],[Qty]]*Store_Record[[#This Row],[UnitPriceGBP]]</f>
        <v>2.2000000000000002</v>
      </c>
      <c r="L2281" s="5" t="str">
        <f>TEXT(Store_Record[[#This Row],[Date]],"dddd")</f>
        <v>Friday</v>
      </c>
      <c r="M2281" s="5" t="str">
        <f>TEXT(Store_Record[[#This Row],[Date]],"mmmm")</f>
        <v>June</v>
      </c>
      <c r="N2281" s="5">
        <f>YEAR(Store_Record[[#This Row],[Date]])</f>
        <v>2025</v>
      </c>
      <c r="O2281"/>
    </row>
    <row r="2282" spans="1:15" x14ac:dyDescent="0.35">
      <c r="A2282" t="s">
        <v>3189</v>
      </c>
      <c r="B2282" s="2">
        <v>45821</v>
      </c>
      <c r="C2282" t="s">
        <v>36</v>
      </c>
      <c r="D2282" t="s">
        <v>38</v>
      </c>
      <c r="E2282" t="s">
        <v>34</v>
      </c>
      <c r="F2282" t="s">
        <v>31</v>
      </c>
      <c r="G2282">
        <v>1</v>
      </c>
      <c r="H2282">
        <v>2.2000000000000002</v>
      </c>
      <c r="I2282" t="s">
        <v>21</v>
      </c>
      <c r="J2282" t="s">
        <v>317</v>
      </c>
      <c r="K2282" s="12">
        <f>Store_Record[[#This Row],[Qty]]*Store_Record[[#This Row],[UnitPriceGBP]]</f>
        <v>2.2000000000000002</v>
      </c>
      <c r="L2282" s="5" t="str">
        <f>TEXT(Store_Record[[#This Row],[Date]],"dddd")</f>
        <v>Friday</v>
      </c>
      <c r="M2282" s="5" t="str">
        <f>TEXT(Store_Record[[#This Row],[Date]],"mmmm")</f>
        <v>June</v>
      </c>
      <c r="N2282" s="5">
        <f>YEAR(Store_Record[[#This Row],[Date]])</f>
        <v>2025</v>
      </c>
      <c r="O2282"/>
    </row>
    <row r="2283" spans="1:15" x14ac:dyDescent="0.35">
      <c r="A2283" t="s">
        <v>3204</v>
      </c>
      <c r="B2283" s="2">
        <v>45822</v>
      </c>
      <c r="C2283" t="s">
        <v>36</v>
      </c>
      <c r="D2283" t="s">
        <v>47</v>
      </c>
      <c r="E2283" t="s">
        <v>42</v>
      </c>
      <c r="F2283" t="s">
        <v>13</v>
      </c>
      <c r="G2283">
        <v>5</v>
      </c>
      <c r="H2283">
        <v>3.8</v>
      </c>
      <c r="I2283" t="s">
        <v>39</v>
      </c>
      <c r="J2283" t="s">
        <v>1692</v>
      </c>
      <c r="K2283" s="12">
        <f>Store_Record[[#This Row],[Qty]]*Store_Record[[#This Row],[UnitPriceGBP]]</f>
        <v>19</v>
      </c>
      <c r="L2283" s="5" t="str">
        <f>TEXT(Store_Record[[#This Row],[Date]],"dddd")</f>
        <v>Saturday</v>
      </c>
      <c r="M2283" s="5" t="str">
        <f>TEXT(Store_Record[[#This Row],[Date]],"mmmm")</f>
        <v>June</v>
      </c>
      <c r="N2283" s="5">
        <f>YEAR(Store_Record[[#This Row],[Date]])</f>
        <v>2025</v>
      </c>
      <c r="O2283"/>
    </row>
    <row r="2284" spans="1:15" x14ac:dyDescent="0.35">
      <c r="A2284" t="s">
        <v>3191</v>
      </c>
      <c r="B2284" s="2">
        <v>45822</v>
      </c>
      <c r="C2284" t="s">
        <v>10</v>
      </c>
      <c r="D2284" t="s">
        <v>47</v>
      </c>
      <c r="E2284" t="s">
        <v>26</v>
      </c>
      <c r="F2284" t="s">
        <v>13</v>
      </c>
      <c r="G2284">
        <v>5</v>
      </c>
      <c r="H2284">
        <v>3.5</v>
      </c>
      <c r="I2284" t="s">
        <v>21</v>
      </c>
      <c r="J2284" t="s">
        <v>673</v>
      </c>
      <c r="K2284" s="12">
        <f>Store_Record[[#This Row],[Qty]]*Store_Record[[#This Row],[UnitPriceGBP]]</f>
        <v>17.5</v>
      </c>
      <c r="L2284" s="5" t="str">
        <f>TEXT(Store_Record[[#This Row],[Date]],"dddd")</f>
        <v>Saturday</v>
      </c>
      <c r="M2284" s="5" t="str">
        <f>TEXT(Store_Record[[#This Row],[Date]],"mmmm")</f>
        <v>June</v>
      </c>
      <c r="N2284" s="5">
        <f>YEAR(Store_Record[[#This Row],[Date]])</f>
        <v>2025</v>
      </c>
      <c r="O2284"/>
    </row>
    <row r="2285" spans="1:15" x14ac:dyDescent="0.35">
      <c r="A2285" t="s">
        <v>3197</v>
      </c>
      <c r="B2285" s="2">
        <v>45822</v>
      </c>
      <c r="C2285" t="s">
        <v>24</v>
      </c>
      <c r="D2285" t="s">
        <v>29</v>
      </c>
      <c r="E2285" t="s">
        <v>42</v>
      </c>
      <c r="F2285" t="s">
        <v>13</v>
      </c>
      <c r="G2285">
        <v>4</v>
      </c>
      <c r="H2285">
        <v>3.8</v>
      </c>
      <c r="I2285" t="s">
        <v>21</v>
      </c>
      <c r="J2285" t="s">
        <v>2566</v>
      </c>
      <c r="K2285" s="12">
        <f>Store_Record[[#This Row],[Qty]]*Store_Record[[#This Row],[UnitPriceGBP]]</f>
        <v>15.2</v>
      </c>
      <c r="L2285" s="5" t="str">
        <f>TEXT(Store_Record[[#This Row],[Date]],"dddd")</f>
        <v>Saturday</v>
      </c>
      <c r="M2285" s="5" t="str">
        <f>TEXT(Store_Record[[#This Row],[Date]],"mmmm")</f>
        <v>June</v>
      </c>
      <c r="N2285" s="5">
        <f>YEAR(Store_Record[[#This Row],[Date]])</f>
        <v>2025</v>
      </c>
      <c r="O2285"/>
    </row>
    <row r="2286" spans="1:15" x14ac:dyDescent="0.35">
      <c r="A2286" t="s">
        <v>3202</v>
      </c>
      <c r="B2286" s="2">
        <v>45822</v>
      </c>
      <c r="C2286" t="s">
        <v>10</v>
      </c>
      <c r="D2286" t="s">
        <v>38</v>
      </c>
      <c r="E2286" t="s">
        <v>26</v>
      </c>
      <c r="F2286" t="s">
        <v>13</v>
      </c>
      <c r="G2286">
        <v>4</v>
      </c>
      <c r="H2286">
        <v>3.5</v>
      </c>
      <c r="I2286" t="s">
        <v>39</v>
      </c>
      <c r="J2286" t="s">
        <v>571</v>
      </c>
      <c r="K2286" s="12">
        <f>Store_Record[[#This Row],[Qty]]*Store_Record[[#This Row],[UnitPriceGBP]]</f>
        <v>14</v>
      </c>
      <c r="L2286" s="5" t="str">
        <f>TEXT(Store_Record[[#This Row],[Date]],"dddd")</f>
        <v>Saturday</v>
      </c>
      <c r="M2286" s="5" t="str">
        <f>TEXT(Store_Record[[#This Row],[Date]],"mmmm")</f>
        <v>June</v>
      </c>
      <c r="N2286" s="5">
        <f>YEAR(Store_Record[[#This Row],[Date]])</f>
        <v>2025</v>
      </c>
      <c r="O2286"/>
    </row>
    <row r="2287" spans="1:15" x14ac:dyDescent="0.35">
      <c r="A2287" t="s">
        <v>3203</v>
      </c>
      <c r="B2287" s="2">
        <v>45822</v>
      </c>
      <c r="C2287" t="s">
        <v>36</v>
      </c>
      <c r="D2287" t="s">
        <v>38</v>
      </c>
      <c r="E2287" t="s">
        <v>30</v>
      </c>
      <c r="F2287" t="s">
        <v>31</v>
      </c>
      <c r="G2287">
        <v>5</v>
      </c>
      <c r="H2287">
        <v>2.8</v>
      </c>
      <c r="I2287" t="s">
        <v>14</v>
      </c>
      <c r="J2287" t="s">
        <v>938</v>
      </c>
      <c r="K2287" s="12">
        <f>Store_Record[[#This Row],[Qty]]*Store_Record[[#This Row],[UnitPriceGBP]]</f>
        <v>14</v>
      </c>
      <c r="L2287" s="5" t="str">
        <f>TEXT(Store_Record[[#This Row],[Date]],"dddd")</f>
        <v>Saturday</v>
      </c>
      <c r="M2287" s="5" t="str">
        <f>TEXT(Store_Record[[#This Row],[Date]],"mmmm")</f>
        <v>June</v>
      </c>
      <c r="N2287" s="5">
        <f>YEAR(Store_Record[[#This Row],[Date]])</f>
        <v>2025</v>
      </c>
      <c r="O2287"/>
    </row>
    <row r="2288" spans="1:15" x14ac:dyDescent="0.35">
      <c r="A2288" t="s">
        <v>3196</v>
      </c>
      <c r="B2288" s="2">
        <v>45822</v>
      </c>
      <c r="C2288" t="s">
        <v>20</v>
      </c>
      <c r="D2288" t="s">
        <v>47</v>
      </c>
      <c r="E2288" t="s">
        <v>12</v>
      </c>
      <c r="F2288" t="s">
        <v>13</v>
      </c>
      <c r="G2288">
        <v>5</v>
      </c>
      <c r="H2288">
        <v>2.5</v>
      </c>
      <c r="I2288" t="s">
        <v>14</v>
      </c>
      <c r="J2288" t="s">
        <v>239</v>
      </c>
      <c r="K2288" s="12">
        <f>Store_Record[[#This Row],[Qty]]*Store_Record[[#This Row],[UnitPriceGBP]]</f>
        <v>12.5</v>
      </c>
      <c r="L2288" s="5" t="str">
        <f>TEXT(Store_Record[[#This Row],[Date]],"dddd")</f>
        <v>Saturday</v>
      </c>
      <c r="M2288" s="5" t="str">
        <f>TEXT(Store_Record[[#This Row],[Date]],"mmmm")</f>
        <v>June</v>
      </c>
      <c r="N2288" s="5">
        <f>YEAR(Store_Record[[#This Row],[Date]])</f>
        <v>2025</v>
      </c>
      <c r="O2288"/>
    </row>
    <row r="2289" spans="1:15" x14ac:dyDescent="0.35">
      <c r="A2289" t="s">
        <v>3193</v>
      </c>
      <c r="B2289" s="2">
        <v>45822</v>
      </c>
      <c r="C2289" t="s">
        <v>36</v>
      </c>
      <c r="D2289" t="s">
        <v>47</v>
      </c>
      <c r="E2289" t="s">
        <v>42</v>
      </c>
      <c r="F2289" t="s">
        <v>13</v>
      </c>
      <c r="G2289">
        <v>3</v>
      </c>
      <c r="H2289">
        <v>3.8</v>
      </c>
      <c r="I2289" t="s">
        <v>21</v>
      </c>
      <c r="J2289" t="s">
        <v>372</v>
      </c>
      <c r="K2289" s="12">
        <f>Store_Record[[#This Row],[Qty]]*Store_Record[[#This Row],[UnitPriceGBP]]</f>
        <v>11.399999999999999</v>
      </c>
      <c r="L2289" s="5" t="str">
        <f>TEXT(Store_Record[[#This Row],[Date]],"dddd")</f>
        <v>Saturday</v>
      </c>
      <c r="M2289" s="5" t="str">
        <f>TEXT(Store_Record[[#This Row],[Date]],"mmmm")</f>
        <v>June</v>
      </c>
      <c r="N2289" s="5">
        <f>YEAR(Store_Record[[#This Row],[Date]])</f>
        <v>2025</v>
      </c>
      <c r="O2289"/>
    </row>
    <row r="2290" spans="1:15" x14ac:dyDescent="0.35">
      <c r="A2290" t="s">
        <v>3208</v>
      </c>
      <c r="B2290" s="2">
        <v>45822</v>
      </c>
      <c r="C2290" t="s">
        <v>20</v>
      </c>
      <c r="D2290" t="s">
        <v>11</v>
      </c>
      <c r="E2290" t="s">
        <v>42</v>
      </c>
      <c r="F2290" t="s">
        <v>13</v>
      </c>
      <c r="G2290">
        <v>3</v>
      </c>
      <c r="H2290">
        <v>3.8</v>
      </c>
      <c r="I2290" t="s">
        <v>14</v>
      </c>
      <c r="J2290" t="s">
        <v>2286</v>
      </c>
      <c r="K2290" s="12">
        <f>Store_Record[[#This Row],[Qty]]*Store_Record[[#This Row],[UnitPriceGBP]]</f>
        <v>11.399999999999999</v>
      </c>
      <c r="L2290" s="5" t="str">
        <f>TEXT(Store_Record[[#This Row],[Date]],"dddd")</f>
        <v>Saturday</v>
      </c>
      <c r="M2290" s="5" t="str">
        <f>TEXT(Store_Record[[#This Row],[Date]],"mmmm")</f>
        <v>June</v>
      </c>
      <c r="N2290" s="5">
        <f>YEAR(Store_Record[[#This Row],[Date]])</f>
        <v>2025</v>
      </c>
      <c r="O2290"/>
    </row>
    <row r="2291" spans="1:15" x14ac:dyDescent="0.35">
      <c r="A2291" t="s">
        <v>3206</v>
      </c>
      <c r="B2291" s="2">
        <v>45822</v>
      </c>
      <c r="C2291" t="s">
        <v>24</v>
      </c>
      <c r="D2291" t="s">
        <v>47</v>
      </c>
      <c r="E2291" t="s">
        <v>26</v>
      </c>
      <c r="F2291" t="s">
        <v>13</v>
      </c>
      <c r="G2291">
        <v>3</v>
      </c>
      <c r="H2291">
        <v>3.5</v>
      </c>
      <c r="I2291" t="s">
        <v>14</v>
      </c>
      <c r="J2291" t="s">
        <v>3207</v>
      </c>
      <c r="K2291" s="12">
        <f>Store_Record[[#This Row],[Qty]]*Store_Record[[#This Row],[UnitPriceGBP]]</f>
        <v>10.5</v>
      </c>
      <c r="L2291" s="5" t="str">
        <f>TEXT(Store_Record[[#This Row],[Date]],"dddd")</f>
        <v>Saturday</v>
      </c>
      <c r="M2291" s="5" t="str">
        <f>TEXT(Store_Record[[#This Row],[Date]],"mmmm")</f>
        <v>June</v>
      </c>
      <c r="N2291" s="5">
        <f>YEAR(Store_Record[[#This Row],[Date]])</f>
        <v>2025</v>
      </c>
      <c r="O2291"/>
    </row>
    <row r="2292" spans="1:15" x14ac:dyDescent="0.35">
      <c r="A2292" t="s">
        <v>3209</v>
      </c>
      <c r="B2292" s="2">
        <v>45822</v>
      </c>
      <c r="C2292" t="s">
        <v>10</v>
      </c>
      <c r="D2292" t="s">
        <v>38</v>
      </c>
      <c r="E2292" t="s">
        <v>26</v>
      </c>
      <c r="F2292" t="s">
        <v>13</v>
      </c>
      <c r="G2292">
        <v>3</v>
      </c>
      <c r="H2292">
        <v>3.5</v>
      </c>
      <c r="I2292" t="s">
        <v>21</v>
      </c>
      <c r="J2292" t="s">
        <v>3210</v>
      </c>
      <c r="K2292" s="12">
        <f>Store_Record[[#This Row],[Qty]]*Store_Record[[#This Row],[UnitPriceGBP]]</f>
        <v>10.5</v>
      </c>
      <c r="L2292" s="5" t="str">
        <f>TEXT(Store_Record[[#This Row],[Date]],"dddd")</f>
        <v>Saturday</v>
      </c>
      <c r="M2292" s="5" t="str">
        <f>TEXT(Store_Record[[#This Row],[Date]],"mmmm")</f>
        <v>June</v>
      </c>
      <c r="N2292" s="5">
        <f>YEAR(Store_Record[[#This Row],[Date]])</f>
        <v>2025</v>
      </c>
      <c r="O2292"/>
    </row>
    <row r="2293" spans="1:15" x14ac:dyDescent="0.35">
      <c r="A2293" t="s">
        <v>3194</v>
      </c>
      <c r="B2293" s="2">
        <v>45822</v>
      </c>
      <c r="C2293" t="s">
        <v>36</v>
      </c>
      <c r="D2293" t="s">
        <v>11</v>
      </c>
      <c r="E2293" t="s">
        <v>12</v>
      </c>
      <c r="F2293" t="s">
        <v>13</v>
      </c>
      <c r="G2293">
        <v>4</v>
      </c>
      <c r="H2293">
        <v>2.5</v>
      </c>
      <c r="I2293" t="s">
        <v>39</v>
      </c>
      <c r="J2293" t="s">
        <v>3195</v>
      </c>
      <c r="K2293" s="12">
        <f>Store_Record[[#This Row],[Qty]]*Store_Record[[#This Row],[UnitPriceGBP]]</f>
        <v>10</v>
      </c>
      <c r="L2293" s="5" t="str">
        <f>TEXT(Store_Record[[#This Row],[Date]],"dddd")</f>
        <v>Saturday</v>
      </c>
      <c r="M2293" s="5" t="str">
        <f>TEXT(Store_Record[[#This Row],[Date]],"mmmm")</f>
        <v>June</v>
      </c>
      <c r="N2293" s="5">
        <f>YEAR(Store_Record[[#This Row],[Date]])</f>
        <v>2025</v>
      </c>
      <c r="O2293"/>
    </row>
    <row r="2294" spans="1:15" x14ac:dyDescent="0.35">
      <c r="A2294" t="s">
        <v>3200</v>
      </c>
      <c r="B2294" s="2">
        <v>45822</v>
      </c>
      <c r="C2294" t="s">
        <v>20</v>
      </c>
      <c r="D2294" t="s">
        <v>47</v>
      </c>
      <c r="E2294" t="s">
        <v>12</v>
      </c>
      <c r="F2294" t="s">
        <v>13</v>
      </c>
      <c r="G2294">
        <v>4</v>
      </c>
      <c r="H2294">
        <v>2.5</v>
      </c>
      <c r="I2294" t="s">
        <v>21</v>
      </c>
      <c r="J2294" t="s">
        <v>1983</v>
      </c>
      <c r="K2294" s="12">
        <f>Store_Record[[#This Row],[Qty]]*Store_Record[[#This Row],[UnitPriceGBP]]</f>
        <v>10</v>
      </c>
      <c r="L2294" s="5" t="str">
        <f>TEXT(Store_Record[[#This Row],[Date]],"dddd")</f>
        <v>Saturday</v>
      </c>
      <c r="M2294" s="5" t="str">
        <f>TEXT(Store_Record[[#This Row],[Date]],"mmmm")</f>
        <v>June</v>
      </c>
      <c r="N2294" s="5">
        <f>YEAR(Store_Record[[#This Row],[Date]])</f>
        <v>2025</v>
      </c>
      <c r="O2294"/>
    </row>
    <row r="2295" spans="1:15" x14ac:dyDescent="0.35">
      <c r="A2295" t="s">
        <v>3198</v>
      </c>
      <c r="B2295" s="2">
        <v>45822</v>
      </c>
      <c r="C2295" t="s">
        <v>20</v>
      </c>
      <c r="D2295" t="s">
        <v>38</v>
      </c>
      <c r="E2295" t="s">
        <v>30</v>
      </c>
      <c r="F2295" t="s">
        <v>31</v>
      </c>
      <c r="G2295">
        <v>3</v>
      </c>
      <c r="H2295">
        <v>2.8</v>
      </c>
      <c r="I2295" t="s">
        <v>39</v>
      </c>
      <c r="J2295" t="s">
        <v>972</v>
      </c>
      <c r="K2295" s="12">
        <f>Store_Record[[#This Row],[Qty]]*Store_Record[[#This Row],[UnitPriceGBP]]</f>
        <v>8.3999999999999986</v>
      </c>
      <c r="L2295" s="5" t="str">
        <f>TEXT(Store_Record[[#This Row],[Date]],"dddd")</f>
        <v>Saturday</v>
      </c>
      <c r="M2295" s="5" t="str">
        <f>TEXT(Store_Record[[#This Row],[Date]],"mmmm")</f>
        <v>June</v>
      </c>
      <c r="N2295" s="5">
        <f>YEAR(Store_Record[[#This Row],[Date]])</f>
        <v>2025</v>
      </c>
      <c r="O2295"/>
    </row>
    <row r="2296" spans="1:15" x14ac:dyDescent="0.35">
      <c r="A2296" t="s">
        <v>3205</v>
      </c>
      <c r="B2296" s="2">
        <v>45822</v>
      </c>
      <c r="C2296" t="s">
        <v>36</v>
      </c>
      <c r="D2296" t="s">
        <v>38</v>
      </c>
      <c r="E2296" t="s">
        <v>30</v>
      </c>
      <c r="F2296" t="s">
        <v>31</v>
      </c>
      <c r="G2296">
        <v>3</v>
      </c>
      <c r="H2296">
        <v>2.8</v>
      </c>
      <c r="I2296" t="s">
        <v>14</v>
      </c>
      <c r="J2296" t="s">
        <v>2065</v>
      </c>
      <c r="K2296" s="12">
        <f>Store_Record[[#This Row],[Qty]]*Store_Record[[#This Row],[UnitPriceGBP]]</f>
        <v>8.3999999999999986</v>
      </c>
      <c r="L2296" s="5" t="str">
        <f>TEXT(Store_Record[[#This Row],[Date]],"dddd")</f>
        <v>Saturday</v>
      </c>
      <c r="M2296" s="5" t="str">
        <f>TEXT(Store_Record[[#This Row],[Date]],"mmmm")</f>
        <v>June</v>
      </c>
      <c r="N2296" s="5">
        <f>YEAR(Store_Record[[#This Row],[Date]])</f>
        <v>2025</v>
      </c>
      <c r="O2296"/>
    </row>
    <row r="2297" spans="1:15" x14ac:dyDescent="0.35">
      <c r="A2297" t="s">
        <v>3199</v>
      </c>
      <c r="B2297" s="2">
        <v>45822</v>
      </c>
      <c r="C2297" t="s">
        <v>36</v>
      </c>
      <c r="D2297" t="s">
        <v>11</v>
      </c>
      <c r="E2297" t="s">
        <v>34</v>
      </c>
      <c r="F2297" t="s">
        <v>31</v>
      </c>
      <c r="G2297">
        <v>2</v>
      </c>
      <c r="H2297">
        <v>2.2000000000000002</v>
      </c>
      <c r="I2297" t="s">
        <v>21</v>
      </c>
      <c r="J2297" t="s">
        <v>476</v>
      </c>
      <c r="K2297" s="12">
        <f>Store_Record[[#This Row],[Qty]]*Store_Record[[#This Row],[UnitPriceGBP]]</f>
        <v>4.4000000000000004</v>
      </c>
      <c r="L2297" s="5" t="str">
        <f>TEXT(Store_Record[[#This Row],[Date]],"dddd")</f>
        <v>Saturday</v>
      </c>
      <c r="M2297" s="5" t="str">
        <f>TEXT(Store_Record[[#This Row],[Date]],"mmmm")</f>
        <v>June</v>
      </c>
      <c r="N2297" s="5">
        <f>YEAR(Store_Record[[#This Row],[Date]])</f>
        <v>2025</v>
      </c>
      <c r="O2297"/>
    </row>
    <row r="2298" spans="1:15" x14ac:dyDescent="0.35">
      <c r="A2298" t="s">
        <v>3201</v>
      </c>
      <c r="B2298" s="2">
        <v>45822</v>
      </c>
      <c r="C2298" t="s">
        <v>36</v>
      </c>
      <c r="D2298" t="s">
        <v>38</v>
      </c>
      <c r="E2298" t="s">
        <v>34</v>
      </c>
      <c r="F2298" t="s">
        <v>31</v>
      </c>
      <c r="G2298">
        <v>2</v>
      </c>
      <c r="H2298">
        <v>2.2000000000000002</v>
      </c>
      <c r="I2298" t="s">
        <v>39</v>
      </c>
      <c r="J2298" t="s">
        <v>286</v>
      </c>
      <c r="K2298" s="12">
        <f>Store_Record[[#This Row],[Qty]]*Store_Record[[#This Row],[UnitPriceGBP]]</f>
        <v>4.4000000000000004</v>
      </c>
      <c r="L2298" s="5" t="str">
        <f>TEXT(Store_Record[[#This Row],[Date]],"dddd")</f>
        <v>Saturday</v>
      </c>
      <c r="M2298" s="5" t="str">
        <f>TEXT(Store_Record[[#This Row],[Date]],"mmmm")</f>
        <v>June</v>
      </c>
      <c r="N2298" s="5">
        <f>YEAR(Store_Record[[#This Row],[Date]])</f>
        <v>2025</v>
      </c>
      <c r="O2298"/>
    </row>
    <row r="2299" spans="1:15" x14ac:dyDescent="0.35">
      <c r="A2299" t="s">
        <v>3211</v>
      </c>
      <c r="B2299" s="2">
        <v>45822</v>
      </c>
      <c r="C2299" t="s">
        <v>20</v>
      </c>
      <c r="D2299" t="s">
        <v>25</v>
      </c>
      <c r="E2299" t="s">
        <v>26</v>
      </c>
      <c r="F2299" t="s">
        <v>13</v>
      </c>
      <c r="G2299">
        <v>1</v>
      </c>
      <c r="H2299">
        <v>3.5</v>
      </c>
      <c r="I2299" t="s">
        <v>39</v>
      </c>
      <c r="J2299" t="s">
        <v>1629</v>
      </c>
      <c r="K2299" s="12">
        <f>Store_Record[[#This Row],[Qty]]*Store_Record[[#This Row],[UnitPriceGBP]]</f>
        <v>3.5</v>
      </c>
      <c r="L2299" s="5" t="str">
        <f>TEXT(Store_Record[[#This Row],[Date]],"dddd")</f>
        <v>Saturday</v>
      </c>
      <c r="M2299" s="5" t="str">
        <f>TEXT(Store_Record[[#This Row],[Date]],"mmmm")</f>
        <v>June</v>
      </c>
      <c r="N2299" s="5">
        <f>YEAR(Store_Record[[#This Row],[Date]])</f>
        <v>2025</v>
      </c>
      <c r="O2299"/>
    </row>
    <row r="2300" spans="1:15" x14ac:dyDescent="0.35">
      <c r="A2300" t="s">
        <v>3192</v>
      </c>
      <c r="B2300" s="2">
        <v>45822</v>
      </c>
      <c r="C2300" t="s">
        <v>24</v>
      </c>
      <c r="D2300" t="s">
        <v>38</v>
      </c>
      <c r="E2300" t="s">
        <v>30</v>
      </c>
      <c r="F2300" t="s">
        <v>31</v>
      </c>
      <c r="G2300">
        <v>1</v>
      </c>
      <c r="H2300">
        <v>2.8</v>
      </c>
      <c r="I2300" t="s">
        <v>21</v>
      </c>
      <c r="J2300" t="s">
        <v>1768</v>
      </c>
      <c r="K2300" s="12">
        <f>Store_Record[[#This Row],[Qty]]*Store_Record[[#This Row],[UnitPriceGBP]]</f>
        <v>2.8</v>
      </c>
      <c r="L2300" s="5" t="str">
        <f>TEXT(Store_Record[[#This Row],[Date]],"dddd")</f>
        <v>Saturday</v>
      </c>
      <c r="M2300" s="5" t="str">
        <f>TEXT(Store_Record[[#This Row],[Date]],"mmmm")</f>
        <v>June</v>
      </c>
      <c r="N2300" s="5">
        <f>YEAR(Store_Record[[#This Row],[Date]])</f>
        <v>2025</v>
      </c>
      <c r="O2300"/>
    </row>
    <row r="2301" spans="1:15" x14ac:dyDescent="0.35">
      <c r="A2301" t="s">
        <v>3212</v>
      </c>
      <c r="B2301" s="2">
        <v>45823</v>
      </c>
      <c r="C2301" t="s">
        <v>20</v>
      </c>
      <c r="D2301" t="s">
        <v>47</v>
      </c>
      <c r="E2301" t="s">
        <v>42</v>
      </c>
      <c r="F2301" t="s">
        <v>13</v>
      </c>
      <c r="G2301">
        <v>4</v>
      </c>
      <c r="H2301">
        <v>3.8</v>
      </c>
      <c r="I2301" t="s">
        <v>14</v>
      </c>
      <c r="J2301" t="s">
        <v>1393</v>
      </c>
      <c r="K2301" s="12">
        <f>Store_Record[[#This Row],[Qty]]*Store_Record[[#This Row],[UnitPriceGBP]]</f>
        <v>15.2</v>
      </c>
      <c r="L2301" s="5" t="str">
        <f>TEXT(Store_Record[[#This Row],[Date]],"dddd")</f>
        <v>Sunday</v>
      </c>
      <c r="M2301" s="5" t="str">
        <f>TEXT(Store_Record[[#This Row],[Date]],"mmmm")</f>
        <v>June</v>
      </c>
      <c r="N2301" s="5">
        <f>YEAR(Store_Record[[#This Row],[Date]])</f>
        <v>2025</v>
      </c>
      <c r="O2301"/>
    </row>
    <row r="2302" spans="1:15" x14ac:dyDescent="0.35">
      <c r="A2302" t="s">
        <v>3214</v>
      </c>
      <c r="B2302" s="2">
        <v>45823</v>
      </c>
      <c r="C2302" t="s">
        <v>20</v>
      </c>
      <c r="D2302" t="s">
        <v>38</v>
      </c>
      <c r="E2302" t="s">
        <v>30</v>
      </c>
      <c r="F2302" t="s">
        <v>31</v>
      </c>
      <c r="G2302">
        <v>5</v>
      </c>
      <c r="H2302">
        <v>2.8</v>
      </c>
      <c r="I2302" t="s">
        <v>21</v>
      </c>
      <c r="J2302" t="s">
        <v>72</v>
      </c>
      <c r="K2302" s="12">
        <f>Store_Record[[#This Row],[Qty]]*Store_Record[[#This Row],[UnitPriceGBP]]</f>
        <v>14</v>
      </c>
      <c r="L2302" s="5" t="str">
        <f>TEXT(Store_Record[[#This Row],[Date]],"dddd")</f>
        <v>Sunday</v>
      </c>
      <c r="M2302" s="5" t="str">
        <f>TEXT(Store_Record[[#This Row],[Date]],"mmmm")</f>
        <v>June</v>
      </c>
      <c r="N2302" s="5">
        <f>YEAR(Store_Record[[#This Row],[Date]])</f>
        <v>2025</v>
      </c>
      <c r="O2302"/>
    </row>
    <row r="2303" spans="1:15" x14ac:dyDescent="0.35">
      <c r="A2303" t="s">
        <v>3219</v>
      </c>
      <c r="B2303" s="2">
        <v>45823</v>
      </c>
      <c r="C2303" t="s">
        <v>20</v>
      </c>
      <c r="D2303" t="s">
        <v>38</v>
      </c>
      <c r="E2303" t="s">
        <v>30</v>
      </c>
      <c r="F2303" t="s">
        <v>31</v>
      </c>
      <c r="G2303">
        <v>5</v>
      </c>
      <c r="H2303">
        <v>2.8</v>
      </c>
      <c r="I2303" t="s">
        <v>21</v>
      </c>
      <c r="J2303" t="s">
        <v>2589</v>
      </c>
      <c r="K2303" s="12">
        <f>Store_Record[[#This Row],[Qty]]*Store_Record[[#This Row],[UnitPriceGBP]]</f>
        <v>14</v>
      </c>
      <c r="L2303" s="5" t="str">
        <f>TEXT(Store_Record[[#This Row],[Date]],"dddd")</f>
        <v>Sunday</v>
      </c>
      <c r="M2303" s="5" t="str">
        <f>TEXT(Store_Record[[#This Row],[Date]],"mmmm")</f>
        <v>June</v>
      </c>
      <c r="N2303" s="5">
        <f>YEAR(Store_Record[[#This Row],[Date]])</f>
        <v>2025</v>
      </c>
      <c r="O2303"/>
    </row>
    <row r="2304" spans="1:15" x14ac:dyDescent="0.35">
      <c r="A2304" t="s">
        <v>3220</v>
      </c>
      <c r="B2304" s="2">
        <v>45823</v>
      </c>
      <c r="C2304" t="s">
        <v>10</v>
      </c>
      <c r="D2304" t="s">
        <v>29</v>
      </c>
      <c r="E2304" t="s">
        <v>30</v>
      </c>
      <c r="F2304" t="s">
        <v>31</v>
      </c>
      <c r="G2304">
        <v>5</v>
      </c>
      <c r="H2304">
        <v>2.8</v>
      </c>
      <c r="I2304" t="s">
        <v>39</v>
      </c>
      <c r="J2304" t="s">
        <v>984</v>
      </c>
      <c r="K2304" s="12">
        <f>Store_Record[[#This Row],[Qty]]*Store_Record[[#This Row],[UnitPriceGBP]]</f>
        <v>14</v>
      </c>
      <c r="L2304" s="5" t="str">
        <f>TEXT(Store_Record[[#This Row],[Date]],"dddd")</f>
        <v>Sunday</v>
      </c>
      <c r="M2304" s="5" t="str">
        <f>TEXT(Store_Record[[#This Row],[Date]],"mmmm")</f>
        <v>June</v>
      </c>
      <c r="N2304" s="5">
        <f>YEAR(Store_Record[[#This Row],[Date]])</f>
        <v>2025</v>
      </c>
      <c r="O2304"/>
    </row>
    <row r="2305" spans="1:15" x14ac:dyDescent="0.35">
      <c r="A2305" t="s">
        <v>3218</v>
      </c>
      <c r="B2305" s="2">
        <v>45823</v>
      </c>
      <c r="C2305" t="s">
        <v>36</v>
      </c>
      <c r="D2305" t="s">
        <v>29</v>
      </c>
      <c r="E2305" t="s">
        <v>12</v>
      </c>
      <c r="F2305" t="s">
        <v>13</v>
      </c>
      <c r="G2305">
        <v>4</v>
      </c>
      <c r="H2305">
        <v>2.5</v>
      </c>
      <c r="I2305" t="s">
        <v>14</v>
      </c>
      <c r="J2305" t="s">
        <v>464</v>
      </c>
      <c r="K2305" s="12">
        <f>Store_Record[[#This Row],[Qty]]*Store_Record[[#This Row],[UnitPriceGBP]]</f>
        <v>10</v>
      </c>
      <c r="L2305" s="5" t="str">
        <f>TEXT(Store_Record[[#This Row],[Date]],"dddd")</f>
        <v>Sunday</v>
      </c>
      <c r="M2305" s="5" t="str">
        <f>TEXT(Store_Record[[#This Row],[Date]],"mmmm")</f>
        <v>June</v>
      </c>
      <c r="N2305" s="5">
        <f>YEAR(Store_Record[[#This Row],[Date]])</f>
        <v>2025</v>
      </c>
      <c r="O2305"/>
    </row>
    <row r="2306" spans="1:15" x14ac:dyDescent="0.35">
      <c r="A2306" t="s">
        <v>3215</v>
      </c>
      <c r="B2306" s="2">
        <v>45823</v>
      </c>
      <c r="C2306" t="s">
        <v>10</v>
      </c>
      <c r="D2306" t="s">
        <v>25</v>
      </c>
      <c r="E2306" t="s">
        <v>26</v>
      </c>
      <c r="F2306" t="s">
        <v>13</v>
      </c>
      <c r="G2306">
        <v>2</v>
      </c>
      <c r="H2306">
        <v>3.5</v>
      </c>
      <c r="I2306" t="s">
        <v>14</v>
      </c>
      <c r="J2306" t="s">
        <v>2661</v>
      </c>
      <c r="K2306" s="12">
        <f>Store_Record[[#This Row],[Qty]]*Store_Record[[#This Row],[UnitPriceGBP]]</f>
        <v>7</v>
      </c>
      <c r="L2306" s="5" t="str">
        <f>TEXT(Store_Record[[#This Row],[Date]],"dddd")</f>
        <v>Sunday</v>
      </c>
      <c r="M2306" s="5" t="str">
        <f>TEXT(Store_Record[[#This Row],[Date]],"mmmm")</f>
        <v>June</v>
      </c>
      <c r="N2306" s="5">
        <f>YEAR(Store_Record[[#This Row],[Date]])</f>
        <v>2025</v>
      </c>
      <c r="O2306"/>
    </row>
    <row r="2307" spans="1:15" x14ac:dyDescent="0.35">
      <c r="A2307" t="s">
        <v>3216</v>
      </c>
      <c r="B2307" s="2">
        <v>45823</v>
      </c>
      <c r="C2307" t="s">
        <v>10</v>
      </c>
      <c r="D2307" t="s">
        <v>47</v>
      </c>
      <c r="E2307" t="s">
        <v>26</v>
      </c>
      <c r="F2307" t="s">
        <v>13</v>
      </c>
      <c r="G2307">
        <v>2</v>
      </c>
      <c r="H2307">
        <v>3.5</v>
      </c>
      <c r="I2307" t="s">
        <v>21</v>
      </c>
      <c r="J2307" t="s">
        <v>508</v>
      </c>
      <c r="K2307" s="12">
        <f>Store_Record[[#This Row],[Qty]]*Store_Record[[#This Row],[UnitPriceGBP]]</f>
        <v>7</v>
      </c>
      <c r="L2307" s="5" t="str">
        <f>TEXT(Store_Record[[#This Row],[Date]],"dddd")</f>
        <v>Sunday</v>
      </c>
      <c r="M2307" s="5" t="str">
        <f>TEXT(Store_Record[[#This Row],[Date]],"mmmm")</f>
        <v>June</v>
      </c>
      <c r="N2307" s="5">
        <f>YEAR(Store_Record[[#This Row],[Date]])</f>
        <v>2025</v>
      </c>
      <c r="O2307"/>
    </row>
    <row r="2308" spans="1:15" x14ac:dyDescent="0.35">
      <c r="A2308" t="s">
        <v>3217</v>
      </c>
      <c r="B2308" s="2">
        <v>45823</v>
      </c>
      <c r="C2308" t="s">
        <v>24</v>
      </c>
      <c r="D2308" t="s">
        <v>11</v>
      </c>
      <c r="E2308" t="s">
        <v>26</v>
      </c>
      <c r="F2308" t="s">
        <v>13</v>
      </c>
      <c r="G2308">
        <v>2</v>
      </c>
      <c r="H2308">
        <v>3.5</v>
      </c>
      <c r="I2308" t="s">
        <v>21</v>
      </c>
      <c r="J2308" t="s">
        <v>227</v>
      </c>
      <c r="K2308" s="12">
        <f>Store_Record[[#This Row],[Qty]]*Store_Record[[#This Row],[UnitPriceGBP]]</f>
        <v>7</v>
      </c>
      <c r="L2308" s="5" t="str">
        <f>TEXT(Store_Record[[#This Row],[Date]],"dddd")</f>
        <v>Sunday</v>
      </c>
      <c r="M2308" s="5" t="str">
        <f>TEXT(Store_Record[[#This Row],[Date]],"mmmm")</f>
        <v>June</v>
      </c>
      <c r="N2308" s="5">
        <f>YEAR(Store_Record[[#This Row],[Date]])</f>
        <v>2025</v>
      </c>
      <c r="O2308"/>
    </row>
    <row r="2309" spans="1:15" x14ac:dyDescent="0.35">
      <c r="A2309" t="s">
        <v>3213</v>
      </c>
      <c r="B2309" s="2">
        <v>45823</v>
      </c>
      <c r="C2309" t="s">
        <v>24</v>
      </c>
      <c r="D2309" t="s">
        <v>47</v>
      </c>
      <c r="E2309" t="s">
        <v>26</v>
      </c>
      <c r="F2309" t="s">
        <v>13</v>
      </c>
      <c r="G2309">
        <v>1</v>
      </c>
      <c r="H2309">
        <v>3.5</v>
      </c>
      <c r="I2309" t="s">
        <v>14</v>
      </c>
      <c r="J2309" t="s">
        <v>452</v>
      </c>
      <c r="K2309" s="12">
        <f>Store_Record[[#This Row],[Qty]]*Store_Record[[#This Row],[UnitPriceGBP]]</f>
        <v>3.5</v>
      </c>
      <c r="L2309" s="5" t="str">
        <f>TEXT(Store_Record[[#This Row],[Date]],"dddd")</f>
        <v>Sunday</v>
      </c>
      <c r="M2309" s="5" t="str">
        <f>TEXT(Store_Record[[#This Row],[Date]],"mmmm")</f>
        <v>June</v>
      </c>
      <c r="N2309" s="5">
        <f>YEAR(Store_Record[[#This Row],[Date]])</f>
        <v>2025</v>
      </c>
      <c r="O2309"/>
    </row>
    <row r="2310" spans="1:15" x14ac:dyDescent="0.35">
      <c r="A2310" t="s">
        <v>3226</v>
      </c>
      <c r="B2310" s="2">
        <v>45824</v>
      </c>
      <c r="C2310" t="s">
        <v>10</v>
      </c>
      <c r="D2310" t="s">
        <v>38</v>
      </c>
      <c r="E2310" t="s">
        <v>26</v>
      </c>
      <c r="F2310" t="s">
        <v>13</v>
      </c>
      <c r="G2310">
        <v>5</v>
      </c>
      <c r="H2310">
        <v>3.5</v>
      </c>
      <c r="I2310" t="s">
        <v>21</v>
      </c>
      <c r="J2310" t="s">
        <v>2617</v>
      </c>
      <c r="K2310" s="12">
        <f>Store_Record[[#This Row],[Qty]]*Store_Record[[#This Row],[UnitPriceGBP]]</f>
        <v>17.5</v>
      </c>
      <c r="L2310" s="5" t="str">
        <f>TEXT(Store_Record[[#This Row],[Date]],"dddd")</f>
        <v>Monday</v>
      </c>
      <c r="M2310" s="5" t="str">
        <f>TEXT(Store_Record[[#This Row],[Date]],"mmmm")</f>
        <v>June</v>
      </c>
      <c r="N2310" s="5">
        <f>YEAR(Store_Record[[#This Row],[Date]])</f>
        <v>2025</v>
      </c>
      <c r="O2310"/>
    </row>
    <row r="2311" spans="1:15" x14ac:dyDescent="0.35">
      <c r="A2311" t="s">
        <v>3232</v>
      </c>
      <c r="B2311" s="2">
        <v>45824</v>
      </c>
      <c r="C2311" t="s">
        <v>20</v>
      </c>
      <c r="D2311" t="s">
        <v>29</v>
      </c>
      <c r="E2311" t="s">
        <v>26</v>
      </c>
      <c r="F2311" t="s">
        <v>13</v>
      </c>
      <c r="G2311">
        <v>4</v>
      </c>
      <c r="H2311">
        <v>3.5</v>
      </c>
      <c r="I2311" t="s">
        <v>39</v>
      </c>
      <c r="J2311" t="s">
        <v>3233</v>
      </c>
      <c r="K2311" s="12">
        <f>Store_Record[[#This Row],[Qty]]*Store_Record[[#This Row],[UnitPriceGBP]]</f>
        <v>14</v>
      </c>
      <c r="L2311" s="5" t="str">
        <f>TEXT(Store_Record[[#This Row],[Date]],"dddd")</f>
        <v>Monday</v>
      </c>
      <c r="M2311" s="5" t="str">
        <f>TEXT(Store_Record[[#This Row],[Date]],"mmmm")</f>
        <v>June</v>
      </c>
      <c r="N2311" s="5">
        <f>YEAR(Store_Record[[#This Row],[Date]])</f>
        <v>2025</v>
      </c>
      <c r="O2311"/>
    </row>
    <row r="2312" spans="1:15" x14ac:dyDescent="0.35">
      <c r="A2312" t="s">
        <v>3235</v>
      </c>
      <c r="B2312" s="2">
        <v>45824</v>
      </c>
      <c r="C2312" t="s">
        <v>10</v>
      </c>
      <c r="D2312" t="s">
        <v>11</v>
      </c>
      <c r="E2312" t="s">
        <v>30</v>
      </c>
      <c r="F2312" t="s">
        <v>31</v>
      </c>
      <c r="G2312">
        <v>5</v>
      </c>
      <c r="H2312">
        <v>2.8</v>
      </c>
      <c r="I2312" t="s">
        <v>21</v>
      </c>
      <c r="J2312" t="s">
        <v>2387</v>
      </c>
      <c r="K2312" s="12">
        <f>Store_Record[[#This Row],[Qty]]*Store_Record[[#This Row],[UnitPriceGBP]]</f>
        <v>14</v>
      </c>
      <c r="L2312" s="5" t="str">
        <f>TEXT(Store_Record[[#This Row],[Date]],"dddd")</f>
        <v>Monday</v>
      </c>
      <c r="M2312" s="5" t="str">
        <f>TEXT(Store_Record[[#This Row],[Date]],"mmmm")</f>
        <v>June</v>
      </c>
      <c r="N2312" s="5">
        <f>YEAR(Store_Record[[#This Row],[Date]])</f>
        <v>2025</v>
      </c>
      <c r="O2312"/>
    </row>
    <row r="2313" spans="1:15" x14ac:dyDescent="0.35">
      <c r="A2313" t="s">
        <v>3222</v>
      </c>
      <c r="B2313" s="2">
        <v>45824</v>
      </c>
      <c r="C2313" t="s">
        <v>20</v>
      </c>
      <c r="D2313" t="s">
        <v>47</v>
      </c>
      <c r="E2313" t="s">
        <v>12</v>
      </c>
      <c r="F2313" t="s">
        <v>13</v>
      </c>
      <c r="G2313">
        <v>5</v>
      </c>
      <c r="H2313">
        <v>2.5</v>
      </c>
      <c r="I2313" t="s">
        <v>14</v>
      </c>
      <c r="J2313" t="s">
        <v>2617</v>
      </c>
      <c r="K2313" s="12">
        <f>Store_Record[[#This Row],[Qty]]*Store_Record[[#This Row],[UnitPriceGBP]]</f>
        <v>12.5</v>
      </c>
      <c r="L2313" s="5" t="str">
        <f>TEXT(Store_Record[[#This Row],[Date]],"dddd")</f>
        <v>Monday</v>
      </c>
      <c r="M2313" s="5" t="str">
        <f>TEXT(Store_Record[[#This Row],[Date]],"mmmm")</f>
        <v>June</v>
      </c>
      <c r="N2313" s="5">
        <f>YEAR(Store_Record[[#This Row],[Date]])</f>
        <v>2025</v>
      </c>
      <c r="O2313"/>
    </row>
    <row r="2314" spans="1:15" x14ac:dyDescent="0.35">
      <c r="A2314" t="s">
        <v>3229</v>
      </c>
      <c r="B2314" s="2">
        <v>45824</v>
      </c>
      <c r="C2314" t="s">
        <v>36</v>
      </c>
      <c r="D2314" t="s">
        <v>29</v>
      </c>
      <c r="E2314" t="s">
        <v>12</v>
      </c>
      <c r="F2314" t="s">
        <v>13</v>
      </c>
      <c r="G2314">
        <v>5</v>
      </c>
      <c r="H2314">
        <v>2.5</v>
      </c>
      <c r="I2314" t="s">
        <v>39</v>
      </c>
      <c r="J2314" t="s">
        <v>208</v>
      </c>
      <c r="K2314" s="12">
        <f>Store_Record[[#This Row],[Qty]]*Store_Record[[#This Row],[UnitPriceGBP]]</f>
        <v>12.5</v>
      </c>
      <c r="L2314" s="5" t="str">
        <f>TEXT(Store_Record[[#This Row],[Date]],"dddd")</f>
        <v>Monday</v>
      </c>
      <c r="M2314" s="5" t="str">
        <f>TEXT(Store_Record[[#This Row],[Date]],"mmmm")</f>
        <v>June</v>
      </c>
      <c r="N2314" s="5">
        <f>YEAR(Store_Record[[#This Row],[Date]])</f>
        <v>2025</v>
      </c>
      <c r="O2314"/>
    </row>
    <row r="2315" spans="1:15" x14ac:dyDescent="0.35">
      <c r="A2315" t="s">
        <v>3221</v>
      </c>
      <c r="B2315" s="2">
        <v>45824</v>
      </c>
      <c r="C2315" t="s">
        <v>20</v>
      </c>
      <c r="D2315" t="s">
        <v>25</v>
      </c>
      <c r="E2315" t="s">
        <v>42</v>
      </c>
      <c r="F2315" t="s">
        <v>13</v>
      </c>
      <c r="G2315">
        <v>3</v>
      </c>
      <c r="H2315">
        <v>3.8</v>
      </c>
      <c r="I2315" t="s">
        <v>21</v>
      </c>
      <c r="J2315" t="s">
        <v>167</v>
      </c>
      <c r="K2315" s="12">
        <f>Store_Record[[#This Row],[Qty]]*Store_Record[[#This Row],[UnitPriceGBP]]</f>
        <v>11.399999999999999</v>
      </c>
      <c r="L2315" s="5" t="str">
        <f>TEXT(Store_Record[[#This Row],[Date]],"dddd")</f>
        <v>Monday</v>
      </c>
      <c r="M2315" s="5" t="str">
        <f>TEXT(Store_Record[[#This Row],[Date]],"mmmm")</f>
        <v>June</v>
      </c>
      <c r="N2315" s="5">
        <f>YEAR(Store_Record[[#This Row],[Date]])</f>
        <v>2025</v>
      </c>
      <c r="O2315"/>
    </row>
    <row r="2316" spans="1:15" x14ac:dyDescent="0.35">
      <c r="A2316" t="s">
        <v>3236</v>
      </c>
      <c r="B2316" s="2">
        <v>45824</v>
      </c>
      <c r="C2316" t="s">
        <v>20</v>
      </c>
      <c r="D2316" t="s">
        <v>25</v>
      </c>
      <c r="E2316" t="s">
        <v>26</v>
      </c>
      <c r="F2316" t="s">
        <v>13</v>
      </c>
      <c r="G2316">
        <v>3</v>
      </c>
      <c r="H2316">
        <v>3.5</v>
      </c>
      <c r="I2316" t="s">
        <v>14</v>
      </c>
      <c r="J2316" t="s">
        <v>3237</v>
      </c>
      <c r="K2316" s="12">
        <f>Store_Record[[#This Row],[Qty]]*Store_Record[[#This Row],[UnitPriceGBP]]</f>
        <v>10.5</v>
      </c>
      <c r="L2316" s="5" t="str">
        <f>TEXT(Store_Record[[#This Row],[Date]],"dddd")</f>
        <v>Monday</v>
      </c>
      <c r="M2316" s="5" t="str">
        <f>TEXT(Store_Record[[#This Row],[Date]],"mmmm")</f>
        <v>June</v>
      </c>
      <c r="N2316" s="5">
        <f>YEAR(Store_Record[[#This Row],[Date]])</f>
        <v>2025</v>
      </c>
      <c r="O2316"/>
    </row>
    <row r="2317" spans="1:15" x14ac:dyDescent="0.35">
      <c r="A2317" t="s">
        <v>3234</v>
      </c>
      <c r="B2317" s="2">
        <v>45824</v>
      </c>
      <c r="C2317" t="s">
        <v>36</v>
      </c>
      <c r="D2317" t="s">
        <v>11</v>
      </c>
      <c r="E2317" t="s">
        <v>34</v>
      </c>
      <c r="F2317" t="s">
        <v>31</v>
      </c>
      <c r="G2317">
        <v>4</v>
      </c>
      <c r="H2317">
        <v>2.2000000000000002</v>
      </c>
      <c r="I2317" t="s">
        <v>14</v>
      </c>
      <c r="J2317" t="s">
        <v>1983</v>
      </c>
      <c r="K2317" s="12">
        <f>Store_Record[[#This Row],[Qty]]*Store_Record[[#This Row],[UnitPriceGBP]]</f>
        <v>8.8000000000000007</v>
      </c>
      <c r="L2317" s="5" t="str">
        <f>TEXT(Store_Record[[#This Row],[Date]],"dddd")</f>
        <v>Monday</v>
      </c>
      <c r="M2317" s="5" t="str">
        <f>TEXT(Store_Record[[#This Row],[Date]],"mmmm")</f>
        <v>June</v>
      </c>
      <c r="N2317" s="5">
        <f>YEAR(Store_Record[[#This Row],[Date]])</f>
        <v>2025</v>
      </c>
      <c r="O2317"/>
    </row>
    <row r="2318" spans="1:15" x14ac:dyDescent="0.35">
      <c r="A2318" t="s">
        <v>3230</v>
      </c>
      <c r="B2318" s="2">
        <v>45824</v>
      </c>
      <c r="C2318" t="s">
        <v>10</v>
      </c>
      <c r="D2318" t="s">
        <v>11</v>
      </c>
      <c r="E2318" t="s">
        <v>30</v>
      </c>
      <c r="F2318" t="s">
        <v>31</v>
      </c>
      <c r="G2318">
        <v>3</v>
      </c>
      <c r="H2318">
        <v>2.8</v>
      </c>
      <c r="I2318" t="s">
        <v>14</v>
      </c>
      <c r="J2318" t="s">
        <v>817</v>
      </c>
      <c r="K2318" s="12">
        <f>Store_Record[[#This Row],[Qty]]*Store_Record[[#This Row],[UnitPriceGBP]]</f>
        <v>8.3999999999999986</v>
      </c>
      <c r="L2318" s="5" t="str">
        <f>TEXT(Store_Record[[#This Row],[Date]],"dddd")</f>
        <v>Monday</v>
      </c>
      <c r="M2318" s="5" t="str">
        <f>TEXT(Store_Record[[#This Row],[Date]],"mmmm")</f>
        <v>June</v>
      </c>
      <c r="N2318" s="5">
        <f>YEAR(Store_Record[[#This Row],[Date]])</f>
        <v>2025</v>
      </c>
      <c r="O2318"/>
    </row>
    <row r="2319" spans="1:15" x14ac:dyDescent="0.35">
      <c r="A2319" t="s">
        <v>3225</v>
      </c>
      <c r="B2319" s="2">
        <v>45824</v>
      </c>
      <c r="C2319" t="s">
        <v>36</v>
      </c>
      <c r="D2319" t="s">
        <v>29</v>
      </c>
      <c r="E2319" t="s">
        <v>26</v>
      </c>
      <c r="F2319" t="s">
        <v>13</v>
      </c>
      <c r="G2319">
        <v>2</v>
      </c>
      <c r="H2319">
        <v>3.5</v>
      </c>
      <c r="I2319" t="s">
        <v>39</v>
      </c>
      <c r="J2319" t="s">
        <v>323</v>
      </c>
      <c r="K2319" s="12">
        <f>Store_Record[[#This Row],[Qty]]*Store_Record[[#This Row],[UnitPriceGBP]]</f>
        <v>7</v>
      </c>
      <c r="L2319" s="5" t="str">
        <f>TEXT(Store_Record[[#This Row],[Date]],"dddd")</f>
        <v>Monday</v>
      </c>
      <c r="M2319" s="5" t="str">
        <f>TEXT(Store_Record[[#This Row],[Date]],"mmmm")</f>
        <v>June</v>
      </c>
      <c r="N2319" s="5">
        <f>YEAR(Store_Record[[#This Row],[Date]])</f>
        <v>2025</v>
      </c>
      <c r="O2319"/>
    </row>
    <row r="2320" spans="1:15" x14ac:dyDescent="0.35">
      <c r="A2320" t="s">
        <v>3223</v>
      </c>
      <c r="B2320" s="2">
        <v>45824</v>
      </c>
      <c r="C2320" t="s">
        <v>36</v>
      </c>
      <c r="D2320" t="s">
        <v>29</v>
      </c>
      <c r="E2320" t="s">
        <v>34</v>
      </c>
      <c r="F2320" t="s">
        <v>31</v>
      </c>
      <c r="G2320">
        <v>3</v>
      </c>
      <c r="H2320">
        <v>2.2000000000000002</v>
      </c>
      <c r="I2320" t="s">
        <v>14</v>
      </c>
      <c r="J2320" t="s">
        <v>2399</v>
      </c>
      <c r="K2320" s="12">
        <f>Store_Record[[#This Row],[Qty]]*Store_Record[[#This Row],[UnitPriceGBP]]</f>
        <v>6.6000000000000005</v>
      </c>
      <c r="L2320" s="5" t="str">
        <f>TEXT(Store_Record[[#This Row],[Date]],"dddd")</f>
        <v>Monday</v>
      </c>
      <c r="M2320" s="5" t="str">
        <f>TEXT(Store_Record[[#This Row],[Date]],"mmmm")</f>
        <v>June</v>
      </c>
      <c r="N2320" s="5">
        <f>YEAR(Store_Record[[#This Row],[Date]])</f>
        <v>2025</v>
      </c>
      <c r="O2320"/>
    </row>
    <row r="2321" spans="1:15" x14ac:dyDescent="0.35">
      <c r="A2321" t="s">
        <v>3224</v>
      </c>
      <c r="B2321" s="2">
        <v>45824</v>
      </c>
      <c r="C2321" t="s">
        <v>36</v>
      </c>
      <c r="D2321" t="s">
        <v>47</v>
      </c>
      <c r="E2321" t="s">
        <v>42</v>
      </c>
      <c r="F2321" t="s">
        <v>13</v>
      </c>
      <c r="G2321">
        <v>1</v>
      </c>
      <c r="H2321">
        <v>3.8</v>
      </c>
      <c r="I2321" t="s">
        <v>14</v>
      </c>
      <c r="J2321" t="s">
        <v>99</v>
      </c>
      <c r="K2321" s="12">
        <f>Store_Record[[#This Row],[Qty]]*Store_Record[[#This Row],[UnitPriceGBP]]</f>
        <v>3.8</v>
      </c>
      <c r="L2321" s="5" t="str">
        <f>TEXT(Store_Record[[#This Row],[Date]],"dddd")</f>
        <v>Monday</v>
      </c>
      <c r="M2321" s="5" t="str">
        <f>TEXT(Store_Record[[#This Row],[Date]],"mmmm")</f>
        <v>June</v>
      </c>
      <c r="N2321" s="5">
        <f>YEAR(Store_Record[[#This Row],[Date]])</f>
        <v>2025</v>
      </c>
      <c r="O2321"/>
    </row>
    <row r="2322" spans="1:15" x14ac:dyDescent="0.35">
      <c r="A2322" t="s">
        <v>3231</v>
      </c>
      <c r="B2322" s="2">
        <v>45824</v>
      </c>
      <c r="C2322" t="s">
        <v>24</v>
      </c>
      <c r="D2322" t="s">
        <v>29</v>
      </c>
      <c r="E2322" t="s">
        <v>42</v>
      </c>
      <c r="F2322" t="s">
        <v>13</v>
      </c>
      <c r="G2322">
        <v>1</v>
      </c>
      <c r="H2322">
        <v>3.8</v>
      </c>
      <c r="I2322" t="s">
        <v>39</v>
      </c>
      <c r="J2322" t="s">
        <v>936</v>
      </c>
      <c r="K2322" s="12">
        <f>Store_Record[[#This Row],[Qty]]*Store_Record[[#This Row],[UnitPriceGBP]]</f>
        <v>3.8</v>
      </c>
      <c r="L2322" s="5" t="str">
        <f>TEXT(Store_Record[[#This Row],[Date]],"dddd")</f>
        <v>Monday</v>
      </c>
      <c r="M2322" s="5" t="str">
        <f>TEXT(Store_Record[[#This Row],[Date]],"mmmm")</f>
        <v>June</v>
      </c>
      <c r="N2322" s="5">
        <f>YEAR(Store_Record[[#This Row],[Date]])</f>
        <v>2025</v>
      </c>
      <c r="O2322"/>
    </row>
    <row r="2323" spans="1:15" x14ac:dyDescent="0.35">
      <c r="A2323" t="s">
        <v>3227</v>
      </c>
      <c r="B2323" s="2">
        <v>45824</v>
      </c>
      <c r="C2323" t="s">
        <v>10</v>
      </c>
      <c r="D2323" t="s">
        <v>38</v>
      </c>
      <c r="E2323" t="s">
        <v>34</v>
      </c>
      <c r="F2323" t="s">
        <v>31</v>
      </c>
      <c r="G2323">
        <v>1</v>
      </c>
      <c r="H2323">
        <v>2.2000000000000002</v>
      </c>
      <c r="I2323" t="s">
        <v>39</v>
      </c>
      <c r="J2323" t="s">
        <v>3228</v>
      </c>
      <c r="K2323" s="12">
        <f>Store_Record[[#This Row],[Qty]]*Store_Record[[#This Row],[UnitPriceGBP]]</f>
        <v>2.2000000000000002</v>
      </c>
      <c r="L2323" s="5" t="str">
        <f>TEXT(Store_Record[[#This Row],[Date]],"dddd")</f>
        <v>Monday</v>
      </c>
      <c r="M2323" s="5" t="str">
        <f>TEXT(Store_Record[[#This Row],[Date]],"mmmm")</f>
        <v>June</v>
      </c>
      <c r="N2323" s="5">
        <f>YEAR(Store_Record[[#This Row],[Date]])</f>
        <v>2025</v>
      </c>
      <c r="O2323"/>
    </row>
    <row r="2324" spans="1:15" x14ac:dyDescent="0.35">
      <c r="A2324" t="s">
        <v>3250</v>
      </c>
      <c r="B2324" s="2">
        <v>45825</v>
      </c>
      <c r="C2324" t="s">
        <v>24</v>
      </c>
      <c r="D2324" t="s">
        <v>25</v>
      </c>
      <c r="E2324" t="s">
        <v>42</v>
      </c>
      <c r="F2324" t="s">
        <v>13</v>
      </c>
      <c r="G2324">
        <v>4</v>
      </c>
      <c r="H2324">
        <v>3.8</v>
      </c>
      <c r="I2324" t="s">
        <v>39</v>
      </c>
      <c r="J2324" t="s">
        <v>1936</v>
      </c>
      <c r="K2324" s="12">
        <f>Store_Record[[#This Row],[Qty]]*Store_Record[[#This Row],[UnitPriceGBP]]</f>
        <v>15.2</v>
      </c>
      <c r="L2324" s="5" t="str">
        <f>TEXT(Store_Record[[#This Row],[Date]],"dddd")</f>
        <v>Tuesday</v>
      </c>
      <c r="M2324" s="5" t="str">
        <f>TEXT(Store_Record[[#This Row],[Date]],"mmmm")</f>
        <v>June</v>
      </c>
      <c r="N2324" s="5">
        <f>YEAR(Store_Record[[#This Row],[Date]])</f>
        <v>2025</v>
      </c>
      <c r="O2324"/>
    </row>
    <row r="2325" spans="1:15" x14ac:dyDescent="0.35">
      <c r="A2325" t="s">
        <v>3240</v>
      </c>
      <c r="B2325" s="2">
        <v>45825</v>
      </c>
      <c r="C2325" t="s">
        <v>24</v>
      </c>
      <c r="D2325" t="s">
        <v>29</v>
      </c>
      <c r="E2325" t="s">
        <v>26</v>
      </c>
      <c r="F2325" t="s">
        <v>13</v>
      </c>
      <c r="G2325">
        <v>4</v>
      </c>
      <c r="H2325">
        <v>3.5</v>
      </c>
      <c r="I2325" t="s">
        <v>39</v>
      </c>
      <c r="J2325" t="s">
        <v>3241</v>
      </c>
      <c r="K2325" s="12">
        <f>Store_Record[[#This Row],[Qty]]*Store_Record[[#This Row],[UnitPriceGBP]]</f>
        <v>14</v>
      </c>
      <c r="L2325" s="5" t="str">
        <f>TEXT(Store_Record[[#This Row],[Date]],"dddd")</f>
        <v>Tuesday</v>
      </c>
      <c r="M2325" s="5" t="str">
        <f>TEXT(Store_Record[[#This Row],[Date]],"mmmm")</f>
        <v>June</v>
      </c>
      <c r="N2325" s="5">
        <f>YEAR(Store_Record[[#This Row],[Date]])</f>
        <v>2025</v>
      </c>
      <c r="O2325"/>
    </row>
    <row r="2326" spans="1:15" x14ac:dyDescent="0.35">
      <c r="A2326" t="s">
        <v>3254</v>
      </c>
      <c r="B2326" s="2">
        <v>45825</v>
      </c>
      <c r="C2326" t="s">
        <v>36</v>
      </c>
      <c r="D2326" t="s">
        <v>29</v>
      </c>
      <c r="E2326" t="s">
        <v>26</v>
      </c>
      <c r="F2326" t="s">
        <v>13</v>
      </c>
      <c r="G2326">
        <v>4</v>
      </c>
      <c r="H2326">
        <v>3.5</v>
      </c>
      <c r="I2326" t="s">
        <v>39</v>
      </c>
      <c r="J2326" t="s">
        <v>2880</v>
      </c>
      <c r="K2326" s="12">
        <f>Store_Record[[#This Row],[Qty]]*Store_Record[[#This Row],[UnitPriceGBP]]</f>
        <v>14</v>
      </c>
      <c r="L2326" s="5" t="str">
        <f>TEXT(Store_Record[[#This Row],[Date]],"dddd")</f>
        <v>Tuesday</v>
      </c>
      <c r="M2326" s="5" t="str">
        <f>TEXT(Store_Record[[#This Row],[Date]],"mmmm")</f>
        <v>June</v>
      </c>
      <c r="N2326" s="5">
        <f>YEAR(Store_Record[[#This Row],[Date]])</f>
        <v>2025</v>
      </c>
      <c r="O2326"/>
    </row>
    <row r="2327" spans="1:15" x14ac:dyDescent="0.35">
      <c r="A2327" t="s">
        <v>3242</v>
      </c>
      <c r="B2327" s="2">
        <v>45825</v>
      </c>
      <c r="C2327" t="s">
        <v>10</v>
      </c>
      <c r="D2327" t="s">
        <v>25</v>
      </c>
      <c r="E2327" t="s">
        <v>42</v>
      </c>
      <c r="F2327" t="s">
        <v>13</v>
      </c>
      <c r="G2327">
        <v>3</v>
      </c>
      <c r="H2327">
        <v>3.8</v>
      </c>
      <c r="I2327" t="s">
        <v>14</v>
      </c>
      <c r="J2327" t="s">
        <v>1989</v>
      </c>
      <c r="K2327" s="12">
        <f>Store_Record[[#This Row],[Qty]]*Store_Record[[#This Row],[UnitPriceGBP]]</f>
        <v>11.399999999999999</v>
      </c>
      <c r="L2327" s="5" t="str">
        <f>TEXT(Store_Record[[#This Row],[Date]],"dddd")</f>
        <v>Tuesday</v>
      </c>
      <c r="M2327" s="5" t="str">
        <f>TEXT(Store_Record[[#This Row],[Date]],"mmmm")</f>
        <v>June</v>
      </c>
      <c r="N2327" s="5">
        <f>YEAR(Store_Record[[#This Row],[Date]])</f>
        <v>2025</v>
      </c>
      <c r="O2327"/>
    </row>
    <row r="2328" spans="1:15" x14ac:dyDescent="0.35">
      <c r="A2328" t="s">
        <v>3245</v>
      </c>
      <c r="B2328" s="2">
        <v>45825</v>
      </c>
      <c r="C2328" t="s">
        <v>36</v>
      </c>
      <c r="D2328" t="s">
        <v>25</v>
      </c>
      <c r="E2328" t="s">
        <v>34</v>
      </c>
      <c r="F2328" t="s">
        <v>31</v>
      </c>
      <c r="G2328">
        <v>5</v>
      </c>
      <c r="H2328">
        <v>2.2000000000000002</v>
      </c>
      <c r="I2328" t="s">
        <v>21</v>
      </c>
      <c r="J2328" t="s">
        <v>115</v>
      </c>
      <c r="K2328" s="12">
        <f>Store_Record[[#This Row],[Qty]]*Store_Record[[#This Row],[UnitPriceGBP]]</f>
        <v>11</v>
      </c>
      <c r="L2328" s="5" t="str">
        <f>TEXT(Store_Record[[#This Row],[Date]],"dddd")</f>
        <v>Tuesday</v>
      </c>
      <c r="M2328" s="5" t="str">
        <f>TEXT(Store_Record[[#This Row],[Date]],"mmmm")</f>
        <v>June</v>
      </c>
      <c r="N2328" s="5">
        <f>YEAR(Store_Record[[#This Row],[Date]])</f>
        <v>2025</v>
      </c>
      <c r="O2328"/>
    </row>
    <row r="2329" spans="1:15" x14ac:dyDescent="0.35">
      <c r="A2329" t="s">
        <v>3252</v>
      </c>
      <c r="B2329" s="2">
        <v>45825</v>
      </c>
      <c r="C2329" t="s">
        <v>24</v>
      </c>
      <c r="D2329" t="s">
        <v>47</v>
      </c>
      <c r="E2329" t="s">
        <v>30</v>
      </c>
      <c r="F2329" t="s">
        <v>31</v>
      </c>
      <c r="G2329">
        <v>3</v>
      </c>
      <c r="H2329">
        <v>2.8</v>
      </c>
      <c r="I2329" t="s">
        <v>21</v>
      </c>
      <c r="J2329" t="s">
        <v>105</v>
      </c>
      <c r="K2329" s="12">
        <f>Store_Record[[#This Row],[Qty]]*Store_Record[[#This Row],[UnitPriceGBP]]</f>
        <v>8.3999999999999986</v>
      </c>
      <c r="L2329" s="5" t="str">
        <f>TEXT(Store_Record[[#This Row],[Date]],"dddd")</f>
        <v>Tuesday</v>
      </c>
      <c r="M2329" s="5" t="str">
        <f>TEXT(Store_Record[[#This Row],[Date]],"mmmm")</f>
        <v>June</v>
      </c>
      <c r="N2329" s="5">
        <f>YEAR(Store_Record[[#This Row],[Date]])</f>
        <v>2025</v>
      </c>
      <c r="O2329"/>
    </row>
    <row r="2330" spans="1:15" x14ac:dyDescent="0.35">
      <c r="A2330" t="s">
        <v>3249</v>
      </c>
      <c r="B2330" s="2">
        <v>45825</v>
      </c>
      <c r="C2330" t="s">
        <v>24</v>
      </c>
      <c r="D2330" t="s">
        <v>11</v>
      </c>
      <c r="E2330" t="s">
        <v>12</v>
      </c>
      <c r="F2330" t="s">
        <v>13</v>
      </c>
      <c r="G2330">
        <v>3</v>
      </c>
      <c r="H2330">
        <v>2.5</v>
      </c>
      <c r="I2330" t="s">
        <v>14</v>
      </c>
      <c r="J2330" t="s">
        <v>1950</v>
      </c>
      <c r="K2330" s="12">
        <f>Store_Record[[#This Row],[Qty]]*Store_Record[[#This Row],[UnitPriceGBP]]</f>
        <v>7.5</v>
      </c>
      <c r="L2330" s="5" t="str">
        <f>TEXT(Store_Record[[#This Row],[Date]],"dddd")</f>
        <v>Tuesday</v>
      </c>
      <c r="M2330" s="5" t="str">
        <f>TEXT(Store_Record[[#This Row],[Date]],"mmmm")</f>
        <v>June</v>
      </c>
      <c r="N2330" s="5">
        <f>YEAR(Store_Record[[#This Row],[Date]])</f>
        <v>2025</v>
      </c>
      <c r="O2330"/>
    </row>
    <row r="2331" spans="1:15" x14ac:dyDescent="0.35">
      <c r="A2331" t="s">
        <v>3239</v>
      </c>
      <c r="B2331" s="2">
        <v>45825</v>
      </c>
      <c r="C2331" t="s">
        <v>20</v>
      </c>
      <c r="D2331" t="s">
        <v>47</v>
      </c>
      <c r="E2331" t="s">
        <v>30</v>
      </c>
      <c r="F2331" t="s">
        <v>31</v>
      </c>
      <c r="G2331">
        <v>2</v>
      </c>
      <c r="H2331">
        <v>2.8</v>
      </c>
      <c r="I2331" t="s">
        <v>21</v>
      </c>
      <c r="J2331" t="s">
        <v>222</v>
      </c>
      <c r="K2331" s="12">
        <f>Store_Record[[#This Row],[Qty]]*Store_Record[[#This Row],[UnitPriceGBP]]</f>
        <v>5.6</v>
      </c>
      <c r="L2331" s="5" t="str">
        <f>TEXT(Store_Record[[#This Row],[Date]],"dddd")</f>
        <v>Tuesday</v>
      </c>
      <c r="M2331" s="5" t="str">
        <f>TEXT(Store_Record[[#This Row],[Date]],"mmmm")</f>
        <v>June</v>
      </c>
      <c r="N2331" s="5">
        <f>YEAR(Store_Record[[#This Row],[Date]])</f>
        <v>2025</v>
      </c>
      <c r="O2331"/>
    </row>
    <row r="2332" spans="1:15" x14ac:dyDescent="0.35">
      <c r="A2332" t="s">
        <v>3238</v>
      </c>
      <c r="B2332" s="2">
        <v>45825</v>
      </c>
      <c r="C2332" t="s">
        <v>24</v>
      </c>
      <c r="D2332" t="s">
        <v>29</v>
      </c>
      <c r="E2332" t="s">
        <v>34</v>
      </c>
      <c r="F2332" t="s">
        <v>31</v>
      </c>
      <c r="G2332">
        <v>2</v>
      </c>
      <c r="H2332">
        <v>2.2000000000000002</v>
      </c>
      <c r="I2332" t="s">
        <v>21</v>
      </c>
      <c r="J2332" t="s">
        <v>1090</v>
      </c>
      <c r="K2332" s="12">
        <f>Store_Record[[#This Row],[Qty]]*Store_Record[[#This Row],[UnitPriceGBP]]</f>
        <v>4.4000000000000004</v>
      </c>
      <c r="L2332" s="5" t="str">
        <f>TEXT(Store_Record[[#This Row],[Date]],"dddd")</f>
        <v>Tuesday</v>
      </c>
      <c r="M2332" s="5" t="str">
        <f>TEXT(Store_Record[[#This Row],[Date]],"mmmm")</f>
        <v>June</v>
      </c>
      <c r="N2332" s="5">
        <f>YEAR(Store_Record[[#This Row],[Date]])</f>
        <v>2025</v>
      </c>
      <c r="O2332"/>
    </row>
    <row r="2333" spans="1:15" x14ac:dyDescent="0.35">
      <c r="A2333" t="s">
        <v>3247</v>
      </c>
      <c r="B2333" s="2">
        <v>45825</v>
      </c>
      <c r="C2333" t="s">
        <v>20</v>
      </c>
      <c r="D2333" t="s">
        <v>29</v>
      </c>
      <c r="E2333" t="s">
        <v>34</v>
      </c>
      <c r="F2333" t="s">
        <v>31</v>
      </c>
      <c r="G2333">
        <v>2</v>
      </c>
      <c r="H2333">
        <v>2.2000000000000002</v>
      </c>
      <c r="I2333" t="s">
        <v>14</v>
      </c>
      <c r="J2333" t="s">
        <v>3248</v>
      </c>
      <c r="K2333" s="12">
        <f>Store_Record[[#This Row],[Qty]]*Store_Record[[#This Row],[UnitPriceGBP]]</f>
        <v>4.4000000000000004</v>
      </c>
      <c r="L2333" s="5" t="str">
        <f>TEXT(Store_Record[[#This Row],[Date]],"dddd")</f>
        <v>Tuesday</v>
      </c>
      <c r="M2333" s="5" t="str">
        <f>TEXT(Store_Record[[#This Row],[Date]],"mmmm")</f>
        <v>June</v>
      </c>
      <c r="N2333" s="5">
        <f>YEAR(Store_Record[[#This Row],[Date]])</f>
        <v>2025</v>
      </c>
      <c r="O2333"/>
    </row>
    <row r="2334" spans="1:15" x14ac:dyDescent="0.35">
      <c r="A2334" t="s">
        <v>3251</v>
      </c>
      <c r="B2334" s="2">
        <v>45825</v>
      </c>
      <c r="C2334" t="s">
        <v>24</v>
      </c>
      <c r="D2334" t="s">
        <v>38</v>
      </c>
      <c r="E2334" t="s">
        <v>30</v>
      </c>
      <c r="F2334" t="s">
        <v>31</v>
      </c>
      <c r="G2334">
        <v>1</v>
      </c>
      <c r="H2334">
        <v>2.8</v>
      </c>
      <c r="I2334" t="s">
        <v>21</v>
      </c>
      <c r="J2334" t="s">
        <v>1403</v>
      </c>
      <c r="K2334" s="12">
        <f>Store_Record[[#This Row],[Qty]]*Store_Record[[#This Row],[UnitPriceGBP]]</f>
        <v>2.8</v>
      </c>
      <c r="L2334" s="5" t="str">
        <f>TEXT(Store_Record[[#This Row],[Date]],"dddd")</f>
        <v>Tuesday</v>
      </c>
      <c r="M2334" s="5" t="str">
        <f>TEXT(Store_Record[[#This Row],[Date]],"mmmm")</f>
        <v>June</v>
      </c>
      <c r="N2334" s="5">
        <f>YEAR(Store_Record[[#This Row],[Date]])</f>
        <v>2025</v>
      </c>
      <c r="O2334"/>
    </row>
    <row r="2335" spans="1:15" x14ac:dyDescent="0.35">
      <c r="A2335" t="s">
        <v>3253</v>
      </c>
      <c r="B2335" s="2">
        <v>45825</v>
      </c>
      <c r="C2335" t="s">
        <v>36</v>
      </c>
      <c r="D2335" t="s">
        <v>47</v>
      </c>
      <c r="E2335" t="s">
        <v>30</v>
      </c>
      <c r="F2335" t="s">
        <v>31</v>
      </c>
      <c r="G2335">
        <v>1</v>
      </c>
      <c r="H2335">
        <v>2.8</v>
      </c>
      <c r="I2335" t="s">
        <v>14</v>
      </c>
      <c r="J2335" t="s">
        <v>945</v>
      </c>
      <c r="K2335" s="12">
        <f>Store_Record[[#This Row],[Qty]]*Store_Record[[#This Row],[UnitPriceGBP]]</f>
        <v>2.8</v>
      </c>
      <c r="L2335" s="5" t="str">
        <f>TEXT(Store_Record[[#This Row],[Date]],"dddd")</f>
        <v>Tuesday</v>
      </c>
      <c r="M2335" s="5" t="str">
        <f>TEXT(Store_Record[[#This Row],[Date]],"mmmm")</f>
        <v>June</v>
      </c>
      <c r="N2335" s="5">
        <f>YEAR(Store_Record[[#This Row],[Date]])</f>
        <v>2025</v>
      </c>
      <c r="O2335"/>
    </row>
    <row r="2336" spans="1:15" x14ac:dyDescent="0.35">
      <c r="A2336" t="s">
        <v>3243</v>
      </c>
      <c r="B2336" s="2">
        <v>45825</v>
      </c>
      <c r="C2336" t="s">
        <v>20</v>
      </c>
      <c r="D2336" t="s">
        <v>29</v>
      </c>
      <c r="E2336" t="s">
        <v>12</v>
      </c>
      <c r="F2336" t="s">
        <v>13</v>
      </c>
      <c r="G2336">
        <v>1</v>
      </c>
      <c r="H2336">
        <v>2.5</v>
      </c>
      <c r="I2336" t="s">
        <v>14</v>
      </c>
      <c r="J2336" t="s">
        <v>2779</v>
      </c>
      <c r="K2336" s="12">
        <f>Store_Record[[#This Row],[Qty]]*Store_Record[[#This Row],[UnitPriceGBP]]</f>
        <v>2.5</v>
      </c>
      <c r="L2336" s="5" t="str">
        <f>TEXT(Store_Record[[#This Row],[Date]],"dddd")</f>
        <v>Tuesday</v>
      </c>
      <c r="M2336" s="5" t="str">
        <f>TEXT(Store_Record[[#This Row],[Date]],"mmmm")</f>
        <v>June</v>
      </c>
      <c r="N2336" s="5">
        <f>YEAR(Store_Record[[#This Row],[Date]])</f>
        <v>2025</v>
      </c>
      <c r="O2336"/>
    </row>
    <row r="2337" spans="1:15" x14ac:dyDescent="0.35">
      <c r="A2337" t="s">
        <v>3244</v>
      </c>
      <c r="B2337" s="2">
        <v>45825</v>
      </c>
      <c r="C2337" t="s">
        <v>10</v>
      </c>
      <c r="D2337" t="s">
        <v>25</v>
      </c>
      <c r="E2337" t="s">
        <v>12</v>
      </c>
      <c r="F2337" t="s">
        <v>13</v>
      </c>
      <c r="G2337">
        <v>1</v>
      </c>
      <c r="H2337">
        <v>2.5</v>
      </c>
      <c r="I2337" t="s">
        <v>21</v>
      </c>
      <c r="J2337" t="s">
        <v>2968</v>
      </c>
      <c r="K2337" s="12">
        <f>Store_Record[[#This Row],[Qty]]*Store_Record[[#This Row],[UnitPriceGBP]]</f>
        <v>2.5</v>
      </c>
      <c r="L2337" s="5" t="str">
        <f>TEXT(Store_Record[[#This Row],[Date]],"dddd")</f>
        <v>Tuesday</v>
      </c>
      <c r="M2337" s="5" t="str">
        <f>TEXT(Store_Record[[#This Row],[Date]],"mmmm")</f>
        <v>June</v>
      </c>
      <c r="N2337" s="5">
        <f>YEAR(Store_Record[[#This Row],[Date]])</f>
        <v>2025</v>
      </c>
      <c r="O2337"/>
    </row>
    <row r="2338" spans="1:15" x14ac:dyDescent="0.35">
      <c r="A2338" t="s">
        <v>3246</v>
      </c>
      <c r="B2338" s="2">
        <v>45825</v>
      </c>
      <c r="C2338" t="s">
        <v>36</v>
      </c>
      <c r="D2338" t="s">
        <v>29</v>
      </c>
      <c r="E2338" t="s">
        <v>12</v>
      </c>
      <c r="F2338" t="s">
        <v>13</v>
      </c>
      <c r="G2338">
        <v>1</v>
      </c>
      <c r="H2338">
        <v>2.5</v>
      </c>
      <c r="I2338" t="s">
        <v>14</v>
      </c>
      <c r="J2338" t="s">
        <v>700</v>
      </c>
      <c r="K2338" s="12">
        <f>Store_Record[[#This Row],[Qty]]*Store_Record[[#This Row],[UnitPriceGBP]]</f>
        <v>2.5</v>
      </c>
      <c r="L2338" s="5" t="str">
        <f>TEXT(Store_Record[[#This Row],[Date]],"dddd")</f>
        <v>Tuesday</v>
      </c>
      <c r="M2338" s="5" t="str">
        <f>TEXT(Store_Record[[#This Row],[Date]],"mmmm")</f>
        <v>June</v>
      </c>
      <c r="N2338" s="5">
        <f>YEAR(Store_Record[[#This Row],[Date]])</f>
        <v>2025</v>
      </c>
      <c r="O2338"/>
    </row>
    <row r="2339" spans="1:15" x14ac:dyDescent="0.35">
      <c r="A2339" t="s">
        <v>3256</v>
      </c>
      <c r="B2339" s="2">
        <v>45826</v>
      </c>
      <c r="C2339" t="s">
        <v>24</v>
      </c>
      <c r="D2339" t="s">
        <v>47</v>
      </c>
      <c r="E2339" t="s">
        <v>42</v>
      </c>
      <c r="F2339" t="s">
        <v>13</v>
      </c>
      <c r="G2339">
        <v>5</v>
      </c>
      <c r="H2339">
        <v>3.8</v>
      </c>
      <c r="I2339" t="s">
        <v>21</v>
      </c>
      <c r="J2339" t="s">
        <v>815</v>
      </c>
      <c r="K2339" s="12">
        <f>Store_Record[[#This Row],[Qty]]*Store_Record[[#This Row],[UnitPriceGBP]]</f>
        <v>19</v>
      </c>
      <c r="L2339" s="5" t="str">
        <f>TEXT(Store_Record[[#This Row],[Date]],"dddd")</f>
        <v>Wednesday</v>
      </c>
      <c r="M2339" s="5" t="str">
        <f>TEXT(Store_Record[[#This Row],[Date]],"mmmm")</f>
        <v>June</v>
      </c>
      <c r="N2339" s="5">
        <f>YEAR(Store_Record[[#This Row],[Date]])</f>
        <v>2025</v>
      </c>
      <c r="O2339"/>
    </row>
    <row r="2340" spans="1:15" x14ac:dyDescent="0.35">
      <c r="A2340" t="s">
        <v>3257</v>
      </c>
      <c r="B2340" s="2">
        <v>45826</v>
      </c>
      <c r="C2340" t="s">
        <v>10</v>
      </c>
      <c r="D2340" t="s">
        <v>47</v>
      </c>
      <c r="E2340" t="s">
        <v>26</v>
      </c>
      <c r="F2340" t="s">
        <v>13</v>
      </c>
      <c r="G2340">
        <v>5</v>
      </c>
      <c r="H2340">
        <v>3.5</v>
      </c>
      <c r="I2340" t="s">
        <v>21</v>
      </c>
      <c r="J2340" t="s">
        <v>1598</v>
      </c>
      <c r="K2340" s="12">
        <f>Store_Record[[#This Row],[Qty]]*Store_Record[[#This Row],[UnitPriceGBP]]</f>
        <v>17.5</v>
      </c>
      <c r="L2340" s="5" t="str">
        <f>TEXT(Store_Record[[#This Row],[Date]],"dddd")</f>
        <v>Wednesday</v>
      </c>
      <c r="M2340" s="5" t="str">
        <f>TEXT(Store_Record[[#This Row],[Date]],"mmmm")</f>
        <v>June</v>
      </c>
      <c r="N2340" s="5">
        <f>YEAR(Store_Record[[#This Row],[Date]])</f>
        <v>2025</v>
      </c>
      <c r="O2340"/>
    </row>
    <row r="2341" spans="1:15" x14ac:dyDescent="0.35">
      <c r="A2341" t="s">
        <v>3259</v>
      </c>
      <c r="B2341" s="2">
        <v>45826</v>
      </c>
      <c r="C2341" t="s">
        <v>10</v>
      </c>
      <c r="D2341" t="s">
        <v>38</v>
      </c>
      <c r="E2341" t="s">
        <v>26</v>
      </c>
      <c r="F2341" t="s">
        <v>13</v>
      </c>
      <c r="G2341">
        <v>5</v>
      </c>
      <c r="H2341">
        <v>3.5</v>
      </c>
      <c r="I2341" t="s">
        <v>14</v>
      </c>
      <c r="J2341" t="s">
        <v>659</v>
      </c>
      <c r="K2341" s="12">
        <f>Store_Record[[#This Row],[Qty]]*Store_Record[[#This Row],[UnitPriceGBP]]</f>
        <v>17.5</v>
      </c>
      <c r="L2341" s="5" t="str">
        <f>TEXT(Store_Record[[#This Row],[Date]],"dddd")</f>
        <v>Wednesday</v>
      </c>
      <c r="M2341" s="5" t="str">
        <f>TEXT(Store_Record[[#This Row],[Date]],"mmmm")</f>
        <v>June</v>
      </c>
      <c r="N2341" s="5">
        <f>YEAR(Store_Record[[#This Row],[Date]])</f>
        <v>2025</v>
      </c>
      <c r="O2341"/>
    </row>
    <row r="2342" spans="1:15" x14ac:dyDescent="0.35">
      <c r="A2342" t="s">
        <v>3255</v>
      </c>
      <c r="B2342" s="2">
        <v>45826</v>
      </c>
      <c r="C2342" t="s">
        <v>36</v>
      </c>
      <c r="D2342" t="s">
        <v>25</v>
      </c>
      <c r="E2342" t="s">
        <v>42</v>
      </c>
      <c r="F2342" t="s">
        <v>13</v>
      </c>
      <c r="G2342">
        <v>4</v>
      </c>
      <c r="H2342">
        <v>3.8</v>
      </c>
      <c r="I2342" t="s">
        <v>39</v>
      </c>
      <c r="J2342" t="s">
        <v>354</v>
      </c>
      <c r="K2342" s="12">
        <f>Store_Record[[#This Row],[Qty]]*Store_Record[[#This Row],[UnitPriceGBP]]</f>
        <v>15.2</v>
      </c>
      <c r="L2342" s="5" t="str">
        <f>TEXT(Store_Record[[#This Row],[Date]],"dddd")</f>
        <v>Wednesday</v>
      </c>
      <c r="M2342" s="5" t="str">
        <f>TEXT(Store_Record[[#This Row],[Date]],"mmmm")</f>
        <v>June</v>
      </c>
      <c r="N2342" s="5">
        <f>YEAR(Store_Record[[#This Row],[Date]])</f>
        <v>2025</v>
      </c>
      <c r="O2342"/>
    </row>
    <row r="2343" spans="1:15" x14ac:dyDescent="0.35">
      <c r="A2343" t="s">
        <v>3263</v>
      </c>
      <c r="B2343" s="2">
        <v>45826</v>
      </c>
      <c r="C2343" t="s">
        <v>10</v>
      </c>
      <c r="D2343" t="s">
        <v>47</v>
      </c>
      <c r="E2343" t="s">
        <v>42</v>
      </c>
      <c r="F2343" t="s">
        <v>13</v>
      </c>
      <c r="G2343">
        <v>4</v>
      </c>
      <c r="H2343">
        <v>3.8</v>
      </c>
      <c r="I2343" t="s">
        <v>21</v>
      </c>
      <c r="J2343" t="s">
        <v>875</v>
      </c>
      <c r="K2343" s="12">
        <f>Store_Record[[#This Row],[Qty]]*Store_Record[[#This Row],[UnitPriceGBP]]</f>
        <v>15.2</v>
      </c>
      <c r="L2343" s="5" t="str">
        <f>TEXT(Store_Record[[#This Row],[Date]],"dddd")</f>
        <v>Wednesday</v>
      </c>
      <c r="M2343" s="5" t="str">
        <f>TEXT(Store_Record[[#This Row],[Date]],"mmmm")</f>
        <v>June</v>
      </c>
      <c r="N2343" s="5">
        <f>YEAR(Store_Record[[#This Row],[Date]])</f>
        <v>2025</v>
      </c>
      <c r="O2343"/>
    </row>
    <row r="2344" spans="1:15" x14ac:dyDescent="0.35">
      <c r="A2344" t="s">
        <v>3261</v>
      </c>
      <c r="B2344" s="2">
        <v>45826</v>
      </c>
      <c r="C2344" t="s">
        <v>24</v>
      </c>
      <c r="D2344" t="s">
        <v>25</v>
      </c>
      <c r="E2344" t="s">
        <v>26</v>
      </c>
      <c r="F2344" t="s">
        <v>13</v>
      </c>
      <c r="G2344">
        <v>4</v>
      </c>
      <c r="H2344">
        <v>3.5</v>
      </c>
      <c r="I2344" t="s">
        <v>14</v>
      </c>
      <c r="J2344" t="s">
        <v>881</v>
      </c>
      <c r="K2344" s="12">
        <f>Store_Record[[#This Row],[Qty]]*Store_Record[[#This Row],[UnitPriceGBP]]</f>
        <v>14</v>
      </c>
      <c r="L2344" s="5" t="str">
        <f>TEXT(Store_Record[[#This Row],[Date]],"dddd")</f>
        <v>Wednesday</v>
      </c>
      <c r="M2344" s="5" t="str">
        <f>TEXT(Store_Record[[#This Row],[Date]],"mmmm")</f>
        <v>June</v>
      </c>
      <c r="N2344" s="5">
        <f>YEAR(Store_Record[[#This Row],[Date]])</f>
        <v>2025</v>
      </c>
      <c r="O2344"/>
    </row>
    <row r="2345" spans="1:15" x14ac:dyDescent="0.35">
      <c r="A2345" t="s">
        <v>3264</v>
      </c>
      <c r="B2345" s="2">
        <v>45826</v>
      </c>
      <c r="C2345" t="s">
        <v>10</v>
      </c>
      <c r="D2345" t="s">
        <v>47</v>
      </c>
      <c r="E2345" t="s">
        <v>26</v>
      </c>
      <c r="F2345" t="s">
        <v>13</v>
      </c>
      <c r="G2345">
        <v>4</v>
      </c>
      <c r="H2345">
        <v>3.5</v>
      </c>
      <c r="I2345" t="s">
        <v>14</v>
      </c>
      <c r="J2345" t="s">
        <v>3265</v>
      </c>
      <c r="K2345" s="12">
        <f>Store_Record[[#This Row],[Qty]]*Store_Record[[#This Row],[UnitPriceGBP]]</f>
        <v>14</v>
      </c>
      <c r="L2345" s="5" t="str">
        <f>TEXT(Store_Record[[#This Row],[Date]],"dddd")</f>
        <v>Wednesday</v>
      </c>
      <c r="M2345" s="5" t="str">
        <f>TEXT(Store_Record[[#This Row],[Date]],"mmmm")</f>
        <v>June</v>
      </c>
      <c r="N2345" s="5">
        <f>YEAR(Store_Record[[#This Row],[Date]])</f>
        <v>2025</v>
      </c>
      <c r="O2345"/>
    </row>
    <row r="2346" spans="1:15" x14ac:dyDescent="0.35">
      <c r="A2346" t="s">
        <v>3260</v>
      </c>
      <c r="B2346" s="2">
        <v>45826</v>
      </c>
      <c r="C2346" t="s">
        <v>24</v>
      </c>
      <c r="D2346" t="s">
        <v>38</v>
      </c>
      <c r="E2346" t="s">
        <v>42</v>
      </c>
      <c r="F2346" t="s">
        <v>13</v>
      </c>
      <c r="G2346">
        <v>3</v>
      </c>
      <c r="H2346">
        <v>3.8</v>
      </c>
      <c r="I2346" t="s">
        <v>21</v>
      </c>
      <c r="J2346" t="s">
        <v>499</v>
      </c>
      <c r="K2346" s="12">
        <f>Store_Record[[#This Row],[Qty]]*Store_Record[[#This Row],[UnitPriceGBP]]</f>
        <v>11.399999999999999</v>
      </c>
      <c r="L2346" s="5" t="str">
        <f>TEXT(Store_Record[[#This Row],[Date]],"dddd")</f>
        <v>Wednesday</v>
      </c>
      <c r="M2346" s="5" t="str">
        <f>TEXT(Store_Record[[#This Row],[Date]],"mmmm")</f>
        <v>June</v>
      </c>
      <c r="N2346" s="5">
        <f>YEAR(Store_Record[[#This Row],[Date]])</f>
        <v>2025</v>
      </c>
      <c r="O2346"/>
    </row>
    <row r="2347" spans="1:15" x14ac:dyDescent="0.35">
      <c r="A2347" t="s">
        <v>3258</v>
      </c>
      <c r="B2347" s="2">
        <v>45826</v>
      </c>
      <c r="C2347" t="s">
        <v>36</v>
      </c>
      <c r="D2347" t="s">
        <v>25</v>
      </c>
      <c r="E2347" t="s">
        <v>12</v>
      </c>
      <c r="F2347" t="s">
        <v>13</v>
      </c>
      <c r="G2347">
        <v>4</v>
      </c>
      <c r="H2347">
        <v>2.5</v>
      </c>
      <c r="I2347" t="s">
        <v>14</v>
      </c>
      <c r="J2347" t="s">
        <v>551</v>
      </c>
      <c r="K2347" s="12">
        <f>Store_Record[[#This Row],[Qty]]*Store_Record[[#This Row],[UnitPriceGBP]]</f>
        <v>10</v>
      </c>
      <c r="L2347" s="5" t="str">
        <f>TEXT(Store_Record[[#This Row],[Date]],"dddd")</f>
        <v>Wednesday</v>
      </c>
      <c r="M2347" s="5" t="str">
        <f>TEXT(Store_Record[[#This Row],[Date]],"mmmm")</f>
        <v>June</v>
      </c>
      <c r="N2347" s="5">
        <f>YEAR(Store_Record[[#This Row],[Date]])</f>
        <v>2025</v>
      </c>
      <c r="O2347"/>
    </row>
    <row r="2348" spans="1:15" x14ac:dyDescent="0.35">
      <c r="A2348" t="s">
        <v>3262</v>
      </c>
      <c r="B2348" s="2">
        <v>45826</v>
      </c>
      <c r="C2348" t="s">
        <v>20</v>
      </c>
      <c r="D2348" t="s">
        <v>25</v>
      </c>
      <c r="E2348" t="s">
        <v>34</v>
      </c>
      <c r="F2348" t="s">
        <v>31</v>
      </c>
      <c r="G2348">
        <v>3</v>
      </c>
      <c r="H2348">
        <v>2.2000000000000002</v>
      </c>
      <c r="I2348" t="s">
        <v>14</v>
      </c>
      <c r="J2348" t="s">
        <v>434</v>
      </c>
      <c r="K2348" s="12">
        <f>Store_Record[[#This Row],[Qty]]*Store_Record[[#This Row],[UnitPriceGBP]]</f>
        <v>6.6000000000000005</v>
      </c>
      <c r="L2348" s="5" t="str">
        <f>TEXT(Store_Record[[#This Row],[Date]],"dddd")</f>
        <v>Wednesday</v>
      </c>
      <c r="M2348" s="5" t="str">
        <f>TEXT(Store_Record[[#This Row],[Date]],"mmmm")</f>
        <v>June</v>
      </c>
      <c r="N2348" s="5">
        <f>YEAR(Store_Record[[#This Row],[Date]])</f>
        <v>2025</v>
      </c>
      <c r="O2348"/>
    </row>
    <row r="2349" spans="1:15" x14ac:dyDescent="0.35">
      <c r="A2349" t="s">
        <v>3266</v>
      </c>
      <c r="B2349" s="2">
        <v>45827</v>
      </c>
      <c r="C2349" t="s">
        <v>10</v>
      </c>
      <c r="D2349" t="s">
        <v>25</v>
      </c>
      <c r="E2349" t="s">
        <v>26</v>
      </c>
      <c r="F2349" t="s">
        <v>13</v>
      </c>
      <c r="G2349">
        <v>5</v>
      </c>
      <c r="H2349">
        <v>3.5</v>
      </c>
      <c r="I2349" t="s">
        <v>21</v>
      </c>
      <c r="J2349" t="s">
        <v>1011</v>
      </c>
      <c r="K2349" s="12">
        <f>Store_Record[[#This Row],[Qty]]*Store_Record[[#This Row],[UnitPriceGBP]]</f>
        <v>17.5</v>
      </c>
      <c r="L2349" s="5" t="str">
        <f>TEXT(Store_Record[[#This Row],[Date]],"dddd")</f>
        <v>Thursday</v>
      </c>
      <c r="M2349" s="5" t="str">
        <f>TEXT(Store_Record[[#This Row],[Date]],"mmmm")</f>
        <v>June</v>
      </c>
      <c r="N2349" s="5">
        <f>YEAR(Store_Record[[#This Row],[Date]])</f>
        <v>2025</v>
      </c>
      <c r="O2349"/>
    </row>
    <row r="2350" spans="1:15" x14ac:dyDescent="0.35">
      <c r="A2350" t="s">
        <v>3272</v>
      </c>
      <c r="B2350" s="2">
        <v>45827</v>
      </c>
      <c r="C2350" t="s">
        <v>10</v>
      </c>
      <c r="D2350" t="s">
        <v>11</v>
      </c>
      <c r="E2350" t="s">
        <v>30</v>
      </c>
      <c r="F2350" t="s">
        <v>31</v>
      </c>
      <c r="G2350">
        <v>5</v>
      </c>
      <c r="H2350">
        <v>2.8</v>
      </c>
      <c r="I2350" t="s">
        <v>21</v>
      </c>
      <c r="J2350" t="s">
        <v>3273</v>
      </c>
      <c r="K2350" s="12">
        <f>Store_Record[[#This Row],[Qty]]*Store_Record[[#This Row],[UnitPriceGBP]]</f>
        <v>14</v>
      </c>
      <c r="L2350" s="5" t="str">
        <f>TEXT(Store_Record[[#This Row],[Date]],"dddd")</f>
        <v>Thursday</v>
      </c>
      <c r="M2350" s="5" t="str">
        <f>TEXT(Store_Record[[#This Row],[Date]],"mmmm")</f>
        <v>June</v>
      </c>
      <c r="N2350" s="5">
        <f>YEAR(Store_Record[[#This Row],[Date]])</f>
        <v>2025</v>
      </c>
      <c r="O2350"/>
    </row>
    <row r="2351" spans="1:15" x14ac:dyDescent="0.35">
      <c r="A2351" t="s">
        <v>3275</v>
      </c>
      <c r="B2351" s="2">
        <v>45827</v>
      </c>
      <c r="C2351" t="s">
        <v>20</v>
      </c>
      <c r="D2351" t="s">
        <v>47</v>
      </c>
      <c r="E2351" t="s">
        <v>12</v>
      </c>
      <c r="F2351" t="s">
        <v>13</v>
      </c>
      <c r="G2351">
        <v>5</v>
      </c>
      <c r="H2351">
        <v>2.5</v>
      </c>
      <c r="I2351" t="s">
        <v>21</v>
      </c>
      <c r="J2351" t="s">
        <v>832</v>
      </c>
      <c r="K2351" s="12">
        <f>Store_Record[[#This Row],[Qty]]*Store_Record[[#This Row],[UnitPriceGBP]]</f>
        <v>12.5</v>
      </c>
      <c r="L2351" s="5" t="str">
        <f>TEXT(Store_Record[[#This Row],[Date]],"dddd")</f>
        <v>Thursday</v>
      </c>
      <c r="M2351" s="5" t="str">
        <f>TEXT(Store_Record[[#This Row],[Date]],"mmmm")</f>
        <v>June</v>
      </c>
      <c r="N2351" s="5">
        <f>YEAR(Store_Record[[#This Row],[Date]])</f>
        <v>2025</v>
      </c>
      <c r="O2351"/>
    </row>
    <row r="2352" spans="1:15" x14ac:dyDescent="0.35">
      <c r="A2352" t="s">
        <v>3267</v>
      </c>
      <c r="B2352" s="2">
        <v>45827</v>
      </c>
      <c r="C2352" t="s">
        <v>20</v>
      </c>
      <c r="D2352" t="s">
        <v>11</v>
      </c>
      <c r="E2352" t="s">
        <v>26</v>
      </c>
      <c r="F2352" t="s">
        <v>13</v>
      </c>
      <c r="G2352">
        <v>3</v>
      </c>
      <c r="H2352">
        <v>3.5</v>
      </c>
      <c r="I2352" t="s">
        <v>21</v>
      </c>
      <c r="J2352" t="s">
        <v>3268</v>
      </c>
      <c r="K2352" s="12">
        <f>Store_Record[[#This Row],[Qty]]*Store_Record[[#This Row],[UnitPriceGBP]]</f>
        <v>10.5</v>
      </c>
      <c r="L2352" s="5" t="str">
        <f>TEXT(Store_Record[[#This Row],[Date]],"dddd")</f>
        <v>Thursday</v>
      </c>
      <c r="M2352" s="5" t="str">
        <f>TEXT(Store_Record[[#This Row],[Date]],"mmmm")</f>
        <v>June</v>
      </c>
      <c r="N2352" s="5">
        <f>YEAR(Store_Record[[#This Row],[Date]])</f>
        <v>2025</v>
      </c>
      <c r="O2352"/>
    </row>
    <row r="2353" spans="1:15" x14ac:dyDescent="0.35">
      <c r="A2353" t="s">
        <v>3274</v>
      </c>
      <c r="B2353" s="2">
        <v>45827</v>
      </c>
      <c r="C2353" t="s">
        <v>10</v>
      </c>
      <c r="D2353" t="s">
        <v>25</v>
      </c>
      <c r="E2353" t="s">
        <v>34</v>
      </c>
      <c r="F2353" t="s">
        <v>31</v>
      </c>
      <c r="G2353">
        <v>4</v>
      </c>
      <c r="H2353">
        <v>2.2000000000000002</v>
      </c>
      <c r="I2353" t="s">
        <v>21</v>
      </c>
      <c r="J2353" t="s">
        <v>2948</v>
      </c>
      <c r="K2353" s="12">
        <f>Store_Record[[#This Row],[Qty]]*Store_Record[[#This Row],[UnitPriceGBP]]</f>
        <v>8.8000000000000007</v>
      </c>
      <c r="L2353" s="5" t="str">
        <f>TEXT(Store_Record[[#This Row],[Date]],"dddd")</f>
        <v>Thursday</v>
      </c>
      <c r="M2353" s="5" t="str">
        <f>TEXT(Store_Record[[#This Row],[Date]],"mmmm")</f>
        <v>June</v>
      </c>
      <c r="N2353" s="5">
        <f>YEAR(Store_Record[[#This Row],[Date]])</f>
        <v>2025</v>
      </c>
      <c r="O2353"/>
    </row>
    <row r="2354" spans="1:15" x14ac:dyDescent="0.35">
      <c r="A2354" t="s">
        <v>3271</v>
      </c>
      <c r="B2354" s="2">
        <v>45827</v>
      </c>
      <c r="C2354" t="s">
        <v>36</v>
      </c>
      <c r="D2354" t="s">
        <v>47</v>
      </c>
      <c r="E2354" t="s">
        <v>30</v>
      </c>
      <c r="F2354" t="s">
        <v>31</v>
      </c>
      <c r="G2354">
        <v>3</v>
      </c>
      <c r="H2354">
        <v>2.8</v>
      </c>
      <c r="I2354" t="s">
        <v>14</v>
      </c>
      <c r="J2354" t="s">
        <v>1553</v>
      </c>
      <c r="K2354" s="12">
        <f>Store_Record[[#This Row],[Qty]]*Store_Record[[#This Row],[UnitPriceGBP]]</f>
        <v>8.3999999999999986</v>
      </c>
      <c r="L2354" s="5" t="str">
        <f>TEXT(Store_Record[[#This Row],[Date]],"dddd")</f>
        <v>Thursday</v>
      </c>
      <c r="M2354" s="5" t="str">
        <f>TEXT(Store_Record[[#This Row],[Date]],"mmmm")</f>
        <v>June</v>
      </c>
      <c r="N2354" s="5">
        <f>YEAR(Store_Record[[#This Row],[Date]])</f>
        <v>2025</v>
      </c>
      <c r="O2354"/>
    </row>
    <row r="2355" spans="1:15" x14ac:dyDescent="0.35">
      <c r="A2355" t="s">
        <v>3270</v>
      </c>
      <c r="B2355" s="2">
        <v>45827</v>
      </c>
      <c r="C2355" t="s">
        <v>24</v>
      </c>
      <c r="D2355" t="s">
        <v>11</v>
      </c>
      <c r="E2355" t="s">
        <v>30</v>
      </c>
      <c r="F2355" t="s">
        <v>31</v>
      </c>
      <c r="G2355">
        <v>2</v>
      </c>
      <c r="H2355">
        <v>2.8</v>
      </c>
      <c r="I2355" t="s">
        <v>14</v>
      </c>
      <c r="J2355" t="s">
        <v>524</v>
      </c>
      <c r="K2355" s="12">
        <f>Store_Record[[#This Row],[Qty]]*Store_Record[[#This Row],[UnitPriceGBP]]</f>
        <v>5.6</v>
      </c>
      <c r="L2355" s="5" t="str">
        <f>TEXT(Store_Record[[#This Row],[Date]],"dddd")</f>
        <v>Thursday</v>
      </c>
      <c r="M2355" s="5" t="str">
        <f>TEXT(Store_Record[[#This Row],[Date]],"mmmm")</f>
        <v>June</v>
      </c>
      <c r="N2355" s="5">
        <f>YEAR(Store_Record[[#This Row],[Date]])</f>
        <v>2025</v>
      </c>
      <c r="O2355"/>
    </row>
    <row r="2356" spans="1:15" x14ac:dyDescent="0.35">
      <c r="A2356" t="s">
        <v>3276</v>
      </c>
      <c r="B2356" s="2">
        <v>45827</v>
      </c>
      <c r="C2356" t="s">
        <v>24</v>
      </c>
      <c r="D2356" t="s">
        <v>47</v>
      </c>
      <c r="E2356" t="s">
        <v>12</v>
      </c>
      <c r="F2356" t="s">
        <v>13</v>
      </c>
      <c r="G2356">
        <v>2</v>
      </c>
      <c r="H2356">
        <v>2.5</v>
      </c>
      <c r="I2356" t="s">
        <v>21</v>
      </c>
      <c r="J2356" t="s">
        <v>2689</v>
      </c>
      <c r="K2356" s="12">
        <f>Store_Record[[#This Row],[Qty]]*Store_Record[[#This Row],[UnitPriceGBP]]</f>
        <v>5</v>
      </c>
      <c r="L2356" s="5" t="str">
        <f>TEXT(Store_Record[[#This Row],[Date]],"dddd")</f>
        <v>Thursday</v>
      </c>
      <c r="M2356" s="5" t="str">
        <f>TEXT(Store_Record[[#This Row],[Date]],"mmmm")</f>
        <v>June</v>
      </c>
      <c r="N2356" s="5">
        <f>YEAR(Store_Record[[#This Row],[Date]])</f>
        <v>2025</v>
      </c>
      <c r="O2356"/>
    </row>
    <row r="2357" spans="1:15" x14ac:dyDescent="0.35">
      <c r="A2357" t="s">
        <v>3269</v>
      </c>
      <c r="B2357" s="2">
        <v>45827</v>
      </c>
      <c r="C2357" t="s">
        <v>10</v>
      </c>
      <c r="D2357" t="s">
        <v>47</v>
      </c>
      <c r="E2357" t="s">
        <v>34</v>
      </c>
      <c r="F2357" t="s">
        <v>31</v>
      </c>
      <c r="G2357">
        <v>2</v>
      </c>
      <c r="H2357">
        <v>2.2000000000000002</v>
      </c>
      <c r="I2357" t="s">
        <v>14</v>
      </c>
      <c r="J2357" t="s">
        <v>216</v>
      </c>
      <c r="K2357" s="12">
        <f>Store_Record[[#This Row],[Qty]]*Store_Record[[#This Row],[UnitPriceGBP]]</f>
        <v>4.4000000000000004</v>
      </c>
      <c r="L2357" s="5" t="str">
        <f>TEXT(Store_Record[[#This Row],[Date]],"dddd")</f>
        <v>Thursday</v>
      </c>
      <c r="M2357" s="5" t="str">
        <f>TEXT(Store_Record[[#This Row],[Date]],"mmmm")</f>
        <v>June</v>
      </c>
      <c r="N2357" s="5">
        <f>YEAR(Store_Record[[#This Row],[Date]])</f>
        <v>2025</v>
      </c>
      <c r="O2357"/>
    </row>
    <row r="2358" spans="1:15" x14ac:dyDescent="0.35">
      <c r="A2358" t="s">
        <v>3287</v>
      </c>
      <c r="B2358" s="2">
        <v>45828</v>
      </c>
      <c r="C2358" t="s">
        <v>36</v>
      </c>
      <c r="D2358" t="s">
        <v>29</v>
      </c>
      <c r="E2358" t="s">
        <v>42</v>
      </c>
      <c r="F2358" t="s">
        <v>13</v>
      </c>
      <c r="G2358">
        <v>5</v>
      </c>
      <c r="H2358">
        <v>3.8</v>
      </c>
      <c r="I2358" t="s">
        <v>21</v>
      </c>
      <c r="J2358" t="s">
        <v>644</v>
      </c>
      <c r="K2358" s="12">
        <f>Store_Record[[#This Row],[Qty]]*Store_Record[[#This Row],[UnitPriceGBP]]</f>
        <v>19</v>
      </c>
      <c r="L2358" s="5" t="str">
        <f>TEXT(Store_Record[[#This Row],[Date]],"dddd")</f>
        <v>Friday</v>
      </c>
      <c r="M2358" s="5" t="str">
        <f>TEXT(Store_Record[[#This Row],[Date]],"mmmm")</f>
        <v>June</v>
      </c>
      <c r="N2358" s="5">
        <f>YEAR(Store_Record[[#This Row],[Date]])</f>
        <v>2025</v>
      </c>
      <c r="O2358"/>
    </row>
    <row r="2359" spans="1:15" x14ac:dyDescent="0.35">
      <c r="A2359" t="s">
        <v>3292</v>
      </c>
      <c r="B2359" s="2">
        <v>45828</v>
      </c>
      <c r="C2359" t="s">
        <v>24</v>
      </c>
      <c r="D2359" t="s">
        <v>47</v>
      </c>
      <c r="E2359" t="s">
        <v>42</v>
      </c>
      <c r="F2359" t="s">
        <v>13</v>
      </c>
      <c r="G2359">
        <v>5</v>
      </c>
      <c r="H2359">
        <v>3.8</v>
      </c>
      <c r="I2359" t="s">
        <v>21</v>
      </c>
      <c r="J2359" t="s">
        <v>2046</v>
      </c>
      <c r="K2359" s="12">
        <f>Store_Record[[#This Row],[Qty]]*Store_Record[[#This Row],[UnitPriceGBP]]</f>
        <v>19</v>
      </c>
      <c r="L2359" s="5" t="str">
        <f>TEXT(Store_Record[[#This Row],[Date]],"dddd")</f>
        <v>Friday</v>
      </c>
      <c r="M2359" s="5" t="str">
        <f>TEXT(Store_Record[[#This Row],[Date]],"mmmm")</f>
        <v>June</v>
      </c>
      <c r="N2359" s="5">
        <f>YEAR(Store_Record[[#This Row],[Date]])</f>
        <v>2025</v>
      </c>
      <c r="O2359"/>
    </row>
    <row r="2360" spans="1:15" x14ac:dyDescent="0.35">
      <c r="A2360" t="s">
        <v>3277</v>
      </c>
      <c r="B2360" s="2">
        <v>45828</v>
      </c>
      <c r="C2360" t="s">
        <v>36</v>
      </c>
      <c r="D2360" t="s">
        <v>25</v>
      </c>
      <c r="E2360" t="s">
        <v>26</v>
      </c>
      <c r="F2360" t="s">
        <v>13</v>
      </c>
      <c r="G2360">
        <v>4</v>
      </c>
      <c r="H2360">
        <v>3.5</v>
      </c>
      <c r="I2360" t="s">
        <v>21</v>
      </c>
      <c r="J2360" t="s">
        <v>620</v>
      </c>
      <c r="K2360" s="12">
        <f>Store_Record[[#This Row],[Qty]]*Store_Record[[#This Row],[UnitPriceGBP]]</f>
        <v>14</v>
      </c>
      <c r="L2360" s="5" t="str">
        <f>TEXT(Store_Record[[#This Row],[Date]],"dddd")</f>
        <v>Friday</v>
      </c>
      <c r="M2360" s="5" t="str">
        <f>TEXT(Store_Record[[#This Row],[Date]],"mmmm")</f>
        <v>June</v>
      </c>
      <c r="N2360" s="5">
        <f>YEAR(Store_Record[[#This Row],[Date]])</f>
        <v>2025</v>
      </c>
      <c r="O2360"/>
    </row>
    <row r="2361" spans="1:15" x14ac:dyDescent="0.35">
      <c r="A2361" t="s">
        <v>3278</v>
      </c>
      <c r="B2361" s="2">
        <v>45828</v>
      </c>
      <c r="C2361" t="s">
        <v>20</v>
      </c>
      <c r="D2361" t="s">
        <v>38</v>
      </c>
      <c r="E2361" t="s">
        <v>30</v>
      </c>
      <c r="F2361" t="s">
        <v>31</v>
      </c>
      <c r="G2361">
        <v>5</v>
      </c>
      <c r="H2361">
        <v>2.8</v>
      </c>
      <c r="I2361" t="s">
        <v>39</v>
      </c>
      <c r="J2361" t="s">
        <v>759</v>
      </c>
      <c r="K2361" s="12">
        <f>Store_Record[[#This Row],[Qty]]*Store_Record[[#This Row],[UnitPriceGBP]]</f>
        <v>14</v>
      </c>
      <c r="L2361" s="5" t="str">
        <f>TEXT(Store_Record[[#This Row],[Date]],"dddd")</f>
        <v>Friday</v>
      </c>
      <c r="M2361" s="5" t="str">
        <f>TEXT(Store_Record[[#This Row],[Date]],"mmmm")</f>
        <v>June</v>
      </c>
      <c r="N2361" s="5">
        <f>YEAR(Store_Record[[#This Row],[Date]])</f>
        <v>2025</v>
      </c>
      <c r="O2361"/>
    </row>
    <row r="2362" spans="1:15" x14ac:dyDescent="0.35">
      <c r="A2362" t="s">
        <v>3279</v>
      </c>
      <c r="B2362" s="2">
        <v>45828</v>
      </c>
      <c r="C2362" t="s">
        <v>24</v>
      </c>
      <c r="D2362" t="s">
        <v>25</v>
      </c>
      <c r="E2362" t="s">
        <v>30</v>
      </c>
      <c r="F2362" t="s">
        <v>31</v>
      </c>
      <c r="G2362">
        <v>5</v>
      </c>
      <c r="H2362">
        <v>2.8</v>
      </c>
      <c r="I2362" t="s">
        <v>39</v>
      </c>
      <c r="J2362" t="s">
        <v>3280</v>
      </c>
      <c r="K2362" s="12">
        <f>Store_Record[[#This Row],[Qty]]*Store_Record[[#This Row],[UnitPriceGBP]]</f>
        <v>14</v>
      </c>
      <c r="L2362" s="5" t="str">
        <f>TEXT(Store_Record[[#This Row],[Date]],"dddd")</f>
        <v>Friday</v>
      </c>
      <c r="M2362" s="5" t="str">
        <f>TEXT(Store_Record[[#This Row],[Date]],"mmmm")</f>
        <v>June</v>
      </c>
      <c r="N2362" s="5">
        <f>YEAR(Store_Record[[#This Row],[Date]])</f>
        <v>2025</v>
      </c>
      <c r="O2362"/>
    </row>
    <row r="2363" spans="1:15" x14ac:dyDescent="0.35">
      <c r="A2363" t="s">
        <v>3290</v>
      </c>
      <c r="B2363" s="2">
        <v>45828</v>
      </c>
      <c r="C2363" t="s">
        <v>36</v>
      </c>
      <c r="D2363" t="s">
        <v>38</v>
      </c>
      <c r="E2363" t="s">
        <v>30</v>
      </c>
      <c r="F2363" t="s">
        <v>31</v>
      </c>
      <c r="G2363">
        <v>5</v>
      </c>
      <c r="H2363">
        <v>2.8</v>
      </c>
      <c r="I2363" t="s">
        <v>14</v>
      </c>
      <c r="J2363" t="s">
        <v>1622</v>
      </c>
      <c r="K2363" s="12">
        <f>Store_Record[[#This Row],[Qty]]*Store_Record[[#This Row],[UnitPriceGBP]]</f>
        <v>14</v>
      </c>
      <c r="L2363" s="5" t="str">
        <f>TEXT(Store_Record[[#This Row],[Date]],"dddd")</f>
        <v>Friday</v>
      </c>
      <c r="M2363" s="5" t="str">
        <f>TEXT(Store_Record[[#This Row],[Date]],"mmmm")</f>
        <v>June</v>
      </c>
      <c r="N2363" s="5">
        <f>YEAR(Store_Record[[#This Row],[Date]])</f>
        <v>2025</v>
      </c>
      <c r="O2363"/>
    </row>
    <row r="2364" spans="1:15" x14ac:dyDescent="0.35">
      <c r="A2364" t="s">
        <v>3286</v>
      </c>
      <c r="B2364" s="2">
        <v>45828</v>
      </c>
      <c r="C2364" t="s">
        <v>36</v>
      </c>
      <c r="D2364" t="s">
        <v>47</v>
      </c>
      <c r="E2364" t="s">
        <v>42</v>
      </c>
      <c r="F2364" t="s">
        <v>13</v>
      </c>
      <c r="G2364">
        <v>3</v>
      </c>
      <c r="H2364">
        <v>3.8</v>
      </c>
      <c r="I2364" t="s">
        <v>14</v>
      </c>
      <c r="J2364" t="s">
        <v>862</v>
      </c>
      <c r="K2364" s="12">
        <f>Store_Record[[#This Row],[Qty]]*Store_Record[[#This Row],[UnitPriceGBP]]</f>
        <v>11.399999999999999</v>
      </c>
      <c r="L2364" s="5" t="str">
        <f>TEXT(Store_Record[[#This Row],[Date]],"dddd")</f>
        <v>Friday</v>
      </c>
      <c r="M2364" s="5" t="str">
        <f>TEXT(Store_Record[[#This Row],[Date]],"mmmm")</f>
        <v>June</v>
      </c>
      <c r="N2364" s="5">
        <f>YEAR(Store_Record[[#This Row],[Date]])</f>
        <v>2025</v>
      </c>
      <c r="O2364"/>
    </row>
    <row r="2365" spans="1:15" x14ac:dyDescent="0.35">
      <c r="A2365" t="s">
        <v>3281</v>
      </c>
      <c r="B2365" s="2">
        <v>45828</v>
      </c>
      <c r="C2365" t="s">
        <v>10</v>
      </c>
      <c r="D2365" t="s">
        <v>47</v>
      </c>
      <c r="E2365" t="s">
        <v>26</v>
      </c>
      <c r="F2365" t="s">
        <v>13</v>
      </c>
      <c r="G2365">
        <v>3</v>
      </c>
      <c r="H2365">
        <v>3.5</v>
      </c>
      <c r="I2365" t="s">
        <v>14</v>
      </c>
      <c r="J2365" t="s">
        <v>3282</v>
      </c>
      <c r="K2365" s="12">
        <f>Store_Record[[#This Row],[Qty]]*Store_Record[[#This Row],[UnitPriceGBP]]</f>
        <v>10.5</v>
      </c>
      <c r="L2365" s="5" t="str">
        <f>TEXT(Store_Record[[#This Row],[Date]],"dddd")</f>
        <v>Friday</v>
      </c>
      <c r="M2365" s="5" t="str">
        <f>TEXT(Store_Record[[#This Row],[Date]],"mmmm")</f>
        <v>June</v>
      </c>
      <c r="N2365" s="5">
        <f>YEAR(Store_Record[[#This Row],[Date]])</f>
        <v>2025</v>
      </c>
      <c r="O2365"/>
    </row>
    <row r="2366" spans="1:15" x14ac:dyDescent="0.35">
      <c r="A2366" t="s">
        <v>3285</v>
      </c>
      <c r="B2366" s="2">
        <v>45828</v>
      </c>
      <c r="C2366" t="s">
        <v>20</v>
      </c>
      <c r="D2366" t="s">
        <v>38</v>
      </c>
      <c r="E2366" t="s">
        <v>26</v>
      </c>
      <c r="F2366" t="s">
        <v>13</v>
      </c>
      <c r="G2366">
        <v>3</v>
      </c>
      <c r="H2366">
        <v>3.5</v>
      </c>
      <c r="I2366" t="s">
        <v>39</v>
      </c>
      <c r="J2366" t="s">
        <v>1300</v>
      </c>
      <c r="K2366" s="12">
        <f>Store_Record[[#This Row],[Qty]]*Store_Record[[#This Row],[UnitPriceGBP]]</f>
        <v>10.5</v>
      </c>
      <c r="L2366" s="5" t="str">
        <f>TEXT(Store_Record[[#This Row],[Date]],"dddd")</f>
        <v>Friday</v>
      </c>
      <c r="M2366" s="5" t="str">
        <f>TEXT(Store_Record[[#This Row],[Date]],"mmmm")</f>
        <v>June</v>
      </c>
      <c r="N2366" s="5">
        <f>YEAR(Store_Record[[#This Row],[Date]])</f>
        <v>2025</v>
      </c>
      <c r="O2366"/>
    </row>
    <row r="2367" spans="1:15" x14ac:dyDescent="0.35">
      <c r="A2367" t="s">
        <v>3284</v>
      </c>
      <c r="B2367" s="2">
        <v>45828</v>
      </c>
      <c r="C2367" t="s">
        <v>24</v>
      </c>
      <c r="D2367" t="s">
        <v>29</v>
      </c>
      <c r="E2367" t="s">
        <v>26</v>
      </c>
      <c r="F2367" t="s">
        <v>13</v>
      </c>
      <c r="G2367">
        <v>1</v>
      </c>
      <c r="H2367">
        <v>3.5</v>
      </c>
      <c r="I2367" t="s">
        <v>39</v>
      </c>
      <c r="J2367" t="s">
        <v>443</v>
      </c>
      <c r="K2367" s="12">
        <f>Store_Record[[#This Row],[Qty]]*Store_Record[[#This Row],[UnitPriceGBP]]</f>
        <v>3.5</v>
      </c>
      <c r="L2367" s="5" t="str">
        <f>TEXT(Store_Record[[#This Row],[Date]],"dddd")</f>
        <v>Friday</v>
      </c>
      <c r="M2367" s="5" t="str">
        <f>TEXT(Store_Record[[#This Row],[Date]],"mmmm")</f>
        <v>June</v>
      </c>
      <c r="N2367" s="5">
        <f>YEAR(Store_Record[[#This Row],[Date]])</f>
        <v>2025</v>
      </c>
      <c r="O2367"/>
    </row>
    <row r="2368" spans="1:15" x14ac:dyDescent="0.35">
      <c r="A2368" t="s">
        <v>3288</v>
      </c>
      <c r="B2368" s="2">
        <v>45828</v>
      </c>
      <c r="C2368" t="s">
        <v>20</v>
      </c>
      <c r="D2368" t="s">
        <v>38</v>
      </c>
      <c r="E2368" t="s">
        <v>26</v>
      </c>
      <c r="F2368" t="s">
        <v>13</v>
      </c>
      <c r="G2368">
        <v>1</v>
      </c>
      <c r="H2368">
        <v>3.5</v>
      </c>
      <c r="I2368" t="s">
        <v>21</v>
      </c>
      <c r="J2368" t="s">
        <v>808</v>
      </c>
      <c r="K2368" s="12">
        <f>Store_Record[[#This Row],[Qty]]*Store_Record[[#This Row],[UnitPriceGBP]]</f>
        <v>3.5</v>
      </c>
      <c r="L2368" s="5" t="str">
        <f>TEXT(Store_Record[[#This Row],[Date]],"dddd")</f>
        <v>Friday</v>
      </c>
      <c r="M2368" s="5" t="str">
        <f>TEXT(Store_Record[[#This Row],[Date]],"mmmm")</f>
        <v>June</v>
      </c>
      <c r="N2368" s="5">
        <f>YEAR(Store_Record[[#This Row],[Date]])</f>
        <v>2025</v>
      </c>
      <c r="O2368"/>
    </row>
    <row r="2369" spans="1:15" x14ac:dyDescent="0.35">
      <c r="A2369" t="s">
        <v>3289</v>
      </c>
      <c r="B2369" s="2">
        <v>45828</v>
      </c>
      <c r="C2369" t="s">
        <v>20</v>
      </c>
      <c r="D2369" t="s">
        <v>47</v>
      </c>
      <c r="E2369" t="s">
        <v>30</v>
      </c>
      <c r="F2369" t="s">
        <v>31</v>
      </c>
      <c r="G2369">
        <v>1</v>
      </c>
      <c r="H2369">
        <v>2.8</v>
      </c>
      <c r="I2369" t="s">
        <v>21</v>
      </c>
      <c r="J2369" t="s">
        <v>3268</v>
      </c>
      <c r="K2369" s="12">
        <f>Store_Record[[#This Row],[Qty]]*Store_Record[[#This Row],[UnitPriceGBP]]</f>
        <v>2.8</v>
      </c>
      <c r="L2369" s="5" t="str">
        <f>TEXT(Store_Record[[#This Row],[Date]],"dddd")</f>
        <v>Friday</v>
      </c>
      <c r="M2369" s="5" t="str">
        <f>TEXT(Store_Record[[#This Row],[Date]],"mmmm")</f>
        <v>June</v>
      </c>
      <c r="N2369" s="5">
        <f>YEAR(Store_Record[[#This Row],[Date]])</f>
        <v>2025</v>
      </c>
      <c r="O2369"/>
    </row>
    <row r="2370" spans="1:15" x14ac:dyDescent="0.35">
      <c r="A2370" t="s">
        <v>3291</v>
      </c>
      <c r="B2370" s="2">
        <v>45828</v>
      </c>
      <c r="C2370" t="s">
        <v>24</v>
      </c>
      <c r="D2370" t="s">
        <v>11</v>
      </c>
      <c r="E2370" t="s">
        <v>30</v>
      </c>
      <c r="F2370" t="s">
        <v>31</v>
      </c>
      <c r="G2370">
        <v>1</v>
      </c>
      <c r="H2370">
        <v>2.8</v>
      </c>
      <c r="I2370" t="s">
        <v>14</v>
      </c>
      <c r="J2370" t="s">
        <v>1806</v>
      </c>
      <c r="K2370" s="12">
        <f>Store_Record[[#This Row],[Qty]]*Store_Record[[#This Row],[UnitPriceGBP]]</f>
        <v>2.8</v>
      </c>
      <c r="L2370" s="5" t="str">
        <f>TEXT(Store_Record[[#This Row],[Date]],"dddd")</f>
        <v>Friday</v>
      </c>
      <c r="M2370" s="5" t="str">
        <f>TEXT(Store_Record[[#This Row],[Date]],"mmmm")</f>
        <v>June</v>
      </c>
      <c r="N2370" s="5">
        <f>YEAR(Store_Record[[#This Row],[Date]])</f>
        <v>2025</v>
      </c>
      <c r="O2370"/>
    </row>
    <row r="2371" spans="1:15" x14ac:dyDescent="0.35">
      <c r="A2371" t="s">
        <v>3283</v>
      </c>
      <c r="B2371" s="2">
        <v>45828</v>
      </c>
      <c r="C2371" t="s">
        <v>36</v>
      </c>
      <c r="D2371" t="s">
        <v>11</v>
      </c>
      <c r="E2371" t="s">
        <v>12</v>
      </c>
      <c r="F2371" t="s">
        <v>13</v>
      </c>
      <c r="G2371">
        <v>1</v>
      </c>
      <c r="H2371">
        <v>2.5</v>
      </c>
      <c r="I2371" t="s">
        <v>14</v>
      </c>
      <c r="J2371" t="s">
        <v>640</v>
      </c>
      <c r="K2371" s="12">
        <f>Store_Record[[#This Row],[Qty]]*Store_Record[[#This Row],[UnitPriceGBP]]</f>
        <v>2.5</v>
      </c>
      <c r="L2371" s="5" t="str">
        <f>TEXT(Store_Record[[#This Row],[Date]],"dddd")</f>
        <v>Friday</v>
      </c>
      <c r="M2371" s="5" t="str">
        <f>TEXT(Store_Record[[#This Row],[Date]],"mmmm")</f>
        <v>June</v>
      </c>
      <c r="N2371" s="5">
        <f>YEAR(Store_Record[[#This Row],[Date]])</f>
        <v>2025</v>
      </c>
      <c r="O2371"/>
    </row>
    <row r="2372" spans="1:15" x14ac:dyDescent="0.35">
      <c r="A2372" t="s">
        <v>3301</v>
      </c>
      <c r="B2372" s="2">
        <v>45829</v>
      </c>
      <c r="C2372" t="s">
        <v>24</v>
      </c>
      <c r="D2372" t="s">
        <v>38</v>
      </c>
      <c r="E2372" t="s">
        <v>26</v>
      </c>
      <c r="F2372" t="s">
        <v>13</v>
      </c>
      <c r="G2372">
        <v>5</v>
      </c>
      <c r="H2372">
        <v>3.5</v>
      </c>
      <c r="I2372" t="s">
        <v>21</v>
      </c>
      <c r="J2372" t="s">
        <v>1183</v>
      </c>
      <c r="K2372" s="12">
        <f>Store_Record[[#This Row],[Qty]]*Store_Record[[#This Row],[UnitPriceGBP]]</f>
        <v>17.5</v>
      </c>
      <c r="L2372" s="5" t="str">
        <f>TEXT(Store_Record[[#This Row],[Date]],"dddd")</f>
        <v>Saturday</v>
      </c>
      <c r="M2372" s="5" t="str">
        <f>TEXT(Store_Record[[#This Row],[Date]],"mmmm")</f>
        <v>June</v>
      </c>
      <c r="N2372" s="5">
        <f>YEAR(Store_Record[[#This Row],[Date]])</f>
        <v>2025</v>
      </c>
      <c r="O2372"/>
    </row>
    <row r="2373" spans="1:15" x14ac:dyDescent="0.35">
      <c r="A2373" t="s">
        <v>3293</v>
      </c>
      <c r="B2373" s="2">
        <v>45829</v>
      </c>
      <c r="C2373" t="s">
        <v>36</v>
      </c>
      <c r="D2373" t="s">
        <v>38</v>
      </c>
      <c r="E2373" t="s">
        <v>26</v>
      </c>
      <c r="F2373" t="s">
        <v>13</v>
      </c>
      <c r="G2373">
        <v>4</v>
      </c>
      <c r="H2373">
        <v>3.5</v>
      </c>
      <c r="I2373" t="s">
        <v>39</v>
      </c>
      <c r="J2373" t="s">
        <v>2222</v>
      </c>
      <c r="K2373" s="12">
        <f>Store_Record[[#This Row],[Qty]]*Store_Record[[#This Row],[UnitPriceGBP]]</f>
        <v>14</v>
      </c>
      <c r="L2373" s="5" t="str">
        <f>TEXT(Store_Record[[#This Row],[Date]],"dddd")</f>
        <v>Saturday</v>
      </c>
      <c r="M2373" s="5" t="str">
        <f>TEXT(Store_Record[[#This Row],[Date]],"mmmm")</f>
        <v>June</v>
      </c>
      <c r="N2373" s="5">
        <f>YEAR(Store_Record[[#This Row],[Date]])</f>
        <v>2025</v>
      </c>
      <c r="O2373"/>
    </row>
    <row r="2374" spans="1:15" x14ac:dyDescent="0.35">
      <c r="A2374" t="s">
        <v>3294</v>
      </c>
      <c r="B2374" s="2">
        <v>45829</v>
      </c>
      <c r="C2374" t="s">
        <v>10</v>
      </c>
      <c r="D2374" t="s">
        <v>38</v>
      </c>
      <c r="E2374" t="s">
        <v>26</v>
      </c>
      <c r="F2374" t="s">
        <v>13</v>
      </c>
      <c r="G2374">
        <v>4</v>
      </c>
      <c r="H2374">
        <v>3.5</v>
      </c>
      <c r="I2374" t="s">
        <v>14</v>
      </c>
      <c r="J2374" t="s">
        <v>2286</v>
      </c>
      <c r="K2374" s="12">
        <f>Store_Record[[#This Row],[Qty]]*Store_Record[[#This Row],[UnitPriceGBP]]</f>
        <v>14</v>
      </c>
      <c r="L2374" s="5" t="str">
        <f>TEXT(Store_Record[[#This Row],[Date]],"dddd")</f>
        <v>Saturday</v>
      </c>
      <c r="M2374" s="5" t="str">
        <f>TEXT(Store_Record[[#This Row],[Date]],"mmmm")</f>
        <v>June</v>
      </c>
      <c r="N2374" s="5">
        <f>YEAR(Store_Record[[#This Row],[Date]])</f>
        <v>2025</v>
      </c>
      <c r="O2374"/>
    </row>
    <row r="2375" spans="1:15" x14ac:dyDescent="0.35">
      <c r="A2375" t="s">
        <v>3305</v>
      </c>
      <c r="B2375" s="2">
        <v>45829</v>
      </c>
      <c r="C2375" t="s">
        <v>10</v>
      </c>
      <c r="D2375" t="s">
        <v>38</v>
      </c>
      <c r="E2375" t="s">
        <v>26</v>
      </c>
      <c r="F2375" t="s">
        <v>13</v>
      </c>
      <c r="G2375">
        <v>4</v>
      </c>
      <c r="H2375">
        <v>3.5</v>
      </c>
      <c r="I2375" t="s">
        <v>39</v>
      </c>
      <c r="J2375" t="s">
        <v>328</v>
      </c>
      <c r="K2375" s="12">
        <f>Store_Record[[#This Row],[Qty]]*Store_Record[[#This Row],[UnitPriceGBP]]</f>
        <v>14</v>
      </c>
      <c r="L2375" s="5" t="str">
        <f>TEXT(Store_Record[[#This Row],[Date]],"dddd")</f>
        <v>Saturday</v>
      </c>
      <c r="M2375" s="5" t="str">
        <f>TEXT(Store_Record[[#This Row],[Date]],"mmmm")</f>
        <v>June</v>
      </c>
      <c r="N2375" s="5">
        <f>YEAR(Store_Record[[#This Row],[Date]])</f>
        <v>2025</v>
      </c>
      <c r="O2375"/>
    </row>
    <row r="2376" spans="1:15" x14ac:dyDescent="0.35">
      <c r="A2376" t="s">
        <v>3302</v>
      </c>
      <c r="B2376" s="2">
        <v>45829</v>
      </c>
      <c r="C2376" t="s">
        <v>20</v>
      </c>
      <c r="D2376" t="s">
        <v>29</v>
      </c>
      <c r="E2376" t="s">
        <v>30</v>
      </c>
      <c r="F2376" t="s">
        <v>31</v>
      </c>
      <c r="G2376">
        <v>4</v>
      </c>
      <c r="H2376">
        <v>2.8</v>
      </c>
      <c r="I2376" t="s">
        <v>39</v>
      </c>
      <c r="J2376" t="s">
        <v>121</v>
      </c>
      <c r="K2376" s="12">
        <f>Store_Record[[#This Row],[Qty]]*Store_Record[[#This Row],[UnitPriceGBP]]</f>
        <v>11.2</v>
      </c>
      <c r="L2376" s="5" t="str">
        <f>TEXT(Store_Record[[#This Row],[Date]],"dddd")</f>
        <v>Saturday</v>
      </c>
      <c r="M2376" s="5" t="str">
        <f>TEXT(Store_Record[[#This Row],[Date]],"mmmm")</f>
        <v>June</v>
      </c>
      <c r="N2376" s="5">
        <f>YEAR(Store_Record[[#This Row],[Date]])</f>
        <v>2025</v>
      </c>
      <c r="O2376"/>
    </row>
    <row r="2377" spans="1:15" x14ac:dyDescent="0.35">
      <c r="A2377" t="s">
        <v>3299</v>
      </c>
      <c r="B2377" s="2">
        <v>45829</v>
      </c>
      <c r="C2377" t="s">
        <v>20</v>
      </c>
      <c r="D2377" t="s">
        <v>11</v>
      </c>
      <c r="E2377" t="s">
        <v>34</v>
      </c>
      <c r="F2377" t="s">
        <v>31</v>
      </c>
      <c r="G2377">
        <v>5</v>
      </c>
      <c r="H2377">
        <v>2.2000000000000002</v>
      </c>
      <c r="I2377" t="s">
        <v>39</v>
      </c>
      <c r="J2377" t="s">
        <v>1622</v>
      </c>
      <c r="K2377" s="12">
        <f>Store_Record[[#This Row],[Qty]]*Store_Record[[#This Row],[UnitPriceGBP]]</f>
        <v>11</v>
      </c>
      <c r="L2377" s="5" t="str">
        <f>TEXT(Store_Record[[#This Row],[Date]],"dddd")</f>
        <v>Saturday</v>
      </c>
      <c r="M2377" s="5" t="str">
        <f>TEXT(Store_Record[[#This Row],[Date]],"mmmm")</f>
        <v>June</v>
      </c>
      <c r="N2377" s="5">
        <f>YEAR(Store_Record[[#This Row],[Date]])</f>
        <v>2025</v>
      </c>
      <c r="O2377"/>
    </row>
    <row r="2378" spans="1:15" x14ac:dyDescent="0.35">
      <c r="A2378" t="s">
        <v>3303</v>
      </c>
      <c r="B2378" s="2">
        <v>45829</v>
      </c>
      <c r="C2378" t="s">
        <v>24</v>
      </c>
      <c r="D2378" t="s">
        <v>29</v>
      </c>
      <c r="E2378" t="s">
        <v>30</v>
      </c>
      <c r="F2378" t="s">
        <v>31</v>
      </c>
      <c r="G2378">
        <v>3</v>
      </c>
      <c r="H2378">
        <v>2.8</v>
      </c>
      <c r="I2378" t="s">
        <v>14</v>
      </c>
      <c r="J2378" t="s">
        <v>1020</v>
      </c>
      <c r="K2378" s="12">
        <f>Store_Record[[#This Row],[Qty]]*Store_Record[[#This Row],[UnitPriceGBP]]</f>
        <v>8.3999999999999986</v>
      </c>
      <c r="L2378" s="5" t="str">
        <f>TEXT(Store_Record[[#This Row],[Date]],"dddd")</f>
        <v>Saturday</v>
      </c>
      <c r="M2378" s="5" t="str">
        <f>TEXT(Store_Record[[#This Row],[Date]],"mmmm")</f>
        <v>June</v>
      </c>
      <c r="N2378" s="5">
        <f>YEAR(Store_Record[[#This Row],[Date]])</f>
        <v>2025</v>
      </c>
      <c r="O2378"/>
    </row>
    <row r="2379" spans="1:15" x14ac:dyDescent="0.35">
      <c r="A2379" t="s">
        <v>3306</v>
      </c>
      <c r="B2379" s="2">
        <v>45829</v>
      </c>
      <c r="C2379" t="s">
        <v>20</v>
      </c>
      <c r="D2379" t="s">
        <v>25</v>
      </c>
      <c r="E2379" t="s">
        <v>30</v>
      </c>
      <c r="F2379" t="s">
        <v>31</v>
      </c>
      <c r="G2379">
        <v>3</v>
      </c>
      <c r="H2379">
        <v>2.8</v>
      </c>
      <c r="I2379" t="s">
        <v>39</v>
      </c>
      <c r="J2379" t="s">
        <v>27</v>
      </c>
      <c r="K2379" s="12">
        <f>Store_Record[[#This Row],[Qty]]*Store_Record[[#This Row],[UnitPriceGBP]]</f>
        <v>8.3999999999999986</v>
      </c>
      <c r="L2379" s="5" t="str">
        <f>TEXT(Store_Record[[#This Row],[Date]],"dddd")</f>
        <v>Saturday</v>
      </c>
      <c r="M2379" s="5" t="str">
        <f>TEXT(Store_Record[[#This Row],[Date]],"mmmm")</f>
        <v>June</v>
      </c>
      <c r="N2379" s="5">
        <f>YEAR(Store_Record[[#This Row],[Date]])</f>
        <v>2025</v>
      </c>
      <c r="O2379"/>
    </row>
    <row r="2380" spans="1:15" x14ac:dyDescent="0.35">
      <c r="A2380" t="s">
        <v>3295</v>
      </c>
      <c r="B2380" s="2">
        <v>45829</v>
      </c>
      <c r="C2380" t="s">
        <v>10</v>
      </c>
      <c r="D2380" t="s">
        <v>25</v>
      </c>
      <c r="E2380" t="s">
        <v>34</v>
      </c>
      <c r="F2380" t="s">
        <v>31</v>
      </c>
      <c r="G2380">
        <v>3</v>
      </c>
      <c r="H2380">
        <v>2.2000000000000002</v>
      </c>
      <c r="I2380" t="s">
        <v>21</v>
      </c>
      <c r="J2380" t="s">
        <v>72</v>
      </c>
      <c r="K2380" s="12">
        <f>Store_Record[[#This Row],[Qty]]*Store_Record[[#This Row],[UnitPriceGBP]]</f>
        <v>6.6000000000000005</v>
      </c>
      <c r="L2380" s="5" t="str">
        <f>TEXT(Store_Record[[#This Row],[Date]],"dddd")</f>
        <v>Saturday</v>
      </c>
      <c r="M2380" s="5" t="str">
        <f>TEXT(Store_Record[[#This Row],[Date]],"mmmm")</f>
        <v>June</v>
      </c>
      <c r="N2380" s="5">
        <f>YEAR(Store_Record[[#This Row],[Date]])</f>
        <v>2025</v>
      </c>
      <c r="O2380"/>
    </row>
    <row r="2381" spans="1:15" x14ac:dyDescent="0.35">
      <c r="A2381" t="s">
        <v>3300</v>
      </c>
      <c r="B2381" s="2">
        <v>45829</v>
      </c>
      <c r="C2381" t="s">
        <v>36</v>
      </c>
      <c r="D2381" t="s">
        <v>11</v>
      </c>
      <c r="E2381" t="s">
        <v>34</v>
      </c>
      <c r="F2381" t="s">
        <v>31</v>
      </c>
      <c r="G2381">
        <v>3</v>
      </c>
      <c r="H2381">
        <v>2.2000000000000002</v>
      </c>
      <c r="I2381" t="s">
        <v>39</v>
      </c>
      <c r="J2381" t="s">
        <v>984</v>
      </c>
      <c r="K2381" s="12">
        <f>Store_Record[[#This Row],[Qty]]*Store_Record[[#This Row],[UnitPriceGBP]]</f>
        <v>6.6000000000000005</v>
      </c>
      <c r="L2381" s="5" t="str">
        <f>TEXT(Store_Record[[#This Row],[Date]],"dddd")</f>
        <v>Saturday</v>
      </c>
      <c r="M2381" s="5" t="str">
        <f>TEXT(Store_Record[[#This Row],[Date]],"mmmm")</f>
        <v>June</v>
      </c>
      <c r="N2381" s="5">
        <f>YEAR(Store_Record[[#This Row],[Date]])</f>
        <v>2025</v>
      </c>
      <c r="O2381"/>
    </row>
    <row r="2382" spans="1:15" x14ac:dyDescent="0.35">
      <c r="A2382" t="s">
        <v>3298</v>
      </c>
      <c r="B2382" s="2">
        <v>45829</v>
      </c>
      <c r="C2382" t="s">
        <v>36</v>
      </c>
      <c r="D2382" t="s">
        <v>38</v>
      </c>
      <c r="E2382" t="s">
        <v>30</v>
      </c>
      <c r="F2382" t="s">
        <v>31</v>
      </c>
      <c r="G2382">
        <v>2</v>
      </c>
      <c r="H2382">
        <v>2.8</v>
      </c>
      <c r="I2382" t="s">
        <v>39</v>
      </c>
      <c r="J2382" t="s">
        <v>2407</v>
      </c>
      <c r="K2382" s="12">
        <f>Store_Record[[#This Row],[Qty]]*Store_Record[[#This Row],[UnitPriceGBP]]</f>
        <v>5.6</v>
      </c>
      <c r="L2382" s="5" t="str">
        <f>TEXT(Store_Record[[#This Row],[Date]],"dddd")</f>
        <v>Saturday</v>
      </c>
      <c r="M2382" s="5" t="str">
        <f>TEXT(Store_Record[[#This Row],[Date]],"mmmm")</f>
        <v>June</v>
      </c>
      <c r="N2382" s="5">
        <f>YEAR(Store_Record[[#This Row],[Date]])</f>
        <v>2025</v>
      </c>
      <c r="O2382"/>
    </row>
    <row r="2383" spans="1:15" x14ac:dyDescent="0.35">
      <c r="A2383" t="s">
        <v>3304</v>
      </c>
      <c r="B2383" s="2">
        <v>45829</v>
      </c>
      <c r="C2383" t="s">
        <v>20</v>
      </c>
      <c r="D2383" t="s">
        <v>29</v>
      </c>
      <c r="E2383" t="s">
        <v>30</v>
      </c>
      <c r="F2383" t="s">
        <v>31</v>
      </c>
      <c r="G2383">
        <v>2</v>
      </c>
      <c r="H2383">
        <v>2.8</v>
      </c>
      <c r="I2383" t="s">
        <v>14</v>
      </c>
      <c r="J2383" t="s">
        <v>813</v>
      </c>
      <c r="K2383" s="12">
        <f>Store_Record[[#This Row],[Qty]]*Store_Record[[#This Row],[UnitPriceGBP]]</f>
        <v>5.6</v>
      </c>
      <c r="L2383" s="5" t="str">
        <f>TEXT(Store_Record[[#This Row],[Date]],"dddd")</f>
        <v>Saturday</v>
      </c>
      <c r="M2383" s="5" t="str">
        <f>TEXT(Store_Record[[#This Row],[Date]],"mmmm")</f>
        <v>June</v>
      </c>
      <c r="N2383" s="5">
        <f>YEAR(Store_Record[[#This Row],[Date]])</f>
        <v>2025</v>
      </c>
      <c r="O2383"/>
    </row>
    <row r="2384" spans="1:15" x14ac:dyDescent="0.35">
      <c r="A2384" t="s">
        <v>3297</v>
      </c>
      <c r="B2384" s="2">
        <v>45829</v>
      </c>
      <c r="C2384" t="s">
        <v>24</v>
      </c>
      <c r="D2384" t="s">
        <v>29</v>
      </c>
      <c r="E2384" t="s">
        <v>42</v>
      </c>
      <c r="F2384" t="s">
        <v>13</v>
      </c>
      <c r="G2384">
        <v>1</v>
      </c>
      <c r="H2384">
        <v>3.8</v>
      </c>
      <c r="I2384" t="s">
        <v>39</v>
      </c>
      <c r="J2384" t="s">
        <v>1106</v>
      </c>
      <c r="K2384" s="12">
        <f>Store_Record[[#This Row],[Qty]]*Store_Record[[#This Row],[UnitPriceGBP]]</f>
        <v>3.8</v>
      </c>
      <c r="L2384" s="5" t="str">
        <f>TEXT(Store_Record[[#This Row],[Date]],"dddd")</f>
        <v>Saturday</v>
      </c>
      <c r="M2384" s="5" t="str">
        <f>TEXT(Store_Record[[#This Row],[Date]],"mmmm")</f>
        <v>June</v>
      </c>
      <c r="N2384" s="5">
        <f>YEAR(Store_Record[[#This Row],[Date]])</f>
        <v>2025</v>
      </c>
      <c r="O2384"/>
    </row>
    <row r="2385" spans="1:15" x14ac:dyDescent="0.35">
      <c r="A2385" t="s">
        <v>3307</v>
      </c>
      <c r="B2385" s="2">
        <v>45829</v>
      </c>
      <c r="C2385" t="s">
        <v>20</v>
      </c>
      <c r="D2385" t="s">
        <v>47</v>
      </c>
      <c r="E2385" t="s">
        <v>42</v>
      </c>
      <c r="F2385" t="s">
        <v>13</v>
      </c>
      <c r="G2385">
        <v>1</v>
      </c>
      <c r="H2385">
        <v>3.8</v>
      </c>
      <c r="I2385" t="s">
        <v>39</v>
      </c>
      <c r="J2385" t="s">
        <v>1191</v>
      </c>
      <c r="K2385" s="12">
        <f>Store_Record[[#This Row],[Qty]]*Store_Record[[#This Row],[UnitPriceGBP]]</f>
        <v>3.8</v>
      </c>
      <c r="L2385" s="5" t="str">
        <f>TEXT(Store_Record[[#This Row],[Date]],"dddd")</f>
        <v>Saturday</v>
      </c>
      <c r="M2385" s="5" t="str">
        <f>TEXT(Store_Record[[#This Row],[Date]],"mmmm")</f>
        <v>June</v>
      </c>
      <c r="N2385" s="5">
        <f>YEAR(Store_Record[[#This Row],[Date]])</f>
        <v>2025</v>
      </c>
      <c r="O2385"/>
    </row>
    <row r="2386" spans="1:15" x14ac:dyDescent="0.35">
      <c r="A2386" t="s">
        <v>3296</v>
      </c>
      <c r="B2386" s="2">
        <v>45829</v>
      </c>
      <c r="C2386" t="s">
        <v>24</v>
      </c>
      <c r="D2386" t="s">
        <v>38</v>
      </c>
      <c r="E2386" t="s">
        <v>26</v>
      </c>
      <c r="F2386" t="s">
        <v>13</v>
      </c>
      <c r="G2386">
        <v>1</v>
      </c>
      <c r="H2386">
        <v>3.5</v>
      </c>
      <c r="I2386" t="s">
        <v>39</v>
      </c>
      <c r="J2386" t="s">
        <v>1806</v>
      </c>
      <c r="K2386" s="12">
        <f>Store_Record[[#This Row],[Qty]]*Store_Record[[#This Row],[UnitPriceGBP]]</f>
        <v>3.5</v>
      </c>
      <c r="L2386" s="5" t="str">
        <f>TEXT(Store_Record[[#This Row],[Date]],"dddd")</f>
        <v>Saturday</v>
      </c>
      <c r="M2386" s="5" t="str">
        <f>TEXT(Store_Record[[#This Row],[Date]],"mmmm")</f>
        <v>June</v>
      </c>
      <c r="N2386" s="5">
        <f>YEAR(Store_Record[[#This Row],[Date]])</f>
        <v>2025</v>
      </c>
      <c r="O2386"/>
    </row>
    <row r="2387" spans="1:15" x14ac:dyDescent="0.35">
      <c r="A2387" t="s">
        <v>3308</v>
      </c>
      <c r="B2387" s="2">
        <v>45830</v>
      </c>
      <c r="C2387" t="s">
        <v>24</v>
      </c>
      <c r="D2387" t="s">
        <v>47</v>
      </c>
      <c r="E2387" t="s">
        <v>30</v>
      </c>
      <c r="F2387" t="s">
        <v>31</v>
      </c>
      <c r="G2387">
        <v>5</v>
      </c>
      <c r="H2387">
        <v>2.8</v>
      </c>
      <c r="I2387" t="s">
        <v>14</v>
      </c>
      <c r="J2387" t="s">
        <v>129</v>
      </c>
      <c r="K2387" s="12">
        <f>Store_Record[[#This Row],[Qty]]*Store_Record[[#This Row],[UnitPriceGBP]]</f>
        <v>14</v>
      </c>
      <c r="L2387" s="5" t="str">
        <f>TEXT(Store_Record[[#This Row],[Date]],"dddd")</f>
        <v>Sunday</v>
      </c>
      <c r="M2387" s="5" t="str">
        <f>TEXT(Store_Record[[#This Row],[Date]],"mmmm")</f>
        <v>June</v>
      </c>
      <c r="N2387" s="5">
        <f>YEAR(Store_Record[[#This Row],[Date]])</f>
        <v>2025</v>
      </c>
      <c r="O2387"/>
    </row>
    <row r="2388" spans="1:15" x14ac:dyDescent="0.35">
      <c r="A2388" t="s">
        <v>3316</v>
      </c>
      <c r="B2388" s="2">
        <v>45830</v>
      </c>
      <c r="C2388" t="s">
        <v>20</v>
      </c>
      <c r="D2388" t="s">
        <v>25</v>
      </c>
      <c r="E2388" t="s">
        <v>26</v>
      </c>
      <c r="F2388" t="s">
        <v>13</v>
      </c>
      <c r="G2388">
        <v>4</v>
      </c>
      <c r="H2388">
        <v>3.5</v>
      </c>
      <c r="I2388" t="s">
        <v>21</v>
      </c>
      <c r="J2388" t="s">
        <v>622</v>
      </c>
      <c r="K2388" s="12">
        <f>Store_Record[[#This Row],[Qty]]*Store_Record[[#This Row],[UnitPriceGBP]]</f>
        <v>14</v>
      </c>
      <c r="L2388" s="5" t="str">
        <f>TEXT(Store_Record[[#This Row],[Date]],"dddd")</f>
        <v>Sunday</v>
      </c>
      <c r="M2388" s="5" t="str">
        <f>TEXT(Store_Record[[#This Row],[Date]],"mmmm")</f>
        <v>June</v>
      </c>
      <c r="N2388" s="5">
        <f>YEAR(Store_Record[[#This Row],[Date]])</f>
        <v>2025</v>
      </c>
      <c r="O2388"/>
    </row>
    <row r="2389" spans="1:15" x14ac:dyDescent="0.35">
      <c r="A2389" t="s">
        <v>3318</v>
      </c>
      <c r="B2389" s="2">
        <v>45830</v>
      </c>
      <c r="C2389" t="s">
        <v>36</v>
      </c>
      <c r="D2389" t="s">
        <v>11</v>
      </c>
      <c r="E2389" t="s">
        <v>30</v>
      </c>
      <c r="F2389" t="s">
        <v>31</v>
      </c>
      <c r="G2389">
        <v>5</v>
      </c>
      <c r="H2389">
        <v>2.8</v>
      </c>
      <c r="I2389" t="s">
        <v>39</v>
      </c>
      <c r="J2389" t="s">
        <v>175</v>
      </c>
      <c r="K2389" s="12">
        <f>Store_Record[[#This Row],[Qty]]*Store_Record[[#This Row],[UnitPriceGBP]]</f>
        <v>14</v>
      </c>
      <c r="L2389" s="5" t="str">
        <f>TEXT(Store_Record[[#This Row],[Date]],"dddd")</f>
        <v>Sunday</v>
      </c>
      <c r="M2389" s="5" t="str">
        <f>TEXT(Store_Record[[#This Row],[Date]],"mmmm")</f>
        <v>June</v>
      </c>
      <c r="N2389" s="5">
        <f>YEAR(Store_Record[[#This Row],[Date]])</f>
        <v>2025</v>
      </c>
      <c r="O2389"/>
    </row>
    <row r="2390" spans="1:15" x14ac:dyDescent="0.35">
      <c r="A2390" t="s">
        <v>3322</v>
      </c>
      <c r="B2390" s="2">
        <v>45830</v>
      </c>
      <c r="C2390" t="s">
        <v>36</v>
      </c>
      <c r="D2390" t="s">
        <v>11</v>
      </c>
      <c r="E2390" t="s">
        <v>34</v>
      </c>
      <c r="F2390" t="s">
        <v>31</v>
      </c>
      <c r="G2390">
        <v>5</v>
      </c>
      <c r="H2390">
        <v>2.2000000000000002</v>
      </c>
      <c r="I2390" t="s">
        <v>39</v>
      </c>
      <c r="J2390" t="s">
        <v>2255</v>
      </c>
      <c r="K2390" s="12">
        <f>Store_Record[[#This Row],[Qty]]*Store_Record[[#This Row],[UnitPriceGBP]]</f>
        <v>11</v>
      </c>
      <c r="L2390" s="5" t="str">
        <f>TEXT(Store_Record[[#This Row],[Date]],"dddd")</f>
        <v>Sunday</v>
      </c>
      <c r="M2390" s="5" t="str">
        <f>TEXT(Store_Record[[#This Row],[Date]],"mmmm")</f>
        <v>June</v>
      </c>
      <c r="N2390" s="5">
        <f>YEAR(Store_Record[[#This Row],[Date]])</f>
        <v>2025</v>
      </c>
      <c r="O2390"/>
    </row>
    <row r="2391" spans="1:15" x14ac:dyDescent="0.35">
      <c r="A2391" t="s">
        <v>3315</v>
      </c>
      <c r="B2391" s="2">
        <v>45830</v>
      </c>
      <c r="C2391" t="s">
        <v>24</v>
      </c>
      <c r="D2391" t="s">
        <v>38</v>
      </c>
      <c r="E2391" t="s">
        <v>12</v>
      </c>
      <c r="F2391" t="s">
        <v>13</v>
      </c>
      <c r="G2391">
        <v>4</v>
      </c>
      <c r="H2391">
        <v>2.5</v>
      </c>
      <c r="I2391" t="s">
        <v>14</v>
      </c>
      <c r="J2391" t="s">
        <v>1462</v>
      </c>
      <c r="K2391" s="12">
        <f>Store_Record[[#This Row],[Qty]]*Store_Record[[#This Row],[UnitPriceGBP]]</f>
        <v>10</v>
      </c>
      <c r="L2391" s="5" t="str">
        <f>TEXT(Store_Record[[#This Row],[Date]],"dddd")</f>
        <v>Sunday</v>
      </c>
      <c r="M2391" s="5" t="str">
        <f>TEXT(Store_Record[[#This Row],[Date]],"mmmm")</f>
        <v>June</v>
      </c>
      <c r="N2391" s="5">
        <f>YEAR(Store_Record[[#This Row],[Date]])</f>
        <v>2025</v>
      </c>
      <c r="O2391"/>
    </row>
    <row r="2392" spans="1:15" x14ac:dyDescent="0.35">
      <c r="A2392" t="s">
        <v>3319</v>
      </c>
      <c r="B2392" s="2">
        <v>45830</v>
      </c>
      <c r="C2392" t="s">
        <v>36</v>
      </c>
      <c r="D2392" t="s">
        <v>29</v>
      </c>
      <c r="E2392" t="s">
        <v>30</v>
      </c>
      <c r="F2392" t="s">
        <v>31</v>
      </c>
      <c r="G2392">
        <v>3</v>
      </c>
      <c r="H2392">
        <v>2.8</v>
      </c>
      <c r="I2392" t="s">
        <v>21</v>
      </c>
      <c r="J2392" t="s">
        <v>101</v>
      </c>
      <c r="K2392" s="12">
        <f>Store_Record[[#This Row],[Qty]]*Store_Record[[#This Row],[UnitPriceGBP]]</f>
        <v>8.3999999999999986</v>
      </c>
      <c r="L2392" s="5" t="str">
        <f>TEXT(Store_Record[[#This Row],[Date]],"dddd")</f>
        <v>Sunday</v>
      </c>
      <c r="M2392" s="5" t="str">
        <f>TEXT(Store_Record[[#This Row],[Date]],"mmmm")</f>
        <v>June</v>
      </c>
      <c r="N2392" s="5">
        <f>YEAR(Store_Record[[#This Row],[Date]])</f>
        <v>2025</v>
      </c>
      <c r="O2392"/>
    </row>
    <row r="2393" spans="1:15" x14ac:dyDescent="0.35">
      <c r="A2393" t="s">
        <v>3311</v>
      </c>
      <c r="B2393" s="2">
        <v>45830</v>
      </c>
      <c r="C2393" t="s">
        <v>24</v>
      </c>
      <c r="D2393" t="s">
        <v>29</v>
      </c>
      <c r="E2393" t="s">
        <v>42</v>
      </c>
      <c r="F2393" t="s">
        <v>13</v>
      </c>
      <c r="G2393">
        <v>2</v>
      </c>
      <c r="H2393">
        <v>3.8</v>
      </c>
      <c r="I2393" t="s">
        <v>14</v>
      </c>
      <c r="J2393" t="s">
        <v>230</v>
      </c>
      <c r="K2393" s="12">
        <f>Store_Record[[#This Row],[Qty]]*Store_Record[[#This Row],[UnitPriceGBP]]</f>
        <v>7.6</v>
      </c>
      <c r="L2393" s="5" t="str">
        <f>TEXT(Store_Record[[#This Row],[Date]],"dddd")</f>
        <v>Sunday</v>
      </c>
      <c r="M2393" s="5" t="str">
        <f>TEXT(Store_Record[[#This Row],[Date]],"mmmm")</f>
        <v>June</v>
      </c>
      <c r="N2393" s="5">
        <f>YEAR(Store_Record[[#This Row],[Date]])</f>
        <v>2025</v>
      </c>
      <c r="O2393"/>
    </row>
    <row r="2394" spans="1:15" x14ac:dyDescent="0.35">
      <c r="A2394" t="s">
        <v>3320</v>
      </c>
      <c r="B2394" s="2">
        <v>45830</v>
      </c>
      <c r="C2394" t="s">
        <v>36</v>
      </c>
      <c r="D2394" t="s">
        <v>38</v>
      </c>
      <c r="E2394" t="s">
        <v>42</v>
      </c>
      <c r="F2394" t="s">
        <v>13</v>
      </c>
      <c r="G2394">
        <v>2</v>
      </c>
      <c r="H2394">
        <v>3.8</v>
      </c>
      <c r="I2394" t="s">
        <v>21</v>
      </c>
      <c r="J2394" t="s">
        <v>3321</v>
      </c>
      <c r="K2394" s="12">
        <f>Store_Record[[#This Row],[Qty]]*Store_Record[[#This Row],[UnitPriceGBP]]</f>
        <v>7.6</v>
      </c>
      <c r="L2394" s="5" t="str">
        <f>TEXT(Store_Record[[#This Row],[Date]],"dddd")</f>
        <v>Sunday</v>
      </c>
      <c r="M2394" s="5" t="str">
        <f>TEXT(Store_Record[[#This Row],[Date]],"mmmm")</f>
        <v>June</v>
      </c>
      <c r="N2394" s="5">
        <f>YEAR(Store_Record[[#This Row],[Date]])</f>
        <v>2025</v>
      </c>
      <c r="O2394"/>
    </row>
    <row r="2395" spans="1:15" x14ac:dyDescent="0.35">
      <c r="A2395" t="s">
        <v>3309</v>
      </c>
      <c r="B2395" s="2">
        <v>45830</v>
      </c>
      <c r="C2395" t="s">
        <v>24</v>
      </c>
      <c r="D2395" t="s">
        <v>47</v>
      </c>
      <c r="E2395" t="s">
        <v>34</v>
      </c>
      <c r="F2395" t="s">
        <v>31</v>
      </c>
      <c r="G2395">
        <v>3</v>
      </c>
      <c r="H2395">
        <v>2.2000000000000002</v>
      </c>
      <c r="I2395" t="s">
        <v>21</v>
      </c>
      <c r="J2395" t="s">
        <v>2055</v>
      </c>
      <c r="K2395" s="12">
        <f>Store_Record[[#This Row],[Qty]]*Store_Record[[#This Row],[UnitPriceGBP]]</f>
        <v>6.6000000000000005</v>
      </c>
      <c r="L2395" s="5" t="str">
        <f>TEXT(Store_Record[[#This Row],[Date]],"dddd")</f>
        <v>Sunday</v>
      </c>
      <c r="M2395" s="5" t="str">
        <f>TEXT(Store_Record[[#This Row],[Date]],"mmmm")</f>
        <v>June</v>
      </c>
      <c r="N2395" s="5">
        <f>YEAR(Store_Record[[#This Row],[Date]])</f>
        <v>2025</v>
      </c>
      <c r="O2395"/>
    </row>
    <row r="2396" spans="1:15" x14ac:dyDescent="0.35">
      <c r="A2396" t="s">
        <v>3310</v>
      </c>
      <c r="B2396" s="2">
        <v>45830</v>
      </c>
      <c r="C2396" t="s">
        <v>20</v>
      </c>
      <c r="D2396" t="s">
        <v>47</v>
      </c>
      <c r="E2396" t="s">
        <v>30</v>
      </c>
      <c r="F2396" t="s">
        <v>31</v>
      </c>
      <c r="G2396">
        <v>2</v>
      </c>
      <c r="H2396">
        <v>2.8</v>
      </c>
      <c r="I2396" t="s">
        <v>21</v>
      </c>
      <c r="J2396" t="s">
        <v>1020</v>
      </c>
      <c r="K2396" s="12">
        <f>Store_Record[[#This Row],[Qty]]*Store_Record[[#This Row],[UnitPriceGBP]]</f>
        <v>5.6</v>
      </c>
      <c r="L2396" s="5" t="str">
        <f>TEXT(Store_Record[[#This Row],[Date]],"dddd")</f>
        <v>Sunday</v>
      </c>
      <c r="M2396" s="5" t="str">
        <f>TEXT(Store_Record[[#This Row],[Date]],"mmmm")</f>
        <v>June</v>
      </c>
      <c r="N2396" s="5">
        <f>YEAR(Store_Record[[#This Row],[Date]])</f>
        <v>2025</v>
      </c>
      <c r="O2396"/>
    </row>
    <row r="2397" spans="1:15" x14ac:dyDescent="0.35">
      <c r="A2397" t="s">
        <v>3312</v>
      </c>
      <c r="B2397" s="2">
        <v>45830</v>
      </c>
      <c r="C2397" t="s">
        <v>10</v>
      </c>
      <c r="D2397" t="s">
        <v>47</v>
      </c>
      <c r="E2397" t="s">
        <v>12</v>
      </c>
      <c r="F2397" t="s">
        <v>13</v>
      </c>
      <c r="G2397">
        <v>1</v>
      </c>
      <c r="H2397">
        <v>2.5</v>
      </c>
      <c r="I2397" t="s">
        <v>39</v>
      </c>
      <c r="J2397" t="s">
        <v>1044</v>
      </c>
      <c r="K2397" s="12">
        <f>Store_Record[[#This Row],[Qty]]*Store_Record[[#This Row],[UnitPriceGBP]]</f>
        <v>2.5</v>
      </c>
      <c r="L2397" s="5" t="str">
        <f>TEXT(Store_Record[[#This Row],[Date]],"dddd")</f>
        <v>Sunday</v>
      </c>
      <c r="M2397" s="5" t="str">
        <f>TEXT(Store_Record[[#This Row],[Date]],"mmmm")</f>
        <v>June</v>
      </c>
      <c r="N2397" s="5">
        <f>YEAR(Store_Record[[#This Row],[Date]])</f>
        <v>2025</v>
      </c>
      <c r="O2397"/>
    </row>
    <row r="2398" spans="1:15" x14ac:dyDescent="0.35">
      <c r="A2398" t="s">
        <v>3313</v>
      </c>
      <c r="B2398" s="2">
        <v>45830</v>
      </c>
      <c r="C2398" t="s">
        <v>20</v>
      </c>
      <c r="D2398" t="s">
        <v>11</v>
      </c>
      <c r="E2398" t="s">
        <v>12</v>
      </c>
      <c r="F2398" t="s">
        <v>13</v>
      </c>
      <c r="G2398">
        <v>1</v>
      </c>
      <c r="H2398">
        <v>2.5</v>
      </c>
      <c r="I2398" t="s">
        <v>21</v>
      </c>
      <c r="J2398" t="s">
        <v>84</v>
      </c>
      <c r="K2398" s="12">
        <f>Store_Record[[#This Row],[Qty]]*Store_Record[[#This Row],[UnitPriceGBP]]</f>
        <v>2.5</v>
      </c>
      <c r="L2398" s="5" t="str">
        <f>TEXT(Store_Record[[#This Row],[Date]],"dddd")</f>
        <v>Sunday</v>
      </c>
      <c r="M2398" s="5" t="str">
        <f>TEXT(Store_Record[[#This Row],[Date]],"mmmm")</f>
        <v>June</v>
      </c>
      <c r="N2398" s="5">
        <f>YEAR(Store_Record[[#This Row],[Date]])</f>
        <v>2025</v>
      </c>
      <c r="O2398"/>
    </row>
    <row r="2399" spans="1:15" x14ac:dyDescent="0.35">
      <c r="A2399" t="s">
        <v>3317</v>
      </c>
      <c r="B2399" s="2">
        <v>45830</v>
      </c>
      <c r="C2399" t="s">
        <v>20</v>
      </c>
      <c r="D2399" t="s">
        <v>47</v>
      </c>
      <c r="E2399" t="s">
        <v>12</v>
      </c>
      <c r="F2399" t="s">
        <v>13</v>
      </c>
      <c r="G2399">
        <v>1</v>
      </c>
      <c r="H2399">
        <v>2.5</v>
      </c>
      <c r="I2399" t="s">
        <v>39</v>
      </c>
      <c r="J2399" t="s">
        <v>138</v>
      </c>
      <c r="K2399" s="12">
        <f>Store_Record[[#This Row],[Qty]]*Store_Record[[#This Row],[UnitPriceGBP]]</f>
        <v>2.5</v>
      </c>
      <c r="L2399" s="5" t="str">
        <f>TEXT(Store_Record[[#This Row],[Date]],"dddd")</f>
        <v>Sunday</v>
      </c>
      <c r="M2399" s="5" t="str">
        <f>TEXT(Store_Record[[#This Row],[Date]],"mmmm")</f>
        <v>June</v>
      </c>
      <c r="N2399" s="5">
        <f>YEAR(Store_Record[[#This Row],[Date]])</f>
        <v>2025</v>
      </c>
      <c r="O2399"/>
    </row>
    <row r="2400" spans="1:15" x14ac:dyDescent="0.35">
      <c r="A2400" t="s">
        <v>3314</v>
      </c>
      <c r="B2400" s="2">
        <v>45830</v>
      </c>
      <c r="C2400" t="s">
        <v>10</v>
      </c>
      <c r="D2400" t="s">
        <v>11</v>
      </c>
      <c r="E2400" t="s">
        <v>34</v>
      </c>
      <c r="F2400" t="s">
        <v>31</v>
      </c>
      <c r="G2400">
        <v>1</v>
      </c>
      <c r="H2400">
        <v>2.2000000000000002</v>
      </c>
      <c r="I2400" t="s">
        <v>14</v>
      </c>
      <c r="J2400" t="s">
        <v>312</v>
      </c>
      <c r="K2400" s="12">
        <f>Store_Record[[#This Row],[Qty]]*Store_Record[[#This Row],[UnitPriceGBP]]</f>
        <v>2.2000000000000002</v>
      </c>
      <c r="L2400" s="5" t="str">
        <f>TEXT(Store_Record[[#This Row],[Date]],"dddd")</f>
        <v>Sunday</v>
      </c>
      <c r="M2400" s="5" t="str">
        <f>TEXT(Store_Record[[#This Row],[Date]],"mmmm")</f>
        <v>June</v>
      </c>
      <c r="N2400" s="5">
        <f>YEAR(Store_Record[[#This Row],[Date]])</f>
        <v>2025</v>
      </c>
      <c r="O2400"/>
    </row>
    <row r="2401" spans="1:15" x14ac:dyDescent="0.35">
      <c r="A2401" t="s">
        <v>3325</v>
      </c>
      <c r="B2401" s="2">
        <v>45831</v>
      </c>
      <c r="C2401" t="s">
        <v>10</v>
      </c>
      <c r="D2401" t="s">
        <v>11</v>
      </c>
      <c r="E2401" t="s">
        <v>42</v>
      </c>
      <c r="F2401" t="s">
        <v>13</v>
      </c>
      <c r="G2401">
        <v>5</v>
      </c>
      <c r="H2401">
        <v>3.8</v>
      </c>
      <c r="I2401" t="s">
        <v>39</v>
      </c>
      <c r="J2401" t="s">
        <v>827</v>
      </c>
      <c r="K2401" s="12">
        <f>Store_Record[[#This Row],[Qty]]*Store_Record[[#This Row],[UnitPriceGBP]]</f>
        <v>19</v>
      </c>
      <c r="L2401" s="5" t="str">
        <f>TEXT(Store_Record[[#This Row],[Date]],"dddd")</f>
        <v>Monday</v>
      </c>
      <c r="M2401" s="5" t="str">
        <f>TEXT(Store_Record[[#This Row],[Date]],"mmmm")</f>
        <v>June</v>
      </c>
      <c r="N2401" s="5">
        <f>YEAR(Store_Record[[#This Row],[Date]])</f>
        <v>2025</v>
      </c>
      <c r="O2401"/>
    </row>
    <row r="2402" spans="1:15" x14ac:dyDescent="0.35">
      <c r="A2402" t="s">
        <v>3329</v>
      </c>
      <c r="B2402" s="2">
        <v>45831</v>
      </c>
      <c r="C2402" t="s">
        <v>10</v>
      </c>
      <c r="D2402" t="s">
        <v>47</v>
      </c>
      <c r="E2402" t="s">
        <v>26</v>
      </c>
      <c r="F2402" t="s">
        <v>13</v>
      </c>
      <c r="G2402">
        <v>4</v>
      </c>
      <c r="H2402">
        <v>3.5</v>
      </c>
      <c r="I2402" t="s">
        <v>39</v>
      </c>
      <c r="J2402" t="s">
        <v>616</v>
      </c>
      <c r="K2402" s="12">
        <f>Store_Record[[#This Row],[Qty]]*Store_Record[[#This Row],[UnitPriceGBP]]</f>
        <v>14</v>
      </c>
      <c r="L2402" s="5" t="str">
        <f>TEXT(Store_Record[[#This Row],[Date]],"dddd")</f>
        <v>Monday</v>
      </c>
      <c r="M2402" s="5" t="str">
        <f>TEXT(Store_Record[[#This Row],[Date]],"mmmm")</f>
        <v>June</v>
      </c>
      <c r="N2402" s="5">
        <f>YEAR(Store_Record[[#This Row],[Date]])</f>
        <v>2025</v>
      </c>
      <c r="O2402"/>
    </row>
    <row r="2403" spans="1:15" x14ac:dyDescent="0.35">
      <c r="A2403" t="s">
        <v>3323</v>
      </c>
      <c r="B2403" s="2">
        <v>45831</v>
      </c>
      <c r="C2403" t="s">
        <v>10</v>
      </c>
      <c r="D2403" t="s">
        <v>11</v>
      </c>
      <c r="E2403" t="s">
        <v>42</v>
      </c>
      <c r="F2403" t="s">
        <v>13</v>
      </c>
      <c r="G2403">
        <v>3</v>
      </c>
      <c r="H2403">
        <v>3.8</v>
      </c>
      <c r="I2403" t="s">
        <v>21</v>
      </c>
      <c r="J2403" t="s">
        <v>2833</v>
      </c>
      <c r="K2403" s="12">
        <f>Store_Record[[#This Row],[Qty]]*Store_Record[[#This Row],[UnitPriceGBP]]</f>
        <v>11.399999999999999</v>
      </c>
      <c r="L2403" s="5" t="str">
        <f>TEXT(Store_Record[[#This Row],[Date]],"dddd")</f>
        <v>Monday</v>
      </c>
      <c r="M2403" s="5" t="str">
        <f>TEXT(Store_Record[[#This Row],[Date]],"mmmm")</f>
        <v>June</v>
      </c>
      <c r="N2403" s="5">
        <f>YEAR(Store_Record[[#This Row],[Date]])</f>
        <v>2025</v>
      </c>
      <c r="O2403"/>
    </row>
    <row r="2404" spans="1:15" x14ac:dyDescent="0.35">
      <c r="A2404" t="s">
        <v>3330</v>
      </c>
      <c r="B2404" s="2">
        <v>45831</v>
      </c>
      <c r="C2404" t="s">
        <v>10</v>
      </c>
      <c r="D2404" t="s">
        <v>47</v>
      </c>
      <c r="E2404" t="s">
        <v>34</v>
      </c>
      <c r="F2404" t="s">
        <v>31</v>
      </c>
      <c r="G2404">
        <v>3</v>
      </c>
      <c r="H2404">
        <v>2.2000000000000002</v>
      </c>
      <c r="I2404" t="s">
        <v>39</v>
      </c>
      <c r="J2404" t="s">
        <v>3331</v>
      </c>
      <c r="K2404" s="12">
        <f>Store_Record[[#This Row],[Qty]]*Store_Record[[#This Row],[UnitPriceGBP]]</f>
        <v>6.6000000000000005</v>
      </c>
      <c r="L2404" s="5" t="str">
        <f>TEXT(Store_Record[[#This Row],[Date]],"dddd")</f>
        <v>Monday</v>
      </c>
      <c r="M2404" s="5" t="str">
        <f>TEXT(Store_Record[[#This Row],[Date]],"mmmm")</f>
        <v>June</v>
      </c>
      <c r="N2404" s="5">
        <f>YEAR(Store_Record[[#This Row],[Date]])</f>
        <v>2025</v>
      </c>
      <c r="O2404"/>
    </row>
    <row r="2405" spans="1:15" x14ac:dyDescent="0.35">
      <c r="A2405" t="s">
        <v>3327</v>
      </c>
      <c r="B2405" s="2">
        <v>45831</v>
      </c>
      <c r="C2405" t="s">
        <v>20</v>
      </c>
      <c r="D2405" t="s">
        <v>11</v>
      </c>
      <c r="E2405" t="s">
        <v>34</v>
      </c>
      <c r="F2405" t="s">
        <v>31</v>
      </c>
      <c r="G2405">
        <v>2</v>
      </c>
      <c r="H2405">
        <v>2.2000000000000002</v>
      </c>
      <c r="I2405" t="s">
        <v>39</v>
      </c>
      <c r="J2405" t="s">
        <v>1177</v>
      </c>
      <c r="K2405" s="12">
        <f>Store_Record[[#This Row],[Qty]]*Store_Record[[#This Row],[UnitPriceGBP]]</f>
        <v>4.4000000000000004</v>
      </c>
      <c r="L2405" s="5" t="str">
        <f>TEXT(Store_Record[[#This Row],[Date]],"dddd")</f>
        <v>Monday</v>
      </c>
      <c r="M2405" s="5" t="str">
        <f>TEXT(Store_Record[[#This Row],[Date]],"mmmm")</f>
        <v>June</v>
      </c>
      <c r="N2405" s="5">
        <f>YEAR(Store_Record[[#This Row],[Date]])</f>
        <v>2025</v>
      </c>
      <c r="O2405"/>
    </row>
    <row r="2406" spans="1:15" x14ac:dyDescent="0.35">
      <c r="A2406" t="s">
        <v>3326</v>
      </c>
      <c r="B2406" s="2">
        <v>45831</v>
      </c>
      <c r="C2406" t="s">
        <v>36</v>
      </c>
      <c r="D2406" t="s">
        <v>11</v>
      </c>
      <c r="E2406" t="s">
        <v>30</v>
      </c>
      <c r="F2406" t="s">
        <v>31</v>
      </c>
      <c r="G2406">
        <v>1</v>
      </c>
      <c r="H2406">
        <v>2.8</v>
      </c>
      <c r="I2406" t="s">
        <v>14</v>
      </c>
      <c r="J2406" t="s">
        <v>2013</v>
      </c>
      <c r="K2406" s="12">
        <f>Store_Record[[#This Row],[Qty]]*Store_Record[[#This Row],[UnitPriceGBP]]</f>
        <v>2.8</v>
      </c>
      <c r="L2406" s="5" t="str">
        <f>TEXT(Store_Record[[#This Row],[Date]],"dddd")</f>
        <v>Monday</v>
      </c>
      <c r="M2406" s="5" t="str">
        <f>TEXT(Store_Record[[#This Row],[Date]],"mmmm")</f>
        <v>June</v>
      </c>
      <c r="N2406" s="5">
        <f>YEAR(Store_Record[[#This Row],[Date]])</f>
        <v>2025</v>
      </c>
      <c r="O2406"/>
    </row>
    <row r="2407" spans="1:15" x14ac:dyDescent="0.35">
      <c r="A2407" t="s">
        <v>3328</v>
      </c>
      <c r="B2407" s="2">
        <v>45831</v>
      </c>
      <c r="C2407" t="s">
        <v>20</v>
      </c>
      <c r="D2407" t="s">
        <v>29</v>
      </c>
      <c r="E2407" t="s">
        <v>30</v>
      </c>
      <c r="F2407" t="s">
        <v>31</v>
      </c>
      <c r="G2407">
        <v>1</v>
      </c>
      <c r="H2407">
        <v>2.8</v>
      </c>
      <c r="I2407" t="s">
        <v>39</v>
      </c>
      <c r="J2407" t="s">
        <v>1116</v>
      </c>
      <c r="K2407" s="12">
        <f>Store_Record[[#This Row],[Qty]]*Store_Record[[#This Row],[UnitPriceGBP]]</f>
        <v>2.8</v>
      </c>
      <c r="L2407" s="5" t="str">
        <f>TEXT(Store_Record[[#This Row],[Date]],"dddd")</f>
        <v>Monday</v>
      </c>
      <c r="M2407" s="5" t="str">
        <f>TEXT(Store_Record[[#This Row],[Date]],"mmmm")</f>
        <v>June</v>
      </c>
      <c r="N2407" s="5">
        <f>YEAR(Store_Record[[#This Row],[Date]])</f>
        <v>2025</v>
      </c>
      <c r="O2407"/>
    </row>
    <row r="2408" spans="1:15" x14ac:dyDescent="0.35">
      <c r="A2408" t="s">
        <v>3324</v>
      </c>
      <c r="B2408" s="2">
        <v>45831</v>
      </c>
      <c r="C2408" t="s">
        <v>10</v>
      </c>
      <c r="D2408" t="s">
        <v>25</v>
      </c>
      <c r="E2408" t="s">
        <v>34</v>
      </c>
      <c r="F2408" t="s">
        <v>31</v>
      </c>
      <c r="G2408">
        <v>1</v>
      </c>
      <c r="H2408">
        <v>2.2000000000000002</v>
      </c>
      <c r="I2408" t="s">
        <v>39</v>
      </c>
      <c r="J2408" t="s">
        <v>2634</v>
      </c>
      <c r="K2408" s="12">
        <f>Store_Record[[#This Row],[Qty]]*Store_Record[[#This Row],[UnitPriceGBP]]</f>
        <v>2.2000000000000002</v>
      </c>
      <c r="L2408" s="5" t="str">
        <f>TEXT(Store_Record[[#This Row],[Date]],"dddd")</f>
        <v>Monday</v>
      </c>
      <c r="M2408" s="5" t="str">
        <f>TEXT(Store_Record[[#This Row],[Date]],"mmmm")</f>
        <v>June</v>
      </c>
      <c r="N2408" s="5">
        <f>YEAR(Store_Record[[#This Row],[Date]])</f>
        <v>2025</v>
      </c>
      <c r="O2408"/>
    </row>
    <row r="2409" spans="1:15" x14ac:dyDescent="0.35">
      <c r="A2409" t="s">
        <v>3335</v>
      </c>
      <c r="B2409" s="2">
        <v>45832</v>
      </c>
      <c r="C2409" t="s">
        <v>20</v>
      </c>
      <c r="D2409" t="s">
        <v>25</v>
      </c>
      <c r="E2409" t="s">
        <v>42</v>
      </c>
      <c r="F2409" t="s">
        <v>13</v>
      </c>
      <c r="G2409">
        <v>5</v>
      </c>
      <c r="H2409">
        <v>3.8</v>
      </c>
      <c r="I2409" t="s">
        <v>39</v>
      </c>
      <c r="J2409" t="s">
        <v>2466</v>
      </c>
      <c r="K2409" s="12">
        <f>Store_Record[[#This Row],[Qty]]*Store_Record[[#This Row],[UnitPriceGBP]]</f>
        <v>19</v>
      </c>
      <c r="L2409" s="5" t="str">
        <f>TEXT(Store_Record[[#This Row],[Date]],"dddd")</f>
        <v>Tuesday</v>
      </c>
      <c r="M2409" s="5" t="str">
        <f>TEXT(Store_Record[[#This Row],[Date]],"mmmm")</f>
        <v>June</v>
      </c>
      <c r="N2409" s="5">
        <f>YEAR(Store_Record[[#This Row],[Date]])</f>
        <v>2025</v>
      </c>
      <c r="O2409"/>
    </row>
    <row r="2410" spans="1:15" x14ac:dyDescent="0.35">
      <c r="A2410" t="s">
        <v>3341</v>
      </c>
      <c r="B2410" s="2">
        <v>45832</v>
      </c>
      <c r="C2410" t="s">
        <v>20</v>
      </c>
      <c r="D2410" t="s">
        <v>38</v>
      </c>
      <c r="E2410" t="s">
        <v>42</v>
      </c>
      <c r="F2410" t="s">
        <v>13</v>
      </c>
      <c r="G2410">
        <v>5</v>
      </c>
      <c r="H2410">
        <v>3.8</v>
      </c>
      <c r="I2410" t="s">
        <v>14</v>
      </c>
      <c r="J2410" t="s">
        <v>832</v>
      </c>
      <c r="K2410" s="12">
        <f>Store_Record[[#This Row],[Qty]]*Store_Record[[#This Row],[UnitPriceGBP]]</f>
        <v>19</v>
      </c>
      <c r="L2410" s="5" t="str">
        <f>TEXT(Store_Record[[#This Row],[Date]],"dddd")</f>
        <v>Tuesday</v>
      </c>
      <c r="M2410" s="5" t="str">
        <f>TEXT(Store_Record[[#This Row],[Date]],"mmmm")</f>
        <v>June</v>
      </c>
      <c r="N2410" s="5">
        <f>YEAR(Store_Record[[#This Row],[Date]])</f>
        <v>2025</v>
      </c>
      <c r="O2410"/>
    </row>
    <row r="2411" spans="1:15" x14ac:dyDescent="0.35">
      <c r="A2411" t="s">
        <v>3334</v>
      </c>
      <c r="B2411" s="2">
        <v>45832</v>
      </c>
      <c r="C2411" t="s">
        <v>20</v>
      </c>
      <c r="D2411" t="s">
        <v>25</v>
      </c>
      <c r="E2411" t="s">
        <v>26</v>
      </c>
      <c r="F2411" t="s">
        <v>13</v>
      </c>
      <c r="G2411">
        <v>4</v>
      </c>
      <c r="H2411">
        <v>3.5</v>
      </c>
      <c r="I2411" t="s">
        <v>21</v>
      </c>
      <c r="J2411" t="s">
        <v>2150</v>
      </c>
      <c r="K2411" s="12">
        <f>Store_Record[[#This Row],[Qty]]*Store_Record[[#This Row],[UnitPriceGBP]]</f>
        <v>14</v>
      </c>
      <c r="L2411" s="5" t="str">
        <f>TEXT(Store_Record[[#This Row],[Date]],"dddd")</f>
        <v>Tuesday</v>
      </c>
      <c r="M2411" s="5" t="str">
        <f>TEXT(Store_Record[[#This Row],[Date]],"mmmm")</f>
        <v>June</v>
      </c>
      <c r="N2411" s="5">
        <f>YEAR(Store_Record[[#This Row],[Date]])</f>
        <v>2025</v>
      </c>
      <c r="O2411"/>
    </row>
    <row r="2412" spans="1:15" x14ac:dyDescent="0.35">
      <c r="A2412" t="s">
        <v>3342</v>
      </c>
      <c r="B2412" s="2">
        <v>45832</v>
      </c>
      <c r="C2412" t="s">
        <v>10</v>
      </c>
      <c r="D2412" t="s">
        <v>25</v>
      </c>
      <c r="E2412" t="s">
        <v>34</v>
      </c>
      <c r="F2412" t="s">
        <v>31</v>
      </c>
      <c r="G2412">
        <v>5</v>
      </c>
      <c r="H2412">
        <v>2.2000000000000002</v>
      </c>
      <c r="I2412" t="s">
        <v>39</v>
      </c>
      <c r="J2412" t="s">
        <v>1762</v>
      </c>
      <c r="K2412" s="12">
        <f>Store_Record[[#This Row],[Qty]]*Store_Record[[#This Row],[UnitPriceGBP]]</f>
        <v>11</v>
      </c>
      <c r="L2412" s="5" t="str">
        <f>TEXT(Store_Record[[#This Row],[Date]],"dddd")</f>
        <v>Tuesday</v>
      </c>
      <c r="M2412" s="5" t="str">
        <f>TEXT(Store_Record[[#This Row],[Date]],"mmmm")</f>
        <v>June</v>
      </c>
      <c r="N2412" s="5">
        <f>YEAR(Store_Record[[#This Row],[Date]])</f>
        <v>2025</v>
      </c>
      <c r="O2412"/>
    </row>
    <row r="2413" spans="1:15" x14ac:dyDescent="0.35">
      <c r="A2413" t="s">
        <v>3338</v>
      </c>
      <c r="B2413" s="2">
        <v>45832</v>
      </c>
      <c r="C2413" t="s">
        <v>36</v>
      </c>
      <c r="D2413" t="s">
        <v>11</v>
      </c>
      <c r="E2413" t="s">
        <v>34</v>
      </c>
      <c r="F2413" t="s">
        <v>31</v>
      </c>
      <c r="G2413">
        <v>4</v>
      </c>
      <c r="H2413">
        <v>2.2000000000000002</v>
      </c>
      <c r="I2413" t="s">
        <v>21</v>
      </c>
      <c r="J2413" t="s">
        <v>1598</v>
      </c>
      <c r="K2413" s="12">
        <f>Store_Record[[#This Row],[Qty]]*Store_Record[[#This Row],[UnitPriceGBP]]</f>
        <v>8.8000000000000007</v>
      </c>
      <c r="L2413" s="5" t="str">
        <f>TEXT(Store_Record[[#This Row],[Date]],"dddd")</f>
        <v>Tuesday</v>
      </c>
      <c r="M2413" s="5" t="str">
        <f>TEXT(Store_Record[[#This Row],[Date]],"mmmm")</f>
        <v>June</v>
      </c>
      <c r="N2413" s="5">
        <f>YEAR(Store_Record[[#This Row],[Date]])</f>
        <v>2025</v>
      </c>
      <c r="O2413"/>
    </row>
    <row r="2414" spans="1:15" x14ac:dyDescent="0.35">
      <c r="A2414" t="s">
        <v>3332</v>
      </c>
      <c r="B2414" s="2">
        <v>45832</v>
      </c>
      <c r="C2414" t="s">
        <v>36</v>
      </c>
      <c r="D2414" t="s">
        <v>47</v>
      </c>
      <c r="E2414" t="s">
        <v>12</v>
      </c>
      <c r="F2414" t="s">
        <v>13</v>
      </c>
      <c r="G2414">
        <v>3</v>
      </c>
      <c r="H2414">
        <v>2.5</v>
      </c>
      <c r="I2414" t="s">
        <v>14</v>
      </c>
      <c r="J2414" t="s">
        <v>724</v>
      </c>
      <c r="K2414" s="12">
        <f>Store_Record[[#This Row],[Qty]]*Store_Record[[#This Row],[UnitPriceGBP]]</f>
        <v>7.5</v>
      </c>
      <c r="L2414" s="5" t="str">
        <f>TEXT(Store_Record[[#This Row],[Date]],"dddd")</f>
        <v>Tuesday</v>
      </c>
      <c r="M2414" s="5" t="str">
        <f>TEXT(Store_Record[[#This Row],[Date]],"mmmm")</f>
        <v>June</v>
      </c>
      <c r="N2414" s="5">
        <f>YEAR(Store_Record[[#This Row],[Date]])</f>
        <v>2025</v>
      </c>
      <c r="O2414"/>
    </row>
    <row r="2415" spans="1:15" x14ac:dyDescent="0.35">
      <c r="A2415" t="s">
        <v>3337</v>
      </c>
      <c r="B2415" s="2">
        <v>45832</v>
      </c>
      <c r="C2415" t="s">
        <v>20</v>
      </c>
      <c r="D2415" t="s">
        <v>47</v>
      </c>
      <c r="E2415" t="s">
        <v>12</v>
      </c>
      <c r="F2415" t="s">
        <v>13</v>
      </c>
      <c r="G2415">
        <v>3</v>
      </c>
      <c r="H2415">
        <v>2.5</v>
      </c>
      <c r="I2415" t="s">
        <v>21</v>
      </c>
      <c r="J2415" t="s">
        <v>1497</v>
      </c>
      <c r="K2415" s="12">
        <f>Store_Record[[#This Row],[Qty]]*Store_Record[[#This Row],[UnitPriceGBP]]</f>
        <v>7.5</v>
      </c>
      <c r="L2415" s="5" t="str">
        <f>TEXT(Store_Record[[#This Row],[Date]],"dddd")</f>
        <v>Tuesday</v>
      </c>
      <c r="M2415" s="5" t="str">
        <f>TEXT(Store_Record[[#This Row],[Date]],"mmmm")</f>
        <v>June</v>
      </c>
      <c r="N2415" s="5">
        <f>YEAR(Store_Record[[#This Row],[Date]])</f>
        <v>2025</v>
      </c>
      <c r="O2415"/>
    </row>
    <row r="2416" spans="1:15" x14ac:dyDescent="0.35">
      <c r="A2416" t="s">
        <v>3333</v>
      </c>
      <c r="B2416" s="2">
        <v>45832</v>
      </c>
      <c r="C2416" t="s">
        <v>10</v>
      </c>
      <c r="D2416" t="s">
        <v>47</v>
      </c>
      <c r="E2416" t="s">
        <v>30</v>
      </c>
      <c r="F2416" t="s">
        <v>31</v>
      </c>
      <c r="G2416">
        <v>2</v>
      </c>
      <c r="H2416">
        <v>2.8</v>
      </c>
      <c r="I2416" t="s">
        <v>14</v>
      </c>
      <c r="J2416" t="s">
        <v>495</v>
      </c>
      <c r="K2416" s="12">
        <f>Store_Record[[#This Row],[Qty]]*Store_Record[[#This Row],[UnitPriceGBP]]</f>
        <v>5.6</v>
      </c>
      <c r="L2416" s="5" t="str">
        <f>TEXT(Store_Record[[#This Row],[Date]],"dddd")</f>
        <v>Tuesday</v>
      </c>
      <c r="M2416" s="5" t="str">
        <f>TEXT(Store_Record[[#This Row],[Date]],"mmmm")</f>
        <v>June</v>
      </c>
      <c r="N2416" s="5">
        <f>YEAR(Store_Record[[#This Row],[Date]])</f>
        <v>2025</v>
      </c>
      <c r="O2416"/>
    </row>
    <row r="2417" spans="1:15" x14ac:dyDescent="0.35">
      <c r="A2417" t="s">
        <v>3343</v>
      </c>
      <c r="B2417" s="2">
        <v>45832</v>
      </c>
      <c r="C2417" t="s">
        <v>10</v>
      </c>
      <c r="D2417" t="s">
        <v>38</v>
      </c>
      <c r="E2417" t="s">
        <v>30</v>
      </c>
      <c r="F2417" t="s">
        <v>31</v>
      </c>
      <c r="G2417">
        <v>2</v>
      </c>
      <c r="H2417">
        <v>2.8</v>
      </c>
      <c r="I2417" t="s">
        <v>21</v>
      </c>
      <c r="J2417" t="s">
        <v>717</v>
      </c>
      <c r="K2417" s="12">
        <f>Store_Record[[#This Row],[Qty]]*Store_Record[[#This Row],[UnitPriceGBP]]</f>
        <v>5.6</v>
      </c>
      <c r="L2417" s="5" t="str">
        <f>TEXT(Store_Record[[#This Row],[Date]],"dddd")</f>
        <v>Tuesday</v>
      </c>
      <c r="M2417" s="5" t="str">
        <f>TEXT(Store_Record[[#This Row],[Date]],"mmmm")</f>
        <v>June</v>
      </c>
      <c r="N2417" s="5">
        <f>YEAR(Store_Record[[#This Row],[Date]])</f>
        <v>2025</v>
      </c>
      <c r="O2417"/>
    </row>
    <row r="2418" spans="1:15" x14ac:dyDescent="0.35">
      <c r="A2418" t="s">
        <v>3339</v>
      </c>
      <c r="B2418" s="2">
        <v>45832</v>
      </c>
      <c r="C2418" t="s">
        <v>24</v>
      </c>
      <c r="D2418" t="s">
        <v>25</v>
      </c>
      <c r="E2418" t="s">
        <v>30</v>
      </c>
      <c r="F2418" t="s">
        <v>31</v>
      </c>
      <c r="G2418">
        <v>1</v>
      </c>
      <c r="H2418">
        <v>2.8</v>
      </c>
      <c r="I2418" t="s">
        <v>39</v>
      </c>
      <c r="J2418" t="s">
        <v>3340</v>
      </c>
      <c r="K2418" s="12">
        <f>Store_Record[[#This Row],[Qty]]*Store_Record[[#This Row],[UnitPriceGBP]]</f>
        <v>2.8</v>
      </c>
      <c r="L2418" s="5" t="str">
        <f>TEXT(Store_Record[[#This Row],[Date]],"dddd")</f>
        <v>Tuesday</v>
      </c>
      <c r="M2418" s="5" t="str">
        <f>TEXT(Store_Record[[#This Row],[Date]],"mmmm")</f>
        <v>June</v>
      </c>
      <c r="N2418" s="5">
        <f>YEAR(Store_Record[[#This Row],[Date]])</f>
        <v>2025</v>
      </c>
      <c r="O2418"/>
    </row>
    <row r="2419" spans="1:15" x14ac:dyDescent="0.35">
      <c r="A2419" t="s">
        <v>3336</v>
      </c>
      <c r="B2419" s="2">
        <v>45832</v>
      </c>
      <c r="C2419" t="s">
        <v>10</v>
      </c>
      <c r="D2419" t="s">
        <v>47</v>
      </c>
      <c r="E2419" t="s">
        <v>34</v>
      </c>
      <c r="F2419" t="s">
        <v>31</v>
      </c>
      <c r="G2419">
        <v>1</v>
      </c>
      <c r="H2419">
        <v>2.2000000000000002</v>
      </c>
      <c r="I2419" t="s">
        <v>21</v>
      </c>
      <c r="J2419" t="s">
        <v>84</v>
      </c>
      <c r="K2419" s="12">
        <f>Store_Record[[#This Row],[Qty]]*Store_Record[[#This Row],[UnitPriceGBP]]</f>
        <v>2.2000000000000002</v>
      </c>
      <c r="L2419" s="5" t="str">
        <f>TEXT(Store_Record[[#This Row],[Date]],"dddd")</f>
        <v>Tuesday</v>
      </c>
      <c r="M2419" s="5" t="str">
        <f>TEXT(Store_Record[[#This Row],[Date]],"mmmm")</f>
        <v>June</v>
      </c>
      <c r="N2419" s="5">
        <f>YEAR(Store_Record[[#This Row],[Date]])</f>
        <v>2025</v>
      </c>
      <c r="O2419"/>
    </row>
    <row r="2420" spans="1:15" x14ac:dyDescent="0.35">
      <c r="A2420" t="s">
        <v>3362</v>
      </c>
      <c r="B2420" s="2">
        <v>45833</v>
      </c>
      <c r="C2420" t="s">
        <v>24</v>
      </c>
      <c r="D2420" t="s">
        <v>47</v>
      </c>
      <c r="E2420" t="s">
        <v>26</v>
      </c>
      <c r="F2420" t="s">
        <v>13</v>
      </c>
      <c r="G2420">
        <v>5</v>
      </c>
      <c r="H2420">
        <v>3.5</v>
      </c>
      <c r="I2420" t="s">
        <v>39</v>
      </c>
      <c r="J2420" t="s">
        <v>1238</v>
      </c>
      <c r="K2420" s="12">
        <f>Store_Record[[#This Row],[Qty]]*Store_Record[[#This Row],[UnitPriceGBP]]</f>
        <v>17.5</v>
      </c>
      <c r="L2420" s="5" t="str">
        <f>TEXT(Store_Record[[#This Row],[Date]],"dddd")</f>
        <v>Wednesday</v>
      </c>
      <c r="M2420" s="5" t="str">
        <f>TEXT(Store_Record[[#This Row],[Date]],"mmmm")</f>
        <v>June</v>
      </c>
      <c r="N2420" s="5">
        <f>YEAR(Store_Record[[#This Row],[Date]])</f>
        <v>2025</v>
      </c>
      <c r="O2420"/>
    </row>
    <row r="2421" spans="1:15" x14ac:dyDescent="0.35">
      <c r="A2421" t="s">
        <v>3347</v>
      </c>
      <c r="B2421" s="2">
        <v>45833</v>
      </c>
      <c r="C2421" t="s">
        <v>20</v>
      </c>
      <c r="D2421" t="s">
        <v>11</v>
      </c>
      <c r="E2421" t="s">
        <v>42</v>
      </c>
      <c r="F2421" t="s">
        <v>13</v>
      </c>
      <c r="G2421">
        <v>4</v>
      </c>
      <c r="H2421">
        <v>3.8</v>
      </c>
      <c r="I2421" t="s">
        <v>21</v>
      </c>
      <c r="J2421" t="s">
        <v>3348</v>
      </c>
      <c r="K2421" s="12">
        <f>Store_Record[[#This Row],[Qty]]*Store_Record[[#This Row],[UnitPriceGBP]]</f>
        <v>15.2</v>
      </c>
      <c r="L2421" s="5" t="str">
        <f>TEXT(Store_Record[[#This Row],[Date]],"dddd")</f>
        <v>Wednesday</v>
      </c>
      <c r="M2421" s="5" t="str">
        <f>TEXT(Store_Record[[#This Row],[Date]],"mmmm")</f>
        <v>June</v>
      </c>
      <c r="N2421" s="5">
        <f>YEAR(Store_Record[[#This Row],[Date]])</f>
        <v>2025</v>
      </c>
      <c r="O2421"/>
    </row>
    <row r="2422" spans="1:15" x14ac:dyDescent="0.35">
      <c r="A2422" t="s">
        <v>3350</v>
      </c>
      <c r="B2422" s="2">
        <v>45833</v>
      </c>
      <c r="C2422" t="s">
        <v>36</v>
      </c>
      <c r="D2422" t="s">
        <v>29</v>
      </c>
      <c r="E2422" t="s">
        <v>30</v>
      </c>
      <c r="F2422" t="s">
        <v>31</v>
      </c>
      <c r="G2422">
        <v>5</v>
      </c>
      <c r="H2422">
        <v>2.8</v>
      </c>
      <c r="I2422" t="s">
        <v>21</v>
      </c>
      <c r="J2422" t="s">
        <v>1168</v>
      </c>
      <c r="K2422" s="12">
        <f>Store_Record[[#This Row],[Qty]]*Store_Record[[#This Row],[UnitPriceGBP]]</f>
        <v>14</v>
      </c>
      <c r="L2422" s="5" t="str">
        <f>TEXT(Store_Record[[#This Row],[Date]],"dddd")</f>
        <v>Wednesday</v>
      </c>
      <c r="M2422" s="5" t="str">
        <f>TEXT(Store_Record[[#This Row],[Date]],"mmmm")</f>
        <v>June</v>
      </c>
      <c r="N2422" s="5">
        <f>YEAR(Store_Record[[#This Row],[Date]])</f>
        <v>2025</v>
      </c>
      <c r="O2422"/>
    </row>
    <row r="2423" spans="1:15" x14ac:dyDescent="0.35">
      <c r="A2423" t="s">
        <v>3351</v>
      </c>
      <c r="B2423" s="2">
        <v>45833</v>
      </c>
      <c r="C2423" t="s">
        <v>24</v>
      </c>
      <c r="D2423" t="s">
        <v>47</v>
      </c>
      <c r="E2423" t="s">
        <v>42</v>
      </c>
      <c r="F2423" t="s">
        <v>13</v>
      </c>
      <c r="G2423">
        <v>3</v>
      </c>
      <c r="H2423">
        <v>3.8</v>
      </c>
      <c r="I2423" t="s">
        <v>21</v>
      </c>
      <c r="J2423" t="s">
        <v>819</v>
      </c>
      <c r="K2423" s="12">
        <f>Store_Record[[#This Row],[Qty]]*Store_Record[[#This Row],[UnitPriceGBP]]</f>
        <v>11.399999999999999</v>
      </c>
      <c r="L2423" s="5" t="str">
        <f>TEXT(Store_Record[[#This Row],[Date]],"dddd")</f>
        <v>Wednesday</v>
      </c>
      <c r="M2423" s="5" t="str">
        <f>TEXT(Store_Record[[#This Row],[Date]],"mmmm")</f>
        <v>June</v>
      </c>
      <c r="N2423" s="5">
        <f>YEAR(Store_Record[[#This Row],[Date]])</f>
        <v>2025</v>
      </c>
      <c r="O2423"/>
    </row>
    <row r="2424" spans="1:15" x14ac:dyDescent="0.35">
      <c r="A2424" t="s">
        <v>3353</v>
      </c>
      <c r="B2424" s="2">
        <v>45833</v>
      </c>
      <c r="C2424" t="s">
        <v>24</v>
      </c>
      <c r="D2424" t="s">
        <v>47</v>
      </c>
      <c r="E2424" t="s">
        <v>42</v>
      </c>
      <c r="F2424" t="s">
        <v>13</v>
      </c>
      <c r="G2424">
        <v>3</v>
      </c>
      <c r="H2424">
        <v>3.8</v>
      </c>
      <c r="I2424" t="s">
        <v>21</v>
      </c>
      <c r="J2424" t="s">
        <v>1017</v>
      </c>
      <c r="K2424" s="12">
        <f>Store_Record[[#This Row],[Qty]]*Store_Record[[#This Row],[UnitPriceGBP]]</f>
        <v>11.399999999999999</v>
      </c>
      <c r="L2424" s="5" t="str">
        <f>TEXT(Store_Record[[#This Row],[Date]],"dddd")</f>
        <v>Wednesday</v>
      </c>
      <c r="M2424" s="5" t="str">
        <f>TEXT(Store_Record[[#This Row],[Date]],"mmmm")</f>
        <v>June</v>
      </c>
      <c r="N2424" s="5">
        <f>YEAR(Store_Record[[#This Row],[Date]])</f>
        <v>2025</v>
      </c>
      <c r="O2424"/>
    </row>
    <row r="2425" spans="1:15" x14ac:dyDescent="0.35">
      <c r="A2425" t="s">
        <v>3354</v>
      </c>
      <c r="B2425" s="2">
        <v>45833</v>
      </c>
      <c r="C2425" t="s">
        <v>24</v>
      </c>
      <c r="D2425" t="s">
        <v>47</v>
      </c>
      <c r="E2425" t="s">
        <v>30</v>
      </c>
      <c r="F2425" t="s">
        <v>31</v>
      </c>
      <c r="G2425">
        <v>4</v>
      </c>
      <c r="H2425">
        <v>2.8</v>
      </c>
      <c r="I2425" t="s">
        <v>21</v>
      </c>
      <c r="J2425" t="s">
        <v>1926</v>
      </c>
      <c r="K2425" s="12">
        <f>Store_Record[[#This Row],[Qty]]*Store_Record[[#This Row],[UnitPriceGBP]]</f>
        <v>11.2</v>
      </c>
      <c r="L2425" s="5" t="str">
        <f>TEXT(Store_Record[[#This Row],[Date]],"dddd")</f>
        <v>Wednesday</v>
      </c>
      <c r="M2425" s="5" t="str">
        <f>TEXT(Store_Record[[#This Row],[Date]],"mmmm")</f>
        <v>June</v>
      </c>
      <c r="N2425" s="5">
        <f>YEAR(Store_Record[[#This Row],[Date]])</f>
        <v>2025</v>
      </c>
      <c r="O2425"/>
    </row>
    <row r="2426" spans="1:15" x14ac:dyDescent="0.35">
      <c r="A2426" t="s">
        <v>3345</v>
      </c>
      <c r="B2426" s="2">
        <v>45833</v>
      </c>
      <c r="C2426" t="s">
        <v>24</v>
      </c>
      <c r="D2426" t="s">
        <v>47</v>
      </c>
      <c r="E2426" t="s">
        <v>26</v>
      </c>
      <c r="F2426" t="s">
        <v>13</v>
      </c>
      <c r="G2426">
        <v>3</v>
      </c>
      <c r="H2426">
        <v>3.5</v>
      </c>
      <c r="I2426" t="s">
        <v>21</v>
      </c>
      <c r="J2426" t="s">
        <v>2079</v>
      </c>
      <c r="K2426" s="12">
        <f>Store_Record[[#This Row],[Qty]]*Store_Record[[#This Row],[UnitPriceGBP]]</f>
        <v>10.5</v>
      </c>
      <c r="L2426" s="5" t="str">
        <f>TEXT(Store_Record[[#This Row],[Date]],"dddd")</f>
        <v>Wednesday</v>
      </c>
      <c r="M2426" s="5" t="str">
        <f>TEXT(Store_Record[[#This Row],[Date]],"mmmm")</f>
        <v>June</v>
      </c>
      <c r="N2426" s="5">
        <f>YEAR(Store_Record[[#This Row],[Date]])</f>
        <v>2025</v>
      </c>
      <c r="O2426"/>
    </row>
    <row r="2427" spans="1:15" x14ac:dyDescent="0.35">
      <c r="A2427" t="s">
        <v>3359</v>
      </c>
      <c r="B2427" s="2">
        <v>45833</v>
      </c>
      <c r="C2427" t="s">
        <v>10</v>
      </c>
      <c r="D2427" t="s">
        <v>29</v>
      </c>
      <c r="E2427" t="s">
        <v>26</v>
      </c>
      <c r="F2427" t="s">
        <v>13</v>
      </c>
      <c r="G2427">
        <v>3</v>
      </c>
      <c r="H2427">
        <v>3.5</v>
      </c>
      <c r="I2427" t="s">
        <v>39</v>
      </c>
      <c r="J2427" t="s">
        <v>1608</v>
      </c>
      <c r="K2427" s="12">
        <f>Store_Record[[#This Row],[Qty]]*Store_Record[[#This Row],[UnitPriceGBP]]</f>
        <v>10.5</v>
      </c>
      <c r="L2427" s="5" t="str">
        <f>TEXT(Store_Record[[#This Row],[Date]],"dddd")</f>
        <v>Wednesday</v>
      </c>
      <c r="M2427" s="5" t="str">
        <f>TEXT(Store_Record[[#This Row],[Date]],"mmmm")</f>
        <v>June</v>
      </c>
      <c r="N2427" s="5">
        <f>YEAR(Store_Record[[#This Row],[Date]])</f>
        <v>2025</v>
      </c>
      <c r="O2427"/>
    </row>
    <row r="2428" spans="1:15" x14ac:dyDescent="0.35">
      <c r="A2428" t="s">
        <v>3361</v>
      </c>
      <c r="B2428" s="2">
        <v>45833</v>
      </c>
      <c r="C2428" t="s">
        <v>24</v>
      </c>
      <c r="D2428" t="s">
        <v>47</v>
      </c>
      <c r="E2428" t="s">
        <v>26</v>
      </c>
      <c r="F2428" t="s">
        <v>13</v>
      </c>
      <c r="G2428">
        <v>3</v>
      </c>
      <c r="H2428">
        <v>3.5</v>
      </c>
      <c r="I2428" t="s">
        <v>21</v>
      </c>
      <c r="J2428" t="s">
        <v>524</v>
      </c>
      <c r="K2428" s="12">
        <f>Store_Record[[#This Row],[Qty]]*Store_Record[[#This Row],[UnitPriceGBP]]</f>
        <v>10.5</v>
      </c>
      <c r="L2428" s="5" t="str">
        <f>TEXT(Store_Record[[#This Row],[Date]],"dddd")</f>
        <v>Wednesday</v>
      </c>
      <c r="M2428" s="5" t="str">
        <f>TEXT(Store_Record[[#This Row],[Date]],"mmmm")</f>
        <v>June</v>
      </c>
      <c r="N2428" s="5">
        <f>YEAR(Store_Record[[#This Row],[Date]])</f>
        <v>2025</v>
      </c>
      <c r="O2428"/>
    </row>
    <row r="2429" spans="1:15" x14ac:dyDescent="0.35">
      <c r="A2429" t="s">
        <v>3355</v>
      </c>
      <c r="B2429" s="2">
        <v>45833</v>
      </c>
      <c r="C2429" t="s">
        <v>10</v>
      </c>
      <c r="D2429" t="s">
        <v>25</v>
      </c>
      <c r="E2429" t="s">
        <v>30</v>
      </c>
      <c r="F2429" t="s">
        <v>31</v>
      </c>
      <c r="G2429">
        <v>3</v>
      </c>
      <c r="H2429">
        <v>2.8</v>
      </c>
      <c r="I2429" t="s">
        <v>14</v>
      </c>
      <c r="J2429" t="s">
        <v>3356</v>
      </c>
      <c r="K2429" s="12">
        <f>Store_Record[[#This Row],[Qty]]*Store_Record[[#This Row],[UnitPriceGBP]]</f>
        <v>8.3999999999999986</v>
      </c>
      <c r="L2429" s="5" t="str">
        <f>TEXT(Store_Record[[#This Row],[Date]],"dddd")</f>
        <v>Wednesday</v>
      </c>
      <c r="M2429" s="5" t="str">
        <f>TEXT(Store_Record[[#This Row],[Date]],"mmmm")</f>
        <v>June</v>
      </c>
      <c r="N2429" s="5">
        <f>YEAR(Store_Record[[#This Row],[Date]])</f>
        <v>2025</v>
      </c>
      <c r="O2429"/>
    </row>
    <row r="2430" spans="1:15" x14ac:dyDescent="0.35">
      <c r="A2430" t="s">
        <v>3357</v>
      </c>
      <c r="B2430" s="2">
        <v>45833</v>
      </c>
      <c r="C2430" t="s">
        <v>10</v>
      </c>
      <c r="D2430" t="s">
        <v>29</v>
      </c>
      <c r="E2430" t="s">
        <v>30</v>
      </c>
      <c r="F2430" t="s">
        <v>31</v>
      </c>
      <c r="G2430">
        <v>3</v>
      </c>
      <c r="H2430">
        <v>2.8</v>
      </c>
      <c r="I2430" t="s">
        <v>14</v>
      </c>
      <c r="J2430" t="s">
        <v>2324</v>
      </c>
      <c r="K2430" s="12">
        <f>Store_Record[[#This Row],[Qty]]*Store_Record[[#This Row],[UnitPriceGBP]]</f>
        <v>8.3999999999999986</v>
      </c>
      <c r="L2430" s="5" t="str">
        <f>TEXT(Store_Record[[#This Row],[Date]],"dddd")</f>
        <v>Wednesday</v>
      </c>
      <c r="M2430" s="5" t="str">
        <f>TEXT(Store_Record[[#This Row],[Date]],"mmmm")</f>
        <v>June</v>
      </c>
      <c r="N2430" s="5">
        <f>YEAR(Store_Record[[#This Row],[Date]])</f>
        <v>2025</v>
      </c>
      <c r="O2430"/>
    </row>
    <row r="2431" spans="1:15" x14ac:dyDescent="0.35">
      <c r="A2431" t="s">
        <v>3346</v>
      </c>
      <c r="B2431" s="2">
        <v>45833</v>
      </c>
      <c r="C2431" t="s">
        <v>36</v>
      </c>
      <c r="D2431" t="s">
        <v>152</v>
      </c>
      <c r="E2431" t="s">
        <v>42</v>
      </c>
      <c r="F2431" t="s">
        <v>13</v>
      </c>
      <c r="G2431">
        <v>2</v>
      </c>
      <c r="H2431">
        <v>3.8</v>
      </c>
      <c r="I2431" t="s">
        <v>14</v>
      </c>
      <c r="J2431" t="s">
        <v>2422</v>
      </c>
      <c r="K2431" s="12">
        <f>Store_Record[[#This Row],[Qty]]*Store_Record[[#This Row],[UnitPriceGBP]]</f>
        <v>7.6</v>
      </c>
      <c r="L2431" s="5" t="str">
        <f>TEXT(Store_Record[[#This Row],[Date]],"dddd")</f>
        <v>Wednesday</v>
      </c>
      <c r="M2431" s="5" t="str">
        <f>TEXT(Store_Record[[#This Row],[Date]],"mmmm")</f>
        <v>June</v>
      </c>
      <c r="N2431" s="5">
        <f>YEAR(Store_Record[[#This Row],[Date]])</f>
        <v>2025</v>
      </c>
      <c r="O2431"/>
    </row>
    <row r="2432" spans="1:15" x14ac:dyDescent="0.35">
      <c r="A2432" t="s">
        <v>3344</v>
      </c>
      <c r="B2432" s="2">
        <v>45833</v>
      </c>
      <c r="C2432" t="s">
        <v>10</v>
      </c>
      <c r="D2432" t="s">
        <v>29</v>
      </c>
      <c r="E2432" t="s">
        <v>26</v>
      </c>
      <c r="F2432" t="s">
        <v>13</v>
      </c>
      <c r="G2432">
        <v>2</v>
      </c>
      <c r="H2432">
        <v>3.5</v>
      </c>
      <c r="I2432" t="s">
        <v>21</v>
      </c>
      <c r="J2432" t="s">
        <v>32</v>
      </c>
      <c r="K2432" s="12">
        <f>Store_Record[[#This Row],[Qty]]*Store_Record[[#This Row],[UnitPriceGBP]]</f>
        <v>7</v>
      </c>
      <c r="L2432" s="5" t="str">
        <f>TEXT(Store_Record[[#This Row],[Date]],"dddd")</f>
        <v>Wednesday</v>
      </c>
      <c r="M2432" s="5" t="str">
        <f>TEXT(Store_Record[[#This Row],[Date]],"mmmm")</f>
        <v>June</v>
      </c>
      <c r="N2432" s="5">
        <f>YEAR(Store_Record[[#This Row],[Date]])</f>
        <v>2025</v>
      </c>
      <c r="O2432"/>
    </row>
    <row r="2433" spans="1:15" x14ac:dyDescent="0.35">
      <c r="A2433" t="s">
        <v>3352</v>
      </c>
      <c r="B2433" s="2">
        <v>45833</v>
      </c>
      <c r="C2433" t="s">
        <v>10</v>
      </c>
      <c r="D2433" t="s">
        <v>47</v>
      </c>
      <c r="E2433" t="s">
        <v>34</v>
      </c>
      <c r="F2433" t="s">
        <v>31</v>
      </c>
      <c r="G2433">
        <v>3</v>
      </c>
      <c r="H2433">
        <v>2.2000000000000002</v>
      </c>
      <c r="I2433" t="s">
        <v>39</v>
      </c>
      <c r="J2433" t="s">
        <v>1310</v>
      </c>
      <c r="K2433" s="12">
        <f>Store_Record[[#This Row],[Qty]]*Store_Record[[#This Row],[UnitPriceGBP]]</f>
        <v>6.6000000000000005</v>
      </c>
      <c r="L2433" s="5" t="str">
        <f>TEXT(Store_Record[[#This Row],[Date]],"dddd")</f>
        <v>Wednesday</v>
      </c>
      <c r="M2433" s="5" t="str">
        <f>TEXT(Store_Record[[#This Row],[Date]],"mmmm")</f>
        <v>June</v>
      </c>
      <c r="N2433" s="5">
        <f>YEAR(Store_Record[[#This Row],[Date]])</f>
        <v>2025</v>
      </c>
      <c r="O2433"/>
    </row>
    <row r="2434" spans="1:15" x14ac:dyDescent="0.35">
      <c r="A2434" t="s">
        <v>3358</v>
      </c>
      <c r="B2434" s="2">
        <v>45833</v>
      </c>
      <c r="C2434" t="s">
        <v>20</v>
      </c>
      <c r="D2434" t="s">
        <v>47</v>
      </c>
      <c r="E2434" t="s">
        <v>42</v>
      </c>
      <c r="F2434" t="s">
        <v>13</v>
      </c>
      <c r="G2434">
        <v>1</v>
      </c>
      <c r="H2434">
        <v>3.8</v>
      </c>
      <c r="I2434" t="s">
        <v>39</v>
      </c>
      <c r="J2434" t="s">
        <v>15</v>
      </c>
      <c r="K2434" s="12">
        <f>Store_Record[[#This Row],[Qty]]*Store_Record[[#This Row],[UnitPriceGBP]]</f>
        <v>3.8</v>
      </c>
      <c r="L2434" s="5" t="str">
        <f>TEXT(Store_Record[[#This Row],[Date]],"dddd")</f>
        <v>Wednesday</v>
      </c>
      <c r="M2434" s="5" t="str">
        <f>TEXT(Store_Record[[#This Row],[Date]],"mmmm")</f>
        <v>June</v>
      </c>
      <c r="N2434" s="5">
        <f>YEAR(Store_Record[[#This Row],[Date]])</f>
        <v>2025</v>
      </c>
      <c r="O2434"/>
    </row>
    <row r="2435" spans="1:15" x14ac:dyDescent="0.35">
      <c r="A2435" t="s">
        <v>3360</v>
      </c>
      <c r="B2435" s="2">
        <v>45833</v>
      </c>
      <c r="C2435" t="s">
        <v>20</v>
      </c>
      <c r="D2435" t="s">
        <v>38</v>
      </c>
      <c r="E2435" t="s">
        <v>42</v>
      </c>
      <c r="F2435" t="s">
        <v>13</v>
      </c>
      <c r="G2435">
        <v>1</v>
      </c>
      <c r="H2435">
        <v>3.8</v>
      </c>
      <c r="I2435" t="s">
        <v>14</v>
      </c>
      <c r="J2435" t="s">
        <v>1181</v>
      </c>
      <c r="K2435" s="12">
        <f>Store_Record[[#This Row],[Qty]]*Store_Record[[#This Row],[UnitPriceGBP]]</f>
        <v>3.8</v>
      </c>
      <c r="L2435" s="5" t="str">
        <f>TEXT(Store_Record[[#This Row],[Date]],"dddd")</f>
        <v>Wednesday</v>
      </c>
      <c r="M2435" s="5" t="str">
        <f>TEXT(Store_Record[[#This Row],[Date]],"mmmm")</f>
        <v>June</v>
      </c>
      <c r="N2435" s="5">
        <f>YEAR(Store_Record[[#This Row],[Date]])</f>
        <v>2025</v>
      </c>
      <c r="O2435"/>
    </row>
    <row r="2436" spans="1:15" x14ac:dyDescent="0.35">
      <c r="A2436" t="s">
        <v>3349</v>
      </c>
      <c r="B2436" s="2">
        <v>45833</v>
      </c>
      <c r="C2436" t="s">
        <v>36</v>
      </c>
      <c r="D2436" t="s">
        <v>11</v>
      </c>
      <c r="E2436" t="s">
        <v>12</v>
      </c>
      <c r="F2436" t="s">
        <v>13</v>
      </c>
      <c r="G2436">
        <v>1</v>
      </c>
      <c r="H2436">
        <v>2.5</v>
      </c>
      <c r="I2436" t="s">
        <v>14</v>
      </c>
      <c r="J2436" t="s">
        <v>1212</v>
      </c>
      <c r="K2436" s="12">
        <f>Store_Record[[#This Row],[Qty]]*Store_Record[[#This Row],[UnitPriceGBP]]</f>
        <v>2.5</v>
      </c>
      <c r="L2436" s="5" t="str">
        <f>TEXT(Store_Record[[#This Row],[Date]],"dddd")</f>
        <v>Wednesday</v>
      </c>
      <c r="M2436" s="5" t="str">
        <f>TEXT(Store_Record[[#This Row],[Date]],"mmmm")</f>
        <v>June</v>
      </c>
      <c r="N2436" s="5">
        <f>YEAR(Store_Record[[#This Row],[Date]])</f>
        <v>2025</v>
      </c>
      <c r="O2436"/>
    </row>
    <row r="2437" spans="1:15" x14ac:dyDescent="0.35">
      <c r="A2437" t="s">
        <v>3363</v>
      </c>
      <c r="B2437" s="2">
        <v>45834</v>
      </c>
      <c r="C2437" t="s">
        <v>20</v>
      </c>
      <c r="D2437" t="s">
        <v>11</v>
      </c>
      <c r="E2437" t="s">
        <v>42</v>
      </c>
      <c r="F2437" t="s">
        <v>13</v>
      </c>
      <c r="G2437">
        <v>5</v>
      </c>
      <c r="H2437">
        <v>3.8</v>
      </c>
      <c r="I2437" t="s">
        <v>39</v>
      </c>
      <c r="J2437" t="s">
        <v>1020</v>
      </c>
      <c r="K2437" s="12">
        <f>Store_Record[[#This Row],[Qty]]*Store_Record[[#This Row],[UnitPriceGBP]]</f>
        <v>19</v>
      </c>
      <c r="L2437" s="5" t="str">
        <f>TEXT(Store_Record[[#This Row],[Date]],"dddd")</f>
        <v>Thursday</v>
      </c>
      <c r="M2437" s="5" t="str">
        <f>TEXT(Store_Record[[#This Row],[Date]],"mmmm")</f>
        <v>June</v>
      </c>
      <c r="N2437" s="5">
        <f>YEAR(Store_Record[[#This Row],[Date]])</f>
        <v>2025</v>
      </c>
      <c r="O2437"/>
    </row>
    <row r="2438" spans="1:15" x14ac:dyDescent="0.35">
      <c r="A2438" t="s">
        <v>3370</v>
      </c>
      <c r="B2438" s="2">
        <v>45834</v>
      </c>
      <c r="C2438" t="s">
        <v>20</v>
      </c>
      <c r="D2438" t="s">
        <v>29</v>
      </c>
      <c r="E2438" t="s">
        <v>26</v>
      </c>
      <c r="F2438" t="s">
        <v>13</v>
      </c>
      <c r="G2438">
        <v>5</v>
      </c>
      <c r="H2438">
        <v>3.5</v>
      </c>
      <c r="I2438" t="s">
        <v>39</v>
      </c>
      <c r="J2438" t="s">
        <v>423</v>
      </c>
      <c r="K2438" s="12">
        <f>Store_Record[[#This Row],[Qty]]*Store_Record[[#This Row],[UnitPriceGBP]]</f>
        <v>17.5</v>
      </c>
      <c r="L2438" s="5" t="str">
        <f>TEXT(Store_Record[[#This Row],[Date]],"dddd")</f>
        <v>Thursday</v>
      </c>
      <c r="M2438" s="5" t="str">
        <f>TEXT(Store_Record[[#This Row],[Date]],"mmmm")</f>
        <v>June</v>
      </c>
      <c r="N2438" s="5">
        <f>YEAR(Store_Record[[#This Row],[Date]])</f>
        <v>2025</v>
      </c>
      <c r="O2438"/>
    </row>
    <row r="2439" spans="1:15" x14ac:dyDescent="0.35">
      <c r="A2439" t="s">
        <v>3376</v>
      </c>
      <c r="B2439" s="2">
        <v>45834</v>
      </c>
      <c r="C2439" t="s">
        <v>10</v>
      </c>
      <c r="D2439" t="s">
        <v>11</v>
      </c>
      <c r="E2439" t="s">
        <v>26</v>
      </c>
      <c r="F2439" t="s">
        <v>13</v>
      </c>
      <c r="G2439">
        <v>5</v>
      </c>
      <c r="H2439">
        <v>3.5</v>
      </c>
      <c r="I2439" t="s">
        <v>39</v>
      </c>
      <c r="J2439" t="s">
        <v>2150</v>
      </c>
      <c r="K2439" s="12">
        <f>Store_Record[[#This Row],[Qty]]*Store_Record[[#This Row],[UnitPriceGBP]]</f>
        <v>17.5</v>
      </c>
      <c r="L2439" s="5" t="str">
        <f>TEXT(Store_Record[[#This Row],[Date]],"dddd")</f>
        <v>Thursday</v>
      </c>
      <c r="M2439" s="5" t="str">
        <f>TEXT(Store_Record[[#This Row],[Date]],"mmmm")</f>
        <v>June</v>
      </c>
      <c r="N2439" s="5">
        <f>YEAR(Store_Record[[#This Row],[Date]])</f>
        <v>2025</v>
      </c>
      <c r="O2439"/>
    </row>
    <row r="2440" spans="1:15" x14ac:dyDescent="0.35">
      <c r="A2440" t="s">
        <v>3366</v>
      </c>
      <c r="B2440" s="2">
        <v>45834</v>
      </c>
      <c r="C2440" t="s">
        <v>10</v>
      </c>
      <c r="D2440" t="s">
        <v>25</v>
      </c>
      <c r="E2440" t="s">
        <v>26</v>
      </c>
      <c r="F2440" t="s">
        <v>13</v>
      </c>
      <c r="G2440">
        <v>4</v>
      </c>
      <c r="H2440">
        <v>3.5</v>
      </c>
      <c r="I2440" t="s">
        <v>39</v>
      </c>
      <c r="J2440" t="s">
        <v>474</v>
      </c>
      <c r="K2440" s="12">
        <f>Store_Record[[#This Row],[Qty]]*Store_Record[[#This Row],[UnitPriceGBP]]</f>
        <v>14</v>
      </c>
      <c r="L2440" s="5" t="str">
        <f>TEXT(Store_Record[[#This Row],[Date]],"dddd")</f>
        <v>Thursday</v>
      </c>
      <c r="M2440" s="5" t="str">
        <f>TEXT(Store_Record[[#This Row],[Date]],"mmmm")</f>
        <v>June</v>
      </c>
      <c r="N2440" s="5">
        <f>YEAR(Store_Record[[#This Row],[Date]])</f>
        <v>2025</v>
      </c>
      <c r="O2440"/>
    </row>
    <row r="2441" spans="1:15" x14ac:dyDescent="0.35">
      <c r="A2441" t="s">
        <v>3367</v>
      </c>
      <c r="B2441" s="2">
        <v>45834</v>
      </c>
      <c r="C2441" t="s">
        <v>24</v>
      </c>
      <c r="D2441" t="s">
        <v>47</v>
      </c>
      <c r="E2441" t="s">
        <v>26</v>
      </c>
      <c r="F2441" t="s">
        <v>13</v>
      </c>
      <c r="G2441">
        <v>4</v>
      </c>
      <c r="H2441">
        <v>3.5</v>
      </c>
      <c r="I2441" t="s">
        <v>21</v>
      </c>
      <c r="J2441" t="s">
        <v>986</v>
      </c>
      <c r="K2441" s="12">
        <f>Store_Record[[#This Row],[Qty]]*Store_Record[[#This Row],[UnitPriceGBP]]</f>
        <v>14</v>
      </c>
      <c r="L2441" s="5" t="str">
        <f>TEXT(Store_Record[[#This Row],[Date]],"dddd")</f>
        <v>Thursday</v>
      </c>
      <c r="M2441" s="5" t="str">
        <f>TEXT(Store_Record[[#This Row],[Date]],"mmmm")</f>
        <v>June</v>
      </c>
      <c r="N2441" s="5">
        <f>YEAR(Store_Record[[#This Row],[Date]])</f>
        <v>2025</v>
      </c>
      <c r="O2441"/>
    </row>
    <row r="2442" spans="1:15" x14ac:dyDescent="0.35">
      <c r="A2442" t="s">
        <v>3372</v>
      </c>
      <c r="B2442" s="2">
        <v>45834</v>
      </c>
      <c r="C2442" t="s">
        <v>20</v>
      </c>
      <c r="D2442" t="s">
        <v>25</v>
      </c>
      <c r="E2442" t="s">
        <v>26</v>
      </c>
      <c r="F2442" t="s">
        <v>13</v>
      </c>
      <c r="G2442">
        <v>4</v>
      </c>
      <c r="H2442">
        <v>3.5</v>
      </c>
      <c r="I2442" t="s">
        <v>14</v>
      </c>
      <c r="J2442" t="s">
        <v>15</v>
      </c>
      <c r="K2442" s="12">
        <f>Store_Record[[#This Row],[Qty]]*Store_Record[[#This Row],[UnitPriceGBP]]</f>
        <v>14</v>
      </c>
      <c r="L2442" s="5" t="str">
        <f>TEXT(Store_Record[[#This Row],[Date]],"dddd")</f>
        <v>Thursday</v>
      </c>
      <c r="M2442" s="5" t="str">
        <f>TEXT(Store_Record[[#This Row],[Date]],"mmmm")</f>
        <v>June</v>
      </c>
      <c r="N2442" s="5">
        <f>YEAR(Store_Record[[#This Row],[Date]])</f>
        <v>2025</v>
      </c>
      <c r="O2442"/>
    </row>
    <row r="2443" spans="1:15" x14ac:dyDescent="0.35">
      <c r="A2443" t="s">
        <v>3373</v>
      </c>
      <c r="B2443" s="2">
        <v>45834</v>
      </c>
      <c r="C2443" t="s">
        <v>10</v>
      </c>
      <c r="D2443" t="s">
        <v>47</v>
      </c>
      <c r="E2443" t="s">
        <v>30</v>
      </c>
      <c r="F2443" t="s">
        <v>31</v>
      </c>
      <c r="G2443">
        <v>5</v>
      </c>
      <c r="H2443">
        <v>2.8</v>
      </c>
      <c r="I2443" t="s">
        <v>21</v>
      </c>
      <c r="J2443" t="s">
        <v>2740</v>
      </c>
      <c r="K2443" s="12">
        <f>Store_Record[[#This Row],[Qty]]*Store_Record[[#This Row],[UnitPriceGBP]]</f>
        <v>14</v>
      </c>
      <c r="L2443" s="5" t="str">
        <f>TEXT(Store_Record[[#This Row],[Date]],"dddd")</f>
        <v>Thursday</v>
      </c>
      <c r="M2443" s="5" t="str">
        <f>TEXT(Store_Record[[#This Row],[Date]],"mmmm")</f>
        <v>June</v>
      </c>
      <c r="N2443" s="5">
        <f>YEAR(Store_Record[[#This Row],[Date]])</f>
        <v>2025</v>
      </c>
      <c r="O2443"/>
    </row>
    <row r="2444" spans="1:15" x14ac:dyDescent="0.35">
      <c r="A2444" t="s">
        <v>3375</v>
      </c>
      <c r="B2444" s="2">
        <v>45834</v>
      </c>
      <c r="C2444" t="s">
        <v>24</v>
      </c>
      <c r="D2444" t="s">
        <v>47</v>
      </c>
      <c r="E2444" t="s">
        <v>34</v>
      </c>
      <c r="F2444" t="s">
        <v>31</v>
      </c>
      <c r="G2444">
        <v>5</v>
      </c>
      <c r="H2444">
        <v>2.2000000000000002</v>
      </c>
      <c r="I2444" t="s">
        <v>14</v>
      </c>
      <c r="J2444" t="s">
        <v>279</v>
      </c>
      <c r="K2444" s="12">
        <f>Store_Record[[#This Row],[Qty]]*Store_Record[[#This Row],[UnitPriceGBP]]</f>
        <v>11</v>
      </c>
      <c r="L2444" s="5" t="str">
        <f>TEXT(Store_Record[[#This Row],[Date]],"dddd")</f>
        <v>Thursday</v>
      </c>
      <c r="M2444" s="5" t="str">
        <f>TEXT(Store_Record[[#This Row],[Date]],"mmmm")</f>
        <v>June</v>
      </c>
      <c r="N2444" s="5">
        <f>YEAR(Store_Record[[#This Row],[Date]])</f>
        <v>2025</v>
      </c>
      <c r="O2444"/>
    </row>
    <row r="2445" spans="1:15" x14ac:dyDescent="0.35">
      <c r="A2445" t="s">
        <v>3379</v>
      </c>
      <c r="B2445" s="2">
        <v>45834</v>
      </c>
      <c r="C2445" t="s">
        <v>36</v>
      </c>
      <c r="D2445" t="s">
        <v>38</v>
      </c>
      <c r="E2445" t="s">
        <v>34</v>
      </c>
      <c r="F2445" t="s">
        <v>31</v>
      </c>
      <c r="G2445">
        <v>5</v>
      </c>
      <c r="H2445">
        <v>2.2000000000000002</v>
      </c>
      <c r="I2445" t="s">
        <v>39</v>
      </c>
      <c r="J2445" t="s">
        <v>3273</v>
      </c>
      <c r="K2445" s="12">
        <f>Store_Record[[#This Row],[Qty]]*Store_Record[[#This Row],[UnitPriceGBP]]</f>
        <v>11</v>
      </c>
      <c r="L2445" s="5" t="str">
        <f>TEXT(Store_Record[[#This Row],[Date]],"dddd")</f>
        <v>Thursday</v>
      </c>
      <c r="M2445" s="5" t="str">
        <f>TEXT(Store_Record[[#This Row],[Date]],"mmmm")</f>
        <v>June</v>
      </c>
      <c r="N2445" s="5">
        <f>YEAR(Store_Record[[#This Row],[Date]])</f>
        <v>2025</v>
      </c>
      <c r="O2445"/>
    </row>
    <row r="2446" spans="1:15" x14ac:dyDescent="0.35">
      <c r="A2446" t="s">
        <v>3371</v>
      </c>
      <c r="B2446" s="2">
        <v>45834</v>
      </c>
      <c r="C2446" t="s">
        <v>24</v>
      </c>
      <c r="D2446" t="s">
        <v>11</v>
      </c>
      <c r="E2446" t="s">
        <v>26</v>
      </c>
      <c r="F2446" t="s">
        <v>13</v>
      </c>
      <c r="G2446">
        <v>3</v>
      </c>
      <c r="H2446">
        <v>3.5</v>
      </c>
      <c r="I2446" t="s">
        <v>39</v>
      </c>
      <c r="J2446" t="s">
        <v>1238</v>
      </c>
      <c r="K2446" s="12">
        <f>Store_Record[[#This Row],[Qty]]*Store_Record[[#This Row],[UnitPriceGBP]]</f>
        <v>10.5</v>
      </c>
      <c r="L2446" s="5" t="str">
        <f>TEXT(Store_Record[[#This Row],[Date]],"dddd")</f>
        <v>Thursday</v>
      </c>
      <c r="M2446" s="5" t="str">
        <f>TEXT(Store_Record[[#This Row],[Date]],"mmmm")</f>
        <v>June</v>
      </c>
      <c r="N2446" s="5">
        <f>YEAR(Store_Record[[#This Row],[Date]])</f>
        <v>2025</v>
      </c>
      <c r="O2446"/>
    </row>
    <row r="2447" spans="1:15" x14ac:dyDescent="0.35">
      <c r="A2447" t="s">
        <v>3374</v>
      </c>
      <c r="B2447" s="2">
        <v>45834</v>
      </c>
      <c r="C2447" t="s">
        <v>36</v>
      </c>
      <c r="D2447" t="s">
        <v>11</v>
      </c>
      <c r="E2447" t="s">
        <v>26</v>
      </c>
      <c r="F2447" t="s">
        <v>13</v>
      </c>
      <c r="G2447">
        <v>3</v>
      </c>
      <c r="H2447">
        <v>3.5</v>
      </c>
      <c r="I2447" t="s">
        <v>21</v>
      </c>
      <c r="J2447" t="s">
        <v>3033</v>
      </c>
      <c r="K2447" s="12">
        <f>Store_Record[[#This Row],[Qty]]*Store_Record[[#This Row],[UnitPriceGBP]]</f>
        <v>10.5</v>
      </c>
      <c r="L2447" s="5" t="str">
        <f>TEXT(Store_Record[[#This Row],[Date]],"dddd")</f>
        <v>Thursday</v>
      </c>
      <c r="M2447" s="5" t="str">
        <f>TEXT(Store_Record[[#This Row],[Date]],"mmmm")</f>
        <v>June</v>
      </c>
      <c r="N2447" s="5">
        <f>YEAR(Store_Record[[#This Row],[Date]])</f>
        <v>2025</v>
      </c>
      <c r="O2447"/>
    </row>
    <row r="2448" spans="1:15" x14ac:dyDescent="0.35">
      <c r="A2448" t="s">
        <v>3369</v>
      </c>
      <c r="B2448" s="2">
        <v>45834</v>
      </c>
      <c r="C2448" t="s">
        <v>36</v>
      </c>
      <c r="D2448" t="s">
        <v>47</v>
      </c>
      <c r="E2448" t="s">
        <v>30</v>
      </c>
      <c r="F2448" t="s">
        <v>31</v>
      </c>
      <c r="G2448">
        <v>3</v>
      </c>
      <c r="H2448">
        <v>2.8</v>
      </c>
      <c r="I2448" t="s">
        <v>21</v>
      </c>
      <c r="J2448" t="s">
        <v>927</v>
      </c>
      <c r="K2448" s="12">
        <f>Store_Record[[#This Row],[Qty]]*Store_Record[[#This Row],[UnitPriceGBP]]</f>
        <v>8.3999999999999986</v>
      </c>
      <c r="L2448" s="5" t="str">
        <f>TEXT(Store_Record[[#This Row],[Date]],"dddd")</f>
        <v>Thursday</v>
      </c>
      <c r="M2448" s="5" t="str">
        <f>TEXT(Store_Record[[#This Row],[Date]],"mmmm")</f>
        <v>June</v>
      </c>
      <c r="N2448" s="5">
        <f>YEAR(Store_Record[[#This Row],[Date]])</f>
        <v>2025</v>
      </c>
      <c r="O2448"/>
    </row>
    <row r="2449" spans="1:15" x14ac:dyDescent="0.35">
      <c r="A2449" t="s">
        <v>3368</v>
      </c>
      <c r="B2449" s="2">
        <v>45834</v>
      </c>
      <c r="C2449" t="s">
        <v>36</v>
      </c>
      <c r="D2449" t="s">
        <v>25</v>
      </c>
      <c r="E2449" t="s">
        <v>12</v>
      </c>
      <c r="F2449" t="s">
        <v>13</v>
      </c>
      <c r="G2449">
        <v>3</v>
      </c>
      <c r="H2449">
        <v>2.5</v>
      </c>
      <c r="I2449" t="s">
        <v>39</v>
      </c>
      <c r="J2449" t="s">
        <v>761</v>
      </c>
      <c r="K2449" s="12">
        <f>Store_Record[[#This Row],[Qty]]*Store_Record[[#This Row],[UnitPriceGBP]]</f>
        <v>7.5</v>
      </c>
      <c r="L2449" s="5" t="str">
        <f>TEXT(Store_Record[[#This Row],[Date]],"dddd")</f>
        <v>Thursday</v>
      </c>
      <c r="M2449" s="5" t="str">
        <f>TEXT(Store_Record[[#This Row],[Date]],"mmmm")</f>
        <v>June</v>
      </c>
      <c r="N2449" s="5">
        <f>YEAR(Store_Record[[#This Row],[Date]])</f>
        <v>2025</v>
      </c>
      <c r="O2449"/>
    </row>
    <row r="2450" spans="1:15" x14ac:dyDescent="0.35">
      <c r="A2450" t="s">
        <v>3364</v>
      </c>
      <c r="B2450" s="2">
        <v>45834</v>
      </c>
      <c r="C2450" t="s">
        <v>36</v>
      </c>
      <c r="D2450" t="s">
        <v>11</v>
      </c>
      <c r="E2450" t="s">
        <v>34</v>
      </c>
      <c r="F2450" t="s">
        <v>31</v>
      </c>
      <c r="G2450">
        <v>2</v>
      </c>
      <c r="H2450">
        <v>2.2000000000000002</v>
      </c>
      <c r="I2450" t="s">
        <v>39</v>
      </c>
      <c r="J2450" t="s">
        <v>1292</v>
      </c>
      <c r="K2450" s="12">
        <f>Store_Record[[#This Row],[Qty]]*Store_Record[[#This Row],[UnitPriceGBP]]</f>
        <v>4.4000000000000004</v>
      </c>
      <c r="L2450" s="5" t="str">
        <f>TEXT(Store_Record[[#This Row],[Date]],"dddd")</f>
        <v>Thursday</v>
      </c>
      <c r="M2450" s="5" t="str">
        <f>TEXT(Store_Record[[#This Row],[Date]],"mmmm")</f>
        <v>June</v>
      </c>
      <c r="N2450" s="5">
        <f>YEAR(Store_Record[[#This Row],[Date]])</f>
        <v>2025</v>
      </c>
      <c r="O2450"/>
    </row>
    <row r="2451" spans="1:15" x14ac:dyDescent="0.35">
      <c r="A2451" t="s">
        <v>3365</v>
      </c>
      <c r="B2451" s="2">
        <v>45834</v>
      </c>
      <c r="C2451" t="s">
        <v>24</v>
      </c>
      <c r="D2451" t="s">
        <v>25</v>
      </c>
      <c r="E2451" t="s">
        <v>12</v>
      </c>
      <c r="F2451" t="s">
        <v>13</v>
      </c>
      <c r="G2451">
        <v>1</v>
      </c>
      <c r="H2451">
        <v>2.5</v>
      </c>
      <c r="I2451" t="s">
        <v>14</v>
      </c>
      <c r="J2451" t="s">
        <v>1168</v>
      </c>
      <c r="K2451" s="12">
        <f>Store_Record[[#This Row],[Qty]]*Store_Record[[#This Row],[UnitPriceGBP]]</f>
        <v>2.5</v>
      </c>
      <c r="L2451" s="5" t="str">
        <f>TEXT(Store_Record[[#This Row],[Date]],"dddd")</f>
        <v>Thursday</v>
      </c>
      <c r="M2451" s="5" t="str">
        <f>TEXT(Store_Record[[#This Row],[Date]],"mmmm")</f>
        <v>June</v>
      </c>
      <c r="N2451" s="5">
        <f>YEAR(Store_Record[[#This Row],[Date]])</f>
        <v>2025</v>
      </c>
      <c r="O2451"/>
    </row>
    <row r="2452" spans="1:15" x14ac:dyDescent="0.35">
      <c r="A2452" t="s">
        <v>3377</v>
      </c>
      <c r="B2452" s="2">
        <v>45834</v>
      </c>
      <c r="C2452" t="s">
        <v>20</v>
      </c>
      <c r="D2452" t="s">
        <v>11</v>
      </c>
      <c r="E2452" t="s">
        <v>12</v>
      </c>
      <c r="F2452" t="s">
        <v>13</v>
      </c>
      <c r="G2452">
        <v>1</v>
      </c>
      <c r="H2452">
        <v>2.5</v>
      </c>
      <c r="I2452" t="s">
        <v>21</v>
      </c>
      <c r="J2452" t="s">
        <v>1641</v>
      </c>
      <c r="K2452" s="12">
        <f>Store_Record[[#This Row],[Qty]]*Store_Record[[#This Row],[UnitPriceGBP]]</f>
        <v>2.5</v>
      </c>
      <c r="L2452" s="5" t="str">
        <f>TEXT(Store_Record[[#This Row],[Date]],"dddd")</f>
        <v>Thursday</v>
      </c>
      <c r="M2452" s="5" t="str">
        <f>TEXT(Store_Record[[#This Row],[Date]],"mmmm")</f>
        <v>June</v>
      </c>
      <c r="N2452" s="5">
        <f>YEAR(Store_Record[[#This Row],[Date]])</f>
        <v>2025</v>
      </c>
      <c r="O2452"/>
    </row>
    <row r="2453" spans="1:15" x14ac:dyDescent="0.35">
      <c r="A2453" t="s">
        <v>3378</v>
      </c>
      <c r="B2453" s="2">
        <v>45834</v>
      </c>
      <c r="C2453" t="s">
        <v>24</v>
      </c>
      <c r="D2453" t="s">
        <v>25</v>
      </c>
      <c r="E2453" t="s">
        <v>34</v>
      </c>
      <c r="F2453" t="s">
        <v>31</v>
      </c>
      <c r="G2453">
        <v>1</v>
      </c>
      <c r="H2453">
        <v>2.2000000000000002</v>
      </c>
      <c r="I2453" t="s">
        <v>14</v>
      </c>
      <c r="J2453" t="s">
        <v>317</v>
      </c>
      <c r="K2453" s="12">
        <f>Store_Record[[#This Row],[Qty]]*Store_Record[[#This Row],[UnitPriceGBP]]</f>
        <v>2.2000000000000002</v>
      </c>
      <c r="L2453" s="5" t="str">
        <f>TEXT(Store_Record[[#This Row],[Date]],"dddd")</f>
        <v>Thursday</v>
      </c>
      <c r="M2453" s="5" t="str">
        <f>TEXT(Store_Record[[#This Row],[Date]],"mmmm")</f>
        <v>June</v>
      </c>
      <c r="N2453" s="5">
        <f>YEAR(Store_Record[[#This Row],[Date]])</f>
        <v>2025</v>
      </c>
      <c r="O2453"/>
    </row>
    <row r="2454" spans="1:15" x14ac:dyDescent="0.35">
      <c r="A2454" t="s">
        <v>3386</v>
      </c>
      <c r="B2454" s="2">
        <v>45835</v>
      </c>
      <c r="C2454" t="s">
        <v>20</v>
      </c>
      <c r="D2454" t="s">
        <v>11</v>
      </c>
      <c r="E2454" t="s">
        <v>42</v>
      </c>
      <c r="F2454" t="s">
        <v>13</v>
      </c>
      <c r="G2454">
        <v>5</v>
      </c>
      <c r="H2454">
        <v>3.8</v>
      </c>
      <c r="I2454" t="s">
        <v>39</v>
      </c>
      <c r="J2454" t="s">
        <v>3089</v>
      </c>
      <c r="K2454" s="12">
        <f>Store_Record[[#This Row],[Qty]]*Store_Record[[#This Row],[UnitPriceGBP]]</f>
        <v>19</v>
      </c>
      <c r="L2454" s="5" t="str">
        <f>TEXT(Store_Record[[#This Row],[Date]],"dddd")</f>
        <v>Friday</v>
      </c>
      <c r="M2454" s="5" t="str">
        <f>TEXT(Store_Record[[#This Row],[Date]],"mmmm")</f>
        <v>June</v>
      </c>
      <c r="N2454" s="5">
        <f>YEAR(Store_Record[[#This Row],[Date]])</f>
        <v>2025</v>
      </c>
      <c r="O2454"/>
    </row>
    <row r="2455" spans="1:15" x14ac:dyDescent="0.35">
      <c r="A2455" t="s">
        <v>3391</v>
      </c>
      <c r="B2455" s="2">
        <v>45835</v>
      </c>
      <c r="C2455" t="s">
        <v>10</v>
      </c>
      <c r="D2455" t="s">
        <v>38</v>
      </c>
      <c r="E2455" t="s">
        <v>42</v>
      </c>
      <c r="F2455" t="s">
        <v>13</v>
      </c>
      <c r="G2455">
        <v>4</v>
      </c>
      <c r="H2455">
        <v>3.8</v>
      </c>
      <c r="I2455" t="s">
        <v>39</v>
      </c>
      <c r="J2455" t="s">
        <v>409</v>
      </c>
      <c r="K2455" s="12">
        <f>Store_Record[[#This Row],[Qty]]*Store_Record[[#This Row],[UnitPriceGBP]]</f>
        <v>15.2</v>
      </c>
      <c r="L2455" s="5" t="str">
        <f>TEXT(Store_Record[[#This Row],[Date]],"dddd")</f>
        <v>Friday</v>
      </c>
      <c r="M2455" s="5" t="str">
        <f>TEXT(Store_Record[[#This Row],[Date]],"mmmm")</f>
        <v>June</v>
      </c>
      <c r="N2455" s="5">
        <f>YEAR(Store_Record[[#This Row],[Date]])</f>
        <v>2025</v>
      </c>
      <c r="O2455"/>
    </row>
    <row r="2456" spans="1:15" x14ac:dyDescent="0.35">
      <c r="A2456" t="s">
        <v>3387</v>
      </c>
      <c r="B2456" s="2">
        <v>45835</v>
      </c>
      <c r="C2456" t="s">
        <v>24</v>
      </c>
      <c r="D2456" t="s">
        <v>47</v>
      </c>
      <c r="E2456" t="s">
        <v>30</v>
      </c>
      <c r="F2456" t="s">
        <v>31</v>
      </c>
      <c r="G2456">
        <v>5</v>
      </c>
      <c r="H2456">
        <v>2.8</v>
      </c>
      <c r="I2456" t="s">
        <v>14</v>
      </c>
      <c r="J2456" t="s">
        <v>1928</v>
      </c>
      <c r="K2456" s="12">
        <f>Store_Record[[#This Row],[Qty]]*Store_Record[[#This Row],[UnitPriceGBP]]</f>
        <v>14</v>
      </c>
      <c r="L2456" s="5" t="str">
        <f>TEXT(Store_Record[[#This Row],[Date]],"dddd")</f>
        <v>Friday</v>
      </c>
      <c r="M2456" s="5" t="str">
        <f>TEXT(Store_Record[[#This Row],[Date]],"mmmm")</f>
        <v>June</v>
      </c>
      <c r="N2456" s="5">
        <f>YEAR(Store_Record[[#This Row],[Date]])</f>
        <v>2025</v>
      </c>
      <c r="O2456"/>
    </row>
    <row r="2457" spans="1:15" x14ac:dyDescent="0.35">
      <c r="A2457" t="s">
        <v>3381</v>
      </c>
      <c r="B2457" s="2">
        <v>45835</v>
      </c>
      <c r="C2457" t="s">
        <v>36</v>
      </c>
      <c r="D2457" t="s">
        <v>11</v>
      </c>
      <c r="E2457" t="s">
        <v>26</v>
      </c>
      <c r="F2457" t="s">
        <v>13</v>
      </c>
      <c r="G2457">
        <v>3</v>
      </c>
      <c r="H2457">
        <v>3.5</v>
      </c>
      <c r="I2457" t="s">
        <v>39</v>
      </c>
      <c r="J2457" t="s">
        <v>2003</v>
      </c>
      <c r="K2457" s="12">
        <f>Store_Record[[#This Row],[Qty]]*Store_Record[[#This Row],[UnitPriceGBP]]</f>
        <v>10.5</v>
      </c>
      <c r="L2457" s="5" t="str">
        <f>TEXT(Store_Record[[#This Row],[Date]],"dddd")</f>
        <v>Friday</v>
      </c>
      <c r="M2457" s="5" t="str">
        <f>TEXT(Store_Record[[#This Row],[Date]],"mmmm")</f>
        <v>June</v>
      </c>
      <c r="N2457" s="5">
        <f>YEAR(Store_Record[[#This Row],[Date]])</f>
        <v>2025</v>
      </c>
      <c r="O2457"/>
    </row>
    <row r="2458" spans="1:15" x14ac:dyDescent="0.35">
      <c r="A2458" t="s">
        <v>3380</v>
      </c>
      <c r="B2458" s="2">
        <v>45835</v>
      </c>
      <c r="C2458" t="s">
        <v>24</v>
      </c>
      <c r="D2458" t="s">
        <v>38</v>
      </c>
      <c r="E2458" t="s">
        <v>12</v>
      </c>
      <c r="F2458" t="s">
        <v>13</v>
      </c>
      <c r="G2458">
        <v>3</v>
      </c>
      <c r="H2458">
        <v>2.5</v>
      </c>
      <c r="I2458" t="s">
        <v>14</v>
      </c>
      <c r="J2458" t="s">
        <v>386</v>
      </c>
      <c r="K2458" s="12">
        <f>Store_Record[[#This Row],[Qty]]*Store_Record[[#This Row],[UnitPriceGBP]]</f>
        <v>7.5</v>
      </c>
      <c r="L2458" s="5" t="str">
        <f>TEXT(Store_Record[[#This Row],[Date]],"dddd")</f>
        <v>Friday</v>
      </c>
      <c r="M2458" s="5" t="str">
        <f>TEXT(Store_Record[[#This Row],[Date]],"mmmm")</f>
        <v>June</v>
      </c>
      <c r="N2458" s="5">
        <f>YEAR(Store_Record[[#This Row],[Date]])</f>
        <v>2025</v>
      </c>
      <c r="O2458"/>
    </row>
    <row r="2459" spans="1:15" x14ac:dyDescent="0.35">
      <c r="A2459" t="s">
        <v>3384</v>
      </c>
      <c r="B2459" s="2">
        <v>45835</v>
      </c>
      <c r="C2459" t="s">
        <v>36</v>
      </c>
      <c r="D2459" t="s">
        <v>29</v>
      </c>
      <c r="E2459" t="s">
        <v>26</v>
      </c>
      <c r="F2459" t="s">
        <v>13</v>
      </c>
      <c r="G2459">
        <v>2</v>
      </c>
      <c r="H2459">
        <v>3.5</v>
      </c>
      <c r="I2459" t="s">
        <v>21</v>
      </c>
      <c r="J2459" t="s">
        <v>748</v>
      </c>
      <c r="K2459" s="12">
        <f>Store_Record[[#This Row],[Qty]]*Store_Record[[#This Row],[UnitPriceGBP]]</f>
        <v>7</v>
      </c>
      <c r="L2459" s="5" t="str">
        <f>TEXT(Store_Record[[#This Row],[Date]],"dddd")</f>
        <v>Friday</v>
      </c>
      <c r="M2459" s="5" t="str">
        <f>TEXT(Store_Record[[#This Row],[Date]],"mmmm")</f>
        <v>June</v>
      </c>
      <c r="N2459" s="5">
        <f>YEAR(Store_Record[[#This Row],[Date]])</f>
        <v>2025</v>
      </c>
      <c r="O2459"/>
    </row>
    <row r="2460" spans="1:15" x14ac:dyDescent="0.35">
      <c r="A2460" t="s">
        <v>3389</v>
      </c>
      <c r="B2460" s="2">
        <v>45835</v>
      </c>
      <c r="C2460" t="s">
        <v>10</v>
      </c>
      <c r="D2460" t="s">
        <v>25</v>
      </c>
      <c r="E2460" t="s">
        <v>26</v>
      </c>
      <c r="F2460" t="s">
        <v>13</v>
      </c>
      <c r="G2460">
        <v>2</v>
      </c>
      <c r="H2460">
        <v>3.5</v>
      </c>
      <c r="I2460" t="s">
        <v>14</v>
      </c>
      <c r="J2460" t="s">
        <v>2695</v>
      </c>
      <c r="K2460" s="12">
        <f>Store_Record[[#This Row],[Qty]]*Store_Record[[#This Row],[UnitPriceGBP]]</f>
        <v>7</v>
      </c>
      <c r="L2460" s="5" t="str">
        <f>TEXT(Store_Record[[#This Row],[Date]],"dddd")</f>
        <v>Friday</v>
      </c>
      <c r="M2460" s="5" t="str">
        <f>TEXT(Store_Record[[#This Row],[Date]],"mmmm")</f>
        <v>June</v>
      </c>
      <c r="N2460" s="5">
        <f>YEAR(Store_Record[[#This Row],[Date]])</f>
        <v>2025</v>
      </c>
      <c r="O2460"/>
    </row>
    <row r="2461" spans="1:15" x14ac:dyDescent="0.35">
      <c r="A2461" t="s">
        <v>3382</v>
      </c>
      <c r="B2461" s="2">
        <v>45835</v>
      </c>
      <c r="C2461" t="s">
        <v>10</v>
      </c>
      <c r="D2461" t="s">
        <v>11</v>
      </c>
      <c r="E2461" t="s">
        <v>26</v>
      </c>
      <c r="F2461" t="s">
        <v>13</v>
      </c>
      <c r="G2461">
        <v>1</v>
      </c>
      <c r="H2461">
        <v>3.5</v>
      </c>
      <c r="I2461" t="s">
        <v>21</v>
      </c>
      <c r="J2461" t="s">
        <v>3383</v>
      </c>
      <c r="K2461" s="12">
        <f>Store_Record[[#This Row],[Qty]]*Store_Record[[#This Row],[UnitPriceGBP]]</f>
        <v>3.5</v>
      </c>
      <c r="L2461" s="5" t="str">
        <f>TEXT(Store_Record[[#This Row],[Date]],"dddd")</f>
        <v>Friday</v>
      </c>
      <c r="M2461" s="5" t="str">
        <f>TEXT(Store_Record[[#This Row],[Date]],"mmmm")</f>
        <v>June</v>
      </c>
      <c r="N2461" s="5">
        <f>YEAR(Store_Record[[#This Row],[Date]])</f>
        <v>2025</v>
      </c>
      <c r="O2461"/>
    </row>
    <row r="2462" spans="1:15" x14ac:dyDescent="0.35">
      <c r="A2462" t="s">
        <v>3385</v>
      </c>
      <c r="B2462" s="2">
        <v>45835</v>
      </c>
      <c r="C2462" t="s">
        <v>36</v>
      </c>
      <c r="D2462" t="s">
        <v>47</v>
      </c>
      <c r="E2462" t="s">
        <v>12</v>
      </c>
      <c r="F2462" t="s">
        <v>13</v>
      </c>
      <c r="G2462">
        <v>1</v>
      </c>
      <c r="H2462">
        <v>2.5</v>
      </c>
      <c r="I2462" t="s">
        <v>39</v>
      </c>
      <c r="J2462" t="s">
        <v>510</v>
      </c>
      <c r="K2462" s="12">
        <f>Store_Record[[#This Row],[Qty]]*Store_Record[[#This Row],[UnitPriceGBP]]</f>
        <v>2.5</v>
      </c>
      <c r="L2462" s="5" t="str">
        <f>TEXT(Store_Record[[#This Row],[Date]],"dddd")</f>
        <v>Friday</v>
      </c>
      <c r="M2462" s="5" t="str">
        <f>TEXT(Store_Record[[#This Row],[Date]],"mmmm")</f>
        <v>June</v>
      </c>
      <c r="N2462" s="5">
        <f>YEAR(Store_Record[[#This Row],[Date]])</f>
        <v>2025</v>
      </c>
      <c r="O2462"/>
    </row>
    <row r="2463" spans="1:15" x14ac:dyDescent="0.35">
      <c r="A2463" t="s">
        <v>3388</v>
      </c>
      <c r="B2463" s="2">
        <v>45835</v>
      </c>
      <c r="C2463" t="s">
        <v>24</v>
      </c>
      <c r="D2463" t="s">
        <v>25</v>
      </c>
      <c r="E2463" t="s">
        <v>12</v>
      </c>
      <c r="F2463" t="s">
        <v>13</v>
      </c>
      <c r="G2463">
        <v>1</v>
      </c>
      <c r="H2463">
        <v>2.5</v>
      </c>
      <c r="I2463" t="s">
        <v>21</v>
      </c>
      <c r="J2463" t="s">
        <v>1556</v>
      </c>
      <c r="K2463" s="12">
        <f>Store_Record[[#This Row],[Qty]]*Store_Record[[#This Row],[UnitPriceGBP]]</f>
        <v>2.5</v>
      </c>
      <c r="L2463" s="5" t="str">
        <f>TEXT(Store_Record[[#This Row],[Date]],"dddd")</f>
        <v>Friday</v>
      </c>
      <c r="M2463" s="5" t="str">
        <f>TEXT(Store_Record[[#This Row],[Date]],"mmmm")</f>
        <v>June</v>
      </c>
      <c r="N2463" s="5">
        <f>YEAR(Store_Record[[#This Row],[Date]])</f>
        <v>2025</v>
      </c>
      <c r="O2463"/>
    </row>
    <row r="2464" spans="1:15" x14ac:dyDescent="0.35">
      <c r="A2464" t="s">
        <v>3390</v>
      </c>
      <c r="B2464" s="2">
        <v>45835</v>
      </c>
      <c r="C2464" t="s">
        <v>36</v>
      </c>
      <c r="D2464" t="s">
        <v>29</v>
      </c>
      <c r="E2464" t="s">
        <v>12</v>
      </c>
      <c r="F2464" t="s">
        <v>13</v>
      </c>
      <c r="G2464">
        <v>1</v>
      </c>
      <c r="H2464">
        <v>2.5</v>
      </c>
      <c r="I2464" t="s">
        <v>21</v>
      </c>
      <c r="J2464" t="s">
        <v>938</v>
      </c>
      <c r="K2464" s="12">
        <f>Store_Record[[#This Row],[Qty]]*Store_Record[[#This Row],[UnitPriceGBP]]</f>
        <v>2.5</v>
      </c>
      <c r="L2464" s="5" t="str">
        <f>TEXT(Store_Record[[#This Row],[Date]],"dddd")</f>
        <v>Friday</v>
      </c>
      <c r="M2464" s="5" t="str">
        <f>TEXT(Store_Record[[#This Row],[Date]],"mmmm")</f>
        <v>June</v>
      </c>
      <c r="N2464" s="5">
        <f>YEAR(Store_Record[[#This Row],[Date]])</f>
        <v>2025</v>
      </c>
      <c r="O2464"/>
    </row>
    <row r="2465" spans="1:15" x14ac:dyDescent="0.35">
      <c r="A2465" t="s">
        <v>3392</v>
      </c>
      <c r="B2465" s="2">
        <v>45836</v>
      </c>
      <c r="C2465" t="s">
        <v>20</v>
      </c>
      <c r="D2465" t="s">
        <v>11</v>
      </c>
      <c r="E2465" t="s">
        <v>42</v>
      </c>
      <c r="F2465" t="s">
        <v>13</v>
      </c>
      <c r="G2465">
        <v>4</v>
      </c>
      <c r="H2465">
        <v>3.8</v>
      </c>
      <c r="I2465" t="s">
        <v>39</v>
      </c>
      <c r="J2465" t="s">
        <v>1471</v>
      </c>
      <c r="K2465" s="12">
        <f>Store_Record[[#This Row],[Qty]]*Store_Record[[#This Row],[UnitPriceGBP]]</f>
        <v>15.2</v>
      </c>
      <c r="L2465" s="5" t="str">
        <f>TEXT(Store_Record[[#This Row],[Date]],"dddd")</f>
        <v>Saturday</v>
      </c>
      <c r="M2465" s="5" t="str">
        <f>TEXT(Store_Record[[#This Row],[Date]],"mmmm")</f>
        <v>June</v>
      </c>
      <c r="N2465" s="5">
        <f>YEAR(Store_Record[[#This Row],[Date]])</f>
        <v>2025</v>
      </c>
      <c r="O2465"/>
    </row>
    <row r="2466" spans="1:15" x14ac:dyDescent="0.35">
      <c r="A2466" t="s">
        <v>3396</v>
      </c>
      <c r="B2466" s="2">
        <v>45836</v>
      </c>
      <c r="C2466" t="s">
        <v>10</v>
      </c>
      <c r="D2466" t="s">
        <v>47</v>
      </c>
      <c r="E2466" t="s">
        <v>30</v>
      </c>
      <c r="F2466" t="s">
        <v>31</v>
      </c>
      <c r="G2466">
        <v>5</v>
      </c>
      <c r="H2466">
        <v>2.8</v>
      </c>
      <c r="I2466" t="s">
        <v>39</v>
      </c>
      <c r="J2466" t="s">
        <v>1175</v>
      </c>
      <c r="K2466" s="12">
        <f>Store_Record[[#This Row],[Qty]]*Store_Record[[#This Row],[UnitPriceGBP]]</f>
        <v>14</v>
      </c>
      <c r="L2466" s="5" t="str">
        <f>TEXT(Store_Record[[#This Row],[Date]],"dddd")</f>
        <v>Saturday</v>
      </c>
      <c r="M2466" s="5" t="str">
        <f>TEXT(Store_Record[[#This Row],[Date]],"mmmm")</f>
        <v>June</v>
      </c>
      <c r="N2466" s="5">
        <f>YEAR(Store_Record[[#This Row],[Date]])</f>
        <v>2025</v>
      </c>
      <c r="O2466"/>
    </row>
    <row r="2467" spans="1:15" x14ac:dyDescent="0.35">
      <c r="A2467" t="s">
        <v>3395</v>
      </c>
      <c r="B2467" s="2">
        <v>45836</v>
      </c>
      <c r="C2467" t="s">
        <v>10</v>
      </c>
      <c r="D2467" t="s">
        <v>11</v>
      </c>
      <c r="E2467" t="s">
        <v>30</v>
      </c>
      <c r="F2467" t="s">
        <v>31</v>
      </c>
      <c r="G2467">
        <v>4</v>
      </c>
      <c r="H2467">
        <v>2.8</v>
      </c>
      <c r="I2467" t="s">
        <v>39</v>
      </c>
      <c r="J2467" t="s">
        <v>206</v>
      </c>
      <c r="K2467" s="12">
        <f>Store_Record[[#This Row],[Qty]]*Store_Record[[#This Row],[UnitPriceGBP]]</f>
        <v>11.2</v>
      </c>
      <c r="L2467" s="5" t="str">
        <f>TEXT(Store_Record[[#This Row],[Date]],"dddd")</f>
        <v>Saturday</v>
      </c>
      <c r="M2467" s="5" t="str">
        <f>TEXT(Store_Record[[#This Row],[Date]],"mmmm")</f>
        <v>June</v>
      </c>
      <c r="N2467" s="5">
        <f>YEAR(Store_Record[[#This Row],[Date]])</f>
        <v>2025</v>
      </c>
      <c r="O2467"/>
    </row>
    <row r="2468" spans="1:15" x14ac:dyDescent="0.35">
      <c r="A2468" t="s">
        <v>3394</v>
      </c>
      <c r="B2468" s="2">
        <v>45836</v>
      </c>
      <c r="C2468" t="s">
        <v>24</v>
      </c>
      <c r="D2468" t="s">
        <v>38</v>
      </c>
      <c r="E2468" t="s">
        <v>34</v>
      </c>
      <c r="F2468" t="s">
        <v>31</v>
      </c>
      <c r="G2468">
        <v>5</v>
      </c>
      <c r="H2468">
        <v>2.2000000000000002</v>
      </c>
      <c r="I2468" t="s">
        <v>14</v>
      </c>
      <c r="J2468" t="s">
        <v>2324</v>
      </c>
      <c r="K2468" s="12">
        <f>Store_Record[[#This Row],[Qty]]*Store_Record[[#This Row],[UnitPriceGBP]]</f>
        <v>11</v>
      </c>
      <c r="L2468" s="5" t="str">
        <f>TEXT(Store_Record[[#This Row],[Date]],"dddd")</f>
        <v>Saturday</v>
      </c>
      <c r="M2468" s="5" t="str">
        <f>TEXT(Store_Record[[#This Row],[Date]],"mmmm")</f>
        <v>June</v>
      </c>
      <c r="N2468" s="5">
        <f>YEAR(Store_Record[[#This Row],[Date]])</f>
        <v>2025</v>
      </c>
      <c r="O2468"/>
    </row>
    <row r="2469" spans="1:15" x14ac:dyDescent="0.35">
      <c r="A2469" t="s">
        <v>3393</v>
      </c>
      <c r="B2469" s="2">
        <v>45836</v>
      </c>
      <c r="C2469" t="s">
        <v>20</v>
      </c>
      <c r="D2469" t="s">
        <v>25</v>
      </c>
      <c r="E2469" t="s">
        <v>12</v>
      </c>
      <c r="F2469" t="s">
        <v>13</v>
      </c>
      <c r="G2469">
        <v>2</v>
      </c>
      <c r="H2469">
        <v>2.5</v>
      </c>
      <c r="I2469" t="s">
        <v>39</v>
      </c>
      <c r="J2469" t="s">
        <v>1692</v>
      </c>
      <c r="K2469" s="12">
        <f>Store_Record[[#This Row],[Qty]]*Store_Record[[#This Row],[UnitPriceGBP]]</f>
        <v>5</v>
      </c>
      <c r="L2469" s="5" t="str">
        <f>TEXT(Store_Record[[#This Row],[Date]],"dddd")</f>
        <v>Saturday</v>
      </c>
      <c r="M2469" s="5" t="str">
        <f>TEXT(Store_Record[[#This Row],[Date]],"mmmm")</f>
        <v>June</v>
      </c>
      <c r="N2469" s="5">
        <f>YEAR(Store_Record[[#This Row],[Date]])</f>
        <v>2025</v>
      </c>
      <c r="O2469"/>
    </row>
    <row r="2470" spans="1:15" x14ac:dyDescent="0.35">
      <c r="A2470" t="s">
        <v>3408</v>
      </c>
      <c r="B2470" s="2">
        <v>45837</v>
      </c>
      <c r="C2470" t="s">
        <v>36</v>
      </c>
      <c r="D2470" t="s">
        <v>25</v>
      </c>
      <c r="E2470" t="s">
        <v>30</v>
      </c>
      <c r="F2470" t="s">
        <v>31</v>
      </c>
      <c r="G2470">
        <v>5</v>
      </c>
      <c r="H2470">
        <v>2.8</v>
      </c>
      <c r="I2470" t="s">
        <v>39</v>
      </c>
      <c r="J2470" t="s">
        <v>2337</v>
      </c>
      <c r="K2470" s="12">
        <f>Store_Record[[#This Row],[Qty]]*Store_Record[[#This Row],[UnitPriceGBP]]</f>
        <v>14</v>
      </c>
      <c r="L2470" s="5" t="str">
        <f>TEXT(Store_Record[[#This Row],[Date]],"dddd")</f>
        <v>Sunday</v>
      </c>
      <c r="M2470" s="5" t="str">
        <f>TEXT(Store_Record[[#This Row],[Date]],"mmmm")</f>
        <v>June</v>
      </c>
      <c r="N2470" s="5">
        <f>YEAR(Store_Record[[#This Row],[Date]])</f>
        <v>2025</v>
      </c>
      <c r="O2470"/>
    </row>
    <row r="2471" spans="1:15" x14ac:dyDescent="0.35">
      <c r="A2471" t="s">
        <v>3402</v>
      </c>
      <c r="B2471" s="2">
        <v>45837</v>
      </c>
      <c r="C2471" t="s">
        <v>24</v>
      </c>
      <c r="D2471" t="s">
        <v>29</v>
      </c>
      <c r="E2471" t="s">
        <v>12</v>
      </c>
      <c r="F2471" t="s">
        <v>13</v>
      </c>
      <c r="G2471">
        <v>5</v>
      </c>
      <c r="H2471">
        <v>2.5</v>
      </c>
      <c r="I2471" t="s">
        <v>14</v>
      </c>
      <c r="J2471" t="s">
        <v>1225</v>
      </c>
      <c r="K2471" s="12">
        <f>Store_Record[[#This Row],[Qty]]*Store_Record[[#This Row],[UnitPriceGBP]]</f>
        <v>12.5</v>
      </c>
      <c r="L2471" s="5" t="str">
        <f>TEXT(Store_Record[[#This Row],[Date]],"dddd")</f>
        <v>Sunday</v>
      </c>
      <c r="M2471" s="5" t="str">
        <f>TEXT(Store_Record[[#This Row],[Date]],"mmmm")</f>
        <v>June</v>
      </c>
      <c r="N2471" s="5">
        <f>YEAR(Store_Record[[#This Row],[Date]])</f>
        <v>2025</v>
      </c>
      <c r="O2471"/>
    </row>
    <row r="2472" spans="1:15" x14ac:dyDescent="0.35">
      <c r="A2472" t="s">
        <v>3397</v>
      </c>
      <c r="B2472" s="2">
        <v>45837</v>
      </c>
      <c r="C2472" t="s">
        <v>20</v>
      </c>
      <c r="D2472" t="s">
        <v>29</v>
      </c>
      <c r="E2472" t="s">
        <v>42</v>
      </c>
      <c r="F2472" t="s">
        <v>13</v>
      </c>
      <c r="G2472">
        <v>3</v>
      </c>
      <c r="H2472">
        <v>3.8</v>
      </c>
      <c r="I2472" t="s">
        <v>39</v>
      </c>
      <c r="J2472" t="s">
        <v>3398</v>
      </c>
      <c r="K2472" s="12">
        <f>Store_Record[[#This Row],[Qty]]*Store_Record[[#This Row],[UnitPriceGBP]]</f>
        <v>11.399999999999999</v>
      </c>
      <c r="L2472" s="5" t="str">
        <f>TEXT(Store_Record[[#This Row],[Date]],"dddd")</f>
        <v>Sunday</v>
      </c>
      <c r="M2472" s="5" t="str">
        <f>TEXT(Store_Record[[#This Row],[Date]],"mmmm")</f>
        <v>June</v>
      </c>
      <c r="N2472" s="5">
        <f>YEAR(Store_Record[[#This Row],[Date]])</f>
        <v>2025</v>
      </c>
      <c r="O2472"/>
    </row>
    <row r="2473" spans="1:15" x14ac:dyDescent="0.35">
      <c r="A2473" t="s">
        <v>3403</v>
      </c>
      <c r="B2473" s="2">
        <v>45837</v>
      </c>
      <c r="C2473" t="s">
        <v>10</v>
      </c>
      <c r="D2473" t="s">
        <v>29</v>
      </c>
      <c r="E2473" t="s">
        <v>42</v>
      </c>
      <c r="F2473" t="s">
        <v>13</v>
      </c>
      <c r="G2473">
        <v>3</v>
      </c>
      <c r="H2473">
        <v>3.8</v>
      </c>
      <c r="I2473" t="s">
        <v>21</v>
      </c>
      <c r="J2473" t="s">
        <v>1025</v>
      </c>
      <c r="K2473" s="12">
        <f>Store_Record[[#This Row],[Qty]]*Store_Record[[#This Row],[UnitPriceGBP]]</f>
        <v>11.399999999999999</v>
      </c>
      <c r="L2473" s="5" t="str">
        <f>TEXT(Store_Record[[#This Row],[Date]],"dddd")</f>
        <v>Sunday</v>
      </c>
      <c r="M2473" s="5" t="str">
        <f>TEXT(Store_Record[[#This Row],[Date]],"mmmm")</f>
        <v>June</v>
      </c>
      <c r="N2473" s="5">
        <f>YEAR(Store_Record[[#This Row],[Date]])</f>
        <v>2025</v>
      </c>
      <c r="O2473"/>
    </row>
    <row r="2474" spans="1:15" x14ac:dyDescent="0.35">
      <c r="A2474" t="s">
        <v>3399</v>
      </c>
      <c r="B2474" s="2">
        <v>45837</v>
      </c>
      <c r="C2474" t="s">
        <v>24</v>
      </c>
      <c r="D2474" t="s">
        <v>29</v>
      </c>
      <c r="E2474" t="s">
        <v>26</v>
      </c>
      <c r="F2474" t="s">
        <v>13</v>
      </c>
      <c r="G2474">
        <v>3</v>
      </c>
      <c r="H2474">
        <v>3.5</v>
      </c>
      <c r="I2474" t="s">
        <v>39</v>
      </c>
      <c r="J2474" t="s">
        <v>3210</v>
      </c>
      <c r="K2474" s="12">
        <f>Store_Record[[#This Row],[Qty]]*Store_Record[[#This Row],[UnitPriceGBP]]</f>
        <v>10.5</v>
      </c>
      <c r="L2474" s="5" t="str">
        <f>TEXT(Store_Record[[#This Row],[Date]],"dddd")</f>
        <v>Sunday</v>
      </c>
      <c r="M2474" s="5" t="str">
        <f>TEXT(Store_Record[[#This Row],[Date]],"mmmm")</f>
        <v>June</v>
      </c>
      <c r="N2474" s="5">
        <f>YEAR(Store_Record[[#This Row],[Date]])</f>
        <v>2025</v>
      </c>
      <c r="O2474"/>
    </row>
    <row r="2475" spans="1:15" x14ac:dyDescent="0.35">
      <c r="A2475" t="s">
        <v>3405</v>
      </c>
      <c r="B2475" s="2">
        <v>45837</v>
      </c>
      <c r="C2475" t="s">
        <v>10</v>
      </c>
      <c r="D2475" t="s">
        <v>47</v>
      </c>
      <c r="E2475" t="s">
        <v>34</v>
      </c>
      <c r="F2475" t="s">
        <v>31</v>
      </c>
      <c r="G2475">
        <v>4</v>
      </c>
      <c r="H2475">
        <v>2.2000000000000002</v>
      </c>
      <c r="I2475" t="s">
        <v>39</v>
      </c>
      <c r="J2475" t="s">
        <v>1471</v>
      </c>
      <c r="K2475" s="12">
        <f>Store_Record[[#This Row],[Qty]]*Store_Record[[#This Row],[UnitPriceGBP]]</f>
        <v>8.8000000000000007</v>
      </c>
      <c r="L2475" s="5" t="str">
        <f>TEXT(Store_Record[[#This Row],[Date]],"dddd")</f>
        <v>Sunday</v>
      </c>
      <c r="M2475" s="5" t="str">
        <f>TEXT(Store_Record[[#This Row],[Date]],"mmmm")</f>
        <v>June</v>
      </c>
      <c r="N2475" s="5">
        <f>YEAR(Store_Record[[#This Row],[Date]])</f>
        <v>2025</v>
      </c>
      <c r="O2475"/>
    </row>
    <row r="2476" spans="1:15" x14ac:dyDescent="0.35">
      <c r="A2476" t="s">
        <v>3404</v>
      </c>
      <c r="B2476" s="2">
        <v>45837</v>
      </c>
      <c r="C2476" t="s">
        <v>10</v>
      </c>
      <c r="D2476" t="s">
        <v>38</v>
      </c>
      <c r="E2476" t="s">
        <v>42</v>
      </c>
      <c r="F2476" t="s">
        <v>13</v>
      </c>
      <c r="G2476">
        <v>2</v>
      </c>
      <c r="H2476">
        <v>3.8</v>
      </c>
      <c r="I2476" t="s">
        <v>14</v>
      </c>
      <c r="J2476" t="s">
        <v>1292</v>
      </c>
      <c r="K2476" s="12">
        <f>Store_Record[[#This Row],[Qty]]*Store_Record[[#This Row],[UnitPriceGBP]]</f>
        <v>7.6</v>
      </c>
      <c r="L2476" s="5" t="str">
        <f>TEXT(Store_Record[[#This Row],[Date]],"dddd")</f>
        <v>Sunday</v>
      </c>
      <c r="M2476" s="5" t="str">
        <f>TEXT(Store_Record[[#This Row],[Date]],"mmmm")</f>
        <v>June</v>
      </c>
      <c r="N2476" s="5">
        <f>YEAR(Store_Record[[#This Row],[Date]])</f>
        <v>2025</v>
      </c>
      <c r="O2476"/>
    </row>
    <row r="2477" spans="1:15" x14ac:dyDescent="0.35">
      <c r="A2477" t="s">
        <v>3400</v>
      </c>
      <c r="B2477" s="2">
        <v>45837</v>
      </c>
      <c r="C2477" t="s">
        <v>36</v>
      </c>
      <c r="D2477" t="s">
        <v>47</v>
      </c>
      <c r="E2477" t="s">
        <v>26</v>
      </c>
      <c r="F2477" t="s">
        <v>13</v>
      </c>
      <c r="G2477">
        <v>2</v>
      </c>
      <c r="H2477">
        <v>3.5</v>
      </c>
      <c r="I2477" t="s">
        <v>14</v>
      </c>
      <c r="J2477" t="s">
        <v>3168</v>
      </c>
      <c r="K2477" s="12">
        <f>Store_Record[[#This Row],[Qty]]*Store_Record[[#This Row],[UnitPriceGBP]]</f>
        <v>7</v>
      </c>
      <c r="L2477" s="5" t="str">
        <f>TEXT(Store_Record[[#This Row],[Date]],"dddd")</f>
        <v>Sunday</v>
      </c>
      <c r="M2477" s="5" t="str">
        <f>TEXT(Store_Record[[#This Row],[Date]],"mmmm")</f>
        <v>June</v>
      </c>
      <c r="N2477" s="5">
        <f>YEAR(Store_Record[[#This Row],[Date]])</f>
        <v>2025</v>
      </c>
      <c r="O2477"/>
    </row>
    <row r="2478" spans="1:15" x14ac:dyDescent="0.35">
      <c r="A2478" t="s">
        <v>3409</v>
      </c>
      <c r="B2478" s="2">
        <v>45837</v>
      </c>
      <c r="C2478" t="s">
        <v>10</v>
      </c>
      <c r="D2478" t="s">
        <v>11</v>
      </c>
      <c r="E2478" t="s">
        <v>26</v>
      </c>
      <c r="F2478" t="s">
        <v>13</v>
      </c>
      <c r="G2478">
        <v>2</v>
      </c>
      <c r="H2478">
        <v>3.5</v>
      </c>
      <c r="I2478" t="s">
        <v>14</v>
      </c>
      <c r="J2478" t="s">
        <v>534</v>
      </c>
      <c r="K2478" s="12">
        <f>Store_Record[[#This Row],[Qty]]*Store_Record[[#This Row],[UnitPriceGBP]]</f>
        <v>7</v>
      </c>
      <c r="L2478" s="5" t="str">
        <f>TEXT(Store_Record[[#This Row],[Date]],"dddd")</f>
        <v>Sunday</v>
      </c>
      <c r="M2478" s="5" t="str">
        <f>TEXT(Store_Record[[#This Row],[Date]],"mmmm")</f>
        <v>June</v>
      </c>
      <c r="N2478" s="5">
        <f>YEAR(Store_Record[[#This Row],[Date]])</f>
        <v>2025</v>
      </c>
      <c r="O2478"/>
    </row>
    <row r="2479" spans="1:15" x14ac:dyDescent="0.35">
      <c r="A2479" t="s">
        <v>3406</v>
      </c>
      <c r="B2479" s="2">
        <v>45837</v>
      </c>
      <c r="C2479" t="s">
        <v>36</v>
      </c>
      <c r="D2479" t="s">
        <v>11</v>
      </c>
      <c r="E2479" t="s">
        <v>34</v>
      </c>
      <c r="F2479" t="s">
        <v>31</v>
      </c>
      <c r="G2479">
        <v>3</v>
      </c>
      <c r="H2479">
        <v>2.2000000000000002</v>
      </c>
      <c r="I2479" t="s">
        <v>21</v>
      </c>
      <c r="J2479" t="s">
        <v>376</v>
      </c>
      <c r="K2479" s="12">
        <f>Store_Record[[#This Row],[Qty]]*Store_Record[[#This Row],[UnitPriceGBP]]</f>
        <v>6.6000000000000005</v>
      </c>
      <c r="L2479" s="5" t="str">
        <f>TEXT(Store_Record[[#This Row],[Date]],"dddd")</f>
        <v>Sunday</v>
      </c>
      <c r="M2479" s="5" t="str">
        <f>TEXT(Store_Record[[#This Row],[Date]],"mmmm")</f>
        <v>June</v>
      </c>
      <c r="N2479" s="5">
        <f>YEAR(Store_Record[[#This Row],[Date]])</f>
        <v>2025</v>
      </c>
      <c r="O2479"/>
    </row>
    <row r="2480" spans="1:15" x14ac:dyDescent="0.35">
      <c r="A2480" t="s">
        <v>3407</v>
      </c>
      <c r="B2480" s="2">
        <v>45837</v>
      </c>
      <c r="C2480" t="s">
        <v>24</v>
      </c>
      <c r="D2480" t="s">
        <v>152</v>
      </c>
      <c r="E2480" t="s">
        <v>34</v>
      </c>
      <c r="F2480" t="s">
        <v>31</v>
      </c>
      <c r="G2480">
        <v>2</v>
      </c>
      <c r="H2480">
        <v>2.2000000000000002</v>
      </c>
      <c r="I2480" t="s">
        <v>21</v>
      </c>
      <c r="J2480" t="s">
        <v>292</v>
      </c>
      <c r="K2480" s="12">
        <f>Store_Record[[#This Row],[Qty]]*Store_Record[[#This Row],[UnitPriceGBP]]</f>
        <v>4.4000000000000004</v>
      </c>
      <c r="L2480" s="5" t="str">
        <f>TEXT(Store_Record[[#This Row],[Date]],"dddd")</f>
        <v>Sunday</v>
      </c>
      <c r="M2480" s="5" t="str">
        <f>TEXT(Store_Record[[#This Row],[Date]],"mmmm")</f>
        <v>June</v>
      </c>
      <c r="N2480" s="5">
        <f>YEAR(Store_Record[[#This Row],[Date]])</f>
        <v>2025</v>
      </c>
      <c r="O2480"/>
    </row>
    <row r="2481" spans="1:15" x14ac:dyDescent="0.35">
      <c r="A2481" t="s">
        <v>3401</v>
      </c>
      <c r="B2481" s="2">
        <v>45837</v>
      </c>
      <c r="C2481" t="s">
        <v>36</v>
      </c>
      <c r="D2481" t="s">
        <v>11</v>
      </c>
      <c r="E2481" t="s">
        <v>26</v>
      </c>
      <c r="F2481" t="s">
        <v>13</v>
      </c>
      <c r="G2481">
        <v>1</v>
      </c>
      <c r="H2481">
        <v>3.5</v>
      </c>
      <c r="I2481" t="s">
        <v>21</v>
      </c>
      <c r="J2481" t="s">
        <v>1864</v>
      </c>
      <c r="K2481" s="12">
        <f>Store_Record[[#This Row],[Qty]]*Store_Record[[#This Row],[UnitPriceGBP]]</f>
        <v>3.5</v>
      </c>
      <c r="L2481" s="5" t="str">
        <f>TEXT(Store_Record[[#This Row],[Date]],"dddd")</f>
        <v>Sunday</v>
      </c>
      <c r="M2481" s="5" t="str">
        <f>TEXT(Store_Record[[#This Row],[Date]],"mmmm")</f>
        <v>June</v>
      </c>
      <c r="N2481" s="5">
        <f>YEAR(Store_Record[[#This Row],[Date]])</f>
        <v>2025</v>
      </c>
      <c r="O2481"/>
    </row>
    <row r="2482" spans="1:15" x14ac:dyDescent="0.35">
      <c r="A2482" t="s">
        <v>3418</v>
      </c>
      <c r="B2482" s="2">
        <v>45838</v>
      </c>
      <c r="C2482" t="s">
        <v>36</v>
      </c>
      <c r="D2482" t="s">
        <v>25</v>
      </c>
      <c r="E2482" t="s">
        <v>26</v>
      </c>
      <c r="F2482" t="s">
        <v>13</v>
      </c>
      <c r="G2482">
        <v>5</v>
      </c>
      <c r="H2482">
        <v>3.5</v>
      </c>
      <c r="I2482" t="s">
        <v>21</v>
      </c>
      <c r="J2482" t="s">
        <v>1428</v>
      </c>
      <c r="K2482" s="12">
        <f>Store_Record[[#This Row],[Qty]]*Store_Record[[#This Row],[UnitPriceGBP]]</f>
        <v>17.5</v>
      </c>
      <c r="L2482" s="5" t="str">
        <f>TEXT(Store_Record[[#This Row],[Date]],"dddd")</f>
        <v>Monday</v>
      </c>
      <c r="M2482" s="5" t="str">
        <f>TEXT(Store_Record[[#This Row],[Date]],"mmmm")</f>
        <v>June</v>
      </c>
      <c r="N2482" s="5">
        <f>YEAR(Store_Record[[#This Row],[Date]])</f>
        <v>2025</v>
      </c>
      <c r="O2482"/>
    </row>
    <row r="2483" spans="1:15" x14ac:dyDescent="0.35">
      <c r="A2483" t="s">
        <v>3415</v>
      </c>
      <c r="B2483" s="2">
        <v>45838</v>
      </c>
      <c r="C2483" t="s">
        <v>10</v>
      </c>
      <c r="D2483" t="s">
        <v>25</v>
      </c>
      <c r="E2483" t="s">
        <v>26</v>
      </c>
      <c r="F2483" t="s">
        <v>13</v>
      </c>
      <c r="G2483">
        <v>4</v>
      </c>
      <c r="H2483">
        <v>3.5</v>
      </c>
      <c r="I2483" t="s">
        <v>39</v>
      </c>
      <c r="J2483" t="s">
        <v>481</v>
      </c>
      <c r="K2483" s="12">
        <f>Store_Record[[#This Row],[Qty]]*Store_Record[[#This Row],[UnitPriceGBP]]</f>
        <v>14</v>
      </c>
      <c r="L2483" s="5" t="str">
        <f>TEXT(Store_Record[[#This Row],[Date]],"dddd")</f>
        <v>Monday</v>
      </c>
      <c r="M2483" s="5" t="str">
        <f>TEXT(Store_Record[[#This Row],[Date]],"mmmm")</f>
        <v>June</v>
      </c>
      <c r="N2483" s="5">
        <f>YEAR(Store_Record[[#This Row],[Date]])</f>
        <v>2025</v>
      </c>
      <c r="O2483"/>
    </row>
    <row r="2484" spans="1:15" x14ac:dyDescent="0.35">
      <c r="A2484" t="s">
        <v>3416</v>
      </c>
      <c r="B2484" s="2">
        <v>45838</v>
      </c>
      <c r="C2484" t="s">
        <v>36</v>
      </c>
      <c r="D2484" t="s">
        <v>38</v>
      </c>
      <c r="E2484" t="s">
        <v>26</v>
      </c>
      <c r="F2484" t="s">
        <v>13</v>
      </c>
      <c r="G2484">
        <v>4</v>
      </c>
      <c r="H2484">
        <v>3.5</v>
      </c>
      <c r="I2484" t="s">
        <v>21</v>
      </c>
      <c r="J2484" t="s">
        <v>2642</v>
      </c>
      <c r="K2484" s="12">
        <f>Store_Record[[#This Row],[Qty]]*Store_Record[[#This Row],[UnitPriceGBP]]</f>
        <v>14</v>
      </c>
      <c r="L2484" s="5" t="str">
        <f>TEXT(Store_Record[[#This Row],[Date]],"dddd")</f>
        <v>Monday</v>
      </c>
      <c r="M2484" s="5" t="str">
        <f>TEXT(Store_Record[[#This Row],[Date]],"mmmm")</f>
        <v>June</v>
      </c>
      <c r="N2484" s="5">
        <f>YEAR(Store_Record[[#This Row],[Date]])</f>
        <v>2025</v>
      </c>
      <c r="O2484"/>
    </row>
    <row r="2485" spans="1:15" x14ac:dyDescent="0.35">
      <c r="A2485" t="s">
        <v>3410</v>
      </c>
      <c r="B2485" s="2">
        <v>45838</v>
      </c>
      <c r="C2485" t="s">
        <v>24</v>
      </c>
      <c r="D2485" t="s">
        <v>47</v>
      </c>
      <c r="E2485" t="s">
        <v>12</v>
      </c>
      <c r="F2485" t="s">
        <v>13</v>
      </c>
      <c r="G2485">
        <v>4</v>
      </c>
      <c r="H2485">
        <v>2.5</v>
      </c>
      <c r="I2485" t="s">
        <v>39</v>
      </c>
      <c r="J2485" t="s">
        <v>1053</v>
      </c>
      <c r="K2485" s="12">
        <f>Store_Record[[#This Row],[Qty]]*Store_Record[[#This Row],[UnitPriceGBP]]</f>
        <v>10</v>
      </c>
      <c r="L2485" s="5" t="str">
        <f>TEXT(Store_Record[[#This Row],[Date]],"dddd")</f>
        <v>Monday</v>
      </c>
      <c r="M2485" s="5" t="str">
        <f>TEXT(Store_Record[[#This Row],[Date]],"mmmm")</f>
        <v>June</v>
      </c>
      <c r="N2485" s="5">
        <f>YEAR(Store_Record[[#This Row],[Date]])</f>
        <v>2025</v>
      </c>
      <c r="O2485"/>
    </row>
    <row r="2486" spans="1:15" x14ac:dyDescent="0.35">
      <c r="A2486" t="s">
        <v>3412</v>
      </c>
      <c r="B2486" s="2">
        <v>45838</v>
      </c>
      <c r="C2486" t="s">
        <v>24</v>
      </c>
      <c r="D2486" t="s">
        <v>47</v>
      </c>
      <c r="E2486" t="s">
        <v>34</v>
      </c>
      <c r="F2486" t="s">
        <v>31</v>
      </c>
      <c r="G2486">
        <v>4</v>
      </c>
      <c r="H2486">
        <v>2.2000000000000002</v>
      </c>
      <c r="I2486" t="s">
        <v>39</v>
      </c>
      <c r="J2486" t="s">
        <v>684</v>
      </c>
      <c r="K2486" s="12">
        <f>Store_Record[[#This Row],[Qty]]*Store_Record[[#This Row],[UnitPriceGBP]]</f>
        <v>8.8000000000000007</v>
      </c>
      <c r="L2486" s="5" t="str">
        <f>TEXT(Store_Record[[#This Row],[Date]],"dddd")</f>
        <v>Monday</v>
      </c>
      <c r="M2486" s="5" t="str">
        <f>TEXT(Store_Record[[#This Row],[Date]],"mmmm")</f>
        <v>June</v>
      </c>
      <c r="N2486" s="5">
        <f>YEAR(Store_Record[[#This Row],[Date]])</f>
        <v>2025</v>
      </c>
      <c r="O2486"/>
    </row>
    <row r="2487" spans="1:15" x14ac:dyDescent="0.35">
      <c r="A2487" t="s">
        <v>3414</v>
      </c>
      <c r="B2487" s="2">
        <v>45838</v>
      </c>
      <c r="C2487" t="s">
        <v>24</v>
      </c>
      <c r="D2487" t="s">
        <v>38</v>
      </c>
      <c r="E2487" t="s">
        <v>34</v>
      </c>
      <c r="F2487" t="s">
        <v>31</v>
      </c>
      <c r="G2487">
        <v>4</v>
      </c>
      <c r="H2487">
        <v>2.2000000000000002</v>
      </c>
      <c r="I2487" t="s">
        <v>21</v>
      </c>
      <c r="J2487" t="s">
        <v>1622</v>
      </c>
      <c r="K2487" s="12">
        <f>Store_Record[[#This Row],[Qty]]*Store_Record[[#This Row],[UnitPriceGBP]]</f>
        <v>8.8000000000000007</v>
      </c>
      <c r="L2487" s="5" t="str">
        <f>TEXT(Store_Record[[#This Row],[Date]],"dddd")</f>
        <v>Monday</v>
      </c>
      <c r="M2487" s="5" t="str">
        <f>TEXT(Store_Record[[#This Row],[Date]],"mmmm")</f>
        <v>June</v>
      </c>
      <c r="N2487" s="5">
        <f>YEAR(Store_Record[[#This Row],[Date]])</f>
        <v>2025</v>
      </c>
      <c r="O2487"/>
    </row>
    <row r="2488" spans="1:15" x14ac:dyDescent="0.35">
      <c r="A2488" t="s">
        <v>3419</v>
      </c>
      <c r="B2488" s="2">
        <v>45838</v>
      </c>
      <c r="C2488" t="s">
        <v>10</v>
      </c>
      <c r="D2488" t="s">
        <v>29</v>
      </c>
      <c r="E2488" t="s">
        <v>30</v>
      </c>
      <c r="F2488" t="s">
        <v>31</v>
      </c>
      <c r="G2488">
        <v>3</v>
      </c>
      <c r="H2488">
        <v>2.8</v>
      </c>
      <c r="I2488" t="s">
        <v>14</v>
      </c>
      <c r="J2488" t="s">
        <v>2717</v>
      </c>
      <c r="K2488" s="12">
        <f>Store_Record[[#This Row],[Qty]]*Store_Record[[#This Row],[UnitPriceGBP]]</f>
        <v>8.3999999999999986</v>
      </c>
      <c r="L2488" s="5" t="str">
        <f>TEXT(Store_Record[[#This Row],[Date]],"dddd")</f>
        <v>Monday</v>
      </c>
      <c r="M2488" s="5" t="str">
        <f>TEXT(Store_Record[[#This Row],[Date]],"mmmm")</f>
        <v>June</v>
      </c>
      <c r="N2488" s="5">
        <f>YEAR(Store_Record[[#This Row],[Date]])</f>
        <v>2025</v>
      </c>
      <c r="O2488"/>
    </row>
    <row r="2489" spans="1:15" x14ac:dyDescent="0.35">
      <c r="A2489" t="s">
        <v>3411</v>
      </c>
      <c r="B2489" s="2">
        <v>45838</v>
      </c>
      <c r="C2489" t="s">
        <v>24</v>
      </c>
      <c r="D2489" t="s">
        <v>25</v>
      </c>
      <c r="E2489" t="s">
        <v>34</v>
      </c>
      <c r="F2489" t="s">
        <v>31</v>
      </c>
      <c r="G2489">
        <v>3</v>
      </c>
      <c r="H2489">
        <v>2.2000000000000002</v>
      </c>
      <c r="I2489" t="s">
        <v>39</v>
      </c>
      <c r="J2489" t="s">
        <v>921</v>
      </c>
      <c r="K2489" s="12">
        <f>Store_Record[[#This Row],[Qty]]*Store_Record[[#This Row],[UnitPriceGBP]]</f>
        <v>6.6000000000000005</v>
      </c>
      <c r="L2489" s="5" t="str">
        <f>TEXT(Store_Record[[#This Row],[Date]],"dddd")</f>
        <v>Monday</v>
      </c>
      <c r="M2489" s="5" t="str">
        <f>TEXT(Store_Record[[#This Row],[Date]],"mmmm")</f>
        <v>June</v>
      </c>
      <c r="N2489" s="5">
        <f>YEAR(Store_Record[[#This Row],[Date]])</f>
        <v>2025</v>
      </c>
      <c r="O2489"/>
    </row>
    <row r="2490" spans="1:15" x14ac:dyDescent="0.35">
      <c r="A2490" t="s">
        <v>3417</v>
      </c>
      <c r="B2490" s="2">
        <v>45838</v>
      </c>
      <c r="C2490" t="s">
        <v>20</v>
      </c>
      <c r="D2490" t="s">
        <v>47</v>
      </c>
      <c r="E2490" t="s">
        <v>42</v>
      </c>
      <c r="F2490" t="s">
        <v>13</v>
      </c>
      <c r="G2490">
        <v>1</v>
      </c>
      <c r="H2490">
        <v>3.8</v>
      </c>
      <c r="I2490" t="s">
        <v>14</v>
      </c>
      <c r="J2490" t="s">
        <v>1449</v>
      </c>
      <c r="K2490" s="12">
        <f>Store_Record[[#This Row],[Qty]]*Store_Record[[#This Row],[UnitPriceGBP]]</f>
        <v>3.8</v>
      </c>
      <c r="L2490" s="5" t="str">
        <f>TEXT(Store_Record[[#This Row],[Date]],"dddd")</f>
        <v>Monday</v>
      </c>
      <c r="M2490" s="5" t="str">
        <f>TEXT(Store_Record[[#This Row],[Date]],"mmmm")</f>
        <v>June</v>
      </c>
      <c r="N2490" s="5">
        <f>YEAR(Store_Record[[#This Row],[Date]])</f>
        <v>2025</v>
      </c>
      <c r="O2490"/>
    </row>
    <row r="2491" spans="1:15" x14ac:dyDescent="0.35">
      <c r="A2491" t="s">
        <v>3413</v>
      </c>
      <c r="B2491" s="2">
        <v>45838</v>
      </c>
      <c r="C2491" t="s">
        <v>20</v>
      </c>
      <c r="D2491" t="s">
        <v>11</v>
      </c>
      <c r="E2491" t="s">
        <v>30</v>
      </c>
      <c r="F2491" t="s">
        <v>31</v>
      </c>
      <c r="G2491">
        <v>1</v>
      </c>
      <c r="H2491">
        <v>2.8</v>
      </c>
      <c r="I2491" t="s">
        <v>39</v>
      </c>
      <c r="J2491" t="s">
        <v>142</v>
      </c>
      <c r="K2491" s="12">
        <f>Store_Record[[#This Row],[Qty]]*Store_Record[[#This Row],[UnitPriceGBP]]</f>
        <v>2.8</v>
      </c>
      <c r="L2491" s="5" t="str">
        <f>TEXT(Store_Record[[#This Row],[Date]],"dddd")</f>
        <v>Monday</v>
      </c>
      <c r="M2491" s="5" t="str">
        <f>TEXT(Store_Record[[#This Row],[Date]],"mmmm")</f>
        <v>June</v>
      </c>
      <c r="N2491" s="5">
        <f>YEAR(Store_Record[[#This Row],[Date]])</f>
        <v>2025</v>
      </c>
      <c r="O2491"/>
    </row>
    <row r="2492" spans="1:15" x14ac:dyDescent="0.35">
      <c r="A2492" t="s">
        <v>3440</v>
      </c>
      <c r="B2492" s="2">
        <v>45839</v>
      </c>
      <c r="C2492" t="s">
        <v>10</v>
      </c>
      <c r="D2492" t="s">
        <v>38</v>
      </c>
      <c r="E2492" t="s">
        <v>26</v>
      </c>
      <c r="F2492" t="s">
        <v>13</v>
      </c>
      <c r="G2492">
        <v>5</v>
      </c>
      <c r="H2492">
        <v>3.5</v>
      </c>
      <c r="I2492" t="s">
        <v>21</v>
      </c>
      <c r="J2492" t="s">
        <v>254</v>
      </c>
      <c r="K2492" s="12">
        <f>Store_Record[[#This Row],[Qty]]*Store_Record[[#This Row],[UnitPriceGBP]]</f>
        <v>17.5</v>
      </c>
      <c r="L2492" s="5" t="str">
        <f>TEXT(Store_Record[[#This Row],[Date]],"dddd")</f>
        <v>Tuesday</v>
      </c>
      <c r="M2492" s="5" t="str">
        <f>TEXT(Store_Record[[#This Row],[Date]],"mmmm")</f>
        <v>July</v>
      </c>
      <c r="N2492" s="5">
        <f>YEAR(Store_Record[[#This Row],[Date]])</f>
        <v>2025</v>
      </c>
      <c r="O2492"/>
    </row>
    <row r="2493" spans="1:15" x14ac:dyDescent="0.35">
      <c r="A2493" t="s">
        <v>3421</v>
      </c>
      <c r="B2493" s="2">
        <v>45839</v>
      </c>
      <c r="C2493" t="s">
        <v>20</v>
      </c>
      <c r="D2493" t="s">
        <v>25</v>
      </c>
      <c r="E2493" t="s">
        <v>42</v>
      </c>
      <c r="F2493" t="s">
        <v>13</v>
      </c>
      <c r="G2493">
        <v>4</v>
      </c>
      <c r="H2493">
        <v>3.8</v>
      </c>
      <c r="I2493" t="s">
        <v>39</v>
      </c>
      <c r="J2493" t="s">
        <v>2427</v>
      </c>
      <c r="K2493" s="12">
        <f>Store_Record[[#This Row],[Qty]]*Store_Record[[#This Row],[UnitPriceGBP]]</f>
        <v>15.2</v>
      </c>
      <c r="L2493" s="5" t="str">
        <f>TEXT(Store_Record[[#This Row],[Date]],"dddd")</f>
        <v>Tuesday</v>
      </c>
      <c r="M2493" s="5" t="str">
        <f>TEXT(Store_Record[[#This Row],[Date]],"mmmm")</f>
        <v>July</v>
      </c>
      <c r="N2493" s="5">
        <f>YEAR(Store_Record[[#This Row],[Date]])</f>
        <v>2025</v>
      </c>
      <c r="O2493"/>
    </row>
    <row r="2494" spans="1:15" x14ac:dyDescent="0.35">
      <c r="A2494" t="s">
        <v>3420</v>
      </c>
      <c r="B2494" s="2">
        <v>45839</v>
      </c>
      <c r="C2494" t="s">
        <v>20</v>
      </c>
      <c r="D2494" t="s">
        <v>47</v>
      </c>
      <c r="E2494" t="s">
        <v>30</v>
      </c>
      <c r="F2494" t="s">
        <v>31</v>
      </c>
      <c r="G2494">
        <v>5</v>
      </c>
      <c r="H2494">
        <v>2.8</v>
      </c>
      <c r="I2494" t="s">
        <v>21</v>
      </c>
      <c r="J2494" t="s">
        <v>620</v>
      </c>
      <c r="K2494" s="12">
        <f>Store_Record[[#This Row],[Qty]]*Store_Record[[#This Row],[UnitPriceGBP]]</f>
        <v>14</v>
      </c>
      <c r="L2494" s="5" t="str">
        <f>TEXT(Store_Record[[#This Row],[Date]],"dddd")</f>
        <v>Tuesday</v>
      </c>
      <c r="M2494" s="5" t="str">
        <f>TEXT(Store_Record[[#This Row],[Date]],"mmmm")</f>
        <v>July</v>
      </c>
      <c r="N2494" s="5">
        <f>YEAR(Store_Record[[#This Row],[Date]])</f>
        <v>2025</v>
      </c>
      <c r="O2494"/>
    </row>
    <row r="2495" spans="1:15" x14ac:dyDescent="0.35">
      <c r="A2495" t="s">
        <v>3428</v>
      </c>
      <c r="B2495" s="2">
        <v>45839</v>
      </c>
      <c r="C2495" t="s">
        <v>20</v>
      </c>
      <c r="D2495" t="s">
        <v>47</v>
      </c>
      <c r="E2495" t="s">
        <v>42</v>
      </c>
      <c r="F2495" t="s">
        <v>13</v>
      </c>
      <c r="G2495">
        <v>3</v>
      </c>
      <c r="H2495">
        <v>3.8</v>
      </c>
      <c r="I2495" t="s">
        <v>21</v>
      </c>
      <c r="J2495" t="s">
        <v>3429</v>
      </c>
      <c r="K2495" s="12">
        <f>Store_Record[[#This Row],[Qty]]*Store_Record[[#This Row],[UnitPriceGBP]]</f>
        <v>11.399999999999999</v>
      </c>
      <c r="L2495" s="5" t="str">
        <f>TEXT(Store_Record[[#This Row],[Date]],"dddd")</f>
        <v>Tuesday</v>
      </c>
      <c r="M2495" s="5" t="str">
        <f>TEXT(Store_Record[[#This Row],[Date]],"mmmm")</f>
        <v>July</v>
      </c>
      <c r="N2495" s="5">
        <f>YEAR(Store_Record[[#This Row],[Date]])</f>
        <v>2025</v>
      </c>
      <c r="O2495"/>
    </row>
    <row r="2496" spans="1:15" x14ac:dyDescent="0.35">
      <c r="A2496" t="s">
        <v>3437</v>
      </c>
      <c r="B2496" s="2">
        <v>45839</v>
      </c>
      <c r="C2496" t="s">
        <v>20</v>
      </c>
      <c r="D2496" t="s">
        <v>25</v>
      </c>
      <c r="E2496" t="s">
        <v>26</v>
      </c>
      <c r="F2496" t="s">
        <v>13</v>
      </c>
      <c r="G2496">
        <v>3</v>
      </c>
      <c r="H2496">
        <v>3.5</v>
      </c>
      <c r="I2496" t="s">
        <v>39</v>
      </c>
      <c r="J2496" t="s">
        <v>3438</v>
      </c>
      <c r="K2496" s="12">
        <f>Store_Record[[#This Row],[Qty]]*Store_Record[[#This Row],[UnitPriceGBP]]</f>
        <v>10.5</v>
      </c>
      <c r="L2496" s="5" t="str">
        <f>TEXT(Store_Record[[#This Row],[Date]],"dddd")</f>
        <v>Tuesday</v>
      </c>
      <c r="M2496" s="5" t="str">
        <f>TEXT(Store_Record[[#This Row],[Date]],"mmmm")</f>
        <v>July</v>
      </c>
      <c r="N2496" s="5">
        <f>YEAR(Store_Record[[#This Row],[Date]])</f>
        <v>2025</v>
      </c>
      <c r="O2496"/>
    </row>
    <row r="2497" spans="1:15" x14ac:dyDescent="0.35">
      <c r="A2497" t="s">
        <v>3422</v>
      </c>
      <c r="B2497" s="2">
        <v>45839</v>
      </c>
      <c r="C2497" t="s">
        <v>10</v>
      </c>
      <c r="D2497" t="s">
        <v>29</v>
      </c>
      <c r="E2497" t="s">
        <v>34</v>
      </c>
      <c r="F2497" t="s">
        <v>31</v>
      </c>
      <c r="G2497">
        <v>4</v>
      </c>
      <c r="H2497">
        <v>2.2000000000000002</v>
      </c>
      <c r="I2497" t="s">
        <v>21</v>
      </c>
      <c r="J2497" t="s">
        <v>563</v>
      </c>
      <c r="K2497" s="12">
        <f>Store_Record[[#This Row],[Qty]]*Store_Record[[#This Row],[UnitPriceGBP]]</f>
        <v>8.8000000000000007</v>
      </c>
      <c r="L2497" s="5" t="str">
        <f>TEXT(Store_Record[[#This Row],[Date]],"dddd")</f>
        <v>Tuesday</v>
      </c>
      <c r="M2497" s="5" t="str">
        <f>TEXT(Store_Record[[#This Row],[Date]],"mmmm")</f>
        <v>July</v>
      </c>
      <c r="N2497" s="5">
        <f>YEAR(Store_Record[[#This Row],[Date]])</f>
        <v>2025</v>
      </c>
      <c r="O2497"/>
    </row>
    <row r="2498" spans="1:15" x14ac:dyDescent="0.35">
      <c r="A2498" t="s">
        <v>3423</v>
      </c>
      <c r="B2498" s="2">
        <v>45839</v>
      </c>
      <c r="C2498" t="s">
        <v>36</v>
      </c>
      <c r="D2498" t="s">
        <v>47</v>
      </c>
      <c r="E2498" t="s">
        <v>30</v>
      </c>
      <c r="F2498" t="s">
        <v>31</v>
      </c>
      <c r="G2498">
        <v>3</v>
      </c>
      <c r="H2498">
        <v>2.8</v>
      </c>
      <c r="I2498" t="s">
        <v>14</v>
      </c>
      <c r="J2498" t="s">
        <v>3162</v>
      </c>
      <c r="K2498" s="12">
        <f>Store_Record[[#This Row],[Qty]]*Store_Record[[#This Row],[UnitPriceGBP]]</f>
        <v>8.3999999999999986</v>
      </c>
      <c r="L2498" s="5" t="str">
        <f>TEXT(Store_Record[[#This Row],[Date]],"dddd")</f>
        <v>Tuesday</v>
      </c>
      <c r="M2498" s="5" t="str">
        <f>TEXT(Store_Record[[#This Row],[Date]],"mmmm")</f>
        <v>July</v>
      </c>
      <c r="N2498" s="5">
        <f>YEAR(Store_Record[[#This Row],[Date]])</f>
        <v>2025</v>
      </c>
      <c r="O2498"/>
    </row>
    <row r="2499" spans="1:15" x14ac:dyDescent="0.35">
      <c r="A2499" t="s">
        <v>3426</v>
      </c>
      <c r="B2499" s="2">
        <v>45839</v>
      </c>
      <c r="C2499" t="s">
        <v>20</v>
      </c>
      <c r="D2499" t="s">
        <v>38</v>
      </c>
      <c r="E2499" t="s">
        <v>30</v>
      </c>
      <c r="F2499" t="s">
        <v>31</v>
      </c>
      <c r="G2499">
        <v>3</v>
      </c>
      <c r="H2499">
        <v>2.8</v>
      </c>
      <c r="I2499" t="s">
        <v>14</v>
      </c>
      <c r="J2499" t="s">
        <v>97</v>
      </c>
      <c r="K2499" s="12">
        <f>Store_Record[[#This Row],[Qty]]*Store_Record[[#This Row],[UnitPriceGBP]]</f>
        <v>8.3999999999999986</v>
      </c>
      <c r="L2499" s="5" t="str">
        <f>TEXT(Store_Record[[#This Row],[Date]],"dddd")</f>
        <v>Tuesday</v>
      </c>
      <c r="M2499" s="5" t="str">
        <f>TEXT(Store_Record[[#This Row],[Date]],"mmmm")</f>
        <v>July</v>
      </c>
      <c r="N2499" s="5">
        <f>YEAR(Store_Record[[#This Row],[Date]])</f>
        <v>2025</v>
      </c>
      <c r="O2499"/>
    </row>
    <row r="2500" spans="1:15" x14ac:dyDescent="0.35">
      <c r="A2500" t="s">
        <v>3434</v>
      </c>
      <c r="B2500" s="2">
        <v>45839</v>
      </c>
      <c r="C2500" t="s">
        <v>10</v>
      </c>
      <c r="D2500" t="s">
        <v>38</v>
      </c>
      <c r="E2500" t="s">
        <v>30</v>
      </c>
      <c r="F2500" t="s">
        <v>31</v>
      </c>
      <c r="G2500">
        <v>3</v>
      </c>
      <c r="H2500">
        <v>2.8</v>
      </c>
      <c r="I2500" t="s">
        <v>14</v>
      </c>
      <c r="J2500" t="s">
        <v>1038</v>
      </c>
      <c r="K2500" s="12">
        <f>Store_Record[[#This Row],[Qty]]*Store_Record[[#This Row],[UnitPriceGBP]]</f>
        <v>8.3999999999999986</v>
      </c>
      <c r="L2500" s="5" t="str">
        <f>TEXT(Store_Record[[#This Row],[Date]],"dddd")</f>
        <v>Tuesday</v>
      </c>
      <c r="M2500" s="5" t="str">
        <f>TEXT(Store_Record[[#This Row],[Date]],"mmmm")</f>
        <v>July</v>
      </c>
      <c r="N2500" s="5">
        <f>YEAR(Store_Record[[#This Row],[Date]])</f>
        <v>2025</v>
      </c>
      <c r="O2500"/>
    </row>
    <row r="2501" spans="1:15" x14ac:dyDescent="0.35">
      <c r="A2501" t="s">
        <v>3424</v>
      </c>
      <c r="B2501" s="2">
        <v>45839</v>
      </c>
      <c r="C2501" t="s">
        <v>10</v>
      </c>
      <c r="D2501" t="s">
        <v>47</v>
      </c>
      <c r="E2501" t="s">
        <v>12</v>
      </c>
      <c r="F2501" t="s">
        <v>13</v>
      </c>
      <c r="G2501">
        <v>3</v>
      </c>
      <c r="H2501">
        <v>2.5</v>
      </c>
      <c r="I2501" t="s">
        <v>39</v>
      </c>
      <c r="J2501" t="s">
        <v>918</v>
      </c>
      <c r="K2501" s="12">
        <f>Store_Record[[#This Row],[Qty]]*Store_Record[[#This Row],[UnitPriceGBP]]</f>
        <v>7.5</v>
      </c>
      <c r="L2501" s="5" t="str">
        <f>TEXT(Store_Record[[#This Row],[Date]],"dddd")</f>
        <v>Tuesday</v>
      </c>
      <c r="M2501" s="5" t="str">
        <f>TEXT(Store_Record[[#This Row],[Date]],"mmmm")</f>
        <v>July</v>
      </c>
      <c r="N2501" s="5">
        <f>YEAR(Store_Record[[#This Row],[Date]])</f>
        <v>2025</v>
      </c>
      <c r="O2501"/>
    </row>
    <row r="2502" spans="1:15" x14ac:dyDescent="0.35">
      <c r="A2502" t="s">
        <v>3435</v>
      </c>
      <c r="B2502" s="2">
        <v>45839</v>
      </c>
      <c r="C2502" t="s">
        <v>20</v>
      </c>
      <c r="D2502" t="s">
        <v>38</v>
      </c>
      <c r="E2502" t="s">
        <v>12</v>
      </c>
      <c r="F2502" t="s">
        <v>13</v>
      </c>
      <c r="G2502">
        <v>3</v>
      </c>
      <c r="H2502">
        <v>2.5</v>
      </c>
      <c r="I2502" t="s">
        <v>39</v>
      </c>
      <c r="J2502" t="s">
        <v>3436</v>
      </c>
      <c r="K2502" s="12">
        <f>Store_Record[[#This Row],[Qty]]*Store_Record[[#This Row],[UnitPriceGBP]]</f>
        <v>7.5</v>
      </c>
      <c r="L2502" s="5" t="str">
        <f>TEXT(Store_Record[[#This Row],[Date]],"dddd")</f>
        <v>Tuesday</v>
      </c>
      <c r="M2502" s="5" t="str">
        <f>TEXT(Store_Record[[#This Row],[Date]],"mmmm")</f>
        <v>July</v>
      </c>
      <c r="N2502" s="5">
        <f>YEAR(Store_Record[[#This Row],[Date]])</f>
        <v>2025</v>
      </c>
      <c r="O2502"/>
    </row>
    <row r="2503" spans="1:15" x14ac:dyDescent="0.35">
      <c r="A2503" t="s">
        <v>3425</v>
      </c>
      <c r="B2503" s="2">
        <v>45839</v>
      </c>
      <c r="C2503" t="s">
        <v>20</v>
      </c>
      <c r="D2503" t="s">
        <v>29</v>
      </c>
      <c r="E2503" t="s">
        <v>26</v>
      </c>
      <c r="F2503" t="s">
        <v>13</v>
      </c>
      <c r="G2503">
        <v>2</v>
      </c>
      <c r="H2503">
        <v>3.5</v>
      </c>
      <c r="I2503" t="s">
        <v>39</v>
      </c>
      <c r="J2503" t="s">
        <v>1114</v>
      </c>
      <c r="K2503" s="12">
        <f>Store_Record[[#This Row],[Qty]]*Store_Record[[#This Row],[UnitPriceGBP]]</f>
        <v>7</v>
      </c>
      <c r="L2503" s="5" t="str">
        <f>TEXT(Store_Record[[#This Row],[Date]],"dddd")</f>
        <v>Tuesday</v>
      </c>
      <c r="M2503" s="5" t="str">
        <f>TEXT(Store_Record[[#This Row],[Date]],"mmmm")</f>
        <v>July</v>
      </c>
      <c r="N2503" s="5">
        <f>YEAR(Store_Record[[#This Row],[Date]])</f>
        <v>2025</v>
      </c>
      <c r="O2503"/>
    </row>
    <row r="2504" spans="1:15" x14ac:dyDescent="0.35">
      <c r="A2504" t="s">
        <v>3430</v>
      </c>
      <c r="B2504" s="2">
        <v>45839</v>
      </c>
      <c r="C2504" t="s">
        <v>24</v>
      </c>
      <c r="D2504" t="s">
        <v>38</v>
      </c>
      <c r="E2504" t="s">
        <v>26</v>
      </c>
      <c r="F2504" t="s">
        <v>13</v>
      </c>
      <c r="G2504">
        <v>2</v>
      </c>
      <c r="H2504">
        <v>3.5</v>
      </c>
      <c r="I2504" t="s">
        <v>39</v>
      </c>
      <c r="J2504" t="s">
        <v>3431</v>
      </c>
      <c r="K2504" s="12">
        <f>Store_Record[[#This Row],[Qty]]*Store_Record[[#This Row],[UnitPriceGBP]]</f>
        <v>7</v>
      </c>
      <c r="L2504" s="5" t="str">
        <f>TEXT(Store_Record[[#This Row],[Date]],"dddd")</f>
        <v>Tuesday</v>
      </c>
      <c r="M2504" s="5" t="str">
        <f>TEXT(Store_Record[[#This Row],[Date]],"mmmm")</f>
        <v>July</v>
      </c>
      <c r="N2504" s="5">
        <f>YEAR(Store_Record[[#This Row],[Date]])</f>
        <v>2025</v>
      </c>
      <c r="O2504"/>
    </row>
    <row r="2505" spans="1:15" x14ac:dyDescent="0.35">
      <c r="A2505" t="s">
        <v>3432</v>
      </c>
      <c r="B2505" s="2">
        <v>45839</v>
      </c>
      <c r="C2505" t="s">
        <v>20</v>
      </c>
      <c r="D2505" t="s">
        <v>47</v>
      </c>
      <c r="E2505" t="s">
        <v>34</v>
      </c>
      <c r="F2505" t="s">
        <v>31</v>
      </c>
      <c r="G2505">
        <v>3</v>
      </c>
      <c r="H2505">
        <v>2.2000000000000002</v>
      </c>
      <c r="I2505" t="s">
        <v>14</v>
      </c>
      <c r="J2505" t="s">
        <v>3433</v>
      </c>
      <c r="K2505" s="12">
        <f>Store_Record[[#This Row],[Qty]]*Store_Record[[#This Row],[UnitPriceGBP]]</f>
        <v>6.6000000000000005</v>
      </c>
      <c r="L2505" s="5" t="str">
        <f>TEXT(Store_Record[[#This Row],[Date]],"dddd")</f>
        <v>Tuesday</v>
      </c>
      <c r="M2505" s="5" t="str">
        <f>TEXT(Store_Record[[#This Row],[Date]],"mmmm")</f>
        <v>July</v>
      </c>
      <c r="N2505" s="5">
        <f>YEAR(Store_Record[[#This Row],[Date]])</f>
        <v>2025</v>
      </c>
      <c r="O2505"/>
    </row>
    <row r="2506" spans="1:15" x14ac:dyDescent="0.35">
      <c r="A2506" t="s">
        <v>3427</v>
      </c>
      <c r="B2506" s="2">
        <v>45839</v>
      </c>
      <c r="C2506" t="s">
        <v>36</v>
      </c>
      <c r="D2506" t="s">
        <v>47</v>
      </c>
      <c r="E2506" t="s">
        <v>34</v>
      </c>
      <c r="F2506" t="s">
        <v>31</v>
      </c>
      <c r="G2506">
        <v>2</v>
      </c>
      <c r="H2506">
        <v>2.2000000000000002</v>
      </c>
      <c r="I2506" t="s">
        <v>14</v>
      </c>
      <c r="J2506" t="s">
        <v>846</v>
      </c>
      <c r="K2506" s="12">
        <f>Store_Record[[#This Row],[Qty]]*Store_Record[[#This Row],[UnitPriceGBP]]</f>
        <v>4.4000000000000004</v>
      </c>
      <c r="L2506" s="5" t="str">
        <f>TEXT(Store_Record[[#This Row],[Date]],"dddd")</f>
        <v>Tuesday</v>
      </c>
      <c r="M2506" s="5" t="str">
        <f>TEXT(Store_Record[[#This Row],[Date]],"mmmm")</f>
        <v>July</v>
      </c>
      <c r="N2506" s="5">
        <f>YEAR(Store_Record[[#This Row],[Date]])</f>
        <v>2025</v>
      </c>
      <c r="O2506"/>
    </row>
    <row r="2507" spans="1:15" x14ac:dyDescent="0.35">
      <c r="A2507" t="s">
        <v>3439</v>
      </c>
      <c r="B2507" s="2">
        <v>45839</v>
      </c>
      <c r="C2507" t="s">
        <v>10</v>
      </c>
      <c r="D2507" t="s">
        <v>38</v>
      </c>
      <c r="E2507" t="s">
        <v>34</v>
      </c>
      <c r="F2507" t="s">
        <v>31</v>
      </c>
      <c r="G2507">
        <v>1</v>
      </c>
      <c r="H2507">
        <v>2.2000000000000002</v>
      </c>
      <c r="I2507" t="s">
        <v>14</v>
      </c>
      <c r="J2507" t="s">
        <v>1355</v>
      </c>
      <c r="K2507" s="12">
        <f>Store_Record[[#This Row],[Qty]]*Store_Record[[#This Row],[UnitPriceGBP]]</f>
        <v>2.2000000000000002</v>
      </c>
      <c r="L2507" s="5" t="str">
        <f>TEXT(Store_Record[[#This Row],[Date]],"dddd")</f>
        <v>Tuesday</v>
      </c>
      <c r="M2507" s="5" t="str">
        <f>TEXT(Store_Record[[#This Row],[Date]],"mmmm")</f>
        <v>July</v>
      </c>
      <c r="N2507" s="5">
        <f>YEAR(Store_Record[[#This Row],[Date]])</f>
        <v>2025</v>
      </c>
      <c r="O2507"/>
    </row>
    <row r="2508" spans="1:15" x14ac:dyDescent="0.35">
      <c r="A2508" t="s">
        <v>3444</v>
      </c>
      <c r="B2508" s="2">
        <v>45840</v>
      </c>
      <c r="C2508" t="s">
        <v>10</v>
      </c>
      <c r="D2508" t="s">
        <v>47</v>
      </c>
      <c r="E2508" t="s">
        <v>26</v>
      </c>
      <c r="F2508" t="s">
        <v>13</v>
      </c>
      <c r="G2508">
        <v>5</v>
      </c>
      <c r="H2508">
        <v>3.5</v>
      </c>
      <c r="I2508" t="s">
        <v>14</v>
      </c>
      <c r="J2508" t="s">
        <v>1848</v>
      </c>
      <c r="K2508" s="12">
        <f>Store_Record[[#This Row],[Qty]]*Store_Record[[#This Row],[UnitPriceGBP]]</f>
        <v>17.5</v>
      </c>
      <c r="L2508" s="5" t="str">
        <f>TEXT(Store_Record[[#This Row],[Date]],"dddd")</f>
        <v>Wednesday</v>
      </c>
      <c r="M2508" s="5" t="str">
        <f>TEXT(Store_Record[[#This Row],[Date]],"mmmm")</f>
        <v>July</v>
      </c>
      <c r="N2508" s="5">
        <f>YEAR(Store_Record[[#This Row],[Date]])</f>
        <v>2025</v>
      </c>
      <c r="O2508"/>
    </row>
    <row r="2509" spans="1:15" x14ac:dyDescent="0.35">
      <c r="A2509" t="s">
        <v>3451</v>
      </c>
      <c r="B2509" s="2">
        <v>45840</v>
      </c>
      <c r="C2509" t="s">
        <v>10</v>
      </c>
      <c r="D2509" t="s">
        <v>11</v>
      </c>
      <c r="E2509" t="s">
        <v>26</v>
      </c>
      <c r="F2509" t="s">
        <v>13</v>
      </c>
      <c r="G2509">
        <v>4</v>
      </c>
      <c r="H2509">
        <v>3.5</v>
      </c>
      <c r="I2509" t="s">
        <v>39</v>
      </c>
      <c r="J2509" t="s">
        <v>1708</v>
      </c>
      <c r="K2509" s="12">
        <f>Store_Record[[#This Row],[Qty]]*Store_Record[[#This Row],[UnitPriceGBP]]</f>
        <v>14</v>
      </c>
      <c r="L2509" s="5" t="str">
        <f>TEXT(Store_Record[[#This Row],[Date]],"dddd")</f>
        <v>Wednesday</v>
      </c>
      <c r="M2509" s="5" t="str">
        <f>TEXT(Store_Record[[#This Row],[Date]],"mmmm")</f>
        <v>July</v>
      </c>
      <c r="N2509" s="5">
        <f>YEAR(Store_Record[[#This Row],[Date]])</f>
        <v>2025</v>
      </c>
      <c r="O2509"/>
    </row>
    <row r="2510" spans="1:15" x14ac:dyDescent="0.35">
      <c r="A2510" t="s">
        <v>3453</v>
      </c>
      <c r="B2510" s="2">
        <v>45840</v>
      </c>
      <c r="C2510" t="s">
        <v>10</v>
      </c>
      <c r="D2510" t="s">
        <v>11</v>
      </c>
      <c r="E2510" t="s">
        <v>26</v>
      </c>
      <c r="F2510" t="s">
        <v>13</v>
      </c>
      <c r="G2510">
        <v>4</v>
      </c>
      <c r="H2510">
        <v>3.5</v>
      </c>
      <c r="I2510" t="s">
        <v>39</v>
      </c>
      <c r="J2510" t="s">
        <v>986</v>
      </c>
      <c r="K2510" s="12">
        <f>Store_Record[[#This Row],[Qty]]*Store_Record[[#This Row],[UnitPriceGBP]]</f>
        <v>14</v>
      </c>
      <c r="L2510" s="5" t="str">
        <f>TEXT(Store_Record[[#This Row],[Date]],"dddd")</f>
        <v>Wednesday</v>
      </c>
      <c r="M2510" s="5" t="str">
        <f>TEXT(Store_Record[[#This Row],[Date]],"mmmm")</f>
        <v>July</v>
      </c>
      <c r="N2510" s="5">
        <f>YEAR(Store_Record[[#This Row],[Date]])</f>
        <v>2025</v>
      </c>
      <c r="O2510"/>
    </row>
    <row r="2511" spans="1:15" x14ac:dyDescent="0.35">
      <c r="A2511" t="s">
        <v>3454</v>
      </c>
      <c r="B2511" s="2">
        <v>45840</v>
      </c>
      <c r="C2511" t="s">
        <v>36</v>
      </c>
      <c r="D2511" t="s">
        <v>47</v>
      </c>
      <c r="E2511" t="s">
        <v>42</v>
      </c>
      <c r="F2511" t="s">
        <v>13</v>
      </c>
      <c r="G2511">
        <v>3</v>
      </c>
      <c r="H2511">
        <v>3.8</v>
      </c>
      <c r="I2511" t="s">
        <v>39</v>
      </c>
      <c r="J2511" t="s">
        <v>2649</v>
      </c>
      <c r="K2511" s="12">
        <f>Store_Record[[#This Row],[Qty]]*Store_Record[[#This Row],[UnitPriceGBP]]</f>
        <v>11.399999999999999</v>
      </c>
      <c r="L2511" s="5" t="str">
        <f>TEXT(Store_Record[[#This Row],[Date]],"dddd")</f>
        <v>Wednesday</v>
      </c>
      <c r="M2511" s="5" t="str">
        <f>TEXT(Store_Record[[#This Row],[Date]],"mmmm")</f>
        <v>July</v>
      </c>
      <c r="N2511" s="5">
        <f>YEAR(Store_Record[[#This Row],[Date]])</f>
        <v>2025</v>
      </c>
      <c r="O2511"/>
    </row>
    <row r="2512" spans="1:15" x14ac:dyDescent="0.35">
      <c r="A2512" t="s">
        <v>3455</v>
      </c>
      <c r="B2512" s="2">
        <v>45840</v>
      </c>
      <c r="C2512" t="s">
        <v>36</v>
      </c>
      <c r="D2512" t="s">
        <v>25</v>
      </c>
      <c r="E2512" t="s">
        <v>30</v>
      </c>
      <c r="F2512" t="s">
        <v>31</v>
      </c>
      <c r="G2512">
        <v>4</v>
      </c>
      <c r="H2512">
        <v>2.8</v>
      </c>
      <c r="I2512" t="s">
        <v>14</v>
      </c>
      <c r="J2512" t="s">
        <v>1210</v>
      </c>
      <c r="K2512" s="12">
        <f>Store_Record[[#This Row],[Qty]]*Store_Record[[#This Row],[UnitPriceGBP]]</f>
        <v>11.2</v>
      </c>
      <c r="L2512" s="5" t="str">
        <f>TEXT(Store_Record[[#This Row],[Date]],"dddd")</f>
        <v>Wednesday</v>
      </c>
      <c r="M2512" s="5" t="str">
        <f>TEXT(Store_Record[[#This Row],[Date]],"mmmm")</f>
        <v>July</v>
      </c>
      <c r="N2512" s="5">
        <f>YEAR(Store_Record[[#This Row],[Date]])</f>
        <v>2025</v>
      </c>
      <c r="O2512"/>
    </row>
    <row r="2513" spans="1:15" x14ac:dyDescent="0.35">
      <c r="A2513" t="s">
        <v>3448</v>
      </c>
      <c r="B2513" s="2">
        <v>45840</v>
      </c>
      <c r="C2513" t="s">
        <v>10</v>
      </c>
      <c r="D2513" t="s">
        <v>29</v>
      </c>
      <c r="E2513" t="s">
        <v>34</v>
      </c>
      <c r="F2513" t="s">
        <v>31</v>
      </c>
      <c r="G2513">
        <v>4</v>
      </c>
      <c r="H2513">
        <v>2.2000000000000002</v>
      </c>
      <c r="I2513" t="s">
        <v>39</v>
      </c>
      <c r="J2513" t="s">
        <v>1110</v>
      </c>
      <c r="K2513" s="12">
        <f>Store_Record[[#This Row],[Qty]]*Store_Record[[#This Row],[UnitPriceGBP]]</f>
        <v>8.8000000000000007</v>
      </c>
      <c r="L2513" s="5" t="str">
        <f>TEXT(Store_Record[[#This Row],[Date]],"dddd")</f>
        <v>Wednesday</v>
      </c>
      <c r="M2513" s="5" t="str">
        <f>TEXT(Store_Record[[#This Row],[Date]],"mmmm")</f>
        <v>July</v>
      </c>
      <c r="N2513" s="5">
        <f>YEAR(Store_Record[[#This Row],[Date]])</f>
        <v>2025</v>
      </c>
      <c r="O2513"/>
    </row>
    <row r="2514" spans="1:15" x14ac:dyDescent="0.35">
      <c r="A2514" t="s">
        <v>3442</v>
      </c>
      <c r="B2514" s="2">
        <v>45840</v>
      </c>
      <c r="C2514" t="s">
        <v>20</v>
      </c>
      <c r="D2514" t="s">
        <v>29</v>
      </c>
      <c r="E2514" t="s">
        <v>30</v>
      </c>
      <c r="F2514" t="s">
        <v>31</v>
      </c>
      <c r="G2514">
        <v>3</v>
      </c>
      <c r="H2514">
        <v>2.8</v>
      </c>
      <c r="I2514" t="s">
        <v>21</v>
      </c>
      <c r="J2514" t="s">
        <v>3443</v>
      </c>
      <c r="K2514" s="12">
        <f>Store_Record[[#This Row],[Qty]]*Store_Record[[#This Row],[UnitPriceGBP]]</f>
        <v>8.3999999999999986</v>
      </c>
      <c r="L2514" s="5" t="str">
        <f>TEXT(Store_Record[[#This Row],[Date]],"dddd")</f>
        <v>Wednesday</v>
      </c>
      <c r="M2514" s="5" t="str">
        <f>TEXT(Store_Record[[#This Row],[Date]],"mmmm")</f>
        <v>July</v>
      </c>
      <c r="N2514" s="5">
        <f>YEAR(Store_Record[[#This Row],[Date]])</f>
        <v>2025</v>
      </c>
      <c r="O2514"/>
    </row>
    <row r="2515" spans="1:15" x14ac:dyDescent="0.35">
      <c r="A2515" t="s">
        <v>3457</v>
      </c>
      <c r="B2515" s="2">
        <v>45840</v>
      </c>
      <c r="C2515" t="s">
        <v>36</v>
      </c>
      <c r="D2515" t="s">
        <v>29</v>
      </c>
      <c r="E2515" t="s">
        <v>42</v>
      </c>
      <c r="F2515" t="s">
        <v>13</v>
      </c>
      <c r="G2515">
        <v>2</v>
      </c>
      <c r="H2515">
        <v>3.8</v>
      </c>
      <c r="I2515" t="s">
        <v>14</v>
      </c>
      <c r="J2515" t="s">
        <v>3195</v>
      </c>
      <c r="K2515" s="12">
        <f>Store_Record[[#This Row],[Qty]]*Store_Record[[#This Row],[UnitPriceGBP]]</f>
        <v>7.6</v>
      </c>
      <c r="L2515" s="5" t="str">
        <f>TEXT(Store_Record[[#This Row],[Date]],"dddd")</f>
        <v>Wednesday</v>
      </c>
      <c r="M2515" s="5" t="str">
        <f>TEXT(Store_Record[[#This Row],[Date]],"mmmm")</f>
        <v>July</v>
      </c>
      <c r="N2515" s="5">
        <f>YEAR(Store_Record[[#This Row],[Date]])</f>
        <v>2025</v>
      </c>
      <c r="O2515"/>
    </row>
    <row r="2516" spans="1:15" x14ac:dyDescent="0.35">
      <c r="A2516" t="s">
        <v>3452</v>
      </c>
      <c r="B2516" s="2">
        <v>45840</v>
      </c>
      <c r="C2516" t="s">
        <v>24</v>
      </c>
      <c r="D2516" t="s">
        <v>47</v>
      </c>
      <c r="E2516" t="s">
        <v>26</v>
      </c>
      <c r="F2516" t="s">
        <v>13</v>
      </c>
      <c r="G2516">
        <v>2</v>
      </c>
      <c r="H2516">
        <v>3.5</v>
      </c>
      <c r="I2516" t="s">
        <v>14</v>
      </c>
      <c r="J2516" t="s">
        <v>458</v>
      </c>
      <c r="K2516" s="12">
        <f>Store_Record[[#This Row],[Qty]]*Store_Record[[#This Row],[UnitPriceGBP]]</f>
        <v>7</v>
      </c>
      <c r="L2516" s="5" t="str">
        <f>TEXT(Store_Record[[#This Row],[Date]],"dddd")</f>
        <v>Wednesday</v>
      </c>
      <c r="M2516" s="5" t="str">
        <f>TEXT(Store_Record[[#This Row],[Date]],"mmmm")</f>
        <v>July</v>
      </c>
      <c r="N2516" s="5">
        <f>YEAR(Store_Record[[#This Row],[Date]])</f>
        <v>2025</v>
      </c>
      <c r="O2516"/>
    </row>
    <row r="2517" spans="1:15" x14ac:dyDescent="0.35">
      <c r="A2517" t="s">
        <v>3447</v>
      </c>
      <c r="B2517" s="2">
        <v>45840</v>
      </c>
      <c r="C2517" t="s">
        <v>10</v>
      </c>
      <c r="D2517" t="s">
        <v>25</v>
      </c>
      <c r="E2517" t="s">
        <v>30</v>
      </c>
      <c r="F2517" t="s">
        <v>31</v>
      </c>
      <c r="G2517">
        <v>2</v>
      </c>
      <c r="H2517">
        <v>2.8</v>
      </c>
      <c r="I2517" t="s">
        <v>39</v>
      </c>
      <c r="J2517" t="s">
        <v>2457</v>
      </c>
      <c r="K2517" s="12">
        <f>Store_Record[[#This Row],[Qty]]*Store_Record[[#This Row],[UnitPriceGBP]]</f>
        <v>5.6</v>
      </c>
      <c r="L2517" s="5" t="str">
        <f>TEXT(Store_Record[[#This Row],[Date]],"dddd")</f>
        <v>Wednesday</v>
      </c>
      <c r="M2517" s="5" t="str">
        <f>TEXT(Store_Record[[#This Row],[Date]],"mmmm")</f>
        <v>July</v>
      </c>
      <c r="N2517" s="5">
        <f>YEAR(Store_Record[[#This Row],[Date]])</f>
        <v>2025</v>
      </c>
      <c r="O2517"/>
    </row>
    <row r="2518" spans="1:15" x14ac:dyDescent="0.35">
      <c r="A2518" t="s">
        <v>3449</v>
      </c>
      <c r="B2518" s="2">
        <v>45840</v>
      </c>
      <c r="C2518" t="s">
        <v>20</v>
      </c>
      <c r="D2518" t="s">
        <v>29</v>
      </c>
      <c r="E2518" t="s">
        <v>42</v>
      </c>
      <c r="F2518" t="s">
        <v>13</v>
      </c>
      <c r="G2518">
        <v>1</v>
      </c>
      <c r="H2518">
        <v>3.8</v>
      </c>
      <c r="I2518" t="s">
        <v>39</v>
      </c>
      <c r="J2518" t="s">
        <v>2568</v>
      </c>
      <c r="K2518" s="12">
        <f>Store_Record[[#This Row],[Qty]]*Store_Record[[#This Row],[UnitPriceGBP]]</f>
        <v>3.8</v>
      </c>
      <c r="L2518" s="5" t="str">
        <f>TEXT(Store_Record[[#This Row],[Date]],"dddd")</f>
        <v>Wednesday</v>
      </c>
      <c r="M2518" s="5" t="str">
        <f>TEXT(Store_Record[[#This Row],[Date]],"mmmm")</f>
        <v>July</v>
      </c>
      <c r="N2518" s="5">
        <f>YEAR(Store_Record[[#This Row],[Date]])</f>
        <v>2025</v>
      </c>
      <c r="O2518"/>
    </row>
    <row r="2519" spans="1:15" x14ac:dyDescent="0.35">
      <c r="A2519" t="s">
        <v>3445</v>
      </c>
      <c r="B2519" s="2">
        <v>45840</v>
      </c>
      <c r="C2519" t="s">
        <v>10</v>
      </c>
      <c r="D2519" t="s">
        <v>38</v>
      </c>
      <c r="E2519" t="s">
        <v>26</v>
      </c>
      <c r="F2519" t="s">
        <v>13</v>
      </c>
      <c r="G2519">
        <v>1</v>
      </c>
      <c r="H2519">
        <v>3.5</v>
      </c>
      <c r="I2519" t="s">
        <v>39</v>
      </c>
      <c r="J2519" t="s">
        <v>976</v>
      </c>
      <c r="K2519" s="12">
        <f>Store_Record[[#This Row],[Qty]]*Store_Record[[#This Row],[UnitPriceGBP]]</f>
        <v>3.5</v>
      </c>
      <c r="L2519" s="5" t="str">
        <f>TEXT(Store_Record[[#This Row],[Date]],"dddd")</f>
        <v>Wednesday</v>
      </c>
      <c r="M2519" s="5" t="str">
        <f>TEXT(Store_Record[[#This Row],[Date]],"mmmm")</f>
        <v>July</v>
      </c>
      <c r="N2519" s="5">
        <f>YEAR(Store_Record[[#This Row],[Date]])</f>
        <v>2025</v>
      </c>
      <c r="O2519"/>
    </row>
    <row r="2520" spans="1:15" x14ac:dyDescent="0.35">
      <c r="A2520" t="s">
        <v>3456</v>
      </c>
      <c r="B2520" s="2">
        <v>45840</v>
      </c>
      <c r="C2520" t="s">
        <v>24</v>
      </c>
      <c r="D2520" t="s">
        <v>38</v>
      </c>
      <c r="E2520" t="s">
        <v>26</v>
      </c>
      <c r="F2520" t="s">
        <v>13</v>
      </c>
      <c r="G2520">
        <v>1</v>
      </c>
      <c r="H2520">
        <v>3.5</v>
      </c>
      <c r="I2520" t="s">
        <v>21</v>
      </c>
      <c r="J2520" t="s">
        <v>1221</v>
      </c>
      <c r="K2520" s="12">
        <f>Store_Record[[#This Row],[Qty]]*Store_Record[[#This Row],[UnitPriceGBP]]</f>
        <v>3.5</v>
      </c>
      <c r="L2520" s="5" t="str">
        <f>TEXT(Store_Record[[#This Row],[Date]],"dddd")</f>
        <v>Wednesday</v>
      </c>
      <c r="M2520" s="5" t="str">
        <f>TEXT(Store_Record[[#This Row],[Date]],"mmmm")</f>
        <v>July</v>
      </c>
      <c r="N2520" s="5">
        <f>YEAR(Store_Record[[#This Row],[Date]])</f>
        <v>2025</v>
      </c>
      <c r="O2520"/>
    </row>
    <row r="2521" spans="1:15" x14ac:dyDescent="0.35">
      <c r="A2521" t="s">
        <v>3446</v>
      </c>
      <c r="B2521" s="2">
        <v>45840</v>
      </c>
      <c r="C2521" t="s">
        <v>36</v>
      </c>
      <c r="D2521" t="s">
        <v>25</v>
      </c>
      <c r="E2521" t="s">
        <v>12</v>
      </c>
      <c r="F2521" t="s">
        <v>13</v>
      </c>
      <c r="G2521">
        <v>1</v>
      </c>
      <c r="H2521">
        <v>2.5</v>
      </c>
      <c r="I2521" t="s">
        <v>39</v>
      </c>
      <c r="J2521" t="s">
        <v>82</v>
      </c>
      <c r="K2521" s="12">
        <f>Store_Record[[#This Row],[Qty]]*Store_Record[[#This Row],[UnitPriceGBP]]</f>
        <v>2.5</v>
      </c>
      <c r="L2521" s="5" t="str">
        <f>TEXT(Store_Record[[#This Row],[Date]],"dddd")</f>
        <v>Wednesday</v>
      </c>
      <c r="M2521" s="5" t="str">
        <f>TEXT(Store_Record[[#This Row],[Date]],"mmmm")</f>
        <v>July</v>
      </c>
      <c r="N2521" s="5">
        <f>YEAR(Store_Record[[#This Row],[Date]])</f>
        <v>2025</v>
      </c>
      <c r="O2521"/>
    </row>
    <row r="2522" spans="1:15" x14ac:dyDescent="0.35">
      <c r="A2522" t="s">
        <v>3441</v>
      </c>
      <c r="B2522" s="2">
        <v>45840</v>
      </c>
      <c r="C2522" t="s">
        <v>36</v>
      </c>
      <c r="D2522" t="s">
        <v>25</v>
      </c>
      <c r="E2522" t="s">
        <v>34</v>
      </c>
      <c r="F2522" t="s">
        <v>31</v>
      </c>
      <c r="G2522">
        <v>1</v>
      </c>
      <c r="H2522">
        <v>2.2000000000000002</v>
      </c>
      <c r="I2522" t="s">
        <v>39</v>
      </c>
      <c r="J2522" t="s">
        <v>298</v>
      </c>
      <c r="K2522" s="12">
        <f>Store_Record[[#This Row],[Qty]]*Store_Record[[#This Row],[UnitPriceGBP]]</f>
        <v>2.2000000000000002</v>
      </c>
      <c r="L2522" s="5" t="str">
        <f>TEXT(Store_Record[[#This Row],[Date]],"dddd")</f>
        <v>Wednesday</v>
      </c>
      <c r="M2522" s="5" t="str">
        <f>TEXT(Store_Record[[#This Row],[Date]],"mmmm")</f>
        <v>July</v>
      </c>
      <c r="N2522" s="5">
        <f>YEAR(Store_Record[[#This Row],[Date]])</f>
        <v>2025</v>
      </c>
      <c r="O2522"/>
    </row>
    <row r="2523" spans="1:15" x14ac:dyDescent="0.35">
      <c r="A2523" t="s">
        <v>3450</v>
      </c>
      <c r="B2523" s="2">
        <v>45840</v>
      </c>
      <c r="C2523" t="s">
        <v>10</v>
      </c>
      <c r="D2523" t="s">
        <v>11</v>
      </c>
      <c r="E2523" t="s">
        <v>34</v>
      </c>
      <c r="F2523" t="s">
        <v>31</v>
      </c>
      <c r="G2523">
        <v>1</v>
      </c>
      <c r="H2523">
        <v>2.2000000000000002</v>
      </c>
      <c r="I2523" t="s">
        <v>39</v>
      </c>
      <c r="J2523" t="s">
        <v>1023</v>
      </c>
      <c r="K2523" s="12">
        <f>Store_Record[[#This Row],[Qty]]*Store_Record[[#This Row],[UnitPriceGBP]]</f>
        <v>2.2000000000000002</v>
      </c>
      <c r="L2523" s="5" t="str">
        <f>TEXT(Store_Record[[#This Row],[Date]],"dddd")</f>
        <v>Wednesday</v>
      </c>
      <c r="M2523" s="5" t="str">
        <f>TEXT(Store_Record[[#This Row],[Date]],"mmmm")</f>
        <v>July</v>
      </c>
      <c r="N2523" s="5">
        <f>YEAR(Store_Record[[#This Row],[Date]])</f>
        <v>2025</v>
      </c>
      <c r="O2523"/>
    </row>
    <row r="2524" spans="1:15" x14ac:dyDescent="0.35">
      <c r="A2524" t="s">
        <v>3463</v>
      </c>
      <c r="B2524" s="2">
        <v>45841</v>
      </c>
      <c r="C2524" t="s">
        <v>36</v>
      </c>
      <c r="D2524" t="s">
        <v>11</v>
      </c>
      <c r="E2524" t="s">
        <v>42</v>
      </c>
      <c r="F2524" t="s">
        <v>13</v>
      </c>
      <c r="G2524">
        <v>5</v>
      </c>
      <c r="H2524">
        <v>3.8</v>
      </c>
      <c r="I2524" t="s">
        <v>14</v>
      </c>
      <c r="J2524" t="s">
        <v>314</v>
      </c>
      <c r="K2524" s="12">
        <f>Store_Record[[#This Row],[Qty]]*Store_Record[[#This Row],[UnitPriceGBP]]</f>
        <v>19</v>
      </c>
      <c r="L2524" s="5" t="str">
        <f>TEXT(Store_Record[[#This Row],[Date]],"dddd")</f>
        <v>Thursday</v>
      </c>
      <c r="M2524" s="5" t="str">
        <f>TEXT(Store_Record[[#This Row],[Date]],"mmmm")</f>
        <v>July</v>
      </c>
      <c r="N2524" s="5">
        <f>YEAR(Store_Record[[#This Row],[Date]])</f>
        <v>2025</v>
      </c>
      <c r="O2524"/>
    </row>
    <row r="2525" spans="1:15" x14ac:dyDescent="0.35">
      <c r="A2525" t="s">
        <v>3462</v>
      </c>
      <c r="B2525" s="2">
        <v>45841</v>
      </c>
      <c r="C2525" t="s">
        <v>20</v>
      </c>
      <c r="D2525" t="s">
        <v>29</v>
      </c>
      <c r="E2525" t="s">
        <v>42</v>
      </c>
      <c r="F2525" t="s">
        <v>13</v>
      </c>
      <c r="G2525">
        <v>4</v>
      </c>
      <c r="H2525">
        <v>3.8</v>
      </c>
      <c r="I2525" t="s">
        <v>21</v>
      </c>
      <c r="J2525" t="s">
        <v>2013</v>
      </c>
      <c r="K2525" s="12">
        <f>Store_Record[[#This Row],[Qty]]*Store_Record[[#This Row],[UnitPriceGBP]]</f>
        <v>15.2</v>
      </c>
      <c r="L2525" s="5" t="str">
        <f>TEXT(Store_Record[[#This Row],[Date]],"dddd")</f>
        <v>Thursday</v>
      </c>
      <c r="M2525" s="5" t="str">
        <f>TEXT(Store_Record[[#This Row],[Date]],"mmmm")</f>
        <v>July</v>
      </c>
      <c r="N2525" s="5">
        <f>YEAR(Store_Record[[#This Row],[Date]])</f>
        <v>2025</v>
      </c>
      <c r="O2525"/>
    </row>
    <row r="2526" spans="1:15" x14ac:dyDescent="0.35">
      <c r="A2526" t="s">
        <v>3464</v>
      </c>
      <c r="B2526" s="2">
        <v>45841</v>
      </c>
      <c r="C2526" t="s">
        <v>24</v>
      </c>
      <c r="D2526" t="s">
        <v>11</v>
      </c>
      <c r="E2526" t="s">
        <v>30</v>
      </c>
      <c r="F2526" t="s">
        <v>31</v>
      </c>
      <c r="G2526">
        <v>5</v>
      </c>
      <c r="H2526">
        <v>2.8</v>
      </c>
      <c r="I2526" t="s">
        <v>21</v>
      </c>
      <c r="J2526" t="s">
        <v>1462</v>
      </c>
      <c r="K2526" s="12">
        <f>Store_Record[[#This Row],[Qty]]*Store_Record[[#This Row],[UnitPriceGBP]]</f>
        <v>14</v>
      </c>
      <c r="L2526" s="5" t="str">
        <f>TEXT(Store_Record[[#This Row],[Date]],"dddd")</f>
        <v>Thursday</v>
      </c>
      <c r="M2526" s="5" t="str">
        <f>TEXT(Store_Record[[#This Row],[Date]],"mmmm")</f>
        <v>July</v>
      </c>
      <c r="N2526" s="5">
        <f>YEAR(Store_Record[[#This Row],[Date]])</f>
        <v>2025</v>
      </c>
      <c r="O2526"/>
    </row>
    <row r="2527" spans="1:15" x14ac:dyDescent="0.35">
      <c r="A2527" t="s">
        <v>3469</v>
      </c>
      <c r="B2527" s="2">
        <v>45841</v>
      </c>
      <c r="C2527" t="s">
        <v>20</v>
      </c>
      <c r="D2527" t="s">
        <v>25</v>
      </c>
      <c r="E2527" t="s">
        <v>30</v>
      </c>
      <c r="F2527" t="s">
        <v>31</v>
      </c>
      <c r="G2527">
        <v>5</v>
      </c>
      <c r="H2527">
        <v>2.8</v>
      </c>
      <c r="I2527" t="s">
        <v>14</v>
      </c>
      <c r="J2527" t="s">
        <v>582</v>
      </c>
      <c r="K2527" s="12">
        <f>Store_Record[[#This Row],[Qty]]*Store_Record[[#This Row],[UnitPriceGBP]]</f>
        <v>14</v>
      </c>
      <c r="L2527" s="5" t="str">
        <f>TEXT(Store_Record[[#This Row],[Date]],"dddd")</f>
        <v>Thursday</v>
      </c>
      <c r="M2527" s="5" t="str">
        <f>TEXT(Store_Record[[#This Row],[Date]],"mmmm")</f>
        <v>July</v>
      </c>
      <c r="N2527" s="5">
        <f>YEAR(Store_Record[[#This Row],[Date]])</f>
        <v>2025</v>
      </c>
      <c r="O2527"/>
    </row>
    <row r="2528" spans="1:15" x14ac:dyDescent="0.35">
      <c r="A2528" t="s">
        <v>3471</v>
      </c>
      <c r="B2528" s="2">
        <v>45841</v>
      </c>
      <c r="C2528" t="s">
        <v>36</v>
      </c>
      <c r="D2528" t="s">
        <v>29</v>
      </c>
      <c r="E2528" t="s">
        <v>12</v>
      </c>
      <c r="F2528" t="s">
        <v>13</v>
      </c>
      <c r="G2528">
        <v>5</v>
      </c>
      <c r="H2528">
        <v>2.5</v>
      </c>
      <c r="I2528" t="s">
        <v>21</v>
      </c>
      <c r="J2528" t="s">
        <v>317</v>
      </c>
      <c r="K2528" s="12">
        <f>Store_Record[[#This Row],[Qty]]*Store_Record[[#This Row],[UnitPriceGBP]]</f>
        <v>12.5</v>
      </c>
      <c r="L2528" s="5" t="str">
        <f>TEXT(Store_Record[[#This Row],[Date]],"dddd")</f>
        <v>Thursday</v>
      </c>
      <c r="M2528" s="5" t="str">
        <f>TEXT(Store_Record[[#This Row],[Date]],"mmmm")</f>
        <v>July</v>
      </c>
      <c r="N2528" s="5">
        <f>YEAR(Store_Record[[#This Row],[Date]])</f>
        <v>2025</v>
      </c>
      <c r="O2528"/>
    </row>
    <row r="2529" spans="1:15" x14ac:dyDescent="0.35">
      <c r="A2529" t="s">
        <v>3465</v>
      </c>
      <c r="B2529" s="2">
        <v>45841</v>
      </c>
      <c r="C2529" t="s">
        <v>20</v>
      </c>
      <c r="D2529" t="s">
        <v>25</v>
      </c>
      <c r="E2529" t="s">
        <v>42</v>
      </c>
      <c r="F2529" t="s">
        <v>13</v>
      </c>
      <c r="G2529">
        <v>3</v>
      </c>
      <c r="H2529">
        <v>3.8</v>
      </c>
      <c r="I2529" t="s">
        <v>14</v>
      </c>
      <c r="J2529" t="s">
        <v>1770</v>
      </c>
      <c r="K2529" s="12">
        <f>Store_Record[[#This Row],[Qty]]*Store_Record[[#This Row],[UnitPriceGBP]]</f>
        <v>11.399999999999999</v>
      </c>
      <c r="L2529" s="5" t="str">
        <f>TEXT(Store_Record[[#This Row],[Date]],"dddd")</f>
        <v>Thursday</v>
      </c>
      <c r="M2529" s="5" t="str">
        <f>TEXT(Store_Record[[#This Row],[Date]],"mmmm")</f>
        <v>July</v>
      </c>
      <c r="N2529" s="5">
        <f>YEAR(Store_Record[[#This Row],[Date]])</f>
        <v>2025</v>
      </c>
      <c r="O2529"/>
    </row>
    <row r="2530" spans="1:15" x14ac:dyDescent="0.35">
      <c r="A2530" t="s">
        <v>3460</v>
      </c>
      <c r="B2530" s="2">
        <v>45841</v>
      </c>
      <c r="C2530" t="s">
        <v>20</v>
      </c>
      <c r="D2530" t="s">
        <v>47</v>
      </c>
      <c r="E2530" t="s">
        <v>26</v>
      </c>
      <c r="F2530" t="s">
        <v>13</v>
      </c>
      <c r="G2530">
        <v>2</v>
      </c>
      <c r="H2530">
        <v>3.5</v>
      </c>
      <c r="I2530" t="s">
        <v>21</v>
      </c>
      <c r="J2530" t="s">
        <v>1556</v>
      </c>
      <c r="K2530" s="12">
        <f>Store_Record[[#This Row],[Qty]]*Store_Record[[#This Row],[UnitPriceGBP]]</f>
        <v>7</v>
      </c>
      <c r="L2530" s="5" t="str">
        <f>TEXT(Store_Record[[#This Row],[Date]],"dddd")</f>
        <v>Thursday</v>
      </c>
      <c r="M2530" s="5" t="str">
        <f>TEXT(Store_Record[[#This Row],[Date]],"mmmm")</f>
        <v>July</v>
      </c>
      <c r="N2530" s="5">
        <f>YEAR(Store_Record[[#This Row],[Date]])</f>
        <v>2025</v>
      </c>
      <c r="O2530"/>
    </row>
    <row r="2531" spans="1:15" x14ac:dyDescent="0.35">
      <c r="A2531" t="s">
        <v>3468</v>
      </c>
      <c r="B2531" s="2">
        <v>45841</v>
      </c>
      <c r="C2531" t="s">
        <v>20</v>
      </c>
      <c r="D2531" t="s">
        <v>25</v>
      </c>
      <c r="E2531" t="s">
        <v>34</v>
      </c>
      <c r="F2531" t="s">
        <v>31</v>
      </c>
      <c r="G2531">
        <v>3</v>
      </c>
      <c r="H2531">
        <v>2.2000000000000002</v>
      </c>
      <c r="I2531" t="s">
        <v>39</v>
      </c>
      <c r="J2531" t="s">
        <v>1608</v>
      </c>
      <c r="K2531" s="12">
        <f>Store_Record[[#This Row],[Qty]]*Store_Record[[#This Row],[UnitPriceGBP]]</f>
        <v>6.6000000000000005</v>
      </c>
      <c r="L2531" s="5" t="str">
        <f>TEXT(Store_Record[[#This Row],[Date]],"dddd")</f>
        <v>Thursday</v>
      </c>
      <c r="M2531" s="5" t="str">
        <f>TEXT(Store_Record[[#This Row],[Date]],"mmmm")</f>
        <v>July</v>
      </c>
      <c r="N2531" s="5">
        <f>YEAR(Store_Record[[#This Row],[Date]])</f>
        <v>2025</v>
      </c>
      <c r="O2531"/>
    </row>
    <row r="2532" spans="1:15" x14ac:dyDescent="0.35">
      <c r="A2532" t="s">
        <v>3461</v>
      </c>
      <c r="B2532" s="2">
        <v>45841</v>
      </c>
      <c r="C2532" t="s">
        <v>24</v>
      </c>
      <c r="D2532" t="s">
        <v>25</v>
      </c>
      <c r="E2532" t="s">
        <v>30</v>
      </c>
      <c r="F2532" t="s">
        <v>31</v>
      </c>
      <c r="G2532">
        <v>2</v>
      </c>
      <c r="H2532">
        <v>2.8</v>
      </c>
      <c r="I2532" t="s">
        <v>21</v>
      </c>
      <c r="J2532" t="s">
        <v>974</v>
      </c>
      <c r="K2532" s="12">
        <f>Store_Record[[#This Row],[Qty]]*Store_Record[[#This Row],[UnitPriceGBP]]</f>
        <v>5.6</v>
      </c>
      <c r="L2532" s="5" t="str">
        <f>TEXT(Store_Record[[#This Row],[Date]],"dddd")</f>
        <v>Thursday</v>
      </c>
      <c r="M2532" s="5" t="str">
        <f>TEXT(Store_Record[[#This Row],[Date]],"mmmm")</f>
        <v>July</v>
      </c>
      <c r="N2532" s="5">
        <f>YEAR(Store_Record[[#This Row],[Date]])</f>
        <v>2025</v>
      </c>
      <c r="O2532"/>
    </row>
    <row r="2533" spans="1:15" x14ac:dyDescent="0.35">
      <c r="A2533" t="s">
        <v>3459</v>
      </c>
      <c r="B2533" s="2">
        <v>45841</v>
      </c>
      <c r="C2533" t="s">
        <v>10</v>
      </c>
      <c r="D2533" t="s">
        <v>11</v>
      </c>
      <c r="E2533" t="s">
        <v>12</v>
      </c>
      <c r="F2533" t="s">
        <v>13</v>
      </c>
      <c r="G2533">
        <v>2</v>
      </c>
      <c r="H2533">
        <v>2.5</v>
      </c>
      <c r="I2533" t="s">
        <v>21</v>
      </c>
      <c r="J2533" t="s">
        <v>153</v>
      </c>
      <c r="K2533" s="12">
        <f>Store_Record[[#This Row],[Qty]]*Store_Record[[#This Row],[UnitPriceGBP]]</f>
        <v>5</v>
      </c>
      <c r="L2533" s="5" t="str">
        <f>TEXT(Store_Record[[#This Row],[Date]],"dddd")</f>
        <v>Thursday</v>
      </c>
      <c r="M2533" s="5" t="str">
        <f>TEXT(Store_Record[[#This Row],[Date]],"mmmm")</f>
        <v>July</v>
      </c>
      <c r="N2533" s="5">
        <f>YEAR(Store_Record[[#This Row],[Date]])</f>
        <v>2025</v>
      </c>
      <c r="O2533"/>
    </row>
    <row r="2534" spans="1:15" x14ac:dyDescent="0.35">
      <c r="A2534" t="s">
        <v>3470</v>
      </c>
      <c r="B2534" s="2">
        <v>45841</v>
      </c>
      <c r="C2534" t="s">
        <v>36</v>
      </c>
      <c r="D2534" t="s">
        <v>38</v>
      </c>
      <c r="E2534" t="s">
        <v>26</v>
      </c>
      <c r="F2534" t="s">
        <v>13</v>
      </c>
      <c r="G2534">
        <v>1</v>
      </c>
      <c r="H2534">
        <v>3.5</v>
      </c>
      <c r="I2534" t="s">
        <v>21</v>
      </c>
      <c r="J2534" t="s">
        <v>1541</v>
      </c>
      <c r="K2534" s="12">
        <f>Store_Record[[#This Row],[Qty]]*Store_Record[[#This Row],[UnitPriceGBP]]</f>
        <v>3.5</v>
      </c>
      <c r="L2534" s="5" t="str">
        <f>TEXT(Store_Record[[#This Row],[Date]],"dddd")</f>
        <v>Thursday</v>
      </c>
      <c r="M2534" s="5" t="str">
        <f>TEXT(Store_Record[[#This Row],[Date]],"mmmm")</f>
        <v>July</v>
      </c>
      <c r="N2534" s="5">
        <f>YEAR(Store_Record[[#This Row],[Date]])</f>
        <v>2025</v>
      </c>
      <c r="O2534"/>
    </row>
    <row r="2535" spans="1:15" x14ac:dyDescent="0.35">
      <c r="A2535" t="s">
        <v>3466</v>
      </c>
      <c r="B2535" s="2">
        <v>45841</v>
      </c>
      <c r="C2535" t="s">
        <v>24</v>
      </c>
      <c r="D2535" t="s">
        <v>11</v>
      </c>
      <c r="E2535" t="s">
        <v>30</v>
      </c>
      <c r="F2535" t="s">
        <v>31</v>
      </c>
      <c r="G2535">
        <v>1</v>
      </c>
      <c r="H2535">
        <v>2.8</v>
      </c>
      <c r="I2535" t="s">
        <v>14</v>
      </c>
      <c r="J2535" t="s">
        <v>2222</v>
      </c>
      <c r="K2535" s="12">
        <f>Store_Record[[#This Row],[Qty]]*Store_Record[[#This Row],[UnitPriceGBP]]</f>
        <v>2.8</v>
      </c>
      <c r="L2535" s="5" t="str">
        <f>TEXT(Store_Record[[#This Row],[Date]],"dddd")</f>
        <v>Thursday</v>
      </c>
      <c r="M2535" s="5" t="str">
        <f>TEXT(Store_Record[[#This Row],[Date]],"mmmm")</f>
        <v>July</v>
      </c>
      <c r="N2535" s="5">
        <f>YEAR(Store_Record[[#This Row],[Date]])</f>
        <v>2025</v>
      </c>
      <c r="O2535"/>
    </row>
    <row r="2536" spans="1:15" x14ac:dyDescent="0.35">
      <c r="A2536" t="s">
        <v>3458</v>
      </c>
      <c r="B2536" s="2">
        <v>45841</v>
      </c>
      <c r="C2536" t="s">
        <v>10</v>
      </c>
      <c r="D2536" t="s">
        <v>25</v>
      </c>
      <c r="E2536" t="s">
        <v>12</v>
      </c>
      <c r="F2536" t="s">
        <v>13</v>
      </c>
      <c r="G2536">
        <v>1</v>
      </c>
      <c r="H2536">
        <v>2.5</v>
      </c>
      <c r="I2536" t="s">
        <v>39</v>
      </c>
      <c r="J2536" t="s">
        <v>1250</v>
      </c>
      <c r="K2536" s="12">
        <f>Store_Record[[#This Row],[Qty]]*Store_Record[[#This Row],[UnitPriceGBP]]</f>
        <v>2.5</v>
      </c>
      <c r="L2536" s="5" t="str">
        <f>TEXT(Store_Record[[#This Row],[Date]],"dddd")</f>
        <v>Thursday</v>
      </c>
      <c r="M2536" s="5" t="str">
        <f>TEXT(Store_Record[[#This Row],[Date]],"mmmm")</f>
        <v>July</v>
      </c>
      <c r="N2536" s="5">
        <f>YEAR(Store_Record[[#This Row],[Date]])</f>
        <v>2025</v>
      </c>
      <c r="O2536"/>
    </row>
    <row r="2537" spans="1:15" x14ac:dyDescent="0.35">
      <c r="A2537" t="s">
        <v>3467</v>
      </c>
      <c r="B2537" s="2">
        <v>45841</v>
      </c>
      <c r="C2537" t="s">
        <v>36</v>
      </c>
      <c r="D2537" t="s">
        <v>11</v>
      </c>
      <c r="E2537" t="s">
        <v>12</v>
      </c>
      <c r="F2537" t="s">
        <v>13</v>
      </c>
      <c r="G2537">
        <v>1</v>
      </c>
      <c r="H2537">
        <v>2.5</v>
      </c>
      <c r="I2537" t="s">
        <v>21</v>
      </c>
      <c r="J2537" t="s">
        <v>1090</v>
      </c>
      <c r="K2537" s="12">
        <f>Store_Record[[#This Row],[Qty]]*Store_Record[[#This Row],[UnitPriceGBP]]</f>
        <v>2.5</v>
      </c>
      <c r="L2537" s="5" t="str">
        <f>TEXT(Store_Record[[#This Row],[Date]],"dddd")</f>
        <v>Thursday</v>
      </c>
      <c r="M2537" s="5" t="str">
        <f>TEXT(Store_Record[[#This Row],[Date]],"mmmm")</f>
        <v>July</v>
      </c>
      <c r="N2537" s="5">
        <f>YEAR(Store_Record[[#This Row],[Date]])</f>
        <v>2025</v>
      </c>
      <c r="O2537"/>
    </row>
    <row r="2538" spans="1:15" x14ac:dyDescent="0.35">
      <c r="A2538" t="s">
        <v>3472</v>
      </c>
      <c r="B2538" s="2">
        <v>45841</v>
      </c>
      <c r="C2538" t="s">
        <v>36</v>
      </c>
      <c r="D2538" t="s">
        <v>47</v>
      </c>
      <c r="E2538" t="s">
        <v>34</v>
      </c>
      <c r="F2538" t="s">
        <v>31</v>
      </c>
      <c r="G2538">
        <v>1</v>
      </c>
      <c r="H2538">
        <v>2.2000000000000002</v>
      </c>
      <c r="I2538" t="s">
        <v>21</v>
      </c>
      <c r="J2538" t="s">
        <v>2574</v>
      </c>
      <c r="K2538" s="12">
        <f>Store_Record[[#This Row],[Qty]]*Store_Record[[#This Row],[UnitPriceGBP]]</f>
        <v>2.2000000000000002</v>
      </c>
      <c r="L2538" s="5" t="str">
        <f>TEXT(Store_Record[[#This Row],[Date]],"dddd")</f>
        <v>Thursday</v>
      </c>
      <c r="M2538" s="5" t="str">
        <f>TEXT(Store_Record[[#This Row],[Date]],"mmmm")</f>
        <v>July</v>
      </c>
      <c r="N2538" s="5">
        <f>YEAR(Store_Record[[#This Row],[Date]])</f>
        <v>2025</v>
      </c>
      <c r="O2538"/>
    </row>
    <row r="2539" spans="1:15" x14ac:dyDescent="0.35">
      <c r="A2539" t="s">
        <v>3481</v>
      </c>
      <c r="B2539" s="2">
        <v>45842</v>
      </c>
      <c r="C2539" t="s">
        <v>24</v>
      </c>
      <c r="D2539" t="s">
        <v>29</v>
      </c>
      <c r="E2539" t="s">
        <v>42</v>
      </c>
      <c r="F2539" t="s">
        <v>13</v>
      </c>
      <c r="G2539">
        <v>4</v>
      </c>
      <c r="H2539">
        <v>3.8</v>
      </c>
      <c r="I2539" t="s">
        <v>14</v>
      </c>
      <c r="J2539" t="s">
        <v>314</v>
      </c>
      <c r="K2539" s="12">
        <f>Store_Record[[#This Row],[Qty]]*Store_Record[[#This Row],[UnitPriceGBP]]</f>
        <v>15.2</v>
      </c>
      <c r="L2539" s="5" t="str">
        <f>TEXT(Store_Record[[#This Row],[Date]],"dddd")</f>
        <v>Friday</v>
      </c>
      <c r="M2539" s="5" t="str">
        <f>TEXT(Store_Record[[#This Row],[Date]],"mmmm")</f>
        <v>July</v>
      </c>
      <c r="N2539" s="5">
        <f>YEAR(Store_Record[[#This Row],[Date]])</f>
        <v>2025</v>
      </c>
      <c r="O2539"/>
    </row>
    <row r="2540" spans="1:15" x14ac:dyDescent="0.35">
      <c r="A2540" t="s">
        <v>3475</v>
      </c>
      <c r="B2540" s="2">
        <v>45842</v>
      </c>
      <c r="C2540" t="s">
        <v>36</v>
      </c>
      <c r="D2540" t="s">
        <v>25</v>
      </c>
      <c r="E2540" t="s">
        <v>30</v>
      </c>
      <c r="F2540" t="s">
        <v>31</v>
      </c>
      <c r="G2540">
        <v>5</v>
      </c>
      <c r="H2540">
        <v>2.8</v>
      </c>
      <c r="I2540" t="s">
        <v>14</v>
      </c>
      <c r="J2540" t="s">
        <v>813</v>
      </c>
      <c r="K2540" s="12">
        <f>Store_Record[[#This Row],[Qty]]*Store_Record[[#This Row],[UnitPriceGBP]]</f>
        <v>14</v>
      </c>
      <c r="L2540" s="5" t="str">
        <f>TEXT(Store_Record[[#This Row],[Date]],"dddd")</f>
        <v>Friday</v>
      </c>
      <c r="M2540" s="5" t="str">
        <f>TEXT(Store_Record[[#This Row],[Date]],"mmmm")</f>
        <v>July</v>
      </c>
      <c r="N2540" s="5">
        <f>YEAR(Store_Record[[#This Row],[Date]])</f>
        <v>2025</v>
      </c>
      <c r="O2540"/>
    </row>
    <row r="2541" spans="1:15" x14ac:dyDescent="0.35">
      <c r="A2541" t="s">
        <v>3483</v>
      </c>
      <c r="B2541" s="2">
        <v>45842</v>
      </c>
      <c r="C2541" t="s">
        <v>20</v>
      </c>
      <c r="D2541" t="s">
        <v>47</v>
      </c>
      <c r="E2541" t="s">
        <v>30</v>
      </c>
      <c r="F2541" t="s">
        <v>31</v>
      </c>
      <c r="G2541">
        <v>5</v>
      </c>
      <c r="H2541">
        <v>2.8</v>
      </c>
      <c r="I2541" t="s">
        <v>21</v>
      </c>
      <c r="J2541" t="s">
        <v>3059</v>
      </c>
      <c r="K2541" s="12">
        <f>Store_Record[[#This Row],[Qty]]*Store_Record[[#This Row],[UnitPriceGBP]]</f>
        <v>14</v>
      </c>
      <c r="L2541" s="5" t="str">
        <f>TEXT(Store_Record[[#This Row],[Date]],"dddd")</f>
        <v>Friday</v>
      </c>
      <c r="M2541" s="5" t="str">
        <f>TEXT(Store_Record[[#This Row],[Date]],"mmmm")</f>
        <v>July</v>
      </c>
      <c r="N2541" s="5">
        <f>YEAR(Store_Record[[#This Row],[Date]])</f>
        <v>2025</v>
      </c>
      <c r="O2541"/>
    </row>
    <row r="2542" spans="1:15" x14ac:dyDescent="0.35">
      <c r="A2542" t="s">
        <v>3487</v>
      </c>
      <c r="B2542" s="2">
        <v>45842</v>
      </c>
      <c r="C2542" t="s">
        <v>10</v>
      </c>
      <c r="D2542" t="s">
        <v>38</v>
      </c>
      <c r="E2542" t="s">
        <v>26</v>
      </c>
      <c r="F2542" t="s">
        <v>13</v>
      </c>
      <c r="G2542">
        <v>4</v>
      </c>
      <c r="H2542">
        <v>3.5</v>
      </c>
      <c r="I2542" t="s">
        <v>14</v>
      </c>
      <c r="J2542" t="s">
        <v>2498</v>
      </c>
      <c r="K2542" s="12">
        <f>Store_Record[[#This Row],[Qty]]*Store_Record[[#This Row],[UnitPriceGBP]]</f>
        <v>14</v>
      </c>
      <c r="L2542" s="5" t="str">
        <f>TEXT(Store_Record[[#This Row],[Date]],"dddd")</f>
        <v>Friday</v>
      </c>
      <c r="M2542" s="5" t="str">
        <f>TEXT(Store_Record[[#This Row],[Date]],"mmmm")</f>
        <v>July</v>
      </c>
      <c r="N2542" s="5">
        <f>YEAR(Store_Record[[#This Row],[Date]])</f>
        <v>2025</v>
      </c>
      <c r="O2542"/>
    </row>
    <row r="2543" spans="1:15" x14ac:dyDescent="0.35">
      <c r="A2543" t="s">
        <v>3479</v>
      </c>
      <c r="B2543" s="2">
        <v>45842</v>
      </c>
      <c r="C2543" t="s">
        <v>24</v>
      </c>
      <c r="D2543" t="s">
        <v>47</v>
      </c>
      <c r="E2543" t="s">
        <v>12</v>
      </c>
      <c r="F2543" t="s">
        <v>13</v>
      </c>
      <c r="G2543">
        <v>5</v>
      </c>
      <c r="H2543">
        <v>2.5</v>
      </c>
      <c r="I2543" t="s">
        <v>21</v>
      </c>
      <c r="J2543" t="s">
        <v>630</v>
      </c>
      <c r="K2543" s="12">
        <f>Store_Record[[#This Row],[Qty]]*Store_Record[[#This Row],[UnitPriceGBP]]</f>
        <v>12.5</v>
      </c>
      <c r="L2543" s="5" t="str">
        <f>TEXT(Store_Record[[#This Row],[Date]],"dddd")</f>
        <v>Friday</v>
      </c>
      <c r="M2543" s="5" t="str">
        <f>TEXT(Store_Record[[#This Row],[Date]],"mmmm")</f>
        <v>July</v>
      </c>
      <c r="N2543" s="5">
        <f>YEAR(Store_Record[[#This Row],[Date]])</f>
        <v>2025</v>
      </c>
      <c r="O2543"/>
    </row>
    <row r="2544" spans="1:15" x14ac:dyDescent="0.35">
      <c r="A2544" t="s">
        <v>3476</v>
      </c>
      <c r="B2544" s="2">
        <v>45842</v>
      </c>
      <c r="C2544" t="s">
        <v>10</v>
      </c>
      <c r="D2544" t="s">
        <v>47</v>
      </c>
      <c r="E2544" t="s">
        <v>34</v>
      </c>
      <c r="F2544" t="s">
        <v>31</v>
      </c>
      <c r="G2544">
        <v>5</v>
      </c>
      <c r="H2544">
        <v>2.2000000000000002</v>
      </c>
      <c r="I2544" t="s">
        <v>21</v>
      </c>
      <c r="J2544" t="s">
        <v>1191</v>
      </c>
      <c r="K2544" s="12">
        <f>Store_Record[[#This Row],[Qty]]*Store_Record[[#This Row],[UnitPriceGBP]]</f>
        <v>11</v>
      </c>
      <c r="L2544" s="5" t="str">
        <f>TEXT(Store_Record[[#This Row],[Date]],"dddd")</f>
        <v>Friday</v>
      </c>
      <c r="M2544" s="5" t="str">
        <f>TEXT(Store_Record[[#This Row],[Date]],"mmmm")</f>
        <v>July</v>
      </c>
      <c r="N2544" s="5">
        <f>YEAR(Store_Record[[#This Row],[Date]])</f>
        <v>2025</v>
      </c>
      <c r="O2544"/>
    </row>
    <row r="2545" spans="1:15" x14ac:dyDescent="0.35">
      <c r="A2545" t="s">
        <v>3473</v>
      </c>
      <c r="B2545" s="2">
        <v>45842</v>
      </c>
      <c r="C2545" t="s">
        <v>20</v>
      </c>
      <c r="D2545" t="s">
        <v>38</v>
      </c>
      <c r="E2545" t="s">
        <v>26</v>
      </c>
      <c r="F2545" t="s">
        <v>13</v>
      </c>
      <c r="G2545">
        <v>3</v>
      </c>
      <c r="H2545">
        <v>3.5</v>
      </c>
      <c r="I2545" t="s">
        <v>14</v>
      </c>
      <c r="J2545" t="s">
        <v>524</v>
      </c>
      <c r="K2545" s="12">
        <f>Store_Record[[#This Row],[Qty]]*Store_Record[[#This Row],[UnitPriceGBP]]</f>
        <v>10.5</v>
      </c>
      <c r="L2545" s="5" t="str">
        <f>TEXT(Store_Record[[#This Row],[Date]],"dddd")</f>
        <v>Friday</v>
      </c>
      <c r="M2545" s="5" t="str">
        <f>TEXT(Store_Record[[#This Row],[Date]],"mmmm")</f>
        <v>July</v>
      </c>
      <c r="N2545" s="5">
        <f>YEAR(Store_Record[[#This Row],[Date]])</f>
        <v>2025</v>
      </c>
      <c r="O2545"/>
    </row>
    <row r="2546" spans="1:15" x14ac:dyDescent="0.35">
      <c r="A2546" t="s">
        <v>3474</v>
      </c>
      <c r="B2546" s="2">
        <v>45842</v>
      </c>
      <c r="C2546" t="s">
        <v>20</v>
      </c>
      <c r="D2546" t="s">
        <v>11</v>
      </c>
      <c r="E2546" t="s">
        <v>12</v>
      </c>
      <c r="F2546" t="s">
        <v>13</v>
      </c>
      <c r="G2546">
        <v>4</v>
      </c>
      <c r="H2546">
        <v>2.5</v>
      </c>
      <c r="I2546" t="s">
        <v>39</v>
      </c>
      <c r="J2546" t="s">
        <v>1179</v>
      </c>
      <c r="K2546" s="12">
        <f>Store_Record[[#This Row],[Qty]]*Store_Record[[#This Row],[UnitPriceGBP]]</f>
        <v>10</v>
      </c>
      <c r="L2546" s="5" t="str">
        <f>TEXT(Store_Record[[#This Row],[Date]],"dddd")</f>
        <v>Friday</v>
      </c>
      <c r="M2546" s="5" t="str">
        <f>TEXT(Store_Record[[#This Row],[Date]],"mmmm")</f>
        <v>July</v>
      </c>
      <c r="N2546" s="5">
        <f>YEAR(Store_Record[[#This Row],[Date]])</f>
        <v>2025</v>
      </c>
      <c r="O2546"/>
    </row>
    <row r="2547" spans="1:15" x14ac:dyDescent="0.35">
      <c r="A2547" t="s">
        <v>3482</v>
      </c>
      <c r="B2547" s="2">
        <v>45842</v>
      </c>
      <c r="C2547" t="s">
        <v>20</v>
      </c>
      <c r="D2547" t="s">
        <v>47</v>
      </c>
      <c r="E2547" t="s">
        <v>34</v>
      </c>
      <c r="F2547" t="s">
        <v>31</v>
      </c>
      <c r="G2547">
        <v>4</v>
      </c>
      <c r="H2547">
        <v>2.2000000000000002</v>
      </c>
      <c r="I2547" t="s">
        <v>39</v>
      </c>
      <c r="J2547" t="s">
        <v>91</v>
      </c>
      <c r="K2547" s="12">
        <f>Store_Record[[#This Row],[Qty]]*Store_Record[[#This Row],[UnitPriceGBP]]</f>
        <v>8.8000000000000007</v>
      </c>
      <c r="L2547" s="5" t="str">
        <f>TEXT(Store_Record[[#This Row],[Date]],"dddd")</f>
        <v>Friday</v>
      </c>
      <c r="M2547" s="5" t="str">
        <f>TEXT(Store_Record[[#This Row],[Date]],"mmmm")</f>
        <v>July</v>
      </c>
      <c r="N2547" s="5">
        <f>YEAR(Store_Record[[#This Row],[Date]])</f>
        <v>2025</v>
      </c>
      <c r="O2547"/>
    </row>
    <row r="2548" spans="1:15" x14ac:dyDescent="0.35">
      <c r="A2548" t="s">
        <v>3484</v>
      </c>
      <c r="B2548" s="2">
        <v>45842</v>
      </c>
      <c r="C2548" t="s">
        <v>24</v>
      </c>
      <c r="D2548" t="s">
        <v>47</v>
      </c>
      <c r="E2548" t="s">
        <v>30</v>
      </c>
      <c r="F2548" t="s">
        <v>31</v>
      </c>
      <c r="G2548">
        <v>3</v>
      </c>
      <c r="H2548">
        <v>2.8</v>
      </c>
      <c r="I2548" t="s">
        <v>21</v>
      </c>
      <c r="J2548" t="s">
        <v>899</v>
      </c>
      <c r="K2548" s="12">
        <f>Store_Record[[#This Row],[Qty]]*Store_Record[[#This Row],[UnitPriceGBP]]</f>
        <v>8.3999999999999986</v>
      </c>
      <c r="L2548" s="5" t="str">
        <f>TEXT(Store_Record[[#This Row],[Date]],"dddd")</f>
        <v>Friday</v>
      </c>
      <c r="M2548" s="5" t="str">
        <f>TEXT(Store_Record[[#This Row],[Date]],"mmmm")</f>
        <v>July</v>
      </c>
      <c r="N2548" s="5">
        <f>YEAR(Store_Record[[#This Row],[Date]])</f>
        <v>2025</v>
      </c>
      <c r="O2548"/>
    </row>
    <row r="2549" spans="1:15" x14ac:dyDescent="0.35">
      <c r="A2549" t="s">
        <v>3477</v>
      </c>
      <c r="B2549" s="2">
        <v>45842</v>
      </c>
      <c r="C2549" t="s">
        <v>20</v>
      </c>
      <c r="D2549" t="s">
        <v>47</v>
      </c>
      <c r="E2549" t="s">
        <v>12</v>
      </c>
      <c r="F2549" t="s">
        <v>13</v>
      </c>
      <c r="G2549">
        <v>3</v>
      </c>
      <c r="H2549">
        <v>2.5</v>
      </c>
      <c r="I2549" t="s">
        <v>21</v>
      </c>
      <c r="J2549" t="s">
        <v>3478</v>
      </c>
      <c r="K2549" s="12">
        <f>Store_Record[[#This Row],[Qty]]*Store_Record[[#This Row],[UnitPriceGBP]]</f>
        <v>7.5</v>
      </c>
      <c r="L2549" s="5" t="str">
        <f>TEXT(Store_Record[[#This Row],[Date]],"dddd")</f>
        <v>Friday</v>
      </c>
      <c r="M2549" s="5" t="str">
        <f>TEXT(Store_Record[[#This Row],[Date]],"mmmm")</f>
        <v>July</v>
      </c>
      <c r="N2549" s="5">
        <f>YEAR(Store_Record[[#This Row],[Date]])</f>
        <v>2025</v>
      </c>
      <c r="O2549"/>
    </row>
    <row r="2550" spans="1:15" x14ac:dyDescent="0.35">
      <c r="A2550" t="s">
        <v>3488</v>
      </c>
      <c r="B2550" s="2">
        <v>45842</v>
      </c>
      <c r="C2550" t="s">
        <v>24</v>
      </c>
      <c r="D2550" t="s">
        <v>47</v>
      </c>
      <c r="E2550" t="s">
        <v>12</v>
      </c>
      <c r="F2550" t="s">
        <v>13</v>
      </c>
      <c r="G2550">
        <v>3</v>
      </c>
      <c r="H2550">
        <v>2.5</v>
      </c>
      <c r="I2550" t="s">
        <v>39</v>
      </c>
      <c r="J2550" t="s">
        <v>951</v>
      </c>
      <c r="K2550" s="12">
        <f>Store_Record[[#This Row],[Qty]]*Store_Record[[#This Row],[UnitPriceGBP]]</f>
        <v>7.5</v>
      </c>
      <c r="L2550" s="5" t="str">
        <f>TEXT(Store_Record[[#This Row],[Date]],"dddd")</f>
        <v>Friday</v>
      </c>
      <c r="M2550" s="5" t="str">
        <f>TEXT(Store_Record[[#This Row],[Date]],"mmmm")</f>
        <v>July</v>
      </c>
      <c r="N2550" s="5">
        <f>YEAR(Store_Record[[#This Row],[Date]])</f>
        <v>2025</v>
      </c>
      <c r="O2550"/>
    </row>
    <row r="2551" spans="1:15" x14ac:dyDescent="0.35">
      <c r="A2551" t="s">
        <v>3485</v>
      </c>
      <c r="B2551" s="2">
        <v>45842</v>
      </c>
      <c r="C2551" t="s">
        <v>10</v>
      </c>
      <c r="D2551" t="s">
        <v>47</v>
      </c>
      <c r="E2551" t="s">
        <v>12</v>
      </c>
      <c r="F2551" t="s">
        <v>13</v>
      </c>
      <c r="G2551">
        <v>2</v>
      </c>
      <c r="H2551">
        <v>2.5</v>
      </c>
      <c r="I2551" t="s">
        <v>14</v>
      </c>
      <c r="J2551" t="s">
        <v>3486</v>
      </c>
      <c r="K2551" s="12">
        <f>Store_Record[[#This Row],[Qty]]*Store_Record[[#This Row],[UnitPriceGBP]]</f>
        <v>5</v>
      </c>
      <c r="L2551" s="5" t="str">
        <f>TEXT(Store_Record[[#This Row],[Date]],"dddd")</f>
        <v>Friday</v>
      </c>
      <c r="M2551" s="5" t="str">
        <f>TEXT(Store_Record[[#This Row],[Date]],"mmmm")</f>
        <v>July</v>
      </c>
      <c r="N2551" s="5">
        <f>YEAR(Store_Record[[#This Row],[Date]])</f>
        <v>2025</v>
      </c>
      <c r="O2551"/>
    </row>
    <row r="2552" spans="1:15" x14ac:dyDescent="0.35">
      <c r="A2552" t="s">
        <v>3480</v>
      </c>
      <c r="B2552" s="2">
        <v>45842</v>
      </c>
      <c r="C2552" t="s">
        <v>10</v>
      </c>
      <c r="D2552" t="s">
        <v>25</v>
      </c>
      <c r="E2552" t="s">
        <v>34</v>
      </c>
      <c r="F2552" t="s">
        <v>31</v>
      </c>
      <c r="G2552">
        <v>1</v>
      </c>
      <c r="H2552">
        <v>2.2000000000000002</v>
      </c>
      <c r="I2552" t="s">
        <v>39</v>
      </c>
      <c r="J2552" t="s">
        <v>2220</v>
      </c>
      <c r="K2552" s="12">
        <f>Store_Record[[#This Row],[Qty]]*Store_Record[[#This Row],[UnitPriceGBP]]</f>
        <v>2.2000000000000002</v>
      </c>
      <c r="L2552" s="5" t="str">
        <f>TEXT(Store_Record[[#This Row],[Date]],"dddd")</f>
        <v>Friday</v>
      </c>
      <c r="M2552" s="5" t="str">
        <f>TEXT(Store_Record[[#This Row],[Date]],"mmmm")</f>
        <v>July</v>
      </c>
      <c r="N2552" s="5">
        <f>YEAR(Store_Record[[#This Row],[Date]])</f>
        <v>2025</v>
      </c>
      <c r="O2552"/>
    </row>
    <row r="2553" spans="1:15" x14ac:dyDescent="0.35">
      <c r="A2553" t="s">
        <v>3489</v>
      </c>
      <c r="B2553" s="2">
        <v>45843</v>
      </c>
      <c r="C2553" t="s">
        <v>36</v>
      </c>
      <c r="D2553" t="s">
        <v>11</v>
      </c>
      <c r="E2553" t="s">
        <v>42</v>
      </c>
      <c r="F2553" t="s">
        <v>13</v>
      </c>
      <c r="G2553">
        <v>4</v>
      </c>
      <c r="H2553">
        <v>3.8</v>
      </c>
      <c r="I2553" t="s">
        <v>21</v>
      </c>
      <c r="J2553" t="s">
        <v>1393</v>
      </c>
      <c r="K2553" s="12">
        <f>Store_Record[[#This Row],[Qty]]*Store_Record[[#This Row],[UnitPriceGBP]]</f>
        <v>15.2</v>
      </c>
      <c r="L2553" s="5" t="str">
        <f>TEXT(Store_Record[[#This Row],[Date]],"dddd")</f>
        <v>Saturday</v>
      </c>
      <c r="M2553" s="5" t="str">
        <f>TEXT(Store_Record[[#This Row],[Date]],"mmmm")</f>
        <v>July</v>
      </c>
      <c r="N2553" s="5">
        <f>YEAR(Store_Record[[#This Row],[Date]])</f>
        <v>2025</v>
      </c>
      <c r="O2553"/>
    </row>
    <row r="2554" spans="1:15" x14ac:dyDescent="0.35">
      <c r="A2554" t="s">
        <v>3506</v>
      </c>
      <c r="B2554" s="2">
        <v>45843</v>
      </c>
      <c r="C2554" t="s">
        <v>10</v>
      </c>
      <c r="D2554" t="s">
        <v>29</v>
      </c>
      <c r="E2554" t="s">
        <v>42</v>
      </c>
      <c r="F2554" t="s">
        <v>13</v>
      </c>
      <c r="G2554">
        <v>4</v>
      </c>
      <c r="H2554">
        <v>3.8</v>
      </c>
      <c r="I2554" t="s">
        <v>14</v>
      </c>
      <c r="J2554" t="s">
        <v>1792</v>
      </c>
      <c r="K2554" s="12">
        <f>Store_Record[[#This Row],[Qty]]*Store_Record[[#This Row],[UnitPriceGBP]]</f>
        <v>15.2</v>
      </c>
      <c r="L2554" s="5" t="str">
        <f>TEXT(Store_Record[[#This Row],[Date]],"dddd")</f>
        <v>Saturday</v>
      </c>
      <c r="M2554" s="5" t="str">
        <f>TEXT(Store_Record[[#This Row],[Date]],"mmmm")</f>
        <v>July</v>
      </c>
      <c r="N2554" s="5">
        <f>YEAR(Store_Record[[#This Row],[Date]])</f>
        <v>2025</v>
      </c>
      <c r="O2554"/>
    </row>
    <row r="2555" spans="1:15" x14ac:dyDescent="0.35">
      <c r="A2555" t="s">
        <v>3503</v>
      </c>
      <c r="B2555" s="2">
        <v>45843</v>
      </c>
      <c r="C2555" t="s">
        <v>36</v>
      </c>
      <c r="D2555" t="s">
        <v>29</v>
      </c>
      <c r="E2555" t="s">
        <v>12</v>
      </c>
      <c r="F2555" t="s">
        <v>13</v>
      </c>
      <c r="G2555">
        <v>5</v>
      </c>
      <c r="H2555">
        <v>2.5</v>
      </c>
      <c r="I2555" t="s">
        <v>21</v>
      </c>
      <c r="J2555" t="s">
        <v>1389</v>
      </c>
      <c r="K2555" s="12">
        <f>Store_Record[[#This Row],[Qty]]*Store_Record[[#This Row],[UnitPriceGBP]]</f>
        <v>12.5</v>
      </c>
      <c r="L2555" s="5" t="str">
        <f>TEXT(Store_Record[[#This Row],[Date]],"dddd")</f>
        <v>Saturday</v>
      </c>
      <c r="M2555" s="5" t="str">
        <f>TEXT(Store_Record[[#This Row],[Date]],"mmmm")</f>
        <v>July</v>
      </c>
      <c r="N2555" s="5">
        <f>YEAR(Store_Record[[#This Row],[Date]])</f>
        <v>2025</v>
      </c>
      <c r="O2555"/>
    </row>
    <row r="2556" spans="1:15" x14ac:dyDescent="0.35">
      <c r="A2556" t="s">
        <v>3499</v>
      </c>
      <c r="B2556" s="2">
        <v>45843</v>
      </c>
      <c r="C2556" t="s">
        <v>24</v>
      </c>
      <c r="D2556" t="s">
        <v>47</v>
      </c>
      <c r="E2556" t="s">
        <v>42</v>
      </c>
      <c r="F2556" t="s">
        <v>13</v>
      </c>
      <c r="G2556">
        <v>3</v>
      </c>
      <c r="H2556">
        <v>3.8</v>
      </c>
      <c r="I2556" t="s">
        <v>14</v>
      </c>
      <c r="J2556" t="s">
        <v>3114</v>
      </c>
      <c r="K2556" s="12">
        <f>Store_Record[[#This Row],[Qty]]*Store_Record[[#This Row],[UnitPriceGBP]]</f>
        <v>11.399999999999999</v>
      </c>
      <c r="L2556" s="5" t="str">
        <f>TEXT(Store_Record[[#This Row],[Date]],"dddd")</f>
        <v>Saturday</v>
      </c>
      <c r="M2556" s="5" t="str">
        <f>TEXT(Store_Record[[#This Row],[Date]],"mmmm")</f>
        <v>July</v>
      </c>
      <c r="N2556" s="5">
        <f>YEAR(Store_Record[[#This Row],[Date]])</f>
        <v>2025</v>
      </c>
      <c r="O2556"/>
    </row>
    <row r="2557" spans="1:15" x14ac:dyDescent="0.35">
      <c r="A2557" t="s">
        <v>3490</v>
      </c>
      <c r="B2557" s="2">
        <v>45843</v>
      </c>
      <c r="C2557" t="s">
        <v>24</v>
      </c>
      <c r="D2557" t="s">
        <v>38</v>
      </c>
      <c r="E2557" t="s">
        <v>30</v>
      </c>
      <c r="F2557" t="s">
        <v>31</v>
      </c>
      <c r="G2557">
        <v>4</v>
      </c>
      <c r="H2557">
        <v>2.8</v>
      </c>
      <c r="I2557" t="s">
        <v>21</v>
      </c>
      <c r="J2557" t="s">
        <v>1622</v>
      </c>
      <c r="K2557" s="12">
        <f>Store_Record[[#This Row],[Qty]]*Store_Record[[#This Row],[UnitPriceGBP]]</f>
        <v>11.2</v>
      </c>
      <c r="L2557" s="5" t="str">
        <f>TEXT(Store_Record[[#This Row],[Date]],"dddd")</f>
        <v>Saturday</v>
      </c>
      <c r="M2557" s="5" t="str">
        <f>TEXT(Store_Record[[#This Row],[Date]],"mmmm")</f>
        <v>July</v>
      </c>
      <c r="N2557" s="5">
        <f>YEAR(Store_Record[[#This Row],[Date]])</f>
        <v>2025</v>
      </c>
      <c r="O2557"/>
    </row>
    <row r="2558" spans="1:15" x14ac:dyDescent="0.35">
      <c r="A2558" t="s">
        <v>3495</v>
      </c>
      <c r="B2558" s="2">
        <v>45843</v>
      </c>
      <c r="C2558" t="s">
        <v>20</v>
      </c>
      <c r="D2558" t="s">
        <v>47</v>
      </c>
      <c r="E2558" t="s">
        <v>34</v>
      </c>
      <c r="F2558" t="s">
        <v>31</v>
      </c>
      <c r="G2558">
        <v>4</v>
      </c>
      <c r="H2558">
        <v>2.2000000000000002</v>
      </c>
      <c r="I2558" t="s">
        <v>39</v>
      </c>
      <c r="J2558" t="s">
        <v>1395</v>
      </c>
      <c r="K2558" s="12">
        <f>Store_Record[[#This Row],[Qty]]*Store_Record[[#This Row],[UnitPriceGBP]]</f>
        <v>8.8000000000000007</v>
      </c>
      <c r="L2558" s="5" t="str">
        <f>TEXT(Store_Record[[#This Row],[Date]],"dddd")</f>
        <v>Saturday</v>
      </c>
      <c r="M2558" s="5" t="str">
        <f>TEXT(Store_Record[[#This Row],[Date]],"mmmm")</f>
        <v>July</v>
      </c>
      <c r="N2558" s="5">
        <f>YEAR(Store_Record[[#This Row],[Date]])</f>
        <v>2025</v>
      </c>
      <c r="O2558"/>
    </row>
    <row r="2559" spans="1:15" x14ac:dyDescent="0.35">
      <c r="A2559" t="s">
        <v>3497</v>
      </c>
      <c r="B2559" s="2">
        <v>45843</v>
      </c>
      <c r="C2559" t="s">
        <v>24</v>
      </c>
      <c r="D2559" t="s">
        <v>38</v>
      </c>
      <c r="E2559" t="s">
        <v>30</v>
      </c>
      <c r="F2559" t="s">
        <v>31</v>
      </c>
      <c r="G2559">
        <v>3</v>
      </c>
      <c r="H2559">
        <v>2.8</v>
      </c>
      <c r="I2559" t="s">
        <v>39</v>
      </c>
      <c r="J2559" t="s">
        <v>3498</v>
      </c>
      <c r="K2559" s="12">
        <f>Store_Record[[#This Row],[Qty]]*Store_Record[[#This Row],[UnitPriceGBP]]</f>
        <v>8.3999999999999986</v>
      </c>
      <c r="L2559" s="5" t="str">
        <f>TEXT(Store_Record[[#This Row],[Date]],"dddd")</f>
        <v>Saturday</v>
      </c>
      <c r="M2559" s="5" t="str">
        <f>TEXT(Store_Record[[#This Row],[Date]],"mmmm")</f>
        <v>July</v>
      </c>
      <c r="N2559" s="5">
        <f>YEAR(Store_Record[[#This Row],[Date]])</f>
        <v>2025</v>
      </c>
      <c r="O2559"/>
    </row>
    <row r="2560" spans="1:15" x14ac:dyDescent="0.35">
      <c r="A2560" t="s">
        <v>3500</v>
      </c>
      <c r="B2560" s="2">
        <v>45843</v>
      </c>
      <c r="C2560" t="s">
        <v>36</v>
      </c>
      <c r="D2560" t="s">
        <v>38</v>
      </c>
      <c r="E2560" t="s">
        <v>12</v>
      </c>
      <c r="F2560" t="s">
        <v>13</v>
      </c>
      <c r="G2560">
        <v>3</v>
      </c>
      <c r="H2560">
        <v>2.5</v>
      </c>
      <c r="I2560" t="s">
        <v>39</v>
      </c>
      <c r="J2560" t="s">
        <v>1488</v>
      </c>
      <c r="K2560" s="12">
        <f>Store_Record[[#This Row],[Qty]]*Store_Record[[#This Row],[UnitPriceGBP]]</f>
        <v>7.5</v>
      </c>
      <c r="L2560" s="5" t="str">
        <f>TEXT(Store_Record[[#This Row],[Date]],"dddd")</f>
        <v>Saturday</v>
      </c>
      <c r="M2560" s="5" t="str">
        <f>TEXT(Store_Record[[#This Row],[Date]],"mmmm")</f>
        <v>July</v>
      </c>
      <c r="N2560" s="5">
        <f>YEAR(Store_Record[[#This Row],[Date]])</f>
        <v>2025</v>
      </c>
      <c r="O2560"/>
    </row>
    <row r="2561" spans="1:15" x14ac:dyDescent="0.35">
      <c r="A2561" t="s">
        <v>3496</v>
      </c>
      <c r="B2561" s="2">
        <v>45843</v>
      </c>
      <c r="C2561" t="s">
        <v>24</v>
      </c>
      <c r="D2561" t="s">
        <v>29</v>
      </c>
      <c r="E2561" t="s">
        <v>26</v>
      </c>
      <c r="F2561" t="s">
        <v>13</v>
      </c>
      <c r="G2561">
        <v>2</v>
      </c>
      <c r="H2561">
        <v>3.5</v>
      </c>
      <c r="I2561" t="s">
        <v>14</v>
      </c>
      <c r="J2561" t="s">
        <v>52</v>
      </c>
      <c r="K2561" s="12">
        <f>Store_Record[[#This Row],[Qty]]*Store_Record[[#This Row],[UnitPriceGBP]]</f>
        <v>7</v>
      </c>
      <c r="L2561" s="5" t="str">
        <f>TEXT(Store_Record[[#This Row],[Date]],"dddd")</f>
        <v>Saturday</v>
      </c>
      <c r="M2561" s="5" t="str">
        <f>TEXT(Store_Record[[#This Row],[Date]],"mmmm")</f>
        <v>July</v>
      </c>
      <c r="N2561" s="5">
        <f>YEAR(Store_Record[[#This Row],[Date]])</f>
        <v>2025</v>
      </c>
      <c r="O2561"/>
    </row>
    <row r="2562" spans="1:15" x14ac:dyDescent="0.35">
      <c r="A2562" t="s">
        <v>3501</v>
      </c>
      <c r="B2562" s="2">
        <v>45843</v>
      </c>
      <c r="C2562" t="s">
        <v>20</v>
      </c>
      <c r="D2562" t="s">
        <v>29</v>
      </c>
      <c r="E2562" t="s">
        <v>12</v>
      </c>
      <c r="F2562" t="s">
        <v>13</v>
      </c>
      <c r="G2562">
        <v>2</v>
      </c>
      <c r="H2562">
        <v>2.5</v>
      </c>
      <c r="I2562" t="s">
        <v>21</v>
      </c>
      <c r="J2562" t="s">
        <v>225</v>
      </c>
      <c r="K2562" s="12">
        <f>Store_Record[[#This Row],[Qty]]*Store_Record[[#This Row],[UnitPriceGBP]]</f>
        <v>5</v>
      </c>
      <c r="L2562" s="5" t="str">
        <f>TEXT(Store_Record[[#This Row],[Date]],"dddd")</f>
        <v>Saturday</v>
      </c>
      <c r="M2562" s="5" t="str">
        <f>TEXT(Store_Record[[#This Row],[Date]],"mmmm")</f>
        <v>July</v>
      </c>
      <c r="N2562" s="5">
        <f>YEAR(Store_Record[[#This Row],[Date]])</f>
        <v>2025</v>
      </c>
      <c r="O2562"/>
    </row>
    <row r="2563" spans="1:15" x14ac:dyDescent="0.35">
      <c r="A2563" t="s">
        <v>3494</v>
      </c>
      <c r="B2563" s="2">
        <v>45843</v>
      </c>
      <c r="C2563" t="s">
        <v>36</v>
      </c>
      <c r="D2563" t="s">
        <v>25</v>
      </c>
      <c r="E2563" t="s">
        <v>42</v>
      </c>
      <c r="F2563" t="s">
        <v>13</v>
      </c>
      <c r="G2563">
        <v>1</v>
      </c>
      <c r="H2563">
        <v>3.8</v>
      </c>
      <c r="I2563" t="s">
        <v>39</v>
      </c>
      <c r="J2563" t="s">
        <v>1610</v>
      </c>
      <c r="K2563" s="12">
        <f>Store_Record[[#This Row],[Qty]]*Store_Record[[#This Row],[UnitPriceGBP]]</f>
        <v>3.8</v>
      </c>
      <c r="L2563" s="5" t="str">
        <f>TEXT(Store_Record[[#This Row],[Date]],"dddd")</f>
        <v>Saturday</v>
      </c>
      <c r="M2563" s="5" t="str">
        <f>TEXT(Store_Record[[#This Row],[Date]],"mmmm")</f>
        <v>July</v>
      </c>
      <c r="N2563" s="5">
        <f>YEAR(Store_Record[[#This Row],[Date]])</f>
        <v>2025</v>
      </c>
      <c r="O2563"/>
    </row>
    <row r="2564" spans="1:15" x14ac:dyDescent="0.35">
      <c r="A2564" t="s">
        <v>3502</v>
      </c>
      <c r="B2564" s="2">
        <v>45843</v>
      </c>
      <c r="C2564" t="s">
        <v>36</v>
      </c>
      <c r="D2564" t="s">
        <v>47</v>
      </c>
      <c r="E2564" t="s">
        <v>30</v>
      </c>
      <c r="F2564" t="s">
        <v>31</v>
      </c>
      <c r="G2564">
        <v>1</v>
      </c>
      <c r="H2564">
        <v>2.8</v>
      </c>
      <c r="I2564" t="s">
        <v>39</v>
      </c>
      <c r="J2564" t="s">
        <v>567</v>
      </c>
      <c r="K2564" s="12">
        <f>Store_Record[[#This Row],[Qty]]*Store_Record[[#This Row],[UnitPriceGBP]]</f>
        <v>2.8</v>
      </c>
      <c r="L2564" s="5" t="str">
        <f>TEXT(Store_Record[[#This Row],[Date]],"dddd")</f>
        <v>Saturday</v>
      </c>
      <c r="M2564" s="5" t="str">
        <f>TEXT(Store_Record[[#This Row],[Date]],"mmmm")</f>
        <v>July</v>
      </c>
      <c r="N2564" s="5">
        <f>YEAR(Store_Record[[#This Row],[Date]])</f>
        <v>2025</v>
      </c>
      <c r="O2564"/>
    </row>
    <row r="2565" spans="1:15" x14ac:dyDescent="0.35">
      <c r="A2565" t="s">
        <v>3491</v>
      </c>
      <c r="B2565" s="2">
        <v>45843</v>
      </c>
      <c r="C2565" t="s">
        <v>20</v>
      </c>
      <c r="D2565" t="s">
        <v>25</v>
      </c>
      <c r="E2565" t="s">
        <v>12</v>
      </c>
      <c r="F2565" t="s">
        <v>13</v>
      </c>
      <c r="G2565">
        <v>1</v>
      </c>
      <c r="H2565">
        <v>2.5</v>
      </c>
      <c r="I2565" t="s">
        <v>21</v>
      </c>
      <c r="J2565" t="s">
        <v>1428</v>
      </c>
      <c r="K2565" s="12">
        <f>Store_Record[[#This Row],[Qty]]*Store_Record[[#This Row],[UnitPriceGBP]]</f>
        <v>2.5</v>
      </c>
      <c r="L2565" s="5" t="str">
        <f>TEXT(Store_Record[[#This Row],[Date]],"dddd")</f>
        <v>Saturday</v>
      </c>
      <c r="M2565" s="5" t="str">
        <f>TEXT(Store_Record[[#This Row],[Date]],"mmmm")</f>
        <v>July</v>
      </c>
      <c r="N2565" s="5">
        <f>YEAR(Store_Record[[#This Row],[Date]])</f>
        <v>2025</v>
      </c>
      <c r="O2565"/>
    </row>
    <row r="2566" spans="1:15" x14ac:dyDescent="0.35">
      <c r="A2566" t="s">
        <v>3492</v>
      </c>
      <c r="B2566" s="2">
        <v>45843</v>
      </c>
      <c r="C2566" t="s">
        <v>10</v>
      </c>
      <c r="D2566" t="s">
        <v>47</v>
      </c>
      <c r="E2566" t="s">
        <v>34</v>
      </c>
      <c r="F2566" t="s">
        <v>31</v>
      </c>
      <c r="G2566">
        <v>1</v>
      </c>
      <c r="H2566">
        <v>2.2000000000000002</v>
      </c>
      <c r="I2566" t="s">
        <v>14</v>
      </c>
      <c r="J2566" t="s">
        <v>3493</v>
      </c>
      <c r="K2566" s="12">
        <f>Store_Record[[#This Row],[Qty]]*Store_Record[[#This Row],[UnitPriceGBP]]</f>
        <v>2.2000000000000002</v>
      </c>
      <c r="L2566" s="5" t="str">
        <f>TEXT(Store_Record[[#This Row],[Date]],"dddd")</f>
        <v>Saturday</v>
      </c>
      <c r="M2566" s="5" t="str">
        <f>TEXT(Store_Record[[#This Row],[Date]],"mmmm")</f>
        <v>July</v>
      </c>
      <c r="N2566" s="5">
        <f>YEAR(Store_Record[[#This Row],[Date]])</f>
        <v>2025</v>
      </c>
      <c r="O2566"/>
    </row>
    <row r="2567" spans="1:15" x14ac:dyDescent="0.35">
      <c r="A2567" t="s">
        <v>3504</v>
      </c>
      <c r="B2567" s="2">
        <v>45843</v>
      </c>
      <c r="C2567" t="s">
        <v>36</v>
      </c>
      <c r="D2567" t="s">
        <v>38</v>
      </c>
      <c r="E2567" t="s">
        <v>34</v>
      </c>
      <c r="F2567" t="s">
        <v>31</v>
      </c>
      <c r="G2567">
        <v>1</v>
      </c>
      <c r="H2567">
        <v>2.2000000000000002</v>
      </c>
      <c r="I2567" t="s">
        <v>39</v>
      </c>
      <c r="J2567" t="s">
        <v>3505</v>
      </c>
      <c r="K2567" s="12">
        <f>Store_Record[[#This Row],[Qty]]*Store_Record[[#This Row],[UnitPriceGBP]]</f>
        <v>2.2000000000000002</v>
      </c>
      <c r="L2567" s="5" t="str">
        <f>TEXT(Store_Record[[#This Row],[Date]],"dddd")</f>
        <v>Saturday</v>
      </c>
      <c r="M2567" s="5" t="str">
        <f>TEXT(Store_Record[[#This Row],[Date]],"mmmm")</f>
        <v>July</v>
      </c>
      <c r="N2567" s="5">
        <f>YEAR(Store_Record[[#This Row],[Date]])</f>
        <v>2025</v>
      </c>
      <c r="O2567"/>
    </row>
    <row r="2568" spans="1:15" x14ac:dyDescent="0.35">
      <c r="A2568" t="s">
        <v>3509</v>
      </c>
      <c r="B2568" s="2">
        <v>45844</v>
      </c>
      <c r="C2568" t="s">
        <v>20</v>
      </c>
      <c r="D2568" t="s">
        <v>25</v>
      </c>
      <c r="E2568" t="s">
        <v>42</v>
      </c>
      <c r="F2568" t="s">
        <v>13</v>
      </c>
      <c r="G2568">
        <v>4</v>
      </c>
      <c r="H2568">
        <v>3.8</v>
      </c>
      <c r="I2568" t="s">
        <v>14</v>
      </c>
      <c r="J2568" t="s">
        <v>308</v>
      </c>
      <c r="K2568" s="12">
        <f>Store_Record[[#This Row],[Qty]]*Store_Record[[#This Row],[UnitPriceGBP]]</f>
        <v>15.2</v>
      </c>
      <c r="L2568" s="5" t="str">
        <f>TEXT(Store_Record[[#This Row],[Date]],"dddd")</f>
        <v>Sunday</v>
      </c>
      <c r="M2568" s="5" t="str">
        <f>TEXT(Store_Record[[#This Row],[Date]],"mmmm")</f>
        <v>July</v>
      </c>
      <c r="N2568" s="5">
        <f>YEAR(Store_Record[[#This Row],[Date]])</f>
        <v>2025</v>
      </c>
      <c r="O2568"/>
    </row>
    <row r="2569" spans="1:15" x14ac:dyDescent="0.35">
      <c r="A2569" t="s">
        <v>3520</v>
      </c>
      <c r="B2569" s="2">
        <v>45844</v>
      </c>
      <c r="C2569" t="s">
        <v>20</v>
      </c>
      <c r="D2569" t="s">
        <v>25</v>
      </c>
      <c r="E2569" t="s">
        <v>26</v>
      </c>
      <c r="F2569" t="s">
        <v>13</v>
      </c>
      <c r="G2569">
        <v>4</v>
      </c>
      <c r="H2569">
        <v>3.5</v>
      </c>
      <c r="I2569" t="s">
        <v>21</v>
      </c>
      <c r="J2569" t="s">
        <v>1655</v>
      </c>
      <c r="K2569" s="12">
        <f>Store_Record[[#This Row],[Qty]]*Store_Record[[#This Row],[UnitPriceGBP]]</f>
        <v>14</v>
      </c>
      <c r="L2569" s="5" t="str">
        <f>TEXT(Store_Record[[#This Row],[Date]],"dddd")</f>
        <v>Sunday</v>
      </c>
      <c r="M2569" s="5" t="str">
        <f>TEXT(Store_Record[[#This Row],[Date]],"mmmm")</f>
        <v>July</v>
      </c>
      <c r="N2569" s="5">
        <f>YEAR(Store_Record[[#This Row],[Date]])</f>
        <v>2025</v>
      </c>
      <c r="O2569"/>
    </row>
    <row r="2570" spans="1:15" x14ac:dyDescent="0.35">
      <c r="A2570" t="s">
        <v>3518</v>
      </c>
      <c r="B2570" s="2">
        <v>45844</v>
      </c>
      <c r="C2570" t="s">
        <v>24</v>
      </c>
      <c r="D2570" t="s">
        <v>38</v>
      </c>
      <c r="E2570" t="s">
        <v>30</v>
      </c>
      <c r="F2570" t="s">
        <v>31</v>
      </c>
      <c r="G2570">
        <v>4</v>
      </c>
      <c r="H2570">
        <v>2.8</v>
      </c>
      <c r="I2570" t="s">
        <v>14</v>
      </c>
      <c r="J2570" t="s">
        <v>1985</v>
      </c>
      <c r="K2570" s="12">
        <f>Store_Record[[#This Row],[Qty]]*Store_Record[[#This Row],[UnitPriceGBP]]</f>
        <v>11.2</v>
      </c>
      <c r="L2570" s="5" t="str">
        <f>TEXT(Store_Record[[#This Row],[Date]],"dddd")</f>
        <v>Sunday</v>
      </c>
      <c r="M2570" s="5" t="str">
        <f>TEXT(Store_Record[[#This Row],[Date]],"mmmm")</f>
        <v>July</v>
      </c>
      <c r="N2570" s="5">
        <f>YEAR(Store_Record[[#This Row],[Date]])</f>
        <v>2025</v>
      </c>
      <c r="O2570"/>
    </row>
    <row r="2571" spans="1:15" x14ac:dyDescent="0.35">
      <c r="A2571" t="s">
        <v>3529</v>
      </c>
      <c r="B2571" s="2">
        <v>45844</v>
      </c>
      <c r="C2571" t="s">
        <v>20</v>
      </c>
      <c r="D2571" t="s">
        <v>29</v>
      </c>
      <c r="E2571" t="s">
        <v>30</v>
      </c>
      <c r="F2571" t="s">
        <v>31</v>
      </c>
      <c r="G2571">
        <v>4</v>
      </c>
      <c r="H2571">
        <v>2.8</v>
      </c>
      <c r="I2571" t="s">
        <v>39</v>
      </c>
      <c r="J2571" t="s">
        <v>2055</v>
      </c>
      <c r="K2571" s="12">
        <f>Store_Record[[#This Row],[Qty]]*Store_Record[[#This Row],[UnitPriceGBP]]</f>
        <v>11.2</v>
      </c>
      <c r="L2571" s="5" t="str">
        <f>TEXT(Store_Record[[#This Row],[Date]],"dddd")</f>
        <v>Sunday</v>
      </c>
      <c r="M2571" s="5" t="str">
        <f>TEXT(Store_Record[[#This Row],[Date]],"mmmm")</f>
        <v>July</v>
      </c>
      <c r="N2571" s="5">
        <f>YEAR(Store_Record[[#This Row],[Date]])</f>
        <v>2025</v>
      </c>
      <c r="O2571"/>
    </row>
    <row r="2572" spans="1:15" x14ac:dyDescent="0.35">
      <c r="A2572" t="s">
        <v>3522</v>
      </c>
      <c r="B2572" s="2">
        <v>45844</v>
      </c>
      <c r="C2572" t="s">
        <v>20</v>
      </c>
      <c r="D2572" t="s">
        <v>29</v>
      </c>
      <c r="E2572" t="s">
        <v>34</v>
      </c>
      <c r="F2572" t="s">
        <v>31</v>
      </c>
      <c r="G2572">
        <v>5</v>
      </c>
      <c r="H2572">
        <v>2.2000000000000002</v>
      </c>
      <c r="I2572" t="s">
        <v>21</v>
      </c>
      <c r="J2572" t="s">
        <v>3523</v>
      </c>
      <c r="K2572" s="12">
        <f>Store_Record[[#This Row],[Qty]]*Store_Record[[#This Row],[UnitPriceGBP]]</f>
        <v>11</v>
      </c>
      <c r="L2572" s="5" t="str">
        <f>TEXT(Store_Record[[#This Row],[Date]],"dddd")</f>
        <v>Sunday</v>
      </c>
      <c r="M2572" s="5" t="str">
        <f>TEXT(Store_Record[[#This Row],[Date]],"mmmm")</f>
        <v>July</v>
      </c>
      <c r="N2572" s="5">
        <f>YEAR(Store_Record[[#This Row],[Date]])</f>
        <v>2025</v>
      </c>
      <c r="O2572"/>
    </row>
    <row r="2573" spans="1:15" x14ac:dyDescent="0.35">
      <c r="A2573" t="s">
        <v>3516</v>
      </c>
      <c r="B2573" s="2">
        <v>45844</v>
      </c>
      <c r="C2573" t="s">
        <v>10</v>
      </c>
      <c r="D2573" t="s">
        <v>25</v>
      </c>
      <c r="E2573" t="s">
        <v>26</v>
      </c>
      <c r="F2573" t="s">
        <v>13</v>
      </c>
      <c r="G2573">
        <v>3</v>
      </c>
      <c r="H2573">
        <v>3.5</v>
      </c>
      <c r="I2573" t="s">
        <v>39</v>
      </c>
      <c r="J2573" t="s">
        <v>2119</v>
      </c>
      <c r="K2573" s="12">
        <f>Store_Record[[#This Row],[Qty]]*Store_Record[[#This Row],[UnitPriceGBP]]</f>
        <v>10.5</v>
      </c>
      <c r="L2573" s="5" t="str">
        <f>TEXT(Store_Record[[#This Row],[Date]],"dddd")</f>
        <v>Sunday</v>
      </c>
      <c r="M2573" s="5" t="str">
        <f>TEXT(Store_Record[[#This Row],[Date]],"mmmm")</f>
        <v>July</v>
      </c>
      <c r="N2573" s="5">
        <f>YEAR(Store_Record[[#This Row],[Date]])</f>
        <v>2025</v>
      </c>
      <c r="O2573"/>
    </row>
    <row r="2574" spans="1:15" x14ac:dyDescent="0.35">
      <c r="A2574" t="s">
        <v>3527</v>
      </c>
      <c r="B2574" s="2">
        <v>45844</v>
      </c>
      <c r="C2574" t="s">
        <v>36</v>
      </c>
      <c r="D2574" t="s">
        <v>29</v>
      </c>
      <c r="E2574" t="s">
        <v>12</v>
      </c>
      <c r="F2574" t="s">
        <v>13</v>
      </c>
      <c r="G2574">
        <v>4</v>
      </c>
      <c r="H2574">
        <v>2.5</v>
      </c>
      <c r="I2574" t="s">
        <v>14</v>
      </c>
      <c r="J2574" t="s">
        <v>2079</v>
      </c>
      <c r="K2574" s="12">
        <f>Store_Record[[#This Row],[Qty]]*Store_Record[[#This Row],[UnitPriceGBP]]</f>
        <v>10</v>
      </c>
      <c r="L2574" s="5" t="str">
        <f>TEXT(Store_Record[[#This Row],[Date]],"dddd")</f>
        <v>Sunday</v>
      </c>
      <c r="M2574" s="5" t="str">
        <f>TEXT(Store_Record[[#This Row],[Date]],"mmmm")</f>
        <v>July</v>
      </c>
      <c r="N2574" s="5">
        <f>YEAR(Store_Record[[#This Row],[Date]])</f>
        <v>2025</v>
      </c>
      <c r="O2574"/>
    </row>
    <row r="2575" spans="1:15" x14ac:dyDescent="0.35">
      <c r="A2575" t="s">
        <v>3528</v>
      </c>
      <c r="B2575" s="2">
        <v>45844</v>
      </c>
      <c r="C2575" t="s">
        <v>20</v>
      </c>
      <c r="D2575" t="s">
        <v>38</v>
      </c>
      <c r="E2575" t="s">
        <v>12</v>
      </c>
      <c r="F2575" t="s">
        <v>13</v>
      </c>
      <c r="G2575">
        <v>4</v>
      </c>
      <c r="H2575">
        <v>2.5</v>
      </c>
      <c r="I2575" t="s">
        <v>39</v>
      </c>
      <c r="J2575" t="s">
        <v>2642</v>
      </c>
      <c r="K2575" s="12">
        <f>Store_Record[[#This Row],[Qty]]*Store_Record[[#This Row],[UnitPriceGBP]]</f>
        <v>10</v>
      </c>
      <c r="L2575" s="5" t="str">
        <f>TEXT(Store_Record[[#This Row],[Date]],"dddd")</f>
        <v>Sunday</v>
      </c>
      <c r="M2575" s="5" t="str">
        <f>TEXT(Store_Record[[#This Row],[Date]],"mmmm")</f>
        <v>July</v>
      </c>
      <c r="N2575" s="5">
        <f>YEAR(Store_Record[[#This Row],[Date]])</f>
        <v>2025</v>
      </c>
      <c r="O2575"/>
    </row>
    <row r="2576" spans="1:15" x14ac:dyDescent="0.35">
      <c r="A2576" t="s">
        <v>3507</v>
      </c>
      <c r="B2576" s="2">
        <v>45844</v>
      </c>
      <c r="C2576" t="s">
        <v>10</v>
      </c>
      <c r="D2576" t="s">
        <v>11</v>
      </c>
      <c r="E2576" t="s">
        <v>34</v>
      </c>
      <c r="F2576" t="s">
        <v>31</v>
      </c>
      <c r="G2576">
        <v>4</v>
      </c>
      <c r="H2576">
        <v>2.2000000000000002</v>
      </c>
      <c r="I2576" t="s">
        <v>14</v>
      </c>
      <c r="J2576" t="s">
        <v>3508</v>
      </c>
      <c r="K2576" s="12">
        <f>Store_Record[[#This Row],[Qty]]*Store_Record[[#This Row],[UnitPriceGBP]]</f>
        <v>8.8000000000000007</v>
      </c>
      <c r="L2576" s="5" t="str">
        <f>TEXT(Store_Record[[#This Row],[Date]],"dddd")</f>
        <v>Sunday</v>
      </c>
      <c r="M2576" s="5" t="str">
        <f>TEXT(Store_Record[[#This Row],[Date]],"mmmm")</f>
        <v>July</v>
      </c>
      <c r="N2576" s="5">
        <f>YEAR(Store_Record[[#This Row],[Date]])</f>
        <v>2025</v>
      </c>
      <c r="O2576"/>
    </row>
    <row r="2577" spans="1:15" x14ac:dyDescent="0.35">
      <c r="A2577" t="s">
        <v>3525</v>
      </c>
      <c r="B2577" s="2">
        <v>45844</v>
      </c>
      <c r="C2577" t="s">
        <v>36</v>
      </c>
      <c r="D2577" t="s">
        <v>11</v>
      </c>
      <c r="E2577" t="s">
        <v>34</v>
      </c>
      <c r="F2577" t="s">
        <v>31</v>
      </c>
      <c r="G2577">
        <v>4</v>
      </c>
      <c r="H2577">
        <v>2.2000000000000002</v>
      </c>
      <c r="I2577" t="s">
        <v>14</v>
      </c>
      <c r="J2577" t="s">
        <v>256</v>
      </c>
      <c r="K2577" s="12">
        <f>Store_Record[[#This Row],[Qty]]*Store_Record[[#This Row],[UnitPriceGBP]]</f>
        <v>8.8000000000000007</v>
      </c>
      <c r="L2577" s="5" t="str">
        <f>TEXT(Store_Record[[#This Row],[Date]],"dddd")</f>
        <v>Sunday</v>
      </c>
      <c r="M2577" s="5" t="str">
        <f>TEXT(Store_Record[[#This Row],[Date]],"mmmm")</f>
        <v>July</v>
      </c>
      <c r="N2577" s="5">
        <f>YEAR(Store_Record[[#This Row],[Date]])</f>
        <v>2025</v>
      </c>
      <c r="O2577"/>
    </row>
    <row r="2578" spans="1:15" x14ac:dyDescent="0.35">
      <c r="A2578" t="s">
        <v>3511</v>
      </c>
      <c r="B2578" s="2">
        <v>45844</v>
      </c>
      <c r="C2578" t="s">
        <v>24</v>
      </c>
      <c r="D2578" t="s">
        <v>38</v>
      </c>
      <c r="E2578" t="s">
        <v>42</v>
      </c>
      <c r="F2578" t="s">
        <v>13</v>
      </c>
      <c r="G2578">
        <v>2</v>
      </c>
      <c r="H2578">
        <v>3.8</v>
      </c>
      <c r="I2578" t="s">
        <v>39</v>
      </c>
      <c r="J2578" t="s">
        <v>129</v>
      </c>
      <c r="K2578" s="12">
        <f>Store_Record[[#This Row],[Qty]]*Store_Record[[#This Row],[UnitPriceGBP]]</f>
        <v>7.6</v>
      </c>
      <c r="L2578" s="5" t="str">
        <f>TEXT(Store_Record[[#This Row],[Date]],"dddd")</f>
        <v>Sunday</v>
      </c>
      <c r="M2578" s="5" t="str">
        <f>TEXT(Store_Record[[#This Row],[Date]],"mmmm")</f>
        <v>July</v>
      </c>
      <c r="N2578" s="5">
        <f>YEAR(Store_Record[[#This Row],[Date]])</f>
        <v>2025</v>
      </c>
      <c r="O2578"/>
    </row>
    <row r="2579" spans="1:15" x14ac:dyDescent="0.35">
      <c r="A2579" t="s">
        <v>3519</v>
      </c>
      <c r="B2579" s="2">
        <v>45844</v>
      </c>
      <c r="C2579" t="s">
        <v>20</v>
      </c>
      <c r="D2579" t="s">
        <v>47</v>
      </c>
      <c r="E2579" t="s">
        <v>42</v>
      </c>
      <c r="F2579" t="s">
        <v>13</v>
      </c>
      <c r="G2579">
        <v>2</v>
      </c>
      <c r="H2579">
        <v>3.8</v>
      </c>
      <c r="I2579" t="s">
        <v>21</v>
      </c>
      <c r="J2579" t="s">
        <v>1007</v>
      </c>
      <c r="K2579" s="12">
        <f>Store_Record[[#This Row],[Qty]]*Store_Record[[#This Row],[UnitPriceGBP]]</f>
        <v>7.6</v>
      </c>
      <c r="L2579" s="5" t="str">
        <f>TEXT(Store_Record[[#This Row],[Date]],"dddd")</f>
        <v>Sunday</v>
      </c>
      <c r="M2579" s="5" t="str">
        <f>TEXT(Store_Record[[#This Row],[Date]],"mmmm")</f>
        <v>July</v>
      </c>
      <c r="N2579" s="5">
        <f>YEAR(Store_Record[[#This Row],[Date]])</f>
        <v>2025</v>
      </c>
      <c r="O2579"/>
    </row>
    <row r="2580" spans="1:15" x14ac:dyDescent="0.35">
      <c r="A2580" t="s">
        <v>3517</v>
      </c>
      <c r="B2580" s="2">
        <v>45844</v>
      </c>
      <c r="C2580" t="s">
        <v>24</v>
      </c>
      <c r="D2580" t="s">
        <v>47</v>
      </c>
      <c r="E2580" t="s">
        <v>12</v>
      </c>
      <c r="F2580" t="s">
        <v>13</v>
      </c>
      <c r="G2580">
        <v>3</v>
      </c>
      <c r="H2580">
        <v>2.5</v>
      </c>
      <c r="I2580" t="s">
        <v>14</v>
      </c>
      <c r="J2580" t="s">
        <v>1921</v>
      </c>
      <c r="K2580" s="12">
        <f>Store_Record[[#This Row],[Qty]]*Store_Record[[#This Row],[UnitPriceGBP]]</f>
        <v>7.5</v>
      </c>
      <c r="L2580" s="5" t="str">
        <f>TEXT(Store_Record[[#This Row],[Date]],"dddd")</f>
        <v>Sunday</v>
      </c>
      <c r="M2580" s="5" t="str">
        <f>TEXT(Store_Record[[#This Row],[Date]],"mmmm")</f>
        <v>July</v>
      </c>
      <c r="N2580" s="5">
        <f>YEAR(Store_Record[[#This Row],[Date]])</f>
        <v>2025</v>
      </c>
      <c r="O2580"/>
    </row>
    <row r="2581" spans="1:15" x14ac:dyDescent="0.35">
      <c r="A2581" t="s">
        <v>3513</v>
      </c>
      <c r="B2581" s="2">
        <v>45844</v>
      </c>
      <c r="C2581" t="s">
        <v>20</v>
      </c>
      <c r="D2581" t="s">
        <v>25</v>
      </c>
      <c r="E2581" t="s">
        <v>26</v>
      </c>
      <c r="F2581" t="s">
        <v>13</v>
      </c>
      <c r="G2581">
        <v>2</v>
      </c>
      <c r="H2581">
        <v>3.5</v>
      </c>
      <c r="I2581" t="s">
        <v>21</v>
      </c>
      <c r="J2581" t="s">
        <v>806</v>
      </c>
      <c r="K2581" s="12">
        <f>Store_Record[[#This Row],[Qty]]*Store_Record[[#This Row],[UnitPriceGBP]]</f>
        <v>7</v>
      </c>
      <c r="L2581" s="5" t="str">
        <f>TEXT(Store_Record[[#This Row],[Date]],"dddd")</f>
        <v>Sunday</v>
      </c>
      <c r="M2581" s="5" t="str">
        <f>TEXT(Store_Record[[#This Row],[Date]],"mmmm")</f>
        <v>July</v>
      </c>
      <c r="N2581" s="5">
        <f>YEAR(Store_Record[[#This Row],[Date]])</f>
        <v>2025</v>
      </c>
      <c r="O2581"/>
    </row>
    <row r="2582" spans="1:15" x14ac:dyDescent="0.35">
      <c r="A2582" t="s">
        <v>3515</v>
      </c>
      <c r="B2582" s="2">
        <v>45844</v>
      </c>
      <c r="C2582" t="s">
        <v>36</v>
      </c>
      <c r="D2582" t="s">
        <v>47</v>
      </c>
      <c r="E2582" t="s">
        <v>30</v>
      </c>
      <c r="F2582" t="s">
        <v>31</v>
      </c>
      <c r="G2582">
        <v>2</v>
      </c>
      <c r="H2582">
        <v>2.8</v>
      </c>
      <c r="I2582" t="s">
        <v>21</v>
      </c>
      <c r="J2582" t="s">
        <v>2100</v>
      </c>
      <c r="K2582" s="12">
        <f>Store_Record[[#This Row],[Qty]]*Store_Record[[#This Row],[UnitPriceGBP]]</f>
        <v>5.6</v>
      </c>
      <c r="L2582" s="5" t="str">
        <f>TEXT(Store_Record[[#This Row],[Date]],"dddd")</f>
        <v>Sunday</v>
      </c>
      <c r="M2582" s="5" t="str">
        <f>TEXT(Store_Record[[#This Row],[Date]],"mmmm")</f>
        <v>July</v>
      </c>
      <c r="N2582" s="5">
        <f>YEAR(Store_Record[[#This Row],[Date]])</f>
        <v>2025</v>
      </c>
      <c r="O2582"/>
    </row>
    <row r="2583" spans="1:15" x14ac:dyDescent="0.35">
      <c r="A2583" t="s">
        <v>3526</v>
      </c>
      <c r="B2583" s="2">
        <v>45844</v>
      </c>
      <c r="C2583" t="s">
        <v>20</v>
      </c>
      <c r="D2583" t="s">
        <v>29</v>
      </c>
      <c r="E2583" t="s">
        <v>30</v>
      </c>
      <c r="F2583" t="s">
        <v>31</v>
      </c>
      <c r="G2583">
        <v>2</v>
      </c>
      <c r="H2583">
        <v>2.8</v>
      </c>
      <c r="I2583" t="s">
        <v>14</v>
      </c>
      <c r="J2583" t="s">
        <v>127</v>
      </c>
      <c r="K2583" s="12">
        <f>Store_Record[[#This Row],[Qty]]*Store_Record[[#This Row],[UnitPriceGBP]]</f>
        <v>5.6</v>
      </c>
      <c r="L2583" s="5" t="str">
        <f>TEXT(Store_Record[[#This Row],[Date]],"dddd")</f>
        <v>Sunday</v>
      </c>
      <c r="M2583" s="5" t="str">
        <f>TEXT(Store_Record[[#This Row],[Date]],"mmmm")</f>
        <v>July</v>
      </c>
      <c r="N2583" s="5">
        <f>YEAR(Store_Record[[#This Row],[Date]])</f>
        <v>2025</v>
      </c>
      <c r="O2583"/>
    </row>
    <row r="2584" spans="1:15" x14ac:dyDescent="0.35">
      <c r="A2584" t="s">
        <v>3521</v>
      </c>
      <c r="B2584" s="2">
        <v>45844</v>
      </c>
      <c r="C2584" t="s">
        <v>20</v>
      </c>
      <c r="D2584" t="s">
        <v>11</v>
      </c>
      <c r="E2584" t="s">
        <v>34</v>
      </c>
      <c r="F2584" t="s">
        <v>31</v>
      </c>
      <c r="G2584">
        <v>2</v>
      </c>
      <c r="H2584">
        <v>2.2000000000000002</v>
      </c>
      <c r="I2584" t="s">
        <v>21</v>
      </c>
      <c r="J2584" t="s">
        <v>456</v>
      </c>
      <c r="K2584" s="12">
        <f>Store_Record[[#This Row],[Qty]]*Store_Record[[#This Row],[UnitPriceGBP]]</f>
        <v>4.4000000000000004</v>
      </c>
      <c r="L2584" s="5" t="str">
        <f>TEXT(Store_Record[[#This Row],[Date]],"dddd")</f>
        <v>Sunday</v>
      </c>
      <c r="M2584" s="5" t="str">
        <f>TEXT(Store_Record[[#This Row],[Date]],"mmmm")</f>
        <v>July</v>
      </c>
      <c r="N2584" s="5">
        <f>YEAR(Store_Record[[#This Row],[Date]])</f>
        <v>2025</v>
      </c>
      <c r="O2584"/>
    </row>
    <row r="2585" spans="1:15" x14ac:dyDescent="0.35">
      <c r="A2585" t="s">
        <v>3524</v>
      </c>
      <c r="B2585" s="2">
        <v>45844</v>
      </c>
      <c r="C2585" t="s">
        <v>36</v>
      </c>
      <c r="D2585" t="s">
        <v>47</v>
      </c>
      <c r="E2585" t="s">
        <v>34</v>
      </c>
      <c r="F2585" t="s">
        <v>31</v>
      </c>
      <c r="G2585">
        <v>2</v>
      </c>
      <c r="H2585">
        <v>2.2000000000000002</v>
      </c>
      <c r="I2585" t="s">
        <v>39</v>
      </c>
      <c r="J2585" t="s">
        <v>2594</v>
      </c>
      <c r="K2585" s="12">
        <f>Store_Record[[#This Row],[Qty]]*Store_Record[[#This Row],[UnitPriceGBP]]</f>
        <v>4.4000000000000004</v>
      </c>
      <c r="L2585" s="5" t="str">
        <f>TEXT(Store_Record[[#This Row],[Date]],"dddd")</f>
        <v>Sunday</v>
      </c>
      <c r="M2585" s="5" t="str">
        <f>TEXT(Store_Record[[#This Row],[Date]],"mmmm")</f>
        <v>July</v>
      </c>
      <c r="N2585" s="5">
        <f>YEAR(Store_Record[[#This Row],[Date]])</f>
        <v>2025</v>
      </c>
      <c r="O2585"/>
    </row>
    <row r="2586" spans="1:15" x14ac:dyDescent="0.35">
      <c r="A2586" t="s">
        <v>3514</v>
      </c>
      <c r="B2586" s="2">
        <v>45844</v>
      </c>
      <c r="C2586" t="s">
        <v>10</v>
      </c>
      <c r="D2586" t="s">
        <v>25</v>
      </c>
      <c r="E2586" t="s">
        <v>26</v>
      </c>
      <c r="F2586" t="s">
        <v>13</v>
      </c>
      <c r="G2586">
        <v>1</v>
      </c>
      <c r="H2586">
        <v>3.5</v>
      </c>
      <c r="I2586" t="s">
        <v>14</v>
      </c>
      <c r="J2586" t="s">
        <v>1926</v>
      </c>
      <c r="K2586" s="12">
        <f>Store_Record[[#This Row],[Qty]]*Store_Record[[#This Row],[UnitPriceGBP]]</f>
        <v>3.5</v>
      </c>
      <c r="L2586" s="5" t="str">
        <f>TEXT(Store_Record[[#This Row],[Date]],"dddd")</f>
        <v>Sunday</v>
      </c>
      <c r="M2586" s="5" t="str">
        <f>TEXT(Store_Record[[#This Row],[Date]],"mmmm")</f>
        <v>July</v>
      </c>
      <c r="N2586" s="5">
        <f>YEAR(Store_Record[[#This Row],[Date]])</f>
        <v>2025</v>
      </c>
      <c r="O2586"/>
    </row>
    <row r="2587" spans="1:15" x14ac:dyDescent="0.35">
      <c r="A2587" t="s">
        <v>3510</v>
      </c>
      <c r="B2587" s="2">
        <v>45844</v>
      </c>
      <c r="C2587" t="s">
        <v>10</v>
      </c>
      <c r="D2587" t="s">
        <v>25</v>
      </c>
      <c r="E2587" t="s">
        <v>12</v>
      </c>
      <c r="F2587" t="s">
        <v>13</v>
      </c>
      <c r="G2587">
        <v>1</v>
      </c>
      <c r="H2587">
        <v>2.5</v>
      </c>
      <c r="I2587" t="s">
        <v>39</v>
      </c>
      <c r="J2587" t="s">
        <v>2322</v>
      </c>
      <c r="K2587" s="12">
        <f>Store_Record[[#This Row],[Qty]]*Store_Record[[#This Row],[UnitPriceGBP]]</f>
        <v>2.5</v>
      </c>
      <c r="L2587" s="5" t="str">
        <f>TEXT(Store_Record[[#This Row],[Date]],"dddd")</f>
        <v>Sunday</v>
      </c>
      <c r="M2587" s="5" t="str">
        <f>TEXT(Store_Record[[#This Row],[Date]],"mmmm")</f>
        <v>July</v>
      </c>
      <c r="N2587" s="5">
        <f>YEAR(Store_Record[[#This Row],[Date]])</f>
        <v>2025</v>
      </c>
      <c r="O2587"/>
    </row>
    <row r="2588" spans="1:15" x14ac:dyDescent="0.35">
      <c r="A2588" t="s">
        <v>3512</v>
      </c>
      <c r="B2588" s="2">
        <v>45844</v>
      </c>
      <c r="C2588" t="s">
        <v>10</v>
      </c>
      <c r="D2588" t="s">
        <v>25</v>
      </c>
      <c r="E2588" t="s">
        <v>12</v>
      </c>
      <c r="F2588" t="s">
        <v>13</v>
      </c>
      <c r="G2588">
        <v>1</v>
      </c>
      <c r="H2588">
        <v>2.5</v>
      </c>
      <c r="I2588" t="s">
        <v>21</v>
      </c>
      <c r="J2588" t="s">
        <v>142</v>
      </c>
      <c r="K2588" s="12">
        <f>Store_Record[[#This Row],[Qty]]*Store_Record[[#This Row],[UnitPriceGBP]]</f>
        <v>2.5</v>
      </c>
      <c r="L2588" s="5" t="str">
        <f>TEXT(Store_Record[[#This Row],[Date]],"dddd")</f>
        <v>Sunday</v>
      </c>
      <c r="M2588" s="5" t="str">
        <f>TEXT(Store_Record[[#This Row],[Date]],"mmmm")</f>
        <v>July</v>
      </c>
      <c r="N2588" s="5">
        <f>YEAR(Store_Record[[#This Row],[Date]])</f>
        <v>2025</v>
      </c>
      <c r="O2588"/>
    </row>
    <row r="2589" spans="1:15" x14ac:dyDescent="0.35">
      <c r="A2589" t="s">
        <v>3541</v>
      </c>
      <c r="B2589" s="2">
        <v>45845</v>
      </c>
      <c r="C2589" t="s">
        <v>10</v>
      </c>
      <c r="D2589" t="s">
        <v>11</v>
      </c>
      <c r="E2589" t="s">
        <v>26</v>
      </c>
      <c r="F2589" t="s">
        <v>13</v>
      </c>
      <c r="G2589">
        <v>5</v>
      </c>
      <c r="H2589">
        <v>3.5</v>
      </c>
      <c r="I2589" t="s">
        <v>21</v>
      </c>
      <c r="J2589" t="s">
        <v>239</v>
      </c>
      <c r="K2589" s="12">
        <f>Store_Record[[#This Row],[Qty]]*Store_Record[[#This Row],[UnitPriceGBP]]</f>
        <v>17.5</v>
      </c>
      <c r="L2589" s="5" t="str">
        <f>TEXT(Store_Record[[#This Row],[Date]],"dddd")</f>
        <v>Monday</v>
      </c>
      <c r="M2589" s="5" t="str">
        <f>TEXT(Store_Record[[#This Row],[Date]],"mmmm")</f>
        <v>July</v>
      </c>
      <c r="N2589" s="5">
        <f>YEAR(Store_Record[[#This Row],[Date]])</f>
        <v>2025</v>
      </c>
      <c r="O2589"/>
    </row>
    <row r="2590" spans="1:15" x14ac:dyDescent="0.35">
      <c r="A2590" t="s">
        <v>3534</v>
      </c>
      <c r="B2590" s="2">
        <v>45845</v>
      </c>
      <c r="C2590" t="s">
        <v>10</v>
      </c>
      <c r="D2590" t="s">
        <v>38</v>
      </c>
      <c r="E2590" t="s">
        <v>26</v>
      </c>
      <c r="F2590" t="s">
        <v>13</v>
      </c>
      <c r="G2590">
        <v>4</v>
      </c>
      <c r="H2590">
        <v>3.5</v>
      </c>
      <c r="I2590" t="s">
        <v>21</v>
      </c>
      <c r="J2590" t="s">
        <v>179</v>
      </c>
      <c r="K2590" s="12">
        <f>Store_Record[[#This Row],[Qty]]*Store_Record[[#This Row],[UnitPriceGBP]]</f>
        <v>14</v>
      </c>
      <c r="L2590" s="5" t="str">
        <f>TEXT(Store_Record[[#This Row],[Date]],"dddd")</f>
        <v>Monday</v>
      </c>
      <c r="M2590" s="5" t="str">
        <f>TEXT(Store_Record[[#This Row],[Date]],"mmmm")</f>
        <v>July</v>
      </c>
      <c r="N2590" s="5">
        <f>YEAR(Store_Record[[#This Row],[Date]])</f>
        <v>2025</v>
      </c>
      <c r="O2590"/>
    </row>
    <row r="2591" spans="1:15" x14ac:dyDescent="0.35">
      <c r="A2591" t="s">
        <v>3539</v>
      </c>
      <c r="B2591" s="2">
        <v>45845</v>
      </c>
      <c r="C2591" t="s">
        <v>20</v>
      </c>
      <c r="D2591" t="s">
        <v>11</v>
      </c>
      <c r="E2591" t="s">
        <v>30</v>
      </c>
      <c r="F2591" t="s">
        <v>31</v>
      </c>
      <c r="G2591">
        <v>5</v>
      </c>
      <c r="H2591">
        <v>2.8</v>
      </c>
      <c r="I2591" t="s">
        <v>39</v>
      </c>
      <c r="J2591" t="s">
        <v>2529</v>
      </c>
      <c r="K2591" s="12">
        <f>Store_Record[[#This Row],[Qty]]*Store_Record[[#This Row],[UnitPriceGBP]]</f>
        <v>14</v>
      </c>
      <c r="L2591" s="5" t="str">
        <f>TEXT(Store_Record[[#This Row],[Date]],"dddd")</f>
        <v>Monday</v>
      </c>
      <c r="M2591" s="5" t="str">
        <f>TEXT(Store_Record[[#This Row],[Date]],"mmmm")</f>
        <v>July</v>
      </c>
      <c r="N2591" s="5">
        <f>YEAR(Store_Record[[#This Row],[Date]])</f>
        <v>2025</v>
      </c>
      <c r="O2591"/>
    </row>
    <row r="2592" spans="1:15" x14ac:dyDescent="0.35">
      <c r="A2592" t="s">
        <v>3544</v>
      </c>
      <c r="B2592" s="2">
        <v>45845</v>
      </c>
      <c r="C2592" t="s">
        <v>10</v>
      </c>
      <c r="D2592" t="s">
        <v>47</v>
      </c>
      <c r="E2592" t="s">
        <v>26</v>
      </c>
      <c r="F2592" t="s">
        <v>13</v>
      </c>
      <c r="G2592">
        <v>4</v>
      </c>
      <c r="H2592">
        <v>3.5</v>
      </c>
      <c r="I2592" t="s">
        <v>14</v>
      </c>
      <c r="J2592" t="s">
        <v>986</v>
      </c>
      <c r="K2592" s="12">
        <f>Store_Record[[#This Row],[Qty]]*Store_Record[[#This Row],[UnitPriceGBP]]</f>
        <v>14</v>
      </c>
      <c r="L2592" s="5" t="str">
        <f>TEXT(Store_Record[[#This Row],[Date]],"dddd")</f>
        <v>Monday</v>
      </c>
      <c r="M2592" s="5" t="str">
        <f>TEXT(Store_Record[[#This Row],[Date]],"mmmm")</f>
        <v>July</v>
      </c>
      <c r="N2592" s="5">
        <f>YEAR(Store_Record[[#This Row],[Date]])</f>
        <v>2025</v>
      </c>
      <c r="O2592"/>
    </row>
    <row r="2593" spans="1:15" x14ac:dyDescent="0.35">
      <c r="A2593" t="s">
        <v>3533</v>
      </c>
      <c r="B2593" s="2">
        <v>45845</v>
      </c>
      <c r="C2593" t="s">
        <v>20</v>
      </c>
      <c r="D2593" t="s">
        <v>38</v>
      </c>
      <c r="E2593" t="s">
        <v>12</v>
      </c>
      <c r="F2593" t="s">
        <v>13</v>
      </c>
      <c r="G2593">
        <v>5</v>
      </c>
      <c r="H2593">
        <v>2.5</v>
      </c>
      <c r="I2593" t="s">
        <v>14</v>
      </c>
      <c r="J2593" t="s">
        <v>434</v>
      </c>
      <c r="K2593" s="12">
        <f>Store_Record[[#This Row],[Qty]]*Store_Record[[#This Row],[UnitPriceGBP]]</f>
        <v>12.5</v>
      </c>
      <c r="L2593" s="5" t="str">
        <f>TEXT(Store_Record[[#This Row],[Date]],"dddd")</f>
        <v>Monday</v>
      </c>
      <c r="M2593" s="5" t="str">
        <f>TEXT(Store_Record[[#This Row],[Date]],"mmmm")</f>
        <v>July</v>
      </c>
      <c r="N2593" s="5">
        <f>YEAR(Store_Record[[#This Row],[Date]])</f>
        <v>2025</v>
      </c>
      <c r="O2593"/>
    </row>
    <row r="2594" spans="1:15" x14ac:dyDescent="0.35">
      <c r="A2594" t="s">
        <v>3537</v>
      </c>
      <c r="B2594" s="2">
        <v>45845</v>
      </c>
      <c r="C2594" t="s">
        <v>24</v>
      </c>
      <c r="D2594" t="s">
        <v>11</v>
      </c>
      <c r="E2594" t="s">
        <v>42</v>
      </c>
      <c r="F2594" t="s">
        <v>13</v>
      </c>
      <c r="G2594">
        <v>3</v>
      </c>
      <c r="H2594">
        <v>3.8</v>
      </c>
      <c r="I2594" t="s">
        <v>21</v>
      </c>
      <c r="J2594" t="s">
        <v>2740</v>
      </c>
      <c r="K2594" s="12">
        <f>Store_Record[[#This Row],[Qty]]*Store_Record[[#This Row],[UnitPriceGBP]]</f>
        <v>11.399999999999999</v>
      </c>
      <c r="L2594" s="5" t="str">
        <f>TEXT(Store_Record[[#This Row],[Date]],"dddd")</f>
        <v>Monday</v>
      </c>
      <c r="M2594" s="5" t="str">
        <f>TEXT(Store_Record[[#This Row],[Date]],"mmmm")</f>
        <v>July</v>
      </c>
      <c r="N2594" s="5">
        <f>YEAR(Store_Record[[#This Row],[Date]])</f>
        <v>2025</v>
      </c>
      <c r="O2594"/>
    </row>
    <row r="2595" spans="1:15" x14ac:dyDescent="0.35">
      <c r="A2595" t="s">
        <v>3538</v>
      </c>
      <c r="B2595" s="2">
        <v>45845</v>
      </c>
      <c r="C2595" t="s">
        <v>10</v>
      </c>
      <c r="D2595" t="s">
        <v>47</v>
      </c>
      <c r="E2595" t="s">
        <v>26</v>
      </c>
      <c r="F2595" t="s">
        <v>13</v>
      </c>
      <c r="G2595">
        <v>3</v>
      </c>
      <c r="H2595">
        <v>3.5</v>
      </c>
      <c r="I2595" t="s">
        <v>14</v>
      </c>
      <c r="J2595" t="s">
        <v>724</v>
      </c>
      <c r="K2595" s="12">
        <f>Store_Record[[#This Row],[Qty]]*Store_Record[[#This Row],[UnitPriceGBP]]</f>
        <v>10.5</v>
      </c>
      <c r="L2595" s="5" t="str">
        <f>TEXT(Store_Record[[#This Row],[Date]],"dddd")</f>
        <v>Monday</v>
      </c>
      <c r="M2595" s="5" t="str">
        <f>TEXT(Store_Record[[#This Row],[Date]],"mmmm")</f>
        <v>July</v>
      </c>
      <c r="N2595" s="5">
        <f>YEAR(Store_Record[[#This Row],[Date]])</f>
        <v>2025</v>
      </c>
      <c r="O2595"/>
    </row>
    <row r="2596" spans="1:15" x14ac:dyDescent="0.35">
      <c r="A2596" t="s">
        <v>3530</v>
      </c>
      <c r="B2596" s="2">
        <v>45845</v>
      </c>
      <c r="C2596" t="s">
        <v>20</v>
      </c>
      <c r="D2596" t="s">
        <v>25</v>
      </c>
      <c r="E2596" t="s">
        <v>34</v>
      </c>
      <c r="F2596" t="s">
        <v>31</v>
      </c>
      <c r="G2596">
        <v>4</v>
      </c>
      <c r="H2596">
        <v>2.2000000000000002</v>
      </c>
      <c r="I2596" t="s">
        <v>21</v>
      </c>
      <c r="J2596" t="s">
        <v>3531</v>
      </c>
      <c r="K2596" s="12">
        <f>Store_Record[[#This Row],[Qty]]*Store_Record[[#This Row],[UnitPriceGBP]]</f>
        <v>8.8000000000000007</v>
      </c>
      <c r="L2596" s="5" t="str">
        <f>TEXT(Store_Record[[#This Row],[Date]],"dddd")</f>
        <v>Monday</v>
      </c>
      <c r="M2596" s="5" t="str">
        <f>TEXT(Store_Record[[#This Row],[Date]],"mmmm")</f>
        <v>July</v>
      </c>
      <c r="N2596" s="5">
        <f>YEAR(Store_Record[[#This Row],[Date]])</f>
        <v>2025</v>
      </c>
      <c r="O2596"/>
    </row>
    <row r="2597" spans="1:15" x14ac:dyDescent="0.35">
      <c r="A2597" t="s">
        <v>5993</v>
      </c>
      <c r="B2597" s="2">
        <v>45845</v>
      </c>
      <c r="C2597" t="s">
        <v>24</v>
      </c>
      <c r="D2597" t="s">
        <v>38</v>
      </c>
      <c r="E2597" t="s">
        <v>30</v>
      </c>
      <c r="F2597" t="s">
        <v>31</v>
      </c>
      <c r="G2597">
        <v>3</v>
      </c>
      <c r="H2597">
        <v>2.8</v>
      </c>
      <c r="I2597" t="s">
        <v>39</v>
      </c>
      <c r="J2597" t="s">
        <v>107</v>
      </c>
      <c r="K2597" s="12">
        <f>Store_Record[[#This Row],[Qty]]*Store_Record[[#This Row],[UnitPriceGBP]]</f>
        <v>8.3999999999999986</v>
      </c>
      <c r="L2597" s="5" t="str">
        <f>TEXT(Store_Record[[#This Row],[Date]],"dddd")</f>
        <v>Monday</v>
      </c>
      <c r="M2597" s="5" t="str">
        <f>TEXT(Store_Record[[#This Row],[Date]],"mmmm")</f>
        <v>July</v>
      </c>
      <c r="N2597" s="5">
        <f>YEAR(Store_Record[[#This Row],[Date]])</f>
        <v>2025</v>
      </c>
      <c r="O2597"/>
    </row>
    <row r="2598" spans="1:15" x14ac:dyDescent="0.35">
      <c r="A2598" t="s">
        <v>3532</v>
      </c>
      <c r="B2598" s="2">
        <v>45845</v>
      </c>
      <c r="C2598" t="s">
        <v>10</v>
      </c>
      <c r="D2598" t="s">
        <v>11</v>
      </c>
      <c r="E2598" t="s">
        <v>12</v>
      </c>
      <c r="F2598" t="s">
        <v>13</v>
      </c>
      <c r="G2598">
        <v>3</v>
      </c>
      <c r="H2598">
        <v>2.5</v>
      </c>
      <c r="I2598" t="s">
        <v>39</v>
      </c>
      <c r="J2598" t="s">
        <v>958</v>
      </c>
      <c r="K2598" s="12">
        <f>Store_Record[[#This Row],[Qty]]*Store_Record[[#This Row],[UnitPriceGBP]]</f>
        <v>7.5</v>
      </c>
      <c r="L2598" s="5" t="str">
        <f>TEXT(Store_Record[[#This Row],[Date]],"dddd")</f>
        <v>Monday</v>
      </c>
      <c r="M2598" s="5" t="str">
        <f>TEXT(Store_Record[[#This Row],[Date]],"mmmm")</f>
        <v>July</v>
      </c>
      <c r="N2598" s="5">
        <f>YEAR(Store_Record[[#This Row],[Date]])</f>
        <v>2025</v>
      </c>
      <c r="O2598"/>
    </row>
    <row r="2599" spans="1:15" x14ac:dyDescent="0.35">
      <c r="A2599" t="s">
        <v>3543</v>
      </c>
      <c r="B2599" s="2">
        <v>45845</v>
      </c>
      <c r="C2599" t="s">
        <v>20</v>
      </c>
      <c r="D2599" t="s">
        <v>25</v>
      </c>
      <c r="E2599" t="s">
        <v>34</v>
      </c>
      <c r="F2599" t="s">
        <v>31</v>
      </c>
      <c r="G2599">
        <v>3</v>
      </c>
      <c r="H2599">
        <v>2.2000000000000002</v>
      </c>
      <c r="I2599" t="s">
        <v>39</v>
      </c>
      <c r="J2599" t="s">
        <v>965</v>
      </c>
      <c r="K2599" s="12">
        <f>Store_Record[[#This Row],[Qty]]*Store_Record[[#This Row],[UnitPriceGBP]]</f>
        <v>6.6000000000000005</v>
      </c>
      <c r="L2599" s="5" t="str">
        <f>TEXT(Store_Record[[#This Row],[Date]],"dddd")</f>
        <v>Monday</v>
      </c>
      <c r="M2599" s="5" t="str">
        <f>TEXT(Store_Record[[#This Row],[Date]],"mmmm")</f>
        <v>July</v>
      </c>
      <c r="N2599" s="5">
        <f>YEAR(Store_Record[[#This Row],[Date]])</f>
        <v>2025</v>
      </c>
      <c r="O2599"/>
    </row>
    <row r="2600" spans="1:15" x14ac:dyDescent="0.35">
      <c r="A2600" t="s">
        <v>3542</v>
      </c>
      <c r="B2600" s="2">
        <v>45845</v>
      </c>
      <c r="C2600" t="s">
        <v>24</v>
      </c>
      <c r="D2600" t="s">
        <v>38</v>
      </c>
      <c r="E2600" t="s">
        <v>34</v>
      </c>
      <c r="F2600" t="s">
        <v>31</v>
      </c>
      <c r="G2600">
        <v>2</v>
      </c>
      <c r="H2600">
        <v>2.2000000000000002</v>
      </c>
      <c r="I2600" t="s">
        <v>14</v>
      </c>
      <c r="J2600" t="s">
        <v>899</v>
      </c>
      <c r="K2600" s="12">
        <f>Store_Record[[#This Row],[Qty]]*Store_Record[[#This Row],[UnitPriceGBP]]</f>
        <v>4.4000000000000004</v>
      </c>
      <c r="L2600" s="5" t="str">
        <f>TEXT(Store_Record[[#This Row],[Date]],"dddd")</f>
        <v>Monday</v>
      </c>
      <c r="M2600" s="5" t="str">
        <f>TEXT(Store_Record[[#This Row],[Date]],"mmmm")</f>
        <v>July</v>
      </c>
      <c r="N2600" s="5">
        <f>YEAR(Store_Record[[#This Row],[Date]])</f>
        <v>2025</v>
      </c>
      <c r="O2600"/>
    </row>
    <row r="2601" spans="1:15" x14ac:dyDescent="0.35">
      <c r="A2601" t="s">
        <v>3540</v>
      </c>
      <c r="B2601" s="2">
        <v>45845</v>
      </c>
      <c r="C2601" t="s">
        <v>36</v>
      </c>
      <c r="D2601" t="s">
        <v>25</v>
      </c>
      <c r="E2601" t="s">
        <v>42</v>
      </c>
      <c r="F2601" t="s">
        <v>13</v>
      </c>
      <c r="G2601">
        <v>1</v>
      </c>
      <c r="H2601">
        <v>3.8</v>
      </c>
      <c r="I2601" t="s">
        <v>39</v>
      </c>
      <c r="J2601" t="s">
        <v>528</v>
      </c>
      <c r="K2601" s="12">
        <f>Store_Record[[#This Row],[Qty]]*Store_Record[[#This Row],[UnitPriceGBP]]</f>
        <v>3.8</v>
      </c>
      <c r="L2601" s="5" t="str">
        <f>TEXT(Store_Record[[#This Row],[Date]],"dddd")</f>
        <v>Monday</v>
      </c>
      <c r="M2601" s="5" t="str">
        <f>TEXT(Store_Record[[#This Row],[Date]],"mmmm")</f>
        <v>July</v>
      </c>
      <c r="N2601" s="5">
        <f>YEAR(Store_Record[[#This Row],[Date]])</f>
        <v>2025</v>
      </c>
      <c r="O2601"/>
    </row>
    <row r="2602" spans="1:15" x14ac:dyDescent="0.35">
      <c r="A2602" t="s">
        <v>3535</v>
      </c>
      <c r="B2602" s="2">
        <v>45845</v>
      </c>
      <c r="C2602" t="s">
        <v>10</v>
      </c>
      <c r="D2602" t="s">
        <v>11</v>
      </c>
      <c r="E2602" t="s">
        <v>26</v>
      </c>
      <c r="F2602" t="s">
        <v>13</v>
      </c>
      <c r="G2602">
        <v>1</v>
      </c>
      <c r="H2602">
        <v>3.5</v>
      </c>
      <c r="I2602" t="s">
        <v>14</v>
      </c>
      <c r="J2602" t="s">
        <v>799</v>
      </c>
      <c r="K2602" s="12">
        <f>Store_Record[[#This Row],[Qty]]*Store_Record[[#This Row],[UnitPriceGBP]]</f>
        <v>3.5</v>
      </c>
      <c r="L2602" s="5" t="str">
        <f>TEXT(Store_Record[[#This Row],[Date]],"dddd")</f>
        <v>Monday</v>
      </c>
      <c r="M2602" s="5" t="str">
        <f>TEXT(Store_Record[[#This Row],[Date]],"mmmm")</f>
        <v>July</v>
      </c>
      <c r="N2602" s="5">
        <f>YEAR(Store_Record[[#This Row],[Date]])</f>
        <v>2025</v>
      </c>
      <c r="O2602"/>
    </row>
    <row r="2603" spans="1:15" x14ac:dyDescent="0.35">
      <c r="A2603" t="s">
        <v>3536</v>
      </c>
      <c r="B2603" s="2">
        <v>45845</v>
      </c>
      <c r="C2603" t="s">
        <v>24</v>
      </c>
      <c r="D2603" t="s">
        <v>47</v>
      </c>
      <c r="E2603" t="s">
        <v>26</v>
      </c>
      <c r="F2603" t="s">
        <v>13</v>
      </c>
      <c r="G2603">
        <v>1</v>
      </c>
      <c r="H2603">
        <v>3.5</v>
      </c>
      <c r="I2603" t="s">
        <v>39</v>
      </c>
      <c r="J2603" t="s">
        <v>464</v>
      </c>
      <c r="K2603" s="12">
        <f>Store_Record[[#This Row],[Qty]]*Store_Record[[#This Row],[UnitPriceGBP]]</f>
        <v>3.5</v>
      </c>
      <c r="L2603" s="5" t="str">
        <f>TEXT(Store_Record[[#This Row],[Date]],"dddd")</f>
        <v>Monday</v>
      </c>
      <c r="M2603" s="5" t="str">
        <f>TEXT(Store_Record[[#This Row],[Date]],"mmmm")</f>
        <v>July</v>
      </c>
      <c r="N2603" s="5">
        <f>YEAR(Store_Record[[#This Row],[Date]])</f>
        <v>2025</v>
      </c>
      <c r="O2603"/>
    </row>
    <row r="2604" spans="1:15" x14ac:dyDescent="0.35">
      <c r="A2604" t="s">
        <v>3558</v>
      </c>
      <c r="B2604" s="2">
        <v>45846</v>
      </c>
      <c r="C2604" t="s">
        <v>24</v>
      </c>
      <c r="D2604" t="s">
        <v>29</v>
      </c>
      <c r="E2604" t="s">
        <v>42</v>
      </c>
      <c r="F2604" t="s">
        <v>13</v>
      </c>
      <c r="G2604">
        <v>4</v>
      </c>
      <c r="H2604">
        <v>3.8</v>
      </c>
      <c r="I2604" t="s">
        <v>14</v>
      </c>
      <c r="J2604" t="s">
        <v>2617</v>
      </c>
      <c r="K2604" s="12">
        <f>Store_Record[[#This Row],[Qty]]*Store_Record[[#This Row],[UnitPriceGBP]]</f>
        <v>15.2</v>
      </c>
      <c r="L2604" s="5" t="str">
        <f>TEXT(Store_Record[[#This Row],[Date]],"dddd")</f>
        <v>Tuesday</v>
      </c>
      <c r="M2604" s="5" t="str">
        <f>TEXT(Store_Record[[#This Row],[Date]],"mmmm")</f>
        <v>July</v>
      </c>
      <c r="N2604" s="5">
        <f>YEAR(Store_Record[[#This Row],[Date]])</f>
        <v>2025</v>
      </c>
      <c r="O2604"/>
    </row>
    <row r="2605" spans="1:15" x14ac:dyDescent="0.35">
      <c r="A2605" t="s">
        <v>3547</v>
      </c>
      <c r="B2605" s="2">
        <v>45846</v>
      </c>
      <c r="C2605" t="s">
        <v>20</v>
      </c>
      <c r="D2605" t="s">
        <v>38</v>
      </c>
      <c r="E2605" t="s">
        <v>26</v>
      </c>
      <c r="F2605" t="s">
        <v>13</v>
      </c>
      <c r="G2605">
        <v>4</v>
      </c>
      <c r="H2605">
        <v>3.5</v>
      </c>
      <c r="I2605" t="s">
        <v>14</v>
      </c>
      <c r="J2605" t="s">
        <v>1768</v>
      </c>
      <c r="K2605" s="12">
        <f>Store_Record[[#This Row],[Qty]]*Store_Record[[#This Row],[UnitPriceGBP]]</f>
        <v>14</v>
      </c>
      <c r="L2605" s="5" t="str">
        <f>TEXT(Store_Record[[#This Row],[Date]],"dddd")</f>
        <v>Tuesday</v>
      </c>
      <c r="M2605" s="5" t="str">
        <f>TEXT(Store_Record[[#This Row],[Date]],"mmmm")</f>
        <v>July</v>
      </c>
      <c r="N2605" s="5">
        <f>YEAR(Store_Record[[#This Row],[Date]])</f>
        <v>2025</v>
      </c>
      <c r="O2605"/>
    </row>
    <row r="2606" spans="1:15" x14ac:dyDescent="0.35">
      <c r="A2606" t="s">
        <v>3553</v>
      </c>
      <c r="B2606" s="2">
        <v>45846</v>
      </c>
      <c r="C2606" t="s">
        <v>36</v>
      </c>
      <c r="D2606" t="s">
        <v>29</v>
      </c>
      <c r="E2606" t="s">
        <v>30</v>
      </c>
      <c r="F2606" t="s">
        <v>31</v>
      </c>
      <c r="G2606">
        <v>5</v>
      </c>
      <c r="H2606">
        <v>2.8</v>
      </c>
      <c r="I2606" t="s">
        <v>21</v>
      </c>
      <c r="J2606" t="s">
        <v>528</v>
      </c>
      <c r="K2606" s="12">
        <f>Store_Record[[#This Row],[Qty]]*Store_Record[[#This Row],[UnitPriceGBP]]</f>
        <v>14</v>
      </c>
      <c r="L2606" s="5" t="str">
        <f>TEXT(Store_Record[[#This Row],[Date]],"dddd")</f>
        <v>Tuesday</v>
      </c>
      <c r="M2606" s="5" t="str">
        <f>TEXT(Store_Record[[#This Row],[Date]],"mmmm")</f>
        <v>July</v>
      </c>
      <c r="N2606" s="5">
        <f>YEAR(Store_Record[[#This Row],[Date]])</f>
        <v>2025</v>
      </c>
      <c r="O2606"/>
    </row>
    <row r="2607" spans="1:15" x14ac:dyDescent="0.35">
      <c r="A2607" t="s">
        <v>3550</v>
      </c>
      <c r="B2607" s="2">
        <v>45846</v>
      </c>
      <c r="C2607" t="s">
        <v>24</v>
      </c>
      <c r="D2607" t="s">
        <v>11</v>
      </c>
      <c r="E2607" t="s">
        <v>34</v>
      </c>
      <c r="F2607" t="s">
        <v>31</v>
      </c>
      <c r="G2607">
        <v>5</v>
      </c>
      <c r="H2607">
        <v>2.2000000000000002</v>
      </c>
      <c r="I2607" t="s">
        <v>14</v>
      </c>
      <c r="J2607" t="s">
        <v>2940</v>
      </c>
      <c r="K2607" s="12">
        <f>Store_Record[[#This Row],[Qty]]*Store_Record[[#This Row],[UnitPriceGBP]]</f>
        <v>11</v>
      </c>
      <c r="L2607" s="5" t="str">
        <f>TEXT(Store_Record[[#This Row],[Date]],"dddd")</f>
        <v>Tuesday</v>
      </c>
      <c r="M2607" s="5" t="str">
        <f>TEXT(Store_Record[[#This Row],[Date]],"mmmm")</f>
        <v>July</v>
      </c>
      <c r="N2607" s="5">
        <f>YEAR(Store_Record[[#This Row],[Date]])</f>
        <v>2025</v>
      </c>
      <c r="O2607"/>
    </row>
    <row r="2608" spans="1:15" x14ac:dyDescent="0.35">
      <c r="A2608" t="s">
        <v>3545</v>
      </c>
      <c r="B2608" s="2">
        <v>45846</v>
      </c>
      <c r="C2608" t="s">
        <v>24</v>
      </c>
      <c r="D2608" t="s">
        <v>47</v>
      </c>
      <c r="E2608" t="s">
        <v>12</v>
      </c>
      <c r="F2608" t="s">
        <v>13</v>
      </c>
      <c r="G2608">
        <v>4</v>
      </c>
      <c r="H2608">
        <v>2.5</v>
      </c>
      <c r="I2608" t="s">
        <v>21</v>
      </c>
      <c r="J2608" t="s">
        <v>506</v>
      </c>
      <c r="K2608" s="12">
        <f>Store_Record[[#This Row],[Qty]]*Store_Record[[#This Row],[UnitPriceGBP]]</f>
        <v>10</v>
      </c>
      <c r="L2608" s="5" t="str">
        <f>TEXT(Store_Record[[#This Row],[Date]],"dddd")</f>
        <v>Tuesday</v>
      </c>
      <c r="M2608" s="5" t="str">
        <f>TEXT(Store_Record[[#This Row],[Date]],"mmmm")</f>
        <v>July</v>
      </c>
      <c r="N2608" s="5">
        <f>YEAR(Store_Record[[#This Row],[Date]])</f>
        <v>2025</v>
      </c>
      <c r="O2608"/>
    </row>
    <row r="2609" spans="1:15" x14ac:dyDescent="0.35">
      <c r="A2609" t="s">
        <v>3560</v>
      </c>
      <c r="B2609" s="2">
        <v>45846</v>
      </c>
      <c r="C2609" t="s">
        <v>20</v>
      </c>
      <c r="D2609" t="s">
        <v>38</v>
      </c>
      <c r="E2609" t="s">
        <v>34</v>
      </c>
      <c r="F2609" t="s">
        <v>31</v>
      </c>
      <c r="G2609">
        <v>4</v>
      </c>
      <c r="H2609">
        <v>2.2000000000000002</v>
      </c>
      <c r="I2609" t="s">
        <v>39</v>
      </c>
      <c r="J2609" t="s">
        <v>3065</v>
      </c>
      <c r="K2609" s="12">
        <f>Store_Record[[#This Row],[Qty]]*Store_Record[[#This Row],[UnitPriceGBP]]</f>
        <v>8.8000000000000007</v>
      </c>
      <c r="L2609" s="5" t="str">
        <f>TEXT(Store_Record[[#This Row],[Date]],"dddd")</f>
        <v>Tuesday</v>
      </c>
      <c r="M2609" s="5" t="str">
        <f>TEXT(Store_Record[[#This Row],[Date]],"mmmm")</f>
        <v>July</v>
      </c>
      <c r="N2609" s="5">
        <f>YEAR(Store_Record[[#This Row],[Date]])</f>
        <v>2025</v>
      </c>
      <c r="O2609"/>
    </row>
    <row r="2610" spans="1:15" x14ac:dyDescent="0.35">
      <c r="A2610" t="s">
        <v>3551</v>
      </c>
      <c r="B2610" s="2">
        <v>45846</v>
      </c>
      <c r="C2610" t="s">
        <v>10</v>
      </c>
      <c r="D2610" t="s">
        <v>25</v>
      </c>
      <c r="E2610" t="s">
        <v>26</v>
      </c>
      <c r="F2610" t="s">
        <v>13</v>
      </c>
      <c r="G2610">
        <v>2</v>
      </c>
      <c r="H2610">
        <v>3.5</v>
      </c>
      <c r="I2610" t="s">
        <v>14</v>
      </c>
      <c r="J2610" t="s">
        <v>778</v>
      </c>
      <c r="K2610" s="12">
        <f>Store_Record[[#This Row],[Qty]]*Store_Record[[#This Row],[UnitPriceGBP]]</f>
        <v>7</v>
      </c>
      <c r="L2610" s="5" t="str">
        <f>TEXT(Store_Record[[#This Row],[Date]],"dddd")</f>
        <v>Tuesday</v>
      </c>
      <c r="M2610" s="5" t="str">
        <f>TEXT(Store_Record[[#This Row],[Date]],"mmmm")</f>
        <v>July</v>
      </c>
      <c r="N2610" s="5">
        <f>YEAR(Store_Record[[#This Row],[Date]])</f>
        <v>2025</v>
      </c>
      <c r="O2610"/>
    </row>
    <row r="2611" spans="1:15" x14ac:dyDescent="0.35">
      <c r="A2611" t="s">
        <v>3546</v>
      </c>
      <c r="B2611" s="2">
        <v>45846</v>
      </c>
      <c r="C2611" t="s">
        <v>20</v>
      </c>
      <c r="D2611" t="s">
        <v>47</v>
      </c>
      <c r="E2611" t="s">
        <v>34</v>
      </c>
      <c r="F2611" t="s">
        <v>31</v>
      </c>
      <c r="G2611">
        <v>3</v>
      </c>
      <c r="H2611">
        <v>2.2000000000000002</v>
      </c>
      <c r="I2611" t="s">
        <v>14</v>
      </c>
      <c r="J2611" t="s">
        <v>495</v>
      </c>
      <c r="K2611" s="12">
        <f>Store_Record[[#This Row],[Qty]]*Store_Record[[#This Row],[UnitPriceGBP]]</f>
        <v>6.6000000000000005</v>
      </c>
      <c r="L2611" s="5" t="str">
        <f>TEXT(Store_Record[[#This Row],[Date]],"dddd")</f>
        <v>Tuesday</v>
      </c>
      <c r="M2611" s="5" t="str">
        <f>TEXT(Store_Record[[#This Row],[Date]],"mmmm")</f>
        <v>July</v>
      </c>
      <c r="N2611" s="5">
        <f>YEAR(Store_Record[[#This Row],[Date]])</f>
        <v>2025</v>
      </c>
      <c r="O2611"/>
    </row>
    <row r="2612" spans="1:15" x14ac:dyDescent="0.35">
      <c r="A2612" t="s">
        <v>3554</v>
      </c>
      <c r="B2612" s="2">
        <v>45846</v>
      </c>
      <c r="C2612" t="s">
        <v>10</v>
      </c>
      <c r="D2612" t="s">
        <v>29</v>
      </c>
      <c r="E2612" t="s">
        <v>12</v>
      </c>
      <c r="F2612" t="s">
        <v>13</v>
      </c>
      <c r="G2612">
        <v>2</v>
      </c>
      <c r="H2612">
        <v>2.5</v>
      </c>
      <c r="I2612" t="s">
        <v>14</v>
      </c>
      <c r="J2612" t="s">
        <v>3555</v>
      </c>
      <c r="K2612" s="12">
        <f>Store_Record[[#This Row],[Qty]]*Store_Record[[#This Row],[UnitPriceGBP]]</f>
        <v>5</v>
      </c>
      <c r="L2612" s="5" t="str">
        <f>TEXT(Store_Record[[#This Row],[Date]],"dddd")</f>
        <v>Tuesday</v>
      </c>
      <c r="M2612" s="5" t="str">
        <f>TEXT(Store_Record[[#This Row],[Date]],"mmmm")</f>
        <v>July</v>
      </c>
      <c r="N2612" s="5">
        <f>YEAR(Store_Record[[#This Row],[Date]])</f>
        <v>2025</v>
      </c>
      <c r="O2612"/>
    </row>
    <row r="2613" spans="1:15" x14ac:dyDescent="0.35">
      <c r="A2613" t="s">
        <v>3561</v>
      </c>
      <c r="B2613" s="2">
        <v>45846</v>
      </c>
      <c r="C2613" t="s">
        <v>20</v>
      </c>
      <c r="D2613" t="s">
        <v>25</v>
      </c>
      <c r="E2613" t="s">
        <v>12</v>
      </c>
      <c r="F2613" t="s">
        <v>13</v>
      </c>
      <c r="G2613">
        <v>2</v>
      </c>
      <c r="H2613">
        <v>2.5</v>
      </c>
      <c r="I2613" t="s">
        <v>21</v>
      </c>
      <c r="J2613" t="s">
        <v>2387</v>
      </c>
      <c r="K2613" s="12">
        <f>Store_Record[[#This Row],[Qty]]*Store_Record[[#This Row],[UnitPriceGBP]]</f>
        <v>5</v>
      </c>
      <c r="L2613" s="5" t="str">
        <f>TEXT(Store_Record[[#This Row],[Date]],"dddd")</f>
        <v>Tuesday</v>
      </c>
      <c r="M2613" s="5" t="str">
        <f>TEXT(Store_Record[[#This Row],[Date]],"mmmm")</f>
        <v>July</v>
      </c>
      <c r="N2613" s="5">
        <f>YEAR(Store_Record[[#This Row],[Date]])</f>
        <v>2025</v>
      </c>
      <c r="O2613"/>
    </row>
    <row r="2614" spans="1:15" x14ac:dyDescent="0.35">
      <c r="A2614" t="s">
        <v>3548</v>
      </c>
      <c r="B2614" s="2">
        <v>45846</v>
      </c>
      <c r="C2614" t="s">
        <v>36</v>
      </c>
      <c r="D2614" t="s">
        <v>29</v>
      </c>
      <c r="E2614" t="s">
        <v>34</v>
      </c>
      <c r="F2614" t="s">
        <v>31</v>
      </c>
      <c r="G2614">
        <v>2</v>
      </c>
      <c r="H2614">
        <v>2.2000000000000002</v>
      </c>
      <c r="I2614" t="s">
        <v>39</v>
      </c>
      <c r="J2614" t="s">
        <v>1020</v>
      </c>
      <c r="K2614" s="12">
        <f>Store_Record[[#This Row],[Qty]]*Store_Record[[#This Row],[UnitPriceGBP]]</f>
        <v>4.4000000000000004</v>
      </c>
      <c r="L2614" s="5" t="str">
        <f>TEXT(Store_Record[[#This Row],[Date]],"dddd")</f>
        <v>Tuesday</v>
      </c>
      <c r="M2614" s="5" t="str">
        <f>TEXT(Store_Record[[#This Row],[Date]],"mmmm")</f>
        <v>July</v>
      </c>
      <c r="N2614" s="5">
        <f>YEAR(Store_Record[[#This Row],[Date]])</f>
        <v>2025</v>
      </c>
      <c r="O2614"/>
    </row>
    <row r="2615" spans="1:15" x14ac:dyDescent="0.35">
      <c r="A2615" t="s">
        <v>3557</v>
      </c>
      <c r="B2615" s="2">
        <v>45846</v>
      </c>
      <c r="C2615" t="s">
        <v>24</v>
      </c>
      <c r="D2615" t="s">
        <v>11</v>
      </c>
      <c r="E2615" t="s">
        <v>26</v>
      </c>
      <c r="F2615" t="s">
        <v>13</v>
      </c>
      <c r="G2615">
        <v>1</v>
      </c>
      <c r="H2615">
        <v>3.5</v>
      </c>
      <c r="I2615" t="s">
        <v>39</v>
      </c>
      <c r="J2615" t="s">
        <v>380</v>
      </c>
      <c r="K2615" s="12">
        <f>Store_Record[[#This Row],[Qty]]*Store_Record[[#This Row],[UnitPriceGBP]]</f>
        <v>3.5</v>
      </c>
      <c r="L2615" s="5" t="str">
        <f>TEXT(Store_Record[[#This Row],[Date]],"dddd")</f>
        <v>Tuesday</v>
      </c>
      <c r="M2615" s="5" t="str">
        <f>TEXT(Store_Record[[#This Row],[Date]],"mmmm")</f>
        <v>July</v>
      </c>
      <c r="N2615" s="5">
        <f>YEAR(Store_Record[[#This Row],[Date]])</f>
        <v>2025</v>
      </c>
      <c r="O2615"/>
    </row>
    <row r="2616" spans="1:15" x14ac:dyDescent="0.35">
      <c r="A2616" t="s">
        <v>3552</v>
      </c>
      <c r="B2616" s="2">
        <v>45846</v>
      </c>
      <c r="C2616" t="s">
        <v>20</v>
      </c>
      <c r="D2616" t="s">
        <v>25</v>
      </c>
      <c r="E2616" t="s">
        <v>30</v>
      </c>
      <c r="F2616" t="s">
        <v>31</v>
      </c>
      <c r="G2616">
        <v>1</v>
      </c>
      <c r="H2616">
        <v>2.8</v>
      </c>
      <c r="I2616" t="s">
        <v>21</v>
      </c>
      <c r="J2616" t="s">
        <v>386</v>
      </c>
      <c r="K2616" s="12">
        <f>Store_Record[[#This Row],[Qty]]*Store_Record[[#This Row],[UnitPriceGBP]]</f>
        <v>2.8</v>
      </c>
      <c r="L2616" s="5" t="str">
        <f>TEXT(Store_Record[[#This Row],[Date]],"dddd")</f>
        <v>Tuesday</v>
      </c>
      <c r="M2616" s="5" t="str">
        <f>TEXT(Store_Record[[#This Row],[Date]],"mmmm")</f>
        <v>July</v>
      </c>
      <c r="N2616" s="5">
        <f>YEAR(Store_Record[[#This Row],[Date]])</f>
        <v>2025</v>
      </c>
      <c r="O2616"/>
    </row>
    <row r="2617" spans="1:15" x14ac:dyDescent="0.35">
      <c r="A2617" t="s">
        <v>3549</v>
      </c>
      <c r="B2617" s="2">
        <v>45846</v>
      </c>
      <c r="C2617" t="s">
        <v>10</v>
      </c>
      <c r="D2617" t="s">
        <v>11</v>
      </c>
      <c r="E2617" t="s">
        <v>12</v>
      </c>
      <c r="F2617" t="s">
        <v>13</v>
      </c>
      <c r="G2617">
        <v>1</v>
      </c>
      <c r="H2617">
        <v>2.5</v>
      </c>
      <c r="I2617" t="s">
        <v>39</v>
      </c>
      <c r="J2617" t="s">
        <v>2286</v>
      </c>
      <c r="K2617" s="12">
        <f>Store_Record[[#This Row],[Qty]]*Store_Record[[#This Row],[UnitPriceGBP]]</f>
        <v>2.5</v>
      </c>
      <c r="L2617" s="5" t="str">
        <f>TEXT(Store_Record[[#This Row],[Date]],"dddd")</f>
        <v>Tuesday</v>
      </c>
      <c r="M2617" s="5" t="str">
        <f>TEXT(Store_Record[[#This Row],[Date]],"mmmm")</f>
        <v>July</v>
      </c>
      <c r="N2617" s="5">
        <f>YEAR(Store_Record[[#This Row],[Date]])</f>
        <v>2025</v>
      </c>
      <c r="O2617"/>
    </row>
    <row r="2618" spans="1:15" x14ac:dyDescent="0.35">
      <c r="A2618" t="s">
        <v>3556</v>
      </c>
      <c r="B2618" s="2">
        <v>45846</v>
      </c>
      <c r="C2618" t="s">
        <v>36</v>
      </c>
      <c r="D2618" t="s">
        <v>47</v>
      </c>
      <c r="E2618" t="s">
        <v>34</v>
      </c>
      <c r="F2618" t="s">
        <v>31</v>
      </c>
      <c r="G2618">
        <v>1</v>
      </c>
      <c r="H2618">
        <v>2.2000000000000002</v>
      </c>
      <c r="I2618" t="s">
        <v>14</v>
      </c>
      <c r="J2618" t="s">
        <v>2407</v>
      </c>
      <c r="K2618" s="12">
        <f>Store_Record[[#This Row],[Qty]]*Store_Record[[#This Row],[UnitPriceGBP]]</f>
        <v>2.2000000000000002</v>
      </c>
      <c r="L2618" s="5" t="str">
        <f>TEXT(Store_Record[[#This Row],[Date]],"dddd")</f>
        <v>Tuesday</v>
      </c>
      <c r="M2618" s="5" t="str">
        <f>TEXT(Store_Record[[#This Row],[Date]],"mmmm")</f>
        <v>July</v>
      </c>
      <c r="N2618" s="5">
        <f>YEAR(Store_Record[[#This Row],[Date]])</f>
        <v>2025</v>
      </c>
      <c r="O2618"/>
    </row>
    <row r="2619" spans="1:15" x14ac:dyDescent="0.35">
      <c r="A2619" t="s">
        <v>3559</v>
      </c>
      <c r="B2619" s="2">
        <v>45846</v>
      </c>
      <c r="C2619" t="s">
        <v>36</v>
      </c>
      <c r="D2619" t="s">
        <v>11</v>
      </c>
      <c r="E2619" t="s">
        <v>34</v>
      </c>
      <c r="F2619" t="s">
        <v>31</v>
      </c>
      <c r="G2619">
        <v>1</v>
      </c>
      <c r="H2619">
        <v>2.2000000000000002</v>
      </c>
      <c r="I2619" t="s">
        <v>14</v>
      </c>
      <c r="J2619" t="s">
        <v>481</v>
      </c>
      <c r="K2619" s="12">
        <f>Store_Record[[#This Row],[Qty]]*Store_Record[[#This Row],[UnitPriceGBP]]</f>
        <v>2.2000000000000002</v>
      </c>
      <c r="L2619" s="5" t="str">
        <f>TEXT(Store_Record[[#This Row],[Date]],"dddd")</f>
        <v>Tuesday</v>
      </c>
      <c r="M2619" s="5" t="str">
        <f>TEXT(Store_Record[[#This Row],[Date]],"mmmm")</f>
        <v>July</v>
      </c>
      <c r="N2619" s="5">
        <f>YEAR(Store_Record[[#This Row],[Date]])</f>
        <v>2025</v>
      </c>
      <c r="O2619"/>
    </row>
    <row r="2620" spans="1:15" x14ac:dyDescent="0.35">
      <c r="A2620" t="s">
        <v>3565</v>
      </c>
      <c r="B2620" s="2">
        <v>45847</v>
      </c>
      <c r="C2620" t="s">
        <v>24</v>
      </c>
      <c r="D2620" t="s">
        <v>38</v>
      </c>
      <c r="E2620" t="s">
        <v>42</v>
      </c>
      <c r="F2620" t="s">
        <v>13</v>
      </c>
      <c r="G2620">
        <v>5</v>
      </c>
      <c r="H2620">
        <v>3.8</v>
      </c>
      <c r="I2620" t="s">
        <v>14</v>
      </c>
      <c r="J2620" t="s">
        <v>1332</v>
      </c>
      <c r="K2620" s="12">
        <f>Store_Record[[#This Row],[Qty]]*Store_Record[[#This Row],[UnitPriceGBP]]</f>
        <v>19</v>
      </c>
      <c r="L2620" s="5" t="str">
        <f>TEXT(Store_Record[[#This Row],[Date]],"dddd")</f>
        <v>Wednesday</v>
      </c>
      <c r="M2620" s="5" t="str">
        <f>TEXT(Store_Record[[#This Row],[Date]],"mmmm")</f>
        <v>July</v>
      </c>
      <c r="N2620" s="5">
        <f>YEAR(Store_Record[[#This Row],[Date]])</f>
        <v>2025</v>
      </c>
      <c r="O2620"/>
    </row>
    <row r="2621" spans="1:15" x14ac:dyDescent="0.35">
      <c r="A2621" t="s">
        <v>3574</v>
      </c>
      <c r="B2621" s="2">
        <v>45847</v>
      </c>
      <c r="C2621" t="s">
        <v>24</v>
      </c>
      <c r="D2621" t="s">
        <v>25</v>
      </c>
      <c r="E2621" t="s">
        <v>42</v>
      </c>
      <c r="F2621" t="s">
        <v>13</v>
      </c>
      <c r="G2621">
        <v>5</v>
      </c>
      <c r="H2621">
        <v>3.8</v>
      </c>
      <c r="I2621" t="s">
        <v>39</v>
      </c>
      <c r="J2621" t="s">
        <v>3575</v>
      </c>
      <c r="K2621" s="12">
        <f>Store_Record[[#This Row],[Qty]]*Store_Record[[#This Row],[UnitPriceGBP]]</f>
        <v>19</v>
      </c>
      <c r="L2621" s="5" t="str">
        <f>TEXT(Store_Record[[#This Row],[Date]],"dddd")</f>
        <v>Wednesday</v>
      </c>
      <c r="M2621" s="5" t="str">
        <f>TEXT(Store_Record[[#This Row],[Date]],"mmmm")</f>
        <v>July</v>
      </c>
      <c r="N2621" s="5">
        <f>YEAR(Store_Record[[#This Row],[Date]])</f>
        <v>2025</v>
      </c>
      <c r="O2621"/>
    </row>
    <row r="2622" spans="1:15" x14ac:dyDescent="0.35">
      <c r="A2622" t="s">
        <v>3567</v>
      </c>
      <c r="B2622" s="2">
        <v>45847</v>
      </c>
      <c r="C2622" t="s">
        <v>24</v>
      </c>
      <c r="D2622" t="s">
        <v>38</v>
      </c>
      <c r="E2622" t="s">
        <v>42</v>
      </c>
      <c r="F2622" t="s">
        <v>13</v>
      </c>
      <c r="G2622">
        <v>4</v>
      </c>
      <c r="H2622">
        <v>3.8</v>
      </c>
      <c r="I2622" t="s">
        <v>14</v>
      </c>
      <c r="J2622" t="s">
        <v>68</v>
      </c>
      <c r="K2622" s="12">
        <f>Store_Record[[#This Row],[Qty]]*Store_Record[[#This Row],[UnitPriceGBP]]</f>
        <v>15.2</v>
      </c>
      <c r="L2622" s="5" t="str">
        <f>TEXT(Store_Record[[#This Row],[Date]],"dddd")</f>
        <v>Wednesday</v>
      </c>
      <c r="M2622" s="5" t="str">
        <f>TEXT(Store_Record[[#This Row],[Date]],"mmmm")</f>
        <v>July</v>
      </c>
      <c r="N2622" s="5">
        <f>YEAR(Store_Record[[#This Row],[Date]])</f>
        <v>2025</v>
      </c>
      <c r="O2622"/>
    </row>
    <row r="2623" spans="1:15" x14ac:dyDescent="0.35">
      <c r="A2623" t="s">
        <v>3571</v>
      </c>
      <c r="B2623" s="2">
        <v>45847</v>
      </c>
      <c r="C2623" t="s">
        <v>20</v>
      </c>
      <c r="D2623" t="s">
        <v>29</v>
      </c>
      <c r="E2623" t="s">
        <v>34</v>
      </c>
      <c r="F2623" t="s">
        <v>31</v>
      </c>
      <c r="G2623">
        <v>5</v>
      </c>
      <c r="H2623">
        <v>2.2000000000000002</v>
      </c>
      <c r="I2623" t="s">
        <v>21</v>
      </c>
      <c r="J2623" t="s">
        <v>921</v>
      </c>
      <c r="K2623" s="12">
        <f>Store_Record[[#This Row],[Qty]]*Store_Record[[#This Row],[UnitPriceGBP]]</f>
        <v>11</v>
      </c>
      <c r="L2623" s="5" t="str">
        <f>TEXT(Store_Record[[#This Row],[Date]],"dddd")</f>
        <v>Wednesday</v>
      </c>
      <c r="M2623" s="5" t="str">
        <f>TEXT(Store_Record[[#This Row],[Date]],"mmmm")</f>
        <v>July</v>
      </c>
      <c r="N2623" s="5">
        <f>YEAR(Store_Record[[#This Row],[Date]])</f>
        <v>2025</v>
      </c>
      <c r="O2623"/>
    </row>
    <row r="2624" spans="1:15" x14ac:dyDescent="0.35">
      <c r="A2624" t="s">
        <v>3572</v>
      </c>
      <c r="B2624" s="2">
        <v>45847</v>
      </c>
      <c r="C2624" t="s">
        <v>24</v>
      </c>
      <c r="D2624" t="s">
        <v>38</v>
      </c>
      <c r="E2624" t="s">
        <v>34</v>
      </c>
      <c r="F2624" t="s">
        <v>31</v>
      </c>
      <c r="G2624">
        <v>5</v>
      </c>
      <c r="H2624">
        <v>2.2000000000000002</v>
      </c>
      <c r="I2624" t="s">
        <v>21</v>
      </c>
      <c r="J2624" t="s">
        <v>1845</v>
      </c>
      <c r="K2624" s="12">
        <f>Store_Record[[#This Row],[Qty]]*Store_Record[[#This Row],[UnitPriceGBP]]</f>
        <v>11</v>
      </c>
      <c r="L2624" s="5" t="str">
        <f>TEXT(Store_Record[[#This Row],[Date]],"dddd")</f>
        <v>Wednesday</v>
      </c>
      <c r="M2624" s="5" t="str">
        <f>TEXT(Store_Record[[#This Row],[Date]],"mmmm")</f>
        <v>July</v>
      </c>
      <c r="N2624" s="5">
        <f>YEAR(Store_Record[[#This Row],[Date]])</f>
        <v>2025</v>
      </c>
      <c r="O2624"/>
    </row>
    <row r="2625" spans="1:15" x14ac:dyDescent="0.35">
      <c r="A2625" t="s">
        <v>3568</v>
      </c>
      <c r="B2625" s="2">
        <v>45847</v>
      </c>
      <c r="C2625" t="s">
        <v>10</v>
      </c>
      <c r="D2625" t="s">
        <v>11</v>
      </c>
      <c r="E2625" t="s">
        <v>26</v>
      </c>
      <c r="F2625" t="s">
        <v>13</v>
      </c>
      <c r="G2625">
        <v>3</v>
      </c>
      <c r="H2625">
        <v>3.5</v>
      </c>
      <c r="I2625" t="s">
        <v>21</v>
      </c>
      <c r="J2625" t="s">
        <v>510</v>
      </c>
      <c r="K2625" s="12">
        <f>Store_Record[[#This Row],[Qty]]*Store_Record[[#This Row],[UnitPriceGBP]]</f>
        <v>10.5</v>
      </c>
      <c r="L2625" s="5" t="str">
        <f>TEXT(Store_Record[[#This Row],[Date]],"dddd")</f>
        <v>Wednesday</v>
      </c>
      <c r="M2625" s="5" t="str">
        <f>TEXT(Store_Record[[#This Row],[Date]],"mmmm")</f>
        <v>July</v>
      </c>
      <c r="N2625" s="5">
        <f>YEAR(Store_Record[[#This Row],[Date]])</f>
        <v>2025</v>
      </c>
      <c r="O2625"/>
    </row>
    <row r="2626" spans="1:15" x14ac:dyDescent="0.35">
      <c r="A2626" t="s">
        <v>3564</v>
      </c>
      <c r="B2626" s="2">
        <v>45847</v>
      </c>
      <c r="C2626" t="s">
        <v>24</v>
      </c>
      <c r="D2626" t="s">
        <v>38</v>
      </c>
      <c r="E2626" t="s">
        <v>42</v>
      </c>
      <c r="F2626" t="s">
        <v>13</v>
      </c>
      <c r="G2626">
        <v>2</v>
      </c>
      <c r="H2626">
        <v>3.8</v>
      </c>
      <c r="I2626" t="s">
        <v>14</v>
      </c>
      <c r="J2626" t="s">
        <v>759</v>
      </c>
      <c r="K2626" s="12">
        <f>Store_Record[[#This Row],[Qty]]*Store_Record[[#This Row],[UnitPriceGBP]]</f>
        <v>7.6</v>
      </c>
      <c r="L2626" s="5" t="str">
        <f>TEXT(Store_Record[[#This Row],[Date]],"dddd")</f>
        <v>Wednesday</v>
      </c>
      <c r="M2626" s="5" t="str">
        <f>TEXT(Store_Record[[#This Row],[Date]],"mmmm")</f>
        <v>July</v>
      </c>
      <c r="N2626" s="5">
        <f>YEAR(Store_Record[[#This Row],[Date]])</f>
        <v>2025</v>
      </c>
      <c r="O2626"/>
    </row>
    <row r="2627" spans="1:15" x14ac:dyDescent="0.35">
      <c r="A2627" t="s">
        <v>3573</v>
      </c>
      <c r="B2627" s="2">
        <v>45847</v>
      </c>
      <c r="C2627" t="s">
        <v>10</v>
      </c>
      <c r="D2627" t="s">
        <v>47</v>
      </c>
      <c r="E2627" t="s">
        <v>12</v>
      </c>
      <c r="F2627" t="s">
        <v>13</v>
      </c>
      <c r="G2627">
        <v>3</v>
      </c>
      <c r="H2627">
        <v>2.5</v>
      </c>
      <c r="I2627" t="s">
        <v>39</v>
      </c>
      <c r="J2627" t="s">
        <v>2794</v>
      </c>
      <c r="K2627" s="12">
        <f>Store_Record[[#This Row],[Qty]]*Store_Record[[#This Row],[UnitPriceGBP]]</f>
        <v>7.5</v>
      </c>
      <c r="L2627" s="5" t="str">
        <f>TEXT(Store_Record[[#This Row],[Date]],"dddd")</f>
        <v>Wednesday</v>
      </c>
      <c r="M2627" s="5" t="str">
        <f>TEXT(Store_Record[[#This Row],[Date]],"mmmm")</f>
        <v>July</v>
      </c>
      <c r="N2627" s="5">
        <f>YEAR(Store_Record[[#This Row],[Date]])</f>
        <v>2025</v>
      </c>
      <c r="O2627"/>
    </row>
    <row r="2628" spans="1:15" x14ac:dyDescent="0.35">
      <c r="A2628" t="s">
        <v>3566</v>
      </c>
      <c r="B2628" s="2">
        <v>45847</v>
      </c>
      <c r="C2628" t="s">
        <v>24</v>
      </c>
      <c r="D2628" t="s">
        <v>11</v>
      </c>
      <c r="E2628" t="s">
        <v>30</v>
      </c>
      <c r="F2628" t="s">
        <v>31</v>
      </c>
      <c r="G2628">
        <v>2</v>
      </c>
      <c r="H2628">
        <v>2.8</v>
      </c>
      <c r="I2628" t="s">
        <v>14</v>
      </c>
      <c r="J2628" t="s">
        <v>2055</v>
      </c>
      <c r="K2628" s="12">
        <f>Store_Record[[#This Row],[Qty]]*Store_Record[[#This Row],[UnitPriceGBP]]</f>
        <v>5.6</v>
      </c>
      <c r="L2628" s="5" t="str">
        <f>TEXT(Store_Record[[#This Row],[Date]],"dddd")</f>
        <v>Wednesday</v>
      </c>
      <c r="M2628" s="5" t="str">
        <f>TEXT(Store_Record[[#This Row],[Date]],"mmmm")</f>
        <v>July</v>
      </c>
      <c r="N2628" s="5">
        <f>YEAR(Store_Record[[#This Row],[Date]])</f>
        <v>2025</v>
      </c>
      <c r="O2628"/>
    </row>
    <row r="2629" spans="1:15" x14ac:dyDescent="0.35">
      <c r="A2629" t="s">
        <v>3569</v>
      </c>
      <c r="B2629" s="2">
        <v>45847</v>
      </c>
      <c r="C2629" t="s">
        <v>24</v>
      </c>
      <c r="D2629" t="s">
        <v>47</v>
      </c>
      <c r="E2629" t="s">
        <v>30</v>
      </c>
      <c r="F2629" t="s">
        <v>31</v>
      </c>
      <c r="G2629">
        <v>2</v>
      </c>
      <c r="H2629">
        <v>2.8</v>
      </c>
      <c r="I2629" t="s">
        <v>14</v>
      </c>
      <c r="J2629" t="s">
        <v>396</v>
      </c>
      <c r="K2629" s="12">
        <f>Store_Record[[#This Row],[Qty]]*Store_Record[[#This Row],[UnitPriceGBP]]</f>
        <v>5.6</v>
      </c>
      <c r="L2629" s="5" t="str">
        <f>TEXT(Store_Record[[#This Row],[Date]],"dddd")</f>
        <v>Wednesday</v>
      </c>
      <c r="M2629" s="5" t="str">
        <f>TEXT(Store_Record[[#This Row],[Date]],"mmmm")</f>
        <v>July</v>
      </c>
      <c r="N2629" s="5">
        <f>YEAR(Store_Record[[#This Row],[Date]])</f>
        <v>2025</v>
      </c>
      <c r="O2629"/>
    </row>
    <row r="2630" spans="1:15" x14ac:dyDescent="0.35">
      <c r="A2630" t="s">
        <v>3563</v>
      </c>
      <c r="B2630" s="2">
        <v>45847</v>
      </c>
      <c r="C2630" t="s">
        <v>10</v>
      </c>
      <c r="D2630" t="s">
        <v>25</v>
      </c>
      <c r="E2630" t="s">
        <v>12</v>
      </c>
      <c r="F2630" t="s">
        <v>13</v>
      </c>
      <c r="G2630">
        <v>1</v>
      </c>
      <c r="H2630">
        <v>2.5</v>
      </c>
      <c r="I2630" t="s">
        <v>21</v>
      </c>
      <c r="J2630" t="s">
        <v>2166</v>
      </c>
      <c r="K2630" s="12">
        <f>Store_Record[[#This Row],[Qty]]*Store_Record[[#This Row],[UnitPriceGBP]]</f>
        <v>2.5</v>
      </c>
      <c r="L2630" s="5" t="str">
        <f>TEXT(Store_Record[[#This Row],[Date]],"dddd")</f>
        <v>Wednesday</v>
      </c>
      <c r="M2630" s="5" t="str">
        <f>TEXT(Store_Record[[#This Row],[Date]],"mmmm")</f>
        <v>July</v>
      </c>
      <c r="N2630" s="5">
        <f>YEAR(Store_Record[[#This Row],[Date]])</f>
        <v>2025</v>
      </c>
      <c r="O2630"/>
    </row>
    <row r="2631" spans="1:15" x14ac:dyDescent="0.35">
      <c r="A2631" t="s">
        <v>3570</v>
      </c>
      <c r="B2631" s="2">
        <v>45847</v>
      </c>
      <c r="C2631" t="s">
        <v>20</v>
      </c>
      <c r="D2631" t="s">
        <v>11</v>
      </c>
      <c r="E2631" t="s">
        <v>12</v>
      </c>
      <c r="F2631" t="s">
        <v>13</v>
      </c>
      <c r="G2631">
        <v>1</v>
      </c>
      <c r="H2631">
        <v>2.5</v>
      </c>
      <c r="I2631" t="s">
        <v>39</v>
      </c>
      <c r="J2631" t="s">
        <v>300</v>
      </c>
      <c r="K2631" s="12">
        <f>Store_Record[[#This Row],[Qty]]*Store_Record[[#This Row],[UnitPriceGBP]]</f>
        <v>2.5</v>
      </c>
      <c r="L2631" s="5" t="str">
        <f>TEXT(Store_Record[[#This Row],[Date]],"dddd")</f>
        <v>Wednesday</v>
      </c>
      <c r="M2631" s="5" t="str">
        <f>TEXT(Store_Record[[#This Row],[Date]],"mmmm")</f>
        <v>July</v>
      </c>
      <c r="N2631" s="5">
        <f>YEAR(Store_Record[[#This Row],[Date]])</f>
        <v>2025</v>
      </c>
      <c r="O2631"/>
    </row>
    <row r="2632" spans="1:15" x14ac:dyDescent="0.35">
      <c r="A2632" t="s">
        <v>3562</v>
      </c>
      <c r="B2632" s="2">
        <v>45847</v>
      </c>
      <c r="C2632" t="s">
        <v>36</v>
      </c>
      <c r="D2632" t="s">
        <v>38</v>
      </c>
      <c r="E2632" t="s">
        <v>34</v>
      </c>
      <c r="F2632" t="s">
        <v>31</v>
      </c>
      <c r="G2632">
        <v>1</v>
      </c>
      <c r="H2632">
        <v>2.2000000000000002</v>
      </c>
      <c r="I2632" t="s">
        <v>39</v>
      </c>
      <c r="J2632" t="s">
        <v>2488</v>
      </c>
      <c r="K2632" s="12">
        <f>Store_Record[[#This Row],[Qty]]*Store_Record[[#This Row],[UnitPriceGBP]]</f>
        <v>2.2000000000000002</v>
      </c>
      <c r="L2632" s="5" t="str">
        <f>TEXT(Store_Record[[#This Row],[Date]],"dddd")</f>
        <v>Wednesday</v>
      </c>
      <c r="M2632" s="5" t="str">
        <f>TEXT(Store_Record[[#This Row],[Date]],"mmmm")</f>
        <v>July</v>
      </c>
      <c r="N2632" s="5">
        <f>YEAR(Store_Record[[#This Row],[Date]])</f>
        <v>2025</v>
      </c>
      <c r="O2632"/>
    </row>
    <row r="2633" spans="1:15" x14ac:dyDescent="0.35">
      <c r="A2633" t="s">
        <v>3581</v>
      </c>
      <c r="B2633" s="2">
        <v>45848</v>
      </c>
      <c r="C2633" t="s">
        <v>10</v>
      </c>
      <c r="D2633" t="s">
        <v>38</v>
      </c>
      <c r="E2633" t="s">
        <v>30</v>
      </c>
      <c r="F2633" t="s">
        <v>31</v>
      </c>
      <c r="G2633">
        <v>5</v>
      </c>
      <c r="H2633">
        <v>2.8</v>
      </c>
      <c r="I2633" t="s">
        <v>14</v>
      </c>
      <c r="J2633" t="s">
        <v>644</v>
      </c>
      <c r="K2633" s="12">
        <f>Store_Record[[#This Row],[Qty]]*Store_Record[[#This Row],[UnitPriceGBP]]</f>
        <v>14</v>
      </c>
      <c r="L2633" s="5" t="str">
        <f>TEXT(Store_Record[[#This Row],[Date]],"dddd")</f>
        <v>Thursday</v>
      </c>
      <c r="M2633" s="5" t="str">
        <f>TEXT(Store_Record[[#This Row],[Date]],"mmmm")</f>
        <v>July</v>
      </c>
      <c r="N2633" s="5">
        <f>YEAR(Store_Record[[#This Row],[Date]])</f>
        <v>2025</v>
      </c>
      <c r="O2633"/>
    </row>
    <row r="2634" spans="1:15" x14ac:dyDescent="0.35">
      <c r="A2634" t="s">
        <v>3585</v>
      </c>
      <c r="B2634" s="2">
        <v>45848</v>
      </c>
      <c r="C2634" t="s">
        <v>36</v>
      </c>
      <c r="D2634" t="s">
        <v>29</v>
      </c>
      <c r="E2634" t="s">
        <v>30</v>
      </c>
      <c r="F2634" t="s">
        <v>31</v>
      </c>
      <c r="G2634">
        <v>5</v>
      </c>
      <c r="H2634">
        <v>2.8</v>
      </c>
      <c r="I2634" t="s">
        <v>14</v>
      </c>
      <c r="J2634" t="s">
        <v>275</v>
      </c>
      <c r="K2634" s="12">
        <f>Store_Record[[#This Row],[Qty]]*Store_Record[[#This Row],[UnitPriceGBP]]</f>
        <v>14</v>
      </c>
      <c r="L2634" s="5" t="str">
        <f>TEXT(Store_Record[[#This Row],[Date]],"dddd")</f>
        <v>Thursday</v>
      </c>
      <c r="M2634" s="5" t="str">
        <f>TEXT(Store_Record[[#This Row],[Date]],"mmmm")</f>
        <v>July</v>
      </c>
      <c r="N2634" s="5">
        <f>YEAR(Store_Record[[#This Row],[Date]])</f>
        <v>2025</v>
      </c>
      <c r="O2634"/>
    </row>
    <row r="2635" spans="1:15" x14ac:dyDescent="0.35">
      <c r="A2635" t="s">
        <v>3578</v>
      </c>
      <c r="B2635" s="2">
        <v>45848</v>
      </c>
      <c r="C2635" t="s">
        <v>36</v>
      </c>
      <c r="D2635" t="s">
        <v>29</v>
      </c>
      <c r="E2635" t="s">
        <v>26</v>
      </c>
      <c r="F2635" t="s">
        <v>13</v>
      </c>
      <c r="G2635">
        <v>3</v>
      </c>
      <c r="H2635">
        <v>3.5</v>
      </c>
      <c r="I2635" t="s">
        <v>14</v>
      </c>
      <c r="J2635" t="s">
        <v>2681</v>
      </c>
      <c r="K2635" s="12">
        <f>Store_Record[[#This Row],[Qty]]*Store_Record[[#This Row],[UnitPriceGBP]]</f>
        <v>10.5</v>
      </c>
      <c r="L2635" s="5" t="str">
        <f>TEXT(Store_Record[[#This Row],[Date]],"dddd")</f>
        <v>Thursday</v>
      </c>
      <c r="M2635" s="5" t="str">
        <f>TEXT(Store_Record[[#This Row],[Date]],"mmmm")</f>
        <v>July</v>
      </c>
      <c r="N2635" s="5">
        <f>YEAR(Store_Record[[#This Row],[Date]])</f>
        <v>2025</v>
      </c>
      <c r="O2635"/>
    </row>
    <row r="2636" spans="1:15" x14ac:dyDescent="0.35">
      <c r="A2636" t="s">
        <v>3586</v>
      </c>
      <c r="B2636" s="2">
        <v>45848</v>
      </c>
      <c r="C2636" t="s">
        <v>24</v>
      </c>
      <c r="D2636" t="s">
        <v>25</v>
      </c>
      <c r="E2636" t="s">
        <v>12</v>
      </c>
      <c r="F2636" t="s">
        <v>13</v>
      </c>
      <c r="G2636">
        <v>4</v>
      </c>
      <c r="H2636">
        <v>2.5</v>
      </c>
      <c r="I2636" t="s">
        <v>39</v>
      </c>
      <c r="J2636" t="s">
        <v>585</v>
      </c>
      <c r="K2636" s="12">
        <f>Store_Record[[#This Row],[Qty]]*Store_Record[[#This Row],[UnitPriceGBP]]</f>
        <v>10</v>
      </c>
      <c r="L2636" s="5" t="str">
        <f>TEXT(Store_Record[[#This Row],[Date]],"dddd")</f>
        <v>Thursday</v>
      </c>
      <c r="M2636" s="5" t="str">
        <f>TEXT(Store_Record[[#This Row],[Date]],"mmmm")</f>
        <v>July</v>
      </c>
      <c r="N2636" s="5">
        <f>YEAR(Store_Record[[#This Row],[Date]])</f>
        <v>2025</v>
      </c>
      <c r="O2636"/>
    </row>
    <row r="2637" spans="1:15" x14ac:dyDescent="0.35">
      <c r="A2637" t="s">
        <v>3582</v>
      </c>
      <c r="B2637" s="2">
        <v>45848</v>
      </c>
      <c r="C2637" t="s">
        <v>10</v>
      </c>
      <c r="D2637" t="s">
        <v>38</v>
      </c>
      <c r="E2637" t="s">
        <v>34</v>
      </c>
      <c r="F2637" t="s">
        <v>31</v>
      </c>
      <c r="G2637">
        <v>4</v>
      </c>
      <c r="H2637">
        <v>2.2000000000000002</v>
      </c>
      <c r="I2637" t="s">
        <v>21</v>
      </c>
      <c r="J2637" t="s">
        <v>1106</v>
      </c>
      <c r="K2637" s="12">
        <f>Store_Record[[#This Row],[Qty]]*Store_Record[[#This Row],[UnitPriceGBP]]</f>
        <v>8.8000000000000007</v>
      </c>
      <c r="L2637" s="5" t="str">
        <f>TEXT(Store_Record[[#This Row],[Date]],"dddd")</f>
        <v>Thursday</v>
      </c>
      <c r="M2637" s="5" t="str">
        <f>TEXT(Store_Record[[#This Row],[Date]],"mmmm")</f>
        <v>July</v>
      </c>
      <c r="N2637" s="5">
        <f>YEAR(Store_Record[[#This Row],[Date]])</f>
        <v>2025</v>
      </c>
      <c r="O2637"/>
    </row>
    <row r="2638" spans="1:15" x14ac:dyDescent="0.35">
      <c r="A2638" t="s">
        <v>3584</v>
      </c>
      <c r="B2638" s="2">
        <v>45848</v>
      </c>
      <c r="C2638" t="s">
        <v>36</v>
      </c>
      <c r="D2638" t="s">
        <v>11</v>
      </c>
      <c r="E2638" t="s">
        <v>42</v>
      </c>
      <c r="F2638" t="s">
        <v>13</v>
      </c>
      <c r="G2638">
        <v>2</v>
      </c>
      <c r="H2638">
        <v>3.8</v>
      </c>
      <c r="I2638" t="s">
        <v>14</v>
      </c>
      <c r="J2638" t="s">
        <v>456</v>
      </c>
      <c r="K2638" s="12">
        <f>Store_Record[[#This Row],[Qty]]*Store_Record[[#This Row],[UnitPriceGBP]]</f>
        <v>7.6</v>
      </c>
      <c r="L2638" s="5" t="str">
        <f>TEXT(Store_Record[[#This Row],[Date]],"dddd")</f>
        <v>Thursday</v>
      </c>
      <c r="M2638" s="5" t="str">
        <f>TEXT(Store_Record[[#This Row],[Date]],"mmmm")</f>
        <v>July</v>
      </c>
      <c r="N2638" s="5">
        <f>YEAR(Store_Record[[#This Row],[Date]])</f>
        <v>2025</v>
      </c>
      <c r="O2638"/>
    </row>
    <row r="2639" spans="1:15" x14ac:dyDescent="0.35">
      <c r="A2639" t="s">
        <v>3579</v>
      </c>
      <c r="B2639" s="2">
        <v>45848</v>
      </c>
      <c r="C2639" t="s">
        <v>24</v>
      </c>
      <c r="D2639" t="s">
        <v>38</v>
      </c>
      <c r="E2639" t="s">
        <v>26</v>
      </c>
      <c r="F2639" t="s">
        <v>13</v>
      </c>
      <c r="G2639">
        <v>2</v>
      </c>
      <c r="H2639">
        <v>3.5</v>
      </c>
      <c r="I2639" t="s">
        <v>39</v>
      </c>
      <c r="J2639" t="s">
        <v>2293</v>
      </c>
      <c r="K2639" s="12">
        <f>Store_Record[[#This Row],[Qty]]*Store_Record[[#This Row],[UnitPriceGBP]]</f>
        <v>7</v>
      </c>
      <c r="L2639" s="5" t="str">
        <f>TEXT(Store_Record[[#This Row],[Date]],"dddd")</f>
        <v>Thursday</v>
      </c>
      <c r="M2639" s="5" t="str">
        <f>TEXT(Store_Record[[#This Row],[Date]],"mmmm")</f>
        <v>July</v>
      </c>
      <c r="N2639" s="5">
        <f>YEAR(Store_Record[[#This Row],[Date]])</f>
        <v>2025</v>
      </c>
      <c r="O2639"/>
    </row>
    <row r="2640" spans="1:15" x14ac:dyDescent="0.35">
      <c r="A2640" t="s">
        <v>3580</v>
      </c>
      <c r="B2640" s="2">
        <v>45848</v>
      </c>
      <c r="C2640" t="s">
        <v>36</v>
      </c>
      <c r="D2640" t="s">
        <v>29</v>
      </c>
      <c r="E2640" t="s">
        <v>34</v>
      </c>
      <c r="F2640" t="s">
        <v>31</v>
      </c>
      <c r="G2640">
        <v>3</v>
      </c>
      <c r="H2640">
        <v>2.2000000000000002</v>
      </c>
      <c r="I2640" t="s">
        <v>14</v>
      </c>
      <c r="J2640" t="s">
        <v>886</v>
      </c>
      <c r="K2640" s="12">
        <f>Store_Record[[#This Row],[Qty]]*Store_Record[[#This Row],[UnitPriceGBP]]</f>
        <v>6.6000000000000005</v>
      </c>
      <c r="L2640" s="5" t="str">
        <f>TEXT(Store_Record[[#This Row],[Date]],"dddd")</f>
        <v>Thursday</v>
      </c>
      <c r="M2640" s="5" t="str">
        <f>TEXT(Store_Record[[#This Row],[Date]],"mmmm")</f>
        <v>July</v>
      </c>
      <c r="N2640" s="5">
        <f>YEAR(Store_Record[[#This Row],[Date]])</f>
        <v>2025</v>
      </c>
      <c r="O2640"/>
    </row>
    <row r="2641" spans="1:15" x14ac:dyDescent="0.35">
      <c r="A2641" t="s">
        <v>3576</v>
      </c>
      <c r="B2641" s="2">
        <v>45848</v>
      </c>
      <c r="C2641" t="s">
        <v>20</v>
      </c>
      <c r="D2641" t="s">
        <v>25</v>
      </c>
      <c r="E2641" t="s">
        <v>42</v>
      </c>
      <c r="F2641" t="s">
        <v>13</v>
      </c>
      <c r="G2641">
        <v>1</v>
      </c>
      <c r="H2641">
        <v>3.8</v>
      </c>
      <c r="I2641" t="s">
        <v>14</v>
      </c>
      <c r="J2641" t="s">
        <v>1090</v>
      </c>
      <c r="K2641" s="12">
        <f>Store_Record[[#This Row],[Qty]]*Store_Record[[#This Row],[UnitPriceGBP]]</f>
        <v>3.8</v>
      </c>
      <c r="L2641" s="5" t="str">
        <f>TEXT(Store_Record[[#This Row],[Date]],"dddd")</f>
        <v>Thursday</v>
      </c>
      <c r="M2641" s="5" t="str">
        <f>TEXT(Store_Record[[#This Row],[Date]],"mmmm")</f>
        <v>July</v>
      </c>
      <c r="N2641" s="5">
        <f>YEAR(Store_Record[[#This Row],[Date]])</f>
        <v>2025</v>
      </c>
      <c r="O2641"/>
    </row>
    <row r="2642" spans="1:15" x14ac:dyDescent="0.35">
      <c r="A2642" t="s">
        <v>3577</v>
      </c>
      <c r="B2642" s="2">
        <v>45848</v>
      </c>
      <c r="C2642" t="s">
        <v>10</v>
      </c>
      <c r="D2642" t="s">
        <v>25</v>
      </c>
      <c r="E2642" t="s">
        <v>42</v>
      </c>
      <c r="F2642" t="s">
        <v>13</v>
      </c>
      <c r="G2642">
        <v>1</v>
      </c>
      <c r="H2642">
        <v>3.8</v>
      </c>
      <c r="I2642" t="s">
        <v>39</v>
      </c>
      <c r="J2642" t="s">
        <v>600</v>
      </c>
      <c r="K2642" s="12">
        <f>Store_Record[[#This Row],[Qty]]*Store_Record[[#This Row],[UnitPriceGBP]]</f>
        <v>3.8</v>
      </c>
      <c r="L2642" s="5" t="str">
        <f>TEXT(Store_Record[[#This Row],[Date]],"dddd")</f>
        <v>Thursday</v>
      </c>
      <c r="M2642" s="5" t="str">
        <f>TEXT(Store_Record[[#This Row],[Date]],"mmmm")</f>
        <v>July</v>
      </c>
      <c r="N2642" s="5">
        <f>YEAR(Store_Record[[#This Row],[Date]])</f>
        <v>2025</v>
      </c>
      <c r="O2642"/>
    </row>
    <row r="2643" spans="1:15" x14ac:dyDescent="0.35">
      <c r="A2643" t="s">
        <v>3583</v>
      </c>
      <c r="B2643" s="2">
        <v>45848</v>
      </c>
      <c r="C2643" t="s">
        <v>10</v>
      </c>
      <c r="D2643" t="s">
        <v>38</v>
      </c>
      <c r="E2643" t="s">
        <v>30</v>
      </c>
      <c r="F2643" t="s">
        <v>31</v>
      </c>
      <c r="G2643">
        <v>1</v>
      </c>
      <c r="H2643">
        <v>2.8</v>
      </c>
      <c r="I2643" t="s">
        <v>14</v>
      </c>
      <c r="J2643" t="s">
        <v>347</v>
      </c>
      <c r="K2643" s="12">
        <f>Store_Record[[#This Row],[Qty]]*Store_Record[[#This Row],[UnitPriceGBP]]</f>
        <v>2.8</v>
      </c>
      <c r="L2643" s="5" t="str">
        <f>TEXT(Store_Record[[#This Row],[Date]],"dddd")</f>
        <v>Thursday</v>
      </c>
      <c r="M2643" s="5" t="str">
        <f>TEXT(Store_Record[[#This Row],[Date]],"mmmm")</f>
        <v>July</v>
      </c>
      <c r="N2643" s="5">
        <f>YEAR(Store_Record[[#This Row],[Date]])</f>
        <v>2025</v>
      </c>
      <c r="O2643"/>
    </row>
    <row r="2644" spans="1:15" x14ac:dyDescent="0.35">
      <c r="A2644" t="s">
        <v>3589</v>
      </c>
      <c r="B2644" s="2">
        <v>45849</v>
      </c>
      <c r="C2644" t="s">
        <v>20</v>
      </c>
      <c r="D2644" t="s">
        <v>38</v>
      </c>
      <c r="E2644" t="s">
        <v>42</v>
      </c>
      <c r="F2644" t="s">
        <v>13</v>
      </c>
      <c r="G2644">
        <v>4</v>
      </c>
      <c r="H2644">
        <v>3.8</v>
      </c>
      <c r="I2644" t="s">
        <v>21</v>
      </c>
      <c r="J2644" t="s">
        <v>1477</v>
      </c>
      <c r="K2644" s="12">
        <f>Store_Record[[#This Row],[Qty]]*Store_Record[[#This Row],[UnitPriceGBP]]</f>
        <v>15.2</v>
      </c>
      <c r="L2644" s="5" t="str">
        <f>TEXT(Store_Record[[#This Row],[Date]],"dddd")</f>
        <v>Friday</v>
      </c>
      <c r="M2644" s="5" t="str">
        <f>TEXT(Store_Record[[#This Row],[Date]],"mmmm")</f>
        <v>July</v>
      </c>
      <c r="N2644" s="5">
        <f>YEAR(Store_Record[[#This Row],[Date]])</f>
        <v>2025</v>
      </c>
      <c r="O2644"/>
    </row>
    <row r="2645" spans="1:15" x14ac:dyDescent="0.35">
      <c r="A2645" t="s">
        <v>3603</v>
      </c>
      <c r="B2645" s="2">
        <v>45849</v>
      </c>
      <c r="C2645" t="s">
        <v>10</v>
      </c>
      <c r="D2645" t="s">
        <v>47</v>
      </c>
      <c r="E2645" t="s">
        <v>26</v>
      </c>
      <c r="F2645" t="s">
        <v>13</v>
      </c>
      <c r="G2645">
        <v>4</v>
      </c>
      <c r="H2645">
        <v>3.5</v>
      </c>
      <c r="I2645" t="s">
        <v>21</v>
      </c>
      <c r="J2645" t="s">
        <v>1073</v>
      </c>
      <c r="K2645" s="12">
        <f>Store_Record[[#This Row],[Qty]]*Store_Record[[#This Row],[UnitPriceGBP]]</f>
        <v>14</v>
      </c>
      <c r="L2645" s="5" t="str">
        <f>TEXT(Store_Record[[#This Row],[Date]],"dddd")</f>
        <v>Friday</v>
      </c>
      <c r="M2645" s="5" t="str">
        <f>TEXT(Store_Record[[#This Row],[Date]],"mmmm")</f>
        <v>July</v>
      </c>
      <c r="N2645" s="5">
        <f>YEAR(Store_Record[[#This Row],[Date]])</f>
        <v>2025</v>
      </c>
      <c r="O2645"/>
    </row>
    <row r="2646" spans="1:15" x14ac:dyDescent="0.35">
      <c r="A2646" t="s">
        <v>3591</v>
      </c>
      <c r="B2646" s="2">
        <v>45849</v>
      </c>
      <c r="C2646" t="s">
        <v>10</v>
      </c>
      <c r="D2646" t="s">
        <v>47</v>
      </c>
      <c r="E2646" t="s">
        <v>12</v>
      </c>
      <c r="F2646" t="s">
        <v>13</v>
      </c>
      <c r="G2646">
        <v>5</v>
      </c>
      <c r="H2646">
        <v>2.5</v>
      </c>
      <c r="I2646" t="s">
        <v>14</v>
      </c>
      <c r="J2646" t="s">
        <v>1573</v>
      </c>
      <c r="K2646" s="12">
        <f>Store_Record[[#This Row],[Qty]]*Store_Record[[#This Row],[UnitPriceGBP]]</f>
        <v>12.5</v>
      </c>
      <c r="L2646" s="5" t="str">
        <f>TEXT(Store_Record[[#This Row],[Date]],"dddd")</f>
        <v>Friday</v>
      </c>
      <c r="M2646" s="5" t="str">
        <f>TEXT(Store_Record[[#This Row],[Date]],"mmmm")</f>
        <v>July</v>
      </c>
      <c r="N2646" s="5">
        <f>YEAR(Store_Record[[#This Row],[Date]])</f>
        <v>2025</v>
      </c>
      <c r="O2646"/>
    </row>
    <row r="2647" spans="1:15" x14ac:dyDescent="0.35">
      <c r="A2647" t="s">
        <v>3597</v>
      </c>
      <c r="B2647" s="2">
        <v>45849</v>
      </c>
      <c r="C2647" t="s">
        <v>20</v>
      </c>
      <c r="D2647" t="s">
        <v>25</v>
      </c>
      <c r="E2647" t="s">
        <v>12</v>
      </c>
      <c r="F2647" t="s">
        <v>13</v>
      </c>
      <c r="G2647">
        <v>5</v>
      </c>
      <c r="H2647">
        <v>2.5</v>
      </c>
      <c r="I2647" t="s">
        <v>14</v>
      </c>
      <c r="J2647" t="s">
        <v>1663</v>
      </c>
      <c r="K2647" s="12">
        <f>Store_Record[[#This Row],[Qty]]*Store_Record[[#This Row],[UnitPriceGBP]]</f>
        <v>12.5</v>
      </c>
      <c r="L2647" s="5" t="str">
        <f>TEXT(Store_Record[[#This Row],[Date]],"dddd")</f>
        <v>Friday</v>
      </c>
      <c r="M2647" s="5" t="str">
        <f>TEXT(Store_Record[[#This Row],[Date]],"mmmm")</f>
        <v>July</v>
      </c>
      <c r="N2647" s="5">
        <f>YEAR(Store_Record[[#This Row],[Date]])</f>
        <v>2025</v>
      </c>
      <c r="O2647"/>
    </row>
    <row r="2648" spans="1:15" x14ac:dyDescent="0.35">
      <c r="A2648" t="s">
        <v>3606</v>
      </c>
      <c r="B2648" s="2">
        <v>45849</v>
      </c>
      <c r="C2648" t="s">
        <v>10</v>
      </c>
      <c r="D2648" t="s">
        <v>38</v>
      </c>
      <c r="E2648" t="s">
        <v>30</v>
      </c>
      <c r="F2648" t="s">
        <v>31</v>
      </c>
      <c r="G2648">
        <v>4</v>
      </c>
      <c r="H2648">
        <v>2.8</v>
      </c>
      <c r="I2648" t="s">
        <v>14</v>
      </c>
      <c r="J2648" t="s">
        <v>3607</v>
      </c>
      <c r="K2648" s="12">
        <f>Store_Record[[#This Row],[Qty]]*Store_Record[[#This Row],[UnitPriceGBP]]</f>
        <v>11.2</v>
      </c>
      <c r="L2648" s="5" t="str">
        <f>TEXT(Store_Record[[#This Row],[Date]],"dddd")</f>
        <v>Friday</v>
      </c>
      <c r="M2648" s="5" t="str">
        <f>TEXT(Store_Record[[#This Row],[Date]],"mmmm")</f>
        <v>July</v>
      </c>
      <c r="N2648" s="5">
        <f>YEAR(Store_Record[[#This Row],[Date]])</f>
        <v>2025</v>
      </c>
      <c r="O2648"/>
    </row>
    <row r="2649" spans="1:15" x14ac:dyDescent="0.35">
      <c r="A2649" t="s">
        <v>3587</v>
      </c>
      <c r="B2649" s="2">
        <v>45849</v>
      </c>
      <c r="C2649" t="s">
        <v>20</v>
      </c>
      <c r="D2649" t="s">
        <v>38</v>
      </c>
      <c r="E2649" t="s">
        <v>34</v>
      </c>
      <c r="F2649" t="s">
        <v>31</v>
      </c>
      <c r="G2649">
        <v>5</v>
      </c>
      <c r="H2649">
        <v>2.2000000000000002</v>
      </c>
      <c r="I2649" t="s">
        <v>39</v>
      </c>
      <c r="J2649" t="s">
        <v>1860</v>
      </c>
      <c r="K2649" s="12">
        <f>Store_Record[[#This Row],[Qty]]*Store_Record[[#This Row],[UnitPriceGBP]]</f>
        <v>11</v>
      </c>
      <c r="L2649" s="5" t="str">
        <f>TEXT(Store_Record[[#This Row],[Date]],"dddd")</f>
        <v>Friday</v>
      </c>
      <c r="M2649" s="5" t="str">
        <f>TEXT(Store_Record[[#This Row],[Date]],"mmmm")</f>
        <v>July</v>
      </c>
      <c r="N2649" s="5">
        <f>YEAR(Store_Record[[#This Row],[Date]])</f>
        <v>2025</v>
      </c>
      <c r="O2649"/>
    </row>
    <row r="2650" spans="1:15" x14ac:dyDescent="0.35">
      <c r="A2650" t="s">
        <v>3590</v>
      </c>
      <c r="B2650" s="2">
        <v>45849</v>
      </c>
      <c r="C2650" t="s">
        <v>36</v>
      </c>
      <c r="D2650" t="s">
        <v>11</v>
      </c>
      <c r="E2650" t="s">
        <v>34</v>
      </c>
      <c r="F2650" t="s">
        <v>31</v>
      </c>
      <c r="G2650">
        <v>5</v>
      </c>
      <c r="H2650">
        <v>2.2000000000000002</v>
      </c>
      <c r="I2650" t="s">
        <v>21</v>
      </c>
      <c r="J2650" t="s">
        <v>1501</v>
      </c>
      <c r="K2650" s="12">
        <f>Store_Record[[#This Row],[Qty]]*Store_Record[[#This Row],[UnitPriceGBP]]</f>
        <v>11</v>
      </c>
      <c r="L2650" s="5" t="str">
        <f>TEXT(Store_Record[[#This Row],[Date]],"dddd")</f>
        <v>Friday</v>
      </c>
      <c r="M2650" s="5" t="str">
        <f>TEXT(Store_Record[[#This Row],[Date]],"mmmm")</f>
        <v>July</v>
      </c>
      <c r="N2650" s="5">
        <f>YEAR(Store_Record[[#This Row],[Date]])</f>
        <v>2025</v>
      </c>
      <c r="O2650"/>
    </row>
    <row r="2651" spans="1:15" x14ac:dyDescent="0.35">
      <c r="A2651" t="s">
        <v>3599</v>
      </c>
      <c r="B2651" s="2">
        <v>45849</v>
      </c>
      <c r="C2651" t="s">
        <v>36</v>
      </c>
      <c r="D2651" t="s">
        <v>47</v>
      </c>
      <c r="E2651" t="s">
        <v>26</v>
      </c>
      <c r="F2651" t="s">
        <v>13</v>
      </c>
      <c r="G2651">
        <v>3</v>
      </c>
      <c r="H2651">
        <v>3.5</v>
      </c>
      <c r="I2651" t="s">
        <v>14</v>
      </c>
      <c r="J2651" t="s">
        <v>1605</v>
      </c>
      <c r="K2651" s="12">
        <f>Store_Record[[#This Row],[Qty]]*Store_Record[[#This Row],[UnitPriceGBP]]</f>
        <v>10.5</v>
      </c>
      <c r="L2651" s="5" t="str">
        <f>TEXT(Store_Record[[#This Row],[Date]],"dddd")</f>
        <v>Friday</v>
      </c>
      <c r="M2651" s="5" t="str">
        <f>TEXT(Store_Record[[#This Row],[Date]],"mmmm")</f>
        <v>July</v>
      </c>
      <c r="N2651" s="5">
        <f>YEAR(Store_Record[[#This Row],[Date]])</f>
        <v>2025</v>
      </c>
      <c r="O2651"/>
    </row>
    <row r="2652" spans="1:15" x14ac:dyDescent="0.35">
      <c r="A2652" t="s">
        <v>3594</v>
      </c>
      <c r="B2652" s="2">
        <v>45849</v>
      </c>
      <c r="C2652" t="s">
        <v>24</v>
      </c>
      <c r="D2652" t="s">
        <v>25</v>
      </c>
      <c r="E2652" t="s">
        <v>12</v>
      </c>
      <c r="F2652" t="s">
        <v>13</v>
      </c>
      <c r="G2652">
        <v>4</v>
      </c>
      <c r="H2652">
        <v>2.5</v>
      </c>
      <c r="I2652" t="s">
        <v>21</v>
      </c>
      <c r="J2652" t="s">
        <v>797</v>
      </c>
      <c r="K2652" s="12">
        <f>Store_Record[[#This Row],[Qty]]*Store_Record[[#This Row],[UnitPriceGBP]]</f>
        <v>10</v>
      </c>
      <c r="L2652" s="5" t="str">
        <f>TEXT(Store_Record[[#This Row],[Date]],"dddd")</f>
        <v>Friday</v>
      </c>
      <c r="M2652" s="5" t="str">
        <f>TEXT(Store_Record[[#This Row],[Date]],"mmmm")</f>
        <v>July</v>
      </c>
      <c r="N2652" s="5">
        <f>YEAR(Store_Record[[#This Row],[Date]])</f>
        <v>2025</v>
      </c>
      <c r="O2652"/>
    </row>
    <row r="2653" spans="1:15" x14ac:dyDescent="0.35">
      <c r="A2653" t="s">
        <v>3598</v>
      </c>
      <c r="B2653" s="2">
        <v>45849</v>
      </c>
      <c r="C2653" t="s">
        <v>24</v>
      </c>
      <c r="D2653" t="s">
        <v>29</v>
      </c>
      <c r="E2653" t="s">
        <v>34</v>
      </c>
      <c r="F2653" t="s">
        <v>31</v>
      </c>
      <c r="G2653">
        <v>4</v>
      </c>
      <c r="H2653">
        <v>2.2000000000000002</v>
      </c>
      <c r="I2653" t="s">
        <v>14</v>
      </c>
      <c r="J2653" t="s">
        <v>1163</v>
      </c>
      <c r="K2653" s="12">
        <f>Store_Record[[#This Row],[Qty]]*Store_Record[[#This Row],[UnitPriceGBP]]</f>
        <v>8.8000000000000007</v>
      </c>
      <c r="L2653" s="5" t="str">
        <f>TEXT(Store_Record[[#This Row],[Date]],"dddd")</f>
        <v>Friday</v>
      </c>
      <c r="M2653" s="5" t="str">
        <f>TEXT(Store_Record[[#This Row],[Date]],"mmmm")</f>
        <v>July</v>
      </c>
      <c r="N2653" s="5">
        <f>YEAR(Store_Record[[#This Row],[Date]])</f>
        <v>2025</v>
      </c>
      <c r="O2653"/>
    </row>
    <row r="2654" spans="1:15" x14ac:dyDescent="0.35">
      <c r="A2654" t="s">
        <v>3608</v>
      </c>
      <c r="B2654" s="2">
        <v>45849</v>
      </c>
      <c r="C2654" t="s">
        <v>10</v>
      </c>
      <c r="D2654" t="s">
        <v>47</v>
      </c>
      <c r="E2654" t="s">
        <v>42</v>
      </c>
      <c r="F2654" t="s">
        <v>13</v>
      </c>
      <c r="G2654">
        <v>2</v>
      </c>
      <c r="H2654">
        <v>3.8</v>
      </c>
      <c r="I2654" t="s">
        <v>21</v>
      </c>
      <c r="J2654" t="s">
        <v>2717</v>
      </c>
      <c r="K2654" s="12">
        <f>Store_Record[[#This Row],[Qty]]*Store_Record[[#This Row],[UnitPriceGBP]]</f>
        <v>7.6</v>
      </c>
      <c r="L2654" s="5" t="str">
        <f>TEXT(Store_Record[[#This Row],[Date]],"dddd")</f>
        <v>Friday</v>
      </c>
      <c r="M2654" s="5" t="str">
        <f>TEXT(Store_Record[[#This Row],[Date]],"mmmm")</f>
        <v>July</v>
      </c>
      <c r="N2654" s="5">
        <f>YEAR(Store_Record[[#This Row],[Date]])</f>
        <v>2025</v>
      </c>
      <c r="O2654"/>
    </row>
    <row r="2655" spans="1:15" x14ac:dyDescent="0.35">
      <c r="A2655" t="s">
        <v>3601</v>
      </c>
      <c r="B2655" s="2">
        <v>45849</v>
      </c>
      <c r="C2655" t="s">
        <v>24</v>
      </c>
      <c r="D2655" t="s">
        <v>29</v>
      </c>
      <c r="E2655" t="s">
        <v>12</v>
      </c>
      <c r="F2655" t="s">
        <v>13</v>
      </c>
      <c r="G2655">
        <v>3</v>
      </c>
      <c r="H2655">
        <v>2.5</v>
      </c>
      <c r="I2655" t="s">
        <v>14</v>
      </c>
      <c r="J2655" t="s">
        <v>612</v>
      </c>
      <c r="K2655" s="12">
        <f>Store_Record[[#This Row],[Qty]]*Store_Record[[#This Row],[UnitPriceGBP]]</f>
        <v>7.5</v>
      </c>
      <c r="L2655" s="5" t="str">
        <f>TEXT(Store_Record[[#This Row],[Date]],"dddd")</f>
        <v>Friday</v>
      </c>
      <c r="M2655" s="5" t="str">
        <f>TEXT(Store_Record[[#This Row],[Date]],"mmmm")</f>
        <v>July</v>
      </c>
      <c r="N2655" s="5">
        <f>YEAR(Store_Record[[#This Row],[Date]])</f>
        <v>2025</v>
      </c>
      <c r="O2655"/>
    </row>
    <row r="2656" spans="1:15" x14ac:dyDescent="0.35">
      <c r="A2656" t="s">
        <v>3602</v>
      </c>
      <c r="B2656" s="2">
        <v>45849</v>
      </c>
      <c r="C2656" t="s">
        <v>10</v>
      </c>
      <c r="D2656" t="s">
        <v>29</v>
      </c>
      <c r="E2656" t="s">
        <v>12</v>
      </c>
      <c r="F2656" t="s">
        <v>13</v>
      </c>
      <c r="G2656">
        <v>3</v>
      </c>
      <c r="H2656">
        <v>2.5</v>
      </c>
      <c r="I2656" t="s">
        <v>21</v>
      </c>
      <c r="J2656" t="s">
        <v>1314</v>
      </c>
      <c r="K2656" s="12">
        <f>Store_Record[[#This Row],[Qty]]*Store_Record[[#This Row],[UnitPriceGBP]]</f>
        <v>7.5</v>
      </c>
      <c r="L2656" s="5" t="str">
        <f>TEXT(Store_Record[[#This Row],[Date]],"dddd")</f>
        <v>Friday</v>
      </c>
      <c r="M2656" s="5" t="str">
        <f>TEXT(Store_Record[[#This Row],[Date]],"mmmm")</f>
        <v>July</v>
      </c>
      <c r="N2656" s="5">
        <f>YEAR(Store_Record[[#This Row],[Date]])</f>
        <v>2025</v>
      </c>
      <c r="O2656"/>
    </row>
    <row r="2657" spans="1:15" x14ac:dyDescent="0.35">
      <c r="A2657" t="s">
        <v>3604</v>
      </c>
      <c r="B2657" s="2">
        <v>45849</v>
      </c>
      <c r="C2657" t="s">
        <v>36</v>
      </c>
      <c r="D2657" t="s">
        <v>11</v>
      </c>
      <c r="E2657" t="s">
        <v>12</v>
      </c>
      <c r="F2657" t="s">
        <v>13</v>
      </c>
      <c r="G2657">
        <v>3</v>
      </c>
      <c r="H2657">
        <v>2.5</v>
      </c>
      <c r="I2657" t="s">
        <v>21</v>
      </c>
      <c r="J2657" t="s">
        <v>3605</v>
      </c>
      <c r="K2657" s="12">
        <f>Store_Record[[#This Row],[Qty]]*Store_Record[[#This Row],[UnitPriceGBP]]</f>
        <v>7.5</v>
      </c>
      <c r="L2657" s="5" t="str">
        <f>TEXT(Store_Record[[#This Row],[Date]],"dddd")</f>
        <v>Friday</v>
      </c>
      <c r="M2657" s="5" t="str">
        <f>TEXT(Store_Record[[#This Row],[Date]],"mmmm")</f>
        <v>July</v>
      </c>
      <c r="N2657" s="5">
        <f>YEAR(Store_Record[[#This Row],[Date]])</f>
        <v>2025</v>
      </c>
      <c r="O2657"/>
    </row>
    <row r="2658" spans="1:15" x14ac:dyDescent="0.35">
      <c r="A2658" t="s">
        <v>3593</v>
      </c>
      <c r="B2658" s="2">
        <v>45849</v>
      </c>
      <c r="C2658" t="s">
        <v>24</v>
      </c>
      <c r="D2658" t="s">
        <v>11</v>
      </c>
      <c r="E2658" t="s">
        <v>26</v>
      </c>
      <c r="F2658" t="s">
        <v>13</v>
      </c>
      <c r="G2658">
        <v>2</v>
      </c>
      <c r="H2658">
        <v>3.5</v>
      </c>
      <c r="I2658" t="s">
        <v>21</v>
      </c>
      <c r="J2658" t="s">
        <v>1203</v>
      </c>
      <c r="K2658" s="12">
        <f>Store_Record[[#This Row],[Qty]]*Store_Record[[#This Row],[UnitPriceGBP]]</f>
        <v>7</v>
      </c>
      <c r="L2658" s="5" t="str">
        <f>TEXT(Store_Record[[#This Row],[Date]],"dddd")</f>
        <v>Friday</v>
      </c>
      <c r="M2658" s="5" t="str">
        <f>TEXT(Store_Record[[#This Row],[Date]],"mmmm")</f>
        <v>July</v>
      </c>
      <c r="N2658" s="5">
        <f>YEAR(Store_Record[[#This Row],[Date]])</f>
        <v>2025</v>
      </c>
      <c r="O2658"/>
    </row>
    <row r="2659" spans="1:15" x14ac:dyDescent="0.35">
      <c r="A2659" t="s">
        <v>3600</v>
      </c>
      <c r="B2659" s="2">
        <v>45849</v>
      </c>
      <c r="C2659" t="s">
        <v>20</v>
      </c>
      <c r="D2659" t="s">
        <v>38</v>
      </c>
      <c r="E2659" t="s">
        <v>34</v>
      </c>
      <c r="F2659" t="s">
        <v>31</v>
      </c>
      <c r="G2659">
        <v>3</v>
      </c>
      <c r="H2659">
        <v>2.2000000000000002</v>
      </c>
      <c r="I2659" t="s">
        <v>39</v>
      </c>
      <c r="J2659" t="s">
        <v>1495</v>
      </c>
      <c r="K2659" s="12">
        <f>Store_Record[[#This Row],[Qty]]*Store_Record[[#This Row],[UnitPriceGBP]]</f>
        <v>6.6000000000000005</v>
      </c>
      <c r="L2659" s="5" t="str">
        <f>TEXT(Store_Record[[#This Row],[Date]],"dddd")</f>
        <v>Friday</v>
      </c>
      <c r="M2659" s="5" t="str">
        <f>TEXT(Store_Record[[#This Row],[Date]],"mmmm")</f>
        <v>July</v>
      </c>
      <c r="N2659" s="5">
        <f>YEAR(Store_Record[[#This Row],[Date]])</f>
        <v>2025</v>
      </c>
      <c r="O2659"/>
    </row>
    <row r="2660" spans="1:15" x14ac:dyDescent="0.35">
      <c r="A2660" t="s">
        <v>3596</v>
      </c>
      <c r="B2660" s="2">
        <v>45849</v>
      </c>
      <c r="C2660" t="s">
        <v>36</v>
      </c>
      <c r="D2660" t="s">
        <v>11</v>
      </c>
      <c r="E2660" t="s">
        <v>30</v>
      </c>
      <c r="F2660" t="s">
        <v>31</v>
      </c>
      <c r="G2660">
        <v>2</v>
      </c>
      <c r="H2660">
        <v>2.8</v>
      </c>
      <c r="I2660" t="s">
        <v>39</v>
      </c>
      <c r="J2660" t="s">
        <v>1915</v>
      </c>
      <c r="K2660" s="12">
        <f>Store_Record[[#This Row],[Qty]]*Store_Record[[#This Row],[UnitPriceGBP]]</f>
        <v>5.6</v>
      </c>
      <c r="L2660" s="5" t="str">
        <f>TEXT(Store_Record[[#This Row],[Date]],"dddd")</f>
        <v>Friday</v>
      </c>
      <c r="M2660" s="5" t="str">
        <f>TEXT(Store_Record[[#This Row],[Date]],"mmmm")</f>
        <v>July</v>
      </c>
      <c r="N2660" s="5">
        <f>YEAR(Store_Record[[#This Row],[Date]])</f>
        <v>2025</v>
      </c>
      <c r="O2660"/>
    </row>
    <row r="2661" spans="1:15" x14ac:dyDescent="0.35">
      <c r="A2661" t="s">
        <v>3592</v>
      </c>
      <c r="B2661" s="2">
        <v>45849</v>
      </c>
      <c r="C2661" t="s">
        <v>24</v>
      </c>
      <c r="D2661" t="s">
        <v>38</v>
      </c>
      <c r="E2661" t="s">
        <v>42</v>
      </c>
      <c r="F2661" t="s">
        <v>13</v>
      </c>
      <c r="G2661">
        <v>1</v>
      </c>
      <c r="H2661">
        <v>3.8</v>
      </c>
      <c r="I2661" t="s">
        <v>21</v>
      </c>
      <c r="J2661" t="s">
        <v>927</v>
      </c>
      <c r="K2661" s="12">
        <f>Store_Record[[#This Row],[Qty]]*Store_Record[[#This Row],[UnitPriceGBP]]</f>
        <v>3.8</v>
      </c>
      <c r="L2661" s="5" t="str">
        <f>TEXT(Store_Record[[#This Row],[Date]],"dddd")</f>
        <v>Friday</v>
      </c>
      <c r="M2661" s="5" t="str">
        <f>TEXT(Store_Record[[#This Row],[Date]],"mmmm")</f>
        <v>July</v>
      </c>
      <c r="N2661" s="5">
        <f>YEAR(Store_Record[[#This Row],[Date]])</f>
        <v>2025</v>
      </c>
      <c r="O2661"/>
    </row>
    <row r="2662" spans="1:15" x14ac:dyDescent="0.35">
      <c r="A2662" t="s">
        <v>3588</v>
      </c>
      <c r="B2662" s="2">
        <v>45849</v>
      </c>
      <c r="C2662" t="s">
        <v>24</v>
      </c>
      <c r="D2662" t="s">
        <v>29</v>
      </c>
      <c r="E2662" t="s">
        <v>30</v>
      </c>
      <c r="F2662" t="s">
        <v>31</v>
      </c>
      <c r="G2662">
        <v>1</v>
      </c>
      <c r="H2662">
        <v>2.8</v>
      </c>
      <c r="I2662" t="s">
        <v>21</v>
      </c>
      <c r="J2662" t="s">
        <v>3508</v>
      </c>
      <c r="K2662" s="12">
        <f>Store_Record[[#This Row],[Qty]]*Store_Record[[#This Row],[UnitPriceGBP]]</f>
        <v>2.8</v>
      </c>
      <c r="L2662" s="5" t="str">
        <f>TEXT(Store_Record[[#This Row],[Date]],"dddd")</f>
        <v>Friday</v>
      </c>
      <c r="M2662" s="5" t="str">
        <f>TEXT(Store_Record[[#This Row],[Date]],"mmmm")</f>
        <v>July</v>
      </c>
      <c r="N2662" s="5">
        <f>YEAR(Store_Record[[#This Row],[Date]])</f>
        <v>2025</v>
      </c>
      <c r="O2662"/>
    </row>
    <row r="2663" spans="1:15" x14ac:dyDescent="0.35">
      <c r="A2663" t="s">
        <v>3595</v>
      </c>
      <c r="B2663" s="2">
        <v>45849</v>
      </c>
      <c r="C2663" t="s">
        <v>36</v>
      </c>
      <c r="D2663" t="s">
        <v>25</v>
      </c>
      <c r="E2663" t="s">
        <v>30</v>
      </c>
      <c r="F2663" t="s">
        <v>31</v>
      </c>
      <c r="G2663">
        <v>1</v>
      </c>
      <c r="H2663">
        <v>2.8</v>
      </c>
      <c r="I2663" t="s">
        <v>39</v>
      </c>
      <c r="J2663" t="s">
        <v>1360</v>
      </c>
      <c r="K2663" s="12">
        <f>Store_Record[[#This Row],[Qty]]*Store_Record[[#This Row],[UnitPriceGBP]]</f>
        <v>2.8</v>
      </c>
      <c r="L2663" s="5" t="str">
        <f>TEXT(Store_Record[[#This Row],[Date]],"dddd")</f>
        <v>Friday</v>
      </c>
      <c r="M2663" s="5" t="str">
        <f>TEXT(Store_Record[[#This Row],[Date]],"mmmm")</f>
        <v>July</v>
      </c>
      <c r="N2663" s="5">
        <f>YEAR(Store_Record[[#This Row],[Date]])</f>
        <v>2025</v>
      </c>
      <c r="O2663"/>
    </row>
    <row r="2664" spans="1:15" x14ac:dyDescent="0.35">
      <c r="A2664" t="s">
        <v>3615</v>
      </c>
      <c r="B2664" s="2">
        <v>45850</v>
      </c>
      <c r="C2664" t="s">
        <v>10</v>
      </c>
      <c r="D2664" t="s">
        <v>29</v>
      </c>
      <c r="E2664" t="s">
        <v>26</v>
      </c>
      <c r="F2664" t="s">
        <v>13</v>
      </c>
      <c r="G2664">
        <v>5</v>
      </c>
      <c r="H2664">
        <v>3.5</v>
      </c>
      <c r="I2664" t="s">
        <v>21</v>
      </c>
      <c r="J2664" t="s">
        <v>1092</v>
      </c>
      <c r="K2664" s="12">
        <f>Store_Record[[#This Row],[Qty]]*Store_Record[[#This Row],[UnitPriceGBP]]</f>
        <v>17.5</v>
      </c>
      <c r="L2664" s="5" t="str">
        <f>TEXT(Store_Record[[#This Row],[Date]],"dddd")</f>
        <v>Saturday</v>
      </c>
      <c r="M2664" s="5" t="str">
        <f>TEXT(Store_Record[[#This Row],[Date]],"mmmm")</f>
        <v>July</v>
      </c>
      <c r="N2664" s="5">
        <f>YEAR(Store_Record[[#This Row],[Date]])</f>
        <v>2025</v>
      </c>
      <c r="O2664"/>
    </row>
    <row r="2665" spans="1:15" x14ac:dyDescent="0.35">
      <c r="A2665" t="s">
        <v>3620</v>
      </c>
      <c r="B2665" s="2">
        <v>45850</v>
      </c>
      <c r="C2665" t="s">
        <v>24</v>
      </c>
      <c r="D2665" t="s">
        <v>11</v>
      </c>
      <c r="E2665" t="s">
        <v>12</v>
      </c>
      <c r="F2665" t="s">
        <v>13</v>
      </c>
      <c r="G2665">
        <v>5</v>
      </c>
      <c r="H2665">
        <v>2.5</v>
      </c>
      <c r="I2665" t="s">
        <v>39</v>
      </c>
      <c r="J2665" t="s">
        <v>2720</v>
      </c>
      <c r="K2665" s="12">
        <f>Store_Record[[#This Row],[Qty]]*Store_Record[[#This Row],[UnitPriceGBP]]</f>
        <v>12.5</v>
      </c>
      <c r="L2665" s="5" t="str">
        <f>TEXT(Store_Record[[#This Row],[Date]],"dddd")</f>
        <v>Saturday</v>
      </c>
      <c r="M2665" s="5" t="str">
        <f>TEXT(Store_Record[[#This Row],[Date]],"mmmm")</f>
        <v>July</v>
      </c>
      <c r="N2665" s="5">
        <f>YEAR(Store_Record[[#This Row],[Date]])</f>
        <v>2025</v>
      </c>
      <c r="O2665"/>
    </row>
    <row r="2666" spans="1:15" x14ac:dyDescent="0.35">
      <c r="A2666" t="s">
        <v>3622</v>
      </c>
      <c r="B2666" s="2">
        <v>45850</v>
      </c>
      <c r="C2666" t="s">
        <v>10</v>
      </c>
      <c r="D2666" t="s">
        <v>29</v>
      </c>
      <c r="E2666" t="s">
        <v>12</v>
      </c>
      <c r="F2666" t="s">
        <v>13</v>
      </c>
      <c r="G2666">
        <v>5</v>
      </c>
      <c r="H2666">
        <v>2.5</v>
      </c>
      <c r="I2666" t="s">
        <v>21</v>
      </c>
      <c r="J2666" t="s">
        <v>2433</v>
      </c>
      <c r="K2666" s="12">
        <f>Store_Record[[#This Row],[Qty]]*Store_Record[[#This Row],[UnitPriceGBP]]</f>
        <v>12.5</v>
      </c>
      <c r="L2666" s="5" t="str">
        <f>TEXT(Store_Record[[#This Row],[Date]],"dddd")</f>
        <v>Saturday</v>
      </c>
      <c r="M2666" s="5" t="str">
        <f>TEXT(Store_Record[[#This Row],[Date]],"mmmm")</f>
        <v>July</v>
      </c>
      <c r="N2666" s="5">
        <f>YEAR(Store_Record[[#This Row],[Date]])</f>
        <v>2025</v>
      </c>
      <c r="O2666"/>
    </row>
    <row r="2667" spans="1:15" x14ac:dyDescent="0.35">
      <c r="A2667" t="s">
        <v>3617</v>
      </c>
      <c r="B2667" s="2">
        <v>45850</v>
      </c>
      <c r="C2667" t="s">
        <v>24</v>
      </c>
      <c r="D2667" t="s">
        <v>38</v>
      </c>
      <c r="E2667" t="s">
        <v>42</v>
      </c>
      <c r="F2667" t="s">
        <v>13</v>
      </c>
      <c r="G2667">
        <v>3</v>
      </c>
      <c r="H2667">
        <v>3.8</v>
      </c>
      <c r="I2667" t="s">
        <v>14</v>
      </c>
      <c r="J2667" t="s">
        <v>312</v>
      </c>
      <c r="K2667" s="12">
        <f>Store_Record[[#This Row],[Qty]]*Store_Record[[#This Row],[UnitPriceGBP]]</f>
        <v>11.399999999999999</v>
      </c>
      <c r="L2667" s="5" t="str">
        <f>TEXT(Store_Record[[#This Row],[Date]],"dddd")</f>
        <v>Saturday</v>
      </c>
      <c r="M2667" s="5" t="str">
        <f>TEXT(Store_Record[[#This Row],[Date]],"mmmm")</f>
        <v>July</v>
      </c>
      <c r="N2667" s="5">
        <f>YEAR(Store_Record[[#This Row],[Date]])</f>
        <v>2025</v>
      </c>
      <c r="O2667"/>
    </row>
    <row r="2668" spans="1:15" x14ac:dyDescent="0.35">
      <c r="A2668" t="s">
        <v>3612</v>
      </c>
      <c r="B2668" s="2">
        <v>45850</v>
      </c>
      <c r="C2668" t="s">
        <v>24</v>
      </c>
      <c r="D2668" t="s">
        <v>38</v>
      </c>
      <c r="E2668" t="s">
        <v>30</v>
      </c>
      <c r="F2668" t="s">
        <v>31</v>
      </c>
      <c r="G2668">
        <v>4</v>
      </c>
      <c r="H2668">
        <v>2.8</v>
      </c>
      <c r="I2668" t="s">
        <v>21</v>
      </c>
      <c r="J2668" t="s">
        <v>312</v>
      </c>
      <c r="K2668" s="12">
        <f>Store_Record[[#This Row],[Qty]]*Store_Record[[#This Row],[UnitPriceGBP]]</f>
        <v>11.2</v>
      </c>
      <c r="L2668" s="5" t="str">
        <f>TEXT(Store_Record[[#This Row],[Date]],"dddd")</f>
        <v>Saturday</v>
      </c>
      <c r="M2668" s="5" t="str">
        <f>TEXT(Store_Record[[#This Row],[Date]],"mmmm")</f>
        <v>July</v>
      </c>
      <c r="N2668" s="5">
        <f>YEAR(Store_Record[[#This Row],[Date]])</f>
        <v>2025</v>
      </c>
      <c r="O2668"/>
    </row>
    <row r="2669" spans="1:15" x14ac:dyDescent="0.35">
      <c r="A2669" t="s">
        <v>3618</v>
      </c>
      <c r="B2669" s="2">
        <v>45850</v>
      </c>
      <c r="C2669" t="s">
        <v>20</v>
      </c>
      <c r="D2669" t="s">
        <v>11</v>
      </c>
      <c r="E2669" t="s">
        <v>34</v>
      </c>
      <c r="F2669" t="s">
        <v>31</v>
      </c>
      <c r="G2669">
        <v>5</v>
      </c>
      <c r="H2669">
        <v>2.2000000000000002</v>
      </c>
      <c r="I2669" t="s">
        <v>14</v>
      </c>
      <c r="J2669" t="s">
        <v>941</v>
      </c>
      <c r="K2669" s="12">
        <f>Store_Record[[#This Row],[Qty]]*Store_Record[[#This Row],[UnitPriceGBP]]</f>
        <v>11</v>
      </c>
      <c r="L2669" s="5" t="str">
        <f>TEXT(Store_Record[[#This Row],[Date]],"dddd")</f>
        <v>Saturday</v>
      </c>
      <c r="M2669" s="5" t="str">
        <f>TEXT(Store_Record[[#This Row],[Date]],"mmmm")</f>
        <v>July</v>
      </c>
      <c r="N2669" s="5">
        <f>YEAR(Store_Record[[#This Row],[Date]])</f>
        <v>2025</v>
      </c>
      <c r="O2669"/>
    </row>
    <row r="2670" spans="1:15" x14ac:dyDescent="0.35">
      <c r="A2670" t="s">
        <v>3609</v>
      </c>
      <c r="B2670" s="2">
        <v>45850</v>
      </c>
      <c r="C2670" t="s">
        <v>36</v>
      </c>
      <c r="D2670" t="s">
        <v>25</v>
      </c>
      <c r="E2670" t="s">
        <v>26</v>
      </c>
      <c r="F2670" t="s">
        <v>13</v>
      </c>
      <c r="G2670">
        <v>3</v>
      </c>
      <c r="H2670">
        <v>3.5</v>
      </c>
      <c r="I2670" t="s">
        <v>14</v>
      </c>
      <c r="J2670" t="s">
        <v>1492</v>
      </c>
      <c r="K2670" s="12">
        <f>Store_Record[[#This Row],[Qty]]*Store_Record[[#This Row],[UnitPriceGBP]]</f>
        <v>10.5</v>
      </c>
      <c r="L2670" s="5" t="str">
        <f>TEXT(Store_Record[[#This Row],[Date]],"dddd")</f>
        <v>Saturday</v>
      </c>
      <c r="M2670" s="5" t="str">
        <f>TEXT(Store_Record[[#This Row],[Date]],"mmmm")</f>
        <v>July</v>
      </c>
      <c r="N2670" s="5">
        <f>YEAR(Store_Record[[#This Row],[Date]])</f>
        <v>2025</v>
      </c>
      <c r="O2670"/>
    </row>
    <row r="2671" spans="1:15" x14ac:dyDescent="0.35">
      <c r="A2671" t="s">
        <v>3610</v>
      </c>
      <c r="B2671" s="2">
        <v>45850</v>
      </c>
      <c r="C2671" t="s">
        <v>10</v>
      </c>
      <c r="D2671" t="s">
        <v>11</v>
      </c>
      <c r="E2671" t="s">
        <v>12</v>
      </c>
      <c r="F2671" t="s">
        <v>13</v>
      </c>
      <c r="G2671">
        <v>4</v>
      </c>
      <c r="H2671">
        <v>2.5</v>
      </c>
      <c r="I2671" t="s">
        <v>39</v>
      </c>
      <c r="J2671" t="s">
        <v>563</v>
      </c>
      <c r="K2671" s="12">
        <f>Store_Record[[#This Row],[Qty]]*Store_Record[[#This Row],[UnitPriceGBP]]</f>
        <v>10</v>
      </c>
      <c r="L2671" s="5" t="str">
        <f>TEXT(Store_Record[[#This Row],[Date]],"dddd")</f>
        <v>Saturday</v>
      </c>
      <c r="M2671" s="5" t="str">
        <f>TEXT(Store_Record[[#This Row],[Date]],"mmmm")</f>
        <v>July</v>
      </c>
      <c r="N2671" s="5">
        <f>YEAR(Store_Record[[#This Row],[Date]])</f>
        <v>2025</v>
      </c>
      <c r="O2671"/>
    </row>
    <row r="2672" spans="1:15" x14ac:dyDescent="0.35">
      <c r="A2672" t="s">
        <v>3623</v>
      </c>
      <c r="B2672" s="2">
        <v>45850</v>
      </c>
      <c r="C2672" t="s">
        <v>10</v>
      </c>
      <c r="D2672" t="s">
        <v>47</v>
      </c>
      <c r="E2672" t="s">
        <v>12</v>
      </c>
      <c r="F2672" t="s">
        <v>13</v>
      </c>
      <c r="G2672">
        <v>4</v>
      </c>
      <c r="H2672">
        <v>2.5</v>
      </c>
      <c r="I2672" t="s">
        <v>14</v>
      </c>
      <c r="J2672" t="s">
        <v>734</v>
      </c>
      <c r="K2672" s="12">
        <f>Store_Record[[#This Row],[Qty]]*Store_Record[[#This Row],[UnitPriceGBP]]</f>
        <v>10</v>
      </c>
      <c r="L2672" s="5" t="str">
        <f>TEXT(Store_Record[[#This Row],[Date]],"dddd")</f>
        <v>Saturday</v>
      </c>
      <c r="M2672" s="5" t="str">
        <f>TEXT(Store_Record[[#This Row],[Date]],"mmmm")</f>
        <v>July</v>
      </c>
      <c r="N2672" s="5">
        <f>YEAR(Store_Record[[#This Row],[Date]])</f>
        <v>2025</v>
      </c>
      <c r="O2672"/>
    </row>
    <row r="2673" spans="1:15" x14ac:dyDescent="0.35">
      <c r="A2673" t="s">
        <v>3613</v>
      </c>
      <c r="B2673" s="2">
        <v>45850</v>
      </c>
      <c r="C2673" t="s">
        <v>36</v>
      </c>
      <c r="D2673" t="s">
        <v>38</v>
      </c>
      <c r="E2673" t="s">
        <v>42</v>
      </c>
      <c r="F2673" t="s">
        <v>13</v>
      </c>
      <c r="G2673">
        <v>2</v>
      </c>
      <c r="H2673">
        <v>3.8</v>
      </c>
      <c r="I2673" t="s">
        <v>21</v>
      </c>
      <c r="J2673" t="s">
        <v>1936</v>
      </c>
      <c r="K2673" s="12">
        <f>Store_Record[[#This Row],[Qty]]*Store_Record[[#This Row],[UnitPriceGBP]]</f>
        <v>7.6</v>
      </c>
      <c r="L2673" s="5" t="str">
        <f>TEXT(Store_Record[[#This Row],[Date]],"dddd")</f>
        <v>Saturday</v>
      </c>
      <c r="M2673" s="5" t="str">
        <f>TEXT(Store_Record[[#This Row],[Date]],"mmmm")</f>
        <v>July</v>
      </c>
      <c r="N2673" s="5">
        <f>YEAR(Store_Record[[#This Row],[Date]])</f>
        <v>2025</v>
      </c>
      <c r="O2673"/>
    </row>
    <row r="2674" spans="1:15" x14ac:dyDescent="0.35">
      <c r="A2674" t="s">
        <v>3621</v>
      </c>
      <c r="B2674" s="2">
        <v>45850</v>
      </c>
      <c r="C2674" t="s">
        <v>20</v>
      </c>
      <c r="D2674" t="s">
        <v>47</v>
      </c>
      <c r="E2674" t="s">
        <v>42</v>
      </c>
      <c r="F2674" t="s">
        <v>13</v>
      </c>
      <c r="G2674">
        <v>2</v>
      </c>
      <c r="H2674">
        <v>3.8</v>
      </c>
      <c r="I2674" t="s">
        <v>21</v>
      </c>
      <c r="J2674" t="s">
        <v>171</v>
      </c>
      <c r="K2674" s="12">
        <f>Store_Record[[#This Row],[Qty]]*Store_Record[[#This Row],[UnitPriceGBP]]</f>
        <v>7.6</v>
      </c>
      <c r="L2674" s="5" t="str">
        <f>TEXT(Store_Record[[#This Row],[Date]],"dddd")</f>
        <v>Saturday</v>
      </c>
      <c r="M2674" s="5" t="str">
        <f>TEXT(Store_Record[[#This Row],[Date]],"mmmm")</f>
        <v>July</v>
      </c>
      <c r="N2674" s="5">
        <f>YEAR(Store_Record[[#This Row],[Date]])</f>
        <v>2025</v>
      </c>
      <c r="O2674"/>
    </row>
    <row r="2675" spans="1:15" x14ac:dyDescent="0.35">
      <c r="A2675" t="s">
        <v>3625</v>
      </c>
      <c r="B2675" s="2">
        <v>45850</v>
      </c>
      <c r="C2675" t="s">
        <v>24</v>
      </c>
      <c r="D2675" t="s">
        <v>47</v>
      </c>
      <c r="E2675" t="s">
        <v>26</v>
      </c>
      <c r="F2675" t="s">
        <v>13</v>
      </c>
      <c r="G2675">
        <v>2</v>
      </c>
      <c r="H2675">
        <v>3.5</v>
      </c>
      <c r="I2675" t="s">
        <v>21</v>
      </c>
      <c r="J2675" t="s">
        <v>782</v>
      </c>
      <c r="K2675" s="12">
        <f>Store_Record[[#This Row],[Qty]]*Store_Record[[#This Row],[UnitPriceGBP]]</f>
        <v>7</v>
      </c>
      <c r="L2675" s="5" t="str">
        <f>TEXT(Store_Record[[#This Row],[Date]],"dddd")</f>
        <v>Saturday</v>
      </c>
      <c r="M2675" s="5" t="str">
        <f>TEXT(Store_Record[[#This Row],[Date]],"mmmm")</f>
        <v>July</v>
      </c>
      <c r="N2675" s="5">
        <f>YEAR(Store_Record[[#This Row],[Date]])</f>
        <v>2025</v>
      </c>
      <c r="O2675"/>
    </row>
    <row r="2676" spans="1:15" x14ac:dyDescent="0.35">
      <c r="A2676" t="s">
        <v>3626</v>
      </c>
      <c r="B2676" s="2">
        <v>45850</v>
      </c>
      <c r="C2676" t="s">
        <v>36</v>
      </c>
      <c r="D2676" t="s">
        <v>47</v>
      </c>
      <c r="E2676" t="s">
        <v>34</v>
      </c>
      <c r="F2676" t="s">
        <v>31</v>
      </c>
      <c r="G2676">
        <v>3</v>
      </c>
      <c r="H2676">
        <v>2.2000000000000002</v>
      </c>
      <c r="I2676" t="s">
        <v>21</v>
      </c>
      <c r="J2676" t="s">
        <v>2681</v>
      </c>
      <c r="K2676" s="12">
        <f>Store_Record[[#This Row],[Qty]]*Store_Record[[#This Row],[UnitPriceGBP]]</f>
        <v>6.6000000000000005</v>
      </c>
      <c r="L2676" s="5" t="str">
        <f>TEXT(Store_Record[[#This Row],[Date]],"dddd")</f>
        <v>Saturday</v>
      </c>
      <c r="M2676" s="5" t="str">
        <f>TEXT(Store_Record[[#This Row],[Date]],"mmmm")</f>
        <v>July</v>
      </c>
      <c r="N2676" s="5">
        <f>YEAR(Store_Record[[#This Row],[Date]])</f>
        <v>2025</v>
      </c>
      <c r="O2676"/>
    </row>
    <row r="2677" spans="1:15" x14ac:dyDescent="0.35">
      <c r="A2677" t="s">
        <v>3614</v>
      </c>
      <c r="B2677" s="2">
        <v>45850</v>
      </c>
      <c r="C2677" t="s">
        <v>36</v>
      </c>
      <c r="D2677" t="s">
        <v>25</v>
      </c>
      <c r="E2677" t="s">
        <v>30</v>
      </c>
      <c r="F2677" t="s">
        <v>31</v>
      </c>
      <c r="G2677">
        <v>2</v>
      </c>
      <c r="H2677">
        <v>2.8</v>
      </c>
      <c r="I2677" t="s">
        <v>14</v>
      </c>
      <c r="J2677" t="s">
        <v>1584</v>
      </c>
      <c r="K2677" s="12">
        <f>Store_Record[[#This Row],[Qty]]*Store_Record[[#This Row],[UnitPriceGBP]]</f>
        <v>5.6</v>
      </c>
      <c r="L2677" s="5" t="str">
        <f>TEXT(Store_Record[[#This Row],[Date]],"dddd")</f>
        <v>Saturday</v>
      </c>
      <c r="M2677" s="5" t="str">
        <f>TEXT(Store_Record[[#This Row],[Date]],"mmmm")</f>
        <v>July</v>
      </c>
      <c r="N2677" s="5">
        <f>YEAR(Store_Record[[#This Row],[Date]])</f>
        <v>2025</v>
      </c>
      <c r="O2677"/>
    </row>
    <row r="2678" spans="1:15" x14ac:dyDescent="0.35">
      <c r="A2678" t="s">
        <v>3611</v>
      </c>
      <c r="B2678" s="2">
        <v>45850</v>
      </c>
      <c r="C2678" t="s">
        <v>20</v>
      </c>
      <c r="D2678" t="s">
        <v>29</v>
      </c>
      <c r="E2678" t="s">
        <v>26</v>
      </c>
      <c r="F2678" t="s">
        <v>13</v>
      </c>
      <c r="G2678">
        <v>1</v>
      </c>
      <c r="H2678">
        <v>3.5</v>
      </c>
      <c r="I2678" t="s">
        <v>21</v>
      </c>
      <c r="J2678" t="s">
        <v>934</v>
      </c>
      <c r="K2678" s="12">
        <f>Store_Record[[#This Row],[Qty]]*Store_Record[[#This Row],[UnitPriceGBP]]</f>
        <v>3.5</v>
      </c>
      <c r="L2678" s="5" t="str">
        <f>TEXT(Store_Record[[#This Row],[Date]],"dddd")</f>
        <v>Saturday</v>
      </c>
      <c r="M2678" s="5" t="str">
        <f>TEXT(Store_Record[[#This Row],[Date]],"mmmm")</f>
        <v>July</v>
      </c>
      <c r="N2678" s="5">
        <f>YEAR(Store_Record[[#This Row],[Date]])</f>
        <v>2025</v>
      </c>
      <c r="O2678"/>
    </row>
    <row r="2679" spans="1:15" x14ac:dyDescent="0.35">
      <c r="A2679" t="s">
        <v>3616</v>
      </c>
      <c r="B2679" s="2">
        <v>45850</v>
      </c>
      <c r="C2679" t="s">
        <v>10</v>
      </c>
      <c r="D2679" t="s">
        <v>38</v>
      </c>
      <c r="E2679" t="s">
        <v>26</v>
      </c>
      <c r="F2679" t="s">
        <v>13</v>
      </c>
      <c r="G2679">
        <v>1</v>
      </c>
      <c r="H2679">
        <v>3.5</v>
      </c>
      <c r="I2679" t="s">
        <v>21</v>
      </c>
      <c r="J2679" t="s">
        <v>978</v>
      </c>
      <c r="K2679" s="12">
        <f>Store_Record[[#This Row],[Qty]]*Store_Record[[#This Row],[UnitPriceGBP]]</f>
        <v>3.5</v>
      </c>
      <c r="L2679" s="5" t="str">
        <f>TEXT(Store_Record[[#This Row],[Date]],"dddd")</f>
        <v>Saturday</v>
      </c>
      <c r="M2679" s="5" t="str">
        <f>TEXT(Store_Record[[#This Row],[Date]],"mmmm")</f>
        <v>July</v>
      </c>
      <c r="N2679" s="5">
        <f>YEAR(Store_Record[[#This Row],[Date]])</f>
        <v>2025</v>
      </c>
      <c r="O2679"/>
    </row>
    <row r="2680" spans="1:15" x14ac:dyDescent="0.35">
      <c r="A2680" t="s">
        <v>3619</v>
      </c>
      <c r="B2680" s="2">
        <v>45850</v>
      </c>
      <c r="C2680" t="s">
        <v>36</v>
      </c>
      <c r="D2680" t="s">
        <v>11</v>
      </c>
      <c r="E2680" t="s">
        <v>26</v>
      </c>
      <c r="F2680" t="s">
        <v>13</v>
      </c>
      <c r="G2680">
        <v>1</v>
      </c>
      <c r="H2680">
        <v>3.5</v>
      </c>
      <c r="I2680" t="s">
        <v>14</v>
      </c>
      <c r="J2680" t="s">
        <v>1321</v>
      </c>
      <c r="K2680" s="12">
        <f>Store_Record[[#This Row],[Qty]]*Store_Record[[#This Row],[UnitPriceGBP]]</f>
        <v>3.5</v>
      </c>
      <c r="L2680" s="5" t="str">
        <f>TEXT(Store_Record[[#This Row],[Date]],"dddd")</f>
        <v>Saturday</v>
      </c>
      <c r="M2680" s="5" t="str">
        <f>TEXT(Store_Record[[#This Row],[Date]],"mmmm")</f>
        <v>July</v>
      </c>
      <c r="N2680" s="5">
        <f>YEAR(Store_Record[[#This Row],[Date]])</f>
        <v>2025</v>
      </c>
      <c r="O2680"/>
    </row>
    <row r="2681" spans="1:15" x14ac:dyDescent="0.35">
      <c r="A2681" t="s">
        <v>3624</v>
      </c>
      <c r="B2681" s="2">
        <v>45850</v>
      </c>
      <c r="C2681" t="s">
        <v>36</v>
      </c>
      <c r="D2681" t="s">
        <v>38</v>
      </c>
      <c r="E2681" t="s">
        <v>34</v>
      </c>
      <c r="F2681" t="s">
        <v>31</v>
      </c>
      <c r="G2681">
        <v>1</v>
      </c>
      <c r="H2681">
        <v>2.2000000000000002</v>
      </c>
      <c r="I2681" t="s">
        <v>14</v>
      </c>
      <c r="J2681" t="s">
        <v>171</v>
      </c>
      <c r="K2681" s="12">
        <f>Store_Record[[#This Row],[Qty]]*Store_Record[[#This Row],[UnitPriceGBP]]</f>
        <v>2.2000000000000002</v>
      </c>
      <c r="L2681" s="5" t="str">
        <f>TEXT(Store_Record[[#This Row],[Date]],"dddd")</f>
        <v>Saturday</v>
      </c>
      <c r="M2681" s="5" t="str">
        <f>TEXT(Store_Record[[#This Row],[Date]],"mmmm")</f>
        <v>July</v>
      </c>
      <c r="N2681" s="5">
        <f>YEAR(Store_Record[[#This Row],[Date]])</f>
        <v>2025</v>
      </c>
      <c r="O2681"/>
    </row>
    <row r="2682" spans="1:15" x14ac:dyDescent="0.35">
      <c r="A2682" t="s">
        <v>3635</v>
      </c>
      <c r="B2682" s="2">
        <v>45851</v>
      </c>
      <c r="C2682" t="s">
        <v>36</v>
      </c>
      <c r="D2682" t="s">
        <v>29</v>
      </c>
      <c r="E2682" t="s">
        <v>42</v>
      </c>
      <c r="F2682" t="s">
        <v>13</v>
      </c>
      <c r="G2682">
        <v>5</v>
      </c>
      <c r="H2682">
        <v>3.8</v>
      </c>
      <c r="I2682" t="s">
        <v>14</v>
      </c>
      <c r="J2682" t="s">
        <v>646</v>
      </c>
      <c r="K2682" s="12">
        <f>Store_Record[[#This Row],[Qty]]*Store_Record[[#This Row],[UnitPriceGBP]]</f>
        <v>19</v>
      </c>
      <c r="L2682" s="5" t="str">
        <f>TEXT(Store_Record[[#This Row],[Date]],"dddd")</f>
        <v>Sunday</v>
      </c>
      <c r="M2682" s="5" t="str">
        <f>TEXT(Store_Record[[#This Row],[Date]],"mmmm")</f>
        <v>July</v>
      </c>
      <c r="N2682" s="5">
        <f>YEAR(Store_Record[[#This Row],[Date]])</f>
        <v>2025</v>
      </c>
      <c r="O2682"/>
    </row>
    <row r="2683" spans="1:15" x14ac:dyDescent="0.35">
      <c r="A2683" t="s">
        <v>3628</v>
      </c>
      <c r="B2683" s="2">
        <v>45851</v>
      </c>
      <c r="C2683" t="s">
        <v>24</v>
      </c>
      <c r="D2683" t="s">
        <v>38</v>
      </c>
      <c r="E2683" t="s">
        <v>42</v>
      </c>
      <c r="F2683" t="s">
        <v>13</v>
      </c>
      <c r="G2683">
        <v>4</v>
      </c>
      <c r="H2683">
        <v>3.8</v>
      </c>
      <c r="I2683" t="s">
        <v>14</v>
      </c>
      <c r="J2683" t="s">
        <v>969</v>
      </c>
      <c r="K2683" s="12">
        <f>Store_Record[[#This Row],[Qty]]*Store_Record[[#This Row],[UnitPriceGBP]]</f>
        <v>15.2</v>
      </c>
      <c r="L2683" s="5" t="str">
        <f>TEXT(Store_Record[[#This Row],[Date]],"dddd")</f>
        <v>Sunday</v>
      </c>
      <c r="M2683" s="5" t="str">
        <f>TEXT(Store_Record[[#This Row],[Date]],"mmmm")</f>
        <v>July</v>
      </c>
      <c r="N2683" s="5">
        <f>YEAR(Store_Record[[#This Row],[Date]])</f>
        <v>2025</v>
      </c>
      <c r="O2683"/>
    </row>
    <row r="2684" spans="1:15" x14ac:dyDescent="0.35">
      <c r="A2684" t="s">
        <v>3636</v>
      </c>
      <c r="B2684" s="2">
        <v>45851</v>
      </c>
      <c r="C2684" t="s">
        <v>24</v>
      </c>
      <c r="D2684" t="s">
        <v>29</v>
      </c>
      <c r="E2684" t="s">
        <v>42</v>
      </c>
      <c r="F2684" t="s">
        <v>13</v>
      </c>
      <c r="G2684">
        <v>4</v>
      </c>
      <c r="H2684">
        <v>3.8</v>
      </c>
      <c r="I2684" t="s">
        <v>21</v>
      </c>
      <c r="J2684" t="s">
        <v>2032</v>
      </c>
      <c r="K2684" s="12">
        <f>Store_Record[[#This Row],[Qty]]*Store_Record[[#This Row],[UnitPriceGBP]]</f>
        <v>15.2</v>
      </c>
      <c r="L2684" s="5" t="str">
        <f>TEXT(Store_Record[[#This Row],[Date]],"dddd")</f>
        <v>Sunday</v>
      </c>
      <c r="M2684" s="5" t="str">
        <f>TEXT(Store_Record[[#This Row],[Date]],"mmmm")</f>
        <v>July</v>
      </c>
      <c r="N2684" s="5">
        <f>YEAR(Store_Record[[#This Row],[Date]])</f>
        <v>2025</v>
      </c>
      <c r="O2684"/>
    </row>
    <row r="2685" spans="1:15" x14ac:dyDescent="0.35">
      <c r="A2685" t="s">
        <v>3638</v>
      </c>
      <c r="B2685" s="2">
        <v>45851</v>
      </c>
      <c r="C2685" t="s">
        <v>10</v>
      </c>
      <c r="D2685" t="s">
        <v>29</v>
      </c>
      <c r="E2685" t="s">
        <v>42</v>
      </c>
      <c r="F2685" t="s">
        <v>13</v>
      </c>
      <c r="G2685">
        <v>4</v>
      </c>
      <c r="H2685">
        <v>3.8</v>
      </c>
      <c r="I2685" t="s">
        <v>21</v>
      </c>
      <c r="J2685" t="s">
        <v>884</v>
      </c>
      <c r="K2685" s="12">
        <f>Store_Record[[#This Row],[Qty]]*Store_Record[[#This Row],[UnitPriceGBP]]</f>
        <v>15.2</v>
      </c>
      <c r="L2685" s="5" t="str">
        <f>TEXT(Store_Record[[#This Row],[Date]],"dddd")</f>
        <v>Sunday</v>
      </c>
      <c r="M2685" s="5" t="str">
        <f>TEXT(Store_Record[[#This Row],[Date]],"mmmm")</f>
        <v>July</v>
      </c>
      <c r="N2685" s="5">
        <f>YEAR(Store_Record[[#This Row],[Date]])</f>
        <v>2025</v>
      </c>
      <c r="O2685"/>
    </row>
    <row r="2686" spans="1:15" x14ac:dyDescent="0.35">
      <c r="A2686" t="s">
        <v>3627</v>
      </c>
      <c r="B2686" s="2">
        <v>45851</v>
      </c>
      <c r="C2686" t="s">
        <v>24</v>
      </c>
      <c r="D2686" t="s">
        <v>47</v>
      </c>
      <c r="E2686" t="s">
        <v>26</v>
      </c>
      <c r="F2686" t="s">
        <v>13</v>
      </c>
      <c r="G2686">
        <v>4</v>
      </c>
      <c r="H2686">
        <v>3.5</v>
      </c>
      <c r="I2686" t="s">
        <v>39</v>
      </c>
      <c r="J2686" t="s">
        <v>1353</v>
      </c>
      <c r="K2686" s="12">
        <f>Store_Record[[#This Row],[Qty]]*Store_Record[[#This Row],[UnitPriceGBP]]</f>
        <v>14</v>
      </c>
      <c r="L2686" s="5" t="str">
        <f>TEXT(Store_Record[[#This Row],[Date]],"dddd")</f>
        <v>Sunday</v>
      </c>
      <c r="M2686" s="5" t="str">
        <f>TEXT(Store_Record[[#This Row],[Date]],"mmmm")</f>
        <v>July</v>
      </c>
      <c r="N2686" s="5">
        <f>YEAR(Store_Record[[#This Row],[Date]])</f>
        <v>2025</v>
      </c>
      <c r="O2686"/>
    </row>
    <row r="2687" spans="1:15" x14ac:dyDescent="0.35">
      <c r="A2687" t="s">
        <v>3630</v>
      </c>
      <c r="B2687" s="2">
        <v>45851</v>
      </c>
      <c r="C2687" t="s">
        <v>36</v>
      </c>
      <c r="D2687" t="s">
        <v>25</v>
      </c>
      <c r="E2687" t="s">
        <v>26</v>
      </c>
      <c r="F2687" t="s">
        <v>13</v>
      </c>
      <c r="G2687">
        <v>4</v>
      </c>
      <c r="H2687">
        <v>3.5</v>
      </c>
      <c r="I2687" t="s">
        <v>21</v>
      </c>
      <c r="J2687" t="s">
        <v>189</v>
      </c>
      <c r="K2687" s="12">
        <f>Store_Record[[#This Row],[Qty]]*Store_Record[[#This Row],[UnitPriceGBP]]</f>
        <v>14</v>
      </c>
      <c r="L2687" s="5" t="str">
        <f>TEXT(Store_Record[[#This Row],[Date]],"dddd")</f>
        <v>Sunday</v>
      </c>
      <c r="M2687" s="5" t="str">
        <f>TEXT(Store_Record[[#This Row],[Date]],"mmmm")</f>
        <v>July</v>
      </c>
      <c r="N2687" s="5">
        <f>YEAR(Store_Record[[#This Row],[Date]])</f>
        <v>2025</v>
      </c>
      <c r="O2687"/>
    </row>
    <row r="2688" spans="1:15" x14ac:dyDescent="0.35">
      <c r="A2688" t="s">
        <v>3631</v>
      </c>
      <c r="B2688" s="2">
        <v>45851</v>
      </c>
      <c r="C2688" t="s">
        <v>20</v>
      </c>
      <c r="D2688" t="s">
        <v>29</v>
      </c>
      <c r="E2688" t="s">
        <v>12</v>
      </c>
      <c r="F2688" t="s">
        <v>13</v>
      </c>
      <c r="G2688">
        <v>5</v>
      </c>
      <c r="H2688">
        <v>2.5</v>
      </c>
      <c r="I2688" t="s">
        <v>39</v>
      </c>
      <c r="J2688" t="s">
        <v>578</v>
      </c>
      <c r="K2688" s="12">
        <f>Store_Record[[#This Row],[Qty]]*Store_Record[[#This Row],[UnitPriceGBP]]</f>
        <v>12.5</v>
      </c>
      <c r="L2688" s="5" t="str">
        <f>TEXT(Store_Record[[#This Row],[Date]],"dddd")</f>
        <v>Sunday</v>
      </c>
      <c r="M2688" s="5" t="str">
        <f>TEXT(Store_Record[[#This Row],[Date]],"mmmm")</f>
        <v>July</v>
      </c>
      <c r="N2688" s="5">
        <f>YEAR(Store_Record[[#This Row],[Date]])</f>
        <v>2025</v>
      </c>
      <c r="O2688"/>
    </row>
    <row r="2689" spans="1:15" x14ac:dyDescent="0.35">
      <c r="A2689" t="s">
        <v>3641</v>
      </c>
      <c r="B2689" s="2">
        <v>45851</v>
      </c>
      <c r="C2689" t="s">
        <v>20</v>
      </c>
      <c r="D2689" t="s">
        <v>38</v>
      </c>
      <c r="E2689" t="s">
        <v>12</v>
      </c>
      <c r="F2689" t="s">
        <v>13</v>
      </c>
      <c r="G2689">
        <v>5</v>
      </c>
      <c r="H2689">
        <v>2.5</v>
      </c>
      <c r="I2689" t="s">
        <v>21</v>
      </c>
      <c r="J2689" t="s">
        <v>142</v>
      </c>
      <c r="K2689" s="12">
        <f>Store_Record[[#This Row],[Qty]]*Store_Record[[#This Row],[UnitPriceGBP]]</f>
        <v>12.5</v>
      </c>
      <c r="L2689" s="5" t="str">
        <f>TEXT(Store_Record[[#This Row],[Date]],"dddd")</f>
        <v>Sunday</v>
      </c>
      <c r="M2689" s="5" t="str">
        <f>TEXT(Store_Record[[#This Row],[Date]],"mmmm")</f>
        <v>July</v>
      </c>
      <c r="N2689" s="5">
        <f>YEAR(Store_Record[[#This Row],[Date]])</f>
        <v>2025</v>
      </c>
      <c r="O2689"/>
    </row>
    <row r="2690" spans="1:15" x14ac:dyDescent="0.35">
      <c r="A2690" t="s">
        <v>3640</v>
      </c>
      <c r="B2690" s="2">
        <v>45851</v>
      </c>
      <c r="C2690" t="s">
        <v>20</v>
      </c>
      <c r="D2690" t="s">
        <v>47</v>
      </c>
      <c r="E2690" t="s">
        <v>30</v>
      </c>
      <c r="F2690" t="s">
        <v>31</v>
      </c>
      <c r="G2690">
        <v>3</v>
      </c>
      <c r="H2690">
        <v>2.8</v>
      </c>
      <c r="I2690" t="s">
        <v>14</v>
      </c>
      <c r="J2690" t="s">
        <v>1825</v>
      </c>
      <c r="K2690" s="12">
        <f>Store_Record[[#This Row],[Qty]]*Store_Record[[#This Row],[UnitPriceGBP]]</f>
        <v>8.3999999999999986</v>
      </c>
      <c r="L2690" s="5" t="str">
        <f>TEXT(Store_Record[[#This Row],[Date]],"dddd")</f>
        <v>Sunday</v>
      </c>
      <c r="M2690" s="5" t="str">
        <f>TEXT(Store_Record[[#This Row],[Date]],"mmmm")</f>
        <v>July</v>
      </c>
      <c r="N2690" s="5">
        <f>YEAR(Store_Record[[#This Row],[Date]])</f>
        <v>2025</v>
      </c>
      <c r="O2690"/>
    </row>
    <row r="2691" spans="1:15" x14ac:dyDescent="0.35">
      <c r="A2691" t="s">
        <v>3632</v>
      </c>
      <c r="B2691" s="2">
        <v>45851</v>
      </c>
      <c r="C2691" t="s">
        <v>24</v>
      </c>
      <c r="D2691" t="s">
        <v>11</v>
      </c>
      <c r="E2691" t="s">
        <v>26</v>
      </c>
      <c r="F2691" t="s">
        <v>13</v>
      </c>
      <c r="G2691">
        <v>2</v>
      </c>
      <c r="H2691">
        <v>3.5</v>
      </c>
      <c r="I2691" t="s">
        <v>14</v>
      </c>
      <c r="J2691" t="s">
        <v>594</v>
      </c>
      <c r="K2691" s="12">
        <f>Store_Record[[#This Row],[Qty]]*Store_Record[[#This Row],[UnitPriceGBP]]</f>
        <v>7</v>
      </c>
      <c r="L2691" s="5" t="str">
        <f>TEXT(Store_Record[[#This Row],[Date]],"dddd")</f>
        <v>Sunday</v>
      </c>
      <c r="M2691" s="5" t="str">
        <f>TEXT(Store_Record[[#This Row],[Date]],"mmmm")</f>
        <v>July</v>
      </c>
      <c r="N2691" s="5">
        <f>YEAR(Store_Record[[#This Row],[Date]])</f>
        <v>2025</v>
      </c>
      <c r="O2691"/>
    </row>
    <row r="2692" spans="1:15" x14ac:dyDescent="0.35">
      <c r="A2692" t="s">
        <v>3637</v>
      </c>
      <c r="B2692" s="2">
        <v>45851</v>
      </c>
      <c r="C2692" t="s">
        <v>10</v>
      </c>
      <c r="D2692" t="s">
        <v>29</v>
      </c>
      <c r="E2692" t="s">
        <v>26</v>
      </c>
      <c r="F2692" t="s">
        <v>13</v>
      </c>
      <c r="G2692">
        <v>2</v>
      </c>
      <c r="H2692">
        <v>3.5</v>
      </c>
      <c r="I2692" t="s">
        <v>14</v>
      </c>
      <c r="J2692" t="s">
        <v>998</v>
      </c>
      <c r="K2692" s="12">
        <f>Store_Record[[#This Row],[Qty]]*Store_Record[[#This Row],[UnitPriceGBP]]</f>
        <v>7</v>
      </c>
      <c r="L2692" s="5" t="str">
        <f>TEXT(Store_Record[[#This Row],[Date]],"dddd")</f>
        <v>Sunday</v>
      </c>
      <c r="M2692" s="5" t="str">
        <f>TEXT(Store_Record[[#This Row],[Date]],"mmmm")</f>
        <v>July</v>
      </c>
      <c r="N2692" s="5">
        <f>YEAR(Store_Record[[#This Row],[Date]])</f>
        <v>2025</v>
      </c>
      <c r="O2692"/>
    </row>
    <row r="2693" spans="1:15" x14ac:dyDescent="0.35">
      <c r="A2693" t="s">
        <v>3633</v>
      </c>
      <c r="B2693" s="2">
        <v>45851</v>
      </c>
      <c r="C2693" t="s">
        <v>24</v>
      </c>
      <c r="D2693" t="s">
        <v>38</v>
      </c>
      <c r="E2693" t="s">
        <v>34</v>
      </c>
      <c r="F2693" t="s">
        <v>31</v>
      </c>
      <c r="G2693">
        <v>3</v>
      </c>
      <c r="H2693">
        <v>2.2000000000000002</v>
      </c>
      <c r="I2693" t="s">
        <v>14</v>
      </c>
      <c r="J2693" t="s">
        <v>3634</v>
      </c>
      <c r="K2693" s="12">
        <f>Store_Record[[#This Row],[Qty]]*Store_Record[[#This Row],[UnitPriceGBP]]</f>
        <v>6.6000000000000005</v>
      </c>
      <c r="L2693" s="5" t="str">
        <f>TEXT(Store_Record[[#This Row],[Date]],"dddd")</f>
        <v>Sunday</v>
      </c>
      <c r="M2693" s="5" t="str">
        <f>TEXT(Store_Record[[#This Row],[Date]],"mmmm")</f>
        <v>July</v>
      </c>
      <c r="N2693" s="5">
        <f>YEAR(Store_Record[[#This Row],[Date]])</f>
        <v>2025</v>
      </c>
      <c r="O2693"/>
    </row>
    <row r="2694" spans="1:15" x14ac:dyDescent="0.35">
      <c r="A2694" t="s">
        <v>3642</v>
      </c>
      <c r="B2694" s="2">
        <v>45851</v>
      </c>
      <c r="C2694" t="s">
        <v>10</v>
      </c>
      <c r="D2694" t="s">
        <v>25</v>
      </c>
      <c r="E2694" t="s">
        <v>34</v>
      </c>
      <c r="F2694" t="s">
        <v>31</v>
      </c>
      <c r="G2694">
        <v>2</v>
      </c>
      <c r="H2694">
        <v>2.2000000000000002</v>
      </c>
      <c r="I2694" t="s">
        <v>39</v>
      </c>
      <c r="J2694" t="s">
        <v>1130</v>
      </c>
      <c r="K2694" s="12">
        <f>Store_Record[[#This Row],[Qty]]*Store_Record[[#This Row],[UnitPriceGBP]]</f>
        <v>4.4000000000000004</v>
      </c>
      <c r="L2694" s="5" t="str">
        <f>TEXT(Store_Record[[#This Row],[Date]],"dddd")</f>
        <v>Sunday</v>
      </c>
      <c r="M2694" s="5" t="str">
        <f>TEXT(Store_Record[[#This Row],[Date]],"mmmm")</f>
        <v>July</v>
      </c>
      <c r="N2694" s="5">
        <f>YEAR(Store_Record[[#This Row],[Date]])</f>
        <v>2025</v>
      </c>
      <c r="O2694"/>
    </row>
    <row r="2695" spans="1:15" x14ac:dyDescent="0.35">
      <c r="A2695" t="s">
        <v>3639</v>
      </c>
      <c r="B2695" s="2">
        <v>45851</v>
      </c>
      <c r="C2695" t="s">
        <v>36</v>
      </c>
      <c r="D2695" t="s">
        <v>11</v>
      </c>
      <c r="E2695" t="s">
        <v>42</v>
      </c>
      <c r="F2695" t="s">
        <v>13</v>
      </c>
      <c r="G2695">
        <v>1</v>
      </c>
      <c r="H2695">
        <v>3.8</v>
      </c>
      <c r="I2695" t="s">
        <v>14</v>
      </c>
      <c r="J2695" t="s">
        <v>234</v>
      </c>
      <c r="K2695" s="12">
        <f>Store_Record[[#This Row],[Qty]]*Store_Record[[#This Row],[UnitPriceGBP]]</f>
        <v>3.8</v>
      </c>
      <c r="L2695" s="5" t="str">
        <f>TEXT(Store_Record[[#This Row],[Date]],"dddd")</f>
        <v>Sunday</v>
      </c>
      <c r="M2695" s="5" t="str">
        <f>TEXT(Store_Record[[#This Row],[Date]],"mmmm")</f>
        <v>July</v>
      </c>
      <c r="N2695" s="5">
        <f>YEAR(Store_Record[[#This Row],[Date]])</f>
        <v>2025</v>
      </c>
      <c r="O2695"/>
    </row>
    <row r="2696" spans="1:15" x14ac:dyDescent="0.35">
      <c r="A2696" t="s">
        <v>3629</v>
      </c>
      <c r="B2696" s="2">
        <v>45851</v>
      </c>
      <c r="C2696" t="s">
        <v>36</v>
      </c>
      <c r="D2696" t="s">
        <v>47</v>
      </c>
      <c r="E2696" t="s">
        <v>30</v>
      </c>
      <c r="F2696" t="s">
        <v>31</v>
      </c>
      <c r="G2696">
        <v>1</v>
      </c>
      <c r="H2696">
        <v>2.8</v>
      </c>
      <c r="I2696" t="s">
        <v>14</v>
      </c>
      <c r="J2696" t="s">
        <v>323</v>
      </c>
      <c r="K2696" s="12">
        <f>Store_Record[[#This Row],[Qty]]*Store_Record[[#This Row],[UnitPriceGBP]]</f>
        <v>2.8</v>
      </c>
      <c r="L2696" s="5" t="str">
        <f>TEXT(Store_Record[[#This Row],[Date]],"dddd")</f>
        <v>Sunday</v>
      </c>
      <c r="M2696" s="5" t="str">
        <f>TEXT(Store_Record[[#This Row],[Date]],"mmmm")</f>
        <v>July</v>
      </c>
      <c r="N2696" s="5">
        <f>YEAR(Store_Record[[#This Row],[Date]])</f>
        <v>2025</v>
      </c>
      <c r="O2696"/>
    </row>
    <row r="2697" spans="1:15" x14ac:dyDescent="0.35">
      <c r="A2697" t="s">
        <v>3643</v>
      </c>
      <c r="B2697" s="2">
        <v>45851</v>
      </c>
      <c r="C2697" t="s">
        <v>20</v>
      </c>
      <c r="D2697" t="s">
        <v>11</v>
      </c>
      <c r="E2697" t="s">
        <v>34</v>
      </c>
      <c r="F2697" t="s">
        <v>31</v>
      </c>
      <c r="G2697">
        <v>1</v>
      </c>
      <c r="H2697">
        <v>2.2000000000000002</v>
      </c>
      <c r="I2697" t="s">
        <v>14</v>
      </c>
      <c r="J2697" t="s">
        <v>185</v>
      </c>
      <c r="K2697" s="12">
        <f>Store_Record[[#This Row],[Qty]]*Store_Record[[#This Row],[UnitPriceGBP]]</f>
        <v>2.2000000000000002</v>
      </c>
      <c r="L2697" s="5" t="str">
        <f>TEXT(Store_Record[[#This Row],[Date]],"dddd")</f>
        <v>Sunday</v>
      </c>
      <c r="M2697" s="5" t="str">
        <f>TEXT(Store_Record[[#This Row],[Date]],"mmmm")</f>
        <v>July</v>
      </c>
      <c r="N2697" s="5">
        <f>YEAR(Store_Record[[#This Row],[Date]])</f>
        <v>2025</v>
      </c>
      <c r="O2697"/>
    </row>
    <row r="2698" spans="1:15" x14ac:dyDescent="0.35">
      <c r="A2698" t="s">
        <v>3646</v>
      </c>
      <c r="B2698" s="2">
        <v>45852</v>
      </c>
      <c r="C2698" t="s">
        <v>24</v>
      </c>
      <c r="D2698" t="s">
        <v>11</v>
      </c>
      <c r="E2698" t="s">
        <v>26</v>
      </c>
      <c r="F2698" t="s">
        <v>13</v>
      </c>
      <c r="G2698">
        <v>5</v>
      </c>
      <c r="H2698">
        <v>3.5</v>
      </c>
      <c r="I2698" t="s">
        <v>21</v>
      </c>
      <c r="J2698" t="s">
        <v>834</v>
      </c>
      <c r="K2698" s="12">
        <f>Store_Record[[#This Row],[Qty]]*Store_Record[[#This Row],[UnitPriceGBP]]</f>
        <v>17.5</v>
      </c>
      <c r="L2698" s="5" t="str">
        <f>TEXT(Store_Record[[#This Row],[Date]],"dddd")</f>
        <v>Monday</v>
      </c>
      <c r="M2698" s="5" t="str">
        <f>TEXT(Store_Record[[#This Row],[Date]],"mmmm")</f>
        <v>July</v>
      </c>
      <c r="N2698" s="5">
        <f>YEAR(Store_Record[[#This Row],[Date]])</f>
        <v>2025</v>
      </c>
      <c r="O2698"/>
    </row>
    <row r="2699" spans="1:15" x14ac:dyDescent="0.35">
      <c r="A2699" t="s">
        <v>3644</v>
      </c>
      <c r="B2699" s="2">
        <v>45852</v>
      </c>
      <c r="C2699" t="s">
        <v>24</v>
      </c>
      <c r="D2699" t="s">
        <v>11</v>
      </c>
      <c r="E2699" t="s">
        <v>26</v>
      </c>
      <c r="F2699" t="s">
        <v>13</v>
      </c>
      <c r="G2699">
        <v>3</v>
      </c>
      <c r="H2699">
        <v>3.5</v>
      </c>
      <c r="I2699" t="s">
        <v>21</v>
      </c>
      <c r="J2699" t="s">
        <v>1044</v>
      </c>
      <c r="K2699" s="12">
        <f>Store_Record[[#This Row],[Qty]]*Store_Record[[#This Row],[UnitPriceGBP]]</f>
        <v>10.5</v>
      </c>
      <c r="L2699" s="5" t="str">
        <f>TEXT(Store_Record[[#This Row],[Date]],"dddd")</f>
        <v>Monday</v>
      </c>
      <c r="M2699" s="5" t="str">
        <f>TEXT(Store_Record[[#This Row],[Date]],"mmmm")</f>
        <v>July</v>
      </c>
      <c r="N2699" s="5">
        <f>YEAR(Store_Record[[#This Row],[Date]])</f>
        <v>2025</v>
      </c>
      <c r="O2699"/>
    </row>
    <row r="2700" spans="1:15" x14ac:dyDescent="0.35">
      <c r="A2700" t="s">
        <v>3649</v>
      </c>
      <c r="B2700" s="2">
        <v>45852</v>
      </c>
      <c r="C2700" t="s">
        <v>20</v>
      </c>
      <c r="D2700" t="s">
        <v>47</v>
      </c>
      <c r="E2700" t="s">
        <v>12</v>
      </c>
      <c r="F2700" t="s">
        <v>13</v>
      </c>
      <c r="G2700">
        <v>4</v>
      </c>
      <c r="H2700">
        <v>2.5</v>
      </c>
      <c r="I2700" t="s">
        <v>39</v>
      </c>
      <c r="J2700" t="s">
        <v>2142</v>
      </c>
      <c r="K2700" s="12">
        <f>Store_Record[[#This Row],[Qty]]*Store_Record[[#This Row],[UnitPriceGBP]]</f>
        <v>10</v>
      </c>
      <c r="L2700" s="5" t="str">
        <f>TEXT(Store_Record[[#This Row],[Date]],"dddd")</f>
        <v>Monday</v>
      </c>
      <c r="M2700" s="5" t="str">
        <f>TEXT(Store_Record[[#This Row],[Date]],"mmmm")</f>
        <v>July</v>
      </c>
      <c r="N2700" s="5">
        <f>YEAR(Store_Record[[#This Row],[Date]])</f>
        <v>2025</v>
      </c>
      <c r="O2700"/>
    </row>
    <row r="2701" spans="1:15" x14ac:dyDescent="0.35">
      <c r="A2701" t="s">
        <v>3645</v>
      </c>
      <c r="B2701" s="2">
        <v>45852</v>
      </c>
      <c r="C2701" t="s">
        <v>20</v>
      </c>
      <c r="D2701" t="s">
        <v>47</v>
      </c>
      <c r="E2701" t="s">
        <v>42</v>
      </c>
      <c r="F2701" t="s">
        <v>13</v>
      </c>
      <c r="G2701">
        <v>1</v>
      </c>
      <c r="H2701">
        <v>3.8</v>
      </c>
      <c r="I2701" t="s">
        <v>21</v>
      </c>
      <c r="J2701" t="s">
        <v>2578</v>
      </c>
      <c r="K2701" s="12">
        <f>Store_Record[[#This Row],[Qty]]*Store_Record[[#This Row],[UnitPriceGBP]]</f>
        <v>3.8</v>
      </c>
      <c r="L2701" s="5" t="str">
        <f>TEXT(Store_Record[[#This Row],[Date]],"dddd")</f>
        <v>Monday</v>
      </c>
      <c r="M2701" s="5" t="str">
        <f>TEXT(Store_Record[[#This Row],[Date]],"mmmm")</f>
        <v>July</v>
      </c>
      <c r="N2701" s="5">
        <f>YEAR(Store_Record[[#This Row],[Date]])</f>
        <v>2025</v>
      </c>
      <c r="O2701"/>
    </row>
    <row r="2702" spans="1:15" x14ac:dyDescent="0.35">
      <c r="A2702" t="s">
        <v>3647</v>
      </c>
      <c r="B2702" s="2">
        <v>45852</v>
      </c>
      <c r="C2702" t="s">
        <v>36</v>
      </c>
      <c r="D2702" t="s">
        <v>47</v>
      </c>
      <c r="E2702" t="s">
        <v>12</v>
      </c>
      <c r="F2702" t="s">
        <v>13</v>
      </c>
      <c r="G2702">
        <v>1</v>
      </c>
      <c r="H2702">
        <v>2.5</v>
      </c>
      <c r="I2702" t="s">
        <v>21</v>
      </c>
      <c r="J2702" t="s">
        <v>2162</v>
      </c>
      <c r="K2702" s="12">
        <f>Store_Record[[#This Row],[Qty]]*Store_Record[[#This Row],[UnitPriceGBP]]</f>
        <v>2.5</v>
      </c>
      <c r="L2702" s="5" t="str">
        <f>TEXT(Store_Record[[#This Row],[Date]],"dddd")</f>
        <v>Monday</v>
      </c>
      <c r="M2702" s="5" t="str">
        <f>TEXT(Store_Record[[#This Row],[Date]],"mmmm")</f>
        <v>July</v>
      </c>
      <c r="N2702" s="5">
        <f>YEAR(Store_Record[[#This Row],[Date]])</f>
        <v>2025</v>
      </c>
      <c r="O2702"/>
    </row>
    <row r="2703" spans="1:15" x14ac:dyDescent="0.35">
      <c r="A2703" t="s">
        <v>3648</v>
      </c>
      <c r="B2703" s="2">
        <v>45852</v>
      </c>
      <c r="C2703" t="s">
        <v>20</v>
      </c>
      <c r="D2703" t="s">
        <v>47</v>
      </c>
      <c r="E2703" t="s">
        <v>12</v>
      </c>
      <c r="F2703" t="s">
        <v>13</v>
      </c>
      <c r="G2703">
        <v>1</v>
      </c>
      <c r="H2703">
        <v>2.5</v>
      </c>
      <c r="I2703" t="s">
        <v>39</v>
      </c>
      <c r="J2703" t="s">
        <v>767</v>
      </c>
      <c r="K2703" s="12">
        <f>Store_Record[[#This Row],[Qty]]*Store_Record[[#This Row],[UnitPriceGBP]]</f>
        <v>2.5</v>
      </c>
      <c r="L2703" s="5" t="str">
        <f>TEXT(Store_Record[[#This Row],[Date]],"dddd")</f>
        <v>Monday</v>
      </c>
      <c r="M2703" s="5" t="str">
        <f>TEXT(Store_Record[[#This Row],[Date]],"mmmm")</f>
        <v>July</v>
      </c>
      <c r="N2703" s="5">
        <f>YEAR(Store_Record[[#This Row],[Date]])</f>
        <v>2025</v>
      </c>
      <c r="O2703"/>
    </row>
    <row r="2704" spans="1:15" x14ac:dyDescent="0.35">
      <c r="A2704" t="s">
        <v>3654</v>
      </c>
      <c r="B2704" s="2">
        <v>45853</v>
      </c>
      <c r="C2704" t="s">
        <v>10</v>
      </c>
      <c r="D2704" t="s">
        <v>152</v>
      </c>
      <c r="E2704" t="s">
        <v>42</v>
      </c>
      <c r="F2704" t="s">
        <v>13</v>
      </c>
      <c r="G2704">
        <v>5</v>
      </c>
      <c r="H2704">
        <v>3.8</v>
      </c>
      <c r="I2704" t="s">
        <v>39</v>
      </c>
      <c r="J2704" t="s">
        <v>369</v>
      </c>
      <c r="K2704" s="12">
        <f>Store_Record[[#This Row],[Qty]]*Store_Record[[#This Row],[UnitPriceGBP]]</f>
        <v>19</v>
      </c>
      <c r="L2704" s="5" t="str">
        <f>TEXT(Store_Record[[#This Row],[Date]],"dddd")</f>
        <v>Tuesday</v>
      </c>
      <c r="M2704" s="5" t="str">
        <f>TEXT(Store_Record[[#This Row],[Date]],"mmmm")</f>
        <v>July</v>
      </c>
      <c r="N2704" s="5">
        <f>YEAR(Store_Record[[#This Row],[Date]])</f>
        <v>2025</v>
      </c>
      <c r="O2704"/>
    </row>
    <row r="2705" spans="1:15" x14ac:dyDescent="0.35">
      <c r="A2705" t="s">
        <v>3657</v>
      </c>
      <c r="B2705" s="2">
        <v>45853</v>
      </c>
      <c r="C2705" t="s">
        <v>24</v>
      </c>
      <c r="D2705" t="s">
        <v>11</v>
      </c>
      <c r="E2705" t="s">
        <v>42</v>
      </c>
      <c r="F2705" t="s">
        <v>13</v>
      </c>
      <c r="G2705">
        <v>5</v>
      </c>
      <c r="H2705">
        <v>3.8</v>
      </c>
      <c r="I2705" t="s">
        <v>21</v>
      </c>
      <c r="J2705" t="s">
        <v>3658</v>
      </c>
      <c r="K2705" s="12">
        <f>Store_Record[[#This Row],[Qty]]*Store_Record[[#This Row],[UnitPriceGBP]]</f>
        <v>19</v>
      </c>
      <c r="L2705" s="5" t="str">
        <f>TEXT(Store_Record[[#This Row],[Date]],"dddd")</f>
        <v>Tuesday</v>
      </c>
      <c r="M2705" s="5" t="str">
        <f>TEXT(Store_Record[[#This Row],[Date]],"mmmm")</f>
        <v>July</v>
      </c>
      <c r="N2705" s="5">
        <f>YEAR(Store_Record[[#This Row],[Date]])</f>
        <v>2025</v>
      </c>
      <c r="O2705"/>
    </row>
    <row r="2706" spans="1:15" x14ac:dyDescent="0.35">
      <c r="A2706" t="s">
        <v>3653</v>
      </c>
      <c r="B2706" s="2">
        <v>45853</v>
      </c>
      <c r="C2706" t="s">
        <v>24</v>
      </c>
      <c r="D2706" t="s">
        <v>11</v>
      </c>
      <c r="E2706" t="s">
        <v>26</v>
      </c>
      <c r="F2706" t="s">
        <v>13</v>
      </c>
      <c r="G2706">
        <v>5</v>
      </c>
      <c r="H2706">
        <v>3.5</v>
      </c>
      <c r="I2706" t="s">
        <v>39</v>
      </c>
      <c r="J2706" t="s">
        <v>1191</v>
      </c>
      <c r="K2706" s="12">
        <f>Store_Record[[#This Row],[Qty]]*Store_Record[[#This Row],[UnitPriceGBP]]</f>
        <v>17.5</v>
      </c>
      <c r="L2706" s="5" t="str">
        <f>TEXT(Store_Record[[#This Row],[Date]],"dddd")</f>
        <v>Tuesday</v>
      </c>
      <c r="M2706" s="5" t="str">
        <f>TEXT(Store_Record[[#This Row],[Date]],"mmmm")</f>
        <v>July</v>
      </c>
      <c r="N2706" s="5">
        <f>YEAR(Store_Record[[#This Row],[Date]])</f>
        <v>2025</v>
      </c>
      <c r="O2706"/>
    </row>
    <row r="2707" spans="1:15" x14ac:dyDescent="0.35">
      <c r="A2707" t="s">
        <v>3655</v>
      </c>
      <c r="B2707" s="2">
        <v>45853</v>
      </c>
      <c r="C2707" t="s">
        <v>24</v>
      </c>
      <c r="D2707" t="s">
        <v>29</v>
      </c>
      <c r="E2707" t="s">
        <v>42</v>
      </c>
      <c r="F2707" t="s">
        <v>13</v>
      </c>
      <c r="G2707">
        <v>4</v>
      </c>
      <c r="H2707">
        <v>3.8</v>
      </c>
      <c r="I2707" t="s">
        <v>39</v>
      </c>
      <c r="J2707" t="s">
        <v>64</v>
      </c>
      <c r="K2707" s="12">
        <f>Store_Record[[#This Row],[Qty]]*Store_Record[[#This Row],[UnitPriceGBP]]</f>
        <v>15.2</v>
      </c>
      <c r="L2707" s="5" t="str">
        <f>TEXT(Store_Record[[#This Row],[Date]],"dddd")</f>
        <v>Tuesday</v>
      </c>
      <c r="M2707" s="5" t="str">
        <f>TEXT(Store_Record[[#This Row],[Date]],"mmmm")</f>
        <v>July</v>
      </c>
      <c r="N2707" s="5">
        <f>YEAR(Store_Record[[#This Row],[Date]])</f>
        <v>2025</v>
      </c>
      <c r="O2707"/>
    </row>
    <row r="2708" spans="1:15" x14ac:dyDescent="0.35">
      <c r="A2708" t="s">
        <v>3659</v>
      </c>
      <c r="B2708" s="2">
        <v>45853</v>
      </c>
      <c r="C2708" t="s">
        <v>36</v>
      </c>
      <c r="D2708" t="s">
        <v>25</v>
      </c>
      <c r="E2708" t="s">
        <v>30</v>
      </c>
      <c r="F2708" t="s">
        <v>31</v>
      </c>
      <c r="G2708">
        <v>5</v>
      </c>
      <c r="H2708">
        <v>2.8</v>
      </c>
      <c r="I2708" t="s">
        <v>21</v>
      </c>
      <c r="J2708" t="s">
        <v>1198</v>
      </c>
      <c r="K2708" s="12">
        <f>Store_Record[[#This Row],[Qty]]*Store_Record[[#This Row],[UnitPriceGBP]]</f>
        <v>14</v>
      </c>
      <c r="L2708" s="5" t="str">
        <f>TEXT(Store_Record[[#This Row],[Date]],"dddd")</f>
        <v>Tuesday</v>
      </c>
      <c r="M2708" s="5" t="str">
        <f>TEXT(Store_Record[[#This Row],[Date]],"mmmm")</f>
        <v>July</v>
      </c>
      <c r="N2708" s="5">
        <f>YEAR(Store_Record[[#This Row],[Date]])</f>
        <v>2025</v>
      </c>
      <c r="O2708"/>
    </row>
    <row r="2709" spans="1:15" x14ac:dyDescent="0.35">
      <c r="A2709" t="s">
        <v>3652</v>
      </c>
      <c r="B2709" s="2">
        <v>45853</v>
      </c>
      <c r="C2709" t="s">
        <v>36</v>
      </c>
      <c r="D2709" t="s">
        <v>38</v>
      </c>
      <c r="E2709" t="s">
        <v>26</v>
      </c>
      <c r="F2709" t="s">
        <v>13</v>
      </c>
      <c r="G2709">
        <v>3</v>
      </c>
      <c r="H2709">
        <v>3.5</v>
      </c>
      <c r="I2709" t="s">
        <v>39</v>
      </c>
      <c r="J2709" t="s">
        <v>1526</v>
      </c>
      <c r="K2709" s="12">
        <f>Store_Record[[#This Row],[Qty]]*Store_Record[[#This Row],[UnitPriceGBP]]</f>
        <v>10.5</v>
      </c>
      <c r="L2709" s="5" t="str">
        <f>TEXT(Store_Record[[#This Row],[Date]],"dddd")</f>
        <v>Tuesday</v>
      </c>
      <c r="M2709" s="5" t="str">
        <f>TEXT(Store_Record[[#This Row],[Date]],"mmmm")</f>
        <v>July</v>
      </c>
      <c r="N2709" s="5">
        <f>YEAR(Store_Record[[#This Row],[Date]])</f>
        <v>2025</v>
      </c>
      <c r="O2709"/>
    </row>
    <row r="2710" spans="1:15" x14ac:dyDescent="0.35">
      <c r="A2710" t="s">
        <v>3660</v>
      </c>
      <c r="B2710" s="2">
        <v>45853</v>
      </c>
      <c r="C2710" t="s">
        <v>24</v>
      </c>
      <c r="D2710" t="s">
        <v>38</v>
      </c>
      <c r="E2710" t="s">
        <v>30</v>
      </c>
      <c r="F2710" t="s">
        <v>31</v>
      </c>
      <c r="G2710">
        <v>3</v>
      </c>
      <c r="H2710">
        <v>2.8</v>
      </c>
      <c r="I2710" t="s">
        <v>21</v>
      </c>
      <c r="J2710" t="s">
        <v>2457</v>
      </c>
      <c r="K2710" s="12">
        <f>Store_Record[[#This Row],[Qty]]*Store_Record[[#This Row],[UnitPriceGBP]]</f>
        <v>8.3999999999999986</v>
      </c>
      <c r="L2710" s="5" t="str">
        <f>TEXT(Store_Record[[#This Row],[Date]],"dddd")</f>
        <v>Tuesday</v>
      </c>
      <c r="M2710" s="5" t="str">
        <f>TEXT(Store_Record[[#This Row],[Date]],"mmmm")</f>
        <v>July</v>
      </c>
      <c r="N2710" s="5">
        <f>YEAR(Store_Record[[#This Row],[Date]])</f>
        <v>2025</v>
      </c>
      <c r="O2710"/>
    </row>
    <row r="2711" spans="1:15" x14ac:dyDescent="0.35">
      <c r="A2711" t="s">
        <v>3651</v>
      </c>
      <c r="B2711" s="2">
        <v>45853</v>
      </c>
      <c r="C2711" t="s">
        <v>20</v>
      </c>
      <c r="D2711" t="s">
        <v>47</v>
      </c>
      <c r="E2711" t="s">
        <v>42</v>
      </c>
      <c r="F2711" t="s">
        <v>13</v>
      </c>
      <c r="G2711">
        <v>2</v>
      </c>
      <c r="H2711">
        <v>3.8</v>
      </c>
      <c r="I2711" t="s">
        <v>21</v>
      </c>
      <c r="J2711" t="s">
        <v>499</v>
      </c>
      <c r="K2711" s="12">
        <f>Store_Record[[#This Row],[Qty]]*Store_Record[[#This Row],[UnitPriceGBP]]</f>
        <v>7.6</v>
      </c>
      <c r="L2711" s="5" t="str">
        <f>TEXT(Store_Record[[#This Row],[Date]],"dddd")</f>
        <v>Tuesday</v>
      </c>
      <c r="M2711" s="5" t="str">
        <f>TEXT(Store_Record[[#This Row],[Date]],"mmmm")</f>
        <v>July</v>
      </c>
      <c r="N2711" s="5">
        <f>YEAR(Store_Record[[#This Row],[Date]])</f>
        <v>2025</v>
      </c>
      <c r="O2711"/>
    </row>
    <row r="2712" spans="1:15" x14ac:dyDescent="0.35">
      <c r="A2712" t="s">
        <v>3656</v>
      </c>
      <c r="B2712" s="2">
        <v>45853</v>
      </c>
      <c r="C2712" t="s">
        <v>10</v>
      </c>
      <c r="D2712" t="s">
        <v>11</v>
      </c>
      <c r="E2712" t="s">
        <v>12</v>
      </c>
      <c r="F2712" t="s">
        <v>13</v>
      </c>
      <c r="G2712">
        <v>3</v>
      </c>
      <c r="H2712">
        <v>2.5</v>
      </c>
      <c r="I2712" t="s">
        <v>14</v>
      </c>
      <c r="J2712" t="s">
        <v>2036</v>
      </c>
      <c r="K2712" s="12">
        <f>Store_Record[[#This Row],[Qty]]*Store_Record[[#This Row],[UnitPriceGBP]]</f>
        <v>7.5</v>
      </c>
      <c r="L2712" s="5" t="str">
        <f>TEXT(Store_Record[[#This Row],[Date]],"dddd")</f>
        <v>Tuesday</v>
      </c>
      <c r="M2712" s="5" t="str">
        <f>TEXT(Store_Record[[#This Row],[Date]],"mmmm")</f>
        <v>July</v>
      </c>
      <c r="N2712" s="5">
        <f>YEAR(Store_Record[[#This Row],[Date]])</f>
        <v>2025</v>
      </c>
      <c r="O2712"/>
    </row>
    <row r="2713" spans="1:15" x14ac:dyDescent="0.35">
      <c r="A2713" t="s">
        <v>3650</v>
      </c>
      <c r="B2713" s="2">
        <v>45853</v>
      </c>
      <c r="C2713" t="s">
        <v>10</v>
      </c>
      <c r="D2713" t="s">
        <v>47</v>
      </c>
      <c r="E2713" t="s">
        <v>34</v>
      </c>
      <c r="F2713" t="s">
        <v>31</v>
      </c>
      <c r="G2713">
        <v>3</v>
      </c>
      <c r="H2713">
        <v>2.2000000000000002</v>
      </c>
      <c r="I2713" t="s">
        <v>39</v>
      </c>
      <c r="J2713" t="s">
        <v>1379</v>
      </c>
      <c r="K2713" s="12">
        <f>Store_Record[[#This Row],[Qty]]*Store_Record[[#This Row],[UnitPriceGBP]]</f>
        <v>6.6000000000000005</v>
      </c>
      <c r="L2713" s="5" t="str">
        <f>TEXT(Store_Record[[#This Row],[Date]],"dddd")</f>
        <v>Tuesday</v>
      </c>
      <c r="M2713" s="5" t="str">
        <f>TEXT(Store_Record[[#This Row],[Date]],"mmmm")</f>
        <v>July</v>
      </c>
      <c r="N2713" s="5">
        <f>YEAR(Store_Record[[#This Row],[Date]])</f>
        <v>2025</v>
      </c>
      <c r="O2713"/>
    </row>
    <row r="2714" spans="1:15" x14ac:dyDescent="0.35">
      <c r="A2714" t="s">
        <v>3661</v>
      </c>
      <c r="B2714" s="2">
        <v>45853</v>
      </c>
      <c r="C2714" t="s">
        <v>20</v>
      </c>
      <c r="D2714" t="s">
        <v>11</v>
      </c>
      <c r="E2714" t="s">
        <v>34</v>
      </c>
      <c r="F2714" t="s">
        <v>31</v>
      </c>
      <c r="G2714">
        <v>1</v>
      </c>
      <c r="H2714">
        <v>2.2000000000000002</v>
      </c>
      <c r="I2714" t="s">
        <v>39</v>
      </c>
      <c r="J2714" t="s">
        <v>2779</v>
      </c>
      <c r="K2714" s="12">
        <f>Store_Record[[#This Row],[Qty]]*Store_Record[[#This Row],[UnitPriceGBP]]</f>
        <v>2.2000000000000002</v>
      </c>
      <c r="L2714" s="5" t="str">
        <f>TEXT(Store_Record[[#This Row],[Date]],"dddd")</f>
        <v>Tuesday</v>
      </c>
      <c r="M2714" s="5" t="str">
        <f>TEXT(Store_Record[[#This Row],[Date]],"mmmm")</f>
        <v>July</v>
      </c>
      <c r="N2714" s="5">
        <f>YEAR(Store_Record[[#This Row],[Date]])</f>
        <v>2025</v>
      </c>
      <c r="O2714"/>
    </row>
    <row r="2715" spans="1:15" x14ac:dyDescent="0.35">
      <c r="A2715" t="s">
        <v>3671</v>
      </c>
      <c r="B2715" s="2">
        <v>45854</v>
      </c>
      <c r="C2715" t="s">
        <v>24</v>
      </c>
      <c r="D2715" t="s">
        <v>38</v>
      </c>
      <c r="E2715" t="s">
        <v>42</v>
      </c>
      <c r="F2715" t="s">
        <v>13</v>
      </c>
      <c r="G2715">
        <v>5</v>
      </c>
      <c r="H2715">
        <v>3.8</v>
      </c>
      <c r="I2715" t="s">
        <v>14</v>
      </c>
      <c r="J2715" t="s">
        <v>210</v>
      </c>
      <c r="K2715" s="12">
        <f>Store_Record[[#This Row],[Qty]]*Store_Record[[#This Row],[UnitPriceGBP]]</f>
        <v>19</v>
      </c>
      <c r="L2715" s="5" t="str">
        <f>TEXT(Store_Record[[#This Row],[Date]],"dddd")</f>
        <v>Wednesday</v>
      </c>
      <c r="M2715" s="5" t="str">
        <f>TEXT(Store_Record[[#This Row],[Date]],"mmmm")</f>
        <v>July</v>
      </c>
      <c r="N2715" s="5">
        <f>YEAR(Store_Record[[#This Row],[Date]])</f>
        <v>2025</v>
      </c>
      <c r="O2715"/>
    </row>
    <row r="2716" spans="1:15" x14ac:dyDescent="0.35">
      <c r="A2716" t="s">
        <v>3670</v>
      </c>
      <c r="B2716" s="2">
        <v>45854</v>
      </c>
      <c r="C2716" t="s">
        <v>24</v>
      </c>
      <c r="D2716" t="s">
        <v>29</v>
      </c>
      <c r="E2716" t="s">
        <v>30</v>
      </c>
      <c r="F2716" t="s">
        <v>31</v>
      </c>
      <c r="G2716">
        <v>4</v>
      </c>
      <c r="H2716">
        <v>2.8</v>
      </c>
      <c r="I2716" t="s">
        <v>14</v>
      </c>
      <c r="J2716" t="s">
        <v>1321</v>
      </c>
      <c r="K2716" s="12">
        <f>Store_Record[[#This Row],[Qty]]*Store_Record[[#This Row],[UnitPriceGBP]]</f>
        <v>11.2</v>
      </c>
      <c r="L2716" s="5" t="str">
        <f>TEXT(Store_Record[[#This Row],[Date]],"dddd")</f>
        <v>Wednesday</v>
      </c>
      <c r="M2716" s="5" t="str">
        <f>TEXT(Store_Record[[#This Row],[Date]],"mmmm")</f>
        <v>July</v>
      </c>
      <c r="N2716" s="5">
        <f>YEAR(Store_Record[[#This Row],[Date]])</f>
        <v>2025</v>
      </c>
      <c r="O2716"/>
    </row>
    <row r="2717" spans="1:15" x14ac:dyDescent="0.35">
      <c r="A2717" t="s">
        <v>3666</v>
      </c>
      <c r="B2717" s="2">
        <v>45854</v>
      </c>
      <c r="C2717" t="s">
        <v>10</v>
      </c>
      <c r="D2717" t="s">
        <v>25</v>
      </c>
      <c r="E2717" t="s">
        <v>34</v>
      </c>
      <c r="F2717" t="s">
        <v>31</v>
      </c>
      <c r="G2717">
        <v>5</v>
      </c>
      <c r="H2717">
        <v>2.2000000000000002</v>
      </c>
      <c r="I2717" t="s">
        <v>39</v>
      </c>
      <c r="J2717" t="s">
        <v>2084</v>
      </c>
      <c r="K2717" s="12">
        <f>Store_Record[[#This Row],[Qty]]*Store_Record[[#This Row],[UnitPriceGBP]]</f>
        <v>11</v>
      </c>
      <c r="L2717" s="5" t="str">
        <f>TEXT(Store_Record[[#This Row],[Date]],"dddd")</f>
        <v>Wednesday</v>
      </c>
      <c r="M2717" s="5" t="str">
        <f>TEXT(Store_Record[[#This Row],[Date]],"mmmm")</f>
        <v>July</v>
      </c>
      <c r="N2717" s="5">
        <f>YEAR(Store_Record[[#This Row],[Date]])</f>
        <v>2025</v>
      </c>
      <c r="O2717"/>
    </row>
    <row r="2718" spans="1:15" x14ac:dyDescent="0.35">
      <c r="A2718" t="s">
        <v>3674</v>
      </c>
      <c r="B2718" s="2">
        <v>45854</v>
      </c>
      <c r="C2718" t="s">
        <v>36</v>
      </c>
      <c r="D2718" t="s">
        <v>38</v>
      </c>
      <c r="E2718" t="s">
        <v>34</v>
      </c>
      <c r="F2718" t="s">
        <v>31</v>
      </c>
      <c r="G2718">
        <v>5</v>
      </c>
      <c r="H2718">
        <v>2.2000000000000002</v>
      </c>
      <c r="I2718" t="s">
        <v>39</v>
      </c>
      <c r="J2718" t="s">
        <v>220</v>
      </c>
      <c r="K2718" s="12">
        <f>Store_Record[[#This Row],[Qty]]*Store_Record[[#This Row],[UnitPriceGBP]]</f>
        <v>11</v>
      </c>
      <c r="L2718" s="5" t="str">
        <f>TEXT(Store_Record[[#This Row],[Date]],"dddd")</f>
        <v>Wednesday</v>
      </c>
      <c r="M2718" s="5" t="str">
        <f>TEXT(Store_Record[[#This Row],[Date]],"mmmm")</f>
        <v>July</v>
      </c>
      <c r="N2718" s="5">
        <f>YEAR(Store_Record[[#This Row],[Date]])</f>
        <v>2025</v>
      </c>
      <c r="O2718"/>
    </row>
    <row r="2719" spans="1:15" x14ac:dyDescent="0.35">
      <c r="A2719" t="s">
        <v>3668</v>
      </c>
      <c r="B2719" s="2">
        <v>45854</v>
      </c>
      <c r="C2719" t="s">
        <v>10</v>
      </c>
      <c r="D2719" t="s">
        <v>11</v>
      </c>
      <c r="E2719" t="s">
        <v>12</v>
      </c>
      <c r="F2719" t="s">
        <v>13</v>
      </c>
      <c r="G2719">
        <v>4</v>
      </c>
      <c r="H2719">
        <v>2.5</v>
      </c>
      <c r="I2719" t="s">
        <v>14</v>
      </c>
      <c r="J2719" t="s">
        <v>1578</v>
      </c>
      <c r="K2719" s="12">
        <f>Store_Record[[#This Row],[Qty]]*Store_Record[[#This Row],[UnitPriceGBP]]</f>
        <v>10</v>
      </c>
      <c r="L2719" s="5" t="str">
        <f>TEXT(Store_Record[[#This Row],[Date]],"dddd")</f>
        <v>Wednesday</v>
      </c>
      <c r="M2719" s="5" t="str">
        <f>TEXT(Store_Record[[#This Row],[Date]],"mmmm")</f>
        <v>July</v>
      </c>
      <c r="N2719" s="5">
        <f>YEAR(Store_Record[[#This Row],[Date]])</f>
        <v>2025</v>
      </c>
      <c r="O2719"/>
    </row>
    <row r="2720" spans="1:15" x14ac:dyDescent="0.35">
      <c r="A2720" t="s">
        <v>3664</v>
      </c>
      <c r="B2720" s="2">
        <v>45854</v>
      </c>
      <c r="C2720" t="s">
        <v>24</v>
      </c>
      <c r="D2720" t="s">
        <v>47</v>
      </c>
      <c r="E2720" t="s">
        <v>30</v>
      </c>
      <c r="F2720" t="s">
        <v>31</v>
      </c>
      <c r="G2720">
        <v>3</v>
      </c>
      <c r="H2720">
        <v>2.8</v>
      </c>
      <c r="I2720" t="s">
        <v>39</v>
      </c>
      <c r="J2720" t="s">
        <v>972</v>
      </c>
      <c r="K2720" s="12">
        <f>Store_Record[[#This Row],[Qty]]*Store_Record[[#This Row],[UnitPriceGBP]]</f>
        <v>8.3999999999999986</v>
      </c>
      <c r="L2720" s="5" t="str">
        <f>TEXT(Store_Record[[#This Row],[Date]],"dddd")</f>
        <v>Wednesday</v>
      </c>
      <c r="M2720" s="5" t="str">
        <f>TEXT(Store_Record[[#This Row],[Date]],"mmmm")</f>
        <v>July</v>
      </c>
      <c r="N2720" s="5">
        <f>YEAR(Store_Record[[#This Row],[Date]])</f>
        <v>2025</v>
      </c>
      <c r="O2720"/>
    </row>
    <row r="2721" spans="1:15" x14ac:dyDescent="0.35">
      <c r="A2721" t="s">
        <v>3676</v>
      </c>
      <c r="B2721" s="2">
        <v>45854</v>
      </c>
      <c r="C2721" t="s">
        <v>20</v>
      </c>
      <c r="D2721" t="s">
        <v>29</v>
      </c>
      <c r="E2721" t="s">
        <v>30</v>
      </c>
      <c r="F2721" t="s">
        <v>31</v>
      </c>
      <c r="G2721">
        <v>3</v>
      </c>
      <c r="H2721">
        <v>2.8</v>
      </c>
      <c r="I2721" t="s">
        <v>21</v>
      </c>
      <c r="J2721" t="s">
        <v>1705</v>
      </c>
      <c r="K2721" s="12">
        <f>Store_Record[[#This Row],[Qty]]*Store_Record[[#This Row],[UnitPriceGBP]]</f>
        <v>8.3999999999999986</v>
      </c>
      <c r="L2721" s="5" t="str">
        <f>TEXT(Store_Record[[#This Row],[Date]],"dddd")</f>
        <v>Wednesday</v>
      </c>
      <c r="M2721" s="5" t="str">
        <f>TEXT(Store_Record[[#This Row],[Date]],"mmmm")</f>
        <v>July</v>
      </c>
      <c r="N2721" s="5">
        <f>YEAR(Store_Record[[#This Row],[Date]])</f>
        <v>2025</v>
      </c>
      <c r="O2721"/>
    </row>
    <row r="2722" spans="1:15" x14ac:dyDescent="0.35">
      <c r="A2722" t="s">
        <v>3667</v>
      </c>
      <c r="B2722" s="2">
        <v>45854</v>
      </c>
      <c r="C2722" t="s">
        <v>36</v>
      </c>
      <c r="D2722" t="s">
        <v>25</v>
      </c>
      <c r="E2722" t="s">
        <v>12</v>
      </c>
      <c r="F2722" t="s">
        <v>13</v>
      </c>
      <c r="G2722">
        <v>3</v>
      </c>
      <c r="H2722">
        <v>2.5</v>
      </c>
      <c r="I2722" t="s">
        <v>21</v>
      </c>
      <c r="J2722" t="s">
        <v>1130</v>
      </c>
      <c r="K2722" s="12">
        <f>Store_Record[[#This Row],[Qty]]*Store_Record[[#This Row],[UnitPriceGBP]]</f>
        <v>7.5</v>
      </c>
      <c r="L2722" s="5" t="str">
        <f>TEXT(Store_Record[[#This Row],[Date]],"dddd")</f>
        <v>Wednesday</v>
      </c>
      <c r="M2722" s="5" t="str">
        <f>TEXT(Store_Record[[#This Row],[Date]],"mmmm")</f>
        <v>July</v>
      </c>
      <c r="N2722" s="5">
        <f>YEAR(Store_Record[[#This Row],[Date]])</f>
        <v>2025</v>
      </c>
      <c r="O2722"/>
    </row>
    <row r="2723" spans="1:15" x14ac:dyDescent="0.35">
      <c r="A2723" t="s">
        <v>3663</v>
      </c>
      <c r="B2723" s="2">
        <v>45854</v>
      </c>
      <c r="C2723" t="s">
        <v>20</v>
      </c>
      <c r="D2723" t="s">
        <v>47</v>
      </c>
      <c r="E2723" t="s">
        <v>34</v>
      </c>
      <c r="F2723" t="s">
        <v>31</v>
      </c>
      <c r="G2723">
        <v>3</v>
      </c>
      <c r="H2723">
        <v>2.2000000000000002</v>
      </c>
      <c r="I2723" t="s">
        <v>14</v>
      </c>
      <c r="J2723" t="s">
        <v>836</v>
      </c>
      <c r="K2723" s="12">
        <f>Store_Record[[#This Row],[Qty]]*Store_Record[[#This Row],[UnitPriceGBP]]</f>
        <v>6.6000000000000005</v>
      </c>
      <c r="L2723" s="5" t="str">
        <f>TEXT(Store_Record[[#This Row],[Date]],"dddd")</f>
        <v>Wednesday</v>
      </c>
      <c r="M2723" s="5" t="str">
        <f>TEXT(Store_Record[[#This Row],[Date]],"mmmm")</f>
        <v>July</v>
      </c>
      <c r="N2723" s="5">
        <f>YEAR(Store_Record[[#This Row],[Date]])</f>
        <v>2025</v>
      </c>
      <c r="O2723"/>
    </row>
    <row r="2724" spans="1:15" x14ac:dyDescent="0.35">
      <c r="A2724" t="s">
        <v>3665</v>
      </c>
      <c r="B2724" s="2">
        <v>45854</v>
      </c>
      <c r="C2724" t="s">
        <v>10</v>
      </c>
      <c r="D2724" t="s">
        <v>38</v>
      </c>
      <c r="E2724" t="s">
        <v>34</v>
      </c>
      <c r="F2724" t="s">
        <v>31</v>
      </c>
      <c r="G2724">
        <v>3</v>
      </c>
      <c r="H2724">
        <v>2.2000000000000002</v>
      </c>
      <c r="I2724" t="s">
        <v>14</v>
      </c>
      <c r="J2724" t="s">
        <v>1749</v>
      </c>
      <c r="K2724" s="12">
        <f>Store_Record[[#This Row],[Qty]]*Store_Record[[#This Row],[UnitPriceGBP]]</f>
        <v>6.6000000000000005</v>
      </c>
      <c r="L2724" s="5" t="str">
        <f>TEXT(Store_Record[[#This Row],[Date]],"dddd")</f>
        <v>Wednesday</v>
      </c>
      <c r="M2724" s="5" t="str">
        <f>TEXT(Store_Record[[#This Row],[Date]],"mmmm")</f>
        <v>July</v>
      </c>
      <c r="N2724" s="5">
        <f>YEAR(Store_Record[[#This Row],[Date]])</f>
        <v>2025</v>
      </c>
      <c r="O2724"/>
    </row>
    <row r="2725" spans="1:15" x14ac:dyDescent="0.35">
      <c r="A2725" t="s">
        <v>3669</v>
      </c>
      <c r="B2725" s="2">
        <v>45854</v>
      </c>
      <c r="C2725" t="s">
        <v>24</v>
      </c>
      <c r="D2725" t="s">
        <v>29</v>
      </c>
      <c r="E2725" t="s">
        <v>30</v>
      </c>
      <c r="F2725" t="s">
        <v>31</v>
      </c>
      <c r="G2725">
        <v>2</v>
      </c>
      <c r="H2725">
        <v>2.8</v>
      </c>
      <c r="I2725" t="s">
        <v>21</v>
      </c>
      <c r="J2725" t="s">
        <v>1475</v>
      </c>
      <c r="K2725" s="12">
        <f>Store_Record[[#This Row],[Qty]]*Store_Record[[#This Row],[UnitPriceGBP]]</f>
        <v>5.6</v>
      </c>
      <c r="L2725" s="5" t="str">
        <f>TEXT(Store_Record[[#This Row],[Date]],"dddd")</f>
        <v>Wednesday</v>
      </c>
      <c r="M2725" s="5" t="str">
        <f>TEXT(Store_Record[[#This Row],[Date]],"mmmm")</f>
        <v>July</v>
      </c>
      <c r="N2725" s="5">
        <f>YEAR(Store_Record[[#This Row],[Date]])</f>
        <v>2025</v>
      </c>
      <c r="O2725"/>
    </row>
    <row r="2726" spans="1:15" x14ac:dyDescent="0.35">
      <c r="A2726" t="s">
        <v>3675</v>
      </c>
      <c r="B2726" s="2">
        <v>45854</v>
      </c>
      <c r="C2726" t="s">
        <v>10</v>
      </c>
      <c r="D2726" t="s">
        <v>11</v>
      </c>
      <c r="E2726" t="s">
        <v>30</v>
      </c>
      <c r="F2726" t="s">
        <v>31</v>
      </c>
      <c r="G2726">
        <v>2</v>
      </c>
      <c r="H2726">
        <v>2.8</v>
      </c>
      <c r="I2726" t="s">
        <v>14</v>
      </c>
      <c r="J2726" t="s">
        <v>1705</v>
      </c>
      <c r="K2726" s="12">
        <f>Store_Record[[#This Row],[Qty]]*Store_Record[[#This Row],[UnitPriceGBP]]</f>
        <v>5.6</v>
      </c>
      <c r="L2726" s="5" t="str">
        <f>TEXT(Store_Record[[#This Row],[Date]],"dddd")</f>
        <v>Wednesday</v>
      </c>
      <c r="M2726" s="5" t="str">
        <f>TEXT(Store_Record[[#This Row],[Date]],"mmmm")</f>
        <v>July</v>
      </c>
      <c r="N2726" s="5">
        <f>YEAR(Store_Record[[#This Row],[Date]])</f>
        <v>2025</v>
      </c>
      <c r="O2726"/>
    </row>
    <row r="2727" spans="1:15" x14ac:dyDescent="0.35">
      <c r="A2727" t="s">
        <v>3672</v>
      </c>
      <c r="B2727" s="2">
        <v>45854</v>
      </c>
      <c r="C2727" t="s">
        <v>36</v>
      </c>
      <c r="D2727" t="s">
        <v>29</v>
      </c>
      <c r="E2727" t="s">
        <v>12</v>
      </c>
      <c r="F2727" t="s">
        <v>13</v>
      </c>
      <c r="G2727">
        <v>2</v>
      </c>
      <c r="H2727">
        <v>2.5</v>
      </c>
      <c r="I2727" t="s">
        <v>21</v>
      </c>
      <c r="J2727" t="s">
        <v>3673</v>
      </c>
      <c r="K2727" s="12">
        <f>Store_Record[[#This Row],[Qty]]*Store_Record[[#This Row],[UnitPriceGBP]]</f>
        <v>5</v>
      </c>
      <c r="L2727" s="5" t="str">
        <f>TEXT(Store_Record[[#This Row],[Date]],"dddd")</f>
        <v>Wednesday</v>
      </c>
      <c r="M2727" s="5" t="str">
        <f>TEXT(Store_Record[[#This Row],[Date]],"mmmm")</f>
        <v>July</v>
      </c>
      <c r="N2727" s="5">
        <f>YEAR(Store_Record[[#This Row],[Date]])</f>
        <v>2025</v>
      </c>
      <c r="O2727"/>
    </row>
    <row r="2728" spans="1:15" x14ac:dyDescent="0.35">
      <c r="A2728" t="s">
        <v>3662</v>
      </c>
      <c r="B2728" s="2">
        <v>45854</v>
      </c>
      <c r="C2728" t="s">
        <v>36</v>
      </c>
      <c r="D2728" t="s">
        <v>38</v>
      </c>
      <c r="E2728" t="s">
        <v>42</v>
      </c>
      <c r="F2728" t="s">
        <v>13</v>
      </c>
      <c r="G2728">
        <v>1</v>
      </c>
      <c r="H2728">
        <v>3.8</v>
      </c>
      <c r="I2728" t="s">
        <v>21</v>
      </c>
      <c r="J2728" t="s">
        <v>59</v>
      </c>
      <c r="K2728" s="12">
        <f>Store_Record[[#This Row],[Qty]]*Store_Record[[#This Row],[UnitPriceGBP]]</f>
        <v>3.8</v>
      </c>
      <c r="L2728" s="5" t="str">
        <f>TEXT(Store_Record[[#This Row],[Date]],"dddd")</f>
        <v>Wednesday</v>
      </c>
      <c r="M2728" s="5" t="str">
        <f>TEXT(Store_Record[[#This Row],[Date]],"mmmm")</f>
        <v>July</v>
      </c>
      <c r="N2728" s="5">
        <f>YEAR(Store_Record[[#This Row],[Date]])</f>
        <v>2025</v>
      </c>
      <c r="O2728"/>
    </row>
    <row r="2729" spans="1:15" x14ac:dyDescent="0.35">
      <c r="A2729" t="s">
        <v>3687</v>
      </c>
      <c r="B2729" s="2">
        <v>45855</v>
      </c>
      <c r="C2729" t="s">
        <v>20</v>
      </c>
      <c r="D2729" t="s">
        <v>11</v>
      </c>
      <c r="E2729" t="s">
        <v>12</v>
      </c>
      <c r="F2729" t="s">
        <v>13</v>
      </c>
      <c r="G2729">
        <v>5</v>
      </c>
      <c r="H2729">
        <v>2.5</v>
      </c>
      <c r="I2729" t="s">
        <v>39</v>
      </c>
      <c r="J2729" t="s">
        <v>541</v>
      </c>
      <c r="K2729" s="12">
        <f>Store_Record[[#This Row],[Qty]]*Store_Record[[#This Row],[UnitPriceGBP]]</f>
        <v>12.5</v>
      </c>
      <c r="L2729" s="5" t="str">
        <f>TEXT(Store_Record[[#This Row],[Date]],"dddd")</f>
        <v>Thursday</v>
      </c>
      <c r="M2729" s="5" t="str">
        <f>TEXT(Store_Record[[#This Row],[Date]],"mmmm")</f>
        <v>July</v>
      </c>
      <c r="N2729" s="5">
        <f>YEAR(Store_Record[[#This Row],[Date]])</f>
        <v>2025</v>
      </c>
      <c r="O2729"/>
    </row>
    <row r="2730" spans="1:15" x14ac:dyDescent="0.35">
      <c r="A2730" t="s">
        <v>3684</v>
      </c>
      <c r="B2730" s="2">
        <v>45855</v>
      </c>
      <c r="C2730" t="s">
        <v>10</v>
      </c>
      <c r="D2730" t="s">
        <v>29</v>
      </c>
      <c r="E2730" t="s">
        <v>34</v>
      </c>
      <c r="F2730" t="s">
        <v>31</v>
      </c>
      <c r="G2730">
        <v>5</v>
      </c>
      <c r="H2730">
        <v>2.2000000000000002</v>
      </c>
      <c r="I2730" t="s">
        <v>21</v>
      </c>
      <c r="J2730" t="s">
        <v>1310</v>
      </c>
      <c r="K2730" s="12">
        <f>Store_Record[[#This Row],[Qty]]*Store_Record[[#This Row],[UnitPriceGBP]]</f>
        <v>11</v>
      </c>
      <c r="L2730" s="5" t="str">
        <f>TEXT(Store_Record[[#This Row],[Date]],"dddd")</f>
        <v>Thursday</v>
      </c>
      <c r="M2730" s="5" t="str">
        <f>TEXT(Store_Record[[#This Row],[Date]],"mmmm")</f>
        <v>July</v>
      </c>
      <c r="N2730" s="5">
        <f>YEAR(Store_Record[[#This Row],[Date]])</f>
        <v>2025</v>
      </c>
      <c r="O2730"/>
    </row>
    <row r="2731" spans="1:15" x14ac:dyDescent="0.35">
      <c r="A2731" t="s">
        <v>3685</v>
      </c>
      <c r="B2731" s="2">
        <v>45855</v>
      </c>
      <c r="C2731" t="s">
        <v>36</v>
      </c>
      <c r="D2731" t="s">
        <v>47</v>
      </c>
      <c r="E2731" t="s">
        <v>34</v>
      </c>
      <c r="F2731" t="s">
        <v>31</v>
      </c>
      <c r="G2731">
        <v>5</v>
      </c>
      <c r="H2731">
        <v>2.2000000000000002</v>
      </c>
      <c r="I2731" t="s">
        <v>39</v>
      </c>
      <c r="J2731" t="s">
        <v>594</v>
      </c>
      <c r="K2731" s="12">
        <f>Store_Record[[#This Row],[Qty]]*Store_Record[[#This Row],[UnitPriceGBP]]</f>
        <v>11</v>
      </c>
      <c r="L2731" s="5" t="str">
        <f>TEXT(Store_Record[[#This Row],[Date]],"dddd")</f>
        <v>Thursday</v>
      </c>
      <c r="M2731" s="5" t="str">
        <f>TEXT(Store_Record[[#This Row],[Date]],"mmmm")</f>
        <v>July</v>
      </c>
      <c r="N2731" s="5">
        <f>YEAR(Store_Record[[#This Row],[Date]])</f>
        <v>2025</v>
      </c>
      <c r="O2731"/>
    </row>
    <row r="2732" spans="1:15" x14ac:dyDescent="0.35">
      <c r="A2732" t="s">
        <v>3677</v>
      </c>
      <c r="B2732" s="2">
        <v>45855</v>
      </c>
      <c r="C2732" t="s">
        <v>24</v>
      </c>
      <c r="D2732" t="s">
        <v>38</v>
      </c>
      <c r="E2732" t="s">
        <v>26</v>
      </c>
      <c r="F2732" t="s">
        <v>13</v>
      </c>
      <c r="G2732">
        <v>3</v>
      </c>
      <c r="H2732">
        <v>3.5</v>
      </c>
      <c r="I2732" t="s">
        <v>21</v>
      </c>
      <c r="J2732" t="s">
        <v>3248</v>
      </c>
      <c r="K2732" s="12">
        <f>Store_Record[[#This Row],[Qty]]*Store_Record[[#This Row],[UnitPriceGBP]]</f>
        <v>10.5</v>
      </c>
      <c r="L2732" s="5" t="str">
        <f>TEXT(Store_Record[[#This Row],[Date]],"dddd")</f>
        <v>Thursday</v>
      </c>
      <c r="M2732" s="5" t="str">
        <f>TEXT(Store_Record[[#This Row],[Date]],"mmmm")</f>
        <v>July</v>
      </c>
      <c r="N2732" s="5">
        <f>YEAR(Store_Record[[#This Row],[Date]])</f>
        <v>2025</v>
      </c>
      <c r="O2732"/>
    </row>
    <row r="2733" spans="1:15" x14ac:dyDescent="0.35">
      <c r="A2733" t="s">
        <v>3679</v>
      </c>
      <c r="B2733" s="2">
        <v>45855</v>
      </c>
      <c r="C2733" t="s">
        <v>10</v>
      </c>
      <c r="D2733" t="s">
        <v>47</v>
      </c>
      <c r="E2733" t="s">
        <v>12</v>
      </c>
      <c r="F2733" t="s">
        <v>13</v>
      </c>
      <c r="G2733">
        <v>3</v>
      </c>
      <c r="H2733">
        <v>2.5</v>
      </c>
      <c r="I2733" t="s">
        <v>14</v>
      </c>
      <c r="J2733" t="s">
        <v>3680</v>
      </c>
      <c r="K2733" s="12">
        <f>Store_Record[[#This Row],[Qty]]*Store_Record[[#This Row],[UnitPriceGBP]]</f>
        <v>7.5</v>
      </c>
      <c r="L2733" s="5" t="str">
        <f>TEXT(Store_Record[[#This Row],[Date]],"dddd")</f>
        <v>Thursday</v>
      </c>
      <c r="M2733" s="5" t="str">
        <f>TEXT(Store_Record[[#This Row],[Date]],"mmmm")</f>
        <v>July</v>
      </c>
      <c r="N2733" s="5">
        <f>YEAR(Store_Record[[#This Row],[Date]])</f>
        <v>2025</v>
      </c>
      <c r="O2733"/>
    </row>
    <row r="2734" spans="1:15" x14ac:dyDescent="0.35">
      <c r="A2734" t="s">
        <v>3681</v>
      </c>
      <c r="B2734" s="2">
        <v>45855</v>
      </c>
      <c r="C2734" t="s">
        <v>20</v>
      </c>
      <c r="D2734" t="s">
        <v>25</v>
      </c>
      <c r="E2734" t="s">
        <v>12</v>
      </c>
      <c r="F2734" t="s">
        <v>13</v>
      </c>
      <c r="G2734">
        <v>3</v>
      </c>
      <c r="H2734">
        <v>2.5</v>
      </c>
      <c r="I2734" t="s">
        <v>21</v>
      </c>
      <c r="J2734" t="s">
        <v>195</v>
      </c>
      <c r="K2734" s="12">
        <f>Store_Record[[#This Row],[Qty]]*Store_Record[[#This Row],[UnitPriceGBP]]</f>
        <v>7.5</v>
      </c>
      <c r="L2734" s="5" t="str">
        <f>TEXT(Store_Record[[#This Row],[Date]],"dddd")</f>
        <v>Thursday</v>
      </c>
      <c r="M2734" s="5" t="str">
        <f>TEXT(Store_Record[[#This Row],[Date]],"mmmm")</f>
        <v>July</v>
      </c>
      <c r="N2734" s="5">
        <f>YEAR(Store_Record[[#This Row],[Date]])</f>
        <v>2025</v>
      </c>
      <c r="O2734"/>
    </row>
    <row r="2735" spans="1:15" x14ac:dyDescent="0.35">
      <c r="A2735" t="s">
        <v>3682</v>
      </c>
      <c r="B2735" s="2">
        <v>45855</v>
      </c>
      <c r="C2735" t="s">
        <v>20</v>
      </c>
      <c r="D2735" t="s">
        <v>47</v>
      </c>
      <c r="E2735" t="s">
        <v>12</v>
      </c>
      <c r="F2735" t="s">
        <v>13</v>
      </c>
      <c r="G2735">
        <v>3</v>
      </c>
      <c r="H2735">
        <v>2.5</v>
      </c>
      <c r="I2735" t="s">
        <v>39</v>
      </c>
      <c r="J2735" t="s">
        <v>1882</v>
      </c>
      <c r="K2735" s="12">
        <f>Store_Record[[#This Row],[Qty]]*Store_Record[[#This Row],[UnitPriceGBP]]</f>
        <v>7.5</v>
      </c>
      <c r="L2735" s="5" t="str">
        <f>TEXT(Store_Record[[#This Row],[Date]],"dddd")</f>
        <v>Thursday</v>
      </c>
      <c r="M2735" s="5" t="str">
        <f>TEXT(Store_Record[[#This Row],[Date]],"mmmm")</f>
        <v>July</v>
      </c>
      <c r="N2735" s="5">
        <f>YEAR(Store_Record[[#This Row],[Date]])</f>
        <v>2025</v>
      </c>
      <c r="O2735"/>
    </row>
    <row r="2736" spans="1:15" x14ac:dyDescent="0.35">
      <c r="A2736" t="s">
        <v>3683</v>
      </c>
      <c r="B2736" s="2">
        <v>45855</v>
      </c>
      <c r="C2736" t="s">
        <v>36</v>
      </c>
      <c r="D2736" t="s">
        <v>47</v>
      </c>
      <c r="E2736" t="s">
        <v>12</v>
      </c>
      <c r="F2736" t="s">
        <v>13</v>
      </c>
      <c r="G2736">
        <v>3</v>
      </c>
      <c r="H2736">
        <v>2.5</v>
      </c>
      <c r="I2736" t="s">
        <v>14</v>
      </c>
      <c r="J2736" t="s">
        <v>3207</v>
      </c>
      <c r="K2736" s="12">
        <f>Store_Record[[#This Row],[Qty]]*Store_Record[[#This Row],[UnitPriceGBP]]</f>
        <v>7.5</v>
      </c>
      <c r="L2736" s="5" t="str">
        <f>TEXT(Store_Record[[#This Row],[Date]],"dddd")</f>
        <v>Thursday</v>
      </c>
      <c r="M2736" s="5" t="str">
        <f>TEXT(Store_Record[[#This Row],[Date]],"mmmm")</f>
        <v>July</v>
      </c>
      <c r="N2736" s="5">
        <f>YEAR(Store_Record[[#This Row],[Date]])</f>
        <v>2025</v>
      </c>
      <c r="O2736"/>
    </row>
    <row r="2737" spans="1:15" x14ac:dyDescent="0.35">
      <c r="A2737" t="s">
        <v>3686</v>
      </c>
      <c r="B2737" s="2">
        <v>45855</v>
      </c>
      <c r="C2737" t="s">
        <v>10</v>
      </c>
      <c r="D2737" t="s">
        <v>38</v>
      </c>
      <c r="E2737" t="s">
        <v>26</v>
      </c>
      <c r="F2737" t="s">
        <v>13</v>
      </c>
      <c r="G2737">
        <v>2</v>
      </c>
      <c r="H2737">
        <v>3.5</v>
      </c>
      <c r="I2737" t="s">
        <v>39</v>
      </c>
      <c r="J2737" t="s">
        <v>986</v>
      </c>
      <c r="K2737" s="12">
        <f>Store_Record[[#This Row],[Qty]]*Store_Record[[#This Row],[UnitPriceGBP]]</f>
        <v>7</v>
      </c>
      <c r="L2737" s="5" t="str">
        <f>TEXT(Store_Record[[#This Row],[Date]],"dddd")</f>
        <v>Thursday</v>
      </c>
      <c r="M2737" s="5" t="str">
        <f>TEXT(Store_Record[[#This Row],[Date]],"mmmm")</f>
        <v>July</v>
      </c>
      <c r="N2737" s="5">
        <f>YEAR(Store_Record[[#This Row],[Date]])</f>
        <v>2025</v>
      </c>
      <c r="O2737"/>
    </row>
    <row r="2738" spans="1:15" x14ac:dyDescent="0.35">
      <c r="A2738" t="s">
        <v>3678</v>
      </c>
      <c r="B2738" s="2">
        <v>45855</v>
      </c>
      <c r="C2738" t="s">
        <v>24</v>
      </c>
      <c r="D2738" t="s">
        <v>47</v>
      </c>
      <c r="E2738" t="s">
        <v>30</v>
      </c>
      <c r="F2738" t="s">
        <v>31</v>
      </c>
      <c r="G2738">
        <v>1</v>
      </c>
      <c r="H2738">
        <v>2.8</v>
      </c>
      <c r="I2738" t="s">
        <v>39</v>
      </c>
      <c r="J2738" t="s">
        <v>286</v>
      </c>
      <c r="K2738" s="12">
        <f>Store_Record[[#This Row],[Qty]]*Store_Record[[#This Row],[UnitPriceGBP]]</f>
        <v>2.8</v>
      </c>
      <c r="L2738" s="5" t="str">
        <f>TEXT(Store_Record[[#This Row],[Date]],"dddd")</f>
        <v>Thursday</v>
      </c>
      <c r="M2738" s="5" t="str">
        <f>TEXT(Store_Record[[#This Row],[Date]],"mmmm")</f>
        <v>July</v>
      </c>
      <c r="N2738" s="5">
        <f>YEAR(Store_Record[[#This Row],[Date]])</f>
        <v>2025</v>
      </c>
      <c r="O2738"/>
    </row>
    <row r="2739" spans="1:15" x14ac:dyDescent="0.35">
      <c r="A2739" t="s">
        <v>3689</v>
      </c>
      <c r="B2739" s="2">
        <v>45856</v>
      </c>
      <c r="C2739" t="s">
        <v>10</v>
      </c>
      <c r="D2739" t="s">
        <v>38</v>
      </c>
      <c r="E2739" t="s">
        <v>12</v>
      </c>
      <c r="F2739" t="s">
        <v>13</v>
      </c>
      <c r="G2739">
        <v>5</v>
      </c>
      <c r="H2739">
        <v>2.5</v>
      </c>
      <c r="I2739" t="s">
        <v>21</v>
      </c>
      <c r="J2739" t="s">
        <v>1003</v>
      </c>
      <c r="K2739" s="12">
        <f>Store_Record[[#This Row],[Qty]]*Store_Record[[#This Row],[UnitPriceGBP]]</f>
        <v>12.5</v>
      </c>
      <c r="L2739" s="5" t="str">
        <f>TEXT(Store_Record[[#This Row],[Date]],"dddd")</f>
        <v>Friday</v>
      </c>
      <c r="M2739" s="5" t="str">
        <f>TEXT(Store_Record[[#This Row],[Date]],"mmmm")</f>
        <v>July</v>
      </c>
      <c r="N2739" s="5">
        <f>YEAR(Store_Record[[#This Row],[Date]])</f>
        <v>2025</v>
      </c>
      <c r="O2739"/>
    </row>
    <row r="2740" spans="1:15" x14ac:dyDescent="0.35">
      <c r="A2740" t="s">
        <v>3693</v>
      </c>
      <c r="B2740" s="2">
        <v>45856</v>
      </c>
      <c r="C2740" t="s">
        <v>10</v>
      </c>
      <c r="D2740" t="s">
        <v>11</v>
      </c>
      <c r="E2740" t="s">
        <v>12</v>
      </c>
      <c r="F2740" t="s">
        <v>13</v>
      </c>
      <c r="G2740">
        <v>5</v>
      </c>
      <c r="H2740">
        <v>2.5</v>
      </c>
      <c r="I2740" t="s">
        <v>39</v>
      </c>
      <c r="J2740" t="s">
        <v>1252</v>
      </c>
      <c r="K2740" s="12">
        <f>Store_Record[[#This Row],[Qty]]*Store_Record[[#This Row],[UnitPriceGBP]]</f>
        <v>12.5</v>
      </c>
      <c r="L2740" s="5" t="str">
        <f>TEXT(Store_Record[[#This Row],[Date]],"dddd")</f>
        <v>Friday</v>
      </c>
      <c r="M2740" s="5" t="str">
        <f>TEXT(Store_Record[[#This Row],[Date]],"mmmm")</f>
        <v>July</v>
      </c>
      <c r="N2740" s="5">
        <f>YEAR(Store_Record[[#This Row],[Date]])</f>
        <v>2025</v>
      </c>
      <c r="O2740"/>
    </row>
    <row r="2741" spans="1:15" x14ac:dyDescent="0.35">
      <c r="A2741" t="s">
        <v>3703</v>
      </c>
      <c r="B2741" s="2">
        <v>45856</v>
      </c>
      <c r="C2741" t="s">
        <v>24</v>
      </c>
      <c r="D2741" t="s">
        <v>38</v>
      </c>
      <c r="E2741" t="s">
        <v>12</v>
      </c>
      <c r="F2741" t="s">
        <v>13</v>
      </c>
      <c r="G2741">
        <v>5</v>
      </c>
      <c r="H2741">
        <v>2.5</v>
      </c>
      <c r="I2741" t="s">
        <v>39</v>
      </c>
      <c r="J2741" t="s">
        <v>871</v>
      </c>
      <c r="K2741" s="12">
        <f>Store_Record[[#This Row],[Qty]]*Store_Record[[#This Row],[UnitPriceGBP]]</f>
        <v>12.5</v>
      </c>
      <c r="L2741" s="5" t="str">
        <f>TEXT(Store_Record[[#This Row],[Date]],"dddd")</f>
        <v>Friday</v>
      </c>
      <c r="M2741" s="5" t="str">
        <f>TEXT(Store_Record[[#This Row],[Date]],"mmmm")</f>
        <v>July</v>
      </c>
      <c r="N2741" s="5">
        <f>YEAR(Store_Record[[#This Row],[Date]])</f>
        <v>2025</v>
      </c>
      <c r="O2741"/>
    </row>
    <row r="2742" spans="1:15" x14ac:dyDescent="0.35">
      <c r="A2742" t="s">
        <v>3692</v>
      </c>
      <c r="B2742" s="2">
        <v>45856</v>
      </c>
      <c r="C2742" t="s">
        <v>10</v>
      </c>
      <c r="D2742" t="s">
        <v>38</v>
      </c>
      <c r="E2742" t="s">
        <v>34</v>
      </c>
      <c r="F2742" t="s">
        <v>31</v>
      </c>
      <c r="G2742">
        <v>5</v>
      </c>
      <c r="H2742">
        <v>2.2000000000000002</v>
      </c>
      <c r="I2742" t="s">
        <v>39</v>
      </c>
      <c r="J2742" t="s">
        <v>127</v>
      </c>
      <c r="K2742" s="12">
        <f>Store_Record[[#This Row],[Qty]]*Store_Record[[#This Row],[UnitPriceGBP]]</f>
        <v>11</v>
      </c>
      <c r="L2742" s="5" t="str">
        <f>TEXT(Store_Record[[#This Row],[Date]],"dddd")</f>
        <v>Friday</v>
      </c>
      <c r="M2742" s="5" t="str">
        <f>TEXT(Store_Record[[#This Row],[Date]],"mmmm")</f>
        <v>July</v>
      </c>
      <c r="N2742" s="5">
        <f>YEAR(Store_Record[[#This Row],[Date]])</f>
        <v>2025</v>
      </c>
      <c r="O2742"/>
    </row>
    <row r="2743" spans="1:15" x14ac:dyDescent="0.35">
      <c r="A2743" t="s">
        <v>3696</v>
      </c>
      <c r="B2743" s="2">
        <v>45856</v>
      </c>
      <c r="C2743" t="s">
        <v>20</v>
      </c>
      <c r="D2743" t="s">
        <v>11</v>
      </c>
      <c r="E2743" t="s">
        <v>34</v>
      </c>
      <c r="F2743" t="s">
        <v>31</v>
      </c>
      <c r="G2743">
        <v>5</v>
      </c>
      <c r="H2743">
        <v>2.2000000000000002</v>
      </c>
      <c r="I2743" t="s">
        <v>39</v>
      </c>
      <c r="J2743" t="s">
        <v>3697</v>
      </c>
      <c r="K2743" s="12">
        <f>Store_Record[[#This Row],[Qty]]*Store_Record[[#This Row],[UnitPriceGBP]]</f>
        <v>11</v>
      </c>
      <c r="L2743" s="5" t="str">
        <f>TEXT(Store_Record[[#This Row],[Date]],"dddd")</f>
        <v>Friday</v>
      </c>
      <c r="M2743" s="5" t="str">
        <f>TEXT(Store_Record[[#This Row],[Date]],"mmmm")</f>
        <v>July</v>
      </c>
      <c r="N2743" s="5">
        <f>YEAR(Store_Record[[#This Row],[Date]])</f>
        <v>2025</v>
      </c>
      <c r="O2743"/>
    </row>
    <row r="2744" spans="1:15" x14ac:dyDescent="0.35">
      <c r="A2744" t="s">
        <v>3694</v>
      </c>
      <c r="B2744" s="2">
        <v>45856</v>
      </c>
      <c r="C2744" t="s">
        <v>36</v>
      </c>
      <c r="D2744" t="s">
        <v>38</v>
      </c>
      <c r="E2744" t="s">
        <v>12</v>
      </c>
      <c r="F2744" t="s">
        <v>13</v>
      </c>
      <c r="G2744">
        <v>4</v>
      </c>
      <c r="H2744">
        <v>2.5</v>
      </c>
      <c r="I2744" t="s">
        <v>39</v>
      </c>
      <c r="J2744" t="s">
        <v>439</v>
      </c>
      <c r="K2744" s="12">
        <f>Store_Record[[#This Row],[Qty]]*Store_Record[[#This Row],[UnitPriceGBP]]</f>
        <v>10</v>
      </c>
      <c r="L2744" s="5" t="str">
        <f>TEXT(Store_Record[[#This Row],[Date]],"dddd")</f>
        <v>Friday</v>
      </c>
      <c r="M2744" s="5" t="str">
        <f>TEXT(Store_Record[[#This Row],[Date]],"mmmm")</f>
        <v>July</v>
      </c>
      <c r="N2744" s="5">
        <f>YEAR(Store_Record[[#This Row],[Date]])</f>
        <v>2025</v>
      </c>
      <c r="O2744"/>
    </row>
    <row r="2745" spans="1:15" x14ac:dyDescent="0.35">
      <c r="A2745" t="s">
        <v>3695</v>
      </c>
      <c r="B2745" s="2">
        <v>45856</v>
      </c>
      <c r="C2745" t="s">
        <v>10</v>
      </c>
      <c r="D2745" t="s">
        <v>38</v>
      </c>
      <c r="E2745" t="s">
        <v>12</v>
      </c>
      <c r="F2745" t="s">
        <v>13</v>
      </c>
      <c r="G2745">
        <v>4</v>
      </c>
      <c r="H2745">
        <v>2.5</v>
      </c>
      <c r="I2745" t="s">
        <v>21</v>
      </c>
      <c r="J2745" t="s">
        <v>682</v>
      </c>
      <c r="K2745" s="12">
        <f>Store_Record[[#This Row],[Qty]]*Store_Record[[#This Row],[UnitPriceGBP]]</f>
        <v>10</v>
      </c>
      <c r="L2745" s="5" t="str">
        <f>TEXT(Store_Record[[#This Row],[Date]],"dddd")</f>
        <v>Friday</v>
      </c>
      <c r="M2745" s="5" t="str">
        <f>TEXT(Store_Record[[#This Row],[Date]],"mmmm")</f>
        <v>July</v>
      </c>
      <c r="N2745" s="5">
        <f>YEAR(Store_Record[[#This Row],[Date]])</f>
        <v>2025</v>
      </c>
      <c r="O2745"/>
    </row>
    <row r="2746" spans="1:15" x14ac:dyDescent="0.35">
      <c r="A2746" t="s">
        <v>3701</v>
      </c>
      <c r="B2746" s="2">
        <v>45856</v>
      </c>
      <c r="C2746" t="s">
        <v>10</v>
      </c>
      <c r="D2746" t="s">
        <v>11</v>
      </c>
      <c r="E2746" t="s">
        <v>12</v>
      </c>
      <c r="F2746" t="s">
        <v>13</v>
      </c>
      <c r="G2746">
        <v>4</v>
      </c>
      <c r="H2746">
        <v>2.5</v>
      </c>
      <c r="I2746" t="s">
        <v>39</v>
      </c>
      <c r="J2746" t="s">
        <v>700</v>
      </c>
      <c r="K2746" s="12">
        <f>Store_Record[[#This Row],[Qty]]*Store_Record[[#This Row],[UnitPriceGBP]]</f>
        <v>10</v>
      </c>
      <c r="L2746" s="5" t="str">
        <f>TEXT(Store_Record[[#This Row],[Date]],"dddd")</f>
        <v>Friday</v>
      </c>
      <c r="M2746" s="5" t="str">
        <f>TEXT(Store_Record[[#This Row],[Date]],"mmmm")</f>
        <v>July</v>
      </c>
      <c r="N2746" s="5">
        <f>YEAR(Store_Record[[#This Row],[Date]])</f>
        <v>2025</v>
      </c>
      <c r="O2746"/>
    </row>
    <row r="2747" spans="1:15" x14ac:dyDescent="0.35">
      <c r="A2747" t="s">
        <v>3698</v>
      </c>
      <c r="B2747" s="2">
        <v>45856</v>
      </c>
      <c r="C2747" t="s">
        <v>20</v>
      </c>
      <c r="D2747" t="s">
        <v>29</v>
      </c>
      <c r="E2747" t="s">
        <v>42</v>
      </c>
      <c r="F2747" t="s">
        <v>13</v>
      </c>
      <c r="G2747">
        <v>2</v>
      </c>
      <c r="H2747">
        <v>3.8</v>
      </c>
      <c r="I2747" t="s">
        <v>39</v>
      </c>
      <c r="J2747" t="s">
        <v>1777</v>
      </c>
      <c r="K2747" s="12">
        <f>Store_Record[[#This Row],[Qty]]*Store_Record[[#This Row],[UnitPriceGBP]]</f>
        <v>7.6</v>
      </c>
      <c r="L2747" s="5" t="str">
        <f>TEXT(Store_Record[[#This Row],[Date]],"dddd")</f>
        <v>Friday</v>
      </c>
      <c r="M2747" s="5" t="str">
        <f>TEXT(Store_Record[[#This Row],[Date]],"mmmm")</f>
        <v>July</v>
      </c>
      <c r="N2747" s="5">
        <f>YEAR(Store_Record[[#This Row],[Date]])</f>
        <v>2025</v>
      </c>
      <c r="O2747"/>
    </row>
    <row r="2748" spans="1:15" x14ac:dyDescent="0.35">
      <c r="A2748" t="s">
        <v>3690</v>
      </c>
      <c r="B2748" s="2">
        <v>45856</v>
      </c>
      <c r="C2748" t="s">
        <v>20</v>
      </c>
      <c r="D2748" t="s">
        <v>11</v>
      </c>
      <c r="E2748" t="s">
        <v>12</v>
      </c>
      <c r="F2748" t="s">
        <v>13</v>
      </c>
      <c r="G2748">
        <v>3</v>
      </c>
      <c r="H2748">
        <v>2.5</v>
      </c>
      <c r="I2748" t="s">
        <v>14</v>
      </c>
      <c r="J2748" t="s">
        <v>448</v>
      </c>
      <c r="K2748" s="12">
        <f>Store_Record[[#This Row],[Qty]]*Store_Record[[#This Row],[UnitPriceGBP]]</f>
        <v>7.5</v>
      </c>
      <c r="L2748" s="5" t="str">
        <f>TEXT(Store_Record[[#This Row],[Date]],"dddd")</f>
        <v>Friday</v>
      </c>
      <c r="M2748" s="5" t="str">
        <f>TEXT(Store_Record[[#This Row],[Date]],"mmmm")</f>
        <v>July</v>
      </c>
      <c r="N2748" s="5">
        <f>YEAR(Store_Record[[#This Row],[Date]])</f>
        <v>2025</v>
      </c>
      <c r="O2748"/>
    </row>
    <row r="2749" spans="1:15" x14ac:dyDescent="0.35">
      <c r="A2749" t="s">
        <v>3704</v>
      </c>
      <c r="B2749" s="2">
        <v>45856</v>
      </c>
      <c r="C2749" t="s">
        <v>10</v>
      </c>
      <c r="D2749" t="s">
        <v>11</v>
      </c>
      <c r="E2749" t="s">
        <v>26</v>
      </c>
      <c r="F2749" t="s">
        <v>13</v>
      </c>
      <c r="G2749">
        <v>2</v>
      </c>
      <c r="H2749">
        <v>3.5</v>
      </c>
      <c r="I2749" t="s">
        <v>14</v>
      </c>
      <c r="J2749" t="s">
        <v>1522</v>
      </c>
      <c r="K2749" s="12">
        <f>Store_Record[[#This Row],[Qty]]*Store_Record[[#This Row],[UnitPriceGBP]]</f>
        <v>7</v>
      </c>
      <c r="L2749" s="5" t="str">
        <f>TEXT(Store_Record[[#This Row],[Date]],"dddd")</f>
        <v>Friday</v>
      </c>
      <c r="M2749" s="5" t="str">
        <f>TEXT(Store_Record[[#This Row],[Date]],"mmmm")</f>
        <v>July</v>
      </c>
      <c r="N2749" s="5">
        <f>YEAR(Store_Record[[#This Row],[Date]])</f>
        <v>2025</v>
      </c>
      <c r="O2749"/>
    </row>
    <row r="2750" spans="1:15" x14ac:dyDescent="0.35">
      <c r="A2750" t="s">
        <v>3702</v>
      </c>
      <c r="B2750" s="2">
        <v>45856</v>
      </c>
      <c r="C2750" t="s">
        <v>36</v>
      </c>
      <c r="D2750" t="s">
        <v>29</v>
      </c>
      <c r="E2750" t="s">
        <v>30</v>
      </c>
      <c r="F2750" t="s">
        <v>31</v>
      </c>
      <c r="G2750">
        <v>2</v>
      </c>
      <c r="H2750">
        <v>2.8</v>
      </c>
      <c r="I2750" t="s">
        <v>21</v>
      </c>
      <c r="J2750" t="s">
        <v>3065</v>
      </c>
      <c r="K2750" s="12">
        <f>Store_Record[[#This Row],[Qty]]*Store_Record[[#This Row],[UnitPriceGBP]]</f>
        <v>5.6</v>
      </c>
      <c r="L2750" s="5" t="str">
        <f>TEXT(Store_Record[[#This Row],[Date]],"dddd")</f>
        <v>Friday</v>
      </c>
      <c r="M2750" s="5" t="str">
        <f>TEXT(Store_Record[[#This Row],[Date]],"mmmm")</f>
        <v>July</v>
      </c>
      <c r="N2750" s="5">
        <f>YEAR(Store_Record[[#This Row],[Date]])</f>
        <v>2025</v>
      </c>
      <c r="O2750"/>
    </row>
    <row r="2751" spans="1:15" x14ac:dyDescent="0.35">
      <c r="A2751" t="s">
        <v>3688</v>
      </c>
      <c r="B2751" s="2">
        <v>45856</v>
      </c>
      <c r="C2751" t="s">
        <v>10</v>
      </c>
      <c r="D2751" t="s">
        <v>25</v>
      </c>
      <c r="E2751" t="s">
        <v>12</v>
      </c>
      <c r="F2751" t="s">
        <v>13</v>
      </c>
      <c r="G2751">
        <v>2</v>
      </c>
      <c r="H2751">
        <v>2.5</v>
      </c>
      <c r="I2751" t="s">
        <v>14</v>
      </c>
      <c r="J2751" t="s">
        <v>571</v>
      </c>
      <c r="K2751" s="12">
        <f>Store_Record[[#This Row],[Qty]]*Store_Record[[#This Row],[UnitPriceGBP]]</f>
        <v>5</v>
      </c>
      <c r="L2751" s="5" t="str">
        <f>TEXT(Store_Record[[#This Row],[Date]],"dddd")</f>
        <v>Friday</v>
      </c>
      <c r="M2751" s="5" t="str">
        <f>TEXT(Store_Record[[#This Row],[Date]],"mmmm")</f>
        <v>July</v>
      </c>
      <c r="N2751" s="5">
        <f>YEAR(Store_Record[[#This Row],[Date]])</f>
        <v>2025</v>
      </c>
      <c r="O2751"/>
    </row>
    <row r="2752" spans="1:15" x14ac:dyDescent="0.35">
      <c r="A2752" t="s">
        <v>5999</v>
      </c>
      <c r="B2752" s="2">
        <v>45856</v>
      </c>
      <c r="C2752" t="s">
        <v>20</v>
      </c>
      <c r="D2752" t="s">
        <v>38</v>
      </c>
      <c r="E2752" t="s">
        <v>12</v>
      </c>
      <c r="F2752" t="s">
        <v>13</v>
      </c>
      <c r="G2752">
        <v>2</v>
      </c>
      <c r="H2752">
        <v>2.5</v>
      </c>
      <c r="I2752" t="s">
        <v>14</v>
      </c>
      <c r="J2752" t="s">
        <v>689</v>
      </c>
      <c r="K2752" s="12">
        <f>Store_Record[[#This Row],[Qty]]*Store_Record[[#This Row],[UnitPriceGBP]]</f>
        <v>5</v>
      </c>
      <c r="L2752" s="5" t="str">
        <f>TEXT(Store_Record[[#This Row],[Date]],"dddd")</f>
        <v>Friday</v>
      </c>
      <c r="M2752" s="5" t="str">
        <f>TEXT(Store_Record[[#This Row],[Date]],"mmmm")</f>
        <v>July</v>
      </c>
      <c r="N2752" s="5">
        <f>YEAR(Store_Record[[#This Row],[Date]])</f>
        <v>2025</v>
      </c>
      <c r="O2752"/>
    </row>
    <row r="2753" spans="1:15" x14ac:dyDescent="0.35">
      <c r="A2753" t="s">
        <v>6000</v>
      </c>
      <c r="B2753" s="2">
        <v>45856</v>
      </c>
      <c r="C2753" t="s">
        <v>24</v>
      </c>
      <c r="D2753" t="s">
        <v>38</v>
      </c>
      <c r="E2753" t="s">
        <v>34</v>
      </c>
      <c r="F2753" t="s">
        <v>31</v>
      </c>
      <c r="G2753">
        <v>2</v>
      </c>
      <c r="H2753">
        <v>2.2000000000000002</v>
      </c>
      <c r="I2753" t="s">
        <v>39</v>
      </c>
      <c r="J2753" t="s">
        <v>3282</v>
      </c>
      <c r="K2753" s="12">
        <f>Store_Record[[#This Row],[Qty]]*Store_Record[[#This Row],[UnitPriceGBP]]</f>
        <v>4.4000000000000004</v>
      </c>
      <c r="L2753" s="5" t="str">
        <f>TEXT(Store_Record[[#This Row],[Date]],"dddd")</f>
        <v>Friday</v>
      </c>
      <c r="M2753" s="5" t="str">
        <f>TEXT(Store_Record[[#This Row],[Date]],"mmmm")</f>
        <v>July</v>
      </c>
      <c r="N2753" s="5">
        <f>YEAR(Store_Record[[#This Row],[Date]])</f>
        <v>2025</v>
      </c>
      <c r="O2753"/>
    </row>
    <row r="2754" spans="1:15" x14ac:dyDescent="0.35">
      <c r="A2754" t="s">
        <v>3700</v>
      </c>
      <c r="B2754" s="2">
        <v>45856</v>
      </c>
      <c r="C2754" t="s">
        <v>20</v>
      </c>
      <c r="D2754" t="s">
        <v>29</v>
      </c>
      <c r="E2754" t="s">
        <v>42</v>
      </c>
      <c r="F2754" t="s">
        <v>13</v>
      </c>
      <c r="G2754">
        <v>1</v>
      </c>
      <c r="H2754">
        <v>3.8</v>
      </c>
      <c r="I2754" t="s">
        <v>21</v>
      </c>
      <c r="J2754" t="s">
        <v>632</v>
      </c>
      <c r="K2754" s="12">
        <f>Store_Record[[#This Row],[Qty]]*Store_Record[[#This Row],[UnitPriceGBP]]</f>
        <v>3.8</v>
      </c>
      <c r="L2754" s="5" t="str">
        <f>TEXT(Store_Record[[#This Row],[Date]],"dddd")</f>
        <v>Friday</v>
      </c>
      <c r="M2754" s="5" t="str">
        <f>TEXT(Store_Record[[#This Row],[Date]],"mmmm")</f>
        <v>July</v>
      </c>
      <c r="N2754" s="5">
        <f>YEAR(Store_Record[[#This Row],[Date]])</f>
        <v>2025</v>
      </c>
      <c r="O2754"/>
    </row>
    <row r="2755" spans="1:15" x14ac:dyDescent="0.35">
      <c r="A2755" t="s">
        <v>3699</v>
      </c>
      <c r="B2755" s="2">
        <v>45856</v>
      </c>
      <c r="C2755" t="s">
        <v>36</v>
      </c>
      <c r="D2755" t="s">
        <v>11</v>
      </c>
      <c r="E2755" t="s">
        <v>26</v>
      </c>
      <c r="F2755" t="s">
        <v>13</v>
      </c>
      <c r="G2755">
        <v>1</v>
      </c>
      <c r="H2755">
        <v>3.5</v>
      </c>
      <c r="I2755" t="s">
        <v>39</v>
      </c>
      <c r="J2755" t="s">
        <v>1338</v>
      </c>
      <c r="K2755" s="12">
        <f>Store_Record[[#This Row],[Qty]]*Store_Record[[#This Row],[UnitPriceGBP]]</f>
        <v>3.5</v>
      </c>
      <c r="L2755" s="5" t="str">
        <f>TEXT(Store_Record[[#This Row],[Date]],"dddd")</f>
        <v>Friday</v>
      </c>
      <c r="M2755" s="5" t="str">
        <f>TEXT(Store_Record[[#This Row],[Date]],"mmmm")</f>
        <v>July</v>
      </c>
      <c r="N2755" s="5">
        <f>YEAR(Store_Record[[#This Row],[Date]])</f>
        <v>2025</v>
      </c>
      <c r="O2755"/>
    </row>
    <row r="2756" spans="1:15" x14ac:dyDescent="0.35">
      <c r="A2756" t="s">
        <v>3691</v>
      </c>
      <c r="B2756" s="2">
        <v>45856</v>
      </c>
      <c r="C2756" t="s">
        <v>36</v>
      </c>
      <c r="D2756" t="s">
        <v>38</v>
      </c>
      <c r="E2756" t="s">
        <v>34</v>
      </c>
      <c r="F2756" t="s">
        <v>31</v>
      </c>
      <c r="G2756">
        <v>1</v>
      </c>
      <c r="H2756">
        <v>2.2000000000000002</v>
      </c>
      <c r="I2756" t="s">
        <v>39</v>
      </c>
      <c r="J2756" t="s">
        <v>1036</v>
      </c>
      <c r="K2756" s="12">
        <f>Store_Record[[#This Row],[Qty]]*Store_Record[[#This Row],[UnitPriceGBP]]</f>
        <v>2.2000000000000002</v>
      </c>
      <c r="L2756" s="5" t="str">
        <f>TEXT(Store_Record[[#This Row],[Date]],"dddd")</f>
        <v>Friday</v>
      </c>
      <c r="M2756" s="5" t="str">
        <f>TEXT(Store_Record[[#This Row],[Date]],"mmmm")</f>
        <v>July</v>
      </c>
      <c r="N2756" s="5">
        <f>YEAR(Store_Record[[#This Row],[Date]])</f>
        <v>2025</v>
      </c>
      <c r="O2756"/>
    </row>
    <row r="2757" spans="1:15" x14ac:dyDescent="0.35">
      <c r="A2757" t="s">
        <v>3710</v>
      </c>
      <c r="B2757" s="2">
        <v>45857</v>
      </c>
      <c r="C2757" t="s">
        <v>24</v>
      </c>
      <c r="D2757" t="s">
        <v>25</v>
      </c>
      <c r="E2757" t="s">
        <v>30</v>
      </c>
      <c r="F2757" t="s">
        <v>31</v>
      </c>
      <c r="G2757">
        <v>4</v>
      </c>
      <c r="H2757">
        <v>2.8</v>
      </c>
      <c r="I2757" t="s">
        <v>39</v>
      </c>
      <c r="J2757" t="s">
        <v>1896</v>
      </c>
      <c r="K2757" s="12">
        <f>Store_Record[[#This Row],[Qty]]*Store_Record[[#This Row],[UnitPriceGBP]]</f>
        <v>11.2</v>
      </c>
      <c r="L2757" s="5" t="str">
        <f>TEXT(Store_Record[[#This Row],[Date]],"dddd")</f>
        <v>Saturday</v>
      </c>
      <c r="M2757" s="5" t="str">
        <f>TEXT(Store_Record[[#This Row],[Date]],"mmmm")</f>
        <v>July</v>
      </c>
      <c r="N2757" s="5">
        <f>YEAR(Store_Record[[#This Row],[Date]])</f>
        <v>2025</v>
      </c>
      <c r="O2757"/>
    </row>
    <row r="2758" spans="1:15" x14ac:dyDescent="0.35">
      <c r="A2758" t="s">
        <v>3711</v>
      </c>
      <c r="B2758" s="2">
        <v>45857</v>
      </c>
      <c r="C2758" t="s">
        <v>20</v>
      </c>
      <c r="D2758" t="s">
        <v>11</v>
      </c>
      <c r="E2758" t="s">
        <v>30</v>
      </c>
      <c r="F2758" t="s">
        <v>31</v>
      </c>
      <c r="G2758">
        <v>4</v>
      </c>
      <c r="H2758">
        <v>2.8</v>
      </c>
      <c r="I2758" t="s">
        <v>14</v>
      </c>
      <c r="J2758" t="s">
        <v>2273</v>
      </c>
      <c r="K2758" s="12">
        <f>Store_Record[[#This Row],[Qty]]*Store_Record[[#This Row],[UnitPriceGBP]]</f>
        <v>11.2</v>
      </c>
      <c r="L2758" s="5" t="str">
        <f>TEXT(Store_Record[[#This Row],[Date]],"dddd")</f>
        <v>Saturday</v>
      </c>
      <c r="M2758" s="5" t="str">
        <f>TEXT(Store_Record[[#This Row],[Date]],"mmmm")</f>
        <v>July</v>
      </c>
      <c r="N2758" s="5">
        <f>YEAR(Store_Record[[#This Row],[Date]])</f>
        <v>2025</v>
      </c>
      <c r="O2758"/>
    </row>
    <row r="2759" spans="1:15" x14ac:dyDescent="0.35">
      <c r="A2759" t="s">
        <v>3707</v>
      </c>
      <c r="B2759" s="2">
        <v>45857</v>
      </c>
      <c r="C2759" t="s">
        <v>36</v>
      </c>
      <c r="D2759" t="s">
        <v>25</v>
      </c>
      <c r="E2759" t="s">
        <v>26</v>
      </c>
      <c r="F2759" t="s">
        <v>13</v>
      </c>
      <c r="G2759">
        <v>3</v>
      </c>
      <c r="H2759">
        <v>3.5</v>
      </c>
      <c r="I2759" t="s">
        <v>21</v>
      </c>
      <c r="J2759" t="s">
        <v>3708</v>
      </c>
      <c r="K2759" s="12">
        <f>Store_Record[[#This Row],[Qty]]*Store_Record[[#This Row],[UnitPriceGBP]]</f>
        <v>10.5</v>
      </c>
      <c r="L2759" s="5" t="str">
        <f>TEXT(Store_Record[[#This Row],[Date]],"dddd")</f>
        <v>Saturday</v>
      </c>
      <c r="M2759" s="5" t="str">
        <f>TEXT(Store_Record[[#This Row],[Date]],"mmmm")</f>
        <v>July</v>
      </c>
      <c r="N2759" s="5">
        <f>YEAR(Store_Record[[#This Row],[Date]])</f>
        <v>2025</v>
      </c>
      <c r="O2759"/>
    </row>
    <row r="2760" spans="1:15" x14ac:dyDescent="0.35">
      <c r="A2760" t="s">
        <v>3709</v>
      </c>
      <c r="B2760" s="2">
        <v>45857</v>
      </c>
      <c r="C2760" t="s">
        <v>10</v>
      </c>
      <c r="D2760" t="s">
        <v>29</v>
      </c>
      <c r="E2760" t="s">
        <v>26</v>
      </c>
      <c r="F2760" t="s">
        <v>13</v>
      </c>
      <c r="G2760">
        <v>3</v>
      </c>
      <c r="H2760">
        <v>3.5</v>
      </c>
      <c r="I2760" t="s">
        <v>21</v>
      </c>
      <c r="J2760" t="s">
        <v>1884</v>
      </c>
      <c r="K2760" s="12">
        <f>Store_Record[[#This Row],[Qty]]*Store_Record[[#This Row],[UnitPriceGBP]]</f>
        <v>10.5</v>
      </c>
      <c r="L2760" s="5" t="str">
        <f>TEXT(Store_Record[[#This Row],[Date]],"dddd")</f>
        <v>Saturday</v>
      </c>
      <c r="M2760" s="5" t="str">
        <f>TEXT(Store_Record[[#This Row],[Date]],"mmmm")</f>
        <v>July</v>
      </c>
      <c r="N2760" s="5">
        <f>YEAR(Store_Record[[#This Row],[Date]])</f>
        <v>2025</v>
      </c>
      <c r="O2760"/>
    </row>
    <row r="2761" spans="1:15" x14ac:dyDescent="0.35">
      <c r="A2761" t="s">
        <v>3712</v>
      </c>
      <c r="B2761" s="2">
        <v>45857</v>
      </c>
      <c r="C2761" t="s">
        <v>20</v>
      </c>
      <c r="D2761" t="s">
        <v>25</v>
      </c>
      <c r="E2761" t="s">
        <v>26</v>
      </c>
      <c r="F2761" t="s">
        <v>13</v>
      </c>
      <c r="G2761">
        <v>3</v>
      </c>
      <c r="H2761">
        <v>3.5</v>
      </c>
      <c r="I2761" t="s">
        <v>39</v>
      </c>
      <c r="J2761" t="s">
        <v>445</v>
      </c>
      <c r="K2761" s="12">
        <f>Store_Record[[#This Row],[Qty]]*Store_Record[[#This Row],[UnitPriceGBP]]</f>
        <v>10.5</v>
      </c>
      <c r="L2761" s="5" t="str">
        <f>TEXT(Store_Record[[#This Row],[Date]],"dddd")</f>
        <v>Saturday</v>
      </c>
      <c r="M2761" s="5" t="str">
        <f>TEXT(Store_Record[[#This Row],[Date]],"mmmm")</f>
        <v>July</v>
      </c>
      <c r="N2761" s="5">
        <f>YEAR(Store_Record[[#This Row],[Date]])</f>
        <v>2025</v>
      </c>
      <c r="O2761"/>
    </row>
    <row r="2762" spans="1:15" x14ac:dyDescent="0.35">
      <c r="A2762" t="s">
        <v>3706</v>
      </c>
      <c r="B2762" s="2">
        <v>45857</v>
      </c>
      <c r="C2762" t="s">
        <v>36</v>
      </c>
      <c r="D2762" t="s">
        <v>47</v>
      </c>
      <c r="E2762" t="s">
        <v>34</v>
      </c>
      <c r="F2762" t="s">
        <v>31</v>
      </c>
      <c r="G2762">
        <v>2</v>
      </c>
      <c r="H2762">
        <v>2.2000000000000002</v>
      </c>
      <c r="I2762" t="s">
        <v>14</v>
      </c>
      <c r="J2762" t="s">
        <v>2498</v>
      </c>
      <c r="K2762" s="12">
        <f>Store_Record[[#This Row],[Qty]]*Store_Record[[#This Row],[UnitPriceGBP]]</f>
        <v>4.4000000000000004</v>
      </c>
      <c r="L2762" s="5" t="str">
        <f>TEXT(Store_Record[[#This Row],[Date]],"dddd")</f>
        <v>Saturday</v>
      </c>
      <c r="M2762" s="5" t="str">
        <f>TEXT(Store_Record[[#This Row],[Date]],"mmmm")</f>
        <v>July</v>
      </c>
      <c r="N2762" s="5">
        <f>YEAR(Store_Record[[#This Row],[Date]])</f>
        <v>2025</v>
      </c>
      <c r="O2762"/>
    </row>
    <row r="2763" spans="1:15" x14ac:dyDescent="0.35">
      <c r="A2763" t="s">
        <v>3705</v>
      </c>
      <c r="B2763" s="2">
        <v>45857</v>
      </c>
      <c r="C2763" t="s">
        <v>10</v>
      </c>
      <c r="D2763" t="s">
        <v>29</v>
      </c>
      <c r="E2763" t="s">
        <v>42</v>
      </c>
      <c r="F2763" t="s">
        <v>13</v>
      </c>
      <c r="G2763">
        <v>1</v>
      </c>
      <c r="H2763">
        <v>3.8</v>
      </c>
      <c r="I2763" t="s">
        <v>21</v>
      </c>
      <c r="J2763" t="s">
        <v>2872</v>
      </c>
      <c r="K2763" s="12">
        <f>Store_Record[[#This Row],[Qty]]*Store_Record[[#This Row],[UnitPriceGBP]]</f>
        <v>3.8</v>
      </c>
      <c r="L2763" s="5" t="str">
        <f>TEXT(Store_Record[[#This Row],[Date]],"dddd")</f>
        <v>Saturday</v>
      </c>
      <c r="M2763" s="5" t="str">
        <f>TEXT(Store_Record[[#This Row],[Date]],"mmmm")</f>
        <v>July</v>
      </c>
      <c r="N2763" s="5">
        <f>YEAR(Store_Record[[#This Row],[Date]])</f>
        <v>2025</v>
      </c>
      <c r="O2763"/>
    </row>
    <row r="2764" spans="1:15" x14ac:dyDescent="0.35">
      <c r="A2764" t="s">
        <v>3723</v>
      </c>
      <c r="B2764" s="2">
        <v>45858</v>
      </c>
      <c r="C2764" t="s">
        <v>24</v>
      </c>
      <c r="D2764" t="s">
        <v>29</v>
      </c>
      <c r="E2764" t="s">
        <v>26</v>
      </c>
      <c r="F2764" t="s">
        <v>13</v>
      </c>
      <c r="G2764">
        <v>5</v>
      </c>
      <c r="H2764">
        <v>3.5</v>
      </c>
      <c r="I2764" t="s">
        <v>39</v>
      </c>
      <c r="J2764" t="s">
        <v>1983</v>
      </c>
      <c r="K2764" s="12">
        <f>Store_Record[[#This Row],[Qty]]*Store_Record[[#This Row],[UnitPriceGBP]]</f>
        <v>17.5</v>
      </c>
      <c r="L2764" s="5" t="str">
        <f>TEXT(Store_Record[[#This Row],[Date]],"dddd")</f>
        <v>Sunday</v>
      </c>
      <c r="M2764" s="5" t="str">
        <f>TEXT(Store_Record[[#This Row],[Date]],"mmmm")</f>
        <v>July</v>
      </c>
      <c r="N2764" s="5">
        <f>YEAR(Store_Record[[#This Row],[Date]])</f>
        <v>2025</v>
      </c>
      <c r="O2764"/>
    </row>
    <row r="2765" spans="1:15" x14ac:dyDescent="0.35">
      <c r="A2765" t="s">
        <v>6002</v>
      </c>
      <c r="B2765" s="2">
        <v>45858</v>
      </c>
      <c r="C2765" t="s">
        <v>36</v>
      </c>
      <c r="D2765" t="s">
        <v>47</v>
      </c>
      <c r="E2765" t="s">
        <v>26</v>
      </c>
      <c r="F2765" t="s">
        <v>13</v>
      </c>
      <c r="G2765">
        <v>5</v>
      </c>
      <c r="H2765">
        <v>3.5</v>
      </c>
      <c r="I2765" t="s">
        <v>21</v>
      </c>
      <c r="J2765" t="s">
        <v>941</v>
      </c>
      <c r="K2765" s="12">
        <f>Store_Record[[#This Row],[Qty]]*Store_Record[[#This Row],[UnitPriceGBP]]</f>
        <v>17.5</v>
      </c>
      <c r="L2765" s="5" t="str">
        <f>TEXT(Store_Record[[#This Row],[Date]],"dddd")</f>
        <v>Sunday</v>
      </c>
      <c r="M2765" s="5" t="str">
        <f>TEXT(Store_Record[[#This Row],[Date]],"mmmm")</f>
        <v>July</v>
      </c>
      <c r="N2765" s="5">
        <f>YEAR(Store_Record[[#This Row],[Date]])</f>
        <v>2025</v>
      </c>
      <c r="O2765"/>
    </row>
    <row r="2766" spans="1:15" x14ac:dyDescent="0.35">
      <c r="A2766" t="s">
        <v>3721</v>
      </c>
      <c r="B2766" s="2">
        <v>45858</v>
      </c>
      <c r="C2766" t="s">
        <v>20</v>
      </c>
      <c r="D2766" t="s">
        <v>38</v>
      </c>
      <c r="E2766" t="s">
        <v>42</v>
      </c>
      <c r="F2766" t="s">
        <v>13</v>
      </c>
      <c r="G2766">
        <v>4</v>
      </c>
      <c r="H2766">
        <v>3.8</v>
      </c>
      <c r="I2766" t="s">
        <v>39</v>
      </c>
      <c r="J2766" t="s">
        <v>912</v>
      </c>
      <c r="K2766" s="12">
        <f>Store_Record[[#This Row],[Qty]]*Store_Record[[#This Row],[UnitPriceGBP]]</f>
        <v>15.2</v>
      </c>
      <c r="L2766" s="5" t="str">
        <f>TEXT(Store_Record[[#This Row],[Date]],"dddd")</f>
        <v>Sunday</v>
      </c>
      <c r="M2766" s="5" t="str">
        <f>TEXT(Store_Record[[#This Row],[Date]],"mmmm")</f>
        <v>July</v>
      </c>
      <c r="N2766" s="5">
        <f>YEAR(Store_Record[[#This Row],[Date]])</f>
        <v>2025</v>
      </c>
      <c r="O2766"/>
    </row>
    <row r="2767" spans="1:15" x14ac:dyDescent="0.35">
      <c r="A2767" t="s">
        <v>3715</v>
      </c>
      <c r="B2767" s="2">
        <v>45858</v>
      </c>
      <c r="C2767" t="s">
        <v>10</v>
      </c>
      <c r="D2767" t="s">
        <v>11</v>
      </c>
      <c r="E2767" t="s">
        <v>12</v>
      </c>
      <c r="F2767" t="s">
        <v>13</v>
      </c>
      <c r="G2767">
        <v>5</v>
      </c>
      <c r="H2767">
        <v>2.5</v>
      </c>
      <c r="I2767" t="s">
        <v>14</v>
      </c>
      <c r="J2767" t="s">
        <v>2003</v>
      </c>
      <c r="K2767" s="12">
        <f>Store_Record[[#This Row],[Qty]]*Store_Record[[#This Row],[UnitPriceGBP]]</f>
        <v>12.5</v>
      </c>
      <c r="L2767" s="5" t="str">
        <f>TEXT(Store_Record[[#This Row],[Date]],"dddd")</f>
        <v>Sunday</v>
      </c>
      <c r="M2767" s="5" t="str">
        <f>TEXT(Store_Record[[#This Row],[Date]],"mmmm")</f>
        <v>July</v>
      </c>
      <c r="N2767" s="5">
        <f>YEAR(Store_Record[[#This Row],[Date]])</f>
        <v>2025</v>
      </c>
      <c r="O2767"/>
    </row>
    <row r="2768" spans="1:15" x14ac:dyDescent="0.35">
      <c r="A2768" t="s">
        <v>3713</v>
      </c>
      <c r="B2768" s="2">
        <v>45858</v>
      </c>
      <c r="C2768" t="s">
        <v>24</v>
      </c>
      <c r="D2768" t="s">
        <v>25</v>
      </c>
      <c r="E2768" t="s">
        <v>34</v>
      </c>
      <c r="F2768" t="s">
        <v>31</v>
      </c>
      <c r="G2768">
        <v>4</v>
      </c>
      <c r="H2768">
        <v>2.2000000000000002</v>
      </c>
      <c r="I2768" t="s">
        <v>39</v>
      </c>
      <c r="J2768" t="s">
        <v>1801</v>
      </c>
      <c r="K2768" s="12">
        <f>Store_Record[[#This Row],[Qty]]*Store_Record[[#This Row],[UnitPriceGBP]]</f>
        <v>8.8000000000000007</v>
      </c>
      <c r="L2768" s="5" t="str">
        <f>TEXT(Store_Record[[#This Row],[Date]],"dddd")</f>
        <v>Sunday</v>
      </c>
      <c r="M2768" s="5" t="str">
        <f>TEXT(Store_Record[[#This Row],[Date]],"mmmm")</f>
        <v>July</v>
      </c>
      <c r="N2768" s="5">
        <f>YEAR(Store_Record[[#This Row],[Date]])</f>
        <v>2025</v>
      </c>
      <c r="O2768"/>
    </row>
    <row r="2769" spans="1:15" x14ac:dyDescent="0.35">
      <c r="A2769" t="s">
        <v>3718</v>
      </c>
      <c r="B2769" s="2">
        <v>45858</v>
      </c>
      <c r="C2769" t="s">
        <v>20</v>
      </c>
      <c r="D2769" t="s">
        <v>11</v>
      </c>
      <c r="E2769" t="s">
        <v>12</v>
      </c>
      <c r="F2769" t="s">
        <v>13</v>
      </c>
      <c r="G2769">
        <v>3</v>
      </c>
      <c r="H2769">
        <v>2.5</v>
      </c>
      <c r="I2769" t="s">
        <v>21</v>
      </c>
      <c r="J2769" t="s">
        <v>78</v>
      </c>
      <c r="K2769" s="12">
        <f>Store_Record[[#This Row],[Qty]]*Store_Record[[#This Row],[UnitPriceGBP]]</f>
        <v>7.5</v>
      </c>
      <c r="L2769" s="5" t="str">
        <f>TEXT(Store_Record[[#This Row],[Date]],"dddd")</f>
        <v>Sunday</v>
      </c>
      <c r="M2769" s="5" t="str">
        <f>TEXT(Store_Record[[#This Row],[Date]],"mmmm")</f>
        <v>July</v>
      </c>
      <c r="N2769" s="5">
        <f>YEAR(Store_Record[[#This Row],[Date]])</f>
        <v>2025</v>
      </c>
      <c r="O2769"/>
    </row>
    <row r="2770" spans="1:15" x14ac:dyDescent="0.35">
      <c r="A2770" t="s">
        <v>3714</v>
      </c>
      <c r="B2770" s="2">
        <v>45858</v>
      </c>
      <c r="C2770" t="s">
        <v>10</v>
      </c>
      <c r="D2770" t="s">
        <v>29</v>
      </c>
      <c r="E2770" t="s">
        <v>34</v>
      </c>
      <c r="F2770" t="s">
        <v>31</v>
      </c>
      <c r="G2770">
        <v>3</v>
      </c>
      <c r="H2770">
        <v>2.2000000000000002</v>
      </c>
      <c r="I2770" t="s">
        <v>21</v>
      </c>
      <c r="J2770" t="s">
        <v>3348</v>
      </c>
      <c r="K2770" s="12">
        <f>Store_Record[[#This Row],[Qty]]*Store_Record[[#This Row],[UnitPriceGBP]]</f>
        <v>6.6000000000000005</v>
      </c>
      <c r="L2770" s="5" t="str">
        <f>TEXT(Store_Record[[#This Row],[Date]],"dddd")</f>
        <v>Sunday</v>
      </c>
      <c r="M2770" s="5" t="str">
        <f>TEXT(Store_Record[[#This Row],[Date]],"mmmm")</f>
        <v>July</v>
      </c>
      <c r="N2770" s="5">
        <f>YEAR(Store_Record[[#This Row],[Date]])</f>
        <v>2025</v>
      </c>
      <c r="O2770"/>
    </row>
    <row r="2771" spans="1:15" x14ac:dyDescent="0.35">
      <c r="A2771" t="s">
        <v>3717</v>
      </c>
      <c r="B2771" s="2">
        <v>45858</v>
      </c>
      <c r="C2771" t="s">
        <v>24</v>
      </c>
      <c r="D2771" t="s">
        <v>25</v>
      </c>
      <c r="E2771" t="s">
        <v>30</v>
      </c>
      <c r="F2771" t="s">
        <v>31</v>
      </c>
      <c r="G2771">
        <v>2</v>
      </c>
      <c r="H2771">
        <v>2.8</v>
      </c>
      <c r="I2771" t="s">
        <v>21</v>
      </c>
      <c r="J2771" t="s">
        <v>1985</v>
      </c>
      <c r="K2771" s="12">
        <f>Store_Record[[#This Row],[Qty]]*Store_Record[[#This Row],[UnitPriceGBP]]</f>
        <v>5.6</v>
      </c>
      <c r="L2771" s="5" t="str">
        <f>TEXT(Store_Record[[#This Row],[Date]],"dddd")</f>
        <v>Sunday</v>
      </c>
      <c r="M2771" s="5" t="str">
        <f>TEXT(Store_Record[[#This Row],[Date]],"mmmm")</f>
        <v>July</v>
      </c>
      <c r="N2771" s="5">
        <f>YEAR(Store_Record[[#This Row],[Date]])</f>
        <v>2025</v>
      </c>
      <c r="O2771"/>
    </row>
    <row r="2772" spans="1:15" x14ac:dyDescent="0.35">
      <c r="A2772" t="s">
        <v>3720</v>
      </c>
      <c r="B2772" s="2">
        <v>45858</v>
      </c>
      <c r="C2772" t="s">
        <v>20</v>
      </c>
      <c r="D2772" t="s">
        <v>38</v>
      </c>
      <c r="E2772" t="s">
        <v>30</v>
      </c>
      <c r="F2772" t="s">
        <v>31</v>
      </c>
      <c r="G2772">
        <v>2</v>
      </c>
      <c r="H2772">
        <v>2.8</v>
      </c>
      <c r="I2772" t="s">
        <v>39</v>
      </c>
      <c r="J2772" t="s">
        <v>875</v>
      </c>
      <c r="K2772" s="12">
        <f>Store_Record[[#This Row],[Qty]]*Store_Record[[#This Row],[UnitPriceGBP]]</f>
        <v>5.6</v>
      </c>
      <c r="L2772" s="5" t="str">
        <f>TEXT(Store_Record[[#This Row],[Date]],"dddd")</f>
        <v>Sunday</v>
      </c>
      <c r="M2772" s="5" t="str">
        <f>TEXT(Store_Record[[#This Row],[Date]],"mmmm")</f>
        <v>July</v>
      </c>
      <c r="N2772" s="5">
        <f>YEAR(Store_Record[[#This Row],[Date]])</f>
        <v>2025</v>
      </c>
      <c r="O2772"/>
    </row>
    <row r="2773" spans="1:15" x14ac:dyDescent="0.35">
      <c r="A2773" t="s">
        <v>3716</v>
      </c>
      <c r="B2773" s="2">
        <v>45858</v>
      </c>
      <c r="C2773" t="s">
        <v>20</v>
      </c>
      <c r="D2773" t="s">
        <v>38</v>
      </c>
      <c r="E2773" t="s">
        <v>12</v>
      </c>
      <c r="F2773" t="s">
        <v>13</v>
      </c>
      <c r="G2773">
        <v>2</v>
      </c>
      <c r="H2773">
        <v>2.5</v>
      </c>
      <c r="I2773" t="s">
        <v>39</v>
      </c>
      <c r="J2773" t="s">
        <v>2466</v>
      </c>
      <c r="K2773" s="12">
        <f>Store_Record[[#This Row],[Qty]]*Store_Record[[#This Row],[UnitPriceGBP]]</f>
        <v>5</v>
      </c>
      <c r="L2773" s="5" t="str">
        <f>TEXT(Store_Record[[#This Row],[Date]],"dddd")</f>
        <v>Sunday</v>
      </c>
      <c r="M2773" s="5" t="str">
        <f>TEXT(Store_Record[[#This Row],[Date]],"mmmm")</f>
        <v>July</v>
      </c>
      <c r="N2773" s="5">
        <f>YEAR(Store_Record[[#This Row],[Date]])</f>
        <v>2025</v>
      </c>
      <c r="O2773"/>
    </row>
    <row r="2774" spans="1:15" x14ac:dyDescent="0.35">
      <c r="A2774" t="s">
        <v>3722</v>
      </c>
      <c r="B2774" s="2">
        <v>45858</v>
      </c>
      <c r="C2774" t="s">
        <v>10</v>
      </c>
      <c r="D2774" t="s">
        <v>38</v>
      </c>
      <c r="E2774" t="s">
        <v>26</v>
      </c>
      <c r="F2774" t="s">
        <v>13</v>
      </c>
      <c r="G2774">
        <v>1</v>
      </c>
      <c r="H2774">
        <v>3.5</v>
      </c>
      <c r="I2774" t="s">
        <v>14</v>
      </c>
      <c r="J2774" t="s">
        <v>1025</v>
      </c>
      <c r="K2774" s="12">
        <f>Store_Record[[#This Row],[Qty]]*Store_Record[[#This Row],[UnitPriceGBP]]</f>
        <v>3.5</v>
      </c>
      <c r="L2774" s="5" t="str">
        <f>TEXT(Store_Record[[#This Row],[Date]],"dddd")</f>
        <v>Sunday</v>
      </c>
      <c r="M2774" s="5" t="str">
        <f>TEXT(Store_Record[[#This Row],[Date]],"mmmm")</f>
        <v>July</v>
      </c>
      <c r="N2774" s="5">
        <f>YEAR(Store_Record[[#This Row],[Date]])</f>
        <v>2025</v>
      </c>
      <c r="O2774"/>
    </row>
    <row r="2775" spans="1:15" x14ac:dyDescent="0.35">
      <c r="A2775" t="s">
        <v>3719</v>
      </c>
      <c r="B2775" s="2">
        <v>45858</v>
      </c>
      <c r="C2775" t="s">
        <v>24</v>
      </c>
      <c r="D2775" t="s">
        <v>29</v>
      </c>
      <c r="E2775" t="s">
        <v>34</v>
      </c>
      <c r="F2775" t="s">
        <v>31</v>
      </c>
      <c r="G2775">
        <v>1</v>
      </c>
      <c r="H2775">
        <v>2.2000000000000002</v>
      </c>
      <c r="I2775" t="s">
        <v>14</v>
      </c>
      <c r="J2775" t="s">
        <v>936</v>
      </c>
      <c r="K2775" s="12">
        <f>Store_Record[[#This Row],[Qty]]*Store_Record[[#This Row],[UnitPriceGBP]]</f>
        <v>2.2000000000000002</v>
      </c>
      <c r="L2775" s="5" t="str">
        <f>TEXT(Store_Record[[#This Row],[Date]],"dddd")</f>
        <v>Sunday</v>
      </c>
      <c r="M2775" s="5" t="str">
        <f>TEXT(Store_Record[[#This Row],[Date]],"mmmm")</f>
        <v>July</v>
      </c>
      <c r="N2775" s="5">
        <f>YEAR(Store_Record[[#This Row],[Date]])</f>
        <v>2025</v>
      </c>
      <c r="O2775"/>
    </row>
    <row r="2776" spans="1:15" x14ac:dyDescent="0.35">
      <c r="A2776" t="s">
        <v>3727</v>
      </c>
      <c r="B2776" s="2">
        <v>45859</v>
      </c>
      <c r="C2776" t="s">
        <v>24</v>
      </c>
      <c r="D2776" t="s">
        <v>38</v>
      </c>
      <c r="E2776" t="s">
        <v>42</v>
      </c>
      <c r="F2776" t="s">
        <v>13</v>
      </c>
      <c r="G2776">
        <v>5</v>
      </c>
      <c r="H2776">
        <v>3.8</v>
      </c>
      <c r="I2776" t="s">
        <v>39</v>
      </c>
      <c r="J2776" t="s">
        <v>138</v>
      </c>
      <c r="K2776" s="12">
        <f>Store_Record[[#This Row],[Qty]]*Store_Record[[#This Row],[UnitPriceGBP]]</f>
        <v>19</v>
      </c>
      <c r="L2776" s="5" t="str">
        <f>TEXT(Store_Record[[#This Row],[Date]],"dddd")</f>
        <v>Monday</v>
      </c>
      <c r="M2776" s="5" t="str">
        <f>TEXT(Store_Record[[#This Row],[Date]],"mmmm")</f>
        <v>July</v>
      </c>
      <c r="N2776" s="5">
        <f>YEAR(Store_Record[[#This Row],[Date]])</f>
        <v>2025</v>
      </c>
      <c r="O2776"/>
    </row>
    <row r="2777" spans="1:15" x14ac:dyDescent="0.35">
      <c r="A2777" t="s">
        <v>3733</v>
      </c>
      <c r="B2777" s="2">
        <v>45859</v>
      </c>
      <c r="C2777" t="s">
        <v>20</v>
      </c>
      <c r="D2777" t="s">
        <v>47</v>
      </c>
      <c r="E2777" t="s">
        <v>26</v>
      </c>
      <c r="F2777" t="s">
        <v>13</v>
      </c>
      <c r="G2777">
        <v>5</v>
      </c>
      <c r="H2777">
        <v>3.5</v>
      </c>
      <c r="I2777" t="s">
        <v>39</v>
      </c>
      <c r="J2777" t="s">
        <v>2001</v>
      </c>
      <c r="K2777" s="12">
        <f>Store_Record[[#This Row],[Qty]]*Store_Record[[#This Row],[UnitPriceGBP]]</f>
        <v>17.5</v>
      </c>
      <c r="L2777" s="5" t="str">
        <f>TEXT(Store_Record[[#This Row],[Date]],"dddd")</f>
        <v>Monday</v>
      </c>
      <c r="M2777" s="5" t="str">
        <f>TEXT(Store_Record[[#This Row],[Date]],"mmmm")</f>
        <v>July</v>
      </c>
      <c r="N2777" s="5">
        <f>YEAR(Store_Record[[#This Row],[Date]])</f>
        <v>2025</v>
      </c>
      <c r="O2777"/>
    </row>
    <row r="2778" spans="1:15" x14ac:dyDescent="0.35">
      <c r="A2778" t="s">
        <v>3738</v>
      </c>
      <c r="B2778" s="2">
        <v>45859</v>
      </c>
      <c r="C2778" t="s">
        <v>20</v>
      </c>
      <c r="D2778" t="s">
        <v>29</v>
      </c>
      <c r="E2778" t="s">
        <v>42</v>
      </c>
      <c r="F2778" t="s">
        <v>13</v>
      </c>
      <c r="G2778">
        <v>4</v>
      </c>
      <c r="H2778">
        <v>3.8</v>
      </c>
      <c r="I2778" t="s">
        <v>21</v>
      </c>
      <c r="J2778" t="s">
        <v>1646</v>
      </c>
      <c r="K2778" s="12">
        <f>Store_Record[[#This Row],[Qty]]*Store_Record[[#This Row],[UnitPriceGBP]]</f>
        <v>15.2</v>
      </c>
      <c r="L2778" s="5" t="str">
        <f>TEXT(Store_Record[[#This Row],[Date]],"dddd")</f>
        <v>Monday</v>
      </c>
      <c r="M2778" s="5" t="str">
        <f>TEXT(Store_Record[[#This Row],[Date]],"mmmm")</f>
        <v>July</v>
      </c>
      <c r="N2778" s="5">
        <f>YEAR(Store_Record[[#This Row],[Date]])</f>
        <v>2025</v>
      </c>
      <c r="O2778"/>
    </row>
    <row r="2779" spans="1:15" x14ac:dyDescent="0.35">
      <c r="A2779" t="s">
        <v>3732</v>
      </c>
      <c r="B2779" s="2">
        <v>45859</v>
      </c>
      <c r="C2779" t="s">
        <v>20</v>
      </c>
      <c r="D2779" t="s">
        <v>47</v>
      </c>
      <c r="E2779" t="s">
        <v>42</v>
      </c>
      <c r="F2779" t="s">
        <v>13</v>
      </c>
      <c r="G2779">
        <v>3</v>
      </c>
      <c r="H2779">
        <v>3.8</v>
      </c>
      <c r="I2779" t="s">
        <v>21</v>
      </c>
      <c r="J2779" t="s">
        <v>115</v>
      </c>
      <c r="K2779" s="12">
        <f>Store_Record[[#This Row],[Qty]]*Store_Record[[#This Row],[UnitPriceGBP]]</f>
        <v>11.399999999999999</v>
      </c>
      <c r="L2779" s="5" t="str">
        <f>TEXT(Store_Record[[#This Row],[Date]],"dddd")</f>
        <v>Monday</v>
      </c>
      <c r="M2779" s="5" t="str">
        <f>TEXT(Store_Record[[#This Row],[Date]],"mmmm")</f>
        <v>July</v>
      </c>
      <c r="N2779" s="5">
        <f>YEAR(Store_Record[[#This Row],[Date]])</f>
        <v>2025</v>
      </c>
      <c r="O2779"/>
    </row>
    <row r="2780" spans="1:15" x14ac:dyDescent="0.35">
      <c r="A2780" t="s">
        <v>3736</v>
      </c>
      <c r="B2780" s="2">
        <v>45859</v>
      </c>
      <c r="C2780" t="s">
        <v>24</v>
      </c>
      <c r="D2780" t="s">
        <v>25</v>
      </c>
      <c r="E2780" t="s">
        <v>42</v>
      </c>
      <c r="F2780" t="s">
        <v>13</v>
      </c>
      <c r="G2780">
        <v>3</v>
      </c>
      <c r="H2780">
        <v>3.8</v>
      </c>
      <c r="I2780" t="s">
        <v>39</v>
      </c>
      <c r="J2780" t="s">
        <v>2387</v>
      </c>
      <c r="K2780" s="12">
        <f>Store_Record[[#This Row],[Qty]]*Store_Record[[#This Row],[UnitPriceGBP]]</f>
        <v>11.399999999999999</v>
      </c>
      <c r="L2780" s="5" t="str">
        <f>TEXT(Store_Record[[#This Row],[Date]],"dddd")</f>
        <v>Monday</v>
      </c>
      <c r="M2780" s="5" t="str">
        <f>TEXT(Store_Record[[#This Row],[Date]],"mmmm")</f>
        <v>July</v>
      </c>
      <c r="N2780" s="5">
        <f>YEAR(Store_Record[[#This Row],[Date]])</f>
        <v>2025</v>
      </c>
      <c r="O2780"/>
    </row>
    <row r="2781" spans="1:15" x14ac:dyDescent="0.35">
      <c r="A2781" t="s">
        <v>3724</v>
      </c>
      <c r="B2781" s="2">
        <v>45859</v>
      </c>
      <c r="C2781" t="s">
        <v>20</v>
      </c>
      <c r="D2781" t="s">
        <v>25</v>
      </c>
      <c r="E2781" t="s">
        <v>34</v>
      </c>
      <c r="F2781" t="s">
        <v>31</v>
      </c>
      <c r="G2781">
        <v>5</v>
      </c>
      <c r="H2781">
        <v>2.2000000000000002</v>
      </c>
      <c r="I2781" t="s">
        <v>14</v>
      </c>
      <c r="J2781" t="s">
        <v>400</v>
      </c>
      <c r="K2781" s="12">
        <f>Store_Record[[#This Row],[Qty]]*Store_Record[[#This Row],[UnitPriceGBP]]</f>
        <v>11</v>
      </c>
      <c r="L2781" s="5" t="str">
        <f>TEXT(Store_Record[[#This Row],[Date]],"dddd")</f>
        <v>Monday</v>
      </c>
      <c r="M2781" s="5" t="str">
        <f>TEXT(Store_Record[[#This Row],[Date]],"mmmm")</f>
        <v>July</v>
      </c>
      <c r="N2781" s="5">
        <f>YEAR(Store_Record[[#This Row],[Date]])</f>
        <v>2025</v>
      </c>
      <c r="O2781"/>
    </row>
    <row r="2782" spans="1:15" x14ac:dyDescent="0.35">
      <c r="A2782" t="s">
        <v>3730</v>
      </c>
      <c r="B2782" s="2">
        <v>45859</v>
      </c>
      <c r="C2782" t="s">
        <v>10</v>
      </c>
      <c r="D2782" t="s">
        <v>11</v>
      </c>
      <c r="E2782" t="s">
        <v>34</v>
      </c>
      <c r="F2782" t="s">
        <v>31</v>
      </c>
      <c r="G2782">
        <v>4</v>
      </c>
      <c r="H2782">
        <v>2.2000000000000002</v>
      </c>
      <c r="I2782" t="s">
        <v>14</v>
      </c>
      <c r="J2782" t="s">
        <v>3731</v>
      </c>
      <c r="K2782" s="12">
        <f>Store_Record[[#This Row],[Qty]]*Store_Record[[#This Row],[UnitPriceGBP]]</f>
        <v>8.8000000000000007</v>
      </c>
      <c r="L2782" s="5" t="str">
        <f>TEXT(Store_Record[[#This Row],[Date]],"dddd")</f>
        <v>Monday</v>
      </c>
      <c r="M2782" s="5" t="str">
        <f>TEXT(Store_Record[[#This Row],[Date]],"mmmm")</f>
        <v>July</v>
      </c>
      <c r="N2782" s="5">
        <f>YEAR(Store_Record[[#This Row],[Date]])</f>
        <v>2025</v>
      </c>
      <c r="O2782"/>
    </row>
    <row r="2783" spans="1:15" x14ac:dyDescent="0.35">
      <c r="A2783" t="s">
        <v>3734</v>
      </c>
      <c r="B2783" s="2">
        <v>45859</v>
      </c>
      <c r="C2783" t="s">
        <v>20</v>
      </c>
      <c r="D2783" t="s">
        <v>38</v>
      </c>
      <c r="E2783" t="s">
        <v>30</v>
      </c>
      <c r="F2783" t="s">
        <v>31</v>
      </c>
      <c r="G2783">
        <v>3</v>
      </c>
      <c r="H2783">
        <v>2.8</v>
      </c>
      <c r="I2783" t="s">
        <v>21</v>
      </c>
      <c r="J2783" t="s">
        <v>3735</v>
      </c>
      <c r="K2783" s="12">
        <f>Store_Record[[#This Row],[Qty]]*Store_Record[[#This Row],[UnitPriceGBP]]</f>
        <v>8.3999999999999986</v>
      </c>
      <c r="L2783" s="5" t="str">
        <f>TEXT(Store_Record[[#This Row],[Date]],"dddd")</f>
        <v>Monday</v>
      </c>
      <c r="M2783" s="5" t="str">
        <f>TEXT(Store_Record[[#This Row],[Date]],"mmmm")</f>
        <v>July</v>
      </c>
      <c r="N2783" s="5">
        <f>YEAR(Store_Record[[#This Row],[Date]])</f>
        <v>2025</v>
      </c>
      <c r="O2783"/>
    </row>
    <row r="2784" spans="1:15" x14ac:dyDescent="0.35">
      <c r="A2784" t="s">
        <v>3725</v>
      </c>
      <c r="B2784" s="2">
        <v>45859</v>
      </c>
      <c r="C2784" t="s">
        <v>10</v>
      </c>
      <c r="D2784" t="s">
        <v>25</v>
      </c>
      <c r="E2784" t="s">
        <v>12</v>
      </c>
      <c r="F2784" t="s">
        <v>13</v>
      </c>
      <c r="G2784">
        <v>3</v>
      </c>
      <c r="H2784">
        <v>2.5</v>
      </c>
      <c r="I2784" t="s">
        <v>39</v>
      </c>
      <c r="J2784" t="s">
        <v>495</v>
      </c>
      <c r="K2784" s="12">
        <f>Store_Record[[#This Row],[Qty]]*Store_Record[[#This Row],[UnitPriceGBP]]</f>
        <v>7.5</v>
      </c>
      <c r="L2784" s="5" t="str">
        <f>TEXT(Store_Record[[#This Row],[Date]],"dddd")</f>
        <v>Monday</v>
      </c>
      <c r="M2784" s="5" t="str">
        <f>TEXT(Store_Record[[#This Row],[Date]],"mmmm")</f>
        <v>July</v>
      </c>
      <c r="N2784" s="5">
        <f>YEAR(Store_Record[[#This Row],[Date]])</f>
        <v>2025</v>
      </c>
      <c r="O2784"/>
    </row>
    <row r="2785" spans="1:15" x14ac:dyDescent="0.35">
      <c r="A2785" t="s">
        <v>3729</v>
      </c>
      <c r="B2785" s="2">
        <v>45859</v>
      </c>
      <c r="C2785" t="s">
        <v>24</v>
      </c>
      <c r="D2785" t="s">
        <v>47</v>
      </c>
      <c r="E2785" t="s">
        <v>12</v>
      </c>
      <c r="F2785" t="s">
        <v>13</v>
      </c>
      <c r="G2785">
        <v>3</v>
      </c>
      <c r="H2785">
        <v>2.5</v>
      </c>
      <c r="I2785" t="s">
        <v>39</v>
      </c>
      <c r="J2785" t="s">
        <v>799</v>
      </c>
      <c r="K2785" s="12">
        <f>Store_Record[[#This Row],[Qty]]*Store_Record[[#This Row],[UnitPriceGBP]]</f>
        <v>7.5</v>
      </c>
      <c r="L2785" s="5" t="str">
        <f>TEXT(Store_Record[[#This Row],[Date]],"dddd")</f>
        <v>Monday</v>
      </c>
      <c r="M2785" s="5" t="str">
        <f>TEXT(Store_Record[[#This Row],[Date]],"mmmm")</f>
        <v>July</v>
      </c>
      <c r="N2785" s="5">
        <f>YEAR(Store_Record[[#This Row],[Date]])</f>
        <v>2025</v>
      </c>
      <c r="O2785"/>
    </row>
    <row r="2786" spans="1:15" x14ac:dyDescent="0.35">
      <c r="A2786" t="s">
        <v>3726</v>
      </c>
      <c r="B2786" s="2">
        <v>45859</v>
      </c>
      <c r="C2786" t="s">
        <v>24</v>
      </c>
      <c r="D2786" t="s">
        <v>25</v>
      </c>
      <c r="E2786" t="s">
        <v>26</v>
      </c>
      <c r="F2786" t="s">
        <v>13</v>
      </c>
      <c r="G2786">
        <v>2</v>
      </c>
      <c r="H2786">
        <v>3.5</v>
      </c>
      <c r="I2786" t="s">
        <v>14</v>
      </c>
      <c r="J2786" t="s">
        <v>1156</v>
      </c>
      <c r="K2786" s="12">
        <f>Store_Record[[#This Row],[Qty]]*Store_Record[[#This Row],[UnitPriceGBP]]</f>
        <v>7</v>
      </c>
      <c r="L2786" s="5" t="str">
        <f>TEXT(Store_Record[[#This Row],[Date]],"dddd")</f>
        <v>Monday</v>
      </c>
      <c r="M2786" s="5" t="str">
        <f>TEXT(Store_Record[[#This Row],[Date]],"mmmm")</f>
        <v>July</v>
      </c>
      <c r="N2786" s="5">
        <f>YEAR(Store_Record[[#This Row],[Date]])</f>
        <v>2025</v>
      </c>
      <c r="O2786"/>
    </row>
    <row r="2787" spans="1:15" x14ac:dyDescent="0.35">
      <c r="A2787" t="s">
        <v>3740</v>
      </c>
      <c r="B2787" s="2">
        <v>45859</v>
      </c>
      <c r="C2787" t="s">
        <v>24</v>
      </c>
      <c r="D2787" t="s">
        <v>29</v>
      </c>
      <c r="E2787" t="s">
        <v>26</v>
      </c>
      <c r="F2787" t="s">
        <v>13</v>
      </c>
      <c r="G2787">
        <v>2</v>
      </c>
      <c r="H2787">
        <v>3.5</v>
      </c>
      <c r="I2787" t="s">
        <v>21</v>
      </c>
      <c r="J2787" t="s">
        <v>125</v>
      </c>
      <c r="K2787" s="12">
        <f>Store_Record[[#This Row],[Qty]]*Store_Record[[#This Row],[UnitPriceGBP]]</f>
        <v>7</v>
      </c>
      <c r="L2787" s="5" t="str">
        <f>TEXT(Store_Record[[#This Row],[Date]],"dddd")</f>
        <v>Monday</v>
      </c>
      <c r="M2787" s="5" t="str">
        <f>TEXT(Store_Record[[#This Row],[Date]],"mmmm")</f>
        <v>July</v>
      </c>
      <c r="N2787" s="5">
        <f>YEAR(Store_Record[[#This Row],[Date]])</f>
        <v>2025</v>
      </c>
      <c r="O2787"/>
    </row>
    <row r="2788" spans="1:15" x14ac:dyDescent="0.35">
      <c r="A2788" t="s">
        <v>3739</v>
      </c>
      <c r="B2788" s="2">
        <v>45859</v>
      </c>
      <c r="C2788" t="s">
        <v>10</v>
      </c>
      <c r="D2788" t="s">
        <v>47</v>
      </c>
      <c r="E2788" t="s">
        <v>42</v>
      </c>
      <c r="F2788" t="s">
        <v>13</v>
      </c>
      <c r="G2788">
        <v>1</v>
      </c>
      <c r="H2788">
        <v>3.8</v>
      </c>
      <c r="I2788" t="s">
        <v>39</v>
      </c>
      <c r="J2788" t="s">
        <v>1553</v>
      </c>
      <c r="K2788" s="12">
        <f>Store_Record[[#This Row],[Qty]]*Store_Record[[#This Row],[UnitPriceGBP]]</f>
        <v>3.8</v>
      </c>
      <c r="L2788" s="5" t="str">
        <f>TEXT(Store_Record[[#This Row],[Date]],"dddd")</f>
        <v>Monday</v>
      </c>
      <c r="M2788" s="5" t="str">
        <f>TEXT(Store_Record[[#This Row],[Date]],"mmmm")</f>
        <v>July</v>
      </c>
      <c r="N2788" s="5">
        <f>YEAR(Store_Record[[#This Row],[Date]])</f>
        <v>2025</v>
      </c>
      <c r="O2788"/>
    </row>
    <row r="2789" spans="1:15" x14ac:dyDescent="0.35">
      <c r="A2789" t="s">
        <v>3728</v>
      </c>
      <c r="B2789" s="2">
        <v>45859</v>
      </c>
      <c r="C2789" t="s">
        <v>20</v>
      </c>
      <c r="D2789" t="s">
        <v>11</v>
      </c>
      <c r="E2789" t="s">
        <v>26</v>
      </c>
      <c r="F2789" t="s">
        <v>13</v>
      </c>
      <c r="G2789">
        <v>1</v>
      </c>
      <c r="H2789">
        <v>3.5</v>
      </c>
      <c r="I2789" t="s">
        <v>14</v>
      </c>
      <c r="J2789" t="s">
        <v>1233</v>
      </c>
      <c r="K2789" s="12">
        <f>Store_Record[[#This Row],[Qty]]*Store_Record[[#This Row],[UnitPriceGBP]]</f>
        <v>3.5</v>
      </c>
      <c r="L2789" s="5" t="str">
        <f>TEXT(Store_Record[[#This Row],[Date]],"dddd")</f>
        <v>Monday</v>
      </c>
      <c r="M2789" s="5" t="str">
        <f>TEXT(Store_Record[[#This Row],[Date]],"mmmm")</f>
        <v>July</v>
      </c>
      <c r="N2789" s="5">
        <f>YEAR(Store_Record[[#This Row],[Date]])</f>
        <v>2025</v>
      </c>
      <c r="O2789"/>
    </row>
    <row r="2790" spans="1:15" x14ac:dyDescent="0.35">
      <c r="A2790" t="s">
        <v>3737</v>
      </c>
      <c r="B2790" s="2">
        <v>45859</v>
      </c>
      <c r="C2790" t="s">
        <v>36</v>
      </c>
      <c r="D2790" t="s">
        <v>11</v>
      </c>
      <c r="E2790" t="s">
        <v>34</v>
      </c>
      <c r="F2790" t="s">
        <v>31</v>
      </c>
      <c r="G2790">
        <v>1</v>
      </c>
      <c r="H2790">
        <v>2.2000000000000002</v>
      </c>
      <c r="I2790" t="s">
        <v>39</v>
      </c>
      <c r="J2790" t="s">
        <v>1833</v>
      </c>
      <c r="K2790" s="12">
        <f>Store_Record[[#This Row],[Qty]]*Store_Record[[#This Row],[UnitPriceGBP]]</f>
        <v>2.2000000000000002</v>
      </c>
      <c r="L2790" s="5" t="str">
        <f>TEXT(Store_Record[[#This Row],[Date]],"dddd")</f>
        <v>Monday</v>
      </c>
      <c r="M2790" s="5" t="str">
        <f>TEXT(Store_Record[[#This Row],[Date]],"mmmm")</f>
        <v>July</v>
      </c>
      <c r="N2790" s="5">
        <f>YEAR(Store_Record[[#This Row],[Date]])</f>
        <v>2025</v>
      </c>
      <c r="O2790"/>
    </row>
    <row r="2791" spans="1:15" x14ac:dyDescent="0.35">
      <c r="A2791" t="s">
        <v>3745</v>
      </c>
      <c r="B2791" s="2">
        <v>45860</v>
      </c>
      <c r="C2791" t="s">
        <v>20</v>
      </c>
      <c r="D2791" t="s">
        <v>47</v>
      </c>
      <c r="E2791" t="s">
        <v>42</v>
      </c>
      <c r="F2791" t="s">
        <v>13</v>
      </c>
      <c r="G2791">
        <v>5</v>
      </c>
      <c r="H2791">
        <v>3.8</v>
      </c>
      <c r="I2791" t="s">
        <v>39</v>
      </c>
      <c r="J2791" t="s">
        <v>2407</v>
      </c>
      <c r="K2791" s="12">
        <f>Store_Record[[#This Row],[Qty]]*Store_Record[[#This Row],[UnitPriceGBP]]</f>
        <v>19</v>
      </c>
      <c r="L2791" s="5" t="str">
        <f>TEXT(Store_Record[[#This Row],[Date]],"dddd")</f>
        <v>Tuesday</v>
      </c>
      <c r="M2791" s="5" t="str">
        <f>TEXT(Store_Record[[#This Row],[Date]],"mmmm")</f>
        <v>July</v>
      </c>
      <c r="N2791" s="5">
        <f>YEAR(Store_Record[[#This Row],[Date]])</f>
        <v>2025</v>
      </c>
      <c r="O2791"/>
    </row>
    <row r="2792" spans="1:15" x14ac:dyDescent="0.35">
      <c r="A2792" t="s">
        <v>3746</v>
      </c>
      <c r="B2792" s="2">
        <v>45860</v>
      </c>
      <c r="C2792" t="s">
        <v>10</v>
      </c>
      <c r="D2792" t="s">
        <v>38</v>
      </c>
      <c r="E2792" t="s">
        <v>42</v>
      </c>
      <c r="F2792" t="s">
        <v>13</v>
      </c>
      <c r="G2792">
        <v>4</v>
      </c>
      <c r="H2792">
        <v>3.8</v>
      </c>
      <c r="I2792" t="s">
        <v>21</v>
      </c>
      <c r="J2792" t="s">
        <v>992</v>
      </c>
      <c r="K2792" s="12">
        <f>Store_Record[[#This Row],[Qty]]*Store_Record[[#This Row],[UnitPriceGBP]]</f>
        <v>15.2</v>
      </c>
      <c r="L2792" s="5" t="str">
        <f>TEXT(Store_Record[[#This Row],[Date]],"dddd")</f>
        <v>Tuesday</v>
      </c>
      <c r="M2792" s="5" t="str">
        <f>TEXT(Store_Record[[#This Row],[Date]],"mmmm")</f>
        <v>July</v>
      </c>
      <c r="N2792" s="5">
        <f>YEAR(Store_Record[[#This Row],[Date]])</f>
        <v>2025</v>
      </c>
      <c r="O2792"/>
    </row>
    <row r="2793" spans="1:15" x14ac:dyDescent="0.35">
      <c r="A2793" t="s">
        <v>3747</v>
      </c>
      <c r="B2793" s="2">
        <v>45860</v>
      </c>
      <c r="C2793" t="s">
        <v>36</v>
      </c>
      <c r="D2793" t="s">
        <v>11</v>
      </c>
      <c r="E2793" t="s">
        <v>42</v>
      </c>
      <c r="F2793" t="s">
        <v>13</v>
      </c>
      <c r="G2793">
        <v>4</v>
      </c>
      <c r="H2793">
        <v>3.8</v>
      </c>
      <c r="I2793" t="s">
        <v>39</v>
      </c>
      <c r="J2793" t="s">
        <v>362</v>
      </c>
      <c r="K2793" s="12">
        <f>Store_Record[[#This Row],[Qty]]*Store_Record[[#This Row],[UnitPriceGBP]]</f>
        <v>15.2</v>
      </c>
      <c r="L2793" s="5" t="str">
        <f>TEXT(Store_Record[[#This Row],[Date]],"dddd")</f>
        <v>Tuesday</v>
      </c>
      <c r="M2793" s="5" t="str">
        <f>TEXT(Store_Record[[#This Row],[Date]],"mmmm")</f>
        <v>July</v>
      </c>
      <c r="N2793" s="5">
        <f>YEAR(Store_Record[[#This Row],[Date]])</f>
        <v>2025</v>
      </c>
      <c r="O2793"/>
    </row>
    <row r="2794" spans="1:15" x14ac:dyDescent="0.35">
      <c r="A2794" t="s">
        <v>3751</v>
      </c>
      <c r="B2794" s="2">
        <v>45860</v>
      </c>
      <c r="C2794" t="s">
        <v>20</v>
      </c>
      <c r="D2794" t="s">
        <v>29</v>
      </c>
      <c r="E2794" t="s">
        <v>12</v>
      </c>
      <c r="F2794" t="s">
        <v>13</v>
      </c>
      <c r="G2794">
        <v>5</v>
      </c>
      <c r="H2794">
        <v>2.5</v>
      </c>
      <c r="I2794" t="s">
        <v>39</v>
      </c>
      <c r="J2794" t="s">
        <v>115</v>
      </c>
      <c r="K2794" s="12">
        <f>Store_Record[[#This Row],[Qty]]*Store_Record[[#This Row],[UnitPriceGBP]]</f>
        <v>12.5</v>
      </c>
      <c r="L2794" s="5" t="str">
        <f>TEXT(Store_Record[[#This Row],[Date]],"dddd")</f>
        <v>Tuesday</v>
      </c>
      <c r="M2794" s="5" t="str">
        <f>TEXT(Store_Record[[#This Row],[Date]],"mmmm")</f>
        <v>July</v>
      </c>
      <c r="N2794" s="5">
        <f>YEAR(Store_Record[[#This Row],[Date]])</f>
        <v>2025</v>
      </c>
      <c r="O2794"/>
    </row>
    <row r="2795" spans="1:15" x14ac:dyDescent="0.35">
      <c r="A2795" t="s">
        <v>3742</v>
      </c>
      <c r="B2795" s="2">
        <v>45860</v>
      </c>
      <c r="C2795" t="s">
        <v>24</v>
      </c>
      <c r="D2795" t="s">
        <v>38</v>
      </c>
      <c r="E2795" t="s">
        <v>42</v>
      </c>
      <c r="F2795" t="s">
        <v>13</v>
      </c>
      <c r="G2795">
        <v>3</v>
      </c>
      <c r="H2795">
        <v>3.8</v>
      </c>
      <c r="I2795" t="s">
        <v>39</v>
      </c>
      <c r="J2795" t="s">
        <v>289</v>
      </c>
      <c r="K2795" s="12">
        <f>Store_Record[[#This Row],[Qty]]*Store_Record[[#This Row],[UnitPriceGBP]]</f>
        <v>11.399999999999999</v>
      </c>
      <c r="L2795" s="5" t="str">
        <f>TEXT(Store_Record[[#This Row],[Date]],"dddd")</f>
        <v>Tuesday</v>
      </c>
      <c r="M2795" s="5" t="str">
        <f>TEXT(Store_Record[[#This Row],[Date]],"mmmm")</f>
        <v>July</v>
      </c>
      <c r="N2795" s="5">
        <f>YEAR(Store_Record[[#This Row],[Date]])</f>
        <v>2025</v>
      </c>
      <c r="O2795"/>
    </row>
    <row r="2796" spans="1:15" x14ac:dyDescent="0.35">
      <c r="A2796" t="s">
        <v>3744</v>
      </c>
      <c r="B2796" s="2">
        <v>45860</v>
      </c>
      <c r="C2796" t="s">
        <v>36</v>
      </c>
      <c r="D2796" t="s">
        <v>38</v>
      </c>
      <c r="E2796" t="s">
        <v>30</v>
      </c>
      <c r="F2796" t="s">
        <v>31</v>
      </c>
      <c r="G2796">
        <v>4</v>
      </c>
      <c r="H2796">
        <v>2.8</v>
      </c>
      <c r="I2796" t="s">
        <v>14</v>
      </c>
      <c r="J2796" t="s">
        <v>1073</v>
      </c>
      <c r="K2796" s="12">
        <f>Store_Record[[#This Row],[Qty]]*Store_Record[[#This Row],[UnitPriceGBP]]</f>
        <v>11.2</v>
      </c>
      <c r="L2796" s="5" t="str">
        <f>TEXT(Store_Record[[#This Row],[Date]],"dddd")</f>
        <v>Tuesday</v>
      </c>
      <c r="M2796" s="5" t="str">
        <f>TEXT(Store_Record[[#This Row],[Date]],"mmmm")</f>
        <v>July</v>
      </c>
      <c r="N2796" s="5">
        <f>YEAR(Store_Record[[#This Row],[Date]])</f>
        <v>2025</v>
      </c>
      <c r="O2796"/>
    </row>
    <row r="2797" spans="1:15" x14ac:dyDescent="0.35">
      <c r="A2797" t="s">
        <v>3750</v>
      </c>
      <c r="B2797" s="2">
        <v>45860</v>
      </c>
      <c r="C2797" t="s">
        <v>36</v>
      </c>
      <c r="D2797" t="s">
        <v>38</v>
      </c>
      <c r="E2797" t="s">
        <v>26</v>
      </c>
      <c r="F2797" t="s">
        <v>13</v>
      </c>
      <c r="G2797">
        <v>3</v>
      </c>
      <c r="H2797">
        <v>3.5</v>
      </c>
      <c r="I2797" t="s">
        <v>21</v>
      </c>
      <c r="J2797" t="s">
        <v>881</v>
      </c>
      <c r="K2797" s="12">
        <f>Store_Record[[#This Row],[Qty]]*Store_Record[[#This Row],[UnitPriceGBP]]</f>
        <v>10.5</v>
      </c>
      <c r="L2797" s="5" t="str">
        <f>TEXT(Store_Record[[#This Row],[Date]],"dddd")</f>
        <v>Tuesday</v>
      </c>
      <c r="M2797" s="5" t="str">
        <f>TEXT(Store_Record[[#This Row],[Date]],"mmmm")</f>
        <v>July</v>
      </c>
      <c r="N2797" s="5">
        <f>YEAR(Store_Record[[#This Row],[Date]])</f>
        <v>2025</v>
      </c>
      <c r="O2797"/>
    </row>
    <row r="2798" spans="1:15" x14ac:dyDescent="0.35">
      <c r="A2798" t="s">
        <v>3741</v>
      </c>
      <c r="B2798" s="2">
        <v>45860</v>
      </c>
      <c r="C2798" t="s">
        <v>24</v>
      </c>
      <c r="D2798" t="s">
        <v>11</v>
      </c>
      <c r="E2798" t="s">
        <v>30</v>
      </c>
      <c r="F2798" t="s">
        <v>31</v>
      </c>
      <c r="G2798">
        <v>3</v>
      </c>
      <c r="H2798">
        <v>2.8</v>
      </c>
      <c r="I2798" t="s">
        <v>21</v>
      </c>
      <c r="J2798" t="s">
        <v>547</v>
      </c>
      <c r="K2798" s="12">
        <f>Store_Record[[#This Row],[Qty]]*Store_Record[[#This Row],[UnitPriceGBP]]</f>
        <v>8.3999999999999986</v>
      </c>
      <c r="L2798" s="5" t="str">
        <f>TEXT(Store_Record[[#This Row],[Date]],"dddd")</f>
        <v>Tuesday</v>
      </c>
      <c r="M2798" s="5" t="str">
        <f>TEXT(Store_Record[[#This Row],[Date]],"mmmm")</f>
        <v>July</v>
      </c>
      <c r="N2798" s="5">
        <f>YEAR(Store_Record[[#This Row],[Date]])</f>
        <v>2025</v>
      </c>
      <c r="O2798"/>
    </row>
    <row r="2799" spans="1:15" x14ac:dyDescent="0.35">
      <c r="A2799" t="s">
        <v>3749</v>
      </c>
      <c r="B2799" s="2">
        <v>45860</v>
      </c>
      <c r="C2799" t="s">
        <v>10</v>
      </c>
      <c r="D2799" t="s">
        <v>11</v>
      </c>
      <c r="E2799" t="s">
        <v>34</v>
      </c>
      <c r="F2799" t="s">
        <v>31</v>
      </c>
      <c r="G2799">
        <v>2</v>
      </c>
      <c r="H2799">
        <v>2.2000000000000002</v>
      </c>
      <c r="I2799" t="s">
        <v>14</v>
      </c>
      <c r="J2799" t="s">
        <v>157</v>
      </c>
      <c r="K2799" s="12">
        <f>Store_Record[[#This Row],[Qty]]*Store_Record[[#This Row],[UnitPriceGBP]]</f>
        <v>4.4000000000000004</v>
      </c>
      <c r="L2799" s="5" t="str">
        <f>TEXT(Store_Record[[#This Row],[Date]],"dddd")</f>
        <v>Tuesday</v>
      </c>
      <c r="M2799" s="5" t="str">
        <f>TEXT(Store_Record[[#This Row],[Date]],"mmmm")</f>
        <v>July</v>
      </c>
      <c r="N2799" s="5">
        <f>YEAR(Store_Record[[#This Row],[Date]])</f>
        <v>2025</v>
      </c>
      <c r="O2799"/>
    </row>
    <row r="2800" spans="1:15" x14ac:dyDescent="0.35">
      <c r="A2800" t="s">
        <v>3743</v>
      </c>
      <c r="B2800" s="2">
        <v>45860</v>
      </c>
      <c r="C2800" t="s">
        <v>36</v>
      </c>
      <c r="D2800" t="s">
        <v>47</v>
      </c>
      <c r="E2800" t="s">
        <v>34</v>
      </c>
      <c r="F2800" t="s">
        <v>31</v>
      </c>
      <c r="G2800">
        <v>1</v>
      </c>
      <c r="H2800">
        <v>2.2000000000000002</v>
      </c>
      <c r="I2800" t="s">
        <v>21</v>
      </c>
      <c r="J2800" t="s">
        <v>3114</v>
      </c>
      <c r="K2800" s="12">
        <f>Store_Record[[#This Row],[Qty]]*Store_Record[[#This Row],[UnitPriceGBP]]</f>
        <v>2.2000000000000002</v>
      </c>
      <c r="L2800" s="5" t="str">
        <f>TEXT(Store_Record[[#This Row],[Date]],"dddd")</f>
        <v>Tuesday</v>
      </c>
      <c r="M2800" s="5" t="str">
        <f>TEXT(Store_Record[[#This Row],[Date]],"mmmm")</f>
        <v>July</v>
      </c>
      <c r="N2800" s="5">
        <f>YEAR(Store_Record[[#This Row],[Date]])</f>
        <v>2025</v>
      </c>
      <c r="O2800"/>
    </row>
    <row r="2801" spans="1:15" x14ac:dyDescent="0.35">
      <c r="A2801" t="s">
        <v>3748</v>
      </c>
      <c r="B2801" s="2">
        <v>45860</v>
      </c>
      <c r="C2801" t="s">
        <v>10</v>
      </c>
      <c r="D2801" t="s">
        <v>47</v>
      </c>
      <c r="E2801" t="s">
        <v>34</v>
      </c>
      <c r="F2801" t="s">
        <v>31</v>
      </c>
      <c r="G2801">
        <v>1</v>
      </c>
      <c r="H2801">
        <v>2.2000000000000002</v>
      </c>
      <c r="I2801" t="s">
        <v>39</v>
      </c>
      <c r="J2801" t="s">
        <v>1254</v>
      </c>
      <c r="K2801" s="12">
        <f>Store_Record[[#This Row],[Qty]]*Store_Record[[#This Row],[UnitPriceGBP]]</f>
        <v>2.2000000000000002</v>
      </c>
      <c r="L2801" s="5" t="str">
        <f>TEXT(Store_Record[[#This Row],[Date]],"dddd")</f>
        <v>Tuesday</v>
      </c>
      <c r="M2801" s="5" t="str">
        <f>TEXT(Store_Record[[#This Row],[Date]],"mmmm")</f>
        <v>July</v>
      </c>
      <c r="N2801" s="5">
        <f>YEAR(Store_Record[[#This Row],[Date]])</f>
        <v>2025</v>
      </c>
      <c r="O2801"/>
    </row>
    <row r="2802" spans="1:15" x14ac:dyDescent="0.35">
      <c r="A2802" t="s">
        <v>3758</v>
      </c>
      <c r="B2802" s="2">
        <v>45861</v>
      </c>
      <c r="C2802" t="s">
        <v>24</v>
      </c>
      <c r="D2802" t="s">
        <v>29</v>
      </c>
      <c r="E2802" t="s">
        <v>26</v>
      </c>
      <c r="F2802" t="s">
        <v>13</v>
      </c>
      <c r="G2802">
        <v>5</v>
      </c>
      <c r="H2802">
        <v>3.5</v>
      </c>
      <c r="I2802" t="s">
        <v>14</v>
      </c>
      <c r="J2802" t="s">
        <v>3759</v>
      </c>
      <c r="K2802" s="12">
        <f>Store_Record[[#This Row],[Qty]]*Store_Record[[#This Row],[UnitPriceGBP]]</f>
        <v>17.5</v>
      </c>
      <c r="L2802" s="5" t="str">
        <f>TEXT(Store_Record[[#This Row],[Date]],"dddd")</f>
        <v>Wednesday</v>
      </c>
      <c r="M2802" s="5" t="str">
        <f>TEXT(Store_Record[[#This Row],[Date]],"mmmm")</f>
        <v>July</v>
      </c>
      <c r="N2802" s="5">
        <f>YEAR(Store_Record[[#This Row],[Date]])</f>
        <v>2025</v>
      </c>
      <c r="O2802"/>
    </row>
    <row r="2803" spans="1:15" x14ac:dyDescent="0.35">
      <c r="A2803" t="s">
        <v>3754</v>
      </c>
      <c r="B2803" s="2">
        <v>45861</v>
      </c>
      <c r="C2803" t="s">
        <v>24</v>
      </c>
      <c r="D2803" t="s">
        <v>47</v>
      </c>
      <c r="E2803" t="s">
        <v>42</v>
      </c>
      <c r="F2803" t="s">
        <v>13</v>
      </c>
      <c r="G2803">
        <v>4</v>
      </c>
      <c r="H2803">
        <v>3.8</v>
      </c>
      <c r="I2803" t="s">
        <v>39</v>
      </c>
      <c r="J2803" t="s">
        <v>1447</v>
      </c>
      <c r="K2803" s="12">
        <f>Store_Record[[#This Row],[Qty]]*Store_Record[[#This Row],[UnitPriceGBP]]</f>
        <v>15.2</v>
      </c>
      <c r="L2803" s="5" t="str">
        <f>TEXT(Store_Record[[#This Row],[Date]],"dddd")</f>
        <v>Wednesday</v>
      </c>
      <c r="M2803" s="5" t="str">
        <f>TEXT(Store_Record[[#This Row],[Date]],"mmmm")</f>
        <v>July</v>
      </c>
      <c r="N2803" s="5">
        <f>YEAR(Store_Record[[#This Row],[Date]])</f>
        <v>2025</v>
      </c>
      <c r="O2803"/>
    </row>
    <row r="2804" spans="1:15" x14ac:dyDescent="0.35">
      <c r="A2804" t="s">
        <v>3765</v>
      </c>
      <c r="B2804" s="2">
        <v>45861</v>
      </c>
      <c r="C2804" t="s">
        <v>36</v>
      </c>
      <c r="D2804" t="s">
        <v>25</v>
      </c>
      <c r="E2804" t="s">
        <v>34</v>
      </c>
      <c r="F2804" t="s">
        <v>31</v>
      </c>
      <c r="G2804">
        <v>5</v>
      </c>
      <c r="H2804">
        <v>2.2000000000000002</v>
      </c>
      <c r="I2804" t="s">
        <v>21</v>
      </c>
      <c r="J2804" t="s">
        <v>1428</v>
      </c>
      <c r="K2804" s="12">
        <f>Store_Record[[#This Row],[Qty]]*Store_Record[[#This Row],[UnitPriceGBP]]</f>
        <v>11</v>
      </c>
      <c r="L2804" s="5" t="str">
        <f>TEXT(Store_Record[[#This Row],[Date]],"dddd")</f>
        <v>Wednesday</v>
      </c>
      <c r="M2804" s="5" t="str">
        <f>TEXT(Store_Record[[#This Row],[Date]],"mmmm")</f>
        <v>July</v>
      </c>
      <c r="N2804" s="5">
        <f>YEAR(Store_Record[[#This Row],[Date]])</f>
        <v>2025</v>
      </c>
      <c r="O2804"/>
    </row>
    <row r="2805" spans="1:15" x14ac:dyDescent="0.35">
      <c r="A2805" t="s">
        <v>3761</v>
      </c>
      <c r="B2805" s="2">
        <v>45861</v>
      </c>
      <c r="C2805" t="s">
        <v>24</v>
      </c>
      <c r="D2805" t="s">
        <v>38</v>
      </c>
      <c r="E2805" t="s">
        <v>26</v>
      </c>
      <c r="F2805" t="s">
        <v>13</v>
      </c>
      <c r="G2805">
        <v>3</v>
      </c>
      <c r="H2805">
        <v>3.5</v>
      </c>
      <c r="I2805" t="s">
        <v>21</v>
      </c>
      <c r="J2805" t="s">
        <v>125</v>
      </c>
      <c r="K2805" s="12">
        <f>Store_Record[[#This Row],[Qty]]*Store_Record[[#This Row],[UnitPriceGBP]]</f>
        <v>10.5</v>
      </c>
      <c r="L2805" s="5" t="str">
        <f>TEXT(Store_Record[[#This Row],[Date]],"dddd")</f>
        <v>Wednesday</v>
      </c>
      <c r="M2805" s="5" t="str">
        <f>TEXT(Store_Record[[#This Row],[Date]],"mmmm")</f>
        <v>July</v>
      </c>
      <c r="N2805" s="5">
        <f>YEAR(Store_Record[[#This Row],[Date]])</f>
        <v>2025</v>
      </c>
      <c r="O2805"/>
    </row>
    <row r="2806" spans="1:15" x14ac:dyDescent="0.35">
      <c r="A2806" t="s">
        <v>3756</v>
      </c>
      <c r="B2806" s="2">
        <v>45861</v>
      </c>
      <c r="C2806" t="s">
        <v>20</v>
      </c>
      <c r="D2806" t="s">
        <v>29</v>
      </c>
      <c r="E2806" t="s">
        <v>12</v>
      </c>
      <c r="F2806" t="s">
        <v>13</v>
      </c>
      <c r="G2806">
        <v>4</v>
      </c>
      <c r="H2806">
        <v>2.5</v>
      </c>
      <c r="I2806" t="s">
        <v>39</v>
      </c>
      <c r="J2806" t="s">
        <v>1833</v>
      </c>
      <c r="K2806" s="12">
        <f>Store_Record[[#This Row],[Qty]]*Store_Record[[#This Row],[UnitPriceGBP]]</f>
        <v>10</v>
      </c>
      <c r="L2806" s="5" t="str">
        <f>TEXT(Store_Record[[#This Row],[Date]],"dddd")</f>
        <v>Wednesday</v>
      </c>
      <c r="M2806" s="5" t="str">
        <f>TEXT(Store_Record[[#This Row],[Date]],"mmmm")</f>
        <v>July</v>
      </c>
      <c r="N2806" s="5">
        <f>YEAR(Store_Record[[#This Row],[Date]])</f>
        <v>2025</v>
      </c>
      <c r="O2806"/>
    </row>
    <row r="2807" spans="1:15" x14ac:dyDescent="0.35">
      <c r="A2807" t="s">
        <v>3760</v>
      </c>
      <c r="B2807" s="2">
        <v>45861</v>
      </c>
      <c r="C2807" t="s">
        <v>20</v>
      </c>
      <c r="D2807" t="s">
        <v>29</v>
      </c>
      <c r="E2807" t="s">
        <v>12</v>
      </c>
      <c r="F2807" t="s">
        <v>13</v>
      </c>
      <c r="G2807">
        <v>4</v>
      </c>
      <c r="H2807">
        <v>2.5</v>
      </c>
      <c r="I2807" t="s">
        <v>21</v>
      </c>
      <c r="J2807" t="s">
        <v>2172</v>
      </c>
      <c r="K2807" s="12">
        <f>Store_Record[[#This Row],[Qty]]*Store_Record[[#This Row],[UnitPriceGBP]]</f>
        <v>10</v>
      </c>
      <c r="L2807" s="5" t="str">
        <f>TEXT(Store_Record[[#This Row],[Date]],"dddd")</f>
        <v>Wednesday</v>
      </c>
      <c r="M2807" s="5" t="str">
        <f>TEXT(Store_Record[[#This Row],[Date]],"mmmm")</f>
        <v>July</v>
      </c>
      <c r="N2807" s="5">
        <f>YEAR(Store_Record[[#This Row],[Date]])</f>
        <v>2025</v>
      </c>
      <c r="O2807"/>
    </row>
    <row r="2808" spans="1:15" x14ac:dyDescent="0.35">
      <c r="A2808" t="s">
        <v>3763</v>
      </c>
      <c r="B2808" s="2">
        <v>45861</v>
      </c>
      <c r="C2808" t="s">
        <v>20</v>
      </c>
      <c r="D2808" t="s">
        <v>25</v>
      </c>
      <c r="E2808" t="s">
        <v>12</v>
      </c>
      <c r="F2808" t="s">
        <v>13</v>
      </c>
      <c r="G2808">
        <v>4</v>
      </c>
      <c r="H2808">
        <v>2.5</v>
      </c>
      <c r="I2808" t="s">
        <v>21</v>
      </c>
      <c r="J2808" t="s">
        <v>894</v>
      </c>
      <c r="K2808" s="12">
        <f>Store_Record[[#This Row],[Qty]]*Store_Record[[#This Row],[UnitPriceGBP]]</f>
        <v>10</v>
      </c>
      <c r="L2808" s="5" t="str">
        <f>TEXT(Store_Record[[#This Row],[Date]],"dddd")</f>
        <v>Wednesday</v>
      </c>
      <c r="M2808" s="5" t="str">
        <f>TEXT(Store_Record[[#This Row],[Date]],"mmmm")</f>
        <v>July</v>
      </c>
      <c r="N2808" s="5">
        <f>YEAR(Store_Record[[#This Row],[Date]])</f>
        <v>2025</v>
      </c>
      <c r="O2808"/>
    </row>
    <row r="2809" spans="1:15" x14ac:dyDescent="0.35">
      <c r="A2809" t="s">
        <v>3753</v>
      </c>
      <c r="B2809" s="2">
        <v>45861</v>
      </c>
      <c r="C2809" t="s">
        <v>36</v>
      </c>
      <c r="D2809" t="s">
        <v>38</v>
      </c>
      <c r="E2809" t="s">
        <v>34</v>
      </c>
      <c r="F2809" t="s">
        <v>31</v>
      </c>
      <c r="G2809">
        <v>4</v>
      </c>
      <c r="H2809">
        <v>2.2000000000000002</v>
      </c>
      <c r="I2809" t="s">
        <v>14</v>
      </c>
      <c r="J2809" t="s">
        <v>3280</v>
      </c>
      <c r="K2809" s="12">
        <f>Store_Record[[#This Row],[Qty]]*Store_Record[[#This Row],[UnitPriceGBP]]</f>
        <v>8.8000000000000007</v>
      </c>
      <c r="L2809" s="5" t="str">
        <f>TEXT(Store_Record[[#This Row],[Date]],"dddd")</f>
        <v>Wednesday</v>
      </c>
      <c r="M2809" s="5" t="str">
        <f>TEXT(Store_Record[[#This Row],[Date]],"mmmm")</f>
        <v>July</v>
      </c>
      <c r="N2809" s="5">
        <f>YEAR(Store_Record[[#This Row],[Date]])</f>
        <v>2025</v>
      </c>
      <c r="O2809"/>
    </row>
    <row r="2810" spans="1:15" x14ac:dyDescent="0.35">
      <c r="A2810" t="s">
        <v>3752</v>
      </c>
      <c r="B2810" s="2">
        <v>45861</v>
      </c>
      <c r="C2810" t="s">
        <v>10</v>
      </c>
      <c r="D2810" t="s">
        <v>11</v>
      </c>
      <c r="E2810" t="s">
        <v>30</v>
      </c>
      <c r="F2810" t="s">
        <v>31</v>
      </c>
      <c r="G2810">
        <v>3</v>
      </c>
      <c r="H2810">
        <v>2.8</v>
      </c>
      <c r="I2810" t="s">
        <v>39</v>
      </c>
      <c r="J2810" t="s">
        <v>1495</v>
      </c>
      <c r="K2810" s="12">
        <f>Store_Record[[#This Row],[Qty]]*Store_Record[[#This Row],[UnitPriceGBP]]</f>
        <v>8.3999999999999986</v>
      </c>
      <c r="L2810" s="5" t="str">
        <f>TEXT(Store_Record[[#This Row],[Date]],"dddd")</f>
        <v>Wednesday</v>
      </c>
      <c r="M2810" s="5" t="str">
        <f>TEXT(Store_Record[[#This Row],[Date]],"mmmm")</f>
        <v>July</v>
      </c>
      <c r="N2810" s="5">
        <f>YEAR(Store_Record[[#This Row],[Date]])</f>
        <v>2025</v>
      </c>
      <c r="O2810"/>
    </row>
    <row r="2811" spans="1:15" x14ac:dyDescent="0.35">
      <c r="A2811" t="s">
        <v>3755</v>
      </c>
      <c r="B2811" s="2">
        <v>45861</v>
      </c>
      <c r="C2811" t="s">
        <v>36</v>
      </c>
      <c r="D2811" t="s">
        <v>11</v>
      </c>
      <c r="E2811" t="s">
        <v>30</v>
      </c>
      <c r="F2811" t="s">
        <v>31</v>
      </c>
      <c r="G2811">
        <v>3</v>
      </c>
      <c r="H2811">
        <v>2.8</v>
      </c>
      <c r="I2811" t="s">
        <v>21</v>
      </c>
      <c r="J2811" t="s">
        <v>2361</v>
      </c>
      <c r="K2811" s="12">
        <f>Store_Record[[#This Row],[Qty]]*Store_Record[[#This Row],[UnitPriceGBP]]</f>
        <v>8.3999999999999986</v>
      </c>
      <c r="L2811" s="5" t="str">
        <f>TEXT(Store_Record[[#This Row],[Date]],"dddd")</f>
        <v>Wednesday</v>
      </c>
      <c r="M2811" s="5" t="str">
        <f>TEXT(Store_Record[[#This Row],[Date]],"mmmm")</f>
        <v>July</v>
      </c>
      <c r="N2811" s="5">
        <f>YEAR(Store_Record[[#This Row],[Date]])</f>
        <v>2025</v>
      </c>
      <c r="O2811"/>
    </row>
    <row r="2812" spans="1:15" x14ac:dyDescent="0.35">
      <c r="A2812" t="s">
        <v>3764</v>
      </c>
      <c r="B2812" s="2">
        <v>45861</v>
      </c>
      <c r="C2812" t="s">
        <v>36</v>
      </c>
      <c r="D2812" t="s">
        <v>29</v>
      </c>
      <c r="E2812" t="s">
        <v>30</v>
      </c>
      <c r="F2812" t="s">
        <v>31</v>
      </c>
      <c r="G2812">
        <v>3</v>
      </c>
      <c r="H2812">
        <v>2.8</v>
      </c>
      <c r="I2812" t="s">
        <v>14</v>
      </c>
      <c r="J2812" t="s">
        <v>741</v>
      </c>
      <c r="K2812" s="12">
        <f>Store_Record[[#This Row],[Qty]]*Store_Record[[#This Row],[UnitPriceGBP]]</f>
        <v>8.3999999999999986</v>
      </c>
      <c r="L2812" s="5" t="str">
        <f>TEXT(Store_Record[[#This Row],[Date]],"dddd")</f>
        <v>Wednesday</v>
      </c>
      <c r="M2812" s="5" t="str">
        <f>TEXT(Store_Record[[#This Row],[Date]],"mmmm")</f>
        <v>July</v>
      </c>
      <c r="N2812" s="5">
        <f>YEAR(Store_Record[[#This Row],[Date]])</f>
        <v>2025</v>
      </c>
      <c r="O2812"/>
    </row>
    <row r="2813" spans="1:15" x14ac:dyDescent="0.35">
      <c r="A2813" t="s">
        <v>3767</v>
      </c>
      <c r="B2813" s="2">
        <v>45861</v>
      </c>
      <c r="C2813" t="s">
        <v>20</v>
      </c>
      <c r="D2813" t="s">
        <v>11</v>
      </c>
      <c r="E2813" t="s">
        <v>34</v>
      </c>
      <c r="F2813" t="s">
        <v>31</v>
      </c>
      <c r="G2813">
        <v>3</v>
      </c>
      <c r="H2813">
        <v>2.2000000000000002</v>
      </c>
      <c r="I2813" t="s">
        <v>21</v>
      </c>
      <c r="J2813" t="s">
        <v>1323</v>
      </c>
      <c r="K2813" s="12">
        <f>Store_Record[[#This Row],[Qty]]*Store_Record[[#This Row],[UnitPriceGBP]]</f>
        <v>6.6000000000000005</v>
      </c>
      <c r="L2813" s="5" t="str">
        <f>TEXT(Store_Record[[#This Row],[Date]],"dddd")</f>
        <v>Wednesday</v>
      </c>
      <c r="M2813" s="5" t="str">
        <f>TEXT(Store_Record[[#This Row],[Date]],"mmmm")</f>
        <v>July</v>
      </c>
      <c r="N2813" s="5">
        <f>YEAR(Store_Record[[#This Row],[Date]])</f>
        <v>2025</v>
      </c>
      <c r="O2813"/>
    </row>
    <row r="2814" spans="1:15" x14ac:dyDescent="0.35">
      <c r="A2814" t="s">
        <v>3766</v>
      </c>
      <c r="B2814" s="2">
        <v>45861</v>
      </c>
      <c r="C2814" t="s">
        <v>20</v>
      </c>
      <c r="D2814" t="s">
        <v>25</v>
      </c>
      <c r="E2814" t="s">
        <v>30</v>
      </c>
      <c r="F2814" t="s">
        <v>31</v>
      </c>
      <c r="G2814">
        <v>2</v>
      </c>
      <c r="H2814">
        <v>2.8</v>
      </c>
      <c r="I2814" t="s">
        <v>21</v>
      </c>
      <c r="J2814" t="s">
        <v>1031</v>
      </c>
      <c r="K2814" s="12">
        <f>Store_Record[[#This Row],[Qty]]*Store_Record[[#This Row],[UnitPriceGBP]]</f>
        <v>5.6</v>
      </c>
      <c r="L2814" s="5" t="str">
        <f>TEXT(Store_Record[[#This Row],[Date]],"dddd")</f>
        <v>Wednesday</v>
      </c>
      <c r="M2814" s="5" t="str">
        <f>TEXT(Store_Record[[#This Row],[Date]],"mmmm")</f>
        <v>July</v>
      </c>
      <c r="N2814" s="5">
        <f>YEAR(Store_Record[[#This Row],[Date]])</f>
        <v>2025</v>
      </c>
      <c r="O2814"/>
    </row>
    <row r="2815" spans="1:15" x14ac:dyDescent="0.35">
      <c r="A2815" t="s">
        <v>3762</v>
      </c>
      <c r="B2815" s="2">
        <v>45861</v>
      </c>
      <c r="C2815" t="s">
        <v>36</v>
      </c>
      <c r="D2815" t="s">
        <v>47</v>
      </c>
      <c r="E2815" t="s">
        <v>34</v>
      </c>
      <c r="F2815" t="s">
        <v>31</v>
      </c>
      <c r="G2815">
        <v>2</v>
      </c>
      <c r="H2815">
        <v>2.2000000000000002</v>
      </c>
      <c r="I2815" t="s">
        <v>21</v>
      </c>
      <c r="J2815" t="s">
        <v>1976</v>
      </c>
      <c r="K2815" s="12">
        <f>Store_Record[[#This Row],[Qty]]*Store_Record[[#This Row],[UnitPriceGBP]]</f>
        <v>4.4000000000000004</v>
      </c>
      <c r="L2815" s="5" t="str">
        <f>TEXT(Store_Record[[#This Row],[Date]],"dddd")</f>
        <v>Wednesday</v>
      </c>
      <c r="M2815" s="5" t="str">
        <f>TEXT(Store_Record[[#This Row],[Date]],"mmmm")</f>
        <v>July</v>
      </c>
      <c r="N2815" s="5">
        <f>YEAR(Store_Record[[#This Row],[Date]])</f>
        <v>2025</v>
      </c>
      <c r="O2815"/>
    </row>
    <row r="2816" spans="1:15" x14ac:dyDescent="0.35">
      <c r="A2816" t="s">
        <v>3768</v>
      </c>
      <c r="B2816" s="2">
        <v>45861</v>
      </c>
      <c r="C2816" t="s">
        <v>10</v>
      </c>
      <c r="D2816" t="s">
        <v>11</v>
      </c>
      <c r="E2816" t="s">
        <v>42</v>
      </c>
      <c r="F2816" t="s">
        <v>13</v>
      </c>
      <c r="G2816">
        <v>1</v>
      </c>
      <c r="H2816">
        <v>3.8</v>
      </c>
      <c r="I2816" t="s">
        <v>21</v>
      </c>
      <c r="J2816" t="s">
        <v>1447</v>
      </c>
      <c r="K2816" s="12">
        <f>Store_Record[[#This Row],[Qty]]*Store_Record[[#This Row],[UnitPriceGBP]]</f>
        <v>3.8</v>
      </c>
      <c r="L2816" s="5" t="str">
        <f>TEXT(Store_Record[[#This Row],[Date]],"dddd")</f>
        <v>Wednesday</v>
      </c>
      <c r="M2816" s="5" t="str">
        <f>TEXT(Store_Record[[#This Row],[Date]],"mmmm")</f>
        <v>July</v>
      </c>
      <c r="N2816" s="5">
        <f>YEAR(Store_Record[[#This Row],[Date]])</f>
        <v>2025</v>
      </c>
      <c r="O2816"/>
    </row>
    <row r="2817" spans="1:15" x14ac:dyDescent="0.35">
      <c r="A2817" t="s">
        <v>3757</v>
      </c>
      <c r="B2817" s="2">
        <v>45861</v>
      </c>
      <c r="C2817" t="s">
        <v>36</v>
      </c>
      <c r="D2817" t="s">
        <v>25</v>
      </c>
      <c r="E2817" t="s">
        <v>30</v>
      </c>
      <c r="F2817" t="s">
        <v>31</v>
      </c>
      <c r="G2817">
        <v>1</v>
      </c>
      <c r="H2817">
        <v>2.8</v>
      </c>
      <c r="I2817" t="s">
        <v>21</v>
      </c>
      <c r="J2817" t="s">
        <v>3658</v>
      </c>
      <c r="K2817" s="12">
        <f>Store_Record[[#This Row],[Qty]]*Store_Record[[#This Row],[UnitPriceGBP]]</f>
        <v>2.8</v>
      </c>
      <c r="L2817" s="5" t="str">
        <f>TEXT(Store_Record[[#This Row],[Date]],"dddd")</f>
        <v>Wednesday</v>
      </c>
      <c r="M2817" s="5" t="str">
        <f>TEXT(Store_Record[[#This Row],[Date]],"mmmm")</f>
        <v>July</v>
      </c>
      <c r="N2817" s="5">
        <f>YEAR(Store_Record[[#This Row],[Date]])</f>
        <v>2025</v>
      </c>
      <c r="O2817"/>
    </row>
    <row r="2818" spans="1:15" x14ac:dyDescent="0.35">
      <c r="A2818" t="s">
        <v>3783</v>
      </c>
      <c r="B2818" s="2">
        <v>45862</v>
      </c>
      <c r="C2818" t="s">
        <v>10</v>
      </c>
      <c r="D2818" t="s">
        <v>47</v>
      </c>
      <c r="E2818" t="s">
        <v>26</v>
      </c>
      <c r="F2818" t="s">
        <v>13</v>
      </c>
      <c r="G2818">
        <v>4</v>
      </c>
      <c r="H2818">
        <v>3.5</v>
      </c>
      <c r="I2818" t="s">
        <v>21</v>
      </c>
      <c r="J2818" t="s">
        <v>607</v>
      </c>
      <c r="K2818" s="12">
        <f>Store_Record[[#This Row],[Qty]]*Store_Record[[#This Row],[UnitPriceGBP]]</f>
        <v>14</v>
      </c>
      <c r="L2818" s="5" t="str">
        <f>TEXT(Store_Record[[#This Row],[Date]],"dddd")</f>
        <v>Thursday</v>
      </c>
      <c r="M2818" s="5" t="str">
        <f>TEXT(Store_Record[[#This Row],[Date]],"mmmm")</f>
        <v>July</v>
      </c>
      <c r="N2818" s="5">
        <f>YEAR(Store_Record[[#This Row],[Date]])</f>
        <v>2025</v>
      </c>
      <c r="O2818"/>
    </row>
    <row r="2819" spans="1:15" x14ac:dyDescent="0.35">
      <c r="A2819" t="s">
        <v>3776</v>
      </c>
      <c r="B2819" s="2">
        <v>45862</v>
      </c>
      <c r="C2819" t="s">
        <v>36</v>
      </c>
      <c r="D2819" t="s">
        <v>47</v>
      </c>
      <c r="E2819" t="s">
        <v>30</v>
      </c>
      <c r="F2819" t="s">
        <v>31</v>
      </c>
      <c r="G2819">
        <v>3</v>
      </c>
      <c r="H2819">
        <v>2.8</v>
      </c>
      <c r="I2819" t="s">
        <v>21</v>
      </c>
      <c r="J2819" t="s">
        <v>347</v>
      </c>
      <c r="K2819" s="12">
        <f>Store_Record[[#This Row],[Qty]]*Store_Record[[#This Row],[UnitPriceGBP]]</f>
        <v>8.3999999999999986</v>
      </c>
      <c r="L2819" s="5" t="str">
        <f>TEXT(Store_Record[[#This Row],[Date]],"dddd")</f>
        <v>Thursday</v>
      </c>
      <c r="M2819" s="5" t="str">
        <f>TEXT(Store_Record[[#This Row],[Date]],"mmmm")</f>
        <v>July</v>
      </c>
      <c r="N2819" s="5">
        <f>YEAR(Store_Record[[#This Row],[Date]])</f>
        <v>2025</v>
      </c>
      <c r="O2819"/>
    </row>
    <row r="2820" spans="1:15" x14ac:dyDescent="0.35">
      <c r="A2820" t="s">
        <v>3769</v>
      </c>
      <c r="B2820" s="2">
        <v>45862</v>
      </c>
      <c r="C2820" t="s">
        <v>20</v>
      </c>
      <c r="D2820" t="s">
        <v>47</v>
      </c>
      <c r="E2820" t="s">
        <v>12</v>
      </c>
      <c r="F2820" t="s">
        <v>13</v>
      </c>
      <c r="G2820">
        <v>3</v>
      </c>
      <c r="H2820">
        <v>2.5</v>
      </c>
      <c r="I2820" t="s">
        <v>21</v>
      </c>
      <c r="J2820" t="s">
        <v>2779</v>
      </c>
      <c r="K2820" s="12">
        <f>Store_Record[[#This Row],[Qty]]*Store_Record[[#This Row],[UnitPriceGBP]]</f>
        <v>7.5</v>
      </c>
      <c r="L2820" s="5" t="str">
        <f>TEXT(Store_Record[[#This Row],[Date]],"dddd")</f>
        <v>Thursday</v>
      </c>
      <c r="M2820" s="5" t="str">
        <f>TEXT(Store_Record[[#This Row],[Date]],"mmmm")</f>
        <v>July</v>
      </c>
      <c r="N2820" s="5">
        <f>YEAR(Store_Record[[#This Row],[Date]])</f>
        <v>2025</v>
      </c>
      <c r="O2820"/>
    </row>
    <row r="2821" spans="1:15" x14ac:dyDescent="0.35">
      <c r="A2821" t="s">
        <v>3774</v>
      </c>
      <c r="B2821" s="2">
        <v>45862</v>
      </c>
      <c r="C2821" t="s">
        <v>36</v>
      </c>
      <c r="D2821" t="s">
        <v>38</v>
      </c>
      <c r="E2821" t="s">
        <v>26</v>
      </c>
      <c r="F2821" t="s">
        <v>13</v>
      </c>
      <c r="G2821">
        <v>2</v>
      </c>
      <c r="H2821">
        <v>3.5</v>
      </c>
      <c r="I2821" t="s">
        <v>21</v>
      </c>
      <c r="J2821" t="s">
        <v>462</v>
      </c>
      <c r="K2821" s="12">
        <f>Store_Record[[#This Row],[Qty]]*Store_Record[[#This Row],[UnitPriceGBP]]</f>
        <v>7</v>
      </c>
      <c r="L2821" s="5" t="str">
        <f>TEXT(Store_Record[[#This Row],[Date]],"dddd")</f>
        <v>Thursday</v>
      </c>
      <c r="M2821" s="5" t="str">
        <f>TEXT(Store_Record[[#This Row],[Date]],"mmmm")</f>
        <v>July</v>
      </c>
      <c r="N2821" s="5">
        <f>YEAR(Store_Record[[#This Row],[Date]])</f>
        <v>2025</v>
      </c>
      <c r="O2821"/>
    </row>
    <row r="2822" spans="1:15" x14ac:dyDescent="0.35">
      <c r="A2822" t="s">
        <v>3779</v>
      </c>
      <c r="B2822" s="2">
        <v>45862</v>
      </c>
      <c r="C2822" t="s">
        <v>36</v>
      </c>
      <c r="D2822" t="s">
        <v>11</v>
      </c>
      <c r="E2822" t="s">
        <v>26</v>
      </c>
      <c r="F2822" t="s">
        <v>13</v>
      </c>
      <c r="G2822">
        <v>2</v>
      </c>
      <c r="H2822">
        <v>3.5</v>
      </c>
      <c r="I2822" t="s">
        <v>14</v>
      </c>
      <c r="J2822" t="s">
        <v>1312</v>
      </c>
      <c r="K2822" s="12">
        <f>Store_Record[[#This Row],[Qty]]*Store_Record[[#This Row],[UnitPriceGBP]]</f>
        <v>7</v>
      </c>
      <c r="L2822" s="5" t="str">
        <f>TEXT(Store_Record[[#This Row],[Date]],"dddd")</f>
        <v>Thursday</v>
      </c>
      <c r="M2822" s="5" t="str">
        <f>TEXT(Store_Record[[#This Row],[Date]],"mmmm")</f>
        <v>July</v>
      </c>
      <c r="N2822" s="5">
        <f>YEAR(Store_Record[[#This Row],[Date]])</f>
        <v>2025</v>
      </c>
      <c r="O2822"/>
    </row>
    <row r="2823" spans="1:15" x14ac:dyDescent="0.35">
      <c r="A2823" t="s">
        <v>3780</v>
      </c>
      <c r="B2823" s="2">
        <v>45862</v>
      </c>
      <c r="C2823" t="s">
        <v>24</v>
      </c>
      <c r="D2823" t="s">
        <v>47</v>
      </c>
      <c r="E2823" t="s">
        <v>26</v>
      </c>
      <c r="F2823" t="s">
        <v>13</v>
      </c>
      <c r="G2823">
        <v>2</v>
      </c>
      <c r="H2823">
        <v>3.5</v>
      </c>
      <c r="I2823" t="s">
        <v>39</v>
      </c>
      <c r="J2823" t="s">
        <v>163</v>
      </c>
      <c r="K2823" s="12">
        <f>Store_Record[[#This Row],[Qty]]*Store_Record[[#This Row],[UnitPriceGBP]]</f>
        <v>7</v>
      </c>
      <c r="L2823" s="5" t="str">
        <f>TEXT(Store_Record[[#This Row],[Date]],"dddd")</f>
        <v>Thursday</v>
      </c>
      <c r="M2823" s="5" t="str">
        <f>TEXT(Store_Record[[#This Row],[Date]],"mmmm")</f>
        <v>July</v>
      </c>
      <c r="N2823" s="5">
        <f>YEAR(Store_Record[[#This Row],[Date]])</f>
        <v>2025</v>
      </c>
      <c r="O2823"/>
    </row>
    <row r="2824" spans="1:15" x14ac:dyDescent="0.35">
      <c r="A2824" t="s">
        <v>3781</v>
      </c>
      <c r="B2824" s="2">
        <v>45862</v>
      </c>
      <c r="C2824" t="s">
        <v>24</v>
      </c>
      <c r="D2824" t="s">
        <v>25</v>
      </c>
      <c r="E2824" t="s">
        <v>34</v>
      </c>
      <c r="F2824" t="s">
        <v>31</v>
      </c>
      <c r="G2824">
        <v>3</v>
      </c>
      <c r="H2824">
        <v>2.2000000000000002</v>
      </c>
      <c r="I2824" t="s">
        <v>21</v>
      </c>
      <c r="J2824" t="s">
        <v>1477</v>
      </c>
      <c r="K2824" s="12">
        <f>Store_Record[[#This Row],[Qty]]*Store_Record[[#This Row],[UnitPriceGBP]]</f>
        <v>6.6000000000000005</v>
      </c>
      <c r="L2824" s="5" t="str">
        <f>TEXT(Store_Record[[#This Row],[Date]],"dddd")</f>
        <v>Thursday</v>
      </c>
      <c r="M2824" s="5" t="str">
        <f>TEXT(Store_Record[[#This Row],[Date]],"mmmm")</f>
        <v>July</v>
      </c>
      <c r="N2824" s="5">
        <f>YEAR(Store_Record[[#This Row],[Date]])</f>
        <v>2025</v>
      </c>
      <c r="O2824"/>
    </row>
    <row r="2825" spans="1:15" x14ac:dyDescent="0.35">
      <c r="A2825" t="s">
        <v>3771</v>
      </c>
      <c r="B2825" s="2">
        <v>45862</v>
      </c>
      <c r="C2825" t="s">
        <v>20</v>
      </c>
      <c r="D2825" t="s">
        <v>47</v>
      </c>
      <c r="E2825" t="s">
        <v>30</v>
      </c>
      <c r="F2825" t="s">
        <v>31</v>
      </c>
      <c r="G2825">
        <v>2</v>
      </c>
      <c r="H2825">
        <v>2.8</v>
      </c>
      <c r="I2825" t="s">
        <v>14</v>
      </c>
      <c r="J2825" t="s">
        <v>1641</v>
      </c>
      <c r="K2825" s="12">
        <f>Store_Record[[#This Row],[Qty]]*Store_Record[[#This Row],[UnitPriceGBP]]</f>
        <v>5.6</v>
      </c>
      <c r="L2825" s="5" t="str">
        <f>TEXT(Store_Record[[#This Row],[Date]],"dddd")</f>
        <v>Thursday</v>
      </c>
      <c r="M2825" s="5" t="str">
        <f>TEXT(Store_Record[[#This Row],[Date]],"mmmm")</f>
        <v>July</v>
      </c>
      <c r="N2825" s="5">
        <f>YEAR(Store_Record[[#This Row],[Date]])</f>
        <v>2025</v>
      </c>
      <c r="O2825"/>
    </row>
    <row r="2826" spans="1:15" x14ac:dyDescent="0.35">
      <c r="A2826" t="s">
        <v>3772</v>
      </c>
      <c r="B2826" s="2">
        <v>45862</v>
      </c>
      <c r="C2826" t="s">
        <v>20</v>
      </c>
      <c r="D2826" t="s">
        <v>11</v>
      </c>
      <c r="E2826" t="s">
        <v>34</v>
      </c>
      <c r="F2826" t="s">
        <v>31</v>
      </c>
      <c r="G2826">
        <v>2</v>
      </c>
      <c r="H2826">
        <v>2.2000000000000002</v>
      </c>
      <c r="I2826" t="s">
        <v>21</v>
      </c>
      <c r="J2826" t="s">
        <v>3773</v>
      </c>
      <c r="K2826" s="12">
        <f>Store_Record[[#This Row],[Qty]]*Store_Record[[#This Row],[UnitPriceGBP]]</f>
        <v>4.4000000000000004</v>
      </c>
      <c r="L2826" s="5" t="str">
        <f>TEXT(Store_Record[[#This Row],[Date]],"dddd")</f>
        <v>Thursday</v>
      </c>
      <c r="M2826" s="5" t="str">
        <f>TEXT(Store_Record[[#This Row],[Date]],"mmmm")</f>
        <v>July</v>
      </c>
      <c r="N2826" s="5">
        <f>YEAR(Store_Record[[#This Row],[Date]])</f>
        <v>2025</v>
      </c>
      <c r="O2826"/>
    </row>
    <row r="2827" spans="1:15" x14ac:dyDescent="0.35">
      <c r="A2827" t="s">
        <v>3777</v>
      </c>
      <c r="B2827" s="2">
        <v>45862</v>
      </c>
      <c r="C2827" t="s">
        <v>36</v>
      </c>
      <c r="D2827" t="s">
        <v>11</v>
      </c>
      <c r="E2827" t="s">
        <v>42</v>
      </c>
      <c r="F2827" t="s">
        <v>13</v>
      </c>
      <c r="G2827">
        <v>1</v>
      </c>
      <c r="H2827">
        <v>3.8</v>
      </c>
      <c r="I2827" t="s">
        <v>14</v>
      </c>
      <c r="J2827" t="s">
        <v>767</v>
      </c>
      <c r="K2827" s="12">
        <f>Store_Record[[#This Row],[Qty]]*Store_Record[[#This Row],[UnitPriceGBP]]</f>
        <v>3.8</v>
      </c>
      <c r="L2827" s="5" t="str">
        <f>TEXT(Store_Record[[#This Row],[Date]],"dddd")</f>
        <v>Thursday</v>
      </c>
      <c r="M2827" s="5" t="str">
        <f>TEXT(Store_Record[[#This Row],[Date]],"mmmm")</f>
        <v>July</v>
      </c>
      <c r="N2827" s="5">
        <f>YEAR(Store_Record[[#This Row],[Date]])</f>
        <v>2025</v>
      </c>
      <c r="O2827"/>
    </row>
    <row r="2828" spans="1:15" x14ac:dyDescent="0.35">
      <c r="A2828" t="s">
        <v>3770</v>
      </c>
      <c r="B2828" s="2">
        <v>45862</v>
      </c>
      <c r="C2828" t="s">
        <v>10</v>
      </c>
      <c r="D2828" t="s">
        <v>38</v>
      </c>
      <c r="E2828" t="s">
        <v>26</v>
      </c>
      <c r="F2828" t="s">
        <v>13</v>
      </c>
      <c r="G2828">
        <v>1</v>
      </c>
      <c r="H2828">
        <v>3.5</v>
      </c>
      <c r="I2828" t="s">
        <v>21</v>
      </c>
      <c r="J2828" t="s">
        <v>93</v>
      </c>
      <c r="K2828" s="12">
        <f>Store_Record[[#This Row],[Qty]]*Store_Record[[#This Row],[UnitPriceGBP]]</f>
        <v>3.5</v>
      </c>
      <c r="L2828" s="5" t="str">
        <f>TEXT(Store_Record[[#This Row],[Date]],"dddd")</f>
        <v>Thursday</v>
      </c>
      <c r="M2828" s="5" t="str">
        <f>TEXT(Store_Record[[#This Row],[Date]],"mmmm")</f>
        <v>July</v>
      </c>
      <c r="N2828" s="5">
        <f>YEAR(Store_Record[[#This Row],[Date]])</f>
        <v>2025</v>
      </c>
      <c r="O2828"/>
    </row>
    <row r="2829" spans="1:15" x14ac:dyDescent="0.35">
      <c r="A2829" t="s">
        <v>3775</v>
      </c>
      <c r="B2829" s="2">
        <v>45862</v>
      </c>
      <c r="C2829" t="s">
        <v>20</v>
      </c>
      <c r="D2829" t="s">
        <v>47</v>
      </c>
      <c r="E2829" t="s">
        <v>26</v>
      </c>
      <c r="F2829" t="s">
        <v>13</v>
      </c>
      <c r="G2829">
        <v>1</v>
      </c>
      <c r="H2829">
        <v>3.5</v>
      </c>
      <c r="I2829" t="s">
        <v>39</v>
      </c>
      <c r="J2829" t="s">
        <v>753</v>
      </c>
      <c r="K2829" s="12">
        <f>Store_Record[[#This Row],[Qty]]*Store_Record[[#This Row],[UnitPriceGBP]]</f>
        <v>3.5</v>
      </c>
      <c r="L2829" s="5" t="str">
        <f>TEXT(Store_Record[[#This Row],[Date]],"dddd")</f>
        <v>Thursday</v>
      </c>
      <c r="M2829" s="5" t="str">
        <f>TEXT(Store_Record[[#This Row],[Date]],"mmmm")</f>
        <v>July</v>
      </c>
      <c r="N2829" s="5">
        <f>YEAR(Store_Record[[#This Row],[Date]])</f>
        <v>2025</v>
      </c>
      <c r="O2829"/>
    </row>
    <row r="2830" spans="1:15" x14ac:dyDescent="0.35">
      <c r="A2830" t="s">
        <v>3778</v>
      </c>
      <c r="B2830" s="2">
        <v>45862</v>
      </c>
      <c r="C2830" t="s">
        <v>24</v>
      </c>
      <c r="D2830" t="s">
        <v>47</v>
      </c>
      <c r="E2830" t="s">
        <v>26</v>
      </c>
      <c r="F2830" t="s">
        <v>13</v>
      </c>
      <c r="G2830">
        <v>1</v>
      </c>
      <c r="H2830">
        <v>3.5</v>
      </c>
      <c r="I2830" t="s">
        <v>21</v>
      </c>
      <c r="J2830" t="s">
        <v>1160</v>
      </c>
      <c r="K2830" s="12">
        <f>Store_Record[[#This Row],[Qty]]*Store_Record[[#This Row],[UnitPriceGBP]]</f>
        <v>3.5</v>
      </c>
      <c r="L2830" s="5" t="str">
        <f>TEXT(Store_Record[[#This Row],[Date]],"dddd")</f>
        <v>Thursday</v>
      </c>
      <c r="M2830" s="5" t="str">
        <f>TEXT(Store_Record[[#This Row],[Date]],"mmmm")</f>
        <v>July</v>
      </c>
      <c r="N2830" s="5">
        <f>YEAR(Store_Record[[#This Row],[Date]])</f>
        <v>2025</v>
      </c>
      <c r="O2830"/>
    </row>
    <row r="2831" spans="1:15" x14ac:dyDescent="0.35">
      <c r="A2831" t="s">
        <v>3782</v>
      </c>
      <c r="B2831" s="2">
        <v>45862</v>
      </c>
      <c r="C2831" t="s">
        <v>36</v>
      </c>
      <c r="D2831" t="s">
        <v>38</v>
      </c>
      <c r="E2831" t="s">
        <v>12</v>
      </c>
      <c r="F2831" t="s">
        <v>13</v>
      </c>
      <c r="G2831">
        <v>1</v>
      </c>
      <c r="H2831">
        <v>2.5</v>
      </c>
      <c r="I2831" t="s">
        <v>39</v>
      </c>
      <c r="J2831" t="s">
        <v>1044</v>
      </c>
      <c r="K2831" s="12">
        <f>Store_Record[[#This Row],[Qty]]*Store_Record[[#This Row],[UnitPriceGBP]]</f>
        <v>2.5</v>
      </c>
      <c r="L2831" s="5" t="str">
        <f>TEXT(Store_Record[[#This Row],[Date]],"dddd")</f>
        <v>Thursday</v>
      </c>
      <c r="M2831" s="5" t="str">
        <f>TEXT(Store_Record[[#This Row],[Date]],"mmmm")</f>
        <v>July</v>
      </c>
      <c r="N2831" s="5">
        <f>YEAR(Store_Record[[#This Row],[Date]])</f>
        <v>2025</v>
      </c>
      <c r="O2831"/>
    </row>
    <row r="2832" spans="1:15" x14ac:dyDescent="0.35">
      <c r="A2832" t="s">
        <v>3786</v>
      </c>
      <c r="B2832" s="2">
        <v>45863</v>
      </c>
      <c r="C2832" t="s">
        <v>24</v>
      </c>
      <c r="D2832" t="s">
        <v>29</v>
      </c>
      <c r="E2832" t="s">
        <v>42</v>
      </c>
      <c r="F2832" t="s">
        <v>13</v>
      </c>
      <c r="G2832">
        <v>5</v>
      </c>
      <c r="H2832">
        <v>3.8</v>
      </c>
      <c r="I2832" t="s">
        <v>14</v>
      </c>
      <c r="J2832" t="s">
        <v>3018</v>
      </c>
      <c r="K2832" s="12">
        <f>Store_Record[[#This Row],[Qty]]*Store_Record[[#This Row],[UnitPriceGBP]]</f>
        <v>19</v>
      </c>
      <c r="L2832" s="5" t="str">
        <f>TEXT(Store_Record[[#This Row],[Date]],"dddd")</f>
        <v>Friday</v>
      </c>
      <c r="M2832" s="5" t="str">
        <f>TEXT(Store_Record[[#This Row],[Date]],"mmmm")</f>
        <v>July</v>
      </c>
      <c r="N2832" s="5">
        <f>YEAR(Store_Record[[#This Row],[Date]])</f>
        <v>2025</v>
      </c>
      <c r="O2832"/>
    </row>
    <row r="2833" spans="1:15" x14ac:dyDescent="0.35">
      <c r="A2833" t="s">
        <v>3796</v>
      </c>
      <c r="B2833" s="2">
        <v>45863</v>
      </c>
      <c r="C2833" t="s">
        <v>36</v>
      </c>
      <c r="D2833" t="s">
        <v>29</v>
      </c>
      <c r="E2833" t="s">
        <v>42</v>
      </c>
      <c r="F2833" t="s">
        <v>13</v>
      </c>
      <c r="G2833">
        <v>4</v>
      </c>
      <c r="H2833">
        <v>3.8</v>
      </c>
      <c r="I2833" t="s">
        <v>39</v>
      </c>
      <c r="J2833" t="s">
        <v>2332</v>
      </c>
      <c r="K2833" s="12">
        <f>Store_Record[[#This Row],[Qty]]*Store_Record[[#This Row],[UnitPriceGBP]]</f>
        <v>15.2</v>
      </c>
      <c r="L2833" s="5" t="str">
        <f>TEXT(Store_Record[[#This Row],[Date]],"dddd")</f>
        <v>Friday</v>
      </c>
      <c r="M2833" s="5" t="str">
        <f>TEXT(Store_Record[[#This Row],[Date]],"mmmm")</f>
        <v>July</v>
      </c>
      <c r="N2833" s="5">
        <f>YEAR(Store_Record[[#This Row],[Date]])</f>
        <v>2025</v>
      </c>
      <c r="O2833"/>
    </row>
    <row r="2834" spans="1:15" x14ac:dyDescent="0.35">
      <c r="A2834" t="s">
        <v>3797</v>
      </c>
      <c r="B2834" s="2">
        <v>45863</v>
      </c>
      <c r="C2834" t="s">
        <v>24</v>
      </c>
      <c r="D2834" t="s">
        <v>38</v>
      </c>
      <c r="E2834" t="s">
        <v>42</v>
      </c>
      <c r="F2834" t="s">
        <v>13</v>
      </c>
      <c r="G2834">
        <v>4</v>
      </c>
      <c r="H2834">
        <v>3.8</v>
      </c>
      <c r="I2834" t="s">
        <v>14</v>
      </c>
      <c r="J2834" t="s">
        <v>1867</v>
      </c>
      <c r="K2834" s="12">
        <f>Store_Record[[#This Row],[Qty]]*Store_Record[[#This Row],[UnitPriceGBP]]</f>
        <v>15.2</v>
      </c>
      <c r="L2834" s="5" t="str">
        <f>TEXT(Store_Record[[#This Row],[Date]],"dddd")</f>
        <v>Friday</v>
      </c>
      <c r="M2834" s="5" t="str">
        <f>TEXT(Store_Record[[#This Row],[Date]],"mmmm")</f>
        <v>July</v>
      </c>
      <c r="N2834" s="5">
        <f>YEAR(Store_Record[[#This Row],[Date]])</f>
        <v>2025</v>
      </c>
      <c r="O2834"/>
    </row>
    <row r="2835" spans="1:15" x14ac:dyDescent="0.35">
      <c r="A2835" t="s">
        <v>3788</v>
      </c>
      <c r="B2835" s="2">
        <v>45863</v>
      </c>
      <c r="C2835" t="s">
        <v>10</v>
      </c>
      <c r="D2835" t="s">
        <v>11</v>
      </c>
      <c r="E2835" t="s">
        <v>42</v>
      </c>
      <c r="F2835" t="s">
        <v>13</v>
      </c>
      <c r="G2835">
        <v>3</v>
      </c>
      <c r="H2835">
        <v>3.8</v>
      </c>
      <c r="I2835" t="s">
        <v>14</v>
      </c>
      <c r="J2835" t="s">
        <v>204</v>
      </c>
      <c r="K2835" s="12">
        <f>Store_Record[[#This Row],[Qty]]*Store_Record[[#This Row],[UnitPriceGBP]]</f>
        <v>11.399999999999999</v>
      </c>
      <c r="L2835" s="5" t="str">
        <f>TEXT(Store_Record[[#This Row],[Date]],"dddd")</f>
        <v>Friday</v>
      </c>
      <c r="M2835" s="5" t="str">
        <f>TEXT(Store_Record[[#This Row],[Date]],"mmmm")</f>
        <v>July</v>
      </c>
      <c r="N2835" s="5">
        <f>YEAR(Store_Record[[#This Row],[Date]])</f>
        <v>2025</v>
      </c>
      <c r="O2835"/>
    </row>
    <row r="2836" spans="1:15" x14ac:dyDescent="0.35">
      <c r="A2836" t="s">
        <v>3795</v>
      </c>
      <c r="B2836" s="2">
        <v>45863</v>
      </c>
      <c r="C2836" t="s">
        <v>24</v>
      </c>
      <c r="D2836" t="s">
        <v>38</v>
      </c>
      <c r="E2836" t="s">
        <v>42</v>
      </c>
      <c r="F2836" t="s">
        <v>13</v>
      </c>
      <c r="G2836">
        <v>3</v>
      </c>
      <c r="H2836">
        <v>3.8</v>
      </c>
      <c r="I2836" t="s">
        <v>14</v>
      </c>
      <c r="J2836" t="s">
        <v>1770</v>
      </c>
      <c r="K2836" s="12">
        <f>Store_Record[[#This Row],[Qty]]*Store_Record[[#This Row],[UnitPriceGBP]]</f>
        <v>11.399999999999999</v>
      </c>
      <c r="L2836" s="5" t="str">
        <f>TEXT(Store_Record[[#This Row],[Date]],"dddd")</f>
        <v>Friday</v>
      </c>
      <c r="M2836" s="5" t="str">
        <f>TEXT(Store_Record[[#This Row],[Date]],"mmmm")</f>
        <v>July</v>
      </c>
      <c r="N2836" s="5">
        <f>YEAR(Store_Record[[#This Row],[Date]])</f>
        <v>2025</v>
      </c>
      <c r="O2836"/>
    </row>
    <row r="2837" spans="1:15" x14ac:dyDescent="0.35">
      <c r="A2837" t="s">
        <v>3784</v>
      </c>
      <c r="B2837" s="2">
        <v>45863</v>
      </c>
      <c r="C2837" t="s">
        <v>10</v>
      </c>
      <c r="D2837" t="s">
        <v>25</v>
      </c>
      <c r="E2837" t="s">
        <v>26</v>
      </c>
      <c r="F2837" t="s">
        <v>13</v>
      </c>
      <c r="G2837">
        <v>3</v>
      </c>
      <c r="H2837">
        <v>3.5</v>
      </c>
      <c r="I2837" t="s">
        <v>21</v>
      </c>
      <c r="J2837" t="s">
        <v>561</v>
      </c>
      <c r="K2837" s="12">
        <f>Store_Record[[#This Row],[Qty]]*Store_Record[[#This Row],[UnitPriceGBP]]</f>
        <v>10.5</v>
      </c>
      <c r="L2837" s="5" t="str">
        <f>TEXT(Store_Record[[#This Row],[Date]],"dddd")</f>
        <v>Friday</v>
      </c>
      <c r="M2837" s="5" t="str">
        <f>TEXT(Store_Record[[#This Row],[Date]],"mmmm")</f>
        <v>July</v>
      </c>
      <c r="N2837" s="5">
        <f>YEAR(Store_Record[[#This Row],[Date]])</f>
        <v>2025</v>
      </c>
      <c r="O2837"/>
    </row>
    <row r="2838" spans="1:15" x14ac:dyDescent="0.35">
      <c r="A2838" t="s">
        <v>3789</v>
      </c>
      <c r="B2838" s="2">
        <v>45863</v>
      </c>
      <c r="C2838" t="s">
        <v>20</v>
      </c>
      <c r="D2838" t="s">
        <v>25</v>
      </c>
      <c r="E2838" t="s">
        <v>30</v>
      </c>
      <c r="F2838" t="s">
        <v>31</v>
      </c>
      <c r="G2838">
        <v>3</v>
      </c>
      <c r="H2838">
        <v>2.8</v>
      </c>
      <c r="I2838" t="s">
        <v>21</v>
      </c>
      <c r="J2838" t="s">
        <v>2332</v>
      </c>
      <c r="K2838" s="12">
        <f>Store_Record[[#This Row],[Qty]]*Store_Record[[#This Row],[UnitPriceGBP]]</f>
        <v>8.3999999999999986</v>
      </c>
      <c r="L2838" s="5" t="str">
        <f>TEXT(Store_Record[[#This Row],[Date]],"dddd")</f>
        <v>Friday</v>
      </c>
      <c r="M2838" s="5" t="str">
        <f>TEXT(Store_Record[[#This Row],[Date]],"mmmm")</f>
        <v>July</v>
      </c>
      <c r="N2838" s="5">
        <f>YEAR(Store_Record[[#This Row],[Date]])</f>
        <v>2025</v>
      </c>
      <c r="O2838"/>
    </row>
    <row r="2839" spans="1:15" x14ac:dyDescent="0.35">
      <c r="A2839" t="s">
        <v>3792</v>
      </c>
      <c r="B2839" s="2">
        <v>45863</v>
      </c>
      <c r="C2839" t="s">
        <v>20</v>
      </c>
      <c r="D2839" t="s">
        <v>29</v>
      </c>
      <c r="E2839" t="s">
        <v>30</v>
      </c>
      <c r="F2839" t="s">
        <v>31</v>
      </c>
      <c r="G2839">
        <v>2</v>
      </c>
      <c r="H2839">
        <v>2.8</v>
      </c>
      <c r="I2839" t="s">
        <v>14</v>
      </c>
      <c r="J2839" t="s">
        <v>432</v>
      </c>
      <c r="K2839" s="12">
        <f>Store_Record[[#This Row],[Qty]]*Store_Record[[#This Row],[UnitPriceGBP]]</f>
        <v>5.6</v>
      </c>
      <c r="L2839" s="5" t="str">
        <f>TEXT(Store_Record[[#This Row],[Date]],"dddd")</f>
        <v>Friday</v>
      </c>
      <c r="M2839" s="5" t="str">
        <f>TEXT(Store_Record[[#This Row],[Date]],"mmmm")</f>
        <v>July</v>
      </c>
      <c r="N2839" s="5">
        <f>YEAR(Store_Record[[#This Row],[Date]])</f>
        <v>2025</v>
      </c>
      <c r="O2839"/>
    </row>
    <row r="2840" spans="1:15" x14ac:dyDescent="0.35">
      <c r="A2840" t="s">
        <v>3790</v>
      </c>
      <c r="B2840" s="2">
        <v>45863</v>
      </c>
      <c r="C2840" t="s">
        <v>24</v>
      </c>
      <c r="D2840" t="s">
        <v>38</v>
      </c>
      <c r="E2840" t="s">
        <v>12</v>
      </c>
      <c r="F2840" t="s">
        <v>13</v>
      </c>
      <c r="G2840">
        <v>2</v>
      </c>
      <c r="H2840">
        <v>2.5</v>
      </c>
      <c r="I2840" t="s">
        <v>21</v>
      </c>
      <c r="J2840" t="s">
        <v>2574</v>
      </c>
      <c r="K2840" s="12">
        <f>Store_Record[[#This Row],[Qty]]*Store_Record[[#This Row],[UnitPriceGBP]]</f>
        <v>5</v>
      </c>
      <c r="L2840" s="5" t="str">
        <f>TEXT(Store_Record[[#This Row],[Date]],"dddd")</f>
        <v>Friday</v>
      </c>
      <c r="M2840" s="5" t="str">
        <f>TEXT(Store_Record[[#This Row],[Date]],"mmmm")</f>
        <v>July</v>
      </c>
      <c r="N2840" s="5">
        <f>YEAR(Store_Record[[#This Row],[Date]])</f>
        <v>2025</v>
      </c>
      <c r="O2840"/>
    </row>
    <row r="2841" spans="1:15" x14ac:dyDescent="0.35">
      <c r="A2841" t="s">
        <v>3787</v>
      </c>
      <c r="B2841" s="2">
        <v>45863</v>
      </c>
      <c r="C2841" t="s">
        <v>20</v>
      </c>
      <c r="D2841" t="s">
        <v>47</v>
      </c>
      <c r="E2841" t="s">
        <v>34</v>
      </c>
      <c r="F2841" t="s">
        <v>31</v>
      </c>
      <c r="G2841">
        <v>2</v>
      </c>
      <c r="H2841">
        <v>2.2000000000000002</v>
      </c>
      <c r="I2841" t="s">
        <v>21</v>
      </c>
      <c r="J2841" t="s">
        <v>1106</v>
      </c>
      <c r="K2841" s="12">
        <f>Store_Record[[#This Row],[Qty]]*Store_Record[[#This Row],[UnitPriceGBP]]</f>
        <v>4.4000000000000004</v>
      </c>
      <c r="L2841" s="5" t="str">
        <f>TEXT(Store_Record[[#This Row],[Date]],"dddd")</f>
        <v>Friday</v>
      </c>
      <c r="M2841" s="5" t="str">
        <f>TEXT(Store_Record[[#This Row],[Date]],"mmmm")</f>
        <v>July</v>
      </c>
      <c r="N2841" s="5">
        <f>YEAR(Store_Record[[#This Row],[Date]])</f>
        <v>2025</v>
      </c>
      <c r="O2841"/>
    </row>
    <row r="2842" spans="1:15" x14ac:dyDescent="0.35">
      <c r="A2842" t="s">
        <v>3785</v>
      </c>
      <c r="B2842" s="2">
        <v>45863</v>
      </c>
      <c r="C2842" t="s">
        <v>10</v>
      </c>
      <c r="D2842" t="s">
        <v>152</v>
      </c>
      <c r="E2842" t="s">
        <v>42</v>
      </c>
      <c r="F2842" t="s">
        <v>13</v>
      </c>
      <c r="G2842">
        <v>1</v>
      </c>
      <c r="H2842">
        <v>3.8</v>
      </c>
      <c r="I2842" t="s">
        <v>14</v>
      </c>
      <c r="J2842" t="s">
        <v>1669</v>
      </c>
      <c r="K2842" s="12">
        <f>Store_Record[[#This Row],[Qty]]*Store_Record[[#This Row],[UnitPriceGBP]]</f>
        <v>3.8</v>
      </c>
      <c r="L2842" s="5" t="str">
        <f>TEXT(Store_Record[[#This Row],[Date]],"dddd")</f>
        <v>Friday</v>
      </c>
      <c r="M2842" s="5" t="str">
        <f>TEXT(Store_Record[[#This Row],[Date]],"mmmm")</f>
        <v>July</v>
      </c>
      <c r="N2842" s="5">
        <f>YEAR(Store_Record[[#This Row],[Date]])</f>
        <v>2025</v>
      </c>
      <c r="O2842"/>
    </row>
    <row r="2843" spans="1:15" x14ac:dyDescent="0.35">
      <c r="A2843" t="s">
        <v>3791</v>
      </c>
      <c r="B2843" s="2">
        <v>45863</v>
      </c>
      <c r="C2843" t="s">
        <v>20</v>
      </c>
      <c r="D2843" t="s">
        <v>11</v>
      </c>
      <c r="E2843" t="s">
        <v>42</v>
      </c>
      <c r="F2843" t="s">
        <v>13</v>
      </c>
      <c r="G2843">
        <v>1</v>
      </c>
      <c r="H2843">
        <v>3.8</v>
      </c>
      <c r="I2843" t="s">
        <v>14</v>
      </c>
      <c r="J2843" t="s">
        <v>1198</v>
      </c>
      <c r="K2843" s="12">
        <f>Store_Record[[#This Row],[Qty]]*Store_Record[[#This Row],[UnitPriceGBP]]</f>
        <v>3.8</v>
      </c>
      <c r="L2843" s="5" t="str">
        <f>TEXT(Store_Record[[#This Row],[Date]],"dddd")</f>
        <v>Friday</v>
      </c>
      <c r="M2843" s="5" t="str">
        <f>TEXT(Store_Record[[#This Row],[Date]],"mmmm")</f>
        <v>July</v>
      </c>
      <c r="N2843" s="5">
        <f>YEAR(Store_Record[[#This Row],[Date]])</f>
        <v>2025</v>
      </c>
      <c r="O2843"/>
    </row>
    <row r="2844" spans="1:15" x14ac:dyDescent="0.35">
      <c r="A2844" t="s">
        <v>3794</v>
      </c>
      <c r="B2844" s="2">
        <v>45863</v>
      </c>
      <c r="C2844" t="s">
        <v>10</v>
      </c>
      <c r="D2844" t="s">
        <v>38</v>
      </c>
      <c r="E2844" t="s">
        <v>42</v>
      </c>
      <c r="F2844" t="s">
        <v>13</v>
      </c>
      <c r="G2844">
        <v>1</v>
      </c>
      <c r="H2844">
        <v>3.8</v>
      </c>
      <c r="I2844" t="s">
        <v>39</v>
      </c>
      <c r="J2844" t="s">
        <v>1038</v>
      </c>
      <c r="K2844" s="12">
        <f>Store_Record[[#This Row],[Qty]]*Store_Record[[#This Row],[UnitPriceGBP]]</f>
        <v>3.8</v>
      </c>
      <c r="L2844" s="5" t="str">
        <f>TEXT(Store_Record[[#This Row],[Date]],"dddd")</f>
        <v>Friday</v>
      </c>
      <c r="M2844" s="5" t="str">
        <f>TEXT(Store_Record[[#This Row],[Date]],"mmmm")</f>
        <v>July</v>
      </c>
      <c r="N2844" s="5">
        <f>YEAR(Store_Record[[#This Row],[Date]])</f>
        <v>2025</v>
      </c>
      <c r="O2844"/>
    </row>
    <row r="2845" spans="1:15" x14ac:dyDescent="0.35">
      <c r="A2845" t="s">
        <v>3793</v>
      </c>
      <c r="B2845" s="2">
        <v>45863</v>
      </c>
      <c r="C2845" t="s">
        <v>36</v>
      </c>
      <c r="D2845" t="s">
        <v>47</v>
      </c>
      <c r="E2845" t="s">
        <v>30</v>
      </c>
      <c r="F2845" t="s">
        <v>31</v>
      </c>
      <c r="G2845">
        <v>1</v>
      </c>
      <c r="H2845">
        <v>2.8</v>
      </c>
      <c r="I2845" t="s">
        <v>21</v>
      </c>
      <c r="J2845" t="s">
        <v>3398</v>
      </c>
      <c r="K2845" s="12">
        <f>Store_Record[[#This Row],[Qty]]*Store_Record[[#This Row],[UnitPriceGBP]]</f>
        <v>2.8</v>
      </c>
      <c r="L2845" s="5" t="str">
        <f>TEXT(Store_Record[[#This Row],[Date]],"dddd")</f>
        <v>Friday</v>
      </c>
      <c r="M2845" s="5" t="str">
        <f>TEXT(Store_Record[[#This Row],[Date]],"mmmm")</f>
        <v>July</v>
      </c>
      <c r="N2845" s="5">
        <f>YEAR(Store_Record[[#This Row],[Date]])</f>
        <v>2025</v>
      </c>
      <c r="O2845"/>
    </row>
    <row r="2846" spans="1:15" x14ac:dyDescent="0.35">
      <c r="A2846" t="s">
        <v>3798</v>
      </c>
      <c r="B2846" s="2">
        <v>45864</v>
      </c>
      <c r="C2846" t="s">
        <v>10</v>
      </c>
      <c r="D2846" t="s">
        <v>38</v>
      </c>
      <c r="E2846" t="s">
        <v>42</v>
      </c>
      <c r="F2846" t="s">
        <v>13</v>
      </c>
      <c r="G2846">
        <v>5</v>
      </c>
      <c r="H2846">
        <v>3.8</v>
      </c>
      <c r="I2846" t="s">
        <v>14</v>
      </c>
      <c r="J2846" t="s">
        <v>1862</v>
      </c>
      <c r="K2846" s="12">
        <f>Store_Record[[#This Row],[Qty]]*Store_Record[[#This Row],[UnitPriceGBP]]</f>
        <v>19</v>
      </c>
      <c r="L2846" s="5" t="str">
        <f>TEXT(Store_Record[[#This Row],[Date]],"dddd")</f>
        <v>Saturday</v>
      </c>
      <c r="M2846" s="5" t="str">
        <f>TEXT(Store_Record[[#This Row],[Date]],"mmmm")</f>
        <v>July</v>
      </c>
      <c r="N2846" s="5">
        <f>YEAR(Store_Record[[#This Row],[Date]])</f>
        <v>2025</v>
      </c>
      <c r="O2846"/>
    </row>
    <row r="2847" spans="1:15" x14ac:dyDescent="0.35">
      <c r="A2847" t="s">
        <v>3807</v>
      </c>
      <c r="B2847" s="2">
        <v>45864</v>
      </c>
      <c r="C2847" t="s">
        <v>24</v>
      </c>
      <c r="D2847" t="s">
        <v>11</v>
      </c>
      <c r="E2847" t="s">
        <v>42</v>
      </c>
      <c r="F2847" t="s">
        <v>13</v>
      </c>
      <c r="G2847">
        <v>4</v>
      </c>
      <c r="H2847">
        <v>3.8</v>
      </c>
      <c r="I2847" t="s">
        <v>21</v>
      </c>
      <c r="J2847" t="s">
        <v>824</v>
      </c>
      <c r="K2847" s="12">
        <f>Store_Record[[#This Row],[Qty]]*Store_Record[[#This Row],[UnitPriceGBP]]</f>
        <v>15.2</v>
      </c>
      <c r="L2847" s="5" t="str">
        <f>TEXT(Store_Record[[#This Row],[Date]],"dddd")</f>
        <v>Saturday</v>
      </c>
      <c r="M2847" s="5" t="str">
        <f>TEXT(Store_Record[[#This Row],[Date]],"mmmm")</f>
        <v>July</v>
      </c>
      <c r="N2847" s="5">
        <f>YEAR(Store_Record[[#This Row],[Date]])</f>
        <v>2025</v>
      </c>
      <c r="O2847"/>
    </row>
    <row r="2848" spans="1:15" x14ac:dyDescent="0.35">
      <c r="A2848" t="s">
        <v>3801</v>
      </c>
      <c r="B2848" s="2">
        <v>45864</v>
      </c>
      <c r="C2848" t="s">
        <v>20</v>
      </c>
      <c r="D2848" t="s">
        <v>11</v>
      </c>
      <c r="E2848" t="s">
        <v>30</v>
      </c>
      <c r="F2848" t="s">
        <v>31</v>
      </c>
      <c r="G2848">
        <v>5</v>
      </c>
      <c r="H2848">
        <v>2.8</v>
      </c>
      <c r="I2848" t="s">
        <v>14</v>
      </c>
      <c r="J2848" t="s">
        <v>490</v>
      </c>
      <c r="K2848" s="12">
        <f>Store_Record[[#This Row],[Qty]]*Store_Record[[#This Row],[UnitPriceGBP]]</f>
        <v>14</v>
      </c>
      <c r="L2848" s="5" t="str">
        <f>TEXT(Store_Record[[#This Row],[Date]],"dddd")</f>
        <v>Saturday</v>
      </c>
      <c r="M2848" s="5" t="str">
        <f>TEXT(Store_Record[[#This Row],[Date]],"mmmm")</f>
        <v>July</v>
      </c>
      <c r="N2848" s="5">
        <f>YEAR(Store_Record[[#This Row],[Date]])</f>
        <v>2025</v>
      </c>
      <c r="O2848"/>
    </row>
    <row r="2849" spans="1:15" x14ac:dyDescent="0.35">
      <c r="A2849" t="s">
        <v>3803</v>
      </c>
      <c r="B2849" s="2">
        <v>45864</v>
      </c>
      <c r="C2849" t="s">
        <v>36</v>
      </c>
      <c r="D2849" t="s">
        <v>47</v>
      </c>
      <c r="E2849" t="s">
        <v>42</v>
      </c>
      <c r="F2849" t="s">
        <v>13</v>
      </c>
      <c r="G2849">
        <v>3</v>
      </c>
      <c r="H2849">
        <v>3.8</v>
      </c>
      <c r="I2849" t="s">
        <v>21</v>
      </c>
      <c r="J2849" t="s">
        <v>1403</v>
      </c>
      <c r="K2849" s="12">
        <f>Store_Record[[#This Row],[Qty]]*Store_Record[[#This Row],[UnitPriceGBP]]</f>
        <v>11.399999999999999</v>
      </c>
      <c r="L2849" s="5" t="str">
        <f>TEXT(Store_Record[[#This Row],[Date]],"dddd")</f>
        <v>Saturday</v>
      </c>
      <c r="M2849" s="5" t="str">
        <f>TEXT(Store_Record[[#This Row],[Date]],"mmmm")</f>
        <v>July</v>
      </c>
      <c r="N2849" s="5">
        <f>YEAR(Store_Record[[#This Row],[Date]])</f>
        <v>2025</v>
      </c>
      <c r="O2849"/>
    </row>
    <row r="2850" spans="1:15" x14ac:dyDescent="0.35">
      <c r="A2850" t="s">
        <v>3806</v>
      </c>
      <c r="B2850" s="2">
        <v>45864</v>
      </c>
      <c r="C2850" t="s">
        <v>36</v>
      </c>
      <c r="D2850" t="s">
        <v>25</v>
      </c>
      <c r="E2850" t="s">
        <v>34</v>
      </c>
      <c r="F2850" t="s">
        <v>31</v>
      </c>
      <c r="G2850">
        <v>5</v>
      </c>
      <c r="H2850">
        <v>2.2000000000000002</v>
      </c>
      <c r="I2850" t="s">
        <v>39</v>
      </c>
      <c r="J2850" t="s">
        <v>1099</v>
      </c>
      <c r="K2850" s="12">
        <f>Store_Record[[#This Row],[Qty]]*Store_Record[[#This Row],[UnitPriceGBP]]</f>
        <v>11</v>
      </c>
      <c r="L2850" s="5" t="str">
        <f>TEXT(Store_Record[[#This Row],[Date]],"dddd")</f>
        <v>Saturday</v>
      </c>
      <c r="M2850" s="5" t="str">
        <f>TEXT(Store_Record[[#This Row],[Date]],"mmmm")</f>
        <v>July</v>
      </c>
      <c r="N2850" s="5">
        <f>YEAR(Store_Record[[#This Row],[Date]])</f>
        <v>2025</v>
      </c>
      <c r="O2850"/>
    </row>
    <row r="2851" spans="1:15" x14ac:dyDescent="0.35">
      <c r="A2851" t="s">
        <v>3799</v>
      </c>
      <c r="B2851" s="2">
        <v>45864</v>
      </c>
      <c r="C2851" t="s">
        <v>10</v>
      </c>
      <c r="D2851" t="s">
        <v>47</v>
      </c>
      <c r="E2851" t="s">
        <v>30</v>
      </c>
      <c r="F2851" t="s">
        <v>31</v>
      </c>
      <c r="G2851">
        <v>3</v>
      </c>
      <c r="H2851">
        <v>2.8</v>
      </c>
      <c r="I2851" t="s">
        <v>39</v>
      </c>
      <c r="J2851" t="s">
        <v>1509</v>
      </c>
      <c r="K2851" s="12">
        <f>Store_Record[[#This Row],[Qty]]*Store_Record[[#This Row],[UnitPriceGBP]]</f>
        <v>8.3999999999999986</v>
      </c>
      <c r="L2851" s="5" t="str">
        <f>TEXT(Store_Record[[#This Row],[Date]],"dddd")</f>
        <v>Saturday</v>
      </c>
      <c r="M2851" s="5" t="str">
        <f>TEXT(Store_Record[[#This Row],[Date]],"mmmm")</f>
        <v>July</v>
      </c>
      <c r="N2851" s="5">
        <f>YEAR(Store_Record[[#This Row],[Date]])</f>
        <v>2025</v>
      </c>
      <c r="O2851"/>
    </row>
    <row r="2852" spans="1:15" x14ac:dyDescent="0.35">
      <c r="A2852" t="s">
        <v>3802</v>
      </c>
      <c r="B2852" s="2">
        <v>45864</v>
      </c>
      <c r="C2852" t="s">
        <v>36</v>
      </c>
      <c r="D2852" t="s">
        <v>11</v>
      </c>
      <c r="E2852" t="s">
        <v>42</v>
      </c>
      <c r="F2852" t="s">
        <v>13</v>
      </c>
      <c r="G2852">
        <v>2</v>
      </c>
      <c r="H2852">
        <v>3.8</v>
      </c>
      <c r="I2852" t="s">
        <v>14</v>
      </c>
      <c r="J2852" t="s">
        <v>2071</v>
      </c>
      <c r="K2852" s="12">
        <f>Store_Record[[#This Row],[Qty]]*Store_Record[[#This Row],[UnitPriceGBP]]</f>
        <v>7.6</v>
      </c>
      <c r="L2852" s="5" t="str">
        <f>TEXT(Store_Record[[#This Row],[Date]],"dddd")</f>
        <v>Saturday</v>
      </c>
      <c r="M2852" s="5" t="str">
        <f>TEXT(Store_Record[[#This Row],[Date]],"mmmm")</f>
        <v>July</v>
      </c>
      <c r="N2852" s="5">
        <f>YEAR(Store_Record[[#This Row],[Date]])</f>
        <v>2025</v>
      </c>
      <c r="O2852"/>
    </row>
    <row r="2853" spans="1:15" x14ac:dyDescent="0.35">
      <c r="A2853" t="s">
        <v>3808</v>
      </c>
      <c r="B2853" s="2">
        <v>45864</v>
      </c>
      <c r="C2853" t="s">
        <v>24</v>
      </c>
      <c r="D2853" t="s">
        <v>11</v>
      </c>
      <c r="E2853" t="s">
        <v>42</v>
      </c>
      <c r="F2853" t="s">
        <v>13</v>
      </c>
      <c r="G2853">
        <v>2</v>
      </c>
      <c r="H2853">
        <v>3.8</v>
      </c>
      <c r="I2853" t="s">
        <v>39</v>
      </c>
      <c r="J2853" t="s">
        <v>3555</v>
      </c>
      <c r="K2853" s="12">
        <f>Store_Record[[#This Row],[Qty]]*Store_Record[[#This Row],[UnitPriceGBP]]</f>
        <v>7.6</v>
      </c>
      <c r="L2853" s="5" t="str">
        <f>TEXT(Store_Record[[#This Row],[Date]],"dddd")</f>
        <v>Saturday</v>
      </c>
      <c r="M2853" s="5" t="str">
        <f>TEXT(Store_Record[[#This Row],[Date]],"mmmm")</f>
        <v>July</v>
      </c>
      <c r="N2853" s="5">
        <f>YEAR(Store_Record[[#This Row],[Date]])</f>
        <v>2025</v>
      </c>
      <c r="O2853"/>
    </row>
    <row r="2854" spans="1:15" x14ac:dyDescent="0.35">
      <c r="A2854" t="s">
        <v>3809</v>
      </c>
      <c r="B2854" s="2">
        <v>45864</v>
      </c>
      <c r="C2854" t="s">
        <v>36</v>
      </c>
      <c r="D2854" t="s">
        <v>11</v>
      </c>
      <c r="E2854" t="s">
        <v>26</v>
      </c>
      <c r="F2854" t="s">
        <v>13</v>
      </c>
      <c r="G2854">
        <v>2</v>
      </c>
      <c r="H2854">
        <v>3.5</v>
      </c>
      <c r="I2854" t="s">
        <v>21</v>
      </c>
      <c r="J2854" t="s">
        <v>68</v>
      </c>
      <c r="K2854" s="12">
        <f>Store_Record[[#This Row],[Qty]]*Store_Record[[#This Row],[UnitPriceGBP]]</f>
        <v>7</v>
      </c>
      <c r="L2854" s="5" t="str">
        <f>TEXT(Store_Record[[#This Row],[Date]],"dddd")</f>
        <v>Saturday</v>
      </c>
      <c r="M2854" s="5" t="str">
        <f>TEXT(Store_Record[[#This Row],[Date]],"mmmm")</f>
        <v>July</v>
      </c>
      <c r="N2854" s="5">
        <f>YEAR(Store_Record[[#This Row],[Date]])</f>
        <v>2025</v>
      </c>
      <c r="O2854"/>
    </row>
    <row r="2855" spans="1:15" x14ac:dyDescent="0.35">
      <c r="A2855" t="s">
        <v>3800</v>
      </c>
      <c r="B2855" s="2">
        <v>45864</v>
      </c>
      <c r="C2855" t="s">
        <v>24</v>
      </c>
      <c r="D2855" t="s">
        <v>38</v>
      </c>
      <c r="E2855" t="s">
        <v>34</v>
      </c>
      <c r="F2855" t="s">
        <v>31</v>
      </c>
      <c r="G2855">
        <v>3</v>
      </c>
      <c r="H2855">
        <v>2.2000000000000002</v>
      </c>
      <c r="I2855" t="s">
        <v>14</v>
      </c>
      <c r="J2855" t="s">
        <v>1872</v>
      </c>
      <c r="K2855" s="12">
        <f>Store_Record[[#This Row],[Qty]]*Store_Record[[#This Row],[UnitPriceGBP]]</f>
        <v>6.6000000000000005</v>
      </c>
      <c r="L2855" s="5" t="str">
        <f>TEXT(Store_Record[[#This Row],[Date]],"dddd")</f>
        <v>Saturday</v>
      </c>
      <c r="M2855" s="5" t="str">
        <f>TEXT(Store_Record[[#This Row],[Date]],"mmmm")</f>
        <v>July</v>
      </c>
      <c r="N2855" s="5">
        <f>YEAR(Store_Record[[#This Row],[Date]])</f>
        <v>2025</v>
      </c>
      <c r="O2855"/>
    </row>
    <row r="2856" spans="1:15" x14ac:dyDescent="0.35">
      <c r="A2856" t="s">
        <v>3804</v>
      </c>
      <c r="B2856" s="2">
        <v>45864</v>
      </c>
      <c r="C2856" t="s">
        <v>24</v>
      </c>
      <c r="D2856" t="s">
        <v>29</v>
      </c>
      <c r="E2856" t="s">
        <v>30</v>
      </c>
      <c r="F2856" t="s">
        <v>31</v>
      </c>
      <c r="G2856">
        <v>1</v>
      </c>
      <c r="H2856">
        <v>2.8</v>
      </c>
      <c r="I2856" t="s">
        <v>39</v>
      </c>
      <c r="J2856" t="s">
        <v>3805</v>
      </c>
      <c r="K2856" s="12">
        <f>Store_Record[[#This Row],[Qty]]*Store_Record[[#This Row],[UnitPriceGBP]]</f>
        <v>2.8</v>
      </c>
      <c r="L2856" s="5" t="str">
        <f>TEXT(Store_Record[[#This Row],[Date]],"dddd")</f>
        <v>Saturday</v>
      </c>
      <c r="M2856" s="5" t="str">
        <f>TEXT(Store_Record[[#This Row],[Date]],"mmmm")</f>
        <v>July</v>
      </c>
      <c r="N2856" s="5">
        <f>YEAR(Store_Record[[#This Row],[Date]])</f>
        <v>2025</v>
      </c>
      <c r="O2856"/>
    </row>
    <row r="2857" spans="1:15" x14ac:dyDescent="0.35">
      <c r="A2857" t="s">
        <v>3810</v>
      </c>
      <c r="B2857" s="2">
        <v>45864</v>
      </c>
      <c r="C2857" t="s">
        <v>24</v>
      </c>
      <c r="D2857" t="s">
        <v>38</v>
      </c>
      <c r="E2857" t="s">
        <v>12</v>
      </c>
      <c r="F2857" t="s">
        <v>13</v>
      </c>
      <c r="G2857">
        <v>1</v>
      </c>
      <c r="H2857">
        <v>2.5</v>
      </c>
      <c r="I2857" t="s">
        <v>21</v>
      </c>
      <c r="J2857" t="s">
        <v>392</v>
      </c>
      <c r="K2857" s="12">
        <f>Store_Record[[#This Row],[Qty]]*Store_Record[[#This Row],[UnitPriceGBP]]</f>
        <v>2.5</v>
      </c>
      <c r="L2857" s="5" t="str">
        <f>TEXT(Store_Record[[#This Row],[Date]],"dddd")</f>
        <v>Saturday</v>
      </c>
      <c r="M2857" s="5" t="str">
        <f>TEXT(Store_Record[[#This Row],[Date]],"mmmm")</f>
        <v>July</v>
      </c>
      <c r="N2857" s="5">
        <f>YEAR(Store_Record[[#This Row],[Date]])</f>
        <v>2025</v>
      </c>
      <c r="O2857"/>
    </row>
    <row r="2858" spans="1:15" x14ac:dyDescent="0.35">
      <c r="A2858" t="s">
        <v>6011</v>
      </c>
      <c r="B2858" s="2">
        <v>45864</v>
      </c>
      <c r="C2858" t="s">
        <v>24</v>
      </c>
      <c r="D2858" t="s">
        <v>11</v>
      </c>
      <c r="E2858" t="s">
        <v>34</v>
      </c>
      <c r="F2858" t="s">
        <v>31</v>
      </c>
      <c r="G2858">
        <v>1</v>
      </c>
      <c r="H2858">
        <v>2.2000000000000002</v>
      </c>
      <c r="I2858" t="s">
        <v>39</v>
      </c>
      <c r="J2858" t="s">
        <v>1145</v>
      </c>
      <c r="K2858" s="12">
        <f>Store_Record[[#This Row],[Qty]]*Store_Record[[#This Row],[UnitPriceGBP]]</f>
        <v>2.2000000000000002</v>
      </c>
      <c r="L2858" s="5" t="str">
        <f>TEXT(Store_Record[[#This Row],[Date]],"dddd")</f>
        <v>Saturday</v>
      </c>
      <c r="M2858" s="5" t="str">
        <f>TEXT(Store_Record[[#This Row],[Date]],"mmmm")</f>
        <v>July</v>
      </c>
      <c r="N2858" s="5">
        <f>YEAR(Store_Record[[#This Row],[Date]])</f>
        <v>2025</v>
      </c>
      <c r="O2858"/>
    </row>
    <row r="2859" spans="1:15" x14ac:dyDescent="0.35">
      <c r="A2859" t="s">
        <v>3811</v>
      </c>
      <c r="B2859" s="2">
        <v>45865</v>
      </c>
      <c r="C2859" t="s">
        <v>20</v>
      </c>
      <c r="D2859" t="s">
        <v>38</v>
      </c>
      <c r="E2859" t="s">
        <v>26</v>
      </c>
      <c r="F2859" t="s">
        <v>13</v>
      </c>
      <c r="G2859">
        <v>5</v>
      </c>
      <c r="H2859">
        <v>3.5</v>
      </c>
      <c r="I2859" t="s">
        <v>14</v>
      </c>
      <c r="J2859" t="s">
        <v>3812</v>
      </c>
      <c r="K2859" s="12">
        <f>Store_Record[[#This Row],[Qty]]*Store_Record[[#This Row],[UnitPriceGBP]]</f>
        <v>17.5</v>
      </c>
      <c r="L2859" s="5" t="str">
        <f>TEXT(Store_Record[[#This Row],[Date]],"dddd")</f>
        <v>Sunday</v>
      </c>
      <c r="M2859" s="5" t="str">
        <f>TEXT(Store_Record[[#This Row],[Date]],"mmmm")</f>
        <v>July</v>
      </c>
      <c r="N2859" s="5">
        <f>YEAR(Store_Record[[#This Row],[Date]])</f>
        <v>2025</v>
      </c>
      <c r="O2859"/>
    </row>
    <row r="2860" spans="1:15" x14ac:dyDescent="0.35">
      <c r="A2860" t="s">
        <v>3813</v>
      </c>
      <c r="B2860" s="2">
        <v>45865</v>
      </c>
      <c r="C2860" t="s">
        <v>24</v>
      </c>
      <c r="D2860" t="s">
        <v>11</v>
      </c>
      <c r="E2860" t="s">
        <v>42</v>
      </c>
      <c r="F2860" t="s">
        <v>13</v>
      </c>
      <c r="G2860">
        <v>4</v>
      </c>
      <c r="H2860">
        <v>3.8</v>
      </c>
      <c r="I2860" t="s">
        <v>21</v>
      </c>
      <c r="J2860" t="s">
        <v>99</v>
      </c>
      <c r="K2860" s="12">
        <f>Store_Record[[#This Row],[Qty]]*Store_Record[[#This Row],[UnitPriceGBP]]</f>
        <v>15.2</v>
      </c>
      <c r="L2860" s="5" t="str">
        <f>TEXT(Store_Record[[#This Row],[Date]],"dddd")</f>
        <v>Sunday</v>
      </c>
      <c r="M2860" s="5" t="str">
        <f>TEXT(Store_Record[[#This Row],[Date]],"mmmm")</f>
        <v>July</v>
      </c>
      <c r="N2860" s="5">
        <f>YEAR(Store_Record[[#This Row],[Date]])</f>
        <v>2025</v>
      </c>
      <c r="O2860"/>
    </row>
    <row r="2861" spans="1:15" x14ac:dyDescent="0.35">
      <c r="A2861" t="s">
        <v>3819</v>
      </c>
      <c r="B2861" s="2">
        <v>45865</v>
      </c>
      <c r="C2861" t="s">
        <v>36</v>
      </c>
      <c r="D2861" t="s">
        <v>25</v>
      </c>
      <c r="E2861" t="s">
        <v>42</v>
      </c>
      <c r="F2861" t="s">
        <v>13</v>
      </c>
      <c r="G2861">
        <v>4</v>
      </c>
      <c r="H2861">
        <v>3.8</v>
      </c>
      <c r="I2861" t="s">
        <v>14</v>
      </c>
      <c r="J2861" t="s">
        <v>618</v>
      </c>
      <c r="K2861" s="12">
        <f>Store_Record[[#This Row],[Qty]]*Store_Record[[#This Row],[UnitPriceGBP]]</f>
        <v>15.2</v>
      </c>
      <c r="L2861" s="5" t="str">
        <f>TEXT(Store_Record[[#This Row],[Date]],"dddd")</f>
        <v>Sunday</v>
      </c>
      <c r="M2861" s="5" t="str">
        <f>TEXT(Store_Record[[#This Row],[Date]],"mmmm")</f>
        <v>July</v>
      </c>
      <c r="N2861" s="5">
        <f>YEAR(Store_Record[[#This Row],[Date]])</f>
        <v>2025</v>
      </c>
      <c r="O2861"/>
    </row>
    <row r="2862" spans="1:15" x14ac:dyDescent="0.35">
      <c r="A2862" t="s">
        <v>3817</v>
      </c>
      <c r="B2862" s="2">
        <v>45865</v>
      </c>
      <c r="C2862" t="s">
        <v>10</v>
      </c>
      <c r="D2862" t="s">
        <v>29</v>
      </c>
      <c r="E2862" t="s">
        <v>26</v>
      </c>
      <c r="F2862" t="s">
        <v>13</v>
      </c>
      <c r="G2862">
        <v>4</v>
      </c>
      <c r="H2862">
        <v>3.5</v>
      </c>
      <c r="I2862" t="s">
        <v>14</v>
      </c>
      <c r="J2862" t="s">
        <v>1755</v>
      </c>
      <c r="K2862" s="12">
        <f>Store_Record[[#This Row],[Qty]]*Store_Record[[#This Row],[UnitPriceGBP]]</f>
        <v>14</v>
      </c>
      <c r="L2862" s="5" t="str">
        <f>TEXT(Store_Record[[#This Row],[Date]],"dddd")</f>
        <v>Sunday</v>
      </c>
      <c r="M2862" s="5" t="str">
        <f>TEXT(Store_Record[[#This Row],[Date]],"mmmm")</f>
        <v>July</v>
      </c>
      <c r="N2862" s="5">
        <f>YEAR(Store_Record[[#This Row],[Date]])</f>
        <v>2025</v>
      </c>
      <c r="O2862"/>
    </row>
    <row r="2863" spans="1:15" x14ac:dyDescent="0.35">
      <c r="A2863" t="s">
        <v>3814</v>
      </c>
      <c r="B2863" s="2">
        <v>45865</v>
      </c>
      <c r="C2863" t="s">
        <v>24</v>
      </c>
      <c r="D2863" t="s">
        <v>25</v>
      </c>
      <c r="E2863" t="s">
        <v>34</v>
      </c>
      <c r="F2863" t="s">
        <v>31</v>
      </c>
      <c r="G2863">
        <v>4</v>
      </c>
      <c r="H2863">
        <v>2.2000000000000002</v>
      </c>
      <c r="I2863" t="s">
        <v>39</v>
      </c>
      <c r="J2863" t="s">
        <v>2105</v>
      </c>
      <c r="K2863" s="12">
        <f>Store_Record[[#This Row],[Qty]]*Store_Record[[#This Row],[UnitPriceGBP]]</f>
        <v>8.8000000000000007</v>
      </c>
      <c r="L2863" s="5" t="str">
        <f>TEXT(Store_Record[[#This Row],[Date]],"dddd")</f>
        <v>Sunday</v>
      </c>
      <c r="M2863" s="5" t="str">
        <f>TEXT(Store_Record[[#This Row],[Date]],"mmmm")</f>
        <v>July</v>
      </c>
      <c r="N2863" s="5">
        <f>YEAR(Store_Record[[#This Row],[Date]])</f>
        <v>2025</v>
      </c>
      <c r="O2863"/>
    </row>
    <row r="2864" spans="1:15" x14ac:dyDescent="0.35">
      <c r="A2864" t="s">
        <v>3816</v>
      </c>
      <c r="B2864" s="2">
        <v>45865</v>
      </c>
      <c r="C2864" t="s">
        <v>36</v>
      </c>
      <c r="D2864" t="s">
        <v>47</v>
      </c>
      <c r="E2864" t="s">
        <v>42</v>
      </c>
      <c r="F2864" t="s">
        <v>13</v>
      </c>
      <c r="G2864">
        <v>2</v>
      </c>
      <c r="H2864">
        <v>3.8</v>
      </c>
      <c r="I2864" t="s">
        <v>21</v>
      </c>
      <c r="J2864" t="s">
        <v>1081</v>
      </c>
      <c r="K2864" s="12">
        <f>Store_Record[[#This Row],[Qty]]*Store_Record[[#This Row],[UnitPriceGBP]]</f>
        <v>7.6</v>
      </c>
      <c r="L2864" s="5" t="str">
        <f>TEXT(Store_Record[[#This Row],[Date]],"dddd")</f>
        <v>Sunday</v>
      </c>
      <c r="M2864" s="5" t="str">
        <f>TEXT(Store_Record[[#This Row],[Date]],"mmmm")</f>
        <v>July</v>
      </c>
      <c r="N2864" s="5">
        <f>YEAR(Store_Record[[#This Row],[Date]])</f>
        <v>2025</v>
      </c>
      <c r="O2864"/>
    </row>
    <row r="2865" spans="1:15" x14ac:dyDescent="0.35">
      <c r="A2865" t="s">
        <v>3815</v>
      </c>
      <c r="B2865" s="2">
        <v>45865</v>
      </c>
      <c r="C2865" t="s">
        <v>36</v>
      </c>
      <c r="D2865" t="s">
        <v>38</v>
      </c>
      <c r="E2865" t="s">
        <v>26</v>
      </c>
      <c r="F2865" t="s">
        <v>13</v>
      </c>
      <c r="G2865">
        <v>2</v>
      </c>
      <c r="H2865">
        <v>3.5</v>
      </c>
      <c r="I2865" t="s">
        <v>39</v>
      </c>
      <c r="J2865" t="s">
        <v>2498</v>
      </c>
      <c r="K2865" s="12">
        <f>Store_Record[[#This Row],[Qty]]*Store_Record[[#This Row],[UnitPriceGBP]]</f>
        <v>7</v>
      </c>
      <c r="L2865" s="5" t="str">
        <f>TEXT(Store_Record[[#This Row],[Date]],"dddd")</f>
        <v>Sunday</v>
      </c>
      <c r="M2865" s="5" t="str">
        <f>TEXT(Store_Record[[#This Row],[Date]],"mmmm")</f>
        <v>July</v>
      </c>
      <c r="N2865" s="5">
        <f>YEAR(Store_Record[[#This Row],[Date]])</f>
        <v>2025</v>
      </c>
      <c r="O2865"/>
    </row>
    <row r="2866" spans="1:15" x14ac:dyDescent="0.35">
      <c r="A2866" t="s">
        <v>3820</v>
      </c>
      <c r="B2866" s="2">
        <v>45865</v>
      </c>
      <c r="C2866" t="s">
        <v>10</v>
      </c>
      <c r="D2866" t="s">
        <v>11</v>
      </c>
      <c r="E2866" t="s">
        <v>34</v>
      </c>
      <c r="F2866" t="s">
        <v>31</v>
      </c>
      <c r="G2866">
        <v>2</v>
      </c>
      <c r="H2866">
        <v>2.2000000000000002</v>
      </c>
      <c r="I2866" t="s">
        <v>14</v>
      </c>
      <c r="J2866" t="s">
        <v>573</v>
      </c>
      <c r="K2866" s="12">
        <f>Store_Record[[#This Row],[Qty]]*Store_Record[[#This Row],[UnitPriceGBP]]</f>
        <v>4.4000000000000004</v>
      </c>
      <c r="L2866" s="5" t="str">
        <f>TEXT(Store_Record[[#This Row],[Date]],"dddd")</f>
        <v>Sunday</v>
      </c>
      <c r="M2866" s="5" t="str">
        <f>TEXT(Store_Record[[#This Row],[Date]],"mmmm")</f>
        <v>July</v>
      </c>
      <c r="N2866" s="5">
        <f>YEAR(Store_Record[[#This Row],[Date]])</f>
        <v>2025</v>
      </c>
      <c r="O2866"/>
    </row>
    <row r="2867" spans="1:15" x14ac:dyDescent="0.35">
      <c r="A2867" t="s">
        <v>3818</v>
      </c>
      <c r="B2867" s="2">
        <v>45865</v>
      </c>
      <c r="C2867" t="s">
        <v>20</v>
      </c>
      <c r="D2867" t="s">
        <v>29</v>
      </c>
      <c r="E2867" t="s">
        <v>42</v>
      </c>
      <c r="F2867" t="s">
        <v>13</v>
      </c>
      <c r="G2867">
        <v>1</v>
      </c>
      <c r="H2867">
        <v>3.8</v>
      </c>
      <c r="I2867" t="s">
        <v>39</v>
      </c>
      <c r="J2867" t="s">
        <v>2480</v>
      </c>
      <c r="K2867" s="12">
        <f>Store_Record[[#This Row],[Qty]]*Store_Record[[#This Row],[UnitPriceGBP]]</f>
        <v>3.8</v>
      </c>
      <c r="L2867" s="5" t="str">
        <f>TEXT(Store_Record[[#This Row],[Date]],"dddd")</f>
        <v>Sunday</v>
      </c>
      <c r="M2867" s="5" t="str">
        <f>TEXT(Store_Record[[#This Row],[Date]],"mmmm")</f>
        <v>July</v>
      </c>
      <c r="N2867" s="5">
        <f>YEAR(Store_Record[[#This Row],[Date]])</f>
        <v>2025</v>
      </c>
      <c r="O2867"/>
    </row>
    <row r="2868" spans="1:15" x14ac:dyDescent="0.35">
      <c r="A2868" t="s">
        <v>3834</v>
      </c>
      <c r="B2868" s="2">
        <v>45866</v>
      </c>
      <c r="C2868" t="s">
        <v>20</v>
      </c>
      <c r="D2868" t="s">
        <v>47</v>
      </c>
      <c r="E2868" t="s">
        <v>42</v>
      </c>
      <c r="F2868" t="s">
        <v>13</v>
      </c>
      <c r="G2868">
        <v>5</v>
      </c>
      <c r="H2868">
        <v>3.8</v>
      </c>
      <c r="I2868" t="s">
        <v>39</v>
      </c>
      <c r="J2868" t="s">
        <v>1034</v>
      </c>
      <c r="K2868" s="12">
        <f>Store_Record[[#This Row],[Qty]]*Store_Record[[#This Row],[UnitPriceGBP]]</f>
        <v>19</v>
      </c>
      <c r="L2868" s="5" t="str">
        <f>TEXT(Store_Record[[#This Row],[Date]],"dddd")</f>
        <v>Monday</v>
      </c>
      <c r="M2868" s="5" t="str">
        <f>TEXT(Store_Record[[#This Row],[Date]],"mmmm")</f>
        <v>July</v>
      </c>
      <c r="N2868" s="5">
        <f>YEAR(Store_Record[[#This Row],[Date]])</f>
        <v>2025</v>
      </c>
      <c r="O2868"/>
    </row>
    <row r="2869" spans="1:15" x14ac:dyDescent="0.35">
      <c r="A2869" t="s">
        <v>3826</v>
      </c>
      <c r="B2869" s="2">
        <v>45866</v>
      </c>
      <c r="C2869" t="s">
        <v>20</v>
      </c>
      <c r="D2869" t="s">
        <v>25</v>
      </c>
      <c r="E2869" t="s">
        <v>26</v>
      </c>
      <c r="F2869" t="s">
        <v>13</v>
      </c>
      <c r="G2869">
        <v>5</v>
      </c>
      <c r="H2869">
        <v>3.5</v>
      </c>
      <c r="I2869" t="s">
        <v>39</v>
      </c>
      <c r="J2869" t="s">
        <v>454</v>
      </c>
      <c r="K2869" s="12">
        <f>Store_Record[[#This Row],[Qty]]*Store_Record[[#This Row],[UnitPriceGBP]]</f>
        <v>17.5</v>
      </c>
      <c r="L2869" s="5" t="str">
        <f>TEXT(Store_Record[[#This Row],[Date]],"dddd")</f>
        <v>Monday</v>
      </c>
      <c r="M2869" s="5" t="str">
        <f>TEXT(Store_Record[[#This Row],[Date]],"mmmm")</f>
        <v>July</v>
      </c>
      <c r="N2869" s="5">
        <f>YEAR(Store_Record[[#This Row],[Date]])</f>
        <v>2025</v>
      </c>
      <c r="O2869"/>
    </row>
    <row r="2870" spans="1:15" x14ac:dyDescent="0.35">
      <c r="A2870" t="s">
        <v>3835</v>
      </c>
      <c r="B2870" s="2">
        <v>45866</v>
      </c>
      <c r="C2870" t="s">
        <v>20</v>
      </c>
      <c r="D2870" t="s">
        <v>11</v>
      </c>
      <c r="E2870" t="s">
        <v>26</v>
      </c>
      <c r="F2870" t="s">
        <v>13</v>
      </c>
      <c r="G2870">
        <v>5</v>
      </c>
      <c r="H2870">
        <v>3.5</v>
      </c>
      <c r="I2870" t="s">
        <v>14</v>
      </c>
      <c r="J2870" t="s">
        <v>3162</v>
      </c>
      <c r="K2870" s="12">
        <f>Store_Record[[#This Row],[Qty]]*Store_Record[[#This Row],[UnitPriceGBP]]</f>
        <v>17.5</v>
      </c>
      <c r="L2870" s="5" t="str">
        <f>TEXT(Store_Record[[#This Row],[Date]],"dddd")</f>
        <v>Monday</v>
      </c>
      <c r="M2870" s="5" t="str">
        <f>TEXT(Store_Record[[#This Row],[Date]],"mmmm")</f>
        <v>July</v>
      </c>
      <c r="N2870" s="5">
        <f>YEAR(Store_Record[[#This Row],[Date]])</f>
        <v>2025</v>
      </c>
      <c r="O2870"/>
    </row>
    <row r="2871" spans="1:15" x14ac:dyDescent="0.35">
      <c r="A2871" t="s">
        <v>3827</v>
      </c>
      <c r="B2871" s="2">
        <v>45866</v>
      </c>
      <c r="C2871" t="s">
        <v>36</v>
      </c>
      <c r="D2871" t="s">
        <v>25</v>
      </c>
      <c r="E2871" t="s">
        <v>26</v>
      </c>
      <c r="F2871" t="s">
        <v>13</v>
      </c>
      <c r="G2871">
        <v>3</v>
      </c>
      <c r="H2871">
        <v>3.5</v>
      </c>
      <c r="I2871" t="s">
        <v>39</v>
      </c>
      <c r="J2871" t="s">
        <v>2568</v>
      </c>
      <c r="K2871" s="12">
        <f>Store_Record[[#This Row],[Qty]]*Store_Record[[#This Row],[UnitPriceGBP]]</f>
        <v>10.5</v>
      </c>
      <c r="L2871" s="5" t="str">
        <f>TEXT(Store_Record[[#This Row],[Date]],"dddd")</f>
        <v>Monday</v>
      </c>
      <c r="M2871" s="5" t="str">
        <f>TEXT(Store_Record[[#This Row],[Date]],"mmmm")</f>
        <v>July</v>
      </c>
      <c r="N2871" s="5">
        <f>YEAR(Store_Record[[#This Row],[Date]])</f>
        <v>2025</v>
      </c>
      <c r="O2871"/>
    </row>
    <row r="2872" spans="1:15" x14ac:dyDescent="0.35">
      <c r="A2872" t="s">
        <v>3828</v>
      </c>
      <c r="B2872" s="2">
        <v>45866</v>
      </c>
      <c r="C2872" t="s">
        <v>10</v>
      </c>
      <c r="D2872" t="s">
        <v>11</v>
      </c>
      <c r="E2872" t="s">
        <v>12</v>
      </c>
      <c r="F2872" t="s">
        <v>13</v>
      </c>
      <c r="G2872">
        <v>4</v>
      </c>
      <c r="H2872">
        <v>2.5</v>
      </c>
      <c r="I2872" t="s">
        <v>14</v>
      </c>
      <c r="J2872" t="s">
        <v>2911</v>
      </c>
      <c r="K2872" s="12">
        <f>Store_Record[[#This Row],[Qty]]*Store_Record[[#This Row],[UnitPriceGBP]]</f>
        <v>10</v>
      </c>
      <c r="L2872" s="5" t="str">
        <f>TEXT(Store_Record[[#This Row],[Date]],"dddd")</f>
        <v>Monday</v>
      </c>
      <c r="M2872" s="5" t="str">
        <f>TEXT(Store_Record[[#This Row],[Date]],"mmmm")</f>
        <v>July</v>
      </c>
      <c r="N2872" s="5">
        <f>YEAR(Store_Record[[#This Row],[Date]])</f>
        <v>2025</v>
      </c>
      <c r="O2872"/>
    </row>
    <row r="2873" spans="1:15" x14ac:dyDescent="0.35">
      <c r="A2873" t="s">
        <v>3829</v>
      </c>
      <c r="B2873" s="2">
        <v>45866</v>
      </c>
      <c r="C2873" t="s">
        <v>20</v>
      </c>
      <c r="D2873" t="s">
        <v>47</v>
      </c>
      <c r="E2873" t="s">
        <v>30</v>
      </c>
      <c r="F2873" t="s">
        <v>31</v>
      </c>
      <c r="G2873">
        <v>3</v>
      </c>
      <c r="H2873">
        <v>2.8</v>
      </c>
      <c r="I2873" t="s">
        <v>39</v>
      </c>
      <c r="J2873" t="s">
        <v>390</v>
      </c>
      <c r="K2873" s="12">
        <f>Store_Record[[#This Row],[Qty]]*Store_Record[[#This Row],[UnitPriceGBP]]</f>
        <v>8.3999999999999986</v>
      </c>
      <c r="L2873" s="5" t="str">
        <f>TEXT(Store_Record[[#This Row],[Date]],"dddd")</f>
        <v>Monday</v>
      </c>
      <c r="M2873" s="5" t="str">
        <f>TEXT(Store_Record[[#This Row],[Date]],"mmmm")</f>
        <v>July</v>
      </c>
      <c r="N2873" s="5">
        <f>YEAR(Store_Record[[#This Row],[Date]])</f>
        <v>2025</v>
      </c>
      <c r="O2873"/>
    </row>
    <row r="2874" spans="1:15" x14ac:dyDescent="0.35">
      <c r="A2874" t="s">
        <v>3832</v>
      </c>
      <c r="B2874" s="2">
        <v>45866</v>
      </c>
      <c r="C2874" t="s">
        <v>10</v>
      </c>
      <c r="D2874" t="s">
        <v>47</v>
      </c>
      <c r="E2874" t="s">
        <v>30</v>
      </c>
      <c r="F2874" t="s">
        <v>31</v>
      </c>
      <c r="G2874">
        <v>3</v>
      </c>
      <c r="H2874">
        <v>2.8</v>
      </c>
      <c r="I2874" t="s">
        <v>39</v>
      </c>
      <c r="J2874" t="s">
        <v>764</v>
      </c>
      <c r="K2874" s="12">
        <f>Store_Record[[#This Row],[Qty]]*Store_Record[[#This Row],[UnitPriceGBP]]</f>
        <v>8.3999999999999986</v>
      </c>
      <c r="L2874" s="5" t="str">
        <f>TEXT(Store_Record[[#This Row],[Date]],"dddd")</f>
        <v>Monday</v>
      </c>
      <c r="M2874" s="5" t="str">
        <f>TEXT(Store_Record[[#This Row],[Date]],"mmmm")</f>
        <v>July</v>
      </c>
      <c r="N2874" s="5">
        <f>YEAR(Store_Record[[#This Row],[Date]])</f>
        <v>2025</v>
      </c>
      <c r="O2874"/>
    </row>
    <row r="2875" spans="1:15" x14ac:dyDescent="0.35">
      <c r="A2875" t="s">
        <v>3822</v>
      </c>
      <c r="B2875" s="2">
        <v>45866</v>
      </c>
      <c r="C2875" t="s">
        <v>36</v>
      </c>
      <c r="D2875" t="s">
        <v>11</v>
      </c>
      <c r="E2875" t="s">
        <v>42</v>
      </c>
      <c r="F2875" t="s">
        <v>13</v>
      </c>
      <c r="G2875">
        <v>2</v>
      </c>
      <c r="H2875">
        <v>3.8</v>
      </c>
      <c r="I2875" t="s">
        <v>39</v>
      </c>
      <c r="J2875" t="s">
        <v>827</v>
      </c>
      <c r="K2875" s="12">
        <f>Store_Record[[#This Row],[Qty]]*Store_Record[[#This Row],[UnitPriceGBP]]</f>
        <v>7.6</v>
      </c>
      <c r="L2875" s="5" t="str">
        <f>TEXT(Store_Record[[#This Row],[Date]],"dddd")</f>
        <v>Monday</v>
      </c>
      <c r="M2875" s="5" t="str">
        <f>TEXT(Store_Record[[#This Row],[Date]],"mmmm")</f>
        <v>July</v>
      </c>
      <c r="N2875" s="5">
        <f>YEAR(Store_Record[[#This Row],[Date]])</f>
        <v>2025</v>
      </c>
      <c r="O2875"/>
    </row>
    <row r="2876" spans="1:15" x14ac:dyDescent="0.35">
      <c r="A2876" t="s">
        <v>3821</v>
      </c>
      <c r="B2876" s="2">
        <v>45866</v>
      </c>
      <c r="C2876" t="s">
        <v>10</v>
      </c>
      <c r="D2876" t="s">
        <v>38</v>
      </c>
      <c r="E2876" t="s">
        <v>26</v>
      </c>
      <c r="F2876" t="s">
        <v>13</v>
      </c>
      <c r="G2876">
        <v>2</v>
      </c>
      <c r="H2876">
        <v>3.5</v>
      </c>
      <c r="I2876" t="s">
        <v>21</v>
      </c>
      <c r="J2876" t="s">
        <v>2422</v>
      </c>
      <c r="K2876" s="12">
        <f>Store_Record[[#This Row],[Qty]]*Store_Record[[#This Row],[UnitPriceGBP]]</f>
        <v>7</v>
      </c>
      <c r="L2876" s="5" t="str">
        <f>TEXT(Store_Record[[#This Row],[Date]],"dddd")</f>
        <v>Monday</v>
      </c>
      <c r="M2876" s="5" t="str">
        <f>TEXT(Store_Record[[#This Row],[Date]],"mmmm")</f>
        <v>July</v>
      </c>
      <c r="N2876" s="5">
        <f>YEAR(Store_Record[[#This Row],[Date]])</f>
        <v>2025</v>
      </c>
      <c r="O2876"/>
    </row>
    <row r="2877" spans="1:15" x14ac:dyDescent="0.35">
      <c r="A2877" t="s">
        <v>3836</v>
      </c>
      <c r="B2877" s="2">
        <v>45866</v>
      </c>
      <c r="C2877" t="s">
        <v>36</v>
      </c>
      <c r="D2877" t="s">
        <v>47</v>
      </c>
      <c r="E2877" t="s">
        <v>34</v>
      </c>
      <c r="F2877" t="s">
        <v>31</v>
      </c>
      <c r="G2877">
        <v>3</v>
      </c>
      <c r="H2877">
        <v>2.2000000000000002</v>
      </c>
      <c r="I2877" t="s">
        <v>14</v>
      </c>
      <c r="J2877" t="s">
        <v>302</v>
      </c>
      <c r="K2877" s="12">
        <f>Store_Record[[#This Row],[Qty]]*Store_Record[[#This Row],[UnitPriceGBP]]</f>
        <v>6.6000000000000005</v>
      </c>
      <c r="L2877" s="5" t="str">
        <f>TEXT(Store_Record[[#This Row],[Date]],"dddd")</f>
        <v>Monday</v>
      </c>
      <c r="M2877" s="5" t="str">
        <f>TEXT(Store_Record[[#This Row],[Date]],"mmmm")</f>
        <v>July</v>
      </c>
      <c r="N2877" s="5">
        <f>YEAR(Store_Record[[#This Row],[Date]])</f>
        <v>2025</v>
      </c>
      <c r="O2877"/>
    </row>
    <row r="2878" spans="1:15" x14ac:dyDescent="0.35">
      <c r="A2878" t="s">
        <v>3830</v>
      </c>
      <c r="B2878" s="2">
        <v>45866</v>
      </c>
      <c r="C2878" t="s">
        <v>10</v>
      </c>
      <c r="D2878" t="s">
        <v>47</v>
      </c>
      <c r="E2878" t="s">
        <v>30</v>
      </c>
      <c r="F2878" t="s">
        <v>31</v>
      </c>
      <c r="G2878">
        <v>2</v>
      </c>
      <c r="H2878">
        <v>2.8</v>
      </c>
      <c r="I2878" t="s">
        <v>21</v>
      </c>
      <c r="J2878" t="s">
        <v>3831</v>
      </c>
      <c r="K2878" s="12">
        <f>Store_Record[[#This Row],[Qty]]*Store_Record[[#This Row],[UnitPriceGBP]]</f>
        <v>5.6</v>
      </c>
      <c r="L2878" s="5" t="str">
        <f>TEXT(Store_Record[[#This Row],[Date]],"dddd")</f>
        <v>Monday</v>
      </c>
      <c r="M2878" s="5" t="str">
        <f>TEXT(Store_Record[[#This Row],[Date]],"mmmm")</f>
        <v>July</v>
      </c>
      <c r="N2878" s="5">
        <f>YEAR(Store_Record[[#This Row],[Date]])</f>
        <v>2025</v>
      </c>
      <c r="O2878"/>
    </row>
    <row r="2879" spans="1:15" x14ac:dyDescent="0.35">
      <c r="A2879" t="s">
        <v>3833</v>
      </c>
      <c r="B2879" s="2">
        <v>45866</v>
      </c>
      <c r="C2879" t="s">
        <v>24</v>
      </c>
      <c r="D2879" t="s">
        <v>25</v>
      </c>
      <c r="E2879" t="s">
        <v>30</v>
      </c>
      <c r="F2879" t="s">
        <v>31</v>
      </c>
      <c r="G2879">
        <v>2</v>
      </c>
      <c r="H2879">
        <v>2.8</v>
      </c>
      <c r="I2879" t="s">
        <v>39</v>
      </c>
      <c r="J2879" t="s">
        <v>892</v>
      </c>
      <c r="K2879" s="12">
        <f>Store_Record[[#This Row],[Qty]]*Store_Record[[#This Row],[UnitPriceGBP]]</f>
        <v>5.6</v>
      </c>
      <c r="L2879" s="5" t="str">
        <f>TEXT(Store_Record[[#This Row],[Date]],"dddd")</f>
        <v>Monday</v>
      </c>
      <c r="M2879" s="5" t="str">
        <f>TEXT(Store_Record[[#This Row],[Date]],"mmmm")</f>
        <v>July</v>
      </c>
      <c r="N2879" s="5">
        <f>YEAR(Store_Record[[#This Row],[Date]])</f>
        <v>2025</v>
      </c>
      <c r="O2879"/>
    </row>
    <row r="2880" spans="1:15" x14ac:dyDescent="0.35">
      <c r="A2880" t="s">
        <v>3823</v>
      </c>
      <c r="B2880" s="2">
        <v>45866</v>
      </c>
      <c r="C2880" t="s">
        <v>20</v>
      </c>
      <c r="D2880" t="s">
        <v>47</v>
      </c>
      <c r="E2880" t="s">
        <v>12</v>
      </c>
      <c r="F2880" t="s">
        <v>13</v>
      </c>
      <c r="G2880">
        <v>2</v>
      </c>
      <c r="H2880">
        <v>2.5</v>
      </c>
      <c r="I2880" t="s">
        <v>39</v>
      </c>
      <c r="J2880" t="s">
        <v>1305</v>
      </c>
      <c r="K2880" s="12">
        <f>Store_Record[[#This Row],[Qty]]*Store_Record[[#This Row],[UnitPriceGBP]]</f>
        <v>5</v>
      </c>
      <c r="L2880" s="5" t="str">
        <f>TEXT(Store_Record[[#This Row],[Date]],"dddd")</f>
        <v>Monday</v>
      </c>
      <c r="M2880" s="5" t="str">
        <f>TEXT(Store_Record[[#This Row],[Date]],"mmmm")</f>
        <v>July</v>
      </c>
      <c r="N2880" s="5">
        <f>YEAR(Store_Record[[#This Row],[Date]])</f>
        <v>2025</v>
      </c>
      <c r="O2880"/>
    </row>
    <row r="2881" spans="1:15" x14ac:dyDescent="0.35">
      <c r="A2881" t="s">
        <v>3824</v>
      </c>
      <c r="B2881" s="2">
        <v>45866</v>
      </c>
      <c r="C2881" t="s">
        <v>36</v>
      </c>
      <c r="D2881" t="s">
        <v>38</v>
      </c>
      <c r="E2881" t="s">
        <v>34</v>
      </c>
      <c r="F2881" t="s">
        <v>31</v>
      </c>
      <c r="G2881">
        <v>2</v>
      </c>
      <c r="H2881">
        <v>2.2000000000000002</v>
      </c>
      <c r="I2881" t="s">
        <v>39</v>
      </c>
      <c r="J2881" t="s">
        <v>3825</v>
      </c>
      <c r="K2881" s="12">
        <f>Store_Record[[#This Row],[Qty]]*Store_Record[[#This Row],[UnitPriceGBP]]</f>
        <v>4.4000000000000004</v>
      </c>
      <c r="L2881" s="5" t="str">
        <f>TEXT(Store_Record[[#This Row],[Date]],"dddd")</f>
        <v>Monday</v>
      </c>
      <c r="M2881" s="5" t="str">
        <f>TEXT(Store_Record[[#This Row],[Date]],"mmmm")</f>
        <v>July</v>
      </c>
      <c r="N2881" s="5">
        <f>YEAR(Store_Record[[#This Row],[Date]])</f>
        <v>2025</v>
      </c>
      <c r="O2881"/>
    </row>
    <row r="2882" spans="1:15" x14ac:dyDescent="0.35">
      <c r="A2882" t="s">
        <v>3837</v>
      </c>
      <c r="B2882" s="2">
        <v>45867</v>
      </c>
      <c r="C2882" t="s">
        <v>10</v>
      </c>
      <c r="D2882" t="s">
        <v>29</v>
      </c>
      <c r="E2882" t="s">
        <v>42</v>
      </c>
      <c r="F2882" t="s">
        <v>13</v>
      </c>
      <c r="G2882">
        <v>4</v>
      </c>
      <c r="H2882">
        <v>3.8</v>
      </c>
      <c r="I2882" t="s">
        <v>21</v>
      </c>
      <c r="J2882" t="s">
        <v>2466</v>
      </c>
      <c r="K2882" s="12">
        <f>Store_Record[[#This Row],[Qty]]*Store_Record[[#This Row],[UnitPriceGBP]]</f>
        <v>15.2</v>
      </c>
      <c r="L2882" s="5" t="str">
        <f>TEXT(Store_Record[[#This Row],[Date]],"dddd")</f>
        <v>Tuesday</v>
      </c>
      <c r="M2882" s="5" t="str">
        <f>TEXT(Store_Record[[#This Row],[Date]],"mmmm")</f>
        <v>July</v>
      </c>
      <c r="N2882" s="5">
        <f>YEAR(Store_Record[[#This Row],[Date]])</f>
        <v>2025</v>
      </c>
      <c r="O2882"/>
    </row>
    <row r="2883" spans="1:15" x14ac:dyDescent="0.35">
      <c r="A2883" t="s">
        <v>3852</v>
      </c>
      <c r="B2883" s="2">
        <v>45867</v>
      </c>
      <c r="C2883" t="s">
        <v>24</v>
      </c>
      <c r="D2883" t="s">
        <v>25</v>
      </c>
      <c r="E2883" t="s">
        <v>26</v>
      </c>
      <c r="F2883" t="s">
        <v>13</v>
      </c>
      <c r="G2883">
        <v>4</v>
      </c>
      <c r="H2883">
        <v>3.5</v>
      </c>
      <c r="I2883" t="s">
        <v>21</v>
      </c>
      <c r="J2883" t="s">
        <v>1023</v>
      </c>
      <c r="K2883" s="12">
        <f>Store_Record[[#This Row],[Qty]]*Store_Record[[#This Row],[UnitPriceGBP]]</f>
        <v>14</v>
      </c>
      <c r="L2883" s="5" t="str">
        <f>TEXT(Store_Record[[#This Row],[Date]],"dddd")</f>
        <v>Tuesday</v>
      </c>
      <c r="M2883" s="5" t="str">
        <f>TEXT(Store_Record[[#This Row],[Date]],"mmmm")</f>
        <v>July</v>
      </c>
      <c r="N2883" s="5">
        <f>YEAR(Store_Record[[#This Row],[Date]])</f>
        <v>2025</v>
      </c>
      <c r="O2883"/>
    </row>
    <row r="2884" spans="1:15" x14ac:dyDescent="0.35">
      <c r="A2884" t="s">
        <v>3857</v>
      </c>
      <c r="B2884" s="2">
        <v>45867</v>
      </c>
      <c r="C2884" t="s">
        <v>36</v>
      </c>
      <c r="D2884" t="s">
        <v>47</v>
      </c>
      <c r="E2884" t="s">
        <v>26</v>
      </c>
      <c r="F2884" t="s">
        <v>13</v>
      </c>
      <c r="G2884">
        <v>4</v>
      </c>
      <c r="H2884">
        <v>3.5</v>
      </c>
      <c r="I2884" t="s">
        <v>14</v>
      </c>
      <c r="J2884" t="s">
        <v>2818</v>
      </c>
      <c r="K2884" s="12">
        <f>Store_Record[[#This Row],[Qty]]*Store_Record[[#This Row],[UnitPriceGBP]]</f>
        <v>14</v>
      </c>
      <c r="L2884" s="5" t="str">
        <f>TEXT(Store_Record[[#This Row],[Date]],"dddd")</f>
        <v>Tuesday</v>
      </c>
      <c r="M2884" s="5" t="str">
        <f>TEXT(Store_Record[[#This Row],[Date]],"mmmm")</f>
        <v>July</v>
      </c>
      <c r="N2884" s="5">
        <f>YEAR(Store_Record[[#This Row],[Date]])</f>
        <v>2025</v>
      </c>
      <c r="O2884"/>
    </row>
    <row r="2885" spans="1:15" x14ac:dyDescent="0.35">
      <c r="A2885" t="s">
        <v>3846</v>
      </c>
      <c r="B2885" s="2">
        <v>45867</v>
      </c>
      <c r="C2885" t="s">
        <v>36</v>
      </c>
      <c r="D2885" t="s">
        <v>11</v>
      </c>
      <c r="E2885" t="s">
        <v>42</v>
      </c>
      <c r="F2885" t="s">
        <v>13</v>
      </c>
      <c r="G2885">
        <v>3</v>
      </c>
      <c r="H2885">
        <v>3.8</v>
      </c>
      <c r="I2885" t="s">
        <v>39</v>
      </c>
      <c r="J2885" t="s">
        <v>1112</v>
      </c>
      <c r="K2885" s="12">
        <f>Store_Record[[#This Row],[Qty]]*Store_Record[[#This Row],[UnitPriceGBP]]</f>
        <v>11.399999999999999</v>
      </c>
      <c r="L2885" s="5" t="str">
        <f>TEXT(Store_Record[[#This Row],[Date]],"dddd")</f>
        <v>Tuesday</v>
      </c>
      <c r="M2885" s="5" t="str">
        <f>TEXT(Store_Record[[#This Row],[Date]],"mmmm")</f>
        <v>July</v>
      </c>
      <c r="N2885" s="5">
        <f>YEAR(Store_Record[[#This Row],[Date]])</f>
        <v>2025</v>
      </c>
      <c r="O2885"/>
    </row>
    <row r="2886" spans="1:15" x14ac:dyDescent="0.35">
      <c r="A2886" t="s">
        <v>3845</v>
      </c>
      <c r="B2886" s="2">
        <v>45867</v>
      </c>
      <c r="C2886" t="s">
        <v>24</v>
      </c>
      <c r="D2886" t="s">
        <v>29</v>
      </c>
      <c r="E2886" t="s">
        <v>30</v>
      </c>
      <c r="F2886" t="s">
        <v>31</v>
      </c>
      <c r="G2886">
        <v>4</v>
      </c>
      <c r="H2886">
        <v>2.8</v>
      </c>
      <c r="I2886" t="s">
        <v>39</v>
      </c>
      <c r="J2886" t="s">
        <v>72</v>
      </c>
      <c r="K2886" s="12">
        <f>Store_Record[[#This Row],[Qty]]*Store_Record[[#This Row],[UnitPriceGBP]]</f>
        <v>11.2</v>
      </c>
      <c r="L2886" s="5" t="str">
        <f>TEXT(Store_Record[[#This Row],[Date]],"dddd")</f>
        <v>Tuesday</v>
      </c>
      <c r="M2886" s="5" t="str">
        <f>TEXT(Store_Record[[#This Row],[Date]],"mmmm")</f>
        <v>July</v>
      </c>
      <c r="N2886" s="5">
        <f>YEAR(Store_Record[[#This Row],[Date]])</f>
        <v>2025</v>
      </c>
      <c r="O2886"/>
    </row>
    <row r="2887" spans="1:15" x14ac:dyDescent="0.35">
      <c r="A2887" t="s">
        <v>3849</v>
      </c>
      <c r="B2887" s="2">
        <v>45867</v>
      </c>
      <c r="C2887" t="s">
        <v>20</v>
      </c>
      <c r="D2887" t="s">
        <v>38</v>
      </c>
      <c r="E2887" t="s">
        <v>30</v>
      </c>
      <c r="F2887" t="s">
        <v>31</v>
      </c>
      <c r="G2887">
        <v>4</v>
      </c>
      <c r="H2887">
        <v>2.8</v>
      </c>
      <c r="I2887" t="s">
        <v>39</v>
      </c>
      <c r="J2887" t="s">
        <v>1455</v>
      </c>
      <c r="K2887" s="12">
        <f>Store_Record[[#This Row],[Qty]]*Store_Record[[#This Row],[UnitPriceGBP]]</f>
        <v>11.2</v>
      </c>
      <c r="L2887" s="5" t="str">
        <f>TEXT(Store_Record[[#This Row],[Date]],"dddd")</f>
        <v>Tuesday</v>
      </c>
      <c r="M2887" s="5" t="str">
        <f>TEXT(Store_Record[[#This Row],[Date]],"mmmm")</f>
        <v>July</v>
      </c>
      <c r="N2887" s="5">
        <f>YEAR(Store_Record[[#This Row],[Date]])</f>
        <v>2025</v>
      </c>
      <c r="O2887"/>
    </row>
    <row r="2888" spans="1:15" x14ac:dyDescent="0.35">
      <c r="A2888" t="s">
        <v>3851</v>
      </c>
      <c r="B2888" s="2">
        <v>45867</v>
      </c>
      <c r="C2888" t="s">
        <v>20</v>
      </c>
      <c r="D2888" t="s">
        <v>25</v>
      </c>
      <c r="E2888" t="s">
        <v>30</v>
      </c>
      <c r="F2888" t="s">
        <v>31</v>
      </c>
      <c r="G2888">
        <v>4</v>
      </c>
      <c r="H2888">
        <v>2.8</v>
      </c>
      <c r="I2888" t="s">
        <v>39</v>
      </c>
      <c r="J2888" t="s">
        <v>1300</v>
      </c>
      <c r="K2888" s="12">
        <f>Store_Record[[#This Row],[Qty]]*Store_Record[[#This Row],[UnitPriceGBP]]</f>
        <v>11.2</v>
      </c>
      <c r="L2888" s="5" t="str">
        <f>TEXT(Store_Record[[#This Row],[Date]],"dddd")</f>
        <v>Tuesday</v>
      </c>
      <c r="M2888" s="5" t="str">
        <f>TEXT(Store_Record[[#This Row],[Date]],"mmmm")</f>
        <v>July</v>
      </c>
      <c r="N2888" s="5">
        <f>YEAR(Store_Record[[#This Row],[Date]])</f>
        <v>2025</v>
      </c>
      <c r="O2888"/>
    </row>
    <row r="2889" spans="1:15" x14ac:dyDescent="0.35">
      <c r="A2889" t="s">
        <v>3838</v>
      </c>
      <c r="B2889" s="2">
        <v>45867</v>
      </c>
      <c r="C2889" t="s">
        <v>24</v>
      </c>
      <c r="D2889" t="s">
        <v>29</v>
      </c>
      <c r="E2889" t="s">
        <v>34</v>
      </c>
      <c r="F2889" t="s">
        <v>31</v>
      </c>
      <c r="G2889">
        <v>5</v>
      </c>
      <c r="H2889">
        <v>2.2000000000000002</v>
      </c>
      <c r="I2889" t="s">
        <v>14</v>
      </c>
      <c r="J2889" t="s">
        <v>547</v>
      </c>
      <c r="K2889" s="12">
        <f>Store_Record[[#This Row],[Qty]]*Store_Record[[#This Row],[UnitPriceGBP]]</f>
        <v>11</v>
      </c>
      <c r="L2889" s="5" t="str">
        <f>TEXT(Store_Record[[#This Row],[Date]],"dddd")</f>
        <v>Tuesday</v>
      </c>
      <c r="M2889" s="5" t="str">
        <f>TEXT(Store_Record[[#This Row],[Date]],"mmmm")</f>
        <v>July</v>
      </c>
      <c r="N2889" s="5">
        <f>YEAR(Store_Record[[#This Row],[Date]])</f>
        <v>2025</v>
      </c>
      <c r="O2889"/>
    </row>
    <row r="2890" spans="1:15" x14ac:dyDescent="0.35">
      <c r="A2890" t="s">
        <v>3842</v>
      </c>
      <c r="B2890" s="2">
        <v>45867</v>
      </c>
      <c r="C2890" t="s">
        <v>36</v>
      </c>
      <c r="D2890" t="s">
        <v>29</v>
      </c>
      <c r="E2890" t="s">
        <v>34</v>
      </c>
      <c r="F2890" t="s">
        <v>31</v>
      </c>
      <c r="G2890">
        <v>5</v>
      </c>
      <c r="H2890">
        <v>2.2000000000000002</v>
      </c>
      <c r="I2890" t="s">
        <v>39</v>
      </c>
      <c r="J2890" t="s">
        <v>1475</v>
      </c>
      <c r="K2890" s="12">
        <f>Store_Record[[#This Row],[Qty]]*Store_Record[[#This Row],[UnitPriceGBP]]</f>
        <v>11</v>
      </c>
      <c r="L2890" s="5" t="str">
        <f>TEXT(Store_Record[[#This Row],[Date]],"dddd")</f>
        <v>Tuesday</v>
      </c>
      <c r="M2890" s="5" t="str">
        <f>TEXT(Store_Record[[#This Row],[Date]],"mmmm")</f>
        <v>July</v>
      </c>
      <c r="N2890" s="5">
        <f>YEAR(Store_Record[[#This Row],[Date]])</f>
        <v>2025</v>
      </c>
      <c r="O2890"/>
    </row>
    <row r="2891" spans="1:15" x14ac:dyDescent="0.35">
      <c r="A2891" t="s">
        <v>3840</v>
      </c>
      <c r="B2891" s="2">
        <v>45867</v>
      </c>
      <c r="C2891" t="s">
        <v>36</v>
      </c>
      <c r="D2891" t="s">
        <v>25</v>
      </c>
      <c r="E2891" t="s">
        <v>12</v>
      </c>
      <c r="F2891" t="s">
        <v>13</v>
      </c>
      <c r="G2891">
        <v>4</v>
      </c>
      <c r="H2891">
        <v>2.5</v>
      </c>
      <c r="I2891" t="s">
        <v>39</v>
      </c>
      <c r="J2891" t="s">
        <v>2642</v>
      </c>
      <c r="K2891" s="12">
        <f>Store_Record[[#This Row],[Qty]]*Store_Record[[#This Row],[UnitPriceGBP]]</f>
        <v>10</v>
      </c>
      <c r="L2891" s="5" t="str">
        <f>TEXT(Store_Record[[#This Row],[Date]],"dddd")</f>
        <v>Tuesday</v>
      </c>
      <c r="M2891" s="5" t="str">
        <f>TEXT(Store_Record[[#This Row],[Date]],"mmmm")</f>
        <v>July</v>
      </c>
      <c r="N2891" s="5">
        <f>YEAR(Store_Record[[#This Row],[Date]])</f>
        <v>2025</v>
      </c>
      <c r="O2891"/>
    </row>
    <row r="2892" spans="1:15" x14ac:dyDescent="0.35">
      <c r="A2892" t="s">
        <v>3844</v>
      </c>
      <c r="B2892" s="2">
        <v>45867</v>
      </c>
      <c r="C2892" t="s">
        <v>24</v>
      </c>
      <c r="D2892" t="s">
        <v>25</v>
      </c>
      <c r="E2892" t="s">
        <v>12</v>
      </c>
      <c r="F2892" t="s">
        <v>13</v>
      </c>
      <c r="G2892">
        <v>4</v>
      </c>
      <c r="H2892">
        <v>2.5</v>
      </c>
      <c r="I2892" t="s">
        <v>21</v>
      </c>
      <c r="J2892" t="s">
        <v>113</v>
      </c>
      <c r="K2892" s="12">
        <f>Store_Record[[#This Row],[Qty]]*Store_Record[[#This Row],[UnitPriceGBP]]</f>
        <v>10</v>
      </c>
      <c r="L2892" s="5" t="str">
        <f>TEXT(Store_Record[[#This Row],[Date]],"dddd")</f>
        <v>Tuesday</v>
      </c>
      <c r="M2892" s="5" t="str">
        <f>TEXT(Store_Record[[#This Row],[Date]],"mmmm")</f>
        <v>July</v>
      </c>
      <c r="N2892" s="5">
        <f>YEAR(Store_Record[[#This Row],[Date]])</f>
        <v>2025</v>
      </c>
      <c r="O2892"/>
    </row>
    <row r="2893" spans="1:15" x14ac:dyDescent="0.35">
      <c r="A2893" t="s">
        <v>3847</v>
      </c>
      <c r="B2893" s="2">
        <v>45867</v>
      </c>
      <c r="C2893" t="s">
        <v>24</v>
      </c>
      <c r="D2893" t="s">
        <v>11</v>
      </c>
      <c r="E2893" t="s">
        <v>34</v>
      </c>
      <c r="F2893" t="s">
        <v>31</v>
      </c>
      <c r="G2893">
        <v>4</v>
      </c>
      <c r="H2893">
        <v>2.2000000000000002</v>
      </c>
      <c r="I2893" t="s">
        <v>14</v>
      </c>
      <c r="J2893" t="s">
        <v>1106</v>
      </c>
      <c r="K2893" s="12">
        <f>Store_Record[[#This Row],[Qty]]*Store_Record[[#This Row],[UnitPriceGBP]]</f>
        <v>8.8000000000000007</v>
      </c>
      <c r="L2893" s="5" t="str">
        <f>TEXT(Store_Record[[#This Row],[Date]],"dddd")</f>
        <v>Tuesday</v>
      </c>
      <c r="M2893" s="5" t="str">
        <f>TEXT(Store_Record[[#This Row],[Date]],"mmmm")</f>
        <v>July</v>
      </c>
      <c r="N2893" s="5">
        <f>YEAR(Store_Record[[#This Row],[Date]])</f>
        <v>2025</v>
      </c>
      <c r="O2893"/>
    </row>
    <row r="2894" spans="1:15" x14ac:dyDescent="0.35">
      <c r="A2894" t="s">
        <v>3843</v>
      </c>
      <c r="B2894" s="2">
        <v>45867</v>
      </c>
      <c r="C2894" t="s">
        <v>36</v>
      </c>
      <c r="D2894" t="s">
        <v>29</v>
      </c>
      <c r="E2894" t="s">
        <v>42</v>
      </c>
      <c r="F2894" t="s">
        <v>13</v>
      </c>
      <c r="G2894">
        <v>2</v>
      </c>
      <c r="H2894">
        <v>3.8</v>
      </c>
      <c r="I2894" t="s">
        <v>14</v>
      </c>
      <c r="J2894" t="s">
        <v>1590</v>
      </c>
      <c r="K2894" s="12">
        <f>Store_Record[[#This Row],[Qty]]*Store_Record[[#This Row],[UnitPriceGBP]]</f>
        <v>7.6</v>
      </c>
      <c r="L2894" s="5" t="str">
        <f>TEXT(Store_Record[[#This Row],[Date]],"dddd")</f>
        <v>Tuesday</v>
      </c>
      <c r="M2894" s="5" t="str">
        <f>TEXT(Store_Record[[#This Row],[Date]],"mmmm")</f>
        <v>July</v>
      </c>
      <c r="N2894" s="5">
        <f>YEAR(Store_Record[[#This Row],[Date]])</f>
        <v>2025</v>
      </c>
      <c r="O2894"/>
    </row>
    <row r="2895" spans="1:15" x14ac:dyDescent="0.35">
      <c r="A2895" t="s">
        <v>3854</v>
      </c>
      <c r="B2895" s="2">
        <v>45867</v>
      </c>
      <c r="C2895" t="s">
        <v>24</v>
      </c>
      <c r="D2895" t="s">
        <v>38</v>
      </c>
      <c r="E2895" t="s">
        <v>42</v>
      </c>
      <c r="F2895" t="s">
        <v>13</v>
      </c>
      <c r="G2895">
        <v>2</v>
      </c>
      <c r="H2895">
        <v>3.8</v>
      </c>
      <c r="I2895" t="s">
        <v>39</v>
      </c>
      <c r="J2895" t="s">
        <v>1294</v>
      </c>
      <c r="K2895" s="12">
        <f>Store_Record[[#This Row],[Qty]]*Store_Record[[#This Row],[UnitPriceGBP]]</f>
        <v>7.6</v>
      </c>
      <c r="L2895" s="5" t="str">
        <f>TEXT(Store_Record[[#This Row],[Date]],"dddd")</f>
        <v>Tuesday</v>
      </c>
      <c r="M2895" s="5" t="str">
        <f>TEXT(Store_Record[[#This Row],[Date]],"mmmm")</f>
        <v>July</v>
      </c>
      <c r="N2895" s="5">
        <f>YEAR(Store_Record[[#This Row],[Date]])</f>
        <v>2025</v>
      </c>
      <c r="O2895"/>
    </row>
    <row r="2896" spans="1:15" x14ac:dyDescent="0.35">
      <c r="A2896" t="s">
        <v>3848</v>
      </c>
      <c r="B2896" s="2">
        <v>45867</v>
      </c>
      <c r="C2896" t="s">
        <v>20</v>
      </c>
      <c r="D2896" t="s">
        <v>11</v>
      </c>
      <c r="E2896" t="s">
        <v>26</v>
      </c>
      <c r="F2896" t="s">
        <v>13</v>
      </c>
      <c r="G2896">
        <v>2</v>
      </c>
      <c r="H2896">
        <v>3.5</v>
      </c>
      <c r="I2896" t="s">
        <v>39</v>
      </c>
      <c r="J2896" t="s">
        <v>1566</v>
      </c>
      <c r="K2896" s="12">
        <f>Store_Record[[#This Row],[Qty]]*Store_Record[[#This Row],[UnitPriceGBP]]</f>
        <v>7</v>
      </c>
      <c r="L2896" s="5" t="str">
        <f>TEXT(Store_Record[[#This Row],[Date]],"dddd")</f>
        <v>Tuesday</v>
      </c>
      <c r="M2896" s="5" t="str">
        <f>TEXT(Store_Record[[#This Row],[Date]],"mmmm")</f>
        <v>July</v>
      </c>
      <c r="N2896" s="5">
        <f>YEAR(Store_Record[[#This Row],[Date]])</f>
        <v>2025</v>
      </c>
      <c r="O2896"/>
    </row>
    <row r="2897" spans="1:15" x14ac:dyDescent="0.35">
      <c r="A2897" t="s">
        <v>3839</v>
      </c>
      <c r="B2897" s="2">
        <v>45867</v>
      </c>
      <c r="C2897" t="s">
        <v>36</v>
      </c>
      <c r="D2897" t="s">
        <v>11</v>
      </c>
      <c r="E2897" t="s">
        <v>30</v>
      </c>
      <c r="F2897" t="s">
        <v>31</v>
      </c>
      <c r="G2897">
        <v>2</v>
      </c>
      <c r="H2897">
        <v>2.8</v>
      </c>
      <c r="I2897" t="s">
        <v>21</v>
      </c>
      <c r="J2897" t="s">
        <v>1217</v>
      </c>
      <c r="K2897" s="12">
        <f>Store_Record[[#This Row],[Qty]]*Store_Record[[#This Row],[UnitPriceGBP]]</f>
        <v>5.6</v>
      </c>
      <c r="L2897" s="5" t="str">
        <f>TEXT(Store_Record[[#This Row],[Date]],"dddd")</f>
        <v>Tuesday</v>
      </c>
      <c r="M2897" s="5" t="str">
        <f>TEXT(Store_Record[[#This Row],[Date]],"mmmm")</f>
        <v>July</v>
      </c>
      <c r="N2897" s="5">
        <f>YEAR(Store_Record[[#This Row],[Date]])</f>
        <v>2025</v>
      </c>
      <c r="O2897"/>
    </row>
    <row r="2898" spans="1:15" x14ac:dyDescent="0.35">
      <c r="A2898" t="s">
        <v>3850</v>
      </c>
      <c r="B2898" s="2">
        <v>45867</v>
      </c>
      <c r="C2898" t="s">
        <v>10</v>
      </c>
      <c r="D2898" t="s">
        <v>47</v>
      </c>
      <c r="E2898" t="s">
        <v>30</v>
      </c>
      <c r="F2898" t="s">
        <v>31</v>
      </c>
      <c r="G2898">
        <v>2</v>
      </c>
      <c r="H2898">
        <v>2.8</v>
      </c>
      <c r="I2898" t="s">
        <v>21</v>
      </c>
      <c r="J2898" t="s">
        <v>2764</v>
      </c>
      <c r="K2898" s="12">
        <f>Store_Record[[#This Row],[Qty]]*Store_Record[[#This Row],[UnitPriceGBP]]</f>
        <v>5.6</v>
      </c>
      <c r="L2898" s="5" t="str">
        <f>TEXT(Store_Record[[#This Row],[Date]],"dddd")</f>
        <v>Tuesday</v>
      </c>
      <c r="M2898" s="5" t="str">
        <f>TEXT(Store_Record[[#This Row],[Date]],"mmmm")</f>
        <v>July</v>
      </c>
      <c r="N2898" s="5">
        <f>YEAR(Store_Record[[#This Row],[Date]])</f>
        <v>2025</v>
      </c>
      <c r="O2898"/>
    </row>
    <row r="2899" spans="1:15" x14ac:dyDescent="0.35">
      <c r="A2899" t="s">
        <v>3841</v>
      </c>
      <c r="B2899" s="2">
        <v>45867</v>
      </c>
      <c r="C2899" t="s">
        <v>36</v>
      </c>
      <c r="D2899" t="s">
        <v>11</v>
      </c>
      <c r="E2899" t="s">
        <v>34</v>
      </c>
      <c r="F2899" t="s">
        <v>31</v>
      </c>
      <c r="G2899">
        <v>1</v>
      </c>
      <c r="H2899">
        <v>2.2000000000000002</v>
      </c>
      <c r="I2899" t="s">
        <v>39</v>
      </c>
      <c r="J2899" t="s">
        <v>343</v>
      </c>
      <c r="K2899" s="12">
        <f>Store_Record[[#This Row],[Qty]]*Store_Record[[#This Row],[UnitPriceGBP]]</f>
        <v>2.2000000000000002</v>
      </c>
      <c r="L2899" s="5" t="str">
        <f>TEXT(Store_Record[[#This Row],[Date]],"dddd")</f>
        <v>Tuesday</v>
      </c>
      <c r="M2899" s="5" t="str">
        <f>TEXT(Store_Record[[#This Row],[Date]],"mmmm")</f>
        <v>July</v>
      </c>
      <c r="N2899" s="5">
        <f>YEAR(Store_Record[[#This Row],[Date]])</f>
        <v>2025</v>
      </c>
      <c r="O2899"/>
    </row>
    <row r="2900" spans="1:15" x14ac:dyDescent="0.35">
      <c r="A2900" t="s">
        <v>3853</v>
      </c>
      <c r="B2900" s="2">
        <v>45867</v>
      </c>
      <c r="C2900" t="s">
        <v>20</v>
      </c>
      <c r="D2900" t="s">
        <v>25</v>
      </c>
      <c r="E2900" t="s">
        <v>34</v>
      </c>
      <c r="F2900" t="s">
        <v>31</v>
      </c>
      <c r="G2900">
        <v>1</v>
      </c>
      <c r="H2900">
        <v>2.2000000000000002</v>
      </c>
      <c r="I2900" t="s">
        <v>14</v>
      </c>
      <c r="J2900" t="s">
        <v>300</v>
      </c>
      <c r="K2900" s="12">
        <f>Store_Record[[#This Row],[Qty]]*Store_Record[[#This Row],[UnitPriceGBP]]</f>
        <v>2.2000000000000002</v>
      </c>
      <c r="L2900" s="5" t="str">
        <f>TEXT(Store_Record[[#This Row],[Date]],"dddd")</f>
        <v>Tuesday</v>
      </c>
      <c r="M2900" s="5" t="str">
        <f>TEXT(Store_Record[[#This Row],[Date]],"mmmm")</f>
        <v>July</v>
      </c>
      <c r="N2900" s="5">
        <f>YEAR(Store_Record[[#This Row],[Date]])</f>
        <v>2025</v>
      </c>
      <c r="O2900"/>
    </row>
    <row r="2901" spans="1:15" x14ac:dyDescent="0.35">
      <c r="A2901" t="s">
        <v>3855</v>
      </c>
      <c r="B2901" s="2">
        <v>45867</v>
      </c>
      <c r="C2901" t="s">
        <v>36</v>
      </c>
      <c r="D2901" t="s">
        <v>47</v>
      </c>
      <c r="E2901" t="s">
        <v>34</v>
      </c>
      <c r="F2901" t="s">
        <v>31</v>
      </c>
      <c r="G2901">
        <v>1</v>
      </c>
      <c r="H2901">
        <v>2.2000000000000002</v>
      </c>
      <c r="I2901" t="s">
        <v>14</v>
      </c>
      <c r="J2901" t="s">
        <v>3856</v>
      </c>
      <c r="K2901" s="12">
        <f>Store_Record[[#This Row],[Qty]]*Store_Record[[#This Row],[UnitPriceGBP]]</f>
        <v>2.2000000000000002</v>
      </c>
      <c r="L2901" s="5" t="str">
        <f>TEXT(Store_Record[[#This Row],[Date]],"dddd")</f>
        <v>Tuesday</v>
      </c>
      <c r="M2901" s="5" t="str">
        <f>TEXT(Store_Record[[#This Row],[Date]],"mmmm")</f>
        <v>July</v>
      </c>
      <c r="N2901" s="5">
        <f>YEAR(Store_Record[[#This Row],[Date]])</f>
        <v>2025</v>
      </c>
      <c r="O2901"/>
    </row>
    <row r="2902" spans="1:15" x14ac:dyDescent="0.35">
      <c r="A2902" t="s">
        <v>3862</v>
      </c>
      <c r="B2902" s="2">
        <v>45868</v>
      </c>
      <c r="C2902" t="s">
        <v>36</v>
      </c>
      <c r="D2902" t="s">
        <v>47</v>
      </c>
      <c r="E2902" t="s">
        <v>30</v>
      </c>
      <c r="F2902" t="s">
        <v>31</v>
      </c>
      <c r="G2902">
        <v>5</v>
      </c>
      <c r="H2902">
        <v>2.8</v>
      </c>
      <c r="I2902" t="s">
        <v>14</v>
      </c>
      <c r="J2902" t="s">
        <v>2973</v>
      </c>
      <c r="K2902" s="12">
        <f>Store_Record[[#This Row],[Qty]]*Store_Record[[#This Row],[UnitPriceGBP]]</f>
        <v>14</v>
      </c>
      <c r="L2902" s="5" t="str">
        <f>TEXT(Store_Record[[#This Row],[Date]],"dddd")</f>
        <v>Wednesday</v>
      </c>
      <c r="M2902" s="5" t="str">
        <f>TEXT(Store_Record[[#This Row],[Date]],"mmmm")</f>
        <v>July</v>
      </c>
      <c r="N2902" s="5">
        <f>YEAR(Store_Record[[#This Row],[Date]])</f>
        <v>2025</v>
      </c>
      <c r="O2902"/>
    </row>
    <row r="2903" spans="1:15" x14ac:dyDescent="0.35">
      <c r="A2903" t="s">
        <v>3860</v>
      </c>
      <c r="B2903" s="2">
        <v>45868</v>
      </c>
      <c r="C2903" t="s">
        <v>24</v>
      </c>
      <c r="D2903" t="s">
        <v>47</v>
      </c>
      <c r="E2903" t="s">
        <v>30</v>
      </c>
      <c r="F2903" t="s">
        <v>31</v>
      </c>
      <c r="G2903">
        <v>3</v>
      </c>
      <c r="H2903">
        <v>2.8</v>
      </c>
      <c r="I2903" t="s">
        <v>21</v>
      </c>
      <c r="J2903" t="s">
        <v>54</v>
      </c>
      <c r="K2903" s="12">
        <f>Store_Record[[#This Row],[Qty]]*Store_Record[[#This Row],[UnitPriceGBP]]</f>
        <v>8.3999999999999986</v>
      </c>
      <c r="L2903" s="5" t="str">
        <f>TEXT(Store_Record[[#This Row],[Date]],"dddd")</f>
        <v>Wednesday</v>
      </c>
      <c r="M2903" s="5" t="str">
        <f>TEXT(Store_Record[[#This Row],[Date]],"mmmm")</f>
        <v>July</v>
      </c>
      <c r="N2903" s="5">
        <f>YEAR(Store_Record[[#This Row],[Date]])</f>
        <v>2025</v>
      </c>
      <c r="O2903"/>
    </row>
    <row r="2904" spans="1:15" x14ac:dyDescent="0.35">
      <c r="A2904" t="s">
        <v>3861</v>
      </c>
      <c r="B2904" s="2">
        <v>45868</v>
      </c>
      <c r="C2904" t="s">
        <v>36</v>
      </c>
      <c r="D2904" t="s">
        <v>38</v>
      </c>
      <c r="E2904" t="s">
        <v>12</v>
      </c>
      <c r="F2904" t="s">
        <v>13</v>
      </c>
      <c r="G2904">
        <v>3</v>
      </c>
      <c r="H2904">
        <v>2.5</v>
      </c>
      <c r="I2904" t="s">
        <v>21</v>
      </c>
      <c r="J2904" t="s">
        <v>3102</v>
      </c>
      <c r="K2904" s="12">
        <f>Store_Record[[#This Row],[Qty]]*Store_Record[[#This Row],[UnitPriceGBP]]</f>
        <v>7.5</v>
      </c>
      <c r="L2904" s="5" t="str">
        <f>TEXT(Store_Record[[#This Row],[Date]],"dddd")</f>
        <v>Wednesday</v>
      </c>
      <c r="M2904" s="5" t="str">
        <f>TEXT(Store_Record[[#This Row],[Date]],"mmmm")</f>
        <v>July</v>
      </c>
      <c r="N2904" s="5">
        <f>YEAR(Store_Record[[#This Row],[Date]])</f>
        <v>2025</v>
      </c>
      <c r="O2904"/>
    </row>
    <row r="2905" spans="1:15" x14ac:dyDescent="0.35">
      <c r="A2905" t="s">
        <v>3859</v>
      </c>
      <c r="B2905" s="2">
        <v>45868</v>
      </c>
      <c r="C2905" t="s">
        <v>10</v>
      </c>
      <c r="D2905" t="s">
        <v>38</v>
      </c>
      <c r="E2905" t="s">
        <v>30</v>
      </c>
      <c r="F2905" t="s">
        <v>31</v>
      </c>
      <c r="G2905">
        <v>2</v>
      </c>
      <c r="H2905">
        <v>2.8</v>
      </c>
      <c r="I2905" t="s">
        <v>21</v>
      </c>
      <c r="J2905" t="s">
        <v>522</v>
      </c>
      <c r="K2905" s="12">
        <f>Store_Record[[#This Row],[Qty]]*Store_Record[[#This Row],[UnitPriceGBP]]</f>
        <v>5.6</v>
      </c>
      <c r="L2905" s="5" t="str">
        <f>TEXT(Store_Record[[#This Row],[Date]],"dddd")</f>
        <v>Wednesday</v>
      </c>
      <c r="M2905" s="5" t="str">
        <f>TEXT(Store_Record[[#This Row],[Date]],"mmmm")</f>
        <v>July</v>
      </c>
      <c r="N2905" s="5">
        <f>YEAR(Store_Record[[#This Row],[Date]])</f>
        <v>2025</v>
      </c>
      <c r="O2905"/>
    </row>
    <row r="2906" spans="1:15" x14ac:dyDescent="0.35">
      <c r="A2906" t="s">
        <v>3858</v>
      </c>
      <c r="B2906" s="2">
        <v>45868</v>
      </c>
      <c r="C2906" t="s">
        <v>20</v>
      </c>
      <c r="D2906" t="s">
        <v>29</v>
      </c>
      <c r="E2906" t="s">
        <v>34</v>
      </c>
      <c r="F2906" t="s">
        <v>31</v>
      </c>
      <c r="G2906">
        <v>1</v>
      </c>
      <c r="H2906">
        <v>2.2000000000000002</v>
      </c>
      <c r="I2906" t="s">
        <v>21</v>
      </c>
      <c r="J2906" t="s">
        <v>2030</v>
      </c>
      <c r="K2906" s="12">
        <f>Store_Record[[#This Row],[Qty]]*Store_Record[[#This Row],[UnitPriceGBP]]</f>
        <v>2.2000000000000002</v>
      </c>
      <c r="L2906" s="5" t="str">
        <f>TEXT(Store_Record[[#This Row],[Date]],"dddd")</f>
        <v>Wednesday</v>
      </c>
      <c r="M2906" s="5" t="str">
        <f>TEXT(Store_Record[[#This Row],[Date]],"mmmm")</f>
        <v>July</v>
      </c>
      <c r="N2906" s="5">
        <f>YEAR(Store_Record[[#This Row],[Date]])</f>
        <v>2025</v>
      </c>
      <c r="O2906"/>
    </row>
    <row r="2907" spans="1:15" x14ac:dyDescent="0.35">
      <c r="A2907" t="s">
        <v>3863</v>
      </c>
      <c r="B2907" s="2">
        <v>45868</v>
      </c>
      <c r="C2907" t="s">
        <v>36</v>
      </c>
      <c r="D2907" t="s">
        <v>11</v>
      </c>
      <c r="E2907" t="s">
        <v>34</v>
      </c>
      <c r="F2907" t="s">
        <v>31</v>
      </c>
      <c r="G2907">
        <v>1</v>
      </c>
      <c r="H2907">
        <v>2.2000000000000002</v>
      </c>
      <c r="I2907" t="s">
        <v>39</v>
      </c>
      <c r="J2907" t="s">
        <v>569</v>
      </c>
      <c r="K2907" s="12">
        <f>Store_Record[[#This Row],[Qty]]*Store_Record[[#This Row],[UnitPriceGBP]]</f>
        <v>2.2000000000000002</v>
      </c>
      <c r="L2907" s="5" t="str">
        <f>TEXT(Store_Record[[#This Row],[Date]],"dddd")</f>
        <v>Wednesday</v>
      </c>
      <c r="M2907" s="5" t="str">
        <f>TEXT(Store_Record[[#This Row],[Date]],"mmmm")</f>
        <v>July</v>
      </c>
      <c r="N2907" s="5">
        <f>YEAR(Store_Record[[#This Row],[Date]])</f>
        <v>2025</v>
      </c>
      <c r="O2907"/>
    </row>
    <row r="2908" spans="1:15" x14ac:dyDescent="0.35">
      <c r="A2908" t="s">
        <v>3866</v>
      </c>
      <c r="B2908" s="2">
        <v>45869</v>
      </c>
      <c r="C2908" t="s">
        <v>24</v>
      </c>
      <c r="D2908" t="s">
        <v>29</v>
      </c>
      <c r="E2908" t="s">
        <v>26</v>
      </c>
      <c r="F2908" t="s">
        <v>13</v>
      </c>
      <c r="G2908">
        <v>5</v>
      </c>
      <c r="H2908">
        <v>3.5</v>
      </c>
      <c r="I2908" t="s">
        <v>39</v>
      </c>
      <c r="J2908" t="s">
        <v>484</v>
      </c>
      <c r="K2908" s="12">
        <f>Store_Record[[#This Row],[Qty]]*Store_Record[[#This Row],[UnitPriceGBP]]</f>
        <v>17.5</v>
      </c>
      <c r="L2908" s="5" t="str">
        <f>TEXT(Store_Record[[#This Row],[Date]],"dddd")</f>
        <v>Thursday</v>
      </c>
      <c r="M2908" s="5" t="str">
        <f>TEXT(Store_Record[[#This Row],[Date]],"mmmm")</f>
        <v>July</v>
      </c>
      <c r="N2908" s="5">
        <f>YEAR(Store_Record[[#This Row],[Date]])</f>
        <v>2025</v>
      </c>
      <c r="O2908"/>
    </row>
    <row r="2909" spans="1:15" x14ac:dyDescent="0.35">
      <c r="A2909" t="s">
        <v>3868</v>
      </c>
      <c r="B2909" s="2">
        <v>45869</v>
      </c>
      <c r="C2909" t="s">
        <v>24</v>
      </c>
      <c r="D2909" t="s">
        <v>11</v>
      </c>
      <c r="E2909" t="s">
        <v>12</v>
      </c>
      <c r="F2909" t="s">
        <v>13</v>
      </c>
      <c r="G2909">
        <v>5</v>
      </c>
      <c r="H2909">
        <v>2.5</v>
      </c>
      <c r="I2909" t="s">
        <v>14</v>
      </c>
      <c r="J2909" t="s">
        <v>555</v>
      </c>
      <c r="K2909" s="12">
        <f>Store_Record[[#This Row],[Qty]]*Store_Record[[#This Row],[UnitPriceGBP]]</f>
        <v>12.5</v>
      </c>
      <c r="L2909" s="5" t="str">
        <f>TEXT(Store_Record[[#This Row],[Date]],"dddd")</f>
        <v>Thursday</v>
      </c>
      <c r="M2909" s="5" t="str">
        <f>TEXT(Store_Record[[#This Row],[Date]],"mmmm")</f>
        <v>July</v>
      </c>
      <c r="N2909" s="5">
        <f>YEAR(Store_Record[[#This Row],[Date]])</f>
        <v>2025</v>
      </c>
      <c r="O2909"/>
    </row>
    <row r="2910" spans="1:15" x14ac:dyDescent="0.35">
      <c r="A2910" t="s">
        <v>3864</v>
      </c>
      <c r="B2910" s="2">
        <v>45869</v>
      </c>
      <c r="C2910" t="s">
        <v>10</v>
      </c>
      <c r="D2910" t="s">
        <v>38</v>
      </c>
      <c r="E2910" t="s">
        <v>30</v>
      </c>
      <c r="F2910" t="s">
        <v>31</v>
      </c>
      <c r="G2910">
        <v>4</v>
      </c>
      <c r="H2910">
        <v>2.8</v>
      </c>
      <c r="I2910" t="s">
        <v>14</v>
      </c>
      <c r="J2910" t="s">
        <v>202</v>
      </c>
      <c r="K2910" s="12">
        <f>Store_Record[[#This Row],[Qty]]*Store_Record[[#This Row],[UnitPriceGBP]]</f>
        <v>11.2</v>
      </c>
      <c r="L2910" s="5" t="str">
        <f>TEXT(Store_Record[[#This Row],[Date]],"dddd")</f>
        <v>Thursday</v>
      </c>
      <c r="M2910" s="5" t="str">
        <f>TEXT(Store_Record[[#This Row],[Date]],"mmmm")</f>
        <v>July</v>
      </c>
      <c r="N2910" s="5">
        <f>YEAR(Store_Record[[#This Row],[Date]])</f>
        <v>2025</v>
      </c>
      <c r="O2910"/>
    </row>
    <row r="2911" spans="1:15" x14ac:dyDescent="0.35">
      <c r="A2911" t="s">
        <v>3870</v>
      </c>
      <c r="B2911" s="2">
        <v>45869</v>
      </c>
      <c r="C2911" t="s">
        <v>36</v>
      </c>
      <c r="D2911" t="s">
        <v>47</v>
      </c>
      <c r="E2911" t="s">
        <v>12</v>
      </c>
      <c r="F2911" t="s">
        <v>13</v>
      </c>
      <c r="G2911">
        <v>4</v>
      </c>
      <c r="H2911">
        <v>2.5</v>
      </c>
      <c r="I2911" t="s">
        <v>14</v>
      </c>
      <c r="J2911" t="s">
        <v>3871</v>
      </c>
      <c r="K2911" s="12">
        <f>Store_Record[[#This Row],[Qty]]*Store_Record[[#This Row],[UnitPriceGBP]]</f>
        <v>10</v>
      </c>
      <c r="L2911" s="5" t="str">
        <f>TEXT(Store_Record[[#This Row],[Date]],"dddd")</f>
        <v>Thursday</v>
      </c>
      <c r="M2911" s="5" t="str">
        <f>TEXT(Store_Record[[#This Row],[Date]],"mmmm")</f>
        <v>July</v>
      </c>
      <c r="N2911" s="5">
        <f>YEAR(Store_Record[[#This Row],[Date]])</f>
        <v>2025</v>
      </c>
      <c r="O2911"/>
    </row>
    <row r="2912" spans="1:15" x14ac:dyDescent="0.35">
      <c r="A2912" t="s">
        <v>3875</v>
      </c>
      <c r="B2912" s="2">
        <v>45869</v>
      </c>
      <c r="C2912" t="s">
        <v>10</v>
      </c>
      <c r="D2912" t="s">
        <v>38</v>
      </c>
      <c r="E2912" t="s">
        <v>12</v>
      </c>
      <c r="F2912" t="s">
        <v>13</v>
      </c>
      <c r="G2912">
        <v>4</v>
      </c>
      <c r="H2912">
        <v>2.5</v>
      </c>
      <c r="I2912" t="s">
        <v>39</v>
      </c>
      <c r="J2912" t="s">
        <v>1978</v>
      </c>
      <c r="K2912" s="12">
        <f>Store_Record[[#This Row],[Qty]]*Store_Record[[#This Row],[UnitPriceGBP]]</f>
        <v>10</v>
      </c>
      <c r="L2912" s="5" t="str">
        <f>TEXT(Store_Record[[#This Row],[Date]],"dddd")</f>
        <v>Thursday</v>
      </c>
      <c r="M2912" s="5" t="str">
        <f>TEXT(Store_Record[[#This Row],[Date]],"mmmm")</f>
        <v>July</v>
      </c>
      <c r="N2912" s="5">
        <f>YEAR(Store_Record[[#This Row],[Date]])</f>
        <v>2025</v>
      </c>
      <c r="O2912"/>
    </row>
    <row r="2913" spans="1:15" x14ac:dyDescent="0.35">
      <c r="A2913" t="s">
        <v>3867</v>
      </c>
      <c r="B2913" s="2">
        <v>45869</v>
      </c>
      <c r="C2913" t="s">
        <v>20</v>
      </c>
      <c r="D2913" t="s">
        <v>25</v>
      </c>
      <c r="E2913" t="s">
        <v>34</v>
      </c>
      <c r="F2913" t="s">
        <v>31</v>
      </c>
      <c r="G2913">
        <v>4</v>
      </c>
      <c r="H2913">
        <v>2.2000000000000002</v>
      </c>
      <c r="I2913" t="s">
        <v>14</v>
      </c>
      <c r="J2913" t="s">
        <v>439</v>
      </c>
      <c r="K2913" s="12">
        <f>Store_Record[[#This Row],[Qty]]*Store_Record[[#This Row],[UnitPriceGBP]]</f>
        <v>8.8000000000000007</v>
      </c>
      <c r="L2913" s="5" t="str">
        <f>TEXT(Store_Record[[#This Row],[Date]],"dddd")</f>
        <v>Thursday</v>
      </c>
      <c r="M2913" s="5" t="str">
        <f>TEXT(Store_Record[[#This Row],[Date]],"mmmm")</f>
        <v>July</v>
      </c>
      <c r="N2913" s="5">
        <f>YEAR(Store_Record[[#This Row],[Date]])</f>
        <v>2025</v>
      </c>
      <c r="O2913"/>
    </row>
    <row r="2914" spans="1:15" x14ac:dyDescent="0.35">
      <c r="A2914" t="s">
        <v>3872</v>
      </c>
      <c r="B2914" s="2">
        <v>45869</v>
      </c>
      <c r="C2914" t="s">
        <v>36</v>
      </c>
      <c r="D2914" t="s">
        <v>11</v>
      </c>
      <c r="E2914" t="s">
        <v>30</v>
      </c>
      <c r="F2914" t="s">
        <v>31</v>
      </c>
      <c r="G2914">
        <v>3</v>
      </c>
      <c r="H2914">
        <v>2.8</v>
      </c>
      <c r="I2914" t="s">
        <v>21</v>
      </c>
      <c r="J2914" t="s">
        <v>2827</v>
      </c>
      <c r="K2914" s="12">
        <f>Store_Record[[#This Row],[Qty]]*Store_Record[[#This Row],[UnitPriceGBP]]</f>
        <v>8.3999999999999986</v>
      </c>
      <c r="L2914" s="5" t="str">
        <f>TEXT(Store_Record[[#This Row],[Date]],"dddd")</f>
        <v>Thursday</v>
      </c>
      <c r="M2914" s="5" t="str">
        <f>TEXT(Store_Record[[#This Row],[Date]],"mmmm")</f>
        <v>July</v>
      </c>
      <c r="N2914" s="5">
        <f>YEAR(Store_Record[[#This Row],[Date]])</f>
        <v>2025</v>
      </c>
      <c r="O2914"/>
    </row>
    <row r="2915" spans="1:15" x14ac:dyDescent="0.35">
      <c r="A2915" t="s">
        <v>3869</v>
      </c>
      <c r="B2915" s="2">
        <v>45869</v>
      </c>
      <c r="C2915" t="s">
        <v>36</v>
      </c>
      <c r="D2915" t="s">
        <v>25</v>
      </c>
      <c r="E2915" t="s">
        <v>26</v>
      </c>
      <c r="F2915" t="s">
        <v>13</v>
      </c>
      <c r="G2915">
        <v>2</v>
      </c>
      <c r="H2915">
        <v>3.5</v>
      </c>
      <c r="I2915" t="s">
        <v>14</v>
      </c>
      <c r="J2915" t="s">
        <v>662</v>
      </c>
      <c r="K2915" s="12">
        <f>Store_Record[[#This Row],[Qty]]*Store_Record[[#This Row],[UnitPriceGBP]]</f>
        <v>7</v>
      </c>
      <c r="L2915" s="5" t="str">
        <f>TEXT(Store_Record[[#This Row],[Date]],"dddd")</f>
        <v>Thursday</v>
      </c>
      <c r="M2915" s="5" t="str">
        <f>TEXT(Store_Record[[#This Row],[Date]],"mmmm")</f>
        <v>July</v>
      </c>
      <c r="N2915" s="5">
        <f>YEAR(Store_Record[[#This Row],[Date]])</f>
        <v>2025</v>
      </c>
      <c r="O2915"/>
    </row>
    <row r="2916" spans="1:15" x14ac:dyDescent="0.35">
      <c r="A2916" t="s">
        <v>3874</v>
      </c>
      <c r="B2916" s="2">
        <v>45869</v>
      </c>
      <c r="C2916" t="s">
        <v>10</v>
      </c>
      <c r="D2916" t="s">
        <v>38</v>
      </c>
      <c r="E2916" t="s">
        <v>30</v>
      </c>
      <c r="F2916" t="s">
        <v>31</v>
      </c>
      <c r="G2916">
        <v>2</v>
      </c>
      <c r="H2916">
        <v>2.8</v>
      </c>
      <c r="I2916" t="s">
        <v>14</v>
      </c>
      <c r="J2916" t="s">
        <v>894</v>
      </c>
      <c r="K2916" s="12">
        <f>Store_Record[[#This Row],[Qty]]*Store_Record[[#This Row],[UnitPriceGBP]]</f>
        <v>5.6</v>
      </c>
      <c r="L2916" s="5" t="str">
        <f>TEXT(Store_Record[[#This Row],[Date]],"dddd")</f>
        <v>Thursday</v>
      </c>
      <c r="M2916" s="5" t="str">
        <f>TEXT(Store_Record[[#This Row],[Date]],"mmmm")</f>
        <v>July</v>
      </c>
      <c r="N2916" s="5">
        <f>YEAR(Store_Record[[#This Row],[Date]])</f>
        <v>2025</v>
      </c>
      <c r="O2916"/>
    </row>
    <row r="2917" spans="1:15" x14ac:dyDescent="0.35">
      <c r="A2917" t="s">
        <v>3865</v>
      </c>
      <c r="B2917" s="2">
        <v>45869</v>
      </c>
      <c r="C2917" t="s">
        <v>10</v>
      </c>
      <c r="D2917" t="s">
        <v>38</v>
      </c>
      <c r="E2917" t="s">
        <v>42</v>
      </c>
      <c r="F2917" t="s">
        <v>13</v>
      </c>
      <c r="G2917">
        <v>1</v>
      </c>
      <c r="H2917">
        <v>3.8</v>
      </c>
      <c r="I2917" t="s">
        <v>39</v>
      </c>
      <c r="J2917" t="s">
        <v>2065</v>
      </c>
      <c r="K2917" s="12">
        <f>Store_Record[[#This Row],[Qty]]*Store_Record[[#This Row],[UnitPriceGBP]]</f>
        <v>3.8</v>
      </c>
      <c r="L2917" s="5" t="str">
        <f>TEXT(Store_Record[[#This Row],[Date]],"dddd")</f>
        <v>Thursday</v>
      </c>
      <c r="M2917" s="5" t="str">
        <f>TEXT(Store_Record[[#This Row],[Date]],"mmmm")</f>
        <v>July</v>
      </c>
      <c r="N2917" s="5">
        <f>YEAR(Store_Record[[#This Row],[Date]])</f>
        <v>2025</v>
      </c>
      <c r="O2917"/>
    </row>
    <row r="2918" spans="1:15" x14ac:dyDescent="0.35">
      <c r="A2918" t="s">
        <v>3873</v>
      </c>
      <c r="B2918" s="2">
        <v>45869</v>
      </c>
      <c r="C2918" t="s">
        <v>36</v>
      </c>
      <c r="D2918" t="s">
        <v>25</v>
      </c>
      <c r="E2918" t="s">
        <v>34</v>
      </c>
      <c r="F2918" t="s">
        <v>31</v>
      </c>
      <c r="G2918">
        <v>1</v>
      </c>
      <c r="H2918">
        <v>2.2000000000000002</v>
      </c>
      <c r="I2918" t="s">
        <v>21</v>
      </c>
      <c r="J2918" t="s">
        <v>234</v>
      </c>
      <c r="K2918" s="12">
        <f>Store_Record[[#This Row],[Qty]]*Store_Record[[#This Row],[UnitPriceGBP]]</f>
        <v>2.2000000000000002</v>
      </c>
      <c r="L2918" s="5" t="str">
        <f>TEXT(Store_Record[[#This Row],[Date]],"dddd")</f>
        <v>Thursday</v>
      </c>
      <c r="M2918" s="5" t="str">
        <f>TEXT(Store_Record[[#This Row],[Date]],"mmmm")</f>
        <v>July</v>
      </c>
      <c r="N2918" s="5">
        <f>YEAR(Store_Record[[#This Row],[Date]])</f>
        <v>2025</v>
      </c>
      <c r="O2918"/>
    </row>
    <row r="2919" spans="1:15" x14ac:dyDescent="0.35">
      <c r="A2919" t="s">
        <v>6014</v>
      </c>
      <c r="B2919" s="2">
        <v>45869</v>
      </c>
      <c r="C2919" t="s">
        <v>10</v>
      </c>
      <c r="D2919" t="s">
        <v>11</v>
      </c>
      <c r="E2919" t="s">
        <v>34</v>
      </c>
      <c r="F2919" t="s">
        <v>31</v>
      </c>
      <c r="G2919">
        <v>1</v>
      </c>
      <c r="H2919">
        <v>2.2000000000000002</v>
      </c>
      <c r="I2919" t="s">
        <v>39</v>
      </c>
      <c r="J2919" t="s">
        <v>612</v>
      </c>
      <c r="K2919" s="12">
        <f>Store_Record[[#This Row],[Qty]]*Store_Record[[#This Row],[UnitPriceGBP]]</f>
        <v>2.2000000000000002</v>
      </c>
      <c r="L2919" s="5" t="str">
        <f>TEXT(Store_Record[[#This Row],[Date]],"dddd")</f>
        <v>Thursday</v>
      </c>
      <c r="M2919" s="5" t="str">
        <f>TEXT(Store_Record[[#This Row],[Date]],"mmmm")</f>
        <v>July</v>
      </c>
      <c r="N2919" s="5">
        <f>YEAR(Store_Record[[#This Row],[Date]])</f>
        <v>2025</v>
      </c>
      <c r="O2919"/>
    </row>
    <row r="2920" spans="1:15" x14ac:dyDescent="0.35">
      <c r="A2920" t="s">
        <v>3876</v>
      </c>
      <c r="B2920" s="2">
        <v>45870</v>
      </c>
      <c r="C2920" t="s">
        <v>10</v>
      </c>
      <c r="D2920" t="s">
        <v>11</v>
      </c>
      <c r="E2920" t="s">
        <v>26</v>
      </c>
      <c r="F2920" t="s">
        <v>13</v>
      </c>
      <c r="G2920">
        <v>5</v>
      </c>
      <c r="H2920">
        <v>3.5</v>
      </c>
      <c r="I2920" t="s">
        <v>21</v>
      </c>
      <c r="J2920" t="s">
        <v>1629</v>
      </c>
      <c r="K2920" s="12">
        <f>Store_Record[[#This Row],[Qty]]*Store_Record[[#This Row],[UnitPriceGBP]]</f>
        <v>17.5</v>
      </c>
      <c r="L2920" s="5" t="str">
        <f>TEXT(Store_Record[[#This Row],[Date]],"dddd")</f>
        <v>Friday</v>
      </c>
      <c r="M2920" s="5" t="str">
        <f>TEXT(Store_Record[[#This Row],[Date]],"mmmm")</f>
        <v>August</v>
      </c>
      <c r="N2920" s="5">
        <f>YEAR(Store_Record[[#This Row],[Date]])</f>
        <v>2025</v>
      </c>
      <c r="O2920"/>
    </row>
    <row r="2921" spans="1:15" x14ac:dyDescent="0.35">
      <c r="A2921" t="s">
        <v>3880</v>
      </c>
      <c r="B2921" s="2">
        <v>45870</v>
      </c>
      <c r="C2921" t="s">
        <v>24</v>
      </c>
      <c r="D2921" t="s">
        <v>29</v>
      </c>
      <c r="E2921" t="s">
        <v>26</v>
      </c>
      <c r="F2921" t="s">
        <v>13</v>
      </c>
      <c r="G2921">
        <v>5</v>
      </c>
      <c r="H2921">
        <v>3.5</v>
      </c>
      <c r="I2921" t="s">
        <v>14</v>
      </c>
      <c r="J2921" t="s">
        <v>1852</v>
      </c>
      <c r="K2921" s="12">
        <f>Store_Record[[#This Row],[Qty]]*Store_Record[[#This Row],[UnitPriceGBP]]</f>
        <v>17.5</v>
      </c>
      <c r="L2921" s="5" t="str">
        <f>TEXT(Store_Record[[#This Row],[Date]],"dddd")</f>
        <v>Friday</v>
      </c>
      <c r="M2921" s="5" t="str">
        <f>TEXT(Store_Record[[#This Row],[Date]],"mmmm")</f>
        <v>August</v>
      </c>
      <c r="N2921" s="5">
        <f>YEAR(Store_Record[[#This Row],[Date]])</f>
        <v>2025</v>
      </c>
      <c r="O2921"/>
    </row>
    <row r="2922" spans="1:15" x14ac:dyDescent="0.35">
      <c r="A2922" t="s">
        <v>3889</v>
      </c>
      <c r="B2922" s="2">
        <v>45870</v>
      </c>
      <c r="C2922" t="s">
        <v>20</v>
      </c>
      <c r="D2922" t="s">
        <v>38</v>
      </c>
      <c r="E2922" t="s">
        <v>26</v>
      </c>
      <c r="F2922" t="s">
        <v>13</v>
      </c>
      <c r="G2922">
        <v>4</v>
      </c>
      <c r="H2922">
        <v>3.5</v>
      </c>
      <c r="I2922" t="s">
        <v>14</v>
      </c>
      <c r="J2922" t="s">
        <v>294</v>
      </c>
      <c r="K2922" s="12">
        <f>Store_Record[[#This Row],[Qty]]*Store_Record[[#This Row],[UnitPriceGBP]]</f>
        <v>14</v>
      </c>
      <c r="L2922" s="5" t="str">
        <f>TEXT(Store_Record[[#This Row],[Date]],"dddd")</f>
        <v>Friday</v>
      </c>
      <c r="M2922" s="5" t="str">
        <f>TEXT(Store_Record[[#This Row],[Date]],"mmmm")</f>
        <v>August</v>
      </c>
      <c r="N2922" s="5">
        <f>YEAR(Store_Record[[#This Row],[Date]])</f>
        <v>2025</v>
      </c>
      <c r="O2922"/>
    </row>
    <row r="2923" spans="1:15" x14ac:dyDescent="0.35">
      <c r="A2923" t="s">
        <v>3878</v>
      </c>
      <c r="B2923" s="2">
        <v>45870</v>
      </c>
      <c r="C2923" t="s">
        <v>10</v>
      </c>
      <c r="D2923" t="s">
        <v>25</v>
      </c>
      <c r="E2923" t="s">
        <v>42</v>
      </c>
      <c r="F2923" t="s">
        <v>13</v>
      </c>
      <c r="G2923">
        <v>3</v>
      </c>
      <c r="H2923">
        <v>3.8</v>
      </c>
      <c r="I2923" t="s">
        <v>14</v>
      </c>
      <c r="J2923" t="s">
        <v>1145</v>
      </c>
      <c r="K2923" s="12">
        <f>Store_Record[[#This Row],[Qty]]*Store_Record[[#This Row],[UnitPriceGBP]]</f>
        <v>11.399999999999999</v>
      </c>
      <c r="L2923" s="5" t="str">
        <f>TEXT(Store_Record[[#This Row],[Date]],"dddd")</f>
        <v>Friday</v>
      </c>
      <c r="M2923" s="5" t="str">
        <f>TEXT(Store_Record[[#This Row],[Date]],"mmmm")</f>
        <v>August</v>
      </c>
      <c r="N2923" s="5">
        <f>YEAR(Store_Record[[#This Row],[Date]])</f>
        <v>2025</v>
      </c>
      <c r="O2923"/>
    </row>
    <row r="2924" spans="1:15" x14ac:dyDescent="0.35">
      <c r="A2924" t="s">
        <v>3891</v>
      </c>
      <c r="B2924" s="2">
        <v>45870</v>
      </c>
      <c r="C2924" t="s">
        <v>36</v>
      </c>
      <c r="D2924" t="s">
        <v>25</v>
      </c>
      <c r="E2924" t="s">
        <v>42</v>
      </c>
      <c r="F2924" t="s">
        <v>13</v>
      </c>
      <c r="G2924">
        <v>3</v>
      </c>
      <c r="H2924">
        <v>3.8</v>
      </c>
      <c r="I2924" t="s">
        <v>21</v>
      </c>
      <c r="J2924" t="s">
        <v>3348</v>
      </c>
      <c r="K2924" s="12">
        <f>Store_Record[[#This Row],[Qty]]*Store_Record[[#This Row],[UnitPriceGBP]]</f>
        <v>11.399999999999999</v>
      </c>
      <c r="L2924" s="5" t="str">
        <f>TEXT(Store_Record[[#This Row],[Date]],"dddd")</f>
        <v>Friday</v>
      </c>
      <c r="M2924" s="5" t="str">
        <f>TEXT(Store_Record[[#This Row],[Date]],"mmmm")</f>
        <v>August</v>
      </c>
      <c r="N2924" s="5">
        <f>YEAR(Store_Record[[#This Row],[Date]])</f>
        <v>2025</v>
      </c>
      <c r="O2924"/>
    </row>
    <row r="2925" spans="1:15" x14ac:dyDescent="0.35">
      <c r="A2925" t="s">
        <v>3877</v>
      </c>
      <c r="B2925" s="2">
        <v>45870</v>
      </c>
      <c r="C2925" t="s">
        <v>36</v>
      </c>
      <c r="D2925" t="s">
        <v>25</v>
      </c>
      <c r="E2925" t="s">
        <v>30</v>
      </c>
      <c r="F2925" t="s">
        <v>31</v>
      </c>
      <c r="G2925">
        <v>4</v>
      </c>
      <c r="H2925">
        <v>2.8</v>
      </c>
      <c r="I2925" t="s">
        <v>39</v>
      </c>
      <c r="J2925" t="s">
        <v>771</v>
      </c>
      <c r="K2925" s="12">
        <f>Store_Record[[#This Row],[Qty]]*Store_Record[[#This Row],[UnitPriceGBP]]</f>
        <v>11.2</v>
      </c>
      <c r="L2925" s="5" t="str">
        <f>TEXT(Store_Record[[#This Row],[Date]],"dddd")</f>
        <v>Friday</v>
      </c>
      <c r="M2925" s="5" t="str">
        <f>TEXT(Store_Record[[#This Row],[Date]],"mmmm")</f>
        <v>August</v>
      </c>
      <c r="N2925" s="5">
        <f>YEAR(Store_Record[[#This Row],[Date]])</f>
        <v>2025</v>
      </c>
      <c r="O2925"/>
    </row>
    <row r="2926" spans="1:15" x14ac:dyDescent="0.35">
      <c r="A2926" t="s">
        <v>3883</v>
      </c>
      <c r="B2926" s="2">
        <v>45870</v>
      </c>
      <c r="C2926" t="s">
        <v>24</v>
      </c>
      <c r="D2926" t="s">
        <v>11</v>
      </c>
      <c r="E2926" t="s">
        <v>12</v>
      </c>
      <c r="F2926" t="s">
        <v>13</v>
      </c>
      <c r="G2926">
        <v>4</v>
      </c>
      <c r="H2926">
        <v>2.5</v>
      </c>
      <c r="I2926" t="s">
        <v>39</v>
      </c>
      <c r="J2926" t="s">
        <v>1265</v>
      </c>
      <c r="K2926" s="12">
        <f>Store_Record[[#This Row],[Qty]]*Store_Record[[#This Row],[UnitPriceGBP]]</f>
        <v>10</v>
      </c>
      <c r="L2926" s="5" t="str">
        <f>TEXT(Store_Record[[#This Row],[Date]],"dddd")</f>
        <v>Friday</v>
      </c>
      <c r="M2926" s="5" t="str">
        <f>TEXT(Store_Record[[#This Row],[Date]],"mmmm")</f>
        <v>August</v>
      </c>
      <c r="N2926" s="5">
        <f>YEAR(Store_Record[[#This Row],[Date]])</f>
        <v>2025</v>
      </c>
      <c r="O2926"/>
    </row>
    <row r="2927" spans="1:15" x14ac:dyDescent="0.35">
      <c r="A2927" t="s">
        <v>3887</v>
      </c>
      <c r="B2927" s="2">
        <v>45870</v>
      </c>
      <c r="C2927" t="s">
        <v>10</v>
      </c>
      <c r="D2927" t="s">
        <v>29</v>
      </c>
      <c r="E2927" t="s">
        <v>34</v>
      </c>
      <c r="F2927" t="s">
        <v>31</v>
      </c>
      <c r="G2927">
        <v>4</v>
      </c>
      <c r="H2927">
        <v>2.2000000000000002</v>
      </c>
      <c r="I2927" t="s">
        <v>21</v>
      </c>
      <c r="J2927" t="s">
        <v>3072</v>
      </c>
      <c r="K2927" s="12">
        <f>Store_Record[[#This Row],[Qty]]*Store_Record[[#This Row],[UnitPriceGBP]]</f>
        <v>8.8000000000000007</v>
      </c>
      <c r="L2927" s="5" t="str">
        <f>TEXT(Store_Record[[#This Row],[Date]],"dddd")</f>
        <v>Friday</v>
      </c>
      <c r="M2927" s="5" t="str">
        <f>TEXT(Store_Record[[#This Row],[Date]],"mmmm")</f>
        <v>August</v>
      </c>
      <c r="N2927" s="5">
        <f>YEAR(Store_Record[[#This Row],[Date]])</f>
        <v>2025</v>
      </c>
      <c r="O2927"/>
    </row>
    <row r="2928" spans="1:15" x14ac:dyDescent="0.35">
      <c r="A2928" t="s">
        <v>3890</v>
      </c>
      <c r="B2928" s="2">
        <v>45870</v>
      </c>
      <c r="C2928" t="s">
        <v>36</v>
      </c>
      <c r="D2928" t="s">
        <v>38</v>
      </c>
      <c r="E2928" t="s">
        <v>30</v>
      </c>
      <c r="F2928" t="s">
        <v>31</v>
      </c>
      <c r="G2928">
        <v>3</v>
      </c>
      <c r="H2928">
        <v>2.8</v>
      </c>
      <c r="I2928" t="s">
        <v>39</v>
      </c>
      <c r="J2928" t="s">
        <v>2634</v>
      </c>
      <c r="K2928" s="12">
        <f>Store_Record[[#This Row],[Qty]]*Store_Record[[#This Row],[UnitPriceGBP]]</f>
        <v>8.3999999999999986</v>
      </c>
      <c r="L2928" s="5" t="str">
        <f>TEXT(Store_Record[[#This Row],[Date]],"dddd")</f>
        <v>Friday</v>
      </c>
      <c r="M2928" s="5" t="str">
        <f>TEXT(Store_Record[[#This Row],[Date]],"mmmm")</f>
        <v>August</v>
      </c>
      <c r="N2928" s="5">
        <f>YEAR(Store_Record[[#This Row],[Date]])</f>
        <v>2025</v>
      </c>
      <c r="O2928"/>
    </row>
    <row r="2929" spans="1:15" x14ac:dyDescent="0.35">
      <c r="A2929" t="s">
        <v>3886</v>
      </c>
      <c r="B2929" s="2">
        <v>45870</v>
      </c>
      <c r="C2929" t="s">
        <v>24</v>
      </c>
      <c r="D2929" t="s">
        <v>47</v>
      </c>
      <c r="E2929" t="s">
        <v>26</v>
      </c>
      <c r="F2929" t="s">
        <v>13</v>
      </c>
      <c r="G2929">
        <v>2</v>
      </c>
      <c r="H2929">
        <v>3.5</v>
      </c>
      <c r="I2929" t="s">
        <v>14</v>
      </c>
      <c r="J2929" t="s">
        <v>652</v>
      </c>
      <c r="K2929" s="12">
        <f>Store_Record[[#This Row],[Qty]]*Store_Record[[#This Row],[UnitPriceGBP]]</f>
        <v>7</v>
      </c>
      <c r="L2929" s="5" t="str">
        <f>TEXT(Store_Record[[#This Row],[Date]],"dddd")</f>
        <v>Friday</v>
      </c>
      <c r="M2929" s="5" t="str">
        <f>TEXT(Store_Record[[#This Row],[Date]],"mmmm")</f>
        <v>August</v>
      </c>
      <c r="N2929" s="5">
        <f>YEAR(Store_Record[[#This Row],[Date]])</f>
        <v>2025</v>
      </c>
      <c r="O2929"/>
    </row>
    <row r="2930" spans="1:15" x14ac:dyDescent="0.35">
      <c r="A2930" t="s">
        <v>3879</v>
      </c>
      <c r="B2930" s="2">
        <v>45870</v>
      </c>
      <c r="C2930" t="s">
        <v>36</v>
      </c>
      <c r="D2930" t="s">
        <v>25</v>
      </c>
      <c r="E2930" t="s">
        <v>34</v>
      </c>
      <c r="F2930" t="s">
        <v>31</v>
      </c>
      <c r="G2930">
        <v>3</v>
      </c>
      <c r="H2930">
        <v>2.2000000000000002</v>
      </c>
      <c r="I2930" t="s">
        <v>39</v>
      </c>
      <c r="J2930" t="s">
        <v>1181</v>
      </c>
      <c r="K2930" s="12">
        <f>Store_Record[[#This Row],[Qty]]*Store_Record[[#This Row],[UnitPriceGBP]]</f>
        <v>6.6000000000000005</v>
      </c>
      <c r="L2930" s="5" t="str">
        <f>TEXT(Store_Record[[#This Row],[Date]],"dddd")</f>
        <v>Friday</v>
      </c>
      <c r="M2930" s="5" t="str">
        <f>TEXT(Store_Record[[#This Row],[Date]],"mmmm")</f>
        <v>August</v>
      </c>
      <c r="N2930" s="5">
        <f>YEAR(Store_Record[[#This Row],[Date]])</f>
        <v>2025</v>
      </c>
      <c r="O2930"/>
    </row>
    <row r="2931" spans="1:15" x14ac:dyDescent="0.35">
      <c r="A2931" t="s">
        <v>3892</v>
      </c>
      <c r="B2931" s="2">
        <v>45870</v>
      </c>
      <c r="C2931" t="s">
        <v>24</v>
      </c>
      <c r="D2931" t="s">
        <v>38</v>
      </c>
      <c r="E2931" t="s">
        <v>34</v>
      </c>
      <c r="F2931" t="s">
        <v>31</v>
      </c>
      <c r="G2931">
        <v>3</v>
      </c>
      <c r="H2931">
        <v>2.2000000000000002</v>
      </c>
      <c r="I2931" t="s">
        <v>14</v>
      </c>
      <c r="J2931" t="s">
        <v>40</v>
      </c>
      <c r="K2931" s="12">
        <f>Store_Record[[#This Row],[Qty]]*Store_Record[[#This Row],[UnitPriceGBP]]</f>
        <v>6.6000000000000005</v>
      </c>
      <c r="L2931" s="5" t="str">
        <f>TEXT(Store_Record[[#This Row],[Date]],"dddd")</f>
        <v>Friday</v>
      </c>
      <c r="M2931" s="5" t="str">
        <f>TEXT(Store_Record[[#This Row],[Date]],"mmmm")</f>
        <v>August</v>
      </c>
      <c r="N2931" s="5">
        <f>YEAR(Store_Record[[#This Row],[Date]])</f>
        <v>2025</v>
      </c>
      <c r="O2931"/>
    </row>
    <row r="2932" spans="1:15" x14ac:dyDescent="0.35">
      <c r="A2932" t="s">
        <v>3882</v>
      </c>
      <c r="B2932" s="2">
        <v>45870</v>
      </c>
      <c r="C2932" t="s">
        <v>24</v>
      </c>
      <c r="D2932" t="s">
        <v>25</v>
      </c>
      <c r="E2932" t="s">
        <v>34</v>
      </c>
      <c r="F2932" t="s">
        <v>31</v>
      </c>
      <c r="G2932">
        <v>2</v>
      </c>
      <c r="H2932">
        <v>2.2000000000000002</v>
      </c>
      <c r="I2932" t="s">
        <v>39</v>
      </c>
      <c r="J2932" t="s">
        <v>2740</v>
      </c>
      <c r="K2932" s="12">
        <f>Store_Record[[#This Row],[Qty]]*Store_Record[[#This Row],[UnitPriceGBP]]</f>
        <v>4.4000000000000004</v>
      </c>
      <c r="L2932" s="5" t="str">
        <f>TEXT(Store_Record[[#This Row],[Date]],"dddd")</f>
        <v>Friday</v>
      </c>
      <c r="M2932" s="5" t="str">
        <f>TEXT(Store_Record[[#This Row],[Date]],"mmmm")</f>
        <v>August</v>
      </c>
      <c r="N2932" s="5">
        <f>YEAR(Store_Record[[#This Row],[Date]])</f>
        <v>2025</v>
      </c>
      <c r="O2932"/>
    </row>
    <row r="2933" spans="1:15" x14ac:dyDescent="0.35">
      <c r="A2933" t="s">
        <v>3884</v>
      </c>
      <c r="B2933" s="2">
        <v>45870</v>
      </c>
      <c r="C2933" t="s">
        <v>20</v>
      </c>
      <c r="D2933" t="s">
        <v>25</v>
      </c>
      <c r="E2933" t="s">
        <v>34</v>
      </c>
      <c r="F2933" t="s">
        <v>31</v>
      </c>
      <c r="G2933">
        <v>2</v>
      </c>
      <c r="H2933">
        <v>2.2000000000000002</v>
      </c>
      <c r="I2933" t="s">
        <v>14</v>
      </c>
      <c r="J2933" t="s">
        <v>3885</v>
      </c>
      <c r="K2933" s="12">
        <f>Store_Record[[#This Row],[Qty]]*Store_Record[[#This Row],[UnitPriceGBP]]</f>
        <v>4.4000000000000004</v>
      </c>
      <c r="L2933" s="5" t="str">
        <f>TEXT(Store_Record[[#This Row],[Date]],"dddd")</f>
        <v>Friday</v>
      </c>
      <c r="M2933" s="5" t="str">
        <f>TEXT(Store_Record[[#This Row],[Date]],"mmmm")</f>
        <v>August</v>
      </c>
      <c r="N2933" s="5">
        <f>YEAR(Store_Record[[#This Row],[Date]])</f>
        <v>2025</v>
      </c>
      <c r="O2933"/>
    </row>
    <row r="2934" spans="1:15" x14ac:dyDescent="0.35">
      <c r="A2934" t="s">
        <v>3888</v>
      </c>
      <c r="B2934" s="2">
        <v>45870</v>
      </c>
      <c r="C2934" t="s">
        <v>36</v>
      </c>
      <c r="D2934" t="s">
        <v>38</v>
      </c>
      <c r="E2934" t="s">
        <v>26</v>
      </c>
      <c r="F2934" t="s">
        <v>13</v>
      </c>
      <c r="G2934">
        <v>1</v>
      </c>
      <c r="H2934">
        <v>3.5</v>
      </c>
      <c r="I2934" t="s">
        <v>21</v>
      </c>
      <c r="J2934" t="s">
        <v>2727</v>
      </c>
      <c r="K2934" s="12">
        <f>Store_Record[[#This Row],[Qty]]*Store_Record[[#This Row],[UnitPriceGBP]]</f>
        <v>3.5</v>
      </c>
      <c r="L2934" s="5" t="str">
        <f>TEXT(Store_Record[[#This Row],[Date]],"dddd")</f>
        <v>Friday</v>
      </c>
      <c r="M2934" s="5" t="str">
        <f>TEXT(Store_Record[[#This Row],[Date]],"mmmm")</f>
        <v>August</v>
      </c>
      <c r="N2934" s="5">
        <f>YEAR(Store_Record[[#This Row],[Date]])</f>
        <v>2025</v>
      </c>
      <c r="O2934"/>
    </row>
    <row r="2935" spans="1:15" x14ac:dyDescent="0.35">
      <c r="A2935" t="s">
        <v>3881</v>
      </c>
      <c r="B2935" s="2">
        <v>45870</v>
      </c>
      <c r="C2935" t="s">
        <v>20</v>
      </c>
      <c r="D2935" t="s">
        <v>38</v>
      </c>
      <c r="E2935" t="s">
        <v>34</v>
      </c>
      <c r="F2935" t="s">
        <v>31</v>
      </c>
      <c r="G2935">
        <v>1</v>
      </c>
      <c r="H2935">
        <v>2.2000000000000002</v>
      </c>
      <c r="I2935" t="s">
        <v>21</v>
      </c>
      <c r="J2935" t="s">
        <v>3331</v>
      </c>
      <c r="K2935" s="12">
        <f>Store_Record[[#This Row],[Qty]]*Store_Record[[#This Row],[UnitPriceGBP]]</f>
        <v>2.2000000000000002</v>
      </c>
      <c r="L2935" s="5" t="str">
        <f>TEXT(Store_Record[[#This Row],[Date]],"dddd")</f>
        <v>Friday</v>
      </c>
      <c r="M2935" s="5" t="str">
        <f>TEXT(Store_Record[[#This Row],[Date]],"mmmm")</f>
        <v>August</v>
      </c>
      <c r="N2935" s="5">
        <f>YEAR(Store_Record[[#This Row],[Date]])</f>
        <v>2025</v>
      </c>
      <c r="O2935"/>
    </row>
    <row r="2936" spans="1:15" x14ac:dyDescent="0.35">
      <c r="A2936" t="s">
        <v>3903</v>
      </c>
      <c r="B2936" s="2">
        <v>45871</v>
      </c>
      <c r="C2936" t="s">
        <v>10</v>
      </c>
      <c r="D2936" t="s">
        <v>25</v>
      </c>
      <c r="E2936" t="s">
        <v>42</v>
      </c>
      <c r="F2936" t="s">
        <v>13</v>
      </c>
      <c r="G2936">
        <v>5</v>
      </c>
      <c r="H2936">
        <v>3.8</v>
      </c>
      <c r="I2936" t="s">
        <v>39</v>
      </c>
      <c r="J2936" t="s">
        <v>656</v>
      </c>
      <c r="K2936" s="12">
        <f>Store_Record[[#This Row],[Qty]]*Store_Record[[#This Row],[UnitPriceGBP]]</f>
        <v>19</v>
      </c>
      <c r="L2936" s="5" t="str">
        <f>TEXT(Store_Record[[#This Row],[Date]],"dddd")</f>
        <v>Saturday</v>
      </c>
      <c r="M2936" s="5" t="str">
        <f>TEXT(Store_Record[[#This Row],[Date]],"mmmm")</f>
        <v>August</v>
      </c>
      <c r="N2936" s="5">
        <f>YEAR(Store_Record[[#This Row],[Date]])</f>
        <v>2025</v>
      </c>
      <c r="O2936"/>
    </row>
    <row r="2937" spans="1:15" x14ac:dyDescent="0.35">
      <c r="A2937" t="s">
        <v>3896</v>
      </c>
      <c r="B2937" s="2">
        <v>45871</v>
      </c>
      <c r="C2937" t="s">
        <v>20</v>
      </c>
      <c r="D2937" t="s">
        <v>11</v>
      </c>
      <c r="E2937" t="s">
        <v>30</v>
      </c>
      <c r="F2937" t="s">
        <v>31</v>
      </c>
      <c r="G2937">
        <v>5</v>
      </c>
      <c r="H2937">
        <v>2.8</v>
      </c>
      <c r="I2937" t="s">
        <v>21</v>
      </c>
      <c r="J2937" t="s">
        <v>1360</v>
      </c>
      <c r="K2937" s="12">
        <f>Store_Record[[#This Row],[Qty]]*Store_Record[[#This Row],[UnitPriceGBP]]</f>
        <v>14</v>
      </c>
      <c r="L2937" s="5" t="str">
        <f>TEXT(Store_Record[[#This Row],[Date]],"dddd")</f>
        <v>Saturday</v>
      </c>
      <c r="M2937" s="5" t="str">
        <f>TEXT(Store_Record[[#This Row],[Date]],"mmmm")</f>
        <v>August</v>
      </c>
      <c r="N2937" s="5">
        <f>YEAR(Store_Record[[#This Row],[Date]])</f>
        <v>2025</v>
      </c>
      <c r="O2937"/>
    </row>
    <row r="2938" spans="1:15" x14ac:dyDescent="0.35">
      <c r="A2938" t="s">
        <v>3895</v>
      </c>
      <c r="B2938" s="2">
        <v>45871</v>
      </c>
      <c r="C2938" t="s">
        <v>24</v>
      </c>
      <c r="D2938" t="s">
        <v>29</v>
      </c>
      <c r="E2938" t="s">
        <v>30</v>
      </c>
      <c r="F2938" t="s">
        <v>31</v>
      </c>
      <c r="G2938">
        <v>4</v>
      </c>
      <c r="H2938">
        <v>2.8</v>
      </c>
      <c r="I2938" t="s">
        <v>21</v>
      </c>
      <c r="J2938" t="s">
        <v>2770</v>
      </c>
      <c r="K2938" s="12">
        <f>Store_Record[[#This Row],[Qty]]*Store_Record[[#This Row],[UnitPriceGBP]]</f>
        <v>11.2</v>
      </c>
      <c r="L2938" s="5" t="str">
        <f>TEXT(Store_Record[[#This Row],[Date]],"dddd")</f>
        <v>Saturday</v>
      </c>
      <c r="M2938" s="5" t="str">
        <f>TEXT(Store_Record[[#This Row],[Date]],"mmmm")</f>
        <v>August</v>
      </c>
      <c r="N2938" s="5">
        <f>YEAR(Store_Record[[#This Row],[Date]])</f>
        <v>2025</v>
      </c>
      <c r="O2938"/>
    </row>
    <row r="2939" spans="1:15" x14ac:dyDescent="0.35">
      <c r="A2939" t="s">
        <v>3893</v>
      </c>
      <c r="B2939" s="2">
        <v>45871</v>
      </c>
      <c r="C2939" t="s">
        <v>36</v>
      </c>
      <c r="D2939" t="s">
        <v>29</v>
      </c>
      <c r="E2939" t="s">
        <v>34</v>
      </c>
      <c r="F2939" t="s">
        <v>31</v>
      </c>
      <c r="G2939">
        <v>5</v>
      </c>
      <c r="H2939">
        <v>2.2000000000000002</v>
      </c>
      <c r="I2939" t="s">
        <v>21</v>
      </c>
      <c r="J2939" t="s">
        <v>811</v>
      </c>
      <c r="K2939" s="12">
        <f>Store_Record[[#This Row],[Qty]]*Store_Record[[#This Row],[UnitPriceGBP]]</f>
        <v>11</v>
      </c>
      <c r="L2939" s="5" t="str">
        <f>TEXT(Store_Record[[#This Row],[Date]],"dddd")</f>
        <v>Saturday</v>
      </c>
      <c r="M2939" s="5" t="str">
        <f>TEXT(Store_Record[[#This Row],[Date]],"mmmm")</f>
        <v>August</v>
      </c>
      <c r="N2939" s="5">
        <f>YEAR(Store_Record[[#This Row],[Date]])</f>
        <v>2025</v>
      </c>
      <c r="O2939"/>
    </row>
    <row r="2940" spans="1:15" x14ac:dyDescent="0.35">
      <c r="A2940" t="s">
        <v>3898</v>
      </c>
      <c r="B2940" s="2">
        <v>45871</v>
      </c>
      <c r="C2940" t="s">
        <v>20</v>
      </c>
      <c r="D2940" t="s">
        <v>47</v>
      </c>
      <c r="E2940" t="s">
        <v>26</v>
      </c>
      <c r="F2940" t="s">
        <v>13</v>
      </c>
      <c r="G2940">
        <v>3</v>
      </c>
      <c r="H2940">
        <v>3.5</v>
      </c>
      <c r="I2940" t="s">
        <v>39</v>
      </c>
      <c r="J2940" t="s">
        <v>369</v>
      </c>
      <c r="K2940" s="12">
        <f>Store_Record[[#This Row],[Qty]]*Store_Record[[#This Row],[UnitPriceGBP]]</f>
        <v>10.5</v>
      </c>
      <c r="L2940" s="5" t="str">
        <f>TEXT(Store_Record[[#This Row],[Date]],"dddd")</f>
        <v>Saturday</v>
      </c>
      <c r="M2940" s="5" t="str">
        <f>TEXT(Store_Record[[#This Row],[Date]],"mmmm")</f>
        <v>August</v>
      </c>
      <c r="N2940" s="5">
        <f>YEAR(Store_Record[[#This Row],[Date]])</f>
        <v>2025</v>
      </c>
      <c r="O2940"/>
    </row>
    <row r="2941" spans="1:15" x14ac:dyDescent="0.35">
      <c r="A2941" t="s">
        <v>3902</v>
      </c>
      <c r="B2941" s="2">
        <v>45871</v>
      </c>
      <c r="C2941" t="s">
        <v>20</v>
      </c>
      <c r="D2941" t="s">
        <v>11</v>
      </c>
      <c r="E2941" t="s">
        <v>26</v>
      </c>
      <c r="F2941" t="s">
        <v>13</v>
      </c>
      <c r="G2941">
        <v>3</v>
      </c>
      <c r="H2941">
        <v>3.5</v>
      </c>
      <c r="I2941" t="s">
        <v>21</v>
      </c>
      <c r="J2941" t="s">
        <v>1641</v>
      </c>
      <c r="K2941" s="12">
        <f>Store_Record[[#This Row],[Qty]]*Store_Record[[#This Row],[UnitPriceGBP]]</f>
        <v>10.5</v>
      </c>
      <c r="L2941" s="5" t="str">
        <f>TEXT(Store_Record[[#This Row],[Date]],"dddd")</f>
        <v>Saturday</v>
      </c>
      <c r="M2941" s="5" t="str">
        <f>TEXT(Store_Record[[#This Row],[Date]],"mmmm")</f>
        <v>August</v>
      </c>
      <c r="N2941" s="5">
        <f>YEAR(Store_Record[[#This Row],[Date]])</f>
        <v>2025</v>
      </c>
      <c r="O2941"/>
    </row>
    <row r="2942" spans="1:15" x14ac:dyDescent="0.35">
      <c r="A2942" t="s">
        <v>3900</v>
      </c>
      <c r="B2942" s="2">
        <v>45871</v>
      </c>
      <c r="C2942" t="s">
        <v>20</v>
      </c>
      <c r="D2942" t="s">
        <v>47</v>
      </c>
      <c r="E2942" t="s">
        <v>34</v>
      </c>
      <c r="F2942" t="s">
        <v>31</v>
      </c>
      <c r="G2942">
        <v>3</v>
      </c>
      <c r="H2942">
        <v>2.2000000000000002</v>
      </c>
      <c r="I2942" t="s">
        <v>39</v>
      </c>
      <c r="J2942" t="s">
        <v>824</v>
      </c>
      <c r="K2942" s="12">
        <f>Store_Record[[#This Row],[Qty]]*Store_Record[[#This Row],[UnitPriceGBP]]</f>
        <v>6.6000000000000005</v>
      </c>
      <c r="L2942" s="5" t="str">
        <f>TEXT(Store_Record[[#This Row],[Date]],"dddd")</f>
        <v>Saturday</v>
      </c>
      <c r="M2942" s="5" t="str">
        <f>TEXT(Store_Record[[#This Row],[Date]],"mmmm")</f>
        <v>August</v>
      </c>
      <c r="N2942" s="5">
        <f>YEAR(Store_Record[[#This Row],[Date]])</f>
        <v>2025</v>
      </c>
      <c r="O2942"/>
    </row>
    <row r="2943" spans="1:15" x14ac:dyDescent="0.35">
      <c r="A2943" t="s">
        <v>3901</v>
      </c>
      <c r="B2943" s="2">
        <v>45871</v>
      </c>
      <c r="C2943" t="s">
        <v>24</v>
      </c>
      <c r="D2943" t="s">
        <v>11</v>
      </c>
      <c r="E2943" t="s">
        <v>30</v>
      </c>
      <c r="F2943" t="s">
        <v>31</v>
      </c>
      <c r="G2943">
        <v>2</v>
      </c>
      <c r="H2943">
        <v>2.8</v>
      </c>
      <c r="I2943" t="s">
        <v>39</v>
      </c>
      <c r="J2943" t="s">
        <v>827</v>
      </c>
      <c r="K2943" s="12">
        <f>Store_Record[[#This Row],[Qty]]*Store_Record[[#This Row],[UnitPriceGBP]]</f>
        <v>5.6</v>
      </c>
      <c r="L2943" s="5" t="str">
        <f>TEXT(Store_Record[[#This Row],[Date]],"dddd")</f>
        <v>Saturday</v>
      </c>
      <c r="M2943" s="5" t="str">
        <f>TEXT(Store_Record[[#This Row],[Date]],"mmmm")</f>
        <v>August</v>
      </c>
      <c r="N2943" s="5">
        <f>YEAR(Store_Record[[#This Row],[Date]])</f>
        <v>2025</v>
      </c>
      <c r="O2943"/>
    </row>
    <row r="2944" spans="1:15" x14ac:dyDescent="0.35">
      <c r="A2944" t="s">
        <v>3894</v>
      </c>
      <c r="B2944" s="2">
        <v>45871</v>
      </c>
      <c r="C2944" t="s">
        <v>10</v>
      </c>
      <c r="D2944" t="s">
        <v>152</v>
      </c>
      <c r="E2944" t="s">
        <v>26</v>
      </c>
      <c r="F2944" t="s">
        <v>13</v>
      </c>
      <c r="G2944">
        <v>1</v>
      </c>
      <c r="H2944">
        <v>3.5</v>
      </c>
      <c r="I2944" t="s">
        <v>39</v>
      </c>
      <c r="J2944" t="s">
        <v>78</v>
      </c>
      <c r="K2944" s="12">
        <f>Store_Record[[#This Row],[Qty]]*Store_Record[[#This Row],[UnitPriceGBP]]</f>
        <v>3.5</v>
      </c>
      <c r="L2944" s="5" t="str">
        <f>TEXT(Store_Record[[#This Row],[Date]],"dddd")</f>
        <v>Saturday</v>
      </c>
      <c r="M2944" s="5" t="str">
        <f>TEXT(Store_Record[[#This Row],[Date]],"mmmm")</f>
        <v>August</v>
      </c>
      <c r="N2944" s="5">
        <f>YEAR(Store_Record[[#This Row],[Date]])</f>
        <v>2025</v>
      </c>
      <c r="O2944"/>
    </row>
    <row r="2945" spans="1:15" x14ac:dyDescent="0.35">
      <c r="A2945" t="s">
        <v>3899</v>
      </c>
      <c r="B2945" s="2">
        <v>45871</v>
      </c>
      <c r="C2945" t="s">
        <v>24</v>
      </c>
      <c r="D2945" t="s">
        <v>25</v>
      </c>
      <c r="E2945" t="s">
        <v>30</v>
      </c>
      <c r="F2945" t="s">
        <v>31</v>
      </c>
      <c r="G2945">
        <v>1</v>
      </c>
      <c r="H2945">
        <v>2.8</v>
      </c>
      <c r="I2945" t="s">
        <v>14</v>
      </c>
      <c r="J2945" t="s">
        <v>35</v>
      </c>
      <c r="K2945" s="12">
        <f>Store_Record[[#This Row],[Qty]]*Store_Record[[#This Row],[UnitPriceGBP]]</f>
        <v>2.8</v>
      </c>
      <c r="L2945" s="5" t="str">
        <f>TEXT(Store_Record[[#This Row],[Date]],"dddd")</f>
        <v>Saturday</v>
      </c>
      <c r="M2945" s="5" t="str">
        <f>TEXT(Store_Record[[#This Row],[Date]],"mmmm")</f>
        <v>August</v>
      </c>
      <c r="N2945" s="5">
        <f>YEAR(Store_Record[[#This Row],[Date]])</f>
        <v>2025</v>
      </c>
      <c r="O2945"/>
    </row>
    <row r="2946" spans="1:15" x14ac:dyDescent="0.35">
      <c r="A2946" t="s">
        <v>3897</v>
      </c>
      <c r="B2946" s="2">
        <v>45871</v>
      </c>
      <c r="C2946" t="s">
        <v>10</v>
      </c>
      <c r="D2946" t="s">
        <v>11</v>
      </c>
      <c r="E2946" t="s">
        <v>12</v>
      </c>
      <c r="F2946" t="s">
        <v>13</v>
      </c>
      <c r="G2946">
        <v>1</v>
      </c>
      <c r="H2946">
        <v>2.5</v>
      </c>
      <c r="I2946" t="s">
        <v>39</v>
      </c>
      <c r="J2946" t="s">
        <v>423</v>
      </c>
      <c r="K2946" s="12">
        <f>Store_Record[[#This Row],[Qty]]*Store_Record[[#This Row],[UnitPriceGBP]]</f>
        <v>2.5</v>
      </c>
      <c r="L2946" s="5" t="str">
        <f>TEXT(Store_Record[[#This Row],[Date]],"dddd")</f>
        <v>Saturday</v>
      </c>
      <c r="M2946" s="5" t="str">
        <f>TEXT(Store_Record[[#This Row],[Date]],"mmmm")</f>
        <v>August</v>
      </c>
      <c r="N2946" s="5">
        <f>YEAR(Store_Record[[#This Row],[Date]])</f>
        <v>2025</v>
      </c>
      <c r="O2946"/>
    </row>
    <row r="2947" spans="1:15" x14ac:dyDescent="0.35">
      <c r="A2947" t="s">
        <v>3904</v>
      </c>
      <c r="B2947" s="2">
        <v>45872</v>
      </c>
      <c r="C2947" t="s">
        <v>20</v>
      </c>
      <c r="D2947" t="s">
        <v>25</v>
      </c>
      <c r="E2947" t="s">
        <v>42</v>
      </c>
      <c r="F2947" t="s">
        <v>13</v>
      </c>
      <c r="G2947">
        <v>3</v>
      </c>
      <c r="H2947">
        <v>3.8</v>
      </c>
      <c r="I2947" t="s">
        <v>21</v>
      </c>
      <c r="J2947" t="s">
        <v>402</v>
      </c>
      <c r="K2947" s="12">
        <f>Store_Record[[#This Row],[Qty]]*Store_Record[[#This Row],[UnitPriceGBP]]</f>
        <v>11.399999999999999</v>
      </c>
      <c r="L2947" s="5" t="str">
        <f>TEXT(Store_Record[[#This Row],[Date]],"dddd")</f>
        <v>Sunday</v>
      </c>
      <c r="M2947" s="5" t="str">
        <f>TEXT(Store_Record[[#This Row],[Date]],"mmmm")</f>
        <v>August</v>
      </c>
      <c r="N2947" s="5">
        <f>YEAR(Store_Record[[#This Row],[Date]])</f>
        <v>2025</v>
      </c>
      <c r="O2947"/>
    </row>
    <row r="2948" spans="1:15" x14ac:dyDescent="0.35">
      <c r="A2948" t="s">
        <v>3909</v>
      </c>
      <c r="B2948" s="2">
        <v>45872</v>
      </c>
      <c r="C2948" t="s">
        <v>24</v>
      </c>
      <c r="D2948" t="s">
        <v>47</v>
      </c>
      <c r="E2948" t="s">
        <v>34</v>
      </c>
      <c r="F2948" t="s">
        <v>31</v>
      </c>
      <c r="G2948">
        <v>5</v>
      </c>
      <c r="H2948">
        <v>2.2000000000000002</v>
      </c>
      <c r="I2948" t="s">
        <v>21</v>
      </c>
      <c r="J2948" t="s">
        <v>732</v>
      </c>
      <c r="K2948" s="12">
        <f>Store_Record[[#This Row],[Qty]]*Store_Record[[#This Row],[UnitPriceGBP]]</f>
        <v>11</v>
      </c>
      <c r="L2948" s="5" t="str">
        <f>TEXT(Store_Record[[#This Row],[Date]],"dddd")</f>
        <v>Sunday</v>
      </c>
      <c r="M2948" s="5" t="str">
        <f>TEXT(Store_Record[[#This Row],[Date]],"mmmm")</f>
        <v>August</v>
      </c>
      <c r="N2948" s="5">
        <f>YEAR(Store_Record[[#This Row],[Date]])</f>
        <v>2025</v>
      </c>
      <c r="O2948"/>
    </row>
    <row r="2949" spans="1:15" x14ac:dyDescent="0.35">
      <c r="A2949" t="s">
        <v>3907</v>
      </c>
      <c r="B2949" s="2">
        <v>45872</v>
      </c>
      <c r="C2949" t="s">
        <v>10</v>
      </c>
      <c r="D2949" t="s">
        <v>25</v>
      </c>
      <c r="E2949" t="s">
        <v>12</v>
      </c>
      <c r="F2949" t="s">
        <v>13</v>
      </c>
      <c r="G2949">
        <v>4</v>
      </c>
      <c r="H2949">
        <v>2.5</v>
      </c>
      <c r="I2949" t="s">
        <v>14</v>
      </c>
      <c r="J2949" t="s">
        <v>2332</v>
      </c>
      <c r="K2949" s="12">
        <f>Store_Record[[#This Row],[Qty]]*Store_Record[[#This Row],[UnitPriceGBP]]</f>
        <v>10</v>
      </c>
      <c r="L2949" s="5" t="str">
        <f>TEXT(Store_Record[[#This Row],[Date]],"dddd")</f>
        <v>Sunday</v>
      </c>
      <c r="M2949" s="5" t="str">
        <f>TEXT(Store_Record[[#This Row],[Date]],"mmmm")</f>
        <v>August</v>
      </c>
      <c r="N2949" s="5">
        <f>YEAR(Store_Record[[#This Row],[Date]])</f>
        <v>2025</v>
      </c>
      <c r="O2949"/>
    </row>
    <row r="2950" spans="1:15" x14ac:dyDescent="0.35">
      <c r="A2950" t="s">
        <v>3908</v>
      </c>
      <c r="B2950" s="2">
        <v>45872</v>
      </c>
      <c r="C2950" t="s">
        <v>10</v>
      </c>
      <c r="D2950" t="s">
        <v>38</v>
      </c>
      <c r="E2950" t="s">
        <v>30</v>
      </c>
      <c r="F2950" t="s">
        <v>31</v>
      </c>
      <c r="G2950">
        <v>3</v>
      </c>
      <c r="H2950">
        <v>2.8</v>
      </c>
      <c r="I2950" t="s">
        <v>14</v>
      </c>
      <c r="J2950" t="s">
        <v>121</v>
      </c>
      <c r="K2950" s="12">
        <f>Store_Record[[#This Row],[Qty]]*Store_Record[[#This Row],[UnitPriceGBP]]</f>
        <v>8.3999999999999986</v>
      </c>
      <c r="L2950" s="5" t="str">
        <f>TEXT(Store_Record[[#This Row],[Date]],"dddd")</f>
        <v>Sunday</v>
      </c>
      <c r="M2950" s="5" t="str">
        <f>TEXT(Store_Record[[#This Row],[Date]],"mmmm")</f>
        <v>August</v>
      </c>
      <c r="N2950" s="5">
        <f>YEAR(Store_Record[[#This Row],[Date]])</f>
        <v>2025</v>
      </c>
      <c r="O2950"/>
    </row>
    <row r="2951" spans="1:15" x14ac:dyDescent="0.35">
      <c r="A2951" t="s">
        <v>3911</v>
      </c>
      <c r="B2951" s="2">
        <v>45872</v>
      </c>
      <c r="C2951" t="s">
        <v>36</v>
      </c>
      <c r="D2951" t="s">
        <v>38</v>
      </c>
      <c r="E2951" t="s">
        <v>30</v>
      </c>
      <c r="F2951" t="s">
        <v>31</v>
      </c>
      <c r="G2951">
        <v>3</v>
      </c>
      <c r="H2951">
        <v>2.8</v>
      </c>
      <c r="I2951" t="s">
        <v>21</v>
      </c>
      <c r="J2951" t="s">
        <v>1203</v>
      </c>
      <c r="K2951" s="12">
        <f>Store_Record[[#This Row],[Qty]]*Store_Record[[#This Row],[UnitPriceGBP]]</f>
        <v>8.3999999999999986</v>
      </c>
      <c r="L2951" s="5" t="str">
        <f>TEXT(Store_Record[[#This Row],[Date]],"dddd")</f>
        <v>Sunday</v>
      </c>
      <c r="M2951" s="5" t="str">
        <f>TEXT(Store_Record[[#This Row],[Date]],"mmmm")</f>
        <v>August</v>
      </c>
      <c r="N2951" s="5">
        <f>YEAR(Store_Record[[#This Row],[Date]])</f>
        <v>2025</v>
      </c>
      <c r="O2951"/>
    </row>
    <row r="2952" spans="1:15" x14ac:dyDescent="0.35">
      <c r="A2952" t="s">
        <v>3906</v>
      </c>
      <c r="B2952" s="2">
        <v>45872</v>
      </c>
      <c r="C2952" t="s">
        <v>20</v>
      </c>
      <c r="D2952" t="s">
        <v>11</v>
      </c>
      <c r="E2952" t="s">
        <v>26</v>
      </c>
      <c r="F2952" t="s">
        <v>13</v>
      </c>
      <c r="G2952">
        <v>2</v>
      </c>
      <c r="H2952">
        <v>3.5</v>
      </c>
      <c r="I2952" t="s">
        <v>39</v>
      </c>
      <c r="J2952" t="s">
        <v>2927</v>
      </c>
      <c r="K2952" s="12">
        <f>Store_Record[[#This Row],[Qty]]*Store_Record[[#This Row],[UnitPriceGBP]]</f>
        <v>7</v>
      </c>
      <c r="L2952" s="5" t="str">
        <f>TEXT(Store_Record[[#This Row],[Date]],"dddd")</f>
        <v>Sunday</v>
      </c>
      <c r="M2952" s="5" t="str">
        <f>TEXT(Store_Record[[#This Row],[Date]],"mmmm")</f>
        <v>August</v>
      </c>
      <c r="N2952" s="5">
        <f>YEAR(Store_Record[[#This Row],[Date]])</f>
        <v>2025</v>
      </c>
      <c r="O2952"/>
    </row>
    <row r="2953" spans="1:15" x14ac:dyDescent="0.35">
      <c r="A2953" t="s">
        <v>3905</v>
      </c>
      <c r="B2953" s="2">
        <v>45872</v>
      </c>
      <c r="C2953" t="s">
        <v>20</v>
      </c>
      <c r="D2953" t="s">
        <v>11</v>
      </c>
      <c r="E2953" t="s">
        <v>34</v>
      </c>
      <c r="F2953" t="s">
        <v>31</v>
      </c>
      <c r="G2953">
        <v>2</v>
      </c>
      <c r="H2953">
        <v>2.2000000000000002</v>
      </c>
      <c r="I2953" t="s">
        <v>21</v>
      </c>
      <c r="J2953" t="s">
        <v>1194</v>
      </c>
      <c r="K2953" s="12">
        <f>Store_Record[[#This Row],[Qty]]*Store_Record[[#This Row],[UnitPriceGBP]]</f>
        <v>4.4000000000000004</v>
      </c>
      <c r="L2953" s="5" t="str">
        <f>TEXT(Store_Record[[#This Row],[Date]],"dddd")</f>
        <v>Sunday</v>
      </c>
      <c r="M2953" s="5" t="str">
        <f>TEXT(Store_Record[[#This Row],[Date]],"mmmm")</f>
        <v>August</v>
      </c>
      <c r="N2953" s="5">
        <f>YEAR(Store_Record[[#This Row],[Date]])</f>
        <v>2025</v>
      </c>
      <c r="O2953"/>
    </row>
    <row r="2954" spans="1:15" x14ac:dyDescent="0.35">
      <c r="A2954" t="s">
        <v>3910</v>
      </c>
      <c r="B2954" s="2">
        <v>45872</v>
      </c>
      <c r="C2954" t="s">
        <v>24</v>
      </c>
      <c r="D2954" t="s">
        <v>29</v>
      </c>
      <c r="E2954" t="s">
        <v>42</v>
      </c>
      <c r="F2954" t="s">
        <v>13</v>
      </c>
      <c r="G2954">
        <v>1</v>
      </c>
      <c r="H2954">
        <v>3.8</v>
      </c>
      <c r="I2954" t="s">
        <v>14</v>
      </c>
      <c r="J2954" t="s">
        <v>700</v>
      </c>
      <c r="K2954" s="12">
        <f>Store_Record[[#This Row],[Qty]]*Store_Record[[#This Row],[UnitPriceGBP]]</f>
        <v>3.8</v>
      </c>
      <c r="L2954" s="5" t="str">
        <f>TEXT(Store_Record[[#This Row],[Date]],"dddd")</f>
        <v>Sunday</v>
      </c>
      <c r="M2954" s="5" t="str">
        <f>TEXT(Store_Record[[#This Row],[Date]],"mmmm")</f>
        <v>August</v>
      </c>
      <c r="N2954" s="5">
        <f>YEAR(Store_Record[[#This Row],[Date]])</f>
        <v>2025</v>
      </c>
      <c r="O2954"/>
    </row>
    <row r="2955" spans="1:15" x14ac:dyDescent="0.35">
      <c r="A2955" t="s">
        <v>3931</v>
      </c>
      <c r="B2955" s="2">
        <v>45873</v>
      </c>
      <c r="C2955" t="s">
        <v>20</v>
      </c>
      <c r="D2955" t="s">
        <v>25</v>
      </c>
      <c r="E2955" t="s">
        <v>42</v>
      </c>
      <c r="F2955" t="s">
        <v>13</v>
      </c>
      <c r="G2955">
        <v>5</v>
      </c>
      <c r="H2955">
        <v>3.8</v>
      </c>
      <c r="I2955" t="s">
        <v>21</v>
      </c>
      <c r="J2955" t="s">
        <v>528</v>
      </c>
      <c r="K2955" s="12">
        <f>Store_Record[[#This Row],[Qty]]*Store_Record[[#This Row],[UnitPriceGBP]]</f>
        <v>19</v>
      </c>
      <c r="L2955" s="5" t="str">
        <f>TEXT(Store_Record[[#This Row],[Date]],"dddd")</f>
        <v>Monday</v>
      </c>
      <c r="M2955" s="5" t="str">
        <f>TEXT(Store_Record[[#This Row],[Date]],"mmmm")</f>
        <v>August</v>
      </c>
      <c r="N2955" s="5">
        <f>YEAR(Store_Record[[#This Row],[Date]])</f>
        <v>2025</v>
      </c>
      <c r="O2955"/>
    </row>
    <row r="2956" spans="1:15" x14ac:dyDescent="0.35">
      <c r="A2956" t="s">
        <v>3932</v>
      </c>
      <c r="B2956" s="2">
        <v>45873</v>
      </c>
      <c r="C2956" t="s">
        <v>20</v>
      </c>
      <c r="D2956" t="s">
        <v>29</v>
      </c>
      <c r="E2956" t="s">
        <v>26</v>
      </c>
      <c r="F2956" t="s">
        <v>13</v>
      </c>
      <c r="G2956">
        <v>5</v>
      </c>
      <c r="H2956">
        <v>3.5</v>
      </c>
      <c r="I2956" t="s">
        <v>39</v>
      </c>
      <c r="J2956" t="s">
        <v>910</v>
      </c>
      <c r="K2956" s="12">
        <f>Store_Record[[#This Row],[Qty]]*Store_Record[[#This Row],[UnitPriceGBP]]</f>
        <v>17.5</v>
      </c>
      <c r="L2956" s="5" t="str">
        <f>TEXT(Store_Record[[#This Row],[Date]],"dddd")</f>
        <v>Monday</v>
      </c>
      <c r="M2956" s="5" t="str">
        <f>TEXT(Store_Record[[#This Row],[Date]],"mmmm")</f>
        <v>August</v>
      </c>
      <c r="N2956" s="5">
        <f>YEAR(Store_Record[[#This Row],[Date]])</f>
        <v>2025</v>
      </c>
      <c r="O2956"/>
    </row>
    <row r="2957" spans="1:15" x14ac:dyDescent="0.35">
      <c r="A2957" t="s">
        <v>3929</v>
      </c>
      <c r="B2957" s="2">
        <v>45873</v>
      </c>
      <c r="C2957" t="s">
        <v>20</v>
      </c>
      <c r="D2957" t="s">
        <v>25</v>
      </c>
      <c r="E2957" t="s">
        <v>42</v>
      </c>
      <c r="F2957" t="s">
        <v>13</v>
      </c>
      <c r="G2957">
        <v>4</v>
      </c>
      <c r="H2957">
        <v>3.8</v>
      </c>
      <c r="I2957" t="s">
        <v>21</v>
      </c>
      <c r="J2957" t="s">
        <v>3930</v>
      </c>
      <c r="K2957" s="12">
        <f>Store_Record[[#This Row],[Qty]]*Store_Record[[#This Row],[UnitPriceGBP]]</f>
        <v>15.2</v>
      </c>
      <c r="L2957" s="5" t="str">
        <f>TEXT(Store_Record[[#This Row],[Date]],"dddd")</f>
        <v>Monday</v>
      </c>
      <c r="M2957" s="5" t="str">
        <f>TEXT(Store_Record[[#This Row],[Date]],"mmmm")</f>
        <v>August</v>
      </c>
      <c r="N2957" s="5">
        <f>YEAR(Store_Record[[#This Row],[Date]])</f>
        <v>2025</v>
      </c>
      <c r="O2957"/>
    </row>
    <row r="2958" spans="1:15" x14ac:dyDescent="0.35">
      <c r="A2958" t="s">
        <v>3924</v>
      </c>
      <c r="B2958" s="2">
        <v>45873</v>
      </c>
      <c r="C2958" t="s">
        <v>36</v>
      </c>
      <c r="D2958" t="s">
        <v>38</v>
      </c>
      <c r="E2958" t="s">
        <v>26</v>
      </c>
      <c r="F2958" t="s">
        <v>13</v>
      </c>
      <c r="G2958">
        <v>4</v>
      </c>
      <c r="H2958">
        <v>3.5</v>
      </c>
      <c r="I2958" t="s">
        <v>39</v>
      </c>
      <c r="J2958" t="s">
        <v>277</v>
      </c>
      <c r="K2958" s="12">
        <f>Store_Record[[#This Row],[Qty]]*Store_Record[[#This Row],[UnitPriceGBP]]</f>
        <v>14</v>
      </c>
      <c r="L2958" s="5" t="str">
        <f>TEXT(Store_Record[[#This Row],[Date]],"dddd")</f>
        <v>Monday</v>
      </c>
      <c r="M2958" s="5" t="str">
        <f>TEXT(Store_Record[[#This Row],[Date]],"mmmm")</f>
        <v>August</v>
      </c>
      <c r="N2958" s="5">
        <f>YEAR(Store_Record[[#This Row],[Date]])</f>
        <v>2025</v>
      </c>
      <c r="O2958"/>
    </row>
    <row r="2959" spans="1:15" x14ac:dyDescent="0.35">
      <c r="A2959" t="s">
        <v>3927</v>
      </c>
      <c r="B2959" s="2">
        <v>45873</v>
      </c>
      <c r="C2959" t="s">
        <v>20</v>
      </c>
      <c r="D2959" t="s">
        <v>47</v>
      </c>
      <c r="E2959" t="s">
        <v>30</v>
      </c>
      <c r="F2959" t="s">
        <v>31</v>
      </c>
      <c r="G2959">
        <v>5</v>
      </c>
      <c r="H2959">
        <v>2.8</v>
      </c>
      <c r="I2959" t="s">
        <v>39</v>
      </c>
      <c r="J2959" t="s">
        <v>1712</v>
      </c>
      <c r="K2959" s="12">
        <f>Store_Record[[#This Row],[Qty]]*Store_Record[[#This Row],[UnitPriceGBP]]</f>
        <v>14</v>
      </c>
      <c r="L2959" s="5" t="str">
        <f>TEXT(Store_Record[[#This Row],[Date]],"dddd")</f>
        <v>Monday</v>
      </c>
      <c r="M2959" s="5" t="str">
        <f>TEXT(Store_Record[[#This Row],[Date]],"mmmm")</f>
        <v>August</v>
      </c>
      <c r="N2959" s="5">
        <f>YEAR(Store_Record[[#This Row],[Date]])</f>
        <v>2025</v>
      </c>
      <c r="O2959"/>
    </row>
    <row r="2960" spans="1:15" x14ac:dyDescent="0.35">
      <c r="A2960" t="s">
        <v>3928</v>
      </c>
      <c r="B2960" s="2">
        <v>45873</v>
      </c>
      <c r="C2960" t="s">
        <v>20</v>
      </c>
      <c r="D2960" t="s">
        <v>38</v>
      </c>
      <c r="E2960" t="s">
        <v>30</v>
      </c>
      <c r="F2960" t="s">
        <v>31</v>
      </c>
      <c r="G2960">
        <v>5</v>
      </c>
      <c r="H2960">
        <v>2.8</v>
      </c>
      <c r="I2960" t="s">
        <v>39</v>
      </c>
      <c r="J2960" t="s">
        <v>2382</v>
      </c>
      <c r="K2960" s="12">
        <f>Store_Record[[#This Row],[Qty]]*Store_Record[[#This Row],[UnitPriceGBP]]</f>
        <v>14</v>
      </c>
      <c r="L2960" s="5" t="str">
        <f>TEXT(Store_Record[[#This Row],[Date]],"dddd")</f>
        <v>Monday</v>
      </c>
      <c r="M2960" s="5" t="str">
        <f>TEXT(Store_Record[[#This Row],[Date]],"mmmm")</f>
        <v>August</v>
      </c>
      <c r="N2960" s="5">
        <f>YEAR(Store_Record[[#This Row],[Date]])</f>
        <v>2025</v>
      </c>
      <c r="O2960"/>
    </row>
    <row r="2961" spans="1:15" x14ac:dyDescent="0.35">
      <c r="A2961" t="s">
        <v>3918</v>
      </c>
      <c r="B2961" s="2">
        <v>45873</v>
      </c>
      <c r="C2961" t="s">
        <v>36</v>
      </c>
      <c r="D2961" t="s">
        <v>11</v>
      </c>
      <c r="E2961" t="s">
        <v>30</v>
      </c>
      <c r="F2961" t="s">
        <v>31</v>
      </c>
      <c r="G2961">
        <v>4</v>
      </c>
      <c r="H2961">
        <v>2.8</v>
      </c>
      <c r="I2961" t="s">
        <v>21</v>
      </c>
      <c r="J2961" t="s">
        <v>741</v>
      </c>
      <c r="K2961" s="12">
        <f>Store_Record[[#This Row],[Qty]]*Store_Record[[#This Row],[UnitPriceGBP]]</f>
        <v>11.2</v>
      </c>
      <c r="L2961" s="5" t="str">
        <f>TEXT(Store_Record[[#This Row],[Date]],"dddd")</f>
        <v>Monday</v>
      </c>
      <c r="M2961" s="5" t="str">
        <f>TEXT(Store_Record[[#This Row],[Date]],"mmmm")</f>
        <v>August</v>
      </c>
      <c r="N2961" s="5">
        <f>YEAR(Store_Record[[#This Row],[Date]])</f>
        <v>2025</v>
      </c>
      <c r="O2961"/>
    </row>
    <row r="2962" spans="1:15" x14ac:dyDescent="0.35">
      <c r="A2962" t="s">
        <v>3921</v>
      </c>
      <c r="B2962" s="2">
        <v>45873</v>
      </c>
      <c r="C2962" t="s">
        <v>20</v>
      </c>
      <c r="D2962" t="s">
        <v>25</v>
      </c>
      <c r="E2962" t="s">
        <v>34</v>
      </c>
      <c r="F2962" t="s">
        <v>31</v>
      </c>
      <c r="G2962">
        <v>4</v>
      </c>
      <c r="H2962">
        <v>2.2000000000000002</v>
      </c>
      <c r="I2962" t="s">
        <v>39</v>
      </c>
      <c r="J2962" t="s">
        <v>654</v>
      </c>
      <c r="K2962" s="12">
        <f>Store_Record[[#This Row],[Qty]]*Store_Record[[#This Row],[UnitPriceGBP]]</f>
        <v>8.8000000000000007</v>
      </c>
      <c r="L2962" s="5" t="str">
        <f>TEXT(Store_Record[[#This Row],[Date]],"dddd")</f>
        <v>Monday</v>
      </c>
      <c r="M2962" s="5" t="str">
        <f>TEXT(Store_Record[[#This Row],[Date]],"mmmm")</f>
        <v>August</v>
      </c>
      <c r="N2962" s="5">
        <f>YEAR(Store_Record[[#This Row],[Date]])</f>
        <v>2025</v>
      </c>
      <c r="O2962"/>
    </row>
    <row r="2963" spans="1:15" x14ac:dyDescent="0.35">
      <c r="A2963" t="s">
        <v>3916</v>
      </c>
      <c r="B2963" s="2">
        <v>45873</v>
      </c>
      <c r="C2963" t="s">
        <v>36</v>
      </c>
      <c r="D2963" t="s">
        <v>29</v>
      </c>
      <c r="E2963" t="s">
        <v>12</v>
      </c>
      <c r="F2963" t="s">
        <v>13</v>
      </c>
      <c r="G2963">
        <v>3</v>
      </c>
      <c r="H2963">
        <v>2.5</v>
      </c>
      <c r="I2963" t="s">
        <v>21</v>
      </c>
      <c r="J2963" t="s">
        <v>1017</v>
      </c>
      <c r="K2963" s="12">
        <f>Store_Record[[#This Row],[Qty]]*Store_Record[[#This Row],[UnitPriceGBP]]</f>
        <v>7.5</v>
      </c>
      <c r="L2963" s="5" t="str">
        <f>TEXT(Store_Record[[#This Row],[Date]],"dddd")</f>
        <v>Monday</v>
      </c>
      <c r="M2963" s="5" t="str">
        <f>TEXT(Store_Record[[#This Row],[Date]],"mmmm")</f>
        <v>August</v>
      </c>
      <c r="N2963" s="5">
        <f>YEAR(Store_Record[[#This Row],[Date]])</f>
        <v>2025</v>
      </c>
      <c r="O2963"/>
    </row>
    <row r="2964" spans="1:15" x14ac:dyDescent="0.35">
      <c r="A2964" t="s">
        <v>3912</v>
      </c>
      <c r="B2964" s="2">
        <v>45873</v>
      </c>
      <c r="C2964" t="s">
        <v>36</v>
      </c>
      <c r="D2964" t="s">
        <v>29</v>
      </c>
      <c r="E2964" t="s">
        <v>26</v>
      </c>
      <c r="F2964" t="s">
        <v>13</v>
      </c>
      <c r="G2964">
        <v>2</v>
      </c>
      <c r="H2964">
        <v>3.5</v>
      </c>
      <c r="I2964" t="s">
        <v>21</v>
      </c>
      <c r="J2964" t="s">
        <v>3607</v>
      </c>
      <c r="K2964" s="12">
        <f>Store_Record[[#This Row],[Qty]]*Store_Record[[#This Row],[UnitPriceGBP]]</f>
        <v>7</v>
      </c>
      <c r="L2964" s="5" t="str">
        <f>TEXT(Store_Record[[#This Row],[Date]],"dddd")</f>
        <v>Monday</v>
      </c>
      <c r="M2964" s="5" t="str">
        <f>TEXT(Store_Record[[#This Row],[Date]],"mmmm")</f>
        <v>August</v>
      </c>
      <c r="N2964" s="5">
        <f>YEAR(Store_Record[[#This Row],[Date]])</f>
        <v>2025</v>
      </c>
      <c r="O2964"/>
    </row>
    <row r="2965" spans="1:15" x14ac:dyDescent="0.35">
      <c r="A2965" t="s">
        <v>3922</v>
      </c>
      <c r="B2965" s="2">
        <v>45873</v>
      </c>
      <c r="C2965" t="s">
        <v>24</v>
      </c>
      <c r="D2965" t="s">
        <v>29</v>
      </c>
      <c r="E2965" t="s">
        <v>26</v>
      </c>
      <c r="F2965" t="s">
        <v>13</v>
      </c>
      <c r="G2965">
        <v>2</v>
      </c>
      <c r="H2965">
        <v>3.5</v>
      </c>
      <c r="I2965" t="s">
        <v>39</v>
      </c>
      <c r="J2965" t="s">
        <v>2537</v>
      </c>
      <c r="K2965" s="12">
        <f>Store_Record[[#This Row],[Qty]]*Store_Record[[#This Row],[UnitPriceGBP]]</f>
        <v>7</v>
      </c>
      <c r="L2965" s="5" t="str">
        <f>TEXT(Store_Record[[#This Row],[Date]],"dddd")</f>
        <v>Monday</v>
      </c>
      <c r="M2965" s="5" t="str">
        <f>TEXT(Store_Record[[#This Row],[Date]],"mmmm")</f>
        <v>August</v>
      </c>
      <c r="N2965" s="5">
        <f>YEAR(Store_Record[[#This Row],[Date]])</f>
        <v>2025</v>
      </c>
      <c r="O2965"/>
    </row>
    <row r="2966" spans="1:15" x14ac:dyDescent="0.35">
      <c r="A2966" t="s">
        <v>3913</v>
      </c>
      <c r="B2966" s="2">
        <v>45873</v>
      </c>
      <c r="C2966" t="s">
        <v>10</v>
      </c>
      <c r="D2966" t="s">
        <v>29</v>
      </c>
      <c r="E2966" t="s">
        <v>34</v>
      </c>
      <c r="F2966" t="s">
        <v>31</v>
      </c>
      <c r="G2966">
        <v>3</v>
      </c>
      <c r="H2966">
        <v>2.2000000000000002</v>
      </c>
      <c r="I2966" t="s">
        <v>14</v>
      </c>
      <c r="J2966" t="s">
        <v>2405</v>
      </c>
      <c r="K2966" s="12">
        <f>Store_Record[[#This Row],[Qty]]*Store_Record[[#This Row],[UnitPriceGBP]]</f>
        <v>6.6000000000000005</v>
      </c>
      <c r="L2966" s="5" t="str">
        <f>TEXT(Store_Record[[#This Row],[Date]],"dddd")</f>
        <v>Monday</v>
      </c>
      <c r="M2966" s="5" t="str">
        <f>TEXT(Store_Record[[#This Row],[Date]],"mmmm")</f>
        <v>August</v>
      </c>
      <c r="N2966" s="5">
        <f>YEAR(Store_Record[[#This Row],[Date]])</f>
        <v>2025</v>
      </c>
      <c r="O2966"/>
    </row>
    <row r="2967" spans="1:15" x14ac:dyDescent="0.35">
      <c r="A2967" t="s">
        <v>3923</v>
      </c>
      <c r="B2967" s="2">
        <v>45873</v>
      </c>
      <c r="C2967" t="s">
        <v>36</v>
      </c>
      <c r="D2967" t="s">
        <v>38</v>
      </c>
      <c r="E2967" t="s">
        <v>30</v>
      </c>
      <c r="F2967" t="s">
        <v>31</v>
      </c>
      <c r="G2967">
        <v>2</v>
      </c>
      <c r="H2967">
        <v>2.8</v>
      </c>
      <c r="I2967" t="s">
        <v>21</v>
      </c>
      <c r="J2967" t="s">
        <v>1912</v>
      </c>
      <c r="K2967" s="12">
        <f>Store_Record[[#This Row],[Qty]]*Store_Record[[#This Row],[UnitPriceGBP]]</f>
        <v>5.6</v>
      </c>
      <c r="L2967" s="5" t="str">
        <f>TEXT(Store_Record[[#This Row],[Date]],"dddd")</f>
        <v>Monday</v>
      </c>
      <c r="M2967" s="5" t="str">
        <f>TEXT(Store_Record[[#This Row],[Date]],"mmmm")</f>
        <v>August</v>
      </c>
      <c r="N2967" s="5">
        <f>YEAR(Store_Record[[#This Row],[Date]])</f>
        <v>2025</v>
      </c>
      <c r="O2967"/>
    </row>
    <row r="2968" spans="1:15" x14ac:dyDescent="0.35">
      <c r="A2968" t="s">
        <v>3926</v>
      </c>
      <c r="B2968" s="2">
        <v>45873</v>
      </c>
      <c r="C2968" t="s">
        <v>36</v>
      </c>
      <c r="D2968" t="s">
        <v>47</v>
      </c>
      <c r="E2968" t="s">
        <v>30</v>
      </c>
      <c r="F2968" t="s">
        <v>31</v>
      </c>
      <c r="G2968">
        <v>2</v>
      </c>
      <c r="H2968">
        <v>2.8</v>
      </c>
      <c r="I2968" t="s">
        <v>39</v>
      </c>
      <c r="J2968" t="s">
        <v>1223</v>
      </c>
      <c r="K2968" s="12">
        <f>Store_Record[[#This Row],[Qty]]*Store_Record[[#This Row],[UnitPriceGBP]]</f>
        <v>5.6</v>
      </c>
      <c r="L2968" s="5" t="str">
        <f>TEXT(Store_Record[[#This Row],[Date]],"dddd")</f>
        <v>Monday</v>
      </c>
      <c r="M2968" s="5" t="str">
        <f>TEXT(Store_Record[[#This Row],[Date]],"mmmm")</f>
        <v>August</v>
      </c>
      <c r="N2968" s="5">
        <f>YEAR(Store_Record[[#This Row],[Date]])</f>
        <v>2025</v>
      </c>
      <c r="O2968"/>
    </row>
    <row r="2969" spans="1:15" x14ac:dyDescent="0.35">
      <c r="A2969" t="s">
        <v>3925</v>
      </c>
      <c r="B2969" s="2">
        <v>45873</v>
      </c>
      <c r="C2969" t="s">
        <v>36</v>
      </c>
      <c r="D2969" t="s">
        <v>11</v>
      </c>
      <c r="E2969" t="s">
        <v>12</v>
      </c>
      <c r="F2969" t="s">
        <v>13</v>
      </c>
      <c r="G2969">
        <v>2</v>
      </c>
      <c r="H2969">
        <v>2.5</v>
      </c>
      <c r="I2969" t="s">
        <v>39</v>
      </c>
      <c r="J2969" t="s">
        <v>1426</v>
      </c>
      <c r="K2969" s="12">
        <f>Store_Record[[#This Row],[Qty]]*Store_Record[[#This Row],[UnitPriceGBP]]</f>
        <v>5</v>
      </c>
      <c r="L2969" s="5" t="str">
        <f>TEXT(Store_Record[[#This Row],[Date]],"dddd")</f>
        <v>Monday</v>
      </c>
      <c r="M2969" s="5" t="str">
        <f>TEXT(Store_Record[[#This Row],[Date]],"mmmm")</f>
        <v>August</v>
      </c>
      <c r="N2969" s="5">
        <f>YEAR(Store_Record[[#This Row],[Date]])</f>
        <v>2025</v>
      </c>
      <c r="O2969"/>
    </row>
    <row r="2970" spans="1:15" x14ac:dyDescent="0.35">
      <c r="A2970" t="s">
        <v>3919</v>
      </c>
      <c r="B2970" s="2">
        <v>45873</v>
      </c>
      <c r="C2970" t="s">
        <v>36</v>
      </c>
      <c r="D2970" t="s">
        <v>38</v>
      </c>
      <c r="E2970" t="s">
        <v>34</v>
      </c>
      <c r="F2970" t="s">
        <v>31</v>
      </c>
      <c r="G2970">
        <v>2</v>
      </c>
      <c r="H2970">
        <v>2.2000000000000002</v>
      </c>
      <c r="I2970" t="s">
        <v>14</v>
      </c>
      <c r="J2970" t="s">
        <v>2940</v>
      </c>
      <c r="K2970" s="12">
        <f>Store_Record[[#This Row],[Qty]]*Store_Record[[#This Row],[UnitPriceGBP]]</f>
        <v>4.4000000000000004</v>
      </c>
      <c r="L2970" s="5" t="str">
        <f>TEXT(Store_Record[[#This Row],[Date]],"dddd")</f>
        <v>Monday</v>
      </c>
      <c r="M2970" s="5" t="str">
        <f>TEXT(Store_Record[[#This Row],[Date]],"mmmm")</f>
        <v>August</v>
      </c>
      <c r="N2970" s="5">
        <f>YEAR(Store_Record[[#This Row],[Date]])</f>
        <v>2025</v>
      </c>
      <c r="O2970"/>
    </row>
    <row r="2971" spans="1:15" x14ac:dyDescent="0.35">
      <c r="A2971" t="s">
        <v>3917</v>
      </c>
      <c r="B2971" s="2">
        <v>45873</v>
      </c>
      <c r="C2971" t="s">
        <v>20</v>
      </c>
      <c r="D2971" t="s">
        <v>25</v>
      </c>
      <c r="E2971" t="s">
        <v>30</v>
      </c>
      <c r="F2971" t="s">
        <v>31</v>
      </c>
      <c r="G2971">
        <v>1</v>
      </c>
      <c r="H2971">
        <v>2.8</v>
      </c>
      <c r="I2971" t="s">
        <v>21</v>
      </c>
      <c r="J2971" t="s">
        <v>1790</v>
      </c>
      <c r="K2971" s="12">
        <f>Store_Record[[#This Row],[Qty]]*Store_Record[[#This Row],[UnitPriceGBP]]</f>
        <v>2.8</v>
      </c>
      <c r="L2971" s="5" t="str">
        <f>TEXT(Store_Record[[#This Row],[Date]],"dddd")</f>
        <v>Monday</v>
      </c>
      <c r="M2971" s="5" t="str">
        <f>TEXT(Store_Record[[#This Row],[Date]],"mmmm")</f>
        <v>August</v>
      </c>
      <c r="N2971" s="5">
        <f>YEAR(Store_Record[[#This Row],[Date]])</f>
        <v>2025</v>
      </c>
      <c r="O2971"/>
    </row>
    <row r="2972" spans="1:15" x14ac:dyDescent="0.35">
      <c r="A2972" t="s">
        <v>3914</v>
      </c>
      <c r="B2972" s="2">
        <v>45873</v>
      </c>
      <c r="C2972" t="s">
        <v>10</v>
      </c>
      <c r="D2972" t="s">
        <v>11</v>
      </c>
      <c r="E2972" t="s">
        <v>12</v>
      </c>
      <c r="F2972" t="s">
        <v>13</v>
      </c>
      <c r="G2972">
        <v>1</v>
      </c>
      <c r="H2972">
        <v>2.5</v>
      </c>
      <c r="I2972" t="s">
        <v>21</v>
      </c>
      <c r="J2972" t="s">
        <v>3398</v>
      </c>
      <c r="K2972" s="12">
        <f>Store_Record[[#This Row],[Qty]]*Store_Record[[#This Row],[UnitPriceGBP]]</f>
        <v>2.5</v>
      </c>
      <c r="L2972" s="5" t="str">
        <f>TEXT(Store_Record[[#This Row],[Date]],"dddd")</f>
        <v>Monday</v>
      </c>
      <c r="M2972" s="5" t="str">
        <f>TEXT(Store_Record[[#This Row],[Date]],"mmmm")</f>
        <v>August</v>
      </c>
      <c r="N2972" s="5">
        <f>YEAR(Store_Record[[#This Row],[Date]])</f>
        <v>2025</v>
      </c>
      <c r="O2972"/>
    </row>
    <row r="2973" spans="1:15" x14ac:dyDescent="0.35">
      <c r="A2973" t="s">
        <v>3920</v>
      </c>
      <c r="B2973" s="2">
        <v>45873</v>
      </c>
      <c r="C2973" t="s">
        <v>20</v>
      </c>
      <c r="D2973" t="s">
        <v>29</v>
      </c>
      <c r="E2973" t="s">
        <v>12</v>
      </c>
      <c r="F2973" t="s">
        <v>13</v>
      </c>
      <c r="G2973">
        <v>1</v>
      </c>
      <c r="H2973">
        <v>2.5</v>
      </c>
      <c r="I2973" t="s">
        <v>21</v>
      </c>
      <c r="J2973" t="s">
        <v>227</v>
      </c>
      <c r="K2973" s="12">
        <f>Store_Record[[#This Row],[Qty]]*Store_Record[[#This Row],[UnitPriceGBP]]</f>
        <v>2.5</v>
      </c>
      <c r="L2973" s="5" t="str">
        <f>TEXT(Store_Record[[#This Row],[Date]],"dddd")</f>
        <v>Monday</v>
      </c>
      <c r="M2973" s="5" t="str">
        <f>TEXT(Store_Record[[#This Row],[Date]],"mmmm")</f>
        <v>August</v>
      </c>
      <c r="N2973" s="5">
        <f>YEAR(Store_Record[[#This Row],[Date]])</f>
        <v>2025</v>
      </c>
      <c r="O2973"/>
    </row>
    <row r="2974" spans="1:15" x14ac:dyDescent="0.35">
      <c r="A2974" t="s">
        <v>3915</v>
      </c>
      <c r="B2974" s="2">
        <v>45873</v>
      </c>
      <c r="C2974" t="s">
        <v>24</v>
      </c>
      <c r="D2974" t="s">
        <v>47</v>
      </c>
      <c r="E2974" t="s">
        <v>34</v>
      </c>
      <c r="F2974" t="s">
        <v>31</v>
      </c>
      <c r="G2974">
        <v>1</v>
      </c>
      <c r="H2974">
        <v>2.2000000000000002</v>
      </c>
      <c r="I2974" t="s">
        <v>21</v>
      </c>
      <c r="J2974" t="s">
        <v>3028</v>
      </c>
      <c r="K2974" s="12">
        <f>Store_Record[[#This Row],[Qty]]*Store_Record[[#This Row],[UnitPriceGBP]]</f>
        <v>2.2000000000000002</v>
      </c>
      <c r="L2974" s="5" t="str">
        <f>TEXT(Store_Record[[#This Row],[Date]],"dddd")</f>
        <v>Monday</v>
      </c>
      <c r="M2974" s="5" t="str">
        <f>TEXT(Store_Record[[#This Row],[Date]],"mmmm")</f>
        <v>August</v>
      </c>
      <c r="N2974" s="5">
        <f>YEAR(Store_Record[[#This Row],[Date]])</f>
        <v>2025</v>
      </c>
      <c r="O2974"/>
    </row>
    <row r="2975" spans="1:15" x14ac:dyDescent="0.35">
      <c r="A2975" t="s">
        <v>3947</v>
      </c>
      <c r="B2975" s="2">
        <v>45874</v>
      </c>
      <c r="C2975" t="s">
        <v>36</v>
      </c>
      <c r="D2975" t="s">
        <v>47</v>
      </c>
      <c r="E2975" t="s">
        <v>42</v>
      </c>
      <c r="F2975" t="s">
        <v>13</v>
      </c>
      <c r="G2975">
        <v>5</v>
      </c>
      <c r="H2975">
        <v>3.8</v>
      </c>
      <c r="I2975" t="s">
        <v>21</v>
      </c>
      <c r="J2975" t="s">
        <v>1116</v>
      </c>
      <c r="K2975" s="12">
        <f>Store_Record[[#This Row],[Qty]]*Store_Record[[#This Row],[UnitPriceGBP]]</f>
        <v>19</v>
      </c>
      <c r="L2975" s="5" t="str">
        <f>TEXT(Store_Record[[#This Row],[Date]],"dddd")</f>
        <v>Tuesday</v>
      </c>
      <c r="M2975" s="5" t="str">
        <f>TEXT(Store_Record[[#This Row],[Date]],"mmmm")</f>
        <v>August</v>
      </c>
      <c r="N2975" s="5">
        <f>YEAR(Store_Record[[#This Row],[Date]])</f>
        <v>2025</v>
      </c>
      <c r="O2975"/>
    </row>
    <row r="2976" spans="1:15" x14ac:dyDescent="0.35">
      <c r="A2976" t="s">
        <v>3952</v>
      </c>
      <c r="B2976" s="2">
        <v>45874</v>
      </c>
      <c r="C2976" t="s">
        <v>20</v>
      </c>
      <c r="D2976" t="s">
        <v>38</v>
      </c>
      <c r="E2976" t="s">
        <v>26</v>
      </c>
      <c r="F2976" t="s">
        <v>13</v>
      </c>
      <c r="G2976">
        <v>5</v>
      </c>
      <c r="H2976">
        <v>3.5</v>
      </c>
      <c r="I2976" t="s">
        <v>21</v>
      </c>
      <c r="J2976" t="s">
        <v>774</v>
      </c>
      <c r="K2976" s="12">
        <f>Store_Record[[#This Row],[Qty]]*Store_Record[[#This Row],[UnitPriceGBP]]</f>
        <v>17.5</v>
      </c>
      <c r="L2976" s="5" t="str">
        <f>TEXT(Store_Record[[#This Row],[Date]],"dddd")</f>
        <v>Tuesday</v>
      </c>
      <c r="M2976" s="5" t="str">
        <f>TEXT(Store_Record[[#This Row],[Date]],"mmmm")</f>
        <v>August</v>
      </c>
      <c r="N2976" s="5">
        <f>YEAR(Store_Record[[#This Row],[Date]])</f>
        <v>2025</v>
      </c>
      <c r="O2976"/>
    </row>
    <row r="2977" spans="1:15" x14ac:dyDescent="0.35">
      <c r="A2977" t="s">
        <v>3934</v>
      </c>
      <c r="B2977" s="2">
        <v>45874</v>
      </c>
      <c r="C2977" t="s">
        <v>36</v>
      </c>
      <c r="D2977" t="s">
        <v>47</v>
      </c>
      <c r="E2977" t="s">
        <v>42</v>
      </c>
      <c r="F2977" t="s">
        <v>13</v>
      </c>
      <c r="G2977">
        <v>4</v>
      </c>
      <c r="H2977">
        <v>3.8</v>
      </c>
      <c r="I2977" t="s">
        <v>21</v>
      </c>
      <c r="J2977" t="s">
        <v>604</v>
      </c>
      <c r="K2977" s="12">
        <f>Store_Record[[#This Row],[Qty]]*Store_Record[[#This Row],[UnitPriceGBP]]</f>
        <v>15.2</v>
      </c>
      <c r="L2977" s="5" t="str">
        <f>TEXT(Store_Record[[#This Row],[Date]],"dddd")</f>
        <v>Tuesday</v>
      </c>
      <c r="M2977" s="5" t="str">
        <f>TEXT(Store_Record[[#This Row],[Date]],"mmmm")</f>
        <v>August</v>
      </c>
      <c r="N2977" s="5">
        <f>YEAR(Store_Record[[#This Row],[Date]])</f>
        <v>2025</v>
      </c>
      <c r="O2977"/>
    </row>
    <row r="2978" spans="1:15" x14ac:dyDescent="0.35">
      <c r="A2978" t="s">
        <v>3943</v>
      </c>
      <c r="B2978" s="2">
        <v>45874</v>
      </c>
      <c r="C2978" t="s">
        <v>36</v>
      </c>
      <c r="D2978" t="s">
        <v>38</v>
      </c>
      <c r="E2978" t="s">
        <v>42</v>
      </c>
      <c r="F2978" t="s">
        <v>13</v>
      </c>
      <c r="G2978">
        <v>4</v>
      </c>
      <c r="H2978">
        <v>3.8</v>
      </c>
      <c r="I2978" t="s">
        <v>21</v>
      </c>
      <c r="J2978" t="s">
        <v>3812</v>
      </c>
      <c r="K2978" s="12">
        <f>Store_Record[[#This Row],[Qty]]*Store_Record[[#This Row],[UnitPriceGBP]]</f>
        <v>15.2</v>
      </c>
      <c r="L2978" s="5" t="str">
        <f>TEXT(Store_Record[[#This Row],[Date]],"dddd")</f>
        <v>Tuesday</v>
      </c>
      <c r="M2978" s="5" t="str">
        <f>TEXT(Store_Record[[#This Row],[Date]],"mmmm")</f>
        <v>August</v>
      </c>
      <c r="N2978" s="5">
        <f>YEAR(Store_Record[[#This Row],[Date]])</f>
        <v>2025</v>
      </c>
      <c r="O2978"/>
    </row>
    <row r="2979" spans="1:15" x14ac:dyDescent="0.35">
      <c r="A2979" t="s">
        <v>3951</v>
      </c>
      <c r="B2979" s="2">
        <v>45874</v>
      </c>
      <c r="C2979" t="s">
        <v>24</v>
      </c>
      <c r="D2979" t="s">
        <v>29</v>
      </c>
      <c r="E2979" t="s">
        <v>42</v>
      </c>
      <c r="F2979" t="s">
        <v>13</v>
      </c>
      <c r="G2979">
        <v>4</v>
      </c>
      <c r="H2979">
        <v>3.8</v>
      </c>
      <c r="I2979" t="s">
        <v>21</v>
      </c>
      <c r="J2979" t="s">
        <v>1011</v>
      </c>
      <c r="K2979" s="12">
        <f>Store_Record[[#This Row],[Qty]]*Store_Record[[#This Row],[UnitPriceGBP]]</f>
        <v>15.2</v>
      </c>
      <c r="L2979" s="5" t="str">
        <f>TEXT(Store_Record[[#This Row],[Date]],"dddd")</f>
        <v>Tuesday</v>
      </c>
      <c r="M2979" s="5" t="str">
        <f>TEXT(Store_Record[[#This Row],[Date]],"mmmm")</f>
        <v>August</v>
      </c>
      <c r="N2979" s="5">
        <f>YEAR(Store_Record[[#This Row],[Date]])</f>
        <v>2025</v>
      </c>
      <c r="O2979"/>
    </row>
    <row r="2980" spans="1:15" x14ac:dyDescent="0.35">
      <c r="A2980" t="s">
        <v>3938</v>
      </c>
      <c r="B2980" s="2">
        <v>45874</v>
      </c>
      <c r="C2980" t="s">
        <v>20</v>
      </c>
      <c r="D2980" t="s">
        <v>25</v>
      </c>
      <c r="E2980" t="s">
        <v>12</v>
      </c>
      <c r="F2980" t="s">
        <v>13</v>
      </c>
      <c r="G2980">
        <v>5</v>
      </c>
      <c r="H2980">
        <v>2.5</v>
      </c>
      <c r="I2980" t="s">
        <v>14</v>
      </c>
      <c r="J2980" t="s">
        <v>3195</v>
      </c>
      <c r="K2980" s="12">
        <f>Store_Record[[#This Row],[Qty]]*Store_Record[[#This Row],[UnitPriceGBP]]</f>
        <v>12.5</v>
      </c>
      <c r="L2980" s="5" t="str">
        <f>TEXT(Store_Record[[#This Row],[Date]],"dddd")</f>
        <v>Tuesday</v>
      </c>
      <c r="M2980" s="5" t="str">
        <f>TEXT(Store_Record[[#This Row],[Date]],"mmmm")</f>
        <v>August</v>
      </c>
      <c r="N2980" s="5">
        <f>YEAR(Store_Record[[#This Row],[Date]])</f>
        <v>2025</v>
      </c>
      <c r="O2980"/>
    </row>
    <row r="2981" spans="1:15" x14ac:dyDescent="0.35">
      <c r="A2981" t="s">
        <v>3942</v>
      </c>
      <c r="B2981" s="2">
        <v>45874</v>
      </c>
      <c r="C2981" t="s">
        <v>10</v>
      </c>
      <c r="D2981" t="s">
        <v>25</v>
      </c>
      <c r="E2981" t="s">
        <v>42</v>
      </c>
      <c r="F2981" t="s">
        <v>13</v>
      </c>
      <c r="G2981">
        <v>3</v>
      </c>
      <c r="H2981">
        <v>3.8</v>
      </c>
      <c r="I2981" t="s">
        <v>39</v>
      </c>
      <c r="J2981" t="s">
        <v>1687</v>
      </c>
      <c r="K2981" s="12">
        <f>Store_Record[[#This Row],[Qty]]*Store_Record[[#This Row],[UnitPriceGBP]]</f>
        <v>11.399999999999999</v>
      </c>
      <c r="L2981" s="5" t="str">
        <f>TEXT(Store_Record[[#This Row],[Date]],"dddd")</f>
        <v>Tuesday</v>
      </c>
      <c r="M2981" s="5" t="str">
        <f>TEXT(Store_Record[[#This Row],[Date]],"mmmm")</f>
        <v>August</v>
      </c>
      <c r="N2981" s="5">
        <f>YEAR(Store_Record[[#This Row],[Date]])</f>
        <v>2025</v>
      </c>
      <c r="O2981"/>
    </row>
    <row r="2982" spans="1:15" x14ac:dyDescent="0.35">
      <c r="A2982" t="s">
        <v>3940</v>
      </c>
      <c r="B2982" s="2">
        <v>45874</v>
      </c>
      <c r="C2982" t="s">
        <v>10</v>
      </c>
      <c r="D2982" t="s">
        <v>29</v>
      </c>
      <c r="E2982" t="s">
        <v>30</v>
      </c>
      <c r="F2982" t="s">
        <v>31</v>
      </c>
      <c r="G2982">
        <v>4</v>
      </c>
      <c r="H2982">
        <v>2.8</v>
      </c>
      <c r="I2982" t="s">
        <v>14</v>
      </c>
      <c r="J2982" t="s">
        <v>3941</v>
      </c>
      <c r="K2982" s="12">
        <f>Store_Record[[#This Row],[Qty]]*Store_Record[[#This Row],[UnitPriceGBP]]</f>
        <v>11.2</v>
      </c>
      <c r="L2982" s="5" t="str">
        <f>TEXT(Store_Record[[#This Row],[Date]],"dddd")</f>
        <v>Tuesday</v>
      </c>
      <c r="M2982" s="5" t="str">
        <f>TEXT(Store_Record[[#This Row],[Date]],"mmmm")</f>
        <v>August</v>
      </c>
      <c r="N2982" s="5">
        <f>YEAR(Store_Record[[#This Row],[Date]])</f>
        <v>2025</v>
      </c>
      <c r="O2982"/>
    </row>
    <row r="2983" spans="1:15" x14ac:dyDescent="0.35">
      <c r="A2983" t="s">
        <v>3948</v>
      </c>
      <c r="B2983" s="2">
        <v>45874</v>
      </c>
      <c r="C2983" t="s">
        <v>10</v>
      </c>
      <c r="D2983" t="s">
        <v>25</v>
      </c>
      <c r="E2983" t="s">
        <v>30</v>
      </c>
      <c r="F2983" t="s">
        <v>31</v>
      </c>
      <c r="G2983">
        <v>4</v>
      </c>
      <c r="H2983">
        <v>2.8</v>
      </c>
      <c r="I2983" t="s">
        <v>14</v>
      </c>
      <c r="J2983" t="s">
        <v>159</v>
      </c>
      <c r="K2983" s="12">
        <f>Store_Record[[#This Row],[Qty]]*Store_Record[[#This Row],[UnitPriceGBP]]</f>
        <v>11.2</v>
      </c>
      <c r="L2983" s="5" t="str">
        <f>TEXT(Store_Record[[#This Row],[Date]],"dddd")</f>
        <v>Tuesday</v>
      </c>
      <c r="M2983" s="5" t="str">
        <f>TEXT(Store_Record[[#This Row],[Date]],"mmmm")</f>
        <v>August</v>
      </c>
      <c r="N2983" s="5">
        <f>YEAR(Store_Record[[#This Row],[Date]])</f>
        <v>2025</v>
      </c>
      <c r="O2983"/>
    </row>
    <row r="2984" spans="1:15" x14ac:dyDescent="0.35">
      <c r="A2984" t="s">
        <v>3939</v>
      </c>
      <c r="B2984" s="2">
        <v>45874</v>
      </c>
      <c r="C2984" t="s">
        <v>20</v>
      </c>
      <c r="D2984" t="s">
        <v>25</v>
      </c>
      <c r="E2984" t="s">
        <v>34</v>
      </c>
      <c r="F2984" t="s">
        <v>31</v>
      </c>
      <c r="G2984">
        <v>4</v>
      </c>
      <c r="H2984">
        <v>2.2000000000000002</v>
      </c>
      <c r="I2984" t="s">
        <v>14</v>
      </c>
      <c r="J2984" t="s">
        <v>1011</v>
      </c>
      <c r="K2984" s="12">
        <f>Store_Record[[#This Row],[Qty]]*Store_Record[[#This Row],[UnitPriceGBP]]</f>
        <v>8.8000000000000007</v>
      </c>
      <c r="L2984" s="5" t="str">
        <f>TEXT(Store_Record[[#This Row],[Date]],"dddd")</f>
        <v>Tuesday</v>
      </c>
      <c r="M2984" s="5" t="str">
        <f>TEXT(Store_Record[[#This Row],[Date]],"mmmm")</f>
        <v>August</v>
      </c>
      <c r="N2984" s="5">
        <f>YEAR(Store_Record[[#This Row],[Date]])</f>
        <v>2025</v>
      </c>
      <c r="O2984"/>
    </row>
    <row r="2985" spans="1:15" x14ac:dyDescent="0.35">
      <c r="A2985" t="s">
        <v>3933</v>
      </c>
      <c r="B2985" s="2">
        <v>45874</v>
      </c>
      <c r="C2985" t="s">
        <v>20</v>
      </c>
      <c r="D2985" t="s">
        <v>29</v>
      </c>
      <c r="E2985" t="s">
        <v>30</v>
      </c>
      <c r="F2985" t="s">
        <v>31</v>
      </c>
      <c r="G2985">
        <v>3</v>
      </c>
      <c r="H2985">
        <v>2.8</v>
      </c>
      <c r="I2985" t="s">
        <v>14</v>
      </c>
      <c r="J2985" t="s">
        <v>1428</v>
      </c>
      <c r="K2985" s="12">
        <f>Store_Record[[#This Row],[Qty]]*Store_Record[[#This Row],[UnitPriceGBP]]</f>
        <v>8.3999999999999986</v>
      </c>
      <c r="L2985" s="5" t="str">
        <f>TEXT(Store_Record[[#This Row],[Date]],"dddd")</f>
        <v>Tuesday</v>
      </c>
      <c r="M2985" s="5" t="str">
        <f>TEXT(Store_Record[[#This Row],[Date]],"mmmm")</f>
        <v>August</v>
      </c>
      <c r="N2985" s="5">
        <f>YEAR(Store_Record[[#This Row],[Date]])</f>
        <v>2025</v>
      </c>
      <c r="O2985"/>
    </row>
    <row r="2986" spans="1:15" x14ac:dyDescent="0.35">
      <c r="A2986" t="s">
        <v>3949</v>
      </c>
      <c r="B2986" s="2">
        <v>45874</v>
      </c>
      <c r="C2986" t="s">
        <v>24</v>
      </c>
      <c r="D2986" t="s">
        <v>38</v>
      </c>
      <c r="E2986" t="s">
        <v>30</v>
      </c>
      <c r="F2986" t="s">
        <v>31</v>
      </c>
      <c r="G2986">
        <v>3</v>
      </c>
      <c r="H2986">
        <v>2.8</v>
      </c>
      <c r="I2986" t="s">
        <v>14</v>
      </c>
      <c r="J2986" t="s">
        <v>3950</v>
      </c>
      <c r="K2986" s="12">
        <f>Store_Record[[#This Row],[Qty]]*Store_Record[[#This Row],[UnitPriceGBP]]</f>
        <v>8.3999999999999986</v>
      </c>
      <c r="L2986" s="5" t="str">
        <f>TEXT(Store_Record[[#This Row],[Date]],"dddd")</f>
        <v>Tuesday</v>
      </c>
      <c r="M2986" s="5" t="str">
        <f>TEXT(Store_Record[[#This Row],[Date]],"mmmm")</f>
        <v>August</v>
      </c>
      <c r="N2986" s="5">
        <f>YEAR(Store_Record[[#This Row],[Date]])</f>
        <v>2025</v>
      </c>
      <c r="O2986"/>
    </row>
    <row r="2987" spans="1:15" x14ac:dyDescent="0.35">
      <c r="A2987" t="s">
        <v>3944</v>
      </c>
      <c r="B2987" s="2">
        <v>45874</v>
      </c>
      <c r="C2987" t="s">
        <v>10</v>
      </c>
      <c r="D2987" t="s">
        <v>25</v>
      </c>
      <c r="E2987" t="s">
        <v>42</v>
      </c>
      <c r="F2987" t="s">
        <v>13</v>
      </c>
      <c r="G2987">
        <v>2</v>
      </c>
      <c r="H2987">
        <v>3.8</v>
      </c>
      <c r="I2987" t="s">
        <v>21</v>
      </c>
      <c r="J2987" t="s">
        <v>934</v>
      </c>
      <c r="K2987" s="12">
        <f>Store_Record[[#This Row],[Qty]]*Store_Record[[#This Row],[UnitPriceGBP]]</f>
        <v>7.6</v>
      </c>
      <c r="L2987" s="5" t="str">
        <f>TEXT(Store_Record[[#This Row],[Date]],"dddd")</f>
        <v>Tuesday</v>
      </c>
      <c r="M2987" s="5" t="str">
        <f>TEXT(Store_Record[[#This Row],[Date]],"mmmm")</f>
        <v>August</v>
      </c>
      <c r="N2987" s="5">
        <f>YEAR(Store_Record[[#This Row],[Date]])</f>
        <v>2025</v>
      </c>
      <c r="O2987"/>
    </row>
    <row r="2988" spans="1:15" x14ac:dyDescent="0.35">
      <c r="A2988" t="s">
        <v>3937</v>
      </c>
      <c r="B2988" s="2">
        <v>45874</v>
      </c>
      <c r="C2988" t="s">
        <v>20</v>
      </c>
      <c r="D2988" t="s">
        <v>47</v>
      </c>
      <c r="E2988" t="s">
        <v>12</v>
      </c>
      <c r="F2988" t="s">
        <v>13</v>
      </c>
      <c r="G2988">
        <v>3</v>
      </c>
      <c r="H2988">
        <v>2.5</v>
      </c>
      <c r="I2988" t="s">
        <v>14</v>
      </c>
      <c r="J2988" t="s">
        <v>1455</v>
      </c>
      <c r="K2988" s="12">
        <f>Store_Record[[#This Row],[Qty]]*Store_Record[[#This Row],[UnitPriceGBP]]</f>
        <v>7.5</v>
      </c>
      <c r="L2988" s="5" t="str">
        <f>TEXT(Store_Record[[#This Row],[Date]],"dddd")</f>
        <v>Tuesday</v>
      </c>
      <c r="M2988" s="5" t="str">
        <f>TEXT(Store_Record[[#This Row],[Date]],"mmmm")</f>
        <v>August</v>
      </c>
      <c r="N2988" s="5">
        <f>YEAR(Store_Record[[#This Row],[Date]])</f>
        <v>2025</v>
      </c>
      <c r="O2988"/>
    </row>
    <row r="2989" spans="1:15" x14ac:dyDescent="0.35">
      <c r="A2989" t="s">
        <v>3945</v>
      </c>
      <c r="B2989" s="2">
        <v>45874</v>
      </c>
      <c r="C2989" t="s">
        <v>20</v>
      </c>
      <c r="D2989" t="s">
        <v>47</v>
      </c>
      <c r="E2989" t="s">
        <v>34</v>
      </c>
      <c r="F2989" t="s">
        <v>31</v>
      </c>
      <c r="G2989">
        <v>3</v>
      </c>
      <c r="H2989">
        <v>2.2000000000000002</v>
      </c>
      <c r="I2989" t="s">
        <v>21</v>
      </c>
      <c r="J2989" t="s">
        <v>3871</v>
      </c>
      <c r="K2989" s="12">
        <f>Store_Record[[#This Row],[Qty]]*Store_Record[[#This Row],[UnitPriceGBP]]</f>
        <v>6.6000000000000005</v>
      </c>
      <c r="L2989" s="5" t="str">
        <f>TEXT(Store_Record[[#This Row],[Date]],"dddd")</f>
        <v>Tuesday</v>
      </c>
      <c r="M2989" s="5" t="str">
        <f>TEXT(Store_Record[[#This Row],[Date]],"mmmm")</f>
        <v>August</v>
      </c>
      <c r="N2989" s="5">
        <f>YEAR(Store_Record[[#This Row],[Date]])</f>
        <v>2025</v>
      </c>
      <c r="O2989"/>
    </row>
    <row r="2990" spans="1:15" x14ac:dyDescent="0.35">
      <c r="A2990" t="s">
        <v>3936</v>
      </c>
      <c r="B2990" s="2">
        <v>45874</v>
      </c>
      <c r="C2990" t="s">
        <v>24</v>
      </c>
      <c r="D2990" t="s">
        <v>25</v>
      </c>
      <c r="E2990" t="s">
        <v>12</v>
      </c>
      <c r="F2990" t="s">
        <v>13</v>
      </c>
      <c r="G2990">
        <v>2</v>
      </c>
      <c r="H2990">
        <v>2.5</v>
      </c>
      <c r="I2990" t="s">
        <v>14</v>
      </c>
      <c r="J2990" t="s">
        <v>1112</v>
      </c>
      <c r="K2990" s="12">
        <f>Store_Record[[#This Row],[Qty]]*Store_Record[[#This Row],[UnitPriceGBP]]</f>
        <v>5</v>
      </c>
      <c r="L2990" s="5" t="str">
        <f>TEXT(Store_Record[[#This Row],[Date]],"dddd")</f>
        <v>Tuesday</v>
      </c>
      <c r="M2990" s="5" t="str">
        <f>TEXT(Store_Record[[#This Row],[Date]],"mmmm")</f>
        <v>August</v>
      </c>
      <c r="N2990" s="5">
        <f>YEAR(Store_Record[[#This Row],[Date]])</f>
        <v>2025</v>
      </c>
      <c r="O2990"/>
    </row>
    <row r="2991" spans="1:15" x14ac:dyDescent="0.35">
      <c r="A2991" t="s">
        <v>3935</v>
      </c>
      <c r="B2991" s="2">
        <v>45874</v>
      </c>
      <c r="C2991" t="s">
        <v>10</v>
      </c>
      <c r="D2991" t="s">
        <v>29</v>
      </c>
      <c r="E2991" t="s">
        <v>34</v>
      </c>
      <c r="F2991" t="s">
        <v>31</v>
      </c>
      <c r="G2991">
        <v>2</v>
      </c>
      <c r="H2991">
        <v>2.2000000000000002</v>
      </c>
      <c r="I2991" t="s">
        <v>39</v>
      </c>
      <c r="J2991" t="s">
        <v>3057</v>
      </c>
      <c r="K2991" s="12">
        <f>Store_Record[[#This Row],[Qty]]*Store_Record[[#This Row],[UnitPriceGBP]]</f>
        <v>4.4000000000000004</v>
      </c>
      <c r="L2991" s="5" t="str">
        <f>TEXT(Store_Record[[#This Row],[Date]],"dddd")</f>
        <v>Tuesday</v>
      </c>
      <c r="M2991" s="5" t="str">
        <f>TEXT(Store_Record[[#This Row],[Date]],"mmmm")</f>
        <v>August</v>
      </c>
      <c r="N2991" s="5">
        <f>YEAR(Store_Record[[#This Row],[Date]])</f>
        <v>2025</v>
      </c>
      <c r="O2991"/>
    </row>
    <row r="2992" spans="1:15" x14ac:dyDescent="0.35">
      <c r="A2992" t="s">
        <v>3946</v>
      </c>
      <c r="B2992" s="2">
        <v>45874</v>
      </c>
      <c r="C2992" t="s">
        <v>10</v>
      </c>
      <c r="D2992" t="s">
        <v>47</v>
      </c>
      <c r="E2992" t="s">
        <v>42</v>
      </c>
      <c r="F2992" t="s">
        <v>13</v>
      </c>
      <c r="G2992">
        <v>1</v>
      </c>
      <c r="H2992">
        <v>3.8</v>
      </c>
      <c r="I2992" t="s">
        <v>21</v>
      </c>
      <c r="J2992" t="s">
        <v>1799</v>
      </c>
      <c r="K2992" s="12">
        <f>Store_Record[[#This Row],[Qty]]*Store_Record[[#This Row],[UnitPriceGBP]]</f>
        <v>3.8</v>
      </c>
      <c r="L2992" s="5" t="str">
        <f>TEXT(Store_Record[[#This Row],[Date]],"dddd")</f>
        <v>Tuesday</v>
      </c>
      <c r="M2992" s="5" t="str">
        <f>TEXT(Store_Record[[#This Row],[Date]],"mmmm")</f>
        <v>August</v>
      </c>
      <c r="N2992" s="5">
        <f>YEAR(Store_Record[[#This Row],[Date]])</f>
        <v>2025</v>
      </c>
      <c r="O2992"/>
    </row>
    <row r="2993" spans="1:15" x14ac:dyDescent="0.35">
      <c r="A2993" t="s">
        <v>3956</v>
      </c>
      <c r="B2993" s="2">
        <v>45875</v>
      </c>
      <c r="C2993" t="s">
        <v>10</v>
      </c>
      <c r="D2993" t="s">
        <v>25</v>
      </c>
      <c r="E2993" t="s">
        <v>42</v>
      </c>
      <c r="F2993" t="s">
        <v>13</v>
      </c>
      <c r="G2993">
        <v>5</v>
      </c>
      <c r="H2993">
        <v>3.8</v>
      </c>
      <c r="I2993" t="s">
        <v>21</v>
      </c>
      <c r="J2993" t="s">
        <v>82</v>
      </c>
      <c r="K2993" s="12">
        <f>Store_Record[[#This Row],[Qty]]*Store_Record[[#This Row],[UnitPriceGBP]]</f>
        <v>19</v>
      </c>
      <c r="L2993" s="5" t="str">
        <f>TEXT(Store_Record[[#This Row],[Date]],"dddd")</f>
        <v>Wednesday</v>
      </c>
      <c r="M2993" s="5" t="str">
        <f>TEXT(Store_Record[[#This Row],[Date]],"mmmm")</f>
        <v>August</v>
      </c>
      <c r="N2993" s="5">
        <f>YEAR(Store_Record[[#This Row],[Date]])</f>
        <v>2025</v>
      </c>
      <c r="O2993"/>
    </row>
    <row r="2994" spans="1:15" x14ac:dyDescent="0.35">
      <c r="A2994" t="s">
        <v>3959</v>
      </c>
      <c r="B2994" s="2">
        <v>45875</v>
      </c>
      <c r="C2994" t="s">
        <v>20</v>
      </c>
      <c r="D2994" t="s">
        <v>25</v>
      </c>
      <c r="E2994" t="s">
        <v>42</v>
      </c>
      <c r="F2994" t="s">
        <v>13</v>
      </c>
      <c r="G2994">
        <v>3</v>
      </c>
      <c r="H2994">
        <v>3.8</v>
      </c>
      <c r="I2994" t="s">
        <v>14</v>
      </c>
      <c r="J2994" t="s">
        <v>1725</v>
      </c>
      <c r="K2994" s="12">
        <f>Store_Record[[#This Row],[Qty]]*Store_Record[[#This Row],[UnitPriceGBP]]</f>
        <v>11.399999999999999</v>
      </c>
      <c r="L2994" s="5" t="str">
        <f>TEXT(Store_Record[[#This Row],[Date]],"dddd")</f>
        <v>Wednesday</v>
      </c>
      <c r="M2994" s="5" t="str">
        <f>TEXT(Store_Record[[#This Row],[Date]],"mmmm")</f>
        <v>August</v>
      </c>
      <c r="N2994" s="5">
        <f>YEAR(Store_Record[[#This Row],[Date]])</f>
        <v>2025</v>
      </c>
      <c r="O2994"/>
    </row>
    <row r="2995" spans="1:15" x14ac:dyDescent="0.35">
      <c r="A2995" t="s">
        <v>3960</v>
      </c>
      <c r="B2995" s="2">
        <v>45875</v>
      </c>
      <c r="C2995" t="s">
        <v>36</v>
      </c>
      <c r="D2995" t="s">
        <v>38</v>
      </c>
      <c r="E2995" t="s">
        <v>42</v>
      </c>
      <c r="F2995" t="s">
        <v>13</v>
      </c>
      <c r="G2995">
        <v>3</v>
      </c>
      <c r="H2995">
        <v>3.8</v>
      </c>
      <c r="I2995" t="s">
        <v>39</v>
      </c>
      <c r="J2995" t="s">
        <v>179</v>
      </c>
      <c r="K2995" s="12">
        <f>Store_Record[[#This Row],[Qty]]*Store_Record[[#This Row],[UnitPriceGBP]]</f>
        <v>11.399999999999999</v>
      </c>
      <c r="L2995" s="5" t="str">
        <f>TEXT(Store_Record[[#This Row],[Date]],"dddd")</f>
        <v>Wednesday</v>
      </c>
      <c r="M2995" s="5" t="str">
        <f>TEXT(Store_Record[[#This Row],[Date]],"mmmm")</f>
        <v>August</v>
      </c>
      <c r="N2995" s="5">
        <f>YEAR(Store_Record[[#This Row],[Date]])</f>
        <v>2025</v>
      </c>
      <c r="O2995"/>
    </row>
    <row r="2996" spans="1:15" x14ac:dyDescent="0.35">
      <c r="A2996" t="s">
        <v>3955</v>
      </c>
      <c r="B2996" s="2">
        <v>45875</v>
      </c>
      <c r="C2996" t="s">
        <v>36</v>
      </c>
      <c r="D2996" t="s">
        <v>25</v>
      </c>
      <c r="E2996" t="s">
        <v>34</v>
      </c>
      <c r="F2996" t="s">
        <v>31</v>
      </c>
      <c r="G2996">
        <v>5</v>
      </c>
      <c r="H2996">
        <v>2.2000000000000002</v>
      </c>
      <c r="I2996" t="s">
        <v>14</v>
      </c>
      <c r="J2996" t="s">
        <v>396</v>
      </c>
      <c r="K2996" s="12">
        <f>Store_Record[[#This Row],[Qty]]*Store_Record[[#This Row],[UnitPriceGBP]]</f>
        <v>11</v>
      </c>
      <c r="L2996" s="5" t="str">
        <f>TEXT(Store_Record[[#This Row],[Date]],"dddd")</f>
        <v>Wednesday</v>
      </c>
      <c r="M2996" s="5" t="str">
        <f>TEXT(Store_Record[[#This Row],[Date]],"mmmm")</f>
        <v>August</v>
      </c>
      <c r="N2996" s="5">
        <f>YEAR(Store_Record[[#This Row],[Date]])</f>
        <v>2025</v>
      </c>
      <c r="O2996"/>
    </row>
    <row r="2997" spans="1:15" x14ac:dyDescent="0.35">
      <c r="A2997" t="s">
        <v>3953</v>
      </c>
      <c r="B2997" s="2">
        <v>45875</v>
      </c>
      <c r="C2997" t="s">
        <v>24</v>
      </c>
      <c r="D2997" t="s">
        <v>47</v>
      </c>
      <c r="E2997" t="s">
        <v>12</v>
      </c>
      <c r="F2997" t="s">
        <v>13</v>
      </c>
      <c r="G2997">
        <v>4</v>
      </c>
      <c r="H2997">
        <v>2.5</v>
      </c>
      <c r="I2997" t="s">
        <v>21</v>
      </c>
      <c r="J2997" t="s">
        <v>912</v>
      </c>
      <c r="K2997" s="12">
        <f>Store_Record[[#This Row],[Qty]]*Store_Record[[#This Row],[UnitPriceGBP]]</f>
        <v>10</v>
      </c>
      <c r="L2997" s="5" t="str">
        <f>TEXT(Store_Record[[#This Row],[Date]],"dddd")</f>
        <v>Wednesday</v>
      </c>
      <c r="M2997" s="5" t="str">
        <f>TEXT(Store_Record[[#This Row],[Date]],"mmmm")</f>
        <v>August</v>
      </c>
      <c r="N2997" s="5">
        <f>YEAR(Store_Record[[#This Row],[Date]])</f>
        <v>2025</v>
      </c>
      <c r="O2997"/>
    </row>
    <row r="2998" spans="1:15" x14ac:dyDescent="0.35">
      <c r="A2998" t="s">
        <v>3962</v>
      </c>
      <c r="B2998" s="2">
        <v>45875</v>
      </c>
      <c r="C2998" t="s">
        <v>10</v>
      </c>
      <c r="D2998" t="s">
        <v>25</v>
      </c>
      <c r="E2998" t="s">
        <v>12</v>
      </c>
      <c r="F2998" t="s">
        <v>13</v>
      </c>
      <c r="G2998">
        <v>3</v>
      </c>
      <c r="H2998">
        <v>2.5</v>
      </c>
      <c r="I2998" t="s">
        <v>14</v>
      </c>
      <c r="J2998" t="s">
        <v>2293</v>
      </c>
      <c r="K2998" s="12">
        <f>Store_Record[[#This Row],[Qty]]*Store_Record[[#This Row],[UnitPriceGBP]]</f>
        <v>7.5</v>
      </c>
      <c r="L2998" s="5" t="str">
        <f>TEXT(Store_Record[[#This Row],[Date]],"dddd")</f>
        <v>Wednesday</v>
      </c>
      <c r="M2998" s="5" t="str">
        <f>TEXT(Store_Record[[#This Row],[Date]],"mmmm")</f>
        <v>August</v>
      </c>
      <c r="N2998" s="5">
        <f>YEAR(Store_Record[[#This Row],[Date]])</f>
        <v>2025</v>
      </c>
      <c r="O2998"/>
    </row>
    <row r="2999" spans="1:15" x14ac:dyDescent="0.35">
      <c r="A2999" t="s">
        <v>3957</v>
      </c>
      <c r="B2999" s="2">
        <v>45875</v>
      </c>
      <c r="C2999" t="s">
        <v>20</v>
      </c>
      <c r="D2999" t="s">
        <v>47</v>
      </c>
      <c r="E2999" t="s">
        <v>26</v>
      </c>
      <c r="F2999" t="s">
        <v>13</v>
      </c>
      <c r="G2999">
        <v>2</v>
      </c>
      <c r="H2999">
        <v>3.5</v>
      </c>
      <c r="I2999" t="s">
        <v>39</v>
      </c>
      <c r="J2999" t="s">
        <v>125</v>
      </c>
      <c r="K2999" s="12">
        <f>Store_Record[[#This Row],[Qty]]*Store_Record[[#This Row],[UnitPriceGBP]]</f>
        <v>7</v>
      </c>
      <c r="L2999" s="5" t="str">
        <f>TEXT(Store_Record[[#This Row],[Date]],"dddd")</f>
        <v>Wednesday</v>
      </c>
      <c r="M2999" s="5" t="str">
        <f>TEXT(Store_Record[[#This Row],[Date]],"mmmm")</f>
        <v>August</v>
      </c>
      <c r="N2999" s="5">
        <f>YEAR(Store_Record[[#This Row],[Date]])</f>
        <v>2025</v>
      </c>
      <c r="O2999"/>
    </row>
    <row r="3000" spans="1:15" x14ac:dyDescent="0.35">
      <c r="A3000" t="s">
        <v>3961</v>
      </c>
      <c r="B3000" s="2">
        <v>45875</v>
      </c>
      <c r="C3000" t="s">
        <v>36</v>
      </c>
      <c r="D3000" t="s">
        <v>38</v>
      </c>
      <c r="E3000" t="s">
        <v>34</v>
      </c>
      <c r="F3000" t="s">
        <v>31</v>
      </c>
      <c r="G3000">
        <v>3</v>
      </c>
      <c r="H3000">
        <v>2.2000000000000002</v>
      </c>
      <c r="I3000" t="s">
        <v>39</v>
      </c>
      <c r="J3000" t="s">
        <v>806</v>
      </c>
      <c r="K3000" s="12">
        <f>Store_Record[[#This Row],[Qty]]*Store_Record[[#This Row],[UnitPriceGBP]]</f>
        <v>6.6000000000000005</v>
      </c>
      <c r="L3000" s="5" t="str">
        <f>TEXT(Store_Record[[#This Row],[Date]],"dddd")</f>
        <v>Wednesday</v>
      </c>
      <c r="M3000" s="5" t="str">
        <f>TEXT(Store_Record[[#This Row],[Date]],"mmmm")</f>
        <v>August</v>
      </c>
      <c r="N3000" s="5">
        <f>YEAR(Store_Record[[#This Row],[Date]])</f>
        <v>2025</v>
      </c>
      <c r="O3000"/>
    </row>
    <row r="3001" spans="1:15" x14ac:dyDescent="0.35">
      <c r="A3001" t="s">
        <v>3954</v>
      </c>
      <c r="B3001" s="2">
        <v>45875</v>
      </c>
      <c r="C3001" t="s">
        <v>20</v>
      </c>
      <c r="D3001" t="s">
        <v>47</v>
      </c>
      <c r="E3001" t="s">
        <v>12</v>
      </c>
      <c r="F3001" t="s">
        <v>13</v>
      </c>
      <c r="G3001">
        <v>2</v>
      </c>
      <c r="H3001">
        <v>2.5</v>
      </c>
      <c r="I3001" t="s">
        <v>21</v>
      </c>
      <c r="J3001" t="s">
        <v>646</v>
      </c>
      <c r="K3001" s="12">
        <f>Store_Record[[#This Row],[Qty]]*Store_Record[[#This Row],[UnitPriceGBP]]</f>
        <v>5</v>
      </c>
      <c r="L3001" s="5" t="str">
        <f>TEXT(Store_Record[[#This Row],[Date]],"dddd")</f>
        <v>Wednesday</v>
      </c>
      <c r="M3001" s="5" t="str">
        <f>TEXT(Store_Record[[#This Row],[Date]],"mmmm")</f>
        <v>August</v>
      </c>
      <c r="N3001" s="5">
        <f>YEAR(Store_Record[[#This Row],[Date]])</f>
        <v>2025</v>
      </c>
      <c r="O3001"/>
    </row>
    <row r="3002" spans="1:15" x14ac:dyDescent="0.35">
      <c r="A3002" t="s">
        <v>3958</v>
      </c>
      <c r="B3002" s="2">
        <v>45875</v>
      </c>
      <c r="C3002" t="s">
        <v>10</v>
      </c>
      <c r="D3002" t="s">
        <v>11</v>
      </c>
      <c r="E3002" t="s">
        <v>26</v>
      </c>
      <c r="F3002" t="s">
        <v>13</v>
      </c>
      <c r="G3002">
        <v>1</v>
      </c>
      <c r="H3002">
        <v>3.5</v>
      </c>
      <c r="I3002" t="s">
        <v>39</v>
      </c>
      <c r="J3002" t="s">
        <v>2594</v>
      </c>
      <c r="K3002" s="12">
        <f>Store_Record[[#This Row],[Qty]]*Store_Record[[#This Row],[UnitPriceGBP]]</f>
        <v>3.5</v>
      </c>
      <c r="L3002" s="5" t="str">
        <f>TEXT(Store_Record[[#This Row],[Date]],"dddd")</f>
        <v>Wednesday</v>
      </c>
      <c r="M3002" s="5" t="str">
        <f>TEXT(Store_Record[[#This Row],[Date]],"mmmm")</f>
        <v>August</v>
      </c>
      <c r="N3002" s="5">
        <f>YEAR(Store_Record[[#This Row],[Date]])</f>
        <v>2025</v>
      </c>
      <c r="O3002"/>
    </row>
    <row r="3003" spans="1:15" x14ac:dyDescent="0.35">
      <c r="A3003" t="s">
        <v>3963</v>
      </c>
      <c r="B3003" s="2">
        <v>45875</v>
      </c>
      <c r="C3003" t="s">
        <v>36</v>
      </c>
      <c r="D3003" t="s">
        <v>25</v>
      </c>
      <c r="E3003" t="s">
        <v>30</v>
      </c>
      <c r="F3003" t="s">
        <v>31</v>
      </c>
      <c r="G3003">
        <v>1</v>
      </c>
      <c r="H3003">
        <v>2.8</v>
      </c>
      <c r="I3003" t="s">
        <v>39</v>
      </c>
      <c r="J3003" t="s">
        <v>2087</v>
      </c>
      <c r="K3003" s="12">
        <f>Store_Record[[#This Row],[Qty]]*Store_Record[[#This Row],[UnitPriceGBP]]</f>
        <v>2.8</v>
      </c>
      <c r="L3003" s="5" t="str">
        <f>TEXT(Store_Record[[#This Row],[Date]],"dddd")</f>
        <v>Wednesday</v>
      </c>
      <c r="M3003" s="5" t="str">
        <f>TEXT(Store_Record[[#This Row],[Date]],"mmmm")</f>
        <v>August</v>
      </c>
      <c r="N3003" s="5">
        <f>YEAR(Store_Record[[#This Row],[Date]])</f>
        <v>2025</v>
      </c>
      <c r="O3003"/>
    </row>
    <row r="3004" spans="1:15" x14ac:dyDescent="0.35">
      <c r="A3004" t="s">
        <v>3964</v>
      </c>
      <c r="B3004" s="2">
        <v>45876</v>
      </c>
      <c r="C3004" t="s">
        <v>36</v>
      </c>
      <c r="D3004" t="s">
        <v>38</v>
      </c>
      <c r="E3004" t="s">
        <v>42</v>
      </c>
      <c r="F3004" t="s">
        <v>13</v>
      </c>
      <c r="G3004">
        <v>4</v>
      </c>
      <c r="H3004">
        <v>3.8</v>
      </c>
      <c r="I3004" t="s">
        <v>39</v>
      </c>
      <c r="J3004" t="s">
        <v>2661</v>
      </c>
      <c r="K3004" s="12">
        <f>Store_Record[[#This Row],[Qty]]*Store_Record[[#This Row],[UnitPriceGBP]]</f>
        <v>15.2</v>
      </c>
      <c r="L3004" s="5" t="str">
        <f>TEXT(Store_Record[[#This Row],[Date]],"dddd")</f>
        <v>Thursday</v>
      </c>
      <c r="M3004" s="5" t="str">
        <f>TEXT(Store_Record[[#This Row],[Date]],"mmmm")</f>
        <v>August</v>
      </c>
      <c r="N3004" s="5">
        <f>YEAR(Store_Record[[#This Row],[Date]])</f>
        <v>2025</v>
      </c>
      <c r="O3004"/>
    </row>
    <row r="3005" spans="1:15" x14ac:dyDescent="0.35">
      <c r="A3005" t="s">
        <v>3969</v>
      </c>
      <c r="B3005" s="2">
        <v>45876</v>
      </c>
      <c r="C3005" t="s">
        <v>24</v>
      </c>
      <c r="D3005" t="s">
        <v>38</v>
      </c>
      <c r="E3005" t="s">
        <v>42</v>
      </c>
      <c r="F3005" t="s">
        <v>13</v>
      </c>
      <c r="G3005">
        <v>3</v>
      </c>
      <c r="H3005">
        <v>3.8</v>
      </c>
      <c r="I3005" t="s">
        <v>21</v>
      </c>
      <c r="J3005" t="s">
        <v>1705</v>
      </c>
      <c r="K3005" s="12">
        <f>Store_Record[[#This Row],[Qty]]*Store_Record[[#This Row],[UnitPriceGBP]]</f>
        <v>11.399999999999999</v>
      </c>
      <c r="L3005" s="5" t="str">
        <f>TEXT(Store_Record[[#This Row],[Date]],"dddd")</f>
        <v>Thursday</v>
      </c>
      <c r="M3005" s="5" t="str">
        <f>TEXT(Store_Record[[#This Row],[Date]],"mmmm")</f>
        <v>August</v>
      </c>
      <c r="N3005" s="5">
        <f>YEAR(Store_Record[[#This Row],[Date]])</f>
        <v>2025</v>
      </c>
      <c r="O3005"/>
    </row>
    <row r="3006" spans="1:15" x14ac:dyDescent="0.35">
      <c r="A3006" t="s">
        <v>3971</v>
      </c>
      <c r="B3006" s="2">
        <v>45876</v>
      </c>
      <c r="C3006" t="s">
        <v>10</v>
      </c>
      <c r="D3006" t="s">
        <v>38</v>
      </c>
      <c r="E3006" t="s">
        <v>34</v>
      </c>
      <c r="F3006" t="s">
        <v>31</v>
      </c>
      <c r="G3006">
        <v>5</v>
      </c>
      <c r="H3006">
        <v>2.2000000000000002</v>
      </c>
      <c r="I3006" t="s">
        <v>39</v>
      </c>
      <c r="J3006" t="s">
        <v>107</v>
      </c>
      <c r="K3006" s="12">
        <f>Store_Record[[#This Row],[Qty]]*Store_Record[[#This Row],[UnitPriceGBP]]</f>
        <v>11</v>
      </c>
      <c r="L3006" s="5" t="str">
        <f>TEXT(Store_Record[[#This Row],[Date]],"dddd")</f>
        <v>Thursday</v>
      </c>
      <c r="M3006" s="5" t="str">
        <f>TEXT(Store_Record[[#This Row],[Date]],"mmmm")</f>
        <v>August</v>
      </c>
      <c r="N3006" s="5">
        <f>YEAR(Store_Record[[#This Row],[Date]])</f>
        <v>2025</v>
      </c>
      <c r="O3006"/>
    </row>
    <row r="3007" spans="1:15" x14ac:dyDescent="0.35">
      <c r="A3007" t="s">
        <v>3976</v>
      </c>
      <c r="B3007" s="2">
        <v>45876</v>
      </c>
      <c r="C3007" t="s">
        <v>36</v>
      </c>
      <c r="D3007" t="s">
        <v>47</v>
      </c>
      <c r="E3007" t="s">
        <v>26</v>
      </c>
      <c r="F3007" t="s">
        <v>13</v>
      </c>
      <c r="G3007">
        <v>3</v>
      </c>
      <c r="H3007">
        <v>3.5</v>
      </c>
      <c r="I3007" t="s">
        <v>21</v>
      </c>
      <c r="J3007" t="s">
        <v>64</v>
      </c>
      <c r="K3007" s="12">
        <f>Store_Record[[#This Row],[Qty]]*Store_Record[[#This Row],[UnitPriceGBP]]</f>
        <v>10.5</v>
      </c>
      <c r="L3007" s="5" t="str">
        <f>TEXT(Store_Record[[#This Row],[Date]],"dddd")</f>
        <v>Thursday</v>
      </c>
      <c r="M3007" s="5" t="str">
        <f>TEXT(Store_Record[[#This Row],[Date]],"mmmm")</f>
        <v>August</v>
      </c>
      <c r="N3007" s="5">
        <f>YEAR(Store_Record[[#This Row],[Date]])</f>
        <v>2025</v>
      </c>
      <c r="O3007"/>
    </row>
    <row r="3008" spans="1:15" x14ac:dyDescent="0.35">
      <c r="A3008" t="s">
        <v>3965</v>
      </c>
      <c r="B3008" s="2">
        <v>45876</v>
      </c>
      <c r="C3008" t="s">
        <v>20</v>
      </c>
      <c r="D3008" t="s">
        <v>47</v>
      </c>
      <c r="E3008" t="s">
        <v>12</v>
      </c>
      <c r="F3008" t="s">
        <v>13</v>
      </c>
      <c r="G3008">
        <v>4</v>
      </c>
      <c r="H3008">
        <v>2.5</v>
      </c>
      <c r="I3008" t="s">
        <v>14</v>
      </c>
      <c r="J3008" t="s">
        <v>921</v>
      </c>
      <c r="K3008" s="12">
        <f>Store_Record[[#This Row],[Qty]]*Store_Record[[#This Row],[UnitPriceGBP]]</f>
        <v>10</v>
      </c>
      <c r="L3008" s="5" t="str">
        <f>TEXT(Store_Record[[#This Row],[Date]],"dddd")</f>
        <v>Thursday</v>
      </c>
      <c r="M3008" s="5" t="str">
        <f>TEXT(Store_Record[[#This Row],[Date]],"mmmm")</f>
        <v>August</v>
      </c>
      <c r="N3008" s="5">
        <f>YEAR(Store_Record[[#This Row],[Date]])</f>
        <v>2025</v>
      </c>
      <c r="O3008"/>
    </row>
    <row r="3009" spans="1:15" x14ac:dyDescent="0.35">
      <c r="A3009" t="s">
        <v>3973</v>
      </c>
      <c r="B3009" s="2">
        <v>45876</v>
      </c>
      <c r="C3009" t="s">
        <v>10</v>
      </c>
      <c r="D3009" t="s">
        <v>47</v>
      </c>
      <c r="E3009" t="s">
        <v>12</v>
      </c>
      <c r="F3009" t="s">
        <v>13</v>
      </c>
      <c r="G3009">
        <v>4</v>
      </c>
      <c r="H3009">
        <v>2.5</v>
      </c>
      <c r="I3009" t="s">
        <v>14</v>
      </c>
      <c r="J3009" t="s">
        <v>452</v>
      </c>
      <c r="K3009" s="12">
        <f>Store_Record[[#This Row],[Qty]]*Store_Record[[#This Row],[UnitPriceGBP]]</f>
        <v>10</v>
      </c>
      <c r="L3009" s="5" t="str">
        <f>TEXT(Store_Record[[#This Row],[Date]],"dddd")</f>
        <v>Thursday</v>
      </c>
      <c r="M3009" s="5" t="str">
        <f>TEXT(Store_Record[[#This Row],[Date]],"mmmm")</f>
        <v>August</v>
      </c>
      <c r="N3009" s="5">
        <f>YEAR(Store_Record[[#This Row],[Date]])</f>
        <v>2025</v>
      </c>
      <c r="O3009"/>
    </row>
    <row r="3010" spans="1:15" x14ac:dyDescent="0.35">
      <c r="A3010" t="s">
        <v>3975</v>
      </c>
      <c r="B3010" s="2">
        <v>45876</v>
      </c>
      <c r="C3010" t="s">
        <v>20</v>
      </c>
      <c r="D3010" t="s">
        <v>29</v>
      </c>
      <c r="E3010" t="s">
        <v>42</v>
      </c>
      <c r="F3010" t="s">
        <v>13</v>
      </c>
      <c r="G3010">
        <v>2</v>
      </c>
      <c r="H3010">
        <v>3.8</v>
      </c>
      <c r="I3010" t="s">
        <v>21</v>
      </c>
      <c r="J3010" t="s">
        <v>819</v>
      </c>
      <c r="K3010" s="12">
        <f>Store_Record[[#This Row],[Qty]]*Store_Record[[#This Row],[UnitPriceGBP]]</f>
        <v>7.6</v>
      </c>
      <c r="L3010" s="5" t="str">
        <f>TEXT(Store_Record[[#This Row],[Date]],"dddd")</f>
        <v>Thursday</v>
      </c>
      <c r="M3010" s="5" t="str">
        <f>TEXT(Store_Record[[#This Row],[Date]],"mmmm")</f>
        <v>August</v>
      </c>
      <c r="N3010" s="5">
        <f>YEAR(Store_Record[[#This Row],[Date]])</f>
        <v>2025</v>
      </c>
      <c r="O3010"/>
    </row>
    <row r="3011" spans="1:15" x14ac:dyDescent="0.35">
      <c r="A3011" t="s">
        <v>3970</v>
      </c>
      <c r="B3011" s="2">
        <v>45876</v>
      </c>
      <c r="C3011" t="s">
        <v>10</v>
      </c>
      <c r="D3011" t="s">
        <v>38</v>
      </c>
      <c r="E3011" t="s">
        <v>34</v>
      </c>
      <c r="F3011" t="s">
        <v>31</v>
      </c>
      <c r="G3011">
        <v>3</v>
      </c>
      <c r="H3011">
        <v>2.2000000000000002</v>
      </c>
      <c r="I3011" t="s">
        <v>14</v>
      </c>
      <c r="J3011" t="s">
        <v>1292</v>
      </c>
      <c r="K3011" s="12">
        <f>Store_Record[[#This Row],[Qty]]*Store_Record[[#This Row],[UnitPriceGBP]]</f>
        <v>6.6000000000000005</v>
      </c>
      <c r="L3011" s="5" t="str">
        <f>TEXT(Store_Record[[#This Row],[Date]],"dddd")</f>
        <v>Thursday</v>
      </c>
      <c r="M3011" s="5" t="str">
        <f>TEXT(Store_Record[[#This Row],[Date]],"mmmm")</f>
        <v>August</v>
      </c>
      <c r="N3011" s="5">
        <f>YEAR(Store_Record[[#This Row],[Date]])</f>
        <v>2025</v>
      </c>
      <c r="O3011"/>
    </row>
    <row r="3012" spans="1:15" x14ac:dyDescent="0.35">
      <c r="A3012" t="s">
        <v>3967</v>
      </c>
      <c r="B3012" s="2">
        <v>45876</v>
      </c>
      <c r="C3012" t="s">
        <v>36</v>
      </c>
      <c r="D3012" t="s">
        <v>11</v>
      </c>
      <c r="E3012" t="s">
        <v>30</v>
      </c>
      <c r="F3012" t="s">
        <v>31</v>
      </c>
      <c r="G3012">
        <v>2</v>
      </c>
      <c r="H3012">
        <v>2.8</v>
      </c>
      <c r="I3012" t="s">
        <v>39</v>
      </c>
      <c r="J3012" t="s">
        <v>3968</v>
      </c>
      <c r="K3012" s="12">
        <f>Store_Record[[#This Row],[Qty]]*Store_Record[[#This Row],[UnitPriceGBP]]</f>
        <v>5.6</v>
      </c>
      <c r="L3012" s="5" t="str">
        <f>TEXT(Store_Record[[#This Row],[Date]],"dddd")</f>
        <v>Thursday</v>
      </c>
      <c r="M3012" s="5" t="str">
        <f>TEXT(Store_Record[[#This Row],[Date]],"mmmm")</f>
        <v>August</v>
      </c>
      <c r="N3012" s="5">
        <f>YEAR(Store_Record[[#This Row],[Date]])</f>
        <v>2025</v>
      </c>
      <c r="O3012"/>
    </row>
    <row r="3013" spans="1:15" x14ac:dyDescent="0.35">
      <c r="A3013" t="s">
        <v>3974</v>
      </c>
      <c r="B3013" s="2">
        <v>45876</v>
      </c>
      <c r="C3013" t="s">
        <v>36</v>
      </c>
      <c r="D3013" t="s">
        <v>38</v>
      </c>
      <c r="E3013" t="s">
        <v>30</v>
      </c>
      <c r="F3013" t="s">
        <v>31</v>
      </c>
      <c r="G3013">
        <v>2</v>
      </c>
      <c r="H3013">
        <v>2.8</v>
      </c>
      <c r="I3013" t="s">
        <v>21</v>
      </c>
      <c r="J3013" t="s">
        <v>314</v>
      </c>
      <c r="K3013" s="12">
        <f>Store_Record[[#This Row],[Qty]]*Store_Record[[#This Row],[UnitPriceGBP]]</f>
        <v>5.6</v>
      </c>
      <c r="L3013" s="5" t="str">
        <f>TEXT(Store_Record[[#This Row],[Date]],"dddd")</f>
        <v>Thursday</v>
      </c>
      <c r="M3013" s="5" t="str">
        <f>TEXT(Store_Record[[#This Row],[Date]],"mmmm")</f>
        <v>August</v>
      </c>
      <c r="N3013" s="5">
        <f>YEAR(Store_Record[[#This Row],[Date]])</f>
        <v>2025</v>
      </c>
      <c r="O3013"/>
    </row>
    <row r="3014" spans="1:15" x14ac:dyDescent="0.35">
      <c r="A3014" t="s">
        <v>3966</v>
      </c>
      <c r="B3014" s="2">
        <v>45876</v>
      </c>
      <c r="C3014" t="s">
        <v>20</v>
      </c>
      <c r="D3014" t="s">
        <v>11</v>
      </c>
      <c r="E3014" t="s">
        <v>42</v>
      </c>
      <c r="F3014" t="s">
        <v>13</v>
      </c>
      <c r="G3014">
        <v>1</v>
      </c>
      <c r="H3014">
        <v>3.8</v>
      </c>
      <c r="I3014" t="s">
        <v>39</v>
      </c>
      <c r="J3014" t="s">
        <v>743</v>
      </c>
      <c r="K3014" s="12">
        <f>Store_Record[[#This Row],[Qty]]*Store_Record[[#This Row],[UnitPriceGBP]]</f>
        <v>3.8</v>
      </c>
      <c r="L3014" s="5" t="str">
        <f>TEXT(Store_Record[[#This Row],[Date]],"dddd")</f>
        <v>Thursday</v>
      </c>
      <c r="M3014" s="5" t="str">
        <f>TEXT(Store_Record[[#This Row],[Date]],"mmmm")</f>
        <v>August</v>
      </c>
      <c r="N3014" s="5">
        <f>YEAR(Store_Record[[#This Row],[Date]])</f>
        <v>2025</v>
      </c>
      <c r="O3014"/>
    </row>
    <row r="3015" spans="1:15" x14ac:dyDescent="0.35">
      <c r="A3015" t="s">
        <v>3972</v>
      </c>
      <c r="B3015" s="2">
        <v>45876</v>
      </c>
      <c r="C3015" t="s">
        <v>10</v>
      </c>
      <c r="D3015" t="s">
        <v>38</v>
      </c>
      <c r="E3015" t="s">
        <v>12</v>
      </c>
      <c r="F3015" t="s">
        <v>13</v>
      </c>
      <c r="G3015">
        <v>1</v>
      </c>
      <c r="H3015">
        <v>2.5</v>
      </c>
      <c r="I3015" t="s">
        <v>14</v>
      </c>
      <c r="J3015" t="s">
        <v>142</v>
      </c>
      <c r="K3015" s="12">
        <f>Store_Record[[#This Row],[Qty]]*Store_Record[[#This Row],[UnitPriceGBP]]</f>
        <v>2.5</v>
      </c>
      <c r="L3015" s="5" t="str">
        <f>TEXT(Store_Record[[#This Row],[Date]],"dddd")</f>
        <v>Thursday</v>
      </c>
      <c r="M3015" s="5" t="str">
        <f>TEXT(Store_Record[[#This Row],[Date]],"mmmm")</f>
        <v>August</v>
      </c>
      <c r="N3015" s="5">
        <f>YEAR(Store_Record[[#This Row],[Date]])</f>
        <v>2025</v>
      </c>
      <c r="O3015"/>
    </row>
    <row r="3016" spans="1:15" x14ac:dyDescent="0.35">
      <c r="A3016" t="s">
        <v>3977</v>
      </c>
      <c r="B3016" s="2">
        <v>45877</v>
      </c>
      <c r="C3016" t="s">
        <v>36</v>
      </c>
      <c r="D3016" t="s">
        <v>47</v>
      </c>
      <c r="E3016" t="s">
        <v>42</v>
      </c>
      <c r="F3016" t="s">
        <v>13</v>
      </c>
      <c r="G3016">
        <v>5</v>
      </c>
      <c r="H3016">
        <v>3.8</v>
      </c>
      <c r="I3016" t="s">
        <v>39</v>
      </c>
      <c r="J3016" t="s">
        <v>802</v>
      </c>
      <c r="K3016" s="12">
        <f>Store_Record[[#This Row],[Qty]]*Store_Record[[#This Row],[UnitPriceGBP]]</f>
        <v>19</v>
      </c>
      <c r="L3016" s="5" t="str">
        <f>TEXT(Store_Record[[#This Row],[Date]],"dddd")</f>
        <v>Friday</v>
      </c>
      <c r="M3016" s="5" t="str">
        <f>TEXT(Store_Record[[#This Row],[Date]],"mmmm")</f>
        <v>August</v>
      </c>
      <c r="N3016" s="5">
        <f>YEAR(Store_Record[[#This Row],[Date]])</f>
        <v>2025</v>
      </c>
      <c r="O3016"/>
    </row>
    <row r="3017" spans="1:15" x14ac:dyDescent="0.35">
      <c r="A3017" t="s">
        <v>3993</v>
      </c>
      <c r="B3017" s="2">
        <v>45877</v>
      </c>
      <c r="C3017" t="s">
        <v>20</v>
      </c>
      <c r="D3017" t="s">
        <v>47</v>
      </c>
      <c r="E3017" t="s">
        <v>42</v>
      </c>
      <c r="F3017" t="s">
        <v>13</v>
      </c>
      <c r="G3017">
        <v>4</v>
      </c>
      <c r="H3017">
        <v>3.8</v>
      </c>
      <c r="I3017" t="s">
        <v>14</v>
      </c>
      <c r="J3017" t="s">
        <v>138</v>
      </c>
      <c r="K3017" s="12">
        <f>Store_Record[[#This Row],[Qty]]*Store_Record[[#This Row],[UnitPriceGBP]]</f>
        <v>15.2</v>
      </c>
      <c r="L3017" s="5" t="str">
        <f>TEXT(Store_Record[[#This Row],[Date]],"dddd")</f>
        <v>Friday</v>
      </c>
      <c r="M3017" s="5" t="str">
        <f>TEXT(Store_Record[[#This Row],[Date]],"mmmm")</f>
        <v>August</v>
      </c>
      <c r="N3017" s="5">
        <f>YEAR(Store_Record[[#This Row],[Date]])</f>
        <v>2025</v>
      </c>
      <c r="O3017"/>
    </row>
    <row r="3018" spans="1:15" x14ac:dyDescent="0.35">
      <c r="A3018" t="s">
        <v>3978</v>
      </c>
      <c r="B3018" s="2">
        <v>45877</v>
      </c>
      <c r="C3018" t="s">
        <v>36</v>
      </c>
      <c r="D3018" t="s">
        <v>25</v>
      </c>
      <c r="E3018" t="s">
        <v>30</v>
      </c>
      <c r="F3018" t="s">
        <v>31</v>
      </c>
      <c r="G3018">
        <v>5</v>
      </c>
      <c r="H3018">
        <v>2.8</v>
      </c>
      <c r="I3018" t="s">
        <v>39</v>
      </c>
      <c r="J3018" t="s">
        <v>2634</v>
      </c>
      <c r="K3018" s="12">
        <f>Store_Record[[#This Row],[Qty]]*Store_Record[[#This Row],[UnitPriceGBP]]</f>
        <v>14</v>
      </c>
      <c r="L3018" s="5" t="str">
        <f>TEXT(Store_Record[[#This Row],[Date]],"dddd")</f>
        <v>Friday</v>
      </c>
      <c r="M3018" s="5" t="str">
        <f>TEXT(Store_Record[[#This Row],[Date]],"mmmm")</f>
        <v>August</v>
      </c>
      <c r="N3018" s="5">
        <f>YEAR(Store_Record[[#This Row],[Date]])</f>
        <v>2025</v>
      </c>
      <c r="O3018"/>
    </row>
    <row r="3019" spans="1:15" x14ac:dyDescent="0.35">
      <c r="A3019" t="s">
        <v>3999</v>
      </c>
      <c r="B3019" s="2">
        <v>45877</v>
      </c>
      <c r="C3019" t="s">
        <v>20</v>
      </c>
      <c r="D3019" t="s">
        <v>25</v>
      </c>
      <c r="E3019" t="s">
        <v>26</v>
      </c>
      <c r="F3019" t="s">
        <v>13</v>
      </c>
      <c r="G3019">
        <v>4</v>
      </c>
      <c r="H3019">
        <v>3.5</v>
      </c>
      <c r="I3019" t="s">
        <v>21</v>
      </c>
      <c r="J3019" t="s">
        <v>734</v>
      </c>
      <c r="K3019" s="12">
        <f>Store_Record[[#This Row],[Qty]]*Store_Record[[#This Row],[UnitPriceGBP]]</f>
        <v>14</v>
      </c>
      <c r="L3019" s="5" t="str">
        <f>TEXT(Store_Record[[#This Row],[Date]],"dddd")</f>
        <v>Friday</v>
      </c>
      <c r="M3019" s="5" t="str">
        <f>TEXT(Store_Record[[#This Row],[Date]],"mmmm")</f>
        <v>August</v>
      </c>
      <c r="N3019" s="5">
        <f>YEAR(Store_Record[[#This Row],[Date]])</f>
        <v>2025</v>
      </c>
      <c r="O3019"/>
    </row>
    <row r="3020" spans="1:15" x14ac:dyDescent="0.35">
      <c r="A3020" t="s">
        <v>3998</v>
      </c>
      <c r="B3020" s="2">
        <v>45877</v>
      </c>
      <c r="C3020" t="s">
        <v>24</v>
      </c>
      <c r="D3020" t="s">
        <v>29</v>
      </c>
      <c r="E3020" t="s">
        <v>12</v>
      </c>
      <c r="F3020" t="s">
        <v>13</v>
      </c>
      <c r="G3020">
        <v>5</v>
      </c>
      <c r="H3020">
        <v>2.5</v>
      </c>
      <c r="I3020" t="s">
        <v>14</v>
      </c>
      <c r="J3020" t="s">
        <v>202</v>
      </c>
      <c r="K3020" s="12">
        <f>Store_Record[[#This Row],[Qty]]*Store_Record[[#This Row],[UnitPriceGBP]]</f>
        <v>12.5</v>
      </c>
      <c r="L3020" s="5" t="str">
        <f>TEXT(Store_Record[[#This Row],[Date]],"dddd")</f>
        <v>Friday</v>
      </c>
      <c r="M3020" s="5" t="str">
        <f>TEXT(Store_Record[[#This Row],[Date]],"mmmm")</f>
        <v>August</v>
      </c>
      <c r="N3020" s="5">
        <f>YEAR(Store_Record[[#This Row],[Date]])</f>
        <v>2025</v>
      </c>
      <c r="O3020"/>
    </row>
    <row r="3021" spans="1:15" x14ac:dyDescent="0.35">
      <c r="A3021" t="s">
        <v>3980</v>
      </c>
      <c r="B3021" s="2">
        <v>45877</v>
      </c>
      <c r="C3021" t="s">
        <v>20</v>
      </c>
      <c r="D3021" t="s">
        <v>38</v>
      </c>
      <c r="E3021" t="s">
        <v>42</v>
      </c>
      <c r="F3021" t="s">
        <v>13</v>
      </c>
      <c r="G3021">
        <v>3</v>
      </c>
      <c r="H3021">
        <v>3.8</v>
      </c>
      <c r="I3021" t="s">
        <v>39</v>
      </c>
      <c r="J3021" t="s">
        <v>111</v>
      </c>
      <c r="K3021" s="12">
        <f>Store_Record[[#This Row],[Qty]]*Store_Record[[#This Row],[UnitPriceGBP]]</f>
        <v>11.399999999999999</v>
      </c>
      <c r="L3021" s="5" t="str">
        <f>TEXT(Store_Record[[#This Row],[Date]],"dddd")</f>
        <v>Friday</v>
      </c>
      <c r="M3021" s="5" t="str">
        <f>TEXT(Store_Record[[#This Row],[Date]],"mmmm")</f>
        <v>August</v>
      </c>
      <c r="N3021" s="5">
        <f>YEAR(Store_Record[[#This Row],[Date]])</f>
        <v>2025</v>
      </c>
      <c r="O3021"/>
    </row>
    <row r="3022" spans="1:15" x14ac:dyDescent="0.35">
      <c r="A3022" t="s">
        <v>3989</v>
      </c>
      <c r="B3022" s="2">
        <v>45877</v>
      </c>
      <c r="C3022" t="s">
        <v>24</v>
      </c>
      <c r="D3022" t="s">
        <v>47</v>
      </c>
      <c r="E3022" t="s">
        <v>30</v>
      </c>
      <c r="F3022" t="s">
        <v>31</v>
      </c>
      <c r="G3022">
        <v>4</v>
      </c>
      <c r="H3022">
        <v>2.8</v>
      </c>
      <c r="I3022" t="s">
        <v>21</v>
      </c>
      <c r="J3022" t="s">
        <v>284</v>
      </c>
      <c r="K3022" s="12">
        <f>Store_Record[[#This Row],[Qty]]*Store_Record[[#This Row],[UnitPriceGBP]]</f>
        <v>11.2</v>
      </c>
      <c r="L3022" s="5" t="str">
        <f>TEXT(Store_Record[[#This Row],[Date]],"dddd")</f>
        <v>Friday</v>
      </c>
      <c r="M3022" s="5" t="str">
        <f>TEXT(Store_Record[[#This Row],[Date]],"mmmm")</f>
        <v>August</v>
      </c>
      <c r="N3022" s="5">
        <f>YEAR(Store_Record[[#This Row],[Date]])</f>
        <v>2025</v>
      </c>
      <c r="O3022"/>
    </row>
    <row r="3023" spans="1:15" x14ac:dyDescent="0.35">
      <c r="A3023" t="s">
        <v>3991</v>
      </c>
      <c r="B3023" s="2">
        <v>45877</v>
      </c>
      <c r="C3023" t="s">
        <v>24</v>
      </c>
      <c r="D3023" t="s">
        <v>47</v>
      </c>
      <c r="E3023" t="s">
        <v>30</v>
      </c>
      <c r="F3023" t="s">
        <v>31</v>
      </c>
      <c r="G3023">
        <v>4</v>
      </c>
      <c r="H3023">
        <v>2.8</v>
      </c>
      <c r="I3023" t="s">
        <v>21</v>
      </c>
      <c r="J3023" t="s">
        <v>634</v>
      </c>
      <c r="K3023" s="12">
        <f>Store_Record[[#This Row],[Qty]]*Store_Record[[#This Row],[UnitPriceGBP]]</f>
        <v>11.2</v>
      </c>
      <c r="L3023" s="5" t="str">
        <f>TEXT(Store_Record[[#This Row],[Date]],"dddd")</f>
        <v>Friday</v>
      </c>
      <c r="M3023" s="5" t="str">
        <f>TEXT(Store_Record[[#This Row],[Date]],"mmmm")</f>
        <v>August</v>
      </c>
      <c r="N3023" s="5">
        <f>YEAR(Store_Record[[#This Row],[Date]])</f>
        <v>2025</v>
      </c>
      <c r="O3023"/>
    </row>
    <row r="3024" spans="1:15" x14ac:dyDescent="0.35">
      <c r="A3024" t="s">
        <v>3987</v>
      </c>
      <c r="B3024" s="2">
        <v>45877</v>
      </c>
      <c r="C3024" t="s">
        <v>10</v>
      </c>
      <c r="D3024" t="s">
        <v>25</v>
      </c>
      <c r="E3024" t="s">
        <v>34</v>
      </c>
      <c r="F3024" t="s">
        <v>31</v>
      </c>
      <c r="G3024">
        <v>4</v>
      </c>
      <c r="H3024">
        <v>2.2000000000000002</v>
      </c>
      <c r="I3024" t="s">
        <v>21</v>
      </c>
      <c r="J3024" t="s">
        <v>3988</v>
      </c>
      <c r="K3024" s="12">
        <f>Store_Record[[#This Row],[Qty]]*Store_Record[[#This Row],[UnitPriceGBP]]</f>
        <v>8.8000000000000007</v>
      </c>
      <c r="L3024" s="5" t="str">
        <f>TEXT(Store_Record[[#This Row],[Date]],"dddd")</f>
        <v>Friday</v>
      </c>
      <c r="M3024" s="5" t="str">
        <f>TEXT(Store_Record[[#This Row],[Date]],"mmmm")</f>
        <v>August</v>
      </c>
      <c r="N3024" s="5">
        <f>YEAR(Store_Record[[#This Row],[Date]])</f>
        <v>2025</v>
      </c>
      <c r="O3024"/>
    </row>
    <row r="3025" spans="1:15" x14ac:dyDescent="0.35">
      <c r="A3025" t="s">
        <v>3995</v>
      </c>
      <c r="B3025" s="2">
        <v>45877</v>
      </c>
      <c r="C3025" t="s">
        <v>10</v>
      </c>
      <c r="D3025" t="s">
        <v>29</v>
      </c>
      <c r="E3025" t="s">
        <v>42</v>
      </c>
      <c r="F3025" t="s">
        <v>13</v>
      </c>
      <c r="G3025">
        <v>2</v>
      </c>
      <c r="H3025">
        <v>3.8</v>
      </c>
      <c r="I3025" t="s">
        <v>14</v>
      </c>
      <c r="J3025" t="s">
        <v>795</v>
      </c>
      <c r="K3025" s="12">
        <f>Store_Record[[#This Row],[Qty]]*Store_Record[[#This Row],[UnitPriceGBP]]</f>
        <v>7.6</v>
      </c>
      <c r="L3025" s="5" t="str">
        <f>TEXT(Store_Record[[#This Row],[Date]],"dddd")</f>
        <v>Friday</v>
      </c>
      <c r="M3025" s="5" t="str">
        <f>TEXT(Store_Record[[#This Row],[Date]],"mmmm")</f>
        <v>August</v>
      </c>
      <c r="N3025" s="5">
        <f>YEAR(Store_Record[[#This Row],[Date]])</f>
        <v>2025</v>
      </c>
      <c r="O3025"/>
    </row>
    <row r="3026" spans="1:15" x14ac:dyDescent="0.35">
      <c r="A3026" t="s">
        <v>3997</v>
      </c>
      <c r="B3026" s="2">
        <v>45877</v>
      </c>
      <c r="C3026" t="s">
        <v>24</v>
      </c>
      <c r="D3026" t="s">
        <v>29</v>
      </c>
      <c r="E3026" t="s">
        <v>42</v>
      </c>
      <c r="F3026" t="s">
        <v>13</v>
      </c>
      <c r="G3026">
        <v>2</v>
      </c>
      <c r="H3026">
        <v>3.8</v>
      </c>
      <c r="I3026" t="s">
        <v>39</v>
      </c>
      <c r="J3026" t="s">
        <v>732</v>
      </c>
      <c r="K3026" s="12">
        <f>Store_Record[[#This Row],[Qty]]*Store_Record[[#This Row],[UnitPriceGBP]]</f>
        <v>7.6</v>
      </c>
      <c r="L3026" s="5" t="str">
        <f>TEXT(Store_Record[[#This Row],[Date]],"dddd")</f>
        <v>Friday</v>
      </c>
      <c r="M3026" s="5" t="str">
        <f>TEXT(Store_Record[[#This Row],[Date]],"mmmm")</f>
        <v>August</v>
      </c>
      <c r="N3026" s="5">
        <f>YEAR(Store_Record[[#This Row],[Date]])</f>
        <v>2025</v>
      </c>
      <c r="O3026"/>
    </row>
    <row r="3027" spans="1:15" x14ac:dyDescent="0.35">
      <c r="A3027" t="s">
        <v>3983</v>
      </c>
      <c r="B3027" s="2">
        <v>45877</v>
      </c>
      <c r="C3027" t="s">
        <v>20</v>
      </c>
      <c r="D3027" t="s">
        <v>38</v>
      </c>
      <c r="E3027" t="s">
        <v>12</v>
      </c>
      <c r="F3027" t="s">
        <v>13</v>
      </c>
      <c r="G3027">
        <v>3</v>
      </c>
      <c r="H3027">
        <v>2.5</v>
      </c>
      <c r="I3027" t="s">
        <v>14</v>
      </c>
      <c r="J3027" t="s">
        <v>1214</v>
      </c>
      <c r="K3027" s="12">
        <f>Store_Record[[#This Row],[Qty]]*Store_Record[[#This Row],[UnitPriceGBP]]</f>
        <v>7.5</v>
      </c>
      <c r="L3027" s="5" t="str">
        <f>TEXT(Store_Record[[#This Row],[Date]],"dddd")</f>
        <v>Friday</v>
      </c>
      <c r="M3027" s="5" t="str">
        <f>TEXT(Store_Record[[#This Row],[Date]],"mmmm")</f>
        <v>August</v>
      </c>
      <c r="N3027" s="5">
        <f>YEAR(Store_Record[[#This Row],[Date]])</f>
        <v>2025</v>
      </c>
      <c r="O3027"/>
    </row>
    <row r="3028" spans="1:15" x14ac:dyDescent="0.35">
      <c r="A3028" t="s">
        <v>3979</v>
      </c>
      <c r="B3028" s="2">
        <v>45877</v>
      </c>
      <c r="C3028" t="s">
        <v>36</v>
      </c>
      <c r="D3028" t="s">
        <v>29</v>
      </c>
      <c r="E3028" t="s">
        <v>26</v>
      </c>
      <c r="F3028" t="s">
        <v>13</v>
      </c>
      <c r="G3028">
        <v>2</v>
      </c>
      <c r="H3028">
        <v>3.5</v>
      </c>
      <c r="I3028" t="s">
        <v>39</v>
      </c>
      <c r="J3028" t="s">
        <v>1985</v>
      </c>
      <c r="K3028" s="12">
        <f>Store_Record[[#This Row],[Qty]]*Store_Record[[#This Row],[UnitPriceGBP]]</f>
        <v>7</v>
      </c>
      <c r="L3028" s="5" t="str">
        <f>TEXT(Store_Record[[#This Row],[Date]],"dddd")</f>
        <v>Friday</v>
      </c>
      <c r="M3028" s="5" t="str">
        <f>TEXT(Store_Record[[#This Row],[Date]],"mmmm")</f>
        <v>August</v>
      </c>
      <c r="N3028" s="5">
        <f>YEAR(Store_Record[[#This Row],[Date]])</f>
        <v>2025</v>
      </c>
      <c r="O3028"/>
    </row>
    <row r="3029" spans="1:15" x14ac:dyDescent="0.35">
      <c r="A3029" t="s">
        <v>3981</v>
      </c>
      <c r="B3029" s="2">
        <v>45877</v>
      </c>
      <c r="C3029" t="s">
        <v>10</v>
      </c>
      <c r="D3029" t="s">
        <v>29</v>
      </c>
      <c r="E3029" t="s">
        <v>26</v>
      </c>
      <c r="F3029" t="s">
        <v>13</v>
      </c>
      <c r="G3029">
        <v>2</v>
      </c>
      <c r="H3029">
        <v>3.5</v>
      </c>
      <c r="I3029" t="s">
        <v>21</v>
      </c>
      <c r="J3029" t="s">
        <v>1556</v>
      </c>
      <c r="K3029" s="12">
        <f>Store_Record[[#This Row],[Qty]]*Store_Record[[#This Row],[UnitPriceGBP]]</f>
        <v>7</v>
      </c>
      <c r="L3029" s="5" t="str">
        <f>TEXT(Store_Record[[#This Row],[Date]],"dddd")</f>
        <v>Friday</v>
      </c>
      <c r="M3029" s="5" t="str">
        <f>TEXT(Store_Record[[#This Row],[Date]],"mmmm")</f>
        <v>August</v>
      </c>
      <c r="N3029" s="5">
        <f>YEAR(Store_Record[[#This Row],[Date]])</f>
        <v>2025</v>
      </c>
      <c r="O3029"/>
    </row>
    <row r="3030" spans="1:15" x14ac:dyDescent="0.35">
      <c r="A3030" t="s">
        <v>3994</v>
      </c>
      <c r="B3030" s="2">
        <v>45877</v>
      </c>
      <c r="C3030" t="s">
        <v>10</v>
      </c>
      <c r="D3030" t="s">
        <v>38</v>
      </c>
      <c r="E3030" t="s">
        <v>34</v>
      </c>
      <c r="F3030" t="s">
        <v>31</v>
      </c>
      <c r="G3030">
        <v>3</v>
      </c>
      <c r="H3030">
        <v>2.2000000000000002</v>
      </c>
      <c r="I3030" t="s">
        <v>21</v>
      </c>
      <c r="J3030" t="s">
        <v>159</v>
      </c>
      <c r="K3030" s="12">
        <f>Store_Record[[#This Row],[Qty]]*Store_Record[[#This Row],[UnitPriceGBP]]</f>
        <v>6.6000000000000005</v>
      </c>
      <c r="L3030" s="5" t="str">
        <f>TEXT(Store_Record[[#This Row],[Date]],"dddd")</f>
        <v>Friday</v>
      </c>
      <c r="M3030" s="5" t="str">
        <f>TEXT(Store_Record[[#This Row],[Date]],"mmmm")</f>
        <v>August</v>
      </c>
      <c r="N3030" s="5">
        <f>YEAR(Store_Record[[#This Row],[Date]])</f>
        <v>2025</v>
      </c>
      <c r="O3030"/>
    </row>
    <row r="3031" spans="1:15" x14ac:dyDescent="0.35">
      <c r="A3031" t="s">
        <v>3986</v>
      </c>
      <c r="B3031" s="2">
        <v>45877</v>
      </c>
      <c r="C3031" t="s">
        <v>10</v>
      </c>
      <c r="D3031" t="s">
        <v>25</v>
      </c>
      <c r="E3031" t="s">
        <v>30</v>
      </c>
      <c r="F3031" t="s">
        <v>31</v>
      </c>
      <c r="G3031">
        <v>2</v>
      </c>
      <c r="H3031">
        <v>2.8</v>
      </c>
      <c r="I3031" t="s">
        <v>21</v>
      </c>
      <c r="J3031" t="s">
        <v>1743</v>
      </c>
      <c r="K3031" s="12">
        <f>Store_Record[[#This Row],[Qty]]*Store_Record[[#This Row],[UnitPriceGBP]]</f>
        <v>5.6</v>
      </c>
      <c r="L3031" s="5" t="str">
        <f>TEXT(Store_Record[[#This Row],[Date]],"dddd")</f>
        <v>Friday</v>
      </c>
      <c r="M3031" s="5" t="str">
        <f>TEXT(Store_Record[[#This Row],[Date]],"mmmm")</f>
        <v>August</v>
      </c>
      <c r="N3031" s="5">
        <f>YEAR(Store_Record[[#This Row],[Date]])</f>
        <v>2025</v>
      </c>
      <c r="O3031"/>
    </row>
    <row r="3032" spans="1:15" x14ac:dyDescent="0.35">
      <c r="A3032" t="s">
        <v>3992</v>
      </c>
      <c r="B3032" s="2">
        <v>45877</v>
      </c>
      <c r="C3032" t="s">
        <v>10</v>
      </c>
      <c r="D3032" t="s">
        <v>11</v>
      </c>
      <c r="E3032" t="s">
        <v>30</v>
      </c>
      <c r="F3032" t="s">
        <v>31</v>
      </c>
      <c r="G3032">
        <v>2</v>
      </c>
      <c r="H3032">
        <v>2.8</v>
      </c>
      <c r="I3032" t="s">
        <v>39</v>
      </c>
      <c r="J3032" t="s">
        <v>1651</v>
      </c>
      <c r="K3032" s="12">
        <f>Store_Record[[#This Row],[Qty]]*Store_Record[[#This Row],[UnitPriceGBP]]</f>
        <v>5.6</v>
      </c>
      <c r="L3032" s="5" t="str">
        <f>TEXT(Store_Record[[#This Row],[Date]],"dddd")</f>
        <v>Friday</v>
      </c>
      <c r="M3032" s="5" t="str">
        <f>TEXT(Store_Record[[#This Row],[Date]],"mmmm")</f>
        <v>August</v>
      </c>
      <c r="N3032" s="5">
        <f>YEAR(Store_Record[[#This Row],[Date]])</f>
        <v>2025</v>
      </c>
      <c r="O3032"/>
    </row>
    <row r="3033" spans="1:15" x14ac:dyDescent="0.35">
      <c r="A3033" t="s">
        <v>3985</v>
      </c>
      <c r="B3033" s="2">
        <v>45877</v>
      </c>
      <c r="C3033" t="s">
        <v>20</v>
      </c>
      <c r="D3033" t="s">
        <v>25</v>
      </c>
      <c r="E3033" t="s">
        <v>12</v>
      </c>
      <c r="F3033" t="s">
        <v>13</v>
      </c>
      <c r="G3033">
        <v>2</v>
      </c>
      <c r="H3033">
        <v>2.5</v>
      </c>
      <c r="I3033" t="s">
        <v>21</v>
      </c>
      <c r="J3033" t="s">
        <v>2003</v>
      </c>
      <c r="K3033" s="12">
        <f>Store_Record[[#This Row],[Qty]]*Store_Record[[#This Row],[UnitPriceGBP]]</f>
        <v>5</v>
      </c>
      <c r="L3033" s="5" t="str">
        <f>TEXT(Store_Record[[#This Row],[Date]],"dddd")</f>
        <v>Friday</v>
      </c>
      <c r="M3033" s="5" t="str">
        <f>TEXT(Store_Record[[#This Row],[Date]],"mmmm")</f>
        <v>August</v>
      </c>
      <c r="N3033" s="5">
        <f>YEAR(Store_Record[[#This Row],[Date]])</f>
        <v>2025</v>
      </c>
      <c r="O3033"/>
    </row>
    <row r="3034" spans="1:15" x14ac:dyDescent="0.35">
      <c r="A3034" t="s">
        <v>3982</v>
      </c>
      <c r="B3034" s="2">
        <v>45877</v>
      </c>
      <c r="C3034" t="s">
        <v>20</v>
      </c>
      <c r="D3034" t="s">
        <v>47</v>
      </c>
      <c r="E3034" t="s">
        <v>34</v>
      </c>
      <c r="F3034" t="s">
        <v>31</v>
      </c>
      <c r="G3034">
        <v>2</v>
      </c>
      <c r="H3034">
        <v>2.2000000000000002</v>
      </c>
      <c r="I3034" t="s">
        <v>21</v>
      </c>
      <c r="J3034" t="s">
        <v>1389</v>
      </c>
      <c r="K3034" s="12">
        <f>Store_Record[[#This Row],[Qty]]*Store_Record[[#This Row],[UnitPriceGBP]]</f>
        <v>4.4000000000000004</v>
      </c>
      <c r="L3034" s="5" t="str">
        <f>TEXT(Store_Record[[#This Row],[Date]],"dddd")</f>
        <v>Friday</v>
      </c>
      <c r="M3034" s="5" t="str">
        <f>TEXT(Store_Record[[#This Row],[Date]],"mmmm")</f>
        <v>August</v>
      </c>
      <c r="N3034" s="5">
        <f>YEAR(Store_Record[[#This Row],[Date]])</f>
        <v>2025</v>
      </c>
      <c r="O3034"/>
    </row>
    <row r="3035" spans="1:15" x14ac:dyDescent="0.35">
      <c r="A3035" t="s">
        <v>3990</v>
      </c>
      <c r="B3035" s="2">
        <v>45877</v>
      </c>
      <c r="C3035" t="s">
        <v>10</v>
      </c>
      <c r="D3035" t="s">
        <v>38</v>
      </c>
      <c r="E3035" t="s">
        <v>26</v>
      </c>
      <c r="F3035" t="s">
        <v>13</v>
      </c>
      <c r="G3035">
        <v>1</v>
      </c>
      <c r="H3035">
        <v>3.5</v>
      </c>
      <c r="I3035" t="s">
        <v>14</v>
      </c>
      <c r="J3035" t="s">
        <v>3759</v>
      </c>
      <c r="K3035" s="12">
        <f>Store_Record[[#This Row],[Qty]]*Store_Record[[#This Row],[UnitPriceGBP]]</f>
        <v>3.5</v>
      </c>
      <c r="L3035" s="5" t="str">
        <f>TEXT(Store_Record[[#This Row],[Date]],"dddd")</f>
        <v>Friday</v>
      </c>
      <c r="M3035" s="5" t="str">
        <f>TEXT(Store_Record[[#This Row],[Date]],"mmmm")</f>
        <v>August</v>
      </c>
      <c r="N3035" s="5">
        <f>YEAR(Store_Record[[#This Row],[Date]])</f>
        <v>2025</v>
      </c>
      <c r="O3035"/>
    </row>
    <row r="3036" spans="1:15" x14ac:dyDescent="0.35">
      <c r="A3036" t="s">
        <v>3996</v>
      </c>
      <c r="B3036" s="2">
        <v>45877</v>
      </c>
      <c r="C3036" t="s">
        <v>10</v>
      </c>
      <c r="D3036" t="s">
        <v>38</v>
      </c>
      <c r="E3036" t="s">
        <v>12</v>
      </c>
      <c r="F3036" t="s">
        <v>13</v>
      </c>
      <c r="G3036">
        <v>1</v>
      </c>
      <c r="H3036">
        <v>2.5</v>
      </c>
      <c r="I3036" t="s">
        <v>39</v>
      </c>
      <c r="J3036" t="s">
        <v>64</v>
      </c>
      <c r="K3036" s="12">
        <f>Store_Record[[#This Row],[Qty]]*Store_Record[[#This Row],[UnitPriceGBP]]</f>
        <v>2.5</v>
      </c>
      <c r="L3036" s="5" t="str">
        <f>TEXT(Store_Record[[#This Row],[Date]],"dddd")</f>
        <v>Friday</v>
      </c>
      <c r="M3036" s="5" t="str">
        <f>TEXT(Store_Record[[#This Row],[Date]],"mmmm")</f>
        <v>August</v>
      </c>
      <c r="N3036" s="5">
        <f>YEAR(Store_Record[[#This Row],[Date]])</f>
        <v>2025</v>
      </c>
      <c r="O3036"/>
    </row>
    <row r="3037" spans="1:15" x14ac:dyDescent="0.35">
      <c r="A3037" t="s">
        <v>3984</v>
      </c>
      <c r="B3037" s="2">
        <v>45877</v>
      </c>
      <c r="C3037" t="s">
        <v>24</v>
      </c>
      <c r="D3037" t="s">
        <v>47</v>
      </c>
      <c r="E3037" t="s">
        <v>34</v>
      </c>
      <c r="F3037" t="s">
        <v>31</v>
      </c>
      <c r="G3037">
        <v>1</v>
      </c>
      <c r="H3037">
        <v>2.2000000000000002</v>
      </c>
      <c r="I3037" t="s">
        <v>14</v>
      </c>
      <c r="J3037" t="s">
        <v>2216</v>
      </c>
      <c r="K3037" s="12">
        <f>Store_Record[[#This Row],[Qty]]*Store_Record[[#This Row],[UnitPriceGBP]]</f>
        <v>2.2000000000000002</v>
      </c>
      <c r="L3037" s="5" t="str">
        <f>TEXT(Store_Record[[#This Row],[Date]],"dddd")</f>
        <v>Friday</v>
      </c>
      <c r="M3037" s="5" t="str">
        <f>TEXT(Store_Record[[#This Row],[Date]],"mmmm")</f>
        <v>August</v>
      </c>
      <c r="N3037" s="5">
        <f>YEAR(Store_Record[[#This Row],[Date]])</f>
        <v>2025</v>
      </c>
      <c r="O3037"/>
    </row>
    <row r="3038" spans="1:15" x14ac:dyDescent="0.35">
      <c r="A3038" t="s">
        <v>4007</v>
      </c>
      <c r="B3038" s="2">
        <v>45878</v>
      </c>
      <c r="C3038" t="s">
        <v>20</v>
      </c>
      <c r="D3038" t="s">
        <v>25</v>
      </c>
      <c r="E3038" t="s">
        <v>42</v>
      </c>
      <c r="F3038" t="s">
        <v>13</v>
      </c>
      <c r="G3038">
        <v>5</v>
      </c>
      <c r="H3038">
        <v>3.8</v>
      </c>
      <c r="I3038" t="s">
        <v>14</v>
      </c>
      <c r="J3038" t="s">
        <v>2601</v>
      </c>
      <c r="K3038" s="12">
        <f>Store_Record[[#This Row],[Qty]]*Store_Record[[#This Row],[UnitPriceGBP]]</f>
        <v>19</v>
      </c>
      <c r="L3038" s="5" t="str">
        <f>TEXT(Store_Record[[#This Row],[Date]],"dddd")</f>
        <v>Saturday</v>
      </c>
      <c r="M3038" s="5" t="str">
        <f>TEXT(Store_Record[[#This Row],[Date]],"mmmm")</f>
        <v>August</v>
      </c>
      <c r="N3038" s="5">
        <f>YEAR(Store_Record[[#This Row],[Date]])</f>
        <v>2025</v>
      </c>
      <c r="O3038"/>
    </row>
    <row r="3039" spans="1:15" x14ac:dyDescent="0.35">
      <c r="A3039" t="s">
        <v>4010</v>
      </c>
      <c r="B3039" s="2">
        <v>45878</v>
      </c>
      <c r="C3039" t="s">
        <v>20</v>
      </c>
      <c r="D3039" t="s">
        <v>38</v>
      </c>
      <c r="E3039" t="s">
        <v>42</v>
      </c>
      <c r="F3039" t="s">
        <v>13</v>
      </c>
      <c r="G3039">
        <v>5</v>
      </c>
      <c r="H3039">
        <v>3.8</v>
      </c>
      <c r="I3039" t="s">
        <v>39</v>
      </c>
      <c r="J3039" t="s">
        <v>3531</v>
      </c>
      <c r="K3039" s="12">
        <f>Store_Record[[#This Row],[Qty]]*Store_Record[[#This Row],[UnitPriceGBP]]</f>
        <v>19</v>
      </c>
      <c r="L3039" s="5" t="str">
        <f>TEXT(Store_Record[[#This Row],[Date]],"dddd")</f>
        <v>Saturday</v>
      </c>
      <c r="M3039" s="5" t="str">
        <f>TEXT(Store_Record[[#This Row],[Date]],"mmmm")</f>
        <v>August</v>
      </c>
      <c r="N3039" s="5">
        <f>YEAR(Store_Record[[#This Row],[Date]])</f>
        <v>2025</v>
      </c>
      <c r="O3039"/>
    </row>
    <row r="3040" spans="1:15" x14ac:dyDescent="0.35">
      <c r="A3040" t="s">
        <v>4012</v>
      </c>
      <c r="B3040" s="2">
        <v>45878</v>
      </c>
      <c r="C3040" t="s">
        <v>10</v>
      </c>
      <c r="D3040" t="s">
        <v>11</v>
      </c>
      <c r="E3040" t="s">
        <v>26</v>
      </c>
      <c r="F3040" t="s">
        <v>13</v>
      </c>
      <c r="G3040">
        <v>5</v>
      </c>
      <c r="H3040">
        <v>3.5</v>
      </c>
      <c r="I3040" t="s">
        <v>14</v>
      </c>
      <c r="J3040" t="s">
        <v>1280</v>
      </c>
      <c r="K3040" s="12">
        <f>Store_Record[[#This Row],[Qty]]*Store_Record[[#This Row],[UnitPriceGBP]]</f>
        <v>17.5</v>
      </c>
      <c r="L3040" s="5" t="str">
        <f>TEXT(Store_Record[[#This Row],[Date]],"dddd")</f>
        <v>Saturday</v>
      </c>
      <c r="M3040" s="5" t="str">
        <f>TEXT(Store_Record[[#This Row],[Date]],"mmmm")</f>
        <v>August</v>
      </c>
      <c r="N3040" s="5">
        <f>YEAR(Store_Record[[#This Row],[Date]])</f>
        <v>2025</v>
      </c>
      <c r="O3040"/>
    </row>
    <row r="3041" spans="1:15" x14ac:dyDescent="0.35">
      <c r="A3041" t="s">
        <v>4006</v>
      </c>
      <c r="B3041" s="2">
        <v>45878</v>
      </c>
      <c r="C3041" t="s">
        <v>36</v>
      </c>
      <c r="D3041" t="s">
        <v>29</v>
      </c>
      <c r="E3041" t="s">
        <v>42</v>
      </c>
      <c r="F3041" t="s">
        <v>13</v>
      </c>
      <c r="G3041">
        <v>3</v>
      </c>
      <c r="H3041">
        <v>3.8</v>
      </c>
      <c r="I3041" t="s">
        <v>39</v>
      </c>
      <c r="J3041" t="s">
        <v>1504</v>
      </c>
      <c r="K3041" s="12">
        <f>Store_Record[[#This Row],[Qty]]*Store_Record[[#This Row],[UnitPriceGBP]]</f>
        <v>11.399999999999999</v>
      </c>
      <c r="L3041" s="5" t="str">
        <f>TEXT(Store_Record[[#This Row],[Date]],"dddd")</f>
        <v>Saturday</v>
      </c>
      <c r="M3041" s="5" t="str">
        <f>TEXT(Store_Record[[#This Row],[Date]],"mmmm")</f>
        <v>August</v>
      </c>
      <c r="N3041" s="5">
        <f>YEAR(Store_Record[[#This Row],[Date]])</f>
        <v>2025</v>
      </c>
      <c r="O3041"/>
    </row>
    <row r="3042" spans="1:15" x14ac:dyDescent="0.35">
      <c r="A3042" t="s">
        <v>4014</v>
      </c>
      <c r="B3042" s="2">
        <v>45878</v>
      </c>
      <c r="C3042" t="s">
        <v>24</v>
      </c>
      <c r="D3042" t="s">
        <v>38</v>
      </c>
      <c r="E3042" t="s">
        <v>12</v>
      </c>
      <c r="F3042" t="s">
        <v>13</v>
      </c>
      <c r="G3042">
        <v>4</v>
      </c>
      <c r="H3042">
        <v>2.5</v>
      </c>
      <c r="I3042" t="s">
        <v>14</v>
      </c>
      <c r="J3042" t="s">
        <v>1300</v>
      </c>
      <c r="K3042" s="12">
        <f>Store_Record[[#This Row],[Qty]]*Store_Record[[#This Row],[UnitPriceGBP]]</f>
        <v>10</v>
      </c>
      <c r="L3042" s="5" t="str">
        <f>TEXT(Store_Record[[#This Row],[Date]],"dddd")</f>
        <v>Saturday</v>
      </c>
      <c r="M3042" s="5" t="str">
        <f>TEXT(Store_Record[[#This Row],[Date]],"mmmm")</f>
        <v>August</v>
      </c>
      <c r="N3042" s="5">
        <f>YEAR(Store_Record[[#This Row],[Date]])</f>
        <v>2025</v>
      </c>
      <c r="O3042"/>
    </row>
    <row r="3043" spans="1:15" x14ac:dyDescent="0.35">
      <c r="A3043" t="s">
        <v>4004</v>
      </c>
      <c r="B3043" s="2">
        <v>45878</v>
      </c>
      <c r="C3043" t="s">
        <v>20</v>
      </c>
      <c r="D3043" t="s">
        <v>47</v>
      </c>
      <c r="E3043" t="s">
        <v>34</v>
      </c>
      <c r="F3043" t="s">
        <v>31</v>
      </c>
      <c r="G3043">
        <v>4</v>
      </c>
      <c r="H3043">
        <v>2.2000000000000002</v>
      </c>
      <c r="I3043" t="s">
        <v>39</v>
      </c>
      <c r="J3043" t="s">
        <v>504</v>
      </c>
      <c r="K3043" s="12">
        <f>Store_Record[[#This Row],[Qty]]*Store_Record[[#This Row],[UnitPriceGBP]]</f>
        <v>8.8000000000000007</v>
      </c>
      <c r="L3043" s="5" t="str">
        <f>TEXT(Store_Record[[#This Row],[Date]],"dddd")</f>
        <v>Saturday</v>
      </c>
      <c r="M3043" s="5" t="str">
        <f>TEXT(Store_Record[[#This Row],[Date]],"mmmm")</f>
        <v>August</v>
      </c>
      <c r="N3043" s="5">
        <f>YEAR(Store_Record[[#This Row],[Date]])</f>
        <v>2025</v>
      </c>
      <c r="O3043"/>
    </row>
    <row r="3044" spans="1:15" x14ac:dyDescent="0.35">
      <c r="A3044" t="s">
        <v>4003</v>
      </c>
      <c r="B3044" s="2">
        <v>45878</v>
      </c>
      <c r="C3044" t="s">
        <v>24</v>
      </c>
      <c r="D3044" t="s">
        <v>29</v>
      </c>
      <c r="E3044" t="s">
        <v>30</v>
      </c>
      <c r="F3044" t="s">
        <v>31</v>
      </c>
      <c r="G3044">
        <v>3</v>
      </c>
      <c r="H3044">
        <v>2.8</v>
      </c>
      <c r="I3044" t="s">
        <v>39</v>
      </c>
      <c r="J3044" t="s">
        <v>95</v>
      </c>
      <c r="K3044" s="12">
        <f>Store_Record[[#This Row],[Qty]]*Store_Record[[#This Row],[UnitPriceGBP]]</f>
        <v>8.3999999999999986</v>
      </c>
      <c r="L3044" s="5" t="str">
        <f>TEXT(Store_Record[[#This Row],[Date]],"dddd")</f>
        <v>Saturday</v>
      </c>
      <c r="M3044" s="5" t="str">
        <f>TEXT(Store_Record[[#This Row],[Date]],"mmmm")</f>
        <v>August</v>
      </c>
      <c r="N3044" s="5">
        <f>YEAR(Store_Record[[#This Row],[Date]])</f>
        <v>2025</v>
      </c>
      <c r="O3044"/>
    </row>
    <row r="3045" spans="1:15" x14ac:dyDescent="0.35">
      <c r="A3045" t="s">
        <v>4000</v>
      </c>
      <c r="B3045" s="2">
        <v>45878</v>
      </c>
      <c r="C3045" t="s">
        <v>36</v>
      </c>
      <c r="D3045" t="s">
        <v>38</v>
      </c>
      <c r="E3045" t="s">
        <v>42</v>
      </c>
      <c r="F3045" t="s">
        <v>13</v>
      </c>
      <c r="G3045">
        <v>2</v>
      </c>
      <c r="H3045">
        <v>3.8</v>
      </c>
      <c r="I3045" t="s">
        <v>39</v>
      </c>
      <c r="J3045" t="s">
        <v>390</v>
      </c>
      <c r="K3045" s="12">
        <f>Store_Record[[#This Row],[Qty]]*Store_Record[[#This Row],[UnitPriceGBP]]</f>
        <v>7.6</v>
      </c>
      <c r="L3045" s="5" t="str">
        <f>TEXT(Store_Record[[#This Row],[Date]],"dddd")</f>
        <v>Saturday</v>
      </c>
      <c r="M3045" s="5" t="str">
        <f>TEXT(Store_Record[[#This Row],[Date]],"mmmm")</f>
        <v>August</v>
      </c>
      <c r="N3045" s="5">
        <f>YEAR(Store_Record[[#This Row],[Date]])</f>
        <v>2025</v>
      </c>
      <c r="O3045"/>
    </row>
    <row r="3046" spans="1:15" x14ac:dyDescent="0.35">
      <c r="A3046" t="s">
        <v>4013</v>
      </c>
      <c r="B3046" s="2">
        <v>45878</v>
      </c>
      <c r="C3046" t="s">
        <v>36</v>
      </c>
      <c r="D3046" t="s">
        <v>11</v>
      </c>
      <c r="E3046" t="s">
        <v>12</v>
      </c>
      <c r="F3046" t="s">
        <v>13</v>
      </c>
      <c r="G3046">
        <v>3</v>
      </c>
      <c r="H3046">
        <v>2.5</v>
      </c>
      <c r="I3046" t="s">
        <v>14</v>
      </c>
      <c r="J3046" t="s">
        <v>1921</v>
      </c>
      <c r="K3046" s="12">
        <f>Store_Record[[#This Row],[Qty]]*Store_Record[[#This Row],[UnitPriceGBP]]</f>
        <v>7.5</v>
      </c>
      <c r="L3046" s="5" t="str">
        <f>TEXT(Store_Record[[#This Row],[Date]],"dddd")</f>
        <v>Saturday</v>
      </c>
      <c r="M3046" s="5" t="str">
        <f>TEXT(Store_Record[[#This Row],[Date]],"mmmm")</f>
        <v>August</v>
      </c>
      <c r="N3046" s="5">
        <f>YEAR(Store_Record[[#This Row],[Date]])</f>
        <v>2025</v>
      </c>
      <c r="O3046"/>
    </row>
    <row r="3047" spans="1:15" x14ac:dyDescent="0.35">
      <c r="A3047" t="s">
        <v>4011</v>
      </c>
      <c r="B3047" s="2">
        <v>45878</v>
      </c>
      <c r="C3047" t="s">
        <v>20</v>
      </c>
      <c r="D3047" t="s">
        <v>47</v>
      </c>
      <c r="E3047" t="s">
        <v>34</v>
      </c>
      <c r="F3047" t="s">
        <v>31</v>
      </c>
      <c r="G3047">
        <v>3</v>
      </c>
      <c r="H3047">
        <v>2.2000000000000002</v>
      </c>
      <c r="I3047" t="s">
        <v>39</v>
      </c>
      <c r="J3047" t="s">
        <v>388</v>
      </c>
      <c r="K3047" s="12">
        <f>Store_Record[[#This Row],[Qty]]*Store_Record[[#This Row],[UnitPriceGBP]]</f>
        <v>6.6000000000000005</v>
      </c>
      <c r="L3047" s="5" t="str">
        <f>TEXT(Store_Record[[#This Row],[Date]],"dddd")</f>
        <v>Saturday</v>
      </c>
      <c r="M3047" s="5" t="str">
        <f>TEXT(Store_Record[[#This Row],[Date]],"mmmm")</f>
        <v>August</v>
      </c>
      <c r="N3047" s="5">
        <f>YEAR(Store_Record[[#This Row],[Date]])</f>
        <v>2025</v>
      </c>
      <c r="O3047"/>
    </row>
    <row r="3048" spans="1:15" x14ac:dyDescent="0.35">
      <c r="A3048" t="s">
        <v>4008</v>
      </c>
      <c r="B3048" s="2">
        <v>45878</v>
      </c>
      <c r="C3048" t="s">
        <v>10</v>
      </c>
      <c r="D3048" t="s">
        <v>38</v>
      </c>
      <c r="E3048" t="s">
        <v>12</v>
      </c>
      <c r="F3048" t="s">
        <v>13</v>
      </c>
      <c r="G3048">
        <v>2</v>
      </c>
      <c r="H3048">
        <v>2.5</v>
      </c>
      <c r="I3048" t="s">
        <v>39</v>
      </c>
      <c r="J3048" t="s">
        <v>3033</v>
      </c>
      <c r="K3048" s="12">
        <f>Store_Record[[#This Row],[Qty]]*Store_Record[[#This Row],[UnitPriceGBP]]</f>
        <v>5</v>
      </c>
      <c r="L3048" s="5" t="str">
        <f>TEXT(Store_Record[[#This Row],[Date]],"dddd")</f>
        <v>Saturday</v>
      </c>
      <c r="M3048" s="5" t="str">
        <f>TEXT(Store_Record[[#This Row],[Date]],"mmmm")</f>
        <v>August</v>
      </c>
      <c r="N3048" s="5">
        <f>YEAR(Store_Record[[#This Row],[Date]])</f>
        <v>2025</v>
      </c>
      <c r="O3048"/>
    </row>
    <row r="3049" spans="1:15" x14ac:dyDescent="0.35">
      <c r="A3049" t="s">
        <v>4005</v>
      </c>
      <c r="B3049" s="2">
        <v>45878</v>
      </c>
      <c r="C3049" t="s">
        <v>10</v>
      </c>
      <c r="D3049" t="s">
        <v>29</v>
      </c>
      <c r="E3049" t="s">
        <v>42</v>
      </c>
      <c r="F3049" t="s">
        <v>13</v>
      </c>
      <c r="G3049">
        <v>1</v>
      </c>
      <c r="H3049">
        <v>3.8</v>
      </c>
      <c r="I3049" t="s">
        <v>21</v>
      </c>
      <c r="J3049" t="s">
        <v>1292</v>
      </c>
      <c r="K3049" s="12">
        <f>Store_Record[[#This Row],[Qty]]*Store_Record[[#This Row],[UnitPriceGBP]]</f>
        <v>3.8</v>
      </c>
      <c r="L3049" s="5" t="str">
        <f>TEXT(Store_Record[[#This Row],[Date]],"dddd")</f>
        <v>Saturday</v>
      </c>
      <c r="M3049" s="5" t="str">
        <f>TEXT(Store_Record[[#This Row],[Date]],"mmmm")</f>
        <v>August</v>
      </c>
      <c r="N3049" s="5">
        <f>YEAR(Store_Record[[#This Row],[Date]])</f>
        <v>2025</v>
      </c>
      <c r="O3049"/>
    </row>
    <row r="3050" spans="1:15" x14ac:dyDescent="0.35">
      <c r="A3050" t="s">
        <v>4009</v>
      </c>
      <c r="B3050" s="2">
        <v>45878</v>
      </c>
      <c r="C3050" t="s">
        <v>36</v>
      </c>
      <c r="D3050" t="s">
        <v>47</v>
      </c>
      <c r="E3050" t="s">
        <v>42</v>
      </c>
      <c r="F3050" t="s">
        <v>13</v>
      </c>
      <c r="G3050">
        <v>1</v>
      </c>
      <c r="H3050">
        <v>3.8</v>
      </c>
      <c r="I3050" t="s">
        <v>14</v>
      </c>
      <c r="J3050" t="s">
        <v>208</v>
      </c>
      <c r="K3050" s="12">
        <f>Store_Record[[#This Row],[Qty]]*Store_Record[[#This Row],[UnitPriceGBP]]</f>
        <v>3.8</v>
      </c>
      <c r="L3050" s="5" t="str">
        <f>TEXT(Store_Record[[#This Row],[Date]],"dddd")</f>
        <v>Saturday</v>
      </c>
      <c r="M3050" s="5" t="str">
        <f>TEXT(Store_Record[[#This Row],[Date]],"mmmm")</f>
        <v>August</v>
      </c>
      <c r="N3050" s="5">
        <f>YEAR(Store_Record[[#This Row],[Date]])</f>
        <v>2025</v>
      </c>
      <c r="O3050"/>
    </row>
    <row r="3051" spans="1:15" x14ac:dyDescent="0.35">
      <c r="A3051" t="s">
        <v>4002</v>
      </c>
      <c r="B3051" s="2">
        <v>45878</v>
      </c>
      <c r="C3051" t="s">
        <v>10</v>
      </c>
      <c r="D3051" t="s">
        <v>25</v>
      </c>
      <c r="E3051" t="s">
        <v>12</v>
      </c>
      <c r="F3051" t="s">
        <v>13</v>
      </c>
      <c r="G3051">
        <v>1</v>
      </c>
      <c r="H3051">
        <v>2.5</v>
      </c>
      <c r="I3051" t="s">
        <v>14</v>
      </c>
      <c r="J3051" t="s">
        <v>339</v>
      </c>
      <c r="K3051" s="12">
        <f>Store_Record[[#This Row],[Qty]]*Store_Record[[#This Row],[UnitPriceGBP]]</f>
        <v>2.5</v>
      </c>
      <c r="L3051" s="5" t="str">
        <f>TEXT(Store_Record[[#This Row],[Date]],"dddd")</f>
        <v>Saturday</v>
      </c>
      <c r="M3051" s="5" t="str">
        <f>TEXT(Store_Record[[#This Row],[Date]],"mmmm")</f>
        <v>August</v>
      </c>
      <c r="N3051" s="5">
        <f>YEAR(Store_Record[[#This Row],[Date]])</f>
        <v>2025</v>
      </c>
      <c r="O3051"/>
    </row>
    <row r="3052" spans="1:15" x14ac:dyDescent="0.35">
      <c r="A3052" t="s">
        <v>4001</v>
      </c>
      <c r="B3052" s="2">
        <v>45878</v>
      </c>
      <c r="C3052" t="s">
        <v>10</v>
      </c>
      <c r="D3052" t="s">
        <v>29</v>
      </c>
      <c r="E3052" t="s">
        <v>34</v>
      </c>
      <c r="F3052" t="s">
        <v>31</v>
      </c>
      <c r="G3052">
        <v>1</v>
      </c>
      <c r="H3052">
        <v>2.2000000000000002</v>
      </c>
      <c r="I3052" t="s">
        <v>21</v>
      </c>
      <c r="J3052" t="s">
        <v>123</v>
      </c>
      <c r="K3052" s="12">
        <f>Store_Record[[#This Row],[Qty]]*Store_Record[[#This Row],[UnitPriceGBP]]</f>
        <v>2.2000000000000002</v>
      </c>
      <c r="L3052" s="5" t="str">
        <f>TEXT(Store_Record[[#This Row],[Date]],"dddd")</f>
        <v>Saturday</v>
      </c>
      <c r="M3052" s="5" t="str">
        <f>TEXT(Store_Record[[#This Row],[Date]],"mmmm")</f>
        <v>August</v>
      </c>
      <c r="N3052" s="5">
        <f>YEAR(Store_Record[[#This Row],[Date]])</f>
        <v>2025</v>
      </c>
      <c r="O3052"/>
    </row>
    <row r="3053" spans="1:15" x14ac:dyDescent="0.35">
      <c r="A3053" t="s">
        <v>4015</v>
      </c>
      <c r="B3053" s="2">
        <v>45878</v>
      </c>
      <c r="C3053" t="s">
        <v>10</v>
      </c>
      <c r="D3053" t="s">
        <v>29</v>
      </c>
      <c r="E3053" t="s">
        <v>34</v>
      </c>
      <c r="F3053" t="s">
        <v>31</v>
      </c>
      <c r="G3053">
        <v>1</v>
      </c>
      <c r="H3053">
        <v>2.2000000000000002</v>
      </c>
      <c r="I3053" t="s">
        <v>39</v>
      </c>
      <c r="J3053" t="s">
        <v>646</v>
      </c>
      <c r="K3053" s="12">
        <f>Store_Record[[#This Row],[Qty]]*Store_Record[[#This Row],[UnitPriceGBP]]</f>
        <v>2.2000000000000002</v>
      </c>
      <c r="L3053" s="5" t="str">
        <f>TEXT(Store_Record[[#This Row],[Date]],"dddd")</f>
        <v>Saturday</v>
      </c>
      <c r="M3053" s="5" t="str">
        <f>TEXT(Store_Record[[#This Row],[Date]],"mmmm")</f>
        <v>August</v>
      </c>
      <c r="N3053" s="5">
        <f>YEAR(Store_Record[[#This Row],[Date]])</f>
        <v>2025</v>
      </c>
      <c r="O3053"/>
    </row>
    <row r="3054" spans="1:15" x14ac:dyDescent="0.35">
      <c r="A3054" t="s">
        <v>4019</v>
      </c>
      <c r="B3054" s="2">
        <v>45879</v>
      </c>
      <c r="C3054" t="s">
        <v>20</v>
      </c>
      <c r="D3054" t="s">
        <v>11</v>
      </c>
      <c r="E3054" t="s">
        <v>26</v>
      </c>
      <c r="F3054" t="s">
        <v>13</v>
      </c>
      <c r="G3054">
        <v>4</v>
      </c>
      <c r="H3054">
        <v>3.5</v>
      </c>
      <c r="I3054" t="s">
        <v>14</v>
      </c>
      <c r="J3054" t="s">
        <v>167</v>
      </c>
      <c r="K3054" s="12">
        <f>Store_Record[[#This Row],[Qty]]*Store_Record[[#This Row],[UnitPriceGBP]]</f>
        <v>14</v>
      </c>
      <c r="L3054" s="5" t="str">
        <f>TEXT(Store_Record[[#This Row],[Date]],"dddd")</f>
        <v>Sunday</v>
      </c>
      <c r="M3054" s="5" t="str">
        <f>TEXT(Store_Record[[#This Row],[Date]],"mmmm")</f>
        <v>August</v>
      </c>
      <c r="N3054" s="5">
        <f>YEAR(Store_Record[[#This Row],[Date]])</f>
        <v>2025</v>
      </c>
      <c r="O3054"/>
    </row>
    <row r="3055" spans="1:15" x14ac:dyDescent="0.35">
      <c r="A3055" t="s">
        <v>4020</v>
      </c>
      <c r="B3055" s="2">
        <v>45879</v>
      </c>
      <c r="C3055" t="s">
        <v>10</v>
      </c>
      <c r="D3055" t="s">
        <v>29</v>
      </c>
      <c r="E3055" t="s">
        <v>30</v>
      </c>
      <c r="F3055" t="s">
        <v>31</v>
      </c>
      <c r="G3055">
        <v>5</v>
      </c>
      <c r="H3055">
        <v>2.8</v>
      </c>
      <c r="I3055" t="s">
        <v>39</v>
      </c>
      <c r="J3055" t="s">
        <v>1854</v>
      </c>
      <c r="K3055" s="12">
        <f>Store_Record[[#This Row],[Qty]]*Store_Record[[#This Row],[UnitPriceGBP]]</f>
        <v>14</v>
      </c>
      <c r="L3055" s="5" t="str">
        <f>TEXT(Store_Record[[#This Row],[Date]],"dddd")</f>
        <v>Sunday</v>
      </c>
      <c r="M3055" s="5" t="str">
        <f>TEXT(Store_Record[[#This Row],[Date]],"mmmm")</f>
        <v>August</v>
      </c>
      <c r="N3055" s="5">
        <f>YEAR(Store_Record[[#This Row],[Date]])</f>
        <v>2025</v>
      </c>
      <c r="O3055"/>
    </row>
    <row r="3056" spans="1:15" x14ac:dyDescent="0.35">
      <c r="A3056" t="s">
        <v>4027</v>
      </c>
      <c r="B3056" s="2">
        <v>45879</v>
      </c>
      <c r="C3056" t="s">
        <v>20</v>
      </c>
      <c r="D3056" t="s">
        <v>47</v>
      </c>
      <c r="E3056" t="s">
        <v>30</v>
      </c>
      <c r="F3056" t="s">
        <v>31</v>
      </c>
      <c r="G3056">
        <v>4</v>
      </c>
      <c r="H3056">
        <v>2.8</v>
      </c>
      <c r="I3056" t="s">
        <v>39</v>
      </c>
      <c r="J3056" t="s">
        <v>2337</v>
      </c>
      <c r="K3056" s="12">
        <f>Store_Record[[#This Row],[Qty]]*Store_Record[[#This Row],[UnitPriceGBP]]</f>
        <v>11.2</v>
      </c>
      <c r="L3056" s="5" t="str">
        <f>TEXT(Store_Record[[#This Row],[Date]],"dddd")</f>
        <v>Sunday</v>
      </c>
      <c r="M3056" s="5" t="str">
        <f>TEXT(Store_Record[[#This Row],[Date]],"mmmm")</f>
        <v>August</v>
      </c>
      <c r="N3056" s="5">
        <f>YEAR(Store_Record[[#This Row],[Date]])</f>
        <v>2025</v>
      </c>
      <c r="O3056"/>
    </row>
    <row r="3057" spans="1:15" x14ac:dyDescent="0.35">
      <c r="A3057" t="s">
        <v>4016</v>
      </c>
      <c r="B3057" s="2">
        <v>45879</v>
      </c>
      <c r="C3057" t="s">
        <v>10</v>
      </c>
      <c r="D3057" t="s">
        <v>38</v>
      </c>
      <c r="E3057" t="s">
        <v>26</v>
      </c>
      <c r="F3057" t="s">
        <v>13</v>
      </c>
      <c r="G3057">
        <v>3</v>
      </c>
      <c r="H3057">
        <v>3.5</v>
      </c>
      <c r="I3057" t="s">
        <v>39</v>
      </c>
      <c r="J3057" t="s">
        <v>691</v>
      </c>
      <c r="K3057" s="12">
        <f>Store_Record[[#This Row],[Qty]]*Store_Record[[#This Row],[UnitPriceGBP]]</f>
        <v>10.5</v>
      </c>
      <c r="L3057" s="5" t="str">
        <f>TEXT(Store_Record[[#This Row],[Date]],"dddd")</f>
        <v>Sunday</v>
      </c>
      <c r="M3057" s="5" t="str">
        <f>TEXT(Store_Record[[#This Row],[Date]],"mmmm")</f>
        <v>August</v>
      </c>
      <c r="N3057" s="5">
        <f>YEAR(Store_Record[[#This Row],[Date]])</f>
        <v>2025</v>
      </c>
      <c r="O3057"/>
    </row>
    <row r="3058" spans="1:15" x14ac:dyDescent="0.35">
      <c r="A3058" t="s">
        <v>4021</v>
      </c>
      <c r="B3058" s="2">
        <v>45879</v>
      </c>
      <c r="C3058" t="s">
        <v>24</v>
      </c>
      <c r="D3058" t="s">
        <v>11</v>
      </c>
      <c r="E3058" t="s">
        <v>12</v>
      </c>
      <c r="F3058" t="s">
        <v>13</v>
      </c>
      <c r="G3058">
        <v>4</v>
      </c>
      <c r="H3058">
        <v>2.5</v>
      </c>
      <c r="I3058" t="s">
        <v>14</v>
      </c>
      <c r="J3058" t="s">
        <v>1854</v>
      </c>
      <c r="K3058" s="12">
        <f>Store_Record[[#This Row],[Qty]]*Store_Record[[#This Row],[UnitPriceGBP]]</f>
        <v>10</v>
      </c>
      <c r="L3058" s="5" t="str">
        <f>TEXT(Store_Record[[#This Row],[Date]],"dddd")</f>
        <v>Sunday</v>
      </c>
      <c r="M3058" s="5" t="str">
        <f>TEXT(Store_Record[[#This Row],[Date]],"mmmm")</f>
        <v>August</v>
      </c>
      <c r="N3058" s="5">
        <f>YEAR(Store_Record[[#This Row],[Date]])</f>
        <v>2025</v>
      </c>
      <c r="O3058"/>
    </row>
    <row r="3059" spans="1:15" x14ac:dyDescent="0.35">
      <c r="A3059" t="s">
        <v>4025</v>
      </c>
      <c r="B3059" s="2">
        <v>45879</v>
      </c>
      <c r="C3059" t="s">
        <v>10</v>
      </c>
      <c r="D3059" t="s">
        <v>25</v>
      </c>
      <c r="E3059" t="s">
        <v>12</v>
      </c>
      <c r="F3059" t="s">
        <v>13</v>
      </c>
      <c r="G3059">
        <v>4</v>
      </c>
      <c r="H3059">
        <v>2.5</v>
      </c>
      <c r="I3059" t="s">
        <v>21</v>
      </c>
      <c r="J3059" t="s">
        <v>1349</v>
      </c>
      <c r="K3059" s="12">
        <f>Store_Record[[#This Row],[Qty]]*Store_Record[[#This Row],[UnitPriceGBP]]</f>
        <v>10</v>
      </c>
      <c r="L3059" s="5" t="str">
        <f>TEXT(Store_Record[[#This Row],[Date]],"dddd")</f>
        <v>Sunday</v>
      </c>
      <c r="M3059" s="5" t="str">
        <f>TEXT(Store_Record[[#This Row],[Date]],"mmmm")</f>
        <v>August</v>
      </c>
      <c r="N3059" s="5">
        <f>YEAR(Store_Record[[#This Row],[Date]])</f>
        <v>2025</v>
      </c>
      <c r="O3059"/>
    </row>
    <row r="3060" spans="1:15" x14ac:dyDescent="0.35">
      <c r="A3060" t="s">
        <v>4017</v>
      </c>
      <c r="B3060" s="2">
        <v>45879</v>
      </c>
      <c r="C3060" t="s">
        <v>36</v>
      </c>
      <c r="D3060" t="s">
        <v>47</v>
      </c>
      <c r="E3060" t="s">
        <v>30</v>
      </c>
      <c r="F3060" t="s">
        <v>31</v>
      </c>
      <c r="G3060">
        <v>3</v>
      </c>
      <c r="H3060">
        <v>2.8</v>
      </c>
      <c r="I3060" t="s">
        <v>39</v>
      </c>
      <c r="J3060" t="s">
        <v>734</v>
      </c>
      <c r="K3060" s="12">
        <f>Store_Record[[#This Row],[Qty]]*Store_Record[[#This Row],[UnitPriceGBP]]</f>
        <v>8.3999999999999986</v>
      </c>
      <c r="L3060" s="5" t="str">
        <f>TEXT(Store_Record[[#This Row],[Date]],"dddd")</f>
        <v>Sunday</v>
      </c>
      <c r="M3060" s="5" t="str">
        <f>TEXT(Store_Record[[#This Row],[Date]],"mmmm")</f>
        <v>August</v>
      </c>
      <c r="N3060" s="5">
        <f>YEAR(Store_Record[[#This Row],[Date]])</f>
        <v>2025</v>
      </c>
      <c r="O3060"/>
    </row>
    <row r="3061" spans="1:15" x14ac:dyDescent="0.35">
      <c r="A3061" t="s">
        <v>4026</v>
      </c>
      <c r="B3061" s="2">
        <v>45879</v>
      </c>
      <c r="C3061" t="s">
        <v>20</v>
      </c>
      <c r="D3061" t="s">
        <v>25</v>
      </c>
      <c r="E3061" t="s">
        <v>42</v>
      </c>
      <c r="F3061" t="s">
        <v>13</v>
      </c>
      <c r="G3061">
        <v>2</v>
      </c>
      <c r="H3061">
        <v>3.8</v>
      </c>
      <c r="I3061" t="s">
        <v>21</v>
      </c>
      <c r="J3061" t="s">
        <v>3708</v>
      </c>
      <c r="K3061" s="12">
        <f>Store_Record[[#This Row],[Qty]]*Store_Record[[#This Row],[UnitPriceGBP]]</f>
        <v>7.6</v>
      </c>
      <c r="L3061" s="5" t="str">
        <f>TEXT(Store_Record[[#This Row],[Date]],"dddd")</f>
        <v>Sunday</v>
      </c>
      <c r="M3061" s="5" t="str">
        <f>TEXT(Store_Record[[#This Row],[Date]],"mmmm")</f>
        <v>August</v>
      </c>
      <c r="N3061" s="5">
        <f>YEAR(Store_Record[[#This Row],[Date]])</f>
        <v>2025</v>
      </c>
      <c r="O3061"/>
    </row>
    <row r="3062" spans="1:15" x14ac:dyDescent="0.35">
      <c r="A3062" t="s">
        <v>4022</v>
      </c>
      <c r="B3062" s="2">
        <v>45879</v>
      </c>
      <c r="C3062" t="s">
        <v>10</v>
      </c>
      <c r="D3062" t="s">
        <v>25</v>
      </c>
      <c r="E3062" t="s">
        <v>12</v>
      </c>
      <c r="F3062" t="s">
        <v>13</v>
      </c>
      <c r="G3062">
        <v>3</v>
      </c>
      <c r="H3062">
        <v>2.5</v>
      </c>
      <c r="I3062" t="s">
        <v>21</v>
      </c>
      <c r="J3062" t="s">
        <v>1005</v>
      </c>
      <c r="K3062" s="12">
        <f>Store_Record[[#This Row],[Qty]]*Store_Record[[#This Row],[UnitPriceGBP]]</f>
        <v>7.5</v>
      </c>
      <c r="L3062" s="5" t="str">
        <f>TEXT(Store_Record[[#This Row],[Date]],"dddd")</f>
        <v>Sunday</v>
      </c>
      <c r="M3062" s="5" t="str">
        <f>TEXT(Store_Record[[#This Row],[Date]],"mmmm")</f>
        <v>August</v>
      </c>
      <c r="N3062" s="5">
        <f>YEAR(Store_Record[[#This Row],[Date]])</f>
        <v>2025</v>
      </c>
      <c r="O3062"/>
    </row>
    <row r="3063" spans="1:15" x14ac:dyDescent="0.35">
      <c r="A3063" t="s">
        <v>4018</v>
      </c>
      <c r="B3063" s="2">
        <v>45879</v>
      </c>
      <c r="C3063" t="s">
        <v>24</v>
      </c>
      <c r="D3063" t="s">
        <v>25</v>
      </c>
      <c r="E3063" t="s">
        <v>34</v>
      </c>
      <c r="F3063" t="s">
        <v>31</v>
      </c>
      <c r="G3063">
        <v>3</v>
      </c>
      <c r="H3063">
        <v>2.2000000000000002</v>
      </c>
      <c r="I3063" t="s">
        <v>21</v>
      </c>
      <c r="J3063" t="s">
        <v>705</v>
      </c>
      <c r="K3063" s="12">
        <f>Store_Record[[#This Row],[Qty]]*Store_Record[[#This Row],[UnitPriceGBP]]</f>
        <v>6.6000000000000005</v>
      </c>
      <c r="L3063" s="5" t="str">
        <f>TEXT(Store_Record[[#This Row],[Date]],"dddd")</f>
        <v>Sunday</v>
      </c>
      <c r="M3063" s="5" t="str">
        <f>TEXT(Store_Record[[#This Row],[Date]],"mmmm")</f>
        <v>August</v>
      </c>
      <c r="N3063" s="5">
        <f>YEAR(Store_Record[[#This Row],[Date]])</f>
        <v>2025</v>
      </c>
      <c r="O3063"/>
    </row>
    <row r="3064" spans="1:15" x14ac:dyDescent="0.35">
      <c r="A3064" t="s">
        <v>4023</v>
      </c>
      <c r="B3064" s="2">
        <v>45879</v>
      </c>
      <c r="C3064" t="s">
        <v>10</v>
      </c>
      <c r="D3064" t="s">
        <v>11</v>
      </c>
      <c r="E3064" t="s">
        <v>34</v>
      </c>
      <c r="F3064" t="s">
        <v>31</v>
      </c>
      <c r="G3064">
        <v>2</v>
      </c>
      <c r="H3064">
        <v>2.2000000000000002</v>
      </c>
      <c r="I3064" t="s">
        <v>21</v>
      </c>
      <c r="J3064" t="s">
        <v>1517</v>
      </c>
      <c r="K3064" s="12">
        <f>Store_Record[[#This Row],[Qty]]*Store_Record[[#This Row],[UnitPriceGBP]]</f>
        <v>4.4000000000000004</v>
      </c>
      <c r="L3064" s="5" t="str">
        <f>TEXT(Store_Record[[#This Row],[Date]],"dddd")</f>
        <v>Sunday</v>
      </c>
      <c r="M3064" s="5" t="str">
        <f>TEXT(Store_Record[[#This Row],[Date]],"mmmm")</f>
        <v>August</v>
      </c>
      <c r="N3064" s="5">
        <f>YEAR(Store_Record[[#This Row],[Date]])</f>
        <v>2025</v>
      </c>
      <c r="O3064"/>
    </row>
    <row r="3065" spans="1:15" x14ac:dyDescent="0.35">
      <c r="A3065" t="s">
        <v>4024</v>
      </c>
      <c r="B3065" s="2">
        <v>45879</v>
      </c>
      <c r="C3065" t="s">
        <v>20</v>
      </c>
      <c r="D3065" t="s">
        <v>25</v>
      </c>
      <c r="E3065" t="s">
        <v>42</v>
      </c>
      <c r="F3065" t="s">
        <v>13</v>
      </c>
      <c r="G3065">
        <v>1</v>
      </c>
      <c r="H3065">
        <v>3.8</v>
      </c>
      <c r="I3065" t="s">
        <v>14</v>
      </c>
      <c r="J3065" t="s">
        <v>2071</v>
      </c>
      <c r="K3065" s="12">
        <f>Store_Record[[#This Row],[Qty]]*Store_Record[[#This Row],[UnitPriceGBP]]</f>
        <v>3.8</v>
      </c>
      <c r="L3065" s="5" t="str">
        <f>TEXT(Store_Record[[#This Row],[Date]],"dddd")</f>
        <v>Sunday</v>
      </c>
      <c r="M3065" s="5" t="str">
        <f>TEXT(Store_Record[[#This Row],[Date]],"mmmm")</f>
        <v>August</v>
      </c>
      <c r="N3065" s="5">
        <f>YEAR(Store_Record[[#This Row],[Date]])</f>
        <v>2025</v>
      </c>
      <c r="O3065"/>
    </row>
    <row r="3066" spans="1:15" x14ac:dyDescent="0.35">
      <c r="A3066" t="s">
        <v>4032</v>
      </c>
      <c r="B3066" s="2">
        <v>45880</v>
      </c>
      <c r="C3066" t="s">
        <v>36</v>
      </c>
      <c r="D3066" t="s">
        <v>152</v>
      </c>
      <c r="E3066" t="s">
        <v>26</v>
      </c>
      <c r="F3066" t="s">
        <v>13</v>
      </c>
      <c r="G3066">
        <v>5</v>
      </c>
      <c r="H3066">
        <v>3.5</v>
      </c>
      <c r="I3066" t="s">
        <v>21</v>
      </c>
      <c r="J3066" t="s">
        <v>2651</v>
      </c>
      <c r="K3066" s="12">
        <f>Store_Record[[#This Row],[Qty]]*Store_Record[[#This Row],[UnitPriceGBP]]</f>
        <v>17.5</v>
      </c>
      <c r="L3066" s="5" t="str">
        <f>TEXT(Store_Record[[#This Row],[Date]],"dddd")</f>
        <v>Monday</v>
      </c>
      <c r="M3066" s="5" t="str">
        <f>TEXT(Store_Record[[#This Row],[Date]],"mmmm")</f>
        <v>August</v>
      </c>
      <c r="N3066" s="5">
        <f>YEAR(Store_Record[[#This Row],[Date]])</f>
        <v>2025</v>
      </c>
      <c r="O3066"/>
    </row>
    <row r="3067" spans="1:15" x14ac:dyDescent="0.35">
      <c r="A3067" t="s">
        <v>4031</v>
      </c>
      <c r="B3067" s="2">
        <v>45880</v>
      </c>
      <c r="C3067" t="s">
        <v>24</v>
      </c>
      <c r="D3067" t="s">
        <v>47</v>
      </c>
      <c r="E3067" t="s">
        <v>30</v>
      </c>
      <c r="F3067" t="s">
        <v>31</v>
      </c>
      <c r="G3067">
        <v>5</v>
      </c>
      <c r="H3067">
        <v>2.8</v>
      </c>
      <c r="I3067" t="s">
        <v>14</v>
      </c>
      <c r="J3067" t="s">
        <v>3075</v>
      </c>
      <c r="K3067" s="12">
        <f>Store_Record[[#This Row],[Qty]]*Store_Record[[#This Row],[UnitPriceGBP]]</f>
        <v>14</v>
      </c>
      <c r="L3067" s="5" t="str">
        <f>TEXT(Store_Record[[#This Row],[Date]],"dddd")</f>
        <v>Monday</v>
      </c>
      <c r="M3067" s="5" t="str">
        <f>TEXT(Store_Record[[#This Row],[Date]],"mmmm")</f>
        <v>August</v>
      </c>
      <c r="N3067" s="5">
        <f>YEAR(Store_Record[[#This Row],[Date]])</f>
        <v>2025</v>
      </c>
      <c r="O3067"/>
    </row>
    <row r="3068" spans="1:15" x14ac:dyDescent="0.35">
      <c r="A3068" t="s">
        <v>4028</v>
      </c>
      <c r="B3068" s="2">
        <v>45880</v>
      </c>
      <c r="C3068" t="s">
        <v>36</v>
      </c>
      <c r="D3068" t="s">
        <v>47</v>
      </c>
      <c r="E3068" t="s">
        <v>12</v>
      </c>
      <c r="F3068" t="s">
        <v>13</v>
      </c>
      <c r="G3068">
        <v>5</v>
      </c>
      <c r="H3068">
        <v>2.5</v>
      </c>
      <c r="I3068" t="s">
        <v>21</v>
      </c>
      <c r="J3068" t="s">
        <v>2142</v>
      </c>
      <c r="K3068" s="12">
        <f>Store_Record[[#This Row],[Qty]]*Store_Record[[#This Row],[UnitPriceGBP]]</f>
        <v>12.5</v>
      </c>
      <c r="L3068" s="5" t="str">
        <f>TEXT(Store_Record[[#This Row],[Date]],"dddd")</f>
        <v>Monday</v>
      </c>
      <c r="M3068" s="5" t="str">
        <f>TEXT(Store_Record[[#This Row],[Date]],"mmmm")</f>
        <v>August</v>
      </c>
      <c r="N3068" s="5">
        <f>YEAR(Store_Record[[#This Row],[Date]])</f>
        <v>2025</v>
      </c>
      <c r="O3068"/>
    </row>
    <row r="3069" spans="1:15" x14ac:dyDescent="0.35">
      <c r="A3069" t="s">
        <v>4039</v>
      </c>
      <c r="B3069" s="2">
        <v>45880</v>
      </c>
      <c r="C3069" t="s">
        <v>36</v>
      </c>
      <c r="D3069" t="s">
        <v>47</v>
      </c>
      <c r="E3069" t="s">
        <v>42</v>
      </c>
      <c r="F3069" t="s">
        <v>13</v>
      </c>
      <c r="G3069">
        <v>3</v>
      </c>
      <c r="H3069">
        <v>3.8</v>
      </c>
      <c r="I3069" t="s">
        <v>39</v>
      </c>
      <c r="J3069" t="s">
        <v>1936</v>
      </c>
      <c r="K3069" s="12">
        <f>Store_Record[[#This Row],[Qty]]*Store_Record[[#This Row],[UnitPriceGBP]]</f>
        <v>11.399999999999999</v>
      </c>
      <c r="L3069" s="5" t="str">
        <f>TEXT(Store_Record[[#This Row],[Date]],"dddd")</f>
        <v>Monday</v>
      </c>
      <c r="M3069" s="5" t="str">
        <f>TEXT(Store_Record[[#This Row],[Date]],"mmmm")</f>
        <v>August</v>
      </c>
      <c r="N3069" s="5">
        <f>YEAR(Store_Record[[#This Row],[Date]])</f>
        <v>2025</v>
      </c>
      <c r="O3069"/>
    </row>
    <row r="3070" spans="1:15" x14ac:dyDescent="0.35">
      <c r="A3070" t="s">
        <v>4037</v>
      </c>
      <c r="B3070" s="2">
        <v>45880</v>
      </c>
      <c r="C3070" t="s">
        <v>10</v>
      </c>
      <c r="D3070" t="s">
        <v>47</v>
      </c>
      <c r="E3070" t="s">
        <v>26</v>
      </c>
      <c r="F3070" t="s">
        <v>13</v>
      </c>
      <c r="G3070">
        <v>3</v>
      </c>
      <c r="H3070">
        <v>3.5</v>
      </c>
      <c r="I3070" t="s">
        <v>14</v>
      </c>
      <c r="J3070" t="s">
        <v>620</v>
      </c>
      <c r="K3070" s="12">
        <f>Store_Record[[#This Row],[Qty]]*Store_Record[[#This Row],[UnitPriceGBP]]</f>
        <v>10.5</v>
      </c>
      <c r="L3070" s="5" t="str">
        <f>TEXT(Store_Record[[#This Row],[Date]],"dddd")</f>
        <v>Monday</v>
      </c>
      <c r="M3070" s="5" t="str">
        <f>TEXT(Store_Record[[#This Row],[Date]],"mmmm")</f>
        <v>August</v>
      </c>
      <c r="N3070" s="5">
        <f>YEAR(Store_Record[[#This Row],[Date]])</f>
        <v>2025</v>
      </c>
      <c r="O3070"/>
    </row>
    <row r="3071" spans="1:15" x14ac:dyDescent="0.35">
      <c r="A3071" t="s">
        <v>4036</v>
      </c>
      <c r="B3071" s="2">
        <v>45880</v>
      </c>
      <c r="C3071" t="s">
        <v>20</v>
      </c>
      <c r="D3071" t="s">
        <v>29</v>
      </c>
      <c r="E3071" t="s">
        <v>34</v>
      </c>
      <c r="F3071" t="s">
        <v>31</v>
      </c>
      <c r="G3071">
        <v>4</v>
      </c>
      <c r="H3071">
        <v>2.2000000000000002</v>
      </c>
      <c r="I3071" t="s">
        <v>14</v>
      </c>
      <c r="J3071" t="s">
        <v>1389</v>
      </c>
      <c r="K3071" s="12">
        <f>Store_Record[[#This Row],[Qty]]*Store_Record[[#This Row],[UnitPriceGBP]]</f>
        <v>8.8000000000000007</v>
      </c>
      <c r="L3071" s="5" t="str">
        <f>TEXT(Store_Record[[#This Row],[Date]],"dddd")</f>
        <v>Monday</v>
      </c>
      <c r="M3071" s="5" t="str">
        <f>TEXT(Store_Record[[#This Row],[Date]],"mmmm")</f>
        <v>August</v>
      </c>
      <c r="N3071" s="5">
        <f>YEAR(Store_Record[[#This Row],[Date]])</f>
        <v>2025</v>
      </c>
      <c r="O3071"/>
    </row>
    <row r="3072" spans="1:15" x14ac:dyDescent="0.35">
      <c r="A3072" t="s">
        <v>4029</v>
      </c>
      <c r="B3072" s="2">
        <v>45880</v>
      </c>
      <c r="C3072" t="s">
        <v>10</v>
      </c>
      <c r="D3072" t="s">
        <v>25</v>
      </c>
      <c r="E3072" t="s">
        <v>30</v>
      </c>
      <c r="F3072" t="s">
        <v>31</v>
      </c>
      <c r="G3072">
        <v>3</v>
      </c>
      <c r="H3072">
        <v>2.8</v>
      </c>
      <c r="I3072" t="s">
        <v>14</v>
      </c>
      <c r="J3072" t="s">
        <v>400</v>
      </c>
      <c r="K3072" s="12">
        <f>Store_Record[[#This Row],[Qty]]*Store_Record[[#This Row],[UnitPriceGBP]]</f>
        <v>8.3999999999999986</v>
      </c>
      <c r="L3072" s="5" t="str">
        <f>TEXT(Store_Record[[#This Row],[Date]],"dddd")</f>
        <v>Monday</v>
      </c>
      <c r="M3072" s="5" t="str">
        <f>TEXT(Store_Record[[#This Row],[Date]],"mmmm")</f>
        <v>August</v>
      </c>
      <c r="N3072" s="5">
        <f>YEAR(Store_Record[[#This Row],[Date]])</f>
        <v>2025</v>
      </c>
      <c r="O3072"/>
    </row>
    <row r="3073" spans="1:15" x14ac:dyDescent="0.35">
      <c r="A3073" t="s">
        <v>4038</v>
      </c>
      <c r="B3073" s="2">
        <v>45880</v>
      </c>
      <c r="C3073" t="s">
        <v>24</v>
      </c>
      <c r="D3073" t="s">
        <v>11</v>
      </c>
      <c r="E3073" t="s">
        <v>30</v>
      </c>
      <c r="F3073" t="s">
        <v>31</v>
      </c>
      <c r="G3073">
        <v>3</v>
      </c>
      <c r="H3073">
        <v>2.8</v>
      </c>
      <c r="I3073" t="s">
        <v>21</v>
      </c>
      <c r="J3073" t="s">
        <v>534</v>
      </c>
      <c r="K3073" s="12">
        <f>Store_Record[[#This Row],[Qty]]*Store_Record[[#This Row],[UnitPriceGBP]]</f>
        <v>8.3999999999999986</v>
      </c>
      <c r="L3073" s="5" t="str">
        <f>TEXT(Store_Record[[#This Row],[Date]],"dddd")</f>
        <v>Monday</v>
      </c>
      <c r="M3073" s="5" t="str">
        <f>TEXT(Store_Record[[#This Row],[Date]],"mmmm")</f>
        <v>August</v>
      </c>
      <c r="N3073" s="5">
        <f>YEAR(Store_Record[[#This Row],[Date]])</f>
        <v>2025</v>
      </c>
      <c r="O3073"/>
    </row>
    <row r="3074" spans="1:15" x14ac:dyDescent="0.35">
      <c r="A3074" t="s">
        <v>4033</v>
      </c>
      <c r="B3074" s="2">
        <v>45880</v>
      </c>
      <c r="C3074" t="s">
        <v>10</v>
      </c>
      <c r="D3074" t="s">
        <v>25</v>
      </c>
      <c r="E3074" t="s">
        <v>34</v>
      </c>
      <c r="F3074" t="s">
        <v>31</v>
      </c>
      <c r="G3074">
        <v>3</v>
      </c>
      <c r="H3074">
        <v>2.2000000000000002</v>
      </c>
      <c r="I3074" t="s">
        <v>14</v>
      </c>
      <c r="J3074" t="s">
        <v>1768</v>
      </c>
      <c r="K3074" s="12">
        <f>Store_Record[[#This Row],[Qty]]*Store_Record[[#This Row],[UnitPriceGBP]]</f>
        <v>6.6000000000000005</v>
      </c>
      <c r="L3074" s="5" t="str">
        <f>TEXT(Store_Record[[#This Row],[Date]],"dddd")</f>
        <v>Monday</v>
      </c>
      <c r="M3074" s="5" t="str">
        <f>TEXT(Store_Record[[#This Row],[Date]],"mmmm")</f>
        <v>August</v>
      </c>
      <c r="N3074" s="5">
        <f>YEAR(Store_Record[[#This Row],[Date]])</f>
        <v>2025</v>
      </c>
      <c r="O3074"/>
    </row>
    <row r="3075" spans="1:15" x14ac:dyDescent="0.35">
      <c r="A3075" t="s">
        <v>4035</v>
      </c>
      <c r="B3075" s="2">
        <v>45880</v>
      </c>
      <c r="C3075" t="s">
        <v>24</v>
      </c>
      <c r="D3075" t="s">
        <v>11</v>
      </c>
      <c r="E3075" t="s">
        <v>12</v>
      </c>
      <c r="F3075" t="s">
        <v>13</v>
      </c>
      <c r="G3075">
        <v>2</v>
      </c>
      <c r="H3075">
        <v>2.5</v>
      </c>
      <c r="I3075" t="s">
        <v>39</v>
      </c>
      <c r="J3075" t="s">
        <v>3871</v>
      </c>
      <c r="K3075" s="12">
        <f>Store_Record[[#This Row],[Qty]]*Store_Record[[#This Row],[UnitPriceGBP]]</f>
        <v>5</v>
      </c>
      <c r="L3075" s="5" t="str">
        <f>TEXT(Store_Record[[#This Row],[Date]],"dddd")</f>
        <v>Monday</v>
      </c>
      <c r="M3075" s="5" t="str">
        <f>TEXT(Store_Record[[#This Row],[Date]],"mmmm")</f>
        <v>August</v>
      </c>
      <c r="N3075" s="5">
        <f>YEAR(Store_Record[[#This Row],[Date]])</f>
        <v>2025</v>
      </c>
      <c r="O3075"/>
    </row>
    <row r="3076" spans="1:15" x14ac:dyDescent="0.35">
      <c r="A3076" t="s">
        <v>4040</v>
      </c>
      <c r="B3076" s="2">
        <v>45880</v>
      </c>
      <c r="C3076" t="s">
        <v>36</v>
      </c>
      <c r="D3076" t="s">
        <v>29</v>
      </c>
      <c r="E3076" t="s">
        <v>34</v>
      </c>
      <c r="F3076" t="s">
        <v>31</v>
      </c>
      <c r="G3076">
        <v>2</v>
      </c>
      <c r="H3076">
        <v>2.2000000000000002</v>
      </c>
      <c r="I3076" t="s">
        <v>21</v>
      </c>
      <c r="J3076" t="s">
        <v>490</v>
      </c>
      <c r="K3076" s="12">
        <f>Store_Record[[#This Row],[Qty]]*Store_Record[[#This Row],[UnitPriceGBP]]</f>
        <v>4.4000000000000004</v>
      </c>
      <c r="L3076" s="5" t="str">
        <f>TEXT(Store_Record[[#This Row],[Date]],"dddd")</f>
        <v>Monday</v>
      </c>
      <c r="M3076" s="5" t="str">
        <f>TEXT(Store_Record[[#This Row],[Date]],"mmmm")</f>
        <v>August</v>
      </c>
      <c r="N3076" s="5">
        <f>YEAR(Store_Record[[#This Row],[Date]])</f>
        <v>2025</v>
      </c>
      <c r="O3076"/>
    </row>
    <row r="3077" spans="1:15" x14ac:dyDescent="0.35">
      <c r="A3077" t="s">
        <v>4030</v>
      </c>
      <c r="B3077" s="2">
        <v>45880</v>
      </c>
      <c r="C3077" t="s">
        <v>36</v>
      </c>
      <c r="D3077" t="s">
        <v>25</v>
      </c>
      <c r="E3077" t="s">
        <v>30</v>
      </c>
      <c r="F3077" t="s">
        <v>31</v>
      </c>
      <c r="G3077">
        <v>1</v>
      </c>
      <c r="H3077">
        <v>2.8</v>
      </c>
      <c r="I3077" t="s">
        <v>14</v>
      </c>
      <c r="J3077" t="s">
        <v>1795</v>
      </c>
      <c r="K3077" s="12">
        <f>Store_Record[[#This Row],[Qty]]*Store_Record[[#This Row],[UnitPriceGBP]]</f>
        <v>2.8</v>
      </c>
      <c r="L3077" s="5" t="str">
        <f>TEXT(Store_Record[[#This Row],[Date]],"dddd")</f>
        <v>Monday</v>
      </c>
      <c r="M3077" s="5" t="str">
        <f>TEXT(Store_Record[[#This Row],[Date]],"mmmm")</f>
        <v>August</v>
      </c>
      <c r="N3077" s="5">
        <f>YEAR(Store_Record[[#This Row],[Date]])</f>
        <v>2025</v>
      </c>
      <c r="O3077"/>
    </row>
    <row r="3078" spans="1:15" x14ac:dyDescent="0.35">
      <c r="A3078" t="s">
        <v>4034</v>
      </c>
      <c r="B3078" s="2">
        <v>45880</v>
      </c>
      <c r="C3078" t="s">
        <v>24</v>
      </c>
      <c r="D3078" t="s">
        <v>47</v>
      </c>
      <c r="E3078" t="s">
        <v>12</v>
      </c>
      <c r="F3078" t="s">
        <v>13</v>
      </c>
      <c r="G3078">
        <v>1</v>
      </c>
      <c r="H3078">
        <v>2.5</v>
      </c>
      <c r="I3078" t="s">
        <v>14</v>
      </c>
      <c r="J3078" t="s">
        <v>1238</v>
      </c>
      <c r="K3078" s="12">
        <f>Store_Record[[#This Row],[Qty]]*Store_Record[[#This Row],[UnitPriceGBP]]</f>
        <v>2.5</v>
      </c>
      <c r="L3078" s="5" t="str">
        <f>TEXT(Store_Record[[#This Row],[Date]],"dddd")</f>
        <v>Monday</v>
      </c>
      <c r="M3078" s="5" t="str">
        <f>TEXT(Store_Record[[#This Row],[Date]],"mmmm")</f>
        <v>August</v>
      </c>
      <c r="N3078" s="5">
        <f>YEAR(Store_Record[[#This Row],[Date]])</f>
        <v>2025</v>
      </c>
      <c r="O3078"/>
    </row>
    <row r="3079" spans="1:15" x14ac:dyDescent="0.35">
      <c r="A3079" t="s">
        <v>4048</v>
      </c>
      <c r="B3079" s="2">
        <v>45881</v>
      </c>
      <c r="C3079" t="s">
        <v>10</v>
      </c>
      <c r="D3079" t="s">
        <v>47</v>
      </c>
      <c r="E3079" t="s">
        <v>26</v>
      </c>
      <c r="F3079" t="s">
        <v>13</v>
      </c>
      <c r="G3079">
        <v>5</v>
      </c>
      <c r="H3079">
        <v>3.5</v>
      </c>
      <c r="I3079" t="s">
        <v>21</v>
      </c>
      <c r="J3079" t="s">
        <v>4049</v>
      </c>
      <c r="K3079" s="12">
        <f>Store_Record[[#This Row],[Qty]]*Store_Record[[#This Row],[UnitPriceGBP]]</f>
        <v>17.5</v>
      </c>
      <c r="L3079" s="5" t="str">
        <f>TEXT(Store_Record[[#This Row],[Date]],"dddd")</f>
        <v>Tuesday</v>
      </c>
      <c r="M3079" s="5" t="str">
        <f>TEXT(Store_Record[[#This Row],[Date]],"mmmm")</f>
        <v>August</v>
      </c>
      <c r="N3079" s="5">
        <f>YEAR(Store_Record[[#This Row],[Date]])</f>
        <v>2025</v>
      </c>
      <c r="O3079"/>
    </row>
    <row r="3080" spans="1:15" x14ac:dyDescent="0.35">
      <c r="A3080" t="s">
        <v>4050</v>
      </c>
      <c r="B3080" s="2">
        <v>45881</v>
      </c>
      <c r="C3080" t="s">
        <v>36</v>
      </c>
      <c r="D3080" t="s">
        <v>47</v>
      </c>
      <c r="E3080" t="s">
        <v>42</v>
      </c>
      <c r="F3080" t="s">
        <v>13</v>
      </c>
      <c r="G3080">
        <v>3</v>
      </c>
      <c r="H3080">
        <v>3.8</v>
      </c>
      <c r="I3080" t="s">
        <v>14</v>
      </c>
      <c r="J3080" t="s">
        <v>1242</v>
      </c>
      <c r="K3080" s="12">
        <f>Store_Record[[#This Row],[Qty]]*Store_Record[[#This Row],[UnitPriceGBP]]</f>
        <v>11.399999999999999</v>
      </c>
      <c r="L3080" s="5" t="str">
        <f>TEXT(Store_Record[[#This Row],[Date]],"dddd")</f>
        <v>Tuesday</v>
      </c>
      <c r="M3080" s="5" t="str">
        <f>TEXT(Store_Record[[#This Row],[Date]],"mmmm")</f>
        <v>August</v>
      </c>
      <c r="N3080" s="5">
        <f>YEAR(Store_Record[[#This Row],[Date]])</f>
        <v>2025</v>
      </c>
      <c r="O3080"/>
    </row>
    <row r="3081" spans="1:15" x14ac:dyDescent="0.35">
      <c r="A3081" t="s">
        <v>4046</v>
      </c>
      <c r="B3081" s="2">
        <v>45881</v>
      </c>
      <c r="C3081" t="s">
        <v>20</v>
      </c>
      <c r="D3081" t="s">
        <v>11</v>
      </c>
      <c r="E3081" t="s">
        <v>30</v>
      </c>
      <c r="F3081" t="s">
        <v>31</v>
      </c>
      <c r="G3081">
        <v>4</v>
      </c>
      <c r="H3081">
        <v>2.8</v>
      </c>
      <c r="I3081" t="s">
        <v>21</v>
      </c>
      <c r="J3081" t="s">
        <v>271</v>
      </c>
      <c r="K3081" s="12">
        <f>Store_Record[[#This Row],[Qty]]*Store_Record[[#This Row],[UnitPriceGBP]]</f>
        <v>11.2</v>
      </c>
      <c r="L3081" s="5" t="str">
        <f>TEXT(Store_Record[[#This Row],[Date]],"dddd")</f>
        <v>Tuesday</v>
      </c>
      <c r="M3081" s="5" t="str">
        <f>TEXT(Store_Record[[#This Row],[Date]],"mmmm")</f>
        <v>August</v>
      </c>
      <c r="N3081" s="5">
        <f>YEAR(Store_Record[[#This Row],[Date]])</f>
        <v>2025</v>
      </c>
      <c r="O3081"/>
    </row>
    <row r="3082" spans="1:15" x14ac:dyDescent="0.35">
      <c r="A3082" t="s">
        <v>4052</v>
      </c>
      <c r="B3082" s="2">
        <v>45881</v>
      </c>
      <c r="C3082" t="s">
        <v>36</v>
      </c>
      <c r="D3082" t="s">
        <v>47</v>
      </c>
      <c r="E3082" t="s">
        <v>34</v>
      </c>
      <c r="F3082" t="s">
        <v>31</v>
      </c>
      <c r="G3082">
        <v>4</v>
      </c>
      <c r="H3082">
        <v>2.2000000000000002</v>
      </c>
      <c r="I3082" t="s">
        <v>21</v>
      </c>
      <c r="J3082" t="s">
        <v>753</v>
      </c>
      <c r="K3082" s="12">
        <f>Store_Record[[#This Row],[Qty]]*Store_Record[[#This Row],[UnitPriceGBP]]</f>
        <v>8.8000000000000007</v>
      </c>
      <c r="L3082" s="5" t="str">
        <f>TEXT(Store_Record[[#This Row],[Date]],"dddd")</f>
        <v>Tuesday</v>
      </c>
      <c r="M3082" s="5" t="str">
        <f>TEXT(Store_Record[[#This Row],[Date]],"mmmm")</f>
        <v>August</v>
      </c>
      <c r="N3082" s="5">
        <f>YEAR(Store_Record[[#This Row],[Date]])</f>
        <v>2025</v>
      </c>
      <c r="O3082"/>
    </row>
    <row r="3083" spans="1:15" x14ac:dyDescent="0.35">
      <c r="A3083" t="s">
        <v>4043</v>
      </c>
      <c r="B3083" s="2">
        <v>45881</v>
      </c>
      <c r="C3083" t="s">
        <v>24</v>
      </c>
      <c r="D3083" t="s">
        <v>29</v>
      </c>
      <c r="E3083" t="s">
        <v>26</v>
      </c>
      <c r="F3083" t="s">
        <v>13</v>
      </c>
      <c r="G3083">
        <v>2</v>
      </c>
      <c r="H3083">
        <v>3.5</v>
      </c>
      <c r="I3083" t="s">
        <v>14</v>
      </c>
      <c r="J3083" t="s">
        <v>684</v>
      </c>
      <c r="K3083" s="12">
        <f>Store_Record[[#This Row],[Qty]]*Store_Record[[#This Row],[UnitPriceGBP]]</f>
        <v>7</v>
      </c>
      <c r="L3083" s="5" t="str">
        <f>TEXT(Store_Record[[#This Row],[Date]],"dddd")</f>
        <v>Tuesday</v>
      </c>
      <c r="M3083" s="5" t="str">
        <f>TEXT(Store_Record[[#This Row],[Date]],"mmmm")</f>
        <v>August</v>
      </c>
      <c r="N3083" s="5">
        <f>YEAR(Store_Record[[#This Row],[Date]])</f>
        <v>2025</v>
      </c>
      <c r="O3083"/>
    </row>
    <row r="3084" spans="1:15" x14ac:dyDescent="0.35">
      <c r="A3084" t="s">
        <v>4044</v>
      </c>
      <c r="B3084" s="2">
        <v>45881</v>
      </c>
      <c r="C3084" t="s">
        <v>20</v>
      </c>
      <c r="D3084" t="s">
        <v>29</v>
      </c>
      <c r="E3084" t="s">
        <v>26</v>
      </c>
      <c r="F3084" t="s">
        <v>13</v>
      </c>
      <c r="G3084">
        <v>2</v>
      </c>
      <c r="H3084">
        <v>3.5</v>
      </c>
      <c r="I3084" t="s">
        <v>39</v>
      </c>
      <c r="J3084" t="s">
        <v>2883</v>
      </c>
      <c r="K3084" s="12">
        <f>Store_Record[[#This Row],[Qty]]*Store_Record[[#This Row],[UnitPriceGBP]]</f>
        <v>7</v>
      </c>
      <c r="L3084" s="5" t="str">
        <f>TEXT(Store_Record[[#This Row],[Date]],"dddd")</f>
        <v>Tuesday</v>
      </c>
      <c r="M3084" s="5" t="str">
        <f>TEXT(Store_Record[[#This Row],[Date]],"mmmm")</f>
        <v>August</v>
      </c>
      <c r="N3084" s="5">
        <f>YEAR(Store_Record[[#This Row],[Date]])</f>
        <v>2025</v>
      </c>
      <c r="O3084"/>
    </row>
    <row r="3085" spans="1:15" x14ac:dyDescent="0.35">
      <c r="A3085" t="s">
        <v>4047</v>
      </c>
      <c r="B3085" s="2">
        <v>45881</v>
      </c>
      <c r="C3085" t="s">
        <v>24</v>
      </c>
      <c r="D3085" t="s">
        <v>38</v>
      </c>
      <c r="E3085" t="s">
        <v>26</v>
      </c>
      <c r="F3085" t="s">
        <v>13</v>
      </c>
      <c r="G3085">
        <v>2</v>
      </c>
      <c r="H3085">
        <v>3.5</v>
      </c>
      <c r="I3085" t="s">
        <v>21</v>
      </c>
      <c r="J3085" t="s">
        <v>1610</v>
      </c>
      <c r="K3085" s="12">
        <f>Store_Record[[#This Row],[Qty]]*Store_Record[[#This Row],[UnitPriceGBP]]</f>
        <v>7</v>
      </c>
      <c r="L3085" s="5" t="str">
        <f>TEXT(Store_Record[[#This Row],[Date]],"dddd")</f>
        <v>Tuesday</v>
      </c>
      <c r="M3085" s="5" t="str">
        <f>TEXT(Store_Record[[#This Row],[Date]],"mmmm")</f>
        <v>August</v>
      </c>
      <c r="N3085" s="5">
        <f>YEAR(Store_Record[[#This Row],[Date]])</f>
        <v>2025</v>
      </c>
      <c r="O3085"/>
    </row>
    <row r="3086" spans="1:15" x14ac:dyDescent="0.35">
      <c r="A3086" t="s">
        <v>4045</v>
      </c>
      <c r="B3086" s="2">
        <v>45881</v>
      </c>
      <c r="C3086" t="s">
        <v>20</v>
      </c>
      <c r="D3086" t="s">
        <v>47</v>
      </c>
      <c r="E3086" t="s">
        <v>34</v>
      </c>
      <c r="F3086" t="s">
        <v>31</v>
      </c>
      <c r="G3086">
        <v>3</v>
      </c>
      <c r="H3086">
        <v>2.2000000000000002</v>
      </c>
      <c r="I3086" t="s">
        <v>14</v>
      </c>
      <c r="J3086" t="s">
        <v>3102</v>
      </c>
      <c r="K3086" s="12">
        <f>Store_Record[[#This Row],[Qty]]*Store_Record[[#This Row],[UnitPriceGBP]]</f>
        <v>6.6000000000000005</v>
      </c>
      <c r="L3086" s="5" t="str">
        <f>TEXT(Store_Record[[#This Row],[Date]],"dddd")</f>
        <v>Tuesday</v>
      </c>
      <c r="M3086" s="5" t="str">
        <f>TEXT(Store_Record[[#This Row],[Date]],"mmmm")</f>
        <v>August</v>
      </c>
      <c r="N3086" s="5">
        <f>YEAR(Store_Record[[#This Row],[Date]])</f>
        <v>2025</v>
      </c>
      <c r="O3086"/>
    </row>
    <row r="3087" spans="1:15" x14ac:dyDescent="0.35">
      <c r="A3087" t="s">
        <v>4053</v>
      </c>
      <c r="B3087" s="2">
        <v>45881</v>
      </c>
      <c r="C3087" t="s">
        <v>36</v>
      </c>
      <c r="D3087" t="s">
        <v>38</v>
      </c>
      <c r="E3087" t="s">
        <v>26</v>
      </c>
      <c r="F3087" t="s">
        <v>13</v>
      </c>
      <c r="G3087">
        <v>1</v>
      </c>
      <c r="H3087">
        <v>3.5</v>
      </c>
      <c r="I3087" t="s">
        <v>39</v>
      </c>
      <c r="J3087" t="s">
        <v>1302</v>
      </c>
      <c r="K3087" s="12">
        <f>Store_Record[[#This Row],[Qty]]*Store_Record[[#This Row],[UnitPriceGBP]]</f>
        <v>3.5</v>
      </c>
      <c r="L3087" s="5" t="str">
        <f>TEXT(Store_Record[[#This Row],[Date]],"dddd")</f>
        <v>Tuesday</v>
      </c>
      <c r="M3087" s="5" t="str">
        <f>TEXT(Store_Record[[#This Row],[Date]],"mmmm")</f>
        <v>August</v>
      </c>
      <c r="N3087" s="5">
        <f>YEAR(Store_Record[[#This Row],[Date]])</f>
        <v>2025</v>
      </c>
      <c r="O3087"/>
    </row>
    <row r="3088" spans="1:15" x14ac:dyDescent="0.35">
      <c r="A3088" t="s">
        <v>4041</v>
      </c>
      <c r="B3088" s="2">
        <v>45881</v>
      </c>
      <c r="C3088" t="s">
        <v>10</v>
      </c>
      <c r="D3088" t="s">
        <v>38</v>
      </c>
      <c r="E3088" t="s">
        <v>12</v>
      </c>
      <c r="F3088" t="s">
        <v>13</v>
      </c>
      <c r="G3088">
        <v>1</v>
      </c>
      <c r="H3088">
        <v>2.5</v>
      </c>
      <c r="I3088" t="s">
        <v>14</v>
      </c>
      <c r="J3088" t="s">
        <v>4042</v>
      </c>
      <c r="K3088" s="12">
        <f>Store_Record[[#This Row],[Qty]]*Store_Record[[#This Row],[UnitPriceGBP]]</f>
        <v>2.5</v>
      </c>
      <c r="L3088" s="5" t="str">
        <f>TEXT(Store_Record[[#This Row],[Date]],"dddd")</f>
        <v>Tuesday</v>
      </c>
      <c r="M3088" s="5" t="str">
        <f>TEXT(Store_Record[[#This Row],[Date]],"mmmm")</f>
        <v>August</v>
      </c>
      <c r="N3088" s="5">
        <f>YEAR(Store_Record[[#This Row],[Date]])</f>
        <v>2025</v>
      </c>
      <c r="O3088"/>
    </row>
    <row r="3089" spans="1:15" x14ac:dyDescent="0.35">
      <c r="A3089" t="s">
        <v>4051</v>
      </c>
      <c r="B3089" s="2">
        <v>45881</v>
      </c>
      <c r="C3089" t="s">
        <v>24</v>
      </c>
      <c r="D3089" t="s">
        <v>47</v>
      </c>
      <c r="E3089" t="s">
        <v>34</v>
      </c>
      <c r="F3089" t="s">
        <v>31</v>
      </c>
      <c r="G3089">
        <v>1</v>
      </c>
      <c r="H3089">
        <v>2.2000000000000002</v>
      </c>
      <c r="I3089" t="s">
        <v>21</v>
      </c>
      <c r="J3089" t="s">
        <v>1948</v>
      </c>
      <c r="K3089" s="12">
        <f>Store_Record[[#This Row],[Qty]]*Store_Record[[#This Row],[UnitPriceGBP]]</f>
        <v>2.2000000000000002</v>
      </c>
      <c r="L3089" s="5" t="str">
        <f>TEXT(Store_Record[[#This Row],[Date]],"dddd")</f>
        <v>Tuesday</v>
      </c>
      <c r="M3089" s="5" t="str">
        <f>TEXT(Store_Record[[#This Row],[Date]],"mmmm")</f>
        <v>August</v>
      </c>
      <c r="N3089" s="5">
        <f>YEAR(Store_Record[[#This Row],[Date]])</f>
        <v>2025</v>
      </c>
      <c r="O3089"/>
    </row>
    <row r="3090" spans="1:15" x14ac:dyDescent="0.35">
      <c r="A3090" t="s">
        <v>4060</v>
      </c>
      <c r="B3090" s="2">
        <v>45882</v>
      </c>
      <c r="C3090" t="s">
        <v>10</v>
      </c>
      <c r="D3090" t="s">
        <v>47</v>
      </c>
      <c r="E3090" t="s">
        <v>12</v>
      </c>
      <c r="F3090" t="s">
        <v>13</v>
      </c>
      <c r="G3090">
        <v>5</v>
      </c>
      <c r="H3090">
        <v>2.5</v>
      </c>
      <c r="I3090" t="s">
        <v>39</v>
      </c>
      <c r="J3090" t="s">
        <v>1930</v>
      </c>
      <c r="K3090" s="12">
        <f>Store_Record[[#This Row],[Qty]]*Store_Record[[#This Row],[UnitPriceGBP]]</f>
        <v>12.5</v>
      </c>
      <c r="L3090" s="5" t="str">
        <f>TEXT(Store_Record[[#This Row],[Date]],"dddd")</f>
        <v>Wednesday</v>
      </c>
      <c r="M3090" s="5" t="str">
        <f>TEXT(Store_Record[[#This Row],[Date]],"mmmm")</f>
        <v>August</v>
      </c>
      <c r="N3090" s="5">
        <f>YEAR(Store_Record[[#This Row],[Date]])</f>
        <v>2025</v>
      </c>
      <c r="O3090"/>
    </row>
    <row r="3091" spans="1:15" x14ac:dyDescent="0.35">
      <c r="A3091" t="s">
        <v>4064</v>
      </c>
      <c r="B3091" s="2">
        <v>45882</v>
      </c>
      <c r="C3091" t="s">
        <v>24</v>
      </c>
      <c r="D3091" t="s">
        <v>47</v>
      </c>
      <c r="E3091" t="s">
        <v>26</v>
      </c>
      <c r="F3091" t="s">
        <v>13</v>
      </c>
      <c r="G3091">
        <v>3</v>
      </c>
      <c r="H3091">
        <v>3.5</v>
      </c>
      <c r="I3091" t="s">
        <v>14</v>
      </c>
      <c r="J3091" t="s">
        <v>3143</v>
      </c>
      <c r="K3091" s="12">
        <f>Store_Record[[#This Row],[Qty]]*Store_Record[[#This Row],[UnitPriceGBP]]</f>
        <v>10.5</v>
      </c>
      <c r="L3091" s="5" t="str">
        <f>TEXT(Store_Record[[#This Row],[Date]],"dddd")</f>
        <v>Wednesday</v>
      </c>
      <c r="M3091" s="5" t="str">
        <f>TEXT(Store_Record[[#This Row],[Date]],"mmmm")</f>
        <v>August</v>
      </c>
      <c r="N3091" s="5">
        <f>YEAR(Store_Record[[#This Row],[Date]])</f>
        <v>2025</v>
      </c>
      <c r="O3091"/>
    </row>
    <row r="3092" spans="1:15" x14ac:dyDescent="0.35">
      <c r="A3092" t="s">
        <v>4055</v>
      </c>
      <c r="B3092" s="2">
        <v>45882</v>
      </c>
      <c r="C3092" t="s">
        <v>36</v>
      </c>
      <c r="D3092" t="s">
        <v>25</v>
      </c>
      <c r="E3092" t="s">
        <v>12</v>
      </c>
      <c r="F3092" t="s">
        <v>13</v>
      </c>
      <c r="G3092">
        <v>4</v>
      </c>
      <c r="H3092">
        <v>2.5</v>
      </c>
      <c r="I3092" t="s">
        <v>14</v>
      </c>
      <c r="J3092" t="s">
        <v>530</v>
      </c>
      <c r="K3092" s="12">
        <f>Store_Record[[#This Row],[Qty]]*Store_Record[[#This Row],[UnitPriceGBP]]</f>
        <v>10</v>
      </c>
      <c r="L3092" s="5" t="str">
        <f>TEXT(Store_Record[[#This Row],[Date]],"dddd")</f>
        <v>Wednesday</v>
      </c>
      <c r="M3092" s="5" t="str">
        <f>TEXT(Store_Record[[#This Row],[Date]],"mmmm")</f>
        <v>August</v>
      </c>
      <c r="N3092" s="5">
        <f>YEAR(Store_Record[[#This Row],[Date]])</f>
        <v>2025</v>
      </c>
      <c r="O3092"/>
    </row>
    <row r="3093" spans="1:15" x14ac:dyDescent="0.35">
      <c r="A3093" t="s">
        <v>4062</v>
      </c>
      <c r="B3093" s="2">
        <v>45882</v>
      </c>
      <c r="C3093" t="s">
        <v>36</v>
      </c>
      <c r="D3093" t="s">
        <v>25</v>
      </c>
      <c r="E3093" t="s">
        <v>12</v>
      </c>
      <c r="F3093" t="s">
        <v>13</v>
      </c>
      <c r="G3093">
        <v>4</v>
      </c>
      <c r="H3093">
        <v>2.5</v>
      </c>
      <c r="I3093" t="s">
        <v>39</v>
      </c>
      <c r="J3093" t="s">
        <v>3039</v>
      </c>
      <c r="K3093" s="12">
        <f>Store_Record[[#This Row],[Qty]]*Store_Record[[#This Row],[UnitPriceGBP]]</f>
        <v>10</v>
      </c>
      <c r="L3093" s="5" t="str">
        <f>TEXT(Store_Record[[#This Row],[Date]],"dddd")</f>
        <v>Wednesday</v>
      </c>
      <c r="M3093" s="5" t="str">
        <f>TEXT(Store_Record[[#This Row],[Date]],"mmmm")</f>
        <v>August</v>
      </c>
      <c r="N3093" s="5">
        <f>YEAR(Store_Record[[#This Row],[Date]])</f>
        <v>2025</v>
      </c>
      <c r="O3093"/>
    </row>
    <row r="3094" spans="1:15" x14ac:dyDescent="0.35">
      <c r="A3094" t="s">
        <v>4057</v>
      </c>
      <c r="B3094" s="2">
        <v>45882</v>
      </c>
      <c r="C3094" t="s">
        <v>36</v>
      </c>
      <c r="D3094" t="s">
        <v>25</v>
      </c>
      <c r="E3094" t="s">
        <v>42</v>
      </c>
      <c r="F3094" t="s">
        <v>13</v>
      </c>
      <c r="G3094">
        <v>2</v>
      </c>
      <c r="H3094">
        <v>3.8</v>
      </c>
      <c r="I3094" t="s">
        <v>14</v>
      </c>
      <c r="J3094" t="s">
        <v>2794</v>
      </c>
      <c r="K3094" s="12">
        <f>Store_Record[[#This Row],[Qty]]*Store_Record[[#This Row],[UnitPriceGBP]]</f>
        <v>7.6</v>
      </c>
      <c r="L3094" s="5" t="str">
        <f>TEXT(Store_Record[[#This Row],[Date]],"dddd")</f>
        <v>Wednesday</v>
      </c>
      <c r="M3094" s="5" t="str">
        <f>TEXT(Store_Record[[#This Row],[Date]],"mmmm")</f>
        <v>August</v>
      </c>
      <c r="N3094" s="5">
        <f>YEAR(Store_Record[[#This Row],[Date]])</f>
        <v>2025</v>
      </c>
      <c r="O3094"/>
    </row>
    <row r="3095" spans="1:15" x14ac:dyDescent="0.35">
      <c r="A3095" t="s">
        <v>4065</v>
      </c>
      <c r="B3095" s="2">
        <v>45882</v>
      </c>
      <c r="C3095" t="s">
        <v>36</v>
      </c>
      <c r="D3095" t="s">
        <v>11</v>
      </c>
      <c r="E3095" t="s">
        <v>12</v>
      </c>
      <c r="F3095" t="s">
        <v>13</v>
      </c>
      <c r="G3095">
        <v>3</v>
      </c>
      <c r="H3095">
        <v>2.5</v>
      </c>
      <c r="I3095" t="s">
        <v>39</v>
      </c>
      <c r="J3095" t="s">
        <v>193</v>
      </c>
      <c r="K3095" s="12">
        <f>Store_Record[[#This Row],[Qty]]*Store_Record[[#This Row],[UnitPriceGBP]]</f>
        <v>7.5</v>
      </c>
      <c r="L3095" s="5" t="str">
        <f>TEXT(Store_Record[[#This Row],[Date]],"dddd")</f>
        <v>Wednesday</v>
      </c>
      <c r="M3095" s="5" t="str">
        <f>TEXT(Store_Record[[#This Row],[Date]],"mmmm")</f>
        <v>August</v>
      </c>
      <c r="N3095" s="5">
        <f>YEAR(Store_Record[[#This Row],[Date]])</f>
        <v>2025</v>
      </c>
      <c r="O3095"/>
    </row>
    <row r="3096" spans="1:15" x14ac:dyDescent="0.35">
      <c r="A3096" t="s">
        <v>4058</v>
      </c>
      <c r="B3096" s="2">
        <v>45882</v>
      </c>
      <c r="C3096" t="s">
        <v>24</v>
      </c>
      <c r="D3096" t="s">
        <v>25</v>
      </c>
      <c r="E3096" t="s">
        <v>26</v>
      </c>
      <c r="F3096" t="s">
        <v>13</v>
      </c>
      <c r="G3096">
        <v>2</v>
      </c>
      <c r="H3096">
        <v>3.5</v>
      </c>
      <c r="I3096" t="s">
        <v>21</v>
      </c>
      <c r="J3096" t="s">
        <v>3968</v>
      </c>
      <c r="K3096" s="12">
        <f>Store_Record[[#This Row],[Qty]]*Store_Record[[#This Row],[UnitPriceGBP]]</f>
        <v>7</v>
      </c>
      <c r="L3096" s="5" t="str">
        <f>TEXT(Store_Record[[#This Row],[Date]],"dddd")</f>
        <v>Wednesday</v>
      </c>
      <c r="M3096" s="5" t="str">
        <f>TEXT(Store_Record[[#This Row],[Date]],"mmmm")</f>
        <v>August</v>
      </c>
      <c r="N3096" s="5">
        <f>YEAR(Store_Record[[#This Row],[Date]])</f>
        <v>2025</v>
      </c>
      <c r="O3096"/>
    </row>
    <row r="3097" spans="1:15" x14ac:dyDescent="0.35">
      <c r="A3097" t="s">
        <v>4063</v>
      </c>
      <c r="B3097" s="2">
        <v>45882</v>
      </c>
      <c r="C3097" t="s">
        <v>20</v>
      </c>
      <c r="D3097" t="s">
        <v>25</v>
      </c>
      <c r="E3097" t="s">
        <v>12</v>
      </c>
      <c r="F3097" t="s">
        <v>13</v>
      </c>
      <c r="G3097">
        <v>2</v>
      </c>
      <c r="H3097">
        <v>2.5</v>
      </c>
      <c r="I3097" t="s">
        <v>21</v>
      </c>
      <c r="J3097" t="s">
        <v>644</v>
      </c>
      <c r="K3097" s="12">
        <f>Store_Record[[#This Row],[Qty]]*Store_Record[[#This Row],[UnitPriceGBP]]</f>
        <v>5</v>
      </c>
      <c r="L3097" s="5" t="str">
        <f>TEXT(Store_Record[[#This Row],[Date]],"dddd")</f>
        <v>Wednesday</v>
      </c>
      <c r="M3097" s="5" t="str">
        <f>TEXT(Store_Record[[#This Row],[Date]],"mmmm")</f>
        <v>August</v>
      </c>
      <c r="N3097" s="5">
        <f>YEAR(Store_Record[[#This Row],[Date]])</f>
        <v>2025</v>
      </c>
      <c r="O3097"/>
    </row>
    <row r="3098" spans="1:15" x14ac:dyDescent="0.35">
      <c r="A3098" t="s">
        <v>4056</v>
      </c>
      <c r="B3098" s="2">
        <v>45882</v>
      </c>
      <c r="C3098" t="s">
        <v>36</v>
      </c>
      <c r="D3098" t="s">
        <v>25</v>
      </c>
      <c r="E3098" t="s">
        <v>26</v>
      </c>
      <c r="F3098" t="s">
        <v>13</v>
      </c>
      <c r="G3098">
        <v>1</v>
      </c>
      <c r="H3098">
        <v>3.5</v>
      </c>
      <c r="I3098" t="s">
        <v>21</v>
      </c>
      <c r="J3098" t="s">
        <v>3735</v>
      </c>
      <c r="K3098" s="12">
        <f>Store_Record[[#This Row],[Qty]]*Store_Record[[#This Row],[UnitPriceGBP]]</f>
        <v>3.5</v>
      </c>
      <c r="L3098" s="5" t="str">
        <f>TEXT(Store_Record[[#This Row],[Date]],"dddd")</f>
        <v>Wednesday</v>
      </c>
      <c r="M3098" s="5" t="str">
        <f>TEXT(Store_Record[[#This Row],[Date]],"mmmm")</f>
        <v>August</v>
      </c>
      <c r="N3098" s="5">
        <f>YEAR(Store_Record[[#This Row],[Date]])</f>
        <v>2025</v>
      </c>
      <c r="O3098"/>
    </row>
    <row r="3099" spans="1:15" x14ac:dyDescent="0.35">
      <c r="A3099" t="s">
        <v>4061</v>
      </c>
      <c r="B3099" s="2">
        <v>45882</v>
      </c>
      <c r="C3099" t="s">
        <v>20</v>
      </c>
      <c r="D3099" t="s">
        <v>47</v>
      </c>
      <c r="E3099" t="s">
        <v>30</v>
      </c>
      <c r="F3099" t="s">
        <v>31</v>
      </c>
      <c r="G3099">
        <v>1</v>
      </c>
      <c r="H3099">
        <v>2.8</v>
      </c>
      <c r="I3099" t="s">
        <v>21</v>
      </c>
      <c r="J3099" t="s">
        <v>448</v>
      </c>
      <c r="K3099" s="12">
        <f>Store_Record[[#This Row],[Qty]]*Store_Record[[#This Row],[UnitPriceGBP]]</f>
        <v>2.8</v>
      </c>
      <c r="L3099" s="5" t="str">
        <f>TEXT(Store_Record[[#This Row],[Date]],"dddd")</f>
        <v>Wednesday</v>
      </c>
      <c r="M3099" s="5" t="str">
        <f>TEXT(Store_Record[[#This Row],[Date]],"mmmm")</f>
        <v>August</v>
      </c>
      <c r="N3099" s="5">
        <f>YEAR(Store_Record[[#This Row],[Date]])</f>
        <v>2025</v>
      </c>
      <c r="O3099"/>
    </row>
    <row r="3100" spans="1:15" x14ac:dyDescent="0.35">
      <c r="A3100" t="s">
        <v>4059</v>
      </c>
      <c r="B3100" s="2">
        <v>45882</v>
      </c>
      <c r="C3100" t="s">
        <v>20</v>
      </c>
      <c r="D3100" t="s">
        <v>29</v>
      </c>
      <c r="E3100" t="s">
        <v>12</v>
      </c>
      <c r="F3100" t="s">
        <v>13</v>
      </c>
      <c r="G3100">
        <v>1</v>
      </c>
      <c r="H3100">
        <v>2.5</v>
      </c>
      <c r="I3100" t="s">
        <v>39</v>
      </c>
      <c r="J3100" t="s">
        <v>2825</v>
      </c>
      <c r="K3100" s="12">
        <f>Store_Record[[#This Row],[Qty]]*Store_Record[[#This Row],[UnitPriceGBP]]</f>
        <v>2.5</v>
      </c>
      <c r="L3100" s="5" t="str">
        <f>TEXT(Store_Record[[#This Row],[Date]],"dddd")</f>
        <v>Wednesday</v>
      </c>
      <c r="M3100" s="5" t="str">
        <f>TEXT(Store_Record[[#This Row],[Date]],"mmmm")</f>
        <v>August</v>
      </c>
      <c r="N3100" s="5">
        <f>YEAR(Store_Record[[#This Row],[Date]])</f>
        <v>2025</v>
      </c>
      <c r="O3100"/>
    </row>
    <row r="3101" spans="1:15" x14ac:dyDescent="0.35">
      <c r="A3101" t="s">
        <v>4054</v>
      </c>
      <c r="B3101" s="2">
        <v>45882</v>
      </c>
      <c r="C3101" t="s">
        <v>20</v>
      </c>
      <c r="D3101" t="s">
        <v>38</v>
      </c>
      <c r="E3101" t="s">
        <v>34</v>
      </c>
      <c r="F3101" t="s">
        <v>31</v>
      </c>
      <c r="G3101">
        <v>1</v>
      </c>
      <c r="H3101">
        <v>2.2000000000000002</v>
      </c>
      <c r="I3101" t="s">
        <v>39</v>
      </c>
      <c r="J3101" t="s">
        <v>1622</v>
      </c>
      <c r="K3101" s="12">
        <f>Store_Record[[#This Row],[Qty]]*Store_Record[[#This Row],[UnitPriceGBP]]</f>
        <v>2.2000000000000002</v>
      </c>
      <c r="L3101" s="5" t="str">
        <f>TEXT(Store_Record[[#This Row],[Date]],"dddd")</f>
        <v>Wednesday</v>
      </c>
      <c r="M3101" s="5" t="str">
        <f>TEXT(Store_Record[[#This Row],[Date]],"mmmm")</f>
        <v>August</v>
      </c>
      <c r="N3101" s="5">
        <f>YEAR(Store_Record[[#This Row],[Date]])</f>
        <v>2025</v>
      </c>
      <c r="O3101"/>
    </row>
    <row r="3102" spans="1:15" x14ac:dyDescent="0.35">
      <c r="A3102" t="s">
        <v>4069</v>
      </c>
      <c r="B3102" s="2">
        <v>45883</v>
      </c>
      <c r="C3102" t="s">
        <v>24</v>
      </c>
      <c r="D3102" t="s">
        <v>47</v>
      </c>
      <c r="E3102" t="s">
        <v>42</v>
      </c>
      <c r="F3102" t="s">
        <v>13</v>
      </c>
      <c r="G3102">
        <v>5</v>
      </c>
      <c r="H3102">
        <v>3.8</v>
      </c>
      <c r="I3102" t="s">
        <v>14</v>
      </c>
      <c r="J3102" t="s">
        <v>906</v>
      </c>
      <c r="K3102" s="12">
        <f>Store_Record[[#This Row],[Qty]]*Store_Record[[#This Row],[UnitPriceGBP]]</f>
        <v>19</v>
      </c>
      <c r="L3102" s="5" t="str">
        <f>TEXT(Store_Record[[#This Row],[Date]],"dddd")</f>
        <v>Thursday</v>
      </c>
      <c r="M3102" s="5" t="str">
        <f>TEXT(Store_Record[[#This Row],[Date]],"mmmm")</f>
        <v>August</v>
      </c>
      <c r="N3102" s="5">
        <f>YEAR(Store_Record[[#This Row],[Date]])</f>
        <v>2025</v>
      </c>
      <c r="O3102"/>
    </row>
    <row r="3103" spans="1:15" x14ac:dyDescent="0.35">
      <c r="A3103" t="s">
        <v>4071</v>
      </c>
      <c r="B3103" s="2">
        <v>45883</v>
      </c>
      <c r="C3103" t="s">
        <v>36</v>
      </c>
      <c r="D3103" t="s">
        <v>29</v>
      </c>
      <c r="E3103" t="s">
        <v>42</v>
      </c>
      <c r="F3103" t="s">
        <v>13</v>
      </c>
      <c r="G3103">
        <v>5</v>
      </c>
      <c r="H3103">
        <v>3.8</v>
      </c>
      <c r="I3103" t="s">
        <v>21</v>
      </c>
      <c r="J3103" t="s">
        <v>620</v>
      </c>
      <c r="K3103" s="12">
        <f>Store_Record[[#This Row],[Qty]]*Store_Record[[#This Row],[UnitPriceGBP]]</f>
        <v>19</v>
      </c>
      <c r="L3103" s="5" t="str">
        <f>TEXT(Store_Record[[#This Row],[Date]],"dddd")</f>
        <v>Thursday</v>
      </c>
      <c r="M3103" s="5" t="str">
        <f>TEXT(Store_Record[[#This Row],[Date]],"mmmm")</f>
        <v>August</v>
      </c>
      <c r="N3103" s="5">
        <f>YEAR(Store_Record[[#This Row],[Date]])</f>
        <v>2025</v>
      </c>
      <c r="O3103"/>
    </row>
    <row r="3104" spans="1:15" x14ac:dyDescent="0.35">
      <c r="A3104" t="s">
        <v>4067</v>
      </c>
      <c r="B3104" s="2">
        <v>45883</v>
      </c>
      <c r="C3104" t="s">
        <v>24</v>
      </c>
      <c r="D3104" t="s">
        <v>47</v>
      </c>
      <c r="E3104" t="s">
        <v>26</v>
      </c>
      <c r="F3104" t="s">
        <v>13</v>
      </c>
      <c r="G3104">
        <v>5</v>
      </c>
      <c r="H3104">
        <v>3.5</v>
      </c>
      <c r="I3104" t="s">
        <v>14</v>
      </c>
      <c r="J3104" t="s">
        <v>454</v>
      </c>
      <c r="K3104" s="12">
        <f>Store_Record[[#This Row],[Qty]]*Store_Record[[#This Row],[UnitPriceGBP]]</f>
        <v>17.5</v>
      </c>
      <c r="L3104" s="5" t="str">
        <f>TEXT(Store_Record[[#This Row],[Date]],"dddd")</f>
        <v>Thursday</v>
      </c>
      <c r="M3104" s="5" t="str">
        <f>TEXT(Store_Record[[#This Row],[Date]],"mmmm")</f>
        <v>August</v>
      </c>
      <c r="N3104" s="5">
        <f>YEAR(Store_Record[[#This Row],[Date]])</f>
        <v>2025</v>
      </c>
      <c r="O3104"/>
    </row>
    <row r="3105" spans="1:15" x14ac:dyDescent="0.35">
      <c r="A3105" t="s">
        <v>4078</v>
      </c>
      <c r="B3105" s="2">
        <v>45883</v>
      </c>
      <c r="C3105" t="s">
        <v>10</v>
      </c>
      <c r="D3105" t="s">
        <v>38</v>
      </c>
      <c r="E3105" t="s">
        <v>26</v>
      </c>
      <c r="F3105" t="s">
        <v>13</v>
      </c>
      <c r="G3105">
        <v>5</v>
      </c>
      <c r="H3105">
        <v>3.5</v>
      </c>
      <c r="I3105" t="s">
        <v>39</v>
      </c>
      <c r="J3105" t="s">
        <v>1632</v>
      </c>
      <c r="K3105" s="12">
        <f>Store_Record[[#This Row],[Qty]]*Store_Record[[#This Row],[UnitPriceGBP]]</f>
        <v>17.5</v>
      </c>
      <c r="L3105" s="5" t="str">
        <f>TEXT(Store_Record[[#This Row],[Date]],"dddd")</f>
        <v>Thursday</v>
      </c>
      <c r="M3105" s="5" t="str">
        <f>TEXT(Store_Record[[#This Row],[Date]],"mmmm")</f>
        <v>August</v>
      </c>
      <c r="N3105" s="5">
        <f>YEAR(Store_Record[[#This Row],[Date]])</f>
        <v>2025</v>
      </c>
      <c r="O3105"/>
    </row>
    <row r="3106" spans="1:15" x14ac:dyDescent="0.35">
      <c r="A3106" t="s">
        <v>4080</v>
      </c>
      <c r="B3106" s="2">
        <v>45883</v>
      </c>
      <c r="C3106" t="s">
        <v>20</v>
      </c>
      <c r="D3106" t="s">
        <v>152</v>
      </c>
      <c r="E3106" t="s">
        <v>26</v>
      </c>
      <c r="F3106" t="s">
        <v>13</v>
      </c>
      <c r="G3106">
        <v>5</v>
      </c>
      <c r="H3106">
        <v>3.5</v>
      </c>
      <c r="I3106" t="s">
        <v>39</v>
      </c>
      <c r="J3106" t="s">
        <v>140</v>
      </c>
      <c r="K3106" s="12">
        <f>Store_Record[[#This Row],[Qty]]*Store_Record[[#This Row],[UnitPriceGBP]]</f>
        <v>17.5</v>
      </c>
      <c r="L3106" s="5" t="str">
        <f>TEXT(Store_Record[[#This Row],[Date]],"dddd")</f>
        <v>Thursday</v>
      </c>
      <c r="M3106" s="5" t="str">
        <f>TEXT(Store_Record[[#This Row],[Date]],"mmmm")</f>
        <v>August</v>
      </c>
      <c r="N3106" s="5">
        <f>YEAR(Store_Record[[#This Row],[Date]])</f>
        <v>2025</v>
      </c>
      <c r="O3106"/>
    </row>
    <row r="3107" spans="1:15" x14ac:dyDescent="0.35">
      <c r="A3107" t="s">
        <v>4075</v>
      </c>
      <c r="B3107" s="2">
        <v>45883</v>
      </c>
      <c r="C3107" t="s">
        <v>24</v>
      </c>
      <c r="D3107" t="s">
        <v>47</v>
      </c>
      <c r="E3107" t="s">
        <v>30</v>
      </c>
      <c r="F3107" t="s">
        <v>31</v>
      </c>
      <c r="G3107">
        <v>5</v>
      </c>
      <c r="H3107">
        <v>2.8</v>
      </c>
      <c r="I3107" t="s">
        <v>21</v>
      </c>
      <c r="J3107" t="s">
        <v>1165</v>
      </c>
      <c r="K3107" s="12">
        <f>Store_Record[[#This Row],[Qty]]*Store_Record[[#This Row],[UnitPriceGBP]]</f>
        <v>14</v>
      </c>
      <c r="L3107" s="5" t="str">
        <f>TEXT(Store_Record[[#This Row],[Date]],"dddd")</f>
        <v>Thursday</v>
      </c>
      <c r="M3107" s="5" t="str">
        <f>TEXT(Store_Record[[#This Row],[Date]],"mmmm")</f>
        <v>August</v>
      </c>
      <c r="N3107" s="5">
        <f>YEAR(Store_Record[[#This Row],[Date]])</f>
        <v>2025</v>
      </c>
      <c r="O3107"/>
    </row>
    <row r="3108" spans="1:15" x14ac:dyDescent="0.35">
      <c r="A3108" t="s">
        <v>4082</v>
      </c>
      <c r="B3108" s="2">
        <v>45883</v>
      </c>
      <c r="C3108" t="s">
        <v>36</v>
      </c>
      <c r="D3108" t="s">
        <v>29</v>
      </c>
      <c r="E3108" t="s">
        <v>30</v>
      </c>
      <c r="F3108" t="s">
        <v>31</v>
      </c>
      <c r="G3108">
        <v>5</v>
      </c>
      <c r="H3108">
        <v>2.8</v>
      </c>
      <c r="I3108" t="s">
        <v>21</v>
      </c>
      <c r="J3108" t="s">
        <v>545</v>
      </c>
      <c r="K3108" s="12">
        <f>Store_Record[[#This Row],[Qty]]*Store_Record[[#This Row],[UnitPriceGBP]]</f>
        <v>14</v>
      </c>
      <c r="L3108" s="5" t="str">
        <f>TEXT(Store_Record[[#This Row],[Date]],"dddd")</f>
        <v>Thursday</v>
      </c>
      <c r="M3108" s="5" t="str">
        <f>TEXT(Store_Record[[#This Row],[Date]],"mmmm")</f>
        <v>August</v>
      </c>
      <c r="N3108" s="5">
        <f>YEAR(Store_Record[[#This Row],[Date]])</f>
        <v>2025</v>
      </c>
      <c r="O3108"/>
    </row>
    <row r="3109" spans="1:15" x14ac:dyDescent="0.35">
      <c r="A3109" t="s">
        <v>4068</v>
      </c>
      <c r="B3109" s="2">
        <v>45883</v>
      </c>
      <c r="C3109" t="s">
        <v>36</v>
      </c>
      <c r="D3109" t="s">
        <v>11</v>
      </c>
      <c r="E3109" t="s">
        <v>12</v>
      </c>
      <c r="F3109" t="s">
        <v>13</v>
      </c>
      <c r="G3109">
        <v>5</v>
      </c>
      <c r="H3109">
        <v>2.5</v>
      </c>
      <c r="I3109" t="s">
        <v>21</v>
      </c>
      <c r="J3109" t="s">
        <v>2825</v>
      </c>
      <c r="K3109" s="12">
        <f>Store_Record[[#This Row],[Qty]]*Store_Record[[#This Row],[UnitPriceGBP]]</f>
        <v>12.5</v>
      </c>
      <c r="L3109" s="5" t="str">
        <f>TEXT(Store_Record[[#This Row],[Date]],"dddd")</f>
        <v>Thursday</v>
      </c>
      <c r="M3109" s="5" t="str">
        <f>TEXT(Store_Record[[#This Row],[Date]],"mmmm")</f>
        <v>August</v>
      </c>
      <c r="N3109" s="5">
        <f>YEAR(Store_Record[[#This Row],[Date]])</f>
        <v>2025</v>
      </c>
      <c r="O3109"/>
    </row>
    <row r="3110" spans="1:15" x14ac:dyDescent="0.35">
      <c r="A3110" t="s">
        <v>4083</v>
      </c>
      <c r="B3110" s="2">
        <v>45883</v>
      </c>
      <c r="C3110" t="s">
        <v>36</v>
      </c>
      <c r="D3110" t="s">
        <v>47</v>
      </c>
      <c r="E3110" t="s">
        <v>12</v>
      </c>
      <c r="F3110" t="s">
        <v>13</v>
      </c>
      <c r="G3110">
        <v>5</v>
      </c>
      <c r="H3110">
        <v>2.5</v>
      </c>
      <c r="I3110" t="s">
        <v>21</v>
      </c>
      <c r="J3110" t="s">
        <v>1316</v>
      </c>
      <c r="K3110" s="12">
        <f>Store_Record[[#This Row],[Qty]]*Store_Record[[#This Row],[UnitPriceGBP]]</f>
        <v>12.5</v>
      </c>
      <c r="L3110" s="5" t="str">
        <f>TEXT(Store_Record[[#This Row],[Date]],"dddd")</f>
        <v>Thursday</v>
      </c>
      <c r="M3110" s="5" t="str">
        <f>TEXT(Store_Record[[#This Row],[Date]],"mmmm")</f>
        <v>August</v>
      </c>
      <c r="N3110" s="5">
        <f>YEAR(Store_Record[[#This Row],[Date]])</f>
        <v>2025</v>
      </c>
      <c r="O3110"/>
    </row>
    <row r="3111" spans="1:15" x14ac:dyDescent="0.35">
      <c r="A3111" t="s">
        <v>4081</v>
      </c>
      <c r="B3111" s="2">
        <v>45883</v>
      </c>
      <c r="C3111" t="s">
        <v>24</v>
      </c>
      <c r="D3111" t="s">
        <v>11</v>
      </c>
      <c r="E3111" t="s">
        <v>30</v>
      </c>
      <c r="F3111" t="s">
        <v>31</v>
      </c>
      <c r="G3111">
        <v>3</v>
      </c>
      <c r="H3111">
        <v>2.8</v>
      </c>
      <c r="I3111" t="s">
        <v>39</v>
      </c>
      <c r="J3111" t="s">
        <v>650</v>
      </c>
      <c r="K3111" s="12">
        <f>Store_Record[[#This Row],[Qty]]*Store_Record[[#This Row],[UnitPriceGBP]]</f>
        <v>8.3999999999999986</v>
      </c>
      <c r="L3111" s="5" t="str">
        <f>TEXT(Store_Record[[#This Row],[Date]],"dddd")</f>
        <v>Thursday</v>
      </c>
      <c r="M3111" s="5" t="str">
        <f>TEXT(Store_Record[[#This Row],[Date]],"mmmm")</f>
        <v>August</v>
      </c>
      <c r="N3111" s="5">
        <f>YEAR(Store_Record[[#This Row],[Date]])</f>
        <v>2025</v>
      </c>
      <c r="O3111"/>
    </row>
    <row r="3112" spans="1:15" x14ac:dyDescent="0.35">
      <c r="A3112" t="s">
        <v>4066</v>
      </c>
      <c r="B3112" s="2">
        <v>45883</v>
      </c>
      <c r="C3112" t="s">
        <v>24</v>
      </c>
      <c r="D3112" t="s">
        <v>47</v>
      </c>
      <c r="E3112" t="s">
        <v>12</v>
      </c>
      <c r="F3112" t="s">
        <v>13</v>
      </c>
      <c r="G3112">
        <v>3</v>
      </c>
      <c r="H3112">
        <v>2.5</v>
      </c>
      <c r="I3112" t="s">
        <v>14</v>
      </c>
      <c r="J3112" t="s">
        <v>551</v>
      </c>
      <c r="K3112" s="12">
        <f>Store_Record[[#This Row],[Qty]]*Store_Record[[#This Row],[UnitPriceGBP]]</f>
        <v>7.5</v>
      </c>
      <c r="L3112" s="5" t="str">
        <f>TEXT(Store_Record[[#This Row],[Date]],"dddd")</f>
        <v>Thursday</v>
      </c>
      <c r="M3112" s="5" t="str">
        <f>TEXT(Store_Record[[#This Row],[Date]],"mmmm")</f>
        <v>August</v>
      </c>
      <c r="N3112" s="5">
        <f>YEAR(Store_Record[[#This Row],[Date]])</f>
        <v>2025</v>
      </c>
      <c r="O3112"/>
    </row>
    <row r="3113" spans="1:15" x14ac:dyDescent="0.35">
      <c r="A3113" t="s">
        <v>4070</v>
      </c>
      <c r="B3113" s="2">
        <v>45883</v>
      </c>
      <c r="C3113" t="s">
        <v>24</v>
      </c>
      <c r="D3113" t="s">
        <v>11</v>
      </c>
      <c r="E3113" t="s">
        <v>30</v>
      </c>
      <c r="F3113" t="s">
        <v>31</v>
      </c>
      <c r="G3113">
        <v>2</v>
      </c>
      <c r="H3113">
        <v>2.8</v>
      </c>
      <c r="I3113" t="s">
        <v>14</v>
      </c>
      <c r="J3113" t="s">
        <v>532</v>
      </c>
      <c r="K3113" s="12">
        <f>Store_Record[[#This Row],[Qty]]*Store_Record[[#This Row],[UnitPriceGBP]]</f>
        <v>5.6</v>
      </c>
      <c r="L3113" s="5" t="str">
        <f>TEXT(Store_Record[[#This Row],[Date]],"dddd")</f>
        <v>Thursday</v>
      </c>
      <c r="M3113" s="5" t="str">
        <f>TEXT(Store_Record[[#This Row],[Date]],"mmmm")</f>
        <v>August</v>
      </c>
      <c r="N3113" s="5">
        <f>YEAR(Store_Record[[#This Row],[Date]])</f>
        <v>2025</v>
      </c>
      <c r="O3113"/>
    </row>
    <row r="3114" spans="1:15" x14ac:dyDescent="0.35">
      <c r="A3114" t="s">
        <v>4072</v>
      </c>
      <c r="B3114" s="2">
        <v>45883</v>
      </c>
      <c r="C3114" t="s">
        <v>24</v>
      </c>
      <c r="D3114" t="s">
        <v>29</v>
      </c>
      <c r="E3114" t="s">
        <v>30</v>
      </c>
      <c r="F3114" t="s">
        <v>31</v>
      </c>
      <c r="G3114">
        <v>2</v>
      </c>
      <c r="H3114">
        <v>2.8</v>
      </c>
      <c r="I3114" t="s">
        <v>39</v>
      </c>
      <c r="J3114" t="s">
        <v>4073</v>
      </c>
      <c r="K3114" s="12">
        <f>Store_Record[[#This Row],[Qty]]*Store_Record[[#This Row],[UnitPriceGBP]]</f>
        <v>5.6</v>
      </c>
      <c r="L3114" s="5" t="str">
        <f>TEXT(Store_Record[[#This Row],[Date]],"dddd")</f>
        <v>Thursday</v>
      </c>
      <c r="M3114" s="5" t="str">
        <f>TEXT(Store_Record[[#This Row],[Date]],"mmmm")</f>
        <v>August</v>
      </c>
      <c r="N3114" s="5">
        <f>YEAR(Store_Record[[#This Row],[Date]])</f>
        <v>2025</v>
      </c>
      <c r="O3114"/>
    </row>
    <row r="3115" spans="1:15" x14ac:dyDescent="0.35">
      <c r="A3115" t="s">
        <v>4077</v>
      </c>
      <c r="B3115" s="2">
        <v>45883</v>
      </c>
      <c r="C3115" t="s">
        <v>36</v>
      </c>
      <c r="D3115" t="s">
        <v>25</v>
      </c>
      <c r="E3115" t="s">
        <v>12</v>
      </c>
      <c r="F3115" t="s">
        <v>13</v>
      </c>
      <c r="G3115">
        <v>2</v>
      </c>
      <c r="H3115">
        <v>2.5</v>
      </c>
      <c r="I3115" t="s">
        <v>21</v>
      </c>
      <c r="J3115" t="s">
        <v>1015</v>
      </c>
      <c r="K3115" s="12">
        <f>Store_Record[[#This Row],[Qty]]*Store_Record[[#This Row],[UnitPriceGBP]]</f>
        <v>5</v>
      </c>
      <c r="L3115" s="5" t="str">
        <f>TEXT(Store_Record[[#This Row],[Date]],"dddd")</f>
        <v>Thursday</v>
      </c>
      <c r="M3115" s="5" t="str">
        <f>TEXT(Store_Record[[#This Row],[Date]],"mmmm")</f>
        <v>August</v>
      </c>
      <c r="N3115" s="5">
        <f>YEAR(Store_Record[[#This Row],[Date]])</f>
        <v>2025</v>
      </c>
      <c r="O3115"/>
    </row>
    <row r="3116" spans="1:15" x14ac:dyDescent="0.35">
      <c r="A3116" t="s">
        <v>4084</v>
      </c>
      <c r="B3116" s="2">
        <v>45883</v>
      </c>
      <c r="C3116" t="s">
        <v>20</v>
      </c>
      <c r="D3116" t="s">
        <v>29</v>
      </c>
      <c r="E3116" t="s">
        <v>42</v>
      </c>
      <c r="F3116" t="s">
        <v>13</v>
      </c>
      <c r="G3116">
        <v>1</v>
      </c>
      <c r="H3116">
        <v>3.8</v>
      </c>
      <c r="I3116" t="s">
        <v>14</v>
      </c>
      <c r="J3116" t="s">
        <v>101</v>
      </c>
      <c r="K3116" s="12">
        <f>Store_Record[[#This Row],[Qty]]*Store_Record[[#This Row],[UnitPriceGBP]]</f>
        <v>3.8</v>
      </c>
      <c r="L3116" s="5" t="str">
        <f>TEXT(Store_Record[[#This Row],[Date]],"dddd")</f>
        <v>Thursday</v>
      </c>
      <c r="M3116" s="5" t="str">
        <f>TEXT(Store_Record[[#This Row],[Date]],"mmmm")</f>
        <v>August</v>
      </c>
      <c r="N3116" s="5">
        <f>YEAR(Store_Record[[#This Row],[Date]])</f>
        <v>2025</v>
      </c>
      <c r="O3116"/>
    </row>
    <row r="3117" spans="1:15" x14ac:dyDescent="0.35">
      <c r="A3117" t="s">
        <v>4074</v>
      </c>
      <c r="B3117" s="2">
        <v>45883</v>
      </c>
      <c r="C3117" t="s">
        <v>20</v>
      </c>
      <c r="D3117" t="s">
        <v>38</v>
      </c>
      <c r="E3117" t="s">
        <v>12</v>
      </c>
      <c r="F3117" t="s">
        <v>13</v>
      </c>
      <c r="G3117">
        <v>1</v>
      </c>
      <c r="H3117">
        <v>2.5</v>
      </c>
      <c r="I3117" t="s">
        <v>14</v>
      </c>
      <c r="J3117" t="s">
        <v>918</v>
      </c>
      <c r="K3117" s="12">
        <f>Store_Record[[#This Row],[Qty]]*Store_Record[[#This Row],[UnitPriceGBP]]</f>
        <v>2.5</v>
      </c>
      <c r="L3117" s="5" t="str">
        <f>TEXT(Store_Record[[#This Row],[Date]],"dddd")</f>
        <v>Thursday</v>
      </c>
      <c r="M3117" s="5" t="str">
        <f>TEXT(Store_Record[[#This Row],[Date]],"mmmm")</f>
        <v>August</v>
      </c>
      <c r="N3117" s="5">
        <f>YEAR(Store_Record[[#This Row],[Date]])</f>
        <v>2025</v>
      </c>
      <c r="O3117"/>
    </row>
    <row r="3118" spans="1:15" x14ac:dyDescent="0.35">
      <c r="A3118" t="s">
        <v>4076</v>
      </c>
      <c r="B3118" s="2">
        <v>45883</v>
      </c>
      <c r="C3118" t="s">
        <v>36</v>
      </c>
      <c r="D3118" t="s">
        <v>11</v>
      </c>
      <c r="E3118" t="s">
        <v>34</v>
      </c>
      <c r="F3118" t="s">
        <v>31</v>
      </c>
      <c r="G3118">
        <v>1</v>
      </c>
      <c r="H3118">
        <v>2.2000000000000002</v>
      </c>
      <c r="I3118" t="s">
        <v>14</v>
      </c>
      <c r="J3118" t="s">
        <v>1173</v>
      </c>
      <c r="K3118" s="12">
        <f>Store_Record[[#This Row],[Qty]]*Store_Record[[#This Row],[UnitPriceGBP]]</f>
        <v>2.2000000000000002</v>
      </c>
      <c r="L3118" s="5" t="str">
        <f>TEXT(Store_Record[[#This Row],[Date]],"dddd")</f>
        <v>Thursday</v>
      </c>
      <c r="M3118" s="5" t="str">
        <f>TEXT(Store_Record[[#This Row],[Date]],"mmmm")</f>
        <v>August</v>
      </c>
      <c r="N3118" s="5">
        <f>YEAR(Store_Record[[#This Row],[Date]])</f>
        <v>2025</v>
      </c>
      <c r="O3118"/>
    </row>
    <row r="3119" spans="1:15" x14ac:dyDescent="0.35">
      <c r="A3119" t="s">
        <v>4079</v>
      </c>
      <c r="B3119" s="2">
        <v>45883</v>
      </c>
      <c r="C3119" t="s">
        <v>10</v>
      </c>
      <c r="D3119" t="s">
        <v>47</v>
      </c>
      <c r="E3119" t="s">
        <v>34</v>
      </c>
      <c r="F3119" t="s">
        <v>31</v>
      </c>
      <c r="G3119">
        <v>1</v>
      </c>
      <c r="H3119">
        <v>2.2000000000000002</v>
      </c>
      <c r="I3119" t="s">
        <v>14</v>
      </c>
      <c r="J3119" t="s">
        <v>958</v>
      </c>
      <c r="K3119" s="12">
        <f>Store_Record[[#This Row],[Qty]]*Store_Record[[#This Row],[UnitPriceGBP]]</f>
        <v>2.2000000000000002</v>
      </c>
      <c r="L3119" s="5" t="str">
        <f>TEXT(Store_Record[[#This Row],[Date]],"dddd")</f>
        <v>Thursday</v>
      </c>
      <c r="M3119" s="5" t="str">
        <f>TEXT(Store_Record[[#This Row],[Date]],"mmmm")</f>
        <v>August</v>
      </c>
      <c r="N3119" s="5">
        <f>YEAR(Store_Record[[#This Row],[Date]])</f>
        <v>2025</v>
      </c>
      <c r="O3119"/>
    </row>
    <row r="3120" spans="1:15" x14ac:dyDescent="0.35">
      <c r="A3120" t="s">
        <v>4085</v>
      </c>
      <c r="B3120" s="2">
        <v>45884</v>
      </c>
      <c r="C3120" t="s">
        <v>24</v>
      </c>
      <c r="D3120" t="s">
        <v>38</v>
      </c>
      <c r="E3120" t="s">
        <v>42</v>
      </c>
      <c r="F3120" t="s">
        <v>13</v>
      </c>
      <c r="G3120">
        <v>5</v>
      </c>
      <c r="H3120">
        <v>3.8</v>
      </c>
      <c r="I3120" t="s">
        <v>14</v>
      </c>
      <c r="J3120" t="s">
        <v>1141</v>
      </c>
      <c r="K3120" s="12">
        <f>Store_Record[[#This Row],[Qty]]*Store_Record[[#This Row],[UnitPriceGBP]]</f>
        <v>19</v>
      </c>
      <c r="L3120" s="5" t="str">
        <f>TEXT(Store_Record[[#This Row],[Date]],"dddd")</f>
        <v>Friday</v>
      </c>
      <c r="M3120" s="5" t="str">
        <f>TEXT(Store_Record[[#This Row],[Date]],"mmmm")</f>
        <v>August</v>
      </c>
      <c r="N3120" s="5">
        <f>YEAR(Store_Record[[#This Row],[Date]])</f>
        <v>2025</v>
      </c>
      <c r="O3120"/>
    </row>
    <row r="3121" spans="1:15" x14ac:dyDescent="0.35">
      <c r="A3121" t="s">
        <v>4086</v>
      </c>
      <c r="B3121" s="2">
        <v>45884</v>
      </c>
      <c r="C3121" t="s">
        <v>24</v>
      </c>
      <c r="D3121" t="s">
        <v>38</v>
      </c>
      <c r="E3121" t="s">
        <v>42</v>
      </c>
      <c r="F3121" t="s">
        <v>13</v>
      </c>
      <c r="G3121">
        <v>5</v>
      </c>
      <c r="H3121">
        <v>3.8</v>
      </c>
      <c r="I3121" t="s">
        <v>14</v>
      </c>
      <c r="J3121" t="s">
        <v>646</v>
      </c>
      <c r="K3121" s="12">
        <f>Store_Record[[#This Row],[Qty]]*Store_Record[[#This Row],[UnitPriceGBP]]</f>
        <v>19</v>
      </c>
      <c r="L3121" s="5" t="str">
        <f>TEXT(Store_Record[[#This Row],[Date]],"dddd")</f>
        <v>Friday</v>
      </c>
      <c r="M3121" s="5" t="str">
        <f>TEXT(Store_Record[[#This Row],[Date]],"mmmm")</f>
        <v>August</v>
      </c>
      <c r="N3121" s="5">
        <f>YEAR(Store_Record[[#This Row],[Date]])</f>
        <v>2025</v>
      </c>
      <c r="O3121"/>
    </row>
    <row r="3122" spans="1:15" x14ac:dyDescent="0.35">
      <c r="A3122" t="s">
        <v>4091</v>
      </c>
      <c r="B3122" s="2">
        <v>45884</v>
      </c>
      <c r="C3122" t="s">
        <v>10</v>
      </c>
      <c r="D3122" t="s">
        <v>29</v>
      </c>
      <c r="E3122" t="s">
        <v>26</v>
      </c>
      <c r="F3122" t="s">
        <v>13</v>
      </c>
      <c r="G3122">
        <v>5</v>
      </c>
      <c r="H3122">
        <v>3.5</v>
      </c>
      <c r="I3122" t="s">
        <v>14</v>
      </c>
      <c r="J3122" t="s">
        <v>817</v>
      </c>
      <c r="K3122" s="12">
        <f>Store_Record[[#This Row],[Qty]]*Store_Record[[#This Row],[UnitPriceGBP]]</f>
        <v>17.5</v>
      </c>
      <c r="L3122" s="5" t="str">
        <f>TEXT(Store_Record[[#This Row],[Date]],"dddd")</f>
        <v>Friday</v>
      </c>
      <c r="M3122" s="5" t="str">
        <f>TEXT(Store_Record[[#This Row],[Date]],"mmmm")</f>
        <v>August</v>
      </c>
      <c r="N3122" s="5">
        <f>YEAR(Store_Record[[#This Row],[Date]])</f>
        <v>2025</v>
      </c>
      <c r="O3122"/>
    </row>
    <row r="3123" spans="1:15" x14ac:dyDescent="0.35">
      <c r="A3123" t="s">
        <v>4092</v>
      </c>
      <c r="B3123" s="2">
        <v>45884</v>
      </c>
      <c r="C3123" t="s">
        <v>10</v>
      </c>
      <c r="D3123" t="s">
        <v>11</v>
      </c>
      <c r="E3123" t="s">
        <v>26</v>
      </c>
      <c r="F3123" t="s">
        <v>13</v>
      </c>
      <c r="G3123">
        <v>4</v>
      </c>
      <c r="H3123">
        <v>3.5</v>
      </c>
      <c r="I3123" t="s">
        <v>21</v>
      </c>
      <c r="J3123" t="s">
        <v>1177</v>
      </c>
      <c r="K3123" s="12">
        <f>Store_Record[[#This Row],[Qty]]*Store_Record[[#This Row],[UnitPriceGBP]]</f>
        <v>14</v>
      </c>
      <c r="L3123" s="5" t="str">
        <f>TEXT(Store_Record[[#This Row],[Date]],"dddd")</f>
        <v>Friday</v>
      </c>
      <c r="M3123" s="5" t="str">
        <f>TEXT(Store_Record[[#This Row],[Date]],"mmmm")</f>
        <v>August</v>
      </c>
      <c r="N3123" s="5">
        <f>YEAR(Store_Record[[#This Row],[Date]])</f>
        <v>2025</v>
      </c>
      <c r="O3123"/>
    </row>
    <row r="3124" spans="1:15" x14ac:dyDescent="0.35">
      <c r="A3124" t="s">
        <v>4090</v>
      </c>
      <c r="B3124" s="2">
        <v>45884</v>
      </c>
      <c r="C3124" t="s">
        <v>36</v>
      </c>
      <c r="D3124" t="s">
        <v>11</v>
      </c>
      <c r="E3124" t="s">
        <v>30</v>
      </c>
      <c r="F3124" t="s">
        <v>31</v>
      </c>
      <c r="G3124">
        <v>4</v>
      </c>
      <c r="H3124">
        <v>2.8</v>
      </c>
      <c r="I3124" t="s">
        <v>14</v>
      </c>
      <c r="J3124" t="s">
        <v>700</v>
      </c>
      <c r="K3124" s="12">
        <f>Store_Record[[#This Row],[Qty]]*Store_Record[[#This Row],[UnitPriceGBP]]</f>
        <v>11.2</v>
      </c>
      <c r="L3124" s="5" t="str">
        <f>TEXT(Store_Record[[#This Row],[Date]],"dddd")</f>
        <v>Friday</v>
      </c>
      <c r="M3124" s="5" t="str">
        <f>TEXT(Store_Record[[#This Row],[Date]],"mmmm")</f>
        <v>August</v>
      </c>
      <c r="N3124" s="5">
        <f>YEAR(Store_Record[[#This Row],[Date]])</f>
        <v>2025</v>
      </c>
      <c r="O3124"/>
    </row>
    <row r="3125" spans="1:15" x14ac:dyDescent="0.35">
      <c r="A3125" t="s">
        <v>4094</v>
      </c>
      <c r="B3125" s="2">
        <v>45884</v>
      </c>
      <c r="C3125" t="s">
        <v>10</v>
      </c>
      <c r="D3125" t="s">
        <v>38</v>
      </c>
      <c r="E3125" t="s">
        <v>26</v>
      </c>
      <c r="F3125" t="s">
        <v>13</v>
      </c>
      <c r="G3125">
        <v>3</v>
      </c>
      <c r="H3125">
        <v>3.5</v>
      </c>
      <c r="I3125" t="s">
        <v>14</v>
      </c>
      <c r="J3125" t="s">
        <v>129</v>
      </c>
      <c r="K3125" s="12">
        <f>Store_Record[[#This Row],[Qty]]*Store_Record[[#This Row],[UnitPriceGBP]]</f>
        <v>10.5</v>
      </c>
      <c r="L3125" s="5" t="str">
        <f>TEXT(Store_Record[[#This Row],[Date]],"dddd")</f>
        <v>Friday</v>
      </c>
      <c r="M3125" s="5" t="str">
        <f>TEXT(Store_Record[[#This Row],[Date]],"mmmm")</f>
        <v>August</v>
      </c>
      <c r="N3125" s="5">
        <f>YEAR(Store_Record[[#This Row],[Date]])</f>
        <v>2025</v>
      </c>
      <c r="O3125"/>
    </row>
    <row r="3126" spans="1:15" x14ac:dyDescent="0.35">
      <c r="A3126" t="s">
        <v>4088</v>
      </c>
      <c r="B3126" s="2">
        <v>45884</v>
      </c>
      <c r="C3126" t="s">
        <v>10</v>
      </c>
      <c r="D3126" t="s">
        <v>25</v>
      </c>
      <c r="E3126" t="s">
        <v>34</v>
      </c>
      <c r="F3126" t="s">
        <v>31</v>
      </c>
      <c r="G3126">
        <v>2</v>
      </c>
      <c r="H3126">
        <v>2.2000000000000002</v>
      </c>
      <c r="I3126" t="s">
        <v>14</v>
      </c>
      <c r="J3126" t="s">
        <v>1445</v>
      </c>
      <c r="K3126" s="12">
        <f>Store_Record[[#This Row],[Qty]]*Store_Record[[#This Row],[UnitPriceGBP]]</f>
        <v>4.4000000000000004</v>
      </c>
      <c r="L3126" s="5" t="str">
        <f>TEXT(Store_Record[[#This Row],[Date]],"dddd")</f>
        <v>Friday</v>
      </c>
      <c r="M3126" s="5" t="str">
        <f>TEXT(Store_Record[[#This Row],[Date]],"mmmm")</f>
        <v>August</v>
      </c>
      <c r="N3126" s="5">
        <f>YEAR(Store_Record[[#This Row],[Date]])</f>
        <v>2025</v>
      </c>
      <c r="O3126"/>
    </row>
    <row r="3127" spans="1:15" x14ac:dyDescent="0.35">
      <c r="A3127" t="s">
        <v>4093</v>
      </c>
      <c r="B3127" s="2">
        <v>45884</v>
      </c>
      <c r="C3127" t="s">
        <v>36</v>
      </c>
      <c r="D3127" t="s">
        <v>38</v>
      </c>
      <c r="E3127" t="s">
        <v>34</v>
      </c>
      <c r="F3127" t="s">
        <v>31</v>
      </c>
      <c r="G3127">
        <v>2</v>
      </c>
      <c r="H3127">
        <v>2.2000000000000002</v>
      </c>
      <c r="I3127" t="s">
        <v>14</v>
      </c>
      <c r="J3127" t="s">
        <v>256</v>
      </c>
      <c r="K3127" s="12">
        <f>Store_Record[[#This Row],[Qty]]*Store_Record[[#This Row],[UnitPriceGBP]]</f>
        <v>4.4000000000000004</v>
      </c>
      <c r="L3127" s="5" t="str">
        <f>TEXT(Store_Record[[#This Row],[Date]],"dddd")</f>
        <v>Friday</v>
      </c>
      <c r="M3127" s="5" t="str">
        <f>TEXT(Store_Record[[#This Row],[Date]],"mmmm")</f>
        <v>August</v>
      </c>
      <c r="N3127" s="5">
        <f>YEAR(Store_Record[[#This Row],[Date]])</f>
        <v>2025</v>
      </c>
      <c r="O3127"/>
    </row>
    <row r="3128" spans="1:15" x14ac:dyDescent="0.35">
      <c r="A3128" t="s">
        <v>4087</v>
      </c>
      <c r="B3128" s="2">
        <v>45884</v>
      </c>
      <c r="C3128" t="s">
        <v>24</v>
      </c>
      <c r="D3128" t="s">
        <v>38</v>
      </c>
      <c r="E3128" t="s">
        <v>30</v>
      </c>
      <c r="F3128" t="s">
        <v>31</v>
      </c>
      <c r="G3128">
        <v>1</v>
      </c>
      <c r="H3128">
        <v>2.8</v>
      </c>
      <c r="I3128" t="s">
        <v>14</v>
      </c>
      <c r="J3128" t="s">
        <v>1230</v>
      </c>
      <c r="K3128" s="12">
        <f>Store_Record[[#This Row],[Qty]]*Store_Record[[#This Row],[UnitPriceGBP]]</f>
        <v>2.8</v>
      </c>
      <c r="L3128" s="5" t="str">
        <f>TEXT(Store_Record[[#This Row],[Date]],"dddd")</f>
        <v>Friday</v>
      </c>
      <c r="M3128" s="5" t="str">
        <f>TEXT(Store_Record[[#This Row],[Date]],"mmmm")</f>
        <v>August</v>
      </c>
      <c r="N3128" s="5">
        <f>YEAR(Store_Record[[#This Row],[Date]])</f>
        <v>2025</v>
      </c>
      <c r="O3128"/>
    </row>
    <row r="3129" spans="1:15" x14ac:dyDescent="0.35">
      <c r="A3129" t="s">
        <v>5997</v>
      </c>
      <c r="B3129" s="2">
        <v>45884</v>
      </c>
      <c r="C3129" t="s">
        <v>20</v>
      </c>
      <c r="D3129" t="s">
        <v>11</v>
      </c>
      <c r="E3129" t="s">
        <v>12</v>
      </c>
      <c r="F3129" t="s">
        <v>13</v>
      </c>
      <c r="G3129">
        <v>1</v>
      </c>
      <c r="H3129">
        <v>2.5</v>
      </c>
      <c r="I3129" t="s">
        <v>14</v>
      </c>
      <c r="J3129" t="s">
        <v>22</v>
      </c>
      <c r="K3129" s="12">
        <f>Store_Record[[#This Row],[Qty]]*Store_Record[[#This Row],[UnitPriceGBP]]</f>
        <v>2.5</v>
      </c>
      <c r="L3129" s="5" t="str">
        <f>TEXT(Store_Record[[#This Row],[Date]],"dddd")</f>
        <v>Friday</v>
      </c>
      <c r="M3129" s="5" t="str">
        <f>TEXT(Store_Record[[#This Row],[Date]],"mmmm")</f>
        <v>August</v>
      </c>
      <c r="N3129" s="5">
        <f>YEAR(Store_Record[[#This Row],[Date]])</f>
        <v>2025</v>
      </c>
      <c r="O3129"/>
    </row>
    <row r="3130" spans="1:15" x14ac:dyDescent="0.35">
      <c r="A3130" t="s">
        <v>4089</v>
      </c>
      <c r="B3130" s="2">
        <v>45884</v>
      </c>
      <c r="C3130" t="s">
        <v>24</v>
      </c>
      <c r="D3130" t="s">
        <v>47</v>
      </c>
      <c r="E3130" t="s">
        <v>34</v>
      </c>
      <c r="F3130" t="s">
        <v>31</v>
      </c>
      <c r="G3130">
        <v>1</v>
      </c>
      <c r="H3130">
        <v>2.2000000000000002</v>
      </c>
      <c r="I3130" t="s">
        <v>14</v>
      </c>
      <c r="J3130" t="s">
        <v>310</v>
      </c>
      <c r="K3130" s="12">
        <f>Store_Record[[#This Row],[Qty]]*Store_Record[[#This Row],[UnitPriceGBP]]</f>
        <v>2.2000000000000002</v>
      </c>
      <c r="L3130" s="5" t="str">
        <f>TEXT(Store_Record[[#This Row],[Date]],"dddd")</f>
        <v>Friday</v>
      </c>
      <c r="M3130" s="5" t="str">
        <f>TEXT(Store_Record[[#This Row],[Date]],"mmmm")</f>
        <v>August</v>
      </c>
      <c r="N3130" s="5">
        <f>YEAR(Store_Record[[#This Row],[Date]])</f>
        <v>2025</v>
      </c>
      <c r="O3130"/>
    </row>
    <row r="3131" spans="1:15" x14ac:dyDescent="0.35">
      <c r="A3131" t="s">
        <v>4095</v>
      </c>
      <c r="B3131" s="2">
        <v>45885</v>
      </c>
      <c r="C3131" t="s">
        <v>10</v>
      </c>
      <c r="D3131" t="s">
        <v>25</v>
      </c>
      <c r="E3131" t="s">
        <v>26</v>
      </c>
      <c r="F3131" t="s">
        <v>13</v>
      </c>
      <c r="G3131">
        <v>5</v>
      </c>
      <c r="H3131">
        <v>3.5</v>
      </c>
      <c r="I3131" t="s">
        <v>21</v>
      </c>
      <c r="J3131" t="s">
        <v>4096</v>
      </c>
      <c r="K3131" s="12">
        <f>Store_Record[[#This Row],[Qty]]*Store_Record[[#This Row],[UnitPriceGBP]]</f>
        <v>17.5</v>
      </c>
      <c r="L3131" s="5" t="str">
        <f>TEXT(Store_Record[[#This Row],[Date]],"dddd")</f>
        <v>Saturday</v>
      </c>
      <c r="M3131" s="5" t="str">
        <f>TEXT(Store_Record[[#This Row],[Date]],"mmmm")</f>
        <v>August</v>
      </c>
      <c r="N3131" s="5">
        <f>YEAR(Store_Record[[#This Row],[Date]])</f>
        <v>2025</v>
      </c>
      <c r="O3131"/>
    </row>
    <row r="3132" spans="1:15" x14ac:dyDescent="0.35">
      <c r="A3132" t="s">
        <v>4097</v>
      </c>
      <c r="B3132" s="2">
        <v>45885</v>
      </c>
      <c r="C3132" t="s">
        <v>36</v>
      </c>
      <c r="D3132" t="s">
        <v>47</v>
      </c>
      <c r="E3132" t="s">
        <v>30</v>
      </c>
      <c r="F3132" t="s">
        <v>31</v>
      </c>
      <c r="G3132">
        <v>5</v>
      </c>
      <c r="H3132">
        <v>2.8</v>
      </c>
      <c r="I3132" t="s">
        <v>21</v>
      </c>
      <c r="J3132" t="s">
        <v>2192</v>
      </c>
      <c r="K3132" s="12">
        <f>Store_Record[[#This Row],[Qty]]*Store_Record[[#This Row],[UnitPriceGBP]]</f>
        <v>14</v>
      </c>
      <c r="L3132" s="5" t="str">
        <f>TEXT(Store_Record[[#This Row],[Date]],"dddd")</f>
        <v>Saturday</v>
      </c>
      <c r="M3132" s="5" t="str">
        <f>TEXT(Store_Record[[#This Row],[Date]],"mmmm")</f>
        <v>August</v>
      </c>
      <c r="N3132" s="5">
        <f>YEAR(Store_Record[[#This Row],[Date]])</f>
        <v>2025</v>
      </c>
      <c r="O3132"/>
    </row>
    <row r="3133" spans="1:15" x14ac:dyDescent="0.35">
      <c r="A3133" t="s">
        <v>4107</v>
      </c>
      <c r="B3133" s="2">
        <v>45885</v>
      </c>
      <c r="C3133" t="s">
        <v>24</v>
      </c>
      <c r="D3133" t="s">
        <v>47</v>
      </c>
      <c r="E3133" t="s">
        <v>26</v>
      </c>
      <c r="F3133" t="s">
        <v>13</v>
      </c>
      <c r="G3133">
        <v>4</v>
      </c>
      <c r="H3133">
        <v>3.5</v>
      </c>
      <c r="I3133" t="s">
        <v>39</v>
      </c>
      <c r="J3133" t="s">
        <v>1205</v>
      </c>
      <c r="K3133" s="12">
        <f>Store_Record[[#This Row],[Qty]]*Store_Record[[#This Row],[UnitPriceGBP]]</f>
        <v>14</v>
      </c>
      <c r="L3133" s="5" t="str">
        <f>TEXT(Store_Record[[#This Row],[Date]],"dddd")</f>
        <v>Saturday</v>
      </c>
      <c r="M3133" s="5" t="str">
        <f>TEXT(Store_Record[[#This Row],[Date]],"mmmm")</f>
        <v>August</v>
      </c>
      <c r="N3133" s="5">
        <f>YEAR(Store_Record[[#This Row],[Date]])</f>
        <v>2025</v>
      </c>
      <c r="O3133"/>
    </row>
    <row r="3134" spans="1:15" x14ac:dyDescent="0.35">
      <c r="A3134" t="s">
        <v>4099</v>
      </c>
      <c r="B3134" s="2">
        <v>45885</v>
      </c>
      <c r="C3134" t="s">
        <v>20</v>
      </c>
      <c r="D3134" t="s">
        <v>38</v>
      </c>
      <c r="E3134" t="s">
        <v>12</v>
      </c>
      <c r="F3134" t="s">
        <v>13</v>
      </c>
      <c r="G3134">
        <v>5</v>
      </c>
      <c r="H3134">
        <v>2.5</v>
      </c>
      <c r="I3134" t="s">
        <v>21</v>
      </c>
      <c r="J3134" t="s">
        <v>1305</v>
      </c>
      <c r="K3134" s="12">
        <f>Store_Record[[#This Row],[Qty]]*Store_Record[[#This Row],[UnitPriceGBP]]</f>
        <v>12.5</v>
      </c>
      <c r="L3134" s="5" t="str">
        <f>TEXT(Store_Record[[#This Row],[Date]],"dddd")</f>
        <v>Saturday</v>
      </c>
      <c r="M3134" s="5" t="str">
        <f>TEXT(Store_Record[[#This Row],[Date]],"mmmm")</f>
        <v>August</v>
      </c>
      <c r="N3134" s="5">
        <f>YEAR(Store_Record[[#This Row],[Date]])</f>
        <v>2025</v>
      </c>
      <c r="O3134"/>
    </row>
    <row r="3135" spans="1:15" x14ac:dyDescent="0.35">
      <c r="A3135" t="s">
        <v>4105</v>
      </c>
      <c r="B3135" s="2">
        <v>45885</v>
      </c>
      <c r="C3135" t="s">
        <v>10</v>
      </c>
      <c r="D3135" t="s">
        <v>25</v>
      </c>
      <c r="E3135" t="s">
        <v>42</v>
      </c>
      <c r="F3135" t="s">
        <v>13</v>
      </c>
      <c r="G3135">
        <v>3</v>
      </c>
      <c r="H3135">
        <v>3.8</v>
      </c>
      <c r="I3135" t="s">
        <v>14</v>
      </c>
      <c r="J3135" t="s">
        <v>117</v>
      </c>
      <c r="K3135" s="12">
        <f>Store_Record[[#This Row],[Qty]]*Store_Record[[#This Row],[UnitPriceGBP]]</f>
        <v>11.399999999999999</v>
      </c>
      <c r="L3135" s="5" t="str">
        <f>TEXT(Store_Record[[#This Row],[Date]],"dddd")</f>
        <v>Saturday</v>
      </c>
      <c r="M3135" s="5" t="str">
        <f>TEXT(Store_Record[[#This Row],[Date]],"mmmm")</f>
        <v>August</v>
      </c>
      <c r="N3135" s="5">
        <f>YEAR(Store_Record[[#This Row],[Date]])</f>
        <v>2025</v>
      </c>
      <c r="O3135"/>
    </row>
    <row r="3136" spans="1:15" x14ac:dyDescent="0.35">
      <c r="A3136" t="s">
        <v>4111</v>
      </c>
      <c r="B3136" s="2">
        <v>45885</v>
      </c>
      <c r="C3136" t="s">
        <v>20</v>
      </c>
      <c r="D3136" t="s">
        <v>38</v>
      </c>
      <c r="E3136" t="s">
        <v>30</v>
      </c>
      <c r="F3136" t="s">
        <v>31</v>
      </c>
      <c r="G3136">
        <v>4</v>
      </c>
      <c r="H3136">
        <v>2.8</v>
      </c>
      <c r="I3136" t="s">
        <v>14</v>
      </c>
      <c r="J3136" t="s">
        <v>732</v>
      </c>
      <c r="K3136" s="12">
        <f>Store_Record[[#This Row],[Qty]]*Store_Record[[#This Row],[UnitPriceGBP]]</f>
        <v>11.2</v>
      </c>
      <c r="L3136" s="5" t="str">
        <f>TEXT(Store_Record[[#This Row],[Date]],"dddd")</f>
        <v>Saturday</v>
      </c>
      <c r="M3136" s="5" t="str">
        <f>TEXT(Store_Record[[#This Row],[Date]],"mmmm")</f>
        <v>August</v>
      </c>
      <c r="N3136" s="5">
        <f>YEAR(Store_Record[[#This Row],[Date]])</f>
        <v>2025</v>
      </c>
      <c r="O3136"/>
    </row>
    <row r="3137" spans="1:15" x14ac:dyDescent="0.35">
      <c r="A3137" t="s">
        <v>4110</v>
      </c>
      <c r="B3137" s="2">
        <v>45885</v>
      </c>
      <c r="C3137" t="s">
        <v>20</v>
      </c>
      <c r="D3137" t="s">
        <v>47</v>
      </c>
      <c r="E3137" t="s">
        <v>34</v>
      </c>
      <c r="F3137" t="s">
        <v>31</v>
      </c>
      <c r="G3137">
        <v>5</v>
      </c>
      <c r="H3137">
        <v>2.2000000000000002</v>
      </c>
      <c r="I3137" t="s">
        <v>21</v>
      </c>
      <c r="J3137" t="s">
        <v>2150</v>
      </c>
      <c r="K3137" s="12">
        <f>Store_Record[[#This Row],[Qty]]*Store_Record[[#This Row],[UnitPriceGBP]]</f>
        <v>11</v>
      </c>
      <c r="L3137" s="5" t="str">
        <f>TEXT(Store_Record[[#This Row],[Date]],"dddd")</f>
        <v>Saturday</v>
      </c>
      <c r="M3137" s="5" t="str">
        <f>TEXT(Store_Record[[#This Row],[Date]],"mmmm")</f>
        <v>August</v>
      </c>
      <c r="N3137" s="5">
        <f>YEAR(Store_Record[[#This Row],[Date]])</f>
        <v>2025</v>
      </c>
      <c r="O3137"/>
    </row>
    <row r="3138" spans="1:15" x14ac:dyDescent="0.35">
      <c r="A3138" t="s">
        <v>4102</v>
      </c>
      <c r="B3138" s="2">
        <v>45885</v>
      </c>
      <c r="C3138" t="s">
        <v>20</v>
      </c>
      <c r="D3138" t="s">
        <v>29</v>
      </c>
      <c r="E3138" t="s">
        <v>26</v>
      </c>
      <c r="F3138" t="s">
        <v>13</v>
      </c>
      <c r="G3138">
        <v>3</v>
      </c>
      <c r="H3138">
        <v>3.5</v>
      </c>
      <c r="I3138" t="s">
        <v>14</v>
      </c>
      <c r="J3138" t="s">
        <v>703</v>
      </c>
      <c r="K3138" s="12">
        <f>Store_Record[[#This Row],[Qty]]*Store_Record[[#This Row],[UnitPriceGBP]]</f>
        <v>10.5</v>
      </c>
      <c r="L3138" s="5" t="str">
        <f>TEXT(Store_Record[[#This Row],[Date]],"dddd")</f>
        <v>Saturday</v>
      </c>
      <c r="M3138" s="5" t="str">
        <f>TEXT(Store_Record[[#This Row],[Date]],"mmmm")</f>
        <v>August</v>
      </c>
      <c r="N3138" s="5">
        <f>YEAR(Store_Record[[#This Row],[Date]])</f>
        <v>2025</v>
      </c>
      <c r="O3138"/>
    </row>
    <row r="3139" spans="1:15" x14ac:dyDescent="0.35">
      <c r="A3139" t="s">
        <v>4103</v>
      </c>
      <c r="B3139" s="2">
        <v>45885</v>
      </c>
      <c r="C3139" t="s">
        <v>24</v>
      </c>
      <c r="D3139" t="s">
        <v>47</v>
      </c>
      <c r="E3139" t="s">
        <v>30</v>
      </c>
      <c r="F3139" t="s">
        <v>31</v>
      </c>
      <c r="G3139">
        <v>3</v>
      </c>
      <c r="H3139">
        <v>2.8</v>
      </c>
      <c r="I3139" t="s">
        <v>21</v>
      </c>
      <c r="J3139" t="s">
        <v>396</v>
      </c>
      <c r="K3139" s="12">
        <f>Store_Record[[#This Row],[Qty]]*Store_Record[[#This Row],[UnitPriceGBP]]</f>
        <v>8.3999999999999986</v>
      </c>
      <c r="L3139" s="5" t="str">
        <f>TEXT(Store_Record[[#This Row],[Date]],"dddd")</f>
        <v>Saturday</v>
      </c>
      <c r="M3139" s="5" t="str">
        <f>TEXT(Store_Record[[#This Row],[Date]],"mmmm")</f>
        <v>August</v>
      </c>
      <c r="N3139" s="5">
        <f>YEAR(Store_Record[[#This Row],[Date]])</f>
        <v>2025</v>
      </c>
      <c r="O3139"/>
    </row>
    <row r="3140" spans="1:15" x14ac:dyDescent="0.35">
      <c r="A3140" t="s">
        <v>4100</v>
      </c>
      <c r="B3140" s="2">
        <v>45885</v>
      </c>
      <c r="C3140" t="s">
        <v>24</v>
      </c>
      <c r="D3140" t="s">
        <v>38</v>
      </c>
      <c r="E3140" t="s">
        <v>42</v>
      </c>
      <c r="F3140" t="s">
        <v>13</v>
      </c>
      <c r="G3140">
        <v>2</v>
      </c>
      <c r="H3140">
        <v>3.8</v>
      </c>
      <c r="I3140" t="s">
        <v>14</v>
      </c>
      <c r="J3140" t="s">
        <v>4101</v>
      </c>
      <c r="K3140" s="12">
        <f>Store_Record[[#This Row],[Qty]]*Store_Record[[#This Row],[UnitPriceGBP]]</f>
        <v>7.6</v>
      </c>
      <c r="L3140" s="5" t="str">
        <f>TEXT(Store_Record[[#This Row],[Date]],"dddd")</f>
        <v>Saturday</v>
      </c>
      <c r="M3140" s="5" t="str">
        <f>TEXT(Store_Record[[#This Row],[Date]],"mmmm")</f>
        <v>August</v>
      </c>
      <c r="N3140" s="5">
        <f>YEAR(Store_Record[[#This Row],[Date]])</f>
        <v>2025</v>
      </c>
      <c r="O3140"/>
    </row>
    <row r="3141" spans="1:15" x14ac:dyDescent="0.35">
      <c r="A3141" t="s">
        <v>4098</v>
      </c>
      <c r="B3141" s="2">
        <v>45885</v>
      </c>
      <c r="C3141" t="s">
        <v>20</v>
      </c>
      <c r="D3141" t="s">
        <v>29</v>
      </c>
      <c r="E3141" t="s">
        <v>26</v>
      </c>
      <c r="F3141" t="s">
        <v>13</v>
      </c>
      <c r="G3141">
        <v>2</v>
      </c>
      <c r="H3141">
        <v>3.5</v>
      </c>
      <c r="I3141" t="s">
        <v>39</v>
      </c>
      <c r="J3141" t="s">
        <v>1329</v>
      </c>
      <c r="K3141" s="12">
        <f>Store_Record[[#This Row],[Qty]]*Store_Record[[#This Row],[UnitPriceGBP]]</f>
        <v>7</v>
      </c>
      <c r="L3141" s="5" t="str">
        <f>TEXT(Store_Record[[#This Row],[Date]],"dddd")</f>
        <v>Saturday</v>
      </c>
      <c r="M3141" s="5" t="str">
        <f>TEXT(Store_Record[[#This Row],[Date]],"mmmm")</f>
        <v>August</v>
      </c>
      <c r="N3141" s="5">
        <f>YEAR(Store_Record[[#This Row],[Date]])</f>
        <v>2025</v>
      </c>
      <c r="O3141"/>
    </row>
    <row r="3142" spans="1:15" x14ac:dyDescent="0.35">
      <c r="A3142" t="s">
        <v>4109</v>
      </c>
      <c r="B3142" s="2">
        <v>45885</v>
      </c>
      <c r="C3142" t="s">
        <v>10</v>
      </c>
      <c r="D3142" t="s">
        <v>11</v>
      </c>
      <c r="E3142" t="s">
        <v>26</v>
      </c>
      <c r="F3142" t="s">
        <v>13</v>
      </c>
      <c r="G3142">
        <v>2</v>
      </c>
      <c r="H3142">
        <v>3.5</v>
      </c>
      <c r="I3142" t="s">
        <v>14</v>
      </c>
      <c r="J3142" t="s">
        <v>575</v>
      </c>
      <c r="K3142" s="12">
        <f>Store_Record[[#This Row],[Qty]]*Store_Record[[#This Row],[UnitPriceGBP]]</f>
        <v>7</v>
      </c>
      <c r="L3142" s="5" t="str">
        <f>TEXT(Store_Record[[#This Row],[Date]],"dddd")</f>
        <v>Saturday</v>
      </c>
      <c r="M3142" s="5" t="str">
        <f>TEXT(Store_Record[[#This Row],[Date]],"mmmm")</f>
        <v>August</v>
      </c>
      <c r="N3142" s="5">
        <f>YEAR(Store_Record[[#This Row],[Date]])</f>
        <v>2025</v>
      </c>
      <c r="O3142"/>
    </row>
    <row r="3143" spans="1:15" x14ac:dyDescent="0.35">
      <c r="A3143" t="s">
        <v>4104</v>
      </c>
      <c r="B3143" s="2">
        <v>45885</v>
      </c>
      <c r="C3143" t="s">
        <v>36</v>
      </c>
      <c r="D3143" t="s">
        <v>11</v>
      </c>
      <c r="E3143" t="s">
        <v>30</v>
      </c>
      <c r="F3143" t="s">
        <v>31</v>
      </c>
      <c r="G3143">
        <v>2</v>
      </c>
      <c r="H3143">
        <v>2.8</v>
      </c>
      <c r="I3143" t="s">
        <v>21</v>
      </c>
      <c r="J3143" t="s">
        <v>2681</v>
      </c>
      <c r="K3143" s="12">
        <f>Store_Record[[#This Row],[Qty]]*Store_Record[[#This Row],[UnitPriceGBP]]</f>
        <v>5.6</v>
      </c>
      <c r="L3143" s="5" t="str">
        <f>TEXT(Store_Record[[#This Row],[Date]],"dddd")</f>
        <v>Saturday</v>
      </c>
      <c r="M3143" s="5" t="str">
        <f>TEXT(Store_Record[[#This Row],[Date]],"mmmm")</f>
        <v>August</v>
      </c>
      <c r="N3143" s="5">
        <f>YEAR(Store_Record[[#This Row],[Date]])</f>
        <v>2025</v>
      </c>
      <c r="O3143"/>
    </row>
    <row r="3144" spans="1:15" x14ac:dyDescent="0.35">
      <c r="A3144" t="s">
        <v>4108</v>
      </c>
      <c r="B3144" s="2">
        <v>45885</v>
      </c>
      <c r="C3144" t="s">
        <v>36</v>
      </c>
      <c r="D3144" t="s">
        <v>25</v>
      </c>
      <c r="E3144" t="s">
        <v>12</v>
      </c>
      <c r="F3144" t="s">
        <v>13</v>
      </c>
      <c r="G3144">
        <v>2</v>
      </c>
      <c r="H3144">
        <v>2.5</v>
      </c>
      <c r="I3144" t="s">
        <v>39</v>
      </c>
      <c r="J3144" t="s">
        <v>458</v>
      </c>
      <c r="K3144" s="12">
        <f>Store_Record[[#This Row],[Qty]]*Store_Record[[#This Row],[UnitPriceGBP]]</f>
        <v>5</v>
      </c>
      <c r="L3144" s="5" t="str">
        <f>TEXT(Store_Record[[#This Row],[Date]],"dddd")</f>
        <v>Saturday</v>
      </c>
      <c r="M3144" s="5" t="str">
        <f>TEXT(Store_Record[[#This Row],[Date]],"mmmm")</f>
        <v>August</v>
      </c>
      <c r="N3144" s="5">
        <f>YEAR(Store_Record[[#This Row],[Date]])</f>
        <v>2025</v>
      </c>
      <c r="O3144"/>
    </row>
    <row r="3145" spans="1:15" x14ac:dyDescent="0.35">
      <c r="A3145" t="s">
        <v>4106</v>
      </c>
      <c r="B3145" s="2">
        <v>45885</v>
      </c>
      <c r="C3145" t="s">
        <v>10</v>
      </c>
      <c r="D3145" t="s">
        <v>11</v>
      </c>
      <c r="E3145" t="s">
        <v>30</v>
      </c>
      <c r="F3145" t="s">
        <v>31</v>
      </c>
      <c r="G3145">
        <v>1</v>
      </c>
      <c r="H3145">
        <v>2.8</v>
      </c>
      <c r="I3145" t="s">
        <v>14</v>
      </c>
      <c r="J3145" t="s">
        <v>2466</v>
      </c>
      <c r="K3145" s="12">
        <f>Store_Record[[#This Row],[Qty]]*Store_Record[[#This Row],[UnitPriceGBP]]</f>
        <v>2.8</v>
      </c>
      <c r="L3145" s="5" t="str">
        <f>TEXT(Store_Record[[#This Row],[Date]],"dddd")</f>
        <v>Saturday</v>
      </c>
      <c r="M3145" s="5" t="str">
        <f>TEXT(Store_Record[[#This Row],[Date]],"mmmm")</f>
        <v>August</v>
      </c>
      <c r="N3145" s="5">
        <f>YEAR(Store_Record[[#This Row],[Date]])</f>
        <v>2025</v>
      </c>
      <c r="O3145"/>
    </row>
    <row r="3146" spans="1:15" x14ac:dyDescent="0.35">
      <c r="A3146" t="s">
        <v>4116</v>
      </c>
      <c r="B3146" s="2">
        <v>45886</v>
      </c>
      <c r="C3146" t="s">
        <v>10</v>
      </c>
      <c r="D3146" t="s">
        <v>25</v>
      </c>
      <c r="E3146" t="s">
        <v>42</v>
      </c>
      <c r="F3146" t="s">
        <v>13</v>
      </c>
      <c r="G3146">
        <v>5</v>
      </c>
      <c r="H3146">
        <v>3.8</v>
      </c>
      <c r="I3146" t="s">
        <v>39</v>
      </c>
      <c r="J3146" t="s">
        <v>886</v>
      </c>
      <c r="K3146" s="12">
        <f>Store_Record[[#This Row],[Qty]]*Store_Record[[#This Row],[UnitPriceGBP]]</f>
        <v>19</v>
      </c>
      <c r="L3146" s="5" t="str">
        <f>TEXT(Store_Record[[#This Row],[Date]],"dddd")</f>
        <v>Sunday</v>
      </c>
      <c r="M3146" s="5" t="str">
        <f>TEXT(Store_Record[[#This Row],[Date]],"mmmm")</f>
        <v>August</v>
      </c>
      <c r="N3146" s="5">
        <f>YEAR(Store_Record[[#This Row],[Date]])</f>
        <v>2025</v>
      </c>
      <c r="O3146"/>
    </row>
    <row r="3147" spans="1:15" x14ac:dyDescent="0.35">
      <c r="A3147" t="s">
        <v>4118</v>
      </c>
      <c r="B3147" s="2">
        <v>45886</v>
      </c>
      <c r="C3147" t="s">
        <v>10</v>
      </c>
      <c r="D3147" t="s">
        <v>47</v>
      </c>
      <c r="E3147" t="s">
        <v>26</v>
      </c>
      <c r="F3147" t="s">
        <v>13</v>
      </c>
      <c r="G3147">
        <v>4</v>
      </c>
      <c r="H3147">
        <v>3.5</v>
      </c>
      <c r="I3147" t="s">
        <v>21</v>
      </c>
      <c r="J3147" t="s">
        <v>2651</v>
      </c>
      <c r="K3147" s="12">
        <f>Store_Record[[#This Row],[Qty]]*Store_Record[[#This Row],[UnitPriceGBP]]</f>
        <v>14</v>
      </c>
      <c r="L3147" s="5" t="str">
        <f>TEXT(Store_Record[[#This Row],[Date]],"dddd")</f>
        <v>Sunday</v>
      </c>
      <c r="M3147" s="5" t="str">
        <f>TEXT(Store_Record[[#This Row],[Date]],"mmmm")</f>
        <v>August</v>
      </c>
      <c r="N3147" s="5">
        <f>YEAR(Store_Record[[#This Row],[Date]])</f>
        <v>2025</v>
      </c>
      <c r="O3147"/>
    </row>
    <row r="3148" spans="1:15" x14ac:dyDescent="0.35">
      <c r="A3148" t="s">
        <v>4114</v>
      </c>
      <c r="B3148" s="2">
        <v>45886</v>
      </c>
      <c r="C3148" t="s">
        <v>36</v>
      </c>
      <c r="D3148" t="s">
        <v>38</v>
      </c>
      <c r="E3148" t="s">
        <v>12</v>
      </c>
      <c r="F3148" t="s">
        <v>13</v>
      </c>
      <c r="G3148">
        <v>5</v>
      </c>
      <c r="H3148">
        <v>2.5</v>
      </c>
      <c r="I3148" t="s">
        <v>14</v>
      </c>
      <c r="J3148" t="s">
        <v>1191</v>
      </c>
      <c r="K3148" s="12">
        <f>Store_Record[[#This Row],[Qty]]*Store_Record[[#This Row],[UnitPriceGBP]]</f>
        <v>12.5</v>
      </c>
      <c r="L3148" s="5" t="str">
        <f>TEXT(Store_Record[[#This Row],[Date]],"dddd")</f>
        <v>Sunday</v>
      </c>
      <c r="M3148" s="5" t="str">
        <f>TEXT(Store_Record[[#This Row],[Date]],"mmmm")</f>
        <v>August</v>
      </c>
      <c r="N3148" s="5">
        <f>YEAR(Store_Record[[#This Row],[Date]])</f>
        <v>2025</v>
      </c>
      <c r="O3148"/>
    </row>
    <row r="3149" spans="1:15" x14ac:dyDescent="0.35">
      <c r="A3149" t="s">
        <v>4115</v>
      </c>
      <c r="B3149" s="2">
        <v>45886</v>
      </c>
      <c r="C3149" t="s">
        <v>36</v>
      </c>
      <c r="D3149" t="s">
        <v>11</v>
      </c>
      <c r="E3149" t="s">
        <v>30</v>
      </c>
      <c r="F3149" t="s">
        <v>31</v>
      </c>
      <c r="G3149">
        <v>4</v>
      </c>
      <c r="H3149">
        <v>2.8</v>
      </c>
      <c r="I3149" t="s">
        <v>14</v>
      </c>
      <c r="J3149" t="s">
        <v>2084</v>
      </c>
      <c r="K3149" s="12">
        <f>Store_Record[[#This Row],[Qty]]*Store_Record[[#This Row],[UnitPriceGBP]]</f>
        <v>11.2</v>
      </c>
      <c r="L3149" s="5" t="str">
        <f>TEXT(Store_Record[[#This Row],[Date]],"dddd")</f>
        <v>Sunday</v>
      </c>
      <c r="M3149" s="5" t="str">
        <f>TEXT(Store_Record[[#This Row],[Date]],"mmmm")</f>
        <v>August</v>
      </c>
      <c r="N3149" s="5">
        <f>YEAR(Store_Record[[#This Row],[Date]])</f>
        <v>2025</v>
      </c>
      <c r="O3149"/>
    </row>
    <row r="3150" spans="1:15" x14ac:dyDescent="0.35">
      <c r="A3150" t="s">
        <v>4121</v>
      </c>
      <c r="B3150" s="2">
        <v>45886</v>
      </c>
      <c r="C3150" t="s">
        <v>24</v>
      </c>
      <c r="D3150" t="s">
        <v>47</v>
      </c>
      <c r="E3150" t="s">
        <v>34</v>
      </c>
      <c r="F3150" t="s">
        <v>31</v>
      </c>
      <c r="G3150">
        <v>5</v>
      </c>
      <c r="H3150">
        <v>2.2000000000000002</v>
      </c>
      <c r="I3150" t="s">
        <v>14</v>
      </c>
      <c r="J3150" t="s">
        <v>3968</v>
      </c>
      <c r="K3150" s="12">
        <f>Store_Record[[#This Row],[Qty]]*Store_Record[[#This Row],[UnitPriceGBP]]</f>
        <v>11</v>
      </c>
      <c r="L3150" s="5" t="str">
        <f>TEXT(Store_Record[[#This Row],[Date]],"dddd")</f>
        <v>Sunday</v>
      </c>
      <c r="M3150" s="5" t="str">
        <f>TEXT(Store_Record[[#This Row],[Date]],"mmmm")</f>
        <v>August</v>
      </c>
      <c r="N3150" s="5">
        <f>YEAR(Store_Record[[#This Row],[Date]])</f>
        <v>2025</v>
      </c>
      <c r="O3150"/>
    </row>
    <row r="3151" spans="1:15" x14ac:dyDescent="0.35">
      <c r="A3151" t="s">
        <v>4112</v>
      </c>
      <c r="B3151" s="2">
        <v>45886</v>
      </c>
      <c r="C3151" t="s">
        <v>36</v>
      </c>
      <c r="D3151" t="s">
        <v>29</v>
      </c>
      <c r="E3151" t="s">
        <v>12</v>
      </c>
      <c r="F3151" t="s">
        <v>13</v>
      </c>
      <c r="G3151">
        <v>3</v>
      </c>
      <c r="H3151">
        <v>2.5</v>
      </c>
      <c r="I3151" t="s">
        <v>39</v>
      </c>
      <c r="J3151" t="s">
        <v>3708</v>
      </c>
      <c r="K3151" s="12">
        <f>Store_Record[[#This Row],[Qty]]*Store_Record[[#This Row],[UnitPriceGBP]]</f>
        <v>7.5</v>
      </c>
      <c r="L3151" s="5" t="str">
        <f>TEXT(Store_Record[[#This Row],[Date]],"dddd")</f>
        <v>Sunday</v>
      </c>
      <c r="M3151" s="5" t="str">
        <f>TEXT(Store_Record[[#This Row],[Date]],"mmmm")</f>
        <v>August</v>
      </c>
      <c r="N3151" s="5">
        <f>YEAR(Store_Record[[#This Row],[Date]])</f>
        <v>2025</v>
      </c>
      <c r="O3151"/>
    </row>
    <row r="3152" spans="1:15" x14ac:dyDescent="0.35">
      <c r="A3152" t="s">
        <v>4123</v>
      </c>
      <c r="B3152" s="2">
        <v>45886</v>
      </c>
      <c r="C3152" t="s">
        <v>36</v>
      </c>
      <c r="D3152" t="s">
        <v>25</v>
      </c>
      <c r="E3152" t="s">
        <v>26</v>
      </c>
      <c r="F3152" t="s">
        <v>13</v>
      </c>
      <c r="G3152">
        <v>2</v>
      </c>
      <c r="H3152">
        <v>3.5</v>
      </c>
      <c r="I3152" t="s">
        <v>21</v>
      </c>
      <c r="J3152" t="s">
        <v>1221</v>
      </c>
      <c r="K3152" s="12">
        <f>Store_Record[[#This Row],[Qty]]*Store_Record[[#This Row],[UnitPriceGBP]]</f>
        <v>7</v>
      </c>
      <c r="L3152" s="5" t="str">
        <f>TEXT(Store_Record[[#This Row],[Date]],"dddd")</f>
        <v>Sunday</v>
      </c>
      <c r="M3152" s="5" t="str">
        <f>TEXT(Store_Record[[#This Row],[Date]],"mmmm")</f>
        <v>August</v>
      </c>
      <c r="N3152" s="5">
        <f>YEAR(Store_Record[[#This Row],[Date]])</f>
        <v>2025</v>
      </c>
      <c r="O3152"/>
    </row>
    <row r="3153" spans="1:15" x14ac:dyDescent="0.35">
      <c r="A3153" t="s">
        <v>4120</v>
      </c>
      <c r="B3153" s="2">
        <v>45886</v>
      </c>
      <c r="C3153" t="s">
        <v>10</v>
      </c>
      <c r="D3153" t="s">
        <v>38</v>
      </c>
      <c r="E3153" t="s">
        <v>30</v>
      </c>
      <c r="F3153" t="s">
        <v>31</v>
      </c>
      <c r="G3153">
        <v>2</v>
      </c>
      <c r="H3153">
        <v>2.8</v>
      </c>
      <c r="I3153" t="s">
        <v>21</v>
      </c>
      <c r="J3153" t="s">
        <v>177</v>
      </c>
      <c r="K3153" s="12">
        <f>Store_Record[[#This Row],[Qty]]*Store_Record[[#This Row],[UnitPriceGBP]]</f>
        <v>5.6</v>
      </c>
      <c r="L3153" s="5" t="str">
        <f>TEXT(Store_Record[[#This Row],[Date]],"dddd")</f>
        <v>Sunday</v>
      </c>
      <c r="M3153" s="5" t="str">
        <f>TEXT(Store_Record[[#This Row],[Date]],"mmmm")</f>
        <v>August</v>
      </c>
      <c r="N3153" s="5">
        <f>YEAR(Store_Record[[#This Row],[Date]])</f>
        <v>2025</v>
      </c>
      <c r="O3153"/>
    </row>
    <row r="3154" spans="1:15" x14ac:dyDescent="0.35">
      <c r="A3154" t="s">
        <v>4120</v>
      </c>
      <c r="B3154" s="2">
        <v>45886</v>
      </c>
      <c r="C3154" t="s">
        <v>10</v>
      </c>
      <c r="D3154" t="s">
        <v>38</v>
      </c>
      <c r="E3154" t="s">
        <v>30</v>
      </c>
      <c r="F3154" t="s">
        <v>31</v>
      </c>
      <c r="G3154">
        <v>2</v>
      </c>
      <c r="H3154">
        <v>2.8</v>
      </c>
      <c r="I3154" t="s">
        <v>39</v>
      </c>
      <c r="J3154" t="s">
        <v>177</v>
      </c>
      <c r="K3154" s="12">
        <f>Store_Record[[#This Row],[Qty]]*Store_Record[[#This Row],[UnitPriceGBP]]</f>
        <v>5.6</v>
      </c>
      <c r="L3154" s="5" t="str">
        <f>TEXT(Store_Record[[#This Row],[Date]],"dddd")</f>
        <v>Sunday</v>
      </c>
      <c r="M3154" s="5" t="str">
        <f>TEXT(Store_Record[[#This Row],[Date]],"mmmm")</f>
        <v>August</v>
      </c>
      <c r="N3154" s="5">
        <f>YEAR(Store_Record[[#This Row],[Date]])</f>
        <v>2025</v>
      </c>
      <c r="O3154"/>
    </row>
    <row r="3155" spans="1:15" x14ac:dyDescent="0.35">
      <c r="A3155" t="s">
        <v>4122</v>
      </c>
      <c r="B3155" s="2">
        <v>45886</v>
      </c>
      <c r="C3155" t="s">
        <v>24</v>
      </c>
      <c r="D3155" t="s">
        <v>47</v>
      </c>
      <c r="E3155" t="s">
        <v>30</v>
      </c>
      <c r="F3155" t="s">
        <v>31</v>
      </c>
      <c r="G3155">
        <v>2</v>
      </c>
      <c r="H3155">
        <v>2.8</v>
      </c>
      <c r="I3155" t="s">
        <v>39</v>
      </c>
      <c r="J3155" t="s">
        <v>553</v>
      </c>
      <c r="K3155" s="12">
        <f>Store_Record[[#This Row],[Qty]]*Store_Record[[#This Row],[UnitPriceGBP]]</f>
        <v>5.6</v>
      </c>
      <c r="L3155" s="5" t="str">
        <f>TEXT(Store_Record[[#This Row],[Date]],"dddd")</f>
        <v>Sunday</v>
      </c>
      <c r="M3155" s="5" t="str">
        <f>TEXT(Store_Record[[#This Row],[Date]],"mmmm")</f>
        <v>August</v>
      </c>
      <c r="N3155" s="5">
        <f>YEAR(Store_Record[[#This Row],[Date]])</f>
        <v>2025</v>
      </c>
      <c r="O3155"/>
    </row>
    <row r="3156" spans="1:15" x14ac:dyDescent="0.35">
      <c r="A3156" t="s">
        <v>4117</v>
      </c>
      <c r="B3156" s="2">
        <v>45886</v>
      </c>
      <c r="C3156" t="s">
        <v>24</v>
      </c>
      <c r="D3156" t="s">
        <v>47</v>
      </c>
      <c r="E3156" t="s">
        <v>12</v>
      </c>
      <c r="F3156" t="s">
        <v>13</v>
      </c>
      <c r="G3156">
        <v>2</v>
      </c>
      <c r="H3156">
        <v>2.5</v>
      </c>
      <c r="I3156" t="s">
        <v>21</v>
      </c>
      <c r="J3156" t="s">
        <v>2212</v>
      </c>
      <c r="K3156" s="12">
        <f>Store_Record[[#This Row],[Qty]]*Store_Record[[#This Row],[UnitPriceGBP]]</f>
        <v>5</v>
      </c>
      <c r="L3156" s="5" t="str">
        <f>TEXT(Store_Record[[#This Row],[Date]],"dddd")</f>
        <v>Sunday</v>
      </c>
      <c r="M3156" s="5" t="str">
        <f>TEXT(Store_Record[[#This Row],[Date]],"mmmm")</f>
        <v>August</v>
      </c>
      <c r="N3156" s="5">
        <f>YEAR(Store_Record[[#This Row],[Date]])</f>
        <v>2025</v>
      </c>
      <c r="O3156"/>
    </row>
    <row r="3157" spans="1:15" x14ac:dyDescent="0.35">
      <c r="A3157" t="s">
        <v>4119</v>
      </c>
      <c r="B3157" s="2">
        <v>45886</v>
      </c>
      <c r="C3157" t="s">
        <v>24</v>
      </c>
      <c r="D3157" t="s">
        <v>47</v>
      </c>
      <c r="E3157" t="s">
        <v>12</v>
      </c>
      <c r="F3157" t="s">
        <v>13</v>
      </c>
      <c r="G3157">
        <v>2</v>
      </c>
      <c r="H3157">
        <v>2.5</v>
      </c>
      <c r="I3157" t="s">
        <v>39</v>
      </c>
      <c r="J3157" t="s">
        <v>567</v>
      </c>
      <c r="K3157" s="12">
        <f>Store_Record[[#This Row],[Qty]]*Store_Record[[#This Row],[UnitPriceGBP]]</f>
        <v>5</v>
      </c>
      <c r="L3157" s="5" t="str">
        <f>TEXT(Store_Record[[#This Row],[Date]],"dddd")</f>
        <v>Sunday</v>
      </c>
      <c r="M3157" s="5" t="str">
        <f>TEXT(Store_Record[[#This Row],[Date]],"mmmm")</f>
        <v>August</v>
      </c>
      <c r="N3157" s="5">
        <f>YEAR(Store_Record[[#This Row],[Date]])</f>
        <v>2025</v>
      </c>
      <c r="O3157"/>
    </row>
    <row r="3158" spans="1:15" x14ac:dyDescent="0.35">
      <c r="A3158" t="s">
        <v>4113</v>
      </c>
      <c r="B3158" s="2">
        <v>45886</v>
      </c>
      <c r="C3158" t="s">
        <v>10</v>
      </c>
      <c r="D3158" t="s">
        <v>38</v>
      </c>
      <c r="E3158" t="s">
        <v>30</v>
      </c>
      <c r="F3158" t="s">
        <v>31</v>
      </c>
      <c r="G3158">
        <v>1</v>
      </c>
      <c r="H3158">
        <v>2.8</v>
      </c>
      <c r="I3158" t="s">
        <v>14</v>
      </c>
      <c r="J3158" t="s">
        <v>838</v>
      </c>
      <c r="K3158" s="12">
        <f>Store_Record[[#This Row],[Qty]]*Store_Record[[#This Row],[UnitPriceGBP]]</f>
        <v>2.8</v>
      </c>
      <c r="L3158" s="5" t="str">
        <f>TEXT(Store_Record[[#This Row],[Date]],"dddd")</f>
        <v>Sunday</v>
      </c>
      <c r="M3158" s="5" t="str">
        <f>TEXT(Store_Record[[#This Row],[Date]],"mmmm")</f>
        <v>August</v>
      </c>
      <c r="N3158" s="5">
        <f>YEAR(Store_Record[[#This Row],[Date]])</f>
        <v>2025</v>
      </c>
      <c r="O3158"/>
    </row>
    <row r="3159" spans="1:15" x14ac:dyDescent="0.35">
      <c r="A3159" t="s">
        <v>4134</v>
      </c>
      <c r="B3159" s="2">
        <v>45887</v>
      </c>
      <c r="C3159" t="s">
        <v>20</v>
      </c>
      <c r="D3159" t="s">
        <v>47</v>
      </c>
      <c r="E3159" t="s">
        <v>42</v>
      </c>
      <c r="F3159" t="s">
        <v>13</v>
      </c>
      <c r="G3159">
        <v>5</v>
      </c>
      <c r="H3159">
        <v>3.8</v>
      </c>
      <c r="I3159" t="s">
        <v>39</v>
      </c>
      <c r="J3159" t="s">
        <v>2779</v>
      </c>
      <c r="K3159" s="12">
        <f>Store_Record[[#This Row],[Qty]]*Store_Record[[#This Row],[UnitPriceGBP]]</f>
        <v>19</v>
      </c>
      <c r="L3159" s="5" t="str">
        <f>TEXT(Store_Record[[#This Row],[Date]],"dddd")</f>
        <v>Monday</v>
      </c>
      <c r="M3159" s="5" t="str">
        <f>TEXT(Store_Record[[#This Row],[Date]],"mmmm")</f>
        <v>August</v>
      </c>
      <c r="N3159" s="5">
        <f>YEAR(Store_Record[[#This Row],[Date]])</f>
        <v>2025</v>
      </c>
      <c r="O3159"/>
    </row>
    <row r="3160" spans="1:15" x14ac:dyDescent="0.35">
      <c r="A3160" t="s">
        <v>4131</v>
      </c>
      <c r="B3160" s="2">
        <v>45887</v>
      </c>
      <c r="C3160" t="s">
        <v>10</v>
      </c>
      <c r="D3160" t="s">
        <v>11</v>
      </c>
      <c r="E3160" t="s">
        <v>26</v>
      </c>
      <c r="F3160" t="s">
        <v>13</v>
      </c>
      <c r="G3160">
        <v>5</v>
      </c>
      <c r="H3160">
        <v>3.5</v>
      </c>
      <c r="I3160" t="s">
        <v>39</v>
      </c>
      <c r="J3160" t="s">
        <v>1468</v>
      </c>
      <c r="K3160" s="12">
        <f>Store_Record[[#This Row],[Qty]]*Store_Record[[#This Row],[UnitPriceGBP]]</f>
        <v>17.5</v>
      </c>
      <c r="L3160" s="5" t="str">
        <f>TEXT(Store_Record[[#This Row],[Date]],"dddd")</f>
        <v>Monday</v>
      </c>
      <c r="M3160" s="5" t="str">
        <f>TEXT(Store_Record[[#This Row],[Date]],"mmmm")</f>
        <v>August</v>
      </c>
      <c r="N3160" s="5">
        <f>YEAR(Store_Record[[#This Row],[Date]])</f>
        <v>2025</v>
      </c>
      <c r="O3160"/>
    </row>
    <row r="3161" spans="1:15" x14ac:dyDescent="0.35">
      <c r="A3161" t="s">
        <v>4132</v>
      </c>
      <c r="B3161" s="2">
        <v>45887</v>
      </c>
      <c r="C3161" t="s">
        <v>36</v>
      </c>
      <c r="D3161" t="s">
        <v>25</v>
      </c>
      <c r="E3161" t="s">
        <v>42</v>
      </c>
      <c r="F3161" t="s">
        <v>13</v>
      </c>
      <c r="G3161">
        <v>4</v>
      </c>
      <c r="H3161">
        <v>3.8</v>
      </c>
      <c r="I3161" t="s">
        <v>14</v>
      </c>
      <c r="J3161" t="s">
        <v>374</v>
      </c>
      <c r="K3161" s="12">
        <f>Store_Record[[#This Row],[Qty]]*Store_Record[[#This Row],[UnitPriceGBP]]</f>
        <v>15.2</v>
      </c>
      <c r="L3161" s="5" t="str">
        <f>TEXT(Store_Record[[#This Row],[Date]],"dddd")</f>
        <v>Monday</v>
      </c>
      <c r="M3161" s="5" t="str">
        <f>TEXT(Store_Record[[#This Row],[Date]],"mmmm")</f>
        <v>August</v>
      </c>
      <c r="N3161" s="5">
        <f>YEAR(Store_Record[[#This Row],[Date]])</f>
        <v>2025</v>
      </c>
      <c r="O3161"/>
    </row>
    <row r="3162" spans="1:15" x14ac:dyDescent="0.35">
      <c r="A3162" t="s">
        <v>4125</v>
      </c>
      <c r="B3162" s="2">
        <v>45887</v>
      </c>
      <c r="C3162" t="s">
        <v>24</v>
      </c>
      <c r="D3162" t="s">
        <v>47</v>
      </c>
      <c r="E3162" t="s">
        <v>26</v>
      </c>
      <c r="F3162" t="s">
        <v>13</v>
      </c>
      <c r="G3162">
        <v>4</v>
      </c>
      <c r="H3162">
        <v>3.5</v>
      </c>
      <c r="I3162" t="s">
        <v>21</v>
      </c>
      <c r="J3162" t="s">
        <v>2003</v>
      </c>
      <c r="K3162" s="12">
        <f>Store_Record[[#This Row],[Qty]]*Store_Record[[#This Row],[UnitPriceGBP]]</f>
        <v>14</v>
      </c>
      <c r="L3162" s="5" t="str">
        <f>TEXT(Store_Record[[#This Row],[Date]],"dddd")</f>
        <v>Monday</v>
      </c>
      <c r="M3162" s="5" t="str">
        <f>TEXT(Store_Record[[#This Row],[Date]],"mmmm")</f>
        <v>August</v>
      </c>
      <c r="N3162" s="5">
        <f>YEAR(Store_Record[[#This Row],[Date]])</f>
        <v>2025</v>
      </c>
      <c r="O3162"/>
    </row>
    <row r="3163" spans="1:15" x14ac:dyDescent="0.35">
      <c r="A3163" t="s">
        <v>4129</v>
      </c>
      <c r="B3163" s="2">
        <v>45887</v>
      </c>
      <c r="C3163" t="s">
        <v>24</v>
      </c>
      <c r="D3163" t="s">
        <v>29</v>
      </c>
      <c r="E3163" t="s">
        <v>26</v>
      </c>
      <c r="F3163" t="s">
        <v>13</v>
      </c>
      <c r="G3163">
        <v>4</v>
      </c>
      <c r="H3163">
        <v>3.5</v>
      </c>
      <c r="I3163" t="s">
        <v>39</v>
      </c>
      <c r="J3163" t="s">
        <v>258</v>
      </c>
      <c r="K3163" s="12">
        <f>Store_Record[[#This Row],[Qty]]*Store_Record[[#This Row],[UnitPriceGBP]]</f>
        <v>14</v>
      </c>
      <c r="L3163" s="5" t="str">
        <f>TEXT(Store_Record[[#This Row],[Date]],"dddd")</f>
        <v>Monday</v>
      </c>
      <c r="M3163" s="5" t="str">
        <f>TEXT(Store_Record[[#This Row],[Date]],"mmmm")</f>
        <v>August</v>
      </c>
      <c r="N3163" s="5">
        <f>YEAR(Store_Record[[#This Row],[Date]])</f>
        <v>2025</v>
      </c>
      <c r="O3163"/>
    </row>
    <row r="3164" spans="1:15" x14ac:dyDescent="0.35">
      <c r="A3164" t="s">
        <v>4128</v>
      </c>
      <c r="B3164" s="2">
        <v>45887</v>
      </c>
      <c r="C3164" t="s">
        <v>24</v>
      </c>
      <c r="D3164" t="s">
        <v>29</v>
      </c>
      <c r="E3164" t="s">
        <v>30</v>
      </c>
      <c r="F3164" t="s">
        <v>31</v>
      </c>
      <c r="G3164">
        <v>4</v>
      </c>
      <c r="H3164">
        <v>2.8</v>
      </c>
      <c r="I3164" t="s">
        <v>39</v>
      </c>
      <c r="J3164" t="s">
        <v>788</v>
      </c>
      <c r="K3164" s="12">
        <f>Store_Record[[#This Row],[Qty]]*Store_Record[[#This Row],[UnitPriceGBP]]</f>
        <v>11.2</v>
      </c>
      <c r="L3164" s="5" t="str">
        <f>TEXT(Store_Record[[#This Row],[Date]],"dddd")</f>
        <v>Monday</v>
      </c>
      <c r="M3164" s="5" t="str">
        <f>TEXT(Store_Record[[#This Row],[Date]],"mmmm")</f>
        <v>August</v>
      </c>
      <c r="N3164" s="5">
        <f>YEAR(Store_Record[[#This Row],[Date]])</f>
        <v>2025</v>
      </c>
      <c r="O3164"/>
    </row>
    <row r="3165" spans="1:15" x14ac:dyDescent="0.35">
      <c r="A3165" t="s">
        <v>4127</v>
      </c>
      <c r="B3165" s="2">
        <v>45887</v>
      </c>
      <c r="C3165" t="s">
        <v>20</v>
      </c>
      <c r="D3165" t="s">
        <v>11</v>
      </c>
      <c r="E3165" t="s">
        <v>26</v>
      </c>
      <c r="F3165" t="s">
        <v>13</v>
      </c>
      <c r="G3165">
        <v>3</v>
      </c>
      <c r="H3165">
        <v>3.5</v>
      </c>
      <c r="I3165" t="s">
        <v>14</v>
      </c>
      <c r="J3165" t="s">
        <v>618</v>
      </c>
      <c r="K3165" s="12">
        <f>Store_Record[[#This Row],[Qty]]*Store_Record[[#This Row],[UnitPriceGBP]]</f>
        <v>10.5</v>
      </c>
      <c r="L3165" s="5" t="str">
        <f>TEXT(Store_Record[[#This Row],[Date]],"dddd")</f>
        <v>Monday</v>
      </c>
      <c r="M3165" s="5" t="str">
        <f>TEXT(Store_Record[[#This Row],[Date]],"mmmm")</f>
        <v>August</v>
      </c>
      <c r="N3165" s="5">
        <f>YEAR(Store_Record[[#This Row],[Date]])</f>
        <v>2025</v>
      </c>
      <c r="O3165"/>
    </row>
    <row r="3166" spans="1:15" x14ac:dyDescent="0.35">
      <c r="A3166" t="s">
        <v>4124</v>
      </c>
      <c r="B3166" s="2">
        <v>45887</v>
      </c>
      <c r="C3166" t="s">
        <v>24</v>
      </c>
      <c r="D3166" t="s">
        <v>29</v>
      </c>
      <c r="E3166" t="s">
        <v>42</v>
      </c>
      <c r="F3166" t="s">
        <v>13</v>
      </c>
      <c r="G3166">
        <v>2</v>
      </c>
      <c r="H3166">
        <v>3.8</v>
      </c>
      <c r="I3166" t="s">
        <v>21</v>
      </c>
      <c r="J3166" t="s">
        <v>526</v>
      </c>
      <c r="K3166" s="12">
        <f>Store_Record[[#This Row],[Qty]]*Store_Record[[#This Row],[UnitPriceGBP]]</f>
        <v>7.6</v>
      </c>
      <c r="L3166" s="5" t="str">
        <f>TEXT(Store_Record[[#This Row],[Date]],"dddd")</f>
        <v>Monday</v>
      </c>
      <c r="M3166" s="5" t="str">
        <f>TEXT(Store_Record[[#This Row],[Date]],"mmmm")</f>
        <v>August</v>
      </c>
      <c r="N3166" s="5">
        <f>YEAR(Store_Record[[#This Row],[Date]])</f>
        <v>2025</v>
      </c>
      <c r="O3166"/>
    </row>
    <row r="3167" spans="1:15" x14ac:dyDescent="0.35">
      <c r="A3167" t="s">
        <v>4135</v>
      </c>
      <c r="B3167" s="2">
        <v>45887</v>
      </c>
      <c r="C3167" t="s">
        <v>20</v>
      </c>
      <c r="D3167" t="s">
        <v>11</v>
      </c>
      <c r="E3167" t="s">
        <v>12</v>
      </c>
      <c r="F3167" t="s">
        <v>13</v>
      </c>
      <c r="G3167">
        <v>3</v>
      </c>
      <c r="H3167">
        <v>2.5</v>
      </c>
      <c r="I3167" t="s">
        <v>21</v>
      </c>
      <c r="J3167" t="s">
        <v>1003</v>
      </c>
      <c r="K3167" s="12">
        <f>Store_Record[[#This Row],[Qty]]*Store_Record[[#This Row],[UnitPriceGBP]]</f>
        <v>7.5</v>
      </c>
      <c r="L3167" s="5" t="str">
        <f>TEXT(Store_Record[[#This Row],[Date]],"dddd")</f>
        <v>Monday</v>
      </c>
      <c r="M3167" s="5" t="str">
        <f>TEXT(Store_Record[[#This Row],[Date]],"mmmm")</f>
        <v>August</v>
      </c>
      <c r="N3167" s="5">
        <f>YEAR(Store_Record[[#This Row],[Date]])</f>
        <v>2025</v>
      </c>
      <c r="O3167"/>
    </row>
    <row r="3168" spans="1:15" x14ac:dyDescent="0.35">
      <c r="A3168" t="s">
        <v>4126</v>
      </c>
      <c r="B3168" s="2">
        <v>45887</v>
      </c>
      <c r="C3168" t="s">
        <v>36</v>
      </c>
      <c r="D3168" t="s">
        <v>29</v>
      </c>
      <c r="E3168" t="s">
        <v>30</v>
      </c>
      <c r="F3168" t="s">
        <v>31</v>
      </c>
      <c r="G3168">
        <v>2</v>
      </c>
      <c r="H3168">
        <v>2.8</v>
      </c>
      <c r="I3168" t="s">
        <v>21</v>
      </c>
      <c r="J3168" t="s">
        <v>1646</v>
      </c>
      <c r="K3168" s="12">
        <f>Store_Record[[#This Row],[Qty]]*Store_Record[[#This Row],[UnitPriceGBP]]</f>
        <v>5.6</v>
      </c>
      <c r="L3168" s="5" t="str">
        <f>TEXT(Store_Record[[#This Row],[Date]],"dddd")</f>
        <v>Monday</v>
      </c>
      <c r="M3168" s="5" t="str">
        <f>TEXT(Store_Record[[#This Row],[Date]],"mmmm")</f>
        <v>August</v>
      </c>
      <c r="N3168" s="5">
        <f>YEAR(Store_Record[[#This Row],[Date]])</f>
        <v>2025</v>
      </c>
      <c r="O3168"/>
    </row>
    <row r="3169" spans="1:15" x14ac:dyDescent="0.35">
      <c r="A3169" t="s">
        <v>4130</v>
      </c>
      <c r="B3169" s="2">
        <v>45887</v>
      </c>
      <c r="C3169" t="s">
        <v>24</v>
      </c>
      <c r="D3169" t="s">
        <v>47</v>
      </c>
      <c r="E3169" t="s">
        <v>26</v>
      </c>
      <c r="F3169" t="s">
        <v>13</v>
      </c>
      <c r="G3169">
        <v>1</v>
      </c>
      <c r="H3169">
        <v>3.5</v>
      </c>
      <c r="I3169" t="s">
        <v>21</v>
      </c>
      <c r="J3169" t="s">
        <v>1447</v>
      </c>
      <c r="K3169" s="12">
        <f>Store_Record[[#This Row],[Qty]]*Store_Record[[#This Row],[UnitPriceGBP]]</f>
        <v>3.5</v>
      </c>
      <c r="L3169" s="5" t="str">
        <f>TEXT(Store_Record[[#This Row],[Date]],"dddd")</f>
        <v>Monday</v>
      </c>
      <c r="M3169" s="5" t="str">
        <f>TEXT(Store_Record[[#This Row],[Date]],"mmmm")</f>
        <v>August</v>
      </c>
      <c r="N3169" s="5">
        <f>YEAR(Store_Record[[#This Row],[Date]])</f>
        <v>2025</v>
      </c>
      <c r="O3169"/>
    </row>
    <row r="3170" spans="1:15" x14ac:dyDescent="0.35">
      <c r="A3170" t="s">
        <v>4133</v>
      </c>
      <c r="B3170" s="2">
        <v>45887</v>
      </c>
      <c r="C3170" t="s">
        <v>10</v>
      </c>
      <c r="D3170" t="s">
        <v>152</v>
      </c>
      <c r="E3170" t="s">
        <v>12</v>
      </c>
      <c r="F3170" t="s">
        <v>13</v>
      </c>
      <c r="G3170">
        <v>1</v>
      </c>
      <c r="H3170">
        <v>2.5</v>
      </c>
      <c r="I3170" t="s">
        <v>39</v>
      </c>
      <c r="J3170" t="s">
        <v>682</v>
      </c>
      <c r="K3170" s="12">
        <f>Store_Record[[#This Row],[Qty]]*Store_Record[[#This Row],[UnitPriceGBP]]</f>
        <v>2.5</v>
      </c>
      <c r="L3170" s="5" t="str">
        <f>TEXT(Store_Record[[#This Row],[Date]],"dddd")</f>
        <v>Monday</v>
      </c>
      <c r="M3170" s="5" t="str">
        <f>TEXT(Store_Record[[#This Row],[Date]],"mmmm")</f>
        <v>August</v>
      </c>
      <c r="N3170" s="5">
        <f>YEAR(Store_Record[[#This Row],[Date]])</f>
        <v>2025</v>
      </c>
      <c r="O3170"/>
    </row>
    <row r="3171" spans="1:15" x14ac:dyDescent="0.35">
      <c r="A3171" t="s">
        <v>4136</v>
      </c>
      <c r="B3171" s="2">
        <v>45888</v>
      </c>
      <c r="C3171" t="s">
        <v>24</v>
      </c>
      <c r="D3171" t="s">
        <v>47</v>
      </c>
      <c r="E3171" t="s">
        <v>42</v>
      </c>
      <c r="F3171" t="s">
        <v>13</v>
      </c>
      <c r="G3171">
        <v>5</v>
      </c>
      <c r="H3171">
        <v>3.8</v>
      </c>
      <c r="I3171" t="s">
        <v>14</v>
      </c>
      <c r="J3171" t="s">
        <v>187</v>
      </c>
      <c r="K3171" s="12">
        <f>Store_Record[[#This Row],[Qty]]*Store_Record[[#This Row],[UnitPriceGBP]]</f>
        <v>19</v>
      </c>
      <c r="L3171" s="5" t="str">
        <f>TEXT(Store_Record[[#This Row],[Date]],"dddd")</f>
        <v>Tuesday</v>
      </c>
      <c r="M3171" s="5" t="str">
        <f>TEXT(Store_Record[[#This Row],[Date]],"mmmm")</f>
        <v>August</v>
      </c>
      <c r="N3171" s="5">
        <f>YEAR(Store_Record[[#This Row],[Date]])</f>
        <v>2025</v>
      </c>
      <c r="O3171"/>
    </row>
    <row r="3172" spans="1:15" x14ac:dyDescent="0.35">
      <c r="A3172" t="s">
        <v>4146</v>
      </c>
      <c r="B3172" s="2">
        <v>45888</v>
      </c>
      <c r="C3172" t="s">
        <v>10</v>
      </c>
      <c r="D3172" t="s">
        <v>38</v>
      </c>
      <c r="E3172" t="s">
        <v>42</v>
      </c>
      <c r="F3172" t="s">
        <v>13</v>
      </c>
      <c r="G3172">
        <v>5</v>
      </c>
      <c r="H3172">
        <v>3.8</v>
      </c>
      <c r="I3172" t="s">
        <v>39</v>
      </c>
      <c r="J3172" t="s">
        <v>411</v>
      </c>
      <c r="K3172" s="12">
        <f>Store_Record[[#This Row],[Qty]]*Store_Record[[#This Row],[UnitPriceGBP]]</f>
        <v>19</v>
      </c>
      <c r="L3172" s="5" t="str">
        <f>TEXT(Store_Record[[#This Row],[Date]],"dddd")</f>
        <v>Tuesday</v>
      </c>
      <c r="M3172" s="5" t="str">
        <f>TEXT(Store_Record[[#This Row],[Date]],"mmmm")</f>
        <v>August</v>
      </c>
      <c r="N3172" s="5">
        <f>YEAR(Store_Record[[#This Row],[Date]])</f>
        <v>2025</v>
      </c>
      <c r="O3172"/>
    </row>
    <row r="3173" spans="1:15" x14ac:dyDescent="0.35">
      <c r="A3173" t="s">
        <v>4139</v>
      </c>
      <c r="B3173" s="2">
        <v>45888</v>
      </c>
      <c r="C3173" t="s">
        <v>24</v>
      </c>
      <c r="D3173" t="s">
        <v>47</v>
      </c>
      <c r="E3173" t="s">
        <v>26</v>
      </c>
      <c r="F3173" t="s">
        <v>13</v>
      </c>
      <c r="G3173">
        <v>4</v>
      </c>
      <c r="H3173">
        <v>3.5</v>
      </c>
      <c r="I3173" t="s">
        <v>39</v>
      </c>
      <c r="J3173" t="s">
        <v>1760</v>
      </c>
      <c r="K3173" s="12">
        <f>Store_Record[[#This Row],[Qty]]*Store_Record[[#This Row],[UnitPriceGBP]]</f>
        <v>14</v>
      </c>
      <c r="L3173" s="5" t="str">
        <f>TEXT(Store_Record[[#This Row],[Date]],"dddd")</f>
        <v>Tuesday</v>
      </c>
      <c r="M3173" s="5" t="str">
        <f>TEXT(Store_Record[[#This Row],[Date]],"mmmm")</f>
        <v>August</v>
      </c>
      <c r="N3173" s="5">
        <f>YEAR(Store_Record[[#This Row],[Date]])</f>
        <v>2025</v>
      </c>
      <c r="O3173"/>
    </row>
    <row r="3174" spans="1:15" x14ac:dyDescent="0.35">
      <c r="A3174" t="s">
        <v>4151</v>
      </c>
      <c r="B3174" s="2">
        <v>45888</v>
      </c>
      <c r="C3174" t="s">
        <v>36</v>
      </c>
      <c r="D3174" t="s">
        <v>47</v>
      </c>
      <c r="E3174" t="s">
        <v>42</v>
      </c>
      <c r="F3174" t="s">
        <v>13</v>
      </c>
      <c r="G3174">
        <v>3</v>
      </c>
      <c r="H3174">
        <v>3.8</v>
      </c>
      <c r="I3174" t="s">
        <v>39</v>
      </c>
      <c r="J3174" t="s">
        <v>1928</v>
      </c>
      <c r="K3174" s="12">
        <f>Store_Record[[#This Row],[Qty]]*Store_Record[[#This Row],[UnitPriceGBP]]</f>
        <v>11.399999999999999</v>
      </c>
      <c r="L3174" s="5" t="str">
        <f>TEXT(Store_Record[[#This Row],[Date]],"dddd")</f>
        <v>Tuesday</v>
      </c>
      <c r="M3174" s="5" t="str">
        <f>TEXT(Store_Record[[#This Row],[Date]],"mmmm")</f>
        <v>August</v>
      </c>
      <c r="N3174" s="5">
        <f>YEAR(Store_Record[[#This Row],[Date]])</f>
        <v>2025</v>
      </c>
      <c r="O3174"/>
    </row>
    <row r="3175" spans="1:15" x14ac:dyDescent="0.35">
      <c r="A3175" t="s">
        <v>4147</v>
      </c>
      <c r="B3175" s="2">
        <v>45888</v>
      </c>
      <c r="C3175" t="s">
        <v>24</v>
      </c>
      <c r="D3175" t="s">
        <v>25</v>
      </c>
      <c r="E3175" t="s">
        <v>34</v>
      </c>
      <c r="F3175" t="s">
        <v>31</v>
      </c>
      <c r="G3175">
        <v>5</v>
      </c>
      <c r="H3175">
        <v>2.2000000000000002</v>
      </c>
      <c r="I3175" t="s">
        <v>39</v>
      </c>
      <c r="J3175" t="s">
        <v>628</v>
      </c>
      <c r="K3175" s="12">
        <f>Store_Record[[#This Row],[Qty]]*Store_Record[[#This Row],[UnitPriceGBP]]</f>
        <v>11</v>
      </c>
      <c r="L3175" s="5" t="str">
        <f>TEXT(Store_Record[[#This Row],[Date]],"dddd")</f>
        <v>Tuesday</v>
      </c>
      <c r="M3175" s="5" t="str">
        <f>TEXT(Store_Record[[#This Row],[Date]],"mmmm")</f>
        <v>August</v>
      </c>
      <c r="N3175" s="5">
        <f>YEAR(Store_Record[[#This Row],[Date]])</f>
        <v>2025</v>
      </c>
      <c r="O3175"/>
    </row>
    <row r="3176" spans="1:15" x14ac:dyDescent="0.35">
      <c r="A3176" t="s">
        <v>4140</v>
      </c>
      <c r="B3176" s="2">
        <v>45888</v>
      </c>
      <c r="C3176" t="s">
        <v>36</v>
      </c>
      <c r="D3176" t="s">
        <v>38</v>
      </c>
      <c r="E3176" t="s">
        <v>12</v>
      </c>
      <c r="F3176" t="s">
        <v>13</v>
      </c>
      <c r="G3176">
        <v>4</v>
      </c>
      <c r="H3176">
        <v>2.5</v>
      </c>
      <c r="I3176" t="s">
        <v>39</v>
      </c>
      <c r="J3176" t="s">
        <v>3102</v>
      </c>
      <c r="K3176" s="12">
        <f>Store_Record[[#This Row],[Qty]]*Store_Record[[#This Row],[UnitPriceGBP]]</f>
        <v>10</v>
      </c>
      <c r="L3176" s="5" t="str">
        <f>TEXT(Store_Record[[#This Row],[Date]],"dddd")</f>
        <v>Tuesday</v>
      </c>
      <c r="M3176" s="5" t="str">
        <f>TEXT(Store_Record[[#This Row],[Date]],"mmmm")</f>
        <v>August</v>
      </c>
      <c r="N3176" s="5">
        <f>YEAR(Store_Record[[#This Row],[Date]])</f>
        <v>2025</v>
      </c>
      <c r="O3176"/>
    </row>
    <row r="3177" spans="1:15" x14ac:dyDescent="0.35">
      <c r="A3177" t="s">
        <v>4143</v>
      </c>
      <c r="B3177" s="2">
        <v>45888</v>
      </c>
      <c r="C3177" t="s">
        <v>10</v>
      </c>
      <c r="D3177" t="s">
        <v>38</v>
      </c>
      <c r="E3177" t="s">
        <v>30</v>
      </c>
      <c r="F3177" t="s">
        <v>31</v>
      </c>
      <c r="G3177">
        <v>3</v>
      </c>
      <c r="H3177">
        <v>2.8</v>
      </c>
      <c r="I3177" t="s">
        <v>21</v>
      </c>
      <c r="J3177" t="s">
        <v>2672</v>
      </c>
      <c r="K3177" s="12">
        <f>Store_Record[[#This Row],[Qty]]*Store_Record[[#This Row],[UnitPriceGBP]]</f>
        <v>8.3999999999999986</v>
      </c>
      <c r="L3177" s="5" t="str">
        <f>TEXT(Store_Record[[#This Row],[Date]],"dddd")</f>
        <v>Tuesday</v>
      </c>
      <c r="M3177" s="5" t="str">
        <f>TEXT(Store_Record[[#This Row],[Date]],"mmmm")</f>
        <v>August</v>
      </c>
      <c r="N3177" s="5">
        <f>YEAR(Store_Record[[#This Row],[Date]])</f>
        <v>2025</v>
      </c>
      <c r="O3177"/>
    </row>
    <row r="3178" spans="1:15" x14ac:dyDescent="0.35">
      <c r="A3178" t="s">
        <v>4148</v>
      </c>
      <c r="B3178" s="2">
        <v>45888</v>
      </c>
      <c r="C3178" t="s">
        <v>24</v>
      </c>
      <c r="D3178" t="s">
        <v>29</v>
      </c>
      <c r="E3178" t="s">
        <v>30</v>
      </c>
      <c r="F3178" t="s">
        <v>31</v>
      </c>
      <c r="G3178">
        <v>3</v>
      </c>
      <c r="H3178">
        <v>2.8</v>
      </c>
      <c r="I3178" t="s">
        <v>39</v>
      </c>
      <c r="J3178" t="s">
        <v>2745</v>
      </c>
      <c r="K3178" s="12">
        <f>Store_Record[[#This Row],[Qty]]*Store_Record[[#This Row],[UnitPriceGBP]]</f>
        <v>8.3999999999999986</v>
      </c>
      <c r="L3178" s="5" t="str">
        <f>TEXT(Store_Record[[#This Row],[Date]],"dddd")</f>
        <v>Tuesday</v>
      </c>
      <c r="M3178" s="5" t="str">
        <f>TEXT(Store_Record[[#This Row],[Date]],"mmmm")</f>
        <v>August</v>
      </c>
      <c r="N3178" s="5">
        <f>YEAR(Store_Record[[#This Row],[Date]])</f>
        <v>2025</v>
      </c>
      <c r="O3178"/>
    </row>
    <row r="3179" spans="1:15" x14ac:dyDescent="0.35">
      <c r="A3179" t="s">
        <v>4138</v>
      </c>
      <c r="B3179" s="2">
        <v>45888</v>
      </c>
      <c r="C3179" t="s">
        <v>36</v>
      </c>
      <c r="D3179" t="s">
        <v>29</v>
      </c>
      <c r="E3179" t="s">
        <v>30</v>
      </c>
      <c r="F3179" t="s">
        <v>31</v>
      </c>
      <c r="G3179">
        <v>2</v>
      </c>
      <c r="H3179">
        <v>2.8</v>
      </c>
      <c r="I3179" t="s">
        <v>21</v>
      </c>
      <c r="J3179" t="s">
        <v>958</v>
      </c>
      <c r="K3179" s="12">
        <f>Store_Record[[#This Row],[Qty]]*Store_Record[[#This Row],[UnitPriceGBP]]</f>
        <v>5.6</v>
      </c>
      <c r="L3179" s="5" t="str">
        <f>TEXT(Store_Record[[#This Row],[Date]],"dddd")</f>
        <v>Tuesday</v>
      </c>
      <c r="M3179" s="5" t="str">
        <f>TEXT(Store_Record[[#This Row],[Date]],"mmmm")</f>
        <v>August</v>
      </c>
      <c r="N3179" s="5">
        <f>YEAR(Store_Record[[#This Row],[Date]])</f>
        <v>2025</v>
      </c>
      <c r="O3179"/>
    </row>
    <row r="3180" spans="1:15" x14ac:dyDescent="0.35">
      <c r="A3180" t="s">
        <v>4149</v>
      </c>
      <c r="B3180" s="2">
        <v>45888</v>
      </c>
      <c r="C3180" t="s">
        <v>24</v>
      </c>
      <c r="D3180" t="s">
        <v>29</v>
      </c>
      <c r="E3180" t="s">
        <v>12</v>
      </c>
      <c r="F3180" t="s">
        <v>13</v>
      </c>
      <c r="G3180">
        <v>2</v>
      </c>
      <c r="H3180">
        <v>2.5</v>
      </c>
      <c r="I3180" t="s">
        <v>21</v>
      </c>
      <c r="J3180" t="s">
        <v>1083</v>
      </c>
      <c r="K3180" s="12">
        <f>Store_Record[[#This Row],[Qty]]*Store_Record[[#This Row],[UnitPriceGBP]]</f>
        <v>5</v>
      </c>
      <c r="L3180" s="5" t="str">
        <f>TEXT(Store_Record[[#This Row],[Date]],"dddd")</f>
        <v>Tuesday</v>
      </c>
      <c r="M3180" s="5" t="str">
        <f>TEXT(Store_Record[[#This Row],[Date]],"mmmm")</f>
        <v>August</v>
      </c>
      <c r="N3180" s="5">
        <f>YEAR(Store_Record[[#This Row],[Date]])</f>
        <v>2025</v>
      </c>
      <c r="O3180"/>
    </row>
    <row r="3181" spans="1:15" x14ac:dyDescent="0.35">
      <c r="A3181" t="s">
        <v>4150</v>
      </c>
      <c r="B3181" s="2">
        <v>45888</v>
      </c>
      <c r="C3181" t="s">
        <v>10</v>
      </c>
      <c r="D3181" t="s">
        <v>38</v>
      </c>
      <c r="E3181" t="s">
        <v>12</v>
      </c>
      <c r="F3181" t="s">
        <v>13</v>
      </c>
      <c r="G3181">
        <v>2</v>
      </c>
      <c r="H3181">
        <v>2.5</v>
      </c>
      <c r="I3181" t="s">
        <v>21</v>
      </c>
      <c r="J3181" t="s">
        <v>1639</v>
      </c>
      <c r="K3181" s="12">
        <f>Store_Record[[#This Row],[Qty]]*Store_Record[[#This Row],[UnitPriceGBP]]</f>
        <v>5</v>
      </c>
      <c r="L3181" s="5" t="str">
        <f>TEXT(Store_Record[[#This Row],[Date]],"dddd")</f>
        <v>Tuesday</v>
      </c>
      <c r="M3181" s="5" t="str">
        <f>TEXT(Store_Record[[#This Row],[Date]],"mmmm")</f>
        <v>August</v>
      </c>
      <c r="N3181" s="5">
        <f>YEAR(Store_Record[[#This Row],[Date]])</f>
        <v>2025</v>
      </c>
      <c r="O3181"/>
    </row>
    <row r="3182" spans="1:15" x14ac:dyDescent="0.35">
      <c r="A3182" t="s">
        <v>4137</v>
      </c>
      <c r="B3182" s="2">
        <v>45888</v>
      </c>
      <c r="C3182" t="s">
        <v>24</v>
      </c>
      <c r="D3182" t="s">
        <v>29</v>
      </c>
      <c r="E3182" t="s">
        <v>26</v>
      </c>
      <c r="F3182" t="s">
        <v>13</v>
      </c>
      <c r="G3182">
        <v>1</v>
      </c>
      <c r="H3182">
        <v>3.5</v>
      </c>
      <c r="I3182" t="s">
        <v>21</v>
      </c>
      <c r="J3182" t="s">
        <v>1495</v>
      </c>
      <c r="K3182" s="12">
        <f>Store_Record[[#This Row],[Qty]]*Store_Record[[#This Row],[UnitPriceGBP]]</f>
        <v>3.5</v>
      </c>
      <c r="L3182" s="5" t="str">
        <f>TEXT(Store_Record[[#This Row],[Date]],"dddd")</f>
        <v>Tuesday</v>
      </c>
      <c r="M3182" s="5" t="str">
        <f>TEXT(Store_Record[[#This Row],[Date]],"mmmm")</f>
        <v>August</v>
      </c>
      <c r="N3182" s="5">
        <f>YEAR(Store_Record[[#This Row],[Date]])</f>
        <v>2025</v>
      </c>
      <c r="O3182"/>
    </row>
    <row r="3183" spans="1:15" x14ac:dyDescent="0.35">
      <c r="A3183" t="s">
        <v>4141</v>
      </c>
      <c r="B3183" s="2">
        <v>45888</v>
      </c>
      <c r="C3183" t="s">
        <v>24</v>
      </c>
      <c r="D3183" t="s">
        <v>38</v>
      </c>
      <c r="E3183" t="s">
        <v>12</v>
      </c>
      <c r="F3183" t="s">
        <v>13</v>
      </c>
      <c r="G3183">
        <v>1</v>
      </c>
      <c r="H3183">
        <v>2.5</v>
      </c>
      <c r="I3183" t="s">
        <v>14</v>
      </c>
      <c r="J3183" t="s">
        <v>648</v>
      </c>
      <c r="K3183" s="12">
        <f>Store_Record[[#This Row],[Qty]]*Store_Record[[#This Row],[UnitPriceGBP]]</f>
        <v>2.5</v>
      </c>
      <c r="L3183" s="5" t="str">
        <f>TEXT(Store_Record[[#This Row],[Date]],"dddd")</f>
        <v>Tuesday</v>
      </c>
      <c r="M3183" s="5" t="str">
        <f>TEXT(Store_Record[[#This Row],[Date]],"mmmm")</f>
        <v>August</v>
      </c>
      <c r="N3183" s="5">
        <f>YEAR(Store_Record[[#This Row],[Date]])</f>
        <v>2025</v>
      </c>
      <c r="O3183"/>
    </row>
    <row r="3184" spans="1:15" x14ac:dyDescent="0.35">
      <c r="A3184" t="s">
        <v>4142</v>
      </c>
      <c r="B3184" s="2">
        <v>45888</v>
      </c>
      <c r="C3184" t="s">
        <v>20</v>
      </c>
      <c r="D3184" t="s">
        <v>47</v>
      </c>
      <c r="E3184" t="s">
        <v>34</v>
      </c>
      <c r="F3184" t="s">
        <v>31</v>
      </c>
      <c r="G3184">
        <v>1</v>
      </c>
      <c r="H3184">
        <v>2.2000000000000002</v>
      </c>
      <c r="I3184" t="s">
        <v>39</v>
      </c>
      <c r="J3184" t="s">
        <v>2581</v>
      </c>
      <c r="K3184" s="12">
        <f>Store_Record[[#This Row],[Qty]]*Store_Record[[#This Row],[UnitPriceGBP]]</f>
        <v>2.2000000000000002</v>
      </c>
      <c r="L3184" s="5" t="str">
        <f>TEXT(Store_Record[[#This Row],[Date]],"dddd")</f>
        <v>Tuesday</v>
      </c>
      <c r="M3184" s="5" t="str">
        <f>TEXT(Store_Record[[#This Row],[Date]],"mmmm")</f>
        <v>August</v>
      </c>
      <c r="N3184" s="5">
        <f>YEAR(Store_Record[[#This Row],[Date]])</f>
        <v>2025</v>
      </c>
      <c r="O3184"/>
    </row>
    <row r="3185" spans="1:15" x14ac:dyDescent="0.35">
      <c r="A3185" t="s">
        <v>4144</v>
      </c>
      <c r="B3185" s="2">
        <v>45888</v>
      </c>
      <c r="C3185" t="s">
        <v>20</v>
      </c>
      <c r="D3185" t="s">
        <v>47</v>
      </c>
      <c r="E3185" t="s">
        <v>26</v>
      </c>
      <c r="F3185" t="s">
        <v>31</v>
      </c>
      <c r="G3185">
        <v>1</v>
      </c>
      <c r="H3185">
        <v>2.2000000000000002</v>
      </c>
      <c r="I3185" t="s">
        <v>21</v>
      </c>
      <c r="J3185" t="s">
        <v>4145</v>
      </c>
      <c r="K3185" s="12">
        <f>Store_Record[[#This Row],[Qty]]*Store_Record[[#This Row],[UnitPriceGBP]]</f>
        <v>2.2000000000000002</v>
      </c>
      <c r="L3185" s="5" t="str">
        <f>TEXT(Store_Record[[#This Row],[Date]],"dddd")</f>
        <v>Tuesday</v>
      </c>
      <c r="M3185" s="5" t="str">
        <f>TEXT(Store_Record[[#This Row],[Date]],"mmmm")</f>
        <v>August</v>
      </c>
      <c r="N3185" s="5">
        <f>YEAR(Store_Record[[#This Row],[Date]])</f>
        <v>2025</v>
      </c>
      <c r="O3185"/>
    </row>
    <row r="3186" spans="1:15" x14ac:dyDescent="0.35">
      <c r="A3186" t="s">
        <v>4155</v>
      </c>
      <c r="B3186" s="2">
        <v>45889</v>
      </c>
      <c r="C3186" t="s">
        <v>20</v>
      </c>
      <c r="D3186" t="s">
        <v>25</v>
      </c>
      <c r="E3186" t="s">
        <v>42</v>
      </c>
      <c r="F3186" t="s">
        <v>13</v>
      </c>
      <c r="G3186">
        <v>5</v>
      </c>
      <c r="H3186">
        <v>3.8</v>
      </c>
      <c r="I3186" t="s">
        <v>21</v>
      </c>
      <c r="J3186" t="s">
        <v>3268</v>
      </c>
      <c r="K3186" s="12">
        <f>Store_Record[[#This Row],[Qty]]*Store_Record[[#This Row],[UnitPriceGBP]]</f>
        <v>19</v>
      </c>
      <c r="L3186" s="5" t="str">
        <f>TEXT(Store_Record[[#This Row],[Date]],"dddd")</f>
        <v>Wednesday</v>
      </c>
      <c r="M3186" s="5" t="str">
        <f>TEXT(Store_Record[[#This Row],[Date]],"mmmm")</f>
        <v>August</v>
      </c>
      <c r="N3186" s="5">
        <f>YEAR(Store_Record[[#This Row],[Date]])</f>
        <v>2025</v>
      </c>
      <c r="O3186"/>
    </row>
    <row r="3187" spans="1:15" x14ac:dyDescent="0.35">
      <c r="A3187" t="s">
        <v>4153</v>
      </c>
      <c r="B3187" s="2">
        <v>45889</v>
      </c>
      <c r="C3187" t="s">
        <v>10</v>
      </c>
      <c r="D3187" t="s">
        <v>29</v>
      </c>
      <c r="E3187" t="s">
        <v>26</v>
      </c>
      <c r="F3187" t="s">
        <v>13</v>
      </c>
      <c r="G3187">
        <v>5</v>
      </c>
      <c r="H3187">
        <v>3.5</v>
      </c>
      <c r="I3187" t="s">
        <v>21</v>
      </c>
      <c r="J3187" t="s">
        <v>1099</v>
      </c>
      <c r="K3187" s="12">
        <f>Store_Record[[#This Row],[Qty]]*Store_Record[[#This Row],[UnitPriceGBP]]</f>
        <v>17.5</v>
      </c>
      <c r="L3187" s="5" t="str">
        <f>TEXT(Store_Record[[#This Row],[Date]],"dddd")</f>
        <v>Wednesday</v>
      </c>
      <c r="M3187" s="5" t="str">
        <f>TEXT(Store_Record[[#This Row],[Date]],"mmmm")</f>
        <v>August</v>
      </c>
      <c r="N3187" s="5">
        <f>YEAR(Store_Record[[#This Row],[Date]])</f>
        <v>2025</v>
      </c>
      <c r="O3187"/>
    </row>
    <row r="3188" spans="1:15" x14ac:dyDescent="0.35">
      <c r="A3188" t="s">
        <v>4152</v>
      </c>
      <c r="B3188" s="2">
        <v>45889</v>
      </c>
      <c r="C3188" t="s">
        <v>10</v>
      </c>
      <c r="D3188" t="s">
        <v>38</v>
      </c>
      <c r="E3188" t="s">
        <v>30</v>
      </c>
      <c r="F3188" t="s">
        <v>31</v>
      </c>
      <c r="G3188">
        <v>5</v>
      </c>
      <c r="H3188">
        <v>2.8</v>
      </c>
      <c r="I3188" t="s">
        <v>14</v>
      </c>
      <c r="J3188" t="s">
        <v>2938</v>
      </c>
      <c r="K3188" s="12">
        <f>Store_Record[[#This Row],[Qty]]*Store_Record[[#This Row],[UnitPriceGBP]]</f>
        <v>14</v>
      </c>
      <c r="L3188" s="5" t="str">
        <f>TEXT(Store_Record[[#This Row],[Date]],"dddd")</f>
        <v>Wednesday</v>
      </c>
      <c r="M3188" s="5" t="str">
        <f>TEXT(Store_Record[[#This Row],[Date]],"mmmm")</f>
        <v>August</v>
      </c>
      <c r="N3188" s="5">
        <f>YEAR(Store_Record[[#This Row],[Date]])</f>
        <v>2025</v>
      </c>
      <c r="O3188"/>
    </row>
    <row r="3189" spans="1:15" x14ac:dyDescent="0.35">
      <c r="A3189" t="s">
        <v>4154</v>
      </c>
      <c r="B3189" s="2">
        <v>45889</v>
      </c>
      <c r="C3189" t="s">
        <v>36</v>
      </c>
      <c r="D3189" t="s">
        <v>29</v>
      </c>
      <c r="E3189" t="s">
        <v>30</v>
      </c>
      <c r="F3189" t="s">
        <v>31</v>
      </c>
      <c r="G3189">
        <v>5</v>
      </c>
      <c r="H3189">
        <v>2.8</v>
      </c>
      <c r="I3189" t="s">
        <v>21</v>
      </c>
      <c r="J3189" t="s">
        <v>1031</v>
      </c>
      <c r="K3189" s="12">
        <f>Store_Record[[#This Row],[Qty]]*Store_Record[[#This Row],[UnitPriceGBP]]</f>
        <v>14</v>
      </c>
      <c r="L3189" s="5" t="str">
        <f>TEXT(Store_Record[[#This Row],[Date]],"dddd")</f>
        <v>Wednesday</v>
      </c>
      <c r="M3189" s="5" t="str">
        <f>TEXT(Store_Record[[#This Row],[Date]],"mmmm")</f>
        <v>August</v>
      </c>
      <c r="N3189" s="5">
        <f>YEAR(Store_Record[[#This Row],[Date]])</f>
        <v>2025</v>
      </c>
      <c r="O3189"/>
    </row>
    <row r="3190" spans="1:15" x14ac:dyDescent="0.35">
      <c r="A3190" t="s">
        <v>4158</v>
      </c>
      <c r="B3190" s="2">
        <v>45889</v>
      </c>
      <c r="C3190" t="s">
        <v>36</v>
      </c>
      <c r="D3190" t="s">
        <v>38</v>
      </c>
      <c r="E3190" t="s">
        <v>30</v>
      </c>
      <c r="F3190" t="s">
        <v>31</v>
      </c>
      <c r="G3190">
        <v>5</v>
      </c>
      <c r="H3190">
        <v>2.8</v>
      </c>
      <c r="I3190" t="s">
        <v>39</v>
      </c>
      <c r="J3190" t="s">
        <v>1250</v>
      </c>
      <c r="K3190" s="12">
        <f>Store_Record[[#This Row],[Qty]]*Store_Record[[#This Row],[UnitPriceGBP]]</f>
        <v>14</v>
      </c>
      <c r="L3190" s="5" t="str">
        <f>TEXT(Store_Record[[#This Row],[Date]],"dddd")</f>
        <v>Wednesday</v>
      </c>
      <c r="M3190" s="5" t="str">
        <f>TEXT(Store_Record[[#This Row],[Date]],"mmmm")</f>
        <v>August</v>
      </c>
      <c r="N3190" s="5">
        <f>YEAR(Store_Record[[#This Row],[Date]])</f>
        <v>2025</v>
      </c>
      <c r="O3190"/>
    </row>
    <row r="3191" spans="1:15" x14ac:dyDescent="0.35">
      <c r="A3191" t="s">
        <v>4162</v>
      </c>
      <c r="B3191" s="2">
        <v>45889</v>
      </c>
      <c r="C3191" t="s">
        <v>10</v>
      </c>
      <c r="D3191" t="s">
        <v>25</v>
      </c>
      <c r="E3191" t="s">
        <v>30</v>
      </c>
      <c r="F3191" t="s">
        <v>31</v>
      </c>
      <c r="G3191">
        <v>3</v>
      </c>
      <c r="H3191">
        <v>2.8</v>
      </c>
      <c r="I3191" t="s">
        <v>14</v>
      </c>
      <c r="J3191" t="s">
        <v>600</v>
      </c>
      <c r="K3191" s="12">
        <f>Store_Record[[#This Row],[Qty]]*Store_Record[[#This Row],[UnitPriceGBP]]</f>
        <v>8.3999999999999986</v>
      </c>
      <c r="L3191" s="5" t="str">
        <f>TEXT(Store_Record[[#This Row],[Date]],"dddd")</f>
        <v>Wednesday</v>
      </c>
      <c r="M3191" s="5" t="str">
        <f>TEXT(Store_Record[[#This Row],[Date]],"mmmm")</f>
        <v>August</v>
      </c>
      <c r="N3191" s="5">
        <f>YEAR(Store_Record[[#This Row],[Date]])</f>
        <v>2025</v>
      </c>
      <c r="O3191"/>
    </row>
    <row r="3192" spans="1:15" x14ac:dyDescent="0.35">
      <c r="A3192" t="s">
        <v>4159</v>
      </c>
      <c r="B3192" s="2">
        <v>45889</v>
      </c>
      <c r="C3192" t="s">
        <v>24</v>
      </c>
      <c r="D3192" t="s">
        <v>47</v>
      </c>
      <c r="E3192" t="s">
        <v>26</v>
      </c>
      <c r="F3192" t="s">
        <v>13</v>
      </c>
      <c r="G3192">
        <v>2</v>
      </c>
      <c r="H3192">
        <v>3.5</v>
      </c>
      <c r="I3192" t="s">
        <v>14</v>
      </c>
      <c r="J3192" t="s">
        <v>884</v>
      </c>
      <c r="K3192" s="12">
        <f>Store_Record[[#This Row],[Qty]]*Store_Record[[#This Row],[UnitPriceGBP]]</f>
        <v>7</v>
      </c>
      <c r="L3192" s="5" t="str">
        <f>TEXT(Store_Record[[#This Row],[Date]],"dddd")</f>
        <v>Wednesday</v>
      </c>
      <c r="M3192" s="5" t="str">
        <f>TEXT(Store_Record[[#This Row],[Date]],"mmmm")</f>
        <v>August</v>
      </c>
      <c r="N3192" s="5">
        <f>YEAR(Store_Record[[#This Row],[Date]])</f>
        <v>2025</v>
      </c>
      <c r="O3192"/>
    </row>
    <row r="3193" spans="1:15" x14ac:dyDescent="0.35">
      <c r="A3193" t="s">
        <v>4163</v>
      </c>
      <c r="B3193" s="2">
        <v>45889</v>
      </c>
      <c r="C3193" t="s">
        <v>20</v>
      </c>
      <c r="D3193" t="s">
        <v>25</v>
      </c>
      <c r="E3193" t="s">
        <v>26</v>
      </c>
      <c r="F3193" t="s">
        <v>13</v>
      </c>
      <c r="G3193">
        <v>2</v>
      </c>
      <c r="H3193">
        <v>3.5</v>
      </c>
      <c r="I3193" t="s">
        <v>14</v>
      </c>
      <c r="J3193" t="s">
        <v>1495</v>
      </c>
      <c r="K3193" s="12">
        <f>Store_Record[[#This Row],[Qty]]*Store_Record[[#This Row],[UnitPriceGBP]]</f>
        <v>7</v>
      </c>
      <c r="L3193" s="5" t="str">
        <f>TEXT(Store_Record[[#This Row],[Date]],"dddd")</f>
        <v>Wednesday</v>
      </c>
      <c r="M3193" s="5" t="str">
        <f>TEXT(Store_Record[[#This Row],[Date]],"mmmm")</f>
        <v>August</v>
      </c>
      <c r="N3193" s="5">
        <f>YEAR(Store_Record[[#This Row],[Date]])</f>
        <v>2025</v>
      </c>
      <c r="O3193"/>
    </row>
    <row r="3194" spans="1:15" x14ac:dyDescent="0.35">
      <c r="A3194" t="s">
        <v>4157</v>
      </c>
      <c r="B3194" s="2">
        <v>45889</v>
      </c>
      <c r="C3194" t="s">
        <v>36</v>
      </c>
      <c r="D3194" t="s">
        <v>38</v>
      </c>
      <c r="E3194" t="s">
        <v>34</v>
      </c>
      <c r="F3194" t="s">
        <v>31</v>
      </c>
      <c r="G3194">
        <v>2</v>
      </c>
      <c r="H3194">
        <v>2.2000000000000002</v>
      </c>
      <c r="I3194" t="s">
        <v>21</v>
      </c>
      <c r="J3194" t="s">
        <v>873</v>
      </c>
      <c r="K3194" s="12">
        <f>Store_Record[[#This Row],[Qty]]*Store_Record[[#This Row],[UnitPriceGBP]]</f>
        <v>4.4000000000000004</v>
      </c>
      <c r="L3194" s="5" t="str">
        <f>TEXT(Store_Record[[#This Row],[Date]],"dddd")</f>
        <v>Wednesday</v>
      </c>
      <c r="M3194" s="5" t="str">
        <f>TEXT(Store_Record[[#This Row],[Date]],"mmmm")</f>
        <v>August</v>
      </c>
      <c r="N3194" s="5">
        <f>YEAR(Store_Record[[#This Row],[Date]])</f>
        <v>2025</v>
      </c>
      <c r="O3194"/>
    </row>
    <row r="3195" spans="1:15" x14ac:dyDescent="0.35">
      <c r="A3195" t="s">
        <v>4160</v>
      </c>
      <c r="B3195" s="2">
        <v>45889</v>
      </c>
      <c r="C3195" t="s">
        <v>20</v>
      </c>
      <c r="D3195" t="s">
        <v>29</v>
      </c>
      <c r="E3195" t="s">
        <v>42</v>
      </c>
      <c r="F3195" t="s">
        <v>13</v>
      </c>
      <c r="G3195">
        <v>1</v>
      </c>
      <c r="H3195">
        <v>3.8</v>
      </c>
      <c r="I3195" t="s">
        <v>14</v>
      </c>
      <c r="J3195" t="s">
        <v>3039</v>
      </c>
      <c r="K3195" s="12">
        <f>Store_Record[[#This Row],[Qty]]*Store_Record[[#This Row],[UnitPriceGBP]]</f>
        <v>3.8</v>
      </c>
      <c r="L3195" s="5" t="str">
        <f>TEXT(Store_Record[[#This Row],[Date]],"dddd")</f>
        <v>Wednesday</v>
      </c>
      <c r="M3195" s="5" t="str">
        <f>TEXT(Store_Record[[#This Row],[Date]],"mmmm")</f>
        <v>August</v>
      </c>
      <c r="N3195" s="5">
        <f>YEAR(Store_Record[[#This Row],[Date]])</f>
        <v>2025</v>
      </c>
      <c r="O3195"/>
    </row>
    <row r="3196" spans="1:15" x14ac:dyDescent="0.35">
      <c r="A3196" t="s">
        <v>4156</v>
      </c>
      <c r="B3196" s="2">
        <v>45889</v>
      </c>
      <c r="C3196" t="s">
        <v>24</v>
      </c>
      <c r="D3196" t="s">
        <v>47</v>
      </c>
      <c r="E3196" t="s">
        <v>30</v>
      </c>
      <c r="F3196" t="s">
        <v>31</v>
      </c>
      <c r="G3196">
        <v>1</v>
      </c>
      <c r="H3196">
        <v>2.8</v>
      </c>
      <c r="I3196" t="s">
        <v>14</v>
      </c>
      <c r="J3196" t="s">
        <v>1632</v>
      </c>
      <c r="K3196" s="12">
        <f>Store_Record[[#This Row],[Qty]]*Store_Record[[#This Row],[UnitPriceGBP]]</f>
        <v>2.8</v>
      </c>
      <c r="L3196" s="5" t="str">
        <f>TEXT(Store_Record[[#This Row],[Date]],"dddd")</f>
        <v>Wednesday</v>
      </c>
      <c r="M3196" s="5" t="str">
        <f>TEXT(Store_Record[[#This Row],[Date]],"mmmm")</f>
        <v>August</v>
      </c>
      <c r="N3196" s="5">
        <f>YEAR(Store_Record[[#This Row],[Date]])</f>
        <v>2025</v>
      </c>
      <c r="O3196"/>
    </row>
    <row r="3197" spans="1:15" x14ac:dyDescent="0.35">
      <c r="A3197" t="s">
        <v>4161</v>
      </c>
      <c r="B3197" s="2">
        <v>45889</v>
      </c>
      <c r="C3197" t="s">
        <v>24</v>
      </c>
      <c r="D3197" t="s">
        <v>29</v>
      </c>
      <c r="E3197" t="s">
        <v>34</v>
      </c>
      <c r="F3197" t="s">
        <v>31</v>
      </c>
      <c r="G3197">
        <v>1</v>
      </c>
      <c r="H3197">
        <v>2.2000000000000002</v>
      </c>
      <c r="I3197" t="s">
        <v>21</v>
      </c>
      <c r="J3197" t="s">
        <v>3321</v>
      </c>
      <c r="K3197" s="12">
        <f>Store_Record[[#This Row],[Qty]]*Store_Record[[#This Row],[UnitPriceGBP]]</f>
        <v>2.2000000000000002</v>
      </c>
      <c r="L3197" s="5" t="str">
        <f>TEXT(Store_Record[[#This Row],[Date]],"dddd")</f>
        <v>Wednesday</v>
      </c>
      <c r="M3197" s="5" t="str">
        <f>TEXT(Store_Record[[#This Row],[Date]],"mmmm")</f>
        <v>August</v>
      </c>
      <c r="N3197" s="5">
        <f>YEAR(Store_Record[[#This Row],[Date]])</f>
        <v>2025</v>
      </c>
      <c r="O3197"/>
    </row>
    <row r="3198" spans="1:15" x14ac:dyDescent="0.35">
      <c r="A3198" t="s">
        <v>4167</v>
      </c>
      <c r="B3198" s="2">
        <v>45890</v>
      </c>
      <c r="C3198" t="s">
        <v>10</v>
      </c>
      <c r="D3198" t="s">
        <v>29</v>
      </c>
      <c r="E3198" t="s">
        <v>30</v>
      </c>
      <c r="F3198" t="s">
        <v>31</v>
      </c>
      <c r="G3198">
        <v>5</v>
      </c>
      <c r="H3198">
        <v>2.8</v>
      </c>
      <c r="I3198" t="s">
        <v>14</v>
      </c>
      <c r="J3198" t="s">
        <v>304</v>
      </c>
      <c r="K3198" s="12">
        <f>Store_Record[[#This Row],[Qty]]*Store_Record[[#This Row],[UnitPriceGBP]]</f>
        <v>14</v>
      </c>
      <c r="L3198" s="5" t="str">
        <f>TEXT(Store_Record[[#This Row],[Date]],"dddd")</f>
        <v>Thursday</v>
      </c>
      <c r="M3198" s="5" t="str">
        <f>TEXT(Store_Record[[#This Row],[Date]],"mmmm")</f>
        <v>August</v>
      </c>
      <c r="N3198" s="5">
        <f>YEAR(Store_Record[[#This Row],[Date]])</f>
        <v>2025</v>
      </c>
      <c r="O3198"/>
    </row>
    <row r="3199" spans="1:15" x14ac:dyDescent="0.35">
      <c r="A3199" t="s">
        <v>4174</v>
      </c>
      <c r="B3199" s="2">
        <v>45890</v>
      </c>
      <c r="C3199" t="s">
        <v>24</v>
      </c>
      <c r="D3199" t="s">
        <v>47</v>
      </c>
      <c r="E3199" t="s">
        <v>30</v>
      </c>
      <c r="F3199" t="s">
        <v>31</v>
      </c>
      <c r="G3199">
        <v>5</v>
      </c>
      <c r="H3199">
        <v>2.8</v>
      </c>
      <c r="I3199" t="s">
        <v>14</v>
      </c>
      <c r="J3199" t="s">
        <v>1305</v>
      </c>
      <c r="K3199" s="12">
        <f>Store_Record[[#This Row],[Qty]]*Store_Record[[#This Row],[UnitPriceGBP]]</f>
        <v>14</v>
      </c>
      <c r="L3199" s="5" t="str">
        <f>TEXT(Store_Record[[#This Row],[Date]],"dddd")</f>
        <v>Thursday</v>
      </c>
      <c r="M3199" s="5" t="str">
        <f>TEXT(Store_Record[[#This Row],[Date]],"mmmm")</f>
        <v>August</v>
      </c>
      <c r="N3199" s="5">
        <f>YEAR(Store_Record[[#This Row],[Date]])</f>
        <v>2025</v>
      </c>
      <c r="O3199"/>
    </row>
    <row r="3200" spans="1:15" x14ac:dyDescent="0.35">
      <c r="A3200" t="s">
        <v>4164</v>
      </c>
      <c r="B3200" s="2">
        <v>45890</v>
      </c>
      <c r="C3200" t="s">
        <v>10</v>
      </c>
      <c r="D3200" t="s">
        <v>38</v>
      </c>
      <c r="E3200" t="s">
        <v>12</v>
      </c>
      <c r="F3200" t="s">
        <v>13</v>
      </c>
      <c r="G3200">
        <v>5</v>
      </c>
      <c r="H3200">
        <v>2.5</v>
      </c>
      <c r="I3200" t="s">
        <v>21</v>
      </c>
      <c r="J3200" t="s">
        <v>2948</v>
      </c>
      <c r="K3200" s="12">
        <f>Store_Record[[#This Row],[Qty]]*Store_Record[[#This Row],[UnitPriceGBP]]</f>
        <v>12.5</v>
      </c>
      <c r="L3200" s="5" t="str">
        <f>TEXT(Store_Record[[#This Row],[Date]],"dddd")</f>
        <v>Thursday</v>
      </c>
      <c r="M3200" s="5" t="str">
        <f>TEXT(Store_Record[[#This Row],[Date]],"mmmm")</f>
        <v>August</v>
      </c>
      <c r="N3200" s="5">
        <f>YEAR(Store_Record[[#This Row],[Date]])</f>
        <v>2025</v>
      </c>
      <c r="O3200"/>
    </row>
    <row r="3201" spans="1:15" x14ac:dyDescent="0.35">
      <c r="A3201" t="s">
        <v>4172</v>
      </c>
      <c r="B3201" s="2">
        <v>45890</v>
      </c>
      <c r="C3201" t="s">
        <v>24</v>
      </c>
      <c r="D3201" t="s">
        <v>29</v>
      </c>
      <c r="E3201" t="s">
        <v>12</v>
      </c>
      <c r="F3201" t="s">
        <v>13</v>
      </c>
      <c r="G3201">
        <v>5</v>
      </c>
      <c r="H3201">
        <v>2.5</v>
      </c>
      <c r="I3201" t="s">
        <v>21</v>
      </c>
      <c r="J3201" t="s">
        <v>84</v>
      </c>
      <c r="K3201" s="12">
        <f>Store_Record[[#This Row],[Qty]]*Store_Record[[#This Row],[UnitPriceGBP]]</f>
        <v>12.5</v>
      </c>
      <c r="L3201" s="5" t="str">
        <f>TEXT(Store_Record[[#This Row],[Date]],"dddd")</f>
        <v>Thursday</v>
      </c>
      <c r="M3201" s="5" t="str">
        <f>TEXT(Store_Record[[#This Row],[Date]],"mmmm")</f>
        <v>August</v>
      </c>
      <c r="N3201" s="5">
        <f>YEAR(Store_Record[[#This Row],[Date]])</f>
        <v>2025</v>
      </c>
      <c r="O3201"/>
    </row>
    <row r="3202" spans="1:15" x14ac:dyDescent="0.35">
      <c r="A3202" t="s">
        <v>4165</v>
      </c>
      <c r="B3202" s="2">
        <v>45890</v>
      </c>
      <c r="C3202" t="s">
        <v>20</v>
      </c>
      <c r="D3202" t="s">
        <v>47</v>
      </c>
      <c r="E3202" t="s">
        <v>34</v>
      </c>
      <c r="F3202" t="s">
        <v>31</v>
      </c>
      <c r="G3202">
        <v>5</v>
      </c>
      <c r="H3202">
        <v>2.2000000000000002</v>
      </c>
      <c r="I3202" t="s">
        <v>21</v>
      </c>
      <c r="J3202" t="s">
        <v>2617</v>
      </c>
      <c r="K3202" s="12">
        <f>Store_Record[[#This Row],[Qty]]*Store_Record[[#This Row],[UnitPriceGBP]]</f>
        <v>11</v>
      </c>
      <c r="L3202" s="5" t="str">
        <f>TEXT(Store_Record[[#This Row],[Date]],"dddd")</f>
        <v>Thursday</v>
      </c>
      <c r="M3202" s="5" t="str">
        <f>TEXT(Store_Record[[#This Row],[Date]],"mmmm")</f>
        <v>August</v>
      </c>
      <c r="N3202" s="5">
        <f>YEAR(Store_Record[[#This Row],[Date]])</f>
        <v>2025</v>
      </c>
      <c r="O3202"/>
    </row>
    <row r="3203" spans="1:15" x14ac:dyDescent="0.35">
      <c r="A3203" t="s">
        <v>4177</v>
      </c>
      <c r="B3203" s="2">
        <v>45890</v>
      </c>
      <c r="C3203" t="s">
        <v>24</v>
      </c>
      <c r="D3203" t="s">
        <v>25</v>
      </c>
      <c r="E3203" t="s">
        <v>34</v>
      </c>
      <c r="F3203" t="s">
        <v>31</v>
      </c>
      <c r="G3203">
        <v>5</v>
      </c>
      <c r="H3203">
        <v>2.2000000000000002</v>
      </c>
      <c r="I3203" t="s">
        <v>39</v>
      </c>
      <c r="J3203" t="s">
        <v>2130</v>
      </c>
      <c r="K3203" s="12">
        <f>Store_Record[[#This Row],[Qty]]*Store_Record[[#This Row],[UnitPriceGBP]]</f>
        <v>11</v>
      </c>
      <c r="L3203" s="5" t="str">
        <f>TEXT(Store_Record[[#This Row],[Date]],"dddd")</f>
        <v>Thursday</v>
      </c>
      <c r="M3203" s="5" t="str">
        <f>TEXT(Store_Record[[#This Row],[Date]],"mmmm")</f>
        <v>August</v>
      </c>
      <c r="N3203" s="5">
        <f>YEAR(Store_Record[[#This Row],[Date]])</f>
        <v>2025</v>
      </c>
      <c r="O3203"/>
    </row>
    <row r="3204" spans="1:15" x14ac:dyDescent="0.35">
      <c r="A3204" t="s">
        <v>4178</v>
      </c>
      <c r="B3204" s="2">
        <v>45890</v>
      </c>
      <c r="C3204" t="s">
        <v>20</v>
      </c>
      <c r="D3204" t="s">
        <v>11</v>
      </c>
      <c r="E3204" t="s">
        <v>34</v>
      </c>
      <c r="F3204" t="s">
        <v>31</v>
      </c>
      <c r="G3204">
        <v>5</v>
      </c>
      <c r="H3204">
        <v>2.2000000000000002</v>
      </c>
      <c r="I3204" t="s">
        <v>14</v>
      </c>
      <c r="J3204" t="s">
        <v>1141</v>
      </c>
      <c r="K3204" s="12">
        <f>Store_Record[[#This Row],[Qty]]*Store_Record[[#This Row],[UnitPriceGBP]]</f>
        <v>11</v>
      </c>
      <c r="L3204" s="5" t="str">
        <f>TEXT(Store_Record[[#This Row],[Date]],"dddd")</f>
        <v>Thursday</v>
      </c>
      <c r="M3204" s="5" t="str">
        <f>TEXT(Store_Record[[#This Row],[Date]],"mmmm")</f>
        <v>August</v>
      </c>
      <c r="N3204" s="5">
        <f>YEAR(Store_Record[[#This Row],[Date]])</f>
        <v>2025</v>
      </c>
      <c r="O3204"/>
    </row>
    <row r="3205" spans="1:15" x14ac:dyDescent="0.35">
      <c r="A3205" t="s">
        <v>4180</v>
      </c>
      <c r="B3205" s="2">
        <v>45890</v>
      </c>
      <c r="C3205" t="s">
        <v>24</v>
      </c>
      <c r="D3205" t="s">
        <v>47</v>
      </c>
      <c r="E3205" t="s">
        <v>34</v>
      </c>
      <c r="F3205" t="s">
        <v>31</v>
      </c>
      <c r="G3205">
        <v>5</v>
      </c>
      <c r="H3205">
        <v>2.2000000000000002</v>
      </c>
      <c r="I3205" t="s">
        <v>39</v>
      </c>
      <c r="J3205" t="s">
        <v>1468</v>
      </c>
      <c r="K3205" s="12">
        <f>Store_Record[[#This Row],[Qty]]*Store_Record[[#This Row],[UnitPriceGBP]]</f>
        <v>11</v>
      </c>
      <c r="L3205" s="5" t="str">
        <f>TEXT(Store_Record[[#This Row],[Date]],"dddd")</f>
        <v>Thursday</v>
      </c>
      <c r="M3205" s="5" t="str">
        <f>TEXT(Store_Record[[#This Row],[Date]],"mmmm")</f>
        <v>August</v>
      </c>
      <c r="N3205" s="5">
        <f>YEAR(Store_Record[[#This Row],[Date]])</f>
        <v>2025</v>
      </c>
      <c r="O3205"/>
    </row>
    <row r="3206" spans="1:15" x14ac:dyDescent="0.35">
      <c r="A3206" t="s">
        <v>4166</v>
      </c>
      <c r="B3206" s="2">
        <v>45890</v>
      </c>
      <c r="C3206" t="s">
        <v>20</v>
      </c>
      <c r="D3206" t="s">
        <v>47</v>
      </c>
      <c r="E3206" t="s">
        <v>26</v>
      </c>
      <c r="F3206" t="s">
        <v>13</v>
      </c>
      <c r="G3206">
        <v>3</v>
      </c>
      <c r="H3206">
        <v>3.5</v>
      </c>
      <c r="I3206" t="s">
        <v>39</v>
      </c>
      <c r="J3206" t="s">
        <v>1697</v>
      </c>
      <c r="K3206" s="12">
        <f>Store_Record[[#This Row],[Qty]]*Store_Record[[#This Row],[UnitPriceGBP]]</f>
        <v>10.5</v>
      </c>
      <c r="L3206" s="5" t="str">
        <f>TEXT(Store_Record[[#This Row],[Date]],"dddd")</f>
        <v>Thursday</v>
      </c>
      <c r="M3206" s="5" t="str">
        <f>TEXT(Store_Record[[#This Row],[Date]],"mmmm")</f>
        <v>August</v>
      </c>
      <c r="N3206" s="5">
        <f>YEAR(Store_Record[[#This Row],[Date]])</f>
        <v>2025</v>
      </c>
      <c r="O3206"/>
    </row>
    <row r="3207" spans="1:15" x14ac:dyDescent="0.35">
      <c r="A3207" t="s">
        <v>4181</v>
      </c>
      <c r="B3207" s="2">
        <v>45890</v>
      </c>
      <c r="C3207" t="s">
        <v>10</v>
      </c>
      <c r="D3207" t="s">
        <v>25</v>
      </c>
      <c r="E3207" t="s">
        <v>30</v>
      </c>
      <c r="F3207" t="s">
        <v>31</v>
      </c>
      <c r="G3207">
        <v>3</v>
      </c>
      <c r="H3207">
        <v>2.8</v>
      </c>
      <c r="I3207" t="s">
        <v>21</v>
      </c>
      <c r="J3207" t="s">
        <v>1020</v>
      </c>
      <c r="K3207" s="12">
        <f>Store_Record[[#This Row],[Qty]]*Store_Record[[#This Row],[UnitPriceGBP]]</f>
        <v>8.3999999999999986</v>
      </c>
      <c r="L3207" s="5" t="str">
        <f>TEXT(Store_Record[[#This Row],[Date]],"dddd")</f>
        <v>Thursday</v>
      </c>
      <c r="M3207" s="5" t="str">
        <f>TEXT(Store_Record[[#This Row],[Date]],"mmmm")</f>
        <v>August</v>
      </c>
      <c r="N3207" s="5">
        <f>YEAR(Store_Record[[#This Row],[Date]])</f>
        <v>2025</v>
      </c>
      <c r="O3207"/>
    </row>
    <row r="3208" spans="1:15" x14ac:dyDescent="0.35">
      <c r="A3208" t="s">
        <v>4175</v>
      </c>
      <c r="B3208" s="2">
        <v>45890</v>
      </c>
      <c r="C3208" t="s">
        <v>10</v>
      </c>
      <c r="D3208" t="s">
        <v>11</v>
      </c>
      <c r="E3208" t="s">
        <v>12</v>
      </c>
      <c r="F3208" t="s">
        <v>13</v>
      </c>
      <c r="G3208">
        <v>3</v>
      </c>
      <c r="H3208">
        <v>2.5</v>
      </c>
      <c r="I3208" t="s">
        <v>21</v>
      </c>
      <c r="J3208" t="s">
        <v>652</v>
      </c>
      <c r="K3208" s="12">
        <f>Store_Record[[#This Row],[Qty]]*Store_Record[[#This Row],[UnitPriceGBP]]</f>
        <v>7.5</v>
      </c>
      <c r="L3208" s="5" t="str">
        <f>TEXT(Store_Record[[#This Row],[Date]],"dddd")</f>
        <v>Thursday</v>
      </c>
      <c r="M3208" s="5" t="str">
        <f>TEXT(Store_Record[[#This Row],[Date]],"mmmm")</f>
        <v>August</v>
      </c>
      <c r="N3208" s="5">
        <f>YEAR(Store_Record[[#This Row],[Date]])</f>
        <v>2025</v>
      </c>
      <c r="O3208"/>
    </row>
    <row r="3209" spans="1:15" x14ac:dyDescent="0.35">
      <c r="A3209" t="s">
        <v>4173</v>
      </c>
      <c r="B3209" s="2">
        <v>45890</v>
      </c>
      <c r="C3209" t="s">
        <v>20</v>
      </c>
      <c r="D3209" t="s">
        <v>11</v>
      </c>
      <c r="E3209" t="s">
        <v>26</v>
      </c>
      <c r="F3209" t="s">
        <v>13</v>
      </c>
      <c r="G3209">
        <v>2</v>
      </c>
      <c r="H3209">
        <v>3.5</v>
      </c>
      <c r="I3209" t="s">
        <v>21</v>
      </c>
      <c r="J3209" t="s">
        <v>2299</v>
      </c>
      <c r="K3209" s="12">
        <f>Store_Record[[#This Row],[Qty]]*Store_Record[[#This Row],[UnitPriceGBP]]</f>
        <v>7</v>
      </c>
      <c r="L3209" s="5" t="str">
        <f>TEXT(Store_Record[[#This Row],[Date]],"dddd")</f>
        <v>Thursday</v>
      </c>
      <c r="M3209" s="5" t="str">
        <f>TEXT(Store_Record[[#This Row],[Date]],"mmmm")</f>
        <v>August</v>
      </c>
      <c r="N3209" s="5">
        <f>YEAR(Store_Record[[#This Row],[Date]])</f>
        <v>2025</v>
      </c>
      <c r="O3209"/>
    </row>
    <row r="3210" spans="1:15" x14ac:dyDescent="0.35">
      <c r="A3210" t="s">
        <v>4179</v>
      </c>
      <c r="B3210" s="2">
        <v>45890</v>
      </c>
      <c r="C3210" t="s">
        <v>24</v>
      </c>
      <c r="D3210" t="s">
        <v>29</v>
      </c>
      <c r="E3210" t="s">
        <v>26</v>
      </c>
      <c r="F3210" t="s">
        <v>13</v>
      </c>
      <c r="G3210">
        <v>2</v>
      </c>
      <c r="H3210">
        <v>3.5</v>
      </c>
      <c r="I3210" t="s">
        <v>39</v>
      </c>
      <c r="J3210" t="s">
        <v>1312</v>
      </c>
      <c r="K3210" s="12">
        <f>Store_Record[[#This Row],[Qty]]*Store_Record[[#This Row],[UnitPriceGBP]]</f>
        <v>7</v>
      </c>
      <c r="L3210" s="5" t="str">
        <f>TEXT(Store_Record[[#This Row],[Date]],"dddd")</f>
        <v>Thursday</v>
      </c>
      <c r="M3210" s="5" t="str">
        <f>TEXT(Store_Record[[#This Row],[Date]],"mmmm")</f>
        <v>August</v>
      </c>
      <c r="N3210" s="5">
        <f>YEAR(Store_Record[[#This Row],[Date]])</f>
        <v>2025</v>
      </c>
      <c r="O3210"/>
    </row>
    <row r="3211" spans="1:15" x14ac:dyDescent="0.35">
      <c r="A3211" t="s">
        <v>4169</v>
      </c>
      <c r="B3211" s="2">
        <v>45890</v>
      </c>
      <c r="C3211" t="s">
        <v>10</v>
      </c>
      <c r="D3211" t="s">
        <v>11</v>
      </c>
      <c r="E3211" t="s">
        <v>34</v>
      </c>
      <c r="F3211" t="s">
        <v>31</v>
      </c>
      <c r="G3211">
        <v>3</v>
      </c>
      <c r="H3211">
        <v>2.2000000000000002</v>
      </c>
      <c r="I3211" t="s">
        <v>39</v>
      </c>
      <c r="J3211" t="s">
        <v>2940</v>
      </c>
      <c r="K3211" s="12">
        <f>Store_Record[[#This Row],[Qty]]*Store_Record[[#This Row],[UnitPriceGBP]]</f>
        <v>6.6000000000000005</v>
      </c>
      <c r="L3211" s="5" t="str">
        <f>TEXT(Store_Record[[#This Row],[Date]],"dddd")</f>
        <v>Thursday</v>
      </c>
      <c r="M3211" s="5" t="str">
        <f>TEXT(Store_Record[[#This Row],[Date]],"mmmm")</f>
        <v>August</v>
      </c>
      <c r="N3211" s="5">
        <f>YEAR(Store_Record[[#This Row],[Date]])</f>
        <v>2025</v>
      </c>
      <c r="O3211"/>
    </row>
    <row r="3212" spans="1:15" x14ac:dyDescent="0.35">
      <c r="A3212" t="s">
        <v>4170</v>
      </c>
      <c r="B3212" s="2">
        <v>45890</v>
      </c>
      <c r="C3212" t="s">
        <v>24</v>
      </c>
      <c r="D3212" t="s">
        <v>152</v>
      </c>
      <c r="E3212" t="s">
        <v>34</v>
      </c>
      <c r="F3212" t="s">
        <v>31</v>
      </c>
      <c r="G3212">
        <v>3</v>
      </c>
      <c r="H3212">
        <v>2.2000000000000002</v>
      </c>
      <c r="I3212" t="s">
        <v>21</v>
      </c>
      <c r="J3212" t="s">
        <v>478</v>
      </c>
      <c r="K3212" s="12">
        <f>Store_Record[[#This Row],[Qty]]*Store_Record[[#This Row],[UnitPriceGBP]]</f>
        <v>6.6000000000000005</v>
      </c>
      <c r="L3212" s="5" t="str">
        <f>TEXT(Store_Record[[#This Row],[Date]],"dddd")</f>
        <v>Thursday</v>
      </c>
      <c r="M3212" s="5" t="str">
        <f>TEXT(Store_Record[[#This Row],[Date]],"mmmm")</f>
        <v>August</v>
      </c>
      <c r="N3212" s="5">
        <f>YEAR(Store_Record[[#This Row],[Date]])</f>
        <v>2025</v>
      </c>
      <c r="O3212"/>
    </row>
    <row r="3213" spans="1:15" x14ac:dyDescent="0.35">
      <c r="A3213" t="s">
        <v>4171</v>
      </c>
      <c r="B3213" s="2">
        <v>45890</v>
      </c>
      <c r="C3213" t="s">
        <v>20</v>
      </c>
      <c r="D3213" t="s">
        <v>29</v>
      </c>
      <c r="E3213" t="s">
        <v>34</v>
      </c>
      <c r="F3213" t="s">
        <v>31</v>
      </c>
      <c r="G3213">
        <v>3</v>
      </c>
      <c r="H3213">
        <v>2.2000000000000002</v>
      </c>
      <c r="I3213" t="s">
        <v>21</v>
      </c>
      <c r="J3213" t="s">
        <v>2506</v>
      </c>
      <c r="K3213" s="12">
        <f>Store_Record[[#This Row],[Qty]]*Store_Record[[#This Row],[UnitPriceGBP]]</f>
        <v>6.6000000000000005</v>
      </c>
      <c r="L3213" s="5" t="str">
        <f>TEXT(Store_Record[[#This Row],[Date]],"dddd")</f>
        <v>Thursday</v>
      </c>
      <c r="M3213" s="5" t="str">
        <f>TEXT(Store_Record[[#This Row],[Date]],"mmmm")</f>
        <v>August</v>
      </c>
      <c r="N3213" s="5">
        <f>YEAR(Store_Record[[#This Row],[Date]])</f>
        <v>2025</v>
      </c>
      <c r="O3213"/>
    </row>
    <row r="3214" spans="1:15" x14ac:dyDescent="0.35">
      <c r="A3214" t="s">
        <v>4168</v>
      </c>
      <c r="B3214" s="2">
        <v>45890</v>
      </c>
      <c r="C3214" t="s">
        <v>24</v>
      </c>
      <c r="D3214" t="s">
        <v>29</v>
      </c>
      <c r="E3214" t="s">
        <v>30</v>
      </c>
      <c r="F3214" t="s">
        <v>31</v>
      </c>
      <c r="G3214">
        <v>1</v>
      </c>
      <c r="H3214">
        <v>2.8</v>
      </c>
      <c r="I3214" t="s">
        <v>21</v>
      </c>
      <c r="J3214" t="s">
        <v>167</v>
      </c>
      <c r="K3214" s="12">
        <f>Store_Record[[#This Row],[Qty]]*Store_Record[[#This Row],[UnitPriceGBP]]</f>
        <v>2.8</v>
      </c>
      <c r="L3214" s="5" t="str">
        <f>TEXT(Store_Record[[#This Row],[Date]],"dddd")</f>
        <v>Thursday</v>
      </c>
      <c r="M3214" s="5" t="str">
        <f>TEXT(Store_Record[[#This Row],[Date]],"mmmm")</f>
        <v>August</v>
      </c>
      <c r="N3214" s="5">
        <f>YEAR(Store_Record[[#This Row],[Date]])</f>
        <v>2025</v>
      </c>
      <c r="O3214"/>
    </row>
    <row r="3215" spans="1:15" x14ac:dyDescent="0.35">
      <c r="A3215" t="s">
        <v>4176</v>
      </c>
      <c r="B3215" s="2">
        <v>45890</v>
      </c>
      <c r="C3215" t="s">
        <v>10</v>
      </c>
      <c r="D3215" t="s">
        <v>11</v>
      </c>
      <c r="E3215" t="s">
        <v>34</v>
      </c>
      <c r="F3215" t="s">
        <v>31</v>
      </c>
      <c r="G3215">
        <v>1</v>
      </c>
      <c r="H3215">
        <v>2.2000000000000002</v>
      </c>
      <c r="I3215" t="s">
        <v>14</v>
      </c>
      <c r="J3215" t="s">
        <v>2433</v>
      </c>
      <c r="K3215" s="12">
        <f>Store_Record[[#This Row],[Qty]]*Store_Record[[#This Row],[UnitPriceGBP]]</f>
        <v>2.2000000000000002</v>
      </c>
      <c r="L3215" s="5" t="str">
        <f>TEXT(Store_Record[[#This Row],[Date]],"dddd")</f>
        <v>Thursday</v>
      </c>
      <c r="M3215" s="5" t="str">
        <f>TEXT(Store_Record[[#This Row],[Date]],"mmmm")</f>
        <v>August</v>
      </c>
      <c r="N3215" s="5">
        <f>YEAR(Store_Record[[#This Row],[Date]])</f>
        <v>2025</v>
      </c>
      <c r="O3215"/>
    </row>
    <row r="3216" spans="1:15" x14ac:dyDescent="0.35">
      <c r="A3216" t="s">
        <v>4191</v>
      </c>
      <c r="B3216" s="2">
        <v>45891</v>
      </c>
      <c r="C3216" t="s">
        <v>36</v>
      </c>
      <c r="D3216" t="s">
        <v>11</v>
      </c>
      <c r="E3216" t="s">
        <v>42</v>
      </c>
      <c r="F3216" t="s">
        <v>13</v>
      </c>
      <c r="G3216">
        <v>5</v>
      </c>
      <c r="H3216">
        <v>3.8</v>
      </c>
      <c r="I3216" t="s">
        <v>39</v>
      </c>
      <c r="J3216" t="s">
        <v>978</v>
      </c>
      <c r="K3216" s="12">
        <f>Store_Record[[#This Row],[Qty]]*Store_Record[[#This Row],[UnitPriceGBP]]</f>
        <v>19</v>
      </c>
      <c r="L3216" s="5" t="str">
        <f>TEXT(Store_Record[[#This Row],[Date]],"dddd")</f>
        <v>Friday</v>
      </c>
      <c r="M3216" s="5" t="str">
        <f>TEXT(Store_Record[[#This Row],[Date]],"mmmm")</f>
        <v>August</v>
      </c>
      <c r="N3216" s="5">
        <f>YEAR(Store_Record[[#This Row],[Date]])</f>
        <v>2025</v>
      </c>
      <c r="O3216"/>
    </row>
    <row r="3217" spans="1:15" x14ac:dyDescent="0.35">
      <c r="A3217" t="s">
        <v>4183</v>
      </c>
      <c r="B3217" s="2">
        <v>45891</v>
      </c>
      <c r="C3217" t="s">
        <v>20</v>
      </c>
      <c r="D3217" t="s">
        <v>11</v>
      </c>
      <c r="E3217" t="s">
        <v>26</v>
      </c>
      <c r="F3217" t="s">
        <v>13</v>
      </c>
      <c r="G3217">
        <v>3</v>
      </c>
      <c r="H3217">
        <v>3.8</v>
      </c>
      <c r="I3217" t="s">
        <v>21</v>
      </c>
      <c r="J3217" t="s">
        <v>722</v>
      </c>
      <c r="K3217" s="12">
        <f>Store_Record[[#This Row],[Qty]]*Store_Record[[#This Row],[UnitPriceGBP]]</f>
        <v>11.399999999999999</v>
      </c>
      <c r="L3217" s="5" t="str">
        <f>TEXT(Store_Record[[#This Row],[Date]],"dddd")</f>
        <v>Friday</v>
      </c>
      <c r="M3217" s="5" t="str">
        <f>TEXT(Store_Record[[#This Row],[Date]],"mmmm")</f>
        <v>August</v>
      </c>
      <c r="N3217" s="5">
        <f>YEAR(Store_Record[[#This Row],[Date]])</f>
        <v>2025</v>
      </c>
      <c r="O3217"/>
    </row>
    <row r="3218" spans="1:15" x14ac:dyDescent="0.35">
      <c r="A3218" t="s">
        <v>4187</v>
      </c>
      <c r="B3218" s="2">
        <v>45891</v>
      </c>
      <c r="C3218" t="s">
        <v>36</v>
      </c>
      <c r="D3218" t="s">
        <v>11</v>
      </c>
      <c r="E3218" t="s">
        <v>34</v>
      </c>
      <c r="F3218" t="s">
        <v>31</v>
      </c>
      <c r="G3218">
        <v>5</v>
      </c>
      <c r="H3218">
        <v>2.2000000000000002</v>
      </c>
      <c r="I3218" t="s">
        <v>39</v>
      </c>
      <c r="J3218" t="s">
        <v>1573</v>
      </c>
      <c r="K3218" s="12">
        <f>Store_Record[[#This Row],[Qty]]*Store_Record[[#This Row],[UnitPriceGBP]]</f>
        <v>11</v>
      </c>
      <c r="L3218" s="5" t="str">
        <f>TEXT(Store_Record[[#This Row],[Date]],"dddd")</f>
        <v>Friday</v>
      </c>
      <c r="M3218" s="5" t="str">
        <f>TEXT(Store_Record[[#This Row],[Date]],"mmmm")</f>
        <v>August</v>
      </c>
      <c r="N3218" s="5">
        <f>YEAR(Store_Record[[#This Row],[Date]])</f>
        <v>2025</v>
      </c>
      <c r="O3218"/>
    </row>
    <row r="3219" spans="1:15" x14ac:dyDescent="0.35">
      <c r="A3219" t="s">
        <v>4185</v>
      </c>
      <c r="B3219" s="2">
        <v>45891</v>
      </c>
      <c r="C3219" t="s">
        <v>36</v>
      </c>
      <c r="D3219" t="s">
        <v>29</v>
      </c>
      <c r="E3219" t="s">
        <v>12</v>
      </c>
      <c r="F3219" t="s">
        <v>13</v>
      </c>
      <c r="G3219">
        <v>4</v>
      </c>
      <c r="H3219">
        <v>2.5</v>
      </c>
      <c r="I3219" t="s">
        <v>21</v>
      </c>
      <c r="J3219" t="s">
        <v>571</v>
      </c>
      <c r="K3219" s="12">
        <f>Store_Record[[#This Row],[Qty]]*Store_Record[[#This Row],[UnitPriceGBP]]</f>
        <v>10</v>
      </c>
      <c r="L3219" s="5" t="str">
        <f>TEXT(Store_Record[[#This Row],[Date]],"dddd")</f>
        <v>Friday</v>
      </c>
      <c r="M3219" s="5" t="str">
        <f>TEXT(Store_Record[[#This Row],[Date]],"mmmm")</f>
        <v>August</v>
      </c>
      <c r="N3219" s="5">
        <f>YEAR(Store_Record[[#This Row],[Date]])</f>
        <v>2025</v>
      </c>
      <c r="O3219"/>
    </row>
    <row r="3220" spans="1:15" x14ac:dyDescent="0.35">
      <c r="A3220" t="s">
        <v>4186</v>
      </c>
      <c r="B3220" s="2">
        <v>45891</v>
      </c>
      <c r="C3220" t="s">
        <v>10</v>
      </c>
      <c r="D3220" t="s">
        <v>47</v>
      </c>
      <c r="E3220" t="s">
        <v>34</v>
      </c>
      <c r="F3220" t="s">
        <v>31</v>
      </c>
      <c r="G3220">
        <v>4</v>
      </c>
      <c r="H3220">
        <v>2.2000000000000002</v>
      </c>
      <c r="I3220" t="s">
        <v>21</v>
      </c>
      <c r="J3220" t="s">
        <v>331</v>
      </c>
      <c r="K3220" s="12">
        <f>Store_Record[[#This Row],[Qty]]*Store_Record[[#This Row],[UnitPriceGBP]]</f>
        <v>8.8000000000000007</v>
      </c>
      <c r="L3220" s="5" t="str">
        <f>TEXT(Store_Record[[#This Row],[Date]],"dddd")</f>
        <v>Friday</v>
      </c>
      <c r="M3220" s="5" t="str">
        <f>TEXT(Store_Record[[#This Row],[Date]],"mmmm")</f>
        <v>August</v>
      </c>
      <c r="N3220" s="5">
        <f>YEAR(Store_Record[[#This Row],[Date]])</f>
        <v>2025</v>
      </c>
      <c r="O3220"/>
    </row>
    <row r="3221" spans="1:15" x14ac:dyDescent="0.35">
      <c r="A3221" t="s">
        <v>4190</v>
      </c>
      <c r="B3221" s="2">
        <v>45891</v>
      </c>
      <c r="C3221" t="s">
        <v>36</v>
      </c>
      <c r="D3221" t="s">
        <v>38</v>
      </c>
      <c r="E3221" t="s">
        <v>30</v>
      </c>
      <c r="F3221" t="s">
        <v>31</v>
      </c>
      <c r="G3221">
        <v>3</v>
      </c>
      <c r="H3221">
        <v>2.8</v>
      </c>
      <c r="I3221" t="s">
        <v>39</v>
      </c>
      <c r="J3221" t="s">
        <v>1590</v>
      </c>
      <c r="K3221" s="12">
        <f>Store_Record[[#This Row],[Qty]]*Store_Record[[#This Row],[UnitPriceGBP]]</f>
        <v>8.3999999999999986</v>
      </c>
      <c r="L3221" s="5" t="str">
        <f>TEXT(Store_Record[[#This Row],[Date]],"dddd")</f>
        <v>Friday</v>
      </c>
      <c r="M3221" s="5" t="str">
        <f>TEXT(Store_Record[[#This Row],[Date]],"mmmm")</f>
        <v>August</v>
      </c>
      <c r="N3221" s="5">
        <f>YEAR(Store_Record[[#This Row],[Date]])</f>
        <v>2025</v>
      </c>
      <c r="O3221"/>
    </row>
    <row r="3222" spans="1:15" x14ac:dyDescent="0.35">
      <c r="A3222" t="s">
        <v>4184</v>
      </c>
      <c r="B3222" s="2">
        <v>45891</v>
      </c>
      <c r="C3222" t="s">
        <v>10</v>
      </c>
      <c r="D3222" t="s">
        <v>47</v>
      </c>
      <c r="E3222" t="s">
        <v>30</v>
      </c>
      <c r="F3222" t="s">
        <v>31</v>
      </c>
      <c r="G3222">
        <v>2</v>
      </c>
      <c r="H3222">
        <v>2.8</v>
      </c>
      <c r="I3222" t="s">
        <v>14</v>
      </c>
      <c r="J3222" t="s">
        <v>2453</v>
      </c>
      <c r="K3222" s="12">
        <f>Store_Record[[#This Row],[Qty]]*Store_Record[[#This Row],[UnitPriceGBP]]</f>
        <v>5.6</v>
      </c>
      <c r="L3222" s="5" t="str">
        <f>TEXT(Store_Record[[#This Row],[Date]],"dddd")</f>
        <v>Friday</v>
      </c>
      <c r="M3222" s="5" t="str">
        <f>TEXT(Store_Record[[#This Row],[Date]],"mmmm")</f>
        <v>August</v>
      </c>
      <c r="N3222" s="5">
        <f>YEAR(Store_Record[[#This Row],[Date]])</f>
        <v>2025</v>
      </c>
      <c r="O3222"/>
    </row>
    <row r="3223" spans="1:15" x14ac:dyDescent="0.35">
      <c r="A3223" t="s">
        <v>4182</v>
      </c>
      <c r="B3223" s="2">
        <v>45891</v>
      </c>
      <c r="C3223" t="s">
        <v>24</v>
      </c>
      <c r="D3223" t="s">
        <v>47</v>
      </c>
      <c r="E3223" t="s">
        <v>12</v>
      </c>
      <c r="F3223" t="s">
        <v>13</v>
      </c>
      <c r="G3223">
        <v>2</v>
      </c>
      <c r="H3223">
        <v>2.5</v>
      </c>
      <c r="I3223" t="s">
        <v>39</v>
      </c>
      <c r="J3223" t="s">
        <v>80</v>
      </c>
      <c r="K3223" s="12">
        <f>Store_Record[[#This Row],[Qty]]*Store_Record[[#This Row],[UnitPriceGBP]]</f>
        <v>5</v>
      </c>
      <c r="L3223" s="5" t="str">
        <f>TEXT(Store_Record[[#This Row],[Date]],"dddd")</f>
        <v>Friday</v>
      </c>
      <c r="M3223" s="5" t="str">
        <f>TEXT(Store_Record[[#This Row],[Date]],"mmmm")</f>
        <v>August</v>
      </c>
      <c r="N3223" s="5">
        <f>YEAR(Store_Record[[#This Row],[Date]])</f>
        <v>2025</v>
      </c>
      <c r="O3223"/>
    </row>
    <row r="3224" spans="1:15" x14ac:dyDescent="0.35">
      <c r="A3224" t="s">
        <v>4189</v>
      </c>
      <c r="B3224" s="2">
        <v>45891</v>
      </c>
      <c r="C3224" t="s">
        <v>20</v>
      </c>
      <c r="D3224" t="s">
        <v>38</v>
      </c>
      <c r="E3224" t="s">
        <v>12</v>
      </c>
      <c r="F3224" t="s">
        <v>13</v>
      </c>
      <c r="G3224">
        <v>2</v>
      </c>
      <c r="H3224">
        <v>2.5</v>
      </c>
      <c r="I3224" t="s">
        <v>39</v>
      </c>
      <c r="J3224" t="s">
        <v>2166</v>
      </c>
      <c r="K3224" s="12">
        <f>Store_Record[[#This Row],[Qty]]*Store_Record[[#This Row],[UnitPriceGBP]]</f>
        <v>5</v>
      </c>
      <c r="L3224" s="5" t="str">
        <f>TEXT(Store_Record[[#This Row],[Date]],"dddd")</f>
        <v>Friday</v>
      </c>
      <c r="M3224" s="5" t="str">
        <f>TEXT(Store_Record[[#This Row],[Date]],"mmmm")</f>
        <v>August</v>
      </c>
      <c r="N3224" s="5">
        <f>YEAR(Store_Record[[#This Row],[Date]])</f>
        <v>2025</v>
      </c>
      <c r="O3224"/>
    </row>
    <row r="3225" spans="1:15" x14ac:dyDescent="0.35">
      <c r="A3225" t="s">
        <v>4192</v>
      </c>
      <c r="B3225" s="2">
        <v>45891</v>
      </c>
      <c r="C3225" t="s">
        <v>36</v>
      </c>
      <c r="D3225" t="s">
        <v>25</v>
      </c>
      <c r="E3225" t="s">
        <v>26</v>
      </c>
      <c r="F3225" t="s">
        <v>13</v>
      </c>
      <c r="G3225">
        <v>1</v>
      </c>
      <c r="H3225">
        <v>3.5</v>
      </c>
      <c r="I3225" t="s">
        <v>39</v>
      </c>
      <c r="J3225" t="s">
        <v>1445</v>
      </c>
      <c r="K3225" s="12">
        <f>Store_Record[[#This Row],[Qty]]*Store_Record[[#This Row],[UnitPriceGBP]]</f>
        <v>3.5</v>
      </c>
      <c r="L3225" s="5" t="str">
        <f>TEXT(Store_Record[[#This Row],[Date]],"dddd")</f>
        <v>Friday</v>
      </c>
      <c r="M3225" s="5" t="str">
        <f>TEXT(Store_Record[[#This Row],[Date]],"mmmm")</f>
        <v>August</v>
      </c>
      <c r="N3225" s="5">
        <f>YEAR(Store_Record[[#This Row],[Date]])</f>
        <v>2025</v>
      </c>
      <c r="O3225"/>
    </row>
    <row r="3226" spans="1:15" x14ac:dyDescent="0.35">
      <c r="A3226" t="s">
        <v>4188</v>
      </c>
      <c r="B3226" s="2">
        <v>45891</v>
      </c>
      <c r="C3226" t="s">
        <v>10</v>
      </c>
      <c r="D3226" t="s">
        <v>47</v>
      </c>
      <c r="E3226" t="s">
        <v>12</v>
      </c>
      <c r="F3226" t="s">
        <v>13</v>
      </c>
      <c r="G3226">
        <v>1</v>
      </c>
      <c r="H3226">
        <v>2.5</v>
      </c>
      <c r="I3226" t="s">
        <v>39</v>
      </c>
      <c r="J3226" t="s">
        <v>198</v>
      </c>
      <c r="K3226" s="12">
        <f>Store_Record[[#This Row],[Qty]]*Store_Record[[#This Row],[UnitPriceGBP]]</f>
        <v>2.5</v>
      </c>
      <c r="L3226" s="5" t="str">
        <f>TEXT(Store_Record[[#This Row],[Date]],"dddd")</f>
        <v>Friday</v>
      </c>
      <c r="M3226" s="5" t="str">
        <f>TEXT(Store_Record[[#This Row],[Date]],"mmmm")</f>
        <v>August</v>
      </c>
      <c r="N3226" s="5">
        <f>YEAR(Store_Record[[#This Row],[Date]])</f>
        <v>2025</v>
      </c>
      <c r="O3226"/>
    </row>
    <row r="3227" spans="1:15" x14ac:dyDescent="0.35">
      <c r="A3227" t="s">
        <v>4195</v>
      </c>
      <c r="B3227" s="2">
        <v>45892</v>
      </c>
      <c r="C3227" t="s">
        <v>24</v>
      </c>
      <c r="D3227" t="s">
        <v>47</v>
      </c>
      <c r="E3227" t="s">
        <v>12</v>
      </c>
      <c r="F3227" t="s">
        <v>13</v>
      </c>
      <c r="G3227">
        <v>4</v>
      </c>
      <c r="H3227">
        <v>2.5</v>
      </c>
      <c r="I3227" t="s">
        <v>21</v>
      </c>
      <c r="J3227" t="s">
        <v>1854</v>
      </c>
      <c r="K3227" s="12">
        <f>Store_Record[[#This Row],[Qty]]*Store_Record[[#This Row],[UnitPriceGBP]]</f>
        <v>10</v>
      </c>
      <c r="L3227" s="5" t="str">
        <f>TEXT(Store_Record[[#This Row],[Date]],"dddd")</f>
        <v>Saturday</v>
      </c>
      <c r="M3227" s="5" t="str">
        <f>TEXT(Store_Record[[#This Row],[Date]],"mmmm")</f>
        <v>August</v>
      </c>
      <c r="N3227" s="5">
        <f>YEAR(Store_Record[[#This Row],[Date]])</f>
        <v>2025</v>
      </c>
      <c r="O3227"/>
    </row>
    <row r="3228" spans="1:15" x14ac:dyDescent="0.35">
      <c r="A3228" t="s">
        <v>4195</v>
      </c>
      <c r="B3228" s="2">
        <v>45892</v>
      </c>
      <c r="C3228" t="s">
        <v>24</v>
      </c>
      <c r="D3228" t="s">
        <v>47</v>
      </c>
      <c r="E3228" t="s">
        <v>12</v>
      </c>
      <c r="F3228" t="s">
        <v>13</v>
      </c>
      <c r="G3228">
        <v>4</v>
      </c>
      <c r="H3228">
        <v>2.5</v>
      </c>
      <c r="I3228" t="s">
        <v>14</v>
      </c>
      <c r="J3228" t="s">
        <v>1854</v>
      </c>
      <c r="K3228" s="12">
        <f>Store_Record[[#This Row],[Qty]]*Store_Record[[#This Row],[UnitPriceGBP]]</f>
        <v>10</v>
      </c>
      <c r="L3228" s="5" t="str">
        <f>TEXT(Store_Record[[#This Row],[Date]],"dddd")</f>
        <v>Saturday</v>
      </c>
      <c r="M3228" s="5" t="str">
        <f>TEXT(Store_Record[[#This Row],[Date]],"mmmm")</f>
        <v>August</v>
      </c>
      <c r="N3228" s="5">
        <f>YEAR(Store_Record[[#This Row],[Date]])</f>
        <v>2025</v>
      </c>
      <c r="O3228"/>
    </row>
    <row r="3229" spans="1:15" x14ac:dyDescent="0.35">
      <c r="A3229" t="s">
        <v>4197</v>
      </c>
      <c r="B3229" s="2">
        <v>45892</v>
      </c>
      <c r="C3229" t="s">
        <v>36</v>
      </c>
      <c r="D3229" t="s">
        <v>11</v>
      </c>
      <c r="E3229" t="s">
        <v>34</v>
      </c>
      <c r="F3229" t="s">
        <v>31</v>
      </c>
      <c r="G3229">
        <v>4</v>
      </c>
      <c r="H3229">
        <v>2.2000000000000002</v>
      </c>
      <c r="I3229" t="s">
        <v>21</v>
      </c>
      <c r="J3229" t="s">
        <v>1364</v>
      </c>
      <c r="K3229" s="12">
        <f>Store_Record[[#This Row],[Qty]]*Store_Record[[#This Row],[UnitPriceGBP]]</f>
        <v>8.8000000000000007</v>
      </c>
      <c r="L3229" s="5" t="str">
        <f>TEXT(Store_Record[[#This Row],[Date]],"dddd")</f>
        <v>Saturday</v>
      </c>
      <c r="M3229" s="5" t="str">
        <f>TEXT(Store_Record[[#This Row],[Date]],"mmmm")</f>
        <v>August</v>
      </c>
      <c r="N3229" s="5">
        <f>YEAR(Store_Record[[#This Row],[Date]])</f>
        <v>2025</v>
      </c>
      <c r="O3229"/>
    </row>
    <row r="3230" spans="1:15" x14ac:dyDescent="0.35">
      <c r="A3230" t="s">
        <v>4193</v>
      </c>
      <c r="B3230" s="2">
        <v>45892</v>
      </c>
      <c r="C3230" t="s">
        <v>24</v>
      </c>
      <c r="D3230" t="s">
        <v>47</v>
      </c>
      <c r="E3230" t="s">
        <v>42</v>
      </c>
      <c r="F3230" t="s">
        <v>13</v>
      </c>
      <c r="G3230">
        <v>2</v>
      </c>
      <c r="H3230">
        <v>3.8</v>
      </c>
      <c r="I3230" t="s">
        <v>14</v>
      </c>
      <c r="J3230" t="s">
        <v>74</v>
      </c>
      <c r="K3230" s="12">
        <f>Store_Record[[#This Row],[Qty]]*Store_Record[[#This Row],[UnitPriceGBP]]</f>
        <v>7.6</v>
      </c>
      <c r="L3230" s="5" t="str">
        <f>TEXT(Store_Record[[#This Row],[Date]],"dddd")</f>
        <v>Saturday</v>
      </c>
      <c r="M3230" s="5" t="str">
        <f>TEXT(Store_Record[[#This Row],[Date]],"mmmm")</f>
        <v>August</v>
      </c>
      <c r="N3230" s="5">
        <f>YEAR(Store_Record[[#This Row],[Date]])</f>
        <v>2025</v>
      </c>
      <c r="O3230"/>
    </row>
    <row r="3231" spans="1:15" x14ac:dyDescent="0.35">
      <c r="A3231" t="s">
        <v>4199</v>
      </c>
      <c r="B3231" s="2">
        <v>45892</v>
      </c>
      <c r="C3231" t="s">
        <v>10</v>
      </c>
      <c r="D3231" t="s">
        <v>38</v>
      </c>
      <c r="E3231" t="s">
        <v>42</v>
      </c>
      <c r="F3231" t="s">
        <v>13</v>
      </c>
      <c r="G3231">
        <v>2</v>
      </c>
      <c r="H3231">
        <v>3.8</v>
      </c>
      <c r="I3231" t="s">
        <v>14</v>
      </c>
      <c r="J3231" t="s">
        <v>1203</v>
      </c>
      <c r="K3231" s="12">
        <f>Store_Record[[#This Row],[Qty]]*Store_Record[[#This Row],[UnitPriceGBP]]</f>
        <v>7.6</v>
      </c>
      <c r="L3231" s="5" t="str">
        <f>TEXT(Store_Record[[#This Row],[Date]],"dddd")</f>
        <v>Saturday</v>
      </c>
      <c r="M3231" s="5" t="str">
        <f>TEXT(Store_Record[[#This Row],[Date]],"mmmm")</f>
        <v>August</v>
      </c>
      <c r="N3231" s="5">
        <f>YEAR(Store_Record[[#This Row],[Date]])</f>
        <v>2025</v>
      </c>
      <c r="O3231"/>
    </row>
    <row r="3232" spans="1:15" x14ac:dyDescent="0.35">
      <c r="A3232" t="s">
        <v>4201</v>
      </c>
      <c r="B3232" s="2">
        <v>45892</v>
      </c>
      <c r="C3232" t="s">
        <v>10</v>
      </c>
      <c r="D3232" t="s">
        <v>11</v>
      </c>
      <c r="E3232" t="s">
        <v>42</v>
      </c>
      <c r="F3232" t="s">
        <v>13</v>
      </c>
      <c r="G3232">
        <v>2</v>
      </c>
      <c r="H3232">
        <v>3.8</v>
      </c>
      <c r="I3232" t="s">
        <v>21</v>
      </c>
      <c r="J3232" t="s">
        <v>802</v>
      </c>
      <c r="K3232" s="12">
        <f>Store_Record[[#This Row],[Qty]]*Store_Record[[#This Row],[UnitPriceGBP]]</f>
        <v>7.6</v>
      </c>
      <c r="L3232" s="5" t="str">
        <f>TEXT(Store_Record[[#This Row],[Date]],"dddd")</f>
        <v>Saturday</v>
      </c>
      <c r="M3232" s="5" t="str">
        <f>TEXT(Store_Record[[#This Row],[Date]],"mmmm")</f>
        <v>August</v>
      </c>
      <c r="N3232" s="5">
        <f>YEAR(Store_Record[[#This Row],[Date]])</f>
        <v>2025</v>
      </c>
      <c r="O3232"/>
    </row>
    <row r="3233" spans="1:15" x14ac:dyDescent="0.35">
      <c r="A3233" t="s">
        <v>4196</v>
      </c>
      <c r="B3233" s="2">
        <v>45892</v>
      </c>
      <c r="C3233" t="s">
        <v>10</v>
      </c>
      <c r="D3233" t="s">
        <v>29</v>
      </c>
      <c r="E3233" t="s">
        <v>12</v>
      </c>
      <c r="F3233" t="s">
        <v>13</v>
      </c>
      <c r="G3233">
        <v>3</v>
      </c>
      <c r="H3233">
        <v>2.5</v>
      </c>
      <c r="I3233" t="s">
        <v>39</v>
      </c>
      <c r="J3233" t="s">
        <v>1651</v>
      </c>
      <c r="K3233" s="12">
        <f>Store_Record[[#This Row],[Qty]]*Store_Record[[#This Row],[UnitPriceGBP]]</f>
        <v>7.5</v>
      </c>
      <c r="L3233" s="5" t="str">
        <f>TEXT(Store_Record[[#This Row],[Date]],"dddd")</f>
        <v>Saturday</v>
      </c>
      <c r="M3233" s="5" t="str">
        <f>TEXT(Store_Record[[#This Row],[Date]],"mmmm")</f>
        <v>August</v>
      </c>
      <c r="N3233" s="5">
        <f>YEAR(Store_Record[[#This Row],[Date]])</f>
        <v>2025</v>
      </c>
      <c r="O3233"/>
    </row>
    <row r="3234" spans="1:15" x14ac:dyDescent="0.35">
      <c r="A3234" t="s">
        <v>4198</v>
      </c>
      <c r="B3234" s="2">
        <v>45892</v>
      </c>
      <c r="C3234" t="s">
        <v>20</v>
      </c>
      <c r="D3234" t="s">
        <v>38</v>
      </c>
      <c r="E3234" t="s">
        <v>34</v>
      </c>
      <c r="F3234" t="s">
        <v>31</v>
      </c>
      <c r="G3234">
        <v>2</v>
      </c>
      <c r="H3234">
        <v>2.2000000000000002</v>
      </c>
      <c r="I3234" t="s">
        <v>21</v>
      </c>
      <c r="J3234" t="s">
        <v>187</v>
      </c>
      <c r="K3234" s="12">
        <f>Store_Record[[#This Row],[Qty]]*Store_Record[[#This Row],[UnitPriceGBP]]</f>
        <v>4.4000000000000004</v>
      </c>
      <c r="L3234" s="5" t="str">
        <f>TEXT(Store_Record[[#This Row],[Date]],"dddd")</f>
        <v>Saturday</v>
      </c>
      <c r="M3234" s="5" t="str">
        <f>TEXT(Store_Record[[#This Row],[Date]],"mmmm")</f>
        <v>August</v>
      </c>
      <c r="N3234" s="5">
        <f>YEAR(Store_Record[[#This Row],[Date]])</f>
        <v>2025</v>
      </c>
      <c r="O3234"/>
    </row>
    <row r="3235" spans="1:15" x14ac:dyDescent="0.35">
      <c r="A3235" t="s">
        <v>4202</v>
      </c>
      <c r="B3235" s="2">
        <v>45892</v>
      </c>
      <c r="C3235" t="s">
        <v>36</v>
      </c>
      <c r="D3235" t="s">
        <v>47</v>
      </c>
      <c r="E3235" t="s">
        <v>26</v>
      </c>
      <c r="F3235" t="s">
        <v>13</v>
      </c>
      <c r="G3235">
        <v>1</v>
      </c>
      <c r="H3235">
        <v>3.5</v>
      </c>
      <c r="I3235" t="s">
        <v>21</v>
      </c>
      <c r="J3235" t="s">
        <v>4203</v>
      </c>
      <c r="K3235" s="12">
        <f>Store_Record[[#This Row],[Qty]]*Store_Record[[#This Row],[UnitPriceGBP]]</f>
        <v>3.5</v>
      </c>
      <c r="L3235" s="5" t="str">
        <f>TEXT(Store_Record[[#This Row],[Date]],"dddd")</f>
        <v>Saturday</v>
      </c>
      <c r="M3235" s="5" t="str">
        <f>TEXT(Store_Record[[#This Row],[Date]],"mmmm")</f>
        <v>August</v>
      </c>
      <c r="N3235" s="5">
        <f>YEAR(Store_Record[[#This Row],[Date]])</f>
        <v>2025</v>
      </c>
      <c r="O3235"/>
    </row>
    <row r="3236" spans="1:15" x14ac:dyDescent="0.35">
      <c r="A3236" t="s">
        <v>4194</v>
      </c>
      <c r="B3236" s="2">
        <v>45892</v>
      </c>
      <c r="C3236" t="s">
        <v>24</v>
      </c>
      <c r="D3236" t="s">
        <v>11</v>
      </c>
      <c r="E3236" t="s">
        <v>12</v>
      </c>
      <c r="F3236" t="s">
        <v>13</v>
      </c>
      <c r="G3236">
        <v>1</v>
      </c>
      <c r="H3236">
        <v>2.5</v>
      </c>
      <c r="I3236" t="s">
        <v>14</v>
      </c>
      <c r="J3236" t="s">
        <v>1061</v>
      </c>
      <c r="K3236" s="12">
        <f>Store_Record[[#This Row],[Qty]]*Store_Record[[#This Row],[UnitPriceGBP]]</f>
        <v>2.5</v>
      </c>
      <c r="L3236" s="5" t="str">
        <f>TEXT(Store_Record[[#This Row],[Date]],"dddd")</f>
        <v>Saturday</v>
      </c>
      <c r="M3236" s="5" t="str">
        <f>TEXT(Store_Record[[#This Row],[Date]],"mmmm")</f>
        <v>August</v>
      </c>
      <c r="N3236" s="5">
        <f>YEAR(Store_Record[[#This Row],[Date]])</f>
        <v>2025</v>
      </c>
      <c r="O3236"/>
    </row>
    <row r="3237" spans="1:15" x14ac:dyDescent="0.35">
      <c r="A3237" t="s">
        <v>4200</v>
      </c>
      <c r="B3237" s="2">
        <v>45892</v>
      </c>
      <c r="C3237" t="s">
        <v>10</v>
      </c>
      <c r="D3237" t="s">
        <v>38</v>
      </c>
      <c r="E3237" t="s">
        <v>34</v>
      </c>
      <c r="F3237" t="s">
        <v>31</v>
      </c>
      <c r="G3237">
        <v>1</v>
      </c>
      <c r="H3237">
        <v>2.2000000000000002</v>
      </c>
      <c r="I3237" t="s">
        <v>39</v>
      </c>
      <c r="J3237" t="s">
        <v>3059</v>
      </c>
      <c r="K3237" s="12">
        <f>Store_Record[[#This Row],[Qty]]*Store_Record[[#This Row],[UnitPriceGBP]]</f>
        <v>2.2000000000000002</v>
      </c>
      <c r="L3237" s="5" t="str">
        <f>TEXT(Store_Record[[#This Row],[Date]],"dddd")</f>
        <v>Saturday</v>
      </c>
      <c r="M3237" s="5" t="str">
        <f>TEXT(Store_Record[[#This Row],[Date]],"mmmm")</f>
        <v>August</v>
      </c>
      <c r="N3237" s="5">
        <f>YEAR(Store_Record[[#This Row],[Date]])</f>
        <v>2025</v>
      </c>
      <c r="O3237"/>
    </row>
    <row r="3238" spans="1:15" x14ac:dyDescent="0.35">
      <c r="A3238" t="s">
        <v>4207</v>
      </c>
      <c r="B3238" s="2">
        <v>45893</v>
      </c>
      <c r="C3238" t="s">
        <v>24</v>
      </c>
      <c r="D3238" t="s">
        <v>47</v>
      </c>
      <c r="E3238" t="s">
        <v>30</v>
      </c>
      <c r="F3238" t="s">
        <v>31</v>
      </c>
      <c r="G3238">
        <v>5</v>
      </c>
      <c r="H3238">
        <v>2.8</v>
      </c>
      <c r="I3238" t="s">
        <v>21</v>
      </c>
      <c r="J3238" t="s">
        <v>4208</v>
      </c>
      <c r="K3238" s="12">
        <f>Store_Record[[#This Row],[Qty]]*Store_Record[[#This Row],[UnitPriceGBP]]</f>
        <v>14</v>
      </c>
      <c r="L3238" s="5" t="str">
        <f>TEXT(Store_Record[[#This Row],[Date]],"dddd")</f>
        <v>Sunday</v>
      </c>
      <c r="M3238" s="5" t="str">
        <f>TEXT(Store_Record[[#This Row],[Date]],"mmmm")</f>
        <v>August</v>
      </c>
      <c r="N3238" s="5">
        <f>YEAR(Store_Record[[#This Row],[Date]])</f>
        <v>2025</v>
      </c>
      <c r="O3238"/>
    </row>
    <row r="3239" spans="1:15" x14ac:dyDescent="0.35">
      <c r="A3239" t="s">
        <v>4204</v>
      </c>
      <c r="B3239" s="2">
        <v>45893</v>
      </c>
      <c r="C3239" t="s">
        <v>24</v>
      </c>
      <c r="D3239" t="s">
        <v>38</v>
      </c>
      <c r="E3239" t="s">
        <v>12</v>
      </c>
      <c r="F3239" t="s">
        <v>13</v>
      </c>
      <c r="G3239">
        <v>5</v>
      </c>
      <c r="H3239">
        <v>2.5</v>
      </c>
      <c r="I3239" t="s">
        <v>21</v>
      </c>
      <c r="J3239" t="s">
        <v>965</v>
      </c>
      <c r="K3239" s="12">
        <f>Store_Record[[#This Row],[Qty]]*Store_Record[[#This Row],[UnitPriceGBP]]</f>
        <v>12.5</v>
      </c>
      <c r="L3239" s="5" t="str">
        <f>TEXT(Store_Record[[#This Row],[Date]],"dddd")</f>
        <v>Sunday</v>
      </c>
      <c r="M3239" s="5" t="str">
        <f>TEXT(Store_Record[[#This Row],[Date]],"mmmm")</f>
        <v>August</v>
      </c>
      <c r="N3239" s="5">
        <f>YEAR(Store_Record[[#This Row],[Date]])</f>
        <v>2025</v>
      </c>
      <c r="O3239"/>
    </row>
    <row r="3240" spans="1:15" x14ac:dyDescent="0.35">
      <c r="A3240" t="s">
        <v>4205</v>
      </c>
      <c r="B3240" s="2">
        <v>45893</v>
      </c>
      <c r="C3240" t="s">
        <v>20</v>
      </c>
      <c r="D3240" t="s">
        <v>25</v>
      </c>
      <c r="E3240" t="s">
        <v>30</v>
      </c>
      <c r="F3240" t="s">
        <v>31</v>
      </c>
      <c r="G3240">
        <v>4</v>
      </c>
      <c r="H3240">
        <v>2.8</v>
      </c>
      <c r="I3240" t="s">
        <v>21</v>
      </c>
      <c r="J3240" t="s">
        <v>2427</v>
      </c>
      <c r="K3240" s="12">
        <f>Store_Record[[#This Row],[Qty]]*Store_Record[[#This Row],[UnitPriceGBP]]</f>
        <v>11.2</v>
      </c>
      <c r="L3240" s="5" t="str">
        <f>TEXT(Store_Record[[#This Row],[Date]],"dddd")</f>
        <v>Sunday</v>
      </c>
      <c r="M3240" s="5" t="str">
        <f>TEXT(Store_Record[[#This Row],[Date]],"mmmm")</f>
        <v>August</v>
      </c>
      <c r="N3240" s="5">
        <f>YEAR(Store_Record[[#This Row],[Date]])</f>
        <v>2025</v>
      </c>
      <c r="O3240"/>
    </row>
    <row r="3241" spans="1:15" x14ac:dyDescent="0.35">
      <c r="A3241" t="s">
        <v>4206</v>
      </c>
      <c r="B3241" s="2">
        <v>45893</v>
      </c>
      <c r="C3241" t="s">
        <v>36</v>
      </c>
      <c r="D3241" t="s">
        <v>29</v>
      </c>
      <c r="E3241" t="s">
        <v>12</v>
      </c>
      <c r="F3241" t="s">
        <v>13</v>
      </c>
      <c r="G3241">
        <v>2</v>
      </c>
      <c r="H3241">
        <v>2.5</v>
      </c>
      <c r="I3241" t="s">
        <v>39</v>
      </c>
      <c r="J3241" t="s">
        <v>304</v>
      </c>
      <c r="K3241" s="12">
        <f>Store_Record[[#This Row],[Qty]]*Store_Record[[#This Row],[UnitPriceGBP]]</f>
        <v>5</v>
      </c>
      <c r="L3241" s="5" t="str">
        <f>TEXT(Store_Record[[#This Row],[Date]],"dddd")</f>
        <v>Sunday</v>
      </c>
      <c r="M3241" s="5" t="str">
        <f>TEXT(Store_Record[[#This Row],[Date]],"mmmm")</f>
        <v>August</v>
      </c>
      <c r="N3241" s="5">
        <f>YEAR(Store_Record[[#This Row],[Date]])</f>
        <v>2025</v>
      </c>
      <c r="O3241"/>
    </row>
    <row r="3242" spans="1:15" x14ac:dyDescent="0.35">
      <c r="A3242" t="s">
        <v>4211</v>
      </c>
      <c r="B3242" s="2">
        <v>45894</v>
      </c>
      <c r="C3242" t="s">
        <v>10</v>
      </c>
      <c r="D3242" t="s">
        <v>11</v>
      </c>
      <c r="E3242" t="s">
        <v>42</v>
      </c>
      <c r="F3242" t="s">
        <v>13</v>
      </c>
      <c r="G3242">
        <v>5</v>
      </c>
      <c r="H3242">
        <v>3.8</v>
      </c>
      <c r="I3242" t="s">
        <v>21</v>
      </c>
      <c r="J3242" t="s">
        <v>834</v>
      </c>
      <c r="K3242" s="12">
        <f>Store_Record[[#This Row],[Qty]]*Store_Record[[#This Row],[UnitPriceGBP]]</f>
        <v>19</v>
      </c>
      <c r="L3242" s="5" t="str">
        <f>TEXT(Store_Record[[#This Row],[Date]],"dddd")</f>
        <v>Monday</v>
      </c>
      <c r="M3242" s="5" t="str">
        <f>TEXT(Store_Record[[#This Row],[Date]],"mmmm")</f>
        <v>August</v>
      </c>
      <c r="N3242" s="5">
        <f>YEAR(Store_Record[[#This Row],[Date]])</f>
        <v>2025</v>
      </c>
      <c r="O3242"/>
    </row>
    <row r="3243" spans="1:15" x14ac:dyDescent="0.35">
      <c r="A3243" t="s">
        <v>4210</v>
      </c>
      <c r="B3243" s="2">
        <v>45894</v>
      </c>
      <c r="C3243" t="s">
        <v>36</v>
      </c>
      <c r="D3243" t="s">
        <v>25</v>
      </c>
      <c r="E3243" t="s">
        <v>12</v>
      </c>
      <c r="F3243" t="s">
        <v>13</v>
      </c>
      <c r="G3243">
        <v>5</v>
      </c>
      <c r="H3243">
        <v>2.5</v>
      </c>
      <c r="I3243" t="s">
        <v>39</v>
      </c>
      <c r="J3243" t="s">
        <v>3072</v>
      </c>
      <c r="K3243" s="12">
        <f>Store_Record[[#This Row],[Qty]]*Store_Record[[#This Row],[UnitPriceGBP]]</f>
        <v>12.5</v>
      </c>
      <c r="L3243" s="5" t="str">
        <f>TEXT(Store_Record[[#This Row],[Date]],"dddd")</f>
        <v>Monday</v>
      </c>
      <c r="M3243" s="5" t="str">
        <f>TEXT(Store_Record[[#This Row],[Date]],"mmmm")</f>
        <v>August</v>
      </c>
      <c r="N3243" s="5">
        <f>YEAR(Store_Record[[#This Row],[Date]])</f>
        <v>2025</v>
      </c>
      <c r="O3243"/>
    </row>
    <row r="3244" spans="1:15" x14ac:dyDescent="0.35">
      <c r="A3244" t="s">
        <v>4213</v>
      </c>
      <c r="B3244" s="2">
        <v>45894</v>
      </c>
      <c r="C3244" t="s">
        <v>10</v>
      </c>
      <c r="D3244" t="s">
        <v>11</v>
      </c>
      <c r="E3244" t="s">
        <v>12</v>
      </c>
      <c r="F3244" t="s">
        <v>13</v>
      </c>
      <c r="G3244">
        <v>5</v>
      </c>
      <c r="H3244">
        <v>2.5</v>
      </c>
      <c r="I3244" t="s">
        <v>39</v>
      </c>
      <c r="J3244" t="s">
        <v>434</v>
      </c>
      <c r="K3244" s="12">
        <f>Store_Record[[#This Row],[Qty]]*Store_Record[[#This Row],[UnitPriceGBP]]</f>
        <v>12.5</v>
      </c>
      <c r="L3244" s="5" t="str">
        <f>TEXT(Store_Record[[#This Row],[Date]],"dddd")</f>
        <v>Monday</v>
      </c>
      <c r="M3244" s="5" t="str">
        <f>TEXT(Store_Record[[#This Row],[Date]],"mmmm")</f>
        <v>August</v>
      </c>
      <c r="N3244" s="5">
        <f>YEAR(Store_Record[[#This Row],[Date]])</f>
        <v>2025</v>
      </c>
      <c r="O3244"/>
    </row>
    <row r="3245" spans="1:15" x14ac:dyDescent="0.35">
      <c r="A3245" t="s">
        <v>4212</v>
      </c>
      <c r="B3245" s="2">
        <v>45894</v>
      </c>
      <c r="C3245" t="s">
        <v>36</v>
      </c>
      <c r="D3245" t="s">
        <v>38</v>
      </c>
      <c r="E3245" t="s">
        <v>34</v>
      </c>
      <c r="F3245" t="s">
        <v>31</v>
      </c>
      <c r="G3245">
        <v>4</v>
      </c>
      <c r="H3245">
        <v>2.2000000000000002</v>
      </c>
      <c r="I3245" t="s">
        <v>39</v>
      </c>
      <c r="J3245" t="s">
        <v>2433</v>
      </c>
      <c r="K3245" s="12">
        <f>Store_Record[[#This Row],[Qty]]*Store_Record[[#This Row],[UnitPriceGBP]]</f>
        <v>8.8000000000000007</v>
      </c>
      <c r="L3245" s="5" t="str">
        <f>TEXT(Store_Record[[#This Row],[Date]],"dddd")</f>
        <v>Monday</v>
      </c>
      <c r="M3245" s="5" t="str">
        <f>TEXT(Store_Record[[#This Row],[Date]],"mmmm")</f>
        <v>August</v>
      </c>
      <c r="N3245" s="5">
        <f>YEAR(Store_Record[[#This Row],[Date]])</f>
        <v>2025</v>
      </c>
      <c r="O3245"/>
    </row>
    <row r="3246" spans="1:15" x14ac:dyDescent="0.35">
      <c r="A3246" t="s">
        <v>4209</v>
      </c>
      <c r="B3246" s="2">
        <v>45894</v>
      </c>
      <c r="C3246" t="s">
        <v>36</v>
      </c>
      <c r="D3246" t="s">
        <v>47</v>
      </c>
      <c r="E3246" t="s">
        <v>26</v>
      </c>
      <c r="F3246" t="s">
        <v>13</v>
      </c>
      <c r="G3246">
        <v>2</v>
      </c>
      <c r="H3246">
        <v>3.5</v>
      </c>
      <c r="I3246" t="s">
        <v>39</v>
      </c>
      <c r="J3246" t="s">
        <v>547</v>
      </c>
      <c r="K3246" s="12">
        <f>Store_Record[[#This Row],[Qty]]*Store_Record[[#This Row],[UnitPriceGBP]]</f>
        <v>7</v>
      </c>
      <c r="L3246" s="5" t="str">
        <f>TEXT(Store_Record[[#This Row],[Date]],"dddd")</f>
        <v>Monday</v>
      </c>
      <c r="M3246" s="5" t="str">
        <f>TEXT(Store_Record[[#This Row],[Date]],"mmmm")</f>
        <v>August</v>
      </c>
      <c r="N3246" s="5">
        <f>YEAR(Store_Record[[#This Row],[Date]])</f>
        <v>2025</v>
      </c>
      <c r="O3246"/>
    </row>
    <row r="3247" spans="1:15" x14ac:dyDescent="0.35">
      <c r="A3247" t="s">
        <v>4216</v>
      </c>
      <c r="B3247" s="2">
        <v>45894</v>
      </c>
      <c r="C3247" t="s">
        <v>36</v>
      </c>
      <c r="D3247" t="s">
        <v>25</v>
      </c>
      <c r="E3247" t="s">
        <v>26</v>
      </c>
      <c r="F3247" t="s">
        <v>13</v>
      </c>
      <c r="G3247">
        <v>2</v>
      </c>
      <c r="H3247">
        <v>3.5</v>
      </c>
      <c r="I3247" t="s">
        <v>39</v>
      </c>
      <c r="J3247" t="s">
        <v>454</v>
      </c>
      <c r="K3247" s="12">
        <f>Store_Record[[#This Row],[Qty]]*Store_Record[[#This Row],[UnitPriceGBP]]</f>
        <v>7</v>
      </c>
      <c r="L3247" s="5" t="str">
        <f>TEXT(Store_Record[[#This Row],[Date]],"dddd")</f>
        <v>Monday</v>
      </c>
      <c r="M3247" s="5" t="str">
        <f>TEXT(Store_Record[[#This Row],[Date]],"mmmm")</f>
        <v>August</v>
      </c>
      <c r="N3247" s="5">
        <f>YEAR(Store_Record[[#This Row],[Date]])</f>
        <v>2025</v>
      </c>
      <c r="O3247"/>
    </row>
    <row r="3248" spans="1:15" x14ac:dyDescent="0.35">
      <c r="A3248" t="s">
        <v>4215</v>
      </c>
      <c r="B3248" s="2">
        <v>45894</v>
      </c>
      <c r="C3248" t="s">
        <v>10</v>
      </c>
      <c r="D3248" t="s">
        <v>25</v>
      </c>
      <c r="E3248" t="s">
        <v>30</v>
      </c>
      <c r="F3248" t="s">
        <v>31</v>
      </c>
      <c r="G3248">
        <v>2</v>
      </c>
      <c r="H3248">
        <v>2.8</v>
      </c>
      <c r="I3248" t="s">
        <v>39</v>
      </c>
      <c r="J3248" t="s">
        <v>490</v>
      </c>
      <c r="K3248" s="12">
        <f>Store_Record[[#This Row],[Qty]]*Store_Record[[#This Row],[UnitPriceGBP]]</f>
        <v>5.6</v>
      </c>
      <c r="L3248" s="5" t="str">
        <f>TEXT(Store_Record[[#This Row],[Date]],"dddd")</f>
        <v>Monday</v>
      </c>
      <c r="M3248" s="5" t="str">
        <f>TEXT(Store_Record[[#This Row],[Date]],"mmmm")</f>
        <v>August</v>
      </c>
      <c r="N3248" s="5">
        <f>YEAR(Store_Record[[#This Row],[Date]])</f>
        <v>2025</v>
      </c>
      <c r="O3248"/>
    </row>
    <row r="3249" spans="1:15" x14ac:dyDescent="0.35">
      <c r="A3249" t="s">
        <v>4214</v>
      </c>
      <c r="B3249" s="2">
        <v>45894</v>
      </c>
      <c r="C3249" t="s">
        <v>24</v>
      </c>
      <c r="D3249" t="s">
        <v>11</v>
      </c>
      <c r="E3249" t="s">
        <v>12</v>
      </c>
      <c r="F3249" t="s">
        <v>13</v>
      </c>
      <c r="G3249">
        <v>1</v>
      </c>
      <c r="H3249">
        <v>2.5</v>
      </c>
      <c r="I3249" t="s">
        <v>39</v>
      </c>
      <c r="J3249" t="s">
        <v>890</v>
      </c>
      <c r="K3249" s="12">
        <f>Store_Record[[#This Row],[Qty]]*Store_Record[[#This Row],[UnitPriceGBP]]</f>
        <v>2.5</v>
      </c>
      <c r="L3249" s="5" t="str">
        <f>TEXT(Store_Record[[#This Row],[Date]],"dddd")</f>
        <v>Monday</v>
      </c>
      <c r="M3249" s="5" t="str">
        <f>TEXT(Store_Record[[#This Row],[Date]],"mmmm")</f>
        <v>August</v>
      </c>
      <c r="N3249" s="5">
        <f>YEAR(Store_Record[[#This Row],[Date]])</f>
        <v>2025</v>
      </c>
      <c r="O3249"/>
    </row>
    <row r="3250" spans="1:15" x14ac:dyDescent="0.35">
      <c r="A3250" t="s">
        <v>4218</v>
      </c>
      <c r="B3250" s="2">
        <v>45895</v>
      </c>
      <c r="C3250" t="s">
        <v>20</v>
      </c>
      <c r="D3250" t="s">
        <v>11</v>
      </c>
      <c r="E3250" t="s">
        <v>42</v>
      </c>
      <c r="F3250" t="s">
        <v>13</v>
      </c>
      <c r="G3250">
        <v>5</v>
      </c>
      <c r="H3250">
        <v>3.8</v>
      </c>
      <c r="I3250" t="s">
        <v>39</v>
      </c>
      <c r="J3250" t="s">
        <v>3237</v>
      </c>
      <c r="K3250" s="12">
        <f>Store_Record[[#This Row],[Qty]]*Store_Record[[#This Row],[UnitPriceGBP]]</f>
        <v>19</v>
      </c>
      <c r="L3250" s="5" t="str">
        <f>TEXT(Store_Record[[#This Row],[Date]],"dddd")</f>
        <v>Tuesday</v>
      </c>
      <c r="M3250" s="5" t="str">
        <f>TEXT(Store_Record[[#This Row],[Date]],"mmmm")</f>
        <v>August</v>
      </c>
      <c r="N3250" s="5">
        <f>YEAR(Store_Record[[#This Row],[Date]])</f>
        <v>2025</v>
      </c>
      <c r="O3250"/>
    </row>
    <row r="3251" spans="1:15" x14ac:dyDescent="0.35">
      <c r="A3251" t="s">
        <v>4223</v>
      </c>
      <c r="B3251" s="2">
        <v>45895</v>
      </c>
      <c r="C3251" t="s">
        <v>10</v>
      </c>
      <c r="D3251" t="s">
        <v>29</v>
      </c>
      <c r="E3251" t="s">
        <v>30</v>
      </c>
      <c r="F3251" t="s">
        <v>31</v>
      </c>
      <c r="G3251">
        <v>5</v>
      </c>
      <c r="H3251">
        <v>2.8</v>
      </c>
      <c r="I3251" t="s">
        <v>21</v>
      </c>
      <c r="J3251" t="s">
        <v>1641</v>
      </c>
      <c r="K3251" s="12">
        <f>Store_Record[[#This Row],[Qty]]*Store_Record[[#This Row],[UnitPriceGBP]]</f>
        <v>14</v>
      </c>
      <c r="L3251" s="5" t="str">
        <f>TEXT(Store_Record[[#This Row],[Date]],"dddd")</f>
        <v>Tuesday</v>
      </c>
      <c r="M3251" s="5" t="str">
        <f>TEXT(Store_Record[[#This Row],[Date]],"mmmm")</f>
        <v>August</v>
      </c>
      <c r="N3251" s="5">
        <f>YEAR(Store_Record[[#This Row],[Date]])</f>
        <v>2025</v>
      </c>
      <c r="O3251"/>
    </row>
    <row r="3252" spans="1:15" x14ac:dyDescent="0.35">
      <c r="A3252" t="s">
        <v>4226</v>
      </c>
      <c r="B3252" s="2">
        <v>45895</v>
      </c>
      <c r="C3252" t="s">
        <v>10</v>
      </c>
      <c r="D3252" t="s">
        <v>29</v>
      </c>
      <c r="E3252" t="s">
        <v>26</v>
      </c>
      <c r="F3252" t="s">
        <v>13</v>
      </c>
      <c r="G3252">
        <v>4</v>
      </c>
      <c r="H3252">
        <v>3.5</v>
      </c>
      <c r="I3252" t="s">
        <v>21</v>
      </c>
      <c r="J3252" t="s">
        <v>3119</v>
      </c>
      <c r="K3252" s="12">
        <f>Store_Record[[#This Row],[Qty]]*Store_Record[[#This Row],[UnitPriceGBP]]</f>
        <v>14</v>
      </c>
      <c r="L3252" s="5" t="str">
        <f>TEXT(Store_Record[[#This Row],[Date]],"dddd")</f>
        <v>Tuesday</v>
      </c>
      <c r="M3252" s="5" t="str">
        <f>TEXT(Store_Record[[#This Row],[Date]],"mmmm")</f>
        <v>August</v>
      </c>
      <c r="N3252" s="5">
        <f>YEAR(Store_Record[[#This Row],[Date]])</f>
        <v>2025</v>
      </c>
      <c r="O3252"/>
    </row>
    <row r="3253" spans="1:15" x14ac:dyDescent="0.35">
      <c r="A3253" t="s">
        <v>4219</v>
      </c>
      <c r="B3253" s="2">
        <v>45895</v>
      </c>
      <c r="C3253" t="s">
        <v>24</v>
      </c>
      <c r="D3253" t="s">
        <v>47</v>
      </c>
      <c r="E3253" t="s">
        <v>12</v>
      </c>
      <c r="F3253" t="s">
        <v>13</v>
      </c>
      <c r="G3253">
        <v>5</v>
      </c>
      <c r="H3253">
        <v>2.5</v>
      </c>
      <c r="I3253" t="s">
        <v>21</v>
      </c>
      <c r="J3253" t="s">
        <v>1046</v>
      </c>
      <c r="K3253" s="12">
        <f>Store_Record[[#This Row],[Qty]]*Store_Record[[#This Row],[UnitPriceGBP]]</f>
        <v>12.5</v>
      </c>
      <c r="L3253" s="5" t="str">
        <f>TEXT(Store_Record[[#This Row],[Date]],"dddd")</f>
        <v>Tuesday</v>
      </c>
      <c r="M3253" s="5" t="str">
        <f>TEXT(Store_Record[[#This Row],[Date]],"mmmm")</f>
        <v>August</v>
      </c>
      <c r="N3253" s="5">
        <f>YEAR(Store_Record[[#This Row],[Date]])</f>
        <v>2025</v>
      </c>
      <c r="O3253"/>
    </row>
    <row r="3254" spans="1:15" x14ac:dyDescent="0.35">
      <c r="A3254" t="s">
        <v>4222</v>
      </c>
      <c r="B3254" s="2">
        <v>45895</v>
      </c>
      <c r="C3254" t="s">
        <v>36</v>
      </c>
      <c r="D3254" t="s">
        <v>47</v>
      </c>
      <c r="E3254" t="s">
        <v>30</v>
      </c>
      <c r="F3254" t="s">
        <v>31</v>
      </c>
      <c r="G3254">
        <v>4</v>
      </c>
      <c r="H3254">
        <v>2.8</v>
      </c>
      <c r="I3254" t="s">
        <v>14</v>
      </c>
      <c r="J3254" t="s">
        <v>2794</v>
      </c>
      <c r="K3254" s="12">
        <f>Store_Record[[#This Row],[Qty]]*Store_Record[[#This Row],[UnitPriceGBP]]</f>
        <v>11.2</v>
      </c>
      <c r="L3254" s="5" t="str">
        <f>TEXT(Store_Record[[#This Row],[Date]],"dddd")</f>
        <v>Tuesday</v>
      </c>
      <c r="M3254" s="5" t="str">
        <f>TEXT(Store_Record[[#This Row],[Date]],"mmmm")</f>
        <v>August</v>
      </c>
      <c r="N3254" s="5">
        <f>YEAR(Store_Record[[#This Row],[Date]])</f>
        <v>2025</v>
      </c>
      <c r="O3254"/>
    </row>
    <row r="3255" spans="1:15" x14ac:dyDescent="0.35">
      <c r="A3255" t="s">
        <v>4217</v>
      </c>
      <c r="B3255" s="2">
        <v>45895</v>
      </c>
      <c r="C3255" t="s">
        <v>24</v>
      </c>
      <c r="D3255" t="s">
        <v>47</v>
      </c>
      <c r="E3255" t="s">
        <v>12</v>
      </c>
      <c r="F3255" t="s">
        <v>13</v>
      </c>
      <c r="G3255">
        <v>3</v>
      </c>
      <c r="H3255">
        <v>2.5</v>
      </c>
      <c r="I3255" t="s">
        <v>21</v>
      </c>
      <c r="J3255" t="s">
        <v>3658</v>
      </c>
      <c r="K3255" s="12">
        <f>Store_Record[[#This Row],[Qty]]*Store_Record[[#This Row],[UnitPriceGBP]]</f>
        <v>7.5</v>
      </c>
      <c r="L3255" s="5" t="str">
        <f>TEXT(Store_Record[[#This Row],[Date]],"dddd")</f>
        <v>Tuesday</v>
      </c>
      <c r="M3255" s="5" t="str">
        <f>TEXT(Store_Record[[#This Row],[Date]],"mmmm")</f>
        <v>August</v>
      </c>
      <c r="N3255" s="5">
        <f>YEAR(Store_Record[[#This Row],[Date]])</f>
        <v>2025</v>
      </c>
      <c r="O3255"/>
    </row>
    <row r="3256" spans="1:15" x14ac:dyDescent="0.35">
      <c r="A3256" t="s">
        <v>4224</v>
      </c>
      <c r="B3256" s="2">
        <v>45895</v>
      </c>
      <c r="C3256" t="s">
        <v>24</v>
      </c>
      <c r="D3256" t="s">
        <v>11</v>
      </c>
      <c r="E3256" t="s">
        <v>12</v>
      </c>
      <c r="F3256" t="s">
        <v>13</v>
      </c>
      <c r="G3256">
        <v>3</v>
      </c>
      <c r="H3256">
        <v>2.5</v>
      </c>
      <c r="I3256" t="s">
        <v>39</v>
      </c>
      <c r="J3256" t="s">
        <v>1989</v>
      </c>
      <c r="K3256" s="12">
        <f>Store_Record[[#This Row],[Qty]]*Store_Record[[#This Row],[UnitPriceGBP]]</f>
        <v>7.5</v>
      </c>
      <c r="L3256" s="5" t="str">
        <f>TEXT(Store_Record[[#This Row],[Date]],"dddd")</f>
        <v>Tuesday</v>
      </c>
      <c r="M3256" s="5" t="str">
        <f>TEXT(Store_Record[[#This Row],[Date]],"mmmm")</f>
        <v>August</v>
      </c>
      <c r="N3256" s="5">
        <f>YEAR(Store_Record[[#This Row],[Date]])</f>
        <v>2025</v>
      </c>
      <c r="O3256"/>
    </row>
    <row r="3257" spans="1:15" x14ac:dyDescent="0.35">
      <c r="A3257" t="s">
        <v>4225</v>
      </c>
      <c r="B3257" s="2">
        <v>45895</v>
      </c>
      <c r="C3257" t="s">
        <v>24</v>
      </c>
      <c r="D3257" t="s">
        <v>29</v>
      </c>
      <c r="E3257" t="s">
        <v>12</v>
      </c>
      <c r="F3257" t="s">
        <v>13</v>
      </c>
      <c r="G3257">
        <v>3</v>
      </c>
      <c r="H3257">
        <v>2.5</v>
      </c>
      <c r="I3257" t="s">
        <v>21</v>
      </c>
      <c r="J3257" t="s">
        <v>3059</v>
      </c>
      <c r="K3257" s="12">
        <f>Store_Record[[#This Row],[Qty]]*Store_Record[[#This Row],[UnitPriceGBP]]</f>
        <v>7.5</v>
      </c>
      <c r="L3257" s="5" t="str">
        <f>TEXT(Store_Record[[#This Row],[Date]],"dddd")</f>
        <v>Tuesday</v>
      </c>
      <c r="M3257" s="5" t="str">
        <f>TEXT(Store_Record[[#This Row],[Date]],"mmmm")</f>
        <v>August</v>
      </c>
      <c r="N3257" s="5">
        <f>YEAR(Store_Record[[#This Row],[Date]])</f>
        <v>2025</v>
      </c>
      <c r="O3257"/>
    </row>
    <row r="3258" spans="1:15" x14ac:dyDescent="0.35">
      <c r="A3258" t="s">
        <v>4221</v>
      </c>
      <c r="B3258" s="2">
        <v>45895</v>
      </c>
      <c r="C3258" t="s">
        <v>20</v>
      </c>
      <c r="D3258" t="s">
        <v>47</v>
      </c>
      <c r="E3258" t="s">
        <v>30</v>
      </c>
      <c r="F3258" t="s">
        <v>31</v>
      </c>
      <c r="G3258">
        <v>1</v>
      </c>
      <c r="H3258">
        <v>2.8</v>
      </c>
      <c r="I3258" t="s">
        <v>39</v>
      </c>
      <c r="J3258" t="s">
        <v>630</v>
      </c>
      <c r="K3258" s="12">
        <f>Store_Record[[#This Row],[Qty]]*Store_Record[[#This Row],[UnitPriceGBP]]</f>
        <v>2.8</v>
      </c>
      <c r="L3258" s="5" t="str">
        <f>TEXT(Store_Record[[#This Row],[Date]],"dddd")</f>
        <v>Tuesday</v>
      </c>
      <c r="M3258" s="5" t="str">
        <f>TEXT(Store_Record[[#This Row],[Date]],"mmmm")</f>
        <v>August</v>
      </c>
      <c r="N3258" s="5">
        <f>YEAR(Store_Record[[#This Row],[Date]])</f>
        <v>2025</v>
      </c>
      <c r="O3258"/>
    </row>
    <row r="3259" spans="1:15" x14ac:dyDescent="0.35">
      <c r="A3259" t="s">
        <v>4220</v>
      </c>
      <c r="B3259" s="2">
        <v>45895</v>
      </c>
      <c r="C3259" t="s">
        <v>36</v>
      </c>
      <c r="D3259" t="s">
        <v>29</v>
      </c>
      <c r="E3259" t="s">
        <v>34</v>
      </c>
      <c r="F3259" t="s">
        <v>31</v>
      </c>
      <c r="G3259">
        <v>1</v>
      </c>
      <c r="H3259">
        <v>2.2000000000000002</v>
      </c>
      <c r="I3259" t="s">
        <v>14</v>
      </c>
      <c r="J3259" t="s">
        <v>1327</v>
      </c>
      <c r="K3259" s="12">
        <f>Store_Record[[#This Row],[Qty]]*Store_Record[[#This Row],[UnitPriceGBP]]</f>
        <v>2.2000000000000002</v>
      </c>
      <c r="L3259" s="5" t="str">
        <f>TEXT(Store_Record[[#This Row],[Date]],"dddd")</f>
        <v>Tuesday</v>
      </c>
      <c r="M3259" s="5" t="str">
        <f>TEXT(Store_Record[[#This Row],[Date]],"mmmm")</f>
        <v>August</v>
      </c>
      <c r="N3259" s="5">
        <f>YEAR(Store_Record[[#This Row],[Date]])</f>
        <v>2025</v>
      </c>
      <c r="O3259"/>
    </row>
    <row r="3260" spans="1:15" x14ac:dyDescent="0.35">
      <c r="A3260" t="s">
        <v>4230</v>
      </c>
      <c r="B3260" s="2">
        <v>45896</v>
      </c>
      <c r="C3260" t="s">
        <v>24</v>
      </c>
      <c r="D3260" t="s">
        <v>29</v>
      </c>
      <c r="E3260" t="s">
        <v>42</v>
      </c>
      <c r="F3260" t="s">
        <v>13</v>
      </c>
      <c r="G3260">
        <v>5</v>
      </c>
      <c r="H3260">
        <v>3.8</v>
      </c>
      <c r="I3260" t="s">
        <v>21</v>
      </c>
      <c r="J3260" t="s">
        <v>1700</v>
      </c>
      <c r="K3260" s="12">
        <f>Store_Record[[#This Row],[Qty]]*Store_Record[[#This Row],[UnitPriceGBP]]</f>
        <v>19</v>
      </c>
      <c r="L3260" s="5" t="str">
        <f>TEXT(Store_Record[[#This Row],[Date]],"dddd")</f>
        <v>Wednesday</v>
      </c>
      <c r="M3260" s="5" t="str">
        <f>TEXT(Store_Record[[#This Row],[Date]],"mmmm")</f>
        <v>August</v>
      </c>
      <c r="N3260" s="5">
        <f>YEAR(Store_Record[[#This Row],[Date]])</f>
        <v>2025</v>
      </c>
      <c r="O3260"/>
    </row>
    <row r="3261" spans="1:15" x14ac:dyDescent="0.35">
      <c r="A3261" t="s">
        <v>4227</v>
      </c>
      <c r="B3261" s="2">
        <v>45896</v>
      </c>
      <c r="C3261" t="s">
        <v>24</v>
      </c>
      <c r="D3261" t="s">
        <v>38</v>
      </c>
      <c r="E3261" t="s">
        <v>26</v>
      </c>
      <c r="F3261" t="s">
        <v>13</v>
      </c>
      <c r="G3261">
        <v>4</v>
      </c>
      <c r="H3261">
        <v>3.5</v>
      </c>
      <c r="I3261" t="s">
        <v>39</v>
      </c>
      <c r="J3261" t="s">
        <v>2640</v>
      </c>
      <c r="K3261" s="12">
        <f>Store_Record[[#This Row],[Qty]]*Store_Record[[#This Row],[UnitPriceGBP]]</f>
        <v>14</v>
      </c>
      <c r="L3261" s="5" t="str">
        <f>TEXT(Store_Record[[#This Row],[Date]],"dddd")</f>
        <v>Wednesday</v>
      </c>
      <c r="M3261" s="5" t="str">
        <f>TEXT(Store_Record[[#This Row],[Date]],"mmmm")</f>
        <v>August</v>
      </c>
      <c r="N3261" s="5">
        <f>YEAR(Store_Record[[#This Row],[Date]])</f>
        <v>2025</v>
      </c>
      <c r="O3261"/>
    </row>
    <row r="3262" spans="1:15" x14ac:dyDescent="0.35">
      <c r="A3262" t="s">
        <v>4235</v>
      </c>
      <c r="B3262" s="2">
        <v>45896</v>
      </c>
      <c r="C3262" t="s">
        <v>36</v>
      </c>
      <c r="D3262" t="s">
        <v>25</v>
      </c>
      <c r="E3262" t="s">
        <v>26</v>
      </c>
      <c r="F3262" t="s">
        <v>13</v>
      </c>
      <c r="G3262">
        <v>4</v>
      </c>
      <c r="H3262">
        <v>3.5</v>
      </c>
      <c r="I3262" t="s">
        <v>14</v>
      </c>
      <c r="J3262" t="s">
        <v>349</v>
      </c>
      <c r="K3262" s="12">
        <f>Store_Record[[#This Row],[Qty]]*Store_Record[[#This Row],[UnitPriceGBP]]</f>
        <v>14</v>
      </c>
      <c r="L3262" s="5" t="str">
        <f>TEXT(Store_Record[[#This Row],[Date]],"dddd")</f>
        <v>Wednesday</v>
      </c>
      <c r="M3262" s="5" t="str">
        <f>TEXT(Store_Record[[#This Row],[Date]],"mmmm")</f>
        <v>August</v>
      </c>
      <c r="N3262" s="5">
        <f>YEAR(Store_Record[[#This Row],[Date]])</f>
        <v>2025</v>
      </c>
      <c r="O3262"/>
    </row>
    <row r="3263" spans="1:15" x14ac:dyDescent="0.35">
      <c r="A3263" t="s">
        <v>4236</v>
      </c>
      <c r="B3263" s="2">
        <v>45896</v>
      </c>
      <c r="C3263" t="s">
        <v>36</v>
      </c>
      <c r="D3263" t="s">
        <v>25</v>
      </c>
      <c r="E3263" t="s">
        <v>30</v>
      </c>
      <c r="F3263" t="s">
        <v>31</v>
      </c>
      <c r="G3263">
        <v>5</v>
      </c>
      <c r="H3263">
        <v>2.8</v>
      </c>
      <c r="I3263" t="s">
        <v>39</v>
      </c>
      <c r="J3263" t="s">
        <v>101</v>
      </c>
      <c r="K3263" s="12">
        <f>Store_Record[[#This Row],[Qty]]*Store_Record[[#This Row],[UnitPriceGBP]]</f>
        <v>14</v>
      </c>
      <c r="L3263" s="5" t="str">
        <f>TEXT(Store_Record[[#This Row],[Date]],"dddd")</f>
        <v>Wednesday</v>
      </c>
      <c r="M3263" s="5" t="str">
        <f>TEXT(Store_Record[[#This Row],[Date]],"mmmm")</f>
        <v>August</v>
      </c>
      <c r="N3263" s="5">
        <f>YEAR(Store_Record[[#This Row],[Date]])</f>
        <v>2025</v>
      </c>
      <c r="O3263"/>
    </row>
    <row r="3264" spans="1:15" x14ac:dyDescent="0.35">
      <c r="A3264" t="s">
        <v>4231</v>
      </c>
      <c r="B3264" s="2">
        <v>45896</v>
      </c>
      <c r="C3264" t="s">
        <v>24</v>
      </c>
      <c r="D3264" t="s">
        <v>38</v>
      </c>
      <c r="E3264" t="s">
        <v>42</v>
      </c>
      <c r="F3264" t="s">
        <v>13</v>
      </c>
      <c r="G3264">
        <v>3</v>
      </c>
      <c r="H3264">
        <v>3.8</v>
      </c>
      <c r="I3264" t="s">
        <v>14</v>
      </c>
      <c r="J3264" t="s">
        <v>310</v>
      </c>
      <c r="K3264" s="12">
        <f>Store_Record[[#This Row],[Qty]]*Store_Record[[#This Row],[UnitPriceGBP]]</f>
        <v>11.399999999999999</v>
      </c>
      <c r="L3264" s="5" t="str">
        <f>TEXT(Store_Record[[#This Row],[Date]],"dddd")</f>
        <v>Wednesday</v>
      </c>
      <c r="M3264" s="5" t="str">
        <f>TEXT(Store_Record[[#This Row],[Date]],"mmmm")</f>
        <v>August</v>
      </c>
      <c r="N3264" s="5">
        <f>YEAR(Store_Record[[#This Row],[Date]])</f>
        <v>2025</v>
      </c>
      <c r="O3264"/>
    </row>
    <row r="3265" spans="1:15" x14ac:dyDescent="0.35">
      <c r="A3265" t="s">
        <v>4228</v>
      </c>
      <c r="B3265" s="2">
        <v>45896</v>
      </c>
      <c r="C3265" t="s">
        <v>24</v>
      </c>
      <c r="D3265" t="s">
        <v>47</v>
      </c>
      <c r="E3265" t="s">
        <v>26</v>
      </c>
      <c r="F3265" t="s">
        <v>13</v>
      </c>
      <c r="G3265">
        <v>3</v>
      </c>
      <c r="H3265">
        <v>3.5</v>
      </c>
      <c r="I3265" t="s">
        <v>39</v>
      </c>
      <c r="J3265" t="s">
        <v>109</v>
      </c>
      <c r="K3265" s="12">
        <f>Store_Record[[#This Row],[Qty]]*Store_Record[[#This Row],[UnitPriceGBP]]</f>
        <v>10.5</v>
      </c>
      <c r="L3265" s="5" t="str">
        <f>TEXT(Store_Record[[#This Row],[Date]],"dddd")</f>
        <v>Wednesday</v>
      </c>
      <c r="M3265" s="5" t="str">
        <f>TEXT(Store_Record[[#This Row],[Date]],"mmmm")</f>
        <v>August</v>
      </c>
      <c r="N3265" s="5">
        <f>YEAR(Store_Record[[#This Row],[Date]])</f>
        <v>2025</v>
      </c>
      <c r="O3265"/>
    </row>
    <row r="3266" spans="1:15" x14ac:dyDescent="0.35">
      <c r="A3266" t="s">
        <v>4237</v>
      </c>
      <c r="B3266" s="2">
        <v>45896</v>
      </c>
      <c r="C3266" t="s">
        <v>10</v>
      </c>
      <c r="D3266" t="s">
        <v>47</v>
      </c>
      <c r="E3266" t="s">
        <v>34</v>
      </c>
      <c r="F3266" t="s">
        <v>31</v>
      </c>
      <c r="G3266">
        <v>4</v>
      </c>
      <c r="H3266">
        <v>2.2000000000000002</v>
      </c>
      <c r="I3266" t="s">
        <v>14</v>
      </c>
      <c r="J3266" t="s">
        <v>1128</v>
      </c>
      <c r="K3266" s="12">
        <f>Store_Record[[#This Row],[Qty]]*Store_Record[[#This Row],[UnitPriceGBP]]</f>
        <v>8.8000000000000007</v>
      </c>
      <c r="L3266" s="5" t="str">
        <f>TEXT(Store_Record[[#This Row],[Date]],"dddd")</f>
        <v>Wednesday</v>
      </c>
      <c r="M3266" s="5" t="str">
        <f>TEXT(Store_Record[[#This Row],[Date]],"mmmm")</f>
        <v>August</v>
      </c>
      <c r="N3266" s="5">
        <f>YEAR(Store_Record[[#This Row],[Date]])</f>
        <v>2025</v>
      </c>
      <c r="O3266"/>
    </row>
    <row r="3267" spans="1:15" x14ac:dyDescent="0.35">
      <c r="A3267" t="s">
        <v>4238</v>
      </c>
      <c r="B3267" s="2">
        <v>45896</v>
      </c>
      <c r="C3267" t="s">
        <v>36</v>
      </c>
      <c r="D3267" t="s">
        <v>11</v>
      </c>
      <c r="E3267" t="s">
        <v>26</v>
      </c>
      <c r="F3267" t="s">
        <v>13</v>
      </c>
      <c r="G3267">
        <v>2</v>
      </c>
      <c r="H3267">
        <v>3.5</v>
      </c>
      <c r="I3267" t="s">
        <v>39</v>
      </c>
      <c r="J3267" t="s">
        <v>545</v>
      </c>
      <c r="K3267" s="12">
        <f>Store_Record[[#This Row],[Qty]]*Store_Record[[#This Row],[UnitPriceGBP]]</f>
        <v>7</v>
      </c>
      <c r="L3267" s="5" t="str">
        <f>TEXT(Store_Record[[#This Row],[Date]],"dddd")</f>
        <v>Wednesday</v>
      </c>
      <c r="M3267" s="5" t="str">
        <f>TEXT(Store_Record[[#This Row],[Date]],"mmmm")</f>
        <v>August</v>
      </c>
      <c r="N3267" s="5">
        <f>YEAR(Store_Record[[#This Row],[Date]])</f>
        <v>2025</v>
      </c>
      <c r="O3267"/>
    </row>
    <row r="3268" spans="1:15" x14ac:dyDescent="0.35">
      <c r="A3268" t="s">
        <v>4232</v>
      </c>
      <c r="B3268" s="2">
        <v>45896</v>
      </c>
      <c r="C3268" t="s">
        <v>36</v>
      </c>
      <c r="D3268" t="s">
        <v>29</v>
      </c>
      <c r="E3268" t="s">
        <v>34</v>
      </c>
      <c r="F3268" t="s">
        <v>31</v>
      </c>
      <c r="G3268">
        <v>2</v>
      </c>
      <c r="H3268">
        <v>2.2000000000000002</v>
      </c>
      <c r="I3268" t="s">
        <v>39</v>
      </c>
      <c r="J3268" t="s">
        <v>2770</v>
      </c>
      <c r="K3268" s="12">
        <f>Store_Record[[#This Row],[Qty]]*Store_Record[[#This Row],[UnitPriceGBP]]</f>
        <v>4.4000000000000004</v>
      </c>
      <c r="L3268" s="5" t="str">
        <f>TEXT(Store_Record[[#This Row],[Date]],"dddd")</f>
        <v>Wednesday</v>
      </c>
      <c r="M3268" s="5" t="str">
        <f>TEXT(Store_Record[[#This Row],[Date]],"mmmm")</f>
        <v>August</v>
      </c>
      <c r="N3268" s="5">
        <f>YEAR(Store_Record[[#This Row],[Date]])</f>
        <v>2025</v>
      </c>
      <c r="O3268"/>
    </row>
    <row r="3269" spans="1:15" x14ac:dyDescent="0.35">
      <c r="A3269" t="s">
        <v>4233</v>
      </c>
      <c r="B3269" s="2">
        <v>45896</v>
      </c>
      <c r="C3269" t="s">
        <v>36</v>
      </c>
      <c r="D3269" t="s">
        <v>29</v>
      </c>
      <c r="E3269" t="s">
        <v>42</v>
      </c>
      <c r="F3269" t="s">
        <v>13</v>
      </c>
      <c r="G3269">
        <v>1</v>
      </c>
      <c r="H3269">
        <v>3.8</v>
      </c>
      <c r="I3269" t="s">
        <v>21</v>
      </c>
      <c r="J3269" t="s">
        <v>1792</v>
      </c>
      <c r="K3269" s="12">
        <f>Store_Record[[#This Row],[Qty]]*Store_Record[[#This Row],[UnitPriceGBP]]</f>
        <v>3.8</v>
      </c>
      <c r="L3269" s="5" t="str">
        <f>TEXT(Store_Record[[#This Row],[Date]],"dddd")</f>
        <v>Wednesday</v>
      </c>
      <c r="M3269" s="5" t="str">
        <f>TEXT(Store_Record[[#This Row],[Date]],"mmmm")</f>
        <v>August</v>
      </c>
      <c r="N3269" s="5">
        <f>YEAR(Store_Record[[#This Row],[Date]])</f>
        <v>2025</v>
      </c>
      <c r="O3269"/>
    </row>
    <row r="3270" spans="1:15" x14ac:dyDescent="0.35">
      <c r="A3270" t="s">
        <v>4234</v>
      </c>
      <c r="B3270" s="2">
        <v>45896</v>
      </c>
      <c r="C3270" t="s">
        <v>24</v>
      </c>
      <c r="D3270" t="s">
        <v>47</v>
      </c>
      <c r="E3270" t="s">
        <v>30</v>
      </c>
      <c r="F3270" t="s">
        <v>31</v>
      </c>
      <c r="G3270">
        <v>1</v>
      </c>
      <c r="H3270">
        <v>2.8</v>
      </c>
      <c r="I3270" t="s">
        <v>21</v>
      </c>
      <c r="J3270" t="s">
        <v>423</v>
      </c>
      <c r="K3270" s="12">
        <f>Store_Record[[#This Row],[Qty]]*Store_Record[[#This Row],[UnitPriceGBP]]</f>
        <v>2.8</v>
      </c>
      <c r="L3270" s="5" t="str">
        <f>TEXT(Store_Record[[#This Row],[Date]],"dddd")</f>
        <v>Wednesday</v>
      </c>
      <c r="M3270" s="5" t="str">
        <f>TEXT(Store_Record[[#This Row],[Date]],"mmmm")</f>
        <v>August</v>
      </c>
      <c r="N3270" s="5">
        <f>YEAR(Store_Record[[#This Row],[Date]])</f>
        <v>2025</v>
      </c>
      <c r="O3270"/>
    </row>
    <row r="3271" spans="1:15" x14ac:dyDescent="0.35">
      <c r="A3271" t="s">
        <v>4229</v>
      </c>
      <c r="B3271" s="2">
        <v>45896</v>
      </c>
      <c r="C3271" t="s">
        <v>10</v>
      </c>
      <c r="D3271" t="s">
        <v>38</v>
      </c>
      <c r="E3271" t="s">
        <v>12</v>
      </c>
      <c r="F3271" t="s">
        <v>13</v>
      </c>
      <c r="G3271">
        <v>1</v>
      </c>
      <c r="H3271">
        <v>2.5</v>
      </c>
      <c r="I3271" t="s">
        <v>21</v>
      </c>
      <c r="J3271" t="s">
        <v>2745</v>
      </c>
      <c r="K3271" s="12">
        <f>Store_Record[[#This Row],[Qty]]*Store_Record[[#This Row],[UnitPriceGBP]]</f>
        <v>2.5</v>
      </c>
      <c r="L3271" s="5" t="str">
        <f>TEXT(Store_Record[[#This Row],[Date]],"dddd")</f>
        <v>Wednesday</v>
      </c>
      <c r="M3271" s="5" t="str">
        <f>TEXT(Store_Record[[#This Row],[Date]],"mmmm")</f>
        <v>August</v>
      </c>
      <c r="N3271" s="5">
        <f>YEAR(Store_Record[[#This Row],[Date]])</f>
        <v>2025</v>
      </c>
      <c r="O3271"/>
    </row>
    <row r="3272" spans="1:15" x14ac:dyDescent="0.35">
      <c r="A3272" t="s">
        <v>4239</v>
      </c>
      <c r="B3272" s="2">
        <v>45896</v>
      </c>
      <c r="C3272" t="s">
        <v>10</v>
      </c>
      <c r="D3272" t="s">
        <v>25</v>
      </c>
      <c r="E3272" t="s">
        <v>12</v>
      </c>
      <c r="F3272" t="s">
        <v>13</v>
      </c>
      <c r="G3272">
        <v>1</v>
      </c>
      <c r="H3272">
        <v>2.5</v>
      </c>
      <c r="I3272" t="s">
        <v>21</v>
      </c>
      <c r="J3272" t="s">
        <v>2929</v>
      </c>
      <c r="K3272" s="12">
        <f>Store_Record[[#This Row],[Qty]]*Store_Record[[#This Row],[UnitPriceGBP]]</f>
        <v>2.5</v>
      </c>
      <c r="L3272" s="5" t="str">
        <f>TEXT(Store_Record[[#This Row],[Date]],"dddd")</f>
        <v>Wednesday</v>
      </c>
      <c r="M3272" s="5" t="str">
        <f>TEXT(Store_Record[[#This Row],[Date]],"mmmm")</f>
        <v>August</v>
      </c>
      <c r="N3272" s="5">
        <f>YEAR(Store_Record[[#This Row],[Date]])</f>
        <v>2025</v>
      </c>
      <c r="O3272"/>
    </row>
    <row r="3273" spans="1:15" x14ac:dyDescent="0.35">
      <c r="A3273" t="s">
        <v>4240</v>
      </c>
      <c r="B3273" s="2">
        <v>45897</v>
      </c>
      <c r="C3273" t="s">
        <v>36</v>
      </c>
      <c r="D3273" t="s">
        <v>47</v>
      </c>
      <c r="E3273" t="s">
        <v>42</v>
      </c>
      <c r="F3273" t="s">
        <v>13</v>
      </c>
      <c r="G3273">
        <v>5</v>
      </c>
      <c r="H3273">
        <v>3.8</v>
      </c>
      <c r="I3273" t="s">
        <v>39</v>
      </c>
      <c r="J3273" t="s">
        <v>1543</v>
      </c>
      <c r="K3273" s="12">
        <f>Store_Record[[#This Row],[Qty]]*Store_Record[[#This Row],[UnitPriceGBP]]</f>
        <v>19</v>
      </c>
      <c r="L3273" s="5" t="str">
        <f>TEXT(Store_Record[[#This Row],[Date]],"dddd")</f>
        <v>Thursday</v>
      </c>
      <c r="M3273" s="5" t="str">
        <f>TEXT(Store_Record[[#This Row],[Date]],"mmmm")</f>
        <v>August</v>
      </c>
      <c r="N3273" s="5">
        <f>YEAR(Store_Record[[#This Row],[Date]])</f>
        <v>2025</v>
      </c>
      <c r="O3273"/>
    </row>
    <row r="3274" spans="1:15" x14ac:dyDescent="0.35">
      <c r="A3274" t="s">
        <v>4241</v>
      </c>
      <c r="B3274" s="2">
        <v>45897</v>
      </c>
      <c r="C3274" t="s">
        <v>10</v>
      </c>
      <c r="D3274" t="s">
        <v>47</v>
      </c>
      <c r="E3274" t="s">
        <v>30</v>
      </c>
      <c r="F3274" t="s">
        <v>31</v>
      </c>
      <c r="G3274">
        <v>5</v>
      </c>
      <c r="H3274">
        <v>2.8</v>
      </c>
      <c r="I3274" t="s">
        <v>14</v>
      </c>
      <c r="J3274" t="s">
        <v>32</v>
      </c>
      <c r="K3274" s="12">
        <f>Store_Record[[#This Row],[Qty]]*Store_Record[[#This Row],[UnitPriceGBP]]</f>
        <v>14</v>
      </c>
      <c r="L3274" s="5" t="str">
        <f>TEXT(Store_Record[[#This Row],[Date]],"dddd")</f>
        <v>Thursday</v>
      </c>
      <c r="M3274" s="5" t="str">
        <f>TEXT(Store_Record[[#This Row],[Date]],"mmmm")</f>
        <v>August</v>
      </c>
      <c r="N3274" s="5">
        <f>YEAR(Store_Record[[#This Row],[Date]])</f>
        <v>2025</v>
      </c>
      <c r="O3274"/>
    </row>
    <row r="3275" spans="1:15" x14ac:dyDescent="0.35">
      <c r="A3275" t="s">
        <v>4243</v>
      </c>
      <c r="B3275" s="2">
        <v>45897</v>
      </c>
      <c r="C3275" t="s">
        <v>20</v>
      </c>
      <c r="D3275" t="s">
        <v>47</v>
      </c>
      <c r="E3275" t="s">
        <v>26</v>
      </c>
      <c r="F3275" t="s">
        <v>13</v>
      </c>
      <c r="G3275">
        <v>4</v>
      </c>
      <c r="H3275">
        <v>3.5</v>
      </c>
      <c r="I3275" t="s">
        <v>14</v>
      </c>
      <c r="J3275" t="s">
        <v>804</v>
      </c>
      <c r="K3275" s="12">
        <f>Store_Record[[#This Row],[Qty]]*Store_Record[[#This Row],[UnitPriceGBP]]</f>
        <v>14</v>
      </c>
      <c r="L3275" s="5" t="str">
        <f>TEXT(Store_Record[[#This Row],[Date]],"dddd")</f>
        <v>Thursday</v>
      </c>
      <c r="M3275" s="5" t="str">
        <f>TEXT(Store_Record[[#This Row],[Date]],"mmmm")</f>
        <v>August</v>
      </c>
      <c r="N3275" s="5">
        <f>YEAR(Store_Record[[#This Row],[Date]])</f>
        <v>2025</v>
      </c>
      <c r="O3275"/>
    </row>
    <row r="3276" spans="1:15" x14ac:dyDescent="0.35">
      <c r="A3276" t="s">
        <v>4251</v>
      </c>
      <c r="B3276" s="2">
        <v>45897</v>
      </c>
      <c r="C3276" t="s">
        <v>24</v>
      </c>
      <c r="D3276" t="s">
        <v>38</v>
      </c>
      <c r="E3276" t="s">
        <v>12</v>
      </c>
      <c r="F3276" t="s">
        <v>13</v>
      </c>
      <c r="G3276">
        <v>5</v>
      </c>
      <c r="H3276">
        <v>2.5</v>
      </c>
      <c r="I3276" t="s">
        <v>21</v>
      </c>
      <c r="J3276" t="s">
        <v>4252</v>
      </c>
      <c r="K3276" s="12">
        <f>Store_Record[[#This Row],[Qty]]*Store_Record[[#This Row],[UnitPriceGBP]]</f>
        <v>12.5</v>
      </c>
      <c r="L3276" s="5" t="str">
        <f>TEXT(Store_Record[[#This Row],[Date]],"dddd")</f>
        <v>Thursday</v>
      </c>
      <c r="M3276" s="5" t="str">
        <f>TEXT(Store_Record[[#This Row],[Date]],"mmmm")</f>
        <v>August</v>
      </c>
      <c r="N3276" s="5">
        <f>YEAR(Store_Record[[#This Row],[Date]])</f>
        <v>2025</v>
      </c>
      <c r="O3276"/>
    </row>
    <row r="3277" spans="1:15" x14ac:dyDescent="0.35">
      <c r="A3277" t="s">
        <v>4250</v>
      </c>
      <c r="B3277" s="2">
        <v>45897</v>
      </c>
      <c r="C3277" t="s">
        <v>24</v>
      </c>
      <c r="D3277" t="s">
        <v>29</v>
      </c>
      <c r="E3277" t="s">
        <v>42</v>
      </c>
      <c r="F3277" t="s">
        <v>13</v>
      </c>
      <c r="G3277">
        <v>3</v>
      </c>
      <c r="H3277">
        <v>3.8</v>
      </c>
      <c r="I3277" t="s">
        <v>39</v>
      </c>
      <c r="J3277" t="s">
        <v>48</v>
      </c>
      <c r="K3277" s="12">
        <f>Store_Record[[#This Row],[Qty]]*Store_Record[[#This Row],[UnitPriceGBP]]</f>
        <v>11.399999999999999</v>
      </c>
      <c r="L3277" s="5" t="str">
        <f>TEXT(Store_Record[[#This Row],[Date]],"dddd")</f>
        <v>Thursday</v>
      </c>
      <c r="M3277" s="5" t="str">
        <f>TEXT(Store_Record[[#This Row],[Date]],"mmmm")</f>
        <v>August</v>
      </c>
      <c r="N3277" s="5">
        <f>YEAR(Store_Record[[#This Row],[Date]])</f>
        <v>2025</v>
      </c>
      <c r="O3277"/>
    </row>
    <row r="3278" spans="1:15" x14ac:dyDescent="0.35">
      <c r="A3278" t="s">
        <v>4246</v>
      </c>
      <c r="B3278" s="2">
        <v>45897</v>
      </c>
      <c r="C3278" t="s">
        <v>20</v>
      </c>
      <c r="D3278" t="s">
        <v>11</v>
      </c>
      <c r="E3278" t="s">
        <v>30</v>
      </c>
      <c r="F3278" t="s">
        <v>31</v>
      </c>
      <c r="G3278">
        <v>4</v>
      </c>
      <c r="H3278">
        <v>2.8</v>
      </c>
      <c r="I3278" t="s">
        <v>39</v>
      </c>
      <c r="J3278" t="s">
        <v>269</v>
      </c>
      <c r="K3278" s="12">
        <f>Store_Record[[#This Row],[Qty]]*Store_Record[[#This Row],[UnitPriceGBP]]</f>
        <v>11.2</v>
      </c>
      <c r="L3278" s="5" t="str">
        <f>TEXT(Store_Record[[#This Row],[Date]],"dddd")</f>
        <v>Thursday</v>
      </c>
      <c r="M3278" s="5" t="str">
        <f>TEXT(Store_Record[[#This Row],[Date]],"mmmm")</f>
        <v>August</v>
      </c>
      <c r="N3278" s="5">
        <f>YEAR(Store_Record[[#This Row],[Date]])</f>
        <v>2025</v>
      </c>
      <c r="O3278"/>
    </row>
    <row r="3279" spans="1:15" x14ac:dyDescent="0.35">
      <c r="A3279" t="s">
        <v>4242</v>
      </c>
      <c r="B3279" s="2">
        <v>45897</v>
      </c>
      <c r="C3279" t="s">
        <v>10</v>
      </c>
      <c r="D3279" t="s">
        <v>29</v>
      </c>
      <c r="E3279" t="s">
        <v>42</v>
      </c>
      <c r="F3279" t="s">
        <v>13</v>
      </c>
      <c r="G3279">
        <v>2</v>
      </c>
      <c r="H3279">
        <v>3.8</v>
      </c>
      <c r="I3279" t="s">
        <v>39</v>
      </c>
      <c r="J3279" t="s">
        <v>239</v>
      </c>
      <c r="K3279" s="12">
        <f>Store_Record[[#This Row],[Qty]]*Store_Record[[#This Row],[UnitPriceGBP]]</f>
        <v>7.6</v>
      </c>
      <c r="L3279" s="5" t="str">
        <f>TEXT(Store_Record[[#This Row],[Date]],"dddd")</f>
        <v>Thursday</v>
      </c>
      <c r="M3279" s="5" t="str">
        <f>TEXT(Store_Record[[#This Row],[Date]],"mmmm")</f>
        <v>August</v>
      </c>
      <c r="N3279" s="5">
        <f>YEAR(Store_Record[[#This Row],[Date]])</f>
        <v>2025</v>
      </c>
      <c r="O3279"/>
    </row>
    <row r="3280" spans="1:15" x14ac:dyDescent="0.35">
      <c r="A3280" t="s">
        <v>4244</v>
      </c>
      <c r="B3280" s="2">
        <v>45897</v>
      </c>
      <c r="C3280" t="s">
        <v>24</v>
      </c>
      <c r="D3280" t="s">
        <v>47</v>
      </c>
      <c r="E3280" t="s">
        <v>26</v>
      </c>
      <c r="F3280" t="s">
        <v>13</v>
      </c>
      <c r="G3280">
        <v>2</v>
      </c>
      <c r="H3280">
        <v>3.5</v>
      </c>
      <c r="I3280" t="s">
        <v>21</v>
      </c>
      <c r="J3280" t="s">
        <v>879</v>
      </c>
      <c r="K3280" s="12">
        <f>Store_Record[[#This Row],[Qty]]*Store_Record[[#This Row],[UnitPriceGBP]]</f>
        <v>7</v>
      </c>
      <c r="L3280" s="5" t="str">
        <f>TEXT(Store_Record[[#This Row],[Date]],"dddd")</f>
        <v>Thursday</v>
      </c>
      <c r="M3280" s="5" t="str">
        <f>TEXT(Store_Record[[#This Row],[Date]],"mmmm")</f>
        <v>August</v>
      </c>
      <c r="N3280" s="5">
        <f>YEAR(Store_Record[[#This Row],[Date]])</f>
        <v>2025</v>
      </c>
      <c r="O3280"/>
    </row>
    <row r="3281" spans="1:15" x14ac:dyDescent="0.35">
      <c r="A3281" t="s">
        <v>4247</v>
      </c>
      <c r="B3281" s="2">
        <v>45897</v>
      </c>
      <c r="C3281" t="s">
        <v>24</v>
      </c>
      <c r="D3281" t="s">
        <v>47</v>
      </c>
      <c r="E3281" t="s">
        <v>34</v>
      </c>
      <c r="F3281" t="s">
        <v>31</v>
      </c>
      <c r="G3281">
        <v>2</v>
      </c>
      <c r="H3281">
        <v>2.2000000000000002</v>
      </c>
      <c r="I3281" t="s">
        <v>14</v>
      </c>
      <c r="J3281" t="s">
        <v>2241</v>
      </c>
      <c r="K3281" s="12">
        <f>Store_Record[[#This Row],[Qty]]*Store_Record[[#This Row],[UnitPriceGBP]]</f>
        <v>4.4000000000000004</v>
      </c>
      <c r="L3281" s="5" t="str">
        <f>TEXT(Store_Record[[#This Row],[Date]],"dddd")</f>
        <v>Thursday</v>
      </c>
      <c r="M3281" s="5" t="str">
        <f>TEXT(Store_Record[[#This Row],[Date]],"mmmm")</f>
        <v>August</v>
      </c>
      <c r="N3281" s="5">
        <f>YEAR(Store_Record[[#This Row],[Date]])</f>
        <v>2025</v>
      </c>
      <c r="O3281"/>
    </row>
    <row r="3282" spans="1:15" x14ac:dyDescent="0.35">
      <c r="A3282" t="s">
        <v>4245</v>
      </c>
      <c r="B3282" s="2">
        <v>45897</v>
      </c>
      <c r="C3282" t="s">
        <v>10</v>
      </c>
      <c r="D3282" t="s">
        <v>29</v>
      </c>
      <c r="E3282" t="s">
        <v>26</v>
      </c>
      <c r="F3282" t="s">
        <v>13</v>
      </c>
      <c r="G3282">
        <v>1</v>
      </c>
      <c r="H3282">
        <v>3.5</v>
      </c>
      <c r="I3282" t="s">
        <v>14</v>
      </c>
      <c r="J3282" t="s">
        <v>1212</v>
      </c>
      <c r="K3282" s="12">
        <f>Store_Record[[#This Row],[Qty]]*Store_Record[[#This Row],[UnitPriceGBP]]</f>
        <v>3.5</v>
      </c>
      <c r="L3282" s="5" t="str">
        <f>TEXT(Store_Record[[#This Row],[Date]],"dddd")</f>
        <v>Thursday</v>
      </c>
      <c r="M3282" s="5" t="str">
        <f>TEXT(Store_Record[[#This Row],[Date]],"mmmm")</f>
        <v>August</v>
      </c>
      <c r="N3282" s="5">
        <f>YEAR(Store_Record[[#This Row],[Date]])</f>
        <v>2025</v>
      </c>
      <c r="O3282"/>
    </row>
    <row r="3283" spans="1:15" x14ac:dyDescent="0.35">
      <c r="A3283" t="s">
        <v>4248</v>
      </c>
      <c r="B3283" s="2">
        <v>45897</v>
      </c>
      <c r="C3283" t="s">
        <v>24</v>
      </c>
      <c r="D3283" t="s">
        <v>47</v>
      </c>
      <c r="E3283" t="s">
        <v>30</v>
      </c>
      <c r="F3283" t="s">
        <v>31</v>
      </c>
      <c r="G3283">
        <v>1</v>
      </c>
      <c r="H3283">
        <v>2.8</v>
      </c>
      <c r="I3283" t="s">
        <v>21</v>
      </c>
      <c r="J3283" t="s">
        <v>888</v>
      </c>
      <c r="K3283" s="12">
        <f>Store_Record[[#This Row],[Qty]]*Store_Record[[#This Row],[UnitPriceGBP]]</f>
        <v>2.8</v>
      </c>
      <c r="L3283" s="5" t="str">
        <f>TEXT(Store_Record[[#This Row],[Date]],"dddd")</f>
        <v>Thursday</v>
      </c>
      <c r="M3283" s="5" t="str">
        <f>TEXT(Store_Record[[#This Row],[Date]],"mmmm")</f>
        <v>August</v>
      </c>
      <c r="N3283" s="5">
        <f>YEAR(Store_Record[[#This Row],[Date]])</f>
        <v>2025</v>
      </c>
      <c r="O3283"/>
    </row>
    <row r="3284" spans="1:15" x14ac:dyDescent="0.35">
      <c r="A3284" t="s">
        <v>4249</v>
      </c>
      <c r="B3284" s="2">
        <v>45897</v>
      </c>
      <c r="C3284" t="s">
        <v>36</v>
      </c>
      <c r="D3284" t="s">
        <v>29</v>
      </c>
      <c r="E3284" t="s">
        <v>30</v>
      </c>
      <c r="F3284" t="s">
        <v>31</v>
      </c>
      <c r="G3284">
        <v>1</v>
      </c>
      <c r="H3284">
        <v>2.8</v>
      </c>
      <c r="I3284" t="s">
        <v>39</v>
      </c>
      <c r="J3284" t="s">
        <v>1288</v>
      </c>
      <c r="K3284" s="12">
        <f>Store_Record[[#This Row],[Qty]]*Store_Record[[#This Row],[UnitPriceGBP]]</f>
        <v>2.8</v>
      </c>
      <c r="L3284" s="5" t="str">
        <f>TEXT(Store_Record[[#This Row],[Date]],"dddd")</f>
        <v>Thursday</v>
      </c>
      <c r="M3284" s="5" t="str">
        <f>TEXT(Store_Record[[#This Row],[Date]],"mmmm")</f>
        <v>August</v>
      </c>
      <c r="N3284" s="5">
        <f>YEAR(Store_Record[[#This Row],[Date]])</f>
        <v>2025</v>
      </c>
      <c r="O3284"/>
    </row>
    <row r="3285" spans="1:15" x14ac:dyDescent="0.35">
      <c r="A3285" t="s">
        <v>4260</v>
      </c>
      <c r="B3285" s="2">
        <v>45898</v>
      </c>
      <c r="C3285" t="s">
        <v>20</v>
      </c>
      <c r="D3285" t="s">
        <v>25</v>
      </c>
      <c r="E3285" t="s">
        <v>42</v>
      </c>
      <c r="F3285" t="s">
        <v>13</v>
      </c>
      <c r="G3285">
        <v>5</v>
      </c>
      <c r="H3285">
        <v>3.8</v>
      </c>
      <c r="I3285" t="s">
        <v>39</v>
      </c>
      <c r="J3285" t="s">
        <v>1978</v>
      </c>
      <c r="K3285" s="12">
        <f>Store_Record[[#This Row],[Qty]]*Store_Record[[#This Row],[UnitPriceGBP]]</f>
        <v>19</v>
      </c>
      <c r="L3285" s="5" t="str">
        <f>TEXT(Store_Record[[#This Row],[Date]],"dddd")</f>
        <v>Friday</v>
      </c>
      <c r="M3285" s="5" t="str">
        <f>TEXT(Store_Record[[#This Row],[Date]],"mmmm")</f>
        <v>August</v>
      </c>
      <c r="N3285" s="5">
        <f>YEAR(Store_Record[[#This Row],[Date]])</f>
        <v>2025</v>
      </c>
      <c r="O3285"/>
    </row>
    <row r="3286" spans="1:15" x14ac:dyDescent="0.35">
      <c r="A3286" t="s">
        <v>4263</v>
      </c>
      <c r="B3286" s="2">
        <v>45898</v>
      </c>
      <c r="C3286" t="s">
        <v>24</v>
      </c>
      <c r="D3286" t="s">
        <v>38</v>
      </c>
      <c r="E3286" t="s">
        <v>42</v>
      </c>
      <c r="F3286" t="s">
        <v>13</v>
      </c>
      <c r="G3286">
        <v>5</v>
      </c>
      <c r="H3286">
        <v>3.8</v>
      </c>
      <c r="I3286" t="s">
        <v>14</v>
      </c>
      <c r="J3286" t="s">
        <v>3498</v>
      </c>
      <c r="K3286" s="12">
        <f>Store_Record[[#This Row],[Qty]]*Store_Record[[#This Row],[UnitPriceGBP]]</f>
        <v>19</v>
      </c>
      <c r="L3286" s="5" t="str">
        <f>TEXT(Store_Record[[#This Row],[Date]],"dddd")</f>
        <v>Friday</v>
      </c>
      <c r="M3286" s="5" t="str">
        <f>TEXT(Store_Record[[#This Row],[Date]],"mmmm")</f>
        <v>August</v>
      </c>
      <c r="N3286" s="5">
        <f>YEAR(Store_Record[[#This Row],[Date]])</f>
        <v>2025</v>
      </c>
      <c r="O3286"/>
    </row>
    <row r="3287" spans="1:15" x14ac:dyDescent="0.35">
      <c r="A3287" t="s">
        <v>4264</v>
      </c>
      <c r="B3287" s="2">
        <v>45898</v>
      </c>
      <c r="C3287" t="s">
        <v>36</v>
      </c>
      <c r="D3287" t="s">
        <v>25</v>
      </c>
      <c r="E3287" t="s">
        <v>42</v>
      </c>
      <c r="F3287" t="s">
        <v>13</v>
      </c>
      <c r="G3287">
        <v>5</v>
      </c>
      <c r="H3287">
        <v>3.8</v>
      </c>
      <c r="I3287" t="s">
        <v>14</v>
      </c>
      <c r="J3287" t="s">
        <v>1177</v>
      </c>
      <c r="K3287" s="12">
        <f>Store_Record[[#This Row],[Qty]]*Store_Record[[#This Row],[UnitPriceGBP]]</f>
        <v>19</v>
      </c>
      <c r="L3287" s="5" t="str">
        <f>TEXT(Store_Record[[#This Row],[Date]],"dddd")</f>
        <v>Friday</v>
      </c>
      <c r="M3287" s="5" t="str">
        <f>TEXT(Store_Record[[#This Row],[Date]],"mmmm")</f>
        <v>August</v>
      </c>
      <c r="N3287" s="5">
        <f>YEAR(Store_Record[[#This Row],[Date]])</f>
        <v>2025</v>
      </c>
      <c r="O3287"/>
    </row>
    <row r="3288" spans="1:15" x14ac:dyDescent="0.35">
      <c r="A3288" t="s">
        <v>4269</v>
      </c>
      <c r="B3288" s="2">
        <v>45898</v>
      </c>
      <c r="C3288" t="s">
        <v>24</v>
      </c>
      <c r="D3288" t="s">
        <v>29</v>
      </c>
      <c r="E3288" t="s">
        <v>26</v>
      </c>
      <c r="F3288" t="s">
        <v>13</v>
      </c>
      <c r="G3288">
        <v>5</v>
      </c>
      <c r="H3288">
        <v>3.5</v>
      </c>
      <c r="I3288" t="s">
        <v>14</v>
      </c>
      <c r="J3288" t="s">
        <v>252</v>
      </c>
      <c r="K3288" s="12">
        <f>Store_Record[[#This Row],[Qty]]*Store_Record[[#This Row],[UnitPriceGBP]]</f>
        <v>17.5</v>
      </c>
      <c r="L3288" s="5" t="str">
        <f>TEXT(Store_Record[[#This Row],[Date]],"dddd")</f>
        <v>Friday</v>
      </c>
      <c r="M3288" s="5" t="str">
        <f>TEXT(Store_Record[[#This Row],[Date]],"mmmm")</f>
        <v>August</v>
      </c>
      <c r="N3288" s="5">
        <f>YEAR(Store_Record[[#This Row],[Date]])</f>
        <v>2025</v>
      </c>
      <c r="O3288"/>
    </row>
    <row r="3289" spans="1:15" x14ac:dyDescent="0.35">
      <c r="A3289" t="s">
        <v>4259</v>
      </c>
      <c r="B3289" s="2">
        <v>45898</v>
      </c>
      <c r="C3289" t="s">
        <v>20</v>
      </c>
      <c r="D3289" t="s">
        <v>29</v>
      </c>
      <c r="E3289" t="s">
        <v>30</v>
      </c>
      <c r="F3289" t="s">
        <v>31</v>
      </c>
      <c r="G3289">
        <v>5</v>
      </c>
      <c r="H3289">
        <v>2.8</v>
      </c>
      <c r="I3289" t="s">
        <v>39</v>
      </c>
      <c r="J3289" t="s">
        <v>78</v>
      </c>
      <c r="K3289" s="12">
        <f>Store_Record[[#This Row],[Qty]]*Store_Record[[#This Row],[UnitPriceGBP]]</f>
        <v>14</v>
      </c>
      <c r="L3289" s="5" t="str">
        <f>TEXT(Store_Record[[#This Row],[Date]],"dddd")</f>
        <v>Friday</v>
      </c>
      <c r="M3289" s="5" t="str">
        <f>TEXT(Store_Record[[#This Row],[Date]],"mmmm")</f>
        <v>August</v>
      </c>
      <c r="N3289" s="5">
        <f>YEAR(Store_Record[[#This Row],[Date]])</f>
        <v>2025</v>
      </c>
      <c r="O3289"/>
    </row>
    <row r="3290" spans="1:15" x14ac:dyDescent="0.35">
      <c r="A3290" t="s">
        <v>4267</v>
      </c>
      <c r="B3290" s="2">
        <v>45898</v>
      </c>
      <c r="C3290" t="s">
        <v>36</v>
      </c>
      <c r="D3290" t="s">
        <v>47</v>
      </c>
      <c r="E3290" t="s">
        <v>26</v>
      </c>
      <c r="F3290" t="s">
        <v>13</v>
      </c>
      <c r="G3290">
        <v>4</v>
      </c>
      <c r="H3290">
        <v>3.5</v>
      </c>
      <c r="I3290" t="s">
        <v>39</v>
      </c>
      <c r="J3290" t="s">
        <v>600</v>
      </c>
      <c r="K3290" s="12">
        <f>Store_Record[[#This Row],[Qty]]*Store_Record[[#This Row],[UnitPriceGBP]]</f>
        <v>14</v>
      </c>
      <c r="L3290" s="5" t="str">
        <f>TEXT(Store_Record[[#This Row],[Date]],"dddd")</f>
        <v>Friday</v>
      </c>
      <c r="M3290" s="5" t="str">
        <f>TEXT(Store_Record[[#This Row],[Date]],"mmmm")</f>
        <v>August</v>
      </c>
      <c r="N3290" s="5">
        <f>YEAR(Store_Record[[#This Row],[Date]])</f>
        <v>2025</v>
      </c>
      <c r="O3290"/>
    </row>
    <row r="3291" spans="1:15" x14ac:dyDescent="0.35">
      <c r="A3291" t="s">
        <v>4258</v>
      </c>
      <c r="B3291" s="2">
        <v>45898</v>
      </c>
      <c r="C3291" t="s">
        <v>10</v>
      </c>
      <c r="D3291" t="s">
        <v>11</v>
      </c>
      <c r="E3291" t="s">
        <v>42</v>
      </c>
      <c r="F3291" t="s">
        <v>13</v>
      </c>
      <c r="G3291">
        <v>3</v>
      </c>
      <c r="H3291">
        <v>3.8</v>
      </c>
      <c r="I3291" t="s">
        <v>21</v>
      </c>
      <c r="J3291" t="s">
        <v>167</v>
      </c>
      <c r="K3291" s="12">
        <f>Store_Record[[#This Row],[Qty]]*Store_Record[[#This Row],[UnitPriceGBP]]</f>
        <v>11.399999999999999</v>
      </c>
      <c r="L3291" s="5" t="str">
        <f>TEXT(Store_Record[[#This Row],[Date]],"dddd")</f>
        <v>Friday</v>
      </c>
      <c r="M3291" s="5" t="str">
        <f>TEXT(Store_Record[[#This Row],[Date]],"mmmm")</f>
        <v>August</v>
      </c>
      <c r="N3291" s="5">
        <f>YEAR(Store_Record[[#This Row],[Date]])</f>
        <v>2025</v>
      </c>
      <c r="O3291"/>
    </row>
    <row r="3292" spans="1:15" x14ac:dyDescent="0.35">
      <c r="A3292" t="s">
        <v>4270</v>
      </c>
      <c r="B3292" s="2">
        <v>45898</v>
      </c>
      <c r="C3292" t="s">
        <v>20</v>
      </c>
      <c r="D3292" t="s">
        <v>47</v>
      </c>
      <c r="E3292" t="s">
        <v>30</v>
      </c>
      <c r="F3292" t="s">
        <v>31</v>
      </c>
      <c r="G3292">
        <v>4</v>
      </c>
      <c r="H3292">
        <v>2.8</v>
      </c>
      <c r="I3292" t="s">
        <v>39</v>
      </c>
      <c r="J3292" t="s">
        <v>3210</v>
      </c>
      <c r="K3292" s="12">
        <f>Store_Record[[#This Row],[Qty]]*Store_Record[[#This Row],[UnitPriceGBP]]</f>
        <v>11.2</v>
      </c>
      <c r="L3292" s="5" t="str">
        <f>TEXT(Store_Record[[#This Row],[Date]],"dddd")</f>
        <v>Friday</v>
      </c>
      <c r="M3292" s="5" t="str">
        <f>TEXT(Store_Record[[#This Row],[Date]],"mmmm")</f>
        <v>August</v>
      </c>
      <c r="N3292" s="5">
        <f>YEAR(Store_Record[[#This Row],[Date]])</f>
        <v>2025</v>
      </c>
      <c r="O3292"/>
    </row>
    <row r="3293" spans="1:15" x14ac:dyDescent="0.35">
      <c r="A3293" t="s">
        <v>4257</v>
      </c>
      <c r="B3293" s="2">
        <v>45898</v>
      </c>
      <c r="C3293" t="s">
        <v>10</v>
      </c>
      <c r="D3293" t="s">
        <v>25</v>
      </c>
      <c r="E3293" t="s">
        <v>12</v>
      </c>
      <c r="F3293" t="s">
        <v>13</v>
      </c>
      <c r="G3293">
        <v>4</v>
      </c>
      <c r="H3293">
        <v>2.5</v>
      </c>
      <c r="I3293" t="s">
        <v>21</v>
      </c>
      <c r="J3293" t="s">
        <v>84</v>
      </c>
      <c r="K3293" s="12">
        <f>Store_Record[[#This Row],[Qty]]*Store_Record[[#This Row],[UnitPriceGBP]]</f>
        <v>10</v>
      </c>
      <c r="L3293" s="5" t="str">
        <f>TEXT(Store_Record[[#This Row],[Date]],"dddd")</f>
        <v>Friday</v>
      </c>
      <c r="M3293" s="5" t="str">
        <f>TEXT(Store_Record[[#This Row],[Date]],"mmmm")</f>
        <v>August</v>
      </c>
      <c r="N3293" s="5">
        <f>YEAR(Store_Record[[#This Row],[Date]])</f>
        <v>2025</v>
      </c>
      <c r="O3293"/>
    </row>
    <row r="3294" spans="1:15" x14ac:dyDescent="0.35">
      <c r="A3294" t="s">
        <v>4265</v>
      </c>
      <c r="B3294" s="2">
        <v>45898</v>
      </c>
      <c r="C3294" t="s">
        <v>20</v>
      </c>
      <c r="D3294" t="s">
        <v>47</v>
      </c>
      <c r="E3294" t="s">
        <v>12</v>
      </c>
      <c r="F3294" t="s">
        <v>13</v>
      </c>
      <c r="G3294">
        <v>4</v>
      </c>
      <c r="H3294">
        <v>2.5</v>
      </c>
      <c r="I3294" t="s">
        <v>14</v>
      </c>
      <c r="J3294" t="s">
        <v>208</v>
      </c>
      <c r="K3294" s="12">
        <f>Store_Record[[#This Row],[Qty]]*Store_Record[[#This Row],[UnitPriceGBP]]</f>
        <v>10</v>
      </c>
      <c r="L3294" s="5" t="str">
        <f>TEXT(Store_Record[[#This Row],[Date]],"dddd")</f>
        <v>Friday</v>
      </c>
      <c r="M3294" s="5" t="str">
        <f>TEXT(Store_Record[[#This Row],[Date]],"mmmm")</f>
        <v>August</v>
      </c>
      <c r="N3294" s="5">
        <f>YEAR(Store_Record[[#This Row],[Date]])</f>
        <v>2025</v>
      </c>
      <c r="O3294"/>
    </row>
    <row r="3295" spans="1:15" x14ac:dyDescent="0.35">
      <c r="A3295" t="s">
        <v>4261</v>
      </c>
      <c r="B3295" s="2">
        <v>45898</v>
      </c>
      <c r="C3295" t="s">
        <v>10</v>
      </c>
      <c r="D3295" t="s">
        <v>11</v>
      </c>
      <c r="E3295" t="s">
        <v>42</v>
      </c>
      <c r="F3295" t="s">
        <v>13</v>
      </c>
      <c r="G3295">
        <v>2</v>
      </c>
      <c r="H3295">
        <v>3.8</v>
      </c>
      <c r="I3295" t="s">
        <v>14</v>
      </c>
      <c r="J3295" t="s">
        <v>1755</v>
      </c>
      <c r="K3295" s="12">
        <f>Store_Record[[#This Row],[Qty]]*Store_Record[[#This Row],[UnitPriceGBP]]</f>
        <v>7.6</v>
      </c>
      <c r="L3295" s="5" t="str">
        <f>TEXT(Store_Record[[#This Row],[Date]],"dddd")</f>
        <v>Friday</v>
      </c>
      <c r="M3295" s="5" t="str">
        <f>TEXT(Store_Record[[#This Row],[Date]],"mmmm")</f>
        <v>August</v>
      </c>
      <c r="N3295" s="5">
        <f>YEAR(Store_Record[[#This Row],[Date]])</f>
        <v>2025</v>
      </c>
      <c r="O3295"/>
    </row>
    <row r="3296" spans="1:15" x14ac:dyDescent="0.35">
      <c r="A3296" t="s">
        <v>4266</v>
      </c>
      <c r="B3296" s="2">
        <v>45898</v>
      </c>
      <c r="C3296" t="s">
        <v>20</v>
      </c>
      <c r="D3296" t="s">
        <v>11</v>
      </c>
      <c r="E3296" t="s">
        <v>26</v>
      </c>
      <c r="F3296" t="s">
        <v>13</v>
      </c>
      <c r="G3296">
        <v>2</v>
      </c>
      <c r="H3296">
        <v>3.5</v>
      </c>
      <c r="I3296" t="s">
        <v>14</v>
      </c>
      <c r="J3296" t="s">
        <v>2130</v>
      </c>
      <c r="K3296" s="12">
        <f>Store_Record[[#This Row],[Qty]]*Store_Record[[#This Row],[UnitPriceGBP]]</f>
        <v>7</v>
      </c>
      <c r="L3296" s="5" t="str">
        <f>TEXT(Store_Record[[#This Row],[Date]],"dddd")</f>
        <v>Friday</v>
      </c>
      <c r="M3296" s="5" t="str">
        <f>TEXT(Store_Record[[#This Row],[Date]],"mmmm")</f>
        <v>August</v>
      </c>
      <c r="N3296" s="5">
        <f>YEAR(Store_Record[[#This Row],[Date]])</f>
        <v>2025</v>
      </c>
      <c r="O3296"/>
    </row>
    <row r="3297" spans="1:15" x14ac:dyDescent="0.35">
      <c r="A3297" t="s">
        <v>4253</v>
      </c>
      <c r="B3297" s="2">
        <v>45898</v>
      </c>
      <c r="C3297" t="s">
        <v>24</v>
      </c>
      <c r="D3297" t="s">
        <v>38</v>
      </c>
      <c r="E3297" t="s">
        <v>30</v>
      </c>
      <c r="F3297" t="s">
        <v>31</v>
      </c>
      <c r="G3297">
        <v>2</v>
      </c>
      <c r="H3297">
        <v>2.8</v>
      </c>
      <c r="I3297" t="s">
        <v>21</v>
      </c>
      <c r="J3297" t="s">
        <v>4254</v>
      </c>
      <c r="K3297" s="12">
        <f>Store_Record[[#This Row],[Qty]]*Store_Record[[#This Row],[UnitPriceGBP]]</f>
        <v>5.6</v>
      </c>
      <c r="L3297" s="5" t="str">
        <f>TEXT(Store_Record[[#This Row],[Date]],"dddd")</f>
        <v>Friday</v>
      </c>
      <c r="M3297" s="5" t="str">
        <f>TEXT(Store_Record[[#This Row],[Date]],"mmmm")</f>
        <v>August</v>
      </c>
      <c r="N3297" s="5">
        <f>YEAR(Store_Record[[#This Row],[Date]])</f>
        <v>2025</v>
      </c>
      <c r="O3297"/>
    </row>
    <row r="3298" spans="1:15" x14ac:dyDescent="0.35">
      <c r="A3298" t="s">
        <v>4262</v>
      </c>
      <c r="B3298" s="2">
        <v>45898</v>
      </c>
      <c r="C3298" t="s">
        <v>20</v>
      </c>
      <c r="D3298" t="s">
        <v>25</v>
      </c>
      <c r="E3298" t="s">
        <v>12</v>
      </c>
      <c r="F3298" t="s">
        <v>13</v>
      </c>
      <c r="G3298">
        <v>2</v>
      </c>
      <c r="H3298">
        <v>2.5</v>
      </c>
      <c r="I3298" t="s">
        <v>14</v>
      </c>
      <c r="J3298" t="s">
        <v>622</v>
      </c>
      <c r="K3298" s="12">
        <f>Store_Record[[#This Row],[Qty]]*Store_Record[[#This Row],[UnitPriceGBP]]</f>
        <v>5</v>
      </c>
      <c r="L3298" s="5" t="str">
        <f>TEXT(Store_Record[[#This Row],[Date]],"dddd")</f>
        <v>Friday</v>
      </c>
      <c r="M3298" s="5" t="str">
        <f>TEXT(Store_Record[[#This Row],[Date]],"mmmm")</f>
        <v>August</v>
      </c>
      <c r="N3298" s="5">
        <f>YEAR(Store_Record[[#This Row],[Date]])</f>
        <v>2025</v>
      </c>
      <c r="O3298"/>
    </row>
    <row r="3299" spans="1:15" x14ac:dyDescent="0.35">
      <c r="A3299" t="s">
        <v>4255</v>
      </c>
      <c r="B3299" s="2">
        <v>45898</v>
      </c>
      <c r="C3299" t="s">
        <v>36</v>
      </c>
      <c r="D3299" t="s">
        <v>29</v>
      </c>
      <c r="E3299" t="s">
        <v>30</v>
      </c>
      <c r="F3299" t="s">
        <v>31</v>
      </c>
      <c r="G3299">
        <v>1</v>
      </c>
      <c r="H3299">
        <v>2.8</v>
      </c>
      <c r="I3299" t="s">
        <v>21</v>
      </c>
      <c r="J3299" t="s">
        <v>4256</v>
      </c>
      <c r="K3299" s="12">
        <f>Store_Record[[#This Row],[Qty]]*Store_Record[[#This Row],[UnitPriceGBP]]</f>
        <v>2.8</v>
      </c>
      <c r="L3299" s="5" t="str">
        <f>TEXT(Store_Record[[#This Row],[Date]],"dddd")</f>
        <v>Friday</v>
      </c>
      <c r="M3299" s="5" t="str">
        <f>TEXT(Store_Record[[#This Row],[Date]],"mmmm")</f>
        <v>August</v>
      </c>
      <c r="N3299" s="5">
        <f>YEAR(Store_Record[[#This Row],[Date]])</f>
        <v>2025</v>
      </c>
      <c r="O3299"/>
    </row>
    <row r="3300" spans="1:15" x14ac:dyDescent="0.35">
      <c r="A3300" t="s">
        <v>4268</v>
      </c>
      <c r="B3300" s="2">
        <v>45898</v>
      </c>
      <c r="C3300" t="s">
        <v>36</v>
      </c>
      <c r="D3300" t="s">
        <v>38</v>
      </c>
      <c r="E3300" t="s">
        <v>30</v>
      </c>
      <c r="F3300" t="s">
        <v>31</v>
      </c>
      <c r="G3300">
        <v>1</v>
      </c>
      <c r="H3300">
        <v>2.8</v>
      </c>
      <c r="I3300" t="s">
        <v>14</v>
      </c>
      <c r="J3300" t="s">
        <v>2867</v>
      </c>
      <c r="K3300" s="12">
        <f>Store_Record[[#This Row],[Qty]]*Store_Record[[#This Row],[UnitPriceGBP]]</f>
        <v>2.8</v>
      </c>
      <c r="L3300" s="5" t="str">
        <f>TEXT(Store_Record[[#This Row],[Date]],"dddd")</f>
        <v>Friday</v>
      </c>
      <c r="M3300" s="5" t="str">
        <f>TEXT(Store_Record[[#This Row],[Date]],"mmmm")</f>
        <v>August</v>
      </c>
      <c r="N3300" s="5">
        <f>YEAR(Store_Record[[#This Row],[Date]])</f>
        <v>2025</v>
      </c>
      <c r="O3300"/>
    </row>
    <row r="3301" spans="1:15" x14ac:dyDescent="0.35">
      <c r="A3301" t="s">
        <v>4273</v>
      </c>
      <c r="B3301" s="2">
        <v>45899</v>
      </c>
      <c r="C3301" t="s">
        <v>20</v>
      </c>
      <c r="D3301" t="s">
        <v>25</v>
      </c>
      <c r="E3301" t="s">
        <v>42</v>
      </c>
      <c r="F3301" t="s">
        <v>13</v>
      </c>
      <c r="G3301">
        <v>5</v>
      </c>
      <c r="H3301">
        <v>3.8</v>
      </c>
      <c r="I3301" t="s">
        <v>14</v>
      </c>
      <c r="J3301" t="s">
        <v>310</v>
      </c>
      <c r="K3301" s="12">
        <f>Store_Record[[#This Row],[Qty]]*Store_Record[[#This Row],[UnitPriceGBP]]</f>
        <v>19</v>
      </c>
      <c r="L3301" s="5" t="str">
        <f>TEXT(Store_Record[[#This Row],[Date]],"dddd")</f>
        <v>Saturday</v>
      </c>
      <c r="M3301" s="5" t="str">
        <f>TEXT(Store_Record[[#This Row],[Date]],"mmmm")</f>
        <v>August</v>
      </c>
      <c r="N3301" s="5">
        <f>YEAR(Store_Record[[#This Row],[Date]])</f>
        <v>2025</v>
      </c>
      <c r="O3301"/>
    </row>
    <row r="3302" spans="1:15" x14ac:dyDescent="0.35">
      <c r="A3302" t="s">
        <v>4276</v>
      </c>
      <c r="B3302" s="2">
        <v>45899</v>
      </c>
      <c r="C3302" t="s">
        <v>24</v>
      </c>
      <c r="D3302" t="s">
        <v>47</v>
      </c>
      <c r="E3302" t="s">
        <v>30</v>
      </c>
      <c r="F3302" t="s">
        <v>31</v>
      </c>
      <c r="G3302">
        <v>5</v>
      </c>
      <c r="H3302">
        <v>2.8</v>
      </c>
      <c r="I3302" t="s">
        <v>14</v>
      </c>
      <c r="J3302" t="s">
        <v>3065</v>
      </c>
      <c r="K3302" s="12">
        <f>Store_Record[[#This Row],[Qty]]*Store_Record[[#This Row],[UnitPriceGBP]]</f>
        <v>14</v>
      </c>
      <c r="L3302" s="5" t="str">
        <f>TEXT(Store_Record[[#This Row],[Date]],"dddd")</f>
        <v>Saturday</v>
      </c>
      <c r="M3302" s="5" t="str">
        <f>TEXT(Store_Record[[#This Row],[Date]],"mmmm")</f>
        <v>August</v>
      </c>
      <c r="N3302" s="5">
        <f>YEAR(Store_Record[[#This Row],[Date]])</f>
        <v>2025</v>
      </c>
      <c r="O3302"/>
    </row>
    <row r="3303" spans="1:15" x14ac:dyDescent="0.35">
      <c r="A3303" t="s">
        <v>4286</v>
      </c>
      <c r="B3303" s="2">
        <v>45899</v>
      </c>
      <c r="C3303" t="s">
        <v>24</v>
      </c>
      <c r="D3303" t="s">
        <v>25</v>
      </c>
      <c r="E3303" t="s">
        <v>12</v>
      </c>
      <c r="F3303" t="s">
        <v>13</v>
      </c>
      <c r="G3303">
        <v>5</v>
      </c>
      <c r="H3303">
        <v>2.5</v>
      </c>
      <c r="I3303" t="s">
        <v>39</v>
      </c>
      <c r="J3303" t="s">
        <v>1170</v>
      </c>
      <c r="K3303" s="12">
        <f>Store_Record[[#This Row],[Qty]]*Store_Record[[#This Row],[UnitPriceGBP]]</f>
        <v>12.5</v>
      </c>
      <c r="L3303" s="5" t="str">
        <f>TEXT(Store_Record[[#This Row],[Date]],"dddd")</f>
        <v>Saturday</v>
      </c>
      <c r="M3303" s="5" t="str">
        <f>TEXT(Store_Record[[#This Row],[Date]],"mmmm")</f>
        <v>August</v>
      </c>
      <c r="N3303" s="5">
        <f>YEAR(Store_Record[[#This Row],[Date]])</f>
        <v>2025</v>
      </c>
      <c r="O3303"/>
    </row>
    <row r="3304" spans="1:15" x14ac:dyDescent="0.35">
      <c r="A3304" t="s">
        <v>4279</v>
      </c>
      <c r="B3304" s="2">
        <v>45899</v>
      </c>
      <c r="C3304" t="s">
        <v>10</v>
      </c>
      <c r="D3304" t="s">
        <v>29</v>
      </c>
      <c r="E3304" t="s">
        <v>42</v>
      </c>
      <c r="F3304" t="s">
        <v>13</v>
      </c>
      <c r="G3304">
        <v>3</v>
      </c>
      <c r="H3304">
        <v>3.8</v>
      </c>
      <c r="I3304" t="s">
        <v>39</v>
      </c>
      <c r="J3304" t="s">
        <v>2617</v>
      </c>
      <c r="K3304" s="12">
        <f>Store_Record[[#This Row],[Qty]]*Store_Record[[#This Row],[UnitPriceGBP]]</f>
        <v>11.399999999999999</v>
      </c>
      <c r="L3304" s="5" t="str">
        <f>TEXT(Store_Record[[#This Row],[Date]],"dddd")</f>
        <v>Saturday</v>
      </c>
      <c r="M3304" s="5" t="str">
        <f>TEXT(Store_Record[[#This Row],[Date]],"mmmm")</f>
        <v>August</v>
      </c>
      <c r="N3304" s="5">
        <f>YEAR(Store_Record[[#This Row],[Date]])</f>
        <v>2025</v>
      </c>
      <c r="O3304"/>
    </row>
    <row r="3305" spans="1:15" x14ac:dyDescent="0.35">
      <c r="A3305" t="s">
        <v>4272</v>
      </c>
      <c r="B3305" s="2">
        <v>45899</v>
      </c>
      <c r="C3305" t="s">
        <v>20</v>
      </c>
      <c r="D3305" t="s">
        <v>38</v>
      </c>
      <c r="E3305" t="s">
        <v>34</v>
      </c>
      <c r="F3305" t="s">
        <v>31</v>
      </c>
      <c r="G3305">
        <v>5</v>
      </c>
      <c r="H3305">
        <v>2.2000000000000002</v>
      </c>
      <c r="I3305" t="s">
        <v>21</v>
      </c>
      <c r="J3305" t="s">
        <v>436</v>
      </c>
      <c r="K3305" s="12">
        <f>Store_Record[[#This Row],[Qty]]*Store_Record[[#This Row],[UnitPriceGBP]]</f>
        <v>11</v>
      </c>
      <c r="L3305" s="5" t="str">
        <f>TEXT(Store_Record[[#This Row],[Date]],"dddd")</f>
        <v>Saturday</v>
      </c>
      <c r="M3305" s="5" t="str">
        <f>TEXT(Store_Record[[#This Row],[Date]],"mmmm")</f>
        <v>August</v>
      </c>
      <c r="N3305" s="5">
        <f>YEAR(Store_Record[[#This Row],[Date]])</f>
        <v>2025</v>
      </c>
      <c r="O3305"/>
    </row>
    <row r="3306" spans="1:15" x14ac:dyDescent="0.35">
      <c r="A3306" t="s">
        <v>4277</v>
      </c>
      <c r="B3306" s="2">
        <v>45899</v>
      </c>
      <c r="C3306" t="s">
        <v>36</v>
      </c>
      <c r="D3306" t="s">
        <v>29</v>
      </c>
      <c r="E3306" t="s">
        <v>34</v>
      </c>
      <c r="F3306" t="s">
        <v>31</v>
      </c>
      <c r="G3306">
        <v>5</v>
      </c>
      <c r="H3306">
        <v>2.2000000000000002</v>
      </c>
      <c r="I3306" t="s">
        <v>14</v>
      </c>
      <c r="J3306" t="s">
        <v>1753</v>
      </c>
      <c r="K3306" s="12">
        <f>Store_Record[[#This Row],[Qty]]*Store_Record[[#This Row],[UnitPriceGBP]]</f>
        <v>11</v>
      </c>
      <c r="L3306" s="5" t="str">
        <f>TEXT(Store_Record[[#This Row],[Date]],"dddd")</f>
        <v>Saturday</v>
      </c>
      <c r="M3306" s="5" t="str">
        <f>TEXT(Store_Record[[#This Row],[Date]],"mmmm")</f>
        <v>August</v>
      </c>
      <c r="N3306" s="5">
        <f>YEAR(Store_Record[[#This Row],[Date]])</f>
        <v>2025</v>
      </c>
      <c r="O3306"/>
    </row>
    <row r="3307" spans="1:15" x14ac:dyDescent="0.35">
      <c r="A3307" t="s">
        <v>4285</v>
      </c>
      <c r="B3307" s="2">
        <v>45899</v>
      </c>
      <c r="C3307" t="s">
        <v>24</v>
      </c>
      <c r="D3307" t="s">
        <v>47</v>
      </c>
      <c r="E3307" t="s">
        <v>12</v>
      </c>
      <c r="F3307" t="s">
        <v>13</v>
      </c>
      <c r="G3307">
        <v>4</v>
      </c>
      <c r="H3307">
        <v>2.5</v>
      </c>
      <c r="I3307" t="s">
        <v>14</v>
      </c>
      <c r="J3307" t="s">
        <v>1616</v>
      </c>
      <c r="K3307" s="12">
        <f>Store_Record[[#This Row],[Qty]]*Store_Record[[#This Row],[UnitPriceGBP]]</f>
        <v>10</v>
      </c>
      <c r="L3307" s="5" t="str">
        <f>TEXT(Store_Record[[#This Row],[Date]],"dddd")</f>
        <v>Saturday</v>
      </c>
      <c r="M3307" s="5" t="str">
        <f>TEXT(Store_Record[[#This Row],[Date]],"mmmm")</f>
        <v>August</v>
      </c>
      <c r="N3307" s="5">
        <f>YEAR(Store_Record[[#This Row],[Date]])</f>
        <v>2025</v>
      </c>
      <c r="O3307"/>
    </row>
    <row r="3308" spans="1:15" x14ac:dyDescent="0.35">
      <c r="A3308" t="s">
        <v>4281</v>
      </c>
      <c r="B3308" s="2">
        <v>45899</v>
      </c>
      <c r="C3308" t="s">
        <v>24</v>
      </c>
      <c r="D3308" t="s">
        <v>29</v>
      </c>
      <c r="E3308" t="s">
        <v>34</v>
      </c>
      <c r="F3308" t="s">
        <v>31</v>
      </c>
      <c r="G3308">
        <v>4</v>
      </c>
      <c r="H3308">
        <v>2.2000000000000002</v>
      </c>
      <c r="I3308" t="s">
        <v>14</v>
      </c>
      <c r="J3308" t="s">
        <v>1712</v>
      </c>
      <c r="K3308" s="12">
        <f>Store_Record[[#This Row],[Qty]]*Store_Record[[#This Row],[UnitPriceGBP]]</f>
        <v>8.8000000000000007</v>
      </c>
      <c r="L3308" s="5" t="str">
        <f>TEXT(Store_Record[[#This Row],[Date]],"dddd")</f>
        <v>Saturday</v>
      </c>
      <c r="M3308" s="5" t="str">
        <f>TEXT(Store_Record[[#This Row],[Date]],"mmmm")</f>
        <v>August</v>
      </c>
      <c r="N3308" s="5">
        <f>YEAR(Store_Record[[#This Row],[Date]])</f>
        <v>2025</v>
      </c>
      <c r="O3308"/>
    </row>
    <row r="3309" spans="1:15" x14ac:dyDescent="0.35">
      <c r="A3309" t="s">
        <v>4274</v>
      </c>
      <c r="B3309" s="2">
        <v>45899</v>
      </c>
      <c r="C3309" t="s">
        <v>36</v>
      </c>
      <c r="D3309" t="s">
        <v>38</v>
      </c>
      <c r="E3309" t="s">
        <v>30</v>
      </c>
      <c r="F3309" t="s">
        <v>31</v>
      </c>
      <c r="G3309">
        <v>3</v>
      </c>
      <c r="H3309">
        <v>2.8</v>
      </c>
      <c r="I3309" t="s">
        <v>14</v>
      </c>
      <c r="J3309" t="s">
        <v>1845</v>
      </c>
      <c r="K3309" s="12">
        <f>Store_Record[[#This Row],[Qty]]*Store_Record[[#This Row],[UnitPriceGBP]]</f>
        <v>8.3999999999999986</v>
      </c>
      <c r="L3309" s="5" t="str">
        <f>TEXT(Store_Record[[#This Row],[Date]],"dddd")</f>
        <v>Saturday</v>
      </c>
      <c r="M3309" s="5" t="str">
        <f>TEXT(Store_Record[[#This Row],[Date]],"mmmm")</f>
        <v>August</v>
      </c>
      <c r="N3309" s="5">
        <f>YEAR(Store_Record[[#This Row],[Date]])</f>
        <v>2025</v>
      </c>
      <c r="O3309"/>
    </row>
    <row r="3310" spans="1:15" x14ac:dyDescent="0.35">
      <c r="A3310" t="s">
        <v>4278</v>
      </c>
      <c r="B3310" s="2">
        <v>45899</v>
      </c>
      <c r="C3310" t="s">
        <v>24</v>
      </c>
      <c r="D3310" t="s">
        <v>47</v>
      </c>
      <c r="E3310" t="s">
        <v>42</v>
      </c>
      <c r="F3310" t="s">
        <v>13</v>
      </c>
      <c r="G3310">
        <v>2</v>
      </c>
      <c r="H3310">
        <v>3.8</v>
      </c>
      <c r="I3310" t="s">
        <v>21</v>
      </c>
      <c r="J3310" t="s">
        <v>585</v>
      </c>
      <c r="K3310" s="12">
        <f>Store_Record[[#This Row],[Qty]]*Store_Record[[#This Row],[UnitPriceGBP]]</f>
        <v>7.6</v>
      </c>
      <c r="L3310" s="5" t="str">
        <f>TEXT(Store_Record[[#This Row],[Date]],"dddd")</f>
        <v>Saturday</v>
      </c>
      <c r="M3310" s="5" t="str">
        <f>TEXT(Store_Record[[#This Row],[Date]],"mmmm")</f>
        <v>August</v>
      </c>
      <c r="N3310" s="5">
        <f>YEAR(Store_Record[[#This Row],[Date]])</f>
        <v>2025</v>
      </c>
      <c r="O3310"/>
    </row>
    <row r="3311" spans="1:15" x14ac:dyDescent="0.35">
      <c r="A3311" t="s">
        <v>4271</v>
      </c>
      <c r="B3311" s="2">
        <v>45899</v>
      </c>
      <c r="C3311" t="s">
        <v>36</v>
      </c>
      <c r="D3311" t="s">
        <v>11</v>
      </c>
      <c r="E3311" t="s">
        <v>12</v>
      </c>
      <c r="F3311" t="s">
        <v>13</v>
      </c>
      <c r="G3311">
        <v>3</v>
      </c>
      <c r="H3311">
        <v>2.5</v>
      </c>
      <c r="I3311" t="s">
        <v>21</v>
      </c>
      <c r="J3311" t="s">
        <v>918</v>
      </c>
      <c r="K3311" s="12">
        <f>Store_Record[[#This Row],[Qty]]*Store_Record[[#This Row],[UnitPriceGBP]]</f>
        <v>7.5</v>
      </c>
      <c r="L3311" s="5" t="str">
        <f>TEXT(Store_Record[[#This Row],[Date]],"dddd")</f>
        <v>Saturday</v>
      </c>
      <c r="M3311" s="5" t="str">
        <f>TEXT(Store_Record[[#This Row],[Date]],"mmmm")</f>
        <v>August</v>
      </c>
      <c r="N3311" s="5">
        <f>YEAR(Store_Record[[#This Row],[Date]])</f>
        <v>2025</v>
      </c>
      <c r="O3311"/>
    </row>
    <row r="3312" spans="1:15" x14ac:dyDescent="0.35">
      <c r="A3312" t="s">
        <v>4284</v>
      </c>
      <c r="B3312" s="2">
        <v>45899</v>
      </c>
      <c r="C3312" t="s">
        <v>20</v>
      </c>
      <c r="D3312" t="s">
        <v>11</v>
      </c>
      <c r="E3312" t="s">
        <v>12</v>
      </c>
      <c r="F3312" t="s">
        <v>13</v>
      </c>
      <c r="G3312">
        <v>3</v>
      </c>
      <c r="H3312">
        <v>2.5</v>
      </c>
      <c r="I3312" t="s">
        <v>14</v>
      </c>
      <c r="J3312" t="s">
        <v>2837</v>
      </c>
      <c r="K3312" s="12">
        <f>Store_Record[[#This Row],[Qty]]*Store_Record[[#This Row],[UnitPriceGBP]]</f>
        <v>7.5</v>
      </c>
      <c r="L3312" s="5" t="str">
        <f>TEXT(Store_Record[[#This Row],[Date]],"dddd")</f>
        <v>Saturday</v>
      </c>
      <c r="M3312" s="5" t="str">
        <f>TEXT(Store_Record[[#This Row],[Date]],"mmmm")</f>
        <v>August</v>
      </c>
      <c r="N3312" s="5">
        <f>YEAR(Store_Record[[#This Row],[Date]])</f>
        <v>2025</v>
      </c>
      <c r="O3312"/>
    </row>
    <row r="3313" spans="1:15" x14ac:dyDescent="0.35">
      <c r="A3313" t="s">
        <v>4282</v>
      </c>
      <c r="B3313" s="2">
        <v>45899</v>
      </c>
      <c r="C3313" t="s">
        <v>10</v>
      </c>
      <c r="D3313" t="s">
        <v>47</v>
      </c>
      <c r="E3313" t="s">
        <v>34</v>
      </c>
      <c r="F3313" t="s">
        <v>31</v>
      </c>
      <c r="G3313">
        <v>3</v>
      </c>
      <c r="H3313">
        <v>2.2000000000000002</v>
      </c>
      <c r="I3313" t="s">
        <v>14</v>
      </c>
      <c r="J3313" t="s">
        <v>2324</v>
      </c>
      <c r="K3313" s="12">
        <f>Store_Record[[#This Row],[Qty]]*Store_Record[[#This Row],[UnitPriceGBP]]</f>
        <v>6.6000000000000005</v>
      </c>
      <c r="L3313" s="5" t="str">
        <f>TEXT(Store_Record[[#This Row],[Date]],"dddd")</f>
        <v>Saturday</v>
      </c>
      <c r="M3313" s="5" t="str">
        <f>TEXT(Store_Record[[#This Row],[Date]],"mmmm")</f>
        <v>August</v>
      </c>
      <c r="N3313" s="5">
        <f>YEAR(Store_Record[[#This Row],[Date]])</f>
        <v>2025</v>
      </c>
      <c r="O3313"/>
    </row>
    <row r="3314" spans="1:15" x14ac:dyDescent="0.35">
      <c r="A3314" t="s">
        <v>4275</v>
      </c>
      <c r="B3314" s="2">
        <v>45899</v>
      </c>
      <c r="C3314" t="s">
        <v>20</v>
      </c>
      <c r="D3314" t="s">
        <v>38</v>
      </c>
      <c r="E3314" t="s">
        <v>34</v>
      </c>
      <c r="F3314" t="s">
        <v>31</v>
      </c>
      <c r="G3314">
        <v>2</v>
      </c>
      <c r="H3314">
        <v>2.2000000000000002</v>
      </c>
      <c r="I3314" t="s">
        <v>39</v>
      </c>
      <c r="J3314" t="s">
        <v>1504</v>
      </c>
      <c r="K3314" s="12">
        <f>Store_Record[[#This Row],[Qty]]*Store_Record[[#This Row],[UnitPriceGBP]]</f>
        <v>4.4000000000000004</v>
      </c>
      <c r="L3314" s="5" t="str">
        <f>TEXT(Store_Record[[#This Row],[Date]],"dddd")</f>
        <v>Saturday</v>
      </c>
      <c r="M3314" s="5" t="str">
        <f>TEXT(Store_Record[[#This Row],[Date]],"mmmm")</f>
        <v>August</v>
      </c>
      <c r="N3314" s="5">
        <f>YEAR(Store_Record[[#This Row],[Date]])</f>
        <v>2025</v>
      </c>
      <c r="O3314"/>
    </row>
    <row r="3315" spans="1:15" x14ac:dyDescent="0.35">
      <c r="A3315" t="s">
        <v>4283</v>
      </c>
      <c r="B3315" s="2">
        <v>45899</v>
      </c>
      <c r="C3315" t="s">
        <v>10</v>
      </c>
      <c r="D3315" t="s">
        <v>29</v>
      </c>
      <c r="E3315" t="s">
        <v>34</v>
      </c>
      <c r="F3315" t="s">
        <v>31</v>
      </c>
      <c r="G3315">
        <v>2</v>
      </c>
      <c r="H3315">
        <v>2.2000000000000002</v>
      </c>
      <c r="I3315" t="s">
        <v>21</v>
      </c>
      <c r="J3315" t="s">
        <v>2722</v>
      </c>
      <c r="K3315" s="12">
        <f>Store_Record[[#This Row],[Qty]]*Store_Record[[#This Row],[UnitPriceGBP]]</f>
        <v>4.4000000000000004</v>
      </c>
      <c r="L3315" s="5" t="str">
        <f>TEXT(Store_Record[[#This Row],[Date]],"dddd")</f>
        <v>Saturday</v>
      </c>
      <c r="M3315" s="5" t="str">
        <f>TEXT(Store_Record[[#This Row],[Date]],"mmmm")</f>
        <v>August</v>
      </c>
      <c r="N3315" s="5">
        <f>YEAR(Store_Record[[#This Row],[Date]])</f>
        <v>2025</v>
      </c>
      <c r="O3315"/>
    </row>
    <row r="3316" spans="1:15" x14ac:dyDescent="0.35">
      <c r="A3316" t="s">
        <v>4280</v>
      </c>
      <c r="B3316" s="2">
        <v>45899</v>
      </c>
      <c r="C3316" t="s">
        <v>24</v>
      </c>
      <c r="D3316" t="s">
        <v>38</v>
      </c>
      <c r="E3316" t="s">
        <v>42</v>
      </c>
      <c r="F3316" t="s">
        <v>13</v>
      </c>
      <c r="G3316">
        <v>1</v>
      </c>
      <c r="H3316">
        <v>3.8</v>
      </c>
      <c r="I3316" t="s">
        <v>14</v>
      </c>
      <c r="J3316" t="s">
        <v>1584</v>
      </c>
      <c r="K3316" s="12">
        <f>Store_Record[[#This Row],[Qty]]*Store_Record[[#This Row],[UnitPriceGBP]]</f>
        <v>3.8</v>
      </c>
      <c r="L3316" s="5" t="str">
        <f>TEXT(Store_Record[[#This Row],[Date]],"dddd")</f>
        <v>Saturday</v>
      </c>
      <c r="M3316" s="5" t="str">
        <f>TEXT(Store_Record[[#This Row],[Date]],"mmmm")</f>
        <v>August</v>
      </c>
      <c r="N3316" s="5">
        <f>YEAR(Store_Record[[#This Row],[Date]])</f>
        <v>2025</v>
      </c>
      <c r="O3316"/>
    </row>
    <row r="3317" spans="1:15" x14ac:dyDescent="0.35">
      <c r="A3317" t="s">
        <v>4288</v>
      </c>
      <c r="B3317" s="2">
        <v>45900</v>
      </c>
      <c r="C3317" t="s">
        <v>10</v>
      </c>
      <c r="D3317" t="s">
        <v>25</v>
      </c>
      <c r="E3317" t="s">
        <v>26</v>
      </c>
      <c r="F3317" t="s">
        <v>13</v>
      </c>
      <c r="G3317">
        <v>5</v>
      </c>
      <c r="H3317">
        <v>3.5</v>
      </c>
      <c r="I3317" t="s">
        <v>39</v>
      </c>
      <c r="J3317" t="s">
        <v>596</v>
      </c>
      <c r="K3317" s="12">
        <f>Store_Record[[#This Row],[Qty]]*Store_Record[[#This Row],[UnitPriceGBP]]</f>
        <v>17.5</v>
      </c>
      <c r="L3317" s="5" t="str">
        <f>TEXT(Store_Record[[#This Row],[Date]],"dddd")</f>
        <v>Sunday</v>
      </c>
      <c r="M3317" s="5" t="str">
        <f>TEXT(Store_Record[[#This Row],[Date]],"mmmm")</f>
        <v>August</v>
      </c>
      <c r="N3317" s="5">
        <f>YEAR(Store_Record[[#This Row],[Date]])</f>
        <v>2025</v>
      </c>
      <c r="O3317"/>
    </row>
    <row r="3318" spans="1:15" x14ac:dyDescent="0.35">
      <c r="A3318" t="s">
        <v>4296</v>
      </c>
      <c r="B3318" s="2">
        <v>45900</v>
      </c>
      <c r="C3318" t="s">
        <v>24</v>
      </c>
      <c r="D3318" t="s">
        <v>11</v>
      </c>
      <c r="E3318" t="s">
        <v>26</v>
      </c>
      <c r="F3318" t="s">
        <v>13</v>
      </c>
      <c r="G3318">
        <v>5</v>
      </c>
      <c r="H3318">
        <v>3.5</v>
      </c>
      <c r="I3318" t="s">
        <v>21</v>
      </c>
      <c r="J3318" t="s">
        <v>400</v>
      </c>
      <c r="K3318" s="12">
        <f>Store_Record[[#This Row],[Qty]]*Store_Record[[#This Row],[UnitPriceGBP]]</f>
        <v>17.5</v>
      </c>
      <c r="L3318" s="5" t="str">
        <f>TEXT(Store_Record[[#This Row],[Date]],"dddd")</f>
        <v>Sunday</v>
      </c>
      <c r="M3318" s="5" t="str">
        <f>TEXT(Store_Record[[#This Row],[Date]],"mmmm")</f>
        <v>August</v>
      </c>
      <c r="N3318" s="5">
        <f>YEAR(Store_Record[[#This Row],[Date]])</f>
        <v>2025</v>
      </c>
      <c r="O3318"/>
    </row>
    <row r="3319" spans="1:15" x14ac:dyDescent="0.35">
      <c r="A3319" t="s">
        <v>4289</v>
      </c>
      <c r="B3319" s="2">
        <v>45900</v>
      </c>
      <c r="C3319" t="s">
        <v>20</v>
      </c>
      <c r="D3319" t="s">
        <v>25</v>
      </c>
      <c r="E3319" t="s">
        <v>42</v>
      </c>
      <c r="F3319" t="s">
        <v>13</v>
      </c>
      <c r="G3319">
        <v>4</v>
      </c>
      <c r="H3319">
        <v>3.8</v>
      </c>
      <c r="I3319" t="s">
        <v>21</v>
      </c>
      <c r="J3319" t="s">
        <v>978</v>
      </c>
      <c r="K3319" s="12">
        <f>Store_Record[[#This Row],[Qty]]*Store_Record[[#This Row],[UnitPriceGBP]]</f>
        <v>15.2</v>
      </c>
      <c r="L3319" s="5" t="str">
        <f>TEXT(Store_Record[[#This Row],[Date]],"dddd")</f>
        <v>Sunday</v>
      </c>
      <c r="M3319" s="5" t="str">
        <f>TEXT(Store_Record[[#This Row],[Date]],"mmmm")</f>
        <v>August</v>
      </c>
      <c r="N3319" s="5">
        <f>YEAR(Store_Record[[#This Row],[Date]])</f>
        <v>2025</v>
      </c>
      <c r="O3319"/>
    </row>
    <row r="3320" spans="1:15" x14ac:dyDescent="0.35">
      <c r="A3320" t="s">
        <v>4291</v>
      </c>
      <c r="B3320" s="2">
        <v>45900</v>
      </c>
      <c r="C3320" t="s">
        <v>20</v>
      </c>
      <c r="D3320" t="s">
        <v>29</v>
      </c>
      <c r="E3320" t="s">
        <v>42</v>
      </c>
      <c r="F3320" t="s">
        <v>13</v>
      </c>
      <c r="G3320">
        <v>4</v>
      </c>
      <c r="H3320">
        <v>3.8</v>
      </c>
      <c r="I3320" t="s">
        <v>39</v>
      </c>
      <c r="J3320" t="s">
        <v>1332</v>
      </c>
      <c r="K3320" s="12">
        <f>Store_Record[[#This Row],[Qty]]*Store_Record[[#This Row],[UnitPriceGBP]]</f>
        <v>15.2</v>
      </c>
      <c r="L3320" s="5" t="str">
        <f>TEXT(Store_Record[[#This Row],[Date]],"dddd")</f>
        <v>Sunday</v>
      </c>
      <c r="M3320" s="5" t="str">
        <f>TEXT(Store_Record[[#This Row],[Date]],"mmmm")</f>
        <v>August</v>
      </c>
      <c r="N3320" s="5">
        <f>YEAR(Store_Record[[#This Row],[Date]])</f>
        <v>2025</v>
      </c>
      <c r="O3320"/>
    </row>
    <row r="3321" spans="1:15" x14ac:dyDescent="0.35">
      <c r="A3321" t="s">
        <v>4295</v>
      </c>
      <c r="B3321" s="2">
        <v>45900</v>
      </c>
      <c r="C3321" t="s">
        <v>36</v>
      </c>
      <c r="D3321" t="s">
        <v>47</v>
      </c>
      <c r="E3321" t="s">
        <v>42</v>
      </c>
      <c r="F3321" t="s">
        <v>13</v>
      </c>
      <c r="G3321">
        <v>4</v>
      </c>
      <c r="H3321">
        <v>3.8</v>
      </c>
      <c r="I3321" t="s">
        <v>39</v>
      </c>
      <c r="J3321" t="s">
        <v>510</v>
      </c>
      <c r="K3321" s="12">
        <f>Store_Record[[#This Row],[Qty]]*Store_Record[[#This Row],[UnitPriceGBP]]</f>
        <v>15.2</v>
      </c>
      <c r="L3321" s="5" t="str">
        <f>TEXT(Store_Record[[#This Row],[Date]],"dddd")</f>
        <v>Sunday</v>
      </c>
      <c r="M3321" s="5" t="str">
        <f>TEXT(Store_Record[[#This Row],[Date]],"mmmm")</f>
        <v>August</v>
      </c>
      <c r="N3321" s="5">
        <f>YEAR(Store_Record[[#This Row],[Date]])</f>
        <v>2025</v>
      </c>
      <c r="O3321"/>
    </row>
    <row r="3322" spans="1:15" x14ac:dyDescent="0.35">
      <c r="A3322" t="s">
        <v>4287</v>
      </c>
      <c r="B3322" s="2">
        <v>45900</v>
      </c>
      <c r="C3322" t="s">
        <v>10</v>
      </c>
      <c r="D3322" t="s">
        <v>38</v>
      </c>
      <c r="E3322" t="s">
        <v>42</v>
      </c>
      <c r="F3322" t="s">
        <v>13</v>
      </c>
      <c r="G3322">
        <v>3</v>
      </c>
      <c r="H3322">
        <v>3.8</v>
      </c>
      <c r="I3322" t="s">
        <v>21</v>
      </c>
      <c r="J3322" t="s">
        <v>1173</v>
      </c>
      <c r="K3322" s="12">
        <f>Store_Record[[#This Row],[Qty]]*Store_Record[[#This Row],[UnitPriceGBP]]</f>
        <v>11.399999999999999</v>
      </c>
      <c r="L3322" s="5" t="str">
        <f>TEXT(Store_Record[[#This Row],[Date]],"dddd")</f>
        <v>Sunday</v>
      </c>
      <c r="M3322" s="5" t="str">
        <f>TEXT(Store_Record[[#This Row],[Date]],"mmmm")</f>
        <v>August</v>
      </c>
      <c r="N3322" s="5">
        <f>YEAR(Store_Record[[#This Row],[Date]])</f>
        <v>2025</v>
      </c>
      <c r="O3322"/>
    </row>
    <row r="3323" spans="1:15" x14ac:dyDescent="0.35">
      <c r="A3323" t="s">
        <v>4293</v>
      </c>
      <c r="B3323" s="2">
        <v>45900</v>
      </c>
      <c r="C3323" t="s">
        <v>24</v>
      </c>
      <c r="D3323" t="s">
        <v>29</v>
      </c>
      <c r="E3323" t="s">
        <v>30</v>
      </c>
      <c r="F3323" t="s">
        <v>31</v>
      </c>
      <c r="G3323">
        <v>3</v>
      </c>
      <c r="H3323">
        <v>2.8</v>
      </c>
      <c r="I3323" t="s">
        <v>21</v>
      </c>
      <c r="J3323" t="s">
        <v>56</v>
      </c>
      <c r="K3323" s="12">
        <f>Store_Record[[#This Row],[Qty]]*Store_Record[[#This Row],[UnitPriceGBP]]</f>
        <v>8.3999999999999986</v>
      </c>
      <c r="L3323" s="5" t="str">
        <f>TEXT(Store_Record[[#This Row],[Date]],"dddd")</f>
        <v>Sunday</v>
      </c>
      <c r="M3323" s="5" t="str">
        <f>TEXT(Store_Record[[#This Row],[Date]],"mmmm")</f>
        <v>August</v>
      </c>
      <c r="N3323" s="5">
        <f>YEAR(Store_Record[[#This Row],[Date]])</f>
        <v>2025</v>
      </c>
      <c r="O3323"/>
    </row>
    <row r="3324" spans="1:15" x14ac:dyDescent="0.35">
      <c r="A3324" t="s">
        <v>4290</v>
      </c>
      <c r="B3324" s="2">
        <v>45900</v>
      </c>
      <c r="C3324" t="s">
        <v>36</v>
      </c>
      <c r="D3324" t="s">
        <v>11</v>
      </c>
      <c r="E3324" t="s">
        <v>34</v>
      </c>
      <c r="F3324" t="s">
        <v>31</v>
      </c>
      <c r="G3324">
        <v>3</v>
      </c>
      <c r="H3324">
        <v>2.2000000000000002</v>
      </c>
      <c r="I3324" t="s">
        <v>39</v>
      </c>
      <c r="J3324" t="s">
        <v>1332</v>
      </c>
      <c r="K3324" s="12">
        <f>Store_Record[[#This Row],[Qty]]*Store_Record[[#This Row],[UnitPriceGBP]]</f>
        <v>6.6000000000000005</v>
      </c>
      <c r="L3324" s="5" t="str">
        <f>TEXT(Store_Record[[#This Row],[Date]],"dddd")</f>
        <v>Sunday</v>
      </c>
      <c r="M3324" s="5" t="str">
        <f>TEXT(Store_Record[[#This Row],[Date]],"mmmm")</f>
        <v>August</v>
      </c>
      <c r="N3324" s="5">
        <f>YEAR(Store_Record[[#This Row],[Date]])</f>
        <v>2025</v>
      </c>
      <c r="O3324"/>
    </row>
    <row r="3325" spans="1:15" x14ac:dyDescent="0.35">
      <c r="A3325" t="s">
        <v>4294</v>
      </c>
      <c r="B3325" s="2">
        <v>45900</v>
      </c>
      <c r="C3325" t="s">
        <v>36</v>
      </c>
      <c r="D3325" t="s">
        <v>47</v>
      </c>
      <c r="E3325" t="s">
        <v>26</v>
      </c>
      <c r="F3325" t="s">
        <v>13</v>
      </c>
      <c r="G3325">
        <v>1</v>
      </c>
      <c r="H3325">
        <v>3.5</v>
      </c>
      <c r="I3325" t="s">
        <v>14</v>
      </c>
      <c r="J3325" t="s">
        <v>2818</v>
      </c>
      <c r="K3325" s="12">
        <f>Store_Record[[#This Row],[Qty]]*Store_Record[[#This Row],[UnitPriceGBP]]</f>
        <v>3.5</v>
      </c>
      <c r="L3325" s="5" t="str">
        <f>TEXT(Store_Record[[#This Row],[Date]],"dddd")</f>
        <v>Sunday</v>
      </c>
      <c r="M3325" s="5" t="str">
        <f>TEXT(Store_Record[[#This Row],[Date]],"mmmm")</f>
        <v>August</v>
      </c>
      <c r="N3325" s="5">
        <f>YEAR(Store_Record[[#This Row],[Date]])</f>
        <v>2025</v>
      </c>
      <c r="O3325"/>
    </row>
    <row r="3326" spans="1:15" x14ac:dyDescent="0.35">
      <c r="A3326" t="s">
        <v>4292</v>
      </c>
      <c r="B3326" s="2">
        <v>45900</v>
      </c>
      <c r="C3326" t="s">
        <v>10</v>
      </c>
      <c r="D3326" t="s">
        <v>38</v>
      </c>
      <c r="E3326" t="s">
        <v>12</v>
      </c>
      <c r="F3326" t="s">
        <v>13</v>
      </c>
      <c r="G3326">
        <v>1</v>
      </c>
      <c r="H3326">
        <v>2.5</v>
      </c>
      <c r="I3326" t="s">
        <v>14</v>
      </c>
      <c r="J3326" t="s">
        <v>4042</v>
      </c>
      <c r="K3326" s="12">
        <f>Store_Record[[#This Row],[Qty]]*Store_Record[[#This Row],[UnitPriceGBP]]</f>
        <v>2.5</v>
      </c>
      <c r="L3326" s="5" t="str">
        <f>TEXT(Store_Record[[#This Row],[Date]],"dddd")</f>
        <v>Sunday</v>
      </c>
      <c r="M3326" s="5" t="str">
        <f>TEXT(Store_Record[[#This Row],[Date]],"mmmm")</f>
        <v>August</v>
      </c>
      <c r="N3326" s="5">
        <f>YEAR(Store_Record[[#This Row],[Date]])</f>
        <v>2025</v>
      </c>
      <c r="O3326"/>
    </row>
    <row r="3327" spans="1:15" x14ac:dyDescent="0.35">
      <c r="A3327" t="s">
        <v>4305</v>
      </c>
      <c r="B3327" s="2">
        <v>45901</v>
      </c>
      <c r="C3327" t="s">
        <v>36</v>
      </c>
      <c r="D3327" t="s">
        <v>25</v>
      </c>
      <c r="E3327" t="s">
        <v>42</v>
      </c>
      <c r="F3327" t="s">
        <v>13</v>
      </c>
      <c r="G3327">
        <v>4</v>
      </c>
      <c r="H3327">
        <v>3.8</v>
      </c>
      <c r="I3327" t="s">
        <v>21</v>
      </c>
      <c r="J3327" t="s">
        <v>1292</v>
      </c>
      <c r="K3327" s="12">
        <f>Store_Record[[#This Row],[Qty]]*Store_Record[[#This Row],[UnitPriceGBP]]</f>
        <v>15.2</v>
      </c>
      <c r="L3327" s="5" t="str">
        <f>TEXT(Store_Record[[#This Row],[Date]],"dddd")</f>
        <v>Monday</v>
      </c>
      <c r="M3327" s="5" t="str">
        <f>TEXT(Store_Record[[#This Row],[Date]],"mmmm")</f>
        <v>September</v>
      </c>
      <c r="N3327" s="5">
        <f>YEAR(Store_Record[[#This Row],[Date]])</f>
        <v>2025</v>
      </c>
      <c r="O3327"/>
    </row>
    <row r="3328" spans="1:15" x14ac:dyDescent="0.35">
      <c r="A3328" t="s">
        <v>4303</v>
      </c>
      <c r="B3328" s="2">
        <v>45901</v>
      </c>
      <c r="C3328" t="s">
        <v>36</v>
      </c>
      <c r="D3328" t="s">
        <v>29</v>
      </c>
      <c r="E3328" t="s">
        <v>30</v>
      </c>
      <c r="F3328" t="s">
        <v>31</v>
      </c>
      <c r="G3328">
        <v>5</v>
      </c>
      <c r="H3328">
        <v>2.8</v>
      </c>
      <c r="I3328" t="s">
        <v>39</v>
      </c>
      <c r="J3328" t="s">
        <v>1143</v>
      </c>
      <c r="K3328" s="12">
        <f>Store_Record[[#This Row],[Qty]]*Store_Record[[#This Row],[UnitPriceGBP]]</f>
        <v>14</v>
      </c>
      <c r="L3328" s="5" t="str">
        <f>TEXT(Store_Record[[#This Row],[Date]],"dddd")</f>
        <v>Monday</v>
      </c>
      <c r="M3328" s="5" t="str">
        <f>TEXT(Store_Record[[#This Row],[Date]],"mmmm")</f>
        <v>September</v>
      </c>
      <c r="N3328" s="5">
        <f>YEAR(Store_Record[[#This Row],[Date]])</f>
        <v>2025</v>
      </c>
      <c r="O3328"/>
    </row>
    <row r="3329" spans="1:15" x14ac:dyDescent="0.35">
      <c r="A3329" t="s">
        <v>4301</v>
      </c>
      <c r="B3329" s="2">
        <v>45901</v>
      </c>
      <c r="C3329" t="s">
        <v>20</v>
      </c>
      <c r="D3329" t="s">
        <v>29</v>
      </c>
      <c r="E3329" t="s">
        <v>26</v>
      </c>
      <c r="F3329" t="s">
        <v>13</v>
      </c>
      <c r="G3329">
        <v>3</v>
      </c>
      <c r="H3329">
        <v>3.5</v>
      </c>
      <c r="I3329" t="s">
        <v>14</v>
      </c>
      <c r="J3329" t="s">
        <v>1013</v>
      </c>
      <c r="K3329" s="12">
        <f>Store_Record[[#This Row],[Qty]]*Store_Record[[#This Row],[UnitPriceGBP]]</f>
        <v>10.5</v>
      </c>
      <c r="L3329" s="5" t="str">
        <f>TEXT(Store_Record[[#This Row],[Date]],"dddd")</f>
        <v>Monday</v>
      </c>
      <c r="M3329" s="5" t="str">
        <f>TEXT(Store_Record[[#This Row],[Date]],"mmmm")</f>
        <v>September</v>
      </c>
      <c r="N3329" s="5">
        <f>YEAR(Store_Record[[#This Row],[Date]])</f>
        <v>2025</v>
      </c>
      <c r="O3329"/>
    </row>
    <row r="3330" spans="1:15" x14ac:dyDescent="0.35">
      <c r="A3330" t="s">
        <v>4304</v>
      </c>
      <c r="B3330" s="2">
        <v>45901</v>
      </c>
      <c r="C3330" t="s">
        <v>10</v>
      </c>
      <c r="D3330" t="s">
        <v>25</v>
      </c>
      <c r="E3330" t="s">
        <v>12</v>
      </c>
      <c r="F3330" t="s">
        <v>13</v>
      </c>
      <c r="G3330">
        <v>4</v>
      </c>
      <c r="H3330">
        <v>2.5</v>
      </c>
      <c r="I3330" t="s">
        <v>14</v>
      </c>
      <c r="J3330" t="s">
        <v>1382</v>
      </c>
      <c r="K3330" s="12">
        <f>Store_Record[[#This Row],[Qty]]*Store_Record[[#This Row],[UnitPriceGBP]]</f>
        <v>10</v>
      </c>
      <c r="L3330" s="5" t="str">
        <f>TEXT(Store_Record[[#This Row],[Date]],"dddd")</f>
        <v>Monday</v>
      </c>
      <c r="M3330" s="5" t="str">
        <f>TEXT(Store_Record[[#This Row],[Date]],"mmmm")</f>
        <v>September</v>
      </c>
      <c r="N3330" s="5">
        <f>YEAR(Store_Record[[#This Row],[Date]])</f>
        <v>2025</v>
      </c>
      <c r="O3330"/>
    </row>
    <row r="3331" spans="1:15" x14ac:dyDescent="0.35">
      <c r="A3331" t="s">
        <v>4302</v>
      </c>
      <c r="B3331" s="2">
        <v>45901</v>
      </c>
      <c r="C3331" t="s">
        <v>24</v>
      </c>
      <c r="D3331" t="s">
        <v>29</v>
      </c>
      <c r="E3331" t="s">
        <v>34</v>
      </c>
      <c r="F3331" t="s">
        <v>31</v>
      </c>
      <c r="G3331">
        <v>4</v>
      </c>
      <c r="H3331">
        <v>2.2000000000000002</v>
      </c>
      <c r="I3331" t="s">
        <v>14</v>
      </c>
      <c r="J3331" t="s">
        <v>1406</v>
      </c>
      <c r="K3331" s="12">
        <f>Store_Record[[#This Row],[Qty]]*Store_Record[[#This Row],[UnitPriceGBP]]</f>
        <v>8.8000000000000007</v>
      </c>
      <c r="L3331" s="5" t="str">
        <f>TEXT(Store_Record[[#This Row],[Date]],"dddd")</f>
        <v>Monday</v>
      </c>
      <c r="M3331" s="5" t="str">
        <f>TEXT(Store_Record[[#This Row],[Date]],"mmmm")</f>
        <v>September</v>
      </c>
      <c r="N3331" s="5">
        <f>YEAR(Store_Record[[#This Row],[Date]])</f>
        <v>2025</v>
      </c>
      <c r="O3331"/>
    </row>
    <row r="3332" spans="1:15" x14ac:dyDescent="0.35">
      <c r="A3332" t="s">
        <v>4297</v>
      </c>
      <c r="B3332" s="2">
        <v>45901</v>
      </c>
      <c r="C3332" t="s">
        <v>24</v>
      </c>
      <c r="D3332" t="s">
        <v>29</v>
      </c>
      <c r="E3332" t="s">
        <v>42</v>
      </c>
      <c r="F3332" t="s">
        <v>13</v>
      </c>
      <c r="G3332">
        <v>2</v>
      </c>
      <c r="H3332">
        <v>3.8</v>
      </c>
      <c r="I3332" t="s">
        <v>21</v>
      </c>
      <c r="J3332" t="s">
        <v>703</v>
      </c>
      <c r="K3332" s="12">
        <f>Store_Record[[#This Row],[Qty]]*Store_Record[[#This Row],[UnitPriceGBP]]</f>
        <v>7.6</v>
      </c>
      <c r="L3332" s="5" t="str">
        <f>TEXT(Store_Record[[#This Row],[Date]],"dddd")</f>
        <v>Monday</v>
      </c>
      <c r="M3332" s="5" t="str">
        <f>TEXT(Store_Record[[#This Row],[Date]],"mmmm")</f>
        <v>September</v>
      </c>
      <c r="N3332" s="5">
        <f>YEAR(Store_Record[[#This Row],[Date]])</f>
        <v>2025</v>
      </c>
      <c r="O3332"/>
    </row>
    <row r="3333" spans="1:15" x14ac:dyDescent="0.35">
      <c r="A3333" t="s">
        <v>4300</v>
      </c>
      <c r="B3333" s="2">
        <v>45901</v>
      </c>
      <c r="C3333" t="s">
        <v>24</v>
      </c>
      <c r="D3333" t="s">
        <v>38</v>
      </c>
      <c r="E3333" t="s">
        <v>42</v>
      </c>
      <c r="F3333" t="s">
        <v>13</v>
      </c>
      <c r="G3333">
        <v>1</v>
      </c>
      <c r="H3333">
        <v>3.8</v>
      </c>
      <c r="I3333" t="s">
        <v>39</v>
      </c>
      <c r="J3333" t="s">
        <v>464</v>
      </c>
      <c r="K3333" s="12">
        <f>Store_Record[[#This Row],[Qty]]*Store_Record[[#This Row],[UnitPriceGBP]]</f>
        <v>3.8</v>
      </c>
      <c r="L3333" s="5" t="str">
        <f>TEXT(Store_Record[[#This Row],[Date]],"dddd")</f>
        <v>Monday</v>
      </c>
      <c r="M3333" s="5" t="str">
        <f>TEXT(Store_Record[[#This Row],[Date]],"mmmm")</f>
        <v>September</v>
      </c>
      <c r="N3333" s="5">
        <f>YEAR(Store_Record[[#This Row],[Date]])</f>
        <v>2025</v>
      </c>
      <c r="O3333"/>
    </row>
    <row r="3334" spans="1:15" x14ac:dyDescent="0.35">
      <c r="A3334" t="s">
        <v>4298</v>
      </c>
      <c r="B3334" s="2">
        <v>45901</v>
      </c>
      <c r="C3334" t="s">
        <v>36</v>
      </c>
      <c r="D3334" t="s">
        <v>47</v>
      </c>
      <c r="E3334" t="s">
        <v>12</v>
      </c>
      <c r="F3334" t="s">
        <v>13</v>
      </c>
      <c r="G3334">
        <v>1</v>
      </c>
      <c r="H3334">
        <v>2.5</v>
      </c>
      <c r="I3334" t="s">
        <v>14</v>
      </c>
      <c r="J3334" t="s">
        <v>1840</v>
      </c>
      <c r="K3334" s="12">
        <f>Store_Record[[#This Row],[Qty]]*Store_Record[[#This Row],[UnitPriceGBP]]</f>
        <v>2.5</v>
      </c>
      <c r="L3334" s="5" t="str">
        <f>TEXT(Store_Record[[#This Row],[Date]],"dddd")</f>
        <v>Monday</v>
      </c>
      <c r="M3334" s="5" t="str">
        <f>TEXT(Store_Record[[#This Row],[Date]],"mmmm")</f>
        <v>September</v>
      </c>
      <c r="N3334" s="5">
        <f>YEAR(Store_Record[[#This Row],[Date]])</f>
        <v>2025</v>
      </c>
      <c r="O3334"/>
    </row>
    <row r="3335" spans="1:15" x14ac:dyDescent="0.35">
      <c r="A3335" t="s">
        <v>4299</v>
      </c>
      <c r="B3335" s="2">
        <v>45901</v>
      </c>
      <c r="C3335" t="s">
        <v>36</v>
      </c>
      <c r="D3335" t="s">
        <v>25</v>
      </c>
      <c r="E3335" t="s">
        <v>34</v>
      </c>
      <c r="F3335" t="s">
        <v>31</v>
      </c>
      <c r="G3335">
        <v>1</v>
      </c>
      <c r="H3335">
        <v>2.2000000000000002</v>
      </c>
      <c r="I3335" t="s">
        <v>39</v>
      </c>
      <c r="J3335" t="s">
        <v>1799</v>
      </c>
      <c r="K3335" s="12">
        <f>Store_Record[[#This Row],[Qty]]*Store_Record[[#This Row],[UnitPriceGBP]]</f>
        <v>2.2000000000000002</v>
      </c>
      <c r="L3335" s="5" t="str">
        <f>TEXT(Store_Record[[#This Row],[Date]],"dddd")</f>
        <v>Monday</v>
      </c>
      <c r="M3335" s="5" t="str">
        <f>TEXT(Store_Record[[#This Row],[Date]],"mmmm")</f>
        <v>September</v>
      </c>
      <c r="N3335" s="5">
        <f>YEAR(Store_Record[[#This Row],[Date]])</f>
        <v>2025</v>
      </c>
      <c r="O3335"/>
    </row>
    <row r="3336" spans="1:15" x14ac:dyDescent="0.35">
      <c r="A3336" t="s">
        <v>4312</v>
      </c>
      <c r="B3336" s="2">
        <v>45902</v>
      </c>
      <c r="C3336" t="s">
        <v>20</v>
      </c>
      <c r="D3336" t="s">
        <v>47</v>
      </c>
      <c r="E3336" t="s">
        <v>26</v>
      </c>
      <c r="F3336" t="s">
        <v>13</v>
      </c>
      <c r="G3336">
        <v>5</v>
      </c>
      <c r="H3336">
        <v>3.5</v>
      </c>
      <c r="I3336" t="s">
        <v>39</v>
      </c>
      <c r="J3336" t="s">
        <v>4145</v>
      </c>
      <c r="K3336" s="12">
        <f>Store_Record[[#This Row],[Qty]]*Store_Record[[#This Row],[UnitPriceGBP]]</f>
        <v>17.5</v>
      </c>
      <c r="L3336" s="5" t="str">
        <f>TEXT(Store_Record[[#This Row],[Date]],"dddd")</f>
        <v>Tuesday</v>
      </c>
      <c r="M3336" s="5" t="str">
        <f>TEXT(Store_Record[[#This Row],[Date]],"mmmm")</f>
        <v>September</v>
      </c>
      <c r="N3336" s="5">
        <f>YEAR(Store_Record[[#This Row],[Date]])</f>
        <v>2025</v>
      </c>
      <c r="O3336"/>
    </row>
    <row r="3337" spans="1:15" x14ac:dyDescent="0.35">
      <c r="A3337" t="s">
        <v>4318</v>
      </c>
      <c r="B3337" s="2">
        <v>45902</v>
      </c>
      <c r="C3337" t="s">
        <v>10</v>
      </c>
      <c r="D3337" t="s">
        <v>47</v>
      </c>
      <c r="E3337" t="s">
        <v>26</v>
      </c>
      <c r="F3337" t="s">
        <v>13</v>
      </c>
      <c r="G3337">
        <v>4</v>
      </c>
      <c r="H3337">
        <v>3.5</v>
      </c>
      <c r="I3337" t="s">
        <v>39</v>
      </c>
      <c r="J3337" t="s">
        <v>426</v>
      </c>
      <c r="K3337" s="12">
        <f>Store_Record[[#This Row],[Qty]]*Store_Record[[#This Row],[UnitPriceGBP]]</f>
        <v>14</v>
      </c>
      <c r="L3337" s="5" t="str">
        <f>TEXT(Store_Record[[#This Row],[Date]],"dddd")</f>
        <v>Tuesday</v>
      </c>
      <c r="M3337" s="5" t="str">
        <f>TEXT(Store_Record[[#This Row],[Date]],"mmmm")</f>
        <v>September</v>
      </c>
      <c r="N3337" s="5">
        <f>YEAR(Store_Record[[#This Row],[Date]])</f>
        <v>2025</v>
      </c>
      <c r="O3337"/>
    </row>
    <row r="3338" spans="1:15" x14ac:dyDescent="0.35">
      <c r="A3338" t="s">
        <v>4320</v>
      </c>
      <c r="B3338" s="2">
        <v>45902</v>
      </c>
      <c r="C3338" t="s">
        <v>36</v>
      </c>
      <c r="D3338" t="s">
        <v>11</v>
      </c>
      <c r="E3338" t="s">
        <v>26</v>
      </c>
      <c r="F3338" t="s">
        <v>13</v>
      </c>
      <c r="G3338">
        <v>4</v>
      </c>
      <c r="H3338">
        <v>3.5</v>
      </c>
      <c r="I3338" t="s">
        <v>39</v>
      </c>
      <c r="J3338" t="s">
        <v>684</v>
      </c>
      <c r="K3338" s="12">
        <f>Store_Record[[#This Row],[Qty]]*Store_Record[[#This Row],[UnitPriceGBP]]</f>
        <v>14</v>
      </c>
      <c r="L3338" s="5" t="str">
        <f>TEXT(Store_Record[[#This Row],[Date]],"dddd")</f>
        <v>Tuesday</v>
      </c>
      <c r="M3338" s="5" t="str">
        <f>TEXT(Store_Record[[#This Row],[Date]],"mmmm")</f>
        <v>September</v>
      </c>
      <c r="N3338" s="5">
        <f>YEAR(Store_Record[[#This Row],[Date]])</f>
        <v>2025</v>
      </c>
      <c r="O3338"/>
    </row>
    <row r="3339" spans="1:15" x14ac:dyDescent="0.35">
      <c r="A3339" t="s">
        <v>4307</v>
      </c>
      <c r="B3339" s="2">
        <v>45902</v>
      </c>
      <c r="C3339" t="s">
        <v>36</v>
      </c>
      <c r="D3339" t="s">
        <v>47</v>
      </c>
      <c r="E3339" t="s">
        <v>30</v>
      </c>
      <c r="F3339" t="s">
        <v>31</v>
      </c>
      <c r="G3339">
        <v>4</v>
      </c>
      <c r="H3339">
        <v>2.8</v>
      </c>
      <c r="I3339" t="s">
        <v>14</v>
      </c>
      <c r="J3339" t="s">
        <v>703</v>
      </c>
      <c r="K3339" s="12">
        <f>Store_Record[[#This Row],[Qty]]*Store_Record[[#This Row],[UnitPriceGBP]]</f>
        <v>11.2</v>
      </c>
      <c r="L3339" s="5" t="str">
        <f>TEXT(Store_Record[[#This Row],[Date]],"dddd")</f>
        <v>Tuesday</v>
      </c>
      <c r="M3339" s="5" t="str">
        <f>TEXT(Store_Record[[#This Row],[Date]],"mmmm")</f>
        <v>September</v>
      </c>
      <c r="N3339" s="5">
        <f>YEAR(Store_Record[[#This Row],[Date]])</f>
        <v>2025</v>
      </c>
      <c r="O3339"/>
    </row>
    <row r="3340" spans="1:15" x14ac:dyDescent="0.35">
      <c r="A3340" t="s">
        <v>4308</v>
      </c>
      <c r="B3340" s="2">
        <v>45902</v>
      </c>
      <c r="C3340" t="s">
        <v>20</v>
      </c>
      <c r="D3340" t="s">
        <v>29</v>
      </c>
      <c r="E3340" t="s">
        <v>12</v>
      </c>
      <c r="F3340" t="s">
        <v>13</v>
      </c>
      <c r="G3340">
        <v>4</v>
      </c>
      <c r="H3340">
        <v>2.5</v>
      </c>
      <c r="I3340" t="s">
        <v>14</v>
      </c>
      <c r="J3340" t="s">
        <v>539</v>
      </c>
      <c r="K3340" s="12">
        <f>Store_Record[[#This Row],[Qty]]*Store_Record[[#This Row],[UnitPriceGBP]]</f>
        <v>10</v>
      </c>
      <c r="L3340" s="5" t="str">
        <f>TEXT(Store_Record[[#This Row],[Date]],"dddd")</f>
        <v>Tuesday</v>
      </c>
      <c r="M3340" s="5" t="str">
        <f>TEXT(Store_Record[[#This Row],[Date]],"mmmm")</f>
        <v>September</v>
      </c>
      <c r="N3340" s="5">
        <f>YEAR(Store_Record[[#This Row],[Date]])</f>
        <v>2025</v>
      </c>
      <c r="O3340"/>
    </row>
    <row r="3341" spans="1:15" x14ac:dyDescent="0.35">
      <c r="A3341" t="s">
        <v>4310</v>
      </c>
      <c r="B3341" s="2">
        <v>45902</v>
      </c>
      <c r="C3341" t="s">
        <v>36</v>
      </c>
      <c r="D3341" t="s">
        <v>29</v>
      </c>
      <c r="E3341" t="s">
        <v>42</v>
      </c>
      <c r="F3341" t="s">
        <v>13</v>
      </c>
      <c r="G3341">
        <v>2</v>
      </c>
      <c r="H3341">
        <v>3.8</v>
      </c>
      <c r="I3341" t="s">
        <v>21</v>
      </c>
      <c r="J3341" t="s">
        <v>1031</v>
      </c>
      <c r="K3341" s="12">
        <f>Store_Record[[#This Row],[Qty]]*Store_Record[[#This Row],[UnitPriceGBP]]</f>
        <v>7.6</v>
      </c>
      <c r="L3341" s="5" t="str">
        <f>TEXT(Store_Record[[#This Row],[Date]],"dddd")</f>
        <v>Tuesday</v>
      </c>
      <c r="M3341" s="5" t="str">
        <f>TEXT(Store_Record[[#This Row],[Date]],"mmmm")</f>
        <v>September</v>
      </c>
      <c r="N3341" s="5">
        <f>YEAR(Store_Record[[#This Row],[Date]])</f>
        <v>2025</v>
      </c>
      <c r="O3341"/>
    </row>
    <row r="3342" spans="1:15" x14ac:dyDescent="0.35">
      <c r="A3342" t="s">
        <v>4314</v>
      </c>
      <c r="B3342" s="2">
        <v>45902</v>
      </c>
      <c r="C3342" t="s">
        <v>24</v>
      </c>
      <c r="D3342" t="s">
        <v>38</v>
      </c>
      <c r="E3342" t="s">
        <v>42</v>
      </c>
      <c r="F3342" t="s">
        <v>13</v>
      </c>
      <c r="G3342">
        <v>2</v>
      </c>
      <c r="H3342">
        <v>3.8</v>
      </c>
      <c r="I3342" t="s">
        <v>21</v>
      </c>
      <c r="J3342" t="s">
        <v>1053</v>
      </c>
      <c r="K3342" s="12">
        <f>Store_Record[[#This Row],[Qty]]*Store_Record[[#This Row],[UnitPriceGBP]]</f>
        <v>7.6</v>
      </c>
      <c r="L3342" s="5" t="str">
        <f>TEXT(Store_Record[[#This Row],[Date]],"dddd")</f>
        <v>Tuesday</v>
      </c>
      <c r="M3342" s="5" t="str">
        <f>TEXT(Store_Record[[#This Row],[Date]],"mmmm")</f>
        <v>September</v>
      </c>
      <c r="N3342" s="5">
        <f>YEAR(Store_Record[[#This Row],[Date]])</f>
        <v>2025</v>
      </c>
      <c r="O3342"/>
    </row>
    <row r="3343" spans="1:15" x14ac:dyDescent="0.35">
      <c r="A3343" t="s">
        <v>4309</v>
      </c>
      <c r="B3343" s="2">
        <v>45902</v>
      </c>
      <c r="C3343" t="s">
        <v>24</v>
      </c>
      <c r="D3343" t="s">
        <v>38</v>
      </c>
      <c r="E3343" t="s">
        <v>34</v>
      </c>
      <c r="F3343" t="s">
        <v>31</v>
      </c>
      <c r="G3343">
        <v>3</v>
      </c>
      <c r="H3343">
        <v>2.2000000000000002</v>
      </c>
      <c r="I3343" t="s">
        <v>21</v>
      </c>
      <c r="J3343" t="s">
        <v>1848</v>
      </c>
      <c r="K3343" s="12">
        <f>Store_Record[[#This Row],[Qty]]*Store_Record[[#This Row],[UnitPriceGBP]]</f>
        <v>6.6000000000000005</v>
      </c>
      <c r="L3343" s="5" t="str">
        <f>TEXT(Store_Record[[#This Row],[Date]],"dddd")</f>
        <v>Tuesday</v>
      </c>
      <c r="M3343" s="5" t="str">
        <f>TEXT(Store_Record[[#This Row],[Date]],"mmmm")</f>
        <v>September</v>
      </c>
      <c r="N3343" s="5">
        <f>YEAR(Store_Record[[#This Row],[Date]])</f>
        <v>2025</v>
      </c>
      <c r="O3343"/>
    </row>
    <row r="3344" spans="1:15" x14ac:dyDescent="0.35">
      <c r="A3344" t="s">
        <v>4317</v>
      </c>
      <c r="B3344" s="2">
        <v>45902</v>
      </c>
      <c r="C3344" t="s">
        <v>20</v>
      </c>
      <c r="D3344" t="s">
        <v>11</v>
      </c>
      <c r="E3344" t="s">
        <v>34</v>
      </c>
      <c r="F3344" t="s">
        <v>31</v>
      </c>
      <c r="G3344">
        <v>3</v>
      </c>
      <c r="H3344">
        <v>2.2000000000000002</v>
      </c>
      <c r="I3344" t="s">
        <v>21</v>
      </c>
      <c r="J3344" t="s">
        <v>519</v>
      </c>
      <c r="K3344" s="12">
        <f>Store_Record[[#This Row],[Qty]]*Store_Record[[#This Row],[UnitPriceGBP]]</f>
        <v>6.6000000000000005</v>
      </c>
      <c r="L3344" s="5" t="str">
        <f>TEXT(Store_Record[[#This Row],[Date]],"dddd")</f>
        <v>Tuesday</v>
      </c>
      <c r="M3344" s="5" t="str">
        <f>TEXT(Store_Record[[#This Row],[Date]],"mmmm")</f>
        <v>September</v>
      </c>
      <c r="N3344" s="5">
        <f>YEAR(Store_Record[[#This Row],[Date]])</f>
        <v>2025</v>
      </c>
      <c r="O3344"/>
    </row>
    <row r="3345" spans="1:15" x14ac:dyDescent="0.35">
      <c r="A3345" t="s">
        <v>4321</v>
      </c>
      <c r="B3345" s="2">
        <v>45902</v>
      </c>
      <c r="C3345" t="s">
        <v>10</v>
      </c>
      <c r="D3345" t="s">
        <v>11</v>
      </c>
      <c r="E3345" t="s">
        <v>34</v>
      </c>
      <c r="F3345" t="s">
        <v>31</v>
      </c>
      <c r="G3345">
        <v>3</v>
      </c>
      <c r="H3345">
        <v>2.2000000000000002</v>
      </c>
      <c r="I3345" t="s">
        <v>14</v>
      </c>
      <c r="J3345" t="s">
        <v>811</v>
      </c>
      <c r="K3345" s="12">
        <f>Store_Record[[#This Row],[Qty]]*Store_Record[[#This Row],[UnitPriceGBP]]</f>
        <v>6.6000000000000005</v>
      </c>
      <c r="L3345" s="5" t="str">
        <f>TEXT(Store_Record[[#This Row],[Date]],"dddd")</f>
        <v>Tuesday</v>
      </c>
      <c r="M3345" s="5" t="str">
        <f>TEXT(Store_Record[[#This Row],[Date]],"mmmm")</f>
        <v>September</v>
      </c>
      <c r="N3345" s="5">
        <f>YEAR(Store_Record[[#This Row],[Date]])</f>
        <v>2025</v>
      </c>
      <c r="O3345"/>
    </row>
    <row r="3346" spans="1:15" x14ac:dyDescent="0.35">
      <c r="A3346" t="s">
        <v>4313</v>
      </c>
      <c r="B3346" s="2">
        <v>45902</v>
      </c>
      <c r="C3346" t="s">
        <v>20</v>
      </c>
      <c r="D3346" t="s">
        <v>38</v>
      </c>
      <c r="E3346" t="s">
        <v>30</v>
      </c>
      <c r="F3346" t="s">
        <v>31</v>
      </c>
      <c r="G3346">
        <v>2</v>
      </c>
      <c r="H3346">
        <v>2.8</v>
      </c>
      <c r="I3346" t="s">
        <v>21</v>
      </c>
      <c r="J3346" t="s">
        <v>1036</v>
      </c>
      <c r="K3346" s="12">
        <f>Store_Record[[#This Row],[Qty]]*Store_Record[[#This Row],[UnitPriceGBP]]</f>
        <v>5.6</v>
      </c>
      <c r="L3346" s="5" t="str">
        <f>TEXT(Store_Record[[#This Row],[Date]],"dddd")</f>
        <v>Tuesday</v>
      </c>
      <c r="M3346" s="5" t="str">
        <f>TEXT(Store_Record[[#This Row],[Date]],"mmmm")</f>
        <v>September</v>
      </c>
      <c r="N3346" s="5">
        <f>YEAR(Store_Record[[#This Row],[Date]])</f>
        <v>2025</v>
      </c>
      <c r="O3346"/>
    </row>
    <row r="3347" spans="1:15" x14ac:dyDescent="0.35">
      <c r="A3347" t="s">
        <v>4315</v>
      </c>
      <c r="B3347" s="2">
        <v>45902</v>
      </c>
      <c r="C3347" t="s">
        <v>36</v>
      </c>
      <c r="D3347" t="s">
        <v>11</v>
      </c>
      <c r="E3347" t="s">
        <v>30</v>
      </c>
      <c r="F3347" t="s">
        <v>31</v>
      </c>
      <c r="G3347">
        <v>2</v>
      </c>
      <c r="H3347">
        <v>2.8</v>
      </c>
      <c r="I3347" t="s">
        <v>14</v>
      </c>
      <c r="J3347" t="s">
        <v>3143</v>
      </c>
      <c r="K3347" s="12">
        <f>Store_Record[[#This Row],[Qty]]*Store_Record[[#This Row],[UnitPriceGBP]]</f>
        <v>5.6</v>
      </c>
      <c r="L3347" s="5" t="str">
        <f>TEXT(Store_Record[[#This Row],[Date]],"dddd")</f>
        <v>Tuesday</v>
      </c>
      <c r="M3347" s="5" t="str">
        <f>TEXT(Store_Record[[#This Row],[Date]],"mmmm")</f>
        <v>September</v>
      </c>
      <c r="N3347" s="5">
        <f>YEAR(Store_Record[[#This Row],[Date]])</f>
        <v>2025</v>
      </c>
      <c r="O3347"/>
    </row>
    <row r="3348" spans="1:15" x14ac:dyDescent="0.35">
      <c r="A3348" t="s">
        <v>4306</v>
      </c>
      <c r="B3348" s="2">
        <v>45902</v>
      </c>
      <c r="C3348" t="s">
        <v>36</v>
      </c>
      <c r="D3348" t="s">
        <v>29</v>
      </c>
      <c r="E3348" t="s">
        <v>12</v>
      </c>
      <c r="F3348" t="s">
        <v>13</v>
      </c>
      <c r="G3348">
        <v>2</v>
      </c>
      <c r="H3348">
        <v>2.5</v>
      </c>
      <c r="I3348" t="s">
        <v>39</v>
      </c>
      <c r="J3348" t="s">
        <v>1741</v>
      </c>
      <c r="K3348" s="12">
        <f>Store_Record[[#This Row],[Qty]]*Store_Record[[#This Row],[UnitPriceGBP]]</f>
        <v>5</v>
      </c>
      <c r="L3348" s="5" t="str">
        <f>TEXT(Store_Record[[#This Row],[Date]],"dddd")</f>
        <v>Tuesday</v>
      </c>
      <c r="M3348" s="5" t="str">
        <f>TEXT(Store_Record[[#This Row],[Date]],"mmmm")</f>
        <v>September</v>
      </c>
      <c r="N3348" s="5">
        <f>YEAR(Store_Record[[#This Row],[Date]])</f>
        <v>2025</v>
      </c>
      <c r="O3348"/>
    </row>
    <row r="3349" spans="1:15" x14ac:dyDescent="0.35">
      <c r="A3349" t="s">
        <v>4311</v>
      </c>
      <c r="B3349" s="2">
        <v>45902</v>
      </c>
      <c r="C3349" t="s">
        <v>36</v>
      </c>
      <c r="D3349" t="s">
        <v>47</v>
      </c>
      <c r="E3349" t="s">
        <v>26</v>
      </c>
      <c r="F3349" t="s">
        <v>13</v>
      </c>
      <c r="G3349">
        <v>1</v>
      </c>
      <c r="H3349">
        <v>3.5</v>
      </c>
      <c r="I3349" t="s">
        <v>39</v>
      </c>
      <c r="J3349" t="s">
        <v>2948</v>
      </c>
      <c r="K3349" s="12">
        <f>Store_Record[[#This Row],[Qty]]*Store_Record[[#This Row],[UnitPriceGBP]]</f>
        <v>3.5</v>
      </c>
      <c r="L3349" s="5" t="str">
        <f>TEXT(Store_Record[[#This Row],[Date]],"dddd")</f>
        <v>Tuesday</v>
      </c>
      <c r="M3349" s="5" t="str">
        <f>TEXT(Store_Record[[#This Row],[Date]],"mmmm")</f>
        <v>September</v>
      </c>
      <c r="N3349" s="5">
        <f>YEAR(Store_Record[[#This Row],[Date]])</f>
        <v>2025</v>
      </c>
      <c r="O3349"/>
    </row>
    <row r="3350" spans="1:15" x14ac:dyDescent="0.35">
      <c r="A3350" t="s">
        <v>4316</v>
      </c>
      <c r="B3350" s="2">
        <v>45902</v>
      </c>
      <c r="C3350" t="s">
        <v>10</v>
      </c>
      <c r="D3350" t="s">
        <v>29</v>
      </c>
      <c r="E3350" t="s">
        <v>30</v>
      </c>
      <c r="F3350" t="s">
        <v>31</v>
      </c>
      <c r="G3350">
        <v>1</v>
      </c>
      <c r="H3350">
        <v>2.8</v>
      </c>
      <c r="I3350" t="s">
        <v>14</v>
      </c>
      <c r="J3350" t="s">
        <v>1782</v>
      </c>
      <c r="K3350" s="12">
        <f>Store_Record[[#This Row],[Qty]]*Store_Record[[#This Row],[UnitPriceGBP]]</f>
        <v>2.8</v>
      </c>
      <c r="L3350" s="5" t="str">
        <f>TEXT(Store_Record[[#This Row],[Date]],"dddd")</f>
        <v>Tuesday</v>
      </c>
      <c r="M3350" s="5" t="str">
        <f>TEXT(Store_Record[[#This Row],[Date]],"mmmm")</f>
        <v>September</v>
      </c>
      <c r="N3350" s="5">
        <f>YEAR(Store_Record[[#This Row],[Date]])</f>
        <v>2025</v>
      </c>
      <c r="O3350"/>
    </row>
    <row r="3351" spans="1:15" x14ac:dyDescent="0.35">
      <c r="A3351" t="s">
        <v>4319</v>
      </c>
      <c r="B3351" s="2">
        <v>45902</v>
      </c>
      <c r="C3351" t="s">
        <v>10</v>
      </c>
      <c r="D3351" t="s">
        <v>47</v>
      </c>
      <c r="E3351" t="s">
        <v>12</v>
      </c>
      <c r="F3351" t="s">
        <v>13</v>
      </c>
      <c r="G3351">
        <v>1</v>
      </c>
      <c r="H3351">
        <v>2.5</v>
      </c>
      <c r="I3351" t="s">
        <v>21</v>
      </c>
      <c r="J3351" t="s">
        <v>1005</v>
      </c>
      <c r="K3351" s="12">
        <f>Store_Record[[#This Row],[Qty]]*Store_Record[[#This Row],[UnitPriceGBP]]</f>
        <v>2.5</v>
      </c>
      <c r="L3351" s="5" t="str">
        <f>TEXT(Store_Record[[#This Row],[Date]],"dddd")</f>
        <v>Tuesday</v>
      </c>
      <c r="M3351" s="5" t="str">
        <f>TEXT(Store_Record[[#This Row],[Date]],"mmmm")</f>
        <v>September</v>
      </c>
      <c r="N3351" s="5">
        <f>YEAR(Store_Record[[#This Row],[Date]])</f>
        <v>2025</v>
      </c>
      <c r="O3351"/>
    </row>
    <row r="3352" spans="1:15" x14ac:dyDescent="0.35">
      <c r="A3352" t="s">
        <v>4330</v>
      </c>
      <c r="B3352" s="2">
        <v>45903</v>
      </c>
      <c r="C3352" t="s">
        <v>20</v>
      </c>
      <c r="D3352" t="s">
        <v>38</v>
      </c>
      <c r="E3352" t="s">
        <v>42</v>
      </c>
      <c r="F3352" t="s">
        <v>13</v>
      </c>
      <c r="G3352">
        <v>5</v>
      </c>
      <c r="H3352">
        <v>3.8</v>
      </c>
      <c r="I3352" t="s">
        <v>14</v>
      </c>
      <c r="J3352" t="s">
        <v>1737</v>
      </c>
      <c r="K3352" s="12">
        <f>Store_Record[[#This Row],[Qty]]*Store_Record[[#This Row],[UnitPriceGBP]]</f>
        <v>19</v>
      </c>
      <c r="L3352" s="5" t="str">
        <f>TEXT(Store_Record[[#This Row],[Date]],"dddd")</f>
        <v>Wednesday</v>
      </c>
      <c r="M3352" s="5" t="str">
        <f>TEXT(Store_Record[[#This Row],[Date]],"mmmm")</f>
        <v>September</v>
      </c>
      <c r="N3352" s="5">
        <f>YEAR(Store_Record[[#This Row],[Date]])</f>
        <v>2025</v>
      </c>
      <c r="O3352"/>
    </row>
    <row r="3353" spans="1:15" x14ac:dyDescent="0.35">
      <c r="A3353" t="s">
        <v>4328</v>
      </c>
      <c r="B3353" s="2">
        <v>45903</v>
      </c>
      <c r="C3353" t="s">
        <v>36</v>
      </c>
      <c r="D3353" t="s">
        <v>47</v>
      </c>
      <c r="E3353" t="s">
        <v>42</v>
      </c>
      <c r="F3353" t="s">
        <v>13</v>
      </c>
      <c r="G3353">
        <v>4</v>
      </c>
      <c r="H3353">
        <v>3.8</v>
      </c>
      <c r="I3353" t="s">
        <v>39</v>
      </c>
      <c r="J3353" t="s">
        <v>3119</v>
      </c>
      <c r="K3353" s="12">
        <f>Store_Record[[#This Row],[Qty]]*Store_Record[[#This Row],[UnitPriceGBP]]</f>
        <v>15.2</v>
      </c>
      <c r="L3353" s="5" t="str">
        <f>TEXT(Store_Record[[#This Row],[Date]],"dddd")</f>
        <v>Wednesday</v>
      </c>
      <c r="M3353" s="5" t="str">
        <f>TEXT(Store_Record[[#This Row],[Date]],"mmmm")</f>
        <v>September</v>
      </c>
      <c r="N3353" s="5">
        <f>YEAR(Store_Record[[#This Row],[Date]])</f>
        <v>2025</v>
      </c>
      <c r="O3353"/>
    </row>
    <row r="3354" spans="1:15" x14ac:dyDescent="0.35">
      <c r="A3354" t="s">
        <v>4337</v>
      </c>
      <c r="B3354" s="2">
        <v>45903</v>
      </c>
      <c r="C3354" t="s">
        <v>20</v>
      </c>
      <c r="D3354" t="s">
        <v>11</v>
      </c>
      <c r="E3354" t="s">
        <v>30</v>
      </c>
      <c r="F3354" t="s">
        <v>31</v>
      </c>
      <c r="G3354">
        <v>5</v>
      </c>
      <c r="H3354">
        <v>2.8</v>
      </c>
      <c r="I3354" t="s">
        <v>14</v>
      </c>
      <c r="J3354" t="s">
        <v>2041</v>
      </c>
      <c r="K3354" s="12">
        <f>Store_Record[[#This Row],[Qty]]*Store_Record[[#This Row],[UnitPriceGBP]]</f>
        <v>14</v>
      </c>
      <c r="L3354" s="5" t="str">
        <f>TEXT(Store_Record[[#This Row],[Date]],"dddd")</f>
        <v>Wednesday</v>
      </c>
      <c r="M3354" s="5" t="str">
        <f>TEXT(Store_Record[[#This Row],[Date]],"mmmm")</f>
        <v>September</v>
      </c>
      <c r="N3354" s="5">
        <f>YEAR(Store_Record[[#This Row],[Date]])</f>
        <v>2025</v>
      </c>
      <c r="O3354"/>
    </row>
    <row r="3355" spans="1:15" x14ac:dyDescent="0.35">
      <c r="A3355" t="s">
        <v>4333</v>
      </c>
      <c r="B3355" s="2">
        <v>45903</v>
      </c>
      <c r="C3355" t="s">
        <v>10</v>
      </c>
      <c r="D3355" t="s">
        <v>11</v>
      </c>
      <c r="E3355" t="s">
        <v>42</v>
      </c>
      <c r="F3355" t="s">
        <v>13</v>
      </c>
      <c r="G3355">
        <v>3</v>
      </c>
      <c r="H3355">
        <v>3.8</v>
      </c>
      <c r="I3355" t="s">
        <v>14</v>
      </c>
      <c r="J3355" t="s">
        <v>834</v>
      </c>
      <c r="K3355" s="12">
        <f>Store_Record[[#This Row],[Qty]]*Store_Record[[#This Row],[UnitPriceGBP]]</f>
        <v>11.399999999999999</v>
      </c>
      <c r="L3355" s="5" t="str">
        <f>TEXT(Store_Record[[#This Row],[Date]],"dddd")</f>
        <v>Wednesday</v>
      </c>
      <c r="M3355" s="5" t="str">
        <f>TEXT(Store_Record[[#This Row],[Date]],"mmmm")</f>
        <v>September</v>
      </c>
      <c r="N3355" s="5">
        <f>YEAR(Store_Record[[#This Row],[Date]])</f>
        <v>2025</v>
      </c>
      <c r="O3355"/>
    </row>
    <row r="3356" spans="1:15" x14ac:dyDescent="0.35">
      <c r="A3356" t="s">
        <v>4323</v>
      </c>
      <c r="B3356" s="2">
        <v>45903</v>
      </c>
      <c r="C3356" t="s">
        <v>20</v>
      </c>
      <c r="D3356" t="s">
        <v>47</v>
      </c>
      <c r="E3356" t="s">
        <v>30</v>
      </c>
      <c r="F3356" t="s">
        <v>31</v>
      </c>
      <c r="G3356">
        <v>4</v>
      </c>
      <c r="H3356">
        <v>2.8</v>
      </c>
      <c r="I3356" t="s">
        <v>21</v>
      </c>
      <c r="J3356" t="s">
        <v>1175</v>
      </c>
      <c r="K3356" s="12">
        <f>Store_Record[[#This Row],[Qty]]*Store_Record[[#This Row],[UnitPriceGBP]]</f>
        <v>11.2</v>
      </c>
      <c r="L3356" s="5" t="str">
        <f>TEXT(Store_Record[[#This Row],[Date]],"dddd")</f>
        <v>Wednesday</v>
      </c>
      <c r="M3356" s="5" t="str">
        <f>TEXT(Store_Record[[#This Row],[Date]],"mmmm")</f>
        <v>September</v>
      </c>
      <c r="N3356" s="5">
        <f>YEAR(Store_Record[[#This Row],[Date]])</f>
        <v>2025</v>
      </c>
      <c r="O3356"/>
    </row>
    <row r="3357" spans="1:15" x14ac:dyDescent="0.35">
      <c r="A3357" t="s">
        <v>4332</v>
      </c>
      <c r="B3357" s="2">
        <v>45903</v>
      </c>
      <c r="C3357" t="s">
        <v>36</v>
      </c>
      <c r="D3357" t="s">
        <v>11</v>
      </c>
      <c r="E3357" t="s">
        <v>34</v>
      </c>
      <c r="F3357" t="s">
        <v>31</v>
      </c>
      <c r="G3357">
        <v>5</v>
      </c>
      <c r="H3357">
        <v>2.2000000000000002</v>
      </c>
      <c r="I3357" t="s">
        <v>14</v>
      </c>
      <c r="J3357" t="s">
        <v>140</v>
      </c>
      <c r="K3357" s="12">
        <f>Store_Record[[#This Row],[Qty]]*Store_Record[[#This Row],[UnitPriceGBP]]</f>
        <v>11</v>
      </c>
      <c r="L3357" s="5" t="str">
        <f>TEXT(Store_Record[[#This Row],[Date]],"dddd")</f>
        <v>Wednesday</v>
      </c>
      <c r="M3357" s="5" t="str">
        <f>TEXT(Store_Record[[#This Row],[Date]],"mmmm")</f>
        <v>September</v>
      </c>
      <c r="N3357" s="5">
        <f>YEAR(Store_Record[[#This Row],[Date]])</f>
        <v>2025</v>
      </c>
      <c r="O3357"/>
    </row>
    <row r="3358" spans="1:15" x14ac:dyDescent="0.35">
      <c r="A3358" t="s">
        <v>4325</v>
      </c>
      <c r="B3358" s="2">
        <v>45903</v>
      </c>
      <c r="C3358" t="s">
        <v>24</v>
      </c>
      <c r="D3358" t="s">
        <v>47</v>
      </c>
      <c r="E3358" t="s">
        <v>26</v>
      </c>
      <c r="F3358" t="s">
        <v>13</v>
      </c>
      <c r="G3358">
        <v>3</v>
      </c>
      <c r="H3358">
        <v>3.5</v>
      </c>
      <c r="I3358" t="s">
        <v>14</v>
      </c>
      <c r="J3358" t="s">
        <v>97</v>
      </c>
      <c r="K3358" s="12">
        <f>Store_Record[[#This Row],[Qty]]*Store_Record[[#This Row],[UnitPriceGBP]]</f>
        <v>10.5</v>
      </c>
      <c r="L3358" s="5" t="str">
        <f>TEXT(Store_Record[[#This Row],[Date]],"dddd")</f>
        <v>Wednesday</v>
      </c>
      <c r="M3358" s="5" t="str">
        <f>TEXT(Store_Record[[#This Row],[Date]],"mmmm")</f>
        <v>September</v>
      </c>
      <c r="N3358" s="5">
        <f>YEAR(Store_Record[[#This Row],[Date]])</f>
        <v>2025</v>
      </c>
      <c r="O3358"/>
    </row>
    <row r="3359" spans="1:15" x14ac:dyDescent="0.35">
      <c r="A3359" t="s">
        <v>4335</v>
      </c>
      <c r="B3359" s="2">
        <v>45903</v>
      </c>
      <c r="C3359" t="s">
        <v>36</v>
      </c>
      <c r="D3359" t="s">
        <v>25</v>
      </c>
      <c r="E3359" t="s">
        <v>34</v>
      </c>
      <c r="F3359" t="s">
        <v>31</v>
      </c>
      <c r="G3359">
        <v>4</v>
      </c>
      <c r="H3359">
        <v>2.2000000000000002</v>
      </c>
      <c r="I3359" t="s">
        <v>21</v>
      </c>
      <c r="J3359" t="s">
        <v>2374</v>
      </c>
      <c r="K3359" s="12">
        <f>Store_Record[[#This Row],[Qty]]*Store_Record[[#This Row],[UnitPriceGBP]]</f>
        <v>8.8000000000000007</v>
      </c>
      <c r="L3359" s="5" t="str">
        <f>TEXT(Store_Record[[#This Row],[Date]],"dddd")</f>
        <v>Wednesday</v>
      </c>
      <c r="M3359" s="5" t="str">
        <f>TEXT(Store_Record[[#This Row],[Date]],"mmmm")</f>
        <v>September</v>
      </c>
      <c r="N3359" s="5">
        <f>YEAR(Store_Record[[#This Row],[Date]])</f>
        <v>2025</v>
      </c>
      <c r="O3359"/>
    </row>
    <row r="3360" spans="1:15" x14ac:dyDescent="0.35">
      <c r="A3360" t="s">
        <v>4324</v>
      </c>
      <c r="B3360" s="2">
        <v>45903</v>
      </c>
      <c r="C3360" t="s">
        <v>20</v>
      </c>
      <c r="D3360" t="s">
        <v>25</v>
      </c>
      <c r="E3360" t="s">
        <v>30</v>
      </c>
      <c r="F3360" t="s">
        <v>31</v>
      </c>
      <c r="G3360">
        <v>3</v>
      </c>
      <c r="H3360">
        <v>2.8</v>
      </c>
      <c r="I3360" t="s">
        <v>21</v>
      </c>
      <c r="J3360" t="s">
        <v>532</v>
      </c>
      <c r="K3360" s="12">
        <f>Store_Record[[#This Row],[Qty]]*Store_Record[[#This Row],[UnitPriceGBP]]</f>
        <v>8.3999999999999986</v>
      </c>
      <c r="L3360" s="5" t="str">
        <f>TEXT(Store_Record[[#This Row],[Date]],"dddd")</f>
        <v>Wednesday</v>
      </c>
      <c r="M3360" s="5" t="str">
        <f>TEXT(Store_Record[[#This Row],[Date]],"mmmm")</f>
        <v>September</v>
      </c>
      <c r="N3360" s="5">
        <f>YEAR(Store_Record[[#This Row],[Date]])</f>
        <v>2025</v>
      </c>
      <c r="O3360"/>
    </row>
    <row r="3361" spans="1:15" x14ac:dyDescent="0.35">
      <c r="A3361" t="s">
        <v>4326</v>
      </c>
      <c r="B3361" s="2">
        <v>45903</v>
      </c>
      <c r="C3361" t="s">
        <v>24</v>
      </c>
      <c r="D3361" t="s">
        <v>38</v>
      </c>
      <c r="E3361" t="s">
        <v>30</v>
      </c>
      <c r="F3361" t="s">
        <v>31</v>
      </c>
      <c r="G3361">
        <v>3</v>
      </c>
      <c r="H3361">
        <v>2.8</v>
      </c>
      <c r="I3361" t="s">
        <v>21</v>
      </c>
      <c r="J3361" t="s">
        <v>1434</v>
      </c>
      <c r="K3361" s="12">
        <f>Store_Record[[#This Row],[Qty]]*Store_Record[[#This Row],[UnitPriceGBP]]</f>
        <v>8.3999999999999986</v>
      </c>
      <c r="L3361" s="5" t="str">
        <f>TEXT(Store_Record[[#This Row],[Date]],"dddd")</f>
        <v>Wednesday</v>
      </c>
      <c r="M3361" s="5" t="str">
        <f>TEXT(Store_Record[[#This Row],[Date]],"mmmm")</f>
        <v>September</v>
      </c>
      <c r="N3361" s="5">
        <f>YEAR(Store_Record[[#This Row],[Date]])</f>
        <v>2025</v>
      </c>
      <c r="O3361"/>
    </row>
    <row r="3362" spans="1:15" x14ac:dyDescent="0.35">
      <c r="A3362" t="s">
        <v>4336</v>
      </c>
      <c r="B3362" s="2">
        <v>45903</v>
      </c>
      <c r="C3362" t="s">
        <v>10</v>
      </c>
      <c r="D3362" t="s">
        <v>47</v>
      </c>
      <c r="E3362" t="s">
        <v>30</v>
      </c>
      <c r="F3362" t="s">
        <v>31</v>
      </c>
      <c r="G3362">
        <v>3</v>
      </c>
      <c r="H3362">
        <v>2.8</v>
      </c>
      <c r="I3362" t="s">
        <v>21</v>
      </c>
      <c r="J3362" t="s">
        <v>1497</v>
      </c>
      <c r="K3362" s="12">
        <f>Store_Record[[#This Row],[Qty]]*Store_Record[[#This Row],[UnitPriceGBP]]</f>
        <v>8.3999999999999986</v>
      </c>
      <c r="L3362" s="5" t="str">
        <f>TEXT(Store_Record[[#This Row],[Date]],"dddd")</f>
        <v>Wednesday</v>
      </c>
      <c r="M3362" s="5" t="str">
        <f>TEXT(Store_Record[[#This Row],[Date]],"mmmm")</f>
        <v>September</v>
      </c>
      <c r="N3362" s="5">
        <f>YEAR(Store_Record[[#This Row],[Date]])</f>
        <v>2025</v>
      </c>
      <c r="O3362"/>
    </row>
    <row r="3363" spans="1:15" x14ac:dyDescent="0.35">
      <c r="A3363" t="s">
        <v>4322</v>
      </c>
      <c r="B3363" s="2">
        <v>45903</v>
      </c>
      <c r="C3363" t="s">
        <v>36</v>
      </c>
      <c r="D3363" t="s">
        <v>11</v>
      </c>
      <c r="E3363" t="s">
        <v>12</v>
      </c>
      <c r="F3363" t="s">
        <v>13</v>
      </c>
      <c r="G3363">
        <v>3</v>
      </c>
      <c r="H3363">
        <v>2.5</v>
      </c>
      <c r="I3363" t="s">
        <v>39</v>
      </c>
      <c r="J3363" t="s">
        <v>1000</v>
      </c>
      <c r="K3363" s="12">
        <f>Store_Record[[#This Row],[Qty]]*Store_Record[[#This Row],[UnitPriceGBP]]</f>
        <v>7.5</v>
      </c>
      <c r="L3363" s="5" t="str">
        <f>TEXT(Store_Record[[#This Row],[Date]],"dddd")</f>
        <v>Wednesday</v>
      </c>
      <c r="M3363" s="5" t="str">
        <f>TEXT(Store_Record[[#This Row],[Date]],"mmmm")</f>
        <v>September</v>
      </c>
      <c r="N3363" s="5">
        <f>YEAR(Store_Record[[#This Row],[Date]])</f>
        <v>2025</v>
      </c>
      <c r="O3363"/>
    </row>
    <row r="3364" spans="1:15" x14ac:dyDescent="0.35">
      <c r="A3364" t="s">
        <v>4334</v>
      </c>
      <c r="B3364" s="2">
        <v>45903</v>
      </c>
      <c r="C3364" t="s">
        <v>10</v>
      </c>
      <c r="D3364" t="s">
        <v>47</v>
      </c>
      <c r="E3364" t="s">
        <v>12</v>
      </c>
      <c r="F3364" t="s">
        <v>13</v>
      </c>
      <c r="G3364">
        <v>3</v>
      </c>
      <c r="H3364">
        <v>2.5</v>
      </c>
      <c r="I3364" t="s">
        <v>14</v>
      </c>
      <c r="J3364" t="s">
        <v>943</v>
      </c>
      <c r="K3364" s="12">
        <f>Store_Record[[#This Row],[Qty]]*Store_Record[[#This Row],[UnitPriceGBP]]</f>
        <v>7.5</v>
      </c>
      <c r="L3364" s="5" t="str">
        <f>TEXT(Store_Record[[#This Row],[Date]],"dddd")</f>
        <v>Wednesday</v>
      </c>
      <c r="M3364" s="5" t="str">
        <f>TEXT(Store_Record[[#This Row],[Date]],"mmmm")</f>
        <v>September</v>
      </c>
      <c r="N3364" s="5">
        <f>YEAR(Store_Record[[#This Row],[Date]])</f>
        <v>2025</v>
      </c>
      <c r="O3364"/>
    </row>
    <row r="3365" spans="1:15" x14ac:dyDescent="0.35">
      <c r="A3365" t="s">
        <v>4327</v>
      </c>
      <c r="B3365" s="2">
        <v>45903</v>
      </c>
      <c r="C3365" t="s">
        <v>10</v>
      </c>
      <c r="D3365" t="s">
        <v>29</v>
      </c>
      <c r="E3365" t="s">
        <v>26</v>
      </c>
      <c r="F3365" t="s">
        <v>13</v>
      </c>
      <c r="G3365">
        <v>2</v>
      </c>
      <c r="H3365">
        <v>3.5</v>
      </c>
      <c r="I3365" t="s">
        <v>39</v>
      </c>
      <c r="J3365" t="s">
        <v>121</v>
      </c>
      <c r="K3365" s="12">
        <f>Store_Record[[#This Row],[Qty]]*Store_Record[[#This Row],[UnitPriceGBP]]</f>
        <v>7</v>
      </c>
      <c r="L3365" s="5" t="str">
        <f>TEXT(Store_Record[[#This Row],[Date]],"dddd")</f>
        <v>Wednesday</v>
      </c>
      <c r="M3365" s="5" t="str">
        <f>TEXT(Store_Record[[#This Row],[Date]],"mmmm")</f>
        <v>September</v>
      </c>
      <c r="N3365" s="5">
        <f>YEAR(Store_Record[[#This Row],[Date]])</f>
        <v>2025</v>
      </c>
      <c r="O3365"/>
    </row>
    <row r="3366" spans="1:15" x14ac:dyDescent="0.35">
      <c r="A3366" t="s">
        <v>4329</v>
      </c>
      <c r="B3366" s="2">
        <v>45903</v>
      </c>
      <c r="C3366" t="s">
        <v>20</v>
      </c>
      <c r="D3366" t="s">
        <v>11</v>
      </c>
      <c r="E3366" t="s">
        <v>34</v>
      </c>
      <c r="F3366" t="s">
        <v>31</v>
      </c>
      <c r="G3366">
        <v>3</v>
      </c>
      <c r="H3366">
        <v>2.2000000000000002</v>
      </c>
      <c r="I3366" t="s">
        <v>14</v>
      </c>
      <c r="J3366" t="s">
        <v>972</v>
      </c>
      <c r="K3366" s="12">
        <f>Store_Record[[#This Row],[Qty]]*Store_Record[[#This Row],[UnitPriceGBP]]</f>
        <v>6.6000000000000005</v>
      </c>
      <c r="L3366" s="5" t="str">
        <f>TEXT(Store_Record[[#This Row],[Date]],"dddd")</f>
        <v>Wednesday</v>
      </c>
      <c r="M3366" s="5" t="str">
        <f>TEXT(Store_Record[[#This Row],[Date]],"mmmm")</f>
        <v>September</v>
      </c>
      <c r="N3366" s="5">
        <f>YEAR(Store_Record[[#This Row],[Date]])</f>
        <v>2025</v>
      </c>
      <c r="O3366"/>
    </row>
    <row r="3367" spans="1:15" x14ac:dyDescent="0.35">
      <c r="A3367" t="s">
        <v>4338</v>
      </c>
      <c r="B3367" s="2">
        <v>45903</v>
      </c>
      <c r="C3367" t="s">
        <v>36</v>
      </c>
      <c r="D3367" t="s">
        <v>38</v>
      </c>
      <c r="E3367" t="s">
        <v>34</v>
      </c>
      <c r="F3367" t="s">
        <v>31</v>
      </c>
      <c r="G3367">
        <v>2</v>
      </c>
      <c r="H3367">
        <v>2.2000000000000002</v>
      </c>
      <c r="I3367" t="s">
        <v>21</v>
      </c>
      <c r="J3367" t="s">
        <v>1596</v>
      </c>
      <c r="K3367" s="12">
        <f>Store_Record[[#This Row],[Qty]]*Store_Record[[#This Row],[UnitPriceGBP]]</f>
        <v>4.4000000000000004</v>
      </c>
      <c r="L3367" s="5" t="str">
        <f>TEXT(Store_Record[[#This Row],[Date]],"dddd")</f>
        <v>Wednesday</v>
      </c>
      <c r="M3367" s="5" t="str">
        <f>TEXT(Store_Record[[#This Row],[Date]],"mmmm")</f>
        <v>September</v>
      </c>
      <c r="N3367" s="5">
        <f>YEAR(Store_Record[[#This Row],[Date]])</f>
        <v>2025</v>
      </c>
      <c r="O3367"/>
    </row>
    <row r="3368" spans="1:15" x14ac:dyDescent="0.35">
      <c r="A3368" t="s">
        <v>4331</v>
      </c>
      <c r="B3368" s="2">
        <v>45903</v>
      </c>
      <c r="C3368" t="s">
        <v>20</v>
      </c>
      <c r="D3368" t="s">
        <v>29</v>
      </c>
      <c r="E3368" t="s">
        <v>34</v>
      </c>
      <c r="F3368" t="s">
        <v>31</v>
      </c>
      <c r="G3368">
        <v>1</v>
      </c>
      <c r="H3368">
        <v>2.2000000000000002</v>
      </c>
      <c r="I3368" t="s">
        <v>39</v>
      </c>
      <c r="J3368" t="s">
        <v>1477</v>
      </c>
      <c r="K3368" s="12">
        <f>Store_Record[[#This Row],[Qty]]*Store_Record[[#This Row],[UnitPriceGBP]]</f>
        <v>2.2000000000000002</v>
      </c>
      <c r="L3368" s="5" t="str">
        <f>TEXT(Store_Record[[#This Row],[Date]],"dddd")</f>
        <v>Wednesday</v>
      </c>
      <c r="M3368" s="5" t="str">
        <f>TEXT(Store_Record[[#This Row],[Date]],"mmmm")</f>
        <v>September</v>
      </c>
      <c r="N3368" s="5">
        <f>YEAR(Store_Record[[#This Row],[Date]])</f>
        <v>2025</v>
      </c>
      <c r="O3368"/>
    </row>
    <row r="3369" spans="1:15" x14ac:dyDescent="0.35">
      <c r="A3369" t="s">
        <v>4347</v>
      </c>
      <c r="B3369" s="2">
        <v>45904</v>
      </c>
      <c r="C3369" t="s">
        <v>36</v>
      </c>
      <c r="D3369" t="s">
        <v>25</v>
      </c>
      <c r="E3369" t="s">
        <v>42</v>
      </c>
      <c r="F3369" t="s">
        <v>13</v>
      </c>
      <c r="G3369">
        <v>5</v>
      </c>
      <c r="H3369">
        <v>3.8</v>
      </c>
      <c r="I3369" t="s">
        <v>14</v>
      </c>
      <c r="J3369" t="s">
        <v>2130</v>
      </c>
      <c r="K3369" s="12">
        <f>Store_Record[[#This Row],[Qty]]*Store_Record[[#This Row],[UnitPriceGBP]]</f>
        <v>19</v>
      </c>
      <c r="L3369" s="5" t="str">
        <f>TEXT(Store_Record[[#This Row],[Date]],"dddd")</f>
        <v>Thursday</v>
      </c>
      <c r="M3369" s="5" t="str">
        <f>TEXT(Store_Record[[#This Row],[Date]],"mmmm")</f>
        <v>September</v>
      </c>
      <c r="N3369" s="5">
        <f>YEAR(Store_Record[[#This Row],[Date]])</f>
        <v>2025</v>
      </c>
      <c r="O3369"/>
    </row>
    <row r="3370" spans="1:15" x14ac:dyDescent="0.35">
      <c r="A3370" t="s">
        <v>4339</v>
      </c>
      <c r="B3370" s="2">
        <v>45904</v>
      </c>
      <c r="C3370" t="s">
        <v>10</v>
      </c>
      <c r="D3370" t="s">
        <v>47</v>
      </c>
      <c r="E3370" t="s">
        <v>26</v>
      </c>
      <c r="F3370" t="s">
        <v>13</v>
      </c>
      <c r="G3370">
        <v>5</v>
      </c>
      <c r="H3370">
        <v>3.5</v>
      </c>
      <c r="I3370" t="s">
        <v>21</v>
      </c>
      <c r="J3370" t="s">
        <v>1230</v>
      </c>
      <c r="K3370" s="12">
        <f>Store_Record[[#This Row],[Qty]]*Store_Record[[#This Row],[UnitPriceGBP]]</f>
        <v>17.5</v>
      </c>
      <c r="L3370" s="5" t="str">
        <f>TEXT(Store_Record[[#This Row],[Date]],"dddd")</f>
        <v>Thursday</v>
      </c>
      <c r="M3370" s="5" t="str">
        <f>TEXT(Store_Record[[#This Row],[Date]],"mmmm")</f>
        <v>September</v>
      </c>
      <c r="N3370" s="5">
        <f>YEAR(Store_Record[[#This Row],[Date]])</f>
        <v>2025</v>
      </c>
      <c r="O3370"/>
    </row>
    <row r="3371" spans="1:15" x14ac:dyDescent="0.35">
      <c r="A3371" t="s">
        <v>4340</v>
      </c>
      <c r="B3371" s="2">
        <v>45904</v>
      </c>
      <c r="C3371" t="s">
        <v>24</v>
      </c>
      <c r="D3371" t="s">
        <v>25</v>
      </c>
      <c r="E3371" t="s">
        <v>30</v>
      </c>
      <c r="F3371" t="s">
        <v>31</v>
      </c>
      <c r="G3371">
        <v>5</v>
      </c>
      <c r="H3371">
        <v>2.8</v>
      </c>
      <c r="I3371" t="s">
        <v>14</v>
      </c>
      <c r="J3371" t="s">
        <v>135</v>
      </c>
      <c r="K3371" s="12">
        <f>Store_Record[[#This Row],[Qty]]*Store_Record[[#This Row],[UnitPriceGBP]]</f>
        <v>14</v>
      </c>
      <c r="L3371" s="5" t="str">
        <f>TEXT(Store_Record[[#This Row],[Date]],"dddd")</f>
        <v>Thursday</v>
      </c>
      <c r="M3371" s="5" t="str">
        <f>TEXT(Store_Record[[#This Row],[Date]],"mmmm")</f>
        <v>September</v>
      </c>
      <c r="N3371" s="5">
        <f>YEAR(Store_Record[[#This Row],[Date]])</f>
        <v>2025</v>
      </c>
      <c r="O3371"/>
    </row>
    <row r="3372" spans="1:15" x14ac:dyDescent="0.35">
      <c r="A3372" t="s">
        <v>4344</v>
      </c>
      <c r="B3372" s="2">
        <v>45904</v>
      </c>
      <c r="C3372" t="s">
        <v>10</v>
      </c>
      <c r="D3372" t="s">
        <v>29</v>
      </c>
      <c r="E3372" t="s">
        <v>26</v>
      </c>
      <c r="F3372" t="s">
        <v>13</v>
      </c>
      <c r="G3372">
        <v>4</v>
      </c>
      <c r="H3372">
        <v>3.5</v>
      </c>
      <c r="I3372" t="s">
        <v>21</v>
      </c>
      <c r="J3372" t="s">
        <v>225</v>
      </c>
      <c r="K3372" s="12">
        <f>Store_Record[[#This Row],[Qty]]*Store_Record[[#This Row],[UnitPriceGBP]]</f>
        <v>14</v>
      </c>
      <c r="L3372" s="5" t="str">
        <f>TEXT(Store_Record[[#This Row],[Date]],"dddd")</f>
        <v>Thursday</v>
      </c>
      <c r="M3372" s="5" t="str">
        <f>TEXT(Store_Record[[#This Row],[Date]],"mmmm")</f>
        <v>September</v>
      </c>
      <c r="N3372" s="5">
        <f>YEAR(Store_Record[[#This Row],[Date]])</f>
        <v>2025</v>
      </c>
      <c r="O3372"/>
    </row>
    <row r="3373" spans="1:15" x14ac:dyDescent="0.35">
      <c r="A3373" t="s">
        <v>4342</v>
      </c>
      <c r="B3373" s="2">
        <v>45904</v>
      </c>
      <c r="C3373" t="s">
        <v>20</v>
      </c>
      <c r="D3373" t="s">
        <v>38</v>
      </c>
      <c r="E3373" t="s">
        <v>12</v>
      </c>
      <c r="F3373" t="s">
        <v>13</v>
      </c>
      <c r="G3373">
        <v>5</v>
      </c>
      <c r="H3373">
        <v>2.5</v>
      </c>
      <c r="I3373" t="s">
        <v>14</v>
      </c>
      <c r="J3373" t="s">
        <v>497</v>
      </c>
      <c r="K3373" s="12">
        <f>Store_Record[[#This Row],[Qty]]*Store_Record[[#This Row],[UnitPriceGBP]]</f>
        <v>12.5</v>
      </c>
      <c r="L3373" s="5" t="str">
        <f>TEXT(Store_Record[[#This Row],[Date]],"dddd")</f>
        <v>Thursday</v>
      </c>
      <c r="M3373" s="5" t="str">
        <f>TEXT(Store_Record[[#This Row],[Date]],"mmmm")</f>
        <v>September</v>
      </c>
      <c r="N3373" s="5">
        <f>YEAR(Store_Record[[#This Row],[Date]])</f>
        <v>2025</v>
      </c>
      <c r="O3373"/>
    </row>
    <row r="3374" spans="1:15" x14ac:dyDescent="0.35">
      <c r="A3374" t="s">
        <v>4346</v>
      </c>
      <c r="B3374" s="2">
        <v>45904</v>
      </c>
      <c r="C3374" t="s">
        <v>24</v>
      </c>
      <c r="D3374" t="s">
        <v>25</v>
      </c>
      <c r="E3374" t="s">
        <v>12</v>
      </c>
      <c r="F3374" t="s">
        <v>13</v>
      </c>
      <c r="G3374">
        <v>5</v>
      </c>
      <c r="H3374">
        <v>2.5</v>
      </c>
      <c r="I3374" t="s">
        <v>21</v>
      </c>
      <c r="J3374" t="s">
        <v>759</v>
      </c>
      <c r="K3374" s="12">
        <f>Store_Record[[#This Row],[Qty]]*Store_Record[[#This Row],[UnitPriceGBP]]</f>
        <v>12.5</v>
      </c>
      <c r="L3374" s="5" t="str">
        <f>TEXT(Store_Record[[#This Row],[Date]],"dddd")</f>
        <v>Thursday</v>
      </c>
      <c r="M3374" s="5" t="str">
        <f>TEXT(Store_Record[[#This Row],[Date]],"mmmm")</f>
        <v>September</v>
      </c>
      <c r="N3374" s="5">
        <f>YEAR(Store_Record[[#This Row],[Date]])</f>
        <v>2025</v>
      </c>
      <c r="O3374"/>
    </row>
    <row r="3375" spans="1:15" x14ac:dyDescent="0.35">
      <c r="A3375" t="s">
        <v>4348</v>
      </c>
      <c r="B3375" s="2">
        <v>45904</v>
      </c>
      <c r="C3375" t="s">
        <v>10</v>
      </c>
      <c r="D3375" t="s">
        <v>25</v>
      </c>
      <c r="E3375" t="s">
        <v>34</v>
      </c>
      <c r="F3375" t="s">
        <v>31</v>
      </c>
      <c r="G3375">
        <v>4</v>
      </c>
      <c r="H3375">
        <v>2.2000000000000002</v>
      </c>
      <c r="I3375" t="s">
        <v>21</v>
      </c>
      <c r="J3375" t="s">
        <v>1890</v>
      </c>
      <c r="K3375" s="12">
        <f>Store_Record[[#This Row],[Qty]]*Store_Record[[#This Row],[UnitPriceGBP]]</f>
        <v>8.8000000000000007</v>
      </c>
      <c r="L3375" s="5" t="str">
        <f>TEXT(Store_Record[[#This Row],[Date]],"dddd")</f>
        <v>Thursday</v>
      </c>
      <c r="M3375" s="5" t="str">
        <f>TEXT(Store_Record[[#This Row],[Date]],"mmmm")</f>
        <v>September</v>
      </c>
      <c r="N3375" s="5">
        <f>YEAR(Store_Record[[#This Row],[Date]])</f>
        <v>2025</v>
      </c>
      <c r="O3375"/>
    </row>
    <row r="3376" spans="1:15" x14ac:dyDescent="0.35">
      <c r="A3376" t="s">
        <v>4349</v>
      </c>
      <c r="B3376" s="2">
        <v>45904</v>
      </c>
      <c r="C3376" t="s">
        <v>24</v>
      </c>
      <c r="D3376" t="s">
        <v>29</v>
      </c>
      <c r="E3376" t="s">
        <v>12</v>
      </c>
      <c r="F3376" t="s">
        <v>13</v>
      </c>
      <c r="G3376">
        <v>3</v>
      </c>
      <c r="H3376">
        <v>2.5</v>
      </c>
      <c r="I3376" t="s">
        <v>21</v>
      </c>
      <c r="J3376" t="s">
        <v>1372</v>
      </c>
      <c r="K3376" s="12">
        <f>Store_Record[[#This Row],[Qty]]*Store_Record[[#This Row],[UnitPriceGBP]]</f>
        <v>7.5</v>
      </c>
      <c r="L3376" s="5" t="str">
        <f>TEXT(Store_Record[[#This Row],[Date]],"dddd")</f>
        <v>Thursday</v>
      </c>
      <c r="M3376" s="5" t="str">
        <f>TEXT(Store_Record[[#This Row],[Date]],"mmmm")</f>
        <v>September</v>
      </c>
      <c r="N3376" s="5">
        <f>YEAR(Store_Record[[#This Row],[Date]])</f>
        <v>2025</v>
      </c>
      <c r="O3376"/>
    </row>
    <row r="3377" spans="1:15" x14ac:dyDescent="0.35">
      <c r="A3377" t="s">
        <v>4343</v>
      </c>
      <c r="B3377" s="2">
        <v>45904</v>
      </c>
      <c r="C3377" t="s">
        <v>24</v>
      </c>
      <c r="D3377" t="s">
        <v>29</v>
      </c>
      <c r="E3377" t="s">
        <v>30</v>
      </c>
      <c r="F3377" t="s">
        <v>31</v>
      </c>
      <c r="G3377">
        <v>2</v>
      </c>
      <c r="H3377">
        <v>2.8</v>
      </c>
      <c r="I3377" t="s">
        <v>21</v>
      </c>
      <c r="J3377" t="s">
        <v>890</v>
      </c>
      <c r="K3377" s="12">
        <f>Store_Record[[#This Row],[Qty]]*Store_Record[[#This Row],[UnitPriceGBP]]</f>
        <v>5.6</v>
      </c>
      <c r="L3377" s="5" t="str">
        <f>TEXT(Store_Record[[#This Row],[Date]],"dddd")</f>
        <v>Thursday</v>
      </c>
      <c r="M3377" s="5" t="str">
        <f>TEXT(Store_Record[[#This Row],[Date]],"mmmm")</f>
        <v>September</v>
      </c>
      <c r="N3377" s="5">
        <f>YEAR(Store_Record[[#This Row],[Date]])</f>
        <v>2025</v>
      </c>
      <c r="O3377"/>
    </row>
    <row r="3378" spans="1:15" x14ac:dyDescent="0.35">
      <c r="A3378" t="s">
        <v>4341</v>
      </c>
      <c r="B3378" s="2">
        <v>45904</v>
      </c>
      <c r="C3378" t="s">
        <v>10</v>
      </c>
      <c r="D3378" t="s">
        <v>47</v>
      </c>
      <c r="E3378" t="s">
        <v>12</v>
      </c>
      <c r="F3378" t="s">
        <v>13</v>
      </c>
      <c r="G3378">
        <v>2</v>
      </c>
      <c r="H3378">
        <v>2.5</v>
      </c>
      <c r="I3378" t="s">
        <v>21</v>
      </c>
      <c r="J3378" t="s">
        <v>1173</v>
      </c>
      <c r="K3378" s="12">
        <f>Store_Record[[#This Row],[Qty]]*Store_Record[[#This Row],[UnitPriceGBP]]</f>
        <v>5</v>
      </c>
      <c r="L3378" s="5" t="str">
        <f>TEXT(Store_Record[[#This Row],[Date]],"dddd")</f>
        <v>Thursday</v>
      </c>
      <c r="M3378" s="5" t="str">
        <f>TEXT(Store_Record[[#This Row],[Date]],"mmmm")</f>
        <v>September</v>
      </c>
      <c r="N3378" s="5">
        <f>YEAR(Store_Record[[#This Row],[Date]])</f>
        <v>2025</v>
      </c>
      <c r="O3378"/>
    </row>
    <row r="3379" spans="1:15" x14ac:dyDescent="0.35">
      <c r="A3379" t="s">
        <v>4350</v>
      </c>
      <c r="B3379" s="2">
        <v>45904</v>
      </c>
      <c r="C3379" t="s">
        <v>36</v>
      </c>
      <c r="D3379" t="s">
        <v>25</v>
      </c>
      <c r="E3379" t="s">
        <v>12</v>
      </c>
      <c r="F3379" t="s">
        <v>13</v>
      </c>
      <c r="G3379">
        <v>2</v>
      </c>
      <c r="H3379">
        <v>2.5</v>
      </c>
      <c r="I3379" t="s">
        <v>21</v>
      </c>
      <c r="J3379" t="s">
        <v>936</v>
      </c>
      <c r="K3379" s="12">
        <f>Store_Record[[#This Row],[Qty]]*Store_Record[[#This Row],[UnitPriceGBP]]</f>
        <v>5</v>
      </c>
      <c r="L3379" s="5" t="str">
        <f>TEXT(Store_Record[[#This Row],[Date]],"dddd")</f>
        <v>Thursday</v>
      </c>
      <c r="M3379" s="5" t="str">
        <f>TEXT(Store_Record[[#This Row],[Date]],"mmmm")</f>
        <v>September</v>
      </c>
      <c r="N3379" s="5">
        <f>YEAR(Store_Record[[#This Row],[Date]])</f>
        <v>2025</v>
      </c>
      <c r="O3379"/>
    </row>
    <row r="3380" spans="1:15" x14ac:dyDescent="0.35">
      <c r="A3380" t="s">
        <v>4345</v>
      </c>
      <c r="B3380" s="2">
        <v>45904</v>
      </c>
      <c r="C3380" t="s">
        <v>20</v>
      </c>
      <c r="D3380" t="s">
        <v>29</v>
      </c>
      <c r="E3380" t="s">
        <v>26</v>
      </c>
      <c r="F3380" t="s">
        <v>13</v>
      </c>
      <c r="G3380">
        <v>1</v>
      </c>
      <c r="H3380">
        <v>3.5</v>
      </c>
      <c r="I3380" t="s">
        <v>39</v>
      </c>
      <c r="J3380" t="s">
        <v>2352</v>
      </c>
      <c r="K3380" s="12">
        <f>Store_Record[[#This Row],[Qty]]*Store_Record[[#This Row],[UnitPriceGBP]]</f>
        <v>3.5</v>
      </c>
      <c r="L3380" s="5" t="str">
        <f>TEXT(Store_Record[[#This Row],[Date]],"dddd")</f>
        <v>Thursday</v>
      </c>
      <c r="M3380" s="5" t="str">
        <f>TEXT(Store_Record[[#This Row],[Date]],"mmmm")</f>
        <v>September</v>
      </c>
      <c r="N3380" s="5">
        <f>YEAR(Store_Record[[#This Row],[Date]])</f>
        <v>2025</v>
      </c>
      <c r="O3380"/>
    </row>
    <row r="3381" spans="1:15" x14ac:dyDescent="0.35">
      <c r="A3381" t="s">
        <v>4351</v>
      </c>
      <c r="B3381" s="2">
        <v>45904</v>
      </c>
      <c r="C3381" t="s">
        <v>36</v>
      </c>
      <c r="D3381" t="s">
        <v>38</v>
      </c>
      <c r="E3381" t="s">
        <v>26</v>
      </c>
      <c r="F3381" t="s">
        <v>13</v>
      </c>
      <c r="G3381">
        <v>1</v>
      </c>
      <c r="H3381">
        <v>3.5</v>
      </c>
      <c r="I3381" t="s">
        <v>21</v>
      </c>
      <c r="J3381" t="s">
        <v>1833</v>
      </c>
      <c r="K3381" s="12">
        <f>Store_Record[[#This Row],[Qty]]*Store_Record[[#This Row],[UnitPriceGBP]]</f>
        <v>3.5</v>
      </c>
      <c r="L3381" s="5" t="str">
        <f>TEXT(Store_Record[[#This Row],[Date]],"dddd")</f>
        <v>Thursday</v>
      </c>
      <c r="M3381" s="5" t="str">
        <f>TEXT(Store_Record[[#This Row],[Date]],"mmmm")</f>
        <v>September</v>
      </c>
      <c r="N3381" s="5">
        <f>YEAR(Store_Record[[#This Row],[Date]])</f>
        <v>2025</v>
      </c>
      <c r="O3381"/>
    </row>
    <row r="3382" spans="1:15" x14ac:dyDescent="0.35">
      <c r="A3382" t="s">
        <v>4355</v>
      </c>
      <c r="B3382" s="2">
        <v>45905</v>
      </c>
      <c r="C3382" t="s">
        <v>36</v>
      </c>
      <c r="D3382" t="s">
        <v>11</v>
      </c>
      <c r="E3382" t="s">
        <v>26</v>
      </c>
      <c r="F3382" t="s">
        <v>13</v>
      </c>
      <c r="G3382">
        <v>5</v>
      </c>
      <c r="H3382">
        <v>3.5</v>
      </c>
      <c r="I3382" t="s">
        <v>14</v>
      </c>
      <c r="J3382" t="s">
        <v>4356</v>
      </c>
      <c r="K3382" s="12">
        <f>Store_Record[[#This Row],[Qty]]*Store_Record[[#This Row],[UnitPriceGBP]]</f>
        <v>17.5</v>
      </c>
      <c r="L3382" s="5" t="str">
        <f>TEXT(Store_Record[[#This Row],[Date]],"dddd")</f>
        <v>Friday</v>
      </c>
      <c r="M3382" s="5" t="str">
        <f>TEXT(Store_Record[[#This Row],[Date]],"mmmm")</f>
        <v>September</v>
      </c>
      <c r="N3382" s="5">
        <f>YEAR(Store_Record[[#This Row],[Date]])</f>
        <v>2025</v>
      </c>
      <c r="O3382"/>
    </row>
    <row r="3383" spans="1:15" x14ac:dyDescent="0.35">
      <c r="A3383" t="s">
        <v>4361</v>
      </c>
      <c r="B3383" s="2">
        <v>45905</v>
      </c>
      <c r="C3383" t="s">
        <v>20</v>
      </c>
      <c r="D3383" t="s">
        <v>25</v>
      </c>
      <c r="E3383" t="s">
        <v>42</v>
      </c>
      <c r="F3383" t="s">
        <v>13</v>
      </c>
      <c r="G3383">
        <v>4</v>
      </c>
      <c r="H3383">
        <v>3.8</v>
      </c>
      <c r="I3383" t="s">
        <v>39</v>
      </c>
      <c r="J3383" t="s">
        <v>4252</v>
      </c>
      <c r="K3383" s="12">
        <f>Store_Record[[#This Row],[Qty]]*Store_Record[[#This Row],[UnitPriceGBP]]</f>
        <v>15.2</v>
      </c>
      <c r="L3383" s="5" t="str">
        <f>TEXT(Store_Record[[#This Row],[Date]],"dddd")</f>
        <v>Friday</v>
      </c>
      <c r="M3383" s="5" t="str">
        <f>TEXT(Store_Record[[#This Row],[Date]],"mmmm")</f>
        <v>September</v>
      </c>
      <c r="N3383" s="5">
        <f>YEAR(Store_Record[[#This Row],[Date]])</f>
        <v>2025</v>
      </c>
      <c r="O3383"/>
    </row>
    <row r="3384" spans="1:15" x14ac:dyDescent="0.35">
      <c r="A3384" t="s">
        <v>4354</v>
      </c>
      <c r="B3384" s="2">
        <v>45905</v>
      </c>
      <c r="C3384" t="s">
        <v>24</v>
      </c>
      <c r="D3384" t="s">
        <v>11</v>
      </c>
      <c r="E3384" t="s">
        <v>26</v>
      </c>
      <c r="F3384" t="s">
        <v>13</v>
      </c>
      <c r="G3384">
        <v>4</v>
      </c>
      <c r="H3384">
        <v>3.5</v>
      </c>
      <c r="I3384" t="s">
        <v>39</v>
      </c>
      <c r="J3384" t="s">
        <v>468</v>
      </c>
      <c r="K3384" s="12">
        <f>Store_Record[[#This Row],[Qty]]*Store_Record[[#This Row],[UnitPriceGBP]]</f>
        <v>14</v>
      </c>
      <c r="L3384" s="5" t="str">
        <f>TEXT(Store_Record[[#This Row],[Date]],"dddd")</f>
        <v>Friday</v>
      </c>
      <c r="M3384" s="5" t="str">
        <f>TEXT(Store_Record[[#This Row],[Date]],"mmmm")</f>
        <v>September</v>
      </c>
      <c r="N3384" s="5">
        <f>YEAR(Store_Record[[#This Row],[Date]])</f>
        <v>2025</v>
      </c>
      <c r="O3384"/>
    </row>
    <row r="3385" spans="1:15" x14ac:dyDescent="0.35">
      <c r="A3385" t="s">
        <v>4352</v>
      </c>
      <c r="B3385" s="2">
        <v>45905</v>
      </c>
      <c r="C3385" t="s">
        <v>24</v>
      </c>
      <c r="D3385" t="s">
        <v>29</v>
      </c>
      <c r="E3385" t="s">
        <v>12</v>
      </c>
      <c r="F3385" t="s">
        <v>13</v>
      </c>
      <c r="G3385">
        <v>5</v>
      </c>
      <c r="H3385">
        <v>2.5</v>
      </c>
      <c r="I3385" t="s">
        <v>14</v>
      </c>
      <c r="J3385" t="s">
        <v>536</v>
      </c>
      <c r="K3385" s="12">
        <f>Store_Record[[#This Row],[Qty]]*Store_Record[[#This Row],[UnitPriceGBP]]</f>
        <v>12.5</v>
      </c>
      <c r="L3385" s="5" t="str">
        <f>TEXT(Store_Record[[#This Row],[Date]],"dddd")</f>
        <v>Friday</v>
      </c>
      <c r="M3385" s="5" t="str">
        <f>TEXT(Store_Record[[#This Row],[Date]],"mmmm")</f>
        <v>September</v>
      </c>
      <c r="N3385" s="5">
        <f>YEAR(Store_Record[[#This Row],[Date]])</f>
        <v>2025</v>
      </c>
      <c r="O3385"/>
    </row>
    <row r="3386" spans="1:15" x14ac:dyDescent="0.35">
      <c r="A3386" t="s">
        <v>4357</v>
      </c>
      <c r="B3386" s="2">
        <v>45905</v>
      </c>
      <c r="C3386" t="s">
        <v>24</v>
      </c>
      <c r="D3386" t="s">
        <v>25</v>
      </c>
      <c r="E3386" t="s">
        <v>26</v>
      </c>
      <c r="F3386" t="s">
        <v>13</v>
      </c>
      <c r="G3386">
        <v>3</v>
      </c>
      <c r="H3386">
        <v>3.5</v>
      </c>
      <c r="I3386" t="s">
        <v>21</v>
      </c>
      <c r="J3386" t="s">
        <v>456</v>
      </c>
      <c r="K3386" s="12">
        <f>Store_Record[[#This Row],[Qty]]*Store_Record[[#This Row],[UnitPriceGBP]]</f>
        <v>10.5</v>
      </c>
      <c r="L3386" s="5" t="str">
        <f>TEXT(Store_Record[[#This Row],[Date]],"dddd")</f>
        <v>Friday</v>
      </c>
      <c r="M3386" s="5" t="str">
        <f>TEXT(Store_Record[[#This Row],[Date]],"mmmm")</f>
        <v>September</v>
      </c>
      <c r="N3386" s="5">
        <f>YEAR(Store_Record[[#This Row],[Date]])</f>
        <v>2025</v>
      </c>
      <c r="O3386"/>
    </row>
    <row r="3387" spans="1:15" x14ac:dyDescent="0.35">
      <c r="A3387" t="s">
        <v>4362</v>
      </c>
      <c r="B3387" s="2">
        <v>45905</v>
      </c>
      <c r="C3387" t="s">
        <v>24</v>
      </c>
      <c r="D3387" t="s">
        <v>11</v>
      </c>
      <c r="E3387" t="s">
        <v>26</v>
      </c>
      <c r="F3387" t="s">
        <v>13</v>
      </c>
      <c r="G3387">
        <v>3</v>
      </c>
      <c r="H3387">
        <v>3.5</v>
      </c>
      <c r="I3387" t="s">
        <v>14</v>
      </c>
      <c r="J3387" t="s">
        <v>237</v>
      </c>
      <c r="K3387" s="12">
        <f>Store_Record[[#This Row],[Qty]]*Store_Record[[#This Row],[UnitPriceGBP]]</f>
        <v>10.5</v>
      </c>
      <c r="L3387" s="5" t="str">
        <f>TEXT(Store_Record[[#This Row],[Date]],"dddd")</f>
        <v>Friday</v>
      </c>
      <c r="M3387" s="5" t="str">
        <f>TEXT(Store_Record[[#This Row],[Date]],"mmmm")</f>
        <v>September</v>
      </c>
      <c r="N3387" s="5">
        <f>YEAR(Store_Record[[#This Row],[Date]])</f>
        <v>2025</v>
      </c>
      <c r="O3387"/>
    </row>
    <row r="3388" spans="1:15" x14ac:dyDescent="0.35">
      <c r="A3388" t="s">
        <v>4358</v>
      </c>
      <c r="B3388" s="2">
        <v>45905</v>
      </c>
      <c r="C3388" t="s">
        <v>10</v>
      </c>
      <c r="D3388" t="s">
        <v>38</v>
      </c>
      <c r="E3388" t="s">
        <v>12</v>
      </c>
      <c r="F3388" t="s">
        <v>13</v>
      </c>
      <c r="G3388">
        <v>2</v>
      </c>
      <c r="H3388">
        <v>2.5</v>
      </c>
      <c r="I3388" t="s">
        <v>39</v>
      </c>
      <c r="J3388" t="s">
        <v>1840</v>
      </c>
      <c r="K3388" s="12">
        <f>Store_Record[[#This Row],[Qty]]*Store_Record[[#This Row],[UnitPriceGBP]]</f>
        <v>5</v>
      </c>
      <c r="L3388" s="5" t="str">
        <f>TEXT(Store_Record[[#This Row],[Date]],"dddd")</f>
        <v>Friday</v>
      </c>
      <c r="M3388" s="5" t="str">
        <f>TEXT(Store_Record[[#This Row],[Date]],"mmmm")</f>
        <v>September</v>
      </c>
      <c r="N3388" s="5">
        <f>YEAR(Store_Record[[#This Row],[Date]])</f>
        <v>2025</v>
      </c>
      <c r="O3388"/>
    </row>
    <row r="3389" spans="1:15" x14ac:dyDescent="0.35">
      <c r="A3389" t="s">
        <v>4360</v>
      </c>
      <c r="B3389" s="2">
        <v>45905</v>
      </c>
      <c r="C3389" t="s">
        <v>36</v>
      </c>
      <c r="D3389" t="s">
        <v>11</v>
      </c>
      <c r="E3389" t="s">
        <v>12</v>
      </c>
      <c r="F3389" t="s">
        <v>13</v>
      </c>
      <c r="G3389">
        <v>2</v>
      </c>
      <c r="H3389">
        <v>2.5</v>
      </c>
      <c r="I3389" t="s">
        <v>39</v>
      </c>
      <c r="J3389" t="s">
        <v>123</v>
      </c>
      <c r="K3389" s="12">
        <f>Store_Record[[#This Row],[Qty]]*Store_Record[[#This Row],[UnitPriceGBP]]</f>
        <v>5</v>
      </c>
      <c r="L3389" s="5" t="str">
        <f>TEXT(Store_Record[[#This Row],[Date]],"dddd")</f>
        <v>Friday</v>
      </c>
      <c r="M3389" s="5" t="str">
        <f>TEXT(Store_Record[[#This Row],[Date]],"mmmm")</f>
        <v>September</v>
      </c>
      <c r="N3389" s="5">
        <f>YEAR(Store_Record[[#This Row],[Date]])</f>
        <v>2025</v>
      </c>
      <c r="O3389"/>
    </row>
    <row r="3390" spans="1:15" x14ac:dyDescent="0.35">
      <c r="A3390" t="s">
        <v>4353</v>
      </c>
      <c r="B3390" s="2">
        <v>45905</v>
      </c>
      <c r="C3390" t="s">
        <v>10</v>
      </c>
      <c r="D3390" t="s">
        <v>29</v>
      </c>
      <c r="E3390" t="s">
        <v>26</v>
      </c>
      <c r="F3390" t="s">
        <v>13</v>
      </c>
      <c r="G3390">
        <v>1</v>
      </c>
      <c r="H3390">
        <v>3.5</v>
      </c>
      <c r="I3390" t="s">
        <v>39</v>
      </c>
      <c r="J3390" t="s">
        <v>724</v>
      </c>
      <c r="K3390" s="12">
        <f>Store_Record[[#This Row],[Qty]]*Store_Record[[#This Row],[UnitPriceGBP]]</f>
        <v>3.5</v>
      </c>
      <c r="L3390" s="5" t="str">
        <f>TEXT(Store_Record[[#This Row],[Date]],"dddd")</f>
        <v>Friday</v>
      </c>
      <c r="M3390" s="5" t="str">
        <f>TEXT(Store_Record[[#This Row],[Date]],"mmmm")</f>
        <v>September</v>
      </c>
      <c r="N3390" s="5">
        <f>YEAR(Store_Record[[#This Row],[Date]])</f>
        <v>2025</v>
      </c>
      <c r="O3390"/>
    </row>
    <row r="3391" spans="1:15" x14ac:dyDescent="0.35">
      <c r="A3391" t="s">
        <v>4359</v>
      </c>
      <c r="B3391" s="2">
        <v>45905</v>
      </c>
      <c r="C3391" t="s">
        <v>36</v>
      </c>
      <c r="D3391" t="s">
        <v>47</v>
      </c>
      <c r="E3391" t="s">
        <v>30</v>
      </c>
      <c r="F3391" t="s">
        <v>31</v>
      </c>
      <c r="G3391">
        <v>1</v>
      </c>
      <c r="H3391">
        <v>2.8</v>
      </c>
      <c r="I3391" t="s">
        <v>14</v>
      </c>
      <c r="J3391" t="s">
        <v>443</v>
      </c>
      <c r="K3391" s="12">
        <f>Store_Record[[#This Row],[Qty]]*Store_Record[[#This Row],[UnitPriceGBP]]</f>
        <v>2.8</v>
      </c>
      <c r="L3391" s="5" t="str">
        <f>TEXT(Store_Record[[#This Row],[Date]],"dddd")</f>
        <v>Friday</v>
      </c>
      <c r="M3391" s="5" t="str">
        <f>TEXT(Store_Record[[#This Row],[Date]],"mmmm")</f>
        <v>September</v>
      </c>
      <c r="N3391" s="5">
        <f>YEAR(Store_Record[[#This Row],[Date]])</f>
        <v>2025</v>
      </c>
      <c r="O3391"/>
    </row>
    <row r="3392" spans="1:15" x14ac:dyDescent="0.35">
      <c r="A3392" t="s">
        <v>4365</v>
      </c>
      <c r="B3392" s="2">
        <v>45906</v>
      </c>
      <c r="C3392" t="s">
        <v>20</v>
      </c>
      <c r="D3392" t="s">
        <v>47</v>
      </c>
      <c r="E3392" t="s">
        <v>42</v>
      </c>
      <c r="F3392" t="s">
        <v>13</v>
      </c>
      <c r="G3392">
        <v>4</v>
      </c>
      <c r="H3392">
        <v>3.8</v>
      </c>
      <c r="I3392" t="s">
        <v>39</v>
      </c>
      <c r="J3392" t="s">
        <v>3168</v>
      </c>
      <c r="K3392" s="12">
        <f>Store_Record[[#This Row],[Qty]]*Store_Record[[#This Row],[UnitPriceGBP]]</f>
        <v>15.2</v>
      </c>
      <c r="L3392" s="5" t="str">
        <f>TEXT(Store_Record[[#This Row],[Date]],"dddd")</f>
        <v>Saturday</v>
      </c>
      <c r="M3392" s="5" t="str">
        <f>TEXT(Store_Record[[#This Row],[Date]],"mmmm")</f>
        <v>September</v>
      </c>
      <c r="N3392" s="5">
        <f>YEAR(Store_Record[[#This Row],[Date]])</f>
        <v>2025</v>
      </c>
      <c r="O3392"/>
    </row>
    <row r="3393" spans="1:15" x14ac:dyDescent="0.35">
      <c r="A3393" t="s">
        <v>4366</v>
      </c>
      <c r="B3393" s="2">
        <v>45906</v>
      </c>
      <c r="C3393" t="s">
        <v>24</v>
      </c>
      <c r="D3393" t="s">
        <v>29</v>
      </c>
      <c r="E3393" t="s">
        <v>42</v>
      </c>
      <c r="F3393" t="s">
        <v>13</v>
      </c>
      <c r="G3393">
        <v>4</v>
      </c>
      <c r="H3393">
        <v>3.8</v>
      </c>
      <c r="I3393" t="s">
        <v>14</v>
      </c>
      <c r="J3393" t="s">
        <v>1099</v>
      </c>
      <c r="K3393" s="12">
        <f>Store_Record[[#This Row],[Qty]]*Store_Record[[#This Row],[UnitPriceGBP]]</f>
        <v>15.2</v>
      </c>
      <c r="L3393" s="5" t="str">
        <f>TEXT(Store_Record[[#This Row],[Date]],"dddd")</f>
        <v>Saturday</v>
      </c>
      <c r="M3393" s="5" t="str">
        <f>TEXT(Store_Record[[#This Row],[Date]],"mmmm")</f>
        <v>September</v>
      </c>
      <c r="N3393" s="5">
        <f>YEAR(Store_Record[[#This Row],[Date]])</f>
        <v>2025</v>
      </c>
      <c r="O3393"/>
    </row>
    <row r="3394" spans="1:15" x14ac:dyDescent="0.35">
      <c r="A3394" t="s">
        <v>4364</v>
      </c>
      <c r="B3394" s="2">
        <v>45906</v>
      </c>
      <c r="C3394" t="s">
        <v>20</v>
      </c>
      <c r="D3394" t="s">
        <v>25</v>
      </c>
      <c r="E3394" t="s">
        <v>34</v>
      </c>
      <c r="F3394" t="s">
        <v>31</v>
      </c>
      <c r="G3394">
        <v>5</v>
      </c>
      <c r="H3394">
        <v>2.2000000000000002</v>
      </c>
      <c r="I3394" t="s">
        <v>21</v>
      </c>
      <c r="J3394" t="s">
        <v>222</v>
      </c>
      <c r="K3394" s="12">
        <f>Store_Record[[#This Row],[Qty]]*Store_Record[[#This Row],[UnitPriceGBP]]</f>
        <v>11</v>
      </c>
      <c r="L3394" s="5" t="str">
        <f>TEXT(Store_Record[[#This Row],[Date]],"dddd")</f>
        <v>Saturday</v>
      </c>
      <c r="M3394" s="5" t="str">
        <f>TEXT(Store_Record[[#This Row],[Date]],"mmmm")</f>
        <v>September</v>
      </c>
      <c r="N3394" s="5">
        <f>YEAR(Store_Record[[#This Row],[Date]])</f>
        <v>2025</v>
      </c>
      <c r="O3394"/>
    </row>
    <row r="3395" spans="1:15" x14ac:dyDescent="0.35">
      <c r="A3395" t="s">
        <v>4369</v>
      </c>
      <c r="B3395" s="2">
        <v>45906</v>
      </c>
      <c r="C3395" t="s">
        <v>24</v>
      </c>
      <c r="D3395" t="s">
        <v>47</v>
      </c>
      <c r="E3395" t="s">
        <v>34</v>
      </c>
      <c r="F3395" t="s">
        <v>31</v>
      </c>
      <c r="G3395">
        <v>5</v>
      </c>
      <c r="H3395">
        <v>2.2000000000000002</v>
      </c>
      <c r="I3395" t="s">
        <v>14</v>
      </c>
      <c r="J3395" t="s">
        <v>380</v>
      </c>
      <c r="K3395" s="12">
        <f>Store_Record[[#This Row],[Qty]]*Store_Record[[#This Row],[UnitPriceGBP]]</f>
        <v>11</v>
      </c>
      <c r="L3395" s="5" t="str">
        <f>TEXT(Store_Record[[#This Row],[Date]],"dddd")</f>
        <v>Saturday</v>
      </c>
      <c r="M3395" s="5" t="str">
        <f>TEXT(Store_Record[[#This Row],[Date]],"mmmm")</f>
        <v>September</v>
      </c>
      <c r="N3395" s="5">
        <f>YEAR(Store_Record[[#This Row],[Date]])</f>
        <v>2025</v>
      </c>
      <c r="O3395"/>
    </row>
    <row r="3396" spans="1:15" x14ac:dyDescent="0.35">
      <c r="A3396" t="s">
        <v>4363</v>
      </c>
      <c r="B3396" s="2">
        <v>45906</v>
      </c>
      <c r="C3396" t="s">
        <v>24</v>
      </c>
      <c r="D3396" t="s">
        <v>29</v>
      </c>
      <c r="E3396" t="s">
        <v>12</v>
      </c>
      <c r="F3396" t="s">
        <v>13</v>
      </c>
      <c r="G3396">
        <v>4</v>
      </c>
      <c r="H3396">
        <v>2.5</v>
      </c>
      <c r="I3396" t="s">
        <v>14</v>
      </c>
      <c r="J3396" t="s">
        <v>1175</v>
      </c>
      <c r="K3396" s="12">
        <f>Store_Record[[#This Row],[Qty]]*Store_Record[[#This Row],[UnitPriceGBP]]</f>
        <v>10</v>
      </c>
      <c r="L3396" s="5" t="str">
        <f>TEXT(Store_Record[[#This Row],[Date]],"dddd")</f>
        <v>Saturday</v>
      </c>
      <c r="M3396" s="5" t="str">
        <f>TEXT(Store_Record[[#This Row],[Date]],"mmmm")</f>
        <v>September</v>
      </c>
      <c r="N3396" s="5">
        <f>YEAR(Store_Record[[#This Row],[Date]])</f>
        <v>2025</v>
      </c>
      <c r="O3396"/>
    </row>
    <row r="3397" spans="1:15" x14ac:dyDescent="0.35">
      <c r="A3397" t="s">
        <v>4370</v>
      </c>
      <c r="B3397" s="2">
        <v>45906</v>
      </c>
      <c r="C3397" t="s">
        <v>20</v>
      </c>
      <c r="D3397" t="s">
        <v>11</v>
      </c>
      <c r="E3397" t="s">
        <v>12</v>
      </c>
      <c r="F3397" t="s">
        <v>13</v>
      </c>
      <c r="G3397">
        <v>3</v>
      </c>
      <c r="H3397">
        <v>2.5</v>
      </c>
      <c r="I3397" t="s">
        <v>21</v>
      </c>
      <c r="J3397" t="s">
        <v>4371</v>
      </c>
      <c r="K3397" s="12">
        <f>Store_Record[[#This Row],[Qty]]*Store_Record[[#This Row],[UnitPriceGBP]]</f>
        <v>7.5</v>
      </c>
      <c r="L3397" s="5" t="str">
        <f>TEXT(Store_Record[[#This Row],[Date]],"dddd")</f>
        <v>Saturday</v>
      </c>
      <c r="M3397" s="5" t="str">
        <f>TEXT(Store_Record[[#This Row],[Date]],"mmmm")</f>
        <v>September</v>
      </c>
      <c r="N3397" s="5">
        <f>YEAR(Store_Record[[#This Row],[Date]])</f>
        <v>2025</v>
      </c>
      <c r="O3397"/>
    </row>
    <row r="3398" spans="1:15" x14ac:dyDescent="0.35">
      <c r="A3398" t="s">
        <v>4373</v>
      </c>
      <c r="B3398" s="2">
        <v>45906</v>
      </c>
      <c r="C3398" t="s">
        <v>20</v>
      </c>
      <c r="D3398" t="s">
        <v>11</v>
      </c>
      <c r="E3398" t="s">
        <v>12</v>
      </c>
      <c r="F3398" t="s">
        <v>13</v>
      </c>
      <c r="G3398">
        <v>2</v>
      </c>
      <c r="H3398">
        <v>2.5</v>
      </c>
      <c r="I3398" t="s">
        <v>14</v>
      </c>
      <c r="J3398" t="s">
        <v>1700</v>
      </c>
      <c r="K3398" s="12">
        <f>Store_Record[[#This Row],[Qty]]*Store_Record[[#This Row],[UnitPriceGBP]]</f>
        <v>5</v>
      </c>
      <c r="L3398" s="5" t="str">
        <f>TEXT(Store_Record[[#This Row],[Date]],"dddd")</f>
        <v>Saturday</v>
      </c>
      <c r="M3398" s="5" t="str">
        <f>TEXT(Store_Record[[#This Row],[Date]],"mmmm")</f>
        <v>September</v>
      </c>
      <c r="N3398" s="5">
        <f>YEAR(Store_Record[[#This Row],[Date]])</f>
        <v>2025</v>
      </c>
      <c r="O3398"/>
    </row>
    <row r="3399" spans="1:15" x14ac:dyDescent="0.35">
      <c r="A3399" t="s">
        <v>4367</v>
      </c>
      <c r="B3399" s="2">
        <v>45906</v>
      </c>
      <c r="C3399" t="s">
        <v>20</v>
      </c>
      <c r="D3399" t="s">
        <v>11</v>
      </c>
      <c r="E3399" t="s">
        <v>30</v>
      </c>
      <c r="F3399" t="s">
        <v>31</v>
      </c>
      <c r="G3399">
        <v>1</v>
      </c>
      <c r="H3399">
        <v>2.8</v>
      </c>
      <c r="I3399" t="s">
        <v>39</v>
      </c>
      <c r="J3399" t="s">
        <v>2399</v>
      </c>
      <c r="K3399" s="12">
        <f>Store_Record[[#This Row],[Qty]]*Store_Record[[#This Row],[UnitPriceGBP]]</f>
        <v>2.8</v>
      </c>
      <c r="L3399" s="5" t="str">
        <f>TEXT(Store_Record[[#This Row],[Date]],"dddd")</f>
        <v>Saturday</v>
      </c>
      <c r="M3399" s="5" t="str">
        <f>TEXT(Store_Record[[#This Row],[Date]],"mmmm")</f>
        <v>September</v>
      </c>
      <c r="N3399" s="5">
        <f>YEAR(Store_Record[[#This Row],[Date]])</f>
        <v>2025</v>
      </c>
      <c r="O3399"/>
    </row>
    <row r="3400" spans="1:15" x14ac:dyDescent="0.35">
      <c r="A3400" t="s">
        <v>4368</v>
      </c>
      <c r="B3400" s="2">
        <v>45906</v>
      </c>
      <c r="C3400" t="s">
        <v>36</v>
      </c>
      <c r="D3400" t="s">
        <v>11</v>
      </c>
      <c r="E3400" t="s">
        <v>12</v>
      </c>
      <c r="F3400" t="s">
        <v>13</v>
      </c>
      <c r="G3400">
        <v>1</v>
      </c>
      <c r="H3400">
        <v>2.5</v>
      </c>
      <c r="I3400" t="s">
        <v>21</v>
      </c>
      <c r="J3400" t="s">
        <v>1372</v>
      </c>
      <c r="K3400" s="12">
        <f>Store_Record[[#This Row],[Qty]]*Store_Record[[#This Row],[UnitPriceGBP]]</f>
        <v>2.5</v>
      </c>
      <c r="L3400" s="5" t="str">
        <f>TEXT(Store_Record[[#This Row],[Date]],"dddd")</f>
        <v>Saturday</v>
      </c>
      <c r="M3400" s="5" t="str">
        <f>TEXT(Store_Record[[#This Row],[Date]],"mmmm")</f>
        <v>September</v>
      </c>
      <c r="N3400" s="5">
        <f>YEAR(Store_Record[[#This Row],[Date]])</f>
        <v>2025</v>
      </c>
      <c r="O3400"/>
    </row>
    <row r="3401" spans="1:15" x14ac:dyDescent="0.35">
      <c r="A3401" t="s">
        <v>4372</v>
      </c>
      <c r="B3401" s="2">
        <v>45906</v>
      </c>
      <c r="C3401" t="s">
        <v>10</v>
      </c>
      <c r="D3401" t="s">
        <v>29</v>
      </c>
      <c r="E3401" t="s">
        <v>12</v>
      </c>
      <c r="F3401" t="s">
        <v>13</v>
      </c>
      <c r="G3401">
        <v>1</v>
      </c>
      <c r="H3401">
        <v>2.5</v>
      </c>
      <c r="I3401" t="s">
        <v>39</v>
      </c>
      <c r="J3401" t="s">
        <v>250</v>
      </c>
      <c r="K3401" s="12">
        <f>Store_Record[[#This Row],[Qty]]*Store_Record[[#This Row],[UnitPriceGBP]]</f>
        <v>2.5</v>
      </c>
      <c r="L3401" s="5" t="str">
        <f>TEXT(Store_Record[[#This Row],[Date]],"dddd")</f>
        <v>Saturday</v>
      </c>
      <c r="M3401" s="5" t="str">
        <f>TEXT(Store_Record[[#This Row],[Date]],"mmmm")</f>
        <v>September</v>
      </c>
      <c r="N3401" s="5">
        <f>YEAR(Store_Record[[#This Row],[Date]])</f>
        <v>2025</v>
      </c>
      <c r="O3401"/>
    </row>
    <row r="3402" spans="1:15" x14ac:dyDescent="0.35">
      <c r="A3402" t="s">
        <v>4374</v>
      </c>
      <c r="B3402" s="2">
        <v>45906</v>
      </c>
      <c r="C3402" t="s">
        <v>10</v>
      </c>
      <c r="D3402" t="s">
        <v>38</v>
      </c>
      <c r="E3402" t="s">
        <v>12</v>
      </c>
      <c r="F3402" t="s">
        <v>13</v>
      </c>
      <c r="G3402">
        <v>1</v>
      </c>
      <c r="H3402">
        <v>2.5</v>
      </c>
      <c r="I3402" t="s">
        <v>21</v>
      </c>
      <c r="J3402" t="s">
        <v>2365</v>
      </c>
      <c r="K3402" s="12">
        <f>Store_Record[[#This Row],[Qty]]*Store_Record[[#This Row],[UnitPriceGBP]]</f>
        <v>2.5</v>
      </c>
      <c r="L3402" s="5" t="str">
        <f>TEXT(Store_Record[[#This Row],[Date]],"dddd")</f>
        <v>Saturday</v>
      </c>
      <c r="M3402" s="5" t="str">
        <f>TEXT(Store_Record[[#This Row],[Date]],"mmmm")</f>
        <v>September</v>
      </c>
      <c r="N3402" s="5">
        <f>YEAR(Store_Record[[#This Row],[Date]])</f>
        <v>2025</v>
      </c>
      <c r="O3402"/>
    </row>
    <row r="3403" spans="1:15" x14ac:dyDescent="0.35">
      <c r="A3403" t="s">
        <v>4378</v>
      </c>
      <c r="B3403" s="2">
        <v>45907</v>
      </c>
      <c r="C3403" t="s">
        <v>36</v>
      </c>
      <c r="D3403" t="s">
        <v>11</v>
      </c>
      <c r="E3403" t="s">
        <v>42</v>
      </c>
      <c r="F3403" t="s">
        <v>13</v>
      </c>
      <c r="G3403">
        <v>4</v>
      </c>
      <c r="H3403">
        <v>3.8</v>
      </c>
      <c r="I3403" t="s">
        <v>14</v>
      </c>
      <c r="J3403" t="s">
        <v>1614</v>
      </c>
      <c r="K3403" s="12">
        <f>Store_Record[[#This Row],[Qty]]*Store_Record[[#This Row],[UnitPriceGBP]]</f>
        <v>15.2</v>
      </c>
      <c r="L3403" s="5" t="str">
        <f>TEXT(Store_Record[[#This Row],[Date]],"dddd")</f>
        <v>Sunday</v>
      </c>
      <c r="M3403" s="5" t="str">
        <f>TEXT(Store_Record[[#This Row],[Date]],"mmmm")</f>
        <v>September</v>
      </c>
      <c r="N3403" s="5">
        <f>YEAR(Store_Record[[#This Row],[Date]])</f>
        <v>2025</v>
      </c>
      <c r="O3403"/>
    </row>
    <row r="3404" spans="1:15" x14ac:dyDescent="0.35">
      <c r="A3404" t="s">
        <v>4376</v>
      </c>
      <c r="B3404" s="2">
        <v>45907</v>
      </c>
      <c r="C3404" t="s">
        <v>24</v>
      </c>
      <c r="D3404" t="s">
        <v>47</v>
      </c>
      <c r="E3404" t="s">
        <v>30</v>
      </c>
      <c r="F3404" t="s">
        <v>31</v>
      </c>
      <c r="G3404">
        <v>5</v>
      </c>
      <c r="H3404">
        <v>2.8</v>
      </c>
      <c r="I3404" t="s">
        <v>21</v>
      </c>
      <c r="J3404" t="s">
        <v>624</v>
      </c>
      <c r="K3404" s="12">
        <f>Store_Record[[#This Row],[Qty]]*Store_Record[[#This Row],[UnitPriceGBP]]</f>
        <v>14</v>
      </c>
      <c r="L3404" s="5" t="str">
        <f>TEXT(Store_Record[[#This Row],[Date]],"dddd")</f>
        <v>Sunday</v>
      </c>
      <c r="M3404" s="5" t="str">
        <f>TEXT(Store_Record[[#This Row],[Date]],"mmmm")</f>
        <v>September</v>
      </c>
      <c r="N3404" s="5">
        <f>YEAR(Store_Record[[#This Row],[Date]])</f>
        <v>2025</v>
      </c>
      <c r="O3404"/>
    </row>
    <row r="3405" spans="1:15" x14ac:dyDescent="0.35">
      <c r="A3405" t="s">
        <v>4377</v>
      </c>
      <c r="B3405" s="2">
        <v>45907</v>
      </c>
      <c r="C3405" t="s">
        <v>10</v>
      </c>
      <c r="D3405" t="s">
        <v>11</v>
      </c>
      <c r="E3405" t="s">
        <v>30</v>
      </c>
      <c r="F3405" t="s">
        <v>31</v>
      </c>
      <c r="G3405">
        <v>5</v>
      </c>
      <c r="H3405">
        <v>2.8</v>
      </c>
      <c r="I3405" t="s">
        <v>39</v>
      </c>
      <c r="J3405" t="s">
        <v>181</v>
      </c>
      <c r="K3405" s="12">
        <f>Store_Record[[#This Row],[Qty]]*Store_Record[[#This Row],[UnitPriceGBP]]</f>
        <v>14</v>
      </c>
      <c r="L3405" s="5" t="str">
        <f>TEXT(Store_Record[[#This Row],[Date]],"dddd")</f>
        <v>Sunday</v>
      </c>
      <c r="M3405" s="5" t="str">
        <f>TEXT(Store_Record[[#This Row],[Date]],"mmmm")</f>
        <v>September</v>
      </c>
      <c r="N3405" s="5">
        <f>YEAR(Store_Record[[#This Row],[Date]])</f>
        <v>2025</v>
      </c>
      <c r="O3405"/>
    </row>
    <row r="3406" spans="1:15" x14ac:dyDescent="0.35">
      <c r="A3406" t="s">
        <v>4379</v>
      </c>
      <c r="B3406" s="2">
        <v>45907</v>
      </c>
      <c r="C3406" t="s">
        <v>20</v>
      </c>
      <c r="D3406" t="s">
        <v>29</v>
      </c>
      <c r="E3406" t="s">
        <v>30</v>
      </c>
      <c r="F3406" t="s">
        <v>31</v>
      </c>
      <c r="G3406">
        <v>5</v>
      </c>
      <c r="H3406">
        <v>2.8</v>
      </c>
      <c r="I3406" t="s">
        <v>14</v>
      </c>
      <c r="J3406" t="s">
        <v>890</v>
      </c>
      <c r="K3406" s="12">
        <f>Store_Record[[#This Row],[Qty]]*Store_Record[[#This Row],[UnitPriceGBP]]</f>
        <v>14</v>
      </c>
      <c r="L3406" s="5" t="str">
        <f>TEXT(Store_Record[[#This Row],[Date]],"dddd")</f>
        <v>Sunday</v>
      </c>
      <c r="M3406" s="5" t="str">
        <f>TEXT(Store_Record[[#This Row],[Date]],"mmmm")</f>
        <v>September</v>
      </c>
      <c r="N3406" s="5">
        <f>YEAR(Store_Record[[#This Row],[Date]])</f>
        <v>2025</v>
      </c>
      <c r="O3406"/>
    </row>
    <row r="3407" spans="1:15" x14ac:dyDescent="0.35">
      <c r="A3407" t="s">
        <v>4384</v>
      </c>
      <c r="B3407" s="2">
        <v>45907</v>
      </c>
      <c r="C3407" t="s">
        <v>10</v>
      </c>
      <c r="D3407" t="s">
        <v>47</v>
      </c>
      <c r="E3407" t="s">
        <v>42</v>
      </c>
      <c r="F3407" t="s">
        <v>13</v>
      </c>
      <c r="G3407">
        <v>3</v>
      </c>
      <c r="H3407">
        <v>3.8</v>
      </c>
      <c r="I3407" t="s">
        <v>21</v>
      </c>
      <c r="J3407" t="s">
        <v>331</v>
      </c>
      <c r="K3407" s="12">
        <f>Store_Record[[#This Row],[Qty]]*Store_Record[[#This Row],[UnitPriceGBP]]</f>
        <v>11.399999999999999</v>
      </c>
      <c r="L3407" s="5" t="str">
        <f>TEXT(Store_Record[[#This Row],[Date]],"dddd")</f>
        <v>Sunday</v>
      </c>
      <c r="M3407" s="5" t="str">
        <f>TEXT(Store_Record[[#This Row],[Date]],"mmmm")</f>
        <v>September</v>
      </c>
      <c r="N3407" s="5">
        <f>YEAR(Store_Record[[#This Row],[Date]])</f>
        <v>2025</v>
      </c>
      <c r="O3407"/>
    </row>
    <row r="3408" spans="1:15" x14ac:dyDescent="0.35">
      <c r="A3408" t="s">
        <v>4382</v>
      </c>
      <c r="B3408" s="2">
        <v>45907</v>
      </c>
      <c r="C3408" t="s">
        <v>20</v>
      </c>
      <c r="D3408" t="s">
        <v>38</v>
      </c>
      <c r="E3408" t="s">
        <v>30</v>
      </c>
      <c r="F3408" t="s">
        <v>31</v>
      </c>
      <c r="G3408">
        <v>4</v>
      </c>
      <c r="H3408">
        <v>2.8</v>
      </c>
      <c r="I3408" t="s">
        <v>39</v>
      </c>
      <c r="J3408" t="s">
        <v>934</v>
      </c>
      <c r="K3408" s="12">
        <f>Store_Record[[#This Row],[Qty]]*Store_Record[[#This Row],[UnitPriceGBP]]</f>
        <v>11.2</v>
      </c>
      <c r="L3408" s="5" t="str">
        <f>TEXT(Store_Record[[#This Row],[Date]],"dddd")</f>
        <v>Sunday</v>
      </c>
      <c r="M3408" s="5" t="str">
        <f>TEXT(Store_Record[[#This Row],[Date]],"mmmm")</f>
        <v>September</v>
      </c>
      <c r="N3408" s="5">
        <f>YEAR(Store_Record[[#This Row],[Date]])</f>
        <v>2025</v>
      </c>
      <c r="O3408"/>
    </row>
    <row r="3409" spans="1:15" x14ac:dyDescent="0.35">
      <c r="A3409" t="s">
        <v>4381</v>
      </c>
      <c r="B3409" s="2">
        <v>45907</v>
      </c>
      <c r="C3409" t="s">
        <v>10</v>
      </c>
      <c r="D3409" t="s">
        <v>29</v>
      </c>
      <c r="E3409" t="s">
        <v>26</v>
      </c>
      <c r="F3409" t="s">
        <v>13</v>
      </c>
      <c r="G3409">
        <v>3</v>
      </c>
      <c r="H3409">
        <v>3.5</v>
      </c>
      <c r="I3409" t="s">
        <v>21</v>
      </c>
      <c r="J3409" t="s">
        <v>35</v>
      </c>
      <c r="K3409" s="12">
        <f>Store_Record[[#This Row],[Qty]]*Store_Record[[#This Row],[UnitPriceGBP]]</f>
        <v>10.5</v>
      </c>
      <c r="L3409" s="5" t="str">
        <f>TEXT(Store_Record[[#This Row],[Date]],"dddd")</f>
        <v>Sunday</v>
      </c>
      <c r="M3409" s="5" t="str">
        <f>TEXT(Store_Record[[#This Row],[Date]],"mmmm")</f>
        <v>September</v>
      </c>
      <c r="N3409" s="5">
        <f>YEAR(Store_Record[[#This Row],[Date]])</f>
        <v>2025</v>
      </c>
      <c r="O3409"/>
    </row>
    <row r="3410" spans="1:15" x14ac:dyDescent="0.35">
      <c r="A3410" t="s">
        <v>4385</v>
      </c>
      <c r="B3410" s="2">
        <v>45907</v>
      </c>
      <c r="C3410" t="s">
        <v>24</v>
      </c>
      <c r="D3410" t="s">
        <v>38</v>
      </c>
      <c r="E3410" t="s">
        <v>26</v>
      </c>
      <c r="F3410" t="s">
        <v>13</v>
      </c>
      <c r="G3410">
        <v>3</v>
      </c>
      <c r="H3410">
        <v>3.5</v>
      </c>
      <c r="I3410" t="s">
        <v>14</v>
      </c>
      <c r="J3410" t="s">
        <v>3731</v>
      </c>
      <c r="K3410" s="12">
        <f>Store_Record[[#This Row],[Qty]]*Store_Record[[#This Row],[UnitPriceGBP]]</f>
        <v>10.5</v>
      </c>
      <c r="L3410" s="5" t="str">
        <f>TEXT(Store_Record[[#This Row],[Date]],"dddd")</f>
        <v>Sunday</v>
      </c>
      <c r="M3410" s="5" t="str">
        <f>TEXT(Store_Record[[#This Row],[Date]],"mmmm")</f>
        <v>September</v>
      </c>
      <c r="N3410" s="5">
        <f>YEAR(Store_Record[[#This Row],[Date]])</f>
        <v>2025</v>
      </c>
      <c r="O3410"/>
    </row>
    <row r="3411" spans="1:15" x14ac:dyDescent="0.35">
      <c r="A3411" t="s">
        <v>4375</v>
      </c>
      <c r="B3411" s="2">
        <v>45907</v>
      </c>
      <c r="C3411" t="s">
        <v>10</v>
      </c>
      <c r="D3411" t="s">
        <v>11</v>
      </c>
      <c r="E3411" t="s">
        <v>30</v>
      </c>
      <c r="F3411" t="s">
        <v>31</v>
      </c>
      <c r="G3411">
        <v>2</v>
      </c>
      <c r="H3411">
        <v>2.8</v>
      </c>
      <c r="I3411" t="s">
        <v>21</v>
      </c>
      <c r="J3411" t="s">
        <v>899</v>
      </c>
      <c r="K3411" s="12">
        <f>Store_Record[[#This Row],[Qty]]*Store_Record[[#This Row],[UnitPriceGBP]]</f>
        <v>5.6</v>
      </c>
      <c r="L3411" s="5" t="str">
        <f>TEXT(Store_Record[[#This Row],[Date]],"dddd")</f>
        <v>Sunday</v>
      </c>
      <c r="M3411" s="5" t="str">
        <f>TEXT(Store_Record[[#This Row],[Date]],"mmmm")</f>
        <v>September</v>
      </c>
      <c r="N3411" s="5">
        <f>YEAR(Store_Record[[#This Row],[Date]])</f>
        <v>2025</v>
      </c>
      <c r="O3411"/>
    </row>
    <row r="3412" spans="1:15" x14ac:dyDescent="0.35">
      <c r="A3412" t="s">
        <v>4383</v>
      </c>
      <c r="B3412" s="2">
        <v>45907</v>
      </c>
      <c r="C3412" t="s">
        <v>36</v>
      </c>
      <c r="D3412" t="s">
        <v>38</v>
      </c>
      <c r="E3412" t="s">
        <v>30</v>
      </c>
      <c r="F3412" t="s">
        <v>31</v>
      </c>
      <c r="G3412">
        <v>2</v>
      </c>
      <c r="H3412">
        <v>2.8</v>
      </c>
      <c r="I3412" t="s">
        <v>14</v>
      </c>
      <c r="J3412" t="s">
        <v>2293</v>
      </c>
      <c r="K3412" s="12">
        <f>Store_Record[[#This Row],[Qty]]*Store_Record[[#This Row],[UnitPriceGBP]]</f>
        <v>5.6</v>
      </c>
      <c r="L3412" s="5" t="str">
        <f>TEXT(Store_Record[[#This Row],[Date]],"dddd")</f>
        <v>Sunday</v>
      </c>
      <c r="M3412" s="5" t="str">
        <f>TEXT(Store_Record[[#This Row],[Date]],"mmmm")</f>
        <v>September</v>
      </c>
      <c r="N3412" s="5">
        <f>YEAR(Store_Record[[#This Row],[Date]])</f>
        <v>2025</v>
      </c>
      <c r="O3412"/>
    </row>
    <row r="3413" spans="1:15" x14ac:dyDescent="0.35">
      <c r="A3413" t="s">
        <v>4380</v>
      </c>
      <c r="B3413" s="2">
        <v>45907</v>
      </c>
      <c r="C3413" t="s">
        <v>36</v>
      </c>
      <c r="D3413" t="s">
        <v>11</v>
      </c>
      <c r="E3413" t="s">
        <v>42</v>
      </c>
      <c r="F3413" t="s">
        <v>13</v>
      </c>
      <c r="G3413">
        <v>1</v>
      </c>
      <c r="H3413">
        <v>3.8</v>
      </c>
      <c r="I3413" t="s">
        <v>21</v>
      </c>
      <c r="J3413" t="s">
        <v>2672</v>
      </c>
      <c r="K3413" s="12">
        <f>Store_Record[[#This Row],[Qty]]*Store_Record[[#This Row],[UnitPriceGBP]]</f>
        <v>3.8</v>
      </c>
      <c r="L3413" s="5" t="str">
        <f>TEXT(Store_Record[[#This Row],[Date]],"dddd")</f>
        <v>Sunday</v>
      </c>
      <c r="M3413" s="5" t="str">
        <f>TEXT(Store_Record[[#This Row],[Date]],"mmmm")</f>
        <v>September</v>
      </c>
      <c r="N3413" s="5">
        <f>YEAR(Store_Record[[#This Row],[Date]])</f>
        <v>2025</v>
      </c>
      <c r="O3413"/>
    </row>
    <row r="3414" spans="1:15" x14ac:dyDescent="0.35">
      <c r="A3414" t="s">
        <v>4386</v>
      </c>
      <c r="B3414" s="2">
        <v>45907</v>
      </c>
      <c r="C3414" t="s">
        <v>10</v>
      </c>
      <c r="D3414" t="s">
        <v>29</v>
      </c>
      <c r="E3414" t="s">
        <v>30</v>
      </c>
      <c r="F3414" t="s">
        <v>31</v>
      </c>
      <c r="G3414">
        <v>1</v>
      </c>
      <c r="H3414">
        <v>2.8</v>
      </c>
      <c r="I3414" t="s">
        <v>39</v>
      </c>
      <c r="J3414" t="s">
        <v>2231</v>
      </c>
      <c r="K3414" s="12">
        <f>Store_Record[[#This Row],[Qty]]*Store_Record[[#This Row],[UnitPriceGBP]]</f>
        <v>2.8</v>
      </c>
      <c r="L3414" s="5" t="str">
        <f>TEXT(Store_Record[[#This Row],[Date]],"dddd")</f>
        <v>Sunday</v>
      </c>
      <c r="M3414" s="5" t="str">
        <f>TEXT(Store_Record[[#This Row],[Date]],"mmmm")</f>
        <v>September</v>
      </c>
      <c r="N3414" s="5">
        <f>YEAR(Store_Record[[#This Row],[Date]])</f>
        <v>2025</v>
      </c>
      <c r="O3414"/>
    </row>
    <row r="3415" spans="1:15" x14ac:dyDescent="0.35">
      <c r="A3415" t="s">
        <v>4393</v>
      </c>
      <c r="B3415" s="2">
        <v>45908</v>
      </c>
      <c r="C3415" t="s">
        <v>10</v>
      </c>
      <c r="D3415" t="s">
        <v>38</v>
      </c>
      <c r="E3415" t="s">
        <v>42</v>
      </c>
      <c r="F3415" t="s">
        <v>13</v>
      </c>
      <c r="G3415">
        <v>4</v>
      </c>
      <c r="H3415">
        <v>3.8</v>
      </c>
      <c r="I3415" t="s">
        <v>21</v>
      </c>
      <c r="J3415" t="s">
        <v>3856</v>
      </c>
      <c r="K3415" s="12">
        <f>Store_Record[[#This Row],[Qty]]*Store_Record[[#This Row],[UnitPriceGBP]]</f>
        <v>15.2</v>
      </c>
      <c r="L3415" s="5" t="str">
        <f>TEXT(Store_Record[[#This Row],[Date]],"dddd")</f>
        <v>Monday</v>
      </c>
      <c r="M3415" s="5" t="str">
        <f>TEXT(Store_Record[[#This Row],[Date]],"mmmm")</f>
        <v>September</v>
      </c>
      <c r="N3415" s="5">
        <f>YEAR(Store_Record[[#This Row],[Date]])</f>
        <v>2025</v>
      </c>
      <c r="O3415"/>
    </row>
    <row r="3416" spans="1:15" x14ac:dyDescent="0.35">
      <c r="A3416" t="s">
        <v>4390</v>
      </c>
      <c r="B3416" s="2">
        <v>45908</v>
      </c>
      <c r="C3416" t="s">
        <v>24</v>
      </c>
      <c r="D3416" t="s">
        <v>47</v>
      </c>
      <c r="E3416" t="s">
        <v>26</v>
      </c>
      <c r="F3416" t="s">
        <v>13</v>
      </c>
      <c r="G3416">
        <v>4</v>
      </c>
      <c r="H3416">
        <v>3.5</v>
      </c>
      <c r="I3416" t="s">
        <v>21</v>
      </c>
      <c r="J3416" t="s">
        <v>2695</v>
      </c>
      <c r="K3416" s="12">
        <f>Store_Record[[#This Row],[Qty]]*Store_Record[[#This Row],[UnitPriceGBP]]</f>
        <v>14</v>
      </c>
      <c r="L3416" s="5" t="str">
        <f>TEXT(Store_Record[[#This Row],[Date]],"dddd")</f>
        <v>Monday</v>
      </c>
      <c r="M3416" s="5" t="str">
        <f>TEXT(Store_Record[[#This Row],[Date]],"mmmm")</f>
        <v>September</v>
      </c>
      <c r="N3416" s="5">
        <f>YEAR(Store_Record[[#This Row],[Date]])</f>
        <v>2025</v>
      </c>
      <c r="O3416"/>
    </row>
    <row r="3417" spans="1:15" x14ac:dyDescent="0.35">
      <c r="A3417" t="s">
        <v>4402</v>
      </c>
      <c r="B3417" s="2">
        <v>45908</v>
      </c>
      <c r="C3417" t="s">
        <v>24</v>
      </c>
      <c r="D3417" t="s">
        <v>29</v>
      </c>
      <c r="E3417" t="s">
        <v>30</v>
      </c>
      <c r="F3417" t="s">
        <v>31</v>
      </c>
      <c r="G3417">
        <v>5</v>
      </c>
      <c r="H3417">
        <v>2.8</v>
      </c>
      <c r="I3417" t="s">
        <v>21</v>
      </c>
      <c r="J3417" t="s">
        <v>481</v>
      </c>
      <c r="K3417" s="12">
        <f>Store_Record[[#This Row],[Qty]]*Store_Record[[#This Row],[UnitPriceGBP]]</f>
        <v>14</v>
      </c>
      <c r="L3417" s="5" t="str">
        <f>TEXT(Store_Record[[#This Row],[Date]],"dddd")</f>
        <v>Monday</v>
      </c>
      <c r="M3417" s="5" t="str">
        <f>TEXT(Store_Record[[#This Row],[Date]],"mmmm")</f>
        <v>September</v>
      </c>
      <c r="N3417" s="5">
        <f>YEAR(Store_Record[[#This Row],[Date]])</f>
        <v>2025</v>
      </c>
      <c r="O3417"/>
    </row>
    <row r="3418" spans="1:15" x14ac:dyDescent="0.35">
      <c r="A3418" t="s">
        <v>4396</v>
      </c>
      <c r="B3418" s="2">
        <v>45908</v>
      </c>
      <c r="C3418" t="s">
        <v>36</v>
      </c>
      <c r="D3418" t="s">
        <v>38</v>
      </c>
      <c r="E3418" t="s">
        <v>12</v>
      </c>
      <c r="F3418" t="s">
        <v>13</v>
      </c>
      <c r="G3418">
        <v>5</v>
      </c>
      <c r="H3418">
        <v>2.5</v>
      </c>
      <c r="I3418" t="s">
        <v>39</v>
      </c>
      <c r="J3418" t="s">
        <v>616</v>
      </c>
      <c r="K3418" s="12">
        <f>Store_Record[[#This Row],[Qty]]*Store_Record[[#This Row],[UnitPriceGBP]]</f>
        <v>12.5</v>
      </c>
      <c r="L3418" s="5" t="str">
        <f>TEXT(Store_Record[[#This Row],[Date]],"dddd")</f>
        <v>Monday</v>
      </c>
      <c r="M3418" s="5" t="str">
        <f>TEXT(Store_Record[[#This Row],[Date]],"mmmm")</f>
        <v>September</v>
      </c>
      <c r="N3418" s="5">
        <f>YEAR(Store_Record[[#This Row],[Date]])</f>
        <v>2025</v>
      </c>
      <c r="O3418"/>
    </row>
    <row r="3419" spans="1:15" x14ac:dyDescent="0.35">
      <c r="A3419" t="s">
        <v>4398</v>
      </c>
      <c r="B3419" s="2">
        <v>45908</v>
      </c>
      <c r="C3419" t="s">
        <v>36</v>
      </c>
      <c r="D3419" t="s">
        <v>38</v>
      </c>
      <c r="E3419" t="s">
        <v>42</v>
      </c>
      <c r="F3419" t="s">
        <v>13</v>
      </c>
      <c r="G3419">
        <v>3</v>
      </c>
      <c r="H3419">
        <v>3.8</v>
      </c>
      <c r="I3419" t="s">
        <v>39</v>
      </c>
      <c r="J3419" t="s">
        <v>1181</v>
      </c>
      <c r="K3419" s="12">
        <f>Store_Record[[#This Row],[Qty]]*Store_Record[[#This Row],[UnitPriceGBP]]</f>
        <v>11.399999999999999</v>
      </c>
      <c r="L3419" s="5" t="str">
        <f>TEXT(Store_Record[[#This Row],[Date]],"dddd")</f>
        <v>Monday</v>
      </c>
      <c r="M3419" s="5" t="str">
        <f>TEXT(Store_Record[[#This Row],[Date]],"mmmm")</f>
        <v>September</v>
      </c>
      <c r="N3419" s="5">
        <f>YEAR(Store_Record[[#This Row],[Date]])</f>
        <v>2025</v>
      </c>
      <c r="O3419"/>
    </row>
    <row r="3420" spans="1:15" x14ac:dyDescent="0.35">
      <c r="A3420" t="s">
        <v>4400</v>
      </c>
      <c r="B3420" s="2">
        <v>45908</v>
      </c>
      <c r="C3420" t="s">
        <v>10</v>
      </c>
      <c r="D3420" t="s">
        <v>25</v>
      </c>
      <c r="E3420" t="s">
        <v>30</v>
      </c>
      <c r="F3420" t="s">
        <v>31</v>
      </c>
      <c r="G3420">
        <v>4</v>
      </c>
      <c r="H3420">
        <v>2.8</v>
      </c>
      <c r="I3420" t="s">
        <v>21</v>
      </c>
      <c r="J3420" t="s">
        <v>802</v>
      </c>
      <c r="K3420" s="12">
        <f>Store_Record[[#This Row],[Qty]]*Store_Record[[#This Row],[UnitPriceGBP]]</f>
        <v>11.2</v>
      </c>
      <c r="L3420" s="5" t="str">
        <f>TEXT(Store_Record[[#This Row],[Date]],"dddd")</f>
        <v>Monday</v>
      </c>
      <c r="M3420" s="5" t="str">
        <f>TEXT(Store_Record[[#This Row],[Date]],"mmmm")</f>
        <v>September</v>
      </c>
      <c r="N3420" s="5">
        <f>YEAR(Store_Record[[#This Row],[Date]])</f>
        <v>2025</v>
      </c>
      <c r="O3420"/>
    </row>
    <row r="3421" spans="1:15" x14ac:dyDescent="0.35">
      <c r="A3421" t="s">
        <v>4387</v>
      </c>
      <c r="B3421" s="2">
        <v>45908</v>
      </c>
      <c r="C3421" t="s">
        <v>36</v>
      </c>
      <c r="D3421" t="s">
        <v>25</v>
      </c>
      <c r="E3421" t="s">
        <v>26</v>
      </c>
      <c r="F3421" t="s">
        <v>13</v>
      </c>
      <c r="G3421">
        <v>3</v>
      </c>
      <c r="H3421">
        <v>3.5</v>
      </c>
      <c r="I3421" t="s">
        <v>39</v>
      </c>
      <c r="J3421" t="s">
        <v>2087</v>
      </c>
      <c r="K3421" s="12">
        <f>Store_Record[[#This Row],[Qty]]*Store_Record[[#This Row],[UnitPriceGBP]]</f>
        <v>10.5</v>
      </c>
      <c r="L3421" s="5" t="str">
        <f>TEXT(Store_Record[[#This Row],[Date]],"dddd")</f>
        <v>Monday</v>
      </c>
      <c r="M3421" s="5" t="str">
        <f>TEXT(Store_Record[[#This Row],[Date]],"mmmm")</f>
        <v>September</v>
      </c>
      <c r="N3421" s="5">
        <f>YEAR(Store_Record[[#This Row],[Date]])</f>
        <v>2025</v>
      </c>
      <c r="O3421"/>
    </row>
    <row r="3422" spans="1:15" x14ac:dyDescent="0.35">
      <c r="A3422" t="s">
        <v>4394</v>
      </c>
      <c r="B3422" s="2">
        <v>45908</v>
      </c>
      <c r="C3422" t="s">
        <v>36</v>
      </c>
      <c r="D3422" t="s">
        <v>29</v>
      </c>
      <c r="E3422" t="s">
        <v>42</v>
      </c>
      <c r="F3422" t="s">
        <v>13</v>
      </c>
      <c r="G3422">
        <v>2</v>
      </c>
      <c r="H3422">
        <v>3.8</v>
      </c>
      <c r="I3422" t="s">
        <v>21</v>
      </c>
      <c r="J3422" t="s">
        <v>183</v>
      </c>
      <c r="K3422" s="12">
        <f>Store_Record[[#This Row],[Qty]]*Store_Record[[#This Row],[UnitPriceGBP]]</f>
        <v>7.6</v>
      </c>
      <c r="L3422" s="5" t="str">
        <f>TEXT(Store_Record[[#This Row],[Date]],"dddd")</f>
        <v>Monday</v>
      </c>
      <c r="M3422" s="5" t="str">
        <f>TEXT(Store_Record[[#This Row],[Date]],"mmmm")</f>
        <v>September</v>
      </c>
      <c r="N3422" s="5">
        <f>YEAR(Store_Record[[#This Row],[Date]])</f>
        <v>2025</v>
      </c>
      <c r="O3422"/>
    </row>
    <row r="3423" spans="1:15" x14ac:dyDescent="0.35">
      <c r="A3423" t="s">
        <v>4397</v>
      </c>
      <c r="B3423" s="2">
        <v>45908</v>
      </c>
      <c r="C3423" t="s">
        <v>36</v>
      </c>
      <c r="D3423" t="s">
        <v>47</v>
      </c>
      <c r="E3423" t="s">
        <v>12</v>
      </c>
      <c r="F3423" t="s">
        <v>13</v>
      </c>
      <c r="G3423">
        <v>3</v>
      </c>
      <c r="H3423">
        <v>2.5</v>
      </c>
      <c r="I3423" t="s">
        <v>39</v>
      </c>
      <c r="J3423" t="s">
        <v>1605</v>
      </c>
      <c r="K3423" s="12">
        <f>Store_Record[[#This Row],[Qty]]*Store_Record[[#This Row],[UnitPriceGBP]]</f>
        <v>7.5</v>
      </c>
      <c r="L3423" s="5" t="str">
        <f>TEXT(Store_Record[[#This Row],[Date]],"dddd")</f>
        <v>Monday</v>
      </c>
      <c r="M3423" s="5" t="str">
        <f>TEXT(Store_Record[[#This Row],[Date]],"mmmm")</f>
        <v>September</v>
      </c>
      <c r="N3423" s="5">
        <f>YEAR(Store_Record[[#This Row],[Date]])</f>
        <v>2025</v>
      </c>
      <c r="O3423"/>
    </row>
    <row r="3424" spans="1:15" x14ac:dyDescent="0.35">
      <c r="A3424" t="s">
        <v>4388</v>
      </c>
      <c r="B3424" s="2">
        <v>45908</v>
      </c>
      <c r="C3424" t="s">
        <v>10</v>
      </c>
      <c r="D3424" t="s">
        <v>38</v>
      </c>
      <c r="E3424" t="s">
        <v>26</v>
      </c>
      <c r="F3424" t="s">
        <v>13</v>
      </c>
      <c r="G3424">
        <v>2</v>
      </c>
      <c r="H3424">
        <v>3.5</v>
      </c>
      <c r="I3424" t="s">
        <v>39</v>
      </c>
      <c r="J3424" t="s">
        <v>406</v>
      </c>
      <c r="K3424" s="12">
        <f>Store_Record[[#This Row],[Qty]]*Store_Record[[#This Row],[UnitPriceGBP]]</f>
        <v>7</v>
      </c>
      <c r="L3424" s="5" t="str">
        <f>TEXT(Store_Record[[#This Row],[Date]],"dddd")</f>
        <v>Monday</v>
      </c>
      <c r="M3424" s="5" t="str">
        <f>TEXT(Store_Record[[#This Row],[Date]],"mmmm")</f>
        <v>September</v>
      </c>
      <c r="N3424" s="5">
        <f>YEAR(Store_Record[[#This Row],[Date]])</f>
        <v>2025</v>
      </c>
      <c r="O3424"/>
    </row>
    <row r="3425" spans="1:15" x14ac:dyDescent="0.35">
      <c r="A3425" t="s">
        <v>4392</v>
      </c>
      <c r="B3425" s="2">
        <v>45908</v>
      </c>
      <c r="C3425" t="s">
        <v>10</v>
      </c>
      <c r="D3425" t="s">
        <v>25</v>
      </c>
      <c r="E3425" t="s">
        <v>26</v>
      </c>
      <c r="F3425" t="s">
        <v>13</v>
      </c>
      <c r="G3425">
        <v>2</v>
      </c>
      <c r="H3425">
        <v>3.5</v>
      </c>
      <c r="I3425" t="s">
        <v>14</v>
      </c>
      <c r="J3425" t="s">
        <v>1254</v>
      </c>
      <c r="K3425" s="12">
        <f>Store_Record[[#This Row],[Qty]]*Store_Record[[#This Row],[UnitPriceGBP]]</f>
        <v>7</v>
      </c>
      <c r="L3425" s="5" t="str">
        <f>TEXT(Store_Record[[#This Row],[Date]],"dddd")</f>
        <v>Monday</v>
      </c>
      <c r="M3425" s="5" t="str">
        <f>TEXT(Store_Record[[#This Row],[Date]],"mmmm")</f>
        <v>September</v>
      </c>
      <c r="N3425" s="5">
        <f>YEAR(Store_Record[[#This Row],[Date]])</f>
        <v>2025</v>
      </c>
      <c r="O3425"/>
    </row>
    <row r="3426" spans="1:15" x14ac:dyDescent="0.35">
      <c r="A3426" t="s">
        <v>4395</v>
      </c>
      <c r="B3426" s="2">
        <v>45908</v>
      </c>
      <c r="C3426" t="s">
        <v>24</v>
      </c>
      <c r="D3426" t="s">
        <v>38</v>
      </c>
      <c r="E3426" t="s">
        <v>34</v>
      </c>
      <c r="F3426" t="s">
        <v>31</v>
      </c>
      <c r="G3426">
        <v>3</v>
      </c>
      <c r="H3426">
        <v>2.2000000000000002</v>
      </c>
      <c r="I3426" t="s">
        <v>39</v>
      </c>
      <c r="J3426" t="s">
        <v>2925</v>
      </c>
      <c r="K3426" s="12">
        <f>Store_Record[[#This Row],[Qty]]*Store_Record[[#This Row],[UnitPriceGBP]]</f>
        <v>6.6000000000000005</v>
      </c>
      <c r="L3426" s="5" t="str">
        <f>TEXT(Store_Record[[#This Row],[Date]],"dddd")</f>
        <v>Monday</v>
      </c>
      <c r="M3426" s="5" t="str">
        <f>TEXT(Store_Record[[#This Row],[Date]],"mmmm")</f>
        <v>September</v>
      </c>
      <c r="N3426" s="5">
        <f>YEAR(Store_Record[[#This Row],[Date]])</f>
        <v>2025</v>
      </c>
      <c r="O3426"/>
    </row>
    <row r="3427" spans="1:15" x14ac:dyDescent="0.35">
      <c r="A3427" t="s">
        <v>4401</v>
      </c>
      <c r="B3427" s="2">
        <v>45908</v>
      </c>
      <c r="C3427" t="s">
        <v>20</v>
      </c>
      <c r="D3427" t="s">
        <v>29</v>
      </c>
      <c r="E3427" t="s">
        <v>12</v>
      </c>
      <c r="F3427" t="s">
        <v>13</v>
      </c>
      <c r="G3427">
        <v>2</v>
      </c>
      <c r="H3427">
        <v>2.5</v>
      </c>
      <c r="I3427" t="s">
        <v>14</v>
      </c>
      <c r="J3427" t="s">
        <v>530</v>
      </c>
      <c r="K3427" s="12">
        <f>Store_Record[[#This Row],[Qty]]*Store_Record[[#This Row],[UnitPriceGBP]]</f>
        <v>5</v>
      </c>
      <c r="L3427" s="5" t="str">
        <f>TEXT(Store_Record[[#This Row],[Date]],"dddd")</f>
        <v>Monday</v>
      </c>
      <c r="M3427" s="5" t="str">
        <f>TEXT(Store_Record[[#This Row],[Date]],"mmmm")</f>
        <v>September</v>
      </c>
      <c r="N3427" s="5">
        <f>YEAR(Store_Record[[#This Row],[Date]])</f>
        <v>2025</v>
      </c>
      <c r="O3427"/>
    </row>
    <row r="3428" spans="1:15" x14ac:dyDescent="0.35">
      <c r="A3428" t="s">
        <v>4391</v>
      </c>
      <c r="B3428" s="2">
        <v>45908</v>
      </c>
      <c r="C3428" t="s">
        <v>36</v>
      </c>
      <c r="D3428" t="s">
        <v>38</v>
      </c>
      <c r="E3428" t="s">
        <v>42</v>
      </c>
      <c r="F3428" t="s">
        <v>13</v>
      </c>
      <c r="G3428">
        <v>1</v>
      </c>
      <c r="H3428">
        <v>3.8</v>
      </c>
      <c r="I3428" t="s">
        <v>14</v>
      </c>
      <c r="J3428" t="s">
        <v>1753</v>
      </c>
      <c r="K3428" s="12">
        <f>Store_Record[[#This Row],[Qty]]*Store_Record[[#This Row],[UnitPriceGBP]]</f>
        <v>3.8</v>
      </c>
      <c r="L3428" s="5" t="str">
        <f>TEXT(Store_Record[[#This Row],[Date]],"dddd")</f>
        <v>Monday</v>
      </c>
      <c r="M3428" s="5" t="str">
        <f>TEXT(Store_Record[[#This Row],[Date]],"mmmm")</f>
        <v>September</v>
      </c>
      <c r="N3428" s="5">
        <f>YEAR(Store_Record[[#This Row],[Date]])</f>
        <v>2025</v>
      </c>
      <c r="O3428"/>
    </row>
    <row r="3429" spans="1:15" x14ac:dyDescent="0.35">
      <c r="A3429" t="s">
        <v>4389</v>
      </c>
      <c r="B3429" s="2">
        <v>45908</v>
      </c>
      <c r="C3429" t="s">
        <v>24</v>
      </c>
      <c r="D3429" t="s">
        <v>38</v>
      </c>
      <c r="E3429" t="s">
        <v>26</v>
      </c>
      <c r="F3429" t="s">
        <v>13</v>
      </c>
      <c r="G3429">
        <v>1</v>
      </c>
      <c r="H3429">
        <v>3.5</v>
      </c>
      <c r="I3429" t="s">
        <v>39</v>
      </c>
      <c r="J3429" t="s">
        <v>1907</v>
      </c>
      <c r="K3429" s="12">
        <f>Store_Record[[#This Row],[Qty]]*Store_Record[[#This Row],[UnitPriceGBP]]</f>
        <v>3.5</v>
      </c>
      <c r="L3429" s="5" t="str">
        <f>TEXT(Store_Record[[#This Row],[Date]],"dddd")</f>
        <v>Monday</v>
      </c>
      <c r="M3429" s="5" t="str">
        <f>TEXT(Store_Record[[#This Row],[Date]],"mmmm")</f>
        <v>September</v>
      </c>
      <c r="N3429" s="5">
        <f>YEAR(Store_Record[[#This Row],[Date]])</f>
        <v>2025</v>
      </c>
      <c r="O3429"/>
    </row>
    <row r="3430" spans="1:15" x14ac:dyDescent="0.35">
      <c r="A3430" t="s">
        <v>4399</v>
      </c>
      <c r="B3430" s="2">
        <v>45908</v>
      </c>
      <c r="C3430" t="s">
        <v>36</v>
      </c>
      <c r="D3430" t="s">
        <v>25</v>
      </c>
      <c r="E3430" t="s">
        <v>30</v>
      </c>
      <c r="F3430" t="s">
        <v>31</v>
      </c>
      <c r="G3430">
        <v>1</v>
      </c>
      <c r="H3430">
        <v>2.8</v>
      </c>
      <c r="I3430" t="s">
        <v>39</v>
      </c>
      <c r="J3430" t="s">
        <v>376</v>
      </c>
      <c r="K3430" s="12">
        <f>Store_Record[[#This Row],[Qty]]*Store_Record[[#This Row],[UnitPriceGBP]]</f>
        <v>2.8</v>
      </c>
      <c r="L3430" s="5" t="str">
        <f>TEXT(Store_Record[[#This Row],[Date]],"dddd")</f>
        <v>Monday</v>
      </c>
      <c r="M3430" s="5" t="str">
        <f>TEXT(Store_Record[[#This Row],[Date]],"mmmm")</f>
        <v>September</v>
      </c>
      <c r="N3430" s="5">
        <f>YEAR(Store_Record[[#This Row],[Date]])</f>
        <v>2025</v>
      </c>
      <c r="O3430"/>
    </row>
    <row r="3431" spans="1:15" x14ac:dyDescent="0.35">
      <c r="A3431" t="s">
        <v>4405</v>
      </c>
      <c r="B3431" s="2">
        <v>45909</v>
      </c>
      <c r="C3431" t="s">
        <v>24</v>
      </c>
      <c r="D3431" t="s">
        <v>25</v>
      </c>
      <c r="E3431" t="s">
        <v>26</v>
      </c>
      <c r="F3431" t="s">
        <v>13</v>
      </c>
      <c r="G3431">
        <v>5</v>
      </c>
      <c r="H3431">
        <v>3.5</v>
      </c>
      <c r="I3431" t="s">
        <v>21</v>
      </c>
      <c r="J3431" t="s">
        <v>269</v>
      </c>
      <c r="K3431" s="12">
        <f>Store_Record[[#This Row],[Qty]]*Store_Record[[#This Row],[UnitPriceGBP]]</f>
        <v>17.5</v>
      </c>
      <c r="L3431" s="5" t="str">
        <f>TEXT(Store_Record[[#This Row],[Date]],"dddd")</f>
        <v>Tuesday</v>
      </c>
      <c r="M3431" s="5" t="str">
        <f>TEXT(Store_Record[[#This Row],[Date]],"mmmm")</f>
        <v>September</v>
      </c>
      <c r="N3431" s="5">
        <f>YEAR(Store_Record[[#This Row],[Date]])</f>
        <v>2025</v>
      </c>
      <c r="O3431"/>
    </row>
    <row r="3432" spans="1:15" x14ac:dyDescent="0.35">
      <c r="A3432" t="s">
        <v>4412</v>
      </c>
      <c r="B3432" s="2">
        <v>45909</v>
      </c>
      <c r="C3432" t="s">
        <v>10</v>
      </c>
      <c r="D3432" t="s">
        <v>47</v>
      </c>
      <c r="E3432" t="s">
        <v>42</v>
      </c>
      <c r="F3432" t="s">
        <v>13</v>
      </c>
      <c r="G3432">
        <v>3</v>
      </c>
      <c r="H3432">
        <v>3.8</v>
      </c>
      <c r="I3432" t="s">
        <v>39</v>
      </c>
      <c r="J3432" t="s">
        <v>2361</v>
      </c>
      <c r="K3432" s="12">
        <f>Store_Record[[#This Row],[Qty]]*Store_Record[[#This Row],[UnitPriceGBP]]</f>
        <v>11.399999999999999</v>
      </c>
      <c r="L3432" s="5" t="str">
        <f>TEXT(Store_Record[[#This Row],[Date]],"dddd")</f>
        <v>Tuesday</v>
      </c>
      <c r="M3432" s="5" t="str">
        <f>TEXT(Store_Record[[#This Row],[Date]],"mmmm")</f>
        <v>September</v>
      </c>
      <c r="N3432" s="5">
        <f>YEAR(Store_Record[[#This Row],[Date]])</f>
        <v>2025</v>
      </c>
      <c r="O3432"/>
    </row>
    <row r="3433" spans="1:15" x14ac:dyDescent="0.35">
      <c r="A3433" t="s">
        <v>4409</v>
      </c>
      <c r="B3433" s="2">
        <v>45909</v>
      </c>
      <c r="C3433" t="s">
        <v>20</v>
      </c>
      <c r="D3433" t="s">
        <v>25</v>
      </c>
      <c r="E3433" t="s">
        <v>30</v>
      </c>
      <c r="F3433" t="s">
        <v>31</v>
      </c>
      <c r="G3433">
        <v>4</v>
      </c>
      <c r="H3433">
        <v>2.8</v>
      </c>
      <c r="I3433" t="s">
        <v>14</v>
      </c>
      <c r="J3433" t="s">
        <v>1475</v>
      </c>
      <c r="K3433" s="12">
        <f>Store_Record[[#This Row],[Qty]]*Store_Record[[#This Row],[UnitPriceGBP]]</f>
        <v>11.2</v>
      </c>
      <c r="L3433" s="5" t="str">
        <f>TEXT(Store_Record[[#This Row],[Date]],"dddd")</f>
        <v>Tuesday</v>
      </c>
      <c r="M3433" s="5" t="str">
        <f>TEXT(Store_Record[[#This Row],[Date]],"mmmm")</f>
        <v>September</v>
      </c>
      <c r="N3433" s="5">
        <f>YEAR(Store_Record[[#This Row],[Date]])</f>
        <v>2025</v>
      </c>
      <c r="O3433"/>
    </row>
    <row r="3434" spans="1:15" x14ac:dyDescent="0.35">
      <c r="A3434" t="s">
        <v>4410</v>
      </c>
      <c r="B3434" s="2">
        <v>45909</v>
      </c>
      <c r="C3434" t="s">
        <v>10</v>
      </c>
      <c r="D3434" t="s">
        <v>38</v>
      </c>
      <c r="E3434" t="s">
        <v>26</v>
      </c>
      <c r="F3434" t="s">
        <v>13</v>
      </c>
      <c r="G3434">
        <v>3</v>
      </c>
      <c r="H3434">
        <v>3.5</v>
      </c>
      <c r="I3434" t="s">
        <v>39</v>
      </c>
      <c r="J3434" t="s">
        <v>1367</v>
      </c>
      <c r="K3434" s="12">
        <f>Store_Record[[#This Row],[Qty]]*Store_Record[[#This Row],[UnitPriceGBP]]</f>
        <v>10.5</v>
      </c>
      <c r="L3434" s="5" t="str">
        <f>TEXT(Store_Record[[#This Row],[Date]],"dddd")</f>
        <v>Tuesday</v>
      </c>
      <c r="M3434" s="5" t="str">
        <f>TEXT(Store_Record[[#This Row],[Date]],"mmmm")</f>
        <v>September</v>
      </c>
      <c r="N3434" s="5">
        <f>YEAR(Store_Record[[#This Row],[Date]])</f>
        <v>2025</v>
      </c>
      <c r="O3434"/>
    </row>
    <row r="3435" spans="1:15" x14ac:dyDescent="0.35">
      <c r="A3435" t="s">
        <v>4407</v>
      </c>
      <c r="B3435" s="2">
        <v>45909</v>
      </c>
      <c r="C3435" t="s">
        <v>24</v>
      </c>
      <c r="D3435" t="s">
        <v>29</v>
      </c>
      <c r="E3435" t="s">
        <v>12</v>
      </c>
      <c r="F3435" t="s">
        <v>13</v>
      </c>
      <c r="G3435">
        <v>4</v>
      </c>
      <c r="H3435">
        <v>2.5</v>
      </c>
      <c r="I3435" t="s">
        <v>14</v>
      </c>
      <c r="J3435" t="s">
        <v>1663</v>
      </c>
      <c r="K3435" s="12">
        <f>Store_Record[[#This Row],[Qty]]*Store_Record[[#This Row],[UnitPriceGBP]]</f>
        <v>10</v>
      </c>
      <c r="L3435" s="5" t="str">
        <f>TEXT(Store_Record[[#This Row],[Date]],"dddd")</f>
        <v>Tuesday</v>
      </c>
      <c r="M3435" s="5" t="str">
        <f>TEXT(Store_Record[[#This Row],[Date]],"mmmm")</f>
        <v>September</v>
      </c>
      <c r="N3435" s="5">
        <f>YEAR(Store_Record[[#This Row],[Date]])</f>
        <v>2025</v>
      </c>
      <c r="O3435"/>
    </row>
    <row r="3436" spans="1:15" x14ac:dyDescent="0.35">
      <c r="A3436" t="s">
        <v>4414</v>
      </c>
      <c r="B3436" s="2">
        <v>45909</v>
      </c>
      <c r="C3436" t="s">
        <v>20</v>
      </c>
      <c r="D3436" t="s">
        <v>47</v>
      </c>
      <c r="E3436" t="s">
        <v>34</v>
      </c>
      <c r="F3436" t="s">
        <v>31</v>
      </c>
      <c r="G3436">
        <v>4</v>
      </c>
      <c r="H3436">
        <v>2.2000000000000002</v>
      </c>
      <c r="I3436" t="s">
        <v>21</v>
      </c>
      <c r="J3436" t="s">
        <v>107</v>
      </c>
      <c r="K3436" s="12">
        <f>Store_Record[[#This Row],[Qty]]*Store_Record[[#This Row],[UnitPriceGBP]]</f>
        <v>8.8000000000000007</v>
      </c>
      <c r="L3436" s="5" t="str">
        <f>TEXT(Store_Record[[#This Row],[Date]],"dddd")</f>
        <v>Tuesday</v>
      </c>
      <c r="M3436" s="5" t="str">
        <f>TEXT(Store_Record[[#This Row],[Date]],"mmmm")</f>
        <v>September</v>
      </c>
      <c r="N3436" s="5">
        <f>YEAR(Store_Record[[#This Row],[Date]])</f>
        <v>2025</v>
      </c>
      <c r="O3436"/>
    </row>
    <row r="3437" spans="1:15" x14ac:dyDescent="0.35">
      <c r="A3437" t="s">
        <v>4411</v>
      </c>
      <c r="B3437" s="2">
        <v>45909</v>
      </c>
      <c r="C3437" t="s">
        <v>36</v>
      </c>
      <c r="D3437" t="s">
        <v>47</v>
      </c>
      <c r="E3437" t="s">
        <v>42</v>
      </c>
      <c r="F3437" t="s">
        <v>13</v>
      </c>
      <c r="G3437">
        <v>2</v>
      </c>
      <c r="H3437">
        <v>3.8</v>
      </c>
      <c r="I3437" t="s">
        <v>39</v>
      </c>
      <c r="J3437" t="s">
        <v>40</v>
      </c>
      <c r="K3437" s="12">
        <f>Store_Record[[#This Row],[Qty]]*Store_Record[[#This Row],[UnitPriceGBP]]</f>
        <v>7.6</v>
      </c>
      <c r="L3437" s="5" t="str">
        <f>TEXT(Store_Record[[#This Row],[Date]],"dddd")</f>
        <v>Tuesday</v>
      </c>
      <c r="M3437" s="5" t="str">
        <f>TEXT(Store_Record[[#This Row],[Date]],"mmmm")</f>
        <v>September</v>
      </c>
      <c r="N3437" s="5">
        <f>YEAR(Store_Record[[#This Row],[Date]])</f>
        <v>2025</v>
      </c>
      <c r="O3437"/>
    </row>
    <row r="3438" spans="1:15" x14ac:dyDescent="0.35">
      <c r="A3438" t="s">
        <v>4403</v>
      </c>
      <c r="B3438" s="2">
        <v>45909</v>
      </c>
      <c r="C3438" t="s">
        <v>10</v>
      </c>
      <c r="D3438" t="s">
        <v>47</v>
      </c>
      <c r="E3438" t="s">
        <v>34</v>
      </c>
      <c r="F3438" t="s">
        <v>31</v>
      </c>
      <c r="G3438">
        <v>3</v>
      </c>
      <c r="H3438">
        <v>2.2000000000000002</v>
      </c>
      <c r="I3438" t="s">
        <v>21</v>
      </c>
      <c r="J3438" t="s">
        <v>555</v>
      </c>
      <c r="K3438" s="12">
        <f>Store_Record[[#This Row],[Qty]]*Store_Record[[#This Row],[UnitPriceGBP]]</f>
        <v>6.6000000000000005</v>
      </c>
      <c r="L3438" s="5" t="str">
        <f>TEXT(Store_Record[[#This Row],[Date]],"dddd")</f>
        <v>Tuesday</v>
      </c>
      <c r="M3438" s="5" t="str">
        <f>TEXT(Store_Record[[#This Row],[Date]],"mmmm")</f>
        <v>September</v>
      </c>
      <c r="N3438" s="5">
        <f>YEAR(Store_Record[[#This Row],[Date]])</f>
        <v>2025</v>
      </c>
      <c r="O3438"/>
    </row>
    <row r="3439" spans="1:15" x14ac:dyDescent="0.35">
      <c r="A3439" t="s">
        <v>4413</v>
      </c>
      <c r="B3439" s="2">
        <v>45909</v>
      </c>
      <c r="C3439" t="s">
        <v>24</v>
      </c>
      <c r="D3439" t="s">
        <v>25</v>
      </c>
      <c r="E3439" t="s">
        <v>12</v>
      </c>
      <c r="F3439" t="s">
        <v>13</v>
      </c>
      <c r="G3439">
        <v>2</v>
      </c>
      <c r="H3439">
        <v>2.5</v>
      </c>
      <c r="I3439" t="s">
        <v>21</v>
      </c>
      <c r="J3439" t="s">
        <v>696</v>
      </c>
      <c r="K3439" s="12">
        <f>Store_Record[[#This Row],[Qty]]*Store_Record[[#This Row],[UnitPriceGBP]]</f>
        <v>5</v>
      </c>
      <c r="L3439" s="5" t="str">
        <f>TEXT(Store_Record[[#This Row],[Date]],"dddd")</f>
        <v>Tuesday</v>
      </c>
      <c r="M3439" s="5" t="str">
        <f>TEXT(Store_Record[[#This Row],[Date]],"mmmm")</f>
        <v>September</v>
      </c>
      <c r="N3439" s="5">
        <f>YEAR(Store_Record[[#This Row],[Date]])</f>
        <v>2025</v>
      </c>
      <c r="O3439"/>
    </row>
    <row r="3440" spans="1:15" x14ac:dyDescent="0.35">
      <c r="A3440" t="s">
        <v>4406</v>
      </c>
      <c r="B3440" s="2">
        <v>45909</v>
      </c>
      <c r="C3440" t="s">
        <v>36</v>
      </c>
      <c r="D3440" t="s">
        <v>25</v>
      </c>
      <c r="E3440" t="s">
        <v>42</v>
      </c>
      <c r="F3440" t="s">
        <v>13</v>
      </c>
      <c r="G3440">
        <v>1</v>
      </c>
      <c r="H3440">
        <v>3.8</v>
      </c>
      <c r="I3440" t="s">
        <v>39</v>
      </c>
      <c r="J3440" t="s">
        <v>310</v>
      </c>
      <c r="K3440" s="12">
        <f>Store_Record[[#This Row],[Qty]]*Store_Record[[#This Row],[UnitPriceGBP]]</f>
        <v>3.8</v>
      </c>
      <c r="L3440" s="5" t="str">
        <f>TEXT(Store_Record[[#This Row],[Date]],"dddd")</f>
        <v>Tuesday</v>
      </c>
      <c r="M3440" s="5" t="str">
        <f>TEXT(Store_Record[[#This Row],[Date]],"mmmm")</f>
        <v>September</v>
      </c>
      <c r="N3440" s="5">
        <f>YEAR(Store_Record[[#This Row],[Date]])</f>
        <v>2025</v>
      </c>
      <c r="O3440"/>
    </row>
    <row r="3441" spans="1:15" x14ac:dyDescent="0.35">
      <c r="A3441" t="s">
        <v>4404</v>
      </c>
      <c r="B3441" s="2">
        <v>45909</v>
      </c>
      <c r="C3441" t="s">
        <v>24</v>
      </c>
      <c r="D3441" t="s">
        <v>25</v>
      </c>
      <c r="E3441" t="s">
        <v>26</v>
      </c>
      <c r="F3441" t="s">
        <v>13</v>
      </c>
      <c r="G3441">
        <v>1</v>
      </c>
      <c r="H3441">
        <v>3.5</v>
      </c>
      <c r="I3441" t="s">
        <v>21</v>
      </c>
      <c r="J3441" t="s">
        <v>1434</v>
      </c>
      <c r="K3441" s="12">
        <f>Store_Record[[#This Row],[Qty]]*Store_Record[[#This Row],[UnitPriceGBP]]</f>
        <v>3.5</v>
      </c>
      <c r="L3441" s="5" t="str">
        <f>TEXT(Store_Record[[#This Row],[Date]],"dddd")</f>
        <v>Tuesday</v>
      </c>
      <c r="M3441" s="5" t="str">
        <f>TEXT(Store_Record[[#This Row],[Date]],"mmmm")</f>
        <v>September</v>
      </c>
      <c r="N3441" s="5">
        <f>YEAR(Store_Record[[#This Row],[Date]])</f>
        <v>2025</v>
      </c>
      <c r="O3441"/>
    </row>
    <row r="3442" spans="1:15" x14ac:dyDescent="0.35">
      <c r="A3442" t="s">
        <v>4408</v>
      </c>
      <c r="B3442" s="2">
        <v>45909</v>
      </c>
      <c r="C3442" t="s">
        <v>24</v>
      </c>
      <c r="D3442" t="s">
        <v>38</v>
      </c>
      <c r="E3442" t="s">
        <v>34</v>
      </c>
      <c r="F3442" t="s">
        <v>31</v>
      </c>
      <c r="G3442">
        <v>1</v>
      </c>
      <c r="H3442">
        <v>2.2000000000000002</v>
      </c>
      <c r="I3442" t="s">
        <v>39</v>
      </c>
      <c r="J3442" t="s">
        <v>204</v>
      </c>
      <c r="K3442" s="12">
        <f>Store_Record[[#This Row],[Qty]]*Store_Record[[#This Row],[UnitPriceGBP]]</f>
        <v>2.2000000000000002</v>
      </c>
      <c r="L3442" s="5" t="str">
        <f>TEXT(Store_Record[[#This Row],[Date]],"dddd")</f>
        <v>Tuesday</v>
      </c>
      <c r="M3442" s="5" t="str">
        <f>TEXT(Store_Record[[#This Row],[Date]],"mmmm")</f>
        <v>September</v>
      </c>
      <c r="N3442" s="5">
        <f>YEAR(Store_Record[[#This Row],[Date]])</f>
        <v>2025</v>
      </c>
      <c r="O3442"/>
    </row>
    <row r="3443" spans="1:15" x14ac:dyDescent="0.35">
      <c r="A3443" t="s">
        <v>4419</v>
      </c>
      <c r="B3443" s="2">
        <v>45910</v>
      </c>
      <c r="C3443" t="s">
        <v>20</v>
      </c>
      <c r="D3443" t="s">
        <v>47</v>
      </c>
      <c r="E3443" t="s">
        <v>26</v>
      </c>
      <c r="F3443" t="s">
        <v>13</v>
      </c>
      <c r="G3443">
        <v>5</v>
      </c>
      <c r="H3443">
        <v>3.5</v>
      </c>
      <c r="I3443" t="s">
        <v>14</v>
      </c>
      <c r="J3443" t="s">
        <v>183</v>
      </c>
      <c r="K3443" s="12">
        <f>Store_Record[[#This Row],[Qty]]*Store_Record[[#This Row],[UnitPriceGBP]]</f>
        <v>17.5</v>
      </c>
      <c r="L3443" s="5" t="str">
        <f>TEXT(Store_Record[[#This Row],[Date]],"dddd")</f>
        <v>Wednesday</v>
      </c>
      <c r="M3443" s="5" t="str">
        <f>TEXT(Store_Record[[#This Row],[Date]],"mmmm")</f>
        <v>September</v>
      </c>
      <c r="N3443" s="5">
        <f>YEAR(Store_Record[[#This Row],[Date]])</f>
        <v>2025</v>
      </c>
      <c r="O3443"/>
    </row>
    <row r="3444" spans="1:15" x14ac:dyDescent="0.35">
      <c r="A3444" t="s">
        <v>4418</v>
      </c>
      <c r="B3444" s="2">
        <v>45910</v>
      </c>
      <c r="C3444" t="s">
        <v>20</v>
      </c>
      <c r="D3444" t="s">
        <v>11</v>
      </c>
      <c r="E3444" t="s">
        <v>26</v>
      </c>
      <c r="F3444" t="s">
        <v>13</v>
      </c>
      <c r="G3444">
        <v>4</v>
      </c>
      <c r="H3444">
        <v>3.5</v>
      </c>
      <c r="I3444" t="s">
        <v>21</v>
      </c>
      <c r="J3444" t="s">
        <v>638</v>
      </c>
      <c r="K3444" s="12">
        <f>Store_Record[[#This Row],[Qty]]*Store_Record[[#This Row],[UnitPriceGBP]]</f>
        <v>14</v>
      </c>
      <c r="L3444" s="5" t="str">
        <f>TEXT(Store_Record[[#This Row],[Date]],"dddd")</f>
        <v>Wednesday</v>
      </c>
      <c r="M3444" s="5" t="str">
        <f>TEXT(Store_Record[[#This Row],[Date]],"mmmm")</f>
        <v>September</v>
      </c>
      <c r="N3444" s="5">
        <f>YEAR(Store_Record[[#This Row],[Date]])</f>
        <v>2025</v>
      </c>
      <c r="O3444"/>
    </row>
    <row r="3445" spans="1:15" x14ac:dyDescent="0.35">
      <c r="A3445" t="s">
        <v>4425</v>
      </c>
      <c r="B3445" s="2">
        <v>45910</v>
      </c>
      <c r="C3445" t="s">
        <v>24</v>
      </c>
      <c r="D3445" t="s">
        <v>47</v>
      </c>
      <c r="E3445" t="s">
        <v>26</v>
      </c>
      <c r="F3445" t="s">
        <v>13</v>
      </c>
      <c r="G3445">
        <v>3</v>
      </c>
      <c r="H3445">
        <v>3.5</v>
      </c>
      <c r="I3445" t="s">
        <v>14</v>
      </c>
      <c r="J3445" t="s">
        <v>575</v>
      </c>
      <c r="K3445" s="12">
        <f>Store_Record[[#This Row],[Qty]]*Store_Record[[#This Row],[UnitPriceGBP]]</f>
        <v>10.5</v>
      </c>
      <c r="L3445" s="5" t="str">
        <f>TEXT(Store_Record[[#This Row],[Date]],"dddd")</f>
        <v>Wednesday</v>
      </c>
      <c r="M3445" s="5" t="str">
        <f>TEXT(Store_Record[[#This Row],[Date]],"mmmm")</f>
        <v>September</v>
      </c>
      <c r="N3445" s="5">
        <f>YEAR(Store_Record[[#This Row],[Date]])</f>
        <v>2025</v>
      </c>
      <c r="O3445"/>
    </row>
    <row r="3446" spans="1:15" x14ac:dyDescent="0.35">
      <c r="A3446" t="s">
        <v>4424</v>
      </c>
      <c r="B3446" s="2">
        <v>45910</v>
      </c>
      <c r="C3446" t="s">
        <v>36</v>
      </c>
      <c r="D3446" t="s">
        <v>25</v>
      </c>
      <c r="E3446" t="s">
        <v>12</v>
      </c>
      <c r="F3446" t="s">
        <v>13</v>
      </c>
      <c r="G3446">
        <v>4</v>
      </c>
      <c r="H3446">
        <v>2.5</v>
      </c>
      <c r="I3446" t="s">
        <v>21</v>
      </c>
      <c r="J3446" t="s">
        <v>2781</v>
      </c>
      <c r="K3446" s="12">
        <f>Store_Record[[#This Row],[Qty]]*Store_Record[[#This Row],[UnitPriceGBP]]</f>
        <v>10</v>
      </c>
      <c r="L3446" s="5" t="str">
        <f>TEXT(Store_Record[[#This Row],[Date]],"dddd")</f>
        <v>Wednesday</v>
      </c>
      <c r="M3446" s="5" t="str">
        <f>TEXT(Store_Record[[#This Row],[Date]],"mmmm")</f>
        <v>September</v>
      </c>
      <c r="N3446" s="5">
        <f>YEAR(Store_Record[[#This Row],[Date]])</f>
        <v>2025</v>
      </c>
      <c r="O3446"/>
    </row>
    <row r="3447" spans="1:15" x14ac:dyDescent="0.35">
      <c r="A3447" t="s">
        <v>4420</v>
      </c>
      <c r="B3447" s="2">
        <v>45910</v>
      </c>
      <c r="C3447" t="s">
        <v>36</v>
      </c>
      <c r="D3447" t="s">
        <v>29</v>
      </c>
      <c r="E3447" t="s">
        <v>42</v>
      </c>
      <c r="F3447" t="s">
        <v>13</v>
      </c>
      <c r="G3447">
        <v>2</v>
      </c>
      <c r="H3447">
        <v>3.8</v>
      </c>
      <c r="I3447" t="s">
        <v>39</v>
      </c>
      <c r="J3447" t="s">
        <v>1479</v>
      </c>
      <c r="K3447" s="12">
        <f>Store_Record[[#This Row],[Qty]]*Store_Record[[#This Row],[UnitPriceGBP]]</f>
        <v>7.6</v>
      </c>
      <c r="L3447" s="5" t="str">
        <f>TEXT(Store_Record[[#This Row],[Date]],"dddd")</f>
        <v>Wednesday</v>
      </c>
      <c r="M3447" s="5" t="str">
        <f>TEXT(Store_Record[[#This Row],[Date]],"mmmm")</f>
        <v>September</v>
      </c>
      <c r="N3447" s="5">
        <f>YEAR(Store_Record[[#This Row],[Date]])</f>
        <v>2025</v>
      </c>
      <c r="O3447"/>
    </row>
    <row r="3448" spans="1:15" x14ac:dyDescent="0.35">
      <c r="A3448" t="s">
        <v>4422</v>
      </c>
      <c r="B3448" s="2">
        <v>45910</v>
      </c>
      <c r="C3448" t="s">
        <v>20</v>
      </c>
      <c r="D3448" t="s">
        <v>11</v>
      </c>
      <c r="E3448" t="s">
        <v>26</v>
      </c>
      <c r="F3448" t="s">
        <v>13</v>
      </c>
      <c r="G3448">
        <v>2</v>
      </c>
      <c r="H3448">
        <v>3.5</v>
      </c>
      <c r="I3448" t="s">
        <v>39</v>
      </c>
      <c r="J3448" t="s">
        <v>284</v>
      </c>
      <c r="K3448" s="12">
        <f>Store_Record[[#This Row],[Qty]]*Store_Record[[#This Row],[UnitPriceGBP]]</f>
        <v>7</v>
      </c>
      <c r="L3448" s="5" t="str">
        <f>TEXT(Store_Record[[#This Row],[Date]],"dddd")</f>
        <v>Wednesday</v>
      </c>
      <c r="M3448" s="5" t="str">
        <f>TEXT(Store_Record[[#This Row],[Date]],"mmmm")</f>
        <v>September</v>
      </c>
      <c r="N3448" s="5">
        <f>YEAR(Store_Record[[#This Row],[Date]])</f>
        <v>2025</v>
      </c>
      <c r="O3448"/>
    </row>
    <row r="3449" spans="1:15" x14ac:dyDescent="0.35">
      <c r="A3449" t="s">
        <v>4415</v>
      </c>
      <c r="B3449" s="2">
        <v>45910</v>
      </c>
      <c r="C3449" t="s">
        <v>20</v>
      </c>
      <c r="D3449" t="s">
        <v>47</v>
      </c>
      <c r="E3449" t="s">
        <v>34</v>
      </c>
      <c r="F3449" t="s">
        <v>31</v>
      </c>
      <c r="G3449">
        <v>3</v>
      </c>
      <c r="H3449">
        <v>2.2000000000000002</v>
      </c>
      <c r="I3449" t="s">
        <v>14</v>
      </c>
      <c r="J3449" t="s">
        <v>1177</v>
      </c>
      <c r="K3449" s="12">
        <f>Store_Record[[#This Row],[Qty]]*Store_Record[[#This Row],[UnitPriceGBP]]</f>
        <v>6.6000000000000005</v>
      </c>
      <c r="L3449" s="5" t="str">
        <f>TEXT(Store_Record[[#This Row],[Date]],"dddd")</f>
        <v>Wednesday</v>
      </c>
      <c r="M3449" s="5" t="str">
        <f>TEXT(Store_Record[[#This Row],[Date]],"mmmm")</f>
        <v>September</v>
      </c>
      <c r="N3449" s="5">
        <f>YEAR(Store_Record[[#This Row],[Date]])</f>
        <v>2025</v>
      </c>
      <c r="O3449"/>
    </row>
    <row r="3450" spans="1:15" x14ac:dyDescent="0.35">
      <c r="A3450" t="s">
        <v>4416</v>
      </c>
      <c r="B3450" s="2">
        <v>45910</v>
      </c>
      <c r="C3450" t="s">
        <v>24</v>
      </c>
      <c r="D3450" t="s">
        <v>47</v>
      </c>
      <c r="E3450" t="s">
        <v>34</v>
      </c>
      <c r="F3450" t="s">
        <v>31</v>
      </c>
      <c r="G3450">
        <v>3</v>
      </c>
      <c r="H3450">
        <v>2.2000000000000002</v>
      </c>
      <c r="I3450" t="s">
        <v>14</v>
      </c>
      <c r="J3450" t="s">
        <v>2827</v>
      </c>
      <c r="K3450" s="12">
        <f>Store_Record[[#This Row],[Qty]]*Store_Record[[#This Row],[UnitPriceGBP]]</f>
        <v>6.6000000000000005</v>
      </c>
      <c r="L3450" s="5" t="str">
        <f>TEXT(Store_Record[[#This Row],[Date]],"dddd")</f>
        <v>Wednesday</v>
      </c>
      <c r="M3450" s="5" t="str">
        <f>TEXT(Store_Record[[#This Row],[Date]],"mmmm")</f>
        <v>September</v>
      </c>
      <c r="N3450" s="5">
        <f>YEAR(Store_Record[[#This Row],[Date]])</f>
        <v>2025</v>
      </c>
      <c r="O3450"/>
    </row>
    <row r="3451" spans="1:15" x14ac:dyDescent="0.35">
      <c r="A3451" t="s">
        <v>4426</v>
      </c>
      <c r="B3451" s="2">
        <v>45910</v>
      </c>
      <c r="C3451" t="s">
        <v>10</v>
      </c>
      <c r="D3451" t="s">
        <v>38</v>
      </c>
      <c r="E3451" t="s">
        <v>34</v>
      </c>
      <c r="F3451" t="s">
        <v>31</v>
      </c>
      <c r="G3451">
        <v>3</v>
      </c>
      <c r="H3451">
        <v>2.2000000000000002</v>
      </c>
      <c r="I3451" t="s">
        <v>14</v>
      </c>
      <c r="J3451" t="s">
        <v>452</v>
      </c>
      <c r="K3451" s="12">
        <f>Store_Record[[#This Row],[Qty]]*Store_Record[[#This Row],[UnitPriceGBP]]</f>
        <v>6.6000000000000005</v>
      </c>
      <c r="L3451" s="5" t="str">
        <f>TEXT(Store_Record[[#This Row],[Date]],"dddd")</f>
        <v>Wednesday</v>
      </c>
      <c r="M3451" s="5" t="str">
        <f>TEXT(Store_Record[[#This Row],[Date]],"mmmm")</f>
        <v>September</v>
      </c>
      <c r="N3451" s="5">
        <f>YEAR(Store_Record[[#This Row],[Date]])</f>
        <v>2025</v>
      </c>
      <c r="O3451"/>
    </row>
    <row r="3452" spans="1:15" x14ac:dyDescent="0.35">
      <c r="A3452" t="s">
        <v>4427</v>
      </c>
      <c r="B3452" s="2">
        <v>45910</v>
      </c>
      <c r="C3452" t="s">
        <v>20</v>
      </c>
      <c r="D3452" t="s">
        <v>38</v>
      </c>
      <c r="E3452" t="s">
        <v>30</v>
      </c>
      <c r="F3452" t="s">
        <v>31</v>
      </c>
      <c r="G3452">
        <v>2</v>
      </c>
      <c r="H3452">
        <v>2.8</v>
      </c>
      <c r="I3452" t="s">
        <v>14</v>
      </c>
      <c r="J3452" t="s">
        <v>269</v>
      </c>
      <c r="K3452" s="12">
        <f>Store_Record[[#This Row],[Qty]]*Store_Record[[#This Row],[UnitPriceGBP]]</f>
        <v>5.6</v>
      </c>
      <c r="L3452" s="5" t="str">
        <f>TEXT(Store_Record[[#This Row],[Date]],"dddd")</f>
        <v>Wednesday</v>
      </c>
      <c r="M3452" s="5" t="str">
        <f>TEXT(Store_Record[[#This Row],[Date]],"mmmm")</f>
        <v>September</v>
      </c>
      <c r="N3452" s="5">
        <f>YEAR(Store_Record[[#This Row],[Date]])</f>
        <v>2025</v>
      </c>
      <c r="O3452"/>
    </row>
    <row r="3453" spans="1:15" x14ac:dyDescent="0.35">
      <c r="A3453" t="s">
        <v>4423</v>
      </c>
      <c r="B3453" s="2">
        <v>45910</v>
      </c>
      <c r="C3453" t="s">
        <v>20</v>
      </c>
      <c r="D3453" t="s">
        <v>11</v>
      </c>
      <c r="E3453" t="s">
        <v>12</v>
      </c>
      <c r="F3453" t="s">
        <v>13</v>
      </c>
      <c r="G3453">
        <v>2</v>
      </c>
      <c r="H3453">
        <v>2.5</v>
      </c>
      <c r="I3453" t="s">
        <v>39</v>
      </c>
      <c r="J3453" t="s">
        <v>2041</v>
      </c>
      <c r="K3453" s="12">
        <f>Store_Record[[#This Row],[Qty]]*Store_Record[[#This Row],[UnitPriceGBP]]</f>
        <v>5</v>
      </c>
      <c r="L3453" s="5" t="str">
        <f>TEXT(Store_Record[[#This Row],[Date]],"dddd")</f>
        <v>Wednesday</v>
      </c>
      <c r="M3453" s="5" t="str">
        <f>TEXT(Store_Record[[#This Row],[Date]],"mmmm")</f>
        <v>September</v>
      </c>
      <c r="N3453" s="5">
        <f>YEAR(Store_Record[[#This Row],[Date]])</f>
        <v>2025</v>
      </c>
      <c r="O3453"/>
    </row>
    <row r="3454" spans="1:15" x14ac:dyDescent="0.35">
      <c r="A3454" t="s">
        <v>4421</v>
      </c>
      <c r="B3454" s="2">
        <v>45910</v>
      </c>
      <c r="C3454" t="s">
        <v>24</v>
      </c>
      <c r="D3454" t="s">
        <v>47</v>
      </c>
      <c r="E3454" t="s">
        <v>12</v>
      </c>
      <c r="F3454" t="s">
        <v>13</v>
      </c>
      <c r="G3454">
        <v>1</v>
      </c>
      <c r="H3454">
        <v>2.5</v>
      </c>
      <c r="I3454" t="s">
        <v>14</v>
      </c>
      <c r="J3454" t="s">
        <v>2640</v>
      </c>
      <c r="K3454" s="12">
        <f>Store_Record[[#This Row],[Qty]]*Store_Record[[#This Row],[UnitPriceGBP]]</f>
        <v>2.5</v>
      </c>
      <c r="L3454" s="5" t="str">
        <f>TEXT(Store_Record[[#This Row],[Date]],"dddd")</f>
        <v>Wednesday</v>
      </c>
      <c r="M3454" s="5" t="str">
        <f>TEXT(Store_Record[[#This Row],[Date]],"mmmm")</f>
        <v>September</v>
      </c>
      <c r="N3454" s="5">
        <f>YEAR(Store_Record[[#This Row],[Date]])</f>
        <v>2025</v>
      </c>
      <c r="O3454"/>
    </row>
    <row r="3455" spans="1:15" x14ac:dyDescent="0.35">
      <c r="A3455" t="s">
        <v>4417</v>
      </c>
      <c r="B3455" s="2">
        <v>45910</v>
      </c>
      <c r="C3455" t="s">
        <v>20</v>
      </c>
      <c r="D3455" t="s">
        <v>25</v>
      </c>
      <c r="E3455" t="s">
        <v>34</v>
      </c>
      <c r="F3455" t="s">
        <v>31</v>
      </c>
      <c r="G3455">
        <v>1</v>
      </c>
      <c r="H3455">
        <v>2.2000000000000002</v>
      </c>
      <c r="I3455" t="s">
        <v>21</v>
      </c>
      <c r="J3455" t="s">
        <v>1316</v>
      </c>
      <c r="K3455" s="12">
        <f>Store_Record[[#This Row],[Qty]]*Store_Record[[#This Row],[UnitPriceGBP]]</f>
        <v>2.2000000000000002</v>
      </c>
      <c r="L3455" s="5" t="str">
        <f>TEXT(Store_Record[[#This Row],[Date]],"dddd")</f>
        <v>Wednesday</v>
      </c>
      <c r="M3455" s="5" t="str">
        <f>TEXT(Store_Record[[#This Row],[Date]],"mmmm")</f>
        <v>September</v>
      </c>
      <c r="N3455" s="5">
        <f>YEAR(Store_Record[[#This Row],[Date]])</f>
        <v>2025</v>
      </c>
      <c r="O3455"/>
    </row>
    <row r="3456" spans="1:15" x14ac:dyDescent="0.35">
      <c r="A3456" t="s">
        <v>4436</v>
      </c>
      <c r="B3456" s="2">
        <v>45911</v>
      </c>
      <c r="C3456" t="s">
        <v>20</v>
      </c>
      <c r="D3456" t="s">
        <v>11</v>
      </c>
      <c r="E3456" t="s">
        <v>42</v>
      </c>
      <c r="F3456" t="s">
        <v>13</v>
      </c>
      <c r="G3456">
        <v>5</v>
      </c>
      <c r="H3456">
        <v>3.8</v>
      </c>
      <c r="I3456" t="s">
        <v>21</v>
      </c>
      <c r="J3456" t="s">
        <v>815</v>
      </c>
      <c r="K3456" s="12">
        <f>Store_Record[[#This Row],[Qty]]*Store_Record[[#This Row],[UnitPriceGBP]]</f>
        <v>19</v>
      </c>
      <c r="L3456" s="5" t="str">
        <f>TEXT(Store_Record[[#This Row],[Date]],"dddd")</f>
        <v>Thursday</v>
      </c>
      <c r="M3456" s="5" t="str">
        <f>TEXT(Store_Record[[#This Row],[Date]],"mmmm")</f>
        <v>September</v>
      </c>
      <c r="N3456" s="5">
        <f>YEAR(Store_Record[[#This Row],[Date]])</f>
        <v>2025</v>
      </c>
      <c r="O3456"/>
    </row>
    <row r="3457" spans="1:15" x14ac:dyDescent="0.35">
      <c r="A3457" t="s">
        <v>4430</v>
      </c>
      <c r="B3457" s="2">
        <v>45911</v>
      </c>
      <c r="C3457" t="s">
        <v>24</v>
      </c>
      <c r="D3457" t="s">
        <v>11</v>
      </c>
      <c r="E3457" t="s">
        <v>26</v>
      </c>
      <c r="F3457" t="s">
        <v>13</v>
      </c>
      <c r="G3457">
        <v>4</v>
      </c>
      <c r="H3457">
        <v>3.5</v>
      </c>
      <c r="I3457" t="s">
        <v>39</v>
      </c>
      <c r="J3457" t="s">
        <v>813</v>
      </c>
      <c r="K3457" s="12">
        <f>Store_Record[[#This Row],[Qty]]*Store_Record[[#This Row],[UnitPriceGBP]]</f>
        <v>14</v>
      </c>
      <c r="L3457" s="5" t="str">
        <f>TEXT(Store_Record[[#This Row],[Date]],"dddd")</f>
        <v>Thursday</v>
      </c>
      <c r="M3457" s="5" t="str">
        <f>TEXT(Store_Record[[#This Row],[Date]],"mmmm")</f>
        <v>September</v>
      </c>
      <c r="N3457" s="5">
        <f>YEAR(Store_Record[[#This Row],[Date]])</f>
        <v>2025</v>
      </c>
      <c r="O3457"/>
    </row>
    <row r="3458" spans="1:15" x14ac:dyDescent="0.35">
      <c r="A3458" t="s">
        <v>4438</v>
      </c>
      <c r="B3458" s="2">
        <v>45911</v>
      </c>
      <c r="C3458" t="s">
        <v>24</v>
      </c>
      <c r="D3458" t="s">
        <v>25</v>
      </c>
      <c r="E3458" t="s">
        <v>26</v>
      </c>
      <c r="F3458" t="s">
        <v>13</v>
      </c>
      <c r="G3458">
        <v>4</v>
      </c>
      <c r="H3458">
        <v>3.5</v>
      </c>
      <c r="I3458" t="s">
        <v>39</v>
      </c>
      <c r="J3458" t="s">
        <v>189</v>
      </c>
      <c r="K3458" s="12">
        <f>Store_Record[[#This Row],[Qty]]*Store_Record[[#This Row],[UnitPriceGBP]]</f>
        <v>14</v>
      </c>
      <c r="L3458" s="5" t="str">
        <f>TEXT(Store_Record[[#This Row],[Date]],"dddd")</f>
        <v>Thursday</v>
      </c>
      <c r="M3458" s="5" t="str">
        <f>TEXT(Store_Record[[#This Row],[Date]],"mmmm")</f>
        <v>September</v>
      </c>
      <c r="N3458" s="5">
        <f>YEAR(Store_Record[[#This Row],[Date]])</f>
        <v>2025</v>
      </c>
      <c r="O3458"/>
    </row>
    <row r="3459" spans="1:15" x14ac:dyDescent="0.35">
      <c r="A3459" t="s">
        <v>4434</v>
      </c>
      <c r="B3459" s="2">
        <v>45911</v>
      </c>
      <c r="C3459" t="s">
        <v>24</v>
      </c>
      <c r="D3459" t="s">
        <v>38</v>
      </c>
      <c r="E3459" t="s">
        <v>26</v>
      </c>
      <c r="F3459" t="s">
        <v>13</v>
      </c>
      <c r="G3459">
        <v>3</v>
      </c>
      <c r="H3459">
        <v>3.5</v>
      </c>
      <c r="I3459" t="s">
        <v>21</v>
      </c>
      <c r="J3459" t="s">
        <v>1271</v>
      </c>
      <c r="K3459" s="12">
        <f>Store_Record[[#This Row],[Qty]]*Store_Record[[#This Row],[UnitPriceGBP]]</f>
        <v>10.5</v>
      </c>
      <c r="L3459" s="5" t="str">
        <f>TEXT(Store_Record[[#This Row],[Date]],"dddd")</f>
        <v>Thursday</v>
      </c>
      <c r="M3459" s="5" t="str">
        <f>TEXT(Store_Record[[#This Row],[Date]],"mmmm")</f>
        <v>September</v>
      </c>
      <c r="N3459" s="5">
        <f>YEAR(Store_Record[[#This Row],[Date]])</f>
        <v>2025</v>
      </c>
      <c r="O3459"/>
    </row>
    <row r="3460" spans="1:15" x14ac:dyDescent="0.35">
      <c r="A3460" t="s">
        <v>4428</v>
      </c>
      <c r="B3460" s="2">
        <v>45911</v>
      </c>
      <c r="C3460" t="s">
        <v>10</v>
      </c>
      <c r="D3460" t="s">
        <v>38</v>
      </c>
      <c r="E3460" t="s">
        <v>34</v>
      </c>
      <c r="F3460" t="s">
        <v>31</v>
      </c>
      <c r="G3460">
        <v>4</v>
      </c>
      <c r="H3460">
        <v>2.2000000000000002</v>
      </c>
      <c r="I3460" t="s">
        <v>21</v>
      </c>
      <c r="J3460" t="s">
        <v>61</v>
      </c>
      <c r="K3460" s="12">
        <f>Store_Record[[#This Row],[Qty]]*Store_Record[[#This Row],[UnitPriceGBP]]</f>
        <v>8.8000000000000007</v>
      </c>
      <c r="L3460" s="5" t="str">
        <f>TEXT(Store_Record[[#This Row],[Date]],"dddd")</f>
        <v>Thursday</v>
      </c>
      <c r="M3460" s="5" t="str">
        <f>TEXT(Store_Record[[#This Row],[Date]],"mmmm")</f>
        <v>September</v>
      </c>
      <c r="N3460" s="5">
        <f>YEAR(Store_Record[[#This Row],[Date]])</f>
        <v>2025</v>
      </c>
      <c r="O3460"/>
    </row>
    <row r="3461" spans="1:15" x14ac:dyDescent="0.35">
      <c r="A3461" t="s">
        <v>4429</v>
      </c>
      <c r="B3461" s="2">
        <v>45911</v>
      </c>
      <c r="C3461" t="s">
        <v>20</v>
      </c>
      <c r="D3461" t="s">
        <v>38</v>
      </c>
      <c r="E3461" t="s">
        <v>12</v>
      </c>
      <c r="F3461" t="s">
        <v>13</v>
      </c>
      <c r="G3461">
        <v>3</v>
      </c>
      <c r="H3461">
        <v>2.5</v>
      </c>
      <c r="I3461" t="s">
        <v>39</v>
      </c>
      <c r="J3461" t="s">
        <v>1384</v>
      </c>
      <c r="K3461" s="12">
        <f>Store_Record[[#This Row],[Qty]]*Store_Record[[#This Row],[UnitPriceGBP]]</f>
        <v>7.5</v>
      </c>
      <c r="L3461" s="5" t="str">
        <f>TEXT(Store_Record[[#This Row],[Date]],"dddd")</f>
        <v>Thursday</v>
      </c>
      <c r="M3461" s="5" t="str">
        <f>TEXT(Store_Record[[#This Row],[Date]],"mmmm")</f>
        <v>September</v>
      </c>
      <c r="N3461" s="5">
        <f>YEAR(Store_Record[[#This Row],[Date]])</f>
        <v>2025</v>
      </c>
      <c r="O3461"/>
    </row>
    <row r="3462" spans="1:15" x14ac:dyDescent="0.35">
      <c r="A3462" t="s">
        <v>4432</v>
      </c>
      <c r="B3462" s="2">
        <v>45911</v>
      </c>
      <c r="C3462" t="s">
        <v>20</v>
      </c>
      <c r="D3462" t="s">
        <v>25</v>
      </c>
      <c r="E3462" t="s">
        <v>26</v>
      </c>
      <c r="F3462" t="s">
        <v>13</v>
      </c>
      <c r="G3462">
        <v>2</v>
      </c>
      <c r="H3462">
        <v>3.5</v>
      </c>
      <c r="I3462" t="s">
        <v>39</v>
      </c>
      <c r="J3462" t="s">
        <v>142</v>
      </c>
      <c r="K3462" s="12">
        <f>Store_Record[[#This Row],[Qty]]*Store_Record[[#This Row],[UnitPriceGBP]]</f>
        <v>7</v>
      </c>
      <c r="L3462" s="5" t="str">
        <f>TEXT(Store_Record[[#This Row],[Date]],"dddd")</f>
        <v>Thursday</v>
      </c>
      <c r="M3462" s="5" t="str">
        <f>TEXT(Store_Record[[#This Row],[Date]],"mmmm")</f>
        <v>September</v>
      </c>
      <c r="N3462" s="5">
        <f>YEAR(Store_Record[[#This Row],[Date]])</f>
        <v>2025</v>
      </c>
      <c r="O3462"/>
    </row>
    <row r="3463" spans="1:15" x14ac:dyDescent="0.35">
      <c r="A3463" t="s">
        <v>4433</v>
      </c>
      <c r="B3463" s="2">
        <v>45911</v>
      </c>
      <c r="C3463" t="s">
        <v>24</v>
      </c>
      <c r="D3463" t="s">
        <v>11</v>
      </c>
      <c r="E3463" t="s">
        <v>12</v>
      </c>
      <c r="F3463" t="s">
        <v>13</v>
      </c>
      <c r="G3463">
        <v>2</v>
      </c>
      <c r="H3463">
        <v>2.5</v>
      </c>
      <c r="I3463" t="s">
        <v>14</v>
      </c>
      <c r="J3463" t="s">
        <v>1079</v>
      </c>
      <c r="K3463" s="12">
        <f>Store_Record[[#This Row],[Qty]]*Store_Record[[#This Row],[UnitPriceGBP]]</f>
        <v>5</v>
      </c>
      <c r="L3463" s="5" t="str">
        <f>TEXT(Store_Record[[#This Row],[Date]],"dddd")</f>
        <v>Thursday</v>
      </c>
      <c r="M3463" s="5" t="str">
        <f>TEXT(Store_Record[[#This Row],[Date]],"mmmm")</f>
        <v>September</v>
      </c>
      <c r="N3463" s="5">
        <f>YEAR(Store_Record[[#This Row],[Date]])</f>
        <v>2025</v>
      </c>
      <c r="O3463"/>
    </row>
    <row r="3464" spans="1:15" x14ac:dyDescent="0.35">
      <c r="A3464" t="s">
        <v>4435</v>
      </c>
      <c r="B3464" s="2">
        <v>45911</v>
      </c>
      <c r="C3464" t="s">
        <v>36</v>
      </c>
      <c r="D3464" t="s">
        <v>29</v>
      </c>
      <c r="E3464" t="s">
        <v>42</v>
      </c>
      <c r="F3464" t="s">
        <v>13</v>
      </c>
      <c r="G3464">
        <v>1</v>
      </c>
      <c r="H3464">
        <v>3.8</v>
      </c>
      <c r="I3464" t="s">
        <v>14</v>
      </c>
      <c r="J3464" t="s">
        <v>2453</v>
      </c>
      <c r="K3464" s="12">
        <f>Store_Record[[#This Row],[Qty]]*Store_Record[[#This Row],[UnitPriceGBP]]</f>
        <v>3.8</v>
      </c>
      <c r="L3464" s="5" t="str">
        <f>TEXT(Store_Record[[#This Row],[Date]],"dddd")</f>
        <v>Thursday</v>
      </c>
      <c r="M3464" s="5" t="str">
        <f>TEXT(Store_Record[[#This Row],[Date]],"mmmm")</f>
        <v>September</v>
      </c>
      <c r="N3464" s="5">
        <f>YEAR(Store_Record[[#This Row],[Date]])</f>
        <v>2025</v>
      </c>
      <c r="O3464"/>
    </row>
    <row r="3465" spans="1:15" x14ac:dyDescent="0.35">
      <c r="A3465" t="s">
        <v>4437</v>
      </c>
      <c r="B3465" s="2">
        <v>45911</v>
      </c>
      <c r="C3465" t="s">
        <v>24</v>
      </c>
      <c r="D3465" t="s">
        <v>25</v>
      </c>
      <c r="E3465" t="s">
        <v>30</v>
      </c>
      <c r="F3465" t="s">
        <v>31</v>
      </c>
      <c r="G3465">
        <v>1</v>
      </c>
      <c r="H3465">
        <v>2.8</v>
      </c>
      <c r="I3465" t="s">
        <v>39</v>
      </c>
      <c r="J3465" t="s">
        <v>1663</v>
      </c>
      <c r="K3465" s="12">
        <f>Store_Record[[#This Row],[Qty]]*Store_Record[[#This Row],[UnitPriceGBP]]</f>
        <v>2.8</v>
      </c>
      <c r="L3465" s="5" t="str">
        <f>TEXT(Store_Record[[#This Row],[Date]],"dddd")</f>
        <v>Thursday</v>
      </c>
      <c r="M3465" s="5" t="str">
        <f>TEXT(Store_Record[[#This Row],[Date]],"mmmm")</f>
        <v>September</v>
      </c>
      <c r="N3465" s="5">
        <f>YEAR(Store_Record[[#This Row],[Date]])</f>
        <v>2025</v>
      </c>
      <c r="O3465"/>
    </row>
    <row r="3466" spans="1:15" x14ac:dyDescent="0.35">
      <c r="A3466" t="s">
        <v>4431</v>
      </c>
      <c r="B3466" s="2">
        <v>45911</v>
      </c>
      <c r="C3466" t="s">
        <v>36</v>
      </c>
      <c r="D3466" t="s">
        <v>25</v>
      </c>
      <c r="E3466" t="s">
        <v>12</v>
      </c>
      <c r="F3466" t="s">
        <v>13</v>
      </c>
      <c r="G3466">
        <v>1</v>
      </c>
      <c r="H3466">
        <v>2.5</v>
      </c>
      <c r="I3466" t="s">
        <v>14</v>
      </c>
      <c r="J3466" t="s">
        <v>3039</v>
      </c>
      <c r="K3466" s="12">
        <f>Store_Record[[#This Row],[Qty]]*Store_Record[[#This Row],[UnitPriceGBP]]</f>
        <v>2.5</v>
      </c>
      <c r="L3466" s="5" t="str">
        <f>TEXT(Store_Record[[#This Row],[Date]],"dddd")</f>
        <v>Thursday</v>
      </c>
      <c r="M3466" s="5" t="str">
        <f>TEXT(Store_Record[[#This Row],[Date]],"mmmm")</f>
        <v>September</v>
      </c>
      <c r="N3466" s="5">
        <f>YEAR(Store_Record[[#This Row],[Date]])</f>
        <v>2025</v>
      </c>
      <c r="O3466"/>
    </row>
    <row r="3467" spans="1:15" x14ac:dyDescent="0.35">
      <c r="A3467" t="s">
        <v>4440</v>
      </c>
      <c r="B3467" s="2">
        <v>45912</v>
      </c>
      <c r="C3467" t="s">
        <v>20</v>
      </c>
      <c r="D3467" t="s">
        <v>38</v>
      </c>
      <c r="E3467" t="s">
        <v>42</v>
      </c>
      <c r="F3467" t="s">
        <v>13</v>
      </c>
      <c r="G3467">
        <v>4</v>
      </c>
      <c r="H3467">
        <v>3.8</v>
      </c>
      <c r="I3467" t="s">
        <v>39</v>
      </c>
      <c r="J3467" t="s">
        <v>404</v>
      </c>
      <c r="K3467" s="12">
        <f>Store_Record[[#This Row],[Qty]]*Store_Record[[#This Row],[UnitPriceGBP]]</f>
        <v>15.2</v>
      </c>
      <c r="L3467" s="5" t="str">
        <f>TEXT(Store_Record[[#This Row],[Date]],"dddd")</f>
        <v>Friday</v>
      </c>
      <c r="M3467" s="5" t="str">
        <f>TEXT(Store_Record[[#This Row],[Date]],"mmmm")</f>
        <v>September</v>
      </c>
      <c r="N3467" s="5">
        <f>YEAR(Store_Record[[#This Row],[Date]])</f>
        <v>2025</v>
      </c>
      <c r="O3467"/>
    </row>
    <row r="3468" spans="1:15" x14ac:dyDescent="0.35">
      <c r="A3468" t="s">
        <v>4450</v>
      </c>
      <c r="B3468" s="2">
        <v>45912</v>
      </c>
      <c r="C3468" t="s">
        <v>36</v>
      </c>
      <c r="D3468" t="s">
        <v>29</v>
      </c>
      <c r="E3468" t="s">
        <v>30</v>
      </c>
      <c r="F3468" t="s">
        <v>31</v>
      </c>
      <c r="G3468">
        <v>5</v>
      </c>
      <c r="H3468">
        <v>2.8</v>
      </c>
      <c r="I3468" t="s">
        <v>39</v>
      </c>
      <c r="J3468" t="s">
        <v>737</v>
      </c>
      <c r="K3468" s="12">
        <f>Store_Record[[#This Row],[Qty]]*Store_Record[[#This Row],[UnitPriceGBP]]</f>
        <v>14</v>
      </c>
      <c r="L3468" s="5" t="str">
        <f>TEXT(Store_Record[[#This Row],[Date]],"dddd")</f>
        <v>Friday</v>
      </c>
      <c r="M3468" s="5" t="str">
        <f>TEXT(Store_Record[[#This Row],[Date]],"mmmm")</f>
        <v>September</v>
      </c>
      <c r="N3468" s="5">
        <f>YEAR(Store_Record[[#This Row],[Date]])</f>
        <v>2025</v>
      </c>
      <c r="O3468"/>
    </row>
    <row r="3469" spans="1:15" x14ac:dyDescent="0.35">
      <c r="A3469" t="s">
        <v>4447</v>
      </c>
      <c r="B3469" s="2">
        <v>45912</v>
      </c>
      <c r="C3469" t="s">
        <v>24</v>
      </c>
      <c r="D3469" t="s">
        <v>47</v>
      </c>
      <c r="E3469" t="s">
        <v>12</v>
      </c>
      <c r="F3469" t="s">
        <v>13</v>
      </c>
      <c r="G3469">
        <v>5</v>
      </c>
      <c r="H3469">
        <v>2.5</v>
      </c>
      <c r="I3469" t="s">
        <v>39</v>
      </c>
      <c r="J3469" t="s">
        <v>1836</v>
      </c>
      <c r="K3469" s="12">
        <f>Store_Record[[#This Row],[Qty]]*Store_Record[[#This Row],[UnitPriceGBP]]</f>
        <v>12.5</v>
      </c>
      <c r="L3469" s="5" t="str">
        <f>TEXT(Store_Record[[#This Row],[Date]],"dddd")</f>
        <v>Friday</v>
      </c>
      <c r="M3469" s="5" t="str">
        <f>TEXT(Store_Record[[#This Row],[Date]],"mmmm")</f>
        <v>September</v>
      </c>
      <c r="N3469" s="5">
        <f>YEAR(Store_Record[[#This Row],[Date]])</f>
        <v>2025</v>
      </c>
      <c r="O3469"/>
    </row>
    <row r="3470" spans="1:15" x14ac:dyDescent="0.35">
      <c r="A3470" t="s">
        <v>4443</v>
      </c>
      <c r="B3470" s="2">
        <v>45912</v>
      </c>
      <c r="C3470" t="s">
        <v>10</v>
      </c>
      <c r="D3470" t="s">
        <v>25</v>
      </c>
      <c r="E3470" t="s">
        <v>34</v>
      </c>
      <c r="F3470" t="s">
        <v>31</v>
      </c>
      <c r="G3470">
        <v>5</v>
      </c>
      <c r="H3470">
        <v>2.2000000000000002</v>
      </c>
      <c r="I3470" t="s">
        <v>21</v>
      </c>
      <c r="J3470" t="s">
        <v>1669</v>
      </c>
      <c r="K3470" s="12">
        <f>Store_Record[[#This Row],[Qty]]*Store_Record[[#This Row],[UnitPriceGBP]]</f>
        <v>11</v>
      </c>
      <c r="L3470" s="5" t="str">
        <f>TEXT(Store_Record[[#This Row],[Date]],"dddd")</f>
        <v>Friday</v>
      </c>
      <c r="M3470" s="5" t="str">
        <f>TEXT(Store_Record[[#This Row],[Date]],"mmmm")</f>
        <v>September</v>
      </c>
      <c r="N3470" s="5">
        <f>YEAR(Store_Record[[#This Row],[Date]])</f>
        <v>2025</v>
      </c>
      <c r="O3470"/>
    </row>
    <row r="3471" spans="1:15" x14ac:dyDescent="0.35">
      <c r="A3471" t="s">
        <v>4446</v>
      </c>
      <c r="B3471" s="2">
        <v>45912</v>
      </c>
      <c r="C3471" t="s">
        <v>10</v>
      </c>
      <c r="D3471" t="s">
        <v>29</v>
      </c>
      <c r="E3471" t="s">
        <v>26</v>
      </c>
      <c r="F3471" t="s">
        <v>13</v>
      </c>
      <c r="G3471">
        <v>3</v>
      </c>
      <c r="H3471">
        <v>3.5</v>
      </c>
      <c r="I3471" t="s">
        <v>21</v>
      </c>
      <c r="J3471" t="s">
        <v>247</v>
      </c>
      <c r="K3471" s="12">
        <f>Store_Record[[#This Row],[Qty]]*Store_Record[[#This Row],[UnitPriceGBP]]</f>
        <v>10.5</v>
      </c>
      <c r="L3471" s="5" t="str">
        <f>TEXT(Store_Record[[#This Row],[Date]],"dddd")</f>
        <v>Friday</v>
      </c>
      <c r="M3471" s="5" t="str">
        <f>TEXT(Store_Record[[#This Row],[Date]],"mmmm")</f>
        <v>September</v>
      </c>
      <c r="N3471" s="5">
        <f>YEAR(Store_Record[[#This Row],[Date]])</f>
        <v>2025</v>
      </c>
      <c r="O3471"/>
    </row>
    <row r="3472" spans="1:15" x14ac:dyDescent="0.35">
      <c r="A3472" t="s">
        <v>4451</v>
      </c>
      <c r="B3472" s="2">
        <v>45912</v>
      </c>
      <c r="C3472" t="s">
        <v>20</v>
      </c>
      <c r="D3472" t="s">
        <v>11</v>
      </c>
      <c r="E3472" t="s">
        <v>26</v>
      </c>
      <c r="F3472" t="s">
        <v>13</v>
      </c>
      <c r="G3472">
        <v>3</v>
      </c>
      <c r="H3472">
        <v>3.5</v>
      </c>
      <c r="I3472" t="s">
        <v>21</v>
      </c>
      <c r="J3472" t="s">
        <v>1501</v>
      </c>
      <c r="K3472" s="12">
        <f>Store_Record[[#This Row],[Qty]]*Store_Record[[#This Row],[UnitPriceGBP]]</f>
        <v>10.5</v>
      </c>
      <c r="L3472" s="5" t="str">
        <f>TEXT(Store_Record[[#This Row],[Date]],"dddd")</f>
        <v>Friday</v>
      </c>
      <c r="M3472" s="5" t="str">
        <f>TEXT(Store_Record[[#This Row],[Date]],"mmmm")</f>
        <v>September</v>
      </c>
      <c r="N3472" s="5">
        <f>YEAR(Store_Record[[#This Row],[Date]])</f>
        <v>2025</v>
      </c>
      <c r="O3472"/>
    </row>
    <row r="3473" spans="1:15" x14ac:dyDescent="0.35">
      <c r="A3473" t="s">
        <v>4439</v>
      </c>
      <c r="B3473" s="2">
        <v>45912</v>
      </c>
      <c r="C3473" t="s">
        <v>20</v>
      </c>
      <c r="D3473" t="s">
        <v>11</v>
      </c>
      <c r="E3473" t="s">
        <v>12</v>
      </c>
      <c r="F3473" t="s">
        <v>13</v>
      </c>
      <c r="G3473">
        <v>3</v>
      </c>
      <c r="H3473">
        <v>2.5</v>
      </c>
      <c r="I3473" t="s">
        <v>39</v>
      </c>
      <c r="J3473" t="s">
        <v>3089</v>
      </c>
      <c r="K3473" s="12">
        <f>Store_Record[[#This Row],[Qty]]*Store_Record[[#This Row],[UnitPriceGBP]]</f>
        <v>7.5</v>
      </c>
      <c r="L3473" s="5" t="str">
        <f>TEXT(Store_Record[[#This Row],[Date]],"dddd")</f>
        <v>Friday</v>
      </c>
      <c r="M3473" s="5" t="str">
        <f>TEXT(Store_Record[[#This Row],[Date]],"mmmm")</f>
        <v>September</v>
      </c>
      <c r="N3473" s="5">
        <f>YEAR(Store_Record[[#This Row],[Date]])</f>
        <v>2025</v>
      </c>
      <c r="O3473"/>
    </row>
    <row r="3474" spans="1:15" x14ac:dyDescent="0.35">
      <c r="A3474" t="s">
        <v>4444</v>
      </c>
      <c r="B3474" s="2">
        <v>45912</v>
      </c>
      <c r="C3474" t="s">
        <v>24</v>
      </c>
      <c r="D3474" t="s">
        <v>38</v>
      </c>
      <c r="E3474" t="s">
        <v>12</v>
      </c>
      <c r="F3474" t="s">
        <v>13</v>
      </c>
      <c r="G3474">
        <v>3</v>
      </c>
      <c r="H3474">
        <v>2.5</v>
      </c>
      <c r="I3474" t="s">
        <v>21</v>
      </c>
      <c r="J3474" t="s">
        <v>232</v>
      </c>
      <c r="K3474" s="12">
        <f>Store_Record[[#This Row],[Qty]]*Store_Record[[#This Row],[UnitPriceGBP]]</f>
        <v>7.5</v>
      </c>
      <c r="L3474" s="5" t="str">
        <f>TEXT(Store_Record[[#This Row],[Date]],"dddd")</f>
        <v>Friday</v>
      </c>
      <c r="M3474" s="5" t="str">
        <f>TEXT(Store_Record[[#This Row],[Date]],"mmmm")</f>
        <v>September</v>
      </c>
      <c r="N3474" s="5">
        <f>YEAR(Store_Record[[#This Row],[Date]])</f>
        <v>2025</v>
      </c>
      <c r="O3474"/>
    </row>
    <row r="3475" spans="1:15" x14ac:dyDescent="0.35">
      <c r="A3475" t="s">
        <v>4441</v>
      </c>
      <c r="B3475" s="2">
        <v>45912</v>
      </c>
      <c r="C3475" t="s">
        <v>10</v>
      </c>
      <c r="D3475" t="s">
        <v>47</v>
      </c>
      <c r="E3475" t="s">
        <v>26</v>
      </c>
      <c r="F3475" t="s">
        <v>13</v>
      </c>
      <c r="G3475">
        <v>2</v>
      </c>
      <c r="H3475">
        <v>3.5</v>
      </c>
      <c r="I3475" t="s">
        <v>14</v>
      </c>
      <c r="J3475" t="s">
        <v>1346</v>
      </c>
      <c r="K3475" s="12">
        <f>Store_Record[[#This Row],[Qty]]*Store_Record[[#This Row],[UnitPriceGBP]]</f>
        <v>7</v>
      </c>
      <c r="L3475" s="5" t="str">
        <f>TEXT(Store_Record[[#This Row],[Date]],"dddd")</f>
        <v>Friday</v>
      </c>
      <c r="M3475" s="5" t="str">
        <f>TEXT(Store_Record[[#This Row],[Date]],"mmmm")</f>
        <v>September</v>
      </c>
      <c r="N3475" s="5">
        <f>YEAR(Store_Record[[#This Row],[Date]])</f>
        <v>2025</v>
      </c>
      <c r="O3475"/>
    </row>
    <row r="3476" spans="1:15" x14ac:dyDescent="0.35">
      <c r="A3476" t="s">
        <v>4449</v>
      </c>
      <c r="B3476" s="2">
        <v>45912</v>
      </c>
      <c r="C3476" t="s">
        <v>10</v>
      </c>
      <c r="D3476" t="s">
        <v>25</v>
      </c>
      <c r="E3476" t="s">
        <v>26</v>
      </c>
      <c r="F3476" t="s">
        <v>13</v>
      </c>
      <c r="G3476">
        <v>2</v>
      </c>
      <c r="H3476">
        <v>3.5</v>
      </c>
      <c r="I3476" t="s">
        <v>21</v>
      </c>
      <c r="J3476" t="s">
        <v>969</v>
      </c>
      <c r="K3476" s="12">
        <f>Store_Record[[#This Row],[Qty]]*Store_Record[[#This Row],[UnitPriceGBP]]</f>
        <v>7</v>
      </c>
      <c r="L3476" s="5" t="str">
        <f>TEXT(Store_Record[[#This Row],[Date]],"dddd")</f>
        <v>Friday</v>
      </c>
      <c r="M3476" s="5" t="str">
        <f>TEXT(Store_Record[[#This Row],[Date]],"mmmm")</f>
        <v>September</v>
      </c>
      <c r="N3476" s="5">
        <f>YEAR(Store_Record[[#This Row],[Date]])</f>
        <v>2025</v>
      </c>
      <c r="O3476"/>
    </row>
    <row r="3477" spans="1:15" x14ac:dyDescent="0.35">
      <c r="A3477" t="s">
        <v>4442</v>
      </c>
      <c r="B3477" s="2">
        <v>45912</v>
      </c>
      <c r="C3477" t="s">
        <v>24</v>
      </c>
      <c r="D3477" t="s">
        <v>29</v>
      </c>
      <c r="E3477" t="s">
        <v>34</v>
      </c>
      <c r="F3477" t="s">
        <v>31</v>
      </c>
      <c r="G3477">
        <v>1</v>
      </c>
      <c r="H3477">
        <v>2.2000000000000002</v>
      </c>
      <c r="I3477" t="s">
        <v>21</v>
      </c>
      <c r="J3477" t="s">
        <v>1734</v>
      </c>
      <c r="K3477" s="12">
        <f>Store_Record[[#This Row],[Qty]]*Store_Record[[#This Row],[UnitPriceGBP]]</f>
        <v>2.2000000000000002</v>
      </c>
      <c r="L3477" s="5" t="str">
        <f>TEXT(Store_Record[[#This Row],[Date]],"dddd")</f>
        <v>Friday</v>
      </c>
      <c r="M3477" s="5" t="str">
        <f>TEXT(Store_Record[[#This Row],[Date]],"mmmm")</f>
        <v>September</v>
      </c>
      <c r="N3477" s="5">
        <f>YEAR(Store_Record[[#This Row],[Date]])</f>
        <v>2025</v>
      </c>
      <c r="O3477"/>
    </row>
    <row r="3478" spans="1:15" x14ac:dyDescent="0.35">
      <c r="A3478" t="s">
        <v>4445</v>
      </c>
      <c r="B3478" s="2">
        <v>45912</v>
      </c>
      <c r="C3478" t="s">
        <v>10</v>
      </c>
      <c r="D3478" t="s">
        <v>29</v>
      </c>
      <c r="E3478" t="s">
        <v>34</v>
      </c>
      <c r="F3478" t="s">
        <v>31</v>
      </c>
      <c r="G3478">
        <v>1</v>
      </c>
      <c r="H3478">
        <v>2.2000000000000002</v>
      </c>
      <c r="I3478" t="s">
        <v>14</v>
      </c>
      <c r="J3478" t="s">
        <v>1042</v>
      </c>
      <c r="K3478" s="12">
        <f>Store_Record[[#This Row],[Qty]]*Store_Record[[#This Row],[UnitPriceGBP]]</f>
        <v>2.2000000000000002</v>
      </c>
      <c r="L3478" s="5" t="str">
        <f>TEXT(Store_Record[[#This Row],[Date]],"dddd")</f>
        <v>Friday</v>
      </c>
      <c r="M3478" s="5" t="str">
        <f>TEXT(Store_Record[[#This Row],[Date]],"mmmm")</f>
        <v>September</v>
      </c>
      <c r="N3478" s="5">
        <f>YEAR(Store_Record[[#This Row],[Date]])</f>
        <v>2025</v>
      </c>
      <c r="O3478"/>
    </row>
    <row r="3479" spans="1:15" x14ac:dyDescent="0.35">
      <c r="A3479" t="s">
        <v>4448</v>
      </c>
      <c r="B3479" s="2">
        <v>45912</v>
      </c>
      <c r="C3479" t="s">
        <v>10</v>
      </c>
      <c r="D3479" t="s">
        <v>38</v>
      </c>
      <c r="E3479" t="s">
        <v>34</v>
      </c>
      <c r="F3479" t="s">
        <v>31</v>
      </c>
      <c r="G3479">
        <v>1</v>
      </c>
      <c r="H3479">
        <v>2.2000000000000002</v>
      </c>
      <c r="I3479" t="s">
        <v>21</v>
      </c>
      <c r="J3479" t="s">
        <v>394</v>
      </c>
      <c r="K3479" s="12">
        <f>Store_Record[[#This Row],[Qty]]*Store_Record[[#This Row],[UnitPriceGBP]]</f>
        <v>2.2000000000000002</v>
      </c>
      <c r="L3479" s="5" t="str">
        <f>TEXT(Store_Record[[#This Row],[Date]],"dddd")</f>
        <v>Friday</v>
      </c>
      <c r="M3479" s="5" t="str">
        <f>TEXT(Store_Record[[#This Row],[Date]],"mmmm")</f>
        <v>September</v>
      </c>
      <c r="N3479" s="5">
        <f>YEAR(Store_Record[[#This Row],[Date]])</f>
        <v>2025</v>
      </c>
      <c r="O3479"/>
    </row>
    <row r="3480" spans="1:15" x14ac:dyDescent="0.35">
      <c r="A3480" t="s">
        <v>4452</v>
      </c>
      <c r="B3480" s="2">
        <v>45913</v>
      </c>
      <c r="C3480" t="s">
        <v>36</v>
      </c>
      <c r="D3480" t="s">
        <v>38</v>
      </c>
      <c r="E3480" t="s">
        <v>26</v>
      </c>
      <c r="F3480" t="s">
        <v>13</v>
      </c>
      <c r="G3480">
        <v>5</v>
      </c>
      <c r="H3480">
        <v>3.5</v>
      </c>
      <c r="I3480" t="s">
        <v>39</v>
      </c>
      <c r="J3480" t="s">
        <v>1031</v>
      </c>
      <c r="K3480" s="12">
        <f>Store_Record[[#This Row],[Qty]]*Store_Record[[#This Row],[UnitPriceGBP]]</f>
        <v>17.5</v>
      </c>
      <c r="L3480" s="5" t="str">
        <f>TEXT(Store_Record[[#This Row],[Date]],"dddd")</f>
        <v>Saturday</v>
      </c>
      <c r="M3480" s="5" t="str">
        <f>TEXT(Store_Record[[#This Row],[Date]],"mmmm")</f>
        <v>September</v>
      </c>
      <c r="N3480" s="5">
        <f>YEAR(Store_Record[[#This Row],[Date]])</f>
        <v>2025</v>
      </c>
      <c r="O3480"/>
    </row>
    <row r="3481" spans="1:15" x14ac:dyDescent="0.35">
      <c r="A3481" t="s">
        <v>4457</v>
      </c>
      <c r="B3481" s="2">
        <v>45913</v>
      </c>
      <c r="C3481" t="s">
        <v>36</v>
      </c>
      <c r="D3481" t="s">
        <v>38</v>
      </c>
      <c r="E3481" t="s">
        <v>26</v>
      </c>
      <c r="F3481" t="s">
        <v>13</v>
      </c>
      <c r="G3481">
        <v>5</v>
      </c>
      <c r="H3481">
        <v>3.5</v>
      </c>
      <c r="I3481" t="s">
        <v>14</v>
      </c>
      <c r="J3481" t="s">
        <v>2262</v>
      </c>
      <c r="K3481" s="12">
        <f>Store_Record[[#This Row],[Qty]]*Store_Record[[#This Row],[UnitPriceGBP]]</f>
        <v>17.5</v>
      </c>
      <c r="L3481" s="5" t="str">
        <f>TEXT(Store_Record[[#This Row],[Date]],"dddd")</f>
        <v>Saturday</v>
      </c>
      <c r="M3481" s="5" t="str">
        <f>TEXT(Store_Record[[#This Row],[Date]],"mmmm")</f>
        <v>September</v>
      </c>
      <c r="N3481" s="5">
        <f>YEAR(Store_Record[[#This Row],[Date]])</f>
        <v>2025</v>
      </c>
      <c r="O3481"/>
    </row>
    <row r="3482" spans="1:15" x14ac:dyDescent="0.35">
      <c r="A3482" t="s">
        <v>4463</v>
      </c>
      <c r="B3482" s="2">
        <v>45913</v>
      </c>
      <c r="C3482" t="s">
        <v>10</v>
      </c>
      <c r="D3482" t="s">
        <v>29</v>
      </c>
      <c r="E3482" t="s">
        <v>26</v>
      </c>
      <c r="F3482" t="s">
        <v>13</v>
      </c>
      <c r="G3482">
        <v>5</v>
      </c>
      <c r="H3482">
        <v>3.5</v>
      </c>
      <c r="I3482" t="s">
        <v>21</v>
      </c>
      <c r="J3482" t="s">
        <v>210</v>
      </c>
      <c r="K3482" s="12">
        <f>Store_Record[[#This Row],[Qty]]*Store_Record[[#This Row],[UnitPriceGBP]]</f>
        <v>17.5</v>
      </c>
      <c r="L3482" s="5" t="str">
        <f>TEXT(Store_Record[[#This Row],[Date]],"dddd")</f>
        <v>Saturday</v>
      </c>
      <c r="M3482" s="5" t="str">
        <f>TEXT(Store_Record[[#This Row],[Date]],"mmmm")</f>
        <v>September</v>
      </c>
      <c r="N3482" s="5">
        <f>YEAR(Store_Record[[#This Row],[Date]])</f>
        <v>2025</v>
      </c>
      <c r="O3482"/>
    </row>
    <row r="3483" spans="1:15" x14ac:dyDescent="0.35">
      <c r="A3483" t="s">
        <v>4456</v>
      </c>
      <c r="B3483" s="2">
        <v>45913</v>
      </c>
      <c r="C3483" t="s">
        <v>10</v>
      </c>
      <c r="D3483" t="s">
        <v>11</v>
      </c>
      <c r="E3483" t="s">
        <v>42</v>
      </c>
      <c r="F3483" t="s">
        <v>13</v>
      </c>
      <c r="G3483">
        <v>4</v>
      </c>
      <c r="H3483">
        <v>3.8</v>
      </c>
      <c r="I3483" t="s">
        <v>21</v>
      </c>
      <c r="J3483" t="s">
        <v>1614</v>
      </c>
      <c r="K3483" s="12">
        <f>Store_Record[[#This Row],[Qty]]*Store_Record[[#This Row],[UnitPriceGBP]]</f>
        <v>15.2</v>
      </c>
      <c r="L3483" s="5" t="str">
        <f>TEXT(Store_Record[[#This Row],[Date]],"dddd")</f>
        <v>Saturday</v>
      </c>
      <c r="M3483" s="5" t="str">
        <f>TEXT(Store_Record[[#This Row],[Date]],"mmmm")</f>
        <v>September</v>
      </c>
      <c r="N3483" s="5">
        <f>YEAR(Store_Record[[#This Row],[Date]])</f>
        <v>2025</v>
      </c>
      <c r="O3483"/>
    </row>
    <row r="3484" spans="1:15" x14ac:dyDescent="0.35">
      <c r="A3484" t="s">
        <v>4464</v>
      </c>
      <c r="B3484" s="2">
        <v>45913</v>
      </c>
      <c r="C3484" t="s">
        <v>36</v>
      </c>
      <c r="D3484" t="s">
        <v>29</v>
      </c>
      <c r="E3484" t="s">
        <v>30</v>
      </c>
      <c r="F3484" t="s">
        <v>31</v>
      </c>
      <c r="G3484">
        <v>5</v>
      </c>
      <c r="H3484">
        <v>2.8</v>
      </c>
      <c r="I3484" t="s">
        <v>14</v>
      </c>
      <c r="J3484" t="s">
        <v>1116</v>
      </c>
      <c r="K3484" s="12">
        <f>Store_Record[[#This Row],[Qty]]*Store_Record[[#This Row],[UnitPriceGBP]]</f>
        <v>14</v>
      </c>
      <c r="L3484" s="5" t="str">
        <f>TEXT(Store_Record[[#This Row],[Date]],"dddd")</f>
        <v>Saturday</v>
      </c>
      <c r="M3484" s="5" t="str">
        <f>TEXT(Store_Record[[#This Row],[Date]],"mmmm")</f>
        <v>September</v>
      </c>
      <c r="N3484" s="5">
        <f>YEAR(Store_Record[[#This Row],[Date]])</f>
        <v>2025</v>
      </c>
      <c r="O3484"/>
    </row>
    <row r="3485" spans="1:15" x14ac:dyDescent="0.35">
      <c r="A3485" t="s">
        <v>4461</v>
      </c>
      <c r="B3485" s="2">
        <v>45913</v>
      </c>
      <c r="C3485" t="s">
        <v>20</v>
      </c>
      <c r="D3485" t="s">
        <v>29</v>
      </c>
      <c r="E3485" t="s">
        <v>30</v>
      </c>
      <c r="F3485" t="s">
        <v>31</v>
      </c>
      <c r="G3485">
        <v>4</v>
      </c>
      <c r="H3485">
        <v>2.8</v>
      </c>
      <c r="I3485" t="s">
        <v>21</v>
      </c>
      <c r="J3485" t="s">
        <v>1285</v>
      </c>
      <c r="K3485" s="12">
        <f>Store_Record[[#This Row],[Qty]]*Store_Record[[#This Row],[UnitPriceGBP]]</f>
        <v>11.2</v>
      </c>
      <c r="L3485" s="5" t="str">
        <f>TEXT(Store_Record[[#This Row],[Date]],"dddd")</f>
        <v>Saturday</v>
      </c>
      <c r="M3485" s="5" t="str">
        <f>TEXT(Store_Record[[#This Row],[Date]],"mmmm")</f>
        <v>September</v>
      </c>
      <c r="N3485" s="5">
        <f>YEAR(Store_Record[[#This Row],[Date]])</f>
        <v>2025</v>
      </c>
      <c r="O3485"/>
    </row>
    <row r="3486" spans="1:15" x14ac:dyDescent="0.35">
      <c r="A3486" t="s">
        <v>4454</v>
      </c>
      <c r="B3486" s="2">
        <v>45913</v>
      </c>
      <c r="C3486" t="s">
        <v>10</v>
      </c>
      <c r="D3486" t="s">
        <v>29</v>
      </c>
      <c r="E3486" t="s">
        <v>34</v>
      </c>
      <c r="F3486" t="s">
        <v>31</v>
      </c>
      <c r="G3486">
        <v>5</v>
      </c>
      <c r="H3486">
        <v>2.2000000000000002</v>
      </c>
      <c r="I3486" t="s">
        <v>14</v>
      </c>
      <c r="J3486" t="s">
        <v>4455</v>
      </c>
      <c r="K3486" s="12">
        <f>Store_Record[[#This Row],[Qty]]*Store_Record[[#This Row],[UnitPriceGBP]]</f>
        <v>11</v>
      </c>
      <c r="L3486" s="5" t="str">
        <f>TEXT(Store_Record[[#This Row],[Date]],"dddd")</f>
        <v>Saturday</v>
      </c>
      <c r="M3486" s="5" t="str">
        <f>TEXT(Store_Record[[#This Row],[Date]],"mmmm")</f>
        <v>September</v>
      </c>
      <c r="N3486" s="5">
        <f>YEAR(Store_Record[[#This Row],[Date]])</f>
        <v>2025</v>
      </c>
      <c r="O3486"/>
    </row>
    <row r="3487" spans="1:15" x14ac:dyDescent="0.35">
      <c r="A3487" t="s">
        <v>4460</v>
      </c>
      <c r="B3487" s="2">
        <v>45913</v>
      </c>
      <c r="C3487" t="s">
        <v>36</v>
      </c>
      <c r="D3487" t="s">
        <v>25</v>
      </c>
      <c r="E3487" t="s">
        <v>34</v>
      </c>
      <c r="F3487" t="s">
        <v>31</v>
      </c>
      <c r="G3487">
        <v>5</v>
      </c>
      <c r="H3487">
        <v>2.2000000000000002</v>
      </c>
      <c r="I3487" t="s">
        <v>39</v>
      </c>
      <c r="J3487" t="s">
        <v>466</v>
      </c>
      <c r="K3487" s="12">
        <f>Store_Record[[#This Row],[Qty]]*Store_Record[[#This Row],[UnitPriceGBP]]</f>
        <v>11</v>
      </c>
      <c r="L3487" s="5" t="str">
        <f>TEXT(Store_Record[[#This Row],[Date]],"dddd")</f>
        <v>Saturday</v>
      </c>
      <c r="M3487" s="5" t="str">
        <f>TEXT(Store_Record[[#This Row],[Date]],"mmmm")</f>
        <v>September</v>
      </c>
      <c r="N3487" s="5">
        <f>YEAR(Store_Record[[#This Row],[Date]])</f>
        <v>2025</v>
      </c>
      <c r="O3487"/>
    </row>
    <row r="3488" spans="1:15" x14ac:dyDescent="0.35">
      <c r="A3488" t="s">
        <v>4458</v>
      </c>
      <c r="B3488" s="2">
        <v>45913</v>
      </c>
      <c r="C3488" t="s">
        <v>20</v>
      </c>
      <c r="D3488" t="s">
        <v>29</v>
      </c>
      <c r="E3488" t="s">
        <v>12</v>
      </c>
      <c r="F3488" t="s">
        <v>13</v>
      </c>
      <c r="G3488">
        <v>4</v>
      </c>
      <c r="H3488">
        <v>2.5</v>
      </c>
      <c r="I3488" t="s">
        <v>21</v>
      </c>
      <c r="J3488" t="s">
        <v>628</v>
      </c>
      <c r="K3488" s="12">
        <f>Store_Record[[#This Row],[Qty]]*Store_Record[[#This Row],[UnitPriceGBP]]</f>
        <v>10</v>
      </c>
      <c r="L3488" s="5" t="str">
        <f>TEXT(Store_Record[[#This Row],[Date]],"dddd")</f>
        <v>Saturday</v>
      </c>
      <c r="M3488" s="5" t="str">
        <f>TEXT(Store_Record[[#This Row],[Date]],"mmmm")</f>
        <v>September</v>
      </c>
      <c r="N3488" s="5">
        <f>YEAR(Store_Record[[#This Row],[Date]])</f>
        <v>2025</v>
      </c>
      <c r="O3488"/>
    </row>
    <row r="3489" spans="1:15" x14ac:dyDescent="0.35">
      <c r="A3489" t="s">
        <v>4459</v>
      </c>
      <c r="B3489" s="2">
        <v>45913</v>
      </c>
      <c r="C3489" t="s">
        <v>10</v>
      </c>
      <c r="D3489" t="s">
        <v>38</v>
      </c>
      <c r="E3489" t="s">
        <v>12</v>
      </c>
      <c r="F3489" t="s">
        <v>13</v>
      </c>
      <c r="G3489">
        <v>3</v>
      </c>
      <c r="H3489">
        <v>2.5</v>
      </c>
      <c r="I3489" t="s">
        <v>21</v>
      </c>
      <c r="J3489" t="s">
        <v>790</v>
      </c>
      <c r="K3489" s="12">
        <f>Store_Record[[#This Row],[Qty]]*Store_Record[[#This Row],[UnitPriceGBP]]</f>
        <v>7.5</v>
      </c>
      <c r="L3489" s="5" t="str">
        <f>TEXT(Store_Record[[#This Row],[Date]],"dddd")</f>
        <v>Saturday</v>
      </c>
      <c r="M3489" s="5" t="str">
        <f>TEXT(Store_Record[[#This Row],[Date]],"mmmm")</f>
        <v>September</v>
      </c>
      <c r="N3489" s="5">
        <f>YEAR(Store_Record[[#This Row],[Date]])</f>
        <v>2025</v>
      </c>
      <c r="O3489"/>
    </row>
    <row r="3490" spans="1:15" x14ac:dyDescent="0.35">
      <c r="A3490" t="s">
        <v>4453</v>
      </c>
      <c r="B3490" s="2">
        <v>45913</v>
      </c>
      <c r="C3490" t="s">
        <v>10</v>
      </c>
      <c r="D3490" t="s">
        <v>11</v>
      </c>
      <c r="E3490" t="s">
        <v>30</v>
      </c>
      <c r="F3490" t="s">
        <v>31</v>
      </c>
      <c r="G3490">
        <v>1</v>
      </c>
      <c r="H3490">
        <v>2.8</v>
      </c>
      <c r="I3490" t="s">
        <v>14</v>
      </c>
      <c r="J3490" t="s">
        <v>392</v>
      </c>
      <c r="K3490" s="12">
        <f>Store_Record[[#This Row],[Qty]]*Store_Record[[#This Row],[UnitPriceGBP]]</f>
        <v>2.8</v>
      </c>
      <c r="L3490" s="5" t="str">
        <f>TEXT(Store_Record[[#This Row],[Date]],"dddd")</f>
        <v>Saturday</v>
      </c>
      <c r="M3490" s="5" t="str">
        <f>TEXT(Store_Record[[#This Row],[Date]],"mmmm")</f>
        <v>September</v>
      </c>
      <c r="N3490" s="5">
        <f>YEAR(Store_Record[[#This Row],[Date]])</f>
        <v>2025</v>
      </c>
      <c r="O3490"/>
    </row>
    <row r="3491" spans="1:15" x14ac:dyDescent="0.35">
      <c r="A3491" t="s">
        <v>4462</v>
      </c>
      <c r="B3491" s="2">
        <v>45913</v>
      </c>
      <c r="C3491" t="s">
        <v>20</v>
      </c>
      <c r="D3491" t="s">
        <v>38</v>
      </c>
      <c r="E3491" t="s">
        <v>34</v>
      </c>
      <c r="F3491" t="s">
        <v>31</v>
      </c>
      <c r="G3491">
        <v>1</v>
      </c>
      <c r="H3491">
        <v>2.2000000000000002</v>
      </c>
      <c r="I3491" t="s">
        <v>39</v>
      </c>
      <c r="J3491" t="s">
        <v>671</v>
      </c>
      <c r="K3491" s="12">
        <f>Store_Record[[#This Row],[Qty]]*Store_Record[[#This Row],[UnitPriceGBP]]</f>
        <v>2.2000000000000002</v>
      </c>
      <c r="L3491" s="5" t="str">
        <f>TEXT(Store_Record[[#This Row],[Date]],"dddd")</f>
        <v>Saturday</v>
      </c>
      <c r="M3491" s="5" t="str">
        <f>TEXT(Store_Record[[#This Row],[Date]],"mmmm")</f>
        <v>September</v>
      </c>
      <c r="N3491" s="5">
        <f>YEAR(Store_Record[[#This Row],[Date]])</f>
        <v>2025</v>
      </c>
      <c r="O3491"/>
    </row>
    <row r="3492" spans="1:15" x14ac:dyDescent="0.35">
      <c r="A3492" t="s">
        <v>4465</v>
      </c>
      <c r="B3492" s="2">
        <v>45914</v>
      </c>
      <c r="C3492" t="s">
        <v>20</v>
      </c>
      <c r="D3492" t="s">
        <v>47</v>
      </c>
      <c r="E3492" t="s">
        <v>26</v>
      </c>
      <c r="F3492" t="s">
        <v>13</v>
      </c>
      <c r="G3492">
        <v>5</v>
      </c>
      <c r="H3492">
        <v>3.5</v>
      </c>
      <c r="I3492" t="s">
        <v>39</v>
      </c>
      <c r="J3492" t="s">
        <v>1061</v>
      </c>
      <c r="K3492" s="12">
        <f>Store_Record[[#This Row],[Qty]]*Store_Record[[#This Row],[UnitPriceGBP]]</f>
        <v>17.5</v>
      </c>
      <c r="L3492" s="5" t="str">
        <f>TEXT(Store_Record[[#This Row],[Date]],"dddd")</f>
        <v>Sunday</v>
      </c>
      <c r="M3492" s="5" t="str">
        <f>TEXT(Store_Record[[#This Row],[Date]],"mmmm")</f>
        <v>September</v>
      </c>
      <c r="N3492" s="5">
        <f>YEAR(Store_Record[[#This Row],[Date]])</f>
        <v>2025</v>
      </c>
      <c r="O3492"/>
    </row>
    <row r="3493" spans="1:15" x14ac:dyDescent="0.35">
      <c r="A3493" t="s">
        <v>4473</v>
      </c>
      <c r="B3493" s="2">
        <v>45914</v>
      </c>
      <c r="C3493" t="s">
        <v>24</v>
      </c>
      <c r="D3493" t="s">
        <v>47</v>
      </c>
      <c r="E3493" t="s">
        <v>12</v>
      </c>
      <c r="F3493" t="s">
        <v>13</v>
      </c>
      <c r="G3493">
        <v>5</v>
      </c>
      <c r="H3493">
        <v>2.5</v>
      </c>
      <c r="I3493" t="s">
        <v>21</v>
      </c>
      <c r="J3493" t="s">
        <v>675</v>
      </c>
      <c r="K3493" s="12">
        <f>Store_Record[[#This Row],[Qty]]*Store_Record[[#This Row],[UnitPriceGBP]]</f>
        <v>12.5</v>
      </c>
      <c r="L3493" s="5" t="str">
        <f>TEXT(Store_Record[[#This Row],[Date]],"dddd")</f>
        <v>Sunday</v>
      </c>
      <c r="M3493" s="5" t="str">
        <f>TEXT(Store_Record[[#This Row],[Date]],"mmmm")</f>
        <v>September</v>
      </c>
      <c r="N3493" s="5">
        <f>YEAR(Store_Record[[#This Row],[Date]])</f>
        <v>2025</v>
      </c>
      <c r="O3493"/>
    </row>
    <row r="3494" spans="1:15" x14ac:dyDescent="0.35">
      <c r="A3494" t="s">
        <v>4469</v>
      </c>
      <c r="B3494" s="2">
        <v>45914</v>
      </c>
      <c r="C3494" t="s">
        <v>20</v>
      </c>
      <c r="D3494" t="s">
        <v>47</v>
      </c>
      <c r="E3494" t="s">
        <v>30</v>
      </c>
      <c r="F3494" t="s">
        <v>31</v>
      </c>
      <c r="G3494">
        <v>4</v>
      </c>
      <c r="H3494">
        <v>2.8</v>
      </c>
      <c r="I3494" t="s">
        <v>21</v>
      </c>
      <c r="J3494" t="s">
        <v>3493</v>
      </c>
      <c r="K3494" s="12">
        <f>Store_Record[[#This Row],[Qty]]*Store_Record[[#This Row],[UnitPriceGBP]]</f>
        <v>11.2</v>
      </c>
      <c r="L3494" s="5" t="str">
        <f>TEXT(Store_Record[[#This Row],[Date]],"dddd")</f>
        <v>Sunday</v>
      </c>
      <c r="M3494" s="5" t="str">
        <f>TEXT(Store_Record[[#This Row],[Date]],"mmmm")</f>
        <v>September</v>
      </c>
      <c r="N3494" s="5">
        <f>YEAR(Store_Record[[#This Row],[Date]])</f>
        <v>2025</v>
      </c>
      <c r="O3494"/>
    </row>
    <row r="3495" spans="1:15" x14ac:dyDescent="0.35">
      <c r="A3495" t="s">
        <v>4468</v>
      </c>
      <c r="B3495" s="2">
        <v>45914</v>
      </c>
      <c r="C3495" t="s">
        <v>20</v>
      </c>
      <c r="D3495" t="s">
        <v>25</v>
      </c>
      <c r="E3495" t="s">
        <v>12</v>
      </c>
      <c r="F3495" t="s">
        <v>13</v>
      </c>
      <c r="G3495">
        <v>4</v>
      </c>
      <c r="H3495">
        <v>2.5</v>
      </c>
      <c r="I3495" t="s">
        <v>39</v>
      </c>
      <c r="J3495" t="s">
        <v>910</v>
      </c>
      <c r="K3495" s="12">
        <f>Store_Record[[#This Row],[Qty]]*Store_Record[[#This Row],[UnitPriceGBP]]</f>
        <v>10</v>
      </c>
      <c r="L3495" s="5" t="str">
        <f>TEXT(Store_Record[[#This Row],[Date]],"dddd")</f>
        <v>Sunday</v>
      </c>
      <c r="M3495" s="5" t="str">
        <f>TEXT(Store_Record[[#This Row],[Date]],"mmmm")</f>
        <v>September</v>
      </c>
      <c r="N3495" s="5">
        <f>YEAR(Store_Record[[#This Row],[Date]])</f>
        <v>2025</v>
      </c>
      <c r="O3495"/>
    </row>
    <row r="3496" spans="1:15" x14ac:dyDescent="0.35">
      <c r="A3496" t="s">
        <v>4470</v>
      </c>
      <c r="B3496" s="2">
        <v>45914</v>
      </c>
      <c r="C3496" t="s">
        <v>24</v>
      </c>
      <c r="D3496" t="s">
        <v>47</v>
      </c>
      <c r="E3496" t="s">
        <v>12</v>
      </c>
      <c r="F3496" t="s">
        <v>13</v>
      </c>
      <c r="G3496">
        <v>4</v>
      </c>
      <c r="H3496">
        <v>2.5</v>
      </c>
      <c r="I3496" t="s">
        <v>21</v>
      </c>
      <c r="J3496" t="s">
        <v>2130</v>
      </c>
      <c r="K3496" s="12">
        <f>Store_Record[[#This Row],[Qty]]*Store_Record[[#This Row],[UnitPriceGBP]]</f>
        <v>10</v>
      </c>
      <c r="L3496" s="5" t="str">
        <f>TEXT(Store_Record[[#This Row],[Date]],"dddd")</f>
        <v>Sunday</v>
      </c>
      <c r="M3496" s="5" t="str">
        <f>TEXT(Store_Record[[#This Row],[Date]],"mmmm")</f>
        <v>September</v>
      </c>
      <c r="N3496" s="5">
        <f>YEAR(Store_Record[[#This Row],[Date]])</f>
        <v>2025</v>
      </c>
      <c r="O3496"/>
    </row>
    <row r="3497" spans="1:15" x14ac:dyDescent="0.35">
      <c r="A3497" t="s">
        <v>4466</v>
      </c>
      <c r="B3497" s="2">
        <v>45914</v>
      </c>
      <c r="C3497" t="s">
        <v>10</v>
      </c>
      <c r="D3497" t="s">
        <v>47</v>
      </c>
      <c r="E3497" t="s">
        <v>12</v>
      </c>
      <c r="F3497" t="s">
        <v>13</v>
      </c>
      <c r="G3497">
        <v>3</v>
      </c>
      <c r="H3497">
        <v>2.5</v>
      </c>
      <c r="I3497" t="s">
        <v>39</v>
      </c>
      <c r="J3497" t="s">
        <v>618</v>
      </c>
      <c r="K3497" s="12">
        <f>Store_Record[[#This Row],[Qty]]*Store_Record[[#This Row],[UnitPriceGBP]]</f>
        <v>7.5</v>
      </c>
      <c r="L3497" s="5" t="str">
        <f>TEXT(Store_Record[[#This Row],[Date]],"dddd")</f>
        <v>Sunday</v>
      </c>
      <c r="M3497" s="5" t="str">
        <f>TEXT(Store_Record[[#This Row],[Date]],"mmmm")</f>
        <v>September</v>
      </c>
      <c r="N3497" s="5">
        <f>YEAR(Store_Record[[#This Row],[Date]])</f>
        <v>2025</v>
      </c>
      <c r="O3497"/>
    </row>
    <row r="3498" spans="1:15" x14ac:dyDescent="0.35">
      <c r="A3498" t="s">
        <v>4467</v>
      </c>
      <c r="B3498" s="2">
        <v>45914</v>
      </c>
      <c r="C3498" t="s">
        <v>20</v>
      </c>
      <c r="D3498" t="s">
        <v>25</v>
      </c>
      <c r="E3498" t="s">
        <v>34</v>
      </c>
      <c r="F3498" t="s">
        <v>31</v>
      </c>
      <c r="G3498">
        <v>2</v>
      </c>
      <c r="H3498">
        <v>2.2000000000000002</v>
      </c>
      <c r="I3498" t="s">
        <v>39</v>
      </c>
      <c r="J3498" t="s">
        <v>48</v>
      </c>
      <c r="K3498" s="12">
        <f>Store_Record[[#This Row],[Qty]]*Store_Record[[#This Row],[UnitPriceGBP]]</f>
        <v>4.4000000000000004</v>
      </c>
      <c r="L3498" s="5" t="str">
        <f>TEXT(Store_Record[[#This Row],[Date]],"dddd")</f>
        <v>Sunday</v>
      </c>
      <c r="M3498" s="5" t="str">
        <f>TEXT(Store_Record[[#This Row],[Date]],"mmmm")</f>
        <v>September</v>
      </c>
      <c r="N3498" s="5">
        <f>YEAR(Store_Record[[#This Row],[Date]])</f>
        <v>2025</v>
      </c>
      <c r="O3498"/>
    </row>
    <row r="3499" spans="1:15" x14ac:dyDescent="0.35">
      <c r="A3499" t="s">
        <v>4471</v>
      </c>
      <c r="B3499" s="2">
        <v>45914</v>
      </c>
      <c r="C3499" t="s">
        <v>10</v>
      </c>
      <c r="D3499" t="s">
        <v>25</v>
      </c>
      <c r="E3499" t="s">
        <v>34</v>
      </c>
      <c r="F3499" t="s">
        <v>31</v>
      </c>
      <c r="G3499">
        <v>2</v>
      </c>
      <c r="H3499">
        <v>2.2000000000000002</v>
      </c>
      <c r="I3499" t="s">
        <v>39</v>
      </c>
      <c r="J3499" t="s">
        <v>753</v>
      </c>
      <c r="K3499" s="12">
        <f>Store_Record[[#This Row],[Qty]]*Store_Record[[#This Row],[UnitPriceGBP]]</f>
        <v>4.4000000000000004</v>
      </c>
      <c r="L3499" s="5" t="str">
        <f>TEXT(Store_Record[[#This Row],[Date]],"dddd")</f>
        <v>Sunday</v>
      </c>
      <c r="M3499" s="5" t="str">
        <f>TEXT(Store_Record[[#This Row],[Date]],"mmmm")</f>
        <v>September</v>
      </c>
      <c r="N3499" s="5">
        <f>YEAR(Store_Record[[#This Row],[Date]])</f>
        <v>2025</v>
      </c>
      <c r="O3499"/>
    </row>
    <row r="3500" spans="1:15" x14ac:dyDescent="0.35">
      <c r="A3500" t="s">
        <v>4472</v>
      </c>
      <c r="B3500" s="2">
        <v>45914</v>
      </c>
      <c r="C3500" t="s">
        <v>24</v>
      </c>
      <c r="D3500" t="s">
        <v>25</v>
      </c>
      <c r="E3500" t="s">
        <v>12</v>
      </c>
      <c r="F3500" t="s">
        <v>13</v>
      </c>
      <c r="G3500">
        <v>1</v>
      </c>
      <c r="H3500">
        <v>2.5</v>
      </c>
      <c r="I3500" t="s">
        <v>14</v>
      </c>
      <c r="J3500" t="s">
        <v>4208</v>
      </c>
      <c r="K3500" s="12">
        <f>Store_Record[[#This Row],[Qty]]*Store_Record[[#This Row],[UnitPriceGBP]]</f>
        <v>2.5</v>
      </c>
      <c r="L3500" s="5" t="str">
        <f>TEXT(Store_Record[[#This Row],[Date]],"dddd")</f>
        <v>Sunday</v>
      </c>
      <c r="M3500" s="5" t="str">
        <f>TEXT(Store_Record[[#This Row],[Date]],"mmmm")</f>
        <v>September</v>
      </c>
      <c r="N3500" s="5">
        <f>YEAR(Store_Record[[#This Row],[Date]])</f>
        <v>2025</v>
      </c>
      <c r="O3500"/>
    </row>
    <row r="3501" spans="1:15" x14ac:dyDescent="0.35">
      <c r="A3501" t="s">
        <v>4483</v>
      </c>
      <c r="B3501" s="2">
        <v>45915</v>
      </c>
      <c r="C3501" t="s">
        <v>36</v>
      </c>
      <c r="D3501" t="s">
        <v>11</v>
      </c>
      <c r="E3501" t="s">
        <v>26</v>
      </c>
      <c r="F3501" t="s">
        <v>13</v>
      </c>
      <c r="G3501">
        <v>5</v>
      </c>
      <c r="H3501">
        <v>3.5</v>
      </c>
      <c r="I3501" t="s">
        <v>21</v>
      </c>
      <c r="J3501" t="s">
        <v>2850</v>
      </c>
      <c r="K3501" s="12">
        <f>Store_Record[[#This Row],[Qty]]*Store_Record[[#This Row],[UnitPriceGBP]]</f>
        <v>17.5</v>
      </c>
      <c r="L3501" s="5" t="str">
        <f>TEXT(Store_Record[[#This Row],[Date]],"dddd")</f>
        <v>Monday</v>
      </c>
      <c r="M3501" s="5" t="str">
        <f>TEXT(Store_Record[[#This Row],[Date]],"mmmm")</f>
        <v>September</v>
      </c>
      <c r="N3501" s="5">
        <f>YEAR(Store_Record[[#This Row],[Date]])</f>
        <v>2025</v>
      </c>
      <c r="O3501"/>
    </row>
    <row r="3502" spans="1:15" x14ac:dyDescent="0.35">
      <c r="A3502" t="s">
        <v>4474</v>
      </c>
      <c r="B3502" s="2">
        <v>45915</v>
      </c>
      <c r="C3502" t="s">
        <v>24</v>
      </c>
      <c r="D3502" t="s">
        <v>38</v>
      </c>
      <c r="E3502" t="s">
        <v>26</v>
      </c>
      <c r="F3502" t="s">
        <v>13</v>
      </c>
      <c r="G3502">
        <v>4</v>
      </c>
      <c r="H3502">
        <v>3.5</v>
      </c>
      <c r="I3502" t="s">
        <v>14</v>
      </c>
      <c r="J3502" t="s">
        <v>1203</v>
      </c>
      <c r="K3502" s="12">
        <f>Store_Record[[#This Row],[Qty]]*Store_Record[[#This Row],[UnitPriceGBP]]</f>
        <v>14</v>
      </c>
      <c r="L3502" s="5" t="str">
        <f>TEXT(Store_Record[[#This Row],[Date]],"dddd")</f>
        <v>Monday</v>
      </c>
      <c r="M3502" s="5" t="str">
        <f>TEXT(Store_Record[[#This Row],[Date]],"mmmm")</f>
        <v>September</v>
      </c>
      <c r="N3502" s="5">
        <f>YEAR(Store_Record[[#This Row],[Date]])</f>
        <v>2025</v>
      </c>
      <c r="O3502"/>
    </row>
    <row r="3503" spans="1:15" x14ac:dyDescent="0.35">
      <c r="A3503" t="s">
        <v>4479</v>
      </c>
      <c r="B3503" s="2">
        <v>45915</v>
      </c>
      <c r="C3503" t="s">
        <v>24</v>
      </c>
      <c r="D3503" t="s">
        <v>29</v>
      </c>
      <c r="E3503" t="s">
        <v>12</v>
      </c>
      <c r="F3503" t="s">
        <v>13</v>
      </c>
      <c r="G3503">
        <v>5</v>
      </c>
      <c r="H3503">
        <v>2.5</v>
      </c>
      <c r="I3503" t="s">
        <v>14</v>
      </c>
      <c r="J3503" t="s">
        <v>1362</v>
      </c>
      <c r="K3503" s="12">
        <f>Store_Record[[#This Row],[Qty]]*Store_Record[[#This Row],[UnitPriceGBP]]</f>
        <v>12.5</v>
      </c>
      <c r="L3503" s="5" t="str">
        <f>TEXT(Store_Record[[#This Row],[Date]],"dddd")</f>
        <v>Monday</v>
      </c>
      <c r="M3503" s="5" t="str">
        <f>TEXT(Store_Record[[#This Row],[Date]],"mmmm")</f>
        <v>September</v>
      </c>
      <c r="N3503" s="5">
        <f>YEAR(Store_Record[[#This Row],[Date]])</f>
        <v>2025</v>
      </c>
      <c r="O3503"/>
    </row>
    <row r="3504" spans="1:15" x14ac:dyDescent="0.35">
      <c r="A3504" t="s">
        <v>4481</v>
      </c>
      <c r="B3504" s="2">
        <v>45915</v>
      </c>
      <c r="C3504" t="s">
        <v>24</v>
      </c>
      <c r="D3504" t="s">
        <v>38</v>
      </c>
      <c r="E3504" t="s">
        <v>26</v>
      </c>
      <c r="F3504" t="s">
        <v>13</v>
      </c>
      <c r="G3504">
        <v>3</v>
      </c>
      <c r="H3504">
        <v>3.5</v>
      </c>
      <c r="I3504" t="s">
        <v>21</v>
      </c>
      <c r="J3504" t="s">
        <v>827</v>
      </c>
      <c r="K3504" s="12">
        <f>Store_Record[[#This Row],[Qty]]*Store_Record[[#This Row],[UnitPriceGBP]]</f>
        <v>10.5</v>
      </c>
      <c r="L3504" s="5" t="str">
        <f>TEXT(Store_Record[[#This Row],[Date]],"dddd")</f>
        <v>Monday</v>
      </c>
      <c r="M3504" s="5" t="str">
        <f>TEXT(Store_Record[[#This Row],[Date]],"mmmm")</f>
        <v>September</v>
      </c>
      <c r="N3504" s="5">
        <f>YEAR(Store_Record[[#This Row],[Date]])</f>
        <v>2025</v>
      </c>
      <c r="O3504"/>
    </row>
    <row r="3505" spans="1:15" x14ac:dyDescent="0.35">
      <c r="A3505" t="s">
        <v>4482</v>
      </c>
      <c r="B3505" s="2">
        <v>45915</v>
      </c>
      <c r="C3505" t="s">
        <v>36</v>
      </c>
      <c r="D3505" t="s">
        <v>29</v>
      </c>
      <c r="E3505" t="s">
        <v>26</v>
      </c>
      <c r="F3505" t="s">
        <v>13</v>
      </c>
      <c r="G3505">
        <v>3</v>
      </c>
      <c r="H3505">
        <v>3.5</v>
      </c>
      <c r="I3505" t="s">
        <v>39</v>
      </c>
      <c r="J3505" t="s">
        <v>279</v>
      </c>
      <c r="K3505" s="12">
        <f>Store_Record[[#This Row],[Qty]]*Store_Record[[#This Row],[UnitPriceGBP]]</f>
        <v>10.5</v>
      </c>
      <c r="L3505" s="5" t="str">
        <f>TEXT(Store_Record[[#This Row],[Date]],"dddd")</f>
        <v>Monday</v>
      </c>
      <c r="M3505" s="5" t="str">
        <f>TEXT(Store_Record[[#This Row],[Date]],"mmmm")</f>
        <v>September</v>
      </c>
      <c r="N3505" s="5">
        <f>YEAR(Store_Record[[#This Row],[Date]])</f>
        <v>2025</v>
      </c>
      <c r="O3505"/>
    </row>
    <row r="3506" spans="1:15" x14ac:dyDescent="0.35">
      <c r="A3506" t="s">
        <v>4476</v>
      </c>
      <c r="B3506" s="2">
        <v>45915</v>
      </c>
      <c r="C3506" t="s">
        <v>36</v>
      </c>
      <c r="D3506" t="s">
        <v>11</v>
      </c>
      <c r="E3506" t="s">
        <v>34</v>
      </c>
      <c r="F3506" t="s">
        <v>31</v>
      </c>
      <c r="G3506">
        <v>4</v>
      </c>
      <c r="H3506">
        <v>2.2000000000000002</v>
      </c>
      <c r="I3506" t="s">
        <v>21</v>
      </c>
      <c r="J3506" t="s">
        <v>830</v>
      </c>
      <c r="K3506" s="12">
        <f>Store_Record[[#This Row],[Qty]]*Store_Record[[#This Row],[UnitPriceGBP]]</f>
        <v>8.8000000000000007</v>
      </c>
      <c r="L3506" s="5" t="str">
        <f>TEXT(Store_Record[[#This Row],[Date]],"dddd")</f>
        <v>Monday</v>
      </c>
      <c r="M3506" s="5" t="str">
        <f>TEXT(Store_Record[[#This Row],[Date]],"mmmm")</f>
        <v>September</v>
      </c>
      <c r="N3506" s="5">
        <f>YEAR(Store_Record[[#This Row],[Date]])</f>
        <v>2025</v>
      </c>
      <c r="O3506"/>
    </row>
    <row r="3507" spans="1:15" x14ac:dyDescent="0.35">
      <c r="A3507" t="s">
        <v>4480</v>
      </c>
      <c r="B3507" s="2">
        <v>45915</v>
      </c>
      <c r="C3507" t="s">
        <v>24</v>
      </c>
      <c r="D3507" t="s">
        <v>25</v>
      </c>
      <c r="E3507" t="s">
        <v>34</v>
      </c>
      <c r="F3507" t="s">
        <v>31</v>
      </c>
      <c r="G3507">
        <v>4</v>
      </c>
      <c r="H3507">
        <v>2.2000000000000002</v>
      </c>
      <c r="I3507" t="s">
        <v>14</v>
      </c>
      <c r="J3507" t="s">
        <v>1170</v>
      </c>
      <c r="K3507" s="12">
        <f>Store_Record[[#This Row],[Qty]]*Store_Record[[#This Row],[UnitPriceGBP]]</f>
        <v>8.8000000000000007</v>
      </c>
      <c r="L3507" s="5" t="str">
        <f>TEXT(Store_Record[[#This Row],[Date]],"dddd")</f>
        <v>Monday</v>
      </c>
      <c r="M3507" s="5" t="str">
        <f>TEXT(Store_Record[[#This Row],[Date]],"mmmm")</f>
        <v>September</v>
      </c>
      <c r="N3507" s="5">
        <f>YEAR(Store_Record[[#This Row],[Date]])</f>
        <v>2025</v>
      </c>
      <c r="O3507"/>
    </row>
    <row r="3508" spans="1:15" x14ac:dyDescent="0.35">
      <c r="A3508" t="s">
        <v>4477</v>
      </c>
      <c r="B3508" s="2">
        <v>45915</v>
      </c>
      <c r="C3508" t="s">
        <v>24</v>
      </c>
      <c r="D3508" t="s">
        <v>47</v>
      </c>
      <c r="E3508" t="s">
        <v>26</v>
      </c>
      <c r="F3508" t="s">
        <v>13</v>
      </c>
      <c r="G3508">
        <v>1</v>
      </c>
      <c r="H3508">
        <v>3.5</v>
      </c>
      <c r="I3508" t="s">
        <v>21</v>
      </c>
      <c r="J3508" t="s">
        <v>1346</v>
      </c>
      <c r="K3508" s="12">
        <f>Store_Record[[#This Row],[Qty]]*Store_Record[[#This Row],[UnitPriceGBP]]</f>
        <v>3.5</v>
      </c>
      <c r="L3508" s="5" t="str">
        <f>TEXT(Store_Record[[#This Row],[Date]],"dddd")</f>
        <v>Monday</v>
      </c>
      <c r="M3508" s="5" t="str">
        <f>TEXT(Store_Record[[#This Row],[Date]],"mmmm")</f>
        <v>September</v>
      </c>
      <c r="N3508" s="5">
        <f>YEAR(Store_Record[[#This Row],[Date]])</f>
        <v>2025</v>
      </c>
      <c r="O3508"/>
    </row>
    <row r="3509" spans="1:15" x14ac:dyDescent="0.35">
      <c r="A3509" t="s">
        <v>4475</v>
      </c>
      <c r="B3509" s="2">
        <v>45915</v>
      </c>
      <c r="C3509" t="s">
        <v>20</v>
      </c>
      <c r="D3509" t="s">
        <v>11</v>
      </c>
      <c r="E3509" t="s">
        <v>12</v>
      </c>
      <c r="F3509" t="s">
        <v>13</v>
      </c>
      <c r="G3509">
        <v>1</v>
      </c>
      <c r="H3509">
        <v>2.5</v>
      </c>
      <c r="I3509" t="s">
        <v>39</v>
      </c>
      <c r="J3509" t="s">
        <v>2177</v>
      </c>
      <c r="K3509" s="12">
        <f>Store_Record[[#This Row],[Qty]]*Store_Record[[#This Row],[UnitPriceGBP]]</f>
        <v>2.5</v>
      </c>
      <c r="L3509" s="5" t="str">
        <f>TEXT(Store_Record[[#This Row],[Date]],"dddd")</f>
        <v>Monday</v>
      </c>
      <c r="M3509" s="5" t="str">
        <f>TEXT(Store_Record[[#This Row],[Date]],"mmmm")</f>
        <v>September</v>
      </c>
      <c r="N3509" s="5">
        <f>YEAR(Store_Record[[#This Row],[Date]])</f>
        <v>2025</v>
      </c>
      <c r="O3509"/>
    </row>
    <row r="3510" spans="1:15" x14ac:dyDescent="0.35">
      <c r="A3510" t="s">
        <v>4478</v>
      </c>
      <c r="B3510" s="2">
        <v>45915</v>
      </c>
      <c r="C3510" t="s">
        <v>36</v>
      </c>
      <c r="D3510" t="s">
        <v>25</v>
      </c>
      <c r="E3510" t="s">
        <v>12</v>
      </c>
      <c r="F3510" t="s">
        <v>13</v>
      </c>
      <c r="G3510">
        <v>1</v>
      </c>
      <c r="H3510">
        <v>2.5</v>
      </c>
      <c r="I3510" t="s">
        <v>39</v>
      </c>
      <c r="J3510" t="s">
        <v>225</v>
      </c>
      <c r="K3510" s="12">
        <f>Store_Record[[#This Row],[Qty]]*Store_Record[[#This Row],[UnitPriceGBP]]</f>
        <v>2.5</v>
      </c>
      <c r="L3510" s="5" t="str">
        <f>TEXT(Store_Record[[#This Row],[Date]],"dddd")</f>
        <v>Monday</v>
      </c>
      <c r="M3510" s="5" t="str">
        <f>TEXT(Store_Record[[#This Row],[Date]],"mmmm")</f>
        <v>September</v>
      </c>
      <c r="N3510" s="5">
        <f>YEAR(Store_Record[[#This Row],[Date]])</f>
        <v>2025</v>
      </c>
      <c r="O3510"/>
    </row>
    <row r="3511" spans="1:15" x14ac:dyDescent="0.35">
      <c r="A3511" t="s">
        <v>4492</v>
      </c>
      <c r="B3511" s="2">
        <v>45916</v>
      </c>
      <c r="C3511" t="s">
        <v>36</v>
      </c>
      <c r="D3511" t="s">
        <v>25</v>
      </c>
      <c r="E3511" t="s">
        <v>42</v>
      </c>
      <c r="F3511" t="s">
        <v>13</v>
      </c>
      <c r="G3511">
        <v>5</v>
      </c>
      <c r="H3511">
        <v>3.8</v>
      </c>
      <c r="I3511" t="s">
        <v>39</v>
      </c>
      <c r="J3511" t="s">
        <v>504</v>
      </c>
      <c r="K3511" s="12">
        <f>Store_Record[[#This Row],[Qty]]*Store_Record[[#This Row],[UnitPriceGBP]]</f>
        <v>19</v>
      </c>
      <c r="L3511" s="5" t="str">
        <f>TEXT(Store_Record[[#This Row],[Date]],"dddd")</f>
        <v>Tuesday</v>
      </c>
      <c r="M3511" s="5" t="str">
        <f>TEXT(Store_Record[[#This Row],[Date]],"mmmm")</f>
        <v>September</v>
      </c>
      <c r="N3511" s="5">
        <f>YEAR(Store_Record[[#This Row],[Date]])</f>
        <v>2025</v>
      </c>
      <c r="O3511"/>
    </row>
    <row r="3512" spans="1:15" x14ac:dyDescent="0.35">
      <c r="A3512" t="s">
        <v>4494</v>
      </c>
      <c r="B3512" s="2">
        <v>45916</v>
      </c>
      <c r="C3512" t="s">
        <v>24</v>
      </c>
      <c r="D3512" t="s">
        <v>29</v>
      </c>
      <c r="E3512" t="s">
        <v>42</v>
      </c>
      <c r="F3512" t="s">
        <v>13</v>
      </c>
      <c r="G3512">
        <v>5</v>
      </c>
      <c r="H3512">
        <v>3.8</v>
      </c>
      <c r="I3512" t="s">
        <v>14</v>
      </c>
      <c r="J3512" t="s">
        <v>4049</v>
      </c>
      <c r="K3512" s="12">
        <f>Store_Record[[#This Row],[Qty]]*Store_Record[[#This Row],[UnitPriceGBP]]</f>
        <v>19</v>
      </c>
      <c r="L3512" s="5" t="str">
        <f>TEXT(Store_Record[[#This Row],[Date]],"dddd")</f>
        <v>Tuesday</v>
      </c>
      <c r="M3512" s="5" t="str">
        <f>TEXT(Store_Record[[#This Row],[Date]],"mmmm")</f>
        <v>September</v>
      </c>
      <c r="N3512" s="5">
        <f>YEAR(Store_Record[[#This Row],[Date]])</f>
        <v>2025</v>
      </c>
      <c r="O3512"/>
    </row>
    <row r="3513" spans="1:15" x14ac:dyDescent="0.35">
      <c r="A3513" t="s">
        <v>4496</v>
      </c>
      <c r="B3513" s="2">
        <v>45916</v>
      </c>
      <c r="C3513" t="s">
        <v>36</v>
      </c>
      <c r="D3513" t="s">
        <v>38</v>
      </c>
      <c r="E3513" t="s">
        <v>42</v>
      </c>
      <c r="F3513" t="s">
        <v>13</v>
      </c>
      <c r="G3513">
        <v>5</v>
      </c>
      <c r="H3513">
        <v>3.8</v>
      </c>
      <c r="I3513" t="s">
        <v>21</v>
      </c>
      <c r="J3513" t="s">
        <v>1669</v>
      </c>
      <c r="K3513" s="12">
        <f>Store_Record[[#This Row],[Qty]]*Store_Record[[#This Row],[UnitPriceGBP]]</f>
        <v>19</v>
      </c>
      <c r="L3513" s="5" t="str">
        <f>TEXT(Store_Record[[#This Row],[Date]],"dddd")</f>
        <v>Tuesday</v>
      </c>
      <c r="M3513" s="5" t="str">
        <f>TEXT(Store_Record[[#This Row],[Date]],"mmmm")</f>
        <v>September</v>
      </c>
      <c r="N3513" s="5">
        <f>YEAR(Store_Record[[#This Row],[Date]])</f>
        <v>2025</v>
      </c>
      <c r="O3513"/>
    </row>
    <row r="3514" spans="1:15" x14ac:dyDescent="0.35">
      <c r="A3514" t="s">
        <v>4488</v>
      </c>
      <c r="B3514" s="2">
        <v>45916</v>
      </c>
      <c r="C3514" t="s">
        <v>36</v>
      </c>
      <c r="D3514" t="s">
        <v>29</v>
      </c>
      <c r="E3514" t="s">
        <v>42</v>
      </c>
      <c r="F3514" t="s">
        <v>13</v>
      </c>
      <c r="G3514">
        <v>4</v>
      </c>
      <c r="H3514">
        <v>3.8</v>
      </c>
      <c r="I3514" t="s">
        <v>14</v>
      </c>
      <c r="J3514" t="s">
        <v>2986</v>
      </c>
      <c r="K3514" s="12">
        <f>Store_Record[[#This Row],[Qty]]*Store_Record[[#This Row],[UnitPriceGBP]]</f>
        <v>15.2</v>
      </c>
      <c r="L3514" s="5" t="str">
        <f>TEXT(Store_Record[[#This Row],[Date]],"dddd")</f>
        <v>Tuesday</v>
      </c>
      <c r="M3514" s="5" t="str">
        <f>TEXT(Store_Record[[#This Row],[Date]],"mmmm")</f>
        <v>September</v>
      </c>
      <c r="N3514" s="5">
        <f>YEAR(Store_Record[[#This Row],[Date]])</f>
        <v>2025</v>
      </c>
      <c r="O3514"/>
    </row>
    <row r="3515" spans="1:15" x14ac:dyDescent="0.35">
      <c r="A3515" t="s">
        <v>4486</v>
      </c>
      <c r="B3515" s="2">
        <v>45916</v>
      </c>
      <c r="C3515" t="s">
        <v>10</v>
      </c>
      <c r="D3515" t="s">
        <v>11</v>
      </c>
      <c r="E3515" t="s">
        <v>30</v>
      </c>
      <c r="F3515" t="s">
        <v>31</v>
      </c>
      <c r="G3515">
        <v>5</v>
      </c>
      <c r="H3515">
        <v>2.8</v>
      </c>
      <c r="I3515" t="s">
        <v>39</v>
      </c>
      <c r="J3515" t="s">
        <v>648</v>
      </c>
      <c r="K3515" s="12">
        <f>Store_Record[[#This Row],[Qty]]*Store_Record[[#This Row],[UnitPriceGBP]]</f>
        <v>14</v>
      </c>
      <c r="L3515" s="5" t="str">
        <f>TEXT(Store_Record[[#This Row],[Date]],"dddd")</f>
        <v>Tuesday</v>
      </c>
      <c r="M3515" s="5" t="str">
        <f>TEXT(Store_Record[[#This Row],[Date]],"mmmm")</f>
        <v>September</v>
      </c>
      <c r="N3515" s="5">
        <f>YEAR(Store_Record[[#This Row],[Date]])</f>
        <v>2025</v>
      </c>
      <c r="O3515"/>
    </row>
    <row r="3516" spans="1:15" x14ac:dyDescent="0.35">
      <c r="A3516" t="s">
        <v>4498</v>
      </c>
      <c r="B3516" s="2">
        <v>45916</v>
      </c>
      <c r="C3516" t="s">
        <v>24</v>
      </c>
      <c r="D3516" t="s">
        <v>25</v>
      </c>
      <c r="E3516" t="s">
        <v>12</v>
      </c>
      <c r="F3516" t="s">
        <v>13</v>
      </c>
      <c r="G3516">
        <v>5</v>
      </c>
      <c r="H3516">
        <v>2.5</v>
      </c>
      <c r="I3516" t="s">
        <v>14</v>
      </c>
      <c r="J3516" t="s">
        <v>700</v>
      </c>
      <c r="K3516" s="12">
        <f>Store_Record[[#This Row],[Qty]]*Store_Record[[#This Row],[UnitPriceGBP]]</f>
        <v>12.5</v>
      </c>
      <c r="L3516" s="5" t="str">
        <f>TEXT(Store_Record[[#This Row],[Date]],"dddd")</f>
        <v>Tuesday</v>
      </c>
      <c r="M3516" s="5" t="str">
        <f>TEXT(Store_Record[[#This Row],[Date]],"mmmm")</f>
        <v>September</v>
      </c>
      <c r="N3516" s="5">
        <f>YEAR(Store_Record[[#This Row],[Date]])</f>
        <v>2025</v>
      </c>
      <c r="O3516"/>
    </row>
    <row r="3517" spans="1:15" x14ac:dyDescent="0.35">
      <c r="A3517" t="s">
        <v>4499</v>
      </c>
      <c r="B3517" s="2">
        <v>45916</v>
      </c>
      <c r="C3517" t="s">
        <v>36</v>
      </c>
      <c r="D3517" t="s">
        <v>11</v>
      </c>
      <c r="E3517" t="s">
        <v>30</v>
      </c>
      <c r="F3517" t="s">
        <v>31</v>
      </c>
      <c r="G3517">
        <v>4</v>
      </c>
      <c r="H3517">
        <v>2.8</v>
      </c>
      <c r="I3517" t="s">
        <v>14</v>
      </c>
      <c r="J3517" t="s">
        <v>2361</v>
      </c>
      <c r="K3517" s="12">
        <f>Store_Record[[#This Row],[Qty]]*Store_Record[[#This Row],[UnitPriceGBP]]</f>
        <v>11.2</v>
      </c>
      <c r="L3517" s="5" t="str">
        <f>TEXT(Store_Record[[#This Row],[Date]],"dddd")</f>
        <v>Tuesday</v>
      </c>
      <c r="M3517" s="5" t="str">
        <f>TEXT(Store_Record[[#This Row],[Date]],"mmmm")</f>
        <v>September</v>
      </c>
      <c r="N3517" s="5">
        <f>YEAR(Store_Record[[#This Row],[Date]])</f>
        <v>2025</v>
      </c>
      <c r="O3517"/>
    </row>
    <row r="3518" spans="1:15" x14ac:dyDescent="0.35">
      <c r="A3518" t="s">
        <v>4495</v>
      </c>
      <c r="B3518" s="2">
        <v>45916</v>
      </c>
      <c r="C3518" t="s">
        <v>36</v>
      </c>
      <c r="D3518" t="s">
        <v>47</v>
      </c>
      <c r="E3518" t="s">
        <v>34</v>
      </c>
      <c r="F3518" t="s">
        <v>31</v>
      </c>
      <c r="G3518">
        <v>5</v>
      </c>
      <c r="H3518">
        <v>2.2000000000000002</v>
      </c>
      <c r="I3518" t="s">
        <v>21</v>
      </c>
      <c r="J3518" t="s">
        <v>1479</v>
      </c>
      <c r="K3518" s="12">
        <f>Store_Record[[#This Row],[Qty]]*Store_Record[[#This Row],[UnitPriceGBP]]</f>
        <v>11</v>
      </c>
      <c r="L3518" s="5" t="str">
        <f>TEXT(Store_Record[[#This Row],[Date]],"dddd")</f>
        <v>Tuesday</v>
      </c>
      <c r="M3518" s="5" t="str">
        <f>TEXT(Store_Record[[#This Row],[Date]],"mmmm")</f>
        <v>September</v>
      </c>
      <c r="N3518" s="5">
        <f>YEAR(Store_Record[[#This Row],[Date]])</f>
        <v>2025</v>
      </c>
      <c r="O3518"/>
    </row>
    <row r="3519" spans="1:15" x14ac:dyDescent="0.35">
      <c r="A3519" t="s">
        <v>4484</v>
      </c>
      <c r="B3519" s="2">
        <v>45916</v>
      </c>
      <c r="C3519" t="s">
        <v>20</v>
      </c>
      <c r="D3519" t="s">
        <v>11</v>
      </c>
      <c r="E3519" t="s">
        <v>26</v>
      </c>
      <c r="F3519" t="s">
        <v>13</v>
      </c>
      <c r="G3519">
        <v>3</v>
      </c>
      <c r="H3519">
        <v>3.5</v>
      </c>
      <c r="I3519" t="s">
        <v>14</v>
      </c>
      <c r="J3519" t="s">
        <v>1428</v>
      </c>
      <c r="K3519" s="12">
        <f>Store_Record[[#This Row],[Qty]]*Store_Record[[#This Row],[UnitPriceGBP]]</f>
        <v>10.5</v>
      </c>
      <c r="L3519" s="5" t="str">
        <f>TEXT(Store_Record[[#This Row],[Date]],"dddd")</f>
        <v>Tuesday</v>
      </c>
      <c r="M3519" s="5" t="str">
        <f>TEXT(Store_Record[[#This Row],[Date]],"mmmm")</f>
        <v>September</v>
      </c>
      <c r="N3519" s="5">
        <f>YEAR(Store_Record[[#This Row],[Date]])</f>
        <v>2025</v>
      </c>
      <c r="O3519"/>
    </row>
    <row r="3520" spans="1:15" x14ac:dyDescent="0.35">
      <c r="A3520" t="s">
        <v>4485</v>
      </c>
      <c r="B3520" s="2">
        <v>45916</v>
      </c>
      <c r="C3520" t="s">
        <v>24</v>
      </c>
      <c r="D3520" t="s">
        <v>38</v>
      </c>
      <c r="E3520" t="s">
        <v>12</v>
      </c>
      <c r="F3520" t="s">
        <v>13</v>
      </c>
      <c r="G3520">
        <v>4</v>
      </c>
      <c r="H3520">
        <v>2.5</v>
      </c>
      <c r="I3520" t="s">
        <v>21</v>
      </c>
      <c r="J3520" t="s">
        <v>1329</v>
      </c>
      <c r="K3520" s="12">
        <f>Store_Record[[#This Row],[Qty]]*Store_Record[[#This Row],[UnitPriceGBP]]</f>
        <v>10</v>
      </c>
      <c r="L3520" s="5" t="str">
        <f>TEXT(Store_Record[[#This Row],[Date]],"dddd")</f>
        <v>Tuesday</v>
      </c>
      <c r="M3520" s="5" t="str">
        <f>TEXT(Store_Record[[#This Row],[Date]],"mmmm")</f>
        <v>September</v>
      </c>
      <c r="N3520" s="5">
        <f>YEAR(Store_Record[[#This Row],[Date]])</f>
        <v>2025</v>
      </c>
      <c r="O3520"/>
    </row>
    <row r="3521" spans="1:15" x14ac:dyDescent="0.35">
      <c r="A3521" t="s">
        <v>4500</v>
      </c>
      <c r="B3521" s="2">
        <v>45916</v>
      </c>
      <c r="C3521" t="s">
        <v>10</v>
      </c>
      <c r="D3521" t="s">
        <v>47</v>
      </c>
      <c r="E3521" t="s">
        <v>34</v>
      </c>
      <c r="F3521" t="s">
        <v>31</v>
      </c>
      <c r="G3521">
        <v>4</v>
      </c>
      <c r="H3521">
        <v>2.2000000000000002</v>
      </c>
      <c r="I3521" t="s">
        <v>21</v>
      </c>
      <c r="J3521" t="s">
        <v>241</v>
      </c>
      <c r="K3521" s="12">
        <f>Store_Record[[#This Row],[Qty]]*Store_Record[[#This Row],[UnitPriceGBP]]</f>
        <v>8.8000000000000007</v>
      </c>
      <c r="L3521" s="5" t="str">
        <f>TEXT(Store_Record[[#This Row],[Date]],"dddd")</f>
        <v>Tuesday</v>
      </c>
      <c r="M3521" s="5" t="str">
        <f>TEXT(Store_Record[[#This Row],[Date]],"mmmm")</f>
        <v>September</v>
      </c>
      <c r="N3521" s="5">
        <f>YEAR(Store_Record[[#This Row],[Date]])</f>
        <v>2025</v>
      </c>
      <c r="O3521"/>
    </row>
    <row r="3522" spans="1:15" x14ac:dyDescent="0.35">
      <c r="A3522" t="s">
        <v>4497</v>
      </c>
      <c r="B3522" s="2">
        <v>45916</v>
      </c>
      <c r="C3522" t="s">
        <v>36</v>
      </c>
      <c r="D3522" t="s">
        <v>47</v>
      </c>
      <c r="E3522" t="s">
        <v>30</v>
      </c>
      <c r="F3522" t="s">
        <v>31</v>
      </c>
      <c r="G3522">
        <v>3</v>
      </c>
      <c r="H3522">
        <v>2.8</v>
      </c>
      <c r="I3522" t="s">
        <v>14</v>
      </c>
      <c r="J3522" t="s">
        <v>1349</v>
      </c>
      <c r="K3522" s="12">
        <f>Store_Record[[#This Row],[Qty]]*Store_Record[[#This Row],[UnitPriceGBP]]</f>
        <v>8.3999999999999986</v>
      </c>
      <c r="L3522" s="5" t="str">
        <f>TEXT(Store_Record[[#This Row],[Date]],"dddd")</f>
        <v>Tuesday</v>
      </c>
      <c r="M3522" s="5" t="str">
        <f>TEXT(Store_Record[[#This Row],[Date]],"mmmm")</f>
        <v>September</v>
      </c>
      <c r="N3522" s="5">
        <f>YEAR(Store_Record[[#This Row],[Date]])</f>
        <v>2025</v>
      </c>
      <c r="O3522"/>
    </row>
    <row r="3523" spans="1:15" x14ac:dyDescent="0.35">
      <c r="A3523" t="s">
        <v>4491</v>
      </c>
      <c r="B3523" s="2">
        <v>45916</v>
      </c>
      <c r="C3523" t="s">
        <v>24</v>
      </c>
      <c r="D3523" t="s">
        <v>11</v>
      </c>
      <c r="E3523" t="s">
        <v>26</v>
      </c>
      <c r="F3523" t="s">
        <v>13</v>
      </c>
      <c r="G3523">
        <v>2</v>
      </c>
      <c r="H3523">
        <v>3.5</v>
      </c>
      <c r="I3523" t="s">
        <v>21</v>
      </c>
      <c r="J3523" t="s">
        <v>628</v>
      </c>
      <c r="K3523" s="12">
        <f>Store_Record[[#This Row],[Qty]]*Store_Record[[#This Row],[UnitPriceGBP]]</f>
        <v>7</v>
      </c>
      <c r="L3523" s="5" t="str">
        <f>TEXT(Store_Record[[#This Row],[Date]],"dddd")</f>
        <v>Tuesday</v>
      </c>
      <c r="M3523" s="5" t="str">
        <f>TEXT(Store_Record[[#This Row],[Date]],"mmmm")</f>
        <v>September</v>
      </c>
      <c r="N3523" s="5">
        <f>YEAR(Store_Record[[#This Row],[Date]])</f>
        <v>2025</v>
      </c>
      <c r="O3523"/>
    </row>
    <row r="3524" spans="1:15" x14ac:dyDescent="0.35">
      <c r="A3524" t="s">
        <v>4493</v>
      </c>
      <c r="B3524" s="2">
        <v>45916</v>
      </c>
      <c r="C3524" t="s">
        <v>24</v>
      </c>
      <c r="D3524" t="s">
        <v>38</v>
      </c>
      <c r="E3524" t="s">
        <v>26</v>
      </c>
      <c r="F3524" t="s">
        <v>13</v>
      </c>
      <c r="G3524">
        <v>2</v>
      </c>
      <c r="H3524">
        <v>3.5</v>
      </c>
      <c r="I3524" t="s">
        <v>39</v>
      </c>
      <c r="J3524" t="s">
        <v>1143</v>
      </c>
      <c r="K3524" s="12">
        <f>Store_Record[[#This Row],[Qty]]*Store_Record[[#This Row],[UnitPriceGBP]]</f>
        <v>7</v>
      </c>
      <c r="L3524" s="5" t="str">
        <f>TEXT(Store_Record[[#This Row],[Date]],"dddd")</f>
        <v>Tuesday</v>
      </c>
      <c r="M3524" s="5" t="str">
        <f>TEXT(Store_Record[[#This Row],[Date]],"mmmm")</f>
        <v>September</v>
      </c>
      <c r="N3524" s="5">
        <f>YEAR(Store_Record[[#This Row],[Date]])</f>
        <v>2025</v>
      </c>
      <c r="O3524"/>
    </row>
    <row r="3525" spans="1:15" x14ac:dyDescent="0.35">
      <c r="A3525" t="s">
        <v>4487</v>
      </c>
      <c r="B3525" s="2">
        <v>45916</v>
      </c>
      <c r="C3525" t="s">
        <v>20</v>
      </c>
      <c r="D3525" t="s">
        <v>29</v>
      </c>
      <c r="E3525" t="s">
        <v>34</v>
      </c>
      <c r="F3525" t="s">
        <v>31</v>
      </c>
      <c r="G3525">
        <v>3</v>
      </c>
      <c r="H3525">
        <v>2.2000000000000002</v>
      </c>
      <c r="I3525" t="s">
        <v>14</v>
      </c>
      <c r="J3525" t="s">
        <v>524</v>
      </c>
      <c r="K3525" s="12">
        <f>Store_Record[[#This Row],[Qty]]*Store_Record[[#This Row],[UnitPriceGBP]]</f>
        <v>6.6000000000000005</v>
      </c>
      <c r="L3525" s="5" t="str">
        <f>TEXT(Store_Record[[#This Row],[Date]],"dddd")</f>
        <v>Tuesday</v>
      </c>
      <c r="M3525" s="5" t="str">
        <f>TEXT(Store_Record[[#This Row],[Date]],"mmmm")</f>
        <v>September</v>
      </c>
      <c r="N3525" s="5">
        <f>YEAR(Store_Record[[#This Row],[Date]])</f>
        <v>2025</v>
      </c>
      <c r="O3525"/>
    </row>
    <row r="3526" spans="1:15" x14ac:dyDescent="0.35">
      <c r="A3526" t="s">
        <v>4489</v>
      </c>
      <c r="B3526" s="2">
        <v>45916</v>
      </c>
      <c r="C3526" t="s">
        <v>36</v>
      </c>
      <c r="D3526" t="s">
        <v>11</v>
      </c>
      <c r="E3526" t="s">
        <v>34</v>
      </c>
      <c r="F3526" t="s">
        <v>31</v>
      </c>
      <c r="G3526">
        <v>3</v>
      </c>
      <c r="H3526">
        <v>2.2000000000000002</v>
      </c>
      <c r="I3526" t="s">
        <v>21</v>
      </c>
      <c r="J3526" t="s">
        <v>426</v>
      </c>
      <c r="K3526" s="12">
        <f>Store_Record[[#This Row],[Qty]]*Store_Record[[#This Row],[UnitPriceGBP]]</f>
        <v>6.6000000000000005</v>
      </c>
      <c r="L3526" s="5" t="str">
        <f>TEXT(Store_Record[[#This Row],[Date]],"dddd")</f>
        <v>Tuesday</v>
      </c>
      <c r="M3526" s="5" t="str">
        <f>TEXT(Store_Record[[#This Row],[Date]],"mmmm")</f>
        <v>September</v>
      </c>
      <c r="N3526" s="5">
        <f>YEAR(Store_Record[[#This Row],[Date]])</f>
        <v>2025</v>
      </c>
      <c r="O3526"/>
    </row>
    <row r="3527" spans="1:15" x14ac:dyDescent="0.35">
      <c r="A3527" t="s">
        <v>4490</v>
      </c>
      <c r="B3527" s="2">
        <v>45916</v>
      </c>
      <c r="C3527" t="s">
        <v>20</v>
      </c>
      <c r="D3527" t="s">
        <v>25</v>
      </c>
      <c r="E3527" t="s">
        <v>34</v>
      </c>
      <c r="F3527" t="s">
        <v>31</v>
      </c>
      <c r="G3527">
        <v>3</v>
      </c>
      <c r="H3527">
        <v>2.2000000000000002</v>
      </c>
      <c r="I3527" t="s">
        <v>14</v>
      </c>
      <c r="J3527" t="s">
        <v>1943</v>
      </c>
      <c r="K3527" s="12">
        <f>Store_Record[[#This Row],[Qty]]*Store_Record[[#This Row],[UnitPriceGBP]]</f>
        <v>6.6000000000000005</v>
      </c>
      <c r="L3527" s="5" t="str">
        <f>TEXT(Store_Record[[#This Row],[Date]],"dddd")</f>
        <v>Tuesday</v>
      </c>
      <c r="M3527" s="5" t="str">
        <f>TEXT(Store_Record[[#This Row],[Date]],"mmmm")</f>
        <v>September</v>
      </c>
      <c r="N3527" s="5">
        <f>YEAR(Store_Record[[#This Row],[Date]])</f>
        <v>2025</v>
      </c>
      <c r="O3527"/>
    </row>
    <row r="3528" spans="1:15" x14ac:dyDescent="0.35">
      <c r="A3528" t="s">
        <v>4509</v>
      </c>
      <c r="B3528" s="2">
        <v>45917</v>
      </c>
      <c r="C3528" t="s">
        <v>36</v>
      </c>
      <c r="D3528" t="s">
        <v>29</v>
      </c>
      <c r="E3528" t="s">
        <v>26</v>
      </c>
      <c r="F3528" t="s">
        <v>13</v>
      </c>
      <c r="G3528">
        <v>5</v>
      </c>
      <c r="H3528">
        <v>3.5</v>
      </c>
      <c r="I3528" t="s">
        <v>14</v>
      </c>
      <c r="J3528" t="s">
        <v>3057</v>
      </c>
      <c r="K3528" s="12">
        <f>Store_Record[[#This Row],[Qty]]*Store_Record[[#This Row],[UnitPriceGBP]]</f>
        <v>17.5</v>
      </c>
      <c r="L3528" s="5" t="str">
        <f>TEXT(Store_Record[[#This Row],[Date]],"dddd")</f>
        <v>Wednesday</v>
      </c>
      <c r="M3528" s="5" t="str">
        <f>TEXT(Store_Record[[#This Row],[Date]],"mmmm")</f>
        <v>September</v>
      </c>
      <c r="N3528" s="5">
        <f>YEAR(Store_Record[[#This Row],[Date]])</f>
        <v>2025</v>
      </c>
      <c r="O3528"/>
    </row>
    <row r="3529" spans="1:15" x14ac:dyDescent="0.35">
      <c r="A3529" t="s">
        <v>4505</v>
      </c>
      <c r="B3529" s="2">
        <v>45917</v>
      </c>
      <c r="C3529" t="s">
        <v>36</v>
      </c>
      <c r="D3529" t="s">
        <v>47</v>
      </c>
      <c r="E3529" t="s">
        <v>42</v>
      </c>
      <c r="F3529" t="s">
        <v>13</v>
      </c>
      <c r="G3529">
        <v>4</v>
      </c>
      <c r="H3529">
        <v>3.8</v>
      </c>
      <c r="I3529" t="s">
        <v>21</v>
      </c>
      <c r="J3529" t="s">
        <v>1106</v>
      </c>
      <c r="K3529" s="12">
        <f>Store_Record[[#This Row],[Qty]]*Store_Record[[#This Row],[UnitPriceGBP]]</f>
        <v>15.2</v>
      </c>
      <c r="L3529" s="5" t="str">
        <f>TEXT(Store_Record[[#This Row],[Date]],"dddd")</f>
        <v>Wednesday</v>
      </c>
      <c r="M3529" s="5" t="str">
        <f>TEXT(Store_Record[[#This Row],[Date]],"mmmm")</f>
        <v>September</v>
      </c>
      <c r="N3529" s="5">
        <f>YEAR(Store_Record[[#This Row],[Date]])</f>
        <v>2025</v>
      </c>
      <c r="O3529"/>
    </row>
    <row r="3530" spans="1:15" x14ac:dyDescent="0.35">
      <c r="A3530" t="s">
        <v>4512</v>
      </c>
      <c r="B3530" s="2">
        <v>45917</v>
      </c>
      <c r="C3530" t="s">
        <v>24</v>
      </c>
      <c r="D3530" t="s">
        <v>25</v>
      </c>
      <c r="E3530" t="s">
        <v>26</v>
      </c>
      <c r="F3530" t="s">
        <v>13</v>
      </c>
      <c r="G3530">
        <v>4</v>
      </c>
      <c r="H3530">
        <v>3.5</v>
      </c>
      <c r="I3530" t="s">
        <v>14</v>
      </c>
      <c r="J3530" t="s">
        <v>703</v>
      </c>
      <c r="K3530" s="12">
        <f>Store_Record[[#This Row],[Qty]]*Store_Record[[#This Row],[UnitPriceGBP]]</f>
        <v>14</v>
      </c>
      <c r="L3530" s="5" t="str">
        <f>TEXT(Store_Record[[#This Row],[Date]],"dddd")</f>
        <v>Wednesday</v>
      </c>
      <c r="M3530" s="5" t="str">
        <f>TEXT(Store_Record[[#This Row],[Date]],"mmmm")</f>
        <v>September</v>
      </c>
      <c r="N3530" s="5">
        <f>YEAR(Store_Record[[#This Row],[Date]])</f>
        <v>2025</v>
      </c>
      <c r="O3530"/>
    </row>
    <row r="3531" spans="1:15" x14ac:dyDescent="0.35">
      <c r="A3531" t="s">
        <v>4510</v>
      </c>
      <c r="B3531" s="2">
        <v>45917</v>
      </c>
      <c r="C3531" t="s">
        <v>36</v>
      </c>
      <c r="D3531" t="s">
        <v>47</v>
      </c>
      <c r="E3531" t="s">
        <v>12</v>
      </c>
      <c r="F3531" t="s">
        <v>13</v>
      </c>
      <c r="G3531">
        <v>5</v>
      </c>
      <c r="H3531">
        <v>2.5</v>
      </c>
      <c r="I3531" t="s">
        <v>14</v>
      </c>
      <c r="J3531" t="s">
        <v>4256</v>
      </c>
      <c r="K3531" s="12">
        <f>Store_Record[[#This Row],[Qty]]*Store_Record[[#This Row],[UnitPriceGBP]]</f>
        <v>12.5</v>
      </c>
      <c r="L3531" s="5" t="str">
        <f>TEXT(Store_Record[[#This Row],[Date]],"dddd")</f>
        <v>Wednesday</v>
      </c>
      <c r="M3531" s="5" t="str">
        <f>TEXT(Store_Record[[#This Row],[Date]],"mmmm")</f>
        <v>September</v>
      </c>
      <c r="N3531" s="5">
        <f>YEAR(Store_Record[[#This Row],[Date]])</f>
        <v>2025</v>
      </c>
      <c r="O3531"/>
    </row>
    <row r="3532" spans="1:15" x14ac:dyDescent="0.35">
      <c r="A3532" t="s">
        <v>4513</v>
      </c>
      <c r="B3532" s="2">
        <v>45917</v>
      </c>
      <c r="C3532" t="s">
        <v>24</v>
      </c>
      <c r="D3532" t="s">
        <v>29</v>
      </c>
      <c r="E3532" t="s">
        <v>12</v>
      </c>
      <c r="F3532" t="s">
        <v>13</v>
      </c>
      <c r="G3532">
        <v>5</v>
      </c>
      <c r="H3532">
        <v>2.5</v>
      </c>
      <c r="I3532" t="s">
        <v>14</v>
      </c>
      <c r="J3532" t="s">
        <v>4514</v>
      </c>
      <c r="K3532" s="12">
        <f>Store_Record[[#This Row],[Qty]]*Store_Record[[#This Row],[UnitPriceGBP]]</f>
        <v>12.5</v>
      </c>
      <c r="L3532" s="5" t="str">
        <f>TEXT(Store_Record[[#This Row],[Date]],"dddd")</f>
        <v>Wednesday</v>
      </c>
      <c r="M3532" s="5" t="str">
        <f>TEXT(Store_Record[[#This Row],[Date]],"mmmm")</f>
        <v>September</v>
      </c>
      <c r="N3532" s="5">
        <f>YEAR(Store_Record[[#This Row],[Date]])</f>
        <v>2025</v>
      </c>
      <c r="O3532"/>
    </row>
    <row r="3533" spans="1:15" x14ac:dyDescent="0.35">
      <c r="A3533" t="s">
        <v>4504</v>
      </c>
      <c r="B3533" s="2">
        <v>45917</v>
      </c>
      <c r="C3533" t="s">
        <v>36</v>
      </c>
      <c r="D3533" t="s">
        <v>29</v>
      </c>
      <c r="E3533" t="s">
        <v>42</v>
      </c>
      <c r="F3533" t="s">
        <v>13</v>
      </c>
      <c r="G3533">
        <v>2</v>
      </c>
      <c r="H3533">
        <v>3.8</v>
      </c>
      <c r="I3533" t="s">
        <v>14</v>
      </c>
      <c r="J3533" t="s">
        <v>667</v>
      </c>
      <c r="K3533" s="12">
        <f>Store_Record[[#This Row],[Qty]]*Store_Record[[#This Row],[UnitPriceGBP]]</f>
        <v>7.6</v>
      </c>
      <c r="L3533" s="5" t="str">
        <f>TEXT(Store_Record[[#This Row],[Date]],"dddd")</f>
        <v>Wednesday</v>
      </c>
      <c r="M3533" s="5" t="str">
        <f>TEXT(Store_Record[[#This Row],[Date]],"mmmm")</f>
        <v>September</v>
      </c>
      <c r="N3533" s="5">
        <f>YEAR(Store_Record[[#This Row],[Date]])</f>
        <v>2025</v>
      </c>
      <c r="O3533"/>
    </row>
    <row r="3534" spans="1:15" x14ac:dyDescent="0.35">
      <c r="A3534" t="s">
        <v>4506</v>
      </c>
      <c r="B3534" s="2">
        <v>45917</v>
      </c>
      <c r="C3534" t="s">
        <v>20</v>
      </c>
      <c r="D3534" t="s">
        <v>25</v>
      </c>
      <c r="E3534" t="s">
        <v>42</v>
      </c>
      <c r="F3534" t="s">
        <v>13</v>
      </c>
      <c r="G3534">
        <v>2</v>
      </c>
      <c r="H3534">
        <v>3.8</v>
      </c>
      <c r="I3534" t="s">
        <v>14</v>
      </c>
      <c r="J3534" t="s">
        <v>2880</v>
      </c>
      <c r="K3534" s="12">
        <f>Store_Record[[#This Row],[Qty]]*Store_Record[[#This Row],[UnitPriceGBP]]</f>
        <v>7.6</v>
      </c>
      <c r="L3534" s="5" t="str">
        <f>TEXT(Store_Record[[#This Row],[Date]],"dddd")</f>
        <v>Wednesday</v>
      </c>
      <c r="M3534" s="5" t="str">
        <f>TEXT(Store_Record[[#This Row],[Date]],"mmmm")</f>
        <v>September</v>
      </c>
      <c r="N3534" s="5">
        <f>YEAR(Store_Record[[#This Row],[Date]])</f>
        <v>2025</v>
      </c>
      <c r="O3534"/>
    </row>
    <row r="3535" spans="1:15" x14ac:dyDescent="0.35">
      <c r="A3535" t="s">
        <v>4502</v>
      </c>
      <c r="B3535" s="2">
        <v>45917</v>
      </c>
      <c r="C3535" t="s">
        <v>10</v>
      </c>
      <c r="D3535" t="s">
        <v>47</v>
      </c>
      <c r="E3535" t="s">
        <v>26</v>
      </c>
      <c r="F3535" t="s">
        <v>13</v>
      </c>
      <c r="G3535">
        <v>2</v>
      </c>
      <c r="H3535">
        <v>3.5</v>
      </c>
      <c r="I3535" t="s">
        <v>21</v>
      </c>
      <c r="J3535" t="s">
        <v>400</v>
      </c>
      <c r="K3535" s="12">
        <f>Store_Record[[#This Row],[Qty]]*Store_Record[[#This Row],[UnitPriceGBP]]</f>
        <v>7</v>
      </c>
      <c r="L3535" s="5" t="str">
        <f>TEXT(Store_Record[[#This Row],[Date]],"dddd")</f>
        <v>Wednesday</v>
      </c>
      <c r="M3535" s="5" t="str">
        <f>TEXT(Store_Record[[#This Row],[Date]],"mmmm")</f>
        <v>September</v>
      </c>
      <c r="N3535" s="5">
        <f>YEAR(Store_Record[[#This Row],[Date]])</f>
        <v>2025</v>
      </c>
      <c r="O3535"/>
    </row>
    <row r="3536" spans="1:15" x14ac:dyDescent="0.35">
      <c r="A3536" t="s">
        <v>4511</v>
      </c>
      <c r="B3536" s="2">
        <v>45917</v>
      </c>
      <c r="C3536" t="s">
        <v>24</v>
      </c>
      <c r="D3536" t="s">
        <v>47</v>
      </c>
      <c r="E3536" t="s">
        <v>26</v>
      </c>
      <c r="F3536" t="s">
        <v>13</v>
      </c>
      <c r="G3536">
        <v>2</v>
      </c>
      <c r="H3536">
        <v>3.5</v>
      </c>
      <c r="I3536" t="s">
        <v>39</v>
      </c>
      <c r="J3536" t="s">
        <v>892</v>
      </c>
      <c r="K3536" s="12">
        <f>Store_Record[[#This Row],[Qty]]*Store_Record[[#This Row],[UnitPriceGBP]]</f>
        <v>7</v>
      </c>
      <c r="L3536" s="5" t="str">
        <f>TEXT(Store_Record[[#This Row],[Date]],"dddd")</f>
        <v>Wednesday</v>
      </c>
      <c r="M3536" s="5" t="str">
        <f>TEXT(Store_Record[[#This Row],[Date]],"mmmm")</f>
        <v>September</v>
      </c>
      <c r="N3536" s="5">
        <f>YEAR(Store_Record[[#This Row],[Date]])</f>
        <v>2025</v>
      </c>
      <c r="O3536"/>
    </row>
    <row r="3537" spans="1:15" x14ac:dyDescent="0.35">
      <c r="A3537" t="s">
        <v>4501</v>
      </c>
      <c r="B3537" s="2">
        <v>45917</v>
      </c>
      <c r="C3537" t="s">
        <v>24</v>
      </c>
      <c r="D3537" t="s">
        <v>11</v>
      </c>
      <c r="E3537" t="s">
        <v>30</v>
      </c>
      <c r="F3537" t="s">
        <v>31</v>
      </c>
      <c r="G3537">
        <v>2</v>
      </c>
      <c r="H3537">
        <v>2.8</v>
      </c>
      <c r="I3537" t="s">
        <v>39</v>
      </c>
      <c r="J3537" t="s">
        <v>3065</v>
      </c>
      <c r="K3537" s="12">
        <f>Store_Record[[#This Row],[Qty]]*Store_Record[[#This Row],[UnitPriceGBP]]</f>
        <v>5.6</v>
      </c>
      <c r="L3537" s="5" t="str">
        <f>TEXT(Store_Record[[#This Row],[Date]],"dddd")</f>
        <v>Wednesday</v>
      </c>
      <c r="M3537" s="5" t="str">
        <f>TEXT(Store_Record[[#This Row],[Date]],"mmmm")</f>
        <v>September</v>
      </c>
      <c r="N3537" s="5">
        <f>YEAR(Store_Record[[#This Row],[Date]])</f>
        <v>2025</v>
      </c>
      <c r="O3537"/>
    </row>
    <row r="3538" spans="1:15" x14ac:dyDescent="0.35">
      <c r="A3538" t="s">
        <v>4508</v>
      </c>
      <c r="B3538" s="2">
        <v>45917</v>
      </c>
      <c r="C3538" t="s">
        <v>24</v>
      </c>
      <c r="D3538" t="s">
        <v>29</v>
      </c>
      <c r="E3538" t="s">
        <v>34</v>
      </c>
      <c r="F3538" t="s">
        <v>31</v>
      </c>
      <c r="G3538">
        <v>2</v>
      </c>
      <c r="H3538">
        <v>2.2000000000000002</v>
      </c>
      <c r="I3538" t="s">
        <v>21</v>
      </c>
      <c r="J3538" t="s">
        <v>951</v>
      </c>
      <c r="K3538" s="12">
        <f>Store_Record[[#This Row],[Qty]]*Store_Record[[#This Row],[UnitPriceGBP]]</f>
        <v>4.4000000000000004</v>
      </c>
      <c r="L3538" s="5" t="str">
        <f>TEXT(Store_Record[[#This Row],[Date]],"dddd")</f>
        <v>Wednesday</v>
      </c>
      <c r="M3538" s="5" t="str">
        <f>TEXT(Store_Record[[#This Row],[Date]],"mmmm")</f>
        <v>September</v>
      </c>
      <c r="N3538" s="5">
        <f>YEAR(Store_Record[[#This Row],[Date]])</f>
        <v>2025</v>
      </c>
      <c r="O3538"/>
    </row>
    <row r="3539" spans="1:15" x14ac:dyDescent="0.35">
      <c r="A3539" t="s">
        <v>4515</v>
      </c>
      <c r="B3539" s="2">
        <v>45917</v>
      </c>
      <c r="C3539" t="s">
        <v>24</v>
      </c>
      <c r="D3539" t="s">
        <v>29</v>
      </c>
      <c r="E3539" t="s">
        <v>42</v>
      </c>
      <c r="F3539" t="s">
        <v>13</v>
      </c>
      <c r="G3539">
        <v>1</v>
      </c>
      <c r="H3539">
        <v>3.8</v>
      </c>
      <c r="I3539" t="s">
        <v>14</v>
      </c>
      <c r="J3539" t="s">
        <v>2337</v>
      </c>
      <c r="K3539" s="12">
        <f>Store_Record[[#This Row],[Qty]]*Store_Record[[#This Row],[UnitPriceGBP]]</f>
        <v>3.8</v>
      </c>
      <c r="L3539" s="5" t="str">
        <f>TEXT(Store_Record[[#This Row],[Date]],"dddd")</f>
        <v>Wednesday</v>
      </c>
      <c r="M3539" s="5" t="str">
        <f>TEXT(Store_Record[[#This Row],[Date]],"mmmm")</f>
        <v>September</v>
      </c>
      <c r="N3539" s="5">
        <f>YEAR(Store_Record[[#This Row],[Date]])</f>
        <v>2025</v>
      </c>
      <c r="O3539"/>
    </row>
    <row r="3540" spans="1:15" x14ac:dyDescent="0.35">
      <c r="A3540" t="s">
        <v>4503</v>
      </c>
      <c r="B3540" s="2">
        <v>45917</v>
      </c>
      <c r="C3540" t="s">
        <v>24</v>
      </c>
      <c r="D3540" t="s">
        <v>47</v>
      </c>
      <c r="E3540" t="s">
        <v>26</v>
      </c>
      <c r="F3540" t="s">
        <v>13</v>
      </c>
      <c r="G3540">
        <v>1</v>
      </c>
      <c r="H3540">
        <v>3.5</v>
      </c>
      <c r="I3540" t="s">
        <v>14</v>
      </c>
      <c r="J3540" t="s">
        <v>230</v>
      </c>
      <c r="K3540" s="12">
        <f>Store_Record[[#This Row],[Qty]]*Store_Record[[#This Row],[UnitPriceGBP]]</f>
        <v>3.5</v>
      </c>
      <c r="L3540" s="5" t="str">
        <f>TEXT(Store_Record[[#This Row],[Date]],"dddd")</f>
        <v>Wednesday</v>
      </c>
      <c r="M3540" s="5" t="str">
        <f>TEXT(Store_Record[[#This Row],[Date]],"mmmm")</f>
        <v>September</v>
      </c>
      <c r="N3540" s="5">
        <f>YEAR(Store_Record[[#This Row],[Date]])</f>
        <v>2025</v>
      </c>
      <c r="O3540"/>
    </row>
    <row r="3541" spans="1:15" x14ac:dyDescent="0.35">
      <c r="A3541" t="s">
        <v>4507</v>
      </c>
      <c r="B3541" s="2">
        <v>45917</v>
      </c>
      <c r="C3541" t="s">
        <v>24</v>
      </c>
      <c r="D3541" t="s">
        <v>38</v>
      </c>
      <c r="E3541" t="s">
        <v>26</v>
      </c>
      <c r="F3541" t="s">
        <v>13</v>
      </c>
      <c r="G3541">
        <v>1</v>
      </c>
      <c r="H3541">
        <v>3.5</v>
      </c>
      <c r="I3541" t="s">
        <v>21</v>
      </c>
      <c r="J3541" t="s">
        <v>2929</v>
      </c>
      <c r="K3541" s="12">
        <f>Store_Record[[#This Row],[Qty]]*Store_Record[[#This Row],[UnitPriceGBP]]</f>
        <v>3.5</v>
      </c>
      <c r="L3541" s="5" t="str">
        <f>TEXT(Store_Record[[#This Row],[Date]],"dddd")</f>
        <v>Wednesday</v>
      </c>
      <c r="M3541" s="5" t="str">
        <f>TEXT(Store_Record[[#This Row],[Date]],"mmmm")</f>
        <v>September</v>
      </c>
      <c r="N3541" s="5">
        <f>YEAR(Store_Record[[#This Row],[Date]])</f>
        <v>2025</v>
      </c>
      <c r="O3541"/>
    </row>
    <row r="3542" spans="1:15" x14ac:dyDescent="0.35">
      <c r="A3542" t="s">
        <v>4528</v>
      </c>
      <c r="B3542" s="2">
        <v>45918</v>
      </c>
      <c r="C3542" t="s">
        <v>24</v>
      </c>
      <c r="D3542" t="s">
        <v>29</v>
      </c>
      <c r="E3542" t="s">
        <v>42</v>
      </c>
      <c r="F3542" t="s">
        <v>13</v>
      </c>
      <c r="G3542">
        <v>4</v>
      </c>
      <c r="H3542">
        <v>3.8</v>
      </c>
      <c r="I3542" t="s">
        <v>21</v>
      </c>
      <c r="J3542" t="s">
        <v>553</v>
      </c>
      <c r="K3542" s="12">
        <f>Store_Record[[#This Row],[Qty]]*Store_Record[[#This Row],[UnitPriceGBP]]</f>
        <v>15.2</v>
      </c>
      <c r="L3542" s="5" t="str">
        <f>TEXT(Store_Record[[#This Row],[Date]],"dddd")</f>
        <v>Thursday</v>
      </c>
      <c r="M3542" s="5" t="str">
        <f>TEXT(Store_Record[[#This Row],[Date]],"mmmm")</f>
        <v>September</v>
      </c>
      <c r="N3542" s="5">
        <f>YEAR(Store_Record[[#This Row],[Date]])</f>
        <v>2025</v>
      </c>
      <c r="O3542"/>
    </row>
    <row r="3543" spans="1:15" x14ac:dyDescent="0.35">
      <c r="A3543" t="s">
        <v>4519</v>
      </c>
      <c r="B3543" s="2">
        <v>45918</v>
      </c>
      <c r="C3543" t="s">
        <v>36</v>
      </c>
      <c r="D3543" t="s">
        <v>25</v>
      </c>
      <c r="E3543" t="s">
        <v>30</v>
      </c>
      <c r="F3543" t="s">
        <v>31</v>
      </c>
      <c r="G3543">
        <v>5</v>
      </c>
      <c r="H3543">
        <v>2.8</v>
      </c>
      <c r="I3543" t="s">
        <v>39</v>
      </c>
      <c r="J3543" t="s">
        <v>333</v>
      </c>
      <c r="K3543" s="12">
        <f>Store_Record[[#This Row],[Qty]]*Store_Record[[#This Row],[UnitPriceGBP]]</f>
        <v>14</v>
      </c>
      <c r="L3543" s="5" t="str">
        <f>TEXT(Store_Record[[#This Row],[Date]],"dddd")</f>
        <v>Thursday</v>
      </c>
      <c r="M3543" s="5" t="str">
        <f>TEXT(Store_Record[[#This Row],[Date]],"mmmm")</f>
        <v>September</v>
      </c>
      <c r="N3543" s="5">
        <f>YEAR(Store_Record[[#This Row],[Date]])</f>
        <v>2025</v>
      </c>
      <c r="O3543"/>
    </row>
    <row r="3544" spans="1:15" x14ac:dyDescent="0.35">
      <c r="A3544" t="s">
        <v>4516</v>
      </c>
      <c r="B3544" s="2">
        <v>45918</v>
      </c>
      <c r="C3544" t="s">
        <v>10</v>
      </c>
      <c r="D3544" t="s">
        <v>11</v>
      </c>
      <c r="E3544" t="s">
        <v>12</v>
      </c>
      <c r="F3544" t="s">
        <v>13</v>
      </c>
      <c r="G3544">
        <v>5</v>
      </c>
      <c r="H3544">
        <v>2.5</v>
      </c>
      <c r="I3544" t="s">
        <v>14</v>
      </c>
      <c r="J3544" t="s">
        <v>1460</v>
      </c>
      <c r="K3544" s="12">
        <f>Store_Record[[#This Row],[Qty]]*Store_Record[[#This Row],[UnitPriceGBP]]</f>
        <v>12.5</v>
      </c>
      <c r="L3544" s="5" t="str">
        <f>TEXT(Store_Record[[#This Row],[Date]],"dddd")</f>
        <v>Thursday</v>
      </c>
      <c r="M3544" s="5" t="str">
        <f>TEXT(Store_Record[[#This Row],[Date]],"mmmm")</f>
        <v>September</v>
      </c>
      <c r="N3544" s="5">
        <f>YEAR(Store_Record[[#This Row],[Date]])</f>
        <v>2025</v>
      </c>
      <c r="O3544"/>
    </row>
    <row r="3545" spans="1:15" x14ac:dyDescent="0.35">
      <c r="A3545" t="s">
        <v>4526</v>
      </c>
      <c r="B3545" s="2">
        <v>45918</v>
      </c>
      <c r="C3545" t="s">
        <v>10</v>
      </c>
      <c r="D3545" t="s">
        <v>38</v>
      </c>
      <c r="E3545" t="s">
        <v>12</v>
      </c>
      <c r="F3545" t="s">
        <v>13</v>
      </c>
      <c r="G3545">
        <v>5</v>
      </c>
      <c r="H3545">
        <v>2.5</v>
      </c>
      <c r="I3545" t="s">
        <v>14</v>
      </c>
      <c r="J3545" t="s">
        <v>1524</v>
      </c>
      <c r="K3545" s="12">
        <f>Store_Record[[#This Row],[Qty]]*Store_Record[[#This Row],[UnitPriceGBP]]</f>
        <v>12.5</v>
      </c>
      <c r="L3545" s="5" t="str">
        <f>TEXT(Store_Record[[#This Row],[Date]],"dddd")</f>
        <v>Thursday</v>
      </c>
      <c r="M3545" s="5" t="str">
        <f>TEXT(Store_Record[[#This Row],[Date]],"mmmm")</f>
        <v>September</v>
      </c>
      <c r="N3545" s="5">
        <f>YEAR(Store_Record[[#This Row],[Date]])</f>
        <v>2025</v>
      </c>
      <c r="O3545"/>
    </row>
    <row r="3546" spans="1:15" x14ac:dyDescent="0.35">
      <c r="A3546" t="s">
        <v>4527</v>
      </c>
      <c r="B3546" s="2">
        <v>45918</v>
      </c>
      <c r="C3546" t="s">
        <v>20</v>
      </c>
      <c r="D3546" t="s">
        <v>11</v>
      </c>
      <c r="E3546" t="s">
        <v>42</v>
      </c>
      <c r="F3546" t="s">
        <v>13</v>
      </c>
      <c r="G3546">
        <v>3</v>
      </c>
      <c r="H3546">
        <v>3.8</v>
      </c>
      <c r="I3546" t="s">
        <v>14</v>
      </c>
      <c r="J3546" t="s">
        <v>2322</v>
      </c>
      <c r="K3546" s="12">
        <f>Store_Record[[#This Row],[Qty]]*Store_Record[[#This Row],[UnitPriceGBP]]</f>
        <v>11.399999999999999</v>
      </c>
      <c r="L3546" s="5" t="str">
        <f>TEXT(Store_Record[[#This Row],[Date]],"dddd")</f>
        <v>Thursday</v>
      </c>
      <c r="M3546" s="5" t="str">
        <f>TEXT(Store_Record[[#This Row],[Date]],"mmmm")</f>
        <v>September</v>
      </c>
      <c r="N3546" s="5">
        <f>YEAR(Store_Record[[#This Row],[Date]])</f>
        <v>2025</v>
      </c>
      <c r="O3546"/>
    </row>
    <row r="3547" spans="1:15" x14ac:dyDescent="0.35">
      <c r="A3547" t="s">
        <v>4533</v>
      </c>
      <c r="B3547" s="2">
        <v>45918</v>
      </c>
      <c r="C3547" t="s">
        <v>10</v>
      </c>
      <c r="D3547" t="s">
        <v>47</v>
      </c>
      <c r="E3547" t="s">
        <v>34</v>
      </c>
      <c r="F3547" t="s">
        <v>31</v>
      </c>
      <c r="G3547">
        <v>5</v>
      </c>
      <c r="H3547">
        <v>2.2000000000000002</v>
      </c>
      <c r="I3547" t="s">
        <v>21</v>
      </c>
      <c r="J3547" t="s">
        <v>1262</v>
      </c>
      <c r="K3547" s="12">
        <f>Store_Record[[#This Row],[Qty]]*Store_Record[[#This Row],[UnitPriceGBP]]</f>
        <v>11</v>
      </c>
      <c r="L3547" s="5" t="str">
        <f>TEXT(Store_Record[[#This Row],[Date]],"dddd")</f>
        <v>Thursday</v>
      </c>
      <c r="M3547" s="5" t="str">
        <f>TEXT(Store_Record[[#This Row],[Date]],"mmmm")</f>
        <v>September</v>
      </c>
      <c r="N3547" s="5">
        <f>YEAR(Store_Record[[#This Row],[Date]])</f>
        <v>2025</v>
      </c>
      <c r="O3547"/>
    </row>
    <row r="3548" spans="1:15" x14ac:dyDescent="0.35">
      <c r="A3548" t="s">
        <v>4521</v>
      </c>
      <c r="B3548" s="2">
        <v>45918</v>
      </c>
      <c r="C3548" t="s">
        <v>20</v>
      </c>
      <c r="D3548" t="s">
        <v>25</v>
      </c>
      <c r="E3548" t="s">
        <v>12</v>
      </c>
      <c r="F3548" t="s">
        <v>13</v>
      </c>
      <c r="G3548">
        <v>4</v>
      </c>
      <c r="H3548">
        <v>2.5</v>
      </c>
      <c r="I3548" t="s">
        <v>14</v>
      </c>
      <c r="J3548" t="s">
        <v>4522</v>
      </c>
      <c r="K3548" s="12">
        <f>Store_Record[[#This Row],[Qty]]*Store_Record[[#This Row],[UnitPriceGBP]]</f>
        <v>10</v>
      </c>
      <c r="L3548" s="5" t="str">
        <f>TEXT(Store_Record[[#This Row],[Date]],"dddd")</f>
        <v>Thursday</v>
      </c>
      <c r="M3548" s="5" t="str">
        <f>TEXT(Store_Record[[#This Row],[Date]],"mmmm")</f>
        <v>September</v>
      </c>
      <c r="N3548" s="5">
        <f>YEAR(Store_Record[[#This Row],[Date]])</f>
        <v>2025</v>
      </c>
      <c r="O3548"/>
    </row>
    <row r="3549" spans="1:15" x14ac:dyDescent="0.35">
      <c r="A3549" t="s">
        <v>4532</v>
      </c>
      <c r="B3549" s="2">
        <v>45918</v>
      </c>
      <c r="C3549" t="s">
        <v>20</v>
      </c>
      <c r="D3549" t="s">
        <v>47</v>
      </c>
      <c r="E3549" t="s">
        <v>12</v>
      </c>
      <c r="F3549" t="s">
        <v>13</v>
      </c>
      <c r="G3549">
        <v>4</v>
      </c>
      <c r="H3549">
        <v>2.5</v>
      </c>
      <c r="I3549" t="s">
        <v>14</v>
      </c>
      <c r="J3549" t="s">
        <v>157</v>
      </c>
      <c r="K3549" s="12">
        <f>Store_Record[[#This Row],[Qty]]*Store_Record[[#This Row],[UnitPriceGBP]]</f>
        <v>10</v>
      </c>
      <c r="L3549" s="5" t="str">
        <f>TEXT(Store_Record[[#This Row],[Date]],"dddd")</f>
        <v>Thursday</v>
      </c>
      <c r="M3549" s="5" t="str">
        <f>TEXT(Store_Record[[#This Row],[Date]],"mmmm")</f>
        <v>September</v>
      </c>
      <c r="N3549" s="5">
        <f>YEAR(Store_Record[[#This Row],[Date]])</f>
        <v>2025</v>
      </c>
      <c r="O3549"/>
    </row>
    <row r="3550" spans="1:15" x14ac:dyDescent="0.35">
      <c r="A3550" t="s">
        <v>4534</v>
      </c>
      <c r="B3550" s="2">
        <v>45918</v>
      </c>
      <c r="C3550" t="s">
        <v>10</v>
      </c>
      <c r="D3550" t="s">
        <v>11</v>
      </c>
      <c r="E3550" t="s">
        <v>30</v>
      </c>
      <c r="F3550" t="s">
        <v>31</v>
      </c>
      <c r="G3550">
        <v>3</v>
      </c>
      <c r="H3550">
        <v>2.8</v>
      </c>
      <c r="I3550" t="s">
        <v>39</v>
      </c>
      <c r="J3550" t="s">
        <v>1242</v>
      </c>
      <c r="K3550" s="12">
        <f>Store_Record[[#This Row],[Qty]]*Store_Record[[#This Row],[UnitPriceGBP]]</f>
        <v>8.3999999999999986</v>
      </c>
      <c r="L3550" s="5" t="str">
        <f>TEXT(Store_Record[[#This Row],[Date]],"dddd")</f>
        <v>Thursday</v>
      </c>
      <c r="M3550" s="5" t="str">
        <f>TEXT(Store_Record[[#This Row],[Date]],"mmmm")</f>
        <v>September</v>
      </c>
      <c r="N3550" s="5">
        <f>YEAR(Store_Record[[#This Row],[Date]])</f>
        <v>2025</v>
      </c>
      <c r="O3550"/>
    </row>
    <row r="3551" spans="1:15" x14ac:dyDescent="0.35">
      <c r="A3551" t="s">
        <v>4520</v>
      </c>
      <c r="B3551" s="2">
        <v>45918</v>
      </c>
      <c r="C3551" t="s">
        <v>20</v>
      </c>
      <c r="D3551" t="s">
        <v>29</v>
      </c>
      <c r="E3551" t="s">
        <v>42</v>
      </c>
      <c r="F3551" t="s">
        <v>13</v>
      </c>
      <c r="G3551">
        <v>2</v>
      </c>
      <c r="H3551">
        <v>3.8</v>
      </c>
      <c r="I3551" t="s">
        <v>21</v>
      </c>
      <c r="J3551" t="s">
        <v>398</v>
      </c>
      <c r="K3551" s="12">
        <f>Store_Record[[#This Row],[Qty]]*Store_Record[[#This Row],[UnitPriceGBP]]</f>
        <v>7.6</v>
      </c>
      <c r="L3551" s="5" t="str">
        <f>TEXT(Store_Record[[#This Row],[Date]],"dddd")</f>
        <v>Thursday</v>
      </c>
      <c r="M3551" s="5" t="str">
        <f>TEXT(Store_Record[[#This Row],[Date]],"mmmm")</f>
        <v>September</v>
      </c>
      <c r="N3551" s="5">
        <f>YEAR(Store_Record[[#This Row],[Date]])</f>
        <v>2025</v>
      </c>
      <c r="O3551"/>
    </row>
    <row r="3552" spans="1:15" x14ac:dyDescent="0.35">
      <c r="A3552" t="s">
        <v>4517</v>
      </c>
      <c r="B3552" s="2">
        <v>45918</v>
      </c>
      <c r="C3552" t="s">
        <v>36</v>
      </c>
      <c r="D3552" t="s">
        <v>11</v>
      </c>
      <c r="E3552" t="s">
        <v>26</v>
      </c>
      <c r="F3552" t="s">
        <v>13</v>
      </c>
      <c r="G3552">
        <v>2</v>
      </c>
      <c r="H3552">
        <v>3.5</v>
      </c>
      <c r="I3552" t="s">
        <v>39</v>
      </c>
      <c r="J3552" t="s">
        <v>222</v>
      </c>
      <c r="K3552" s="12">
        <f>Store_Record[[#This Row],[Qty]]*Store_Record[[#This Row],[UnitPriceGBP]]</f>
        <v>7</v>
      </c>
      <c r="L3552" s="5" t="str">
        <f>TEXT(Store_Record[[#This Row],[Date]],"dddd")</f>
        <v>Thursday</v>
      </c>
      <c r="M3552" s="5" t="str">
        <f>TEXT(Store_Record[[#This Row],[Date]],"mmmm")</f>
        <v>September</v>
      </c>
      <c r="N3552" s="5">
        <f>YEAR(Store_Record[[#This Row],[Date]])</f>
        <v>2025</v>
      </c>
      <c r="O3552"/>
    </row>
    <row r="3553" spans="1:15" x14ac:dyDescent="0.35">
      <c r="A3553" t="s">
        <v>4524</v>
      </c>
      <c r="B3553" s="2">
        <v>45918</v>
      </c>
      <c r="C3553" t="s">
        <v>24</v>
      </c>
      <c r="D3553" t="s">
        <v>38</v>
      </c>
      <c r="E3553" t="s">
        <v>12</v>
      </c>
      <c r="F3553" t="s">
        <v>13</v>
      </c>
      <c r="G3553">
        <v>2</v>
      </c>
      <c r="H3553">
        <v>2.5</v>
      </c>
      <c r="I3553" t="s">
        <v>14</v>
      </c>
      <c r="J3553" t="s">
        <v>3075</v>
      </c>
      <c r="K3553" s="12">
        <f>Store_Record[[#This Row],[Qty]]*Store_Record[[#This Row],[UnitPriceGBP]]</f>
        <v>5</v>
      </c>
      <c r="L3553" s="5" t="str">
        <f>TEXT(Store_Record[[#This Row],[Date]],"dddd")</f>
        <v>Thursday</v>
      </c>
      <c r="M3553" s="5" t="str">
        <f>TEXT(Store_Record[[#This Row],[Date]],"mmmm")</f>
        <v>September</v>
      </c>
      <c r="N3553" s="5">
        <f>YEAR(Store_Record[[#This Row],[Date]])</f>
        <v>2025</v>
      </c>
      <c r="O3553"/>
    </row>
    <row r="3554" spans="1:15" x14ac:dyDescent="0.35">
      <c r="A3554" t="s">
        <v>4523</v>
      </c>
      <c r="B3554" s="2">
        <v>45918</v>
      </c>
      <c r="C3554" t="s">
        <v>24</v>
      </c>
      <c r="D3554" t="s">
        <v>11</v>
      </c>
      <c r="E3554" t="s">
        <v>34</v>
      </c>
      <c r="F3554" t="s">
        <v>31</v>
      </c>
      <c r="G3554">
        <v>2</v>
      </c>
      <c r="H3554">
        <v>2.2000000000000002</v>
      </c>
      <c r="I3554" t="s">
        <v>39</v>
      </c>
      <c r="J3554" t="s">
        <v>1697</v>
      </c>
      <c r="K3554" s="12">
        <f>Store_Record[[#This Row],[Qty]]*Store_Record[[#This Row],[UnitPriceGBP]]</f>
        <v>4.4000000000000004</v>
      </c>
      <c r="L3554" s="5" t="str">
        <f>TEXT(Store_Record[[#This Row],[Date]],"dddd")</f>
        <v>Thursday</v>
      </c>
      <c r="M3554" s="5" t="str">
        <f>TEXT(Store_Record[[#This Row],[Date]],"mmmm")</f>
        <v>September</v>
      </c>
      <c r="N3554" s="5">
        <f>YEAR(Store_Record[[#This Row],[Date]])</f>
        <v>2025</v>
      </c>
      <c r="O3554"/>
    </row>
    <row r="3555" spans="1:15" x14ac:dyDescent="0.35">
      <c r="A3555" t="s">
        <v>4525</v>
      </c>
      <c r="B3555" s="2">
        <v>45918</v>
      </c>
      <c r="C3555" t="s">
        <v>36</v>
      </c>
      <c r="D3555" t="s">
        <v>25</v>
      </c>
      <c r="E3555" t="s">
        <v>26</v>
      </c>
      <c r="F3555" t="s">
        <v>13</v>
      </c>
      <c r="G3555">
        <v>1</v>
      </c>
      <c r="H3555">
        <v>3.5</v>
      </c>
      <c r="I3555" t="s">
        <v>21</v>
      </c>
      <c r="J3555" t="s">
        <v>298</v>
      </c>
      <c r="K3555" s="12">
        <f>Store_Record[[#This Row],[Qty]]*Store_Record[[#This Row],[UnitPriceGBP]]</f>
        <v>3.5</v>
      </c>
      <c r="L3555" s="5" t="str">
        <f>TEXT(Store_Record[[#This Row],[Date]],"dddd")</f>
        <v>Thursday</v>
      </c>
      <c r="M3555" s="5" t="str">
        <f>TEXT(Store_Record[[#This Row],[Date]],"mmmm")</f>
        <v>September</v>
      </c>
      <c r="N3555" s="5">
        <f>YEAR(Store_Record[[#This Row],[Date]])</f>
        <v>2025</v>
      </c>
      <c r="O3555"/>
    </row>
    <row r="3556" spans="1:15" x14ac:dyDescent="0.35">
      <c r="A3556" t="s">
        <v>4529</v>
      </c>
      <c r="B3556" s="2">
        <v>45918</v>
      </c>
      <c r="C3556" t="s">
        <v>10</v>
      </c>
      <c r="D3556" t="s">
        <v>38</v>
      </c>
      <c r="E3556" t="s">
        <v>26</v>
      </c>
      <c r="F3556" t="s">
        <v>13</v>
      </c>
      <c r="G3556">
        <v>1</v>
      </c>
      <c r="H3556">
        <v>3.5</v>
      </c>
      <c r="I3556" t="s">
        <v>21</v>
      </c>
      <c r="J3556" t="s">
        <v>2267</v>
      </c>
      <c r="K3556" s="12">
        <f>Store_Record[[#This Row],[Qty]]*Store_Record[[#This Row],[UnitPriceGBP]]</f>
        <v>3.5</v>
      </c>
      <c r="L3556" s="5" t="str">
        <f>TEXT(Store_Record[[#This Row],[Date]],"dddd")</f>
        <v>Thursday</v>
      </c>
      <c r="M3556" s="5" t="str">
        <f>TEXT(Store_Record[[#This Row],[Date]],"mmmm")</f>
        <v>September</v>
      </c>
      <c r="N3556" s="5">
        <f>YEAR(Store_Record[[#This Row],[Date]])</f>
        <v>2025</v>
      </c>
      <c r="O3556"/>
    </row>
    <row r="3557" spans="1:15" x14ac:dyDescent="0.35">
      <c r="A3557" t="s">
        <v>4530</v>
      </c>
      <c r="B3557" s="2">
        <v>45918</v>
      </c>
      <c r="C3557" t="s">
        <v>36</v>
      </c>
      <c r="D3557" t="s">
        <v>47</v>
      </c>
      <c r="E3557" t="s">
        <v>26</v>
      </c>
      <c r="F3557" t="s">
        <v>13</v>
      </c>
      <c r="G3557">
        <v>1</v>
      </c>
      <c r="H3557">
        <v>3.5</v>
      </c>
      <c r="I3557" t="s">
        <v>14</v>
      </c>
      <c r="J3557" t="s">
        <v>4531</v>
      </c>
      <c r="K3557" s="12">
        <f>Store_Record[[#This Row],[Qty]]*Store_Record[[#This Row],[UnitPriceGBP]]</f>
        <v>3.5</v>
      </c>
      <c r="L3557" s="5" t="str">
        <f>TEXT(Store_Record[[#This Row],[Date]],"dddd")</f>
        <v>Thursday</v>
      </c>
      <c r="M3557" s="5" t="str">
        <f>TEXT(Store_Record[[#This Row],[Date]],"mmmm")</f>
        <v>September</v>
      </c>
      <c r="N3557" s="5">
        <f>YEAR(Store_Record[[#This Row],[Date]])</f>
        <v>2025</v>
      </c>
      <c r="O3557"/>
    </row>
    <row r="3558" spans="1:15" x14ac:dyDescent="0.35">
      <c r="A3558" t="s">
        <v>4518</v>
      </c>
      <c r="B3558" s="2">
        <v>45918</v>
      </c>
      <c r="C3558" t="s">
        <v>24</v>
      </c>
      <c r="D3558" t="s">
        <v>11</v>
      </c>
      <c r="E3558" t="s">
        <v>30</v>
      </c>
      <c r="F3558" t="s">
        <v>31</v>
      </c>
      <c r="G3558">
        <v>1</v>
      </c>
      <c r="H3558">
        <v>2.8</v>
      </c>
      <c r="I3558" t="s">
        <v>39</v>
      </c>
      <c r="J3558" t="s">
        <v>2194</v>
      </c>
      <c r="K3558" s="12">
        <f>Store_Record[[#This Row],[Qty]]*Store_Record[[#This Row],[UnitPriceGBP]]</f>
        <v>2.8</v>
      </c>
      <c r="L3558" s="5" t="str">
        <f>TEXT(Store_Record[[#This Row],[Date]],"dddd")</f>
        <v>Thursday</v>
      </c>
      <c r="M3558" s="5" t="str">
        <f>TEXT(Store_Record[[#This Row],[Date]],"mmmm")</f>
        <v>September</v>
      </c>
      <c r="N3558" s="5">
        <f>YEAR(Store_Record[[#This Row],[Date]])</f>
        <v>2025</v>
      </c>
      <c r="O3558"/>
    </row>
    <row r="3559" spans="1:15" x14ac:dyDescent="0.35">
      <c r="A3559" t="s">
        <v>4543</v>
      </c>
      <c r="B3559" s="2">
        <v>45919</v>
      </c>
      <c r="C3559" t="s">
        <v>36</v>
      </c>
      <c r="D3559" t="s">
        <v>11</v>
      </c>
      <c r="E3559" t="s">
        <v>42</v>
      </c>
      <c r="F3559" t="s">
        <v>13</v>
      </c>
      <c r="G3559">
        <v>4</v>
      </c>
      <c r="H3559">
        <v>3.8</v>
      </c>
      <c r="I3559" t="s">
        <v>39</v>
      </c>
      <c r="J3559" t="s">
        <v>127</v>
      </c>
      <c r="K3559" s="12">
        <f>Store_Record[[#This Row],[Qty]]*Store_Record[[#This Row],[UnitPriceGBP]]</f>
        <v>15.2</v>
      </c>
      <c r="L3559" s="5" t="str">
        <f>TEXT(Store_Record[[#This Row],[Date]],"dddd")</f>
        <v>Friday</v>
      </c>
      <c r="M3559" s="5" t="str">
        <f>TEXT(Store_Record[[#This Row],[Date]],"mmmm")</f>
        <v>September</v>
      </c>
      <c r="N3559" s="5">
        <f>YEAR(Store_Record[[#This Row],[Date]])</f>
        <v>2025</v>
      </c>
      <c r="O3559"/>
    </row>
    <row r="3560" spans="1:15" x14ac:dyDescent="0.35">
      <c r="A3560" t="s">
        <v>4539</v>
      </c>
      <c r="B3560" s="2">
        <v>45919</v>
      </c>
      <c r="C3560" t="s">
        <v>10</v>
      </c>
      <c r="D3560" t="s">
        <v>25</v>
      </c>
      <c r="E3560" t="s">
        <v>30</v>
      </c>
      <c r="F3560" t="s">
        <v>31</v>
      </c>
      <c r="G3560">
        <v>5</v>
      </c>
      <c r="H3560">
        <v>2.8</v>
      </c>
      <c r="I3560" t="s">
        <v>39</v>
      </c>
      <c r="J3560" t="s">
        <v>345</v>
      </c>
      <c r="K3560" s="12">
        <f>Store_Record[[#This Row],[Qty]]*Store_Record[[#This Row],[UnitPriceGBP]]</f>
        <v>14</v>
      </c>
      <c r="L3560" s="5" t="str">
        <f>TEXT(Store_Record[[#This Row],[Date]],"dddd")</f>
        <v>Friday</v>
      </c>
      <c r="M3560" s="5" t="str">
        <f>TEXT(Store_Record[[#This Row],[Date]],"mmmm")</f>
        <v>September</v>
      </c>
      <c r="N3560" s="5">
        <f>YEAR(Store_Record[[#This Row],[Date]])</f>
        <v>2025</v>
      </c>
      <c r="O3560"/>
    </row>
    <row r="3561" spans="1:15" x14ac:dyDescent="0.35">
      <c r="A3561" t="s">
        <v>4538</v>
      </c>
      <c r="B3561" s="2">
        <v>45919</v>
      </c>
      <c r="C3561" t="s">
        <v>24</v>
      </c>
      <c r="D3561" t="s">
        <v>25</v>
      </c>
      <c r="E3561" t="s">
        <v>30</v>
      </c>
      <c r="F3561" t="s">
        <v>31</v>
      </c>
      <c r="G3561">
        <v>4</v>
      </c>
      <c r="H3561">
        <v>2.8</v>
      </c>
      <c r="I3561" t="s">
        <v>21</v>
      </c>
      <c r="J3561" t="s">
        <v>417</v>
      </c>
      <c r="K3561" s="12">
        <f>Store_Record[[#This Row],[Qty]]*Store_Record[[#This Row],[UnitPriceGBP]]</f>
        <v>11.2</v>
      </c>
      <c r="L3561" s="5" t="str">
        <f>TEXT(Store_Record[[#This Row],[Date]],"dddd")</f>
        <v>Friday</v>
      </c>
      <c r="M3561" s="5" t="str">
        <f>TEXT(Store_Record[[#This Row],[Date]],"mmmm")</f>
        <v>September</v>
      </c>
      <c r="N3561" s="5">
        <f>YEAR(Store_Record[[#This Row],[Date]])</f>
        <v>2025</v>
      </c>
      <c r="O3561"/>
    </row>
    <row r="3562" spans="1:15" x14ac:dyDescent="0.35">
      <c r="A3562" t="s">
        <v>4542</v>
      </c>
      <c r="B3562" s="2">
        <v>45919</v>
      </c>
      <c r="C3562" t="s">
        <v>36</v>
      </c>
      <c r="D3562" t="s">
        <v>29</v>
      </c>
      <c r="E3562" t="s">
        <v>34</v>
      </c>
      <c r="F3562" t="s">
        <v>31</v>
      </c>
      <c r="G3562">
        <v>5</v>
      </c>
      <c r="H3562">
        <v>2.2000000000000002</v>
      </c>
      <c r="I3562" t="s">
        <v>14</v>
      </c>
      <c r="J3562" t="s">
        <v>155</v>
      </c>
      <c r="K3562" s="12">
        <f>Store_Record[[#This Row],[Qty]]*Store_Record[[#This Row],[UnitPriceGBP]]</f>
        <v>11</v>
      </c>
      <c r="L3562" s="5" t="str">
        <f>TEXT(Store_Record[[#This Row],[Date]],"dddd")</f>
        <v>Friday</v>
      </c>
      <c r="M3562" s="5" t="str">
        <f>TEXT(Store_Record[[#This Row],[Date]],"mmmm")</f>
        <v>September</v>
      </c>
      <c r="N3562" s="5">
        <f>YEAR(Store_Record[[#This Row],[Date]])</f>
        <v>2025</v>
      </c>
      <c r="O3562"/>
    </row>
    <row r="3563" spans="1:15" x14ac:dyDescent="0.35">
      <c r="A3563" t="s">
        <v>4537</v>
      </c>
      <c r="B3563" s="2">
        <v>45919</v>
      </c>
      <c r="C3563" t="s">
        <v>20</v>
      </c>
      <c r="D3563" t="s">
        <v>38</v>
      </c>
      <c r="E3563" t="s">
        <v>12</v>
      </c>
      <c r="F3563" t="s">
        <v>13</v>
      </c>
      <c r="G3563">
        <v>4</v>
      </c>
      <c r="H3563">
        <v>2.5</v>
      </c>
      <c r="I3563" t="s">
        <v>39</v>
      </c>
      <c r="J3563" t="s">
        <v>1173</v>
      </c>
      <c r="K3563" s="12">
        <f>Store_Record[[#This Row],[Qty]]*Store_Record[[#This Row],[UnitPriceGBP]]</f>
        <v>10</v>
      </c>
      <c r="L3563" s="5" t="str">
        <f>TEXT(Store_Record[[#This Row],[Date]],"dddd")</f>
        <v>Friday</v>
      </c>
      <c r="M3563" s="5" t="str">
        <f>TEXT(Store_Record[[#This Row],[Date]],"mmmm")</f>
        <v>September</v>
      </c>
      <c r="N3563" s="5">
        <f>YEAR(Store_Record[[#This Row],[Date]])</f>
        <v>2025</v>
      </c>
      <c r="O3563"/>
    </row>
    <row r="3564" spans="1:15" x14ac:dyDescent="0.35">
      <c r="A3564" t="s">
        <v>4540</v>
      </c>
      <c r="B3564" s="2">
        <v>45919</v>
      </c>
      <c r="C3564" t="s">
        <v>20</v>
      </c>
      <c r="D3564" t="s">
        <v>11</v>
      </c>
      <c r="E3564" t="s">
        <v>12</v>
      </c>
      <c r="F3564" t="s">
        <v>13</v>
      </c>
      <c r="G3564">
        <v>3</v>
      </c>
      <c r="H3564">
        <v>2.5</v>
      </c>
      <c r="I3564" t="s">
        <v>39</v>
      </c>
      <c r="J3564" t="s">
        <v>1349</v>
      </c>
      <c r="K3564" s="12">
        <f>Store_Record[[#This Row],[Qty]]*Store_Record[[#This Row],[UnitPriceGBP]]</f>
        <v>7.5</v>
      </c>
      <c r="L3564" s="5" t="str">
        <f>TEXT(Store_Record[[#This Row],[Date]],"dddd")</f>
        <v>Friday</v>
      </c>
      <c r="M3564" s="5" t="str">
        <f>TEXT(Store_Record[[#This Row],[Date]],"mmmm")</f>
        <v>September</v>
      </c>
      <c r="N3564" s="5">
        <f>YEAR(Store_Record[[#This Row],[Date]])</f>
        <v>2025</v>
      </c>
      <c r="O3564"/>
    </row>
    <row r="3565" spans="1:15" x14ac:dyDescent="0.35">
      <c r="A3565" t="s">
        <v>4544</v>
      </c>
      <c r="B3565" s="2">
        <v>45919</v>
      </c>
      <c r="C3565" t="s">
        <v>36</v>
      </c>
      <c r="D3565" t="s">
        <v>29</v>
      </c>
      <c r="E3565" t="s">
        <v>12</v>
      </c>
      <c r="F3565" t="s">
        <v>13</v>
      </c>
      <c r="G3565">
        <v>3</v>
      </c>
      <c r="H3565">
        <v>2.5</v>
      </c>
      <c r="I3565" t="s">
        <v>39</v>
      </c>
      <c r="J3565" t="s">
        <v>308</v>
      </c>
      <c r="K3565" s="12">
        <f>Store_Record[[#This Row],[Qty]]*Store_Record[[#This Row],[UnitPriceGBP]]</f>
        <v>7.5</v>
      </c>
      <c r="L3565" s="5" t="str">
        <f>TEXT(Store_Record[[#This Row],[Date]],"dddd")</f>
        <v>Friday</v>
      </c>
      <c r="M3565" s="5" t="str">
        <f>TEXT(Store_Record[[#This Row],[Date]],"mmmm")</f>
        <v>September</v>
      </c>
      <c r="N3565" s="5">
        <f>YEAR(Store_Record[[#This Row],[Date]])</f>
        <v>2025</v>
      </c>
      <c r="O3565"/>
    </row>
    <row r="3566" spans="1:15" x14ac:dyDescent="0.35">
      <c r="A3566" t="s">
        <v>4536</v>
      </c>
      <c r="B3566" s="2">
        <v>45919</v>
      </c>
      <c r="C3566" t="s">
        <v>20</v>
      </c>
      <c r="D3566" t="s">
        <v>47</v>
      </c>
      <c r="E3566" t="s">
        <v>26</v>
      </c>
      <c r="F3566" t="s">
        <v>13</v>
      </c>
      <c r="G3566">
        <v>2</v>
      </c>
      <c r="H3566">
        <v>3.5</v>
      </c>
      <c r="I3566" t="s">
        <v>21</v>
      </c>
      <c r="J3566" t="s">
        <v>3825</v>
      </c>
      <c r="K3566" s="12">
        <f>Store_Record[[#This Row],[Qty]]*Store_Record[[#This Row],[UnitPriceGBP]]</f>
        <v>7</v>
      </c>
      <c r="L3566" s="5" t="str">
        <f>TEXT(Store_Record[[#This Row],[Date]],"dddd")</f>
        <v>Friday</v>
      </c>
      <c r="M3566" s="5" t="str">
        <f>TEXT(Store_Record[[#This Row],[Date]],"mmmm")</f>
        <v>September</v>
      </c>
      <c r="N3566" s="5">
        <f>YEAR(Store_Record[[#This Row],[Date]])</f>
        <v>2025</v>
      </c>
      <c r="O3566"/>
    </row>
    <row r="3567" spans="1:15" x14ac:dyDescent="0.35">
      <c r="A3567" t="s">
        <v>4535</v>
      </c>
      <c r="B3567" s="2">
        <v>45919</v>
      </c>
      <c r="C3567" t="s">
        <v>10</v>
      </c>
      <c r="D3567" t="s">
        <v>47</v>
      </c>
      <c r="E3567" t="s">
        <v>34</v>
      </c>
      <c r="F3567" t="s">
        <v>31</v>
      </c>
      <c r="G3567">
        <v>2</v>
      </c>
      <c r="H3567">
        <v>2.2000000000000002</v>
      </c>
      <c r="I3567" t="s">
        <v>21</v>
      </c>
      <c r="J3567" t="s">
        <v>1379</v>
      </c>
      <c r="K3567" s="12">
        <f>Store_Record[[#This Row],[Qty]]*Store_Record[[#This Row],[UnitPriceGBP]]</f>
        <v>4.4000000000000004</v>
      </c>
      <c r="L3567" s="5" t="str">
        <f>TEXT(Store_Record[[#This Row],[Date]],"dddd")</f>
        <v>Friday</v>
      </c>
      <c r="M3567" s="5" t="str">
        <f>TEXT(Store_Record[[#This Row],[Date]],"mmmm")</f>
        <v>September</v>
      </c>
      <c r="N3567" s="5">
        <f>YEAR(Store_Record[[#This Row],[Date]])</f>
        <v>2025</v>
      </c>
      <c r="O3567"/>
    </row>
    <row r="3568" spans="1:15" x14ac:dyDescent="0.35">
      <c r="A3568" t="s">
        <v>4541</v>
      </c>
      <c r="B3568" s="2">
        <v>45919</v>
      </c>
      <c r="C3568" t="s">
        <v>36</v>
      </c>
      <c r="D3568" t="s">
        <v>25</v>
      </c>
      <c r="E3568" t="s">
        <v>26</v>
      </c>
      <c r="F3568" t="s">
        <v>13</v>
      </c>
      <c r="G3568">
        <v>1</v>
      </c>
      <c r="H3568">
        <v>3.5</v>
      </c>
      <c r="I3568" t="s">
        <v>14</v>
      </c>
      <c r="J3568" t="s">
        <v>464</v>
      </c>
      <c r="K3568" s="12">
        <f>Store_Record[[#This Row],[Qty]]*Store_Record[[#This Row],[UnitPriceGBP]]</f>
        <v>3.5</v>
      </c>
      <c r="L3568" s="5" t="str">
        <f>TEXT(Store_Record[[#This Row],[Date]],"dddd")</f>
        <v>Friday</v>
      </c>
      <c r="M3568" s="5" t="str">
        <f>TEXT(Store_Record[[#This Row],[Date]],"mmmm")</f>
        <v>September</v>
      </c>
      <c r="N3568" s="5">
        <f>YEAR(Store_Record[[#This Row],[Date]])</f>
        <v>2025</v>
      </c>
      <c r="O3568"/>
    </row>
    <row r="3569" spans="1:15" x14ac:dyDescent="0.35">
      <c r="A3569" t="s">
        <v>4555</v>
      </c>
      <c r="B3569" s="2">
        <v>45920</v>
      </c>
      <c r="C3569" t="s">
        <v>24</v>
      </c>
      <c r="D3569" t="s">
        <v>25</v>
      </c>
      <c r="E3569" t="s">
        <v>42</v>
      </c>
      <c r="F3569" t="s">
        <v>13</v>
      </c>
      <c r="G3569">
        <v>4</v>
      </c>
      <c r="H3569">
        <v>3.8</v>
      </c>
      <c r="I3569" t="s">
        <v>39</v>
      </c>
      <c r="J3569" t="s">
        <v>140</v>
      </c>
      <c r="K3569" s="12">
        <f>Store_Record[[#This Row],[Qty]]*Store_Record[[#This Row],[UnitPriceGBP]]</f>
        <v>15.2</v>
      </c>
      <c r="L3569" s="5" t="str">
        <f>TEXT(Store_Record[[#This Row],[Date]],"dddd")</f>
        <v>Saturday</v>
      </c>
      <c r="M3569" s="5" t="str">
        <f>TEXT(Store_Record[[#This Row],[Date]],"mmmm")</f>
        <v>September</v>
      </c>
      <c r="N3569" s="5">
        <f>YEAR(Store_Record[[#This Row],[Date]])</f>
        <v>2025</v>
      </c>
      <c r="O3569"/>
    </row>
    <row r="3570" spans="1:15" x14ac:dyDescent="0.35">
      <c r="A3570" t="s">
        <v>4549</v>
      </c>
      <c r="B3570" s="2">
        <v>45920</v>
      </c>
      <c r="C3570" t="s">
        <v>10</v>
      </c>
      <c r="D3570" t="s">
        <v>11</v>
      </c>
      <c r="E3570" t="s">
        <v>42</v>
      </c>
      <c r="F3570" t="s">
        <v>13</v>
      </c>
      <c r="G3570">
        <v>3</v>
      </c>
      <c r="H3570">
        <v>3.8</v>
      </c>
      <c r="I3570" t="s">
        <v>39</v>
      </c>
      <c r="J3570" t="s">
        <v>2689</v>
      </c>
      <c r="K3570" s="12">
        <f>Store_Record[[#This Row],[Qty]]*Store_Record[[#This Row],[UnitPriceGBP]]</f>
        <v>11.399999999999999</v>
      </c>
      <c r="L3570" s="5" t="str">
        <f>TEXT(Store_Record[[#This Row],[Date]],"dddd")</f>
        <v>Saturday</v>
      </c>
      <c r="M3570" s="5" t="str">
        <f>TEXT(Store_Record[[#This Row],[Date]],"mmmm")</f>
        <v>September</v>
      </c>
      <c r="N3570" s="5">
        <f>YEAR(Store_Record[[#This Row],[Date]])</f>
        <v>2025</v>
      </c>
      <c r="O3570"/>
    </row>
    <row r="3571" spans="1:15" x14ac:dyDescent="0.35">
      <c r="A3571" t="s">
        <v>4550</v>
      </c>
      <c r="B3571" s="2">
        <v>45920</v>
      </c>
      <c r="C3571" t="s">
        <v>20</v>
      </c>
      <c r="D3571" t="s">
        <v>11</v>
      </c>
      <c r="E3571" t="s">
        <v>42</v>
      </c>
      <c r="F3571" t="s">
        <v>13</v>
      </c>
      <c r="G3571">
        <v>3</v>
      </c>
      <c r="H3571">
        <v>3.8</v>
      </c>
      <c r="I3571" t="s">
        <v>39</v>
      </c>
      <c r="J3571" t="s">
        <v>22</v>
      </c>
      <c r="K3571" s="12">
        <f>Store_Record[[#This Row],[Qty]]*Store_Record[[#This Row],[UnitPriceGBP]]</f>
        <v>11.399999999999999</v>
      </c>
      <c r="L3571" s="5" t="str">
        <f>TEXT(Store_Record[[#This Row],[Date]],"dddd")</f>
        <v>Saturday</v>
      </c>
      <c r="M3571" s="5" t="str">
        <f>TEXT(Store_Record[[#This Row],[Date]],"mmmm")</f>
        <v>September</v>
      </c>
      <c r="N3571" s="5">
        <f>YEAR(Store_Record[[#This Row],[Date]])</f>
        <v>2025</v>
      </c>
      <c r="O3571"/>
    </row>
    <row r="3572" spans="1:15" x14ac:dyDescent="0.35">
      <c r="A3572" t="s">
        <v>4552</v>
      </c>
      <c r="B3572" s="2">
        <v>45920</v>
      </c>
      <c r="C3572" t="s">
        <v>36</v>
      </c>
      <c r="D3572" t="s">
        <v>11</v>
      </c>
      <c r="E3572" t="s">
        <v>12</v>
      </c>
      <c r="F3572" t="s">
        <v>13</v>
      </c>
      <c r="G3572">
        <v>4</v>
      </c>
      <c r="H3572">
        <v>2.5</v>
      </c>
      <c r="I3572" t="s">
        <v>39</v>
      </c>
      <c r="J3572" t="s">
        <v>343</v>
      </c>
      <c r="K3572" s="12">
        <f>Store_Record[[#This Row],[Qty]]*Store_Record[[#This Row],[UnitPriceGBP]]</f>
        <v>10</v>
      </c>
      <c r="L3572" s="5" t="str">
        <f>TEXT(Store_Record[[#This Row],[Date]],"dddd")</f>
        <v>Saturday</v>
      </c>
      <c r="M3572" s="5" t="str">
        <f>TEXT(Store_Record[[#This Row],[Date]],"mmmm")</f>
        <v>September</v>
      </c>
      <c r="N3572" s="5">
        <f>YEAR(Store_Record[[#This Row],[Date]])</f>
        <v>2025</v>
      </c>
      <c r="O3572"/>
    </row>
    <row r="3573" spans="1:15" x14ac:dyDescent="0.35">
      <c r="A3573" t="s">
        <v>4554</v>
      </c>
      <c r="B3573" s="2">
        <v>45920</v>
      </c>
      <c r="C3573" t="s">
        <v>10</v>
      </c>
      <c r="D3573" t="s">
        <v>38</v>
      </c>
      <c r="E3573" t="s">
        <v>12</v>
      </c>
      <c r="F3573" t="s">
        <v>13</v>
      </c>
      <c r="G3573">
        <v>4</v>
      </c>
      <c r="H3573">
        <v>2.5</v>
      </c>
      <c r="I3573" t="s">
        <v>39</v>
      </c>
      <c r="J3573" t="s">
        <v>204</v>
      </c>
      <c r="K3573" s="12">
        <f>Store_Record[[#This Row],[Qty]]*Store_Record[[#This Row],[UnitPriceGBP]]</f>
        <v>10</v>
      </c>
      <c r="L3573" s="5" t="str">
        <f>TEXT(Store_Record[[#This Row],[Date]],"dddd")</f>
        <v>Saturday</v>
      </c>
      <c r="M3573" s="5" t="str">
        <f>TEXT(Store_Record[[#This Row],[Date]],"mmmm")</f>
        <v>September</v>
      </c>
      <c r="N3573" s="5">
        <f>YEAR(Store_Record[[#This Row],[Date]])</f>
        <v>2025</v>
      </c>
      <c r="O3573"/>
    </row>
    <row r="3574" spans="1:15" x14ac:dyDescent="0.35">
      <c r="A3574" t="s">
        <v>4547</v>
      </c>
      <c r="B3574" s="2">
        <v>45920</v>
      </c>
      <c r="C3574" t="s">
        <v>36</v>
      </c>
      <c r="D3574" t="s">
        <v>25</v>
      </c>
      <c r="E3574" t="s">
        <v>30</v>
      </c>
      <c r="F3574" t="s">
        <v>31</v>
      </c>
      <c r="G3574">
        <v>3</v>
      </c>
      <c r="H3574">
        <v>2.8</v>
      </c>
      <c r="I3574" t="s">
        <v>21</v>
      </c>
      <c r="J3574" t="s">
        <v>1890</v>
      </c>
      <c r="K3574" s="12">
        <f>Store_Record[[#This Row],[Qty]]*Store_Record[[#This Row],[UnitPriceGBP]]</f>
        <v>8.3999999999999986</v>
      </c>
      <c r="L3574" s="5" t="str">
        <f>TEXT(Store_Record[[#This Row],[Date]],"dddd")</f>
        <v>Saturday</v>
      </c>
      <c r="M3574" s="5" t="str">
        <f>TEXT(Store_Record[[#This Row],[Date]],"mmmm")</f>
        <v>September</v>
      </c>
      <c r="N3574" s="5">
        <f>YEAR(Store_Record[[#This Row],[Date]])</f>
        <v>2025</v>
      </c>
      <c r="O3574"/>
    </row>
    <row r="3575" spans="1:15" x14ac:dyDescent="0.35">
      <c r="A3575" t="s">
        <v>4545</v>
      </c>
      <c r="B3575" s="2">
        <v>45920</v>
      </c>
      <c r="C3575" t="s">
        <v>20</v>
      </c>
      <c r="D3575" t="s">
        <v>29</v>
      </c>
      <c r="E3575" t="s">
        <v>12</v>
      </c>
      <c r="F3575" t="s">
        <v>13</v>
      </c>
      <c r="G3575">
        <v>3</v>
      </c>
      <c r="H3575">
        <v>2.5</v>
      </c>
      <c r="I3575" t="s">
        <v>21</v>
      </c>
      <c r="J3575" t="s">
        <v>626</v>
      </c>
      <c r="K3575" s="12">
        <f>Store_Record[[#This Row],[Qty]]*Store_Record[[#This Row],[UnitPriceGBP]]</f>
        <v>7.5</v>
      </c>
      <c r="L3575" s="5" t="str">
        <f>TEXT(Store_Record[[#This Row],[Date]],"dddd")</f>
        <v>Saturday</v>
      </c>
      <c r="M3575" s="5" t="str">
        <f>TEXT(Store_Record[[#This Row],[Date]],"mmmm")</f>
        <v>September</v>
      </c>
      <c r="N3575" s="5">
        <f>YEAR(Store_Record[[#This Row],[Date]])</f>
        <v>2025</v>
      </c>
      <c r="O3575"/>
    </row>
    <row r="3576" spans="1:15" x14ac:dyDescent="0.35">
      <c r="A3576" t="s">
        <v>4556</v>
      </c>
      <c r="B3576" s="2">
        <v>45920</v>
      </c>
      <c r="C3576" t="s">
        <v>24</v>
      </c>
      <c r="D3576" t="s">
        <v>25</v>
      </c>
      <c r="E3576" t="s">
        <v>34</v>
      </c>
      <c r="F3576" t="s">
        <v>31</v>
      </c>
      <c r="G3576">
        <v>3</v>
      </c>
      <c r="H3576">
        <v>2.2000000000000002</v>
      </c>
      <c r="I3576" t="s">
        <v>21</v>
      </c>
      <c r="J3576" t="s">
        <v>1077</v>
      </c>
      <c r="K3576" s="12">
        <f>Store_Record[[#This Row],[Qty]]*Store_Record[[#This Row],[UnitPriceGBP]]</f>
        <v>6.6000000000000005</v>
      </c>
      <c r="L3576" s="5" t="str">
        <f>TEXT(Store_Record[[#This Row],[Date]],"dddd")</f>
        <v>Saturday</v>
      </c>
      <c r="M3576" s="5" t="str">
        <f>TEXT(Store_Record[[#This Row],[Date]],"mmmm")</f>
        <v>September</v>
      </c>
      <c r="N3576" s="5">
        <f>YEAR(Store_Record[[#This Row],[Date]])</f>
        <v>2025</v>
      </c>
      <c r="O3576"/>
    </row>
    <row r="3577" spans="1:15" x14ac:dyDescent="0.35">
      <c r="A3577" t="s">
        <v>4553</v>
      </c>
      <c r="B3577" s="2">
        <v>45920</v>
      </c>
      <c r="C3577" t="s">
        <v>24</v>
      </c>
      <c r="D3577" t="s">
        <v>47</v>
      </c>
      <c r="E3577" t="s">
        <v>12</v>
      </c>
      <c r="F3577" t="s">
        <v>13</v>
      </c>
      <c r="G3577">
        <v>2</v>
      </c>
      <c r="H3577">
        <v>2.5</v>
      </c>
      <c r="I3577" t="s">
        <v>14</v>
      </c>
      <c r="J3577" t="s">
        <v>1321</v>
      </c>
      <c r="K3577" s="12">
        <f>Store_Record[[#This Row],[Qty]]*Store_Record[[#This Row],[UnitPriceGBP]]</f>
        <v>5</v>
      </c>
      <c r="L3577" s="5" t="str">
        <f>TEXT(Store_Record[[#This Row],[Date]],"dddd")</f>
        <v>Saturday</v>
      </c>
      <c r="M3577" s="5" t="str">
        <f>TEXT(Store_Record[[#This Row],[Date]],"mmmm")</f>
        <v>September</v>
      </c>
      <c r="N3577" s="5">
        <f>YEAR(Store_Record[[#This Row],[Date]])</f>
        <v>2025</v>
      </c>
      <c r="O3577"/>
    </row>
    <row r="3578" spans="1:15" x14ac:dyDescent="0.35">
      <c r="A3578" t="s">
        <v>4557</v>
      </c>
      <c r="B3578" s="2">
        <v>45920</v>
      </c>
      <c r="C3578" t="s">
        <v>36</v>
      </c>
      <c r="D3578" t="s">
        <v>47</v>
      </c>
      <c r="E3578" t="s">
        <v>12</v>
      </c>
      <c r="F3578" t="s">
        <v>13</v>
      </c>
      <c r="G3578">
        <v>2</v>
      </c>
      <c r="H3578">
        <v>2.5</v>
      </c>
      <c r="I3578" t="s">
        <v>14</v>
      </c>
      <c r="J3578" t="s">
        <v>155</v>
      </c>
      <c r="K3578" s="12">
        <f>Store_Record[[#This Row],[Qty]]*Store_Record[[#This Row],[UnitPriceGBP]]</f>
        <v>5</v>
      </c>
      <c r="L3578" s="5" t="str">
        <f>TEXT(Store_Record[[#This Row],[Date]],"dddd")</f>
        <v>Saturday</v>
      </c>
      <c r="M3578" s="5" t="str">
        <f>TEXT(Store_Record[[#This Row],[Date]],"mmmm")</f>
        <v>September</v>
      </c>
      <c r="N3578" s="5">
        <f>YEAR(Store_Record[[#This Row],[Date]])</f>
        <v>2025</v>
      </c>
      <c r="O3578"/>
    </row>
    <row r="3579" spans="1:15" x14ac:dyDescent="0.35">
      <c r="A3579" t="s">
        <v>4548</v>
      </c>
      <c r="B3579" s="2">
        <v>45920</v>
      </c>
      <c r="C3579" t="s">
        <v>36</v>
      </c>
      <c r="D3579" t="s">
        <v>38</v>
      </c>
      <c r="E3579" t="s">
        <v>34</v>
      </c>
      <c r="F3579" t="s">
        <v>31</v>
      </c>
      <c r="G3579">
        <v>2</v>
      </c>
      <c r="H3579">
        <v>2.2000000000000002</v>
      </c>
      <c r="I3579" t="s">
        <v>21</v>
      </c>
      <c r="J3579" t="s">
        <v>573</v>
      </c>
      <c r="K3579" s="12">
        <f>Store_Record[[#This Row],[Qty]]*Store_Record[[#This Row],[UnitPriceGBP]]</f>
        <v>4.4000000000000004</v>
      </c>
      <c r="L3579" s="5" t="str">
        <f>TEXT(Store_Record[[#This Row],[Date]],"dddd")</f>
        <v>Saturday</v>
      </c>
      <c r="M3579" s="5" t="str">
        <f>TEXT(Store_Record[[#This Row],[Date]],"mmmm")</f>
        <v>September</v>
      </c>
      <c r="N3579" s="5">
        <f>YEAR(Store_Record[[#This Row],[Date]])</f>
        <v>2025</v>
      </c>
      <c r="O3579"/>
    </row>
    <row r="3580" spans="1:15" x14ac:dyDescent="0.35">
      <c r="A3580" t="s">
        <v>4551</v>
      </c>
      <c r="B3580" s="2">
        <v>45920</v>
      </c>
      <c r="C3580" t="s">
        <v>10</v>
      </c>
      <c r="D3580" t="s">
        <v>11</v>
      </c>
      <c r="E3580" t="s">
        <v>12</v>
      </c>
      <c r="F3580" t="s">
        <v>13</v>
      </c>
      <c r="G3580">
        <v>1</v>
      </c>
      <c r="H3580">
        <v>2.5</v>
      </c>
      <c r="I3580" t="s">
        <v>39</v>
      </c>
      <c r="J3580" t="s">
        <v>82</v>
      </c>
      <c r="K3580" s="12">
        <f>Store_Record[[#This Row],[Qty]]*Store_Record[[#This Row],[UnitPriceGBP]]</f>
        <v>2.5</v>
      </c>
      <c r="L3580" s="5" t="str">
        <f>TEXT(Store_Record[[#This Row],[Date]],"dddd")</f>
        <v>Saturday</v>
      </c>
      <c r="M3580" s="5" t="str">
        <f>TEXT(Store_Record[[#This Row],[Date]],"mmmm")</f>
        <v>September</v>
      </c>
      <c r="N3580" s="5">
        <f>YEAR(Store_Record[[#This Row],[Date]])</f>
        <v>2025</v>
      </c>
      <c r="O3580"/>
    </row>
    <row r="3581" spans="1:15" x14ac:dyDescent="0.35">
      <c r="A3581" t="s">
        <v>4546</v>
      </c>
      <c r="B3581" s="2">
        <v>45920</v>
      </c>
      <c r="C3581" t="s">
        <v>20</v>
      </c>
      <c r="D3581" t="s">
        <v>47</v>
      </c>
      <c r="E3581" t="s">
        <v>34</v>
      </c>
      <c r="F3581" t="s">
        <v>31</v>
      </c>
      <c r="G3581">
        <v>1</v>
      </c>
      <c r="H3581">
        <v>2.2000000000000002</v>
      </c>
      <c r="I3581" t="s">
        <v>39</v>
      </c>
      <c r="J3581" t="s">
        <v>873</v>
      </c>
      <c r="K3581" s="12">
        <f>Store_Record[[#This Row],[Qty]]*Store_Record[[#This Row],[UnitPriceGBP]]</f>
        <v>2.2000000000000002</v>
      </c>
      <c r="L3581" s="5" t="str">
        <f>TEXT(Store_Record[[#This Row],[Date]],"dddd")</f>
        <v>Saturday</v>
      </c>
      <c r="M3581" s="5" t="str">
        <f>TEXT(Store_Record[[#This Row],[Date]],"mmmm")</f>
        <v>September</v>
      </c>
      <c r="N3581" s="5">
        <f>YEAR(Store_Record[[#This Row],[Date]])</f>
        <v>2025</v>
      </c>
      <c r="O3581"/>
    </row>
    <row r="3582" spans="1:15" x14ac:dyDescent="0.35">
      <c r="A3582" t="s">
        <v>4558</v>
      </c>
      <c r="B3582" s="2">
        <v>45921</v>
      </c>
      <c r="C3582" t="s">
        <v>10</v>
      </c>
      <c r="D3582" t="s">
        <v>47</v>
      </c>
      <c r="E3582" t="s">
        <v>26</v>
      </c>
      <c r="F3582" t="s">
        <v>13</v>
      </c>
      <c r="G3582">
        <v>4</v>
      </c>
      <c r="H3582">
        <v>3.5</v>
      </c>
      <c r="I3582" t="s">
        <v>21</v>
      </c>
      <c r="J3582" t="s">
        <v>216</v>
      </c>
      <c r="K3582" s="12">
        <f>Store_Record[[#This Row],[Qty]]*Store_Record[[#This Row],[UnitPriceGBP]]</f>
        <v>14</v>
      </c>
      <c r="L3582" s="5" t="str">
        <f>TEXT(Store_Record[[#This Row],[Date]],"dddd")</f>
        <v>Sunday</v>
      </c>
      <c r="M3582" s="5" t="str">
        <f>TEXT(Store_Record[[#This Row],[Date]],"mmmm")</f>
        <v>September</v>
      </c>
      <c r="N3582" s="5">
        <f>YEAR(Store_Record[[#This Row],[Date]])</f>
        <v>2025</v>
      </c>
      <c r="O3582"/>
    </row>
    <row r="3583" spans="1:15" x14ac:dyDescent="0.35">
      <c r="A3583" t="s">
        <v>4559</v>
      </c>
      <c r="B3583" s="2">
        <v>45921</v>
      </c>
      <c r="C3583" t="s">
        <v>24</v>
      </c>
      <c r="D3583" t="s">
        <v>25</v>
      </c>
      <c r="E3583" t="s">
        <v>12</v>
      </c>
      <c r="F3583" t="s">
        <v>13</v>
      </c>
      <c r="G3583">
        <v>5</v>
      </c>
      <c r="H3583">
        <v>2.5</v>
      </c>
      <c r="I3583" t="s">
        <v>21</v>
      </c>
      <c r="J3583" t="s">
        <v>200</v>
      </c>
      <c r="K3583" s="12">
        <f>Store_Record[[#This Row],[Qty]]*Store_Record[[#This Row],[UnitPriceGBP]]</f>
        <v>12.5</v>
      </c>
      <c r="L3583" s="5" t="str">
        <f>TEXT(Store_Record[[#This Row],[Date]],"dddd")</f>
        <v>Sunday</v>
      </c>
      <c r="M3583" s="5" t="str">
        <f>TEXT(Store_Record[[#This Row],[Date]],"mmmm")</f>
        <v>September</v>
      </c>
      <c r="N3583" s="5">
        <f>YEAR(Store_Record[[#This Row],[Date]])</f>
        <v>2025</v>
      </c>
      <c r="O3583"/>
    </row>
    <row r="3584" spans="1:15" x14ac:dyDescent="0.35">
      <c r="A3584" t="s">
        <v>4562</v>
      </c>
      <c r="B3584" s="2">
        <v>45921</v>
      </c>
      <c r="C3584" t="s">
        <v>10</v>
      </c>
      <c r="D3584" t="s">
        <v>25</v>
      </c>
      <c r="E3584" t="s">
        <v>34</v>
      </c>
      <c r="F3584" t="s">
        <v>31</v>
      </c>
      <c r="G3584">
        <v>4</v>
      </c>
      <c r="H3584">
        <v>2.2000000000000002</v>
      </c>
      <c r="I3584" t="s">
        <v>14</v>
      </c>
      <c r="J3584" t="s">
        <v>1120</v>
      </c>
      <c r="K3584" s="12">
        <f>Store_Record[[#This Row],[Qty]]*Store_Record[[#This Row],[UnitPriceGBP]]</f>
        <v>8.8000000000000007</v>
      </c>
      <c r="L3584" s="5" t="str">
        <f>TEXT(Store_Record[[#This Row],[Date]],"dddd")</f>
        <v>Sunday</v>
      </c>
      <c r="M3584" s="5" t="str">
        <f>TEXT(Store_Record[[#This Row],[Date]],"mmmm")</f>
        <v>September</v>
      </c>
      <c r="N3584" s="5">
        <f>YEAR(Store_Record[[#This Row],[Date]])</f>
        <v>2025</v>
      </c>
      <c r="O3584"/>
    </row>
    <row r="3585" spans="1:15" x14ac:dyDescent="0.35">
      <c r="A3585" t="s">
        <v>4564</v>
      </c>
      <c r="B3585" s="2">
        <v>45921</v>
      </c>
      <c r="C3585" t="s">
        <v>10</v>
      </c>
      <c r="D3585" t="s">
        <v>29</v>
      </c>
      <c r="E3585" t="s">
        <v>34</v>
      </c>
      <c r="F3585" t="s">
        <v>31</v>
      </c>
      <c r="G3585">
        <v>4</v>
      </c>
      <c r="H3585">
        <v>2.2000000000000002</v>
      </c>
      <c r="I3585" t="s">
        <v>21</v>
      </c>
      <c r="J3585" t="s">
        <v>1486</v>
      </c>
      <c r="K3585" s="12">
        <f>Store_Record[[#This Row],[Qty]]*Store_Record[[#This Row],[UnitPriceGBP]]</f>
        <v>8.8000000000000007</v>
      </c>
      <c r="L3585" s="5" t="str">
        <f>TEXT(Store_Record[[#This Row],[Date]],"dddd")</f>
        <v>Sunday</v>
      </c>
      <c r="M3585" s="5" t="str">
        <f>TEXT(Store_Record[[#This Row],[Date]],"mmmm")</f>
        <v>September</v>
      </c>
      <c r="N3585" s="5">
        <f>YEAR(Store_Record[[#This Row],[Date]])</f>
        <v>2025</v>
      </c>
      <c r="O3585"/>
    </row>
    <row r="3586" spans="1:15" x14ac:dyDescent="0.35">
      <c r="A3586" t="s">
        <v>4561</v>
      </c>
      <c r="B3586" s="2">
        <v>45921</v>
      </c>
      <c r="C3586" t="s">
        <v>36</v>
      </c>
      <c r="D3586" t="s">
        <v>11</v>
      </c>
      <c r="E3586" t="s">
        <v>12</v>
      </c>
      <c r="F3586" t="s">
        <v>13</v>
      </c>
      <c r="G3586">
        <v>3</v>
      </c>
      <c r="H3586">
        <v>2.5</v>
      </c>
      <c r="I3586" t="s">
        <v>39</v>
      </c>
      <c r="J3586" t="s">
        <v>536</v>
      </c>
      <c r="K3586" s="12">
        <f>Store_Record[[#This Row],[Qty]]*Store_Record[[#This Row],[UnitPriceGBP]]</f>
        <v>7.5</v>
      </c>
      <c r="L3586" s="5" t="str">
        <f>TEXT(Store_Record[[#This Row],[Date]],"dddd")</f>
        <v>Sunday</v>
      </c>
      <c r="M3586" s="5" t="str">
        <f>TEXT(Store_Record[[#This Row],[Date]],"mmmm")</f>
        <v>September</v>
      </c>
      <c r="N3586" s="5">
        <f>YEAR(Store_Record[[#This Row],[Date]])</f>
        <v>2025</v>
      </c>
      <c r="O3586"/>
    </row>
    <row r="3587" spans="1:15" x14ac:dyDescent="0.35">
      <c r="A3587" t="s">
        <v>4563</v>
      </c>
      <c r="B3587" s="2">
        <v>45921</v>
      </c>
      <c r="C3587" t="s">
        <v>20</v>
      </c>
      <c r="D3587" t="s">
        <v>25</v>
      </c>
      <c r="E3587" t="s">
        <v>34</v>
      </c>
      <c r="F3587" t="s">
        <v>31</v>
      </c>
      <c r="G3587">
        <v>3</v>
      </c>
      <c r="H3587">
        <v>2.2000000000000002</v>
      </c>
      <c r="I3587" t="s">
        <v>21</v>
      </c>
      <c r="J3587" t="s">
        <v>875</v>
      </c>
      <c r="K3587" s="12">
        <f>Store_Record[[#This Row],[Qty]]*Store_Record[[#This Row],[UnitPriceGBP]]</f>
        <v>6.6000000000000005</v>
      </c>
      <c r="L3587" s="5" t="str">
        <f>TEXT(Store_Record[[#This Row],[Date]],"dddd")</f>
        <v>Sunday</v>
      </c>
      <c r="M3587" s="5" t="str">
        <f>TEXT(Store_Record[[#This Row],[Date]],"mmmm")</f>
        <v>September</v>
      </c>
      <c r="N3587" s="5">
        <f>YEAR(Store_Record[[#This Row],[Date]])</f>
        <v>2025</v>
      </c>
      <c r="O3587"/>
    </row>
    <row r="3588" spans="1:15" x14ac:dyDescent="0.35">
      <c r="A3588" t="s">
        <v>4560</v>
      </c>
      <c r="B3588" s="2">
        <v>45921</v>
      </c>
      <c r="C3588" t="s">
        <v>20</v>
      </c>
      <c r="D3588" t="s">
        <v>29</v>
      </c>
      <c r="E3588" t="s">
        <v>12</v>
      </c>
      <c r="F3588" t="s">
        <v>13</v>
      </c>
      <c r="G3588">
        <v>2</v>
      </c>
      <c r="H3588">
        <v>2.5</v>
      </c>
      <c r="I3588" t="s">
        <v>14</v>
      </c>
      <c r="J3588" t="s">
        <v>1349</v>
      </c>
      <c r="K3588" s="12">
        <f>Store_Record[[#This Row],[Qty]]*Store_Record[[#This Row],[UnitPriceGBP]]</f>
        <v>5</v>
      </c>
      <c r="L3588" s="5" t="str">
        <f>TEXT(Store_Record[[#This Row],[Date]],"dddd")</f>
        <v>Sunday</v>
      </c>
      <c r="M3588" s="5" t="str">
        <f>TEXT(Store_Record[[#This Row],[Date]],"mmmm")</f>
        <v>September</v>
      </c>
      <c r="N3588" s="5">
        <f>YEAR(Store_Record[[#This Row],[Date]])</f>
        <v>2025</v>
      </c>
      <c r="O3588"/>
    </row>
    <row r="3589" spans="1:15" x14ac:dyDescent="0.35">
      <c r="A3589" t="s">
        <v>4565</v>
      </c>
      <c r="B3589" s="2">
        <v>45921</v>
      </c>
      <c r="C3589" t="s">
        <v>36</v>
      </c>
      <c r="D3589" t="s">
        <v>47</v>
      </c>
      <c r="E3589" t="s">
        <v>30</v>
      </c>
      <c r="F3589" t="s">
        <v>31</v>
      </c>
      <c r="G3589">
        <v>1</v>
      </c>
      <c r="H3589">
        <v>2.8</v>
      </c>
      <c r="I3589" t="s">
        <v>21</v>
      </c>
      <c r="J3589" t="s">
        <v>1838</v>
      </c>
      <c r="K3589" s="12">
        <f>Store_Record[[#This Row],[Qty]]*Store_Record[[#This Row],[UnitPriceGBP]]</f>
        <v>2.8</v>
      </c>
      <c r="L3589" s="5" t="str">
        <f>TEXT(Store_Record[[#This Row],[Date]],"dddd")</f>
        <v>Sunday</v>
      </c>
      <c r="M3589" s="5" t="str">
        <f>TEXT(Store_Record[[#This Row],[Date]],"mmmm")</f>
        <v>September</v>
      </c>
      <c r="N3589" s="5">
        <f>YEAR(Store_Record[[#This Row],[Date]])</f>
        <v>2025</v>
      </c>
      <c r="O3589"/>
    </row>
    <row r="3590" spans="1:15" x14ac:dyDescent="0.35">
      <c r="A3590" t="s">
        <v>4572</v>
      </c>
      <c r="B3590" s="2">
        <v>45922</v>
      </c>
      <c r="C3590" t="s">
        <v>24</v>
      </c>
      <c r="D3590" t="s">
        <v>25</v>
      </c>
      <c r="E3590" t="s">
        <v>42</v>
      </c>
      <c r="F3590" t="s">
        <v>13</v>
      </c>
      <c r="G3590">
        <v>5</v>
      </c>
      <c r="H3590">
        <v>3.8</v>
      </c>
      <c r="I3590" t="s">
        <v>21</v>
      </c>
      <c r="J3590" t="s">
        <v>1616</v>
      </c>
      <c r="K3590" s="12">
        <f>Store_Record[[#This Row],[Qty]]*Store_Record[[#This Row],[UnitPriceGBP]]</f>
        <v>19</v>
      </c>
      <c r="L3590" s="5" t="str">
        <f>TEXT(Store_Record[[#This Row],[Date]],"dddd")</f>
        <v>Monday</v>
      </c>
      <c r="M3590" s="5" t="str">
        <f>TEXT(Store_Record[[#This Row],[Date]],"mmmm")</f>
        <v>September</v>
      </c>
      <c r="N3590" s="5">
        <f>YEAR(Store_Record[[#This Row],[Date]])</f>
        <v>2025</v>
      </c>
      <c r="O3590"/>
    </row>
    <row r="3591" spans="1:15" x14ac:dyDescent="0.35">
      <c r="A3591" t="s">
        <v>4573</v>
      </c>
      <c r="B3591" s="2">
        <v>45922</v>
      </c>
      <c r="C3591" t="s">
        <v>24</v>
      </c>
      <c r="D3591" t="s">
        <v>29</v>
      </c>
      <c r="E3591" t="s">
        <v>30</v>
      </c>
      <c r="F3591" t="s">
        <v>31</v>
      </c>
      <c r="G3591">
        <v>5</v>
      </c>
      <c r="H3591">
        <v>2.8</v>
      </c>
      <c r="I3591" t="s">
        <v>39</v>
      </c>
      <c r="J3591" t="s">
        <v>682</v>
      </c>
      <c r="K3591" s="12">
        <f>Store_Record[[#This Row],[Qty]]*Store_Record[[#This Row],[UnitPriceGBP]]</f>
        <v>14</v>
      </c>
      <c r="L3591" s="5" t="str">
        <f>TEXT(Store_Record[[#This Row],[Date]],"dddd")</f>
        <v>Monday</v>
      </c>
      <c r="M3591" s="5" t="str">
        <f>TEXT(Store_Record[[#This Row],[Date]],"mmmm")</f>
        <v>September</v>
      </c>
      <c r="N3591" s="5">
        <f>YEAR(Store_Record[[#This Row],[Date]])</f>
        <v>2025</v>
      </c>
      <c r="O3591"/>
    </row>
    <row r="3592" spans="1:15" x14ac:dyDescent="0.35">
      <c r="A3592" t="s">
        <v>4568</v>
      </c>
      <c r="B3592" s="2">
        <v>45922</v>
      </c>
      <c r="C3592" t="s">
        <v>24</v>
      </c>
      <c r="D3592" t="s">
        <v>47</v>
      </c>
      <c r="E3592" t="s">
        <v>34</v>
      </c>
      <c r="F3592" t="s">
        <v>31</v>
      </c>
      <c r="G3592">
        <v>5</v>
      </c>
      <c r="H3592">
        <v>2.2000000000000002</v>
      </c>
      <c r="I3592" t="s">
        <v>21</v>
      </c>
      <c r="J3592" t="s">
        <v>341</v>
      </c>
      <c r="K3592" s="12">
        <f>Store_Record[[#This Row],[Qty]]*Store_Record[[#This Row],[UnitPriceGBP]]</f>
        <v>11</v>
      </c>
      <c r="L3592" s="5" t="str">
        <f>TEXT(Store_Record[[#This Row],[Date]],"dddd")</f>
        <v>Monday</v>
      </c>
      <c r="M3592" s="5" t="str">
        <f>TEXT(Store_Record[[#This Row],[Date]],"mmmm")</f>
        <v>September</v>
      </c>
      <c r="N3592" s="5">
        <f>YEAR(Store_Record[[#This Row],[Date]])</f>
        <v>2025</v>
      </c>
      <c r="O3592"/>
    </row>
    <row r="3593" spans="1:15" x14ac:dyDescent="0.35">
      <c r="A3593" t="s">
        <v>4576</v>
      </c>
      <c r="B3593" s="2">
        <v>45922</v>
      </c>
      <c r="C3593" t="s">
        <v>36</v>
      </c>
      <c r="D3593" t="s">
        <v>29</v>
      </c>
      <c r="E3593" t="s">
        <v>34</v>
      </c>
      <c r="F3593" t="s">
        <v>31</v>
      </c>
      <c r="G3593">
        <v>5</v>
      </c>
      <c r="H3593">
        <v>2.2000000000000002</v>
      </c>
      <c r="I3593" t="s">
        <v>39</v>
      </c>
      <c r="J3593" t="s">
        <v>3634</v>
      </c>
      <c r="K3593" s="12">
        <f>Store_Record[[#This Row],[Qty]]*Store_Record[[#This Row],[UnitPriceGBP]]</f>
        <v>11</v>
      </c>
      <c r="L3593" s="5" t="str">
        <f>TEXT(Store_Record[[#This Row],[Date]],"dddd")</f>
        <v>Monday</v>
      </c>
      <c r="M3593" s="5" t="str">
        <f>TEXT(Store_Record[[#This Row],[Date]],"mmmm")</f>
        <v>September</v>
      </c>
      <c r="N3593" s="5">
        <f>YEAR(Store_Record[[#This Row],[Date]])</f>
        <v>2025</v>
      </c>
      <c r="O3593"/>
    </row>
    <row r="3594" spans="1:15" x14ac:dyDescent="0.35">
      <c r="A3594" t="s">
        <v>4577</v>
      </c>
      <c r="B3594" s="2">
        <v>45922</v>
      </c>
      <c r="C3594" t="s">
        <v>24</v>
      </c>
      <c r="D3594" t="s">
        <v>29</v>
      </c>
      <c r="E3594" t="s">
        <v>26</v>
      </c>
      <c r="F3594" t="s">
        <v>13</v>
      </c>
      <c r="G3594">
        <v>3</v>
      </c>
      <c r="H3594">
        <v>3.5</v>
      </c>
      <c r="I3594" t="s">
        <v>14</v>
      </c>
      <c r="J3594" t="s">
        <v>27</v>
      </c>
      <c r="K3594" s="12">
        <f>Store_Record[[#This Row],[Qty]]*Store_Record[[#This Row],[UnitPriceGBP]]</f>
        <v>10.5</v>
      </c>
      <c r="L3594" s="5" t="str">
        <f>TEXT(Store_Record[[#This Row],[Date]],"dddd")</f>
        <v>Monday</v>
      </c>
      <c r="M3594" s="5" t="str">
        <f>TEXT(Store_Record[[#This Row],[Date]],"mmmm")</f>
        <v>September</v>
      </c>
      <c r="N3594" s="5">
        <f>YEAR(Store_Record[[#This Row],[Date]])</f>
        <v>2025</v>
      </c>
      <c r="O3594"/>
    </row>
    <row r="3595" spans="1:15" x14ac:dyDescent="0.35">
      <c r="A3595" t="s">
        <v>4567</v>
      </c>
      <c r="B3595" s="2">
        <v>45922</v>
      </c>
      <c r="C3595" t="s">
        <v>20</v>
      </c>
      <c r="D3595" t="s">
        <v>25</v>
      </c>
      <c r="E3595" t="s">
        <v>34</v>
      </c>
      <c r="F3595" t="s">
        <v>31</v>
      </c>
      <c r="G3595">
        <v>4</v>
      </c>
      <c r="H3595">
        <v>2.2000000000000002</v>
      </c>
      <c r="I3595" t="s">
        <v>21</v>
      </c>
      <c r="J3595" t="s">
        <v>908</v>
      </c>
      <c r="K3595" s="12">
        <f>Store_Record[[#This Row],[Qty]]*Store_Record[[#This Row],[UnitPriceGBP]]</f>
        <v>8.8000000000000007</v>
      </c>
      <c r="L3595" s="5" t="str">
        <f>TEXT(Store_Record[[#This Row],[Date]],"dddd")</f>
        <v>Monday</v>
      </c>
      <c r="M3595" s="5" t="str">
        <f>TEXT(Store_Record[[#This Row],[Date]],"mmmm")</f>
        <v>September</v>
      </c>
      <c r="N3595" s="5">
        <f>YEAR(Store_Record[[#This Row],[Date]])</f>
        <v>2025</v>
      </c>
      <c r="O3595"/>
    </row>
    <row r="3596" spans="1:15" x14ac:dyDescent="0.35">
      <c r="A3596" t="s">
        <v>4569</v>
      </c>
      <c r="B3596" s="2">
        <v>45922</v>
      </c>
      <c r="C3596" t="s">
        <v>36</v>
      </c>
      <c r="D3596" t="s">
        <v>29</v>
      </c>
      <c r="E3596" t="s">
        <v>12</v>
      </c>
      <c r="F3596" t="s">
        <v>13</v>
      </c>
      <c r="G3596">
        <v>3</v>
      </c>
      <c r="H3596">
        <v>2.5</v>
      </c>
      <c r="I3596" t="s">
        <v>14</v>
      </c>
      <c r="J3596" t="s">
        <v>1950</v>
      </c>
      <c r="K3596" s="12">
        <f>Store_Record[[#This Row],[Qty]]*Store_Record[[#This Row],[UnitPriceGBP]]</f>
        <v>7.5</v>
      </c>
      <c r="L3596" s="5" t="str">
        <f>TEXT(Store_Record[[#This Row],[Date]],"dddd")</f>
        <v>Monday</v>
      </c>
      <c r="M3596" s="5" t="str">
        <f>TEXT(Store_Record[[#This Row],[Date]],"mmmm")</f>
        <v>September</v>
      </c>
      <c r="N3596" s="5">
        <f>YEAR(Store_Record[[#This Row],[Date]])</f>
        <v>2025</v>
      </c>
      <c r="O3596"/>
    </row>
    <row r="3597" spans="1:15" x14ac:dyDescent="0.35">
      <c r="A3597" t="s">
        <v>4575</v>
      </c>
      <c r="B3597" s="2">
        <v>45922</v>
      </c>
      <c r="C3597" t="s">
        <v>24</v>
      </c>
      <c r="D3597" t="s">
        <v>29</v>
      </c>
      <c r="E3597" t="s">
        <v>12</v>
      </c>
      <c r="F3597" t="s">
        <v>13</v>
      </c>
      <c r="G3597">
        <v>3</v>
      </c>
      <c r="H3597">
        <v>2.5</v>
      </c>
      <c r="I3597" t="s">
        <v>14</v>
      </c>
      <c r="J3597" t="s">
        <v>1038</v>
      </c>
      <c r="K3597" s="12">
        <f>Store_Record[[#This Row],[Qty]]*Store_Record[[#This Row],[UnitPriceGBP]]</f>
        <v>7.5</v>
      </c>
      <c r="L3597" s="5" t="str">
        <f>TEXT(Store_Record[[#This Row],[Date]],"dddd")</f>
        <v>Monday</v>
      </c>
      <c r="M3597" s="5" t="str">
        <f>TEXT(Store_Record[[#This Row],[Date]],"mmmm")</f>
        <v>September</v>
      </c>
      <c r="N3597" s="5">
        <f>YEAR(Store_Record[[#This Row],[Date]])</f>
        <v>2025</v>
      </c>
      <c r="O3597"/>
    </row>
    <row r="3598" spans="1:15" x14ac:dyDescent="0.35">
      <c r="A3598" t="s">
        <v>4580</v>
      </c>
      <c r="B3598" s="2">
        <v>45922</v>
      </c>
      <c r="C3598" t="s">
        <v>24</v>
      </c>
      <c r="D3598" t="s">
        <v>29</v>
      </c>
      <c r="E3598" t="s">
        <v>12</v>
      </c>
      <c r="F3598" t="s">
        <v>13</v>
      </c>
      <c r="G3598">
        <v>3</v>
      </c>
      <c r="H3598">
        <v>2.5</v>
      </c>
      <c r="I3598" t="s">
        <v>21</v>
      </c>
      <c r="J3598" t="s">
        <v>227</v>
      </c>
      <c r="K3598" s="12">
        <f>Store_Record[[#This Row],[Qty]]*Store_Record[[#This Row],[UnitPriceGBP]]</f>
        <v>7.5</v>
      </c>
      <c r="L3598" s="5" t="str">
        <f>TEXT(Store_Record[[#This Row],[Date]],"dddd")</f>
        <v>Monday</v>
      </c>
      <c r="M3598" s="5" t="str">
        <f>TEXT(Store_Record[[#This Row],[Date]],"mmmm")</f>
        <v>September</v>
      </c>
      <c r="N3598" s="5">
        <f>YEAR(Store_Record[[#This Row],[Date]])</f>
        <v>2025</v>
      </c>
      <c r="O3598"/>
    </row>
    <row r="3599" spans="1:15" x14ac:dyDescent="0.35">
      <c r="A3599" t="s">
        <v>4582</v>
      </c>
      <c r="B3599" s="2">
        <v>45922</v>
      </c>
      <c r="C3599" t="s">
        <v>24</v>
      </c>
      <c r="D3599" t="s">
        <v>29</v>
      </c>
      <c r="E3599" t="s">
        <v>12</v>
      </c>
      <c r="F3599" t="s">
        <v>13</v>
      </c>
      <c r="G3599">
        <v>3</v>
      </c>
      <c r="H3599">
        <v>2.5</v>
      </c>
      <c r="I3599" t="s">
        <v>14</v>
      </c>
      <c r="J3599" t="s">
        <v>2661</v>
      </c>
      <c r="K3599" s="12">
        <f>Store_Record[[#This Row],[Qty]]*Store_Record[[#This Row],[UnitPriceGBP]]</f>
        <v>7.5</v>
      </c>
      <c r="L3599" s="5" t="str">
        <f>TEXT(Store_Record[[#This Row],[Date]],"dddd")</f>
        <v>Monday</v>
      </c>
      <c r="M3599" s="5" t="str">
        <f>TEXT(Store_Record[[#This Row],[Date]],"mmmm")</f>
        <v>September</v>
      </c>
      <c r="N3599" s="5">
        <f>YEAR(Store_Record[[#This Row],[Date]])</f>
        <v>2025</v>
      </c>
      <c r="O3599"/>
    </row>
    <row r="3600" spans="1:15" x14ac:dyDescent="0.35">
      <c r="A3600" t="s">
        <v>4579</v>
      </c>
      <c r="B3600" s="2">
        <v>45922</v>
      </c>
      <c r="C3600" t="s">
        <v>10</v>
      </c>
      <c r="D3600" t="s">
        <v>38</v>
      </c>
      <c r="E3600" t="s">
        <v>26</v>
      </c>
      <c r="F3600" t="s">
        <v>13</v>
      </c>
      <c r="G3600">
        <v>2</v>
      </c>
      <c r="H3600">
        <v>3.5</v>
      </c>
      <c r="I3600" t="s">
        <v>39</v>
      </c>
      <c r="J3600" t="s">
        <v>113</v>
      </c>
      <c r="K3600" s="12">
        <f>Store_Record[[#This Row],[Qty]]*Store_Record[[#This Row],[UnitPriceGBP]]</f>
        <v>7</v>
      </c>
      <c r="L3600" s="5" t="str">
        <f>TEXT(Store_Record[[#This Row],[Date]],"dddd")</f>
        <v>Monday</v>
      </c>
      <c r="M3600" s="5" t="str">
        <f>TEXT(Store_Record[[#This Row],[Date]],"mmmm")</f>
        <v>September</v>
      </c>
      <c r="N3600" s="5">
        <f>YEAR(Store_Record[[#This Row],[Date]])</f>
        <v>2025</v>
      </c>
      <c r="O3600"/>
    </row>
    <row r="3601" spans="1:15" x14ac:dyDescent="0.35">
      <c r="A3601" t="s">
        <v>4581</v>
      </c>
      <c r="B3601" s="2">
        <v>45922</v>
      </c>
      <c r="C3601" t="s">
        <v>10</v>
      </c>
      <c r="D3601" t="s">
        <v>29</v>
      </c>
      <c r="E3601" t="s">
        <v>26</v>
      </c>
      <c r="F3601" t="s">
        <v>13</v>
      </c>
      <c r="G3601">
        <v>2</v>
      </c>
      <c r="H3601">
        <v>3.5</v>
      </c>
      <c r="I3601" t="s">
        <v>14</v>
      </c>
      <c r="J3601" t="s">
        <v>515</v>
      </c>
      <c r="K3601" s="12">
        <f>Store_Record[[#This Row],[Qty]]*Store_Record[[#This Row],[UnitPriceGBP]]</f>
        <v>7</v>
      </c>
      <c r="L3601" s="5" t="str">
        <f>TEXT(Store_Record[[#This Row],[Date]],"dddd")</f>
        <v>Monday</v>
      </c>
      <c r="M3601" s="5" t="str">
        <f>TEXT(Store_Record[[#This Row],[Date]],"mmmm")</f>
        <v>September</v>
      </c>
      <c r="N3601" s="5">
        <f>YEAR(Store_Record[[#This Row],[Date]])</f>
        <v>2025</v>
      </c>
      <c r="O3601"/>
    </row>
    <row r="3602" spans="1:15" x14ac:dyDescent="0.35">
      <c r="A3602" t="s">
        <v>4578</v>
      </c>
      <c r="B3602" s="2">
        <v>45922</v>
      </c>
      <c r="C3602" t="s">
        <v>20</v>
      </c>
      <c r="D3602" t="s">
        <v>38</v>
      </c>
      <c r="E3602" t="s">
        <v>30</v>
      </c>
      <c r="F3602" t="s">
        <v>31</v>
      </c>
      <c r="G3602">
        <v>2</v>
      </c>
      <c r="H3602">
        <v>2.8</v>
      </c>
      <c r="I3602" t="s">
        <v>39</v>
      </c>
      <c r="J3602" t="s">
        <v>1987</v>
      </c>
      <c r="K3602" s="12">
        <f>Store_Record[[#This Row],[Qty]]*Store_Record[[#This Row],[UnitPriceGBP]]</f>
        <v>5.6</v>
      </c>
      <c r="L3602" s="5" t="str">
        <f>TEXT(Store_Record[[#This Row],[Date]],"dddd")</f>
        <v>Monday</v>
      </c>
      <c r="M3602" s="5" t="str">
        <f>TEXT(Store_Record[[#This Row],[Date]],"mmmm")</f>
        <v>September</v>
      </c>
      <c r="N3602" s="5">
        <f>YEAR(Store_Record[[#This Row],[Date]])</f>
        <v>2025</v>
      </c>
      <c r="O3602"/>
    </row>
    <row r="3603" spans="1:15" x14ac:dyDescent="0.35">
      <c r="A3603" t="s">
        <v>4566</v>
      </c>
      <c r="B3603" s="2">
        <v>45922</v>
      </c>
      <c r="C3603" t="s">
        <v>24</v>
      </c>
      <c r="D3603" t="s">
        <v>25</v>
      </c>
      <c r="E3603" t="s">
        <v>12</v>
      </c>
      <c r="F3603" t="s">
        <v>13</v>
      </c>
      <c r="G3603">
        <v>2</v>
      </c>
      <c r="H3603">
        <v>2.5</v>
      </c>
      <c r="I3603" t="s">
        <v>21</v>
      </c>
      <c r="J3603" t="s">
        <v>679</v>
      </c>
      <c r="K3603" s="12">
        <f>Store_Record[[#This Row],[Qty]]*Store_Record[[#This Row],[UnitPriceGBP]]</f>
        <v>5</v>
      </c>
      <c r="L3603" s="5" t="str">
        <f>TEXT(Store_Record[[#This Row],[Date]],"dddd")</f>
        <v>Monday</v>
      </c>
      <c r="M3603" s="5" t="str">
        <f>TEXT(Store_Record[[#This Row],[Date]],"mmmm")</f>
        <v>September</v>
      </c>
      <c r="N3603" s="5">
        <f>YEAR(Store_Record[[#This Row],[Date]])</f>
        <v>2025</v>
      </c>
      <c r="O3603"/>
    </row>
    <row r="3604" spans="1:15" x14ac:dyDescent="0.35">
      <c r="A3604" t="s">
        <v>4583</v>
      </c>
      <c r="B3604" s="2">
        <v>45922</v>
      </c>
      <c r="C3604" t="s">
        <v>20</v>
      </c>
      <c r="D3604" t="s">
        <v>29</v>
      </c>
      <c r="E3604" t="s">
        <v>34</v>
      </c>
      <c r="F3604" t="s">
        <v>31</v>
      </c>
      <c r="G3604">
        <v>2</v>
      </c>
      <c r="H3604">
        <v>2.2000000000000002</v>
      </c>
      <c r="I3604" t="s">
        <v>39</v>
      </c>
      <c r="J3604" t="s">
        <v>4584</v>
      </c>
      <c r="K3604" s="12">
        <f>Store_Record[[#This Row],[Qty]]*Store_Record[[#This Row],[UnitPriceGBP]]</f>
        <v>4.4000000000000004</v>
      </c>
      <c r="L3604" s="5" t="str">
        <f>TEXT(Store_Record[[#This Row],[Date]],"dddd")</f>
        <v>Monday</v>
      </c>
      <c r="M3604" s="5" t="str">
        <f>TEXT(Store_Record[[#This Row],[Date]],"mmmm")</f>
        <v>September</v>
      </c>
      <c r="N3604" s="5">
        <f>YEAR(Store_Record[[#This Row],[Date]])</f>
        <v>2025</v>
      </c>
      <c r="O3604"/>
    </row>
    <row r="3605" spans="1:15" x14ac:dyDescent="0.35">
      <c r="A3605" t="s">
        <v>4570</v>
      </c>
      <c r="B3605" s="2">
        <v>45922</v>
      </c>
      <c r="C3605" t="s">
        <v>20</v>
      </c>
      <c r="D3605" t="s">
        <v>11</v>
      </c>
      <c r="E3605" t="s">
        <v>42</v>
      </c>
      <c r="F3605" t="s">
        <v>13</v>
      </c>
      <c r="G3605">
        <v>1</v>
      </c>
      <c r="H3605">
        <v>3.8</v>
      </c>
      <c r="I3605" t="s">
        <v>39</v>
      </c>
      <c r="J3605" t="s">
        <v>3634</v>
      </c>
      <c r="K3605" s="12">
        <f>Store_Record[[#This Row],[Qty]]*Store_Record[[#This Row],[UnitPriceGBP]]</f>
        <v>3.8</v>
      </c>
      <c r="L3605" s="5" t="str">
        <f>TEXT(Store_Record[[#This Row],[Date]],"dddd")</f>
        <v>Monday</v>
      </c>
      <c r="M3605" s="5" t="str">
        <f>TEXT(Store_Record[[#This Row],[Date]],"mmmm")</f>
        <v>September</v>
      </c>
      <c r="N3605" s="5">
        <f>YEAR(Store_Record[[#This Row],[Date]])</f>
        <v>2025</v>
      </c>
      <c r="O3605"/>
    </row>
    <row r="3606" spans="1:15" x14ac:dyDescent="0.35">
      <c r="A3606" t="s">
        <v>4574</v>
      </c>
      <c r="B3606" s="2">
        <v>45922</v>
      </c>
      <c r="C3606" t="s">
        <v>36</v>
      </c>
      <c r="D3606" t="s">
        <v>25</v>
      </c>
      <c r="E3606" t="s">
        <v>42</v>
      </c>
      <c r="F3606" t="s">
        <v>13</v>
      </c>
      <c r="G3606">
        <v>1</v>
      </c>
      <c r="H3606">
        <v>3.8</v>
      </c>
      <c r="I3606" t="s">
        <v>14</v>
      </c>
      <c r="J3606" t="s">
        <v>165</v>
      </c>
      <c r="K3606" s="12">
        <f>Store_Record[[#This Row],[Qty]]*Store_Record[[#This Row],[UnitPriceGBP]]</f>
        <v>3.8</v>
      </c>
      <c r="L3606" s="5" t="str">
        <f>TEXT(Store_Record[[#This Row],[Date]],"dddd")</f>
        <v>Monday</v>
      </c>
      <c r="M3606" s="5" t="str">
        <f>TEXT(Store_Record[[#This Row],[Date]],"mmmm")</f>
        <v>September</v>
      </c>
      <c r="N3606" s="5">
        <f>YEAR(Store_Record[[#This Row],[Date]])</f>
        <v>2025</v>
      </c>
      <c r="O3606"/>
    </row>
    <row r="3607" spans="1:15" x14ac:dyDescent="0.35">
      <c r="A3607" t="s">
        <v>6004</v>
      </c>
      <c r="B3607" s="2">
        <v>45922</v>
      </c>
      <c r="C3607" t="s">
        <v>36</v>
      </c>
      <c r="D3607" t="s">
        <v>29</v>
      </c>
      <c r="E3607" t="s">
        <v>30</v>
      </c>
      <c r="F3607" t="s">
        <v>31</v>
      </c>
      <c r="G3607">
        <v>1</v>
      </c>
      <c r="H3607">
        <v>2.8</v>
      </c>
      <c r="I3607" t="s">
        <v>39</v>
      </c>
      <c r="J3607" t="s">
        <v>624</v>
      </c>
      <c r="K3607" s="12">
        <f>Store_Record[[#This Row],[Qty]]*Store_Record[[#This Row],[UnitPriceGBP]]</f>
        <v>2.8</v>
      </c>
      <c r="L3607" s="5" t="str">
        <f>TEXT(Store_Record[[#This Row],[Date]],"dddd")</f>
        <v>Monday</v>
      </c>
      <c r="M3607" s="5" t="str">
        <f>TEXT(Store_Record[[#This Row],[Date]],"mmmm")</f>
        <v>September</v>
      </c>
      <c r="N3607" s="5">
        <f>YEAR(Store_Record[[#This Row],[Date]])</f>
        <v>2025</v>
      </c>
      <c r="O3607"/>
    </row>
    <row r="3608" spans="1:15" x14ac:dyDescent="0.35">
      <c r="A3608" t="s">
        <v>4571</v>
      </c>
      <c r="B3608" s="2">
        <v>45922</v>
      </c>
      <c r="C3608" t="s">
        <v>20</v>
      </c>
      <c r="D3608" t="s">
        <v>25</v>
      </c>
      <c r="E3608" t="s">
        <v>34</v>
      </c>
      <c r="F3608" t="s">
        <v>31</v>
      </c>
      <c r="G3608">
        <v>1</v>
      </c>
      <c r="H3608">
        <v>2.2000000000000002</v>
      </c>
      <c r="I3608" t="s">
        <v>21</v>
      </c>
      <c r="J3608" t="s">
        <v>2119</v>
      </c>
      <c r="K3608" s="12">
        <f>Store_Record[[#This Row],[Qty]]*Store_Record[[#This Row],[UnitPriceGBP]]</f>
        <v>2.2000000000000002</v>
      </c>
      <c r="L3608" s="5" t="str">
        <f>TEXT(Store_Record[[#This Row],[Date]],"dddd")</f>
        <v>Monday</v>
      </c>
      <c r="M3608" s="5" t="str">
        <f>TEXT(Store_Record[[#This Row],[Date]],"mmmm")</f>
        <v>September</v>
      </c>
      <c r="N3608" s="5">
        <f>YEAR(Store_Record[[#This Row],[Date]])</f>
        <v>2025</v>
      </c>
      <c r="O3608"/>
    </row>
    <row r="3609" spans="1:15" x14ac:dyDescent="0.35">
      <c r="A3609" t="s">
        <v>4597</v>
      </c>
      <c r="B3609" s="2">
        <v>45923</v>
      </c>
      <c r="C3609" t="s">
        <v>20</v>
      </c>
      <c r="D3609" t="s">
        <v>11</v>
      </c>
      <c r="E3609" t="s">
        <v>42</v>
      </c>
      <c r="F3609" t="s">
        <v>13</v>
      </c>
      <c r="G3609">
        <v>5</v>
      </c>
      <c r="H3609">
        <v>3.8</v>
      </c>
      <c r="I3609" t="s">
        <v>14</v>
      </c>
      <c r="J3609" t="s">
        <v>750</v>
      </c>
      <c r="K3609" s="12">
        <f>Store_Record[[#This Row],[Qty]]*Store_Record[[#This Row],[UnitPriceGBP]]</f>
        <v>19</v>
      </c>
      <c r="L3609" s="5" t="str">
        <f>TEXT(Store_Record[[#This Row],[Date]],"dddd")</f>
        <v>Tuesday</v>
      </c>
      <c r="M3609" s="5" t="str">
        <f>TEXT(Store_Record[[#This Row],[Date]],"mmmm")</f>
        <v>September</v>
      </c>
      <c r="N3609" s="5">
        <f>YEAR(Store_Record[[#This Row],[Date]])</f>
        <v>2025</v>
      </c>
      <c r="O3609"/>
    </row>
    <row r="3610" spans="1:15" x14ac:dyDescent="0.35">
      <c r="A3610" t="s">
        <v>4587</v>
      </c>
      <c r="B3610" s="2">
        <v>45923</v>
      </c>
      <c r="C3610" t="s">
        <v>36</v>
      </c>
      <c r="D3610" t="s">
        <v>38</v>
      </c>
      <c r="E3610" t="s">
        <v>26</v>
      </c>
      <c r="F3610" t="s">
        <v>13</v>
      </c>
      <c r="G3610">
        <v>5</v>
      </c>
      <c r="H3610">
        <v>3.5</v>
      </c>
      <c r="I3610" t="s">
        <v>39</v>
      </c>
      <c r="J3610" t="s">
        <v>2168</v>
      </c>
      <c r="K3610" s="12">
        <f>Store_Record[[#This Row],[Qty]]*Store_Record[[#This Row],[UnitPriceGBP]]</f>
        <v>17.5</v>
      </c>
      <c r="L3610" s="5" t="str">
        <f>TEXT(Store_Record[[#This Row],[Date]],"dddd")</f>
        <v>Tuesday</v>
      </c>
      <c r="M3610" s="5" t="str">
        <f>TEXT(Store_Record[[#This Row],[Date]],"mmmm")</f>
        <v>September</v>
      </c>
      <c r="N3610" s="5">
        <f>YEAR(Store_Record[[#This Row],[Date]])</f>
        <v>2025</v>
      </c>
      <c r="O3610"/>
    </row>
    <row r="3611" spans="1:15" x14ac:dyDescent="0.35">
      <c r="A3611" t="s">
        <v>4593</v>
      </c>
      <c r="B3611" s="2">
        <v>45923</v>
      </c>
      <c r="C3611" t="s">
        <v>20</v>
      </c>
      <c r="D3611" t="s">
        <v>11</v>
      </c>
      <c r="E3611" t="s">
        <v>42</v>
      </c>
      <c r="F3611" t="s">
        <v>13</v>
      </c>
      <c r="G3611">
        <v>4</v>
      </c>
      <c r="H3611">
        <v>3.8</v>
      </c>
      <c r="I3611" t="s">
        <v>21</v>
      </c>
      <c r="J3611" t="s">
        <v>1420</v>
      </c>
      <c r="K3611" s="12">
        <f>Store_Record[[#This Row],[Qty]]*Store_Record[[#This Row],[UnitPriceGBP]]</f>
        <v>15.2</v>
      </c>
      <c r="L3611" s="5" t="str">
        <f>TEXT(Store_Record[[#This Row],[Date]],"dddd")</f>
        <v>Tuesday</v>
      </c>
      <c r="M3611" s="5" t="str">
        <f>TEXT(Store_Record[[#This Row],[Date]],"mmmm")</f>
        <v>September</v>
      </c>
      <c r="N3611" s="5">
        <f>YEAR(Store_Record[[#This Row],[Date]])</f>
        <v>2025</v>
      </c>
      <c r="O3611"/>
    </row>
    <row r="3612" spans="1:15" x14ac:dyDescent="0.35">
      <c r="A3612" t="s">
        <v>4585</v>
      </c>
      <c r="B3612" s="2">
        <v>45923</v>
      </c>
      <c r="C3612" t="s">
        <v>20</v>
      </c>
      <c r="D3612" t="s">
        <v>47</v>
      </c>
      <c r="E3612" t="s">
        <v>34</v>
      </c>
      <c r="F3612" t="s">
        <v>31</v>
      </c>
      <c r="G3612">
        <v>5</v>
      </c>
      <c r="H3612">
        <v>2.2000000000000002</v>
      </c>
      <c r="I3612" t="s">
        <v>39</v>
      </c>
      <c r="J3612" t="s">
        <v>3356</v>
      </c>
      <c r="K3612" s="12">
        <f>Store_Record[[#This Row],[Qty]]*Store_Record[[#This Row],[UnitPriceGBP]]</f>
        <v>11</v>
      </c>
      <c r="L3612" s="5" t="str">
        <f>TEXT(Store_Record[[#This Row],[Date]],"dddd")</f>
        <v>Tuesday</v>
      </c>
      <c r="M3612" s="5" t="str">
        <f>TEXT(Store_Record[[#This Row],[Date]],"mmmm")</f>
        <v>September</v>
      </c>
      <c r="N3612" s="5">
        <f>YEAR(Store_Record[[#This Row],[Date]])</f>
        <v>2025</v>
      </c>
      <c r="O3612"/>
    </row>
    <row r="3613" spans="1:15" x14ac:dyDescent="0.35">
      <c r="A3613" t="s">
        <v>4595</v>
      </c>
      <c r="B3613" s="2">
        <v>45923</v>
      </c>
      <c r="C3613" t="s">
        <v>24</v>
      </c>
      <c r="D3613" t="s">
        <v>47</v>
      </c>
      <c r="E3613" t="s">
        <v>26</v>
      </c>
      <c r="F3613" t="s">
        <v>13</v>
      </c>
      <c r="G3613">
        <v>3</v>
      </c>
      <c r="H3613">
        <v>3.5</v>
      </c>
      <c r="I3613" t="s">
        <v>39</v>
      </c>
      <c r="J3613" t="s">
        <v>982</v>
      </c>
      <c r="K3613" s="12">
        <f>Store_Record[[#This Row],[Qty]]*Store_Record[[#This Row],[UnitPriceGBP]]</f>
        <v>10.5</v>
      </c>
      <c r="L3613" s="5" t="str">
        <f>TEXT(Store_Record[[#This Row],[Date]],"dddd")</f>
        <v>Tuesday</v>
      </c>
      <c r="M3613" s="5" t="str">
        <f>TEXT(Store_Record[[#This Row],[Date]],"mmmm")</f>
        <v>September</v>
      </c>
      <c r="N3613" s="5">
        <f>YEAR(Store_Record[[#This Row],[Date]])</f>
        <v>2025</v>
      </c>
      <c r="O3613"/>
    </row>
    <row r="3614" spans="1:15" x14ac:dyDescent="0.35">
      <c r="A3614" t="s">
        <v>4591</v>
      </c>
      <c r="B3614" s="2">
        <v>45923</v>
      </c>
      <c r="C3614" t="s">
        <v>20</v>
      </c>
      <c r="D3614" t="s">
        <v>38</v>
      </c>
      <c r="E3614" t="s">
        <v>30</v>
      </c>
      <c r="F3614" t="s">
        <v>31</v>
      </c>
      <c r="G3614">
        <v>3</v>
      </c>
      <c r="H3614">
        <v>2.8</v>
      </c>
      <c r="I3614" t="s">
        <v>14</v>
      </c>
      <c r="J3614" t="s">
        <v>969</v>
      </c>
      <c r="K3614" s="12">
        <f>Store_Record[[#This Row],[Qty]]*Store_Record[[#This Row],[UnitPriceGBP]]</f>
        <v>8.3999999999999986</v>
      </c>
      <c r="L3614" s="5" t="str">
        <f>TEXT(Store_Record[[#This Row],[Date]],"dddd")</f>
        <v>Tuesday</v>
      </c>
      <c r="M3614" s="5" t="str">
        <f>TEXT(Store_Record[[#This Row],[Date]],"mmmm")</f>
        <v>September</v>
      </c>
      <c r="N3614" s="5">
        <f>YEAR(Store_Record[[#This Row],[Date]])</f>
        <v>2025</v>
      </c>
      <c r="O3614"/>
    </row>
    <row r="3615" spans="1:15" x14ac:dyDescent="0.35">
      <c r="A3615" t="s">
        <v>4592</v>
      </c>
      <c r="B3615" s="2">
        <v>45923</v>
      </c>
      <c r="C3615" t="s">
        <v>10</v>
      </c>
      <c r="D3615" t="s">
        <v>47</v>
      </c>
      <c r="E3615" t="s">
        <v>12</v>
      </c>
      <c r="F3615" t="s">
        <v>13</v>
      </c>
      <c r="G3615">
        <v>3</v>
      </c>
      <c r="H3615">
        <v>2.5</v>
      </c>
      <c r="I3615" t="s">
        <v>21</v>
      </c>
      <c r="J3615" t="s">
        <v>341</v>
      </c>
      <c r="K3615" s="12">
        <f>Store_Record[[#This Row],[Qty]]*Store_Record[[#This Row],[UnitPriceGBP]]</f>
        <v>7.5</v>
      </c>
      <c r="L3615" s="5" t="str">
        <f>TEXT(Store_Record[[#This Row],[Date]],"dddd")</f>
        <v>Tuesday</v>
      </c>
      <c r="M3615" s="5" t="str">
        <f>TEXT(Store_Record[[#This Row],[Date]],"mmmm")</f>
        <v>September</v>
      </c>
      <c r="N3615" s="5">
        <f>YEAR(Store_Record[[#This Row],[Date]])</f>
        <v>2025</v>
      </c>
      <c r="O3615"/>
    </row>
    <row r="3616" spans="1:15" x14ac:dyDescent="0.35">
      <c r="A3616" t="s">
        <v>4594</v>
      </c>
      <c r="B3616" s="2">
        <v>45923</v>
      </c>
      <c r="C3616" t="s">
        <v>20</v>
      </c>
      <c r="D3616" t="s">
        <v>29</v>
      </c>
      <c r="E3616" t="s">
        <v>26</v>
      </c>
      <c r="F3616" t="s">
        <v>13</v>
      </c>
      <c r="G3616">
        <v>2</v>
      </c>
      <c r="H3616">
        <v>3.5</v>
      </c>
      <c r="I3616" t="s">
        <v>39</v>
      </c>
      <c r="J3616" t="s">
        <v>1065</v>
      </c>
      <c r="K3616" s="12">
        <f>Store_Record[[#This Row],[Qty]]*Store_Record[[#This Row],[UnitPriceGBP]]</f>
        <v>7</v>
      </c>
      <c r="L3616" s="5" t="str">
        <f>TEXT(Store_Record[[#This Row],[Date]],"dddd")</f>
        <v>Tuesday</v>
      </c>
      <c r="M3616" s="5" t="str">
        <f>TEXT(Store_Record[[#This Row],[Date]],"mmmm")</f>
        <v>September</v>
      </c>
      <c r="N3616" s="5">
        <f>YEAR(Store_Record[[#This Row],[Date]])</f>
        <v>2025</v>
      </c>
      <c r="O3616"/>
    </row>
    <row r="3617" spans="1:15" x14ac:dyDescent="0.35">
      <c r="A3617" t="s">
        <v>4590</v>
      </c>
      <c r="B3617" s="2">
        <v>45923</v>
      </c>
      <c r="C3617" t="s">
        <v>10</v>
      </c>
      <c r="D3617" t="s">
        <v>47</v>
      </c>
      <c r="E3617" t="s">
        <v>34</v>
      </c>
      <c r="F3617" t="s">
        <v>31</v>
      </c>
      <c r="G3617">
        <v>3</v>
      </c>
      <c r="H3617">
        <v>2.2000000000000002</v>
      </c>
      <c r="I3617" t="s">
        <v>21</v>
      </c>
      <c r="J3617" t="s">
        <v>3493</v>
      </c>
      <c r="K3617" s="12">
        <f>Store_Record[[#This Row],[Qty]]*Store_Record[[#This Row],[UnitPriceGBP]]</f>
        <v>6.6000000000000005</v>
      </c>
      <c r="L3617" s="5" t="str">
        <f>TEXT(Store_Record[[#This Row],[Date]],"dddd")</f>
        <v>Tuesday</v>
      </c>
      <c r="M3617" s="5" t="str">
        <f>TEXT(Store_Record[[#This Row],[Date]],"mmmm")</f>
        <v>September</v>
      </c>
      <c r="N3617" s="5">
        <f>YEAR(Store_Record[[#This Row],[Date]])</f>
        <v>2025</v>
      </c>
      <c r="O3617"/>
    </row>
    <row r="3618" spans="1:15" x14ac:dyDescent="0.35">
      <c r="A3618" t="s">
        <v>4586</v>
      </c>
      <c r="B3618" s="2">
        <v>45923</v>
      </c>
      <c r="C3618" t="s">
        <v>24</v>
      </c>
      <c r="D3618" t="s">
        <v>11</v>
      </c>
      <c r="E3618" t="s">
        <v>30</v>
      </c>
      <c r="F3618" t="s">
        <v>31</v>
      </c>
      <c r="G3618">
        <v>2</v>
      </c>
      <c r="H3618">
        <v>2.8</v>
      </c>
      <c r="I3618" t="s">
        <v>21</v>
      </c>
      <c r="J3618" t="s">
        <v>2003</v>
      </c>
      <c r="K3618" s="12">
        <f>Store_Record[[#This Row],[Qty]]*Store_Record[[#This Row],[UnitPriceGBP]]</f>
        <v>5.6</v>
      </c>
      <c r="L3618" s="5" t="str">
        <f>TEXT(Store_Record[[#This Row],[Date]],"dddd")</f>
        <v>Tuesday</v>
      </c>
      <c r="M3618" s="5" t="str">
        <f>TEXT(Store_Record[[#This Row],[Date]],"mmmm")</f>
        <v>September</v>
      </c>
      <c r="N3618" s="5">
        <f>YEAR(Store_Record[[#This Row],[Date]])</f>
        <v>2025</v>
      </c>
      <c r="O3618"/>
    </row>
    <row r="3619" spans="1:15" x14ac:dyDescent="0.35">
      <c r="A3619" t="s">
        <v>4589</v>
      </c>
      <c r="B3619" s="2">
        <v>45923</v>
      </c>
      <c r="C3619" t="s">
        <v>36</v>
      </c>
      <c r="D3619" t="s">
        <v>25</v>
      </c>
      <c r="E3619" t="s">
        <v>34</v>
      </c>
      <c r="F3619" t="s">
        <v>31</v>
      </c>
      <c r="G3619">
        <v>2</v>
      </c>
      <c r="H3619">
        <v>2.2000000000000002</v>
      </c>
      <c r="I3619" t="s">
        <v>39</v>
      </c>
      <c r="J3619" t="s">
        <v>198</v>
      </c>
      <c r="K3619" s="12">
        <f>Store_Record[[#This Row],[Qty]]*Store_Record[[#This Row],[UnitPriceGBP]]</f>
        <v>4.4000000000000004</v>
      </c>
      <c r="L3619" s="5" t="str">
        <f>TEXT(Store_Record[[#This Row],[Date]],"dddd")</f>
        <v>Tuesday</v>
      </c>
      <c r="M3619" s="5" t="str">
        <f>TEXT(Store_Record[[#This Row],[Date]],"mmmm")</f>
        <v>September</v>
      </c>
      <c r="N3619" s="5">
        <f>YEAR(Store_Record[[#This Row],[Date]])</f>
        <v>2025</v>
      </c>
      <c r="O3619"/>
    </row>
    <row r="3620" spans="1:15" x14ac:dyDescent="0.35">
      <c r="A3620" t="s">
        <v>4596</v>
      </c>
      <c r="B3620" s="2">
        <v>45923</v>
      </c>
      <c r="C3620" t="s">
        <v>36</v>
      </c>
      <c r="D3620" t="s">
        <v>11</v>
      </c>
      <c r="E3620" t="s">
        <v>34</v>
      </c>
      <c r="F3620" t="s">
        <v>31</v>
      </c>
      <c r="G3620">
        <v>2</v>
      </c>
      <c r="H3620">
        <v>2.2000000000000002</v>
      </c>
      <c r="I3620" t="s">
        <v>21</v>
      </c>
      <c r="J3620" t="s">
        <v>679</v>
      </c>
      <c r="K3620" s="12">
        <f>Store_Record[[#This Row],[Qty]]*Store_Record[[#This Row],[UnitPriceGBP]]</f>
        <v>4.4000000000000004</v>
      </c>
      <c r="L3620" s="5" t="str">
        <f>TEXT(Store_Record[[#This Row],[Date]],"dddd")</f>
        <v>Tuesday</v>
      </c>
      <c r="M3620" s="5" t="str">
        <f>TEXT(Store_Record[[#This Row],[Date]],"mmmm")</f>
        <v>September</v>
      </c>
      <c r="N3620" s="5">
        <f>YEAR(Store_Record[[#This Row],[Date]])</f>
        <v>2025</v>
      </c>
      <c r="O3620"/>
    </row>
    <row r="3621" spans="1:15" x14ac:dyDescent="0.35">
      <c r="A3621" t="s">
        <v>4588</v>
      </c>
      <c r="B3621" s="2">
        <v>45923</v>
      </c>
      <c r="C3621" t="s">
        <v>24</v>
      </c>
      <c r="D3621" t="s">
        <v>38</v>
      </c>
      <c r="E3621" t="s">
        <v>34</v>
      </c>
      <c r="F3621" t="s">
        <v>31</v>
      </c>
      <c r="G3621">
        <v>1</v>
      </c>
      <c r="H3621">
        <v>2.2000000000000002</v>
      </c>
      <c r="I3621" t="s">
        <v>39</v>
      </c>
      <c r="J3621" t="s">
        <v>2794</v>
      </c>
      <c r="K3621" s="12">
        <f>Store_Record[[#This Row],[Qty]]*Store_Record[[#This Row],[UnitPriceGBP]]</f>
        <v>2.2000000000000002</v>
      </c>
      <c r="L3621" s="5" t="str">
        <f>TEXT(Store_Record[[#This Row],[Date]],"dddd")</f>
        <v>Tuesday</v>
      </c>
      <c r="M3621" s="5" t="str">
        <f>TEXT(Store_Record[[#This Row],[Date]],"mmmm")</f>
        <v>September</v>
      </c>
      <c r="N3621" s="5">
        <f>YEAR(Store_Record[[#This Row],[Date]])</f>
        <v>2025</v>
      </c>
      <c r="O3621"/>
    </row>
    <row r="3622" spans="1:15" x14ac:dyDescent="0.35">
      <c r="A3622" t="s">
        <v>4602</v>
      </c>
      <c r="B3622" s="2">
        <v>45924</v>
      </c>
      <c r="C3622" t="s">
        <v>10</v>
      </c>
      <c r="D3622" t="s">
        <v>29</v>
      </c>
      <c r="E3622" t="s">
        <v>42</v>
      </c>
      <c r="F3622" t="s">
        <v>13</v>
      </c>
      <c r="G3622">
        <v>5</v>
      </c>
      <c r="H3622">
        <v>3.8</v>
      </c>
      <c r="I3622" t="s">
        <v>14</v>
      </c>
      <c r="J3622" t="s">
        <v>569</v>
      </c>
      <c r="K3622" s="12">
        <f>Store_Record[[#This Row],[Qty]]*Store_Record[[#This Row],[UnitPriceGBP]]</f>
        <v>19</v>
      </c>
      <c r="L3622" s="5" t="str">
        <f>TEXT(Store_Record[[#This Row],[Date]],"dddd")</f>
        <v>Wednesday</v>
      </c>
      <c r="M3622" s="5" t="str">
        <f>TEXT(Store_Record[[#This Row],[Date]],"mmmm")</f>
        <v>September</v>
      </c>
      <c r="N3622" s="5">
        <f>YEAR(Store_Record[[#This Row],[Date]])</f>
        <v>2025</v>
      </c>
      <c r="O3622"/>
    </row>
    <row r="3623" spans="1:15" x14ac:dyDescent="0.35">
      <c r="A3623" t="s">
        <v>4608</v>
      </c>
      <c r="B3623" s="2">
        <v>45924</v>
      </c>
      <c r="C3623" t="s">
        <v>10</v>
      </c>
      <c r="D3623" t="s">
        <v>47</v>
      </c>
      <c r="E3623" t="s">
        <v>26</v>
      </c>
      <c r="F3623" t="s">
        <v>13</v>
      </c>
      <c r="G3623">
        <v>5</v>
      </c>
      <c r="H3623">
        <v>3.5</v>
      </c>
      <c r="I3623" t="s">
        <v>14</v>
      </c>
      <c r="J3623" t="s">
        <v>1181</v>
      </c>
      <c r="K3623" s="12">
        <f>Store_Record[[#This Row],[Qty]]*Store_Record[[#This Row],[UnitPriceGBP]]</f>
        <v>17.5</v>
      </c>
      <c r="L3623" s="5" t="str">
        <f>TEXT(Store_Record[[#This Row],[Date]],"dddd")</f>
        <v>Wednesday</v>
      </c>
      <c r="M3623" s="5" t="str">
        <f>TEXT(Store_Record[[#This Row],[Date]],"mmmm")</f>
        <v>September</v>
      </c>
      <c r="N3623" s="5">
        <f>YEAR(Store_Record[[#This Row],[Date]])</f>
        <v>2025</v>
      </c>
      <c r="O3623"/>
    </row>
    <row r="3624" spans="1:15" x14ac:dyDescent="0.35">
      <c r="A3624" t="s">
        <v>4617</v>
      </c>
      <c r="B3624" s="2">
        <v>45924</v>
      </c>
      <c r="C3624" t="s">
        <v>36</v>
      </c>
      <c r="D3624" t="s">
        <v>47</v>
      </c>
      <c r="E3624" t="s">
        <v>26</v>
      </c>
      <c r="F3624" t="s">
        <v>13</v>
      </c>
      <c r="G3624">
        <v>5</v>
      </c>
      <c r="H3624">
        <v>3.5</v>
      </c>
      <c r="I3624" t="s">
        <v>21</v>
      </c>
      <c r="J3624" t="s">
        <v>497</v>
      </c>
      <c r="K3624" s="12">
        <f>Store_Record[[#This Row],[Qty]]*Store_Record[[#This Row],[UnitPriceGBP]]</f>
        <v>17.5</v>
      </c>
      <c r="L3624" s="5" t="str">
        <f>TEXT(Store_Record[[#This Row],[Date]],"dddd")</f>
        <v>Wednesday</v>
      </c>
      <c r="M3624" s="5" t="str">
        <f>TEXT(Store_Record[[#This Row],[Date]],"mmmm")</f>
        <v>September</v>
      </c>
      <c r="N3624" s="5">
        <f>YEAR(Store_Record[[#This Row],[Date]])</f>
        <v>2025</v>
      </c>
      <c r="O3624"/>
    </row>
    <row r="3625" spans="1:15" x14ac:dyDescent="0.35">
      <c r="A3625" t="s">
        <v>4603</v>
      </c>
      <c r="B3625" s="2">
        <v>45924</v>
      </c>
      <c r="C3625" t="s">
        <v>24</v>
      </c>
      <c r="D3625" t="s">
        <v>38</v>
      </c>
      <c r="E3625" t="s">
        <v>42</v>
      </c>
      <c r="F3625" t="s">
        <v>13</v>
      </c>
      <c r="G3625">
        <v>4</v>
      </c>
      <c r="H3625">
        <v>3.8</v>
      </c>
      <c r="I3625" t="s">
        <v>14</v>
      </c>
      <c r="J3625" t="s">
        <v>333</v>
      </c>
      <c r="K3625" s="12">
        <f>Store_Record[[#This Row],[Qty]]*Store_Record[[#This Row],[UnitPriceGBP]]</f>
        <v>15.2</v>
      </c>
      <c r="L3625" s="5" t="str">
        <f>TEXT(Store_Record[[#This Row],[Date]],"dddd")</f>
        <v>Wednesday</v>
      </c>
      <c r="M3625" s="5" t="str">
        <f>TEXT(Store_Record[[#This Row],[Date]],"mmmm")</f>
        <v>September</v>
      </c>
      <c r="N3625" s="5">
        <f>YEAR(Store_Record[[#This Row],[Date]])</f>
        <v>2025</v>
      </c>
      <c r="O3625"/>
    </row>
    <row r="3626" spans="1:15" x14ac:dyDescent="0.35">
      <c r="A3626" t="s">
        <v>4607</v>
      </c>
      <c r="B3626" s="2">
        <v>45924</v>
      </c>
      <c r="C3626" t="s">
        <v>10</v>
      </c>
      <c r="D3626" t="s">
        <v>25</v>
      </c>
      <c r="E3626" t="s">
        <v>30</v>
      </c>
      <c r="F3626" t="s">
        <v>31</v>
      </c>
      <c r="G3626">
        <v>5</v>
      </c>
      <c r="H3626">
        <v>2.8</v>
      </c>
      <c r="I3626" t="s">
        <v>39</v>
      </c>
      <c r="J3626" t="s">
        <v>3825</v>
      </c>
      <c r="K3626" s="12">
        <f>Store_Record[[#This Row],[Qty]]*Store_Record[[#This Row],[UnitPriceGBP]]</f>
        <v>14</v>
      </c>
      <c r="L3626" s="5" t="str">
        <f>TEXT(Store_Record[[#This Row],[Date]],"dddd")</f>
        <v>Wednesday</v>
      </c>
      <c r="M3626" s="5" t="str">
        <f>TEXT(Store_Record[[#This Row],[Date]],"mmmm")</f>
        <v>September</v>
      </c>
      <c r="N3626" s="5">
        <f>YEAR(Store_Record[[#This Row],[Date]])</f>
        <v>2025</v>
      </c>
      <c r="O3626"/>
    </row>
    <row r="3627" spans="1:15" x14ac:dyDescent="0.35">
      <c r="A3627" t="s">
        <v>4610</v>
      </c>
      <c r="B3627" s="2">
        <v>45924</v>
      </c>
      <c r="C3627" t="s">
        <v>24</v>
      </c>
      <c r="D3627" t="s">
        <v>11</v>
      </c>
      <c r="E3627" t="s">
        <v>30</v>
      </c>
      <c r="F3627" t="s">
        <v>31</v>
      </c>
      <c r="G3627">
        <v>5</v>
      </c>
      <c r="H3627">
        <v>2.8</v>
      </c>
      <c r="I3627" t="s">
        <v>14</v>
      </c>
      <c r="J3627" t="s">
        <v>2427</v>
      </c>
      <c r="K3627" s="12">
        <f>Store_Record[[#This Row],[Qty]]*Store_Record[[#This Row],[UnitPriceGBP]]</f>
        <v>14</v>
      </c>
      <c r="L3627" s="5" t="str">
        <f>TEXT(Store_Record[[#This Row],[Date]],"dddd")</f>
        <v>Wednesday</v>
      </c>
      <c r="M3627" s="5" t="str">
        <f>TEXT(Store_Record[[#This Row],[Date]],"mmmm")</f>
        <v>September</v>
      </c>
      <c r="N3627" s="5">
        <f>YEAR(Store_Record[[#This Row],[Date]])</f>
        <v>2025</v>
      </c>
      <c r="O3627"/>
    </row>
    <row r="3628" spans="1:15" x14ac:dyDescent="0.35">
      <c r="A3628" t="s">
        <v>4604</v>
      </c>
      <c r="B3628" s="2">
        <v>45924</v>
      </c>
      <c r="C3628" t="s">
        <v>36</v>
      </c>
      <c r="D3628" t="s">
        <v>38</v>
      </c>
      <c r="E3628" t="s">
        <v>42</v>
      </c>
      <c r="F3628" t="s">
        <v>13</v>
      </c>
      <c r="G3628">
        <v>3</v>
      </c>
      <c r="H3628">
        <v>3.8</v>
      </c>
      <c r="I3628" t="s">
        <v>14</v>
      </c>
      <c r="J3628" t="s">
        <v>1168</v>
      </c>
      <c r="K3628" s="12">
        <f>Store_Record[[#This Row],[Qty]]*Store_Record[[#This Row],[UnitPriceGBP]]</f>
        <v>11.399999999999999</v>
      </c>
      <c r="L3628" s="5" t="str">
        <f>TEXT(Store_Record[[#This Row],[Date]],"dddd")</f>
        <v>Wednesday</v>
      </c>
      <c r="M3628" s="5" t="str">
        <f>TEXT(Store_Record[[#This Row],[Date]],"mmmm")</f>
        <v>September</v>
      </c>
      <c r="N3628" s="5">
        <f>YEAR(Store_Record[[#This Row],[Date]])</f>
        <v>2025</v>
      </c>
      <c r="O3628"/>
    </row>
    <row r="3629" spans="1:15" x14ac:dyDescent="0.35">
      <c r="A3629" t="s">
        <v>4612</v>
      </c>
      <c r="B3629" s="2">
        <v>45924</v>
      </c>
      <c r="C3629" t="s">
        <v>20</v>
      </c>
      <c r="D3629" t="s">
        <v>25</v>
      </c>
      <c r="E3629" t="s">
        <v>42</v>
      </c>
      <c r="F3629" t="s">
        <v>13</v>
      </c>
      <c r="G3629">
        <v>3</v>
      </c>
      <c r="H3629">
        <v>3.8</v>
      </c>
      <c r="I3629" t="s">
        <v>14</v>
      </c>
      <c r="J3629" t="s">
        <v>1710</v>
      </c>
      <c r="K3629" s="12">
        <f>Store_Record[[#This Row],[Qty]]*Store_Record[[#This Row],[UnitPriceGBP]]</f>
        <v>11.399999999999999</v>
      </c>
      <c r="L3629" s="5" t="str">
        <f>TEXT(Store_Record[[#This Row],[Date]],"dddd")</f>
        <v>Wednesday</v>
      </c>
      <c r="M3629" s="5" t="str">
        <f>TEXT(Store_Record[[#This Row],[Date]],"mmmm")</f>
        <v>September</v>
      </c>
      <c r="N3629" s="5">
        <f>YEAR(Store_Record[[#This Row],[Date]])</f>
        <v>2025</v>
      </c>
      <c r="O3629"/>
    </row>
    <row r="3630" spans="1:15" x14ac:dyDescent="0.35">
      <c r="A3630" t="s">
        <v>4613</v>
      </c>
      <c r="B3630" s="2">
        <v>45924</v>
      </c>
      <c r="C3630" t="s">
        <v>20</v>
      </c>
      <c r="D3630" t="s">
        <v>47</v>
      </c>
      <c r="E3630" t="s">
        <v>42</v>
      </c>
      <c r="F3630" t="s">
        <v>13</v>
      </c>
      <c r="G3630">
        <v>3</v>
      </c>
      <c r="H3630">
        <v>3.8</v>
      </c>
      <c r="I3630" t="s">
        <v>21</v>
      </c>
      <c r="J3630" t="s">
        <v>607</v>
      </c>
      <c r="K3630" s="12">
        <f>Store_Record[[#This Row],[Qty]]*Store_Record[[#This Row],[UnitPriceGBP]]</f>
        <v>11.399999999999999</v>
      </c>
      <c r="L3630" s="5" t="str">
        <f>TEXT(Store_Record[[#This Row],[Date]],"dddd")</f>
        <v>Wednesday</v>
      </c>
      <c r="M3630" s="5" t="str">
        <f>TEXT(Store_Record[[#This Row],[Date]],"mmmm")</f>
        <v>September</v>
      </c>
      <c r="N3630" s="5">
        <f>YEAR(Store_Record[[#This Row],[Date]])</f>
        <v>2025</v>
      </c>
      <c r="O3630"/>
    </row>
    <row r="3631" spans="1:15" x14ac:dyDescent="0.35">
      <c r="A3631" t="s">
        <v>4614</v>
      </c>
      <c r="B3631" s="2">
        <v>45924</v>
      </c>
      <c r="C3631" t="s">
        <v>36</v>
      </c>
      <c r="D3631" t="s">
        <v>11</v>
      </c>
      <c r="E3631" t="s">
        <v>30</v>
      </c>
      <c r="F3631" t="s">
        <v>31</v>
      </c>
      <c r="G3631">
        <v>4</v>
      </c>
      <c r="H3631">
        <v>2.8</v>
      </c>
      <c r="I3631" t="s">
        <v>21</v>
      </c>
      <c r="J3631" t="s">
        <v>312</v>
      </c>
      <c r="K3631" s="12">
        <f>Store_Record[[#This Row],[Qty]]*Store_Record[[#This Row],[UnitPriceGBP]]</f>
        <v>11.2</v>
      </c>
      <c r="L3631" s="5" t="str">
        <f>TEXT(Store_Record[[#This Row],[Date]],"dddd")</f>
        <v>Wednesday</v>
      </c>
      <c r="M3631" s="5" t="str">
        <f>TEXT(Store_Record[[#This Row],[Date]],"mmmm")</f>
        <v>September</v>
      </c>
      <c r="N3631" s="5">
        <f>YEAR(Store_Record[[#This Row],[Date]])</f>
        <v>2025</v>
      </c>
      <c r="O3631"/>
    </row>
    <row r="3632" spans="1:15" x14ac:dyDescent="0.35">
      <c r="A3632" t="s">
        <v>4598</v>
      </c>
      <c r="B3632" s="2">
        <v>45924</v>
      </c>
      <c r="C3632" t="s">
        <v>10</v>
      </c>
      <c r="D3632" t="s">
        <v>29</v>
      </c>
      <c r="E3632" t="s">
        <v>34</v>
      </c>
      <c r="F3632" t="s">
        <v>31</v>
      </c>
      <c r="G3632">
        <v>5</v>
      </c>
      <c r="H3632">
        <v>2.2000000000000002</v>
      </c>
      <c r="I3632" t="s">
        <v>39</v>
      </c>
      <c r="J3632" t="s">
        <v>1708</v>
      </c>
      <c r="K3632" s="12">
        <f>Store_Record[[#This Row],[Qty]]*Store_Record[[#This Row],[UnitPriceGBP]]</f>
        <v>11</v>
      </c>
      <c r="L3632" s="5" t="str">
        <f>TEXT(Store_Record[[#This Row],[Date]],"dddd")</f>
        <v>Wednesday</v>
      </c>
      <c r="M3632" s="5" t="str">
        <f>TEXT(Store_Record[[#This Row],[Date]],"mmmm")</f>
        <v>September</v>
      </c>
      <c r="N3632" s="5">
        <f>YEAR(Store_Record[[#This Row],[Date]])</f>
        <v>2025</v>
      </c>
      <c r="O3632"/>
    </row>
    <row r="3633" spans="1:15" x14ac:dyDescent="0.35">
      <c r="A3633" t="s">
        <v>4601</v>
      </c>
      <c r="B3633" s="2">
        <v>45924</v>
      </c>
      <c r="C3633" t="s">
        <v>36</v>
      </c>
      <c r="D3633" t="s">
        <v>25</v>
      </c>
      <c r="E3633" t="s">
        <v>34</v>
      </c>
      <c r="F3633" t="s">
        <v>31</v>
      </c>
      <c r="G3633">
        <v>5</v>
      </c>
      <c r="H3633">
        <v>2.2000000000000002</v>
      </c>
      <c r="I3633" t="s">
        <v>39</v>
      </c>
      <c r="J3633" t="s">
        <v>575</v>
      </c>
      <c r="K3633" s="12">
        <f>Store_Record[[#This Row],[Qty]]*Store_Record[[#This Row],[UnitPriceGBP]]</f>
        <v>11</v>
      </c>
      <c r="L3633" s="5" t="str">
        <f>TEXT(Store_Record[[#This Row],[Date]],"dddd")</f>
        <v>Wednesday</v>
      </c>
      <c r="M3633" s="5" t="str">
        <f>TEXT(Store_Record[[#This Row],[Date]],"mmmm")</f>
        <v>September</v>
      </c>
      <c r="N3633" s="5">
        <f>YEAR(Store_Record[[#This Row],[Date]])</f>
        <v>2025</v>
      </c>
      <c r="O3633"/>
    </row>
    <row r="3634" spans="1:15" x14ac:dyDescent="0.35">
      <c r="A3634" t="s">
        <v>4601</v>
      </c>
      <c r="B3634" s="2">
        <v>45924</v>
      </c>
      <c r="C3634" t="s">
        <v>36</v>
      </c>
      <c r="D3634" t="s">
        <v>25</v>
      </c>
      <c r="E3634" t="s">
        <v>34</v>
      </c>
      <c r="F3634" t="s">
        <v>31</v>
      </c>
      <c r="G3634">
        <v>5</v>
      </c>
      <c r="H3634">
        <v>2.2000000000000002</v>
      </c>
      <c r="I3634" t="s">
        <v>21</v>
      </c>
      <c r="J3634" t="s">
        <v>575</v>
      </c>
      <c r="K3634" s="12">
        <f>Store_Record[[#This Row],[Qty]]*Store_Record[[#This Row],[UnitPriceGBP]]</f>
        <v>11</v>
      </c>
      <c r="L3634" s="5" t="str">
        <f>TEXT(Store_Record[[#This Row],[Date]],"dddd")</f>
        <v>Wednesday</v>
      </c>
      <c r="M3634" s="5" t="str">
        <f>TEXT(Store_Record[[#This Row],[Date]],"mmmm")</f>
        <v>September</v>
      </c>
      <c r="N3634" s="5">
        <f>YEAR(Store_Record[[#This Row],[Date]])</f>
        <v>2025</v>
      </c>
      <c r="O3634"/>
    </row>
    <row r="3635" spans="1:15" x14ac:dyDescent="0.35">
      <c r="A3635" t="s">
        <v>4611</v>
      </c>
      <c r="B3635" s="2">
        <v>45924</v>
      </c>
      <c r="C3635" t="s">
        <v>36</v>
      </c>
      <c r="D3635" t="s">
        <v>11</v>
      </c>
      <c r="E3635" t="s">
        <v>26</v>
      </c>
      <c r="F3635" t="s">
        <v>13</v>
      </c>
      <c r="G3635">
        <v>3</v>
      </c>
      <c r="H3635">
        <v>3.5</v>
      </c>
      <c r="I3635" t="s">
        <v>21</v>
      </c>
      <c r="J3635" t="s">
        <v>415</v>
      </c>
      <c r="K3635" s="12">
        <f>Store_Record[[#This Row],[Qty]]*Store_Record[[#This Row],[UnitPriceGBP]]</f>
        <v>10.5</v>
      </c>
      <c r="L3635" s="5" t="str">
        <f>TEXT(Store_Record[[#This Row],[Date]],"dddd")</f>
        <v>Wednesday</v>
      </c>
      <c r="M3635" s="5" t="str">
        <f>TEXT(Store_Record[[#This Row],[Date]],"mmmm")</f>
        <v>September</v>
      </c>
      <c r="N3635" s="5">
        <f>YEAR(Store_Record[[#This Row],[Date]])</f>
        <v>2025</v>
      </c>
      <c r="O3635"/>
    </row>
    <row r="3636" spans="1:15" x14ac:dyDescent="0.35">
      <c r="A3636" t="s">
        <v>4615</v>
      </c>
      <c r="B3636" s="2">
        <v>45924</v>
      </c>
      <c r="C3636" t="s">
        <v>20</v>
      </c>
      <c r="D3636" t="s">
        <v>38</v>
      </c>
      <c r="E3636" t="s">
        <v>34</v>
      </c>
      <c r="F3636" t="s">
        <v>31</v>
      </c>
      <c r="G3636">
        <v>4</v>
      </c>
      <c r="H3636">
        <v>2.2000000000000002</v>
      </c>
      <c r="I3636" t="s">
        <v>21</v>
      </c>
      <c r="J3636" t="s">
        <v>2457</v>
      </c>
      <c r="K3636" s="12">
        <f>Store_Record[[#This Row],[Qty]]*Store_Record[[#This Row],[UnitPriceGBP]]</f>
        <v>8.8000000000000007</v>
      </c>
      <c r="L3636" s="5" t="str">
        <f>TEXT(Store_Record[[#This Row],[Date]],"dddd")</f>
        <v>Wednesday</v>
      </c>
      <c r="M3636" s="5" t="str">
        <f>TEXT(Store_Record[[#This Row],[Date]],"mmmm")</f>
        <v>September</v>
      </c>
      <c r="N3636" s="5">
        <f>YEAR(Store_Record[[#This Row],[Date]])</f>
        <v>2025</v>
      </c>
      <c r="O3636"/>
    </row>
    <row r="3637" spans="1:15" x14ac:dyDescent="0.35">
      <c r="A3637" t="s">
        <v>4600</v>
      </c>
      <c r="B3637" s="2">
        <v>45924</v>
      </c>
      <c r="C3637" t="s">
        <v>10</v>
      </c>
      <c r="D3637" t="s">
        <v>11</v>
      </c>
      <c r="E3637" t="s">
        <v>42</v>
      </c>
      <c r="F3637" t="s">
        <v>13</v>
      </c>
      <c r="G3637">
        <v>2</v>
      </c>
      <c r="H3637">
        <v>3.8</v>
      </c>
      <c r="I3637" t="s">
        <v>21</v>
      </c>
      <c r="J3637" t="s">
        <v>2098</v>
      </c>
      <c r="K3637" s="12">
        <f>Store_Record[[#This Row],[Qty]]*Store_Record[[#This Row],[UnitPriceGBP]]</f>
        <v>7.6</v>
      </c>
      <c r="L3637" s="5" t="str">
        <f>TEXT(Store_Record[[#This Row],[Date]],"dddd")</f>
        <v>Wednesday</v>
      </c>
      <c r="M3637" s="5" t="str">
        <f>TEXT(Store_Record[[#This Row],[Date]],"mmmm")</f>
        <v>September</v>
      </c>
      <c r="N3637" s="5">
        <f>YEAR(Store_Record[[#This Row],[Date]])</f>
        <v>2025</v>
      </c>
      <c r="O3637"/>
    </row>
    <row r="3638" spans="1:15" x14ac:dyDescent="0.35">
      <c r="A3638" t="s">
        <v>4609</v>
      </c>
      <c r="B3638" s="2">
        <v>45924</v>
      </c>
      <c r="C3638" t="s">
        <v>20</v>
      </c>
      <c r="D3638" t="s">
        <v>29</v>
      </c>
      <c r="E3638" t="s">
        <v>26</v>
      </c>
      <c r="F3638" t="s">
        <v>13</v>
      </c>
      <c r="G3638">
        <v>2</v>
      </c>
      <c r="H3638">
        <v>3.5</v>
      </c>
      <c r="I3638" t="s">
        <v>21</v>
      </c>
      <c r="J3638" t="s">
        <v>1639</v>
      </c>
      <c r="K3638" s="12">
        <f>Store_Record[[#This Row],[Qty]]*Store_Record[[#This Row],[UnitPriceGBP]]</f>
        <v>7</v>
      </c>
      <c r="L3638" s="5" t="str">
        <f>TEXT(Store_Record[[#This Row],[Date]],"dddd")</f>
        <v>Wednesday</v>
      </c>
      <c r="M3638" s="5" t="str">
        <f>TEXT(Store_Record[[#This Row],[Date]],"mmmm")</f>
        <v>September</v>
      </c>
      <c r="N3638" s="5">
        <f>YEAR(Store_Record[[#This Row],[Date]])</f>
        <v>2025</v>
      </c>
      <c r="O3638"/>
    </row>
    <row r="3639" spans="1:15" x14ac:dyDescent="0.35">
      <c r="A3639" t="s">
        <v>4606</v>
      </c>
      <c r="B3639" s="2">
        <v>45924</v>
      </c>
      <c r="C3639" t="s">
        <v>36</v>
      </c>
      <c r="D3639" t="s">
        <v>47</v>
      </c>
      <c r="E3639" t="s">
        <v>30</v>
      </c>
      <c r="F3639" t="s">
        <v>31</v>
      </c>
      <c r="G3639">
        <v>2</v>
      </c>
      <c r="H3639">
        <v>2.8</v>
      </c>
      <c r="I3639" t="s">
        <v>14</v>
      </c>
      <c r="J3639" t="s">
        <v>3433</v>
      </c>
      <c r="K3639" s="12">
        <f>Store_Record[[#This Row],[Qty]]*Store_Record[[#This Row],[UnitPriceGBP]]</f>
        <v>5.6</v>
      </c>
      <c r="L3639" s="5" t="str">
        <f>TEXT(Store_Record[[#This Row],[Date]],"dddd")</f>
        <v>Wednesday</v>
      </c>
      <c r="M3639" s="5" t="str">
        <f>TEXT(Store_Record[[#This Row],[Date]],"mmmm")</f>
        <v>September</v>
      </c>
      <c r="N3639" s="5">
        <f>YEAR(Store_Record[[#This Row],[Date]])</f>
        <v>2025</v>
      </c>
      <c r="O3639"/>
    </row>
    <row r="3640" spans="1:15" x14ac:dyDescent="0.35">
      <c r="A3640" t="s">
        <v>4616</v>
      </c>
      <c r="B3640" s="2">
        <v>45924</v>
      </c>
      <c r="C3640" t="s">
        <v>10</v>
      </c>
      <c r="D3640" t="s">
        <v>47</v>
      </c>
      <c r="E3640" t="s">
        <v>42</v>
      </c>
      <c r="F3640" t="s">
        <v>13</v>
      </c>
      <c r="G3640">
        <v>1</v>
      </c>
      <c r="H3640">
        <v>3.8</v>
      </c>
      <c r="I3640" t="s">
        <v>39</v>
      </c>
      <c r="J3640" t="s">
        <v>656</v>
      </c>
      <c r="K3640" s="12">
        <f>Store_Record[[#This Row],[Qty]]*Store_Record[[#This Row],[UnitPriceGBP]]</f>
        <v>3.8</v>
      </c>
      <c r="L3640" s="5" t="str">
        <f>TEXT(Store_Record[[#This Row],[Date]],"dddd")</f>
        <v>Wednesday</v>
      </c>
      <c r="M3640" s="5" t="str">
        <f>TEXT(Store_Record[[#This Row],[Date]],"mmmm")</f>
        <v>September</v>
      </c>
      <c r="N3640" s="5">
        <f>YEAR(Store_Record[[#This Row],[Date]])</f>
        <v>2025</v>
      </c>
      <c r="O3640"/>
    </row>
    <row r="3641" spans="1:15" x14ac:dyDescent="0.35">
      <c r="A3641" t="s">
        <v>4599</v>
      </c>
      <c r="B3641" s="2">
        <v>45924</v>
      </c>
      <c r="C3641" t="s">
        <v>20</v>
      </c>
      <c r="D3641" t="s">
        <v>47</v>
      </c>
      <c r="E3641" t="s">
        <v>26</v>
      </c>
      <c r="F3641" t="s">
        <v>13</v>
      </c>
      <c r="G3641">
        <v>1</v>
      </c>
      <c r="H3641">
        <v>3.5</v>
      </c>
      <c r="I3641" t="s">
        <v>39</v>
      </c>
      <c r="J3641" t="s">
        <v>1676</v>
      </c>
      <c r="K3641" s="12">
        <f>Store_Record[[#This Row],[Qty]]*Store_Record[[#This Row],[UnitPriceGBP]]</f>
        <v>3.5</v>
      </c>
      <c r="L3641" s="5" t="str">
        <f>TEXT(Store_Record[[#This Row],[Date]],"dddd")</f>
        <v>Wednesday</v>
      </c>
      <c r="M3641" s="5" t="str">
        <f>TEXT(Store_Record[[#This Row],[Date]],"mmmm")</f>
        <v>September</v>
      </c>
      <c r="N3641" s="5">
        <f>YEAR(Store_Record[[#This Row],[Date]])</f>
        <v>2025</v>
      </c>
      <c r="O3641"/>
    </row>
    <row r="3642" spans="1:15" x14ac:dyDescent="0.35">
      <c r="A3642" t="s">
        <v>4605</v>
      </c>
      <c r="B3642" s="2">
        <v>45924</v>
      </c>
      <c r="C3642" t="s">
        <v>36</v>
      </c>
      <c r="D3642" t="s">
        <v>11</v>
      </c>
      <c r="E3642" t="s">
        <v>34</v>
      </c>
      <c r="F3642" t="s">
        <v>31</v>
      </c>
      <c r="G3642">
        <v>1</v>
      </c>
      <c r="H3642">
        <v>2.2000000000000002</v>
      </c>
      <c r="I3642" t="s">
        <v>39</v>
      </c>
      <c r="J3642" t="s">
        <v>195</v>
      </c>
      <c r="K3642" s="12">
        <f>Store_Record[[#This Row],[Qty]]*Store_Record[[#This Row],[UnitPriceGBP]]</f>
        <v>2.2000000000000002</v>
      </c>
      <c r="L3642" s="5" t="str">
        <f>TEXT(Store_Record[[#This Row],[Date]],"dddd")</f>
        <v>Wednesday</v>
      </c>
      <c r="M3642" s="5" t="str">
        <f>TEXT(Store_Record[[#This Row],[Date]],"mmmm")</f>
        <v>September</v>
      </c>
      <c r="N3642" s="5">
        <f>YEAR(Store_Record[[#This Row],[Date]])</f>
        <v>2025</v>
      </c>
      <c r="O3642"/>
    </row>
    <row r="3643" spans="1:15" x14ac:dyDescent="0.35">
      <c r="A3643" t="s">
        <v>4623</v>
      </c>
      <c r="B3643" s="2">
        <v>45925</v>
      </c>
      <c r="C3643" t="s">
        <v>10</v>
      </c>
      <c r="D3643" t="s">
        <v>11</v>
      </c>
      <c r="E3643" t="s">
        <v>42</v>
      </c>
      <c r="F3643" t="s">
        <v>13</v>
      </c>
      <c r="G3643">
        <v>5</v>
      </c>
      <c r="H3643">
        <v>3.8</v>
      </c>
      <c r="I3643" t="s">
        <v>21</v>
      </c>
      <c r="J3643" t="s">
        <v>3429</v>
      </c>
      <c r="K3643" s="12">
        <f>Store_Record[[#This Row],[Qty]]*Store_Record[[#This Row],[UnitPriceGBP]]</f>
        <v>19</v>
      </c>
      <c r="L3643" s="5" t="str">
        <f>TEXT(Store_Record[[#This Row],[Date]],"dddd")</f>
        <v>Thursday</v>
      </c>
      <c r="M3643" s="5" t="str">
        <f>TEXT(Store_Record[[#This Row],[Date]],"mmmm")</f>
        <v>September</v>
      </c>
      <c r="N3643" s="5">
        <f>YEAR(Store_Record[[#This Row],[Date]])</f>
        <v>2025</v>
      </c>
      <c r="O3643"/>
    </row>
    <row r="3644" spans="1:15" x14ac:dyDescent="0.35">
      <c r="A3644" t="s">
        <v>4619</v>
      </c>
      <c r="B3644" s="2">
        <v>45925</v>
      </c>
      <c r="C3644" t="s">
        <v>24</v>
      </c>
      <c r="D3644" t="s">
        <v>38</v>
      </c>
      <c r="E3644" t="s">
        <v>12</v>
      </c>
      <c r="F3644" t="s">
        <v>13</v>
      </c>
      <c r="G3644">
        <v>5</v>
      </c>
      <c r="H3644">
        <v>2.5</v>
      </c>
      <c r="I3644" t="s">
        <v>14</v>
      </c>
      <c r="J3644" t="s">
        <v>4620</v>
      </c>
      <c r="K3644" s="12">
        <f>Store_Record[[#This Row],[Qty]]*Store_Record[[#This Row],[UnitPriceGBP]]</f>
        <v>12.5</v>
      </c>
      <c r="L3644" s="5" t="str">
        <f>TEXT(Store_Record[[#This Row],[Date]],"dddd")</f>
        <v>Thursday</v>
      </c>
      <c r="M3644" s="5" t="str">
        <f>TEXT(Store_Record[[#This Row],[Date]],"mmmm")</f>
        <v>September</v>
      </c>
      <c r="N3644" s="5">
        <f>YEAR(Store_Record[[#This Row],[Date]])</f>
        <v>2025</v>
      </c>
      <c r="O3644"/>
    </row>
    <row r="3645" spans="1:15" x14ac:dyDescent="0.35">
      <c r="A3645" t="s">
        <v>4630</v>
      </c>
      <c r="B3645" s="2">
        <v>45925</v>
      </c>
      <c r="C3645" t="s">
        <v>10</v>
      </c>
      <c r="D3645" t="s">
        <v>38</v>
      </c>
      <c r="E3645" t="s">
        <v>34</v>
      </c>
      <c r="F3645" t="s">
        <v>31</v>
      </c>
      <c r="G3645">
        <v>5</v>
      </c>
      <c r="H3645">
        <v>2.2000000000000002</v>
      </c>
      <c r="I3645" t="s">
        <v>39</v>
      </c>
      <c r="J3645" t="s">
        <v>1930</v>
      </c>
      <c r="K3645" s="12">
        <f>Store_Record[[#This Row],[Qty]]*Store_Record[[#This Row],[UnitPriceGBP]]</f>
        <v>11</v>
      </c>
      <c r="L3645" s="5" t="str">
        <f>TEXT(Store_Record[[#This Row],[Date]],"dddd")</f>
        <v>Thursday</v>
      </c>
      <c r="M3645" s="5" t="str">
        <f>TEXT(Store_Record[[#This Row],[Date]],"mmmm")</f>
        <v>September</v>
      </c>
      <c r="N3645" s="5">
        <f>YEAR(Store_Record[[#This Row],[Date]])</f>
        <v>2025</v>
      </c>
      <c r="O3645"/>
    </row>
    <row r="3646" spans="1:15" x14ac:dyDescent="0.35">
      <c r="A3646" t="s">
        <v>4625</v>
      </c>
      <c r="B3646" s="2">
        <v>45925</v>
      </c>
      <c r="C3646" t="s">
        <v>20</v>
      </c>
      <c r="D3646" t="s">
        <v>38</v>
      </c>
      <c r="E3646" t="s">
        <v>30</v>
      </c>
      <c r="F3646" t="s">
        <v>31</v>
      </c>
      <c r="G3646">
        <v>3</v>
      </c>
      <c r="H3646">
        <v>2.8</v>
      </c>
      <c r="I3646" t="s">
        <v>14</v>
      </c>
      <c r="J3646" t="s">
        <v>1912</v>
      </c>
      <c r="K3646" s="12">
        <f>Store_Record[[#This Row],[Qty]]*Store_Record[[#This Row],[UnitPriceGBP]]</f>
        <v>8.3999999999999986</v>
      </c>
      <c r="L3646" s="5" t="str">
        <f>TEXT(Store_Record[[#This Row],[Date]],"dddd")</f>
        <v>Thursday</v>
      </c>
      <c r="M3646" s="5" t="str">
        <f>TEXT(Store_Record[[#This Row],[Date]],"mmmm")</f>
        <v>September</v>
      </c>
      <c r="N3646" s="5">
        <f>YEAR(Store_Record[[#This Row],[Date]])</f>
        <v>2025</v>
      </c>
      <c r="O3646"/>
    </row>
    <row r="3647" spans="1:15" x14ac:dyDescent="0.35">
      <c r="A3647" t="s">
        <v>4627</v>
      </c>
      <c r="B3647" s="2">
        <v>45925</v>
      </c>
      <c r="C3647" t="s">
        <v>20</v>
      </c>
      <c r="D3647" t="s">
        <v>11</v>
      </c>
      <c r="E3647" t="s">
        <v>26</v>
      </c>
      <c r="F3647" t="s">
        <v>13</v>
      </c>
      <c r="G3647">
        <v>2</v>
      </c>
      <c r="H3647">
        <v>3.5</v>
      </c>
      <c r="I3647" t="s">
        <v>21</v>
      </c>
      <c r="J3647" t="s">
        <v>1608</v>
      </c>
      <c r="K3647" s="12">
        <f>Store_Record[[#This Row],[Qty]]*Store_Record[[#This Row],[UnitPriceGBP]]</f>
        <v>7</v>
      </c>
      <c r="L3647" s="5" t="str">
        <f>TEXT(Store_Record[[#This Row],[Date]],"dddd")</f>
        <v>Thursday</v>
      </c>
      <c r="M3647" s="5" t="str">
        <f>TEXT(Store_Record[[#This Row],[Date]],"mmmm")</f>
        <v>September</v>
      </c>
      <c r="N3647" s="5">
        <f>YEAR(Store_Record[[#This Row],[Date]])</f>
        <v>2025</v>
      </c>
      <c r="O3647"/>
    </row>
    <row r="3648" spans="1:15" x14ac:dyDescent="0.35">
      <c r="A3648" t="s">
        <v>4618</v>
      </c>
      <c r="B3648" s="2">
        <v>45925</v>
      </c>
      <c r="C3648" t="s">
        <v>20</v>
      </c>
      <c r="D3648" t="s">
        <v>47</v>
      </c>
      <c r="E3648" t="s">
        <v>34</v>
      </c>
      <c r="F3648" t="s">
        <v>31</v>
      </c>
      <c r="G3648">
        <v>3</v>
      </c>
      <c r="H3648">
        <v>2.2000000000000002</v>
      </c>
      <c r="I3648" t="s">
        <v>39</v>
      </c>
      <c r="J3648" t="s">
        <v>273</v>
      </c>
      <c r="K3648" s="12">
        <f>Store_Record[[#This Row],[Qty]]*Store_Record[[#This Row],[UnitPriceGBP]]</f>
        <v>6.6000000000000005</v>
      </c>
      <c r="L3648" s="5" t="str">
        <f>TEXT(Store_Record[[#This Row],[Date]],"dddd")</f>
        <v>Thursday</v>
      </c>
      <c r="M3648" s="5" t="str">
        <f>TEXT(Store_Record[[#This Row],[Date]],"mmmm")</f>
        <v>September</v>
      </c>
      <c r="N3648" s="5">
        <f>YEAR(Store_Record[[#This Row],[Date]])</f>
        <v>2025</v>
      </c>
      <c r="O3648"/>
    </row>
    <row r="3649" spans="1:15" x14ac:dyDescent="0.35">
      <c r="A3649" t="s">
        <v>4621</v>
      </c>
      <c r="B3649" s="2">
        <v>45925</v>
      </c>
      <c r="C3649" t="s">
        <v>24</v>
      </c>
      <c r="D3649" t="s">
        <v>25</v>
      </c>
      <c r="E3649" t="s">
        <v>34</v>
      </c>
      <c r="F3649" t="s">
        <v>31</v>
      </c>
      <c r="G3649">
        <v>3</v>
      </c>
      <c r="H3649">
        <v>2.2000000000000002</v>
      </c>
      <c r="I3649" t="s">
        <v>21</v>
      </c>
      <c r="J3649" t="s">
        <v>1926</v>
      </c>
      <c r="K3649" s="12">
        <f>Store_Record[[#This Row],[Qty]]*Store_Record[[#This Row],[UnitPriceGBP]]</f>
        <v>6.6000000000000005</v>
      </c>
      <c r="L3649" s="5" t="str">
        <f>TEXT(Store_Record[[#This Row],[Date]],"dddd")</f>
        <v>Thursday</v>
      </c>
      <c r="M3649" s="5" t="str">
        <f>TEXT(Store_Record[[#This Row],[Date]],"mmmm")</f>
        <v>September</v>
      </c>
      <c r="N3649" s="5">
        <f>YEAR(Store_Record[[#This Row],[Date]])</f>
        <v>2025</v>
      </c>
      <c r="O3649"/>
    </row>
    <row r="3650" spans="1:15" x14ac:dyDescent="0.35">
      <c r="A3650" t="s">
        <v>4626</v>
      </c>
      <c r="B3650" s="2">
        <v>45925</v>
      </c>
      <c r="C3650" t="s">
        <v>36</v>
      </c>
      <c r="D3650" t="s">
        <v>11</v>
      </c>
      <c r="E3650" t="s">
        <v>34</v>
      </c>
      <c r="F3650" t="s">
        <v>31</v>
      </c>
      <c r="G3650">
        <v>3</v>
      </c>
      <c r="H3650">
        <v>2.2000000000000002</v>
      </c>
      <c r="I3650" t="s">
        <v>39</v>
      </c>
      <c r="J3650" t="s">
        <v>3383</v>
      </c>
      <c r="K3650" s="12">
        <f>Store_Record[[#This Row],[Qty]]*Store_Record[[#This Row],[UnitPriceGBP]]</f>
        <v>6.6000000000000005</v>
      </c>
      <c r="L3650" s="5" t="str">
        <f>TEXT(Store_Record[[#This Row],[Date]],"dddd")</f>
        <v>Thursday</v>
      </c>
      <c r="M3650" s="5" t="str">
        <f>TEXT(Store_Record[[#This Row],[Date]],"mmmm")</f>
        <v>September</v>
      </c>
      <c r="N3650" s="5">
        <f>YEAR(Store_Record[[#This Row],[Date]])</f>
        <v>2025</v>
      </c>
      <c r="O3650"/>
    </row>
    <row r="3651" spans="1:15" x14ac:dyDescent="0.35">
      <c r="A3651" t="s">
        <v>4622</v>
      </c>
      <c r="B3651" s="2">
        <v>45925</v>
      </c>
      <c r="C3651" t="s">
        <v>10</v>
      </c>
      <c r="D3651" t="s">
        <v>11</v>
      </c>
      <c r="E3651" t="s">
        <v>34</v>
      </c>
      <c r="F3651" t="s">
        <v>31</v>
      </c>
      <c r="G3651">
        <v>2</v>
      </c>
      <c r="H3651">
        <v>2.2000000000000002</v>
      </c>
      <c r="I3651" t="s">
        <v>14</v>
      </c>
      <c r="J3651" t="s">
        <v>771</v>
      </c>
      <c r="K3651" s="12">
        <f>Store_Record[[#This Row],[Qty]]*Store_Record[[#This Row],[UnitPriceGBP]]</f>
        <v>4.4000000000000004</v>
      </c>
      <c r="L3651" s="5" t="str">
        <f>TEXT(Store_Record[[#This Row],[Date]],"dddd")</f>
        <v>Thursday</v>
      </c>
      <c r="M3651" s="5" t="str">
        <f>TEXT(Store_Record[[#This Row],[Date]],"mmmm")</f>
        <v>September</v>
      </c>
      <c r="N3651" s="5">
        <f>YEAR(Store_Record[[#This Row],[Date]])</f>
        <v>2025</v>
      </c>
      <c r="O3651"/>
    </row>
    <row r="3652" spans="1:15" x14ac:dyDescent="0.35">
      <c r="A3652" t="s">
        <v>4624</v>
      </c>
      <c r="B3652" s="2">
        <v>45925</v>
      </c>
      <c r="C3652" t="s">
        <v>24</v>
      </c>
      <c r="D3652" t="s">
        <v>25</v>
      </c>
      <c r="E3652" t="s">
        <v>26</v>
      </c>
      <c r="F3652" t="s">
        <v>13</v>
      </c>
      <c r="G3652">
        <v>1</v>
      </c>
      <c r="H3652">
        <v>3.5</v>
      </c>
      <c r="I3652" t="s">
        <v>14</v>
      </c>
      <c r="J3652" t="s">
        <v>662</v>
      </c>
      <c r="K3652" s="12">
        <f>Store_Record[[#This Row],[Qty]]*Store_Record[[#This Row],[UnitPriceGBP]]</f>
        <v>3.5</v>
      </c>
      <c r="L3652" s="5" t="str">
        <f>TEXT(Store_Record[[#This Row],[Date]],"dddd")</f>
        <v>Thursday</v>
      </c>
      <c r="M3652" s="5" t="str">
        <f>TEXT(Store_Record[[#This Row],[Date]],"mmmm")</f>
        <v>September</v>
      </c>
      <c r="N3652" s="5">
        <f>YEAR(Store_Record[[#This Row],[Date]])</f>
        <v>2025</v>
      </c>
      <c r="O3652"/>
    </row>
    <row r="3653" spans="1:15" x14ac:dyDescent="0.35">
      <c r="A3653" t="s">
        <v>4628</v>
      </c>
      <c r="B3653" s="2">
        <v>45925</v>
      </c>
      <c r="C3653" t="s">
        <v>36</v>
      </c>
      <c r="D3653" t="s">
        <v>25</v>
      </c>
      <c r="E3653" t="s">
        <v>26</v>
      </c>
      <c r="F3653" t="s">
        <v>13</v>
      </c>
      <c r="G3653">
        <v>1</v>
      </c>
      <c r="H3653">
        <v>3.5</v>
      </c>
      <c r="I3653" t="s">
        <v>21</v>
      </c>
      <c r="J3653" t="s">
        <v>1517</v>
      </c>
      <c r="K3653" s="12">
        <f>Store_Record[[#This Row],[Qty]]*Store_Record[[#This Row],[UnitPriceGBP]]</f>
        <v>3.5</v>
      </c>
      <c r="L3653" s="5" t="str">
        <f>TEXT(Store_Record[[#This Row],[Date]],"dddd")</f>
        <v>Thursday</v>
      </c>
      <c r="M3653" s="5" t="str">
        <f>TEXT(Store_Record[[#This Row],[Date]],"mmmm")</f>
        <v>September</v>
      </c>
      <c r="N3653" s="5">
        <f>YEAR(Store_Record[[#This Row],[Date]])</f>
        <v>2025</v>
      </c>
      <c r="O3653"/>
    </row>
    <row r="3654" spans="1:15" x14ac:dyDescent="0.35">
      <c r="A3654" t="s">
        <v>4629</v>
      </c>
      <c r="B3654" s="2">
        <v>45925</v>
      </c>
      <c r="C3654" t="s">
        <v>24</v>
      </c>
      <c r="D3654" t="s">
        <v>38</v>
      </c>
      <c r="E3654" t="s">
        <v>26</v>
      </c>
      <c r="F3654" t="s">
        <v>13</v>
      </c>
      <c r="G3654">
        <v>1</v>
      </c>
      <c r="H3654">
        <v>3.5</v>
      </c>
      <c r="I3654" t="s">
        <v>39</v>
      </c>
      <c r="J3654" t="s">
        <v>1329</v>
      </c>
      <c r="K3654" s="12">
        <f>Store_Record[[#This Row],[Qty]]*Store_Record[[#This Row],[UnitPriceGBP]]</f>
        <v>3.5</v>
      </c>
      <c r="L3654" s="5" t="str">
        <f>TEXT(Store_Record[[#This Row],[Date]],"dddd")</f>
        <v>Thursday</v>
      </c>
      <c r="M3654" s="5" t="str">
        <f>TEXT(Store_Record[[#This Row],[Date]],"mmmm")</f>
        <v>September</v>
      </c>
      <c r="N3654" s="5">
        <f>YEAR(Store_Record[[#This Row],[Date]])</f>
        <v>2025</v>
      </c>
      <c r="O3654"/>
    </row>
    <row r="3655" spans="1:15" x14ac:dyDescent="0.35">
      <c r="A3655" t="s">
        <v>4631</v>
      </c>
      <c r="B3655" s="2">
        <v>45925</v>
      </c>
      <c r="C3655" t="s">
        <v>10</v>
      </c>
      <c r="D3655" t="s">
        <v>38</v>
      </c>
      <c r="E3655" t="s">
        <v>30</v>
      </c>
      <c r="F3655" t="s">
        <v>31</v>
      </c>
      <c r="G3655">
        <v>1</v>
      </c>
      <c r="H3655">
        <v>2.8</v>
      </c>
      <c r="I3655" t="s">
        <v>39</v>
      </c>
      <c r="J3655" t="s">
        <v>1156</v>
      </c>
      <c r="K3655" s="12">
        <f>Store_Record[[#This Row],[Qty]]*Store_Record[[#This Row],[UnitPriceGBP]]</f>
        <v>2.8</v>
      </c>
      <c r="L3655" s="5" t="str">
        <f>TEXT(Store_Record[[#This Row],[Date]],"dddd")</f>
        <v>Thursday</v>
      </c>
      <c r="M3655" s="5" t="str">
        <f>TEXT(Store_Record[[#This Row],[Date]],"mmmm")</f>
        <v>September</v>
      </c>
      <c r="N3655" s="5">
        <f>YEAR(Store_Record[[#This Row],[Date]])</f>
        <v>2025</v>
      </c>
      <c r="O3655"/>
    </row>
    <row r="3656" spans="1:15" x14ac:dyDescent="0.35">
      <c r="A3656" t="s">
        <v>4637</v>
      </c>
      <c r="B3656" s="2">
        <v>45926</v>
      </c>
      <c r="C3656" t="s">
        <v>10</v>
      </c>
      <c r="D3656" t="s">
        <v>47</v>
      </c>
      <c r="E3656" t="s">
        <v>42</v>
      </c>
      <c r="F3656" t="s">
        <v>13</v>
      </c>
      <c r="G3656">
        <v>5</v>
      </c>
      <c r="H3656">
        <v>3.8</v>
      </c>
      <c r="I3656" t="s">
        <v>14</v>
      </c>
      <c r="J3656" t="s">
        <v>2001</v>
      </c>
      <c r="K3656" s="12">
        <f>Store_Record[[#This Row],[Qty]]*Store_Record[[#This Row],[UnitPriceGBP]]</f>
        <v>19</v>
      </c>
      <c r="L3656" s="5" t="str">
        <f>TEXT(Store_Record[[#This Row],[Date]],"dddd")</f>
        <v>Friday</v>
      </c>
      <c r="M3656" s="5" t="str">
        <f>TEXT(Store_Record[[#This Row],[Date]],"mmmm")</f>
        <v>September</v>
      </c>
      <c r="N3656" s="5">
        <f>YEAR(Store_Record[[#This Row],[Date]])</f>
        <v>2025</v>
      </c>
      <c r="O3656"/>
    </row>
    <row r="3657" spans="1:15" x14ac:dyDescent="0.35">
      <c r="A3657" t="s">
        <v>4642</v>
      </c>
      <c r="B3657" s="2">
        <v>45926</v>
      </c>
      <c r="C3657" t="s">
        <v>20</v>
      </c>
      <c r="D3657" t="s">
        <v>25</v>
      </c>
      <c r="E3657" t="s">
        <v>42</v>
      </c>
      <c r="F3657" t="s">
        <v>13</v>
      </c>
      <c r="G3657">
        <v>5</v>
      </c>
      <c r="H3657">
        <v>3.8</v>
      </c>
      <c r="I3657" t="s">
        <v>39</v>
      </c>
      <c r="J3657" t="s">
        <v>262</v>
      </c>
      <c r="K3657" s="12">
        <f>Store_Record[[#This Row],[Qty]]*Store_Record[[#This Row],[UnitPriceGBP]]</f>
        <v>19</v>
      </c>
      <c r="L3657" s="5" t="str">
        <f>TEXT(Store_Record[[#This Row],[Date]],"dddd")</f>
        <v>Friday</v>
      </c>
      <c r="M3657" s="5" t="str">
        <f>TEXT(Store_Record[[#This Row],[Date]],"mmmm")</f>
        <v>September</v>
      </c>
      <c r="N3657" s="5">
        <f>YEAR(Store_Record[[#This Row],[Date]])</f>
        <v>2025</v>
      </c>
      <c r="O3657"/>
    </row>
    <row r="3658" spans="1:15" x14ac:dyDescent="0.35">
      <c r="A3658" t="s">
        <v>4632</v>
      </c>
      <c r="B3658" s="2">
        <v>45926</v>
      </c>
      <c r="C3658" t="s">
        <v>36</v>
      </c>
      <c r="D3658" t="s">
        <v>152</v>
      </c>
      <c r="E3658" t="s">
        <v>26</v>
      </c>
      <c r="F3658" t="s">
        <v>13</v>
      </c>
      <c r="G3658">
        <v>4</v>
      </c>
      <c r="H3658">
        <v>3.5</v>
      </c>
      <c r="I3658" t="s">
        <v>21</v>
      </c>
      <c r="J3658" t="s">
        <v>1852</v>
      </c>
      <c r="K3658" s="12">
        <f>Store_Record[[#This Row],[Qty]]*Store_Record[[#This Row],[UnitPriceGBP]]</f>
        <v>14</v>
      </c>
      <c r="L3658" s="5" t="str">
        <f>TEXT(Store_Record[[#This Row],[Date]],"dddd")</f>
        <v>Friday</v>
      </c>
      <c r="M3658" s="5" t="str">
        <f>TEXT(Store_Record[[#This Row],[Date]],"mmmm")</f>
        <v>September</v>
      </c>
      <c r="N3658" s="5">
        <f>YEAR(Store_Record[[#This Row],[Date]])</f>
        <v>2025</v>
      </c>
      <c r="O3658"/>
    </row>
    <row r="3659" spans="1:15" x14ac:dyDescent="0.35">
      <c r="A3659" t="s">
        <v>4635</v>
      </c>
      <c r="B3659" s="2">
        <v>45926</v>
      </c>
      <c r="C3659" t="s">
        <v>20</v>
      </c>
      <c r="D3659" t="s">
        <v>29</v>
      </c>
      <c r="E3659" t="s">
        <v>30</v>
      </c>
      <c r="F3659" t="s">
        <v>31</v>
      </c>
      <c r="G3659">
        <v>5</v>
      </c>
      <c r="H3659">
        <v>2.8</v>
      </c>
      <c r="I3659" t="s">
        <v>39</v>
      </c>
      <c r="J3659" t="s">
        <v>306</v>
      </c>
      <c r="K3659" s="12">
        <f>Store_Record[[#This Row],[Qty]]*Store_Record[[#This Row],[UnitPriceGBP]]</f>
        <v>14</v>
      </c>
      <c r="L3659" s="5" t="str">
        <f>TEXT(Store_Record[[#This Row],[Date]],"dddd")</f>
        <v>Friday</v>
      </c>
      <c r="M3659" s="5" t="str">
        <f>TEXT(Store_Record[[#This Row],[Date]],"mmmm")</f>
        <v>September</v>
      </c>
      <c r="N3659" s="5">
        <f>YEAR(Store_Record[[#This Row],[Date]])</f>
        <v>2025</v>
      </c>
      <c r="O3659"/>
    </row>
    <row r="3660" spans="1:15" x14ac:dyDescent="0.35">
      <c r="A3660" t="s">
        <v>4634</v>
      </c>
      <c r="B3660" s="2">
        <v>45926</v>
      </c>
      <c r="C3660" t="s">
        <v>36</v>
      </c>
      <c r="D3660" t="s">
        <v>47</v>
      </c>
      <c r="E3660" t="s">
        <v>30</v>
      </c>
      <c r="F3660" t="s">
        <v>31</v>
      </c>
      <c r="G3660">
        <v>4</v>
      </c>
      <c r="H3660">
        <v>2.8</v>
      </c>
      <c r="I3660" t="s">
        <v>21</v>
      </c>
      <c r="J3660" t="s">
        <v>604</v>
      </c>
      <c r="K3660" s="12">
        <f>Store_Record[[#This Row],[Qty]]*Store_Record[[#This Row],[UnitPriceGBP]]</f>
        <v>11.2</v>
      </c>
      <c r="L3660" s="5" t="str">
        <f>TEXT(Store_Record[[#This Row],[Date]],"dddd")</f>
        <v>Friday</v>
      </c>
      <c r="M3660" s="5" t="str">
        <f>TEXT(Store_Record[[#This Row],[Date]],"mmmm")</f>
        <v>September</v>
      </c>
      <c r="N3660" s="5">
        <f>YEAR(Store_Record[[#This Row],[Date]])</f>
        <v>2025</v>
      </c>
      <c r="O3660"/>
    </row>
    <row r="3661" spans="1:15" x14ac:dyDescent="0.35">
      <c r="A3661" t="s">
        <v>4647</v>
      </c>
      <c r="B3661" s="2">
        <v>45926</v>
      </c>
      <c r="C3661" t="s">
        <v>24</v>
      </c>
      <c r="D3661" t="s">
        <v>11</v>
      </c>
      <c r="E3661" t="s">
        <v>34</v>
      </c>
      <c r="F3661" t="s">
        <v>31</v>
      </c>
      <c r="G3661">
        <v>5</v>
      </c>
      <c r="H3661">
        <v>2.2000000000000002</v>
      </c>
      <c r="I3661" t="s">
        <v>14</v>
      </c>
      <c r="J3661" t="s">
        <v>1915</v>
      </c>
      <c r="K3661" s="12">
        <f>Store_Record[[#This Row],[Qty]]*Store_Record[[#This Row],[UnitPriceGBP]]</f>
        <v>11</v>
      </c>
      <c r="L3661" s="5" t="str">
        <f>TEXT(Store_Record[[#This Row],[Date]],"dddd")</f>
        <v>Friday</v>
      </c>
      <c r="M3661" s="5" t="str">
        <f>TEXT(Store_Record[[#This Row],[Date]],"mmmm")</f>
        <v>September</v>
      </c>
      <c r="N3661" s="5">
        <f>YEAR(Store_Record[[#This Row],[Date]])</f>
        <v>2025</v>
      </c>
      <c r="O3661"/>
    </row>
    <row r="3662" spans="1:15" x14ac:dyDescent="0.35">
      <c r="A3662" t="s">
        <v>4638</v>
      </c>
      <c r="B3662" s="2">
        <v>45926</v>
      </c>
      <c r="C3662" t="s">
        <v>36</v>
      </c>
      <c r="D3662" t="s">
        <v>47</v>
      </c>
      <c r="E3662" t="s">
        <v>30</v>
      </c>
      <c r="F3662" t="s">
        <v>31</v>
      </c>
      <c r="G3662">
        <v>3</v>
      </c>
      <c r="H3662">
        <v>2.8</v>
      </c>
      <c r="I3662" t="s">
        <v>14</v>
      </c>
      <c r="J3662" t="s">
        <v>1334</v>
      </c>
      <c r="K3662" s="12">
        <f>Store_Record[[#This Row],[Qty]]*Store_Record[[#This Row],[UnitPriceGBP]]</f>
        <v>8.3999999999999986</v>
      </c>
      <c r="L3662" s="5" t="str">
        <f>TEXT(Store_Record[[#This Row],[Date]],"dddd")</f>
        <v>Friday</v>
      </c>
      <c r="M3662" s="5" t="str">
        <f>TEXT(Store_Record[[#This Row],[Date]],"mmmm")</f>
        <v>September</v>
      </c>
      <c r="N3662" s="5">
        <f>YEAR(Store_Record[[#This Row],[Date]])</f>
        <v>2025</v>
      </c>
      <c r="O3662"/>
    </row>
    <row r="3663" spans="1:15" x14ac:dyDescent="0.35">
      <c r="A3663" t="s">
        <v>4633</v>
      </c>
      <c r="B3663" s="2">
        <v>45926</v>
      </c>
      <c r="C3663" t="s">
        <v>20</v>
      </c>
      <c r="D3663" t="s">
        <v>47</v>
      </c>
      <c r="E3663" t="s">
        <v>42</v>
      </c>
      <c r="F3663" t="s">
        <v>13</v>
      </c>
      <c r="G3663">
        <v>2</v>
      </c>
      <c r="H3663">
        <v>3.8</v>
      </c>
      <c r="I3663" t="s">
        <v>14</v>
      </c>
      <c r="J3663" t="s">
        <v>986</v>
      </c>
      <c r="K3663" s="12">
        <f>Store_Record[[#This Row],[Qty]]*Store_Record[[#This Row],[UnitPriceGBP]]</f>
        <v>7.6</v>
      </c>
      <c r="L3663" s="5" t="str">
        <f>TEXT(Store_Record[[#This Row],[Date]],"dddd")</f>
        <v>Friday</v>
      </c>
      <c r="M3663" s="5" t="str">
        <f>TEXT(Store_Record[[#This Row],[Date]],"mmmm")</f>
        <v>September</v>
      </c>
      <c r="N3663" s="5">
        <f>YEAR(Store_Record[[#This Row],[Date]])</f>
        <v>2025</v>
      </c>
      <c r="O3663"/>
    </row>
    <row r="3664" spans="1:15" x14ac:dyDescent="0.35">
      <c r="A3664" t="s">
        <v>4649</v>
      </c>
      <c r="B3664" s="2">
        <v>45926</v>
      </c>
      <c r="C3664" t="s">
        <v>10</v>
      </c>
      <c r="D3664" t="s">
        <v>25</v>
      </c>
      <c r="E3664" t="s">
        <v>26</v>
      </c>
      <c r="F3664" t="s">
        <v>13</v>
      </c>
      <c r="G3664">
        <v>2</v>
      </c>
      <c r="H3664">
        <v>3.5</v>
      </c>
      <c r="I3664" t="s">
        <v>14</v>
      </c>
      <c r="J3664" t="s">
        <v>1079</v>
      </c>
      <c r="K3664" s="12">
        <f>Store_Record[[#This Row],[Qty]]*Store_Record[[#This Row],[UnitPriceGBP]]</f>
        <v>7</v>
      </c>
      <c r="L3664" s="5" t="str">
        <f>TEXT(Store_Record[[#This Row],[Date]],"dddd")</f>
        <v>Friday</v>
      </c>
      <c r="M3664" s="5" t="str">
        <f>TEXT(Store_Record[[#This Row],[Date]],"mmmm")</f>
        <v>September</v>
      </c>
      <c r="N3664" s="5">
        <f>YEAR(Store_Record[[#This Row],[Date]])</f>
        <v>2025</v>
      </c>
      <c r="O3664"/>
    </row>
    <row r="3665" spans="1:15" x14ac:dyDescent="0.35">
      <c r="A3665" t="s">
        <v>4648</v>
      </c>
      <c r="B3665" s="2">
        <v>45926</v>
      </c>
      <c r="C3665" t="s">
        <v>36</v>
      </c>
      <c r="D3665" t="s">
        <v>11</v>
      </c>
      <c r="E3665" t="s">
        <v>30</v>
      </c>
      <c r="F3665" t="s">
        <v>31</v>
      </c>
      <c r="G3665">
        <v>2</v>
      </c>
      <c r="H3665">
        <v>2.8</v>
      </c>
      <c r="I3665" t="s">
        <v>39</v>
      </c>
      <c r="J3665" t="s">
        <v>1290</v>
      </c>
      <c r="K3665" s="12">
        <f>Store_Record[[#This Row],[Qty]]*Store_Record[[#This Row],[UnitPriceGBP]]</f>
        <v>5.6</v>
      </c>
      <c r="L3665" s="5" t="str">
        <f>TEXT(Store_Record[[#This Row],[Date]],"dddd")</f>
        <v>Friday</v>
      </c>
      <c r="M3665" s="5" t="str">
        <f>TEXT(Store_Record[[#This Row],[Date]],"mmmm")</f>
        <v>September</v>
      </c>
      <c r="N3665" s="5">
        <f>YEAR(Store_Record[[#This Row],[Date]])</f>
        <v>2025</v>
      </c>
      <c r="O3665"/>
    </row>
    <row r="3666" spans="1:15" x14ac:dyDescent="0.35">
      <c r="A3666" t="s">
        <v>4636</v>
      </c>
      <c r="B3666" s="2">
        <v>45926</v>
      </c>
      <c r="C3666" t="s">
        <v>24</v>
      </c>
      <c r="D3666" t="s">
        <v>11</v>
      </c>
      <c r="E3666" t="s">
        <v>12</v>
      </c>
      <c r="F3666" t="s">
        <v>13</v>
      </c>
      <c r="G3666">
        <v>2</v>
      </c>
      <c r="H3666">
        <v>2.5</v>
      </c>
      <c r="I3666" t="s">
        <v>14</v>
      </c>
      <c r="J3666" t="s">
        <v>1280</v>
      </c>
      <c r="K3666" s="12">
        <f>Store_Record[[#This Row],[Qty]]*Store_Record[[#This Row],[UnitPriceGBP]]</f>
        <v>5</v>
      </c>
      <c r="L3666" s="5" t="str">
        <f>TEXT(Store_Record[[#This Row],[Date]],"dddd")</f>
        <v>Friday</v>
      </c>
      <c r="M3666" s="5" t="str">
        <f>TEXT(Store_Record[[#This Row],[Date]],"mmmm")</f>
        <v>September</v>
      </c>
      <c r="N3666" s="5">
        <f>YEAR(Store_Record[[#This Row],[Date]])</f>
        <v>2025</v>
      </c>
      <c r="O3666"/>
    </row>
    <row r="3667" spans="1:15" x14ac:dyDescent="0.35">
      <c r="A3667" t="s">
        <v>4639</v>
      </c>
      <c r="B3667" s="2">
        <v>45926</v>
      </c>
      <c r="C3667" t="s">
        <v>24</v>
      </c>
      <c r="D3667" t="s">
        <v>38</v>
      </c>
      <c r="E3667" t="s">
        <v>26</v>
      </c>
      <c r="F3667" t="s">
        <v>13</v>
      </c>
      <c r="G3667">
        <v>1</v>
      </c>
      <c r="H3667">
        <v>3.5</v>
      </c>
      <c r="I3667" t="s">
        <v>21</v>
      </c>
      <c r="J3667" t="s">
        <v>2150</v>
      </c>
      <c r="K3667" s="12">
        <f>Store_Record[[#This Row],[Qty]]*Store_Record[[#This Row],[UnitPriceGBP]]</f>
        <v>3.5</v>
      </c>
      <c r="L3667" s="5" t="str">
        <f>TEXT(Store_Record[[#This Row],[Date]],"dddd")</f>
        <v>Friday</v>
      </c>
      <c r="M3667" s="5" t="str">
        <f>TEXT(Store_Record[[#This Row],[Date]],"mmmm")</f>
        <v>September</v>
      </c>
      <c r="N3667" s="5">
        <f>YEAR(Store_Record[[#This Row],[Date]])</f>
        <v>2025</v>
      </c>
      <c r="O3667"/>
    </row>
    <row r="3668" spans="1:15" x14ac:dyDescent="0.35">
      <c r="A3668" t="s">
        <v>4643</v>
      </c>
      <c r="B3668" s="2">
        <v>45926</v>
      </c>
      <c r="C3668" t="s">
        <v>24</v>
      </c>
      <c r="D3668" t="s">
        <v>38</v>
      </c>
      <c r="E3668" t="s">
        <v>26</v>
      </c>
      <c r="F3668" t="s">
        <v>13</v>
      </c>
      <c r="G3668">
        <v>1</v>
      </c>
      <c r="H3668">
        <v>3.5</v>
      </c>
      <c r="I3668" t="s">
        <v>21</v>
      </c>
      <c r="J3668" t="s">
        <v>4644</v>
      </c>
      <c r="K3668" s="12">
        <f>Store_Record[[#This Row],[Qty]]*Store_Record[[#This Row],[UnitPriceGBP]]</f>
        <v>3.5</v>
      </c>
      <c r="L3668" s="5" t="str">
        <f>TEXT(Store_Record[[#This Row],[Date]],"dddd")</f>
        <v>Friday</v>
      </c>
      <c r="M3668" s="5" t="str">
        <f>TEXT(Store_Record[[#This Row],[Date]],"mmmm")</f>
        <v>September</v>
      </c>
      <c r="N3668" s="5">
        <f>YEAR(Store_Record[[#This Row],[Date]])</f>
        <v>2025</v>
      </c>
      <c r="O3668"/>
    </row>
    <row r="3669" spans="1:15" x14ac:dyDescent="0.35">
      <c r="A3669" t="s">
        <v>4645</v>
      </c>
      <c r="B3669" s="2">
        <v>45926</v>
      </c>
      <c r="C3669" t="s">
        <v>20</v>
      </c>
      <c r="D3669" t="s">
        <v>25</v>
      </c>
      <c r="E3669" t="s">
        <v>26</v>
      </c>
      <c r="F3669" t="s">
        <v>13</v>
      </c>
      <c r="G3669">
        <v>1</v>
      </c>
      <c r="H3669">
        <v>3.5</v>
      </c>
      <c r="I3669" t="s">
        <v>21</v>
      </c>
      <c r="J3669" t="s">
        <v>1397</v>
      </c>
      <c r="K3669" s="12">
        <f>Store_Record[[#This Row],[Qty]]*Store_Record[[#This Row],[UnitPriceGBP]]</f>
        <v>3.5</v>
      </c>
      <c r="L3669" s="5" t="str">
        <f>TEXT(Store_Record[[#This Row],[Date]],"dddd")</f>
        <v>Friday</v>
      </c>
      <c r="M3669" s="5" t="str">
        <f>TEXT(Store_Record[[#This Row],[Date]],"mmmm")</f>
        <v>September</v>
      </c>
      <c r="N3669" s="5">
        <f>YEAR(Store_Record[[#This Row],[Date]])</f>
        <v>2025</v>
      </c>
      <c r="O3669"/>
    </row>
    <row r="3670" spans="1:15" x14ac:dyDescent="0.35">
      <c r="A3670" t="s">
        <v>4646</v>
      </c>
      <c r="B3670" s="2">
        <v>45926</v>
      </c>
      <c r="C3670" t="s">
        <v>20</v>
      </c>
      <c r="D3670" t="s">
        <v>11</v>
      </c>
      <c r="E3670" t="s">
        <v>26</v>
      </c>
      <c r="F3670" t="s">
        <v>13</v>
      </c>
      <c r="G3670">
        <v>1</v>
      </c>
      <c r="H3670">
        <v>3.5</v>
      </c>
      <c r="I3670" t="s">
        <v>39</v>
      </c>
      <c r="J3670" t="s">
        <v>1564</v>
      </c>
      <c r="K3670" s="12">
        <f>Store_Record[[#This Row],[Qty]]*Store_Record[[#This Row],[UnitPriceGBP]]</f>
        <v>3.5</v>
      </c>
      <c r="L3670" s="5" t="str">
        <f>TEXT(Store_Record[[#This Row],[Date]],"dddd")</f>
        <v>Friday</v>
      </c>
      <c r="M3670" s="5" t="str">
        <f>TEXT(Store_Record[[#This Row],[Date]],"mmmm")</f>
        <v>September</v>
      </c>
      <c r="N3670" s="5">
        <f>YEAR(Store_Record[[#This Row],[Date]])</f>
        <v>2025</v>
      </c>
      <c r="O3670"/>
    </row>
    <row r="3671" spans="1:15" x14ac:dyDescent="0.35">
      <c r="A3671" t="s">
        <v>4640</v>
      </c>
      <c r="B3671" s="2">
        <v>45926</v>
      </c>
      <c r="C3671" t="s">
        <v>10</v>
      </c>
      <c r="D3671" t="s">
        <v>47</v>
      </c>
      <c r="E3671" t="s">
        <v>34</v>
      </c>
      <c r="F3671" t="s">
        <v>31</v>
      </c>
      <c r="G3671">
        <v>1</v>
      </c>
      <c r="H3671">
        <v>2.2000000000000002</v>
      </c>
      <c r="I3671" t="s">
        <v>39</v>
      </c>
      <c r="J3671" t="s">
        <v>4641</v>
      </c>
      <c r="K3671" s="12">
        <f>Store_Record[[#This Row],[Qty]]*Store_Record[[#This Row],[UnitPriceGBP]]</f>
        <v>2.2000000000000002</v>
      </c>
      <c r="L3671" s="5" t="str">
        <f>TEXT(Store_Record[[#This Row],[Date]],"dddd")</f>
        <v>Friday</v>
      </c>
      <c r="M3671" s="5" t="str">
        <f>TEXT(Store_Record[[#This Row],[Date]],"mmmm")</f>
        <v>September</v>
      </c>
      <c r="N3671" s="5">
        <f>YEAR(Store_Record[[#This Row],[Date]])</f>
        <v>2025</v>
      </c>
      <c r="O3671"/>
    </row>
    <row r="3672" spans="1:15" x14ac:dyDescent="0.35">
      <c r="A3672" t="s">
        <v>4654</v>
      </c>
      <c r="B3672" s="2">
        <v>45927</v>
      </c>
      <c r="C3672" t="s">
        <v>10</v>
      </c>
      <c r="D3672" t="s">
        <v>38</v>
      </c>
      <c r="E3672" t="s">
        <v>26</v>
      </c>
      <c r="F3672" t="s">
        <v>13</v>
      </c>
      <c r="G3672">
        <v>5</v>
      </c>
      <c r="H3672">
        <v>3.5</v>
      </c>
      <c r="I3672" t="s">
        <v>39</v>
      </c>
      <c r="J3672" t="s">
        <v>510</v>
      </c>
      <c r="K3672" s="12">
        <f>Store_Record[[#This Row],[Qty]]*Store_Record[[#This Row],[UnitPriceGBP]]</f>
        <v>17.5</v>
      </c>
      <c r="L3672" s="5" t="str">
        <f>TEXT(Store_Record[[#This Row],[Date]],"dddd")</f>
        <v>Saturday</v>
      </c>
      <c r="M3672" s="5" t="str">
        <f>TEXT(Store_Record[[#This Row],[Date]],"mmmm")</f>
        <v>September</v>
      </c>
      <c r="N3672" s="5">
        <f>YEAR(Store_Record[[#This Row],[Date]])</f>
        <v>2025</v>
      </c>
      <c r="O3672"/>
    </row>
    <row r="3673" spans="1:15" x14ac:dyDescent="0.35">
      <c r="A3673" t="s">
        <v>4657</v>
      </c>
      <c r="B3673" s="2">
        <v>45927</v>
      </c>
      <c r="C3673" t="s">
        <v>24</v>
      </c>
      <c r="D3673" t="s">
        <v>38</v>
      </c>
      <c r="E3673" t="s">
        <v>26</v>
      </c>
      <c r="F3673" t="s">
        <v>13</v>
      </c>
      <c r="G3673">
        <v>4</v>
      </c>
      <c r="H3673">
        <v>3.5</v>
      </c>
      <c r="I3673" t="s">
        <v>21</v>
      </c>
      <c r="J3673" t="s">
        <v>476</v>
      </c>
      <c r="K3673" s="12">
        <f>Store_Record[[#This Row],[Qty]]*Store_Record[[#This Row],[UnitPriceGBP]]</f>
        <v>14</v>
      </c>
      <c r="L3673" s="5" t="str">
        <f>TEXT(Store_Record[[#This Row],[Date]],"dddd")</f>
        <v>Saturday</v>
      </c>
      <c r="M3673" s="5" t="str">
        <f>TEXT(Store_Record[[#This Row],[Date]],"mmmm")</f>
        <v>September</v>
      </c>
      <c r="N3673" s="5">
        <f>YEAR(Store_Record[[#This Row],[Date]])</f>
        <v>2025</v>
      </c>
      <c r="O3673"/>
    </row>
    <row r="3674" spans="1:15" x14ac:dyDescent="0.35">
      <c r="A3674" t="s">
        <v>4650</v>
      </c>
      <c r="B3674" s="2">
        <v>45927</v>
      </c>
      <c r="C3674" t="s">
        <v>10</v>
      </c>
      <c r="D3674" t="s">
        <v>25</v>
      </c>
      <c r="E3674" t="s">
        <v>12</v>
      </c>
      <c r="F3674" t="s">
        <v>13</v>
      </c>
      <c r="G3674">
        <v>5</v>
      </c>
      <c r="H3674">
        <v>2.5</v>
      </c>
      <c r="I3674" t="s">
        <v>39</v>
      </c>
      <c r="J3674" t="s">
        <v>1872</v>
      </c>
      <c r="K3674" s="12">
        <f>Store_Record[[#This Row],[Qty]]*Store_Record[[#This Row],[UnitPriceGBP]]</f>
        <v>12.5</v>
      </c>
      <c r="L3674" s="5" t="str">
        <f>TEXT(Store_Record[[#This Row],[Date]],"dddd")</f>
        <v>Saturday</v>
      </c>
      <c r="M3674" s="5" t="str">
        <f>TEXT(Store_Record[[#This Row],[Date]],"mmmm")</f>
        <v>September</v>
      </c>
      <c r="N3674" s="5">
        <f>YEAR(Store_Record[[#This Row],[Date]])</f>
        <v>2025</v>
      </c>
      <c r="O3674"/>
    </row>
    <row r="3675" spans="1:15" x14ac:dyDescent="0.35">
      <c r="A3675" t="s">
        <v>4653</v>
      </c>
      <c r="B3675" s="2">
        <v>45927</v>
      </c>
      <c r="C3675" t="s">
        <v>24</v>
      </c>
      <c r="D3675" t="s">
        <v>29</v>
      </c>
      <c r="E3675" t="s">
        <v>12</v>
      </c>
      <c r="F3675" t="s">
        <v>13</v>
      </c>
      <c r="G3675">
        <v>5</v>
      </c>
      <c r="H3675">
        <v>2.5</v>
      </c>
      <c r="I3675" t="s">
        <v>21</v>
      </c>
      <c r="J3675" t="s">
        <v>1632</v>
      </c>
      <c r="K3675" s="12">
        <f>Store_Record[[#This Row],[Qty]]*Store_Record[[#This Row],[UnitPriceGBP]]</f>
        <v>12.5</v>
      </c>
      <c r="L3675" s="5" t="str">
        <f>TEXT(Store_Record[[#This Row],[Date]],"dddd")</f>
        <v>Saturday</v>
      </c>
      <c r="M3675" s="5" t="str">
        <f>TEXT(Store_Record[[#This Row],[Date]],"mmmm")</f>
        <v>September</v>
      </c>
      <c r="N3675" s="5">
        <f>YEAR(Store_Record[[#This Row],[Date]])</f>
        <v>2025</v>
      </c>
      <c r="O3675"/>
    </row>
    <row r="3676" spans="1:15" x14ac:dyDescent="0.35">
      <c r="A3676" t="s">
        <v>4652</v>
      </c>
      <c r="B3676" s="2">
        <v>45927</v>
      </c>
      <c r="C3676" t="s">
        <v>24</v>
      </c>
      <c r="D3676" t="s">
        <v>38</v>
      </c>
      <c r="E3676" t="s">
        <v>26</v>
      </c>
      <c r="F3676" t="s">
        <v>13</v>
      </c>
      <c r="G3676">
        <v>3</v>
      </c>
      <c r="H3676">
        <v>3.5</v>
      </c>
      <c r="I3676" t="s">
        <v>14</v>
      </c>
      <c r="J3676" t="s">
        <v>824</v>
      </c>
      <c r="K3676" s="12">
        <f>Store_Record[[#This Row],[Qty]]*Store_Record[[#This Row],[UnitPriceGBP]]</f>
        <v>10.5</v>
      </c>
      <c r="L3676" s="5" t="str">
        <f>TEXT(Store_Record[[#This Row],[Date]],"dddd")</f>
        <v>Saturday</v>
      </c>
      <c r="M3676" s="5" t="str">
        <f>TEXT(Store_Record[[#This Row],[Date]],"mmmm")</f>
        <v>September</v>
      </c>
      <c r="N3676" s="5">
        <f>YEAR(Store_Record[[#This Row],[Date]])</f>
        <v>2025</v>
      </c>
      <c r="O3676"/>
    </row>
    <row r="3677" spans="1:15" x14ac:dyDescent="0.35">
      <c r="A3677" t="s">
        <v>4659</v>
      </c>
      <c r="B3677" s="2">
        <v>45927</v>
      </c>
      <c r="C3677" t="s">
        <v>10</v>
      </c>
      <c r="D3677" t="s">
        <v>47</v>
      </c>
      <c r="E3677" t="s">
        <v>26</v>
      </c>
      <c r="F3677" t="s">
        <v>13</v>
      </c>
      <c r="G3677">
        <v>3</v>
      </c>
      <c r="H3677">
        <v>3.5</v>
      </c>
      <c r="I3677" t="s">
        <v>14</v>
      </c>
      <c r="J3677" t="s">
        <v>764</v>
      </c>
      <c r="K3677" s="12">
        <f>Store_Record[[#This Row],[Qty]]*Store_Record[[#This Row],[UnitPriceGBP]]</f>
        <v>10.5</v>
      </c>
      <c r="L3677" s="5" t="str">
        <f>TEXT(Store_Record[[#This Row],[Date]],"dddd")</f>
        <v>Saturday</v>
      </c>
      <c r="M3677" s="5" t="str">
        <f>TEXT(Store_Record[[#This Row],[Date]],"mmmm")</f>
        <v>September</v>
      </c>
      <c r="N3677" s="5">
        <f>YEAR(Store_Record[[#This Row],[Date]])</f>
        <v>2025</v>
      </c>
      <c r="O3677"/>
    </row>
    <row r="3678" spans="1:15" x14ac:dyDescent="0.35">
      <c r="A3678" t="s">
        <v>4656</v>
      </c>
      <c r="B3678" s="2">
        <v>45927</v>
      </c>
      <c r="C3678" t="s">
        <v>24</v>
      </c>
      <c r="D3678" t="s">
        <v>29</v>
      </c>
      <c r="E3678" t="s">
        <v>42</v>
      </c>
      <c r="F3678" t="s">
        <v>13</v>
      </c>
      <c r="G3678">
        <v>2</v>
      </c>
      <c r="H3678">
        <v>3.8</v>
      </c>
      <c r="I3678" t="s">
        <v>39</v>
      </c>
      <c r="J3678" t="s">
        <v>862</v>
      </c>
      <c r="K3678" s="12">
        <f>Store_Record[[#This Row],[Qty]]*Store_Record[[#This Row],[UnitPriceGBP]]</f>
        <v>7.6</v>
      </c>
      <c r="L3678" s="5" t="str">
        <f>TEXT(Store_Record[[#This Row],[Date]],"dddd")</f>
        <v>Saturday</v>
      </c>
      <c r="M3678" s="5" t="str">
        <f>TEXT(Store_Record[[#This Row],[Date]],"mmmm")</f>
        <v>September</v>
      </c>
      <c r="N3678" s="5">
        <f>YEAR(Store_Record[[#This Row],[Date]])</f>
        <v>2025</v>
      </c>
      <c r="O3678"/>
    </row>
    <row r="3679" spans="1:15" x14ac:dyDescent="0.35">
      <c r="A3679" t="s">
        <v>4658</v>
      </c>
      <c r="B3679" s="2">
        <v>45927</v>
      </c>
      <c r="C3679" t="s">
        <v>36</v>
      </c>
      <c r="D3679" t="s">
        <v>38</v>
      </c>
      <c r="E3679" t="s">
        <v>34</v>
      </c>
      <c r="F3679" t="s">
        <v>31</v>
      </c>
      <c r="G3679">
        <v>2</v>
      </c>
      <c r="H3679">
        <v>2.2000000000000002</v>
      </c>
      <c r="I3679" t="s">
        <v>14</v>
      </c>
      <c r="J3679" t="s">
        <v>2818</v>
      </c>
      <c r="K3679" s="12">
        <f>Store_Record[[#This Row],[Qty]]*Store_Record[[#This Row],[UnitPriceGBP]]</f>
        <v>4.4000000000000004</v>
      </c>
      <c r="L3679" s="5" t="str">
        <f>TEXT(Store_Record[[#This Row],[Date]],"dddd")</f>
        <v>Saturday</v>
      </c>
      <c r="M3679" s="5" t="str">
        <f>TEXT(Store_Record[[#This Row],[Date]],"mmmm")</f>
        <v>September</v>
      </c>
      <c r="N3679" s="5">
        <f>YEAR(Store_Record[[#This Row],[Date]])</f>
        <v>2025</v>
      </c>
      <c r="O3679"/>
    </row>
    <row r="3680" spans="1:15" x14ac:dyDescent="0.35">
      <c r="A3680" t="s">
        <v>4655</v>
      </c>
      <c r="B3680" s="2">
        <v>45927</v>
      </c>
      <c r="C3680" t="s">
        <v>20</v>
      </c>
      <c r="D3680" t="s">
        <v>38</v>
      </c>
      <c r="E3680" t="s">
        <v>42</v>
      </c>
      <c r="F3680" t="s">
        <v>13</v>
      </c>
      <c r="G3680">
        <v>1</v>
      </c>
      <c r="H3680">
        <v>3.8</v>
      </c>
      <c r="I3680" t="s">
        <v>39</v>
      </c>
      <c r="J3680" t="s">
        <v>1316</v>
      </c>
      <c r="K3680" s="12">
        <f>Store_Record[[#This Row],[Qty]]*Store_Record[[#This Row],[UnitPriceGBP]]</f>
        <v>3.8</v>
      </c>
      <c r="L3680" s="5" t="str">
        <f>TEXT(Store_Record[[#This Row],[Date]],"dddd")</f>
        <v>Saturday</v>
      </c>
      <c r="M3680" s="5" t="str">
        <f>TEXT(Store_Record[[#This Row],[Date]],"mmmm")</f>
        <v>September</v>
      </c>
      <c r="N3680" s="5">
        <f>YEAR(Store_Record[[#This Row],[Date]])</f>
        <v>2025</v>
      </c>
      <c r="O3680"/>
    </row>
    <row r="3681" spans="1:15" x14ac:dyDescent="0.35">
      <c r="A3681" t="s">
        <v>4651</v>
      </c>
      <c r="B3681" s="2">
        <v>45927</v>
      </c>
      <c r="C3681" t="s">
        <v>36</v>
      </c>
      <c r="D3681" t="s">
        <v>38</v>
      </c>
      <c r="E3681" t="s">
        <v>26</v>
      </c>
      <c r="F3681" t="s">
        <v>13</v>
      </c>
      <c r="G3681">
        <v>1</v>
      </c>
      <c r="H3681">
        <v>3.5</v>
      </c>
      <c r="I3681" t="s">
        <v>14</v>
      </c>
      <c r="J3681" t="s">
        <v>2727</v>
      </c>
      <c r="K3681" s="12">
        <f>Store_Record[[#This Row],[Qty]]*Store_Record[[#This Row],[UnitPriceGBP]]</f>
        <v>3.5</v>
      </c>
      <c r="L3681" s="5" t="str">
        <f>TEXT(Store_Record[[#This Row],[Date]],"dddd")</f>
        <v>Saturday</v>
      </c>
      <c r="M3681" s="5" t="str">
        <f>TEXT(Store_Record[[#This Row],[Date]],"mmmm")</f>
        <v>September</v>
      </c>
      <c r="N3681" s="5">
        <f>YEAR(Store_Record[[#This Row],[Date]])</f>
        <v>2025</v>
      </c>
      <c r="O3681"/>
    </row>
    <row r="3682" spans="1:15" x14ac:dyDescent="0.35">
      <c r="A3682" t="s">
        <v>4669</v>
      </c>
      <c r="B3682" s="2">
        <v>45928</v>
      </c>
      <c r="C3682" t="s">
        <v>36</v>
      </c>
      <c r="D3682" t="s">
        <v>29</v>
      </c>
      <c r="E3682" t="s">
        <v>26</v>
      </c>
      <c r="F3682" t="s">
        <v>13</v>
      </c>
      <c r="G3682">
        <v>5</v>
      </c>
      <c r="H3682">
        <v>3.5</v>
      </c>
      <c r="I3682" t="s">
        <v>14</v>
      </c>
      <c r="J3682" t="s">
        <v>1596</v>
      </c>
      <c r="K3682" s="12">
        <f>Store_Record[[#This Row],[Qty]]*Store_Record[[#This Row],[UnitPriceGBP]]</f>
        <v>17.5</v>
      </c>
      <c r="L3682" s="5" t="str">
        <f>TEXT(Store_Record[[#This Row],[Date]],"dddd")</f>
        <v>Sunday</v>
      </c>
      <c r="M3682" s="5" t="str">
        <f>TEXT(Store_Record[[#This Row],[Date]],"mmmm")</f>
        <v>September</v>
      </c>
      <c r="N3682" s="5">
        <f>YEAR(Store_Record[[#This Row],[Date]])</f>
        <v>2025</v>
      </c>
      <c r="O3682"/>
    </row>
    <row r="3683" spans="1:15" x14ac:dyDescent="0.35">
      <c r="A3683" t="s">
        <v>4666</v>
      </c>
      <c r="B3683" s="2">
        <v>45928</v>
      </c>
      <c r="C3683" t="s">
        <v>36</v>
      </c>
      <c r="D3683" t="s">
        <v>29</v>
      </c>
      <c r="E3683" t="s">
        <v>30</v>
      </c>
      <c r="F3683" t="s">
        <v>31</v>
      </c>
      <c r="G3683">
        <v>5</v>
      </c>
      <c r="H3683">
        <v>2.8</v>
      </c>
      <c r="I3683" t="s">
        <v>21</v>
      </c>
      <c r="J3683" t="s">
        <v>2578</v>
      </c>
      <c r="K3683" s="12">
        <f>Store_Record[[#This Row],[Qty]]*Store_Record[[#This Row],[UnitPriceGBP]]</f>
        <v>14</v>
      </c>
      <c r="L3683" s="5" t="str">
        <f>TEXT(Store_Record[[#This Row],[Date]],"dddd")</f>
        <v>Sunday</v>
      </c>
      <c r="M3683" s="5" t="str">
        <f>TEXT(Store_Record[[#This Row],[Date]],"mmmm")</f>
        <v>September</v>
      </c>
      <c r="N3683" s="5">
        <f>YEAR(Store_Record[[#This Row],[Date]])</f>
        <v>2025</v>
      </c>
      <c r="O3683"/>
    </row>
    <row r="3684" spans="1:15" x14ac:dyDescent="0.35">
      <c r="A3684" t="s">
        <v>4670</v>
      </c>
      <c r="B3684" s="2">
        <v>45928</v>
      </c>
      <c r="C3684" t="s">
        <v>24</v>
      </c>
      <c r="D3684" t="s">
        <v>38</v>
      </c>
      <c r="E3684" t="s">
        <v>26</v>
      </c>
      <c r="F3684" t="s">
        <v>13</v>
      </c>
      <c r="G3684">
        <v>4</v>
      </c>
      <c r="H3684">
        <v>3.5</v>
      </c>
      <c r="I3684" t="s">
        <v>21</v>
      </c>
      <c r="J3684" t="s">
        <v>813</v>
      </c>
      <c r="K3684" s="12">
        <f>Store_Record[[#This Row],[Qty]]*Store_Record[[#This Row],[UnitPriceGBP]]</f>
        <v>14</v>
      </c>
      <c r="L3684" s="5" t="str">
        <f>TEXT(Store_Record[[#This Row],[Date]],"dddd")</f>
        <v>Sunday</v>
      </c>
      <c r="M3684" s="5" t="str">
        <f>TEXT(Store_Record[[#This Row],[Date]],"mmmm")</f>
        <v>September</v>
      </c>
      <c r="N3684" s="5">
        <f>YEAR(Store_Record[[#This Row],[Date]])</f>
        <v>2025</v>
      </c>
      <c r="O3684"/>
    </row>
    <row r="3685" spans="1:15" x14ac:dyDescent="0.35">
      <c r="A3685" t="s">
        <v>4675</v>
      </c>
      <c r="B3685" s="2">
        <v>45928</v>
      </c>
      <c r="C3685" t="s">
        <v>20</v>
      </c>
      <c r="D3685" t="s">
        <v>29</v>
      </c>
      <c r="E3685" t="s">
        <v>26</v>
      </c>
      <c r="F3685" t="s">
        <v>13</v>
      </c>
      <c r="G3685">
        <v>4</v>
      </c>
      <c r="H3685">
        <v>3.5</v>
      </c>
      <c r="I3685" t="s">
        <v>14</v>
      </c>
      <c r="J3685" t="s">
        <v>319</v>
      </c>
      <c r="K3685" s="12">
        <f>Store_Record[[#This Row],[Qty]]*Store_Record[[#This Row],[UnitPriceGBP]]</f>
        <v>14</v>
      </c>
      <c r="L3685" s="5" t="str">
        <f>TEXT(Store_Record[[#This Row],[Date]],"dddd")</f>
        <v>Sunday</v>
      </c>
      <c r="M3685" s="5" t="str">
        <f>TEXT(Store_Record[[#This Row],[Date]],"mmmm")</f>
        <v>September</v>
      </c>
      <c r="N3685" s="5">
        <f>YEAR(Store_Record[[#This Row],[Date]])</f>
        <v>2025</v>
      </c>
      <c r="O3685"/>
    </row>
    <row r="3686" spans="1:15" x14ac:dyDescent="0.35">
      <c r="A3686" t="s">
        <v>4662</v>
      </c>
      <c r="B3686" s="2">
        <v>45928</v>
      </c>
      <c r="C3686" t="s">
        <v>20</v>
      </c>
      <c r="D3686" t="s">
        <v>47</v>
      </c>
      <c r="E3686" t="s">
        <v>30</v>
      </c>
      <c r="F3686" t="s">
        <v>31</v>
      </c>
      <c r="G3686">
        <v>4</v>
      </c>
      <c r="H3686">
        <v>2.8</v>
      </c>
      <c r="I3686" t="s">
        <v>14</v>
      </c>
      <c r="J3686" t="s">
        <v>1462</v>
      </c>
      <c r="K3686" s="12">
        <f>Store_Record[[#This Row],[Qty]]*Store_Record[[#This Row],[UnitPriceGBP]]</f>
        <v>11.2</v>
      </c>
      <c r="L3686" s="5" t="str">
        <f>TEXT(Store_Record[[#This Row],[Date]],"dddd")</f>
        <v>Sunday</v>
      </c>
      <c r="M3686" s="5" t="str">
        <f>TEXT(Store_Record[[#This Row],[Date]],"mmmm")</f>
        <v>September</v>
      </c>
      <c r="N3686" s="5">
        <f>YEAR(Store_Record[[#This Row],[Date]])</f>
        <v>2025</v>
      </c>
      <c r="O3686"/>
    </row>
    <row r="3687" spans="1:15" x14ac:dyDescent="0.35">
      <c r="A3687" t="s">
        <v>4674</v>
      </c>
      <c r="B3687" s="2">
        <v>45928</v>
      </c>
      <c r="C3687" t="s">
        <v>36</v>
      </c>
      <c r="D3687" t="s">
        <v>29</v>
      </c>
      <c r="E3687" t="s">
        <v>34</v>
      </c>
      <c r="F3687" t="s">
        <v>31</v>
      </c>
      <c r="G3687">
        <v>5</v>
      </c>
      <c r="H3687">
        <v>2.2000000000000002</v>
      </c>
      <c r="I3687" t="s">
        <v>21</v>
      </c>
      <c r="J3687" t="s">
        <v>755</v>
      </c>
      <c r="K3687" s="12">
        <f>Store_Record[[#This Row],[Qty]]*Store_Record[[#This Row],[UnitPriceGBP]]</f>
        <v>11</v>
      </c>
      <c r="L3687" s="5" t="str">
        <f>TEXT(Store_Record[[#This Row],[Date]],"dddd")</f>
        <v>Sunday</v>
      </c>
      <c r="M3687" s="5" t="str">
        <f>TEXT(Store_Record[[#This Row],[Date]],"mmmm")</f>
        <v>September</v>
      </c>
      <c r="N3687" s="5">
        <f>YEAR(Store_Record[[#This Row],[Date]])</f>
        <v>2025</v>
      </c>
      <c r="O3687"/>
    </row>
    <row r="3688" spans="1:15" x14ac:dyDescent="0.35">
      <c r="A3688" t="s">
        <v>4664</v>
      </c>
      <c r="B3688" s="2">
        <v>45928</v>
      </c>
      <c r="C3688" t="s">
        <v>24</v>
      </c>
      <c r="D3688" t="s">
        <v>11</v>
      </c>
      <c r="E3688" t="s">
        <v>12</v>
      </c>
      <c r="F3688" t="s">
        <v>13</v>
      </c>
      <c r="G3688">
        <v>4</v>
      </c>
      <c r="H3688">
        <v>2.5</v>
      </c>
      <c r="I3688" t="s">
        <v>14</v>
      </c>
      <c r="J3688" t="s">
        <v>689</v>
      </c>
      <c r="K3688" s="12">
        <f>Store_Record[[#This Row],[Qty]]*Store_Record[[#This Row],[UnitPriceGBP]]</f>
        <v>10</v>
      </c>
      <c r="L3688" s="5" t="str">
        <f>TEXT(Store_Record[[#This Row],[Date]],"dddd")</f>
        <v>Sunday</v>
      </c>
      <c r="M3688" s="5" t="str">
        <f>TEXT(Store_Record[[#This Row],[Date]],"mmmm")</f>
        <v>September</v>
      </c>
      <c r="N3688" s="5">
        <f>YEAR(Store_Record[[#This Row],[Date]])</f>
        <v>2025</v>
      </c>
      <c r="O3688"/>
    </row>
    <row r="3689" spans="1:15" x14ac:dyDescent="0.35">
      <c r="A3689" t="s">
        <v>4668</v>
      </c>
      <c r="B3689" s="2">
        <v>45928</v>
      </c>
      <c r="C3689" t="s">
        <v>10</v>
      </c>
      <c r="D3689" t="s">
        <v>38</v>
      </c>
      <c r="E3689" t="s">
        <v>12</v>
      </c>
      <c r="F3689" t="s">
        <v>13</v>
      </c>
      <c r="G3689">
        <v>4</v>
      </c>
      <c r="H3689">
        <v>2.5</v>
      </c>
      <c r="I3689" t="s">
        <v>39</v>
      </c>
      <c r="J3689" t="s">
        <v>594</v>
      </c>
      <c r="K3689" s="12">
        <f>Store_Record[[#This Row],[Qty]]*Store_Record[[#This Row],[UnitPriceGBP]]</f>
        <v>10</v>
      </c>
      <c r="L3689" s="5" t="str">
        <f>TEXT(Store_Record[[#This Row],[Date]],"dddd")</f>
        <v>Sunday</v>
      </c>
      <c r="M3689" s="5" t="str">
        <f>TEXT(Store_Record[[#This Row],[Date]],"mmmm")</f>
        <v>September</v>
      </c>
      <c r="N3689" s="5">
        <f>YEAR(Store_Record[[#This Row],[Date]])</f>
        <v>2025</v>
      </c>
      <c r="O3689"/>
    </row>
    <row r="3690" spans="1:15" x14ac:dyDescent="0.35">
      <c r="A3690" t="s">
        <v>4661</v>
      </c>
      <c r="B3690" s="2">
        <v>45928</v>
      </c>
      <c r="C3690" t="s">
        <v>36</v>
      </c>
      <c r="D3690" t="s">
        <v>25</v>
      </c>
      <c r="E3690" t="s">
        <v>42</v>
      </c>
      <c r="F3690" t="s">
        <v>13</v>
      </c>
      <c r="G3690">
        <v>2</v>
      </c>
      <c r="H3690">
        <v>3.8</v>
      </c>
      <c r="I3690" t="s">
        <v>21</v>
      </c>
      <c r="J3690" t="s">
        <v>1854</v>
      </c>
      <c r="K3690" s="12">
        <f>Store_Record[[#This Row],[Qty]]*Store_Record[[#This Row],[UnitPriceGBP]]</f>
        <v>7.6</v>
      </c>
      <c r="L3690" s="5" t="str">
        <f>TEXT(Store_Record[[#This Row],[Date]],"dddd")</f>
        <v>Sunday</v>
      </c>
      <c r="M3690" s="5" t="str">
        <f>TEXT(Store_Record[[#This Row],[Date]],"mmmm")</f>
        <v>September</v>
      </c>
      <c r="N3690" s="5">
        <f>YEAR(Store_Record[[#This Row],[Date]])</f>
        <v>2025</v>
      </c>
      <c r="O3690"/>
    </row>
    <row r="3691" spans="1:15" x14ac:dyDescent="0.35">
      <c r="A3691" t="s">
        <v>4667</v>
      </c>
      <c r="B3691" s="2">
        <v>45928</v>
      </c>
      <c r="C3691" t="s">
        <v>20</v>
      </c>
      <c r="D3691" t="s">
        <v>47</v>
      </c>
      <c r="E3691" t="s">
        <v>42</v>
      </c>
      <c r="F3691" t="s">
        <v>13</v>
      </c>
      <c r="G3691">
        <v>2</v>
      </c>
      <c r="H3691">
        <v>3.8</v>
      </c>
      <c r="I3691" t="s">
        <v>39</v>
      </c>
      <c r="J3691" t="s">
        <v>838</v>
      </c>
      <c r="K3691" s="12">
        <f>Store_Record[[#This Row],[Qty]]*Store_Record[[#This Row],[UnitPriceGBP]]</f>
        <v>7.6</v>
      </c>
      <c r="L3691" s="5" t="str">
        <f>TEXT(Store_Record[[#This Row],[Date]],"dddd")</f>
        <v>Sunday</v>
      </c>
      <c r="M3691" s="5" t="str">
        <f>TEXT(Store_Record[[#This Row],[Date]],"mmmm")</f>
        <v>September</v>
      </c>
      <c r="N3691" s="5">
        <f>YEAR(Store_Record[[#This Row],[Date]])</f>
        <v>2025</v>
      </c>
      <c r="O3691"/>
    </row>
    <row r="3692" spans="1:15" x14ac:dyDescent="0.35">
      <c r="A3692" t="s">
        <v>4672</v>
      </c>
      <c r="B3692" s="2">
        <v>45928</v>
      </c>
      <c r="C3692" t="s">
        <v>20</v>
      </c>
      <c r="D3692" t="s">
        <v>47</v>
      </c>
      <c r="E3692" t="s">
        <v>12</v>
      </c>
      <c r="F3692" t="s">
        <v>13</v>
      </c>
      <c r="G3692">
        <v>3</v>
      </c>
      <c r="H3692">
        <v>2.5</v>
      </c>
      <c r="I3692" t="s">
        <v>14</v>
      </c>
      <c r="J3692" t="s">
        <v>474</v>
      </c>
      <c r="K3692" s="12">
        <f>Store_Record[[#This Row],[Qty]]*Store_Record[[#This Row],[UnitPriceGBP]]</f>
        <v>7.5</v>
      </c>
      <c r="L3692" s="5" t="str">
        <f>TEXT(Store_Record[[#This Row],[Date]],"dddd")</f>
        <v>Sunday</v>
      </c>
      <c r="M3692" s="5" t="str">
        <f>TEXT(Store_Record[[#This Row],[Date]],"mmmm")</f>
        <v>September</v>
      </c>
      <c r="N3692" s="5">
        <f>YEAR(Store_Record[[#This Row],[Date]])</f>
        <v>2025</v>
      </c>
      <c r="O3692"/>
    </row>
    <row r="3693" spans="1:15" x14ac:dyDescent="0.35">
      <c r="A3693" t="s">
        <v>4665</v>
      </c>
      <c r="B3693" s="2">
        <v>45928</v>
      </c>
      <c r="C3693" t="s">
        <v>20</v>
      </c>
      <c r="D3693" t="s">
        <v>11</v>
      </c>
      <c r="E3693" t="s">
        <v>34</v>
      </c>
      <c r="F3693" t="s">
        <v>31</v>
      </c>
      <c r="G3693">
        <v>3</v>
      </c>
      <c r="H3693">
        <v>2.2000000000000002</v>
      </c>
      <c r="I3693" t="s">
        <v>14</v>
      </c>
      <c r="J3693" t="s">
        <v>1879</v>
      </c>
      <c r="K3693" s="12">
        <f>Store_Record[[#This Row],[Qty]]*Store_Record[[#This Row],[UnitPriceGBP]]</f>
        <v>6.6000000000000005</v>
      </c>
      <c r="L3693" s="5" t="str">
        <f>TEXT(Store_Record[[#This Row],[Date]],"dddd")</f>
        <v>Sunday</v>
      </c>
      <c r="M3693" s="5" t="str">
        <f>TEXT(Store_Record[[#This Row],[Date]],"mmmm")</f>
        <v>September</v>
      </c>
      <c r="N3693" s="5">
        <f>YEAR(Store_Record[[#This Row],[Date]])</f>
        <v>2025</v>
      </c>
      <c r="O3693"/>
    </row>
    <row r="3694" spans="1:15" x14ac:dyDescent="0.35">
      <c r="A3694" t="s">
        <v>4663</v>
      </c>
      <c r="B3694" s="2">
        <v>45928</v>
      </c>
      <c r="C3694" t="s">
        <v>36</v>
      </c>
      <c r="D3694" t="s">
        <v>11</v>
      </c>
      <c r="E3694" t="s">
        <v>12</v>
      </c>
      <c r="F3694" t="s">
        <v>13</v>
      </c>
      <c r="G3694">
        <v>2</v>
      </c>
      <c r="H3694">
        <v>2.5</v>
      </c>
      <c r="I3694" t="s">
        <v>21</v>
      </c>
      <c r="J3694" t="s">
        <v>2017</v>
      </c>
      <c r="K3694" s="12">
        <f>Store_Record[[#This Row],[Qty]]*Store_Record[[#This Row],[UnitPriceGBP]]</f>
        <v>5</v>
      </c>
      <c r="L3694" s="5" t="str">
        <f>TEXT(Store_Record[[#This Row],[Date]],"dddd")</f>
        <v>Sunday</v>
      </c>
      <c r="M3694" s="5" t="str">
        <f>TEXT(Store_Record[[#This Row],[Date]],"mmmm")</f>
        <v>September</v>
      </c>
      <c r="N3694" s="5">
        <f>YEAR(Store_Record[[#This Row],[Date]])</f>
        <v>2025</v>
      </c>
      <c r="O3694"/>
    </row>
    <row r="3695" spans="1:15" x14ac:dyDescent="0.35">
      <c r="A3695" t="s">
        <v>4671</v>
      </c>
      <c r="B3695" s="2">
        <v>45928</v>
      </c>
      <c r="C3695" t="s">
        <v>20</v>
      </c>
      <c r="D3695" t="s">
        <v>47</v>
      </c>
      <c r="E3695" t="s">
        <v>12</v>
      </c>
      <c r="F3695" t="s">
        <v>13</v>
      </c>
      <c r="G3695">
        <v>2</v>
      </c>
      <c r="H3695">
        <v>2.5</v>
      </c>
      <c r="I3695" t="s">
        <v>14</v>
      </c>
      <c r="J3695" t="s">
        <v>2361</v>
      </c>
      <c r="K3695" s="12">
        <f>Store_Record[[#This Row],[Qty]]*Store_Record[[#This Row],[UnitPriceGBP]]</f>
        <v>5</v>
      </c>
      <c r="L3695" s="5" t="str">
        <f>TEXT(Store_Record[[#This Row],[Date]],"dddd")</f>
        <v>Sunday</v>
      </c>
      <c r="M3695" s="5" t="str">
        <f>TEXT(Store_Record[[#This Row],[Date]],"mmmm")</f>
        <v>September</v>
      </c>
      <c r="N3695" s="5">
        <f>YEAR(Store_Record[[#This Row],[Date]])</f>
        <v>2025</v>
      </c>
      <c r="O3695"/>
    </row>
    <row r="3696" spans="1:15" x14ac:dyDescent="0.35">
      <c r="A3696" t="s">
        <v>4676</v>
      </c>
      <c r="B3696" s="2">
        <v>45928</v>
      </c>
      <c r="C3696" t="s">
        <v>24</v>
      </c>
      <c r="D3696" t="s">
        <v>47</v>
      </c>
      <c r="E3696" t="s">
        <v>12</v>
      </c>
      <c r="F3696" t="s">
        <v>13</v>
      </c>
      <c r="G3696">
        <v>2</v>
      </c>
      <c r="H3696">
        <v>2.5</v>
      </c>
      <c r="I3696" t="s">
        <v>21</v>
      </c>
      <c r="J3696" t="s">
        <v>2352</v>
      </c>
      <c r="K3696" s="12">
        <f>Store_Record[[#This Row],[Qty]]*Store_Record[[#This Row],[UnitPriceGBP]]</f>
        <v>5</v>
      </c>
      <c r="L3696" s="5" t="str">
        <f>TEXT(Store_Record[[#This Row],[Date]],"dddd")</f>
        <v>Sunday</v>
      </c>
      <c r="M3696" s="5" t="str">
        <f>TEXT(Store_Record[[#This Row],[Date]],"mmmm")</f>
        <v>September</v>
      </c>
      <c r="N3696" s="5">
        <f>YEAR(Store_Record[[#This Row],[Date]])</f>
        <v>2025</v>
      </c>
      <c r="O3696"/>
    </row>
    <row r="3697" spans="1:15" x14ac:dyDescent="0.35">
      <c r="A3697" t="s">
        <v>4673</v>
      </c>
      <c r="B3697" s="2">
        <v>45928</v>
      </c>
      <c r="C3697" t="s">
        <v>24</v>
      </c>
      <c r="D3697" t="s">
        <v>47</v>
      </c>
      <c r="E3697" t="s">
        <v>30</v>
      </c>
      <c r="F3697" t="s">
        <v>31</v>
      </c>
      <c r="G3697">
        <v>1</v>
      </c>
      <c r="H3697">
        <v>2.8</v>
      </c>
      <c r="I3697" t="s">
        <v>39</v>
      </c>
      <c r="J3697" t="s">
        <v>1395</v>
      </c>
      <c r="K3697" s="12">
        <f>Store_Record[[#This Row],[Qty]]*Store_Record[[#This Row],[UnitPriceGBP]]</f>
        <v>2.8</v>
      </c>
      <c r="L3697" s="5" t="str">
        <f>TEXT(Store_Record[[#This Row],[Date]],"dddd")</f>
        <v>Sunday</v>
      </c>
      <c r="M3697" s="5" t="str">
        <f>TEXT(Store_Record[[#This Row],[Date]],"mmmm")</f>
        <v>September</v>
      </c>
      <c r="N3697" s="5">
        <f>YEAR(Store_Record[[#This Row],[Date]])</f>
        <v>2025</v>
      </c>
      <c r="O3697"/>
    </row>
    <row r="3698" spans="1:15" x14ac:dyDescent="0.35">
      <c r="A3698" t="s">
        <v>4660</v>
      </c>
      <c r="B3698" s="2">
        <v>45928</v>
      </c>
      <c r="C3698" t="s">
        <v>36</v>
      </c>
      <c r="D3698" t="s">
        <v>47</v>
      </c>
      <c r="E3698" t="s">
        <v>12</v>
      </c>
      <c r="F3698" t="s">
        <v>13</v>
      </c>
      <c r="G3698">
        <v>1</v>
      </c>
      <c r="H3698">
        <v>2.5</v>
      </c>
      <c r="I3698" t="s">
        <v>14</v>
      </c>
      <c r="J3698" t="s">
        <v>2601</v>
      </c>
      <c r="K3698" s="12">
        <f>Store_Record[[#This Row],[Qty]]*Store_Record[[#This Row],[UnitPriceGBP]]</f>
        <v>2.5</v>
      </c>
      <c r="L3698" s="5" t="str">
        <f>TEXT(Store_Record[[#This Row],[Date]],"dddd")</f>
        <v>Sunday</v>
      </c>
      <c r="M3698" s="5" t="str">
        <f>TEXT(Store_Record[[#This Row],[Date]],"mmmm")</f>
        <v>September</v>
      </c>
      <c r="N3698" s="5">
        <f>YEAR(Store_Record[[#This Row],[Date]])</f>
        <v>2025</v>
      </c>
      <c r="O3698"/>
    </row>
    <row r="3699" spans="1:15" x14ac:dyDescent="0.35">
      <c r="A3699" t="s">
        <v>4682</v>
      </c>
      <c r="B3699" s="2">
        <v>45929</v>
      </c>
      <c r="C3699" t="s">
        <v>36</v>
      </c>
      <c r="D3699" t="s">
        <v>11</v>
      </c>
      <c r="E3699" t="s">
        <v>26</v>
      </c>
      <c r="F3699" t="s">
        <v>13</v>
      </c>
      <c r="G3699">
        <v>4</v>
      </c>
      <c r="H3699">
        <v>3.5</v>
      </c>
      <c r="I3699" t="s">
        <v>39</v>
      </c>
      <c r="J3699" t="s">
        <v>703</v>
      </c>
      <c r="K3699" s="12">
        <f>Store_Record[[#This Row],[Qty]]*Store_Record[[#This Row],[UnitPriceGBP]]</f>
        <v>14</v>
      </c>
      <c r="L3699" s="5" t="str">
        <f>TEXT(Store_Record[[#This Row],[Date]],"dddd")</f>
        <v>Monday</v>
      </c>
      <c r="M3699" s="5" t="str">
        <f>TEXT(Store_Record[[#This Row],[Date]],"mmmm")</f>
        <v>September</v>
      </c>
      <c r="N3699" s="5">
        <f>YEAR(Store_Record[[#This Row],[Date]])</f>
        <v>2025</v>
      </c>
      <c r="O3699"/>
    </row>
    <row r="3700" spans="1:15" x14ac:dyDescent="0.35">
      <c r="A3700" t="s">
        <v>4692</v>
      </c>
      <c r="B3700" s="2">
        <v>45929</v>
      </c>
      <c r="C3700" t="s">
        <v>24</v>
      </c>
      <c r="D3700" t="s">
        <v>29</v>
      </c>
      <c r="E3700" t="s">
        <v>42</v>
      </c>
      <c r="F3700" t="s">
        <v>13</v>
      </c>
      <c r="G3700">
        <v>3</v>
      </c>
      <c r="H3700">
        <v>3.8</v>
      </c>
      <c r="I3700" t="s">
        <v>14</v>
      </c>
      <c r="J3700" t="s">
        <v>119</v>
      </c>
      <c r="K3700" s="12">
        <f>Store_Record[[#This Row],[Qty]]*Store_Record[[#This Row],[UnitPriceGBP]]</f>
        <v>11.399999999999999</v>
      </c>
      <c r="L3700" s="5" t="str">
        <f>TEXT(Store_Record[[#This Row],[Date]],"dddd")</f>
        <v>Monday</v>
      </c>
      <c r="M3700" s="5" t="str">
        <f>TEXT(Store_Record[[#This Row],[Date]],"mmmm")</f>
        <v>September</v>
      </c>
      <c r="N3700" s="5">
        <f>YEAR(Store_Record[[#This Row],[Date]])</f>
        <v>2025</v>
      </c>
      <c r="O3700"/>
    </row>
    <row r="3701" spans="1:15" x14ac:dyDescent="0.35">
      <c r="A3701" t="s">
        <v>4687</v>
      </c>
      <c r="B3701" s="2">
        <v>45929</v>
      </c>
      <c r="C3701" t="s">
        <v>24</v>
      </c>
      <c r="D3701" t="s">
        <v>29</v>
      </c>
      <c r="E3701" t="s">
        <v>26</v>
      </c>
      <c r="F3701" t="s">
        <v>13</v>
      </c>
      <c r="G3701">
        <v>3</v>
      </c>
      <c r="H3701">
        <v>3.5</v>
      </c>
      <c r="I3701" t="s">
        <v>21</v>
      </c>
      <c r="J3701" t="s">
        <v>1850</v>
      </c>
      <c r="K3701" s="12">
        <f>Store_Record[[#This Row],[Qty]]*Store_Record[[#This Row],[UnitPriceGBP]]</f>
        <v>10.5</v>
      </c>
      <c r="L3701" s="5" t="str">
        <f>TEXT(Store_Record[[#This Row],[Date]],"dddd")</f>
        <v>Monday</v>
      </c>
      <c r="M3701" s="5" t="str">
        <f>TEXT(Store_Record[[#This Row],[Date]],"mmmm")</f>
        <v>September</v>
      </c>
      <c r="N3701" s="5">
        <f>YEAR(Store_Record[[#This Row],[Date]])</f>
        <v>2025</v>
      </c>
      <c r="O3701"/>
    </row>
    <row r="3702" spans="1:15" x14ac:dyDescent="0.35">
      <c r="A3702" t="s">
        <v>4689</v>
      </c>
      <c r="B3702" s="2">
        <v>45929</v>
      </c>
      <c r="C3702" t="s">
        <v>36</v>
      </c>
      <c r="D3702" t="s">
        <v>47</v>
      </c>
      <c r="E3702" t="s">
        <v>12</v>
      </c>
      <c r="F3702" t="s">
        <v>13</v>
      </c>
      <c r="G3702">
        <v>4</v>
      </c>
      <c r="H3702">
        <v>2.5</v>
      </c>
      <c r="I3702" t="s">
        <v>39</v>
      </c>
      <c r="J3702" t="s">
        <v>585</v>
      </c>
      <c r="K3702" s="12">
        <f>Store_Record[[#This Row],[Qty]]*Store_Record[[#This Row],[UnitPriceGBP]]</f>
        <v>10</v>
      </c>
      <c r="L3702" s="5" t="str">
        <f>TEXT(Store_Record[[#This Row],[Date]],"dddd")</f>
        <v>Monday</v>
      </c>
      <c r="M3702" s="5" t="str">
        <f>TEXT(Store_Record[[#This Row],[Date]],"mmmm")</f>
        <v>September</v>
      </c>
      <c r="N3702" s="5">
        <f>YEAR(Store_Record[[#This Row],[Date]])</f>
        <v>2025</v>
      </c>
      <c r="O3702"/>
    </row>
    <row r="3703" spans="1:15" x14ac:dyDescent="0.35">
      <c r="A3703" t="s">
        <v>4684</v>
      </c>
      <c r="B3703" s="2">
        <v>45929</v>
      </c>
      <c r="C3703" t="s">
        <v>24</v>
      </c>
      <c r="D3703" t="s">
        <v>11</v>
      </c>
      <c r="E3703" t="s">
        <v>34</v>
      </c>
      <c r="F3703" t="s">
        <v>31</v>
      </c>
      <c r="G3703">
        <v>4</v>
      </c>
      <c r="H3703">
        <v>2.2000000000000002</v>
      </c>
      <c r="I3703" t="s">
        <v>21</v>
      </c>
      <c r="J3703" t="s">
        <v>3708</v>
      </c>
      <c r="K3703" s="12">
        <f>Store_Record[[#This Row],[Qty]]*Store_Record[[#This Row],[UnitPriceGBP]]</f>
        <v>8.8000000000000007</v>
      </c>
      <c r="L3703" s="5" t="str">
        <f>TEXT(Store_Record[[#This Row],[Date]],"dddd")</f>
        <v>Monday</v>
      </c>
      <c r="M3703" s="5" t="str">
        <f>TEXT(Store_Record[[#This Row],[Date]],"mmmm")</f>
        <v>September</v>
      </c>
      <c r="N3703" s="5">
        <f>YEAR(Store_Record[[#This Row],[Date]])</f>
        <v>2025</v>
      </c>
      <c r="O3703"/>
    </row>
    <row r="3704" spans="1:15" x14ac:dyDescent="0.35">
      <c r="A3704" t="s">
        <v>4690</v>
      </c>
      <c r="B3704" s="2">
        <v>45929</v>
      </c>
      <c r="C3704" t="s">
        <v>36</v>
      </c>
      <c r="D3704" t="s">
        <v>38</v>
      </c>
      <c r="E3704" t="s">
        <v>34</v>
      </c>
      <c r="F3704" t="s">
        <v>31</v>
      </c>
      <c r="G3704">
        <v>4</v>
      </c>
      <c r="H3704">
        <v>2.2000000000000002</v>
      </c>
      <c r="I3704" t="s">
        <v>14</v>
      </c>
      <c r="J3704" t="s">
        <v>1884</v>
      </c>
      <c r="K3704" s="12">
        <f>Store_Record[[#This Row],[Qty]]*Store_Record[[#This Row],[UnitPriceGBP]]</f>
        <v>8.8000000000000007</v>
      </c>
      <c r="L3704" s="5" t="str">
        <f>TEXT(Store_Record[[#This Row],[Date]],"dddd")</f>
        <v>Monday</v>
      </c>
      <c r="M3704" s="5" t="str">
        <f>TEXT(Store_Record[[#This Row],[Date]],"mmmm")</f>
        <v>September</v>
      </c>
      <c r="N3704" s="5">
        <f>YEAR(Store_Record[[#This Row],[Date]])</f>
        <v>2025</v>
      </c>
      <c r="O3704"/>
    </row>
    <row r="3705" spans="1:15" x14ac:dyDescent="0.35">
      <c r="A3705" t="s">
        <v>4691</v>
      </c>
      <c r="B3705" s="2">
        <v>45929</v>
      </c>
      <c r="C3705" t="s">
        <v>20</v>
      </c>
      <c r="D3705" t="s">
        <v>25</v>
      </c>
      <c r="E3705" t="s">
        <v>30</v>
      </c>
      <c r="F3705" t="s">
        <v>31</v>
      </c>
      <c r="G3705">
        <v>3</v>
      </c>
      <c r="H3705">
        <v>2.8</v>
      </c>
      <c r="I3705" t="s">
        <v>14</v>
      </c>
      <c r="J3705" t="s">
        <v>1526</v>
      </c>
      <c r="K3705" s="12">
        <f>Store_Record[[#This Row],[Qty]]*Store_Record[[#This Row],[UnitPriceGBP]]</f>
        <v>8.3999999999999986</v>
      </c>
      <c r="L3705" s="5" t="str">
        <f>TEXT(Store_Record[[#This Row],[Date]],"dddd")</f>
        <v>Monday</v>
      </c>
      <c r="M3705" s="5" t="str">
        <f>TEXT(Store_Record[[#This Row],[Date]],"mmmm")</f>
        <v>September</v>
      </c>
      <c r="N3705" s="5">
        <f>YEAR(Store_Record[[#This Row],[Date]])</f>
        <v>2025</v>
      </c>
      <c r="O3705"/>
    </row>
    <row r="3706" spans="1:15" x14ac:dyDescent="0.35">
      <c r="A3706" t="s">
        <v>4681</v>
      </c>
      <c r="B3706" s="2">
        <v>45929</v>
      </c>
      <c r="C3706" t="s">
        <v>10</v>
      </c>
      <c r="D3706" t="s">
        <v>25</v>
      </c>
      <c r="E3706" t="s">
        <v>42</v>
      </c>
      <c r="F3706" t="s">
        <v>13</v>
      </c>
      <c r="G3706">
        <v>2</v>
      </c>
      <c r="H3706">
        <v>3.8</v>
      </c>
      <c r="I3706" t="s">
        <v>21</v>
      </c>
      <c r="J3706" t="s">
        <v>1165</v>
      </c>
      <c r="K3706" s="12">
        <f>Store_Record[[#This Row],[Qty]]*Store_Record[[#This Row],[UnitPriceGBP]]</f>
        <v>7.6</v>
      </c>
      <c r="L3706" s="5" t="str">
        <f>TEXT(Store_Record[[#This Row],[Date]],"dddd")</f>
        <v>Monday</v>
      </c>
      <c r="M3706" s="5" t="str">
        <f>TEXT(Store_Record[[#This Row],[Date]],"mmmm")</f>
        <v>September</v>
      </c>
      <c r="N3706" s="5">
        <f>YEAR(Store_Record[[#This Row],[Date]])</f>
        <v>2025</v>
      </c>
      <c r="O3706"/>
    </row>
    <row r="3707" spans="1:15" x14ac:dyDescent="0.35">
      <c r="A3707" t="s">
        <v>4688</v>
      </c>
      <c r="B3707" s="2">
        <v>45929</v>
      </c>
      <c r="C3707" t="s">
        <v>24</v>
      </c>
      <c r="D3707" t="s">
        <v>47</v>
      </c>
      <c r="E3707" t="s">
        <v>42</v>
      </c>
      <c r="F3707" t="s">
        <v>13</v>
      </c>
      <c r="G3707">
        <v>2</v>
      </c>
      <c r="H3707">
        <v>3.8</v>
      </c>
      <c r="I3707" t="s">
        <v>14</v>
      </c>
      <c r="J3707" t="s">
        <v>578</v>
      </c>
      <c r="K3707" s="12">
        <f>Store_Record[[#This Row],[Qty]]*Store_Record[[#This Row],[UnitPriceGBP]]</f>
        <v>7.6</v>
      </c>
      <c r="L3707" s="5" t="str">
        <f>TEXT(Store_Record[[#This Row],[Date]],"dddd")</f>
        <v>Monday</v>
      </c>
      <c r="M3707" s="5" t="str">
        <f>TEXT(Store_Record[[#This Row],[Date]],"mmmm")</f>
        <v>September</v>
      </c>
      <c r="N3707" s="5">
        <f>YEAR(Store_Record[[#This Row],[Date]])</f>
        <v>2025</v>
      </c>
      <c r="O3707"/>
    </row>
    <row r="3708" spans="1:15" x14ac:dyDescent="0.35">
      <c r="A3708" t="s">
        <v>4678</v>
      </c>
      <c r="B3708" s="2">
        <v>45929</v>
      </c>
      <c r="C3708" t="s">
        <v>36</v>
      </c>
      <c r="D3708" t="s">
        <v>47</v>
      </c>
      <c r="E3708" t="s">
        <v>12</v>
      </c>
      <c r="F3708" t="s">
        <v>13</v>
      </c>
      <c r="G3708">
        <v>3</v>
      </c>
      <c r="H3708">
        <v>2.5</v>
      </c>
      <c r="I3708" t="s">
        <v>21</v>
      </c>
      <c r="J3708" t="s">
        <v>1083</v>
      </c>
      <c r="K3708" s="12">
        <f>Store_Record[[#This Row],[Qty]]*Store_Record[[#This Row],[UnitPriceGBP]]</f>
        <v>7.5</v>
      </c>
      <c r="L3708" s="5" t="str">
        <f>TEXT(Store_Record[[#This Row],[Date]],"dddd")</f>
        <v>Monday</v>
      </c>
      <c r="M3708" s="5" t="str">
        <f>TEXT(Store_Record[[#This Row],[Date]],"mmmm")</f>
        <v>September</v>
      </c>
      <c r="N3708" s="5">
        <f>YEAR(Store_Record[[#This Row],[Date]])</f>
        <v>2025</v>
      </c>
      <c r="O3708"/>
    </row>
    <row r="3709" spans="1:15" x14ac:dyDescent="0.35">
      <c r="A3709" t="s">
        <v>4685</v>
      </c>
      <c r="B3709" s="2">
        <v>45929</v>
      </c>
      <c r="C3709" t="s">
        <v>24</v>
      </c>
      <c r="D3709" t="s">
        <v>29</v>
      </c>
      <c r="E3709" t="s">
        <v>26</v>
      </c>
      <c r="F3709" t="s">
        <v>13</v>
      </c>
      <c r="G3709">
        <v>2</v>
      </c>
      <c r="H3709">
        <v>3.5</v>
      </c>
      <c r="I3709" t="s">
        <v>39</v>
      </c>
      <c r="J3709" t="s">
        <v>596</v>
      </c>
      <c r="K3709" s="12">
        <f>Store_Record[[#This Row],[Qty]]*Store_Record[[#This Row],[UnitPriceGBP]]</f>
        <v>7</v>
      </c>
      <c r="L3709" s="5" t="str">
        <f>TEXT(Store_Record[[#This Row],[Date]],"dddd")</f>
        <v>Monday</v>
      </c>
      <c r="M3709" s="5" t="str">
        <f>TEXT(Store_Record[[#This Row],[Date]],"mmmm")</f>
        <v>September</v>
      </c>
      <c r="N3709" s="5">
        <f>YEAR(Store_Record[[#This Row],[Date]])</f>
        <v>2025</v>
      </c>
      <c r="O3709"/>
    </row>
    <row r="3710" spans="1:15" x14ac:dyDescent="0.35">
      <c r="A3710" t="s">
        <v>4680</v>
      </c>
      <c r="B3710" s="2">
        <v>45929</v>
      </c>
      <c r="C3710" t="s">
        <v>24</v>
      </c>
      <c r="D3710" t="s">
        <v>38</v>
      </c>
      <c r="E3710" t="s">
        <v>12</v>
      </c>
      <c r="F3710" t="s">
        <v>13</v>
      </c>
      <c r="G3710">
        <v>2</v>
      </c>
      <c r="H3710">
        <v>2.5</v>
      </c>
      <c r="I3710" t="s">
        <v>14</v>
      </c>
      <c r="J3710" t="s">
        <v>2523</v>
      </c>
      <c r="K3710" s="12">
        <f>Store_Record[[#This Row],[Qty]]*Store_Record[[#This Row],[UnitPriceGBP]]</f>
        <v>5</v>
      </c>
      <c r="L3710" s="5" t="str">
        <f>TEXT(Store_Record[[#This Row],[Date]],"dddd")</f>
        <v>Monday</v>
      </c>
      <c r="M3710" s="5" t="str">
        <f>TEXT(Store_Record[[#This Row],[Date]],"mmmm")</f>
        <v>September</v>
      </c>
      <c r="N3710" s="5">
        <f>YEAR(Store_Record[[#This Row],[Date]])</f>
        <v>2025</v>
      </c>
      <c r="O3710"/>
    </row>
    <row r="3711" spans="1:15" x14ac:dyDescent="0.35">
      <c r="A3711" t="s">
        <v>4686</v>
      </c>
      <c r="B3711" s="2">
        <v>45929</v>
      </c>
      <c r="C3711" t="s">
        <v>20</v>
      </c>
      <c r="D3711" t="s">
        <v>47</v>
      </c>
      <c r="E3711" t="s">
        <v>42</v>
      </c>
      <c r="F3711" t="s">
        <v>13</v>
      </c>
      <c r="G3711">
        <v>1</v>
      </c>
      <c r="H3711">
        <v>3.8</v>
      </c>
      <c r="I3711" t="s">
        <v>39</v>
      </c>
      <c r="J3711" t="s">
        <v>1718</v>
      </c>
      <c r="K3711" s="12">
        <f>Store_Record[[#This Row],[Qty]]*Store_Record[[#This Row],[UnitPriceGBP]]</f>
        <v>3.8</v>
      </c>
      <c r="L3711" s="5" t="str">
        <f>TEXT(Store_Record[[#This Row],[Date]],"dddd")</f>
        <v>Monday</v>
      </c>
      <c r="M3711" s="5" t="str">
        <f>TEXT(Store_Record[[#This Row],[Date]],"mmmm")</f>
        <v>September</v>
      </c>
      <c r="N3711" s="5">
        <f>YEAR(Store_Record[[#This Row],[Date]])</f>
        <v>2025</v>
      </c>
      <c r="O3711"/>
    </row>
    <row r="3712" spans="1:15" x14ac:dyDescent="0.35">
      <c r="A3712" t="s">
        <v>4679</v>
      </c>
      <c r="B3712" s="2">
        <v>45929</v>
      </c>
      <c r="C3712" t="s">
        <v>10</v>
      </c>
      <c r="D3712" t="s">
        <v>25</v>
      </c>
      <c r="E3712" t="s">
        <v>12</v>
      </c>
      <c r="F3712" t="s">
        <v>13</v>
      </c>
      <c r="G3712">
        <v>1</v>
      </c>
      <c r="H3712">
        <v>2.5</v>
      </c>
      <c r="I3712" t="s">
        <v>39</v>
      </c>
      <c r="J3712" t="s">
        <v>1795</v>
      </c>
      <c r="K3712" s="12">
        <f>Store_Record[[#This Row],[Qty]]*Store_Record[[#This Row],[UnitPriceGBP]]</f>
        <v>2.5</v>
      </c>
      <c r="L3712" s="5" t="str">
        <f>TEXT(Store_Record[[#This Row],[Date]],"dddd")</f>
        <v>Monday</v>
      </c>
      <c r="M3712" s="5" t="str">
        <f>TEXT(Store_Record[[#This Row],[Date]],"mmmm")</f>
        <v>September</v>
      </c>
      <c r="N3712" s="5">
        <f>YEAR(Store_Record[[#This Row],[Date]])</f>
        <v>2025</v>
      </c>
      <c r="O3712"/>
    </row>
    <row r="3713" spans="1:15" x14ac:dyDescent="0.35">
      <c r="A3713" t="s">
        <v>4683</v>
      </c>
      <c r="B3713" s="2">
        <v>45929</v>
      </c>
      <c r="C3713" t="s">
        <v>10</v>
      </c>
      <c r="D3713" t="s">
        <v>38</v>
      </c>
      <c r="E3713" t="s">
        <v>12</v>
      </c>
      <c r="F3713" t="s">
        <v>13</v>
      </c>
      <c r="G3713">
        <v>1</v>
      </c>
      <c r="H3713">
        <v>2.5</v>
      </c>
      <c r="I3713" t="s">
        <v>39</v>
      </c>
      <c r="J3713" t="s">
        <v>1753</v>
      </c>
      <c r="K3713" s="12">
        <f>Store_Record[[#This Row],[Qty]]*Store_Record[[#This Row],[UnitPriceGBP]]</f>
        <v>2.5</v>
      </c>
      <c r="L3713" s="5" t="str">
        <f>TEXT(Store_Record[[#This Row],[Date]],"dddd")</f>
        <v>Monday</v>
      </c>
      <c r="M3713" s="5" t="str">
        <f>TEXT(Store_Record[[#This Row],[Date]],"mmmm")</f>
        <v>September</v>
      </c>
      <c r="N3713" s="5">
        <f>YEAR(Store_Record[[#This Row],[Date]])</f>
        <v>2025</v>
      </c>
      <c r="O3713"/>
    </row>
    <row r="3714" spans="1:15" x14ac:dyDescent="0.35">
      <c r="A3714" t="s">
        <v>4677</v>
      </c>
      <c r="B3714" s="2">
        <v>45929</v>
      </c>
      <c r="C3714" t="s">
        <v>10</v>
      </c>
      <c r="D3714" t="s">
        <v>25</v>
      </c>
      <c r="E3714" t="s">
        <v>34</v>
      </c>
      <c r="F3714" t="s">
        <v>31</v>
      </c>
      <c r="G3714">
        <v>1</v>
      </c>
      <c r="H3714">
        <v>2.2000000000000002</v>
      </c>
      <c r="I3714" t="s">
        <v>14</v>
      </c>
      <c r="J3714" t="s">
        <v>980</v>
      </c>
      <c r="K3714" s="12">
        <f>Store_Record[[#This Row],[Qty]]*Store_Record[[#This Row],[UnitPriceGBP]]</f>
        <v>2.2000000000000002</v>
      </c>
      <c r="L3714" s="5" t="str">
        <f>TEXT(Store_Record[[#This Row],[Date]],"dddd")</f>
        <v>Monday</v>
      </c>
      <c r="M3714" s="5" t="str">
        <f>TEXT(Store_Record[[#This Row],[Date]],"mmmm")</f>
        <v>September</v>
      </c>
      <c r="N3714" s="5">
        <f>YEAR(Store_Record[[#This Row],[Date]])</f>
        <v>2025</v>
      </c>
      <c r="O3714"/>
    </row>
    <row r="3715" spans="1:15" x14ac:dyDescent="0.35">
      <c r="A3715" t="s">
        <v>4693</v>
      </c>
      <c r="B3715" s="2">
        <v>45929</v>
      </c>
      <c r="C3715" t="s">
        <v>10</v>
      </c>
      <c r="D3715" t="s">
        <v>11</v>
      </c>
      <c r="E3715" t="s">
        <v>34</v>
      </c>
      <c r="F3715" t="s">
        <v>31</v>
      </c>
      <c r="G3715">
        <v>1</v>
      </c>
      <c r="H3715">
        <v>2.2000000000000002</v>
      </c>
      <c r="I3715" t="s">
        <v>39</v>
      </c>
      <c r="J3715" t="s">
        <v>1132</v>
      </c>
      <c r="K3715" s="12">
        <f>Store_Record[[#This Row],[Qty]]*Store_Record[[#This Row],[UnitPriceGBP]]</f>
        <v>2.2000000000000002</v>
      </c>
      <c r="L3715" s="5" t="str">
        <f>TEXT(Store_Record[[#This Row],[Date]],"dddd")</f>
        <v>Monday</v>
      </c>
      <c r="M3715" s="5" t="str">
        <f>TEXT(Store_Record[[#This Row],[Date]],"mmmm")</f>
        <v>September</v>
      </c>
      <c r="N3715" s="5">
        <f>YEAR(Store_Record[[#This Row],[Date]])</f>
        <v>2025</v>
      </c>
      <c r="O3715"/>
    </row>
    <row r="3716" spans="1:15" x14ac:dyDescent="0.35">
      <c r="A3716" t="s">
        <v>4694</v>
      </c>
      <c r="B3716" s="2">
        <v>45930</v>
      </c>
      <c r="C3716" t="s">
        <v>20</v>
      </c>
      <c r="D3716" t="s">
        <v>29</v>
      </c>
      <c r="E3716" t="s">
        <v>42</v>
      </c>
      <c r="F3716" t="s">
        <v>13</v>
      </c>
      <c r="G3716">
        <v>5</v>
      </c>
      <c r="H3716">
        <v>3.8</v>
      </c>
      <c r="I3716" t="s">
        <v>39</v>
      </c>
      <c r="J3716" t="s">
        <v>3072</v>
      </c>
      <c r="K3716" s="12">
        <f>Store_Record[[#This Row],[Qty]]*Store_Record[[#This Row],[UnitPriceGBP]]</f>
        <v>19</v>
      </c>
      <c r="L3716" s="5" t="str">
        <f>TEXT(Store_Record[[#This Row],[Date]],"dddd")</f>
        <v>Tuesday</v>
      </c>
      <c r="M3716" s="5" t="str">
        <f>TEXT(Store_Record[[#This Row],[Date]],"mmmm")</f>
        <v>September</v>
      </c>
      <c r="N3716" s="5">
        <f>YEAR(Store_Record[[#This Row],[Date]])</f>
        <v>2025</v>
      </c>
      <c r="O3716"/>
    </row>
    <row r="3717" spans="1:15" x14ac:dyDescent="0.35">
      <c r="A3717" t="s">
        <v>4698</v>
      </c>
      <c r="B3717" s="2">
        <v>45930</v>
      </c>
      <c r="C3717" t="s">
        <v>20</v>
      </c>
      <c r="D3717" t="s">
        <v>38</v>
      </c>
      <c r="E3717" t="s">
        <v>42</v>
      </c>
      <c r="F3717" t="s">
        <v>13</v>
      </c>
      <c r="G3717">
        <v>5</v>
      </c>
      <c r="H3717">
        <v>3.8</v>
      </c>
      <c r="I3717" t="s">
        <v>14</v>
      </c>
      <c r="J3717" t="s">
        <v>743</v>
      </c>
      <c r="K3717" s="12">
        <f>Store_Record[[#This Row],[Qty]]*Store_Record[[#This Row],[UnitPriceGBP]]</f>
        <v>19</v>
      </c>
      <c r="L3717" s="5" t="str">
        <f>TEXT(Store_Record[[#This Row],[Date]],"dddd")</f>
        <v>Tuesday</v>
      </c>
      <c r="M3717" s="5" t="str">
        <f>TEXT(Store_Record[[#This Row],[Date]],"mmmm")</f>
        <v>September</v>
      </c>
      <c r="N3717" s="5">
        <f>YEAR(Store_Record[[#This Row],[Date]])</f>
        <v>2025</v>
      </c>
      <c r="O3717"/>
    </row>
    <row r="3718" spans="1:15" x14ac:dyDescent="0.35">
      <c r="A3718" t="s">
        <v>4703</v>
      </c>
      <c r="B3718" s="2">
        <v>45930</v>
      </c>
      <c r="C3718" t="s">
        <v>24</v>
      </c>
      <c r="D3718" t="s">
        <v>11</v>
      </c>
      <c r="E3718" t="s">
        <v>30</v>
      </c>
      <c r="F3718" t="s">
        <v>31</v>
      </c>
      <c r="G3718">
        <v>4</v>
      </c>
      <c r="H3718">
        <v>2.8</v>
      </c>
      <c r="I3718" t="s">
        <v>21</v>
      </c>
      <c r="J3718" t="s">
        <v>95</v>
      </c>
      <c r="K3718" s="12">
        <f>Store_Record[[#This Row],[Qty]]*Store_Record[[#This Row],[UnitPriceGBP]]</f>
        <v>11.2</v>
      </c>
      <c r="L3718" s="5" t="str">
        <f>TEXT(Store_Record[[#This Row],[Date]],"dddd")</f>
        <v>Tuesday</v>
      </c>
      <c r="M3718" s="5" t="str">
        <f>TEXT(Store_Record[[#This Row],[Date]],"mmmm")</f>
        <v>September</v>
      </c>
      <c r="N3718" s="5">
        <f>YEAR(Store_Record[[#This Row],[Date]])</f>
        <v>2025</v>
      </c>
      <c r="O3718"/>
    </row>
    <row r="3719" spans="1:15" x14ac:dyDescent="0.35">
      <c r="A3719" t="s">
        <v>4697</v>
      </c>
      <c r="B3719" s="2">
        <v>45930</v>
      </c>
      <c r="C3719" t="s">
        <v>20</v>
      </c>
      <c r="D3719" t="s">
        <v>25</v>
      </c>
      <c r="E3719" t="s">
        <v>26</v>
      </c>
      <c r="F3719" t="s">
        <v>13</v>
      </c>
      <c r="G3719">
        <v>3</v>
      </c>
      <c r="H3719">
        <v>3.5</v>
      </c>
      <c r="I3719" t="s">
        <v>39</v>
      </c>
      <c r="J3719" t="s">
        <v>2013</v>
      </c>
      <c r="K3719" s="12">
        <f>Store_Record[[#This Row],[Qty]]*Store_Record[[#This Row],[UnitPriceGBP]]</f>
        <v>10.5</v>
      </c>
      <c r="L3719" s="5" t="str">
        <f>TEXT(Store_Record[[#This Row],[Date]],"dddd")</f>
        <v>Tuesday</v>
      </c>
      <c r="M3719" s="5" t="str">
        <f>TEXT(Store_Record[[#This Row],[Date]],"mmmm")</f>
        <v>September</v>
      </c>
      <c r="N3719" s="5">
        <f>YEAR(Store_Record[[#This Row],[Date]])</f>
        <v>2025</v>
      </c>
      <c r="O3719"/>
    </row>
    <row r="3720" spans="1:15" x14ac:dyDescent="0.35">
      <c r="A3720" t="s">
        <v>4700</v>
      </c>
      <c r="B3720" s="2">
        <v>45930</v>
      </c>
      <c r="C3720" t="s">
        <v>24</v>
      </c>
      <c r="D3720" t="s">
        <v>25</v>
      </c>
      <c r="E3720" t="s">
        <v>26</v>
      </c>
      <c r="F3720" t="s">
        <v>13</v>
      </c>
      <c r="G3720">
        <v>3</v>
      </c>
      <c r="H3720">
        <v>3.5</v>
      </c>
      <c r="I3720" t="s">
        <v>21</v>
      </c>
      <c r="J3720" t="s">
        <v>4701</v>
      </c>
      <c r="K3720" s="12">
        <f>Store_Record[[#This Row],[Qty]]*Store_Record[[#This Row],[UnitPriceGBP]]</f>
        <v>10.5</v>
      </c>
      <c r="L3720" s="5" t="str">
        <f>TEXT(Store_Record[[#This Row],[Date]],"dddd")</f>
        <v>Tuesday</v>
      </c>
      <c r="M3720" s="5" t="str">
        <f>TEXT(Store_Record[[#This Row],[Date]],"mmmm")</f>
        <v>September</v>
      </c>
      <c r="N3720" s="5">
        <f>YEAR(Store_Record[[#This Row],[Date]])</f>
        <v>2025</v>
      </c>
      <c r="O3720"/>
    </row>
    <row r="3721" spans="1:15" x14ac:dyDescent="0.35">
      <c r="A3721" t="s">
        <v>4696</v>
      </c>
      <c r="B3721" s="2">
        <v>45930</v>
      </c>
      <c r="C3721" t="s">
        <v>36</v>
      </c>
      <c r="D3721" t="s">
        <v>47</v>
      </c>
      <c r="E3721" t="s">
        <v>26</v>
      </c>
      <c r="F3721" t="s">
        <v>13</v>
      </c>
      <c r="G3721">
        <v>2</v>
      </c>
      <c r="H3721">
        <v>3.5</v>
      </c>
      <c r="I3721" t="s">
        <v>21</v>
      </c>
      <c r="J3721" t="s">
        <v>1393</v>
      </c>
      <c r="K3721" s="12">
        <f>Store_Record[[#This Row],[Qty]]*Store_Record[[#This Row],[UnitPriceGBP]]</f>
        <v>7</v>
      </c>
      <c r="L3721" s="5" t="str">
        <f>TEXT(Store_Record[[#This Row],[Date]],"dddd")</f>
        <v>Tuesday</v>
      </c>
      <c r="M3721" s="5" t="str">
        <f>TEXT(Store_Record[[#This Row],[Date]],"mmmm")</f>
        <v>September</v>
      </c>
      <c r="N3721" s="5">
        <f>YEAR(Store_Record[[#This Row],[Date]])</f>
        <v>2025</v>
      </c>
      <c r="O3721"/>
    </row>
    <row r="3722" spans="1:15" x14ac:dyDescent="0.35">
      <c r="A3722" t="s">
        <v>4702</v>
      </c>
      <c r="B3722" s="2">
        <v>45930</v>
      </c>
      <c r="C3722" t="s">
        <v>36</v>
      </c>
      <c r="D3722" t="s">
        <v>47</v>
      </c>
      <c r="E3722" t="s">
        <v>26</v>
      </c>
      <c r="F3722" t="s">
        <v>13</v>
      </c>
      <c r="G3722">
        <v>2</v>
      </c>
      <c r="H3722">
        <v>3.5</v>
      </c>
      <c r="I3722" t="s">
        <v>21</v>
      </c>
      <c r="J3722" t="s">
        <v>2796</v>
      </c>
      <c r="K3722" s="12">
        <f>Store_Record[[#This Row],[Qty]]*Store_Record[[#This Row],[UnitPriceGBP]]</f>
        <v>7</v>
      </c>
      <c r="L3722" s="5" t="str">
        <f>TEXT(Store_Record[[#This Row],[Date]],"dddd")</f>
        <v>Tuesday</v>
      </c>
      <c r="M3722" s="5" t="str">
        <f>TEXT(Store_Record[[#This Row],[Date]],"mmmm")</f>
        <v>September</v>
      </c>
      <c r="N3722" s="5">
        <f>YEAR(Store_Record[[#This Row],[Date]])</f>
        <v>2025</v>
      </c>
      <c r="O3722"/>
    </row>
    <row r="3723" spans="1:15" x14ac:dyDescent="0.35">
      <c r="A3723" t="s">
        <v>4699</v>
      </c>
      <c r="B3723" s="2">
        <v>45930</v>
      </c>
      <c r="C3723" t="s">
        <v>24</v>
      </c>
      <c r="D3723" t="s">
        <v>29</v>
      </c>
      <c r="E3723" t="s">
        <v>12</v>
      </c>
      <c r="F3723" t="s">
        <v>13</v>
      </c>
      <c r="G3723">
        <v>2</v>
      </c>
      <c r="H3723">
        <v>2.5</v>
      </c>
      <c r="I3723" t="s">
        <v>14</v>
      </c>
      <c r="J3723" t="s">
        <v>1486</v>
      </c>
      <c r="K3723" s="12">
        <f>Store_Record[[#This Row],[Qty]]*Store_Record[[#This Row],[UnitPriceGBP]]</f>
        <v>5</v>
      </c>
      <c r="L3723" s="5" t="str">
        <f>TEXT(Store_Record[[#This Row],[Date]],"dddd")</f>
        <v>Tuesday</v>
      </c>
      <c r="M3723" s="5" t="str">
        <f>TEXT(Store_Record[[#This Row],[Date]],"mmmm")</f>
        <v>September</v>
      </c>
      <c r="N3723" s="5">
        <f>YEAR(Store_Record[[#This Row],[Date]])</f>
        <v>2025</v>
      </c>
      <c r="O3723"/>
    </row>
    <row r="3724" spans="1:15" x14ac:dyDescent="0.35">
      <c r="A3724" t="s">
        <v>4695</v>
      </c>
      <c r="B3724" s="2">
        <v>45930</v>
      </c>
      <c r="C3724" t="s">
        <v>24</v>
      </c>
      <c r="D3724" t="s">
        <v>11</v>
      </c>
      <c r="E3724" t="s">
        <v>12</v>
      </c>
      <c r="F3724" t="s">
        <v>13</v>
      </c>
      <c r="G3724">
        <v>1</v>
      </c>
      <c r="H3724">
        <v>2.5</v>
      </c>
      <c r="I3724" t="s">
        <v>39</v>
      </c>
      <c r="J3724" t="s">
        <v>2105</v>
      </c>
      <c r="K3724" s="12">
        <f>Store_Record[[#This Row],[Qty]]*Store_Record[[#This Row],[UnitPriceGBP]]</f>
        <v>2.5</v>
      </c>
      <c r="L3724" s="5" t="str">
        <f>TEXT(Store_Record[[#This Row],[Date]],"dddd")</f>
        <v>Tuesday</v>
      </c>
      <c r="M3724" s="5" t="str">
        <f>TEXT(Store_Record[[#This Row],[Date]],"mmmm")</f>
        <v>September</v>
      </c>
      <c r="N3724" s="5">
        <f>YEAR(Store_Record[[#This Row],[Date]])</f>
        <v>2025</v>
      </c>
      <c r="O3724"/>
    </row>
    <row r="3725" spans="1:15" x14ac:dyDescent="0.35">
      <c r="A3725" t="s">
        <v>4709</v>
      </c>
      <c r="B3725" s="2">
        <v>45931</v>
      </c>
      <c r="C3725" t="s">
        <v>24</v>
      </c>
      <c r="D3725" t="s">
        <v>25</v>
      </c>
      <c r="E3725" t="s">
        <v>42</v>
      </c>
      <c r="F3725" t="s">
        <v>13</v>
      </c>
      <c r="G3725">
        <v>4</v>
      </c>
      <c r="H3725">
        <v>3.8</v>
      </c>
      <c r="I3725" t="s">
        <v>39</v>
      </c>
      <c r="J3725" t="s">
        <v>4710</v>
      </c>
      <c r="K3725" s="12">
        <f>Store_Record[[#This Row],[Qty]]*Store_Record[[#This Row],[UnitPriceGBP]]</f>
        <v>15.2</v>
      </c>
      <c r="L3725" s="5" t="str">
        <f>TEXT(Store_Record[[#This Row],[Date]],"dddd")</f>
        <v>Wednesday</v>
      </c>
      <c r="M3725" s="5" t="str">
        <f>TEXT(Store_Record[[#This Row],[Date]],"mmmm")</f>
        <v>October</v>
      </c>
      <c r="N3725" s="5">
        <f>YEAR(Store_Record[[#This Row],[Date]])</f>
        <v>2025</v>
      </c>
      <c r="O3725"/>
    </row>
    <row r="3726" spans="1:15" x14ac:dyDescent="0.35">
      <c r="A3726" t="s">
        <v>4706</v>
      </c>
      <c r="B3726" s="2">
        <v>45931</v>
      </c>
      <c r="C3726" t="s">
        <v>20</v>
      </c>
      <c r="D3726" t="s">
        <v>38</v>
      </c>
      <c r="E3726" t="s">
        <v>30</v>
      </c>
      <c r="F3726" t="s">
        <v>31</v>
      </c>
      <c r="G3726">
        <v>5</v>
      </c>
      <c r="H3726">
        <v>2.8</v>
      </c>
      <c r="I3726" t="s">
        <v>39</v>
      </c>
      <c r="J3726" t="s">
        <v>115</v>
      </c>
      <c r="K3726" s="12">
        <f>Store_Record[[#This Row],[Qty]]*Store_Record[[#This Row],[UnitPriceGBP]]</f>
        <v>14</v>
      </c>
      <c r="L3726" s="5" t="str">
        <f>TEXT(Store_Record[[#This Row],[Date]],"dddd")</f>
        <v>Wednesday</v>
      </c>
      <c r="M3726" s="5" t="str">
        <f>TEXT(Store_Record[[#This Row],[Date]],"mmmm")</f>
        <v>October</v>
      </c>
      <c r="N3726" s="5">
        <f>YEAR(Store_Record[[#This Row],[Date]])</f>
        <v>2025</v>
      </c>
      <c r="O3726"/>
    </row>
    <row r="3727" spans="1:15" x14ac:dyDescent="0.35">
      <c r="A3727" t="s">
        <v>4717</v>
      </c>
      <c r="B3727" s="2">
        <v>45931</v>
      </c>
      <c r="C3727" t="s">
        <v>20</v>
      </c>
      <c r="D3727" t="s">
        <v>38</v>
      </c>
      <c r="E3727" t="s">
        <v>26</v>
      </c>
      <c r="F3727" t="s">
        <v>13</v>
      </c>
      <c r="G3727">
        <v>4</v>
      </c>
      <c r="H3727">
        <v>3.5</v>
      </c>
      <c r="I3727" t="s">
        <v>21</v>
      </c>
      <c r="J3727" t="s">
        <v>755</v>
      </c>
      <c r="K3727" s="12">
        <f>Store_Record[[#This Row],[Qty]]*Store_Record[[#This Row],[UnitPriceGBP]]</f>
        <v>14</v>
      </c>
      <c r="L3727" s="5" t="str">
        <f>TEXT(Store_Record[[#This Row],[Date]],"dddd")</f>
        <v>Wednesday</v>
      </c>
      <c r="M3727" s="5" t="str">
        <f>TEXT(Store_Record[[#This Row],[Date]],"mmmm")</f>
        <v>October</v>
      </c>
      <c r="N3727" s="5">
        <f>YEAR(Store_Record[[#This Row],[Date]])</f>
        <v>2025</v>
      </c>
      <c r="O3727"/>
    </row>
    <row r="3728" spans="1:15" x14ac:dyDescent="0.35">
      <c r="A3728" t="s">
        <v>4705</v>
      </c>
      <c r="B3728" s="2">
        <v>45931</v>
      </c>
      <c r="C3728" t="s">
        <v>10</v>
      </c>
      <c r="D3728" t="s">
        <v>38</v>
      </c>
      <c r="E3728" t="s">
        <v>34</v>
      </c>
      <c r="F3728" t="s">
        <v>31</v>
      </c>
      <c r="G3728">
        <v>5</v>
      </c>
      <c r="H3728">
        <v>2.2000000000000002</v>
      </c>
      <c r="I3728" t="s">
        <v>39</v>
      </c>
      <c r="J3728" t="s">
        <v>2929</v>
      </c>
      <c r="K3728" s="12">
        <f>Store_Record[[#This Row],[Qty]]*Store_Record[[#This Row],[UnitPriceGBP]]</f>
        <v>11</v>
      </c>
      <c r="L3728" s="5" t="str">
        <f>TEXT(Store_Record[[#This Row],[Date]],"dddd")</f>
        <v>Wednesday</v>
      </c>
      <c r="M3728" s="5" t="str">
        <f>TEXT(Store_Record[[#This Row],[Date]],"mmmm")</f>
        <v>October</v>
      </c>
      <c r="N3728" s="5">
        <f>YEAR(Store_Record[[#This Row],[Date]])</f>
        <v>2025</v>
      </c>
      <c r="O3728"/>
    </row>
    <row r="3729" spans="1:15" x14ac:dyDescent="0.35">
      <c r="A3729" t="s">
        <v>4708</v>
      </c>
      <c r="B3729" s="2">
        <v>45931</v>
      </c>
      <c r="C3729" t="s">
        <v>10</v>
      </c>
      <c r="D3729" t="s">
        <v>38</v>
      </c>
      <c r="E3729" t="s">
        <v>34</v>
      </c>
      <c r="F3729" t="s">
        <v>31</v>
      </c>
      <c r="G3729">
        <v>5</v>
      </c>
      <c r="H3729">
        <v>2.2000000000000002</v>
      </c>
      <c r="I3729" t="s">
        <v>39</v>
      </c>
      <c r="J3729" t="s">
        <v>189</v>
      </c>
      <c r="K3729" s="12">
        <f>Store_Record[[#This Row],[Qty]]*Store_Record[[#This Row],[UnitPriceGBP]]</f>
        <v>11</v>
      </c>
      <c r="L3729" s="5" t="str">
        <f>TEXT(Store_Record[[#This Row],[Date]],"dddd")</f>
        <v>Wednesday</v>
      </c>
      <c r="M3729" s="5" t="str">
        <f>TEXT(Store_Record[[#This Row],[Date]],"mmmm")</f>
        <v>October</v>
      </c>
      <c r="N3729" s="5">
        <f>YEAR(Store_Record[[#This Row],[Date]])</f>
        <v>2025</v>
      </c>
      <c r="O3729"/>
    </row>
    <row r="3730" spans="1:15" x14ac:dyDescent="0.35">
      <c r="A3730" t="s">
        <v>4707</v>
      </c>
      <c r="B3730" s="2">
        <v>45931</v>
      </c>
      <c r="C3730" t="s">
        <v>36</v>
      </c>
      <c r="D3730" t="s">
        <v>38</v>
      </c>
      <c r="E3730" t="s">
        <v>26</v>
      </c>
      <c r="F3730" t="s">
        <v>13</v>
      </c>
      <c r="G3730">
        <v>3</v>
      </c>
      <c r="H3730">
        <v>3.5</v>
      </c>
      <c r="I3730" t="s">
        <v>14</v>
      </c>
      <c r="J3730" t="s">
        <v>730</v>
      </c>
      <c r="K3730" s="12">
        <f>Store_Record[[#This Row],[Qty]]*Store_Record[[#This Row],[UnitPriceGBP]]</f>
        <v>10.5</v>
      </c>
      <c r="L3730" s="5" t="str">
        <f>TEXT(Store_Record[[#This Row],[Date]],"dddd")</f>
        <v>Wednesday</v>
      </c>
      <c r="M3730" s="5" t="str">
        <f>TEXT(Store_Record[[#This Row],[Date]],"mmmm")</f>
        <v>October</v>
      </c>
      <c r="N3730" s="5">
        <f>YEAR(Store_Record[[#This Row],[Date]])</f>
        <v>2025</v>
      </c>
      <c r="O3730"/>
    </row>
    <row r="3731" spans="1:15" x14ac:dyDescent="0.35">
      <c r="A3731" t="s">
        <v>4718</v>
      </c>
      <c r="B3731" s="2">
        <v>45931</v>
      </c>
      <c r="C3731" t="s">
        <v>10</v>
      </c>
      <c r="D3731" t="s">
        <v>29</v>
      </c>
      <c r="E3731" t="s">
        <v>26</v>
      </c>
      <c r="F3731" t="s">
        <v>13</v>
      </c>
      <c r="G3731">
        <v>3</v>
      </c>
      <c r="H3731">
        <v>3.5</v>
      </c>
      <c r="I3731" t="s">
        <v>21</v>
      </c>
      <c r="J3731" t="s">
        <v>2166</v>
      </c>
      <c r="K3731" s="12">
        <f>Store_Record[[#This Row],[Qty]]*Store_Record[[#This Row],[UnitPriceGBP]]</f>
        <v>10.5</v>
      </c>
      <c r="L3731" s="5" t="str">
        <f>TEXT(Store_Record[[#This Row],[Date]],"dddd")</f>
        <v>Wednesday</v>
      </c>
      <c r="M3731" s="5" t="str">
        <f>TEXT(Store_Record[[#This Row],[Date]],"mmmm")</f>
        <v>October</v>
      </c>
      <c r="N3731" s="5">
        <f>YEAR(Store_Record[[#This Row],[Date]])</f>
        <v>2025</v>
      </c>
      <c r="O3731"/>
    </row>
    <row r="3732" spans="1:15" x14ac:dyDescent="0.35">
      <c r="A3732" t="s">
        <v>4715</v>
      </c>
      <c r="B3732" s="2">
        <v>45931</v>
      </c>
      <c r="C3732" t="s">
        <v>20</v>
      </c>
      <c r="D3732" t="s">
        <v>38</v>
      </c>
      <c r="E3732" t="s">
        <v>12</v>
      </c>
      <c r="F3732" t="s">
        <v>13</v>
      </c>
      <c r="G3732">
        <v>4</v>
      </c>
      <c r="H3732">
        <v>2.5</v>
      </c>
      <c r="I3732" t="s">
        <v>39</v>
      </c>
      <c r="J3732" t="s">
        <v>2130</v>
      </c>
      <c r="K3732" s="12">
        <f>Store_Record[[#This Row],[Qty]]*Store_Record[[#This Row],[UnitPriceGBP]]</f>
        <v>10</v>
      </c>
      <c r="L3732" s="5" t="str">
        <f>TEXT(Store_Record[[#This Row],[Date]],"dddd")</f>
        <v>Wednesday</v>
      </c>
      <c r="M3732" s="5" t="str">
        <f>TEXT(Store_Record[[#This Row],[Date]],"mmmm")</f>
        <v>October</v>
      </c>
      <c r="N3732" s="5">
        <f>YEAR(Store_Record[[#This Row],[Date]])</f>
        <v>2025</v>
      </c>
      <c r="O3732"/>
    </row>
    <row r="3733" spans="1:15" x14ac:dyDescent="0.35">
      <c r="A3733" t="s">
        <v>4711</v>
      </c>
      <c r="B3733" s="2">
        <v>45931</v>
      </c>
      <c r="C3733" t="s">
        <v>10</v>
      </c>
      <c r="D3733" t="s">
        <v>11</v>
      </c>
      <c r="E3733" t="s">
        <v>42</v>
      </c>
      <c r="F3733" t="s">
        <v>13</v>
      </c>
      <c r="G3733">
        <v>2</v>
      </c>
      <c r="H3733">
        <v>3.8</v>
      </c>
      <c r="I3733" t="s">
        <v>14</v>
      </c>
      <c r="J3733" t="s">
        <v>3658</v>
      </c>
      <c r="K3733" s="12">
        <f>Store_Record[[#This Row],[Qty]]*Store_Record[[#This Row],[UnitPriceGBP]]</f>
        <v>7.6</v>
      </c>
      <c r="L3733" s="5" t="str">
        <f>TEXT(Store_Record[[#This Row],[Date]],"dddd")</f>
        <v>Wednesday</v>
      </c>
      <c r="M3733" s="5" t="str">
        <f>TEXT(Store_Record[[#This Row],[Date]],"mmmm")</f>
        <v>October</v>
      </c>
      <c r="N3733" s="5">
        <f>YEAR(Store_Record[[#This Row],[Date]])</f>
        <v>2025</v>
      </c>
      <c r="O3733"/>
    </row>
    <row r="3734" spans="1:15" x14ac:dyDescent="0.35">
      <c r="A3734" t="s">
        <v>4712</v>
      </c>
      <c r="B3734" s="2">
        <v>45931</v>
      </c>
      <c r="C3734" t="s">
        <v>24</v>
      </c>
      <c r="D3734" t="s">
        <v>25</v>
      </c>
      <c r="E3734" t="s">
        <v>26</v>
      </c>
      <c r="F3734" t="s">
        <v>13</v>
      </c>
      <c r="G3734">
        <v>2</v>
      </c>
      <c r="H3734">
        <v>3.5</v>
      </c>
      <c r="I3734" t="s">
        <v>39</v>
      </c>
      <c r="J3734" t="s">
        <v>1468</v>
      </c>
      <c r="K3734" s="12">
        <f>Store_Record[[#This Row],[Qty]]*Store_Record[[#This Row],[UnitPriceGBP]]</f>
        <v>7</v>
      </c>
      <c r="L3734" s="5" t="str">
        <f>TEXT(Store_Record[[#This Row],[Date]],"dddd")</f>
        <v>Wednesday</v>
      </c>
      <c r="M3734" s="5" t="str">
        <f>TEXT(Store_Record[[#This Row],[Date]],"mmmm")</f>
        <v>October</v>
      </c>
      <c r="N3734" s="5">
        <f>YEAR(Store_Record[[#This Row],[Date]])</f>
        <v>2025</v>
      </c>
      <c r="O3734"/>
    </row>
    <row r="3735" spans="1:15" x14ac:dyDescent="0.35">
      <c r="A3735" t="s">
        <v>4713</v>
      </c>
      <c r="B3735" s="2">
        <v>45931</v>
      </c>
      <c r="C3735" t="s">
        <v>20</v>
      </c>
      <c r="D3735" t="s">
        <v>38</v>
      </c>
      <c r="E3735" t="s">
        <v>34</v>
      </c>
      <c r="F3735" t="s">
        <v>31</v>
      </c>
      <c r="G3735">
        <v>3</v>
      </c>
      <c r="H3735">
        <v>2.2000000000000002</v>
      </c>
      <c r="I3735" t="s">
        <v>39</v>
      </c>
      <c r="J3735" t="s">
        <v>894</v>
      </c>
      <c r="K3735" s="12">
        <f>Store_Record[[#This Row],[Qty]]*Store_Record[[#This Row],[UnitPriceGBP]]</f>
        <v>6.6000000000000005</v>
      </c>
      <c r="L3735" s="5" t="str">
        <f>TEXT(Store_Record[[#This Row],[Date]],"dddd")</f>
        <v>Wednesday</v>
      </c>
      <c r="M3735" s="5" t="str">
        <f>TEXT(Store_Record[[#This Row],[Date]],"mmmm")</f>
        <v>October</v>
      </c>
      <c r="N3735" s="5">
        <f>YEAR(Store_Record[[#This Row],[Date]])</f>
        <v>2025</v>
      </c>
      <c r="O3735"/>
    </row>
    <row r="3736" spans="1:15" x14ac:dyDescent="0.35">
      <c r="A3736" t="s">
        <v>4719</v>
      </c>
      <c r="B3736" s="2">
        <v>45931</v>
      </c>
      <c r="C3736" t="s">
        <v>10</v>
      </c>
      <c r="D3736" t="s">
        <v>29</v>
      </c>
      <c r="E3736" t="s">
        <v>34</v>
      </c>
      <c r="F3736" t="s">
        <v>31</v>
      </c>
      <c r="G3736">
        <v>3</v>
      </c>
      <c r="H3736">
        <v>2.2000000000000002</v>
      </c>
      <c r="I3736" t="s">
        <v>39</v>
      </c>
      <c r="J3736" t="s">
        <v>419</v>
      </c>
      <c r="K3736" s="12">
        <f>Store_Record[[#This Row],[Qty]]*Store_Record[[#This Row],[UnitPriceGBP]]</f>
        <v>6.6000000000000005</v>
      </c>
      <c r="L3736" s="5" t="str">
        <f>TEXT(Store_Record[[#This Row],[Date]],"dddd")</f>
        <v>Wednesday</v>
      </c>
      <c r="M3736" s="5" t="str">
        <f>TEXT(Store_Record[[#This Row],[Date]],"mmmm")</f>
        <v>October</v>
      </c>
      <c r="N3736" s="5">
        <f>YEAR(Store_Record[[#This Row],[Date]])</f>
        <v>2025</v>
      </c>
      <c r="O3736"/>
    </row>
    <row r="3737" spans="1:15" x14ac:dyDescent="0.35">
      <c r="A3737" t="s">
        <v>4704</v>
      </c>
      <c r="B3737" s="2">
        <v>45931</v>
      </c>
      <c r="C3737" t="s">
        <v>36</v>
      </c>
      <c r="D3737" t="s">
        <v>29</v>
      </c>
      <c r="E3737" t="s">
        <v>12</v>
      </c>
      <c r="F3737" t="s">
        <v>13</v>
      </c>
      <c r="G3737">
        <v>2</v>
      </c>
      <c r="H3737">
        <v>2.5</v>
      </c>
      <c r="I3737" t="s">
        <v>14</v>
      </c>
      <c r="J3737" t="s">
        <v>2382</v>
      </c>
      <c r="K3737" s="12">
        <f>Store_Record[[#This Row],[Qty]]*Store_Record[[#This Row],[UnitPriceGBP]]</f>
        <v>5</v>
      </c>
      <c r="L3737" s="5" t="str">
        <f>TEXT(Store_Record[[#This Row],[Date]],"dddd")</f>
        <v>Wednesday</v>
      </c>
      <c r="M3737" s="5" t="str">
        <f>TEXT(Store_Record[[#This Row],[Date]],"mmmm")</f>
        <v>October</v>
      </c>
      <c r="N3737" s="5">
        <f>YEAR(Store_Record[[#This Row],[Date]])</f>
        <v>2025</v>
      </c>
      <c r="O3737"/>
    </row>
    <row r="3738" spans="1:15" x14ac:dyDescent="0.35">
      <c r="A3738" t="s">
        <v>4714</v>
      </c>
      <c r="B3738" s="2">
        <v>45931</v>
      </c>
      <c r="C3738" t="s">
        <v>36</v>
      </c>
      <c r="D3738" t="s">
        <v>11</v>
      </c>
      <c r="E3738" t="s">
        <v>26</v>
      </c>
      <c r="F3738" t="s">
        <v>13</v>
      </c>
      <c r="G3738">
        <v>1</v>
      </c>
      <c r="H3738">
        <v>3.5</v>
      </c>
      <c r="I3738" t="s">
        <v>21</v>
      </c>
      <c r="J3738" t="s">
        <v>1850</v>
      </c>
      <c r="K3738" s="12">
        <f>Store_Record[[#This Row],[Qty]]*Store_Record[[#This Row],[UnitPriceGBP]]</f>
        <v>3.5</v>
      </c>
      <c r="L3738" s="5" t="str">
        <f>TEXT(Store_Record[[#This Row],[Date]],"dddd")</f>
        <v>Wednesday</v>
      </c>
      <c r="M3738" s="5" t="str">
        <f>TEXT(Store_Record[[#This Row],[Date]],"mmmm")</f>
        <v>October</v>
      </c>
      <c r="N3738" s="5">
        <f>YEAR(Store_Record[[#This Row],[Date]])</f>
        <v>2025</v>
      </c>
      <c r="O3738"/>
    </row>
    <row r="3739" spans="1:15" x14ac:dyDescent="0.35">
      <c r="A3739" t="s">
        <v>4716</v>
      </c>
      <c r="B3739" s="2">
        <v>45931</v>
      </c>
      <c r="C3739" t="s">
        <v>10</v>
      </c>
      <c r="D3739" t="s">
        <v>38</v>
      </c>
      <c r="E3739" t="s">
        <v>26</v>
      </c>
      <c r="F3739" t="s">
        <v>13</v>
      </c>
      <c r="G3739">
        <v>1</v>
      </c>
      <c r="H3739">
        <v>3.5</v>
      </c>
      <c r="I3739" t="s">
        <v>21</v>
      </c>
      <c r="J3739" t="s">
        <v>206</v>
      </c>
      <c r="K3739" s="12">
        <f>Store_Record[[#This Row],[Qty]]*Store_Record[[#This Row],[UnitPriceGBP]]</f>
        <v>3.5</v>
      </c>
      <c r="L3739" s="5" t="str">
        <f>TEXT(Store_Record[[#This Row],[Date]],"dddd")</f>
        <v>Wednesday</v>
      </c>
      <c r="M3739" s="5" t="str">
        <f>TEXT(Store_Record[[#This Row],[Date]],"mmmm")</f>
        <v>October</v>
      </c>
      <c r="N3739" s="5">
        <f>YEAR(Store_Record[[#This Row],[Date]])</f>
        <v>2025</v>
      </c>
      <c r="O3739"/>
    </row>
    <row r="3740" spans="1:15" x14ac:dyDescent="0.35">
      <c r="A3740" t="s">
        <v>4720</v>
      </c>
      <c r="B3740" s="2">
        <v>45932</v>
      </c>
      <c r="C3740" t="s">
        <v>20</v>
      </c>
      <c r="D3740" t="s">
        <v>29</v>
      </c>
      <c r="E3740" t="s">
        <v>30</v>
      </c>
      <c r="F3740" t="s">
        <v>31</v>
      </c>
      <c r="G3740">
        <v>5</v>
      </c>
      <c r="H3740">
        <v>2.8</v>
      </c>
      <c r="I3740" t="s">
        <v>14</v>
      </c>
      <c r="J3740" t="s">
        <v>2030</v>
      </c>
      <c r="K3740" s="12">
        <f>Store_Record[[#This Row],[Qty]]*Store_Record[[#This Row],[UnitPriceGBP]]</f>
        <v>14</v>
      </c>
      <c r="L3740" s="5" t="str">
        <f>TEXT(Store_Record[[#This Row],[Date]],"dddd")</f>
        <v>Thursday</v>
      </c>
      <c r="M3740" s="5" t="str">
        <f>TEXT(Store_Record[[#This Row],[Date]],"mmmm")</f>
        <v>October</v>
      </c>
      <c r="N3740" s="5">
        <f>YEAR(Store_Record[[#This Row],[Date]])</f>
        <v>2025</v>
      </c>
      <c r="O3740"/>
    </row>
    <row r="3741" spans="1:15" x14ac:dyDescent="0.35">
      <c r="A3741" t="s">
        <v>4727</v>
      </c>
      <c r="B3741" s="2">
        <v>45932</v>
      </c>
      <c r="C3741" t="s">
        <v>24</v>
      </c>
      <c r="D3741" t="s">
        <v>47</v>
      </c>
      <c r="E3741" t="s">
        <v>26</v>
      </c>
      <c r="F3741" t="s">
        <v>13</v>
      </c>
      <c r="G3741">
        <v>4</v>
      </c>
      <c r="H3741">
        <v>3.5</v>
      </c>
      <c r="I3741" t="s">
        <v>21</v>
      </c>
      <c r="J3741" t="s">
        <v>2279</v>
      </c>
      <c r="K3741" s="12">
        <f>Store_Record[[#This Row],[Qty]]*Store_Record[[#This Row],[UnitPriceGBP]]</f>
        <v>14</v>
      </c>
      <c r="L3741" s="5" t="str">
        <f>TEXT(Store_Record[[#This Row],[Date]],"dddd")</f>
        <v>Thursday</v>
      </c>
      <c r="M3741" s="5" t="str">
        <f>TEXT(Store_Record[[#This Row],[Date]],"mmmm")</f>
        <v>October</v>
      </c>
      <c r="N3741" s="5">
        <f>YEAR(Store_Record[[#This Row],[Date]])</f>
        <v>2025</v>
      </c>
      <c r="O3741"/>
    </row>
    <row r="3742" spans="1:15" x14ac:dyDescent="0.35">
      <c r="A3742" t="s">
        <v>4723</v>
      </c>
      <c r="B3742" s="2">
        <v>45932</v>
      </c>
      <c r="C3742" t="s">
        <v>24</v>
      </c>
      <c r="D3742" t="s">
        <v>47</v>
      </c>
      <c r="E3742" t="s">
        <v>42</v>
      </c>
      <c r="F3742" t="s">
        <v>13</v>
      </c>
      <c r="G3742">
        <v>3</v>
      </c>
      <c r="H3742">
        <v>3.8</v>
      </c>
      <c r="I3742" t="s">
        <v>14</v>
      </c>
      <c r="J3742" t="s">
        <v>2236</v>
      </c>
      <c r="K3742" s="12">
        <f>Store_Record[[#This Row],[Qty]]*Store_Record[[#This Row],[UnitPriceGBP]]</f>
        <v>11.399999999999999</v>
      </c>
      <c r="L3742" s="5" t="str">
        <f>TEXT(Store_Record[[#This Row],[Date]],"dddd")</f>
        <v>Thursday</v>
      </c>
      <c r="M3742" s="5" t="str">
        <f>TEXT(Store_Record[[#This Row],[Date]],"mmmm")</f>
        <v>October</v>
      </c>
      <c r="N3742" s="5">
        <f>YEAR(Store_Record[[#This Row],[Date]])</f>
        <v>2025</v>
      </c>
      <c r="O3742"/>
    </row>
    <row r="3743" spans="1:15" x14ac:dyDescent="0.35">
      <c r="A3743" t="s">
        <v>4721</v>
      </c>
      <c r="B3743" s="2">
        <v>45932</v>
      </c>
      <c r="C3743" t="s">
        <v>36</v>
      </c>
      <c r="D3743" t="s">
        <v>38</v>
      </c>
      <c r="E3743" t="s">
        <v>12</v>
      </c>
      <c r="F3743" t="s">
        <v>13</v>
      </c>
      <c r="G3743">
        <v>4</v>
      </c>
      <c r="H3743">
        <v>2.5</v>
      </c>
      <c r="I3743" t="s">
        <v>39</v>
      </c>
      <c r="J3743" t="s">
        <v>2553</v>
      </c>
      <c r="K3743" s="12">
        <f>Store_Record[[#This Row],[Qty]]*Store_Record[[#This Row],[UnitPriceGBP]]</f>
        <v>10</v>
      </c>
      <c r="L3743" s="5" t="str">
        <f>TEXT(Store_Record[[#This Row],[Date]],"dddd")</f>
        <v>Thursday</v>
      </c>
      <c r="M3743" s="5" t="str">
        <f>TEXT(Store_Record[[#This Row],[Date]],"mmmm")</f>
        <v>October</v>
      </c>
      <c r="N3743" s="5">
        <f>YEAR(Store_Record[[#This Row],[Date]])</f>
        <v>2025</v>
      </c>
      <c r="O3743"/>
    </row>
    <row r="3744" spans="1:15" x14ac:dyDescent="0.35">
      <c r="A3744" t="s">
        <v>5991</v>
      </c>
      <c r="B3744" s="2">
        <v>45932</v>
      </c>
      <c r="C3744" t="s">
        <v>24</v>
      </c>
      <c r="D3744" t="s">
        <v>38</v>
      </c>
      <c r="E3744" t="s">
        <v>12</v>
      </c>
      <c r="F3744" t="s">
        <v>13</v>
      </c>
      <c r="G3744">
        <v>4</v>
      </c>
      <c r="H3744">
        <v>2.5</v>
      </c>
      <c r="I3744" t="s">
        <v>39</v>
      </c>
      <c r="J3744" t="s">
        <v>541</v>
      </c>
      <c r="K3744" s="12">
        <f>Store_Record[[#This Row],[Qty]]*Store_Record[[#This Row],[UnitPriceGBP]]</f>
        <v>10</v>
      </c>
      <c r="L3744" s="5" t="str">
        <f>TEXT(Store_Record[[#This Row],[Date]],"dddd")</f>
        <v>Thursday</v>
      </c>
      <c r="M3744" s="5" t="str">
        <f>TEXT(Store_Record[[#This Row],[Date]],"mmmm")</f>
        <v>October</v>
      </c>
      <c r="N3744" s="5">
        <f>YEAR(Store_Record[[#This Row],[Date]])</f>
        <v>2025</v>
      </c>
      <c r="O3744"/>
    </row>
    <row r="3745" spans="1:15" x14ac:dyDescent="0.35">
      <c r="A3745" t="s">
        <v>4724</v>
      </c>
      <c r="B3745" s="2">
        <v>45932</v>
      </c>
      <c r="C3745" t="s">
        <v>36</v>
      </c>
      <c r="D3745" t="s">
        <v>38</v>
      </c>
      <c r="E3745" t="s">
        <v>34</v>
      </c>
      <c r="F3745" t="s">
        <v>31</v>
      </c>
      <c r="G3745">
        <v>4</v>
      </c>
      <c r="H3745">
        <v>2.2000000000000002</v>
      </c>
      <c r="I3745" t="s">
        <v>21</v>
      </c>
      <c r="J3745" t="s">
        <v>1036</v>
      </c>
      <c r="K3745" s="12">
        <f>Store_Record[[#This Row],[Qty]]*Store_Record[[#This Row],[UnitPriceGBP]]</f>
        <v>8.8000000000000007</v>
      </c>
      <c r="L3745" s="5" t="str">
        <f>TEXT(Store_Record[[#This Row],[Date]],"dddd")</f>
        <v>Thursday</v>
      </c>
      <c r="M3745" s="5" t="str">
        <f>TEXT(Store_Record[[#This Row],[Date]],"mmmm")</f>
        <v>October</v>
      </c>
      <c r="N3745" s="5">
        <f>YEAR(Store_Record[[#This Row],[Date]])</f>
        <v>2025</v>
      </c>
      <c r="O3745"/>
    </row>
    <row r="3746" spans="1:15" x14ac:dyDescent="0.35">
      <c r="A3746" t="s">
        <v>4726</v>
      </c>
      <c r="B3746" s="2">
        <v>45932</v>
      </c>
      <c r="C3746" t="s">
        <v>20</v>
      </c>
      <c r="D3746" t="s">
        <v>25</v>
      </c>
      <c r="E3746" t="s">
        <v>30</v>
      </c>
      <c r="F3746" t="s">
        <v>31</v>
      </c>
      <c r="G3746">
        <v>3</v>
      </c>
      <c r="H3746">
        <v>2.8</v>
      </c>
      <c r="I3746" t="s">
        <v>39</v>
      </c>
      <c r="J3746" t="s">
        <v>80</v>
      </c>
      <c r="K3746" s="12">
        <f>Store_Record[[#This Row],[Qty]]*Store_Record[[#This Row],[UnitPriceGBP]]</f>
        <v>8.3999999999999986</v>
      </c>
      <c r="L3746" s="5" t="str">
        <f>TEXT(Store_Record[[#This Row],[Date]],"dddd")</f>
        <v>Thursday</v>
      </c>
      <c r="M3746" s="5" t="str">
        <f>TEXT(Store_Record[[#This Row],[Date]],"mmmm")</f>
        <v>October</v>
      </c>
      <c r="N3746" s="5">
        <f>YEAR(Store_Record[[#This Row],[Date]])</f>
        <v>2025</v>
      </c>
      <c r="O3746"/>
    </row>
    <row r="3747" spans="1:15" x14ac:dyDescent="0.35">
      <c r="A3747" t="s">
        <v>4725</v>
      </c>
      <c r="B3747" s="2">
        <v>45932</v>
      </c>
      <c r="C3747" t="s">
        <v>20</v>
      </c>
      <c r="D3747" t="s">
        <v>11</v>
      </c>
      <c r="E3747" t="s">
        <v>12</v>
      </c>
      <c r="F3747" t="s">
        <v>13</v>
      </c>
      <c r="G3747">
        <v>1</v>
      </c>
      <c r="H3747">
        <v>2.5</v>
      </c>
      <c r="I3747" t="s">
        <v>39</v>
      </c>
      <c r="J3747" t="s">
        <v>571</v>
      </c>
      <c r="K3747" s="12">
        <f>Store_Record[[#This Row],[Qty]]*Store_Record[[#This Row],[UnitPriceGBP]]</f>
        <v>2.5</v>
      </c>
      <c r="L3747" s="5" t="str">
        <f>TEXT(Store_Record[[#This Row],[Date]],"dddd")</f>
        <v>Thursday</v>
      </c>
      <c r="M3747" s="5" t="str">
        <f>TEXT(Store_Record[[#This Row],[Date]],"mmmm")</f>
        <v>October</v>
      </c>
      <c r="N3747" s="5">
        <f>YEAR(Store_Record[[#This Row],[Date]])</f>
        <v>2025</v>
      </c>
      <c r="O3747"/>
    </row>
    <row r="3748" spans="1:15" x14ac:dyDescent="0.35">
      <c r="A3748" t="s">
        <v>4728</v>
      </c>
      <c r="B3748" s="2">
        <v>45932</v>
      </c>
      <c r="C3748" t="s">
        <v>24</v>
      </c>
      <c r="D3748" t="s">
        <v>38</v>
      </c>
      <c r="E3748" t="s">
        <v>12</v>
      </c>
      <c r="F3748" t="s">
        <v>13</v>
      </c>
      <c r="G3748">
        <v>1</v>
      </c>
      <c r="H3748">
        <v>2.5</v>
      </c>
      <c r="I3748" t="s">
        <v>39</v>
      </c>
      <c r="J3748" t="s">
        <v>1806</v>
      </c>
      <c r="K3748" s="12">
        <f>Store_Record[[#This Row],[Qty]]*Store_Record[[#This Row],[UnitPriceGBP]]</f>
        <v>2.5</v>
      </c>
      <c r="L3748" s="5" t="str">
        <f>TEXT(Store_Record[[#This Row],[Date]],"dddd")</f>
        <v>Thursday</v>
      </c>
      <c r="M3748" s="5" t="str">
        <f>TEXT(Store_Record[[#This Row],[Date]],"mmmm")</f>
        <v>October</v>
      </c>
      <c r="N3748" s="5">
        <f>YEAR(Store_Record[[#This Row],[Date]])</f>
        <v>2025</v>
      </c>
      <c r="O3748"/>
    </row>
    <row r="3749" spans="1:15" x14ac:dyDescent="0.35">
      <c r="A3749" t="s">
        <v>4722</v>
      </c>
      <c r="B3749" s="2">
        <v>45932</v>
      </c>
      <c r="C3749" t="s">
        <v>10</v>
      </c>
      <c r="D3749" t="s">
        <v>47</v>
      </c>
      <c r="E3749" t="s">
        <v>34</v>
      </c>
      <c r="F3749" t="s">
        <v>31</v>
      </c>
      <c r="G3749">
        <v>1</v>
      </c>
      <c r="H3749">
        <v>2.2000000000000002</v>
      </c>
      <c r="I3749" t="s">
        <v>14</v>
      </c>
      <c r="J3749" t="s">
        <v>171</v>
      </c>
      <c r="K3749" s="12">
        <f>Store_Record[[#This Row],[Qty]]*Store_Record[[#This Row],[UnitPriceGBP]]</f>
        <v>2.2000000000000002</v>
      </c>
      <c r="L3749" s="5" t="str">
        <f>TEXT(Store_Record[[#This Row],[Date]],"dddd")</f>
        <v>Thursday</v>
      </c>
      <c r="M3749" s="5" t="str">
        <f>TEXT(Store_Record[[#This Row],[Date]],"mmmm")</f>
        <v>October</v>
      </c>
      <c r="N3749" s="5">
        <f>YEAR(Store_Record[[#This Row],[Date]])</f>
        <v>2025</v>
      </c>
      <c r="O3749"/>
    </row>
    <row r="3750" spans="1:15" x14ac:dyDescent="0.35">
      <c r="A3750" t="s">
        <v>4734</v>
      </c>
      <c r="B3750" s="2">
        <v>45933</v>
      </c>
      <c r="C3750" t="s">
        <v>20</v>
      </c>
      <c r="D3750" t="s">
        <v>11</v>
      </c>
      <c r="E3750" t="s">
        <v>12</v>
      </c>
      <c r="F3750" t="s">
        <v>13</v>
      </c>
      <c r="G3750">
        <v>3</v>
      </c>
      <c r="H3750">
        <v>2.5</v>
      </c>
      <c r="I3750" t="s">
        <v>21</v>
      </c>
      <c r="J3750" t="s">
        <v>3348</v>
      </c>
      <c r="K3750" s="12">
        <f>Store_Record[[#This Row],[Qty]]*Store_Record[[#This Row],[UnitPriceGBP]]</f>
        <v>7.5</v>
      </c>
      <c r="L3750" s="5" t="str">
        <f>TEXT(Store_Record[[#This Row],[Date]],"dddd")</f>
        <v>Friday</v>
      </c>
      <c r="M3750" s="5" t="str">
        <f>TEXT(Store_Record[[#This Row],[Date]],"mmmm")</f>
        <v>October</v>
      </c>
      <c r="N3750" s="5">
        <f>YEAR(Store_Record[[#This Row],[Date]])</f>
        <v>2025</v>
      </c>
      <c r="O3750"/>
    </row>
    <row r="3751" spans="1:15" x14ac:dyDescent="0.35">
      <c r="A3751" t="s">
        <v>4729</v>
      </c>
      <c r="B3751" s="2">
        <v>45933</v>
      </c>
      <c r="C3751" t="s">
        <v>36</v>
      </c>
      <c r="D3751" t="s">
        <v>47</v>
      </c>
      <c r="E3751" t="s">
        <v>26</v>
      </c>
      <c r="F3751" t="s">
        <v>13</v>
      </c>
      <c r="G3751">
        <v>2</v>
      </c>
      <c r="H3751">
        <v>3.5</v>
      </c>
      <c r="I3751" t="s">
        <v>39</v>
      </c>
      <c r="J3751" t="s">
        <v>1625</v>
      </c>
      <c r="K3751" s="12">
        <f>Store_Record[[#This Row],[Qty]]*Store_Record[[#This Row],[UnitPriceGBP]]</f>
        <v>7</v>
      </c>
      <c r="L3751" s="5" t="str">
        <f>TEXT(Store_Record[[#This Row],[Date]],"dddd")</f>
        <v>Friday</v>
      </c>
      <c r="M3751" s="5" t="str">
        <f>TEXT(Store_Record[[#This Row],[Date]],"mmmm")</f>
        <v>October</v>
      </c>
      <c r="N3751" s="5">
        <f>YEAR(Store_Record[[#This Row],[Date]])</f>
        <v>2025</v>
      </c>
      <c r="O3751"/>
    </row>
    <row r="3752" spans="1:15" x14ac:dyDescent="0.35">
      <c r="A3752" t="s">
        <v>4732</v>
      </c>
      <c r="B3752" s="2">
        <v>45933</v>
      </c>
      <c r="C3752" t="s">
        <v>36</v>
      </c>
      <c r="D3752" t="s">
        <v>38</v>
      </c>
      <c r="E3752" t="s">
        <v>34</v>
      </c>
      <c r="F3752" t="s">
        <v>31</v>
      </c>
      <c r="G3752">
        <v>3</v>
      </c>
      <c r="H3752">
        <v>2.2000000000000002</v>
      </c>
      <c r="I3752" t="s">
        <v>21</v>
      </c>
      <c r="J3752" t="s">
        <v>3237</v>
      </c>
      <c r="K3752" s="12">
        <f>Store_Record[[#This Row],[Qty]]*Store_Record[[#This Row],[UnitPriceGBP]]</f>
        <v>6.6000000000000005</v>
      </c>
      <c r="L3752" s="5" t="str">
        <f>TEXT(Store_Record[[#This Row],[Date]],"dddd")</f>
        <v>Friday</v>
      </c>
      <c r="M3752" s="5" t="str">
        <f>TEXT(Store_Record[[#This Row],[Date]],"mmmm")</f>
        <v>October</v>
      </c>
      <c r="N3752" s="5">
        <f>YEAR(Store_Record[[#This Row],[Date]])</f>
        <v>2025</v>
      </c>
      <c r="O3752"/>
    </row>
    <row r="3753" spans="1:15" x14ac:dyDescent="0.35">
      <c r="A3753" t="s">
        <v>4733</v>
      </c>
      <c r="B3753" s="2">
        <v>45933</v>
      </c>
      <c r="C3753" t="s">
        <v>20</v>
      </c>
      <c r="D3753" t="s">
        <v>38</v>
      </c>
      <c r="E3753" t="s">
        <v>12</v>
      </c>
      <c r="F3753" t="s">
        <v>13</v>
      </c>
      <c r="G3753">
        <v>2</v>
      </c>
      <c r="H3753">
        <v>2.5</v>
      </c>
      <c r="I3753" t="s">
        <v>14</v>
      </c>
      <c r="J3753" t="s">
        <v>1384</v>
      </c>
      <c r="K3753" s="12">
        <f>Store_Record[[#This Row],[Qty]]*Store_Record[[#This Row],[UnitPriceGBP]]</f>
        <v>5</v>
      </c>
      <c r="L3753" s="5" t="str">
        <f>TEXT(Store_Record[[#This Row],[Date]],"dddd")</f>
        <v>Friday</v>
      </c>
      <c r="M3753" s="5" t="str">
        <f>TEXT(Store_Record[[#This Row],[Date]],"mmmm")</f>
        <v>October</v>
      </c>
      <c r="N3753" s="5">
        <f>YEAR(Store_Record[[#This Row],[Date]])</f>
        <v>2025</v>
      </c>
      <c r="O3753"/>
    </row>
    <row r="3754" spans="1:15" x14ac:dyDescent="0.35">
      <c r="A3754" t="s">
        <v>4731</v>
      </c>
      <c r="B3754" s="2">
        <v>45933</v>
      </c>
      <c r="C3754" t="s">
        <v>20</v>
      </c>
      <c r="D3754" t="s">
        <v>38</v>
      </c>
      <c r="E3754" t="s">
        <v>42</v>
      </c>
      <c r="F3754" t="s">
        <v>13</v>
      </c>
      <c r="G3754">
        <v>1</v>
      </c>
      <c r="H3754">
        <v>3.8</v>
      </c>
      <c r="I3754" t="s">
        <v>21</v>
      </c>
      <c r="J3754" t="s">
        <v>671</v>
      </c>
      <c r="K3754" s="12">
        <f>Store_Record[[#This Row],[Qty]]*Store_Record[[#This Row],[UnitPriceGBP]]</f>
        <v>3.8</v>
      </c>
      <c r="L3754" s="5" t="str">
        <f>TEXT(Store_Record[[#This Row],[Date]],"dddd")</f>
        <v>Friday</v>
      </c>
      <c r="M3754" s="5" t="str">
        <f>TEXT(Store_Record[[#This Row],[Date]],"mmmm")</f>
        <v>October</v>
      </c>
      <c r="N3754" s="5">
        <f>YEAR(Store_Record[[#This Row],[Date]])</f>
        <v>2025</v>
      </c>
      <c r="O3754"/>
    </row>
    <row r="3755" spans="1:15" x14ac:dyDescent="0.35">
      <c r="A3755" t="s">
        <v>4730</v>
      </c>
      <c r="B3755" s="2">
        <v>45933</v>
      </c>
      <c r="C3755" t="s">
        <v>20</v>
      </c>
      <c r="D3755" t="s">
        <v>47</v>
      </c>
      <c r="E3755" t="s">
        <v>26</v>
      </c>
      <c r="F3755" t="s">
        <v>13</v>
      </c>
      <c r="G3755">
        <v>1</v>
      </c>
      <c r="H3755">
        <v>3.5</v>
      </c>
      <c r="I3755" t="s">
        <v>39</v>
      </c>
      <c r="J3755" t="s">
        <v>679</v>
      </c>
      <c r="K3755" s="12">
        <f>Store_Record[[#This Row],[Qty]]*Store_Record[[#This Row],[UnitPriceGBP]]</f>
        <v>3.5</v>
      </c>
      <c r="L3755" s="5" t="str">
        <f>TEXT(Store_Record[[#This Row],[Date]],"dddd")</f>
        <v>Friday</v>
      </c>
      <c r="M3755" s="5" t="str">
        <f>TEXT(Store_Record[[#This Row],[Date]],"mmmm")</f>
        <v>October</v>
      </c>
      <c r="N3755" s="5">
        <f>YEAR(Store_Record[[#This Row],[Date]])</f>
        <v>2025</v>
      </c>
      <c r="O3755"/>
    </row>
    <row r="3756" spans="1:15" x14ac:dyDescent="0.35">
      <c r="A3756" t="s">
        <v>4744</v>
      </c>
      <c r="B3756" s="2">
        <v>45934</v>
      </c>
      <c r="C3756" t="s">
        <v>20</v>
      </c>
      <c r="D3756" t="s">
        <v>11</v>
      </c>
      <c r="E3756" t="s">
        <v>42</v>
      </c>
      <c r="F3756" t="s">
        <v>13</v>
      </c>
      <c r="G3756">
        <v>3</v>
      </c>
      <c r="H3756">
        <v>3.8</v>
      </c>
      <c r="I3756" t="s">
        <v>39</v>
      </c>
      <c r="J3756" t="s">
        <v>1445</v>
      </c>
      <c r="K3756" s="12">
        <f>Store_Record[[#This Row],[Qty]]*Store_Record[[#This Row],[UnitPriceGBP]]</f>
        <v>11.399999999999999</v>
      </c>
      <c r="L3756" s="5" t="str">
        <f>TEXT(Store_Record[[#This Row],[Date]],"dddd")</f>
        <v>Saturday</v>
      </c>
      <c r="M3756" s="5" t="str">
        <f>TEXT(Store_Record[[#This Row],[Date]],"mmmm")</f>
        <v>October</v>
      </c>
      <c r="N3756" s="5">
        <f>YEAR(Store_Record[[#This Row],[Date]])</f>
        <v>2025</v>
      </c>
      <c r="O3756"/>
    </row>
    <row r="3757" spans="1:15" x14ac:dyDescent="0.35">
      <c r="A3757" t="s">
        <v>4745</v>
      </c>
      <c r="B3757" s="2">
        <v>45934</v>
      </c>
      <c r="C3757" t="s">
        <v>20</v>
      </c>
      <c r="D3757" t="s">
        <v>11</v>
      </c>
      <c r="E3757" t="s">
        <v>42</v>
      </c>
      <c r="F3757" t="s">
        <v>13</v>
      </c>
      <c r="G3757">
        <v>3</v>
      </c>
      <c r="H3757">
        <v>3.8</v>
      </c>
      <c r="I3757" t="s">
        <v>39</v>
      </c>
      <c r="J3757" t="s">
        <v>1120</v>
      </c>
      <c r="K3757" s="12">
        <f>Store_Record[[#This Row],[Qty]]*Store_Record[[#This Row],[UnitPriceGBP]]</f>
        <v>11.399999999999999</v>
      </c>
      <c r="L3757" s="5" t="str">
        <f>TEXT(Store_Record[[#This Row],[Date]],"dddd")</f>
        <v>Saturday</v>
      </c>
      <c r="M3757" s="5" t="str">
        <f>TEXT(Store_Record[[#This Row],[Date]],"mmmm")</f>
        <v>October</v>
      </c>
      <c r="N3757" s="5">
        <f>YEAR(Store_Record[[#This Row],[Date]])</f>
        <v>2025</v>
      </c>
      <c r="O3757"/>
    </row>
    <row r="3758" spans="1:15" x14ac:dyDescent="0.35">
      <c r="A3758" t="s">
        <v>4741</v>
      </c>
      <c r="B3758" s="2">
        <v>45934</v>
      </c>
      <c r="C3758" t="s">
        <v>20</v>
      </c>
      <c r="D3758" t="s">
        <v>47</v>
      </c>
      <c r="E3758" t="s">
        <v>26</v>
      </c>
      <c r="F3758" t="s">
        <v>13</v>
      </c>
      <c r="G3758">
        <v>3</v>
      </c>
      <c r="H3758">
        <v>3.5</v>
      </c>
      <c r="I3758" t="s">
        <v>21</v>
      </c>
      <c r="J3758" t="s">
        <v>1790</v>
      </c>
      <c r="K3758" s="12">
        <f>Store_Record[[#This Row],[Qty]]*Store_Record[[#This Row],[UnitPriceGBP]]</f>
        <v>10.5</v>
      </c>
      <c r="L3758" s="5" t="str">
        <f>TEXT(Store_Record[[#This Row],[Date]],"dddd")</f>
        <v>Saturday</v>
      </c>
      <c r="M3758" s="5" t="str">
        <f>TEXT(Store_Record[[#This Row],[Date]],"mmmm")</f>
        <v>October</v>
      </c>
      <c r="N3758" s="5">
        <f>YEAR(Store_Record[[#This Row],[Date]])</f>
        <v>2025</v>
      </c>
      <c r="O3758"/>
    </row>
    <row r="3759" spans="1:15" x14ac:dyDescent="0.35">
      <c r="A3759" t="s">
        <v>4736</v>
      </c>
      <c r="B3759" s="2">
        <v>45934</v>
      </c>
      <c r="C3759" t="s">
        <v>10</v>
      </c>
      <c r="D3759" t="s">
        <v>11</v>
      </c>
      <c r="E3759" t="s">
        <v>12</v>
      </c>
      <c r="F3759" t="s">
        <v>13</v>
      </c>
      <c r="G3759">
        <v>4</v>
      </c>
      <c r="H3759">
        <v>2.5</v>
      </c>
      <c r="I3759" t="s">
        <v>39</v>
      </c>
      <c r="J3759" t="s">
        <v>254</v>
      </c>
      <c r="K3759" s="12">
        <f>Store_Record[[#This Row],[Qty]]*Store_Record[[#This Row],[UnitPriceGBP]]</f>
        <v>10</v>
      </c>
      <c r="L3759" s="5" t="str">
        <f>TEXT(Store_Record[[#This Row],[Date]],"dddd")</f>
        <v>Saturday</v>
      </c>
      <c r="M3759" s="5" t="str">
        <f>TEXT(Store_Record[[#This Row],[Date]],"mmmm")</f>
        <v>October</v>
      </c>
      <c r="N3759" s="5">
        <f>YEAR(Store_Record[[#This Row],[Date]])</f>
        <v>2025</v>
      </c>
      <c r="O3759"/>
    </row>
    <row r="3760" spans="1:15" x14ac:dyDescent="0.35">
      <c r="A3760" t="s">
        <v>4738</v>
      </c>
      <c r="B3760" s="2">
        <v>45934</v>
      </c>
      <c r="C3760" t="s">
        <v>20</v>
      </c>
      <c r="D3760" t="s">
        <v>29</v>
      </c>
      <c r="E3760" t="s">
        <v>12</v>
      </c>
      <c r="F3760" t="s">
        <v>13</v>
      </c>
      <c r="G3760">
        <v>4</v>
      </c>
      <c r="H3760">
        <v>2.5</v>
      </c>
      <c r="I3760" t="s">
        <v>39</v>
      </c>
      <c r="J3760" t="s">
        <v>1471</v>
      </c>
      <c r="K3760" s="12">
        <f>Store_Record[[#This Row],[Qty]]*Store_Record[[#This Row],[UnitPriceGBP]]</f>
        <v>10</v>
      </c>
      <c r="L3760" s="5" t="str">
        <f>TEXT(Store_Record[[#This Row],[Date]],"dddd")</f>
        <v>Saturday</v>
      </c>
      <c r="M3760" s="5" t="str">
        <f>TEXT(Store_Record[[#This Row],[Date]],"mmmm")</f>
        <v>October</v>
      </c>
      <c r="N3760" s="5">
        <f>YEAR(Store_Record[[#This Row],[Date]])</f>
        <v>2025</v>
      </c>
      <c r="O3760"/>
    </row>
    <row r="3761" spans="1:15" x14ac:dyDescent="0.35">
      <c r="A3761" t="s">
        <v>4739</v>
      </c>
      <c r="B3761" s="2">
        <v>45934</v>
      </c>
      <c r="C3761" t="s">
        <v>20</v>
      </c>
      <c r="D3761" t="s">
        <v>47</v>
      </c>
      <c r="E3761" t="s">
        <v>30</v>
      </c>
      <c r="F3761" t="s">
        <v>31</v>
      </c>
      <c r="G3761">
        <v>3</v>
      </c>
      <c r="H3761">
        <v>2.8</v>
      </c>
      <c r="I3761" t="s">
        <v>21</v>
      </c>
      <c r="J3761" t="s">
        <v>1389</v>
      </c>
      <c r="K3761" s="12">
        <f>Store_Record[[#This Row],[Qty]]*Store_Record[[#This Row],[UnitPriceGBP]]</f>
        <v>8.3999999999999986</v>
      </c>
      <c r="L3761" s="5" t="str">
        <f>TEXT(Store_Record[[#This Row],[Date]],"dddd")</f>
        <v>Saturday</v>
      </c>
      <c r="M3761" s="5" t="str">
        <f>TEXT(Store_Record[[#This Row],[Date]],"mmmm")</f>
        <v>October</v>
      </c>
      <c r="N3761" s="5">
        <f>YEAR(Store_Record[[#This Row],[Date]])</f>
        <v>2025</v>
      </c>
      <c r="O3761"/>
    </row>
    <row r="3762" spans="1:15" x14ac:dyDescent="0.35">
      <c r="A3762" t="s">
        <v>4742</v>
      </c>
      <c r="B3762" s="2">
        <v>45934</v>
      </c>
      <c r="C3762" t="s">
        <v>24</v>
      </c>
      <c r="D3762" t="s">
        <v>11</v>
      </c>
      <c r="E3762" t="s">
        <v>30</v>
      </c>
      <c r="F3762" t="s">
        <v>31</v>
      </c>
      <c r="G3762">
        <v>3</v>
      </c>
      <c r="H3762">
        <v>2.8</v>
      </c>
      <c r="I3762" t="s">
        <v>39</v>
      </c>
      <c r="J3762" t="s">
        <v>1029</v>
      </c>
      <c r="K3762" s="12">
        <f>Store_Record[[#This Row],[Qty]]*Store_Record[[#This Row],[UnitPriceGBP]]</f>
        <v>8.3999999999999986</v>
      </c>
      <c r="L3762" s="5" t="str">
        <f>TEXT(Store_Record[[#This Row],[Date]],"dddd")</f>
        <v>Saturday</v>
      </c>
      <c r="M3762" s="5" t="str">
        <f>TEXT(Store_Record[[#This Row],[Date]],"mmmm")</f>
        <v>October</v>
      </c>
      <c r="N3762" s="5">
        <f>YEAR(Store_Record[[#This Row],[Date]])</f>
        <v>2025</v>
      </c>
      <c r="O3762"/>
    </row>
    <row r="3763" spans="1:15" x14ac:dyDescent="0.35">
      <c r="A3763" t="s">
        <v>4740</v>
      </c>
      <c r="B3763" s="2">
        <v>45934</v>
      </c>
      <c r="C3763" t="s">
        <v>36</v>
      </c>
      <c r="D3763" t="s">
        <v>38</v>
      </c>
      <c r="E3763" t="s">
        <v>34</v>
      </c>
      <c r="F3763" t="s">
        <v>31</v>
      </c>
      <c r="G3763">
        <v>3</v>
      </c>
      <c r="H3763">
        <v>2.2000000000000002</v>
      </c>
      <c r="I3763" t="s">
        <v>21</v>
      </c>
      <c r="J3763" t="s">
        <v>376</v>
      </c>
      <c r="K3763" s="12">
        <f>Store_Record[[#This Row],[Qty]]*Store_Record[[#This Row],[UnitPriceGBP]]</f>
        <v>6.6000000000000005</v>
      </c>
      <c r="L3763" s="5" t="str">
        <f>TEXT(Store_Record[[#This Row],[Date]],"dddd")</f>
        <v>Saturday</v>
      </c>
      <c r="M3763" s="5" t="str">
        <f>TEXT(Store_Record[[#This Row],[Date]],"mmmm")</f>
        <v>October</v>
      </c>
      <c r="N3763" s="5">
        <f>YEAR(Store_Record[[#This Row],[Date]])</f>
        <v>2025</v>
      </c>
      <c r="O3763"/>
    </row>
    <row r="3764" spans="1:15" x14ac:dyDescent="0.35">
      <c r="A3764" t="s">
        <v>4737</v>
      </c>
      <c r="B3764" s="2">
        <v>45934</v>
      </c>
      <c r="C3764" t="s">
        <v>24</v>
      </c>
      <c r="D3764" t="s">
        <v>11</v>
      </c>
      <c r="E3764" t="s">
        <v>30</v>
      </c>
      <c r="F3764" t="s">
        <v>31</v>
      </c>
      <c r="G3764">
        <v>2</v>
      </c>
      <c r="H3764">
        <v>2.8</v>
      </c>
      <c r="I3764" t="s">
        <v>21</v>
      </c>
      <c r="J3764" t="s">
        <v>2617</v>
      </c>
      <c r="K3764" s="12">
        <f>Store_Record[[#This Row],[Qty]]*Store_Record[[#This Row],[UnitPriceGBP]]</f>
        <v>5.6</v>
      </c>
      <c r="L3764" s="5" t="str">
        <f>TEXT(Store_Record[[#This Row],[Date]],"dddd")</f>
        <v>Saturday</v>
      </c>
      <c r="M3764" s="5" t="str">
        <f>TEXT(Store_Record[[#This Row],[Date]],"mmmm")</f>
        <v>October</v>
      </c>
      <c r="N3764" s="5">
        <f>YEAR(Store_Record[[#This Row],[Date]])</f>
        <v>2025</v>
      </c>
      <c r="O3764"/>
    </row>
    <row r="3765" spans="1:15" x14ac:dyDescent="0.35">
      <c r="A3765" t="s">
        <v>4735</v>
      </c>
      <c r="B3765" s="2">
        <v>45934</v>
      </c>
      <c r="C3765" t="s">
        <v>10</v>
      </c>
      <c r="D3765" t="s">
        <v>38</v>
      </c>
      <c r="E3765" t="s">
        <v>42</v>
      </c>
      <c r="F3765" t="s">
        <v>13</v>
      </c>
      <c r="G3765">
        <v>1</v>
      </c>
      <c r="H3765">
        <v>3.8</v>
      </c>
      <c r="I3765" t="s">
        <v>39</v>
      </c>
      <c r="J3765" t="s">
        <v>869</v>
      </c>
      <c r="K3765" s="12">
        <f>Store_Record[[#This Row],[Qty]]*Store_Record[[#This Row],[UnitPriceGBP]]</f>
        <v>3.8</v>
      </c>
      <c r="L3765" s="5" t="str">
        <f>TEXT(Store_Record[[#This Row],[Date]],"dddd")</f>
        <v>Saturday</v>
      </c>
      <c r="M3765" s="5" t="str">
        <f>TEXT(Store_Record[[#This Row],[Date]],"mmmm")</f>
        <v>October</v>
      </c>
      <c r="N3765" s="5">
        <f>YEAR(Store_Record[[#This Row],[Date]])</f>
        <v>2025</v>
      </c>
      <c r="O3765"/>
    </row>
    <row r="3766" spans="1:15" x14ac:dyDescent="0.35">
      <c r="A3766" t="s">
        <v>4743</v>
      </c>
      <c r="B3766" s="2">
        <v>45934</v>
      </c>
      <c r="C3766" t="s">
        <v>36</v>
      </c>
      <c r="D3766" t="s">
        <v>38</v>
      </c>
      <c r="E3766" t="s">
        <v>30</v>
      </c>
      <c r="F3766" t="s">
        <v>31</v>
      </c>
      <c r="G3766">
        <v>1</v>
      </c>
      <c r="H3766">
        <v>2.8</v>
      </c>
      <c r="I3766" t="s">
        <v>14</v>
      </c>
      <c r="J3766" t="s">
        <v>436</v>
      </c>
      <c r="K3766" s="12">
        <f>Store_Record[[#This Row],[Qty]]*Store_Record[[#This Row],[UnitPriceGBP]]</f>
        <v>2.8</v>
      </c>
      <c r="L3766" s="5" t="str">
        <f>TEXT(Store_Record[[#This Row],[Date]],"dddd")</f>
        <v>Saturday</v>
      </c>
      <c r="M3766" s="5" t="str">
        <f>TEXT(Store_Record[[#This Row],[Date]],"mmmm")</f>
        <v>October</v>
      </c>
      <c r="N3766" s="5">
        <f>YEAR(Store_Record[[#This Row],[Date]])</f>
        <v>2025</v>
      </c>
      <c r="O3766"/>
    </row>
    <row r="3767" spans="1:15" x14ac:dyDescent="0.35">
      <c r="A3767" t="s">
        <v>4755</v>
      </c>
      <c r="B3767" s="2">
        <v>45935</v>
      </c>
      <c r="C3767" t="s">
        <v>36</v>
      </c>
      <c r="D3767" t="s">
        <v>11</v>
      </c>
      <c r="E3767" t="s">
        <v>26</v>
      </c>
      <c r="F3767" t="s">
        <v>13</v>
      </c>
      <c r="G3767">
        <v>5</v>
      </c>
      <c r="H3767">
        <v>3.5</v>
      </c>
      <c r="I3767" t="s">
        <v>14</v>
      </c>
      <c r="J3767" t="s">
        <v>555</v>
      </c>
      <c r="K3767" s="12">
        <f>Store_Record[[#This Row],[Qty]]*Store_Record[[#This Row],[UnitPriceGBP]]</f>
        <v>17.5</v>
      </c>
      <c r="L3767" s="5" t="str">
        <f>TEXT(Store_Record[[#This Row],[Date]],"dddd")</f>
        <v>Sunday</v>
      </c>
      <c r="M3767" s="5" t="str">
        <f>TEXT(Store_Record[[#This Row],[Date]],"mmmm")</f>
        <v>October</v>
      </c>
      <c r="N3767" s="5">
        <f>YEAR(Store_Record[[#This Row],[Date]])</f>
        <v>2025</v>
      </c>
      <c r="O3767"/>
    </row>
    <row r="3768" spans="1:15" x14ac:dyDescent="0.35">
      <c r="A3768" t="s">
        <v>4752</v>
      </c>
      <c r="B3768" s="2">
        <v>45935</v>
      </c>
      <c r="C3768" t="s">
        <v>36</v>
      </c>
      <c r="D3768" t="s">
        <v>11</v>
      </c>
      <c r="E3768" t="s">
        <v>42</v>
      </c>
      <c r="F3768" t="s">
        <v>13</v>
      </c>
      <c r="G3768">
        <v>4</v>
      </c>
      <c r="H3768">
        <v>3.8</v>
      </c>
      <c r="I3768" t="s">
        <v>39</v>
      </c>
      <c r="J3768" t="s">
        <v>1989</v>
      </c>
      <c r="K3768" s="12">
        <f>Store_Record[[#This Row],[Qty]]*Store_Record[[#This Row],[UnitPriceGBP]]</f>
        <v>15.2</v>
      </c>
      <c r="L3768" s="5" t="str">
        <f>TEXT(Store_Record[[#This Row],[Date]],"dddd")</f>
        <v>Sunday</v>
      </c>
      <c r="M3768" s="5" t="str">
        <f>TEXT(Store_Record[[#This Row],[Date]],"mmmm")</f>
        <v>October</v>
      </c>
      <c r="N3768" s="5">
        <f>YEAR(Store_Record[[#This Row],[Date]])</f>
        <v>2025</v>
      </c>
      <c r="O3768"/>
    </row>
    <row r="3769" spans="1:15" x14ac:dyDescent="0.35">
      <c r="A3769" t="s">
        <v>4747</v>
      </c>
      <c r="B3769" s="2">
        <v>45935</v>
      </c>
      <c r="C3769" t="s">
        <v>36</v>
      </c>
      <c r="D3769" t="s">
        <v>47</v>
      </c>
      <c r="E3769" t="s">
        <v>42</v>
      </c>
      <c r="F3769" t="s">
        <v>13</v>
      </c>
      <c r="G3769">
        <v>3</v>
      </c>
      <c r="H3769">
        <v>3.8</v>
      </c>
      <c r="I3769" t="s">
        <v>21</v>
      </c>
      <c r="J3769" t="s">
        <v>4641</v>
      </c>
      <c r="K3769" s="12">
        <f>Store_Record[[#This Row],[Qty]]*Store_Record[[#This Row],[UnitPriceGBP]]</f>
        <v>11.399999999999999</v>
      </c>
      <c r="L3769" s="5" t="str">
        <f>TEXT(Store_Record[[#This Row],[Date]],"dddd")</f>
        <v>Sunday</v>
      </c>
      <c r="M3769" s="5" t="str">
        <f>TEXT(Store_Record[[#This Row],[Date]],"mmmm")</f>
        <v>October</v>
      </c>
      <c r="N3769" s="5">
        <f>YEAR(Store_Record[[#This Row],[Date]])</f>
        <v>2025</v>
      </c>
      <c r="O3769"/>
    </row>
    <row r="3770" spans="1:15" x14ac:dyDescent="0.35">
      <c r="A3770" t="s">
        <v>4758</v>
      </c>
      <c r="B3770" s="2">
        <v>45935</v>
      </c>
      <c r="C3770" t="s">
        <v>20</v>
      </c>
      <c r="D3770" t="s">
        <v>38</v>
      </c>
      <c r="E3770" t="s">
        <v>26</v>
      </c>
      <c r="F3770" t="s">
        <v>13</v>
      </c>
      <c r="G3770">
        <v>3</v>
      </c>
      <c r="H3770">
        <v>3.8</v>
      </c>
      <c r="I3770" t="s">
        <v>14</v>
      </c>
      <c r="J3770" t="s">
        <v>827</v>
      </c>
      <c r="K3770" s="12">
        <f>Store_Record[[#This Row],[Qty]]*Store_Record[[#This Row],[UnitPriceGBP]]</f>
        <v>11.399999999999999</v>
      </c>
      <c r="L3770" s="5" t="str">
        <f>TEXT(Store_Record[[#This Row],[Date]],"dddd")</f>
        <v>Sunday</v>
      </c>
      <c r="M3770" s="5" t="str">
        <f>TEXT(Store_Record[[#This Row],[Date]],"mmmm")</f>
        <v>October</v>
      </c>
      <c r="N3770" s="5">
        <f>YEAR(Store_Record[[#This Row],[Date]])</f>
        <v>2025</v>
      </c>
      <c r="O3770"/>
    </row>
    <row r="3771" spans="1:15" x14ac:dyDescent="0.35">
      <c r="A3771" t="s">
        <v>4753</v>
      </c>
      <c r="B3771" s="2">
        <v>45935</v>
      </c>
      <c r="C3771" t="s">
        <v>10</v>
      </c>
      <c r="D3771" t="s">
        <v>25</v>
      </c>
      <c r="E3771" t="s">
        <v>34</v>
      </c>
      <c r="F3771" t="s">
        <v>31</v>
      </c>
      <c r="G3771">
        <v>5</v>
      </c>
      <c r="H3771">
        <v>2.2000000000000002</v>
      </c>
      <c r="I3771" t="s">
        <v>39</v>
      </c>
      <c r="J3771" t="s">
        <v>2968</v>
      </c>
      <c r="K3771" s="12">
        <f>Store_Record[[#This Row],[Qty]]*Store_Record[[#This Row],[UnitPriceGBP]]</f>
        <v>11</v>
      </c>
      <c r="L3771" s="5" t="str">
        <f>TEXT(Store_Record[[#This Row],[Date]],"dddd")</f>
        <v>Sunday</v>
      </c>
      <c r="M3771" s="5" t="str">
        <f>TEXT(Store_Record[[#This Row],[Date]],"mmmm")</f>
        <v>October</v>
      </c>
      <c r="N3771" s="5">
        <f>YEAR(Store_Record[[#This Row],[Date]])</f>
        <v>2025</v>
      </c>
      <c r="O3771"/>
    </row>
    <row r="3772" spans="1:15" x14ac:dyDescent="0.35">
      <c r="A3772" t="s">
        <v>4757</v>
      </c>
      <c r="B3772" s="2">
        <v>45935</v>
      </c>
      <c r="C3772" t="s">
        <v>20</v>
      </c>
      <c r="D3772" t="s">
        <v>11</v>
      </c>
      <c r="E3772" t="s">
        <v>34</v>
      </c>
      <c r="F3772" t="s">
        <v>31</v>
      </c>
      <c r="G3772">
        <v>5</v>
      </c>
      <c r="H3772">
        <v>2.2000000000000002</v>
      </c>
      <c r="I3772" t="s">
        <v>21</v>
      </c>
      <c r="J3772" t="s">
        <v>764</v>
      </c>
      <c r="K3772" s="12">
        <f>Store_Record[[#This Row],[Qty]]*Store_Record[[#This Row],[UnitPriceGBP]]</f>
        <v>11</v>
      </c>
      <c r="L3772" s="5" t="str">
        <f>TEXT(Store_Record[[#This Row],[Date]],"dddd")</f>
        <v>Sunday</v>
      </c>
      <c r="M3772" s="5" t="str">
        <f>TEXT(Store_Record[[#This Row],[Date]],"mmmm")</f>
        <v>October</v>
      </c>
      <c r="N3772" s="5">
        <f>YEAR(Store_Record[[#This Row],[Date]])</f>
        <v>2025</v>
      </c>
      <c r="O3772"/>
    </row>
    <row r="3773" spans="1:15" x14ac:dyDescent="0.35">
      <c r="A3773" t="s">
        <v>4750</v>
      </c>
      <c r="B3773" s="2">
        <v>45935</v>
      </c>
      <c r="C3773" t="s">
        <v>10</v>
      </c>
      <c r="D3773" t="s">
        <v>11</v>
      </c>
      <c r="E3773" t="s">
        <v>26</v>
      </c>
      <c r="F3773" t="s">
        <v>13</v>
      </c>
      <c r="G3773">
        <v>3</v>
      </c>
      <c r="H3773">
        <v>3.5</v>
      </c>
      <c r="I3773" t="s">
        <v>14</v>
      </c>
      <c r="J3773" t="s">
        <v>547</v>
      </c>
      <c r="K3773" s="12">
        <f>Store_Record[[#This Row],[Qty]]*Store_Record[[#This Row],[UnitPriceGBP]]</f>
        <v>10.5</v>
      </c>
      <c r="L3773" s="5" t="str">
        <f>TEXT(Store_Record[[#This Row],[Date]],"dddd")</f>
        <v>Sunday</v>
      </c>
      <c r="M3773" s="5" t="str">
        <f>TEXT(Store_Record[[#This Row],[Date]],"mmmm")</f>
        <v>October</v>
      </c>
      <c r="N3773" s="5">
        <f>YEAR(Store_Record[[#This Row],[Date]])</f>
        <v>2025</v>
      </c>
      <c r="O3773"/>
    </row>
    <row r="3774" spans="1:15" x14ac:dyDescent="0.35">
      <c r="A3774" t="s">
        <v>4759</v>
      </c>
      <c r="B3774" s="2">
        <v>45935</v>
      </c>
      <c r="C3774" t="s">
        <v>36</v>
      </c>
      <c r="D3774" t="s">
        <v>11</v>
      </c>
      <c r="E3774" t="s">
        <v>34</v>
      </c>
      <c r="F3774" t="s">
        <v>31</v>
      </c>
      <c r="G3774">
        <v>4</v>
      </c>
      <c r="H3774">
        <v>2.2000000000000002</v>
      </c>
      <c r="I3774" t="s">
        <v>14</v>
      </c>
      <c r="J3774" t="s">
        <v>734</v>
      </c>
      <c r="K3774" s="12">
        <f>Store_Record[[#This Row],[Qty]]*Store_Record[[#This Row],[UnitPriceGBP]]</f>
        <v>8.8000000000000007</v>
      </c>
      <c r="L3774" s="5" t="str">
        <f>TEXT(Store_Record[[#This Row],[Date]],"dddd")</f>
        <v>Sunday</v>
      </c>
      <c r="M3774" s="5" t="str">
        <f>TEXT(Store_Record[[#This Row],[Date]],"mmmm")</f>
        <v>October</v>
      </c>
      <c r="N3774" s="5">
        <f>YEAR(Store_Record[[#This Row],[Date]])</f>
        <v>2025</v>
      </c>
      <c r="O3774"/>
    </row>
    <row r="3775" spans="1:15" x14ac:dyDescent="0.35">
      <c r="A3775" t="s">
        <v>4749</v>
      </c>
      <c r="B3775" s="2">
        <v>45935</v>
      </c>
      <c r="C3775" t="s">
        <v>24</v>
      </c>
      <c r="D3775" t="s">
        <v>47</v>
      </c>
      <c r="E3775" t="s">
        <v>12</v>
      </c>
      <c r="F3775" t="s">
        <v>13</v>
      </c>
      <c r="G3775">
        <v>3</v>
      </c>
      <c r="H3775">
        <v>2.5</v>
      </c>
      <c r="I3775" t="s">
        <v>21</v>
      </c>
      <c r="J3775" t="s">
        <v>2642</v>
      </c>
      <c r="K3775" s="12">
        <f>Store_Record[[#This Row],[Qty]]*Store_Record[[#This Row],[UnitPriceGBP]]</f>
        <v>7.5</v>
      </c>
      <c r="L3775" s="5" t="str">
        <f>TEXT(Store_Record[[#This Row],[Date]],"dddd")</f>
        <v>Sunday</v>
      </c>
      <c r="M3775" s="5" t="str">
        <f>TEXT(Store_Record[[#This Row],[Date]],"mmmm")</f>
        <v>October</v>
      </c>
      <c r="N3775" s="5">
        <f>YEAR(Store_Record[[#This Row],[Date]])</f>
        <v>2025</v>
      </c>
      <c r="O3775"/>
    </row>
    <row r="3776" spans="1:15" x14ac:dyDescent="0.35">
      <c r="A3776" t="s">
        <v>4746</v>
      </c>
      <c r="B3776" s="2">
        <v>45935</v>
      </c>
      <c r="C3776" t="s">
        <v>24</v>
      </c>
      <c r="D3776" t="s">
        <v>47</v>
      </c>
      <c r="E3776" t="s">
        <v>26</v>
      </c>
      <c r="F3776" t="s">
        <v>13</v>
      </c>
      <c r="G3776">
        <v>2</v>
      </c>
      <c r="H3776">
        <v>3.5</v>
      </c>
      <c r="I3776" t="s">
        <v>21</v>
      </c>
      <c r="J3776" t="s">
        <v>3930</v>
      </c>
      <c r="K3776" s="12">
        <f>Store_Record[[#This Row],[Qty]]*Store_Record[[#This Row],[UnitPriceGBP]]</f>
        <v>7</v>
      </c>
      <c r="L3776" s="5" t="str">
        <f>TEXT(Store_Record[[#This Row],[Date]],"dddd")</f>
        <v>Sunday</v>
      </c>
      <c r="M3776" s="5" t="str">
        <f>TEXT(Store_Record[[#This Row],[Date]],"mmmm")</f>
        <v>October</v>
      </c>
      <c r="N3776" s="5">
        <f>YEAR(Store_Record[[#This Row],[Date]])</f>
        <v>2025</v>
      </c>
      <c r="O3776"/>
    </row>
    <row r="3777" spans="1:15" x14ac:dyDescent="0.35">
      <c r="A3777" t="s">
        <v>4748</v>
      </c>
      <c r="B3777" s="2">
        <v>45935</v>
      </c>
      <c r="C3777" t="s">
        <v>20</v>
      </c>
      <c r="D3777" t="s">
        <v>25</v>
      </c>
      <c r="E3777" t="s">
        <v>26</v>
      </c>
      <c r="F3777" t="s">
        <v>13</v>
      </c>
      <c r="G3777">
        <v>1</v>
      </c>
      <c r="H3777">
        <v>3.5</v>
      </c>
      <c r="I3777" t="s">
        <v>14</v>
      </c>
      <c r="J3777" t="s">
        <v>452</v>
      </c>
      <c r="K3777" s="12">
        <f>Store_Record[[#This Row],[Qty]]*Store_Record[[#This Row],[UnitPriceGBP]]</f>
        <v>3.5</v>
      </c>
      <c r="L3777" s="5" t="str">
        <f>TEXT(Store_Record[[#This Row],[Date]],"dddd")</f>
        <v>Sunday</v>
      </c>
      <c r="M3777" s="5" t="str">
        <f>TEXT(Store_Record[[#This Row],[Date]],"mmmm")</f>
        <v>October</v>
      </c>
      <c r="N3777" s="5">
        <f>YEAR(Store_Record[[#This Row],[Date]])</f>
        <v>2025</v>
      </c>
      <c r="O3777"/>
    </row>
    <row r="3778" spans="1:15" x14ac:dyDescent="0.35">
      <c r="A3778" t="s">
        <v>4754</v>
      </c>
      <c r="B3778" s="2">
        <v>45935</v>
      </c>
      <c r="C3778" t="s">
        <v>10</v>
      </c>
      <c r="D3778" t="s">
        <v>25</v>
      </c>
      <c r="E3778" t="s">
        <v>26</v>
      </c>
      <c r="F3778" t="s">
        <v>13</v>
      </c>
      <c r="G3778">
        <v>1</v>
      </c>
      <c r="H3778">
        <v>3.5</v>
      </c>
      <c r="I3778" t="s">
        <v>14</v>
      </c>
      <c r="J3778" t="s">
        <v>1262</v>
      </c>
      <c r="K3778" s="12">
        <f>Store_Record[[#This Row],[Qty]]*Store_Record[[#This Row],[UnitPriceGBP]]</f>
        <v>3.5</v>
      </c>
      <c r="L3778" s="5" t="str">
        <f>TEXT(Store_Record[[#This Row],[Date]],"dddd")</f>
        <v>Sunday</v>
      </c>
      <c r="M3778" s="5" t="str">
        <f>TEXT(Store_Record[[#This Row],[Date]],"mmmm")</f>
        <v>October</v>
      </c>
      <c r="N3778" s="5">
        <f>YEAR(Store_Record[[#This Row],[Date]])</f>
        <v>2025</v>
      </c>
      <c r="O3778"/>
    </row>
    <row r="3779" spans="1:15" x14ac:dyDescent="0.35">
      <c r="A3779" t="s">
        <v>4756</v>
      </c>
      <c r="B3779" s="2">
        <v>45935</v>
      </c>
      <c r="C3779" t="s">
        <v>36</v>
      </c>
      <c r="D3779" t="s">
        <v>11</v>
      </c>
      <c r="E3779" t="s">
        <v>26</v>
      </c>
      <c r="F3779" t="s">
        <v>13</v>
      </c>
      <c r="G3779">
        <v>1</v>
      </c>
      <c r="H3779">
        <v>3.5</v>
      </c>
      <c r="I3779" t="s">
        <v>14</v>
      </c>
      <c r="J3779" t="s">
        <v>884</v>
      </c>
      <c r="K3779" s="12">
        <f>Store_Record[[#This Row],[Qty]]*Store_Record[[#This Row],[UnitPriceGBP]]</f>
        <v>3.5</v>
      </c>
      <c r="L3779" s="5" t="str">
        <f>TEXT(Store_Record[[#This Row],[Date]],"dddd")</f>
        <v>Sunday</v>
      </c>
      <c r="M3779" s="5" t="str">
        <f>TEXT(Store_Record[[#This Row],[Date]],"mmmm")</f>
        <v>October</v>
      </c>
      <c r="N3779" s="5">
        <f>YEAR(Store_Record[[#This Row],[Date]])</f>
        <v>2025</v>
      </c>
      <c r="O3779"/>
    </row>
    <row r="3780" spans="1:15" x14ac:dyDescent="0.35">
      <c r="A3780" t="s">
        <v>4751</v>
      </c>
      <c r="B3780" s="2">
        <v>45935</v>
      </c>
      <c r="C3780" t="s">
        <v>10</v>
      </c>
      <c r="D3780" t="s">
        <v>11</v>
      </c>
      <c r="E3780" t="s">
        <v>12</v>
      </c>
      <c r="F3780" t="s">
        <v>13</v>
      </c>
      <c r="G3780">
        <v>1</v>
      </c>
      <c r="H3780">
        <v>2.5</v>
      </c>
      <c r="I3780" t="s">
        <v>14</v>
      </c>
      <c r="J3780" t="s">
        <v>515</v>
      </c>
      <c r="K3780" s="12">
        <f>Store_Record[[#This Row],[Qty]]*Store_Record[[#This Row],[UnitPriceGBP]]</f>
        <v>2.5</v>
      </c>
      <c r="L3780" s="5" t="str">
        <f>TEXT(Store_Record[[#This Row],[Date]],"dddd")</f>
        <v>Sunday</v>
      </c>
      <c r="M3780" s="5" t="str">
        <f>TEXT(Store_Record[[#This Row],[Date]],"mmmm")</f>
        <v>October</v>
      </c>
      <c r="N3780" s="5">
        <f>YEAR(Store_Record[[#This Row],[Date]])</f>
        <v>2025</v>
      </c>
      <c r="O3780"/>
    </row>
    <row r="3781" spans="1:15" x14ac:dyDescent="0.35">
      <c r="A3781" t="s">
        <v>4766</v>
      </c>
      <c r="B3781" s="2">
        <v>45936</v>
      </c>
      <c r="C3781" t="s">
        <v>10</v>
      </c>
      <c r="D3781" t="s">
        <v>29</v>
      </c>
      <c r="E3781" t="s">
        <v>42</v>
      </c>
      <c r="F3781" t="s">
        <v>13</v>
      </c>
      <c r="G3781">
        <v>5</v>
      </c>
      <c r="H3781">
        <v>3.8</v>
      </c>
      <c r="I3781" t="s">
        <v>21</v>
      </c>
      <c r="J3781" t="s">
        <v>1864</v>
      </c>
      <c r="K3781" s="12">
        <f>Store_Record[[#This Row],[Qty]]*Store_Record[[#This Row],[UnitPriceGBP]]</f>
        <v>19</v>
      </c>
      <c r="L3781" s="5" t="str">
        <f>TEXT(Store_Record[[#This Row],[Date]],"dddd")</f>
        <v>Monday</v>
      </c>
      <c r="M3781" s="5" t="str">
        <f>TEXT(Store_Record[[#This Row],[Date]],"mmmm")</f>
        <v>October</v>
      </c>
      <c r="N3781" s="5">
        <f>YEAR(Store_Record[[#This Row],[Date]])</f>
        <v>2025</v>
      </c>
      <c r="O3781"/>
    </row>
    <row r="3782" spans="1:15" x14ac:dyDescent="0.35">
      <c r="A3782" t="s">
        <v>4765</v>
      </c>
      <c r="B3782" s="2">
        <v>45936</v>
      </c>
      <c r="C3782" t="s">
        <v>24</v>
      </c>
      <c r="D3782" t="s">
        <v>25</v>
      </c>
      <c r="E3782" t="s">
        <v>26</v>
      </c>
      <c r="F3782" t="s">
        <v>13</v>
      </c>
      <c r="G3782">
        <v>3</v>
      </c>
      <c r="H3782">
        <v>3.5</v>
      </c>
      <c r="I3782" t="s">
        <v>39</v>
      </c>
      <c r="J3782" t="s">
        <v>1806</v>
      </c>
      <c r="K3782" s="12">
        <f>Store_Record[[#This Row],[Qty]]*Store_Record[[#This Row],[UnitPriceGBP]]</f>
        <v>10.5</v>
      </c>
      <c r="L3782" s="5" t="str">
        <f>TEXT(Store_Record[[#This Row],[Date]],"dddd")</f>
        <v>Monday</v>
      </c>
      <c r="M3782" s="5" t="str">
        <f>TEXT(Store_Record[[#This Row],[Date]],"mmmm")</f>
        <v>October</v>
      </c>
      <c r="N3782" s="5">
        <f>YEAR(Store_Record[[#This Row],[Date]])</f>
        <v>2025</v>
      </c>
      <c r="O3782"/>
    </row>
    <row r="3783" spans="1:15" x14ac:dyDescent="0.35">
      <c r="A3783" t="s">
        <v>4769</v>
      </c>
      <c r="B3783" s="2">
        <v>45936</v>
      </c>
      <c r="C3783" t="s">
        <v>10</v>
      </c>
      <c r="D3783" t="s">
        <v>38</v>
      </c>
      <c r="E3783" t="s">
        <v>12</v>
      </c>
      <c r="F3783" t="s">
        <v>13</v>
      </c>
      <c r="G3783">
        <v>4</v>
      </c>
      <c r="H3783">
        <v>2.5</v>
      </c>
      <c r="I3783" t="s">
        <v>39</v>
      </c>
      <c r="J3783" t="s">
        <v>3059</v>
      </c>
      <c r="K3783" s="12">
        <f>Store_Record[[#This Row],[Qty]]*Store_Record[[#This Row],[UnitPriceGBP]]</f>
        <v>10</v>
      </c>
      <c r="L3783" s="5" t="str">
        <f>TEXT(Store_Record[[#This Row],[Date]],"dddd")</f>
        <v>Monday</v>
      </c>
      <c r="M3783" s="5" t="str">
        <f>TEXT(Store_Record[[#This Row],[Date]],"mmmm")</f>
        <v>October</v>
      </c>
      <c r="N3783" s="5">
        <f>YEAR(Store_Record[[#This Row],[Date]])</f>
        <v>2025</v>
      </c>
      <c r="O3783"/>
    </row>
    <row r="3784" spans="1:15" x14ac:dyDescent="0.35">
      <c r="A3784" t="s">
        <v>4768</v>
      </c>
      <c r="B3784" s="2">
        <v>45936</v>
      </c>
      <c r="C3784" t="s">
        <v>10</v>
      </c>
      <c r="D3784" t="s">
        <v>47</v>
      </c>
      <c r="E3784" t="s">
        <v>42</v>
      </c>
      <c r="F3784" t="s">
        <v>13</v>
      </c>
      <c r="G3784">
        <v>2</v>
      </c>
      <c r="H3784">
        <v>3.8</v>
      </c>
      <c r="I3784" t="s">
        <v>21</v>
      </c>
      <c r="J3784" t="s">
        <v>2245</v>
      </c>
      <c r="K3784" s="12">
        <f>Store_Record[[#This Row],[Qty]]*Store_Record[[#This Row],[UnitPriceGBP]]</f>
        <v>7.6</v>
      </c>
      <c r="L3784" s="5" t="str">
        <f>TEXT(Store_Record[[#This Row],[Date]],"dddd")</f>
        <v>Monday</v>
      </c>
      <c r="M3784" s="5" t="str">
        <f>TEXT(Store_Record[[#This Row],[Date]],"mmmm")</f>
        <v>October</v>
      </c>
      <c r="N3784" s="5">
        <f>YEAR(Store_Record[[#This Row],[Date]])</f>
        <v>2025</v>
      </c>
      <c r="O3784"/>
    </row>
    <row r="3785" spans="1:15" x14ac:dyDescent="0.35">
      <c r="A3785" t="s">
        <v>4770</v>
      </c>
      <c r="B3785" s="2">
        <v>45936</v>
      </c>
      <c r="C3785" t="s">
        <v>10</v>
      </c>
      <c r="D3785" t="s">
        <v>11</v>
      </c>
      <c r="E3785" t="s">
        <v>12</v>
      </c>
      <c r="F3785" t="s">
        <v>13</v>
      </c>
      <c r="G3785">
        <v>3</v>
      </c>
      <c r="H3785">
        <v>2.5</v>
      </c>
      <c r="I3785" t="s">
        <v>39</v>
      </c>
      <c r="J3785" t="s">
        <v>2119</v>
      </c>
      <c r="K3785" s="12">
        <f>Store_Record[[#This Row],[Qty]]*Store_Record[[#This Row],[UnitPriceGBP]]</f>
        <v>7.5</v>
      </c>
      <c r="L3785" s="5" t="str">
        <f>TEXT(Store_Record[[#This Row],[Date]],"dddd")</f>
        <v>Monday</v>
      </c>
      <c r="M3785" s="5" t="str">
        <f>TEXT(Store_Record[[#This Row],[Date]],"mmmm")</f>
        <v>October</v>
      </c>
      <c r="N3785" s="5">
        <f>YEAR(Store_Record[[#This Row],[Date]])</f>
        <v>2025</v>
      </c>
      <c r="O3785"/>
    </row>
    <row r="3786" spans="1:15" x14ac:dyDescent="0.35">
      <c r="A3786" t="s">
        <v>4764</v>
      </c>
      <c r="B3786" s="2">
        <v>45936</v>
      </c>
      <c r="C3786" t="s">
        <v>24</v>
      </c>
      <c r="D3786" t="s">
        <v>47</v>
      </c>
      <c r="E3786" t="s">
        <v>26</v>
      </c>
      <c r="F3786" t="s">
        <v>13</v>
      </c>
      <c r="G3786">
        <v>2</v>
      </c>
      <c r="H3786">
        <v>3.5</v>
      </c>
      <c r="I3786" t="s">
        <v>39</v>
      </c>
      <c r="J3786" t="s">
        <v>1714</v>
      </c>
      <c r="K3786" s="12">
        <f>Store_Record[[#This Row],[Qty]]*Store_Record[[#This Row],[UnitPriceGBP]]</f>
        <v>7</v>
      </c>
      <c r="L3786" s="5" t="str">
        <f>TEXT(Store_Record[[#This Row],[Date]],"dddd")</f>
        <v>Monday</v>
      </c>
      <c r="M3786" s="5" t="str">
        <f>TEXT(Store_Record[[#This Row],[Date]],"mmmm")</f>
        <v>October</v>
      </c>
      <c r="N3786" s="5">
        <f>YEAR(Store_Record[[#This Row],[Date]])</f>
        <v>2025</v>
      </c>
      <c r="O3786"/>
    </row>
    <row r="3787" spans="1:15" x14ac:dyDescent="0.35">
      <c r="A3787" t="s">
        <v>4771</v>
      </c>
      <c r="B3787" s="2">
        <v>45936</v>
      </c>
      <c r="C3787" t="s">
        <v>24</v>
      </c>
      <c r="D3787" t="s">
        <v>38</v>
      </c>
      <c r="E3787" t="s">
        <v>12</v>
      </c>
      <c r="F3787" t="s">
        <v>13</v>
      </c>
      <c r="G3787">
        <v>2</v>
      </c>
      <c r="H3787">
        <v>2.5</v>
      </c>
      <c r="I3787" t="s">
        <v>14</v>
      </c>
      <c r="J3787" t="s">
        <v>2867</v>
      </c>
      <c r="K3787" s="12">
        <f>Store_Record[[#This Row],[Qty]]*Store_Record[[#This Row],[UnitPriceGBP]]</f>
        <v>5</v>
      </c>
      <c r="L3787" s="5" t="str">
        <f>TEXT(Store_Record[[#This Row],[Date]],"dddd")</f>
        <v>Monday</v>
      </c>
      <c r="M3787" s="5" t="str">
        <f>TEXT(Store_Record[[#This Row],[Date]],"mmmm")</f>
        <v>October</v>
      </c>
      <c r="N3787" s="5">
        <f>YEAR(Store_Record[[#This Row],[Date]])</f>
        <v>2025</v>
      </c>
      <c r="O3787"/>
    </row>
    <row r="3788" spans="1:15" x14ac:dyDescent="0.35">
      <c r="A3788" t="s">
        <v>4763</v>
      </c>
      <c r="B3788" s="2">
        <v>45936</v>
      </c>
      <c r="C3788" t="s">
        <v>10</v>
      </c>
      <c r="D3788" t="s">
        <v>38</v>
      </c>
      <c r="E3788" t="s">
        <v>34</v>
      </c>
      <c r="F3788" t="s">
        <v>31</v>
      </c>
      <c r="G3788">
        <v>2</v>
      </c>
      <c r="H3788">
        <v>2.2000000000000002</v>
      </c>
      <c r="I3788" t="s">
        <v>14</v>
      </c>
      <c r="J3788" t="s">
        <v>1145</v>
      </c>
      <c r="K3788" s="12">
        <f>Store_Record[[#This Row],[Qty]]*Store_Record[[#This Row],[UnitPriceGBP]]</f>
        <v>4.4000000000000004</v>
      </c>
      <c r="L3788" s="5" t="str">
        <f>TEXT(Store_Record[[#This Row],[Date]],"dddd")</f>
        <v>Monday</v>
      </c>
      <c r="M3788" s="5" t="str">
        <f>TEXT(Store_Record[[#This Row],[Date]],"mmmm")</f>
        <v>October</v>
      </c>
      <c r="N3788" s="5">
        <f>YEAR(Store_Record[[#This Row],[Date]])</f>
        <v>2025</v>
      </c>
      <c r="O3788"/>
    </row>
    <row r="3789" spans="1:15" x14ac:dyDescent="0.35">
      <c r="A3789" t="s">
        <v>4767</v>
      </c>
      <c r="B3789" s="2">
        <v>45936</v>
      </c>
      <c r="C3789" t="s">
        <v>24</v>
      </c>
      <c r="D3789" t="s">
        <v>47</v>
      </c>
      <c r="E3789" t="s">
        <v>42</v>
      </c>
      <c r="F3789" t="s">
        <v>13</v>
      </c>
      <c r="G3789">
        <v>1</v>
      </c>
      <c r="H3789">
        <v>3.8</v>
      </c>
      <c r="I3789" t="s">
        <v>39</v>
      </c>
      <c r="J3789" t="s">
        <v>1708</v>
      </c>
      <c r="K3789" s="12">
        <f>Store_Record[[#This Row],[Qty]]*Store_Record[[#This Row],[UnitPriceGBP]]</f>
        <v>3.8</v>
      </c>
      <c r="L3789" s="5" t="str">
        <f>TEXT(Store_Record[[#This Row],[Date]],"dddd")</f>
        <v>Monday</v>
      </c>
      <c r="M3789" s="5" t="str">
        <f>TEXT(Store_Record[[#This Row],[Date]],"mmmm")</f>
        <v>October</v>
      </c>
      <c r="N3789" s="5">
        <f>YEAR(Store_Record[[#This Row],[Date]])</f>
        <v>2025</v>
      </c>
      <c r="O3789"/>
    </row>
    <row r="3790" spans="1:15" x14ac:dyDescent="0.35">
      <c r="A3790" t="s">
        <v>4762</v>
      </c>
      <c r="B3790" s="2">
        <v>45936</v>
      </c>
      <c r="C3790" t="s">
        <v>24</v>
      </c>
      <c r="D3790" t="s">
        <v>29</v>
      </c>
      <c r="E3790" t="s">
        <v>30</v>
      </c>
      <c r="F3790" t="s">
        <v>31</v>
      </c>
      <c r="G3790">
        <v>1</v>
      </c>
      <c r="H3790">
        <v>2.8</v>
      </c>
      <c r="I3790" t="s">
        <v>14</v>
      </c>
      <c r="J3790" t="s">
        <v>1481</v>
      </c>
      <c r="K3790" s="12">
        <f>Store_Record[[#This Row],[Qty]]*Store_Record[[#This Row],[UnitPriceGBP]]</f>
        <v>2.8</v>
      </c>
      <c r="L3790" s="5" t="str">
        <f>TEXT(Store_Record[[#This Row],[Date]],"dddd")</f>
        <v>Monday</v>
      </c>
      <c r="M3790" s="5" t="str">
        <f>TEXT(Store_Record[[#This Row],[Date]],"mmmm")</f>
        <v>October</v>
      </c>
      <c r="N3790" s="5">
        <f>YEAR(Store_Record[[#This Row],[Date]])</f>
        <v>2025</v>
      </c>
      <c r="O3790"/>
    </row>
    <row r="3791" spans="1:15" x14ac:dyDescent="0.35">
      <c r="A3791" t="s">
        <v>4760</v>
      </c>
      <c r="B3791" s="2">
        <v>45936</v>
      </c>
      <c r="C3791" t="s">
        <v>10</v>
      </c>
      <c r="D3791" t="s">
        <v>47</v>
      </c>
      <c r="E3791" t="s">
        <v>34</v>
      </c>
      <c r="F3791" t="s">
        <v>31</v>
      </c>
      <c r="G3791">
        <v>1</v>
      </c>
      <c r="H3791">
        <v>2.2000000000000002</v>
      </c>
      <c r="I3791" t="s">
        <v>21</v>
      </c>
      <c r="J3791" t="s">
        <v>1327</v>
      </c>
      <c r="K3791" s="12">
        <f>Store_Record[[#This Row],[Qty]]*Store_Record[[#This Row],[UnitPriceGBP]]</f>
        <v>2.2000000000000002</v>
      </c>
      <c r="L3791" s="5" t="str">
        <f>TEXT(Store_Record[[#This Row],[Date]],"dddd")</f>
        <v>Monday</v>
      </c>
      <c r="M3791" s="5" t="str">
        <f>TEXT(Store_Record[[#This Row],[Date]],"mmmm")</f>
        <v>October</v>
      </c>
      <c r="N3791" s="5">
        <f>YEAR(Store_Record[[#This Row],[Date]])</f>
        <v>2025</v>
      </c>
      <c r="O3791"/>
    </row>
    <row r="3792" spans="1:15" x14ac:dyDescent="0.35">
      <c r="A3792" t="s">
        <v>4761</v>
      </c>
      <c r="B3792" s="2">
        <v>45936</v>
      </c>
      <c r="C3792" t="s">
        <v>10</v>
      </c>
      <c r="D3792" t="s">
        <v>29</v>
      </c>
      <c r="E3792" t="s">
        <v>34</v>
      </c>
      <c r="F3792" t="s">
        <v>31</v>
      </c>
      <c r="G3792">
        <v>1</v>
      </c>
      <c r="H3792">
        <v>2.2000000000000002</v>
      </c>
      <c r="I3792" t="s">
        <v>39</v>
      </c>
      <c r="J3792" t="s">
        <v>1384</v>
      </c>
      <c r="K3792" s="12">
        <f>Store_Record[[#This Row],[Qty]]*Store_Record[[#This Row],[UnitPriceGBP]]</f>
        <v>2.2000000000000002</v>
      </c>
      <c r="L3792" s="5" t="str">
        <f>TEXT(Store_Record[[#This Row],[Date]],"dddd")</f>
        <v>Monday</v>
      </c>
      <c r="M3792" s="5" t="str">
        <f>TEXT(Store_Record[[#This Row],[Date]],"mmmm")</f>
        <v>October</v>
      </c>
      <c r="N3792" s="5">
        <f>YEAR(Store_Record[[#This Row],[Date]])</f>
        <v>2025</v>
      </c>
      <c r="O3792"/>
    </row>
    <row r="3793" spans="1:15" x14ac:dyDescent="0.35">
      <c r="A3793" t="s">
        <v>4783</v>
      </c>
      <c r="B3793" s="2">
        <v>45937</v>
      </c>
      <c r="C3793" t="s">
        <v>20</v>
      </c>
      <c r="D3793" t="s">
        <v>38</v>
      </c>
      <c r="E3793" t="s">
        <v>42</v>
      </c>
      <c r="F3793" t="s">
        <v>13</v>
      </c>
      <c r="G3793">
        <v>5</v>
      </c>
      <c r="H3793">
        <v>3.8</v>
      </c>
      <c r="I3793" t="s">
        <v>21</v>
      </c>
      <c r="J3793" t="s">
        <v>3146</v>
      </c>
      <c r="K3793" s="12">
        <f>Store_Record[[#This Row],[Qty]]*Store_Record[[#This Row],[UnitPriceGBP]]</f>
        <v>19</v>
      </c>
      <c r="L3793" s="5" t="str">
        <f>TEXT(Store_Record[[#This Row],[Date]],"dddd")</f>
        <v>Tuesday</v>
      </c>
      <c r="M3793" s="5" t="str">
        <f>TEXT(Store_Record[[#This Row],[Date]],"mmmm")</f>
        <v>October</v>
      </c>
      <c r="N3793" s="5">
        <f>YEAR(Store_Record[[#This Row],[Date]])</f>
        <v>2025</v>
      </c>
      <c r="O3793"/>
    </row>
    <row r="3794" spans="1:15" x14ac:dyDescent="0.35">
      <c r="A3794" t="s">
        <v>4781</v>
      </c>
      <c r="B3794" s="2">
        <v>45937</v>
      </c>
      <c r="C3794" t="s">
        <v>10</v>
      </c>
      <c r="D3794" t="s">
        <v>11</v>
      </c>
      <c r="E3794" t="s">
        <v>26</v>
      </c>
      <c r="F3794" t="s">
        <v>13</v>
      </c>
      <c r="G3794">
        <v>5</v>
      </c>
      <c r="H3794">
        <v>3.5</v>
      </c>
      <c r="I3794" t="s">
        <v>39</v>
      </c>
      <c r="J3794" t="s">
        <v>3731</v>
      </c>
      <c r="K3794" s="12">
        <f>Store_Record[[#This Row],[Qty]]*Store_Record[[#This Row],[UnitPriceGBP]]</f>
        <v>17.5</v>
      </c>
      <c r="L3794" s="5" t="str">
        <f>TEXT(Store_Record[[#This Row],[Date]],"dddd")</f>
        <v>Tuesday</v>
      </c>
      <c r="M3794" s="5" t="str">
        <f>TEXT(Store_Record[[#This Row],[Date]],"mmmm")</f>
        <v>October</v>
      </c>
      <c r="N3794" s="5">
        <f>YEAR(Store_Record[[#This Row],[Date]])</f>
        <v>2025</v>
      </c>
      <c r="O3794"/>
    </row>
    <row r="3795" spans="1:15" x14ac:dyDescent="0.35">
      <c r="A3795" t="s">
        <v>4777</v>
      </c>
      <c r="B3795" s="2">
        <v>45937</v>
      </c>
      <c r="C3795" t="s">
        <v>36</v>
      </c>
      <c r="D3795" t="s">
        <v>29</v>
      </c>
      <c r="E3795" t="s">
        <v>42</v>
      </c>
      <c r="F3795" t="s">
        <v>13</v>
      </c>
      <c r="G3795">
        <v>4</v>
      </c>
      <c r="H3795">
        <v>3.8</v>
      </c>
      <c r="I3795" t="s">
        <v>14</v>
      </c>
      <c r="J3795" t="s">
        <v>271</v>
      </c>
      <c r="K3795" s="12">
        <f>Store_Record[[#This Row],[Qty]]*Store_Record[[#This Row],[UnitPriceGBP]]</f>
        <v>15.2</v>
      </c>
      <c r="L3795" s="5" t="str">
        <f>TEXT(Store_Record[[#This Row],[Date]],"dddd")</f>
        <v>Tuesday</v>
      </c>
      <c r="M3795" s="5" t="str">
        <f>TEXT(Store_Record[[#This Row],[Date]],"mmmm")</f>
        <v>October</v>
      </c>
      <c r="N3795" s="5">
        <f>YEAR(Store_Record[[#This Row],[Date]])</f>
        <v>2025</v>
      </c>
      <c r="O3795"/>
    </row>
    <row r="3796" spans="1:15" x14ac:dyDescent="0.35">
      <c r="A3796" t="s">
        <v>4786</v>
      </c>
      <c r="B3796" s="2">
        <v>45937</v>
      </c>
      <c r="C3796" t="s">
        <v>10</v>
      </c>
      <c r="D3796" t="s">
        <v>29</v>
      </c>
      <c r="E3796" t="s">
        <v>12</v>
      </c>
      <c r="F3796" t="s">
        <v>13</v>
      </c>
      <c r="G3796">
        <v>5</v>
      </c>
      <c r="H3796">
        <v>2.5</v>
      </c>
      <c r="I3796" t="s">
        <v>39</v>
      </c>
      <c r="J3796" t="s">
        <v>1725</v>
      </c>
      <c r="K3796" s="12">
        <f>Store_Record[[#This Row],[Qty]]*Store_Record[[#This Row],[UnitPriceGBP]]</f>
        <v>12.5</v>
      </c>
      <c r="L3796" s="5" t="str">
        <f>TEXT(Store_Record[[#This Row],[Date]],"dddd")</f>
        <v>Tuesday</v>
      </c>
      <c r="M3796" s="5" t="str">
        <f>TEXT(Store_Record[[#This Row],[Date]],"mmmm")</f>
        <v>October</v>
      </c>
      <c r="N3796" s="5">
        <f>YEAR(Store_Record[[#This Row],[Date]])</f>
        <v>2025</v>
      </c>
      <c r="O3796"/>
    </row>
    <row r="3797" spans="1:15" x14ac:dyDescent="0.35">
      <c r="A3797" t="s">
        <v>4778</v>
      </c>
      <c r="B3797" s="2">
        <v>45937</v>
      </c>
      <c r="C3797" t="s">
        <v>36</v>
      </c>
      <c r="D3797" t="s">
        <v>29</v>
      </c>
      <c r="E3797" t="s">
        <v>42</v>
      </c>
      <c r="F3797" t="s">
        <v>13</v>
      </c>
      <c r="G3797">
        <v>3</v>
      </c>
      <c r="H3797">
        <v>3.8</v>
      </c>
      <c r="I3797" t="s">
        <v>39</v>
      </c>
      <c r="J3797" t="s">
        <v>652</v>
      </c>
      <c r="K3797" s="12">
        <f>Store_Record[[#This Row],[Qty]]*Store_Record[[#This Row],[UnitPriceGBP]]</f>
        <v>11.399999999999999</v>
      </c>
      <c r="L3797" s="5" t="str">
        <f>TEXT(Store_Record[[#This Row],[Date]],"dddd")</f>
        <v>Tuesday</v>
      </c>
      <c r="M3797" s="5" t="str">
        <f>TEXT(Store_Record[[#This Row],[Date]],"mmmm")</f>
        <v>October</v>
      </c>
      <c r="N3797" s="5">
        <f>YEAR(Store_Record[[#This Row],[Date]])</f>
        <v>2025</v>
      </c>
      <c r="O3797"/>
    </row>
    <row r="3798" spans="1:15" x14ac:dyDescent="0.35">
      <c r="A3798" t="s">
        <v>4779</v>
      </c>
      <c r="B3798" s="2">
        <v>45937</v>
      </c>
      <c r="C3798" t="s">
        <v>20</v>
      </c>
      <c r="D3798" t="s">
        <v>38</v>
      </c>
      <c r="E3798" t="s">
        <v>42</v>
      </c>
      <c r="F3798" t="s">
        <v>13</v>
      </c>
      <c r="G3798">
        <v>3</v>
      </c>
      <c r="H3798">
        <v>3.8</v>
      </c>
      <c r="I3798" t="s">
        <v>39</v>
      </c>
      <c r="J3798" t="s">
        <v>3508</v>
      </c>
      <c r="K3798" s="12">
        <f>Store_Record[[#This Row],[Qty]]*Store_Record[[#This Row],[UnitPriceGBP]]</f>
        <v>11.399999999999999</v>
      </c>
      <c r="L3798" s="5" t="str">
        <f>TEXT(Store_Record[[#This Row],[Date]],"dddd")</f>
        <v>Tuesday</v>
      </c>
      <c r="M3798" s="5" t="str">
        <f>TEXT(Store_Record[[#This Row],[Date]],"mmmm")</f>
        <v>October</v>
      </c>
      <c r="N3798" s="5">
        <f>YEAR(Store_Record[[#This Row],[Date]])</f>
        <v>2025</v>
      </c>
      <c r="O3798"/>
    </row>
    <row r="3799" spans="1:15" x14ac:dyDescent="0.35">
      <c r="A3799" t="s">
        <v>4784</v>
      </c>
      <c r="B3799" s="2">
        <v>45937</v>
      </c>
      <c r="C3799" t="s">
        <v>24</v>
      </c>
      <c r="D3799" t="s">
        <v>47</v>
      </c>
      <c r="E3799" t="s">
        <v>26</v>
      </c>
      <c r="F3799" t="s">
        <v>13</v>
      </c>
      <c r="G3799">
        <v>3</v>
      </c>
      <c r="H3799">
        <v>3.5</v>
      </c>
      <c r="I3799" t="s">
        <v>14</v>
      </c>
      <c r="J3799" t="s">
        <v>2087</v>
      </c>
      <c r="K3799" s="12">
        <f>Store_Record[[#This Row],[Qty]]*Store_Record[[#This Row],[UnitPriceGBP]]</f>
        <v>10.5</v>
      </c>
      <c r="L3799" s="5" t="str">
        <f>TEXT(Store_Record[[#This Row],[Date]],"dddd")</f>
        <v>Tuesday</v>
      </c>
      <c r="M3799" s="5" t="str">
        <f>TEXT(Store_Record[[#This Row],[Date]],"mmmm")</f>
        <v>October</v>
      </c>
      <c r="N3799" s="5">
        <f>YEAR(Store_Record[[#This Row],[Date]])</f>
        <v>2025</v>
      </c>
      <c r="O3799"/>
    </row>
    <row r="3800" spans="1:15" x14ac:dyDescent="0.35">
      <c r="A3800" t="s">
        <v>4774</v>
      </c>
      <c r="B3800" s="2">
        <v>45937</v>
      </c>
      <c r="C3800" t="s">
        <v>36</v>
      </c>
      <c r="D3800" t="s">
        <v>25</v>
      </c>
      <c r="E3800" t="s">
        <v>34</v>
      </c>
      <c r="F3800" t="s">
        <v>31</v>
      </c>
      <c r="G3800">
        <v>4</v>
      </c>
      <c r="H3800">
        <v>2.2000000000000002</v>
      </c>
      <c r="I3800" t="s">
        <v>21</v>
      </c>
      <c r="J3800" t="s">
        <v>1708</v>
      </c>
      <c r="K3800" s="12">
        <f>Store_Record[[#This Row],[Qty]]*Store_Record[[#This Row],[UnitPriceGBP]]</f>
        <v>8.8000000000000007</v>
      </c>
      <c r="L3800" s="5" t="str">
        <f>TEXT(Store_Record[[#This Row],[Date]],"dddd")</f>
        <v>Tuesday</v>
      </c>
      <c r="M3800" s="5" t="str">
        <f>TEXT(Store_Record[[#This Row],[Date]],"mmmm")</f>
        <v>October</v>
      </c>
      <c r="N3800" s="5">
        <f>YEAR(Store_Record[[#This Row],[Date]])</f>
        <v>2025</v>
      </c>
      <c r="O3800"/>
    </row>
    <row r="3801" spans="1:15" x14ac:dyDescent="0.35">
      <c r="A3801" t="s">
        <v>4776</v>
      </c>
      <c r="B3801" s="2">
        <v>45937</v>
      </c>
      <c r="C3801" t="s">
        <v>20</v>
      </c>
      <c r="D3801" t="s">
        <v>47</v>
      </c>
      <c r="E3801" t="s">
        <v>34</v>
      </c>
      <c r="F3801" t="s">
        <v>31</v>
      </c>
      <c r="G3801">
        <v>4</v>
      </c>
      <c r="H3801">
        <v>2.2000000000000002</v>
      </c>
      <c r="I3801" t="s">
        <v>39</v>
      </c>
      <c r="J3801" t="s">
        <v>1357</v>
      </c>
      <c r="K3801" s="12">
        <f>Store_Record[[#This Row],[Qty]]*Store_Record[[#This Row],[UnitPriceGBP]]</f>
        <v>8.8000000000000007</v>
      </c>
      <c r="L3801" s="5" t="str">
        <f>TEXT(Store_Record[[#This Row],[Date]],"dddd")</f>
        <v>Tuesday</v>
      </c>
      <c r="M3801" s="5" t="str">
        <f>TEXT(Store_Record[[#This Row],[Date]],"mmmm")</f>
        <v>October</v>
      </c>
      <c r="N3801" s="5">
        <f>YEAR(Store_Record[[#This Row],[Date]])</f>
        <v>2025</v>
      </c>
      <c r="O3801"/>
    </row>
    <row r="3802" spans="1:15" x14ac:dyDescent="0.35">
      <c r="A3802" t="s">
        <v>4787</v>
      </c>
      <c r="B3802" s="2">
        <v>45937</v>
      </c>
      <c r="C3802" t="s">
        <v>36</v>
      </c>
      <c r="D3802" t="s">
        <v>11</v>
      </c>
      <c r="E3802" t="s">
        <v>34</v>
      </c>
      <c r="F3802" t="s">
        <v>31</v>
      </c>
      <c r="G3802">
        <v>4</v>
      </c>
      <c r="H3802">
        <v>2.2000000000000002</v>
      </c>
      <c r="I3802" t="s">
        <v>39</v>
      </c>
      <c r="J3802" t="s">
        <v>234</v>
      </c>
      <c r="K3802" s="12">
        <f>Store_Record[[#This Row],[Qty]]*Store_Record[[#This Row],[UnitPriceGBP]]</f>
        <v>8.8000000000000007</v>
      </c>
      <c r="L3802" s="5" t="str">
        <f>TEXT(Store_Record[[#This Row],[Date]],"dddd")</f>
        <v>Tuesday</v>
      </c>
      <c r="M3802" s="5" t="str">
        <f>TEXT(Store_Record[[#This Row],[Date]],"mmmm")</f>
        <v>October</v>
      </c>
      <c r="N3802" s="5">
        <f>YEAR(Store_Record[[#This Row],[Date]])</f>
        <v>2025</v>
      </c>
      <c r="O3802"/>
    </row>
    <row r="3803" spans="1:15" x14ac:dyDescent="0.35">
      <c r="A3803" t="s">
        <v>4775</v>
      </c>
      <c r="B3803" s="2">
        <v>45937</v>
      </c>
      <c r="C3803" t="s">
        <v>36</v>
      </c>
      <c r="D3803" t="s">
        <v>29</v>
      </c>
      <c r="E3803" t="s">
        <v>30</v>
      </c>
      <c r="F3803" t="s">
        <v>31</v>
      </c>
      <c r="G3803">
        <v>3</v>
      </c>
      <c r="H3803">
        <v>2.8</v>
      </c>
      <c r="I3803" t="s">
        <v>14</v>
      </c>
      <c r="J3803" t="s">
        <v>1104</v>
      </c>
      <c r="K3803" s="12">
        <f>Store_Record[[#This Row],[Qty]]*Store_Record[[#This Row],[UnitPriceGBP]]</f>
        <v>8.3999999999999986</v>
      </c>
      <c r="L3803" s="5" t="str">
        <f>TEXT(Store_Record[[#This Row],[Date]],"dddd")</f>
        <v>Tuesday</v>
      </c>
      <c r="M3803" s="5" t="str">
        <f>TEXT(Store_Record[[#This Row],[Date]],"mmmm")</f>
        <v>October</v>
      </c>
      <c r="N3803" s="5">
        <f>YEAR(Store_Record[[#This Row],[Date]])</f>
        <v>2025</v>
      </c>
      <c r="O3803"/>
    </row>
    <row r="3804" spans="1:15" x14ac:dyDescent="0.35">
      <c r="A3804" t="s">
        <v>4782</v>
      </c>
      <c r="B3804" s="2">
        <v>45937</v>
      </c>
      <c r="C3804" t="s">
        <v>20</v>
      </c>
      <c r="D3804" t="s">
        <v>38</v>
      </c>
      <c r="E3804" t="s">
        <v>30</v>
      </c>
      <c r="F3804" t="s">
        <v>31</v>
      </c>
      <c r="G3804">
        <v>3</v>
      </c>
      <c r="H3804">
        <v>2.8</v>
      </c>
      <c r="I3804" t="s">
        <v>14</v>
      </c>
      <c r="J3804" t="s">
        <v>450</v>
      </c>
      <c r="K3804" s="12">
        <f>Store_Record[[#This Row],[Qty]]*Store_Record[[#This Row],[UnitPriceGBP]]</f>
        <v>8.3999999999999986</v>
      </c>
      <c r="L3804" s="5" t="str">
        <f>TEXT(Store_Record[[#This Row],[Date]],"dddd")</f>
        <v>Tuesday</v>
      </c>
      <c r="M3804" s="5" t="str">
        <f>TEXT(Store_Record[[#This Row],[Date]],"mmmm")</f>
        <v>October</v>
      </c>
      <c r="N3804" s="5">
        <f>YEAR(Store_Record[[#This Row],[Date]])</f>
        <v>2025</v>
      </c>
      <c r="O3804"/>
    </row>
    <row r="3805" spans="1:15" x14ac:dyDescent="0.35">
      <c r="A3805" t="s">
        <v>4773</v>
      </c>
      <c r="B3805" s="2">
        <v>45937</v>
      </c>
      <c r="C3805" t="s">
        <v>36</v>
      </c>
      <c r="D3805" t="s">
        <v>47</v>
      </c>
      <c r="E3805" t="s">
        <v>42</v>
      </c>
      <c r="F3805" t="s">
        <v>13</v>
      </c>
      <c r="G3805">
        <v>2</v>
      </c>
      <c r="H3805">
        <v>3.8</v>
      </c>
      <c r="I3805" t="s">
        <v>39</v>
      </c>
      <c r="J3805" t="s">
        <v>225</v>
      </c>
      <c r="K3805" s="12">
        <f>Store_Record[[#This Row],[Qty]]*Store_Record[[#This Row],[UnitPriceGBP]]</f>
        <v>7.6</v>
      </c>
      <c r="L3805" s="5" t="str">
        <f>TEXT(Store_Record[[#This Row],[Date]],"dddd")</f>
        <v>Tuesday</v>
      </c>
      <c r="M3805" s="5" t="str">
        <f>TEXT(Store_Record[[#This Row],[Date]],"mmmm")</f>
        <v>October</v>
      </c>
      <c r="N3805" s="5">
        <f>YEAR(Store_Record[[#This Row],[Date]])</f>
        <v>2025</v>
      </c>
      <c r="O3805"/>
    </row>
    <row r="3806" spans="1:15" x14ac:dyDescent="0.35">
      <c r="A3806" t="s">
        <v>4785</v>
      </c>
      <c r="B3806" s="2">
        <v>45937</v>
      </c>
      <c r="C3806" t="s">
        <v>24</v>
      </c>
      <c r="D3806" t="s">
        <v>38</v>
      </c>
      <c r="E3806" t="s">
        <v>42</v>
      </c>
      <c r="F3806" t="s">
        <v>13</v>
      </c>
      <c r="G3806">
        <v>2</v>
      </c>
      <c r="H3806">
        <v>3.8</v>
      </c>
      <c r="I3806" t="s">
        <v>39</v>
      </c>
      <c r="J3806" t="s">
        <v>1737</v>
      </c>
      <c r="K3806" s="12">
        <f>Store_Record[[#This Row],[Qty]]*Store_Record[[#This Row],[UnitPriceGBP]]</f>
        <v>7.6</v>
      </c>
      <c r="L3806" s="5" t="str">
        <f>TEXT(Store_Record[[#This Row],[Date]],"dddd")</f>
        <v>Tuesday</v>
      </c>
      <c r="M3806" s="5" t="str">
        <f>TEXT(Store_Record[[#This Row],[Date]],"mmmm")</f>
        <v>October</v>
      </c>
      <c r="N3806" s="5">
        <f>YEAR(Store_Record[[#This Row],[Date]])</f>
        <v>2025</v>
      </c>
      <c r="O3806"/>
    </row>
    <row r="3807" spans="1:15" x14ac:dyDescent="0.35">
      <c r="A3807" t="s">
        <v>4780</v>
      </c>
      <c r="B3807" s="2">
        <v>45937</v>
      </c>
      <c r="C3807" t="s">
        <v>24</v>
      </c>
      <c r="D3807" t="s">
        <v>47</v>
      </c>
      <c r="E3807" t="s">
        <v>34</v>
      </c>
      <c r="F3807" t="s">
        <v>31</v>
      </c>
      <c r="G3807">
        <v>3</v>
      </c>
      <c r="H3807">
        <v>2.2000000000000002</v>
      </c>
      <c r="I3807" t="s">
        <v>39</v>
      </c>
      <c r="J3807" t="s">
        <v>918</v>
      </c>
      <c r="K3807" s="12">
        <f>Store_Record[[#This Row],[Qty]]*Store_Record[[#This Row],[UnitPriceGBP]]</f>
        <v>6.6000000000000005</v>
      </c>
      <c r="L3807" s="5" t="str">
        <f>TEXT(Store_Record[[#This Row],[Date]],"dddd")</f>
        <v>Tuesday</v>
      </c>
      <c r="M3807" s="5" t="str">
        <f>TEXT(Store_Record[[#This Row],[Date]],"mmmm")</f>
        <v>October</v>
      </c>
      <c r="N3807" s="5">
        <f>YEAR(Store_Record[[#This Row],[Date]])</f>
        <v>2025</v>
      </c>
      <c r="O3807"/>
    </row>
    <row r="3808" spans="1:15" x14ac:dyDescent="0.35">
      <c r="A3808" t="s">
        <v>4788</v>
      </c>
      <c r="B3808" s="2">
        <v>45937</v>
      </c>
      <c r="C3808" t="s">
        <v>20</v>
      </c>
      <c r="D3808" t="s">
        <v>47</v>
      </c>
      <c r="E3808" t="s">
        <v>30</v>
      </c>
      <c r="F3808" t="s">
        <v>31</v>
      </c>
      <c r="G3808">
        <v>2</v>
      </c>
      <c r="H3808">
        <v>2.8</v>
      </c>
      <c r="I3808" t="s">
        <v>39</v>
      </c>
      <c r="J3808" t="s">
        <v>2521</v>
      </c>
      <c r="K3808" s="12">
        <f>Store_Record[[#This Row],[Qty]]*Store_Record[[#This Row],[UnitPriceGBP]]</f>
        <v>5.6</v>
      </c>
      <c r="L3808" s="5" t="str">
        <f>TEXT(Store_Record[[#This Row],[Date]],"dddd")</f>
        <v>Tuesday</v>
      </c>
      <c r="M3808" s="5" t="str">
        <f>TEXT(Store_Record[[#This Row],[Date]],"mmmm")</f>
        <v>October</v>
      </c>
      <c r="N3808" s="5">
        <f>YEAR(Store_Record[[#This Row],[Date]])</f>
        <v>2025</v>
      </c>
      <c r="O3808"/>
    </row>
    <row r="3809" spans="1:15" x14ac:dyDescent="0.35">
      <c r="A3809" t="s">
        <v>4789</v>
      </c>
      <c r="B3809" s="2">
        <v>45937</v>
      </c>
      <c r="C3809" t="s">
        <v>24</v>
      </c>
      <c r="D3809" t="s">
        <v>25</v>
      </c>
      <c r="E3809" t="s">
        <v>34</v>
      </c>
      <c r="F3809" t="s">
        <v>31</v>
      </c>
      <c r="G3809">
        <v>2</v>
      </c>
      <c r="H3809">
        <v>2.2000000000000002</v>
      </c>
      <c r="I3809" t="s">
        <v>21</v>
      </c>
      <c r="J3809" t="s">
        <v>689</v>
      </c>
      <c r="K3809" s="12">
        <f>Store_Record[[#This Row],[Qty]]*Store_Record[[#This Row],[UnitPriceGBP]]</f>
        <v>4.4000000000000004</v>
      </c>
      <c r="L3809" s="5" t="str">
        <f>TEXT(Store_Record[[#This Row],[Date]],"dddd")</f>
        <v>Tuesday</v>
      </c>
      <c r="M3809" s="5" t="str">
        <f>TEXT(Store_Record[[#This Row],[Date]],"mmmm")</f>
        <v>October</v>
      </c>
      <c r="N3809" s="5">
        <f>YEAR(Store_Record[[#This Row],[Date]])</f>
        <v>2025</v>
      </c>
      <c r="O3809"/>
    </row>
    <row r="3810" spans="1:15" x14ac:dyDescent="0.35">
      <c r="A3810" t="s">
        <v>4790</v>
      </c>
      <c r="B3810" s="2">
        <v>45937</v>
      </c>
      <c r="C3810" t="s">
        <v>36</v>
      </c>
      <c r="D3810" t="s">
        <v>47</v>
      </c>
      <c r="E3810" t="s">
        <v>42</v>
      </c>
      <c r="F3810" t="s">
        <v>13</v>
      </c>
      <c r="G3810">
        <v>1</v>
      </c>
      <c r="H3810">
        <v>3.8</v>
      </c>
      <c r="I3810" t="s">
        <v>39</v>
      </c>
      <c r="J3810" t="s">
        <v>1379</v>
      </c>
      <c r="K3810" s="12">
        <f>Store_Record[[#This Row],[Qty]]*Store_Record[[#This Row],[UnitPriceGBP]]</f>
        <v>3.8</v>
      </c>
      <c r="L3810" s="5" t="str">
        <f>TEXT(Store_Record[[#This Row],[Date]],"dddd")</f>
        <v>Tuesday</v>
      </c>
      <c r="M3810" s="5" t="str">
        <f>TEXT(Store_Record[[#This Row],[Date]],"mmmm")</f>
        <v>October</v>
      </c>
      <c r="N3810" s="5">
        <f>YEAR(Store_Record[[#This Row],[Date]])</f>
        <v>2025</v>
      </c>
      <c r="O3810"/>
    </row>
    <row r="3811" spans="1:15" x14ac:dyDescent="0.35">
      <c r="A3811" t="s">
        <v>4772</v>
      </c>
      <c r="B3811" s="2">
        <v>45937</v>
      </c>
      <c r="C3811" t="s">
        <v>36</v>
      </c>
      <c r="D3811" t="s">
        <v>47</v>
      </c>
      <c r="E3811" t="s">
        <v>26</v>
      </c>
      <c r="F3811" t="s">
        <v>13</v>
      </c>
      <c r="G3811">
        <v>1</v>
      </c>
      <c r="H3811">
        <v>3.5</v>
      </c>
      <c r="I3811" t="s">
        <v>21</v>
      </c>
      <c r="J3811" t="s">
        <v>1814</v>
      </c>
      <c r="K3811" s="12">
        <f>Store_Record[[#This Row],[Qty]]*Store_Record[[#This Row],[UnitPriceGBP]]</f>
        <v>3.5</v>
      </c>
      <c r="L3811" s="5" t="str">
        <f>TEXT(Store_Record[[#This Row],[Date]],"dddd")</f>
        <v>Tuesday</v>
      </c>
      <c r="M3811" s="5" t="str">
        <f>TEXT(Store_Record[[#This Row],[Date]],"mmmm")</f>
        <v>October</v>
      </c>
      <c r="N3811" s="5">
        <f>YEAR(Store_Record[[#This Row],[Date]])</f>
        <v>2025</v>
      </c>
      <c r="O3811"/>
    </row>
    <row r="3812" spans="1:15" x14ac:dyDescent="0.35">
      <c r="A3812" t="s">
        <v>4793</v>
      </c>
      <c r="B3812" s="2">
        <v>45938</v>
      </c>
      <c r="C3812" t="s">
        <v>20</v>
      </c>
      <c r="D3812" t="s">
        <v>47</v>
      </c>
      <c r="E3812" t="s">
        <v>26</v>
      </c>
      <c r="F3812" t="s">
        <v>13</v>
      </c>
      <c r="G3812">
        <v>5</v>
      </c>
      <c r="H3812">
        <v>3.5</v>
      </c>
      <c r="I3812" t="s">
        <v>39</v>
      </c>
      <c r="J3812" t="s">
        <v>3114</v>
      </c>
      <c r="K3812" s="12">
        <f>Store_Record[[#This Row],[Qty]]*Store_Record[[#This Row],[UnitPriceGBP]]</f>
        <v>17.5</v>
      </c>
      <c r="L3812" s="5" t="str">
        <f>TEXT(Store_Record[[#This Row],[Date]],"dddd")</f>
        <v>Wednesday</v>
      </c>
      <c r="M3812" s="5" t="str">
        <f>TEXT(Store_Record[[#This Row],[Date]],"mmmm")</f>
        <v>October</v>
      </c>
      <c r="N3812" s="5">
        <f>YEAR(Store_Record[[#This Row],[Date]])</f>
        <v>2025</v>
      </c>
      <c r="O3812"/>
    </row>
    <row r="3813" spans="1:15" x14ac:dyDescent="0.35">
      <c r="A3813" t="s">
        <v>4798</v>
      </c>
      <c r="B3813" s="2">
        <v>45938</v>
      </c>
      <c r="C3813" t="s">
        <v>24</v>
      </c>
      <c r="D3813" t="s">
        <v>25</v>
      </c>
      <c r="E3813" t="s">
        <v>26</v>
      </c>
      <c r="F3813" t="s">
        <v>13</v>
      </c>
      <c r="G3813">
        <v>4</v>
      </c>
      <c r="H3813">
        <v>3.5</v>
      </c>
      <c r="I3813" t="s">
        <v>21</v>
      </c>
      <c r="J3813" t="s">
        <v>426</v>
      </c>
      <c r="K3813" s="12">
        <f>Store_Record[[#This Row],[Qty]]*Store_Record[[#This Row],[UnitPriceGBP]]</f>
        <v>14</v>
      </c>
      <c r="L3813" s="5" t="str">
        <f>TEXT(Store_Record[[#This Row],[Date]],"dddd")</f>
        <v>Wednesday</v>
      </c>
      <c r="M3813" s="5" t="str">
        <f>TEXT(Store_Record[[#This Row],[Date]],"mmmm")</f>
        <v>October</v>
      </c>
      <c r="N3813" s="5">
        <f>YEAR(Store_Record[[#This Row],[Date]])</f>
        <v>2025</v>
      </c>
      <c r="O3813"/>
    </row>
    <row r="3814" spans="1:15" x14ac:dyDescent="0.35">
      <c r="A3814" t="s">
        <v>4801</v>
      </c>
      <c r="B3814" s="2">
        <v>45938</v>
      </c>
      <c r="C3814" t="s">
        <v>24</v>
      </c>
      <c r="D3814" t="s">
        <v>47</v>
      </c>
      <c r="E3814" t="s">
        <v>12</v>
      </c>
      <c r="F3814" t="s">
        <v>13</v>
      </c>
      <c r="G3814">
        <v>5</v>
      </c>
      <c r="H3814">
        <v>2.5</v>
      </c>
      <c r="I3814" t="s">
        <v>14</v>
      </c>
      <c r="J3814" t="s">
        <v>3759</v>
      </c>
      <c r="K3814" s="12">
        <f>Store_Record[[#This Row],[Qty]]*Store_Record[[#This Row],[UnitPriceGBP]]</f>
        <v>12.5</v>
      </c>
      <c r="L3814" s="5" t="str">
        <f>TEXT(Store_Record[[#This Row],[Date]],"dddd")</f>
        <v>Wednesday</v>
      </c>
      <c r="M3814" s="5" t="str">
        <f>TEXT(Store_Record[[#This Row],[Date]],"mmmm")</f>
        <v>October</v>
      </c>
      <c r="N3814" s="5">
        <f>YEAR(Store_Record[[#This Row],[Date]])</f>
        <v>2025</v>
      </c>
      <c r="O3814"/>
    </row>
    <row r="3815" spans="1:15" x14ac:dyDescent="0.35">
      <c r="A3815" t="s">
        <v>4796</v>
      </c>
      <c r="B3815" s="2">
        <v>45938</v>
      </c>
      <c r="C3815" t="s">
        <v>24</v>
      </c>
      <c r="D3815" t="s">
        <v>47</v>
      </c>
      <c r="E3815" t="s">
        <v>30</v>
      </c>
      <c r="F3815" t="s">
        <v>31</v>
      </c>
      <c r="G3815">
        <v>4</v>
      </c>
      <c r="H3815">
        <v>2.8</v>
      </c>
      <c r="I3815" t="s">
        <v>39</v>
      </c>
      <c r="J3815" t="s">
        <v>4356</v>
      </c>
      <c r="K3815" s="12">
        <f>Store_Record[[#This Row],[Qty]]*Store_Record[[#This Row],[UnitPriceGBP]]</f>
        <v>11.2</v>
      </c>
      <c r="L3815" s="5" t="str">
        <f>TEXT(Store_Record[[#This Row],[Date]],"dddd")</f>
        <v>Wednesday</v>
      </c>
      <c r="M3815" s="5" t="str">
        <f>TEXT(Store_Record[[#This Row],[Date]],"mmmm")</f>
        <v>October</v>
      </c>
      <c r="N3815" s="5">
        <f>YEAR(Store_Record[[#This Row],[Date]])</f>
        <v>2025</v>
      </c>
      <c r="O3815"/>
    </row>
    <row r="3816" spans="1:15" x14ac:dyDescent="0.35">
      <c r="A3816" t="s">
        <v>4800</v>
      </c>
      <c r="B3816" s="2">
        <v>45938</v>
      </c>
      <c r="C3816" t="s">
        <v>24</v>
      </c>
      <c r="D3816" t="s">
        <v>38</v>
      </c>
      <c r="E3816" t="s">
        <v>34</v>
      </c>
      <c r="F3816" t="s">
        <v>31</v>
      </c>
      <c r="G3816">
        <v>4</v>
      </c>
      <c r="H3816">
        <v>2.2000000000000002</v>
      </c>
      <c r="I3816" t="s">
        <v>21</v>
      </c>
      <c r="J3816" t="s">
        <v>1384</v>
      </c>
      <c r="K3816" s="12">
        <f>Store_Record[[#This Row],[Qty]]*Store_Record[[#This Row],[UnitPriceGBP]]</f>
        <v>8.8000000000000007</v>
      </c>
      <c r="L3816" s="5" t="str">
        <f>TEXT(Store_Record[[#This Row],[Date]],"dddd")</f>
        <v>Wednesday</v>
      </c>
      <c r="M3816" s="5" t="str">
        <f>TEXT(Store_Record[[#This Row],[Date]],"mmmm")</f>
        <v>October</v>
      </c>
      <c r="N3816" s="5">
        <f>YEAR(Store_Record[[#This Row],[Date]])</f>
        <v>2025</v>
      </c>
      <c r="O3816"/>
    </row>
    <row r="3817" spans="1:15" x14ac:dyDescent="0.35">
      <c r="A3817" t="s">
        <v>4792</v>
      </c>
      <c r="B3817" s="2">
        <v>45938</v>
      </c>
      <c r="C3817" t="s">
        <v>36</v>
      </c>
      <c r="D3817" t="s">
        <v>38</v>
      </c>
      <c r="E3817" t="s">
        <v>12</v>
      </c>
      <c r="F3817" t="s">
        <v>13</v>
      </c>
      <c r="G3817">
        <v>3</v>
      </c>
      <c r="H3817">
        <v>2.5</v>
      </c>
      <c r="I3817" t="s">
        <v>39</v>
      </c>
      <c r="J3817" t="s">
        <v>1526</v>
      </c>
      <c r="K3817" s="12">
        <f>Store_Record[[#This Row],[Qty]]*Store_Record[[#This Row],[UnitPriceGBP]]</f>
        <v>7.5</v>
      </c>
      <c r="L3817" s="5" t="str">
        <f>TEXT(Store_Record[[#This Row],[Date]],"dddd")</f>
        <v>Wednesday</v>
      </c>
      <c r="M3817" s="5" t="str">
        <f>TEXT(Store_Record[[#This Row],[Date]],"mmmm")</f>
        <v>October</v>
      </c>
      <c r="N3817" s="5">
        <f>YEAR(Store_Record[[#This Row],[Date]])</f>
        <v>2025</v>
      </c>
      <c r="O3817"/>
    </row>
    <row r="3818" spans="1:15" x14ac:dyDescent="0.35">
      <c r="A3818" t="s">
        <v>4797</v>
      </c>
      <c r="B3818" s="2">
        <v>45938</v>
      </c>
      <c r="C3818" t="s">
        <v>36</v>
      </c>
      <c r="D3818" t="s">
        <v>11</v>
      </c>
      <c r="E3818" t="s">
        <v>12</v>
      </c>
      <c r="F3818" t="s">
        <v>13</v>
      </c>
      <c r="G3818">
        <v>3</v>
      </c>
      <c r="H3818">
        <v>2.5</v>
      </c>
      <c r="I3818" t="s">
        <v>14</v>
      </c>
      <c r="J3818" t="s">
        <v>386</v>
      </c>
      <c r="K3818" s="12">
        <f>Store_Record[[#This Row],[Qty]]*Store_Record[[#This Row],[UnitPriceGBP]]</f>
        <v>7.5</v>
      </c>
      <c r="L3818" s="5" t="str">
        <f>TEXT(Store_Record[[#This Row],[Date]],"dddd")</f>
        <v>Wednesday</v>
      </c>
      <c r="M3818" s="5" t="str">
        <f>TEXT(Store_Record[[#This Row],[Date]],"mmmm")</f>
        <v>October</v>
      </c>
      <c r="N3818" s="5">
        <f>YEAR(Store_Record[[#This Row],[Date]])</f>
        <v>2025</v>
      </c>
      <c r="O3818"/>
    </row>
    <row r="3819" spans="1:15" x14ac:dyDescent="0.35">
      <c r="A3819" t="s">
        <v>4791</v>
      </c>
      <c r="B3819" s="2">
        <v>45938</v>
      </c>
      <c r="C3819" t="s">
        <v>24</v>
      </c>
      <c r="D3819" t="s">
        <v>11</v>
      </c>
      <c r="E3819" t="s">
        <v>26</v>
      </c>
      <c r="F3819" t="s">
        <v>13</v>
      </c>
      <c r="G3819">
        <v>2</v>
      </c>
      <c r="H3819">
        <v>3.5</v>
      </c>
      <c r="I3819" t="s">
        <v>21</v>
      </c>
      <c r="J3819" t="s">
        <v>784</v>
      </c>
      <c r="K3819" s="12">
        <f>Store_Record[[#This Row],[Qty]]*Store_Record[[#This Row],[UnitPriceGBP]]</f>
        <v>7</v>
      </c>
      <c r="L3819" s="5" t="str">
        <f>TEXT(Store_Record[[#This Row],[Date]],"dddd")</f>
        <v>Wednesday</v>
      </c>
      <c r="M3819" s="5" t="str">
        <f>TEXT(Store_Record[[#This Row],[Date]],"mmmm")</f>
        <v>October</v>
      </c>
      <c r="N3819" s="5">
        <f>YEAR(Store_Record[[#This Row],[Date]])</f>
        <v>2025</v>
      </c>
      <c r="O3819"/>
    </row>
    <row r="3820" spans="1:15" x14ac:dyDescent="0.35">
      <c r="A3820" t="s">
        <v>4799</v>
      </c>
      <c r="B3820" s="2">
        <v>45938</v>
      </c>
      <c r="C3820" t="s">
        <v>36</v>
      </c>
      <c r="D3820" t="s">
        <v>25</v>
      </c>
      <c r="E3820" t="s">
        <v>26</v>
      </c>
      <c r="F3820" t="s">
        <v>13</v>
      </c>
      <c r="G3820">
        <v>2</v>
      </c>
      <c r="H3820">
        <v>3.5</v>
      </c>
      <c r="I3820" t="s">
        <v>39</v>
      </c>
      <c r="J3820" t="s">
        <v>848</v>
      </c>
      <c r="K3820" s="12">
        <f>Store_Record[[#This Row],[Qty]]*Store_Record[[#This Row],[UnitPriceGBP]]</f>
        <v>7</v>
      </c>
      <c r="L3820" s="5" t="str">
        <f>TEXT(Store_Record[[#This Row],[Date]],"dddd")</f>
        <v>Wednesday</v>
      </c>
      <c r="M3820" s="5" t="str">
        <f>TEXT(Store_Record[[#This Row],[Date]],"mmmm")</f>
        <v>October</v>
      </c>
      <c r="N3820" s="5">
        <f>YEAR(Store_Record[[#This Row],[Date]])</f>
        <v>2025</v>
      </c>
      <c r="O3820"/>
    </row>
    <row r="3821" spans="1:15" x14ac:dyDescent="0.35">
      <c r="A3821" t="s">
        <v>4794</v>
      </c>
      <c r="B3821" s="2">
        <v>45938</v>
      </c>
      <c r="C3821" t="s">
        <v>24</v>
      </c>
      <c r="D3821" t="s">
        <v>47</v>
      </c>
      <c r="E3821" t="s">
        <v>42</v>
      </c>
      <c r="F3821" t="s">
        <v>13</v>
      </c>
      <c r="G3821">
        <v>1</v>
      </c>
      <c r="H3821">
        <v>3.8</v>
      </c>
      <c r="I3821" t="s">
        <v>14</v>
      </c>
      <c r="J3821" t="s">
        <v>4795</v>
      </c>
      <c r="K3821" s="12">
        <f>Store_Record[[#This Row],[Qty]]*Store_Record[[#This Row],[UnitPriceGBP]]</f>
        <v>3.8</v>
      </c>
      <c r="L3821" s="5" t="str">
        <f>TEXT(Store_Record[[#This Row],[Date]],"dddd")</f>
        <v>Wednesday</v>
      </c>
      <c r="M3821" s="5" t="str">
        <f>TEXT(Store_Record[[#This Row],[Date]],"mmmm")</f>
        <v>October</v>
      </c>
      <c r="N3821" s="5">
        <f>YEAR(Store_Record[[#This Row],[Date]])</f>
        <v>2025</v>
      </c>
      <c r="O3821"/>
    </row>
    <row r="3822" spans="1:15" x14ac:dyDescent="0.35">
      <c r="A3822" t="s">
        <v>4814</v>
      </c>
      <c r="B3822" s="2">
        <v>45939</v>
      </c>
      <c r="C3822" t="s">
        <v>24</v>
      </c>
      <c r="D3822" t="s">
        <v>38</v>
      </c>
      <c r="E3822" t="s">
        <v>42</v>
      </c>
      <c r="F3822" t="s">
        <v>13</v>
      </c>
      <c r="G3822">
        <v>5</v>
      </c>
      <c r="H3822">
        <v>3.8</v>
      </c>
      <c r="I3822" t="s">
        <v>21</v>
      </c>
      <c r="J3822" t="s">
        <v>3759</v>
      </c>
      <c r="K3822" s="12">
        <f>Store_Record[[#This Row],[Qty]]*Store_Record[[#This Row],[UnitPriceGBP]]</f>
        <v>19</v>
      </c>
      <c r="L3822" s="5" t="str">
        <f>TEXT(Store_Record[[#This Row],[Date]],"dddd")</f>
        <v>Thursday</v>
      </c>
      <c r="M3822" s="5" t="str">
        <f>TEXT(Store_Record[[#This Row],[Date]],"mmmm")</f>
        <v>October</v>
      </c>
      <c r="N3822" s="5">
        <f>YEAR(Store_Record[[#This Row],[Date]])</f>
        <v>2025</v>
      </c>
      <c r="O3822"/>
    </row>
    <row r="3823" spans="1:15" x14ac:dyDescent="0.35">
      <c r="A3823" t="s">
        <v>4815</v>
      </c>
      <c r="B3823" s="2">
        <v>45939</v>
      </c>
      <c r="C3823" t="s">
        <v>10</v>
      </c>
      <c r="D3823" t="s">
        <v>25</v>
      </c>
      <c r="E3823" t="s">
        <v>26</v>
      </c>
      <c r="F3823" t="s">
        <v>13</v>
      </c>
      <c r="G3823">
        <v>5</v>
      </c>
      <c r="H3823">
        <v>3.5</v>
      </c>
      <c r="I3823" t="s">
        <v>14</v>
      </c>
      <c r="J3823" t="s">
        <v>421</v>
      </c>
      <c r="K3823" s="12">
        <f>Store_Record[[#This Row],[Qty]]*Store_Record[[#This Row],[UnitPriceGBP]]</f>
        <v>17.5</v>
      </c>
      <c r="L3823" s="5" t="str">
        <f>TEXT(Store_Record[[#This Row],[Date]],"dddd")</f>
        <v>Thursday</v>
      </c>
      <c r="M3823" s="5" t="str">
        <f>TEXT(Store_Record[[#This Row],[Date]],"mmmm")</f>
        <v>October</v>
      </c>
      <c r="N3823" s="5">
        <f>YEAR(Store_Record[[#This Row],[Date]])</f>
        <v>2025</v>
      </c>
      <c r="O3823"/>
    </row>
    <row r="3824" spans="1:15" x14ac:dyDescent="0.35">
      <c r="A3824" t="s">
        <v>4806</v>
      </c>
      <c r="B3824" s="2">
        <v>45939</v>
      </c>
      <c r="C3824" t="s">
        <v>36</v>
      </c>
      <c r="D3824" t="s">
        <v>11</v>
      </c>
      <c r="E3824" t="s">
        <v>42</v>
      </c>
      <c r="F3824" t="s">
        <v>13</v>
      </c>
      <c r="G3824">
        <v>4</v>
      </c>
      <c r="H3824">
        <v>3.8</v>
      </c>
      <c r="I3824" t="s">
        <v>39</v>
      </c>
      <c r="J3824" t="s">
        <v>504</v>
      </c>
      <c r="K3824" s="12">
        <f>Store_Record[[#This Row],[Qty]]*Store_Record[[#This Row],[UnitPriceGBP]]</f>
        <v>15.2</v>
      </c>
      <c r="L3824" s="5" t="str">
        <f>TEXT(Store_Record[[#This Row],[Date]],"dddd")</f>
        <v>Thursday</v>
      </c>
      <c r="M3824" s="5" t="str">
        <f>TEXT(Store_Record[[#This Row],[Date]],"mmmm")</f>
        <v>October</v>
      </c>
      <c r="N3824" s="5">
        <f>YEAR(Store_Record[[#This Row],[Date]])</f>
        <v>2025</v>
      </c>
      <c r="O3824"/>
    </row>
    <row r="3825" spans="1:15" x14ac:dyDescent="0.35">
      <c r="A3825" t="s">
        <v>4807</v>
      </c>
      <c r="B3825" s="2">
        <v>45939</v>
      </c>
      <c r="C3825" t="s">
        <v>20</v>
      </c>
      <c r="D3825" t="s">
        <v>47</v>
      </c>
      <c r="E3825" t="s">
        <v>26</v>
      </c>
      <c r="F3825" t="s">
        <v>13</v>
      </c>
      <c r="G3825">
        <v>4</v>
      </c>
      <c r="H3825">
        <v>3.5</v>
      </c>
      <c r="I3825" t="s">
        <v>21</v>
      </c>
      <c r="J3825" t="s">
        <v>1580</v>
      </c>
      <c r="K3825" s="12">
        <f>Store_Record[[#This Row],[Qty]]*Store_Record[[#This Row],[UnitPriceGBP]]</f>
        <v>14</v>
      </c>
      <c r="L3825" s="5" t="str">
        <f>TEXT(Store_Record[[#This Row],[Date]],"dddd")</f>
        <v>Thursday</v>
      </c>
      <c r="M3825" s="5" t="str">
        <f>TEXT(Store_Record[[#This Row],[Date]],"mmmm")</f>
        <v>October</v>
      </c>
      <c r="N3825" s="5">
        <f>YEAR(Store_Record[[#This Row],[Date]])</f>
        <v>2025</v>
      </c>
      <c r="O3825"/>
    </row>
    <row r="3826" spans="1:15" x14ac:dyDescent="0.35">
      <c r="A3826" t="s">
        <v>4816</v>
      </c>
      <c r="B3826" s="2">
        <v>45939</v>
      </c>
      <c r="C3826" t="s">
        <v>10</v>
      </c>
      <c r="D3826" t="s">
        <v>11</v>
      </c>
      <c r="E3826" t="s">
        <v>30</v>
      </c>
      <c r="F3826" t="s">
        <v>31</v>
      </c>
      <c r="G3826">
        <v>5</v>
      </c>
      <c r="H3826">
        <v>2.8</v>
      </c>
      <c r="I3826" t="s">
        <v>14</v>
      </c>
      <c r="J3826" t="s">
        <v>782</v>
      </c>
      <c r="K3826" s="12">
        <f>Store_Record[[#This Row],[Qty]]*Store_Record[[#This Row],[UnitPriceGBP]]</f>
        <v>14</v>
      </c>
      <c r="L3826" s="5" t="str">
        <f>TEXT(Store_Record[[#This Row],[Date]],"dddd")</f>
        <v>Thursday</v>
      </c>
      <c r="M3826" s="5" t="str">
        <f>TEXT(Store_Record[[#This Row],[Date]],"mmmm")</f>
        <v>October</v>
      </c>
      <c r="N3826" s="5">
        <f>YEAR(Store_Record[[#This Row],[Date]])</f>
        <v>2025</v>
      </c>
      <c r="O3826"/>
    </row>
    <row r="3827" spans="1:15" x14ac:dyDescent="0.35">
      <c r="A3827" t="s">
        <v>4805</v>
      </c>
      <c r="B3827" s="2">
        <v>45939</v>
      </c>
      <c r="C3827" t="s">
        <v>24</v>
      </c>
      <c r="D3827" t="s">
        <v>38</v>
      </c>
      <c r="E3827" t="s">
        <v>42</v>
      </c>
      <c r="F3827" t="s">
        <v>13</v>
      </c>
      <c r="G3827">
        <v>3</v>
      </c>
      <c r="H3827">
        <v>3.8</v>
      </c>
      <c r="I3827" t="s">
        <v>39</v>
      </c>
      <c r="J3827" t="s">
        <v>1316</v>
      </c>
      <c r="K3827" s="12">
        <f>Store_Record[[#This Row],[Qty]]*Store_Record[[#This Row],[UnitPriceGBP]]</f>
        <v>11.399999999999999</v>
      </c>
      <c r="L3827" s="5" t="str">
        <f>TEXT(Store_Record[[#This Row],[Date]],"dddd")</f>
        <v>Thursday</v>
      </c>
      <c r="M3827" s="5" t="str">
        <f>TEXT(Store_Record[[#This Row],[Date]],"mmmm")</f>
        <v>October</v>
      </c>
      <c r="N3827" s="5">
        <f>YEAR(Store_Record[[#This Row],[Date]])</f>
        <v>2025</v>
      </c>
      <c r="O3827"/>
    </row>
    <row r="3828" spans="1:15" x14ac:dyDescent="0.35">
      <c r="A3828" t="s">
        <v>4804</v>
      </c>
      <c r="B3828" s="2">
        <v>45939</v>
      </c>
      <c r="C3828" t="s">
        <v>10</v>
      </c>
      <c r="D3828" t="s">
        <v>25</v>
      </c>
      <c r="E3828" t="s">
        <v>30</v>
      </c>
      <c r="F3828" t="s">
        <v>31</v>
      </c>
      <c r="G3828">
        <v>4</v>
      </c>
      <c r="H3828">
        <v>2.8</v>
      </c>
      <c r="I3828" t="s">
        <v>21</v>
      </c>
      <c r="J3828" t="s">
        <v>3555</v>
      </c>
      <c r="K3828" s="12">
        <f>Store_Record[[#This Row],[Qty]]*Store_Record[[#This Row],[UnitPriceGBP]]</f>
        <v>11.2</v>
      </c>
      <c r="L3828" s="5" t="str">
        <f>TEXT(Store_Record[[#This Row],[Date]],"dddd")</f>
        <v>Thursday</v>
      </c>
      <c r="M3828" s="5" t="str">
        <f>TEXT(Store_Record[[#This Row],[Date]],"mmmm")</f>
        <v>October</v>
      </c>
      <c r="N3828" s="5">
        <f>YEAR(Store_Record[[#This Row],[Date]])</f>
        <v>2025</v>
      </c>
      <c r="O3828"/>
    </row>
    <row r="3829" spans="1:15" x14ac:dyDescent="0.35">
      <c r="A3829" t="s">
        <v>4808</v>
      </c>
      <c r="B3829" s="2">
        <v>45939</v>
      </c>
      <c r="C3829" t="s">
        <v>10</v>
      </c>
      <c r="D3829" t="s">
        <v>38</v>
      </c>
      <c r="E3829" t="s">
        <v>34</v>
      </c>
      <c r="F3829" t="s">
        <v>31</v>
      </c>
      <c r="G3829">
        <v>5</v>
      </c>
      <c r="H3829">
        <v>2.2000000000000002</v>
      </c>
      <c r="I3829" t="s">
        <v>14</v>
      </c>
      <c r="J3829" t="s">
        <v>827</v>
      </c>
      <c r="K3829" s="12">
        <f>Store_Record[[#This Row],[Qty]]*Store_Record[[#This Row],[UnitPriceGBP]]</f>
        <v>11</v>
      </c>
      <c r="L3829" s="5" t="str">
        <f>TEXT(Store_Record[[#This Row],[Date]],"dddd")</f>
        <v>Thursday</v>
      </c>
      <c r="M3829" s="5" t="str">
        <f>TEXT(Store_Record[[#This Row],[Date]],"mmmm")</f>
        <v>October</v>
      </c>
      <c r="N3829" s="5">
        <f>YEAR(Store_Record[[#This Row],[Date]])</f>
        <v>2025</v>
      </c>
      <c r="O3829"/>
    </row>
    <row r="3830" spans="1:15" x14ac:dyDescent="0.35">
      <c r="A3830" t="s">
        <v>4803</v>
      </c>
      <c r="B3830" s="2">
        <v>45939</v>
      </c>
      <c r="C3830" t="s">
        <v>20</v>
      </c>
      <c r="D3830" t="s">
        <v>38</v>
      </c>
      <c r="E3830" t="s">
        <v>30</v>
      </c>
      <c r="F3830" t="s">
        <v>31</v>
      </c>
      <c r="G3830">
        <v>3</v>
      </c>
      <c r="H3830">
        <v>2.8</v>
      </c>
      <c r="I3830" t="s">
        <v>21</v>
      </c>
      <c r="J3830" t="s">
        <v>1492</v>
      </c>
      <c r="K3830" s="12">
        <f>Store_Record[[#This Row],[Qty]]*Store_Record[[#This Row],[UnitPriceGBP]]</f>
        <v>8.3999999999999986</v>
      </c>
      <c r="L3830" s="5" t="str">
        <f>TEXT(Store_Record[[#This Row],[Date]],"dddd")</f>
        <v>Thursday</v>
      </c>
      <c r="M3830" s="5" t="str">
        <f>TEXT(Store_Record[[#This Row],[Date]],"mmmm")</f>
        <v>October</v>
      </c>
      <c r="N3830" s="5">
        <f>YEAR(Store_Record[[#This Row],[Date]])</f>
        <v>2025</v>
      </c>
      <c r="O3830"/>
    </row>
    <row r="3831" spans="1:15" x14ac:dyDescent="0.35">
      <c r="A3831" t="s">
        <v>4813</v>
      </c>
      <c r="B3831" s="2">
        <v>45939</v>
      </c>
      <c r="C3831" t="s">
        <v>10</v>
      </c>
      <c r="D3831" t="s">
        <v>29</v>
      </c>
      <c r="E3831" t="s">
        <v>34</v>
      </c>
      <c r="F3831" t="s">
        <v>31</v>
      </c>
      <c r="G3831">
        <v>2</v>
      </c>
      <c r="H3831">
        <v>2.2000000000000002</v>
      </c>
      <c r="I3831" t="s">
        <v>14</v>
      </c>
      <c r="J3831" t="s">
        <v>1101</v>
      </c>
      <c r="K3831" s="12">
        <f>Store_Record[[#This Row],[Qty]]*Store_Record[[#This Row],[UnitPriceGBP]]</f>
        <v>4.4000000000000004</v>
      </c>
      <c r="L3831" s="5" t="str">
        <f>TEXT(Store_Record[[#This Row],[Date]],"dddd")</f>
        <v>Thursday</v>
      </c>
      <c r="M3831" s="5" t="str">
        <f>TEXT(Store_Record[[#This Row],[Date]],"mmmm")</f>
        <v>October</v>
      </c>
      <c r="N3831" s="5">
        <f>YEAR(Store_Record[[#This Row],[Date]])</f>
        <v>2025</v>
      </c>
      <c r="O3831"/>
    </row>
    <row r="3832" spans="1:15" x14ac:dyDescent="0.35">
      <c r="A3832" t="s">
        <v>4810</v>
      </c>
      <c r="B3832" s="2">
        <v>45939</v>
      </c>
      <c r="C3832" t="s">
        <v>36</v>
      </c>
      <c r="D3832" t="s">
        <v>25</v>
      </c>
      <c r="E3832" t="s">
        <v>42</v>
      </c>
      <c r="F3832" t="s">
        <v>13</v>
      </c>
      <c r="G3832">
        <v>1</v>
      </c>
      <c r="H3832">
        <v>3.8</v>
      </c>
      <c r="I3832" t="s">
        <v>39</v>
      </c>
      <c r="J3832" t="s">
        <v>1283</v>
      </c>
      <c r="K3832" s="12">
        <f>Store_Record[[#This Row],[Qty]]*Store_Record[[#This Row],[UnitPriceGBP]]</f>
        <v>3.8</v>
      </c>
      <c r="L3832" s="5" t="str">
        <f>TEXT(Store_Record[[#This Row],[Date]],"dddd")</f>
        <v>Thursday</v>
      </c>
      <c r="M3832" s="5" t="str">
        <f>TEXT(Store_Record[[#This Row],[Date]],"mmmm")</f>
        <v>October</v>
      </c>
      <c r="N3832" s="5">
        <f>YEAR(Store_Record[[#This Row],[Date]])</f>
        <v>2025</v>
      </c>
      <c r="O3832"/>
    </row>
    <row r="3833" spans="1:15" x14ac:dyDescent="0.35">
      <c r="A3833" t="s">
        <v>4817</v>
      </c>
      <c r="B3833" s="2">
        <v>45939</v>
      </c>
      <c r="C3833" t="s">
        <v>10</v>
      </c>
      <c r="D3833" t="s">
        <v>38</v>
      </c>
      <c r="E3833" t="s">
        <v>26</v>
      </c>
      <c r="F3833" t="s">
        <v>13</v>
      </c>
      <c r="G3833">
        <v>1</v>
      </c>
      <c r="H3833">
        <v>3.5</v>
      </c>
      <c r="I3833" t="s">
        <v>14</v>
      </c>
      <c r="J3833" t="s">
        <v>1462</v>
      </c>
      <c r="K3833" s="12">
        <f>Store_Record[[#This Row],[Qty]]*Store_Record[[#This Row],[UnitPriceGBP]]</f>
        <v>3.5</v>
      </c>
      <c r="L3833" s="5" t="str">
        <f>TEXT(Store_Record[[#This Row],[Date]],"dddd")</f>
        <v>Thursday</v>
      </c>
      <c r="M3833" s="5" t="str">
        <f>TEXT(Store_Record[[#This Row],[Date]],"mmmm")</f>
        <v>October</v>
      </c>
      <c r="N3833" s="5">
        <f>YEAR(Store_Record[[#This Row],[Date]])</f>
        <v>2025</v>
      </c>
      <c r="O3833"/>
    </row>
    <row r="3834" spans="1:15" x14ac:dyDescent="0.35">
      <c r="A3834" t="s">
        <v>4809</v>
      </c>
      <c r="B3834" s="2">
        <v>45939</v>
      </c>
      <c r="C3834" t="s">
        <v>20</v>
      </c>
      <c r="D3834" t="s">
        <v>29</v>
      </c>
      <c r="E3834" t="s">
        <v>12</v>
      </c>
      <c r="F3834" t="s">
        <v>13</v>
      </c>
      <c r="G3834">
        <v>1</v>
      </c>
      <c r="H3834">
        <v>2.5</v>
      </c>
      <c r="I3834" t="s">
        <v>21</v>
      </c>
      <c r="J3834" t="s">
        <v>1721</v>
      </c>
      <c r="K3834" s="12">
        <f>Store_Record[[#This Row],[Qty]]*Store_Record[[#This Row],[UnitPriceGBP]]</f>
        <v>2.5</v>
      </c>
      <c r="L3834" s="5" t="str">
        <f>TEXT(Store_Record[[#This Row],[Date]],"dddd")</f>
        <v>Thursday</v>
      </c>
      <c r="M3834" s="5" t="str">
        <f>TEXT(Store_Record[[#This Row],[Date]],"mmmm")</f>
        <v>October</v>
      </c>
      <c r="N3834" s="5">
        <f>YEAR(Store_Record[[#This Row],[Date]])</f>
        <v>2025</v>
      </c>
      <c r="O3834"/>
    </row>
    <row r="3835" spans="1:15" x14ac:dyDescent="0.35">
      <c r="A3835" t="s">
        <v>4802</v>
      </c>
      <c r="B3835" s="2">
        <v>45939</v>
      </c>
      <c r="C3835" t="s">
        <v>10</v>
      </c>
      <c r="D3835" t="s">
        <v>11</v>
      </c>
      <c r="E3835" t="s">
        <v>34</v>
      </c>
      <c r="F3835" t="s">
        <v>31</v>
      </c>
      <c r="G3835">
        <v>1</v>
      </c>
      <c r="H3835">
        <v>2.2000000000000002</v>
      </c>
      <c r="I3835" t="s">
        <v>21</v>
      </c>
      <c r="J3835" t="s">
        <v>2172</v>
      </c>
      <c r="K3835" s="12">
        <f>Store_Record[[#This Row],[Qty]]*Store_Record[[#This Row],[UnitPriceGBP]]</f>
        <v>2.2000000000000002</v>
      </c>
      <c r="L3835" s="5" t="str">
        <f>TEXT(Store_Record[[#This Row],[Date]],"dddd")</f>
        <v>Thursday</v>
      </c>
      <c r="M3835" s="5" t="str">
        <f>TEXT(Store_Record[[#This Row],[Date]],"mmmm")</f>
        <v>October</v>
      </c>
      <c r="N3835" s="5">
        <f>YEAR(Store_Record[[#This Row],[Date]])</f>
        <v>2025</v>
      </c>
      <c r="O3835"/>
    </row>
    <row r="3836" spans="1:15" x14ac:dyDescent="0.35">
      <c r="A3836" t="s">
        <v>4811</v>
      </c>
      <c r="B3836" s="2">
        <v>45939</v>
      </c>
      <c r="C3836" t="s">
        <v>20</v>
      </c>
      <c r="D3836" t="s">
        <v>25</v>
      </c>
      <c r="E3836" t="s">
        <v>34</v>
      </c>
      <c r="F3836" t="s">
        <v>31</v>
      </c>
      <c r="G3836">
        <v>1</v>
      </c>
      <c r="H3836">
        <v>2.2000000000000002</v>
      </c>
      <c r="I3836" t="s">
        <v>21</v>
      </c>
      <c r="J3836" t="s">
        <v>2130</v>
      </c>
      <c r="K3836" s="12">
        <f>Store_Record[[#This Row],[Qty]]*Store_Record[[#This Row],[UnitPriceGBP]]</f>
        <v>2.2000000000000002</v>
      </c>
      <c r="L3836" s="5" t="str">
        <f>TEXT(Store_Record[[#This Row],[Date]],"dddd")</f>
        <v>Thursday</v>
      </c>
      <c r="M3836" s="5" t="str">
        <f>TEXT(Store_Record[[#This Row],[Date]],"mmmm")</f>
        <v>October</v>
      </c>
      <c r="N3836" s="5">
        <f>YEAR(Store_Record[[#This Row],[Date]])</f>
        <v>2025</v>
      </c>
      <c r="O3836"/>
    </row>
    <row r="3837" spans="1:15" x14ac:dyDescent="0.35">
      <c r="A3837" t="s">
        <v>4812</v>
      </c>
      <c r="B3837" s="2">
        <v>45939</v>
      </c>
      <c r="C3837" t="s">
        <v>20</v>
      </c>
      <c r="D3837" t="s">
        <v>47</v>
      </c>
      <c r="E3837" t="s">
        <v>34</v>
      </c>
      <c r="F3837" t="s">
        <v>31</v>
      </c>
      <c r="G3837">
        <v>1</v>
      </c>
      <c r="H3837">
        <v>2.2000000000000002</v>
      </c>
      <c r="I3837" t="s">
        <v>21</v>
      </c>
      <c r="J3837" t="s">
        <v>144</v>
      </c>
      <c r="K3837" s="12">
        <f>Store_Record[[#This Row],[Qty]]*Store_Record[[#This Row],[UnitPriceGBP]]</f>
        <v>2.2000000000000002</v>
      </c>
      <c r="L3837" s="5" t="str">
        <f>TEXT(Store_Record[[#This Row],[Date]],"dddd")</f>
        <v>Thursday</v>
      </c>
      <c r="M3837" s="5" t="str">
        <f>TEXT(Store_Record[[#This Row],[Date]],"mmmm")</f>
        <v>October</v>
      </c>
      <c r="N3837" s="5">
        <f>YEAR(Store_Record[[#This Row],[Date]])</f>
        <v>2025</v>
      </c>
      <c r="O3837"/>
    </row>
    <row r="3838" spans="1:15" x14ac:dyDescent="0.35">
      <c r="A3838" t="s">
        <v>4819</v>
      </c>
      <c r="B3838" s="2">
        <v>45940</v>
      </c>
      <c r="C3838" t="s">
        <v>24</v>
      </c>
      <c r="D3838" t="s">
        <v>29</v>
      </c>
      <c r="E3838" t="s">
        <v>42</v>
      </c>
      <c r="F3838" t="s">
        <v>13</v>
      </c>
      <c r="G3838">
        <v>5</v>
      </c>
      <c r="H3838">
        <v>3.8</v>
      </c>
      <c r="I3838" t="s">
        <v>21</v>
      </c>
      <c r="J3838" t="s">
        <v>230</v>
      </c>
      <c r="K3838" s="12">
        <f>Store_Record[[#This Row],[Qty]]*Store_Record[[#This Row],[UnitPriceGBP]]</f>
        <v>19</v>
      </c>
      <c r="L3838" s="5" t="str">
        <f>TEXT(Store_Record[[#This Row],[Date]],"dddd")</f>
        <v>Friday</v>
      </c>
      <c r="M3838" s="5" t="str">
        <f>TEXT(Store_Record[[#This Row],[Date]],"mmmm")</f>
        <v>October</v>
      </c>
      <c r="N3838" s="5">
        <f>YEAR(Store_Record[[#This Row],[Date]])</f>
        <v>2025</v>
      </c>
      <c r="O3838"/>
    </row>
    <row r="3839" spans="1:15" x14ac:dyDescent="0.35">
      <c r="A3839" t="s">
        <v>4825</v>
      </c>
      <c r="B3839" s="2">
        <v>45940</v>
      </c>
      <c r="C3839" t="s">
        <v>36</v>
      </c>
      <c r="D3839" t="s">
        <v>25</v>
      </c>
      <c r="E3839" t="s">
        <v>42</v>
      </c>
      <c r="F3839" t="s">
        <v>13</v>
      </c>
      <c r="G3839">
        <v>4</v>
      </c>
      <c r="H3839">
        <v>3.8</v>
      </c>
      <c r="I3839" t="s">
        <v>21</v>
      </c>
      <c r="J3839" t="s">
        <v>1625</v>
      </c>
      <c r="K3839" s="12">
        <f>Store_Record[[#This Row],[Qty]]*Store_Record[[#This Row],[UnitPriceGBP]]</f>
        <v>15.2</v>
      </c>
      <c r="L3839" s="5" t="str">
        <f>TEXT(Store_Record[[#This Row],[Date]],"dddd")</f>
        <v>Friday</v>
      </c>
      <c r="M3839" s="5" t="str">
        <f>TEXT(Store_Record[[#This Row],[Date]],"mmmm")</f>
        <v>October</v>
      </c>
      <c r="N3839" s="5">
        <f>YEAR(Store_Record[[#This Row],[Date]])</f>
        <v>2025</v>
      </c>
      <c r="O3839"/>
    </row>
    <row r="3840" spans="1:15" x14ac:dyDescent="0.35">
      <c r="A3840" t="s">
        <v>4821</v>
      </c>
      <c r="B3840" s="2">
        <v>45940</v>
      </c>
      <c r="C3840" t="s">
        <v>24</v>
      </c>
      <c r="D3840" t="s">
        <v>11</v>
      </c>
      <c r="E3840" t="s">
        <v>30</v>
      </c>
      <c r="F3840" t="s">
        <v>31</v>
      </c>
      <c r="G3840">
        <v>5</v>
      </c>
      <c r="H3840">
        <v>2.8</v>
      </c>
      <c r="I3840" t="s">
        <v>39</v>
      </c>
      <c r="J3840" t="s">
        <v>2634</v>
      </c>
      <c r="K3840" s="12">
        <f>Store_Record[[#This Row],[Qty]]*Store_Record[[#This Row],[UnitPriceGBP]]</f>
        <v>14</v>
      </c>
      <c r="L3840" s="5" t="str">
        <f>TEXT(Store_Record[[#This Row],[Date]],"dddd")</f>
        <v>Friday</v>
      </c>
      <c r="M3840" s="5" t="str">
        <f>TEXT(Store_Record[[#This Row],[Date]],"mmmm")</f>
        <v>October</v>
      </c>
      <c r="N3840" s="5">
        <f>YEAR(Store_Record[[#This Row],[Date]])</f>
        <v>2025</v>
      </c>
      <c r="O3840"/>
    </row>
    <row r="3841" spans="1:15" x14ac:dyDescent="0.35">
      <c r="A3841" t="s">
        <v>4826</v>
      </c>
      <c r="B3841" s="2">
        <v>45940</v>
      </c>
      <c r="C3841" t="s">
        <v>36</v>
      </c>
      <c r="D3841" t="s">
        <v>152</v>
      </c>
      <c r="E3841" t="s">
        <v>30</v>
      </c>
      <c r="F3841" t="s">
        <v>31</v>
      </c>
      <c r="G3841">
        <v>5</v>
      </c>
      <c r="H3841">
        <v>2.8</v>
      </c>
      <c r="I3841" t="s">
        <v>14</v>
      </c>
      <c r="J3841" t="s">
        <v>1214</v>
      </c>
      <c r="K3841" s="12">
        <f>Store_Record[[#This Row],[Qty]]*Store_Record[[#This Row],[UnitPriceGBP]]</f>
        <v>14</v>
      </c>
      <c r="L3841" s="5" t="str">
        <f>TEXT(Store_Record[[#This Row],[Date]],"dddd")</f>
        <v>Friday</v>
      </c>
      <c r="M3841" s="5" t="str">
        <f>TEXT(Store_Record[[#This Row],[Date]],"mmmm")</f>
        <v>October</v>
      </c>
      <c r="N3841" s="5">
        <f>YEAR(Store_Record[[#This Row],[Date]])</f>
        <v>2025</v>
      </c>
      <c r="O3841"/>
    </row>
    <row r="3842" spans="1:15" x14ac:dyDescent="0.35">
      <c r="A3842" t="s">
        <v>4832</v>
      </c>
      <c r="B3842" s="2">
        <v>45940</v>
      </c>
      <c r="C3842" t="s">
        <v>24</v>
      </c>
      <c r="D3842" t="s">
        <v>38</v>
      </c>
      <c r="E3842" t="s">
        <v>26</v>
      </c>
      <c r="F3842" t="s">
        <v>13</v>
      </c>
      <c r="G3842">
        <v>4</v>
      </c>
      <c r="H3842">
        <v>3.5</v>
      </c>
      <c r="I3842" t="s">
        <v>14</v>
      </c>
      <c r="J3842" t="s">
        <v>40</v>
      </c>
      <c r="K3842" s="12">
        <f>Store_Record[[#This Row],[Qty]]*Store_Record[[#This Row],[UnitPriceGBP]]</f>
        <v>14</v>
      </c>
      <c r="L3842" s="5" t="str">
        <f>TEXT(Store_Record[[#This Row],[Date]],"dddd")</f>
        <v>Friday</v>
      </c>
      <c r="M3842" s="5" t="str">
        <f>TEXT(Store_Record[[#This Row],[Date]],"mmmm")</f>
        <v>October</v>
      </c>
      <c r="N3842" s="5">
        <f>YEAR(Store_Record[[#This Row],[Date]])</f>
        <v>2025</v>
      </c>
      <c r="O3842"/>
    </row>
    <row r="3843" spans="1:15" x14ac:dyDescent="0.35">
      <c r="A3843" t="s">
        <v>4829</v>
      </c>
      <c r="B3843" s="2">
        <v>45940</v>
      </c>
      <c r="C3843" t="s">
        <v>24</v>
      </c>
      <c r="D3843" t="s">
        <v>25</v>
      </c>
      <c r="E3843" t="s">
        <v>42</v>
      </c>
      <c r="F3843" t="s">
        <v>13</v>
      </c>
      <c r="G3843">
        <v>3</v>
      </c>
      <c r="H3843">
        <v>3.8</v>
      </c>
      <c r="I3843" t="s">
        <v>39</v>
      </c>
      <c r="J3843" t="s">
        <v>662</v>
      </c>
      <c r="K3843" s="12">
        <f>Store_Record[[#This Row],[Qty]]*Store_Record[[#This Row],[UnitPriceGBP]]</f>
        <v>11.399999999999999</v>
      </c>
      <c r="L3843" s="5" t="str">
        <f>TEXT(Store_Record[[#This Row],[Date]],"dddd")</f>
        <v>Friday</v>
      </c>
      <c r="M3843" s="5" t="str">
        <f>TEXT(Store_Record[[#This Row],[Date]],"mmmm")</f>
        <v>October</v>
      </c>
      <c r="N3843" s="5">
        <f>YEAR(Store_Record[[#This Row],[Date]])</f>
        <v>2025</v>
      </c>
      <c r="O3843"/>
    </row>
    <row r="3844" spans="1:15" x14ac:dyDescent="0.35">
      <c r="A3844" t="s">
        <v>4828</v>
      </c>
      <c r="B3844" s="2">
        <v>45940</v>
      </c>
      <c r="C3844" t="s">
        <v>20</v>
      </c>
      <c r="D3844" t="s">
        <v>25</v>
      </c>
      <c r="E3844" t="s">
        <v>30</v>
      </c>
      <c r="F3844" t="s">
        <v>31</v>
      </c>
      <c r="G3844">
        <v>4</v>
      </c>
      <c r="H3844">
        <v>2.8</v>
      </c>
      <c r="I3844" t="s">
        <v>39</v>
      </c>
      <c r="J3844" t="s">
        <v>2172</v>
      </c>
      <c r="K3844" s="12">
        <f>Store_Record[[#This Row],[Qty]]*Store_Record[[#This Row],[UnitPriceGBP]]</f>
        <v>11.2</v>
      </c>
      <c r="L3844" s="5" t="str">
        <f>TEXT(Store_Record[[#This Row],[Date]],"dddd")</f>
        <v>Friday</v>
      </c>
      <c r="M3844" s="5" t="str">
        <f>TEXT(Store_Record[[#This Row],[Date]],"mmmm")</f>
        <v>October</v>
      </c>
      <c r="N3844" s="5">
        <f>YEAR(Store_Record[[#This Row],[Date]])</f>
        <v>2025</v>
      </c>
      <c r="O3844"/>
    </row>
    <row r="3845" spans="1:15" x14ac:dyDescent="0.35">
      <c r="A3845" t="s">
        <v>4818</v>
      </c>
      <c r="B3845" s="2">
        <v>45940</v>
      </c>
      <c r="C3845" t="s">
        <v>24</v>
      </c>
      <c r="D3845" t="s">
        <v>25</v>
      </c>
      <c r="E3845" t="s">
        <v>30</v>
      </c>
      <c r="F3845" t="s">
        <v>31</v>
      </c>
      <c r="G3845">
        <v>3</v>
      </c>
      <c r="H3845">
        <v>2.8</v>
      </c>
      <c r="I3845" t="s">
        <v>39</v>
      </c>
      <c r="J3845" t="s">
        <v>314</v>
      </c>
      <c r="K3845" s="12">
        <f>Store_Record[[#This Row],[Qty]]*Store_Record[[#This Row],[UnitPriceGBP]]</f>
        <v>8.3999999999999986</v>
      </c>
      <c r="L3845" s="5" t="str">
        <f>TEXT(Store_Record[[#This Row],[Date]],"dddd")</f>
        <v>Friday</v>
      </c>
      <c r="M3845" s="5" t="str">
        <f>TEXT(Store_Record[[#This Row],[Date]],"mmmm")</f>
        <v>October</v>
      </c>
      <c r="N3845" s="5">
        <f>YEAR(Store_Record[[#This Row],[Date]])</f>
        <v>2025</v>
      </c>
      <c r="O3845"/>
    </row>
    <row r="3846" spans="1:15" x14ac:dyDescent="0.35">
      <c r="A3846" t="s">
        <v>4824</v>
      </c>
      <c r="B3846" s="2">
        <v>45940</v>
      </c>
      <c r="C3846" t="s">
        <v>20</v>
      </c>
      <c r="D3846" t="s">
        <v>47</v>
      </c>
      <c r="E3846" t="s">
        <v>30</v>
      </c>
      <c r="F3846" t="s">
        <v>31</v>
      </c>
      <c r="G3846">
        <v>3</v>
      </c>
      <c r="H3846">
        <v>2.8</v>
      </c>
      <c r="I3846" t="s">
        <v>21</v>
      </c>
      <c r="J3846" t="s">
        <v>3941</v>
      </c>
      <c r="K3846" s="12">
        <f>Store_Record[[#This Row],[Qty]]*Store_Record[[#This Row],[UnitPriceGBP]]</f>
        <v>8.3999999999999986</v>
      </c>
      <c r="L3846" s="5" t="str">
        <f>TEXT(Store_Record[[#This Row],[Date]],"dddd")</f>
        <v>Friday</v>
      </c>
      <c r="M3846" s="5" t="str">
        <f>TEXT(Store_Record[[#This Row],[Date]],"mmmm")</f>
        <v>October</v>
      </c>
      <c r="N3846" s="5">
        <f>YEAR(Store_Record[[#This Row],[Date]])</f>
        <v>2025</v>
      </c>
      <c r="O3846"/>
    </row>
    <row r="3847" spans="1:15" x14ac:dyDescent="0.35">
      <c r="A3847" t="s">
        <v>4831</v>
      </c>
      <c r="B3847" s="2">
        <v>45940</v>
      </c>
      <c r="C3847" t="s">
        <v>10</v>
      </c>
      <c r="D3847" t="s">
        <v>29</v>
      </c>
      <c r="E3847" t="s">
        <v>12</v>
      </c>
      <c r="F3847" t="s">
        <v>13</v>
      </c>
      <c r="G3847">
        <v>3</v>
      </c>
      <c r="H3847">
        <v>2.5</v>
      </c>
      <c r="I3847" t="s">
        <v>14</v>
      </c>
      <c r="J3847" t="s">
        <v>1063</v>
      </c>
      <c r="K3847" s="12">
        <f>Store_Record[[#This Row],[Qty]]*Store_Record[[#This Row],[UnitPriceGBP]]</f>
        <v>7.5</v>
      </c>
      <c r="L3847" s="5" t="str">
        <f>TEXT(Store_Record[[#This Row],[Date]],"dddd")</f>
        <v>Friday</v>
      </c>
      <c r="M3847" s="5" t="str">
        <f>TEXT(Store_Record[[#This Row],[Date]],"mmmm")</f>
        <v>October</v>
      </c>
      <c r="N3847" s="5">
        <f>YEAR(Store_Record[[#This Row],[Date]])</f>
        <v>2025</v>
      </c>
      <c r="O3847"/>
    </row>
    <row r="3848" spans="1:15" x14ac:dyDescent="0.35">
      <c r="A3848" t="s">
        <v>4822</v>
      </c>
      <c r="B3848" s="2">
        <v>45940</v>
      </c>
      <c r="C3848" t="s">
        <v>10</v>
      </c>
      <c r="D3848" t="s">
        <v>38</v>
      </c>
      <c r="E3848" t="s">
        <v>30</v>
      </c>
      <c r="F3848" t="s">
        <v>31</v>
      </c>
      <c r="G3848">
        <v>2</v>
      </c>
      <c r="H3848">
        <v>2.8</v>
      </c>
      <c r="I3848" t="s">
        <v>14</v>
      </c>
      <c r="J3848" t="s">
        <v>1765</v>
      </c>
      <c r="K3848" s="12">
        <f>Store_Record[[#This Row],[Qty]]*Store_Record[[#This Row],[UnitPriceGBP]]</f>
        <v>5.6</v>
      </c>
      <c r="L3848" s="5" t="str">
        <f>TEXT(Store_Record[[#This Row],[Date]],"dddd")</f>
        <v>Friday</v>
      </c>
      <c r="M3848" s="5" t="str">
        <f>TEXT(Store_Record[[#This Row],[Date]],"mmmm")</f>
        <v>October</v>
      </c>
      <c r="N3848" s="5">
        <f>YEAR(Store_Record[[#This Row],[Date]])</f>
        <v>2025</v>
      </c>
      <c r="O3848"/>
    </row>
    <row r="3849" spans="1:15" x14ac:dyDescent="0.35">
      <c r="A3849" t="s">
        <v>4827</v>
      </c>
      <c r="B3849" s="2">
        <v>45940</v>
      </c>
      <c r="C3849" t="s">
        <v>10</v>
      </c>
      <c r="D3849" t="s">
        <v>38</v>
      </c>
      <c r="E3849" t="s">
        <v>30</v>
      </c>
      <c r="F3849" t="s">
        <v>31</v>
      </c>
      <c r="G3849">
        <v>2</v>
      </c>
      <c r="H3849">
        <v>2.8</v>
      </c>
      <c r="I3849" t="s">
        <v>21</v>
      </c>
      <c r="J3849" t="s">
        <v>3508</v>
      </c>
      <c r="K3849" s="12">
        <f>Store_Record[[#This Row],[Qty]]*Store_Record[[#This Row],[UnitPriceGBP]]</f>
        <v>5.6</v>
      </c>
      <c r="L3849" s="5" t="str">
        <f>TEXT(Store_Record[[#This Row],[Date]],"dddd")</f>
        <v>Friday</v>
      </c>
      <c r="M3849" s="5" t="str">
        <f>TEXT(Store_Record[[#This Row],[Date]],"mmmm")</f>
        <v>October</v>
      </c>
      <c r="N3849" s="5">
        <f>YEAR(Store_Record[[#This Row],[Date]])</f>
        <v>2025</v>
      </c>
      <c r="O3849"/>
    </row>
    <row r="3850" spans="1:15" x14ac:dyDescent="0.35">
      <c r="A3850" t="s">
        <v>4820</v>
      </c>
      <c r="B3850" s="2">
        <v>45940</v>
      </c>
      <c r="C3850" t="s">
        <v>10</v>
      </c>
      <c r="D3850" t="s">
        <v>25</v>
      </c>
      <c r="E3850" t="s">
        <v>12</v>
      </c>
      <c r="F3850" t="s">
        <v>13</v>
      </c>
      <c r="G3850">
        <v>2</v>
      </c>
      <c r="H3850">
        <v>2.5</v>
      </c>
      <c r="I3850" t="s">
        <v>21</v>
      </c>
      <c r="J3850" t="s">
        <v>1663</v>
      </c>
      <c r="K3850" s="12">
        <f>Store_Record[[#This Row],[Qty]]*Store_Record[[#This Row],[UnitPriceGBP]]</f>
        <v>5</v>
      </c>
      <c r="L3850" s="5" t="str">
        <f>TEXT(Store_Record[[#This Row],[Date]],"dddd")</f>
        <v>Friday</v>
      </c>
      <c r="M3850" s="5" t="str">
        <f>TEXT(Store_Record[[#This Row],[Date]],"mmmm")</f>
        <v>October</v>
      </c>
      <c r="N3850" s="5">
        <f>YEAR(Store_Record[[#This Row],[Date]])</f>
        <v>2025</v>
      </c>
      <c r="O3850"/>
    </row>
    <row r="3851" spans="1:15" x14ac:dyDescent="0.35">
      <c r="A3851" t="s">
        <v>4823</v>
      </c>
      <c r="B3851" s="2">
        <v>45940</v>
      </c>
      <c r="C3851" t="s">
        <v>36</v>
      </c>
      <c r="D3851" t="s">
        <v>47</v>
      </c>
      <c r="E3851" t="s">
        <v>12</v>
      </c>
      <c r="F3851" t="s">
        <v>13</v>
      </c>
      <c r="G3851">
        <v>1</v>
      </c>
      <c r="H3851">
        <v>2.5</v>
      </c>
      <c r="I3851" t="s">
        <v>39</v>
      </c>
      <c r="J3851" t="s">
        <v>2781</v>
      </c>
      <c r="K3851" s="12">
        <f>Store_Record[[#This Row],[Qty]]*Store_Record[[#This Row],[UnitPriceGBP]]</f>
        <v>2.5</v>
      </c>
      <c r="L3851" s="5" t="str">
        <f>TEXT(Store_Record[[#This Row],[Date]],"dddd")</f>
        <v>Friday</v>
      </c>
      <c r="M3851" s="5" t="str">
        <f>TEXT(Store_Record[[#This Row],[Date]],"mmmm")</f>
        <v>October</v>
      </c>
      <c r="N3851" s="5">
        <f>YEAR(Store_Record[[#This Row],[Date]])</f>
        <v>2025</v>
      </c>
      <c r="O3851"/>
    </row>
    <row r="3852" spans="1:15" x14ac:dyDescent="0.35">
      <c r="A3852" t="s">
        <v>4830</v>
      </c>
      <c r="B3852" s="2">
        <v>45940</v>
      </c>
      <c r="C3852" t="s">
        <v>10</v>
      </c>
      <c r="D3852" t="s">
        <v>29</v>
      </c>
      <c r="E3852" t="s">
        <v>12</v>
      </c>
      <c r="F3852" t="s">
        <v>13</v>
      </c>
      <c r="G3852">
        <v>1</v>
      </c>
      <c r="H3852">
        <v>2.5</v>
      </c>
      <c r="I3852" t="s">
        <v>14</v>
      </c>
      <c r="J3852" t="s">
        <v>659</v>
      </c>
      <c r="K3852" s="12">
        <f>Store_Record[[#This Row],[Qty]]*Store_Record[[#This Row],[UnitPriceGBP]]</f>
        <v>2.5</v>
      </c>
      <c r="L3852" s="5" t="str">
        <f>TEXT(Store_Record[[#This Row],[Date]],"dddd")</f>
        <v>Friday</v>
      </c>
      <c r="M3852" s="5" t="str">
        <f>TEXT(Store_Record[[#This Row],[Date]],"mmmm")</f>
        <v>October</v>
      </c>
      <c r="N3852" s="5">
        <f>YEAR(Store_Record[[#This Row],[Date]])</f>
        <v>2025</v>
      </c>
      <c r="O3852"/>
    </row>
    <row r="3853" spans="1:15" x14ac:dyDescent="0.35">
      <c r="A3853" t="s">
        <v>4834</v>
      </c>
      <c r="B3853" s="2">
        <v>45941</v>
      </c>
      <c r="C3853" t="s">
        <v>10</v>
      </c>
      <c r="D3853" t="s">
        <v>29</v>
      </c>
      <c r="E3853" t="s">
        <v>26</v>
      </c>
      <c r="F3853" t="s">
        <v>13</v>
      </c>
      <c r="G3853">
        <v>5</v>
      </c>
      <c r="H3853">
        <v>3.5</v>
      </c>
      <c r="I3853" t="s">
        <v>39</v>
      </c>
      <c r="J3853" t="s">
        <v>1116</v>
      </c>
      <c r="K3853" s="12">
        <f>Store_Record[[#This Row],[Qty]]*Store_Record[[#This Row],[UnitPriceGBP]]</f>
        <v>17.5</v>
      </c>
      <c r="L3853" s="5" t="str">
        <f>TEXT(Store_Record[[#This Row],[Date]],"dddd")</f>
        <v>Saturday</v>
      </c>
      <c r="M3853" s="5" t="str">
        <f>TEXT(Store_Record[[#This Row],[Date]],"mmmm")</f>
        <v>October</v>
      </c>
      <c r="N3853" s="5">
        <f>YEAR(Store_Record[[#This Row],[Date]])</f>
        <v>2025</v>
      </c>
      <c r="O3853"/>
    </row>
    <row r="3854" spans="1:15" x14ac:dyDescent="0.35">
      <c r="A3854" t="s">
        <v>4839</v>
      </c>
      <c r="B3854" s="2">
        <v>45941</v>
      </c>
      <c r="C3854" t="s">
        <v>20</v>
      </c>
      <c r="D3854" t="s">
        <v>38</v>
      </c>
      <c r="E3854" t="s">
        <v>26</v>
      </c>
      <c r="F3854" t="s">
        <v>13</v>
      </c>
      <c r="G3854">
        <v>5</v>
      </c>
      <c r="H3854">
        <v>3.5</v>
      </c>
      <c r="I3854" t="s">
        <v>21</v>
      </c>
      <c r="J3854" t="s">
        <v>448</v>
      </c>
      <c r="K3854" s="12">
        <f>Store_Record[[#This Row],[Qty]]*Store_Record[[#This Row],[UnitPriceGBP]]</f>
        <v>17.5</v>
      </c>
      <c r="L3854" s="5" t="str">
        <f>TEXT(Store_Record[[#This Row],[Date]],"dddd")</f>
        <v>Saturday</v>
      </c>
      <c r="M3854" s="5" t="str">
        <f>TEXT(Store_Record[[#This Row],[Date]],"mmmm")</f>
        <v>October</v>
      </c>
      <c r="N3854" s="5">
        <f>YEAR(Store_Record[[#This Row],[Date]])</f>
        <v>2025</v>
      </c>
      <c r="O3854"/>
    </row>
    <row r="3855" spans="1:15" x14ac:dyDescent="0.35">
      <c r="A3855" t="s">
        <v>4836</v>
      </c>
      <c r="B3855" s="2">
        <v>45941</v>
      </c>
      <c r="C3855" t="s">
        <v>36</v>
      </c>
      <c r="D3855" t="s">
        <v>47</v>
      </c>
      <c r="E3855" t="s">
        <v>26</v>
      </c>
      <c r="F3855" t="s">
        <v>13</v>
      </c>
      <c r="G3855">
        <v>4</v>
      </c>
      <c r="H3855">
        <v>3.5</v>
      </c>
      <c r="I3855" t="s">
        <v>14</v>
      </c>
      <c r="J3855" t="s">
        <v>769</v>
      </c>
      <c r="K3855" s="12">
        <f>Store_Record[[#This Row],[Qty]]*Store_Record[[#This Row],[UnitPriceGBP]]</f>
        <v>14</v>
      </c>
      <c r="L3855" s="5" t="str">
        <f>TEXT(Store_Record[[#This Row],[Date]],"dddd")</f>
        <v>Saturday</v>
      </c>
      <c r="M3855" s="5" t="str">
        <f>TEXT(Store_Record[[#This Row],[Date]],"mmmm")</f>
        <v>October</v>
      </c>
      <c r="N3855" s="5">
        <f>YEAR(Store_Record[[#This Row],[Date]])</f>
        <v>2025</v>
      </c>
      <c r="O3855"/>
    </row>
    <row r="3856" spans="1:15" x14ac:dyDescent="0.35">
      <c r="A3856" t="s">
        <v>4842</v>
      </c>
      <c r="B3856" s="2">
        <v>45941</v>
      </c>
      <c r="C3856" t="s">
        <v>10</v>
      </c>
      <c r="D3856" t="s">
        <v>11</v>
      </c>
      <c r="E3856" t="s">
        <v>26</v>
      </c>
      <c r="F3856" t="s">
        <v>13</v>
      </c>
      <c r="G3856">
        <v>4</v>
      </c>
      <c r="H3856">
        <v>3.5</v>
      </c>
      <c r="I3856" t="s">
        <v>14</v>
      </c>
      <c r="J3856" t="s">
        <v>3331</v>
      </c>
      <c r="K3856" s="12">
        <f>Store_Record[[#This Row],[Qty]]*Store_Record[[#This Row],[UnitPriceGBP]]</f>
        <v>14</v>
      </c>
      <c r="L3856" s="5" t="str">
        <f>TEXT(Store_Record[[#This Row],[Date]],"dddd")</f>
        <v>Saturday</v>
      </c>
      <c r="M3856" s="5" t="str">
        <f>TEXT(Store_Record[[#This Row],[Date]],"mmmm")</f>
        <v>October</v>
      </c>
      <c r="N3856" s="5">
        <f>YEAR(Store_Record[[#This Row],[Date]])</f>
        <v>2025</v>
      </c>
      <c r="O3856"/>
    </row>
    <row r="3857" spans="1:15" x14ac:dyDescent="0.35">
      <c r="A3857" t="s">
        <v>4838</v>
      </c>
      <c r="B3857" s="2">
        <v>45941</v>
      </c>
      <c r="C3857" t="s">
        <v>36</v>
      </c>
      <c r="D3857" t="s">
        <v>11</v>
      </c>
      <c r="E3857" t="s">
        <v>42</v>
      </c>
      <c r="F3857" t="s">
        <v>13</v>
      </c>
      <c r="G3857">
        <v>3</v>
      </c>
      <c r="H3857">
        <v>3.8</v>
      </c>
      <c r="I3857" t="s">
        <v>21</v>
      </c>
      <c r="J3857" t="s">
        <v>510</v>
      </c>
      <c r="K3857" s="12">
        <f>Store_Record[[#This Row],[Qty]]*Store_Record[[#This Row],[UnitPriceGBP]]</f>
        <v>11.399999999999999</v>
      </c>
      <c r="L3857" s="5" t="str">
        <f>TEXT(Store_Record[[#This Row],[Date]],"dddd")</f>
        <v>Saturday</v>
      </c>
      <c r="M3857" s="5" t="str">
        <f>TEXT(Store_Record[[#This Row],[Date]],"mmmm")</f>
        <v>October</v>
      </c>
      <c r="N3857" s="5">
        <f>YEAR(Store_Record[[#This Row],[Date]])</f>
        <v>2025</v>
      </c>
      <c r="O3857"/>
    </row>
    <row r="3858" spans="1:15" x14ac:dyDescent="0.35">
      <c r="A3858" t="s">
        <v>4833</v>
      </c>
      <c r="B3858" s="2">
        <v>45941</v>
      </c>
      <c r="C3858" t="s">
        <v>24</v>
      </c>
      <c r="D3858" t="s">
        <v>25</v>
      </c>
      <c r="E3858" t="s">
        <v>30</v>
      </c>
      <c r="F3858" t="s">
        <v>31</v>
      </c>
      <c r="G3858">
        <v>4</v>
      </c>
      <c r="H3858">
        <v>2.8</v>
      </c>
      <c r="I3858" t="s">
        <v>39</v>
      </c>
      <c r="J3858" t="s">
        <v>569</v>
      </c>
      <c r="K3858" s="12">
        <f>Store_Record[[#This Row],[Qty]]*Store_Record[[#This Row],[UnitPriceGBP]]</f>
        <v>11.2</v>
      </c>
      <c r="L3858" s="5" t="str">
        <f>TEXT(Store_Record[[#This Row],[Date]],"dddd")</f>
        <v>Saturday</v>
      </c>
      <c r="M3858" s="5" t="str">
        <f>TEXT(Store_Record[[#This Row],[Date]],"mmmm")</f>
        <v>October</v>
      </c>
      <c r="N3858" s="5">
        <f>YEAR(Store_Record[[#This Row],[Date]])</f>
        <v>2025</v>
      </c>
      <c r="O3858"/>
    </row>
    <row r="3859" spans="1:15" x14ac:dyDescent="0.35">
      <c r="A3859" t="s">
        <v>4835</v>
      </c>
      <c r="B3859" s="2">
        <v>45941</v>
      </c>
      <c r="C3859" t="s">
        <v>24</v>
      </c>
      <c r="D3859" t="s">
        <v>29</v>
      </c>
      <c r="E3859" t="s">
        <v>42</v>
      </c>
      <c r="F3859" t="s">
        <v>13</v>
      </c>
      <c r="G3859">
        <v>2</v>
      </c>
      <c r="H3859">
        <v>3.8</v>
      </c>
      <c r="I3859" t="s">
        <v>14</v>
      </c>
      <c r="J3859" t="s">
        <v>819</v>
      </c>
      <c r="K3859" s="12">
        <f>Store_Record[[#This Row],[Qty]]*Store_Record[[#This Row],[UnitPriceGBP]]</f>
        <v>7.6</v>
      </c>
      <c r="L3859" s="5" t="str">
        <f>TEXT(Store_Record[[#This Row],[Date]],"dddd")</f>
        <v>Saturday</v>
      </c>
      <c r="M3859" s="5" t="str">
        <f>TEXT(Store_Record[[#This Row],[Date]],"mmmm")</f>
        <v>October</v>
      </c>
      <c r="N3859" s="5">
        <f>YEAR(Store_Record[[#This Row],[Date]])</f>
        <v>2025</v>
      </c>
      <c r="O3859"/>
    </row>
    <row r="3860" spans="1:15" x14ac:dyDescent="0.35">
      <c r="A3860" t="s">
        <v>4841</v>
      </c>
      <c r="B3860" s="2">
        <v>45941</v>
      </c>
      <c r="C3860" t="s">
        <v>24</v>
      </c>
      <c r="D3860" t="s">
        <v>11</v>
      </c>
      <c r="E3860" t="s">
        <v>26</v>
      </c>
      <c r="F3860" t="s">
        <v>13</v>
      </c>
      <c r="G3860">
        <v>2</v>
      </c>
      <c r="H3860">
        <v>3.5</v>
      </c>
      <c r="I3860" t="s">
        <v>21</v>
      </c>
      <c r="J3860" t="s">
        <v>2168</v>
      </c>
      <c r="K3860" s="12">
        <f>Store_Record[[#This Row],[Qty]]*Store_Record[[#This Row],[UnitPriceGBP]]</f>
        <v>7</v>
      </c>
      <c r="L3860" s="5" t="str">
        <f>TEXT(Store_Record[[#This Row],[Date]],"dddd")</f>
        <v>Saturday</v>
      </c>
      <c r="M3860" s="5" t="str">
        <f>TEXT(Store_Record[[#This Row],[Date]],"mmmm")</f>
        <v>October</v>
      </c>
      <c r="N3860" s="5">
        <f>YEAR(Store_Record[[#This Row],[Date]])</f>
        <v>2025</v>
      </c>
      <c r="O3860"/>
    </row>
    <row r="3861" spans="1:15" x14ac:dyDescent="0.35">
      <c r="A3861" t="s">
        <v>4843</v>
      </c>
      <c r="B3861" s="2">
        <v>45941</v>
      </c>
      <c r="C3861" t="s">
        <v>36</v>
      </c>
      <c r="D3861" t="s">
        <v>11</v>
      </c>
      <c r="E3861" t="s">
        <v>34</v>
      </c>
      <c r="F3861" t="s">
        <v>31</v>
      </c>
      <c r="G3861">
        <v>3</v>
      </c>
      <c r="H3861">
        <v>2.2000000000000002</v>
      </c>
      <c r="I3861" t="s">
        <v>21</v>
      </c>
      <c r="J3861" t="s">
        <v>1070</v>
      </c>
      <c r="K3861" s="12">
        <f>Store_Record[[#This Row],[Qty]]*Store_Record[[#This Row],[UnitPriceGBP]]</f>
        <v>6.6000000000000005</v>
      </c>
      <c r="L3861" s="5" t="str">
        <f>TEXT(Store_Record[[#This Row],[Date]],"dddd")</f>
        <v>Saturday</v>
      </c>
      <c r="M3861" s="5" t="str">
        <f>TEXT(Store_Record[[#This Row],[Date]],"mmmm")</f>
        <v>October</v>
      </c>
      <c r="N3861" s="5">
        <f>YEAR(Store_Record[[#This Row],[Date]])</f>
        <v>2025</v>
      </c>
      <c r="O3861"/>
    </row>
    <row r="3862" spans="1:15" x14ac:dyDescent="0.35">
      <c r="A3862" t="s">
        <v>4840</v>
      </c>
      <c r="B3862" s="2">
        <v>45941</v>
      </c>
      <c r="C3862" t="s">
        <v>10</v>
      </c>
      <c r="D3862" t="s">
        <v>38</v>
      </c>
      <c r="E3862" t="s">
        <v>26</v>
      </c>
      <c r="F3862" t="s">
        <v>13</v>
      </c>
      <c r="G3862">
        <v>1</v>
      </c>
      <c r="H3862">
        <v>3.5</v>
      </c>
      <c r="I3862" t="s">
        <v>21</v>
      </c>
      <c r="J3862" t="s">
        <v>3759</v>
      </c>
      <c r="K3862" s="12">
        <f>Store_Record[[#This Row],[Qty]]*Store_Record[[#This Row],[UnitPriceGBP]]</f>
        <v>3.5</v>
      </c>
      <c r="L3862" s="5" t="str">
        <f>TEXT(Store_Record[[#This Row],[Date]],"dddd")</f>
        <v>Saturday</v>
      </c>
      <c r="M3862" s="5" t="str">
        <f>TEXT(Store_Record[[#This Row],[Date]],"mmmm")</f>
        <v>October</v>
      </c>
      <c r="N3862" s="5">
        <f>YEAR(Store_Record[[#This Row],[Date]])</f>
        <v>2025</v>
      </c>
      <c r="O3862"/>
    </row>
    <row r="3863" spans="1:15" x14ac:dyDescent="0.35">
      <c r="A3863" t="s">
        <v>4837</v>
      </c>
      <c r="B3863" s="2">
        <v>45941</v>
      </c>
      <c r="C3863" t="s">
        <v>36</v>
      </c>
      <c r="D3863" t="s">
        <v>11</v>
      </c>
      <c r="E3863" t="s">
        <v>12</v>
      </c>
      <c r="F3863" t="s">
        <v>13</v>
      </c>
      <c r="G3863">
        <v>1</v>
      </c>
      <c r="H3863">
        <v>2.5</v>
      </c>
      <c r="I3863" t="s">
        <v>21</v>
      </c>
      <c r="J3863" t="s">
        <v>840</v>
      </c>
      <c r="K3863" s="12">
        <f>Store_Record[[#This Row],[Qty]]*Store_Record[[#This Row],[UnitPriceGBP]]</f>
        <v>2.5</v>
      </c>
      <c r="L3863" s="5" t="str">
        <f>TEXT(Store_Record[[#This Row],[Date]],"dddd")</f>
        <v>Saturday</v>
      </c>
      <c r="M3863" s="5" t="str">
        <f>TEXT(Store_Record[[#This Row],[Date]],"mmmm")</f>
        <v>October</v>
      </c>
      <c r="N3863" s="5">
        <f>YEAR(Store_Record[[#This Row],[Date]])</f>
        <v>2025</v>
      </c>
      <c r="O3863"/>
    </row>
    <row r="3864" spans="1:15" x14ac:dyDescent="0.35">
      <c r="A3864" t="s">
        <v>4847</v>
      </c>
      <c r="B3864" s="2">
        <v>45942</v>
      </c>
      <c r="C3864" t="s">
        <v>36</v>
      </c>
      <c r="D3864" t="s">
        <v>47</v>
      </c>
      <c r="E3864" t="s">
        <v>26</v>
      </c>
      <c r="F3864" t="s">
        <v>13</v>
      </c>
      <c r="G3864">
        <v>5</v>
      </c>
      <c r="H3864">
        <v>3.5</v>
      </c>
      <c r="I3864" t="s">
        <v>21</v>
      </c>
      <c r="J3864" t="s">
        <v>237</v>
      </c>
      <c r="K3864" s="12">
        <f>Store_Record[[#This Row],[Qty]]*Store_Record[[#This Row],[UnitPriceGBP]]</f>
        <v>17.5</v>
      </c>
      <c r="L3864" s="5" t="str">
        <f>TEXT(Store_Record[[#This Row],[Date]],"dddd")</f>
        <v>Sunday</v>
      </c>
      <c r="M3864" s="5" t="str">
        <f>TEXT(Store_Record[[#This Row],[Date]],"mmmm")</f>
        <v>October</v>
      </c>
      <c r="N3864" s="5">
        <f>YEAR(Store_Record[[#This Row],[Date]])</f>
        <v>2025</v>
      </c>
      <c r="O3864"/>
    </row>
    <row r="3865" spans="1:15" x14ac:dyDescent="0.35">
      <c r="A3865" t="s">
        <v>4850</v>
      </c>
      <c r="B3865" s="2">
        <v>45942</v>
      </c>
      <c r="C3865" t="s">
        <v>10</v>
      </c>
      <c r="D3865" t="s">
        <v>47</v>
      </c>
      <c r="E3865" t="s">
        <v>26</v>
      </c>
      <c r="F3865" t="s">
        <v>13</v>
      </c>
      <c r="G3865">
        <v>5</v>
      </c>
      <c r="H3865">
        <v>3.5</v>
      </c>
      <c r="I3865" t="s">
        <v>21</v>
      </c>
      <c r="J3865" t="s">
        <v>1809</v>
      </c>
      <c r="K3865" s="12">
        <f>Store_Record[[#This Row],[Qty]]*Store_Record[[#This Row],[UnitPriceGBP]]</f>
        <v>17.5</v>
      </c>
      <c r="L3865" s="5" t="str">
        <f>TEXT(Store_Record[[#This Row],[Date]],"dddd")</f>
        <v>Sunday</v>
      </c>
      <c r="M3865" s="5" t="str">
        <f>TEXT(Store_Record[[#This Row],[Date]],"mmmm")</f>
        <v>October</v>
      </c>
      <c r="N3865" s="5">
        <f>YEAR(Store_Record[[#This Row],[Date]])</f>
        <v>2025</v>
      </c>
      <c r="O3865"/>
    </row>
    <row r="3866" spans="1:15" x14ac:dyDescent="0.35">
      <c r="A3866" t="s">
        <v>4845</v>
      </c>
      <c r="B3866" s="2">
        <v>45942</v>
      </c>
      <c r="C3866" t="s">
        <v>10</v>
      </c>
      <c r="D3866" t="s">
        <v>25</v>
      </c>
      <c r="E3866" t="s">
        <v>30</v>
      </c>
      <c r="F3866" t="s">
        <v>31</v>
      </c>
      <c r="G3866">
        <v>5</v>
      </c>
      <c r="H3866">
        <v>2.8</v>
      </c>
      <c r="I3866" t="s">
        <v>14</v>
      </c>
      <c r="J3866" t="s">
        <v>1221</v>
      </c>
      <c r="K3866" s="12">
        <f>Store_Record[[#This Row],[Qty]]*Store_Record[[#This Row],[UnitPriceGBP]]</f>
        <v>14</v>
      </c>
      <c r="L3866" s="5" t="str">
        <f>TEXT(Store_Record[[#This Row],[Date]],"dddd")</f>
        <v>Sunday</v>
      </c>
      <c r="M3866" s="5" t="str">
        <f>TEXT(Store_Record[[#This Row],[Date]],"mmmm")</f>
        <v>October</v>
      </c>
      <c r="N3866" s="5">
        <f>YEAR(Store_Record[[#This Row],[Date]])</f>
        <v>2025</v>
      </c>
      <c r="O3866"/>
    </row>
    <row r="3867" spans="1:15" x14ac:dyDescent="0.35">
      <c r="A3867" t="s">
        <v>4852</v>
      </c>
      <c r="B3867" s="2">
        <v>45942</v>
      </c>
      <c r="C3867" t="s">
        <v>20</v>
      </c>
      <c r="D3867" t="s">
        <v>11</v>
      </c>
      <c r="E3867" t="s">
        <v>12</v>
      </c>
      <c r="F3867" t="s">
        <v>13</v>
      </c>
      <c r="G3867">
        <v>5</v>
      </c>
      <c r="H3867">
        <v>2.5</v>
      </c>
      <c r="I3867" t="s">
        <v>14</v>
      </c>
      <c r="J3867" t="s">
        <v>185</v>
      </c>
      <c r="K3867" s="12">
        <f>Store_Record[[#This Row],[Qty]]*Store_Record[[#This Row],[UnitPriceGBP]]</f>
        <v>12.5</v>
      </c>
      <c r="L3867" s="5" t="str">
        <f>TEXT(Store_Record[[#This Row],[Date]],"dddd")</f>
        <v>Sunday</v>
      </c>
      <c r="M3867" s="5" t="str">
        <f>TEXT(Store_Record[[#This Row],[Date]],"mmmm")</f>
        <v>October</v>
      </c>
      <c r="N3867" s="5">
        <f>YEAR(Store_Record[[#This Row],[Date]])</f>
        <v>2025</v>
      </c>
      <c r="O3867"/>
    </row>
    <row r="3868" spans="1:15" x14ac:dyDescent="0.35">
      <c r="A3868" t="s">
        <v>4846</v>
      </c>
      <c r="B3868" s="2">
        <v>45942</v>
      </c>
      <c r="C3868" t="s">
        <v>10</v>
      </c>
      <c r="D3868" t="s">
        <v>25</v>
      </c>
      <c r="E3868" t="s">
        <v>12</v>
      </c>
      <c r="F3868" t="s">
        <v>13</v>
      </c>
      <c r="G3868">
        <v>4</v>
      </c>
      <c r="H3868">
        <v>2.5</v>
      </c>
      <c r="I3868" t="s">
        <v>39</v>
      </c>
      <c r="J3868" t="s">
        <v>972</v>
      </c>
      <c r="K3868" s="12">
        <f>Store_Record[[#This Row],[Qty]]*Store_Record[[#This Row],[UnitPriceGBP]]</f>
        <v>10</v>
      </c>
      <c r="L3868" s="5" t="str">
        <f>TEXT(Store_Record[[#This Row],[Date]],"dddd")</f>
        <v>Sunday</v>
      </c>
      <c r="M3868" s="5" t="str">
        <f>TEXT(Store_Record[[#This Row],[Date]],"mmmm")</f>
        <v>October</v>
      </c>
      <c r="N3868" s="5">
        <f>YEAR(Store_Record[[#This Row],[Date]])</f>
        <v>2025</v>
      </c>
      <c r="O3868"/>
    </row>
    <row r="3869" spans="1:15" x14ac:dyDescent="0.35">
      <c r="A3869" t="s">
        <v>4844</v>
      </c>
      <c r="B3869" s="2">
        <v>45942</v>
      </c>
      <c r="C3869" t="s">
        <v>10</v>
      </c>
      <c r="D3869" t="s">
        <v>29</v>
      </c>
      <c r="E3869" t="s">
        <v>12</v>
      </c>
      <c r="F3869" t="s">
        <v>13</v>
      </c>
      <c r="G3869">
        <v>3</v>
      </c>
      <c r="H3869">
        <v>2.5</v>
      </c>
      <c r="I3869" t="s">
        <v>14</v>
      </c>
      <c r="J3869" t="s">
        <v>497</v>
      </c>
      <c r="K3869" s="12">
        <f>Store_Record[[#This Row],[Qty]]*Store_Record[[#This Row],[UnitPriceGBP]]</f>
        <v>7.5</v>
      </c>
      <c r="L3869" s="5" t="str">
        <f>TEXT(Store_Record[[#This Row],[Date]],"dddd")</f>
        <v>Sunday</v>
      </c>
      <c r="M3869" s="5" t="str">
        <f>TEXT(Store_Record[[#This Row],[Date]],"mmmm")</f>
        <v>October</v>
      </c>
      <c r="N3869" s="5">
        <f>YEAR(Store_Record[[#This Row],[Date]])</f>
        <v>2025</v>
      </c>
      <c r="O3869"/>
    </row>
    <row r="3870" spans="1:15" x14ac:dyDescent="0.35">
      <c r="A3870" t="s">
        <v>4848</v>
      </c>
      <c r="B3870" s="2">
        <v>45942</v>
      </c>
      <c r="C3870" t="s">
        <v>20</v>
      </c>
      <c r="D3870" t="s">
        <v>29</v>
      </c>
      <c r="E3870" t="s">
        <v>34</v>
      </c>
      <c r="F3870" t="s">
        <v>31</v>
      </c>
      <c r="G3870">
        <v>3</v>
      </c>
      <c r="H3870">
        <v>2.2000000000000002</v>
      </c>
      <c r="I3870" t="s">
        <v>21</v>
      </c>
      <c r="J3870" t="s">
        <v>1005</v>
      </c>
      <c r="K3870" s="12">
        <f>Store_Record[[#This Row],[Qty]]*Store_Record[[#This Row],[UnitPriceGBP]]</f>
        <v>6.6000000000000005</v>
      </c>
      <c r="L3870" s="5" t="str">
        <f>TEXT(Store_Record[[#This Row],[Date]],"dddd")</f>
        <v>Sunday</v>
      </c>
      <c r="M3870" s="5" t="str">
        <f>TEXT(Store_Record[[#This Row],[Date]],"mmmm")</f>
        <v>October</v>
      </c>
      <c r="N3870" s="5">
        <f>YEAR(Store_Record[[#This Row],[Date]])</f>
        <v>2025</v>
      </c>
      <c r="O3870"/>
    </row>
    <row r="3871" spans="1:15" x14ac:dyDescent="0.35">
      <c r="A3871" t="s">
        <v>4848</v>
      </c>
      <c r="B3871" s="2">
        <v>45942</v>
      </c>
      <c r="C3871" t="s">
        <v>20</v>
      </c>
      <c r="D3871" t="s">
        <v>29</v>
      </c>
      <c r="E3871" t="s">
        <v>34</v>
      </c>
      <c r="F3871" t="s">
        <v>31</v>
      </c>
      <c r="G3871">
        <v>3</v>
      </c>
      <c r="H3871">
        <v>2.2000000000000002</v>
      </c>
      <c r="I3871" t="s">
        <v>39</v>
      </c>
      <c r="J3871" t="s">
        <v>1005</v>
      </c>
      <c r="K3871" s="12">
        <f>Store_Record[[#This Row],[Qty]]*Store_Record[[#This Row],[UnitPriceGBP]]</f>
        <v>6.6000000000000005</v>
      </c>
      <c r="L3871" s="5" t="str">
        <f>TEXT(Store_Record[[#This Row],[Date]],"dddd")</f>
        <v>Sunday</v>
      </c>
      <c r="M3871" s="5" t="str">
        <f>TEXT(Store_Record[[#This Row],[Date]],"mmmm")</f>
        <v>October</v>
      </c>
      <c r="N3871" s="5">
        <f>YEAR(Store_Record[[#This Row],[Date]])</f>
        <v>2025</v>
      </c>
      <c r="O3871"/>
    </row>
    <row r="3872" spans="1:15" x14ac:dyDescent="0.35">
      <c r="A3872" t="s">
        <v>4851</v>
      </c>
      <c r="B3872" s="2">
        <v>45942</v>
      </c>
      <c r="C3872" t="s">
        <v>20</v>
      </c>
      <c r="D3872" t="s">
        <v>25</v>
      </c>
      <c r="E3872" t="s">
        <v>34</v>
      </c>
      <c r="F3872" t="s">
        <v>31</v>
      </c>
      <c r="G3872">
        <v>3</v>
      </c>
      <c r="H3872">
        <v>2.2000000000000002</v>
      </c>
      <c r="I3872" t="s">
        <v>39</v>
      </c>
      <c r="J3872" t="s">
        <v>1610</v>
      </c>
      <c r="K3872" s="12">
        <f>Store_Record[[#This Row],[Qty]]*Store_Record[[#This Row],[UnitPriceGBP]]</f>
        <v>6.6000000000000005</v>
      </c>
      <c r="L3872" s="5" t="str">
        <f>TEXT(Store_Record[[#This Row],[Date]],"dddd")</f>
        <v>Sunday</v>
      </c>
      <c r="M3872" s="5" t="str">
        <f>TEXT(Store_Record[[#This Row],[Date]],"mmmm")</f>
        <v>October</v>
      </c>
      <c r="N3872" s="5">
        <f>YEAR(Store_Record[[#This Row],[Date]])</f>
        <v>2025</v>
      </c>
      <c r="O3872"/>
    </row>
    <row r="3873" spans="1:15" x14ac:dyDescent="0.35">
      <c r="A3873" t="s">
        <v>4849</v>
      </c>
      <c r="B3873" s="2">
        <v>45942</v>
      </c>
      <c r="C3873" t="s">
        <v>20</v>
      </c>
      <c r="D3873" t="s">
        <v>29</v>
      </c>
      <c r="E3873" t="s">
        <v>30</v>
      </c>
      <c r="F3873" t="s">
        <v>31</v>
      </c>
      <c r="G3873">
        <v>1</v>
      </c>
      <c r="H3873">
        <v>2.8</v>
      </c>
      <c r="I3873" t="s">
        <v>14</v>
      </c>
      <c r="J3873" t="s">
        <v>1501</v>
      </c>
      <c r="K3873" s="12">
        <f>Store_Record[[#This Row],[Qty]]*Store_Record[[#This Row],[UnitPriceGBP]]</f>
        <v>2.8</v>
      </c>
      <c r="L3873" s="5" t="str">
        <f>TEXT(Store_Record[[#This Row],[Date]],"dddd")</f>
        <v>Sunday</v>
      </c>
      <c r="M3873" s="5" t="str">
        <f>TEXT(Store_Record[[#This Row],[Date]],"mmmm")</f>
        <v>October</v>
      </c>
      <c r="N3873" s="5">
        <f>YEAR(Store_Record[[#This Row],[Date]])</f>
        <v>2025</v>
      </c>
      <c r="O3873"/>
    </row>
    <row r="3874" spans="1:15" x14ac:dyDescent="0.35">
      <c r="A3874" t="s">
        <v>4861</v>
      </c>
      <c r="B3874" s="2">
        <v>45943</v>
      </c>
      <c r="C3874" t="s">
        <v>24</v>
      </c>
      <c r="D3874" t="s">
        <v>47</v>
      </c>
      <c r="E3874" t="s">
        <v>42</v>
      </c>
      <c r="F3874" t="s">
        <v>13</v>
      </c>
      <c r="G3874">
        <v>5</v>
      </c>
      <c r="H3874">
        <v>3.8</v>
      </c>
      <c r="I3874" t="s">
        <v>21</v>
      </c>
      <c r="J3874" t="s">
        <v>3658</v>
      </c>
      <c r="K3874" s="12">
        <f>Store_Record[[#This Row],[Qty]]*Store_Record[[#This Row],[UnitPriceGBP]]</f>
        <v>19</v>
      </c>
      <c r="L3874" s="5" t="str">
        <f>TEXT(Store_Record[[#This Row],[Date]],"dddd")</f>
        <v>Monday</v>
      </c>
      <c r="M3874" s="5" t="str">
        <f>TEXT(Store_Record[[#This Row],[Date]],"mmmm")</f>
        <v>October</v>
      </c>
      <c r="N3874" s="5">
        <f>YEAR(Store_Record[[#This Row],[Date]])</f>
        <v>2025</v>
      </c>
      <c r="O3874"/>
    </row>
    <row r="3875" spans="1:15" x14ac:dyDescent="0.35">
      <c r="A3875" t="s">
        <v>4858</v>
      </c>
      <c r="B3875" s="2">
        <v>45943</v>
      </c>
      <c r="C3875" t="s">
        <v>10</v>
      </c>
      <c r="D3875" t="s">
        <v>38</v>
      </c>
      <c r="E3875" t="s">
        <v>26</v>
      </c>
      <c r="F3875" t="s">
        <v>13</v>
      </c>
      <c r="G3875">
        <v>4</v>
      </c>
      <c r="H3875">
        <v>3.5</v>
      </c>
      <c r="I3875" t="s">
        <v>21</v>
      </c>
      <c r="J3875" t="s">
        <v>722</v>
      </c>
      <c r="K3875" s="12">
        <f>Store_Record[[#This Row],[Qty]]*Store_Record[[#This Row],[UnitPriceGBP]]</f>
        <v>14</v>
      </c>
      <c r="L3875" s="5" t="str">
        <f>TEXT(Store_Record[[#This Row],[Date]],"dddd")</f>
        <v>Monday</v>
      </c>
      <c r="M3875" s="5" t="str">
        <f>TEXT(Store_Record[[#This Row],[Date]],"mmmm")</f>
        <v>October</v>
      </c>
      <c r="N3875" s="5">
        <f>YEAR(Store_Record[[#This Row],[Date]])</f>
        <v>2025</v>
      </c>
      <c r="O3875"/>
    </row>
    <row r="3876" spans="1:15" x14ac:dyDescent="0.35">
      <c r="A3876" t="s">
        <v>4860</v>
      </c>
      <c r="B3876" s="2">
        <v>45943</v>
      </c>
      <c r="C3876" t="s">
        <v>24</v>
      </c>
      <c r="D3876" t="s">
        <v>38</v>
      </c>
      <c r="E3876" t="s">
        <v>26</v>
      </c>
      <c r="F3876" t="s">
        <v>13</v>
      </c>
      <c r="G3876">
        <v>4</v>
      </c>
      <c r="H3876">
        <v>3.5</v>
      </c>
      <c r="I3876" t="s">
        <v>39</v>
      </c>
      <c r="J3876" t="s">
        <v>2589</v>
      </c>
      <c r="K3876" s="12">
        <f>Store_Record[[#This Row],[Qty]]*Store_Record[[#This Row],[UnitPriceGBP]]</f>
        <v>14</v>
      </c>
      <c r="L3876" s="5" t="str">
        <f>TEXT(Store_Record[[#This Row],[Date]],"dddd")</f>
        <v>Monday</v>
      </c>
      <c r="M3876" s="5" t="str">
        <f>TEXT(Store_Record[[#This Row],[Date]],"mmmm")</f>
        <v>October</v>
      </c>
      <c r="N3876" s="5">
        <f>YEAR(Store_Record[[#This Row],[Date]])</f>
        <v>2025</v>
      </c>
      <c r="O3876"/>
    </row>
    <row r="3877" spans="1:15" x14ac:dyDescent="0.35">
      <c r="A3877" t="s">
        <v>4854</v>
      </c>
      <c r="B3877" s="2">
        <v>45943</v>
      </c>
      <c r="C3877" t="s">
        <v>24</v>
      </c>
      <c r="D3877" t="s">
        <v>47</v>
      </c>
      <c r="E3877" t="s">
        <v>26</v>
      </c>
      <c r="F3877" t="s">
        <v>13</v>
      </c>
      <c r="G3877">
        <v>3</v>
      </c>
      <c r="H3877">
        <v>3.5</v>
      </c>
      <c r="I3877" t="s">
        <v>14</v>
      </c>
      <c r="J3877" t="s">
        <v>2407</v>
      </c>
      <c r="K3877" s="12">
        <f>Store_Record[[#This Row],[Qty]]*Store_Record[[#This Row],[UnitPriceGBP]]</f>
        <v>10.5</v>
      </c>
      <c r="L3877" s="5" t="str">
        <f>TEXT(Store_Record[[#This Row],[Date]],"dddd")</f>
        <v>Monday</v>
      </c>
      <c r="M3877" s="5" t="str">
        <f>TEXT(Store_Record[[#This Row],[Date]],"mmmm")</f>
        <v>October</v>
      </c>
      <c r="N3877" s="5">
        <f>YEAR(Store_Record[[#This Row],[Date]])</f>
        <v>2025</v>
      </c>
      <c r="O3877"/>
    </row>
    <row r="3878" spans="1:15" x14ac:dyDescent="0.35">
      <c r="A3878" t="s">
        <v>4859</v>
      </c>
      <c r="B3878" s="2">
        <v>45943</v>
      </c>
      <c r="C3878" t="s">
        <v>24</v>
      </c>
      <c r="D3878" t="s">
        <v>25</v>
      </c>
      <c r="E3878" t="s">
        <v>26</v>
      </c>
      <c r="F3878" t="s">
        <v>13</v>
      </c>
      <c r="G3878">
        <v>3</v>
      </c>
      <c r="H3878">
        <v>3.5</v>
      </c>
      <c r="I3878" t="s">
        <v>39</v>
      </c>
      <c r="J3878" t="s">
        <v>656</v>
      </c>
      <c r="K3878" s="12">
        <f>Store_Record[[#This Row],[Qty]]*Store_Record[[#This Row],[UnitPriceGBP]]</f>
        <v>10.5</v>
      </c>
      <c r="L3878" s="5" t="str">
        <f>TEXT(Store_Record[[#This Row],[Date]],"dddd")</f>
        <v>Monday</v>
      </c>
      <c r="M3878" s="5" t="str">
        <f>TEXT(Store_Record[[#This Row],[Date]],"mmmm")</f>
        <v>October</v>
      </c>
      <c r="N3878" s="5">
        <f>YEAR(Store_Record[[#This Row],[Date]])</f>
        <v>2025</v>
      </c>
      <c r="O3878"/>
    </row>
    <row r="3879" spans="1:15" x14ac:dyDescent="0.35">
      <c r="A3879" t="s">
        <v>4864</v>
      </c>
      <c r="B3879" s="2">
        <v>45943</v>
      </c>
      <c r="C3879" t="s">
        <v>36</v>
      </c>
      <c r="D3879" t="s">
        <v>38</v>
      </c>
      <c r="E3879" t="s">
        <v>12</v>
      </c>
      <c r="F3879" t="s">
        <v>13</v>
      </c>
      <c r="G3879">
        <v>4</v>
      </c>
      <c r="H3879">
        <v>2.5</v>
      </c>
      <c r="I3879" t="s">
        <v>39</v>
      </c>
      <c r="J3879" t="s">
        <v>254</v>
      </c>
      <c r="K3879" s="12">
        <f>Store_Record[[#This Row],[Qty]]*Store_Record[[#This Row],[UnitPriceGBP]]</f>
        <v>10</v>
      </c>
      <c r="L3879" s="5" t="str">
        <f>TEXT(Store_Record[[#This Row],[Date]],"dddd")</f>
        <v>Monday</v>
      </c>
      <c r="M3879" s="5" t="str">
        <f>TEXT(Store_Record[[#This Row],[Date]],"mmmm")</f>
        <v>October</v>
      </c>
      <c r="N3879" s="5">
        <f>YEAR(Store_Record[[#This Row],[Date]])</f>
        <v>2025</v>
      </c>
      <c r="O3879"/>
    </row>
    <row r="3880" spans="1:15" x14ac:dyDescent="0.35">
      <c r="A3880" t="s">
        <v>4857</v>
      </c>
      <c r="B3880" s="2">
        <v>45943</v>
      </c>
      <c r="C3880" t="s">
        <v>24</v>
      </c>
      <c r="D3880" t="s">
        <v>38</v>
      </c>
      <c r="E3880" t="s">
        <v>12</v>
      </c>
      <c r="F3880" t="s">
        <v>13</v>
      </c>
      <c r="G3880">
        <v>3</v>
      </c>
      <c r="H3880">
        <v>2.5</v>
      </c>
      <c r="I3880" t="s">
        <v>14</v>
      </c>
      <c r="J3880" t="s">
        <v>2279</v>
      </c>
      <c r="K3880" s="12">
        <f>Store_Record[[#This Row],[Qty]]*Store_Record[[#This Row],[UnitPriceGBP]]</f>
        <v>7.5</v>
      </c>
      <c r="L3880" s="5" t="str">
        <f>TEXT(Store_Record[[#This Row],[Date]],"dddd")</f>
        <v>Monday</v>
      </c>
      <c r="M3880" s="5" t="str">
        <f>TEXT(Store_Record[[#This Row],[Date]],"mmmm")</f>
        <v>October</v>
      </c>
      <c r="N3880" s="5">
        <f>YEAR(Store_Record[[#This Row],[Date]])</f>
        <v>2025</v>
      </c>
      <c r="O3880"/>
    </row>
    <row r="3881" spans="1:15" x14ac:dyDescent="0.35">
      <c r="A3881" t="s">
        <v>4853</v>
      </c>
      <c r="B3881" s="2">
        <v>45943</v>
      </c>
      <c r="C3881" t="s">
        <v>10</v>
      </c>
      <c r="D3881" t="s">
        <v>29</v>
      </c>
      <c r="E3881" t="s">
        <v>30</v>
      </c>
      <c r="F3881" t="s">
        <v>31</v>
      </c>
      <c r="G3881">
        <v>2</v>
      </c>
      <c r="H3881">
        <v>2.8</v>
      </c>
      <c r="I3881" t="s">
        <v>14</v>
      </c>
      <c r="J3881" t="s">
        <v>3673</v>
      </c>
      <c r="K3881" s="12">
        <f>Store_Record[[#This Row],[Qty]]*Store_Record[[#This Row],[UnitPriceGBP]]</f>
        <v>5.6</v>
      </c>
      <c r="L3881" s="5" t="str">
        <f>TEXT(Store_Record[[#This Row],[Date]],"dddd")</f>
        <v>Monday</v>
      </c>
      <c r="M3881" s="5" t="str">
        <f>TEXT(Store_Record[[#This Row],[Date]],"mmmm")</f>
        <v>October</v>
      </c>
      <c r="N3881" s="5">
        <f>YEAR(Store_Record[[#This Row],[Date]])</f>
        <v>2025</v>
      </c>
      <c r="O3881"/>
    </row>
    <row r="3882" spans="1:15" x14ac:dyDescent="0.35">
      <c r="A3882" t="s">
        <v>4862</v>
      </c>
      <c r="B3882" s="2">
        <v>45943</v>
      </c>
      <c r="C3882" t="s">
        <v>36</v>
      </c>
      <c r="D3882" t="s">
        <v>29</v>
      </c>
      <c r="E3882" t="s">
        <v>26</v>
      </c>
      <c r="F3882" t="s">
        <v>13</v>
      </c>
      <c r="G3882">
        <v>1</v>
      </c>
      <c r="H3882">
        <v>3.5</v>
      </c>
      <c r="I3882" t="s">
        <v>39</v>
      </c>
      <c r="J3882" t="s">
        <v>4863</v>
      </c>
      <c r="K3882" s="12">
        <f>Store_Record[[#This Row],[Qty]]*Store_Record[[#This Row],[UnitPriceGBP]]</f>
        <v>3.5</v>
      </c>
      <c r="L3882" s="5" t="str">
        <f>TEXT(Store_Record[[#This Row],[Date]],"dddd")</f>
        <v>Monday</v>
      </c>
      <c r="M3882" s="5" t="str">
        <f>TEXT(Store_Record[[#This Row],[Date]],"mmmm")</f>
        <v>October</v>
      </c>
      <c r="N3882" s="5">
        <f>YEAR(Store_Record[[#This Row],[Date]])</f>
        <v>2025</v>
      </c>
      <c r="O3882"/>
    </row>
    <row r="3883" spans="1:15" x14ac:dyDescent="0.35">
      <c r="A3883" t="s">
        <v>4856</v>
      </c>
      <c r="B3883" s="2">
        <v>45943</v>
      </c>
      <c r="C3883" t="s">
        <v>20</v>
      </c>
      <c r="D3883" t="s">
        <v>25</v>
      </c>
      <c r="E3883" t="s">
        <v>12</v>
      </c>
      <c r="F3883" t="s">
        <v>13</v>
      </c>
      <c r="G3883">
        <v>1</v>
      </c>
      <c r="H3883">
        <v>2.5</v>
      </c>
      <c r="I3883" t="s">
        <v>21</v>
      </c>
      <c r="J3883" t="s">
        <v>1703</v>
      </c>
      <c r="K3883" s="12">
        <f>Store_Record[[#This Row],[Qty]]*Store_Record[[#This Row],[UnitPriceGBP]]</f>
        <v>2.5</v>
      </c>
      <c r="L3883" s="5" t="str">
        <f>TEXT(Store_Record[[#This Row],[Date]],"dddd")</f>
        <v>Monday</v>
      </c>
      <c r="M3883" s="5" t="str">
        <f>TEXT(Store_Record[[#This Row],[Date]],"mmmm")</f>
        <v>October</v>
      </c>
      <c r="N3883" s="5">
        <f>YEAR(Store_Record[[#This Row],[Date]])</f>
        <v>2025</v>
      </c>
      <c r="O3883"/>
    </row>
    <row r="3884" spans="1:15" x14ac:dyDescent="0.35">
      <c r="A3884" t="s">
        <v>4855</v>
      </c>
      <c r="B3884" s="2">
        <v>45943</v>
      </c>
      <c r="C3884" t="s">
        <v>24</v>
      </c>
      <c r="D3884" t="s">
        <v>25</v>
      </c>
      <c r="E3884" t="s">
        <v>34</v>
      </c>
      <c r="F3884" t="s">
        <v>31</v>
      </c>
      <c r="G3884">
        <v>1</v>
      </c>
      <c r="H3884">
        <v>2.2000000000000002</v>
      </c>
      <c r="I3884" t="s">
        <v>39</v>
      </c>
      <c r="J3884" t="s">
        <v>1285</v>
      </c>
      <c r="K3884" s="12">
        <f>Store_Record[[#This Row],[Qty]]*Store_Record[[#This Row],[UnitPriceGBP]]</f>
        <v>2.2000000000000002</v>
      </c>
      <c r="L3884" s="5" t="str">
        <f>TEXT(Store_Record[[#This Row],[Date]],"dddd")</f>
        <v>Monday</v>
      </c>
      <c r="M3884" s="5" t="str">
        <f>TEXT(Store_Record[[#This Row],[Date]],"mmmm")</f>
        <v>October</v>
      </c>
      <c r="N3884" s="5">
        <f>YEAR(Store_Record[[#This Row],[Date]])</f>
        <v>2025</v>
      </c>
      <c r="O3884"/>
    </row>
    <row r="3885" spans="1:15" x14ac:dyDescent="0.35">
      <c r="A3885" t="s">
        <v>4867</v>
      </c>
      <c r="B3885" s="2">
        <v>45944</v>
      </c>
      <c r="C3885" t="s">
        <v>10</v>
      </c>
      <c r="D3885" t="s">
        <v>47</v>
      </c>
      <c r="E3885" t="s">
        <v>42</v>
      </c>
      <c r="F3885" t="s">
        <v>13</v>
      </c>
      <c r="G3885">
        <v>5</v>
      </c>
      <c r="H3885">
        <v>3.8</v>
      </c>
      <c r="I3885" t="s">
        <v>14</v>
      </c>
      <c r="J3885" t="s">
        <v>569</v>
      </c>
      <c r="K3885" s="12">
        <f>Store_Record[[#This Row],[Qty]]*Store_Record[[#This Row],[UnitPriceGBP]]</f>
        <v>19</v>
      </c>
      <c r="L3885" s="5" t="str">
        <f>TEXT(Store_Record[[#This Row],[Date]],"dddd")</f>
        <v>Tuesday</v>
      </c>
      <c r="M3885" s="5" t="str">
        <f>TEXT(Store_Record[[#This Row],[Date]],"mmmm")</f>
        <v>October</v>
      </c>
      <c r="N3885" s="5">
        <f>YEAR(Store_Record[[#This Row],[Date]])</f>
        <v>2025</v>
      </c>
      <c r="O3885"/>
    </row>
    <row r="3886" spans="1:15" x14ac:dyDescent="0.35">
      <c r="A3886" t="s">
        <v>4880</v>
      </c>
      <c r="B3886" s="2">
        <v>45944</v>
      </c>
      <c r="C3886" t="s">
        <v>36</v>
      </c>
      <c r="D3886" t="s">
        <v>47</v>
      </c>
      <c r="E3886" t="s">
        <v>42</v>
      </c>
      <c r="F3886" t="s">
        <v>13</v>
      </c>
      <c r="G3886">
        <v>5</v>
      </c>
      <c r="H3886">
        <v>3.8</v>
      </c>
      <c r="I3886" t="s">
        <v>14</v>
      </c>
      <c r="J3886" t="s">
        <v>200</v>
      </c>
      <c r="K3886" s="12">
        <f>Store_Record[[#This Row],[Qty]]*Store_Record[[#This Row],[UnitPriceGBP]]</f>
        <v>19</v>
      </c>
      <c r="L3886" s="5" t="str">
        <f>TEXT(Store_Record[[#This Row],[Date]],"dddd")</f>
        <v>Tuesday</v>
      </c>
      <c r="M3886" s="5" t="str">
        <f>TEXT(Store_Record[[#This Row],[Date]],"mmmm")</f>
        <v>October</v>
      </c>
      <c r="N3886" s="5">
        <f>YEAR(Store_Record[[#This Row],[Date]])</f>
        <v>2025</v>
      </c>
      <c r="O3886"/>
    </row>
    <row r="3887" spans="1:15" x14ac:dyDescent="0.35">
      <c r="A3887" t="s">
        <v>4883</v>
      </c>
      <c r="B3887" s="2">
        <v>45944</v>
      </c>
      <c r="C3887" t="s">
        <v>36</v>
      </c>
      <c r="D3887" t="s">
        <v>47</v>
      </c>
      <c r="E3887" t="s">
        <v>42</v>
      </c>
      <c r="F3887" t="s">
        <v>13</v>
      </c>
      <c r="G3887">
        <v>5</v>
      </c>
      <c r="H3887">
        <v>3.8</v>
      </c>
      <c r="I3887" t="s">
        <v>39</v>
      </c>
      <c r="J3887" t="s">
        <v>1976</v>
      </c>
      <c r="K3887" s="12">
        <f>Store_Record[[#This Row],[Qty]]*Store_Record[[#This Row],[UnitPriceGBP]]</f>
        <v>19</v>
      </c>
      <c r="L3887" s="5" t="str">
        <f>TEXT(Store_Record[[#This Row],[Date]],"dddd")</f>
        <v>Tuesday</v>
      </c>
      <c r="M3887" s="5" t="str">
        <f>TEXT(Store_Record[[#This Row],[Date]],"mmmm")</f>
        <v>October</v>
      </c>
      <c r="N3887" s="5">
        <f>YEAR(Store_Record[[#This Row],[Date]])</f>
        <v>2025</v>
      </c>
      <c r="O3887"/>
    </row>
    <row r="3888" spans="1:15" x14ac:dyDescent="0.35">
      <c r="A3888" t="s">
        <v>4865</v>
      </c>
      <c r="B3888" s="2">
        <v>45944</v>
      </c>
      <c r="C3888" t="s">
        <v>20</v>
      </c>
      <c r="D3888" t="s">
        <v>38</v>
      </c>
      <c r="E3888" t="s">
        <v>12</v>
      </c>
      <c r="F3888" t="s">
        <v>13</v>
      </c>
      <c r="G3888">
        <v>5</v>
      </c>
      <c r="H3888">
        <v>2.5</v>
      </c>
      <c r="I3888" t="s">
        <v>39</v>
      </c>
      <c r="J3888" t="s">
        <v>4866</v>
      </c>
      <c r="K3888" s="12">
        <f>Store_Record[[#This Row],[Qty]]*Store_Record[[#This Row],[UnitPriceGBP]]</f>
        <v>12.5</v>
      </c>
      <c r="L3888" s="5" t="str">
        <f>TEXT(Store_Record[[#This Row],[Date]],"dddd")</f>
        <v>Tuesday</v>
      </c>
      <c r="M3888" s="5" t="str">
        <f>TEXT(Store_Record[[#This Row],[Date]],"mmmm")</f>
        <v>October</v>
      </c>
      <c r="N3888" s="5">
        <f>YEAR(Store_Record[[#This Row],[Date]])</f>
        <v>2025</v>
      </c>
      <c r="O3888"/>
    </row>
    <row r="3889" spans="1:15" x14ac:dyDescent="0.35">
      <c r="A3889" t="s">
        <v>4884</v>
      </c>
      <c r="B3889" s="2">
        <v>45944</v>
      </c>
      <c r="C3889" t="s">
        <v>24</v>
      </c>
      <c r="D3889" t="s">
        <v>47</v>
      </c>
      <c r="E3889" t="s">
        <v>12</v>
      </c>
      <c r="F3889" t="s">
        <v>13</v>
      </c>
      <c r="G3889">
        <v>5</v>
      </c>
      <c r="H3889">
        <v>2.5</v>
      </c>
      <c r="I3889" t="s">
        <v>14</v>
      </c>
      <c r="J3889" t="s">
        <v>1203</v>
      </c>
      <c r="K3889" s="12">
        <f>Store_Record[[#This Row],[Qty]]*Store_Record[[#This Row],[UnitPriceGBP]]</f>
        <v>12.5</v>
      </c>
      <c r="L3889" s="5" t="str">
        <f>TEXT(Store_Record[[#This Row],[Date]],"dddd")</f>
        <v>Tuesday</v>
      </c>
      <c r="M3889" s="5" t="str">
        <f>TEXT(Store_Record[[#This Row],[Date]],"mmmm")</f>
        <v>October</v>
      </c>
      <c r="N3889" s="5">
        <f>YEAR(Store_Record[[#This Row],[Date]])</f>
        <v>2025</v>
      </c>
      <c r="O3889"/>
    </row>
    <row r="3890" spans="1:15" x14ac:dyDescent="0.35">
      <c r="A3890" t="s">
        <v>4869</v>
      </c>
      <c r="B3890" s="2">
        <v>45944</v>
      </c>
      <c r="C3890" t="s">
        <v>24</v>
      </c>
      <c r="D3890" t="s">
        <v>29</v>
      </c>
      <c r="E3890" t="s">
        <v>30</v>
      </c>
      <c r="F3890" t="s">
        <v>31</v>
      </c>
      <c r="G3890">
        <v>4</v>
      </c>
      <c r="H3890">
        <v>2.8</v>
      </c>
      <c r="I3890" t="s">
        <v>21</v>
      </c>
      <c r="J3890" t="s">
        <v>4870</v>
      </c>
      <c r="K3890" s="12">
        <f>Store_Record[[#This Row],[Qty]]*Store_Record[[#This Row],[UnitPriceGBP]]</f>
        <v>11.2</v>
      </c>
      <c r="L3890" s="5" t="str">
        <f>TEXT(Store_Record[[#This Row],[Date]],"dddd")</f>
        <v>Tuesday</v>
      </c>
      <c r="M3890" s="5" t="str">
        <f>TEXT(Store_Record[[#This Row],[Date]],"mmmm")</f>
        <v>October</v>
      </c>
      <c r="N3890" s="5">
        <f>YEAR(Store_Record[[#This Row],[Date]])</f>
        <v>2025</v>
      </c>
      <c r="O3890"/>
    </row>
    <row r="3891" spans="1:15" x14ac:dyDescent="0.35">
      <c r="A3891" t="s">
        <v>4879</v>
      </c>
      <c r="B3891" s="2">
        <v>45944</v>
      </c>
      <c r="C3891" t="s">
        <v>36</v>
      </c>
      <c r="D3891" t="s">
        <v>25</v>
      </c>
      <c r="E3891" t="s">
        <v>34</v>
      </c>
      <c r="F3891" t="s">
        <v>31</v>
      </c>
      <c r="G3891">
        <v>5</v>
      </c>
      <c r="H3891">
        <v>2.2000000000000002</v>
      </c>
      <c r="I3891" t="s">
        <v>39</v>
      </c>
      <c r="J3891" t="s">
        <v>2032</v>
      </c>
      <c r="K3891" s="12">
        <f>Store_Record[[#This Row],[Qty]]*Store_Record[[#This Row],[UnitPriceGBP]]</f>
        <v>11</v>
      </c>
      <c r="L3891" s="5" t="str">
        <f>TEXT(Store_Record[[#This Row],[Date]],"dddd")</f>
        <v>Tuesday</v>
      </c>
      <c r="M3891" s="5" t="str">
        <f>TEXT(Store_Record[[#This Row],[Date]],"mmmm")</f>
        <v>October</v>
      </c>
      <c r="N3891" s="5">
        <f>YEAR(Store_Record[[#This Row],[Date]])</f>
        <v>2025</v>
      </c>
      <c r="O3891"/>
    </row>
    <row r="3892" spans="1:15" x14ac:dyDescent="0.35">
      <c r="A3892" t="s">
        <v>4881</v>
      </c>
      <c r="B3892" s="2">
        <v>45944</v>
      </c>
      <c r="C3892" t="s">
        <v>24</v>
      </c>
      <c r="D3892" t="s">
        <v>25</v>
      </c>
      <c r="E3892" t="s">
        <v>34</v>
      </c>
      <c r="F3892" t="s">
        <v>31</v>
      </c>
      <c r="G3892">
        <v>5</v>
      </c>
      <c r="H3892">
        <v>2.2000000000000002</v>
      </c>
      <c r="I3892" t="s">
        <v>14</v>
      </c>
      <c r="J3892" t="s">
        <v>600</v>
      </c>
      <c r="K3892" s="12">
        <f>Store_Record[[#This Row],[Qty]]*Store_Record[[#This Row],[UnitPriceGBP]]</f>
        <v>11</v>
      </c>
      <c r="L3892" s="5" t="str">
        <f>TEXT(Store_Record[[#This Row],[Date]],"dddd")</f>
        <v>Tuesday</v>
      </c>
      <c r="M3892" s="5" t="str">
        <f>TEXT(Store_Record[[#This Row],[Date]],"mmmm")</f>
        <v>October</v>
      </c>
      <c r="N3892" s="5">
        <f>YEAR(Store_Record[[#This Row],[Date]])</f>
        <v>2025</v>
      </c>
      <c r="O3892"/>
    </row>
    <row r="3893" spans="1:15" x14ac:dyDescent="0.35">
      <c r="A3893" t="s">
        <v>4876</v>
      </c>
      <c r="B3893" s="2">
        <v>45944</v>
      </c>
      <c r="C3893" t="s">
        <v>24</v>
      </c>
      <c r="D3893" t="s">
        <v>11</v>
      </c>
      <c r="E3893" t="s">
        <v>26</v>
      </c>
      <c r="F3893" t="s">
        <v>13</v>
      </c>
      <c r="G3893">
        <v>3</v>
      </c>
      <c r="H3893">
        <v>3.5</v>
      </c>
      <c r="I3893" t="s">
        <v>14</v>
      </c>
      <c r="J3893" t="s">
        <v>4877</v>
      </c>
      <c r="K3893" s="12">
        <f>Store_Record[[#This Row],[Qty]]*Store_Record[[#This Row],[UnitPriceGBP]]</f>
        <v>10.5</v>
      </c>
      <c r="L3893" s="5" t="str">
        <f>TEXT(Store_Record[[#This Row],[Date]],"dddd")</f>
        <v>Tuesday</v>
      </c>
      <c r="M3893" s="5" t="str">
        <f>TEXT(Store_Record[[#This Row],[Date]],"mmmm")</f>
        <v>October</v>
      </c>
      <c r="N3893" s="5">
        <f>YEAR(Store_Record[[#This Row],[Date]])</f>
        <v>2025</v>
      </c>
      <c r="O3893"/>
    </row>
    <row r="3894" spans="1:15" x14ac:dyDescent="0.35">
      <c r="A3894" t="s">
        <v>4872</v>
      </c>
      <c r="B3894" s="2">
        <v>45944</v>
      </c>
      <c r="C3894" t="s">
        <v>20</v>
      </c>
      <c r="D3894" t="s">
        <v>47</v>
      </c>
      <c r="E3894" t="s">
        <v>30</v>
      </c>
      <c r="F3894" t="s">
        <v>31</v>
      </c>
      <c r="G3894">
        <v>3</v>
      </c>
      <c r="H3894">
        <v>2.8</v>
      </c>
      <c r="I3894" t="s">
        <v>21</v>
      </c>
      <c r="J3894" t="s">
        <v>189</v>
      </c>
      <c r="K3894" s="12">
        <f>Store_Record[[#This Row],[Qty]]*Store_Record[[#This Row],[UnitPriceGBP]]</f>
        <v>8.3999999999999986</v>
      </c>
      <c r="L3894" s="5" t="str">
        <f>TEXT(Store_Record[[#This Row],[Date]],"dddd")</f>
        <v>Tuesday</v>
      </c>
      <c r="M3894" s="5" t="str">
        <f>TEXT(Store_Record[[#This Row],[Date]],"mmmm")</f>
        <v>October</v>
      </c>
      <c r="N3894" s="5">
        <f>YEAR(Store_Record[[#This Row],[Date]])</f>
        <v>2025</v>
      </c>
      <c r="O3894"/>
    </row>
    <row r="3895" spans="1:15" x14ac:dyDescent="0.35">
      <c r="A3895" t="s">
        <v>4878</v>
      </c>
      <c r="B3895" s="2">
        <v>45944</v>
      </c>
      <c r="C3895" t="s">
        <v>36</v>
      </c>
      <c r="D3895" t="s">
        <v>38</v>
      </c>
      <c r="E3895" t="s">
        <v>42</v>
      </c>
      <c r="F3895" t="s">
        <v>13</v>
      </c>
      <c r="G3895">
        <v>2</v>
      </c>
      <c r="H3895">
        <v>3.8</v>
      </c>
      <c r="I3895" t="s">
        <v>39</v>
      </c>
      <c r="J3895" t="s">
        <v>2433</v>
      </c>
      <c r="K3895" s="12">
        <f>Store_Record[[#This Row],[Qty]]*Store_Record[[#This Row],[UnitPriceGBP]]</f>
        <v>7.6</v>
      </c>
      <c r="L3895" s="5" t="str">
        <f>TEXT(Store_Record[[#This Row],[Date]],"dddd")</f>
        <v>Tuesday</v>
      </c>
      <c r="M3895" s="5" t="str">
        <f>TEXT(Store_Record[[#This Row],[Date]],"mmmm")</f>
        <v>October</v>
      </c>
      <c r="N3895" s="5">
        <f>YEAR(Store_Record[[#This Row],[Date]])</f>
        <v>2025</v>
      </c>
      <c r="O3895"/>
    </row>
    <row r="3896" spans="1:15" x14ac:dyDescent="0.35">
      <c r="A3896" t="s">
        <v>4875</v>
      </c>
      <c r="B3896" s="2">
        <v>45944</v>
      </c>
      <c r="C3896" t="s">
        <v>10</v>
      </c>
      <c r="D3896" t="s">
        <v>38</v>
      </c>
      <c r="E3896" t="s">
        <v>12</v>
      </c>
      <c r="F3896" t="s">
        <v>13</v>
      </c>
      <c r="G3896">
        <v>3</v>
      </c>
      <c r="H3896">
        <v>2.5</v>
      </c>
      <c r="I3896" t="s">
        <v>39</v>
      </c>
      <c r="J3896" t="s">
        <v>2422</v>
      </c>
      <c r="K3896" s="12">
        <f>Store_Record[[#This Row],[Qty]]*Store_Record[[#This Row],[UnitPriceGBP]]</f>
        <v>7.5</v>
      </c>
      <c r="L3896" s="5" t="str">
        <f>TEXT(Store_Record[[#This Row],[Date]],"dddd")</f>
        <v>Tuesday</v>
      </c>
      <c r="M3896" s="5" t="str">
        <f>TEXT(Store_Record[[#This Row],[Date]],"mmmm")</f>
        <v>October</v>
      </c>
      <c r="N3896" s="5">
        <f>YEAR(Store_Record[[#This Row],[Date]])</f>
        <v>2025</v>
      </c>
      <c r="O3896"/>
    </row>
    <row r="3897" spans="1:15" x14ac:dyDescent="0.35">
      <c r="A3897" t="s">
        <v>4873</v>
      </c>
      <c r="B3897" s="2">
        <v>45944</v>
      </c>
      <c r="C3897" t="s">
        <v>20</v>
      </c>
      <c r="D3897" t="s">
        <v>11</v>
      </c>
      <c r="E3897" t="s">
        <v>26</v>
      </c>
      <c r="F3897" t="s">
        <v>13</v>
      </c>
      <c r="G3897">
        <v>2</v>
      </c>
      <c r="H3897">
        <v>3.5</v>
      </c>
      <c r="I3897" t="s">
        <v>39</v>
      </c>
      <c r="J3897" t="s">
        <v>4874</v>
      </c>
      <c r="K3897" s="12">
        <f>Store_Record[[#This Row],[Qty]]*Store_Record[[#This Row],[UnitPriceGBP]]</f>
        <v>7</v>
      </c>
      <c r="L3897" s="5" t="str">
        <f>TEXT(Store_Record[[#This Row],[Date]],"dddd")</f>
        <v>Tuesday</v>
      </c>
      <c r="M3897" s="5" t="str">
        <f>TEXT(Store_Record[[#This Row],[Date]],"mmmm")</f>
        <v>October</v>
      </c>
      <c r="N3897" s="5">
        <f>YEAR(Store_Record[[#This Row],[Date]])</f>
        <v>2025</v>
      </c>
      <c r="O3897"/>
    </row>
    <row r="3898" spans="1:15" x14ac:dyDescent="0.35">
      <c r="A3898" t="s">
        <v>4868</v>
      </c>
      <c r="B3898" s="2">
        <v>45944</v>
      </c>
      <c r="C3898" t="s">
        <v>10</v>
      </c>
      <c r="D3898" t="s">
        <v>29</v>
      </c>
      <c r="E3898" t="s">
        <v>34</v>
      </c>
      <c r="F3898" t="s">
        <v>31</v>
      </c>
      <c r="G3898">
        <v>3</v>
      </c>
      <c r="H3898">
        <v>2.2000000000000002</v>
      </c>
      <c r="I3898" t="s">
        <v>39</v>
      </c>
      <c r="J3898" t="s">
        <v>86</v>
      </c>
      <c r="K3898" s="12">
        <f>Store_Record[[#This Row],[Qty]]*Store_Record[[#This Row],[UnitPriceGBP]]</f>
        <v>6.6000000000000005</v>
      </c>
      <c r="L3898" s="5" t="str">
        <f>TEXT(Store_Record[[#This Row],[Date]],"dddd")</f>
        <v>Tuesday</v>
      </c>
      <c r="M3898" s="5" t="str">
        <f>TEXT(Store_Record[[#This Row],[Date]],"mmmm")</f>
        <v>October</v>
      </c>
      <c r="N3898" s="5">
        <f>YEAR(Store_Record[[#This Row],[Date]])</f>
        <v>2025</v>
      </c>
      <c r="O3898"/>
    </row>
    <row r="3899" spans="1:15" x14ac:dyDescent="0.35">
      <c r="A3899" t="s">
        <v>4882</v>
      </c>
      <c r="B3899" s="2">
        <v>45944</v>
      </c>
      <c r="C3899" t="s">
        <v>10</v>
      </c>
      <c r="D3899" t="s">
        <v>29</v>
      </c>
      <c r="E3899" t="s">
        <v>30</v>
      </c>
      <c r="F3899" t="s">
        <v>31</v>
      </c>
      <c r="G3899">
        <v>2</v>
      </c>
      <c r="H3899">
        <v>2.8</v>
      </c>
      <c r="I3899" t="s">
        <v>39</v>
      </c>
      <c r="J3899" t="s">
        <v>1712</v>
      </c>
      <c r="K3899" s="12">
        <f>Store_Record[[#This Row],[Qty]]*Store_Record[[#This Row],[UnitPriceGBP]]</f>
        <v>5.6</v>
      </c>
      <c r="L3899" s="5" t="str">
        <f>TEXT(Store_Record[[#This Row],[Date]],"dddd")</f>
        <v>Tuesday</v>
      </c>
      <c r="M3899" s="5" t="str">
        <f>TEXT(Store_Record[[#This Row],[Date]],"mmmm")</f>
        <v>October</v>
      </c>
      <c r="N3899" s="5">
        <f>YEAR(Store_Record[[#This Row],[Date]])</f>
        <v>2025</v>
      </c>
      <c r="O3899"/>
    </row>
    <row r="3900" spans="1:15" x14ac:dyDescent="0.35">
      <c r="A3900" t="s">
        <v>4871</v>
      </c>
      <c r="B3900" s="2">
        <v>45944</v>
      </c>
      <c r="C3900" t="s">
        <v>36</v>
      </c>
      <c r="D3900" t="s">
        <v>29</v>
      </c>
      <c r="E3900" t="s">
        <v>12</v>
      </c>
      <c r="F3900" t="s">
        <v>13</v>
      </c>
      <c r="G3900">
        <v>2</v>
      </c>
      <c r="H3900">
        <v>2.5</v>
      </c>
      <c r="I3900" t="s">
        <v>21</v>
      </c>
      <c r="J3900" t="s">
        <v>319</v>
      </c>
      <c r="K3900" s="12">
        <f>Store_Record[[#This Row],[Qty]]*Store_Record[[#This Row],[UnitPriceGBP]]</f>
        <v>5</v>
      </c>
      <c r="L3900" s="5" t="str">
        <f>TEXT(Store_Record[[#This Row],[Date]],"dddd")</f>
        <v>Tuesday</v>
      </c>
      <c r="M3900" s="5" t="str">
        <f>TEXT(Store_Record[[#This Row],[Date]],"mmmm")</f>
        <v>October</v>
      </c>
      <c r="N3900" s="5">
        <f>YEAR(Store_Record[[#This Row],[Date]])</f>
        <v>2025</v>
      </c>
      <c r="O3900"/>
    </row>
    <row r="3901" spans="1:15" x14ac:dyDescent="0.35">
      <c r="A3901" t="s">
        <v>4892</v>
      </c>
      <c r="B3901" s="2">
        <v>45945</v>
      </c>
      <c r="C3901" t="s">
        <v>24</v>
      </c>
      <c r="D3901" t="s">
        <v>11</v>
      </c>
      <c r="E3901" t="s">
        <v>42</v>
      </c>
      <c r="F3901" t="s">
        <v>13</v>
      </c>
      <c r="G3901">
        <v>5</v>
      </c>
      <c r="H3901">
        <v>3.8</v>
      </c>
      <c r="I3901" t="s">
        <v>21</v>
      </c>
      <c r="J3901" t="s">
        <v>3498</v>
      </c>
      <c r="K3901" s="12">
        <f>Store_Record[[#This Row],[Qty]]*Store_Record[[#This Row],[UnitPriceGBP]]</f>
        <v>19</v>
      </c>
      <c r="L3901" s="5" t="str">
        <f>TEXT(Store_Record[[#This Row],[Date]],"dddd")</f>
        <v>Wednesday</v>
      </c>
      <c r="M3901" s="5" t="str">
        <f>TEXT(Store_Record[[#This Row],[Date]],"mmmm")</f>
        <v>October</v>
      </c>
      <c r="N3901" s="5">
        <f>YEAR(Store_Record[[#This Row],[Date]])</f>
        <v>2025</v>
      </c>
      <c r="O3901"/>
    </row>
    <row r="3902" spans="1:15" x14ac:dyDescent="0.35">
      <c r="A3902" t="s">
        <v>4886</v>
      </c>
      <c r="B3902" s="2">
        <v>45945</v>
      </c>
      <c r="C3902" t="s">
        <v>36</v>
      </c>
      <c r="D3902" t="s">
        <v>47</v>
      </c>
      <c r="E3902" t="s">
        <v>26</v>
      </c>
      <c r="F3902" t="s">
        <v>13</v>
      </c>
      <c r="G3902">
        <v>4</v>
      </c>
      <c r="H3902">
        <v>3.5</v>
      </c>
      <c r="I3902" t="s">
        <v>21</v>
      </c>
      <c r="J3902" t="s">
        <v>2415</v>
      </c>
      <c r="K3902" s="12">
        <f>Store_Record[[#This Row],[Qty]]*Store_Record[[#This Row],[UnitPriceGBP]]</f>
        <v>14</v>
      </c>
      <c r="L3902" s="5" t="str">
        <f>TEXT(Store_Record[[#This Row],[Date]],"dddd")</f>
        <v>Wednesday</v>
      </c>
      <c r="M3902" s="5" t="str">
        <f>TEXT(Store_Record[[#This Row],[Date]],"mmmm")</f>
        <v>October</v>
      </c>
      <c r="N3902" s="5">
        <f>YEAR(Store_Record[[#This Row],[Date]])</f>
        <v>2025</v>
      </c>
      <c r="O3902"/>
    </row>
    <row r="3903" spans="1:15" x14ac:dyDescent="0.35">
      <c r="A3903" t="s">
        <v>4891</v>
      </c>
      <c r="B3903" s="2">
        <v>45945</v>
      </c>
      <c r="C3903" t="s">
        <v>36</v>
      </c>
      <c r="D3903" t="s">
        <v>38</v>
      </c>
      <c r="E3903" t="s">
        <v>30</v>
      </c>
      <c r="F3903" t="s">
        <v>31</v>
      </c>
      <c r="G3903">
        <v>5</v>
      </c>
      <c r="H3903">
        <v>2.8</v>
      </c>
      <c r="I3903" t="s">
        <v>21</v>
      </c>
      <c r="J3903" t="s">
        <v>456</v>
      </c>
      <c r="K3903" s="12">
        <f>Store_Record[[#This Row],[Qty]]*Store_Record[[#This Row],[UnitPriceGBP]]</f>
        <v>14</v>
      </c>
      <c r="L3903" s="5" t="str">
        <f>TEXT(Store_Record[[#This Row],[Date]],"dddd")</f>
        <v>Wednesday</v>
      </c>
      <c r="M3903" s="5" t="str">
        <f>TEXT(Store_Record[[#This Row],[Date]],"mmmm")</f>
        <v>October</v>
      </c>
      <c r="N3903" s="5">
        <f>YEAR(Store_Record[[#This Row],[Date]])</f>
        <v>2025</v>
      </c>
      <c r="O3903"/>
    </row>
    <row r="3904" spans="1:15" x14ac:dyDescent="0.35">
      <c r="A3904" t="s">
        <v>4885</v>
      </c>
      <c r="B3904" s="2">
        <v>45945</v>
      </c>
      <c r="C3904" t="s">
        <v>20</v>
      </c>
      <c r="D3904" t="s">
        <v>47</v>
      </c>
      <c r="E3904" t="s">
        <v>42</v>
      </c>
      <c r="F3904" t="s">
        <v>13</v>
      </c>
      <c r="G3904">
        <v>3</v>
      </c>
      <c r="H3904">
        <v>3.8</v>
      </c>
      <c r="I3904" t="s">
        <v>39</v>
      </c>
      <c r="J3904" t="s">
        <v>526</v>
      </c>
      <c r="K3904" s="12">
        <f>Store_Record[[#This Row],[Qty]]*Store_Record[[#This Row],[UnitPriceGBP]]</f>
        <v>11.399999999999999</v>
      </c>
      <c r="L3904" s="5" t="str">
        <f>TEXT(Store_Record[[#This Row],[Date]],"dddd")</f>
        <v>Wednesday</v>
      </c>
      <c r="M3904" s="5" t="str">
        <f>TEXT(Store_Record[[#This Row],[Date]],"mmmm")</f>
        <v>October</v>
      </c>
      <c r="N3904" s="5">
        <f>YEAR(Store_Record[[#This Row],[Date]])</f>
        <v>2025</v>
      </c>
      <c r="O3904"/>
    </row>
    <row r="3905" spans="1:15" x14ac:dyDescent="0.35">
      <c r="A3905" t="s">
        <v>4888</v>
      </c>
      <c r="B3905" s="2">
        <v>45945</v>
      </c>
      <c r="C3905" t="s">
        <v>24</v>
      </c>
      <c r="D3905" t="s">
        <v>38</v>
      </c>
      <c r="E3905" t="s">
        <v>30</v>
      </c>
      <c r="F3905" t="s">
        <v>31</v>
      </c>
      <c r="G3905">
        <v>4</v>
      </c>
      <c r="H3905">
        <v>2.8</v>
      </c>
      <c r="I3905" t="s">
        <v>39</v>
      </c>
      <c r="J3905" t="s">
        <v>526</v>
      </c>
      <c r="K3905" s="12">
        <f>Store_Record[[#This Row],[Qty]]*Store_Record[[#This Row],[UnitPriceGBP]]</f>
        <v>11.2</v>
      </c>
      <c r="L3905" s="5" t="str">
        <f>TEXT(Store_Record[[#This Row],[Date]],"dddd")</f>
        <v>Wednesday</v>
      </c>
      <c r="M3905" s="5" t="str">
        <f>TEXT(Store_Record[[#This Row],[Date]],"mmmm")</f>
        <v>October</v>
      </c>
      <c r="N3905" s="5">
        <f>YEAR(Store_Record[[#This Row],[Date]])</f>
        <v>2025</v>
      </c>
      <c r="O3905"/>
    </row>
    <row r="3906" spans="1:15" x14ac:dyDescent="0.35">
      <c r="A3906" t="s">
        <v>4889</v>
      </c>
      <c r="B3906" s="2">
        <v>45945</v>
      </c>
      <c r="C3906" t="s">
        <v>36</v>
      </c>
      <c r="D3906" t="s">
        <v>25</v>
      </c>
      <c r="E3906" t="s">
        <v>26</v>
      </c>
      <c r="F3906" t="s">
        <v>13</v>
      </c>
      <c r="G3906">
        <v>3</v>
      </c>
      <c r="H3906">
        <v>3.5</v>
      </c>
      <c r="I3906" t="s">
        <v>14</v>
      </c>
      <c r="J3906" t="s">
        <v>1070</v>
      </c>
      <c r="K3906" s="12">
        <f>Store_Record[[#This Row],[Qty]]*Store_Record[[#This Row],[UnitPriceGBP]]</f>
        <v>10.5</v>
      </c>
      <c r="L3906" s="5" t="str">
        <f>TEXT(Store_Record[[#This Row],[Date]],"dddd")</f>
        <v>Wednesday</v>
      </c>
      <c r="M3906" s="5" t="str">
        <f>TEXT(Store_Record[[#This Row],[Date]],"mmmm")</f>
        <v>October</v>
      </c>
      <c r="N3906" s="5">
        <f>YEAR(Store_Record[[#This Row],[Date]])</f>
        <v>2025</v>
      </c>
      <c r="O3906"/>
    </row>
    <row r="3907" spans="1:15" x14ac:dyDescent="0.35">
      <c r="A3907" t="s">
        <v>4897</v>
      </c>
      <c r="B3907" s="2">
        <v>45945</v>
      </c>
      <c r="C3907" t="s">
        <v>36</v>
      </c>
      <c r="D3907" t="s">
        <v>25</v>
      </c>
      <c r="E3907" t="s">
        <v>12</v>
      </c>
      <c r="F3907" t="s">
        <v>13</v>
      </c>
      <c r="G3907">
        <v>4</v>
      </c>
      <c r="H3907">
        <v>2.5</v>
      </c>
      <c r="I3907" t="s">
        <v>14</v>
      </c>
      <c r="J3907" t="s">
        <v>1598</v>
      </c>
      <c r="K3907" s="12">
        <f>Store_Record[[#This Row],[Qty]]*Store_Record[[#This Row],[UnitPriceGBP]]</f>
        <v>10</v>
      </c>
      <c r="L3907" s="5" t="str">
        <f>TEXT(Store_Record[[#This Row],[Date]],"dddd")</f>
        <v>Wednesday</v>
      </c>
      <c r="M3907" s="5" t="str">
        <f>TEXT(Store_Record[[#This Row],[Date]],"mmmm")</f>
        <v>October</v>
      </c>
      <c r="N3907" s="5">
        <f>YEAR(Store_Record[[#This Row],[Date]])</f>
        <v>2025</v>
      </c>
      <c r="O3907"/>
    </row>
    <row r="3908" spans="1:15" x14ac:dyDescent="0.35">
      <c r="A3908" t="s">
        <v>4887</v>
      </c>
      <c r="B3908" s="2">
        <v>45945</v>
      </c>
      <c r="C3908" t="s">
        <v>10</v>
      </c>
      <c r="D3908" t="s">
        <v>29</v>
      </c>
      <c r="E3908" t="s">
        <v>34</v>
      </c>
      <c r="F3908" t="s">
        <v>31</v>
      </c>
      <c r="G3908">
        <v>4</v>
      </c>
      <c r="H3908">
        <v>2.2000000000000002</v>
      </c>
      <c r="I3908" t="s">
        <v>14</v>
      </c>
      <c r="J3908" t="s">
        <v>2087</v>
      </c>
      <c r="K3908" s="12">
        <f>Store_Record[[#This Row],[Qty]]*Store_Record[[#This Row],[UnitPriceGBP]]</f>
        <v>8.8000000000000007</v>
      </c>
      <c r="L3908" s="5" t="str">
        <f>TEXT(Store_Record[[#This Row],[Date]],"dddd")</f>
        <v>Wednesday</v>
      </c>
      <c r="M3908" s="5" t="str">
        <f>TEXT(Store_Record[[#This Row],[Date]],"mmmm")</f>
        <v>October</v>
      </c>
      <c r="N3908" s="5">
        <f>YEAR(Store_Record[[#This Row],[Date]])</f>
        <v>2025</v>
      </c>
      <c r="O3908"/>
    </row>
    <row r="3909" spans="1:15" x14ac:dyDescent="0.35">
      <c r="A3909" t="s">
        <v>4893</v>
      </c>
      <c r="B3909" s="2">
        <v>45945</v>
      </c>
      <c r="C3909" t="s">
        <v>24</v>
      </c>
      <c r="D3909" t="s">
        <v>25</v>
      </c>
      <c r="E3909" t="s">
        <v>34</v>
      </c>
      <c r="F3909" t="s">
        <v>31</v>
      </c>
      <c r="G3909">
        <v>4</v>
      </c>
      <c r="H3909">
        <v>2.2000000000000002</v>
      </c>
      <c r="I3909" t="s">
        <v>21</v>
      </c>
      <c r="J3909" t="s">
        <v>2529</v>
      </c>
      <c r="K3909" s="12">
        <f>Store_Record[[#This Row],[Qty]]*Store_Record[[#This Row],[UnitPriceGBP]]</f>
        <v>8.8000000000000007</v>
      </c>
      <c r="L3909" s="5" t="str">
        <f>TEXT(Store_Record[[#This Row],[Date]],"dddd")</f>
        <v>Wednesday</v>
      </c>
      <c r="M3909" s="5" t="str">
        <f>TEXT(Store_Record[[#This Row],[Date]],"mmmm")</f>
        <v>October</v>
      </c>
      <c r="N3909" s="5">
        <f>YEAR(Store_Record[[#This Row],[Date]])</f>
        <v>2025</v>
      </c>
      <c r="O3909"/>
    </row>
    <row r="3910" spans="1:15" x14ac:dyDescent="0.35">
      <c r="A3910" t="s">
        <v>4896</v>
      </c>
      <c r="B3910" s="2">
        <v>45945</v>
      </c>
      <c r="C3910" t="s">
        <v>24</v>
      </c>
      <c r="D3910" t="s">
        <v>38</v>
      </c>
      <c r="E3910" t="s">
        <v>34</v>
      </c>
      <c r="F3910" t="s">
        <v>31</v>
      </c>
      <c r="G3910">
        <v>3</v>
      </c>
      <c r="H3910">
        <v>2.2000000000000002</v>
      </c>
      <c r="I3910" t="s">
        <v>14</v>
      </c>
      <c r="J3910" t="s">
        <v>2553</v>
      </c>
      <c r="K3910" s="12">
        <f>Store_Record[[#This Row],[Qty]]*Store_Record[[#This Row],[UnitPriceGBP]]</f>
        <v>6.6000000000000005</v>
      </c>
      <c r="L3910" s="5" t="str">
        <f>TEXT(Store_Record[[#This Row],[Date]],"dddd")</f>
        <v>Wednesday</v>
      </c>
      <c r="M3910" s="5" t="str">
        <f>TEXT(Store_Record[[#This Row],[Date]],"mmmm")</f>
        <v>October</v>
      </c>
      <c r="N3910" s="5">
        <f>YEAR(Store_Record[[#This Row],[Date]])</f>
        <v>2025</v>
      </c>
      <c r="O3910"/>
    </row>
    <row r="3911" spans="1:15" x14ac:dyDescent="0.35">
      <c r="A3911" t="s">
        <v>4894</v>
      </c>
      <c r="B3911" s="2">
        <v>45945</v>
      </c>
      <c r="C3911" t="s">
        <v>24</v>
      </c>
      <c r="D3911" t="s">
        <v>38</v>
      </c>
      <c r="E3911" t="s">
        <v>42</v>
      </c>
      <c r="F3911" t="s">
        <v>13</v>
      </c>
      <c r="G3911">
        <v>1</v>
      </c>
      <c r="H3911">
        <v>3.8</v>
      </c>
      <c r="I3911" t="s">
        <v>39</v>
      </c>
      <c r="J3911" t="s">
        <v>1584</v>
      </c>
      <c r="K3911" s="12">
        <f>Store_Record[[#This Row],[Qty]]*Store_Record[[#This Row],[UnitPriceGBP]]</f>
        <v>3.8</v>
      </c>
      <c r="L3911" s="5" t="str">
        <f>TEXT(Store_Record[[#This Row],[Date]],"dddd")</f>
        <v>Wednesday</v>
      </c>
      <c r="M3911" s="5" t="str">
        <f>TEXT(Store_Record[[#This Row],[Date]],"mmmm")</f>
        <v>October</v>
      </c>
      <c r="N3911" s="5">
        <f>YEAR(Store_Record[[#This Row],[Date]])</f>
        <v>2025</v>
      </c>
      <c r="O3911"/>
    </row>
    <row r="3912" spans="1:15" x14ac:dyDescent="0.35">
      <c r="A3912" t="s">
        <v>4895</v>
      </c>
      <c r="B3912" s="2">
        <v>45945</v>
      </c>
      <c r="C3912" t="s">
        <v>10</v>
      </c>
      <c r="D3912" t="s">
        <v>38</v>
      </c>
      <c r="E3912" t="s">
        <v>26</v>
      </c>
      <c r="F3912" t="s">
        <v>13</v>
      </c>
      <c r="G3912">
        <v>1</v>
      </c>
      <c r="H3912">
        <v>3.5</v>
      </c>
      <c r="I3912" t="s">
        <v>14</v>
      </c>
      <c r="J3912" t="s">
        <v>43</v>
      </c>
      <c r="K3912" s="12">
        <f>Store_Record[[#This Row],[Qty]]*Store_Record[[#This Row],[UnitPriceGBP]]</f>
        <v>3.5</v>
      </c>
      <c r="L3912" s="5" t="str">
        <f>TEXT(Store_Record[[#This Row],[Date]],"dddd")</f>
        <v>Wednesday</v>
      </c>
      <c r="M3912" s="5" t="str">
        <f>TEXT(Store_Record[[#This Row],[Date]],"mmmm")</f>
        <v>October</v>
      </c>
      <c r="N3912" s="5">
        <f>YEAR(Store_Record[[#This Row],[Date]])</f>
        <v>2025</v>
      </c>
      <c r="O3912"/>
    </row>
    <row r="3913" spans="1:15" x14ac:dyDescent="0.35">
      <c r="A3913" t="s">
        <v>4890</v>
      </c>
      <c r="B3913" s="2">
        <v>45945</v>
      </c>
      <c r="C3913" t="s">
        <v>20</v>
      </c>
      <c r="D3913" t="s">
        <v>11</v>
      </c>
      <c r="E3913" t="s">
        <v>34</v>
      </c>
      <c r="F3913" t="s">
        <v>31</v>
      </c>
      <c r="G3913">
        <v>1</v>
      </c>
      <c r="H3913">
        <v>2.2000000000000002</v>
      </c>
      <c r="I3913" t="s">
        <v>39</v>
      </c>
      <c r="J3913" t="s">
        <v>1364</v>
      </c>
      <c r="K3913" s="12">
        <f>Store_Record[[#This Row],[Qty]]*Store_Record[[#This Row],[UnitPriceGBP]]</f>
        <v>2.2000000000000002</v>
      </c>
      <c r="L3913" s="5" t="str">
        <f>TEXT(Store_Record[[#This Row],[Date]],"dddd")</f>
        <v>Wednesday</v>
      </c>
      <c r="M3913" s="5" t="str">
        <f>TEXT(Store_Record[[#This Row],[Date]],"mmmm")</f>
        <v>October</v>
      </c>
      <c r="N3913" s="5">
        <f>YEAR(Store_Record[[#This Row],[Date]])</f>
        <v>2025</v>
      </c>
      <c r="O3913"/>
    </row>
    <row r="3914" spans="1:15" x14ac:dyDescent="0.35">
      <c r="A3914" t="s">
        <v>4899</v>
      </c>
      <c r="B3914" s="2">
        <v>45946</v>
      </c>
      <c r="C3914" t="s">
        <v>36</v>
      </c>
      <c r="D3914" t="s">
        <v>25</v>
      </c>
      <c r="E3914" t="s">
        <v>42</v>
      </c>
      <c r="F3914" t="s">
        <v>13</v>
      </c>
      <c r="G3914">
        <v>5</v>
      </c>
      <c r="H3914">
        <v>3.8</v>
      </c>
      <c r="I3914" t="s">
        <v>39</v>
      </c>
      <c r="J3914" t="s">
        <v>3348</v>
      </c>
      <c r="K3914" s="12">
        <f>Store_Record[[#This Row],[Qty]]*Store_Record[[#This Row],[UnitPriceGBP]]</f>
        <v>19</v>
      </c>
      <c r="L3914" s="5" t="str">
        <f>TEXT(Store_Record[[#This Row],[Date]],"dddd")</f>
        <v>Thursday</v>
      </c>
      <c r="M3914" s="5" t="str">
        <f>TEXT(Store_Record[[#This Row],[Date]],"mmmm")</f>
        <v>October</v>
      </c>
      <c r="N3914" s="5">
        <f>YEAR(Store_Record[[#This Row],[Date]])</f>
        <v>2025</v>
      </c>
      <c r="O3914"/>
    </row>
    <row r="3915" spans="1:15" x14ac:dyDescent="0.35">
      <c r="A3915" t="s">
        <v>4902</v>
      </c>
      <c r="B3915" s="2">
        <v>45946</v>
      </c>
      <c r="C3915" t="s">
        <v>10</v>
      </c>
      <c r="D3915" t="s">
        <v>29</v>
      </c>
      <c r="E3915" t="s">
        <v>26</v>
      </c>
      <c r="F3915" t="s">
        <v>13</v>
      </c>
      <c r="G3915">
        <v>5</v>
      </c>
      <c r="H3915">
        <v>3.5</v>
      </c>
      <c r="I3915" t="s">
        <v>21</v>
      </c>
      <c r="J3915" t="s">
        <v>1910</v>
      </c>
      <c r="K3915" s="12">
        <f>Store_Record[[#This Row],[Qty]]*Store_Record[[#This Row],[UnitPriceGBP]]</f>
        <v>17.5</v>
      </c>
      <c r="L3915" s="5" t="str">
        <f>TEXT(Store_Record[[#This Row],[Date]],"dddd")</f>
        <v>Thursday</v>
      </c>
      <c r="M3915" s="5" t="str">
        <f>TEXT(Store_Record[[#This Row],[Date]],"mmmm")</f>
        <v>October</v>
      </c>
      <c r="N3915" s="5">
        <f>YEAR(Store_Record[[#This Row],[Date]])</f>
        <v>2025</v>
      </c>
      <c r="O3915"/>
    </row>
    <row r="3916" spans="1:15" x14ac:dyDescent="0.35">
      <c r="A3916" t="s">
        <v>4907</v>
      </c>
      <c r="B3916" s="2">
        <v>45946</v>
      </c>
      <c r="C3916" t="s">
        <v>24</v>
      </c>
      <c r="D3916" t="s">
        <v>38</v>
      </c>
      <c r="E3916" t="s">
        <v>42</v>
      </c>
      <c r="F3916" t="s">
        <v>13</v>
      </c>
      <c r="G3916">
        <v>3</v>
      </c>
      <c r="H3916">
        <v>3.8</v>
      </c>
      <c r="I3916" t="s">
        <v>14</v>
      </c>
      <c r="J3916" t="s">
        <v>1848</v>
      </c>
      <c r="K3916" s="12">
        <f>Store_Record[[#This Row],[Qty]]*Store_Record[[#This Row],[UnitPriceGBP]]</f>
        <v>11.399999999999999</v>
      </c>
      <c r="L3916" s="5" t="str">
        <f>TEXT(Store_Record[[#This Row],[Date]],"dddd")</f>
        <v>Thursday</v>
      </c>
      <c r="M3916" s="5" t="str">
        <f>TEXT(Store_Record[[#This Row],[Date]],"mmmm")</f>
        <v>October</v>
      </c>
      <c r="N3916" s="5">
        <f>YEAR(Store_Record[[#This Row],[Date]])</f>
        <v>2025</v>
      </c>
      <c r="O3916"/>
    </row>
    <row r="3917" spans="1:15" x14ac:dyDescent="0.35">
      <c r="A3917" t="s">
        <v>4900</v>
      </c>
      <c r="B3917" s="2">
        <v>45946</v>
      </c>
      <c r="C3917" t="s">
        <v>36</v>
      </c>
      <c r="D3917" t="s">
        <v>11</v>
      </c>
      <c r="E3917" t="s">
        <v>30</v>
      </c>
      <c r="F3917" t="s">
        <v>31</v>
      </c>
      <c r="G3917">
        <v>4</v>
      </c>
      <c r="H3917">
        <v>2.8</v>
      </c>
      <c r="I3917" t="s">
        <v>21</v>
      </c>
      <c r="J3917" t="s">
        <v>1651</v>
      </c>
      <c r="K3917" s="12">
        <f>Store_Record[[#This Row],[Qty]]*Store_Record[[#This Row],[UnitPriceGBP]]</f>
        <v>11.2</v>
      </c>
      <c r="L3917" s="5" t="str">
        <f>TEXT(Store_Record[[#This Row],[Date]],"dddd")</f>
        <v>Thursday</v>
      </c>
      <c r="M3917" s="5" t="str">
        <f>TEXT(Store_Record[[#This Row],[Date]],"mmmm")</f>
        <v>October</v>
      </c>
      <c r="N3917" s="5">
        <f>YEAR(Store_Record[[#This Row],[Date]])</f>
        <v>2025</v>
      </c>
      <c r="O3917"/>
    </row>
    <row r="3918" spans="1:15" x14ac:dyDescent="0.35">
      <c r="A3918" t="s">
        <v>4906</v>
      </c>
      <c r="B3918" s="2">
        <v>45946</v>
      </c>
      <c r="C3918" t="s">
        <v>10</v>
      </c>
      <c r="D3918" t="s">
        <v>11</v>
      </c>
      <c r="E3918" t="s">
        <v>26</v>
      </c>
      <c r="F3918" t="s">
        <v>13</v>
      </c>
      <c r="G3918">
        <v>3</v>
      </c>
      <c r="H3918">
        <v>3.5</v>
      </c>
      <c r="I3918" t="s">
        <v>21</v>
      </c>
      <c r="J3918" t="s">
        <v>289</v>
      </c>
      <c r="K3918" s="12">
        <f>Store_Record[[#This Row],[Qty]]*Store_Record[[#This Row],[UnitPriceGBP]]</f>
        <v>10.5</v>
      </c>
      <c r="L3918" s="5" t="str">
        <f>TEXT(Store_Record[[#This Row],[Date]],"dddd")</f>
        <v>Thursday</v>
      </c>
      <c r="M3918" s="5" t="str">
        <f>TEXT(Store_Record[[#This Row],[Date]],"mmmm")</f>
        <v>October</v>
      </c>
      <c r="N3918" s="5">
        <f>YEAR(Store_Record[[#This Row],[Date]])</f>
        <v>2025</v>
      </c>
      <c r="O3918"/>
    </row>
    <row r="3919" spans="1:15" x14ac:dyDescent="0.35">
      <c r="A3919" t="s">
        <v>4898</v>
      </c>
      <c r="B3919" s="2">
        <v>45946</v>
      </c>
      <c r="C3919" t="s">
        <v>24</v>
      </c>
      <c r="D3919" t="s">
        <v>38</v>
      </c>
      <c r="E3919" t="s">
        <v>34</v>
      </c>
      <c r="F3919" t="s">
        <v>31</v>
      </c>
      <c r="G3919">
        <v>4</v>
      </c>
      <c r="H3919">
        <v>2.2000000000000002</v>
      </c>
      <c r="I3919" t="s">
        <v>14</v>
      </c>
      <c r="J3919" t="s">
        <v>1495</v>
      </c>
      <c r="K3919" s="12">
        <f>Store_Record[[#This Row],[Qty]]*Store_Record[[#This Row],[UnitPriceGBP]]</f>
        <v>8.8000000000000007</v>
      </c>
      <c r="L3919" s="5" t="str">
        <f>TEXT(Store_Record[[#This Row],[Date]],"dddd")</f>
        <v>Thursday</v>
      </c>
      <c r="M3919" s="5" t="str">
        <f>TEXT(Store_Record[[#This Row],[Date]],"mmmm")</f>
        <v>October</v>
      </c>
      <c r="N3919" s="5">
        <f>YEAR(Store_Record[[#This Row],[Date]])</f>
        <v>2025</v>
      </c>
      <c r="O3919"/>
    </row>
    <row r="3920" spans="1:15" x14ac:dyDescent="0.35">
      <c r="A3920" t="s">
        <v>4908</v>
      </c>
      <c r="B3920" s="2">
        <v>45946</v>
      </c>
      <c r="C3920" t="s">
        <v>10</v>
      </c>
      <c r="D3920" t="s">
        <v>38</v>
      </c>
      <c r="E3920" t="s">
        <v>34</v>
      </c>
      <c r="F3920" t="s">
        <v>31</v>
      </c>
      <c r="G3920">
        <v>4</v>
      </c>
      <c r="H3920">
        <v>2.2000000000000002</v>
      </c>
      <c r="I3920" t="s">
        <v>14</v>
      </c>
      <c r="J3920" t="s">
        <v>2495</v>
      </c>
      <c r="K3920" s="12">
        <f>Store_Record[[#This Row],[Qty]]*Store_Record[[#This Row],[UnitPriceGBP]]</f>
        <v>8.8000000000000007</v>
      </c>
      <c r="L3920" s="5" t="str">
        <f>TEXT(Store_Record[[#This Row],[Date]],"dddd")</f>
        <v>Thursday</v>
      </c>
      <c r="M3920" s="5" t="str">
        <f>TEXT(Store_Record[[#This Row],[Date]],"mmmm")</f>
        <v>October</v>
      </c>
      <c r="N3920" s="5">
        <f>YEAR(Store_Record[[#This Row],[Date]])</f>
        <v>2025</v>
      </c>
      <c r="O3920"/>
    </row>
    <row r="3921" spans="1:15" x14ac:dyDescent="0.35">
      <c r="A3921" t="s">
        <v>4905</v>
      </c>
      <c r="B3921" s="2">
        <v>45946</v>
      </c>
      <c r="C3921" t="s">
        <v>10</v>
      </c>
      <c r="D3921" t="s">
        <v>38</v>
      </c>
      <c r="E3921" t="s">
        <v>34</v>
      </c>
      <c r="F3921" t="s">
        <v>31</v>
      </c>
      <c r="G3921">
        <v>3</v>
      </c>
      <c r="H3921">
        <v>2.2000000000000002</v>
      </c>
      <c r="I3921" t="s">
        <v>39</v>
      </c>
      <c r="J3921" t="s">
        <v>336</v>
      </c>
      <c r="K3921" s="12">
        <f>Store_Record[[#This Row],[Qty]]*Store_Record[[#This Row],[UnitPriceGBP]]</f>
        <v>6.6000000000000005</v>
      </c>
      <c r="L3921" s="5" t="str">
        <f>TEXT(Store_Record[[#This Row],[Date]],"dddd")</f>
        <v>Thursday</v>
      </c>
      <c r="M3921" s="5" t="str">
        <f>TEXT(Store_Record[[#This Row],[Date]],"mmmm")</f>
        <v>October</v>
      </c>
      <c r="N3921" s="5">
        <f>YEAR(Store_Record[[#This Row],[Date]])</f>
        <v>2025</v>
      </c>
      <c r="O3921"/>
    </row>
    <row r="3922" spans="1:15" x14ac:dyDescent="0.35">
      <c r="A3922" t="s">
        <v>4901</v>
      </c>
      <c r="B3922" s="2">
        <v>45946</v>
      </c>
      <c r="C3922" t="s">
        <v>24</v>
      </c>
      <c r="D3922" t="s">
        <v>25</v>
      </c>
      <c r="E3922" t="s">
        <v>12</v>
      </c>
      <c r="F3922" t="s">
        <v>13</v>
      </c>
      <c r="G3922">
        <v>2</v>
      </c>
      <c r="H3922">
        <v>2.5</v>
      </c>
      <c r="I3922" t="s">
        <v>14</v>
      </c>
      <c r="J3922" t="s">
        <v>1676</v>
      </c>
      <c r="K3922" s="12">
        <f>Store_Record[[#This Row],[Qty]]*Store_Record[[#This Row],[UnitPriceGBP]]</f>
        <v>5</v>
      </c>
      <c r="L3922" s="5" t="str">
        <f>TEXT(Store_Record[[#This Row],[Date]],"dddd")</f>
        <v>Thursday</v>
      </c>
      <c r="M3922" s="5" t="str">
        <f>TEXT(Store_Record[[#This Row],[Date]],"mmmm")</f>
        <v>October</v>
      </c>
      <c r="N3922" s="5">
        <f>YEAR(Store_Record[[#This Row],[Date]])</f>
        <v>2025</v>
      </c>
      <c r="O3922"/>
    </row>
    <row r="3923" spans="1:15" x14ac:dyDescent="0.35">
      <c r="A3923" t="s">
        <v>4903</v>
      </c>
      <c r="B3923" s="2">
        <v>45946</v>
      </c>
      <c r="C3923" t="s">
        <v>36</v>
      </c>
      <c r="D3923" t="s">
        <v>38</v>
      </c>
      <c r="E3923" t="s">
        <v>42</v>
      </c>
      <c r="F3923" t="s">
        <v>13</v>
      </c>
      <c r="G3923">
        <v>1</v>
      </c>
      <c r="H3923">
        <v>3.8</v>
      </c>
      <c r="I3923" t="s">
        <v>21</v>
      </c>
      <c r="J3923" t="s">
        <v>4904</v>
      </c>
      <c r="K3923" s="12">
        <f>Store_Record[[#This Row],[Qty]]*Store_Record[[#This Row],[UnitPriceGBP]]</f>
        <v>3.8</v>
      </c>
      <c r="L3923" s="5" t="str">
        <f>TEXT(Store_Record[[#This Row],[Date]],"dddd")</f>
        <v>Thursday</v>
      </c>
      <c r="M3923" s="5" t="str">
        <f>TEXT(Store_Record[[#This Row],[Date]],"mmmm")</f>
        <v>October</v>
      </c>
      <c r="N3923" s="5">
        <f>YEAR(Store_Record[[#This Row],[Date]])</f>
        <v>2025</v>
      </c>
      <c r="O3923"/>
    </row>
    <row r="3924" spans="1:15" x14ac:dyDescent="0.35">
      <c r="A3924" t="s">
        <v>4916</v>
      </c>
      <c r="B3924" s="2">
        <v>45947</v>
      </c>
      <c r="C3924" t="s">
        <v>24</v>
      </c>
      <c r="D3924" t="s">
        <v>25</v>
      </c>
      <c r="E3924" t="s">
        <v>30</v>
      </c>
      <c r="F3924" t="s">
        <v>31</v>
      </c>
      <c r="G3924">
        <v>5</v>
      </c>
      <c r="H3924">
        <v>2.8</v>
      </c>
      <c r="I3924" t="s">
        <v>21</v>
      </c>
      <c r="J3924" t="s">
        <v>1070</v>
      </c>
      <c r="K3924" s="12">
        <f>Store_Record[[#This Row],[Qty]]*Store_Record[[#This Row],[UnitPriceGBP]]</f>
        <v>14</v>
      </c>
      <c r="L3924" s="5" t="str">
        <f>TEXT(Store_Record[[#This Row],[Date]],"dddd")</f>
        <v>Friday</v>
      </c>
      <c r="M3924" s="5" t="str">
        <f>TEXT(Store_Record[[#This Row],[Date]],"mmmm")</f>
        <v>October</v>
      </c>
      <c r="N3924" s="5">
        <f>YEAR(Store_Record[[#This Row],[Date]])</f>
        <v>2025</v>
      </c>
      <c r="O3924"/>
    </row>
    <row r="3925" spans="1:15" x14ac:dyDescent="0.35">
      <c r="A3925" t="s">
        <v>4918</v>
      </c>
      <c r="B3925" s="2">
        <v>45947</v>
      </c>
      <c r="C3925" t="s">
        <v>10</v>
      </c>
      <c r="D3925" t="s">
        <v>38</v>
      </c>
      <c r="E3925" t="s">
        <v>42</v>
      </c>
      <c r="F3925" t="s">
        <v>13</v>
      </c>
      <c r="G3925">
        <v>3</v>
      </c>
      <c r="H3925">
        <v>3.8</v>
      </c>
      <c r="I3925" t="s">
        <v>14</v>
      </c>
      <c r="J3925" t="s">
        <v>2371</v>
      </c>
      <c r="K3925" s="12">
        <f>Store_Record[[#This Row],[Qty]]*Store_Record[[#This Row],[UnitPriceGBP]]</f>
        <v>11.399999999999999</v>
      </c>
      <c r="L3925" s="5" t="str">
        <f>TEXT(Store_Record[[#This Row],[Date]],"dddd")</f>
        <v>Friday</v>
      </c>
      <c r="M3925" s="5" t="str">
        <f>TEXT(Store_Record[[#This Row],[Date]],"mmmm")</f>
        <v>October</v>
      </c>
      <c r="N3925" s="5">
        <f>YEAR(Store_Record[[#This Row],[Date]])</f>
        <v>2025</v>
      </c>
      <c r="O3925"/>
    </row>
    <row r="3926" spans="1:15" x14ac:dyDescent="0.35">
      <c r="A3926" t="s">
        <v>4910</v>
      </c>
      <c r="B3926" s="2">
        <v>45947</v>
      </c>
      <c r="C3926" t="s">
        <v>20</v>
      </c>
      <c r="D3926" t="s">
        <v>47</v>
      </c>
      <c r="E3926" t="s">
        <v>30</v>
      </c>
      <c r="F3926" t="s">
        <v>31</v>
      </c>
      <c r="G3926">
        <v>4</v>
      </c>
      <c r="H3926">
        <v>2.8</v>
      </c>
      <c r="I3926" t="s">
        <v>39</v>
      </c>
      <c r="J3926" t="s">
        <v>436</v>
      </c>
      <c r="K3926" s="12">
        <f>Store_Record[[#This Row],[Qty]]*Store_Record[[#This Row],[UnitPriceGBP]]</f>
        <v>11.2</v>
      </c>
      <c r="L3926" s="5" t="str">
        <f>TEXT(Store_Record[[#This Row],[Date]],"dddd")</f>
        <v>Friday</v>
      </c>
      <c r="M3926" s="5" t="str">
        <f>TEXT(Store_Record[[#This Row],[Date]],"mmmm")</f>
        <v>October</v>
      </c>
      <c r="N3926" s="5">
        <f>YEAR(Store_Record[[#This Row],[Date]])</f>
        <v>2025</v>
      </c>
      <c r="O3926"/>
    </row>
    <row r="3927" spans="1:15" x14ac:dyDescent="0.35">
      <c r="A3927" t="s">
        <v>4911</v>
      </c>
      <c r="B3927" s="2">
        <v>45947</v>
      </c>
      <c r="C3927" t="s">
        <v>20</v>
      </c>
      <c r="D3927" t="s">
        <v>29</v>
      </c>
      <c r="E3927" t="s">
        <v>30</v>
      </c>
      <c r="F3927" t="s">
        <v>31</v>
      </c>
      <c r="G3927">
        <v>4</v>
      </c>
      <c r="H3927">
        <v>2.8</v>
      </c>
      <c r="I3927" t="s">
        <v>39</v>
      </c>
      <c r="J3927" t="s">
        <v>66</v>
      </c>
      <c r="K3927" s="12">
        <f>Store_Record[[#This Row],[Qty]]*Store_Record[[#This Row],[UnitPriceGBP]]</f>
        <v>11.2</v>
      </c>
      <c r="L3927" s="5" t="str">
        <f>TEXT(Store_Record[[#This Row],[Date]],"dddd")</f>
        <v>Friday</v>
      </c>
      <c r="M3927" s="5" t="str">
        <f>TEXT(Store_Record[[#This Row],[Date]],"mmmm")</f>
        <v>October</v>
      </c>
      <c r="N3927" s="5">
        <f>YEAR(Store_Record[[#This Row],[Date]])</f>
        <v>2025</v>
      </c>
      <c r="O3927"/>
    </row>
    <row r="3928" spans="1:15" x14ac:dyDescent="0.35">
      <c r="A3928" t="s">
        <v>4913</v>
      </c>
      <c r="B3928" s="2">
        <v>45947</v>
      </c>
      <c r="C3928" t="s">
        <v>24</v>
      </c>
      <c r="D3928" t="s">
        <v>25</v>
      </c>
      <c r="E3928" t="s">
        <v>12</v>
      </c>
      <c r="F3928" t="s">
        <v>13</v>
      </c>
      <c r="G3928">
        <v>4</v>
      </c>
      <c r="H3928">
        <v>2.5</v>
      </c>
      <c r="I3928" t="s">
        <v>14</v>
      </c>
      <c r="J3928" t="s">
        <v>3039</v>
      </c>
      <c r="K3928" s="12">
        <f>Store_Record[[#This Row],[Qty]]*Store_Record[[#This Row],[UnitPriceGBP]]</f>
        <v>10</v>
      </c>
      <c r="L3928" s="5" t="str">
        <f>TEXT(Store_Record[[#This Row],[Date]],"dddd")</f>
        <v>Friday</v>
      </c>
      <c r="M3928" s="5" t="str">
        <f>TEXT(Store_Record[[#This Row],[Date]],"mmmm")</f>
        <v>October</v>
      </c>
      <c r="N3928" s="5">
        <f>YEAR(Store_Record[[#This Row],[Date]])</f>
        <v>2025</v>
      </c>
      <c r="O3928"/>
    </row>
    <row r="3929" spans="1:15" x14ac:dyDescent="0.35">
      <c r="A3929" t="s">
        <v>4912</v>
      </c>
      <c r="B3929" s="2">
        <v>45947</v>
      </c>
      <c r="C3929" t="s">
        <v>24</v>
      </c>
      <c r="D3929" t="s">
        <v>29</v>
      </c>
      <c r="E3929" t="s">
        <v>34</v>
      </c>
      <c r="F3929" t="s">
        <v>31</v>
      </c>
      <c r="G3929">
        <v>4</v>
      </c>
      <c r="H3929">
        <v>2.2000000000000002</v>
      </c>
      <c r="I3929" t="s">
        <v>14</v>
      </c>
      <c r="J3929" t="s">
        <v>1768</v>
      </c>
      <c r="K3929" s="12">
        <f>Store_Record[[#This Row],[Qty]]*Store_Record[[#This Row],[UnitPriceGBP]]</f>
        <v>8.8000000000000007</v>
      </c>
      <c r="L3929" s="5" t="str">
        <f>TEXT(Store_Record[[#This Row],[Date]],"dddd")</f>
        <v>Friday</v>
      </c>
      <c r="M3929" s="5" t="str">
        <f>TEXT(Store_Record[[#This Row],[Date]],"mmmm")</f>
        <v>October</v>
      </c>
      <c r="N3929" s="5">
        <f>YEAR(Store_Record[[#This Row],[Date]])</f>
        <v>2025</v>
      </c>
      <c r="O3929"/>
    </row>
    <row r="3930" spans="1:15" x14ac:dyDescent="0.35">
      <c r="A3930" t="s">
        <v>4914</v>
      </c>
      <c r="B3930" s="2">
        <v>45947</v>
      </c>
      <c r="C3930" t="s">
        <v>20</v>
      </c>
      <c r="D3930" t="s">
        <v>38</v>
      </c>
      <c r="E3930" t="s">
        <v>30</v>
      </c>
      <c r="F3930" t="s">
        <v>31</v>
      </c>
      <c r="G3930">
        <v>3</v>
      </c>
      <c r="H3930">
        <v>2.8</v>
      </c>
      <c r="I3930" t="s">
        <v>14</v>
      </c>
      <c r="J3930" t="s">
        <v>1828</v>
      </c>
      <c r="K3930" s="12">
        <f>Store_Record[[#This Row],[Qty]]*Store_Record[[#This Row],[UnitPriceGBP]]</f>
        <v>8.3999999999999986</v>
      </c>
      <c r="L3930" s="5" t="str">
        <f>TEXT(Store_Record[[#This Row],[Date]],"dddd")</f>
        <v>Friday</v>
      </c>
      <c r="M3930" s="5" t="str">
        <f>TEXT(Store_Record[[#This Row],[Date]],"mmmm")</f>
        <v>October</v>
      </c>
      <c r="N3930" s="5">
        <f>YEAR(Store_Record[[#This Row],[Date]])</f>
        <v>2025</v>
      </c>
      <c r="O3930"/>
    </row>
    <row r="3931" spans="1:15" x14ac:dyDescent="0.35">
      <c r="A3931" t="s">
        <v>4915</v>
      </c>
      <c r="B3931" s="2">
        <v>45947</v>
      </c>
      <c r="C3931" t="s">
        <v>36</v>
      </c>
      <c r="D3931" t="s">
        <v>11</v>
      </c>
      <c r="E3931" t="s">
        <v>30</v>
      </c>
      <c r="F3931" t="s">
        <v>31</v>
      </c>
      <c r="G3931">
        <v>3</v>
      </c>
      <c r="H3931">
        <v>2.8</v>
      </c>
      <c r="I3931" t="s">
        <v>39</v>
      </c>
      <c r="J3931" t="s">
        <v>185</v>
      </c>
      <c r="K3931" s="12">
        <f>Store_Record[[#This Row],[Qty]]*Store_Record[[#This Row],[UnitPriceGBP]]</f>
        <v>8.3999999999999986</v>
      </c>
      <c r="L3931" s="5" t="str">
        <f>TEXT(Store_Record[[#This Row],[Date]],"dddd")</f>
        <v>Friday</v>
      </c>
      <c r="M3931" s="5" t="str">
        <f>TEXT(Store_Record[[#This Row],[Date]],"mmmm")</f>
        <v>October</v>
      </c>
      <c r="N3931" s="5">
        <f>YEAR(Store_Record[[#This Row],[Date]])</f>
        <v>2025</v>
      </c>
      <c r="O3931"/>
    </row>
    <row r="3932" spans="1:15" x14ac:dyDescent="0.35">
      <c r="A3932" t="s">
        <v>4909</v>
      </c>
      <c r="B3932" s="2">
        <v>45947</v>
      </c>
      <c r="C3932" t="s">
        <v>10</v>
      </c>
      <c r="D3932" t="s">
        <v>25</v>
      </c>
      <c r="E3932" t="s">
        <v>12</v>
      </c>
      <c r="F3932" t="s">
        <v>13</v>
      </c>
      <c r="G3932">
        <v>2</v>
      </c>
      <c r="H3932">
        <v>2.5</v>
      </c>
      <c r="I3932" t="s">
        <v>14</v>
      </c>
      <c r="J3932" t="s">
        <v>1471</v>
      </c>
      <c r="K3932" s="12">
        <f>Store_Record[[#This Row],[Qty]]*Store_Record[[#This Row],[UnitPriceGBP]]</f>
        <v>5</v>
      </c>
      <c r="L3932" s="5" t="str">
        <f>TEXT(Store_Record[[#This Row],[Date]],"dddd")</f>
        <v>Friday</v>
      </c>
      <c r="M3932" s="5" t="str">
        <f>TEXT(Store_Record[[#This Row],[Date]],"mmmm")</f>
        <v>October</v>
      </c>
      <c r="N3932" s="5">
        <f>YEAR(Store_Record[[#This Row],[Date]])</f>
        <v>2025</v>
      </c>
      <c r="O3932"/>
    </row>
    <row r="3933" spans="1:15" x14ac:dyDescent="0.35">
      <c r="A3933" t="s">
        <v>4917</v>
      </c>
      <c r="B3933" s="2">
        <v>45947</v>
      </c>
      <c r="C3933" t="s">
        <v>10</v>
      </c>
      <c r="D3933" t="s">
        <v>29</v>
      </c>
      <c r="E3933" t="s">
        <v>34</v>
      </c>
      <c r="F3933" t="s">
        <v>31</v>
      </c>
      <c r="G3933">
        <v>2</v>
      </c>
      <c r="H3933">
        <v>2.2000000000000002</v>
      </c>
      <c r="I3933" t="s">
        <v>14</v>
      </c>
      <c r="J3933" t="s">
        <v>1203</v>
      </c>
      <c r="K3933" s="12">
        <f>Store_Record[[#This Row],[Qty]]*Store_Record[[#This Row],[UnitPriceGBP]]</f>
        <v>4.4000000000000004</v>
      </c>
      <c r="L3933" s="5" t="str">
        <f>TEXT(Store_Record[[#This Row],[Date]],"dddd")</f>
        <v>Friday</v>
      </c>
      <c r="M3933" s="5" t="str">
        <f>TEXT(Store_Record[[#This Row],[Date]],"mmmm")</f>
        <v>October</v>
      </c>
      <c r="N3933" s="5">
        <f>YEAR(Store_Record[[#This Row],[Date]])</f>
        <v>2025</v>
      </c>
      <c r="O3933"/>
    </row>
    <row r="3934" spans="1:15" x14ac:dyDescent="0.35">
      <c r="A3934" t="s">
        <v>4919</v>
      </c>
      <c r="B3934" s="2">
        <v>45947</v>
      </c>
      <c r="C3934" t="s">
        <v>36</v>
      </c>
      <c r="D3934" t="s">
        <v>29</v>
      </c>
      <c r="E3934" t="s">
        <v>26</v>
      </c>
      <c r="F3934" t="s">
        <v>13</v>
      </c>
      <c r="G3934">
        <v>1</v>
      </c>
      <c r="H3934">
        <v>3.5</v>
      </c>
      <c r="I3934" t="s">
        <v>14</v>
      </c>
      <c r="J3934" t="s">
        <v>3398</v>
      </c>
      <c r="K3934" s="12">
        <f>Store_Record[[#This Row],[Qty]]*Store_Record[[#This Row],[UnitPriceGBP]]</f>
        <v>3.5</v>
      </c>
      <c r="L3934" s="5" t="str">
        <f>TEXT(Store_Record[[#This Row],[Date]],"dddd")</f>
        <v>Friday</v>
      </c>
      <c r="M3934" s="5" t="str">
        <f>TEXT(Store_Record[[#This Row],[Date]],"mmmm")</f>
        <v>October</v>
      </c>
      <c r="N3934" s="5">
        <f>YEAR(Store_Record[[#This Row],[Date]])</f>
        <v>2025</v>
      </c>
      <c r="O3934"/>
    </row>
    <row r="3935" spans="1:15" x14ac:dyDescent="0.35">
      <c r="A3935" t="s">
        <v>4920</v>
      </c>
      <c r="B3935" s="2">
        <v>45948</v>
      </c>
      <c r="C3935" t="s">
        <v>24</v>
      </c>
      <c r="D3935" t="s">
        <v>47</v>
      </c>
      <c r="E3935" t="s">
        <v>42</v>
      </c>
      <c r="F3935" t="s">
        <v>13</v>
      </c>
      <c r="G3935">
        <v>5</v>
      </c>
      <c r="H3935">
        <v>3.8</v>
      </c>
      <c r="I3935" t="s">
        <v>21</v>
      </c>
      <c r="J3935" t="s">
        <v>2642</v>
      </c>
      <c r="K3935" s="12">
        <f>Store_Record[[#This Row],[Qty]]*Store_Record[[#This Row],[UnitPriceGBP]]</f>
        <v>19</v>
      </c>
      <c r="L3935" s="5" t="str">
        <f>TEXT(Store_Record[[#This Row],[Date]],"dddd")</f>
        <v>Saturday</v>
      </c>
      <c r="M3935" s="5" t="str">
        <f>TEXT(Store_Record[[#This Row],[Date]],"mmmm")</f>
        <v>October</v>
      </c>
      <c r="N3935" s="5">
        <f>YEAR(Store_Record[[#This Row],[Date]])</f>
        <v>2025</v>
      </c>
      <c r="O3935"/>
    </row>
    <row r="3936" spans="1:15" x14ac:dyDescent="0.35">
      <c r="A3936" t="s">
        <v>4928</v>
      </c>
      <c r="B3936" s="2">
        <v>45948</v>
      </c>
      <c r="C3936" t="s">
        <v>10</v>
      </c>
      <c r="D3936" t="s">
        <v>38</v>
      </c>
      <c r="E3936" t="s">
        <v>42</v>
      </c>
      <c r="F3936" t="s">
        <v>13</v>
      </c>
      <c r="G3936">
        <v>5</v>
      </c>
      <c r="H3936">
        <v>3.8</v>
      </c>
      <c r="I3936" t="s">
        <v>14</v>
      </c>
      <c r="J3936" t="s">
        <v>3280</v>
      </c>
      <c r="K3936" s="12">
        <f>Store_Record[[#This Row],[Qty]]*Store_Record[[#This Row],[UnitPriceGBP]]</f>
        <v>19</v>
      </c>
      <c r="L3936" s="5" t="str">
        <f>TEXT(Store_Record[[#This Row],[Date]],"dddd")</f>
        <v>Saturday</v>
      </c>
      <c r="M3936" s="5" t="str">
        <f>TEXT(Store_Record[[#This Row],[Date]],"mmmm")</f>
        <v>October</v>
      </c>
      <c r="N3936" s="5">
        <f>YEAR(Store_Record[[#This Row],[Date]])</f>
        <v>2025</v>
      </c>
      <c r="O3936"/>
    </row>
    <row r="3937" spans="1:15" x14ac:dyDescent="0.35">
      <c r="A3937" t="s">
        <v>4927</v>
      </c>
      <c r="B3937" s="2">
        <v>45948</v>
      </c>
      <c r="C3937" t="s">
        <v>10</v>
      </c>
      <c r="D3937" t="s">
        <v>29</v>
      </c>
      <c r="E3937" t="s">
        <v>30</v>
      </c>
      <c r="F3937" t="s">
        <v>31</v>
      </c>
      <c r="G3937">
        <v>5</v>
      </c>
      <c r="H3937">
        <v>2.8</v>
      </c>
      <c r="I3937" t="s">
        <v>39</v>
      </c>
      <c r="J3937" t="s">
        <v>354</v>
      </c>
      <c r="K3937" s="12">
        <f>Store_Record[[#This Row],[Qty]]*Store_Record[[#This Row],[UnitPriceGBP]]</f>
        <v>14</v>
      </c>
      <c r="L3937" s="5" t="str">
        <f>TEXT(Store_Record[[#This Row],[Date]],"dddd")</f>
        <v>Saturday</v>
      </c>
      <c r="M3937" s="5" t="str">
        <f>TEXT(Store_Record[[#This Row],[Date]],"mmmm")</f>
        <v>October</v>
      </c>
      <c r="N3937" s="5">
        <f>YEAR(Store_Record[[#This Row],[Date]])</f>
        <v>2025</v>
      </c>
      <c r="O3937"/>
    </row>
    <row r="3938" spans="1:15" x14ac:dyDescent="0.35">
      <c r="A3938" t="s">
        <v>4924</v>
      </c>
      <c r="B3938" s="2">
        <v>45948</v>
      </c>
      <c r="C3938" t="s">
        <v>20</v>
      </c>
      <c r="D3938" t="s">
        <v>38</v>
      </c>
      <c r="E3938" t="s">
        <v>30</v>
      </c>
      <c r="F3938" t="s">
        <v>31</v>
      </c>
      <c r="G3938">
        <v>4</v>
      </c>
      <c r="H3938">
        <v>2.8</v>
      </c>
      <c r="I3938" t="s">
        <v>21</v>
      </c>
      <c r="J3938" t="s">
        <v>1332</v>
      </c>
      <c r="K3938" s="12">
        <f>Store_Record[[#This Row],[Qty]]*Store_Record[[#This Row],[UnitPriceGBP]]</f>
        <v>11.2</v>
      </c>
      <c r="L3938" s="5" t="str">
        <f>TEXT(Store_Record[[#This Row],[Date]],"dddd")</f>
        <v>Saturday</v>
      </c>
      <c r="M3938" s="5" t="str">
        <f>TEXT(Store_Record[[#This Row],[Date]],"mmmm")</f>
        <v>October</v>
      </c>
      <c r="N3938" s="5">
        <f>YEAR(Store_Record[[#This Row],[Date]])</f>
        <v>2025</v>
      </c>
      <c r="O3938"/>
    </row>
    <row r="3939" spans="1:15" x14ac:dyDescent="0.35">
      <c r="A3939" t="s">
        <v>4923</v>
      </c>
      <c r="B3939" s="2">
        <v>45948</v>
      </c>
      <c r="C3939" t="s">
        <v>36</v>
      </c>
      <c r="D3939" t="s">
        <v>25</v>
      </c>
      <c r="E3939" t="s">
        <v>12</v>
      </c>
      <c r="F3939" t="s">
        <v>13</v>
      </c>
      <c r="G3939">
        <v>4</v>
      </c>
      <c r="H3939">
        <v>2.5</v>
      </c>
      <c r="I3939" t="s">
        <v>39</v>
      </c>
      <c r="J3939" t="s">
        <v>1590</v>
      </c>
      <c r="K3939" s="12">
        <f>Store_Record[[#This Row],[Qty]]*Store_Record[[#This Row],[UnitPriceGBP]]</f>
        <v>10</v>
      </c>
      <c r="L3939" s="5" t="str">
        <f>TEXT(Store_Record[[#This Row],[Date]],"dddd")</f>
        <v>Saturday</v>
      </c>
      <c r="M3939" s="5" t="str">
        <f>TEXT(Store_Record[[#This Row],[Date]],"mmmm")</f>
        <v>October</v>
      </c>
      <c r="N3939" s="5">
        <f>YEAR(Store_Record[[#This Row],[Date]])</f>
        <v>2025</v>
      </c>
      <c r="O3939"/>
    </row>
    <row r="3940" spans="1:15" x14ac:dyDescent="0.35">
      <c r="A3940" t="s">
        <v>4925</v>
      </c>
      <c r="B3940" s="2">
        <v>45948</v>
      </c>
      <c r="C3940" t="s">
        <v>20</v>
      </c>
      <c r="D3940" t="s">
        <v>38</v>
      </c>
      <c r="E3940" t="s">
        <v>12</v>
      </c>
      <c r="F3940" t="s">
        <v>13</v>
      </c>
      <c r="G3940">
        <v>4</v>
      </c>
      <c r="H3940">
        <v>2.5</v>
      </c>
      <c r="I3940" t="s">
        <v>14</v>
      </c>
      <c r="J3940" t="s">
        <v>580</v>
      </c>
      <c r="K3940" s="12">
        <f>Store_Record[[#This Row],[Qty]]*Store_Record[[#This Row],[UnitPriceGBP]]</f>
        <v>10</v>
      </c>
      <c r="L3940" s="5" t="str">
        <f>TEXT(Store_Record[[#This Row],[Date]],"dddd")</f>
        <v>Saturday</v>
      </c>
      <c r="M3940" s="5" t="str">
        <f>TEXT(Store_Record[[#This Row],[Date]],"mmmm")</f>
        <v>October</v>
      </c>
      <c r="N3940" s="5">
        <f>YEAR(Store_Record[[#This Row],[Date]])</f>
        <v>2025</v>
      </c>
      <c r="O3940"/>
    </row>
    <row r="3941" spans="1:15" x14ac:dyDescent="0.35">
      <c r="A3941" t="s">
        <v>4926</v>
      </c>
      <c r="B3941" s="2">
        <v>45948</v>
      </c>
      <c r="C3941" t="s">
        <v>20</v>
      </c>
      <c r="D3941" t="s">
        <v>29</v>
      </c>
      <c r="E3941" t="s">
        <v>26</v>
      </c>
      <c r="F3941" t="s">
        <v>13</v>
      </c>
      <c r="G3941">
        <v>2</v>
      </c>
      <c r="H3941">
        <v>3.5</v>
      </c>
      <c r="I3941" t="s">
        <v>39</v>
      </c>
      <c r="J3941" t="s">
        <v>1088</v>
      </c>
      <c r="K3941" s="12">
        <f>Store_Record[[#This Row],[Qty]]*Store_Record[[#This Row],[UnitPriceGBP]]</f>
        <v>7</v>
      </c>
      <c r="L3941" s="5" t="str">
        <f>TEXT(Store_Record[[#This Row],[Date]],"dddd")</f>
        <v>Saturday</v>
      </c>
      <c r="M3941" s="5" t="str">
        <f>TEXT(Store_Record[[#This Row],[Date]],"mmmm")</f>
        <v>October</v>
      </c>
      <c r="N3941" s="5">
        <f>YEAR(Store_Record[[#This Row],[Date]])</f>
        <v>2025</v>
      </c>
      <c r="O3941"/>
    </row>
    <row r="3942" spans="1:15" x14ac:dyDescent="0.35">
      <c r="A3942" t="s">
        <v>4929</v>
      </c>
      <c r="B3942" s="2">
        <v>45948</v>
      </c>
      <c r="C3942" t="s">
        <v>36</v>
      </c>
      <c r="D3942" t="s">
        <v>25</v>
      </c>
      <c r="E3942" t="s">
        <v>34</v>
      </c>
      <c r="F3942" t="s">
        <v>31</v>
      </c>
      <c r="G3942">
        <v>3</v>
      </c>
      <c r="H3942">
        <v>2.2000000000000002</v>
      </c>
      <c r="I3942" t="s">
        <v>21</v>
      </c>
      <c r="J3942" t="s">
        <v>277</v>
      </c>
      <c r="K3942" s="12">
        <f>Store_Record[[#This Row],[Qty]]*Store_Record[[#This Row],[UnitPriceGBP]]</f>
        <v>6.6000000000000005</v>
      </c>
      <c r="L3942" s="5" t="str">
        <f>TEXT(Store_Record[[#This Row],[Date]],"dddd")</f>
        <v>Saturday</v>
      </c>
      <c r="M3942" s="5" t="str">
        <f>TEXT(Store_Record[[#This Row],[Date]],"mmmm")</f>
        <v>October</v>
      </c>
      <c r="N3942" s="5">
        <f>YEAR(Store_Record[[#This Row],[Date]])</f>
        <v>2025</v>
      </c>
      <c r="O3942"/>
    </row>
    <row r="3943" spans="1:15" x14ac:dyDescent="0.35">
      <c r="A3943" t="s">
        <v>4922</v>
      </c>
      <c r="B3943" s="2">
        <v>45948</v>
      </c>
      <c r="C3943" t="s">
        <v>36</v>
      </c>
      <c r="D3943" t="s">
        <v>25</v>
      </c>
      <c r="E3943" t="s">
        <v>34</v>
      </c>
      <c r="F3943" t="s">
        <v>31</v>
      </c>
      <c r="G3943">
        <v>2</v>
      </c>
      <c r="H3943">
        <v>2.2000000000000002</v>
      </c>
      <c r="I3943" t="s">
        <v>39</v>
      </c>
      <c r="J3943" t="s">
        <v>929</v>
      </c>
      <c r="K3943" s="12">
        <f>Store_Record[[#This Row],[Qty]]*Store_Record[[#This Row],[UnitPriceGBP]]</f>
        <v>4.4000000000000004</v>
      </c>
      <c r="L3943" s="5" t="str">
        <f>TEXT(Store_Record[[#This Row],[Date]],"dddd")</f>
        <v>Saturday</v>
      </c>
      <c r="M3943" s="5" t="str">
        <f>TEXT(Store_Record[[#This Row],[Date]],"mmmm")</f>
        <v>October</v>
      </c>
      <c r="N3943" s="5">
        <f>YEAR(Store_Record[[#This Row],[Date]])</f>
        <v>2025</v>
      </c>
      <c r="O3943"/>
    </row>
    <row r="3944" spans="1:15" x14ac:dyDescent="0.35">
      <c r="A3944" t="s">
        <v>4921</v>
      </c>
      <c r="B3944" s="2">
        <v>45948</v>
      </c>
      <c r="C3944" t="s">
        <v>20</v>
      </c>
      <c r="D3944" t="s">
        <v>25</v>
      </c>
      <c r="E3944" t="s">
        <v>30</v>
      </c>
      <c r="F3944" t="s">
        <v>31</v>
      </c>
      <c r="G3944">
        <v>1</v>
      </c>
      <c r="H3944">
        <v>2.8</v>
      </c>
      <c r="I3944" t="s">
        <v>39</v>
      </c>
      <c r="J3944" t="s">
        <v>1379</v>
      </c>
      <c r="K3944" s="12">
        <f>Store_Record[[#This Row],[Qty]]*Store_Record[[#This Row],[UnitPriceGBP]]</f>
        <v>2.8</v>
      </c>
      <c r="L3944" s="5" t="str">
        <f>TEXT(Store_Record[[#This Row],[Date]],"dddd")</f>
        <v>Saturday</v>
      </c>
      <c r="M3944" s="5" t="str">
        <f>TEXT(Store_Record[[#This Row],[Date]],"mmmm")</f>
        <v>October</v>
      </c>
      <c r="N3944" s="5">
        <f>YEAR(Store_Record[[#This Row],[Date]])</f>
        <v>2025</v>
      </c>
      <c r="O3944"/>
    </row>
    <row r="3945" spans="1:15" x14ac:dyDescent="0.35">
      <c r="A3945" t="s">
        <v>4936</v>
      </c>
      <c r="B3945" s="2">
        <v>45949</v>
      </c>
      <c r="C3945" t="s">
        <v>24</v>
      </c>
      <c r="D3945" t="s">
        <v>11</v>
      </c>
      <c r="E3945" t="s">
        <v>26</v>
      </c>
      <c r="F3945" t="s">
        <v>13</v>
      </c>
      <c r="G3945">
        <v>5</v>
      </c>
      <c r="H3945">
        <v>3.5</v>
      </c>
      <c r="I3945" t="s">
        <v>21</v>
      </c>
      <c r="J3945" t="s">
        <v>2658</v>
      </c>
      <c r="K3945" s="12">
        <f>Store_Record[[#This Row],[Qty]]*Store_Record[[#This Row],[UnitPriceGBP]]</f>
        <v>17.5</v>
      </c>
      <c r="L3945" s="5" t="str">
        <f>TEXT(Store_Record[[#This Row],[Date]],"dddd")</f>
        <v>Sunday</v>
      </c>
      <c r="M3945" s="5" t="str">
        <f>TEXT(Store_Record[[#This Row],[Date]],"mmmm")</f>
        <v>October</v>
      </c>
      <c r="N3945" s="5">
        <f>YEAR(Store_Record[[#This Row],[Date]])</f>
        <v>2025</v>
      </c>
      <c r="O3945"/>
    </row>
    <row r="3946" spans="1:15" x14ac:dyDescent="0.35">
      <c r="A3946" t="s">
        <v>4941</v>
      </c>
      <c r="B3946" s="2">
        <v>45949</v>
      </c>
      <c r="C3946" t="s">
        <v>10</v>
      </c>
      <c r="D3946" t="s">
        <v>47</v>
      </c>
      <c r="E3946" t="s">
        <v>26</v>
      </c>
      <c r="F3946" t="s">
        <v>13</v>
      </c>
      <c r="G3946">
        <v>5</v>
      </c>
      <c r="H3946">
        <v>3.5</v>
      </c>
      <c r="I3946" t="s">
        <v>39</v>
      </c>
      <c r="J3946" t="s">
        <v>409</v>
      </c>
      <c r="K3946" s="12">
        <f>Store_Record[[#This Row],[Qty]]*Store_Record[[#This Row],[UnitPriceGBP]]</f>
        <v>17.5</v>
      </c>
      <c r="L3946" s="5" t="str">
        <f>TEXT(Store_Record[[#This Row],[Date]],"dddd")</f>
        <v>Sunday</v>
      </c>
      <c r="M3946" s="5" t="str">
        <f>TEXT(Store_Record[[#This Row],[Date]],"mmmm")</f>
        <v>October</v>
      </c>
      <c r="N3946" s="5">
        <f>YEAR(Store_Record[[#This Row],[Date]])</f>
        <v>2025</v>
      </c>
      <c r="O3946"/>
    </row>
    <row r="3947" spans="1:15" x14ac:dyDescent="0.35">
      <c r="A3947" t="s">
        <v>4931</v>
      </c>
      <c r="B3947" s="2">
        <v>45949</v>
      </c>
      <c r="C3947" t="s">
        <v>10</v>
      </c>
      <c r="D3947" t="s">
        <v>38</v>
      </c>
      <c r="E3947" t="s">
        <v>26</v>
      </c>
      <c r="F3947" t="s">
        <v>13</v>
      </c>
      <c r="G3947">
        <v>4</v>
      </c>
      <c r="H3947">
        <v>3.5</v>
      </c>
      <c r="I3947" t="s">
        <v>14</v>
      </c>
      <c r="J3947" t="s">
        <v>426</v>
      </c>
      <c r="K3947" s="12">
        <f>Store_Record[[#This Row],[Qty]]*Store_Record[[#This Row],[UnitPriceGBP]]</f>
        <v>14</v>
      </c>
      <c r="L3947" s="5" t="str">
        <f>TEXT(Store_Record[[#This Row],[Date]],"dddd")</f>
        <v>Sunday</v>
      </c>
      <c r="M3947" s="5" t="str">
        <f>TEXT(Store_Record[[#This Row],[Date]],"mmmm")</f>
        <v>October</v>
      </c>
      <c r="N3947" s="5">
        <f>YEAR(Store_Record[[#This Row],[Date]])</f>
        <v>2025</v>
      </c>
      <c r="O3947"/>
    </row>
    <row r="3948" spans="1:15" x14ac:dyDescent="0.35">
      <c r="A3948" t="s">
        <v>4933</v>
      </c>
      <c r="B3948" s="2">
        <v>45949</v>
      </c>
      <c r="C3948" t="s">
        <v>24</v>
      </c>
      <c r="D3948" t="s">
        <v>47</v>
      </c>
      <c r="E3948" t="s">
        <v>26</v>
      </c>
      <c r="F3948" t="s">
        <v>13</v>
      </c>
      <c r="G3948">
        <v>4</v>
      </c>
      <c r="H3948">
        <v>3.5</v>
      </c>
      <c r="I3948" t="s">
        <v>14</v>
      </c>
      <c r="J3948" t="s">
        <v>349</v>
      </c>
      <c r="K3948" s="12">
        <f>Store_Record[[#This Row],[Qty]]*Store_Record[[#This Row],[UnitPriceGBP]]</f>
        <v>14</v>
      </c>
      <c r="L3948" s="5" t="str">
        <f>TEXT(Store_Record[[#This Row],[Date]],"dddd")</f>
        <v>Sunday</v>
      </c>
      <c r="M3948" s="5" t="str">
        <f>TEXT(Store_Record[[#This Row],[Date]],"mmmm")</f>
        <v>October</v>
      </c>
      <c r="N3948" s="5">
        <f>YEAR(Store_Record[[#This Row],[Date]])</f>
        <v>2025</v>
      </c>
      <c r="O3948"/>
    </row>
    <row r="3949" spans="1:15" x14ac:dyDescent="0.35">
      <c r="A3949" t="s">
        <v>4940</v>
      </c>
      <c r="B3949" s="2">
        <v>45949</v>
      </c>
      <c r="C3949" t="s">
        <v>20</v>
      </c>
      <c r="D3949" t="s">
        <v>38</v>
      </c>
      <c r="E3949" t="s">
        <v>26</v>
      </c>
      <c r="F3949" t="s">
        <v>13</v>
      </c>
      <c r="G3949">
        <v>4</v>
      </c>
      <c r="H3949">
        <v>3.5</v>
      </c>
      <c r="I3949" t="s">
        <v>21</v>
      </c>
      <c r="J3949" t="s">
        <v>1928</v>
      </c>
      <c r="K3949" s="12">
        <f>Store_Record[[#This Row],[Qty]]*Store_Record[[#This Row],[UnitPriceGBP]]</f>
        <v>14</v>
      </c>
      <c r="L3949" s="5" t="str">
        <f>TEXT(Store_Record[[#This Row],[Date]],"dddd")</f>
        <v>Sunday</v>
      </c>
      <c r="M3949" s="5" t="str">
        <f>TEXT(Store_Record[[#This Row],[Date]],"mmmm")</f>
        <v>October</v>
      </c>
      <c r="N3949" s="5">
        <f>YEAR(Store_Record[[#This Row],[Date]])</f>
        <v>2025</v>
      </c>
      <c r="O3949"/>
    </row>
    <row r="3950" spans="1:15" x14ac:dyDescent="0.35">
      <c r="A3950" t="s">
        <v>4930</v>
      </c>
      <c r="B3950" s="2">
        <v>45949</v>
      </c>
      <c r="C3950" t="s">
        <v>36</v>
      </c>
      <c r="D3950" t="s">
        <v>47</v>
      </c>
      <c r="E3950" t="s">
        <v>42</v>
      </c>
      <c r="F3950" t="s">
        <v>13</v>
      </c>
      <c r="G3950">
        <v>3</v>
      </c>
      <c r="H3950">
        <v>3.8</v>
      </c>
      <c r="I3950" t="s">
        <v>14</v>
      </c>
      <c r="J3950" t="s">
        <v>1242</v>
      </c>
      <c r="K3950" s="12">
        <f>Store_Record[[#This Row],[Qty]]*Store_Record[[#This Row],[UnitPriceGBP]]</f>
        <v>11.399999999999999</v>
      </c>
      <c r="L3950" s="5" t="str">
        <f>TEXT(Store_Record[[#This Row],[Date]],"dddd")</f>
        <v>Sunday</v>
      </c>
      <c r="M3950" s="5" t="str">
        <f>TEXT(Store_Record[[#This Row],[Date]],"mmmm")</f>
        <v>October</v>
      </c>
      <c r="N3950" s="5">
        <f>YEAR(Store_Record[[#This Row],[Date]])</f>
        <v>2025</v>
      </c>
      <c r="O3950"/>
    </row>
    <row r="3951" spans="1:15" x14ac:dyDescent="0.35">
      <c r="A3951" t="s">
        <v>4943</v>
      </c>
      <c r="B3951" s="2">
        <v>45949</v>
      </c>
      <c r="C3951" t="s">
        <v>10</v>
      </c>
      <c r="D3951" t="s">
        <v>47</v>
      </c>
      <c r="E3951" t="s">
        <v>30</v>
      </c>
      <c r="F3951" t="s">
        <v>31</v>
      </c>
      <c r="G3951">
        <v>4</v>
      </c>
      <c r="H3951">
        <v>2.8</v>
      </c>
      <c r="I3951" t="s">
        <v>14</v>
      </c>
      <c r="J3951" t="s">
        <v>191</v>
      </c>
      <c r="K3951" s="12">
        <f>Store_Record[[#This Row],[Qty]]*Store_Record[[#This Row],[UnitPriceGBP]]</f>
        <v>11.2</v>
      </c>
      <c r="L3951" s="5" t="str">
        <f>TEXT(Store_Record[[#This Row],[Date]],"dddd")</f>
        <v>Sunday</v>
      </c>
      <c r="M3951" s="5" t="str">
        <f>TEXT(Store_Record[[#This Row],[Date]],"mmmm")</f>
        <v>October</v>
      </c>
      <c r="N3951" s="5">
        <f>YEAR(Store_Record[[#This Row],[Date]])</f>
        <v>2025</v>
      </c>
      <c r="O3951"/>
    </row>
    <row r="3952" spans="1:15" x14ac:dyDescent="0.35">
      <c r="A3952" t="s">
        <v>4934</v>
      </c>
      <c r="B3952" s="2">
        <v>45949</v>
      </c>
      <c r="C3952" t="s">
        <v>24</v>
      </c>
      <c r="D3952" t="s">
        <v>47</v>
      </c>
      <c r="E3952" t="s">
        <v>34</v>
      </c>
      <c r="F3952" t="s">
        <v>31</v>
      </c>
      <c r="G3952">
        <v>4</v>
      </c>
      <c r="H3952">
        <v>2.2000000000000002</v>
      </c>
      <c r="I3952" t="s">
        <v>21</v>
      </c>
      <c r="J3952" t="s">
        <v>941</v>
      </c>
      <c r="K3952" s="12">
        <f>Store_Record[[#This Row],[Qty]]*Store_Record[[#This Row],[UnitPriceGBP]]</f>
        <v>8.8000000000000007</v>
      </c>
      <c r="L3952" s="5" t="str">
        <f>TEXT(Store_Record[[#This Row],[Date]],"dddd")</f>
        <v>Sunday</v>
      </c>
      <c r="M3952" s="5" t="str">
        <f>TEXT(Store_Record[[#This Row],[Date]],"mmmm")</f>
        <v>October</v>
      </c>
      <c r="N3952" s="5">
        <f>YEAR(Store_Record[[#This Row],[Date]])</f>
        <v>2025</v>
      </c>
      <c r="O3952"/>
    </row>
    <row r="3953" spans="1:15" x14ac:dyDescent="0.35">
      <c r="A3953" t="s">
        <v>4938</v>
      </c>
      <c r="B3953" s="2">
        <v>45949</v>
      </c>
      <c r="C3953" t="s">
        <v>10</v>
      </c>
      <c r="D3953" t="s">
        <v>47</v>
      </c>
      <c r="E3953" t="s">
        <v>34</v>
      </c>
      <c r="F3953" t="s">
        <v>31</v>
      </c>
      <c r="G3953">
        <v>4</v>
      </c>
      <c r="H3953">
        <v>2.2000000000000002</v>
      </c>
      <c r="I3953" t="s">
        <v>14</v>
      </c>
      <c r="J3953" t="s">
        <v>189</v>
      </c>
      <c r="K3953" s="12">
        <f>Store_Record[[#This Row],[Qty]]*Store_Record[[#This Row],[UnitPriceGBP]]</f>
        <v>8.8000000000000007</v>
      </c>
      <c r="L3953" s="5" t="str">
        <f>TEXT(Store_Record[[#This Row],[Date]],"dddd")</f>
        <v>Sunday</v>
      </c>
      <c r="M3953" s="5" t="str">
        <f>TEXT(Store_Record[[#This Row],[Date]],"mmmm")</f>
        <v>October</v>
      </c>
      <c r="N3953" s="5">
        <f>YEAR(Store_Record[[#This Row],[Date]])</f>
        <v>2025</v>
      </c>
      <c r="O3953"/>
    </row>
    <row r="3954" spans="1:15" x14ac:dyDescent="0.35">
      <c r="A3954" t="s">
        <v>4932</v>
      </c>
      <c r="B3954" s="2">
        <v>45949</v>
      </c>
      <c r="C3954" t="s">
        <v>20</v>
      </c>
      <c r="D3954" t="s">
        <v>11</v>
      </c>
      <c r="E3954" t="s">
        <v>26</v>
      </c>
      <c r="F3954" t="s">
        <v>13</v>
      </c>
      <c r="G3954">
        <v>2</v>
      </c>
      <c r="H3954">
        <v>3.5</v>
      </c>
      <c r="I3954" t="s">
        <v>14</v>
      </c>
      <c r="J3954" t="s">
        <v>497</v>
      </c>
      <c r="K3954" s="12">
        <f>Store_Record[[#This Row],[Qty]]*Store_Record[[#This Row],[UnitPriceGBP]]</f>
        <v>7</v>
      </c>
      <c r="L3954" s="5" t="str">
        <f>TEXT(Store_Record[[#This Row],[Date]],"dddd")</f>
        <v>Sunday</v>
      </c>
      <c r="M3954" s="5" t="str">
        <f>TEXT(Store_Record[[#This Row],[Date]],"mmmm")</f>
        <v>October</v>
      </c>
      <c r="N3954" s="5">
        <f>YEAR(Store_Record[[#This Row],[Date]])</f>
        <v>2025</v>
      </c>
      <c r="O3954"/>
    </row>
    <row r="3955" spans="1:15" x14ac:dyDescent="0.35">
      <c r="A3955" t="s">
        <v>4937</v>
      </c>
      <c r="B3955" s="2">
        <v>45949</v>
      </c>
      <c r="C3955" t="s">
        <v>20</v>
      </c>
      <c r="D3955" t="s">
        <v>11</v>
      </c>
      <c r="E3955" t="s">
        <v>12</v>
      </c>
      <c r="F3955" t="s">
        <v>13</v>
      </c>
      <c r="G3955">
        <v>2</v>
      </c>
      <c r="H3955">
        <v>2.5</v>
      </c>
      <c r="I3955" t="s">
        <v>14</v>
      </c>
      <c r="J3955" t="s">
        <v>1382</v>
      </c>
      <c r="K3955" s="12">
        <f>Store_Record[[#This Row],[Qty]]*Store_Record[[#This Row],[UnitPriceGBP]]</f>
        <v>5</v>
      </c>
      <c r="L3955" s="5" t="str">
        <f>TEXT(Store_Record[[#This Row],[Date]],"dddd")</f>
        <v>Sunday</v>
      </c>
      <c r="M3955" s="5" t="str">
        <f>TEXT(Store_Record[[#This Row],[Date]],"mmmm")</f>
        <v>October</v>
      </c>
      <c r="N3955" s="5">
        <f>YEAR(Store_Record[[#This Row],[Date]])</f>
        <v>2025</v>
      </c>
      <c r="O3955"/>
    </row>
    <row r="3956" spans="1:15" x14ac:dyDescent="0.35">
      <c r="A3956" t="s">
        <v>4939</v>
      </c>
      <c r="B3956" s="2">
        <v>45949</v>
      </c>
      <c r="C3956" t="s">
        <v>36</v>
      </c>
      <c r="D3956" t="s">
        <v>11</v>
      </c>
      <c r="E3956" t="s">
        <v>34</v>
      </c>
      <c r="F3956" t="s">
        <v>31</v>
      </c>
      <c r="G3956">
        <v>2</v>
      </c>
      <c r="H3956">
        <v>2.2000000000000002</v>
      </c>
      <c r="I3956" t="s">
        <v>21</v>
      </c>
      <c r="J3956" t="s">
        <v>1481</v>
      </c>
      <c r="K3956" s="12">
        <f>Store_Record[[#This Row],[Qty]]*Store_Record[[#This Row],[UnitPriceGBP]]</f>
        <v>4.4000000000000004</v>
      </c>
      <c r="L3956" s="5" t="str">
        <f>TEXT(Store_Record[[#This Row],[Date]],"dddd")</f>
        <v>Sunday</v>
      </c>
      <c r="M3956" s="5" t="str">
        <f>TEXT(Store_Record[[#This Row],[Date]],"mmmm")</f>
        <v>October</v>
      </c>
      <c r="N3956" s="5">
        <f>YEAR(Store_Record[[#This Row],[Date]])</f>
        <v>2025</v>
      </c>
      <c r="O3956"/>
    </row>
    <row r="3957" spans="1:15" x14ac:dyDescent="0.35">
      <c r="A3957" t="s">
        <v>4942</v>
      </c>
      <c r="B3957" s="2">
        <v>45949</v>
      </c>
      <c r="C3957" t="s">
        <v>36</v>
      </c>
      <c r="D3957" t="s">
        <v>29</v>
      </c>
      <c r="E3957" t="s">
        <v>42</v>
      </c>
      <c r="F3957" t="s">
        <v>13</v>
      </c>
      <c r="G3957">
        <v>1</v>
      </c>
      <c r="H3957">
        <v>3.8</v>
      </c>
      <c r="I3957" t="s">
        <v>39</v>
      </c>
      <c r="J3957" t="s">
        <v>406</v>
      </c>
      <c r="K3957" s="12">
        <f>Store_Record[[#This Row],[Qty]]*Store_Record[[#This Row],[UnitPriceGBP]]</f>
        <v>3.8</v>
      </c>
      <c r="L3957" s="5" t="str">
        <f>TEXT(Store_Record[[#This Row],[Date]],"dddd")</f>
        <v>Sunday</v>
      </c>
      <c r="M3957" s="5" t="str">
        <f>TEXT(Store_Record[[#This Row],[Date]],"mmmm")</f>
        <v>October</v>
      </c>
      <c r="N3957" s="5">
        <f>YEAR(Store_Record[[#This Row],[Date]])</f>
        <v>2025</v>
      </c>
      <c r="O3957"/>
    </row>
    <row r="3958" spans="1:15" x14ac:dyDescent="0.35">
      <c r="A3958" t="s">
        <v>4935</v>
      </c>
      <c r="B3958" s="2">
        <v>45949</v>
      </c>
      <c r="C3958" t="s">
        <v>24</v>
      </c>
      <c r="D3958" t="s">
        <v>47</v>
      </c>
      <c r="E3958" t="s">
        <v>12</v>
      </c>
      <c r="F3958" t="s">
        <v>13</v>
      </c>
      <c r="G3958">
        <v>1</v>
      </c>
      <c r="H3958">
        <v>2.5</v>
      </c>
      <c r="I3958" t="s">
        <v>21</v>
      </c>
      <c r="J3958" t="s">
        <v>1833</v>
      </c>
      <c r="K3958" s="12">
        <f>Store_Record[[#This Row],[Qty]]*Store_Record[[#This Row],[UnitPriceGBP]]</f>
        <v>2.5</v>
      </c>
      <c r="L3958" s="5" t="str">
        <f>TEXT(Store_Record[[#This Row],[Date]],"dddd")</f>
        <v>Sunday</v>
      </c>
      <c r="M3958" s="5" t="str">
        <f>TEXT(Store_Record[[#This Row],[Date]],"mmmm")</f>
        <v>October</v>
      </c>
      <c r="N3958" s="5">
        <f>YEAR(Store_Record[[#This Row],[Date]])</f>
        <v>2025</v>
      </c>
      <c r="O3958"/>
    </row>
    <row r="3959" spans="1:15" x14ac:dyDescent="0.35">
      <c r="A3959" t="s">
        <v>4944</v>
      </c>
      <c r="B3959" s="2">
        <v>45950</v>
      </c>
      <c r="C3959" t="s">
        <v>36</v>
      </c>
      <c r="D3959" t="s">
        <v>25</v>
      </c>
      <c r="E3959" t="s">
        <v>26</v>
      </c>
      <c r="F3959" t="s">
        <v>13</v>
      </c>
      <c r="G3959">
        <v>5</v>
      </c>
      <c r="H3959">
        <v>3.5</v>
      </c>
      <c r="I3959" t="s">
        <v>39</v>
      </c>
      <c r="J3959" t="s">
        <v>271</v>
      </c>
      <c r="K3959" s="12">
        <f>Store_Record[[#This Row],[Qty]]*Store_Record[[#This Row],[UnitPriceGBP]]</f>
        <v>17.5</v>
      </c>
      <c r="L3959" s="5" t="str">
        <f>TEXT(Store_Record[[#This Row],[Date]],"dddd")</f>
        <v>Monday</v>
      </c>
      <c r="M3959" s="5" t="str">
        <f>TEXT(Store_Record[[#This Row],[Date]],"mmmm")</f>
        <v>October</v>
      </c>
      <c r="N3959" s="5">
        <f>YEAR(Store_Record[[#This Row],[Date]])</f>
        <v>2025</v>
      </c>
      <c r="O3959"/>
    </row>
    <row r="3960" spans="1:15" x14ac:dyDescent="0.35">
      <c r="A3960" t="s">
        <v>4949</v>
      </c>
      <c r="B3960" s="2">
        <v>45950</v>
      </c>
      <c r="C3960" t="s">
        <v>20</v>
      </c>
      <c r="D3960" t="s">
        <v>29</v>
      </c>
      <c r="E3960" t="s">
        <v>42</v>
      </c>
      <c r="F3960" t="s">
        <v>13</v>
      </c>
      <c r="G3960">
        <v>4</v>
      </c>
      <c r="H3960">
        <v>3.8</v>
      </c>
      <c r="I3960" t="s">
        <v>39</v>
      </c>
      <c r="J3960" t="s">
        <v>105</v>
      </c>
      <c r="K3960" s="12">
        <f>Store_Record[[#This Row],[Qty]]*Store_Record[[#This Row],[UnitPriceGBP]]</f>
        <v>15.2</v>
      </c>
      <c r="L3960" s="5" t="str">
        <f>TEXT(Store_Record[[#This Row],[Date]],"dddd")</f>
        <v>Monday</v>
      </c>
      <c r="M3960" s="5" t="str">
        <f>TEXT(Store_Record[[#This Row],[Date]],"mmmm")</f>
        <v>October</v>
      </c>
      <c r="N3960" s="5">
        <f>YEAR(Store_Record[[#This Row],[Date]])</f>
        <v>2025</v>
      </c>
      <c r="O3960"/>
    </row>
    <row r="3961" spans="1:15" x14ac:dyDescent="0.35">
      <c r="A3961" t="s">
        <v>4947</v>
      </c>
      <c r="B3961" s="2">
        <v>45950</v>
      </c>
      <c r="C3961" t="s">
        <v>24</v>
      </c>
      <c r="D3961" t="s">
        <v>29</v>
      </c>
      <c r="E3961" t="s">
        <v>26</v>
      </c>
      <c r="F3961" t="s">
        <v>13</v>
      </c>
      <c r="G3961">
        <v>4</v>
      </c>
      <c r="H3961">
        <v>3.5</v>
      </c>
      <c r="I3961" t="s">
        <v>39</v>
      </c>
      <c r="J3961" t="s">
        <v>2407</v>
      </c>
      <c r="K3961" s="12">
        <f>Store_Record[[#This Row],[Qty]]*Store_Record[[#This Row],[UnitPriceGBP]]</f>
        <v>14</v>
      </c>
      <c r="L3961" s="5" t="str">
        <f>TEXT(Store_Record[[#This Row],[Date]],"dddd")</f>
        <v>Monday</v>
      </c>
      <c r="M3961" s="5" t="str">
        <f>TEXT(Store_Record[[#This Row],[Date]],"mmmm")</f>
        <v>October</v>
      </c>
      <c r="N3961" s="5">
        <f>YEAR(Store_Record[[#This Row],[Date]])</f>
        <v>2025</v>
      </c>
      <c r="O3961"/>
    </row>
    <row r="3962" spans="1:15" x14ac:dyDescent="0.35">
      <c r="A3962" t="s">
        <v>4953</v>
      </c>
      <c r="B3962" s="2">
        <v>45950</v>
      </c>
      <c r="C3962" t="s">
        <v>36</v>
      </c>
      <c r="D3962" t="s">
        <v>29</v>
      </c>
      <c r="E3962" t="s">
        <v>30</v>
      </c>
      <c r="F3962" t="s">
        <v>31</v>
      </c>
      <c r="G3962">
        <v>4</v>
      </c>
      <c r="H3962">
        <v>2.8</v>
      </c>
      <c r="I3962" t="s">
        <v>39</v>
      </c>
      <c r="J3962" t="s">
        <v>484</v>
      </c>
      <c r="K3962" s="12">
        <f>Store_Record[[#This Row],[Qty]]*Store_Record[[#This Row],[UnitPriceGBP]]</f>
        <v>11.2</v>
      </c>
      <c r="L3962" s="5" t="str">
        <f>TEXT(Store_Record[[#This Row],[Date]],"dddd")</f>
        <v>Monday</v>
      </c>
      <c r="M3962" s="5" t="str">
        <f>TEXT(Store_Record[[#This Row],[Date]],"mmmm")</f>
        <v>October</v>
      </c>
      <c r="N3962" s="5">
        <f>YEAR(Store_Record[[#This Row],[Date]])</f>
        <v>2025</v>
      </c>
      <c r="O3962"/>
    </row>
    <row r="3963" spans="1:15" x14ac:dyDescent="0.35">
      <c r="A3963" t="s">
        <v>4958</v>
      </c>
      <c r="B3963" s="2">
        <v>45950</v>
      </c>
      <c r="C3963" t="s">
        <v>36</v>
      </c>
      <c r="D3963" t="s">
        <v>47</v>
      </c>
      <c r="E3963" t="s">
        <v>30</v>
      </c>
      <c r="F3963" t="s">
        <v>31</v>
      </c>
      <c r="G3963">
        <v>4</v>
      </c>
      <c r="H3963">
        <v>2.8</v>
      </c>
      <c r="I3963" t="s">
        <v>14</v>
      </c>
      <c r="J3963" t="s">
        <v>3331</v>
      </c>
      <c r="K3963" s="12">
        <f>Store_Record[[#This Row],[Qty]]*Store_Record[[#This Row],[UnitPriceGBP]]</f>
        <v>11.2</v>
      </c>
      <c r="L3963" s="5" t="str">
        <f>TEXT(Store_Record[[#This Row],[Date]],"dddd")</f>
        <v>Monday</v>
      </c>
      <c r="M3963" s="5" t="str">
        <f>TEXT(Store_Record[[#This Row],[Date]],"mmmm")</f>
        <v>October</v>
      </c>
      <c r="N3963" s="5">
        <f>YEAR(Store_Record[[#This Row],[Date]])</f>
        <v>2025</v>
      </c>
      <c r="O3963"/>
    </row>
    <row r="3964" spans="1:15" x14ac:dyDescent="0.35">
      <c r="A3964" t="s">
        <v>4957</v>
      </c>
      <c r="B3964" s="2">
        <v>45950</v>
      </c>
      <c r="C3964" t="s">
        <v>36</v>
      </c>
      <c r="D3964" t="s">
        <v>25</v>
      </c>
      <c r="E3964" t="s">
        <v>26</v>
      </c>
      <c r="F3964" t="s">
        <v>13</v>
      </c>
      <c r="G3964">
        <v>3</v>
      </c>
      <c r="H3964">
        <v>3.5</v>
      </c>
      <c r="I3964" t="s">
        <v>21</v>
      </c>
      <c r="J3964" t="s">
        <v>286</v>
      </c>
      <c r="K3964" s="12">
        <f>Store_Record[[#This Row],[Qty]]*Store_Record[[#This Row],[UnitPriceGBP]]</f>
        <v>10.5</v>
      </c>
      <c r="L3964" s="5" t="str">
        <f>TEXT(Store_Record[[#This Row],[Date]],"dddd")</f>
        <v>Monday</v>
      </c>
      <c r="M3964" s="5" t="str">
        <f>TEXT(Store_Record[[#This Row],[Date]],"mmmm")</f>
        <v>October</v>
      </c>
      <c r="N3964" s="5">
        <f>YEAR(Store_Record[[#This Row],[Date]])</f>
        <v>2025</v>
      </c>
      <c r="O3964"/>
    </row>
    <row r="3965" spans="1:15" x14ac:dyDescent="0.35">
      <c r="A3965" t="s">
        <v>4956</v>
      </c>
      <c r="B3965" s="2">
        <v>45950</v>
      </c>
      <c r="C3965" t="s">
        <v>20</v>
      </c>
      <c r="D3965" t="s">
        <v>38</v>
      </c>
      <c r="E3965" t="s">
        <v>34</v>
      </c>
      <c r="F3965" t="s">
        <v>31</v>
      </c>
      <c r="G3965">
        <v>4</v>
      </c>
      <c r="H3965">
        <v>2.2000000000000002</v>
      </c>
      <c r="I3965" t="s">
        <v>39</v>
      </c>
      <c r="J3965" t="s">
        <v>819</v>
      </c>
      <c r="K3965" s="12">
        <f>Store_Record[[#This Row],[Qty]]*Store_Record[[#This Row],[UnitPriceGBP]]</f>
        <v>8.8000000000000007</v>
      </c>
      <c r="L3965" s="5" t="str">
        <f>TEXT(Store_Record[[#This Row],[Date]],"dddd")</f>
        <v>Monday</v>
      </c>
      <c r="M3965" s="5" t="str">
        <f>TEXT(Store_Record[[#This Row],[Date]],"mmmm")</f>
        <v>October</v>
      </c>
      <c r="N3965" s="5">
        <f>YEAR(Store_Record[[#This Row],[Date]])</f>
        <v>2025</v>
      </c>
      <c r="O3965"/>
    </row>
    <row r="3966" spans="1:15" x14ac:dyDescent="0.35">
      <c r="A3966" t="s">
        <v>4954</v>
      </c>
      <c r="B3966" s="2">
        <v>45950</v>
      </c>
      <c r="C3966" t="s">
        <v>36</v>
      </c>
      <c r="D3966" t="s">
        <v>25</v>
      </c>
      <c r="E3966" t="s">
        <v>42</v>
      </c>
      <c r="F3966" t="s">
        <v>13</v>
      </c>
      <c r="G3966">
        <v>2</v>
      </c>
      <c r="H3966">
        <v>3.8</v>
      </c>
      <c r="I3966" t="s">
        <v>39</v>
      </c>
      <c r="J3966" t="s">
        <v>2407</v>
      </c>
      <c r="K3966" s="12">
        <f>Store_Record[[#This Row],[Qty]]*Store_Record[[#This Row],[UnitPriceGBP]]</f>
        <v>7.6</v>
      </c>
      <c r="L3966" s="5" t="str">
        <f>TEXT(Store_Record[[#This Row],[Date]],"dddd")</f>
        <v>Monday</v>
      </c>
      <c r="M3966" s="5" t="str">
        <f>TEXT(Store_Record[[#This Row],[Date]],"mmmm")</f>
        <v>October</v>
      </c>
      <c r="N3966" s="5">
        <f>YEAR(Store_Record[[#This Row],[Date]])</f>
        <v>2025</v>
      </c>
      <c r="O3966"/>
    </row>
    <row r="3967" spans="1:15" x14ac:dyDescent="0.35">
      <c r="A3967" t="s">
        <v>4946</v>
      </c>
      <c r="B3967" s="2">
        <v>45950</v>
      </c>
      <c r="C3967" t="s">
        <v>36</v>
      </c>
      <c r="D3967" t="s">
        <v>38</v>
      </c>
      <c r="E3967" t="s">
        <v>12</v>
      </c>
      <c r="F3967" t="s">
        <v>13</v>
      </c>
      <c r="G3967">
        <v>3</v>
      </c>
      <c r="H3967">
        <v>2.5</v>
      </c>
      <c r="I3967" t="s">
        <v>39</v>
      </c>
      <c r="J3967" t="s">
        <v>815</v>
      </c>
      <c r="K3967" s="12">
        <f>Store_Record[[#This Row],[Qty]]*Store_Record[[#This Row],[UnitPriceGBP]]</f>
        <v>7.5</v>
      </c>
      <c r="L3967" s="5" t="str">
        <f>TEXT(Store_Record[[#This Row],[Date]],"dddd")</f>
        <v>Monday</v>
      </c>
      <c r="M3967" s="5" t="str">
        <f>TEXT(Store_Record[[#This Row],[Date]],"mmmm")</f>
        <v>October</v>
      </c>
      <c r="N3967" s="5">
        <f>YEAR(Store_Record[[#This Row],[Date]])</f>
        <v>2025</v>
      </c>
      <c r="O3967"/>
    </row>
    <row r="3968" spans="1:15" x14ac:dyDescent="0.35">
      <c r="A3968" t="s">
        <v>4948</v>
      </c>
      <c r="B3968" s="2">
        <v>45950</v>
      </c>
      <c r="C3968" t="s">
        <v>20</v>
      </c>
      <c r="D3968" t="s">
        <v>29</v>
      </c>
      <c r="E3968" t="s">
        <v>34</v>
      </c>
      <c r="F3968" t="s">
        <v>31</v>
      </c>
      <c r="G3968">
        <v>3</v>
      </c>
      <c r="H3968">
        <v>2.2000000000000002</v>
      </c>
      <c r="I3968" t="s">
        <v>39</v>
      </c>
      <c r="J3968" t="s">
        <v>2466</v>
      </c>
      <c r="K3968" s="12">
        <f>Store_Record[[#This Row],[Qty]]*Store_Record[[#This Row],[UnitPriceGBP]]</f>
        <v>6.6000000000000005</v>
      </c>
      <c r="L3968" s="5" t="str">
        <f>TEXT(Store_Record[[#This Row],[Date]],"dddd")</f>
        <v>Monday</v>
      </c>
      <c r="M3968" s="5" t="str">
        <f>TEXT(Store_Record[[#This Row],[Date]],"mmmm")</f>
        <v>October</v>
      </c>
      <c r="N3968" s="5">
        <f>YEAR(Store_Record[[#This Row],[Date]])</f>
        <v>2025</v>
      </c>
      <c r="O3968"/>
    </row>
    <row r="3969" spans="1:15" x14ac:dyDescent="0.35">
      <c r="A3969" t="s">
        <v>4955</v>
      </c>
      <c r="B3969" s="2">
        <v>45950</v>
      </c>
      <c r="C3969" t="s">
        <v>20</v>
      </c>
      <c r="D3969" t="s">
        <v>38</v>
      </c>
      <c r="E3969" t="s">
        <v>34</v>
      </c>
      <c r="F3969" t="s">
        <v>31</v>
      </c>
      <c r="G3969">
        <v>3</v>
      </c>
      <c r="H3969">
        <v>2.2000000000000002</v>
      </c>
      <c r="I3969" t="s">
        <v>39</v>
      </c>
      <c r="J3969" t="s">
        <v>1751</v>
      </c>
      <c r="K3969" s="12">
        <f>Store_Record[[#This Row],[Qty]]*Store_Record[[#This Row],[UnitPriceGBP]]</f>
        <v>6.6000000000000005</v>
      </c>
      <c r="L3969" s="5" t="str">
        <f>TEXT(Store_Record[[#This Row],[Date]],"dddd")</f>
        <v>Monday</v>
      </c>
      <c r="M3969" s="5" t="str">
        <f>TEXT(Store_Record[[#This Row],[Date]],"mmmm")</f>
        <v>October</v>
      </c>
      <c r="N3969" s="5">
        <f>YEAR(Store_Record[[#This Row],[Date]])</f>
        <v>2025</v>
      </c>
      <c r="O3969"/>
    </row>
    <row r="3970" spans="1:15" x14ac:dyDescent="0.35">
      <c r="A3970" t="s">
        <v>4951</v>
      </c>
      <c r="B3970" s="2">
        <v>45950</v>
      </c>
      <c r="C3970" t="s">
        <v>20</v>
      </c>
      <c r="D3970" t="s">
        <v>11</v>
      </c>
      <c r="E3970" t="s">
        <v>34</v>
      </c>
      <c r="F3970" t="s">
        <v>31</v>
      </c>
      <c r="G3970">
        <v>2</v>
      </c>
      <c r="H3970">
        <v>2.2000000000000002</v>
      </c>
      <c r="I3970" t="s">
        <v>39</v>
      </c>
      <c r="J3970" t="s">
        <v>936</v>
      </c>
      <c r="K3970" s="12">
        <f>Store_Record[[#This Row],[Qty]]*Store_Record[[#This Row],[UnitPriceGBP]]</f>
        <v>4.4000000000000004</v>
      </c>
      <c r="L3970" s="5" t="str">
        <f>TEXT(Store_Record[[#This Row],[Date]],"dddd")</f>
        <v>Monday</v>
      </c>
      <c r="M3970" s="5" t="str">
        <f>TEXT(Store_Record[[#This Row],[Date]],"mmmm")</f>
        <v>October</v>
      </c>
      <c r="N3970" s="5">
        <f>YEAR(Store_Record[[#This Row],[Date]])</f>
        <v>2025</v>
      </c>
      <c r="O3970"/>
    </row>
    <row r="3971" spans="1:15" x14ac:dyDescent="0.35">
      <c r="A3971" t="s">
        <v>4950</v>
      </c>
      <c r="B3971" s="2">
        <v>45950</v>
      </c>
      <c r="C3971" t="s">
        <v>24</v>
      </c>
      <c r="D3971" t="s">
        <v>11</v>
      </c>
      <c r="E3971" t="s">
        <v>42</v>
      </c>
      <c r="F3971" t="s">
        <v>13</v>
      </c>
      <c r="G3971">
        <v>1</v>
      </c>
      <c r="H3971">
        <v>3.8</v>
      </c>
      <c r="I3971" t="s">
        <v>14</v>
      </c>
      <c r="J3971" t="s">
        <v>730</v>
      </c>
      <c r="K3971" s="12">
        <f>Store_Record[[#This Row],[Qty]]*Store_Record[[#This Row],[UnitPriceGBP]]</f>
        <v>3.8</v>
      </c>
      <c r="L3971" s="5" t="str">
        <f>TEXT(Store_Record[[#This Row],[Date]],"dddd")</f>
        <v>Monday</v>
      </c>
      <c r="M3971" s="5" t="str">
        <f>TEXT(Store_Record[[#This Row],[Date]],"mmmm")</f>
        <v>October</v>
      </c>
      <c r="N3971" s="5">
        <f>YEAR(Store_Record[[#This Row],[Date]])</f>
        <v>2025</v>
      </c>
      <c r="O3971"/>
    </row>
    <row r="3972" spans="1:15" x14ac:dyDescent="0.35">
      <c r="A3972" t="s">
        <v>4952</v>
      </c>
      <c r="B3972" s="2">
        <v>45950</v>
      </c>
      <c r="C3972" t="s">
        <v>24</v>
      </c>
      <c r="D3972" t="s">
        <v>38</v>
      </c>
      <c r="E3972" t="s">
        <v>42</v>
      </c>
      <c r="F3972" t="s">
        <v>13</v>
      </c>
      <c r="G3972">
        <v>1</v>
      </c>
      <c r="H3972">
        <v>3.8</v>
      </c>
      <c r="I3972" t="s">
        <v>21</v>
      </c>
      <c r="J3972" t="s">
        <v>941</v>
      </c>
      <c r="K3972" s="12">
        <f>Store_Record[[#This Row],[Qty]]*Store_Record[[#This Row],[UnitPriceGBP]]</f>
        <v>3.8</v>
      </c>
      <c r="L3972" s="5" t="str">
        <f>TEXT(Store_Record[[#This Row],[Date]],"dddd")</f>
        <v>Monday</v>
      </c>
      <c r="M3972" s="5" t="str">
        <f>TEXT(Store_Record[[#This Row],[Date]],"mmmm")</f>
        <v>October</v>
      </c>
      <c r="N3972" s="5">
        <f>YEAR(Store_Record[[#This Row],[Date]])</f>
        <v>2025</v>
      </c>
      <c r="O3972"/>
    </row>
    <row r="3973" spans="1:15" x14ac:dyDescent="0.35">
      <c r="A3973" t="s">
        <v>4959</v>
      </c>
      <c r="B3973" s="2">
        <v>45950</v>
      </c>
      <c r="C3973" t="s">
        <v>36</v>
      </c>
      <c r="D3973" t="s">
        <v>29</v>
      </c>
      <c r="E3973" t="s">
        <v>26</v>
      </c>
      <c r="F3973" t="s">
        <v>13</v>
      </c>
      <c r="G3973">
        <v>1</v>
      </c>
      <c r="H3973">
        <v>3.5</v>
      </c>
      <c r="I3973" t="s">
        <v>39</v>
      </c>
      <c r="J3973" t="s">
        <v>2166</v>
      </c>
      <c r="K3973" s="12">
        <f>Store_Record[[#This Row],[Qty]]*Store_Record[[#This Row],[UnitPriceGBP]]</f>
        <v>3.5</v>
      </c>
      <c r="L3973" s="5" t="str">
        <f>TEXT(Store_Record[[#This Row],[Date]],"dddd")</f>
        <v>Monday</v>
      </c>
      <c r="M3973" s="5" t="str">
        <f>TEXT(Store_Record[[#This Row],[Date]],"mmmm")</f>
        <v>October</v>
      </c>
      <c r="N3973" s="5">
        <f>YEAR(Store_Record[[#This Row],[Date]])</f>
        <v>2025</v>
      </c>
      <c r="O3973"/>
    </row>
    <row r="3974" spans="1:15" x14ac:dyDescent="0.35">
      <c r="A3974" t="s">
        <v>4945</v>
      </c>
      <c r="B3974" s="2">
        <v>45950</v>
      </c>
      <c r="C3974" t="s">
        <v>24</v>
      </c>
      <c r="D3974" t="s">
        <v>29</v>
      </c>
      <c r="E3974" t="s">
        <v>34</v>
      </c>
      <c r="F3974" t="s">
        <v>31</v>
      </c>
      <c r="G3974">
        <v>1</v>
      </c>
      <c r="H3974">
        <v>2.2000000000000002</v>
      </c>
      <c r="I3974" t="s">
        <v>21</v>
      </c>
      <c r="J3974" t="s">
        <v>271</v>
      </c>
      <c r="K3974" s="12">
        <f>Store_Record[[#This Row],[Qty]]*Store_Record[[#This Row],[UnitPriceGBP]]</f>
        <v>2.2000000000000002</v>
      </c>
      <c r="L3974" s="5" t="str">
        <f>TEXT(Store_Record[[#This Row],[Date]],"dddd")</f>
        <v>Monday</v>
      </c>
      <c r="M3974" s="5" t="str">
        <f>TEXT(Store_Record[[#This Row],[Date]],"mmmm")</f>
        <v>October</v>
      </c>
      <c r="N3974" s="5">
        <f>YEAR(Store_Record[[#This Row],[Date]])</f>
        <v>2025</v>
      </c>
      <c r="O3974"/>
    </row>
    <row r="3975" spans="1:15" x14ac:dyDescent="0.35">
      <c r="A3975" t="s">
        <v>4972</v>
      </c>
      <c r="B3975" s="2">
        <v>45951</v>
      </c>
      <c r="C3975" t="s">
        <v>36</v>
      </c>
      <c r="D3975" t="s">
        <v>29</v>
      </c>
      <c r="E3975" t="s">
        <v>42</v>
      </c>
      <c r="F3975" t="s">
        <v>13</v>
      </c>
      <c r="G3975">
        <v>5</v>
      </c>
      <c r="H3975">
        <v>3.8</v>
      </c>
      <c r="I3975" t="s">
        <v>14</v>
      </c>
      <c r="J3975" t="s">
        <v>191</v>
      </c>
      <c r="K3975" s="12">
        <f>Store_Record[[#This Row],[Qty]]*Store_Record[[#This Row],[UnitPriceGBP]]</f>
        <v>19</v>
      </c>
      <c r="L3975" s="5" t="str">
        <f>TEXT(Store_Record[[#This Row],[Date]],"dddd")</f>
        <v>Tuesday</v>
      </c>
      <c r="M3975" s="5" t="str">
        <f>TEXT(Store_Record[[#This Row],[Date]],"mmmm")</f>
        <v>October</v>
      </c>
      <c r="N3975" s="5">
        <f>YEAR(Store_Record[[#This Row],[Date]])</f>
        <v>2025</v>
      </c>
      <c r="O3975"/>
    </row>
    <row r="3976" spans="1:15" x14ac:dyDescent="0.35">
      <c r="A3976" t="s">
        <v>4967</v>
      </c>
      <c r="B3976" s="2">
        <v>45951</v>
      </c>
      <c r="C3976" t="s">
        <v>36</v>
      </c>
      <c r="D3976" t="s">
        <v>29</v>
      </c>
      <c r="E3976" t="s">
        <v>26</v>
      </c>
      <c r="F3976" t="s">
        <v>13</v>
      </c>
      <c r="G3976">
        <v>5</v>
      </c>
      <c r="H3976">
        <v>3.5</v>
      </c>
      <c r="I3976" t="s">
        <v>39</v>
      </c>
      <c r="J3976" t="s">
        <v>965</v>
      </c>
      <c r="K3976" s="12">
        <f>Store_Record[[#This Row],[Qty]]*Store_Record[[#This Row],[UnitPriceGBP]]</f>
        <v>17.5</v>
      </c>
      <c r="L3976" s="5" t="str">
        <f>TEXT(Store_Record[[#This Row],[Date]],"dddd")</f>
        <v>Tuesday</v>
      </c>
      <c r="M3976" s="5" t="str">
        <f>TEXT(Store_Record[[#This Row],[Date]],"mmmm")</f>
        <v>October</v>
      </c>
      <c r="N3976" s="5">
        <f>YEAR(Store_Record[[#This Row],[Date]])</f>
        <v>2025</v>
      </c>
      <c r="O3976"/>
    </row>
    <row r="3977" spans="1:15" x14ac:dyDescent="0.35">
      <c r="A3977" t="s">
        <v>4965</v>
      </c>
      <c r="B3977" s="2">
        <v>45951</v>
      </c>
      <c r="C3977" t="s">
        <v>36</v>
      </c>
      <c r="D3977" t="s">
        <v>152</v>
      </c>
      <c r="E3977" t="s">
        <v>26</v>
      </c>
      <c r="F3977" t="s">
        <v>13</v>
      </c>
      <c r="G3977">
        <v>4</v>
      </c>
      <c r="H3977">
        <v>3.5</v>
      </c>
      <c r="I3977" t="s">
        <v>14</v>
      </c>
      <c r="J3977" t="s">
        <v>97</v>
      </c>
      <c r="K3977" s="12">
        <f>Store_Record[[#This Row],[Qty]]*Store_Record[[#This Row],[UnitPriceGBP]]</f>
        <v>14</v>
      </c>
      <c r="L3977" s="5" t="str">
        <f>TEXT(Store_Record[[#This Row],[Date]],"dddd")</f>
        <v>Tuesday</v>
      </c>
      <c r="M3977" s="5" t="str">
        <f>TEXT(Store_Record[[#This Row],[Date]],"mmmm")</f>
        <v>October</v>
      </c>
      <c r="N3977" s="5">
        <f>YEAR(Store_Record[[#This Row],[Date]])</f>
        <v>2025</v>
      </c>
      <c r="O3977"/>
    </row>
    <row r="3978" spans="1:15" x14ac:dyDescent="0.35">
      <c r="A3978" t="s">
        <v>4970</v>
      </c>
      <c r="B3978" s="2">
        <v>45951</v>
      </c>
      <c r="C3978" t="s">
        <v>36</v>
      </c>
      <c r="D3978" t="s">
        <v>11</v>
      </c>
      <c r="E3978" t="s">
        <v>30</v>
      </c>
      <c r="F3978" t="s">
        <v>31</v>
      </c>
      <c r="G3978">
        <v>5</v>
      </c>
      <c r="H3978">
        <v>2.8</v>
      </c>
      <c r="I3978" t="s">
        <v>14</v>
      </c>
      <c r="J3978" t="s">
        <v>778</v>
      </c>
      <c r="K3978" s="12">
        <f>Store_Record[[#This Row],[Qty]]*Store_Record[[#This Row],[UnitPriceGBP]]</f>
        <v>14</v>
      </c>
      <c r="L3978" s="5" t="str">
        <f>TEXT(Store_Record[[#This Row],[Date]],"dddd")</f>
        <v>Tuesday</v>
      </c>
      <c r="M3978" s="5" t="str">
        <f>TEXT(Store_Record[[#This Row],[Date]],"mmmm")</f>
        <v>October</v>
      </c>
      <c r="N3978" s="5">
        <f>YEAR(Store_Record[[#This Row],[Date]])</f>
        <v>2025</v>
      </c>
      <c r="O3978"/>
    </row>
    <row r="3979" spans="1:15" x14ac:dyDescent="0.35">
      <c r="A3979" t="s">
        <v>4973</v>
      </c>
      <c r="B3979" s="2">
        <v>45951</v>
      </c>
      <c r="C3979" t="s">
        <v>10</v>
      </c>
      <c r="D3979" t="s">
        <v>38</v>
      </c>
      <c r="E3979" t="s">
        <v>30</v>
      </c>
      <c r="F3979" t="s">
        <v>31</v>
      </c>
      <c r="G3979">
        <v>4</v>
      </c>
      <c r="H3979">
        <v>2.8</v>
      </c>
      <c r="I3979" t="s">
        <v>39</v>
      </c>
      <c r="J3979" t="s">
        <v>2850</v>
      </c>
      <c r="K3979" s="12">
        <f>Store_Record[[#This Row],[Qty]]*Store_Record[[#This Row],[UnitPriceGBP]]</f>
        <v>11.2</v>
      </c>
      <c r="L3979" s="5" t="str">
        <f>TEXT(Store_Record[[#This Row],[Date]],"dddd")</f>
        <v>Tuesday</v>
      </c>
      <c r="M3979" s="5" t="str">
        <f>TEXT(Store_Record[[#This Row],[Date]],"mmmm")</f>
        <v>October</v>
      </c>
      <c r="N3979" s="5">
        <f>YEAR(Store_Record[[#This Row],[Date]])</f>
        <v>2025</v>
      </c>
      <c r="O3979"/>
    </row>
    <row r="3980" spans="1:15" x14ac:dyDescent="0.35">
      <c r="A3980" t="s">
        <v>4974</v>
      </c>
      <c r="B3980" s="2">
        <v>45951</v>
      </c>
      <c r="C3980" t="s">
        <v>24</v>
      </c>
      <c r="D3980" t="s">
        <v>38</v>
      </c>
      <c r="E3980" t="s">
        <v>30</v>
      </c>
      <c r="F3980" t="s">
        <v>31</v>
      </c>
      <c r="G3980">
        <v>4</v>
      </c>
      <c r="H3980">
        <v>2.8</v>
      </c>
      <c r="I3980" t="s">
        <v>39</v>
      </c>
      <c r="J3980" t="s">
        <v>2649</v>
      </c>
      <c r="K3980" s="12">
        <f>Store_Record[[#This Row],[Qty]]*Store_Record[[#This Row],[UnitPriceGBP]]</f>
        <v>11.2</v>
      </c>
      <c r="L3980" s="5" t="str">
        <f>TEXT(Store_Record[[#This Row],[Date]],"dddd")</f>
        <v>Tuesday</v>
      </c>
      <c r="M3980" s="5" t="str">
        <f>TEXT(Store_Record[[#This Row],[Date]],"mmmm")</f>
        <v>October</v>
      </c>
      <c r="N3980" s="5">
        <f>YEAR(Store_Record[[#This Row],[Date]])</f>
        <v>2025</v>
      </c>
      <c r="O3980"/>
    </row>
    <row r="3981" spans="1:15" x14ac:dyDescent="0.35">
      <c r="A3981" t="s">
        <v>4963</v>
      </c>
      <c r="B3981" s="2">
        <v>45951</v>
      </c>
      <c r="C3981" t="s">
        <v>20</v>
      </c>
      <c r="D3981" t="s">
        <v>29</v>
      </c>
      <c r="E3981" t="s">
        <v>34</v>
      </c>
      <c r="F3981" t="s">
        <v>31</v>
      </c>
      <c r="G3981">
        <v>5</v>
      </c>
      <c r="H3981">
        <v>2.2000000000000002</v>
      </c>
      <c r="I3981" t="s">
        <v>14</v>
      </c>
      <c r="J3981" t="s">
        <v>910</v>
      </c>
      <c r="K3981" s="12">
        <f>Store_Record[[#This Row],[Qty]]*Store_Record[[#This Row],[UnitPriceGBP]]</f>
        <v>11</v>
      </c>
      <c r="L3981" s="5" t="str">
        <f>TEXT(Store_Record[[#This Row],[Date]],"dddd")</f>
        <v>Tuesday</v>
      </c>
      <c r="M3981" s="5" t="str">
        <f>TEXT(Store_Record[[#This Row],[Date]],"mmmm")</f>
        <v>October</v>
      </c>
      <c r="N3981" s="5">
        <f>YEAR(Store_Record[[#This Row],[Date]])</f>
        <v>2025</v>
      </c>
      <c r="O3981"/>
    </row>
    <row r="3982" spans="1:15" x14ac:dyDescent="0.35">
      <c r="A3982" t="s">
        <v>4960</v>
      </c>
      <c r="B3982" s="2">
        <v>45951</v>
      </c>
      <c r="C3982" t="s">
        <v>36</v>
      </c>
      <c r="D3982" t="s">
        <v>29</v>
      </c>
      <c r="E3982" t="s">
        <v>26</v>
      </c>
      <c r="F3982" t="s">
        <v>13</v>
      </c>
      <c r="G3982">
        <v>3</v>
      </c>
      <c r="H3982">
        <v>3.5</v>
      </c>
      <c r="I3982" t="s">
        <v>39</v>
      </c>
      <c r="J3982" t="s">
        <v>1042</v>
      </c>
      <c r="K3982" s="12">
        <f>Store_Record[[#This Row],[Qty]]*Store_Record[[#This Row],[UnitPriceGBP]]</f>
        <v>10.5</v>
      </c>
      <c r="L3982" s="5" t="str">
        <f>TEXT(Store_Record[[#This Row],[Date]],"dddd")</f>
        <v>Tuesday</v>
      </c>
      <c r="M3982" s="5" t="str">
        <f>TEXT(Store_Record[[#This Row],[Date]],"mmmm")</f>
        <v>October</v>
      </c>
      <c r="N3982" s="5">
        <f>YEAR(Store_Record[[#This Row],[Date]])</f>
        <v>2025</v>
      </c>
      <c r="O3982"/>
    </row>
    <row r="3983" spans="1:15" x14ac:dyDescent="0.35">
      <c r="A3983" t="s">
        <v>4964</v>
      </c>
      <c r="B3983" s="2">
        <v>45951</v>
      </c>
      <c r="C3983" t="s">
        <v>10</v>
      </c>
      <c r="D3983" t="s">
        <v>25</v>
      </c>
      <c r="E3983" t="s">
        <v>12</v>
      </c>
      <c r="F3983" t="s">
        <v>13</v>
      </c>
      <c r="G3983">
        <v>4</v>
      </c>
      <c r="H3983">
        <v>2.5</v>
      </c>
      <c r="I3983" t="s">
        <v>21</v>
      </c>
      <c r="J3983" t="s">
        <v>93</v>
      </c>
      <c r="K3983" s="12">
        <f>Store_Record[[#This Row],[Qty]]*Store_Record[[#This Row],[UnitPriceGBP]]</f>
        <v>10</v>
      </c>
      <c r="L3983" s="5" t="str">
        <f>TEXT(Store_Record[[#This Row],[Date]],"dddd")</f>
        <v>Tuesday</v>
      </c>
      <c r="M3983" s="5" t="str">
        <f>TEXT(Store_Record[[#This Row],[Date]],"mmmm")</f>
        <v>October</v>
      </c>
      <c r="N3983" s="5">
        <f>YEAR(Store_Record[[#This Row],[Date]])</f>
        <v>2025</v>
      </c>
      <c r="O3983"/>
    </row>
    <row r="3984" spans="1:15" x14ac:dyDescent="0.35">
      <c r="A3984" t="s">
        <v>4968</v>
      </c>
      <c r="B3984" s="2">
        <v>45951</v>
      </c>
      <c r="C3984" t="s">
        <v>24</v>
      </c>
      <c r="D3984" t="s">
        <v>29</v>
      </c>
      <c r="E3984" t="s">
        <v>30</v>
      </c>
      <c r="F3984" t="s">
        <v>31</v>
      </c>
      <c r="G3984">
        <v>3</v>
      </c>
      <c r="H3984">
        <v>2.8</v>
      </c>
      <c r="I3984" t="s">
        <v>21</v>
      </c>
      <c r="J3984" t="s">
        <v>1090</v>
      </c>
      <c r="K3984" s="12">
        <f>Store_Record[[#This Row],[Qty]]*Store_Record[[#This Row],[UnitPriceGBP]]</f>
        <v>8.3999999999999986</v>
      </c>
      <c r="L3984" s="5" t="str">
        <f>TEXT(Store_Record[[#This Row],[Date]],"dddd")</f>
        <v>Tuesday</v>
      </c>
      <c r="M3984" s="5" t="str">
        <f>TEXT(Store_Record[[#This Row],[Date]],"mmmm")</f>
        <v>October</v>
      </c>
      <c r="N3984" s="5">
        <f>YEAR(Store_Record[[#This Row],[Date]])</f>
        <v>2025</v>
      </c>
      <c r="O3984"/>
    </row>
    <row r="3985" spans="1:15" x14ac:dyDescent="0.35">
      <c r="A3985" t="s">
        <v>4971</v>
      </c>
      <c r="B3985" s="2">
        <v>45951</v>
      </c>
      <c r="C3985" t="s">
        <v>36</v>
      </c>
      <c r="D3985" t="s">
        <v>25</v>
      </c>
      <c r="E3985" t="s">
        <v>30</v>
      </c>
      <c r="F3985" t="s">
        <v>31</v>
      </c>
      <c r="G3985">
        <v>3</v>
      </c>
      <c r="H3985">
        <v>2.8</v>
      </c>
      <c r="I3985" t="s">
        <v>14</v>
      </c>
      <c r="J3985" t="s">
        <v>216</v>
      </c>
      <c r="K3985" s="12">
        <f>Store_Record[[#This Row],[Qty]]*Store_Record[[#This Row],[UnitPriceGBP]]</f>
        <v>8.3999999999999986</v>
      </c>
      <c r="L3985" s="5" t="str">
        <f>TEXT(Store_Record[[#This Row],[Date]],"dddd")</f>
        <v>Tuesday</v>
      </c>
      <c r="M3985" s="5" t="str">
        <f>TEXT(Store_Record[[#This Row],[Date]],"mmmm")</f>
        <v>October</v>
      </c>
      <c r="N3985" s="5">
        <f>YEAR(Store_Record[[#This Row],[Date]])</f>
        <v>2025</v>
      </c>
      <c r="O3985"/>
    </row>
    <row r="3986" spans="1:15" x14ac:dyDescent="0.35">
      <c r="A3986" t="s">
        <v>4977</v>
      </c>
      <c r="B3986" s="2">
        <v>45951</v>
      </c>
      <c r="C3986" t="s">
        <v>36</v>
      </c>
      <c r="D3986" t="s">
        <v>11</v>
      </c>
      <c r="E3986" t="s">
        <v>26</v>
      </c>
      <c r="F3986" t="s">
        <v>13</v>
      </c>
      <c r="G3986">
        <v>2</v>
      </c>
      <c r="H3986">
        <v>3.5</v>
      </c>
      <c r="I3986" t="s">
        <v>21</v>
      </c>
      <c r="J3986" t="s">
        <v>551</v>
      </c>
      <c r="K3986" s="12">
        <f>Store_Record[[#This Row],[Qty]]*Store_Record[[#This Row],[UnitPriceGBP]]</f>
        <v>7</v>
      </c>
      <c r="L3986" s="5" t="str">
        <f>TEXT(Store_Record[[#This Row],[Date]],"dddd")</f>
        <v>Tuesday</v>
      </c>
      <c r="M3986" s="5" t="str">
        <f>TEXT(Store_Record[[#This Row],[Date]],"mmmm")</f>
        <v>October</v>
      </c>
      <c r="N3986" s="5">
        <f>YEAR(Store_Record[[#This Row],[Date]])</f>
        <v>2025</v>
      </c>
      <c r="O3986"/>
    </row>
    <row r="3987" spans="1:15" x14ac:dyDescent="0.35">
      <c r="A3987" t="s">
        <v>4962</v>
      </c>
      <c r="B3987" s="2">
        <v>45951</v>
      </c>
      <c r="C3987" t="s">
        <v>24</v>
      </c>
      <c r="D3987" t="s">
        <v>47</v>
      </c>
      <c r="E3987" t="s">
        <v>30</v>
      </c>
      <c r="F3987" t="s">
        <v>31</v>
      </c>
      <c r="G3987">
        <v>2</v>
      </c>
      <c r="H3987">
        <v>2.8</v>
      </c>
      <c r="I3987" t="s">
        <v>39</v>
      </c>
      <c r="J3987" t="s">
        <v>1036</v>
      </c>
      <c r="K3987" s="12">
        <f>Store_Record[[#This Row],[Qty]]*Store_Record[[#This Row],[UnitPriceGBP]]</f>
        <v>5.6</v>
      </c>
      <c r="L3987" s="5" t="str">
        <f>TEXT(Store_Record[[#This Row],[Date]],"dddd")</f>
        <v>Tuesday</v>
      </c>
      <c r="M3987" s="5" t="str">
        <f>TEXT(Store_Record[[#This Row],[Date]],"mmmm")</f>
        <v>October</v>
      </c>
      <c r="N3987" s="5">
        <f>YEAR(Store_Record[[#This Row],[Date]])</f>
        <v>2025</v>
      </c>
      <c r="O3987"/>
    </row>
    <row r="3988" spans="1:15" x14ac:dyDescent="0.35">
      <c r="A3988" t="s">
        <v>4966</v>
      </c>
      <c r="B3988" s="2">
        <v>45951</v>
      </c>
      <c r="C3988" t="s">
        <v>24</v>
      </c>
      <c r="D3988" t="s">
        <v>152</v>
      </c>
      <c r="E3988" t="s">
        <v>12</v>
      </c>
      <c r="F3988" t="s">
        <v>13</v>
      </c>
      <c r="G3988">
        <v>2</v>
      </c>
      <c r="H3988">
        <v>2.5</v>
      </c>
      <c r="I3988" t="s">
        <v>14</v>
      </c>
      <c r="J3988" t="s">
        <v>4795</v>
      </c>
      <c r="K3988" s="12">
        <f>Store_Record[[#This Row],[Qty]]*Store_Record[[#This Row],[UnitPriceGBP]]</f>
        <v>5</v>
      </c>
      <c r="L3988" s="5" t="str">
        <f>TEXT(Store_Record[[#This Row],[Date]],"dddd")</f>
        <v>Tuesday</v>
      </c>
      <c r="M3988" s="5" t="str">
        <f>TEXT(Store_Record[[#This Row],[Date]],"mmmm")</f>
        <v>October</v>
      </c>
      <c r="N3988" s="5">
        <f>YEAR(Store_Record[[#This Row],[Date]])</f>
        <v>2025</v>
      </c>
      <c r="O3988"/>
    </row>
    <row r="3989" spans="1:15" x14ac:dyDescent="0.35">
      <c r="A3989" t="s">
        <v>4969</v>
      </c>
      <c r="B3989" s="2">
        <v>45951</v>
      </c>
      <c r="C3989" t="s">
        <v>20</v>
      </c>
      <c r="D3989" t="s">
        <v>47</v>
      </c>
      <c r="E3989" t="s">
        <v>34</v>
      </c>
      <c r="F3989" t="s">
        <v>31</v>
      </c>
      <c r="G3989">
        <v>2</v>
      </c>
      <c r="H3989">
        <v>2.2000000000000002</v>
      </c>
      <c r="I3989" t="s">
        <v>14</v>
      </c>
      <c r="J3989" t="s">
        <v>659</v>
      </c>
      <c r="K3989" s="12">
        <f>Store_Record[[#This Row],[Qty]]*Store_Record[[#This Row],[UnitPriceGBP]]</f>
        <v>4.4000000000000004</v>
      </c>
      <c r="L3989" s="5" t="str">
        <f>TEXT(Store_Record[[#This Row],[Date]],"dddd")</f>
        <v>Tuesday</v>
      </c>
      <c r="M3989" s="5" t="str">
        <f>TEXT(Store_Record[[#This Row],[Date]],"mmmm")</f>
        <v>October</v>
      </c>
      <c r="N3989" s="5">
        <f>YEAR(Store_Record[[#This Row],[Date]])</f>
        <v>2025</v>
      </c>
      <c r="O3989"/>
    </row>
    <row r="3990" spans="1:15" x14ac:dyDescent="0.35">
      <c r="A3990" t="s">
        <v>4975</v>
      </c>
      <c r="B3990" s="2">
        <v>45951</v>
      </c>
      <c r="C3990" t="s">
        <v>24</v>
      </c>
      <c r="D3990" t="s">
        <v>25</v>
      </c>
      <c r="E3990" t="s">
        <v>34</v>
      </c>
      <c r="F3990" t="s">
        <v>31</v>
      </c>
      <c r="G3990">
        <v>2</v>
      </c>
      <c r="H3990">
        <v>2.2000000000000002</v>
      </c>
      <c r="I3990" t="s">
        <v>39</v>
      </c>
      <c r="J3990" t="s">
        <v>1468</v>
      </c>
      <c r="K3990" s="12">
        <f>Store_Record[[#This Row],[Qty]]*Store_Record[[#This Row],[UnitPriceGBP]]</f>
        <v>4.4000000000000004</v>
      </c>
      <c r="L3990" s="5" t="str">
        <f>TEXT(Store_Record[[#This Row],[Date]],"dddd")</f>
        <v>Tuesday</v>
      </c>
      <c r="M3990" s="5" t="str">
        <f>TEXT(Store_Record[[#This Row],[Date]],"mmmm")</f>
        <v>October</v>
      </c>
      <c r="N3990" s="5">
        <f>YEAR(Store_Record[[#This Row],[Date]])</f>
        <v>2025</v>
      </c>
      <c r="O3990"/>
    </row>
    <row r="3991" spans="1:15" x14ac:dyDescent="0.35">
      <c r="A3991" t="s">
        <v>4961</v>
      </c>
      <c r="B3991" s="2">
        <v>45951</v>
      </c>
      <c r="C3991" t="s">
        <v>36</v>
      </c>
      <c r="D3991" t="s">
        <v>29</v>
      </c>
      <c r="E3991" t="s">
        <v>26</v>
      </c>
      <c r="F3991" t="s">
        <v>13</v>
      </c>
      <c r="G3991">
        <v>1</v>
      </c>
      <c r="H3991">
        <v>3.5</v>
      </c>
      <c r="I3991" t="s">
        <v>39</v>
      </c>
      <c r="J3991" t="s">
        <v>764</v>
      </c>
      <c r="K3991" s="12">
        <f>Store_Record[[#This Row],[Qty]]*Store_Record[[#This Row],[UnitPriceGBP]]</f>
        <v>3.5</v>
      </c>
      <c r="L3991" s="5" t="str">
        <f>TEXT(Store_Record[[#This Row],[Date]],"dddd")</f>
        <v>Tuesday</v>
      </c>
      <c r="M3991" s="5" t="str">
        <f>TEXT(Store_Record[[#This Row],[Date]],"mmmm")</f>
        <v>October</v>
      </c>
      <c r="N3991" s="5">
        <f>YEAR(Store_Record[[#This Row],[Date]])</f>
        <v>2025</v>
      </c>
      <c r="O3991"/>
    </row>
    <row r="3992" spans="1:15" x14ac:dyDescent="0.35">
      <c r="A3992" t="s">
        <v>4976</v>
      </c>
      <c r="B3992" s="2">
        <v>45951</v>
      </c>
      <c r="C3992" t="s">
        <v>24</v>
      </c>
      <c r="D3992" t="s">
        <v>11</v>
      </c>
      <c r="E3992" t="s">
        <v>30</v>
      </c>
      <c r="F3992" t="s">
        <v>31</v>
      </c>
      <c r="G3992">
        <v>1</v>
      </c>
      <c r="H3992">
        <v>2.8</v>
      </c>
      <c r="I3992" t="s">
        <v>14</v>
      </c>
      <c r="J3992" t="s">
        <v>1355</v>
      </c>
      <c r="K3992" s="12">
        <f>Store_Record[[#This Row],[Qty]]*Store_Record[[#This Row],[UnitPriceGBP]]</f>
        <v>2.8</v>
      </c>
      <c r="L3992" s="5" t="str">
        <f>TEXT(Store_Record[[#This Row],[Date]],"dddd")</f>
        <v>Tuesday</v>
      </c>
      <c r="M3992" s="5" t="str">
        <f>TEXT(Store_Record[[#This Row],[Date]],"mmmm")</f>
        <v>October</v>
      </c>
      <c r="N3992" s="5">
        <f>YEAR(Store_Record[[#This Row],[Date]])</f>
        <v>2025</v>
      </c>
      <c r="O3992"/>
    </row>
    <row r="3993" spans="1:15" x14ac:dyDescent="0.35">
      <c r="A3993" t="s">
        <v>4983</v>
      </c>
      <c r="B3993" s="2">
        <v>45952</v>
      </c>
      <c r="C3993" t="s">
        <v>10</v>
      </c>
      <c r="D3993" t="s">
        <v>11</v>
      </c>
      <c r="E3993" t="s">
        <v>30</v>
      </c>
      <c r="F3993" t="s">
        <v>31</v>
      </c>
      <c r="G3993">
        <v>5</v>
      </c>
      <c r="H3993">
        <v>2.8</v>
      </c>
      <c r="I3993" t="s">
        <v>39</v>
      </c>
      <c r="J3993" t="s">
        <v>2790</v>
      </c>
      <c r="K3993" s="12">
        <f>Store_Record[[#This Row],[Qty]]*Store_Record[[#This Row],[UnitPriceGBP]]</f>
        <v>14</v>
      </c>
      <c r="L3993" s="5" t="str">
        <f>TEXT(Store_Record[[#This Row],[Date]],"dddd")</f>
        <v>Wednesday</v>
      </c>
      <c r="M3993" s="5" t="str">
        <f>TEXT(Store_Record[[#This Row],[Date]],"mmmm")</f>
        <v>October</v>
      </c>
      <c r="N3993" s="5">
        <f>YEAR(Store_Record[[#This Row],[Date]])</f>
        <v>2025</v>
      </c>
      <c r="O3993"/>
    </row>
    <row r="3994" spans="1:15" x14ac:dyDescent="0.35">
      <c r="A3994" t="s">
        <v>4987</v>
      </c>
      <c r="B3994" s="2">
        <v>45952</v>
      </c>
      <c r="C3994" t="s">
        <v>24</v>
      </c>
      <c r="D3994" t="s">
        <v>11</v>
      </c>
      <c r="E3994" t="s">
        <v>30</v>
      </c>
      <c r="F3994" t="s">
        <v>31</v>
      </c>
      <c r="G3994">
        <v>5</v>
      </c>
      <c r="H3994">
        <v>2.8</v>
      </c>
      <c r="I3994" t="s">
        <v>21</v>
      </c>
      <c r="J3994" t="s">
        <v>607</v>
      </c>
      <c r="K3994" s="12">
        <f>Store_Record[[#This Row],[Qty]]*Store_Record[[#This Row],[UnitPriceGBP]]</f>
        <v>14</v>
      </c>
      <c r="L3994" s="5" t="str">
        <f>TEXT(Store_Record[[#This Row],[Date]],"dddd")</f>
        <v>Wednesday</v>
      </c>
      <c r="M3994" s="5" t="str">
        <f>TEXT(Store_Record[[#This Row],[Date]],"mmmm")</f>
        <v>October</v>
      </c>
      <c r="N3994" s="5">
        <f>YEAR(Store_Record[[#This Row],[Date]])</f>
        <v>2025</v>
      </c>
      <c r="O3994"/>
    </row>
    <row r="3995" spans="1:15" x14ac:dyDescent="0.35">
      <c r="A3995" t="s">
        <v>4979</v>
      </c>
      <c r="B3995" s="2">
        <v>45952</v>
      </c>
      <c r="C3995" t="s">
        <v>24</v>
      </c>
      <c r="D3995" t="s">
        <v>11</v>
      </c>
      <c r="E3995" t="s">
        <v>42</v>
      </c>
      <c r="F3995" t="s">
        <v>13</v>
      </c>
      <c r="G3995">
        <v>3</v>
      </c>
      <c r="H3995">
        <v>3.8</v>
      </c>
      <c r="I3995" t="s">
        <v>39</v>
      </c>
      <c r="J3995" t="s">
        <v>2036</v>
      </c>
      <c r="K3995" s="12">
        <f>Store_Record[[#This Row],[Qty]]*Store_Record[[#This Row],[UnitPriceGBP]]</f>
        <v>11.399999999999999</v>
      </c>
      <c r="L3995" s="5" t="str">
        <f>TEXT(Store_Record[[#This Row],[Date]],"dddd")</f>
        <v>Wednesday</v>
      </c>
      <c r="M3995" s="5" t="str">
        <f>TEXT(Store_Record[[#This Row],[Date]],"mmmm")</f>
        <v>October</v>
      </c>
      <c r="N3995" s="5">
        <f>YEAR(Store_Record[[#This Row],[Date]])</f>
        <v>2025</v>
      </c>
      <c r="O3995"/>
    </row>
    <row r="3996" spans="1:15" x14ac:dyDescent="0.35">
      <c r="A3996" t="s">
        <v>4981</v>
      </c>
      <c r="B3996" s="2">
        <v>45952</v>
      </c>
      <c r="C3996" t="s">
        <v>24</v>
      </c>
      <c r="D3996" t="s">
        <v>29</v>
      </c>
      <c r="E3996" t="s">
        <v>42</v>
      </c>
      <c r="F3996" t="s">
        <v>13</v>
      </c>
      <c r="G3996">
        <v>3</v>
      </c>
      <c r="H3996">
        <v>3.8</v>
      </c>
      <c r="I3996" t="s">
        <v>21</v>
      </c>
      <c r="J3996" t="s">
        <v>1955</v>
      </c>
      <c r="K3996" s="12">
        <f>Store_Record[[#This Row],[Qty]]*Store_Record[[#This Row],[UnitPriceGBP]]</f>
        <v>11.399999999999999</v>
      </c>
      <c r="L3996" s="5" t="str">
        <f>TEXT(Store_Record[[#This Row],[Date]],"dddd")</f>
        <v>Wednesday</v>
      </c>
      <c r="M3996" s="5" t="str">
        <f>TEXT(Store_Record[[#This Row],[Date]],"mmmm")</f>
        <v>October</v>
      </c>
      <c r="N3996" s="5">
        <f>YEAR(Store_Record[[#This Row],[Date]])</f>
        <v>2025</v>
      </c>
      <c r="O3996"/>
    </row>
    <row r="3997" spans="1:15" x14ac:dyDescent="0.35">
      <c r="A3997" t="s">
        <v>4990</v>
      </c>
      <c r="B3997" s="2">
        <v>45952</v>
      </c>
      <c r="C3997" t="s">
        <v>10</v>
      </c>
      <c r="D3997" t="s">
        <v>47</v>
      </c>
      <c r="E3997" t="s">
        <v>42</v>
      </c>
      <c r="F3997" t="s">
        <v>13</v>
      </c>
      <c r="G3997">
        <v>3</v>
      </c>
      <c r="H3997">
        <v>3.8</v>
      </c>
      <c r="I3997" t="s">
        <v>14</v>
      </c>
      <c r="J3997" t="s">
        <v>4874</v>
      </c>
      <c r="K3997" s="12">
        <f>Store_Record[[#This Row],[Qty]]*Store_Record[[#This Row],[UnitPriceGBP]]</f>
        <v>11.399999999999999</v>
      </c>
      <c r="L3997" s="5" t="str">
        <f>TEXT(Store_Record[[#This Row],[Date]],"dddd")</f>
        <v>Wednesday</v>
      </c>
      <c r="M3997" s="5" t="str">
        <f>TEXT(Store_Record[[#This Row],[Date]],"mmmm")</f>
        <v>October</v>
      </c>
      <c r="N3997" s="5">
        <f>YEAR(Store_Record[[#This Row],[Date]])</f>
        <v>2025</v>
      </c>
      <c r="O3997"/>
    </row>
    <row r="3998" spans="1:15" x14ac:dyDescent="0.35">
      <c r="A3998" t="s">
        <v>4978</v>
      </c>
      <c r="B3998" s="2">
        <v>45952</v>
      </c>
      <c r="C3998" t="s">
        <v>24</v>
      </c>
      <c r="D3998" t="s">
        <v>25</v>
      </c>
      <c r="E3998" t="s">
        <v>30</v>
      </c>
      <c r="F3998" t="s">
        <v>31</v>
      </c>
      <c r="G3998">
        <v>4</v>
      </c>
      <c r="H3998">
        <v>2.8</v>
      </c>
      <c r="I3998" t="s">
        <v>21</v>
      </c>
      <c r="J3998" t="s">
        <v>3114</v>
      </c>
      <c r="K3998" s="12">
        <f>Store_Record[[#This Row],[Qty]]*Store_Record[[#This Row],[UnitPriceGBP]]</f>
        <v>11.2</v>
      </c>
      <c r="L3998" s="5" t="str">
        <f>TEXT(Store_Record[[#This Row],[Date]],"dddd")</f>
        <v>Wednesday</v>
      </c>
      <c r="M3998" s="5" t="str">
        <f>TEXT(Store_Record[[#This Row],[Date]],"mmmm")</f>
        <v>October</v>
      </c>
      <c r="N3998" s="5">
        <f>YEAR(Store_Record[[#This Row],[Date]])</f>
        <v>2025</v>
      </c>
      <c r="O3998"/>
    </row>
    <row r="3999" spans="1:15" x14ac:dyDescent="0.35">
      <c r="A3999" t="s">
        <v>4980</v>
      </c>
      <c r="B3999" s="2">
        <v>45952</v>
      </c>
      <c r="C3999" t="s">
        <v>24</v>
      </c>
      <c r="D3999" t="s">
        <v>11</v>
      </c>
      <c r="E3999" t="s">
        <v>26</v>
      </c>
      <c r="F3999" t="s">
        <v>13</v>
      </c>
      <c r="G3999">
        <v>3</v>
      </c>
      <c r="H3999">
        <v>3.5</v>
      </c>
      <c r="I3999" t="s">
        <v>14</v>
      </c>
      <c r="J3999" t="s">
        <v>1453</v>
      </c>
      <c r="K3999" s="12">
        <f>Store_Record[[#This Row],[Qty]]*Store_Record[[#This Row],[UnitPriceGBP]]</f>
        <v>10.5</v>
      </c>
      <c r="L3999" s="5" t="str">
        <f>TEXT(Store_Record[[#This Row],[Date]],"dddd")</f>
        <v>Wednesday</v>
      </c>
      <c r="M3999" s="5" t="str">
        <f>TEXT(Store_Record[[#This Row],[Date]],"mmmm")</f>
        <v>October</v>
      </c>
      <c r="N3999" s="5">
        <f>YEAR(Store_Record[[#This Row],[Date]])</f>
        <v>2025</v>
      </c>
      <c r="O3999"/>
    </row>
    <row r="4000" spans="1:15" x14ac:dyDescent="0.35">
      <c r="A4000" t="s">
        <v>4985</v>
      </c>
      <c r="B4000" s="2">
        <v>45952</v>
      </c>
      <c r="C4000" t="s">
        <v>36</v>
      </c>
      <c r="D4000" t="s">
        <v>25</v>
      </c>
      <c r="E4000" t="s">
        <v>12</v>
      </c>
      <c r="F4000" t="s">
        <v>13</v>
      </c>
      <c r="G4000">
        <v>4</v>
      </c>
      <c r="H4000">
        <v>2.5</v>
      </c>
      <c r="I4000" t="s">
        <v>39</v>
      </c>
      <c r="J4000" t="s">
        <v>2374</v>
      </c>
      <c r="K4000" s="12">
        <f>Store_Record[[#This Row],[Qty]]*Store_Record[[#This Row],[UnitPriceGBP]]</f>
        <v>10</v>
      </c>
      <c r="L4000" s="5" t="str">
        <f>TEXT(Store_Record[[#This Row],[Date]],"dddd")</f>
        <v>Wednesday</v>
      </c>
      <c r="M4000" s="5" t="str">
        <f>TEXT(Store_Record[[#This Row],[Date]],"mmmm")</f>
        <v>October</v>
      </c>
      <c r="N4000" s="5">
        <f>YEAR(Store_Record[[#This Row],[Date]])</f>
        <v>2025</v>
      </c>
      <c r="O4000"/>
    </row>
    <row r="4001" spans="1:15" x14ac:dyDescent="0.35">
      <c r="A4001" t="s">
        <v>4989</v>
      </c>
      <c r="B4001" s="2">
        <v>45952</v>
      </c>
      <c r="C4001" t="s">
        <v>24</v>
      </c>
      <c r="D4001" t="s">
        <v>47</v>
      </c>
      <c r="E4001" t="s">
        <v>30</v>
      </c>
      <c r="F4001" t="s">
        <v>31</v>
      </c>
      <c r="G4001">
        <v>3</v>
      </c>
      <c r="H4001">
        <v>2.8</v>
      </c>
      <c r="I4001" t="s">
        <v>14</v>
      </c>
      <c r="J4001" t="s">
        <v>2233</v>
      </c>
      <c r="K4001" s="12">
        <f>Store_Record[[#This Row],[Qty]]*Store_Record[[#This Row],[UnitPriceGBP]]</f>
        <v>8.3999999999999986</v>
      </c>
      <c r="L4001" s="5" t="str">
        <f>TEXT(Store_Record[[#This Row],[Date]],"dddd")</f>
        <v>Wednesday</v>
      </c>
      <c r="M4001" s="5" t="str">
        <f>TEXT(Store_Record[[#This Row],[Date]],"mmmm")</f>
        <v>October</v>
      </c>
      <c r="N4001" s="5">
        <f>YEAR(Store_Record[[#This Row],[Date]])</f>
        <v>2025</v>
      </c>
      <c r="O4001"/>
    </row>
    <row r="4002" spans="1:15" x14ac:dyDescent="0.35">
      <c r="A4002" t="s">
        <v>4986</v>
      </c>
      <c r="B4002" s="2">
        <v>45952</v>
      </c>
      <c r="C4002" t="s">
        <v>10</v>
      </c>
      <c r="D4002" t="s">
        <v>11</v>
      </c>
      <c r="E4002" t="s">
        <v>12</v>
      </c>
      <c r="F4002" t="s">
        <v>13</v>
      </c>
      <c r="G4002">
        <v>3</v>
      </c>
      <c r="H4002">
        <v>2.5</v>
      </c>
      <c r="I4002" t="s">
        <v>39</v>
      </c>
      <c r="J4002" t="s">
        <v>1389</v>
      </c>
      <c r="K4002" s="12">
        <f>Store_Record[[#This Row],[Qty]]*Store_Record[[#This Row],[UnitPriceGBP]]</f>
        <v>7.5</v>
      </c>
      <c r="L4002" s="5" t="str">
        <f>TEXT(Store_Record[[#This Row],[Date]],"dddd")</f>
        <v>Wednesday</v>
      </c>
      <c r="M4002" s="5" t="str">
        <f>TEXT(Store_Record[[#This Row],[Date]],"mmmm")</f>
        <v>October</v>
      </c>
      <c r="N4002" s="5">
        <f>YEAR(Store_Record[[#This Row],[Date]])</f>
        <v>2025</v>
      </c>
      <c r="O4002"/>
    </row>
    <row r="4003" spans="1:15" x14ac:dyDescent="0.35">
      <c r="A4003" t="s">
        <v>4984</v>
      </c>
      <c r="B4003" s="2">
        <v>45952</v>
      </c>
      <c r="C4003" t="s">
        <v>20</v>
      </c>
      <c r="D4003" t="s">
        <v>38</v>
      </c>
      <c r="E4003" t="s">
        <v>26</v>
      </c>
      <c r="F4003" t="s">
        <v>13</v>
      </c>
      <c r="G4003">
        <v>2</v>
      </c>
      <c r="H4003">
        <v>3.5</v>
      </c>
      <c r="I4003" t="s">
        <v>39</v>
      </c>
      <c r="J4003" t="s">
        <v>3812</v>
      </c>
      <c r="K4003" s="12">
        <f>Store_Record[[#This Row],[Qty]]*Store_Record[[#This Row],[UnitPriceGBP]]</f>
        <v>7</v>
      </c>
      <c r="L4003" s="5" t="str">
        <f>TEXT(Store_Record[[#This Row],[Date]],"dddd")</f>
        <v>Wednesday</v>
      </c>
      <c r="M4003" s="5" t="str">
        <f>TEXT(Store_Record[[#This Row],[Date]],"mmmm")</f>
        <v>October</v>
      </c>
      <c r="N4003" s="5">
        <f>YEAR(Store_Record[[#This Row],[Date]])</f>
        <v>2025</v>
      </c>
      <c r="O4003"/>
    </row>
    <row r="4004" spans="1:15" x14ac:dyDescent="0.35">
      <c r="A4004" t="s">
        <v>4988</v>
      </c>
      <c r="B4004" s="2">
        <v>45952</v>
      </c>
      <c r="C4004" t="s">
        <v>10</v>
      </c>
      <c r="D4004" t="s">
        <v>29</v>
      </c>
      <c r="E4004" t="s">
        <v>30</v>
      </c>
      <c r="F4004" t="s">
        <v>31</v>
      </c>
      <c r="G4004">
        <v>2</v>
      </c>
      <c r="H4004">
        <v>2.8</v>
      </c>
      <c r="I4004" t="s">
        <v>14</v>
      </c>
      <c r="J4004" t="s">
        <v>786</v>
      </c>
      <c r="K4004" s="12">
        <f>Store_Record[[#This Row],[Qty]]*Store_Record[[#This Row],[UnitPriceGBP]]</f>
        <v>5.6</v>
      </c>
      <c r="L4004" s="5" t="str">
        <f>TEXT(Store_Record[[#This Row],[Date]],"dddd")</f>
        <v>Wednesday</v>
      </c>
      <c r="M4004" s="5" t="str">
        <f>TEXT(Store_Record[[#This Row],[Date]],"mmmm")</f>
        <v>October</v>
      </c>
      <c r="N4004" s="5">
        <f>YEAR(Store_Record[[#This Row],[Date]])</f>
        <v>2025</v>
      </c>
      <c r="O4004"/>
    </row>
    <row r="4005" spans="1:15" x14ac:dyDescent="0.35">
      <c r="A4005" t="s">
        <v>4982</v>
      </c>
      <c r="B4005" s="2">
        <v>45952</v>
      </c>
      <c r="C4005" t="s">
        <v>24</v>
      </c>
      <c r="D4005" t="s">
        <v>29</v>
      </c>
      <c r="E4005" t="s">
        <v>30</v>
      </c>
      <c r="F4005" t="s">
        <v>31</v>
      </c>
      <c r="G4005">
        <v>1</v>
      </c>
      <c r="H4005">
        <v>2.8</v>
      </c>
      <c r="I4005" t="s">
        <v>21</v>
      </c>
      <c r="J4005" t="s">
        <v>578</v>
      </c>
      <c r="K4005" s="12">
        <f>Store_Record[[#This Row],[Qty]]*Store_Record[[#This Row],[UnitPriceGBP]]</f>
        <v>2.8</v>
      </c>
      <c r="L4005" s="5" t="str">
        <f>TEXT(Store_Record[[#This Row],[Date]],"dddd")</f>
        <v>Wednesday</v>
      </c>
      <c r="M4005" s="5" t="str">
        <f>TEXT(Store_Record[[#This Row],[Date]],"mmmm")</f>
        <v>October</v>
      </c>
      <c r="N4005" s="5">
        <f>YEAR(Store_Record[[#This Row],[Date]])</f>
        <v>2025</v>
      </c>
      <c r="O4005"/>
    </row>
    <row r="4006" spans="1:15" x14ac:dyDescent="0.35">
      <c r="A4006" t="s">
        <v>4997</v>
      </c>
      <c r="B4006" s="2">
        <v>45953</v>
      </c>
      <c r="C4006" t="s">
        <v>24</v>
      </c>
      <c r="D4006" t="s">
        <v>29</v>
      </c>
      <c r="E4006" t="s">
        <v>26</v>
      </c>
      <c r="F4006" t="s">
        <v>13</v>
      </c>
      <c r="G4006">
        <v>5</v>
      </c>
      <c r="H4006">
        <v>3.5</v>
      </c>
      <c r="I4006" t="s">
        <v>21</v>
      </c>
      <c r="J4006" t="s">
        <v>499</v>
      </c>
      <c r="K4006" s="12">
        <f>Store_Record[[#This Row],[Qty]]*Store_Record[[#This Row],[UnitPriceGBP]]</f>
        <v>17.5</v>
      </c>
      <c r="L4006" s="5" t="str">
        <f>TEXT(Store_Record[[#This Row],[Date]],"dddd")</f>
        <v>Thursday</v>
      </c>
      <c r="M4006" s="5" t="str">
        <f>TEXT(Store_Record[[#This Row],[Date]],"mmmm")</f>
        <v>October</v>
      </c>
      <c r="N4006" s="5">
        <f>YEAR(Store_Record[[#This Row],[Date]])</f>
        <v>2025</v>
      </c>
      <c r="O4006"/>
    </row>
    <row r="4007" spans="1:15" x14ac:dyDescent="0.35">
      <c r="A4007" t="s">
        <v>5007</v>
      </c>
      <c r="B4007" s="2">
        <v>45953</v>
      </c>
      <c r="C4007" t="s">
        <v>24</v>
      </c>
      <c r="D4007" t="s">
        <v>11</v>
      </c>
      <c r="E4007" t="s">
        <v>26</v>
      </c>
      <c r="F4007" t="s">
        <v>13</v>
      </c>
      <c r="G4007">
        <v>5</v>
      </c>
      <c r="H4007">
        <v>3.5</v>
      </c>
      <c r="I4007" t="s">
        <v>14</v>
      </c>
      <c r="J4007" t="s">
        <v>3059</v>
      </c>
      <c r="K4007" s="12">
        <f>Store_Record[[#This Row],[Qty]]*Store_Record[[#This Row],[UnitPriceGBP]]</f>
        <v>17.5</v>
      </c>
      <c r="L4007" s="5" t="str">
        <f>TEXT(Store_Record[[#This Row],[Date]],"dddd")</f>
        <v>Thursday</v>
      </c>
      <c r="M4007" s="5" t="str">
        <f>TEXT(Store_Record[[#This Row],[Date]],"mmmm")</f>
        <v>October</v>
      </c>
      <c r="N4007" s="5">
        <f>YEAR(Store_Record[[#This Row],[Date]])</f>
        <v>2025</v>
      </c>
      <c r="O4007"/>
    </row>
    <row r="4008" spans="1:15" x14ac:dyDescent="0.35">
      <c r="A4008" t="s">
        <v>5003</v>
      </c>
      <c r="B4008" s="2">
        <v>45953</v>
      </c>
      <c r="C4008" t="s">
        <v>36</v>
      </c>
      <c r="D4008" t="s">
        <v>38</v>
      </c>
      <c r="E4008" t="s">
        <v>42</v>
      </c>
      <c r="F4008" t="s">
        <v>13</v>
      </c>
      <c r="G4008">
        <v>4</v>
      </c>
      <c r="H4008">
        <v>3.8</v>
      </c>
      <c r="I4008" t="s">
        <v>14</v>
      </c>
      <c r="J4008" t="s">
        <v>3697</v>
      </c>
      <c r="K4008" s="12">
        <f>Store_Record[[#This Row],[Qty]]*Store_Record[[#This Row],[UnitPriceGBP]]</f>
        <v>15.2</v>
      </c>
      <c r="L4008" s="5" t="str">
        <f>TEXT(Store_Record[[#This Row],[Date]],"dddd")</f>
        <v>Thursday</v>
      </c>
      <c r="M4008" s="5" t="str">
        <f>TEXT(Store_Record[[#This Row],[Date]],"mmmm")</f>
        <v>October</v>
      </c>
      <c r="N4008" s="5">
        <f>YEAR(Store_Record[[#This Row],[Date]])</f>
        <v>2025</v>
      </c>
      <c r="O4008"/>
    </row>
    <row r="4009" spans="1:15" x14ac:dyDescent="0.35">
      <c r="A4009" t="s">
        <v>5000</v>
      </c>
      <c r="B4009" s="2">
        <v>45953</v>
      </c>
      <c r="C4009" t="s">
        <v>10</v>
      </c>
      <c r="D4009" t="s">
        <v>29</v>
      </c>
      <c r="E4009" t="s">
        <v>34</v>
      </c>
      <c r="F4009" t="s">
        <v>31</v>
      </c>
      <c r="G4009">
        <v>5</v>
      </c>
      <c r="H4009">
        <v>2.2000000000000002</v>
      </c>
      <c r="I4009" t="s">
        <v>21</v>
      </c>
      <c r="J4009" t="s">
        <v>830</v>
      </c>
      <c r="K4009" s="12">
        <f>Store_Record[[#This Row],[Qty]]*Store_Record[[#This Row],[UnitPriceGBP]]</f>
        <v>11</v>
      </c>
      <c r="L4009" s="5" t="str">
        <f>TEXT(Store_Record[[#This Row],[Date]],"dddd")</f>
        <v>Thursday</v>
      </c>
      <c r="M4009" s="5" t="str">
        <f>TEXT(Store_Record[[#This Row],[Date]],"mmmm")</f>
        <v>October</v>
      </c>
      <c r="N4009" s="5">
        <f>YEAR(Store_Record[[#This Row],[Date]])</f>
        <v>2025</v>
      </c>
      <c r="O4009"/>
    </row>
    <row r="4010" spans="1:15" x14ac:dyDescent="0.35">
      <c r="A4010" t="s">
        <v>5001</v>
      </c>
      <c r="B4010" s="2">
        <v>45953</v>
      </c>
      <c r="C4010" t="s">
        <v>36</v>
      </c>
      <c r="D4010" t="s">
        <v>11</v>
      </c>
      <c r="E4010" t="s">
        <v>34</v>
      </c>
      <c r="F4010" t="s">
        <v>31</v>
      </c>
      <c r="G4010">
        <v>5</v>
      </c>
      <c r="H4010">
        <v>2.2000000000000002</v>
      </c>
      <c r="I4010" t="s">
        <v>14</v>
      </c>
      <c r="J4010" t="s">
        <v>1879</v>
      </c>
      <c r="K4010" s="12">
        <f>Store_Record[[#This Row],[Qty]]*Store_Record[[#This Row],[UnitPriceGBP]]</f>
        <v>11</v>
      </c>
      <c r="L4010" s="5" t="str">
        <f>TEXT(Store_Record[[#This Row],[Date]],"dddd")</f>
        <v>Thursday</v>
      </c>
      <c r="M4010" s="5" t="str">
        <f>TEXT(Store_Record[[#This Row],[Date]],"mmmm")</f>
        <v>October</v>
      </c>
      <c r="N4010" s="5">
        <f>YEAR(Store_Record[[#This Row],[Date]])</f>
        <v>2025</v>
      </c>
      <c r="O4010"/>
    </row>
    <row r="4011" spans="1:15" x14ac:dyDescent="0.35">
      <c r="A4011" t="s">
        <v>4995</v>
      </c>
      <c r="B4011" s="2">
        <v>45953</v>
      </c>
      <c r="C4011" t="s">
        <v>10</v>
      </c>
      <c r="D4011" t="s">
        <v>38</v>
      </c>
      <c r="E4011" t="s">
        <v>26</v>
      </c>
      <c r="F4011" t="s">
        <v>13</v>
      </c>
      <c r="G4011">
        <v>3</v>
      </c>
      <c r="H4011">
        <v>3.5</v>
      </c>
      <c r="I4011" t="s">
        <v>39</v>
      </c>
      <c r="J4011" t="s">
        <v>84</v>
      </c>
      <c r="K4011" s="12">
        <f>Store_Record[[#This Row],[Qty]]*Store_Record[[#This Row],[UnitPriceGBP]]</f>
        <v>10.5</v>
      </c>
      <c r="L4011" s="5" t="str">
        <f>TEXT(Store_Record[[#This Row],[Date]],"dddd")</f>
        <v>Thursday</v>
      </c>
      <c r="M4011" s="5" t="str">
        <f>TEXT(Store_Record[[#This Row],[Date]],"mmmm")</f>
        <v>October</v>
      </c>
      <c r="N4011" s="5">
        <f>YEAR(Store_Record[[#This Row],[Date]])</f>
        <v>2025</v>
      </c>
      <c r="O4011"/>
    </row>
    <row r="4012" spans="1:15" x14ac:dyDescent="0.35">
      <c r="A4012" t="s">
        <v>4993</v>
      </c>
      <c r="B4012" s="2">
        <v>45953</v>
      </c>
      <c r="C4012" t="s">
        <v>10</v>
      </c>
      <c r="D4012" t="s">
        <v>47</v>
      </c>
      <c r="E4012" t="s">
        <v>12</v>
      </c>
      <c r="F4012" t="s">
        <v>13</v>
      </c>
      <c r="G4012">
        <v>4</v>
      </c>
      <c r="H4012">
        <v>2.5</v>
      </c>
      <c r="I4012" t="s">
        <v>39</v>
      </c>
      <c r="J4012" t="s">
        <v>443</v>
      </c>
      <c r="K4012" s="12">
        <f>Store_Record[[#This Row],[Qty]]*Store_Record[[#This Row],[UnitPriceGBP]]</f>
        <v>10</v>
      </c>
      <c r="L4012" s="5" t="str">
        <f>TEXT(Store_Record[[#This Row],[Date]],"dddd")</f>
        <v>Thursday</v>
      </c>
      <c r="M4012" s="5" t="str">
        <f>TEXT(Store_Record[[#This Row],[Date]],"mmmm")</f>
        <v>October</v>
      </c>
      <c r="N4012" s="5">
        <f>YEAR(Store_Record[[#This Row],[Date]])</f>
        <v>2025</v>
      </c>
      <c r="O4012"/>
    </row>
    <row r="4013" spans="1:15" x14ac:dyDescent="0.35">
      <c r="A4013" t="s">
        <v>5005</v>
      </c>
      <c r="B4013" s="2">
        <v>45953</v>
      </c>
      <c r="C4013" t="s">
        <v>24</v>
      </c>
      <c r="D4013" t="s">
        <v>11</v>
      </c>
      <c r="E4013" t="s">
        <v>30</v>
      </c>
      <c r="F4013" t="s">
        <v>31</v>
      </c>
      <c r="G4013">
        <v>3</v>
      </c>
      <c r="H4013">
        <v>2.8</v>
      </c>
      <c r="I4013" t="s">
        <v>39</v>
      </c>
      <c r="J4013" t="s">
        <v>1840</v>
      </c>
      <c r="K4013" s="12">
        <f>Store_Record[[#This Row],[Qty]]*Store_Record[[#This Row],[UnitPriceGBP]]</f>
        <v>8.3999999999999986</v>
      </c>
      <c r="L4013" s="5" t="str">
        <f>TEXT(Store_Record[[#This Row],[Date]],"dddd")</f>
        <v>Thursday</v>
      </c>
      <c r="M4013" s="5" t="str">
        <f>TEXT(Store_Record[[#This Row],[Date]],"mmmm")</f>
        <v>October</v>
      </c>
      <c r="N4013" s="5">
        <f>YEAR(Store_Record[[#This Row],[Date]])</f>
        <v>2025</v>
      </c>
      <c r="O4013"/>
    </row>
    <row r="4014" spans="1:15" x14ac:dyDescent="0.35">
      <c r="A4014" t="s">
        <v>5004</v>
      </c>
      <c r="B4014" s="2">
        <v>45953</v>
      </c>
      <c r="C4014" t="s">
        <v>10</v>
      </c>
      <c r="D4014" t="s">
        <v>25</v>
      </c>
      <c r="E4014" t="s">
        <v>42</v>
      </c>
      <c r="F4014" t="s">
        <v>13</v>
      </c>
      <c r="G4014">
        <v>2</v>
      </c>
      <c r="H4014">
        <v>3.8</v>
      </c>
      <c r="I4014" t="s">
        <v>39</v>
      </c>
      <c r="J4014" t="s">
        <v>1987</v>
      </c>
      <c r="K4014" s="12">
        <f>Store_Record[[#This Row],[Qty]]*Store_Record[[#This Row],[UnitPriceGBP]]</f>
        <v>7.6</v>
      </c>
      <c r="L4014" s="5" t="str">
        <f>TEXT(Store_Record[[#This Row],[Date]],"dddd")</f>
        <v>Thursday</v>
      </c>
      <c r="M4014" s="5" t="str">
        <f>TEXT(Store_Record[[#This Row],[Date]],"mmmm")</f>
        <v>October</v>
      </c>
      <c r="N4014" s="5">
        <f>YEAR(Store_Record[[#This Row],[Date]])</f>
        <v>2025</v>
      </c>
      <c r="O4014"/>
    </row>
    <row r="4015" spans="1:15" x14ac:dyDescent="0.35">
      <c r="A4015" t="s">
        <v>5002</v>
      </c>
      <c r="B4015" s="2">
        <v>45953</v>
      </c>
      <c r="C4015" t="s">
        <v>20</v>
      </c>
      <c r="D4015" t="s">
        <v>47</v>
      </c>
      <c r="E4015" t="s">
        <v>34</v>
      </c>
      <c r="F4015" t="s">
        <v>31</v>
      </c>
      <c r="G4015">
        <v>3</v>
      </c>
      <c r="H4015">
        <v>2.2000000000000002</v>
      </c>
      <c r="I4015" t="s">
        <v>39</v>
      </c>
      <c r="J4015" t="s">
        <v>949</v>
      </c>
      <c r="K4015" s="12">
        <f>Store_Record[[#This Row],[Qty]]*Store_Record[[#This Row],[UnitPriceGBP]]</f>
        <v>6.6000000000000005</v>
      </c>
      <c r="L4015" s="5" t="str">
        <f>TEXT(Store_Record[[#This Row],[Date]],"dddd")</f>
        <v>Thursday</v>
      </c>
      <c r="M4015" s="5" t="str">
        <f>TEXT(Store_Record[[#This Row],[Date]],"mmmm")</f>
        <v>October</v>
      </c>
      <c r="N4015" s="5">
        <f>YEAR(Store_Record[[#This Row],[Date]])</f>
        <v>2025</v>
      </c>
      <c r="O4015"/>
    </row>
    <row r="4016" spans="1:15" x14ac:dyDescent="0.35">
      <c r="A4016" t="s">
        <v>4996</v>
      </c>
      <c r="B4016" s="2">
        <v>45953</v>
      </c>
      <c r="C4016" t="s">
        <v>10</v>
      </c>
      <c r="D4016" t="s">
        <v>38</v>
      </c>
      <c r="E4016" t="s">
        <v>12</v>
      </c>
      <c r="F4016" t="s">
        <v>13</v>
      </c>
      <c r="G4016">
        <v>2</v>
      </c>
      <c r="H4016">
        <v>2.5</v>
      </c>
      <c r="I4016" t="s">
        <v>39</v>
      </c>
      <c r="J4016" t="s">
        <v>2119</v>
      </c>
      <c r="K4016" s="12">
        <f>Store_Record[[#This Row],[Qty]]*Store_Record[[#This Row],[UnitPriceGBP]]</f>
        <v>5</v>
      </c>
      <c r="L4016" s="5" t="str">
        <f>TEXT(Store_Record[[#This Row],[Date]],"dddd")</f>
        <v>Thursday</v>
      </c>
      <c r="M4016" s="5" t="str">
        <f>TEXT(Store_Record[[#This Row],[Date]],"mmmm")</f>
        <v>October</v>
      </c>
      <c r="N4016" s="5">
        <f>YEAR(Store_Record[[#This Row],[Date]])</f>
        <v>2025</v>
      </c>
      <c r="O4016"/>
    </row>
    <row r="4017" spans="1:15" x14ac:dyDescent="0.35">
      <c r="A4017" t="s">
        <v>4994</v>
      </c>
      <c r="B4017" s="2">
        <v>45953</v>
      </c>
      <c r="C4017" t="s">
        <v>24</v>
      </c>
      <c r="D4017" t="s">
        <v>25</v>
      </c>
      <c r="E4017" t="s">
        <v>34</v>
      </c>
      <c r="F4017" t="s">
        <v>31</v>
      </c>
      <c r="G4017">
        <v>2</v>
      </c>
      <c r="H4017">
        <v>2.2000000000000002</v>
      </c>
      <c r="I4017" t="s">
        <v>39</v>
      </c>
      <c r="J4017" t="s">
        <v>1743</v>
      </c>
      <c r="K4017" s="12">
        <f>Store_Record[[#This Row],[Qty]]*Store_Record[[#This Row],[UnitPriceGBP]]</f>
        <v>4.4000000000000004</v>
      </c>
      <c r="L4017" s="5" t="str">
        <f>TEXT(Store_Record[[#This Row],[Date]],"dddd")</f>
        <v>Thursday</v>
      </c>
      <c r="M4017" s="5" t="str">
        <f>TEXT(Store_Record[[#This Row],[Date]],"mmmm")</f>
        <v>October</v>
      </c>
      <c r="N4017" s="5">
        <f>YEAR(Store_Record[[#This Row],[Date]])</f>
        <v>2025</v>
      </c>
      <c r="O4017"/>
    </row>
    <row r="4018" spans="1:15" x14ac:dyDescent="0.35">
      <c r="A4018" t="s">
        <v>4991</v>
      </c>
      <c r="B4018" s="2">
        <v>45953</v>
      </c>
      <c r="C4018" t="s">
        <v>24</v>
      </c>
      <c r="D4018" t="s">
        <v>25</v>
      </c>
      <c r="E4018" t="s">
        <v>42</v>
      </c>
      <c r="F4018" t="s">
        <v>13</v>
      </c>
      <c r="G4018">
        <v>1</v>
      </c>
      <c r="H4018">
        <v>3.8</v>
      </c>
      <c r="I4018" t="s">
        <v>21</v>
      </c>
      <c r="J4018" t="s">
        <v>705</v>
      </c>
      <c r="K4018" s="12">
        <f>Store_Record[[#This Row],[Qty]]*Store_Record[[#This Row],[UnitPriceGBP]]</f>
        <v>3.8</v>
      </c>
      <c r="L4018" s="5" t="str">
        <f>TEXT(Store_Record[[#This Row],[Date]],"dddd")</f>
        <v>Thursday</v>
      </c>
      <c r="M4018" s="5" t="str">
        <f>TEXT(Store_Record[[#This Row],[Date]],"mmmm")</f>
        <v>October</v>
      </c>
      <c r="N4018" s="5">
        <f>YEAR(Store_Record[[#This Row],[Date]])</f>
        <v>2025</v>
      </c>
      <c r="O4018"/>
    </row>
    <row r="4019" spans="1:15" x14ac:dyDescent="0.35">
      <c r="A4019" t="s">
        <v>5006</v>
      </c>
      <c r="B4019" s="2">
        <v>45953</v>
      </c>
      <c r="C4019" t="s">
        <v>24</v>
      </c>
      <c r="D4019" t="s">
        <v>25</v>
      </c>
      <c r="E4019" t="s">
        <v>42</v>
      </c>
      <c r="F4019" t="s">
        <v>13</v>
      </c>
      <c r="G4019">
        <v>1</v>
      </c>
      <c r="H4019">
        <v>3.8</v>
      </c>
      <c r="I4019" t="s">
        <v>14</v>
      </c>
      <c r="J4019" t="s">
        <v>817</v>
      </c>
      <c r="K4019" s="12">
        <f>Store_Record[[#This Row],[Qty]]*Store_Record[[#This Row],[UnitPriceGBP]]</f>
        <v>3.8</v>
      </c>
      <c r="L4019" s="5" t="str">
        <f>TEXT(Store_Record[[#This Row],[Date]],"dddd")</f>
        <v>Thursday</v>
      </c>
      <c r="M4019" s="5" t="str">
        <f>TEXT(Store_Record[[#This Row],[Date]],"mmmm")</f>
        <v>October</v>
      </c>
      <c r="N4019" s="5">
        <f>YEAR(Store_Record[[#This Row],[Date]])</f>
        <v>2025</v>
      </c>
      <c r="O4019"/>
    </row>
    <row r="4020" spans="1:15" x14ac:dyDescent="0.35">
      <c r="A4020" t="s">
        <v>4999</v>
      </c>
      <c r="B4020" s="2">
        <v>45953</v>
      </c>
      <c r="C4020" t="s">
        <v>24</v>
      </c>
      <c r="D4020" t="s">
        <v>38</v>
      </c>
      <c r="E4020" t="s">
        <v>26</v>
      </c>
      <c r="F4020" t="s">
        <v>13</v>
      </c>
      <c r="G4020">
        <v>1</v>
      </c>
      <c r="H4020">
        <v>3.5</v>
      </c>
      <c r="I4020" t="s">
        <v>21</v>
      </c>
      <c r="J4020" t="s">
        <v>1538</v>
      </c>
      <c r="K4020" s="12">
        <f>Store_Record[[#This Row],[Qty]]*Store_Record[[#This Row],[UnitPriceGBP]]</f>
        <v>3.5</v>
      </c>
      <c r="L4020" s="5" t="str">
        <f>TEXT(Store_Record[[#This Row],[Date]],"dddd")</f>
        <v>Thursday</v>
      </c>
      <c r="M4020" s="5" t="str">
        <f>TEXT(Store_Record[[#This Row],[Date]],"mmmm")</f>
        <v>October</v>
      </c>
      <c r="N4020" s="5">
        <f>YEAR(Store_Record[[#This Row],[Date]])</f>
        <v>2025</v>
      </c>
      <c r="O4020"/>
    </row>
    <row r="4021" spans="1:15" x14ac:dyDescent="0.35">
      <c r="A4021" t="s">
        <v>4992</v>
      </c>
      <c r="B4021" s="2">
        <v>45953</v>
      </c>
      <c r="C4021" t="s">
        <v>20</v>
      </c>
      <c r="D4021" t="s">
        <v>47</v>
      </c>
      <c r="E4021" t="s">
        <v>34</v>
      </c>
      <c r="F4021" t="s">
        <v>31</v>
      </c>
      <c r="G4021">
        <v>1</v>
      </c>
      <c r="H4021">
        <v>2.2000000000000002</v>
      </c>
      <c r="I4021" t="s">
        <v>21</v>
      </c>
      <c r="J4021" t="s">
        <v>220</v>
      </c>
      <c r="K4021" s="12">
        <f>Store_Record[[#This Row],[Qty]]*Store_Record[[#This Row],[UnitPriceGBP]]</f>
        <v>2.2000000000000002</v>
      </c>
      <c r="L4021" s="5" t="str">
        <f>TEXT(Store_Record[[#This Row],[Date]],"dddd")</f>
        <v>Thursday</v>
      </c>
      <c r="M4021" s="5" t="str">
        <f>TEXT(Store_Record[[#This Row],[Date]],"mmmm")</f>
        <v>October</v>
      </c>
      <c r="N4021" s="5">
        <f>YEAR(Store_Record[[#This Row],[Date]])</f>
        <v>2025</v>
      </c>
      <c r="O4021"/>
    </row>
    <row r="4022" spans="1:15" x14ac:dyDescent="0.35">
      <c r="A4022" t="s">
        <v>4998</v>
      </c>
      <c r="B4022" s="2">
        <v>45953</v>
      </c>
      <c r="C4022" t="s">
        <v>36</v>
      </c>
      <c r="D4022" t="s">
        <v>11</v>
      </c>
      <c r="E4022" t="s">
        <v>34</v>
      </c>
      <c r="F4022" t="s">
        <v>31</v>
      </c>
      <c r="G4022">
        <v>1</v>
      </c>
      <c r="H4022">
        <v>2.2000000000000002</v>
      </c>
      <c r="I4022" t="s">
        <v>14</v>
      </c>
      <c r="J4022" t="s">
        <v>358</v>
      </c>
      <c r="K4022" s="12">
        <f>Store_Record[[#This Row],[Qty]]*Store_Record[[#This Row],[UnitPriceGBP]]</f>
        <v>2.2000000000000002</v>
      </c>
      <c r="L4022" s="5" t="str">
        <f>TEXT(Store_Record[[#This Row],[Date]],"dddd")</f>
        <v>Thursday</v>
      </c>
      <c r="M4022" s="5" t="str">
        <f>TEXT(Store_Record[[#This Row],[Date]],"mmmm")</f>
        <v>October</v>
      </c>
      <c r="N4022" s="5">
        <f>YEAR(Store_Record[[#This Row],[Date]])</f>
        <v>2025</v>
      </c>
      <c r="O4022"/>
    </row>
    <row r="4023" spans="1:15" x14ac:dyDescent="0.35">
      <c r="A4023" t="s">
        <v>5009</v>
      </c>
      <c r="B4023" s="2">
        <v>45954</v>
      </c>
      <c r="C4023" t="s">
        <v>36</v>
      </c>
      <c r="D4023" t="s">
        <v>25</v>
      </c>
      <c r="E4023" t="s">
        <v>42</v>
      </c>
      <c r="F4023" t="s">
        <v>13</v>
      </c>
      <c r="G4023">
        <v>5</v>
      </c>
      <c r="H4023">
        <v>3.8</v>
      </c>
      <c r="I4023" t="s">
        <v>39</v>
      </c>
      <c r="J4023" t="s">
        <v>436</v>
      </c>
      <c r="K4023" s="12">
        <f>Store_Record[[#This Row],[Qty]]*Store_Record[[#This Row],[UnitPriceGBP]]</f>
        <v>19</v>
      </c>
      <c r="L4023" s="5" t="str">
        <f>TEXT(Store_Record[[#This Row],[Date]],"dddd")</f>
        <v>Friday</v>
      </c>
      <c r="M4023" s="5" t="str">
        <f>TEXT(Store_Record[[#This Row],[Date]],"mmmm")</f>
        <v>October</v>
      </c>
      <c r="N4023" s="5">
        <f>YEAR(Store_Record[[#This Row],[Date]])</f>
        <v>2025</v>
      </c>
      <c r="O4023"/>
    </row>
    <row r="4024" spans="1:15" x14ac:dyDescent="0.35">
      <c r="A4024" t="s">
        <v>5010</v>
      </c>
      <c r="B4024" s="2">
        <v>45954</v>
      </c>
      <c r="C4024" t="s">
        <v>24</v>
      </c>
      <c r="D4024" t="s">
        <v>38</v>
      </c>
      <c r="E4024" t="s">
        <v>42</v>
      </c>
      <c r="F4024" t="s">
        <v>13</v>
      </c>
      <c r="G4024">
        <v>5</v>
      </c>
      <c r="H4024">
        <v>3.8</v>
      </c>
      <c r="I4024" t="s">
        <v>21</v>
      </c>
      <c r="J4024" t="s">
        <v>3321</v>
      </c>
      <c r="K4024" s="12">
        <f>Store_Record[[#This Row],[Qty]]*Store_Record[[#This Row],[UnitPriceGBP]]</f>
        <v>19</v>
      </c>
      <c r="L4024" s="5" t="str">
        <f>TEXT(Store_Record[[#This Row],[Date]],"dddd")</f>
        <v>Friday</v>
      </c>
      <c r="M4024" s="5" t="str">
        <f>TEXT(Store_Record[[#This Row],[Date]],"mmmm")</f>
        <v>October</v>
      </c>
      <c r="N4024" s="5">
        <f>YEAR(Store_Record[[#This Row],[Date]])</f>
        <v>2025</v>
      </c>
      <c r="O4024"/>
    </row>
    <row r="4025" spans="1:15" x14ac:dyDescent="0.35">
      <c r="A4025" t="s">
        <v>5021</v>
      </c>
      <c r="B4025" s="2">
        <v>45954</v>
      </c>
      <c r="C4025" t="s">
        <v>24</v>
      </c>
      <c r="D4025" t="s">
        <v>38</v>
      </c>
      <c r="E4025" t="s">
        <v>42</v>
      </c>
      <c r="F4025" t="s">
        <v>13</v>
      </c>
      <c r="G4025">
        <v>5</v>
      </c>
      <c r="H4025">
        <v>3.8</v>
      </c>
      <c r="I4025" t="s">
        <v>39</v>
      </c>
      <c r="J4025" t="s">
        <v>2255</v>
      </c>
      <c r="K4025" s="12">
        <f>Store_Record[[#This Row],[Qty]]*Store_Record[[#This Row],[UnitPriceGBP]]</f>
        <v>19</v>
      </c>
      <c r="L4025" s="5" t="str">
        <f>TEXT(Store_Record[[#This Row],[Date]],"dddd")</f>
        <v>Friday</v>
      </c>
      <c r="M4025" s="5" t="str">
        <f>TEXT(Store_Record[[#This Row],[Date]],"mmmm")</f>
        <v>October</v>
      </c>
      <c r="N4025" s="5">
        <f>YEAR(Store_Record[[#This Row],[Date]])</f>
        <v>2025</v>
      </c>
      <c r="O4025"/>
    </row>
    <row r="4026" spans="1:15" x14ac:dyDescent="0.35">
      <c r="A4026" t="s">
        <v>5025</v>
      </c>
      <c r="B4026" s="2">
        <v>45954</v>
      </c>
      <c r="C4026" t="s">
        <v>10</v>
      </c>
      <c r="D4026" t="s">
        <v>25</v>
      </c>
      <c r="E4026" t="s">
        <v>26</v>
      </c>
      <c r="F4026" t="s">
        <v>13</v>
      </c>
      <c r="G4026">
        <v>5</v>
      </c>
      <c r="H4026">
        <v>3.5</v>
      </c>
      <c r="I4026" t="s">
        <v>21</v>
      </c>
      <c r="J4026" t="s">
        <v>428</v>
      </c>
      <c r="K4026" s="12">
        <f>Store_Record[[#This Row],[Qty]]*Store_Record[[#This Row],[UnitPriceGBP]]</f>
        <v>17.5</v>
      </c>
      <c r="L4026" s="5" t="str">
        <f>TEXT(Store_Record[[#This Row],[Date]],"dddd")</f>
        <v>Friday</v>
      </c>
      <c r="M4026" s="5" t="str">
        <f>TEXT(Store_Record[[#This Row],[Date]],"mmmm")</f>
        <v>October</v>
      </c>
      <c r="N4026" s="5">
        <f>YEAR(Store_Record[[#This Row],[Date]])</f>
        <v>2025</v>
      </c>
      <c r="O4026"/>
    </row>
    <row r="4027" spans="1:15" x14ac:dyDescent="0.35">
      <c r="A4027" t="s">
        <v>5019</v>
      </c>
      <c r="B4027" s="2">
        <v>45954</v>
      </c>
      <c r="C4027" t="s">
        <v>20</v>
      </c>
      <c r="D4027" t="s">
        <v>38</v>
      </c>
      <c r="E4027" t="s">
        <v>42</v>
      </c>
      <c r="F4027" t="s">
        <v>13</v>
      </c>
      <c r="G4027">
        <v>4</v>
      </c>
      <c r="H4027">
        <v>3.8</v>
      </c>
      <c r="I4027" t="s">
        <v>21</v>
      </c>
      <c r="J4027" t="s">
        <v>1387</v>
      </c>
      <c r="K4027" s="12">
        <f>Store_Record[[#This Row],[Qty]]*Store_Record[[#This Row],[UnitPriceGBP]]</f>
        <v>15.2</v>
      </c>
      <c r="L4027" s="5" t="str">
        <f>TEXT(Store_Record[[#This Row],[Date]],"dddd")</f>
        <v>Friday</v>
      </c>
      <c r="M4027" s="5" t="str">
        <f>TEXT(Store_Record[[#This Row],[Date]],"mmmm")</f>
        <v>October</v>
      </c>
      <c r="N4027" s="5">
        <f>YEAR(Store_Record[[#This Row],[Date]])</f>
        <v>2025</v>
      </c>
      <c r="O4027"/>
    </row>
    <row r="4028" spans="1:15" x14ac:dyDescent="0.35">
      <c r="A4028" t="s">
        <v>5026</v>
      </c>
      <c r="B4028" s="2">
        <v>45954</v>
      </c>
      <c r="C4028" t="s">
        <v>10</v>
      </c>
      <c r="D4028" t="s">
        <v>29</v>
      </c>
      <c r="E4028" t="s">
        <v>30</v>
      </c>
      <c r="F4028" t="s">
        <v>31</v>
      </c>
      <c r="G4028">
        <v>5</v>
      </c>
      <c r="H4028">
        <v>2.8</v>
      </c>
      <c r="I4028" t="s">
        <v>39</v>
      </c>
      <c r="J4028" t="s">
        <v>2233</v>
      </c>
      <c r="K4028" s="12">
        <f>Store_Record[[#This Row],[Qty]]*Store_Record[[#This Row],[UnitPriceGBP]]</f>
        <v>14</v>
      </c>
      <c r="L4028" s="5" t="str">
        <f>TEXT(Store_Record[[#This Row],[Date]],"dddd")</f>
        <v>Friday</v>
      </c>
      <c r="M4028" s="5" t="str">
        <f>TEXT(Store_Record[[#This Row],[Date]],"mmmm")</f>
        <v>October</v>
      </c>
      <c r="N4028" s="5">
        <f>YEAR(Store_Record[[#This Row],[Date]])</f>
        <v>2025</v>
      </c>
      <c r="O4028"/>
    </row>
    <row r="4029" spans="1:15" x14ac:dyDescent="0.35">
      <c r="A4029" t="s">
        <v>5015</v>
      </c>
      <c r="B4029" s="2">
        <v>45954</v>
      </c>
      <c r="C4029" t="s">
        <v>36</v>
      </c>
      <c r="D4029" t="s">
        <v>25</v>
      </c>
      <c r="E4029" t="s">
        <v>12</v>
      </c>
      <c r="F4029" t="s">
        <v>13</v>
      </c>
      <c r="G4029">
        <v>5</v>
      </c>
      <c r="H4029">
        <v>2.5</v>
      </c>
      <c r="I4029" t="s">
        <v>39</v>
      </c>
      <c r="J4029" t="s">
        <v>2052</v>
      </c>
      <c r="K4029" s="12">
        <f>Store_Record[[#This Row],[Qty]]*Store_Record[[#This Row],[UnitPriceGBP]]</f>
        <v>12.5</v>
      </c>
      <c r="L4029" s="5" t="str">
        <f>TEXT(Store_Record[[#This Row],[Date]],"dddd")</f>
        <v>Friday</v>
      </c>
      <c r="M4029" s="5" t="str">
        <f>TEXT(Store_Record[[#This Row],[Date]],"mmmm")</f>
        <v>October</v>
      </c>
      <c r="N4029" s="5">
        <f>YEAR(Store_Record[[#This Row],[Date]])</f>
        <v>2025</v>
      </c>
      <c r="O4029"/>
    </row>
    <row r="4030" spans="1:15" x14ac:dyDescent="0.35">
      <c r="A4030" t="s">
        <v>5022</v>
      </c>
      <c r="B4030" s="2">
        <v>45954</v>
      </c>
      <c r="C4030" t="s">
        <v>10</v>
      </c>
      <c r="D4030" t="s">
        <v>11</v>
      </c>
      <c r="E4030" t="s">
        <v>12</v>
      </c>
      <c r="F4030" t="s">
        <v>13</v>
      </c>
      <c r="G4030">
        <v>5</v>
      </c>
      <c r="H4030">
        <v>2.5</v>
      </c>
      <c r="I4030" t="s">
        <v>39</v>
      </c>
      <c r="J4030" t="s">
        <v>333</v>
      </c>
      <c r="K4030" s="12">
        <f>Store_Record[[#This Row],[Qty]]*Store_Record[[#This Row],[UnitPriceGBP]]</f>
        <v>12.5</v>
      </c>
      <c r="L4030" s="5" t="str">
        <f>TEXT(Store_Record[[#This Row],[Date]],"dddd")</f>
        <v>Friday</v>
      </c>
      <c r="M4030" s="5" t="str">
        <f>TEXT(Store_Record[[#This Row],[Date]],"mmmm")</f>
        <v>October</v>
      </c>
      <c r="N4030" s="5">
        <f>YEAR(Store_Record[[#This Row],[Date]])</f>
        <v>2025</v>
      </c>
      <c r="O4030"/>
    </row>
    <row r="4031" spans="1:15" x14ac:dyDescent="0.35">
      <c r="A4031" t="s">
        <v>5014</v>
      </c>
      <c r="B4031" s="2">
        <v>45954</v>
      </c>
      <c r="C4031" t="s">
        <v>10</v>
      </c>
      <c r="D4031" t="s">
        <v>11</v>
      </c>
      <c r="E4031" t="s">
        <v>42</v>
      </c>
      <c r="F4031" t="s">
        <v>13</v>
      </c>
      <c r="G4031">
        <v>3</v>
      </c>
      <c r="H4031">
        <v>3.8</v>
      </c>
      <c r="I4031" t="s">
        <v>39</v>
      </c>
      <c r="J4031" t="s">
        <v>3673</v>
      </c>
      <c r="K4031" s="12">
        <f>Store_Record[[#This Row],[Qty]]*Store_Record[[#This Row],[UnitPriceGBP]]</f>
        <v>11.399999999999999</v>
      </c>
      <c r="L4031" s="5" t="str">
        <f>TEXT(Store_Record[[#This Row],[Date]],"dddd")</f>
        <v>Friday</v>
      </c>
      <c r="M4031" s="5" t="str">
        <f>TEXT(Store_Record[[#This Row],[Date]],"mmmm")</f>
        <v>October</v>
      </c>
      <c r="N4031" s="5">
        <f>YEAR(Store_Record[[#This Row],[Date]])</f>
        <v>2025</v>
      </c>
      <c r="O4031"/>
    </row>
    <row r="4032" spans="1:15" x14ac:dyDescent="0.35">
      <c r="A4032" t="s">
        <v>5020</v>
      </c>
      <c r="B4032" s="2">
        <v>45954</v>
      </c>
      <c r="C4032" t="s">
        <v>36</v>
      </c>
      <c r="D4032" t="s">
        <v>11</v>
      </c>
      <c r="E4032" t="s">
        <v>30</v>
      </c>
      <c r="F4032" t="s">
        <v>31</v>
      </c>
      <c r="G4032">
        <v>3</v>
      </c>
      <c r="H4032">
        <v>2.8</v>
      </c>
      <c r="I4032" t="s">
        <v>21</v>
      </c>
      <c r="J4032" t="s">
        <v>598</v>
      </c>
      <c r="K4032" s="12">
        <f>Store_Record[[#This Row],[Qty]]*Store_Record[[#This Row],[UnitPriceGBP]]</f>
        <v>8.3999999999999986</v>
      </c>
      <c r="L4032" s="5" t="str">
        <f>TEXT(Store_Record[[#This Row],[Date]],"dddd")</f>
        <v>Friday</v>
      </c>
      <c r="M4032" s="5" t="str">
        <f>TEXT(Store_Record[[#This Row],[Date]],"mmmm")</f>
        <v>October</v>
      </c>
      <c r="N4032" s="5">
        <f>YEAR(Store_Record[[#This Row],[Date]])</f>
        <v>2025</v>
      </c>
      <c r="O4032"/>
    </row>
    <row r="4033" spans="1:15" x14ac:dyDescent="0.35">
      <c r="A4033" t="s">
        <v>5023</v>
      </c>
      <c r="B4033" s="2">
        <v>45954</v>
      </c>
      <c r="C4033" t="s">
        <v>24</v>
      </c>
      <c r="D4033" t="s">
        <v>25</v>
      </c>
      <c r="E4033" t="s">
        <v>42</v>
      </c>
      <c r="F4033" t="s">
        <v>13</v>
      </c>
      <c r="G4033">
        <v>2</v>
      </c>
      <c r="H4033">
        <v>3.8</v>
      </c>
      <c r="I4033" t="s">
        <v>21</v>
      </c>
      <c r="J4033" t="s">
        <v>208</v>
      </c>
      <c r="K4033" s="12">
        <f>Store_Record[[#This Row],[Qty]]*Store_Record[[#This Row],[UnitPriceGBP]]</f>
        <v>7.6</v>
      </c>
      <c r="L4033" s="5" t="str">
        <f>TEXT(Store_Record[[#This Row],[Date]],"dddd")</f>
        <v>Friday</v>
      </c>
      <c r="M4033" s="5" t="str">
        <f>TEXT(Store_Record[[#This Row],[Date]],"mmmm")</f>
        <v>October</v>
      </c>
      <c r="N4033" s="5">
        <f>YEAR(Store_Record[[#This Row],[Date]])</f>
        <v>2025</v>
      </c>
      <c r="O4033"/>
    </row>
    <row r="4034" spans="1:15" x14ac:dyDescent="0.35">
      <c r="A4034" t="s">
        <v>5027</v>
      </c>
      <c r="B4034" s="2">
        <v>45954</v>
      </c>
      <c r="C4034" t="s">
        <v>36</v>
      </c>
      <c r="D4034" t="s">
        <v>11</v>
      </c>
      <c r="E4034" t="s">
        <v>12</v>
      </c>
      <c r="F4034" t="s">
        <v>13</v>
      </c>
      <c r="G4034">
        <v>3</v>
      </c>
      <c r="H4034">
        <v>2.5</v>
      </c>
      <c r="I4034" t="s">
        <v>14</v>
      </c>
      <c r="J4034" t="s">
        <v>3831</v>
      </c>
      <c r="K4034" s="12">
        <f>Store_Record[[#This Row],[Qty]]*Store_Record[[#This Row],[UnitPriceGBP]]</f>
        <v>7.5</v>
      </c>
      <c r="L4034" s="5" t="str">
        <f>TEXT(Store_Record[[#This Row],[Date]],"dddd")</f>
        <v>Friday</v>
      </c>
      <c r="M4034" s="5" t="str">
        <f>TEXT(Store_Record[[#This Row],[Date]],"mmmm")</f>
        <v>October</v>
      </c>
      <c r="N4034" s="5">
        <f>YEAR(Store_Record[[#This Row],[Date]])</f>
        <v>2025</v>
      </c>
      <c r="O4034"/>
    </row>
    <row r="4035" spans="1:15" x14ac:dyDescent="0.35">
      <c r="A4035" t="s">
        <v>5018</v>
      </c>
      <c r="B4035" s="2">
        <v>45954</v>
      </c>
      <c r="C4035" t="s">
        <v>24</v>
      </c>
      <c r="D4035" t="s">
        <v>29</v>
      </c>
      <c r="E4035" t="s">
        <v>26</v>
      </c>
      <c r="F4035" t="s">
        <v>13</v>
      </c>
      <c r="G4035">
        <v>2</v>
      </c>
      <c r="H4035">
        <v>3.5</v>
      </c>
      <c r="I4035" t="s">
        <v>21</v>
      </c>
      <c r="J4035" t="s">
        <v>1221</v>
      </c>
      <c r="K4035" s="12">
        <f>Store_Record[[#This Row],[Qty]]*Store_Record[[#This Row],[UnitPriceGBP]]</f>
        <v>7</v>
      </c>
      <c r="L4035" s="5" t="str">
        <f>TEXT(Store_Record[[#This Row],[Date]],"dddd")</f>
        <v>Friday</v>
      </c>
      <c r="M4035" s="5" t="str">
        <f>TEXT(Store_Record[[#This Row],[Date]],"mmmm")</f>
        <v>October</v>
      </c>
      <c r="N4035" s="5">
        <f>YEAR(Store_Record[[#This Row],[Date]])</f>
        <v>2025</v>
      </c>
      <c r="O4035"/>
    </row>
    <row r="4036" spans="1:15" x14ac:dyDescent="0.35">
      <c r="A4036" t="s">
        <v>5016</v>
      </c>
      <c r="B4036" s="2">
        <v>45954</v>
      </c>
      <c r="C4036" t="s">
        <v>36</v>
      </c>
      <c r="D4036" t="s">
        <v>38</v>
      </c>
      <c r="E4036" t="s">
        <v>30</v>
      </c>
      <c r="F4036" t="s">
        <v>31</v>
      </c>
      <c r="G4036">
        <v>2</v>
      </c>
      <c r="H4036">
        <v>2.8</v>
      </c>
      <c r="I4036" t="s">
        <v>14</v>
      </c>
      <c r="J4036" t="s">
        <v>1667</v>
      </c>
      <c r="K4036" s="12">
        <f>Store_Record[[#This Row],[Qty]]*Store_Record[[#This Row],[UnitPriceGBP]]</f>
        <v>5.6</v>
      </c>
      <c r="L4036" s="5" t="str">
        <f>TEXT(Store_Record[[#This Row],[Date]],"dddd")</f>
        <v>Friday</v>
      </c>
      <c r="M4036" s="5" t="str">
        <f>TEXT(Store_Record[[#This Row],[Date]],"mmmm")</f>
        <v>October</v>
      </c>
      <c r="N4036" s="5">
        <f>YEAR(Store_Record[[#This Row],[Date]])</f>
        <v>2025</v>
      </c>
      <c r="O4036"/>
    </row>
    <row r="4037" spans="1:15" x14ac:dyDescent="0.35">
      <c r="A4037" t="s">
        <v>5012</v>
      </c>
      <c r="B4037" s="2">
        <v>45954</v>
      </c>
      <c r="C4037" t="s">
        <v>24</v>
      </c>
      <c r="D4037" t="s">
        <v>25</v>
      </c>
      <c r="E4037" t="s">
        <v>34</v>
      </c>
      <c r="F4037" t="s">
        <v>31</v>
      </c>
      <c r="G4037">
        <v>2</v>
      </c>
      <c r="H4037">
        <v>2.2000000000000002</v>
      </c>
      <c r="I4037" t="s">
        <v>14</v>
      </c>
      <c r="J4037" t="s">
        <v>5013</v>
      </c>
      <c r="K4037" s="12">
        <f>Store_Record[[#This Row],[Qty]]*Store_Record[[#This Row],[UnitPriceGBP]]</f>
        <v>4.4000000000000004</v>
      </c>
      <c r="L4037" s="5" t="str">
        <f>TEXT(Store_Record[[#This Row],[Date]],"dddd")</f>
        <v>Friday</v>
      </c>
      <c r="M4037" s="5" t="str">
        <f>TEXT(Store_Record[[#This Row],[Date]],"mmmm")</f>
        <v>October</v>
      </c>
      <c r="N4037" s="5">
        <f>YEAR(Store_Record[[#This Row],[Date]])</f>
        <v>2025</v>
      </c>
      <c r="O4037"/>
    </row>
    <row r="4038" spans="1:15" x14ac:dyDescent="0.35">
      <c r="A4038" t="s">
        <v>5017</v>
      </c>
      <c r="B4038" s="2">
        <v>45954</v>
      </c>
      <c r="C4038" t="s">
        <v>36</v>
      </c>
      <c r="D4038" t="s">
        <v>38</v>
      </c>
      <c r="E4038" t="s">
        <v>34</v>
      </c>
      <c r="F4038" t="s">
        <v>31</v>
      </c>
      <c r="G4038">
        <v>2</v>
      </c>
      <c r="H4038">
        <v>2.2000000000000002</v>
      </c>
      <c r="I4038" t="s">
        <v>21</v>
      </c>
      <c r="J4038" t="s">
        <v>679</v>
      </c>
      <c r="K4038" s="12">
        <f>Store_Record[[#This Row],[Qty]]*Store_Record[[#This Row],[UnitPriceGBP]]</f>
        <v>4.4000000000000004</v>
      </c>
      <c r="L4038" s="5" t="str">
        <f>TEXT(Store_Record[[#This Row],[Date]],"dddd")</f>
        <v>Friday</v>
      </c>
      <c r="M4038" s="5" t="str">
        <f>TEXT(Store_Record[[#This Row],[Date]],"mmmm")</f>
        <v>October</v>
      </c>
      <c r="N4038" s="5">
        <f>YEAR(Store_Record[[#This Row],[Date]])</f>
        <v>2025</v>
      </c>
      <c r="O4038"/>
    </row>
    <row r="4039" spans="1:15" x14ac:dyDescent="0.35">
      <c r="A4039" t="s">
        <v>5011</v>
      </c>
      <c r="B4039" s="2">
        <v>45954</v>
      </c>
      <c r="C4039" t="s">
        <v>20</v>
      </c>
      <c r="D4039" t="s">
        <v>47</v>
      </c>
      <c r="E4039" t="s">
        <v>42</v>
      </c>
      <c r="F4039" t="s">
        <v>13</v>
      </c>
      <c r="G4039">
        <v>1</v>
      </c>
      <c r="H4039">
        <v>3.8</v>
      </c>
      <c r="I4039" t="s">
        <v>14</v>
      </c>
      <c r="J4039" t="s">
        <v>1840</v>
      </c>
      <c r="K4039" s="12">
        <f>Store_Record[[#This Row],[Qty]]*Store_Record[[#This Row],[UnitPriceGBP]]</f>
        <v>3.8</v>
      </c>
      <c r="L4039" s="5" t="str">
        <f>TEXT(Store_Record[[#This Row],[Date]],"dddd")</f>
        <v>Friday</v>
      </c>
      <c r="M4039" s="5" t="str">
        <f>TEXT(Store_Record[[#This Row],[Date]],"mmmm")</f>
        <v>October</v>
      </c>
      <c r="N4039" s="5">
        <f>YEAR(Store_Record[[#This Row],[Date]])</f>
        <v>2025</v>
      </c>
      <c r="O4039"/>
    </row>
    <row r="4040" spans="1:15" x14ac:dyDescent="0.35">
      <c r="A4040" t="s">
        <v>5008</v>
      </c>
      <c r="B4040" s="2">
        <v>45954</v>
      </c>
      <c r="C4040" t="s">
        <v>20</v>
      </c>
      <c r="D4040" t="s">
        <v>38</v>
      </c>
      <c r="E4040" t="s">
        <v>12</v>
      </c>
      <c r="F4040" t="s">
        <v>13</v>
      </c>
      <c r="G4040">
        <v>1</v>
      </c>
      <c r="H4040">
        <v>2.5</v>
      </c>
      <c r="I4040" t="s">
        <v>21</v>
      </c>
      <c r="J4040" t="s">
        <v>1497</v>
      </c>
      <c r="K4040" s="12">
        <f>Store_Record[[#This Row],[Qty]]*Store_Record[[#This Row],[UnitPriceGBP]]</f>
        <v>2.5</v>
      </c>
      <c r="L4040" s="5" t="str">
        <f>TEXT(Store_Record[[#This Row],[Date]],"dddd")</f>
        <v>Friday</v>
      </c>
      <c r="M4040" s="5" t="str">
        <f>TEXT(Store_Record[[#This Row],[Date]],"mmmm")</f>
        <v>October</v>
      </c>
      <c r="N4040" s="5">
        <f>YEAR(Store_Record[[#This Row],[Date]])</f>
        <v>2025</v>
      </c>
      <c r="O4040"/>
    </row>
    <row r="4041" spans="1:15" x14ac:dyDescent="0.35">
      <c r="A4041" t="s">
        <v>5024</v>
      </c>
      <c r="B4041" s="2">
        <v>45954</v>
      </c>
      <c r="C4041" t="s">
        <v>10</v>
      </c>
      <c r="D4041" t="s">
        <v>29</v>
      </c>
      <c r="E4041" t="s">
        <v>12</v>
      </c>
      <c r="F4041" t="s">
        <v>13</v>
      </c>
      <c r="G4041">
        <v>1</v>
      </c>
      <c r="H4041">
        <v>2.5</v>
      </c>
      <c r="I4041" t="s">
        <v>21</v>
      </c>
      <c r="J4041" t="s">
        <v>2858</v>
      </c>
      <c r="K4041" s="12">
        <f>Store_Record[[#This Row],[Qty]]*Store_Record[[#This Row],[UnitPriceGBP]]</f>
        <v>2.5</v>
      </c>
      <c r="L4041" s="5" t="str">
        <f>TEXT(Store_Record[[#This Row],[Date]],"dddd")</f>
        <v>Friday</v>
      </c>
      <c r="M4041" s="5" t="str">
        <f>TEXT(Store_Record[[#This Row],[Date]],"mmmm")</f>
        <v>October</v>
      </c>
      <c r="N4041" s="5">
        <f>YEAR(Store_Record[[#This Row],[Date]])</f>
        <v>2025</v>
      </c>
      <c r="O4041"/>
    </row>
    <row r="4042" spans="1:15" x14ac:dyDescent="0.35">
      <c r="A4042" t="s">
        <v>5034</v>
      </c>
      <c r="B4042" s="2">
        <v>45955</v>
      </c>
      <c r="C4042" t="s">
        <v>36</v>
      </c>
      <c r="D4042" t="s">
        <v>29</v>
      </c>
      <c r="E4042" t="s">
        <v>26</v>
      </c>
      <c r="F4042" t="s">
        <v>13</v>
      </c>
      <c r="G4042">
        <v>5</v>
      </c>
      <c r="H4042">
        <v>3.5</v>
      </c>
      <c r="I4042" t="s">
        <v>39</v>
      </c>
      <c r="J4042" t="s">
        <v>808</v>
      </c>
      <c r="K4042" s="12">
        <f>Store_Record[[#This Row],[Qty]]*Store_Record[[#This Row],[UnitPriceGBP]]</f>
        <v>17.5</v>
      </c>
      <c r="L4042" s="5" t="str">
        <f>TEXT(Store_Record[[#This Row],[Date]],"dddd")</f>
        <v>Saturday</v>
      </c>
      <c r="M4042" s="5" t="str">
        <f>TEXT(Store_Record[[#This Row],[Date]],"mmmm")</f>
        <v>October</v>
      </c>
      <c r="N4042" s="5">
        <f>YEAR(Store_Record[[#This Row],[Date]])</f>
        <v>2025</v>
      </c>
      <c r="O4042"/>
    </row>
    <row r="4043" spans="1:15" x14ac:dyDescent="0.35">
      <c r="A4043" t="s">
        <v>5030</v>
      </c>
      <c r="B4043" s="2">
        <v>45955</v>
      </c>
      <c r="C4043" t="s">
        <v>36</v>
      </c>
      <c r="D4043" t="s">
        <v>11</v>
      </c>
      <c r="E4043" t="s">
        <v>12</v>
      </c>
      <c r="F4043" t="s">
        <v>13</v>
      </c>
      <c r="G4043">
        <v>5</v>
      </c>
      <c r="H4043">
        <v>2.5</v>
      </c>
      <c r="I4043" t="s">
        <v>14</v>
      </c>
      <c r="J4043" t="s">
        <v>910</v>
      </c>
      <c r="K4043" s="12">
        <f>Store_Record[[#This Row],[Qty]]*Store_Record[[#This Row],[UnitPriceGBP]]</f>
        <v>12.5</v>
      </c>
      <c r="L4043" s="5" t="str">
        <f>TEXT(Store_Record[[#This Row],[Date]],"dddd")</f>
        <v>Saturday</v>
      </c>
      <c r="M4043" s="5" t="str">
        <f>TEXT(Store_Record[[#This Row],[Date]],"mmmm")</f>
        <v>October</v>
      </c>
      <c r="N4043" s="5">
        <f>YEAR(Store_Record[[#This Row],[Date]])</f>
        <v>2025</v>
      </c>
      <c r="O4043"/>
    </row>
    <row r="4044" spans="1:15" x14ac:dyDescent="0.35">
      <c r="A4044" t="s">
        <v>5036</v>
      </c>
      <c r="B4044" s="2">
        <v>45955</v>
      </c>
      <c r="C4044" t="s">
        <v>20</v>
      </c>
      <c r="D4044" t="s">
        <v>11</v>
      </c>
      <c r="E4044" t="s">
        <v>26</v>
      </c>
      <c r="F4044" t="s">
        <v>13</v>
      </c>
      <c r="G4044">
        <v>3</v>
      </c>
      <c r="H4044">
        <v>3.5</v>
      </c>
      <c r="I4044" t="s">
        <v>21</v>
      </c>
      <c r="J4044" t="s">
        <v>2168</v>
      </c>
      <c r="K4044" s="12">
        <f>Store_Record[[#This Row],[Qty]]*Store_Record[[#This Row],[UnitPriceGBP]]</f>
        <v>10.5</v>
      </c>
      <c r="L4044" s="5" t="str">
        <f>TEXT(Store_Record[[#This Row],[Date]],"dddd")</f>
        <v>Saturday</v>
      </c>
      <c r="M4044" s="5" t="str">
        <f>TEXT(Store_Record[[#This Row],[Date]],"mmmm")</f>
        <v>October</v>
      </c>
      <c r="N4044" s="5">
        <f>YEAR(Store_Record[[#This Row],[Date]])</f>
        <v>2025</v>
      </c>
      <c r="O4044"/>
    </row>
    <row r="4045" spans="1:15" x14ac:dyDescent="0.35">
      <c r="A4045" t="s">
        <v>5037</v>
      </c>
      <c r="B4045" s="2">
        <v>45955</v>
      </c>
      <c r="C4045" t="s">
        <v>36</v>
      </c>
      <c r="D4045" t="s">
        <v>25</v>
      </c>
      <c r="E4045" t="s">
        <v>30</v>
      </c>
      <c r="F4045" t="s">
        <v>31</v>
      </c>
      <c r="G4045">
        <v>3</v>
      </c>
      <c r="H4045">
        <v>2.8</v>
      </c>
      <c r="I4045" t="s">
        <v>14</v>
      </c>
      <c r="J4045" t="s">
        <v>286</v>
      </c>
      <c r="K4045" s="12">
        <f>Store_Record[[#This Row],[Qty]]*Store_Record[[#This Row],[UnitPriceGBP]]</f>
        <v>8.3999999999999986</v>
      </c>
      <c r="L4045" s="5" t="str">
        <f>TEXT(Store_Record[[#This Row],[Date]],"dddd")</f>
        <v>Saturday</v>
      </c>
      <c r="M4045" s="5" t="str">
        <f>TEXT(Store_Record[[#This Row],[Date]],"mmmm")</f>
        <v>October</v>
      </c>
      <c r="N4045" s="5">
        <f>YEAR(Store_Record[[#This Row],[Date]])</f>
        <v>2025</v>
      </c>
      <c r="O4045"/>
    </row>
    <row r="4046" spans="1:15" x14ac:dyDescent="0.35">
      <c r="A4046" t="s">
        <v>5035</v>
      </c>
      <c r="B4046" s="2">
        <v>45955</v>
      </c>
      <c r="C4046" t="s">
        <v>20</v>
      </c>
      <c r="D4046" t="s">
        <v>11</v>
      </c>
      <c r="E4046" t="s">
        <v>42</v>
      </c>
      <c r="F4046" t="s">
        <v>13</v>
      </c>
      <c r="G4046">
        <v>2</v>
      </c>
      <c r="H4046">
        <v>3.8</v>
      </c>
      <c r="I4046" t="s">
        <v>21</v>
      </c>
      <c r="J4046" t="s">
        <v>972</v>
      </c>
      <c r="K4046" s="12">
        <f>Store_Record[[#This Row],[Qty]]*Store_Record[[#This Row],[UnitPriceGBP]]</f>
        <v>7.6</v>
      </c>
      <c r="L4046" s="5" t="str">
        <f>TEXT(Store_Record[[#This Row],[Date]],"dddd")</f>
        <v>Saturday</v>
      </c>
      <c r="M4046" s="5" t="str">
        <f>TEXT(Store_Record[[#This Row],[Date]],"mmmm")</f>
        <v>October</v>
      </c>
      <c r="N4046" s="5">
        <f>YEAR(Store_Record[[#This Row],[Date]])</f>
        <v>2025</v>
      </c>
      <c r="O4046"/>
    </row>
    <row r="4047" spans="1:15" x14ac:dyDescent="0.35">
      <c r="A4047" t="s">
        <v>5028</v>
      </c>
      <c r="B4047" s="2">
        <v>45955</v>
      </c>
      <c r="C4047" t="s">
        <v>10</v>
      </c>
      <c r="D4047" t="s">
        <v>38</v>
      </c>
      <c r="E4047" t="s">
        <v>26</v>
      </c>
      <c r="F4047" t="s">
        <v>13</v>
      </c>
      <c r="G4047">
        <v>2</v>
      </c>
      <c r="H4047">
        <v>3.5</v>
      </c>
      <c r="I4047" t="s">
        <v>39</v>
      </c>
      <c r="J4047" t="s">
        <v>2574</v>
      </c>
      <c r="K4047" s="12">
        <f>Store_Record[[#This Row],[Qty]]*Store_Record[[#This Row],[UnitPriceGBP]]</f>
        <v>7</v>
      </c>
      <c r="L4047" s="5" t="str">
        <f>TEXT(Store_Record[[#This Row],[Date]],"dddd")</f>
        <v>Saturday</v>
      </c>
      <c r="M4047" s="5" t="str">
        <f>TEXT(Store_Record[[#This Row],[Date]],"mmmm")</f>
        <v>October</v>
      </c>
      <c r="N4047" s="5">
        <f>YEAR(Store_Record[[#This Row],[Date]])</f>
        <v>2025</v>
      </c>
      <c r="O4047"/>
    </row>
    <row r="4048" spans="1:15" x14ac:dyDescent="0.35">
      <c r="A4048" t="s">
        <v>5032</v>
      </c>
      <c r="B4048" s="2">
        <v>45955</v>
      </c>
      <c r="C4048" t="s">
        <v>24</v>
      </c>
      <c r="D4048" t="s">
        <v>25</v>
      </c>
      <c r="E4048" t="s">
        <v>34</v>
      </c>
      <c r="F4048" t="s">
        <v>31</v>
      </c>
      <c r="G4048">
        <v>3</v>
      </c>
      <c r="H4048">
        <v>2.2000000000000002</v>
      </c>
      <c r="I4048" t="s">
        <v>14</v>
      </c>
      <c r="J4048" t="s">
        <v>177</v>
      </c>
      <c r="K4048" s="12">
        <f>Store_Record[[#This Row],[Qty]]*Store_Record[[#This Row],[UnitPriceGBP]]</f>
        <v>6.6000000000000005</v>
      </c>
      <c r="L4048" s="5" t="str">
        <f>TEXT(Store_Record[[#This Row],[Date]],"dddd")</f>
        <v>Saturday</v>
      </c>
      <c r="M4048" s="5" t="str">
        <f>TEXT(Store_Record[[#This Row],[Date]],"mmmm")</f>
        <v>October</v>
      </c>
      <c r="N4048" s="5">
        <f>YEAR(Store_Record[[#This Row],[Date]])</f>
        <v>2025</v>
      </c>
      <c r="O4048"/>
    </row>
    <row r="4049" spans="1:15" x14ac:dyDescent="0.35">
      <c r="A4049" t="s">
        <v>5029</v>
      </c>
      <c r="B4049" s="2">
        <v>45955</v>
      </c>
      <c r="C4049" t="s">
        <v>36</v>
      </c>
      <c r="D4049" t="s">
        <v>11</v>
      </c>
      <c r="E4049" t="s">
        <v>12</v>
      </c>
      <c r="F4049" t="s">
        <v>13</v>
      </c>
      <c r="G4049">
        <v>2</v>
      </c>
      <c r="H4049">
        <v>2.5</v>
      </c>
      <c r="I4049" t="s">
        <v>21</v>
      </c>
      <c r="J4049" t="s">
        <v>1083</v>
      </c>
      <c r="K4049" s="12">
        <f>Store_Record[[#This Row],[Qty]]*Store_Record[[#This Row],[UnitPriceGBP]]</f>
        <v>5</v>
      </c>
      <c r="L4049" s="5" t="str">
        <f>TEXT(Store_Record[[#This Row],[Date]],"dddd")</f>
        <v>Saturday</v>
      </c>
      <c r="M4049" s="5" t="str">
        <f>TEXT(Store_Record[[#This Row],[Date]],"mmmm")</f>
        <v>October</v>
      </c>
      <c r="N4049" s="5">
        <f>YEAR(Store_Record[[#This Row],[Date]])</f>
        <v>2025</v>
      </c>
      <c r="O4049"/>
    </row>
    <row r="4050" spans="1:15" x14ac:dyDescent="0.35">
      <c r="A4050" t="s">
        <v>5033</v>
      </c>
      <c r="B4050" s="2">
        <v>45955</v>
      </c>
      <c r="C4050" t="s">
        <v>10</v>
      </c>
      <c r="D4050" t="s">
        <v>11</v>
      </c>
      <c r="E4050" t="s">
        <v>34</v>
      </c>
      <c r="F4050" t="s">
        <v>31</v>
      </c>
      <c r="G4050">
        <v>2</v>
      </c>
      <c r="H4050">
        <v>2.2000000000000002</v>
      </c>
      <c r="I4050" t="s">
        <v>14</v>
      </c>
      <c r="J4050" t="s">
        <v>3885</v>
      </c>
      <c r="K4050" s="12">
        <f>Store_Record[[#This Row],[Qty]]*Store_Record[[#This Row],[UnitPriceGBP]]</f>
        <v>4.4000000000000004</v>
      </c>
      <c r="L4050" s="5" t="str">
        <f>TEXT(Store_Record[[#This Row],[Date]],"dddd")</f>
        <v>Saturday</v>
      </c>
      <c r="M4050" s="5" t="str">
        <f>TEXT(Store_Record[[#This Row],[Date]],"mmmm")</f>
        <v>October</v>
      </c>
      <c r="N4050" s="5">
        <f>YEAR(Store_Record[[#This Row],[Date]])</f>
        <v>2025</v>
      </c>
      <c r="O4050"/>
    </row>
    <row r="4051" spans="1:15" x14ac:dyDescent="0.35">
      <c r="A4051" t="s">
        <v>5031</v>
      </c>
      <c r="B4051" s="2">
        <v>45955</v>
      </c>
      <c r="C4051" t="s">
        <v>36</v>
      </c>
      <c r="D4051" t="s">
        <v>11</v>
      </c>
      <c r="E4051" t="s">
        <v>30</v>
      </c>
      <c r="F4051" t="s">
        <v>31</v>
      </c>
      <c r="G4051">
        <v>1</v>
      </c>
      <c r="H4051">
        <v>2.8</v>
      </c>
      <c r="I4051" t="s">
        <v>14</v>
      </c>
      <c r="J4051" t="s">
        <v>314</v>
      </c>
      <c r="K4051" s="12">
        <f>Store_Record[[#This Row],[Qty]]*Store_Record[[#This Row],[UnitPriceGBP]]</f>
        <v>2.8</v>
      </c>
      <c r="L4051" s="5" t="str">
        <f>TEXT(Store_Record[[#This Row],[Date]],"dddd")</f>
        <v>Saturday</v>
      </c>
      <c r="M4051" s="5" t="str">
        <f>TEXT(Store_Record[[#This Row],[Date]],"mmmm")</f>
        <v>October</v>
      </c>
      <c r="N4051" s="5">
        <f>YEAR(Store_Record[[#This Row],[Date]])</f>
        <v>2025</v>
      </c>
      <c r="O4051"/>
    </row>
    <row r="4052" spans="1:15" x14ac:dyDescent="0.35">
      <c r="A4052" t="s">
        <v>5042</v>
      </c>
      <c r="B4052" s="2">
        <v>45956</v>
      </c>
      <c r="C4052" t="s">
        <v>24</v>
      </c>
      <c r="D4052" t="s">
        <v>25</v>
      </c>
      <c r="E4052" t="s">
        <v>26</v>
      </c>
      <c r="F4052" t="s">
        <v>13</v>
      </c>
      <c r="G4052">
        <v>5</v>
      </c>
      <c r="H4052">
        <v>3.5</v>
      </c>
      <c r="I4052" t="s">
        <v>21</v>
      </c>
      <c r="J4052" t="s">
        <v>1338</v>
      </c>
      <c r="K4052" s="12">
        <f>Store_Record[[#This Row],[Qty]]*Store_Record[[#This Row],[UnitPriceGBP]]</f>
        <v>17.5</v>
      </c>
      <c r="L4052" s="5" t="str">
        <f>TEXT(Store_Record[[#This Row],[Date]],"dddd")</f>
        <v>Sunday</v>
      </c>
      <c r="M4052" s="5" t="str">
        <f>TEXT(Store_Record[[#This Row],[Date]],"mmmm")</f>
        <v>October</v>
      </c>
      <c r="N4052" s="5">
        <f>YEAR(Store_Record[[#This Row],[Date]])</f>
        <v>2025</v>
      </c>
      <c r="O4052"/>
    </row>
    <row r="4053" spans="1:15" x14ac:dyDescent="0.35">
      <c r="A4053" t="s">
        <v>5046</v>
      </c>
      <c r="B4053" s="2">
        <v>45956</v>
      </c>
      <c r="C4053" t="s">
        <v>10</v>
      </c>
      <c r="D4053" t="s">
        <v>25</v>
      </c>
      <c r="E4053" t="s">
        <v>26</v>
      </c>
      <c r="F4053" t="s">
        <v>13</v>
      </c>
      <c r="G4053">
        <v>5</v>
      </c>
      <c r="H4053">
        <v>3.5</v>
      </c>
      <c r="I4053" t="s">
        <v>14</v>
      </c>
      <c r="J4053" t="s">
        <v>131</v>
      </c>
      <c r="K4053" s="12">
        <f>Store_Record[[#This Row],[Qty]]*Store_Record[[#This Row],[UnitPriceGBP]]</f>
        <v>17.5</v>
      </c>
      <c r="L4053" s="5" t="str">
        <f>TEXT(Store_Record[[#This Row],[Date]],"dddd")</f>
        <v>Sunday</v>
      </c>
      <c r="M4053" s="5" t="str">
        <f>TEXT(Store_Record[[#This Row],[Date]],"mmmm")</f>
        <v>October</v>
      </c>
      <c r="N4053" s="5">
        <f>YEAR(Store_Record[[#This Row],[Date]])</f>
        <v>2025</v>
      </c>
      <c r="O4053"/>
    </row>
    <row r="4054" spans="1:15" x14ac:dyDescent="0.35">
      <c r="A4054" t="s">
        <v>5045</v>
      </c>
      <c r="B4054" s="2">
        <v>45956</v>
      </c>
      <c r="C4054" t="s">
        <v>36</v>
      </c>
      <c r="D4054" t="s">
        <v>25</v>
      </c>
      <c r="E4054" t="s">
        <v>42</v>
      </c>
      <c r="F4054" t="s">
        <v>13</v>
      </c>
      <c r="G4054">
        <v>4</v>
      </c>
      <c r="H4054">
        <v>3.8</v>
      </c>
      <c r="I4054" t="s">
        <v>21</v>
      </c>
      <c r="J4054" t="s">
        <v>426</v>
      </c>
      <c r="K4054" s="12">
        <f>Store_Record[[#This Row],[Qty]]*Store_Record[[#This Row],[UnitPriceGBP]]</f>
        <v>15.2</v>
      </c>
      <c r="L4054" s="5" t="str">
        <f>TEXT(Store_Record[[#This Row],[Date]],"dddd")</f>
        <v>Sunday</v>
      </c>
      <c r="M4054" s="5" t="str">
        <f>TEXT(Store_Record[[#This Row],[Date]],"mmmm")</f>
        <v>October</v>
      </c>
      <c r="N4054" s="5">
        <f>YEAR(Store_Record[[#This Row],[Date]])</f>
        <v>2025</v>
      </c>
      <c r="O4054"/>
    </row>
    <row r="4055" spans="1:15" x14ac:dyDescent="0.35">
      <c r="A4055" t="s">
        <v>5047</v>
      </c>
      <c r="B4055" s="2">
        <v>45956</v>
      </c>
      <c r="C4055" t="s">
        <v>10</v>
      </c>
      <c r="D4055" t="s">
        <v>38</v>
      </c>
      <c r="E4055" t="s">
        <v>42</v>
      </c>
      <c r="F4055" t="s">
        <v>13</v>
      </c>
      <c r="G4055">
        <v>4</v>
      </c>
      <c r="H4055">
        <v>3.8</v>
      </c>
      <c r="I4055" t="s">
        <v>14</v>
      </c>
      <c r="J4055" t="s">
        <v>1543</v>
      </c>
      <c r="K4055" s="12">
        <f>Store_Record[[#This Row],[Qty]]*Store_Record[[#This Row],[UnitPriceGBP]]</f>
        <v>15.2</v>
      </c>
      <c r="L4055" s="5" t="str">
        <f>TEXT(Store_Record[[#This Row],[Date]],"dddd")</f>
        <v>Sunday</v>
      </c>
      <c r="M4055" s="5" t="str">
        <f>TEXT(Store_Record[[#This Row],[Date]],"mmmm")</f>
        <v>October</v>
      </c>
      <c r="N4055" s="5">
        <f>YEAR(Store_Record[[#This Row],[Date]])</f>
        <v>2025</v>
      </c>
      <c r="O4055"/>
    </row>
    <row r="4056" spans="1:15" x14ac:dyDescent="0.35">
      <c r="A4056" t="s">
        <v>5038</v>
      </c>
      <c r="B4056" s="2">
        <v>45956</v>
      </c>
      <c r="C4056" t="s">
        <v>36</v>
      </c>
      <c r="D4056" t="s">
        <v>11</v>
      </c>
      <c r="E4056" t="s">
        <v>26</v>
      </c>
      <c r="F4056" t="s">
        <v>13</v>
      </c>
      <c r="G4056">
        <v>4</v>
      </c>
      <c r="H4056">
        <v>3.5</v>
      </c>
      <c r="I4056" t="s">
        <v>21</v>
      </c>
      <c r="J4056" t="s">
        <v>1663</v>
      </c>
      <c r="K4056" s="12">
        <f>Store_Record[[#This Row],[Qty]]*Store_Record[[#This Row],[UnitPriceGBP]]</f>
        <v>14</v>
      </c>
      <c r="L4056" s="5" t="str">
        <f>TEXT(Store_Record[[#This Row],[Date]],"dddd")</f>
        <v>Sunday</v>
      </c>
      <c r="M4056" s="5" t="str">
        <f>TEXT(Store_Record[[#This Row],[Date]],"mmmm")</f>
        <v>October</v>
      </c>
      <c r="N4056" s="5">
        <f>YEAR(Store_Record[[#This Row],[Date]])</f>
        <v>2025</v>
      </c>
      <c r="O4056"/>
    </row>
    <row r="4057" spans="1:15" x14ac:dyDescent="0.35">
      <c r="A4057" t="s">
        <v>5043</v>
      </c>
      <c r="B4057" s="2">
        <v>45956</v>
      </c>
      <c r="C4057" t="s">
        <v>10</v>
      </c>
      <c r="D4057" t="s">
        <v>25</v>
      </c>
      <c r="E4057" t="s">
        <v>26</v>
      </c>
      <c r="F4057" t="s">
        <v>13</v>
      </c>
      <c r="G4057">
        <v>4</v>
      </c>
      <c r="H4057">
        <v>3.5</v>
      </c>
      <c r="I4057" t="s">
        <v>14</v>
      </c>
      <c r="J4057" t="s">
        <v>2032</v>
      </c>
      <c r="K4057" s="12">
        <f>Store_Record[[#This Row],[Qty]]*Store_Record[[#This Row],[UnitPriceGBP]]</f>
        <v>14</v>
      </c>
      <c r="L4057" s="5" t="str">
        <f>TEXT(Store_Record[[#This Row],[Date]],"dddd")</f>
        <v>Sunday</v>
      </c>
      <c r="M4057" s="5" t="str">
        <f>TEXT(Store_Record[[#This Row],[Date]],"mmmm")</f>
        <v>October</v>
      </c>
      <c r="N4057" s="5">
        <f>YEAR(Store_Record[[#This Row],[Date]])</f>
        <v>2025</v>
      </c>
      <c r="O4057"/>
    </row>
    <row r="4058" spans="1:15" x14ac:dyDescent="0.35">
      <c r="A4058" t="s">
        <v>5048</v>
      </c>
      <c r="B4058" s="2">
        <v>45956</v>
      </c>
      <c r="C4058" t="s">
        <v>36</v>
      </c>
      <c r="D4058" t="s">
        <v>29</v>
      </c>
      <c r="E4058" t="s">
        <v>12</v>
      </c>
      <c r="F4058" t="s">
        <v>13</v>
      </c>
      <c r="G4058">
        <v>4</v>
      </c>
      <c r="H4058">
        <v>2.5</v>
      </c>
      <c r="I4058" t="s">
        <v>21</v>
      </c>
      <c r="J4058" t="s">
        <v>1449</v>
      </c>
      <c r="K4058" s="12">
        <f>Store_Record[[#This Row],[Qty]]*Store_Record[[#This Row],[UnitPriceGBP]]</f>
        <v>10</v>
      </c>
      <c r="L4058" s="5" t="str">
        <f>TEXT(Store_Record[[#This Row],[Date]],"dddd")</f>
        <v>Sunday</v>
      </c>
      <c r="M4058" s="5" t="str">
        <f>TEXT(Store_Record[[#This Row],[Date]],"mmmm")</f>
        <v>October</v>
      </c>
      <c r="N4058" s="5">
        <f>YEAR(Store_Record[[#This Row],[Date]])</f>
        <v>2025</v>
      </c>
      <c r="O4058"/>
    </row>
    <row r="4059" spans="1:15" x14ac:dyDescent="0.35">
      <c r="A4059" t="s">
        <v>5050</v>
      </c>
      <c r="B4059" s="2">
        <v>45956</v>
      </c>
      <c r="C4059" t="s">
        <v>10</v>
      </c>
      <c r="D4059" t="s">
        <v>25</v>
      </c>
      <c r="E4059" t="s">
        <v>34</v>
      </c>
      <c r="F4059" t="s">
        <v>31</v>
      </c>
      <c r="G4059">
        <v>4</v>
      </c>
      <c r="H4059">
        <v>2.2000000000000002</v>
      </c>
      <c r="I4059" t="s">
        <v>21</v>
      </c>
      <c r="J4059" t="s">
        <v>1989</v>
      </c>
      <c r="K4059" s="12">
        <f>Store_Record[[#This Row],[Qty]]*Store_Record[[#This Row],[UnitPriceGBP]]</f>
        <v>8.8000000000000007</v>
      </c>
      <c r="L4059" s="5" t="str">
        <f>TEXT(Store_Record[[#This Row],[Date]],"dddd")</f>
        <v>Sunday</v>
      </c>
      <c r="M4059" s="5" t="str">
        <f>TEXT(Store_Record[[#This Row],[Date]],"mmmm")</f>
        <v>October</v>
      </c>
      <c r="N4059" s="5">
        <f>YEAR(Store_Record[[#This Row],[Date]])</f>
        <v>2025</v>
      </c>
      <c r="O4059"/>
    </row>
    <row r="4060" spans="1:15" x14ac:dyDescent="0.35">
      <c r="A4060" t="s">
        <v>5039</v>
      </c>
      <c r="B4060" s="2">
        <v>45956</v>
      </c>
      <c r="C4060" t="s">
        <v>24</v>
      </c>
      <c r="D4060" t="s">
        <v>11</v>
      </c>
      <c r="E4060" t="s">
        <v>30</v>
      </c>
      <c r="F4060" t="s">
        <v>31</v>
      </c>
      <c r="G4060">
        <v>3</v>
      </c>
      <c r="H4060">
        <v>2.8</v>
      </c>
      <c r="I4060" t="s">
        <v>14</v>
      </c>
      <c r="J4060" t="s">
        <v>748</v>
      </c>
      <c r="K4060" s="12">
        <f>Store_Record[[#This Row],[Qty]]*Store_Record[[#This Row],[UnitPriceGBP]]</f>
        <v>8.3999999999999986</v>
      </c>
      <c r="L4060" s="5" t="str">
        <f>TEXT(Store_Record[[#This Row],[Date]],"dddd")</f>
        <v>Sunday</v>
      </c>
      <c r="M4060" s="5" t="str">
        <f>TEXT(Store_Record[[#This Row],[Date]],"mmmm")</f>
        <v>October</v>
      </c>
      <c r="N4060" s="5">
        <f>YEAR(Store_Record[[#This Row],[Date]])</f>
        <v>2025</v>
      </c>
      <c r="O4060"/>
    </row>
    <row r="4061" spans="1:15" x14ac:dyDescent="0.35">
      <c r="A4061" t="s">
        <v>5040</v>
      </c>
      <c r="B4061" s="2">
        <v>45956</v>
      </c>
      <c r="C4061" t="s">
        <v>36</v>
      </c>
      <c r="D4061" t="s">
        <v>47</v>
      </c>
      <c r="E4061" t="s">
        <v>34</v>
      </c>
      <c r="F4061" t="s">
        <v>31</v>
      </c>
      <c r="G4061">
        <v>3</v>
      </c>
      <c r="H4061">
        <v>2.2000000000000002</v>
      </c>
      <c r="I4061" t="s">
        <v>14</v>
      </c>
      <c r="J4061" t="s">
        <v>1910</v>
      </c>
      <c r="K4061" s="12">
        <f>Store_Record[[#This Row],[Qty]]*Store_Record[[#This Row],[UnitPriceGBP]]</f>
        <v>6.6000000000000005</v>
      </c>
      <c r="L4061" s="5" t="str">
        <f>TEXT(Store_Record[[#This Row],[Date]],"dddd")</f>
        <v>Sunday</v>
      </c>
      <c r="M4061" s="5" t="str">
        <f>TEXT(Store_Record[[#This Row],[Date]],"mmmm")</f>
        <v>October</v>
      </c>
      <c r="N4061" s="5">
        <f>YEAR(Store_Record[[#This Row],[Date]])</f>
        <v>2025</v>
      </c>
      <c r="O4061"/>
    </row>
    <row r="4062" spans="1:15" x14ac:dyDescent="0.35">
      <c r="A4062" t="s">
        <v>5049</v>
      </c>
      <c r="B4062" s="2">
        <v>45956</v>
      </c>
      <c r="C4062" t="s">
        <v>24</v>
      </c>
      <c r="D4062" t="s">
        <v>47</v>
      </c>
      <c r="E4062" t="s">
        <v>34</v>
      </c>
      <c r="F4062" t="s">
        <v>31</v>
      </c>
      <c r="G4062">
        <v>2</v>
      </c>
      <c r="H4062">
        <v>2.2000000000000002</v>
      </c>
      <c r="I4062" t="s">
        <v>39</v>
      </c>
      <c r="J4062" t="s">
        <v>1034</v>
      </c>
      <c r="K4062" s="12">
        <f>Store_Record[[#This Row],[Qty]]*Store_Record[[#This Row],[UnitPriceGBP]]</f>
        <v>4.4000000000000004</v>
      </c>
      <c r="L4062" s="5" t="str">
        <f>TEXT(Store_Record[[#This Row],[Date]],"dddd")</f>
        <v>Sunday</v>
      </c>
      <c r="M4062" s="5" t="str">
        <f>TEXT(Store_Record[[#This Row],[Date]],"mmmm")</f>
        <v>October</v>
      </c>
      <c r="N4062" s="5">
        <f>YEAR(Store_Record[[#This Row],[Date]])</f>
        <v>2025</v>
      </c>
      <c r="O4062"/>
    </row>
    <row r="4063" spans="1:15" x14ac:dyDescent="0.35">
      <c r="A4063" t="s">
        <v>5044</v>
      </c>
      <c r="B4063" s="2">
        <v>45956</v>
      </c>
      <c r="C4063" t="s">
        <v>24</v>
      </c>
      <c r="D4063" t="s">
        <v>38</v>
      </c>
      <c r="E4063" t="s">
        <v>12</v>
      </c>
      <c r="F4063" t="s">
        <v>13</v>
      </c>
      <c r="G4063">
        <v>1</v>
      </c>
      <c r="H4063">
        <v>2.5</v>
      </c>
      <c r="I4063" t="s">
        <v>21</v>
      </c>
      <c r="J4063" t="s">
        <v>506</v>
      </c>
      <c r="K4063" s="12">
        <f>Store_Record[[#This Row],[Qty]]*Store_Record[[#This Row],[UnitPriceGBP]]</f>
        <v>2.5</v>
      </c>
      <c r="L4063" s="5" t="str">
        <f>TEXT(Store_Record[[#This Row],[Date]],"dddd")</f>
        <v>Sunday</v>
      </c>
      <c r="M4063" s="5" t="str">
        <f>TEXT(Store_Record[[#This Row],[Date]],"mmmm")</f>
        <v>October</v>
      </c>
      <c r="N4063" s="5">
        <f>YEAR(Store_Record[[#This Row],[Date]])</f>
        <v>2025</v>
      </c>
      <c r="O4063"/>
    </row>
    <row r="4064" spans="1:15" x14ac:dyDescent="0.35">
      <c r="A4064" t="s">
        <v>5041</v>
      </c>
      <c r="B4064" s="2">
        <v>45956</v>
      </c>
      <c r="C4064" t="s">
        <v>20</v>
      </c>
      <c r="D4064" t="s">
        <v>11</v>
      </c>
      <c r="E4064" t="s">
        <v>34</v>
      </c>
      <c r="F4064" t="s">
        <v>31</v>
      </c>
      <c r="G4064">
        <v>1</v>
      </c>
      <c r="H4064">
        <v>2.2000000000000002</v>
      </c>
      <c r="I4064" t="s">
        <v>21</v>
      </c>
      <c r="J4064" t="s">
        <v>543</v>
      </c>
      <c r="K4064" s="12">
        <f>Store_Record[[#This Row],[Qty]]*Store_Record[[#This Row],[UnitPriceGBP]]</f>
        <v>2.2000000000000002</v>
      </c>
      <c r="L4064" s="5" t="str">
        <f>TEXT(Store_Record[[#This Row],[Date]],"dddd")</f>
        <v>Sunday</v>
      </c>
      <c r="M4064" s="5" t="str">
        <f>TEXT(Store_Record[[#This Row],[Date]],"mmmm")</f>
        <v>October</v>
      </c>
      <c r="N4064" s="5">
        <f>YEAR(Store_Record[[#This Row],[Date]])</f>
        <v>2025</v>
      </c>
      <c r="O4064"/>
    </row>
    <row r="4065" spans="1:15" x14ac:dyDescent="0.35">
      <c r="A4065" t="s">
        <v>5059</v>
      </c>
      <c r="B4065" s="2">
        <v>45957</v>
      </c>
      <c r="C4065" t="s">
        <v>36</v>
      </c>
      <c r="D4065" t="s">
        <v>47</v>
      </c>
      <c r="E4065" t="s">
        <v>42</v>
      </c>
      <c r="F4065" t="s">
        <v>13</v>
      </c>
      <c r="G4065">
        <v>5</v>
      </c>
      <c r="H4065">
        <v>3.8</v>
      </c>
      <c r="I4065" t="s">
        <v>39</v>
      </c>
      <c r="J4065" t="s">
        <v>1114</v>
      </c>
      <c r="K4065" s="12">
        <f>Store_Record[[#This Row],[Qty]]*Store_Record[[#This Row],[UnitPriceGBP]]</f>
        <v>19</v>
      </c>
      <c r="L4065" s="5" t="str">
        <f>TEXT(Store_Record[[#This Row],[Date]],"dddd")</f>
        <v>Monday</v>
      </c>
      <c r="M4065" s="5" t="str">
        <f>TEXT(Store_Record[[#This Row],[Date]],"mmmm")</f>
        <v>October</v>
      </c>
      <c r="N4065" s="5">
        <f>YEAR(Store_Record[[#This Row],[Date]])</f>
        <v>2025</v>
      </c>
      <c r="O4065"/>
    </row>
    <row r="4066" spans="1:15" x14ac:dyDescent="0.35">
      <c r="A4066" t="s">
        <v>5060</v>
      </c>
      <c r="B4066" s="2">
        <v>45957</v>
      </c>
      <c r="C4066" t="s">
        <v>20</v>
      </c>
      <c r="D4066" t="s">
        <v>38</v>
      </c>
      <c r="E4066" t="s">
        <v>26</v>
      </c>
      <c r="F4066" t="s">
        <v>13</v>
      </c>
      <c r="G4066">
        <v>4</v>
      </c>
      <c r="H4066">
        <v>3.5</v>
      </c>
      <c r="I4066" t="s">
        <v>21</v>
      </c>
      <c r="J4066" t="s">
        <v>3431</v>
      </c>
      <c r="K4066" s="12">
        <f>Store_Record[[#This Row],[Qty]]*Store_Record[[#This Row],[UnitPriceGBP]]</f>
        <v>14</v>
      </c>
      <c r="L4066" s="5" t="str">
        <f>TEXT(Store_Record[[#This Row],[Date]],"dddd")</f>
        <v>Monday</v>
      </c>
      <c r="M4066" s="5" t="str">
        <f>TEXT(Store_Record[[#This Row],[Date]],"mmmm")</f>
        <v>October</v>
      </c>
      <c r="N4066" s="5">
        <f>YEAR(Store_Record[[#This Row],[Date]])</f>
        <v>2025</v>
      </c>
      <c r="O4066"/>
    </row>
    <row r="4067" spans="1:15" x14ac:dyDescent="0.35">
      <c r="A4067" t="s">
        <v>5056</v>
      </c>
      <c r="B4067" s="2">
        <v>45957</v>
      </c>
      <c r="C4067" t="s">
        <v>36</v>
      </c>
      <c r="D4067" t="s">
        <v>11</v>
      </c>
      <c r="E4067" t="s">
        <v>42</v>
      </c>
      <c r="F4067" t="s">
        <v>13</v>
      </c>
      <c r="G4067">
        <v>3</v>
      </c>
      <c r="H4067">
        <v>3.8</v>
      </c>
      <c r="I4067" t="s">
        <v>21</v>
      </c>
      <c r="J4067" t="s">
        <v>413</v>
      </c>
      <c r="K4067" s="12">
        <f>Store_Record[[#This Row],[Qty]]*Store_Record[[#This Row],[UnitPriceGBP]]</f>
        <v>11.399999999999999</v>
      </c>
      <c r="L4067" s="5" t="str">
        <f>TEXT(Store_Record[[#This Row],[Date]],"dddd")</f>
        <v>Monday</v>
      </c>
      <c r="M4067" s="5" t="str">
        <f>TEXT(Store_Record[[#This Row],[Date]],"mmmm")</f>
        <v>October</v>
      </c>
      <c r="N4067" s="5">
        <f>YEAR(Store_Record[[#This Row],[Date]])</f>
        <v>2025</v>
      </c>
      <c r="O4067"/>
    </row>
    <row r="4068" spans="1:15" x14ac:dyDescent="0.35">
      <c r="A4068" t="s">
        <v>5052</v>
      </c>
      <c r="B4068" s="2">
        <v>45957</v>
      </c>
      <c r="C4068" t="s">
        <v>24</v>
      </c>
      <c r="D4068" t="s">
        <v>38</v>
      </c>
      <c r="E4068" t="s">
        <v>30</v>
      </c>
      <c r="F4068" t="s">
        <v>31</v>
      </c>
      <c r="G4068">
        <v>3</v>
      </c>
      <c r="H4068">
        <v>2.8</v>
      </c>
      <c r="I4068" t="s">
        <v>39</v>
      </c>
      <c r="J4068" t="s">
        <v>222</v>
      </c>
      <c r="K4068" s="12">
        <f>Store_Record[[#This Row],[Qty]]*Store_Record[[#This Row],[UnitPriceGBP]]</f>
        <v>8.3999999999999986</v>
      </c>
      <c r="L4068" s="5" t="str">
        <f>TEXT(Store_Record[[#This Row],[Date]],"dddd")</f>
        <v>Monday</v>
      </c>
      <c r="M4068" s="5" t="str">
        <f>TEXT(Store_Record[[#This Row],[Date]],"mmmm")</f>
        <v>October</v>
      </c>
      <c r="N4068" s="5">
        <f>YEAR(Store_Record[[#This Row],[Date]])</f>
        <v>2025</v>
      </c>
      <c r="O4068"/>
    </row>
    <row r="4069" spans="1:15" x14ac:dyDescent="0.35">
      <c r="A4069" t="s">
        <v>5053</v>
      </c>
      <c r="B4069" s="2">
        <v>45957</v>
      </c>
      <c r="C4069" t="s">
        <v>10</v>
      </c>
      <c r="D4069" t="s">
        <v>38</v>
      </c>
      <c r="E4069" t="s">
        <v>12</v>
      </c>
      <c r="F4069" t="s">
        <v>13</v>
      </c>
      <c r="G4069">
        <v>3</v>
      </c>
      <c r="H4069">
        <v>2.5</v>
      </c>
      <c r="I4069" t="s">
        <v>39</v>
      </c>
      <c r="J4069" t="s">
        <v>1983</v>
      </c>
      <c r="K4069" s="12">
        <f>Store_Record[[#This Row],[Qty]]*Store_Record[[#This Row],[UnitPriceGBP]]</f>
        <v>7.5</v>
      </c>
      <c r="L4069" s="5" t="str">
        <f>TEXT(Store_Record[[#This Row],[Date]],"dddd")</f>
        <v>Monday</v>
      </c>
      <c r="M4069" s="5" t="str">
        <f>TEXT(Store_Record[[#This Row],[Date]],"mmmm")</f>
        <v>October</v>
      </c>
      <c r="N4069" s="5">
        <f>YEAR(Store_Record[[#This Row],[Date]])</f>
        <v>2025</v>
      </c>
      <c r="O4069"/>
    </row>
    <row r="4070" spans="1:15" x14ac:dyDescent="0.35">
      <c r="A4070" t="s">
        <v>5054</v>
      </c>
      <c r="B4070" s="2">
        <v>45957</v>
      </c>
      <c r="C4070" t="s">
        <v>20</v>
      </c>
      <c r="D4070" t="s">
        <v>47</v>
      </c>
      <c r="E4070" t="s">
        <v>12</v>
      </c>
      <c r="F4070" t="s">
        <v>13</v>
      </c>
      <c r="G4070">
        <v>2</v>
      </c>
      <c r="H4070">
        <v>2.5</v>
      </c>
      <c r="I4070" t="s">
        <v>39</v>
      </c>
      <c r="J4070" t="s">
        <v>2177</v>
      </c>
      <c r="K4070" s="12">
        <f>Store_Record[[#This Row],[Qty]]*Store_Record[[#This Row],[UnitPriceGBP]]</f>
        <v>5</v>
      </c>
      <c r="L4070" s="5" t="str">
        <f>TEXT(Store_Record[[#This Row],[Date]],"dddd")</f>
        <v>Monday</v>
      </c>
      <c r="M4070" s="5" t="str">
        <f>TEXT(Store_Record[[#This Row],[Date]],"mmmm")</f>
        <v>October</v>
      </c>
      <c r="N4070" s="5">
        <f>YEAR(Store_Record[[#This Row],[Date]])</f>
        <v>2025</v>
      </c>
      <c r="O4070"/>
    </row>
    <row r="4071" spans="1:15" x14ac:dyDescent="0.35">
      <c r="A4071" t="s">
        <v>5057</v>
      </c>
      <c r="B4071" s="2">
        <v>45957</v>
      </c>
      <c r="C4071" t="s">
        <v>20</v>
      </c>
      <c r="D4071" t="s">
        <v>38</v>
      </c>
      <c r="E4071" t="s">
        <v>12</v>
      </c>
      <c r="F4071" t="s">
        <v>13</v>
      </c>
      <c r="G4071">
        <v>2</v>
      </c>
      <c r="H4071">
        <v>2.5</v>
      </c>
      <c r="I4071" t="s">
        <v>21</v>
      </c>
      <c r="J4071" t="s">
        <v>1355</v>
      </c>
      <c r="K4071" s="12">
        <f>Store_Record[[#This Row],[Qty]]*Store_Record[[#This Row],[UnitPriceGBP]]</f>
        <v>5</v>
      </c>
      <c r="L4071" s="5" t="str">
        <f>TEXT(Store_Record[[#This Row],[Date]],"dddd")</f>
        <v>Monday</v>
      </c>
      <c r="M4071" s="5" t="str">
        <f>TEXT(Store_Record[[#This Row],[Date]],"mmmm")</f>
        <v>October</v>
      </c>
      <c r="N4071" s="5">
        <f>YEAR(Store_Record[[#This Row],[Date]])</f>
        <v>2025</v>
      </c>
      <c r="O4071"/>
    </row>
    <row r="4072" spans="1:15" x14ac:dyDescent="0.35">
      <c r="A4072" t="s">
        <v>5058</v>
      </c>
      <c r="B4072" s="2">
        <v>45957</v>
      </c>
      <c r="C4072" t="s">
        <v>24</v>
      </c>
      <c r="D4072" t="s">
        <v>38</v>
      </c>
      <c r="E4072" t="s">
        <v>12</v>
      </c>
      <c r="F4072" t="s">
        <v>13</v>
      </c>
      <c r="G4072">
        <v>2</v>
      </c>
      <c r="H4072">
        <v>2.5</v>
      </c>
      <c r="I4072" t="s">
        <v>14</v>
      </c>
      <c r="J4072" t="s">
        <v>534</v>
      </c>
      <c r="K4072" s="12">
        <f>Store_Record[[#This Row],[Qty]]*Store_Record[[#This Row],[UnitPriceGBP]]</f>
        <v>5</v>
      </c>
      <c r="L4072" s="5" t="str">
        <f>TEXT(Store_Record[[#This Row],[Date]],"dddd")</f>
        <v>Monday</v>
      </c>
      <c r="M4072" s="5" t="str">
        <f>TEXT(Store_Record[[#This Row],[Date]],"mmmm")</f>
        <v>October</v>
      </c>
      <c r="N4072" s="5">
        <f>YEAR(Store_Record[[#This Row],[Date]])</f>
        <v>2025</v>
      </c>
      <c r="O4072"/>
    </row>
    <row r="4073" spans="1:15" x14ac:dyDescent="0.35">
      <c r="A4073" t="s">
        <v>5051</v>
      </c>
      <c r="B4073" s="2">
        <v>45957</v>
      </c>
      <c r="C4073" t="s">
        <v>24</v>
      </c>
      <c r="D4073" t="s">
        <v>38</v>
      </c>
      <c r="E4073" t="s">
        <v>42</v>
      </c>
      <c r="F4073" t="s">
        <v>13</v>
      </c>
      <c r="G4073">
        <v>1</v>
      </c>
      <c r="H4073">
        <v>3.8</v>
      </c>
      <c r="I4073" t="s">
        <v>39</v>
      </c>
      <c r="J4073" t="s">
        <v>3162</v>
      </c>
      <c r="K4073" s="12">
        <f>Store_Record[[#This Row],[Qty]]*Store_Record[[#This Row],[UnitPriceGBP]]</f>
        <v>3.8</v>
      </c>
      <c r="L4073" s="5" t="str">
        <f>TEXT(Store_Record[[#This Row],[Date]],"dddd")</f>
        <v>Monday</v>
      </c>
      <c r="M4073" s="5" t="str">
        <f>TEXT(Store_Record[[#This Row],[Date]],"mmmm")</f>
        <v>October</v>
      </c>
      <c r="N4073" s="5">
        <f>YEAR(Store_Record[[#This Row],[Date]])</f>
        <v>2025</v>
      </c>
      <c r="O4073"/>
    </row>
    <row r="4074" spans="1:15" x14ac:dyDescent="0.35">
      <c r="A4074" t="s">
        <v>5055</v>
      </c>
      <c r="B4074" s="2">
        <v>45957</v>
      </c>
      <c r="C4074" t="s">
        <v>36</v>
      </c>
      <c r="D4074" t="s">
        <v>29</v>
      </c>
      <c r="E4074" t="s">
        <v>12</v>
      </c>
      <c r="F4074" t="s">
        <v>13</v>
      </c>
      <c r="G4074">
        <v>1</v>
      </c>
      <c r="H4074">
        <v>2.5</v>
      </c>
      <c r="I4074" t="s">
        <v>14</v>
      </c>
      <c r="J4074" t="s">
        <v>1128</v>
      </c>
      <c r="K4074" s="12">
        <f>Store_Record[[#This Row],[Qty]]*Store_Record[[#This Row],[UnitPriceGBP]]</f>
        <v>2.5</v>
      </c>
      <c r="L4074" s="5" t="str">
        <f>TEXT(Store_Record[[#This Row],[Date]],"dddd")</f>
        <v>Monday</v>
      </c>
      <c r="M4074" s="5" t="str">
        <f>TEXT(Store_Record[[#This Row],[Date]],"mmmm")</f>
        <v>October</v>
      </c>
      <c r="N4074" s="5">
        <f>YEAR(Store_Record[[#This Row],[Date]])</f>
        <v>2025</v>
      </c>
      <c r="O4074"/>
    </row>
    <row r="4075" spans="1:15" x14ac:dyDescent="0.35">
      <c r="A4075" t="s">
        <v>5061</v>
      </c>
      <c r="B4075" s="2">
        <v>45958</v>
      </c>
      <c r="C4075" t="s">
        <v>20</v>
      </c>
      <c r="D4075" t="s">
        <v>25</v>
      </c>
      <c r="E4075" t="s">
        <v>26</v>
      </c>
      <c r="F4075" t="s">
        <v>13</v>
      </c>
      <c r="G4075">
        <v>4</v>
      </c>
      <c r="H4075">
        <v>3.5</v>
      </c>
      <c r="I4075" t="s">
        <v>21</v>
      </c>
      <c r="J4075" t="s">
        <v>1097</v>
      </c>
      <c r="K4075" s="12">
        <f>Store_Record[[#This Row],[Qty]]*Store_Record[[#This Row],[UnitPriceGBP]]</f>
        <v>14</v>
      </c>
      <c r="L4075" s="5" t="str">
        <f>TEXT(Store_Record[[#This Row],[Date]],"dddd")</f>
        <v>Tuesday</v>
      </c>
      <c r="M4075" s="5" t="str">
        <f>TEXT(Store_Record[[#This Row],[Date]],"mmmm")</f>
        <v>October</v>
      </c>
      <c r="N4075" s="5">
        <f>YEAR(Store_Record[[#This Row],[Date]])</f>
        <v>2025</v>
      </c>
      <c r="O4075"/>
    </row>
    <row r="4076" spans="1:15" x14ac:dyDescent="0.35">
      <c r="A4076" t="s">
        <v>5062</v>
      </c>
      <c r="B4076" s="2">
        <v>45958</v>
      </c>
      <c r="C4076" t="s">
        <v>20</v>
      </c>
      <c r="D4076" t="s">
        <v>29</v>
      </c>
      <c r="E4076" t="s">
        <v>34</v>
      </c>
      <c r="F4076" t="s">
        <v>31</v>
      </c>
      <c r="G4076">
        <v>5</v>
      </c>
      <c r="H4076">
        <v>2.2000000000000002</v>
      </c>
      <c r="I4076" t="s">
        <v>14</v>
      </c>
      <c r="J4076" t="s">
        <v>1017</v>
      </c>
      <c r="K4076" s="12">
        <f>Store_Record[[#This Row],[Qty]]*Store_Record[[#This Row],[UnitPriceGBP]]</f>
        <v>11</v>
      </c>
      <c r="L4076" s="5" t="str">
        <f>TEXT(Store_Record[[#This Row],[Date]],"dddd")</f>
        <v>Tuesday</v>
      </c>
      <c r="M4076" s="5" t="str">
        <f>TEXT(Store_Record[[#This Row],[Date]],"mmmm")</f>
        <v>October</v>
      </c>
      <c r="N4076" s="5">
        <f>YEAR(Store_Record[[#This Row],[Date]])</f>
        <v>2025</v>
      </c>
      <c r="O4076"/>
    </row>
    <row r="4077" spans="1:15" x14ac:dyDescent="0.35">
      <c r="A4077" t="s">
        <v>5064</v>
      </c>
      <c r="B4077" s="2">
        <v>45958</v>
      </c>
      <c r="C4077" t="s">
        <v>36</v>
      </c>
      <c r="D4077" t="s">
        <v>38</v>
      </c>
      <c r="E4077" t="s">
        <v>34</v>
      </c>
      <c r="F4077" t="s">
        <v>31</v>
      </c>
      <c r="G4077">
        <v>5</v>
      </c>
      <c r="H4077">
        <v>2.2000000000000002</v>
      </c>
      <c r="I4077" t="s">
        <v>21</v>
      </c>
      <c r="J4077" t="s">
        <v>2119</v>
      </c>
      <c r="K4077" s="12">
        <f>Store_Record[[#This Row],[Qty]]*Store_Record[[#This Row],[UnitPriceGBP]]</f>
        <v>11</v>
      </c>
      <c r="L4077" s="5" t="str">
        <f>TEXT(Store_Record[[#This Row],[Date]],"dddd")</f>
        <v>Tuesday</v>
      </c>
      <c r="M4077" s="5" t="str">
        <f>TEXT(Store_Record[[#This Row],[Date]],"mmmm")</f>
        <v>October</v>
      </c>
      <c r="N4077" s="5">
        <f>YEAR(Store_Record[[#This Row],[Date]])</f>
        <v>2025</v>
      </c>
      <c r="O4077"/>
    </row>
    <row r="4078" spans="1:15" x14ac:dyDescent="0.35">
      <c r="A4078" t="s">
        <v>5065</v>
      </c>
      <c r="B4078" s="2">
        <v>45958</v>
      </c>
      <c r="C4078" t="s">
        <v>24</v>
      </c>
      <c r="D4078" t="s">
        <v>47</v>
      </c>
      <c r="E4078" t="s">
        <v>34</v>
      </c>
      <c r="F4078" t="s">
        <v>31</v>
      </c>
      <c r="G4078">
        <v>5</v>
      </c>
      <c r="H4078">
        <v>2.2000000000000002</v>
      </c>
      <c r="I4078" t="s">
        <v>14</v>
      </c>
      <c r="J4078" t="s">
        <v>2177</v>
      </c>
      <c r="K4078" s="12">
        <f>Store_Record[[#This Row],[Qty]]*Store_Record[[#This Row],[UnitPriceGBP]]</f>
        <v>11</v>
      </c>
      <c r="L4078" s="5" t="str">
        <f>TEXT(Store_Record[[#This Row],[Date]],"dddd")</f>
        <v>Tuesday</v>
      </c>
      <c r="M4078" s="5" t="str">
        <f>TEXT(Store_Record[[#This Row],[Date]],"mmmm")</f>
        <v>October</v>
      </c>
      <c r="N4078" s="5">
        <f>YEAR(Store_Record[[#This Row],[Date]])</f>
        <v>2025</v>
      </c>
      <c r="O4078"/>
    </row>
    <row r="4079" spans="1:15" x14ac:dyDescent="0.35">
      <c r="A4079" t="s">
        <v>5069</v>
      </c>
      <c r="B4079" s="2">
        <v>45958</v>
      </c>
      <c r="C4079" t="s">
        <v>20</v>
      </c>
      <c r="D4079" t="s">
        <v>29</v>
      </c>
      <c r="E4079" t="s">
        <v>26</v>
      </c>
      <c r="F4079" t="s">
        <v>13</v>
      </c>
      <c r="G4079">
        <v>3</v>
      </c>
      <c r="H4079">
        <v>3.5</v>
      </c>
      <c r="I4079" t="s">
        <v>21</v>
      </c>
      <c r="J4079" t="s">
        <v>4620</v>
      </c>
      <c r="K4079" s="12">
        <f>Store_Record[[#This Row],[Qty]]*Store_Record[[#This Row],[UnitPriceGBP]]</f>
        <v>10.5</v>
      </c>
      <c r="L4079" s="5" t="str">
        <f>TEXT(Store_Record[[#This Row],[Date]],"dddd")</f>
        <v>Tuesday</v>
      </c>
      <c r="M4079" s="5" t="str">
        <f>TEXT(Store_Record[[#This Row],[Date]],"mmmm")</f>
        <v>October</v>
      </c>
      <c r="N4079" s="5">
        <f>YEAR(Store_Record[[#This Row],[Date]])</f>
        <v>2025</v>
      </c>
      <c r="O4079"/>
    </row>
    <row r="4080" spans="1:15" x14ac:dyDescent="0.35">
      <c r="A4080" t="s">
        <v>5070</v>
      </c>
      <c r="B4080" s="2">
        <v>45958</v>
      </c>
      <c r="C4080" t="s">
        <v>36</v>
      </c>
      <c r="D4080" t="s">
        <v>29</v>
      </c>
      <c r="E4080" t="s">
        <v>12</v>
      </c>
      <c r="F4080" t="s">
        <v>13</v>
      </c>
      <c r="G4080">
        <v>4</v>
      </c>
      <c r="H4080">
        <v>2.5</v>
      </c>
      <c r="I4080" t="s">
        <v>21</v>
      </c>
      <c r="J4080" t="s">
        <v>3673</v>
      </c>
      <c r="K4080" s="12">
        <f>Store_Record[[#This Row],[Qty]]*Store_Record[[#This Row],[UnitPriceGBP]]</f>
        <v>10</v>
      </c>
      <c r="L4080" s="5" t="str">
        <f>TEXT(Store_Record[[#This Row],[Date]],"dddd")</f>
        <v>Tuesday</v>
      </c>
      <c r="M4080" s="5" t="str">
        <f>TEXT(Store_Record[[#This Row],[Date]],"mmmm")</f>
        <v>October</v>
      </c>
      <c r="N4080" s="5">
        <f>YEAR(Store_Record[[#This Row],[Date]])</f>
        <v>2025</v>
      </c>
      <c r="O4080"/>
    </row>
    <row r="4081" spans="1:15" x14ac:dyDescent="0.35">
      <c r="A4081" t="s">
        <v>5066</v>
      </c>
      <c r="B4081" s="2">
        <v>45958</v>
      </c>
      <c r="C4081" t="s">
        <v>10</v>
      </c>
      <c r="D4081" t="s">
        <v>25</v>
      </c>
      <c r="E4081" t="s">
        <v>12</v>
      </c>
      <c r="F4081" t="s">
        <v>13</v>
      </c>
      <c r="G4081">
        <v>3</v>
      </c>
      <c r="H4081">
        <v>2.5</v>
      </c>
      <c r="I4081" t="s">
        <v>39</v>
      </c>
      <c r="J4081" t="s">
        <v>945</v>
      </c>
      <c r="K4081" s="12">
        <f>Store_Record[[#This Row],[Qty]]*Store_Record[[#This Row],[UnitPriceGBP]]</f>
        <v>7.5</v>
      </c>
      <c r="L4081" s="5" t="str">
        <f>TEXT(Store_Record[[#This Row],[Date]],"dddd")</f>
        <v>Tuesday</v>
      </c>
      <c r="M4081" s="5" t="str">
        <f>TEXT(Store_Record[[#This Row],[Date]],"mmmm")</f>
        <v>October</v>
      </c>
      <c r="N4081" s="5">
        <f>YEAR(Store_Record[[#This Row],[Date]])</f>
        <v>2025</v>
      </c>
      <c r="O4081"/>
    </row>
    <row r="4082" spans="1:15" x14ac:dyDescent="0.35">
      <c r="A4082" t="s">
        <v>5063</v>
      </c>
      <c r="B4082" s="2">
        <v>45958</v>
      </c>
      <c r="C4082" t="s">
        <v>24</v>
      </c>
      <c r="D4082" t="s">
        <v>47</v>
      </c>
      <c r="E4082" t="s">
        <v>26</v>
      </c>
      <c r="F4082" t="s">
        <v>13</v>
      </c>
      <c r="G4082">
        <v>2</v>
      </c>
      <c r="H4082">
        <v>3.5</v>
      </c>
      <c r="I4082" t="s">
        <v>21</v>
      </c>
      <c r="J4082" t="s">
        <v>817</v>
      </c>
      <c r="K4082" s="12">
        <f>Store_Record[[#This Row],[Qty]]*Store_Record[[#This Row],[UnitPriceGBP]]</f>
        <v>7</v>
      </c>
      <c r="L4082" s="5" t="str">
        <f>TEXT(Store_Record[[#This Row],[Date]],"dddd")</f>
        <v>Tuesday</v>
      </c>
      <c r="M4082" s="5" t="str">
        <f>TEXT(Store_Record[[#This Row],[Date]],"mmmm")</f>
        <v>October</v>
      </c>
      <c r="N4082" s="5">
        <f>YEAR(Store_Record[[#This Row],[Date]])</f>
        <v>2025</v>
      </c>
      <c r="O4082"/>
    </row>
    <row r="4083" spans="1:15" x14ac:dyDescent="0.35">
      <c r="A4083" t="s">
        <v>5067</v>
      </c>
      <c r="B4083" s="2">
        <v>45958</v>
      </c>
      <c r="C4083" t="s">
        <v>24</v>
      </c>
      <c r="D4083" t="s">
        <v>47</v>
      </c>
      <c r="E4083" t="s">
        <v>26</v>
      </c>
      <c r="F4083" t="s">
        <v>13</v>
      </c>
      <c r="G4083">
        <v>2</v>
      </c>
      <c r="H4083">
        <v>3.5</v>
      </c>
      <c r="I4083" t="s">
        <v>21</v>
      </c>
      <c r="J4083" t="s">
        <v>2649</v>
      </c>
      <c r="K4083" s="12">
        <f>Store_Record[[#This Row],[Qty]]*Store_Record[[#This Row],[UnitPriceGBP]]</f>
        <v>7</v>
      </c>
      <c r="L4083" s="5" t="str">
        <f>TEXT(Store_Record[[#This Row],[Date]],"dddd")</f>
        <v>Tuesday</v>
      </c>
      <c r="M4083" s="5" t="str">
        <f>TEXT(Store_Record[[#This Row],[Date]],"mmmm")</f>
        <v>October</v>
      </c>
      <c r="N4083" s="5">
        <f>YEAR(Store_Record[[#This Row],[Date]])</f>
        <v>2025</v>
      </c>
      <c r="O4083"/>
    </row>
    <row r="4084" spans="1:15" x14ac:dyDescent="0.35">
      <c r="A4084" t="s">
        <v>5068</v>
      </c>
      <c r="B4084" s="2">
        <v>45958</v>
      </c>
      <c r="C4084" t="s">
        <v>24</v>
      </c>
      <c r="D4084" t="s">
        <v>29</v>
      </c>
      <c r="E4084" t="s">
        <v>30</v>
      </c>
      <c r="F4084" t="s">
        <v>31</v>
      </c>
      <c r="G4084">
        <v>1</v>
      </c>
      <c r="H4084">
        <v>2.8</v>
      </c>
      <c r="I4084" t="s">
        <v>21</v>
      </c>
      <c r="J4084" t="s">
        <v>452</v>
      </c>
      <c r="K4084" s="12">
        <f>Store_Record[[#This Row],[Qty]]*Store_Record[[#This Row],[UnitPriceGBP]]</f>
        <v>2.8</v>
      </c>
      <c r="L4084" s="5" t="str">
        <f>TEXT(Store_Record[[#This Row],[Date]],"dddd")</f>
        <v>Tuesday</v>
      </c>
      <c r="M4084" s="5" t="str">
        <f>TEXT(Store_Record[[#This Row],[Date]],"mmmm")</f>
        <v>October</v>
      </c>
      <c r="N4084" s="5">
        <f>YEAR(Store_Record[[#This Row],[Date]])</f>
        <v>2025</v>
      </c>
      <c r="O4084"/>
    </row>
    <row r="4085" spans="1:15" x14ac:dyDescent="0.35">
      <c r="A4085" t="s">
        <v>5082</v>
      </c>
      <c r="B4085" s="2">
        <v>45959</v>
      </c>
      <c r="C4085" t="s">
        <v>36</v>
      </c>
      <c r="D4085" t="s">
        <v>29</v>
      </c>
      <c r="E4085" t="s">
        <v>42</v>
      </c>
      <c r="F4085" t="s">
        <v>13</v>
      </c>
      <c r="G4085">
        <v>5</v>
      </c>
      <c r="H4085">
        <v>3.8</v>
      </c>
      <c r="I4085" t="s">
        <v>14</v>
      </c>
      <c r="J4085" t="s">
        <v>109</v>
      </c>
      <c r="K4085" s="12">
        <f>Store_Record[[#This Row],[Qty]]*Store_Record[[#This Row],[UnitPriceGBP]]</f>
        <v>19</v>
      </c>
      <c r="L4085" s="5" t="str">
        <f>TEXT(Store_Record[[#This Row],[Date]],"dddd")</f>
        <v>Wednesday</v>
      </c>
      <c r="M4085" s="5" t="str">
        <f>TEXT(Store_Record[[#This Row],[Date]],"mmmm")</f>
        <v>October</v>
      </c>
      <c r="N4085" s="5">
        <f>YEAR(Store_Record[[#This Row],[Date]])</f>
        <v>2025</v>
      </c>
      <c r="O4085"/>
    </row>
    <row r="4086" spans="1:15" x14ac:dyDescent="0.35">
      <c r="A4086" t="s">
        <v>5075</v>
      </c>
      <c r="B4086" s="2">
        <v>45959</v>
      </c>
      <c r="C4086" t="s">
        <v>20</v>
      </c>
      <c r="D4086" t="s">
        <v>29</v>
      </c>
      <c r="E4086" t="s">
        <v>12</v>
      </c>
      <c r="F4086" t="s">
        <v>13</v>
      </c>
      <c r="G4086">
        <v>5</v>
      </c>
      <c r="H4086">
        <v>2.5</v>
      </c>
      <c r="I4086" t="s">
        <v>39</v>
      </c>
      <c r="J4086" t="s">
        <v>2013</v>
      </c>
      <c r="K4086" s="12">
        <f>Store_Record[[#This Row],[Qty]]*Store_Record[[#This Row],[UnitPriceGBP]]</f>
        <v>12.5</v>
      </c>
      <c r="L4086" s="5" t="str">
        <f>TEXT(Store_Record[[#This Row],[Date]],"dddd")</f>
        <v>Wednesday</v>
      </c>
      <c r="M4086" s="5" t="str">
        <f>TEXT(Store_Record[[#This Row],[Date]],"mmmm")</f>
        <v>October</v>
      </c>
      <c r="N4086" s="5">
        <f>YEAR(Store_Record[[#This Row],[Date]])</f>
        <v>2025</v>
      </c>
      <c r="O4086"/>
    </row>
    <row r="4087" spans="1:15" x14ac:dyDescent="0.35">
      <c r="A4087" t="s">
        <v>5080</v>
      </c>
      <c r="B4087" s="2">
        <v>45959</v>
      </c>
      <c r="C4087" t="s">
        <v>36</v>
      </c>
      <c r="D4087" t="s">
        <v>11</v>
      </c>
      <c r="E4087" t="s">
        <v>30</v>
      </c>
      <c r="F4087" t="s">
        <v>31</v>
      </c>
      <c r="G4087">
        <v>4</v>
      </c>
      <c r="H4087">
        <v>2.8</v>
      </c>
      <c r="I4087" t="s">
        <v>39</v>
      </c>
      <c r="J4087" t="s">
        <v>193</v>
      </c>
      <c r="K4087" s="12">
        <f>Store_Record[[#This Row],[Qty]]*Store_Record[[#This Row],[UnitPriceGBP]]</f>
        <v>11.2</v>
      </c>
      <c r="L4087" s="5" t="str">
        <f>TEXT(Store_Record[[#This Row],[Date]],"dddd")</f>
        <v>Wednesday</v>
      </c>
      <c r="M4087" s="5" t="str">
        <f>TEXT(Store_Record[[#This Row],[Date]],"mmmm")</f>
        <v>October</v>
      </c>
      <c r="N4087" s="5">
        <f>YEAR(Store_Record[[#This Row],[Date]])</f>
        <v>2025</v>
      </c>
      <c r="O4087"/>
    </row>
    <row r="4088" spans="1:15" x14ac:dyDescent="0.35">
      <c r="A4088" t="s">
        <v>5073</v>
      </c>
      <c r="B4088" s="2">
        <v>45959</v>
      </c>
      <c r="C4088" t="s">
        <v>36</v>
      </c>
      <c r="D4088" t="s">
        <v>47</v>
      </c>
      <c r="E4088" t="s">
        <v>26</v>
      </c>
      <c r="F4088" t="s">
        <v>13</v>
      </c>
      <c r="G4088">
        <v>3</v>
      </c>
      <c r="H4088">
        <v>3.5</v>
      </c>
      <c r="I4088" t="s">
        <v>14</v>
      </c>
      <c r="J4088" t="s">
        <v>3018</v>
      </c>
      <c r="K4088" s="12">
        <f>Store_Record[[#This Row],[Qty]]*Store_Record[[#This Row],[UnitPriceGBP]]</f>
        <v>10.5</v>
      </c>
      <c r="L4088" s="5" t="str">
        <f>TEXT(Store_Record[[#This Row],[Date]],"dddd")</f>
        <v>Wednesday</v>
      </c>
      <c r="M4088" s="5" t="str">
        <f>TEXT(Store_Record[[#This Row],[Date]],"mmmm")</f>
        <v>October</v>
      </c>
      <c r="N4088" s="5">
        <f>YEAR(Store_Record[[#This Row],[Date]])</f>
        <v>2025</v>
      </c>
      <c r="O4088"/>
    </row>
    <row r="4089" spans="1:15" x14ac:dyDescent="0.35">
      <c r="A4089" t="s">
        <v>5079</v>
      </c>
      <c r="B4089" s="2">
        <v>45959</v>
      </c>
      <c r="C4089" t="s">
        <v>36</v>
      </c>
      <c r="D4089" t="s">
        <v>25</v>
      </c>
      <c r="E4089" t="s">
        <v>26</v>
      </c>
      <c r="F4089" t="s">
        <v>13</v>
      </c>
      <c r="G4089">
        <v>3</v>
      </c>
      <c r="H4089">
        <v>3.5</v>
      </c>
      <c r="I4089" t="s">
        <v>14</v>
      </c>
      <c r="J4089" t="s">
        <v>256</v>
      </c>
      <c r="K4089" s="12">
        <f>Store_Record[[#This Row],[Qty]]*Store_Record[[#This Row],[UnitPriceGBP]]</f>
        <v>10.5</v>
      </c>
      <c r="L4089" s="5" t="str">
        <f>TEXT(Store_Record[[#This Row],[Date]],"dddd")</f>
        <v>Wednesday</v>
      </c>
      <c r="M4089" s="5" t="str">
        <f>TEXT(Store_Record[[#This Row],[Date]],"mmmm")</f>
        <v>October</v>
      </c>
      <c r="N4089" s="5">
        <f>YEAR(Store_Record[[#This Row],[Date]])</f>
        <v>2025</v>
      </c>
      <c r="O4089"/>
    </row>
    <row r="4090" spans="1:15" x14ac:dyDescent="0.35">
      <c r="A4090" t="s">
        <v>5084</v>
      </c>
      <c r="B4090" s="2">
        <v>45959</v>
      </c>
      <c r="C4090" t="s">
        <v>10</v>
      </c>
      <c r="D4090" t="s">
        <v>25</v>
      </c>
      <c r="E4090" t="s">
        <v>26</v>
      </c>
      <c r="F4090" t="s">
        <v>13</v>
      </c>
      <c r="G4090">
        <v>3</v>
      </c>
      <c r="H4090">
        <v>3.5</v>
      </c>
      <c r="I4090" t="s">
        <v>21</v>
      </c>
      <c r="J4090" t="s">
        <v>714</v>
      </c>
      <c r="K4090" s="12">
        <f>Store_Record[[#This Row],[Qty]]*Store_Record[[#This Row],[UnitPriceGBP]]</f>
        <v>10.5</v>
      </c>
      <c r="L4090" s="5" t="str">
        <f>TEXT(Store_Record[[#This Row],[Date]],"dddd")</f>
        <v>Wednesday</v>
      </c>
      <c r="M4090" s="5" t="str">
        <f>TEXT(Store_Record[[#This Row],[Date]],"mmmm")</f>
        <v>October</v>
      </c>
      <c r="N4090" s="5">
        <f>YEAR(Store_Record[[#This Row],[Date]])</f>
        <v>2025</v>
      </c>
      <c r="O4090"/>
    </row>
    <row r="4091" spans="1:15" x14ac:dyDescent="0.35">
      <c r="A4091" t="s">
        <v>5077</v>
      </c>
      <c r="B4091" s="2">
        <v>45959</v>
      </c>
      <c r="C4091" t="s">
        <v>36</v>
      </c>
      <c r="D4091" t="s">
        <v>29</v>
      </c>
      <c r="E4091" t="s">
        <v>12</v>
      </c>
      <c r="F4091" t="s">
        <v>13</v>
      </c>
      <c r="G4091">
        <v>4</v>
      </c>
      <c r="H4091">
        <v>2.5</v>
      </c>
      <c r="I4091" t="s">
        <v>14</v>
      </c>
      <c r="J4091" t="s">
        <v>163</v>
      </c>
      <c r="K4091" s="12">
        <f>Store_Record[[#This Row],[Qty]]*Store_Record[[#This Row],[UnitPriceGBP]]</f>
        <v>10</v>
      </c>
      <c r="L4091" s="5" t="str">
        <f>TEXT(Store_Record[[#This Row],[Date]],"dddd")</f>
        <v>Wednesday</v>
      </c>
      <c r="M4091" s="5" t="str">
        <f>TEXT(Store_Record[[#This Row],[Date]],"mmmm")</f>
        <v>October</v>
      </c>
      <c r="N4091" s="5">
        <f>YEAR(Store_Record[[#This Row],[Date]])</f>
        <v>2025</v>
      </c>
      <c r="O4091"/>
    </row>
    <row r="4092" spans="1:15" x14ac:dyDescent="0.35">
      <c r="A4092" t="s">
        <v>5074</v>
      </c>
      <c r="B4092" s="2">
        <v>45959</v>
      </c>
      <c r="C4092" t="s">
        <v>20</v>
      </c>
      <c r="D4092" t="s">
        <v>47</v>
      </c>
      <c r="E4092" t="s">
        <v>34</v>
      </c>
      <c r="F4092" t="s">
        <v>31</v>
      </c>
      <c r="G4092">
        <v>4</v>
      </c>
      <c r="H4092">
        <v>2.2000000000000002</v>
      </c>
      <c r="I4092" t="s">
        <v>39</v>
      </c>
      <c r="J4092" t="s">
        <v>2759</v>
      </c>
      <c r="K4092" s="12">
        <f>Store_Record[[#This Row],[Qty]]*Store_Record[[#This Row],[UnitPriceGBP]]</f>
        <v>8.8000000000000007</v>
      </c>
      <c r="L4092" s="5" t="str">
        <f>TEXT(Store_Record[[#This Row],[Date]],"dddd")</f>
        <v>Wednesday</v>
      </c>
      <c r="M4092" s="5" t="str">
        <f>TEXT(Store_Record[[#This Row],[Date]],"mmmm")</f>
        <v>October</v>
      </c>
      <c r="N4092" s="5">
        <f>YEAR(Store_Record[[#This Row],[Date]])</f>
        <v>2025</v>
      </c>
      <c r="O4092"/>
    </row>
    <row r="4093" spans="1:15" x14ac:dyDescent="0.35">
      <c r="A4093" t="s">
        <v>5078</v>
      </c>
      <c r="B4093" s="2">
        <v>45959</v>
      </c>
      <c r="C4093" t="s">
        <v>24</v>
      </c>
      <c r="D4093" t="s">
        <v>25</v>
      </c>
      <c r="E4093" t="s">
        <v>34</v>
      </c>
      <c r="F4093" t="s">
        <v>31</v>
      </c>
      <c r="G4093">
        <v>4</v>
      </c>
      <c r="H4093">
        <v>2.2000000000000002</v>
      </c>
      <c r="I4093" t="s">
        <v>14</v>
      </c>
      <c r="J4093" t="s">
        <v>1042</v>
      </c>
      <c r="K4093" s="12">
        <f>Store_Record[[#This Row],[Qty]]*Store_Record[[#This Row],[UnitPriceGBP]]</f>
        <v>8.8000000000000007</v>
      </c>
      <c r="L4093" s="5" t="str">
        <f>TEXT(Store_Record[[#This Row],[Date]],"dddd")</f>
        <v>Wednesday</v>
      </c>
      <c r="M4093" s="5" t="str">
        <f>TEXT(Store_Record[[#This Row],[Date]],"mmmm")</f>
        <v>October</v>
      </c>
      <c r="N4093" s="5">
        <f>YEAR(Store_Record[[#This Row],[Date]])</f>
        <v>2025</v>
      </c>
      <c r="O4093"/>
    </row>
    <row r="4094" spans="1:15" x14ac:dyDescent="0.35">
      <c r="A4094" t="s">
        <v>5081</v>
      </c>
      <c r="B4094" s="2">
        <v>45959</v>
      </c>
      <c r="C4094" t="s">
        <v>36</v>
      </c>
      <c r="D4094" t="s">
        <v>47</v>
      </c>
      <c r="E4094" t="s">
        <v>26</v>
      </c>
      <c r="F4094" t="s">
        <v>13</v>
      </c>
      <c r="G4094">
        <v>2</v>
      </c>
      <c r="H4094">
        <v>3.5</v>
      </c>
      <c r="I4094" t="s">
        <v>21</v>
      </c>
      <c r="J4094" t="s">
        <v>855</v>
      </c>
      <c r="K4094" s="12">
        <f>Store_Record[[#This Row],[Qty]]*Store_Record[[#This Row],[UnitPriceGBP]]</f>
        <v>7</v>
      </c>
      <c r="L4094" s="5" t="str">
        <f>TEXT(Store_Record[[#This Row],[Date]],"dddd")</f>
        <v>Wednesday</v>
      </c>
      <c r="M4094" s="5" t="str">
        <f>TEXT(Store_Record[[#This Row],[Date]],"mmmm")</f>
        <v>October</v>
      </c>
      <c r="N4094" s="5">
        <f>YEAR(Store_Record[[#This Row],[Date]])</f>
        <v>2025</v>
      </c>
      <c r="O4094"/>
    </row>
    <row r="4095" spans="1:15" x14ac:dyDescent="0.35">
      <c r="A4095" t="s">
        <v>5086</v>
      </c>
      <c r="B4095" s="2">
        <v>45959</v>
      </c>
      <c r="C4095" t="s">
        <v>24</v>
      </c>
      <c r="D4095" t="s">
        <v>11</v>
      </c>
      <c r="E4095" t="s">
        <v>12</v>
      </c>
      <c r="F4095" t="s">
        <v>13</v>
      </c>
      <c r="G4095">
        <v>2</v>
      </c>
      <c r="H4095">
        <v>2.5</v>
      </c>
      <c r="I4095" t="s">
        <v>39</v>
      </c>
      <c r="J4095" t="s">
        <v>1242</v>
      </c>
      <c r="K4095" s="12">
        <f>Store_Record[[#This Row],[Qty]]*Store_Record[[#This Row],[UnitPriceGBP]]</f>
        <v>5</v>
      </c>
      <c r="L4095" s="5" t="str">
        <f>TEXT(Store_Record[[#This Row],[Date]],"dddd")</f>
        <v>Wednesday</v>
      </c>
      <c r="M4095" s="5" t="str">
        <f>TEXT(Store_Record[[#This Row],[Date]],"mmmm")</f>
        <v>October</v>
      </c>
      <c r="N4095" s="5">
        <f>YEAR(Store_Record[[#This Row],[Date]])</f>
        <v>2025</v>
      </c>
      <c r="O4095"/>
    </row>
    <row r="4096" spans="1:15" x14ac:dyDescent="0.35">
      <c r="A4096" t="s">
        <v>5085</v>
      </c>
      <c r="B4096" s="2">
        <v>45959</v>
      </c>
      <c r="C4096" t="s">
        <v>10</v>
      </c>
      <c r="D4096" t="s">
        <v>47</v>
      </c>
      <c r="E4096" t="s">
        <v>34</v>
      </c>
      <c r="F4096" t="s">
        <v>31</v>
      </c>
      <c r="G4096">
        <v>2</v>
      </c>
      <c r="H4096">
        <v>2.2000000000000002</v>
      </c>
      <c r="I4096" t="s">
        <v>14</v>
      </c>
      <c r="J4096" t="s">
        <v>2361</v>
      </c>
      <c r="K4096" s="12">
        <f>Store_Record[[#This Row],[Qty]]*Store_Record[[#This Row],[UnitPriceGBP]]</f>
        <v>4.4000000000000004</v>
      </c>
      <c r="L4096" s="5" t="str">
        <f>TEXT(Store_Record[[#This Row],[Date]],"dddd")</f>
        <v>Wednesday</v>
      </c>
      <c r="M4096" s="5" t="str">
        <f>TEXT(Store_Record[[#This Row],[Date]],"mmmm")</f>
        <v>October</v>
      </c>
      <c r="N4096" s="5">
        <f>YEAR(Store_Record[[#This Row],[Date]])</f>
        <v>2025</v>
      </c>
      <c r="O4096"/>
    </row>
    <row r="4097" spans="1:15" x14ac:dyDescent="0.35">
      <c r="A4097" t="s">
        <v>5072</v>
      </c>
      <c r="B4097" s="2">
        <v>45959</v>
      </c>
      <c r="C4097" t="s">
        <v>24</v>
      </c>
      <c r="D4097" t="s">
        <v>29</v>
      </c>
      <c r="E4097" t="s">
        <v>26</v>
      </c>
      <c r="F4097" t="s">
        <v>13</v>
      </c>
      <c r="G4097">
        <v>1</v>
      </c>
      <c r="H4097">
        <v>3.5</v>
      </c>
      <c r="I4097" t="s">
        <v>14</v>
      </c>
      <c r="J4097" t="s">
        <v>2506</v>
      </c>
      <c r="K4097" s="12">
        <f>Store_Record[[#This Row],[Qty]]*Store_Record[[#This Row],[UnitPriceGBP]]</f>
        <v>3.5</v>
      </c>
      <c r="L4097" s="5" t="str">
        <f>TEXT(Store_Record[[#This Row],[Date]],"dddd")</f>
        <v>Wednesday</v>
      </c>
      <c r="M4097" s="5" t="str">
        <f>TEXT(Store_Record[[#This Row],[Date]],"mmmm")</f>
        <v>October</v>
      </c>
      <c r="N4097" s="5">
        <f>YEAR(Store_Record[[#This Row],[Date]])</f>
        <v>2025</v>
      </c>
      <c r="O4097"/>
    </row>
    <row r="4098" spans="1:15" x14ac:dyDescent="0.35">
      <c r="A4098" t="s">
        <v>5076</v>
      </c>
      <c r="B4098" s="2">
        <v>45959</v>
      </c>
      <c r="C4098" t="s">
        <v>24</v>
      </c>
      <c r="D4098" t="s">
        <v>11</v>
      </c>
      <c r="E4098" t="s">
        <v>12</v>
      </c>
      <c r="F4098" t="s">
        <v>13</v>
      </c>
      <c r="G4098">
        <v>1</v>
      </c>
      <c r="H4098">
        <v>2.5</v>
      </c>
      <c r="I4098" t="s">
        <v>39</v>
      </c>
      <c r="J4098" t="s">
        <v>189</v>
      </c>
      <c r="K4098" s="12">
        <f>Store_Record[[#This Row],[Qty]]*Store_Record[[#This Row],[UnitPriceGBP]]</f>
        <v>2.5</v>
      </c>
      <c r="L4098" s="5" t="str">
        <f>TEXT(Store_Record[[#This Row],[Date]],"dddd")</f>
        <v>Wednesday</v>
      </c>
      <c r="M4098" s="5" t="str">
        <f>TEXT(Store_Record[[#This Row],[Date]],"mmmm")</f>
        <v>October</v>
      </c>
      <c r="N4098" s="5">
        <f>YEAR(Store_Record[[#This Row],[Date]])</f>
        <v>2025</v>
      </c>
      <c r="O4098"/>
    </row>
    <row r="4099" spans="1:15" x14ac:dyDescent="0.35">
      <c r="A4099" t="s">
        <v>5083</v>
      </c>
      <c r="B4099" s="2">
        <v>45959</v>
      </c>
      <c r="C4099" t="s">
        <v>20</v>
      </c>
      <c r="D4099" t="s">
        <v>38</v>
      </c>
      <c r="E4099" t="s">
        <v>12</v>
      </c>
      <c r="F4099" t="s">
        <v>13</v>
      </c>
      <c r="G4099">
        <v>1</v>
      </c>
      <c r="H4099">
        <v>2.5</v>
      </c>
      <c r="I4099" t="s">
        <v>39</v>
      </c>
      <c r="J4099" t="s">
        <v>2032</v>
      </c>
      <c r="K4099" s="12">
        <f>Store_Record[[#This Row],[Qty]]*Store_Record[[#This Row],[UnitPriceGBP]]</f>
        <v>2.5</v>
      </c>
      <c r="L4099" s="5" t="str">
        <f>TEXT(Store_Record[[#This Row],[Date]],"dddd")</f>
        <v>Wednesday</v>
      </c>
      <c r="M4099" s="5" t="str">
        <f>TEXT(Store_Record[[#This Row],[Date]],"mmmm")</f>
        <v>October</v>
      </c>
      <c r="N4099" s="5">
        <f>YEAR(Store_Record[[#This Row],[Date]])</f>
        <v>2025</v>
      </c>
      <c r="O4099"/>
    </row>
    <row r="4100" spans="1:15" x14ac:dyDescent="0.35">
      <c r="A4100" t="s">
        <v>5071</v>
      </c>
      <c r="B4100" s="2">
        <v>45959</v>
      </c>
      <c r="C4100" t="s">
        <v>10</v>
      </c>
      <c r="D4100" t="s">
        <v>47</v>
      </c>
      <c r="E4100" t="s">
        <v>34</v>
      </c>
      <c r="F4100" t="s">
        <v>31</v>
      </c>
      <c r="G4100">
        <v>1</v>
      </c>
      <c r="H4100">
        <v>2.2000000000000002</v>
      </c>
      <c r="I4100" t="s">
        <v>39</v>
      </c>
      <c r="J4100" t="s">
        <v>281</v>
      </c>
      <c r="K4100" s="12">
        <f>Store_Record[[#This Row],[Qty]]*Store_Record[[#This Row],[UnitPriceGBP]]</f>
        <v>2.2000000000000002</v>
      </c>
      <c r="L4100" s="5" t="str">
        <f>TEXT(Store_Record[[#This Row],[Date]],"dddd")</f>
        <v>Wednesday</v>
      </c>
      <c r="M4100" s="5" t="str">
        <f>TEXT(Store_Record[[#This Row],[Date]],"mmmm")</f>
        <v>October</v>
      </c>
      <c r="N4100" s="5">
        <f>YEAR(Store_Record[[#This Row],[Date]])</f>
        <v>2025</v>
      </c>
      <c r="O4100"/>
    </row>
    <row r="4101" spans="1:15" x14ac:dyDescent="0.35">
      <c r="A4101" t="s">
        <v>5089</v>
      </c>
      <c r="B4101" s="2">
        <v>45960</v>
      </c>
      <c r="C4101" t="s">
        <v>24</v>
      </c>
      <c r="D4101" t="s">
        <v>47</v>
      </c>
      <c r="E4101" t="s">
        <v>42</v>
      </c>
      <c r="F4101" t="s">
        <v>13</v>
      </c>
      <c r="G4101">
        <v>5</v>
      </c>
      <c r="H4101">
        <v>3.8</v>
      </c>
      <c r="I4101" t="s">
        <v>21</v>
      </c>
      <c r="J4101" t="s">
        <v>2093</v>
      </c>
      <c r="K4101" s="12">
        <f>Store_Record[[#This Row],[Qty]]*Store_Record[[#This Row],[UnitPriceGBP]]</f>
        <v>19</v>
      </c>
      <c r="L4101" s="5" t="str">
        <f>TEXT(Store_Record[[#This Row],[Date]],"dddd")</f>
        <v>Thursday</v>
      </c>
      <c r="M4101" s="5" t="str">
        <f>TEXT(Store_Record[[#This Row],[Date]],"mmmm")</f>
        <v>October</v>
      </c>
      <c r="N4101" s="5">
        <f>YEAR(Store_Record[[#This Row],[Date]])</f>
        <v>2025</v>
      </c>
      <c r="O4101"/>
    </row>
    <row r="4102" spans="1:15" x14ac:dyDescent="0.35">
      <c r="A4102" t="s">
        <v>5088</v>
      </c>
      <c r="B4102" s="2">
        <v>45960</v>
      </c>
      <c r="C4102" t="s">
        <v>20</v>
      </c>
      <c r="D4102" t="s">
        <v>25</v>
      </c>
      <c r="E4102" t="s">
        <v>12</v>
      </c>
      <c r="F4102" t="s">
        <v>13</v>
      </c>
      <c r="G4102">
        <v>5</v>
      </c>
      <c r="H4102">
        <v>2.5</v>
      </c>
      <c r="I4102" t="s">
        <v>21</v>
      </c>
      <c r="J4102" t="s">
        <v>1173</v>
      </c>
      <c r="K4102" s="12">
        <f>Store_Record[[#This Row],[Qty]]*Store_Record[[#This Row],[UnitPriceGBP]]</f>
        <v>12.5</v>
      </c>
      <c r="L4102" s="5" t="str">
        <f>TEXT(Store_Record[[#This Row],[Date]],"dddd")</f>
        <v>Thursday</v>
      </c>
      <c r="M4102" s="5" t="str">
        <f>TEXT(Store_Record[[#This Row],[Date]],"mmmm")</f>
        <v>October</v>
      </c>
      <c r="N4102" s="5">
        <f>YEAR(Store_Record[[#This Row],[Date]])</f>
        <v>2025</v>
      </c>
      <c r="O4102"/>
    </row>
    <row r="4103" spans="1:15" x14ac:dyDescent="0.35">
      <c r="A4103" t="s">
        <v>5101</v>
      </c>
      <c r="B4103" s="2">
        <v>45960</v>
      </c>
      <c r="C4103" t="s">
        <v>20</v>
      </c>
      <c r="D4103" t="s">
        <v>47</v>
      </c>
      <c r="E4103" t="s">
        <v>12</v>
      </c>
      <c r="F4103" t="s">
        <v>13</v>
      </c>
      <c r="G4103">
        <v>5</v>
      </c>
      <c r="H4103">
        <v>2.5</v>
      </c>
      <c r="I4103" t="s">
        <v>21</v>
      </c>
      <c r="J4103" t="s">
        <v>815</v>
      </c>
      <c r="K4103" s="12">
        <f>Store_Record[[#This Row],[Qty]]*Store_Record[[#This Row],[UnitPriceGBP]]</f>
        <v>12.5</v>
      </c>
      <c r="L4103" s="5" t="str">
        <f>TEXT(Store_Record[[#This Row],[Date]],"dddd")</f>
        <v>Thursday</v>
      </c>
      <c r="M4103" s="5" t="str">
        <f>TEXT(Store_Record[[#This Row],[Date]],"mmmm")</f>
        <v>October</v>
      </c>
      <c r="N4103" s="5">
        <f>YEAR(Store_Record[[#This Row],[Date]])</f>
        <v>2025</v>
      </c>
      <c r="O4103"/>
    </row>
    <row r="4104" spans="1:15" x14ac:dyDescent="0.35">
      <c r="A4104" t="s">
        <v>5095</v>
      </c>
      <c r="B4104" s="2">
        <v>45960</v>
      </c>
      <c r="C4104" t="s">
        <v>24</v>
      </c>
      <c r="D4104" t="s">
        <v>11</v>
      </c>
      <c r="E4104" t="s">
        <v>42</v>
      </c>
      <c r="F4104" t="s">
        <v>13</v>
      </c>
      <c r="G4104">
        <v>3</v>
      </c>
      <c r="H4104">
        <v>3.8</v>
      </c>
      <c r="I4104" t="s">
        <v>21</v>
      </c>
      <c r="J4104" t="s">
        <v>411</v>
      </c>
      <c r="K4104" s="12">
        <f>Store_Record[[#This Row],[Qty]]*Store_Record[[#This Row],[UnitPriceGBP]]</f>
        <v>11.399999999999999</v>
      </c>
      <c r="L4104" s="5" t="str">
        <f>TEXT(Store_Record[[#This Row],[Date]],"dddd")</f>
        <v>Thursday</v>
      </c>
      <c r="M4104" s="5" t="str">
        <f>TEXT(Store_Record[[#This Row],[Date]],"mmmm")</f>
        <v>October</v>
      </c>
      <c r="N4104" s="5">
        <f>YEAR(Store_Record[[#This Row],[Date]])</f>
        <v>2025</v>
      </c>
      <c r="O4104"/>
    </row>
    <row r="4105" spans="1:15" x14ac:dyDescent="0.35">
      <c r="A4105" t="s">
        <v>5098</v>
      </c>
      <c r="B4105" s="2">
        <v>45960</v>
      </c>
      <c r="C4105" t="s">
        <v>10</v>
      </c>
      <c r="D4105" t="s">
        <v>25</v>
      </c>
      <c r="E4105" t="s">
        <v>34</v>
      </c>
      <c r="F4105" t="s">
        <v>31</v>
      </c>
      <c r="G4105">
        <v>5</v>
      </c>
      <c r="H4105">
        <v>2.2000000000000002</v>
      </c>
      <c r="I4105" t="s">
        <v>21</v>
      </c>
      <c r="J4105" t="s">
        <v>464</v>
      </c>
      <c r="K4105" s="12">
        <f>Store_Record[[#This Row],[Qty]]*Store_Record[[#This Row],[UnitPriceGBP]]</f>
        <v>11</v>
      </c>
      <c r="L4105" s="5" t="str">
        <f>TEXT(Store_Record[[#This Row],[Date]],"dddd")</f>
        <v>Thursday</v>
      </c>
      <c r="M4105" s="5" t="str">
        <f>TEXT(Store_Record[[#This Row],[Date]],"mmmm")</f>
        <v>October</v>
      </c>
      <c r="N4105" s="5">
        <f>YEAR(Store_Record[[#This Row],[Date]])</f>
        <v>2025</v>
      </c>
      <c r="O4105"/>
    </row>
    <row r="4106" spans="1:15" x14ac:dyDescent="0.35">
      <c r="A4106" t="s">
        <v>5102</v>
      </c>
      <c r="B4106" s="2">
        <v>45960</v>
      </c>
      <c r="C4106" t="s">
        <v>10</v>
      </c>
      <c r="D4106" t="s">
        <v>47</v>
      </c>
      <c r="E4106" t="s">
        <v>34</v>
      </c>
      <c r="F4106" t="s">
        <v>31</v>
      </c>
      <c r="G4106">
        <v>5</v>
      </c>
      <c r="H4106">
        <v>2.2000000000000002</v>
      </c>
      <c r="I4106" t="s">
        <v>21</v>
      </c>
      <c r="J4106" t="s">
        <v>888</v>
      </c>
      <c r="K4106" s="12">
        <f>Store_Record[[#This Row],[Qty]]*Store_Record[[#This Row],[UnitPriceGBP]]</f>
        <v>11</v>
      </c>
      <c r="L4106" s="5" t="str">
        <f>TEXT(Store_Record[[#This Row],[Date]],"dddd")</f>
        <v>Thursday</v>
      </c>
      <c r="M4106" s="5" t="str">
        <f>TEXT(Store_Record[[#This Row],[Date]],"mmmm")</f>
        <v>October</v>
      </c>
      <c r="N4106" s="5">
        <f>YEAR(Store_Record[[#This Row],[Date]])</f>
        <v>2025</v>
      </c>
      <c r="O4106"/>
    </row>
    <row r="4107" spans="1:15" x14ac:dyDescent="0.35">
      <c r="A4107" t="s">
        <v>5087</v>
      </c>
      <c r="B4107" s="2">
        <v>45960</v>
      </c>
      <c r="C4107" t="s">
        <v>24</v>
      </c>
      <c r="D4107" t="s">
        <v>38</v>
      </c>
      <c r="E4107" t="s">
        <v>26</v>
      </c>
      <c r="F4107" t="s">
        <v>13</v>
      </c>
      <c r="G4107">
        <v>3</v>
      </c>
      <c r="H4107">
        <v>3.5</v>
      </c>
      <c r="I4107" t="s">
        <v>39</v>
      </c>
      <c r="J4107" t="s">
        <v>1566</v>
      </c>
      <c r="K4107" s="12">
        <f>Store_Record[[#This Row],[Qty]]*Store_Record[[#This Row],[UnitPriceGBP]]</f>
        <v>10.5</v>
      </c>
      <c r="L4107" s="5" t="str">
        <f>TEXT(Store_Record[[#This Row],[Date]],"dddd")</f>
        <v>Thursday</v>
      </c>
      <c r="M4107" s="5" t="str">
        <f>TEXT(Store_Record[[#This Row],[Date]],"mmmm")</f>
        <v>October</v>
      </c>
      <c r="N4107" s="5">
        <f>YEAR(Store_Record[[#This Row],[Date]])</f>
        <v>2025</v>
      </c>
      <c r="O4107"/>
    </row>
    <row r="4108" spans="1:15" x14ac:dyDescent="0.35">
      <c r="A4108" t="s">
        <v>5099</v>
      </c>
      <c r="B4108" s="2">
        <v>45960</v>
      </c>
      <c r="C4108" t="s">
        <v>20</v>
      </c>
      <c r="D4108" t="s">
        <v>25</v>
      </c>
      <c r="E4108" t="s">
        <v>34</v>
      </c>
      <c r="F4108" t="s">
        <v>31</v>
      </c>
      <c r="G4108">
        <v>4</v>
      </c>
      <c r="H4108">
        <v>2.2000000000000002</v>
      </c>
      <c r="I4108" t="s">
        <v>39</v>
      </c>
      <c r="J4108" t="s">
        <v>526</v>
      </c>
      <c r="K4108" s="12">
        <f>Store_Record[[#This Row],[Qty]]*Store_Record[[#This Row],[UnitPriceGBP]]</f>
        <v>8.8000000000000007</v>
      </c>
      <c r="L4108" s="5" t="str">
        <f>TEXT(Store_Record[[#This Row],[Date]],"dddd")</f>
        <v>Thursday</v>
      </c>
      <c r="M4108" s="5" t="str">
        <f>TEXT(Store_Record[[#This Row],[Date]],"mmmm")</f>
        <v>October</v>
      </c>
      <c r="N4108" s="5">
        <f>YEAR(Store_Record[[#This Row],[Date]])</f>
        <v>2025</v>
      </c>
      <c r="O4108"/>
    </row>
    <row r="4109" spans="1:15" x14ac:dyDescent="0.35">
      <c r="A4109" t="s">
        <v>5096</v>
      </c>
      <c r="B4109" s="2">
        <v>45960</v>
      </c>
      <c r="C4109" t="s">
        <v>10</v>
      </c>
      <c r="D4109" t="s">
        <v>47</v>
      </c>
      <c r="E4109" t="s">
        <v>12</v>
      </c>
      <c r="F4109" t="s">
        <v>13</v>
      </c>
      <c r="G4109">
        <v>3</v>
      </c>
      <c r="H4109">
        <v>2.5</v>
      </c>
      <c r="I4109" t="s">
        <v>39</v>
      </c>
      <c r="J4109" t="s">
        <v>5097</v>
      </c>
      <c r="K4109" s="12">
        <f>Store_Record[[#This Row],[Qty]]*Store_Record[[#This Row],[UnitPriceGBP]]</f>
        <v>7.5</v>
      </c>
      <c r="L4109" s="5" t="str">
        <f>TEXT(Store_Record[[#This Row],[Date]],"dddd")</f>
        <v>Thursday</v>
      </c>
      <c r="M4109" s="5" t="str">
        <f>TEXT(Store_Record[[#This Row],[Date]],"mmmm")</f>
        <v>October</v>
      </c>
      <c r="N4109" s="5">
        <f>YEAR(Store_Record[[#This Row],[Date]])</f>
        <v>2025</v>
      </c>
      <c r="O4109"/>
    </row>
    <row r="4110" spans="1:15" x14ac:dyDescent="0.35">
      <c r="A4110" t="s">
        <v>5090</v>
      </c>
      <c r="B4110" s="2">
        <v>45960</v>
      </c>
      <c r="C4110" t="s">
        <v>10</v>
      </c>
      <c r="D4110" t="s">
        <v>25</v>
      </c>
      <c r="E4110" t="s">
        <v>26</v>
      </c>
      <c r="F4110" t="s">
        <v>13</v>
      </c>
      <c r="G4110">
        <v>2</v>
      </c>
      <c r="H4110">
        <v>3.5</v>
      </c>
      <c r="I4110" t="s">
        <v>21</v>
      </c>
      <c r="J4110" t="s">
        <v>2920</v>
      </c>
      <c r="K4110" s="12">
        <f>Store_Record[[#This Row],[Qty]]*Store_Record[[#This Row],[UnitPriceGBP]]</f>
        <v>7</v>
      </c>
      <c r="L4110" s="5" t="str">
        <f>TEXT(Store_Record[[#This Row],[Date]],"dddd")</f>
        <v>Thursday</v>
      </c>
      <c r="M4110" s="5" t="str">
        <f>TEXT(Store_Record[[#This Row],[Date]],"mmmm")</f>
        <v>October</v>
      </c>
      <c r="N4110" s="5">
        <f>YEAR(Store_Record[[#This Row],[Date]])</f>
        <v>2025</v>
      </c>
      <c r="O4110"/>
    </row>
    <row r="4111" spans="1:15" x14ac:dyDescent="0.35">
      <c r="A4111" t="s">
        <v>5093</v>
      </c>
      <c r="B4111" s="2">
        <v>45960</v>
      </c>
      <c r="C4111" t="s">
        <v>24</v>
      </c>
      <c r="D4111" t="s">
        <v>25</v>
      </c>
      <c r="E4111" t="s">
        <v>34</v>
      </c>
      <c r="F4111" t="s">
        <v>31</v>
      </c>
      <c r="G4111">
        <v>3</v>
      </c>
      <c r="H4111">
        <v>2.2000000000000002</v>
      </c>
      <c r="I4111" t="s">
        <v>39</v>
      </c>
      <c r="J4111" t="s">
        <v>745</v>
      </c>
      <c r="K4111" s="12">
        <f>Store_Record[[#This Row],[Qty]]*Store_Record[[#This Row],[UnitPriceGBP]]</f>
        <v>6.6000000000000005</v>
      </c>
      <c r="L4111" s="5" t="str">
        <f>TEXT(Store_Record[[#This Row],[Date]],"dddd")</f>
        <v>Thursday</v>
      </c>
      <c r="M4111" s="5" t="str">
        <f>TEXT(Store_Record[[#This Row],[Date]],"mmmm")</f>
        <v>October</v>
      </c>
      <c r="N4111" s="5">
        <f>YEAR(Store_Record[[#This Row],[Date]])</f>
        <v>2025</v>
      </c>
      <c r="O4111"/>
    </row>
    <row r="4112" spans="1:15" x14ac:dyDescent="0.35">
      <c r="A4112" t="s">
        <v>5103</v>
      </c>
      <c r="B4112" s="2">
        <v>45960</v>
      </c>
      <c r="C4112" t="s">
        <v>36</v>
      </c>
      <c r="D4112" t="s">
        <v>25</v>
      </c>
      <c r="E4112" t="s">
        <v>34</v>
      </c>
      <c r="F4112" t="s">
        <v>31</v>
      </c>
      <c r="G4112">
        <v>3</v>
      </c>
      <c r="H4112">
        <v>2.2000000000000002</v>
      </c>
      <c r="I4112" t="s">
        <v>14</v>
      </c>
      <c r="J4112" t="s">
        <v>969</v>
      </c>
      <c r="K4112" s="12">
        <f>Store_Record[[#This Row],[Qty]]*Store_Record[[#This Row],[UnitPriceGBP]]</f>
        <v>6.6000000000000005</v>
      </c>
      <c r="L4112" s="5" t="str">
        <f>TEXT(Store_Record[[#This Row],[Date]],"dddd")</f>
        <v>Thursday</v>
      </c>
      <c r="M4112" s="5" t="str">
        <f>TEXT(Store_Record[[#This Row],[Date]],"mmmm")</f>
        <v>October</v>
      </c>
      <c r="N4112" s="5">
        <f>YEAR(Store_Record[[#This Row],[Date]])</f>
        <v>2025</v>
      </c>
      <c r="O4112"/>
    </row>
    <row r="4113" spans="1:15" x14ac:dyDescent="0.35">
      <c r="A4113" t="s">
        <v>5092</v>
      </c>
      <c r="B4113" s="2">
        <v>45960</v>
      </c>
      <c r="C4113" t="s">
        <v>10</v>
      </c>
      <c r="D4113" t="s">
        <v>29</v>
      </c>
      <c r="E4113" t="s">
        <v>30</v>
      </c>
      <c r="F4113" t="s">
        <v>31</v>
      </c>
      <c r="G4113">
        <v>2</v>
      </c>
      <c r="H4113">
        <v>2.8</v>
      </c>
      <c r="I4113" t="s">
        <v>14</v>
      </c>
      <c r="J4113" t="s">
        <v>3083</v>
      </c>
      <c r="K4113" s="12">
        <f>Store_Record[[#This Row],[Qty]]*Store_Record[[#This Row],[UnitPriceGBP]]</f>
        <v>5.6</v>
      </c>
      <c r="L4113" s="5" t="str">
        <f>TEXT(Store_Record[[#This Row],[Date]],"dddd")</f>
        <v>Thursday</v>
      </c>
      <c r="M4113" s="5" t="str">
        <f>TEXT(Store_Record[[#This Row],[Date]],"mmmm")</f>
        <v>October</v>
      </c>
      <c r="N4113" s="5">
        <f>YEAR(Store_Record[[#This Row],[Date]])</f>
        <v>2025</v>
      </c>
      <c r="O4113"/>
    </row>
    <row r="4114" spans="1:15" x14ac:dyDescent="0.35">
      <c r="A4114" t="s">
        <v>5100</v>
      </c>
      <c r="B4114" s="2">
        <v>45960</v>
      </c>
      <c r="C4114" t="s">
        <v>36</v>
      </c>
      <c r="D4114" t="s">
        <v>29</v>
      </c>
      <c r="E4114" t="s">
        <v>30</v>
      </c>
      <c r="F4114" t="s">
        <v>31</v>
      </c>
      <c r="G4114">
        <v>2</v>
      </c>
      <c r="H4114">
        <v>2.8</v>
      </c>
      <c r="I4114" t="s">
        <v>21</v>
      </c>
      <c r="J4114" t="s">
        <v>150</v>
      </c>
      <c r="K4114" s="12">
        <f>Store_Record[[#This Row],[Qty]]*Store_Record[[#This Row],[UnitPriceGBP]]</f>
        <v>5.6</v>
      </c>
      <c r="L4114" s="5" t="str">
        <f>TEXT(Store_Record[[#This Row],[Date]],"dddd")</f>
        <v>Thursday</v>
      </c>
      <c r="M4114" s="5" t="str">
        <f>TEXT(Store_Record[[#This Row],[Date]],"mmmm")</f>
        <v>October</v>
      </c>
      <c r="N4114" s="5">
        <f>YEAR(Store_Record[[#This Row],[Date]])</f>
        <v>2025</v>
      </c>
      <c r="O4114"/>
    </row>
    <row r="4115" spans="1:15" x14ac:dyDescent="0.35">
      <c r="A4115" t="s">
        <v>5094</v>
      </c>
      <c r="B4115" s="2">
        <v>45960</v>
      </c>
      <c r="C4115" t="s">
        <v>36</v>
      </c>
      <c r="D4115" t="s">
        <v>11</v>
      </c>
      <c r="E4115" t="s">
        <v>42</v>
      </c>
      <c r="F4115" t="s">
        <v>13</v>
      </c>
      <c r="G4115">
        <v>1</v>
      </c>
      <c r="H4115">
        <v>3.8</v>
      </c>
      <c r="I4115" t="s">
        <v>39</v>
      </c>
      <c r="J4115" t="s">
        <v>195</v>
      </c>
      <c r="K4115" s="12">
        <f>Store_Record[[#This Row],[Qty]]*Store_Record[[#This Row],[UnitPriceGBP]]</f>
        <v>3.8</v>
      </c>
      <c r="L4115" s="5" t="str">
        <f>TEXT(Store_Record[[#This Row],[Date]],"dddd")</f>
        <v>Thursday</v>
      </c>
      <c r="M4115" s="5" t="str">
        <f>TEXT(Store_Record[[#This Row],[Date]],"mmmm")</f>
        <v>October</v>
      </c>
      <c r="N4115" s="5">
        <f>YEAR(Store_Record[[#This Row],[Date]])</f>
        <v>2025</v>
      </c>
      <c r="O4115"/>
    </row>
    <row r="4116" spans="1:15" x14ac:dyDescent="0.35">
      <c r="A4116" t="s">
        <v>5091</v>
      </c>
      <c r="B4116" s="2">
        <v>45960</v>
      </c>
      <c r="C4116" t="s">
        <v>36</v>
      </c>
      <c r="D4116" t="s">
        <v>25</v>
      </c>
      <c r="E4116" t="s">
        <v>12</v>
      </c>
      <c r="F4116" t="s">
        <v>13</v>
      </c>
      <c r="G4116">
        <v>1</v>
      </c>
      <c r="H4116">
        <v>2.5</v>
      </c>
      <c r="I4116" t="s">
        <v>14</v>
      </c>
      <c r="J4116" t="s">
        <v>1538</v>
      </c>
      <c r="K4116" s="12">
        <f>Store_Record[[#This Row],[Qty]]*Store_Record[[#This Row],[UnitPriceGBP]]</f>
        <v>2.5</v>
      </c>
      <c r="L4116" s="5" t="str">
        <f>TEXT(Store_Record[[#This Row],[Date]],"dddd")</f>
        <v>Thursday</v>
      </c>
      <c r="M4116" s="5" t="str">
        <f>TEXT(Store_Record[[#This Row],[Date]],"mmmm")</f>
        <v>October</v>
      </c>
      <c r="N4116" s="5">
        <f>YEAR(Store_Record[[#This Row],[Date]])</f>
        <v>2025</v>
      </c>
      <c r="O4116"/>
    </row>
    <row r="4117" spans="1:15" x14ac:dyDescent="0.35">
      <c r="A4117" t="s">
        <v>5106</v>
      </c>
      <c r="B4117" s="2">
        <v>45961</v>
      </c>
      <c r="C4117" t="s">
        <v>10</v>
      </c>
      <c r="D4117" t="s">
        <v>11</v>
      </c>
      <c r="E4117" t="s">
        <v>30</v>
      </c>
      <c r="F4117" t="s">
        <v>31</v>
      </c>
      <c r="G4117">
        <v>5</v>
      </c>
      <c r="H4117">
        <v>2.8</v>
      </c>
      <c r="I4117" t="s">
        <v>39</v>
      </c>
      <c r="J4117" t="s">
        <v>1930</v>
      </c>
      <c r="K4117" s="12">
        <f>Store_Record[[#This Row],[Qty]]*Store_Record[[#This Row],[UnitPriceGBP]]</f>
        <v>14</v>
      </c>
      <c r="L4117" s="5" t="str">
        <f>TEXT(Store_Record[[#This Row],[Date]],"dddd")</f>
        <v>Friday</v>
      </c>
      <c r="M4117" s="5" t="str">
        <f>TEXT(Store_Record[[#This Row],[Date]],"mmmm")</f>
        <v>October</v>
      </c>
      <c r="N4117" s="5">
        <f>YEAR(Store_Record[[#This Row],[Date]])</f>
        <v>2025</v>
      </c>
      <c r="O4117"/>
    </row>
    <row r="4118" spans="1:15" x14ac:dyDescent="0.35">
      <c r="A4118" t="s">
        <v>5112</v>
      </c>
      <c r="B4118" s="2">
        <v>45961</v>
      </c>
      <c r="C4118" t="s">
        <v>10</v>
      </c>
      <c r="D4118" t="s">
        <v>38</v>
      </c>
      <c r="E4118" t="s">
        <v>34</v>
      </c>
      <c r="F4118" t="s">
        <v>31</v>
      </c>
      <c r="G4118">
        <v>4</v>
      </c>
      <c r="H4118">
        <v>2.2000000000000002</v>
      </c>
      <c r="I4118" t="s">
        <v>14</v>
      </c>
      <c r="J4118" t="s">
        <v>3195</v>
      </c>
      <c r="K4118" s="12">
        <f>Store_Record[[#This Row],[Qty]]*Store_Record[[#This Row],[UnitPriceGBP]]</f>
        <v>8.8000000000000007</v>
      </c>
      <c r="L4118" s="5" t="str">
        <f>TEXT(Store_Record[[#This Row],[Date]],"dddd")</f>
        <v>Friday</v>
      </c>
      <c r="M4118" s="5" t="str">
        <f>TEXT(Store_Record[[#This Row],[Date]],"mmmm")</f>
        <v>October</v>
      </c>
      <c r="N4118" s="5">
        <f>YEAR(Store_Record[[#This Row],[Date]])</f>
        <v>2025</v>
      </c>
      <c r="O4118"/>
    </row>
    <row r="4119" spans="1:15" x14ac:dyDescent="0.35">
      <c r="A4119" t="s">
        <v>5113</v>
      </c>
      <c r="B4119" s="2">
        <v>45961</v>
      </c>
      <c r="C4119" t="s">
        <v>24</v>
      </c>
      <c r="D4119" t="s">
        <v>25</v>
      </c>
      <c r="E4119" t="s">
        <v>34</v>
      </c>
      <c r="F4119" t="s">
        <v>31</v>
      </c>
      <c r="G4119">
        <v>4</v>
      </c>
      <c r="H4119">
        <v>2.2000000000000002</v>
      </c>
      <c r="I4119" t="s">
        <v>39</v>
      </c>
      <c r="J4119" t="s">
        <v>5114</v>
      </c>
      <c r="K4119" s="12">
        <f>Store_Record[[#This Row],[Qty]]*Store_Record[[#This Row],[UnitPriceGBP]]</f>
        <v>8.8000000000000007</v>
      </c>
      <c r="L4119" s="5" t="str">
        <f>TEXT(Store_Record[[#This Row],[Date]],"dddd")</f>
        <v>Friday</v>
      </c>
      <c r="M4119" s="5" t="str">
        <f>TEXT(Store_Record[[#This Row],[Date]],"mmmm")</f>
        <v>October</v>
      </c>
      <c r="N4119" s="5">
        <f>YEAR(Store_Record[[#This Row],[Date]])</f>
        <v>2025</v>
      </c>
      <c r="O4119"/>
    </row>
    <row r="4120" spans="1:15" x14ac:dyDescent="0.35">
      <c r="A4120" t="s">
        <v>5110</v>
      </c>
      <c r="B4120" s="2">
        <v>45961</v>
      </c>
      <c r="C4120" t="s">
        <v>24</v>
      </c>
      <c r="D4120" t="s">
        <v>11</v>
      </c>
      <c r="E4120" t="s">
        <v>30</v>
      </c>
      <c r="F4120" t="s">
        <v>31</v>
      </c>
      <c r="G4120">
        <v>3</v>
      </c>
      <c r="H4120">
        <v>2.8</v>
      </c>
      <c r="I4120" t="s">
        <v>21</v>
      </c>
      <c r="J4120" t="s">
        <v>2001</v>
      </c>
      <c r="K4120" s="12">
        <f>Store_Record[[#This Row],[Qty]]*Store_Record[[#This Row],[UnitPriceGBP]]</f>
        <v>8.3999999999999986</v>
      </c>
      <c r="L4120" s="5" t="str">
        <f>TEXT(Store_Record[[#This Row],[Date]],"dddd")</f>
        <v>Friday</v>
      </c>
      <c r="M4120" s="5" t="str">
        <f>TEXT(Store_Record[[#This Row],[Date]],"mmmm")</f>
        <v>October</v>
      </c>
      <c r="N4120" s="5">
        <f>YEAR(Store_Record[[#This Row],[Date]])</f>
        <v>2025</v>
      </c>
      <c r="O4120"/>
    </row>
    <row r="4121" spans="1:15" x14ac:dyDescent="0.35">
      <c r="A4121" t="s">
        <v>5115</v>
      </c>
      <c r="B4121" s="2">
        <v>45961</v>
      </c>
      <c r="C4121" t="s">
        <v>10</v>
      </c>
      <c r="D4121" t="s">
        <v>11</v>
      </c>
      <c r="E4121" t="s">
        <v>30</v>
      </c>
      <c r="F4121" t="s">
        <v>31</v>
      </c>
      <c r="G4121">
        <v>3</v>
      </c>
      <c r="H4121">
        <v>2.8</v>
      </c>
      <c r="I4121" t="s">
        <v>14</v>
      </c>
      <c r="J4121" t="s">
        <v>1152</v>
      </c>
      <c r="K4121" s="12">
        <f>Store_Record[[#This Row],[Qty]]*Store_Record[[#This Row],[UnitPriceGBP]]</f>
        <v>8.3999999999999986</v>
      </c>
      <c r="L4121" s="5" t="str">
        <f>TEXT(Store_Record[[#This Row],[Date]],"dddd")</f>
        <v>Friday</v>
      </c>
      <c r="M4121" s="5" t="str">
        <f>TEXT(Store_Record[[#This Row],[Date]],"mmmm")</f>
        <v>October</v>
      </c>
      <c r="N4121" s="5">
        <f>YEAR(Store_Record[[#This Row],[Date]])</f>
        <v>2025</v>
      </c>
      <c r="O4121"/>
    </row>
    <row r="4122" spans="1:15" x14ac:dyDescent="0.35">
      <c r="A4122" t="s">
        <v>5104</v>
      </c>
      <c r="B4122" s="2">
        <v>45961</v>
      </c>
      <c r="C4122" t="s">
        <v>20</v>
      </c>
      <c r="D4122" t="s">
        <v>38</v>
      </c>
      <c r="E4122" t="s">
        <v>12</v>
      </c>
      <c r="F4122" t="s">
        <v>13</v>
      </c>
      <c r="G4122">
        <v>3</v>
      </c>
      <c r="H4122">
        <v>2.5</v>
      </c>
      <c r="I4122" t="s">
        <v>39</v>
      </c>
      <c r="J4122" t="s">
        <v>1445</v>
      </c>
      <c r="K4122" s="12">
        <f>Store_Record[[#This Row],[Qty]]*Store_Record[[#This Row],[UnitPriceGBP]]</f>
        <v>7.5</v>
      </c>
      <c r="L4122" s="5" t="str">
        <f>TEXT(Store_Record[[#This Row],[Date]],"dddd")</f>
        <v>Friday</v>
      </c>
      <c r="M4122" s="5" t="str">
        <f>TEXT(Store_Record[[#This Row],[Date]],"mmmm")</f>
        <v>October</v>
      </c>
      <c r="N4122" s="5">
        <f>YEAR(Store_Record[[#This Row],[Date]])</f>
        <v>2025</v>
      </c>
      <c r="O4122"/>
    </row>
    <row r="4123" spans="1:15" x14ac:dyDescent="0.35">
      <c r="A4123" t="s">
        <v>5109</v>
      </c>
      <c r="B4123" s="2">
        <v>45961</v>
      </c>
      <c r="C4123" t="s">
        <v>24</v>
      </c>
      <c r="D4123" t="s">
        <v>25</v>
      </c>
      <c r="E4123" t="s">
        <v>34</v>
      </c>
      <c r="F4123" t="s">
        <v>31</v>
      </c>
      <c r="G4123">
        <v>3</v>
      </c>
      <c r="H4123">
        <v>2.2000000000000002</v>
      </c>
      <c r="I4123" t="s">
        <v>14</v>
      </c>
      <c r="J4123" t="s">
        <v>802</v>
      </c>
      <c r="K4123" s="12">
        <f>Store_Record[[#This Row],[Qty]]*Store_Record[[#This Row],[UnitPriceGBP]]</f>
        <v>6.6000000000000005</v>
      </c>
      <c r="L4123" s="5" t="str">
        <f>TEXT(Store_Record[[#This Row],[Date]],"dddd")</f>
        <v>Friday</v>
      </c>
      <c r="M4123" s="5" t="str">
        <f>TEXT(Store_Record[[#This Row],[Date]],"mmmm")</f>
        <v>October</v>
      </c>
      <c r="N4123" s="5">
        <f>YEAR(Store_Record[[#This Row],[Date]])</f>
        <v>2025</v>
      </c>
      <c r="O4123"/>
    </row>
    <row r="4124" spans="1:15" x14ac:dyDescent="0.35">
      <c r="A4124" t="s">
        <v>5111</v>
      </c>
      <c r="B4124" s="2">
        <v>45961</v>
      </c>
      <c r="C4124" t="s">
        <v>20</v>
      </c>
      <c r="D4124" t="s">
        <v>47</v>
      </c>
      <c r="E4124" t="s">
        <v>34</v>
      </c>
      <c r="F4124" t="s">
        <v>31</v>
      </c>
      <c r="G4124">
        <v>3</v>
      </c>
      <c r="H4124">
        <v>2.2000000000000002</v>
      </c>
      <c r="I4124" t="s">
        <v>39</v>
      </c>
      <c r="J4124" t="s">
        <v>333</v>
      </c>
      <c r="K4124" s="12">
        <f>Store_Record[[#This Row],[Qty]]*Store_Record[[#This Row],[UnitPriceGBP]]</f>
        <v>6.6000000000000005</v>
      </c>
      <c r="L4124" s="5" t="str">
        <f>TEXT(Store_Record[[#This Row],[Date]],"dddd")</f>
        <v>Friday</v>
      </c>
      <c r="M4124" s="5" t="str">
        <f>TEXT(Store_Record[[#This Row],[Date]],"mmmm")</f>
        <v>October</v>
      </c>
      <c r="N4124" s="5">
        <f>YEAR(Store_Record[[#This Row],[Date]])</f>
        <v>2025</v>
      </c>
      <c r="O4124"/>
    </row>
    <row r="4125" spans="1:15" x14ac:dyDescent="0.35">
      <c r="A4125" t="s">
        <v>5116</v>
      </c>
      <c r="B4125" s="2">
        <v>45961</v>
      </c>
      <c r="C4125" t="s">
        <v>36</v>
      </c>
      <c r="D4125" t="s">
        <v>47</v>
      </c>
      <c r="E4125" t="s">
        <v>30</v>
      </c>
      <c r="F4125" t="s">
        <v>31</v>
      </c>
      <c r="G4125">
        <v>2</v>
      </c>
      <c r="H4125">
        <v>2.8</v>
      </c>
      <c r="I4125" t="s">
        <v>21</v>
      </c>
      <c r="J4125" t="s">
        <v>943</v>
      </c>
      <c r="K4125" s="12">
        <f>Store_Record[[#This Row],[Qty]]*Store_Record[[#This Row],[UnitPriceGBP]]</f>
        <v>5.6</v>
      </c>
      <c r="L4125" s="5" t="str">
        <f>TEXT(Store_Record[[#This Row],[Date]],"dddd")</f>
        <v>Friday</v>
      </c>
      <c r="M4125" s="5" t="str">
        <f>TEXT(Store_Record[[#This Row],[Date]],"mmmm")</f>
        <v>October</v>
      </c>
      <c r="N4125" s="5">
        <f>YEAR(Store_Record[[#This Row],[Date]])</f>
        <v>2025</v>
      </c>
      <c r="O4125"/>
    </row>
    <row r="4126" spans="1:15" x14ac:dyDescent="0.35">
      <c r="A4126" t="s">
        <v>5107</v>
      </c>
      <c r="B4126" s="2">
        <v>45961</v>
      </c>
      <c r="C4126" t="s">
        <v>20</v>
      </c>
      <c r="D4126" t="s">
        <v>11</v>
      </c>
      <c r="E4126" t="s">
        <v>26</v>
      </c>
      <c r="F4126" t="s">
        <v>13</v>
      </c>
      <c r="G4126">
        <v>1</v>
      </c>
      <c r="H4126">
        <v>3.5</v>
      </c>
      <c r="I4126" t="s">
        <v>21</v>
      </c>
      <c r="J4126" t="s">
        <v>1862</v>
      </c>
      <c r="K4126" s="12">
        <f>Store_Record[[#This Row],[Qty]]*Store_Record[[#This Row],[UnitPriceGBP]]</f>
        <v>3.5</v>
      </c>
      <c r="L4126" s="5" t="str">
        <f>TEXT(Store_Record[[#This Row],[Date]],"dddd")</f>
        <v>Friday</v>
      </c>
      <c r="M4126" s="5" t="str">
        <f>TEXT(Store_Record[[#This Row],[Date]],"mmmm")</f>
        <v>October</v>
      </c>
      <c r="N4126" s="5">
        <f>YEAR(Store_Record[[#This Row],[Date]])</f>
        <v>2025</v>
      </c>
      <c r="O4126"/>
    </row>
    <row r="4127" spans="1:15" x14ac:dyDescent="0.35">
      <c r="A4127" t="s">
        <v>5108</v>
      </c>
      <c r="B4127" s="2">
        <v>45961</v>
      </c>
      <c r="C4127" t="s">
        <v>24</v>
      </c>
      <c r="D4127" t="s">
        <v>25</v>
      </c>
      <c r="E4127" t="s">
        <v>12</v>
      </c>
      <c r="F4127" t="s">
        <v>13</v>
      </c>
      <c r="G4127">
        <v>1</v>
      </c>
      <c r="H4127">
        <v>2.5</v>
      </c>
      <c r="I4127" t="s">
        <v>21</v>
      </c>
      <c r="J4127" t="s">
        <v>2827</v>
      </c>
      <c r="K4127" s="12">
        <f>Store_Record[[#This Row],[Qty]]*Store_Record[[#This Row],[UnitPriceGBP]]</f>
        <v>2.5</v>
      </c>
      <c r="L4127" s="5" t="str">
        <f>TEXT(Store_Record[[#This Row],[Date]],"dddd")</f>
        <v>Friday</v>
      </c>
      <c r="M4127" s="5" t="str">
        <f>TEXT(Store_Record[[#This Row],[Date]],"mmmm")</f>
        <v>October</v>
      </c>
      <c r="N4127" s="5">
        <f>YEAR(Store_Record[[#This Row],[Date]])</f>
        <v>2025</v>
      </c>
      <c r="O4127"/>
    </row>
    <row r="4128" spans="1:15" x14ac:dyDescent="0.35">
      <c r="A4128" t="s">
        <v>5105</v>
      </c>
      <c r="B4128" s="2">
        <v>45961</v>
      </c>
      <c r="C4128" t="s">
        <v>36</v>
      </c>
      <c r="D4128" t="s">
        <v>47</v>
      </c>
      <c r="E4128" t="s">
        <v>34</v>
      </c>
      <c r="F4128" t="s">
        <v>31</v>
      </c>
      <c r="G4128">
        <v>1</v>
      </c>
      <c r="H4128">
        <v>2.2000000000000002</v>
      </c>
      <c r="I4128" t="s">
        <v>21</v>
      </c>
      <c r="J4128" t="s">
        <v>1194</v>
      </c>
      <c r="K4128" s="12">
        <f>Store_Record[[#This Row],[Qty]]*Store_Record[[#This Row],[UnitPriceGBP]]</f>
        <v>2.2000000000000002</v>
      </c>
      <c r="L4128" s="5" t="str">
        <f>TEXT(Store_Record[[#This Row],[Date]],"dddd")</f>
        <v>Friday</v>
      </c>
      <c r="M4128" s="5" t="str">
        <f>TEXT(Store_Record[[#This Row],[Date]],"mmmm")</f>
        <v>October</v>
      </c>
      <c r="N4128" s="5">
        <f>YEAR(Store_Record[[#This Row],[Date]])</f>
        <v>2025</v>
      </c>
      <c r="O4128"/>
    </row>
    <row r="4129" spans="1:15" x14ac:dyDescent="0.35">
      <c r="A4129" t="s">
        <v>5120</v>
      </c>
      <c r="B4129" s="2">
        <v>45962</v>
      </c>
      <c r="C4129" t="s">
        <v>10</v>
      </c>
      <c r="D4129" t="s">
        <v>29</v>
      </c>
      <c r="E4129" t="s">
        <v>26</v>
      </c>
      <c r="F4129" t="s">
        <v>13</v>
      </c>
      <c r="G4129">
        <v>5</v>
      </c>
      <c r="H4129">
        <v>3.5</v>
      </c>
      <c r="I4129" t="s">
        <v>21</v>
      </c>
      <c r="J4129" t="s">
        <v>2365</v>
      </c>
      <c r="K4129" s="12">
        <f>Store_Record[[#This Row],[Qty]]*Store_Record[[#This Row],[UnitPriceGBP]]</f>
        <v>17.5</v>
      </c>
      <c r="L4129" s="5" t="str">
        <f>TEXT(Store_Record[[#This Row],[Date]],"dddd")</f>
        <v>Saturday</v>
      </c>
      <c r="M4129" s="5" t="str">
        <f>TEXT(Store_Record[[#This Row],[Date]],"mmmm")</f>
        <v>November</v>
      </c>
      <c r="N4129" s="5">
        <f>YEAR(Store_Record[[#This Row],[Date]])</f>
        <v>2025</v>
      </c>
      <c r="O4129"/>
    </row>
    <row r="4130" spans="1:15" x14ac:dyDescent="0.35">
      <c r="A4130" t="s">
        <v>5122</v>
      </c>
      <c r="B4130" s="2">
        <v>45962</v>
      </c>
      <c r="C4130" t="s">
        <v>10</v>
      </c>
      <c r="D4130" t="s">
        <v>47</v>
      </c>
      <c r="E4130" t="s">
        <v>26</v>
      </c>
      <c r="F4130" t="s">
        <v>13</v>
      </c>
      <c r="G4130">
        <v>4</v>
      </c>
      <c r="H4130">
        <v>3.5</v>
      </c>
      <c r="I4130" t="s">
        <v>14</v>
      </c>
      <c r="J4130" t="s">
        <v>193</v>
      </c>
      <c r="K4130" s="12">
        <f>Store_Record[[#This Row],[Qty]]*Store_Record[[#This Row],[UnitPriceGBP]]</f>
        <v>14</v>
      </c>
      <c r="L4130" s="5" t="str">
        <f>TEXT(Store_Record[[#This Row],[Date]],"dddd")</f>
        <v>Saturday</v>
      </c>
      <c r="M4130" s="5" t="str">
        <f>TEXT(Store_Record[[#This Row],[Date]],"mmmm")</f>
        <v>November</v>
      </c>
      <c r="N4130" s="5">
        <f>YEAR(Store_Record[[#This Row],[Date]])</f>
        <v>2025</v>
      </c>
      <c r="O4130"/>
    </row>
    <row r="4131" spans="1:15" x14ac:dyDescent="0.35">
      <c r="A4131" t="s">
        <v>5126</v>
      </c>
      <c r="B4131" s="2">
        <v>45962</v>
      </c>
      <c r="C4131" t="s">
        <v>20</v>
      </c>
      <c r="D4131" t="s">
        <v>11</v>
      </c>
      <c r="E4131" t="s">
        <v>26</v>
      </c>
      <c r="F4131" t="s">
        <v>13</v>
      </c>
      <c r="G4131">
        <v>4</v>
      </c>
      <c r="H4131">
        <v>3.5</v>
      </c>
      <c r="I4131" t="s">
        <v>39</v>
      </c>
      <c r="J4131" t="s">
        <v>3773</v>
      </c>
      <c r="K4131" s="12">
        <f>Store_Record[[#This Row],[Qty]]*Store_Record[[#This Row],[UnitPriceGBP]]</f>
        <v>14</v>
      </c>
      <c r="L4131" s="5" t="str">
        <f>TEXT(Store_Record[[#This Row],[Date]],"dddd")</f>
        <v>Saturday</v>
      </c>
      <c r="M4131" s="5" t="str">
        <f>TEXT(Store_Record[[#This Row],[Date]],"mmmm")</f>
        <v>November</v>
      </c>
      <c r="N4131" s="5">
        <f>YEAR(Store_Record[[#This Row],[Date]])</f>
        <v>2025</v>
      </c>
      <c r="O4131"/>
    </row>
    <row r="4132" spans="1:15" x14ac:dyDescent="0.35">
      <c r="A4132" t="s">
        <v>5129</v>
      </c>
      <c r="B4132" s="2">
        <v>45962</v>
      </c>
      <c r="C4132" t="s">
        <v>20</v>
      </c>
      <c r="D4132" t="s">
        <v>11</v>
      </c>
      <c r="E4132" t="s">
        <v>30</v>
      </c>
      <c r="F4132" t="s">
        <v>31</v>
      </c>
      <c r="G4132">
        <v>5</v>
      </c>
      <c r="H4132">
        <v>2.8</v>
      </c>
      <c r="I4132" t="s">
        <v>21</v>
      </c>
      <c r="J4132" t="s">
        <v>2218</v>
      </c>
      <c r="K4132" s="12">
        <f>Store_Record[[#This Row],[Qty]]*Store_Record[[#This Row],[UnitPriceGBP]]</f>
        <v>14</v>
      </c>
      <c r="L4132" s="5" t="str">
        <f>TEXT(Store_Record[[#This Row],[Date]],"dddd")</f>
        <v>Saturday</v>
      </c>
      <c r="M4132" s="5" t="str">
        <f>TEXT(Store_Record[[#This Row],[Date]],"mmmm")</f>
        <v>November</v>
      </c>
      <c r="N4132" s="5">
        <f>YEAR(Store_Record[[#This Row],[Date]])</f>
        <v>2025</v>
      </c>
      <c r="O4132"/>
    </row>
    <row r="4133" spans="1:15" x14ac:dyDescent="0.35">
      <c r="A4133" t="s">
        <v>5128</v>
      </c>
      <c r="B4133" s="2">
        <v>45962</v>
      </c>
      <c r="C4133" t="s">
        <v>20</v>
      </c>
      <c r="D4133" t="s">
        <v>38</v>
      </c>
      <c r="E4133" t="s">
        <v>26</v>
      </c>
      <c r="F4133" t="s">
        <v>13</v>
      </c>
      <c r="G4133">
        <v>3</v>
      </c>
      <c r="H4133">
        <v>3.5</v>
      </c>
      <c r="I4133" t="s">
        <v>14</v>
      </c>
      <c r="J4133" t="s">
        <v>1183</v>
      </c>
      <c r="K4133" s="12">
        <f>Store_Record[[#This Row],[Qty]]*Store_Record[[#This Row],[UnitPriceGBP]]</f>
        <v>10.5</v>
      </c>
      <c r="L4133" s="5" t="str">
        <f>TEXT(Store_Record[[#This Row],[Date]],"dddd")</f>
        <v>Saturday</v>
      </c>
      <c r="M4133" s="5" t="str">
        <f>TEXT(Store_Record[[#This Row],[Date]],"mmmm")</f>
        <v>November</v>
      </c>
      <c r="N4133" s="5">
        <f>YEAR(Store_Record[[#This Row],[Date]])</f>
        <v>2025</v>
      </c>
      <c r="O4133"/>
    </row>
    <row r="4134" spans="1:15" x14ac:dyDescent="0.35">
      <c r="A4134" t="s">
        <v>5121</v>
      </c>
      <c r="B4134" s="2">
        <v>45962</v>
      </c>
      <c r="C4134" t="s">
        <v>24</v>
      </c>
      <c r="D4134" t="s">
        <v>38</v>
      </c>
      <c r="E4134" t="s">
        <v>12</v>
      </c>
      <c r="F4134" t="s">
        <v>13</v>
      </c>
      <c r="G4134">
        <v>4</v>
      </c>
      <c r="H4134">
        <v>2.5</v>
      </c>
      <c r="I4134" t="s">
        <v>21</v>
      </c>
      <c r="J4134" t="s">
        <v>1116</v>
      </c>
      <c r="K4134" s="12">
        <f>Store_Record[[#This Row],[Qty]]*Store_Record[[#This Row],[UnitPriceGBP]]</f>
        <v>10</v>
      </c>
      <c r="L4134" s="5" t="str">
        <f>TEXT(Store_Record[[#This Row],[Date]],"dddd")</f>
        <v>Saturday</v>
      </c>
      <c r="M4134" s="5" t="str">
        <f>TEXT(Store_Record[[#This Row],[Date]],"mmmm")</f>
        <v>November</v>
      </c>
      <c r="N4134" s="5">
        <f>YEAR(Store_Record[[#This Row],[Date]])</f>
        <v>2025</v>
      </c>
      <c r="O4134"/>
    </row>
    <row r="4135" spans="1:15" x14ac:dyDescent="0.35">
      <c r="A4135" t="s">
        <v>5125</v>
      </c>
      <c r="B4135" s="2">
        <v>45962</v>
      </c>
      <c r="C4135" t="s">
        <v>24</v>
      </c>
      <c r="D4135" t="s">
        <v>25</v>
      </c>
      <c r="E4135" t="s">
        <v>12</v>
      </c>
      <c r="F4135" t="s">
        <v>13</v>
      </c>
      <c r="G4135">
        <v>4</v>
      </c>
      <c r="H4135">
        <v>2.5</v>
      </c>
      <c r="I4135" t="s">
        <v>39</v>
      </c>
      <c r="J4135" t="s">
        <v>571</v>
      </c>
      <c r="K4135" s="12">
        <f>Store_Record[[#This Row],[Qty]]*Store_Record[[#This Row],[UnitPriceGBP]]</f>
        <v>10</v>
      </c>
      <c r="L4135" s="5" t="str">
        <f>TEXT(Store_Record[[#This Row],[Date]],"dddd")</f>
        <v>Saturday</v>
      </c>
      <c r="M4135" s="5" t="str">
        <f>TEXT(Store_Record[[#This Row],[Date]],"mmmm")</f>
        <v>November</v>
      </c>
      <c r="N4135" s="5">
        <f>YEAR(Store_Record[[#This Row],[Date]])</f>
        <v>2025</v>
      </c>
      <c r="O4135"/>
    </row>
    <row r="4136" spans="1:15" x14ac:dyDescent="0.35">
      <c r="A4136" t="s">
        <v>5124</v>
      </c>
      <c r="B4136" s="2">
        <v>45962</v>
      </c>
      <c r="C4136" t="s">
        <v>10</v>
      </c>
      <c r="D4136" t="s">
        <v>11</v>
      </c>
      <c r="E4136" t="s">
        <v>34</v>
      </c>
      <c r="F4136" t="s">
        <v>31</v>
      </c>
      <c r="G4136">
        <v>4</v>
      </c>
      <c r="H4136">
        <v>2.2000000000000002</v>
      </c>
      <c r="I4136" t="s">
        <v>39</v>
      </c>
      <c r="J4136" t="s">
        <v>2880</v>
      </c>
      <c r="K4136" s="12">
        <f>Store_Record[[#This Row],[Qty]]*Store_Record[[#This Row],[UnitPriceGBP]]</f>
        <v>8.8000000000000007</v>
      </c>
      <c r="L4136" s="5" t="str">
        <f>TEXT(Store_Record[[#This Row],[Date]],"dddd")</f>
        <v>Saturday</v>
      </c>
      <c r="M4136" s="5" t="str">
        <f>TEXT(Store_Record[[#This Row],[Date]],"mmmm")</f>
        <v>November</v>
      </c>
      <c r="N4136" s="5">
        <f>YEAR(Store_Record[[#This Row],[Date]])</f>
        <v>2025</v>
      </c>
      <c r="O4136"/>
    </row>
    <row r="4137" spans="1:15" x14ac:dyDescent="0.35">
      <c r="A4137" t="s">
        <v>5127</v>
      </c>
      <c r="B4137" s="2">
        <v>45962</v>
      </c>
      <c r="C4137" t="s">
        <v>10</v>
      </c>
      <c r="D4137" t="s">
        <v>29</v>
      </c>
      <c r="E4137" t="s">
        <v>26</v>
      </c>
      <c r="F4137" t="s">
        <v>31</v>
      </c>
      <c r="G4137">
        <v>4</v>
      </c>
      <c r="H4137">
        <v>2.2000000000000002</v>
      </c>
      <c r="I4137" t="s">
        <v>14</v>
      </c>
      <c r="J4137" t="s">
        <v>1367</v>
      </c>
      <c r="K4137" s="12">
        <f>Store_Record[[#This Row],[Qty]]*Store_Record[[#This Row],[UnitPriceGBP]]</f>
        <v>8.8000000000000007</v>
      </c>
      <c r="L4137" s="5" t="str">
        <f>TEXT(Store_Record[[#This Row],[Date]],"dddd")</f>
        <v>Saturday</v>
      </c>
      <c r="M4137" s="5" t="str">
        <f>TEXT(Store_Record[[#This Row],[Date]],"mmmm")</f>
        <v>November</v>
      </c>
      <c r="N4137" s="5">
        <f>YEAR(Store_Record[[#This Row],[Date]])</f>
        <v>2025</v>
      </c>
      <c r="O4137"/>
    </row>
    <row r="4138" spans="1:15" x14ac:dyDescent="0.35">
      <c r="A4138" t="s">
        <v>5117</v>
      </c>
      <c r="B4138" s="2">
        <v>45962</v>
      </c>
      <c r="C4138" t="s">
        <v>24</v>
      </c>
      <c r="D4138" t="s">
        <v>38</v>
      </c>
      <c r="E4138" t="s">
        <v>26</v>
      </c>
      <c r="F4138" t="s">
        <v>13</v>
      </c>
      <c r="G4138">
        <v>2</v>
      </c>
      <c r="H4138">
        <v>3.5</v>
      </c>
      <c r="I4138" t="s">
        <v>21</v>
      </c>
      <c r="J4138" t="s">
        <v>875</v>
      </c>
      <c r="K4138" s="12">
        <f>Store_Record[[#This Row],[Qty]]*Store_Record[[#This Row],[UnitPriceGBP]]</f>
        <v>7</v>
      </c>
      <c r="L4138" s="5" t="str">
        <f>TEXT(Store_Record[[#This Row],[Date]],"dddd")</f>
        <v>Saturday</v>
      </c>
      <c r="M4138" s="5" t="str">
        <f>TEXT(Store_Record[[#This Row],[Date]],"mmmm")</f>
        <v>November</v>
      </c>
      <c r="N4138" s="5">
        <f>YEAR(Store_Record[[#This Row],[Date]])</f>
        <v>2025</v>
      </c>
      <c r="O4138"/>
    </row>
    <row r="4139" spans="1:15" x14ac:dyDescent="0.35">
      <c r="A4139" t="s">
        <v>5118</v>
      </c>
      <c r="B4139" s="2">
        <v>45962</v>
      </c>
      <c r="C4139" t="s">
        <v>24</v>
      </c>
      <c r="D4139" t="s">
        <v>11</v>
      </c>
      <c r="E4139" t="s">
        <v>12</v>
      </c>
      <c r="F4139" t="s">
        <v>13</v>
      </c>
      <c r="G4139">
        <v>2</v>
      </c>
      <c r="H4139">
        <v>2.5</v>
      </c>
      <c r="I4139" t="s">
        <v>14</v>
      </c>
      <c r="J4139" t="s">
        <v>1364</v>
      </c>
      <c r="K4139" s="12">
        <f>Store_Record[[#This Row],[Qty]]*Store_Record[[#This Row],[UnitPriceGBP]]</f>
        <v>5</v>
      </c>
      <c r="L4139" s="5" t="str">
        <f>TEXT(Store_Record[[#This Row],[Date]],"dddd")</f>
        <v>Saturday</v>
      </c>
      <c r="M4139" s="5" t="str">
        <f>TEXT(Store_Record[[#This Row],[Date]],"mmmm")</f>
        <v>November</v>
      </c>
      <c r="N4139" s="5">
        <f>YEAR(Store_Record[[#This Row],[Date]])</f>
        <v>2025</v>
      </c>
      <c r="O4139"/>
    </row>
    <row r="4140" spans="1:15" x14ac:dyDescent="0.35">
      <c r="A4140" t="s">
        <v>5119</v>
      </c>
      <c r="B4140" s="2">
        <v>45962</v>
      </c>
      <c r="C4140" t="s">
        <v>36</v>
      </c>
      <c r="D4140" t="s">
        <v>38</v>
      </c>
      <c r="E4140" t="s">
        <v>30</v>
      </c>
      <c r="F4140" t="s">
        <v>31</v>
      </c>
      <c r="G4140">
        <v>1</v>
      </c>
      <c r="H4140">
        <v>2.8</v>
      </c>
      <c r="I4140" t="s">
        <v>14</v>
      </c>
      <c r="J4140" t="s">
        <v>539</v>
      </c>
      <c r="K4140" s="12">
        <f>Store_Record[[#This Row],[Qty]]*Store_Record[[#This Row],[UnitPriceGBP]]</f>
        <v>2.8</v>
      </c>
      <c r="L4140" s="5" t="str">
        <f>TEXT(Store_Record[[#This Row],[Date]],"dddd")</f>
        <v>Saturday</v>
      </c>
      <c r="M4140" s="5" t="str">
        <f>TEXT(Store_Record[[#This Row],[Date]],"mmmm")</f>
        <v>November</v>
      </c>
      <c r="N4140" s="5">
        <f>YEAR(Store_Record[[#This Row],[Date]])</f>
        <v>2025</v>
      </c>
      <c r="O4140"/>
    </row>
    <row r="4141" spans="1:15" x14ac:dyDescent="0.35">
      <c r="A4141" t="s">
        <v>5123</v>
      </c>
      <c r="B4141" s="2">
        <v>45962</v>
      </c>
      <c r="C4141" t="s">
        <v>24</v>
      </c>
      <c r="D4141" t="s">
        <v>11</v>
      </c>
      <c r="E4141" t="s">
        <v>12</v>
      </c>
      <c r="F4141" t="s">
        <v>13</v>
      </c>
      <c r="G4141">
        <v>1</v>
      </c>
      <c r="H4141">
        <v>2.5</v>
      </c>
      <c r="I4141" t="s">
        <v>14</v>
      </c>
      <c r="J4141" t="s">
        <v>3505</v>
      </c>
      <c r="K4141" s="12">
        <f>Store_Record[[#This Row],[Qty]]*Store_Record[[#This Row],[UnitPriceGBP]]</f>
        <v>2.5</v>
      </c>
      <c r="L4141" s="5" t="str">
        <f>TEXT(Store_Record[[#This Row],[Date]],"dddd")</f>
        <v>Saturday</v>
      </c>
      <c r="M4141" s="5" t="str">
        <f>TEXT(Store_Record[[#This Row],[Date]],"mmmm")</f>
        <v>November</v>
      </c>
      <c r="N4141" s="5">
        <f>YEAR(Store_Record[[#This Row],[Date]])</f>
        <v>2025</v>
      </c>
      <c r="O4141"/>
    </row>
    <row r="4142" spans="1:15" x14ac:dyDescent="0.35">
      <c r="A4142" t="s">
        <v>5140</v>
      </c>
      <c r="B4142" s="2">
        <v>45963</v>
      </c>
      <c r="C4142" t="s">
        <v>24</v>
      </c>
      <c r="D4142" t="s">
        <v>25</v>
      </c>
      <c r="E4142" t="s">
        <v>42</v>
      </c>
      <c r="F4142" t="s">
        <v>13</v>
      </c>
      <c r="G4142">
        <v>4</v>
      </c>
      <c r="H4142">
        <v>3.8</v>
      </c>
      <c r="I4142" t="s">
        <v>39</v>
      </c>
      <c r="J4142" t="s">
        <v>1825</v>
      </c>
      <c r="K4142" s="12">
        <f>Store_Record[[#This Row],[Qty]]*Store_Record[[#This Row],[UnitPriceGBP]]</f>
        <v>15.2</v>
      </c>
      <c r="L4142" s="5" t="str">
        <f>TEXT(Store_Record[[#This Row],[Date]],"dddd")</f>
        <v>Sunday</v>
      </c>
      <c r="M4142" s="5" t="str">
        <f>TEXT(Store_Record[[#This Row],[Date]],"mmmm")</f>
        <v>November</v>
      </c>
      <c r="N4142" s="5">
        <f>YEAR(Store_Record[[#This Row],[Date]])</f>
        <v>2025</v>
      </c>
      <c r="O4142"/>
    </row>
    <row r="4143" spans="1:15" x14ac:dyDescent="0.35">
      <c r="A4143" t="s">
        <v>5130</v>
      </c>
      <c r="B4143" s="2">
        <v>45963</v>
      </c>
      <c r="C4143" t="s">
        <v>24</v>
      </c>
      <c r="D4143" t="s">
        <v>47</v>
      </c>
      <c r="E4143" t="s">
        <v>12</v>
      </c>
      <c r="F4143" t="s">
        <v>13</v>
      </c>
      <c r="G4143">
        <v>5</v>
      </c>
      <c r="H4143">
        <v>2.5</v>
      </c>
      <c r="I4143" t="s">
        <v>14</v>
      </c>
      <c r="J4143" t="s">
        <v>1095</v>
      </c>
      <c r="K4143" s="12">
        <f>Store_Record[[#This Row],[Qty]]*Store_Record[[#This Row],[UnitPriceGBP]]</f>
        <v>12.5</v>
      </c>
      <c r="L4143" s="5" t="str">
        <f>TEXT(Store_Record[[#This Row],[Date]],"dddd")</f>
        <v>Sunday</v>
      </c>
      <c r="M4143" s="5" t="str">
        <f>TEXT(Store_Record[[#This Row],[Date]],"mmmm")</f>
        <v>November</v>
      </c>
      <c r="N4143" s="5">
        <f>YEAR(Store_Record[[#This Row],[Date]])</f>
        <v>2025</v>
      </c>
      <c r="O4143"/>
    </row>
    <row r="4144" spans="1:15" x14ac:dyDescent="0.35">
      <c r="A4144" t="s">
        <v>5135</v>
      </c>
      <c r="B4144" s="2">
        <v>45963</v>
      </c>
      <c r="C4144" t="s">
        <v>24</v>
      </c>
      <c r="D4144" t="s">
        <v>11</v>
      </c>
      <c r="E4144" t="s">
        <v>34</v>
      </c>
      <c r="F4144" t="s">
        <v>31</v>
      </c>
      <c r="G4144">
        <v>5</v>
      </c>
      <c r="H4144">
        <v>2.2000000000000002</v>
      </c>
      <c r="I4144" t="s">
        <v>21</v>
      </c>
      <c r="J4144" t="s">
        <v>5136</v>
      </c>
      <c r="K4144" s="12">
        <f>Store_Record[[#This Row],[Qty]]*Store_Record[[#This Row],[UnitPriceGBP]]</f>
        <v>11</v>
      </c>
      <c r="L4144" s="5" t="str">
        <f>TEXT(Store_Record[[#This Row],[Date]],"dddd")</f>
        <v>Sunday</v>
      </c>
      <c r="M4144" s="5" t="str">
        <f>TEXT(Store_Record[[#This Row],[Date]],"mmmm")</f>
        <v>November</v>
      </c>
      <c r="N4144" s="5">
        <f>YEAR(Store_Record[[#This Row],[Date]])</f>
        <v>2025</v>
      </c>
      <c r="O4144"/>
    </row>
    <row r="4145" spans="1:15" x14ac:dyDescent="0.35">
      <c r="A4145" t="s">
        <v>5141</v>
      </c>
      <c r="B4145" s="2">
        <v>45963</v>
      </c>
      <c r="C4145" t="s">
        <v>36</v>
      </c>
      <c r="D4145" t="s">
        <v>11</v>
      </c>
      <c r="E4145" t="s">
        <v>26</v>
      </c>
      <c r="F4145" t="s">
        <v>13</v>
      </c>
      <c r="G4145">
        <v>3</v>
      </c>
      <c r="H4145">
        <v>3.5</v>
      </c>
      <c r="I4145" t="s">
        <v>21</v>
      </c>
      <c r="J4145" t="s">
        <v>815</v>
      </c>
      <c r="K4145" s="12">
        <f>Store_Record[[#This Row],[Qty]]*Store_Record[[#This Row],[UnitPriceGBP]]</f>
        <v>10.5</v>
      </c>
      <c r="L4145" s="5" t="str">
        <f>TEXT(Store_Record[[#This Row],[Date]],"dddd")</f>
        <v>Sunday</v>
      </c>
      <c r="M4145" s="5" t="str">
        <f>TEXT(Store_Record[[#This Row],[Date]],"mmmm")</f>
        <v>November</v>
      </c>
      <c r="N4145" s="5">
        <f>YEAR(Store_Record[[#This Row],[Date]])</f>
        <v>2025</v>
      </c>
      <c r="O4145"/>
    </row>
    <row r="4146" spans="1:15" x14ac:dyDescent="0.35">
      <c r="A4146" t="s">
        <v>5142</v>
      </c>
      <c r="B4146" s="2">
        <v>45963</v>
      </c>
      <c r="C4146" t="s">
        <v>20</v>
      </c>
      <c r="D4146" t="s">
        <v>47</v>
      </c>
      <c r="E4146" t="s">
        <v>26</v>
      </c>
      <c r="F4146" t="s">
        <v>13</v>
      </c>
      <c r="G4146">
        <v>3</v>
      </c>
      <c r="H4146">
        <v>3.5</v>
      </c>
      <c r="I4146" t="s">
        <v>21</v>
      </c>
      <c r="J4146" t="s">
        <v>1854</v>
      </c>
      <c r="K4146" s="12">
        <f>Store_Record[[#This Row],[Qty]]*Store_Record[[#This Row],[UnitPriceGBP]]</f>
        <v>10.5</v>
      </c>
      <c r="L4146" s="5" t="str">
        <f>TEXT(Store_Record[[#This Row],[Date]],"dddd")</f>
        <v>Sunday</v>
      </c>
      <c r="M4146" s="5" t="str">
        <f>TEXT(Store_Record[[#This Row],[Date]],"mmmm")</f>
        <v>November</v>
      </c>
      <c r="N4146" s="5">
        <f>YEAR(Store_Record[[#This Row],[Date]])</f>
        <v>2025</v>
      </c>
      <c r="O4146"/>
    </row>
    <row r="4147" spans="1:15" x14ac:dyDescent="0.35">
      <c r="A4147" t="s">
        <v>5143</v>
      </c>
      <c r="B4147" s="2">
        <v>45963</v>
      </c>
      <c r="C4147" t="s">
        <v>36</v>
      </c>
      <c r="D4147" t="s">
        <v>29</v>
      </c>
      <c r="E4147" t="s">
        <v>12</v>
      </c>
      <c r="F4147" t="s">
        <v>13</v>
      </c>
      <c r="G4147">
        <v>4</v>
      </c>
      <c r="H4147">
        <v>2.5</v>
      </c>
      <c r="I4147" t="s">
        <v>21</v>
      </c>
      <c r="J4147" t="s">
        <v>549</v>
      </c>
      <c r="K4147" s="12">
        <f>Store_Record[[#This Row],[Qty]]*Store_Record[[#This Row],[UnitPriceGBP]]</f>
        <v>10</v>
      </c>
      <c r="L4147" s="5" t="str">
        <f>TEXT(Store_Record[[#This Row],[Date]],"dddd")</f>
        <v>Sunday</v>
      </c>
      <c r="M4147" s="5" t="str">
        <f>TEXT(Store_Record[[#This Row],[Date]],"mmmm")</f>
        <v>November</v>
      </c>
      <c r="N4147" s="5">
        <f>YEAR(Store_Record[[#This Row],[Date]])</f>
        <v>2025</v>
      </c>
      <c r="O4147"/>
    </row>
    <row r="4148" spans="1:15" x14ac:dyDescent="0.35">
      <c r="A4148" t="s">
        <v>5134</v>
      </c>
      <c r="B4148" s="2">
        <v>45963</v>
      </c>
      <c r="C4148" t="s">
        <v>36</v>
      </c>
      <c r="D4148" t="s">
        <v>152</v>
      </c>
      <c r="E4148" t="s">
        <v>30</v>
      </c>
      <c r="F4148" t="s">
        <v>31</v>
      </c>
      <c r="G4148">
        <v>3</v>
      </c>
      <c r="H4148">
        <v>2.8</v>
      </c>
      <c r="I4148" t="s">
        <v>21</v>
      </c>
      <c r="J4148" t="s">
        <v>239</v>
      </c>
      <c r="K4148" s="12">
        <f>Store_Record[[#This Row],[Qty]]*Store_Record[[#This Row],[UnitPriceGBP]]</f>
        <v>8.3999999999999986</v>
      </c>
      <c r="L4148" s="5" t="str">
        <f>TEXT(Store_Record[[#This Row],[Date]],"dddd")</f>
        <v>Sunday</v>
      </c>
      <c r="M4148" s="5" t="str">
        <f>TEXT(Store_Record[[#This Row],[Date]],"mmmm")</f>
        <v>November</v>
      </c>
      <c r="N4148" s="5">
        <f>YEAR(Store_Record[[#This Row],[Date]])</f>
        <v>2025</v>
      </c>
      <c r="O4148"/>
    </row>
    <row r="4149" spans="1:15" x14ac:dyDescent="0.35">
      <c r="A4149" t="s">
        <v>5132</v>
      </c>
      <c r="B4149" s="2">
        <v>45963</v>
      </c>
      <c r="C4149" t="s">
        <v>10</v>
      </c>
      <c r="D4149" t="s">
        <v>11</v>
      </c>
      <c r="E4149" t="s">
        <v>42</v>
      </c>
      <c r="F4149" t="s">
        <v>13</v>
      </c>
      <c r="G4149">
        <v>2</v>
      </c>
      <c r="H4149">
        <v>3.8</v>
      </c>
      <c r="I4149" t="s">
        <v>39</v>
      </c>
      <c r="J4149" t="s">
        <v>1703</v>
      </c>
      <c r="K4149" s="12">
        <f>Store_Record[[#This Row],[Qty]]*Store_Record[[#This Row],[UnitPriceGBP]]</f>
        <v>7.6</v>
      </c>
      <c r="L4149" s="5" t="str">
        <f>TEXT(Store_Record[[#This Row],[Date]],"dddd")</f>
        <v>Sunday</v>
      </c>
      <c r="M4149" s="5" t="str">
        <f>TEXT(Store_Record[[#This Row],[Date]],"mmmm")</f>
        <v>November</v>
      </c>
      <c r="N4149" s="5">
        <f>YEAR(Store_Record[[#This Row],[Date]])</f>
        <v>2025</v>
      </c>
      <c r="O4149"/>
    </row>
    <row r="4150" spans="1:15" x14ac:dyDescent="0.35">
      <c r="A4150" t="s">
        <v>5139</v>
      </c>
      <c r="B4150" s="2">
        <v>45963</v>
      </c>
      <c r="C4150" t="s">
        <v>20</v>
      </c>
      <c r="D4150" t="s">
        <v>29</v>
      </c>
      <c r="E4150" t="s">
        <v>42</v>
      </c>
      <c r="F4150" t="s">
        <v>13</v>
      </c>
      <c r="G4150">
        <v>2</v>
      </c>
      <c r="H4150">
        <v>3.8</v>
      </c>
      <c r="I4150" t="s">
        <v>14</v>
      </c>
      <c r="J4150" t="s">
        <v>1132</v>
      </c>
      <c r="K4150" s="12">
        <f>Store_Record[[#This Row],[Qty]]*Store_Record[[#This Row],[UnitPriceGBP]]</f>
        <v>7.6</v>
      </c>
      <c r="L4150" s="5" t="str">
        <f>TEXT(Store_Record[[#This Row],[Date]],"dddd")</f>
        <v>Sunday</v>
      </c>
      <c r="M4150" s="5" t="str">
        <f>TEXT(Store_Record[[#This Row],[Date]],"mmmm")</f>
        <v>November</v>
      </c>
      <c r="N4150" s="5">
        <f>YEAR(Store_Record[[#This Row],[Date]])</f>
        <v>2025</v>
      </c>
      <c r="O4150"/>
    </row>
    <row r="4151" spans="1:15" x14ac:dyDescent="0.35">
      <c r="A4151" t="s">
        <v>5138</v>
      </c>
      <c r="B4151" s="2">
        <v>45963</v>
      </c>
      <c r="C4151" t="s">
        <v>24</v>
      </c>
      <c r="D4151" t="s">
        <v>25</v>
      </c>
      <c r="E4151" t="s">
        <v>12</v>
      </c>
      <c r="F4151" t="s">
        <v>13</v>
      </c>
      <c r="G4151">
        <v>3</v>
      </c>
      <c r="H4151">
        <v>2.5</v>
      </c>
      <c r="I4151" t="s">
        <v>21</v>
      </c>
      <c r="J4151" t="s">
        <v>1629</v>
      </c>
      <c r="K4151" s="12">
        <f>Store_Record[[#This Row],[Qty]]*Store_Record[[#This Row],[UnitPriceGBP]]</f>
        <v>7.5</v>
      </c>
      <c r="L4151" s="5" t="str">
        <f>TEXT(Store_Record[[#This Row],[Date]],"dddd")</f>
        <v>Sunday</v>
      </c>
      <c r="M4151" s="5" t="str">
        <f>TEXT(Store_Record[[#This Row],[Date]],"mmmm")</f>
        <v>November</v>
      </c>
      <c r="N4151" s="5">
        <f>YEAR(Store_Record[[#This Row],[Date]])</f>
        <v>2025</v>
      </c>
      <c r="O4151"/>
    </row>
    <row r="4152" spans="1:15" x14ac:dyDescent="0.35">
      <c r="A4152" t="s">
        <v>5137</v>
      </c>
      <c r="B4152" s="2">
        <v>45963</v>
      </c>
      <c r="C4152" t="s">
        <v>36</v>
      </c>
      <c r="D4152" t="s">
        <v>11</v>
      </c>
      <c r="E4152" t="s">
        <v>30</v>
      </c>
      <c r="F4152" t="s">
        <v>31</v>
      </c>
      <c r="G4152">
        <v>2</v>
      </c>
      <c r="H4152">
        <v>2.8</v>
      </c>
      <c r="I4152" t="s">
        <v>14</v>
      </c>
      <c r="J4152" t="s">
        <v>117</v>
      </c>
      <c r="K4152" s="12">
        <f>Store_Record[[#This Row],[Qty]]*Store_Record[[#This Row],[UnitPriceGBP]]</f>
        <v>5.6</v>
      </c>
      <c r="L4152" s="5" t="str">
        <f>TEXT(Store_Record[[#This Row],[Date]],"dddd")</f>
        <v>Sunday</v>
      </c>
      <c r="M4152" s="5" t="str">
        <f>TEXT(Store_Record[[#This Row],[Date]],"mmmm")</f>
        <v>November</v>
      </c>
      <c r="N4152" s="5">
        <f>YEAR(Store_Record[[#This Row],[Date]])</f>
        <v>2025</v>
      </c>
      <c r="O4152"/>
    </row>
    <row r="4153" spans="1:15" x14ac:dyDescent="0.35">
      <c r="A4153" t="s">
        <v>5133</v>
      </c>
      <c r="B4153" s="2">
        <v>45963</v>
      </c>
      <c r="C4153" t="s">
        <v>20</v>
      </c>
      <c r="D4153" t="s">
        <v>47</v>
      </c>
      <c r="E4153" t="s">
        <v>30</v>
      </c>
      <c r="F4153" t="s">
        <v>31</v>
      </c>
      <c r="G4153">
        <v>1</v>
      </c>
      <c r="H4153">
        <v>2.8</v>
      </c>
      <c r="I4153" t="s">
        <v>14</v>
      </c>
      <c r="J4153" t="s">
        <v>54</v>
      </c>
      <c r="K4153" s="12">
        <f>Store_Record[[#This Row],[Qty]]*Store_Record[[#This Row],[UnitPriceGBP]]</f>
        <v>2.8</v>
      </c>
      <c r="L4153" s="5" t="str">
        <f>TEXT(Store_Record[[#This Row],[Date]],"dddd")</f>
        <v>Sunday</v>
      </c>
      <c r="M4153" s="5" t="str">
        <f>TEXT(Store_Record[[#This Row],[Date]],"mmmm")</f>
        <v>November</v>
      </c>
      <c r="N4153" s="5">
        <f>YEAR(Store_Record[[#This Row],[Date]])</f>
        <v>2025</v>
      </c>
      <c r="O4153"/>
    </row>
    <row r="4154" spans="1:15" x14ac:dyDescent="0.35">
      <c r="A4154" t="s">
        <v>5144</v>
      </c>
      <c r="B4154" s="2">
        <v>45963</v>
      </c>
      <c r="C4154" t="s">
        <v>10</v>
      </c>
      <c r="D4154" t="s">
        <v>47</v>
      </c>
      <c r="E4154" t="s">
        <v>12</v>
      </c>
      <c r="F4154" t="s">
        <v>13</v>
      </c>
      <c r="G4154">
        <v>1</v>
      </c>
      <c r="H4154">
        <v>2.5</v>
      </c>
      <c r="I4154" t="s">
        <v>21</v>
      </c>
      <c r="J4154" t="s">
        <v>1703</v>
      </c>
      <c r="K4154" s="12">
        <f>Store_Record[[#This Row],[Qty]]*Store_Record[[#This Row],[UnitPriceGBP]]</f>
        <v>2.5</v>
      </c>
      <c r="L4154" s="5" t="str">
        <f>TEXT(Store_Record[[#This Row],[Date]],"dddd")</f>
        <v>Sunday</v>
      </c>
      <c r="M4154" s="5" t="str">
        <f>TEXT(Store_Record[[#This Row],[Date]],"mmmm")</f>
        <v>November</v>
      </c>
      <c r="N4154" s="5">
        <f>YEAR(Store_Record[[#This Row],[Date]])</f>
        <v>2025</v>
      </c>
      <c r="O4154"/>
    </row>
    <row r="4155" spans="1:15" x14ac:dyDescent="0.35">
      <c r="A4155" t="s">
        <v>5131</v>
      </c>
      <c r="B4155" s="2">
        <v>45963</v>
      </c>
      <c r="C4155" t="s">
        <v>36</v>
      </c>
      <c r="D4155" t="s">
        <v>29</v>
      </c>
      <c r="E4155" t="s">
        <v>34</v>
      </c>
      <c r="F4155" t="s">
        <v>31</v>
      </c>
      <c r="G4155">
        <v>1</v>
      </c>
      <c r="H4155">
        <v>2.2000000000000002</v>
      </c>
      <c r="I4155" t="s">
        <v>21</v>
      </c>
      <c r="J4155" t="s">
        <v>167</v>
      </c>
      <c r="K4155" s="12">
        <f>Store_Record[[#This Row],[Qty]]*Store_Record[[#This Row],[UnitPriceGBP]]</f>
        <v>2.2000000000000002</v>
      </c>
      <c r="L4155" s="5" t="str">
        <f>TEXT(Store_Record[[#This Row],[Date]],"dddd")</f>
        <v>Sunday</v>
      </c>
      <c r="M4155" s="5" t="str">
        <f>TEXT(Store_Record[[#This Row],[Date]],"mmmm")</f>
        <v>November</v>
      </c>
      <c r="N4155" s="5">
        <f>YEAR(Store_Record[[#This Row],[Date]])</f>
        <v>2025</v>
      </c>
      <c r="O4155"/>
    </row>
    <row r="4156" spans="1:15" x14ac:dyDescent="0.35">
      <c r="A4156" t="s">
        <v>5155</v>
      </c>
      <c r="B4156" s="2">
        <v>45964</v>
      </c>
      <c r="C4156" t="s">
        <v>24</v>
      </c>
      <c r="D4156" t="s">
        <v>47</v>
      </c>
      <c r="E4156" t="s">
        <v>42</v>
      </c>
      <c r="F4156" t="s">
        <v>13</v>
      </c>
      <c r="G4156">
        <v>5</v>
      </c>
      <c r="H4156">
        <v>3.8</v>
      </c>
      <c r="I4156" t="s">
        <v>39</v>
      </c>
      <c r="J4156" t="s">
        <v>3321</v>
      </c>
      <c r="K4156" s="12">
        <f>Store_Record[[#This Row],[Qty]]*Store_Record[[#This Row],[UnitPriceGBP]]</f>
        <v>19</v>
      </c>
      <c r="L4156" s="5" t="str">
        <f>TEXT(Store_Record[[#This Row],[Date]],"dddd")</f>
        <v>Monday</v>
      </c>
      <c r="M4156" s="5" t="str">
        <f>TEXT(Store_Record[[#This Row],[Date]],"mmmm")</f>
        <v>November</v>
      </c>
      <c r="N4156" s="5">
        <f>YEAR(Store_Record[[#This Row],[Date]])</f>
        <v>2025</v>
      </c>
      <c r="O4156"/>
    </row>
    <row r="4157" spans="1:15" x14ac:dyDescent="0.35">
      <c r="A4157" t="s">
        <v>5160</v>
      </c>
      <c r="B4157" s="2">
        <v>45964</v>
      </c>
      <c r="C4157" t="s">
        <v>24</v>
      </c>
      <c r="D4157" t="s">
        <v>38</v>
      </c>
      <c r="E4157" t="s">
        <v>42</v>
      </c>
      <c r="F4157" t="s">
        <v>13</v>
      </c>
      <c r="G4157">
        <v>5</v>
      </c>
      <c r="H4157">
        <v>3.8</v>
      </c>
      <c r="I4157" t="s">
        <v>21</v>
      </c>
      <c r="J4157" t="s">
        <v>3825</v>
      </c>
      <c r="K4157" s="12">
        <f>Store_Record[[#This Row],[Qty]]*Store_Record[[#This Row],[UnitPriceGBP]]</f>
        <v>19</v>
      </c>
      <c r="L4157" s="5" t="str">
        <f>TEXT(Store_Record[[#This Row],[Date]],"dddd")</f>
        <v>Monday</v>
      </c>
      <c r="M4157" s="5" t="str">
        <f>TEXT(Store_Record[[#This Row],[Date]],"mmmm")</f>
        <v>November</v>
      </c>
      <c r="N4157" s="5">
        <f>YEAR(Store_Record[[#This Row],[Date]])</f>
        <v>2025</v>
      </c>
      <c r="O4157"/>
    </row>
    <row r="4158" spans="1:15" x14ac:dyDescent="0.35">
      <c r="A4158" t="s">
        <v>5164</v>
      </c>
      <c r="B4158" s="2">
        <v>45964</v>
      </c>
      <c r="C4158" t="s">
        <v>24</v>
      </c>
      <c r="D4158" t="s">
        <v>38</v>
      </c>
      <c r="E4158" t="s">
        <v>42</v>
      </c>
      <c r="F4158" t="s">
        <v>13</v>
      </c>
      <c r="G4158">
        <v>5</v>
      </c>
      <c r="H4158">
        <v>3.8</v>
      </c>
      <c r="I4158" t="s">
        <v>21</v>
      </c>
      <c r="J4158" t="s">
        <v>1145</v>
      </c>
      <c r="K4158" s="12">
        <f>Store_Record[[#This Row],[Qty]]*Store_Record[[#This Row],[UnitPriceGBP]]</f>
        <v>19</v>
      </c>
      <c r="L4158" s="5" t="str">
        <f>TEXT(Store_Record[[#This Row],[Date]],"dddd")</f>
        <v>Monday</v>
      </c>
      <c r="M4158" s="5" t="str">
        <f>TEXT(Store_Record[[#This Row],[Date]],"mmmm")</f>
        <v>November</v>
      </c>
      <c r="N4158" s="5">
        <f>YEAR(Store_Record[[#This Row],[Date]])</f>
        <v>2025</v>
      </c>
      <c r="O4158"/>
    </row>
    <row r="4159" spans="1:15" x14ac:dyDescent="0.35">
      <c r="A4159" t="s">
        <v>5157</v>
      </c>
      <c r="B4159" s="2">
        <v>45964</v>
      </c>
      <c r="C4159" t="s">
        <v>10</v>
      </c>
      <c r="D4159" t="s">
        <v>11</v>
      </c>
      <c r="E4159" t="s">
        <v>42</v>
      </c>
      <c r="F4159" t="s">
        <v>13</v>
      </c>
      <c r="G4159">
        <v>4</v>
      </c>
      <c r="H4159">
        <v>3.8</v>
      </c>
      <c r="I4159" t="s">
        <v>21</v>
      </c>
      <c r="J4159" t="s">
        <v>256</v>
      </c>
      <c r="K4159" s="12">
        <f>Store_Record[[#This Row],[Qty]]*Store_Record[[#This Row],[UnitPriceGBP]]</f>
        <v>15.2</v>
      </c>
      <c r="L4159" s="5" t="str">
        <f>TEXT(Store_Record[[#This Row],[Date]],"dddd")</f>
        <v>Monday</v>
      </c>
      <c r="M4159" s="5" t="str">
        <f>TEXT(Store_Record[[#This Row],[Date]],"mmmm")</f>
        <v>November</v>
      </c>
      <c r="N4159" s="5">
        <f>YEAR(Store_Record[[#This Row],[Date]])</f>
        <v>2025</v>
      </c>
      <c r="O4159"/>
    </row>
    <row r="4160" spans="1:15" x14ac:dyDescent="0.35">
      <c r="A4160" t="s">
        <v>5145</v>
      </c>
      <c r="B4160" s="2">
        <v>45964</v>
      </c>
      <c r="C4160" t="s">
        <v>20</v>
      </c>
      <c r="D4160" t="s">
        <v>11</v>
      </c>
      <c r="E4160" t="s">
        <v>26</v>
      </c>
      <c r="F4160" t="s">
        <v>13</v>
      </c>
      <c r="G4160">
        <v>4</v>
      </c>
      <c r="H4160">
        <v>3.5</v>
      </c>
      <c r="I4160" t="s">
        <v>14</v>
      </c>
      <c r="J4160" t="s">
        <v>541</v>
      </c>
      <c r="K4160" s="12">
        <f>Store_Record[[#This Row],[Qty]]*Store_Record[[#This Row],[UnitPriceGBP]]</f>
        <v>14</v>
      </c>
      <c r="L4160" s="5" t="str">
        <f>TEXT(Store_Record[[#This Row],[Date]],"dddd")</f>
        <v>Monday</v>
      </c>
      <c r="M4160" s="5" t="str">
        <f>TEXT(Store_Record[[#This Row],[Date]],"mmmm")</f>
        <v>November</v>
      </c>
      <c r="N4160" s="5">
        <f>YEAR(Store_Record[[#This Row],[Date]])</f>
        <v>2025</v>
      </c>
      <c r="O4160"/>
    </row>
    <row r="4161" spans="1:15" x14ac:dyDescent="0.35">
      <c r="A4161" t="s">
        <v>5148</v>
      </c>
      <c r="B4161" s="2">
        <v>45964</v>
      </c>
      <c r="C4161" t="s">
        <v>20</v>
      </c>
      <c r="D4161" t="s">
        <v>11</v>
      </c>
      <c r="E4161" t="s">
        <v>30</v>
      </c>
      <c r="F4161" t="s">
        <v>31</v>
      </c>
      <c r="G4161">
        <v>5</v>
      </c>
      <c r="H4161">
        <v>2.8</v>
      </c>
      <c r="I4161" t="s">
        <v>39</v>
      </c>
      <c r="J4161" t="s">
        <v>2162</v>
      </c>
      <c r="K4161" s="12">
        <f>Store_Record[[#This Row],[Qty]]*Store_Record[[#This Row],[UnitPriceGBP]]</f>
        <v>14</v>
      </c>
      <c r="L4161" s="5" t="str">
        <f>TEXT(Store_Record[[#This Row],[Date]],"dddd")</f>
        <v>Monday</v>
      </c>
      <c r="M4161" s="5" t="str">
        <f>TEXT(Store_Record[[#This Row],[Date]],"mmmm")</f>
        <v>November</v>
      </c>
      <c r="N4161" s="5">
        <f>YEAR(Store_Record[[#This Row],[Date]])</f>
        <v>2025</v>
      </c>
      <c r="O4161"/>
    </row>
    <row r="4162" spans="1:15" x14ac:dyDescent="0.35">
      <c r="A4162" t="s">
        <v>5158</v>
      </c>
      <c r="B4162" s="2">
        <v>45964</v>
      </c>
      <c r="C4162" t="s">
        <v>20</v>
      </c>
      <c r="D4162" t="s">
        <v>38</v>
      </c>
      <c r="E4162" t="s">
        <v>12</v>
      </c>
      <c r="F4162" t="s">
        <v>13</v>
      </c>
      <c r="G4162">
        <v>5</v>
      </c>
      <c r="H4162">
        <v>2.5</v>
      </c>
      <c r="I4162" t="s">
        <v>14</v>
      </c>
      <c r="J4162" t="s">
        <v>218</v>
      </c>
      <c r="K4162" s="12">
        <f>Store_Record[[#This Row],[Qty]]*Store_Record[[#This Row],[UnitPriceGBP]]</f>
        <v>12.5</v>
      </c>
      <c r="L4162" s="5" t="str">
        <f>TEXT(Store_Record[[#This Row],[Date]],"dddd")</f>
        <v>Monday</v>
      </c>
      <c r="M4162" s="5" t="str">
        <f>TEXT(Store_Record[[#This Row],[Date]],"mmmm")</f>
        <v>November</v>
      </c>
      <c r="N4162" s="5">
        <f>YEAR(Store_Record[[#This Row],[Date]])</f>
        <v>2025</v>
      </c>
      <c r="O4162"/>
    </row>
    <row r="4163" spans="1:15" x14ac:dyDescent="0.35">
      <c r="A4163" t="s">
        <v>5150</v>
      </c>
      <c r="B4163" s="2">
        <v>45964</v>
      </c>
      <c r="C4163" t="s">
        <v>10</v>
      </c>
      <c r="D4163" t="s">
        <v>47</v>
      </c>
      <c r="E4163" t="s">
        <v>30</v>
      </c>
      <c r="F4163" t="s">
        <v>31</v>
      </c>
      <c r="G4163">
        <v>4</v>
      </c>
      <c r="H4163">
        <v>2.8</v>
      </c>
      <c r="I4163" t="s">
        <v>39</v>
      </c>
      <c r="J4163" t="s">
        <v>1408</v>
      </c>
      <c r="K4163" s="12">
        <f>Store_Record[[#This Row],[Qty]]*Store_Record[[#This Row],[UnitPriceGBP]]</f>
        <v>11.2</v>
      </c>
      <c r="L4163" s="5" t="str">
        <f>TEXT(Store_Record[[#This Row],[Date]],"dddd")</f>
        <v>Monday</v>
      </c>
      <c r="M4163" s="5" t="str">
        <f>TEXT(Store_Record[[#This Row],[Date]],"mmmm")</f>
        <v>November</v>
      </c>
      <c r="N4163" s="5">
        <f>YEAR(Store_Record[[#This Row],[Date]])</f>
        <v>2025</v>
      </c>
      <c r="O4163"/>
    </row>
    <row r="4164" spans="1:15" x14ac:dyDescent="0.35">
      <c r="A4164" t="s">
        <v>5154</v>
      </c>
      <c r="B4164" s="2">
        <v>45964</v>
      </c>
      <c r="C4164" t="s">
        <v>10</v>
      </c>
      <c r="D4164" t="s">
        <v>47</v>
      </c>
      <c r="E4164" t="s">
        <v>30</v>
      </c>
      <c r="F4164" t="s">
        <v>31</v>
      </c>
      <c r="G4164">
        <v>4</v>
      </c>
      <c r="H4164">
        <v>2.8</v>
      </c>
      <c r="I4164" t="s">
        <v>21</v>
      </c>
      <c r="J4164" t="s">
        <v>105</v>
      </c>
      <c r="K4164" s="12">
        <f>Store_Record[[#This Row],[Qty]]*Store_Record[[#This Row],[UnitPriceGBP]]</f>
        <v>11.2</v>
      </c>
      <c r="L4164" s="5" t="str">
        <f>TEXT(Store_Record[[#This Row],[Date]],"dddd")</f>
        <v>Monday</v>
      </c>
      <c r="M4164" s="5" t="str">
        <f>TEXT(Store_Record[[#This Row],[Date]],"mmmm")</f>
        <v>November</v>
      </c>
      <c r="N4164" s="5">
        <f>YEAR(Store_Record[[#This Row],[Date]])</f>
        <v>2025</v>
      </c>
      <c r="O4164"/>
    </row>
    <row r="4165" spans="1:15" x14ac:dyDescent="0.35">
      <c r="A4165" t="s">
        <v>5151</v>
      </c>
      <c r="B4165" s="2">
        <v>45964</v>
      </c>
      <c r="C4165" t="s">
        <v>20</v>
      </c>
      <c r="D4165" t="s">
        <v>25</v>
      </c>
      <c r="E4165" t="s">
        <v>34</v>
      </c>
      <c r="F4165" t="s">
        <v>31</v>
      </c>
      <c r="G4165">
        <v>5</v>
      </c>
      <c r="H4165">
        <v>2.2000000000000002</v>
      </c>
      <c r="I4165" t="s">
        <v>39</v>
      </c>
      <c r="J4165" t="s">
        <v>972</v>
      </c>
      <c r="K4165" s="12">
        <f>Store_Record[[#This Row],[Qty]]*Store_Record[[#This Row],[UnitPriceGBP]]</f>
        <v>11</v>
      </c>
      <c r="L4165" s="5" t="str">
        <f>TEXT(Store_Record[[#This Row],[Date]],"dddd")</f>
        <v>Monday</v>
      </c>
      <c r="M4165" s="5" t="str">
        <f>TEXT(Store_Record[[#This Row],[Date]],"mmmm")</f>
        <v>November</v>
      </c>
      <c r="N4165" s="5">
        <f>YEAR(Store_Record[[#This Row],[Date]])</f>
        <v>2025</v>
      </c>
      <c r="O4165"/>
    </row>
    <row r="4166" spans="1:15" x14ac:dyDescent="0.35">
      <c r="A4166" t="s">
        <v>5166</v>
      </c>
      <c r="B4166" s="2">
        <v>45964</v>
      </c>
      <c r="C4166" t="s">
        <v>24</v>
      </c>
      <c r="D4166" t="s">
        <v>25</v>
      </c>
      <c r="E4166" t="s">
        <v>26</v>
      </c>
      <c r="F4166" t="s">
        <v>13</v>
      </c>
      <c r="G4166">
        <v>3</v>
      </c>
      <c r="H4166">
        <v>3.5</v>
      </c>
      <c r="I4166" t="s">
        <v>21</v>
      </c>
      <c r="J4166" t="s">
        <v>1254</v>
      </c>
      <c r="K4166" s="12">
        <f>Store_Record[[#This Row],[Qty]]*Store_Record[[#This Row],[UnitPriceGBP]]</f>
        <v>10.5</v>
      </c>
      <c r="L4166" s="5" t="str">
        <f>TEXT(Store_Record[[#This Row],[Date]],"dddd")</f>
        <v>Monday</v>
      </c>
      <c r="M4166" s="5" t="str">
        <f>TEXT(Store_Record[[#This Row],[Date]],"mmmm")</f>
        <v>November</v>
      </c>
      <c r="N4166" s="5">
        <f>YEAR(Store_Record[[#This Row],[Date]])</f>
        <v>2025</v>
      </c>
      <c r="O4166"/>
    </row>
    <row r="4167" spans="1:15" x14ac:dyDescent="0.35">
      <c r="A4167" t="s">
        <v>5167</v>
      </c>
      <c r="B4167" s="2">
        <v>45964</v>
      </c>
      <c r="C4167" t="s">
        <v>36</v>
      </c>
      <c r="D4167" t="s">
        <v>47</v>
      </c>
      <c r="E4167" t="s">
        <v>34</v>
      </c>
      <c r="F4167" t="s">
        <v>31</v>
      </c>
      <c r="G4167">
        <v>4</v>
      </c>
      <c r="H4167">
        <v>2.2000000000000002</v>
      </c>
      <c r="I4167" t="s">
        <v>14</v>
      </c>
      <c r="J4167" t="s">
        <v>3340</v>
      </c>
      <c r="K4167" s="12">
        <f>Store_Record[[#This Row],[Qty]]*Store_Record[[#This Row],[UnitPriceGBP]]</f>
        <v>8.8000000000000007</v>
      </c>
      <c r="L4167" s="5" t="str">
        <f>TEXT(Store_Record[[#This Row],[Date]],"dddd")</f>
        <v>Monday</v>
      </c>
      <c r="M4167" s="5" t="str">
        <f>TEXT(Store_Record[[#This Row],[Date]],"mmmm")</f>
        <v>November</v>
      </c>
      <c r="N4167" s="5">
        <f>YEAR(Store_Record[[#This Row],[Date]])</f>
        <v>2025</v>
      </c>
      <c r="O4167"/>
    </row>
    <row r="4168" spans="1:15" x14ac:dyDescent="0.35">
      <c r="A4168" t="s">
        <v>5156</v>
      </c>
      <c r="B4168" s="2">
        <v>45964</v>
      </c>
      <c r="C4168" t="s">
        <v>36</v>
      </c>
      <c r="D4168" t="s">
        <v>29</v>
      </c>
      <c r="E4168" t="s">
        <v>30</v>
      </c>
      <c r="F4168" t="s">
        <v>31</v>
      </c>
      <c r="G4168">
        <v>3</v>
      </c>
      <c r="H4168">
        <v>2.8</v>
      </c>
      <c r="I4168" t="s">
        <v>21</v>
      </c>
      <c r="J4168" t="s">
        <v>1590</v>
      </c>
      <c r="K4168" s="12">
        <f>Store_Record[[#This Row],[Qty]]*Store_Record[[#This Row],[UnitPriceGBP]]</f>
        <v>8.3999999999999986</v>
      </c>
      <c r="L4168" s="5" t="str">
        <f>TEXT(Store_Record[[#This Row],[Date]],"dddd")</f>
        <v>Monday</v>
      </c>
      <c r="M4168" s="5" t="str">
        <f>TEXT(Store_Record[[#This Row],[Date]],"mmmm")</f>
        <v>November</v>
      </c>
      <c r="N4168" s="5">
        <f>YEAR(Store_Record[[#This Row],[Date]])</f>
        <v>2025</v>
      </c>
      <c r="O4168"/>
    </row>
    <row r="4169" spans="1:15" x14ac:dyDescent="0.35">
      <c r="A4169" t="s">
        <v>5162</v>
      </c>
      <c r="B4169" s="2">
        <v>45964</v>
      </c>
      <c r="C4169" t="s">
        <v>36</v>
      </c>
      <c r="D4169" t="s">
        <v>25</v>
      </c>
      <c r="E4169" t="s">
        <v>30</v>
      </c>
      <c r="F4169" t="s">
        <v>31</v>
      </c>
      <c r="G4169">
        <v>3</v>
      </c>
      <c r="H4169">
        <v>2.8</v>
      </c>
      <c r="I4169" t="s">
        <v>14</v>
      </c>
      <c r="J4169" t="s">
        <v>1290</v>
      </c>
      <c r="K4169" s="12">
        <f>Store_Record[[#This Row],[Qty]]*Store_Record[[#This Row],[UnitPriceGBP]]</f>
        <v>8.3999999999999986</v>
      </c>
      <c r="L4169" s="5" t="str">
        <f>TEXT(Store_Record[[#This Row],[Date]],"dddd")</f>
        <v>Monday</v>
      </c>
      <c r="M4169" s="5" t="str">
        <f>TEXT(Store_Record[[#This Row],[Date]],"mmmm")</f>
        <v>November</v>
      </c>
      <c r="N4169" s="5">
        <f>YEAR(Store_Record[[#This Row],[Date]])</f>
        <v>2025</v>
      </c>
      <c r="O4169"/>
    </row>
    <row r="4170" spans="1:15" x14ac:dyDescent="0.35">
      <c r="A4170" t="s">
        <v>5146</v>
      </c>
      <c r="B4170" s="2">
        <v>45964</v>
      </c>
      <c r="C4170" t="s">
        <v>36</v>
      </c>
      <c r="D4170" t="s">
        <v>11</v>
      </c>
      <c r="E4170" t="s">
        <v>42</v>
      </c>
      <c r="F4170" t="s">
        <v>13</v>
      </c>
      <c r="G4170">
        <v>2</v>
      </c>
      <c r="H4170">
        <v>3.8</v>
      </c>
      <c r="I4170" t="s">
        <v>14</v>
      </c>
      <c r="J4170" t="s">
        <v>1610</v>
      </c>
      <c r="K4170" s="12">
        <f>Store_Record[[#This Row],[Qty]]*Store_Record[[#This Row],[UnitPriceGBP]]</f>
        <v>7.6</v>
      </c>
      <c r="L4170" s="5" t="str">
        <f>TEXT(Store_Record[[#This Row],[Date]],"dddd")</f>
        <v>Monday</v>
      </c>
      <c r="M4170" s="5" t="str">
        <f>TEXT(Store_Record[[#This Row],[Date]],"mmmm")</f>
        <v>November</v>
      </c>
      <c r="N4170" s="5">
        <f>YEAR(Store_Record[[#This Row],[Date]])</f>
        <v>2025</v>
      </c>
      <c r="O4170"/>
    </row>
    <row r="4171" spans="1:15" x14ac:dyDescent="0.35">
      <c r="A4171" t="s">
        <v>5159</v>
      </c>
      <c r="B4171" s="2">
        <v>45964</v>
      </c>
      <c r="C4171" t="s">
        <v>20</v>
      </c>
      <c r="D4171" t="s">
        <v>38</v>
      </c>
      <c r="E4171" t="s">
        <v>42</v>
      </c>
      <c r="F4171" t="s">
        <v>13</v>
      </c>
      <c r="G4171">
        <v>2</v>
      </c>
      <c r="H4171">
        <v>3.8</v>
      </c>
      <c r="I4171" t="s">
        <v>39</v>
      </c>
      <c r="J4171" t="s">
        <v>430</v>
      </c>
      <c r="K4171" s="12">
        <f>Store_Record[[#This Row],[Qty]]*Store_Record[[#This Row],[UnitPriceGBP]]</f>
        <v>7.6</v>
      </c>
      <c r="L4171" s="5" t="str">
        <f>TEXT(Store_Record[[#This Row],[Date]],"dddd")</f>
        <v>Monday</v>
      </c>
      <c r="M4171" s="5" t="str">
        <f>TEXT(Store_Record[[#This Row],[Date]],"mmmm")</f>
        <v>November</v>
      </c>
      <c r="N4171" s="5">
        <f>YEAR(Store_Record[[#This Row],[Date]])</f>
        <v>2025</v>
      </c>
      <c r="O4171"/>
    </row>
    <row r="4172" spans="1:15" x14ac:dyDescent="0.35">
      <c r="A4172" t="s">
        <v>5159</v>
      </c>
      <c r="B4172" s="2">
        <v>45964</v>
      </c>
      <c r="C4172" t="s">
        <v>20</v>
      </c>
      <c r="D4172" t="s">
        <v>38</v>
      </c>
      <c r="E4172" t="s">
        <v>42</v>
      </c>
      <c r="F4172" t="s">
        <v>13</v>
      </c>
      <c r="G4172">
        <v>2</v>
      </c>
      <c r="H4172">
        <v>3.8</v>
      </c>
      <c r="I4172" t="s">
        <v>14</v>
      </c>
      <c r="J4172" t="s">
        <v>430</v>
      </c>
      <c r="K4172" s="12">
        <f>Store_Record[[#This Row],[Qty]]*Store_Record[[#This Row],[UnitPriceGBP]]</f>
        <v>7.6</v>
      </c>
      <c r="L4172" s="5" t="str">
        <f>TEXT(Store_Record[[#This Row],[Date]],"dddd")</f>
        <v>Monday</v>
      </c>
      <c r="M4172" s="5" t="str">
        <f>TEXT(Store_Record[[#This Row],[Date]],"mmmm")</f>
        <v>November</v>
      </c>
      <c r="N4172" s="5">
        <f>YEAR(Store_Record[[#This Row],[Date]])</f>
        <v>2025</v>
      </c>
      <c r="O4172"/>
    </row>
    <row r="4173" spans="1:15" x14ac:dyDescent="0.35">
      <c r="A4173" t="s">
        <v>5161</v>
      </c>
      <c r="B4173" s="2">
        <v>45964</v>
      </c>
      <c r="C4173" t="s">
        <v>24</v>
      </c>
      <c r="D4173" t="s">
        <v>11</v>
      </c>
      <c r="E4173" t="s">
        <v>12</v>
      </c>
      <c r="F4173" t="s">
        <v>13</v>
      </c>
      <c r="G4173">
        <v>3</v>
      </c>
      <c r="H4173">
        <v>2.5</v>
      </c>
      <c r="I4173" t="s">
        <v>14</v>
      </c>
      <c r="J4173" t="s">
        <v>938</v>
      </c>
      <c r="K4173" s="12">
        <f>Store_Record[[#This Row],[Qty]]*Store_Record[[#This Row],[UnitPriceGBP]]</f>
        <v>7.5</v>
      </c>
      <c r="L4173" s="5" t="str">
        <f>TEXT(Store_Record[[#This Row],[Date]],"dddd")</f>
        <v>Monday</v>
      </c>
      <c r="M4173" s="5" t="str">
        <f>TEXT(Store_Record[[#This Row],[Date]],"mmmm")</f>
        <v>November</v>
      </c>
      <c r="N4173" s="5">
        <f>YEAR(Store_Record[[#This Row],[Date]])</f>
        <v>2025</v>
      </c>
      <c r="O4173"/>
    </row>
    <row r="4174" spans="1:15" x14ac:dyDescent="0.35">
      <c r="A4174" t="s">
        <v>5152</v>
      </c>
      <c r="B4174" s="2">
        <v>45964</v>
      </c>
      <c r="C4174" t="s">
        <v>20</v>
      </c>
      <c r="D4174" t="s">
        <v>25</v>
      </c>
      <c r="E4174" t="s">
        <v>34</v>
      </c>
      <c r="F4174" t="s">
        <v>31</v>
      </c>
      <c r="G4174">
        <v>3</v>
      </c>
      <c r="H4174">
        <v>2.2000000000000002</v>
      </c>
      <c r="I4174" t="s">
        <v>39</v>
      </c>
      <c r="J4174" t="s">
        <v>5153</v>
      </c>
      <c r="K4174" s="12">
        <f>Store_Record[[#This Row],[Qty]]*Store_Record[[#This Row],[UnitPriceGBP]]</f>
        <v>6.6000000000000005</v>
      </c>
      <c r="L4174" s="5" t="str">
        <f>TEXT(Store_Record[[#This Row],[Date]],"dddd")</f>
        <v>Monday</v>
      </c>
      <c r="M4174" s="5" t="str">
        <f>TEXT(Store_Record[[#This Row],[Date]],"mmmm")</f>
        <v>November</v>
      </c>
      <c r="N4174" s="5">
        <f>YEAR(Store_Record[[#This Row],[Date]])</f>
        <v>2025</v>
      </c>
      <c r="O4174"/>
    </row>
    <row r="4175" spans="1:15" x14ac:dyDescent="0.35">
      <c r="A4175" t="s">
        <v>5147</v>
      </c>
      <c r="B4175" s="2">
        <v>45964</v>
      </c>
      <c r="C4175" t="s">
        <v>10</v>
      </c>
      <c r="D4175" t="s">
        <v>25</v>
      </c>
      <c r="E4175" t="s">
        <v>34</v>
      </c>
      <c r="F4175" t="s">
        <v>31</v>
      </c>
      <c r="G4175">
        <v>2</v>
      </c>
      <c r="H4175">
        <v>2.2000000000000002</v>
      </c>
      <c r="I4175" t="s">
        <v>14</v>
      </c>
      <c r="J4175" t="s">
        <v>237</v>
      </c>
      <c r="K4175" s="12">
        <f>Store_Record[[#This Row],[Qty]]*Store_Record[[#This Row],[UnitPriceGBP]]</f>
        <v>4.4000000000000004</v>
      </c>
      <c r="L4175" s="5" t="str">
        <f>TEXT(Store_Record[[#This Row],[Date]],"dddd")</f>
        <v>Monday</v>
      </c>
      <c r="M4175" s="5" t="str">
        <f>TEXT(Store_Record[[#This Row],[Date]],"mmmm")</f>
        <v>November</v>
      </c>
      <c r="N4175" s="5">
        <f>YEAR(Store_Record[[#This Row],[Date]])</f>
        <v>2025</v>
      </c>
      <c r="O4175"/>
    </row>
    <row r="4176" spans="1:15" x14ac:dyDescent="0.35">
      <c r="A4176" t="s">
        <v>5163</v>
      </c>
      <c r="B4176" s="2">
        <v>45964</v>
      </c>
      <c r="C4176" t="s">
        <v>10</v>
      </c>
      <c r="D4176" t="s">
        <v>25</v>
      </c>
      <c r="E4176" t="s">
        <v>12</v>
      </c>
      <c r="F4176" t="s">
        <v>13</v>
      </c>
      <c r="G4176">
        <v>1</v>
      </c>
      <c r="H4176">
        <v>2.5</v>
      </c>
      <c r="I4176" t="s">
        <v>21</v>
      </c>
      <c r="J4176" t="s">
        <v>404</v>
      </c>
      <c r="K4176" s="12">
        <f>Store_Record[[#This Row],[Qty]]*Store_Record[[#This Row],[UnitPriceGBP]]</f>
        <v>2.5</v>
      </c>
      <c r="L4176" s="5" t="str">
        <f>TEXT(Store_Record[[#This Row],[Date]],"dddd")</f>
        <v>Monday</v>
      </c>
      <c r="M4176" s="5" t="str">
        <f>TEXT(Store_Record[[#This Row],[Date]],"mmmm")</f>
        <v>November</v>
      </c>
      <c r="N4176" s="5">
        <f>YEAR(Store_Record[[#This Row],[Date]])</f>
        <v>2025</v>
      </c>
      <c r="O4176"/>
    </row>
    <row r="4177" spans="1:15" x14ac:dyDescent="0.35">
      <c r="A4177" t="s">
        <v>5165</v>
      </c>
      <c r="B4177" s="2">
        <v>45964</v>
      </c>
      <c r="C4177" t="s">
        <v>24</v>
      </c>
      <c r="D4177" t="s">
        <v>38</v>
      </c>
      <c r="E4177" t="s">
        <v>12</v>
      </c>
      <c r="F4177" t="s">
        <v>13</v>
      </c>
      <c r="G4177">
        <v>1</v>
      </c>
      <c r="H4177">
        <v>2.5</v>
      </c>
      <c r="I4177" t="s">
        <v>21</v>
      </c>
      <c r="J4177" t="s">
        <v>1200</v>
      </c>
      <c r="K4177" s="12">
        <f>Store_Record[[#This Row],[Qty]]*Store_Record[[#This Row],[UnitPriceGBP]]</f>
        <v>2.5</v>
      </c>
      <c r="L4177" s="5" t="str">
        <f>TEXT(Store_Record[[#This Row],[Date]],"dddd")</f>
        <v>Monday</v>
      </c>
      <c r="M4177" s="5" t="str">
        <f>TEXT(Store_Record[[#This Row],[Date]],"mmmm")</f>
        <v>November</v>
      </c>
      <c r="N4177" s="5">
        <f>YEAR(Store_Record[[#This Row],[Date]])</f>
        <v>2025</v>
      </c>
      <c r="O4177"/>
    </row>
    <row r="4178" spans="1:15" x14ac:dyDescent="0.35">
      <c r="A4178" t="s">
        <v>5149</v>
      </c>
      <c r="B4178" s="2">
        <v>45964</v>
      </c>
      <c r="C4178" t="s">
        <v>20</v>
      </c>
      <c r="D4178" t="s">
        <v>38</v>
      </c>
      <c r="E4178" t="s">
        <v>34</v>
      </c>
      <c r="F4178" t="s">
        <v>31</v>
      </c>
      <c r="G4178">
        <v>1</v>
      </c>
      <c r="H4178">
        <v>2.2000000000000002</v>
      </c>
      <c r="I4178" t="s">
        <v>14</v>
      </c>
      <c r="J4178" t="s">
        <v>3146</v>
      </c>
      <c r="K4178" s="12">
        <f>Store_Record[[#This Row],[Qty]]*Store_Record[[#This Row],[UnitPriceGBP]]</f>
        <v>2.2000000000000002</v>
      </c>
      <c r="L4178" s="5" t="str">
        <f>TEXT(Store_Record[[#This Row],[Date]],"dddd")</f>
        <v>Monday</v>
      </c>
      <c r="M4178" s="5" t="str">
        <f>TEXT(Store_Record[[#This Row],[Date]],"mmmm")</f>
        <v>November</v>
      </c>
      <c r="N4178" s="5">
        <f>YEAR(Store_Record[[#This Row],[Date]])</f>
        <v>2025</v>
      </c>
      <c r="O4178"/>
    </row>
    <row r="4179" spans="1:15" x14ac:dyDescent="0.35">
      <c r="A4179" t="s">
        <v>5171</v>
      </c>
      <c r="B4179" s="2">
        <v>45965</v>
      </c>
      <c r="C4179" t="s">
        <v>36</v>
      </c>
      <c r="D4179" t="s">
        <v>11</v>
      </c>
      <c r="E4179" t="s">
        <v>26</v>
      </c>
      <c r="F4179" t="s">
        <v>13</v>
      </c>
      <c r="G4179">
        <v>5</v>
      </c>
      <c r="H4179">
        <v>3.5</v>
      </c>
      <c r="I4179" t="s">
        <v>39</v>
      </c>
      <c r="J4179" t="s">
        <v>1526</v>
      </c>
      <c r="K4179" s="12">
        <f>Store_Record[[#This Row],[Qty]]*Store_Record[[#This Row],[UnitPriceGBP]]</f>
        <v>17.5</v>
      </c>
      <c r="L4179" s="5" t="str">
        <f>TEXT(Store_Record[[#This Row],[Date]],"dddd")</f>
        <v>Tuesday</v>
      </c>
      <c r="M4179" s="5" t="str">
        <f>TEXT(Store_Record[[#This Row],[Date]],"mmmm")</f>
        <v>November</v>
      </c>
      <c r="N4179" s="5">
        <f>YEAR(Store_Record[[#This Row],[Date]])</f>
        <v>2025</v>
      </c>
      <c r="O4179"/>
    </row>
    <row r="4180" spans="1:15" x14ac:dyDescent="0.35">
      <c r="A4180" t="s">
        <v>5176</v>
      </c>
      <c r="B4180" s="2">
        <v>45965</v>
      </c>
      <c r="C4180" t="s">
        <v>20</v>
      </c>
      <c r="D4180" t="s">
        <v>11</v>
      </c>
      <c r="E4180" t="s">
        <v>26</v>
      </c>
      <c r="F4180" t="s">
        <v>13</v>
      </c>
      <c r="G4180">
        <v>5</v>
      </c>
      <c r="H4180">
        <v>3.5</v>
      </c>
      <c r="I4180" t="s">
        <v>14</v>
      </c>
      <c r="J4180" t="s">
        <v>1009</v>
      </c>
      <c r="K4180" s="12">
        <f>Store_Record[[#This Row],[Qty]]*Store_Record[[#This Row],[UnitPriceGBP]]</f>
        <v>17.5</v>
      </c>
      <c r="L4180" s="5" t="str">
        <f>TEXT(Store_Record[[#This Row],[Date]],"dddd")</f>
        <v>Tuesday</v>
      </c>
      <c r="M4180" s="5" t="str">
        <f>TEXT(Store_Record[[#This Row],[Date]],"mmmm")</f>
        <v>November</v>
      </c>
      <c r="N4180" s="5">
        <f>YEAR(Store_Record[[#This Row],[Date]])</f>
        <v>2025</v>
      </c>
      <c r="O4180"/>
    </row>
    <row r="4181" spans="1:15" x14ac:dyDescent="0.35">
      <c r="A4181" t="s">
        <v>5178</v>
      </c>
      <c r="B4181" s="2">
        <v>45965</v>
      </c>
      <c r="C4181" t="s">
        <v>10</v>
      </c>
      <c r="D4181" t="s">
        <v>47</v>
      </c>
      <c r="E4181" t="s">
        <v>26</v>
      </c>
      <c r="F4181" t="s">
        <v>13</v>
      </c>
      <c r="G4181">
        <v>4</v>
      </c>
      <c r="H4181">
        <v>3.5</v>
      </c>
      <c r="I4181" t="s">
        <v>21</v>
      </c>
      <c r="J4181" t="s">
        <v>349</v>
      </c>
      <c r="K4181" s="12">
        <f>Store_Record[[#This Row],[Qty]]*Store_Record[[#This Row],[UnitPriceGBP]]</f>
        <v>14</v>
      </c>
      <c r="L4181" s="5" t="str">
        <f>TEXT(Store_Record[[#This Row],[Date]],"dddd")</f>
        <v>Tuesday</v>
      </c>
      <c r="M4181" s="5" t="str">
        <f>TEXT(Store_Record[[#This Row],[Date]],"mmmm")</f>
        <v>November</v>
      </c>
      <c r="N4181" s="5">
        <f>YEAR(Store_Record[[#This Row],[Date]])</f>
        <v>2025</v>
      </c>
      <c r="O4181"/>
    </row>
    <row r="4182" spans="1:15" x14ac:dyDescent="0.35">
      <c r="A4182" t="s">
        <v>5169</v>
      </c>
      <c r="B4182" s="2">
        <v>45965</v>
      </c>
      <c r="C4182" t="s">
        <v>24</v>
      </c>
      <c r="D4182" t="s">
        <v>11</v>
      </c>
      <c r="E4182" t="s">
        <v>30</v>
      </c>
      <c r="F4182" t="s">
        <v>31</v>
      </c>
      <c r="G4182">
        <v>4</v>
      </c>
      <c r="H4182">
        <v>2.8</v>
      </c>
      <c r="I4182" t="s">
        <v>21</v>
      </c>
      <c r="J4182" t="s">
        <v>1302</v>
      </c>
      <c r="K4182" s="12">
        <f>Store_Record[[#This Row],[Qty]]*Store_Record[[#This Row],[UnitPriceGBP]]</f>
        <v>11.2</v>
      </c>
      <c r="L4182" s="5" t="str">
        <f>TEXT(Store_Record[[#This Row],[Date]],"dddd")</f>
        <v>Tuesday</v>
      </c>
      <c r="M4182" s="5" t="str">
        <f>TEXT(Store_Record[[#This Row],[Date]],"mmmm")</f>
        <v>November</v>
      </c>
      <c r="N4182" s="5">
        <f>YEAR(Store_Record[[#This Row],[Date]])</f>
        <v>2025</v>
      </c>
      <c r="O4182"/>
    </row>
    <row r="4183" spans="1:15" x14ac:dyDescent="0.35">
      <c r="A4183" t="s">
        <v>5174</v>
      </c>
      <c r="B4183" s="2">
        <v>45965</v>
      </c>
      <c r="C4183" t="s">
        <v>36</v>
      </c>
      <c r="D4183" t="s">
        <v>11</v>
      </c>
      <c r="E4183" t="s">
        <v>30</v>
      </c>
      <c r="F4183" t="s">
        <v>31</v>
      </c>
      <c r="G4183">
        <v>4</v>
      </c>
      <c r="H4183">
        <v>2.8</v>
      </c>
      <c r="I4183" t="s">
        <v>39</v>
      </c>
      <c r="J4183" t="s">
        <v>1312</v>
      </c>
      <c r="K4183" s="12">
        <f>Store_Record[[#This Row],[Qty]]*Store_Record[[#This Row],[UnitPriceGBP]]</f>
        <v>11.2</v>
      </c>
      <c r="L4183" s="5" t="str">
        <f>TEXT(Store_Record[[#This Row],[Date]],"dddd")</f>
        <v>Tuesday</v>
      </c>
      <c r="M4183" s="5" t="str">
        <f>TEXT(Store_Record[[#This Row],[Date]],"mmmm")</f>
        <v>November</v>
      </c>
      <c r="N4183" s="5">
        <f>YEAR(Store_Record[[#This Row],[Date]])</f>
        <v>2025</v>
      </c>
      <c r="O4183"/>
    </row>
    <row r="4184" spans="1:15" x14ac:dyDescent="0.35">
      <c r="A4184" t="s">
        <v>5180</v>
      </c>
      <c r="B4184" s="2">
        <v>45965</v>
      </c>
      <c r="C4184" t="s">
        <v>10</v>
      </c>
      <c r="D4184" t="s">
        <v>38</v>
      </c>
      <c r="E4184" t="s">
        <v>30</v>
      </c>
      <c r="F4184" t="s">
        <v>31</v>
      </c>
      <c r="G4184">
        <v>4</v>
      </c>
      <c r="H4184">
        <v>2.8</v>
      </c>
      <c r="I4184" t="s">
        <v>21</v>
      </c>
      <c r="J4184" t="s">
        <v>578</v>
      </c>
      <c r="K4184" s="12">
        <f>Store_Record[[#This Row],[Qty]]*Store_Record[[#This Row],[UnitPriceGBP]]</f>
        <v>11.2</v>
      </c>
      <c r="L4184" s="5" t="str">
        <f>TEXT(Store_Record[[#This Row],[Date]],"dddd")</f>
        <v>Tuesday</v>
      </c>
      <c r="M4184" s="5" t="str">
        <f>TEXT(Store_Record[[#This Row],[Date]],"mmmm")</f>
        <v>November</v>
      </c>
      <c r="N4184" s="5">
        <f>YEAR(Store_Record[[#This Row],[Date]])</f>
        <v>2025</v>
      </c>
      <c r="O4184"/>
    </row>
    <row r="4185" spans="1:15" x14ac:dyDescent="0.35">
      <c r="A4185" t="s">
        <v>5170</v>
      </c>
      <c r="B4185" s="2">
        <v>45965</v>
      </c>
      <c r="C4185" t="s">
        <v>24</v>
      </c>
      <c r="D4185" t="s">
        <v>38</v>
      </c>
      <c r="E4185" t="s">
        <v>34</v>
      </c>
      <c r="F4185" t="s">
        <v>31</v>
      </c>
      <c r="G4185">
        <v>5</v>
      </c>
      <c r="H4185">
        <v>2.2000000000000002</v>
      </c>
      <c r="I4185" t="s">
        <v>14</v>
      </c>
      <c r="J4185" t="s">
        <v>640</v>
      </c>
      <c r="K4185" s="12">
        <f>Store_Record[[#This Row],[Qty]]*Store_Record[[#This Row],[UnitPriceGBP]]</f>
        <v>11</v>
      </c>
      <c r="L4185" s="5" t="str">
        <f>TEXT(Store_Record[[#This Row],[Date]],"dddd")</f>
        <v>Tuesday</v>
      </c>
      <c r="M4185" s="5" t="str">
        <f>TEXT(Store_Record[[#This Row],[Date]],"mmmm")</f>
        <v>November</v>
      </c>
      <c r="N4185" s="5">
        <f>YEAR(Store_Record[[#This Row],[Date]])</f>
        <v>2025</v>
      </c>
      <c r="O4185"/>
    </row>
    <row r="4186" spans="1:15" x14ac:dyDescent="0.35">
      <c r="A4186" t="s">
        <v>5175</v>
      </c>
      <c r="B4186" s="2">
        <v>45965</v>
      </c>
      <c r="C4186" t="s">
        <v>10</v>
      </c>
      <c r="D4186" t="s">
        <v>29</v>
      </c>
      <c r="E4186" t="s">
        <v>34</v>
      </c>
      <c r="F4186" t="s">
        <v>31</v>
      </c>
      <c r="G4186">
        <v>5</v>
      </c>
      <c r="H4186">
        <v>2.2000000000000002</v>
      </c>
      <c r="I4186" t="s">
        <v>21</v>
      </c>
      <c r="J4186" t="s">
        <v>921</v>
      </c>
      <c r="K4186" s="12">
        <f>Store_Record[[#This Row],[Qty]]*Store_Record[[#This Row],[UnitPriceGBP]]</f>
        <v>11</v>
      </c>
      <c r="L4186" s="5" t="str">
        <f>TEXT(Store_Record[[#This Row],[Date]],"dddd")</f>
        <v>Tuesday</v>
      </c>
      <c r="M4186" s="5" t="str">
        <f>TEXT(Store_Record[[#This Row],[Date]],"mmmm")</f>
        <v>November</v>
      </c>
      <c r="N4186" s="5">
        <f>YEAR(Store_Record[[#This Row],[Date]])</f>
        <v>2025</v>
      </c>
      <c r="O4186"/>
    </row>
    <row r="4187" spans="1:15" x14ac:dyDescent="0.35">
      <c r="A4187" t="s">
        <v>5172</v>
      </c>
      <c r="B4187" s="2">
        <v>45965</v>
      </c>
      <c r="C4187" t="s">
        <v>20</v>
      </c>
      <c r="D4187" t="s">
        <v>38</v>
      </c>
      <c r="E4187" t="s">
        <v>12</v>
      </c>
      <c r="F4187" t="s">
        <v>13</v>
      </c>
      <c r="G4187">
        <v>4</v>
      </c>
      <c r="H4187">
        <v>2.5</v>
      </c>
      <c r="I4187" t="s">
        <v>39</v>
      </c>
      <c r="J4187" t="s">
        <v>5173</v>
      </c>
      <c r="K4187" s="12">
        <f>Store_Record[[#This Row],[Qty]]*Store_Record[[#This Row],[UnitPriceGBP]]</f>
        <v>10</v>
      </c>
      <c r="L4187" s="5" t="str">
        <f>TEXT(Store_Record[[#This Row],[Date]],"dddd")</f>
        <v>Tuesday</v>
      </c>
      <c r="M4187" s="5" t="str">
        <f>TEXT(Store_Record[[#This Row],[Date]],"mmmm")</f>
        <v>November</v>
      </c>
      <c r="N4187" s="5">
        <f>YEAR(Store_Record[[#This Row],[Date]])</f>
        <v>2025</v>
      </c>
      <c r="O4187"/>
    </row>
    <row r="4188" spans="1:15" x14ac:dyDescent="0.35">
      <c r="A4188" t="s">
        <v>5179</v>
      </c>
      <c r="B4188" s="2">
        <v>45965</v>
      </c>
      <c r="C4188" t="s">
        <v>10</v>
      </c>
      <c r="D4188" t="s">
        <v>29</v>
      </c>
      <c r="E4188" t="s">
        <v>34</v>
      </c>
      <c r="F4188" t="s">
        <v>31</v>
      </c>
      <c r="G4188">
        <v>4</v>
      </c>
      <c r="H4188">
        <v>2.2000000000000002</v>
      </c>
      <c r="I4188" t="s">
        <v>21</v>
      </c>
      <c r="J4188" t="s">
        <v>93</v>
      </c>
      <c r="K4188" s="12">
        <f>Store_Record[[#This Row],[Qty]]*Store_Record[[#This Row],[UnitPriceGBP]]</f>
        <v>8.8000000000000007</v>
      </c>
      <c r="L4188" s="5" t="str">
        <f>TEXT(Store_Record[[#This Row],[Date]],"dddd")</f>
        <v>Tuesday</v>
      </c>
      <c r="M4188" s="5" t="str">
        <f>TEXT(Store_Record[[#This Row],[Date]],"mmmm")</f>
        <v>November</v>
      </c>
      <c r="N4188" s="5">
        <f>YEAR(Store_Record[[#This Row],[Date]])</f>
        <v>2025</v>
      </c>
      <c r="O4188"/>
    </row>
    <row r="4189" spans="1:15" x14ac:dyDescent="0.35">
      <c r="A4189" t="s">
        <v>5177</v>
      </c>
      <c r="B4189" s="2">
        <v>45965</v>
      </c>
      <c r="C4189" t="s">
        <v>20</v>
      </c>
      <c r="D4189" t="s">
        <v>25</v>
      </c>
      <c r="E4189" t="s">
        <v>34</v>
      </c>
      <c r="F4189" t="s">
        <v>31</v>
      </c>
      <c r="G4189">
        <v>3</v>
      </c>
      <c r="H4189">
        <v>2.2000000000000002</v>
      </c>
      <c r="I4189" t="s">
        <v>39</v>
      </c>
      <c r="J4189" t="s">
        <v>1160</v>
      </c>
      <c r="K4189" s="12">
        <f>Store_Record[[#This Row],[Qty]]*Store_Record[[#This Row],[UnitPriceGBP]]</f>
        <v>6.6000000000000005</v>
      </c>
      <c r="L4189" s="5" t="str">
        <f>TEXT(Store_Record[[#This Row],[Date]],"dddd")</f>
        <v>Tuesday</v>
      </c>
      <c r="M4189" s="5" t="str">
        <f>TEXT(Store_Record[[#This Row],[Date]],"mmmm")</f>
        <v>November</v>
      </c>
      <c r="N4189" s="5">
        <f>YEAR(Store_Record[[#This Row],[Date]])</f>
        <v>2025</v>
      </c>
      <c r="O4189"/>
    </row>
    <row r="4190" spans="1:15" x14ac:dyDescent="0.35">
      <c r="A4190" t="s">
        <v>5168</v>
      </c>
      <c r="B4190" s="2">
        <v>45965</v>
      </c>
      <c r="C4190" t="s">
        <v>24</v>
      </c>
      <c r="D4190" t="s">
        <v>47</v>
      </c>
      <c r="E4190" t="s">
        <v>12</v>
      </c>
      <c r="F4190" t="s">
        <v>13</v>
      </c>
      <c r="G4190">
        <v>1</v>
      </c>
      <c r="H4190">
        <v>2.5</v>
      </c>
      <c r="I4190" t="s">
        <v>39</v>
      </c>
      <c r="J4190" t="s">
        <v>275</v>
      </c>
      <c r="K4190" s="12">
        <f>Store_Record[[#This Row],[Qty]]*Store_Record[[#This Row],[UnitPriceGBP]]</f>
        <v>2.5</v>
      </c>
      <c r="L4190" s="5" t="str">
        <f>TEXT(Store_Record[[#This Row],[Date]],"dddd")</f>
        <v>Tuesday</v>
      </c>
      <c r="M4190" s="5" t="str">
        <f>TEXT(Store_Record[[#This Row],[Date]],"mmmm")</f>
        <v>November</v>
      </c>
      <c r="N4190" s="5">
        <f>YEAR(Store_Record[[#This Row],[Date]])</f>
        <v>2025</v>
      </c>
      <c r="O4190"/>
    </row>
    <row r="4191" spans="1:15" x14ac:dyDescent="0.35">
      <c r="A4191" t="s">
        <v>5183</v>
      </c>
      <c r="B4191" s="2">
        <v>45966</v>
      </c>
      <c r="C4191" t="s">
        <v>10</v>
      </c>
      <c r="D4191" t="s">
        <v>47</v>
      </c>
      <c r="E4191" t="s">
        <v>26</v>
      </c>
      <c r="F4191" t="s">
        <v>13</v>
      </c>
      <c r="G4191">
        <v>5</v>
      </c>
      <c r="H4191">
        <v>3.5</v>
      </c>
      <c r="I4191" t="s">
        <v>39</v>
      </c>
      <c r="J4191" t="s">
        <v>212</v>
      </c>
      <c r="K4191" s="12">
        <f>Store_Record[[#This Row],[Qty]]*Store_Record[[#This Row],[UnitPriceGBP]]</f>
        <v>17.5</v>
      </c>
      <c r="L4191" s="5" t="str">
        <f>TEXT(Store_Record[[#This Row],[Date]],"dddd")</f>
        <v>Wednesday</v>
      </c>
      <c r="M4191" s="5" t="str">
        <f>TEXT(Store_Record[[#This Row],[Date]],"mmmm")</f>
        <v>November</v>
      </c>
      <c r="N4191" s="5">
        <f>YEAR(Store_Record[[#This Row],[Date]])</f>
        <v>2025</v>
      </c>
      <c r="O4191"/>
    </row>
    <row r="4192" spans="1:15" x14ac:dyDescent="0.35">
      <c r="A4192" t="s">
        <v>5185</v>
      </c>
      <c r="B4192" s="2">
        <v>45966</v>
      </c>
      <c r="C4192" t="s">
        <v>24</v>
      </c>
      <c r="D4192" t="s">
        <v>29</v>
      </c>
      <c r="E4192" t="s">
        <v>42</v>
      </c>
      <c r="F4192" t="s">
        <v>13</v>
      </c>
      <c r="G4192">
        <v>3</v>
      </c>
      <c r="H4192">
        <v>3.8</v>
      </c>
      <c r="I4192" t="s">
        <v>21</v>
      </c>
      <c r="J4192" t="s">
        <v>95</v>
      </c>
      <c r="K4192" s="12">
        <f>Store_Record[[#This Row],[Qty]]*Store_Record[[#This Row],[UnitPriceGBP]]</f>
        <v>11.399999999999999</v>
      </c>
      <c r="L4192" s="5" t="str">
        <f>TEXT(Store_Record[[#This Row],[Date]],"dddd")</f>
        <v>Wednesday</v>
      </c>
      <c r="M4192" s="5" t="str">
        <f>TEXT(Store_Record[[#This Row],[Date]],"mmmm")</f>
        <v>November</v>
      </c>
      <c r="N4192" s="5">
        <f>YEAR(Store_Record[[#This Row],[Date]])</f>
        <v>2025</v>
      </c>
      <c r="O4192"/>
    </row>
    <row r="4193" spans="1:15" x14ac:dyDescent="0.35">
      <c r="A4193" t="s">
        <v>5186</v>
      </c>
      <c r="B4193" s="2">
        <v>45966</v>
      </c>
      <c r="C4193" t="s">
        <v>10</v>
      </c>
      <c r="D4193" t="s">
        <v>29</v>
      </c>
      <c r="E4193" t="s">
        <v>34</v>
      </c>
      <c r="F4193" t="s">
        <v>31</v>
      </c>
      <c r="G4193">
        <v>3</v>
      </c>
      <c r="H4193">
        <v>2.2000000000000002</v>
      </c>
      <c r="I4193" t="s">
        <v>14</v>
      </c>
      <c r="J4193" t="s">
        <v>1795</v>
      </c>
      <c r="K4193" s="12">
        <f>Store_Record[[#This Row],[Qty]]*Store_Record[[#This Row],[UnitPriceGBP]]</f>
        <v>6.6000000000000005</v>
      </c>
      <c r="L4193" s="5" t="str">
        <f>TEXT(Store_Record[[#This Row],[Date]],"dddd")</f>
        <v>Wednesday</v>
      </c>
      <c r="M4193" s="5" t="str">
        <f>TEXT(Store_Record[[#This Row],[Date]],"mmmm")</f>
        <v>November</v>
      </c>
      <c r="N4193" s="5">
        <f>YEAR(Store_Record[[#This Row],[Date]])</f>
        <v>2025</v>
      </c>
      <c r="O4193"/>
    </row>
    <row r="4194" spans="1:15" x14ac:dyDescent="0.35">
      <c r="A4194" t="s">
        <v>5181</v>
      </c>
      <c r="B4194" s="2">
        <v>45966</v>
      </c>
      <c r="C4194" t="s">
        <v>20</v>
      </c>
      <c r="D4194" t="s">
        <v>11</v>
      </c>
      <c r="E4194" t="s">
        <v>34</v>
      </c>
      <c r="F4194" t="s">
        <v>31</v>
      </c>
      <c r="G4194">
        <v>2</v>
      </c>
      <c r="H4194">
        <v>2.2000000000000002</v>
      </c>
      <c r="I4194" t="s">
        <v>21</v>
      </c>
      <c r="J4194" t="s">
        <v>1462</v>
      </c>
      <c r="K4194" s="12">
        <f>Store_Record[[#This Row],[Qty]]*Store_Record[[#This Row],[UnitPriceGBP]]</f>
        <v>4.4000000000000004</v>
      </c>
      <c r="L4194" s="5" t="str">
        <f>TEXT(Store_Record[[#This Row],[Date]],"dddd")</f>
        <v>Wednesday</v>
      </c>
      <c r="M4194" s="5" t="str">
        <f>TEXT(Store_Record[[#This Row],[Date]],"mmmm")</f>
        <v>November</v>
      </c>
      <c r="N4194" s="5">
        <f>YEAR(Store_Record[[#This Row],[Date]])</f>
        <v>2025</v>
      </c>
      <c r="O4194"/>
    </row>
    <row r="4195" spans="1:15" x14ac:dyDescent="0.35">
      <c r="A4195" t="s">
        <v>5182</v>
      </c>
      <c r="B4195" s="2">
        <v>45966</v>
      </c>
      <c r="C4195" t="s">
        <v>24</v>
      </c>
      <c r="D4195" t="s">
        <v>11</v>
      </c>
      <c r="E4195" t="s">
        <v>34</v>
      </c>
      <c r="F4195" t="s">
        <v>31</v>
      </c>
      <c r="G4195">
        <v>2</v>
      </c>
      <c r="H4195">
        <v>2.2000000000000002</v>
      </c>
      <c r="I4195" t="s">
        <v>14</v>
      </c>
      <c r="J4195" t="s">
        <v>3759</v>
      </c>
      <c r="K4195" s="12">
        <f>Store_Record[[#This Row],[Qty]]*Store_Record[[#This Row],[UnitPriceGBP]]</f>
        <v>4.4000000000000004</v>
      </c>
      <c r="L4195" s="5" t="str">
        <f>TEXT(Store_Record[[#This Row],[Date]],"dddd")</f>
        <v>Wednesday</v>
      </c>
      <c r="M4195" s="5" t="str">
        <f>TEXT(Store_Record[[#This Row],[Date]],"mmmm")</f>
        <v>November</v>
      </c>
      <c r="N4195" s="5">
        <f>YEAR(Store_Record[[#This Row],[Date]])</f>
        <v>2025</v>
      </c>
      <c r="O4195"/>
    </row>
    <row r="4196" spans="1:15" x14ac:dyDescent="0.35">
      <c r="A4196" t="s">
        <v>5184</v>
      </c>
      <c r="B4196" s="2">
        <v>45966</v>
      </c>
      <c r="C4196" t="s">
        <v>10</v>
      </c>
      <c r="D4196" t="s">
        <v>47</v>
      </c>
      <c r="E4196" t="s">
        <v>30</v>
      </c>
      <c r="F4196" t="s">
        <v>31</v>
      </c>
      <c r="G4196">
        <v>1</v>
      </c>
      <c r="H4196">
        <v>2.8</v>
      </c>
      <c r="I4196" t="s">
        <v>21</v>
      </c>
      <c r="J4196" t="s">
        <v>963</v>
      </c>
      <c r="K4196" s="12">
        <f>Store_Record[[#This Row],[Qty]]*Store_Record[[#This Row],[UnitPriceGBP]]</f>
        <v>2.8</v>
      </c>
      <c r="L4196" s="5" t="str">
        <f>TEXT(Store_Record[[#This Row],[Date]],"dddd")</f>
        <v>Wednesday</v>
      </c>
      <c r="M4196" s="5" t="str">
        <f>TEXT(Store_Record[[#This Row],[Date]],"mmmm")</f>
        <v>November</v>
      </c>
      <c r="N4196" s="5">
        <f>YEAR(Store_Record[[#This Row],[Date]])</f>
        <v>2025</v>
      </c>
      <c r="O4196"/>
    </row>
    <row r="4197" spans="1:15" x14ac:dyDescent="0.35">
      <c r="A4197" t="s">
        <v>5195</v>
      </c>
      <c r="B4197" s="2">
        <v>45967</v>
      </c>
      <c r="C4197" t="s">
        <v>10</v>
      </c>
      <c r="D4197" t="s">
        <v>25</v>
      </c>
      <c r="E4197" t="s">
        <v>42</v>
      </c>
      <c r="F4197" t="s">
        <v>13</v>
      </c>
      <c r="G4197">
        <v>5</v>
      </c>
      <c r="H4197">
        <v>3.8</v>
      </c>
      <c r="I4197" t="s">
        <v>21</v>
      </c>
      <c r="J4197" t="s">
        <v>3605</v>
      </c>
      <c r="K4197" s="12">
        <f>Store_Record[[#This Row],[Qty]]*Store_Record[[#This Row],[UnitPriceGBP]]</f>
        <v>19</v>
      </c>
      <c r="L4197" s="5" t="str">
        <f>TEXT(Store_Record[[#This Row],[Date]],"dddd")</f>
        <v>Thursday</v>
      </c>
      <c r="M4197" s="5" t="str">
        <f>TEXT(Store_Record[[#This Row],[Date]],"mmmm")</f>
        <v>November</v>
      </c>
      <c r="N4197" s="5">
        <f>YEAR(Store_Record[[#This Row],[Date]])</f>
        <v>2025</v>
      </c>
      <c r="O4197"/>
    </row>
    <row r="4198" spans="1:15" x14ac:dyDescent="0.35">
      <c r="A4198" t="s">
        <v>5188</v>
      </c>
      <c r="B4198" s="2">
        <v>45967</v>
      </c>
      <c r="C4198" t="s">
        <v>20</v>
      </c>
      <c r="D4198" t="s">
        <v>47</v>
      </c>
      <c r="E4198" t="s">
        <v>26</v>
      </c>
      <c r="F4198" t="s">
        <v>13</v>
      </c>
      <c r="G4198">
        <v>5</v>
      </c>
      <c r="H4198">
        <v>3.5</v>
      </c>
      <c r="I4198" t="s">
        <v>21</v>
      </c>
      <c r="J4198" t="s">
        <v>1393</v>
      </c>
      <c r="K4198" s="12">
        <f>Store_Record[[#This Row],[Qty]]*Store_Record[[#This Row],[UnitPriceGBP]]</f>
        <v>17.5</v>
      </c>
      <c r="L4198" s="5" t="str">
        <f>TEXT(Store_Record[[#This Row],[Date]],"dddd")</f>
        <v>Thursday</v>
      </c>
      <c r="M4198" s="5" t="str">
        <f>TEXT(Store_Record[[#This Row],[Date]],"mmmm")</f>
        <v>November</v>
      </c>
      <c r="N4198" s="5">
        <f>YEAR(Store_Record[[#This Row],[Date]])</f>
        <v>2025</v>
      </c>
      <c r="O4198"/>
    </row>
    <row r="4199" spans="1:15" x14ac:dyDescent="0.35">
      <c r="A4199" t="s">
        <v>5198</v>
      </c>
      <c r="B4199" s="2">
        <v>45967</v>
      </c>
      <c r="C4199" t="s">
        <v>20</v>
      </c>
      <c r="D4199" t="s">
        <v>29</v>
      </c>
      <c r="E4199" t="s">
        <v>26</v>
      </c>
      <c r="F4199" t="s">
        <v>13</v>
      </c>
      <c r="G4199">
        <v>5</v>
      </c>
      <c r="H4199">
        <v>3.5</v>
      </c>
      <c r="I4199" t="s">
        <v>39</v>
      </c>
      <c r="J4199" t="s">
        <v>1189</v>
      </c>
      <c r="K4199" s="12">
        <f>Store_Record[[#This Row],[Qty]]*Store_Record[[#This Row],[UnitPriceGBP]]</f>
        <v>17.5</v>
      </c>
      <c r="L4199" s="5" t="str">
        <f>TEXT(Store_Record[[#This Row],[Date]],"dddd")</f>
        <v>Thursday</v>
      </c>
      <c r="M4199" s="5" t="str">
        <f>TEXT(Store_Record[[#This Row],[Date]],"mmmm")</f>
        <v>November</v>
      </c>
      <c r="N4199" s="5">
        <f>YEAR(Store_Record[[#This Row],[Date]])</f>
        <v>2025</v>
      </c>
      <c r="O4199"/>
    </row>
    <row r="4200" spans="1:15" x14ac:dyDescent="0.35">
      <c r="A4200" t="s">
        <v>5206</v>
      </c>
      <c r="B4200" s="2">
        <v>45967</v>
      </c>
      <c r="C4200" t="s">
        <v>24</v>
      </c>
      <c r="D4200" t="s">
        <v>11</v>
      </c>
      <c r="E4200" t="s">
        <v>12</v>
      </c>
      <c r="F4200" t="s">
        <v>13</v>
      </c>
      <c r="G4200">
        <v>5</v>
      </c>
      <c r="H4200">
        <v>2.5</v>
      </c>
      <c r="I4200" t="s">
        <v>21</v>
      </c>
      <c r="J4200" t="s">
        <v>832</v>
      </c>
      <c r="K4200" s="12">
        <f>Store_Record[[#This Row],[Qty]]*Store_Record[[#This Row],[UnitPriceGBP]]</f>
        <v>12.5</v>
      </c>
      <c r="L4200" s="5" t="str">
        <f>TEXT(Store_Record[[#This Row],[Date]],"dddd")</f>
        <v>Thursday</v>
      </c>
      <c r="M4200" s="5" t="str">
        <f>TEXT(Store_Record[[#This Row],[Date]],"mmmm")</f>
        <v>November</v>
      </c>
      <c r="N4200" s="5">
        <f>YEAR(Store_Record[[#This Row],[Date]])</f>
        <v>2025</v>
      </c>
      <c r="O4200"/>
    </row>
    <row r="4201" spans="1:15" x14ac:dyDescent="0.35">
      <c r="A4201" t="s">
        <v>5207</v>
      </c>
      <c r="B4201" s="2">
        <v>45967</v>
      </c>
      <c r="C4201" t="s">
        <v>24</v>
      </c>
      <c r="D4201" t="s">
        <v>47</v>
      </c>
      <c r="E4201" t="s">
        <v>12</v>
      </c>
      <c r="F4201" t="s">
        <v>13</v>
      </c>
      <c r="G4201">
        <v>5</v>
      </c>
      <c r="H4201">
        <v>2.5</v>
      </c>
      <c r="I4201" t="s">
        <v>39</v>
      </c>
      <c r="J4201" t="s">
        <v>3708</v>
      </c>
      <c r="K4201" s="12">
        <f>Store_Record[[#This Row],[Qty]]*Store_Record[[#This Row],[UnitPriceGBP]]</f>
        <v>12.5</v>
      </c>
      <c r="L4201" s="5" t="str">
        <f>TEXT(Store_Record[[#This Row],[Date]],"dddd")</f>
        <v>Thursday</v>
      </c>
      <c r="M4201" s="5" t="str">
        <f>TEXT(Store_Record[[#This Row],[Date]],"mmmm")</f>
        <v>November</v>
      </c>
      <c r="N4201" s="5">
        <f>YEAR(Store_Record[[#This Row],[Date]])</f>
        <v>2025</v>
      </c>
      <c r="O4201"/>
    </row>
    <row r="4202" spans="1:15" x14ac:dyDescent="0.35">
      <c r="A4202" t="s">
        <v>5203</v>
      </c>
      <c r="B4202" s="2">
        <v>45967</v>
      </c>
      <c r="C4202" t="s">
        <v>36</v>
      </c>
      <c r="D4202" t="s">
        <v>11</v>
      </c>
      <c r="E4202" t="s">
        <v>42</v>
      </c>
      <c r="F4202" t="s">
        <v>13</v>
      </c>
      <c r="G4202">
        <v>3</v>
      </c>
      <c r="H4202">
        <v>3.8</v>
      </c>
      <c r="I4202" t="s">
        <v>21</v>
      </c>
      <c r="J4202" t="s">
        <v>910</v>
      </c>
      <c r="K4202" s="12">
        <f>Store_Record[[#This Row],[Qty]]*Store_Record[[#This Row],[UnitPriceGBP]]</f>
        <v>11.399999999999999</v>
      </c>
      <c r="L4202" s="5" t="str">
        <f>TEXT(Store_Record[[#This Row],[Date]],"dddd")</f>
        <v>Thursday</v>
      </c>
      <c r="M4202" s="5" t="str">
        <f>TEXT(Store_Record[[#This Row],[Date]],"mmmm")</f>
        <v>November</v>
      </c>
      <c r="N4202" s="5">
        <f>YEAR(Store_Record[[#This Row],[Date]])</f>
        <v>2025</v>
      </c>
      <c r="O4202"/>
    </row>
    <row r="4203" spans="1:15" x14ac:dyDescent="0.35">
      <c r="A4203" t="s">
        <v>5193</v>
      </c>
      <c r="B4203" s="2">
        <v>45967</v>
      </c>
      <c r="C4203" t="s">
        <v>36</v>
      </c>
      <c r="D4203" t="s">
        <v>11</v>
      </c>
      <c r="E4203" t="s">
        <v>30</v>
      </c>
      <c r="F4203" t="s">
        <v>31</v>
      </c>
      <c r="G4203">
        <v>4</v>
      </c>
      <c r="H4203">
        <v>2.8</v>
      </c>
      <c r="I4203" t="s">
        <v>39</v>
      </c>
      <c r="J4203" t="s">
        <v>771</v>
      </c>
      <c r="K4203" s="12">
        <f>Store_Record[[#This Row],[Qty]]*Store_Record[[#This Row],[UnitPriceGBP]]</f>
        <v>11.2</v>
      </c>
      <c r="L4203" s="5" t="str">
        <f>TEXT(Store_Record[[#This Row],[Date]],"dddd")</f>
        <v>Thursday</v>
      </c>
      <c r="M4203" s="5" t="str">
        <f>TEXT(Store_Record[[#This Row],[Date]],"mmmm")</f>
        <v>November</v>
      </c>
      <c r="N4203" s="5">
        <f>YEAR(Store_Record[[#This Row],[Date]])</f>
        <v>2025</v>
      </c>
      <c r="O4203"/>
    </row>
    <row r="4204" spans="1:15" x14ac:dyDescent="0.35">
      <c r="A4204" t="s">
        <v>5199</v>
      </c>
      <c r="B4204" s="2">
        <v>45967</v>
      </c>
      <c r="C4204" t="s">
        <v>36</v>
      </c>
      <c r="D4204" t="s">
        <v>47</v>
      </c>
      <c r="E4204" t="s">
        <v>26</v>
      </c>
      <c r="F4204" t="s">
        <v>13</v>
      </c>
      <c r="G4204">
        <v>3</v>
      </c>
      <c r="H4204">
        <v>3.5</v>
      </c>
      <c r="I4204" t="s">
        <v>14</v>
      </c>
      <c r="J4204" t="s">
        <v>5200</v>
      </c>
      <c r="K4204" s="12">
        <f>Store_Record[[#This Row],[Qty]]*Store_Record[[#This Row],[UnitPriceGBP]]</f>
        <v>10.5</v>
      </c>
      <c r="L4204" s="5" t="str">
        <f>TEXT(Store_Record[[#This Row],[Date]],"dddd")</f>
        <v>Thursday</v>
      </c>
      <c r="M4204" s="5" t="str">
        <f>TEXT(Store_Record[[#This Row],[Date]],"mmmm")</f>
        <v>November</v>
      </c>
      <c r="N4204" s="5">
        <f>YEAR(Store_Record[[#This Row],[Date]])</f>
        <v>2025</v>
      </c>
      <c r="O4204"/>
    </row>
    <row r="4205" spans="1:15" x14ac:dyDescent="0.35">
      <c r="A4205" t="s">
        <v>5201</v>
      </c>
      <c r="B4205" s="2">
        <v>45967</v>
      </c>
      <c r="C4205" t="s">
        <v>10</v>
      </c>
      <c r="D4205" t="s">
        <v>47</v>
      </c>
      <c r="E4205" t="s">
        <v>12</v>
      </c>
      <c r="F4205" t="s">
        <v>13</v>
      </c>
      <c r="G4205">
        <v>4</v>
      </c>
      <c r="H4205">
        <v>2.5</v>
      </c>
      <c r="I4205" t="s">
        <v>21</v>
      </c>
      <c r="J4205" t="s">
        <v>2740</v>
      </c>
      <c r="K4205" s="12">
        <f>Store_Record[[#This Row],[Qty]]*Store_Record[[#This Row],[UnitPriceGBP]]</f>
        <v>10</v>
      </c>
      <c r="L4205" s="5" t="str">
        <f>TEXT(Store_Record[[#This Row],[Date]],"dddd")</f>
        <v>Thursday</v>
      </c>
      <c r="M4205" s="5" t="str">
        <f>TEXT(Store_Record[[#This Row],[Date]],"mmmm")</f>
        <v>November</v>
      </c>
      <c r="N4205" s="5">
        <f>YEAR(Store_Record[[#This Row],[Date]])</f>
        <v>2025</v>
      </c>
      <c r="O4205"/>
    </row>
    <row r="4206" spans="1:15" x14ac:dyDescent="0.35">
      <c r="A4206" t="s">
        <v>5197</v>
      </c>
      <c r="B4206" s="2">
        <v>45967</v>
      </c>
      <c r="C4206" t="s">
        <v>10</v>
      </c>
      <c r="D4206" t="s">
        <v>38</v>
      </c>
      <c r="E4206" t="s">
        <v>30</v>
      </c>
      <c r="F4206" t="s">
        <v>31</v>
      </c>
      <c r="G4206">
        <v>3</v>
      </c>
      <c r="H4206">
        <v>2.8</v>
      </c>
      <c r="I4206" t="s">
        <v>21</v>
      </c>
      <c r="J4206" t="s">
        <v>620</v>
      </c>
      <c r="K4206" s="12">
        <f>Store_Record[[#This Row],[Qty]]*Store_Record[[#This Row],[UnitPriceGBP]]</f>
        <v>8.3999999999999986</v>
      </c>
      <c r="L4206" s="5" t="str">
        <f>TEXT(Store_Record[[#This Row],[Date]],"dddd")</f>
        <v>Thursday</v>
      </c>
      <c r="M4206" s="5" t="str">
        <f>TEXT(Store_Record[[#This Row],[Date]],"mmmm")</f>
        <v>November</v>
      </c>
      <c r="N4206" s="5">
        <f>YEAR(Store_Record[[#This Row],[Date]])</f>
        <v>2025</v>
      </c>
      <c r="O4206"/>
    </row>
    <row r="4207" spans="1:15" x14ac:dyDescent="0.35">
      <c r="A4207" t="s">
        <v>5187</v>
      </c>
      <c r="B4207" s="2">
        <v>45967</v>
      </c>
      <c r="C4207" t="s">
        <v>36</v>
      </c>
      <c r="D4207" t="s">
        <v>11</v>
      </c>
      <c r="E4207" t="s">
        <v>42</v>
      </c>
      <c r="F4207" t="s">
        <v>13</v>
      </c>
      <c r="G4207">
        <v>2</v>
      </c>
      <c r="H4207">
        <v>3.8</v>
      </c>
      <c r="I4207" t="s">
        <v>14</v>
      </c>
      <c r="J4207" t="s">
        <v>682</v>
      </c>
      <c r="K4207" s="12">
        <f>Store_Record[[#This Row],[Qty]]*Store_Record[[#This Row],[UnitPriceGBP]]</f>
        <v>7.6</v>
      </c>
      <c r="L4207" s="5" t="str">
        <f>TEXT(Store_Record[[#This Row],[Date]],"dddd")</f>
        <v>Thursday</v>
      </c>
      <c r="M4207" s="5" t="str">
        <f>TEXT(Store_Record[[#This Row],[Date]],"mmmm")</f>
        <v>November</v>
      </c>
      <c r="N4207" s="5">
        <f>YEAR(Store_Record[[#This Row],[Date]])</f>
        <v>2025</v>
      </c>
      <c r="O4207"/>
    </row>
    <row r="4208" spans="1:15" x14ac:dyDescent="0.35">
      <c r="A4208" t="s">
        <v>5189</v>
      </c>
      <c r="B4208" s="2">
        <v>45967</v>
      </c>
      <c r="C4208" t="s">
        <v>36</v>
      </c>
      <c r="D4208" t="s">
        <v>47</v>
      </c>
      <c r="E4208" t="s">
        <v>42</v>
      </c>
      <c r="F4208" t="s">
        <v>13</v>
      </c>
      <c r="G4208">
        <v>2</v>
      </c>
      <c r="H4208">
        <v>3.8</v>
      </c>
      <c r="I4208" t="s">
        <v>39</v>
      </c>
      <c r="J4208" t="s">
        <v>1714</v>
      </c>
      <c r="K4208" s="12">
        <f>Store_Record[[#This Row],[Qty]]*Store_Record[[#This Row],[UnitPriceGBP]]</f>
        <v>7.6</v>
      </c>
      <c r="L4208" s="5" t="str">
        <f>TEXT(Store_Record[[#This Row],[Date]],"dddd")</f>
        <v>Thursday</v>
      </c>
      <c r="M4208" s="5" t="str">
        <f>TEXT(Store_Record[[#This Row],[Date]],"mmmm")</f>
        <v>November</v>
      </c>
      <c r="N4208" s="5">
        <f>YEAR(Store_Record[[#This Row],[Date]])</f>
        <v>2025</v>
      </c>
      <c r="O4208"/>
    </row>
    <row r="4209" spans="1:15" x14ac:dyDescent="0.35">
      <c r="A4209" t="s">
        <v>5202</v>
      </c>
      <c r="B4209" s="2">
        <v>45967</v>
      </c>
      <c r="C4209" t="s">
        <v>20</v>
      </c>
      <c r="D4209" t="s">
        <v>38</v>
      </c>
      <c r="E4209" t="s">
        <v>42</v>
      </c>
      <c r="F4209" t="s">
        <v>13</v>
      </c>
      <c r="G4209">
        <v>2</v>
      </c>
      <c r="H4209">
        <v>3.8</v>
      </c>
      <c r="I4209" t="s">
        <v>21</v>
      </c>
      <c r="J4209" t="s">
        <v>1788</v>
      </c>
      <c r="K4209" s="12">
        <f>Store_Record[[#This Row],[Qty]]*Store_Record[[#This Row],[UnitPriceGBP]]</f>
        <v>7.6</v>
      </c>
      <c r="L4209" s="5" t="str">
        <f>TEXT(Store_Record[[#This Row],[Date]],"dddd")</f>
        <v>Thursday</v>
      </c>
      <c r="M4209" s="5" t="str">
        <f>TEXT(Store_Record[[#This Row],[Date]],"mmmm")</f>
        <v>November</v>
      </c>
      <c r="N4209" s="5">
        <f>YEAR(Store_Record[[#This Row],[Date]])</f>
        <v>2025</v>
      </c>
      <c r="O4209"/>
    </row>
    <row r="4210" spans="1:15" x14ac:dyDescent="0.35">
      <c r="A4210" t="s">
        <v>5205</v>
      </c>
      <c r="B4210" s="2">
        <v>45967</v>
      </c>
      <c r="C4210" t="s">
        <v>24</v>
      </c>
      <c r="D4210" t="s">
        <v>38</v>
      </c>
      <c r="E4210" t="s">
        <v>12</v>
      </c>
      <c r="F4210" t="s">
        <v>13</v>
      </c>
      <c r="G4210">
        <v>3</v>
      </c>
      <c r="H4210">
        <v>2.5</v>
      </c>
      <c r="I4210" t="s">
        <v>39</v>
      </c>
      <c r="J4210" t="s">
        <v>323</v>
      </c>
      <c r="K4210" s="12">
        <f>Store_Record[[#This Row],[Qty]]*Store_Record[[#This Row],[UnitPriceGBP]]</f>
        <v>7.5</v>
      </c>
      <c r="L4210" s="5" t="str">
        <f>TEXT(Store_Record[[#This Row],[Date]],"dddd")</f>
        <v>Thursday</v>
      </c>
      <c r="M4210" s="5" t="str">
        <f>TEXT(Store_Record[[#This Row],[Date]],"mmmm")</f>
        <v>November</v>
      </c>
      <c r="N4210" s="5">
        <f>YEAR(Store_Record[[#This Row],[Date]])</f>
        <v>2025</v>
      </c>
      <c r="O4210"/>
    </row>
    <row r="4211" spans="1:15" x14ac:dyDescent="0.35">
      <c r="A4211" t="s">
        <v>5190</v>
      </c>
      <c r="B4211" s="2">
        <v>45967</v>
      </c>
      <c r="C4211" t="s">
        <v>10</v>
      </c>
      <c r="D4211" t="s">
        <v>11</v>
      </c>
      <c r="E4211" t="s">
        <v>26</v>
      </c>
      <c r="F4211" t="s">
        <v>13</v>
      </c>
      <c r="G4211">
        <v>2</v>
      </c>
      <c r="H4211">
        <v>3.5</v>
      </c>
      <c r="I4211" t="s">
        <v>21</v>
      </c>
      <c r="J4211" t="s">
        <v>2184</v>
      </c>
      <c r="K4211" s="12">
        <f>Store_Record[[#This Row],[Qty]]*Store_Record[[#This Row],[UnitPriceGBP]]</f>
        <v>7</v>
      </c>
      <c r="L4211" s="5" t="str">
        <f>TEXT(Store_Record[[#This Row],[Date]],"dddd")</f>
        <v>Thursday</v>
      </c>
      <c r="M4211" s="5" t="str">
        <f>TEXT(Store_Record[[#This Row],[Date]],"mmmm")</f>
        <v>November</v>
      </c>
      <c r="N4211" s="5">
        <f>YEAR(Store_Record[[#This Row],[Date]])</f>
        <v>2025</v>
      </c>
      <c r="O4211"/>
    </row>
    <row r="4212" spans="1:15" x14ac:dyDescent="0.35">
      <c r="A4212" t="s">
        <v>5192</v>
      </c>
      <c r="B4212" s="2">
        <v>45967</v>
      </c>
      <c r="C4212" t="s">
        <v>20</v>
      </c>
      <c r="D4212" t="s">
        <v>47</v>
      </c>
      <c r="E4212" t="s">
        <v>30</v>
      </c>
      <c r="F4212" t="s">
        <v>31</v>
      </c>
      <c r="G4212">
        <v>2</v>
      </c>
      <c r="H4212">
        <v>2.8</v>
      </c>
      <c r="I4212" t="s">
        <v>14</v>
      </c>
      <c r="J4212" t="s">
        <v>281</v>
      </c>
      <c r="K4212" s="12">
        <f>Store_Record[[#This Row],[Qty]]*Store_Record[[#This Row],[UnitPriceGBP]]</f>
        <v>5.6</v>
      </c>
      <c r="L4212" s="5" t="str">
        <f>TEXT(Store_Record[[#This Row],[Date]],"dddd")</f>
        <v>Thursday</v>
      </c>
      <c r="M4212" s="5" t="str">
        <f>TEXT(Store_Record[[#This Row],[Date]],"mmmm")</f>
        <v>November</v>
      </c>
      <c r="N4212" s="5">
        <f>YEAR(Store_Record[[#This Row],[Date]])</f>
        <v>2025</v>
      </c>
      <c r="O4212"/>
    </row>
    <row r="4213" spans="1:15" x14ac:dyDescent="0.35">
      <c r="A4213" t="s">
        <v>5191</v>
      </c>
      <c r="B4213" s="2">
        <v>45967</v>
      </c>
      <c r="C4213" t="s">
        <v>10</v>
      </c>
      <c r="D4213" t="s">
        <v>11</v>
      </c>
      <c r="E4213" t="s">
        <v>12</v>
      </c>
      <c r="F4213" t="s">
        <v>13</v>
      </c>
      <c r="G4213">
        <v>2</v>
      </c>
      <c r="H4213">
        <v>2.5</v>
      </c>
      <c r="I4213" t="s">
        <v>39</v>
      </c>
      <c r="J4213" t="s">
        <v>1228</v>
      </c>
      <c r="K4213" s="12">
        <f>Store_Record[[#This Row],[Qty]]*Store_Record[[#This Row],[UnitPriceGBP]]</f>
        <v>5</v>
      </c>
      <c r="L4213" s="5" t="str">
        <f>TEXT(Store_Record[[#This Row],[Date]],"dddd")</f>
        <v>Thursday</v>
      </c>
      <c r="M4213" s="5" t="str">
        <f>TEXT(Store_Record[[#This Row],[Date]],"mmmm")</f>
        <v>November</v>
      </c>
      <c r="N4213" s="5">
        <f>YEAR(Store_Record[[#This Row],[Date]])</f>
        <v>2025</v>
      </c>
      <c r="O4213"/>
    </row>
    <row r="4214" spans="1:15" x14ac:dyDescent="0.35">
      <c r="A4214" t="s">
        <v>5196</v>
      </c>
      <c r="B4214" s="2">
        <v>45967</v>
      </c>
      <c r="C4214" t="s">
        <v>36</v>
      </c>
      <c r="D4214" t="s">
        <v>11</v>
      </c>
      <c r="E4214" t="s">
        <v>34</v>
      </c>
      <c r="F4214" t="s">
        <v>31</v>
      </c>
      <c r="G4214">
        <v>2</v>
      </c>
      <c r="H4214">
        <v>2.2000000000000002</v>
      </c>
      <c r="I4214" t="s">
        <v>21</v>
      </c>
      <c r="J4214" t="s">
        <v>941</v>
      </c>
      <c r="K4214" s="12">
        <f>Store_Record[[#This Row],[Qty]]*Store_Record[[#This Row],[UnitPriceGBP]]</f>
        <v>4.4000000000000004</v>
      </c>
      <c r="L4214" s="5" t="str">
        <f>TEXT(Store_Record[[#This Row],[Date]],"dddd")</f>
        <v>Thursday</v>
      </c>
      <c r="M4214" s="5" t="str">
        <f>TEXT(Store_Record[[#This Row],[Date]],"mmmm")</f>
        <v>November</v>
      </c>
      <c r="N4214" s="5">
        <f>YEAR(Store_Record[[#This Row],[Date]])</f>
        <v>2025</v>
      </c>
      <c r="O4214"/>
    </row>
    <row r="4215" spans="1:15" x14ac:dyDescent="0.35">
      <c r="A4215" t="s">
        <v>5204</v>
      </c>
      <c r="B4215" s="2">
        <v>45967</v>
      </c>
      <c r="C4215" t="s">
        <v>24</v>
      </c>
      <c r="D4215" t="s">
        <v>38</v>
      </c>
      <c r="E4215" t="s">
        <v>26</v>
      </c>
      <c r="F4215" t="s">
        <v>13</v>
      </c>
      <c r="G4215">
        <v>1</v>
      </c>
      <c r="H4215">
        <v>3.5</v>
      </c>
      <c r="I4215" t="s">
        <v>39</v>
      </c>
      <c r="J4215" t="s">
        <v>1145</v>
      </c>
      <c r="K4215" s="12">
        <f>Store_Record[[#This Row],[Qty]]*Store_Record[[#This Row],[UnitPriceGBP]]</f>
        <v>3.5</v>
      </c>
      <c r="L4215" s="5" t="str">
        <f>TEXT(Store_Record[[#This Row],[Date]],"dddd")</f>
        <v>Thursday</v>
      </c>
      <c r="M4215" s="5" t="str">
        <f>TEXT(Store_Record[[#This Row],[Date]],"mmmm")</f>
        <v>November</v>
      </c>
      <c r="N4215" s="5">
        <f>YEAR(Store_Record[[#This Row],[Date]])</f>
        <v>2025</v>
      </c>
      <c r="O4215"/>
    </row>
    <row r="4216" spans="1:15" x14ac:dyDescent="0.35">
      <c r="A4216" t="s">
        <v>5194</v>
      </c>
      <c r="B4216" s="2">
        <v>45967</v>
      </c>
      <c r="C4216" t="s">
        <v>10</v>
      </c>
      <c r="D4216" t="s">
        <v>29</v>
      </c>
      <c r="E4216" t="s">
        <v>34</v>
      </c>
      <c r="F4216" t="s">
        <v>31</v>
      </c>
      <c r="G4216">
        <v>1</v>
      </c>
      <c r="H4216">
        <v>2.2000000000000002</v>
      </c>
      <c r="I4216" t="s">
        <v>39</v>
      </c>
      <c r="J4216" t="s">
        <v>153</v>
      </c>
      <c r="K4216" s="12">
        <f>Store_Record[[#This Row],[Qty]]*Store_Record[[#This Row],[UnitPriceGBP]]</f>
        <v>2.2000000000000002</v>
      </c>
      <c r="L4216" s="5" t="str">
        <f>TEXT(Store_Record[[#This Row],[Date]],"dddd")</f>
        <v>Thursday</v>
      </c>
      <c r="M4216" s="5" t="str">
        <f>TEXT(Store_Record[[#This Row],[Date]],"mmmm")</f>
        <v>November</v>
      </c>
      <c r="N4216" s="5">
        <f>YEAR(Store_Record[[#This Row],[Date]])</f>
        <v>2025</v>
      </c>
      <c r="O4216"/>
    </row>
    <row r="4217" spans="1:15" x14ac:dyDescent="0.35">
      <c r="A4217" t="s">
        <v>5208</v>
      </c>
      <c r="B4217" s="2">
        <v>45968</v>
      </c>
      <c r="C4217" t="s">
        <v>24</v>
      </c>
      <c r="D4217" t="s">
        <v>47</v>
      </c>
      <c r="E4217" t="s">
        <v>42</v>
      </c>
      <c r="F4217" t="s">
        <v>13</v>
      </c>
      <c r="G4217">
        <v>5</v>
      </c>
      <c r="H4217">
        <v>3.8</v>
      </c>
      <c r="I4217" t="s">
        <v>21</v>
      </c>
      <c r="J4217" t="s">
        <v>296</v>
      </c>
      <c r="K4217" s="12">
        <f>Store_Record[[#This Row],[Qty]]*Store_Record[[#This Row],[UnitPriceGBP]]</f>
        <v>19</v>
      </c>
      <c r="L4217" s="5" t="str">
        <f>TEXT(Store_Record[[#This Row],[Date]],"dddd")</f>
        <v>Friday</v>
      </c>
      <c r="M4217" s="5" t="str">
        <f>TEXT(Store_Record[[#This Row],[Date]],"mmmm")</f>
        <v>November</v>
      </c>
      <c r="N4217" s="5">
        <f>YEAR(Store_Record[[#This Row],[Date]])</f>
        <v>2025</v>
      </c>
      <c r="O4217"/>
    </row>
    <row r="4218" spans="1:15" x14ac:dyDescent="0.35">
      <c r="A4218" t="s">
        <v>5224</v>
      </c>
      <c r="B4218" s="2">
        <v>45968</v>
      </c>
      <c r="C4218" t="s">
        <v>10</v>
      </c>
      <c r="D4218" t="s">
        <v>47</v>
      </c>
      <c r="E4218" t="s">
        <v>26</v>
      </c>
      <c r="F4218" t="s">
        <v>13</v>
      </c>
      <c r="G4218">
        <v>5</v>
      </c>
      <c r="H4218">
        <v>3.5</v>
      </c>
      <c r="I4218" t="s">
        <v>14</v>
      </c>
      <c r="J4218" t="s">
        <v>5153</v>
      </c>
      <c r="K4218" s="12">
        <f>Store_Record[[#This Row],[Qty]]*Store_Record[[#This Row],[UnitPriceGBP]]</f>
        <v>17.5</v>
      </c>
      <c r="L4218" s="5" t="str">
        <f>TEXT(Store_Record[[#This Row],[Date]],"dddd")</f>
        <v>Friday</v>
      </c>
      <c r="M4218" s="5" t="str">
        <f>TEXT(Store_Record[[#This Row],[Date]],"mmmm")</f>
        <v>November</v>
      </c>
      <c r="N4218" s="5">
        <f>YEAR(Store_Record[[#This Row],[Date]])</f>
        <v>2025</v>
      </c>
      <c r="O4218"/>
    </row>
    <row r="4219" spans="1:15" x14ac:dyDescent="0.35">
      <c r="A4219" t="s">
        <v>5216</v>
      </c>
      <c r="B4219" s="2">
        <v>45968</v>
      </c>
      <c r="C4219" t="s">
        <v>20</v>
      </c>
      <c r="D4219" t="s">
        <v>47</v>
      </c>
      <c r="E4219" t="s">
        <v>42</v>
      </c>
      <c r="F4219" t="s">
        <v>13</v>
      </c>
      <c r="G4219">
        <v>4</v>
      </c>
      <c r="H4219">
        <v>3.8</v>
      </c>
      <c r="I4219" t="s">
        <v>21</v>
      </c>
      <c r="J4219" t="s">
        <v>524</v>
      </c>
      <c r="K4219" s="12">
        <f>Store_Record[[#This Row],[Qty]]*Store_Record[[#This Row],[UnitPriceGBP]]</f>
        <v>15.2</v>
      </c>
      <c r="L4219" s="5" t="str">
        <f>TEXT(Store_Record[[#This Row],[Date]],"dddd")</f>
        <v>Friday</v>
      </c>
      <c r="M4219" s="5" t="str">
        <f>TEXT(Store_Record[[#This Row],[Date]],"mmmm")</f>
        <v>November</v>
      </c>
      <c r="N4219" s="5">
        <f>YEAR(Store_Record[[#This Row],[Date]])</f>
        <v>2025</v>
      </c>
      <c r="O4219"/>
    </row>
    <row r="4220" spans="1:15" x14ac:dyDescent="0.35">
      <c r="A4220" t="s">
        <v>5218</v>
      </c>
      <c r="B4220" s="2">
        <v>45968</v>
      </c>
      <c r="C4220" t="s">
        <v>24</v>
      </c>
      <c r="D4220" t="s">
        <v>25</v>
      </c>
      <c r="E4220" t="s">
        <v>42</v>
      </c>
      <c r="F4220" t="s">
        <v>13</v>
      </c>
      <c r="G4220">
        <v>4</v>
      </c>
      <c r="H4220">
        <v>3.8</v>
      </c>
      <c r="I4220" t="s">
        <v>39</v>
      </c>
      <c r="J4220" t="s">
        <v>1143</v>
      </c>
      <c r="K4220" s="12">
        <f>Store_Record[[#This Row],[Qty]]*Store_Record[[#This Row],[UnitPriceGBP]]</f>
        <v>15.2</v>
      </c>
      <c r="L4220" s="5" t="str">
        <f>TEXT(Store_Record[[#This Row],[Date]],"dddd")</f>
        <v>Friday</v>
      </c>
      <c r="M4220" s="5" t="str">
        <f>TEXT(Store_Record[[#This Row],[Date]],"mmmm")</f>
        <v>November</v>
      </c>
      <c r="N4220" s="5">
        <f>YEAR(Store_Record[[#This Row],[Date]])</f>
        <v>2025</v>
      </c>
      <c r="O4220"/>
    </row>
    <row r="4221" spans="1:15" x14ac:dyDescent="0.35">
      <c r="A4221" t="s">
        <v>5223</v>
      </c>
      <c r="B4221" s="2">
        <v>45968</v>
      </c>
      <c r="C4221" t="s">
        <v>10</v>
      </c>
      <c r="D4221" t="s">
        <v>38</v>
      </c>
      <c r="E4221" t="s">
        <v>26</v>
      </c>
      <c r="F4221" t="s">
        <v>13</v>
      </c>
      <c r="G4221">
        <v>4</v>
      </c>
      <c r="H4221">
        <v>3.5</v>
      </c>
      <c r="I4221" t="s">
        <v>39</v>
      </c>
      <c r="J4221" t="s">
        <v>2371</v>
      </c>
      <c r="K4221" s="12">
        <f>Store_Record[[#This Row],[Qty]]*Store_Record[[#This Row],[UnitPriceGBP]]</f>
        <v>14</v>
      </c>
      <c r="L4221" s="5" t="str">
        <f>TEXT(Store_Record[[#This Row],[Date]],"dddd")</f>
        <v>Friday</v>
      </c>
      <c r="M4221" s="5" t="str">
        <f>TEXT(Store_Record[[#This Row],[Date]],"mmmm")</f>
        <v>November</v>
      </c>
      <c r="N4221" s="5">
        <f>YEAR(Store_Record[[#This Row],[Date]])</f>
        <v>2025</v>
      </c>
      <c r="O4221"/>
    </row>
    <row r="4222" spans="1:15" x14ac:dyDescent="0.35">
      <c r="A4222" t="s">
        <v>5226</v>
      </c>
      <c r="B4222" s="2">
        <v>45968</v>
      </c>
      <c r="C4222" t="s">
        <v>24</v>
      </c>
      <c r="D4222" t="s">
        <v>11</v>
      </c>
      <c r="E4222" t="s">
        <v>26</v>
      </c>
      <c r="F4222" t="s">
        <v>13</v>
      </c>
      <c r="G4222">
        <v>4</v>
      </c>
      <c r="H4222">
        <v>3.5</v>
      </c>
      <c r="I4222" t="s">
        <v>14</v>
      </c>
      <c r="J4222" t="s">
        <v>159</v>
      </c>
      <c r="K4222" s="12">
        <f>Store_Record[[#This Row],[Qty]]*Store_Record[[#This Row],[UnitPriceGBP]]</f>
        <v>14</v>
      </c>
      <c r="L4222" s="5" t="str">
        <f>TEXT(Store_Record[[#This Row],[Date]],"dddd")</f>
        <v>Friday</v>
      </c>
      <c r="M4222" s="5" t="str">
        <f>TEXT(Store_Record[[#This Row],[Date]],"mmmm")</f>
        <v>November</v>
      </c>
      <c r="N4222" s="5">
        <f>YEAR(Store_Record[[#This Row],[Date]])</f>
        <v>2025</v>
      </c>
      <c r="O4222"/>
    </row>
    <row r="4223" spans="1:15" x14ac:dyDescent="0.35">
      <c r="A4223" t="s">
        <v>5225</v>
      </c>
      <c r="B4223" s="2">
        <v>45968</v>
      </c>
      <c r="C4223" t="s">
        <v>10</v>
      </c>
      <c r="D4223" t="s">
        <v>11</v>
      </c>
      <c r="E4223" t="s">
        <v>26</v>
      </c>
      <c r="F4223" t="s">
        <v>31</v>
      </c>
      <c r="G4223">
        <v>5</v>
      </c>
      <c r="H4223">
        <v>2.2000000000000002</v>
      </c>
      <c r="I4223" t="s">
        <v>14</v>
      </c>
      <c r="J4223" t="s">
        <v>2222</v>
      </c>
      <c r="K4223" s="12">
        <f>Store_Record[[#This Row],[Qty]]*Store_Record[[#This Row],[UnitPriceGBP]]</f>
        <v>11</v>
      </c>
      <c r="L4223" s="5" t="str">
        <f>TEXT(Store_Record[[#This Row],[Date]],"dddd")</f>
        <v>Friday</v>
      </c>
      <c r="M4223" s="5" t="str">
        <f>TEXT(Store_Record[[#This Row],[Date]],"mmmm")</f>
        <v>November</v>
      </c>
      <c r="N4223" s="5">
        <f>YEAR(Store_Record[[#This Row],[Date]])</f>
        <v>2025</v>
      </c>
      <c r="O4223"/>
    </row>
    <row r="4224" spans="1:15" x14ac:dyDescent="0.35">
      <c r="A4224" t="s">
        <v>5228</v>
      </c>
      <c r="B4224" s="2">
        <v>45968</v>
      </c>
      <c r="C4224" t="s">
        <v>24</v>
      </c>
      <c r="D4224" t="s">
        <v>29</v>
      </c>
      <c r="E4224" t="s">
        <v>34</v>
      </c>
      <c r="F4224" t="s">
        <v>31</v>
      </c>
      <c r="G4224">
        <v>5</v>
      </c>
      <c r="H4224">
        <v>2.2000000000000002</v>
      </c>
      <c r="I4224" t="s">
        <v>14</v>
      </c>
      <c r="J4224" t="s">
        <v>1879</v>
      </c>
      <c r="K4224" s="12">
        <f>Store_Record[[#This Row],[Qty]]*Store_Record[[#This Row],[UnitPriceGBP]]</f>
        <v>11</v>
      </c>
      <c r="L4224" s="5" t="str">
        <f>TEXT(Store_Record[[#This Row],[Date]],"dddd")</f>
        <v>Friday</v>
      </c>
      <c r="M4224" s="5" t="str">
        <f>TEXT(Store_Record[[#This Row],[Date]],"mmmm")</f>
        <v>November</v>
      </c>
      <c r="N4224" s="5">
        <f>YEAR(Store_Record[[#This Row],[Date]])</f>
        <v>2025</v>
      </c>
      <c r="O4224"/>
    </row>
    <row r="4225" spans="1:15" x14ac:dyDescent="0.35">
      <c r="A4225" t="s">
        <v>5215</v>
      </c>
      <c r="B4225" s="2">
        <v>45968</v>
      </c>
      <c r="C4225" t="s">
        <v>10</v>
      </c>
      <c r="D4225" t="s">
        <v>11</v>
      </c>
      <c r="E4225" t="s">
        <v>26</v>
      </c>
      <c r="F4225" t="s">
        <v>13</v>
      </c>
      <c r="G4225">
        <v>3</v>
      </c>
      <c r="H4225">
        <v>3.5</v>
      </c>
      <c r="I4225" t="s">
        <v>21</v>
      </c>
      <c r="J4225" t="s">
        <v>5114</v>
      </c>
      <c r="K4225" s="12">
        <f>Store_Record[[#This Row],[Qty]]*Store_Record[[#This Row],[UnitPriceGBP]]</f>
        <v>10.5</v>
      </c>
      <c r="L4225" s="5" t="str">
        <f>TEXT(Store_Record[[#This Row],[Date]],"dddd")</f>
        <v>Friday</v>
      </c>
      <c r="M4225" s="5" t="str">
        <f>TEXT(Store_Record[[#This Row],[Date]],"mmmm")</f>
        <v>November</v>
      </c>
      <c r="N4225" s="5">
        <f>YEAR(Store_Record[[#This Row],[Date]])</f>
        <v>2025</v>
      </c>
      <c r="O4225"/>
    </row>
    <row r="4226" spans="1:15" x14ac:dyDescent="0.35">
      <c r="A4226" t="s">
        <v>5222</v>
      </c>
      <c r="B4226" s="2">
        <v>45968</v>
      </c>
      <c r="C4226" t="s">
        <v>36</v>
      </c>
      <c r="D4226" t="s">
        <v>11</v>
      </c>
      <c r="E4226" t="s">
        <v>12</v>
      </c>
      <c r="F4226" t="s">
        <v>13</v>
      </c>
      <c r="G4226">
        <v>4</v>
      </c>
      <c r="H4226">
        <v>2.5</v>
      </c>
      <c r="I4226" t="s">
        <v>14</v>
      </c>
      <c r="J4226" t="s">
        <v>50</v>
      </c>
      <c r="K4226" s="12">
        <f>Store_Record[[#This Row],[Qty]]*Store_Record[[#This Row],[UnitPriceGBP]]</f>
        <v>10</v>
      </c>
      <c r="L4226" s="5" t="str">
        <f>TEXT(Store_Record[[#This Row],[Date]],"dddd")</f>
        <v>Friday</v>
      </c>
      <c r="M4226" s="5" t="str">
        <f>TEXT(Store_Record[[#This Row],[Date]],"mmmm")</f>
        <v>November</v>
      </c>
      <c r="N4226" s="5">
        <f>YEAR(Store_Record[[#This Row],[Date]])</f>
        <v>2025</v>
      </c>
      <c r="O4226"/>
    </row>
    <row r="4227" spans="1:15" x14ac:dyDescent="0.35">
      <c r="A4227" t="s">
        <v>5210</v>
      </c>
      <c r="B4227" s="2">
        <v>45968</v>
      </c>
      <c r="C4227" t="s">
        <v>20</v>
      </c>
      <c r="D4227" t="s">
        <v>38</v>
      </c>
      <c r="E4227" t="s">
        <v>30</v>
      </c>
      <c r="F4227" t="s">
        <v>31</v>
      </c>
      <c r="G4227">
        <v>3</v>
      </c>
      <c r="H4227">
        <v>2.8</v>
      </c>
      <c r="I4227" t="s">
        <v>39</v>
      </c>
      <c r="J4227" t="s">
        <v>2422</v>
      </c>
      <c r="K4227" s="12">
        <f>Store_Record[[#This Row],[Qty]]*Store_Record[[#This Row],[UnitPriceGBP]]</f>
        <v>8.3999999999999986</v>
      </c>
      <c r="L4227" s="5" t="str">
        <f>TEXT(Store_Record[[#This Row],[Date]],"dddd")</f>
        <v>Friday</v>
      </c>
      <c r="M4227" s="5" t="str">
        <f>TEXT(Store_Record[[#This Row],[Date]],"mmmm")</f>
        <v>November</v>
      </c>
      <c r="N4227" s="5">
        <f>YEAR(Store_Record[[#This Row],[Date]])</f>
        <v>2025</v>
      </c>
      <c r="O4227"/>
    </row>
    <row r="4228" spans="1:15" x14ac:dyDescent="0.35">
      <c r="A4228" t="s">
        <v>5209</v>
      </c>
      <c r="B4228" s="2">
        <v>45968</v>
      </c>
      <c r="C4228" t="s">
        <v>20</v>
      </c>
      <c r="D4228" t="s">
        <v>47</v>
      </c>
      <c r="E4228" t="s">
        <v>42</v>
      </c>
      <c r="F4228" t="s">
        <v>13</v>
      </c>
      <c r="G4228">
        <v>2</v>
      </c>
      <c r="H4228">
        <v>3.8</v>
      </c>
      <c r="I4228" t="s">
        <v>21</v>
      </c>
      <c r="J4228" t="s">
        <v>3735</v>
      </c>
      <c r="K4228" s="12">
        <f>Store_Record[[#This Row],[Qty]]*Store_Record[[#This Row],[UnitPriceGBP]]</f>
        <v>7.6</v>
      </c>
      <c r="L4228" s="5" t="str">
        <f>TEXT(Store_Record[[#This Row],[Date]],"dddd")</f>
        <v>Friday</v>
      </c>
      <c r="M4228" s="5" t="str">
        <f>TEXT(Store_Record[[#This Row],[Date]],"mmmm")</f>
        <v>November</v>
      </c>
      <c r="N4228" s="5">
        <f>YEAR(Store_Record[[#This Row],[Date]])</f>
        <v>2025</v>
      </c>
      <c r="O4228"/>
    </row>
    <row r="4229" spans="1:15" x14ac:dyDescent="0.35">
      <c r="A4229" t="s">
        <v>5213</v>
      </c>
      <c r="B4229" s="2">
        <v>45968</v>
      </c>
      <c r="C4229" t="s">
        <v>20</v>
      </c>
      <c r="D4229" t="s">
        <v>47</v>
      </c>
      <c r="E4229" t="s">
        <v>12</v>
      </c>
      <c r="F4229" t="s">
        <v>13</v>
      </c>
      <c r="G4229">
        <v>3</v>
      </c>
      <c r="H4229">
        <v>2.5</v>
      </c>
      <c r="I4229" t="s">
        <v>21</v>
      </c>
      <c r="J4229" t="s">
        <v>354</v>
      </c>
      <c r="K4229" s="12">
        <f>Store_Record[[#This Row],[Qty]]*Store_Record[[#This Row],[UnitPriceGBP]]</f>
        <v>7.5</v>
      </c>
      <c r="L4229" s="5" t="str">
        <f>TEXT(Store_Record[[#This Row],[Date]],"dddd")</f>
        <v>Friday</v>
      </c>
      <c r="M4229" s="5" t="str">
        <f>TEXT(Store_Record[[#This Row],[Date]],"mmmm")</f>
        <v>November</v>
      </c>
      <c r="N4229" s="5">
        <f>YEAR(Store_Record[[#This Row],[Date]])</f>
        <v>2025</v>
      </c>
      <c r="O4229"/>
    </row>
    <row r="4230" spans="1:15" x14ac:dyDescent="0.35">
      <c r="A4230" t="s">
        <v>5214</v>
      </c>
      <c r="B4230" s="2">
        <v>45968</v>
      </c>
      <c r="C4230" t="s">
        <v>36</v>
      </c>
      <c r="D4230" t="s">
        <v>29</v>
      </c>
      <c r="E4230" t="s">
        <v>12</v>
      </c>
      <c r="F4230" t="s">
        <v>13</v>
      </c>
      <c r="G4230">
        <v>3</v>
      </c>
      <c r="H4230">
        <v>2.5</v>
      </c>
      <c r="I4230" t="s">
        <v>21</v>
      </c>
      <c r="J4230" t="s">
        <v>3498</v>
      </c>
      <c r="K4230" s="12">
        <f>Store_Record[[#This Row],[Qty]]*Store_Record[[#This Row],[UnitPriceGBP]]</f>
        <v>7.5</v>
      </c>
      <c r="L4230" s="5" t="str">
        <f>TEXT(Store_Record[[#This Row],[Date]],"dddd")</f>
        <v>Friday</v>
      </c>
      <c r="M4230" s="5" t="str">
        <f>TEXT(Store_Record[[#This Row],[Date]],"mmmm")</f>
        <v>November</v>
      </c>
      <c r="N4230" s="5">
        <f>YEAR(Store_Record[[#This Row],[Date]])</f>
        <v>2025</v>
      </c>
      <c r="O4230"/>
    </row>
    <row r="4231" spans="1:15" x14ac:dyDescent="0.35">
      <c r="A4231" t="s">
        <v>5227</v>
      </c>
      <c r="B4231" s="2">
        <v>45968</v>
      </c>
      <c r="C4231" t="s">
        <v>36</v>
      </c>
      <c r="D4231" t="s">
        <v>47</v>
      </c>
      <c r="E4231" t="s">
        <v>26</v>
      </c>
      <c r="F4231" t="s">
        <v>13</v>
      </c>
      <c r="G4231">
        <v>2</v>
      </c>
      <c r="H4231">
        <v>3.5</v>
      </c>
      <c r="I4231" t="s">
        <v>21</v>
      </c>
      <c r="J4231" t="s">
        <v>978</v>
      </c>
      <c r="K4231" s="12">
        <f>Store_Record[[#This Row],[Qty]]*Store_Record[[#This Row],[UnitPriceGBP]]</f>
        <v>7</v>
      </c>
      <c r="L4231" s="5" t="str">
        <f>TEXT(Store_Record[[#This Row],[Date]],"dddd")</f>
        <v>Friday</v>
      </c>
      <c r="M4231" s="5" t="str">
        <f>TEXT(Store_Record[[#This Row],[Date]],"mmmm")</f>
        <v>November</v>
      </c>
      <c r="N4231" s="5">
        <f>YEAR(Store_Record[[#This Row],[Date]])</f>
        <v>2025</v>
      </c>
      <c r="O4231"/>
    </row>
    <row r="4232" spans="1:15" x14ac:dyDescent="0.35">
      <c r="A4232" t="s">
        <v>5219</v>
      </c>
      <c r="B4232" s="2">
        <v>45968</v>
      </c>
      <c r="C4232" t="s">
        <v>24</v>
      </c>
      <c r="D4232" t="s">
        <v>47</v>
      </c>
      <c r="E4232" t="s">
        <v>34</v>
      </c>
      <c r="F4232" t="s">
        <v>31</v>
      </c>
      <c r="G4232">
        <v>3</v>
      </c>
      <c r="H4232">
        <v>2.2000000000000002</v>
      </c>
      <c r="I4232" t="s">
        <v>14</v>
      </c>
      <c r="J4232" t="s">
        <v>366</v>
      </c>
      <c r="K4232" s="12">
        <f>Store_Record[[#This Row],[Qty]]*Store_Record[[#This Row],[UnitPriceGBP]]</f>
        <v>6.6000000000000005</v>
      </c>
      <c r="L4232" s="5" t="str">
        <f>TEXT(Store_Record[[#This Row],[Date]],"dddd")</f>
        <v>Friday</v>
      </c>
      <c r="M4232" s="5" t="str">
        <f>TEXT(Store_Record[[#This Row],[Date]],"mmmm")</f>
        <v>November</v>
      </c>
      <c r="N4232" s="5">
        <f>YEAR(Store_Record[[#This Row],[Date]])</f>
        <v>2025</v>
      </c>
      <c r="O4232"/>
    </row>
    <row r="4233" spans="1:15" x14ac:dyDescent="0.35">
      <c r="A4233" t="s">
        <v>5211</v>
      </c>
      <c r="B4233" s="2">
        <v>45968</v>
      </c>
      <c r="C4233" t="s">
        <v>36</v>
      </c>
      <c r="D4233" t="s">
        <v>11</v>
      </c>
      <c r="E4233" t="s">
        <v>42</v>
      </c>
      <c r="F4233" t="s">
        <v>13</v>
      </c>
      <c r="G4233">
        <v>1</v>
      </c>
      <c r="H4233">
        <v>3.8</v>
      </c>
      <c r="I4233" t="s">
        <v>21</v>
      </c>
      <c r="J4233" t="s">
        <v>163</v>
      </c>
      <c r="K4233" s="12">
        <f>Store_Record[[#This Row],[Qty]]*Store_Record[[#This Row],[UnitPriceGBP]]</f>
        <v>3.8</v>
      </c>
      <c r="L4233" s="5" t="str">
        <f>TEXT(Store_Record[[#This Row],[Date]],"dddd")</f>
        <v>Friday</v>
      </c>
      <c r="M4233" s="5" t="str">
        <f>TEXT(Store_Record[[#This Row],[Date]],"mmmm")</f>
        <v>November</v>
      </c>
      <c r="N4233" s="5">
        <f>YEAR(Store_Record[[#This Row],[Date]])</f>
        <v>2025</v>
      </c>
      <c r="O4233"/>
    </row>
    <row r="4234" spans="1:15" x14ac:dyDescent="0.35">
      <c r="A4234" t="s">
        <v>5217</v>
      </c>
      <c r="B4234" s="2">
        <v>45968</v>
      </c>
      <c r="C4234" t="s">
        <v>36</v>
      </c>
      <c r="D4234" t="s">
        <v>11</v>
      </c>
      <c r="E4234" t="s">
        <v>42</v>
      </c>
      <c r="F4234" t="s">
        <v>13</v>
      </c>
      <c r="G4234">
        <v>1</v>
      </c>
      <c r="H4234">
        <v>3.8</v>
      </c>
      <c r="I4234" t="s">
        <v>39</v>
      </c>
      <c r="J4234" t="s">
        <v>198</v>
      </c>
      <c r="K4234" s="12">
        <f>Store_Record[[#This Row],[Qty]]*Store_Record[[#This Row],[UnitPriceGBP]]</f>
        <v>3.8</v>
      </c>
      <c r="L4234" s="5" t="str">
        <f>TEXT(Store_Record[[#This Row],[Date]],"dddd")</f>
        <v>Friday</v>
      </c>
      <c r="M4234" s="5" t="str">
        <f>TEXT(Store_Record[[#This Row],[Date]],"mmmm")</f>
        <v>November</v>
      </c>
      <c r="N4234" s="5">
        <f>YEAR(Store_Record[[#This Row],[Date]])</f>
        <v>2025</v>
      </c>
      <c r="O4234"/>
    </row>
    <row r="4235" spans="1:15" x14ac:dyDescent="0.35">
      <c r="A4235" t="s">
        <v>5220</v>
      </c>
      <c r="B4235" s="2">
        <v>45968</v>
      </c>
      <c r="C4235" t="s">
        <v>20</v>
      </c>
      <c r="D4235" t="s">
        <v>29</v>
      </c>
      <c r="E4235" t="s">
        <v>42</v>
      </c>
      <c r="F4235" t="s">
        <v>13</v>
      </c>
      <c r="G4235">
        <v>1</v>
      </c>
      <c r="H4235">
        <v>3.8</v>
      </c>
      <c r="I4235" t="s">
        <v>14</v>
      </c>
      <c r="J4235" t="s">
        <v>764</v>
      </c>
      <c r="K4235" s="12">
        <f>Store_Record[[#This Row],[Qty]]*Store_Record[[#This Row],[UnitPriceGBP]]</f>
        <v>3.8</v>
      </c>
      <c r="L4235" s="5" t="str">
        <f>TEXT(Store_Record[[#This Row],[Date]],"dddd")</f>
        <v>Friday</v>
      </c>
      <c r="M4235" s="5" t="str">
        <f>TEXT(Store_Record[[#This Row],[Date]],"mmmm")</f>
        <v>November</v>
      </c>
      <c r="N4235" s="5">
        <f>YEAR(Store_Record[[#This Row],[Date]])</f>
        <v>2025</v>
      </c>
      <c r="O4235"/>
    </row>
    <row r="4236" spans="1:15" x14ac:dyDescent="0.35">
      <c r="A4236" t="s">
        <v>5212</v>
      </c>
      <c r="B4236" s="2">
        <v>45968</v>
      </c>
      <c r="C4236" t="s">
        <v>10</v>
      </c>
      <c r="D4236" t="s">
        <v>47</v>
      </c>
      <c r="E4236" t="s">
        <v>30</v>
      </c>
      <c r="F4236" t="s">
        <v>31</v>
      </c>
      <c r="G4236">
        <v>1</v>
      </c>
      <c r="H4236">
        <v>2.8</v>
      </c>
      <c r="I4236" t="s">
        <v>14</v>
      </c>
      <c r="J4236" t="s">
        <v>80</v>
      </c>
      <c r="K4236" s="12">
        <f>Store_Record[[#This Row],[Qty]]*Store_Record[[#This Row],[UnitPriceGBP]]</f>
        <v>2.8</v>
      </c>
      <c r="L4236" s="5" t="str">
        <f>TEXT(Store_Record[[#This Row],[Date]],"dddd")</f>
        <v>Friday</v>
      </c>
      <c r="M4236" s="5" t="str">
        <f>TEXT(Store_Record[[#This Row],[Date]],"mmmm")</f>
        <v>November</v>
      </c>
      <c r="N4236" s="5">
        <f>YEAR(Store_Record[[#This Row],[Date]])</f>
        <v>2025</v>
      </c>
      <c r="O4236"/>
    </row>
    <row r="4237" spans="1:15" x14ac:dyDescent="0.35">
      <c r="A4237" t="s">
        <v>5221</v>
      </c>
      <c r="B4237" s="2">
        <v>45968</v>
      </c>
      <c r="C4237" t="s">
        <v>20</v>
      </c>
      <c r="D4237" t="s">
        <v>29</v>
      </c>
      <c r="E4237" t="s">
        <v>30</v>
      </c>
      <c r="F4237" t="s">
        <v>31</v>
      </c>
      <c r="G4237">
        <v>1</v>
      </c>
      <c r="H4237">
        <v>2.8</v>
      </c>
      <c r="I4237" t="s">
        <v>39</v>
      </c>
      <c r="J4237" t="s">
        <v>2150</v>
      </c>
      <c r="K4237" s="12">
        <f>Store_Record[[#This Row],[Qty]]*Store_Record[[#This Row],[UnitPriceGBP]]</f>
        <v>2.8</v>
      </c>
      <c r="L4237" s="5" t="str">
        <f>TEXT(Store_Record[[#This Row],[Date]],"dddd")</f>
        <v>Friday</v>
      </c>
      <c r="M4237" s="5" t="str">
        <f>TEXT(Store_Record[[#This Row],[Date]],"mmmm")</f>
        <v>November</v>
      </c>
      <c r="N4237" s="5">
        <f>YEAR(Store_Record[[#This Row],[Date]])</f>
        <v>2025</v>
      </c>
      <c r="O4237"/>
    </row>
    <row r="4238" spans="1:15" x14ac:dyDescent="0.35">
      <c r="A4238" t="s">
        <v>5230</v>
      </c>
      <c r="B4238" s="2">
        <v>45969</v>
      </c>
      <c r="C4238" t="s">
        <v>24</v>
      </c>
      <c r="D4238" t="s">
        <v>11</v>
      </c>
      <c r="E4238" t="s">
        <v>26</v>
      </c>
      <c r="F4238" t="s">
        <v>13</v>
      </c>
      <c r="G4238">
        <v>5</v>
      </c>
      <c r="H4238">
        <v>3.5</v>
      </c>
      <c r="I4238" t="s">
        <v>21</v>
      </c>
      <c r="J4238" t="s">
        <v>1464</v>
      </c>
      <c r="K4238" s="12">
        <f>Store_Record[[#This Row],[Qty]]*Store_Record[[#This Row],[UnitPriceGBP]]</f>
        <v>17.5</v>
      </c>
      <c r="L4238" s="5" t="str">
        <f>TEXT(Store_Record[[#This Row],[Date]],"dddd")</f>
        <v>Saturday</v>
      </c>
      <c r="M4238" s="5" t="str">
        <f>TEXT(Store_Record[[#This Row],[Date]],"mmmm")</f>
        <v>November</v>
      </c>
      <c r="N4238" s="5">
        <f>YEAR(Store_Record[[#This Row],[Date]])</f>
        <v>2025</v>
      </c>
      <c r="O4238"/>
    </row>
    <row r="4239" spans="1:15" x14ac:dyDescent="0.35">
      <c r="A4239" t="s">
        <v>5241</v>
      </c>
      <c r="B4239" s="2">
        <v>45969</v>
      </c>
      <c r="C4239" t="s">
        <v>24</v>
      </c>
      <c r="D4239" t="s">
        <v>38</v>
      </c>
      <c r="E4239" t="s">
        <v>26</v>
      </c>
      <c r="F4239" t="s">
        <v>13</v>
      </c>
      <c r="G4239">
        <v>5</v>
      </c>
      <c r="H4239">
        <v>3.5</v>
      </c>
      <c r="I4239" t="s">
        <v>14</v>
      </c>
      <c r="J4239" t="s">
        <v>610</v>
      </c>
      <c r="K4239" s="12">
        <f>Store_Record[[#This Row],[Qty]]*Store_Record[[#This Row],[UnitPriceGBP]]</f>
        <v>17.5</v>
      </c>
      <c r="L4239" s="5" t="str">
        <f>TEXT(Store_Record[[#This Row],[Date]],"dddd")</f>
        <v>Saturday</v>
      </c>
      <c r="M4239" s="5" t="str">
        <f>TEXT(Store_Record[[#This Row],[Date]],"mmmm")</f>
        <v>November</v>
      </c>
      <c r="N4239" s="5">
        <f>YEAR(Store_Record[[#This Row],[Date]])</f>
        <v>2025</v>
      </c>
      <c r="O4239"/>
    </row>
    <row r="4240" spans="1:15" x14ac:dyDescent="0.35">
      <c r="A4240" t="s">
        <v>5234</v>
      </c>
      <c r="B4240" s="2">
        <v>45969</v>
      </c>
      <c r="C4240" t="s">
        <v>10</v>
      </c>
      <c r="D4240" t="s">
        <v>25</v>
      </c>
      <c r="E4240" t="s">
        <v>42</v>
      </c>
      <c r="F4240" t="s">
        <v>13</v>
      </c>
      <c r="G4240">
        <v>4</v>
      </c>
      <c r="H4240">
        <v>3.8</v>
      </c>
      <c r="I4240" t="s">
        <v>39</v>
      </c>
      <c r="J4240" t="s">
        <v>2401</v>
      </c>
      <c r="K4240" s="12">
        <f>Store_Record[[#This Row],[Qty]]*Store_Record[[#This Row],[UnitPriceGBP]]</f>
        <v>15.2</v>
      </c>
      <c r="L4240" s="5" t="str">
        <f>TEXT(Store_Record[[#This Row],[Date]],"dddd")</f>
        <v>Saturday</v>
      </c>
      <c r="M4240" s="5" t="str">
        <f>TEXT(Store_Record[[#This Row],[Date]],"mmmm")</f>
        <v>November</v>
      </c>
      <c r="N4240" s="5">
        <f>YEAR(Store_Record[[#This Row],[Date]])</f>
        <v>2025</v>
      </c>
      <c r="O4240"/>
    </row>
    <row r="4241" spans="1:15" x14ac:dyDescent="0.35">
      <c r="A4241" t="s">
        <v>5239</v>
      </c>
      <c r="B4241" s="2">
        <v>45969</v>
      </c>
      <c r="C4241" t="s">
        <v>36</v>
      </c>
      <c r="D4241" t="s">
        <v>47</v>
      </c>
      <c r="E4241" t="s">
        <v>42</v>
      </c>
      <c r="F4241" t="s">
        <v>13</v>
      </c>
      <c r="G4241">
        <v>4</v>
      </c>
      <c r="H4241">
        <v>3.8</v>
      </c>
      <c r="I4241" t="s">
        <v>39</v>
      </c>
      <c r="J4241" t="s">
        <v>1357</v>
      </c>
      <c r="K4241" s="12">
        <f>Store_Record[[#This Row],[Qty]]*Store_Record[[#This Row],[UnitPriceGBP]]</f>
        <v>15.2</v>
      </c>
      <c r="L4241" s="5" t="str">
        <f>TEXT(Store_Record[[#This Row],[Date]],"dddd")</f>
        <v>Saturday</v>
      </c>
      <c r="M4241" s="5" t="str">
        <f>TEXT(Store_Record[[#This Row],[Date]],"mmmm")</f>
        <v>November</v>
      </c>
      <c r="N4241" s="5">
        <f>YEAR(Store_Record[[#This Row],[Date]])</f>
        <v>2025</v>
      </c>
      <c r="O4241"/>
    </row>
    <row r="4242" spans="1:15" x14ac:dyDescent="0.35">
      <c r="A4242" t="s">
        <v>5242</v>
      </c>
      <c r="B4242" s="2">
        <v>45969</v>
      </c>
      <c r="C4242" t="s">
        <v>10</v>
      </c>
      <c r="D4242" t="s">
        <v>38</v>
      </c>
      <c r="E4242" t="s">
        <v>42</v>
      </c>
      <c r="F4242" t="s">
        <v>13</v>
      </c>
      <c r="G4242">
        <v>4</v>
      </c>
      <c r="H4242">
        <v>3.8</v>
      </c>
      <c r="I4242" t="s">
        <v>21</v>
      </c>
      <c r="J4242" t="s">
        <v>1629</v>
      </c>
      <c r="K4242" s="12">
        <f>Store_Record[[#This Row],[Qty]]*Store_Record[[#This Row],[UnitPriceGBP]]</f>
        <v>15.2</v>
      </c>
      <c r="L4242" s="5" t="str">
        <f>TEXT(Store_Record[[#This Row],[Date]],"dddd")</f>
        <v>Saturday</v>
      </c>
      <c r="M4242" s="5" t="str">
        <f>TEXT(Store_Record[[#This Row],[Date]],"mmmm")</f>
        <v>November</v>
      </c>
      <c r="N4242" s="5">
        <f>YEAR(Store_Record[[#This Row],[Date]])</f>
        <v>2025</v>
      </c>
      <c r="O4242"/>
    </row>
    <row r="4243" spans="1:15" x14ac:dyDescent="0.35">
      <c r="A4243" t="s">
        <v>5243</v>
      </c>
      <c r="B4243" s="2">
        <v>45969</v>
      </c>
      <c r="C4243" t="s">
        <v>20</v>
      </c>
      <c r="D4243" t="s">
        <v>38</v>
      </c>
      <c r="E4243" t="s">
        <v>26</v>
      </c>
      <c r="F4243" t="s">
        <v>13</v>
      </c>
      <c r="G4243">
        <v>4</v>
      </c>
      <c r="H4243">
        <v>3.5</v>
      </c>
      <c r="I4243" t="s">
        <v>14</v>
      </c>
      <c r="J4243" t="s">
        <v>745</v>
      </c>
      <c r="K4243" s="12">
        <f>Store_Record[[#This Row],[Qty]]*Store_Record[[#This Row],[UnitPriceGBP]]</f>
        <v>14</v>
      </c>
      <c r="L4243" s="5" t="str">
        <f>TEXT(Store_Record[[#This Row],[Date]],"dddd")</f>
        <v>Saturday</v>
      </c>
      <c r="M4243" s="5" t="str">
        <f>TEXT(Store_Record[[#This Row],[Date]],"mmmm")</f>
        <v>November</v>
      </c>
      <c r="N4243" s="5">
        <f>YEAR(Store_Record[[#This Row],[Date]])</f>
        <v>2025</v>
      </c>
      <c r="O4243"/>
    </row>
    <row r="4244" spans="1:15" x14ac:dyDescent="0.35">
      <c r="A4244" t="s">
        <v>5244</v>
      </c>
      <c r="B4244" s="2">
        <v>45969</v>
      </c>
      <c r="C4244" t="s">
        <v>10</v>
      </c>
      <c r="D4244" t="s">
        <v>29</v>
      </c>
      <c r="E4244" t="s">
        <v>26</v>
      </c>
      <c r="F4244" t="s">
        <v>13</v>
      </c>
      <c r="G4244">
        <v>4</v>
      </c>
      <c r="H4244">
        <v>3.5</v>
      </c>
      <c r="I4244" t="s">
        <v>39</v>
      </c>
      <c r="J4244" t="s">
        <v>3575</v>
      </c>
      <c r="K4244" s="12">
        <f>Store_Record[[#This Row],[Qty]]*Store_Record[[#This Row],[UnitPriceGBP]]</f>
        <v>14</v>
      </c>
      <c r="L4244" s="5" t="str">
        <f>TEXT(Store_Record[[#This Row],[Date]],"dddd")</f>
        <v>Saturday</v>
      </c>
      <c r="M4244" s="5" t="str">
        <f>TEXT(Store_Record[[#This Row],[Date]],"mmmm")</f>
        <v>November</v>
      </c>
      <c r="N4244" s="5">
        <f>YEAR(Store_Record[[#This Row],[Date]])</f>
        <v>2025</v>
      </c>
      <c r="O4244"/>
    </row>
    <row r="4245" spans="1:15" x14ac:dyDescent="0.35">
      <c r="A4245" t="s">
        <v>5236</v>
      </c>
      <c r="B4245" s="2">
        <v>45969</v>
      </c>
      <c r="C4245" t="s">
        <v>24</v>
      </c>
      <c r="D4245" t="s">
        <v>47</v>
      </c>
      <c r="E4245" t="s">
        <v>12</v>
      </c>
      <c r="F4245" t="s">
        <v>13</v>
      </c>
      <c r="G4245">
        <v>5</v>
      </c>
      <c r="H4245">
        <v>2.5</v>
      </c>
      <c r="I4245" t="s">
        <v>21</v>
      </c>
      <c r="J4245" t="s">
        <v>2523</v>
      </c>
      <c r="K4245" s="12">
        <f>Store_Record[[#This Row],[Qty]]*Store_Record[[#This Row],[UnitPriceGBP]]</f>
        <v>12.5</v>
      </c>
      <c r="L4245" s="5" t="str">
        <f>TEXT(Store_Record[[#This Row],[Date]],"dddd")</f>
        <v>Saturday</v>
      </c>
      <c r="M4245" s="5" t="str">
        <f>TEXT(Store_Record[[#This Row],[Date]],"mmmm")</f>
        <v>November</v>
      </c>
      <c r="N4245" s="5">
        <f>YEAR(Store_Record[[#This Row],[Date]])</f>
        <v>2025</v>
      </c>
      <c r="O4245"/>
    </row>
    <row r="4246" spans="1:15" x14ac:dyDescent="0.35">
      <c r="A4246" t="s">
        <v>5247</v>
      </c>
      <c r="B4246" s="2">
        <v>45969</v>
      </c>
      <c r="C4246" t="s">
        <v>20</v>
      </c>
      <c r="D4246" t="s">
        <v>11</v>
      </c>
      <c r="E4246" t="s">
        <v>12</v>
      </c>
      <c r="F4246" t="s">
        <v>13</v>
      </c>
      <c r="G4246">
        <v>5</v>
      </c>
      <c r="H4246">
        <v>2.5</v>
      </c>
      <c r="I4246" t="s">
        <v>39</v>
      </c>
      <c r="J4246" t="s">
        <v>2142</v>
      </c>
      <c r="K4246" s="12">
        <f>Store_Record[[#This Row],[Qty]]*Store_Record[[#This Row],[UnitPriceGBP]]</f>
        <v>12.5</v>
      </c>
      <c r="L4246" s="5" t="str">
        <f>TEXT(Store_Record[[#This Row],[Date]],"dddd")</f>
        <v>Saturday</v>
      </c>
      <c r="M4246" s="5" t="str">
        <f>TEXT(Store_Record[[#This Row],[Date]],"mmmm")</f>
        <v>November</v>
      </c>
      <c r="N4246" s="5">
        <f>YEAR(Store_Record[[#This Row],[Date]])</f>
        <v>2025</v>
      </c>
      <c r="O4246"/>
    </row>
    <row r="4247" spans="1:15" x14ac:dyDescent="0.35">
      <c r="A4247" t="s">
        <v>5237</v>
      </c>
      <c r="B4247" s="2">
        <v>45969</v>
      </c>
      <c r="C4247" t="s">
        <v>20</v>
      </c>
      <c r="D4247" t="s">
        <v>47</v>
      </c>
      <c r="E4247" t="s">
        <v>34</v>
      </c>
      <c r="F4247" t="s">
        <v>31</v>
      </c>
      <c r="G4247">
        <v>5</v>
      </c>
      <c r="H4247">
        <v>2.2000000000000002</v>
      </c>
      <c r="I4247" t="s">
        <v>39</v>
      </c>
      <c r="J4247" t="s">
        <v>1806</v>
      </c>
      <c r="K4247" s="12">
        <f>Store_Record[[#This Row],[Qty]]*Store_Record[[#This Row],[UnitPriceGBP]]</f>
        <v>11</v>
      </c>
      <c r="L4247" s="5" t="str">
        <f>TEXT(Store_Record[[#This Row],[Date]],"dddd")</f>
        <v>Saturday</v>
      </c>
      <c r="M4247" s="5" t="str">
        <f>TEXT(Store_Record[[#This Row],[Date]],"mmmm")</f>
        <v>November</v>
      </c>
      <c r="N4247" s="5">
        <f>YEAR(Store_Record[[#This Row],[Date]])</f>
        <v>2025</v>
      </c>
      <c r="O4247"/>
    </row>
    <row r="4248" spans="1:15" x14ac:dyDescent="0.35">
      <c r="A4248" t="s">
        <v>5229</v>
      </c>
      <c r="B4248" s="2">
        <v>45969</v>
      </c>
      <c r="C4248" t="s">
        <v>20</v>
      </c>
      <c r="D4248" t="s">
        <v>25</v>
      </c>
      <c r="E4248" t="s">
        <v>26</v>
      </c>
      <c r="F4248" t="s">
        <v>13</v>
      </c>
      <c r="G4248">
        <v>3</v>
      </c>
      <c r="H4248">
        <v>3.5</v>
      </c>
      <c r="I4248" t="s">
        <v>14</v>
      </c>
      <c r="J4248" t="s">
        <v>4584</v>
      </c>
      <c r="K4248" s="12">
        <f>Store_Record[[#This Row],[Qty]]*Store_Record[[#This Row],[UnitPriceGBP]]</f>
        <v>10.5</v>
      </c>
      <c r="L4248" s="5" t="str">
        <f>TEXT(Store_Record[[#This Row],[Date]],"dddd")</f>
        <v>Saturday</v>
      </c>
      <c r="M4248" s="5" t="str">
        <f>TEXT(Store_Record[[#This Row],[Date]],"mmmm")</f>
        <v>November</v>
      </c>
      <c r="N4248" s="5">
        <f>YEAR(Store_Record[[#This Row],[Date]])</f>
        <v>2025</v>
      </c>
      <c r="O4248"/>
    </row>
    <row r="4249" spans="1:15" x14ac:dyDescent="0.35">
      <c r="A4249" t="s">
        <v>5232</v>
      </c>
      <c r="B4249" s="2">
        <v>45969</v>
      </c>
      <c r="C4249" t="s">
        <v>20</v>
      </c>
      <c r="D4249" t="s">
        <v>29</v>
      </c>
      <c r="E4249" t="s">
        <v>12</v>
      </c>
      <c r="F4249" t="s">
        <v>13</v>
      </c>
      <c r="G4249">
        <v>4</v>
      </c>
      <c r="H4249">
        <v>2.5</v>
      </c>
      <c r="I4249" t="s">
        <v>21</v>
      </c>
      <c r="J4249" t="s">
        <v>2222</v>
      </c>
      <c r="K4249" s="12">
        <f>Store_Record[[#This Row],[Qty]]*Store_Record[[#This Row],[UnitPriceGBP]]</f>
        <v>10</v>
      </c>
      <c r="L4249" s="5" t="str">
        <f>TEXT(Store_Record[[#This Row],[Date]],"dddd")</f>
        <v>Saturday</v>
      </c>
      <c r="M4249" s="5" t="str">
        <f>TEXT(Store_Record[[#This Row],[Date]],"mmmm")</f>
        <v>November</v>
      </c>
      <c r="N4249" s="5">
        <f>YEAR(Store_Record[[#This Row],[Date]])</f>
        <v>2025</v>
      </c>
      <c r="O4249"/>
    </row>
    <row r="4250" spans="1:15" x14ac:dyDescent="0.35">
      <c r="A4250" t="s">
        <v>5238</v>
      </c>
      <c r="B4250" s="2">
        <v>45969</v>
      </c>
      <c r="C4250" t="s">
        <v>24</v>
      </c>
      <c r="D4250" t="s">
        <v>29</v>
      </c>
      <c r="E4250" t="s">
        <v>34</v>
      </c>
      <c r="F4250" t="s">
        <v>31</v>
      </c>
      <c r="G4250">
        <v>4</v>
      </c>
      <c r="H4250">
        <v>2.2000000000000002</v>
      </c>
      <c r="I4250" t="s">
        <v>14</v>
      </c>
      <c r="J4250" t="s">
        <v>3429</v>
      </c>
      <c r="K4250" s="12">
        <f>Store_Record[[#This Row],[Qty]]*Store_Record[[#This Row],[UnitPriceGBP]]</f>
        <v>8.8000000000000007</v>
      </c>
      <c r="L4250" s="5" t="str">
        <f>TEXT(Store_Record[[#This Row],[Date]],"dddd")</f>
        <v>Saturday</v>
      </c>
      <c r="M4250" s="5" t="str">
        <f>TEXT(Store_Record[[#This Row],[Date]],"mmmm")</f>
        <v>November</v>
      </c>
      <c r="N4250" s="5">
        <f>YEAR(Store_Record[[#This Row],[Date]])</f>
        <v>2025</v>
      </c>
      <c r="O4250"/>
    </row>
    <row r="4251" spans="1:15" x14ac:dyDescent="0.35">
      <c r="A4251" t="s">
        <v>5252</v>
      </c>
      <c r="B4251" s="2">
        <v>45969</v>
      </c>
      <c r="C4251" t="s">
        <v>36</v>
      </c>
      <c r="D4251" t="s">
        <v>38</v>
      </c>
      <c r="E4251" t="s">
        <v>30</v>
      </c>
      <c r="F4251" t="s">
        <v>31</v>
      </c>
      <c r="G4251">
        <v>3</v>
      </c>
      <c r="H4251">
        <v>2.8</v>
      </c>
      <c r="I4251" t="s">
        <v>39</v>
      </c>
      <c r="J4251" t="s">
        <v>817</v>
      </c>
      <c r="K4251" s="12">
        <f>Store_Record[[#This Row],[Qty]]*Store_Record[[#This Row],[UnitPriceGBP]]</f>
        <v>8.3999999999999986</v>
      </c>
      <c r="L4251" s="5" t="str">
        <f>TEXT(Store_Record[[#This Row],[Date]],"dddd")</f>
        <v>Saturday</v>
      </c>
      <c r="M4251" s="5" t="str">
        <f>TEXT(Store_Record[[#This Row],[Date]],"mmmm")</f>
        <v>November</v>
      </c>
      <c r="N4251" s="5">
        <f>YEAR(Store_Record[[#This Row],[Date]])</f>
        <v>2025</v>
      </c>
      <c r="O4251"/>
    </row>
    <row r="4252" spans="1:15" x14ac:dyDescent="0.35">
      <c r="A4252" t="s">
        <v>5231</v>
      </c>
      <c r="B4252" s="2">
        <v>45969</v>
      </c>
      <c r="C4252" t="s">
        <v>24</v>
      </c>
      <c r="D4252" t="s">
        <v>25</v>
      </c>
      <c r="E4252" t="s">
        <v>42</v>
      </c>
      <c r="F4252" t="s">
        <v>13</v>
      </c>
      <c r="G4252">
        <v>2</v>
      </c>
      <c r="H4252">
        <v>3.8</v>
      </c>
      <c r="I4252" t="s">
        <v>14</v>
      </c>
      <c r="J4252" t="s">
        <v>430</v>
      </c>
      <c r="K4252" s="12">
        <f>Store_Record[[#This Row],[Qty]]*Store_Record[[#This Row],[UnitPriceGBP]]</f>
        <v>7.6</v>
      </c>
      <c r="L4252" s="5" t="str">
        <f>TEXT(Store_Record[[#This Row],[Date]],"dddd")</f>
        <v>Saturday</v>
      </c>
      <c r="M4252" s="5" t="str">
        <f>TEXT(Store_Record[[#This Row],[Date]],"mmmm")</f>
        <v>November</v>
      </c>
      <c r="N4252" s="5">
        <f>YEAR(Store_Record[[#This Row],[Date]])</f>
        <v>2025</v>
      </c>
      <c r="O4252"/>
    </row>
    <row r="4253" spans="1:15" x14ac:dyDescent="0.35">
      <c r="A4253" t="s">
        <v>5235</v>
      </c>
      <c r="B4253" s="2">
        <v>45969</v>
      </c>
      <c r="C4253" t="s">
        <v>10</v>
      </c>
      <c r="D4253" t="s">
        <v>11</v>
      </c>
      <c r="E4253" t="s">
        <v>42</v>
      </c>
      <c r="F4253" t="s">
        <v>13</v>
      </c>
      <c r="G4253">
        <v>2</v>
      </c>
      <c r="H4253">
        <v>3.8</v>
      </c>
      <c r="I4253" t="s">
        <v>14</v>
      </c>
      <c r="J4253" t="s">
        <v>3605</v>
      </c>
      <c r="K4253" s="12">
        <f>Store_Record[[#This Row],[Qty]]*Store_Record[[#This Row],[UnitPriceGBP]]</f>
        <v>7.6</v>
      </c>
      <c r="L4253" s="5" t="str">
        <f>TEXT(Store_Record[[#This Row],[Date]],"dddd")</f>
        <v>Saturday</v>
      </c>
      <c r="M4253" s="5" t="str">
        <f>TEXT(Store_Record[[#This Row],[Date]],"mmmm")</f>
        <v>November</v>
      </c>
      <c r="N4253" s="5">
        <f>YEAR(Store_Record[[#This Row],[Date]])</f>
        <v>2025</v>
      </c>
      <c r="O4253"/>
    </row>
    <row r="4254" spans="1:15" x14ac:dyDescent="0.35">
      <c r="A4254" t="s">
        <v>5251</v>
      </c>
      <c r="B4254" s="2">
        <v>45969</v>
      </c>
      <c r="C4254" t="s">
        <v>10</v>
      </c>
      <c r="D4254" t="s">
        <v>25</v>
      </c>
      <c r="E4254" t="s">
        <v>12</v>
      </c>
      <c r="F4254" t="s">
        <v>13</v>
      </c>
      <c r="G4254">
        <v>3</v>
      </c>
      <c r="H4254">
        <v>2.5</v>
      </c>
      <c r="I4254" t="s">
        <v>14</v>
      </c>
      <c r="J4254" t="s">
        <v>2142</v>
      </c>
      <c r="K4254" s="12">
        <f>Store_Record[[#This Row],[Qty]]*Store_Record[[#This Row],[UnitPriceGBP]]</f>
        <v>7.5</v>
      </c>
      <c r="L4254" s="5" t="str">
        <f>TEXT(Store_Record[[#This Row],[Date]],"dddd")</f>
        <v>Saturday</v>
      </c>
      <c r="M4254" s="5" t="str">
        <f>TEXT(Store_Record[[#This Row],[Date]],"mmmm")</f>
        <v>November</v>
      </c>
      <c r="N4254" s="5">
        <f>YEAR(Store_Record[[#This Row],[Date]])</f>
        <v>2025</v>
      </c>
      <c r="O4254"/>
    </row>
    <row r="4255" spans="1:15" x14ac:dyDescent="0.35">
      <c r="A4255" t="s">
        <v>5250</v>
      </c>
      <c r="B4255" s="2">
        <v>45969</v>
      </c>
      <c r="C4255" t="s">
        <v>36</v>
      </c>
      <c r="D4255" t="s">
        <v>47</v>
      </c>
      <c r="E4255" t="s">
        <v>34</v>
      </c>
      <c r="F4255" t="s">
        <v>31</v>
      </c>
      <c r="G4255">
        <v>2</v>
      </c>
      <c r="H4255">
        <v>2.2000000000000002</v>
      </c>
      <c r="I4255" t="s">
        <v>14</v>
      </c>
      <c r="J4255" t="s">
        <v>4522</v>
      </c>
      <c r="K4255" s="12">
        <f>Store_Record[[#This Row],[Qty]]*Store_Record[[#This Row],[UnitPriceGBP]]</f>
        <v>4.4000000000000004</v>
      </c>
      <c r="L4255" s="5" t="str">
        <f>TEXT(Store_Record[[#This Row],[Date]],"dddd")</f>
        <v>Saturday</v>
      </c>
      <c r="M4255" s="5" t="str">
        <f>TEXT(Store_Record[[#This Row],[Date]],"mmmm")</f>
        <v>November</v>
      </c>
      <c r="N4255" s="5">
        <f>YEAR(Store_Record[[#This Row],[Date]])</f>
        <v>2025</v>
      </c>
      <c r="O4255"/>
    </row>
    <row r="4256" spans="1:15" x14ac:dyDescent="0.35">
      <c r="A4256" t="s">
        <v>5233</v>
      </c>
      <c r="B4256" s="2">
        <v>45969</v>
      </c>
      <c r="C4256" t="s">
        <v>10</v>
      </c>
      <c r="D4256" t="s">
        <v>11</v>
      </c>
      <c r="E4256" t="s">
        <v>26</v>
      </c>
      <c r="F4256" t="s">
        <v>13</v>
      </c>
      <c r="G4256">
        <v>1</v>
      </c>
      <c r="H4256">
        <v>3.5</v>
      </c>
      <c r="I4256" t="s">
        <v>39</v>
      </c>
      <c r="J4256" t="s">
        <v>894</v>
      </c>
      <c r="K4256" s="12">
        <f>Store_Record[[#This Row],[Qty]]*Store_Record[[#This Row],[UnitPriceGBP]]</f>
        <v>3.5</v>
      </c>
      <c r="L4256" s="5" t="str">
        <f>TEXT(Store_Record[[#This Row],[Date]],"dddd")</f>
        <v>Saturday</v>
      </c>
      <c r="M4256" s="5" t="str">
        <f>TEXT(Store_Record[[#This Row],[Date]],"mmmm")</f>
        <v>November</v>
      </c>
      <c r="N4256" s="5">
        <f>YEAR(Store_Record[[#This Row],[Date]])</f>
        <v>2025</v>
      </c>
      <c r="O4256"/>
    </row>
    <row r="4257" spans="1:15" x14ac:dyDescent="0.35">
      <c r="A4257" t="s">
        <v>5245</v>
      </c>
      <c r="B4257" s="2">
        <v>45969</v>
      </c>
      <c r="C4257" t="s">
        <v>10</v>
      </c>
      <c r="D4257" t="s">
        <v>11</v>
      </c>
      <c r="E4257" t="s">
        <v>12</v>
      </c>
      <c r="F4257" t="s">
        <v>13</v>
      </c>
      <c r="G4257">
        <v>1</v>
      </c>
      <c r="H4257">
        <v>2.5</v>
      </c>
      <c r="I4257" t="s">
        <v>21</v>
      </c>
      <c r="J4257" t="s">
        <v>834</v>
      </c>
      <c r="K4257" s="12">
        <f>Store_Record[[#This Row],[Qty]]*Store_Record[[#This Row],[UnitPriceGBP]]</f>
        <v>2.5</v>
      </c>
      <c r="L4257" s="5" t="str">
        <f>TEXT(Store_Record[[#This Row],[Date]],"dddd")</f>
        <v>Saturday</v>
      </c>
      <c r="M4257" s="5" t="str">
        <f>TEXT(Store_Record[[#This Row],[Date]],"mmmm")</f>
        <v>November</v>
      </c>
      <c r="N4257" s="5">
        <f>YEAR(Store_Record[[#This Row],[Date]])</f>
        <v>2025</v>
      </c>
      <c r="O4257"/>
    </row>
    <row r="4258" spans="1:15" x14ac:dyDescent="0.35">
      <c r="A4258" t="s">
        <v>5249</v>
      </c>
      <c r="B4258" s="2">
        <v>45969</v>
      </c>
      <c r="C4258" t="s">
        <v>10</v>
      </c>
      <c r="D4258" t="s">
        <v>25</v>
      </c>
      <c r="E4258" t="s">
        <v>12</v>
      </c>
      <c r="F4258" t="s">
        <v>13</v>
      </c>
      <c r="G4258">
        <v>1</v>
      </c>
      <c r="H4258">
        <v>2.5</v>
      </c>
      <c r="I4258" t="s">
        <v>39</v>
      </c>
      <c r="J4258" t="s">
        <v>2880</v>
      </c>
      <c r="K4258" s="12">
        <f>Store_Record[[#This Row],[Qty]]*Store_Record[[#This Row],[UnitPriceGBP]]</f>
        <v>2.5</v>
      </c>
      <c r="L4258" s="5" t="str">
        <f>TEXT(Store_Record[[#This Row],[Date]],"dddd")</f>
        <v>Saturday</v>
      </c>
      <c r="M4258" s="5" t="str">
        <f>TEXT(Store_Record[[#This Row],[Date]],"mmmm")</f>
        <v>November</v>
      </c>
      <c r="N4258" s="5">
        <f>YEAR(Store_Record[[#This Row],[Date]])</f>
        <v>2025</v>
      </c>
      <c r="O4258"/>
    </row>
    <row r="4259" spans="1:15" x14ac:dyDescent="0.35">
      <c r="A4259" t="s">
        <v>5240</v>
      </c>
      <c r="B4259" s="2">
        <v>45969</v>
      </c>
      <c r="C4259" t="s">
        <v>10</v>
      </c>
      <c r="D4259" t="s">
        <v>25</v>
      </c>
      <c r="E4259" t="s">
        <v>34</v>
      </c>
      <c r="F4259" t="s">
        <v>31</v>
      </c>
      <c r="G4259">
        <v>1</v>
      </c>
      <c r="H4259">
        <v>2.2000000000000002</v>
      </c>
      <c r="I4259" t="s">
        <v>39</v>
      </c>
      <c r="J4259" t="s">
        <v>2267</v>
      </c>
      <c r="K4259" s="12">
        <f>Store_Record[[#This Row],[Qty]]*Store_Record[[#This Row],[UnitPriceGBP]]</f>
        <v>2.2000000000000002</v>
      </c>
      <c r="L4259" s="5" t="str">
        <f>TEXT(Store_Record[[#This Row],[Date]],"dddd")</f>
        <v>Saturday</v>
      </c>
      <c r="M4259" s="5" t="str">
        <f>TEXT(Store_Record[[#This Row],[Date]],"mmmm")</f>
        <v>November</v>
      </c>
      <c r="N4259" s="5">
        <f>YEAR(Store_Record[[#This Row],[Date]])</f>
        <v>2025</v>
      </c>
      <c r="O4259"/>
    </row>
    <row r="4260" spans="1:15" x14ac:dyDescent="0.35">
      <c r="A4260" t="s">
        <v>5246</v>
      </c>
      <c r="B4260" s="2">
        <v>45969</v>
      </c>
      <c r="C4260" t="s">
        <v>10</v>
      </c>
      <c r="D4260" t="s">
        <v>11</v>
      </c>
      <c r="E4260" t="s">
        <v>34</v>
      </c>
      <c r="F4260" t="s">
        <v>31</v>
      </c>
      <c r="G4260">
        <v>1</v>
      </c>
      <c r="H4260">
        <v>2.2000000000000002</v>
      </c>
      <c r="I4260" t="s">
        <v>39</v>
      </c>
      <c r="J4260" t="s">
        <v>1290</v>
      </c>
      <c r="K4260" s="12">
        <f>Store_Record[[#This Row],[Qty]]*Store_Record[[#This Row],[UnitPriceGBP]]</f>
        <v>2.2000000000000002</v>
      </c>
      <c r="L4260" s="5" t="str">
        <f>TEXT(Store_Record[[#This Row],[Date]],"dddd")</f>
        <v>Saturday</v>
      </c>
      <c r="M4260" s="5" t="str">
        <f>TEXT(Store_Record[[#This Row],[Date]],"mmmm")</f>
        <v>November</v>
      </c>
      <c r="N4260" s="5">
        <f>YEAR(Store_Record[[#This Row],[Date]])</f>
        <v>2025</v>
      </c>
      <c r="O4260"/>
    </row>
    <row r="4261" spans="1:15" x14ac:dyDescent="0.35">
      <c r="A4261" t="s">
        <v>5248</v>
      </c>
      <c r="B4261" s="2">
        <v>45969</v>
      </c>
      <c r="C4261" t="s">
        <v>20</v>
      </c>
      <c r="D4261" t="s">
        <v>38</v>
      </c>
      <c r="E4261" t="s">
        <v>34</v>
      </c>
      <c r="F4261" t="s">
        <v>31</v>
      </c>
      <c r="G4261">
        <v>1</v>
      </c>
      <c r="H4261">
        <v>2.2000000000000002</v>
      </c>
      <c r="I4261" t="s">
        <v>14</v>
      </c>
      <c r="J4261" t="s">
        <v>423</v>
      </c>
      <c r="K4261" s="12">
        <f>Store_Record[[#This Row],[Qty]]*Store_Record[[#This Row],[UnitPriceGBP]]</f>
        <v>2.2000000000000002</v>
      </c>
      <c r="L4261" s="5" t="str">
        <f>TEXT(Store_Record[[#This Row],[Date]],"dddd")</f>
        <v>Saturday</v>
      </c>
      <c r="M4261" s="5" t="str">
        <f>TEXT(Store_Record[[#This Row],[Date]],"mmmm")</f>
        <v>November</v>
      </c>
      <c r="N4261" s="5">
        <f>YEAR(Store_Record[[#This Row],[Date]])</f>
        <v>2025</v>
      </c>
      <c r="O4261"/>
    </row>
    <row r="4262" spans="1:15" x14ac:dyDescent="0.35">
      <c r="A4262" t="s">
        <v>5256</v>
      </c>
      <c r="B4262" s="2">
        <v>45970</v>
      </c>
      <c r="C4262" t="s">
        <v>36</v>
      </c>
      <c r="D4262" t="s">
        <v>47</v>
      </c>
      <c r="E4262" t="s">
        <v>26</v>
      </c>
      <c r="F4262" t="s">
        <v>13</v>
      </c>
      <c r="G4262">
        <v>4</v>
      </c>
      <c r="H4262">
        <v>3.5</v>
      </c>
      <c r="I4262" t="s">
        <v>39</v>
      </c>
      <c r="J4262" t="s">
        <v>1149</v>
      </c>
      <c r="K4262" s="12">
        <f>Store_Record[[#This Row],[Qty]]*Store_Record[[#This Row],[UnitPriceGBP]]</f>
        <v>14</v>
      </c>
      <c r="L4262" s="5" t="str">
        <f>TEXT(Store_Record[[#This Row],[Date]],"dddd")</f>
        <v>Sunday</v>
      </c>
      <c r="M4262" s="5" t="str">
        <f>TEXT(Store_Record[[#This Row],[Date]],"mmmm")</f>
        <v>November</v>
      </c>
      <c r="N4262" s="5">
        <f>YEAR(Store_Record[[#This Row],[Date]])</f>
        <v>2025</v>
      </c>
      <c r="O4262"/>
    </row>
    <row r="4263" spans="1:15" x14ac:dyDescent="0.35">
      <c r="A4263" t="s">
        <v>5255</v>
      </c>
      <c r="B4263" s="2">
        <v>45970</v>
      </c>
      <c r="C4263" t="s">
        <v>10</v>
      </c>
      <c r="D4263" t="s">
        <v>11</v>
      </c>
      <c r="E4263" t="s">
        <v>12</v>
      </c>
      <c r="F4263" t="s">
        <v>13</v>
      </c>
      <c r="G4263">
        <v>5</v>
      </c>
      <c r="H4263">
        <v>2.5</v>
      </c>
      <c r="I4263" t="s">
        <v>39</v>
      </c>
      <c r="J4263" t="s">
        <v>2839</v>
      </c>
      <c r="K4263" s="12">
        <f>Store_Record[[#This Row],[Qty]]*Store_Record[[#This Row],[UnitPriceGBP]]</f>
        <v>12.5</v>
      </c>
      <c r="L4263" s="5" t="str">
        <f>TEXT(Store_Record[[#This Row],[Date]],"dddd")</f>
        <v>Sunday</v>
      </c>
      <c r="M4263" s="5" t="str">
        <f>TEXT(Store_Record[[#This Row],[Date]],"mmmm")</f>
        <v>November</v>
      </c>
      <c r="N4263" s="5">
        <f>YEAR(Store_Record[[#This Row],[Date]])</f>
        <v>2025</v>
      </c>
      <c r="O4263"/>
    </row>
    <row r="4264" spans="1:15" x14ac:dyDescent="0.35">
      <c r="A4264" t="s">
        <v>5258</v>
      </c>
      <c r="B4264" s="2">
        <v>45970</v>
      </c>
      <c r="C4264" t="s">
        <v>24</v>
      </c>
      <c r="D4264" t="s">
        <v>11</v>
      </c>
      <c r="E4264" t="s">
        <v>12</v>
      </c>
      <c r="F4264" t="s">
        <v>13</v>
      </c>
      <c r="G4264">
        <v>5</v>
      </c>
      <c r="H4264">
        <v>2.5</v>
      </c>
      <c r="I4264" t="s">
        <v>14</v>
      </c>
      <c r="J4264" t="s">
        <v>918</v>
      </c>
      <c r="K4264" s="12">
        <f>Store_Record[[#This Row],[Qty]]*Store_Record[[#This Row],[UnitPriceGBP]]</f>
        <v>12.5</v>
      </c>
      <c r="L4264" s="5" t="str">
        <f>TEXT(Store_Record[[#This Row],[Date]],"dddd")</f>
        <v>Sunday</v>
      </c>
      <c r="M4264" s="5" t="str">
        <f>TEXT(Store_Record[[#This Row],[Date]],"mmmm")</f>
        <v>November</v>
      </c>
      <c r="N4264" s="5">
        <f>YEAR(Store_Record[[#This Row],[Date]])</f>
        <v>2025</v>
      </c>
      <c r="O4264"/>
    </row>
    <row r="4265" spans="1:15" x14ac:dyDescent="0.35">
      <c r="A4265" t="s">
        <v>5259</v>
      </c>
      <c r="B4265" s="2">
        <v>45970</v>
      </c>
      <c r="C4265" t="s">
        <v>36</v>
      </c>
      <c r="D4265" t="s">
        <v>25</v>
      </c>
      <c r="E4265" t="s">
        <v>30</v>
      </c>
      <c r="F4265" t="s">
        <v>31</v>
      </c>
      <c r="G4265">
        <v>4</v>
      </c>
      <c r="H4265">
        <v>2.8</v>
      </c>
      <c r="I4265" t="s">
        <v>39</v>
      </c>
      <c r="J4265" t="s">
        <v>2457</v>
      </c>
      <c r="K4265" s="12">
        <f>Store_Record[[#This Row],[Qty]]*Store_Record[[#This Row],[UnitPriceGBP]]</f>
        <v>11.2</v>
      </c>
      <c r="L4265" s="5" t="str">
        <f>TEXT(Store_Record[[#This Row],[Date]],"dddd")</f>
        <v>Sunday</v>
      </c>
      <c r="M4265" s="5" t="str">
        <f>TEXT(Store_Record[[#This Row],[Date]],"mmmm")</f>
        <v>November</v>
      </c>
      <c r="N4265" s="5">
        <f>YEAR(Store_Record[[#This Row],[Date]])</f>
        <v>2025</v>
      </c>
      <c r="O4265"/>
    </row>
    <row r="4266" spans="1:15" x14ac:dyDescent="0.35">
      <c r="A4266" t="s">
        <v>5254</v>
      </c>
      <c r="B4266" s="2">
        <v>45970</v>
      </c>
      <c r="C4266" t="s">
        <v>10</v>
      </c>
      <c r="D4266" t="s">
        <v>11</v>
      </c>
      <c r="E4266" t="s">
        <v>34</v>
      </c>
      <c r="F4266" t="s">
        <v>31</v>
      </c>
      <c r="G4266">
        <v>5</v>
      </c>
      <c r="H4266">
        <v>2.2000000000000002</v>
      </c>
      <c r="I4266" t="s">
        <v>21</v>
      </c>
      <c r="J4266" t="s">
        <v>3018</v>
      </c>
      <c r="K4266" s="12">
        <f>Store_Record[[#This Row],[Qty]]*Store_Record[[#This Row],[UnitPriceGBP]]</f>
        <v>11</v>
      </c>
      <c r="L4266" s="5" t="str">
        <f>TEXT(Store_Record[[#This Row],[Date]],"dddd")</f>
        <v>Sunday</v>
      </c>
      <c r="M4266" s="5" t="str">
        <f>TEXT(Store_Record[[#This Row],[Date]],"mmmm")</f>
        <v>November</v>
      </c>
      <c r="N4266" s="5">
        <f>YEAR(Store_Record[[#This Row],[Date]])</f>
        <v>2025</v>
      </c>
      <c r="O4266"/>
    </row>
    <row r="4267" spans="1:15" x14ac:dyDescent="0.35">
      <c r="A4267" t="s">
        <v>5262</v>
      </c>
      <c r="B4267" s="2">
        <v>45970</v>
      </c>
      <c r="C4267" t="s">
        <v>36</v>
      </c>
      <c r="D4267" t="s">
        <v>47</v>
      </c>
      <c r="E4267" t="s">
        <v>26</v>
      </c>
      <c r="F4267" t="s">
        <v>13</v>
      </c>
      <c r="G4267">
        <v>3</v>
      </c>
      <c r="H4267">
        <v>3.5</v>
      </c>
      <c r="I4267" t="s">
        <v>14</v>
      </c>
      <c r="J4267" t="s">
        <v>1524</v>
      </c>
      <c r="K4267" s="12">
        <f>Store_Record[[#This Row],[Qty]]*Store_Record[[#This Row],[UnitPriceGBP]]</f>
        <v>10.5</v>
      </c>
      <c r="L4267" s="5" t="str">
        <f>TEXT(Store_Record[[#This Row],[Date]],"dddd")</f>
        <v>Sunday</v>
      </c>
      <c r="M4267" s="5" t="str">
        <f>TEXT(Store_Record[[#This Row],[Date]],"mmmm")</f>
        <v>November</v>
      </c>
      <c r="N4267" s="5">
        <f>YEAR(Store_Record[[#This Row],[Date]])</f>
        <v>2025</v>
      </c>
      <c r="O4267"/>
    </row>
    <row r="4268" spans="1:15" x14ac:dyDescent="0.35">
      <c r="A4268" t="s">
        <v>5253</v>
      </c>
      <c r="B4268" s="2">
        <v>45970</v>
      </c>
      <c r="C4268" t="s">
        <v>24</v>
      </c>
      <c r="D4268" t="s">
        <v>25</v>
      </c>
      <c r="E4268" t="s">
        <v>12</v>
      </c>
      <c r="F4268" t="s">
        <v>13</v>
      </c>
      <c r="G4268">
        <v>4</v>
      </c>
      <c r="H4268">
        <v>2.5</v>
      </c>
      <c r="I4268" t="s">
        <v>39</v>
      </c>
      <c r="J4268" t="s">
        <v>3871</v>
      </c>
      <c r="K4268" s="12">
        <f>Store_Record[[#This Row],[Qty]]*Store_Record[[#This Row],[UnitPriceGBP]]</f>
        <v>10</v>
      </c>
      <c r="L4268" s="5" t="str">
        <f>TEXT(Store_Record[[#This Row],[Date]],"dddd")</f>
        <v>Sunday</v>
      </c>
      <c r="M4268" s="5" t="str">
        <f>TEXT(Store_Record[[#This Row],[Date]],"mmmm")</f>
        <v>November</v>
      </c>
      <c r="N4268" s="5">
        <f>YEAR(Store_Record[[#This Row],[Date]])</f>
        <v>2025</v>
      </c>
      <c r="O4268"/>
    </row>
    <row r="4269" spans="1:15" x14ac:dyDescent="0.35">
      <c r="A4269" t="s">
        <v>5261</v>
      </c>
      <c r="B4269" s="2">
        <v>45970</v>
      </c>
      <c r="C4269" t="s">
        <v>36</v>
      </c>
      <c r="D4269" t="s">
        <v>11</v>
      </c>
      <c r="E4269" t="s">
        <v>12</v>
      </c>
      <c r="F4269" t="s">
        <v>13</v>
      </c>
      <c r="G4269">
        <v>4</v>
      </c>
      <c r="H4269">
        <v>2.5</v>
      </c>
      <c r="I4269" t="s">
        <v>21</v>
      </c>
      <c r="J4269" t="s">
        <v>4252</v>
      </c>
      <c r="K4269" s="12">
        <f>Store_Record[[#This Row],[Qty]]*Store_Record[[#This Row],[UnitPriceGBP]]</f>
        <v>10</v>
      </c>
      <c r="L4269" s="5" t="str">
        <f>TEXT(Store_Record[[#This Row],[Date]],"dddd")</f>
        <v>Sunday</v>
      </c>
      <c r="M4269" s="5" t="str">
        <f>TEXT(Store_Record[[#This Row],[Date]],"mmmm")</f>
        <v>November</v>
      </c>
      <c r="N4269" s="5">
        <f>YEAR(Store_Record[[#This Row],[Date]])</f>
        <v>2025</v>
      </c>
      <c r="O4269"/>
    </row>
    <row r="4270" spans="1:15" x14ac:dyDescent="0.35">
      <c r="A4270" t="s">
        <v>5260</v>
      </c>
      <c r="B4270" s="2">
        <v>45970</v>
      </c>
      <c r="C4270" t="s">
        <v>10</v>
      </c>
      <c r="D4270" t="s">
        <v>29</v>
      </c>
      <c r="E4270" t="s">
        <v>30</v>
      </c>
      <c r="F4270" t="s">
        <v>31</v>
      </c>
      <c r="G4270">
        <v>3</v>
      </c>
      <c r="H4270">
        <v>2.8</v>
      </c>
      <c r="I4270" t="s">
        <v>14</v>
      </c>
      <c r="J4270" t="s">
        <v>938</v>
      </c>
      <c r="K4270" s="12">
        <f>Store_Record[[#This Row],[Qty]]*Store_Record[[#This Row],[UnitPriceGBP]]</f>
        <v>8.3999999999999986</v>
      </c>
      <c r="L4270" s="5" t="str">
        <f>TEXT(Store_Record[[#This Row],[Date]],"dddd")</f>
        <v>Sunday</v>
      </c>
      <c r="M4270" s="5" t="str">
        <f>TEXT(Store_Record[[#This Row],[Date]],"mmmm")</f>
        <v>November</v>
      </c>
      <c r="N4270" s="5">
        <f>YEAR(Store_Record[[#This Row],[Date]])</f>
        <v>2025</v>
      </c>
      <c r="O4270"/>
    </row>
    <row r="4271" spans="1:15" x14ac:dyDescent="0.35">
      <c r="A4271" t="s">
        <v>5257</v>
      </c>
      <c r="B4271" s="2">
        <v>45970</v>
      </c>
      <c r="C4271" t="s">
        <v>10</v>
      </c>
      <c r="D4271" t="s">
        <v>38</v>
      </c>
      <c r="E4271" t="s">
        <v>42</v>
      </c>
      <c r="F4271" t="s">
        <v>13</v>
      </c>
      <c r="G4271">
        <v>2</v>
      </c>
      <c r="H4271">
        <v>3.8</v>
      </c>
      <c r="I4271" t="s">
        <v>39</v>
      </c>
      <c r="J4271" t="s">
        <v>1596</v>
      </c>
      <c r="K4271" s="12">
        <f>Store_Record[[#This Row],[Qty]]*Store_Record[[#This Row],[UnitPriceGBP]]</f>
        <v>7.6</v>
      </c>
      <c r="L4271" s="5" t="str">
        <f>TEXT(Store_Record[[#This Row],[Date]],"dddd")</f>
        <v>Sunday</v>
      </c>
      <c r="M4271" s="5" t="str">
        <f>TEXT(Store_Record[[#This Row],[Date]],"mmmm")</f>
        <v>November</v>
      </c>
      <c r="N4271" s="5">
        <f>YEAR(Store_Record[[#This Row],[Date]])</f>
        <v>2025</v>
      </c>
      <c r="O4271"/>
    </row>
    <row r="4272" spans="1:15" x14ac:dyDescent="0.35">
      <c r="A4272" t="s">
        <v>5263</v>
      </c>
      <c r="B4272" s="2">
        <v>45970</v>
      </c>
      <c r="C4272" t="s">
        <v>10</v>
      </c>
      <c r="D4272" t="s">
        <v>11</v>
      </c>
      <c r="E4272" t="s">
        <v>34</v>
      </c>
      <c r="F4272" t="s">
        <v>31</v>
      </c>
      <c r="G4272">
        <v>3</v>
      </c>
      <c r="H4272">
        <v>2.2000000000000002</v>
      </c>
      <c r="I4272" t="s">
        <v>39</v>
      </c>
      <c r="J4272" t="s">
        <v>413</v>
      </c>
      <c r="K4272" s="12">
        <f>Store_Record[[#This Row],[Qty]]*Store_Record[[#This Row],[UnitPriceGBP]]</f>
        <v>6.6000000000000005</v>
      </c>
      <c r="L4272" s="5" t="str">
        <f>TEXT(Store_Record[[#This Row],[Date]],"dddd")</f>
        <v>Sunday</v>
      </c>
      <c r="M4272" s="5" t="str">
        <f>TEXT(Store_Record[[#This Row],[Date]],"mmmm")</f>
        <v>November</v>
      </c>
      <c r="N4272" s="5">
        <f>YEAR(Store_Record[[#This Row],[Date]])</f>
        <v>2025</v>
      </c>
      <c r="O4272"/>
    </row>
    <row r="4273" spans="1:15" x14ac:dyDescent="0.35">
      <c r="A4273" t="s">
        <v>5269</v>
      </c>
      <c r="B4273" s="2">
        <v>45971</v>
      </c>
      <c r="C4273" t="s">
        <v>10</v>
      </c>
      <c r="D4273" t="s">
        <v>38</v>
      </c>
      <c r="E4273" t="s">
        <v>42</v>
      </c>
      <c r="F4273" t="s">
        <v>13</v>
      </c>
      <c r="G4273">
        <v>5</v>
      </c>
      <c r="H4273">
        <v>3.8</v>
      </c>
      <c r="I4273" t="s">
        <v>39</v>
      </c>
      <c r="J4273" t="s">
        <v>972</v>
      </c>
      <c r="K4273" s="12">
        <f>Store_Record[[#This Row],[Qty]]*Store_Record[[#This Row],[UnitPriceGBP]]</f>
        <v>19</v>
      </c>
      <c r="L4273" s="5" t="str">
        <f>TEXT(Store_Record[[#This Row],[Date]],"dddd")</f>
        <v>Monday</v>
      </c>
      <c r="M4273" s="5" t="str">
        <f>TEXT(Store_Record[[#This Row],[Date]],"mmmm")</f>
        <v>November</v>
      </c>
      <c r="N4273" s="5">
        <f>YEAR(Store_Record[[#This Row],[Date]])</f>
        <v>2025</v>
      </c>
      <c r="O4273"/>
    </row>
    <row r="4274" spans="1:15" x14ac:dyDescent="0.35">
      <c r="A4274" t="s">
        <v>5271</v>
      </c>
      <c r="B4274" s="2">
        <v>45971</v>
      </c>
      <c r="C4274" t="s">
        <v>20</v>
      </c>
      <c r="D4274" t="s">
        <v>38</v>
      </c>
      <c r="E4274" t="s">
        <v>42</v>
      </c>
      <c r="F4274" t="s">
        <v>13</v>
      </c>
      <c r="G4274">
        <v>5</v>
      </c>
      <c r="H4274">
        <v>3.8</v>
      </c>
      <c r="I4274" t="s">
        <v>39</v>
      </c>
      <c r="J4274" t="s">
        <v>2837</v>
      </c>
      <c r="K4274" s="12">
        <f>Store_Record[[#This Row],[Qty]]*Store_Record[[#This Row],[UnitPriceGBP]]</f>
        <v>19</v>
      </c>
      <c r="L4274" s="5" t="str">
        <f>TEXT(Store_Record[[#This Row],[Date]],"dddd")</f>
        <v>Monday</v>
      </c>
      <c r="M4274" s="5" t="str">
        <f>TEXT(Store_Record[[#This Row],[Date]],"mmmm")</f>
        <v>November</v>
      </c>
      <c r="N4274" s="5">
        <f>YEAR(Store_Record[[#This Row],[Date]])</f>
        <v>2025</v>
      </c>
      <c r="O4274"/>
    </row>
    <row r="4275" spans="1:15" x14ac:dyDescent="0.35">
      <c r="A4275" t="s">
        <v>5995</v>
      </c>
      <c r="B4275" s="2">
        <v>45971</v>
      </c>
      <c r="C4275" t="s">
        <v>24</v>
      </c>
      <c r="D4275" t="s">
        <v>11</v>
      </c>
      <c r="E4275" t="s">
        <v>42</v>
      </c>
      <c r="F4275" t="s">
        <v>13</v>
      </c>
      <c r="G4275">
        <v>5</v>
      </c>
      <c r="H4275">
        <v>3.8</v>
      </c>
      <c r="I4275" t="s">
        <v>14</v>
      </c>
      <c r="J4275" t="s">
        <v>802</v>
      </c>
      <c r="K4275" s="12">
        <f>Store_Record[[#This Row],[Qty]]*Store_Record[[#This Row],[UnitPriceGBP]]</f>
        <v>19</v>
      </c>
      <c r="L4275" s="5" t="str">
        <f>TEXT(Store_Record[[#This Row],[Date]],"dddd")</f>
        <v>Monday</v>
      </c>
      <c r="M4275" s="5" t="str">
        <f>TEXT(Store_Record[[#This Row],[Date]],"mmmm")</f>
        <v>November</v>
      </c>
      <c r="N4275" s="5">
        <f>YEAR(Store_Record[[#This Row],[Date]])</f>
        <v>2025</v>
      </c>
      <c r="O4275"/>
    </row>
    <row r="4276" spans="1:15" x14ac:dyDescent="0.35">
      <c r="A4276" t="s">
        <v>5283</v>
      </c>
      <c r="B4276" s="2">
        <v>45971</v>
      </c>
      <c r="C4276" t="s">
        <v>36</v>
      </c>
      <c r="D4276" t="s">
        <v>25</v>
      </c>
      <c r="E4276" t="s">
        <v>42</v>
      </c>
      <c r="F4276" t="s">
        <v>13</v>
      </c>
      <c r="G4276">
        <v>4</v>
      </c>
      <c r="H4276">
        <v>3.8</v>
      </c>
      <c r="I4276" t="s">
        <v>39</v>
      </c>
      <c r="J4276" t="s">
        <v>2681</v>
      </c>
      <c r="K4276" s="12">
        <f>Store_Record[[#This Row],[Qty]]*Store_Record[[#This Row],[UnitPriceGBP]]</f>
        <v>15.2</v>
      </c>
      <c r="L4276" s="5" t="str">
        <f>TEXT(Store_Record[[#This Row],[Date]],"dddd")</f>
        <v>Monday</v>
      </c>
      <c r="M4276" s="5" t="str">
        <f>TEXT(Store_Record[[#This Row],[Date]],"mmmm")</f>
        <v>November</v>
      </c>
      <c r="N4276" s="5">
        <f>YEAR(Store_Record[[#This Row],[Date]])</f>
        <v>2025</v>
      </c>
      <c r="O4276"/>
    </row>
    <row r="4277" spans="1:15" x14ac:dyDescent="0.35">
      <c r="A4277" t="s">
        <v>5267</v>
      </c>
      <c r="B4277" s="2">
        <v>45971</v>
      </c>
      <c r="C4277" t="s">
        <v>24</v>
      </c>
      <c r="D4277" t="s">
        <v>47</v>
      </c>
      <c r="E4277" t="s">
        <v>26</v>
      </c>
      <c r="F4277" t="s">
        <v>13</v>
      </c>
      <c r="G4277">
        <v>4</v>
      </c>
      <c r="H4277">
        <v>3.5</v>
      </c>
      <c r="I4277" t="s">
        <v>39</v>
      </c>
      <c r="J4277" t="s">
        <v>2833</v>
      </c>
      <c r="K4277" s="12">
        <f>Store_Record[[#This Row],[Qty]]*Store_Record[[#This Row],[UnitPriceGBP]]</f>
        <v>14</v>
      </c>
      <c r="L4277" s="5" t="str">
        <f>TEXT(Store_Record[[#This Row],[Date]],"dddd")</f>
        <v>Monday</v>
      </c>
      <c r="M4277" s="5" t="str">
        <f>TEXT(Store_Record[[#This Row],[Date]],"mmmm")</f>
        <v>November</v>
      </c>
      <c r="N4277" s="5">
        <f>YEAR(Store_Record[[#This Row],[Date]])</f>
        <v>2025</v>
      </c>
      <c r="O4277"/>
    </row>
    <row r="4278" spans="1:15" x14ac:dyDescent="0.35">
      <c r="A4278" t="s">
        <v>5284</v>
      </c>
      <c r="B4278" s="2">
        <v>45971</v>
      </c>
      <c r="C4278" t="s">
        <v>20</v>
      </c>
      <c r="D4278" t="s">
        <v>11</v>
      </c>
      <c r="E4278" t="s">
        <v>26</v>
      </c>
      <c r="F4278" t="s">
        <v>13</v>
      </c>
      <c r="G4278">
        <v>4</v>
      </c>
      <c r="H4278">
        <v>3.5</v>
      </c>
      <c r="I4278" t="s">
        <v>21</v>
      </c>
      <c r="J4278" t="s">
        <v>1426</v>
      </c>
      <c r="K4278" s="12">
        <f>Store_Record[[#This Row],[Qty]]*Store_Record[[#This Row],[UnitPriceGBP]]</f>
        <v>14</v>
      </c>
      <c r="L4278" s="5" t="str">
        <f>TEXT(Store_Record[[#This Row],[Date]],"dddd")</f>
        <v>Monday</v>
      </c>
      <c r="M4278" s="5" t="str">
        <f>TEXT(Store_Record[[#This Row],[Date]],"mmmm")</f>
        <v>November</v>
      </c>
      <c r="N4278" s="5">
        <f>YEAR(Store_Record[[#This Row],[Date]])</f>
        <v>2025</v>
      </c>
      <c r="O4278"/>
    </row>
    <row r="4279" spans="1:15" x14ac:dyDescent="0.35">
      <c r="A4279" t="s">
        <v>5277</v>
      </c>
      <c r="B4279" s="2">
        <v>45971</v>
      </c>
      <c r="C4279" t="s">
        <v>10</v>
      </c>
      <c r="D4279" t="s">
        <v>38</v>
      </c>
      <c r="E4279" t="s">
        <v>12</v>
      </c>
      <c r="F4279" t="s">
        <v>13</v>
      </c>
      <c r="G4279">
        <v>5</v>
      </c>
      <c r="H4279">
        <v>2.5</v>
      </c>
      <c r="I4279" t="s">
        <v>21</v>
      </c>
      <c r="J4279" t="s">
        <v>133</v>
      </c>
      <c r="K4279" s="12">
        <f>Store_Record[[#This Row],[Qty]]*Store_Record[[#This Row],[UnitPriceGBP]]</f>
        <v>12.5</v>
      </c>
      <c r="L4279" s="5" t="str">
        <f>TEXT(Store_Record[[#This Row],[Date]],"dddd")</f>
        <v>Monday</v>
      </c>
      <c r="M4279" s="5" t="str">
        <f>TEXT(Store_Record[[#This Row],[Date]],"mmmm")</f>
        <v>November</v>
      </c>
      <c r="N4279" s="5">
        <f>YEAR(Store_Record[[#This Row],[Date]])</f>
        <v>2025</v>
      </c>
      <c r="O4279"/>
    </row>
    <row r="4280" spans="1:15" x14ac:dyDescent="0.35">
      <c r="A4280" t="s">
        <v>5280</v>
      </c>
      <c r="B4280" s="2">
        <v>45971</v>
      </c>
      <c r="C4280" t="s">
        <v>10</v>
      </c>
      <c r="D4280" t="s">
        <v>25</v>
      </c>
      <c r="E4280" t="s">
        <v>12</v>
      </c>
      <c r="F4280" t="s">
        <v>13</v>
      </c>
      <c r="G4280">
        <v>5</v>
      </c>
      <c r="H4280">
        <v>2.5</v>
      </c>
      <c r="I4280" t="s">
        <v>14</v>
      </c>
      <c r="J4280" t="s">
        <v>2119</v>
      </c>
      <c r="K4280" s="12">
        <f>Store_Record[[#This Row],[Qty]]*Store_Record[[#This Row],[UnitPriceGBP]]</f>
        <v>12.5</v>
      </c>
      <c r="L4280" s="5" t="str">
        <f>TEXT(Store_Record[[#This Row],[Date]],"dddd")</f>
        <v>Monday</v>
      </c>
      <c r="M4280" s="5" t="str">
        <f>TEXT(Store_Record[[#This Row],[Date]],"mmmm")</f>
        <v>November</v>
      </c>
      <c r="N4280" s="5">
        <f>YEAR(Store_Record[[#This Row],[Date]])</f>
        <v>2025</v>
      </c>
      <c r="O4280"/>
    </row>
    <row r="4281" spans="1:15" x14ac:dyDescent="0.35">
      <c r="A4281" t="s">
        <v>5265</v>
      </c>
      <c r="B4281" s="2">
        <v>45971</v>
      </c>
      <c r="C4281" t="s">
        <v>10</v>
      </c>
      <c r="D4281" t="s">
        <v>38</v>
      </c>
      <c r="E4281" t="s">
        <v>30</v>
      </c>
      <c r="F4281" t="s">
        <v>31</v>
      </c>
      <c r="G4281">
        <v>4</v>
      </c>
      <c r="H4281">
        <v>2.8</v>
      </c>
      <c r="I4281" t="s">
        <v>39</v>
      </c>
      <c r="J4281" t="s">
        <v>1130</v>
      </c>
      <c r="K4281" s="12">
        <f>Store_Record[[#This Row],[Qty]]*Store_Record[[#This Row],[UnitPriceGBP]]</f>
        <v>11.2</v>
      </c>
      <c r="L4281" s="5" t="str">
        <f>TEXT(Store_Record[[#This Row],[Date]],"dddd")</f>
        <v>Monday</v>
      </c>
      <c r="M4281" s="5" t="str">
        <f>TEXT(Store_Record[[#This Row],[Date]],"mmmm")</f>
        <v>November</v>
      </c>
      <c r="N4281" s="5">
        <f>YEAR(Store_Record[[#This Row],[Date]])</f>
        <v>2025</v>
      </c>
      <c r="O4281"/>
    </row>
    <row r="4282" spans="1:15" x14ac:dyDescent="0.35">
      <c r="A4282" t="s">
        <v>5266</v>
      </c>
      <c r="B4282" s="2">
        <v>45971</v>
      </c>
      <c r="C4282" t="s">
        <v>10</v>
      </c>
      <c r="D4282" t="s">
        <v>25</v>
      </c>
      <c r="E4282" t="s">
        <v>30</v>
      </c>
      <c r="F4282" t="s">
        <v>31</v>
      </c>
      <c r="G4282">
        <v>4</v>
      </c>
      <c r="H4282">
        <v>2.8</v>
      </c>
      <c r="I4282" t="s">
        <v>14</v>
      </c>
      <c r="J4282" t="s">
        <v>2055</v>
      </c>
      <c r="K4282" s="12">
        <f>Store_Record[[#This Row],[Qty]]*Store_Record[[#This Row],[UnitPriceGBP]]</f>
        <v>11.2</v>
      </c>
      <c r="L4282" s="5" t="str">
        <f>TEXT(Store_Record[[#This Row],[Date]],"dddd")</f>
        <v>Monday</v>
      </c>
      <c r="M4282" s="5" t="str">
        <f>TEXT(Store_Record[[#This Row],[Date]],"mmmm")</f>
        <v>November</v>
      </c>
      <c r="N4282" s="5">
        <f>YEAR(Store_Record[[#This Row],[Date]])</f>
        <v>2025</v>
      </c>
      <c r="O4282"/>
    </row>
    <row r="4283" spans="1:15" x14ac:dyDescent="0.35">
      <c r="A4283" t="s">
        <v>5281</v>
      </c>
      <c r="B4283" s="2">
        <v>45971</v>
      </c>
      <c r="C4283" t="s">
        <v>36</v>
      </c>
      <c r="D4283" t="s">
        <v>47</v>
      </c>
      <c r="E4283" t="s">
        <v>34</v>
      </c>
      <c r="F4283" t="s">
        <v>31</v>
      </c>
      <c r="G4283">
        <v>5</v>
      </c>
      <c r="H4283">
        <v>2.2000000000000002</v>
      </c>
      <c r="I4283" t="s">
        <v>14</v>
      </c>
      <c r="J4283" t="s">
        <v>1181</v>
      </c>
      <c r="K4283" s="12">
        <f>Store_Record[[#This Row],[Qty]]*Store_Record[[#This Row],[UnitPriceGBP]]</f>
        <v>11</v>
      </c>
      <c r="L4283" s="5" t="str">
        <f>TEXT(Store_Record[[#This Row],[Date]],"dddd")</f>
        <v>Monday</v>
      </c>
      <c r="M4283" s="5" t="str">
        <f>TEXT(Store_Record[[#This Row],[Date]],"mmmm")</f>
        <v>November</v>
      </c>
      <c r="N4283" s="5">
        <f>YEAR(Store_Record[[#This Row],[Date]])</f>
        <v>2025</v>
      </c>
      <c r="O4283"/>
    </row>
    <row r="4284" spans="1:15" x14ac:dyDescent="0.35">
      <c r="A4284" t="s">
        <v>5288</v>
      </c>
      <c r="B4284" s="2">
        <v>45971</v>
      </c>
      <c r="C4284" t="s">
        <v>20</v>
      </c>
      <c r="D4284" t="s">
        <v>47</v>
      </c>
      <c r="E4284" t="s">
        <v>34</v>
      </c>
      <c r="F4284" t="s">
        <v>31</v>
      </c>
      <c r="G4284">
        <v>5</v>
      </c>
      <c r="H4284">
        <v>2.2000000000000002</v>
      </c>
      <c r="I4284" t="s">
        <v>21</v>
      </c>
      <c r="J4284" t="s">
        <v>27</v>
      </c>
      <c r="K4284" s="12">
        <f>Store_Record[[#This Row],[Qty]]*Store_Record[[#This Row],[UnitPriceGBP]]</f>
        <v>11</v>
      </c>
      <c r="L4284" s="5" t="str">
        <f>TEXT(Store_Record[[#This Row],[Date]],"dddd")</f>
        <v>Monday</v>
      </c>
      <c r="M4284" s="5" t="str">
        <f>TEXT(Store_Record[[#This Row],[Date]],"mmmm")</f>
        <v>November</v>
      </c>
      <c r="N4284" s="5">
        <f>YEAR(Store_Record[[#This Row],[Date]])</f>
        <v>2025</v>
      </c>
      <c r="O4284"/>
    </row>
    <row r="4285" spans="1:15" x14ac:dyDescent="0.35">
      <c r="A4285" t="s">
        <v>5276</v>
      </c>
      <c r="B4285" s="2">
        <v>45971</v>
      </c>
      <c r="C4285" t="s">
        <v>20</v>
      </c>
      <c r="D4285" t="s">
        <v>47</v>
      </c>
      <c r="E4285" t="s">
        <v>26</v>
      </c>
      <c r="F4285" t="s">
        <v>13</v>
      </c>
      <c r="G4285">
        <v>3</v>
      </c>
      <c r="H4285">
        <v>3.5</v>
      </c>
      <c r="I4285" t="s">
        <v>21</v>
      </c>
      <c r="J4285" t="s">
        <v>2382</v>
      </c>
      <c r="K4285" s="12">
        <f>Store_Record[[#This Row],[Qty]]*Store_Record[[#This Row],[UnitPriceGBP]]</f>
        <v>10.5</v>
      </c>
      <c r="L4285" s="5" t="str">
        <f>TEXT(Store_Record[[#This Row],[Date]],"dddd")</f>
        <v>Monday</v>
      </c>
      <c r="M4285" s="5" t="str">
        <f>TEXT(Store_Record[[#This Row],[Date]],"mmmm")</f>
        <v>November</v>
      </c>
      <c r="N4285" s="5">
        <f>YEAR(Store_Record[[#This Row],[Date]])</f>
        <v>2025</v>
      </c>
      <c r="O4285"/>
    </row>
    <row r="4286" spans="1:15" x14ac:dyDescent="0.35">
      <c r="A4286" t="s">
        <v>5287</v>
      </c>
      <c r="B4286" s="2">
        <v>45971</v>
      </c>
      <c r="C4286" t="s">
        <v>24</v>
      </c>
      <c r="D4286" t="s">
        <v>29</v>
      </c>
      <c r="E4286" t="s">
        <v>12</v>
      </c>
      <c r="F4286" t="s">
        <v>13</v>
      </c>
      <c r="G4286">
        <v>4</v>
      </c>
      <c r="H4286">
        <v>2.5</v>
      </c>
      <c r="I4286" t="s">
        <v>21</v>
      </c>
      <c r="J4286" t="s">
        <v>3431</v>
      </c>
      <c r="K4286" s="12">
        <f>Store_Record[[#This Row],[Qty]]*Store_Record[[#This Row],[UnitPriceGBP]]</f>
        <v>10</v>
      </c>
      <c r="L4286" s="5" t="str">
        <f>TEXT(Store_Record[[#This Row],[Date]],"dddd")</f>
        <v>Monday</v>
      </c>
      <c r="M4286" s="5" t="str">
        <f>TEXT(Store_Record[[#This Row],[Date]],"mmmm")</f>
        <v>November</v>
      </c>
      <c r="N4286" s="5">
        <f>YEAR(Store_Record[[#This Row],[Date]])</f>
        <v>2025</v>
      </c>
      <c r="O4286"/>
    </row>
    <row r="4287" spans="1:15" x14ac:dyDescent="0.35">
      <c r="A4287" t="s">
        <v>5282</v>
      </c>
      <c r="B4287" s="2">
        <v>45971</v>
      </c>
      <c r="C4287" t="s">
        <v>20</v>
      </c>
      <c r="D4287" t="s">
        <v>47</v>
      </c>
      <c r="E4287" t="s">
        <v>34</v>
      </c>
      <c r="F4287" t="s">
        <v>31</v>
      </c>
      <c r="G4287">
        <v>4</v>
      </c>
      <c r="H4287">
        <v>2.2000000000000002</v>
      </c>
      <c r="I4287" t="s">
        <v>14</v>
      </c>
      <c r="J4287" t="s">
        <v>388</v>
      </c>
      <c r="K4287" s="12">
        <f>Store_Record[[#This Row],[Qty]]*Store_Record[[#This Row],[UnitPriceGBP]]</f>
        <v>8.8000000000000007</v>
      </c>
      <c r="L4287" s="5" t="str">
        <f>TEXT(Store_Record[[#This Row],[Date]],"dddd")</f>
        <v>Monday</v>
      </c>
      <c r="M4287" s="5" t="str">
        <f>TEXT(Store_Record[[#This Row],[Date]],"mmmm")</f>
        <v>November</v>
      </c>
      <c r="N4287" s="5">
        <f>YEAR(Store_Record[[#This Row],[Date]])</f>
        <v>2025</v>
      </c>
      <c r="O4287"/>
    </row>
    <row r="4288" spans="1:15" x14ac:dyDescent="0.35">
      <c r="A4288" t="s">
        <v>5286</v>
      </c>
      <c r="B4288" s="2">
        <v>45971</v>
      </c>
      <c r="C4288" t="s">
        <v>10</v>
      </c>
      <c r="D4288" t="s">
        <v>47</v>
      </c>
      <c r="E4288" t="s">
        <v>34</v>
      </c>
      <c r="F4288" t="s">
        <v>31</v>
      </c>
      <c r="G4288">
        <v>4</v>
      </c>
      <c r="H4288">
        <v>2.2000000000000002</v>
      </c>
      <c r="I4288" t="s">
        <v>21</v>
      </c>
      <c r="J4288" t="s">
        <v>5173</v>
      </c>
      <c r="K4288" s="12">
        <f>Store_Record[[#This Row],[Qty]]*Store_Record[[#This Row],[UnitPriceGBP]]</f>
        <v>8.8000000000000007</v>
      </c>
      <c r="L4288" s="5" t="str">
        <f>TEXT(Store_Record[[#This Row],[Date]],"dddd")</f>
        <v>Monday</v>
      </c>
      <c r="M4288" s="5" t="str">
        <f>TEXT(Store_Record[[#This Row],[Date]],"mmmm")</f>
        <v>November</v>
      </c>
      <c r="N4288" s="5">
        <f>YEAR(Store_Record[[#This Row],[Date]])</f>
        <v>2025</v>
      </c>
      <c r="O4288"/>
    </row>
    <row r="4289" spans="1:15" x14ac:dyDescent="0.35">
      <c r="A4289" t="s">
        <v>5273</v>
      </c>
      <c r="B4289" s="2">
        <v>45971</v>
      </c>
      <c r="C4289" t="s">
        <v>24</v>
      </c>
      <c r="D4289" t="s">
        <v>11</v>
      </c>
      <c r="E4289" t="s">
        <v>12</v>
      </c>
      <c r="F4289" t="s">
        <v>13</v>
      </c>
      <c r="G4289">
        <v>3</v>
      </c>
      <c r="H4289">
        <v>2.5</v>
      </c>
      <c r="I4289" t="s">
        <v>14</v>
      </c>
      <c r="J4289" t="s">
        <v>239</v>
      </c>
      <c r="K4289" s="12">
        <f>Store_Record[[#This Row],[Qty]]*Store_Record[[#This Row],[UnitPriceGBP]]</f>
        <v>7.5</v>
      </c>
      <c r="L4289" s="5" t="str">
        <f>TEXT(Store_Record[[#This Row],[Date]],"dddd")</f>
        <v>Monday</v>
      </c>
      <c r="M4289" s="5" t="str">
        <f>TEXT(Store_Record[[#This Row],[Date]],"mmmm")</f>
        <v>November</v>
      </c>
      <c r="N4289" s="5">
        <f>YEAR(Store_Record[[#This Row],[Date]])</f>
        <v>2025</v>
      </c>
      <c r="O4289"/>
    </row>
    <row r="4290" spans="1:15" x14ac:dyDescent="0.35">
      <c r="A4290" t="s">
        <v>5270</v>
      </c>
      <c r="B4290" s="2">
        <v>45971</v>
      </c>
      <c r="C4290" t="s">
        <v>36</v>
      </c>
      <c r="D4290" t="s">
        <v>11</v>
      </c>
      <c r="E4290" t="s">
        <v>12</v>
      </c>
      <c r="F4290" t="s">
        <v>13</v>
      </c>
      <c r="G4290">
        <v>2</v>
      </c>
      <c r="H4290">
        <v>2.5</v>
      </c>
      <c r="I4290" t="s">
        <v>14</v>
      </c>
      <c r="J4290" t="s">
        <v>3195</v>
      </c>
      <c r="K4290" s="12">
        <f>Store_Record[[#This Row],[Qty]]*Store_Record[[#This Row],[UnitPriceGBP]]</f>
        <v>5</v>
      </c>
      <c r="L4290" s="5" t="str">
        <f>TEXT(Store_Record[[#This Row],[Date]],"dddd")</f>
        <v>Monday</v>
      </c>
      <c r="M4290" s="5" t="str">
        <f>TEXT(Store_Record[[#This Row],[Date]],"mmmm")</f>
        <v>November</v>
      </c>
      <c r="N4290" s="5">
        <f>YEAR(Store_Record[[#This Row],[Date]])</f>
        <v>2025</v>
      </c>
      <c r="O4290"/>
    </row>
    <row r="4291" spans="1:15" x14ac:dyDescent="0.35">
      <c r="A4291" t="s">
        <v>5272</v>
      </c>
      <c r="B4291" s="2">
        <v>45971</v>
      </c>
      <c r="C4291" t="s">
        <v>24</v>
      </c>
      <c r="D4291" t="s">
        <v>29</v>
      </c>
      <c r="E4291" t="s">
        <v>42</v>
      </c>
      <c r="F4291" t="s">
        <v>13</v>
      </c>
      <c r="G4291">
        <v>1</v>
      </c>
      <c r="H4291">
        <v>3.8</v>
      </c>
      <c r="I4291" t="s">
        <v>21</v>
      </c>
      <c r="J4291" t="s">
        <v>1593</v>
      </c>
      <c r="K4291" s="12">
        <f>Store_Record[[#This Row],[Qty]]*Store_Record[[#This Row],[UnitPriceGBP]]</f>
        <v>3.8</v>
      </c>
      <c r="L4291" s="5" t="str">
        <f>TEXT(Store_Record[[#This Row],[Date]],"dddd")</f>
        <v>Monday</v>
      </c>
      <c r="M4291" s="5" t="str">
        <f>TEXT(Store_Record[[#This Row],[Date]],"mmmm")</f>
        <v>November</v>
      </c>
      <c r="N4291" s="5">
        <f>YEAR(Store_Record[[#This Row],[Date]])</f>
        <v>2025</v>
      </c>
      <c r="O4291"/>
    </row>
    <row r="4292" spans="1:15" x14ac:dyDescent="0.35">
      <c r="A4292" t="s">
        <v>5275</v>
      </c>
      <c r="B4292" s="2">
        <v>45971</v>
      </c>
      <c r="C4292" t="s">
        <v>20</v>
      </c>
      <c r="D4292" t="s">
        <v>38</v>
      </c>
      <c r="E4292" t="s">
        <v>42</v>
      </c>
      <c r="F4292" t="s">
        <v>13</v>
      </c>
      <c r="G4292">
        <v>1</v>
      </c>
      <c r="H4292">
        <v>3.8</v>
      </c>
      <c r="I4292" t="s">
        <v>39</v>
      </c>
      <c r="J4292" t="s">
        <v>289</v>
      </c>
      <c r="K4292" s="12">
        <f>Store_Record[[#This Row],[Qty]]*Store_Record[[#This Row],[UnitPriceGBP]]</f>
        <v>3.8</v>
      </c>
      <c r="L4292" s="5" t="str">
        <f>TEXT(Store_Record[[#This Row],[Date]],"dddd")</f>
        <v>Monday</v>
      </c>
      <c r="M4292" s="5" t="str">
        <f>TEXT(Store_Record[[#This Row],[Date]],"mmmm")</f>
        <v>November</v>
      </c>
      <c r="N4292" s="5">
        <f>YEAR(Store_Record[[#This Row],[Date]])</f>
        <v>2025</v>
      </c>
      <c r="O4292"/>
    </row>
    <row r="4293" spans="1:15" x14ac:dyDescent="0.35">
      <c r="A4293" t="s">
        <v>5264</v>
      </c>
      <c r="B4293" s="2">
        <v>45971</v>
      </c>
      <c r="C4293" t="s">
        <v>24</v>
      </c>
      <c r="D4293" t="s">
        <v>25</v>
      </c>
      <c r="E4293" t="s">
        <v>26</v>
      </c>
      <c r="F4293" t="s">
        <v>13</v>
      </c>
      <c r="G4293">
        <v>1</v>
      </c>
      <c r="H4293">
        <v>3.5</v>
      </c>
      <c r="I4293" t="s">
        <v>21</v>
      </c>
      <c r="J4293" t="s">
        <v>204</v>
      </c>
      <c r="K4293" s="12">
        <f>Store_Record[[#This Row],[Qty]]*Store_Record[[#This Row],[UnitPriceGBP]]</f>
        <v>3.5</v>
      </c>
      <c r="L4293" s="5" t="str">
        <f>TEXT(Store_Record[[#This Row],[Date]],"dddd")</f>
        <v>Monday</v>
      </c>
      <c r="M4293" s="5" t="str">
        <f>TEXT(Store_Record[[#This Row],[Date]],"mmmm")</f>
        <v>November</v>
      </c>
      <c r="N4293" s="5">
        <f>YEAR(Store_Record[[#This Row],[Date]])</f>
        <v>2025</v>
      </c>
      <c r="O4293"/>
    </row>
    <row r="4294" spans="1:15" x14ac:dyDescent="0.35">
      <c r="A4294" t="s">
        <v>5278</v>
      </c>
      <c r="B4294" s="2">
        <v>45971</v>
      </c>
      <c r="C4294" t="s">
        <v>10</v>
      </c>
      <c r="D4294" t="s">
        <v>29</v>
      </c>
      <c r="E4294" t="s">
        <v>26</v>
      </c>
      <c r="F4294" t="s">
        <v>13</v>
      </c>
      <c r="G4294">
        <v>1</v>
      </c>
      <c r="H4294">
        <v>3.5</v>
      </c>
      <c r="I4294" t="s">
        <v>39</v>
      </c>
      <c r="J4294" t="s">
        <v>888</v>
      </c>
      <c r="K4294" s="12">
        <f>Store_Record[[#This Row],[Qty]]*Store_Record[[#This Row],[UnitPriceGBP]]</f>
        <v>3.5</v>
      </c>
      <c r="L4294" s="5" t="str">
        <f>TEXT(Store_Record[[#This Row],[Date]],"dddd")</f>
        <v>Monday</v>
      </c>
      <c r="M4294" s="5" t="str">
        <f>TEXT(Store_Record[[#This Row],[Date]],"mmmm")</f>
        <v>November</v>
      </c>
      <c r="N4294" s="5">
        <f>YEAR(Store_Record[[#This Row],[Date]])</f>
        <v>2025</v>
      </c>
      <c r="O4294"/>
    </row>
    <row r="4295" spans="1:15" x14ac:dyDescent="0.35">
      <c r="A4295" t="s">
        <v>5274</v>
      </c>
      <c r="B4295" s="2">
        <v>45971</v>
      </c>
      <c r="C4295" t="s">
        <v>36</v>
      </c>
      <c r="D4295" t="s">
        <v>47</v>
      </c>
      <c r="E4295" t="s">
        <v>30</v>
      </c>
      <c r="F4295" t="s">
        <v>31</v>
      </c>
      <c r="G4295">
        <v>1</v>
      </c>
      <c r="H4295">
        <v>2.8</v>
      </c>
      <c r="I4295" t="s">
        <v>14</v>
      </c>
      <c r="J4295" t="s">
        <v>153</v>
      </c>
      <c r="K4295" s="12">
        <f>Store_Record[[#This Row],[Qty]]*Store_Record[[#This Row],[UnitPriceGBP]]</f>
        <v>2.8</v>
      </c>
      <c r="L4295" s="5" t="str">
        <f>TEXT(Store_Record[[#This Row],[Date]],"dddd")</f>
        <v>Monday</v>
      </c>
      <c r="M4295" s="5" t="str">
        <f>TEXT(Store_Record[[#This Row],[Date]],"mmmm")</f>
        <v>November</v>
      </c>
      <c r="N4295" s="5">
        <f>YEAR(Store_Record[[#This Row],[Date]])</f>
        <v>2025</v>
      </c>
      <c r="O4295"/>
    </row>
    <row r="4296" spans="1:15" x14ac:dyDescent="0.35">
      <c r="A4296" t="s">
        <v>5285</v>
      </c>
      <c r="B4296" s="2">
        <v>45971</v>
      </c>
      <c r="C4296" t="s">
        <v>20</v>
      </c>
      <c r="D4296" t="s">
        <v>38</v>
      </c>
      <c r="E4296" t="s">
        <v>30</v>
      </c>
      <c r="F4296" t="s">
        <v>31</v>
      </c>
      <c r="G4296">
        <v>1</v>
      </c>
      <c r="H4296">
        <v>2.8</v>
      </c>
      <c r="I4296" t="s">
        <v>21</v>
      </c>
      <c r="J4296" t="s">
        <v>1003</v>
      </c>
      <c r="K4296" s="12">
        <f>Store_Record[[#This Row],[Qty]]*Store_Record[[#This Row],[UnitPriceGBP]]</f>
        <v>2.8</v>
      </c>
      <c r="L4296" s="5" t="str">
        <f>TEXT(Store_Record[[#This Row],[Date]],"dddd")</f>
        <v>Monday</v>
      </c>
      <c r="M4296" s="5" t="str">
        <f>TEXT(Store_Record[[#This Row],[Date]],"mmmm")</f>
        <v>November</v>
      </c>
      <c r="N4296" s="5">
        <f>YEAR(Store_Record[[#This Row],[Date]])</f>
        <v>2025</v>
      </c>
      <c r="O4296"/>
    </row>
    <row r="4297" spans="1:15" x14ac:dyDescent="0.35">
      <c r="A4297" t="s">
        <v>5279</v>
      </c>
      <c r="B4297" s="2">
        <v>45971</v>
      </c>
      <c r="C4297" t="s">
        <v>20</v>
      </c>
      <c r="D4297" t="s">
        <v>29</v>
      </c>
      <c r="E4297" t="s">
        <v>12</v>
      </c>
      <c r="F4297" t="s">
        <v>13</v>
      </c>
      <c r="G4297">
        <v>1</v>
      </c>
      <c r="H4297">
        <v>2.5</v>
      </c>
      <c r="I4297" t="s">
        <v>21</v>
      </c>
      <c r="J4297" t="s">
        <v>1031</v>
      </c>
      <c r="K4297" s="12">
        <f>Store_Record[[#This Row],[Qty]]*Store_Record[[#This Row],[UnitPriceGBP]]</f>
        <v>2.5</v>
      </c>
      <c r="L4297" s="5" t="str">
        <f>TEXT(Store_Record[[#This Row],[Date]],"dddd")</f>
        <v>Monday</v>
      </c>
      <c r="M4297" s="5" t="str">
        <f>TEXT(Store_Record[[#This Row],[Date]],"mmmm")</f>
        <v>November</v>
      </c>
      <c r="N4297" s="5">
        <f>YEAR(Store_Record[[#This Row],[Date]])</f>
        <v>2025</v>
      </c>
      <c r="O4297"/>
    </row>
    <row r="4298" spans="1:15" x14ac:dyDescent="0.35">
      <c r="A4298" t="s">
        <v>5268</v>
      </c>
      <c r="B4298" s="2">
        <v>45971</v>
      </c>
      <c r="C4298" t="s">
        <v>20</v>
      </c>
      <c r="D4298" t="s">
        <v>29</v>
      </c>
      <c r="E4298" t="s">
        <v>34</v>
      </c>
      <c r="F4298" t="s">
        <v>31</v>
      </c>
      <c r="G4298">
        <v>1</v>
      </c>
      <c r="H4298">
        <v>2.2000000000000002</v>
      </c>
      <c r="I4298" t="s">
        <v>14</v>
      </c>
      <c r="J4298" t="s">
        <v>474</v>
      </c>
      <c r="K4298" s="12">
        <f>Store_Record[[#This Row],[Qty]]*Store_Record[[#This Row],[UnitPriceGBP]]</f>
        <v>2.2000000000000002</v>
      </c>
      <c r="L4298" s="5" t="str">
        <f>TEXT(Store_Record[[#This Row],[Date]],"dddd")</f>
        <v>Monday</v>
      </c>
      <c r="M4298" s="5" t="str">
        <f>TEXT(Store_Record[[#This Row],[Date]],"mmmm")</f>
        <v>November</v>
      </c>
      <c r="N4298" s="5">
        <f>YEAR(Store_Record[[#This Row],[Date]])</f>
        <v>2025</v>
      </c>
      <c r="O4298"/>
    </row>
    <row r="4299" spans="1:15" x14ac:dyDescent="0.35">
      <c r="A4299" t="s">
        <v>5289</v>
      </c>
      <c r="B4299" s="2">
        <v>45972</v>
      </c>
      <c r="C4299" t="s">
        <v>20</v>
      </c>
      <c r="D4299" t="s">
        <v>29</v>
      </c>
      <c r="E4299" t="s">
        <v>42</v>
      </c>
      <c r="F4299" t="s">
        <v>13</v>
      </c>
      <c r="G4299">
        <v>5</v>
      </c>
      <c r="H4299">
        <v>3.8</v>
      </c>
      <c r="I4299" t="s">
        <v>21</v>
      </c>
      <c r="J4299" t="s">
        <v>2681</v>
      </c>
      <c r="K4299" s="12">
        <f>Store_Record[[#This Row],[Qty]]*Store_Record[[#This Row],[UnitPriceGBP]]</f>
        <v>19</v>
      </c>
      <c r="L4299" s="5" t="str">
        <f>TEXT(Store_Record[[#This Row],[Date]],"dddd")</f>
        <v>Tuesday</v>
      </c>
      <c r="M4299" s="5" t="str">
        <f>TEXT(Store_Record[[#This Row],[Date]],"mmmm")</f>
        <v>November</v>
      </c>
      <c r="N4299" s="5">
        <f>YEAR(Store_Record[[#This Row],[Date]])</f>
        <v>2025</v>
      </c>
      <c r="O4299"/>
    </row>
    <row r="4300" spans="1:15" x14ac:dyDescent="0.35">
      <c r="A4300" t="s">
        <v>5298</v>
      </c>
      <c r="B4300" s="2">
        <v>45972</v>
      </c>
      <c r="C4300" t="s">
        <v>36</v>
      </c>
      <c r="D4300" t="s">
        <v>47</v>
      </c>
      <c r="E4300" t="s">
        <v>26</v>
      </c>
      <c r="F4300" t="s">
        <v>13</v>
      </c>
      <c r="G4300">
        <v>4</v>
      </c>
      <c r="H4300">
        <v>3.5</v>
      </c>
      <c r="I4300" t="s">
        <v>21</v>
      </c>
      <c r="J4300" t="s">
        <v>1029</v>
      </c>
      <c r="K4300" s="12">
        <f>Store_Record[[#This Row],[Qty]]*Store_Record[[#This Row],[UnitPriceGBP]]</f>
        <v>14</v>
      </c>
      <c r="L4300" s="5" t="str">
        <f>TEXT(Store_Record[[#This Row],[Date]],"dddd")</f>
        <v>Tuesday</v>
      </c>
      <c r="M4300" s="5" t="str">
        <f>TEXT(Store_Record[[#This Row],[Date]],"mmmm")</f>
        <v>November</v>
      </c>
      <c r="N4300" s="5">
        <f>YEAR(Store_Record[[#This Row],[Date]])</f>
        <v>2025</v>
      </c>
      <c r="O4300"/>
    </row>
    <row r="4301" spans="1:15" x14ac:dyDescent="0.35">
      <c r="A4301" t="s">
        <v>5295</v>
      </c>
      <c r="B4301" s="2">
        <v>45972</v>
      </c>
      <c r="C4301" t="s">
        <v>24</v>
      </c>
      <c r="D4301" t="s">
        <v>29</v>
      </c>
      <c r="E4301" t="s">
        <v>42</v>
      </c>
      <c r="F4301" t="s">
        <v>13</v>
      </c>
      <c r="G4301">
        <v>3</v>
      </c>
      <c r="H4301">
        <v>3.8</v>
      </c>
      <c r="I4301" t="s">
        <v>39</v>
      </c>
      <c r="J4301" t="s">
        <v>50</v>
      </c>
      <c r="K4301" s="12">
        <f>Store_Record[[#This Row],[Qty]]*Store_Record[[#This Row],[UnitPriceGBP]]</f>
        <v>11.399999999999999</v>
      </c>
      <c r="L4301" s="5" t="str">
        <f>TEXT(Store_Record[[#This Row],[Date]],"dddd")</f>
        <v>Tuesday</v>
      </c>
      <c r="M4301" s="5" t="str">
        <f>TEXT(Store_Record[[#This Row],[Date]],"mmmm")</f>
        <v>November</v>
      </c>
      <c r="N4301" s="5">
        <f>YEAR(Store_Record[[#This Row],[Date]])</f>
        <v>2025</v>
      </c>
      <c r="O4301"/>
    </row>
    <row r="4302" spans="1:15" x14ac:dyDescent="0.35">
      <c r="A4302" t="s">
        <v>5291</v>
      </c>
      <c r="B4302" s="2">
        <v>45972</v>
      </c>
      <c r="C4302" t="s">
        <v>36</v>
      </c>
      <c r="D4302" t="s">
        <v>25</v>
      </c>
      <c r="E4302" t="s">
        <v>30</v>
      </c>
      <c r="F4302" t="s">
        <v>31</v>
      </c>
      <c r="G4302">
        <v>4</v>
      </c>
      <c r="H4302">
        <v>2.8</v>
      </c>
      <c r="I4302" t="s">
        <v>39</v>
      </c>
      <c r="J4302" t="s">
        <v>1928</v>
      </c>
      <c r="K4302" s="12">
        <f>Store_Record[[#This Row],[Qty]]*Store_Record[[#This Row],[UnitPriceGBP]]</f>
        <v>11.2</v>
      </c>
      <c r="L4302" s="5" t="str">
        <f>TEXT(Store_Record[[#This Row],[Date]],"dddd")</f>
        <v>Tuesday</v>
      </c>
      <c r="M4302" s="5" t="str">
        <f>TEXT(Store_Record[[#This Row],[Date]],"mmmm")</f>
        <v>November</v>
      </c>
      <c r="N4302" s="5">
        <f>YEAR(Store_Record[[#This Row],[Date]])</f>
        <v>2025</v>
      </c>
      <c r="O4302"/>
    </row>
    <row r="4303" spans="1:15" x14ac:dyDescent="0.35">
      <c r="A4303" t="s">
        <v>5293</v>
      </c>
      <c r="B4303" s="2">
        <v>45972</v>
      </c>
      <c r="C4303" t="s">
        <v>10</v>
      </c>
      <c r="D4303" t="s">
        <v>11</v>
      </c>
      <c r="E4303" t="s">
        <v>34</v>
      </c>
      <c r="F4303" t="s">
        <v>31</v>
      </c>
      <c r="G4303">
        <v>5</v>
      </c>
      <c r="H4303">
        <v>2.2000000000000002</v>
      </c>
      <c r="I4303" t="s">
        <v>14</v>
      </c>
      <c r="J4303" t="s">
        <v>848</v>
      </c>
      <c r="K4303" s="12">
        <f>Store_Record[[#This Row],[Qty]]*Store_Record[[#This Row],[UnitPriceGBP]]</f>
        <v>11</v>
      </c>
      <c r="L4303" s="5" t="str">
        <f>TEXT(Store_Record[[#This Row],[Date]],"dddd")</f>
        <v>Tuesday</v>
      </c>
      <c r="M4303" s="5" t="str">
        <f>TEXT(Store_Record[[#This Row],[Date]],"mmmm")</f>
        <v>November</v>
      </c>
      <c r="N4303" s="5">
        <f>YEAR(Store_Record[[#This Row],[Date]])</f>
        <v>2025</v>
      </c>
      <c r="O4303"/>
    </row>
    <row r="4304" spans="1:15" x14ac:dyDescent="0.35">
      <c r="A4304" t="s">
        <v>5294</v>
      </c>
      <c r="B4304" s="2">
        <v>45972</v>
      </c>
      <c r="C4304" t="s">
        <v>20</v>
      </c>
      <c r="D4304" t="s">
        <v>25</v>
      </c>
      <c r="E4304" t="s">
        <v>34</v>
      </c>
      <c r="F4304" t="s">
        <v>31</v>
      </c>
      <c r="G4304">
        <v>4</v>
      </c>
      <c r="H4304">
        <v>2.2000000000000002</v>
      </c>
      <c r="I4304" t="s">
        <v>21</v>
      </c>
      <c r="J4304" t="s">
        <v>3498</v>
      </c>
      <c r="K4304" s="12">
        <f>Store_Record[[#This Row],[Qty]]*Store_Record[[#This Row],[UnitPriceGBP]]</f>
        <v>8.8000000000000007</v>
      </c>
      <c r="L4304" s="5" t="str">
        <f>TEXT(Store_Record[[#This Row],[Date]],"dddd")</f>
        <v>Tuesday</v>
      </c>
      <c r="M4304" s="5" t="str">
        <f>TEXT(Store_Record[[#This Row],[Date]],"mmmm")</f>
        <v>November</v>
      </c>
      <c r="N4304" s="5">
        <f>YEAR(Store_Record[[#This Row],[Date]])</f>
        <v>2025</v>
      </c>
      <c r="O4304"/>
    </row>
    <row r="4305" spans="1:15" x14ac:dyDescent="0.35">
      <c r="A4305" t="s">
        <v>5292</v>
      </c>
      <c r="B4305" s="2">
        <v>45972</v>
      </c>
      <c r="C4305" t="s">
        <v>10</v>
      </c>
      <c r="D4305" t="s">
        <v>47</v>
      </c>
      <c r="E4305" t="s">
        <v>42</v>
      </c>
      <c r="F4305" t="s">
        <v>13</v>
      </c>
      <c r="G4305">
        <v>1</v>
      </c>
      <c r="H4305">
        <v>3.8</v>
      </c>
      <c r="I4305" t="s">
        <v>14</v>
      </c>
      <c r="J4305" t="s">
        <v>1073</v>
      </c>
      <c r="K4305" s="12">
        <f>Store_Record[[#This Row],[Qty]]*Store_Record[[#This Row],[UnitPriceGBP]]</f>
        <v>3.8</v>
      </c>
      <c r="L4305" s="5" t="str">
        <f>TEXT(Store_Record[[#This Row],[Date]],"dddd")</f>
        <v>Tuesday</v>
      </c>
      <c r="M4305" s="5" t="str">
        <f>TEXT(Store_Record[[#This Row],[Date]],"mmmm")</f>
        <v>November</v>
      </c>
      <c r="N4305" s="5">
        <f>YEAR(Store_Record[[#This Row],[Date]])</f>
        <v>2025</v>
      </c>
      <c r="O4305"/>
    </row>
    <row r="4306" spans="1:15" x14ac:dyDescent="0.35">
      <c r="A4306" t="s">
        <v>5296</v>
      </c>
      <c r="B4306" s="2">
        <v>45972</v>
      </c>
      <c r="C4306" t="s">
        <v>10</v>
      </c>
      <c r="D4306" t="s">
        <v>29</v>
      </c>
      <c r="E4306" t="s">
        <v>42</v>
      </c>
      <c r="F4306" t="s">
        <v>13</v>
      </c>
      <c r="G4306">
        <v>1</v>
      </c>
      <c r="H4306">
        <v>3.8</v>
      </c>
      <c r="I4306" t="s">
        <v>39</v>
      </c>
      <c r="J4306" t="s">
        <v>2537</v>
      </c>
      <c r="K4306" s="12">
        <f>Store_Record[[#This Row],[Qty]]*Store_Record[[#This Row],[UnitPriceGBP]]</f>
        <v>3.8</v>
      </c>
      <c r="L4306" s="5" t="str">
        <f>TEXT(Store_Record[[#This Row],[Date]],"dddd")</f>
        <v>Tuesday</v>
      </c>
      <c r="M4306" s="5" t="str">
        <f>TEXT(Store_Record[[#This Row],[Date]],"mmmm")</f>
        <v>November</v>
      </c>
      <c r="N4306" s="5">
        <f>YEAR(Store_Record[[#This Row],[Date]])</f>
        <v>2025</v>
      </c>
      <c r="O4306"/>
    </row>
    <row r="4307" spans="1:15" x14ac:dyDescent="0.35">
      <c r="A4307" t="s">
        <v>5299</v>
      </c>
      <c r="B4307" s="2">
        <v>45972</v>
      </c>
      <c r="C4307" t="s">
        <v>10</v>
      </c>
      <c r="D4307" t="s">
        <v>29</v>
      </c>
      <c r="E4307" t="s">
        <v>42</v>
      </c>
      <c r="F4307" t="s">
        <v>13</v>
      </c>
      <c r="G4307">
        <v>1</v>
      </c>
      <c r="H4307">
        <v>3.8</v>
      </c>
      <c r="I4307" t="s">
        <v>21</v>
      </c>
      <c r="J4307" t="s">
        <v>1175</v>
      </c>
      <c r="K4307" s="12">
        <f>Store_Record[[#This Row],[Qty]]*Store_Record[[#This Row],[UnitPriceGBP]]</f>
        <v>3.8</v>
      </c>
      <c r="L4307" s="5" t="str">
        <f>TEXT(Store_Record[[#This Row],[Date]],"dddd")</f>
        <v>Tuesday</v>
      </c>
      <c r="M4307" s="5" t="str">
        <f>TEXT(Store_Record[[#This Row],[Date]],"mmmm")</f>
        <v>November</v>
      </c>
      <c r="N4307" s="5">
        <f>YEAR(Store_Record[[#This Row],[Date]])</f>
        <v>2025</v>
      </c>
      <c r="O4307"/>
    </row>
    <row r="4308" spans="1:15" x14ac:dyDescent="0.35">
      <c r="A4308" t="s">
        <v>5297</v>
      </c>
      <c r="B4308" s="2">
        <v>45972</v>
      </c>
      <c r="C4308" t="s">
        <v>20</v>
      </c>
      <c r="D4308" t="s">
        <v>47</v>
      </c>
      <c r="E4308" t="s">
        <v>30</v>
      </c>
      <c r="F4308" t="s">
        <v>31</v>
      </c>
      <c r="G4308">
        <v>1</v>
      </c>
      <c r="H4308">
        <v>2.8</v>
      </c>
      <c r="I4308" t="s">
        <v>21</v>
      </c>
      <c r="J4308" t="s">
        <v>869</v>
      </c>
      <c r="K4308" s="12">
        <f>Store_Record[[#This Row],[Qty]]*Store_Record[[#This Row],[UnitPriceGBP]]</f>
        <v>2.8</v>
      </c>
      <c r="L4308" s="5" t="str">
        <f>TEXT(Store_Record[[#This Row],[Date]],"dddd")</f>
        <v>Tuesday</v>
      </c>
      <c r="M4308" s="5" t="str">
        <f>TEXT(Store_Record[[#This Row],[Date]],"mmmm")</f>
        <v>November</v>
      </c>
      <c r="N4308" s="5">
        <f>YEAR(Store_Record[[#This Row],[Date]])</f>
        <v>2025</v>
      </c>
      <c r="O4308"/>
    </row>
    <row r="4309" spans="1:15" x14ac:dyDescent="0.35">
      <c r="A4309" t="s">
        <v>5290</v>
      </c>
      <c r="B4309" s="2">
        <v>45972</v>
      </c>
      <c r="C4309" t="s">
        <v>10</v>
      </c>
      <c r="D4309" t="s">
        <v>25</v>
      </c>
      <c r="E4309" t="s">
        <v>34</v>
      </c>
      <c r="F4309" t="s">
        <v>31</v>
      </c>
      <c r="G4309">
        <v>1</v>
      </c>
      <c r="H4309">
        <v>2.2000000000000002</v>
      </c>
      <c r="I4309" t="s">
        <v>21</v>
      </c>
      <c r="J4309" t="s">
        <v>1163</v>
      </c>
      <c r="K4309" s="12">
        <f>Store_Record[[#This Row],[Qty]]*Store_Record[[#This Row],[UnitPriceGBP]]</f>
        <v>2.2000000000000002</v>
      </c>
      <c r="L4309" s="5" t="str">
        <f>TEXT(Store_Record[[#This Row],[Date]],"dddd")</f>
        <v>Tuesday</v>
      </c>
      <c r="M4309" s="5" t="str">
        <f>TEXT(Store_Record[[#This Row],[Date]],"mmmm")</f>
        <v>November</v>
      </c>
      <c r="N4309" s="5">
        <f>YEAR(Store_Record[[#This Row],[Date]])</f>
        <v>2025</v>
      </c>
      <c r="O4309"/>
    </row>
    <row r="4310" spans="1:15" x14ac:dyDescent="0.35">
      <c r="A4310" t="s">
        <v>5310</v>
      </c>
      <c r="B4310" s="2">
        <v>45973</v>
      </c>
      <c r="C4310" t="s">
        <v>24</v>
      </c>
      <c r="D4310" t="s">
        <v>29</v>
      </c>
      <c r="E4310" t="s">
        <v>12</v>
      </c>
      <c r="F4310" t="s">
        <v>13</v>
      </c>
      <c r="G4310">
        <v>5</v>
      </c>
      <c r="H4310">
        <v>2.5</v>
      </c>
      <c r="I4310" t="s">
        <v>21</v>
      </c>
      <c r="J4310" t="s">
        <v>1156</v>
      </c>
      <c r="K4310" s="12">
        <f>Store_Record[[#This Row],[Qty]]*Store_Record[[#This Row],[UnitPriceGBP]]</f>
        <v>12.5</v>
      </c>
      <c r="L4310" s="5" t="str">
        <f>TEXT(Store_Record[[#This Row],[Date]],"dddd")</f>
        <v>Wednesday</v>
      </c>
      <c r="M4310" s="5" t="str">
        <f>TEXT(Store_Record[[#This Row],[Date]],"mmmm")</f>
        <v>November</v>
      </c>
      <c r="N4310" s="5">
        <f>YEAR(Store_Record[[#This Row],[Date]])</f>
        <v>2025</v>
      </c>
      <c r="O4310"/>
    </row>
    <row r="4311" spans="1:15" x14ac:dyDescent="0.35">
      <c r="A4311" t="s">
        <v>5303</v>
      </c>
      <c r="B4311" s="2">
        <v>45973</v>
      </c>
      <c r="C4311" t="s">
        <v>24</v>
      </c>
      <c r="D4311" t="s">
        <v>25</v>
      </c>
      <c r="E4311" t="s">
        <v>34</v>
      </c>
      <c r="F4311" t="s">
        <v>31</v>
      </c>
      <c r="G4311">
        <v>5</v>
      </c>
      <c r="H4311">
        <v>2.2000000000000002</v>
      </c>
      <c r="I4311" t="s">
        <v>14</v>
      </c>
      <c r="J4311" t="s">
        <v>1114</v>
      </c>
      <c r="K4311" s="12">
        <f>Store_Record[[#This Row],[Qty]]*Store_Record[[#This Row],[UnitPriceGBP]]</f>
        <v>11</v>
      </c>
      <c r="L4311" s="5" t="str">
        <f>TEXT(Store_Record[[#This Row],[Date]],"dddd")</f>
        <v>Wednesday</v>
      </c>
      <c r="M4311" s="5" t="str">
        <f>TEXT(Store_Record[[#This Row],[Date]],"mmmm")</f>
        <v>November</v>
      </c>
      <c r="N4311" s="5">
        <f>YEAR(Store_Record[[#This Row],[Date]])</f>
        <v>2025</v>
      </c>
      <c r="O4311"/>
    </row>
    <row r="4312" spans="1:15" x14ac:dyDescent="0.35">
      <c r="A4312" t="s">
        <v>5307</v>
      </c>
      <c r="B4312" s="2">
        <v>45973</v>
      </c>
      <c r="C4312" t="s">
        <v>36</v>
      </c>
      <c r="D4312" t="s">
        <v>11</v>
      </c>
      <c r="E4312" t="s">
        <v>34</v>
      </c>
      <c r="F4312" t="s">
        <v>31</v>
      </c>
      <c r="G4312">
        <v>5</v>
      </c>
      <c r="H4312">
        <v>2.2000000000000002</v>
      </c>
      <c r="I4312" t="s">
        <v>21</v>
      </c>
      <c r="J4312" t="s">
        <v>5153</v>
      </c>
      <c r="K4312" s="12">
        <f>Store_Record[[#This Row],[Qty]]*Store_Record[[#This Row],[UnitPriceGBP]]</f>
        <v>11</v>
      </c>
      <c r="L4312" s="5" t="str">
        <f>TEXT(Store_Record[[#This Row],[Date]],"dddd")</f>
        <v>Wednesday</v>
      </c>
      <c r="M4312" s="5" t="str">
        <f>TEXT(Store_Record[[#This Row],[Date]],"mmmm")</f>
        <v>November</v>
      </c>
      <c r="N4312" s="5">
        <f>YEAR(Store_Record[[#This Row],[Date]])</f>
        <v>2025</v>
      </c>
      <c r="O4312"/>
    </row>
    <row r="4313" spans="1:15" x14ac:dyDescent="0.35">
      <c r="A4313" t="s">
        <v>5304</v>
      </c>
      <c r="B4313" s="2">
        <v>45973</v>
      </c>
      <c r="C4313" t="s">
        <v>36</v>
      </c>
      <c r="D4313" t="s">
        <v>11</v>
      </c>
      <c r="E4313" t="s">
        <v>34</v>
      </c>
      <c r="F4313" t="s">
        <v>31</v>
      </c>
      <c r="G4313">
        <v>4</v>
      </c>
      <c r="H4313">
        <v>2.2000000000000002</v>
      </c>
      <c r="I4313" t="s">
        <v>39</v>
      </c>
      <c r="J4313" t="s">
        <v>1550</v>
      </c>
      <c r="K4313" s="12">
        <f>Store_Record[[#This Row],[Qty]]*Store_Record[[#This Row],[UnitPriceGBP]]</f>
        <v>8.8000000000000007</v>
      </c>
      <c r="L4313" s="5" t="str">
        <f>TEXT(Store_Record[[#This Row],[Date]],"dddd")</f>
        <v>Wednesday</v>
      </c>
      <c r="M4313" s="5" t="str">
        <f>TEXT(Store_Record[[#This Row],[Date]],"mmmm")</f>
        <v>November</v>
      </c>
      <c r="N4313" s="5">
        <f>YEAR(Store_Record[[#This Row],[Date]])</f>
        <v>2025</v>
      </c>
      <c r="O4313"/>
    </row>
    <row r="4314" spans="1:15" x14ac:dyDescent="0.35">
      <c r="A4314" t="s">
        <v>5300</v>
      </c>
      <c r="B4314" s="2">
        <v>45973</v>
      </c>
      <c r="C4314" t="s">
        <v>36</v>
      </c>
      <c r="D4314" t="s">
        <v>11</v>
      </c>
      <c r="E4314" t="s">
        <v>30</v>
      </c>
      <c r="F4314" t="s">
        <v>31</v>
      </c>
      <c r="G4314">
        <v>3</v>
      </c>
      <c r="H4314">
        <v>2.8</v>
      </c>
      <c r="I4314" t="s">
        <v>21</v>
      </c>
      <c r="J4314" t="s">
        <v>1104</v>
      </c>
      <c r="K4314" s="12">
        <f>Store_Record[[#This Row],[Qty]]*Store_Record[[#This Row],[UnitPriceGBP]]</f>
        <v>8.3999999999999986</v>
      </c>
      <c r="L4314" s="5" t="str">
        <f>TEXT(Store_Record[[#This Row],[Date]],"dddd")</f>
        <v>Wednesday</v>
      </c>
      <c r="M4314" s="5" t="str">
        <f>TEXT(Store_Record[[#This Row],[Date]],"mmmm")</f>
        <v>November</v>
      </c>
      <c r="N4314" s="5">
        <f>YEAR(Store_Record[[#This Row],[Date]])</f>
        <v>2025</v>
      </c>
      <c r="O4314"/>
    </row>
    <row r="4315" spans="1:15" x14ac:dyDescent="0.35">
      <c r="A4315" t="s">
        <v>5306</v>
      </c>
      <c r="B4315" s="2">
        <v>45973</v>
      </c>
      <c r="C4315" t="s">
        <v>10</v>
      </c>
      <c r="D4315" t="s">
        <v>25</v>
      </c>
      <c r="E4315" t="s">
        <v>30</v>
      </c>
      <c r="F4315" t="s">
        <v>31</v>
      </c>
      <c r="G4315">
        <v>3</v>
      </c>
      <c r="H4315">
        <v>2.8</v>
      </c>
      <c r="I4315" t="s">
        <v>14</v>
      </c>
      <c r="J4315" t="s">
        <v>2142</v>
      </c>
      <c r="K4315" s="12">
        <f>Store_Record[[#This Row],[Qty]]*Store_Record[[#This Row],[UnitPriceGBP]]</f>
        <v>8.3999999999999986</v>
      </c>
      <c r="L4315" s="5" t="str">
        <f>TEXT(Store_Record[[#This Row],[Date]],"dddd")</f>
        <v>Wednesday</v>
      </c>
      <c r="M4315" s="5" t="str">
        <f>TEXT(Store_Record[[#This Row],[Date]],"mmmm")</f>
        <v>November</v>
      </c>
      <c r="N4315" s="5">
        <f>YEAR(Store_Record[[#This Row],[Date]])</f>
        <v>2025</v>
      </c>
      <c r="O4315"/>
    </row>
    <row r="4316" spans="1:15" x14ac:dyDescent="0.35">
      <c r="A4316" t="s">
        <v>5305</v>
      </c>
      <c r="B4316" s="2">
        <v>45973</v>
      </c>
      <c r="C4316" t="s">
        <v>36</v>
      </c>
      <c r="D4316" t="s">
        <v>25</v>
      </c>
      <c r="E4316" t="s">
        <v>34</v>
      </c>
      <c r="F4316" t="s">
        <v>31</v>
      </c>
      <c r="G4316">
        <v>3</v>
      </c>
      <c r="H4316">
        <v>2.2000000000000002</v>
      </c>
      <c r="I4316" t="s">
        <v>14</v>
      </c>
      <c r="J4316" t="s">
        <v>3941</v>
      </c>
      <c r="K4316" s="12">
        <f>Store_Record[[#This Row],[Qty]]*Store_Record[[#This Row],[UnitPriceGBP]]</f>
        <v>6.6000000000000005</v>
      </c>
      <c r="L4316" s="5" t="str">
        <f>TEXT(Store_Record[[#This Row],[Date]],"dddd")</f>
        <v>Wednesday</v>
      </c>
      <c r="M4316" s="5" t="str">
        <f>TEXT(Store_Record[[#This Row],[Date]],"mmmm")</f>
        <v>November</v>
      </c>
      <c r="N4316" s="5">
        <f>YEAR(Store_Record[[#This Row],[Date]])</f>
        <v>2025</v>
      </c>
      <c r="O4316"/>
    </row>
    <row r="4317" spans="1:15" x14ac:dyDescent="0.35">
      <c r="A4317" t="s">
        <v>5308</v>
      </c>
      <c r="B4317" s="2">
        <v>45973</v>
      </c>
      <c r="C4317" t="s">
        <v>20</v>
      </c>
      <c r="D4317" t="s">
        <v>11</v>
      </c>
      <c r="E4317" t="s">
        <v>12</v>
      </c>
      <c r="F4317" t="s">
        <v>13</v>
      </c>
      <c r="G4317">
        <v>2</v>
      </c>
      <c r="H4317">
        <v>2.5</v>
      </c>
      <c r="I4317" t="s">
        <v>14</v>
      </c>
      <c r="J4317" t="s">
        <v>992</v>
      </c>
      <c r="K4317" s="12">
        <f>Store_Record[[#This Row],[Qty]]*Store_Record[[#This Row],[UnitPriceGBP]]</f>
        <v>5</v>
      </c>
      <c r="L4317" s="5" t="str">
        <f>TEXT(Store_Record[[#This Row],[Date]],"dddd")</f>
        <v>Wednesday</v>
      </c>
      <c r="M4317" s="5" t="str">
        <f>TEXT(Store_Record[[#This Row],[Date]],"mmmm")</f>
        <v>November</v>
      </c>
      <c r="N4317" s="5">
        <f>YEAR(Store_Record[[#This Row],[Date]])</f>
        <v>2025</v>
      </c>
      <c r="O4317"/>
    </row>
    <row r="4318" spans="1:15" x14ac:dyDescent="0.35">
      <c r="A4318" t="s">
        <v>5301</v>
      </c>
      <c r="B4318" s="2">
        <v>45973</v>
      </c>
      <c r="C4318" t="s">
        <v>36</v>
      </c>
      <c r="D4318" t="s">
        <v>38</v>
      </c>
      <c r="E4318" t="s">
        <v>42</v>
      </c>
      <c r="F4318" t="s">
        <v>13</v>
      </c>
      <c r="G4318">
        <v>1</v>
      </c>
      <c r="H4318">
        <v>3.8</v>
      </c>
      <c r="I4318" t="s">
        <v>14</v>
      </c>
      <c r="J4318" t="s">
        <v>1484</v>
      </c>
      <c r="K4318" s="12">
        <f>Store_Record[[#This Row],[Qty]]*Store_Record[[#This Row],[UnitPriceGBP]]</f>
        <v>3.8</v>
      </c>
      <c r="L4318" s="5" t="str">
        <f>TEXT(Store_Record[[#This Row],[Date]],"dddd")</f>
        <v>Wednesday</v>
      </c>
      <c r="M4318" s="5" t="str">
        <f>TEXT(Store_Record[[#This Row],[Date]],"mmmm")</f>
        <v>November</v>
      </c>
      <c r="N4318" s="5">
        <f>YEAR(Store_Record[[#This Row],[Date]])</f>
        <v>2025</v>
      </c>
      <c r="O4318"/>
    </row>
    <row r="4319" spans="1:15" x14ac:dyDescent="0.35">
      <c r="A4319" t="s">
        <v>5309</v>
      </c>
      <c r="B4319" s="2">
        <v>45973</v>
      </c>
      <c r="C4319" t="s">
        <v>24</v>
      </c>
      <c r="D4319" t="s">
        <v>47</v>
      </c>
      <c r="E4319" t="s">
        <v>42</v>
      </c>
      <c r="F4319" t="s">
        <v>13</v>
      </c>
      <c r="G4319">
        <v>1</v>
      </c>
      <c r="H4319">
        <v>3.8</v>
      </c>
      <c r="I4319" t="s">
        <v>14</v>
      </c>
      <c r="J4319" t="s">
        <v>4877</v>
      </c>
      <c r="K4319" s="12">
        <f>Store_Record[[#This Row],[Qty]]*Store_Record[[#This Row],[UnitPriceGBP]]</f>
        <v>3.8</v>
      </c>
      <c r="L4319" s="5" t="str">
        <f>TEXT(Store_Record[[#This Row],[Date]],"dddd")</f>
        <v>Wednesday</v>
      </c>
      <c r="M4319" s="5" t="str">
        <f>TEXT(Store_Record[[#This Row],[Date]],"mmmm")</f>
        <v>November</v>
      </c>
      <c r="N4319" s="5">
        <f>YEAR(Store_Record[[#This Row],[Date]])</f>
        <v>2025</v>
      </c>
      <c r="O4319"/>
    </row>
    <row r="4320" spans="1:15" x14ac:dyDescent="0.35">
      <c r="A4320" t="s">
        <v>5302</v>
      </c>
      <c r="B4320" s="2">
        <v>45973</v>
      </c>
      <c r="C4320" t="s">
        <v>24</v>
      </c>
      <c r="D4320" t="s">
        <v>38</v>
      </c>
      <c r="E4320" t="s">
        <v>34</v>
      </c>
      <c r="F4320" t="s">
        <v>31</v>
      </c>
      <c r="G4320">
        <v>1</v>
      </c>
      <c r="H4320">
        <v>2.2000000000000002</v>
      </c>
      <c r="I4320" t="s">
        <v>14</v>
      </c>
      <c r="J4320" t="s">
        <v>1168</v>
      </c>
      <c r="K4320" s="12">
        <f>Store_Record[[#This Row],[Qty]]*Store_Record[[#This Row],[UnitPriceGBP]]</f>
        <v>2.2000000000000002</v>
      </c>
      <c r="L4320" s="5" t="str">
        <f>TEXT(Store_Record[[#This Row],[Date]],"dddd")</f>
        <v>Wednesday</v>
      </c>
      <c r="M4320" s="5" t="str">
        <f>TEXT(Store_Record[[#This Row],[Date]],"mmmm")</f>
        <v>November</v>
      </c>
      <c r="N4320" s="5">
        <f>YEAR(Store_Record[[#This Row],[Date]])</f>
        <v>2025</v>
      </c>
      <c r="O4320"/>
    </row>
    <row r="4321" spans="1:15" x14ac:dyDescent="0.35">
      <c r="A4321" t="s">
        <v>5311</v>
      </c>
      <c r="B4321" s="2">
        <v>45974</v>
      </c>
      <c r="C4321" t="s">
        <v>20</v>
      </c>
      <c r="D4321" t="s">
        <v>25</v>
      </c>
      <c r="E4321" t="s">
        <v>42</v>
      </c>
      <c r="F4321" t="s">
        <v>13</v>
      </c>
      <c r="G4321">
        <v>5</v>
      </c>
      <c r="H4321">
        <v>3.8</v>
      </c>
      <c r="I4321" t="s">
        <v>21</v>
      </c>
      <c r="J4321" t="s">
        <v>2740</v>
      </c>
      <c r="K4321" s="12">
        <f>Store_Record[[#This Row],[Qty]]*Store_Record[[#This Row],[UnitPriceGBP]]</f>
        <v>19</v>
      </c>
      <c r="L4321" s="5" t="str">
        <f>TEXT(Store_Record[[#This Row],[Date]],"dddd")</f>
        <v>Thursday</v>
      </c>
      <c r="M4321" s="5" t="str">
        <f>TEXT(Store_Record[[#This Row],[Date]],"mmmm")</f>
        <v>November</v>
      </c>
      <c r="N4321" s="5">
        <f>YEAR(Store_Record[[#This Row],[Date]])</f>
        <v>2025</v>
      </c>
      <c r="O4321"/>
    </row>
    <row r="4322" spans="1:15" x14ac:dyDescent="0.35">
      <c r="A4322" t="s">
        <v>5319</v>
      </c>
      <c r="B4322" s="2">
        <v>45974</v>
      </c>
      <c r="C4322" t="s">
        <v>10</v>
      </c>
      <c r="D4322" t="s">
        <v>29</v>
      </c>
      <c r="E4322" t="s">
        <v>42</v>
      </c>
      <c r="F4322" t="s">
        <v>13</v>
      </c>
      <c r="G4322">
        <v>4</v>
      </c>
      <c r="H4322">
        <v>3.8</v>
      </c>
      <c r="I4322" t="s">
        <v>39</v>
      </c>
      <c r="J4322" t="s">
        <v>2003</v>
      </c>
      <c r="K4322" s="12">
        <f>Store_Record[[#This Row],[Qty]]*Store_Record[[#This Row],[UnitPriceGBP]]</f>
        <v>15.2</v>
      </c>
      <c r="L4322" s="5" t="str">
        <f>TEXT(Store_Record[[#This Row],[Date]],"dddd")</f>
        <v>Thursday</v>
      </c>
      <c r="M4322" s="5" t="str">
        <f>TEXT(Store_Record[[#This Row],[Date]],"mmmm")</f>
        <v>November</v>
      </c>
      <c r="N4322" s="5">
        <f>YEAR(Store_Record[[#This Row],[Date]])</f>
        <v>2025</v>
      </c>
      <c r="O4322"/>
    </row>
    <row r="4323" spans="1:15" x14ac:dyDescent="0.35">
      <c r="A4323" t="s">
        <v>5312</v>
      </c>
      <c r="B4323" s="2">
        <v>45974</v>
      </c>
      <c r="C4323" t="s">
        <v>20</v>
      </c>
      <c r="D4323" t="s">
        <v>25</v>
      </c>
      <c r="E4323" t="s">
        <v>30</v>
      </c>
      <c r="F4323" t="s">
        <v>31</v>
      </c>
      <c r="G4323">
        <v>5</v>
      </c>
      <c r="H4323">
        <v>2.8</v>
      </c>
      <c r="I4323" t="s">
        <v>39</v>
      </c>
      <c r="J4323" t="s">
        <v>119</v>
      </c>
      <c r="K4323" s="12">
        <f>Store_Record[[#This Row],[Qty]]*Store_Record[[#This Row],[UnitPriceGBP]]</f>
        <v>14</v>
      </c>
      <c r="L4323" s="5" t="str">
        <f>TEXT(Store_Record[[#This Row],[Date]],"dddd")</f>
        <v>Thursday</v>
      </c>
      <c r="M4323" s="5" t="str">
        <f>TEXT(Store_Record[[#This Row],[Date]],"mmmm")</f>
        <v>November</v>
      </c>
      <c r="N4323" s="5">
        <f>YEAR(Store_Record[[#This Row],[Date]])</f>
        <v>2025</v>
      </c>
      <c r="O4323"/>
    </row>
    <row r="4324" spans="1:15" x14ac:dyDescent="0.35">
      <c r="A4324" t="s">
        <v>5326</v>
      </c>
      <c r="B4324" s="2">
        <v>45974</v>
      </c>
      <c r="C4324" t="s">
        <v>10</v>
      </c>
      <c r="D4324" t="s">
        <v>11</v>
      </c>
      <c r="E4324" t="s">
        <v>26</v>
      </c>
      <c r="F4324" t="s">
        <v>13</v>
      </c>
      <c r="G4324">
        <v>4</v>
      </c>
      <c r="H4324">
        <v>3.5</v>
      </c>
      <c r="I4324" t="s">
        <v>39</v>
      </c>
      <c r="J4324" t="s">
        <v>1672</v>
      </c>
      <c r="K4324" s="12">
        <f>Store_Record[[#This Row],[Qty]]*Store_Record[[#This Row],[UnitPriceGBP]]</f>
        <v>14</v>
      </c>
      <c r="L4324" s="5" t="str">
        <f>TEXT(Store_Record[[#This Row],[Date]],"dddd")</f>
        <v>Thursday</v>
      </c>
      <c r="M4324" s="5" t="str">
        <f>TEXT(Store_Record[[#This Row],[Date]],"mmmm")</f>
        <v>November</v>
      </c>
      <c r="N4324" s="5">
        <f>YEAR(Store_Record[[#This Row],[Date]])</f>
        <v>2025</v>
      </c>
      <c r="O4324"/>
    </row>
    <row r="4325" spans="1:15" x14ac:dyDescent="0.35">
      <c r="A4325" t="s">
        <v>5329</v>
      </c>
      <c r="B4325" s="2">
        <v>45974</v>
      </c>
      <c r="C4325" t="s">
        <v>10</v>
      </c>
      <c r="D4325" t="s">
        <v>47</v>
      </c>
      <c r="E4325" t="s">
        <v>42</v>
      </c>
      <c r="F4325" t="s">
        <v>13</v>
      </c>
      <c r="G4325">
        <v>3</v>
      </c>
      <c r="H4325">
        <v>3.8</v>
      </c>
      <c r="I4325" t="s">
        <v>39</v>
      </c>
      <c r="J4325" t="s">
        <v>243</v>
      </c>
      <c r="K4325" s="12">
        <f>Store_Record[[#This Row],[Qty]]*Store_Record[[#This Row],[UnitPriceGBP]]</f>
        <v>11.399999999999999</v>
      </c>
      <c r="L4325" s="5" t="str">
        <f>TEXT(Store_Record[[#This Row],[Date]],"dddd")</f>
        <v>Thursday</v>
      </c>
      <c r="M4325" s="5" t="str">
        <f>TEXT(Store_Record[[#This Row],[Date]],"mmmm")</f>
        <v>November</v>
      </c>
      <c r="N4325" s="5">
        <f>YEAR(Store_Record[[#This Row],[Date]])</f>
        <v>2025</v>
      </c>
      <c r="O4325"/>
    </row>
    <row r="4326" spans="1:15" x14ac:dyDescent="0.35">
      <c r="A4326" t="s">
        <v>5313</v>
      </c>
      <c r="B4326" s="2">
        <v>45974</v>
      </c>
      <c r="C4326" t="s">
        <v>20</v>
      </c>
      <c r="D4326" t="s">
        <v>11</v>
      </c>
      <c r="E4326" t="s">
        <v>34</v>
      </c>
      <c r="F4326" t="s">
        <v>31</v>
      </c>
      <c r="G4326">
        <v>5</v>
      </c>
      <c r="H4326">
        <v>2.2000000000000002</v>
      </c>
      <c r="I4326" t="s">
        <v>21</v>
      </c>
      <c r="J4326" t="s">
        <v>5013</v>
      </c>
      <c r="K4326" s="12">
        <f>Store_Record[[#This Row],[Qty]]*Store_Record[[#This Row],[UnitPriceGBP]]</f>
        <v>11</v>
      </c>
      <c r="L4326" s="5" t="str">
        <f>TEXT(Store_Record[[#This Row],[Date]],"dddd")</f>
        <v>Thursday</v>
      </c>
      <c r="M4326" s="5" t="str">
        <f>TEXT(Store_Record[[#This Row],[Date]],"mmmm")</f>
        <v>November</v>
      </c>
      <c r="N4326" s="5">
        <f>YEAR(Store_Record[[#This Row],[Date]])</f>
        <v>2025</v>
      </c>
      <c r="O4326"/>
    </row>
    <row r="4327" spans="1:15" x14ac:dyDescent="0.35">
      <c r="A4327" t="s">
        <v>5320</v>
      </c>
      <c r="B4327" s="2">
        <v>45974</v>
      </c>
      <c r="C4327" t="s">
        <v>36</v>
      </c>
      <c r="D4327" t="s">
        <v>11</v>
      </c>
      <c r="E4327" t="s">
        <v>26</v>
      </c>
      <c r="F4327" t="s">
        <v>13</v>
      </c>
      <c r="G4327">
        <v>3</v>
      </c>
      <c r="H4327">
        <v>3.5</v>
      </c>
      <c r="I4327" t="s">
        <v>39</v>
      </c>
      <c r="J4327" t="s">
        <v>951</v>
      </c>
      <c r="K4327" s="12">
        <f>Store_Record[[#This Row],[Qty]]*Store_Record[[#This Row],[UnitPriceGBP]]</f>
        <v>10.5</v>
      </c>
      <c r="L4327" s="5" t="str">
        <f>TEXT(Store_Record[[#This Row],[Date]],"dddd")</f>
        <v>Thursday</v>
      </c>
      <c r="M4327" s="5" t="str">
        <f>TEXT(Store_Record[[#This Row],[Date]],"mmmm")</f>
        <v>November</v>
      </c>
      <c r="N4327" s="5">
        <f>YEAR(Store_Record[[#This Row],[Date]])</f>
        <v>2025</v>
      </c>
      <c r="O4327"/>
    </row>
    <row r="4328" spans="1:15" x14ac:dyDescent="0.35">
      <c r="A4328" t="s">
        <v>5327</v>
      </c>
      <c r="B4328" s="2">
        <v>45974</v>
      </c>
      <c r="C4328" t="s">
        <v>24</v>
      </c>
      <c r="D4328" t="s">
        <v>11</v>
      </c>
      <c r="E4328" t="s">
        <v>12</v>
      </c>
      <c r="F4328" t="s">
        <v>13</v>
      </c>
      <c r="G4328">
        <v>4</v>
      </c>
      <c r="H4328">
        <v>2.5</v>
      </c>
      <c r="I4328" t="s">
        <v>39</v>
      </c>
      <c r="J4328" t="s">
        <v>506</v>
      </c>
      <c r="K4328" s="12">
        <f>Store_Record[[#This Row],[Qty]]*Store_Record[[#This Row],[UnitPriceGBP]]</f>
        <v>10</v>
      </c>
      <c r="L4328" s="5" t="str">
        <f>TEXT(Store_Record[[#This Row],[Date]],"dddd")</f>
        <v>Thursday</v>
      </c>
      <c r="M4328" s="5" t="str">
        <f>TEXT(Store_Record[[#This Row],[Date]],"mmmm")</f>
        <v>November</v>
      </c>
      <c r="N4328" s="5">
        <f>YEAR(Store_Record[[#This Row],[Date]])</f>
        <v>2025</v>
      </c>
      <c r="O4328"/>
    </row>
    <row r="4329" spans="1:15" x14ac:dyDescent="0.35">
      <c r="A4329" t="s">
        <v>5318</v>
      </c>
      <c r="B4329" s="2">
        <v>45974</v>
      </c>
      <c r="C4329" t="s">
        <v>24</v>
      </c>
      <c r="D4329" t="s">
        <v>38</v>
      </c>
      <c r="E4329" t="s">
        <v>30</v>
      </c>
      <c r="F4329" t="s">
        <v>31</v>
      </c>
      <c r="G4329">
        <v>3</v>
      </c>
      <c r="H4329">
        <v>2.8</v>
      </c>
      <c r="I4329" t="s">
        <v>39</v>
      </c>
      <c r="J4329" t="s">
        <v>1160</v>
      </c>
      <c r="K4329" s="12">
        <f>Store_Record[[#This Row],[Qty]]*Store_Record[[#This Row],[UnitPriceGBP]]</f>
        <v>8.3999999999999986</v>
      </c>
      <c r="L4329" s="5" t="str">
        <f>TEXT(Store_Record[[#This Row],[Date]],"dddd")</f>
        <v>Thursday</v>
      </c>
      <c r="M4329" s="5" t="str">
        <f>TEXT(Store_Record[[#This Row],[Date]],"mmmm")</f>
        <v>November</v>
      </c>
      <c r="N4329" s="5">
        <f>YEAR(Store_Record[[#This Row],[Date]])</f>
        <v>2025</v>
      </c>
      <c r="O4329"/>
    </row>
    <row r="4330" spans="1:15" x14ac:dyDescent="0.35">
      <c r="A4330" t="s">
        <v>5321</v>
      </c>
      <c r="B4330" s="2">
        <v>45974</v>
      </c>
      <c r="C4330" t="s">
        <v>20</v>
      </c>
      <c r="D4330" t="s">
        <v>38</v>
      </c>
      <c r="E4330" t="s">
        <v>42</v>
      </c>
      <c r="F4330" t="s">
        <v>13</v>
      </c>
      <c r="G4330">
        <v>2</v>
      </c>
      <c r="H4330">
        <v>3.8</v>
      </c>
      <c r="I4330" t="s">
        <v>14</v>
      </c>
      <c r="J4330" t="s">
        <v>5322</v>
      </c>
      <c r="K4330" s="12">
        <f>Store_Record[[#This Row],[Qty]]*Store_Record[[#This Row],[UnitPriceGBP]]</f>
        <v>7.6</v>
      </c>
      <c r="L4330" s="5" t="str">
        <f>TEXT(Store_Record[[#This Row],[Date]],"dddd")</f>
        <v>Thursday</v>
      </c>
      <c r="M4330" s="5" t="str">
        <f>TEXT(Store_Record[[#This Row],[Date]],"mmmm")</f>
        <v>November</v>
      </c>
      <c r="N4330" s="5">
        <f>YEAR(Store_Record[[#This Row],[Date]])</f>
        <v>2025</v>
      </c>
      <c r="O4330"/>
    </row>
    <row r="4331" spans="1:15" x14ac:dyDescent="0.35">
      <c r="A4331" t="s">
        <v>5325</v>
      </c>
      <c r="B4331" s="2">
        <v>45974</v>
      </c>
      <c r="C4331" t="s">
        <v>20</v>
      </c>
      <c r="D4331" t="s">
        <v>29</v>
      </c>
      <c r="E4331" t="s">
        <v>42</v>
      </c>
      <c r="F4331" t="s">
        <v>13</v>
      </c>
      <c r="G4331">
        <v>2</v>
      </c>
      <c r="H4331">
        <v>3.8</v>
      </c>
      <c r="I4331" t="s">
        <v>14</v>
      </c>
      <c r="J4331" t="s">
        <v>832</v>
      </c>
      <c r="K4331" s="12">
        <f>Store_Record[[#This Row],[Qty]]*Store_Record[[#This Row],[UnitPriceGBP]]</f>
        <v>7.6</v>
      </c>
      <c r="L4331" s="5" t="str">
        <f>TEXT(Store_Record[[#This Row],[Date]],"dddd")</f>
        <v>Thursday</v>
      </c>
      <c r="M4331" s="5" t="str">
        <f>TEXT(Store_Record[[#This Row],[Date]],"mmmm")</f>
        <v>November</v>
      </c>
      <c r="N4331" s="5">
        <f>YEAR(Store_Record[[#This Row],[Date]])</f>
        <v>2025</v>
      </c>
      <c r="O4331"/>
    </row>
    <row r="4332" spans="1:15" x14ac:dyDescent="0.35">
      <c r="A4332" t="s">
        <v>5324</v>
      </c>
      <c r="B4332" s="2">
        <v>45974</v>
      </c>
      <c r="C4332" t="s">
        <v>36</v>
      </c>
      <c r="D4332" t="s">
        <v>11</v>
      </c>
      <c r="E4332" t="s">
        <v>12</v>
      </c>
      <c r="F4332" t="s">
        <v>13</v>
      </c>
      <c r="G4332">
        <v>3</v>
      </c>
      <c r="H4332">
        <v>2.5</v>
      </c>
      <c r="I4332" t="s">
        <v>39</v>
      </c>
      <c r="J4332" t="s">
        <v>119</v>
      </c>
      <c r="K4332" s="12">
        <f>Store_Record[[#This Row],[Qty]]*Store_Record[[#This Row],[UnitPriceGBP]]</f>
        <v>7.5</v>
      </c>
      <c r="L4332" s="5" t="str">
        <f>TEXT(Store_Record[[#This Row],[Date]],"dddd")</f>
        <v>Thursday</v>
      </c>
      <c r="M4332" s="5" t="str">
        <f>TEXT(Store_Record[[#This Row],[Date]],"mmmm")</f>
        <v>November</v>
      </c>
      <c r="N4332" s="5">
        <f>YEAR(Store_Record[[#This Row],[Date]])</f>
        <v>2025</v>
      </c>
      <c r="O4332"/>
    </row>
    <row r="4333" spans="1:15" x14ac:dyDescent="0.35">
      <c r="A4333" t="s">
        <v>5323</v>
      </c>
      <c r="B4333" s="2">
        <v>45974</v>
      </c>
      <c r="C4333" t="s">
        <v>20</v>
      </c>
      <c r="D4333" t="s">
        <v>25</v>
      </c>
      <c r="E4333" t="s">
        <v>26</v>
      </c>
      <c r="F4333" t="s">
        <v>13</v>
      </c>
      <c r="G4333">
        <v>2</v>
      </c>
      <c r="H4333">
        <v>3.5</v>
      </c>
      <c r="I4333" t="s">
        <v>21</v>
      </c>
      <c r="J4333" t="s">
        <v>972</v>
      </c>
      <c r="K4333" s="12">
        <f>Store_Record[[#This Row],[Qty]]*Store_Record[[#This Row],[UnitPriceGBP]]</f>
        <v>7</v>
      </c>
      <c r="L4333" s="5" t="str">
        <f>TEXT(Store_Record[[#This Row],[Date]],"dddd")</f>
        <v>Thursday</v>
      </c>
      <c r="M4333" s="5" t="str">
        <f>TEXT(Store_Record[[#This Row],[Date]],"mmmm")</f>
        <v>November</v>
      </c>
      <c r="N4333" s="5">
        <f>YEAR(Store_Record[[#This Row],[Date]])</f>
        <v>2025</v>
      </c>
      <c r="O4333"/>
    </row>
    <row r="4334" spans="1:15" x14ac:dyDescent="0.35">
      <c r="A4334" t="s">
        <v>5315</v>
      </c>
      <c r="B4334" s="2">
        <v>45974</v>
      </c>
      <c r="C4334" t="s">
        <v>24</v>
      </c>
      <c r="D4334" t="s">
        <v>11</v>
      </c>
      <c r="E4334" t="s">
        <v>12</v>
      </c>
      <c r="F4334" t="s">
        <v>13</v>
      </c>
      <c r="G4334">
        <v>2</v>
      </c>
      <c r="H4334">
        <v>2.5</v>
      </c>
      <c r="I4334" t="s">
        <v>21</v>
      </c>
      <c r="J4334" t="s">
        <v>947</v>
      </c>
      <c r="K4334" s="12">
        <f>Store_Record[[#This Row],[Qty]]*Store_Record[[#This Row],[UnitPriceGBP]]</f>
        <v>5</v>
      </c>
      <c r="L4334" s="5" t="str">
        <f>TEXT(Store_Record[[#This Row],[Date]],"dddd")</f>
        <v>Thursday</v>
      </c>
      <c r="M4334" s="5" t="str">
        <f>TEXT(Store_Record[[#This Row],[Date]],"mmmm")</f>
        <v>November</v>
      </c>
      <c r="N4334" s="5">
        <f>YEAR(Store_Record[[#This Row],[Date]])</f>
        <v>2025</v>
      </c>
      <c r="O4334"/>
    </row>
    <row r="4335" spans="1:15" x14ac:dyDescent="0.35">
      <c r="A4335" t="s">
        <v>5330</v>
      </c>
      <c r="B4335" s="2">
        <v>45974</v>
      </c>
      <c r="C4335" t="s">
        <v>20</v>
      </c>
      <c r="D4335" t="s">
        <v>47</v>
      </c>
      <c r="E4335" t="s">
        <v>12</v>
      </c>
      <c r="F4335" t="s">
        <v>13</v>
      </c>
      <c r="G4335">
        <v>2</v>
      </c>
      <c r="H4335">
        <v>2.5</v>
      </c>
      <c r="I4335" t="s">
        <v>21</v>
      </c>
      <c r="J4335" t="s">
        <v>1294</v>
      </c>
      <c r="K4335" s="12">
        <f>Store_Record[[#This Row],[Qty]]*Store_Record[[#This Row],[UnitPriceGBP]]</f>
        <v>5</v>
      </c>
      <c r="L4335" s="5" t="str">
        <f>TEXT(Store_Record[[#This Row],[Date]],"dddd")</f>
        <v>Thursday</v>
      </c>
      <c r="M4335" s="5" t="str">
        <f>TEXT(Store_Record[[#This Row],[Date]],"mmmm")</f>
        <v>November</v>
      </c>
      <c r="N4335" s="5">
        <f>YEAR(Store_Record[[#This Row],[Date]])</f>
        <v>2025</v>
      </c>
      <c r="O4335"/>
    </row>
    <row r="4336" spans="1:15" x14ac:dyDescent="0.35">
      <c r="A4336" t="s">
        <v>5314</v>
      </c>
      <c r="B4336" s="2">
        <v>45974</v>
      </c>
      <c r="C4336" t="s">
        <v>10</v>
      </c>
      <c r="D4336" t="s">
        <v>11</v>
      </c>
      <c r="E4336" t="s">
        <v>34</v>
      </c>
      <c r="F4336" t="s">
        <v>31</v>
      </c>
      <c r="G4336">
        <v>2</v>
      </c>
      <c r="H4336">
        <v>2.2000000000000002</v>
      </c>
      <c r="I4336" t="s">
        <v>39</v>
      </c>
      <c r="J4336" t="s">
        <v>1541</v>
      </c>
      <c r="K4336" s="12">
        <f>Store_Record[[#This Row],[Qty]]*Store_Record[[#This Row],[UnitPriceGBP]]</f>
        <v>4.4000000000000004</v>
      </c>
      <c r="L4336" s="5" t="str">
        <f>TEXT(Store_Record[[#This Row],[Date]],"dddd")</f>
        <v>Thursday</v>
      </c>
      <c r="M4336" s="5" t="str">
        <f>TEXT(Store_Record[[#This Row],[Date]],"mmmm")</f>
        <v>November</v>
      </c>
      <c r="N4336" s="5">
        <f>YEAR(Store_Record[[#This Row],[Date]])</f>
        <v>2025</v>
      </c>
      <c r="O4336"/>
    </row>
    <row r="4337" spans="1:15" x14ac:dyDescent="0.35">
      <c r="A4337" t="s">
        <v>5317</v>
      </c>
      <c r="B4337" s="2">
        <v>45974</v>
      </c>
      <c r="C4337" t="s">
        <v>24</v>
      </c>
      <c r="D4337" t="s">
        <v>29</v>
      </c>
      <c r="E4337" t="s">
        <v>34</v>
      </c>
      <c r="F4337" t="s">
        <v>31</v>
      </c>
      <c r="G4337">
        <v>2</v>
      </c>
      <c r="H4337">
        <v>2.2000000000000002</v>
      </c>
      <c r="I4337" t="s">
        <v>21</v>
      </c>
      <c r="J4337" t="s">
        <v>1262</v>
      </c>
      <c r="K4337" s="12">
        <f>Store_Record[[#This Row],[Qty]]*Store_Record[[#This Row],[UnitPriceGBP]]</f>
        <v>4.4000000000000004</v>
      </c>
      <c r="L4337" s="5" t="str">
        <f>TEXT(Store_Record[[#This Row],[Date]],"dddd")</f>
        <v>Thursday</v>
      </c>
      <c r="M4337" s="5" t="str">
        <f>TEXT(Store_Record[[#This Row],[Date]],"mmmm")</f>
        <v>November</v>
      </c>
      <c r="N4337" s="5">
        <f>YEAR(Store_Record[[#This Row],[Date]])</f>
        <v>2025</v>
      </c>
      <c r="O4337"/>
    </row>
    <row r="4338" spans="1:15" x14ac:dyDescent="0.35">
      <c r="A4338" t="s">
        <v>5331</v>
      </c>
      <c r="B4338" s="2">
        <v>45974</v>
      </c>
      <c r="C4338" t="s">
        <v>24</v>
      </c>
      <c r="D4338" t="s">
        <v>47</v>
      </c>
      <c r="E4338" t="s">
        <v>34</v>
      </c>
      <c r="F4338" t="s">
        <v>31</v>
      </c>
      <c r="G4338">
        <v>2</v>
      </c>
      <c r="H4338">
        <v>2.2000000000000002</v>
      </c>
      <c r="I4338" t="s">
        <v>39</v>
      </c>
      <c r="J4338" t="s">
        <v>1327</v>
      </c>
      <c r="K4338" s="12">
        <f>Store_Record[[#This Row],[Qty]]*Store_Record[[#This Row],[UnitPriceGBP]]</f>
        <v>4.4000000000000004</v>
      </c>
      <c r="L4338" s="5" t="str">
        <f>TEXT(Store_Record[[#This Row],[Date]],"dddd")</f>
        <v>Thursday</v>
      </c>
      <c r="M4338" s="5" t="str">
        <f>TEXT(Store_Record[[#This Row],[Date]],"mmmm")</f>
        <v>November</v>
      </c>
      <c r="N4338" s="5">
        <f>YEAR(Store_Record[[#This Row],[Date]])</f>
        <v>2025</v>
      </c>
      <c r="O4338"/>
    </row>
    <row r="4339" spans="1:15" x14ac:dyDescent="0.35">
      <c r="A4339" t="s">
        <v>5328</v>
      </c>
      <c r="B4339" s="2">
        <v>45974</v>
      </c>
      <c r="C4339" t="s">
        <v>36</v>
      </c>
      <c r="D4339" t="s">
        <v>47</v>
      </c>
      <c r="E4339" t="s">
        <v>42</v>
      </c>
      <c r="F4339" t="s">
        <v>13</v>
      </c>
      <c r="G4339">
        <v>1</v>
      </c>
      <c r="H4339">
        <v>3.8</v>
      </c>
      <c r="I4339" t="s">
        <v>39</v>
      </c>
      <c r="J4339" t="s">
        <v>445</v>
      </c>
      <c r="K4339" s="12">
        <f>Store_Record[[#This Row],[Qty]]*Store_Record[[#This Row],[UnitPriceGBP]]</f>
        <v>3.8</v>
      </c>
      <c r="L4339" s="5" t="str">
        <f>TEXT(Store_Record[[#This Row],[Date]],"dddd")</f>
        <v>Thursday</v>
      </c>
      <c r="M4339" s="5" t="str">
        <f>TEXT(Store_Record[[#This Row],[Date]],"mmmm")</f>
        <v>November</v>
      </c>
      <c r="N4339" s="5">
        <f>YEAR(Store_Record[[#This Row],[Date]])</f>
        <v>2025</v>
      </c>
      <c r="O4339"/>
    </row>
    <row r="4340" spans="1:15" x14ac:dyDescent="0.35">
      <c r="A4340" t="s">
        <v>5316</v>
      </c>
      <c r="B4340" s="2">
        <v>45974</v>
      </c>
      <c r="C4340" t="s">
        <v>24</v>
      </c>
      <c r="D4340" t="s">
        <v>25</v>
      </c>
      <c r="E4340" t="s">
        <v>26</v>
      </c>
      <c r="F4340" t="s">
        <v>13</v>
      </c>
      <c r="G4340">
        <v>1</v>
      </c>
      <c r="H4340">
        <v>3.5</v>
      </c>
      <c r="I4340" t="s">
        <v>14</v>
      </c>
      <c r="J4340" t="s">
        <v>3508</v>
      </c>
      <c r="K4340" s="12">
        <f>Store_Record[[#This Row],[Qty]]*Store_Record[[#This Row],[UnitPriceGBP]]</f>
        <v>3.5</v>
      </c>
      <c r="L4340" s="5" t="str">
        <f>TEXT(Store_Record[[#This Row],[Date]],"dddd")</f>
        <v>Thursday</v>
      </c>
      <c r="M4340" s="5" t="str">
        <f>TEXT(Store_Record[[#This Row],[Date]],"mmmm")</f>
        <v>November</v>
      </c>
      <c r="N4340" s="5">
        <f>YEAR(Store_Record[[#This Row],[Date]])</f>
        <v>2025</v>
      </c>
      <c r="O4340"/>
    </row>
    <row r="4341" spans="1:15" x14ac:dyDescent="0.35">
      <c r="A4341" t="s">
        <v>5340</v>
      </c>
      <c r="B4341" s="2">
        <v>45975</v>
      </c>
      <c r="C4341" t="s">
        <v>20</v>
      </c>
      <c r="D4341" t="s">
        <v>47</v>
      </c>
      <c r="E4341" t="s">
        <v>42</v>
      </c>
      <c r="F4341" t="s">
        <v>13</v>
      </c>
      <c r="G4341">
        <v>4</v>
      </c>
      <c r="H4341">
        <v>3.8</v>
      </c>
      <c r="I4341" t="s">
        <v>21</v>
      </c>
      <c r="J4341" t="s">
        <v>1471</v>
      </c>
      <c r="K4341" s="12">
        <f>Store_Record[[#This Row],[Qty]]*Store_Record[[#This Row],[UnitPriceGBP]]</f>
        <v>15.2</v>
      </c>
      <c r="L4341" s="5" t="str">
        <f>TEXT(Store_Record[[#This Row],[Date]],"dddd")</f>
        <v>Friday</v>
      </c>
      <c r="M4341" s="5" t="str">
        <f>TEXT(Store_Record[[#This Row],[Date]],"mmmm")</f>
        <v>November</v>
      </c>
      <c r="N4341" s="5">
        <f>YEAR(Store_Record[[#This Row],[Date]])</f>
        <v>2025</v>
      </c>
      <c r="O4341"/>
    </row>
    <row r="4342" spans="1:15" x14ac:dyDescent="0.35">
      <c r="A4342" t="s">
        <v>5339</v>
      </c>
      <c r="B4342" s="2">
        <v>45975</v>
      </c>
      <c r="C4342" t="s">
        <v>20</v>
      </c>
      <c r="D4342" t="s">
        <v>38</v>
      </c>
      <c r="E4342" t="s">
        <v>30</v>
      </c>
      <c r="F4342" t="s">
        <v>31</v>
      </c>
      <c r="G4342">
        <v>5</v>
      </c>
      <c r="H4342">
        <v>2.8</v>
      </c>
      <c r="I4342" t="s">
        <v>21</v>
      </c>
      <c r="J4342" t="s">
        <v>260</v>
      </c>
      <c r="K4342" s="12">
        <f>Store_Record[[#This Row],[Qty]]*Store_Record[[#This Row],[UnitPriceGBP]]</f>
        <v>14</v>
      </c>
      <c r="L4342" s="5" t="str">
        <f>TEXT(Store_Record[[#This Row],[Date]],"dddd")</f>
        <v>Friday</v>
      </c>
      <c r="M4342" s="5" t="str">
        <f>TEXT(Store_Record[[#This Row],[Date]],"mmmm")</f>
        <v>November</v>
      </c>
      <c r="N4342" s="5">
        <f>YEAR(Store_Record[[#This Row],[Date]])</f>
        <v>2025</v>
      </c>
      <c r="O4342"/>
    </row>
    <row r="4343" spans="1:15" x14ac:dyDescent="0.35">
      <c r="A4343" t="s">
        <v>5338</v>
      </c>
      <c r="B4343" s="2">
        <v>45975</v>
      </c>
      <c r="C4343" t="s">
        <v>10</v>
      </c>
      <c r="D4343" t="s">
        <v>38</v>
      </c>
      <c r="E4343" t="s">
        <v>42</v>
      </c>
      <c r="F4343" t="s">
        <v>13</v>
      </c>
      <c r="G4343">
        <v>3</v>
      </c>
      <c r="H4343">
        <v>3.8</v>
      </c>
      <c r="I4343" t="s">
        <v>21</v>
      </c>
      <c r="J4343" t="s">
        <v>526</v>
      </c>
      <c r="K4343" s="12">
        <f>Store_Record[[#This Row],[Qty]]*Store_Record[[#This Row],[UnitPriceGBP]]</f>
        <v>11.399999999999999</v>
      </c>
      <c r="L4343" s="5" t="str">
        <f>TEXT(Store_Record[[#This Row],[Date]],"dddd")</f>
        <v>Friday</v>
      </c>
      <c r="M4343" s="5" t="str">
        <f>TEXT(Store_Record[[#This Row],[Date]],"mmmm")</f>
        <v>November</v>
      </c>
      <c r="N4343" s="5">
        <f>YEAR(Store_Record[[#This Row],[Date]])</f>
        <v>2025</v>
      </c>
      <c r="O4343"/>
    </row>
    <row r="4344" spans="1:15" x14ac:dyDescent="0.35">
      <c r="A4344" t="s">
        <v>5337</v>
      </c>
      <c r="B4344" s="2">
        <v>45975</v>
      </c>
      <c r="C4344" t="s">
        <v>20</v>
      </c>
      <c r="D4344" t="s">
        <v>38</v>
      </c>
      <c r="E4344" t="s">
        <v>30</v>
      </c>
      <c r="F4344" t="s">
        <v>31</v>
      </c>
      <c r="G4344">
        <v>4</v>
      </c>
      <c r="H4344">
        <v>2.8</v>
      </c>
      <c r="I4344" t="s">
        <v>39</v>
      </c>
      <c r="J4344" t="s">
        <v>1389</v>
      </c>
      <c r="K4344" s="12">
        <f>Store_Record[[#This Row],[Qty]]*Store_Record[[#This Row],[UnitPriceGBP]]</f>
        <v>11.2</v>
      </c>
      <c r="L4344" s="5" t="str">
        <f>TEXT(Store_Record[[#This Row],[Date]],"dddd")</f>
        <v>Friday</v>
      </c>
      <c r="M4344" s="5" t="str">
        <f>TEXT(Store_Record[[#This Row],[Date]],"mmmm")</f>
        <v>November</v>
      </c>
      <c r="N4344" s="5">
        <f>YEAR(Store_Record[[#This Row],[Date]])</f>
        <v>2025</v>
      </c>
      <c r="O4344"/>
    </row>
    <row r="4345" spans="1:15" x14ac:dyDescent="0.35">
      <c r="A4345" t="s">
        <v>5334</v>
      </c>
      <c r="B4345" s="2">
        <v>45975</v>
      </c>
      <c r="C4345" t="s">
        <v>10</v>
      </c>
      <c r="D4345" t="s">
        <v>29</v>
      </c>
      <c r="E4345" t="s">
        <v>12</v>
      </c>
      <c r="F4345" t="s">
        <v>13</v>
      </c>
      <c r="G4345">
        <v>4</v>
      </c>
      <c r="H4345">
        <v>2.5</v>
      </c>
      <c r="I4345" t="s">
        <v>14</v>
      </c>
      <c r="J4345" t="s">
        <v>277</v>
      </c>
      <c r="K4345" s="12">
        <f>Store_Record[[#This Row],[Qty]]*Store_Record[[#This Row],[UnitPriceGBP]]</f>
        <v>10</v>
      </c>
      <c r="L4345" s="5" t="str">
        <f>TEXT(Store_Record[[#This Row],[Date]],"dddd")</f>
        <v>Friday</v>
      </c>
      <c r="M4345" s="5" t="str">
        <f>TEXT(Store_Record[[#This Row],[Date]],"mmmm")</f>
        <v>November</v>
      </c>
      <c r="N4345" s="5">
        <f>YEAR(Store_Record[[#This Row],[Date]])</f>
        <v>2025</v>
      </c>
      <c r="O4345"/>
    </row>
    <row r="4346" spans="1:15" x14ac:dyDescent="0.35">
      <c r="A4346" t="s">
        <v>5342</v>
      </c>
      <c r="B4346" s="2">
        <v>45975</v>
      </c>
      <c r="C4346" t="s">
        <v>20</v>
      </c>
      <c r="D4346" t="s">
        <v>38</v>
      </c>
      <c r="E4346" t="s">
        <v>34</v>
      </c>
      <c r="F4346" t="s">
        <v>31</v>
      </c>
      <c r="G4346">
        <v>4</v>
      </c>
      <c r="H4346">
        <v>2.2000000000000002</v>
      </c>
      <c r="I4346" t="s">
        <v>39</v>
      </c>
      <c r="J4346" t="s">
        <v>1584</v>
      </c>
      <c r="K4346" s="12">
        <f>Store_Record[[#This Row],[Qty]]*Store_Record[[#This Row],[UnitPriceGBP]]</f>
        <v>8.8000000000000007</v>
      </c>
      <c r="L4346" s="5" t="str">
        <f>TEXT(Store_Record[[#This Row],[Date]],"dddd")</f>
        <v>Friday</v>
      </c>
      <c r="M4346" s="5" t="str">
        <f>TEXT(Store_Record[[#This Row],[Date]],"mmmm")</f>
        <v>November</v>
      </c>
      <c r="N4346" s="5">
        <f>YEAR(Store_Record[[#This Row],[Date]])</f>
        <v>2025</v>
      </c>
      <c r="O4346"/>
    </row>
    <row r="4347" spans="1:15" x14ac:dyDescent="0.35">
      <c r="A4347" t="s">
        <v>5336</v>
      </c>
      <c r="B4347" s="2">
        <v>45975</v>
      </c>
      <c r="C4347" t="s">
        <v>36</v>
      </c>
      <c r="D4347" t="s">
        <v>11</v>
      </c>
      <c r="E4347" t="s">
        <v>12</v>
      </c>
      <c r="F4347" t="s">
        <v>13</v>
      </c>
      <c r="G4347">
        <v>3</v>
      </c>
      <c r="H4347">
        <v>2.5</v>
      </c>
      <c r="I4347" t="s">
        <v>14</v>
      </c>
      <c r="J4347" t="s">
        <v>648</v>
      </c>
      <c r="K4347" s="12">
        <f>Store_Record[[#This Row],[Qty]]*Store_Record[[#This Row],[UnitPriceGBP]]</f>
        <v>7.5</v>
      </c>
      <c r="L4347" s="5" t="str">
        <f>TEXT(Store_Record[[#This Row],[Date]],"dddd")</f>
        <v>Friday</v>
      </c>
      <c r="M4347" s="5" t="str">
        <f>TEXT(Store_Record[[#This Row],[Date]],"mmmm")</f>
        <v>November</v>
      </c>
      <c r="N4347" s="5">
        <f>YEAR(Store_Record[[#This Row],[Date]])</f>
        <v>2025</v>
      </c>
      <c r="O4347"/>
    </row>
    <row r="4348" spans="1:15" x14ac:dyDescent="0.35">
      <c r="A4348" t="s">
        <v>5332</v>
      </c>
      <c r="B4348" s="2">
        <v>45975</v>
      </c>
      <c r="C4348" t="s">
        <v>36</v>
      </c>
      <c r="D4348" t="s">
        <v>38</v>
      </c>
      <c r="E4348" t="s">
        <v>34</v>
      </c>
      <c r="F4348" t="s">
        <v>31</v>
      </c>
      <c r="G4348">
        <v>3</v>
      </c>
      <c r="H4348">
        <v>2.2000000000000002</v>
      </c>
      <c r="I4348" t="s">
        <v>21</v>
      </c>
      <c r="J4348" t="s">
        <v>1267</v>
      </c>
      <c r="K4348" s="12">
        <f>Store_Record[[#This Row],[Qty]]*Store_Record[[#This Row],[UnitPriceGBP]]</f>
        <v>6.6000000000000005</v>
      </c>
      <c r="L4348" s="5" t="str">
        <f>TEXT(Store_Record[[#This Row],[Date]],"dddd")</f>
        <v>Friday</v>
      </c>
      <c r="M4348" s="5" t="str">
        <f>TEXT(Store_Record[[#This Row],[Date]],"mmmm")</f>
        <v>November</v>
      </c>
      <c r="N4348" s="5">
        <f>YEAR(Store_Record[[#This Row],[Date]])</f>
        <v>2025</v>
      </c>
      <c r="O4348"/>
    </row>
    <row r="4349" spans="1:15" x14ac:dyDescent="0.35">
      <c r="A4349" t="s">
        <v>5333</v>
      </c>
      <c r="B4349" s="2">
        <v>45975</v>
      </c>
      <c r="C4349" t="s">
        <v>10</v>
      </c>
      <c r="D4349" t="s">
        <v>47</v>
      </c>
      <c r="E4349" t="s">
        <v>30</v>
      </c>
      <c r="F4349" t="s">
        <v>31</v>
      </c>
      <c r="G4349">
        <v>2</v>
      </c>
      <c r="H4349">
        <v>2.8</v>
      </c>
      <c r="I4349" t="s">
        <v>14</v>
      </c>
      <c r="J4349" t="s">
        <v>1367</v>
      </c>
      <c r="K4349" s="12">
        <f>Store_Record[[#This Row],[Qty]]*Store_Record[[#This Row],[UnitPriceGBP]]</f>
        <v>5.6</v>
      </c>
      <c r="L4349" s="5" t="str">
        <f>TEXT(Store_Record[[#This Row],[Date]],"dddd")</f>
        <v>Friday</v>
      </c>
      <c r="M4349" s="5" t="str">
        <f>TEXT(Store_Record[[#This Row],[Date]],"mmmm")</f>
        <v>November</v>
      </c>
      <c r="N4349" s="5">
        <f>YEAR(Store_Record[[#This Row],[Date]])</f>
        <v>2025</v>
      </c>
      <c r="O4349"/>
    </row>
    <row r="4350" spans="1:15" x14ac:dyDescent="0.35">
      <c r="A4350" t="s">
        <v>5341</v>
      </c>
      <c r="B4350" s="2">
        <v>45975</v>
      </c>
      <c r="C4350" t="s">
        <v>36</v>
      </c>
      <c r="D4350" t="s">
        <v>25</v>
      </c>
      <c r="E4350" t="s">
        <v>30</v>
      </c>
      <c r="F4350" t="s">
        <v>31</v>
      </c>
      <c r="G4350">
        <v>1</v>
      </c>
      <c r="H4350">
        <v>2.8</v>
      </c>
      <c r="I4350" t="s">
        <v>39</v>
      </c>
      <c r="J4350" t="s">
        <v>526</v>
      </c>
      <c r="K4350" s="12">
        <f>Store_Record[[#This Row],[Qty]]*Store_Record[[#This Row],[UnitPriceGBP]]</f>
        <v>2.8</v>
      </c>
      <c r="L4350" s="5" t="str">
        <f>TEXT(Store_Record[[#This Row],[Date]],"dddd")</f>
        <v>Friday</v>
      </c>
      <c r="M4350" s="5" t="str">
        <f>TEXT(Store_Record[[#This Row],[Date]],"mmmm")</f>
        <v>November</v>
      </c>
      <c r="N4350" s="5">
        <f>YEAR(Store_Record[[#This Row],[Date]])</f>
        <v>2025</v>
      </c>
      <c r="O4350"/>
    </row>
    <row r="4351" spans="1:15" x14ac:dyDescent="0.35">
      <c r="A4351" t="s">
        <v>5335</v>
      </c>
      <c r="B4351" s="2">
        <v>45975</v>
      </c>
      <c r="C4351" t="s">
        <v>24</v>
      </c>
      <c r="D4351" t="s">
        <v>29</v>
      </c>
      <c r="E4351" t="s">
        <v>34</v>
      </c>
      <c r="F4351" t="s">
        <v>31</v>
      </c>
      <c r="G4351">
        <v>1</v>
      </c>
      <c r="H4351">
        <v>2.2000000000000002</v>
      </c>
      <c r="I4351" t="s">
        <v>39</v>
      </c>
      <c r="J4351" t="s">
        <v>1836</v>
      </c>
      <c r="K4351" s="12">
        <f>Store_Record[[#This Row],[Qty]]*Store_Record[[#This Row],[UnitPriceGBP]]</f>
        <v>2.2000000000000002</v>
      </c>
      <c r="L4351" s="5" t="str">
        <f>TEXT(Store_Record[[#This Row],[Date]],"dddd")</f>
        <v>Friday</v>
      </c>
      <c r="M4351" s="5" t="str">
        <f>TEXT(Store_Record[[#This Row],[Date]],"mmmm")</f>
        <v>November</v>
      </c>
      <c r="N4351" s="5">
        <f>YEAR(Store_Record[[#This Row],[Date]])</f>
        <v>2025</v>
      </c>
      <c r="O4351"/>
    </row>
    <row r="4352" spans="1:15" x14ac:dyDescent="0.35">
      <c r="A4352" t="s">
        <v>5350</v>
      </c>
      <c r="B4352" s="2">
        <v>45976</v>
      </c>
      <c r="C4352" t="s">
        <v>20</v>
      </c>
      <c r="D4352" t="s">
        <v>29</v>
      </c>
      <c r="E4352" t="s">
        <v>42</v>
      </c>
      <c r="F4352" t="s">
        <v>13</v>
      </c>
      <c r="G4352">
        <v>5</v>
      </c>
      <c r="H4352">
        <v>3.8</v>
      </c>
      <c r="I4352" t="s">
        <v>21</v>
      </c>
      <c r="J4352" t="s">
        <v>2880</v>
      </c>
      <c r="K4352" s="12">
        <f>Store_Record[[#This Row],[Qty]]*Store_Record[[#This Row],[UnitPriceGBP]]</f>
        <v>19</v>
      </c>
      <c r="L4352" s="5" t="str">
        <f>TEXT(Store_Record[[#This Row],[Date]],"dddd")</f>
        <v>Saturday</v>
      </c>
      <c r="M4352" s="5" t="str">
        <f>TEXT(Store_Record[[#This Row],[Date]],"mmmm")</f>
        <v>November</v>
      </c>
      <c r="N4352" s="5">
        <f>YEAR(Store_Record[[#This Row],[Date]])</f>
        <v>2025</v>
      </c>
      <c r="O4352"/>
    </row>
    <row r="4353" spans="1:15" x14ac:dyDescent="0.35">
      <c r="A4353" t="s">
        <v>5344</v>
      </c>
      <c r="B4353" s="2">
        <v>45976</v>
      </c>
      <c r="C4353" t="s">
        <v>10</v>
      </c>
      <c r="D4353" t="s">
        <v>25</v>
      </c>
      <c r="E4353" t="s">
        <v>26</v>
      </c>
      <c r="F4353" t="s">
        <v>13</v>
      </c>
      <c r="G4353">
        <v>5</v>
      </c>
      <c r="H4353">
        <v>3.5</v>
      </c>
      <c r="I4353" t="s">
        <v>39</v>
      </c>
      <c r="J4353" t="s">
        <v>912</v>
      </c>
      <c r="K4353" s="12">
        <f>Store_Record[[#This Row],[Qty]]*Store_Record[[#This Row],[UnitPriceGBP]]</f>
        <v>17.5</v>
      </c>
      <c r="L4353" s="5" t="str">
        <f>TEXT(Store_Record[[#This Row],[Date]],"dddd")</f>
        <v>Saturday</v>
      </c>
      <c r="M4353" s="5" t="str">
        <f>TEXT(Store_Record[[#This Row],[Date]],"mmmm")</f>
        <v>November</v>
      </c>
      <c r="N4353" s="5">
        <f>YEAR(Store_Record[[#This Row],[Date]])</f>
        <v>2025</v>
      </c>
      <c r="O4353"/>
    </row>
    <row r="4354" spans="1:15" x14ac:dyDescent="0.35">
      <c r="A4354" t="s">
        <v>5353</v>
      </c>
      <c r="B4354" s="2">
        <v>45976</v>
      </c>
      <c r="C4354" t="s">
        <v>36</v>
      </c>
      <c r="D4354" t="s">
        <v>29</v>
      </c>
      <c r="E4354" t="s">
        <v>42</v>
      </c>
      <c r="F4354" t="s">
        <v>13</v>
      </c>
      <c r="G4354">
        <v>4</v>
      </c>
      <c r="H4354">
        <v>3.8</v>
      </c>
      <c r="I4354" t="s">
        <v>39</v>
      </c>
      <c r="J4354" t="s">
        <v>2568</v>
      </c>
      <c r="K4354" s="12">
        <f>Store_Record[[#This Row],[Qty]]*Store_Record[[#This Row],[UnitPriceGBP]]</f>
        <v>15.2</v>
      </c>
      <c r="L4354" s="5" t="str">
        <f>TEXT(Store_Record[[#This Row],[Date]],"dddd")</f>
        <v>Saturday</v>
      </c>
      <c r="M4354" s="5" t="str">
        <f>TEXT(Store_Record[[#This Row],[Date]],"mmmm")</f>
        <v>November</v>
      </c>
      <c r="N4354" s="5">
        <f>YEAR(Store_Record[[#This Row],[Date]])</f>
        <v>2025</v>
      </c>
      <c r="O4354"/>
    </row>
    <row r="4355" spans="1:15" x14ac:dyDescent="0.35">
      <c r="A4355" t="s">
        <v>5345</v>
      </c>
      <c r="B4355" s="2">
        <v>45976</v>
      </c>
      <c r="C4355" t="s">
        <v>36</v>
      </c>
      <c r="D4355" t="s">
        <v>11</v>
      </c>
      <c r="E4355" t="s">
        <v>30</v>
      </c>
      <c r="F4355" t="s">
        <v>31</v>
      </c>
      <c r="G4355">
        <v>5</v>
      </c>
      <c r="H4355">
        <v>2.8</v>
      </c>
      <c r="I4355" t="s">
        <v>21</v>
      </c>
      <c r="J4355" t="s">
        <v>804</v>
      </c>
      <c r="K4355" s="12">
        <f>Store_Record[[#This Row],[Qty]]*Store_Record[[#This Row],[UnitPriceGBP]]</f>
        <v>14</v>
      </c>
      <c r="L4355" s="5" t="str">
        <f>TEXT(Store_Record[[#This Row],[Date]],"dddd")</f>
        <v>Saturday</v>
      </c>
      <c r="M4355" s="5" t="str">
        <f>TEXT(Store_Record[[#This Row],[Date]],"mmmm")</f>
        <v>November</v>
      </c>
      <c r="N4355" s="5">
        <f>YEAR(Store_Record[[#This Row],[Date]])</f>
        <v>2025</v>
      </c>
      <c r="O4355"/>
    </row>
    <row r="4356" spans="1:15" x14ac:dyDescent="0.35">
      <c r="A4356" t="s">
        <v>5354</v>
      </c>
      <c r="B4356" s="2">
        <v>45976</v>
      </c>
      <c r="C4356" t="s">
        <v>10</v>
      </c>
      <c r="D4356" t="s">
        <v>47</v>
      </c>
      <c r="E4356" t="s">
        <v>12</v>
      </c>
      <c r="F4356" t="s">
        <v>13</v>
      </c>
      <c r="G4356">
        <v>5</v>
      </c>
      <c r="H4356">
        <v>2.5</v>
      </c>
      <c r="I4356" t="s">
        <v>14</v>
      </c>
      <c r="J4356" t="s">
        <v>167</v>
      </c>
      <c r="K4356" s="12">
        <f>Store_Record[[#This Row],[Qty]]*Store_Record[[#This Row],[UnitPriceGBP]]</f>
        <v>12.5</v>
      </c>
      <c r="L4356" s="5" t="str">
        <f>TEXT(Store_Record[[#This Row],[Date]],"dddd")</f>
        <v>Saturday</v>
      </c>
      <c r="M4356" s="5" t="str">
        <f>TEXT(Store_Record[[#This Row],[Date]],"mmmm")</f>
        <v>November</v>
      </c>
      <c r="N4356" s="5">
        <f>YEAR(Store_Record[[#This Row],[Date]])</f>
        <v>2025</v>
      </c>
      <c r="O4356"/>
    </row>
    <row r="4357" spans="1:15" x14ac:dyDescent="0.35">
      <c r="A4357" t="s">
        <v>5343</v>
      </c>
      <c r="B4357" s="2">
        <v>45976</v>
      </c>
      <c r="C4357" t="s">
        <v>10</v>
      </c>
      <c r="D4357" t="s">
        <v>25</v>
      </c>
      <c r="E4357" t="s">
        <v>30</v>
      </c>
      <c r="F4357" t="s">
        <v>31</v>
      </c>
      <c r="G4357">
        <v>4</v>
      </c>
      <c r="H4357">
        <v>2.8</v>
      </c>
      <c r="I4357" t="s">
        <v>14</v>
      </c>
      <c r="J4357" t="s">
        <v>2833</v>
      </c>
      <c r="K4357" s="12">
        <f>Store_Record[[#This Row],[Qty]]*Store_Record[[#This Row],[UnitPriceGBP]]</f>
        <v>11.2</v>
      </c>
      <c r="L4357" s="5" t="str">
        <f>TEXT(Store_Record[[#This Row],[Date]],"dddd")</f>
        <v>Saturday</v>
      </c>
      <c r="M4357" s="5" t="str">
        <f>TEXT(Store_Record[[#This Row],[Date]],"mmmm")</f>
        <v>November</v>
      </c>
      <c r="N4357" s="5">
        <f>YEAR(Store_Record[[#This Row],[Date]])</f>
        <v>2025</v>
      </c>
      <c r="O4357"/>
    </row>
    <row r="4358" spans="1:15" x14ac:dyDescent="0.35">
      <c r="A4358" t="s">
        <v>5355</v>
      </c>
      <c r="B4358" s="2">
        <v>45976</v>
      </c>
      <c r="C4358" t="s">
        <v>10</v>
      </c>
      <c r="D4358" t="s">
        <v>47</v>
      </c>
      <c r="E4358" t="s">
        <v>12</v>
      </c>
      <c r="F4358" t="s">
        <v>13</v>
      </c>
      <c r="G4358">
        <v>4</v>
      </c>
      <c r="H4358">
        <v>2.5</v>
      </c>
      <c r="I4358" t="s">
        <v>21</v>
      </c>
      <c r="J4358" t="s">
        <v>1625</v>
      </c>
      <c r="K4358" s="12">
        <f>Store_Record[[#This Row],[Qty]]*Store_Record[[#This Row],[UnitPriceGBP]]</f>
        <v>10</v>
      </c>
      <c r="L4358" s="5" t="str">
        <f>TEXT(Store_Record[[#This Row],[Date]],"dddd")</f>
        <v>Saturday</v>
      </c>
      <c r="M4358" s="5" t="str">
        <f>TEXT(Store_Record[[#This Row],[Date]],"mmmm")</f>
        <v>November</v>
      </c>
      <c r="N4358" s="5">
        <f>YEAR(Store_Record[[#This Row],[Date]])</f>
        <v>2025</v>
      </c>
      <c r="O4358"/>
    </row>
    <row r="4359" spans="1:15" x14ac:dyDescent="0.35">
      <c r="A4359" t="s">
        <v>5346</v>
      </c>
      <c r="B4359" s="2">
        <v>45976</v>
      </c>
      <c r="C4359" t="s">
        <v>20</v>
      </c>
      <c r="D4359" t="s">
        <v>11</v>
      </c>
      <c r="E4359" t="s">
        <v>42</v>
      </c>
      <c r="F4359" t="s">
        <v>13</v>
      </c>
      <c r="G4359">
        <v>2</v>
      </c>
      <c r="H4359">
        <v>3.8</v>
      </c>
      <c r="I4359" t="s">
        <v>21</v>
      </c>
      <c r="J4359" t="s">
        <v>493</v>
      </c>
      <c r="K4359" s="12">
        <f>Store_Record[[#This Row],[Qty]]*Store_Record[[#This Row],[UnitPriceGBP]]</f>
        <v>7.6</v>
      </c>
      <c r="L4359" s="5" t="str">
        <f>TEXT(Store_Record[[#This Row],[Date]],"dddd")</f>
        <v>Saturday</v>
      </c>
      <c r="M4359" s="5" t="str">
        <f>TEXT(Store_Record[[#This Row],[Date]],"mmmm")</f>
        <v>November</v>
      </c>
      <c r="N4359" s="5">
        <f>YEAR(Store_Record[[#This Row],[Date]])</f>
        <v>2025</v>
      </c>
      <c r="O4359"/>
    </row>
    <row r="4360" spans="1:15" x14ac:dyDescent="0.35">
      <c r="A4360" t="s">
        <v>5349</v>
      </c>
      <c r="B4360" s="2">
        <v>45976</v>
      </c>
      <c r="C4360" t="s">
        <v>24</v>
      </c>
      <c r="D4360" t="s">
        <v>38</v>
      </c>
      <c r="E4360" t="s">
        <v>42</v>
      </c>
      <c r="F4360" t="s">
        <v>13</v>
      </c>
      <c r="G4360">
        <v>2</v>
      </c>
      <c r="H4360">
        <v>3.8</v>
      </c>
      <c r="I4360" t="s">
        <v>21</v>
      </c>
      <c r="J4360" t="s">
        <v>1230</v>
      </c>
      <c r="K4360" s="12">
        <f>Store_Record[[#This Row],[Qty]]*Store_Record[[#This Row],[UnitPriceGBP]]</f>
        <v>7.6</v>
      </c>
      <c r="L4360" s="5" t="str">
        <f>TEXT(Store_Record[[#This Row],[Date]],"dddd")</f>
        <v>Saturday</v>
      </c>
      <c r="M4360" s="5" t="str">
        <f>TEXT(Store_Record[[#This Row],[Date]],"mmmm")</f>
        <v>November</v>
      </c>
      <c r="N4360" s="5">
        <f>YEAR(Store_Record[[#This Row],[Date]])</f>
        <v>2025</v>
      </c>
      <c r="O4360"/>
    </row>
    <row r="4361" spans="1:15" x14ac:dyDescent="0.35">
      <c r="A4361" t="s">
        <v>5348</v>
      </c>
      <c r="B4361" s="2">
        <v>45976</v>
      </c>
      <c r="C4361" t="s">
        <v>20</v>
      </c>
      <c r="D4361" t="s">
        <v>11</v>
      </c>
      <c r="E4361" t="s">
        <v>30</v>
      </c>
      <c r="F4361" t="s">
        <v>31</v>
      </c>
      <c r="G4361">
        <v>2</v>
      </c>
      <c r="H4361">
        <v>2.8</v>
      </c>
      <c r="I4361" t="s">
        <v>21</v>
      </c>
      <c r="J4361" t="s">
        <v>306</v>
      </c>
      <c r="K4361" s="12">
        <f>Store_Record[[#This Row],[Qty]]*Store_Record[[#This Row],[UnitPriceGBP]]</f>
        <v>5.6</v>
      </c>
      <c r="L4361" s="5" t="str">
        <f>TEXT(Store_Record[[#This Row],[Date]],"dddd")</f>
        <v>Saturday</v>
      </c>
      <c r="M4361" s="5" t="str">
        <f>TEXT(Store_Record[[#This Row],[Date]],"mmmm")</f>
        <v>November</v>
      </c>
      <c r="N4361" s="5">
        <f>YEAR(Store_Record[[#This Row],[Date]])</f>
        <v>2025</v>
      </c>
      <c r="O4361"/>
    </row>
    <row r="4362" spans="1:15" x14ac:dyDescent="0.35">
      <c r="A4362" t="s">
        <v>5351</v>
      </c>
      <c r="B4362" s="2">
        <v>45976</v>
      </c>
      <c r="C4362" t="s">
        <v>20</v>
      </c>
      <c r="D4362" t="s">
        <v>38</v>
      </c>
      <c r="E4362" t="s">
        <v>12</v>
      </c>
      <c r="F4362" t="s">
        <v>13</v>
      </c>
      <c r="G4362">
        <v>2</v>
      </c>
      <c r="H4362">
        <v>2.5</v>
      </c>
      <c r="I4362" t="s">
        <v>14</v>
      </c>
      <c r="J4362" t="s">
        <v>2220</v>
      </c>
      <c r="K4362" s="12">
        <f>Store_Record[[#This Row],[Qty]]*Store_Record[[#This Row],[UnitPriceGBP]]</f>
        <v>5</v>
      </c>
      <c r="L4362" s="5" t="str">
        <f>TEXT(Store_Record[[#This Row],[Date]],"dddd")</f>
        <v>Saturday</v>
      </c>
      <c r="M4362" s="5" t="str">
        <f>TEXT(Store_Record[[#This Row],[Date]],"mmmm")</f>
        <v>November</v>
      </c>
      <c r="N4362" s="5">
        <f>YEAR(Store_Record[[#This Row],[Date]])</f>
        <v>2025</v>
      </c>
      <c r="O4362"/>
    </row>
    <row r="4363" spans="1:15" x14ac:dyDescent="0.35">
      <c r="A4363" t="s">
        <v>5352</v>
      </c>
      <c r="B4363" s="2">
        <v>45976</v>
      </c>
      <c r="C4363" t="s">
        <v>36</v>
      </c>
      <c r="D4363" t="s">
        <v>25</v>
      </c>
      <c r="E4363" t="s">
        <v>26</v>
      </c>
      <c r="F4363" t="s">
        <v>13</v>
      </c>
      <c r="G4363">
        <v>1</v>
      </c>
      <c r="H4363">
        <v>3.5</v>
      </c>
      <c r="I4363" t="s">
        <v>39</v>
      </c>
      <c r="J4363" t="s">
        <v>671</v>
      </c>
      <c r="K4363" s="12">
        <f>Store_Record[[#This Row],[Qty]]*Store_Record[[#This Row],[UnitPriceGBP]]</f>
        <v>3.5</v>
      </c>
      <c r="L4363" s="5" t="str">
        <f>TEXT(Store_Record[[#This Row],[Date]],"dddd")</f>
        <v>Saturday</v>
      </c>
      <c r="M4363" s="5" t="str">
        <f>TEXT(Store_Record[[#This Row],[Date]],"mmmm")</f>
        <v>November</v>
      </c>
      <c r="N4363" s="5">
        <f>YEAR(Store_Record[[#This Row],[Date]])</f>
        <v>2025</v>
      </c>
      <c r="O4363"/>
    </row>
    <row r="4364" spans="1:15" x14ac:dyDescent="0.35">
      <c r="A4364" t="s">
        <v>5347</v>
      </c>
      <c r="B4364" s="2">
        <v>45976</v>
      </c>
      <c r="C4364" t="s">
        <v>10</v>
      </c>
      <c r="D4364" t="s">
        <v>38</v>
      </c>
      <c r="E4364" t="s">
        <v>34</v>
      </c>
      <c r="F4364" t="s">
        <v>31</v>
      </c>
      <c r="G4364">
        <v>1</v>
      </c>
      <c r="H4364">
        <v>2.2000000000000002</v>
      </c>
      <c r="I4364" t="s">
        <v>14</v>
      </c>
      <c r="J4364" t="s">
        <v>183</v>
      </c>
      <c r="K4364" s="12">
        <f>Store_Record[[#This Row],[Qty]]*Store_Record[[#This Row],[UnitPriceGBP]]</f>
        <v>2.2000000000000002</v>
      </c>
      <c r="L4364" s="5" t="str">
        <f>TEXT(Store_Record[[#This Row],[Date]],"dddd")</f>
        <v>Saturday</v>
      </c>
      <c r="M4364" s="5" t="str">
        <f>TEXT(Store_Record[[#This Row],[Date]],"mmmm")</f>
        <v>November</v>
      </c>
      <c r="N4364" s="5">
        <f>YEAR(Store_Record[[#This Row],[Date]])</f>
        <v>2025</v>
      </c>
      <c r="O4364"/>
    </row>
    <row r="4365" spans="1:15" x14ac:dyDescent="0.35">
      <c r="A4365" t="s">
        <v>5361</v>
      </c>
      <c r="B4365" s="2">
        <v>45977</v>
      </c>
      <c r="C4365" t="s">
        <v>36</v>
      </c>
      <c r="D4365" t="s">
        <v>11</v>
      </c>
      <c r="E4365" t="s">
        <v>26</v>
      </c>
      <c r="F4365" t="s">
        <v>13</v>
      </c>
      <c r="G4365">
        <v>5</v>
      </c>
      <c r="H4365">
        <v>3.5</v>
      </c>
      <c r="I4365" t="s">
        <v>14</v>
      </c>
      <c r="J4365" t="s">
        <v>1106</v>
      </c>
      <c r="K4365" s="12">
        <f>Store_Record[[#This Row],[Qty]]*Store_Record[[#This Row],[UnitPriceGBP]]</f>
        <v>17.5</v>
      </c>
      <c r="L4365" s="5" t="str">
        <f>TEXT(Store_Record[[#This Row],[Date]],"dddd")</f>
        <v>Sunday</v>
      </c>
      <c r="M4365" s="5" t="str">
        <f>TEXT(Store_Record[[#This Row],[Date]],"mmmm")</f>
        <v>November</v>
      </c>
      <c r="N4365" s="5">
        <f>YEAR(Store_Record[[#This Row],[Date]])</f>
        <v>2025</v>
      </c>
      <c r="O4365"/>
    </row>
    <row r="4366" spans="1:15" x14ac:dyDescent="0.35">
      <c r="A4366" t="s">
        <v>5362</v>
      </c>
      <c r="B4366" s="2">
        <v>45977</v>
      </c>
      <c r="C4366" t="s">
        <v>24</v>
      </c>
      <c r="D4366" t="s">
        <v>29</v>
      </c>
      <c r="E4366" t="s">
        <v>30</v>
      </c>
      <c r="F4366" t="s">
        <v>31</v>
      </c>
      <c r="G4366">
        <v>5</v>
      </c>
      <c r="H4366">
        <v>2.8</v>
      </c>
      <c r="I4366" t="s">
        <v>21</v>
      </c>
      <c r="J4366" t="s">
        <v>3950</v>
      </c>
      <c r="K4366" s="12">
        <f>Store_Record[[#This Row],[Qty]]*Store_Record[[#This Row],[UnitPriceGBP]]</f>
        <v>14</v>
      </c>
      <c r="L4366" s="5" t="str">
        <f>TEXT(Store_Record[[#This Row],[Date]],"dddd")</f>
        <v>Sunday</v>
      </c>
      <c r="M4366" s="5" t="str">
        <f>TEXT(Store_Record[[#This Row],[Date]],"mmmm")</f>
        <v>November</v>
      </c>
      <c r="N4366" s="5">
        <f>YEAR(Store_Record[[#This Row],[Date]])</f>
        <v>2025</v>
      </c>
      <c r="O4366"/>
    </row>
    <row r="4367" spans="1:15" x14ac:dyDescent="0.35">
      <c r="A4367" t="s">
        <v>5364</v>
      </c>
      <c r="B4367" s="2">
        <v>45977</v>
      </c>
      <c r="C4367" t="s">
        <v>36</v>
      </c>
      <c r="D4367" t="s">
        <v>29</v>
      </c>
      <c r="E4367" t="s">
        <v>26</v>
      </c>
      <c r="F4367" t="s">
        <v>13</v>
      </c>
      <c r="G4367">
        <v>4</v>
      </c>
      <c r="H4367">
        <v>3.5</v>
      </c>
      <c r="I4367" t="s">
        <v>21</v>
      </c>
      <c r="J4367" t="s">
        <v>976</v>
      </c>
      <c r="K4367" s="12">
        <f>Store_Record[[#This Row],[Qty]]*Store_Record[[#This Row],[UnitPriceGBP]]</f>
        <v>14</v>
      </c>
      <c r="L4367" s="5" t="str">
        <f>TEXT(Store_Record[[#This Row],[Date]],"dddd")</f>
        <v>Sunday</v>
      </c>
      <c r="M4367" s="5" t="str">
        <f>TEXT(Store_Record[[#This Row],[Date]],"mmmm")</f>
        <v>November</v>
      </c>
      <c r="N4367" s="5">
        <f>YEAR(Store_Record[[#This Row],[Date]])</f>
        <v>2025</v>
      </c>
      <c r="O4367"/>
    </row>
    <row r="4368" spans="1:15" x14ac:dyDescent="0.35">
      <c r="A4368" t="s">
        <v>5356</v>
      </c>
      <c r="B4368" s="2">
        <v>45977</v>
      </c>
      <c r="C4368" t="s">
        <v>36</v>
      </c>
      <c r="D4368" t="s">
        <v>25</v>
      </c>
      <c r="E4368" t="s">
        <v>12</v>
      </c>
      <c r="F4368" t="s">
        <v>13</v>
      </c>
      <c r="G4368">
        <v>5</v>
      </c>
      <c r="H4368">
        <v>2.5</v>
      </c>
      <c r="I4368" t="s">
        <v>14</v>
      </c>
      <c r="J4368" t="s">
        <v>1814</v>
      </c>
      <c r="K4368" s="12">
        <f>Store_Record[[#This Row],[Qty]]*Store_Record[[#This Row],[UnitPriceGBP]]</f>
        <v>12.5</v>
      </c>
      <c r="L4368" s="5" t="str">
        <f>TEXT(Store_Record[[#This Row],[Date]],"dddd")</f>
        <v>Sunday</v>
      </c>
      <c r="M4368" s="5" t="str">
        <f>TEXT(Store_Record[[#This Row],[Date]],"mmmm")</f>
        <v>November</v>
      </c>
      <c r="N4368" s="5">
        <f>YEAR(Store_Record[[#This Row],[Date]])</f>
        <v>2025</v>
      </c>
      <c r="O4368"/>
    </row>
    <row r="4369" spans="1:15" x14ac:dyDescent="0.35">
      <c r="A4369" t="s">
        <v>5363</v>
      </c>
      <c r="B4369" s="2">
        <v>45977</v>
      </c>
      <c r="C4369" t="s">
        <v>24</v>
      </c>
      <c r="D4369" t="s">
        <v>29</v>
      </c>
      <c r="E4369" t="s">
        <v>12</v>
      </c>
      <c r="F4369" t="s">
        <v>13</v>
      </c>
      <c r="G4369">
        <v>5</v>
      </c>
      <c r="H4369">
        <v>2.5</v>
      </c>
      <c r="I4369" t="s">
        <v>14</v>
      </c>
      <c r="J4369" t="s">
        <v>369</v>
      </c>
      <c r="K4369" s="12">
        <f>Store_Record[[#This Row],[Qty]]*Store_Record[[#This Row],[UnitPriceGBP]]</f>
        <v>12.5</v>
      </c>
      <c r="L4369" s="5" t="str">
        <f>TEXT(Store_Record[[#This Row],[Date]],"dddd")</f>
        <v>Sunday</v>
      </c>
      <c r="M4369" s="5" t="str">
        <f>TEXT(Store_Record[[#This Row],[Date]],"mmmm")</f>
        <v>November</v>
      </c>
      <c r="N4369" s="5">
        <f>YEAR(Store_Record[[#This Row],[Date]])</f>
        <v>2025</v>
      </c>
      <c r="O4369"/>
    </row>
    <row r="4370" spans="1:15" x14ac:dyDescent="0.35">
      <c r="A4370" t="s">
        <v>5358</v>
      </c>
      <c r="B4370" s="2">
        <v>45977</v>
      </c>
      <c r="C4370" t="s">
        <v>36</v>
      </c>
      <c r="D4370" t="s">
        <v>29</v>
      </c>
      <c r="E4370" t="s">
        <v>12</v>
      </c>
      <c r="F4370" t="s">
        <v>13</v>
      </c>
      <c r="G4370">
        <v>4</v>
      </c>
      <c r="H4370">
        <v>2.5</v>
      </c>
      <c r="I4370" t="s">
        <v>39</v>
      </c>
      <c r="J4370" t="s">
        <v>4371</v>
      </c>
      <c r="K4370" s="12">
        <f>Store_Record[[#This Row],[Qty]]*Store_Record[[#This Row],[UnitPriceGBP]]</f>
        <v>10</v>
      </c>
      <c r="L4370" s="5" t="str">
        <f>TEXT(Store_Record[[#This Row],[Date]],"dddd")</f>
        <v>Sunday</v>
      </c>
      <c r="M4370" s="5" t="str">
        <f>TEXT(Store_Record[[#This Row],[Date]],"mmmm")</f>
        <v>November</v>
      </c>
      <c r="N4370" s="5">
        <f>YEAR(Store_Record[[#This Row],[Date]])</f>
        <v>2025</v>
      </c>
      <c r="O4370"/>
    </row>
    <row r="4371" spans="1:15" x14ac:dyDescent="0.35">
      <c r="A4371" t="s">
        <v>5359</v>
      </c>
      <c r="B4371" s="2">
        <v>45977</v>
      </c>
      <c r="C4371" t="s">
        <v>20</v>
      </c>
      <c r="D4371" t="s">
        <v>25</v>
      </c>
      <c r="E4371" t="s">
        <v>12</v>
      </c>
      <c r="F4371" t="s">
        <v>13</v>
      </c>
      <c r="G4371">
        <v>4</v>
      </c>
      <c r="H4371">
        <v>2.5</v>
      </c>
      <c r="I4371" t="s">
        <v>14</v>
      </c>
      <c r="J4371" t="s">
        <v>464</v>
      </c>
      <c r="K4371" s="12">
        <f>Store_Record[[#This Row],[Qty]]*Store_Record[[#This Row],[UnitPriceGBP]]</f>
        <v>10</v>
      </c>
      <c r="L4371" s="5" t="str">
        <f>TEXT(Store_Record[[#This Row],[Date]],"dddd")</f>
        <v>Sunday</v>
      </c>
      <c r="M4371" s="5" t="str">
        <f>TEXT(Store_Record[[#This Row],[Date]],"mmmm")</f>
        <v>November</v>
      </c>
      <c r="N4371" s="5">
        <f>YEAR(Store_Record[[#This Row],[Date]])</f>
        <v>2025</v>
      </c>
      <c r="O4371"/>
    </row>
    <row r="4372" spans="1:15" x14ac:dyDescent="0.35">
      <c r="A4372" t="s">
        <v>5372</v>
      </c>
      <c r="B4372" s="2">
        <v>45977</v>
      </c>
      <c r="C4372" t="s">
        <v>36</v>
      </c>
      <c r="D4372" t="s">
        <v>11</v>
      </c>
      <c r="E4372" t="s">
        <v>34</v>
      </c>
      <c r="F4372" t="s">
        <v>31</v>
      </c>
      <c r="G4372">
        <v>4</v>
      </c>
      <c r="H4372">
        <v>2.2000000000000002</v>
      </c>
      <c r="I4372" t="s">
        <v>39</v>
      </c>
      <c r="J4372" t="s">
        <v>2150</v>
      </c>
      <c r="K4372" s="12">
        <f>Store_Record[[#This Row],[Qty]]*Store_Record[[#This Row],[UnitPriceGBP]]</f>
        <v>8.8000000000000007</v>
      </c>
      <c r="L4372" s="5" t="str">
        <f>TEXT(Store_Record[[#This Row],[Date]],"dddd")</f>
        <v>Sunday</v>
      </c>
      <c r="M4372" s="5" t="str">
        <f>TEXT(Store_Record[[#This Row],[Date]],"mmmm")</f>
        <v>November</v>
      </c>
      <c r="N4372" s="5">
        <f>YEAR(Store_Record[[#This Row],[Date]])</f>
        <v>2025</v>
      </c>
      <c r="O4372"/>
    </row>
    <row r="4373" spans="1:15" x14ac:dyDescent="0.35">
      <c r="A4373" t="s">
        <v>5360</v>
      </c>
      <c r="B4373" s="2">
        <v>45977</v>
      </c>
      <c r="C4373" t="s">
        <v>24</v>
      </c>
      <c r="D4373" t="s">
        <v>11</v>
      </c>
      <c r="E4373" t="s">
        <v>30</v>
      </c>
      <c r="F4373" t="s">
        <v>31</v>
      </c>
      <c r="G4373">
        <v>3</v>
      </c>
      <c r="H4373">
        <v>2.8</v>
      </c>
      <c r="I4373" t="s">
        <v>21</v>
      </c>
      <c r="J4373" t="s">
        <v>824</v>
      </c>
      <c r="K4373" s="12">
        <f>Store_Record[[#This Row],[Qty]]*Store_Record[[#This Row],[UnitPriceGBP]]</f>
        <v>8.3999999999999986</v>
      </c>
      <c r="L4373" s="5" t="str">
        <f>TEXT(Store_Record[[#This Row],[Date]],"dddd")</f>
        <v>Sunday</v>
      </c>
      <c r="M4373" s="5" t="str">
        <f>TEXT(Store_Record[[#This Row],[Date]],"mmmm")</f>
        <v>November</v>
      </c>
      <c r="N4373" s="5">
        <f>YEAR(Store_Record[[#This Row],[Date]])</f>
        <v>2025</v>
      </c>
      <c r="O4373"/>
    </row>
    <row r="4374" spans="1:15" x14ac:dyDescent="0.35">
      <c r="A4374" t="s">
        <v>5998</v>
      </c>
      <c r="B4374" s="2">
        <v>45977</v>
      </c>
      <c r="C4374" t="s">
        <v>10</v>
      </c>
      <c r="D4374" t="s">
        <v>47</v>
      </c>
      <c r="E4374" t="s">
        <v>30</v>
      </c>
      <c r="F4374" t="s">
        <v>31</v>
      </c>
      <c r="G4374">
        <v>3</v>
      </c>
      <c r="H4374">
        <v>2.8</v>
      </c>
      <c r="I4374" t="s">
        <v>21</v>
      </c>
      <c r="J4374" t="s">
        <v>3228</v>
      </c>
      <c r="K4374" s="12">
        <f>Store_Record[[#This Row],[Qty]]*Store_Record[[#This Row],[UnitPriceGBP]]</f>
        <v>8.3999999999999986</v>
      </c>
      <c r="L4374" s="5" t="str">
        <f>TEXT(Store_Record[[#This Row],[Date]],"dddd")</f>
        <v>Sunday</v>
      </c>
      <c r="M4374" s="5" t="str">
        <f>TEXT(Store_Record[[#This Row],[Date]],"mmmm")</f>
        <v>November</v>
      </c>
      <c r="N4374" s="5">
        <f>YEAR(Store_Record[[#This Row],[Date]])</f>
        <v>2025</v>
      </c>
      <c r="O4374"/>
    </row>
    <row r="4375" spans="1:15" x14ac:dyDescent="0.35">
      <c r="A4375" t="s">
        <v>5357</v>
      </c>
      <c r="B4375" s="2">
        <v>45977</v>
      </c>
      <c r="C4375" t="s">
        <v>24</v>
      </c>
      <c r="D4375" t="s">
        <v>11</v>
      </c>
      <c r="E4375" t="s">
        <v>12</v>
      </c>
      <c r="F4375" t="s">
        <v>13</v>
      </c>
      <c r="G4375">
        <v>3</v>
      </c>
      <c r="H4375">
        <v>2.5</v>
      </c>
      <c r="I4375" t="s">
        <v>39</v>
      </c>
      <c r="J4375" t="s">
        <v>1580</v>
      </c>
      <c r="K4375" s="12">
        <f>Store_Record[[#This Row],[Qty]]*Store_Record[[#This Row],[UnitPriceGBP]]</f>
        <v>7.5</v>
      </c>
      <c r="L4375" s="5" t="str">
        <f>TEXT(Store_Record[[#This Row],[Date]],"dddd")</f>
        <v>Sunday</v>
      </c>
      <c r="M4375" s="5" t="str">
        <f>TEXT(Store_Record[[#This Row],[Date]],"mmmm")</f>
        <v>November</v>
      </c>
      <c r="N4375" s="5">
        <f>YEAR(Store_Record[[#This Row],[Date]])</f>
        <v>2025</v>
      </c>
      <c r="O4375"/>
    </row>
    <row r="4376" spans="1:15" x14ac:dyDescent="0.35">
      <c r="A4376" t="s">
        <v>5369</v>
      </c>
      <c r="B4376" s="2">
        <v>45977</v>
      </c>
      <c r="C4376" t="s">
        <v>24</v>
      </c>
      <c r="D4376" t="s">
        <v>29</v>
      </c>
      <c r="E4376" t="s">
        <v>12</v>
      </c>
      <c r="F4376" t="s">
        <v>13</v>
      </c>
      <c r="G4376">
        <v>3</v>
      </c>
      <c r="H4376">
        <v>2.5</v>
      </c>
      <c r="I4376" t="s">
        <v>39</v>
      </c>
      <c r="J4376" t="s">
        <v>1976</v>
      </c>
      <c r="K4376" s="12">
        <f>Store_Record[[#This Row],[Qty]]*Store_Record[[#This Row],[UnitPriceGBP]]</f>
        <v>7.5</v>
      </c>
      <c r="L4376" s="5" t="str">
        <f>TEXT(Store_Record[[#This Row],[Date]],"dddd")</f>
        <v>Sunday</v>
      </c>
      <c r="M4376" s="5" t="str">
        <f>TEXT(Store_Record[[#This Row],[Date]],"mmmm")</f>
        <v>November</v>
      </c>
      <c r="N4376" s="5">
        <f>YEAR(Store_Record[[#This Row],[Date]])</f>
        <v>2025</v>
      </c>
      <c r="O4376"/>
    </row>
    <row r="4377" spans="1:15" x14ac:dyDescent="0.35">
      <c r="A4377" t="s">
        <v>5370</v>
      </c>
      <c r="B4377" s="2">
        <v>45977</v>
      </c>
      <c r="C4377" t="s">
        <v>20</v>
      </c>
      <c r="D4377" t="s">
        <v>47</v>
      </c>
      <c r="E4377" t="s">
        <v>12</v>
      </c>
      <c r="F4377" t="s">
        <v>13</v>
      </c>
      <c r="G4377">
        <v>3</v>
      </c>
      <c r="H4377">
        <v>2.5</v>
      </c>
      <c r="I4377" t="s">
        <v>21</v>
      </c>
      <c r="J4377" t="s">
        <v>871</v>
      </c>
      <c r="K4377" s="12">
        <f>Store_Record[[#This Row],[Qty]]*Store_Record[[#This Row],[UnitPriceGBP]]</f>
        <v>7.5</v>
      </c>
      <c r="L4377" s="5" t="str">
        <f>TEXT(Store_Record[[#This Row],[Date]],"dddd")</f>
        <v>Sunday</v>
      </c>
      <c r="M4377" s="5" t="str">
        <f>TEXT(Store_Record[[#This Row],[Date]],"mmmm")</f>
        <v>November</v>
      </c>
      <c r="N4377" s="5">
        <f>YEAR(Store_Record[[#This Row],[Date]])</f>
        <v>2025</v>
      </c>
      <c r="O4377"/>
    </row>
    <row r="4378" spans="1:15" x14ac:dyDescent="0.35">
      <c r="A4378" t="s">
        <v>5375</v>
      </c>
      <c r="B4378" s="2">
        <v>45977</v>
      </c>
      <c r="C4378" t="s">
        <v>36</v>
      </c>
      <c r="D4378" t="s">
        <v>38</v>
      </c>
      <c r="E4378" t="s">
        <v>26</v>
      </c>
      <c r="F4378" t="s">
        <v>13</v>
      </c>
      <c r="G4378">
        <v>2</v>
      </c>
      <c r="H4378">
        <v>3.5</v>
      </c>
      <c r="I4378" t="s">
        <v>14</v>
      </c>
      <c r="J4378" t="s">
        <v>1070</v>
      </c>
      <c r="K4378" s="12">
        <f>Store_Record[[#This Row],[Qty]]*Store_Record[[#This Row],[UnitPriceGBP]]</f>
        <v>7</v>
      </c>
      <c r="L4378" s="5" t="str">
        <f>TEXT(Store_Record[[#This Row],[Date]],"dddd")</f>
        <v>Sunday</v>
      </c>
      <c r="M4378" s="5" t="str">
        <f>TEXT(Store_Record[[#This Row],[Date]],"mmmm")</f>
        <v>November</v>
      </c>
      <c r="N4378" s="5">
        <f>YEAR(Store_Record[[#This Row],[Date]])</f>
        <v>2025</v>
      </c>
      <c r="O4378"/>
    </row>
    <row r="4379" spans="1:15" x14ac:dyDescent="0.35">
      <c r="A4379" t="s">
        <v>5366</v>
      </c>
      <c r="B4379" s="2">
        <v>45977</v>
      </c>
      <c r="C4379" t="s">
        <v>24</v>
      </c>
      <c r="D4379" t="s">
        <v>11</v>
      </c>
      <c r="E4379" t="s">
        <v>34</v>
      </c>
      <c r="F4379" t="s">
        <v>31</v>
      </c>
      <c r="G4379">
        <v>3</v>
      </c>
      <c r="H4379">
        <v>2.2000000000000002</v>
      </c>
      <c r="I4379" t="s">
        <v>39</v>
      </c>
      <c r="J4379" t="s">
        <v>2075</v>
      </c>
      <c r="K4379" s="12">
        <f>Store_Record[[#This Row],[Qty]]*Store_Record[[#This Row],[UnitPriceGBP]]</f>
        <v>6.6000000000000005</v>
      </c>
      <c r="L4379" s="5" t="str">
        <f>TEXT(Store_Record[[#This Row],[Date]],"dddd")</f>
        <v>Sunday</v>
      </c>
      <c r="M4379" s="5" t="str">
        <f>TEXT(Store_Record[[#This Row],[Date]],"mmmm")</f>
        <v>November</v>
      </c>
      <c r="N4379" s="5">
        <f>YEAR(Store_Record[[#This Row],[Date]])</f>
        <v>2025</v>
      </c>
      <c r="O4379"/>
    </row>
    <row r="4380" spans="1:15" x14ac:dyDescent="0.35">
      <c r="A4380" t="s">
        <v>5365</v>
      </c>
      <c r="B4380" s="2">
        <v>45977</v>
      </c>
      <c r="C4380" t="s">
        <v>36</v>
      </c>
      <c r="D4380" t="s">
        <v>25</v>
      </c>
      <c r="E4380" t="s">
        <v>30</v>
      </c>
      <c r="F4380" t="s">
        <v>31</v>
      </c>
      <c r="G4380">
        <v>2</v>
      </c>
      <c r="H4380">
        <v>2.8</v>
      </c>
      <c r="I4380" t="s">
        <v>39</v>
      </c>
      <c r="J4380" t="s">
        <v>366</v>
      </c>
      <c r="K4380" s="12">
        <f>Store_Record[[#This Row],[Qty]]*Store_Record[[#This Row],[UnitPriceGBP]]</f>
        <v>5.6</v>
      </c>
      <c r="L4380" s="5" t="str">
        <f>TEXT(Store_Record[[#This Row],[Date]],"dddd")</f>
        <v>Sunday</v>
      </c>
      <c r="M4380" s="5" t="str">
        <f>TEXT(Store_Record[[#This Row],[Date]],"mmmm")</f>
        <v>November</v>
      </c>
      <c r="N4380" s="5">
        <f>YEAR(Store_Record[[#This Row],[Date]])</f>
        <v>2025</v>
      </c>
      <c r="O4380"/>
    </row>
    <row r="4381" spans="1:15" x14ac:dyDescent="0.35">
      <c r="A4381" t="s">
        <v>5373</v>
      </c>
      <c r="B4381" s="2">
        <v>45977</v>
      </c>
      <c r="C4381" t="s">
        <v>36</v>
      </c>
      <c r="D4381" t="s">
        <v>38</v>
      </c>
      <c r="E4381" t="s">
        <v>26</v>
      </c>
      <c r="F4381" t="s">
        <v>13</v>
      </c>
      <c r="G4381">
        <v>1</v>
      </c>
      <c r="H4381">
        <v>3.5</v>
      </c>
      <c r="I4381" t="s">
        <v>21</v>
      </c>
      <c r="J4381" t="s">
        <v>1061</v>
      </c>
      <c r="K4381" s="12">
        <f>Store_Record[[#This Row],[Qty]]*Store_Record[[#This Row],[UnitPriceGBP]]</f>
        <v>3.5</v>
      </c>
      <c r="L4381" s="5" t="str">
        <f>TEXT(Store_Record[[#This Row],[Date]],"dddd")</f>
        <v>Sunday</v>
      </c>
      <c r="M4381" s="5" t="str">
        <f>TEXT(Store_Record[[#This Row],[Date]],"mmmm")</f>
        <v>November</v>
      </c>
      <c r="N4381" s="5">
        <f>YEAR(Store_Record[[#This Row],[Date]])</f>
        <v>2025</v>
      </c>
      <c r="O4381"/>
    </row>
    <row r="4382" spans="1:15" x14ac:dyDescent="0.35">
      <c r="A4382" t="s">
        <v>5371</v>
      </c>
      <c r="B4382" s="2">
        <v>45977</v>
      </c>
      <c r="C4382" t="s">
        <v>20</v>
      </c>
      <c r="D4382" t="s">
        <v>38</v>
      </c>
      <c r="E4382" t="s">
        <v>12</v>
      </c>
      <c r="F4382" t="s">
        <v>13</v>
      </c>
      <c r="G4382">
        <v>1</v>
      </c>
      <c r="H4382">
        <v>2.5</v>
      </c>
      <c r="I4382" t="s">
        <v>39</v>
      </c>
      <c r="J4382" t="s">
        <v>1672</v>
      </c>
      <c r="K4382" s="12">
        <f>Store_Record[[#This Row],[Qty]]*Store_Record[[#This Row],[UnitPriceGBP]]</f>
        <v>2.5</v>
      </c>
      <c r="L4382" s="5" t="str">
        <f>TEXT(Store_Record[[#This Row],[Date]],"dddd")</f>
        <v>Sunday</v>
      </c>
      <c r="M4382" s="5" t="str">
        <f>TEXT(Store_Record[[#This Row],[Date]],"mmmm")</f>
        <v>November</v>
      </c>
      <c r="N4382" s="5">
        <f>YEAR(Store_Record[[#This Row],[Date]])</f>
        <v>2025</v>
      </c>
      <c r="O4382"/>
    </row>
    <row r="4383" spans="1:15" x14ac:dyDescent="0.35">
      <c r="A4383" t="s">
        <v>5374</v>
      </c>
      <c r="B4383" s="2">
        <v>45977</v>
      </c>
      <c r="C4383" t="s">
        <v>20</v>
      </c>
      <c r="D4383" t="s">
        <v>11</v>
      </c>
      <c r="E4383" t="s">
        <v>12</v>
      </c>
      <c r="F4383" t="s">
        <v>13</v>
      </c>
      <c r="G4383">
        <v>1</v>
      </c>
      <c r="H4383">
        <v>2.5</v>
      </c>
      <c r="I4383" t="s">
        <v>21</v>
      </c>
      <c r="J4383" t="s">
        <v>1055</v>
      </c>
      <c r="K4383" s="12">
        <f>Store_Record[[#This Row],[Qty]]*Store_Record[[#This Row],[UnitPriceGBP]]</f>
        <v>2.5</v>
      </c>
      <c r="L4383" s="5" t="str">
        <f>TEXT(Store_Record[[#This Row],[Date]],"dddd")</f>
        <v>Sunday</v>
      </c>
      <c r="M4383" s="5" t="str">
        <f>TEXT(Store_Record[[#This Row],[Date]],"mmmm")</f>
        <v>November</v>
      </c>
      <c r="N4383" s="5">
        <f>YEAR(Store_Record[[#This Row],[Date]])</f>
        <v>2025</v>
      </c>
      <c r="O4383"/>
    </row>
    <row r="4384" spans="1:15" x14ac:dyDescent="0.35">
      <c r="A4384" t="s">
        <v>5367</v>
      </c>
      <c r="B4384" s="2">
        <v>45977</v>
      </c>
      <c r="C4384" t="s">
        <v>24</v>
      </c>
      <c r="D4384" t="s">
        <v>38</v>
      </c>
      <c r="E4384" t="s">
        <v>34</v>
      </c>
      <c r="F4384" t="s">
        <v>31</v>
      </c>
      <c r="G4384">
        <v>1</v>
      </c>
      <c r="H4384">
        <v>2.2000000000000002</v>
      </c>
      <c r="I4384" t="s">
        <v>39</v>
      </c>
      <c r="J4384" t="s">
        <v>1734</v>
      </c>
      <c r="K4384" s="12">
        <f>Store_Record[[#This Row],[Qty]]*Store_Record[[#This Row],[UnitPriceGBP]]</f>
        <v>2.2000000000000002</v>
      </c>
      <c r="L4384" s="5" t="str">
        <f>TEXT(Store_Record[[#This Row],[Date]],"dddd")</f>
        <v>Sunday</v>
      </c>
      <c r="M4384" s="5" t="str">
        <f>TEXT(Store_Record[[#This Row],[Date]],"mmmm")</f>
        <v>November</v>
      </c>
      <c r="N4384" s="5">
        <f>YEAR(Store_Record[[#This Row],[Date]])</f>
        <v>2025</v>
      </c>
      <c r="O4384"/>
    </row>
    <row r="4385" spans="1:15" x14ac:dyDescent="0.35">
      <c r="A4385" t="s">
        <v>5368</v>
      </c>
      <c r="B4385" s="2">
        <v>45977</v>
      </c>
      <c r="C4385" t="s">
        <v>10</v>
      </c>
      <c r="D4385" t="s">
        <v>47</v>
      </c>
      <c r="E4385" t="s">
        <v>34</v>
      </c>
      <c r="F4385" t="s">
        <v>31</v>
      </c>
      <c r="G4385">
        <v>1</v>
      </c>
      <c r="H4385">
        <v>2.2000000000000002</v>
      </c>
      <c r="I4385" t="s">
        <v>21</v>
      </c>
      <c r="J4385" t="s">
        <v>4644</v>
      </c>
      <c r="K4385" s="12">
        <f>Store_Record[[#This Row],[Qty]]*Store_Record[[#This Row],[UnitPriceGBP]]</f>
        <v>2.2000000000000002</v>
      </c>
      <c r="L4385" s="5" t="str">
        <f>TEXT(Store_Record[[#This Row],[Date]],"dddd")</f>
        <v>Sunday</v>
      </c>
      <c r="M4385" s="5" t="str">
        <f>TEXT(Store_Record[[#This Row],[Date]],"mmmm")</f>
        <v>November</v>
      </c>
      <c r="N4385" s="5">
        <f>YEAR(Store_Record[[#This Row],[Date]])</f>
        <v>2025</v>
      </c>
      <c r="O4385"/>
    </row>
    <row r="4386" spans="1:15" x14ac:dyDescent="0.35">
      <c r="A4386" t="s">
        <v>5379</v>
      </c>
      <c r="B4386" s="2">
        <v>45978</v>
      </c>
      <c r="C4386" t="s">
        <v>24</v>
      </c>
      <c r="D4386" t="s">
        <v>11</v>
      </c>
      <c r="E4386" t="s">
        <v>42</v>
      </c>
      <c r="F4386" t="s">
        <v>13</v>
      </c>
      <c r="G4386">
        <v>4</v>
      </c>
      <c r="H4386">
        <v>3.8</v>
      </c>
      <c r="I4386" t="s">
        <v>14</v>
      </c>
      <c r="J4386" t="s">
        <v>5114</v>
      </c>
      <c r="K4386" s="12">
        <f>Store_Record[[#This Row],[Qty]]*Store_Record[[#This Row],[UnitPriceGBP]]</f>
        <v>15.2</v>
      </c>
      <c r="L4386" s="5" t="str">
        <f>TEXT(Store_Record[[#This Row],[Date]],"dddd")</f>
        <v>Monday</v>
      </c>
      <c r="M4386" s="5" t="str">
        <f>TEXT(Store_Record[[#This Row],[Date]],"mmmm")</f>
        <v>November</v>
      </c>
      <c r="N4386" s="5">
        <f>YEAR(Store_Record[[#This Row],[Date]])</f>
        <v>2025</v>
      </c>
      <c r="O4386"/>
    </row>
    <row r="4387" spans="1:15" x14ac:dyDescent="0.35">
      <c r="A4387" t="s">
        <v>5376</v>
      </c>
      <c r="B4387" s="2">
        <v>45978</v>
      </c>
      <c r="C4387" t="s">
        <v>24</v>
      </c>
      <c r="D4387" t="s">
        <v>47</v>
      </c>
      <c r="E4387" t="s">
        <v>12</v>
      </c>
      <c r="F4387" t="s">
        <v>13</v>
      </c>
      <c r="G4387">
        <v>4</v>
      </c>
      <c r="H4387">
        <v>2.5</v>
      </c>
      <c r="I4387" t="s">
        <v>14</v>
      </c>
      <c r="J4387" t="s">
        <v>1460</v>
      </c>
      <c r="K4387" s="12">
        <f>Store_Record[[#This Row],[Qty]]*Store_Record[[#This Row],[UnitPriceGBP]]</f>
        <v>10</v>
      </c>
      <c r="L4387" s="5" t="str">
        <f>TEXT(Store_Record[[#This Row],[Date]],"dddd")</f>
        <v>Monday</v>
      </c>
      <c r="M4387" s="5" t="str">
        <f>TEXT(Store_Record[[#This Row],[Date]],"mmmm")</f>
        <v>November</v>
      </c>
      <c r="N4387" s="5">
        <f>YEAR(Store_Record[[#This Row],[Date]])</f>
        <v>2025</v>
      </c>
      <c r="O4387"/>
    </row>
    <row r="4388" spans="1:15" x14ac:dyDescent="0.35">
      <c r="A4388" t="s">
        <v>5378</v>
      </c>
      <c r="B4388" s="2">
        <v>45978</v>
      </c>
      <c r="C4388" t="s">
        <v>24</v>
      </c>
      <c r="D4388" t="s">
        <v>29</v>
      </c>
      <c r="E4388" t="s">
        <v>34</v>
      </c>
      <c r="F4388" t="s">
        <v>31</v>
      </c>
      <c r="G4388">
        <v>4</v>
      </c>
      <c r="H4388">
        <v>2.2000000000000002</v>
      </c>
      <c r="I4388" t="s">
        <v>14</v>
      </c>
      <c r="J4388" t="s">
        <v>284</v>
      </c>
      <c r="K4388" s="12">
        <f>Store_Record[[#This Row],[Qty]]*Store_Record[[#This Row],[UnitPriceGBP]]</f>
        <v>8.8000000000000007</v>
      </c>
      <c r="L4388" s="5" t="str">
        <f>TEXT(Store_Record[[#This Row],[Date]],"dddd")</f>
        <v>Monday</v>
      </c>
      <c r="M4388" s="5" t="str">
        <f>TEXT(Store_Record[[#This Row],[Date]],"mmmm")</f>
        <v>November</v>
      </c>
      <c r="N4388" s="5">
        <f>YEAR(Store_Record[[#This Row],[Date]])</f>
        <v>2025</v>
      </c>
      <c r="O4388"/>
    </row>
    <row r="4389" spans="1:15" x14ac:dyDescent="0.35">
      <c r="A4389" t="s">
        <v>5380</v>
      </c>
      <c r="B4389" s="2">
        <v>45978</v>
      </c>
      <c r="C4389" t="s">
        <v>20</v>
      </c>
      <c r="D4389" t="s">
        <v>38</v>
      </c>
      <c r="E4389" t="s">
        <v>42</v>
      </c>
      <c r="F4389" t="s">
        <v>13</v>
      </c>
      <c r="G4389">
        <v>2</v>
      </c>
      <c r="H4389">
        <v>3.8</v>
      </c>
      <c r="I4389" t="s">
        <v>14</v>
      </c>
      <c r="J4389" t="s">
        <v>3429</v>
      </c>
      <c r="K4389" s="12">
        <f>Store_Record[[#This Row],[Qty]]*Store_Record[[#This Row],[UnitPriceGBP]]</f>
        <v>7.6</v>
      </c>
      <c r="L4389" s="5" t="str">
        <f>TEXT(Store_Record[[#This Row],[Date]],"dddd")</f>
        <v>Monday</v>
      </c>
      <c r="M4389" s="5" t="str">
        <f>TEXT(Store_Record[[#This Row],[Date]],"mmmm")</f>
        <v>November</v>
      </c>
      <c r="N4389" s="5">
        <f>YEAR(Store_Record[[#This Row],[Date]])</f>
        <v>2025</v>
      </c>
      <c r="O4389"/>
    </row>
    <row r="4390" spans="1:15" x14ac:dyDescent="0.35">
      <c r="A4390" t="s">
        <v>5385</v>
      </c>
      <c r="B4390" s="2">
        <v>45978</v>
      </c>
      <c r="C4390" t="s">
        <v>36</v>
      </c>
      <c r="D4390" t="s">
        <v>38</v>
      </c>
      <c r="E4390" t="s">
        <v>12</v>
      </c>
      <c r="F4390" t="s">
        <v>13</v>
      </c>
      <c r="G4390">
        <v>3</v>
      </c>
      <c r="H4390">
        <v>2.5</v>
      </c>
      <c r="I4390" t="s">
        <v>21</v>
      </c>
      <c r="J4390" t="s">
        <v>1710</v>
      </c>
      <c r="K4390" s="12">
        <f>Store_Record[[#This Row],[Qty]]*Store_Record[[#This Row],[UnitPriceGBP]]</f>
        <v>7.5</v>
      </c>
      <c r="L4390" s="5" t="str">
        <f>TEXT(Store_Record[[#This Row],[Date]],"dddd")</f>
        <v>Monday</v>
      </c>
      <c r="M4390" s="5" t="str">
        <f>TEXT(Store_Record[[#This Row],[Date]],"mmmm")</f>
        <v>November</v>
      </c>
      <c r="N4390" s="5">
        <f>YEAR(Store_Record[[#This Row],[Date]])</f>
        <v>2025</v>
      </c>
      <c r="O4390"/>
    </row>
    <row r="4391" spans="1:15" x14ac:dyDescent="0.35">
      <c r="A4391" t="s">
        <v>5382</v>
      </c>
      <c r="B4391" s="2">
        <v>45978</v>
      </c>
      <c r="C4391" t="s">
        <v>24</v>
      </c>
      <c r="D4391" t="s">
        <v>38</v>
      </c>
      <c r="E4391" t="s">
        <v>34</v>
      </c>
      <c r="F4391" t="s">
        <v>31</v>
      </c>
      <c r="G4391">
        <v>3</v>
      </c>
      <c r="H4391">
        <v>2.2000000000000002</v>
      </c>
      <c r="I4391" t="s">
        <v>21</v>
      </c>
      <c r="J4391" t="s">
        <v>2973</v>
      </c>
      <c r="K4391" s="12">
        <f>Store_Record[[#This Row],[Qty]]*Store_Record[[#This Row],[UnitPriceGBP]]</f>
        <v>6.6000000000000005</v>
      </c>
      <c r="L4391" s="5" t="str">
        <f>TEXT(Store_Record[[#This Row],[Date]],"dddd")</f>
        <v>Monday</v>
      </c>
      <c r="M4391" s="5" t="str">
        <f>TEXT(Store_Record[[#This Row],[Date]],"mmmm")</f>
        <v>November</v>
      </c>
      <c r="N4391" s="5">
        <f>YEAR(Store_Record[[#This Row],[Date]])</f>
        <v>2025</v>
      </c>
      <c r="O4391"/>
    </row>
    <row r="4392" spans="1:15" x14ac:dyDescent="0.35">
      <c r="A4392" t="s">
        <v>5383</v>
      </c>
      <c r="B4392" s="2">
        <v>45978</v>
      </c>
      <c r="C4392" t="s">
        <v>36</v>
      </c>
      <c r="D4392" t="s">
        <v>29</v>
      </c>
      <c r="E4392" t="s">
        <v>34</v>
      </c>
      <c r="F4392" t="s">
        <v>31</v>
      </c>
      <c r="G4392">
        <v>3</v>
      </c>
      <c r="H4392">
        <v>2.2000000000000002</v>
      </c>
      <c r="I4392" t="s">
        <v>39</v>
      </c>
      <c r="J4392" t="s">
        <v>600</v>
      </c>
      <c r="K4392" s="12">
        <f>Store_Record[[#This Row],[Qty]]*Store_Record[[#This Row],[UnitPriceGBP]]</f>
        <v>6.6000000000000005</v>
      </c>
      <c r="L4392" s="5" t="str">
        <f>TEXT(Store_Record[[#This Row],[Date]],"dddd")</f>
        <v>Monday</v>
      </c>
      <c r="M4392" s="5" t="str">
        <f>TEXT(Store_Record[[#This Row],[Date]],"mmmm")</f>
        <v>November</v>
      </c>
      <c r="N4392" s="5">
        <f>YEAR(Store_Record[[#This Row],[Date]])</f>
        <v>2025</v>
      </c>
      <c r="O4392"/>
    </row>
    <row r="4393" spans="1:15" x14ac:dyDescent="0.35">
      <c r="A4393" t="s">
        <v>5386</v>
      </c>
      <c r="B4393" s="2">
        <v>45978</v>
      </c>
      <c r="C4393" t="s">
        <v>24</v>
      </c>
      <c r="D4393" t="s">
        <v>11</v>
      </c>
      <c r="E4393" t="s">
        <v>34</v>
      </c>
      <c r="F4393" t="s">
        <v>31</v>
      </c>
      <c r="G4393">
        <v>3</v>
      </c>
      <c r="H4393">
        <v>2.2000000000000002</v>
      </c>
      <c r="I4393" t="s">
        <v>14</v>
      </c>
      <c r="J4393" t="s">
        <v>1850</v>
      </c>
      <c r="K4393" s="12">
        <f>Store_Record[[#This Row],[Qty]]*Store_Record[[#This Row],[UnitPriceGBP]]</f>
        <v>6.6000000000000005</v>
      </c>
      <c r="L4393" s="5" t="str">
        <f>TEXT(Store_Record[[#This Row],[Date]],"dddd")</f>
        <v>Monday</v>
      </c>
      <c r="M4393" s="5" t="str">
        <f>TEXT(Store_Record[[#This Row],[Date]],"mmmm")</f>
        <v>November</v>
      </c>
      <c r="N4393" s="5">
        <f>YEAR(Store_Record[[#This Row],[Date]])</f>
        <v>2025</v>
      </c>
      <c r="O4393"/>
    </row>
    <row r="4394" spans="1:15" x14ac:dyDescent="0.35">
      <c r="A4394" t="s">
        <v>5387</v>
      </c>
      <c r="B4394" s="2">
        <v>45978</v>
      </c>
      <c r="C4394" t="s">
        <v>24</v>
      </c>
      <c r="D4394" t="s">
        <v>47</v>
      </c>
      <c r="E4394" t="s">
        <v>30</v>
      </c>
      <c r="F4394" t="s">
        <v>31</v>
      </c>
      <c r="G4394">
        <v>2</v>
      </c>
      <c r="H4394">
        <v>2.8</v>
      </c>
      <c r="I4394" t="s">
        <v>14</v>
      </c>
      <c r="J4394" t="s">
        <v>669</v>
      </c>
      <c r="K4394" s="12">
        <f>Store_Record[[#This Row],[Qty]]*Store_Record[[#This Row],[UnitPriceGBP]]</f>
        <v>5.6</v>
      </c>
      <c r="L4394" s="5" t="str">
        <f>TEXT(Store_Record[[#This Row],[Date]],"dddd")</f>
        <v>Monday</v>
      </c>
      <c r="M4394" s="5" t="str">
        <f>TEXT(Store_Record[[#This Row],[Date]],"mmmm")</f>
        <v>November</v>
      </c>
      <c r="N4394" s="5">
        <f>YEAR(Store_Record[[#This Row],[Date]])</f>
        <v>2025</v>
      </c>
      <c r="O4394"/>
    </row>
    <row r="4395" spans="1:15" x14ac:dyDescent="0.35">
      <c r="A4395" t="s">
        <v>5384</v>
      </c>
      <c r="B4395" s="2">
        <v>45978</v>
      </c>
      <c r="C4395" t="s">
        <v>24</v>
      </c>
      <c r="D4395" t="s">
        <v>47</v>
      </c>
      <c r="E4395" t="s">
        <v>42</v>
      </c>
      <c r="F4395" t="s">
        <v>13</v>
      </c>
      <c r="G4395">
        <v>1</v>
      </c>
      <c r="H4395">
        <v>3.8</v>
      </c>
      <c r="I4395" t="s">
        <v>39</v>
      </c>
      <c r="J4395" t="s">
        <v>2529</v>
      </c>
      <c r="K4395" s="12">
        <f>Store_Record[[#This Row],[Qty]]*Store_Record[[#This Row],[UnitPriceGBP]]</f>
        <v>3.8</v>
      </c>
      <c r="L4395" s="5" t="str">
        <f>TEXT(Store_Record[[#This Row],[Date]],"dddd")</f>
        <v>Monday</v>
      </c>
      <c r="M4395" s="5" t="str">
        <f>TEXT(Store_Record[[#This Row],[Date]],"mmmm")</f>
        <v>November</v>
      </c>
      <c r="N4395" s="5">
        <f>YEAR(Store_Record[[#This Row],[Date]])</f>
        <v>2025</v>
      </c>
      <c r="O4395"/>
    </row>
    <row r="4396" spans="1:15" x14ac:dyDescent="0.35">
      <c r="A4396" t="s">
        <v>5381</v>
      </c>
      <c r="B4396" s="2">
        <v>45978</v>
      </c>
      <c r="C4396" t="s">
        <v>20</v>
      </c>
      <c r="D4396" t="s">
        <v>38</v>
      </c>
      <c r="E4396" t="s">
        <v>26</v>
      </c>
      <c r="F4396" t="s">
        <v>13</v>
      </c>
      <c r="G4396">
        <v>1</v>
      </c>
      <c r="H4396">
        <v>3.5</v>
      </c>
      <c r="I4396" t="s">
        <v>39</v>
      </c>
      <c r="J4396" t="s">
        <v>888</v>
      </c>
      <c r="K4396" s="12">
        <f>Store_Record[[#This Row],[Qty]]*Store_Record[[#This Row],[UnitPriceGBP]]</f>
        <v>3.5</v>
      </c>
      <c r="L4396" s="5" t="str">
        <f>TEXT(Store_Record[[#This Row],[Date]],"dddd")</f>
        <v>Monday</v>
      </c>
      <c r="M4396" s="5" t="str">
        <f>TEXT(Store_Record[[#This Row],[Date]],"mmmm")</f>
        <v>November</v>
      </c>
      <c r="N4396" s="5">
        <f>YEAR(Store_Record[[#This Row],[Date]])</f>
        <v>2025</v>
      </c>
      <c r="O4396"/>
    </row>
    <row r="4397" spans="1:15" x14ac:dyDescent="0.35">
      <c r="A4397" t="s">
        <v>5377</v>
      </c>
      <c r="B4397" s="2">
        <v>45978</v>
      </c>
      <c r="C4397" t="s">
        <v>24</v>
      </c>
      <c r="D4397" t="s">
        <v>38</v>
      </c>
      <c r="E4397" t="s">
        <v>12</v>
      </c>
      <c r="F4397" t="s">
        <v>13</v>
      </c>
      <c r="G4397">
        <v>1</v>
      </c>
      <c r="H4397">
        <v>2.5</v>
      </c>
      <c r="I4397" t="s">
        <v>39</v>
      </c>
      <c r="J4397" t="s">
        <v>3680</v>
      </c>
      <c r="K4397" s="12">
        <f>Store_Record[[#This Row],[Qty]]*Store_Record[[#This Row],[UnitPriceGBP]]</f>
        <v>2.5</v>
      </c>
      <c r="L4397" s="5" t="str">
        <f>TEXT(Store_Record[[#This Row],[Date]],"dddd")</f>
        <v>Monday</v>
      </c>
      <c r="M4397" s="5" t="str">
        <f>TEXT(Store_Record[[#This Row],[Date]],"mmmm")</f>
        <v>November</v>
      </c>
      <c r="N4397" s="5">
        <f>YEAR(Store_Record[[#This Row],[Date]])</f>
        <v>2025</v>
      </c>
      <c r="O4397"/>
    </row>
    <row r="4398" spans="1:15" x14ac:dyDescent="0.35">
      <c r="A4398" t="s">
        <v>5388</v>
      </c>
      <c r="B4398" s="2">
        <v>45979</v>
      </c>
      <c r="C4398" t="s">
        <v>24</v>
      </c>
      <c r="D4398" t="s">
        <v>25</v>
      </c>
      <c r="E4398" t="s">
        <v>42</v>
      </c>
      <c r="F4398" t="s">
        <v>13</v>
      </c>
      <c r="G4398">
        <v>5</v>
      </c>
      <c r="H4398">
        <v>3.8</v>
      </c>
      <c r="I4398" t="s">
        <v>21</v>
      </c>
      <c r="J4398" t="s">
        <v>3033</v>
      </c>
      <c r="K4398" s="12">
        <f>Store_Record[[#This Row],[Qty]]*Store_Record[[#This Row],[UnitPriceGBP]]</f>
        <v>19</v>
      </c>
      <c r="L4398" s="5" t="str">
        <f>TEXT(Store_Record[[#This Row],[Date]],"dddd")</f>
        <v>Tuesday</v>
      </c>
      <c r="M4398" s="5" t="str">
        <f>TEXT(Store_Record[[#This Row],[Date]],"mmmm")</f>
        <v>November</v>
      </c>
      <c r="N4398" s="5">
        <f>YEAR(Store_Record[[#This Row],[Date]])</f>
        <v>2025</v>
      </c>
      <c r="O4398"/>
    </row>
    <row r="4399" spans="1:15" x14ac:dyDescent="0.35">
      <c r="A4399" t="s">
        <v>5393</v>
      </c>
      <c r="B4399" s="2">
        <v>45979</v>
      </c>
      <c r="C4399" t="s">
        <v>20</v>
      </c>
      <c r="D4399" t="s">
        <v>47</v>
      </c>
      <c r="E4399" t="s">
        <v>26</v>
      </c>
      <c r="F4399" t="s">
        <v>13</v>
      </c>
      <c r="G4399">
        <v>5</v>
      </c>
      <c r="H4399">
        <v>3.5</v>
      </c>
      <c r="I4399" t="s">
        <v>14</v>
      </c>
      <c r="J4399" t="s">
        <v>2651</v>
      </c>
      <c r="K4399" s="12">
        <f>Store_Record[[#This Row],[Qty]]*Store_Record[[#This Row],[UnitPriceGBP]]</f>
        <v>17.5</v>
      </c>
      <c r="L4399" s="5" t="str">
        <f>TEXT(Store_Record[[#This Row],[Date]],"dddd")</f>
        <v>Tuesday</v>
      </c>
      <c r="M4399" s="5" t="str">
        <f>TEXT(Store_Record[[#This Row],[Date]],"mmmm")</f>
        <v>November</v>
      </c>
      <c r="N4399" s="5">
        <f>YEAR(Store_Record[[#This Row],[Date]])</f>
        <v>2025</v>
      </c>
      <c r="O4399"/>
    </row>
    <row r="4400" spans="1:15" x14ac:dyDescent="0.35">
      <c r="A4400" t="s">
        <v>5399</v>
      </c>
      <c r="B4400" s="2">
        <v>45979</v>
      </c>
      <c r="C4400" t="s">
        <v>24</v>
      </c>
      <c r="D4400" t="s">
        <v>11</v>
      </c>
      <c r="E4400" t="s">
        <v>42</v>
      </c>
      <c r="F4400" t="s">
        <v>13</v>
      </c>
      <c r="G4400">
        <v>4</v>
      </c>
      <c r="H4400">
        <v>3.8</v>
      </c>
      <c r="I4400" t="s">
        <v>14</v>
      </c>
      <c r="J4400" t="s">
        <v>2422</v>
      </c>
      <c r="K4400" s="12">
        <f>Store_Record[[#This Row],[Qty]]*Store_Record[[#This Row],[UnitPriceGBP]]</f>
        <v>15.2</v>
      </c>
      <c r="L4400" s="5" t="str">
        <f>TEXT(Store_Record[[#This Row],[Date]],"dddd")</f>
        <v>Tuesday</v>
      </c>
      <c r="M4400" s="5" t="str">
        <f>TEXT(Store_Record[[#This Row],[Date]],"mmmm")</f>
        <v>November</v>
      </c>
      <c r="N4400" s="5">
        <f>YEAR(Store_Record[[#This Row],[Date]])</f>
        <v>2025</v>
      </c>
      <c r="O4400"/>
    </row>
    <row r="4401" spans="1:15" x14ac:dyDescent="0.35">
      <c r="A4401" t="s">
        <v>5394</v>
      </c>
      <c r="B4401" s="2">
        <v>45979</v>
      </c>
      <c r="C4401" t="s">
        <v>36</v>
      </c>
      <c r="D4401" t="s">
        <v>47</v>
      </c>
      <c r="E4401" t="s">
        <v>30</v>
      </c>
      <c r="F4401" t="s">
        <v>31</v>
      </c>
      <c r="G4401">
        <v>5</v>
      </c>
      <c r="H4401">
        <v>2.8</v>
      </c>
      <c r="I4401" t="s">
        <v>21</v>
      </c>
      <c r="J4401" t="s">
        <v>1700</v>
      </c>
      <c r="K4401" s="12">
        <f>Store_Record[[#This Row],[Qty]]*Store_Record[[#This Row],[UnitPriceGBP]]</f>
        <v>14</v>
      </c>
      <c r="L4401" s="5" t="str">
        <f>TEXT(Store_Record[[#This Row],[Date]],"dddd")</f>
        <v>Tuesday</v>
      </c>
      <c r="M4401" s="5" t="str">
        <f>TEXT(Store_Record[[#This Row],[Date]],"mmmm")</f>
        <v>November</v>
      </c>
      <c r="N4401" s="5">
        <f>YEAR(Store_Record[[#This Row],[Date]])</f>
        <v>2025</v>
      </c>
      <c r="O4401"/>
    </row>
    <row r="4402" spans="1:15" x14ac:dyDescent="0.35">
      <c r="A4402" t="s">
        <v>5401</v>
      </c>
      <c r="B4402" s="2">
        <v>45979</v>
      </c>
      <c r="C4402" t="s">
        <v>20</v>
      </c>
      <c r="D4402" t="s">
        <v>38</v>
      </c>
      <c r="E4402" t="s">
        <v>30</v>
      </c>
      <c r="F4402" t="s">
        <v>31</v>
      </c>
      <c r="G4402">
        <v>5</v>
      </c>
      <c r="H4402">
        <v>2.8</v>
      </c>
      <c r="I4402" t="s">
        <v>21</v>
      </c>
      <c r="J4402" t="s">
        <v>862</v>
      </c>
      <c r="K4402" s="12">
        <f>Store_Record[[#This Row],[Qty]]*Store_Record[[#This Row],[UnitPriceGBP]]</f>
        <v>14</v>
      </c>
      <c r="L4402" s="5" t="str">
        <f>TEXT(Store_Record[[#This Row],[Date]],"dddd")</f>
        <v>Tuesday</v>
      </c>
      <c r="M4402" s="5" t="str">
        <f>TEXT(Store_Record[[#This Row],[Date]],"mmmm")</f>
        <v>November</v>
      </c>
      <c r="N4402" s="5">
        <f>YEAR(Store_Record[[#This Row],[Date]])</f>
        <v>2025</v>
      </c>
      <c r="O4402"/>
    </row>
    <row r="4403" spans="1:15" x14ac:dyDescent="0.35">
      <c r="A4403" t="s">
        <v>5391</v>
      </c>
      <c r="B4403" s="2">
        <v>45979</v>
      </c>
      <c r="C4403" t="s">
        <v>10</v>
      </c>
      <c r="D4403" t="s">
        <v>47</v>
      </c>
      <c r="E4403" t="s">
        <v>30</v>
      </c>
      <c r="F4403" t="s">
        <v>31</v>
      </c>
      <c r="G4403">
        <v>4</v>
      </c>
      <c r="H4403">
        <v>2.8</v>
      </c>
      <c r="I4403" t="s">
        <v>14</v>
      </c>
      <c r="J4403" t="s">
        <v>1364</v>
      </c>
      <c r="K4403" s="12">
        <f>Store_Record[[#This Row],[Qty]]*Store_Record[[#This Row],[UnitPriceGBP]]</f>
        <v>11.2</v>
      </c>
      <c r="L4403" s="5" t="str">
        <f>TEXT(Store_Record[[#This Row],[Date]],"dddd")</f>
        <v>Tuesday</v>
      </c>
      <c r="M4403" s="5" t="str">
        <f>TEXT(Store_Record[[#This Row],[Date]],"mmmm")</f>
        <v>November</v>
      </c>
      <c r="N4403" s="5">
        <f>YEAR(Store_Record[[#This Row],[Date]])</f>
        <v>2025</v>
      </c>
      <c r="O4403"/>
    </row>
    <row r="4404" spans="1:15" x14ac:dyDescent="0.35">
      <c r="A4404" t="s">
        <v>5396</v>
      </c>
      <c r="B4404" s="2">
        <v>45979</v>
      </c>
      <c r="C4404" t="s">
        <v>36</v>
      </c>
      <c r="D4404" t="s">
        <v>47</v>
      </c>
      <c r="E4404" t="s">
        <v>26</v>
      </c>
      <c r="F4404" t="s">
        <v>13</v>
      </c>
      <c r="G4404">
        <v>3</v>
      </c>
      <c r="H4404">
        <v>3.5</v>
      </c>
      <c r="I4404" t="s">
        <v>21</v>
      </c>
      <c r="J4404" t="s">
        <v>881</v>
      </c>
      <c r="K4404" s="12">
        <f>Store_Record[[#This Row],[Qty]]*Store_Record[[#This Row],[UnitPriceGBP]]</f>
        <v>10.5</v>
      </c>
      <c r="L4404" s="5" t="str">
        <f>TEXT(Store_Record[[#This Row],[Date]],"dddd")</f>
        <v>Tuesday</v>
      </c>
      <c r="M4404" s="5" t="str">
        <f>TEXT(Store_Record[[#This Row],[Date]],"mmmm")</f>
        <v>November</v>
      </c>
      <c r="N4404" s="5">
        <f>YEAR(Store_Record[[#This Row],[Date]])</f>
        <v>2025</v>
      </c>
      <c r="O4404"/>
    </row>
    <row r="4405" spans="1:15" x14ac:dyDescent="0.35">
      <c r="A4405" t="s">
        <v>5390</v>
      </c>
      <c r="B4405" s="2">
        <v>45979</v>
      </c>
      <c r="C4405" t="s">
        <v>20</v>
      </c>
      <c r="D4405" t="s">
        <v>11</v>
      </c>
      <c r="E4405" t="s">
        <v>34</v>
      </c>
      <c r="F4405" t="s">
        <v>31</v>
      </c>
      <c r="G4405">
        <v>4</v>
      </c>
      <c r="H4405">
        <v>2.2000000000000002</v>
      </c>
      <c r="I4405" t="s">
        <v>21</v>
      </c>
      <c r="J4405" t="s">
        <v>684</v>
      </c>
      <c r="K4405" s="12">
        <f>Store_Record[[#This Row],[Qty]]*Store_Record[[#This Row],[UnitPriceGBP]]</f>
        <v>8.8000000000000007</v>
      </c>
      <c r="L4405" s="5" t="str">
        <f>TEXT(Store_Record[[#This Row],[Date]],"dddd")</f>
        <v>Tuesday</v>
      </c>
      <c r="M4405" s="5" t="str">
        <f>TEXT(Store_Record[[#This Row],[Date]],"mmmm")</f>
        <v>November</v>
      </c>
      <c r="N4405" s="5">
        <f>YEAR(Store_Record[[#This Row],[Date]])</f>
        <v>2025</v>
      </c>
      <c r="O4405"/>
    </row>
    <row r="4406" spans="1:15" x14ac:dyDescent="0.35">
      <c r="A4406" t="s">
        <v>5395</v>
      </c>
      <c r="B4406" s="2">
        <v>45979</v>
      </c>
      <c r="C4406" t="s">
        <v>36</v>
      </c>
      <c r="D4406" t="s">
        <v>25</v>
      </c>
      <c r="E4406" t="s">
        <v>30</v>
      </c>
      <c r="F4406" t="s">
        <v>31</v>
      </c>
      <c r="G4406">
        <v>3</v>
      </c>
      <c r="H4406">
        <v>2.8</v>
      </c>
      <c r="I4406" t="s">
        <v>14</v>
      </c>
      <c r="J4406" t="s">
        <v>191</v>
      </c>
      <c r="K4406" s="12">
        <f>Store_Record[[#This Row],[Qty]]*Store_Record[[#This Row],[UnitPriceGBP]]</f>
        <v>8.3999999999999986</v>
      </c>
      <c r="L4406" s="5" t="str">
        <f>TEXT(Store_Record[[#This Row],[Date]],"dddd")</f>
        <v>Tuesday</v>
      </c>
      <c r="M4406" s="5" t="str">
        <f>TEXT(Store_Record[[#This Row],[Date]],"mmmm")</f>
        <v>November</v>
      </c>
      <c r="N4406" s="5">
        <f>YEAR(Store_Record[[#This Row],[Date]])</f>
        <v>2025</v>
      </c>
      <c r="O4406"/>
    </row>
    <row r="4407" spans="1:15" x14ac:dyDescent="0.35">
      <c r="A4407" t="s">
        <v>5397</v>
      </c>
      <c r="B4407" s="2">
        <v>45979</v>
      </c>
      <c r="C4407" t="s">
        <v>24</v>
      </c>
      <c r="D4407" t="s">
        <v>38</v>
      </c>
      <c r="E4407" t="s">
        <v>30</v>
      </c>
      <c r="F4407" t="s">
        <v>31</v>
      </c>
      <c r="G4407">
        <v>3</v>
      </c>
      <c r="H4407">
        <v>2.8</v>
      </c>
      <c r="I4407" t="s">
        <v>14</v>
      </c>
      <c r="J4407" t="s">
        <v>949</v>
      </c>
      <c r="K4407" s="12">
        <f>Store_Record[[#This Row],[Qty]]*Store_Record[[#This Row],[UnitPriceGBP]]</f>
        <v>8.3999999999999986</v>
      </c>
      <c r="L4407" s="5" t="str">
        <f>TEXT(Store_Record[[#This Row],[Date]],"dddd")</f>
        <v>Tuesday</v>
      </c>
      <c r="M4407" s="5" t="str">
        <f>TEXT(Store_Record[[#This Row],[Date]],"mmmm")</f>
        <v>November</v>
      </c>
      <c r="N4407" s="5">
        <f>YEAR(Store_Record[[#This Row],[Date]])</f>
        <v>2025</v>
      </c>
      <c r="O4407"/>
    </row>
    <row r="4408" spans="1:15" x14ac:dyDescent="0.35">
      <c r="A4408" t="s">
        <v>5398</v>
      </c>
      <c r="B4408" s="2">
        <v>45979</v>
      </c>
      <c r="C4408" t="s">
        <v>10</v>
      </c>
      <c r="D4408" t="s">
        <v>47</v>
      </c>
      <c r="E4408" t="s">
        <v>26</v>
      </c>
      <c r="F4408" t="s">
        <v>13</v>
      </c>
      <c r="G4408">
        <v>2</v>
      </c>
      <c r="H4408">
        <v>3.5</v>
      </c>
      <c r="I4408" t="s">
        <v>14</v>
      </c>
      <c r="J4408" t="s">
        <v>1408</v>
      </c>
      <c r="K4408" s="12">
        <f>Store_Record[[#This Row],[Qty]]*Store_Record[[#This Row],[UnitPriceGBP]]</f>
        <v>7</v>
      </c>
      <c r="L4408" s="5" t="str">
        <f>TEXT(Store_Record[[#This Row],[Date]],"dddd")</f>
        <v>Tuesday</v>
      </c>
      <c r="M4408" s="5" t="str">
        <f>TEXT(Store_Record[[#This Row],[Date]],"mmmm")</f>
        <v>November</v>
      </c>
      <c r="N4408" s="5">
        <f>YEAR(Store_Record[[#This Row],[Date]])</f>
        <v>2025</v>
      </c>
      <c r="O4408"/>
    </row>
    <row r="4409" spans="1:15" x14ac:dyDescent="0.35">
      <c r="A4409" t="s">
        <v>5392</v>
      </c>
      <c r="B4409" s="2">
        <v>45979</v>
      </c>
      <c r="C4409" t="s">
        <v>20</v>
      </c>
      <c r="D4409" t="s">
        <v>38</v>
      </c>
      <c r="E4409" t="s">
        <v>30</v>
      </c>
      <c r="F4409" t="s">
        <v>31</v>
      </c>
      <c r="G4409">
        <v>2</v>
      </c>
      <c r="H4409">
        <v>2.8</v>
      </c>
      <c r="I4409" t="s">
        <v>21</v>
      </c>
      <c r="J4409" t="s">
        <v>1678</v>
      </c>
      <c r="K4409" s="12">
        <f>Store_Record[[#This Row],[Qty]]*Store_Record[[#This Row],[UnitPriceGBP]]</f>
        <v>5.6</v>
      </c>
      <c r="L4409" s="5" t="str">
        <f>TEXT(Store_Record[[#This Row],[Date]],"dddd")</f>
        <v>Tuesday</v>
      </c>
      <c r="M4409" s="5" t="str">
        <f>TEXT(Store_Record[[#This Row],[Date]],"mmmm")</f>
        <v>November</v>
      </c>
      <c r="N4409" s="5">
        <f>YEAR(Store_Record[[#This Row],[Date]])</f>
        <v>2025</v>
      </c>
      <c r="O4409"/>
    </row>
    <row r="4410" spans="1:15" x14ac:dyDescent="0.35">
      <c r="A4410" t="s">
        <v>5400</v>
      </c>
      <c r="B4410" s="2">
        <v>45979</v>
      </c>
      <c r="C4410" t="s">
        <v>24</v>
      </c>
      <c r="D4410" t="s">
        <v>11</v>
      </c>
      <c r="E4410" t="s">
        <v>26</v>
      </c>
      <c r="F4410" t="s">
        <v>13</v>
      </c>
      <c r="G4410">
        <v>1</v>
      </c>
      <c r="H4410">
        <v>3.8</v>
      </c>
      <c r="I4410" t="s">
        <v>14</v>
      </c>
      <c r="J4410" t="s">
        <v>2324</v>
      </c>
      <c r="K4410" s="12">
        <f>Store_Record[[#This Row],[Qty]]*Store_Record[[#This Row],[UnitPriceGBP]]</f>
        <v>3.8</v>
      </c>
      <c r="L4410" s="5" t="str">
        <f>TEXT(Store_Record[[#This Row],[Date]],"dddd")</f>
        <v>Tuesday</v>
      </c>
      <c r="M4410" s="5" t="str">
        <f>TEXT(Store_Record[[#This Row],[Date]],"mmmm")</f>
        <v>November</v>
      </c>
      <c r="N4410" s="5">
        <f>YEAR(Store_Record[[#This Row],[Date]])</f>
        <v>2025</v>
      </c>
      <c r="O4410"/>
    </row>
    <row r="4411" spans="1:15" x14ac:dyDescent="0.35">
      <c r="A4411" t="s">
        <v>5389</v>
      </c>
      <c r="B4411" s="2">
        <v>45979</v>
      </c>
      <c r="C4411" t="s">
        <v>24</v>
      </c>
      <c r="D4411" t="s">
        <v>47</v>
      </c>
      <c r="E4411" t="s">
        <v>34</v>
      </c>
      <c r="F4411" t="s">
        <v>31</v>
      </c>
      <c r="G4411">
        <v>1</v>
      </c>
      <c r="H4411">
        <v>2.2000000000000002</v>
      </c>
      <c r="I4411" t="s">
        <v>21</v>
      </c>
      <c r="J4411" t="s">
        <v>1426</v>
      </c>
      <c r="K4411" s="12">
        <f>Store_Record[[#This Row],[Qty]]*Store_Record[[#This Row],[UnitPriceGBP]]</f>
        <v>2.2000000000000002</v>
      </c>
      <c r="L4411" s="5" t="str">
        <f>TEXT(Store_Record[[#This Row],[Date]],"dddd")</f>
        <v>Tuesday</v>
      </c>
      <c r="M4411" s="5" t="str">
        <f>TEXT(Store_Record[[#This Row],[Date]],"mmmm")</f>
        <v>November</v>
      </c>
      <c r="N4411" s="5">
        <f>YEAR(Store_Record[[#This Row],[Date]])</f>
        <v>2025</v>
      </c>
      <c r="O4411"/>
    </row>
    <row r="4412" spans="1:15" x14ac:dyDescent="0.35">
      <c r="A4412" t="s">
        <v>5406</v>
      </c>
      <c r="B4412" s="2">
        <v>45980</v>
      </c>
      <c r="C4412" t="s">
        <v>36</v>
      </c>
      <c r="D4412" t="s">
        <v>29</v>
      </c>
      <c r="E4412" t="s">
        <v>42</v>
      </c>
      <c r="F4412" t="s">
        <v>13</v>
      </c>
      <c r="G4412">
        <v>5</v>
      </c>
      <c r="H4412">
        <v>3.8</v>
      </c>
      <c r="I4412" t="s">
        <v>39</v>
      </c>
      <c r="J4412" t="s">
        <v>1015</v>
      </c>
      <c r="K4412" s="12">
        <f>Store_Record[[#This Row],[Qty]]*Store_Record[[#This Row],[UnitPriceGBP]]</f>
        <v>19</v>
      </c>
      <c r="L4412" s="5" t="str">
        <f>TEXT(Store_Record[[#This Row],[Date]],"dddd")</f>
        <v>Wednesday</v>
      </c>
      <c r="M4412" s="5" t="str">
        <f>TEXT(Store_Record[[#This Row],[Date]],"mmmm")</f>
        <v>November</v>
      </c>
      <c r="N4412" s="5">
        <f>YEAR(Store_Record[[#This Row],[Date]])</f>
        <v>2025</v>
      </c>
      <c r="O4412"/>
    </row>
    <row r="4413" spans="1:15" x14ac:dyDescent="0.35">
      <c r="A4413" t="s">
        <v>5408</v>
      </c>
      <c r="B4413" s="2">
        <v>45980</v>
      </c>
      <c r="C4413" t="s">
        <v>36</v>
      </c>
      <c r="D4413" t="s">
        <v>29</v>
      </c>
      <c r="E4413" t="s">
        <v>26</v>
      </c>
      <c r="F4413" t="s">
        <v>13</v>
      </c>
      <c r="G4413">
        <v>5</v>
      </c>
      <c r="H4413">
        <v>3.5</v>
      </c>
      <c r="I4413" t="s">
        <v>21</v>
      </c>
      <c r="J4413" t="s">
        <v>275</v>
      </c>
      <c r="K4413" s="12">
        <f>Store_Record[[#This Row],[Qty]]*Store_Record[[#This Row],[UnitPriceGBP]]</f>
        <v>17.5</v>
      </c>
      <c r="L4413" s="5" t="str">
        <f>TEXT(Store_Record[[#This Row],[Date]],"dddd")</f>
        <v>Wednesday</v>
      </c>
      <c r="M4413" s="5" t="str">
        <f>TEXT(Store_Record[[#This Row],[Date]],"mmmm")</f>
        <v>November</v>
      </c>
      <c r="N4413" s="5">
        <f>YEAR(Store_Record[[#This Row],[Date]])</f>
        <v>2025</v>
      </c>
      <c r="O4413"/>
    </row>
    <row r="4414" spans="1:15" x14ac:dyDescent="0.35">
      <c r="A4414" t="s">
        <v>5409</v>
      </c>
      <c r="B4414" s="2">
        <v>45980</v>
      </c>
      <c r="C4414" t="s">
        <v>24</v>
      </c>
      <c r="D4414" t="s">
        <v>38</v>
      </c>
      <c r="E4414" t="s">
        <v>26</v>
      </c>
      <c r="F4414" t="s">
        <v>13</v>
      </c>
      <c r="G4414">
        <v>4</v>
      </c>
      <c r="H4414">
        <v>3.5</v>
      </c>
      <c r="I4414" t="s">
        <v>14</v>
      </c>
      <c r="J4414" t="s">
        <v>390</v>
      </c>
      <c r="K4414" s="12">
        <f>Store_Record[[#This Row],[Qty]]*Store_Record[[#This Row],[UnitPriceGBP]]</f>
        <v>14</v>
      </c>
      <c r="L4414" s="5" t="str">
        <f>TEXT(Store_Record[[#This Row],[Date]],"dddd")</f>
        <v>Wednesday</v>
      </c>
      <c r="M4414" s="5" t="str">
        <f>TEXT(Store_Record[[#This Row],[Date]],"mmmm")</f>
        <v>November</v>
      </c>
      <c r="N4414" s="5">
        <f>YEAR(Store_Record[[#This Row],[Date]])</f>
        <v>2025</v>
      </c>
      <c r="O4414"/>
    </row>
    <row r="4415" spans="1:15" x14ac:dyDescent="0.35">
      <c r="A4415" t="s">
        <v>5404</v>
      </c>
      <c r="B4415" s="2">
        <v>45980</v>
      </c>
      <c r="C4415" t="s">
        <v>36</v>
      </c>
      <c r="D4415" t="s">
        <v>25</v>
      </c>
      <c r="E4415" t="s">
        <v>42</v>
      </c>
      <c r="F4415" t="s">
        <v>13</v>
      </c>
      <c r="G4415">
        <v>3</v>
      </c>
      <c r="H4415">
        <v>3.8</v>
      </c>
      <c r="I4415" t="s">
        <v>21</v>
      </c>
      <c r="J4415" t="s">
        <v>1731</v>
      </c>
      <c r="K4415" s="12">
        <f>Store_Record[[#This Row],[Qty]]*Store_Record[[#This Row],[UnitPriceGBP]]</f>
        <v>11.399999999999999</v>
      </c>
      <c r="L4415" s="5" t="str">
        <f>TEXT(Store_Record[[#This Row],[Date]],"dddd")</f>
        <v>Wednesday</v>
      </c>
      <c r="M4415" s="5" t="str">
        <f>TEXT(Store_Record[[#This Row],[Date]],"mmmm")</f>
        <v>November</v>
      </c>
      <c r="N4415" s="5">
        <f>YEAR(Store_Record[[#This Row],[Date]])</f>
        <v>2025</v>
      </c>
      <c r="O4415"/>
    </row>
    <row r="4416" spans="1:15" x14ac:dyDescent="0.35">
      <c r="A4416" t="s">
        <v>5416</v>
      </c>
      <c r="B4416" s="2">
        <v>45980</v>
      </c>
      <c r="C4416" t="s">
        <v>24</v>
      </c>
      <c r="D4416" t="s">
        <v>25</v>
      </c>
      <c r="E4416" t="s">
        <v>34</v>
      </c>
      <c r="F4416" t="s">
        <v>31</v>
      </c>
      <c r="G4416">
        <v>5</v>
      </c>
      <c r="H4416">
        <v>2.2000000000000002</v>
      </c>
      <c r="I4416" t="s">
        <v>21</v>
      </c>
      <c r="J4416" t="s">
        <v>347</v>
      </c>
      <c r="K4416" s="12">
        <f>Store_Record[[#This Row],[Qty]]*Store_Record[[#This Row],[UnitPriceGBP]]</f>
        <v>11</v>
      </c>
      <c r="L4416" s="5" t="str">
        <f>TEXT(Store_Record[[#This Row],[Date]],"dddd")</f>
        <v>Wednesday</v>
      </c>
      <c r="M4416" s="5" t="str">
        <f>TEXT(Store_Record[[#This Row],[Date]],"mmmm")</f>
        <v>November</v>
      </c>
      <c r="N4416" s="5">
        <f>YEAR(Store_Record[[#This Row],[Date]])</f>
        <v>2025</v>
      </c>
      <c r="O4416"/>
    </row>
    <row r="4417" spans="1:15" x14ac:dyDescent="0.35">
      <c r="A4417" t="s">
        <v>5411</v>
      </c>
      <c r="B4417" s="2">
        <v>45980</v>
      </c>
      <c r="C4417" t="s">
        <v>10</v>
      </c>
      <c r="D4417" t="s">
        <v>29</v>
      </c>
      <c r="E4417" t="s">
        <v>12</v>
      </c>
      <c r="F4417" t="s">
        <v>13</v>
      </c>
      <c r="G4417">
        <v>4</v>
      </c>
      <c r="H4417">
        <v>2.5</v>
      </c>
      <c r="I4417" t="s">
        <v>39</v>
      </c>
      <c r="J4417" t="s">
        <v>66</v>
      </c>
      <c r="K4417" s="12">
        <f>Store_Record[[#This Row],[Qty]]*Store_Record[[#This Row],[UnitPriceGBP]]</f>
        <v>10</v>
      </c>
      <c r="L4417" s="5" t="str">
        <f>TEXT(Store_Record[[#This Row],[Date]],"dddd")</f>
        <v>Wednesday</v>
      </c>
      <c r="M4417" s="5" t="str">
        <f>TEXT(Store_Record[[#This Row],[Date]],"mmmm")</f>
        <v>November</v>
      </c>
      <c r="N4417" s="5">
        <f>YEAR(Store_Record[[#This Row],[Date]])</f>
        <v>2025</v>
      </c>
      <c r="O4417"/>
    </row>
    <row r="4418" spans="1:15" x14ac:dyDescent="0.35">
      <c r="A4418" t="s">
        <v>5403</v>
      </c>
      <c r="B4418" s="2">
        <v>45980</v>
      </c>
      <c r="C4418" t="s">
        <v>10</v>
      </c>
      <c r="D4418" t="s">
        <v>25</v>
      </c>
      <c r="E4418" t="s">
        <v>30</v>
      </c>
      <c r="F4418" t="s">
        <v>31</v>
      </c>
      <c r="G4418">
        <v>3</v>
      </c>
      <c r="H4418">
        <v>2.8</v>
      </c>
      <c r="I4418" t="s">
        <v>21</v>
      </c>
      <c r="J4418" t="s">
        <v>1198</v>
      </c>
      <c r="K4418" s="12">
        <f>Store_Record[[#This Row],[Qty]]*Store_Record[[#This Row],[UnitPriceGBP]]</f>
        <v>8.3999999999999986</v>
      </c>
      <c r="L4418" s="5" t="str">
        <f>TEXT(Store_Record[[#This Row],[Date]],"dddd")</f>
        <v>Wednesday</v>
      </c>
      <c r="M4418" s="5" t="str">
        <f>TEXT(Store_Record[[#This Row],[Date]],"mmmm")</f>
        <v>November</v>
      </c>
      <c r="N4418" s="5">
        <f>YEAR(Store_Record[[#This Row],[Date]])</f>
        <v>2025</v>
      </c>
      <c r="O4418"/>
    </row>
    <row r="4419" spans="1:15" x14ac:dyDescent="0.35">
      <c r="A4419" t="s">
        <v>5407</v>
      </c>
      <c r="B4419" s="2">
        <v>45980</v>
      </c>
      <c r="C4419" t="s">
        <v>10</v>
      </c>
      <c r="D4419" t="s">
        <v>47</v>
      </c>
      <c r="E4419" t="s">
        <v>30</v>
      </c>
      <c r="F4419" t="s">
        <v>31</v>
      </c>
      <c r="G4419">
        <v>3</v>
      </c>
      <c r="H4419">
        <v>2.8</v>
      </c>
      <c r="I4419" t="s">
        <v>39</v>
      </c>
      <c r="J4419" t="s">
        <v>252</v>
      </c>
      <c r="K4419" s="12">
        <f>Store_Record[[#This Row],[Qty]]*Store_Record[[#This Row],[UnitPriceGBP]]</f>
        <v>8.3999999999999986</v>
      </c>
      <c r="L4419" s="5" t="str">
        <f>TEXT(Store_Record[[#This Row],[Date]],"dddd")</f>
        <v>Wednesday</v>
      </c>
      <c r="M4419" s="5" t="str">
        <f>TEXT(Store_Record[[#This Row],[Date]],"mmmm")</f>
        <v>November</v>
      </c>
      <c r="N4419" s="5">
        <f>YEAR(Store_Record[[#This Row],[Date]])</f>
        <v>2025</v>
      </c>
      <c r="O4419"/>
    </row>
    <row r="4420" spans="1:15" x14ac:dyDescent="0.35">
      <c r="A4420" t="s">
        <v>5414</v>
      </c>
      <c r="B4420" s="2">
        <v>45980</v>
      </c>
      <c r="C4420" t="s">
        <v>10</v>
      </c>
      <c r="D4420" t="s">
        <v>29</v>
      </c>
      <c r="E4420" t="s">
        <v>12</v>
      </c>
      <c r="F4420" t="s">
        <v>13</v>
      </c>
      <c r="G4420">
        <v>3</v>
      </c>
      <c r="H4420">
        <v>2.5</v>
      </c>
      <c r="I4420" t="s">
        <v>39</v>
      </c>
      <c r="J4420" t="s">
        <v>2041</v>
      </c>
      <c r="K4420" s="12">
        <f>Store_Record[[#This Row],[Qty]]*Store_Record[[#This Row],[UnitPriceGBP]]</f>
        <v>7.5</v>
      </c>
      <c r="L4420" s="5" t="str">
        <f>TEXT(Store_Record[[#This Row],[Date]],"dddd")</f>
        <v>Wednesday</v>
      </c>
      <c r="M4420" s="5" t="str">
        <f>TEXT(Store_Record[[#This Row],[Date]],"mmmm")</f>
        <v>November</v>
      </c>
      <c r="N4420" s="5">
        <f>YEAR(Store_Record[[#This Row],[Date]])</f>
        <v>2025</v>
      </c>
      <c r="O4420"/>
    </row>
    <row r="4421" spans="1:15" x14ac:dyDescent="0.35">
      <c r="A4421" t="s">
        <v>5402</v>
      </c>
      <c r="B4421" s="2">
        <v>45980</v>
      </c>
      <c r="C4421" t="s">
        <v>36</v>
      </c>
      <c r="D4421" t="s">
        <v>38</v>
      </c>
      <c r="E4421" t="s">
        <v>26</v>
      </c>
      <c r="F4421" t="s">
        <v>13</v>
      </c>
      <c r="G4421">
        <v>2</v>
      </c>
      <c r="H4421">
        <v>3.5</v>
      </c>
      <c r="I4421" t="s">
        <v>39</v>
      </c>
      <c r="J4421" t="s">
        <v>817</v>
      </c>
      <c r="K4421" s="12">
        <f>Store_Record[[#This Row],[Qty]]*Store_Record[[#This Row],[UnitPriceGBP]]</f>
        <v>7</v>
      </c>
      <c r="L4421" s="5" t="str">
        <f>TEXT(Store_Record[[#This Row],[Date]],"dddd")</f>
        <v>Wednesday</v>
      </c>
      <c r="M4421" s="5" t="str">
        <f>TEXT(Store_Record[[#This Row],[Date]],"mmmm")</f>
        <v>November</v>
      </c>
      <c r="N4421" s="5">
        <f>YEAR(Store_Record[[#This Row],[Date]])</f>
        <v>2025</v>
      </c>
      <c r="O4421"/>
    </row>
    <row r="4422" spans="1:15" x14ac:dyDescent="0.35">
      <c r="A4422" t="s">
        <v>5413</v>
      </c>
      <c r="B4422" s="2">
        <v>45980</v>
      </c>
      <c r="C4422" t="s">
        <v>10</v>
      </c>
      <c r="D4422" t="s">
        <v>11</v>
      </c>
      <c r="E4422" t="s">
        <v>30</v>
      </c>
      <c r="F4422" t="s">
        <v>31</v>
      </c>
      <c r="G4422">
        <v>2</v>
      </c>
      <c r="H4422">
        <v>2.8</v>
      </c>
      <c r="I4422" t="s">
        <v>21</v>
      </c>
      <c r="J4422" t="s">
        <v>1985</v>
      </c>
      <c r="K4422" s="12">
        <f>Store_Record[[#This Row],[Qty]]*Store_Record[[#This Row],[UnitPriceGBP]]</f>
        <v>5.6</v>
      </c>
      <c r="L4422" s="5" t="str">
        <f>TEXT(Store_Record[[#This Row],[Date]],"dddd")</f>
        <v>Wednesday</v>
      </c>
      <c r="M4422" s="5" t="str">
        <f>TEXT(Store_Record[[#This Row],[Date]],"mmmm")</f>
        <v>November</v>
      </c>
      <c r="N4422" s="5">
        <f>YEAR(Store_Record[[#This Row],[Date]])</f>
        <v>2025</v>
      </c>
      <c r="O4422"/>
    </row>
    <row r="4423" spans="1:15" x14ac:dyDescent="0.35">
      <c r="A4423" t="s">
        <v>5410</v>
      </c>
      <c r="B4423" s="2">
        <v>45980</v>
      </c>
      <c r="C4423" t="s">
        <v>10</v>
      </c>
      <c r="D4423" t="s">
        <v>11</v>
      </c>
      <c r="E4423" t="s">
        <v>12</v>
      </c>
      <c r="F4423" t="s">
        <v>13</v>
      </c>
      <c r="G4423">
        <v>2</v>
      </c>
      <c r="H4423">
        <v>2.5</v>
      </c>
      <c r="I4423" t="s">
        <v>39</v>
      </c>
      <c r="J4423" t="s">
        <v>2695</v>
      </c>
      <c r="K4423" s="12">
        <f>Store_Record[[#This Row],[Qty]]*Store_Record[[#This Row],[UnitPriceGBP]]</f>
        <v>5</v>
      </c>
      <c r="L4423" s="5" t="str">
        <f>TEXT(Store_Record[[#This Row],[Date]],"dddd")</f>
        <v>Wednesday</v>
      </c>
      <c r="M4423" s="5" t="str">
        <f>TEXT(Store_Record[[#This Row],[Date]],"mmmm")</f>
        <v>November</v>
      </c>
      <c r="N4423" s="5">
        <f>YEAR(Store_Record[[#This Row],[Date]])</f>
        <v>2025</v>
      </c>
      <c r="O4423"/>
    </row>
    <row r="4424" spans="1:15" x14ac:dyDescent="0.35">
      <c r="A4424" t="s">
        <v>5405</v>
      </c>
      <c r="B4424" s="2">
        <v>45980</v>
      </c>
      <c r="C4424" t="s">
        <v>20</v>
      </c>
      <c r="D4424" t="s">
        <v>38</v>
      </c>
      <c r="E4424" t="s">
        <v>26</v>
      </c>
      <c r="F4424" t="s">
        <v>13</v>
      </c>
      <c r="G4424">
        <v>1</v>
      </c>
      <c r="H4424">
        <v>3.5</v>
      </c>
      <c r="I4424" t="s">
        <v>39</v>
      </c>
      <c r="J4424" t="s">
        <v>341</v>
      </c>
      <c r="K4424" s="12">
        <f>Store_Record[[#This Row],[Qty]]*Store_Record[[#This Row],[UnitPriceGBP]]</f>
        <v>3.5</v>
      </c>
      <c r="L4424" s="5" t="str">
        <f>TEXT(Store_Record[[#This Row],[Date]],"dddd")</f>
        <v>Wednesday</v>
      </c>
      <c r="M4424" s="5" t="str">
        <f>TEXT(Store_Record[[#This Row],[Date]],"mmmm")</f>
        <v>November</v>
      </c>
      <c r="N4424" s="5">
        <f>YEAR(Store_Record[[#This Row],[Date]])</f>
        <v>2025</v>
      </c>
      <c r="O4424"/>
    </row>
    <row r="4425" spans="1:15" x14ac:dyDescent="0.35">
      <c r="A4425" t="s">
        <v>5412</v>
      </c>
      <c r="B4425" s="2">
        <v>45980</v>
      </c>
      <c r="C4425" t="s">
        <v>24</v>
      </c>
      <c r="D4425" t="s">
        <v>25</v>
      </c>
      <c r="E4425" t="s">
        <v>12</v>
      </c>
      <c r="F4425" t="s">
        <v>13</v>
      </c>
      <c r="G4425">
        <v>1</v>
      </c>
      <c r="H4425">
        <v>2.5</v>
      </c>
      <c r="I4425" t="s">
        <v>21</v>
      </c>
      <c r="J4425" t="s">
        <v>1509</v>
      </c>
      <c r="K4425" s="12">
        <f>Store_Record[[#This Row],[Qty]]*Store_Record[[#This Row],[UnitPriceGBP]]</f>
        <v>2.5</v>
      </c>
      <c r="L4425" s="5" t="str">
        <f>TEXT(Store_Record[[#This Row],[Date]],"dddd")</f>
        <v>Wednesday</v>
      </c>
      <c r="M4425" s="5" t="str">
        <f>TEXT(Store_Record[[#This Row],[Date]],"mmmm")</f>
        <v>November</v>
      </c>
      <c r="N4425" s="5">
        <f>YEAR(Store_Record[[#This Row],[Date]])</f>
        <v>2025</v>
      </c>
      <c r="O4425"/>
    </row>
    <row r="4426" spans="1:15" x14ac:dyDescent="0.35">
      <c r="A4426" t="s">
        <v>5415</v>
      </c>
      <c r="B4426" s="2">
        <v>45980</v>
      </c>
      <c r="C4426" t="s">
        <v>36</v>
      </c>
      <c r="D4426" t="s">
        <v>25</v>
      </c>
      <c r="E4426" t="s">
        <v>26</v>
      </c>
      <c r="F4426" t="s">
        <v>13</v>
      </c>
      <c r="G4426">
        <v>1</v>
      </c>
      <c r="H4426">
        <v>2.5</v>
      </c>
      <c r="I4426" t="s">
        <v>14</v>
      </c>
      <c r="J4426" t="s">
        <v>1011</v>
      </c>
      <c r="K4426" s="12">
        <f>Store_Record[[#This Row],[Qty]]*Store_Record[[#This Row],[UnitPriceGBP]]</f>
        <v>2.5</v>
      </c>
      <c r="L4426" s="5" t="str">
        <f>TEXT(Store_Record[[#This Row],[Date]],"dddd")</f>
        <v>Wednesday</v>
      </c>
      <c r="M4426" s="5" t="str">
        <f>TEXT(Store_Record[[#This Row],[Date]],"mmmm")</f>
        <v>November</v>
      </c>
      <c r="N4426" s="5">
        <f>YEAR(Store_Record[[#This Row],[Date]])</f>
        <v>2025</v>
      </c>
      <c r="O4426"/>
    </row>
    <row r="4427" spans="1:15" x14ac:dyDescent="0.35">
      <c r="A4427" t="s">
        <v>5431</v>
      </c>
      <c r="B4427" s="2">
        <v>45981</v>
      </c>
      <c r="C4427" t="s">
        <v>10</v>
      </c>
      <c r="D4427" t="s">
        <v>25</v>
      </c>
      <c r="E4427" t="s">
        <v>26</v>
      </c>
      <c r="F4427" t="s">
        <v>13</v>
      </c>
      <c r="G4427">
        <v>5</v>
      </c>
      <c r="H4427">
        <v>3.5</v>
      </c>
      <c r="I4427" t="s">
        <v>14</v>
      </c>
      <c r="J4427" t="s">
        <v>1553</v>
      </c>
      <c r="K4427" s="12">
        <f>Store_Record[[#This Row],[Qty]]*Store_Record[[#This Row],[UnitPriceGBP]]</f>
        <v>17.5</v>
      </c>
      <c r="L4427" s="5" t="str">
        <f>TEXT(Store_Record[[#This Row],[Date]],"dddd")</f>
        <v>Thursday</v>
      </c>
      <c r="M4427" s="5" t="str">
        <f>TEXT(Store_Record[[#This Row],[Date]],"mmmm")</f>
        <v>November</v>
      </c>
      <c r="N4427" s="5">
        <f>YEAR(Store_Record[[#This Row],[Date]])</f>
        <v>2025</v>
      </c>
      <c r="O4427"/>
    </row>
    <row r="4428" spans="1:15" x14ac:dyDescent="0.35">
      <c r="A4428" t="s">
        <v>5421</v>
      </c>
      <c r="B4428" s="2">
        <v>45981</v>
      </c>
      <c r="C4428" t="s">
        <v>10</v>
      </c>
      <c r="D4428" t="s">
        <v>29</v>
      </c>
      <c r="E4428" t="s">
        <v>42</v>
      </c>
      <c r="F4428" t="s">
        <v>13</v>
      </c>
      <c r="G4428">
        <v>4</v>
      </c>
      <c r="H4428">
        <v>3.8</v>
      </c>
      <c r="I4428" t="s">
        <v>39</v>
      </c>
      <c r="J4428" t="s">
        <v>1838</v>
      </c>
      <c r="K4428" s="12">
        <f>Store_Record[[#This Row],[Qty]]*Store_Record[[#This Row],[UnitPriceGBP]]</f>
        <v>15.2</v>
      </c>
      <c r="L4428" s="5" t="str">
        <f>TEXT(Store_Record[[#This Row],[Date]],"dddd")</f>
        <v>Thursday</v>
      </c>
      <c r="M4428" s="5" t="str">
        <f>TEXT(Store_Record[[#This Row],[Date]],"mmmm")</f>
        <v>November</v>
      </c>
      <c r="N4428" s="5">
        <f>YEAR(Store_Record[[#This Row],[Date]])</f>
        <v>2025</v>
      </c>
      <c r="O4428"/>
    </row>
    <row r="4429" spans="1:15" x14ac:dyDescent="0.35">
      <c r="A4429" t="s">
        <v>5429</v>
      </c>
      <c r="B4429" s="2">
        <v>45981</v>
      </c>
      <c r="C4429" t="s">
        <v>24</v>
      </c>
      <c r="D4429" t="s">
        <v>25</v>
      </c>
      <c r="E4429" t="s">
        <v>26</v>
      </c>
      <c r="F4429" t="s">
        <v>13</v>
      </c>
      <c r="G4429">
        <v>4</v>
      </c>
      <c r="H4429">
        <v>3.5</v>
      </c>
      <c r="I4429" t="s">
        <v>21</v>
      </c>
      <c r="J4429" t="s">
        <v>2986</v>
      </c>
      <c r="K4429" s="12">
        <f>Store_Record[[#This Row],[Qty]]*Store_Record[[#This Row],[UnitPriceGBP]]</f>
        <v>14</v>
      </c>
      <c r="L4429" s="5" t="str">
        <f>TEXT(Store_Record[[#This Row],[Date]],"dddd")</f>
        <v>Thursday</v>
      </c>
      <c r="M4429" s="5" t="str">
        <f>TEXT(Store_Record[[#This Row],[Date]],"mmmm")</f>
        <v>November</v>
      </c>
      <c r="N4429" s="5">
        <f>YEAR(Store_Record[[#This Row],[Date]])</f>
        <v>2025</v>
      </c>
      <c r="O4429"/>
    </row>
    <row r="4430" spans="1:15" x14ac:dyDescent="0.35">
      <c r="A4430" t="s">
        <v>5428</v>
      </c>
      <c r="B4430" s="2">
        <v>45981</v>
      </c>
      <c r="C4430" t="s">
        <v>20</v>
      </c>
      <c r="D4430" t="s">
        <v>38</v>
      </c>
      <c r="E4430" t="s">
        <v>12</v>
      </c>
      <c r="F4430" t="s">
        <v>13</v>
      </c>
      <c r="G4430">
        <v>5</v>
      </c>
      <c r="H4430">
        <v>2.5</v>
      </c>
      <c r="I4430" t="s">
        <v>21</v>
      </c>
      <c r="J4430" t="s">
        <v>1468</v>
      </c>
      <c r="K4430" s="12">
        <f>Store_Record[[#This Row],[Qty]]*Store_Record[[#This Row],[UnitPriceGBP]]</f>
        <v>12.5</v>
      </c>
      <c r="L4430" s="5" t="str">
        <f>TEXT(Store_Record[[#This Row],[Date]],"dddd")</f>
        <v>Thursday</v>
      </c>
      <c r="M4430" s="5" t="str">
        <f>TEXT(Store_Record[[#This Row],[Date]],"mmmm")</f>
        <v>November</v>
      </c>
      <c r="N4430" s="5">
        <f>YEAR(Store_Record[[#This Row],[Date]])</f>
        <v>2025</v>
      </c>
      <c r="O4430"/>
    </row>
    <row r="4431" spans="1:15" x14ac:dyDescent="0.35">
      <c r="A4431" t="s">
        <v>5422</v>
      </c>
      <c r="B4431" s="2">
        <v>45981</v>
      </c>
      <c r="C4431" t="s">
        <v>20</v>
      </c>
      <c r="D4431" t="s">
        <v>25</v>
      </c>
      <c r="E4431" t="s">
        <v>42</v>
      </c>
      <c r="F4431" t="s">
        <v>13</v>
      </c>
      <c r="G4431">
        <v>3</v>
      </c>
      <c r="H4431">
        <v>3.8</v>
      </c>
      <c r="I4431" t="s">
        <v>21</v>
      </c>
      <c r="J4431" t="s">
        <v>358</v>
      </c>
      <c r="K4431" s="12">
        <f>Store_Record[[#This Row],[Qty]]*Store_Record[[#This Row],[UnitPriceGBP]]</f>
        <v>11.399999999999999</v>
      </c>
      <c r="L4431" s="5" t="str">
        <f>TEXT(Store_Record[[#This Row],[Date]],"dddd")</f>
        <v>Thursday</v>
      </c>
      <c r="M4431" s="5" t="str">
        <f>TEXT(Store_Record[[#This Row],[Date]],"mmmm")</f>
        <v>November</v>
      </c>
      <c r="N4431" s="5">
        <f>YEAR(Store_Record[[#This Row],[Date]])</f>
        <v>2025</v>
      </c>
      <c r="O4431"/>
    </row>
    <row r="4432" spans="1:15" x14ac:dyDescent="0.35">
      <c r="A4432" t="s">
        <v>5423</v>
      </c>
      <c r="B4432" s="2">
        <v>45981</v>
      </c>
      <c r="C4432" t="s">
        <v>36</v>
      </c>
      <c r="D4432" t="s">
        <v>47</v>
      </c>
      <c r="E4432" t="s">
        <v>30</v>
      </c>
      <c r="F4432" t="s">
        <v>31</v>
      </c>
      <c r="G4432">
        <v>4</v>
      </c>
      <c r="H4432">
        <v>2.8</v>
      </c>
      <c r="I4432" t="s">
        <v>39</v>
      </c>
      <c r="J4432" t="s">
        <v>2220</v>
      </c>
      <c r="K4432" s="12">
        <f>Store_Record[[#This Row],[Qty]]*Store_Record[[#This Row],[UnitPriceGBP]]</f>
        <v>11.2</v>
      </c>
      <c r="L4432" s="5" t="str">
        <f>TEXT(Store_Record[[#This Row],[Date]],"dddd")</f>
        <v>Thursday</v>
      </c>
      <c r="M4432" s="5" t="str">
        <f>TEXT(Store_Record[[#This Row],[Date]],"mmmm")</f>
        <v>November</v>
      </c>
      <c r="N4432" s="5">
        <f>YEAR(Store_Record[[#This Row],[Date]])</f>
        <v>2025</v>
      </c>
      <c r="O4432"/>
    </row>
    <row r="4433" spans="1:15" x14ac:dyDescent="0.35">
      <c r="A4433" t="s">
        <v>5427</v>
      </c>
      <c r="B4433" s="2">
        <v>45981</v>
      </c>
      <c r="C4433" t="s">
        <v>20</v>
      </c>
      <c r="D4433" t="s">
        <v>38</v>
      </c>
      <c r="E4433" t="s">
        <v>34</v>
      </c>
      <c r="F4433" t="s">
        <v>31</v>
      </c>
      <c r="G4433">
        <v>4</v>
      </c>
      <c r="H4433">
        <v>2.2000000000000002</v>
      </c>
      <c r="I4433" t="s">
        <v>21</v>
      </c>
      <c r="J4433" t="s">
        <v>802</v>
      </c>
      <c r="K4433" s="12">
        <f>Store_Record[[#This Row],[Qty]]*Store_Record[[#This Row],[UnitPriceGBP]]</f>
        <v>8.8000000000000007</v>
      </c>
      <c r="L4433" s="5" t="str">
        <f>TEXT(Store_Record[[#This Row],[Date]],"dddd")</f>
        <v>Thursday</v>
      </c>
      <c r="M4433" s="5" t="str">
        <f>TEXT(Store_Record[[#This Row],[Date]],"mmmm")</f>
        <v>November</v>
      </c>
      <c r="N4433" s="5">
        <f>YEAR(Store_Record[[#This Row],[Date]])</f>
        <v>2025</v>
      </c>
      <c r="O4433"/>
    </row>
    <row r="4434" spans="1:15" x14ac:dyDescent="0.35">
      <c r="A4434" t="s">
        <v>5419</v>
      </c>
      <c r="B4434" s="2">
        <v>45981</v>
      </c>
      <c r="C4434" t="s">
        <v>36</v>
      </c>
      <c r="D4434" t="s">
        <v>29</v>
      </c>
      <c r="E4434" t="s">
        <v>26</v>
      </c>
      <c r="F4434" t="s">
        <v>13</v>
      </c>
      <c r="G4434">
        <v>2</v>
      </c>
      <c r="H4434">
        <v>3.5</v>
      </c>
      <c r="I4434" t="s">
        <v>39</v>
      </c>
      <c r="J4434" t="s">
        <v>153</v>
      </c>
      <c r="K4434" s="12">
        <f>Store_Record[[#This Row],[Qty]]*Store_Record[[#This Row],[UnitPriceGBP]]</f>
        <v>7</v>
      </c>
      <c r="L4434" s="5" t="str">
        <f>TEXT(Store_Record[[#This Row],[Date]],"dddd")</f>
        <v>Thursday</v>
      </c>
      <c r="M4434" s="5" t="str">
        <f>TEXT(Store_Record[[#This Row],[Date]],"mmmm")</f>
        <v>November</v>
      </c>
      <c r="N4434" s="5">
        <f>YEAR(Store_Record[[#This Row],[Date]])</f>
        <v>2025</v>
      </c>
      <c r="O4434"/>
    </row>
    <row r="4435" spans="1:15" x14ac:dyDescent="0.35">
      <c r="A4435" t="s">
        <v>5425</v>
      </c>
      <c r="B4435" s="2">
        <v>45981</v>
      </c>
      <c r="C4435" t="s">
        <v>24</v>
      </c>
      <c r="D4435" t="s">
        <v>11</v>
      </c>
      <c r="E4435" t="s">
        <v>26</v>
      </c>
      <c r="F4435" t="s">
        <v>13</v>
      </c>
      <c r="G4435">
        <v>2</v>
      </c>
      <c r="H4435">
        <v>3.5</v>
      </c>
      <c r="I4435" t="s">
        <v>39</v>
      </c>
      <c r="J4435" t="s">
        <v>4254</v>
      </c>
      <c r="K4435" s="12">
        <f>Store_Record[[#This Row],[Qty]]*Store_Record[[#This Row],[UnitPriceGBP]]</f>
        <v>7</v>
      </c>
      <c r="L4435" s="5" t="str">
        <f>TEXT(Store_Record[[#This Row],[Date]],"dddd")</f>
        <v>Thursday</v>
      </c>
      <c r="M4435" s="5" t="str">
        <f>TEXT(Store_Record[[#This Row],[Date]],"mmmm")</f>
        <v>November</v>
      </c>
      <c r="N4435" s="5">
        <f>YEAR(Store_Record[[#This Row],[Date]])</f>
        <v>2025</v>
      </c>
      <c r="O4435"/>
    </row>
    <row r="4436" spans="1:15" x14ac:dyDescent="0.35">
      <c r="A4436" t="s">
        <v>5418</v>
      </c>
      <c r="B4436" s="2">
        <v>45981</v>
      </c>
      <c r="C4436" t="s">
        <v>10</v>
      </c>
      <c r="D4436" t="s">
        <v>29</v>
      </c>
      <c r="E4436" t="s">
        <v>42</v>
      </c>
      <c r="F4436" t="s">
        <v>13</v>
      </c>
      <c r="G4436">
        <v>1</v>
      </c>
      <c r="H4436">
        <v>3.8</v>
      </c>
      <c r="I4436" t="s">
        <v>39</v>
      </c>
      <c r="J4436" t="s">
        <v>1364</v>
      </c>
      <c r="K4436" s="12">
        <f>Store_Record[[#This Row],[Qty]]*Store_Record[[#This Row],[UnitPriceGBP]]</f>
        <v>3.8</v>
      </c>
      <c r="L4436" s="5" t="str">
        <f>TEXT(Store_Record[[#This Row],[Date]],"dddd")</f>
        <v>Thursday</v>
      </c>
      <c r="M4436" s="5" t="str">
        <f>TEXT(Store_Record[[#This Row],[Date]],"mmmm")</f>
        <v>November</v>
      </c>
      <c r="N4436" s="5">
        <f>YEAR(Store_Record[[#This Row],[Date]])</f>
        <v>2025</v>
      </c>
      <c r="O4436"/>
    </row>
    <row r="4437" spans="1:15" x14ac:dyDescent="0.35">
      <c r="A4437" t="s">
        <v>5424</v>
      </c>
      <c r="B4437" s="2">
        <v>45981</v>
      </c>
      <c r="C4437" t="s">
        <v>10</v>
      </c>
      <c r="D4437" t="s">
        <v>25</v>
      </c>
      <c r="E4437" t="s">
        <v>42</v>
      </c>
      <c r="F4437" t="s">
        <v>13</v>
      </c>
      <c r="G4437">
        <v>1</v>
      </c>
      <c r="H4437">
        <v>3.8</v>
      </c>
      <c r="I4437" t="s">
        <v>21</v>
      </c>
      <c r="J4437" t="s">
        <v>2422</v>
      </c>
      <c r="K4437" s="12">
        <f>Store_Record[[#This Row],[Qty]]*Store_Record[[#This Row],[UnitPriceGBP]]</f>
        <v>3.8</v>
      </c>
      <c r="L4437" s="5" t="str">
        <f>TEXT(Store_Record[[#This Row],[Date]],"dddd")</f>
        <v>Thursday</v>
      </c>
      <c r="M4437" s="5" t="str">
        <f>TEXT(Store_Record[[#This Row],[Date]],"mmmm")</f>
        <v>November</v>
      </c>
      <c r="N4437" s="5">
        <f>YEAR(Store_Record[[#This Row],[Date]])</f>
        <v>2025</v>
      </c>
      <c r="O4437"/>
    </row>
    <row r="4438" spans="1:15" x14ac:dyDescent="0.35">
      <c r="A4438" t="s">
        <v>5430</v>
      </c>
      <c r="B4438" s="2">
        <v>45981</v>
      </c>
      <c r="C4438" t="s">
        <v>36</v>
      </c>
      <c r="D4438" t="s">
        <v>25</v>
      </c>
      <c r="E4438" t="s">
        <v>42</v>
      </c>
      <c r="F4438" t="s">
        <v>13</v>
      </c>
      <c r="G4438">
        <v>1</v>
      </c>
      <c r="H4438">
        <v>3.8</v>
      </c>
      <c r="I4438" t="s">
        <v>39</v>
      </c>
      <c r="J4438" t="s">
        <v>923</v>
      </c>
      <c r="K4438" s="12">
        <f>Store_Record[[#This Row],[Qty]]*Store_Record[[#This Row],[UnitPriceGBP]]</f>
        <v>3.8</v>
      </c>
      <c r="L4438" s="5" t="str">
        <f>TEXT(Store_Record[[#This Row],[Date]],"dddd")</f>
        <v>Thursday</v>
      </c>
      <c r="M4438" s="5" t="str">
        <f>TEXT(Store_Record[[#This Row],[Date]],"mmmm")</f>
        <v>November</v>
      </c>
      <c r="N4438" s="5">
        <f>YEAR(Store_Record[[#This Row],[Date]])</f>
        <v>2025</v>
      </c>
      <c r="O4438"/>
    </row>
    <row r="4439" spans="1:15" x14ac:dyDescent="0.35">
      <c r="A4439" t="s">
        <v>5417</v>
      </c>
      <c r="B4439" s="2">
        <v>45981</v>
      </c>
      <c r="C4439" t="s">
        <v>10</v>
      </c>
      <c r="D4439" t="s">
        <v>25</v>
      </c>
      <c r="E4439" t="s">
        <v>26</v>
      </c>
      <c r="F4439" t="s">
        <v>13</v>
      </c>
      <c r="G4439">
        <v>1</v>
      </c>
      <c r="H4439">
        <v>3.5</v>
      </c>
      <c r="I4439" t="s">
        <v>21</v>
      </c>
      <c r="J4439" t="s">
        <v>1280</v>
      </c>
      <c r="K4439" s="12">
        <f>Store_Record[[#This Row],[Qty]]*Store_Record[[#This Row],[UnitPriceGBP]]</f>
        <v>3.5</v>
      </c>
      <c r="L4439" s="5" t="str">
        <f>TEXT(Store_Record[[#This Row],[Date]],"dddd")</f>
        <v>Thursday</v>
      </c>
      <c r="M4439" s="5" t="str">
        <f>TEXT(Store_Record[[#This Row],[Date]],"mmmm")</f>
        <v>November</v>
      </c>
      <c r="N4439" s="5">
        <f>YEAR(Store_Record[[#This Row],[Date]])</f>
        <v>2025</v>
      </c>
      <c r="O4439"/>
    </row>
    <row r="4440" spans="1:15" x14ac:dyDescent="0.35">
      <c r="A4440" t="s">
        <v>5420</v>
      </c>
      <c r="B4440" s="2">
        <v>45981</v>
      </c>
      <c r="C4440" t="s">
        <v>24</v>
      </c>
      <c r="D4440" t="s">
        <v>25</v>
      </c>
      <c r="E4440" t="s">
        <v>30</v>
      </c>
      <c r="F4440" t="s">
        <v>31</v>
      </c>
      <c r="G4440">
        <v>1</v>
      </c>
      <c r="H4440">
        <v>2.8</v>
      </c>
      <c r="I4440" t="s">
        <v>39</v>
      </c>
      <c r="J4440" t="s">
        <v>1475</v>
      </c>
      <c r="K4440" s="12">
        <f>Store_Record[[#This Row],[Qty]]*Store_Record[[#This Row],[UnitPriceGBP]]</f>
        <v>2.8</v>
      </c>
      <c r="L4440" s="5" t="str">
        <f>TEXT(Store_Record[[#This Row],[Date]],"dddd")</f>
        <v>Thursday</v>
      </c>
      <c r="M4440" s="5" t="str">
        <f>TEXT(Store_Record[[#This Row],[Date]],"mmmm")</f>
        <v>November</v>
      </c>
      <c r="N4440" s="5">
        <f>YEAR(Store_Record[[#This Row],[Date]])</f>
        <v>2025</v>
      </c>
      <c r="O4440"/>
    </row>
    <row r="4441" spans="1:15" x14ac:dyDescent="0.35">
      <c r="A4441" t="s">
        <v>5426</v>
      </c>
      <c r="B4441" s="2">
        <v>45981</v>
      </c>
      <c r="C4441" t="s">
        <v>20</v>
      </c>
      <c r="D4441" t="s">
        <v>25</v>
      </c>
      <c r="E4441" t="s">
        <v>30</v>
      </c>
      <c r="F4441" t="s">
        <v>31</v>
      </c>
      <c r="G4441">
        <v>1</v>
      </c>
      <c r="H4441">
        <v>2.8</v>
      </c>
      <c r="I4441" t="s">
        <v>14</v>
      </c>
      <c r="J4441" t="s">
        <v>1063</v>
      </c>
      <c r="K4441" s="12">
        <f>Store_Record[[#This Row],[Qty]]*Store_Record[[#This Row],[UnitPriceGBP]]</f>
        <v>2.8</v>
      </c>
      <c r="L4441" s="5" t="str">
        <f>TEXT(Store_Record[[#This Row],[Date]],"dddd")</f>
        <v>Thursday</v>
      </c>
      <c r="M4441" s="5" t="str">
        <f>TEXT(Store_Record[[#This Row],[Date]],"mmmm")</f>
        <v>November</v>
      </c>
      <c r="N4441" s="5">
        <f>YEAR(Store_Record[[#This Row],[Date]])</f>
        <v>2025</v>
      </c>
      <c r="O4441"/>
    </row>
    <row r="4442" spans="1:15" x14ac:dyDescent="0.35">
      <c r="A4442" t="s">
        <v>5442</v>
      </c>
      <c r="B4442" s="2">
        <v>45982</v>
      </c>
      <c r="C4442" t="s">
        <v>20</v>
      </c>
      <c r="D4442" t="s">
        <v>11</v>
      </c>
      <c r="E4442" t="s">
        <v>26</v>
      </c>
      <c r="F4442" t="s">
        <v>13</v>
      </c>
      <c r="G4442">
        <v>5</v>
      </c>
      <c r="H4442">
        <v>3.5</v>
      </c>
      <c r="I4442" t="s">
        <v>14</v>
      </c>
      <c r="J4442" t="s">
        <v>769</v>
      </c>
      <c r="K4442" s="12">
        <f>Store_Record[[#This Row],[Qty]]*Store_Record[[#This Row],[UnitPriceGBP]]</f>
        <v>17.5</v>
      </c>
      <c r="L4442" s="5" t="str">
        <f>TEXT(Store_Record[[#This Row],[Date]],"dddd")</f>
        <v>Friday</v>
      </c>
      <c r="M4442" s="5" t="str">
        <f>TEXT(Store_Record[[#This Row],[Date]],"mmmm")</f>
        <v>November</v>
      </c>
      <c r="N4442" s="5">
        <f>YEAR(Store_Record[[#This Row],[Date]])</f>
        <v>2025</v>
      </c>
      <c r="O4442"/>
    </row>
    <row r="4443" spans="1:15" x14ac:dyDescent="0.35">
      <c r="A4443" t="s">
        <v>5437</v>
      </c>
      <c r="B4443" s="2">
        <v>45982</v>
      </c>
      <c r="C4443" t="s">
        <v>10</v>
      </c>
      <c r="D4443" t="s">
        <v>11</v>
      </c>
      <c r="E4443" t="s">
        <v>30</v>
      </c>
      <c r="F4443" t="s">
        <v>31</v>
      </c>
      <c r="G4443">
        <v>5</v>
      </c>
      <c r="H4443">
        <v>2.8</v>
      </c>
      <c r="I4443" t="s">
        <v>14</v>
      </c>
      <c r="J4443" t="s">
        <v>1003</v>
      </c>
      <c r="K4443" s="12">
        <f>Store_Record[[#This Row],[Qty]]*Store_Record[[#This Row],[UnitPriceGBP]]</f>
        <v>14</v>
      </c>
      <c r="L4443" s="5" t="str">
        <f>TEXT(Store_Record[[#This Row],[Date]],"dddd")</f>
        <v>Friday</v>
      </c>
      <c r="M4443" s="5" t="str">
        <f>TEXT(Store_Record[[#This Row],[Date]],"mmmm")</f>
        <v>November</v>
      </c>
      <c r="N4443" s="5">
        <f>YEAR(Store_Record[[#This Row],[Date]])</f>
        <v>2025</v>
      </c>
      <c r="O4443"/>
    </row>
    <row r="4444" spans="1:15" x14ac:dyDescent="0.35">
      <c r="A4444" t="s">
        <v>5443</v>
      </c>
      <c r="B4444" s="2">
        <v>45982</v>
      </c>
      <c r="C4444" t="s">
        <v>36</v>
      </c>
      <c r="D4444" t="s">
        <v>38</v>
      </c>
      <c r="E4444" t="s">
        <v>30</v>
      </c>
      <c r="F4444" t="s">
        <v>31</v>
      </c>
      <c r="G4444">
        <v>4</v>
      </c>
      <c r="H4444">
        <v>2.8</v>
      </c>
      <c r="I4444" t="s">
        <v>39</v>
      </c>
      <c r="J4444" t="s">
        <v>2566</v>
      </c>
      <c r="K4444" s="12">
        <f>Store_Record[[#This Row],[Qty]]*Store_Record[[#This Row],[UnitPriceGBP]]</f>
        <v>11.2</v>
      </c>
      <c r="L4444" s="5" t="str">
        <f>TEXT(Store_Record[[#This Row],[Date]],"dddd")</f>
        <v>Friday</v>
      </c>
      <c r="M4444" s="5" t="str">
        <f>TEXT(Store_Record[[#This Row],[Date]],"mmmm")</f>
        <v>November</v>
      </c>
      <c r="N4444" s="5">
        <f>YEAR(Store_Record[[#This Row],[Date]])</f>
        <v>2025</v>
      </c>
      <c r="O4444"/>
    </row>
    <row r="4445" spans="1:15" x14ac:dyDescent="0.35">
      <c r="A4445" t="s">
        <v>5435</v>
      </c>
      <c r="B4445" s="2">
        <v>45982</v>
      </c>
      <c r="C4445" t="s">
        <v>24</v>
      </c>
      <c r="D4445" t="s">
        <v>11</v>
      </c>
      <c r="E4445" t="s">
        <v>34</v>
      </c>
      <c r="F4445" t="s">
        <v>31</v>
      </c>
      <c r="G4445">
        <v>5</v>
      </c>
      <c r="H4445">
        <v>2.2000000000000002</v>
      </c>
      <c r="I4445" t="s">
        <v>21</v>
      </c>
      <c r="J4445" t="s">
        <v>3273</v>
      </c>
      <c r="K4445" s="12">
        <f>Store_Record[[#This Row],[Qty]]*Store_Record[[#This Row],[UnitPriceGBP]]</f>
        <v>11</v>
      </c>
      <c r="L4445" s="5" t="str">
        <f>TEXT(Store_Record[[#This Row],[Date]],"dddd")</f>
        <v>Friday</v>
      </c>
      <c r="M4445" s="5" t="str">
        <f>TEXT(Store_Record[[#This Row],[Date]],"mmmm")</f>
        <v>November</v>
      </c>
      <c r="N4445" s="5">
        <f>YEAR(Store_Record[[#This Row],[Date]])</f>
        <v>2025</v>
      </c>
      <c r="O4445"/>
    </row>
    <row r="4446" spans="1:15" x14ac:dyDescent="0.35">
      <c r="A4446" t="s">
        <v>5436</v>
      </c>
      <c r="B4446" s="2">
        <v>45982</v>
      </c>
      <c r="C4446" t="s">
        <v>10</v>
      </c>
      <c r="D4446" t="s">
        <v>29</v>
      </c>
      <c r="E4446" t="s">
        <v>34</v>
      </c>
      <c r="F4446" t="s">
        <v>31</v>
      </c>
      <c r="G4446">
        <v>5</v>
      </c>
      <c r="H4446">
        <v>2.2000000000000002</v>
      </c>
      <c r="I4446" t="s">
        <v>39</v>
      </c>
      <c r="J4446" t="s">
        <v>384</v>
      </c>
      <c r="K4446" s="12">
        <f>Store_Record[[#This Row],[Qty]]*Store_Record[[#This Row],[UnitPriceGBP]]</f>
        <v>11</v>
      </c>
      <c r="L4446" s="5" t="str">
        <f>TEXT(Store_Record[[#This Row],[Date]],"dddd")</f>
        <v>Friday</v>
      </c>
      <c r="M4446" s="5" t="str">
        <f>TEXT(Store_Record[[#This Row],[Date]],"mmmm")</f>
        <v>November</v>
      </c>
      <c r="N4446" s="5">
        <f>YEAR(Store_Record[[#This Row],[Date]])</f>
        <v>2025</v>
      </c>
      <c r="O4446"/>
    </row>
    <row r="4447" spans="1:15" x14ac:dyDescent="0.35">
      <c r="A4447" t="s">
        <v>5440</v>
      </c>
      <c r="B4447" s="2">
        <v>45982</v>
      </c>
      <c r="C4447" t="s">
        <v>10</v>
      </c>
      <c r="D4447" t="s">
        <v>38</v>
      </c>
      <c r="E4447" t="s">
        <v>34</v>
      </c>
      <c r="F4447" t="s">
        <v>31</v>
      </c>
      <c r="G4447">
        <v>4</v>
      </c>
      <c r="H4447">
        <v>2.2000000000000002</v>
      </c>
      <c r="I4447" t="s">
        <v>21</v>
      </c>
      <c r="J4447" t="s">
        <v>4877</v>
      </c>
      <c r="K4447" s="12">
        <f>Store_Record[[#This Row],[Qty]]*Store_Record[[#This Row],[UnitPriceGBP]]</f>
        <v>8.8000000000000007</v>
      </c>
      <c r="L4447" s="5" t="str">
        <f>TEXT(Store_Record[[#This Row],[Date]],"dddd")</f>
        <v>Friday</v>
      </c>
      <c r="M4447" s="5" t="str">
        <f>TEXT(Store_Record[[#This Row],[Date]],"mmmm")</f>
        <v>November</v>
      </c>
      <c r="N4447" s="5">
        <f>YEAR(Store_Record[[#This Row],[Date]])</f>
        <v>2025</v>
      </c>
      <c r="O4447"/>
    </row>
    <row r="4448" spans="1:15" x14ac:dyDescent="0.35">
      <c r="A4448" t="s">
        <v>5433</v>
      </c>
      <c r="B4448" s="2">
        <v>45982</v>
      </c>
      <c r="C4448" t="s">
        <v>10</v>
      </c>
      <c r="D4448" t="s">
        <v>29</v>
      </c>
      <c r="E4448" t="s">
        <v>26</v>
      </c>
      <c r="F4448" t="s">
        <v>13</v>
      </c>
      <c r="G4448">
        <v>2</v>
      </c>
      <c r="H4448">
        <v>3.5</v>
      </c>
      <c r="I4448" t="s">
        <v>14</v>
      </c>
      <c r="J4448" t="s">
        <v>1760</v>
      </c>
      <c r="K4448" s="12">
        <f>Store_Record[[#This Row],[Qty]]*Store_Record[[#This Row],[UnitPriceGBP]]</f>
        <v>7</v>
      </c>
      <c r="L4448" s="5" t="str">
        <f>TEXT(Store_Record[[#This Row],[Date]],"dddd")</f>
        <v>Friday</v>
      </c>
      <c r="M4448" s="5" t="str">
        <f>TEXT(Store_Record[[#This Row],[Date]],"mmmm")</f>
        <v>November</v>
      </c>
      <c r="N4448" s="5">
        <f>YEAR(Store_Record[[#This Row],[Date]])</f>
        <v>2025</v>
      </c>
      <c r="O4448"/>
    </row>
    <row r="4449" spans="1:15" x14ac:dyDescent="0.35">
      <c r="A4449" t="s">
        <v>5434</v>
      </c>
      <c r="B4449" s="2">
        <v>45982</v>
      </c>
      <c r="C4449" t="s">
        <v>10</v>
      </c>
      <c r="D4449" t="s">
        <v>29</v>
      </c>
      <c r="E4449" t="s">
        <v>26</v>
      </c>
      <c r="F4449" t="s">
        <v>13</v>
      </c>
      <c r="G4449">
        <v>2</v>
      </c>
      <c r="H4449">
        <v>3.5</v>
      </c>
      <c r="I4449" t="s">
        <v>21</v>
      </c>
      <c r="J4449" t="s">
        <v>2825</v>
      </c>
      <c r="K4449" s="12">
        <f>Store_Record[[#This Row],[Qty]]*Store_Record[[#This Row],[UnitPriceGBP]]</f>
        <v>7</v>
      </c>
      <c r="L4449" s="5" t="str">
        <f>TEXT(Store_Record[[#This Row],[Date]],"dddd")</f>
        <v>Friday</v>
      </c>
      <c r="M4449" s="5" t="str">
        <f>TEXT(Store_Record[[#This Row],[Date]],"mmmm")</f>
        <v>November</v>
      </c>
      <c r="N4449" s="5">
        <f>YEAR(Store_Record[[#This Row],[Date]])</f>
        <v>2025</v>
      </c>
      <c r="O4449"/>
    </row>
    <row r="4450" spans="1:15" x14ac:dyDescent="0.35">
      <c r="A4450" t="s">
        <v>5439</v>
      </c>
      <c r="B4450" s="2">
        <v>45982</v>
      </c>
      <c r="C4450" t="s">
        <v>24</v>
      </c>
      <c r="D4450" t="s">
        <v>47</v>
      </c>
      <c r="E4450" t="s">
        <v>26</v>
      </c>
      <c r="F4450" t="s">
        <v>13</v>
      </c>
      <c r="G4450">
        <v>2</v>
      </c>
      <c r="H4450">
        <v>3.5</v>
      </c>
      <c r="I4450" t="s">
        <v>21</v>
      </c>
      <c r="J4450" t="s">
        <v>1907</v>
      </c>
      <c r="K4450" s="12">
        <f>Store_Record[[#This Row],[Qty]]*Store_Record[[#This Row],[UnitPriceGBP]]</f>
        <v>7</v>
      </c>
      <c r="L4450" s="5" t="str">
        <f>TEXT(Store_Record[[#This Row],[Date]],"dddd")</f>
        <v>Friday</v>
      </c>
      <c r="M4450" s="5" t="str">
        <f>TEXT(Store_Record[[#This Row],[Date]],"mmmm")</f>
        <v>November</v>
      </c>
      <c r="N4450" s="5">
        <f>YEAR(Store_Record[[#This Row],[Date]])</f>
        <v>2025</v>
      </c>
      <c r="O4450"/>
    </row>
    <row r="4451" spans="1:15" x14ac:dyDescent="0.35">
      <c r="A4451" t="s">
        <v>5441</v>
      </c>
      <c r="B4451" s="2">
        <v>45982</v>
      </c>
      <c r="C4451" t="s">
        <v>20</v>
      </c>
      <c r="D4451" t="s">
        <v>47</v>
      </c>
      <c r="E4451" t="s">
        <v>30</v>
      </c>
      <c r="F4451" t="s">
        <v>31</v>
      </c>
      <c r="G4451">
        <v>2</v>
      </c>
      <c r="H4451">
        <v>2.8</v>
      </c>
      <c r="I4451" t="s">
        <v>39</v>
      </c>
      <c r="J4451" t="s">
        <v>460</v>
      </c>
      <c r="K4451" s="12">
        <f>Store_Record[[#This Row],[Qty]]*Store_Record[[#This Row],[UnitPriceGBP]]</f>
        <v>5.6</v>
      </c>
      <c r="L4451" s="5" t="str">
        <f>TEXT(Store_Record[[#This Row],[Date]],"dddd")</f>
        <v>Friday</v>
      </c>
      <c r="M4451" s="5" t="str">
        <f>TEXT(Store_Record[[#This Row],[Date]],"mmmm")</f>
        <v>November</v>
      </c>
      <c r="N4451" s="5">
        <f>YEAR(Store_Record[[#This Row],[Date]])</f>
        <v>2025</v>
      </c>
      <c r="O4451"/>
    </row>
    <row r="4452" spans="1:15" x14ac:dyDescent="0.35">
      <c r="A4452" t="s">
        <v>5432</v>
      </c>
      <c r="B4452" s="2">
        <v>45982</v>
      </c>
      <c r="C4452" t="s">
        <v>20</v>
      </c>
      <c r="D4452" t="s">
        <v>47</v>
      </c>
      <c r="E4452" t="s">
        <v>12</v>
      </c>
      <c r="F4452" t="s">
        <v>13</v>
      </c>
      <c r="G4452">
        <v>2</v>
      </c>
      <c r="H4452">
        <v>2.5</v>
      </c>
      <c r="I4452" t="s">
        <v>14</v>
      </c>
      <c r="J4452" t="s">
        <v>1310</v>
      </c>
      <c r="K4452" s="12">
        <f>Store_Record[[#This Row],[Qty]]*Store_Record[[#This Row],[UnitPriceGBP]]</f>
        <v>5</v>
      </c>
      <c r="L4452" s="5" t="str">
        <f>TEXT(Store_Record[[#This Row],[Date]],"dddd")</f>
        <v>Friday</v>
      </c>
      <c r="M4452" s="5" t="str">
        <f>TEXT(Store_Record[[#This Row],[Date]],"mmmm")</f>
        <v>November</v>
      </c>
      <c r="N4452" s="5">
        <f>YEAR(Store_Record[[#This Row],[Date]])</f>
        <v>2025</v>
      </c>
      <c r="O4452"/>
    </row>
    <row r="4453" spans="1:15" x14ac:dyDescent="0.35">
      <c r="A4453" t="s">
        <v>5444</v>
      </c>
      <c r="B4453" s="2">
        <v>45982</v>
      </c>
      <c r="C4453" t="s">
        <v>20</v>
      </c>
      <c r="D4453" t="s">
        <v>25</v>
      </c>
      <c r="E4453" t="s">
        <v>26</v>
      </c>
      <c r="F4453" t="s">
        <v>13</v>
      </c>
      <c r="G4453">
        <v>1</v>
      </c>
      <c r="H4453">
        <v>3.5</v>
      </c>
      <c r="I4453" t="s">
        <v>14</v>
      </c>
      <c r="J4453" t="s">
        <v>1904</v>
      </c>
      <c r="K4453" s="12">
        <f>Store_Record[[#This Row],[Qty]]*Store_Record[[#This Row],[UnitPriceGBP]]</f>
        <v>3.5</v>
      </c>
      <c r="L4453" s="5" t="str">
        <f>TEXT(Store_Record[[#This Row],[Date]],"dddd")</f>
        <v>Friday</v>
      </c>
      <c r="M4453" s="5" t="str">
        <f>TEXT(Store_Record[[#This Row],[Date]],"mmmm")</f>
        <v>November</v>
      </c>
      <c r="N4453" s="5">
        <f>YEAR(Store_Record[[#This Row],[Date]])</f>
        <v>2025</v>
      </c>
      <c r="O4453"/>
    </row>
    <row r="4454" spans="1:15" x14ac:dyDescent="0.35">
      <c r="A4454" t="s">
        <v>5438</v>
      </c>
      <c r="B4454" s="2">
        <v>45982</v>
      </c>
      <c r="C4454" t="s">
        <v>20</v>
      </c>
      <c r="D4454" t="s">
        <v>29</v>
      </c>
      <c r="E4454" t="s">
        <v>12</v>
      </c>
      <c r="F4454" t="s">
        <v>13</v>
      </c>
      <c r="G4454">
        <v>1</v>
      </c>
      <c r="H4454">
        <v>2.5</v>
      </c>
      <c r="I4454" t="s">
        <v>14</v>
      </c>
      <c r="J4454" t="s">
        <v>314</v>
      </c>
      <c r="K4454" s="12">
        <f>Store_Record[[#This Row],[Qty]]*Store_Record[[#This Row],[UnitPriceGBP]]</f>
        <v>2.5</v>
      </c>
      <c r="L4454" s="5" t="str">
        <f>TEXT(Store_Record[[#This Row],[Date]],"dddd")</f>
        <v>Friday</v>
      </c>
      <c r="M4454" s="5" t="str">
        <f>TEXT(Store_Record[[#This Row],[Date]],"mmmm")</f>
        <v>November</v>
      </c>
      <c r="N4454" s="5">
        <f>YEAR(Store_Record[[#This Row],[Date]])</f>
        <v>2025</v>
      </c>
      <c r="O4454"/>
    </row>
    <row r="4455" spans="1:15" x14ac:dyDescent="0.35">
      <c r="A4455" t="s">
        <v>5452</v>
      </c>
      <c r="B4455" s="2">
        <v>45983</v>
      </c>
      <c r="C4455" t="s">
        <v>20</v>
      </c>
      <c r="D4455" t="s">
        <v>47</v>
      </c>
      <c r="E4455" t="s">
        <v>42</v>
      </c>
      <c r="F4455" t="s">
        <v>13</v>
      </c>
      <c r="G4455">
        <v>4</v>
      </c>
      <c r="H4455">
        <v>3.8</v>
      </c>
      <c r="I4455" t="s">
        <v>21</v>
      </c>
      <c r="J4455" t="s">
        <v>2521</v>
      </c>
      <c r="K4455" s="12">
        <f>Store_Record[[#This Row],[Qty]]*Store_Record[[#This Row],[UnitPriceGBP]]</f>
        <v>15.2</v>
      </c>
      <c r="L4455" s="5" t="str">
        <f>TEXT(Store_Record[[#This Row],[Date]],"dddd")</f>
        <v>Saturday</v>
      </c>
      <c r="M4455" s="5" t="str">
        <f>TEXT(Store_Record[[#This Row],[Date]],"mmmm")</f>
        <v>November</v>
      </c>
      <c r="N4455" s="5">
        <f>YEAR(Store_Record[[#This Row],[Date]])</f>
        <v>2025</v>
      </c>
      <c r="O4455"/>
    </row>
    <row r="4456" spans="1:15" x14ac:dyDescent="0.35">
      <c r="A4456" t="s">
        <v>5446</v>
      </c>
      <c r="B4456" s="2">
        <v>45983</v>
      </c>
      <c r="C4456" t="s">
        <v>24</v>
      </c>
      <c r="D4456" t="s">
        <v>29</v>
      </c>
      <c r="E4456" t="s">
        <v>26</v>
      </c>
      <c r="F4456" t="s">
        <v>13</v>
      </c>
      <c r="G4456">
        <v>4</v>
      </c>
      <c r="H4456">
        <v>3.5</v>
      </c>
      <c r="I4456" t="s">
        <v>14</v>
      </c>
      <c r="J4456" t="s">
        <v>1475</v>
      </c>
      <c r="K4456" s="12">
        <f>Store_Record[[#This Row],[Qty]]*Store_Record[[#This Row],[UnitPriceGBP]]</f>
        <v>14</v>
      </c>
      <c r="L4456" s="5" t="str">
        <f>TEXT(Store_Record[[#This Row],[Date]],"dddd")</f>
        <v>Saturday</v>
      </c>
      <c r="M4456" s="5" t="str">
        <f>TEXT(Store_Record[[#This Row],[Date]],"mmmm")</f>
        <v>November</v>
      </c>
      <c r="N4456" s="5">
        <f>YEAR(Store_Record[[#This Row],[Date]])</f>
        <v>2025</v>
      </c>
      <c r="O4456"/>
    </row>
    <row r="4457" spans="1:15" x14ac:dyDescent="0.35">
      <c r="A4457" t="s">
        <v>5445</v>
      </c>
      <c r="B4457" s="2">
        <v>45983</v>
      </c>
      <c r="C4457" t="s">
        <v>10</v>
      </c>
      <c r="D4457" t="s">
        <v>47</v>
      </c>
      <c r="E4457" t="s">
        <v>34</v>
      </c>
      <c r="F4457" t="s">
        <v>31</v>
      </c>
      <c r="G4457">
        <v>5</v>
      </c>
      <c r="H4457">
        <v>2.2000000000000002</v>
      </c>
      <c r="I4457" t="s">
        <v>39</v>
      </c>
      <c r="J4457" t="s">
        <v>2796</v>
      </c>
      <c r="K4457" s="12">
        <f>Store_Record[[#This Row],[Qty]]*Store_Record[[#This Row],[UnitPriceGBP]]</f>
        <v>11</v>
      </c>
      <c r="L4457" s="5" t="str">
        <f>TEXT(Store_Record[[#This Row],[Date]],"dddd")</f>
        <v>Saturday</v>
      </c>
      <c r="M4457" s="5" t="str">
        <f>TEXT(Store_Record[[#This Row],[Date]],"mmmm")</f>
        <v>November</v>
      </c>
      <c r="N4457" s="5">
        <f>YEAR(Store_Record[[#This Row],[Date]])</f>
        <v>2025</v>
      </c>
      <c r="O4457"/>
    </row>
    <row r="4458" spans="1:15" x14ac:dyDescent="0.35">
      <c r="A4458" t="s">
        <v>5449</v>
      </c>
      <c r="B4458" s="2">
        <v>45983</v>
      </c>
      <c r="C4458" t="s">
        <v>24</v>
      </c>
      <c r="D4458" t="s">
        <v>47</v>
      </c>
      <c r="E4458" t="s">
        <v>34</v>
      </c>
      <c r="F4458" t="s">
        <v>31</v>
      </c>
      <c r="G4458">
        <v>5</v>
      </c>
      <c r="H4458">
        <v>2.2000000000000002</v>
      </c>
      <c r="I4458" t="s">
        <v>14</v>
      </c>
      <c r="J4458" t="s">
        <v>127</v>
      </c>
      <c r="K4458" s="12">
        <f>Store_Record[[#This Row],[Qty]]*Store_Record[[#This Row],[UnitPriceGBP]]</f>
        <v>11</v>
      </c>
      <c r="L4458" s="5" t="str">
        <f>TEXT(Store_Record[[#This Row],[Date]],"dddd")</f>
        <v>Saturday</v>
      </c>
      <c r="M4458" s="5" t="str">
        <f>TEXT(Store_Record[[#This Row],[Date]],"mmmm")</f>
        <v>November</v>
      </c>
      <c r="N4458" s="5">
        <f>YEAR(Store_Record[[#This Row],[Date]])</f>
        <v>2025</v>
      </c>
      <c r="O4458"/>
    </row>
    <row r="4459" spans="1:15" x14ac:dyDescent="0.35">
      <c r="A4459" t="s">
        <v>5450</v>
      </c>
      <c r="B4459" s="2">
        <v>45983</v>
      </c>
      <c r="C4459" t="s">
        <v>10</v>
      </c>
      <c r="D4459" t="s">
        <v>29</v>
      </c>
      <c r="E4459" t="s">
        <v>26</v>
      </c>
      <c r="F4459" t="s">
        <v>13</v>
      </c>
      <c r="G4459">
        <v>3</v>
      </c>
      <c r="H4459">
        <v>3.5</v>
      </c>
      <c r="I4459" t="s">
        <v>39</v>
      </c>
      <c r="J4459" t="s">
        <v>142</v>
      </c>
      <c r="K4459" s="12">
        <f>Store_Record[[#This Row],[Qty]]*Store_Record[[#This Row],[UnitPriceGBP]]</f>
        <v>10.5</v>
      </c>
      <c r="L4459" s="5" t="str">
        <f>TEXT(Store_Record[[#This Row],[Date]],"dddd")</f>
        <v>Saturday</v>
      </c>
      <c r="M4459" s="5" t="str">
        <f>TEXT(Store_Record[[#This Row],[Date]],"mmmm")</f>
        <v>November</v>
      </c>
      <c r="N4459" s="5">
        <f>YEAR(Store_Record[[#This Row],[Date]])</f>
        <v>2025</v>
      </c>
      <c r="O4459"/>
    </row>
    <row r="4460" spans="1:15" x14ac:dyDescent="0.35">
      <c r="A4460" t="s">
        <v>5455</v>
      </c>
      <c r="B4460" s="2">
        <v>45983</v>
      </c>
      <c r="C4460" t="s">
        <v>24</v>
      </c>
      <c r="D4460" t="s">
        <v>29</v>
      </c>
      <c r="E4460" t="s">
        <v>26</v>
      </c>
      <c r="F4460" t="s">
        <v>13</v>
      </c>
      <c r="G4460">
        <v>3</v>
      </c>
      <c r="H4460">
        <v>3.5</v>
      </c>
      <c r="I4460" t="s">
        <v>21</v>
      </c>
      <c r="J4460" t="s">
        <v>256</v>
      </c>
      <c r="K4460" s="12">
        <f>Store_Record[[#This Row],[Qty]]*Store_Record[[#This Row],[UnitPriceGBP]]</f>
        <v>10.5</v>
      </c>
      <c r="L4460" s="5" t="str">
        <f>TEXT(Store_Record[[#This Row],[Date]],"dddd")</f>
        <v>Saturday</v>
      </c>
      <c r="M4460" s="5" t="str">
        <f>TEXT(Store_Record[[#This Row],[Date]],"mmmm")</f>
        <v>November</v>
      </c>
      <c r="N4460" s="5">
        <f>YEAR(Store_Record[[#This Row],[Date]])</f>
        <v>2025</v>
      </c>
      <c r="O4460"/>
    </row>
    <row r="4461" spans="1:15" x14ac:dyDescent="0.35">
      <c r="A4461" t="s">
        <v>5448</v>
      </c>
      <c r="B4461" s="2">
        <v>45983</v>
      </c>
      <c r="C4461" t="s">
        <v>10</v>
      </c>
      <c r="D4461" t="s">
        <v>25</v>
      </c>
      <c r="E4461" t="s">
        <v>42</v>
      </c>
      <c r="F4461" t="s">
        <v>13</v>
      </c>
      <c r="G4461">
        <v>2</v>
      </c>
      <c r="H4461">
        <v>3.8</v>
      </c>
      <c r="I4461" t="s">
        <v>39</v>
      </c>
      <c r="J4461" t="s">
        <v>700</v>
      </c>
      <c r="K4461" s="12">
        <f>Store_Record[[#This Row],[Qty]]*Store_Record[[#This Row],[UnitPriceGBP]]</f>
        <v>7.6</v>
      </c>
      <c r="L4461" s="5" t="str">
        <f>TEXT(Store_Record[[#This Row],[Date]],"dddd")</f>
        <v>Saturday</v>
      </c>
      <c r="M4461" s="5" t="str">
        <f>TEXT(Store_Record[[#This Row],[Date]],"mmmm")</f>
        <v>November</v>
      </c>
      <c r="N4461" s="5">
        <f>YEAR(Store_Record[[#This Row],[Date]])</f>
        <v>2025</v>
      </c>
      <c r="O4461"/>
    </row>
    <row r="4462" spans="1:15" x14ac:dyDescent="0.35">
      <c r="A4462" t="s">
        <v>5453</v>
      </c>
      <c r="B4462" s="2">
        <v>45983</v>
      </c>
      <c r="C4462" t="s">
        <v>24</v>
      </c>
      <c r="D4462" t="s">
        <v>38</v>
      </c>
      <c r="E4462" t="s">
        <v>12</v>
      </c>
      <c r="F4462" t="s">
        <v>13</v>
      </c>
      <c r="G4462">
        <v>3</v>
      </c>
      <c r="H4462">
        <v>2.5</v>
      </c>
      <c r="I4462" t="s">
        <v>14</v>
      </c>
      <c r="J4462" t="s">
        <v>3282</v>
      </c>
      <c r="K4462" s="12">
        <f>Store_Record[[#This Row],[Qty]]*Store_Record[[#This Row],[UnitPriceGBP]]</f>
        <v>7.5</v>
      </c>
      <c r="L4462" s="5" t="str">
        <f>TEXT(Store_Record[[#This Row],[Date]],"dddd")</f>
        <v>Saturday</v>
      </c>
      <c r="M4462" s="5" t="str">
        <f>TEXT(Store_Record[[#This Row],[Date]],"mmmm")</f>
        <v>November</v>
      </c>
      <c r="N4462" s="5">
        <f>YEAR(Store_Record[[#This Row],[Date]])</f>
        <v>2025</v>
      </c>
      <c r="O4462"/>
    </row>
    <row r="4463" spans="1:15" x14ac:dyDescent="0.35">
      <c r="A4463" t="s">
        <v>5454</v>
      </c>
      <c r="B4463" s="2">
        <v>45983</v>
      </c>
      <c r="C4463" t="s">
        <v>10</v>
      </c>
      <c r="D4463" t="s">
        <v>29</v>
      </c>
      <c r="E4463" t="s">
        <v>30</v>
      </c>
      <c r="F4463" t="s">
        <v>31</v>
      </c>
      <c r="G4463">
        <v>2</v>
      </c>
      <c r="H4463">
        <v>2.8</v>
      </c>
      <c r="I4463" t="s">
        <v>21</v>
      </c>
      <c r="J4463" t="s">
        <v>1149</v>
      </c>
      <c r="K4463" s="12">
        <f>Store_Record[[#This Row],[Qty]]*Store_Record[[#This Row],[UnitPriceGBP]]</f>
        <v>5.6</v>
      </c>
      <c r="L4463" s="5" t="str">
        <f>TEXT(Store_Record[[#This Row],[Date]],"dddd")</f>
        <v>Saturday</v>
      </c>
      <c r="M4463" s="5" t="str">
        <f>TEXT(Store_Record[[#This Row],[Date]],"mmmm")</f>
        <v>November</v>
      </c>
      <c r="N4463" s="5">
        <f>YEAR(Store_Record[[#This Row],[Date]])</f>
        <v>2025</v>
      </c>
      <c r="O4463"/>
    </row>
    <row r="4464" spans="1:15" x14ac:dyDescent="0.35">
      <c r="A4464" t="s">
        <v>5451</v>
      </c>
      <c r="B4464" s="2">
        <v>45983</v>
      </c>
      <c r="C4464" t="s">
        <v>24</v>
      </c>
      <c r="D4464" t="s">
        <v>47</v>
      </c>
      <c r="E4464" t="s">
        <v>26</v>
      </c>
      <c r="F4464" t="s">
        <v>13</v>
      </c>
      <c r="G4464">
        <v>1</v>
      </c>
      <c r="H4464">
        <v>3.5</v>
      </c>
      <c r="I4464" t="s">
        <v>21</v>
      </c>
      <c r="J4464" t="s">
        <v>1828</v>
      </c>
      <c r="K4464" s="12">
        <f>Store_Record[[#This Row],[Qty]]*Store_Record[[#This Row],[UnitPriceGBP]]</f>
        <v>3.5</v>
      </c>
      <c r="L4464" s="5" t="str">
        <f>TEXT(Store_Record[[#This Row],[Date]],"dddd")</f>
        <v>Saturday</v>
      </c>
      <c r="M4464" s="5" t="str">
        <f>TEXT(Store_Record[[#This Row],[Date]],"mmmm")</f>
        <v>November</v>
      </c>
      <c r="N4464" s="5">
        <f>YEAR(Store_Record[[#This Row],[Date]])</f>
        <v>2025</v>
      </c>
      <c r="O4464"/>
    </row>
    <row r="4465" spans="1:15" x14ac:dyDescent="0.35">
      <c r="A4465" t="s">
        <v>5447</v>
      </c>
      <c r="B4465" s="2">
        <v>45983</v>
      </c>
      <c r="C4465" t="s">
        <v>10</v>
      </c>
      <c r="D4465" t="s">
        <v>25</v>
      </c>
      <c r="E4465" t="s">
        <v>12</v>
      </c>
      <c r="F4465" t="s">
        <v>13</v>
      </c>
      <c r="G4465">
        <v>1</v>
      </c>
      <c r="H4465">
        <v>2.5</v>
      </c>
      <c r="I4465" t="s">
        <v>21</v>
      </c>
      <c r="J4465" t="s">
        <v>2649</v>
      </c>
      <c r="K4465" s="12">
        <f>Store_Record[[#This Row],[Qty]]*Store_Record[[#This Row],[UnitPriceGBP]]</f>
        <v>2.5</v>
      </c>
      <c r="L4465" s="5" t="str">
        <f>TEXT(Store_Record[[#This Row],[Date]],"dddd")</f>
        <v>Saturday</v>
      </c>
      <c r="M4465" s="5" t="str">
        <f>TEXT(Store_Record[[#This Row],[Date]],"mmmm")</f>
        <v>November</v>
      </c>
      <c r="N4465" s="5">
        <f>YEAR(Store_Record[[#This Row],[Date]])</f>
        <v>2025</v>
      </c>
      <c r="O4465"/>
    </row>
    <row r="4466" spans="1:15" x14ac:dyDescent="0.35">
      <c r="A4466" t="s">
        <v>5462</v>
      </c>
      <c r="B4466" s="2">
        <v>45984</v>
      </c>
      <c r="C4466" t="s">
        <v>24</v>
      </c>
      <c r="D4466" t="s">
        <v>25</v>
      </c>
      <c r="E4466" t="s">
        <v>42</v>
      </c>
      <c r="F4466" t="s">
        <v>13</v>
      </c>
      <c r="G4466">
        <v>4</v>
      </c>
      <c r="H4466">
        <v>3.8</v>
      </c>
      <c r="I4466" t="s">
        <v>39</v>
      </c>
      <c r="J4466" t="s">
        <v>2142</v>
      </c>
      <c r="K4466" s="12">
        <f>Store_Record[[#This Row],[Qty]]*Store_Record[[#This Row],[UnitPriceGBP]]</f>
        <v>15.2</v>
      </c>
      <c r="L4466" s="5" t="str">
        <f>TEXT(Store_Record[[#This Row],[Date]],"dddd")</f>
        <v>Sunday</v>
      </c>
      <c r="M4466" s="5" t="str">
        <f>TEXT(Store_Record[[#This Row],[Date]],"mmmm")</f>
        <v>November</v>
      </c>
      <c r="N4466" s="5">
        <f>YEAR(Store_Record[[#This Row],[Date]])</f>
        <v>2025</v>
      </c>
      <c r="O4466"/>
    </row>
    <row r="4467" spans="1:15" x14ac:dyDescent="0.35">
      <c r="A4467" t="s">
        <v>5457</v>
      </c>
      <c r="B4467" s="2">
        <v>45984</v>
      </c>
      <c r="C4467" t="s">
        <v>10</v>
      </c>
      <c r="D4467" t="s">
        <v>25</v>
      </c>
      <c r="E4467" t="s">
        <v>30</v>
      </c>
      <c r="F4467" t="s">
        <v>31</v>
      </c>
      <c r="G4467">
        <v>5</v>
      </c>
      <c r="H4467">
        <v>2.8</v>
      </c>
      <c r="I4467" t="s">
        <v>39</v>
      </c>
      <c r="J4467" t="s">
        <v>345</v>
      </c>
      <c r="K4467" s="12">
        <f>Store_Record[[#This Row],[Qty]]*Store_Record[[#This Row],[UnitPriceGBP]]</f>
        <v>14</v>
      </c>
      <c r="L4467" s="5" t="str">
        <f>TEXT(Store_Record[[#This Row],[Date]],"dddd")</f>
        <v>Sunday</v>
      </c>
      <c r="M4467" s="5" t="str">
        <f>TEXT(Store_Record[[#This Row],[Date]],"mmmm")</f>
        <v>November</v>
      </c>
      <c r="N4467" s="5">
        <f>YEAR(Store_Record[[#This Row],[Date]])</f>
        <v>2025</v>
      </c>
      <c r="O4467"/>
    </row>
    <row r="4468" spans="1:15" x14ac:dyDescent="0.35">
      <c r="A4468" t="s">
        <v>5467</v>
      </c>
      <c r="B4468" s="2">
        <v>45984</v>
      </c>
      <c r="C4468" t="s">
        <v>10</v>
      </c>
      <c r="D4468" t="s">
        <v>47</v>
      </c>
      <c r="E4468" t="s">
        <v>30</v>
      </c>
      <c r="F4468" t="s">
        <v>31</v>
      </c>
      <c r="G4468">
        <v>5</v>
      </c>
      <c r="H4468">
        <v>2.8</v>
      </c>
      <c r="I4468" t="s">
        <v>21</v>
      </c>
      <c r="J4468" t="s">
        <v>2589</v>
      </c>
      <c r="K4468" s="12">
        <f>Store_Record[[#This Row],[Qty]]*Store_Record[[#This Row],[UnitPriceGBP]]</f>
        <v>14</v>
      </c>
      <c r="L4468" s="5" t="str">
        <f>TEXT(Store_Record[[#This Row],[Date]],"dddd")</f>
        <v>Sunday</v>
      </c>
      <c r="M4468" s="5" t="str">
        <f>TEXT(Store_Record[[#This Row],[Date]],"mmmm")</f>
        <v>November</v>
      </c>
      <c r="N4468" s="5">
        <f>YEAR(Store_Record[[#This Row],[Date]])</f>
        <v>2025</v>
      </c>
      <c r="O4468"/>
    </row>
    <row r="4469" spans="1:15" x14ac:dyDescent="0.35">
      <c r="A4469" t="s">
        <v>5464</v>
      </c>
      <c r="B4469" s="2">
        <v>45984</v>
      </c>
      <c r="C4469" t="s">
        <v>36</v>
      </c>
      <c r="D4469" t="s">
        <v>47</v>
      </c>
      <c r="E4469" t="s">
        <v>34</v>
      </c>
      <c r="F4469" t="s">
        <v>31</v>
      </c>
      <c r="G4469">
        <v>5</v>
      </c>
      <c r="H4469">
        <v>2.2000000000000002</v>
      </c>
      <c r="I4469" t="s">
        <v>14</v>
      </c>
      <c r="J4469" t="s">
        <v>218</v>
      </c>
      <c r="K4469" s="12">
        <f>Store_Record[[#This Row],[Qty]]*Store_Record[[#This Row],[UnitPriceGBP]]</f>
        <v>11</v>
      </c>
      <c r="L4469" s="5" t="str">
        <f>TEXT(Store_Record[[#This Row],[Date]],"dddd")</f>
        <v>Sunday</v>
      </c>
      <c r="M4469" s="5" t="str">
        <f>TEXT(Store_Record[[#This Row],[Date]],"mmmm")</f>
        <v>November</v>
      </c>
      <c r="N4469" s="5">
        <f>YEAR(Store_Record[[#This Row],[Date]])</f>
        <v>2025</v>
      </c>
      <c r="O4469"/>
    </row>
    <row r="4470" spans="1:15" x14ac:dyDescent="0.35">
      <c r="A4470" t="s">
        <v>5468</v>
      </c>
      <c r="B4470" s="2">
        <v>45984</v>
      </c>
      <c r="C4470" t="s">
        <v>36</v>
      </c>
      <c r="D4470" t="s">
        <v>11</v>
      </c>
      <c r="E4470" t="s">
        <v>12</v>
      </c>
      <c r="F4470" t="s">
        <v>13</v>
      </c>
      <c r="G4470">
        <v>4</v>
      </c>
      <c r="H4470">
        <v>2.5</v>
      </c>
      <c r="I4470" t="s">
        <v>14</v>
      </c>
      <c r="J4470" t="s">
        <v>1596</v>
      </c>
      <c r="K4470" s="12">
        <f>Store_Record[[#This Row],[Qty]]*Store_Record[[#This Row],[UnitPriceGBP]]</f>
        <v>10</v>
      </c>
      <c r="L4470" s="5" t="str">
        <f>TEXT(Store_Record[[#This Row],[Date]],"dddd")</f>
        <v>Sunday</v>
      </c>
      <c r="M4470" s="5" t="str">
        <f>TEXT(Store_Record[[#This Row],[Date]],"mmmm")</f>
        <v>November</v>
      </c>
      <c r="N4470" s="5">
        <f>YEAR(Store_Record[[#This Row],[Date]])</f>
        <v>2025</v>
      </c>
      <c r="O4470"/>
    </row>
    <row r="4471" spans="1:15" x14ac:dyDescent="0.35">
      <c r="A4471" t="s">
        <v>5456</v>
      </c>
      <c r="B4471" s="2">
        <v>45984</v>
      </c>
      <c r="C4471" t="s">
        <v>10</v>
      </c>
      <c r="D4471" t="s">
        <v>47</v>
      </c>
      <c r="E4471" t="s">
        <v>30</v>
      </c>
      <c r="F4471" t="s">
        <v>31</v>
      </c>
      <c r="G4471">
        <v>3</v>
      </c>
      <c r="H4471">
        <v>2.8</v>
      </c>
      <c r="I4471" t="s">
        <v>14</v>
      </c>
      <c r="J4471" t="s">
        <v>682</v>
      </c>
      <c r="K4471" s="12">
        <f>Store_Record[[#This Row],[Qty]]*Store_Record[[#This Row],[UnitPriceGBP]]</f>
        <v>8.3999999999999986</v>
      </c>
      <c r="L4471" s="5" t="str">
        <f>TEXT(Store_Record[[#This Row],[Date]],"dddd")</f>
        <v>Sunday</v>
      </c>
      <c r="M4471" s="5" t="str">
        <f>TEXT(Store_Record[[#This Row],[Date]],"mmmm")</f>
        <v>November</v>
      </c>
      <c r="N4471" s="5">
        <f>YEAR(Store_Record[[#This Row],[Date]])</f>
        <v>2025</v>
      </c>
      <c r="O4471"/>
    </row>
    <row r="4472" spans="1:15" x14ac:dyDescent="0.35">
      <c r="A4472" t="s">
        <v>5465</v>
      </c>
      <c r="B4472" s="2">
        <v>45984</v>
      </c>
      <c r="C4472" t="s">
        <v>20</v>
      </c>
      <c r="D4472" t="s">
        <v>11</v>
      </c>
      <c r="E4472" t="s">
        <v>30</v>
      </c>
      <c r="F4472" t="s">
        <v>31</v>
      </c>
      <c r="G4472">
        <v>3</v>
      </c>
      <c r="H4472">
        <v>2.8</v>
      </c>
      <c r="I4472" t="s">
        <v>39</v>
      </c>
      <c r="J4472" t="s">
        <v>665</v>
      </c>
      <c r="K4472" s="12">
        <f>Store_Record[[#This Row],[Qty]]*Store_Record[[#This Row],[UnitPriceGBP]]</f>
        <v>8.3999999999999986</v>
      </c>
      <c r="L4472" s="5" t="str">
        <f>TEXT(Store_Record[[#This Row],[Date]],"dddd")</f>
        <v>Sunday</v>
      </c>
      <c r="M4472" s="5" t="str">
        <f>TEXT(Store_Record[[#This Row],[Date]],"mmmm")</f>
        <v>November</v>
      </c>
      <c r="N4472" s="5">
        <f>YEAR(Store_Record[[#This Row],[Date]])</f>
        <v>2025</v>
      </c>
      <c r="O4472"/>
    </row>
    <row r="4473" spans="1:15" x14ac:dyDescent="0.35">
      <c r="A4473" t="s">
        <v>5463</v>
      </c>
      <c r="B4473" s="2">
        <v>45984</v>
      </c>
      <c r="C4473" t="s">
        <v>10</v>
      </c>
      <c r="D4473" t="s">
        <v>11</v>
      </c>
      <c r="E4473" t="s">
        <v>42</v>
      </c>
      <c r="F4473" t="s">
        <v>13</v>
      </c>
      <c r="G4473">
        <v>2</v>
      </c>
      <c r="H4473">
        <v>3.8</v>
      </c>
      <c r="I4473" t="s">
        <v>14</v>
      </c>
      <c r="J4473" t="s">
        <v>3282</v>
      </c>
      <c r="K4473" s="12">
        <f>Store_Record[[#This Row],[Qty]]*Store_Record[[#This Row],[UnitPriceGBP]]</f>
        <v>7.6</v>
      </c>
      <c r="L4473" s="5" t="str">
        <f>TEXT(Store_Record[[#This Row],[Date]],"dddd")</f>
        <v>Sunday</v>
      </c>
      <c r="M4473" s="5" t="str">
        <f>TEXT(Store_Record[[#This Row],[Date]],"mmmm")</f>
        <v>November</v>
      </c>
      <c r="N4473" s="5">
        <f>YEAR(Store_Record[[#This Row],[Date]])</f>
        <v>2025</v>
      </c>
      <c r="O4473"/>
    </row>
    <row r="4474" spans="1:15" x14ac:dyDescent="0.35">
      <c r="A4474" t="s">
        <v>5459</v>
      </c>
      <c r="B4474" s="2">
        <v>45984</v>
      </c>
      <c r="C4474" t="s">
        <v>20</v>
      </c>
      <c r="D4474" t="s">
        <v>47</v>
      </c>
      <c r="E4474" t="s">
        <v>26</v>
      </c>
      <c r="F4474" t="s">
        <v>13</v>
      </c>
      <c r="G4474">
        <v>2</v>
      </c>
      <c r="H4474">
        <v>3.5</v>
      </c>
      <c r="I4474" t="s">
        <v>39</v>
      </c>
      <c r="J4474" t="s">
        <v>598</v>
      </c>
      <c r="K4474" s="12">
        <f>Store_Record[[#This Row],[Qty]]*Store_Record[[#This Row],[UnitPriceGBP]]</f>
        <v>7</v>
      </c>
      <c r="L4474" s="5" t="str">
        <f>TEXT(Store_Record[[#This Row],[Date]],"dddd")</f>
        <v>Sunday</v>
      </c>
      <c r="M4474" s="5" t="str">
        <f>TEXT(Store_Record[[#This Row],[Date]],"mmmm")</f>
        <v>November</v>
      </c>
      <c r="N4474" s="5">
        <f>YEAR(Store_Record[[#This Row],[Date]])</f>
        <v>2025</v>
      </c>
      <c r="O4474"/>
    </row>
    <row r="4475" spans="1:15" x14ac:dyDescent="0.35">
      <c r="A4475" t="s">
        <v>5466</v>
      </c>
      <c r="B4475" s="2">
        <v>45984</v>
      </c>
      <c r="C4475" t="s">
        <v>20</v>
      </c>
      <c r="D4475" t="s">
        <v>47</v>
      </c>
      <c r="E4475" t="s">
        <v>34</v>
      </c>
      <c r="F4475" t="s">
        <v>31</v>
      </c>
      <c r="G4475">
        <v>3</v>
      </c>
      <c r="H4475">
        <v>2.2000000000000002</v>
      </c>
      <c r="I4475" t="s">
        <v>14</v>
      </c>
      <c r="J4475" t="s">
        <v>2717</v>
      </c>
      <c r="K4475" s="12">
        <f>Store_Record[[#This Row],[Qty]]*Store_Record[[#This Row],[UnitPriceGBP]]</f>
        <v>6.6000000000000005</v>
      </c>
      <c r="L4475" s="5" t="str">
        <f>TEXT(Store_Record[[#This Row],[Date]],"dddd")</f>
        <v>Sunday</v>
      </c>
      <c r="M4475" s="5" t="str">
        <f>TEXT(Store_Record[[#This Row],[Date]],"mmmm")</f>
        <v>November</v>
      </c>
      <c r="N4475" s="5">
        <f>YEAR(Store_Record[[#This Row],[Date]])</f>
        <v>2025</v>
      </c>
      <c r="O4475"/>
    </row>
    <row r="4476" spans="1:15" x14ac:dyDescent="0.35">
      <c r="A4476" t="s">
        <v>5458</v>
      </c>
      <c r="B4476" s="2">
        <v>45984</v>
      </c>
      <c r="C4476" t="s">
        <v>20</v>
      </c>
      <c r="D4476" t="s">
        <v>29</v>
      </c>
      <c r="E4476" t="s">
        <v>34</v>
      </c>
      <c r="F4476" t="s">
        <v>31</v>
      </c>
      <c r="G4476">
        <v>2</v>
      </c>
      <c r="H4476">
        <v>2.2000000000000002</v>
      </c>
      <c r="I4476" t="s">
        <v>14</v>
      </c>
      <c r="J4476" t="s">
        <v>2794</v>
      </c>
      <c r="K4476" s="12">
        <f>Store_Record[[#This Row],[Qty]]*Store_Record[[#This Row],[UnitPriceGBP]]</f>
        <v>4.4000000000000004</v>
      </c>
      <c r="L4476" s="5" t="str">
        <f>TEXT(Store_Record[[#This Row],[Date]],"dddd")</f>
        <v>Sunday</v>
      </c>
      <c r="M4476" s="5" t="str">
        <f>TEXT(Store_Record[[#This Row],[Date]],"mmmm")</f>
        <v>November</v>
      </c>
      <c r="N4476" s="5">
        <f>YEAR(Store_Record[[#This Row],[Date]])</f>
        <v>2025</v>
      </c>
      <c r="O4476"/>
    </row>
    <row r="4477" spans="1:15" x14ac:dyDescent="0.35">
      <c r="A4477" t="s">
        <v>5461</v>
      </c>
      <c r="B4477" s="2">
        <v>45984</v>
      </c>
      <c r="C4477" t="s">
        <v>24</v>
      </c>
      <c r="D4477" t="s">
        <v>47</v>
      </c>
      <c r="E4477" t="s">
        <v>42</v>
      </c>
      <c r="F4477" t="s">
        <v>13</v>
      </c>
      <c r="G4477">
        <v>1</v>
      </c>
      <c r="H4477">
        <v>3.8</v>
      </c>
      <c r="I4477" t="s">
        <v>14</v>
      </c>
      <c r="J4477" t="s">
        <v>1850</v>
      </c>
      <c r="K4477" s="12">
        <f>Store_Record[[#This Row],[Qty]]*Store_Record[[#This Row],[UnitPriceGBP]]</f>
        <v>3.8</v>
      </c>
      <c r="L4477" s="5" t="str">
        <f>TEXT(Store_Record[[#This Row],[Date]],"dddd")</f>
        <v>Sunday</v>
      </c>
      <c r="M4477" s="5" t="str">
        <f>TEXT(Store_Record[[#This Row],[Date]],"mmmm")</f>
        <v>November</v>
      </c>
      <c r="N4477" s="5">
        <f>YEAR(Store_Record[[#This Row],[Date]])</f>
        <v>2025</v>
      </c>
      <c r="O4477"/>
    </row>
    <row r="4478" spans="1:15" x14ac:dyDescent="0.35">
      <c r="A4478" t="s">
        <v>5460</v>
      </c>
      <c r="B4478" s="2">
        <v>45984</v>
      </c>
      <c r="C4478" t="s">
        <v>20</v>
      </c>
      <c r="D4478" t="s">
        <v>47</v>
      </c>
      <c r="E4478" t="s">
        <v>12</v>
      </c>
      <c r="F4478" t="s">
        <v>13</v>
      </c>
      <c r="G4478">
        <v>1</v>
      </c>
      <c r="H4478">
        <v>2.5</v>
      </c>
      <c r="I4478" t="s">
        <v>39</v>
      </c>
      <c r="J4478" t="s">
        <v>3443</v>
      </c>
      <c r="K4478" s="12">
        <f>Store_Record[[#This Row],[Qty]]*Store_Record[[#This Row],[UnitPriceGBP]]</f>
        <v>2.5</v>
      </c>
      <c r="L4478" s="5" t="str">
        <f>TEXT(Store_Record[[#This Row],[Date]],"dddd")</f>
        <v>Sunday</v>
      </c>
      <c r="M4478" s="5" t="str">
        <f>TEXT(Store_Record[[#This Row],[Date]],"mmmm")</f>
        <v>November</v>
      </c>
      <c r="N4478" s="5">
        <f>YEAR(Store_Record[[#This Row],[Date]])</f>
        <v>2025</v>
      </c>
      <c r="O4478"/>
    </row>
    <row r="4479" spans="1:15" x14ac:dyDescent="0.35">
      <c r="A4479" t="s">
        <v>5474</v>
      </c>
      <c r="B4479" s="2">
        <v>45985</v>
      </c>
      <c r="C4479" t="s">
        <v>20</v>
      </c>
      <c r="D4479" t="s">
        <v>47</v>
      </c>
      <c r="E4479" t="s">
        <v>30</v>
      </c>
      <c r="F4479" t="s">
        <v>31</v>
      </c>
      <c r="G4479">
        <v>5</v>
      </c>
      <c r="H4479">
        <v>2.8</v>
      </c>
      <c r="I4479" t="s">
        <v>39</v>
      </c>
      <c r="J4479" t="s">
        <v>93</v>
      </c>
      <c r="K4479" s="12">
        <f>Store_Record[[#This Row],[Qty]]*Store_Record[[#This Row],[UnitPriceGBP]]</f>
        <v>14</v>
      </c>
      <c r="L4479" s="5" t="str">
        <f>TEXT(Store_Record[[#This Row],[Date]],"dddd")</f>
        <v>Monday</v>
      </c>
      <c r="M4479" s="5" t="str">
        <f>TEXT(Store_Record[[#This Row],[Date]],"mmmm")</f>
        <v>November</v>
      </c>
      <c r="N4479" s="5">
        <f>YEAR(Store_Record[[#This Row],[Date]])</f>
        <v>2025</v>
      </c>
      <c r="O4479"/>
    </row>
    <row r="4480" spans="1:15" x14ac:dyDescent="0.35">
      <c r="A4480" t="s">
        <v>5479</v>
      </c>
      <c r="B4480" s="2">
        <v>45985</v>
      </c>
      <c r="C4480" t="s">
        <v>20</v>
      </c>
      <c r="D4480" t="s">
        <v>11</v>
      </c>
      <c r="E4480" t="s">
        <v>26</v>
      </c>
      <c r="F4480" t="s">
        <v>13</v>
      </c>
      <c r="G4480">
        <v>3</v>
      </c>
      <c r="H4480">
        <v>3.5</v>
      </c>
      <c r="I4480" t="s">
        <v>21</v>
      </c>
      <c r="J4480" t="s">
        <v>3673</v>
      </c>
      <c r="K4480" s="12">
        <f>Store_Record[[#This Row],[Qty]]*Store_Record[[#This Row],[UnitPriceGBP]]</f>
        <v>10.5</v>
      </c>
      <c r="L4480" s="5" t="str">
        <f>TEXT(Store_Record[[#This Row],[Date]],"dddd")</f>
        <v>Monday</v>
      </c>
      <c r="M4480" s="5" t="str">
        <f>TEXT(Store_Record[[#This Row],[Date]],"mmmm")</f>
        <v>November</v>
      </c>
      <c r="N4480" s="5">
        <f>YEAR(Store_Record[[#This Row],[Date]])</f>
        <v>2025</v>
      </c>
      <c r="O4480"/>
    </row>
    <row r="4481" spans="1:15" x14ac:dyDescent="0.35">
      <c r="A4481" t="s">
        <v>5470</v>
      </c>
      <c r="B4481" s="2">
        <v>45985</v>
      </c>
      <c r="C4481" t="s">
        <v>24</v>
      </c>
      <c r="D4481" t="s">
        <v>38</v>
      </c>
      <c r="E4481" t="s">
        <v>34</v>
      </c>
      <c r="F4481" t="s">
        <v>31</v>
      </c>
      <c r="G4481">
        <v>4</v>
      </c>
      <c r="H4481">
        <v>2.2000000000000002</v>
      </c>
      <c r="I4481" t="s">
        <v>14</v>
      </c>
      <c r="J4481" t="s">
        <v>247</v>
      </c>
      <c r="K4481" s="12">
        <f>Store_Record[[#This Row],[Qty]]*Store_Record[[#This Row],[UnitPriceGBP]]</f>
        <v>8.8000000000000007</v>
      </c>
      <c r="L4481" s="5" t="str">
        <f>TEXT(Store_Record[[#This Row],[Date]],"dddd")</f>
        <v>Monday</v>
      </c>
      <c r="M4481" s="5" t="str">
        <f>TEXT(Store_Record[[#This Row],[Date]],"mmmm")</f>
        <v>November</v>
      </c>
      <c r="N4481" s="5">
        <f>YEAR(Store_Record[[#This Row],[Date]])</f>
        <v>2025</v>
      </c>
      <c r="O4481"/>
    </row>
    <row r="4482" spans="1:15" x14ac:dyDescent="0.35">
      <c r="A4482" t="s">
        <v>5473</v>
      </c>
      <c r="B4482" s="2">
        <v>45985</v>
      </c>
      <c r="C4482" t="s">
        <v>20</v>
      </c>
      <c r="D4482" t="s">
        <v>25</v>
      </c>
      <c r="E4482" t="s">
        <v>34</v>
      </c>
      <c r="F4482" t="s">
        <v>31</v>
      </c>
      <c r="G4482">
        <v>4</v>
      </c>
      <c r="H4482">
        <v>2.2000000000000002</v>
      </c>
      <c r="I4482" t="s">
        <v>14</v>
      </c>
      <c r="J4482" t="s">
        <v>600</v>
      </c>
      <c r="K4482" s="12">
        <f>Store_Record[[#This Row],[Qty]]*Store_Record[[#This Row],[UnitPriceGBP]]</f>
        <v>8.8000000000000007</v>
      </c>
      <c r="L4482" s="5" t="str">
        <f>TEXT(Store_Record[[#This Row],[Date]],"dddd")</f>
        <v>Monday</v>
      </c>
      <c r="M4482" s="5" t="str">
        <f>TEXT(Store_Record[[#This Row],[Date]],"mmmm")</f>
        <v>November</v>
      </c>
      <c r="N4482" s="5">
        <f>YEAR(Store_Record[[#This Row],[Date]])</f>
        <v>2025</v>
      </c>
      <c r="O4482"/>
    </row>
    <row r="4483" spans="1:15" x14ac:dyDescent="0.35">
      <c r="A4483" t="s">
        <v>5471</v>
      </c>
      <c r="B4483" s="2">
        <v>45985</v>
      </c>
      <c r="C4483" t="s">
        <v>36</v>
      </c>
      <c r="D4483" t="s">
        <v>25</v>
      </c>
      <c r="E4483" t="s">
        <v>26</v>
      </c>
      <c r="F4483" t="s">
        <v>13</v>
      </c>
      <c r="G4483">
        <v>2</v>
      </c>
      <c r="H4483">
        <v>3.5</v>
      </c>
      <c r="I4483" t="s">
        <v>14</v>
      </c>
      <c r="J4483" t="s">
        <v>2681</v>
      </c>
      <c r="K4483" s="12">
        <f>Store_Record[[#This Row],[Qty]]*Store_Record[[#This Row],[UnitPriceGBP]]</f>
        <v>7</v>
      </c>
      <c r="L4483" s="5" t="str">
        <f>TEXT(Store_Record[[#This Row],[Date]],"dddd")</f>
        <v>Monday</v>
      </c>
      <c r="M4483" s="5" t="str">
        <f>TEXT(Store_Record[[#This Row],[Date]],"mmmm")</f>
        <v>November</v>
      </c>
      <c r="N4483" s="5">
        <f>YEAR(Store_Record[[#This Row],[Date]])</f>
        <v>2025</v>
      </c>
      <c r="O4483"/>
    </row>
    <row r="4484" spans="1:15" x14ac:dyDescent="0.35">
      <c r="A4484" t="s">
        <v>5477</v>
      </c>
      <c r="B4484" s="2">
        <v>45985</v>
      </c>
      <c r="C4484" t="s">
        <v>24</v>
      </c>
      <c r="D4484" t="s">
        <v>29</v>
      </c>
      <c r="E4484" t="s">
        <v>26</v>
      </c>
      <c r="F4484" t="s">
        <v>13</v>
      </c>
      <c r="G4484">
        <v>2</v>
      </c>
      <c r="H4484">
        <v>3.5</v>
      </c>
      <c r="I4484" t="s">
        <v>39</v>
      </c>
      <c r="J4484" t="s">
        <v>374</v>
      </c>
      <c r="K4484" s="12">
        <f>Store_Record[[#This Row],[Qty]]*Store_Record[[#This Row],[UnitPriceGBP]]</f>
        <v>7</v>
      </c>
      <c r="L4484" s="5" t="str">
        <f>TEXT(Store_Record[[#This Row],[Date]],"dddd")</f>
        <v>Monday</v>
      </c>
      <c r="M4484" s="5" t="str">
        <f>TEXT(Store_Record[[#This Row],[Date]],"mmmm")</f>
        <v>November</v>
      </c>
      <c r="N4484" s="5">
        <f>YEAR(Store_Record[[#This Row],[Date]])</f>
        <v>2025</v>
      </c>
      <c r="O4484"/>
    </row>
    <row r="4485" spans="1:15" x14ac:dyDescent="0.35">
      <c r="A4485" t="s">
        <v>5469</v>
      </c>
      <c r="B4485" s="2">
        <v>45985</v>
      </c>
      <c r="C4485" t="s">
        <v>10</v>
      </c>
      <c r="D4485" t="s">
        <v>38</v>
      </c>
      <c r="E4485" t="s">
        <v>12</v>
      </c>
      <c r="F4485" t="s">
        <v>13</v>
      </c>
      <c r="G4485">
        <v>2</v>
      </c>
      <c r="H4485">
        <v>2.5</v>
      </c>
      <c r="I4485" t="s">
        <v>21</v>
      </c>
      <c r="J4485" t="s">
        <v>191</v>
      </c>
      <c r="K4485" s="12">
        <f>Store_Record[[#This Row],[Qty]]*Store_Record[[#This Row],[UnitPriceGBP]]</f>
        <v>5</v>
      </c>
      <c r="L4485" s="5" t="str">
        <f>TEXT(Store_Record[[#This Row],[Date]],"dddd")</f>
        <v>Monday</v>
      </c>
      <c r="M4485" s="5" t="str">
        <f>TEXT(Store_Record[[#This Row],[Date]],"mmmm")</f>
        <v>November</v>
      </c>
      <c r="N4485" s="5">
        <f>YEAR(Store_Record[[#This Row],[Date]])</f>
        <v>2025</v>
      </c>
      <c r="O4485"/>
    </row>
    <row r="4486" spans="1:15" x14ac:dyDescent="0.35">
      <c r="A4486" t="s">
        <v>5472</v>
      </c>
      <c r="B4486" s="2">
        <v>45985</v>
      </c>
      <c r="C4486" t="s">
        <v>24</v>
      </c>
      <c r="D4486" t="s">
        <v>11</v>
      </c>
      <c r="E4486" t="s">
        <v>34</v>
      </c>
      <c r="F4486" t="s">
        <v>31</v>
      </c>
      <c r="G4486">
        <v>2</v>
      </c>
      <c r="H4486">
        <v>2.2000000000000002</v>
      </c>
      <c r="I4486" t="s">
        <v>39</v>
      </c>
      <c r="J4486" t="s">
        <v>1149</v>
      </c>
      <c r="K4486" s="12">
        <f>Store_Record[[#This Row],[Qty]]*Store_Record[[#This Row],[UnitPriceGBP]]</f>
        <v>4.4000000000000004</v>
      </c>
      <c r="L4486" s="5" t="str">
        <f>TEXT(Store_Record[[#This Row],[Date]],"dddd")</f>
        <v>Monday</v>
      </c>
      <c r="M4486" s="5" t="str">
        <f>TEXT(Store_Record[[#This Row],[Date]],"mmmm")</f>
        <v>November</v>
      </c>
      <c r="N4486" s="5">
        <f>YEAR(Store_Record[[#This Row],[Date]])</f>
        <v>2025</v>
      </c>
      <c r="O4486"/>
    </row>
    <row r="4487" spans="1:15" x14ac:dyDescent="0.35">
      <c r="A4487" t="s">
        <v>5476</v>
      </c>
      <c r="B4487" s="2">
        <v>45985</v>
      </c>
      <c r="C4487" t="s">
        <v>24</v>
      </c>
      <c r="D4487" t="s">
        <v>47</v>
      </c>
      <c r="E4487" t="s">
        <v>26</v>
      </c>
      <c r="F4487" t="s">
        <v>13</v>
      </c>
      <c r="G4487">
        <v>1</v>
      </c>
      <c r="H4487">
        <v>3.5</v>
      </c>
      <c r="I4487" t="s">
        <v>39</v>
      </c>
      <c r="J4487" t="s">
        <v>376</v>
      </c>
      <c r="K4487" s="12">
        <f>Store_Record[[#This Row],[Qty]]*Store_Record[[#This Row],[UnitPriceGBP]]</f>
        <v>3.5</v>
      </c>
      <c r="L4487" s="5" t="str">
        <f>TEXT(Store_Record[[#This Row],[Date]],"dddd")</f>
        <v>Monday</v>
      </c>
      <c r="M4487" s="5" t="str">
        <f>TEXT(Store_Record[[#This Row],[Date]],"mmmm")</f>
        <v>November</v>
      </c>
      <c r="N4487" s="5">
        <f>YEAR(Store_Record[[#This Row],[Date]])</f>
        <v>2025</v>
      </c>
      <c r="O4487"/>
    </row>
    <row r="4488" spans="1:15" x14ac:dyDescent="0.35">
      <c r="A4488" t="s">
        <v>5478</v>
      </c>
      <c r="B4488" s="2">
        <v>45985</v>
      </c>
      <c r="C4488" t="s">
        <v>24</v>
      </c>
      <c r="D4488" t="s">
        <v>11</v>
      </c>
      <c r="E4488" t="s">
        <v>12</v>
      </c>
      <c r="F4488" t="s">
        <v>13</v>
      </c>
      <c r="G4488">
        <v>1</v>
      </c>
      <c r="H4488">
        <v>2.5</v>
      </c>
      <c r="I4488" t="s">
        <v>21</v>
      </c>
      <c r="J4488" t="s">
        <v>76</v>
      </c>
      <c r="K4488" s="12">
        <f>Store_Record[[#This Row],[Qty]]*Store_Record[[#This Row],[UnitPriceGBP]]</f>
        <v>2.5</v>
      </c>
      <c r="L4488" s="5" t="str">
        <f>TEXT(Store_Record[[#This Row],[Date]],"dddd")</f>
        <v>Monday</v>
      </c>
      <c r="M4488" s="5" t="str">
        <f>TEXT(Store_Record[[#This Row],[Date]],"mmmm")</f>
        <v>November</v>
      </c>
      <c r="N4488" s="5">
        <f>YEAR(Store_Record[[#This Row],[Date]])</f>
        <v>2025</v>
      </c>
      <c r="O4488"/>
    </row>
    <row r="4489" spans="1:15" x14ac:dyDescent="0.35">
      <c r="A4489" t="s">
        <v>5475</v>
      </c>
      <c r="B4489" s="2">
        <v>45985</v>
      </c>
      <c r="C4489" t="s">
        <v>24</v>
      </c>
      <c r="D4489" t="s">
        <v>11</v>
      </c>
      <c r="E4489" t="s">
        <v>34</v>
      </c>
      <c r="F4489" t="s">
        <v>31</v>
      </c>
      <c r="G4489">
        <v>1</v>
      </c>
      <c r="H4489">
        <v>2.2000000000000002</v>
      </c>
      <c r="I4489" t="s">
        <v>21</v>
      </c>
      <c r="J4489" t="s">
        <v>626</v>
      </c>
      <c r="K4489" s="12">
        <f>Store_Record[[#This Row],[Qty]]*Store_Record[[#This Row],[UnitPriceGBP]]</f>
        <v>2.2000000000000002</v>
      </c>
      <c r="L4489" s="5" t="str">
        <f>TEXT(Store_Record[[#This Row],[Date]],"dddd")</f>
        <v>Monday</v>
      </c>
      <c r="M4489" s="5" t="str">
        <f>TEXT(Store_Record[[#This Row],[Date]],"mmmm")</f>
        <v>November</v>
      </c>
      <c r="N4489" s="5">
        <f>YEAR(Store_Record[[#This Row],[Date]])</f>
        <v>2025</v>
      </c>
      <c r="O4489"/>
    </row>
    <row r="4490" spans="1:15" x14ac:dyDescent="0.35">
      <c r="A4490" t="s">
        <v>5492</v>
      </c>
      <c r="B4490" s="2">
        <v>45986</v>
      </c>
      <c r="C4490" t="s">
        <v>36</v>
      </c>
      <c r="D4490" t="s">
        <v>47</v>
      </c>
      <c r="E4490" t="s">
        <v>42</v>
      </c>
      <c r="F4490" t="s">
        <v>13</v>
      </c>
      <c r="G4490">
        <v>5</v>
      </c>
      <c r="H4490">
        <v>3.8</v>
      </c>
      <c r="I4490" t="s">
        <v>21</v>
      </c>
      <c r="J4490" t="s">
        <v>1578</v>
      </c>
      <c r="K4490" s="12">
        <f>Store_Record[[#This Row],[Qty]]*Store_Record[[#This Row],[UnitPriceGBP]]</f>
        <v>19</v>
      </c>
      <c r="L4490" s="5" t="str">
        <f>TEXT(Store_Record[[#This Row],[Date]],"dddd")</f>
        <v>Tuesday</v>
      </c>
      <c r="M4490" s="5" t="str">
        <f>TEXT(Store_Record[[#This Row],[Date]],"mmmm")</f>
        <v>November</v>
      </c>
      <c r="N4490" s="5">
        <f>YEAR(Store_Record[[#This Row],[Date]])</f>
        <v>2025</v>
      </c>
      <c r="O4490"/>
    </row>
    <row r="4491" spans="1:15" x14ac:dyDescent="0.35">
      <c r="A4491" t="s">
        <v>5489</v>
      </c>
      <c r="B4491" s="2">
        <v>45986</v>
      </c>
      <c r="C4491" t="s">
        <v>24</v>
      </c>
      <c r="D4491" t="s">
        <v>11</v>
      </c>
      <c r="E4491" t="s">
        <v>26</v>
      </c>
      <c r="F4491" t="s">
        <v>13</v>
      </c>
      <c r="G4491">
        <v>5</v>
      </c>
      <c r="H4491">
        <v>3.5</v>
      </c>
      <c r="I4491" t="s">
        <v>39</v>
      </c>
      <c r="J4491" t="s">
        <v>811</v>
      </c>
      <c r="K4491" s="12">
        <f>Store_Record[[#This Row],[Qty]]*Store_Record[[#This Row],[UnitPriceGBP]]</f>
        <v>17.5</v>
      </c>
      <c r="L4491" s="5" t="str">
        <f>TEXT(Store_Record[[#This Row],[Date]],"dddd")</f>
        <v>Tuesday</v>
      </c>
      <c r="M4491" s="5" t="str">
        <f>TEXT(Store_Record[[#This Row],[Date]],"mmmm")</f>
        <v>November</v>
      </c>
      <c r="N4491" s="5">
        <f>YEAR(Store_Record[[#This Row],[Date]])</f>
        <v>2025</v>
      </c>
      <c r="O4491"/>
    </row>
    <row r="4492" spans="1:15" x14ac:dyDescent="0.35">
      <c r="A4492" t="s">
        <v>5480</v>
      </c>
      <c r="B4492" s="2">
        <v>45986</v>
      </c>
      <c r="C4492" t="s">
        <v>36</v>
      </c>
      <c r="D4492" t="s">
        <v>38</v>
      </c>
      <c r="E4492" t="s">
        <v>26</v>
      </c>
      <c r="F4492" t="s">
        <v>13</v>
      </c>
      <c r="G4492">
        <v>4</v>
      </c>
      <c r="H4492">
        <v>3.5</v>
      </c>
      <c r="I4492" t="s">
        <v>39</v>
      </c>
      <c r="J4492" t="s">
        <v>191</v>
      </c>
      <c r="K4492" s="12">
        <f>Store_Record[[#This Row],[Qty]]*Store_Record[[#This Row],[UnitPriceGBP]]</f>
        <v>14</v>
      </c>
      <c r="L4492" s="5" t="str">
        <f>TEXT(Store_Record[[#This Row],[Date]],"dddd")</f>
        <v>Tuesday</v>
      </c>
      <c r="M4492" s="5" t="str">
        <f>TEXT(Store_Record[[#This Row],[Date]],"mmmm")</f>
        <v>November</v>
      </c>
      <c r="N4492" s="5">
        <f>YEAR(Store_Record[[#This Row],[Date]])</f>
        <v>2025</v>
      </c>
      <c r="O4492"/>
    </row>
    <row r="4493" spans="1:15" x14ac:dyDescent="0.35">
      <c r="A4493" t="s">
        <v>5484</v>
      </c>
      <c r="B4493" s="2">
        <v>45986</v>
      </c>
      <c r="C4493" t="s">
        <v>24</v>
      </c>
      <c r="D4493" t="s">
        <v>11</v>
      </c>
      <c r="E4493" t="s">
        <v>26</v>
      </c>
      <c r="F4493" t="s">
        <v>13</v>
      </c>
      <c r="G4493">
        <v>4</v>
      </c>
      <c r="H4493">
        <v>3.5</v>
      </c>
      <c r="I4493" t="s">
        <v>21</v>
      </c>
      <c r="J4493" t="s">
        <v>2166</v>
      </c>
      <c r="K4493" s="12">
        <f>Store_Record[[#This Row],[Qty]]*Store_Record[[#This Row],[UnitPriceGBP]]</f>
        <v>14</v>
      </c>
      <c r="L4493" s="5" t="str">
        <f>TEXT(Store_Record[[#This Row],[Date]],"dddd")</f>
        <v>Tuesday</v>
      </c>
      <c r="M4493" s="5" t="str">
        <f>TEXT(Store_Record[[#This Row],[Date]],"mmmm")</f>
        <v>November</v>
      </c>
      <c r="N4493" s="5">
        <f>YEAR(Store_Record[[#This Row],[Date]])</f>
        <v>2025</v>
      </c>
      <c r="O4493"/>
    </row>
    <row r="4494" spans="1:15" x14ac:dyDescent="0.35">
      <c r="A4494" t="s">
        <v>5495</v>
      </c>
      <c r="B4494" s="2">
        <v>45986</v>
      </c>
      <c r="C4494" t="s">
        <v>20</v>
      </c>
      <c r="D4494" t="s">
        <v>25</v>
      </c>
      <c r="E4494" t="s">
        <v>42</v>
      </c>
      <c r="F4494" t="s">
        <v>13</v>
      </c>
      <c r="G4494">
        <v>3</v>
      </c>
      <c r="H4494">
        <v>3.8</v>
      </c>
      <c r="I4494" t="s">
        <v>39</v>
      </c>
      <c r="J4494" t="s">
        <v>1955</v>
      </c>
      <c r="K4494" s="12">
        <f>Store_Record[[#This Row],[Qty]]*Store_Record[[#This Row],[UnitPriceGBP]]</f>
        <v>11.399999999999999</v>
      </c>
      <c r="L4494" s="5" t="str">
        <f>TEXT(Store_Record[[#This Row],[Date]],"dddd")</f>
        <v>Tuesday</v>
      </c>
      <c r="M4494" s="5" t="str">
        <f>TEXT(Store_Record[[#This Row],[Date]],"mmmm")</f>
        <v>November</v>
      </c>
      <c r="N4494" s="5">
        <f>YEAR(Store_Record[[#This Row],[Date]])</f>
        <v>2025</v>
      </c>
      <c r="O4494"/>
    </row>
    <row r="4495" spans="1:15" x14ac:dyDescent="0.35">
      <c r="A4495" t="s">
        <v>5494</v>
      </c>
      <c r="B4495" s="2">
        <v>45986</v>
      </c>
      <c r="C4495" t="s">
        <v>36</v>
      </c>
      <c r="D4495" t="s">
        <v>29</v>
      </c>
      <c r="E4495" t="s">
        <v>30</v>
      </c>
      <c r="F4495" t="s">
        <v>31</v>
      </c>
      <c r="G4495">
        <v>3</v>
      </c>
      <c r="H4495">
        <v>2.8</v>
      </c>
      <c r="I4495" t="s">
        <v>14</v>
      </c>
      <c r="J4495" t="s">
        <v>470</v>
      </c>
      <c r="K4495" s="12">
        <f>Store_Record[[#This Row],[Qty]]*Store_Record[[#This Row],[UnitPriceGBP]]</f>
        <v>8.3999999999999986</v>
      </c>
      <c r="L4495" s="5" t="str">
        <f>TEXT(Store_Record[[#This Row],[Date]],"dddd")</f>
        <v>Tuesday</v>
      </c>
      <c r="M4495" s="5" t="str">
        <f>TEXT(Store_Record[[#This Row],[Date]],"mmmm")</f>
        <v>November</v>
      </c>
      <c r="N4495" s="5">
        <f>YEAR(Store_Record[[#This Row],[Date]])</f>
        <v>2025</v>
      </c>
      <c r="O4495"/>
    </row>
    <row r="4496" spans="1:15" x14ac:dyDescent="0.35">
      <c r="A4496" t="s">
        <v>5488</v>
      </c>
      <c r="B4496" s="2">
        <v>45986</v>
      </c>
      <c r="C4496" t="s">
        <v>10</v>
      </c>
      <c r="D4496" t="s">
        <v>29</v>
      </c>
      <c r="E4496" t="s">
        <v>42</v>
      </c>
      <c r="F4496" t="s">
        <v>13</v>
      </c>
      <c r="G4496">
        <v>2</v>
      </c>
      <c r="H4496">
        <v>3.8</v>
      </c>
      <c r="I4496" t="s">
        <v>14</v>
      </c>
      <c r="J4496" t="s">
        <v>604</v>
      </c>
      <c r="K4496" s="12">
        <f>Store_Record[[#This Row],[Qty]]*Store_Record[[#This Row],[UnitPriceGBP]]</f>
        <v>7.6</v>
      </c>
      <c r="L4496" s="5" t="str">
        <f>TEXT(Store_Record[[#This Row],[Date]],"dddd")</f>
        <v>Tuesday</v>
      </c>
      <c r="M4496" s="5" t="str">
        <f>TEXT(Store_Record[[#This Row],[Date]],"mmmm")</f>
        <v>November</v>
      </c>
      <c r="N4496" s="5">
        <f>YEAR(Store_Record[[#This Row],[Date]])</f>
        <v>2025</v>
      </c>
      <c r="O4496"/>
    </row>
    <row r="4497" spans="1:15" x14ac:dyDescent="0.35">
      <c r="A4497" t="s">
        <v>5481</v>
      </c>
      <c r="B4497" s="2">
        <v>45986</v>
      </c>
      <c r="C4497" t="s">
        <v>20</v>
      </c>
      <c r="D4497" t="s">
        <v>25</v>
      </c>
      <c r="E4497" t="s">
        <v>12</v>
      </c>
      <c r="F4497" t="s">
        <v>13</v>
      </c>
      <c r="G4497">
        <v>3</v>
      </c>
      <c r="H4497">
        <v>2.5</v>
      </c>
      <c r="I4497" t="s">
        <v>14</v>
      </c>
      <c r="J4497" t="s">
        <v>1484</v>
      </c>
      <c r="K4497" s="12">
        <f>Store_Record[[#This Row],[Qty]]*Store_Record[[#This Row],[UnitPriceGBP]]</f>
        <v>7.5</v>
      </c>
      <c r="L4497" s="5" t="str">
        <f>TEXT(Store_Record[[#This Row],[Date]],"dddd")</f>
        <v>Tuesday</v>
      </c>
      <c r="M4497" s="5" t="str">
        <f>TEXT(Store_Record[[#This Row],[Date]],"mmmm")</f>
        <v>November</v>
      </c>
      <c r="N4497" s="5">
        <f>YEAR(Store_Record[[#This Row],[Date]])</f>
        <v>2025</v>
      </c>
      <c r="O4497"/>
    </row>
    <row r="4498" spans="1:15" x14ac:dyDescent="0.35">
      <c r="A4498" t="s">
        <v>5490</v>
      </c>
      <c r="B4498" s="2">
        <v>45986</v>
      </c>
      <c r="C4498" t="s">
        <v>10</v>
      </c>
      <c r="D4498" t="s">
        <v>47</v>
      </c>
      <c r="E4498" t="s">
        <v>12</v>
      </c>
      <c r="F4498" t="s">
        <v>13</v>
      </c>
      <c r="G4498">
        <v>3</v>
      </c>
      <c r="H4498">
        <v>2.5</v>
      </c>
      <c r="I4498" t="s">
        <v>21</v>
      </c>
      <c r="J4498" t="s">
        <v>2220</v>
      </c>
      <c r="K4498" s="12">
        <f>Store_Record[[#This Row],[Qty]]*Store_Record[[#This Row],[UnitPriceGBP]]</f>
        <v>7.5</v>
      </c>
      <c r="L4498" s="5" t="str">
        <f>TEXT(Store_Record[[#This Row],[Date]],"dddd")</f>
        <v>Tuesday</v>
      </c>
      <c r="M4498" s="5" t="str">
        <f>TEXT(Store_Record[[#This Row],[Date]],"mmmm")</f>
        <v>November</v>
      </c>
      <c r="N4498" s="5">
        <f>YEAR(Store_Record[[#This Row],[Date]])</f>
        <v>2025</v>
      </c>
      <c r="O4498"/>
    </row>
    <row r="4499" spans="1:15" x14ac:dyDescent="0.35">
      <c r="A4499" t="s">
        <v>5491</v>
      </c>
      <c r="B4499" s="2">
        <v>45986</v>
      </c>
      <c r="C4499" t="s">
        <v>10</v>
      </c>
      <c r="D4499" t="s">
        <v>25</v>
      </c>
      <c r="E4499" t="s">
        <v>12</v>
      </c>
      <c r="F4499" t="s">
        <v>13</v>
      </c>
      <c r="G4499">
        <v>3</v>
      </c>
      <c r="H4499">
        <v>2.5</v>
      </c>
      <c r="I4499" t="s">
        <v>39</v>
      </c>
      <c r="J4499" t="s">
        <v>2601</v>
      </c>
      <c r="K4499" s="12">
        <f>Store_Record[[#This Row],[Qty]]*Store_Record[[#This Row],[UnitPriceGBP]]</f>
        <v>7.5</v>
      </c>
      <c r="L4499" s="5" t="str">
        <f>TEXT(Store_Record[[#This Row],[Date]],"dddd")</f>
        <v>Tuesday</v>
      </c>
      <c r="M4499" s="5" t="str">
        <f>TEXT(Store_Record[[#This Row],[Date]],"mmmm")</f>
        <v>November</v>
      </c>
      <c r="N4499" s="5">
        <f>YEAR(Store_Record[[#This Row],[Date]])</f>
        <v>2025</v>
      </c>
      <c r="O4499"/>
    </row>
    <row r="4500" spans="1:15" x14ac:dyDescent="0.35">
      <c r="A4500" t="s">
        <v>5486</v>
      </c>
      <c r="B4500" s="2">
        <v>45986</v>
      </c>
      <c r="C4500" t="s">
        <v>36</v>
      </c>
      <c r="D4500" t="s">
        <v>25</v>
      </c>
      <c r="E4500" t="s">
        <v>34</v>
      </c>
      <c r="F4500" t="s">
        <v>31</v>
      </c>
      <c r="G4500">
        <v>3</v>
      </c>
      <c r="H4500">
        <v>2.2000000000000002</v>
      </c>
      <c r="I4500" t="s">
        <v>14</v>
      </c>
      <c r="J4500" t="s">
        <v>374</v>
      </c>
      <c r="K4500" s="12">
        <f>Store_Record[[#This Row],[Qty]]*Store_Record[[#This Row],[UnitPriceGBP]]</f>
        <v>6.6000000000000005</v>
      </c>
      <c r="L4500" s="5" t="str">
        <f>TEXT(Store_Record[[#This Row],[Date]],"dddd")</f>
        <v>Tuesday</v>
      </c>
      <c r="M4500" s="5" t="str">
        <f>TEXT(Store_Record[[#This Row],[Date]],"mmmm")</f>
        <v>November</v>
      </c>
      <c r="N4500" s="5">
        <f>YEAR(Store_Record[[#This Row],[Date]])</f>
        <v>2025</v>
      </c>
      <c r="O4500"/>
    </row>
    <row r="4501" spans="1:15" x14ac:dyDescent="0.35">
      <c r="A4501" t="s">
        <v>5493</v>
      </c>
      <c r="B4501" s="2">
        <v>45986</v>
      </c>
      <c r="C4501" t="s">
        <v>10</v>
      </c>
      <c r="D4501" t="s">
        <v>47</v>
      </c>
      <c r="E4501" t="s">
        <v>34</v>
      </c>
      <c r="F4501" t="s">
        <v>31</v>
      </c>
      <c r="G4501">
        <v>3</v>
      </c>
      <c r="H4501">
        <v>2.2000000000000002</v>
      </c>
      <c r="I4501" t="s">
        <v>14</v>
      </c>
      <c r="J4501" t="s">
        <v>1187</v>
      </c>
      <c r="K4501" s="12">
        <f>Store_Record[[#This Row],[Qty]]*Store_Record[[#This Row],[UnitPriceGBP]]</f>
        <v>6.6000000000000005</v>
      </c>
      <c r="L4501" s="5" t="str">
        <f>TEXT(Store_Record[[#This Row],[Date]],"dddd")</f>
        <v>Tuesday</v>
      </c>
      <c r="M4501" s="5" t="str">
        <f>TEXT(Store_Record[[#This Row],[Date]],"mmmm")</f>
        <v>November</v>
      </c>
      <c r="N4501" s="5">
        <f>YEAR(Store_Record[[#This Row],[Date]])</f>
        <v>2025</v>
      </c>
      <c r="O4501"/>
    </row>
    <row r="4502" spans="1:15" x14ac:dyDescent="0.35">
      <c r="A4502" t="s">
        <v>5483</v>
      </c>
      <c r="B4502" s="2">
        <v>45986</v>
      </c>
      <c r="C4502" t="s">
        <v>20</v>
      </c>
      <c r="D4502" t="s">
        <v>38</v>
      </c>
      <c r="E4502" t="s">
        <v>12</v>
      </c>
      <c r="F4502" t="s">
        <v>13</v>
      </c>
      <c r="G4502">
        <v>2</v>
      </c>
      <c r="H4502">
        <v>2.5</v>
      </c>
      <c r="I4502" t="s">
        <v>14</v>
      </c>
      <c r="J4502" t="s">
        <v>963</v>
      </c>
      <c r="K4502" s="12">
        <f>Store_Record[[#This Row],[Qty]]*Store_Record[[#This Row],[UnitPriceGBP]]</f>
        <v>5</v>
      </c>
      <c r="L4502" s="5" t="str">
        <f>TEXT(Store_Record[[#This Row],[Date]],"dddd")</f>
        <v>Tuesday</v>
      </c>
      <c r="M4502" s="5" t="str">
        <f>TEXT(Store_Record[[#This Row],[Date]],"mmmm")</f>
        <v>November</v>
      </c>
      <c r="N4502" s="5">
        <f>YEAR(Store_Record[[#This Row],[Date]])</f>
        <v>2025</v>
      </c>
      <c r="O4502"/>
    </row>
    <row r="4503" spans="1:15" x14ac:dyDescent="0.35">
      <c r="A4503" t="s">
        <v>5487</v>
      </c>
      <c r="B4503" s="2">
        <v>45986</v>
      </c>
      <c r="C4503" t="s">
        <v>36</v>
      </c>
      <c r="D4503" t="s">
        <v>11</v>
      </c>
      <c r="E4503" t="s">
        <v>12</v>
      </c>
      <c r="F4503" t="s">
        <v>13</v>
      </c>
      <c r="G4503">
        <v>1</v>
      </c>
      <c r="H4503">
        <v>2.5</v>
      </c>
      <c r="I4503" t="s">
        <v>39</v>
      </c>
      <c r="J4503" t="s">
        <v>133</v>
      </c>
      <c r="K4503" s="12">
        <f>Store_Record[[#This Row],[Qty]]*Store_Record[[#This Row],[UnitPriceGBP]]</f>
        <v>2.5</v>
      </c>
      <c r="L4503" s="5" t="str">
        <f>TEXT(Store_Record[[#This Row],[Date]],"dddd")</f>
        <v>Tuesday</v>
      </c>
      <c r="M4503" s="5" t="str">
        <f>TEXT(Store_Record[[#This Row],[Date]],"mmmm")</f>
        <v>November</v>
      </c>
      <c r="N4503" s="5">
        <f>YEAR(Store_Record[[#This Row],[Date]])</f>
        <v>2025</v>
      </c>
      <c r="O4503"/>
    </row>
    <row r="4504" spans="1:15" x14ac:dyDescent="0.35">
      <c r="A4504" t="s">
        <v>5496</v>
      </c>
      <c r="B4504" s="2">
        <v>45986</v>
      </c>
      <c r="C4504" t="s">
        <v>36</v>
      </c>
      <c r="D4504" t="s">
        <v>38</v>
      </c>
      <c r="E4504" t="s">
        <v>12</v>
      </c>
      <c r="F4504" t="s">
        <v>13</v>
      </c>
      <c r="G4504">
        <v>1</v>
      </c>
      <c r="H4504">
        <v>2.5</v>
      </c>
      <c r="I4504" t="s">
        <v>14</v>
      </c>
      <c r="J4504" t="s">
        <v>1896</v>
      </c>
      <c r="K4504" s="12">
        <f>Store_Record[[#This Row],[Qty]]*Store_Record[[#This Row],[UnitPriceGBP]]</f>
        <v>2.5</v>
      </c>
      <c r="L4504" s="5" t="str">
        <f>TEXT(Store_Record[[#This Row],[Date]],"dddd")</f>
        <v>Tuesday</v>
      </c>
      <c r="M4504" s="5" t="str">
        <f>TEXT(Store_Record[[#This Row],[Date]],"mmmm")</f>
        <v>November</v>
      </c>
      <c r="N4504" s="5">
        <f>YEAR(Store_Record[[#This Row],[Date]])</f>
        <v>2025</v>
      </c>
      <c r="O4504"/>
    </row>
    <row r="4505" spans="1:15" x14ac:dyDescent="0.35">
      <c r="A4505" t="s">
        <v>5482</v>
      </c>
      <c r="B4505" s="2">
        <v>45986</v>
      </c>
      <c r="C4505" t="s">
        <v>10</v>
      </c>
      <c r="D4505" t="s">
        <v>38</v>
      </c>
      <c r="E4505" t="s">
        <v>34</v>
      </c>
      <c r="F4505" t="s">
        <v>31</v>
      </c>
      <c r="G4505">
        <v>1</v>
      </c>
      <c r="H4505">
        <v>2.2000000000000002</v>
      </c>
      <c r="I4505" t="s">
        <v>39</v>
      </c>
      <c r="J4505" t="s">
        <v>1760</v>
      </c>
      <c r="K4505" s="12">
        <f>Store_Record[[#This Row],[Qty]]*Store_Record[[#This Row],[UnitPriceGBP]]</f>
        <v>2.2000000000000002</v>
      </c>
      <c r="L4505" s="5" t="str">
        <f>TEXT(Store_Record[[#This Row],[Date]],"dddd")</f>
        <v>Tuesday</v>
      </c>
      <c r="M4505" s="5" t="str">
        <f>TEXT(Store_Record[[#This Row],[Date]],"mmmm")</f>
        <v>November</v>
      </c>
      <c r="N4505" s="5">
        <f>YEAR(Store_Record[[#This Row],[Date]])</f>
        <v>2025</v>
      </c>
      <c r="O4505"/>
    </row>
    <row r="4506" spans="1:15" x14ac:dyDescent="0.35">
      <c r="A4506" t="s">
        <v>5485</v>
      </c>
      <c r="B4506" s="2">
        <v>45986</v>
      </c>
      <c r="C4506" t="s">
        <v>36</v>
      </c>
      <c r="D4506" t="s">
        <v>25</v>
      </c>
      <c r="E4506" t="s">
        <v>34</v>
      </c>
      <c r="F4506" t="s">
        <v>31</v>
      </c>
      <c r="G4506">
        <v>1</v>
      </c>
      <c r="H4506">
        <v>2.2000000000000002</v>
      </c>
      <c r="I4506" t="s">
        <v>14</v>
      </c>
      <c r="J4506" t="s">
        <v>4531</v>
      </c>
      <c r="K4506" s="12">
        <f>Store_Record[[#This Row],[Qty]]*Store_Record[[#This Row],[UnitPriceGBP]]</f>
        <v>2.2000000000000002</v>
      </c>
      <c r="L4506" s="5" t="str">
        <f>TEXT(Store_Record[[#This Row],[Date]],"dddd")</f>
        <v>Tuesday</v>
      </c>
      <c r="M4506" s="5" t="str">
        <f>TEXT(Store_Record[[#This Row],[Date]],"mmmm")</f>
        <v>November</v>
      </c>
      <c r="N4506" s="5">
        <f>YEAR(Store_Record[[#This Row],[Date]])</f>
        <v>2025</v>
      </c>
      <c r="O4506"/>
    </row>
    <row r="4507" spans="1:15" x14ac:dyDescent="0.35">
      <c r="A4507" t="s">
        <v>5500</v>
      </c>
      <c r="B4507" s="2">
        <v>45987</v>
      </c>
      <c r="C4507" t="s">
        <v>36</v>
      </c>
      <c r="D4507" t="s">
        <v>47</v>
      </c>
      <c r="E4507" t="s">
        <v>12</v>
      </c>
      <c r="F4507" t="s">
        <v>13</v>
      </c>
      <c r="G4507">
        <v>5</v>
      </c>
      <c r="H4507">
        <v>2.5</v>
      </c>
      <c r="I4507" t="s">
        <v>14</v>
      </c>
      <c r="J4507" t="s">
        <v>600</v>
      </c>
      <c r="K4507" s="12">
        <f>Store_Record[[#This Row],[Qty]]*Store_Record[[#This Row],[UnitPriceGBP]]</f>
        <v>12.5</v>
      </c>
      <c r="L4507" s="5" t="str">
        <f>TEXT(Store_Record[[#This Row],[Date]],"dddd")</f>
        <v>Wednesday</v>
      </c>
      <c r="M4507" s="5" t="str">
        <f>TEXT(Store_Record[[#This Row],[Date]],"mmmm")</f>
        <v>November</v>
      </c>
      <c r="N4507" s="5">
        <f>YEAR(Store_Record[[#This Row],[Date]])</f>
        <v>2025</v>
      </c>
      <c r="O4507"/>
    </row>
    <row r="4508" spans="1:15" x14ac:dyDescent="0.35">
      <c r="A4508" t="s">
        <v>5504</v>
      </c>
      <c r="B4508" s="2">
        <v>45987</v>
      </c>
      <c r="C4508" t="s">
        <v>24</v>
      </c>
      <c r="D4508" t="s">
        <v>11</v>
      </c>
      <c r="E4508" t="s">
        <v>26</v>
      </c>
      <c r="F4508" t="s">
        <v>13</v>
      </c>
      <c r="G4508">
        <v>3</v>
      </c>
      <c r="H4508">
        <v>3.5</v>
      </c>
      <c r="I4508" t="s">
        <v>14</v>
      </c>
      <c r="J4508" t="s">
        <v>1205</v>
      </c>
      <c r="K4508" s="12">
        <f>Store_Record[[#This Row],[Qty]]*Store_Record[[#This Row],[UnitPriceGBP]]</f>
        <v>10.5</v>
      </c>
      <c r="L4508" s="5" t="str">
        <f>TEXT(Store_Record[[#This Row],[Date]],"dddd")</f>
        <v>Wednesday</v>
      </c>
      <c r="M4508" s="5" t="str">
        <f>TEXT(Store_Record[[#This Row],[Date]],"mmmm")</f>
        <v>November</v>
      </c>
      <c r="N4508" s="5">
        <f>YEAR(Store_Record[[#This Row],[Date]])</f>
        <v>2025</v>
      </c>
      <c r="O4508"/>
    </row>
    <row r="4509" spans="1:15" x14ac:dyDescent="0.35">
      <c r="A4509" t="s">
        <v>5511</v>
      </c>
      <c r="B4509" s="2">
        <v>45987</v>
      </c>
      <c r="C4509" t="s">
        <v>24</v>
      </c>
      <c r="D4509" t="s">
        <v>11</v>
      </c>
      <c r="E4509" t="s">
        <v>12</v>
      </c>
      <c r="F4509" t="s">
        <v>13</v>
      </c>
      <c r="G4509">
        <v>4</v>
      </c>
      <c r="H4509">
        <v>2.5</v>
      </c>
      <c r="I4509" t="s">
        <v>39</v>
      </c>
      <c r="J4509" t="s">
        <v>3607</v>
      </c>
      <c r="K4509" s="12">
        <f>Store_Record[[#This Row],[Qty]]*Store_Record[[#This Row],[UnitPriceGBP]]</f>
        <v>10</v>
      </c>
      <c r="L4509" s="5" t="str">
        <f>TEXT(Store_Record[[#This Row],[Date]],"dddd")</f>
        <v>Wednesday</v>
      </c>
      <c r="M4509" s="5" t="str">
        <f>TEXT(Store_Record[[#This Row],[Date]],"mmmm")</f>
        <v>November</v>
      </c>
      <c r="N4509" s="5">
        <f>YEAR(Store_Record[[#This Row],[Date]])</f>
        <v>2025</v>
      </c>
      <c r="O4509"/>
    </row>
    <row r="4510" spans="1:15" x14ac:dyDescent="0.35">
      <c r="A4510" t="s">
        <v>5506</v>
      </c>
      <c r="B4510" s="2">
        <v>45987</v>
      </c>
      <c r="C4510" t="s">
        <v>10</v>
      </c>
      <c r="D4510" t="s">
        <v>29</v>
      </c>
      <c r="E4510" t="s">
        <v>34</v>
      </c>
      <c r="F4510" t="s">
        <v>31</v>
      </c>
      <c r="G4510">
        <v>4</v>
      </c>
      <c r="H4510">
        <v>2.2000000000000002</v>
      </c>
      <c r="I4510" t="s">
        <v>14</v>
      </c>
      <c r="J4510" t="s">
        <v>2722</v>
      </c>
      <c r="K4510" s="12">
        <f>Store_Record[[#This Row],[Qty]]*Store_Record[[#This Row],[UnitPriceGBP]]</f>
        <v>8.8000000000000007</v>
      </c>
      <c r="L4510" s="5" t="str">
        <f>TEXT(Store_Record[[#This Row],[Date]],"dddd")</f>
        <v>Wednesday</v>
      </c>
      <c r="M4510" s="5" t="str">
        <f>TEXT(Store_Record[[#This Row],[Date]],"mmmm")</f>
        <v>November</v>
      </c>
      <c r="N4510" s="5">
        <f>YEAR(Store_Record[[#This Row],[Date]])</f>
        <v>2025</v>
      </c>
      <c r="O4510"/>
    </row>
    <row r="4511" spans="1:15" x14ac:dyDescent="0.35">
      <c r="A4511" t="s">
        <v>5502</v>
      </c>
      <c r="B4511" s="2">
        <v>45987</v>
      </c>
      <c r="C4511" t="s">
        <v>24</v>
      </c>
      <c r="D4511" t="s">
        <v>29</v>
      </c>
      <c r="E4511" t="s">
        <v>30</v>
      </c>
      <c r="F4511" t="s">
        <v>31</v>
      </c>
      <c r="G4511">
        <v>3</v>
      </c>
      <c r="H4511">
        <v>2.8</v>
      </c>
      <c r="I4511" t="s">
        <v>21</v>
      </c>
      <c r="J4511" t="s">
        <v>4203</v>
      </c>
      <c r="K4511" s="12">
        <f>Store_Record[[#This Row],[Qty]]*Store_Record[[#This Row],[UnitPriceGBP]]</f>
        <v>8.3999999999999986</v>
      </c>
      <c r="L4511" s="5" t="str">
        <f>TEXT(Store_Record[[#This Row],[Date]],"dddd")</f>
        <v>Wednesday</v>
      </c>
      <c r="M4511" s="5" t="str">
        <f>TEXT(Store_Record[[#This Row],[Date]],"mmmm")</f>
        <v>November</v>
      </c>
      <c r="N4511" s="5">
        <f>YEAR(Store_Record[[#This Row],[Date]])</f>
        <v>2025</v>
      </c>
      <c r="O4511"/>
    </row>
    <row r="4512" spans="1:15" x14ac:dyDescent="0.35">
      <c r="A4512" t="s">
        <v>5507</v>
      </c>
      <c r="B4512" s="2">
        <v>45987</v>
      </c>
      <c r="C4512" t="s">
        <v>36</v>
      </c>
      <c r="D4512" t="s">
        <v>29</v>
      </c>
      <c r="E4512" t="s">
        <v>30</v>
      </c>
      <c r="F4512" t="s">
        <v>31</v>
      </c>
      <c r="G4512">
        <v>3</v>
      </c>
      <c r="H4512">
        <v>2.8</v>
      </c>
      <c r="I4512" t="s">
        <v>14</v>
      </c>
      <c r="J4512" t="s">
        <v>1777</v>
      </c>
      <c r="K4512" s="12">
        <f>Store_Record[[#This Row],[Qty]]*Store_Record[[#This Row],[UnitPriceGBP]]</f>
        <v>8.3999999999999986</v>
      </c>
      <c r="L4512" s="5" t="str">
        <f>TEXT(Store_Record[[#This Row],[Date]],"dddd")</f>
        <v>Wednesday</v>
      </c>
      <c r="M4512" s="5" t="str">
        <f>TEXT(Store_Record[[#This Row],[Date]],"mmmm")</f>
        <v>November</v>
      </c>
      <c r="N4512" s="5">
        <f>YEAR(Store_Record[[#This Row],[Date]])</f>
        <v>2025</v>
      </c>
      <c r="O4512"/>
    </row>
    <row r="4513" spans="1:15" x14ac:dyDescent="0.35">
      <c r="A4513" t="s">
        <v>5499</v>
      </c>
      <c r="B4513" s="2">
        <v>45987</v>
      </c>
      <c r="C4513" t="s">
        <v>36</v>
      </c>
      <c r="D4513" t="s">
        <v>29</v>
      </c>
      <c r="E4513" t="s">
        <v>26</v>
      </c>
      <c r="F4513" t="s">
        <v>13</v>
      </c>
      <c r="G4513">
        <v>2</v>
      </c>
      <c r="H4513">
        <v>3.5</v>
      </c>
      <c r="I4513" t="s">
        <v>14</v>
      </c>
      <c r="J4513" t="s">
        <v>3162</v>
      </c>
      <c r="K4513" s="12">
        <f>Store_Record[[#This Row],[Qty]]*Store_Record[[#This Row],[UnitPriceGBP]]</f>
        <v>7</v>
      </c>
      <c r="L4513" s="5" t="str">
        <f>TEXT(Store_Record[[#This Row],[Date]],"dddd")</f>
        <v>Wednesday</v>
      </c>
      <c r="M4513" s="5" t="str">
        <f>TEXT(Store_Record[[#This Row],[Date]],"mmmm")</f>
        <v>November</v>
      </c>
      <c r="N4513" s="5">
        <f>YEAR(Store_Record[[#This Row],[Date]])</f>
        <v>2025</v>
      </c>
      <c r="O4513"/>
    </row>
    <row r="4514" spans="1:15" x14ac:dyDescent="0.35">
      <c r="A4514" t="s">
        <v>5508</v>
      </c>
      <c r="B4514" s="2">
        <v>45987</v>
      </c>
      <c r="C4514" t="s">
        <v>10</v>
      </c>
      <c r="D4514" t="s">
        <v>38</v>
      </c>
      <c r="E4514" t="s">
        <v>26</v>
      </c>
      <c r="F4514" t="s">
        <v>13</v>
      </c>
      <c r="G4514">
        <v>2</v>
      </c>
      <c r="H4514">
        <v>3.5</v>
      </c>
      <c r="I4514" t="s">
        <v>21</v>
      </c>
      <c r="J4514" t="s">
        <v>2581</v>
      </c>
      <c r="K4514" s="12">
        <f>Store_Record[[#This Row],[Qty]]*Store_Record[[#This Row],[UnitPriceGBP]]</f>
        <v>7</v>
      </c>
      <c r="L4514" s="5" t="str">
        <f>TEXT(Store_Record[[#This Row],[Date]],"dddd")</f>
        <v>Wednesday</v>
      </c>
      <c r="M4514" s="5" t="str">
        <f>TEXT(Store_Record[[#This Row],[Date]],"mmmm")</f>
        <v>November</v>
      </c>
      <c r="N4514" s="5">
        <f>YEAR(Store_Record[[#This Row],[Date]])</f>
        <v>2025</v>
      </c>
      <c r="O4514"/>
    </row>
    <row r="4515" spans="1:15" x14ac:dyDescent="0.35">
      <c r="A4515" t="s">
        <v>5497</v>
      </c>
      <c r="B4515" s="2">
        <v>45987</v>
      </c>
      <c r="C4515" t="s">
        <v>24</v>
      </c>
      <c r="D4515" t="s">
        <v>11</v>
      </c>
      <c r="E4515" t="s">
        <v>34</v>
      </c>
      <c r="F4515" t="s">
        <v>31</v>
      </c>
      <c r="G4515">
        <v>3</v>
      </c>
      <c r="H4515">
        <v>2.2000000000000002</v>
      </c>
      <c r="I4515" t="s">
        <v>39</v>
      </c>
      <c r="J4515" t="s">
        <v>273</v>
      </c>
      <c r="K4515" s="12">
        <f>Store_Record[[#This Row],[Qty]]*Store_Record[[#This Row],[UnitPriceGBP]]</f>
        <v>6.6000000000000005</v>
      </c>
      <c r="L4515" s="5" t="str">
        <f>TEXT(Store_Record[[#This Row],[Date]],"dddd")</f>
        <v>Wednesday</v>
      </c>
      <c r="M4515" s="5" t="str">
        <f>TEXT(Store_Record[[#This Row],[Date]],"mmmm")</f>
        <v>November</v>
      </c>
      <c r="N4515" s="5">
        <f>YEAR(Store_Record[[#This Row],[Date]])</f>
        <v>2025</v>
      </c>
      <c r="O4515"/>
    </row>
    <row r="4516" spans="1:15" x14ac:dyDescent="0.35">
      <c r="A4516" t="s">
        <v>5509</v>
      </c>
      <c r="B4516" s="2">
        <v>45987</v>
      </c>
      <c r="C4516" t="s">
        <v>20</v>
      </c>
      <c r="D4516" t="s">
        <v>25</v>
      </c>
      <c r="E4516" t="s">
        <v>30</v>
      </c>
      <c r="F4516" t="s">
        <v>31</v>
      </c>
      <c r="G4516">
        <v>2</v>
      </c>
      <c r="H4516">
        <v>2.8</v>
      </c>
      <c r="I4516" t="s">
        <v>39</v>
      </c>
      <c r="J4516" t="s">
        <v>1225</v>
      </c>
      <c r="K4516" s="12">
        <f>Store_Record[[#This Row],[Qty]]*Store_Record[[#This Row],[UnitPriceGBP]]</f>
        <v>5.6</v>
      </c>
      <c r="L4516" s="5" t="str">
        <f>TEXT(Store_Record[[#This Row],[Date]],"dddd")</f>
        <v>Wednesday</v>
      </c>
      <c r="M4516" s="5" t="str">
        <f>TEXT(Store_Record[[#This Row],[Date]],"mmmm")</f>
        <v>November</v>
      </c>
      <c r="N4516" s="5">
        <f>YEAR(Store_Record[[#This Row],[Date]])</f>
        <v>2025</v>
      </c>
      <c r="O4516"/>
    </row>
    <row r="4517" spans="1:15" x14ac:dyDescent="0.35">
      <c r="A4517" t="s">
        <v>5498</v>
      </c>
      <c r="B4517" s="2">
        <v>45987</v>
      </c>
      <c r="C4517" t="s">
        <v>20</v>
      </c>
      <c r="D4517" t="s">
        <v>25</v>
      </c>
      <c r="E4517" t="s">
        <v>12</v>
      </c>
      <c r="F4517" t="s">
        <v>13</v>
      </c>
      <c r="G4517">
        <v>2</v>
      </c>
      <c r="H4517">
        <v>2.5</v>
      </c>
      <c r="I4517" t="s">
        <v>21</v>
      </c>
      <c r="J4517" t="s">
        <v>430</v>
      </c>
      <c r="K4517" s="12">
        <f>Store_Record[[#This Row],[Qty]]*Store_Record[[#This Row],[UnitPriceGBP]]</f>
        <v>5</v>
      </c>
      <c r="L4517" s="5" t="str">
        <f>TEXT(Store_Record[[#This Row],[Date]],"dddd")</f>
        <v>Wednesday</v>
      </c>
      <c r="M4517" s="5" t="str">
        <f>TEXT(Store_Record[[#This Row],[Date]],"mmmm")</f>
        <v>November</v>
      </c>
      <c r="N4517" s="5">
        <f>YEAR(Store_Record[[#This Row],[Date]])</f>
        <v>2025</v>
      </c>
      <c r="O4517"/>
    </row>
    <row r="4518" spans="1:15" x14ac:dyDescent="0.35">
      <c r="A4518" t="s">
        <v>5510</v>
      </c>
      <c r="B4518" s="2">
        <v>45987</v>
      </c>
      <c r="C4518" t="s">
        <v>24</v>
      </c>
      <c r="D4518" t="s">
        <v>11</v>
      </c>
      <c r="E4518" t="s">
        <v>34</v>
      </c>
      <c r="F4518" t="s">
        <v>31</v>
      </c>
      <c r="G4518">
        <v>2</v>
      </c>
      <c r="H4518">
        <v>2.2000000000000002</v>
      </c>
      <c r="I4518" t="s">
        <v>21</v>
      </c>
      <c r="J4518" t="s">
        <v>3042</v>
      </c>
      <c r="K4518" s="12">
        <f>Store_Record[[#This Row],[Qty]]*Store_Record[[#This Row],[UnitPriceGBP]]</f>
        <v>4.4000000000000004</v>
      </c>
      <c r="L4518" s="5" t="str">
        <f>TEXT(Store_Record[[#This Row],[Date]],"dddd")</f>
        <v>Wednesday</v>
      </c>
      <c r="M4518" s="5" t="str">
        <f>TEXT(Store_Record[[#This Row],[Date]],"mmmm")</f>
        <v>November</v>
      </c>
      <c r="N4518" s="5">
        <f>YEAR(Store_Record[[#This Row],[Date]])</f>
        <v>2025</v>
      </c>
      <c r="O4518"/>
    </row>
    <row r="4519" spans="1:15" x14ac:dyDescent="0.35">
      <c r="A4519" t="s">
        <v>5505</v>
      </c>
      <c r="B4519" s="2">
        <v>45987</v>
      </c>
      <c r="C4519" t="s">
        <v>24</v>
      </c>
      <c r="D4519" t="s">
        <v>38</v>
      </c>
      <c r="E4519" t="s">
        <v>26</v>
      </c>
      <c r="F4519" t="s">
        <v>13</v>
      </c>
      <c r="G4519">
        <v>1</v>
      </c>
      <c r="H4519">
        <v>3.5</v>
      </c>
      <c r="I4519" t="s">
        <v>39</v>
      </c>
      <c r="J4519" t="s">
        <v>499</v>
      </c>
      <c r="K4519" s="12">
        <f>Store_Record[[#This Row],[Qty]]*Store_Record[[#This Row],[UnitPriceGBP]]</f>
        <v>3.5</v>
      </c>
      <c r="L4519" s="5" t="str">
        <f>TEXT(Store_Record[[#This Row],[Date]],"dddd")</f>
        <v>Wednesday</v>
      </c>
      <c r="M4519" s="5" t="str">
        <f>TEXT(Store_Record[[#This Row],[Date]],"mmmm")</f>
        <v>November</v>
      </c>
      <c r="N4519" s="5">
        <f>YEAR(Store_Record[[#This Row],[Date]])</f>
        <v>2025</v>
      </c>
      <c r="O4519"/>
    </row>
    <row r="4520" spans="1:15" x14ac:dyDescent="0.35">
      <c r="A4520" t="s">
        <v>5501</v>
      </c>
      <c r="B4520" s="2">
        <v>45987</v>
      </c>
      <c r="C4520" t="s">
        <v>20</v>
      </c>
      <c r="D4520" t="s">
        <v>38</v>
      </c>
      <c r="E4520" t="s">
        <v>34</v>
      </c>
      <c r="F4520" t="s">
        <v>31</v>
      </c>
      <c r="G4520">
        <v>1</v>
      </c>
      <c r="H4520">
        <v>2.2000000000000002</v>
      </c>
      <c r="I4520" t="s">
        <v>21</v>
      </c>
      <c r="J4520" t="s">
        <v>567</v>
      </c>
      <c r="K4520" s="12">
        <f>Store_Record[[#This Row],[Qty]]*Store_Record[[#This Row],[UnitPriceGBP]]</f>
        <v>2.2000000000000002</v>
      </c>
      <c r="L4520" s="5" t="str">
        <f>TEXT(Store_Record[[#This Row],[Date]],"dddd")</f>
        <v>Wednesday</v>
      </c>
      <c r="M4520" s="5" t="str">
        <f>TEXT(Store_Record[[#This Row],[Date]],"mmmm")</f>
        <v>November</v>
      </c>
      <c r="N4520" s="5">
        <f>YEAR(Store_Record[[#This Row],[Date]])</f>
        <v>2025</v>
      </c>
      <c r="O4520"/>
    </row>
    <row r="4521" spans="1:15" x14ac:dyDescent="0.35">
      <c r="A4521" t="s">
        <v>5503</v>
      </c>
      <c r="B4521" s="2">
        <v>45987</v>
      </c>
      <c r="C4521" t="s">
        <v>10</v>
      </c>
      <c r="D4521" t="s">
        <v>47</v>
      </c>
      <c r="E4521" t="s">
        <v>34</v>
      </c>
      <c r="F4521" t="s">
        <v>31</v>
      </c>
      <c r="G4521">
        <v>1</v>
      </c>
      <c r="H4521">
        <v>2.2000000000000002</v>
      </c>
      <c r="I4521" t="s">
        <v>21</v>
      </c>
      <c r="J4521" t="s">
        <v>3433</v>
      </c>
      <c r="K4521" s="12">
        <f>Store_Record[[#This Row],[Qty]]*Store_Record[[#This Row],[UnitPriceGBP]]</f>
        <v>2.2000000000000002</v>
      </c>
      <c r="L4521" s="5" t="str">
        <f>TEXT(Store_Record[[#This Row],[Date]],"dddd")</f>
        <v>Wednesday</v>
      </c>
      <c r="M4521" s="5" t="str">
        <f>TEXT(Store_Record[[#This Row],[Date]],"mmmm")</f>
        <v>November</v>
      </c>
      <c r="N4521" s="5">
        <f>YEAR(Store_Record[[#This Row],[Date]])</f>
        <v>2025</v>
      </c>
      <c r="O4521"/>
    </row>
    <row r="4522" spans="1:15" x14ac:dyDescent="0.35">
      <c r="A4522" t="s">
        <v>5512</v>
      </c>
      <c r="B4522" s="2">
        <v>45988</v>
      </c>
      <c r="C4522" t="s">
        <v>24</v>
      </c>
      <c r="D4522" t="s">
        <v>47</v>
      </c>
      <c r="E4522" t="s">
        <v>42</v>
      </c>
      <c r="F4522" t="s">
        <v>13</v>
      </c>
      <c r="G4522">
        <v>5</v>
      </c>
      <c r="H4522">
        <v>3.8</v>
      </c>
      <c r="I4522" t="s">
        <v>14</v>
      </c>
      <c r="J4522" t="s">
        <v>788</v>
      </c>
      <c r="K4522" s="12">
        <f>Store_Record[[#This Row],[Qty]]*Store_Record[[#This Row],[UnitPriceGBP]]</f>
        <v>19</v>
      </c>
      <c r="L4522" s="5" t="str">
        <f>TEXT(Store_Record[[#This Row],[Date]],"dddd")</f>
        <v>Thursday</v>
      </c>
      <c r="M4522" s="5" t="str">
        <f>TEXT(Store_Record[[#This Row],[Date]],"mmmm")</f>
        <v>November</v>
      </c>
      <c r="N4522" s="5">
        <f>YEAR(Store_Record[[#This Row],[Date]])</f>
        <v>2025</v>
      </c>
      <c r="O4522"/>
    </row>
    <row r="4523" spans="1:15" x14ac:dyDescent="0.35">
      <c r="A4523" t="s">
        <v>5522</v>
      </c>
      <c r="B4523" s="2">
        <v>45988</v>
      </c>
      <c r="C4523" t="s">
        <v>10</v>
      </c>
      <c r="D4523" t="s">
        <v>29</v>
      </c>
      <c r="E4523" t="s">
        <v>42</v>
      </c>
      <c r="F4523" t="s">
        <v>13</v>
      </c>
      <c r="G4523">
        <v>4</v>
      </c>
      <c r="H4523">
        <v>3.8</v>
      </c>
      <c r="I4523" t="s">
        <v>21</v>
      </c>
      <c r="J4523" t="s">
        <v>936</v>
      </c>
      <c r="K4523" s="12">
        <f>Store_Record[[#This Row],[Qty]]*Store_Record[[#This Row],[UnitPriceGBP]]</f>
        <v>15.2</v>
      </c>
      <c r="L4523" s="5" t="str">
        <f>TEXT(Store_Record[[#This Row],[Date]],"dddd")</f>
        <v>Thursday</v>
      </c>
      <c r="M4523" s="5" t="str">
        <f>TEXT(Store_Record[[#This Row],[Date]],"mmmm")</f>
        <v>November</v>
      </c>
      <c r="N4523" s="5">
        <f>YEAR(Store_Record[[#This Row],[Date]])</f>
        <v>2025</v>
      </c>
      <c r="O4523"/>
    </row>
    <row r="4524" spans="1:15" x14ac:dyDescent="0.35">
      <c r="A4524" t="s">
        <v>5525</v>
      </c>
      <c r="B4524" s="2">
        <v>45988</v>
      </c>
      <c r="C4524" t="s">
        <v>20</v>
      </c>
      <c r="D4524" t="s">
        <v>38</v>
      </c>
      <c r="E4524" t="s">
        <v>42</v>
      </c>
      <c r="F4524" t="s">
        <v>13</v>
      </c>
      <c r="G4524">
        <v>4</v>
      </c>
      <c r="H4524">
        <v>3.8</v>
      </c>
      <c r="I4524" t="s">
        <v>39</v>
      </c>
      <c r="J4524" t="s">
        <v>1584</v>
      </c>
      <c r="K4524" s="12">
        <f>Store_Record[[#This Row],[Qty]]*Store_Record[[#This Row],[UnitPriceGBP]]</f>
        <v>15.2</v>
      </c>
      <c r="L4524" s="5" t="str">
        <f>TEXT(Store_Record[[#This Row],[Date]],"dddd")</f>
        <v>Thursday</v>
      </c>
      <c r="M4524" s="5" t="str">
        <f>TEXT(Store_Record[[#This Row],[Date]],"mmmm")</f>
        <v>November</v>
      </c>
      <c r="N4524" s="5">
        <f>YEAR(Store_Record[[#This Row],[Date]])</f>
        <v>2025</v>
      </c>
      <c r="O4524"/>
    </row>
    <row r="4525" spans="1:15" x14ac:dyDescent="0.35">
      <c r="A4525" t="s">
        <v>5516</v>
      </c>
      <c r="B4525" s="2">
        <v>45988</v>
      </c>
      <c r="C4525" t="s">
        <v>36</v>
      </c>
      <c r="D4525" t="s">
        <v>47</v>
      </c>
      <c r="E4525" t="s">
        <v>26</v>
      </c>
      <c r="F4525" t="s">
        <v>13</v>
      </c>
      <c r="G4525">
        <v>4</v>
      </c>
      <c r="H4525">
        <v>3.5</v>
      </c>
      <c r="I4525" t="s">
        <v>39</v>
      </c>
      <c r="J4525" t="s">
        <v>4870</v>
      </c>
      <c r="K4525" s="12">
        <f>Store_Record[[#This Row],[Qty]]*Store_Record[[#This Row],[UnitPriceGBP]]</f>
        <v>14</v>
      </c>
      <c r="L4525" s="5" t="str">
        <f>TEXT(Store_Record[[#This Row],[Date]],"dddd")</f>
        <v>Thursday</v>
      </c>
      <c r="M4525" s="5" t="str">
        <f>TEXT(Store_Record[[#This Row],[Date]],"mmmm")</f>
        <v>November</v>
      </c>
      <c r="N4525" s="5">
        <f>YEAR(Store_Record[[#This Row],[Date]])</f>
        <v>2025</v>
      </c>
      <c r="O4525"/>
    </row>
    <row r="4526" spans="1:15" x14ac:dyDescent="0.35">
      <c r="A4526" t="s">
        <v>5514</v>
      </c>
      <c r="B4526" s="2">
        <v>45988</v>
      </c>
      <c r="C4526" t="s">
        <v>36</v>
      </c>
      <c r="D4526" t="s">
        <v>25</v>
      </c>
      <c r="E4526" t="s">
        <v>12</v>
      </c>
      <c r="F4526" t="s">
        <v>13</v>
      </c>
      <c r="G4526">
        <v>5</v>
      </c>
      <c r="H4526">
        <v>2.5</v>
      </c>
      <c r="I4526" t="s">
        <v>21</v>
      </c>
      <c r="J4526" t="s">
        <v>682</v>
      </c>
      <c r="K4526" s="12">
        <f>Store_Record[[#This Row],[Qty]]*Store_Record[[#This Row],[UnitPriceGBP]]</f>
        <v>12.5</v>
      </c>
      <c r="L4526" s="5" t="str">
        <f>TEXT(Store_Record[[#This Row],[Date]],"dddd")</f>
        <v>Thursday</v>
      </c>
      <c r="M4526" s="5" t="str">
        <f>TEXT(Store_Record[[#This Row],[Date]],"mmmm")</f>
        <v>November</v>
      </c>
      <c r="N4526" s="5">
        <f>YEAR(Store_Record[[#This Row],[Date]])</f>
        <v>2025</v>
      </c>
      <c r="O4526"/>
    </row>
    <row r="4527" spans="1:15" x14ac:dyDescent="0.35">
      <c r="A4527" t="s">
        <v>5517</v>
      </c>
      <c r="B4527" s="2">
        <v>45988</v>
      </c>
      <c r="C4527" t="s">
        <v>20</v>
      </c>
      <c r="D4527" t="s">
        <v>11</v>
      </c>
      <c r="E4527" t="s">
        <v>12</v>
      </c>
      <c r="F4527" t="s">
        <v>13</v>
      </c>
      <c r="G4527">
        <v>5</v>
      </c>
      <c r="H4527">
        <v>2.5</v>
      </c>
      <c r="I4527" t="s">
        <v>21</v>
      </c>
      <c r="J4527" t="s">
        <v>2867</v>
      </c>
      <c r="K4527" s="12">
        <f>Store_Record[[#This Row],[Qty]]*Store_Record[[#This Row],[UnitPriceGBP]]</f>
        <v>12.5</v>
      </c>
      <c r="L4527" s="5" t="str">
        <f>TEXT(Store_Record[[#This Row],[Date]],"dddd")</f>
        <v>Thursday</v>
      </c>
      <c r="M4527" s="5" t="str">
        <f>TEXT(Store_Record[[#This Row],[Date]],"mmmm")</f>
        <v>November</v>
      </c>
      <c r="N4527" s="5">
        <f>YEAR(Store_Record[[#This Row],[Date]])</f>
        <v>2025</v>
      </c>
      <c r="O4527"/>
    </row>
    <row r="4528" spans="1:15" x14ac:dyDescent="0.35">
      <c r="A4528" t="s">
        <v>5518</v>
      </c>
      <c r="B4528" s="2">
        <v>45988</v>
      </c>
      <c r="C4528" t="s">
        <v>10</v>
      </c>
      <c r="D4528" t="s">
        <v>25</v>
      </c>
      <c r="E4528" t="s">
        <v>34</v>
      </c>
      <c r="F4528" t="s">
        <v>31</v>
      </c>
      <c r="G4528">
        <v>4</v>
      </c>
      <c r="H4528">
        <v>2.2000000000000002</v>
      </c>
      <c r="I4528" t="s">
        <v>21</v>
      </c>
      <c r="J4528" t="s">
        <v>2218</v>
      </c>
      <c r="K4528" s="12">
        <f>Store_Record[[#This Row],[Qty]]*Store_Record[[#This Row],[UnitPriceGBP]]</f>
        <v>8.8000000000000007</v>
      </c>
      <c r="L4528" s="5" t="str">
        <f>TEXT(Store_Record[[#This Row],[Date]],"dddd")</f>
        <v>Thursday</v>
      </c>
      <c r="M4528" s="5" t="str">
        <f>TEXT(Store_Record[[#This Row],[Date]],"mmmm")</f>
        <v>November</v>
      </c>
      <c r="N4528" s="5">
        <f>YEAR(Store_Record[[#This Row],[Date]])</f>
        <v>2025</v>
      </c>
      <c r="O4528"/>
    </row>
    <row r="4529" spans="1:15" x14ac:dyDescent="0.35">
      <c r="A4529" t="s">
        <v>5519</v>
      </c>
      <c r="B4529" s="2">
        <v>45988</v>
      </c>
      <c r="C4529" t="s">
        <v>10</v>
      </c>
      <c r="D4529" t="s">
        <v>25</v>
      </c>
      <c r="E4529" t="s">
        <v>34</v>
      </c>
      <c r="F4529" t="s">
        <v>31</v>
      </c>
      <c r="G4529">
        <v>4</v>
      </c>
      <c r="H4529">
        <v>2.2000000000000002</v>
      </c>
      <c r="I4529" t="s">
        <v>39</v>
      </c>
      <c r="J4529" t="s">
        <v>3680</v>
      </c>
      <c r="K4529" s="12">
        <f>Store_Record[[#This Row],[Qty]]*Store_Record[[#This Row],[UnitPriceGBP]]</f>
        <v>8.8000000000000007</v>
      </c>
      <c r="L4529" s="5" t="str">
        <f>TEXT(Store_Record[[#This Row],[Date]],"dddd")</f>
        <v>Thursday</v>
      </c>
      <c r="M4529" s="5" t="str">
        <f>TEXT(Store_Record[[#This Row],[Date]],"mmmm")</f>
        <v>November</v>
      </c>
      <c r="N4529" s="5">
        <f>YEAR(Store_Record[[#This Row],[Date]])</f>
        <v>2025</v>
      </c>
      <c r="O4529"/>
    </row>
    <row r="4530" spans="1:15" x14ac:dyDescent="0.35">
      <c r="A4530" t="s">
        <v>5515</v>
      </c>
      <c r="B4530" s="2">
        <v>45988</v>
      </c>
      <c r="C4530" t="s">
        <v>36</v>
      </c>
      <c r="D4530" t="s">
        <v>29</v>
      </c>
      <c r="E4530" t="s">
        <v>42</v>
      </c>
      <c r="F4530" t="s">
        <v>13</v>
      </c>
      <c r="G4530">
        <v>2</v>
      </c>
      <c r="H4530">
        <v>3.8</v>
      </c>
      <c r="I4530" t="s">
        <v>21</v>
      </c>
      <c r="J4530" t="s">
        <v>4531</v>
      </c>
      <c r="K4530" s="12">
        <f>Store_Record[[#This Row],[Qty]]*Store_Record[[#This Row],[UnitPriceGBP]]</f>
        <v>7.6</v>
      </c>
      <c r="L4530" s="5" t="str">
        <f>TEXT(Store_Record[[#This Row],[Date]],"dddd")</f>
        <v>Thursday</v>
      </c>
      <c r="M4530" s="5" t="str">
        <f>TEXT(Store_Record[[#This Row],[Date]],"mmmm")</f>
        <v>November</v>
      </c>
      <c r="N4530" s="5">
        <f>YEAR(Store_Record[[#This Row],[Date]])</f>
        <v>2025</v>
      </c>
      <c r="O4530"/>
    </row>
    <row r="4531" spans="1:15" x14ac:dyDescent="0.35">
      <c r="A4531" t="s">
        <v>5520</v>
      </c>
      <c r="B4531" s="2">
        <v>45988</v>
      </c>
      <c r="C4531" t="s">
        <v>24</v>
      </c>
      <c r="D4531" t="s">
        <v>38</v>
      </c>
      <c r="E4531" t="s">
        <v>42</v>
      </c>
      <c r="F4531" t="s">
        <v>13</v>
      </c>
      <c r="G4531">
        <v>2</v>
      </c>
      <c r="H4531">
        <v>3.8</v>
      </c>
      <c r="I4531" t="s">
        <v>39</v>
      </c>
      <c r="J4531" t="s">
        <v>1110</v>
      </c>
      <c r="K4531" s="12">
        <f>Store_Record[[#This Row],[Qty]]*Store_Record[[#This Row],[UnitPriceGBP]]</f>
        <v>7.6</v>
      </c>
      <c r="L4531" s="5" t="str">
        <f>TEXT(Store_Record[[#This Row],[Date]],"dddd")</f>
        <v>Thursday</v>
      </c>
      <c r="M4531" s="5" t="str">
        <f>TEXT(Store_Record[[#This Row],[Date]],"mmmm")</f>
        <v>November</v>
      </c>
      <c r="N4531" s="5">
        <f>YEAR(Store_Record[[#This Row],[Date]])</f>
        <v>2025</v>
      </c>
      <c r="O4531"/>
    </row>
    <row r="4532" spans="1:15" x14ac:dyDescent="0.35">
      <c r="A4532" t="s">
        <v>5523</v>
      </c>
      <c r="B4532" s="2">
        <v>45988</v>
      </c>
      <c r="C4532" t="s">
        <v>36</v>
      </c>
      <c r="D4532" t="s">
        <v>38</v>
      </c>
      <c r="E4532" t="s">
        <v>42</v>
      </c>
      <c r="F4532" t="s">
        <v>13</v>
      </c>
      <c r="G4532">
        <v>2</v>
      </c>
      <c r="H4532">
        <v>3.8</v>
      </c>
      <c r="I4532" t="s">
        <v>21</v>
      </c>
      <c r="J4532" t="s">
        <v>358</v>
      </c>
      <c r="K4532" s="12">
        <f>Store_Record[[#This Row],[Qty]]*Store_Record[[#This Row],[UnitPriceGBP]]</f>
        <v>7.6</v>
      </c>
      <c r="L4532" s="5" t="str">
        <f>TEXT(Store_Record[[#This Row],[Date]],"dddd")</f>
        <v>Thursday</v>
      </c>
      <c r="M4532" s="5" t="str">
        <f>TEXT(Store_Record[[#This Row],[Date]],"mmmm")</f>
        <v>November</v>
      </c>
      <c r="N4532" s="5">
        <f>YEAR(Store_Record[[#This Row],[Date]])</f>
        <v>2025</v>
      </c>
      <c r="O4532"/>
    </row>
    <row r="4533" spans="1:15" x14ac:dyDescent="0.35">
      <c r="A4533" t="s">
        <v>5513</v>
      </c>
      <c r="B4533" s="2">
        <v>45988</v>
      </c>
      <c r="C4533" t="s">
        <v>10</v>
      </c>
      <c r="D4533" t="s">
        <v>29</v>
      </c>
      <c r="E4533" t="s">
        <v>12</v>
      </c>
      <c r="F4533" t="s">
        <v>13</v>
      </c>
      <c r="G4533">
        <v>2</v>
      </c>
      <c r="H4533">
        <v>2.5</v>
      </c>
      <c r="I4533" t="s">
        <v>14</v>
      </c>
      <c r="J4533" t="s">
        <v>155</v>
      </c>
      <c r="K4533" s="12">
        <f>Store_Record[[#This Row],[Qty]]*Store_Record[[#This Row],[UnitPriceGBP]]</f>
        <v>5</v>
      </c>
      <c r="L4533" s="5" t="str">
        <f>TEXT(Store_Record[[#This Row],[Date]],"dddd")</f>
        <v>Thursday</v>
      </c>
      <c r="M4533" s="5" t="str">
        <f>TEXT(Store_Record[[#This Row],[Date]],"mmmm")</f>
        <v>November</v>
      </c>
      <c r="N4533" s="5">
        <f>YEAR(Store_Record[[#This Row],[Date]])</f>
        <v>2025</v>
      </c>
      <c r="O4533"/>
    </row>
    <row r="4534" spans="1:15" x14ac:dyDescent="0.35">
      <c r="A4534" t="s">
        <v>5521</v>
      </c>
      <c r="B4534" s="2">
        <v>45988</v>
      </c>
      <c r="C4534" t="s">
        <v>36</v>
      </c>
      <c r="D4534" t="s">
        <v>11</v>
      </c>
      <c r="E4534" t="s">
        <v>26</v>
      </c>
      <c r="F4534" t="s">
        <v>13</v>
      </c>
      <c r="G4534">
        <v>1</v>
      </c>
      <c r="H4534">
        <v>3.5</v>
      </c>
      <c r="I4534" t="s">
        <v>39</v>
      </c>
      <c r="J4534" t="s">
        <v>1850</v>
      </c>
      <c r="K4534" s="12">
        <f>Store_Record[[#This Row],[Qty]]*Store_Record[[#This Row],[UnitPriceGBP]]</f>
        <v>3.5</v>
      </c>
      <c r="L4534" s="5" t="str">
        <f>TEXT(Store_Record[[#This Row],[Date]],"dddd")</f>
        <v>Thursday</v>
      </c>
      <c r="M4534" s="5" t="str">
        <f>TEXT(Store_Record[[#This Row],[Date]],"mmmm")</f>
        <v>November</v>
      </c>
      <c r="N4534" s="5">
        <f>YEAR(Store_Record[[#This Row],[Date]])</f>
        <v>2025</v>
      </c>
      <c r="O4534"/>
    </row>
    <row r="4535" spans="1:15" x14ac:dyDescent="0.35">
      <c r="A4535" t="s">
        <v>5524</v>
      </c>
      <c r="B4535" s="2">
        <v>45988</v>
      </c>
      <c r="C4535" t="s">
        <v>20</v>
      </c>
      <c r="D4535" t="s">
        <v>11</v>
      </c>
      <c r="E4535" t="s">
        <v>26</v>
      </c>
      <c r="F4535" t="s">
        <v>13</v>
      </c>
      <c r="G4535">
        <v>1</v>
      </c>
      <c r="H4535">
        <v>3.5</v>
      </c>
      <c r="I4535" t="s">
        <v>14</v>
      </c>
      <c r="J4535" t="s">
        <v>1214</v>
      </c>
      <c r="K4535" s="12">
        <f>Store_Record[[#This Row],[Qty]]*Store_Record[[#This Row],[UnitPriceGBP]]</f>
        <v>3.5</v>
      </c>
      <c r="L4535" s="5" t="str">
        <f>TEXT(Store_Record[[#This Row],[Date]],"dddd")</f>
        <v>Thursday</v>
      </c>
      <c r="M4535" s="5" t="str">
        <f>TEXT(Store_Record[[#This Row],[Date]],"mmmm")</f>
        <v>November</v>
      </c>
      <c r="N4535" s="5">
        <f>YEAR(Store_Record[[#This Row],[Date]])</f>
        <v>2025</v>
      </c>
      <c r="O4535"/>
    </row>
    <row r="4536" spans="1:15" x14ac:dyDescent="0.35">
      <c r="A4536" t="s">
        <v>5530</v>
      </c>
      <c r="B4536" s="2">
        <v>45989</v>
      </c>
      <c r="C4536" t="s">
        <v>36</v>
      </c>
      <c r="D4536" t="s">
        <v>47</v>
      </c>
      <c r="E4536" t="s">
        <v>42</v>
      </c>
      <c r="F4536" t="s">
        <v>13</v>
      </c>
      <c r="G4536">
        <v>5</v>
      </c>
      <c r="H4536">
        <v>3.8</v>
      </c>
      <c r="I4536" t="s">
        <v>39</v>
      </c>
      <c r="J4536" t="s">
        <v>1751</v>
      </c>
      <c r="K4536" s="12">
        <f>Store_Record[[#This Row],[Qty]]*Store_Record[[#This Row],[UnitPriceGBP]]</f>
        <v>19</v>
      </c>
      <c r="L4536" s="5" t="str">
        <f>TEXT(Store_Record[[#This Row],[Date]],"dddd")</f>
        <v>Friday</v>
      </c>
      <c r="M4536" s="5" t="str">
        <f>TEXT(Store_Record[[#This Row],[Date]],"mmmm")</f>
        <v>November</v>
      </c>
      <c r="N4536" s="5">
        <f>YEAR(Store_Record[[#This Row],[Date]])</f>
        <v>2025</v>
      </c>
      <c r="O4536"/>
    </row>
    <row r="4537" spans="1:15" x14ac:dyDescent="0.35">
      <c r="A4537" t="s">
        <v>5531</v>
      </c>
      <c r="B4537" s="2">
        <v>45989</v>
      </c>
      <c r="C4537" t="s">
        <v>10</v>
      </c>
      <c r="D4537" t="s">
        <v>47</v>
      </c>
      <c r="E4537" t="s">
        <v>42</v>
      </c>
      <c r="F4537" t="s">
        <v>13</v>
      </c>
      <c r="G4537">
        <v>5</v>
      </c>
      <c r="H4537">
        <v>3.8</v>
      </c>
      <c r="I4537" t="s">
        <v>14</v>
      </c>
      <c r="J4537" t="s">
        <v>2093</v>
      </c>
      <c r="K4537" s="12">
        <f>Store_Record[[#This Row],[Qty]]*Store_Record[[#This Row],[UnitPriceGBP]]</f>
        <v>19</v>
      </c>
      <c r="L4537" s="5" t="str">
        <f>TEXT(Store_Record[[#This Row],[Date]],"dddd")</f>
        <v>Friday</v>
      </c>
      <c r="M4537" s="5" t="str">
        <f>TEXT(Store_Record[[#This Row],[Date]],"mmmm")</f>
        <v>November</v>
      </c>
      <c r="N4537" s="5">
        <f>YEAR(Store_Record[[#This Row],[Date]])</f>
        <v>2025</v>
      </c>
      <c r="O4537"/>
    </row>
    <row r="4538" spans="1:15" x14ac:dyDescent="0.35">
      <c r="A4538" t="s">
        <v>5533</v>
      </c>
      <c r="B4538" s="2">
        <v>45989</v>
      </c>
      <c r="C4538" t="s">
        <v>24</v>
      </c>
      <c r="D4538" t="s">
        <v>11</v>
      </c>
      <c r="E4538" t="s">
        <v>42</v>
      </c>
      <c r="F4538" t="s">
        <v>13</v>
      </c>
      <c r="G4538">
        <v>5</v>
      </c>
      <c r="H4538">
        <v>3.8</v>
      </c>
      <c r="I4538" t="s">
        <v>14</v>
      </c>
      <c r="J4538" t="s">
        <v>1985</v>
      </c>
      <c r="K4538" s="12">
        <f>Store_Record[[#This Row],[Qty]]*Store_Record[[#This Row],[UnitPriceGBP]]</f>
        <v>19</v>
      </c>
      <c r="L4538" s="5" t="str">
        <f>TEXT(Store_Record[[#This Row],[Date]],"dddd")</f>
        <v>Friday</v>
      </c>
      <c r="M4538" s="5" t="str">
        <f>TEXT(Store_Record[[#This Row],[Date]],"mmmm")</f>
        <v>November</v>
      </c>
      <c r="N4538" s="5">
        <f>YEAR(Store_Record[[#This Row],[Date]])</f>
        <v>2025</v>
      </c>
      <c r="O4538"/>
    </row>
    <row r="4539" spans="1:15" x14ac:dyDescent="0.35">
      <c r="A4539" t="s">
        <v>5527</v>
      </c>
      <c r="B4539" s="2">
        <v>45989</v>
      </c>
      <c r="C4539" t="s">
        <v>20</v>
      </c>
      <c r="D4539" t="s">
        <v>11</v>
      </c>
      <c r="E4539" t="s">
        <v>30</v>
      </c>
      <c r="F4539" t="s">
        <v>31</v>
      </c>
      <c r="G4539">
        <v>4</v>
      </c>
      <c r="H4539">
        <v>2.8</v>
      </c>
      <c r="I4539" t="s">
        <v>39</v>
      </c>
      <c r="J4539" t="s">
        <v>1120</v>
      </c>
      <c r="K4539" s="12">
        <f>Store_Record[[#This Row],[Qty]]*Store_Record[[#This Row],[UnitPriceGBP]]</f>
        <v>11.2</v>
      </c>
      <c r="L4539" s="5" t="str">
        <f>TEXT(Store_Record[[#This Row],[Date]],"dddd")</f>
        <v>Friday</v>
      </c>
      <c r="M4539" s="5" t="str">
        <f>TEXT(Store_Record[[#This Row],[Date]],"mmmm")</f>
        <v>November</v>
      </c>
      <c r="N4539" s="5">
        <f>YEAR(Store_Record[[#This Row],[Date]])</f>
        <v>2025</v>
      </c>
      <c r="O4539"/>
    </row>
    <row r="4540" spans="1:15" x14ac:dyDescent="0.35">
      <c r="A4540" t="s">
        <v>5529</v>
      </c>
      <c r="B4540" s="2">
        <v>45989</v>
      </c>
      <c r="C4540" t="s">
        <v>20</v>
      </c>
      <c r="D4540" t="s">
        <v>47</v>
      </c>
      <c r="E4540" t="s">
        <v>12</v>
      </c>
      <c r="F4540" t="s">
        <v>13</v>
      </c>
      <c r="G4540">
        <v>4</v>
      </c>
      <c r="H4540">
        <v>2.5</v>
      </c>
      <c r="I4540" t="s">
        <v>14</v>
      </c>
      <c r="J4540" t="s">
        <v>3119</v>
      </c>
      <c r="K4540" s="12">
        <f>Store_Record[[#This Row],[Qty]]*Store_Record[[#This Row],[UnitPriceGBP]]</f>
        <v>10</v>
      </c>
      <c r="L4540" s="5" t="str">
        <f>TEXT(Store_Record[[#This Row],[Date]],"dddd")</f>
        <v>Friday</v>
      </c>
      <c r="M4540" s="5" t="str">
        <f>TEXT(Store_Record[[#This Row],[Date]],"mmmm")</f>
        <v>November</v>
      </c>
      <c r="N4540" s="5">
        <f>YEAR(Store_Record[[#This Row],[Date]])</f>
        <v>2025</v>
      </c>
      <c r="O4540"/>
    </row>
    <row r="4541" spans="1:15" x14ac:dyDescent="0.35">
      <c r="A4541" t="s">
        <v>5534</v>
      </c>
      <c r="B4541" s="2">
        <v>45989</v>
      </c>
      <c r="C4541" t="s">
        <v>10</v>
      </c>
      <c r="D4541" t="s">
        <v>29</v>
      </c>
      <c r="E4541" t="s">
        <v>12</v>
      </c>
      <c r="F4541" t="s">
        <v>13</v>
      </c>
      <c r="G4541">
        <v>3</v>
      </c>
      <c r="H4541">
        <v>2.5</v>
      </c>
      <c r="I4541" t="s">
        <v>14</v>
      </c>
      <c r="J4541" t="s">
        <v>2036</v>
      </c>
      <c r="K4541" s="12">
        <f>Store_Record[[#This Row],[Qty]]*Store_Record[[#This Row],[UnitPriceGBP]]</f>
        <v>7.5</v>
      </c>
      <c r="L4541" s="5" t="str">
        <f>TEXT(Store_Record[[#This Row],[Date]],"dddd")</f>
        <v>Friday</v>
      </c>
      <c r="M4541" s="5" t="str">
        <f>TEXT(Store_Record[[#This Row],[Date]],"mmmm")</f>
        <v>November</v>
      </c>
      <c r="N4541" s="5">
        <f>YEAR(Store_Record[[#This Row],[Date]])</f>
        <v>2025</v>
      </c>
      <c r="O4541"/>
    </row>
    <row r="4542" spans="1:15" x14ac:dyDescent="0.35">
      <c r="A4542" t="s">
        <v>5538</v>
      </c>
      <c r="B4542" s="2">
        <v>45989</v>
      </c>
      <c r="C4542" t="s">
        <v>20</v>
      </c>
      <c r="D4542" t="s">
        <v>29</v>
      </c>
      <c r="E4542" t="s">
        <v>12</v>
      </c>
      <c r="F4542" t="s">
        <v>13</v>
      </c>
      <c r="G4542">
        <v>3</v>
      </c>
      <c r="H4542">
        <v>2.5</v>
      </c>
      <c r="I4542" t="s">
        <v>39</v>
      </c>
      <c r="J4542" t="s">
        <v>877</v>
      </c>
      <c r="K4542" s="12">
        <f>Store_Record[[#This Row],[Qty]]*Store_Record[[#This Row],[UnitPriceGBP]]</f>
        <v>7.5</v>
      </c>
      <c r="L4542" s="5" t="str">
        <f>TEXT(Store_Record[[#This Row],[Date]],"dddd")</f>
        <v>Friday</v>
      </c>
      <c r="M4542" s="5" t="str">
        <f>TEXT(Store_Record[[#This Row],[Date]],"mmmm")</f>
        <v>November</v>
      </c>
      <c r="N4542" s="5">
        <f>YEAR(Store_Record[[#This Row],[Date]])</f>
        <v>2025</v>
      </c>
      <c r="O4542"/>
    </row>
    <row r="4543" spans="1:15" x14ac:dyDescent="0.35">
      <c r="A4543" t="s">
        <v>5536</v>
      </c>
      <c r="B4543" s="2">
        <v>45989</v>
      </c>
      <c r="C4543" t="s">
        <v>10</v>
      </c>
      <c r="D4543" t="s">
        <v>29</v>
      </c>
      <c r="E4543" t="s">
        <v>30</v>
      </c>
      <c r="F4543" t="s">
        <v>31</v>
      </c>
      <c r="G4543">
        <v>2</v>
      </c>
      <c r="H4543">
        <v>2.8</v>
      </c>
      <c r="I4543" t="s">
        <v>39</v>
      </c>
      <c r="J4543" t="s">
        <v>972</v>
      </c>
      <c r="K4543" s="12">
        <f>Store_Record[[#This Row],[Qty]]*Store_Record[[#This Row],[UnitPriceGBP]]</f>
        <v>5.6</v>
      </c>
      <c r="L4543" s="5" t="str">
        <f>TEXT(Store_Record[[#This Row],[Date]],"dddd")</f>
        <v>Friday</v>
      </c>
      <c r="M4543" s="5" t="str">
        <f>TEXT(Store_Record[[#This Row],[Date]],"mmmm")</f>
        <v>November</v>
      </c>
      <c r="N4543" s="5">
        <f>YEAR(Store_Record[[#This Row],[Date]])</f>
        <v>2025</v>
      </c>
      <c r="O4543"/>
    </row>
    <row r="4544" spans="1:15" x14ac:dyDescent="0.35">
      <c r="A4544" t="s">
        <v>5528</v>
      </c>
      <c r="B4544" s="2">
        <v>45989</v>
      </c>
      <c r="C4544" t="s">
        <v>24</v>
      </c>
      <c r="D4544" t="s">
        <v>47</v>
      </c>
      <c r="E4544" t="s">
        <v>12</v>
      </c>
      <c r="F4544" t="s">
        <v>13</v>
      </c>
      <c r="G4544">
        <v>2</v>
      </c>
      <c r="H4544">
        <v>2.5</v>
      </c>
      <c r="I4544" t="s">
        <v>39</v>
      </c>
      <c r="J4544" t="s">
        <v>1710</v>
      </c>
      <c r="K4544" s="12">
        <f>Store_Record[[#This Row],[Qty]]*Store_Record[[#This Row],[UnitPriceGBP]]</f>
        <v>5</v>
      </c>
      <c r="L4544" s="5" t="str">
        <f>TEXT(Store_Record[[#This Row],[Date]],"dddd")</f>
        <v>Friday</v>
      </c>
      <c r="M4544" s="5" t="str">
        <f>TEXT(Store_Record[[#This Row],[Date]],"mmmm")</f>
        <v>November</v>
      </c>
      <c r="N4544" s="5">
        <f>YEAR(Store_Record[[#This Row],[Date]])</f>
        <v>2025</v>
      </c>
      <c r="O4544"/>
    </row>
    <row r="4545" spans="1:15" x14ac:dyDescent="0.35">
      <c r="A4545" t="s">
        <v>5526</v>
      </c>
      <c r="B4545" s="2">
        <v>45989</v>
      </c>
      <c r="C4545" t="s">
        <v>10</v>
      </c>
      <c r="D4545" t="s">
        <v>25</v>
      </c>
      <c r="E4545" t="s">
        <v>42</v>
      </c>
      <c r="F4545" t="s">
        <v>13</v>
      </c>
      <c r="G4545">
        <v>1</v>
      </c>
      <c r="H4545">
        <v>3.8</v>
      </c>
      <c r="I4545" t="s">
        <v>14</v>
      </c>
      <c r="J4545" t="s">
        <v>167</v>
      </c>
      <c r="K4545" s="12">
        <f>Store_Record[[#This Row],[Qty]]*Store_Record[[#This Row],[UnitPriceGBP]]</f>
        <v>3.8</v>
      </c>
      <c r="L4545" s="5" t="str">
        <f>TEXT(Store_Record[[#This Row],[Date]],"dddd")</f>
        <v>Friday</v>
      </c>
      <c r="M4545" s="5" t="str">
        <f>TEXT(Store_Record[[#This Row],[Date]],"mmmm")</f>
        <v>November</v>
      </c>
      <c r="N4545" s="5">
        <f>YEAR(Store_Record[[#This Row],[Date]])</f>
        <v>2025</v>
      </c>
      <c r="O4545"/>
    </row>
    <row r="4546" spans="1:15" x14ac:dyDescent="0.35">
      <c r="A4546" t="s">
        <v>5532</v>
      </c>
      <c r="B4546" s="2">
        <v>45989</v>
      </c>
      <c r="C4546" t="s">
        <v>36</v>
      </c>
      <c r="D4546" t="s">
        <v>38</v>
      </c>
      <c r="E4546" t="s">
        <v>42</v>
      </c>
      <c r="F4546" t="s">
        <v>13</v>
      </c>
      <c r="G4546">
        <v>1</v>
      </c>
      <c r="H4546">
        <v>3.8</v>
      </c>
      <c r="I4546" t="s">
        <v>14</v>
      </c>
      <c r="J4546" t="s">
        <v>1036</v>
      </c>
      <c r="K4546" s="12">
        <f>Store_Record[[#This Row],[Qty]]*Store_Record[[#This Row],[UnitPriceGBP]]</f>
        <v>3.8</v>
      </c>
      <c r="L4546" s="5" t="str">
        <f>TEXT(Store_Record[[#This Row],[Date]],"dddd")</f>
        <v>Friday</v>
      </c>
      <c r="M4546" s="5" t="str">
        <f>TEXT(Store_Record[[#This Row],[Date]],"mmmm")</f>
        <v>November</v>
      </c>
      <c r="N4546" s="5">
        <f>YEAR(Store_Record[[#This Row],[Date]])</f>
        <v>2025</v>
      </c>
      <c r="O4546"/>
    </row>
    <row r="4547" spans="1:15" x14ac:dyDescent="0.35">
      <c r="A4547" t="s">
        <v>5535</v>
      </c>
      <c r="B4547" s="2">
        <v>45989</v>
      </c>
      <c r="C4547" t="s">
        <v>20</v>
      </c>
      <c r="D4547" t="s">
        <v>29</v>
      </c>
      <c r="E4547" t="s">
        <v>30</v>
      </c>
      <c r="F4547" t="s">
        <v>31</v>
      </c>
      <c r="G4547">
        <v>1</v>
      </c>
      <c r="H4547">
        <v>2.8</v>
      </c>
      <c r="I4547" t="s">
        <v>14</v>
      </c>
      <c r="J4547" t="s">
        <v>2925</v>
      </c>
      <c r="K4547" s="12">
        <f>Store_Record[[#This Row],[Qty]]*Store_Record[[#This Row],[UnitPriceGBP]]</f>
        <v>2.8</v>
      </c>
      <c r="L4547" s="5" t="str">
        <f>TEXT(Store_Record[[#This Row],[Date]],"dddd")</f>
        <v>Friday</v>
      </c>
      <c r="M4547" s="5" t="str">
        <f>TEXT(Store_Record[[#This Row],[Date]],"mmmm")</f>
        <v>November</v>
      </c>
      <c r="N4547" s="5">
        <f>YEAR(Store_Record[[#This Row],[Date]])</f>
        <v>2025</v>
      </c>
      <c r="O4547"/>
    </row>
    <row r="4548" spans="1:15" x14ac:dyDescent="0.35">
      <c r="A4548" t="s">
        <v>5537</v>
      </c>
      <c r="B4548" s="2">
        <v>45989</v>
      </c>
      <c r="C4548" t="s">
        <v>20</v>
      </c>
      <c r="D4548" t="s">
        <v>38</v>
      </c>
      <c r="E4548" t="s">
        <v>30</v>
      </c>
      <c r="F4548" t="s">
        <v>31</v>
      </c>
      <c r="G4548">
        <v>1</v>
      </c>
      <c r="H4548">
        <v>2.8</v>
      </c>
      <c r="I4548" t="s">
        <v>14</v>
      </c>
      <c r="J4548" t="s">
        <v>2681</v>
      </c>
      <c r="K4548" s="12">
        <f>Store_Record[[#This Row],[Qty]]*Store_Record[[#This Row],[UnitPriceGBP]]</f>
        <v>2.8</v>
      </c>
      <c r="L4548" s="5" t="str">
        <f>TEXT(Store_Record[[#This Row],[Date]],"dddd")</f>
        <v>Friday</v>
      </c>
      <c r="M4548" s="5" t="str">
        <f>TEXT(Store_Record[[#This Row],[Date]],"mmmm")</f>
        <v>November</v>
      </c>
      <c r="N4548" s="5">
        <f>YEAR(Store_Record[[#This Row],[Date]])</f>
        <v>2025</v>
      </c>
      <c r="O4548"/>
    </row>
    <row r="4549" spans="1:15" x14ac:dyDescent="0.35">
      <c r="A4549" t="s">
        <v>5540</v>
      </c>
      <c r="B4549" s="2">
        <v>45990</v>
      </c>
      <c r="C4549" t="s">
        <v>24</v>
      </c>
      <c r="D4549" t="s">
        <v>47</v>
      </c>
      <c r="E4549" t="s">
        <v>42</v>
      </c>
      <c r="F4549" t="s">
        <v>13</v>
      </c>
      <c r="G4549">
        <v>5</v>
      </c>
      <c r="H4549">
        <v>3.8</v>
      </c>
      <c r="I4549" t="s">
        <v>39</v>
      </c>
      <c r="J4549" t="s">
        <v>1083</v>
      </c>
      <c r="K4549" s="12">
        <f>Store_Record[[#This Row],[Qty]]*Store_Record[[#This Row],[UnitPriceGBP]]</f>
        <v>19</v>
      </c>
      <c r="L4549" s="5" t="str">
        <f>TEXT(Store_Record[[#This Row],[Date]],"dddd")</f>
        <v>Saturday</v>
      </c>
      <c r="M4549" s="5" t="str">
        <f>TEXT(Store_Record[[#This Row],[Date]],"mmmm")</f>
        <v>November</v>
      </c>
      <c r="N4549" s="5">
        <f>YEAR(Store_Record[[#This Row],[Date]])</f>
        <v>2025</v>
      </c>
      <c r="O4549"/>
    </row>
    <row r="4550" spans="1:15" x14ac:dyDescent="0.35">
      <c r="A4550" t="s">
        <v>5552</v>
      </c>
      <c r="B4550" s="2">
        <v>45990</v>
      </c>
      <c r="C4550" t="s">
        <v>20</v>
      </c>
      <c r="D4550" t="s">
        <v>38</v>
      </c>
      <c r="E4550" t="s">
        <v>26</v>
      </c>
      <c r="F4550" t="s">
        <v>13</v>
      </c>
      <c r="G4550">
        <v>5</v>
      </c>
      <c r="H4550">
        <v>3.5</v>
      </c>
      <c r="I4550" t="s">
        <v>21</v>
      </c>
      <c r="J4550" t="s">
        <v>476</v>
      </c>
      <c r="K4550" s="12">
        <f>Store_Record[[#This Row],[Qty]]*Store_Record[[#This Row],[UnitPriceGBP]]</f>
        <v>17.5</v>
      </c>
      <c r="L4550" s="5" t="str">
        <f>TEXT(Store_Record[[#This Row],[Date]],"dddd")</f>
        <v>Saturday</v>
      </c>
      <c r="M4550" s="5" t="str">
        <f>TEXT(Store_Record[[#This Row],[Date]],"mmmm")</f>
        <v>November</v>
      </c>
      <c r="N4550" s="5">
        <f>YEAR(Store_Record[[#This Row],[Date]])</f>
        <v>2025</v>
      </c>
      <c r="O4550"/>
    </row>
    <row r="4551" spans="1:15" x14ac:dyDescent="0.35">
      <c r="A4551" t="s">
        <v>5549</v>
      </c>
      <c r="B4551" s="2">
        <v>45990</v>
      </c>
      <c r="C4551" t="s">
        <v>36</v>
      </c>
      <c r="D4551" t="s">
        <v>29</v>
      </c>
      <c r="E4551" t="s">
        <v>42</v>
      </c>
      <c r="F4551" t="s">
        <v>13</v>
      </c>
      <c r="G4551">
        <v>4</v>
      </c>
      <c r="H4551">
        <v>3.8</v>
      </c>
      <c r="I4551" t="s">
        <v>14</v>
      </c>
      <c r="J4551" t="s">
        <v>510</v>
      </c>
      <c r="K4551" s="12">
        <f>Store_Record[[#This Row],[Qty]]*Store_Record[[#This Row],[UnitPriceGBP]]</f>
        <v>15.2</v>
      </c>
      <c r="L4551" s="5" t="str">
        <f>TEXT(Store_Record[[#This Row],[Date]],"dddd")</f>
        <v>Saturday</v>
      </c>
      <c r="M4551" s="5" t="str">
        <f>TEXT(Store_Record[[#This Row],[Date]],"mmmm")</f>
        <v>November</v>
      </c>
      <c r="N4551" s="5">
        <f>YEAR(Store_Record[[#This Row],[Date]])</f>
        <v>2025</v>
      </c>
      <c r="O4551"/>
    </row>
    <row r="4552" spans="1:15" x14ac:dyDescent="0.35">
      <c r="A4552" t="s">
        <v>5547</v>
      </c>
      <c r="B4552" s="2">
        <v>45990</v>
      </c>
      <c r="C4552" t="s">
        <v>24</v>
      </c>
      <c r="D4552" t="s">
        <v>11</v>
      </c>
      <c r="E4552" t="s">
        <v>26</v>
      </c>
      <c r="F4552" t="s">
        <v>13</v>
      </c>
      <c r="G4552">
        <v>4</v>
      </c>
      <c r="H4552">
        <v>3.5</v>
      </c>
      <c r="I4552" t="s">
        <v>21</v>
      </c>
      <c r="J4552" t="s">
        <v>345</v>
      </c>
      <c r="K4552" s="12">
        <f>Store_Record[[#This Row],[Qty]]*Store_Record[[#This Row],[UnitPriceGBP]]</f>
        <v>14</v>
      </c>
      <c r="L4552" s="5" t="str">
        <f>TEXT(Store_Record[[#This Row],[Date]],"dddd")</f>
        <v>Saturday</v>
      </c>
      <c r="M4552" s="5" t="str">
        <f>TEXT(Store_Record[[#This Row],[Date]],"mmmm")</f>
        <v>November</v>
      </c>
      <c r="N4552" s="5">
        <f>YEAR(Store_Record[[#This Row],[Date]])</f>
        <v>2025</v>
      </c>
      <c r="O4552"/>
    </row>
    <row r="4553" spans="1:15" x14ac:dyDescent="0.35">
      <c r="A4553" t="s">
        <v>5546</v>
      </c>
      <c r="B4553" s="2">
        <v>45990</v>
      </c>
      <c r="C4553" t="s">
        <v>24</v>
      </c>
      <c r="D4553" t="s">
        <v>38</v>
      </c>
      <c r="E4553" t="s">
        <v>12</v>
      </c>
      <c r="F4553" t="s">
        <v>13</v>
      </c>
      <c r="G4553">
        <v>5</v>
      </c>
      <c r="H4553">
        <v>2.5</v>
      </c>
      <c r="I4553" t="s">
        <v>14</v>
      </c>
      <c r="J4553" t="s">
        <v>1616</v>
      </c>
      <c r="K4553" s="12">
        <f>Store_Record[[#This Row],[Qty]]*Store_Record[[#This Row],[UnitPriceGBP]]</f>
        <v>12.5</v>
      </c>
      <c r="L4553" s="5" t="str">
        <f>TEXT(Store_Record[[#This Row],[Date]],"dddd")</f>
        <v>Saturday</v>
      </c>
      <c r="M4553" s="5" t="str">
        <f>TEXT(Store_Record[[#This Row],[Date]],"mmmm")</f>
        <v>November</v>
      </c>
      <c r="N4553" s="5">
        <f>YEAR(Store_Record[[#This Row],[Date]])</f>
        <v>2025</v>
      </c>
      <c r="O4553"/>
    </row>
    <row r="4554" spans="1:15" x14ac:dyDescent="0.35">
      <c r="A4554" t="s">
        <v>5541</v>
      </c>
      <c r="B4554" s="2">
        <v>45990</v>
      </c>
      <c r="C4554" t="s">
        <v>10</v>
      </c>
      <c r="D4554" t="s">
        <v>29</v>
      </c>
      <c r="E4554" t="s">
        <v>42</v>
      </c>
      <c r="F4554" t="s">
        <v>13</v>
      </c>
      <c r="G4554">
        <v>3</v>
      </c>
      <c r="H4554">
        <v>3.8</v>
      </c>
      <c r="I4554" t="s">
        <v>39</v>
      </c>
      <c r="J4554" t="s">
        <v>1921</v>
      </c>
      <c r="K4554" s="12">
        <f>Store_Record[[#This Row],[Qty]]*Store_Record[[#This Row],[UnitPriceGBP]]</f>
        <v>11.399999999999999</v>
      </c>
      <c r="L4554" s="5" t="str">
        <f>TEXT(Store_Record[[#This Row],[Date]],"dddd")</f>
        <v>Saturday</v>
      </c>
      <c r="M4554" s="5" t="str">
        <f>TEXT(Store_Record[[#This Row],[Date]],"mmmm")</f>
        <v>November</v>
      </c>
      <c r="N4554" s="5">
        <f>YEAR(Store_Record[[#This Row],[Date]])</f>
        <v>2025</v>
      </c>
      <c r="O4554"/>
    </row>
    <row r="4555" spans="1:15" x14ac:dyDescent="0.35">
      <c r="A4555" t="s">
        <v>5550</v>
      </c>
      <c r="B4555" s="2">
        <v>45990</v>
      </c>
      <c r="C4555" t="s">
        <v>24</v>
      </c>
      <c r="D4555" t="s">
        <v>25</v>
      </c>
      <c r="E4555" t="s">
        <v>34</v>
      </c>
      <c r="F4555" t="s">
        <v>31</v>
      </c>
      <c r="G4555">
        <v>5</v>
      </c>
      <c r="H4555">
        <v>2.2000000000000002</v>
      </c>
      <c r="I4555" t="s">
        <v>21</v>
      </c>
      <c r="J4555" t="s">
        <v>1395</v>
      </c>
      <c r="K4555" s="12">
        <f>Store_Record[[#This Row],[Qty]]*Store_Record[[#This Row],[UnitPriceGBP]]</f>
        <v>11</v>
      </c>
      <c r="L4555" s="5" t="str">
        <f>TEXT(Store_Record[[#This Row],[Date]],"dddd")</f>
        <v>Saturday</v>
      </c>
      <c r="M4555" s="5" t="str">
        <f>TEXT(Store_Record[[#This Row],[Date]],"mmmm")</f>
        <v>November</v>
      </c>
      <c r="N4555" s="5">
        <f>YEAR(Store_Record[[#This Row],[Date]])</f>
        <v>2025</v>
      </c>
      <c r="O4555"/>
    </row>
    <row r="4556" spans="1:15" x14ac:dyDescent="0.35">
      <c r="A4556" t="s">
        <v>5539</v>
      </c>
      <c r="B4556" s="2">
        <v>45990</v>
      </c>
      <c r="C4556" t="s">
        <v>24</v>
      </c>
      <c r="D4556" t="s">
        <v>47</v>
      </c>
      <c r="E4556" t="s">
        <v>34</v>
      </c>
      <c r="F4556" t="s">
        <v>31</v>
      </c>
      <c r="G4556">
        <v>4</v>
      </c>
      <c r="H4556">
        <v>2.2000000000000002</v>
      </c>
      <c r="I4556" t="s">
        <v>21</v>
      </c>
      <c r="J4556" t="s">
        <v>3531</v>
      </c>
      <c r="K4556" s="12">
        <f>Store_Record[[#This Row],[Qty]]*Store_Record[[#This Row],[UnitPriceGBP]]</f>
        <v>8.8000000000000007</v>
      </c>
      <c r="L4556" s="5" t="str">
        <f>TEXT(Store_Record[[#This Row],[Date]],"dddd")</f>
        <v>Saturday</v>
      </c>
      <c r="M4556" s="5" t="str">
        <f>TEXT(Store_Record[[#This Row],[Date]],"mmmm")</f>
        <v>November</v>
      </c>
      <c r="N4556" s="5">
        <f>YEAR(Store_Record[[#This Row],[Date]])</f>
        <v>2025</v>
      </c>
      <c r="O4556"/>
    </row>
    <row r="4557" spans="1:15" x14ac:dyDescent="0.35">
      <c r="A4557" t="s">
        <v>6013</v>
      </c>
      <c r="B4557" s="2">
        <v>45990</v>
      </c>
      <c r="C4557" t="s">
        <v>10</v>
      </c>
      <c r="D4557" t="s">
        <v>11</v>
      </c>
      <c r="E4557" t="s">
        <v>34</v>
      </c>
      <c r="F4557" t="s">
        <v>31</v>
      </c>
      <c r="G4557">
        <v>2</v>
      </c>
      <c r="H4557">
        <v>2.2000000000000002</v>
      </c>
      <c r="I4557" t="s">
        <v>14</v>
      </c>
      <c r="J4557" t="s">
        <v>171</v>
      </c>
      <c r="K4557" s="12">
        <f>Store_Record[[#This Row],[Qty]]*Store_Record[[#This Row],[UnitPriceGBP]]</f>
        <v>4.4000000000000004</v>
      </c>
      <c r="L4557" s="5" t="str">
        <f>TEXT(Store_Record[[#This Row],[Date]],"dddd")</f>
        <v>Saturday</v>
      </c>
      <c r="M4557" s="5" t="str">
        <f>TEXT(Store_Record[[#This Row],[Date]],"mmmm")</f>
        <v>November</v>
      </c>
      <c r="N4557" s="5">
        <f>YEAR(Store_Record[[#This Row],[Date]])</f>
        <v>2025</v>
      </c>
      <c r="O4557"/>
    </row>
    <row r="4558" spans="1:15" x14ac:dyDescent="0.35">
      <c r="A4558" t="s">
        <v>5545</v>
      </c>
      <c r="B4558" s="2">
        <v>45990</v>
      </c>
      <c r="C4558" t="s">
        <v>24</v>
      </c>
      <c r="D4558" t="s">
        <v>25</v>
      </c>
      <c r="E4558" t="s">
        <v>26</v>
      </c>
      <c r="F4558" t="s">
        <v>13</v>
      </c>
      <c r="G4558">
        <v>1</v>
      </c>
      <c r="H4558">
        <v>3.5</v>
      </c>
      <c r="I4558" t="s">
        <v>21</v>
      </c>
      <c r="J4558" t="s">
        <v>2480</v>
      </c>
      <c r="K4558" s="12">
        <f>Store_Record[[#This Row],[Qty]]*Store_Record[[#This Row],[UnitPriceGBP]]</f>
        <v>3.5</v>
      </c>
      <c r="L4558" s="5" t="str">
        <f>TEXT(Store_Record[[#This Row],[Date]],"dddd")</f>
        <v>Saturday</v>
      </c>
      <c r="M4558" s="5" t="str">
        <f>TEXT(Store_Record[[#This Row],[Date]],"mmmm")</f>
        <v>November</v>
      </c>
      <c r="N4558" s="5">
        <f>YEAR(Store_Record[[#This Row],[Date]])</f>
        <v>2025</v>
      </c>
      <c r="O4558"/>
    </row>
    <row r="4559" spans="1:15" x14ac:dyDescent="0.35">
      <c r="A4559" t="s">
        <v>5548</v>
      </c>
      <c r="B4559" s="2">
        <v>45990</v>
      </c>
      <c r="C4559" t="s">
        <v>36</v>
      </c>
      <c r="D4559" t="s">
        <v>29</v>
      </c>
      <c r="E4559" t="s">
        <v>26</v>
      </c>
      <c r="F4559" t="s">
        <v>13</v>
      </c>
      <c r="G4559">
        <v>1</v>
      </c>
      <c r="H4559">
        <v>3.5</v>
      </c>
      <c r="I4559" t="s">
        <v>14</v>
      </c>
      <c r="J4559" t="s">
        <v>836</v>
      </c>
      <c r="K4559" s="12">
        <f>Store_Record[[#This Row],[Qty]]*Store_Record[[#This Row],[UnitPriceGBP]]</f>
        <v>3.5</v>
      </c>
      <c r="L4559" s="5" t="str">
        <f>TEXT(Store_Record[[#This Row],[Date]],"dddd")</f>
        <v>Saturday</v>
      </c>
      <c r="M4559" s="5" t="str">
        <f>TEXT(Store_Record[[#This Row],[Date]],"mmmm")</f>
        <v>November</v>
      </c>
      <c r="N4559" s="5">
        <f>YEAR(Store_Record[[#This Row],[Date]])</f>
        <v>2025</v>
      </c>
      <c r="O4559"/>
    </row>
    <row r="4560" spans="1:15" x14ac:dyDescent="0.35">
      <c r="A4560" t="s">
        <v>5542</v>
      </c>
      <c r="B4560" s="2">
        <v>45990</v>
      </c>
      <c r="C4560" t="s">
        <v>20</v>
      </c>
      <c r="D4560" t="s">
        <v>25</v>
      </c>
      <c r="E4560" t="s">
        <v>30</v>
      </c>
      <c r="F4560" t="s">
        <v>31</v>
      </c>
      <c r="G4560">
        <v>1</v>
      </c>
      <c r="H4560">
        <v>2.8</v>
      </c>
      <c r="I4560" t="s">
        <v>21</v>
      </c>
      <c r="J4560" t="s">
        <v>1183</v>
      </c>
      <c r="K4560" s="12">
        <f>Store_Record[[#This Row],[Qty]]*Store_Record[[#This Row],[UnitPriceGBP]]</f>
        <v>2.8</v>
      </c>
      <c r="L4560" s="5" t="str">
        <f>TEXT(Store_Record[[#This Row],[Date]],"dddd")</f>
        <v>Saturday</v>
      </c>
      <c r="M4560" s="5" t="str">
        <f>TEXT(Store_Record[[#This Row],[Date]],"mmmm")</f>
        <v>November</v>
      </c>
      <c r="N4560" s="5">
        <f>YEAR(Store_Record[[#This Row],[Date]])</f>
        <v>2025</v>
      </c>
      <c r="O4560"/>
    </row>
    <row r="4561" spans="1:15" x14ac:dyDescent="0.35">
      <c r="A4561" t="s">
        <v>5551</v>
      </c>
      <c r="B4561" s="2">
        <v>45990</v>
      </c>
      <c r="C4561" t="s">
        <v>10</v>
      </c>
      <c r="D4561" t="s">
        <v>47</v>
      </c>
      <c r="E4561" t="s">
        <v>30</v>
      </c>
      <c r="F4561" t="s">
        <v>31</v>
      </c>
      <c r="G4561">
        <v>1</v>
      </c>
      <c r="H4561">
        <v>2.8</v>
      </c>
      <c r="I4561" t="s">
        <v>21</v>
      </c>
      <c r="J4561" t="s">
        <v>634</v>
      </c>
      <c r="K4561" s="12">
        <f>Store_Record[[#This Row],[Qty]]*Store_Record[[#This Row],[UnitPriceGBP]]</f>
        <v>2.8</v>
      </c>
      <c r="L4561" s="5" t="str">
        <f>TEXT(Store_Record[[#This Row],[Date]],"dddd")</f>
        <v>Saturday</v>
      </c>
      <c r="M4561" s="5" t="str">
        <f>TEXT(Store_Record[[#This Row],[Date]],"mmmm")</f>
        <v>November</v>
      </c>
      <c r="N4561" s="5">
        <f>YEAR(Store_Record[[#This Row],[Date]])</f>
        <v>2025</v>
      </c>
      <c r="O4561"/>
    </row>
    <row r="4562" spans="1:15" x14ac:dyDescent="0.35">
      <c r="A4562" t="s">
        <v>5544</v>
      </c>
      <c r="B4562" s="2">
        <v>45990</v>
      </c>
      <c r="C4562" t="s">
        <v>10</v>
      </c>
      <c r="D4562" t="s">
        <v>29</v>
      </c>
      <c r="E4562" t="s">
        <v>12</v>
      </c>
      <c r="F4562" t="s">
        <v>13</v>
      </c>
      <c r="G4562">
        <v>1</v>
      </c>
      <c r="H4562">
        <v>2.5</v>
      </c>
      <c r="I4562" t="s">
        <v>21</v>
      </c>
      <c r="J4562" t="s">
        <v>2818</v>
      </c>
      <c r="K4562" s="12">
        <f>Store_Record[[#This Row],[Qty]]*Store_Record[[#This Row],[UnitPriceGBP]]</f>
        <v>2.5</v>
      </c>
      <c r="L4562" s="5" t="str">
        <f>TEXT(Store_Record[[#This Row],[Date]],"dddd")</f>
        <v>Saturday</v>
      </c>
      <c r="M4562" s="5" t="str">
        <f>TEXT(Store_Record[[#This Row],[Date]],"mmmm")</f>
        <v>November</v>
      </c>
      <c r="N4562" s="5">
        <f>YEAR(Store_Record[[#This Row],[Date]])</f>
        <v>2025</v>
      </c>
      <c r="O4562"/>
    </row>
    <row r="4563" spans="1:15" x14ac:dyDescent="0.35">
      <c r="A4563" t="s">
        <v>5543</v>
      </c>
      <c r="B4563" s="2">
        <v>45990</v>
      </c>
      <c r="C4563" t="s">
        <v>10</v>
      </c>
      <c r="D4563" t="s">
        <v>11</v>
      </c>
      <c r="E4563" t="s">
        <v>34</v>
      </c>
      <c r="F4563" t="s">
        <v>31</v>
      </c>
      <c r="G4563">
        <v>1</v>
      </c>
      <c r="H4563">
        <v>2.2000000000000002</v>
      </c>
      <c r="I4563" t="s">
        <v>21</v>
      </c>
      <c r="J4563" t="s">
        <v>281</v>
      </c>
      <c r="K4563" s="12">
        <f>Store_Record[[#This Row],[Qty]]*Store_Record[[#This Row],[UnitPriceGBP]]</f>
        <v>2.2000000000000002</v>
      </c>
      <c r="L4563" s="5" t="str">
        <f>TEXT(Store_Record[[#This Row],[Date]],"dddd")</f>
        <v>Saturday</v>
      </c>
      <c r="M4563" s="5" t="str">
        <f>TEXT(Store_Record[[#This Row],[Date]],"mmmm")</f>
        <v>November</v>
      </c>
      <c r="N4563" s="5">
        <f>YEAR(Store_Record[[#This Row],[Date]])</f>
        <v>2025</v>
      </c>
      <c r="O4563"/>
    </row>
    <row r="4564" spans="1:15" x14ac:dyDescent="0.35">
      <c r="A4564" t="s">
        <v>5558</v>
      </c>
      <c r="B4564" s="2">
        <v>45991</v>
      </c>
      <c r="C4564" t="s">
        <v>10</v>
      </c>
      <c r="D4564" t="s">
        <v>29</v>
      </c>
      <c r="E4564" t="s">
        <v>26</v>
      </c>
      <c r="F4564" t="s">
        <v>13</v>
      </c>
      <c r="G4564">
        <v>5</v>
      </c>
      <c r="H4564">
        <v>3.5</v>
      </c>
      <c r="I4564" t="s">
        <v>39</v>
      </c>
      <c r="J4564" t="s">
        <v>1210</v>
      </c>
      <c r="K4564" s="12">
        <f>Store_Record[[#This Row],[Qty]]*Store_Record[[#This Row],[UnitPriceGBP]]</f>
        <v>17.5</v>
      </c>
      <c r="L4564" s="5" t="str">
        <f>TEXT(Store_Record[[#This Row],[Date]],"dddd")</f>
        <v>Sunday</v>
      </c>
      <c r="M4564" s="5" t="str">
        <f>TEXT(Store_Record[[#This Row],[Date]],"mmmm")</f>
        <v>November</v>
      </c>
      <c r="N4564" s="5">
        <f>YEAR(Store_Record[[#This Row],[Date]])</f>
        <v>2025</v>
      </c>
      <c r="O4564"/>
    </row>
    <row r="4565" spans="1:15" x14ac:dyDescent="0.35">
      <c r="A4565" t="s">
        <v>5574</v>
      </c>
      <c r="B4565" s="2">
        <v>45991</v>
      </c>
      <c r="C4565" t="s">
        <v>10</v>
      </c>
      <c r="D4565" t="s">
        <v>11</v>
      </c>
      <c r="E4565" t="s">
        <v>26</v>
      </c>
      <c r="F4565" t="s">
        <v>13</v>
      </c>
      <c r="G4565">
        <v>5</v>
      </c>
      <c r="H4565">
        <v>3.5</v>
      </c>
      <c r="I4565" t="s">
        <v>14</v>
      </c>
      <c r="J4565" t="s">
        <v>4874</v>
      </c>
      <c r="K4565" s="12">
        <f>Store_Record[[#This Row],[Qty]]*Store_Record[[#This Row],[UnitPriceGBP]]</f>
        <v>17.5</v>
      </c>
      <c r="L4565" s="5" t="str">
        <f>TEXT(Store_Record[[#This Row],[Date]],"dddd")</f>
        <v>Sunday</v>
      </c>
      <c r="M4565" s="5" t="str">
        <f>TEXT(Store_Record[[#This Row],[Date]],"mmmm")</f>
        <v>November</v>
      </c>
      <c r="N4565" s="5">
        <f>YEAR(Store_Record[[#This Row],[Date]])</f>
        <v>2025</v>
      </c>
      <c r="O4565"/>
    </row>
    <row r="4566" spans="1:15" x14ac:dyDescent="0.35">
      <c r="A4566" t="s">
        <v>5560</v>
      </c>
      <c r="B4566" s="2">
        <v>45991</v>
      </c>
      <c r="C4566" t="s">
        <v>24</v>
      </c>
      <c r="D4566" t="s">
        <v>11</v>
      </c>
      <c r="E4566" t="s">
        <v>30</v>
      </c>
      <c r="F4566" t="s">
        <v>31</v>
      </c>
      <c r="G4566">
        <v>5</v>
      </c>
      <c r="H4566">
        <v>2.8</v>
      </c>
      <c r="I4566" t="s">
        <v>14</v>
      </c>
      <c r="J4566" t="s">
        <v>1395</v>
      </c>
      <c r="K4566" s="12">
        <f>Store_Record[[#This Row],[Qty]]*Store_Record[[#This Row],[UnitPriceGBP]]</f>
        <v>14</v>
      </c>
      <c r="L4566" s="5" t="str">
        <f>TEXT(Store_Record[[#This Row],[Date]],"dddd")</f>
        <v>Sunday</v>
      </c>
      <c r="M4566" s="5" t="str">
        <f>TEXT(Store_Record[[#This Row],[Date]],"mmmm")</f>
        <v>November</v>
      </c>
      <c r="N4566" s="5">
        <f>YEAR(Store_Record[[#This Row],[Date]])</f>
        <v>2025</v>
      </c>
      <c r="O4566"/>
    </row>
    <row r="4567" spans="1:15" x14ac:dyDescent="0.35">
      <c r="A4567" t="s">
        <v>5569</v>
      </c>
      <c r="B4567" s="2">
        <v>45991</v>
      </c>
      <c r="C4567" t="s">
        <v>24</v>
      </c>
      <c r="D4567" t="s">
        <v>29</v>
      </c>
      <c r="E4567" t="s">
        <v>26</v>
      </c>
      <c r="F4567" t="s">
        <v>13</v>
      </c>
      <c r="G4567">
        <v>4</v>
      </c>
      <c r="H4567">
        <v>3.5</v>
      </c>
      <c r="I4567" t="s">
        <v>14</v>
      </c>
      <c r="J4567" t="s">
        <v>380</v>
      </c>
      <c r="K4567" s="12">
        <f>Store_Record[[#This Row],[Qty]]*Store_Record[[#This Row],[UnitPriceGBP]]</f>
        <v>14</v>
      </c>
      <c r="L4567" s="5" t="str">
        <f>TEXT(Store_Record[[#This Row],[Date]],"dddd")</f>
        <v>Sunday</v>
      </c>
      <c r="M4567" s="5" t="str">
        <f>TEXT(Store_Record[[#This Row],[Date]],"mmmm")</f>
        <v>November</v>
      </c>
      <c r="N4567" s="5">
        <f>YEAR(Store_Record[[#This Row],[Date]])</f>
        <v>2025</v>
      </c>
      <c r="O4567"/>
    </row>
    <row r="4568" spans="1:15" x14ac:dyDescent="0.35">
      <c r="A4568" t="s">
        <v>5563</v>
      </c>
      <c r="B4568" s="2">
        <v>45991</v>
      </c>
      <c r="C4568" t="s">
        <v>24</v>
      </c>
      <c r="D4568" t="s">
        <v>11</v>
      </c>
      <c r="E4568" t="s">
        <v>42</v>
      </c>
      <c r="F4568" t="s">
        <v>13</v>
      </c>
      <c r="G4568">
        <v>3</v>
      </c>
      <c r="H4568">
        <v>3.8</v>
      </c>
      <c r="I4568" t="s">
        <v>14</v>
      </c>
      <c r="J4568" t="s">
        <v>1273</v>
      </c>
      <c r="K4568" s="12">
        <f>Store_Record[[#This Row],[Qty]]*Store_Record[[#This Row],[UnitPriceGBP]]</f>
        <v>11.399999999999999</v>
      </c>
      <c r="L4568" s="5" t="str">
        <f>TEXT(Store_Record[[#This Row],[Date]],"dddd")</f>
        <v>Sunday</v>
      </c>
      <c r="M4568" s="5" t="str">
        <f>TEXT(Store_Record[[#This Row],[Date]],"mmmm")</f>
        <v>November</v>
      </c>
      <c r="N4568" s="5">
        <f>YEAR(Store_Record[[#This Row],[Date]])</f>
        <v>2025</v>
      </c>
      <c r="O4568"/>
    </row>
    <row r="4569" spans="1:15" x14ac:dyDescent="0.35">
      <c r="A4569" t="s">
        <v>5554</v>
      </c>
      <c r="B4569" s="2">
        <v>45991</v>
      </c>
      <c r="C4569" t="s">
        <v>20</v>
      </c>
      <c r="D4569" t="s">
        <v>11</v>
      </c>
      <c r="E4569" t="s">
        <v>30</v>
      </c>
      <c r="F4569" t="s">
        <v>31</v>
      </c>
      <c r="G4569">
        <v>4</v>
      </c>
      <c r="H4569">
        <v>2.8</v>
      </c>
      <c r="I4569" t="s">
        <v>39</v>
      </c>
      <c r="J4569" t="s">
        <v>757</v>
      </c>
      <c r="K4569" s="12">
        <f>Store_Record[[#This Row],[Qty]]*Store_Record[[#This Row],[UnitPriceGBP]]</f>
        <v>11.2</v>
      </c>
      <c r="L4569" s="5" t="str">
        <f>TEXT(Store_Record[[#This Row],[Date]],"dddd")</f>
        <v>Sunday</v>
      </c>
      <c r="M4569" s="5" t="str">
        <f>TEXT(Store_Record[[#This Row],[Date]],"mmmm")</f>
        <v>November</v>
      </c>
      <c r="N4569" s="5">
        <f>YEAR(Store_Record[[#This Row],[Date]])</f>
        <v>2025</v>
      </c>
      <c r="O4569"/>
    </row>
    <row r="4570" spans="1:15" x14ac:dyDescent="0.35">
      <c r="A4570" t="s">
        <v>5567</v>
      </c>
      <c r="B4570" s="2">
        <v>45991</v>
      </c>
      <c r="C4570" t="s">
        <v>20</v>
      </c>
      <c r="D4570" t="s">
        <v>47</v>
      </c>
      <c r="E4570" t="s">
        <v>30</v>
      </c>
      <c r="F4570" t="s">
        <v>31</v>
      </c>
      <c r="G4570">
        <v>4</v>
      </c>
      <c r="H4570">
        <v>2.8</v>
      </c>
      <c r="I4570" t="s">
        <v>14</v>
      </c>
      <c r="J4570" t="s">
        <v>734</v>
      </c>
      <c r="K4570" s="12">
        <f>Store_Record[[#This Row],[Qty]]*Store_Record[[#This Row],[UnitPriceGBP]]</f>
        <v>11.2</v>
      </c>
      <c r="L4570" s="5" t="str">
        <f>TEXT(Store_Record[[#This Row],[Date]],"dddd")</f>
        <v>Sunday</v>
      </c>
      <c r="M4570" s="5" t="str">
        <f>TEXT(Store_Record[[#This Row],[Date]],"mmmm")</f>
        <v>November</v>
      </c>
      <c r="N4570" s="5">
        <f>YEAR(Store_Record[[#This Row],[Date]])</f>
        <v>2025</v>
      </c>
      <c r="O4570"/>
    </row>
    <row r="4571" spans="1:15" x14ac:dyDescent="0.35">
      <c r="A4571" t="s">
        <v>5573</v>
      </c>
      <c r="B4571" s="2">
        <v>45991</v>
      </c>
      <c r="C4571" t="s">
        <v>20</v>
      </c>
      <c r="D4571" t="s">
        <v>47</v>
      </c>
      <c r="E4571" t="s">
        <v>34</v>
      </c>
      <c r="F4571" t="s">
        <v>31</v>
      </c>
      <c r="G4571">
        <v>5</v>
      </c>
      <c r="H4571">
        <v>2.2000000000000002</v>
      </c>
      <c r="I4571" t="s">
        <v>14</v>
      </c>
      <c r="J4571" t="s">
        <v>2293</v>
      </c>
      <c r="K4571" s="12">
        <f>Store_Record[[#This Row],[Qty]]*Store_Record[[#This Row],[UnitPriceGBP]]</f>
        <v>11</v>
      </c>
      <c r="L4571" s="5" t="str">
        <f>TEXT(Store_Record[[#This Row],[Date]],"dddd")</f>
        <v>Sunday</v>
      </c>
      <c r="M4571" s="5" t="str">
        <f>TEXT(Store_Record[[#This Row],[Date]],"mmmm")</f>
        <v>November</v>
      </c>
      <c r="N4571" s="5">
        <f>YEAR(Store_Record[[#This Row],[Date]])</f>
        <v>2025</v>
      </c>
      <c r="O4571"/>
    </row>
    <row r="4572" spans="1:15" x14ac:dyDescent="0.35">
      <c r="A4572" t="s">
        <v>5571</v>
      </c>
      <c r="B4572" s="2">
        <v>45991</v>
      </c>
      <c r="C4572" t="s">
        <v>36</v>
      </c>
      <c r="D4572" t="s">
        <v>29</v>
      </c>
      <c r="E4572" t="s">
        <v>26</v>
      </c>
      <c r="F4572" t="s">
        <v>13</v>
      </c>
      <c r="G4572">
        <v>3</v>
      </c>
      <c r="H4572">
        <v>3.5</v>
      </c>
      <c r="I4572" t="s">
        <v>39</v>
      </c>
      <c r="J4572" t="s">
        <v>89</v>
      </c>
      <c r="K4572" s="12">
        <f>Store_Record[[#This Row],[Qty]]*Store_Record[[#This Row],[UnitPriceGBP]]</f>
        <v>10.5</v>
      </c>
      <c r="L4572" s="5" t="str">
        <f>TEXT(Store_Record[[#This Row],[Date]],"dddd")</f>
        <v>Sunday</v>
      </c>
      <c r="M4572" s="5" t="str">
        <f>TEXT(Store_Record[[#This Row],[Date]],"mmmm")</f>
        <v>November</v>
      </c>
      <c r="N4572" s="5">
        <f>YEAR(Store_Record[[#This Row],[Date]])</f>
        <v>2025</v>
      </c>
      <c r="O4572"/>
    </row>
    <row r="4573" spans="1:15" x14ac:dyDescent="0.35">
      <c r="A4573" t="s">
        <v>5562</v>
      </c>
      <c r="B4573" s="2">
        <v>45991</v>
      </c>
      <c r="C4573" t="s">
        <v>20</v>
      </c>
      <c r="D4573" t="s">
        <v>152</v>
      </c>
      <c r="E4573" t="s">
        <v>30</v>
      </c>
      <c r="F4573" t="s">
        <v>31</v>
      </c>
      <c r="G4573">
        <v>3</v>
      </c>
      <c r="H4573">
        <v>2.8</v>
      </c>
      <c r="I4573" t="s">
        <v>14</v>
      </c>
      <c r="J4573" t="s">
        <v>113</v>
      </c>
      <c r="K4573" s="12">
        <f>Store_Record[[#This Row],[Qty]]*Store_Record[[#This Row],[UnitPriceGBP]]</f>
        <v>8.3999999999999986</v>
      </c>
      <c r="L4573" s="5" t="str">
        <f>TEXT(Store_Record[[#This Row],[Date]],"dddd")</f>
        <v>Sunday</v>
      </c>
      <c r="M4573" s="5" t="str">
        <f>TEXT(Store_Record[[#This Row],[Date]],"mmmm")</f>
        <v>November</v>
      </c>
      <c r="N4573" s="5">
        <f>YEAR(Store_Record[[#This Row],[Date]])</f>
        <v>2025</v>
      </c>
      <c r="O4573"/>
    </row>
    <row r="4574" spans="1:15" x14ac:dyDescent="0.35">
      <c r="A4574" t="s">
        <v>5565</v>
      </c>
      <c r="B4574" s="2">
        <v>45991</v>
      </c>
      <c r="C4574" t="s">
        <v>36</v>
      </c>
      <c r="D4574" t="s">
        <v>29</v>
      </c>
      <c r="E4574" t="s">
        <v>12</v>
      </c>
      <c r="F4574" t="s">
        <v>13</v>
      </c>
      <c r="G4574">
        <v>3</v>
      </c>
      <c r="H4574">
        <v>2.5</v>
      </c>
      <c r="I4574" t="s">
        <v>14</v>
      </c>
      <c r="J4574" t="s">
        <v>4455</v>
      </c>
      <c r="K4574" s="12">
        <f>Store_Record[[#This Row],[Qty]]*Store_Record[[#This Row],[UnitPriceGBP]]</f>
        <v>7.5</v>
      </c>
      <c r="L4574" s="5" t="str">
        <f>TEXT(Store_Record[[#This Row],[Date]],"dddd")</f>
        <v>Sunday</v>
      </c>
      <c r="M4574" s="5" t="str">
        <f>TEXT(Store_Record[[#This Row],[Date]],"mmmm")</f>
        <v>November</v>
      </c>
      <c r="N4574" s="5">
        <f>YEAR(Store_Record[[#This Row],[Date]])</f>
        <v>2025</v>
      </c>
      <c r="O4574"/>
    </row>
    <row r="4575" spans="1:15" x14ac:dyDescent="0.35">
      <c r="A4575" t="s">
        <v>5568</v>
      </c>
      <c r="B4575" s="2">
        <v>45991</v>
      </c>
      <c r="C4575" t="s">
        <v>36</v>
      </c>
      <c r="D4575" t="s">
        <v>38</v>
      </c>
      <c r="E4575" t="s">
        <v>26</v>
      </c>
      <c r="F4575" t="s">
        <v>13</v>
      </c>
      <c r="G4575">
        <v>2</v>
      </c>
      <c r="H4575">
        <v>3.5</v>
      </c>
      <c r="I4575" t="s">
        <v>21</v>
      </c>
      <c r="J4575" t="s">
        <v>1578</v>
      </c>
      <c r="K4575" s="12">
        <f>Store_Record[[#This Row],[Qty]]*Store_Record[[#This Row],[UnitPriceGBP]]</f>
        <v>7</v>
      </c>
      <c r="L4575" s="5" t="str">
        <f>TEXT(Store_Record[[#This Row],[Date]],"dddd")</f>
        <v>Sunday</v>
      </c>
      <c r="M4575" s="5" t="str">
        <f>TEXT(Store_Record[[#This Row],[Date]],"mmmm")</f>
        <v>November</v>
      </c>
      <c r="N4575" s="5">
        <f>YEAR(Store_Record[[#This Row],[Date]])</f>
        <v>2025</v>
      </c>
      <c r="O4575"/>
    </row>
    <row r="4576" spans="1:15" x14ac:dyDescent="0.35">
      <c r="A4576" t="s">
        <v>5570</v>
      </c>
      <c r="B4576" s="2">
        <v>45991</v>
      </c>
      <c r="C4576" t="s">
        <v>10</v>
      </c>
      <c r="D4576" t="s">
        <v>25</v>
      </c>
      <c r="E4576" t="s">
        <v>26</v>
      </c>
      <c r="F4576" t="s">
        <v>13</v>
      </c>
      <c r="G4576">
        <v>2</v>
      </c>
      <c r="H4576">
        <v>3.5</v>
      </c>
      <c r="I4576" t="s">
        <v>21</v>
      </c>
      <c r="J4576" t="s">
        <v>462</v>
      </c>
      <c r="K4576" s="12">
        <f>Store_Record[[#This Row],[Qty]]*Store_Record[[#This Row],[UnitPriceGBP]]</f>
        <v>7</v>
      </c>
      <c r="L4576" s="5" t="str">
        <f>TEXT(Store_Record[[#This Row],[Date]],"dddd")</f>
        <v>Sunday</v>
      </c>
      <c r="M4576" s="5" t="str">
        <f>TEXT(Store_Record[[#This Row],[Date]],"mmmm")</f>
        <v>November</v>
      </c>
      <c r="N4576" s="5">
        <f>YEAR(Store_Record[[#This Row],[Date]])</f>
        <v>2025</v>
      </c>
      <c r="O4576"/>
    </row>
    <row r="4577" spans="1:15" x14ac:dyDescent="0.35">
      <c r="A4577" t="s">
        <v>5556</v>
      </c>
      <c r="B4577" s="2">
        <v>45991</v>
      </c>
      <c r="C4577" t="s">
        <v>36</v>
      </c>
      <c r="D4577" t="s">
        <v>11</v>
      </c>
      <c r="E4577" t="s">
        <v>30</v>
      </c>
      <c r="F4577" t="s">
        <v>31</v>
      </c>
      <c r="G4577">
        <v>2</v>
      </c>
      <c r="H4577">
        <v>2.8</v>
      </c>
      <c r="I4577" t="s">
        <v>14</v>
      </c>
      <c r="J4577" t="s">
        <v>1329</v>
      </c>
      <c r="K4577" s="12">
        <f>Store_Record[[#This Row],[Qty]]*Store_Record[[#This Row],[UnitPriceGBP]]</f>
        <v>5.6</v>
      </c>
      <c r="L4577" s="5" t="str">
        <f>TEXT(Store_Record[[#This Row],[Date]],"dddd")</f>
        <v>Sunday</v>
      </c>
      <c r="M4577" s="5" t="str">
        <f>TEXT(Store_Record[[#This Row],[Date]],"mmmm")</f>
        <v>November</v>
      </c>
      <c r="N4577" s="5">
        <f>YEAR(Store_Record[[#This Row],[Date]])</f>
        <v>2025</v>
      </c>
      <c r="O4577"/>
    </row>
    <row r="4578" spans="1:15" x14ac:dyDescent="0.35">
      <c r="A4578" t="s">
        <v>5572</v>
      </c>
      <c r="B4578" s="2">
        <v>45991</v>
      </c>
      <c r="C4578" t="s">
        <v>20</v>
      </c>
      <c r="D4578" t="s">
        <v>11</v>
      </c>
      <c r="E4578" t="s">
        <v>12</v>
      </c>
      <c r="F4578" t="s">
        <v>13</v>
      </c>
      <c r="G4578">
        <v>2</v>
      </c>
      <c r="H4578">
        <v>2.5</v>
      </c>
      <c r="I4578" t="s">
        <v>39</v>
      </c>
      <c r="J4578" t="s">
        <v>1302</v>
      </c>
      <c r="K4578" s="12">
        <f>Store_Record[[#This Row],[Qty]]*Store_Record[[#This Row],[UnitPriceGBP]]</f>
        <v>5</v>
      </c>
      <c r="L4578" s="5" t="str">
        <f>TEXT(Store_Record[[#This Row],[Date]],"dddd")</f>
        <v>Sunday</v>
      </c>
      <c r="M4578" s="5" t="str">
        <f>TEXT(Store_Record[[#This Row],[Date]],"mmmm")</f>
        <v>November</v>
      </c>
      <c r="N4578" s="5">
        <f>YEAR(Store_Record[[#This Row],[Date]])</f>
        <v>2025</v>
      </c>
      <c r="O4578"/>
    </row>
    <row r="4579" spans="1:15" x14ac:dyDescent="0.35">
      <c r="A4579" t="s">
        <v>5555</v>
      </c>
      <c r="B4579" s="2">
        <v>45991</v>
      </c>
      <c r="C4579" t="s">
        <v>10</v>
      </c>
      <c r="D4579" t="s">
        <v>38</v>
      </c>
      <c r="E4579" t="s">
        <v>34</v>
      </c>
      <c r="F4579" t="s">
        <v>31</v>
      </c>
      <c r="G4579">
        <v>2</v>
      </c>
      <c r="H4579">
        <v>2.2000000000000002</v>
      </c>
      <c r="I4579" t="s">
        <v>14</v>
      </c>
      <c r="J4579" t="s">
        <v>2427</v>
      </c>
      <c r="K4579" s="12">
        <f>Store_Record[[#This Row],[Qty]]*Store_Record[[#This Row],[UnitPriceGBP]]</f>
        <v>4.4000000000000004</v>
      </c>
      <c r="L4579" s="5" t="str">
        <f>TEXT(Store_Record[[#This Row],[Date]],"dddd")</f>
        <v>Sunday</v>
      </c>
      <c r="M4579" s="5" t="str">
        <f>TEXT(Store_Record[[#This Row],[Date]],"mmmm")</f>
        <v>November</v>
      </c>
      <c r="N4579" s="5">
        <f>YEAR(Store_Record[[#This Row],[Date]])</f>
        <v>2025</v>
      </c>
      <c r="O4579"/>
    </row>
    <row r="4580" spans="1:15" x14ac:dyDescent="0.35">
      <c r="A4580" t="s">
        <v>5553</v>
      </c>
      <c r="B4580" s="2">
        <v>45991</v>
      </c>
      <c r="C4580" t="s">
        <v>36</v>
      </c>
      <c r="D4580" t="s">
        <v>25</v>
      </c>
      <c r="E4580" t="s">
        <v>42</v>
      </c>
      <c r="F4580" t="s">
        <v>13</v>
      </c>
      <c r="G4580">
        <v>1</v>
      </c>
      <c r="H4580">
        <v>3.8</v>
      </c>
      <c r="I4580" t="s">
        <v>14</v>
      </c>
      <c r="J4580" t="s">
        <v>2093</v>
      </c>
      <c r="K4580" s="12">
        <f>Store_Record[[#This Row],[Qty]]*Store_Record[[#This Row],[UnitPriceGBP]]</f>
        <v>3.8</v>
      </c>
      <c r="L4580" s="5" t="str">
        <f>TEXT(Store_Record[[#This Row],[Date]],"dddd")</f>
        <v>Sunday</v>
      </c>
      <c r="M4580" s="5" t="str">
        <f>TEXT(Store_Record[[#This Row],[Date]],"mmmm")</f>
        <v>November</v>
      </c>
      <c r="N4580" s="5">
        <f>YEAR(Store_Record[[#This Row],[Date]])</f>
        <v>2025</v>
      </c>
      <c r="O4580"/>
    </row>
    <row r="4581" spans="1:15" x14ac:dyDescent="0.35">
      <c r="A4581" t="s">
        <v>5561</v>
      </c>
      <c r="B4581" s="2">
        <v>45991</v>
      </c>
      <c r="C4581" t="s">
        <v>36</v>
      </c>
      <c r="D4581" t="s">
        <v>25</v>
      </c>
      <c r="E4581" t="s">
        <v>26</v>
      </c>
      <c r="F4581" t="s">
        <v>13</v>
      </c>
      <c r="G4581">
        <v>1</v>
      </c>
      <c r="H4581">
        <v>3.5</v>
      </c>
      <c r="I4581" t="s">
        <v>14</v>
      </c>
      <c r="J4581" t="s">
        <v>3433</v>
      </c>
      <c r="K4581" s="12">
        <f>Store_Record[[#This Row],[Qty]]*Store_Record[[#This Row],[UnitPriceGBP]]</f>
        <v>3.5</v>
      </c>
      <c r="L4581" s="5" t="str">
        <f>TEXT(Store_Record[[#This Row],[Date]],"dddd")</f>
        <v>Sunday</v>
      </c>
      <c r="M4581" s="5" t="str">
        <f>TEXT(Store_Record[[#This Row],[Date]],"mmmm")</f>
        <v>November</v>
      </c>
      <c r="N4581" s="5">
        <f>YEAR(Store_Record[[#This Row],[Date]])</f>
        <v>2025</v>
      </c>
      <c r="O4581"/>
    </row>
    <row r="4582" spans="1:15" x14ac:dyDescent="0.35">
      <c r="A4582" t="s">
        <v>5564</v>
      </c>
      <c r="B4582" s="2">
        <v>45991</v>
      </c>
      <c r="C4582" t="s">
        <v>10</v>
      </c>
      <c r="D4582" t="s">
        <v>25</v>
      </c>
      <c r="E4582" t="s">
        <v>26</v>
      </c>
      <c r="F4582" t="s">
        <v>13</v>
      </c>
      <c r="G4582">
        <v>1</v>
      </c>
      <c r="H4582">
        <v>3.5</v>
      </c>
      <c r="I4582" t="s">
        <v>21</v>
      </c>
      <c r="J4582" t="s">
        <v>183</v>
      </c>
      <c r="K4582" s="12">
        <f>Store_Record[[#This Row],[Qty]]*Store_Record[[#This Row],[UnitPriceGBP]]</f>
        <v>3.5</v>
      </c>
      <c r="L4582" s="5" t="str">
        <f>TEXT(Store_Record[[#This Row],[Date]],"dddd")</f>
        <v>Sunday</v>
      </c>
      <c r="M4582" s="5" t="str">
        <f>TEXT(Store_Record[[#This Row],[Date]],"mmmm")</f>
        <v>November</v>
      </c>
      <c r="N4582" s="5">
        <f>YEAR(Store_Record[[#This Row],[Date]])</f>
        <v>2025</v>
      </c>
      <c r="O4582"/>
    </row>
    <row r="4583" spans="1:15" x14ac:dyDescent="0.35">
      <c r="A4583" t="s">
        <v>5566</v>
      </c>
      <c r="B4583" s="2">
        <v>45991</v>
      </c>
      <c r="C4583" t="s">
        <v>10</v>
      </c>
      <c r="D4583" t="s">
        <v>47</v>
      </c>
      <c r="E4583" t="s">
        <v>30</v>
      </c>
      <c r="F4583" t="s">
        <v>31</v>
      </c>
      <c r="G4583">
        <v>1</v>
      </c>
      <c r="H4583">
        <v>2.8</v>
      </c>
      <c r="I4583" t="s">
        <v>14</v>
      </c>
      <c r="J4583" t="s">
        <v>524</v>
      </c>
      <c r="K4583" s="12">
        <f>Store_Record[[#This Row],[Qty]]*Store_Record[[#This Row],[UnitPriceGBP]]</f>
        <v>2.8</v>
      </c>
      <c r="L4583" s="5" t="str">
        <f>TEXT(Store_Record[[#This Row],[Date]],"dddd")</f>
        <v>Sunday</v>
      </c>
      <c r="M4583" s="5" t="str">
        <f>TEXT(Store_Record[[#This Row],[Date]],"mmmm")</f>
        <v>November</v>
      </c>
      <c r="N4583" s="5">
        <f>YEAR(Store_Record[[#This Row],[Date]])</f>
        <v>2025</v>
      </c>
      <c r="O4583"/>
    </row>
    <row r="4584" spans="1:15" x14ac:dyDescent="0.35">
      <c r="A4584" t="s">
        <v>5557</v>
      </c>
      <c r="B4584" s="2">
        <v>45991</v>
      </c>
      <c r="C4584" t="s">
        <v>24</v>
      </c>
      <c r="D4584" t="s">
        <v>25</v>
      </c>
      <c r="E4584" t="s">
        <v>12</v>
      </c>
      <c r="F4584" t="s">
        <v>13</v>
      </c>
      <c r="G4584">
        <v>1</v>
      </c>
      <c r="H4584">
        <v>2.5</v>
      </c>
      <c r="I4584" t="s">
        <v>39</v>
      </c>
      <c r="J4584" t="s">
        <v>411</v>
      </c>
      <c r="K4584" s="12">
        <f>Store_Record[[#This Row],[Qty]]*Store_Record[[#This Row],[UnitPriceGBP]]</f>
        <v>2.5</v>
      </c>
      <c r="L4584" s="5" t="str">
        <f>TEXT(Store_Record[[#This Row],[Date]],"dddd")</f>
        <v>Sunday</v>
      </c>
      <c r="M4584" s="5" t="str">
        <f>TEXT(Store_Record[[#This Row],[Date]],"mmmm")</f>
        <v>November</v>
      </c>
      <c r="N4584" s="5">
        <f>YEAR(Store_Record[[#This Row],[Date]])</f>
        <v>2025</v>
      </c>
      <c r="O4584"/>
    </row>
    <row r="4585" spans="1:15" x14ac:dyDescent="0.35">
      <c r="A4585" t="s">
        <v>5559</v>
      </c>
      <c r="B4585" s="2">
        <v>45991</v>
      </c>
      <c r="C4585" t="s">
        <v>10</v>
      </c>
      <c r="D4585" t="s">
        <v>29</v>
      </c>
      <c r="E4585" t="s">
        <v>34</v>
      </c>
      <c r="F4585" t="s">
        <v>31</v>
      </c>
      <c r="G4585">
        <v>1</v>
      </c>
      <c r="H4585">
        <v>2.2000000000000002</v>
      </c>
      <c r="I4585" t="s">
        <v>21</v>
      </c>
      <c r="J4585" t="s">
        <v>478</v>
      </c>
      <c r="K4585" s="12">
        <f>Store_Record[[#This Row],[Qty]]*Store_Record[[#This Row],[UnitPriceGBP]]</f>
        <v>2.2000000000000002</v>
      </c>
      <c r="L4585" s="5" t="str">
        <f>TEXT(Store_Record[[#This Row],[Date]],"dddd")</f>
        <v>Sunday</v>
      </c>
      <c r="M4585" s="5" t="str">
        <f>TEXT(Store_Record[[#This Row],[Date]],"mmmm")</f>
        <v>November</v>
      </c>
      <c r="N4585" s="5">
        <f>YEAR(Store_Record[[#This Row],[Date]])</f>
        <v>2025</v>
      </c>
      <c r="O4585"/>
    </row>
    <row r="4586" spans="1:15" x14ac:dyDescent="0.35">
      <c r="A4586" t="s">
        <v>5585</v>
      </c>
      <c r="B4586" s="2">
        <v>45992</v>
      </c>
      <c r="C4586" t="s">
        <v>10</v>
      </c>
      <c r="D4586" t="s">
        <v>38</v>
      </c>
      <c r="E4586" t="s">
        <v>26</v>
      </c>
      <c r="F4586" t="s">
        <v>13</v>
      </c>
      <c r="G4586">
        <v>5</v>
      </c>
      <c r="H4586">
        <v>3.5</v>
      </c>
      <c r="I4586" t="s">
        <v>21</v>
      </c>
      <c r="J4586" t="s">
        <v>743</v>
      </c>
      <c r="K4586" s="12">
        <f>Store_Record[[#This Row],[Qty]]*Store_Record[[#This Row],[UnitPriceGBP]]</f>
        <v>17.5</v>
      </c>
      <c r="L4586" s="5" t="str">
        <f>TEXT(Store_Record[[#This Row],[Date]],"dddd")</f>
        <v>Monday</v>
      </c>
      <c r="M4586" s="5" t="str">
        <f>TEXT(Store_Record[[#This Row],[Date]],"mmmm")</f>
        <v>December</v>
      </c>
      <c r="N4586" s="5">
        <f>YEAR(Store_Record[[#This Row],[Date]])</f>
        <v>2025</v>
      </c>
      <c r="O4586"/>
    </row>
    <row r="4587" spans="1:15" x14ac:dyDescent="0.35">
      <c r="A4587" t="s">
        <v>5575</v>
      </c>
      <c r="B4587" s="2">
        <v>45992</v>
      </c>
      <c r="C4587" t="s">
        <v>10</v>
      </c>
      <c r="D4587" t="s">
        <v>29</v>
      </c>
      <c r="E4587" t="s">
        <v>30</v>
      </c>
      <c r="F4587" t="s">
        <v>31</v>
      </c>
      <c r="G4587">
        <v>5</v>
      </c>
      <c r="H4587">
        <v>2.8</v>
      </c>
      <c r="I4587" t="s">
        <v>14</v>
      </c>
      <c r="J4587" t="s">
        <v>753</v>
      </c>
      <c r="K4587" s="12">
        <f>Store_Record[[#This Row],[Qty]]*Store_Record[[#This Row],[UnitPriceGBP]]</f>
        <v>14</v>
      </c>
      <c r="L4587" s="5" t="str">
        <f>TEXT(Store_Record[[#This Row],[Date]],"dddd")</f>
        <v>Monday</v>
      </c>
      <c r="M4587" s="5" t="str">
        <f>TEXT(Store_Record[[#This Row],[Date]],"mmmm")</f>
        <v>December</v>
      </c>
      <c r="N4587" s="5">
        <f>YEAR(Store_Record[[#This Row],[Date]])</f>
        <v>2025</v>
      </c>
      <c r="O4587"/>
    </row>
    <row r="4588" spans="1:15" x14ac:dyDescent="0.35">
      <c r="A4588" t="s">
        <v>5587</v>
      </c>
      <c r="B4588" s="2">
        <v>45992</v>
      </c>
      <c r="C4588" t="s">
        <v>24</v>
      </c>
      <c r="D4588" t="s">
        <v>38</v>
      </c>
      <c r="E4588" t="s">
        <v>26</v>
      </c>
      <c r="F4588" t="s">
        <v>13</v>
      </c>
      <c r="G4588">
        <v>4</v>
      </c>
      <c r="H4588">
        <v>3.5</v>
      </c>
      <c r="I4588" t="s">
        <v>39</v>
      </c>
      <c r="J4588" t="s">
        <v>3431</v>
      </c>
      <c r="K4588" s="12">
        <f>Store_Record[[#This Row],[Qty]]*Store_Record[[#This Row],[UnitPriceGBP]]</f>
        <v>14</v>
      </c>
      <c r="L4588" s="5" t="str">
        <f>TEXT(Store_Record[[#This Row],[Date]],"dddd")</f>
        <v>Monday</v>
      </c>
      <c r="M4588" s="5" t="str">
        <f>TEXT(Store_Record[[#This Row],[Date]],"mmmm")</f>
        <v>December</v>
      </c>
      <c r="N4588" s="5">
        <f>YEAR(Store_Record[[#This Row],[Date]])</f>
        <v>2025</v>
      </c>
      <c r="O4588"/>
    </row>
    <row r="4589" spans="1:15" x14ac:dyDescent="0.35">
      <c r="A4589" t="s">
        <v>5588</v>
      </c>
      <c r="B4589" s="2">
        <v>45992</v>
      </c>
      <c r="C4589" t="s">
        <v>20</v>
      </c>
      <c r="D4589" t="s">
        <v>11</v>
      </c>
      <c r="E4589" t="s">
        <v>30</v>
      </c>
      <c r="F4589" t="s">
        <v>31</v>
      </c>
      <c r="G4589">
        <v>5</v>
      </c>
      <c r="H4589">
        <v>2.8</v>
      </c>
      <c r="I4589" t="s">
        <v>21</v>
      </c>
      <c r="J4589" t="s">
        <v>4455</v>
      </c>
      <c r="K4589" s="12">
        <f>Store_Record[[#This Row],[Qty]]*Store_Record[[#This Row],[UnitPriceGBP]]</f>
        <v>14</v>
      </c>
      <c r="L4589" s="5" t="str">
        <f>TEXT(Store_Record[[#This Row],[Date]],"dddd")</f>
        <v>Monday</v>
      </c>
      <c r="M4589" s="5" t="str">
        <f>TEXT(Store_Record[[#This Row],[Date]],"mmmm")</f>
        <v>December</v>
      </c>
      <c r="N4589" s="5">
        <f>YEAR(Store_Record[[#This Row],[Date]])</f>
        <v>2025</v>
      </c>
      <c r="O4589"/>
    </row>
    <row r="4590" spans="1:15" x14ac:dyDescent="0.35">
      <c r="A4590" t="s">
        <v>5581</v>
      </c>
      <c r="B4590" s="2">
        <v>45992</v>
      </c>
      <c r="C4590" t="s">
        <v>20</v>
      </c>
      <c r="D4590" t="s">
        <v>38</v>
      </c>
      <c r="E4590" t="s">
        <v>12</v>
      </c>
      <c r="F4590" t="s">
        <v>13</v>
      </c>
      <c r="G4590">
        <v>5</v>
      </c>
      <c r="H4590">
        <v>2.5</v>
      </c>
      <c r="I4590" t="s">
        <v>21</v>
      </c>
      <c r="J4590" t="s">
        <v>3241</v>
      </c>
      <c r="K4590" s="12">
        <f>Store_Record[[#This Row],[Qty]]*Store_Record[[#This Row],[UnitPriceGBP]]</f>
        <v>12.5</v>
      </c>
      <c r="L4590" s="5" t="str">
        <f>TEXT(Store_Record[[#This Row],[Date]],"dddd")</f>
        <v>Monday</v>
      </c>
      <c r="M4590" s="5" t="str">
        <f>TEXT(Store_Record[[#This Row],[Date]],"mmmm")</f>
        <v>December</v>
      </c>
      <c r="N4590" s="5">
        <f>YEAR(Store_Record[[#This Row],[Date]])</f>
        <v>2025</v>
      </c>
      <c r="O4590"/>
    </row>
    <row r="4591" spans="1:15" x14ac:dyDescent="0.35">
      <c r="A4591" t="s">
        <v>5577</v>
      </c>
      <c r="B4591" s="2">
        <v>45992</v>
      </c>
      <c r="C4591" t="s">
        <v>20</v>
      </c>
      <c r="D4591" t="s">
        <v>29</v>
      </c>
      <c r="E4591" t="s">
        <v>34</v>
      </c>
      <c r="F4591" t="s">
        <v>31</v>
      </c>
      <c r="G4591">
        <v>5</v>
      </c>
      <c r="H4591">
        <v>2.2000000000000002</v>
      </c>
      <c r="I4591" t="s">
        <v>21</v>
      </c>
      <c r="J4591" t="s">
        <v>109</v>
      </c>
      <c r="K4591" s="12">
        <f>Store_Record[[#This Row],[Qty]]*Store_Record[[#This Row],[UnitPriceGBP]]</f>
        <v>11</v>
      </c>
      <c r="L4591" s="5" t="str">
        <f>TEXT(Store_Record[[#This Row],[Date]],"dddd")</f>
        <v>Monday</v>
      </c>
      <c r="M4591" s="5" t="str">
        <f>TEXT(Store_Record[[#This Row],[Date]],"mmmm")</f>
        <v>December</v>
      </c>
      <c r="N4591" s="5">
        <f>YEAR(Store_Record[[#This Row],[Date]])</f>
        <v>2025</v>
      </c>
      <c r="O4591"/>
    </row>
    <row r="4592" spans="1:15" x14ac:dyDescent="0.35">
      <c r="A4592" t="s">
        <v>5589</v>
      </c>
      <c r="B4592" s="2">
        <v>45992</v>
      </c>
      <c r="C4592" t="s">
        <v>24</v>
      </c>
      <c r="D4592" t="s">
        <v>25</v>
      </c>
      <c r="E4592" t="s">
        <v>34</v>
      </c>
      <c r="F4592" t="s">
        <v>31</v>
      </c>
      <c r="G4592">
        <v>5</v>
      </c>
      <c r="H4592">
        <v>2.2000000000000002</v>
      </c>
      <c r="I4592" t="s">
        <v>39</v>
      </c>
      <c r="J4592" t="s">
        <v>1475</v>
      </c>
      <c r="K4592" s="12">
        <f>Store_Record[[#This Row],[Qty]]*Store_Record[[#This Row],[UnitPriceGBP]]</f>
        <v>11</v>
      </c>
      <c r="L4592" s="5" t="str">
        <f>TEXT(Store_Record[[#This Row],[Date]],"dddd")</f>
        <v>Monday</v>
      </c>
      <c r="M4592" s="5" t="str">
        <f>TEXT(Store_Record[[#This Row],[Date]],"mmmm")</f>
        <v>December</v>
      </c>
      <c r="N4592" s="5">
        <f>YEAR(Store_Record[[#This Row],[Date]])</f>
        <v>2025</v>
      </c>
      <c r="O4592"/>
    </row>
    <row r="4593" spans="1:15" x14ac:dyDescent="0.35">
      <c r="A4593" t="s">
        <v>5584</v>
      </c>
      <c r="B4593" s="2">
        <v>45992</v>
      </c>
      <c r="C4593" t="s">
        <v>10</v>
      </c>
      <c r="D4593" t="s">
        <v>25</v>
      </c>
      <c r="E4593" t="s">
        <v>26</v>
      </c>
      <c r="F4593" t="s">
        <v>13</v>
      </c>
      <c r="G4593">
        <v>3</v>
      </c>
      <c r="H4593">
        <v>3.5</v>
      </c>
      <c r="I4593" t="s">
        <v>14</v>
      </c>
      <c r="J4593" t="s">
        <v>1070</v>
      </c>
      <c r="K4593" s="12">
        <f>Store_Record[[#This Row],[Qty]]*Store_Record[[#This Row],[UnitPriceGBP]]</f>
        <v>10.5</v>
      </c>
      <c r="L4593" s="5" t="str">
        <f>TEXT(Store_Record[[#This Row],[Date]],"dddd")</f>
        <v>Monday</v>
      </c>
      <c r="M4593" s="5" t="str">
        <f>TEXT(Store_Record[[#This Row],[Date]],"mmmm")</f>
        <v>December</v>
      </c>
      <c r="N4593" s="5">
        <f>YEAR(Store_Record[[#This Row],[Date]])</f>
        <v>2025</v>
      </c>
      <c r="O4593"/>
    </row>
    <row r="4594" spans="1:15" x14ac:dyDescent="0.35">
      <c r="A4594" t="s">
        <v>5576</v>
      </c>
      <c r="B4594" s="2">
        <v>45992</v>
      </c>
      <c r="C4594" t="s">
        <v>36</v>
      </c>
      <c r="D4594" t="s">
        <v>25</v>
      </c>
      <c r="E4594" t="s">
        <v>12</v>
      </c>
      <c r="F4594" t="s">
        <v>13</v>
      </c>
      <c r="G4594">
        <v>4</v>
      </c>
      <c r="H4594">
        <v>2.5</v>
      </c>
      <c r="I4594" t="s">
        <v>39</v>
      </c>
      <c r="J4594" t="s">
        <v>339</v>
      </c>
      <c r="K4594" s="12">
        <f>Store_Record[[#This Row],[Qty]]*Store_Record[[#This Row],[UnitPriceGBP]]</f>
        <v>10</v>
      </c>
      <c r="L4594" s="5" t="str">
        <f>TEXT(Store_Record[[#This Row],[Date]],"dddd")</f>
        <v>Monday</v>
      </c>
      <c r="M4594" s="5" t="str">
        <f>TEXT(Store_Record[[#This Row],[Date]],"mmmm")</f>
        <v>December</v>
      </c>
      <c r="N4594" s="5">
        <f>YEAR(Store_Record[[#This Row],[Date]])</f>
        <v>2025</v>
      </c>
      <c r="O4594"/>
    </row>
    <row r="4595" spans="1:15" x14ac:dyDescent="0.35">
      <c r="A4595" t="s">
        <v>5578</v>
      </c>
      <c r="B4595" s="2">
        <v>45992</v>
      </c>
      <c r="C4595" t="s">
        <v>36</v>
      </c>
      <c r="D4595" t="s">
        <v>29</v>
      </c>
      <c r="E4595" t="s">
        <v>12</v>
      </c>
      <c r="F4595" t="s">
        <v>13</v>
      </c>
      <c r="G4595">
        <v>4</v>
      </c>
      <c r="H4595">
        <v>2.5</v>
      </c>
      <c r="I4595" t="s">
        <v>39</v>
      </c>
      <c r="J4595" t="s">
        <v>481</v>
      </c>
      <c r="K4595" s="12">
        <f>Store_Record[[#This Row],[Qty]]*Store_Record[[#This Row],[UnitPriceGBP]]</f>
        <v>10</v>
      </c>
      <c r="L4595" s="5" t="str">
        <f>TEXT(Store_Record[[#This Row],[Date]],"dddd")</f>
        <v>Monday</v>
      </c>
      <c r="M4595" s="5" t="str">
        <f>TEXT(Store_Record[[#This Row],[Date]],"mmmm")</f>
        <v>December</v>
      </c>
      <c r="N4595" s="5">
        <f>YEAR(Store_Record[[#This Row],[Date]])</f>
        <v>2025</v>
      </c>
      <c r="O4595"/>
    </row>
    <row r="4596" spans="1:15" x14ac:dyDescent="0.35">
      <c r="A4596" t="s">
        <v>5579</v>
      </c>
      <c r="B4596" s="2">
        <v>45992</v>
      </c>
      <c r="C4596" t="s">
        <v>10</v>
      </c>
      <c r="D4596" t="s">
        <v>25</v>
      </c>
      <c r="E4596" t="s">
        <v>30</v>
      </c>
      <c r="F4596" t="s">
        <v>31</v>
      </c>
      <c r="G4596">
        <v>3</v>
      </c>
      <c r="H4596">
        <v>2.8</v>
      </c>
      <c r="I4596" t="s">
        <v>21</v>
      </c>
      <c r="J4596" t="s">
        <v>3356</v>
      </c>
      <c r="K4596" s="12">
        <f>Store_Record[[#This Row],[Qty]]*Store_Record[[#This Row],[UnitPriceGBP]]</f>
        <v>8.3999999999999986</v>
      </c>
      <c r="L4596" s="5" t="str">
        <f>TEXT(Store_Record[[#This Row],[Date]],"dddd")</f>
        <v>Monday</v>
      </c>
      <c r="M4596" s="5" t="str">
        <f>TEXT(Store_Record[[#This Row],[Date]],"mmmm")</f>
        <v>December</v>
      </c>
      <c r="N4596" s="5">
        <f>YEAR(Store_Record[[#This Row],[Date]])</f>
        <v>2025</v>
      </c>
      <c r="O4596"/>
    </row>
    <row r="4597" spans="1:15" x14ac:dyDescent="0.35">
      <c r="A4597" t="s">
        <v>5590</v>
      </c>
      <c r="B4597" s="2">
        <v>45992</v>
      </c>
      <c r="C4597" t="s">
        <v>10</v>
      </c>
      <c r="D4597" t="s">
        <v>47</v>
      </c>
      <c r="E4597" t="s">
        <v>30</v>
      </c>
      <c r="F4597" t="s">
        <v>31</v>
      </c>
      <c r="G4597">
        <v>3</v>
      </c>
      <c r="H4597">
        <v>2.8</v>
      </c>
      <c r="I4597" t="s">
        <v>21</v>
      </c>
      <c r="J4597" t="s">
        <v>48</v>
      </c>
      <c r="K4597" s="12">
        <f>Store_Record[[#This Row],[Qty]]*Store_Record[[#This Row],[UnitPriceGBP]]</f>
        <v>8.3999999999999986</v>
      </c>
      <c r="L4597" s="5" t="str">
        <f>TEXT(Store_Record[[#This Row],[Date]],"dddd")</f>
        <v>Monday</v>
      </c>
      <c r="M4597" s="5" t="str">
        <f>TEXT(Store_Record[[#This Row],[Date]],"mmmm")</f>
        <v>December</v>
      </c>
      <c r="N4597" s="5">
        <f>YEAR(Store_Record[[#This Row],[Date]])</f>
        <v>2025</v>
      </c>
      <c r="O4597"/>
    </row>
    <row r="4598" spans="1:15" x14ac:dyDescent="0.35">
      <c r="A4598" t="s">
        <v>5580</v>
      </c>
      <c r="B4598" s="2">
        <v>45992</v>
      </c>
      <c r="C4598" t="s">
        <v>36</v>
      </c>
      <c r="D4598" t="s">
        <v>29</v>
      </c>
      <c r="E4598" t="s">
        <v>34</v>
      </c>
      <c r="F4598" t="s">
        <v>31</v>
      </c>
      <c r="G4598">
        <v>3</v>
      </c>
      <c r="H4598">
        <v>2.2000000000000002</v>
      </c>
      <c r="I4598" t="s">
        <v>39</v>
      </c>
      <c r="J4598" t="s">
        <v>541</v>
      </c>
      <c r="K4598" s="12">
        <f>Store_Record[[#This Row],[Qty]]*Store_Record[[#This Row],[UnitPriceGBP]]</f>
        <v>6.6000000000000005</v>
      </c>
      <c r="L4598" s="5" t="str">
        <f>TEXT(Store_Record[[#This Row],[Date]],"dddd")</f>
        <v>Monday</v>
      </c>
      <c r="M4598" s="5" t="str">
        <f>TEXT(Store_Record[[#This Row],[Date]],"mmmm")</f>
        <v>December</v>
      </c>
      <c r="N4598" s="5">
        <f>YEAR(Store_Record[[#This Row],[Date]])</f>
        <v>2025</v>
      </c>
      <c r="O4598"/>
    </row>
    <row r="4599" spans="1:15" x14ac:dyDescent="0.35">
      <c r="A4599" t="s">
        <v>5586</v>
      </c>
      <c r="B4599" s="2">
        <v>45992</v>
      </c>
      <c r="C4599" t="s">
        <v>24</v>
      </c>
      <c r="D4599" t="s">
        <v>25</v>
      </c>
      <c r="E4599" t="s">
        <v>30</v>
      </c>
      <c r="F4599" t="s">
        <v>31</v>
      </c>
      <c r="G4599">
        <v>2</v>
      </c>
      <c r="H4599">
        <v>2.8</v>
      </c>
      <c r="I4599" t="s">
        <v>21</v>
      </c>
      <c r="J4599" t="s">
        <v>1466</v>
      </c>
      <c r="K4599" s="12">
        <f>Store_Record[[#This Row],[Qty]]*Store_Record[[#This Row],[UnitPriceGBP]]</f>
        <v>5.6</v>
      </c>
      <c r="L4599" s="5" t="str">
        <f>TEXT(Store_Record[[#This Row],[Date]],"dddd")</f>
        <v>Monday</v>
      </c>
      <c r="M4599" s="5" t="str">
        <f>TEXT(Store_Record[[#This Row],[Date]],"mmmm")</f>
        <v>December</v>
      </c>
      <c r="N4599" s="5">
        <f>YEAR(Store_Record[[#This Row],[Date]])</f>
        <v>2025</v>
      </c>
      <c r="O4599"/>
    </row>
    <row r="4600" spans="1:15" x14ac:dyDescent="0.35">
      <c r="A4600" t="s">
        <v>5583</v>
      </c>
      <c r="B4600" s="2">
        <v>45992</v>
      </c>
      <c r="C4600" t="s">
        <v>36</v>
      </c>
      <c r="D4600" t="s">
        <v>25</v>
      </c>
      <c r="E4600" t="s">
        <v>12</v>
      </c>
      <c r="F4600" t="s">
        <v>13</v>
      </c>
      <c r="G4600">
        <v>2</v>
      </c>
      <c r="H4600">
        <v>2.5</v>
      </c>
      <c r="I4600" t="s">
        <v>14</v>
      </c>
      <c r="J4600" t="s">
        <v>2596</v>
      </c>
      <c r="K4600" s="12">
        <f>Store_Record[[#This Row],[Qty]]*Store_Record[[#This Row],[UnitPriceGBP]]</f>
        <v>5</v>
      </c>
      <c r="L4600" s="5" t="str">
        <f>TEXT(Store_Record[[#This Row],[Date]],"dddd")</f>
        <v>Monday</v>
      </c>
      <c r="M4600" s="5" t="str">
        <f>TEXT(Store_Record[[#This Row],[Date]],"mmmm")</f>
        <v>December</v>
      </c>
      <c r="N4600" s="5">
        <f>YEAR(Store_Record[[#This Row],[Date]])</f>
        <v>2025</v>
      </c>
      <c r="O4600"/>
    </row>
    <row r="4601" spans="1:15" x14ac:dyDescent="0.35">
      <c r="A4601" t="s">
        <v>5582</v>
      </c>
      <c r="B4601" s="2">
        <v>45992</v>
      </c>
      <c r="C4601" t="s">
        <v>36</v>
      </c>
      <c r="D4601" t="s">
        <v>11</v>
      </c>
      <c r="E4601" t="s">
        <v>34</v>
      </c>
      <c r="F4601" t="s">
        <v>31</v>
      </c>
      <c r="G4601">
        <v>2</v>
      </c>
      <c r="H4601">
        <v>2.2000000000000002</v>
      </c>
      <c r="I4601" t="s">
        <v>14</v>
      </c>
      <c r="J4601" t="s">
        <v>1524</v>
      </c>
      <c r="K4601" s="12">
        <f>Store_Record[[#This Row],[Qty]]*Store_Record[[#This Row],[UnitPriceGBP]]</f>
        <v>4.4000000000000004</v>
      </c>
      <c r="L4601" s="5" t="str">
        <f>TEXT(Store_Record[[#This Row],[Date]],"dddd")</f>
        <v>Monday</v>
      </c>
      <c r="M4601" s="5" t="str">
        <f>TEXT(Store_Record[[#This Row],[Date]],"mmmm")</f>
        <v>December</v>
      </c>
      <c r="N4601" s="5">
        <f>YEAR(Store_Record[[#This Row],[Date]])</f>
        <v>2025</v>
      </c>
      <c r="O4601"/>
    </row>
    <row r="4602" spans="1:15" x14ac:dyDescent="0.35">
      <c r="A4602" t="s">
        <v>5595</v>
      </c>
      <c r="B4602" s="2">
        <v>45993</v>
      </c>
      <c r="C4602" t="s">
        <v>36</v>
      </c>
      <c r="D4602" t="s">
        <v>38</v>
      </c>
      <c r="E4602" t="s">
        <v>42</v>
      </c>
      <c r="F4602" t="s">
        <v>13</v>
      </c>
      <c r="G4602">
        <v>5</v>
      </c>
      <c r="H4602">
        <v>3.8</v>
      </c>
      <c r="I4602" t="s">
        <v>14</v>
      </c>
      <c r="J4602" t="s">
        <v>3102</v>
      </c>
      <c r="K4602" s="12">
        <f>Store_Record[[#This Row],[Qty]]*Store_Record[[#This Row],[UnitPriceGBP]]</f>
        <v>19</v>
      </c>
      <c r="L4602" s="5" t="str">
        <f>TEXT(Store_Record[[#This Row],[Date]],"dddd")</f>
        <v>Tuesday</v>
      </c>
      <c r="M4602" s="5" t="str">
        <f>TEXT(Store_Record[[#This Row],[Date]],"mmmm")</f>
        <v>December</v>
      </c>
      <c r="N4602" s="5">
        <f>YEAR(Store_Record[[#This Row],[Date]])</f>
        <v>2025</v>
      </c>
      <c r="O4602"/>
    </row>
    <row r="4603" spans="1:15" x14ac:dyDescent="0.35">
      <c r="A4603" t="s">
        <v>5606</v>
      </c>
      <c r="B4603" s="2">
        <v>45993</v>
      </c>
      <c r="C4603" t="s">
        <v>10</v>
      </c>
      <c r="D4603" t="s">
        <v>38</v>
      </c>
      <c r="E4603" t="s">
        <v>42</v>
      </c>
      <c r="F4603" t="s">
        <v>13</v>
      </c>
      <c r="G4603">
        <v>5</v>
      </c>
      <c r="H4603">
        <v>3.8</v>
      </c>
      <c r="I4603" t="s">
        <v>14</v>
      </c>
      <c r="J4603" t="s">
        <v>2017</v>
      </c>
      <c r="K4603" s="12">
        <f>Store_Record[[#This Row],[Qty]]*Store_Record[[#This Row],[UnitPriceGBP]]</f>
        <v>19</v>
      </c>
      <c r="L4603" s="5" t="str">
        <f>TEXT(Store_Record[[#This Row],[Date]],"dddd")</f>
        <v>Tuesday</v>
      </c>
      <c r="M4603" s="5" t="str">
        <f>TEXT(Store_Record[[#This Row],[Date]],"mmmm")</f>
        <v>December</v>
      </c>
      <c r="N4603" s="5">
        <f>YEAR(Store_Record[[#This Row],[Date]])</f>
        <v>2025</v>
      </c>
      <c r="O4603"/>
    </row>
    <row r="4604" spans="1:15" x14ac:dyDescent="0.35">
      <c r="A4604" t="s">
        <v>5593</v>
      </c>
      <c r="B4604" s="2">
        <v>45993</v>
      </c>
      <c r="C4604" t="s">
        <v>36</v>
      </c>
      <c r="D4604" t="s">
        <v>11</v>
      </c>
      <c r="E4604" t="s">
        <v>26</v>
      </c>
      <c r="F4604" t="s">
        <v>13</v>
      </c>
      <c r="G4604">
        <v>5</v>
      </c>
      <c r="H4604">
        <v>3.5</v>
      </c>
      <c r="I4604" t="s">
        <v>39</v>
      </c>
      <c r="J4604" t="s">
        <v>1283</v>
      </c>
      <c r="K4604" s="12">
        <f>Store_Record[[#This Row],[Qty]]*Store_Record[[#This Row],[UnitPriceGBP]]</f>
        <v>17.5</v>
      </c>
      <c r="L4604" s="5" t="str">
        <f>TEXT(Store_Record[[#This Row],[Date]],"dddd")</f>
        <v>Tuesday</v>
      </c>
      <c r="M4604" s="5" t="str">
        <f>TEXT(Store_Record[[#This Row],[Date]],"mmmm")</f>
        <v>December</v>
      </c>
      <c r="N4604" s="5">
        <f>YEAR(Store_Record[[#This Row],[Date]])</f>
        <v>2025</v>
      </c>
      <c r="O4604"/>
    </row>
    <row r="4605" spans="1:15" x14ac:dyDescent="0.35">
      <c r="A4605" t="s">
        <v>5594</v>
      </c>
      <c r="B4605" s="2">
        <v>45993</v>
      </c>
      <c r="C4605" t="s">
        <v>36</v>
      </c>
      <c r="D4605" t="s">
        <v>29</v>
      </c>
      <c r="E4605" t="s">
        <v>26</v>
      </c>
      <c r="F4605" t="s">
        <v>13</v>
      </c>
      <c r="G4605">
        <v>5</v>
      </c>
      <c r="H4605">
        <v>3.5</v>
      </c>
      <c r="I4605" t="s">
        <v>14</v>
      </c>
      <c r="J4605" t="s">
        <v>1238</v>
      </c>
      <c r="K4605" s="12">
        <f>Store_Record[[#This Row],[Qty]]*Store_Record[[#This Row],[UnitPriceGBP]]</f>
        <v>17.5</v>
      </c>
      <c r="L4605" s="5" t="str">
        <f>TEXT(Store_Record[[#This Row],[Date]],"dddd")</f>
        <v>Tuesday</v>
      </c>
      <c r="M4605" s="5" t="str">
        <f>TEXT(Store_Record[[#This Row],[Date]],"mmmm")</f>
        <v>December</v>
      </c>
      <c r="N4605" s="5">
        <f>YEAR(Store_Record[[#This Row],[Date]])</f>
        <v>2025</v>
      </c>
      <c r="O4605"/>
    </row>
    <row r="4606" spans="1:15" x14ac:dyDescent="0.35">
      <c r="A4606" t="s">
        <v>5599</v>
      </c>
      <c r="B4606" s="2">
        <v>45993</v>
      </c>
      <c r="C4606" t="s">
        <v>36</v>
      </c>
      <c r="D4606" t="s">
        <v>38</v>
      </c>
      <c r="E4606" t="s">
        <v>42</v>
      </c>
      <c r="F4606" t="s">
        <v>13</v>
      </c>
      <c r="G4606">
        <v>3</v>
      </c>
      <c r="H4606">
        <v>3.8</v>
      </c>
      <c r="I4606" t="s">
        <v>21</v>
      </c>
      <c r="J4606" t="s">
        <v>97</v>
      </c>
      <c r="K4606" s="12">
        <f>Store_Record[[#This Row],[Qty]]*Store_Record[[#This Row],[UnitPriceGBP]]</f>
        <v>11.399999999999999</v>
      </c>
      <c r="L4606" s="5" t="str">
        <f>TEXT(Store_Record[[#This Row],[Date]],"dddd")</f>
        <v>Tuesday</v>
      </c>
      <c r="M4606" s="5" t="str">
        <f>TEXT(Store_Record[[#This Row],[Date]],"mmmm")</f>
        <v>December</v>
      </c>
      <c r="N4606" s="5">
        <f>YEAR(Store_Record[[#This Row],[Date]])</f>
        <v>2025</v>
      </c>
      <c r="O4606"/>
    </row>
    <row r="4607" spans="1:15" x14ac:dyDescent="0.35">
      <c r="A4607" t="s">
        <v>5601</v>
      </c>
      <c r="B4607" s="2">
        <v>45993</v>
      </c>
      <c r="C4607" t="s">
        <v>36</v>
      </c>
      <c r="D4607" t="s">
        <v>11</v>
      </c>
      <c r="E4607" t="s">
        <v>30</v>
      </c>
      <c r="F4607" t="s">
        <v>31</v>
      </c>
      <c r="G4607">
        <v>4</v>
      </c>
      <c r="H4607">
        <v>2.8</v>
      </c>
      <c r="I4607" t="s">
        <v>21</v>
      </c>
      <c r="J4607" t="s">
        <v>1644</v>
      </c>
      <c r="K4607" s="12">
        <f>Store_Record[[#This Row],[Qty]]*Store_Record[[#This Row],[UnitPriceGBP]]</f>
        <v>11.2</v>
      </c>
      <c r="L4607" s="5" t="str">
        <f>TEXT(Store_Record[[#This Row],[Date]],"dddd")</f>
        <v>Tuesday</v>
      </c>
      <c r="M4607" s="5" t="str">
        <f>TEXT(Store_Record[[#This Row],[Date]],"mmmm")</f>
        <v>December</v>
      </c>
      <c r="N4607" s="5">
        <f>YEAR(Store_Record[[#This Row],[Date]])</f>
        <v>2025</v>
      </c>
      <c r="O4607"/>
    </row>
    <row r="4608" spans="1:15" x14ac:dyDescent="0.35">
      <c r="A4608" t="s">
        <v>5605</v>
      </c>
      <c r="B4608" s="2">
        <v>45993</v>
      </c>
      <c r="C4608" t="s">
        <v>20</v>
      </c>
      <c r="D4608" t="s">
        <v>38</v>
      </c>
      <c r="E4608" t="s">
        <v>30</v>
      </c>
      <c r="F4608" t="s">
        <v>31</v>
      </c>
      <c r="G4608">
        <v>4</v>
      </c>
      <c r="H4608">
        <v>2.8</v>
      </c>
      <c r="I4608" t="s">
        <v>14</v>
      </c>
      <c r="J4608" t="s">
        <v>3282</v>
      </c>
      <c r="K4608" s="12">
        <f>Store_Record[[#This Row],[Qty]]*Store_Record[[#This Row],[UnitPriceGBP]]</f>
        <v>11.2</v>
      </c>
      <c r="L4608" s="5" t="str">
        <f>TEXT(Store_Record[[#This Row],[Date]],"dddd")</f>
        <v>Tuesday</v>
      </c>
      <c r="M4608" s="5" t="str">
        <f>TEXT(Store_Record[[#This Row],[Date]],"mmmm")</f>
        <v>December</v>
      </c>
      <c r="N4608" s="5">
        <f>YEAR(Store_Record[[#This Row],[Date]])</f>
        <v>2025</v>
      </c>
      <c r="O4608"/>
    </row>
    <row r="4609" spans="1:15" x14ac:dyDescent="0.35">
      <c r="A4609" t="s">
        <v>5600</v>
      </c>
      <c r="B4609" s="2">
        <v>45993</v>
      </c>
      <c r="C4609" t="s">
        <v>36</v>
      </c>
      <c r="D4609" t="s">
        <v>25</v>
      </c>
      <c r="E4609" t="s">
        <v>26</v>
      </c>
      <c r="F4609" t="s">
        <v>13</v>
      </c>
      <c r="G4609">
        <v>3</v>
      </c>
      <c r="H4609">
        <v>3.5</v>
      </c>
      <c r="I4609" t="s">
        <v>14</v>
      </c>
      <c r="J4609" t="s">
        <v>478</v>
      </c>
      <c r="K4609" s="12">
        <f>Store_Record[[#This Row],[Qty]]*Store_Record[[#This Row],[UnitPriceGBP]]</f>
        <v>10.5</v>
      </c>
      <c r="L4609" s="5" t="str">
        <f>TEXT(Store_Record[[#This Row],[Date]],"dddd")</f>
        <v>Tuesday</v>
      </c>
      <c r="M4609" s="5" t="str">
        <f>TEXT(Store_Record[[#This Row],[Date]],"mmmm")</f>
        <v>December</v>
      </c>
      <c r="N4609" s="5">
        <f>YEAR(Store_Record[[#This Row],[Date]])</f>
        <v>2025</v>
      </c>
      <c r="O4609"/>
    </row>
    <row r="4610" spans="1:15" x14ac:dyDescent="0.35">
      <c r="A4610" t="s">
        <v>5592</v>
      </c>
      <c r="B4610" s="2">
        <v>45993</v>
      </c>
      <c r="C4610" t="s">
        <v>36</v>
      </c>
      <c r="D4610" t="s">
        <v>47</v>
      </c>
      <c r="E4610" t="s">
        <v>12</v>
      </c>
      <c r="F4610" t="s">
        <v>13</v>
      </c>
      <c r="G4610">
        <v>4</v>
      </c>
      <c r="H4610">
        <v>2.5</v>
      </c>
      <c r="I4610" t="s">
        <v>39</v>
      </c>
      <c r="J4610" t="s">
        <v>1566</v>
      </c>
      <c r="K4610" s="12">
        <f>Store_Record[[#This Row],[Qty]]*Store_Record[[#This Row],[UnitPriceGBP]]</f>
        <v>10</v>
      </c>
      <c r="L4610" s="5" t="str">
        <f>TEXT(Store_Record[[#This Row],[Date]],"dddd")</f>
        <v>Tuesday</v>
      </c>
      <c r="M4610" s="5" t="str">
        <f>TEXT(Store_Record[[#This Row],[Date]],"mmmm")</f>
        <v>December</v>
      </c>
      <c r="N4610" s="5">
        <f>YEAR(Store_Record[[#This Row],[Date]])</f>
        <v>2025</v>
      </c>
      <c r="O4610"/>
    </row>
    <row r="4611" spans="1:15" x14ac:dyDescent="0.35">
      <c r="A4611" t="s">
        <v>5604</v>
      </c>
      <c r="B4611" s="2">
        <v>45993</v>
      </c>
      <c r="C4611" t="s">
        <v>10</v>
      </c>
      <c r="D4611" t="s">
        <v>38</v>
      </c>
      <c r="E4611" t="s">
        <v>12</v>
      </c>
      <c r="F4611" t="s">
        <v>13</v>
      </c>
      <c r="G4611">
        <v>4</v>
      </c>
      <c r="H4611">
        <v>2.5</v>
      </c>
      <c r="I4611" t="s">
        <v>39</v>
      </c>
      <c r="J4611" t="s">
        <v>97</v>
      </c>
      <c r="K4611" s="12">
        <f>Store_Record[[#This Row],[Qty]]*Store_Record[[#This Row],[UnitPriceGBP]]</f>
        <v>10</v>
      </c>
      <c r="L4611" s="5" t="str">
        <f>TEXT(Store_Record[[#This Row],[Date]],"dddd")</f>
        <v>Tuesday</v>
      </c>
      <c r="M4611" s="5" t="str">
        <f>TEXT(Store_Record[[#This Row],[Date]],"mmmm")</f>
        <v>December</v>
      </c>
      <c r="N4611" s="5">
        <f>YEAR(Store_Record[[#This Row],[Date]])</f>
        <v>2025</v>
      </c>
      <c r="O4611"/>
    </row>
    <row r="4612" spans="1:15" x14ac:dyDescent="0.35">
      <c r="A4612" t="s">
        <v>5597</v>
      </c>
      <c r="B4612" s="2">
        <v>45993</v>
      </c>
      <c r="C4612" t="s">
        <v>10</v>
      </c>
      <c r="D4612" t="s">
        <v>47</v>
      </c>
      <c r="E4612" t="s">
        <v>34</v>
      </c>
      <c r="F4612" t="s">
        <v>31</v>
      </c>
      <c r="G4612">
        <v>4</v>
      </c>
      <c r="H4612">
        <v>2.2000000000000002</v>
      </c>
      <c r="I4612" t="s">
        <v>14</v>
      </c>
      <c r="J4612" t="s">
        <v>402</v>
      </c>
      <c r="K4612" s="12">
        <f>Store_Record[[#This Row],[Qty]]*Store_Record[[#This Row],[UnitPriceGBP]]</f>
        <v>8.8000000000000007</v>
      </c>
      <c r="L4612" s="5" t="str">
        <f>TEXT(Store_Record[[#This Row],[Date]],"dddd")</f>
        <v>Tuesday</v>
      </c>
      <c r="M4612" s="5" t="str">
        <f>TEXT(Store_Record[[#This Row],[Date]],"mmmm")</f>
        <v>December</v>
      </c>
      <c r="N4612" s="5">
        <f>YEAR(Store_Record[[#This Row],[Date]])</f>
        <v>2025</v>
      </c>
      <c r="O4612"/>
    </row>
    <row r="4613" spans="1:15" x14ac:dyDescent="0.35">
      <c r="A4613" t="s">
        <v>5607</v>
      </c>
      <c r="B4613" s="2">
        <v>45993</v>
      </c>
      <c r="C4613" t="s">
        <v>20</v>
      </c>
      <c r="D4613" t="s">
        <v>25</v>
      </c>
      <c r="E4613" t="s">
        <v>34</v>
      </c>
      <c r="F4613" t="s">
        <v>31</v>
      </c>
      <c r="G4613">
        <v>4</v>
      </c>
      <c r="H4613">
        <v>2.2000000000000002</v>
      </c>
      <c r="I4613" t="s">
        <v>14</v>
      </c>
      <c r="J4613" t="s">
        <v>284</v>
      </c>
      <c r="K4613" s="12">
        <f>Store_Record[[#This Row],[Qty]]*Store_Record[[#This Row],[UnitPriceGBP]]</f>
        <v>8.8000000000000007</v>
      </c>
      <c r="L4613" s="5" t="str">
        <f>TEXT(Store_Record[[#This Row],[Date]],"dddd")</f>
        <v>Tuesday</v>
      </c>
      <c r="M4613" s="5" t="str">
        <f>TEXT(Store_Record[[#This Row],[Date]],"mmmm")</f>
        <v>December</v>
      </c>
      <c r="N4613" s="5">
        <f>YEAR(Store_Record[[#This Row],[Date]])</f>
        <v>2025</v>
      </c>
      <c r="O4613"/>
    </row>
    <row r="4614" spans="1:15" x14ac:dyDescent="0.35">
      <c r="A4614" t="s">
        <v>5591</v>
      </c>
      <c r="B4614" s="2">
        <v>45993</v>
      </c>
      <c r="C4614" t="s">
        <v>10</v>
      </c>
      <c r="D4614" t="s">
        <v>29</v>
      </c>
      <c r="E4614" t="s">
        <v>30</v>
      </c>
      <c r="F4614" t="s">
        <v>31</v>
      </c>
      <c r="G4614">
        <v>3</v>
      </c>
      <c r="H4614">
        <v>2.8</v>
      </c>
      <c r="I4614" t="s">
        <v>39</v>
      </c>
      <c r="J4614" t="s">
        <v>133</v>
      </c>
      <c r="K4614" s="12">
        <f>Store_Record[[#This Row],[Qty]]*Store_Record[[#This Row],[UnitPriceGBP]]</f>
        <v>8.3999999999999986</v>
      </c>
      <c r="L4614" s="5" t="str">
        <f>TEXT(Store_Record[[#This Row],[Date]],"dddd")</f>
        <v>Tuesday</v>
      </c>
      <c r="M4614" s="5" t="str">
        <f>TEXT(Store_Record[[#This Row],[Date]],"mmmm")</f>
        <v>December</v>
      </c>
      <c r="N4614" s="5">
        <f>YEAR(Store_Record[[#This Row],[Date]])</f>
        <v>2025</v>
      </c>
      <c r="O4614"/>
    </row>
    <row r="4615" spans="1:15" x14ac:dyDescent="0.35">
      <c r="A4615" t="s">
        <v>5603</v>
      </c>
      <c r="B4615" s="2">
        <v>45993</v>
      </c>
      <c r="C4615" t="s">
        <v>10</v>
      </c>
      <c r="D4615" t="s">
        <v>29</v>
      </c>
      <c r="E4615" t="s">
        <v>42</v>
      </c>
      <c r="F4615" t="s">
        <v>13</v>
      </c>
      <c r="G4615">
        <v>2</v>
      </c>
      <c r="H4615">
        <v>3.8</v>
      </c>
      <c r="I4615" t="s">
        <v>21</v>
      </c>
      <c r="J4615" t="s">
        <v>411</v>
      </c>
      <c r="K4615" s="12">
        <f>Store_Record[[#This Row],[Qty]]*Store_Record[[#This Row],[UnitPriceGBP]]</f>
        <v>7.6</v>
      </c>
      <c r="L4615" s="5" t="str">
        <f>TEXT(Store_Record[[#This Row],[Date]],"dddd")</f>
        <v>Tuesday</v>
      </c>
      <c r="M4615" s="5" t="str">
        <f>TEXT(Store_Record[[#This Row],[Date]],"mmmm")</f>
        <v>December</v>
      </c>
      <c r="N4615" s="5">
        <f>YEAR(Store_Record[[#This Row],[Date]])</f>
        <v>2025</v>
      </c>
      <c r="O4615"/>
    </row>
    <row r="4616" spans="1:15" x14ac:dyDescent="0.35">
      <c r="A4616" t="s">
        <v>5602</v>
      </c>
      <c r="B4616" s="2">
        <v>45993</v>
      </c>
      <c r="C4616" t="s">
        <v>10</v>
      </c>
      <c r="D4616" t="s">
        <v>25</v>
      </c>
      <c r="E4616" t="s">
        <v>26</v>
      </c>
      <c r="F4616" t="s">
        <v>13</v>
      </c>
      <c r="G4616">
        <v>2</v>
      </c>
      <c r="H4616">
        <v>3.5</v>
      </c>
      <c r="I4616" t="s">
        <v>39</v>
      </c>
      <c r="J4616" t="s">
        <v>2642</v>
      </c>
      <c r="K4616" s="12">
        <f>Store_Record[[#This Row],[Qty]]*Store_Record[[#This Row],[UnitPriceGBP]]</f>
        <v>7</v>
      </c>
      <c r="L4616" s="5" t="str">
        <f>TEXT(Store_Record[[#This Row],[Date]],"dddd")</f>
        <v>Tuesday</v>
      </c>
      <c r="M4616" s="5" t="str">
        <f>TEXT(Store_Record[[#This Row],[Date]],"mmmm")</f>
        <v>December</v>
      </c>
      <c r="N4616" s="5">
        <f>YEAR(Store_Record[[#This Row],[Date]])</f>
        <v>2025</v>
      </c>
      <c r="O4616"/>
    </row>
    <row r="4617" spans="1:15" x14ac:dyDescent="0.35">
      <c r="A4617" t="s">
        <v>5596</v>
      </c>
      <c r="B4617" s="2">
        <v>45993</v>
      </c>
      <c r="C4617" t="s">
        <v>24</v>
      </c>
      <c r="D4617" t="s">
        <v>29</v>
      </c>
      <c r="E4617" t="s">
        <v>26</v>
      </c>
      <c r="F4617" t="s">
        <v>13</v>
      </c>
      <c r="G4617">
        <v>1</v>
      </c>
      <c r="H4617">
        <v>3.5</v>
      </c>
      <c r="I4617" t="s">
        <v>21</v>
      </c>
      <c r="J4617" t="s">
        <v>105</v>
      </c>
      <c r="K4617" s="12">
        <f>Store_Record[[#This Row],[Qty]]*Store_Record[[#This Row],[UnitPriceGBP]]</f>
        <v>3.5</v>
      </c>
      <c r="L4617" s="5" t="str">
        <f>TEXT(Store_Record[[#This Row],[Date]],"dddd")</f>
        <v>Tuesday</v>
      </c>
      <c r="M4617" s="5" t="str">
        <f>TEXT(Store_Record[[#This Row],[Date]],"mmmm")</f>
        <v>December</v>
      </c>
      <c r="N4617" s="5">
        <f>YEAR(Store_Record[[#This Row],[Date]])</f>
        <v>2025</v>
      </c>
      <c r="O4617"/>
    </row>
    <row r="4618" spans="1:15" x14ac:dyDescent="0.35">
      <c r="A4618" t="s">
        <v>5598</v>
      </c>
      <c r="B4618" s="2">
        <v>45993</v>
      </c>
      <c r="C4618" t="s">
        <v>10</v>
      </c>
      <c r="D4618" t="s">
        <v>38</v>
      </c>
      <c r="E4618" t="s">
        <v>26</v>
      </c>
      <c r="F4618" t="s">
        <v>13</v>
      </c>
      <c r="G4618">
        <v>1</v>
      </c>
      <c r="H4618">
        <v>3.5</v>
      </c>
      <c r="I4618" t="s">
        <v>39</v>
      </c>
      <c r="J4618" t="s">
        <v>3856</v>
      </c>
      <c r="K4618" s="12">
        <f>Store_Record[[#This Row],[Qty]]*Store_Record[[#This Row],[UnitPriceGBP]]</f>
        <v>3.5</v>
      </c>
      <c r="L4618" s="5" t="str">
        <f>TEXT(Store_Record[[#This Row],[Date]],"dddd")</f>
        <v>Tuesday</v>
      </c>
      <c r="M4618" s="5" t="str">
        <f>TEXT(Store_Record[[#This Row],[Date]],"mmmm")</f>
        <v>December</v>
      </c>
      <c r="N4618" s="5">
        <f>YEAR(Store_Record[[#This Row],[Date]])</f>
        <v>2025</v>
      </c>
      <c r="O4618"/>
    </row>
    <row r="4619" spans="1:15" x14ac:dyDescent="0.35">
      <c r="A4619" t="s">
        <v>5625</v>
      </c>
      <c r="B4619" s="2">
        <v>45994</v>
      </c>
      <c r="C4619" t="s">
        <v>20</v>
      </c>
      <c r="D4619" t="s">
        <v>47</v>
      </c>
      <c r="E4619" t="s">
        <v>42</v>
      </c>
      <c r="F4619" t="s">
        <v>13</v>
      </c>
      <c r="G4619">
        <v>5</v>
      </c>
      <c r="H4619">
        <v>3.8</v>
      </c>
      <c r="I4619" t="s">
        <v>21</v>
      </c>
      <c r="J4619" t="s">
        <v>319</v>
      </c>
      <c r="K4619" s="12">
        <f>Store_Record[[#This Row],[Qty]]*Store_Record[[#This Row],[UnitPriceGBP]]</f>
        <v>19</v>
      </c>
      <c r="L4619" s="5" t="str">
        <f>TEXT(Store_Record[[#This Row],[Date]],"dddd")</f>
        <v>Wednesday</v>
      </c>
      <c r="M4619" s="5" t="str">
        <f>TEXT(Store_Record[[#This Row],[Date]],"mmmm")</f>
        <v>December</v>
      </c>
      <c r="N4619" s="5">
        <f>YEAR(Store_Record[[#This Row],[Date]])</f>
        <v>2025</v>
      </c>
      <c r="O4619"/>
    </row>
    <row r="4620" spans="1:15" x14ac:dyDescent="0.35">
      <c r="A4620" t="s">
        <v>5623</v>
      </c>
      <c r="B4620" s="2">
        <v>45994</v>
      </c>
      <c r="C4620" t="s">
        <v>36</v>
      </c>
      <c r="D4620" t="s">
        <v>29</v>
      </c>
      <c r="E4620" t="s">
        <v>26</v>
      </c>
      <c r="F4620" t="s">
        <v>13</v>
      </c>
      <c r="G4620">
        <v>4</v>
      </c>
      <c r="H4620">
        <v>3.5</v>
      </c>
      <c r="I4620" t="s">
        <v>14</v>
      </c>
      <c r="J4620" t="s">
        <v>640</v>
      </c>
      <c r="K4620" s="12">
        <f>Store_Record[[#This Row],[Qty]]*Store_Record[[#This Row],[UnitPriceGBP]]</f>
        <v>14</v>
      </c>
      <c r="L4620" s="5" t="str">
        <f>TEXT(Store_Record[[#This Row],[Date]],"dddd")</f>
        <v>Wednesday</v>
      </c>
      <c r="M4620" s="5" t="str">
        <f>TEXT(Store_Record[[#This Row],[Date]],"mmmm")</f>
        <v>December</v>
      </c>
      <c r="N4620" s="5">
        <f>YEAR(Store_Record[[#This Row],[Date]])</f>
        <v>2025</v>
      </c>
      <c r="O4620"/>
    </row>
    <row r="4621" spans="1:15" x14ac:dyDescent="0.35">
      <c r="A4621" t="s">
        <v>5624</v>
      </c>
      <c r="B4621" s="2">
        <v>45994</v>
      </c>
      <c r="C4621" t="s">
        <v>10</v>
      </c>
      <c r="D4621" t="s">
        <v>11</v>
      </c>
      <c r="E4621" t="s">
        <v>26</v>
      </c>
      <c r="F4621" t="s">
        <v>13</v>
      </c>
      <c r="G4621">
        <v>4</v>
      </c>
      <c r="H4621">
        <v>3.5</v>
      </c>
      <c r="I4621" t="s">
        <v>39</v>
      </c>
      <c r="J4621" t="s">
        <v>310</v>
      </c>
      <c r="K4621" s="12">
        <f>Store_Record[[#This Row],[Qty]]*Store_Record[[#This Row],[UnitPriceGBP]]</f>
        <v>14</v>
      </c>
      <c r="L4621" s="5" t="str">
        <f>TEXT(Store_Record[[#This Row],[Date]],"dddd")</f>
        <v>Wednesday</v>
      </c>
      <c r="M4621" s="5" t="str">
        <f>TEXT(Store_Record[[#This Row],[Date]],"mmmm")</f>
        <v>December</v>
      </c>
      <c r="N4621" s="5">
        <f>YEAR(Store_Record[[#This Row],[Date]])</f>
        <v>2025</v>
      </c>
      <c r="O4621"/>
    </row>
    <row r="4622" spans="1:15" x14ac:dyDescent="0.35">
      <c r="A4622" t="s">
        <v>5608</v>
      </c>
      <c r="B4622" s="2">
        <v>45994</v>
      </c>
      <c r="C4622" t="s">
        <v>20</v>
      </c>
      <c r="D4622" t="s">
        <v>29</v>
      </c>
      <c r="E4622" t="s">
        <v>42</v>
      </c>
      <c r="F4622" t="s">
        <v>13</v>
      </c>
      <c r="G4622">
        <v>3</v>
      </c>
      <c r="H4622">
        <v>3.8</v>
      </c>
      <c r="I4622" t="s">
        <v>39</v>
      </c>
      <c r="J4622" t="s">
        <v>2640</v>
      </c>
      <c r="K4622" s="12">
        <f>Store_Record[[#This Row],[Qty]]*Store_Record[[#This Row],[UnitPriceGBP]]</f>
        <v>11.399999999999999</v>
      </c>
      <c r="L4622" s="5" t="str">
        <f>TEXT(Store_Record[[#This Row],[Date]],"dddd")</f>
        <v>Wednesday</v>
      </c>
      <c r="M4622" s="5" t="str">
        <f>TEXT(Store_Record[[#This Row],[Date]],"mmmm")</f>
        <v>December</v>
      </c>
      <c r="N4622" s="5">
        <f>YEAR(Store_Record[[#This Row],[Date]])</f>
        <v>2025</v>
      </c>
      <c r="O4622"/>
    </row>
    <row r="4623" spans="1:15" x14ac:dyDescent="0.35">
      <c r="A4623" t="s">
        <v>5615</v>
      </c>
      <c r="B4623" s="2">
        <v>45994</v>
      </c>
      <c r="C4623" t="s">
        <v>10</v>
      </c>
      <c r="D4623" t="s">
        <v>11</v>
      </c>
      <c r="E4623" t="s">
        <v>42</v>
      </c>
      <c r="F4623" t="s">
        <v>13</v>
      </c>
      <c r="G4623">
        <v>3</v>
      </c>
      <c r="H4623">
        <v>3.8</v>
      </c>
      <c r="I4623" t="s">
        <v>21</v>
      </c>
      <c r="J4623" t="s">
        <v>925</v>
      </c>
      <c r="K4623" s="12">
        <f>Store_Record[[#This Row],[Qty]]*Store_Record[[#This Row],[UnitPriceGBP]]</f>
        <v>11.399999999999999</v>
      </c>
      <c r="L4623" s="5" t="str">
        <f>TEXT(Store_Record[[#This Row],[Date]],"dddd")</f>
        <v>Wednesday</v>
      </c>
      <c r="M4623" s="5" t="str">
        <f>TEXT(Store_Record[[#This Row],[Date]],"mmmm")</f>
        <v>December</v>
      </c>
      <c r="N4623" s="5">
        <f>YEAR(Store_Record[[#This Row],[Date]])</f>
        <v>2025</v>
      </c>
      <c r="O4623"/>
    </row>
    <row r="4624" spans="1:15" x14ac:dyDescent="0.35">
      <c r="A4624" t="s">
        <v>5611</v>
      </c>
      <c r="B4624" s="2">
        <v>45994</v>
      </c>
      <c r="C4624" t="s">
        <v>24</v>
      </c>
      <c r="D4624" t="s">
        <v>25</v>
      </c>
      <c r="E4624" t="s">
        <v>12</v>
      </c>
      <c r="F4624" t="s">
        <v>13</v>
      </c>
      <c r="G4624">
        <v>4</v>
      </c>
      <c r="H4624">
        <v>2.5</v>
      </c>
      <c r="I4624" t="s">
        <v>39</v>
      </c>
      <c r="J4624" t="s">
        <v>963</v>
      </c>
      <c r="K4624" s="12">
        <f>Store_Record[[#This Row],[Qty]]*Store_Record[[#This Row],[UnitPriceGBP]]</f>
        <v>10</v>
      </c>
      <c r="L4624" s="5" t="str">
        <f>TEXT(Store_Record[[#This Row],[Date]],"dddd")</f>
        <v>Wednesday</v>
      </c>
      <c r="M4624" s="5" t="str">
        <f>TEXT(Store_Record[[#This Row],[Date]],"mmmm")</f>
        <v>December</v>
      </c>
      <c r="N4624" s="5">
        <f>YEAR(Store_Record[[#This Row],[Date]])</f>
        <v>2025</v>
      </c>
      <c r="O4624"/>
    </row>
    <row r="4625" spans="1:15" x14ac:dyDescent="0.35">
      <c r="A4625" t="s">
        <v>5610</v>
      </c>
      <c r="B4625" s="2">
        <v>45994</v>
      </c>
      <c r="C4625" t="s">
        <v>24</v>
      </c>
      <c r="D4625" t="s">
        <v>38</v>
      </c>
      <c r="E4625" t="s">
        <v>34</v>
      </c>
      <c r="F4625" t="s">
        <v>31</v>
      </c>
      <c r="G4625">
        <v>4</v>
      </c>
      <c r="H4625">
        <v>2.2000000000000002</v>
      </c>
      <c r="I4625" t="s">
        <v>39</v>
      </c>
      <c r="J4625" t="s">
        <v>808</v>
      </c>
      <c r="K4625" s="12">
        <f>Store_Record[[#This Row],[Qty]]*Store_Record[[#This Row],[UnitPriceGBP]]</f>
        <v>8.8000000000000007</v>
      </c>
      <c r="L4625" s="5" t="str">
        <f>TEXT(Store_Record[[#This Row],[Date]],"dddd")</f>
        <v>Wednesday</v>
      </c>
      <c r="M4625" s="5" t="str">
        <f>TEXT(Store_Record[[#This Row],[Date]],"mmmm")</f>
        <v>December</v>
      </c>
      <c r="N4625" s="5">
        <f>YEAR(Store_Record[[#This Row],[Date]])</f>
        <v>2025</v>
      </c>
      <c r="O4625"/>
    </row>
    <row r="4626" spans="1:15" x14ac:dyDescent="0.35">
      <c r="A4626" t="s">
        <v>5609</v>
      </c>
      <c r="B4626" s="2">
        <v>45994</v>
      </c>
      <c r="C4626" t="s">
        <v>36</v>
      </c>
      <c r="D4626" t="s">
        <v>38</v>
      </c>
      <c r="E4626" t="s">
        <v>30</v>
      </c>
      <c r="F4626" t="s">
        <v>31</v>
      </c>
      <c r="G4626">
        <v>3</v>
      </c>
      <c r="H4626">
        <v>2.8</v>
      </c>
      <c r="I4626" t="s">
        <v>39</v>
      </c>
      <c r="J4626" t="s">
        <v>1170</v>
      </c>
      <c r="K4626" s="12">
        <f>Store_Record[[#This Row],[Qty]]*Store_Record[[#This Row],[UnitPriceGBP]]</f>
        <v>8.3999999999999986</v>
      </c>
      <c r="L4626" s="5" t="str">
        <f>TEXT(Store_Record[[#This Row],[Date]],"dddd")</f>
        <v>Wednesday</v>
      </c>
      <c r="M4626" s="5" t="str">
        <f>TEXT(Store_Record[[#This Row],[Date]],"mmmm")</f>
        <v>December</v>
      </c>
      <c r="N4626" s="5">
        <f>YEAR(Store_Record[[#This Row],[Date]])</f>
        <v>2025</v>
      </c>
      <c r="O4626"/>
    </row>
    <row r="4627" spans="1:15" x14ac:dyDescent="0.35">
      <c r="A4627" t="s">
        <v>5619</v>
      </c>
      <c r="B4627" s="2">
        <v>45994</v>
      </c>
      <c r="C4627" t="s">
        <v>20</v>
      </c>
      <c r="D4627" t="s">
        <v>38</v>
      </c>
      <c r="E4627" t="s">
        <v>12</v>
      </c>
      <c r="F4627" t="s">
        <v>13</v>
      </c>
      <c r="G4627">
        <v>3</v>
      </c>
      <c r="H4627">
        <v>2.5</v>
      </c>
      <c r="I4627" t="s">
        <v>14</v>
      </c>
      <c r="J4627" t="s">
        <v>2770</v>
      </c>
      <c r="K4627" s="12">
        <f>Store_Record[[#This Row],[Qty]]*Store_Record[[#This Row],[UnitPriceGBP]]</f>
        <v>7.5</v>
      </c>
      <c r="L4627" s="5" t="str">
        <f>TEXT(Store_Record[[#This Row],[Date]],"dddd")</f>
        <v>Wednesday</v>
      </c>
      <c r="M4627" s="5" t="str">
        <f>TEXT(Store_Record[[#This Row],[Date]],"mmmm")</f>
        <v>December</v>
      </c>
      <c r="N4627" s="5">
        <f>YEAR(Store_Record[[#This Row],[Date]])</f>
        <v>2025</v>
      </c>
      <c r="O4627"/>
    </row>
    <row r="4628" spans="1:15" x14ac:dyDescent="0.35">
      <c r="A4628" t="s">
        <v>5621</v>
      </c>
      <c r="B4628" s="2">
        <v>45994</v>
      </c>
      <c r="C4628" t="s">
        <v>24</v>
      </c>
      <c r="D4628" t="s">
        <v>11</v>
      </c>
      <c r="E4628" t="s">
        <v>26</v>
      </c>
      <c r="F4628" t="s">
        <v>13</v>
      </c>
      <c r="G4628">
        <v>2</v>
      </c>
      <c r="H4628">
        <v>3.5</v>
      </c>
      <c r="I4628" t="s">
        <v>21</v>
      </c>
      <c r="J4628" t="s">
        <v>402</v>
      </c>
      <c r="K4628" s="12">
        <f>Store_Record[[#This Row],[Qty]]*Store_Record[[#This Row],[UnitPriceGBP]]</f>
        <v>7</v>
      </c>
      <c r="L4628" s="5" t="str">
        <f>TEXT(Store_Record[[#This Row],[Date]],"dddd")</f>
        <v>Wednesday</v>
      </c>
      <c r="M4628" s="5" t="str">
        <f>TEXT(Store_Record[[#This Row],[Date]],"mmmm")</f>
        <v>December</v>
      </c>
      <c r="N4628" s="5">
        <f>YEAR(Store_Record[[#This Row],[Date]])</f>
        <v>2025</v>
      </c>
      <c r="O4628"/>
    </row>
    <row r="4629" spans="1:15" x14ac:dyDescent="0.35">
      <c r="A4629" t="s">
        <v>5613</v>
      </c>
      <c r="B4629" s="2">
        <v>45994</v>
      </c>
      <c r="C4629" t="s">
        <v>20</v>
      </c>
      <c r="D4629" t="s">
        <v>38</v>
      </c>
      <c r="E4629" t="s">
        <v>34</v>
      </c>
      <c r="F4629" t="s">
        <v>31</v>
      </c>
      <c r="G4629">
        <v>3</v>
      </c>
      <c r="H4629">
        <v>2.2000000000000002</v>
      </c>
      <c r="I4629" t="s">
        <v>39</v>
      </c>
      <c r="J4629" t="s">
        <v>3531</v>
      </c>
      <c r="K4629" s="12">
        <f>Store_Record[[#This Row],[Qty]]*Store_Record[[#This Row],[UnitPriceGBP]]</f>
        <v>6.6000000000000005</v>
      </c>
      <c r="L4629" s="5" t="str">
        <f>TEXT(Store_Record[[#This Row],[Date]],"dddd")</f>
        <v>Wednesday</v>
      </c>
      <c r="M4629" s="5" t="str">
        <f>TEXT(Store_Record[[#This Row],[Date]],"mmmm")</f>
        <v>December</v>
      </c>
      <c r="N4629" s="5">
        <f>YEAR(Store_Record[[#This Row],[Date]])</f>
        <v>2025</v>
      </c>
      <c r="O4629"/>
    </row>
    <row r="4630" spans="1:15" x14ac:dyDescent="0.35">
      <c r="A4630" t="s">
        <v>5614</v>
      </c>
      <c r="B4630" s="2">
        <v>45994</v>
      </c>
      <c r="C4630" t="s">
        <v>36</v>
      </c>
      <c r="D4630" t="s">
        <v>47</v>
      </c>
      <c r="E4630" t="s">
        <v>34</v>
      </c>
      <c r="F4630" t="s">
        <v>31</v>
      </c>
      <c r="G4630">
        <v>3</v>
      </c>
      <c r="H4630">
        <v>2.2000000000000002</v>
      </c>
      <c r="I4630" t="s">
        <v>39</v>
      </c>
      <c r="J4630" t="s">
        <v>1644</v>
      </c>
      <c r="K4630" s="12">
        <f>Store_Record[[#This Row],[Qty]]*Store_Record[[#This Row],[UnitPriceGBP]]</f>
        <v>6.6000000000000005</v>
      </c>
      <c r="L4630" s="5" t="str">
        <f>TEXT(Store_Record[[#This Row],[Date]],"dddd")</f>
        <v>Wednesday</v>
      </c>
      <c r="M4630" s="5" t="str">
        <f>TEXT(Store_Record[[#This Row],[Date]],"mmmm")</f>
        <v>December</v>
      </c>
      <c r="N4630" s="5">
        <f>YEAR(Store_Record[[#This Row],[Date]])</f>
        <v>2025</v>
      </c>
      <c r="O4630"/>
    </row>
    <row r="4631" spans="1:15" x14ac:dyDescent="0.35">
      <c r="A4631" t="s">
        <v>5622</v>
      </c>
      <c r="B4631" s="2">
        <v>45994</v>
      </c>
      <c r="C4631" t="s">
        <v>24</v>
      </c>
      <c r="D4631" t="s">
        <v>11</v>
      </c>
      <c r="E4631" t="s">
        <v>30</v>
      </c>
      <c r="F4631" t="s">
        <v>31</v>
      </c>
      <c r="G4631">
        <v>2</v>
      </c>
      <c r="H4631">
        <v>2.8</v>
      </c>
      <c r="I4631" t="s">
        <v>14</v>
      </c>
      <c r="J4631" t="s">
        <v>1077</v>
      </c>
      <c r="K4631" s="12">
        <f>Store_Record[[#This Row],[Qty]]*Store_Record[[#This Row],[UnitPriceGBP]]</f>
        <v>5.6</v>
      </c>
      <c r="L4631" s="5" t="str">
        <f>TEXT(Store_Record[[#This Row],[Date]],"dddd")</f>
        <v>Wednesday</v>
      </c>
      <c r="M4631" s="5" t="str">
        <f>TEXT(Store_Record[[#This Row],[Date]],"mmmm")</f>
        <v>December</v>
      </c>
      <c r="N4631" s="5">
        <f>YEAR(Store_Record[[#This Row],[Date]])</f>
        <v>2025</v>
      </c>
      <c r="O4631"/>
    </row>
    <row r="4632" spans="1:15" x14ac:dyDescent="0.35">
      <c r="A4632" t="s">
        <v>5620</v>
      </c>
      <c r="B4632" s="2">
        <v>45994</v>
      </c>
      <c r="C4632" t="s">
        <v>36</v>
      </c>
      <c r="D4632" t="s">
        <v>25</v>
      </c>
      <c r="E4632" t="s">
        <v>34</v>
      </c>
      <c r="F4632" t="s">
        <v>31</v>
      </c>
      <c r="G4632">
        <v>2</v>
      </c>
      <c r="H4632">
        <v>2.2000000000000002</v>
      </c>
      <c r="I4632" t="s">
        <v>14</v>
      </c>
      <c r="J4632" t="s">
        <v>1584</v>
      </c>
      <c r="K4632" s="12">
        <f>Store_Record[[#This Row],[Qty]]*Store_Record[[#This Row],[UnitPriceGBP]]</f>
        <v>4.4000000000000004</v>
      </c>
      <c r="L4632" s="5" t="str">
        <f>TEXT(Store_Record[[#This Row],[Date]],"dddd")</f>
        <v>Wednesday</v>
      </c>
      <c r="M4632" s="5" t="str">
        <f>TEXT(Store_Record[[#This Row],[Date]],"mmmm")</f>
        <v>December</v>
      </c>
      <c r="N4632" s="5">
        <f>YEAR(Store_Record[[#This Row],[Date]])</f>
        <v>2025</v>
      </c>
      <c r="O4632"/>
    </row>
    <row r="4633" spans="1:15" x14ac:dyDescent="0.35">
      <c r="A4633" t="s">
        <v>5612</v>
      </c>
      <c r="B4633" s="2">
        <v>45994</v>
      </c>
      <c r="C4633" t="s">
        <v>10</v>
      </c>
      <c r="D4633" t="s">
        <v>47</v>
      </c>
      <c r="E4633" t="s">
        <v>42</v>
      </c>
      <c r="F4633" t="s">
        <v>13</v>
      </c>
      <c r="G4633">
        <v>1</v>
      </c>
      <c r="H4633">
        <v>3.8</v>
      </c>
      <c r="I4633" t="s">
        <v>14</v>
      </c>
      <c r="J4633" t="s">
        <v>656</v>
      </c>
      <c r="K4633" s="12">
        <f>Store_Record[[#This Row],[Qty]]*Store_Record[[#This Row],[UnitPriceGBP]]</f>
        <v>3.8</v>
      </c>
      <c r="L4633" s="5" t="str">
        <f>TEXT(Store_Record[[#This Row],[Date]],"dddd")</f>
        <v>Wednesday</v>
      </c>
      <c r="M4633" s="5" t="str">
        <f>TEXT(Store_Record[[#This Row],[Date]],"mmmm")</f>
        <v>December</v>
      </c>
      <c r="N4633" s="5">
        <f>YEAR(Store_Record[[#This Row],[Date]])</f>
        <v>2025</v>
      </c>
      <c r="O4633"/>
    </row>
    <row r="4634" spans="1:15" x14ac:dyDescent="0.35">
      <c r="A4634" t="s">
        <v>5618</v>
      </c>
      <c r="B4634" s="2">
        <v>45994</v>
      </c>
      <c r="C4634" t="s">
        <v>10</v>
      </c>
      <c r="D4634" t="s">
        <v>11</v>
      </c>
      <c r="E4634" t="s">
        <v>26</v>
      </c>
      <c r="F4634" t="s">
        <v>13</v>
      </c>
      <c r="G4634">
        <v>1</v>
      </c>
      <c r="H4634">
        <v>3.5</v>
      </c>
      <c r="I4634" t="s">
        <v>21</v>
      </c>
      <c r="J4634" t="s">
        <v>630</v>
      </c>
      <c r="K4634" s="12">
        <f>Store_Record[[#This Row],[Qty]]*Store_Record[[#This Row],[UnitPriceGBP]]</f>
        <v>3.5</v>
      </c>
      <c r="L4634" s="5" t="str">
        <f>TEXT(Store_Record[[#This Row],[Date]],"dddd")</f>
        <v>Wednesday</v>
      </c>
      <c r="M4634" s="5" t="str">
        <f>TEXT(Store_Record[[#This Row],[Date]],"mmmm")</f>
        <v>December</v>
      </c>
      <c r="N4634" s="5">
        <f>YEAR(Store_Record[[#This Row],[Date]])</f>
        <v>2025</v>
      </c>
      <c r="O4634"/>
    </row>
    <row r="4635" spans="1:15" x14ac:dyDescent="0.35">
      <c r="A4635" t="s">
        <v>5616</v>
      </c>
      <c r="B4635" s="2">
        <v>45994</v>
      </c>
      <c r="C4635" t="s">
        <v>10</v>
      </c>
      <c r="D4635" t="s">
        <v>11</v>
      </c>
      <c r="E4635" t="s">
        <v>30</v>
      </c>
      <c r="F4635" t="s">
        <v>31</v>
      </c>
      <c r="G4635">
        <v>1</v>
      </c>
      <c r="H4635">
        <v>2.8</v>
      </c>
      <c r="I4635" t="s">
        <v>21</v>
      </c>
      <c r="J4635" t="s">
        <v>1468</v>
      </c>
      <c r="K4635" s="12">
        <f>Store_Record[[#This Row],[Qty]]*Store_Record[[#This Row],[UnitPriceGBP]]</f>
        <v>2.8</v>
      </c>
      <c r="L4635" s="5" t="str">
        <f>TEXT(Store_Record[[#This Row],[Date]],"dddd")</f>
        <v>Wednesday</v>
      </c>
      <c r="M4635" s="5" t="str">
        <f>TEXT(Store_Record[[#This Row],[Date]],"mmmm")</f>
        <v>December</v>
      </c>
      <c r="N4635" s="5">
        <f>YEAR(Store_Record[[#This Row],[Date]])</f>
        <v>2025</v>
      </c>
      <c r="O4635"/>
    </row>
    <row r="4636" spans="1:15" x14ac:dyDescent="0.35">
      <c r="A4636" t="s">
        <v>5617</v>
      </c>
      <c r="B4636" s="2">
        <v>45994</v>
      </c>
      <c r="C4636" t="s">
        <v>24</v>
      </c>
      <c r="D4636" t="s">
        <v>47</v>
      </c>
      <c r="E4636" t="s">
        <v>12</v>
      </c>
      <c r="F4636" t="s">
        <v>13</v>
      </c>
      <c r="G4636">
        <v>1</v>
      </c>
      <c r="H4636">
        <v>2.5</v>
      </c>
      <c r="I4636" t="s">
        <v>21</v>
      </c>
      <c r="J4636" t="s">
        <v>2382</v>
      </c>
      <c r="K4636" s="12">
        <f>Store_Record[[#This Row],[Qty]]*Store_Record[[#This Row],[UnitPriceGBP]]</f>
        <v>2.5</v>
      </c>
      <c r="L4636" s="5" t="str">
        <f>TEXT(Store_Record[[#This Row],[Date]],"dddd")</f>
        <v>Wednesday</v>
      </c>
      <c r="M4636" s="5" t="str">
        <f>TEXT(Store_Record[[#This Row],[Date]],"mmmm")</f>
        <v>December</v>
      </c>
      <c r="N4636" s="5">
        <f>YEAR(Store_Record[[#This Row],[Date]])</f>
        <v>2025</v>
      </c>
      <c r="O4636"/>
    </row>
    <row r="4637" spans="1:15" x14ac:dyDescent="0.35">
      <c r="A4637" t="s">
        <v>5631</v>
      </c>
      <c r="B4637" s="2">
        <v>45995</v>
      </c>
      <c r="C4637" t="s">
        <v>24</v>
      </c>
      <c r="D4637" t="s">
        <v>25</v>
      </c>
      <c r="E4637" t="s">
        <v>42</v>
      </c>
      <c r="F4637" t="s">
        <v>13</v>
      </c>
      <c r="G4637">
        <v>5</v>
      </c>
      <c r="H4637">
        <v>3.8</v>
      </c>
      <c r="I4637" t="s">
        <v>39</v>
      </c>
      <c r="J4637" t="s">
        <v>1836</v>
      </c>
      <c r="K4637" s="12">
        <f>Store_Record[[#This Row],[Qty]]*Store_Record[[#This Row],[UnitPriceGBP]]</f>
        <v>19</v>
      </c>
      <c r="L4637" s="5" t="str">
        <f>TEXT(Store_Record[[#This Row],[Date]],"dddd")</f>
        <v>Thursday</v>
      </c>
      <c r="M4637" s="5" t="str">
        <f>TEXT(Store_Record[[#This Row],[Date]],"mmmm")</f>
        <v>December</v>
      </c>
      <c r="N4637" s="5">
        <f>YEAR(Store_Record[[#This Row],[Date]])</f>
        <v>2025</v>
      </c>
      <c r="O4637"/>
    </row>
    <row r="4638" spans="1:15" x14ac:dyDescent="0.35">
      <c r="A4638" t="s">
        <v>5628</v>
      </c>
      <c r="B4638" s="2">
        <v>45995</v>
      </c>
      <c r="C4638" t="s">
        <v>10</v>
      </c>
      <c r="D4638" t="s">
        <v>38</v>
      </c>
      <c r="E4638" t="s">
        <v>42</v>
      </c>
      <c r="F4638" t="s">
        <v>13</v>
      </c>
      <c r="G4638">
        <v>4</v>
      </c>
      <c r="H4638">
        <v>3.8</v>
      </c>
      <c r="I4638" t="s">
        <v>21</v>
      </c>
      <c r="J4638" t="s">
        <v>232</v>
      </c>
      <c r="K4638" s="12">
        <f>Store_Record[[#This Row],[Qty]]*Store_Record[[#This Row],[UnitPriceGBP]]</f>
        <v>15.2</v>
      </c>
      <c r="L4638" s="5" t="str">
        <f>TEXT(Store_Record[[#This Row],[Date]],"dddd")</f>
        <v>Thursday</v>
      </c>
      <c r="M4638" s="5" t="str">
        <f>TEXT(Store_Record[[#This Row],[Date]],"mmmm")</f>
        <v>December</v>
      </c>
      <c r="N4638" s="5">
        <f>YEAR(Store_Record[[#This Row],[Date]])</f>
        <v>2025</v>
      </c>
      <c r="O4638"/>
    </row>
    <row r="4639" spans="1:15" x14ac:dyDescent="0.35">
      <c r="A4639" t="s">
        <v>5633</v>
      </c>
      <c r="B4639" s="2">
        <v>45995</v>
      </c>
      <c r="C4639" t="s">
        <v>10</v>
      </c>
      <c r="D4639" t="s">
        <v>11</v>
      </c>
      <c r="E4639" t="s">
        <v>34</v>
      </c>
      <c r="F4639" t="s">
        <v>31</v>
      </c>
      <c r="G4639">
        <v>5</v>
      </c>
      <c r="H4639">
        <v>2.2000000000000002</v>
      </c>
      <c r="I4639" t="s">
        <v>21</v>
      </c>
      <c r="J4639" t="s">
        <v>1095</v>
      </c>
      <c r="K4639" s="12">
        <f>Store_Record[[#This Row],[Qty]]*Store_Record[[#This Row],[UnitPriceGBP]]</f>
        <v>11</v>
      </c>
      <c r="L4639" s="5" t="str">
        <f>TEXT(Store_Record[[#This Row],[Date]],"dddd")</f>
        <v>Thursday</v>
      </c>
      <c r="M4639" s="5" t="str">
        <f>TEXT(Store_Record[[#This Row],[Date]],"mmmm")</f>
        <v>December</v>
      </c>
      <c r="N4639" s="5">
        <f>YEAR(Store_Record[[#This Row],[Date]])</f>
        <v>2025</v>
      </c>
      <c r="O4639"/>
    </row>
    <row r="4640" spans="1:15" x14ac:dyDescent="0.35">
      <c r="A4640" t="s">
        <v>5629</v>
      </c>
      <c r="B4640" s="2">
        <v>45995</v>
      </c>
      <c r="C4640" t="s">
        <v>36</v>
      </c>
      <c r="D4640" t="s">
        <v>47</v>
      </c>
      <c r="E4640" t="s">
        <v>34</v>
      </c>
      <c r="F4640" t="s">
        <v>31</v>
      </c>
      <c r="G4640">
        <v>4</v>
      </c>
      <c r="H4640">
        <v>2.2000000000000002</v>
      </c>
      <c r="I4640" t="s">
        <v>21</v>
      </c>
      <c r="J4640" t="s">
        <v>830</v>
      </c>
      <c r="K4640" s="12">
        <f>Store_Record[[#This Row],[Qty]]*Store_Record[[#This Row],[UnitPriceGBP]]</f>
        <v>8.8000000000000007</v>
      </c>
      <c r="L4640" s="5" t="str">
        <f>TEXT(Store_Record[[#This Row],[Date]],"dddd")</f>
        <v>Thursday</v>
      </c>
      <c r="M4640" s="5" t="str">
        <f>TEXT(Store_Record[[#This Row],[Date]],"mmmm")</f>
        <v>December</v>
      </c>
      <c r="N4640" s="5">
        <f>YEAR(Store_Record[[#This Row],[Date]])</f>
        <v>2025</v>
      </c>
      <c r="O4640"/>
    </row>
    <row r="4641" spans="1:15" x14ac:dyDescent="0.35">
      <c r="A4641" t="s">
        <v>5635</v>
      </c>
      <c r="B4641" s="2">
        <v>45995</v>
      </c>
      <c r="C4641" t="s">
        <v>24</v>
      </c>
      <c r="D4641" t="s">
        <v>38</v>
      </c>
      <c r="E4641" t="s">
        <v>12</v>
      </c>
      <c r="F4641" t="s">
        <v>13</v>
      </c>
      <c r="G4641">
        <v>3</v>
      </c>
      <c r="H4641">
        <v>2.5</v>
      </c>
      <c r="I4641" t="s">
        <v>14</v>
      </c>
      <c r="J4641" t="s">
        <v>59</v>
      </c>
      <c r="K4641" s="12">
        <f>Store_Record[[#This Row],[Qty]]*Store_Record[[#This Row],[UnitPriceGBP]]</f>
        <v>7.5</v>
      </c>
      <c r="L4641" s="5" t="str">
        <f>TEXT(Store_Record[[#This Row],[Date]],"dddd")</f>
        <v>Thursday</v>
      </c>
      <c r="M4641" s="5" t="str">
        <f>TEXT(Store_Record[[#This Row],[Date]],"mmmm")</f>
        <v>December</v>
      </c>
      <c r="N4641" s="5">
        <f>YEAR(Store_Record[[#This Row],[Date]])</f>
        <v>2025</v>
      </c>
      <c r="O4641"/>
    </row>
    <row r="4642" spans="1:15" x14ac:dyDescent="0.35">
      <c r="A4642" t="s">
        <v>5637</v>
      </c>
      <c r="B4642" s="2">
        <v>45995</v>
      </c>
      <c r="C4642" t="s">
        <v>36</v>
      </c>
      <c r="D4642" t="s">
        <v>29</v>
      </c>
      <c r="E4642" t="s">
        <v>12</v>
      </c>
      <c r="F4642" t="s">
        <v>13</v>
      </c>
      <c r="G4642">
        <v>3</v>
      </c>
      <c r="H4642">
        <v>2.5</v>
      </c>
      <c r="I4642" t="s">
        <v>39</v>
      </c>
      <c r="J4642" t="s">
        <v>626</v>
      </c>
      <c r="K4642" s="12">
        <f>Store_Record[[#This Row],[Qty]]*Store_Record[[#This Row],[UnitPriceGBP]]</f>
        <v>7.5</v>
      </c>
      <c r="L4642" s="5" t="str">
        <f>TEXT(Store_Record[[#This Row],[Date]],"dddd")</f>
        <v>Thursday</v>
      </c>
      <c r="M4642" s="5" t="str">
        <f>TEXT(Store_Record[[#This Row],[Date]],"mmmm")</f>
        <v>December</v>
      </c>
      <c r="N4642" s="5">
        <f>YEAR(Store_Record[[#This Row],[Date]])</f>
        <v>2025</v>
      </c>
      <c r="O4642"/>
    </row>
    <row r="4643" spans="1:15" x14ac:dyDescent="0.35">
      <c r="A4643" t="s">
        <v>5627</v>
      </c>
      <c r="B4643" s="2">
        <v>45995</v>
      </c>
      <c r="C4643" t="s">
        <v>24</v>
      </c>
      <c r="D4643" t="s">
        <v>11</v>
      </c>
      <c r="E4643" t="s">
        <v>26</v>
      </c>
      <c r="F4643" t="s">
        <v>13</v>
      </c>
      <c r="G4643">
        <v>2</v>
      </c>
      <c r="H4643">
        <v>3.5</v>
      </c>
      <c r="I4643" t="s">
        <v>21</v>
      </c>
      <c r="J4643" t="s">
        <v>757</v>
      </c>
      <c r="K4643" s="12">
        <f>Store_Record[[#This Row],[Qty]]*Store_Record[[#This Row],[UnitPriceGBP]]</f>
        <v>7</v>
      </c>
      <c r="L4643" s="5" t="str">
        <f>TEXT(Store_Record[[#This Row],[Date]],"dddd")</f>
        <v>Thursday</v>
      </c>
      <c r="M4643" s="5" t="str">
        <f>TEXT(Store_Record[[#This Row],[Date]],"mmmm")</f>
        <v>December</v>
      </c>
      <c r="N4643" s="5">
        <f>YEAR(Store_Record[[#This Row],[Date]])</f>
        <v>2025</v>
      </c>
      <c r="O4643"/>
    </row>
    <row r="4644" spans="1:15" x14ac:dyDescent="0.35">
      <c r="A4644" t="s">
        <v>5636</v>
      </c>
      <c r="B4644" s="2">
        <v>45995</v>
      </c>
      <c r="C4644" t="s">
        <v>10</v>
      </c>
      <c r="D4644" t="s">
        <v>38</v>
      </c>
      <c r="E4644" t="s">
        <v>34</v>
      </c>
      <c r="F4644" t="s">
        <v>31</v>
      </c>
      <c r="G4644">
        <v>3</v>
      </c>
      <c r="H4644">
        <v>2.2000000000000002</v>
      </c>
      <c r="I4644" t="s">
        <v>39</v>
      </c>
      <c r="J4644" t="s">
        <v>347</v>
      </c>
      <c r="K4644" s="12">
        <f>Store_Record[[#This Row],[Qty]]*Store_Record[[#This Row],[UnitPriceGBP]]</f>
        <v>6.6000000000000005</v>
      </c>
      <c r="L4644" s="5" t="str">
        <f>TEXT(Store_Record[[#This Row],[Date]],"dddd")</f>
        <v>Thursday</v>
      </c>
      <c r="M4644" s="5" t="str">
        <f>TEXT(Store_Record[[#This Row],[Date]],"mmmm")</f>
        <v>December</v>
      </c>
      <c r="N4644" s="5">
        <f>YEAR(Store_Record[[#This Row],[Date]])</f>
        <v>2025</v>
      </c>
      <c r="O4644"/>
    </row>
    <row r="4645" spans="1:15" x14ac:dyDescent="0.35">
      <c r="A4645" t="s">
        <v>5626</v>
      </c>
      <c r="B4645" s="2">
        <v>45995</v>
      </c>
      <c r="C4645" t="s">
        <v>24</v>
      </c>
      <c r="D4645" t="s">
        <v>25</v>
      </c>
      <c r="E4645" t="s">
        <v>26</v>
      </c>
      <c r="F4645" t="s">
        <v>13</v>
      </c>
      <c r="G4645">
        <v>1</v>
      </c>
      <c r="H4645">
        <v>3.5</v>
      </c>
      <c r="I4645" t="s">
        <v>21</v>
      </c>
      <c r="J4645" t="s">
        <v>1038</v>
      </c>
      <c r="K4645" s="12">
        <f>Store_Record[[#This Row],[Qty]]*Store_Record[[#This Row],[UnitPriceGBP]]</f>
        <v>3.5</v>
      </c>
      <c r="L4645" s="5" t="str">
        <f>TEXT(Store_Record[[#This Row],[Date]],"dddd")</f>
        <v>Thursday</v>
      </c>
      <c r="M4645" s="5" t="str">
        <f>TEXT(Store_Record[[#This Row],[Date]],"mmmm")</f>
        <v>December</v>
      </c>
      <c r="N4645" s="5">
        <f>YEAR(Store_Record[[#This Row],[Date]])</f>
        <v>2025</v>
      </c>
      <c r="O4645"/>
    </row>
    <row r="4646" spans="1:15" x14ac:dyDescent="0.35">
      <c r="A4646" t="s">
        <v>5632</v>
      </c>
      <c r="B4646" s="2">
        <v>45995</v>
      </c>
      <c r="C4646" t="s">
        <v>10</v>
      </c>
      <c r="D4646" t="s">
        <v>11</v>
      </c>
      <c r="E4646" t="s">
        <v>26</v>
      </c>
      <c r="F4646" t="s">
        <v>13</v>
      </c>
      <c r="G4646">
        <v>1</v>
      </c>
      <c r="H4646">
        <v>3.5</v>
      </c>
      <c r="I4646" t="s">
        <v>14</v>
      </c>
      <c r="J4646" t="s">
        <v>1403</v>
      </c>
      <c r="K4646" s="12">
        <f>Store_Record[[#This Row],[Qty]]*Store_Record[[#This Row],[UnitPriceGBP]]</f>
        <v>3.5</v>
      </c>
      <c r="L4646" s="5" t="str">
        <f>TEXT(Store_Record[[#This Row],[Date]],"dddd")</f>
        <v>Thursday</v>
      </c>
      <c r="M4646" s="5" t="str">
        <f>TEXT(Store_Record[[#This Row],[Date]],"mmmm")</f>
        <v>December</v>
      </c>
      <c r="N4646" s="5">
        <f>YEAR(Store_Record[[#This Row],[Date]])</f>
        <v>2025</v>
      </c>
      <c r="O4646"/>
    </row>
    <row r="4647" spans="1:15" x14ac:dyDescent="0.35">
      <c r="A4647" t="s">
        <v>5634</v>
      </c>
      <c r="B4647" s="2">
        <v>45995</v>
      </c>
      <c r="C4647" t="s">
        <v>36</v>
      </c>
      <c r="D4647" t="s">
        <v>25</v>
      </c>
      <c r="E4647" t="s">
        <v>26</v>
      </c>
      <c r="F4647" t="s">
        <v>13</v>
      </c>
      <c r="G4647">
        <v>1</v>
      </c>
      <c r="H4647">
        <v>3.5</v>
      </c>
      <c r="I4647" t="s">
        <v>39</v>
      </c>
      <c r="J4647" t="s">
        <v>753</v>
      </c>
      <c r="K4647" s="12">
        <f>Store_Record[[#This Row],[Qty]]*Store_Record[[#This Row],[UnitPriceGBP]]</f>
        <v>3.5</v>
      </c>
      <c r="L4647" s="5" t="str">
        <f>TEXT(Store_Record[[#This Row],[Date]],"dddd")</f>
        <v>Thursday</v>
      </c>
      <c r="M4647" s="5" t="str">
        <f>TEXT(Store_Record[[#This Row],[Date]],"mmmm")</f>
        <v>December</v>
      </c>
      <c r="N4647" s="5">
        <f>YEAR(Store_Record[[#This Row],[Date]])</f>
        <v>2025</v>
      </c>
      <c r="O4647"/>
    </row>
    <row r="4648" spans="1:15" x14ac:dyDescent="0.35">
      <c r="A4648" t="s">
        <v>5630</v>
      </c>
      <c r="B4648" s="2">
        <v>45995</v>
      </c>
      <c r="C4648" t="s">
        <v>10</v>
      </c>
      <c r="D4648" t="s">
        <v>11</v>
      </c>
      <c r="E4648" t="s">
        <v>12</v>
      </c>
      <c r="F4648" t="s">
        <v>13</v>
      </c>
      <c r="G4648">
        <v>1</v>
      </c>
      <c r="H4648">
        <v>2.5</v>
      </c>
      <c r="I4648" t="s">
        <v>14</v>
      </c>
      <c r="J4648" t="s">
        <v>464</v>
      </c>
      <c r="K4648" s="12">
        <f>Store_Record[[#This Row],[Qty]]*Store_Record[[#This Row],[UnitPriceGBP]]</f>
        <v>2.5</v>
      </c>
      <c r="L4648" s="5" t="str">
        <f>TEXT(Store_Record[[#This Row],[Date]],"dddd")</f>
        <v>Thursday</v>
      </c>
      <c r="M4648" s="5" t="str">
        <f>TEXT(Store_Record[[#This Row],[Date]],"mmmm")</f>
        <v>December</v>
      </c>
      <c r="N4648" s="5">
        <f>YEAR(Store_Record[[#This Row],[Date]])</f>
        <v>2025</v>
      </c>
      <c r="O4648"/>
    </row>
    <row r="4649" spans="1:15" x14ac:dyDescent="0.35">
      <c r="A4649" t="s">
        <v>5638</v>
      </c>
      <c r="B4649" s="2">
        <v>45995</v>
      </c>
      <c r="C4649" t="s">
        <v>24</v>
      </c>
      <c r="D4649" t="s">
        <v>38</v>
      </c>
      <c r="E4649" t="s">
        <v>12</v>
      </c>
      <c r="F4649" t="s">
        <v>13</v>
      </c>
      <c r="G4649">
        <v>1</v>
      </c>
      <c r="H4649">
        <v>2.5</v>
      </c>
      <c r="I4649" t="s">
        <v>39</v>
      </c>
      <c r="J4649" t="s">
        <v>1156</v>
      </c>
      <c r="K4649" s="12">
        <f>Store_Record[[#This Row],[Qty]]*Store_Record[[#This Row],[UnitPriceGBP]]</f>
        <v>2.5</v>
      </c>
      <c r="L4649" s="5" t="str">
        <f>TEXT(Store_Record[[#This Row],[Date]],"dddd")</f>
        <v>Thursday</v>
      </c>
      <c r="M4649" s="5" t="str">
        <f>TEXT(Store_Record[[#This Row],[Date]],"mmmm")</f>
        <v>December</v>
      </c>
      <c r="N4649" s="5">
        <f>YEAR(Store_Record[[#This Row],[Date]])</f>
        <v>2025</v>
      </c>
      <c r="O4649"/>
    </row>
    <row r="4650" spans="1:15" x14ac:dyDescent="0.35">
      <c r="A4650" t="s">
        <v>5641</v>
      </c>
      <c r="B4650" s="2">
        <v>45996</v>
      </c>
      <c r="C4650" t="s">
        <v>10</v>
      </c>
      <c r="D4650" t="s">
        <v>47</v>
      </c>
      <c r="E4650" t="s">
        <v>42</v>
      </c>
      <c r="F4650" t="s">
        <v>13</v>
      </c>
      <c r="G4650">
        <v>5</v>
      </c>
      <c r="H4650">
        <v>3.8</v>
      </c>
      <c r="I4650" t="s">
        <v>21</v>
      </c>
      <c r="J4650" t="s">
        <v>2220</v>
      </c>
      <c r="K4650" s="12">
        <f>Store_Record[[#This Row],[Qty]]*Store_Record[[#This Row],[UnitPriceGBP]]</f>
        <v>19</v>
      </c>
      <c r="L4650" s="5" t="str">
        <f>TEXT(Store_Record[[#This Row],[Date]],"dddd")</f>
        <v>Friday</v>
      </c>
      <c r="M4650" s="5" t="str">
        <f>TEXT(Store_Record[[#This Row],[Date]],"mmmm")</f>
        <v>December</v>
      </c>
      <c r="N4650" s="5">
        <f>YEAR(Store_Record[[#This Row],[Date]])</f>
        <v>2025</v>
      </c>
      <c r="O4650"/>
    </row>
    <row r="4651" spans="1:15" x14ac:dyDescent="0.35">
      <c r="A4651" t="s">
        <v>5646</v>
      </c>
      <c r="B4651" s="2">
        <v>45996</v>
      </c>
      <c r="C4651" t="s">
        <v>20</v>
      </c>
      <c r="D4651" t="s">
        <v>38</v>
      </c>
      <c r="E4651" t="s">
        <v>26</v>
      </c>
      <c r="F4651" t="s">
        <v>13</v>
      </c>
      <c r="G4651">
        <v>5</v>
      </c>
      <c r="H4651">
        <v>3.8</v>
      </c>
      <c r="I4651" t="s">
        <v>39</v>
      </c>
      <c r="J4651" t="s">
        <v>1928</v>
      </c>
      <c r="K4651" s="12">
        <f>Store_Record[[#This Row],[Qty]]*Store_Record[[#This Row],[UnitPriceGBP]]</f>
        <v>19</v>
      </c>
      <c r="L4651" s="5" t="str">
        <f>TEXT(Store_Record[[#This Row],[Date]],"dddd")</f>
        <v>Friday</v>
      </c>
      <c r="M4651" s="5" t="str">
        <f>TEXT(Store_Record[[#This Row],[Date]],"mmmm")</f>
        <v>December</v>
      </c>
      <c r="N4651" s="5">
        <f>YEAR(Store_Record[[#This Row],[Date]])</f>
        <v>2025</v>
      </c>
      <c r="O4651"/>
    </row>
    <row r="4652" spans="1:15" x14ac:dyDescent="0.35">
      <c r="A4652" t="s">
        <v>5647</v>
      </c>
      <c r="B4652" s="2">
        <v>45996</v>
      </c>
      <c r="C4652" t="s">
        <v>36</v>
      </c>
      <c r="D4652" t="s">
        <v>47</v>
      </c>
      <c r="E4652" t="s">
        <v>42</v>
      </c>
      <c r="F4652" t="s">
        <v>13</v>
      </c>
      <c r="G4652">
        <v>5</v>
      </c>
      <c r="H4652">
        <v>3.8</v>
      </c>
      <c r="I4652" t="s">
        <v>39</v>
      </c>
      <c r="J4652" t="s">
        <v>3089</v>
      </c>
      <c r="K4652" s="12">
        <f>Store_Record[[#This Row],[Qty]]*Store_Record[[#This Row],[UnitPriceGBP]]</f>
        <v>19</v>
      </c>
      <c r="L4652" s="5" t="str">
        <f>TEXT(Store_Record[[#This Row],[Date]],"dddd")</f>
        <v>Friday</v>
      </c>
      <c r="M4652" s="5" t="str">
        <f>TEXT(Store_Record[[#This Row],[Date]],"mmmm")</f>
        <v>December</v>
      </c>
      <c r="N4652" s="5">
        <f>YEAR(Store_Record[[#This Row],[Date]])</f>
        <v>2025</v>
      </c>
      <c r="O4652"/>
    </row>
    <row r="4653" spans="1:15" x14ac:dyDescent="0.35">
      <c r="A4653" t="s">
        <v>5639</v>
      </c>
      <c r="B4653" s="2">
        <v>45996</v>
      </c>
      <c r="C4653" t="s">
        <v>20</v>
      </c>
      <c r="D4653" t="s">
        <v>11</v>
      </c>
      <c r="E4653" t="s">
        <v>26</v>
      </c>
      <c r="F4653" t="s">
        <v>13</v>
      </c>
      <c r="G4653">
        <v>5</v>
      </c>
      <c r="H4653">
        <v>3.5</v>
      </c>
      <c r="I4653" t="s">
        <v>21</v>
      </c>
      <c r="J4653" t="s">
        <v>472</v>
      </c>
      <c r="K4653" s="12">
        <f>Store_Record[[#This Row],[Qty]]*Store_Record[[#This Row],[UnitPriceGBP]]</f>
        <v>17.5</v>
      </c>
      <c r="L4653" s="5" t="str">
        <f>TEXT(Store_Record[[#This Row],[Date]],"dddd")</f>
        <v>Friday</v>
      </c>
      <c r="M4653" s="5" t="str">
        <f>TEXT(Store_Record[[#This Row],[Date]],"mmmm")</f>
        <v>December</v>
      </c>
      <c r="N4653" s="5">
        <f>YEAR(Store_Record[[#This Row],[Date]])</f>
        <v>2025</v>
      </c>
      <c r="O4653"/>
    </row>
    <row r="4654" spans="1:15" x14ac:dyDescent="0.35">
      <c r="A4654" t="s">
        <v>5642</v>
      </c>
      <c r="B4654" s="2">
        <v>45996</v>
      </c>
      <c r="C4654" t="s">
        <v>10</v>
      </c>
      <c r="D4654" t="s">
        <v>47</v>
      </c>
      <c r="E4654" t="s">
        <v>12</v>
      </c>
      <c r="F4654" t="s">
        <v>13</v>
      </c>
      <c r="G4654">
        <v>4</v>
      </c>
      <c r="H4654">
        <v>2.5</v>
      </c>
      <c r="I4654" t="s">
        <v>21</v>
      </c>
      <c r="J4654" t="s">
        <v>193</v>
      </c>
      <c r="K4654" s="12">
        <f>Store_Record[[#This Row],[Qty]]*Store_Record[[#This Row],[UnitPriceGBP]]</f>
        <v>10</v>
      </c>
      <c r="L4654" s="5" t="str">
        <f>TEXT(Store_Record[[#This Row],[Date]],"dddd")</f>
        <v>Friday</v>
      </c>
      <c r="M4654" s="5" t="str">
        <f>TEXT(Store_Record[[#This Row],[Date]],"mmmm")</f>
        <v>December</v>
      </c>
      <c r="N4654" s="5">
        <f>YEAR(Store_Record[[#This Row],[Date]])</f>
        <v>2025</v>
      </c>
      <c r="O4654"/>
    </row>
    <row r="4655" spans="1:15" x14ac:dyDescent="0.35">
      <c r="A4655" t="s">
        <v>5640</v>
      </c>
      <c r="B4655" s="2">
        <v>45996</v>
      </c>
      <c r="C4655" t="s">
        <v>36</v>
      </c>
      <c r="D4655" t="s">
        <v>29</v>
      </c>
      <c r="E4655" t="s">
        <v>34</v>
      </c>
      <c r="F4655" t="s">
        <v>31</v>
      </c>
      <c r="G4655">
        <v>4</v>
      </c>
      <c r="H4655">
        <v>2.2000000000000002</v>
      </c>
      <c r="I4655" t="s">
        <v>39</v>
      </c>
      <c r="J4655" t="s">
        <v>3508</v>
      </c>
      <c r="K4655" s="12">
        <f>Store_Record[[#This Row],[Qty]]*Store_Record[[#This Row],[UnitPriceGBP]]</f>
        <v>8.8000000000000007</v>
      </c>
      <c r="L4655" s="5" t="str">
        <f>TEXT(Store_Record[[#This Row],[Date]],"dddd")</f>
        <v>Friday</v>
      </c>
      <c r="M4655" s="5" t="str">
        <f>TEXT(Store_Record[[#This Row],[Date]],"mmmm")</f>
        <v>December</v>
      </c>
      <c r="N4655" s="5">
        <f>YEAR(Store_Record[[#This Row],[Date]])</f>
        <v>2025</v>
      </c>
      <c r="O4655"/>
    </row>
    <row r="4656" spans="1:15" x14ac:dyDescent="0.35">
      <c r="A4656" t="s">
        <v>5644</v>
      </c>
      <c r="B4656" s="2">
        <v>45996</v>
      </c>
      <c r="C4656" t="s">
        <v>24</v>
      </c>
      <c r="D4656" t="s">
        <v>11</v>
      </c>
      <c r="E4656" t="s">
        <v>30</v>
      </c>
      <c r="F4656" t="s">
        <v>31</v>
      </c>
      <c r="G4656">
        <v>3</v>
      </c>
      <c r="H4656">
        <v>2.8</v>
      </c>
      <c r="I4656" t="s">
        <v>21</v>
      </c>
      <c r="J4656" t="s">
        <v>1596</v>
      </c>
      <c r="K4656" s="12">
        <f>Store_Record[[#This Row],[Qty]]*Store_Record[[#This Row],[UnitPriceGBP]]</f>
        <v>8.3999999999999986</v>
      </c>
      <c r="L4656" s="5" t="str">
        <f>TEXT(Store_Record[[#This Row],[Date]],"dddd")</f>
        <v>Friday</v>
      </c>
      <c r="M4656" s="5" t="str">
        <f>TEXT(Store_Record[[#This Row],[Date]],"mmmm")</f>
        <v>December</v>
      </c>
      <c r="N4656" s="5">
        <f>YEAR(Store_Record[[#This Row],[Date]])</f>
        <v>2025</v>
      </c>
      <c r="O4656"/>
    </row>
    <row r="4657" spans="1:15" x14ac:dyDescent="0.35">
      <c r="A4657" t="s">
        <v>5643</v>
      </c>
      <c r="B4657" s="2">
        <v>45996</v>
      </c>
      <c r="C4657" t="s">
        <v>10</v>
      </c>
      <c r="D4657" t="s">
        <v>47</v>
      </c>
      <c r="E4657" t="s">
        <v>26</v>
      </c>
      <c r="F4657" t="s">
        <v>13</v>
      </c>
      <c r="G4657">
        <v>2</v>
      </c>
      <c r="H4657">
        <v>3.5</v>
      </c>
      <c r="I4657" t="s">
        <v>39</v>
      </c>
      <c r="J4657" t="s">
        <v>336</v>
      </c>
      <c r="K4657" s="12">
        <f>Store_Record[[#This Row],[Qty]]*Store_Record[[#This Row],[UnitPriceGBP]]</f>
        <v>7</v>
      </c>
      <c r="L4657" s="5" t="str">
        <f>TEXT(Store_Record[[#This Row],[Date]],"dddd")</f>
        <v>Friday</v>
      </c>
      <c r="M4657" s="5" t="str">
        <f>TEXT(Store_Record[[#This Row],[Date]],"mmmm")</f>
        <v>December</v>
      </c>
      <c r="N4657" s="5">
        <f>YEAR(Store_Record[[#This Row],[Date]])</f>
        <v>2025</v>
      </c>
      <c r="O4657"/>
    </row>
    <row r="4658" spans="1:15" x14ac:dyDescent="0.35">
      <c r="A4658" t="s">
        <v>5645</v>
      </c>
      <c r="B4658" s="2">
        <v>45996</v>
      </c>
      <c r="C4658" t="s">
        <v>20</v>
      </c>
      <c r="D4658" t="s">
        <v>47</v>
      </c>
      <c r="E4658" t="s">
        <v>26</v>
      </c>
      <c r="F4658" t="s">
        <v>13</v>
      </c>
      <c r="G4658">
        <v>2</v>
      </c>
      <c r="H4658">
        <v>3.5</v>
      </c>
      <c r="I4658" t="s">
        <v>14</v>
      </c>
      <c r="J4658" t="s">
        <v>256</v>
      </c>
      <c r="K4658" s="12">
        <f>Store_Record[[#This Row],[Qty]]*Store_Record[[#This Row],[UnitPriceGBP]]</f>
        <v>7</v>
      </c>
      <c r="L4658" s="5" t="str">
        <f>TEXT(Store_Record[[#This Row],[Date]],"dddd")</f>
        <v>Friday</v>
      </c>
      <c r="M4658" s="5" t="str">
        <f>TEXT(Store_Record[[#This Row],[Date]],"mmmm")</f>
        <v>December</v>
      </c>
      <c r="N4658" s="5">
        <f>YEAR(Store_Record[[#This Row],[Date]])</f>
        <v>2025</v>
      </c>
      <c r="O4658"/>
    </row>
    <row r="4659" spans="1:15" x14ac:dyDescent="0.35">
      <c r="A4659" t="s">
        <v>5648</v>
      </c>
      <c r="B4659" s="2">
        <v>45996</v>
      </c>
      <c r="C4659" t="s">
        <v>24</v>
      </c>
      <c r="D4659" t="s">
        <v>29</v>
      </c>
      <c r="E4659" t="s">
        <v>34</v>
      </c>
      <c r="F4659" t="s">
        <v>31</v>
      </c>
      <c r="G4659">
        <v>2</v>
      </c>
      <c r="H4659">
        <v>2.2000000000000002</v>
      </c>
      <c r="I4659" t="s">
        <v>21</v>
      </c>
      <c r="J4659" t="s">
        <v>3248</v>
      </c>
      <c r="K4659" s="12">
        <f>Store_Record[[#This Row],[Qty]]*Store_Record[[#This Row],[UnitPriceGBP]]</f>
        <v>4.4000000000000004</v>
      </c>
      <c r="L4659" s="5" t="str">
        <f>TEXT(Store_Record[[#This Row],[Date]],"dddd")</f>
        <v>Friday</v>
      </c>
      <c r="M4659" s="5" t="str">
        <f>TEXT(Store_Record[[#This Row],[Date]],"mmmm")</f>
        <v>December</v>
      </c>
      <c r="N4659" s="5">
        <f>YEAR(Store_Record[[#This Row],[Date]])</f>
        <v>2025</v>
      </c>
      <c r="O4659"/>
    </row>
    <row r="4660" spans="1:15" x14ac:dyDescent="0.35">
      <c r="A4660" t="s">
        <v>5654</v>
      </c>
      <c r="B4660" s="2">
        <v>45997</v>
      </c>
      <c r="C4660" t="s">
        <v>20</v>
      </c>
      <c r="D4660" t="s">
        <v>11</v>
      </c>
      <c r="E4660" t="s">
        <v>42</v>
      </c>
      <c r="F4660" t="s">
        <v>13</v>
      </c>
      <c r="G4660">
        <v>5</v>
      </c>
      <c r="H4660">
        <v>3.8</v>
      </c>
      <c r="I4660" t="s">
        <v>21</v>
      </c>
      <c r="J4660" t="s">
        <v>2911</v>
      </c>
      <c r="K4660" s="12">
        <f>Store_Record[[#This Row],[Qty]]*Store_Record[[#This Row],[UnitPriceGBP]]</f>
        <v>19</v>
      </c>
      <c r="L4660" s="5" t="str">
        <f>TEXT(Store_Record[[#This Row],[Date]],"dddd")</f>
        <v>Saturday</v>
      </c>
      <c r="M4660" s="5" t="str">
        <f>TEXT(Store_Record[[#This Row],[Date]],"mmmm")</f>
        <v>December</v>
      </c>
      <c r="N4660" s="5">
        <f>YEAR(Store_Record[[#This Row],[Date]])</f>
        <v>2025</v>
      </c>
      <c r="O4660"/>
    </row>
    <row r="4661" spans="1:15" x14ac:dyDescent="0.35">
      <c r="A4661" t="s">
        <v>5650</v>
      </c>
      <c r="B4661" s="2">
        <v>45997</v>
      </c>
      <c r="C4661" t="s">
        <v>20</v>
      </c>
      <c r="D4661" t="s">
        <v>29</v>
      </c>
      <c r="E4661" t="s">
        <v>26</v>
      </c>
      <c r="F4661" t="s">
        <v>13</v>
      </c>
      <c r="G4661">
        <v>5</v>
      </c>
      <c r="H4661">
        <v>3.5</v>
      </c>
      <c r="I4661" t="s">
        <v>39</v>
      </c>
      <c r="J4661" t="s">
        <v>890</v>
      </c>
      <c r="K4661" s="12">
        <f>Store_Record[[#This Row],[Qty]]*Store_Record[[#This Row],[UnitPriceGBP]]</f>
        <v>17.5</v>
      </c>
      <c r="L4661" s="5" t="str">
        <f>TEXT(Store_Record[[#This Row],[Date]],"dddd")</f>
        <v>Saturday</v>
      </c>
      <c r="M4661" s="5" t="str">
        <f>TEXT(Store_Record[[#This Row],[Date]],"mmmm")</f>
        <v>December</v>
      </c>
      <c r="N4661" s="5">
        <f>YEAR(Store_Record[[#This Row],[Date]])</f>
        <v>2025</v>
      </c>
      <c r="O4661"/>
    </row>
    <row r="4662" spans="1:15" x14ac:dyDescent="0.35">
      <c r="A4662" t="s">
        <v>5663</v>
      </c>
      <c r="B4662" s="2">
        <v>45997</v>
      </c>
      <c r="C4662" t="s">
        <v>24</v>
      </c>
      <c r="D4662" t="s">
        <v>25</v>
      </c>
      <c r="E4662" t="s">
        <v>42</v>
      </c>
      <c r="F4662" t="s">
        <v>13</v>
      </c>
      <c r="G4662">
        <v>4</v>
      </c>
      <c r="H4662">
        <v>3.8</v>
      </c>
      <c r="I4662" t="s">
        <v>39</v>
      </c>
      <c r="J4662" t="s">
        <v>963</v>
      </c>
      <c r="K4662" s="12">
        <f>Store_Record[[#This Row],[Qty]]*Store_Record[[#This Row],[UnitPriceGBP]]</f>
        <v>15.2</v>
      </c>
      <c r="L4662" s="5" t="str">
        <f>TEXT(Store_Record[[#This Row],[Date]],"dddd")</f>
        <v>Saturday</v>
      </c>
      <c r="M4662" s="5" t="str">
        <f>TEXT(Store_Record[[#This Row],[Date]],"mmmm")</f>
        <v>December</v>
      </c>
      <c r="N4662" s="5">
        <f>YEAR(Store_Record[[#This Row],[Date]])</f>
        <v>2025</v>
      </c>
      <c r="O4662"/>
    </row>
    <row r="4663" spans="1:15" x14ac:dyDescent="0.35">
      <c r="A4663" t="s">
        <v>5656</v>
      </c>
      <c r="B4663" s="2">
        <v>45997</v>
      </c>
      <c r="C4663" t="s">
        <v>20</v>
      </c>
      <c r="D4663" t="s">
        <v>47</v>
      </c>
      <c r="E4663" t="s">
        <v>26</v>
      </c>
      <c r="F4663" t="s">
        <v>13</v>
      </c>
      <c r="G4663">
        <v>4</v>
      </c>
      <c r="H4663">
        <v>3.5</v>
      </c>
      <c r="I4663" t="s">
        <v>14</v>
      </c>
      <c r="J4663" t="s">
        <v>131</v>
      </c>
      <c r="K4663" s="12">
        <f>Store_Record[[#This Row],[Qty]]*Store_Record[[#This Row],[UnitPriceGBP]]</f>
        <v>14</v>
      </c>
      <c r="L4663" s="5" t="str">
        <f>TEXT(Store_Record[[#This Row],[Date]],"dddd")</f>
        <v>Saturday</v>
      </c>
      <c r="M4663" s="5" t="str">
        <f>TEXT(Store_Record[[#This Row],[Date]],"mmmm")</f>
        <v>December</v>
      </c>
      <c r="N4663" s="5">
        <f>YEAR(Store_Record[[#This Row],[Date]])</f>
        <v>2025</v>
      </c>
      <c r="O4663"/>
    </row>
    <row r="4664" spans="1:15" x14ac:dyDescent="0.35">
      <c r="A4664" t="s">
        <v>5661</v>
      </c>
      <c r="B4664" s="2">
        <v>45997</v>
      </c>
      <c r="C4664" t="s">
        <v>36</v>
      </c>
      <c r="D4664" t="s">
        <v>38</v>
      </c>
      <c r="E4664" t="s">
        <v>26</v>
      </c>
      <c r="F4664" t="s">
        <v>13</v>
      </c>
      <c r="G4664">
        <v>4</v>
      </c>
      <c r="H4664">
        <v>3.5</v>
      </c>
      <c r="I4664" t="s">
        <v>14</v>
      </c>
      <c r="J4664" t="s">
        <v>3433</v>
      </c>
      <c r="K4664" s="12">
        <f>Store_Record[[#This Row],[Qty]]*Store_Record[[#This Row],[UnitPriceGBP]]</f>
        <v>14</v>
      </c>
      <c r="L4664" s="5" t="str">
        <f>TEXT(Store_Record[[#This Row],[Date]],"dddd")</f>
        <v>Saturday</v>
      </c>
      <c r="M4664" s="5" t="str">
        <f>TEXT(Store_Record[[#This Row],[Date]],"mmmm")</f>
        <v>December</v>
      </c>
      <c r="N4664" s="5">
        <f>YEAR(Store_Record[[#This Row],[Date]])</f>
        <v>2025</v>
      </c>
      <c r="O4664"/>
    </row>
    <row r="4665" spans="1:15" x14ac:dyDescent="0.35">
      <c r="A4665" t="s">
        <v>5665</v>
      </c>
      <c r="B4665" s="2">
        <v>45997</v>
      </c>
      <c r="C4665" t="s">
        <v>24</v>
      </c>
      <c r="D4665" t="s">
        <v>25</v>
      </c>
      <c r="E4665" t="s">
        <v>30</v>
      </c>
      <c r="F4665" t="s">
        <v>31</v>
      </c>
      <c r="G4665">
        <v>5</v>
      </c>
      <c r="H4665">
        <v>2.8</v>
      </c>
      <c r="I4665" t="s">
        <v>14</v>
      </c>
      <c r="J4665" t="s">
        <v>2065</v>
      </c>
      <c r="K4665" s="12">
        <f>Store_Record[[#This Row],[Qty]]*Store_Record[[#This Row],[UnitPriceGBP]]</f>
        <v>14</v>
      </c>
      <c r="L4665" s="5" t="str">
        <f>TEXT(Store_Record[[#This Row],[Date]],"dddd")</f>
        <v>Saturday</v>
      </c>
      <c r="M4665" s="5" t="str">
        <f>TEXT(Store_Record[[#This Row],[Date]],"mmmm")</f>
        <v>December</v>
      </c>
      <c r="N4665" s="5">
        <f>YEAR(Store_Record[[#This Row],[Date]])</f>
        <v>2025</v>
      </c>
      <c r="O4665"/>
    </row>
    <row r="4666" spans="1:15" x14ac:dyDescent="0.35">
      <c r="A4666" t="s">
        <v>5652</v>
      </c>
      <c r="B4666" s="2">
        <v>45997</v>
      </c>
      <c r="C4666" t="s">
        <v>24</v>
      </c>
      <c r="D4666" t="s">
        <v>47</v>
      </c>
      <c r="E4666" t="s">
        <v>42</v>
      </c>
      <c r="F4666" t="s">
        <v>13</v>
      </c>
      <c r="G4666">
        <v>3</v>
      </c>
      <c r="H4666">
        <v>3.8</v>
      </c>
      <c r="I4666" t="s">
        <v>14</v>
      </c>
      <c r="J4666" t="s">
        <v>4874</v>
      </c>
      <c r="K4666" s="12">
        <f>Store_Record[[#This Row],[Qty]]*Store_Record[[#This Row],[UnitPriceGBP]]</f>
        <v>11.399999999999999</v>
      </c>
      <c r="L4666" s="5" t="str">
        <f>TEXT(Store_Record[[#This Row],[Date]],"dddd")</f>
        <v>Saturday</v>
      </c>
      <c r="M4666" s="5" t="str">
        <f>TEXT(Store_Record[[#This Row],[Date]],"mmmm")</f>
        <v>December</v>
      </c>
      <c r="N4666" s="5">
        <f>YEAR(Store_Record[[#This Row],[Date]])</f>
        <v>2025</v>
      </c>
      <c r="O4666"/>
    </row>
    <row r="4667" spans="1:15" x14ac:dyDescent="0.35">
      <c r="A4667" t="s">
        <v>5659</v>
      </c>
      <c r="B4667" s="2">
        <v>45997</v>
      </c>
      <c r="C4667" t="s">
        <v>36</v>
      </c>
      <c r="D4667" t="s">
        <v>11</v>
      </c>
      <c r="E4667" t="s">
        <v>30</v>
      </c>
      <c r="F4667" t="s">
        <v>31</v>
      </c>
      <c r="G4667">
        <v>4</v>
      </c>
      <c r="H4667">
        <v>2.8</v>
      </c>
      <c r="I4667" t="s">
        <v>21</v>
      </c>
      <c r="J4667" t="s">
        <v>4620</v>
      </c>
      <c r="K4667" s="12">
        <f>Store_Record[[#This Row],[Qty]]*Store_Record[[#This Row],[UnitPriceGBP]]</f>
        <v>11.2</v>
      </c>
      <c r="L4667" s="5" t="str">
        <f>TEXT(Store_Record[[#This Row],[Date]],"dddd")</f>
        <v>Saturday</v>
      </c>
      <c r="M4667" s="5" t="str">
        <f>TEXT(Store_Record[[#This Row],[Date]],"mmmm")</f>
        <v>December</v>
      </c>
      <c r="N4667" s="5">
        <f>YEAR(Store_Record[[#This Row],[Date]])</f>
        <v>2025</v>
      </c>
      <c r="O4667"/>
    </row>
    <row r="4668" spans="1:15" x14ac:dyDescent="0.35">
      <c r="A4668" t="s">
        <v>5662</v>
      </c>
      <c r="B4668" s="2">
        <v>45997</v>
      </c>
      <c r="C4668" t="s">
        <v>10</v>
      </c>
      <c r="D4668" t="s">
        <v>29</v>
      </c>
      <c r="E4668" t="s">
        <v>34</v>
      </c>
      <c r="F4668" t="s">
        <v>31</v>
      </c>
      <c r="G4668">
        <v>4</v>
      </c>
      <c r="H4668">
        <v>2.2000000000000002</v>
      </c>
      <c r="I4668" t="s">
        <v>14</v>
      </c>
      <c r="J4668" t="s">
        <v>504</v>
      </c>
      <c r="K4668" s="12">
        <f>Store_Record[[#This Row],[Qty]]*Store_Record[[#This Row],[UnitPriceGBP]]</f>
        <v>8.8000000000000007</v>
      </c>
      <c r="L4668" s="5" t="str">
        <f>TEXT(Store_Record[[#This Row],[Date]],"dddd")</f>
        <v>Saturday</v>
      </c>
      <c r="M4668" s="5" t="str">
        <f>TEXT(Store_Record[[#This Row],[Date]],"mmmm")</f>
        <v>December</v>
      </c>
      <c r="N4668" s="5">
        <f>YEAR(Store_Record[[#This Row],[Date]])</f>
        <v>2025</v>
      </c>
      <c r="O4668"/>
    </row>
    <row r="4669" spans="1:15" x14ac:dyDescent="0.35">
      <c r="A4669" t="s">
        <v>5655</v>
      </c>
      <c r="B4669" s="2">
        <v>45997</v>
      </c>
      <c r="C4669" t="s">
        <v>20</v>
      </c>
      <c r="D4669" t="s">
        <v>25</v>
      </c>
      <c r="E4669" t="s">
        <v>42</v>
      </c>
      <c r="F4669" t="s">
        <v>13</v>
      </c>
      <c r="G4669">
        <v>2</v>
      </c>
      <c r="H4669">
        <v>3.8</v>
      </c>
      <c r="I4669" t="s">
        <v>14</v>
      </c>
      <c r="J4669" t="s">
        <v>2672</v>
      </c>
      <c r="K4669" s="12">
        <f>Store_Record[[#This Row],[Qty]]*Store_Record[[#This Row],[UnitPriceGBP]]</f>
        <v>7.6</v>
      </c>
      <c r="L4669" s="5" t="str">
        <f>TEXT(Store_Record[[#This Row],[Date]],"dddd")</f>
        <v>Saturday</v>
      </c>
      <c r="M4669" s="5" t="str">
        <f>TEXT(Store_Record[[#This Row],[Date]],"mmmm")</f>
        <v>December</v>
      </c>
      <c r="N4669" s="5">
        <f>YEAR(Store_Record[[#This Row],[Date]])</f>
        <v>2025</v>
      </c>
      <c r="O4669"/>
    </row>
    <row r="4670" spans="1:15" x14ac:dyDescent="0.35">
      <c r="A4670" t="s">
        <v>5653</v>
      </c>
      <c r="B4670" s="2">
        <v>45997</v>
      </c>
      <c r="C4670" t="s">
        <v>20</v>
      </c>
      <c r="D4670" t="s">
        <v>38</v>
      </c>
      <c r="E4670" t="s">
        <v>12</v>
      </c>
      <c r="F4670" t="s">
        <v>13</v>
      </c>
      <c r="G4670">
        <v>3</v>
      </c>
      <c r="H4670">
        <v>2.5</v>
      </c>
      <c r="I4670" t="s">
        <v>21</v>
      </c>
      <c r="J4670" t="s">
        <v>575</v>
      </c>
      <c r="K4670" s="12">
        <f>Store_Record[[#This Row],[Qty]]*Store_Record[[#This Row],[UnitPriceGBP]]</f>
        <v>7.5</v>
      </c>
      <c r="L4670" s="5" t="str">
        <f>TEXT(Store_Record[[#This Row],[Date]],"dddd")</f>
        <v>Saturday</v>
      </c>
      <c r="M4670" s="5" t="str">
        <f>TEXT(Store_Record[[#This Row],[Date]],"mmmm")</f>
        <v>December</v>
      </c>
      <c r="N4670" s="5">
        <f>YEAR(Store_Record[[#This Row],[Date]])</f>
        <v>2025</v>
      </c>
      <c r="O4670"/>
    </row>
    <row r="4671" spans="1:15" x14ac:dyDescent="0.35">
      <c r="A4671" t="s">
        <v>5660</v>
      </c>
      <c r="B4671" s="2">
        <v>45997</v>
      </c>
      <c r="C4671" t="s">
        <v>10</v>
      </c>
      <c r="D4671" t="s">
        <v>29</v>
      </c>
      <c r="E4671" t="s">
        <v>26</v>
      </c>
      <c r="F4671" t="s">
        <v>13</v>
      </c>
      <c r="G4671">
        <v>2</v>
      </c>
      <c r="H4671">
        <v>3.5</v>
      </c>
      <c r="I4671" t="s">
        <v>14</v>
      </c>
      <c r="J4671" t="s">
        <v>712</v>
      </c>
      <c r="K4671" s="12">
        <f>Store_Record[[#This Row],[Qty]]*Store_Record[[#This Row],[UnitPriceGBP]]</f>
        <v>7</v>
      </c>
      <c r="L4671" s="5" t="str">
        <f>TEXT(Store_Record[[#This Row],[Date]],"dddd")</f>
        <v>Saturday</v>
      </c>
      <c r="M4671" s="5" t="str">
        <f>TEXT(Store_Record[[#This Row],[Date]],"mmmm")</f>
        <v>December</v>
      </c>
      <c r="N4671" s="5">
        <f>YEAR(Store_Record[[#This Row],[Date]])</f>
        <v>2025</v>
      </c>
      <c r="O4671"/>
    </row>
    <row r="4672" spans="1:15" x14ac:dyDescent="0.35">
      <c r="A4672" t="s">
        <v>5664</v>
      </c>
      <c r="B4672" s="2">
        <v>45997</v>
      </c>
      <c r="C4672" t="s">
        <v>20</v>
      </c>
      <c r="D4672" t="s">
        <v>29</v>
      </c>
      <c r="E4672" t="s">
        <v>26</v>
      </c>
      <c r="F4672" t="s">
        <v>13</v>
      </c>
      <c r="G4672">
        <v>2</v>
      </c>
      <c r="H4672">
        <v>3.5</v>
      </c>
      <c r="I4672" t="s">
        <v>21</v>
      </c>
      <c r="J4672" t="s">
        <v>167</v>
      </c>
      <c r="K4672" s="12">
        <f>Store_Record[[#This Row],[Qty]]*Store_Record[[#This Row],[UnitPriceGBP]]</f>
        <v>7</v>
      </c>
      <c r="L4672" s="5" t="str">
        <f>TEXT(Store_Record[[#This Row],[Date]],"dddd")</f>
        <v>Saturday</v>
      </c>
      <c r="M4672" s="5" t="str">
        <f>TEXT(Store_Record[[#This Row],[Date]],"mmmm")</f>
        <v>December</v>
      </c>
      <c r="N4672" s="5">
        <f>YEAR(Store_Record[[#This Row],[Date]])</f>
        <v>2025</v>
      </c>
      <c r="O4672"/>
    </row>
    <row r="4673" spans="1:15" x14ac:dyDescent="0.35">
      <c r="A4673" t="s">
        <v>5651</v>
      </c>
      <c r="B4673" s="2">
        <v>45997</v>
      </c>
      <c r="C4673" t="s">
        <v>24</v>
      </c>
      <c r="D4673" t="s">
        <v>25</v>
      </c>
      <c r="E4673" t="s">
        <v>26</v>
      </c>
      <c r="F4673" t="s">
        <v>13</v>
      </c>
      <c r="G4673">
        <v>1</v>
      </c>
      <c r="H4673">
        <v>3.5</v>
      </c>
      <c r="I4673" t="s">
        <v>14</v>
      </c>
      <c r="J4673" t="s">
        <v>1389</v>
      </c>
      <c r="K4673" s="12">
        <f>Store_Record[[#This Row],[Qty]]*Store_Record[[#This Row],[UnitPriceGBP]]</f>
        <v>3.5</v>
      </c>
      <c r="L4673" s="5" t="str">
        <f>TEXT(Store_Record[[#This Row],[Date]],"dddd")</f>
        <v>Saturday</v>
      </c>
      <c r="M4673" s="5" t="str">
        <f>TEXT(Store_Record[[#This Row],[Date]],"mmmm")</f>
        <v>December</v>
      </c>
      <c r="N4673" s="5">
        <f>YEAR(Store_Record[[#This Row],[Date]])</f>
        <v>2025</v>
      </c>
      <c r="O4673"/>
    </row>
    <row r="4674" spans="1:15" x14ac:dyDescent="0.35">
      <c r="A4674" t="s">
        <v>5658</v>
      </c>
      <c r="B4674" s="2">
        <v>45997</v>
      </c>
      <c r="C4674" t="s">
        <v>10</v>
      </c>
      <c r="D4674" t="s">
        <v>29</v>
      </c>
      <c r="E4674" t="s">
        <v>26</v>
      </c>
      <c r="F4674" t="s">
        <v>13</v>
      </c>
      <c r="G4674">
        <v>1</v>
      </c>
      <c r="H4674">
        <v>3.5</v>
      </c>
      <c r="I4674" t="s">
        <v>14</v>
      </c>
      <c r="J4674" t="s">
        <v>1181</v>
      </c>
      <c r="K4674" s="12">
        <f>Store_Record[[#This Row],[Qty]]*Store_Record[[#This Row],[UnitPriceGBP]]</f>
        <v>3.5</v>
      </c>
      <c r="L4674" s="5" t="str">
        <f>TEXT(Store_Record[[#This Row],[Date]],"dddd")</f>
        <v>Saturday</v>
      </c>
      <c r="M4674" s="5" t="str">
        <f>TEXT(Store_Record[[#This Row],[Date]],"mmmm")</f>
        <v>December</v>
      </c>
      <c r="N4674" s="5">
        <f>YEAR(Store_Record[[#This Row],[Date]])</f>
        <v>2025</v>
      </c>
      <c r="O4674"/>
    </row>
    <row r="4675" spans="1:15" x14ac:dyDescent="0.35">
      <c r="A4675" t="s">
        <v>5649</v>
      </c>
      <c r="B4675" s="2">
        <v>45997</v>
      </c>
      <c r="C4675" t="s">
        <v>24</v>
      </c>
      <c r="D4675" t="s">
        <v>38</v>
      </c>
      <c r="E4675" t="s">
        <v>30</v>
      </c>
      <c r="F4675" t="s">
        <v>31</v>
      </c>
      <c r="G4675">
        <v>1</v>
      </c>
      <c r="H4675">
        <v>2.8</v>
      </c>
      <c r="I4675" t="s">
        <v>14</v>
      </c>
      <c r="J4675" t="s">
        <v>1672</v>
      </c>
      <c r="K4675" s="12">
        <f>Store_Record[[#This Row],[Qty]]*Store_Record[[#This Row],[UnitPriceGBP]]</f>
        <v>2.8</v>
      </c>
      <c r="L4675" s="5" t="str">
        <f>TEXT(Store_Record[[#This Row],[Date]],"dddd")</f>
        <v>Saturday</v>
      </c>
      <c r="M4675" s="5" t="str">
        <f>TEXT(Store_Record[[#This Row],[Date]],"mmmm")</f>
        <v>December</v>
      </c>
      <c r="N4675" s="5">
        <f>YEAR(Store_Record[[#This Row],[Date]])</f>
        <v>2025</v>
      </c>
      <c r="O4675"/>
    </row>
    <row r="4676" spans="1:15" x14ac:dyDescent="0.35">
      <c r="A4676" t="s">
        <v>5657</v>
      </c>
      <c r="B4676" s="2">
        <v>45997</v>
      </c>
      <c r="C4676" t="s">
        <v>24</v>
      </c>
      <c r="D4676" t="s">
        <v>29</v>
      </c>
      <c r="E4676" t="s">
        <v>34</v>
      </c>
      <c r="F4676" t="s">
        <v>31</v>
      </c>
      <c r="G4676">
        <v>1</v>
      </c>
      <c r="H4676">
        <v>2.2000000000000002</v>
      </c>
      <c r="I4676" t="s">
        <v>14</v>
      </c>
      <c r="J4676" t="s">
        <v>2589</v>
      </c>
      <c r="K4676" s="12">
        <f>Store_Record[[#This Row],[Qty]]*Store_Record[[#This Row],[UnitPriceGBP]]</f>
        <v>2.2000000000000002</v>
      </c>
      <c r="L4676" s="5" t="str">
        <f>TEXT(Store_Record[[#This Row],[Date]],"dddd")</f>
        <v>Saturday</v>
      </c>
      <c r="M4676" s="5" t="str">
        <f>TEXT(Store_Record[[#This Row],[Date]],"mmmm")</f>
        <v>December</v>
      </c>
      <c r="N4676" s="5">
        <f>YEAR(Store_Record[[#This Row],[Date]])</f>
        <v>2025</v>
      </c>
      <c r="O4676"/>
    </row>
    <row r="4677" spans="1:15" x14ac:dyDescent="0.35">
      <c r="A4677" t="s">
        <v>5672</v>
      </c>
      <c r="B4677" s="2">
        <v>45998</v>
      </c>
      <c r="C4677" t="s">
        <v>36</v>
      </c>
      <c r="D4677" t="s">
        <v>11</v>
      </c>
      <c r="E4677" t="s">
        <v>26</v>
      </c>
      <c r="F4677" t="s">
        <v>13</v>
      </c>
      <c r="G4677">
        <v>5</v>
      </c>
      <c r="H4677">
        <v>3.5</v>
      </c>
      <c r="I4677" t="s">
        <v>14</v>
      </c>
      <c r="J4677" t="s">
        <v>101</v>
      </c>
      <c r="K4677" s="12">
        <f>Store_Record[[#This Row],[Qty]]*Store_Record[[#This Row],[UnitPriceGBP]]</f>
        <v>17.5</v>
      </c>
      <c r="L4677" s="5" t="str">
        <f>TEXT(Store_Record[[#This Row],[Date]],"dddd")</f>
        <v>Sunday</v>
      </c>
      <c r="M4677" s="5" t="str">
        <f>TEXT(Store_Record[[#This Row],[Date]],"mmmm")</f>
        <v>December</v>
      </c>
      <c r="N4677" s="5">
        <f>YEAR(Store_Record[[#This Row],[Date]])</f>
        <v>2025</v>
      </c>
      <c r="O4677"/>
    </row>
    <row r="4678" spans="1:15" x14ac:dyDescent="0.35">
      <c r="A4678" t="s">
        <v>5674</v>
      </c>
      <c r="B4678" s="2">
        <v>45998</v>
      </c>
      <c r="C4678" t="s">
        <v>10</v>
      </c>
      <c r="D4678" t="s">
        <v>29</v>
      </c>
      <c r="E4678" t="s">
        <v>26</v>
      </c>
      <c r="F4678" t="s">
        <v>13</v>
      </c>
      <c r="G4678">
        <v>5</v>
      </c>
      <c r="H4678">
        <v>3.5</v>
      </c>
      <c r="I4678" t="s">
        <v>14</v>
      </c>
      <c r="J4678" t="s">
        <v>462</v>
      </c>
      <c r="K4678" s="12">
        <f>Store_Record[[#This Row],[Qty]]*Store_Record[[#This Row],[UnitPriceGBP]]</f>
        <v>17.5</v>
      </c>
      <c r="L4678" s="5" t="str">
        <f>TEXT(Store_Record[[#This Row],[Date]],"dddd")</f>
        <v>Sunday</v>
      </c>
      <c r="M4678" s="5" t="str">
        <f>TEXT(Store_Record[[#This Row],[Date]],"mmmm")</f>
        <v>December</v>
      </c>
      <c r="N4678" s="5">
        <f>YEAR(Store_Record[[#This Row],[Date]])</f>
        <v>2025</v>
      </c>
      <c r="O4678"/>
    </row>
    <row r="4679" spans="1:15" x14ac:dyDescent="0.35">
      <c r="A4679" t="s">
        <v>5678</v>
      </c>
      <c r="B4679" s="2">
        <v>45998</v>
      </c>
      <c r="C4679" t="s">
        <v>24</v>
      </c>
      <c r="D4679" t="s">
        <v>47</v>
      </c>
      <c r="E4679" t="s">
        <v>26</v>
      </c>
      <c r="F4679" t="s">
        <v>13</v>
      </c>
      <c r="G4679">
        <v>5</v>
      </c>
      <c r="H4679">
        <v>3.5</v>
      </c>
      <c r="I4679" t="s">
        <v>14</v>
      </c>
      <c r="J4679" t="s">
        <v>1288</v>
      </c>
      <c r="K4679" s="12">
        <f>Store_Record[[#This Row],[Qty]]*Store_Record[[#This Row],[UnitPriceGBP]]</f>
        <v>17.5</v>
      </c>
      <c r="L4679" s="5" t="str">
        <f>TEXT(Store_Record[[#This Row],[Date]],"dddd")</f>
        <v>Sunday</v>
      </c>
      <c r="M4679" s="5" t="str">
        <f>TEXT(Store_Record[[#This Row],[Date]],"mmmm")</f>
        <v>December</v>
      </c>
      <c r="N4679" s="5">
        <f>YEAR(Store_Record[[#This Row],[Date]])</f>
        <v>2025</v>
      </c>
      <c r="O4679"/>
    </row>
    <row r="4680" spans="1:15" x14ac:dyDescent="0.35">
      <c r="A4680" t="s">
        <v>5669</v>
      </c>
      <c r="B4680" s="2">
        <v>45998</v>
      </c>
      <c r="C4680" t="s">
        <v>36</v>
      </c>
      <c r="D4680" t="s">
        <v>38</v>
      </c>
      <c r="E4680" t="s">
        <v>30</v>
      </c>
      <c r="F4680" t="s">
        <v>31</v>
      </c>
      <c r="G4680">
        <v>5</v>
      </c>
      <c r="H4680">
        <v>2.8</v>
      </c>
      <c r="I4680" t="s">
        <v>39</v>
      </c>
      <c r="J4680" t="s">
        <v>245</v>
      </c>
      <c r="K4680" s="12">
        <f>Store_Record[[#This Row],[Qty]]*Store_Record[[#This Row],[UnitPriceGBP]]</f>
        <v>14</v>
      </c>
      <c r="L4680" s="5" t="str">
        <f>TEXT(Store_Record[[#This Row],[Date]],"dddd")</f>
        <v>Sunday</v>
      </c>
      <c r="M4680" s="5" t="str">
        <f>TEXT(Store_Record[[#This Row],[Date]],"mmmm")</f>
        <v>December</v>
      </c>
      <c r="N4680" s="5">
        <f>YEAR(Store_Record[[#This Row],[Date]])</f>
        <v>2025</v>
      </c>
      <c r="O4680"/>
    </row>
    <row r="4681" spans="1:15" x14ac:dyDescent="0.35">
      <c r="A4681" t="s">
        <v>5677</v>
      </c>
      <c r="B4681" s="2">
        <v>45998</v>
      </c>
      <c r="C4681" t="s">
        <v>20</v>
      </c>
      <c r="D4681" t="s">
        <v>29</v>
      </c>
      <c r="E4681" t="s">
        <v>30</v>
      </c>
      <c r="F4681" t="s">
        <v>31</v>
      </c>
      <c r="G4681">
        <v>4</v>
      </c>
      <c r="H4681">
        <v>2.8</v>
      </c>
      <c r="I4681" t="s">
        <v>39</v>
      </c>
      <c r="J4681" t="s">
        <v>941</v>
      </c>
      <c r="K4681" s="12">
        <f>Store_Record[[#This Row],[Qty]]*Store_Record[[#This Row],[UnitPriceGBP]]</f>
        <v>11.2</v>
      </c>
      <c r="L4681" s="5" t="str">
        <f>TEXT(Store_Record[[#This Row],[Date]],"dddd")</f>
        <v>Sunday</v>
      </c>
      <c r="M4681" s="5" t="str">
        <f>TEXT(Store_Record[[#This Row],[Date]],"mmmm")</f>
        <v>December</v>
      </c>
      <c r="N4681" s="5">
        <f>YEAR(Store_Record[[#This Row],[Date]])</f>
        <v>2025</v>
      </c>
      <c r="O4681"/>
    </row>
    <row r="4682" spans="1:15" x14ac:dyDescent="0.35">
      <c r="A4682" t="s">
        <v>5679</v>
      </c>
      <c r="B4682" s="2">
        <v>45998</v>
      </c>
      <c r="C4682" t="s">
        <v>36</v>
      </c>
      <c r="D4682" t="s">
        <v>25</v>
      </c>
      <c r="E4682" t="s">
        <v>12</v>
      </c>
      <c r="F4682" t="s">
        <v>13</v>
      </c>
      <c r="G4682">
        <v>4</v>
      </c>
      <c r="H4682">
        <v>2.5</v>
      </c>
      <c r="I4682" t="s">
        <v>14</v>
      </c>
      <c r="J4682" t="s">
        <v>1329</v>
      </c>
      <c r="K4682" s="12">
        <f>Store_Record[[#This Row],[Qty]]*Store_Record[[#This Row],[UnitPriceGBP]]</f>
        <v>10</v>
      </c>
      <c r="L4682" s="5" t="str">
        <f>TEXT(Store_Record[[#This Row],[Date]],"dddd")</f>
        <v>Sunday</v>
      </c>
      <c r="M4682" s="5" t="str">
        <f>TEXT(Store_Record[[#This Row],[Date]],"mmmm")</f>
        <v>December</v>
      </c>
      <c r="N4682" s="5">
        <f>YEAR(Store_Record[[#This Row],[Date]])</f>
        <v>2025</v>
      </c>
      <c r="O4682"/>
    </row>
    <row r="4683" spans="1:15" x14ac:dyDescent="0.35">
      <c r="A4683" t="s">
        <v>5676</v>
      </c>
      <c r="B4683" s="2">
        <v>45998</v>
      </c>
      <c r="C4683" t="s">
        <v>24</v>
      </c>
      <c r="D4683" t="s">
        <v>38</v>
      </c>
      <c r="E4683" t="s">
        <v>34</v>
      </c>
      <c r="F4683" t="s">
        <v>31</v>
      </c>
      <c r="G4683">
        <v>4</v>
      </c>
      <c r="H4683">
        <v>2.2000000000000002</v>
      </c>
      <c r="I4683" t="s">
        <v>14</v>
      </c>
      <c r="J4683" t="s">
        <v>4096</v>
      </c>
      <c r="K4683" s="12">
        <f>Store_Record[[#This Row],[Qty]]*Store_Record[[#This Row],[UnitPriceGBP]]</f>
        <v>8.8000000000000007</v>
      </c>
      <c r="L4683" s="5" t="str">
        <f>TEXT(Store_Record[[#This Row],[Date]],"dddd")</f>
        <v>Sunday</v>
      </c>
      <c r="M4683" s="5" t="str">
        <f>TEXT(Store_Record[[#This Row],[Date]],"mmmm")</f>
        <v>December</v>
      </c>
      <c r="N4683" s="5">
        <f>YEAR(Store_Record[[#This Row],[Date]])</f>
        <v>2025</v>
      </c>
      <c r="O4683"/>
    </row>
    <row r="4684" spans="1:15" x14ac:dyDescent="0.35">
      <c r="A4684" t="s">
        <v>5673</v>
      </c>
      <c r="B4684" s="2">
        <v>45998</v>
      </c>
      <c r="C4684" t="s">
        <v>20</v>
      </c>
      <c r="D4684" t="s">
        <v>47</v>
      </c>
      <c r="E4684" t="s">
        <v>30</v>
      </c>
      <c r="F4684" t="s">
        <v>31</v>
      </c>
      <c r="G4684">
        <v>3</v>
      </c>
      <c r="H4684">
        <v>2.8</v>
      </c>
      <c r="I4684" t="s">
        <v>21</v>
      </c>
      <c r="J4684" t="s">
        <v>646</v>
      </c>
      <c r="K4684" s="12">
        <f>Store_Record[[#This Row],[Qty]]*Store_Record[[#This Row],[UnitPriceGBP]]</f>
        <v>8.3999999999999986</v>
      </c>
      <c r="L4684" s="5" t="str">
        <f>TEXT(Store_Record[[#This Row],[Date]],"dddd")</f>
        <v>Sunday</v>
      </c>
      <c r="M4684" s="5" t="str">
        <f>TEXT(Store_Record[[#This Row],[Date]],"mmmm")</f>
        <v>December</v>
      </c>
      <c r="N4684" s="5">
        <f>YEAR(Store_Record[[#This Row],[Date]])</f>
        <v>2025</v>
      </c>
      <c r="O4684"/>
    </row>
    <row r="4685" spans="1:15" x14ac:dyDescent="0.35">
      <c r="A4685" t="s">
        <v>5671</v>
      </c>
      <c r="B4685" s="2">
        <v>45998</v>
      </c>
      <c r="C4685" t="s">
        <v>24</v>
      </c>
      <c r="D4685" t="s">
        <v>47</v>
      </c>
      <c r="E4685" t="s">
        <v>12</v>
      </c>
      <c r="F4685" t="s">
        <v>13</v>
      </c>
      <c r="G4685">
        <v>3</v>
      </c>
      <c r="H4685">
        <v>2.5</v>
      </c>
      <c r="I4685" t="s">
        <v>14</v>
      </c>
      <c r="J4685" t="s">
        <v>1460</v>
      </c>
      <c r="K4685" s="12">
        <f>Store_Record[[#This Row],[Qty]]*Store_Record[[#This Row],[UnitPriceGBP]]</f>
        <v>7.5</v>
      </c>
      <c r="L4685" s="5" t="str">
        <f>TEXT(Store_Record[[#This Row],[Date]],"dddd")</f>
        <v>Sunday</v>
      </c>
      <c r="M4685" s="5" t="str">
        <f>TEXT(Store_Record[[#This Row],[Date]],"mmmm")</f>
        <v>December</v>
      </c>
      <c r="N4685" s="5">
        <f>YEAR(Store_Record[[#This Row],[Date]])</f>
        <v>2025</v>
      </c>
      <c r="O4685"/>
    </row>
    <row r="4686" spans="1:15" x14ac:dyDescent="0.35">
      <c r="A4686" t="s">
        <v>5668</v>
      </c>
      <c r="B4686" s="2">
        <v>45998</v>
      </c>
      <c r="C4686" t="s">
        <v>10</v>
      </c>
      <c r="D4686" t="s">
        <v>29</v>
      </c>
      <c r="E4686" t="s">
        <v>26</v>
      </c>
      <c r="F4686" t="s">
        <v>13</v>
      </c>
      <c r="G4686">
        <v>2</v>
      </c>
      <c r="H4686">
        <v>3.5</v>
      </c>
      <c r="I4686" t="s">
        <v>39</v>
      </c>
      <c r="J4686" t="s">
        <v>497</v>
      </c>
      <c r="K4686" s="12">
        <f>Store_Record[[#This Row],[Qty]]*Store_Record[[#This Row],[UnitPriceGBP]]</f>
        <v>7</v>
      </c>
      <c r="L4686" s="5" t="str">
        <f>TEXT(Store_Record[[#This Row],[Date]],"dddd")</f>
        <v>Sunday</v>
      </c>
      <c r="M4686" s="5" t="str">
        <f>TEXT(Store_Record[[#This Row],[Date]],"mmmm")</f>
        <v>December</v>
      </c>
      <c r="N4686" s="5">
        <f>YEAR(Store_Record[[#This Row],[Date]])</f>
        <v>2025</v>
      </c>
      <c r="O4686"/>
    </row>
    <row r="4687" spans="1:15" x14ac:dyDescent="0.35">
      <c r="A4687" t="s">
        <v>5667</v>
      </c>
      <c r="B4687" s="2">
        <v>45998</v>
      </c>
      <c r="C4687" t="s">
        <v>20</v>
      </c>
      <c r="D4687" t="s">
        <v>25</v>
      </c>
      <c r="E4687" t="s">
        <v>34</v>
      </c>
      <c r="F4687" t="s">
        <v>31</v>
      </c>
      <c r="G4687">
        <v>2</v>
      </c>
      <c r="H4687">
        <v>2.2000000000000002</v>
      </c>
      <c r="I4687" t="s">
        <v>21</v>
      </c>
      <c r="J4687" t="s">
        <v>163</v>
      </c>
      <c r="K4687" s="12">
        <f>Store_Record[[#This Row],[Qty]]*Store_Record[[#This Row],[UnitPriceGBP]]</f>
        <v>4.4000000000000004</v>
      </c>
      <c r="L4687" s="5" t="str">
        <f>TEXT(Store_Record[[#This Row],[Date]],"dddd")</f>
        <v>Sunday</v>
      </c>
      <c r="M4687" s="5" t="str">
        <f>TEXT(Store_Record[[#This Row],[Date]],"mmmm")</f>
        <v>December</v>
      </c>
      <c r="N4687" s="5">
        <f>YEAR(Store_Record[[#This Row],[Date]])</f>
        <v>2025</v>
      </c>
      <c r="O4687"/>
    </row>
    <row r="4688" spans="1:15" x14ac:dyDescent="0.35">
      <c r="A4688" t="s">
        <v>5675</v>
      </c>
      <c r="B4688" s="2">
        <v>45998</v>
      </c>
      <c r="C4688" t="s">
        <v>36</v>
      </c>
      <c r="D4688" t="s">
        <v>38</v>
      </c>
      <c r="E4688" t="s">
        <v>34</v>
      </c>
      <c r="F4688" t="s">
        <v>31</v>
      </c>
      <c r="G4688">
        <v>2</v>
      </c>
      <c r="H4688">
        <v>2.2000000000000002</v>
      </c>
      <c r="I4688" t="s">
        <v>14</v>
      </c>
      <c r="J4688" t="s">
        <v>1179</v>
      </c>
      <c r="K4688" s="12">
        <f>Store_Record[[#This Row],[Qty]]*Store_Record[[#This Row],[UnitPriceGBP]]</f>
        <v>4.4000000000000004</v>
      </c>
      <c r="L4688" s="5" t="str">
        <f>TEXT(Store_Record[[#This Row],[Date]],"dddd")</f>
        <v>Sunday</v>
      </c>
      <c r="M4688" s="5" t="str">
        <f>TEXT(Store_Record[[#This Row],[Date]],"mmmm")</f>
        <v>December</v>
      </c>
      <c r="N4688" s="5">
        <f>YEAR(Store_Record[[#This Row],[Date]])</f>
        <v>2025</v>
      </c>
      <c r="O4688"/>
    </row>
    <row r="4689" spans="1:15" x14ac:dyDescent="0.35">
      <c r="A4689" t="s">
        <v>5666</v>
      </c>
      <c r="B4689" s="2">
        <v>45998</v>
      </c>
      <c r="C4689" t="s">
        <v>10</v>
      </c>
      <c r="D4689" t="s">
        <v>47</v>
      </c>
      <c r="E4689" t="s">
        <v>12</v>
      </c>
      <c r="F4689" t="s">
        <v>13</v>
      </c>
      <c r="G4689">
        <v>1</v>
      </c>
      <c r="H4689">
        <v>2.5</v>
      </c>
      <c r="I4689" t="s">
        <v>39</v>
      </c>
      <c r="J4689" t="s">
        <v>834</v>
      </c>
      <c r="K4689" s="12">
        <f>Store_Record[[#This Row],[Qty]]*Store_Record[[#This Row],[UnitPriceGBP]]</f>
        <v>2.5</v>
      </c>
      <c r="L4689" s="5" t="str">
        <f>TEXT(Store_Record[[#This Row],[Date]],"dddd")</f>
        <v>Sunday</v>
      </c>
      <c r="M4689" s="5" t="str">
        <f>TEXT(Store_Record[[#This Row],[Date]],"mmmm")</f>
        <v>December</v>
      </c>
      <c r="N4689" s="5">
        <f>YEAR(Store_Record[[#This Row],[Date]])</f>
        <v>2025</v>
      </c>
      <c r="O4689"/>
    </row>
    <row r="4690" spans="1:15" x14ac:dyDescent="0.35">
      <c r="A4690" t="s">
        <v>5670</v>
      </c>
      <c r="B4690" s="2">
        <v>45998</v>
      </c>
      <c r="C4690" t="s">
        <v>20</v>
      </c>
      <c r="D4690" t="s">
        <v>38</v>
      </c>
      <c r="E4690" t="s">
        <v>12</v>
      </c>
      <c r="F4690" t="s">
        <v>13</v>
      </c>
      <c r="G4690">
        <v>1</v>
      </c>
      <c r="H4690">
        <v>2.5</v>
      </c>
      <c r="I4690" t="s">
        <v>21</v>
      </c>
      <c r="J4690" t="s">
        <v>1836</v>
      </c>
      <c r="K4690" s="12">
        <f>Store_Record[[#This Row],[Qty]]*Store_Record[[#This Row],[UnitPriceGBP]]</f>
        <v>2.5</v>
      </c>
      <c r="L4690" s="5" t="str">
        <f>TEXT(Store_Record[[#This Row],[Date]],"dddd")</f>
        <v>Sunday</v>
      </c>
      <c r="M4690" s="5" t="str">
        <f>TEXT(Store_Record[[#This Row],[Date]],"mmmm")</f>
        <v>December</v>
      </c>
      <c r="N4690" s="5">
        <f>YEAR(Store_Record[[#This Row],[Date]])</f>
        <v>2025</v>
      </c>
      <c r="O4690"/>
    </row>
    <row r="4691" spans="1:15" x14ac:dyDescent="0.35">
      <c r="A4691" t="s">
        <v>5682</v>
      </c>
      <c r="B4691" s="2">
        <v>45999</v>
      </c>
      <c r="C4691" t="s">
        <v>24</v>
      </c>
      <c r="D4691" t="s">
        <v>38</v>
      </c>
      <c r="E4691" t="s">
        <v>42</v>
      </c>
      <c r="F4691" t="s">
        <v>13</v>
      </c>
      <c r="G4691">
        <v>5</v>
      </c>
      <c r="H4691">
        <v>3.8</v>
      </c>
      <c r="I4691" t="s">
        <v>14</v>
      </c>
      <c r="J4691" t="s">
        <v>1319</v>
      </c>
      <c r="K4691" s="12">
        <f>Store_Record[[#This Row],[Qty]]*Store_Record[[#This Row],[UnitPriceGBP]]</f>
        <v>19</v>
      </c>
      <c r="L4691" s="5" t="str">
        <f>TEXT(Store_Record[[#This Row],[Date]],"dddd")</f>
        <v>Monday</v>
      </c>
      <c r="M4691" s="5" t="str">
        <f>TEXT(Store_Record[[#This Row],[Date]],"mmmm")</f>
        <v>December</v>
      </c>
      <c r="N4691" s="5">
        <f>YEAR(Store_Record[[#This Row],[Date]])</f>
        <v>2025</v>
      </c>
      <c r="O4691"/>
    </row>
    <row r="4692" spans="1:15" x14ac:dyDescent="0.35">
      <c r="A4692" t="s">
        <v>5690</v>
      </c>
      <c r="B4692" s="2">
        <v>45999</v>
      </c>
      <c r="C4692" t="s">
        <v>24</v>
      </c>
      <c r="D4692" t="s">
        <v>38</v>
      </c>
      <c r="E4692" t="s">
        <v>42</v>
      </c>
      <c r="F4692" t="s">
        <v>13</v>
      </c>
      <c r="G4692">
        <v>4</v>
      </c>
      <c r="H4692">
        <v>3.8</v>
      </c>
      <c r="I4692" t="s">
        <v>14</v>
      </c>
      <c r="J4692" t="s">
        <v>484</v>
      </c>
      <c r="K4692" s="12">
        <f>Store_Record[[#This Row],[Qty]]*Store_Record[[#This Row],[UnitPriceGBP]]</f>
        <v>15.2</v>
      </c>
      <c r="L4692" s="5" t="str">
        <f>TEXT(Store_Record[[#This Row],[Date]],"dddd")</f>
        <v>Monday</v>
      </c>
      <c r="M4692" s="5" t="str">
        <f>TEXT(Store_Record[[#This Row],[Date]],"mmmm")</f>
        <v>December</v>
      </c>
      <c r="N4692" s="5">
        <f>YEAR(Store_Record[[#This Row],[Date]])</f>
        <v>2025</v>
      </c>
      <c r="O4692"/>
    </row>
    <row r="4693" spans="1:15" x14ac:dyDescent="0.35">
      <c r="A4693" t="s">
        <v>5694</v>
      </c>
      <c r="B4693" s="2">
        <v>45999</v>
      </c>
      <c r="C4693" t="s">
        <v>24</v>
      </c>
      <c r="D4693" t="s">
        <v>38</v>
      </c>
      <c r="E4693" t="s">
        <v>12</v>
      </c>
      <c r="F4693" t="s">
        <v>13</v>
      </c>
      <c r="G4693">
        <v>5</v>
      </c>
      <c r="H4693">
        <v>2.5</v>
      </c>
      <c r="I4693" t="s">
        <v>21</v>
      </c>
      <c r="J4693" t="s">
        <v>1426</v>
      </c>
      <c r="K4693" s="12">
        <f>Store_Record[[#This Row],[Qty]]*Store_Record[[#This Row],[UnitPriceGBP]]</f>
        <v>12.5</v>
      </c>
      <c r="L4693" s="5" t="str">
        <f>TEXT(Store_Record[[#This Row],[Date]],"dddd")</f>
        <v>Monday</v>
      </c>
      <c r="M4693" s="5" t="str">
        <f>TEXT(Store_Record[[#This Row],[Date]],"mmmm")</f>
        <v>December</v>
      </c>
      <c r="N4693" s="5">
        <f>YEAR(Store_Record[[#This Row],[Date]])</f>
        <v>2025</v>
      </c>
      <c r="O4693"/>
    </row>
    <row r="4694" spans="1:15" x14ac:dyDescent="0.35">
      <c r="A4694" t="s">
        <v>5680</v>
      </c>
      <c r="B4694" s="2">
        <v>45999</v>
      </c>
      <c r="C4694" t="s">
        <v>20</v>
      </c>
      <c r="D4694" t="s">
        <v>29</v>
      </c>
      <c r="E4694" t="s">
        <v>42</v>
      </c>
      <c r="F4694" t="s">
        <v>13</v>
      </c>
      <c r="G4694">
        <v>3</v>
      </c>
      <c r="H4694">
        <v>3.8</v>
      </c>
      <c r="I4694" t="s">
        <v>21</v>
      </c>
      <c r="J4694" t="s">
        <v>1327</v>
      </c>
      <c r="K4694" s="12">
        <f>Store_Record[[#This Row],[Qty]]*Store_Record[[#This Row],[UnitPriceGBP]]</f>
        <v>11.399999999999999</v>
      </c>
      <c r="L4694" s="5" t="str">
        <f>TEXT(Store_Record[[#This Row],[Date]],"dddd")</f>
        <v>Monday</v>
      </c>
      <c r="M4694" s="5" t="str">
        <f>TEXT(Store_Record[[#This Row],[Date]],"mmmm")</f>
        <v>December</v>
      </c>
      <c r="N4694" s="5">
        <f>YEAR(Store_Record[[#This Row],[Date]])</f>
        <v>2025</v>
      </c>
      <c r="O4694"/>
    </row>
    <row r="4695" spans="1:15" x14ac:dyDescent="0.35">
      <c r="A4695" t="s">
        <v>5689</v>
      </c>
      <c r="B4695" s="2">
        <v>45999</v>
      </c>
      <c r="C4695" t="s">
        <v>20</v>
      </c>
      <c r="D4695" t="s">
        <v>11</v>
      </c>
      <c r="E4695" t="s">
        <v>12</v>
      </c>
      <c r="F4695" t="s">
        <v>13</v>
      </c>
      <c r="G4695">
        <v>4</v>
      </c>
      <c r="H4695">
        <v>2.5</v>
      </c>
      <c r="I4695" t="s">
        <v>39</v>
      </c>
      <c r="J4695" t="s">
        <v>4874</v>
      </c>
      <c r="K4695" s="12">
        <f>Store_Record[[#This Row],[Qty]]*Store_Record[[#This Row],[UnitPriceGBP]]</f>
        <v>10</v>
      </c>
      <c r="L4695" s="5" t="str">
        <f>TEXT(Store_Record[[#This Row],[Date]],"dddd")</f>
        <v>Monday</v>
      </c>
      <c r="M4695" s="5" t="str">
        <f>TEXT(Store_Record[[#This Row],[Date]],"mmmm")</f>
        <v>December</v>
      </c>
      <c r="N4695" s="5">
        <f>YEAR(Store_Record[[#This Row],[Date]])</f>
        <v>2025</v>
      </c>
      <c r="O4695"/>
    </row>
    <row r="4696" spans="1:15" x14ac:dyDescent="0.35">
      <c r="A4696" t="s">
        <v>5691</v>
      </c>
      <c r="B4696" s="2">
        <v>45999</v>
      </c>
      <c r="C4696" t="s">
        <v>10</v>
      </c>
      <c r="D4696" t="s">
        <v>29</v>
      </c>
      <c r="E4696" t="s">
        <v>34</v>
      </c>
      <c r="F4696" t="s">
        <v>31</v>
      </c>
      <c r="G4696">
        <v>4</v>
      </c>
      <c r="H4696">
        <v>2.2000000000000002</v>
      </c>
      <c r="I4696" t="s">
        <v>39</v>
      </c>
      <c r="J4696" t="s">
        <v>555</v>
      </c>
      <c r="K4696" s="12">
        <f>Store_Record[[#This Row],[Qty]]*Store_Record[[#This Row],[UnitPriceGBP]]</f>
        <v>8.8000000000000007</v>
      </c>
      <c r="L4696" s="5" t="str">
        <f>TEXT(Store_Record[[#This Row],[Date]],"dddd")</f>
        <v>Monday</v>
      </c>
      <c r="M4696" s="5" t="str">
        <f>TEXT(Store_Record[[#This Row],[Date]],"mmmm")</f>
        <v>December</v>
      </c>
      <c r="N4696" s="5">
        <f>YEAR(Store_Record[[#This Row],[Date]])</f>
        <v>2025</v>
      </c>
      <c r="O4696"/>
    </row>
    <row r="4697" spans="1:15" x14ac:dyDescent="0.35">
      <c r="A4697" t="s">
        <v>5692</v>
      </c>
      <c r="B4697" s="2">
        <v>45999</v>
      </c>
      <c r="C4697" t="s">
        <v>24</v>
      </c>
      <c r="D4697" t="s">
        <v>29</v>
      </c>
      <c r="E4697" t="s">
        <v>30</v>
      </c>
      <c r="F4697" t="s">
        <v>31</v>
      </c>
      <c r="G4697">
        <v>3</v>
      </c>
      <c r="H4697">
        <v>2.8</v>
      </c>
      <c r="I4697" t="s">
        <v>14</v>
      </c>
      <c r="J4697" t="s">
        <v>2405</v>
      </c>
      <c r="K4697" s="12">
        <f>Store_Record[[#This Row],[Qty]]*Store_Record[[#This Row],[UnitPriceGBP]]</f>
        <v>8.3999999999999986</v>
      </c>
      <c r="L4697" s="5" t="str">
        <f>TEXT(Store_Record[[#This Row],[Date]],"dddd")</f>
        <v>Monday</v>
      </c>
      <c r="M4697" s="5" t="str">
        <f>TEXT(Store_Record[[#This Row],[Date]],"mmmm")</f>
        <v>December</v>
      </c>
      <c r="N4697" s="5">
        <f>YEAR(Store_Record[[#This Row],[Date]])</f>
        <v>2025</v>
      </c>
      <c r="O4697"/>
    </row>
    <row r="4698" spans="1:15" x14ac:dyDescent="0.35">
      <c r="A4698" t="s">
        <v>5681</v>
      </c>
      <c r="B4698" s="2">
        <v>45999</v>
      </c>
      <c r="C4698" t="s">
        <v>36</v>
      </c>
      <c r="D4698" t="s">
        <v>11</v>
      </c>
      <c r="E4698" t="s">
        <v>30</v>
      </c>
      <c r="F4698" t="s">
        <v>31</v>
      </c>
      <c r="G4698">
        <v>2</v>
      </c>
      <c r="H4698">
        <v>2.8</v>
      </c>
      <c r="I4698" t="s">
        <v>14</v>
      </c>
      <c r="J4698" t="s">
        <v>2184</v>
      </c>
      <c r="K4698" s="12">
        <f>Store_Record[[#This Row],[Qty]]*Store_Record[[#This Row],[UnitPriceGBP]]</f>
        <v>5.6</v>
      </c>
      <c r="L4698" s="5" t="str">
        <f>TEXT(Store_Record[[#This Row],[Date]],"dddd")</f>
        <v>Monday</v>
      </c>
      <c r="M4698" s="5" t="str">
        <f>TEXT(Store_Record[[#This Row],[Date]],"mmmm")</f>
        <v>December</v>
      </c>
      <c r="N4698" s="5">
        <f>YEAR(Store_Record[[#This Row],[Date]])</f>
        <v>2025</v>
      </c>
      <c r="O4698"/>
    </row>
    <row r="4699" spans="1:15" x14ac:dyDescent="0.35">
      <c r="A4699" t="s">
        <v>5687</v>
      </c>
      <c r="B4699" s="2">
        <v>45999</v>
      </c>
      <c r="C4699" t="s">
        <v>36</v>
      </c>
      <c r="D4699" t="s">
        <v>25</v>
      </c>
      <c r="E4699" t="s">
        <v>12</v>
      </c>
      <c r="F4699" t="s">
        <v>13</v>
      </c>
      <c r="G4699">
        <v>2</v>
      </c>
      <c r="H4699">
        <v>2.5</v>
      </c>
      <c r="I4699" t="s">
        <v>14</v>
      </c>
      <c r="J4699" t="s">
        <v>1672</v>
      </c>
      <c r="K4699" s="12">
        <f>Store_Record[[#This Row],[Qty]]*Store_Record[[#This Row],[UnitPriceGBP]]</f>
        <v>5</v>
      </c>
      <c r="L4699" s="5" t="str">
        <f>TEXT(Store_Record[[#This Row],[Date]],"dddd")</f>
        <v>Monday</v>
      </c>
      <c r="M4699" s="5" t="str">
        <f>TEXT(Store_Record[[#This Row],[Date]],"mmmm")</f>
        <v>December</v>
      </c>
      <c r="N4699" s="5">
        <f>YEAR(Store_Record[[#This Row],[Date]])</f>
        <v>2025</v>
      </c>
      <c r="O4699"/>
    </row>
    <row r="4700" spans="1:15" x14ac:dyDescent="0.35">
      <c r="A4700" t="s">
        <v>5683</v>
      </c>
      <c r="B4700" s="2">
        <v>45999</v>
      </c>
      <c r="C4700" t="s">
        <v>10</v>
      </c>
      <c r="D4700" t="s">
        <v>25</v>
      </c>
      <c r="E4700" t="s">
        <v>42</v>
      </c>
      <c r="F4700" t="s">
        <v>13</v>
      </c>
      <c r="G4700">
        <v>1</v>
      </c>
      <c r="H4700">
        <v>3.8</v>
      </c>
      <c r="I4700" t="s">
        <v>14</v>
      </c>
      <c r="J4700" t="s">
        <v>1608</v>
      </c>
      <c r="K4700" s="12">
        <f>Store_Record[[#This Row],[Qty]]*Store_Record[[#This Row],[UnitPriceGBP]]</f>
        <v>3.8</v>
      </c>
      <c r="L4700" s="5" t="str">
        <f>TEXT(Store_Record[[#This Row],[Date]],"dddd")</f>
        <v>Monday</v>
      </c>
      <c r="M4700" s="5" t="str">
        <f>TEXT(Store_Record[[#This Row],[Date]],"mmmm")</f>
        <v>December</v>
      </c>
      <c r="N4700" s="5">
        <f>YEAR(Store_Record[[#This Row],[Date]])</f>
        <v>2025</v>
      </c>
      <c r="O4700"/>
    </row>
    <row r="4701" spans="1:15" x14ac:dyDescent="0.35">
      <c r="A4701" t="s">
        <v>5686</v>
      </c>
      <c r="B4701" s="2">
        <v>45999</v>
      </c>
      <c r="C4701" t="s">
        <v>36</v>
      </c>
      <c r="D4701" t="s">
        <v>29</v>
      </c>
      <c r="E4701" t="s">
        <v>26</v>
      </c>
      <c r="F4701" t="s">
        <v>13</v>
      </c>
      <c r="G4701">
        <v>1</v>
      </c>
      <c r="H4701">
        <v>3.5</v>
      </c>
      <c r="I4701" t="s">
        <v>39</v>
      </c>
      <c r="J4701" t="s">
        <v>1173</v>
      </c>
      <c r="K4701" s="12">
        <f>Store_Record[[#This Row],[Qty]]*Store_Record[[#This Row],[UnitPriceGBP]]</f>
        <v>3.5</v>
      </c>
      <c r="L4701" s="5" t="str">
        <f>TEXT(Store_Record[[#This Row],[Date]],"dddd")</f>
        <v>Monday</v>
      </c>
      <c r="M4701" s="5" t="str">
        <f>TEXT(Store_Record[[#This Row],[Date]],"mmmm")</f>
        <v>December</v>
      </c>
      <c r="N4701" s="5">
        <f>YEAR(Store_Record[[#This Row],[Date]])</f>
        <v>2025</v>
      </c>
      <c r="O4701"/>
    </row>
    <row r="4702" spans="1:15" x14ac:dyDescent="0.35">
      <c r="A4702" t="s">
        <v>5685</v>
      </c>
      <c r="B4702" s="2">
        <v>45999</v>
      </c>
      <c r="C4702" t="s">
        <v>10</v>
      </c>
      <c r="D4702" t="s">
        <v>25</v>
      </c>
      <c r="E4702" t="s">
        <v>30</v>
      </c>
      <c r="F4702" t="s">
        <v>31</v>
      </c>
      <c r="G4702">
        <v>1</v>
      </c>
      <c r="H4702">
        <v>2.8</v>
      </c>
      <c r="I4702" t="s">
        <v>21</v>
      </c>
      <c r="J4702" t="s">
        <v>1219</v>
      </c>
      <c r="K4702" s="12">
        <f>Store_Record[[#This Row],[Qty]]*Store_Record[[#This Row],[UnitPriceGBP]]</f>
        <v>2.8</v>
      </c>
      <c r="L4702" s="5" t="str">
        <f>TEXT(Store_Record[[#This Row],[Date]],"dddd")</f>
        <v>Monday</v>
      </c>
      <c r="M4702" s="5" t="str">
        <f>TEXT(Store_Record[[#This Row],[Date]],"mmmm")</f>
        <v>December</v>
      </c>
      <c r="N4702" s="5">
        <f>YEAR(Store_Record[[#This Row],[Date]])</f>
        <v>2025</v>
      </c>
      <c r="O4702"/>
    </row>
    <row r="4703" spans="1:15" x14ac:dyDescent="0.35">
      <c r="A4703" t="s">
        <v>5688</v>
      </c>
      <c r="B4703" s="2">
        <v>45999</v>
      </c>
      <c r="C4703" t="s">
        <v>10</v>
      </c>
      <c r="D4703" t="s">
        <v>11</v>
      </c>
      <c r="E4703" t="s">
        <v>30</v>
      </c>
      <c r="F4703" t="s">
        <v>31</v>
      </c>
      <c r="G4703">
        <v>1</v>
      </c>
      <c r="H4703">
        <v>2.8</v>
      </c>
      <c r="I4703" t="s">
        <v>39</v>
      </c>
      <c r="J4703" t="s">
        <v>2218</v>
      </c>
      <c r="K4703" s="12">
        <f>Store_Record[[#This Row],[Qty]]*Store_Record[[#This Row],[UnitPriceGBP]]</f>
        <v>2.8</v>
      </c>
      <c r="L4703" s="5" t="str">
        <f>TEXT(Store_Record[[#This Row],[Date]],"dddd")</f>
        <v>Monday</v>
      </c>
      <c r="M4703" s="5" t="str">
        <f>TEXT(Store_Record[[#This Row],[Date]],"mmmm")</f>
        <v>December</v>
      </c>
      <c r="N4703" s="5">
        <f>YEAR(Store_Record[[#This Row],[Date]])</f>
        <v>2025</v>
      </c>
      <c r="O4703"/>
    </row>
    <row r="4704" spans="1:15" x14ac:dyDescent="0.35">
      <c r="A4704" t="s">
        <v>5684</v>
      </c>
      <c r="B4704" s="2">
        <v>45999</v>
      </c>
      <c r="C4704" t="s">
        <v>10</v>
      </c>
      <c r="D4704" t="s">
        <v>38</v>
      </c>
      <c r="E4704" t="s">
        <v>12</v>
      </c>
      <c r="F4704" t="s">
        <v>13</v>
      </c>
      <c r="G4704">
        <v>1</v>
      </c>
      <c r="H4704">
        <v>2.5</v>
      </c>
      <c r="I4704" t="s">
        <v>21</v>
      </c>
      <c r="J4704" t="s">
        <v>78</v>
      </c>
      <c r="K4704" s="12">
        <f>Store_Record[[#This Row],[Qty]]*Store_Record[[#This Row],[UnitPriceGBP]]</f>
        <v>2.5</v>
      </c>
      <c r="L4704" s="5" t="str">
        <f>TEXT(Store_Record[[#This Row],[Date]],"dddd")</f>
        <v>Monday</v>
      </c>
      <c r="M4704" s="5" t="str">
        <f>TEXT(Store_Record[[#This Row],[Date]],"mmmm")</f>
        <v>December</v>
      </c>
      <c r="N4704" s="5">
        <f>YEAR(Store_Record[[#This Row],[Date]])</f>
        <v>2025</v>
      </c>
      <c r="O4704"/>
    </row>
    <row r="4705" spans="1:15" x14ac:dyDescent="0.35">
      <c r="A4705" t="s">
        <v>5693</v>
      </c>
      <c r="B4705" s="2">
        <v>45999</v>
      </c>
      <c r="C4705" t="s">
        <v>10</v>
      </c>
      <c r="D4705" t="s">
        <v>29</v>
      </c>
      <c r="E4705" t="s">
        <v>34</v>
      </c>
      <c r="F4705" t="s">
        <v>31</v>
      </c>
      <c r="G4705">
        <v>1</v>
      </c>
      <c r="H4705">
        <v>2.2000000000000002</v>
      </c>
      <c r="I4705" t="s">
        <v>14</v>
      </c>
      <c r="J4705" t="s">
        <v>1479</v>
      </c>
      <c r="K4705" s="12">
        <f>Store_Record[[#This Row],[Qty]]*Store_Record[[#This Row],[UnitPriceGBP]]</f>
        <v>2.2000000000000002</v>
      </c>
      <c r="L4705" s="5" t="str">
        <f>TEXT(Store_Record[[#This Row],[Date]],"dddd")</f>
        <v>Monday</v>
      </c>
      <c r="M4705" s="5" t="str">
        <f>TEXT(Store_Record[[#This Row],[Date]],"mmmm")</f>
        <v>December</v>
      </c>
      <c r="N4705" s="5">
        <f>YEAR(Store_Record[[#This Row],[Date]])</f>
        <v>2025</v>
      </c>
      <c r="O4705"/>
    </row>
    <row r="4706" spans="1:15" x14ac:dyDescent="0.35">
      <c r="A4706" t="s">
        <v>5701</v>
      </c>
      <c r="B4706" s="2">
        <v>46000</v>
      </c>
      <c r="C4706" t="s">
        <v>10</v>
      </c>
      <c r="D4706" t="s">
        <v>29</v>
      </c>
      <c r="E4706" t="s">
        <v>42</v>
      </c>
      <c r="F4706" t="s">
        <v>13</v>
      </c>
      <c r="G4706">
        <v>4</v>
      </c>
      <c r="H4706">
        <v>3.8</v>
      </c>
      <c r="I4706" t="s">
        <v>14</v>
      </c>
      <c r="J4706" t="s">
        <v>169</v>
      </c>
      <c r="K4706" s="12">
        <f>Store_Record[[#This Row],[Qty]]*Store_Record[[#This Row],[UnitPriceGBP]]</f>
        <v>15.2</v>
      </c>
      <c r="L4706" s="5" t="str">
        <f>TEXT(Store_Record[[#This Row],[Date]],"dddd")</f>
        <v>Tuesday</v>
      </c>
      <c r="M4706" s="5" t="str">
        <f>TEXT(Store_Record[[#This Row],[Date]],"mmmm")</f>
        <v>December</v>
      </c>
      <c r="N4706" s="5">
        <f>YEAR(Store_Record[[#This Row],[Date]])</f>
        <v>2025</v>
      </c>
      <c r="O4706"/>
    </row>
    <row r="4707" spans="1:15" x14ac:dyDescent="0.35">
      <c r="A4707" t="s">
        <v>5705</v>
      </c>
      <c r="B4707" s="2">
        <v>46000</v>
      </c>
      <c r="C4707" t="s">
        <v>10</v>
      </c>
      <c r="D4707" t="s">
        <v>47</v>
      </c>
      <c r="E4707" t="s">
        <v>42</v>
      </c>
      <c r="F4707" t="s">
        <v>13</v>
      </c>
      <c r="G4707">
        <v>4</v>
      </c>
      <c r="H4707">
        <v>3.8</v>
      </c>
      <c r="I4707" t="s">
        <v>39</v>
      </c>
      <c r="J4707" t="s">
        <v>4531</v>
      </c>
      <c r="K4707" s="12">
        <f>Store_Record[[#This Row],[Qty]]*Store_Record[[#This Row],[UnitPriceGBP]]</f>
        <v>15.2</v>
      </c>
      <c r="L4707" s="5" t="str">
        <f>TEXT(Store_Record[[#This Row],[Date]],"dddd")</f>
        <v>Tuesday</v>
      </c>
      <c r="M4707" s="5" t="str">
        <f>TEXT(Store_Record[[#This Row],[Date]],"mmmm")</f>
        <v>December</v>
      </c>
      <c r="N4707" s="5">
        <f>YEAR(Store_Record[[#This Row],[Date]])</f>
        <v>2025</v>
      </c>
      <c r="O4707"/>
    </row>
    <row r="4708" spans="1:15" x14ac:dyDescent="0.35">
      <c r="A4708" t="s">
        <v>5698</v>
      </c>
      <c r="B4708" s="2">
        <v>46000</v>
      </c>
      <c r="C4708" t="s">
        <v>36</v>
      </c>
      <c r="D4708" t="s">
        <v>11</v>
      </c>
      <c r="E4708" t="s">
        <v>26</v>
      </c>
      <c r="F4708" t="s">
        <v>13</v>
      </c>
      <c r="G4708">
        <v>4</v>
      </c>
      <c r="H4708">
        <v>3.5</v>
      </c>
      <c r="I4708" t="s">
        <v>14</v>
      </c>
      <c r="J4708" t="s">
        <v>321</v>
      </c>
      <c r="K4708" s="12">
        <f>Store_Record[[#This Row],[Qty]]*Store_Record[[#This Row],[UnitPriceGBP]]</f>
        <v>14</v>
      </c>
      <c r="L4708" s="5" t="str">
        <f>TEXT(Store_Record[[#This Row],[Date]],"dddd")</f>
        <v>Tuesday</v>
      </c>
      <c r="M4708" s="5" t="str">
        <f>TEXT(Store_Record[[#This Row],[Date]],"mmmm")</f>
        <v>December</v>
      </c>
      <c r="N4708" s="5">
        <f>YEAR(Store_Record[[#This Row],[Date]])</f>
        <v>2025</v>
      </c>
      <c r="O4708"/>
    </row>
    <row r="4709" spans="1:15" x14ac:dyDescent="0.35">
      <c r="A4709" t="s">
        <v>5695</v>
      </c>
      <c r="B4709" s="2">
        <v>46000</v>
      </c>
      <c r="C4709" t="s">
        <v>24</v>
      </c>
      <c r="D4709" t="s">
        <v>29</v>
      </c>
      <c r="E4709" t="s">
        <v>42</v>
      </c>
      <c r="F4709" t="s">
        <v>13</v>
      </c>
      <c r="G4709">
        <v>3</v>
      </c>
      <c r="H4709">
        <v>3.8</v>
      </c>
      <c r="I4709" t="s">
        <v>14</v>
      </c>
      <c r="J4709" t="s">
        <v>2401</v>
      </c>
      <c r="K4709" s="12">
        <f>Store_Record[[#This Row],[Qty]]*Store_Record[[#This Row],[UnitPriceGBP]]</f>
        <v>11.399999999999999</v>
      </c>
      <c r="L4709" s="5" t="str">
        <f>TEXT(Store_Record[[#This Row],[Date]],"dddd")</f>
        <v>Tuesday</v>
      </c>
      <c r="M4709" s="5" t="str">
        <f>TEXT(Store_Record[[#This Row],[Date]],"mmmm")</f>
        <v>December</v>
      </c>
      <c r="N4709" s="5">
        <f>YEAR(Store_Record[[#This Row],[Date]])</f>
        <v>2025</v>
      </c>
      <c r="O4709"/>
    </row>
    <row r="4710" spans="1:15" x14ac:dyDescent="0.35">
      <c r="A4710" t="s">
        <v>5699</v>
      </c>
      <c r="B4710" s="2">
        <v>46000</v>
      </c>
      <c r="C4710" t="s">
        <v>20</v>
      </c>
      <c r="D4710" t="s">
        <v>25</v>
      </c>
      <c r="E4710" t="s">
        <v>30</v>
      </c>
      <c r="F4710" t="s">
        <v>31</v>
      </c>
      <c r="G4710">
        <v>4</v>
      </c>
      <c r="H4710">
        <v>2.8</v>
      </c>
      <c r="I4710" t="s">
        <v>14</v>
      </c>
      <c r="J4710" t="s">
        <v>2001</v>
      </c>
      <c r="K4710" s="12">
        <f>Store_Record[[#This Row],[Qty]]*Store_Record[[#This Row],[UnitPriceGBP]]</f>
        <v>11.2</v>
      </c>
      <c r="L4710" s="5" t="str">
        <f>TEXT(Store_Record[[#This Row],[Date]],"dddd")</f>
        <v>Tuesday</v>
      </c>
      <c r="M4710" s="5" t="str">
        <f>TEXT(Store_Record[[#This Row],[Date]],"mmmm")</f>
        <v>December</v>
      </c>
      <c r="N4710" s="5">
        <f>YEAR(Store_Record[[#This Row],[Date]])</f>
        <v>2025</v>
      </c>
      <c r="O4710"/>
    </row>
    <row r="4711" spans="1:15" x14ac:dyDescent="0.35">
      <c r="A4711" t="s">
        <v>5703</v>
      </c>
      <c r="B4711" s="2">
        <v>46000</v>
      </c>
      <c r="C4711" t="s">
        <v>24</v>
      </c>
      <c r="D4711" t="s">
        <v>47</v>
      </c>
      <c r="E4711" t="s">
        <v>42</v>
      </c>
      <c r="F4711" t="s">
        <v>13</v>
      </c>
      <c r="G4711">
        <v>2</v>
      </c>
      <c r="H4711">
        <v>3.8</v>
      </c>
      <c r="I4711" t="s">
        <v>39</v>
      </c>
      <c r="J4711" t="s">
        <v>1655</v>
      </c>
      <c r="K4711" s="12">
        <f>Store_Record[[#This Row],[Qty]]*Store_Record[[#This Row],[UnitPriceGBP]]</f>
        <v>7.6</v>
      </c>
      <c r="L4711" s="5" t="str">
        <f>TEXT(Store_Record[[#This Row],[Date]],"dddd")</f>
        <v>Tuesday</v>
      </c>
      <c r="M4711" s="5" t="str">
        <f>TEXT(Store_Record[[#This Row],[Date]],"mmmm")</f>
        <v>December</v>
      </c>
      <c r="N4711" s="5">
        <f>YEAR(Store_Record[[#This Row],[Date]])</f>
        <v>2025</v>
      </c>
      <c r="O4711"/>
    </row>
    <row r="4712" spans="1:15" x14ac:dyDescent="0.35">
      <c r="A4712" t="s">
        <v>5697</v>
      </c>
      <c r="B4712" s="2">
        <v>46000</v>
      </c>
      <c r="C4712" t="s">
        <v>10</v>
      </c>
      <c r="D4712" t="s">
        <v>11</v>
      </c>
      <c r="E4712" t="s">
        <v>34</v>
      </c>
      <c r="F4712" t="s">
        <v>31</v>
      </c>
      <c r="G4712">
        <v>2</v>
      </c>
      <c r="H4712">
        <v>2.2000000000000002</v>
      </c>
      <c r="I4712" t="s">
        <v>21</v>
      </c>
      <c r="J4712" t="s">
        <v>171</v>
      </c>
      <c r="K4712" s="12">
        <f>Store_Record[[#This Row],[Qty]]*Store_Record[[#This Row],[UnitPriceGBP]]</f>
        <v>4.4000000000000004</v>
      </c>
      <c r="L4712" s="5" t="str">
        <f>TEXT(Store_Record[[#This Row],[Date]],"dddd")</f>
        <v>Tuesday</v>
      </c>
      <c r="M4712" s="5" t="str">
        <f>TEXT(Store_Record[[#This Row],[Date]],"mmmm")</f>
        <v>December</v>
      </c>
      <c r="N4712" s="5">
        <f>YEAR(Store_Record[[#This Row],[Date]])</f>
        <v>2025</v>
      </c>
      <c r="O4712"/>
    </row>
    <row r="4713" spans="1:15" x14ac:dyDescent="0.35">
      <c r="A4713" t="s">
        <v>5702</v>
      </c>
      <c r="B4713" s="2">
        <v>46000</v>
      </c>
      <c r="C4713" t="s">
        <v>24</v>
      </c>
      <c r="D4713" t="s">
        <v>38</v>
      </c>
      <c r="E4713" t="s">
        <v>42</v>
      </c>
      <c r="F4713" t="s">
        <v>13</v>
      </c>
      <c r="G4713">
        <v>1</v>
      </c>
      <c r="H4713">
        <v>3.8</v>
      </c>
      <c r="I4713" t="s">
        <v>21</v>
      </c>
      <c r="J4713" t="s">
        <v>1418</v>
      </c>
      <c r="K4713" s="12">
        <f>Store_Record[[#This Row],[Qty]]*Store_Record[[#This Row],[UnitPriceGBP]]</f>
        <v>3.8</v>
      </c>
      <c r="L4713" s="5" t="str">
        <f>TEXT(Store_Record[[#This Row],[Date]],"dddd")</f>
        <v>Tuesday</v>
      </c>
      <c r="M4713" s="5" t="str">
        <f>TEXT(Store_Record[[#This Row],[Date]],"mmmm")</f>
        <v>December</v>
      </c>
      <c r="N4713" s="5">
        <f>YEAR(Store_Record[[#This Row],[Date]])</f>
        <v>2025</v>
      </c>
      <c r="O4713"/>
    </row>
    <row r="4714" spans="1:15" x14ac:dyDescent="0.35">
      <c r="A4714" t="s">
        <v>5696</v>
      </c>
      <c r="B4714" s="2">
        <v>46000</v>
      </c>
      <c r="C4714" t="s">
        <v>36</v>
      </c>
      <c r="D4714" t="s">
        <v>47</v>
      </c>
      <c r="E4714" t="s">
        <v>26</v>
      </c>
      <c r="F4714" t="s">
        <v>13</v>
      </c>
      <c r="G4714">
        <v>1</v>
      </c>
      <c r="H4714">
        <v>3.5</v>
      </c>
      <c r="I4714" t="s">
        <v>14</v>
      </c>
      <c r="J4714" t="s">
        <v>1553</v>
      </c>
      <c r="K4714" s="12">
        <f>Store_Record[[#This Row],[Qty]]*Store_Record[[#This Row],[UnitPriceGBP]]</f>
        <v>3.5</v>
      </c>
      <c r="L4714" s="5" t="str">
        <f>TEXT(Store_Record[[#This Row],[Date]],"dddd")</f>
        <v>Tuesday</v>
      </c>
      <c r="M4714" s="5" t="str">
        <f>TEXT(Store_Record[[#This Row],[Date]],"mmmm")</f>
        <v>December</v>
      </c>
      <c r="N4714" s="5">
        <f>YEAR(Store_Record[[#This Row],[Date]])</f>
        <v>2025</v>
      </c>
      <c r="O4714"/>
    </row>
    <row r="4715" spans="1:15" x14ac:dyDescent="0.35">
      <c r="A4715" t="s">
        <v>5704</v>
      </c>
      <c r="B4715" s="2">
        <v>46000</v>
      </c>
      <c r="C4715" t="s">
        <v>20</v>
      </c>
      <c r="D4715" t="s">
        <v>11</v>
      </c>
      <c r="E4715" t="s">
        <v>12</v>
      </c>
      <c r="F4715" t="s">
        <v>13</v>
      </c>
      <c r="G4715">
        <v>1</v>
      </c>
      <c r="H4715">
        <v>2.5</v>
      </c>
      <c r="I4715" t="s">
        <v>39</v>
      </c>
      <c r="J4715" t="s">
        <v>830</v>
      </c>
      <c r="K4715" s="12">
        <f>Store_Record[[#This Row],[Qty]]*Store_Record[[#This Row],[UnitPriceGBP]]</f>
        <v>2.5</v>
      </c>
      <c r="L4715" s="5" t="str">
        <f>TEXT(Store_Record[[#This Row],[Date]],"dddd")</f>
        <v>Tuesday</v>
      </c>
      <c r="M4715" s="5" t="str">
        <f>TEXT(Store_Record[[#This Row],[Date]],"mmmm")</f>
        <v>December</v>
      </c>
      <c r="N4715" s="5">
        <f>YEAR(Store_Record[[#This Row],[Date]])</f>
        <v>2025</v>
      </c>
      <c r="O4715"/>
    </row>
    <row r="4716" spans="1:15" x14ac:dyDescent="0.35">
      <c r="A4716" t="s">
        <v>5706</v>
      </c>
      <c r="B4716" s="2">
        <v>46000</v>
      </c>
      <c r="C4716" t="s">
        <v>36</v>
      </c>
      <c r="D4716" t="s">
        <v>25</v>
      </c>
      <c r="E4716" t="s">
        <v>12</v>
      </c>
      <c r="F4716" t="s">
        <v>13</v>
      </c>
      <c r="G4716">
        <v>1</v>
      </c>
      <c r="H4716">
        <v>2.5</v>
      </c>
      <c r="I4716" t="s">
        <v>14</v>
      </c>
      <c r="J4716" t="s">
        <v>3523</v>
      </c>
      <c r="K4716" s="12">
        <f>Store_Record[[#This Row],[Qty]]*Store_Record[[#This Row],[UnitPriceGBP]]</f>
        <v>2.5</v>
      </c>
      <c r="L4716" s="5" t="str">
        <f>TEXT(Store_Record[[#This Row],[Date]],"dddd")</f>
        <v>Tuesday</v>
      </c>
      <c r="M4716" s="5" t="str">
        <f>TEXT(Store_Record[[#This Row],[Date]],"mmmm")</f>
        <v>December</v>
      </c>
      <c r="N4716" s="5">
        <f>YEAR(Store_Record[[#This Row],[Date]])</f>
        <v>2025</v>
      </c>
      <c r="O4716"/>
    </row>
    <row r="4717" spans="1:15" x14ac:dyDescent="0.35">
      <c r="A4717" t="s">
        <v>5700</v>
      </c>
      <c r="B4717" s="2">
        <v>46000</v>
      </c>
      <c r="C4717" t="s">
        <v>24</v>
      </c>
      <c r="D4717" t="s">
        <v>25</v>
      </c>
      <c r="E4717" t="s">
        <v>34</v>
      </c>
      <c r="F4717" t="s">
        <v>31</v>
      </c>
      <c r="G4717">
        <v>1</v>
      </c>
      <c r="H4717">
        <v>2.2000000000000002</v>
      </c>
      <c r="I4717" t="s">
        <v>14</v>
      </c>
      <c r="J4717" t="s">
        <v>91</v>
      </c>
      <c r="K4717" s="12">
        <f>Store_Record[[#This Row],[Qty]]*Store_Record[[#This Row],[UnitPriceGBP]]</f>
        <v>2.2000000000000002</v>
      </c>
      <c r="L4717" s="5" t="str">
        <f>TEXT(Store_Record[[#This Row],[Date]],"dddd")</f>
        <v>Tuesday</v>
      </c>
      <c r="M4717" s="5" t="str">
        <f>TEXT(Store_Record[[#This Row],[Date]],"mmmm")</f>
        <v>December</v>
      </c>
      <c r="N4717" s="5">
        <f>YEAR(Store_Record[[#This Row],[Date]])</f>
        <v>2025</v>
      </c>
      <c r="O4717"/>
    </row>
    <row r="4718" spans="1:15" x14ac:dyDescent="0.35">
      <c r="A4718" t="s">
        <v>5712</v>
      </c>
      <c r="B4718" s="2">
        <v>46001</v>
      </c>
      <c r="C4718" t="s">
        <v>24</v>
      </c>
      <c r="D4718" t="s">
        <v>47</v>
      </c>
      <c r="E4718" t="s">
        <v>42</v>
      </c>
      <c r="F4718" t="s">
        <v>13</v>
      </c>
      <c r="G4718">
        <v>5</v>
      </c>
      <c r="H4718">
        <v>3.8</v>
      </c>
      <c r="I4718" t="s">
        <v>39</v>
      </c>
      <c r="J4718" t="s">
        <v>2241</v>
      </c>
      <c r="K4718" s="12">
        <f>Store_Record[[#This Row],[Qty]]*Store_Record[[#This Row],[UnitPriceGBP]]</f>
        <v>19</v>
      </c>
      <c r="L4718" s="5" t="str">
        <f>TEXT(Store_Record[[#This Row],[Date]],"dddd")</f>
        <v>Wednesday</v>
      </c>
      <c r="M4718" s="5" t="str">
        <f>TEXT(Store_Record[[#This Row],[Date]],"mmmm")</f>
        <v>December</v>
      </c>
      <c r="N4718" s="5">
        <f>YEAR(Store_Record[[#This Row],[Date]])</f>
        <v>2025</v>
      </c>
      <c r="O4718"/>
    </row>
    <row r="4719" spans="1:15" x14ac:dyDescent="0.35">
      <c r="A4719" t="s">
        <v>5714</v>
      </c>
      <c r="B4719" s="2">
        <v>46001</v>
      </c>
      <c r="C4719" t="s">
        <v>36</v>
      </c>
      <c r="D4719" t="s">
        <v>47</v>
      </c>
      <c r="E4719" t="s">
        <v>26</v>
      </c>
      <c r="F4719" t="s">
        <v>13</v>
      </c>
      <c r="G4719">
        <v>5</v>
      </c>
      <c r="H4719">
        <v>3.5</v>
      </c>
      <c r="I4719" t="s">
        <v>39</v>
      </c>
      <c r="J4719" t="s">
        <v>2013</v>
      </c>
      <c r="K4719" s="12">
        <f>Store_Record[[#This Row],[Qty]]*Store_Record[[#This Row],[UnitPriceGBP]]</f>
        <v>17.5</v>
      </c>
      <c r="L4719" s="5" t="str">
        <f>TEXT(Store_Record[[#This Row],[Date]],"dddd")</f>
        <v>Wednesday</v>
      </c>
      <c r="M4719" s="5" t="str">
        <f>TEXT(Store_Record[[#This Row],[Date]],"mmmm")</f>
        <v>December</v>
      </c>
      <c r="N4719" s="5">
        <f>YEAR(Store_Record[[#This Row],[Date]])</f>
        <v>2025</v>
      </c>
      <c r="O4719"/>
    </row>
    <row r="4720" spans="1:15" x14ac:dyDescent="0.35">
      <c r="A4720" t="s">
        <v>5708</v>
      </c>
      <c r="B4720" s="2">
        <v>46001</v>
      </c>
      <c r="C4720" t="s">
        <v>24</v>
      </c>
      <c r="D4720" t="s">
        <v>11</v>
      </c>
      <c r="E4720" t="s">
        <v>42</v>
      </c>
      <c r="F4720" t="s">
        <v>13</v>
      </c>
      <c r="G4720">
        <v>4</v>
      </c>
      <c r="H4720">
        <v>3.8</v>
      </c>
      <c r="I4720" t="s">
        <v>14</v>
      </c>
      <c r="J4720" t="s">
        <v>3348</v>
      </c>
      <c r="K4720" s="12">
        <f>Store_Record[[#This Row],[Qty]]*Store_Record[[#This Row],[UnitPriceGBP]]</f>
        <v>15.2</v>
      </c>
      <c r="L4720" s="5" t="str">
        <f>TEXT(Store_Record[[#This Row],[Date]],"dddd")</f>
        <v>Wednesday</v>
      </c>
      <c r="M4720" s="5" t="str">
        <f>TEXT(Store_Record[[#This Row],[Date]],"mmmm")</f>
        <v>December</v>
      </c>
      <c r="N4720" s="5">
        <f>YEAR(Store_Record[[#This Row],[Date]])</f>
        <v>2025</v>
      </c>
      <c r="O4720"/>
    </row>
    <row r="4721" spans="1:15" x14ac:dyDescent="0.35">
      <c r="A4721" t="s">
        <v>5709</v>
      </c>
      <c r="B4721" s="2">
        <v>46001</v>
      </c>
      <c r="C4721" t="s">
        <v>24</v>
      </c>
      <c r="D4721" t="s">
        <v>25</v>
      </c>
      <c r="E4721" t="s">
        <v>30</v>
      </c>
      <c r="F4721" t="s">
        <v>31</v>
      </c>
      <c r="G4721">
        <v>5</v>
      </c>
      <c r="H4721">
        <v>2.8</v>
      </c>
      <c r="I4721" t="s">
        <v>21</v>
      </c>
      <c r="J4721" t="s">
        <v>362</v>
      </c>
      <c r="K4721" s="12">
        <f>Store_Record[[#This Row],[Qty]]*Store_Record[[#This Row],[UnitPriceGBP]]</f>
        <v>14</v>
      </c>
      <c r="L4721" s="5" t="str">
        <f>TEXT(Store_Record[[#This Row],[Date]],"dddd")</f>
        <v>Wednesday</v>
      </c>
      <c r="M4721" s="5" t="str">
        <f>TEXT(Store_Record[[#This Row],[Date]],"mmmm")</f>
        <v>December</v>
      </c>
      <c r="N4721" s="5">
        <f>YEAR(Store_Record[[#This Row],[Date]])</f>
        <v>2025</v>
      </c>
      <c r="O4721"/>
    </row>
    <row r="4722" spans="1:15" x14ac:dyDescent="0.35">
      <c r="A4722" t="s">
        <v>5713</v>
      </c>
      <c r="B4722" s="2">
        <v>46001</v>
      </c>
      <c r="C4722" t="s">
        <v>20</v>
      </c>
      <c r="D4722" t="s">
        <v>25</v>
      </c>
      <c r="E4722" t="s">
        <v>12</v>
      </c>
      <c r="F4722" t="s">
        <v>13</v>
      </c>
      <c r="G4722">
        <v>5</v>
      </c>
      <c r="H4722">
        <v>2.5</v>
      </c>
      <c r="I4722" t="s">
        <v>39</v>
      </c>
      <c r="J4722" t="s">
        <v>1667</v>
      </c>
      <c r="K4722" s="12">
        <f>Store_Record[[#This Row],[Qty]]*Store_Record[[#This Row],[UnitPriceGBP]]</f>
        <v>12.5</v>
      </c>
      <c r="L4722" s="5" t="str">
        <f>TEXT(Store_Record[[#This Row],[Date]],"dddd")</f>
        <v>Wednesday</v>
      </c>
      <c r="M4722" s="5" t="str">
        <f>TEXT(Store_Record[[#This Row],[Date]],"mmmm")</f>
        <v>December</v>
      </c>
      <c r="N4722" s="5">
        <f>YEAR(Store_Record[[#This Row],[Date]])</f>
        <v>2025</v>
      </c>
      <c r="O4722"/>
    </row>
    <row r="4723" spans="1:15" x14ac:dyDescent="0.35">
      <c r="A4723" t="s">
        <v>5718</v>
      </c>
      <c r="B4723" s="2">
        <v>46001</v>
      </c>
      <c r="C4723" t="s">
        <v>36</v>
      </c>
      <c r="D4723" t="s">
        <v>38</v>
      </c>
      <c r="E4723" t="s">
        <v>42</v>
      </c>
      <c r="F4723" t="s">
        <v>13</v>
      </c>
      <c r="G4723">
        <v>3</v>
      </c>
      <c r="H4723">
        <v>3.8</v>
      </c>
      <c r="I4723" t="s">
        <v>21</v>
      </c>
      <c r="J4723" t="s">
        <v>1005</v>
      </c>
      <c r="K4723" s="12">
        <f>Store_Record[[#This Row],[Qty]]*Store_Record[[#This Row],[UnitPriceGBP]]</f>
        <v>11.399999999999999</v>
      </c>
      <c r="L4723" s="5" t="str">
        <f>TEXT(Store_Record[[#This Row],[Date]],"dddd")</f>
        <v>Wednesday</v>
      </c>
      <c r="M4723" s="5" t="str">
        <f>TEXT(Store_Record[[#This Row],[Date]],"mmmm")</f>
        <v>December</v>
      </c>
      <c r="N4723" s="5">
        <f>YEAR(Store_Record[[#This Row],[Date]])</f>
        <v>2025</v>
      </c>
      <c r="O4723"/>
    </row>
    <row r="4724" spans="1:15" x14ac:dyDescent="0.35">
      <c r="A4724" t="s">
        <v>5710</v>
      </c>
      <c r="B4724" s="2">
        <v>46001</v>
      </c>
      <c r="C4724" t="s">
        <v>10</v>
      </c>
      <c r="D4724" t="s">
        <v>38</v>
      </c>
      <c r="E4724" t="s">
        <v>26</v>
      </c>
      <c r="F4724" t="s">
        <v>13</v>
      </c>
      <c r="G4724">
        <v>3</v>
      </c>
      <c r="H4724">
        <v>3.5</v>
      </c>
      <c r="I4724" t="s">
        <v>39</v>
      </c>
      <c r="J4724" t="s">
        <v>161</v>
      </c>
      <c r="K4724" s="12">
        <f>Store_Record[[#This Row],[Qty]]*Store_Record[[#This Row],[UnitPriceGBP]]</f>
        <v>10.5</v>
      </c>
      <c r="L4724" s="5" t="str">
        <f>TEXT(Store_Record[[#This Row],[Date]],"dddd")</f>
        <v>Wednesday</v>
      </c>
      <c r="M4724" s="5" t="str">
        <f>TEXT(Store_Record[[#This Row],[Date]],"mmmm")</f>
        <v>December</v>
      </c>
      <c r="N4724" s="5">
        <f>YEAR(Store_Record[[#This Row],[Date]])</f>
        <v>2025</v>
      </c>
      <c r="O4724"/>
    </row>
    <row r="4725" spans="1:15" x14ac:dyDescent="0.35">
      <c r="A4725" t="s">
        <v>5707</v>
      </c>
      <c r="B4725" s="2">
        <v>46001</v>
      </c>
      <c r="C4725" t="s">
        <v>24</v>
      </c>
      <c r="D4725" t="s">
        <v>11</v>
      </c>
      <c r="E4725" t="s">
        <v>34</v>
      </c>
      <c r="F4725" t="s">
        <v>31</v>
      </c>
      <c r="G4725">
        <v>4</v>
      </c>
      <c r="H4725">
        <v>2.2000000000000002</v>
      </c>
      <c r="I4725" t="s">
        <v>14</v>
      </c>
      <c r="J4725" t="s">
        <v>2837</v>
      </c>
      <c r="K4725" s="12">
        <f>Store_Record[[#This Row],[Qty]]*Store_Record[[#This Row],[UnitPriceGBP]]</f>
        <v>8.8000000000000007</v>
      </c>
      <c r="L4725" s="5" t="str">
        <f>TEXT(Store_Record[[#This Row],[Date]],"dddd")</f>
        <v>Wednesday</v>
      </c>
      <c r="M4725" s="5" t="str">
        <f>TEXT(Store_Record[[#This Row],[Date]],"mmmm")</f>
        <v>December</v>
      </c>
      <c r="N4725" s="5">
        <f>YEAR(Store_Record[[#This Row],[Date]])</f>
        <v>2025</v>
      </c>
      <c r="O4725"/>
    </row>
    <row r="4726" spans="1:15" x14ac:dyDescent="0.35">
      <c r="A4726" t="s">
        <v>5716</v>
      </c>
      <c r="B4726" s="2">
        <v>46001</v>
      </c>
      <c r="C4726" t="s">
        <v>24</v>
      </c>
      <c r="D4726" t="s">
        <v>29</v>
      </c>
      <c r="E4726" t="s">
        <v>30</v>
      </c>
      <c r="F4726" t="s">
        <v>31</v>
      </c>
      <c r="G4726">
        <v>3</v>
      </c>
      <c r="H4726">
        <v>2.8</v>
      </c>
      <c r="I4726" t="s">
        <v>21</v>
      </c>
      <c r="J4726" t="s">
        <v>1449</v>
      </c>
      <c r="K4726" s="12">
        <f>Store_Record[[#This Row],[Qty]]*Store_Record[[#This Row],[UnitPriceGBP]]</f>
        <v>8.3999999999999986</v>
      </c>
      <c r="L4726" s="5" t="str">
        <f>TEXT(Store_Record[[#This Row],[Date]],"dddd")</f>
        <v>Wednesday</v>
      </c>
      <c r="M4726" s="5" t="str">
        <f>TEXT(Store_Record[[#This Row],[Date]],"mmmm")</f>
        <v>December</v>
      </c>
      <c r="N4726" s="5">
        <f>YEAR(Store_Record[[#This Row],[Date]])</f>
        <v>2025</v>
      </c>
      <c r="O4726"/>
    </row>
    <row r="4727" spans="1:15" x14ac:dyDescent="0.35">
      <c r="A4727" t="s">
        <v>5711</v>
      </c>
      <c r="B4727" s="2">
        <v>46001</v>
      </c>
      <c r="C4727" t="s">
        <v>10</v>
      </c>
      <c r="D4727" t="s">
        <v>25</v>
      </c>
      <c r="E4727" t="s">
        <v>26</v>
      </c>
      <c r="F4727" t="s">
        <v>13</v>
      </c>
      <c r="G4727">
        <v>2</v>
      </c>
      <c r="H4727">
        <v>3.5</v>
      </c>
      <c r="I4727" t="s">
        <v>21</v>
      </c>
      <c r="J4727" t="s">
        <v>734</v>
      </c>
      <c r="K4727" s="12">
        <f>Store_Record[[#This Row],[Qty]]*Store_Record[[#This Row],[UnitPriceGBP]]</f>
        <v>7</v>
      </c>
      <c r="L4727" s="5" t="str">
        <f>TEXT(Store_Record[[#This Row],[Date]],"dddd")</f>
        <v>Wednesday</v>
      </c>
      <c r="M4727" s="5" t="str">
        <f>TEXT(Store_Record[[#This Row],[Date]],"mmmm")</f>
        <v>December</v>
      </c>
      <c r="N4727" s="5">
        <f>YEAR(Store_Record[[#This Row],[Date]])</f>
        <v>2025</v>
      </c>
      <c r="O4727"/>
    </row>
    <row r="4728" spans="1:15" x14ac:dyDescent="0.35">
      <c r="A4728" t="s">
        <v>5715</v>
      </c>
      <c r="B4728" s="2">
        <v>46001</v>
      </c>
      <c r="C4728" t="s">
        <v>36</v>
      </c>
      <c r="D4728" t="s">
        <v>25</v>
      </c>
      <c r="E4728" t="s">
        <v>34</v>
      </c>
      <c r="F4728" t="s">
        <v>31</v>
      </c>
      <c r="G4728">
        <v>2</v>
      </c>
      <c r="H4728">
        <v>2.2000000000000002</v>
      </c>
      <c r="I4728" t="s">
        <v>39</v>
      </c>
      <c r="J4728" t="s">
        <v>423</v>
      </c>
      <c r="K4728" s="12">
        <f>Store_Record[[#This Row],[Qty]]*Store_Record[[#This Row],[UnitPriceGBP]]</f>
        <v>4.4000000000000004</v>
      </c>
      <c r="L4728" s="5" t="str">
        <f>TEXT(Store_Record[[#This Row],[Date]],"dddd")</f>
        <v>Wednesday</v>
      </c>
      <c r="M4728" s="5" t="str">
        <f>TEXT(Store_Record[[#This Row],[Date]],"mmmm")</f>
        <v>December</v>
      </c>
      <c r="N4728" s="5">
        <f>YEAR(Store_Record[[#This Row],[Date]])</f>
        <v>2025</v>
      </c>
      <c r="O4728"/>
    </row>
    <row r="4729" spans="1:15" x14ac:dyDescent="0.35">
      <c r="A4729" t="s">
        <v>5717</v>
      </c>
      <c r="B4729" s="2">
        <v>46001</v>
      </c>
      <c r="C4729" t="s">
        <v>24</v>
      </c>
      <c r="D4729" t="s">
        <v>38</v>
      </c>
      <c r="E4729" t="s">
        <v>26</v>
      </c>
      <c r="F4729" t="s">
        <v>13</v>
      </c>
      <c r="G4729">
        <v>1</v>
      </c>
      <c r="H4729">
        <v>3.5</v>
      </c>
      <c r="I4729" t="s">
        <v>21</v>
      </c>
      <c r="J4729" t="s">
        <v>1233</v>
      </c>
      <c r="K4729" s="12">
        <f>Store_Record[[#This Row],[Qty]]*Store_Record[[#This Row],[UnitPriceGBP]]</f>
        <v>3.5</v>
      </c>
      <c r="L4729" s="5" t="str">
        <f>TEXT(Store_Record[[#This Row],[Date]],"dddd")</f>
        <v>Wednesday</v>
      </c>
      <c r="M4729" s="5" t="str">
        <f>TEXT(Store_Record[[#This Row],[Date]],"mmmm")</f>
        <v>December</v>
      </c>
      <c r="N4729" s="5">
        <f>YEAR(Store_Record[[#This Row],[Date]])</f>
        <v>2025</v>
      </c>
      <c r="O4729"/>
    </row>
    <row r="4730" spans="1:15" x14ac:dyDescent="0.35">
      <c r="A4730" t="s">
        <v>5724</v>
      </c>
      <c r="B4730" s="2">
        <v>46002</v>
      </c>
      <c r="C4730" t="s">
        <v>36</v>
      </c>
      <c r="D4730" t="s">
        <v>47</v>
      </c>
      <c r="E4730" t="s">
        <v>42</v>
      </c>
      <c r="F4730" t="s">
        <v>13</v>
      </c>
      <c r="G4730">
        <v>5</v>
      </c>
      <c r="H4730">
        <v>3.8</v>
      </c>
      <c r="I4730" t="s">
        <v>14</v>
      </c>
      <c r="J4730" t="s">
        <v>146</v>
      </c>
      <c r="K4730" s="12">
        <f>Store_Record[[#This Row],[Qty]]*Store_Record[[#This Row],[UnitPriceGBP]]</f>
        <v>19</v>
      </c>
      <c r="L4730" s="5" t="str">
        <f>TEXT(Store_Record[[#This Row],[Date]],"dddd")</f>
        <v>Thursday</v>
      </c>
      <c r="M4730" s="5" t="str">
        <f>TEXT(Store_Record[[#This Row],[Date]],"mmmm")</f>
        <v>December</v>
      </c>
      <c r="N4730" s="5">
        <f>YEAR(Store_Record[[#This Row],[Date]])</f>
        <v>2025</v>
      </c>
      <c r="O4730"/>
    </row>
    <row r="4731" spans="1:15" x14ac:dyDescent="0.35">
      <c r="A4731" t="s">
        <v>5729</v>
      </c>
      <c r="B4731" s="2">
        <v>46002</v>
      </c>
      <c r="C4731" t="s">
        <v>36</v>
      </c>
      <c r="D4731" t="s">
        <v>29</v>
      </c>
      <c r="E4731" t="s">
        <v>26</v>
      </c>
      <c r="F4731" t="s">
        <v>13</v>
      </c>
      <c r="G4731">
        <v>5</v>
      </c>
      <c r="H4731">
        <v>3.5</v>
      </c>
      <c r="I4731" t="s">
        <v>21</v>
      </c>
      <c r="J4731" t="s">
        <v>3356</v>
      </c>
      <c r="K4731" s="12">
        <f>Store_Record[[#This Row],[Qty]]*Store_Record[[#This Row],[UnitPriceGBP]]</f>
        <v>17.5</v>
      </c>
      <c r="L4731" s="5" t="str">
        <f>TEXT(Store_Record[[#This Row],[Date]],"dddd")</f>
        <v>Thursday</v>
      </c>
      <c r="M4731" s="5" t="str">
        <f>TEXT(Store_Record[[#This Row],[Date]],"mmmm")</f>
        <v>December</v>
      </c>
      <c r="N4731" s="5">
        <f>YEAR(Store_Record[[#This Row],[Date]])</f>
        <v>2025</v>
      </c>
      <c r="O4731"/>
    </row>
    <row r="4732" spans="1:15" x14ac:dyDescent="0.35">
      <c r="A4732" t="s">
        <v>5727</v>
      </c>
      <c r="B4732" s="2">
        <v>46002</v>
      </c>
      <c r="C4732" t="s">
        <v>24</v>
      </c>
      <c r="D4732" t="s">
        <v>38</v>
      </c>
      <c r="E4732" t="s">
        <v>42</v>
      </c>
      <c r="F4732" t="s">
        <v>13</v>
      </c>
      <c r="G4732">
        <v>4</v>
      </c>
      <c r="H4732">
        <v>3.8</v>
      </c>
      <c r="I4732" t="s">
        <v>14</v>
      </c>
      <c r="J4732" t="s">
        <v>2649</v>
      </c>
      <c r="K4732" s="12">
        <f>Store_Record[[#This Row],[Qty]]*Store_Record[[#This Row],[UnitPriceGBP]]</f>
        <v>15.2</v>
      </c>
      <c r="L4732" s="5" t="str">
        <f>TEXT(Store_Record[[#This Row],[Date]],"dddd")</f>
        <v>Thursday</v>
      </c>
      <c r="M4732" s="5" t="str">
        <f>TEXT(Store_Record[[#This Row],[Date]],"mmmm")</f>
        <v>December</v>
      </c>
      <c r="N4732" s="5">
        <f>YEAR(Store_Record[[#This Row],[Date]])</f>
        <v>2025</v>
      </c>
      <c r="O4732"/>
    </row>
    <row r="4733" spans="1:15" x14ac:dyDescent="0.35">
      <c r="A4733" t="s">
        <v>5728</v>
      </c>
      <c r="B4733" s="2">
        <v>46002</v>
      </c>
      <c r="C4733" t="s">
        <v>24</v>
      </c>
      <c r="D4733" t="s">
        <v>47</v>
      </c>
      <c r="E4733" t="s">
        <v>42</v>
      </c>
      <c r="F4733" t="s">
        <v>13</v>
      </c>
      <c r="G4733">
        <v>3</v>
      </c>
      <c r="H4733">
        <v>3.8</v>
      </c>
      <c r="I4733" t="s">
        <v>21</v>
      </c>
      <c r="J4733" t="s">
        <v>1302</v>
      </c>
      <c r="K4733" s="12">
        <f>Store_Record[[#This Row],[Qty]]*Store_Record[[#This Row],[UnitPriceGBP]]</f>
        <v>11.399999999999999</v>
      </c>
      <c r="L4733" s="5" t="str">
        <f>TEXT(Store_Record[[#This Row],[Date]],"dddd")</f>
        <v>Thursday</v>
      </c>
      <c r="M4733" s="5" t="str">
        <f>TEXT(Store_Record[[#This Row],[Date]],"mmmm")</f>
        <v>December</v>
      </c>
      <c r="N4733" s="5">
        <f>YEAR(Store_Record[[#This Row],[Date]])</f>
        <v>2025</v>
      </c>
      <c r="O4733"/>
    </row>
    <row r="4734" spans="1:15" x14ac:dyDescent="0.35">
      <c r="A4734" t="s">
        <v>5721</v>
      </c>
      <c r="B4734" s="2">
        <v>46002</v>
      </c>
      <c r="C4734" t="s">
        <v>20</v>
      </c>
      <c r="D4734" t="s">
        <v>29</v>
      </c>
      <c r="E4734" t="s">
        <v>34</v>
      </c>
      <c r="F4734" t="s">
        <v>31</v>
      </c>
      <c r="G4734">
        <v>5</v>
      </c>
      <c r="H4734">
        <v>2.2000000000000002</v>
      </c>
      <c r="I4734" t="s">
        <v>39</v>
      </c>
      <c r="J4734" t="s">
        <v>1477</v>
      </c>
      <c r="K4734" s="12">
        <f>Store_Record[[#This Row],[Qty]]*Store_Record[[#This Row],[UnitPriceGBP]]</f>
        <v>11</v>
      </c>
      <c r="L4734" s="5" t="str">
        <f>TEXT(Store_Record[[#This Row],[Date]],"dddd")</f>
        <v>Thursday</v>
      </c>
      <c r="M4734" s="5" t="str">
        <f>TEXT(Store_Record[[#This Row],[Date]],"mmmm")</f>
        <v>December</v>
      </c>
      <c r="N4734" s="5">
        <f>YEAR(Store_Record[[#This Row],[Date]])</f>
        <v>2025</v>
      </c>
      <c r="O4734"/>
    </row>
    <row r="4735" spans="1:15" x14ac:dyDescent="0.35">
      <c r="A4735" t="s">
        <v>5720</v>
      </c>
      <c r="B4735" s="2">
        <v>46002</v>
      </c>
      <c r="C4735" t="s">
        <v>20</v>
      </c>
      <c r="D4735" t="s">
        <v>11</v>
      </c>
      <c r="E4735" t="s">
        <v>12</v>
      </c>
      <c r="F4735" t="s">
        <v>13</v>
      </c>
      <c r="G4735">
        <v>4</v>
      </c>
      <c r="H4735">
        <v>2.5</v>
      </c>
      <c r="I4735" t="s">
        <v>21</v>
      </c>
      <c r="J4735" t="s">
        <v>153</v>
      </c>
      <c r="K4735" s="12">
        <f>Store_Record[[#This Row],[Qty]]*Store_Record[[#This Row],[UnitPriceGBP]]</f>
        <v>10</v>
      </c>
      <c r="L4735" s="5" t="str">
        <f>TEXT(Store_Record[[#This Row],[Date]],"dddd")</f>
        <v>Thursday</v>
      </c>
      <c r="M4735" s="5" t="str">
        <f>TEXT(Store_Record[[#This Row],[Date]],"mmmm")</f>
        <v>December</v>
      </c>
      <c r="N4735" s="5">
        <f>YEAR(Store_Record[[#This Row],[Date]])</f>
        <v>2025</v>
      </c>
      <c r="O4735"/>
    </row>
    <row r="4736" spans="1:15" x14ac:dyDescent="0.35">
      <c r="A4736" t="s">
        <v>5732</v>
      </c>
      <c r="B4736" s="2">
        <v>46002</v>
      </c>
      <c r="C4736" t="s">
        <v>20</v>
      </c>
      <c r="D4736" t="s">
        <v>47</v>
      </c>
      <c r="E4736" t="s">
        <v>34</v>
      </c>
      <c r="F4736" t="s">
        <v>31</v>
      </c>
      <c r="G4736">
        <v>4</v>
      </c>
      <c r="H4736">
        <v>2.2000000000000002</v>
      </c>
      <c r="I4736" t="s">
        <v>14</v>
      </c>
      <c r="J4736" t="s">
        <v>2003</v>
      </c>
      <c r="K4736" s="12">
        <f>Store_Record[[#This Row],[Qty]]*Store_Record[[#This Row],[UnitPriceGBP]]</f>
        <v>8.8000000000000007</v>
      </c>
      <c r="L4736" s="5" t="str">
        <f>TEXT(Store_Record[[#This Row],[Date]],"dddd")</f>
        <v>Thursday</v>
      </c>
      <c r="M4736" s="5" t="str">
        <f>TEXT(Store_Record[[#This Row],[Date]],"mmmm")</f>
        <v>December</v>
      </c>
      <c r="N4736" s="5">
        <f>YEAR(Store_Record[[#This Row],[Date]])</f>
        <v>2025</v>
      </c>
      <c r="O4736"/>
    </row>
    <row r="4737" spans="1:15" x14ac:dyDescent="0.35">
      <c r="A4737" t="s">
        <v>5725</v>
      </c>
      <c r="B4737" s="2">
        <v>46002</v>
      </c>
      <c r="C4737" t="s">
        <v>20</v>
      </c>
      <c r="D4737" t="s">
        <v>11</v>
      </c>
      <c r="E4737" t="s">
        <v>34</v>
      </c>
      <c r="F4737" t="s">
        <v>31</v>
      </c>
      <c r="G4737">
        <v>3</v>
      </c>
      <c r="H4737">
        <v>2.2000000000000002</v>
      </c>
      <c r="I4737" t="s">
        <v>21</v>
      </c>
      <c r="J4737" t="s">
        <v>972</v>
      </c>
      <c r="K4737" s="12">
        <f>Store_Record[[#This Row],[Qty]]*Store_Record[[#This Row],[UnitPriceGBP]]</f>
        <v>6.6000000000000005</v>
      </c>
      <c r="L4737" s="5" t="str">
        <f>TEXT(Store_Record[[#This Row],[Date]],"dddd")</f>
        <v>Thursday</v>
      </c>
      <c r="M4737" s="5" t="str">
        <f>TEXT(Store_Record[[#This Row],[Date]],"mmmm")</f>
        <v>December</v>
      </c>
      <c r="N4737" s="5">
        <f>YEAR(Store_Record[[#This Row],[Date]])</f>
        <v>2025</v>
      </c>
      <c r="O4737"/>
    </row>
    <row r="4738" spans="1:15" x14ac:dyDescent="0.35">
      <c r="A4738" t="s">
        <v>5731</v>
      </c>
      <c r="B4738" s="2">
        <v>46002</v>
      </c>
      <c r="C4738" t="s">
        <v>36</v>
      </c>
      <c r="D4738" t="s">
        <v>38</v>
      </c>
      <c r="E4738" t="s">
        <v>12</v>
      </c>
      <c r="F4738" t="s">
        <v>13</v>
      </c>
      <c r="G4738">
        <v>2</v>
      </c>
      <c r="H4738">
        <v>2.5</v>
      </c>
      <c r="I4738" t="s">
        <v>14</v>
      </c>
      <c r="J4738" t="s">
        <v>1976</v>
      </c>
      <c r="K4738" s="12">
        <f>Store_Record[[#This Row],[Qty]]*Store_Record[[#This Row],[UnitPriceGBP]]</f>
        <v>5</v>
      </c>
      <c r="L4738" s="5" t="str">
        <f>TEXT(Store_Record[[#This Row],[Date]],"dddd")</f>
        <v>Thursday</v>
      </c>
      <c r="M4738" s="5" t="str">
        <f>TEXT(Store_Record[[#This Row],[Date]],"mmmm")</f>
        <v>December</v>
      </c>
      <c r="N4738" s="5">
        <f>YEAR(Store_Record[[#This Row],[Date]])</f>
        <v>2025</v>
      </c>
      <c r="O4738"/>
    </row>
    <row r="4739" spans="1:15" x14ac:dyDescent="0.35">
      <c r="A4739" t="s">
        <v>5719</v>
      </c>
      <c r="B4739" s="2">
        <v>46002</v>
      </c>
      <c r="C4739" t="s">
        <v>24</v>
      </c>
      <c r="D4739" t="s">
        <v>38</v>
      </c>
      <c r="E4739" t="s">
        <v>34</v>
      </c>
      <c r="F4739" t="s">
        <v>31</v>
      </c>
      <c r="G4739">
        <v>2</v>
      </c>
      <c r="H4739">
        <v>2.2000000000000002</v>
      </c>
      <c r="I4739" t="s">
        <v>39</v>
      </c>
      <c r="J4739" t="s">
        <v>750</v>
      </c>
      <c r="K4739" s="12">
        <f>Store_Record[[#This Row],[Qty]]*Store_Record[[#This Row],[UnitPriceGBP]]</f>
        <v>4.4000000000000004</v>
      </c>
      <c r="L4739" s="5" t="str">
        <f>TEXT(Store_Record[[#This Row],[Date]],"dddd")</f>
        <v>Thursday</v>
      </c>
      <c r="M4739" s="5" t="str">
        <f>TEXT(Store_Record[[#This Row],[Date]],"mmmm")</f>
        <v>December</v>
      </c>
      <c r="N4739" s="5">
        <f>YEAR(Store_Record[[#This Row],[Date]])</f>
        <v>2025</v>
      </c>
      <c r="O4739"/>
    </row>
    <row r="4740" spans="1:15" x14ac:dyDescent="0.35">
      <c r="A4740" t="s">
        <v>5726</v>
      </c>
      <c r="B4740" s="2">
        <v>46002</v>
      </c>
      <c r="C4740" t="s">
        <v>24</v>
      </c>
      <c r="D4740" t="s">
        <v>47</v>
      </c>
      <c r="E4740" t="s">
        <v>34</v>
      </c>
      <c r="F4740" t="s">
        <v>31</v>
      </c>
      <c r="G4740">
        <v>2</v>
      </c>
      <c r="H4740">
        <v>2.2000000000000002</v>
      </c>
      <c r="I4740" t="s">
        <v>39</v>
      </c>
      <c r="J4740" t="s">
        <v>173</v>
      </c>
      <c r="K4740" s="12">
        <f>Store_Record[[#This Row],[Qty]]*Store_Record[[#This Row],[UnitPriceGBP]]</f>
        <v>4.4000000000000004</v>
      </c>
      <c r="L4740" s="5" t="str">
        <f>TEXT(Store_Record[[#This Row],[Date]],"dddd")</f>
        <v>Thursday</v>
      </c>
      <c r="M4740" s="5" t="str">
        <f>TEXT(Store_Record[[#This Row],[Date]],"mmmm")</f>
        <v>December</v>
      </c>
      <c r="N4740" s="5">
        <f>YEAR(Store_Record[[#This Row],[Date]])</f>
        <v>2025</v>
      </c>
      <c r="O4740"/>
    </row>
    <row r="4741" spans="1:15" x14ac:dyDescent="0.35">
      <c r="A4741" t="s">
        <v>5722</v>
      </c>
      <c r="B4741" s="2">
        <v>46002</v>
      </c>
      <c r="C4741" t="s">
        <v>20</v>
      </c>
      <c r="D4741" t="s">
        <v>29</v>
      </c>
      <c r="E4741" t="s">
        <v>42</v>
      </c>
      <c r="F4741" t="s">
        <v>13</v>
      </c>
      <c r="G4741">
        <v>1</v>
      </c>
      <c r="H4741">
        <v>3.8</v>
      </c>
      <c r="I4741" t="s">
        <v>21</v>
      </c>
      <c r="J4741" t="s">
        <v>561</v>
      </c>
      <c r="K4741" s="12">
        <f>Store_Record[[#This Row],[Qty]]*Store_Record[[#This Row],[UnitPriceGBP]]</f>
        <v>3.8</v>
      </c>
      <c r="L4741" s="5" t="str">
        <f>TEXT(Store_Record[[#This Row],[Date]],"dddd")</f>
        <v>Thursday</v>
      </c>
      <c r="M4741" s="5" t="str">
        <f>TEXT(Store_Record[[#This Row],[Date]],"mmmm")</f>
        <v>December</v>
      </c>
      <c r="N4741" s="5">
        <f>YEAR(Store_Record[[#This Row],[Date]])</f>
        <v>2025</v>
      </c>
      <c r="O4741"/>
    </row>
    <row r="4742" spans="1:15" x14ac:dyDescent="0.35">
      <c r="A4742" t="s">
        <v>5723</v>
      </c>
      <c r="B4742" s="2">
        <v>46002</v>
      </c>
      <c r="C4742" t="s">
        <v>36</v>
      </c>
      <c r="D4742" t="s">
        <v>29</v>
      </c>
      <c r="E4742" t="s">
        <v>42</v>
      </c>
      <c r="F4742" t="s">
        <v>13</v>
      </c>
      <c r="G4742">
        <v>1</v>
      </c>
      <c r="H4742">
        <v>3.8</v>
      </c>
      <c r="I4742" t="s">
        <v>21</v>
      </c>
      <c r="J4742" t="s">
        <v>4863</v>
      </c>
      <c r="K4742" s="12">
        <f>Store_Record[[#This Row],[Qty]]*Store_Record[[#This Row],[UnitPriceGBP]]</f>
        <v>3.8</v>
      </c>
      <c r="L4742" s="5" t="str">
        <f>TEXT(Store_Record[[#This Row],[Date]],"dddd")</f>
        <v>Thursday</v>
      </c>
      <c r="M4742" s="5" t="str">
        <f>TEXT(Store_Record[[#This Row],[Date]],"mmmm")</f>
        <v>December</v>
      </c>
      <c r="N4742" s="5">
        <f>YEAR(Store_Record[[#This Row],[Date]])</f>
        <v>2025</v>
      </c>
      <c r="O4742"/>
    </row>
    <row r="4743" spans="1:15" x14ac:dyDescent="0.35">
      <c r="A4743" t="s">
        <v>5730</v>
      </c>
      <c r="B4743" s="2">
        <v>46002</v>
      </c>
      <c r="C4743" t="s">
        <v>10</v>
      </c>
      <c r="D4743" t="s">
        <v>38</v>
      </c>
      <c r="E4743" t="s">
        <v>42</v>
      </c>
      <c r="F4743" t="s">
        <v>13</v>
      </c>
      <c r="G4743">
        <v>1</v>
      </c>
      <c r="H4743">
        <v>3.8</v>
      </c>
      <c r="I4743" t="s">
        <v>21</v>
      </c>
      <c r="J4743" t="s">
        <v>745</v>
      </c>
      <c r="K4743" s="12">
        <f>Store_Record[[#This Row],[Qty]]*Store_Record[[#This Row],[UnitPriceGBP]]</f>
        <v>3.8</v>
      </c>
      <c r="L4743" s="5" t="str">
        <f>TEXT(Store_Record[[#This Row],[Date]],"dddd")</f>
        <v>Thursday</v>
      </c>
      <c r="M4743" s="5" t="str">
        <f>TEXT(Store_Record[[#This Row],[Date]],"mmmm")</f>
        <v>December</v>
      </c>
      <c r="N4743" s="5">
        <f>YEAR(Store_Record[[#This Row],[Date]])</f>
        <v>2025</v>
      </c>
      <c r="O4743"/>
    </row>
    <row r="4744" spans="1:15" x14ac:dyDescent="0.35">
      <c r="A4744" t="s">
        <v>5735</v>
      </c>
      <c r="B4744" s="2">
        <v>46003</v>
      </c>
      <c r="C4744" t="s">
        <v>10</v>
      </c>
      <c r="D4744" t="s">
        <v>11</v>
      </c>
      <c r="E4744" t="s">
        <v>42</v>
      </c>
      <c r="F4744" t="s">
        <v>13</v>
      </c>
      <c r="G4744">
        <v>5</v>
      </c>
      <c r="H4744">
        <v>3.8</v>
      </c>
      <c r="I4744" t="s">
        <v>21</v>
      </c>
      <c r="J4744" t="s">
        <v>1198</v>
      </c>
      <c r="K4744" s="12">
        <f>Store_Record[[#This Row],[Qty]]*Store_Record[[#This Row],[UnitPriceGBP]]</f>
        <v>19</v>
      </c>
      <c r="L4744" s="5" t="str">
        <f>TEXT(Store_Record[[#This Row],[Date]],"dddd")</f>
        <v>Friday</v>
      </c>
      <c r="M4744" s="5" t="str">
        <f>TEXT(Store_Record[[#This Row],[Date]],"mmmm")</f>
        <v>December</v>
      </c>
      <c r="N4744" s="5">
        <f>YEAR(Store_Record[[#This Row],[Date]])</f>
        <v>2025</v>
      </c>
      <c r="O4744"/>
    </row>
    <row r="4745" spans="1:15" x14ac:dyDescent="0.35">
      <c r="A4745" t="s">
        <v>5733</v>
      </c>
      <c r="B4745" s="2">
        <v>46003</v>
      </c>
      <c r="C4745" t="s">
        <v>36</v>
      </c>
      <c r="D4745" t="s">
        <v>25</v>
      </c>
      <c r="E4745" t="s">
        <v>42</v>
      </c>
      <c r="F4745" t="s">
        <v>13</v>
      </c>
      <c r="G4745">
        <v>4</v>
      </c>
      <c r="H4745">
        <v>3.8</v>
      </c>
      <c r="I4745" t="s">
        <v>14</v>
      </c>
      <c r="J4745" t="s">
        <v>1676</v>
      </c>
      <c r="K4745" s="12">
        <f>Store_Record[[#This Row],[Qty]]*Store_Record[[#This Row],[UnitPriceGBP]]</f>
        <v>15.2</v>
      </c>
      <c r="L4745" s="5" t="str">
        <f>TEXT(Store_Record[[#This Row],[Date]],"dddd")</f>
        <v>Friday</v>
      </c>
      <c r="M4745" s="5" t="str">
        <f>TEXT(Store_Record[[#This Row],[Date]],"mmmm")</f>
        <v>December</v>
      </c>
      <c r="N4745" s="5">
        <f>YEAR(Store_Record[[#This Row],[Date]])</f>
        <v>2025</v>
      </c>
      <c r="O4745"/>
    </row>
    <row r="4746" spans="1:15" x14ac:dyDescent="0.35">
      <c r="A4746" t="s">
        <v>5736</v>
      </c>
      <c r="B4746" s="2">
        <v>46003</v>
      </c>
      <c r="C4746" t="s">
        <v>24</v>
      </c>
      <c r="D4746" t="s">
        <v>25</v>
      </c>
      <c r="E4746" t="s">
        <v>42</v>
      </c>
      <c r="F4746" t="s">
        <v>13</v>
      </c>
      <c r="G4746">
        <v>4</v>
      </c>
      <c r="H4746">
        <v>3.8</v>
      </c>
      <c r="I4746" t="s">
        <v>14</v>
      </c>
      <c r="J4746" t="s">
        <v>474</v>
      </c>
      <c r="K4746" s="12">
        <f>Store_Record[[#This Row],[Qty]]*Store_Record[[#This Row],[UnitPriceGBP]]</f>
        <v>15.2</v>
      </c>
      <c r="L4746" s="5" t="str">
        <f>TEXT(Store_Record[[#This Row],[Date]],"dddd")</f>
        <v>Friday</v>
      </c>
      <c r="M4746" s="5" t="str">
        <f>TEXT(Store_Record[[#This Row],[Date]],"mmmm")</f>
        <v>December</v>
      </c>
      <c r="N4746" s="5">
        <f>YEAR(Store_Record[[#This Row],[Date]])</f>
        <v>2025</v>
      </c>
      <c r="O4746"/>
    </row>
    <row r="4747" spans="1:15" x14ac:dyDescent="0.35">
      <c r="A4747" t="s">
        <v>5738</v>
      </c>
      <c r="B4747" s="2">
        <v>46003</v>
      </c>
      <c r="C4747" t="s">
        <v>24</v>
      </c>
      <c r="D4747" t="s">
        <v>38</v>
      </c>
      <c r="E4747" t="s">
        <v>30</v>
      </c>
      <c r="F4747" t="s">
        <v>31</v>
      </c>
      <c r="G4747">
        <v>5</v>
      </c>
      <c r="H4747">
        <v>2.8</v>
      </c>
      <c r="I4747" t="s">
        <v>21</v>
      </c>
      <c r="J4747" t="s">
        <v>567</v>
      </c>
      <c r="K4747" s="12">
        <f>Store_Record[[#This Row],[Qty]]*Store_Record[[#This Row],[UnitPriceGBP]]</f>
        <v>14</v>
      </c>
      <c r="L4747" s="5" t="str">
        <f>TEXT(Store_Record[[#This Row],[Date]],"dddd")</f>
        <v>Friday</v>
      </c>
      <c r="M4747" s="5" t="str">
        <f>TEXT(Store_Record[[#This Row],[Date]],"mmmm")</f>
        <v>December</v>
      </c>
      <c r="N4747" s="5">
        <f>YEAR(Store_Record[[#This Row],[Date]])</f>
        <v>2025</v>
      </c>
      <c r="O4747"/>
    </row>
    <row r="4748" spans="1:15" x14ac:dyDescent="0.35">
      <c r="A4748" t="s">
        <v>5746</v>
      </c>
      <c r="B4748" s="2">
        <v>46003</v>
      </c>
      <c r="C4748" t="s">
        <v>10</v>
      </c>
      <c r="D4748" t="s">
        <v>152</v>
      </c>
      <c r="E4748" t="s">
        <v>30</v>
      </c>
      <c r="F4748" t="s">
        <v>31</v>
      </c>
      <c r="G4748">
        <v>5</v>
      </c>
      <c r="H4748">
        <v>2.8</v>
      </c>
      <c r="I4748" t="s">
        <v>21</v>
      </c>
      <c r="J4748" t="s">
        <v>934</v>
      </c>
      <c r="K4748" s="12">
        <f>Store_Record[[#This Row],[Qty]]*Store_Record[[#This Row],[UnitPriceGBP]]</f>
        <v>14</v>
      </c>
      <c r="L4748" s="5" t="str">
        <f>TEXT(Store_Record[[#This Row],[Date]],"dddd")</f>
        <v>Friday</v>
      </c>
      <c r="M4748" s="5" t="str">
        <f>TEXT(Store_Record[[#This Row],[Date]],"mmmm")</f>
        <v>December</v>
      </c>
      <c r="N4748" s="5">
        <f>YEAR(Store_Record[[#This Row],[Date]])</f>
        <v>2025</v>
      </c>
      <c r="O4748"/>
    </row>
    <row r="4749" spans="1:15" x14ac:dyDescent="0.35">
      <c r="A4749" t="s">
        <v>5744</v>
      </c>
      <c r="B4749" s="2">
        <v>46003</v>
      </c>
      <c r="C4749" t="s">
        <v>36</v>
      </c>
      <c r="D4749" t="s">
        <v>25</v>
      </c>
      <c r="E4749" t="s">
        <v>34</v>
      </c>
      <c r="F4749" t="s">
        <v>31</v>
      </c>
      <c r="G4749">
        <v>4</v>
      </c>
      <c r="H4749">
        <v>2.2000000000000002</v>
      </c>
      <c r="I4749" t="s">
        <v>14</v>
      </c>
      <c r="J4749" t="s">
        <v>852</v>
      </c>
      <c r="K4749" s="12">
        <f>Store_Record[[#This Row],[Qty]]*Store_Record[[#This Row],[UnitPriceGBP]]</f>
        <v>8.8000000000000007</v>
      </c>
      <c r="L4749" s="5" t="str">
        <f>TEXT(Store_Record[[#This Row],[Date]],"dddd")</f>
        <v>Friday</v>
      </c>
      <c r="M4749" s="5" t="str">
        <f>TEXT(Store_Record[[#This Row],[Date]],"mmmm")</f>
        <v>December</v>
      </c>
      <c r="N4749" s="5">
        <f>YEAR(Store_Record[[#This Row],[Date]])</f>
        <v>2025</v>
      </c>
      <c r="O4749"/>
    </row>
    <row r="4750" spans="1:15" x14ac:dyDescent="0.35">
      <c r="A4750" t="s">
        <v>5742</v>
      </c>
      <c r="B4750" s="2">
        <v>46003</v>
      </c>
      <c r="C4750" t="s">
        <v>10</v>
      </c>
      <c r="D4750" t="s">
        <v>25</v>
      </c>
      <c r="E4750" t="s">
        <v>30</v>
      </c>
      <c r="F4750" t="s">
        <v>31</v>
      </c>
      <c r="G4750">
        <v>3</v>
      </c>
      <c r="H4750">
        <v>2.8</v>
      </c>
      <c r="I4750" t="s">
        <v>14</v>
      </c>
      <c r="J4750" t="s">
        <v>759</v>
      </c>
      <c r="K4750" s="12">
        <f>Store_Record[[#This Row],[Qty]]*Store_Record[[#This Row],[UnitPriceGBP]]</f>
        <v>8.3999999999999986</v>
      </c>
      <c r="L4750" s="5" t="str">
        <f>TEXT(Store_Record[[#This Row],[Date]],"dddd")</f>
        <v>Friday</v>
      </c>
      <c r="M4750" s="5" t="str">
        <f>TEXT(Store_Record[[#This Row],[Date]],"mmmm")</f>
        <v>December</v>
      </c>
      <c r="N4750" s="5">
        <f>YEAR(Store_Record[[#This Row],[Date]])</f>
        <v>2025</v>
      </c>
      <c r="O4750"/>
    </row>
    <row r="4751" spans="1:15" x14ac:dyDescent="0.35">
      <c r="A4751" t="s">
        <v>5745</v>
      </c>
      <c r="B4751" s="2">
        <v>46003</v>
      </c>
      <c r="C4751" t="s">
        <v>36</v>
      </c>
      <c r="D4751" t="s">
        <v>29</v>
      </c>
      <c r="E4751" t="s">
        <v>42</v>
      </c>
      <c r="F4751" t="s">
        <v>13</v>
      </c>
      <c r="G4751">
        <v>2</v>
      </c>
      <c r="H4751">
        <v>3.8</v>
      </c>
      <c r="I4751" t="s">
        <v>14</v>
      </c>
      <c r="J4751" t="s">
        <v>413</v>
      </c>
      <c r="K4751" s="12">
        <f>Store_Record[[#This Row],[Qty]]*Store_Record[[#This Row],[UnitPriceGBP]]</f>
        <v>7.6</v>
      </c>
      <c r="L4751" s="5" t="str">
        <f>TEXT(Store_Record[[#This Row],[Date]],"dddd")</f>
        <v>Friday</v>
      </c>
      <c r="M4751" s="5" t="str">
        <f>TEXT(Store_Record[[#This Row],[Date]],"mmmm")</f>
        <v>December</v>
      </c>
      <c r="N4751" s="5">
        <f>YEAR(Store_Record[[#This Row],[Date]])</f>
        <v>2025</v>
      </c>
      <c r="O4751"/>
    </row>
    <row r="4752" spans="1:15" x14ac:dyDescent="0.35">
      <c r="A4752" t="s">
        <v>5734</v>
      </c>
      <c r="B4752" s="2">
        <v>46003</v>
      </c>
      <c r="C4752" t="s">
        <v>20</v>
      </c>
      <c r="D4752" t="s">
        <v>29</v>
      </c>
      <c r="E4752" t="s">
        <v>26</v>
      </c>
      <c r="F4752" t="s">
        <v>13</v>
      </c>
      <c r="G4752">
        <v>2</v>
      </c>
      <c r="H4752">
        <v>3.5</v>
      </c>
      <c r="I4752" t="s">
        <v>21</v>
      </c>
      <c r="J4752" t="s">
        <v>1806</v>
      </c>
      <c r="K4752" s="12">
        <f>Store_Record[[#This Row],[Qty]]*Store_Record[[#This Row],[UnitPriceGBP]]</f>
        <v>7</v>
      </c>
      <c r="L4752" s="5" t="str">
        <f>TEXT(Store_Record[[#This Row],[Date]],"dddd")</f>
        <v>Friday</v>
      </c>
      <c r="M4752" s="5" t="str">
        <f>TEXT(Store_Record[[#This Row],[Date]],"mmmm")</f>
        <v>December</v>
      </c>
      <c r="N4752" s="5">
        <f>YEAR(Store_Record[[#This Row],[Date]])</f>
        <v>2025</v>
      </c>
      <c r="O4752"/>
    </row>
    <row r="4753" spans="1:15" x14ac:dyDescent="0.35">
      <c r="A4753" t="s">
        <v>5739</v>
      </c>
      <c r="B4753" s="2">
        <v>46003</v>
      </c>
      <c r="C4753" t="s">
        <v>24</v>
      </c>
      <c r="D4753" t="s">
        <v>29</v>
      </c>
      <c r="E4753" t="s">
        <v>34</v>
      </c>
      <c r="F4753" t="s">
        <v>31</v>
      </c>
      <c r="G4753">
        <v>3</v>
      </c>
      <c r="H4753">
        <v>2.2000000000000002</v>
      </c>
      <c r="I4753" t="s">
        <v>39</v>
      </c>
      <c r="J4753" t="s">
        <v>302</v>
      </c>
      <c r="K4753" s="12">
        <f>Store_Record[[#This Row],[Qty]]*Store_Record[[#This Row],[UnitPriceGBP]]</f>
        <v>6.6000000000000005</v>
      </c>
      <c r="L4753" s="5" t="str">
        <f>TEXT(Store_Record[[#This Row],[Date]],"dddd")</f>
        <v>Friday</v>
      </c>
      <c r="M4753" s="5" t="str">
        <f>TEXT(Store_Record[[#This Row],[Date]],"mmmm")</f>
        <v>December</v>
      </c>
      <c r="N4753" s="5">
        <f>YEAR(Store_Record[[#This Row],[Date]])</f>
        <v>2025</v>
      </c>
      <c r="O4753"/>
    </row>
    <row r="4754" spans="1:15" x14ac:dyDescent="0.35">
      <c r="A4754" t="s">
        <v>5741</v>
      </c>
      <c r="B4754" s="2">
        <v>46003</v>
      </c>
      <c r="C4754" t="s">
        <v>20</v>
      </c>
      <c r="D4754" t="s">
        <v>47</v>
      </c>
      <c r="E4754" t="s">
        <v>34</v>
      </c>
      <c r="F4754" t="s">
        <v>31</v>
      </c>
      <c r="G4754">
        <v>3</v>
      </c>
      <c r="H4754">
        <v>2.2000000000000002</v>
      </c>
      <c r="I4754" t="s">
        <v>21</v>
      </c>
      <c r="J4754" t="s">
        <v>551</v>
      </c>
      <c r="K4754" s="12">
        <f>Store_Record[[#This Row],[Qty]]*Store_Record[[#This Row],[UnitPriceGBP]]</f>
        <v>6.6000000000000005</v>
      </c>
      <c r="L4754" s="5" t="str">
        <f>TEXT(Store_Record[[#This Row],[Date]],"dddd")</f>
        <v>Friday</v>
      </c>
      <c r="M4754" s="5" t="str">
        <f>TEXT(Store_Record[[#This Row],[Date]],"mmmm")</f>
        <v>December</v>
      </c>
      <c r="N4754" s="5">
        <f>YEAR(Store_Record[[#This Row],[Date]])</f>
        <v>2025</v>
      </c>
      <c r="O4754"/>
    </row>
    <row r="4755" spans="1:15" x14ac:dyDescent="0.35">
      <c r="A4755" t="s">
        <v>5743</v>
      </c>
      <c r="B4755" s="2">
        <v>46003</v>
      </c>
      <c r="C4755" t="s">
        <v>20</v>
      </c>
      <c r="D4755" t="s">
        <v>29</v>
      </c>
      <c r="E4755" t="s">
        <v>30</v>
      </c>
      <c r="F4755" t="s">
        <v>31</v>
      </c>
      <c r="G4755">
        <v>2</v>
      </c>
      <c r="H4755">
        <v>2.8</v>
      </c>
      <c r="I4755" t="s">
        <v>39</v>
      </c>
      <c r="J4755" t="s">
        <v>2594</v>
      </c>
      <c r="K4755" s="12">
        <f>Store_Record[[#This Row],[Qty]]*Store_Record[[#This Row],[UnitPriceGBP]]</f>
        <v>5.6</v>
      </c>
      <c r="L4755" s="5" t="str">
        <f>TEXT(Store_Record[[#This Row],[Date]],"dddd")</f>
        <v>Friday</v>
      </c>
      <c r="M4755" s="5" t="str">
        <f>TEXT(Store_Record[[#This Row],[Date]],"mmmm")</f>
        <v>December</v>
      </c>
      <c r="N4755" s="5">
        <f>YEAR(Store_Record[[#This Row],[Date]])</f>
        <v>2025</v>
      </c>
      <c r="O4755"/>
    </row>
    <row r="4756" spans="1:15" x14ac:dyDescent="0.35">
      <c r="A4756" t="s">
        <v>5737</v>
      </c>
      <c r="B4756" s="2">
        <v>46003</v>
      </c>
      <c r="C4756" t="s">
        <v>36</v>
      </c>
      <c r="D4756" t="s">
        <v>29</v>
      </c>
      <c r="E4756" t="s">
        <v>30</v>
      </c>
      <c r="F4756" t="s">
        <v>31</v>
      </c>
      <c r="G4756">
        <v>1</v>
      </c>
      <c r="H4756">
        <v>2.8</v>
      </c>
      <c r="I4756" t="s">
        <v>14</v>
      </c>
      <c r="J4756" t="s">
        <v>767</v>
      </c>
      <c r="K4756" s="12">
        <f>Store_Record[[#This Row],[Qty]]*Store_Record[[#This Row],[UnitPriceGBP]]</f>
        <v>2.8</v>
      </c>
      <c r="L4756" s="5" t="str">
        <f>TEXT(Store_Record[[#This Row],[Date]],"dddd")</f>
        <v>Friday</v>
      </c>
      <c r="M4756" s="5" t="str">
        <f>TEXT(Store_Record[[#This Row],[Date]],"mmmm")</f>
        <v>December</v>
      </c>
      <c r="N4756" s="5">
        <f>YEAR(Store_Record[[#This Row],[Date]])</f>
        <v>2025</v>
      </c>
      <c r="O4756"/>
    </row>
    <row r="4757" spans="1:15" x14ac:dyDescent="0.35">
      <c r="A4757" t="s">
        <v>5740</v>
      </c>
      <c r="B4757" s="2">
        <v>46003</v>
      </c>
      <c r="C4757" t="s">
        <v>20</v>
      </c>
      <c r="D4757" t="s">
        <v>47</v>
      </c>
      <c r="E4757" t="s">
        <v>12</v>
      </c>
      <c r="F4757" t="s">
        <v>13</v>
      </c>
      <c r="G4757">
        <v>1</v>
      </c>
      <c r="H4757">
        <v>2.5</v>
      </c>
      <c r="I4757" t="s">
        <v>21</v>
      </c>
      <c r="J4757" t="s">
        <v>927</v>
      </c>
      <c r="K4757" s="12">
        <f>Store_Record[[#This Row],[Qty]]*Store_Record[[#This Row],[UnitPriceGBP]]</f>
        <v>2.5</v>
      </c>
      <c r="L4757" s="5" t="str">
        <f>TEXT(Store_Record[[#This Row],[Date]],"dddd")</f>
        <v>Friday</v>
      </c>
      <c r="M4757" s="5" t="str">
        <f>TEXT(Store_Record[[#This Row],[Date]],"mmmm")</f>
        <v>December</v>
      </c>
      <c r="N4757" s="5">
        <f>YEAR(Store_Record[[#This Row],[Date]])</f>
        <v>2025</v>
      </c>
      <c r="O4757"/>
    </row>
    <row r="4758" spans="1:15" x14ac:dyDescent="0.35">
      <c r="A4758" t="s">
        <v>5752</v>
      </c>
      <c r="B4758" s="2">
        <v>46004</v>
      </c>
      <c r="C4758" t="s">
        <v>24</v>
      </c>
      <c r="D4758" t="s">
        <v>11</v>
      </c>
      <c r="E4758" t="s">
        <v>26</v>
      </c>
      <c r="F4758" t="s">
        <v>13</v>
      </c>
      <c r="G4758">
        <v>5</v>
      </c>
      <c r="H4758">
        <v>3.5</v>
      </c>
      <c r="I4758" t="s">
        <v>21</v>
      </c>
      <c r="J4758" t="s">
        <v>2574</v>
      </c>
      <c r="K4758" s="12">
        <f>Store_Record[[#This Row],[Qty]]*Store_Record[[#This Row],[UnitPriceGBP]]</f>
        <v>17.5</v>
      </c>
      <c r="L4758" s="5" t="str">
        <f>TEXT(Store_Record[[#This Row],[Date]],"dddd")</f>
        <v>Saturday</v>
      </c>
      <c r="M4758" s="5" t="str">
        <f>TEXT(Store_Record[[#This Row],[Date]],"mmmm")</f>
        <v>December</v>
      </c>
      <c r="N4758" s="5">
        <f>YEAR(Store_Record[[#This Row],[Date]])</f>
        <v>2025</v>
      </c>
      <c r="O4758"/>
    </row>
    <row r="4759" spans="1:15" x14ac:dyDescent="0.35">
      <c r="A4759" t="s">
        <v>5754</v>
      </c>
      <c r="B4759" s="2">
        <v>46004</v>
      </c>
      <c r="C4759" t="s">
        <v>10</v>
      </c>
      <c r="D4759" t="s">
        <v>25</v>
      </c>
      <c r="E4759" t="s">
        <v>26</v>
      </c>
      <c r="F4759" t="s">
        <v>13</v>
      </c>
      <c r="G4759">
        <v>5</v>
      </c>
      <c r="H4759">
        <v>3.5</v>
      </c>
      <c r="I4759" t="s">
        <v>39</v>
      </c>
      <c r="J4759" t="s">
        <v>978</v>
      </c>
      <c r="K4759" s="12">
        <f>Store_Record[[#This Row],[Qty]]*Store_Record[[#This Row],[UnitPriceGBP]]</f>
        <v>17.5</v>
      </c>
      <c r="L4759" s="5" t="str">
        <f>TEXT(Store_Record[[#This Row],[Date]],"dddd")</f>
        <v>Saturday</v>
      </c>
      <c r="M4759" s="5" t="str">
        <f>TEXT(Store_Record[[#This Row],[Date]],"mmmm")</f>
        <v>December</v>
      </c>
      <c r="N4759" s="5">
        <f>YEAR(Store_Record[[#This Row],[Date]])</f>
        <v>2025</v>
      </c>
      <c r="O4759"/>
    </row>
    <row r="4760" spans="1:15" x14ac:dyDescent="0.35">
      <c r="A4760" t="s">
        <v>5756</v>
      </c>
      <c r="B4760" s="2">
        <v>46004</v>
      </c>
      <c r="C4760" t="s">
        <v>24</v>
      </c>
      <c r="D4760" t="s">
        <v>11</v>
      </c>
      <c r="E4760" t="s">
        <v>30</v>
      </c>
      <c r="F4760" t="s">
        <v>31</v>
      </c>
      <c r="G4760">
        <v>5</v>
      </c>
      <c r="H4760">
        <v>2.8</v>
      </c>
      <c r="I4760" t="s">
        <v>39</v>
      </c>
      <c r="J4760" t="s">
        <v>493</v>
      </c>
      <c r="K4760" s="12">
        <f>Store_Record[[#This Row],[Qty]]*Store_Record[[#This Row],[UnitPriceGBP]]</f>
        <v>14</v>
      </c>
      <c r="L4760" s="5" t="str">
        <f>TEXT(Store_Record[[#This Row],[Date]],"dddd")</f>
        <v>Saturday</v>
      </c>
      <c r="M4760" s="5" t="str">
        <f>TEXT(Store_Record[[#This Row],[Date]],"mmmm")</f>
        <v>December</v>
      </c>
      <c r="N4760" s="5">
        <f>YEAR(Store_Record[[#This Row],[Date]])</f>
        <v>2025</v>
      </c>
      <c r="O4760"/>
    </row>
    <row r="4761" spans="1:15" x14ac:dyDescent="0.35">
      <c r="A4761" t="s">
        <v>5996</v>
      </c>
      <c r="B4761" s="2">
        <v>46004</v>
      </c>
      <c r="C4761" t="s">
        <v>24</v>
      </c>
      <c r="D4761" t="s">
        <v>47</v>
      </c>
      <c r="E4761" t="s">
        <v>12</v>
      </c>
      <c r="F4761" t="s">
        <v>13</v>
      </c>
      <c r="G4761">
        <v>5</v>
      </c>
      <c r="H4761">
        <v>2.5</v>
      </c>
      <c r="I4761" t="s">
        <v>39</v>
      </c>
      <c r="J4761" t="s">
        <v>470</v>
      </c>
      <c r="K4761" s="12">
        <f>Store_Record[[#This Row],[Qty]]*Store_Record[[#This Row],[UnitPriceGBP]]</f>
        <v>12.5</v>
      </c>
      <c r="L4761" s="5" t="str">
        <f>TEXT(Store_Record[[#This Row],[Date]],"dddd")</f>
        <v>Saturday</v>
      </c>
      <c r="M4761" s="5" t="str">
        <f>TEXT(Store_Record[[#This Row],[Date]],"mmmm")</f>
        <v>December</v>
      </c>
      <c r="N4761" s="5">
        <f>YEAR(Store_Record[[#This Row],[Date]])</f>
        <v>2025</v>
      </c>
      <c r="O4761"/>
    </row>
    <row r="4762" spans="1:15" x14ac:dyDescent="0.35">
      <c r="A4762" t="s">
        <v>5747</v>
      </c>
      <c r="B4762" s="2">
        <v>46004</v>
      </c>
      <c r="C4762" t="s">
        <v>24</v>
      </c>
      <c r="D4762" t="s">
        <v>11</v>
      </c>
      <c r="E4762" t="s">
        <v>26</v>
      </c>
      <c r="F4762" t="s">
        <v>13</v>
      </c>
      <c r="G4762">
        <v>3</v>
      </c>
      <c r="H4762">
        <v>3.5</v>
      </c>
      <c r="I4762" t="s">
        <v>14</v>
      </c>
      <c r="J4762" t="s">
        <v>1462</v>
      </c>
      <c r="K4762" s="12">
        <f>Store_Record[[#This Row],[Qty]]*Store_Record[[#This Row],[UnitPriceGBP]]</f>
        <v>10.5</v>
      </c>
      <c r="L4762" s="5" t="str">
        <f>TEXT(Store_Record[[#This Row],[Date]],"dddd")</f>
        <v>Saturday</v>
      </c>
      <c r="M4762" s="5" t="str">
        <f>TEXT(Store_Record[[#This Row],[Date]],"mmmm")</f>
        <v>December</v>
      </c>
      <c r="N4762" s="5">
        <f>YEAR(Store_Record[[#This Row],[Date]])</f>
        <v>2025</v>
      </c>
      <c r="O4762"/>
    </row>
    <row r="4763" spans="1:15" x14ac:dyDescent="0.35">
      <c r="A4763" t="s">
        <v>5751</v>
      </c>
      <c r="B4763" s="2">
        <v>46004</v>
      </c>
      <c r="C4763" t="s">
        <v>20</v>
      </c>
      <c r="D4763" t="s">
        <v>47</v>
      </c>
      <c r="E4763" t="s">
        <v>26</v>
      </c>
      <c r="F4763" t="s">
        <v>13</v>
      </c>
      <c r="G4763">
        <v>3</v>
      </c>
      <c r="H4763">
        <v>3.5</v>
      </c>
      <c r="I4763" t="s">
        <v>14</v>
      </c>
      <c r="J4763" t="s">
        <v>743</v>
      </c>
      <c r="K4763" s="12">
        <f>Store_Record[[#This Row],[Qty]]*Store_Record[[#This Row],[UnitPriceGBP]]</f>
        <v>10.5</v>
      </c>
      <c r="L4763" s="5" t="str">
        <f>TEXT(Store_Record[[#This Row],[Date]],"dddd")</f>
        <v>Saturday</v>
      </c>
      <c r="M4763" s="5" t="str">
        <f>TEXT(Store_Record[[#This Row],[Date]],"mmmm")</f>
        <v>December</v>
      </c>
      <c r="N4763" s="5">
        <f>YEAR(Store_Record[[#This Row],[Date]])</f>
        <v>2025</v>
      </c>
      <c r="O4763"/>
    </row>
    <row r="4764" spans="1:15" x14ac:dyDescent="0.35">
      <c r="A4764" t="s">
        <v>5757</v>
      </c>
      <c r="B4764" s="2">
        <v>46004</v>
      </c>
      <c r="C4764" t="s">
        <v>24</v>
      </c>
      <c r="D4764" t="s">
        <v>25</v>
      </c>
      <c r="E4764" t="s">
        <v>42</v>
      </c>
      <c r="F4764" t="s">
        <v>13</v>
      </c>
      <c r="G4764">
        <v>2</v>
      </c>
      <c r="H4764">
        <v>3.8</v>
      </c>
      <c r="I4764" t="s">
        <v>39</v>
      </c>
      <c r="J4764" t="s">
        <v>1020</v>
      </c>
      <c r="K4764" s="12">
        <f>Store_Record[[#This Row],[Qty]]*Store_Record[[#This Row],[UnitPriceGBP]]</f>
        <v>7.6</v>
      </c>
      <c r="L4764" s="5" t="str">
        <f>TEXT(Store_Record[[#This Row],[Date]],"dddd")</f>
        <v>Saturday</v>
      </c>
      <c r="M4764" s="5" t="str">
        <f>TEXT(Store_Record[[#This Row],[Date]],"mmmm")</f>
        <v>December</v>
      </c>
      <c r="N4764" s="5">
        <f>YEAR(Store_Record[[#This Row],[Date]])</f>
        <v>2025</v>
      </c>
      <c r="O4764"/>
    </row>
    <row r="4765" spans="1:15" x14ac:dyDescent="0.35">
      <c r="A4765" t="s">
        <v>5755</v>
      </c>
      <c r="B4765" s="2">
        <v>46004</v>
      </c>
      <c r="C4765" t="s">
        <v>24</v>
      </c>
      <c r="D4765" t="s">
        <v>47</v>
      </c>
      <c r="E4765" t="s">
        <v>30</v>
      </c>
      <c r="F4765" t="s">
        <v>31</v>
      </c>
      <c r="G4765">
        <v>2</v>
      </c>
      <c r="H4765">
        <v>2.8</v>
      </c>
      <c r="I4765" t="s">
        <v>14</v>
      </c>
      <c r="J4765" t="s">
        <v>369</v>
      </c>
      <c r="K4765" s="12">
        <f>Store_Record[[#This Row],[Qty]]*Store_Record[[#This Row],[UnitPriceGBP]]</f>
        <v>5.6</v>
      </c>
      <c r="L4765" s="5" t="str">
        <f>TEXT(Store_Record[[#This Row],[Date]],"dddd")</f>
        <v>Saturday</v>
      </c>
      <c r="M4765" s="5" t="str">
        <f>TEXT(Store_Record[[#This Row],[Date]],"mmmm")</f>
        <v>December</v>
      </c>
      <c r="N4765" s="5">
        <f>YEAR(Store_Record[[#This Row],[Date]])</f>
        <v>2025</v>
      </c>
      <c r="O4765"/>
    </row>
    <row r="4766" spans="1:15" x14ac:dyDescent="0.35">
      <c r="A4766" t="s">
        <v>5750</v>
      </c>
      <c r="B4766" s="2">
        <v>46004</v>
      </c>
      <c r="C4766" t="s">
        <v>24</v>
      </c>
      <c r="D4766" t="s">
        <v>25</v>
      </c>
      <c r="E4766" t="s">
        <v>12</v>
      </c>
      <c r="F4766" t="s">
        <v>13</v>
      </c>
      <c r="G4766">
        <v>2</v>
      </c>
      <c r="H4766">
        <v>2.5</v>
      </c>
      <c r="I4766" t="s">
        <v>21</v>
      </c>
      <c r="J4766" t="s">
        <v>415</v>
      </c>
      <c r="K4766" s="12">
        <f>Store_Record[[#This Row],[Qty]]*Store_Record[[#This Row],[UnitPriceGBP]]</f>
        <v>5</v>
      </c>
      <c r="L4766" s="5" t="str">
        <f>TEXT(Store_Record[[#This Row],[Date]],"dddd")</f>
        <v>Saturday</v>
      </c>
      <c r="M4766" s="5" t="str">
        <f>TEXT(Store_Record[[#This Row],[Date]],"mmmm")</f>
        <v>December</v>
      </c>
      <c r="N4766" s="5">
        <f>YEAR(Store_Record[[#This Row],[Date]])</f>
        <v>2025</v>
      </c>
      <c r="O4766"/>
    </row>
    <row r="4767" spans="1:15" x14ac:dyDescent="0.35">
      <c r="A4767" t="s">
        <v>5753</v>
      </c>
      <c r="B4767" s="2">
        <v>46004</v>
      </c>
      <c r="C4767" t="s">
        <v>24</v>
      </c>
      <c r="D4767" t="s">
        <v>47</v>
      </c>
      <c r="E4767" t="s">
        <v>12</v>
      </c>
      <c r="F4767" t="s">
        <v>13</v>
      </c>
      <c r="G4767">
        <v>2</v>
      </c>
      <c r="H4767">
        <v>2.5</v>
      </c>
      <c r="I4767" t="s">
        <v>39</v>
      </c>
      <c r="J4767" t="s">
        <v>634</v>
      </c>
      <c r="K4767" s="12">
        <f>Store_Record[[#This Row],[Qty]]*Store_Record[[#This Row],[UnitPriceGBP]]</f>
        <v>5</v>
      </c>
      <c r="L4767" s="5" t="str">
        <f>TEXT(Store_Record[[#This Row],[Date]],"dddd")</f>
        <v>Saturday</v>
      </c>
      <c r="M4767" s="5" t="str">
        <f>TEXT(Store_Record[[#This Row],[Date]],"mmmm")</f>
        <v>December</v>
      </c>
      <c r="N4767" s="5">
        <f>YEAR(Store_Record[[#This Row],[Date]])</f>
        <v>2025</v>
      </c>
      <c r="O4767"/>
    </row>
    <row r="4768" spans="1:15" x14ac:dyDescent="0.35">
      <c r="A4768" t="s">
        <v>5748</v>
      </c>
      <c r="B4768" s="2">
        <v>46004</v>
      </c>
      <c r="C4768" t="s">
        <v>20</v>
      </c>
      <c r="D4768" t="s">
        <v>38</v>
      </c>
      <c r="E4768" t="s">
        <v>34</v>
      </c>
      <c r="F4768" t="s">
        <v>31</v>
      </c>
      <c r="G4768">
        <v>2</v>
      </c>
      <c r="H4768">
        <v>2.2000000000000002</v>
      </c>
      <c r="I4768" t="s">
        <v>14</v>
      </c>
      <c r="J4768" t="s">
        <v>1020</v>
      </c>
      <c r="K4768" s="12">
        <f>Store_Record[[#This Row],[Qty]]*Store_Record[[#This Row],[UnitPriceGBP]]</f>
        <v>4.4000000000000004</v>
      </c>
      <c r="L4768" s="5" t="str">
        <f>TEXT(Store_Record[[#This Row],[Date]],"dddd")</f>
        <v>Saturday</v>
      </c>
      <c r="M4768" s="5" t="str">
        <f>TEXT(Store_Record[[#This Row],[Date]],"mmmm")</f>
        <v>December</v>
      </c>
      <c r="N4768" s="5">
        <f>YEAR(Store_Record[[#This Row],[Date]])</f>
        <v>2025</v>
      </c>
      <c r="O4768"/>
    </row>
    <row r="4769" spans="1:15" x14ac:dyDescent="0.35">
      <c r="A4769" t="s">
        <v>5749</v>
      </c>
      <c r="B4769" s="2">
        <v>46004</v>
      </c>
      <c r="C4769" t="s">
        <v>36</v>
      </c>
      <c r="D4769" t="s">
        <v>38</v>
      </c>
      <c r="E4769" t="s">
        <v>34</v>
      </c>
      <c r="F4769" t="s">
        <v>31</v>
      </c>
      <c r="G4769">
        <v>2</v>
      </c>
      <c r="H4769">
        <v>2.2000000000000002</v>
      </c>
      <c r="I4769" t="s">
        <v>14</v>
      </c>
      <c r="J4769" t="s">
        <v>191</v>
      </c>
      <c r="K4769" s="12">
        <f>Store_Record[[#This Row],[Qty]]*Store_Record[[#This Row],[UnitPriceGBP]]</f>
        <v>4.4000000000000004</v>
      </c>
      <c r="L4769" s="5" t="str">
        <f>TEXT(Store_Record[[#This Row],[Date]],"dddd")</f>
        <v>Saturday</v>
      </c>
      <c r="M4769" s="5" t="str">
        <f>TEXT(Store_Record[[#This Row],[Date]],"mmmm")</f>
        <v>December</v>
      </c>
      <c r="N4769" s="5">
        <f>YEAR(Store_Record[[#This Row],[Date]])</f>
        <v>2025</v>
      </c>
      <c r="O4769"/>
    </row>
    <row r="4770" spans="1:15" x14ac:dyDescent="0.35">
      <c r="A4770" t="s">
        <v>5758</v>
      </c>
      <c r="B4770" s="2">
        <v>46004</v>
      </c>
      <c r="C4770" t="s">
        <v>24</v>
      </c>
      <c r="D4770" t="s">
        <v>25</v>
      </c>
      <c r="E4770" t="s">
        <v>34</v>
      </c>
      <c r="F4770" t="s">
        <v>31</v>
      </c>
      <c r="G4770">
        <v>1</v>
      </c>
      <c r="H4770">
        <v>2.2000000000000002</v>
      </c>
      <c r="I4770" t="s">
        <v>39</v>
      </c>
      <c r="J4770" t="s">
        <v>59</v>
      </c>
      <c r="K4770" s="12">
        <f>Store_Record[[#This Row],[Qty]]*Store_Record[[#This Row],[UnitPriceGBP]]</f>
        <v>2.2000000000000002</v>
      </c>
      <c r="L4770" s="5" t="str">
        <f>TEXT(Store_Record[[#This Row],[Date]],"dddd")</f>
        <v>Saturday</v>
      </c>
      <c r="M4770" s="5" t="str">
        <f>TEXT(Store_Record[[#This Row],[Date]],"mmmm")</f>
        <v>December</v>
      </c>
      <c r="N4770" s="5">
        <f>YEAR(Store_Record[[#This Row],[Date]])</f>
        <v>2025</v>
      </c>
      <c r="O4770"/>
    </row>
    <row r="4771" spans="1:15" x14ac:dyDescent="0.35">
      <c r="A4771" t="s">
        <v>5761</v>
      </c>
      <c r="B4771" s="2">
        <v>46005</v>
      </c>
      <c r="C4771" t="s">
        <v>20</v>
      </c>
      <c r="D4771" t="s">
        <v>25</v>
      </c>
      <c r="E4771" t="s">
        <v>42</v>
      </c>
      <c r="F4771" t="s">
        <v>13</v>
      </c>
      <c r="G4771">
        <v>5</v>
      </c>
      <c r="H4771">
        <v>3.8</v>
      </c>
      <c r="I4771" t="s">
        <v>14</v>
      </c>
      <c r="J4771" t="s">
        <v>808</v>
      </c>
      <c r="K4771" s="12">
        <f>Store_Record[[#This Row],[Qty]]*Store_Record[[#This Row],[UnitPriceGBP]]</f>
        <v>19</v>
      </c>
      <c r="L4771" s="5" t="str">
        <f>TEXT(Store_Record[[#This Row],[Date]],"dddd")</f>
        <v>Sunday</v>
      </c>
      <c r="M4771" s="5" t="str">
        <f>TEXT(Store_Record[[#This Row],[Date]],"mmmm")</f>
        <v>December</v>
      </c>
      <c r="N4771" s="5">
        <f>YEAR(Store_Record[[#This Row],[Date]])</f>
        <v>2025</v>
      </c>
      <c r="O4771"/>
    </row>
    <row r="4772" spans="1:15" x14ac:dyDescent="0.35">
      <c r="A4772" t="s">
        <v>5760</v>
      </c>
      <c r="B4772" s="2">
        <v>46005</v>
      </c>
      <c r="C4772" t="s">
        <v>10</v>
      </c>
      <c r="D4772" t="s">
        <v>11</v>
      </c>
      <c r="E4772" t="s">
        <v>12</v>
      </c>
      <c r="F4772" t="s">
        <v>13</v>
      </c>
      <c r="G4772">
        <v>5</v>
      </c>
      <c r="H4772">
        <v>2.5</v>
      </c>
      <c r="I4772" t="s">
        <v>21</v>
      </c>
      <c r="J4772" t="s">
        <v>2212</v>
      </c>
      <c r="K4772" s="12">
        <f>Store_Record[[#This Row],[Qty]]*Store_Record[[#This Row],[UnitPriceGBP]]</f>
        <v>12.5</v>
      </c>
      <c r="L4772" s="5" t="str">
        <f>TEXT(Store_Record[[#This Row],[Date]],"dddd")</f>
        <v>Sunday</v>
      </c>
      <c r="M4772" s="5" t="str">
        <f>TEXT(Store_Record[[#This Row],[Date]],"mmmm")</f>
        <v>December</v>
      </c>
      <c r="N4772" s="5">
        <f>YEAR(Store_Record[[#This Row],[Date]])</f>
        <v>2025</v>
      </c>
      <c r="O4772"/>
    </row>
    <row r="4773" spans="1:15" x14ac:dyDescent="0.35">
      <c r="A4773" t="s">
        <v>5766</v>
      </c>
      <c r="B4773" s="2">
        <v>46005</v>
      </c>
      <c r="C4773" t="s">
        <v>20</v>
      </c>
      <c r="D4773" t="s">
        <v>25</v>
      </c>
      <c r="E4773" t="s">
        <v>42</v>
      </c>
      <c r="F4773" t="s">
        <v>13</v>
      </c>
      <c r="G4773">
        <v>3</v>
      </c>
      <c r="H4773">
        <v>3.8</v>
      </c>
      <c r="I4773" t="s">
        <v>39</v>
      </c>
      <c r="J4773" t="s">
        <v>4371</v>
      </c>
      <c r="K4773" s="12">
        <f>Store_Record[[#This Row],[Qty]]*Store_Record[[#This Row],[UnitPriceGBP]]</f>
        <v>11.399999999999999</v>
      </c>
      <c r="L4773" s="5" t="str">
        <f>TEXT(Store_Record[[#This Row],[Date]],"dddd")</f>
        <v>Sunday</v>
      </c>
      <c r="M4773" s="5" t="str">
        <f>TEXT(Store_Record[[#This Row],[Date]],"mmmm")</f>
        <v>December</v>
      </c>
      <c r="N4773" s="5">
        <f>YEAR(Store_Record[[#This Row],[Date]])</f>
        <v>2025</v>
      </c>
      <c r="O4773"/>
    </row>
    <row r="4774" spans="1:15" x14ac:dyDescent="0.35">
      <c r="A4774" t="s">
        <v>5767</v>
      </c>
      <c r="B4774" s="2">
        <v>46005</v>
      </c>
      <c r="C4774" t="s">
        <v>20</v>
      </c>
      <c r="D4774" t="s">
        <v>47</v>
      </c>
      <c r="E4774" t="s">
        <v>42</v>
      </c>
      <c r="F4774" t="s">
        <v>13</v>
      </c>
      <c r="G4774">
        <v>3</v>
      </c>
      <c r="H4774">
        <v>3.8</v>
      </c>
      <c r="I4774" t="s">
        <v>14</v>
      </c>
      <c r="J4774" t="s">
        <v>1114</v>
      </c>
      <c r="K4774" s="12">
        <f>Store_Record[[#This Row],[Qty]]*Store_Record[[#This Row],[UnitPriceGBP]]</f>
        <v>11.399999999999999</v>
      </c>
      <c r="L4774" s="5" t="str">
        <f>TEXT(Store_Record[[#This Row],[Date]],"dddd")</f>
        <v>Sunday</v>
      </c>
      <c r="M4774" s="5" t="str">
        <f>TEXT(Store_Record[[#This Row],[Date]],"mmmm")</f>
        <v>December</v>
      </c>
      <c r="N4774" s="5">
        <f>YEAR(Store_Record[[#This Row],[Date]])</f>
        <v>2025</v>
      </c>
      <c r="O4774"/>
    </row>
    <row r="4775" spans="1:15" x14ac:dyDescent="0.35">
      <c r="A4775" t="s">
        <v>5759</v>
      </c>
      <c r="B4775" s="2">
        <v>46005</v>
      </c>
      <c r="C4775" t="s">
        <v>20</v>
      </c>
      <c r="D4775" t="s">
        <v>38</v>
      </c>
      <c r="E4775" t="s">
        <v>34</v>
      </c>
      <c r="F4775" t="s">
        <v>31</v>
      </c>
      <c r="G4775">
        <v>5</v>
      </c>
      <c r="H4775">
        <v>2.2000000000000002</v>
      </c>
      <c r="I4775" t="s">
        <v>39</v>
      </c>
      <c r="J4775" t="s">
        <v>341</v>
      </c>
      <c r="K4775" s="12">
        <f>Store_Record[[#This Row],[Qty]]*Store_Record[[#This Row],[UnitPriceGBP]]</f>
        <v>11</v>
      </c>
      <c r="L4775" s="5" t="str">
        <f>TEXT(Store_Record[[#This Row],[Date]],"dddd")</f>
        <v>Sunday</v>
      </c>
      <c r="M4775" s="5" t="str">
        <f>TEXT(Store_Record[[#This Row],[Date]],"mmmm")</f>
        <v>December</v>
      </c>
      <c r="N4775" s="5">
        <f>YEAR(Store_Record[[#This Row],[Date]])</f>
        <v>2025</v>
      </c>
      <c r="O4775"/>
    </row>
    <row r="4776" spans="1:15" x14ac:dyDescent="0.35">
      <c r="A4776" t="s">
        <v>5765</v>
      </c>
      <c r="B4776" s="2">
        <v>46005</v>
      </c>
      <c r="C4776" t="s">
        <v>10</v>
      </c>
      <c r="D4776" t="s">
        <v>38</v>
      </c>
      <c r="E4776" t="s">
        <v>34</v>
      </c>
      <c r="F4776" t="s">
        <v>31</v>
      </c>
      <c r="G4776">
        <v>4</v>
      </c>
      <c r="H4776">
        <v>2.2000000000000002</v>
      </c>
      <c r="I4776" t="s">
        <v>14</v>
      </c>
      <c r="J4776" t="s">
        <v>2740</v>
      </c>
      <c r="K4776" s="12">
        <f>Store_Record[[#This Row],[Qty]]*Store_Record[[#This Row],[UnitPriceGBP]]</f>
        <v>8.8000000000000007</v>
      </c>
      <c r="L4776" s="5" t="str">
        <f>TEXT(Store_Record[[#This Row],[Date]],"dddd")</f>
        <v>Sunday</v>
      </c>
      <c r="M4776" s="5" t="str">
        <f>TEXT(Store_Record[[#This Row],[Date]],"mmmm")</f>
        <v>December</v>
      </c>
      <c r="N4776" s="5">
        <f>YEAR(Store_Record[[#This Row],[Date]])</f>
        <v>2025</v>
      </c>
      <c r="O4776"/>
    </row>
    <row r="4777" spans="1:15" x14ac:dyDescent="0.35">
      <c r="A4777" t="s">
        <v>5768</v>
      </c>
      <c r="B4777" s="2">
        <v>46005</v>
      </c>
      <c r="C4777" t="s">
        <v>36</v>
      </c>
      <c r="D4777" t="s">
        <v>29</v>
      </c>
      <c r="E4777" t="s">
        <v>30</v>
      </c>
      <c r="F4777" t="s">
        <v>31</v>
      </c>
      <c r="G4777">
        <v>3</v>
      </c>
      <c r="H4777">
        <v>2.8</v>
      </c>
      <c r="I4777" t="s">
        <v>21</v>
      </c>
      <c r="J4777" t="s">
        <v>2781</v>
      </c>
      <c r="K4777" s="12">
        <f>Store_Record[[#This Row],[Qty]]*Store_Record[[#This Row],[UnitPriceGBP]]</f>
        <v>8.3999999999999986</v>
      </c>
      <c r="L4777" s="5" t="str">
        <f>TEXT(Store_Record[[#This Row],[Date]],"dddd")</f>
        <v>Sunday</v>
      </c>
      <c r="M4777" s="5" t="str">
        <f>TEXT(Store_Record[[#This Row],[Date]],"mmmm")</f>
        <v>December</v>
      </c>
      <c r="N4777" s="5">
        <f>YEAR(Store_Record[[#This Row],[Date]])</f>
        <v>2025</v>
      </c>
      <c r="O4777"/>
    </row>
    <row r="4778" spans="1:15" x14ac:dyDescent="0.35">
      <c r="A4778" t="s">
        <v>5769</v>
      </c>
      <c r="B4778" s="2">
        <v>46005</v>
      </c>
      <c r="C4778" t="s">
        <v>24</v>
      </c>
      <c r="D4778" t="s">
        <v>11</v>
      </c>
      <c r="E4778" t="s">
        <v>12</v>
      </c>
      <c r="F4778" t="s">
        <v>13</v>
      </c>
      <c r="G4778">
        <v>2</v>
      </c>
      <c r="H4778">
        <v>2.5</v>
      </c>
      <c r="I4778" t="s">
        <v>14</v>
      </c>
      <c r="J4778" t="s">
        <v>1228</v>
      </c>
      <c r="K4778" s="12">
        <f>Store_Record[[#This Row],[Qty]]*Store_Record[[#This Row],[UnitPriceGBP]]</f>
        <v>5</v>
      </c>
      <c r="L4778" s="5" t="str">
        <f>TEXT(Store_Record[[#This Row],[Date]],"dddd")</f>
        <v>Sunday</v>
      </c>
      <c r="M4778" s="5" t="str">
        <f>TEXT(Store_Record[[#This Row],[Date]],"mmmm")</f>
        <v>December</v>
      </c>
      <c r="N4778" s="5">
        <f>YEAR(Store_Record[[#This Row],[Date]])</f>
        <v>2025</v>
      </c>
      <c r="O4778"/>
    </row>
    <row r="4779" spans="1:15" x14ac:dyDescent="0.35">
      <c r="A4779" t="s">
        <v>5762</v>
      </c>
      <c r="B4779" s="2">
        <v>46005</v>
      </c>
      <c r="C4779" t="s">
        <v>10</v>
      </c>
      <c r="D4779" t="s">
        <v>11</v>
      </c>
      <c r="E4779" t="s">
        <v>26</v>
      </c>
      <c r="F4779" t="s">
        <v>31</v>
      </c>
      <c r="G4779">
        <v>2</v>
      </c>
      <c r="H4779">
        <v>2.2000000000000002</v>
      </c>
      <c r="I4779" t="s">
        <v>14</v>
      </c>
      <c r="J4779" t="s">
        <v>163</v>
      </c>
      <c r="K4779" s="12">
        <f>Store_Record[[#This Row],[Qty]]*Store_Record[[#This Row],[UnitPriceGBP]]</f>
        <v>4.4000000000000004</v>
      </c>
      <c r="L4779" s="5" t="str">
        <f>TEXT(Store_Record[[#This Row],[Date]],"dddd")</f>
        <v>Sunday</v>
      </c>
      <c r="M4779" s="5" t="str">
        <f>TEXT(Store_Record[[#This Row],[Date]],"mmmm")</f>
        <v>December</v>
      </c>
      <c r="N4779" s="5">
        <f>YEAR(Store_Record[[#This Row],[Date]])</f>
        <v>2025</v>
      </c>
      <c r="O4779"/>
    </row>
    <row r="4780" spans="1:15" x14ac:dyDescent="0.35">
      <c r="A4780" t="s">
        <v>5764</v>
      </c>
      <c r="B4780" s="2">
        <v>46005</v>
      </c>
      <c r="C4780" t="s">
        <v>10</v>
      </c>
      <c r="D4780" t="s">
        <v>29</v>
      </c>
      <c r="E4780" t="s">
        <v>34</v>
      </c>
      <c r="F4780" t="s">
        <v>31</v>
      </c>
      <c r="G4780">
        <v>2</v>
      </c>
      <c r="H4780">
        <v>2.2000000000000002</v>
      </c>
      <c r="I4780" t="s">
        <v>14</v>
      </c>
      <c r="J4780" t="s">
        <v>616</v>
      </c>
      <c r="K4780" s="12">
        <f>Store_Record[[#This Row],[Qty]]*Store_Record[[#This Row],[UnitPriceGBP]]</f>
        <v>4.4000000000000004</v>
      </c>
      <c r="L4780" s="5" t="str">
        <f>TEXT(Store_Record[[#This Row],[Date]],"dddd")</f>
        <v>Sunday</v>
      </c>
      <c r="M4780" s="5" t="str">
        <f>TEXT(Store_Record[[#This Row],[Date]],"mmmm")</f>
        <v>December</v>
      </c>
      <c r="N4780" s="5">
        <f>YEAR(Store_Record[[#This Row],[Date]])</f>
        <v>2025</v>
      </c>
      <c r="O4780"/>
    </row>
    <row r="4781" spans="1:15" x14ac:dyDescent="0.35">
      <c r="A4781" t="s">
        <v>5772</v>
      </c>
      <c r="B4781" s="2">
        <v>46005</v>
      </c>
      <c r="C4781" t="s">
        <v>36</v>
      </c>
      <c r="D4781" t="s">
        <v>25</v>
      </c>
      <c r="E4781" t="s">
        <v>34</v>
      </c>
      <c r="F4781" t="s">
        <v>31</v>
      </c>
      <c r="G4781">
        <v>2</v>
      </c>
      <c r="H4781">
        <v>2.2000000000000002</v>
      </c>
      <c r="I4781" t="s">
        <v>21</v>
      </c>
      <c r="J4781" t="s">
        <v>3057</v>
      </c>
      <c r="K4781" s="12">
        <f>Store_Record[[#This Row],[Qty]]*Store_Record[[#This Row],[UnitPriceGBP]]</f>
        <v>4.4000000000000004</v>
      </c>
      <c r="L4781" s="5" t="str">
        <f>TEXT(Store_Record[[#This Row],[Date]],"dddd")</f>
        <v>Sunday</v>
      </c>
      <c r="M4781" s="5" t="str">
        <f>TEXT(Store_Record[[#This Row],[Date]],"mmmm")</f>
        <v>December</v>
      </c>
      <c r="N4781" s="5">
        <f>YEAR(Store_Record[[#This Row],[Date]])</f>
        <v>2025</v>
      </c>
      <c r="O4781"/>
    </row>
    <row r="4782" spans="1:15" x14ac:dyDescent="0.35">
      <c r="A4782" t="s">
        <v>5770</v>
      </c>
      <c r="B4782" s="2">
        <v>46005</v>
      </c>
      <c r="C4782" t="s">
        <v>10</v>
      </c>
      <c r="D4782" t="s">
        <v>47</v>
      </c>
      <c r="E4782" t="s">
        <v>12</v>
      </c>
      <c r="F4782" t="s">
        <v>13</v>
      </c>
      <c r="G4782">
        <v>1</v>
      </c>
      <c r="H4782">
        <v>2.5</v>
      </c>
      <c r="I4782" t="s">
        <v>21</v>
      </c>
      <c r="J4782" t="s">
        <v>2661</v>
      </c>
      <c r="K4782" s="12">
        <f>Store_Record[[#This Row],[Qty]]*Store_Record[[#This Row],[UnitPriceGBP]]</f>
        <v>2.5</v>
      </c>
      <c r="L4782" s="5" t="str">
        <f>TEXT(Store_Record[[#This Row],[Date]],"dddd")</f>
        <v>Sunday</v>
      </c>
      <c r="M4782" s="5" t="str">
        <f>TEXT(Store_Record[[#This Row],[Date]],"mmmm")</f>
        <v>December</v>
      </c>
      <c r="N4782" s="5">
        <f>YEAR(Store_Record[[#This Row],[Date]])</f>
        <v>2025</v>
      </c>
      <c r="O4782"/>
    </row>
    <row r="4783" spans="1:15" x14ac:dyDescent="0.35">
      <c r="A4783" t="s">
        <v>5771</v>
      </c>
      <c r="B4783" s="2">
        <v>46005</v>
      </c>
      <c r="C4783" t="s">
        <v>36</v>
      </c>
      <c r="D4783" t="s">
        <v>29</v>
      </c>
      <c r="E4783" t="s">
        <v>12</v>
      </c>
      <c r="F4783" t="s">
        <v>13</v>
      </c>
      <c r="G4783">
        <v>1</v>
      </c>
      <c r="H4783">
        <v>2.5</v>
      </c>
      <c r="I4783" t="s">
        <v>14</v>
      </c>
      <c r="J4783" t="s">
        <v>624</v>
      </c>
      <c r="K4783" s="12">
        <f>Store_Record[[#This Row],[Qty]]*Store_Record[[#This Row],[UnitPriceGBP]]</f>
        <v>2.5</v>
      </c>
      <c r="L4783" s="5" t="str">
        <f>TEXT(Store_Record[[#This Row],[Date]],"dddd")</f>
        <v>Sunday</v>
      </c>
      <c r="M4783" s="5" t="str">
        <f>TEXT(Store_Record[[#This Row],[Date]],"mmmm")</f>
        <v>December</v>
      </c>
      <c r="N4783" s="5">
        <f>YEAR(Store_Record[[#This Row],[Date]])</f>
        <v>2025</v>
      </c>
      <c r="O4783"/>
    </row>
    <row r="4784" spans="1:15" x14ac:dyDescent="0.35">
      <c r="A4784" t="s">
        <v>5763</v>
      </c>
      <c r="B4784" s="2">
        <v>46005</v>
      </c>
      <c r="C4784" t="s">
        <v>20</v>
      </c>
      <c r="D4784" t="s">
        <v>47</v>
      </c>
      <c r="E4784" t="s">
        <v>34</v>
      </c>
      <c r="F4784" t="s">
        <v>31</v>
      </c>
      <c r="G4784">
        <v>1</v>
      </c>
      <c r="H4784">
        <v>2.2000000000000002</v>
      </c>
      <c r="I4784" t="s">
        <v>21</v>
      </c>
      <c r="J4784" t="s">
        <v>1183</v>
      </c>
      <c r="K4784" s="12">
        <f>Store_Record[[#This Row],[Qty]]*Store_Record[[#This Row],[UnitPriceGBP]]</f>
        <v>2.2000000000000002</v>
      </c>
      <c r="L4784" s="5" t="str">
        <f>TEXT(Store_Record[[#This Row],[Date]],"dddd")</f>
        <v>Sunday</v>
      </c>
      <c r="M4784" s="5" t="str">
        <f>TEXT(Store_Record[[#This Row],[Date]],"mmmm")</f>
        <v>December</v>
      </c>
      <c r="N4784" s="5">
        <f>YEAR(Store_Record[[#This Row],[Date]])</f>
        <v>2025</v>
      </c>
      <c r="O4784"/>
    </row>
    <row r="4785" spans="1:15" x14ac:dyDescent="0.35">
      <c r="A4785" t="s">
        <v>5773</v>
      </c>
      <c r="B4785" s="2">
        <v>46006</v>
      </c>
      <c r="C4785" t="s">
        <v>36</v>
      </c>
      <c r="D4785" t="s">
        <v>11</v>
      </c>
      <c r="E4785" t="s">
        <v>42</v>
      </c>
      <c r="F4785" t="s">
        <v>13</v>
      </c>
      <c r="G4785">
        <v>3</v>
      </c>
      <c r="H4785">
        <v>3.8</v>
      </c>
      <c r="I4785" t="s">
        <v>39</v>
      </c>
      <c r="J4785" t="s">
        <v>969</v>
      </c>
      <c r="K4785" s="12">
        <f>Store_Record[[#This Row],[Qty]]*Store_Record[[#This Row],[UnitPriceGBP]]</f>
        <v>11.399999999999999</v>
      </c>
      <c r="L4785" s="5" t="str">
        <f>TEXT(Store_Record[[#This Row],[Date]],"dddd")</f>
        <v>Monday</v>
      </c>
      <c r="M4785" s="5" t="str">
        <f>TEXT(Store_Record[[#This Row],[Date]],"mmmm")</f>
        <v>December</v>
      </c>
      <c r="N4785" s="5">
        <f>YEAR(Store_Record[[#This Row],[Date]])</f>
        <v>2025</v>
      </c>
      <c r="O4785"/>
    </row>
    <row r="4786" spans="1:15" x14ac:dyDescent="0.35">
      <c r="A4786" t="s">
        <v>5778</v>
      </c>
      <c r="B4786" s="2">
        <v>46006</v>
      </c>
      <c r="C4786" t="s">
        <v>10</v>
      </c>
      <c r="D4786" t="s">
        <v>25</v>
      </c>
      <c r="E4786" t="s">
        <v>34</v>
      </c>
      <c r="F4786" t="s">
        <v>31</v>
      </c>
      <c r="G4786">
        <v>4</v>
      </c>
      <c r="H4786">
        <v>2.2000000000000002</v>
      </c>
      <c r="I4786" t="s">
        <v>39</v>
      </c>
      <c r="J4786" t="s">
        <v>632</v>
      </c>
      <c r="K4786" s="12">
        <f>Store_Record[[#This Row],[Qty]]*Store_Record[[#This Row],[UnitPriceGBP]]</f>
        <v>8.8000000000000007</v>
      </c>
      <c r="L4786" s="5" t="str">
        <f>TEXT(Store_Record[[#This Row],[Date]],"dddd")</f>
        <v>Monday</v>
      </c>
      <c r="M4786" s="5" t="str">
        <f>TEXT(Store_Record[[#This Row],[Date]],"mmmm")</f>
        <v>December</v>
      </c>
      <c r="N4786" s="5">
        <f>YEAR(Store_Record[[#This Row],[Date]])</f>
        <v>2025</v>
      </c>
      <c r="O4786"/>
    </row>
    <row r="4787" spans="1:15" x14ac:dyDescent="0.35">
      <c r="A4787" t="s">
        <v>5781</v>
      </c>
      <c r="B4787" s="2">
        <v>46006</v>
      </c>
      <c r="C4787" t="s">
        <v>36</v>
      </c>
      <c r="D4787" t="s">
        <v>29</v>
      </c>
      <c r="E4787" t="s">
        <v>34</v>
      </c>
      <c r="F4787" t="s">
        <v>31</v>
      </c>
      <c r="G4787">
        <v>4</v>
      </c>
      <c r="H4787">
        <v>2.2000000000000002</v>
      </c>
      <c r="I4787" t="s">
        <v>14</v>
      </c>
      <c r="J4787" t="s">
        <v>99</v>
      </c>
      <c r="K4787" s="12">
        <f>Store_Record[[#This Row],[Qty]]*Store_Record[[#This Row],[UnitPriceGBP]]</f>
        <v>8.8000000000000007</v>
      </c>
      <c r="L4787" s="5" t="str">
        <f>TEXT(Store_Record[[#This Row],[Date]],"dddd")</f>
        <v>Monday</v>
      </c>
      <c r="M4787" s="5" t="str">
        <f>TEXT(Store_Record[[#This Row],[Date]],"mmmm")</f>
        <v>December</v>
      </c>
      <c r="N4787" s="5">
        <f>YEAR(Store_Record[[#This Row],[Date]])</f>
        <v>2025</v>
      </c>
      <c r="O4787"/>
    </row>
    <row r="4788" spans="1:15" x14ac:dyDescent="0.35">
      <c r="A4788" t="s">
        <v>5782</v>
      </c>
      <c r="B4788" s="2">
        <v>46006</v>
      </c>
      <c r="C4788" t="s">
        <v>36</v>
      </c>
      <c r="D4788" t="s">
        <v>38</v>
      </c>
      <c r="E4788" t="s">
        <v>34</v>
      </c>
      <c r="F4788" t="s">
        <v>31</v>
      </c>
      <c r="G4788">
        <v>4</v>
      </c>
      <c r="H4788">
        <v>2.2000000000000002</v>
      </c>
      <c r="I4788" t="s">
        <v>21</v>
      </c>
      <c r="J4788" t="s">
        <v>1003</v>
      </c>
      <c r="K4788" s="12">
        <f>Store_Record[[#This Row],[Qty]]*Store_Record[[#This Row],[UnitPriceGBP]]</f>
        <v>8.8000000000000007</v>
      </c>
      <c r="L4788" s="5" t="str">
        <f>TEXT(Store_Record[[#This Row],[Date]],"dddd")</f>
        <v>Monday</v>
      </c>
      <c r="M4788" s="5" t="str">
        <f>TEXT(Store_Record[[#This Row],[Date]],"mmmm")</f>
        <v>December</v>
      </c>
      <c r="N4788" s="5">
        <f>YEAR(Store_Record[[#This Row],[Date]])</f>
        <v>2025</v>
      </c>
      <c r="O4788"/>
    </row>
    <row r="4789" spans="1:15" x14ac:dyDescent="0.35">
      <c r="A4789" t="s">
        <v>5779</v>
      </c>
      <c r="B4789" s="2">
        <v>46006</v>
      </c>
      <c r="C4789" t="s">
        <v>20</v>
      </c>
      <c r="D4789" t="s">
        <v>38</v>
      </c>
      <c r="E4789" t="s">
        <v>12</v>
      </c>
      <c r="F4789" t="s">
        <v>13</v>
      </c>
      <c r="G4789">
        <v>3</v>
      </c>
      <c r="H4789">
        <v>2.5</v>
      </c>
      <c r="I4789" t="s">
        <v>21</v>
      </c>
      <c r="J4789" t="s">
        <v>1285</v>
      </c>
      <c r="K4789" s="12">
        <f>Store_Record[[#This Row],[Qty]]*Store_Record[[#This Row],[UnitPriceGBP]]</f>
        <v>7.5</v>
      </c>
      <c r="L4789" s="5" t="str">
        <f>TEXT(Store_Record[[#This Row],[Date]],"dddd")</f>
        <v>Monday</v>
      </c>
      <c r="M4789" s="5" t="str">
        <f>TEXT(Store_Record[[#This Row],[Date]],"mmmm")</f>
        <v>December</v>
      </c>
      <c r="N4789" s="5">
        <f>YEAR(Store_Record[[#This Row],[Date]])</f>
        <v>2025</v>
      </c>
      <c r="O4789"/>
    </row>
    <row r="4790" spans="1:15" x14ac:dyDescent="0.35">
      <c r="A4790" t="s">
        <v>5776</v>
      </c>
      <c r="B4790" s="2">
        <v>46006</v>
      </c>
      <c r="C4790" t="s">
        <v>20</v>
      </c>
      <c r="D4790" t="s">
        <v>38</v>
      </c>
      <c r="E4790" t="s">
        <v>34</v>
      </c>
      <c r="F4790" t="s">
        <v>31</v>
      </c>
      <c r="G4790">
        <v>3</v>
      </c>
      <c r="H4790">
        <v>2.2000000000000002</v>
      </c>
      <c r="I4790" t="s">
        <v>39</v>
      </c>
      <c r="J4790" t="s">
        <v>790</v>
      </c>
      <c r="K4790" s="12">
        <f>Store_Record[[#This Row],[Qty]]*Store_Record[[#This Row],[UnitPriceGBP]]</f>
        <v>6.6000000000000005</v>
      </c>
      <c r="L4790" s="5" t="str">
        <f>TEXT(Store_Record[[#This Row],[Date]],"dddd")</f>
        <v>Monday</v>
      </c>
      <c r="M4790" s="5" t="str">
        <f>TEXT(Store_Record[[#This Row],[Date]],"mmmm")</f>
        <v>December</v>
      </c>
      <c r="N4790" s="5">
        <f>YEAR(Store_Record[[#This Row],[Date]])</f>
        <v>2025</v>
      </c>
      <c r="O4790"/>
    </row>
    <row r="4791" spans="1:15" x14ac:dyDescent="0.35">
      <c r="A4791" t="s">
        <v>5780</v>
      </c>
      <c r="B4791" s="2">
        <v>46006</v>
      </c>
      <c r="C4791" t="s">
        <v>24</v>
      </c>
      <c r="D4791" t="s">
        <v>38</v>
      </c>
      <c r="E4791" t="s">
        <v>34</v>
      </c>
      <c r="F4791" t="s">
        <v>31</v>
      </c>
      <c r="G4791">
        <v>3</v>
      </c>
      <c r="H4791">
        <v>2.2000000000000002</v>
      </c>
      <c r="I4791" t="s">
        <v>21</v>
      </c>
      <c r="J4791" t="s">
        <v>2992</v>
      </c>
      <c r="K4791" s="12">
        <f>Store_Record[[#This Row],[Qty]]*Store_Record[[#This Row],[UnitPriceGBP]]</f>
        <v>6.6000000000000005</v>
      </c>
      <c r="L4791" s="5" t="str">
        <f>TEXT(Store_Record[[#This Row],[Date]],"dddd")</f>
        <v>Monday</v>
      </c>
      <c r="M4791" s="5" t="str">
        <f>TEXT(Store_Record[[#This Row],[Date]],"mmmm")</f>
        <v>December</v>
      </c>
      <c r="N4791" s="5">
        <f>YEAR(Store_Record[[#This Row],[Date]])</f>
        <v>2025</v>
      </c>
      <c r="O4791"/>
    </row>
    <row r="4792" spans="1:15" x14ac:dyDescent="0.35">
      <c r="A4792" t="s">
        <v>5777</v>
      </c>
      <c r="B4792" s="2">
        <v>46006</v>
      </c>
      <c r="C4792" t="s">
        <v>10</v>
      </c>
      <c r="D4792" t="s">
        <v>11</v>
      </c>
      <c r="E4792" t="s">
        <v>42</v>
      </c>
      <c r="F4792" t="s">
        <v>13</v>
      </c>
      <c r="G4792">
        <v>1</v>
      </c>
      <c r="H4792">
        <v>3.8</v>
      </c>
      <c r="I4792" t="s">
        <v>39</v>
      </c>
      <c r="J4792" t="s">
        <v>3555</v>
      </c>
      <c r="K4792" s="12">
        <f>Store_Record[[#This Row],[Qty]]*Store_Record[[#This Row],[UnitPriceGBP]]</f>
        <v>3.8</v>
      </c>
      <c r="L4792" s="5" t="str">
        <f>TEXT(Store_Record[[#This Row],[Date]],"dddd")</f>
        <v>Monday</v>
      </c>
      <c r="M4792" s="5" t="str">
        <f>TEXT(Store_Record[[#This Row],[Date]],"mmmm")</f>
        <v>December</v>
      </c>
      <c r="N4792" s="5">
        <f>YEAR(Store_Record[[#This Row],[Date]])</f>
        <v>2025</v>
      </c>
      <c r="O4792"/>
    </row>
    <row r="4793" spans="1:15" x14ac:dyDescent="0.35">
      <c r="A4793" t="s">
        <v>5775</v>
      </c>
      <c r="B4793" s="2">
        <v>46006</v>
      </c>
      <c r="C4793" t="s">
        <v>36</v>
      </c>
      <c r="D4793" t="s">
        <v>47</v>
      </c>
      <c r="E4793" t="s">
        <v>12</v>
      </c>
      <c r="F4793" t="s">
        <v>13</v>
      </c>
      <c r="G4793">
        <v>1</v>
      </c>
      <c r="H4793">
        <v>2.5</v>
      </c>
      <c r="I4793" t="s">
        <v>39</v>
      </c>
      <c r="J4793" t="s">
        <v>596</v>
      </c>
      <c r="K4793" s="12">
        <f>Store_Record[[#This Row],[Qty]]*Store_Record[[#This Row],[UnitPriceGBP]]</f>
        <v>2.5</v>
      </c>
      <c r="L4793" s="5" t="str">
        <f>TEXT(Store_Record[[#This Row],[Date]],"dddd")</f>
        <v>Monday</v>
      </c>
      <c r="M4793" s="5" t="str">
        <f>TEXT(Store_Record[[#This Row],[Date]],"mmmm")</f>
        <v>December</v>
      </c>
      <c r="N4793" s="5">
        <f>YEAR(Store_Record[[#This Row],[Date]])</f>
        <v>2025</v>
      </c>
      <c r="O4793"/>
    </row>
    <row r="4794" spans="1:15" x14ac:dyDescent="0.35">
      <c r="A4794" t="s">
        <v>5774</v>
      </c>
      <c r="B4794" s="2">
        <v>46006</v>
      </c>
      <c r="C4794" t="s">
        <v>24</v>
      </c>
      <c r="D4794" t="s">
        <v>47</v>
      </c>
      <c r="E4794" t="s">
        <v>34</v>
      </c>
      <c r="F4794" t="s">
        <v>31</v>
      </c>
      <c r="G4794">
        <v>1</v>
      </c>
      <c r="H4794">
        <v>2.2000000000000002</v>
      </c>
      <c r="I4794" t="s">
        <v>39</v>
      </c>
      <c r="J4794" t="s">
        <v>150</v>
      </c>
      <c r="K4794" s="12">
        <f>Store_Record[[#This Row],[Qty]]*Store_Record[[#This Row],[UnitPriceGBP]]</f>
        <v>2.2000000000000002</v>
      </c>
      <c r="L4794" s="5" t="str">
        <f>TEXT(Store_Record[[#This Row],[Date]],"dddd")</f>
        <v>Monday</v>
      </c>
      <c r="M4794" s="5" t="str">
        <f>TEXT(Store_Record[[#This Row],[Date]],"mmmm")</f>
        <v>December</v>
      </c>
      <c r="N4794" s="5">
        <f>YEAR(Store_Record[[#This Row],[Date]])</f>
        <v>2025</v>
      </c>
      <c r="O4794"/>
    </row>
    <row r="4795" spans="1:15" x14ac:dyDescent="0.35">
      <c r="A4795" t="s">
        <v>5793</v>
      </c>
      <c r="B4795" s="2">
        <v>46007</v>
      </c>
      <c r="C4795" t="s">
        <v>36</v>
      </c>
      <c r="D4795" t="s">
        <v>11</v>
      </c>
      <c r="E4795" t="s">
        <v>26</v>
      </c>
      <c r="F4795" t="s">
        <v>13</v>
      </c>
      <c r="G4795">
        <v>5</v>
      </c>
      <c r="H4795">
        <v>3.5</v>
      </c>
      <c r="I4795" t="s">
        <v>39</v>
      </c>
      <c r="J4795" t="s">
        <v>321</v>
      </c>
      <c r="K4795" s="12">
        <f>Store_Record[[#This Row],[Qty]]*Store_Record[[#This Row],[UnitPriceGBP]]</f>
        <v>17.5</v>
      </c>
      <c r="L4795" s="5" t="str">
        <f>TEXT(Store_Record[[#This Row],[Date]],"dddd")</f>
        <v>Tuesday</v>
      </c>
      <c r="M4795" s="5" t="str">
        <f>TEXT(Store_Record[[#This Row],[Date]],"mmmm")</f>
        <v>December</v>
      </c>
      <c r="N4795" s="5">
        <f>YEAR(Store_Record[[#This Row],[Date]])</f>
        <v>2025</v>
      </c>
      <c r="O4795"/>
    </row>
    <row r="4796" spans="1:15" x14ac:dyDescent="0.35">
      <c r="A4796" t="s">
        <v>5794</v>
      </c>
      <c r="B4796" s="2">
        <v>46007</v>
      </c>
      <c r="C4796" t="s">
        <v>24</v>
      </c>
      <c r="D4796" t="s">
        <v>29</v>
      </c>
      <c r="E4796" t="s">
        <v>26</v>
      </c>
      <c r="F4796" t="s">
        <v>13</v>
      </c>
      <c r="G4796">
        <v>5</v>
      </c>
      <c r="H4796">
        <v>3.5</v>
      </c>
      <c r="I4796" t="s">
        <v>14</v>
      </c>
      <c r="J4796" t="s">
        <v>1792</v>
      </c>
      <c r="K4796" s="12">
        <f>Store_Record[[#This Row],[Qty]]*Store_Record[[#This Row],[UnitPriceGBP]]</f>
        <v>17.5</v>
      </c>
      <c r="L4796" s="5" t="str">
        <f>TEXT(Store_Record[[#This Row],[Date]],"dddd")</f>
        <v>Tuesday</v>
      </c>
      <c r="M4796" s="5" t="str">
        <f>TEXT(Store_Record[[#This Row],[Date]],"mmmm")</f>
        <v>December</v>
      </c>
      <c r="N4796" s="5">
        <f>YEAR(Store_Record[[#This Row],[Date]])</f>
        <v>2025</v>
      </c>
      <c r="O4796"/>
    </row>
    <row r="4797" spans="1:15" x14ac:dyDescent="0.35">
      <c r="A4797" t="s">
        <v>5783</v>
      </c>
      <c r="B4797" s="2">
        <v>46007</v>
      </c>
      <c r="C4797" t="s">
        <v>36</v>
      </c>
      <c r="D4797" t="s">
        <v>11</v>
      </c>
      <c r="E4797" t="s">
        <v>30</v>
      </c>
      <c r="F4797" t="s">
        <v>31</v>
      </c>
      <c r="G4797">
        <v>5</v>
      </c>
      <c r="H4797">
        <v>2.8</v>
      </c>
      <c r="I4797" t="s">
        <v>21</v>
      </c>
      <c r="J4797" t="s">
        <v>1225</v>
      </c>
      <c r="K4797" s="12">
        <f>Store_Record[[#This Row],[Qty]]*Store_Record[[#This Row],[UnitPriceGBP]]</f>
        <v>14</v>
      </c>
      <c r="L4797" s="5" t="str">
        <f>TEXT(Store_Record[[#This Row],[Date]],"dddd")</f>
        <v>Tuesday</v>
      </c>
      <c r="M4797" s="5" t="str">
        <f>TEXT(Store_Record[[#This Row],[Date]],"mmmm")</f>
        <v>December</v>
      </c>
      <c r="N4797" s="5">
        <f>YEAR(Store_Record[[#This Row],[Date]])</f>
        <v>2025</v>
      </c>
      <c r="O4797"/>
    </row>
    <row r="4798" spans="1:15" x14ac:dyDescent="0.35">
      <c r="A4798" t="s">
        <v>5789</v>
      </c>
      <c r="B4798" s="2">
        <v>46007</v>
      </c>
      <c r="C4798" t="s">
        <v>24</v>
      </c>
      <c r="D4798" t="s">
        <v>29</v>
      </c>
      <c r="E4798" t="s">
        <v>12</v>
      </c>
      <c r="F4798" t="s">
        <v>13</v>
      </c>
      <c r="G4798">
        <v>5</v>
      </c>
      <c r="H4798">
        <v>2.5</v>
      </c>
      <c r="I4798" t="s">
        <v>14</v>
      </c>
      <c r="J4798" t="s">
        <v>3089</v>
      </c>
      <c r="K4798" s="12">
        <f>Store_Record[[#This Row],[Qty]]*Store_Record[[#This Row],[UnitPriceGBP]]</f>
        <v>12.5</v>
      </c>
      <c r="L4798" s="5" t="str">
        <f>TEXT(Store_Record[[#This Row],[Date]],"dddd")</f>
        <v>Tuesday</v>
      </c>
      <c r="M4798" s="5" t="str">
        <f>TEXT(Store_Record[[#This Row],[Date]],"mmmm")</f>
        <v>December</v>
      </c>
      <c r="N4798" s="5">
        <f>YEAR(Store_Record[[#This Row],[Date]])</f>
        <v>2025</v>
      </c>
      <c r="O4798"/>
    </row>
    <row r="4799" spans="1:15" x14ac:dyDescent="0.35">
      <c r="A4799" t="s">
        <v>5786</v>
      </c>
      <c r="B4799" s="2">
        <v>46007</v>
      </c>
      <c r="C4799" t="s">
        <v>36</v>
      </c>
      <c r="D4799" t="s">
        <v>25</v>
      </c>
      <c r="E4799" t="s">
        <v>30</v>
      </c>
      <c r="F4799" t="s">
        <v>31</v>
      </c>
      <c r="G4799">
        <v>4</v>
      </c>
      <c r="H4799">
        <v>2.8</v>
      </c>
      <c r="I4799" t="s">
        <v>39</v>
      </c>
      <c r="J4799" t="s">
        <v>648</v>
      </c>
      <c r="K4799" s="12">
        <f>Store_Record[[#This Row],[Qty]]*Store_Record[[#This Row],[UnitPriceGBP]]</f>
        <v>11.2</v>
      </c>
      <c r="L4799" s="5" t="str">
        <f>TEXT(Store_Record[[#This Row],[Date]],"dddd")</f>
        <v>Tuesday</v>
      </c>
      <c r="M4799" s="5" t="str">
        <f>TEXT(Store_Record[[#This Row],[Date]],"mmmm")</f>
        <v>December</v>
      </c>
      <c r="N4799" s="5">
        <f>YEAR(Store_Record[[#This Row],[Date]])</f>
        <v>2025</v>
      </c>
      <c r="O4799"/>
    </row>
    <row r="4800" spans="1:15" x14ac:dyDescent="0.35">
      <c r="A4800" t="s">
        <v>5785</v>
      </c>
      <c r="B4800" s="2">
        <v>46007</v>
      </c>
      <c r="C4800" t="s">
        <v>36</v>
      </c>
      <c r="D4800" t="s">
        <v>25</v>
      </c>
      <c r="E4800" t="s">
        <v>12</v>
      </c>
      <c r="F4800" t="s">
        <v>13</v>
      </c>
      <c r="G4800">
        <v>4</v>
      </c>
      <c r="H4800">
        <v>2.5</v>
      </c>
      <c r="I4800" t="s">
        <v>14</v>
      </c>
      <c r="J4800" t="s">
        <v>2453</v>
      </c>
      <c r="K4800" s="12">
        <f>Store_Record[[#This Row],[Qty]]*Store_Record[[#This Row],[UnitPriceGBP]]</f>
        <v>10</v>
      </c>
      <c r="L4800" s="5" t="str">
        <f>TEXT(Store_Record[[#This Row],[Date]],"dddd")</f>
        <v>Tuesday</v>
      </c>
      <c r="M4800" s="5" t="str">
        <f>TEXT(Store_Record[[#This Row],[Date]],"mmmm")</f>
        <v>December</v>
      </c>
      <c r="N4800" s="5">
        <f>YEAR(Store_Record[[#This Row],[Date]])</f>
        <v>2025</v>
      </c>
      <c r="O4800"/>
    </row>
    <row r="4801" spans="1:15" x14ac:dyDescent="0.35">
      <c r="A4801" t="s">
        <v>5791</v>
      </c>
      <c r="B4801" s="2">
        <v>46007</v>
      </c>
      <c r="C4801" t="s">
        <v>10</v>
      </c>
      <c r="D4801" t="s">
        <v>38</v>
      </c>
      <c r="E4801" t="s">
        <v>30</v>
      </c>
      <c r="F4801" t="s">
        <v>31</v>
      </c>
      <c r="G4801">
        <v>3</v>
      </c>
      <c r="H4801">
        <v>2.8</v>
      </c>
      <c r="I4801" t="s">
        <v>14</v>
      </c>
      <c r="J4801" t="s">
        <v>59</v>
      </c>
      <c r="K4801" s="12">
        <f>Store_Record[[#This Row],[Qty]]*Store_Record[[#This Row],[UnitPriceGBP]]</f>
        <v>8.3999999999999986</v>
      </c>
      <c r="L4801" s="5" t="str">
        <f>TEXT(Store_Record[[#This Row],[Date]],"dddd")</f>
        <v>Tuesday</v>
      </c>
      <c r="M4801" s="5" t="str">
        <f>TEXT(Store_Record[[#This Row],[Date]],"mmmm")</f>
        <v>December</v>
      </c>
      <c r="N4801" s="5">
        <f>YEAR(Store_Record[[#This Row],[Date]])</f>
        <v>2025</v>
      </c>
      <c r="O4801"/>
    </row>
    <row r="4802" spans="1:15" x14ac:dyDescent="0.35">
      <c r="A4802" t="s">
        <v>5790</v>
      </c>
      <c r="B4802" s="2">
        <v>46007</v>
      </c>
      <c r="C4802" t="s">
        <v>10</v>
      </c>
      <c r="D4802" t="s">
        <v>25</v>
      </c>
      <c r="E4802" t="s">
        <v>34</v>
      </c>
      <c r="F4802" t="s">
        <v>31</v>
      </c>
      <c r="G4802">
        <v>3</v>
      </c>
      <c r="H4802">
        <v>2.2000000000000002</v>
      </c>
      <c r="I4802" t="s">
        <v>39</v>
      </c>
      <c r="J4802" t="s">
        <v>2880</v>
      </c>
      <c r="K4802" s="12">
        <f>Store_Record[[#This Row],[Qty]]*Store_Record[[#This Row],[UnitPriceGBP]]</f>
        <v>6.6000000000000005</v>
      </c>
      <c r="L4802" s="5" t="str">
        <f>TEXT(Store_Record[[#This Row],[Date]],"dddd")</f>
        <v>Tuesday</v>
      </c>
      <c r="M4802" s="5" t="str">
        <f>TEXT(Store_Record[[#This Row],[Date]],"mmmm")</f>
        <v>December</v>
      </c>
      <c r="N4802" s="5">
        <f>YEAR(Store_Record[[#This Row],[Date]])</f>
        <v>2025</v>
      </c>
      <c r="O4802"/>
    </row>
    <row r="4803" spans="1:15" x14ac:dyDescent="0.35">
      <c r="A4803" t="s">
        <v>5792</v>
      </c>
      <c r="B4803" s="2">
        <v>46007</v>
      </c>
      <c r="C4803" t="s">
        <v>24</v>
      </c>
      <c r="D4803" t="s">
        <v>38</v>
      </c>
      <c r="E4803" t="s">
        <v>34</v>
      </c>
      <c r="F4803" t="s">
        <v>31</v>
      </c>
      <c r="G4803">
        <v>3</v>
      </c>
      <c r="H4803">
        <v>2.2000000000000002</v>
      </c>
      <c r="I4803" t="s">
        <v>14</v>
      </c>
      <c r="J4803" t="s">
        <v>1884</v>
      </c>
      <c r="K4803" s="12">
        <f>Store_Record[[#This Row],[Qty]]*Store_Record[[#This Row],[UnitPriceGBP]]</f>
        <v>6.6000000000000005</v>
      </c>
      <c r="L4803" s="5" t="str">
        <f>TEXT(Store_Record[[#This Row],[Date]],"dddd")</f>
        <v>Tuesday</v>
      </c>
      <c r="M4803" s="5" t="str">
        <f>TEXT(Store_Record[[#This Row],[Date]],"mmmm")</f>
        <v>December</v>
      </c>
      <c r="N4803" s="5">
        <f>YEAR(Store_Record[[#This Row],[Date]])</f>
        <v>2025</v>
      </c>
      <c r="O4803"/>
    </row>
    <row r="4804" spans="1:15" x14ac:dyDescent="0.35">
      <c r="A4804" t="s">
        <v>5788</v>
      </c>
      <c r="B4804" s="2">
        <v>46007</v>
      </c>
      <c r="C4804" t="s">
        <v>20</v>
      </c>
      <c r="D4804" t="s">
        <v>11</v>
      </c>
      <c r="E4804" t="s">
        <v>12</v>
      </c>
      <c r="F4804" t="s">
        <v>13</v>
      </c>
      <c r="G4804">
        <v>2</v>
      </c>
      <c r="H4804">
        <v>2.5</v>
      </c>
      <c r="I4804" t="s">
        <v>39</v>
      </c>
      <c r="J4804" t="s">
        <v>2361</v>
      </c>
      <c r="K4804" s="12">
        <f>Store_Record[[#This Row],[Qty]]*Store_Record[[#This Row],[UnitPriceGBP]]</f>
        <v>5</v>
      </c>
      <c r="L4804" s="5" t="str">
        <f>TEXT(Store_Record[[#This Row],[Date]],"dddd")</f>
        <v>Tuesday</v>
      </c>
      <c r="M4804" s="5" t="str">
        <f>TEXT(Store_Record[[#This Row],[Date]],"mmmm")</f>
        <v>December</v>
      </c>
      <c r="N4804" s="5">
        <f>YEAR(Store_Record[[#This Row],[Date]])</f>
        <v>2025</v>
      </c>
      <c r="O4804"/>
    </row>
    <row r="4805" spans="1:15" x14ac:dyDescent="0.35">
      <c r="A4805" t="s">
        <v>5787</v>
      </c>
      <c r="B4805" s="2">
        <v>46007</v>
      </c>
      <c r="C4805" t="s">
        <v>36</v>
      </c>
      <c r="D4805" t="s">
        <v>29</v>
      </c>
      <c r="E4805" t="s">
        <v>26</v>
      </c>
      <c r="F4805" t="s">
        <v>13</v>
      </c>
      <c r="G4805">
        <v>1</v>
      </c>
      <c r="H4805">
        <v>3.5</v>
      </c>
      <c r="I4805" t="s">
        <v>39</v>
      </c>
      <c r="J4805" t="s">
        <v>4584</v>
      </c>
      <c r="K4805" s="12">
        <f>Store_Record[[#This Row],[Qty]]*Store_Record[[#This Row],[UnitPriceGBP]]</f>
        <v>3.5</v>
      </c>
      <c r="L4805" s="5" t="str">
        <f>TEXT(Store_Record[[#This Row],[Date]],"dddd")</f>
        <v>Tuesday</v>
      </c>
      <c r="M4805" s="5" t="str">
        <f>TEXT(Store_Record[[#This Row],[Date]],"mmmm")</f>
        <v>December</v>
      </c>
      <c r="N4805" s="5">
        <f>YEAR(Store_Record[[#This Row],[Date]])</f>
        <v>2025</v>
      </c>
      <c r="O4805"/>
    </row>
    <row r="4806" spans="1:15" x14ac:dyDescent="0.35">
      <c r="A4806" t="s">
        <v>5784</v>
      </c>
      <c r="B4806" s="2">
        <v>46007</v>
      </c>
      <c r="C4806" t="s">
        <v>24</v>
      </c>
      <c r="D4806" t="s">
        <v>47</v>
      </c>
      <c r="E4806" t="s">
        <v>30</v>
      </c>
      <c r="F4806" t="s">
        <v>31</v>
      </c>
      <c r="G4806">
        <v>1</v>
      </c>
      <c r="H4806">
        <v>2.8</v>
      </c>
      <c r="I4806" t="s">
        <v>39</v>
      </c>
      <c r="J4806" t="s">
        <v>526</v>
      </c>
      <c r="K4806" s="12">
        <f>Store_Record[[#This Row],[Qty]]*Store_Record[[#This Row],[UnitPriceGBP]]</f>
        <v>2.8</v>
      </c>
      <c r="L4806" s="5" t="str">
        <f>TEXT(Store_Record[[#This Row],[Date]],"dddd")</f>
        <v>Tuesday</v>
      </c>
      <c r="M4806" s="5" t="str">
        <f>TEXT(Store_Record[[#This Row],[Date]],"mmmm")</f>
        <v>December</v>
      </c>
      <c r="N4806" s="5">
        <f>YEAR(Store_Record[[#This Row],[Date]])</f>
        <v>2025</v>
      </c>
      <c r="O4806"/>
    </row>
    <row r="4807" spans="1:15" x14ac:dyDescent="0.35">
      <c r="A4807" t="s">
        <v>5795</v>
      </c>
      <c r="B4807" s="2">
        <v>46008</v>
      </c>
      <c r="C4807" t="s">
        <v>10</v>
      </c>
      <c r="D4807" t="s">
        <v>11</v>
      </c>
      <c r="E4807" t="s">
        <v>26</v>
      </c>
      <c r="F4807" t="s">
        <v>13</v>
      </c>
      <c r="G4807">
        <v>4</v>
      </c>
      <c r="H4807">
        <v>3.5</v>
      </c>
      <c r="I4807" t="s">
        <v>39</v>
      </c>
      <c r="J4807" t="s">
        <v>2850</v>
      </c>
      <c r="K4807" s="12">
        <f>Store_Record[[#This Row],[Qty]]*Store_Record[[#This Row],[UnitPriceGBP]]</f>
        <v>14</v>
      </c>
      <c r="L4807" s="5" t="str">
        <f>TEXT(Store_Record[[#This Row],[Date]],"dddd")</f>
        <v>Wednesday</v>
      </c>
      <c r="M4807" s="5" t="str">
        <f>TEXT(Store_Record[[#This Row],[Date]],"mmmm")</f>
        <v>December</v>
      </c>
      <c r="N4807" s="5">
        <f>YEAR(Store_Record[[#This Row],[Date]])</f>
        <v>2025</v>
      </c>
      <c r="O4807"/>
    </row>
    <row r="4808" spans="1:15" x14ac:dyDescent="0.35">
      <c r="A4808" t="s">
        <v>5804</v>
      </c>
      <c r="B4808" s="2">
        <v>46008</v>
      </c>
      <c r="C4808" t="s">
        <v>20</v>
      </c>
      <c r="D4808" t="s">
        <v>29</v>
      </c>
      <c r="E4808" t="s">
        <v>30</v>
      </c>
      <c r="F4808" t="s">
        <v>31</v>
      </c>
      <c r="G4808">
        <v>5</v>
      </c>
      <c r="H4808">
        <v>2.8</v>
      </c>
      <c r="I4808" t="s">
        <v>39</v>
      </c>
      <c r="J4808" t="s">
        <v>5805</v>
      </c>
      <c r="K4808" s="12">
        <f>Store_Record[[#This Row],[Qty]]*Store_Record[[#This Row],[UnitPriceGBP]]</f>
        <v>14</v>
      </c>
      <c r="L4808" s="5" t="str">
        <f>TEXT(Store_Record[[#This Row],[Date]],"dddd")</f>
        <v>Wednesday</v>
      </c>
      <c r="M4808" s="5" t="str">
        <f>TEXT(Store_Record[[#This Row],[Date]],"mmmm")</f>
        <v>December</v>
      </c>
      <c r="N4808" s="5">
        <f>YEAR(Store_Record[[#This Row],[Date]])</f>
        <v>2025</v>
      </c>
      <c r="O4808"/>
    </row>
    <row r="4809" spans="1:15" x14ac:dyDescent="0.35">
      <c r="A4809" t="s">
        <v>5801</v>
      </c>
      <c r="B4809" s="2">
        <v>46008</v>
      </c>
      <c r="C4809" t="s">
        <v>20</v>
      </c>
      <c r="D4809" t="s">
        <v>47</v>
      </c>
      <c r="E4809" t="s">
        <v>26</v>
      </c>
      <c r="F4809" t="s">
        <v>13</v>
      </c>
      <c r="G4809">
        <v>3</v>
      </c>
      <c r="H4809">
        <v>3.5</v>
      </c>
      <c r="I4809" t="s">
        <v>21</v>
      </c>
      <c r="J4809" t="s">
        <v>929</v>
      </c>
      <c r="K4809" s="12">
        <f>Store_Record[[#This Row],[Qty]]*Store_Record[[#This Row],[UnitPriceGBP]]</f>
        <v>10.5</v>
      </c>
      <c r="L4809" s="5" t="str">
        <f>TEXT(Store_Record[[#This Row],[Date]],"dddd")</f>
        <v>Wednesday</v>
      </c>
      <c r="M4809" s="5" t="str">
        <f>TEXT(Store_Record[[#This Row],[Date]],"mmmm")</f>
        <v>December</v>
      </c>
      <c r="N4809" s="5">
        <f>YEAR(Store_Record[[#This Row],[Date]])</f>
        <v>2025</v>
      </c>
      <c r="O4809"/>
    </row>
    <row r="4810" spans="1:15" x14ac:dyDescent="0.35">
      <c r="A4810" t="s">
        <v>5797</v>
      </c>
      <c r="B4810" s="2">
        <v>46008</v>
      </c>
      <c r="C4810" t="s">
        <v>36</v>
      </c>
      <c r="D4810" t="s">
        <v>47</v>
      </c>
      <c r="E4810" t="s">
        <v>30</v>
      </c>
      <c r="F4810" t="s">
        <v>31</v>
      </c>
      <c r="G4810">
        <v>3</v>
      </c>
      <c r="H4810">
        <v>2.8</v>
      </c>
      <c r="I4810" t="s">
        <v>14</v>
      </c>
      <c r="J4810" t="s">
        <v>317</v>
      </c>
      <c r="K4810" s="12">
        <f>Store_Record[[#This Row],[Qty]]*Store_Record[[#This Row],[UnitPriceGBP]]</f>
        <v>8.3999999999999986</v>
      </c>
      <c r="L4810" s="5" t="str">
        <f>TEXT(Store_Record[[#This Row],[Date]],"dddd")</f>
        <v>Wednesday</v>
      </c>
      <c r="M4810" s="5" t="str">
        <f>TEXT(Store_Record[[#This Row],[Date]],"mmmm")</f>
        <v>December</v>
      </c>
      <c r="N4810" s="5">
        <f>YEAR(Store_Record[[#This Row],[Date]])</f>
        <v>2025</v>
      </c>
      <c r="O4810"/>
    </row>
    <row r="4811" spans="1:15" x14ac:dyDescent="0.35">
      <c r="A4811" t="s">
        <v>5799</v>
      </c>
      <c r="B4811" s="2">
        <v>46008</v>
      </c>
      <c r="C4811" t="s">
        <v>24</v>
      </c>
      <c r="D4811" t="s">
        <v>29</v>
      </c>
      <c r="E4811" t="s">
        <v>30</v>
      </c>
      <c r="F4811" t="s">
        <v>31</v>
      </c>
      <c r="G4811">
        <v>3</v>
      </c>
      <c r="H4811">
        <v>2.8</v>
      </c>
      <c r="I4811" t="s">
        <v>39</v>
      </c>
      <c r="J4811" t="s">
        <v>1163</v>
      </c>
      <c r="K4811" s="12">
        <f>Store_Record[[#This Row],[Qty]]*Store_Record[[#This Row],[UnitPriceGBP]]</f>
        <v>8.3999999999999986</v>
      </c>
      <c r="L4811" s="5" t="str">
        <f>TEXT(Store_Record[[#This Row],[Date]],"dddd")</f>
        <v>Wednesday</v>
      </c>
      <c r="M4811" s="5" t="str">
        <f>TEXT(Store_Record[[#This Row],[Date]],"mmmm")</f>
        <v>December</v>
      </c>
      <c r="N4811" s="5">
        <f>YEAR(Store_Record[[#This Row],[Date]])</f>
        <v>2025</v>
      </c>
      <c r="O4811"/>
    </row>
    <row r="4812" spans="1:15" x14ac:dyDescent="0.35">
      <c r="A4812" t="s">
        <v>5796</v>
      </c>
      <c r="B4812" s="2">
        <v>46008</v>
      </c>
      <c r="C4812" t="s">
        <v>20</v>
      </c>
      <c r="D4812" t="s">
        <v>38</v>
      </c>
      <c r="E4812" t="s">
        <v>42</v>
      </c>
      <c r="F4812" t="s">
        <v>13</v>
      </c>
      <c r="G4812">
        <v>2</v>
      </c>
      <c r="H4812">
        <v>3.8</v>
      </c>
      <c r="I4812" t="s">
        <v>39</v>
      </c>
      <c r="J4812" t="s">
        <v>813</v>
      </c>
      <c r="K4812" s="12">
        <f>Store_Record[[#This Row],[Qty]]*Store_Record[[#This Row],[UnitPriceGBP]]</f>
        <v>7.6</v>
      </c>
      <c r="L4812" s="5" t="str">
        <f>TEXT(Store_Record[[#This Row],[Date]],"dddd")</f>
        <v>Wednesday</v>
      </c>
      <c r="M4812" s="5" t="str">
        <f>TEXT(Store_Record[[#This Row],[Date]],"mmmm")</f>
        <v>December</v>
      </c>
      <c r="N4812" s="5">
        <f>YEAR(Store_Record[[#This Row],[Date]])</f>
        <v>2025</v>
      </c>
      <c r="O4812"/>
    </row>
    <row r="4813" spans="1:15" x14ac:dyDescent="0.35">
      <c r="A4813" t="s">
        <v>5802</v>
      </c>
      <c r="B4813" s="2">
        <v>46008</v>
      </c>
      <c r="C4813" t="s">
        <v>10</v>
      </c>
      <c r="D4813" t="s">
        <v>38</v>
      </c>
      <c r="E4813" t="s">
        <v>26</v>
      </c>
      <c r="F4813" t="s">
        <v>13</v>
      </c>
      <c r="G4813">
        <v>2</v>
      </c>
      <c r="H4813">
        <v>3.5</v>
      </c>
      <c r="I4813" t="s">
        <v>21</v>
      </c>
      <c r="J4813" t="s">
        <v>1233</v>
      </c>
      <c r="K4813" s="12">
        <f>Store_Record[[#This Row],[Qty]]*Store_Record[[#This Row],[UnitPriceGBP]]</f>
        <v>7</v>
      </c>
      <c r="L4813" s="5" t="str">
        <f>TEXT(Store_Record[[#This Row],[Date]],"dddd")</f>
        <v>Wednesday</v>
      </c>
      <c r="M4813" s="5" t="str">
        <f>TEXT(Store_Record[[#This Row],[Date]],"mmmm")</f>
        <v>December</v>
      </c>
      <c r="N4813" s="5">
        <f>YEAR(Store_Record[[#This Row],[Date]])</f>
        <v>2025</v>
      </c>
      <c r="O4813"/>
    </row>
    <row r="4814" spans="1:15" x14ac:dyDescent="0.35">
      <c r="A4814" t="s">
        <v>5800</v>
      </c>
      <c r="B4814" s="2">
        <v>46008</v>
      </c>
      <c r="C4814" t="s">
        <v>36</v>
      </c>
      <c r="D4814" t="s">
        <v>38</v>
      </c>
      <c r="E4814" t="s">
        <v>34</v>
      </c>
      <c r="F4814" t="s">
        <v>31</v>
      </c>
      <c r="G4814">
        <v>3</v>
      </c>
      <c r="H4814">
        <v>2.2000000000000002</v>
      </c>
      <c r="I4814" t="s">
        <v>39</v>
      </c>
      <c r="J4814" t="s">
        <v>1447</v>
      </c>
      <c r="K4814" s="12">
        <f>Store_Record[[#This Row],[Qty]]*Store_Record[[#This Row],[UnitPriceGBP]]</f>
        <v>6.6000000000000005</v>
      </c>
      <c r="L4814" s="5" t="str">
        <f>TEXT(Store_Record[[#This Row],[Date]],"dddd")</f>
        <v>Wednesday</v>
      </c>
      <c r="M4814" s="5" t="str">
        <f>TEXT(Store_Record[[#This Row],[Date]],"mmmm")</f>
        <v>December</v>
      </c>
      <c r="N4814" s="5">
        <f>YEAR(Store_Record[[#This Row],[Date]])</f>
        <v>2025</v>
      </c>
      <c r="O4814"/>
    </row>
    <row r="4815" spans="1:15" x14ac:dyDescent="0.35">
      <c r="A4815" t="s">
        <v>5803</v>
      </c>
      <c r="B4815" s="2">
        <v>46008</v>
      </c>
      <c r="C4815" t="s">
        <v>20</v>
      </c>
      <c r="D4815" t="s">
        <v>25</v>
      </c>
      <c r="E4815" t="s">
        <v>30</v>
      </c>
      <c r="F4815" t="s">
        <v>31</v>
      </c>
      <c r="G4815">
        <v>2</v>
      </c>
      <c r="H4815">
        <v>2.8</v>
      </c>
      <c r="I4815" t="s">
        <v>21</v>
      </c>
      <c r="J4815" t="s">
        <v>2722</v>
      </c>
      <c r="K4815" s="12">
        <f>Store_Record[[#This Row],[Qty]]*Store_Record[[#This Row],[UnitPriceGBP]]</f>
        <v>5.6</v>
      </c>
      <c r="L4815" s="5" t="str">
        <f>TEXT(Store_Record[[#This Row],[Date]],"dddd")</f>
        <v>Wednesday</v>
      </c>
      <c r="M4815" s="5" t="str">
        <f>TEXT(Store_Record[[#This Row],[Date]],"mmmm")</f>
        <v>December</v>
      </c>
      <c r="N4815" s="5">
        <f>YEAR(Store_Record[[#This Row],[Date]])</f>
        <v>2025</v>
      </c>
      <c r="O4815"/>
    </row>
    <row r="4816" spans="1:15" x14ac:dyDescent="0.35">
      <c r="A4816" t="s">
        <v>5798</v>
      </c>
      <c r="B4816" s="2">
        <v>46008</v>
      </c>
      <c r="C4816" t="s">
        <v>36</v>
      </c>
      <c r="D4816" t="s">
        <v>25</v>
      </c>
      <c r="E4816" t="s">
        <v>12</v>
      </c>
      <c r="F4816" t="s">
        <v>13</v>
      </c>
      <c r="G4816">
        <v>1</v>
      </c>
      <c r="H4816">
        <v>2.5</v>
      </c>
      <c r="I4816" t="s">
        <v>14</v>
      </c>
      <c r="J4816" t="s">
        <v>684</v>
      </c>
      <c r="K4816" s="12">
        <f>Store_Record[[#This Row],[Qty]]*Store_Record[[#This Row],[UnitPriceGBP]]</f>
        <v>2.5</v>
      </c>
      <c r="L4816" s="5" t="str">
        <f>TEXT(Store_Record[[#This Row],[Date]],"dddd")</f>
        <v>Wednesday</v>
      </c>
      <c r="M4816" s="5" t="str">
        <f>TEXT(Store_Record[[#This Row],[Date]],"mmmm")</f>
        <v>December</v>
      </c>
      <c r="N4816" s="5">
        <f>YEAR(Store_Record[[#This Row],[Date]])</f>
        <v>2025</v>
      </c>
      <c r="O4816"/>
    </row>
    <row r="4817" spans="1:15" x14ac:dyDescent="0.35">
      <c r="A4817" t="s">
        <v>5817</v>
      </c>
      <c r="B4817" s="2">
        <v>46009</v>
      </c>
      <c r="C4817" t="s">
        <v>24</v>
      </c>
      <c r="D4817" t="s">
        <v>29</v>
      </c>
      <c r="E4817" t="s">
        <v>42</v>
      </c>
      <c r="F4817" t="s">
        <v>13</v>
      </c>
      <c r="G4817">
        <v>5</v>
      </c>
      <c r="H4817">
        <v>3.8</v>
      </c>
      <c r="I4817" t="s">
        <v>39</v>
      </c>
      <c r="J4817" t="s">
        <v>474</v>
      </c>
      <c r="K4817" s="12">
        <f>Store_Record[[#This Row],[Qty]]*Store_Record[[#This Row],[UnitPriceGBP]]</f>
        <v>19</v>
      </c>
      <c r="L4817" s="5" t="str">
        <f>TEXT(Store_Record[[#This Row],[Date]],"dddd")</f>
        <v>Thursday</v>
      </c>
      <c r="M4817" s="5" t="str">
        <f>TEXT(Store_Record[[#This Row],[Date]],"mmmm")</f>
        <v>December</v>
      </c>
      <c r="N4817" s="5">
        <f>YEAR(Store_Record[[#This Row],[Date]])</f>
        <v>2025</v>
      </c>
      <c r="O4817"/>
    </row>
    <row r="4818" spans="1:15" x14ac:dyDescent="0.35">
      <c r="A4818" t="s">
        <v>5806</v>
      </c>
      <c r="B4818" s="2">
        <v>46009</v>
      </c>
      <c r="C4818" t="s">
        <v>24</v>
      </c>
      <c r="D4818" t="s">
        <v>25</v>
      </c>
      <c r="E4818" t="s">
        <v>26</v>
      </c>
      <c r="F4818" t="s">
        <v>13</v>
      </c>
      <c r="G4818">
        <v>4</v>
      </c>
      <c r="H4818">
        <v>3.5</v>
      </c>
      <c r="I4818" t="s">
        <v>21</v>
      </c>
      <c r="J4818" t="s">
        <v>1349</v>
      </c>
      <c r="K4818" s="12">
        <f>Store_Record[[#This Row],[Qty]]*Store_Record[[#This Row],[UnitPriceGBP]]</f>
        <v>14</v>
      </c>
      <c r="L4818" s="5" t="str">
        <f>TEXT(Store_Record[[#This Row],[Date]],"dddd")</f>
        <v>Thursday</v>
      </c>
      <c r="M4818" s="5" t="str">
        <f>TEXT(Store_Record[[#This Row],[Date]],"mmmm")</f>
        <v>December</v>
      </c>
      <c r="N4818" s="5">
        <f>YEAR(Store_Record[[#This Row],[Date]])</f>
        <v>2025</v>
      </c>
      <c r="O4818"/>
    </row>
    <row r="4819" spans="1:15" x14ac:dyDescent="0.35">
      <c r="A4819" t="s">
        <v>5812</v>
      </c>
      <c r="B4819" s="2">
        <v>46009</v>
      </c>
      <c r="C4819" t="s">
        <v>36</v>
      </c>
      <c r="D4819" t="s">
        <v>29</v>
      </c>
      <c r="E4819" t="s">
        <v>30</v>
      </c>
      <c r="F4819" t="s">
        <v>31</v>
      </c>
      <c r="G4819">
        <v>5</v>
      </c>
      <c r="H4819">
        <v>2.8</v>
      </c>
      <c r="I4819" t="s">
        <v>14</v>
      </c>
      <c r="J4819" t="s">
        <v>4049</v>
      </c>
      <c r="K4819" s="12">
        <f>Store_Record[[#This Row],[Qty]]*Store_Record[[#This Row],[UnitPriceGBP]]</f>
        <v>14</v>
      </c>
      <c r="L4819" s="5" t="str">
        <f>TEXT(Store_Record[[#This Row],[Date]],"dddd")</f>
        <v>Thursday</v>
      </c>
      <c r="M4819" s="5" t="str">
        <f>TEXT(Store_Record[[#This Row],[Date]],"mmmm")</f>
        <v>December</v>
      </c>
      <c r="N4819" s="5">
        <f>YEAR(Store_Record[[#This Row],[Date]])</f>
        <v>2025</v>
      </c>
      <c r="O4819"/>
    </row>
    <row r="4820" spans="1:15" x14ac:dyDescent="0.35">
      <c r="A4820" t="s">
        <v>5816</v>
      </c>
      <c r="B4820" s="2">
        <v>46009</v>
      </c>
      <c r="C4820" t="s">
        <v>20</v>
      </c>
      <c r="D4820" t="s">
        <v>25</v>
      </c>
      <c r="E4820" t="s">
        <v>30</v>
      </c>
      <c r="F4820" t="s">
        <v>31</v>
      </c>
      <c r="G4820">
        <v>5</v>
      </c>
      <c r="H4820">
        <v>2.8</v>
      </c>
      <c r="I4820" t="s">
        <v>39</v>
      </c>
      <c r="J4820" t="s">
        <v>1910</v>
      </c>
      <c r="K4820" s="12">
        <f>Store_Record[[#This Row],[Qty]]*Store_Record[[#This Row],[UnitPriceGBP]]</f>
        <v>14</v>
      </c>
      <c r="L4820" s="5" t="str">
        <f>TEXT(Store_Record[[#This Row],[Date]],"dddd")</f>
        <v>Thursday</v>
      </c>
      <c r="M4820" s="5" t="str">
        <f>TEXT(Store_Record[[#This Row],[Date]],"mmmm")</f>
        <v>December</v>
      </c>
      <c r="N4820" s="5">
        <f>YEAR(Store_Record[[#This Row],[Date]])</f>
        <v>2025</v>
      </c>
      <c r="O4820"/>
    </row>
    <row r="4821" spans="1:15" x14ac:dyDescent="0.35">
      <c r="A4821" t="s">
        <v>5815</v>
      </c>
      <c r="B4821" s="2">
        <v>46009</v>
      </c>
      <c r="C4821" t="s">
        <v>36</v>
      </c>
      <c r="D4821" t="s">
        <v>11</v>
      </c>
      <c r="E4821" t="s">
        <v>12</v>
      </c>
      <c r="F4821" t="s">
        <v>13</v>
      </c>
      <c r="G4821">
        <v>5</v>
      </c>
      <c r="H4821">
        <v>2.5</v>
      </c>
      <c r="I4821" t="s">
        <v>14</v>
      </c>
      <c r="J4821" t="s">
        <v>1517</v>
      </c>
      <c r="K4821" s="12">
        <f>Store_Record[[#This Row],[Qty]]*Store_Record[[#This Row],[UnitPriceGBP]]</f>
        <v>12.5</v>
      </c>
      <c r="L4821" s="5" t="str">
        <f>TEXT(Store_Record[[#This Row],[Date]],"dddd")</f>
        <v>Thursday</v>
      </c>
      <c r="M4821" s="5" t="str">
        <f>TEXT(Store_Record[[#This Row],[Date]],"mmmm")</f>
        <v>December</v>
      </c>
      <c r="N4821" s="5">
        <f>YEAR(Store_Record[[#This Row],[Date]])</f>
        <v>2025</v>
      </c>
      <c r="O4821"/>
    </row>
    <row r="4822" spans="1:15" x14ac:dyDescent="0.35">
      <c r="A4822" t="s">
        <v>5818</v>
      </c>
      <c r="B4822" s="2">
        <v>46009</v>
      </c>
      <c r="C4822" t="s">
        <v>36</v>
      </c>
      <c r="D4822" t="s">
        <v>29</v>
      </c>
      <c r="E4822" t="s">
        <v>12</v>
      </c>
      <c r="F4822" t="s">
        <v>13</v>
      </c>
      <c r="G4822">
        <v>5</v>
      </c>
      <c r="H4822">
        <v>2.5</v>
      </c>
      <c r="I4822" t="s">
        <v>21</v>
      </c>
      <c r="J4822" t="s">
        <v>1760</v>
      </c>
      <c r="K4822" s="12">
        <f>Store_Record[[#This Row],[Qty]]*Store_Record[[#This Row],[UnitPriceGBP]]</f>
        <v>12.5</v>
      </c>
      <c r="L4822" s="5" t="str">
        <f>TEXT(Store_Record[[#This Row],[Date]],"dddd")</f>
        <v>Thursday</v>
      </c>
      <c r="M4822" s="5" t="str">
        <f>TEXT(Store_Record[[#This Row],[Date]],"mmmm")</f>
        <v>December</v>
      </c>
      <c r="N4822" s="5">
        <f>YEAR(Store_Record[[#This Row],[Date]])</f>
        <v>2025</v>
      </c>
      <c r="O4822"/>
    </row>
    <row r="4823" spans="1:15" x14ac:dyDescent="0.35">
      <c r="A4823" t="s">
        <v>5810</v>
      </c>
      <c r="B4823" s="2">
        <v>46009</v>
      </c>
      <c r="C4823" t="s">
        <v>36</v>
      </c>
      <c r="D4823" t="s">
        <v>38</v>
      </c>
      <c r="E4823" t="s">
        <v>26</v>
      </c>
      <c r="F4823" t="s">
        <v>13</v>
      </c>
      <c r="G4823">
        <v>3</v>
      </c>
      <c r="H4823">
        <v>3.5</v>
      </c>
      <c r="I4823" t="s">
        <v>21</v>
      </c>
      <c r="J4823" t="s">
        <v>214</v>
      </c>
      <c r="K4823" s="12">
        <f>Store_Record[[#This Row],[Qty]]*Store_Record[[#This Row],[UnitPriceGBP]]</f>
        <v>10.5</v>
      </c>
      <c r="L4823" s="5" t="str">
        <f>TEXT(Store_Record[[#This Row],[Date]],"dddd")</f>
        <v>Thursday</v>
      </c>
      <c r="M4823" s="5" t="str">
        <f>TEXT(Store_Record[[#This Row],[Date]],"mmmm")</f>
        <v>December</v>
      </c>
      <c r="N4823" s="5">
        <f>YEAR(Store_Record[[#This Row],[Date]])</f>
        <v>2025</v>
      </c>
      <c r="O4823"/>
    </row>
    <row r="4824" spans="1:15" x14ac:dyDescent="0.35">
      <c r="A4824" t="s">
        <v>5819</v>
      </c>
      <c r="B4824" s="2">
        <v>46009</v>
      </c>
      <c r="C4824" t="s">
        <v>20</v>
      </c>
      <c r="D4824" t="s">
        <v>29</v>
      </c>
      <c r="E4824" t="s">
        <v>12</v>
      </c>
      <c r="F4824" t="s">
        <v>13</v>
      </c>
      <c r="G4824">
        <v>4</v>
      </c>
      <c r="H4824">
        <v>2.5</v>
      </c>
      <c r="I4824" t="s">
        <v>39</v>
      </c>
      <c r="J4824" t="s">
        <v>2142</v>
      </c>
      <c r="K4824" s="12">
        <f>Store_Record[[#This Row],[Qty]]*Store_Record[[#This Row],[UnitPriceGBP]]</f>
        <v>10</v>
      </c>
      <c r="L4824" s="5" t="str">
        <f>TEXT(Store_Record[[#This Row],[Date]],"dddd")</f>
        <v>Thursday</v>
      </c>
      <c r="M4824" s="5" t="str">
        <f>TEXT(Store_Record[[#This Row],[Date]],"mmmm")</f>
        <v>December</v>
      </c>
      <c r="N4824" s="5">
        <f>YEAR(Store_Record[[#This Row],[Date]])</f>
        <v>2025</v>
      </c>
      <c r="O4824"/>
    </row>
    <row r="4825" spans="1:15" x14ac:dyDescent="0.35">
      <c r="A4825" t="s">
        <v>5820</v>
      </c>
      <c r="B4825" s="2">
        <v>46009</v>
      </c>
      <c r="C4825" t="s">
        <v>24</v>
      </c>
      <c r="D4825" t="s">
        <v>25</v>
      </c>
      <c r="E4825" t="s">
        <v>12</v>
      </c>
      <c r="F4825" t="s">
        <v>13</v>
      </c>
      <c r="G4825">
        <v>3</v>
      </c>
      <c r="H4825">
        <v>2.5</v>
      </c>
      <c r="I4825" t="s">
        <v>14</v>
      </c>
      <c r="J4825" t="s">
        <v>230</v>
      </c>
      <c r="K4825" s="12">
        <f>Store_Record[[#This Row],[Qty]]*Store_Record[[#This Row],[UnitPriceGBP]]</f>
        <v>7.5</v>
      </c>
      <c r="L4825" s="5" t="str">
        <f>TEXT(Store_Record[[#This Row],[Date]],"dddd")</f>
        <v>Thursday</v>
      </c>
      <c r="M4825" s="5" t="str">
        <f>TEXT(Store_Record[[#This Row],[Date]],"mmmm")</f>
        <v>December</v>
      </c>
      <c r="N4825" s="5">
        <f>YEAR(Store_Record[[#This Row],[Date]])</f>
        <v>2025</v>
      </c>
      <c r="O4825"/>
    </row>
    <row r="4826" spans="1:15" x14ac:dyDescent="0.35">
      <c r="A4826" t="s">
        <v>5814</v>
      </c>
      <c r="B4826" s="2">
        <v>46009</v>
      </c>
      <c r="C4826" t="s">
        <v>20</v>
      </c>
      <c r="D4826" t="s">
        <v>29</v>
      </c>
      <c r="E4826" t="s">
        <v>26</v>
      </c>
      <c r="F4826" t="s">
        <v>13</v>
      </c>
      <c r="G4826">
        <v>2</v>
      </c>
      <c r="H4826">
        <v>3.5</v>
      </c>
      <c r="I4826" t="s">
        <v>14</v>
      </c>
      <c r="J4826" t="s">
        <v>1504</v>
      </c>
      <c r="K4826" s="12">
        <f>Store_Record[[#This Row],[Qty]]*Store_Record[[#This Row],[UnitPriceGBP]]</f>
        <v>7</v>
      </c>
      <c r="L4826" s="5" t="str">
        <f>TEXT(Store_Record[[#This Row],[Date]],"dddd")</f>
        <v>Thursday</v>
      </c>
      <c r="M4826" s="5" t="str">
        <f>TEXT(Store_Record[[#This Row],[Date]],"mmmm")</f>
        <v>December</v>
      </c>
      <c r="N4826" s="5">
        <f>YEAR(Store_Record[[#This Row],[Date]])</f>
        <v>2025</v>
      </c>
      <c r="O4826"/>
    </row>
    <row r="4827" spans="1:15" x14ac:dyDescent="0.35">
      <c r="A4827" t="s">
        <v>5807</v>
      </c>
      <c r="B4827" s="2">
        <v>46009</v>
      </c>
      <c r="C4827" t="s">
        <v>24</v>
      </c>
      <c r="D4827" t="s">
        <v>25</v>
      </c>
      <c r="E4827" t="s">
        <v>12</v>
      </c>
      <c r="F4827" t="s">
        <v>13</v>
      </c>
      <c r="G4827">
        <v>2</v>
      </c>
      <c r="H4827">
        <v>2.5</v>
      </c>
      <c r="I4827" t="s">
        <v>14</v>
      </c>
      <c r="J4827" t="s">
        <v>745</v>
      </c>
      <c r="K4827" s="12">
        <f>Store_Record[[#This Row],[Qty]]*Store_Record[[#This Row],[UnitPriceGBP]]</f>
        <v>5</v>
      </c>
      <c r="L4827" s="5" t="str">
        <f>TEXT(Store_Record[[#This Row],[Date]],"dddd")</f>
        <v>Thursday</v>
      </c>
      <c r="M4827" s="5" t="str">
        <f>TEXT(Store_Record[[#This Row],[Date]],"mmmm")</f>
        <v>December</v>
      </c>
      <c r="N4827" s="5">
        <f>YEAR(Store_Record[[#This Row],[Date]])</f>
        <v>2025</v>
      </c>
      <c r="O4827"/>
    </row>
    <row r="4828" spans="1:15" x14ac:dyDescent="0.35">
      <c r="A4828" t="s">
        <v>5813</v>
      </c>
      <c r="B4828" s="2">
        <v>46009</v>
      </c>
      <c r="C4828" t="s">
        <v>24</v>
      </c>
      <c r="D4828" t="s">
        <v>29</v>
      </c>
      <c r="E4828" t="s">
        <v>12</v>
      </c>
      <c r="F4828" t="s">
        <v>13</v>
      </c>
      <c r="G4828">
        <v>2</v>
      </c>
      <c r="H4828">
        <v>2.5</v>
      </c>
      <c r="I4828" t="s">
        <v>14</v>
      </c>
      <c r="J4828" t="s">
        <v>1509</v>
      </c>
      <c r="K4828" s="12">
        <f>Store_Record[[#This Row],[Qty]]*Store_Record[[#This Row],[UnitPriceGBP]]</f>
        <v>5</v>
      </c>
      <c r="L4828" s="5" t="str">
        <f>TEXT(Store_Record[[#This Row],[Date]],"dddd")</f>
        <v>Thursday</v>
      </c>
      <c r="M4828" s="5" t="str">
        <f>TEXT(Store_Record[[#This Row],[Date]],"mmmm")</f>
        <v>December</v>
      </c>
      <c r="N4828" s="5">
        <f>YEAR(Store_Record[[#This Row],[Date]])</f>
        <v>2025</v>
      </c>
      <c r="O4828"/>
    </row>
    <row r="4829" spans="1:15" x14ac:dyDescent="0.35">
      <c r="A4829" t="s">
        <v>5809</v>
      </c>
      <c r="B4829" s="2">
        <v>46009</v>
      </c>
      <c r="C4829" t="s">
        <v>20</v>
      </c>
      <c r="D4829" t="s">
        <v>11</v>
      </c>
      <c r="E4829" t="s">
        <v>34</v>
      </c>
      <c r="F4829" t="s">
        <v>31</v>
      </c>
      <c r="G4829">
        <v>2</v>
      </c>
      <c r="H4829">
        <v>2.2000000000000002</v>
      </c>
      <c r="I4829" t="s">
        <v>14</v>
      </c>
      <c r="J4829" t="s">
        <v>3237</v>
      </c>
      <c r="K4829" s="12">
        <f>Store_Record[[#This Row],[Qty]]*Store_Record[[#This Row],[UnitPriceGBP]]</f>
        <v>4.4000000000000004</v>
      </c>
      <c r="L4829" s="5" t="str">
        <f>TEXT(Store_Record[[#This Row],[Date]],"dddd")</f>
        <v>Thursday</v>
      </c>
      <c r="M4829" s="5" t="str">
        <f>TEXT(Store_Record[[#This Row],[Date]],"mmmm")</f>
        <v>December</v>
      </c>
      <c r="N4829" s="5">
        <f>YEAR(Store_Record[[#This Row],[Date]])</f>
        <v>2025</v>
      </c>
      <c r="O4829"/>
    </row>
    <row r="4830" spans="1:15" x14ac:dyDescent="0.35">
      <c r="A4830" t="s">
        <v>5808</v>
      </c>
      <c r="B4830" s="2">
        <v>46009</v>
      </c>
      <c r="C4830" t="s">
        <v>24</v>
      </c>
      <c r="D4830" t="s">
        <v>11</v>
      </c>
      <c r="E4830" t="s">
        <v>30</v>
      </c>
      <c r="F4830" t="s">
        <v>31</v>
      </c>
      <c r="G4830">
        <v>1</v>
      </c>
      <c r="H4830">
        <v>2.8</v>
      </c>
      <c r="I4830" t="s">
        <v>21</v>
      </c>
      <c r="J4830" t="s">
        <v>1061</v>
      </c>
      <c r="K4830" s="12">
        <f>Store_Record[[#This Row],[Qty]]*Store_Record[[#This Row],[UnitPriceGBP]]</f>
        <v>2.8</v>
      </c>
      <c r="L4830" s="5" t="str">
        <f>TEXT(Store_Record[[#This Row],[Date]],"dddd")</f>
        <v>Thursday</v>
      </c>
      <c r="M4830" s="5" t="str">
        <f>TEXT(Store_Record[[#This Row],[Date]],"mmmm")</f>
        <v>December</v>
      </c>
      <c r="N4830" s="5">
        <f>YEAR(Store_Record[[#This Row],[Date]])</f>
        <v>2025</v>
      </c>
      <c r="O4830"/>
    </row>
    <row r="4831" spans="1:15" x14ac:dyDescent="0.35">
      <c r="A4831" t="s">
        <v>5811</v>
      </c>
      <c r="B4831" s="2">
        <v>46009</v>
      </c>
      <c r="C4831" t="s">
        <v>36</v>
      </c>
      <c r="D4831" t="s">
        <v>47</v>
      </c>
      <c r="E4831" t="s">
        <v>30</v>
      </c>
      <c r="F4831" t="s">
        <v>31</v>
      </c>
      <c r="G4831">
        <v>1</v>
      </c>
      <c r="H4831">
        <v>2.8</v>
      </c>
      <c r="I4831" t="s">
        <v>39</v>
      </c>
      <c r="J4831" t="s">
        <v>1930</v>
      </c>
      <c r="K4831" s="12">
        <f>Store_Record[[#This Row],[Qty]]*Store_Record[[#This Row],[UnitPriceGBP]]</f>
        <v>2.8</v>
      </c>
      <c r="L4831" s="5" t="str">
        <f>TEXT(Store_Record[[#This Row],[Date]],"dddd")</f>
        <v>Thursday</v>
      </c>
      <c r="M4831" s="5" t="str">
        <f>TEXT(Store_Record[[#This Row],[Date]],"mmmm")</f>
        <v>December</v>
      </c>
      <c r="N4831" s="5">
        <f>YEAR(Store_Record[[#This Row],[Date]])</f>
        <v>2025</v>
      </c>
      <c r="O4831"/>
    </row>
    <row r="4832" spans="1:15" x14ac:dyDescent="0.35">
      <c r="A4832" t="s">
        <v>5831</v>
      </c>
      <c r="B4832" s="2">
        <v>46010</v>
      </c>
      <c r="C4832" t="s">
        <v>20</v>
      </c>
      <c r="D4832" t="s">
        <v>29</v>
      </c>
      <c r="E4832" t="s">
        <v>42</v>
      </c>
      <c r="F4832" t="s">
        <v>13</v>
      </c>
      <c r="G4832">
        <v>5</v>
      </c>
      <c r="H4832">
        <v>3.8</v>
      </c>
      <c r="I4832" t="s">
        <v>39</v>
      </c>
      <c r="J4832" t="s">
        <v>2700</v>
      </c>
      <c r="K4832" s="12">
        <f>Store_Record[[#This Row],[Qty]]*Store_Record[[#This Row],[UnitPriceGBP]]</f>
        <v>19</v>
      </c>
      <c r="L4832" s="5" t="str">
        <f>TEXT(Store_Record[[#This Row],[Date]],"dddd")</f>
        <v>Friday</v>
      </c>
      <c r="M4832" s="5" t="str">
        <f>TEXT(Store_Record[[#This Row],[Date]],"mmmm")</f>
        <v>December</v>
      </c>
      <c r="N4832" s="5">
        <f>YEAR(Store_Record[[#This Row],[Date]])</f>
        <v>2025</v>
      </c>
      <c r="O4832"/>
    </row>
    <row r="4833" spans="1:15" x14ac:dyDescent="0.35">
      <c r="A4833" t="s">
        <v>5837</v>
      </c>
      <c r="B4833" s="2">
        <v>46010</v>
      </c>
      <c r="C4833" t="s">
        <v>24</v>
      </c>
      <c r="D4833" t="s">
        <v>25</v>
      </c>
      <c r="E4833" t="s">
        <v>26</v>
      </c>
      <c r="F4833" t="s">
        <v>13</v>
      </c>
      <c r="G4833">
        <v>5</v>
      </c>
      <c r="H4833">
        <v>3.5</v>
      </c>
      <c r="I4833" t="s">
        <v>21</v>
      </c>
      <c r="J4833" t="s">
        <v>1187</v>
      </c>
      <c r="K4833" s="12">
        <f>Store_Record[[#This Row],[Qty]]*Store_Record[[#This Row],[UnitPriceGBP]]</f>
        <v>17.5</v>
      </c>
      <c r="L4833" s="5" t="str">
        <f>TEXT(Store_Record[[#This Row],[Date]],"dddd")</f>
        <v>Friday</v>
      </c>
      <c r="M4833" s="5" t="str">
        <f>TEXT(Store_Record[[#This Row],[Date]],"mmmm")</f>
        <v>December</v>
      </c>
      <c r="N4833" s="5">
        <f>YEAR(Store_Record[[#This Row],[Date]])</f>
        <v>2025</v>
      </c>
      <c r="O4833"/>
    </row>
    <row r="4834" spans="1:15" x14ac:dyDescent="0.35">
      <c r="A4834" t="s">
        <v>5821</v>
      </c>
      <c r="B4834" s="2">
        <v>46010</v>
      </c>
      <c r="C4834" t="s">
        <v>10</v>
      </c>
      <c r="D4834" t="s">
        <v>38</v>
      </c>
      <c r="E4834" t="s">
        <v>30</v>
      </c>
      <c r="F4834" t="s">
        <v>31</v>
      </c>
      <c r="G4834">
        <v>5</v>
      </c>
      <c r="H4834">
        <v>2.8</v>
      </c>
      <c r="I4834" t="s">
        <v>39</v>
      </c>
      <c r="J4834" t="s">
        <v>3398</v>
      </c>
      <c r="K4834" s="12">
        <f>Store_Record[[#This Row],[Qty]]*Store_Record[[#This Row],[UnitPriceGBP]]</f>
        <v>14</v>
      </c>
      <c r="L4834" s="5" t="str">
        <f>TEXT(Store_Record[[#This Row],[Date]],"dddd")</f>
        <v>Friday</v>
      </c>
      <c r="M4834" s="5" t="str">
        <f>TEXT(Store_Record[[#This Row],[Date]],"mmmm")</f>
        <v>December</v>
      </c>
      <c r="N4834" s="5">
        <f>YEAR(Store_Record[[#This Row],[Date]])</f>
        <v>2025</v>
      </c>
      <c r="O4834"/>
    </row>
    <row r="4835" spans="1:15" x14ac:dyDescent="0.35">
      <c r="A4835" t="s">
        <v>5824</v>
      </c>
      <c r="B4835" s="2">
        <v>46010</v>
      </c>
      <c r="C4835" t="s">
        <v>36</v>
      </c>
      <c r="D4835" t="s">
        <v>38</v>
      </c>
      <c r="E4835" t="s">
        <v>30</v>
      </c>
      <c r="F4835" t="s">
        <v>31</v>
      </c>
      <c r="G4835">
        <v>5</v>
      </c>
      <c r="H4835">
        <v>2.8</v>
      </c>
      <c r="I4835" t="s">
        <v>21</v>
      </c>
      <c r="J4835" t="s">
        <v>2927</v>
      </c>
      <c r="K4835" s="12">
        <f>Store_Record[[#This Row],[Qty]]*Store_Record[[#This Row],[UnitPriceGBP]]</f>
        <v>14</v>
      </c>
      <c r="L4835" s="5" t="str">
        <f>TEXT(Store_Record[[#This Row],[Date]],"dddd")</f>
        <v>Friday</v>
      </c>
      <c r="M4835" s="5" t="str">
        <f>TEXT(Store_Record[[#This Row],[Date]],"mmmm")</f>
        <v>December</v>
      </c>
      <c r="N4835" s="5">
        <f>YEAR(Store_Record[[#This Row],[Date]])</f>
        <v>2025</v>
      </c>
      <c r="O4835"/>
    </row>
    <row r="4836" spans="1:15" x14ac:dyDescent="0.35">
      <c r="A4836" t="s">
        <v>5835</v>
      </c>
      <c r="B4836" s="2">
        <v>46010</v>
      </c>
      <c r="C4836" t="s">
        <v>24</v>
      </c>
      <c r="D4836" t="s">
        <v>47</v>
      </c>
      <c r="E4836" t="s">
        <v>30</v>
      </c>
      <c r="F4836" t="s">
        <v>31</v>
      </c>
      <c r="G4836">
        <v>5</v>
      </c>
      <c r="H4836">
        <v>2.8</v>
      </c>
      <c r="I4836" t="s">
        <v>21</v>
      </c>
      <c r="J4836" t="s">
        <v>545</v>
      </c>
      <c r="K4836" s="12">
        <f>Store_Record[[#This Row],[Qty]]*Store_Record[[#This Row],[UnitPriceGBP]]</f>
        <v>14</v>
      </c>
      <c r="L4836" s="5" t="str">
        <f>TEXT(Store_Record[[#This Row],[Date]],"dddd")</f>
        <v>Friday</v>
      </c>
      <c r="M4836" s="5" t="str">
        <f>TEXT(Store_Record[[#This Row],[Date]],"mmmm")</f>
        <v>December</v>
      </c>
      <c r="N4836" s="5">
        <f>YEAR(Store_Record[[#This Row],[Date]])</f>
        <v>2025</v>
      </c>
      <c r="O4836"/>
    </row>
    <row r="4837" spans="1:15" x14ac:dyDescent="0.35">
      <c r="A4837" t="s">
        <v>5823</v>
      </c>
      <c r="B4837" s="2">
        <v>46010</v>
      </c>
      <c r="C4837" t="s">
        <v>20</v>
      </c>
      <c r="D4837" t="s">
        <v>11</v>
      </c>
      <c r="E4837" t="s">
        <v>42</v>
      </c>
      <c r="F4837" t="s">
        <v>13</v>
      </c>
      <c r="G4837">
        <v>3</v>
      </c>
      <c r="H4837">
        <v>3.8</v>
      </c>
      <c r="I4837" t="s">
        <v>21</v>
      </c>
      <c r="J4837" t="s">
        <v>1697</v>
      </c>
      <c r="K4837" s="12">
        <f>Store_Record[[#This Row],[Qty]]*Store_Record[[#This Row],[UnitPriceGBP]]</f>
        <v>11.399999999999999</v>
      </c>
      <c r="L4837" s="5" t="str">
        <f>TEXT(Store_Record[[#This Row],[Date]],"dddd")</f>
        <v>Friday</v>
      </c>
      <c r="M4837" s="5" t="str">
        <f>TEXT(Store_Record[[#This Row],[Date]],"mmmm")</f>
        <v>December</v>
      </c>
      <c r="N4837" s="5">
        <f>YEAR(Store_Record[[#This Row],[Date]])</f>
        <v>2025</v>
      </c>
      <c r="O4837"/>
    </row>
    <row r="4838" spans="1:15" x14ac:dyDescent="0.35">
      <c r="A4838" t="s">
        <v>5828</v>
      </c>
      <c r="B4838" s="2">
        <v>46010</v>
      </c>
      <c r="C4838" t="s">
        <v>20</v>
      </c>
      <c r="D4838" t="s">
        <v>38</v>
      </c>
      <c r="E4838" t="s">
        <v>34</v>
      </c>
      <c r="F4838" t="s">
        <v>31</v>
      </c>
      <c r="G4838">
        <v>5</v>
      </c>
      <c r="H4838">
        <v>2.2000000000000002</v>
      </c>
      <c r="I4838" t="s">
        <v>39</v>
      </c>
      <c r="J4838" t="s">
        <v>1364</v>
      </c>
      <c r="K4838" s="12">
        <f>Store_Record[[#This Row],[Qty]]*Store_Record[[#This Row],[UnitPriceGBP]]</f>
        <v>11</v>
      </c>
      <c r="L4838" s="5" t="str">
        <f>TEXT(Store_Record[[#This Row],[Date]],"dddd")</f>
        <v>Friday</v>
      </c>
      <c r="M4838" s="5" t="str">
        <f>TEXT(Store_Record[[#This Row],[Date]],"mmmm")</f>
        <v>December</v>
      </c>
      <c r="N4838" s="5">
        <f>YEAR(Store_Record[[#This Row],[Date]])</f>
        <v>2025</v>
      </c>
      <c r="O4838"/>
    </row>
    <row r="4839" spans="1:15" x14ac:dyDescent="0.35">
      <c r="A4839" t="s">
        <v>5830</v>
      </c>
      <c r="B4839" s="2">
        <v>46010</v>
      </c>
      <c r="C4839" t="s">
        <v>20</v>
      </c>
      <c r="D4839" t="s">
        <v>38</v>
      </c>
      <c r="E4839" t="s">
        <v>26</v>
      </c>
      <c r="F4839" t="s">
        <v>13</v>
      </c>
      <c r="G4839">
        <v>3</v>
      </c>
      <c r="H4839">
        <v>3.5</v>
      </c>
      <c r="I4839" t="s">
        <v>39</v>
      </c>
      <c r="J4839" t="s">
        <v>3102</v>
      </c>
      <c r="K4839" s="12">
        <f>Store_Record[[#This Row],[Qty]]*Store_Record[[#This Row],[UnitPriceGBP]]</f>
        <v>10.5</v>
      </c>
      <c r="L4839" s="5" t="str">
        <f>TEXT(Store_Record[[#This Row],[Date]],"dddd")</f>
        <v>Friday</v>
      </c>
      <c r="M4839" s="5" t="str">
        <f>TEXT(Store_Record[[#This Row],[Date]],"mmmm")</f>
        <v>December</v>
      </c>
      <c r="N4839" s="5">
        <f>YEAR(Store_Record[[#This Row],[Date]])</f>
        <v>2025</v>
      </c>
      <c r="O4839"/>
    </row>
    <row r="4840" spans="1:15" x14ac:dyDescent="0.35">
      <c r="A4840" t="s">
        <v>5822</v>
      </c>
      <c r="B4840" s="2">
        <v>46010</v>
      </c>
      <c r="C4840" t="s">
        <v>24</v>
      </c>
      <c r="D4840" t="s">
        <v>38</v>
      </c>
      <c r="E4840" t="s">
        <v>30</v>
      </c>
      <c r="F4840" t="s">
        <v>31</v>
      </c>
      <c r="G4840">
        <v>3</v>
      </c>
      <c r="H4840">
        <v>2.8</v>
      </c>
      <c r="I4840" t="s">
        <v>39</v>
      </c>
      <c r="J4840" t="s">
        <v>2925</v>
      </c>
      <c r="K4840" s="12">
        <f>Store_Record[[#This Row],[Qty]]*Store_Record[[#This Row],[UnitPriceGBP]]</f>
        <v>8.3999999999999986</v>
      </c>
      <c r="L4840" s="5" t="str">
        <f>TEXT(Store_Record[[#This Row],[Date]],"dddd")</f>
        <v>Friday</v>
      </c>
      <c r="M4840" s="5" t="str">
        <f>TEXT(Store_Record[[#This Row],[Date]],"mmmm")</f>
        <v>December</v>
      </c>
      <c r="N4840" s="5">
        <f>YEAR(Store_Record[[#This Row],[Date]])</f>
        <v>2025</v>
      </c>
      <c r="O4840"/>
    </row>
    <row r="4841" spans="1:15" x14ac:dyDescent="0.35">
      <c r="A4841" t="s">
        <v>5832</v>
      </c>
      <c r="B4841" s="2">
        <v>46010</v>
      </c>
      <c r="C4841" t="s">
        <v>20</v>
      </c>
      <c r="D4841" t="s">
        <v>11</v>
      </c>
      <c r="E4841" t="s">
        <v>26</v>
      </c>
      <c r="F4841" t="s">
        <v>13</v>
      </c>
      <c r="G4841">
        <v>2</v>
      </c>
      <c r="H4841">
        <v>3.5</v>
      </c>
      <c r="I4841" t="s">
        <v>39</v>
      </c>
      <c r="J4841" t="s">
        <v>675</v>
      </c>
      <c r="K4841" s="12">
        <f>Store_Record[[#This Row],[Qty]]*Store_Record[[#This Row],[UnitPriceGBP]]</f>
        <v>7</v>
      </c>
      <c r="L4841" s="5" t="str">
        <f>TEXT(Store_Record[[#This Row],[Date]],"dddd")</f>
        <v>Friday</v>
      </c>
      <c r="M4841" s="5" t="str">
        <f>TEXT(Store_Record[[#This Row],[Date]],"mmmm")</f>
        <v>December</v>
      </c>
      <c r="N4841" s="5">
        <f>YEAR(Store_Record[[#This Row],[Date]])</f>
        <v>2025</v>
      </c>
      <c r="O4841"/>
    </row>
    <row r="4842" spans="1:15" x14ac:dyDescent="0.35">
      <c r="A4842" t="s">
        <v>5825</v>
      </c>
      <c r="B4842" s="2">
        <v>46010</v>
      </c>
      <c r="C4842" t="s">
        <v>20</v>
      </c>
      <c r="D4842" t="s">
        <v>29</v>
      </c>
      <c r="E4842" t="s">
        <v>12</v>
      </c>
      <c r="F4842" t="s">
        <v>13</v>
      </c>
      <c r="G4842">
        <v>2</v>
      </c>
      <c r="H4842">
        <v>2.5</v>
      </c>
      <c r="I4842" t="s">
        <v>39</v>
      </c>
      <c r="J4842" t="s">
        <v>1983</v>
      </c>
      <c r="K4842" s="12">
        <f>Store_Record[[#This Row],[Qty]]*Store_Record[[#This Row],[UnitPriceGBP]]</f>
        <v>5</v>
      </c>
      <c r="L4842" s="5" t="str">
        <f>TEXT(Store_Record[[#This Row],[Date]],"dddd")</f>
        <v>Friday</v>
      </c>
      <c r="M4842" s="5" t="str">
        <f>TEXT(Store_Record[[#This Row],[Date]],"mmmm")</f>
        <v>December</v>
      </c>
      <c r="N4842" s="5">
        <f>YEAR(Store_Record[[#This Row],[Date]])</f>
        <v>2025</v>
      </c>
      <c r="O4842"/>
    </row>
    <row r="4843" spans="1:15" x14ac:dyDescent="0.35">
      <c r="A4843" t="s">
        <v>5827</v>
      </c>
      <c r="B4843" s="2">
        <v>46010</v>
      </c>
      <c r="C4843" t="s">
        <v>24</v>
      </c>
      <c r="D4843" t="s">
        <v>47</v>
      </c>
      <c r="E4843" t="s">
        <v>12</v>
      </c>
      <c r="F4843" t="s">
        <v>13</v>
      </c>
      <c r="G4843">
        <v>2</v>
      </c>
      <c r="H4843">
        <v>2.5</v>
      </c>
      <c r="I4843" t="s">
        <v>14</v>
      </c>
      <c r="J4843" t="s">
        <v>61</v>
      </c>
      <c r="K4843" s="12">
        <f>Store_Record[[#This Row],[Qty]]*Store_Record[[#This Row],[UnitPriceGBP]]</f>
        <v>5</v>
      </c>
      <c r="L4843" s="5" t="str">
        <f>TEXT(Store_Record[[#This Row],[Date]],"dddd")</f>
        <v>Friday</v>
      </c>
      <c r="M4843" s="5" t="str">
        <f>TEXT(Store_Record[[#This Row],[Date]],"mmmm")</f>
        <v>December</v>
      </c>
      <c r="N4843" s="5">
        <f>YEAR(Store_Record[[#This Row],[Date]])</f>
        <v>2025</v>
      </c>
      <c r="O4843"/>
    </row>
    <row r="4844" spans="1:15" x14ac:dyDescent="0.35">
      <c r="A4844" t="s">
        <v>5836</v>
      </c>
      <c r="B4844" s="2">
        <v>46010</v>
      </c>
      <c r="C4844" t="s">
        <v>10</v>
      </c>
      <c r="D4844" t="s">
        <v>47</v>
      </c>
      <c r="E4844" t="s">
        <v>12</v>
      </c>
      <c r="F4844" t="s">
        <v>13</v>
      </c>
      <c r="G4844">
        <v>2</v>
      </c>
      <c r="H4844">
        <v>2.5</v>
      </c>
      <c r="I4844" t="s">
        <v>39</v>
      </c>
      <c r="J4844" t="s">
        <v>3531</v>
      </c>
      <c r="K4844" s="12">
        <f>Store_Record[[#This Row],[Qty]]*Store_Record[[#This Row],[UnitPriceGBP]]</f>
        <v>5</v>
      </c>
      <c r="L4844" s="5" t="str">
        <f>TEXT(Store_Record[[#This Row],[Date]],"dddd")</f>
        <v>Friday</v>
      </c>
      <c r="M4844" s="5" t="str">
        <f>TEXT(Store_Record[[#This Row],[Date]],"mmmm")</f>
        <v>December</v>
      </c>
      <c r="N4844" s="5">
        <f>YEAR(Store_Record[[#This Row],[Date]])</f>
        <v>2025</v>
      </c>
      <c r="O4844"/>
    </row>
    <row r="4845" spans="1:15" x14ac:dyDescent="0.35">
      <c r="A4845" t="s">
        <v>5834</v>
      </c>
      <c r="B4845" s="2">
        <v>46010</v>
      </c>
      <c r="C4845" t="s">
        <v>10</v>
      </c>
      <c r="D4845" t="s">
        <v>29</v>
      </c>
      <c r="E4845" t="s">
        <v>42</v>
      </c>
      <c r="F4845" t="s">
        <v>13</v>
      </c>
      <c r="G4845">
        <v>1</v>
      </c>
      <c r="H4845">
        <v>3.8</v>
      </c>
      <c r="I4845" t="s">
        <v>39</v>
      </c>
      <c r="J4845" t="s">
        <v>1556</v>
      </c>
      <c r="K4845" s="12">
        <f>Store_Record[[#This Row],[Qty]]*Store_Record[[#This Row],[UnitPriceGBP]]</f>
        <v>3.8</v>
      </c>
      <c r="L4845" s="5" t="str">
        <f>TEXT(Store_Record[[#This Row],[Date]],"dddd")</f>
        <v>Friday</v>
      </c>
      <c r="M4845" s="5" t="str">
        <f>TEXT(Store_Record[[#This Row],[Date]],"mmmm")</f>
        <v>December</v>
      </c>
      <c r="N4845" s="5">
        <f>YEAR(Store_Record[[#This Row],[Date]])</f>
        <v>2025</v>
      </c>
      <c r="O4845"/>
    </row>
    <row r="4846" spans="1:15" x14ac:dyDescent="0.35">
      <c r="A4846" t="s">
        <v>5833</v>
      </c>
      <c r="B4846" s="2">
        <v>46010</v>
      </c>
      <c r="C4846" t="s">
        <v>10</v>
      </c>
      <c r="D4846" t="s">
        <v>38</v>
      </c>
      <c r="E4846" t="s">
        <v>26</v>
      </c>
      <c r="F4846" t="s">
        <v>13</v>
      </c>
      <c r="G4846">
        <v>1</v>
      </c>
      <c r="H4846">
        <v>3.5</v>
      </c>
      <c r="I4846" t="s">
        <v>14</v>
      </c>
      <c r="J4846" t="s">
        <v>1504</v>
      </c>
      <c r="K4846" s="12">
        <f>Store_Record[[#This Row],[Qty]]*Store_Record[[#This Row],[UnitPriceGBP]]</f>
        <v>3.5</v>
      </c>
      <c r="L4846" s="5" t="str">
        <f>TEXT(Store_Record[[#This Row],[Date]],"dddd")</f>
        <v>Friday</v>
      </c>
      <c r="M4846" s="5" t="str">
        <f>TEXT(Store_Record[[#This Row],[Date]],"mmmm")</f>
        <v>December</v>
      </c>
      <c r="N4846" s="5">
        <f>YEAR(Store_Record[[#This Row],[Date]])</f>
        <v>2025</v>
      </c>
      <c r="O4846"/>
    </row>
    <row r="4847" spans="1:15" x14ac:dyDescent="0.35">
      <c r="A4847" t="s">
        <v>5826</v>
      </c>
      <c r="B4847" s="2">
        <v>46010</v>
      </c>
      <c r="C4847" t="s">
        <v>36</v>
      </c>
      <c r="D4847" t="s">
        <v>11</v>
      </c>
      <c r="E4847" t="s">
        <v>12</v>
      </c>
      <c r="F4847" t="s">
        <v>13</v>
      </c>
      <c r="G4847">
        <v>1</v>
      </c>
      <c r="H4847">
        <v>2.5</v>
      </c>
      <c r="I4847" t="s">
        <v>14</v>
      </c>
      <c r="J4847" t="s">
        <v>2262</v>
      </c>
      <c r="K4847" s="12">
        <f>Store_Record[[#This Row],[Qty]]*Store_Record[[#This Row],[UnitPriceGBP]]</f>
        <v>2.5</v>
      </c>
      <c r="L4847" s="5" t="str">
        <f>TEXT(Store_Record[[#This Row],[Date]],"dddd")</f>
        <v>Friday</v>
      </c>
      <c r="M4847" s="5" t="str">
        <f>TEXT(Store_Record[[#This Row],[Date]],"mmmm")</f>
        <v>December</v>
      </c>
      <c r="N4847" s="5">
        <f>YEAR(Store_Record[[#This Row],[Date]])</f>
        <v>2025</v>
      </c>
      <c r="O4847"/>
    </row>
    <row r="4848" spans="1:15" x14ac:dyDescent="0.35">
      <c r="A4848" t="s">
        <v>5829</v>
      </c>
      <c r="B4848" s="2">
        <v>46010</v>
      </c>
      <c r="C4848" t="s">
        <v>36</v>
      </c>
      <c r="D4848" t="s">
        <v>25</v>
      </c>
      <c r="E4848" t="s">
        <v>12</v>
      </c>
      <c r="F4848" t="s">
        <v>13</v>
      </c>
      <c r="G4848">
        <v>1</v>
      </c>
      <c r="H4848">
        <v>2.5</v>
      </c>
      <c r="I4848" t="s">
        <v>39</v>
      </c>
      <c r="J4848" t="s">
        <v>1034</v>
      </c>
      <c r="K4848" s="12">
        <f>Store_Record[[#This Row],[Qty]]*Store_Record[[#This Row],[UnitPriceGBP]]</f>
        <v>2.5</v>
      </c>
      <c r="L4848" s="5" t="str">
        <f>TEXT(Store_Record[[#This Row],[Date]],"dddd")</f>
        <v>Friday</v>
      </c>
      <c r="M4848" s="5" t="str">
        <f>TEXT(Store_Record[[#This Row],[Date]],"mmmm")</f>
        <v>December</v>
      </c>
      <c r="N4848" s="5">
        <f>YEAR(Store_Record[[#This Row],[Date]])</f>
        <v>2025</v>
      </c>
      <c r="O4848"/>
    </row>
    <row r="4849" spans="1:15" x14ac:dyDescent="0.35">
      <c r="A4849" t="s">
        <v>5847</v>
      </c>
      <c r="B4849" s="2">
        <v>46011</v>
      </c>
      <c r="C4849" t="s">
        <v>20</v>
      </c>
      <c r="D4849" t="s">
        <v>11</v>
      </c>
      <c r="E4849" t="s">
        <v>34</v>
      </c>
      <c r="F4849" t="s">
        <v>31</v>
      </c>
      <c r="G4849">
        <v>5</v>
      </c>
      <c r="H4849">
        <v>2.2000000000000002</v>
      </c>
      <c r="I4849" t="s">
        <v>14</v>
      </c>
      <c r="J4849" t="s">
        <v>107</v>
      </c>
      <c r="K4849" s="12">
        <f>Store_Record[[#This Row],[Qty]]*Store_Record[[#This Row],[UnitPriceGBP]]</f>
        <v>11</v>
      </c>
      <c r="L4849" s="5" t="str">
        <f>TEXT(Store_Record[[#This Row],[Date]],"dddd")</f>
        <v>Saturday</v>
      </c>
      <c r="M4849" s="5" t="str">
        <f>TEXT(Store_Record[[#This Row],[Date]],"mmmm")</f>
        <v>December</v>
      </c>
      <c r="N4849" s="5">
        <f>YEAR(Store_Record[[#This Row],[Date]])</f>
        <v>2025</v>
      </c>
      <c r="O4849"/>
    </row>
    <row r="4850" spans="1:15" x14ac:dyDescent="0.35">
      <c r="A4850" t="s">
        <v>5840</v>
      </c>
      <c r="B4850" s="2">
        <v>46011</v>
      </c>
      <c r="C4850" t="s">
        <v>24</v>
      </c>
      <c r="D4850" t="s">
        <v>25</v>
      </c>
      <c r="E4850" t="s">
        <v>26</v>
      </c>
      <c r="F4850" t="s">
        <v>13</v>
      </c>
      <c r="G4850">
        <v>3</v>
      </c>
      <c r="H4850">
        <v>3.5</v>
      </c>
      <c r="I4850" t="s">
        <v>21</v>
      </c>
      <c r="J4850" t="s">
        <v>2332</v>
      </c>
      <c r="K4850" s="12">
        <f>Store_Record[[#This Row],[Qty]]*Store_Record[[#This Row],[UnitPriceGBP]]</f>
        <v>10.5</v>
      </c>
      <c r="L4850" s="5" t="str">
        <f>TEXT(Store_Record[[#This Row],[Date]],"dddd")</f>
        <v>Saturday</v>
      </c>
      <c r="M4850" s="5" t="str">
        <f>TEXT(Store_Record[[#This Row],[Date]],"mmmm")</f>
        <v>December</v>
      </c>
      <c r="N4850" s="5">
        <f>YEAR(Store_Record[[#This Row],[Date]])</f>
        <v>2025</v>
      </c>
      <c r="O4850"/>
    </row>
    <row r="4851" spans="1:15" x14ac:dyDescent="0.35">
      <c r="A4851" t="s">
        <v>5843</v>
      </c>
      <c r="B4851" s="2">
        <v>46011</v>
      </c>
      <c r="C4851" t="s">
        <v>36</v>
      </c>
      <c r="D4851" t="s">
        <v>11</v>
      </c>
      <c r="E4851" t="s">
        <v>30</v>
      </c>
      <c r="F4851" t="s">
        <v>31</v>
      </c>
      <c r="G4851">
        <v>3</v>
      </c>
      <c r="H4851">
        <v>2.8</v>
      </c>
      <c r="I4851" t="s">
        <v>14</v>
      </c>
      <c r="J4851" t="s">
        <v>1265</v>
      </c>
      <c r="K4851" s="12">
        <f>Store_Record[[#This Row],[Qty]]*Store_Record[[#This Row],[UnitPriceGBP]]</f>
        <v>8.3999999999999986</v>
      </c>
      <c r="L4851" s="5" t="str">
        <f>TEXT(Store_Record[[#This Row],[Date]],"dddd")</f>
        <v>Saturday</v>
      </c>
      <c r="M4851" s="5" t="str">
        <f>TEXT(Store_Record[[#This Row],[Date]],"mmmm")</f>
        <v>December</v>
      </c>
      <c r="N4851" s="5">
        <f>YEAR(Store_Record[[#This Row],[Date]])</f>
        <v>2025</v>
      </c>
      <c r="O4851"/>
    </row>
    <row r="4852" spans="1:15" x14ac:dyDescent="0.35">
      <c r="A4852" t="s">
        <v>5844</v>
      </c>
      <c r="B4852" s="2">
        <v>46011</v>
      </c>
      <c r="C4852" t="s">
        <v>24</v>
      </c>
      <c r="D4852" t="s">
        <v>38</v>
      </c>
      <c r="E4852" t="s">
        <v>12</v>
      </c>
      <c r="F4852" t="s">
        <v>13</v>
      </c>
      <c r="G4852">
        <v>3</v>
      </c>
      <c r="H4852">
        <v>2.5</v>
      </c>
      <c r="I4852" t="s">
        <v>21</v>
      </c>
      <c r="J4852" t="s">
        <v>963</v>
      </c>
      <c r="K4852" s="12">
        <f>Store_Record[[#This Row],[Qty]]*Store_Record[[#This Row],[UnitPriceGBP]]</f>
        <v>7.5</v>
      </c>
      <c r="L4852" s="5" t="str">
        <f>TEXT(Store_Record[[#This Row],[Date]],"dddd")</f>
        <v>Saturday</v>
      </c>
      <c r="M4852" s="5" t="str">
        <f>TEXT(Store_Record[[#This Row],[Date]],"mmmm")</f>
        <v>December</v>
      </c>
      <c r="N4852" s="5">
        <f>YEAR(Store_Record[[#This Row],[Date]])</f>
        <v>2025</v>
      </c>
      <c r="O4852"/>
    </row>
    <row r="4853" spans="1:15" x14ac:dyDescent="0.35">
      <c r="A4853" t="s">
        <v>5838</v>
      </c>
      <c r="B4853" s="2">
        <v>46011</v>
      </c>
      <c r="C4853" t="s">
        <v>36</v>
      </c>
      <c r="D4853" t="s">
        <v>38</v>
      </c>
      <c r="E4853" t="s">
        <v>34</v>
      </c>
      <c r="F4853" t="s">
        <v>31</v>
      </c>
      <c r="G4853">
        <v>3</v>
      </c>
      <c r="H4853">
        <v>2.2000000000000002</v>
      </c>
      <c r="I4853" t="s">
        <v>21</v>
      </c>
      <c r="J4853" t="s">
        <v>753</v>
      </c>
      <c r="K4853" s="12">
        <f>Store_Record[[#This Row],[Qty]]*Store_Record[[#This Row],[UnitPriceGBP]]</f>
        <v>6.6000000000000005</v>
      </c>
      <c r="L4853" s="5" t="str">
        <f>TEXT(Store_Record[[#This Row],[Date]],"dddd")</f>
        <v>Saturday</v>
      </c>
      <c r="M4853" s="5" t="str">
        <f>TEXT(Store_Record[[#This Row],[Date]],"mmmm")</f>
        <v>December</v>
      </c>
      <c r="N4853" s="5">
        <f>YEAR(Store_Record[[#This Row],[Date]])</f>
        <v>2025</v>
      </c>
      <c r="O4853"/>
    </row>
    <row r="4854" spans="1:15" x14ac:dyDescent="0.35">
      <c r="A4854" t="s">
        <v>5842</v>
      </c>
      <c r="B4854" s="2">
        <v>46011</v>
      </c>
      <c r="C4854" t="s">
        <v>10</v>
      </c>
      <c r="D4854" t="s">
        <v>29</v>
      </c>
      <c r="E4854" t="s">
        <v>34</v>
      </c>
      <c r="F4854" t="s">
        <v>31</v>
      </c>
      <c r="G4854">
        <v>3</v>
      </c>
      <c r="H4854">
        <v>2.2000000000000002</v>
      </c>
      <c r="I4854" t="s">
        <v>14</v>
      </c>
      <c r="J4854" t="s">
        <v>722</v>
      </c>
      <c r="K4854" s="12">
        <f>Store_Record[[#This Row],[Qty]]*Store_Record[[#This Row],[UnitPriceGBP]]</f>
        <v>6.6000000000000005</v>
      </c>
      <c r="L4854" s="5" t="str">
        <f>TEXT(Store_Record[[#This Row],[Date]],"dddd")</f>
        <v>Saturday</v>
      </c>
      <c r="M4854" s="5" t="str">
        <f>TEXT(Store_Record[[#This Row],[Date]],"mmmm")</f>
        <v>December</v>
      </c>
      <c r="N4854" s="5">
        <f>YEAR(Store_Record[[#This Row],[Date]])</f>
        <v>2025</v>
      </c>
      <c r="O4854"/>
    </row>
    <row r="4855" spans="1:15" x14ac:dyDescent="0.35">
      <c r="A4855" t="s">
        <v>5839</v>
      </c>
      <c r="B4855" s="2">
        <v>46011</v>
      </c>
      <c r="C4855" t="s">
        <v>36</v>
      </c>
      <c r="D4855" t="s">
        <v>38</v>
      </c>
      <c r="E4855" t="s">
        <v>34</v>
      </c>
      <c r="F4855" t="s">
        <v>31</v>
      </c>
      <c r="G4855">
        <v>2</v>
      </c>
      <c r="H4855">
        <v>2.2000000000000002</v>
      </c>
      <c r="I4855" t="s">
        <v>21</v>
      </c>
      <c r="J4855" t="s">
        <v>1120</v>
      </c>
      <c r="K4855" s="12">
        <f>Store_Record[[#This Row],[Qty]]*Store_Record[[#This Row],[UnitPriceGBP]]</f>
        <v>4.4000000000000004</v>
      </c>
      <c r="L4855" s="5" t="str">
        <f>TEXT(Store_Record[[#This Row],[Date]],"dddd")</f>
        <v>Saturday</v>
      </c>
      <c r="M4855" s="5" t="str">
        <f>TEXT(Store_Record[[#This Row],[Date]],"mmmm")</f>
        <v>December</v>
      </c>
      <c r="N4855" s="5">
        <f>YEAR(Store_Record[[#This Row],[Date]])</f>
        <v>2025</v>
      </c>
      <c r="O4855"/>
    </row>
    <row r="4856" spans="1:15" x14ac:dyDescent="0.35">
      <c r="A4856" t="s">
        <v>5845</v>
      </c>
      <c r="B4856" s="2">
        <v>46011</v>
      </c>
      <c r="C4856" t="s">
        <v>20</v>
      </c>
      <c r="D4856" t="s">
        <v>11</v>
      </c>
      <c r="E4856" t="s">
        <v>26</v>
      </c>
      <c r="F4856" t="s">
        <v>13</v>
      </c>
      <c r="G4856">
        <v>1</v>
      </c>
      <c r="H4856">
        <v>3.5</v>
      </c>
      <c r="I4856" t="s">
        <v>21</v>
      </c>
      <c r="J4856" t="s">
        <v>4208</v>
      </c>
      <c r="K4856" s="12">
        <f>Store_Record[[#This Row],[Qty]]*Store_Record[[#This Row],[UnitPriceGBP]]</f>
        <v>3.5</v>
      </c>
      <c r="L4856" s="5" t="str">
        <f>TEXT(Store_Record[[#This Row],[Date]],"dddd")</f>
        <v>Saturday</v>
      </c>
      <c r="M4856" s="5" t="str">
        <f>TEXT(Store_Record[[#This Row],[Date]],"mmmm")</f>
        <v>December</v>
      </c>
      <c r="N4856" s="5">
        <f>YEAR(Store_Record[[#This Row],[Date]])</f>
        <v>2025</v>
      </c>
      <c r="O4856"/>
    </row>
    <row r="4857" spans="1:15" x14ac:dyDescent="0.35">
      <c r="A4857" t="s">
        <v>5846</v>
      </c>
      <c r="B4857" s="2">
        <v>46011</v>
      </c>
      <c r="C4857" t="s">
        <v>24</v>
      </c>
      <c r="D4857" t="s">
        <v>11</v>
      </c>
      <c r="E4857" t="s">
        <v>26</v>
      </c>
      <c r="F4857" t="s">
        <v>13</v>
      </c>
      <c r="G4857">
        <v>1</v>
      </c>
      <c r="H4857">
        <v>3.5</v>
      </c>
      <c r="I4857" t="s">
        <v>39</v>
      </c>
      <c r="J4857" t="s">
        <v>1605</v>
      </c>
      <c r="K4857" s="12">
        <f>Store_Record[[#This Row],[Qty]]*Store_Record[[#This Row],[UnitPriceGBP]]</f>
        <v>3.5</v>
      </c>
      <c r="L4857" s="5" t="str">
        <f>TEXT(Store_Record[[#This Row],[Date]],"dddd")</f>
        <v>Saturday</v>
      </c>
      <c r="M4857" s="5" t="str">
        <f>TEXT(Store_Record[[#This Row],[Date]],"mmmm")</f>
        <v>December</v>
      </c>
      <c r="N4857" s="5">
        <f>YEAR(Store_Record[[#This Row],[Date]])</f>
        <v>2025</v>
      </c>
      <c r="O4857"/>
    </row>
    <row r="4858" spans="1:15" x14ac:dyDescent="0.35">
      <c r="A4858" t="s">
        <v>5848</v>
      </c>
      <c r="B4858" s="2">
        <v>46011</v>
      </c>
      <c r="C4858" t="s">
        <v>10</v>
      </c>
      <c r="D4858" t="s">
        <v>25</v>
      </c>
      <c r="E4858" t="s">
        <v>12</v>
      </c>
      <c r="F4858" t="s">
        <v>13</v>
      </c>
      <c r="G4858">
        <v>1</v>
      </c>
      <c r="H4858">
        <v>2.5</v>
      </c>
      <c r="I4858" t="s">
        <v>39</v>
      </c>
      <c r="J4858" t="s">
        <v>220</v>
      </c>
      <c r="K4858" s="12">
        <f>Store_Record[[#This Row],[Qty]]*Store_Record[[#This Row],[UnitPriceGBP]]</f>
        <v>2.5</v>
      </c>
      <c r="L4858" s="5" t="str">
        <f>TEXT(Store_Record[[#This Row],[Date]],"dddd")</f>
        <v>Saturday</v>
      </c>
      <c r="M4858" s="5" t="str">
        <f>TEXT(Store_Record[[#This Row],[Date]],"mmmm")</f>
        <v>December</v>
      </c>
      <c r="N4858" s="5">
        <f>YEAR(Store_Record[[#This Row],[Date]])</f>
        <v>2025</v>
      </c>
      <c r="O4858"/>
    </row>
    <row r="4859" spans="1:15" x14ac:dyDescent="0.35">
      <c r="A4859" t="s">
        <v>5841</v>
      </c>
      <c r="B4859" s="2">
        <v>46011</v>
      </c>
      <c r="C4859" t="s">
        <v>24</v>
      </c>
      <c r="D4859" t="s">
        <v>25</v>
      </c>
      <c r="E4859" t="s">
        <v>34</v>
      </c>
      <c r="F4859" t="s">
        <v>31</v>
      </c>
      <c r="G4859">
        <v>1</v>
      </c>
      <c r="H4859">
        <v>2.2000000000000002</v>
      </c>
      <c r="I4859" t="s">
        <v>14</v>
      </c>
      <c r="J4859" t="s">
        <v>1128</v>
      </c>
      <c r="K4859" s="12">
        <f>Store_Record[[#This Row],[Qty]]*Store_Record[[#This Row],[UnitPriceGBP]]</f>
        <v>2.2000000000000002</v>
      </c>
      <c r="L4859" s="5" t="str">
        <f>TEXT(Store_Record[[#This Row],[Date]],"dddd")</f>
        <v>Saturday</v>
      </c>
      <c r="M4859" s="5" t="str">
        <f>TEXT(Store_Record[[#This Row],[Date]],"mmmm")</f>
        <v>December</v>
      </c>
      <c r="N4859" s="5">
        <f>YEAR(Store_Record[[#This Row],[Date]])</f>
        <v>2025</v>
      </c>
      <c r="O4859"/>
    </row>
    <row r="4860" spans="1:15" x14ac:dyDescent="0.35">
      <c r="A4860" t="s">
        <v>5858</v>
      </c>
      <c r="B4860" s="2">
        <v>46012</v>
      </c>
      <c r="C4860" t="s">
        <v>10</v>
      </c>
      <c r="D4860" t="s">
        <v>25</v>
      </c>
      <c r="E4860" t="s">
        <v>26</v>
      </c>
      <c r="F4860" t="s">
        <v>13</v>
      </c>
      <c r="G4860">
        <v>5</v>
      </c>
      <c r="H4860">
        <v>3.5</v>
      </c>
      <c r="I4860" t="s">
        <v>21</v>
      </c>
      <c r="J4860" t="s">
        <v>778</v>
      </c>
      <c r="K4860" s="12">
        <f>Store_Record[[#This Row],[Qty]]*Store_Record[[#This Row],[UnitPriceGBP]]</f>
        <v>17.5</v>
      </c>
      <c r="L4860" s="5" t="str">
        <f>TEXT(Store_Record[[#This Row],[Date]],"dddd")</f>
        <v>Sunday</v>
      </c>
      <c r="M4860" s="5" t="str">
        <f>TEXT(Store_Record[[#This Row],[Date]],"mmmm")</f>
        <v>December</v>
      </c>
      <c r="N4860" s="5">
        <f>YEAR(Store_Record[[#This Row],[Date]])</f>
        <v>2025</v>
      </c>
      <c r="O4860"/>
    </row>
    <row r="4861" spans="1:15" x14ac:dyDescent="0.35">
      <c r="A4861" t="s">
        <v>5851</v>
      </c>
      <c r="B4861" s="2">
        <v>46012</v>
      </c>
      <c r="C4861" t="s">
        <v>24</v>
      </c>
      <c r="D4861" t="s">
        <v>29</v>
      </c>
      <c r="E4861" t="s">
        <v>42</v>
      </c>
      <c r="F4861" t="s">
        <v>13</v>
      </c>
      <c r="G4861">
        <v>4</v>
      </c>
      <c r="H4861">
        <v>3.8</v>
      </c>
      <c r="I4861" t="s">
        <v>14</v>
      </c>
      <c r="J4861" t="s">
        <v>212</v>
      </c>
      <c r="K4861" s="12">
        <f>Store_Record[[#This Row],[Qty]]*Store_Record[[#This Row],[UnitPriceGBP]]</f>
        <v>15.2</v>
      </c>
      <c r="L4861" s="5" t="str">
        <f>TEXT(Store_Record[[#This Row],[Date]],"dddd")</f>
        <v>Sunday</v>
      </c>
      <c r="M4861" s="5" t="str">
        <f>TEXT(Store_Record[[#This Row],[Date]],"mmmm")</f>
        <v>December</v>
      </c>
      <c r="N4861" s="5">
        <f>YEAR(Store_Record[[#This Row],[Date]])</f>
        <v>2025</v>
      </c>
      <c r="O4861"/>
    </row>
    <row r="4862" spans="1:15" x14ac:dyDescent="0.35">
      <c r="A4862" t="s">
        <v>5852</v>
      </c>
      <c r="B4862" s="2">
        <v>46012</v>
      </c>
      <c r="C4862" t="s">
        <v>36</v>
      </c>
      <c r="D4862" t="s">
        <v>38</v>
      </c>
      <c r="E4862" t="s">
        <v>26</v>
      </c>
      <c r="F4862" t="s">
        <v>13</v>
      </c>
      <c r="G4862">
        <v>4</v>
      </c>
      <c r="H4862">
        <v>3.5</v>
      </c>
      <c r="I4862" t="s">
        <v>14</v>
      </c>
      <c r="J4862" t="s">
        <v>443</v>
      </c>
      <c r="K4862" s="12">
        <f>Store_Record[[#This Row],[Qty]]*Store_Record[[#This Row],[UnitPriceGBP]]</f>
        <v>14</v>
      </c>
      <c r="L4862" s="5" t="str">
        <f>TEXT(Store_Record[[#This Row],[Date]],"dddd")</f>
        <v>Sunday</v>
      </c>
      <c r="M4862" s="5" t="str">
        <f>TEXT(Store_Record[[#This Row],[Date]],"mmmm")</f>
        <v>December</v>
      </c>
      <c r="N4862" s="5">
        <f>YEAR(Store_Record[[#This Row],[Date]])</f>
        <v>2025</v>
      </c>
      <c r="O4862"/>
    </row>
    <row r="4863" spans="1:15" x14ac:dyDescent="0.35">
      <c r="A4863" t="s">
        <v>5853</v>
      </c>
      <c r="B4863" s="2">
        <v>46012</v>
      </c>
      <c r="C4863" t="s">
        <v>20</v>
      </c>
      <c r="D4863" t="s">
        <v>29</v>
      </c>
      <c r="E4863" t="s">
        <v>26</v>
      </c>
      <c r="F4863" t="s">
        <v>13</v>
      </c>
      <c r="G4863">
        <v>4</v>
      </c>
      <c r="H4863">
        <v>3.5</v>
      </c>
      <c r="I4863" t="s">
        <v>21</v>
      </c>
      <c r="J4863" t="s">
        <v>644</v>
      </c>
      <c r="K4863" s="12">
        <f>Store_Record[[#This Row],[Qty]]*Store_Record[[#This Row],[UnitPriceGBP]]</f>
        <v>14</v>
      </c>
      <c r="L4863" s="5" t="str">
        <f>TEXT(Store_Record[[#This Row],[Date]],"dddd")</f>
        <v>Sunday</v>
      </c>
      <c r="M4863" s="5" t="str">
        <f>TEXT(Store_Record[[#This Row],[Date]],"mmmm")</f>
        <v>December</v>
      </c>
      <c r="N4863" s="5">
        <f>YEAR(Store_Record[[#This Row],[Date]])</f>
        <v>2025</v>
      </c>
      <c r="O4863"/>
    </row>
    <row r="4864" spans="1:15" x14ac:dyDescent="0.35">
      <c r="A4864" t="s">
        <v>5855</v>
      </c>
      <c r="B4864" s="2">
        <v>46012</v>
      </c>
      <c r="C4864" t="s">
        <v>36</v>
      </c>
      <c r="D4864" t="s">
        <v>25</v>
      </c>
      <c r="E4864" t="s">
        <v>26</v>
      </c>
      <c r="F4864" t="s">
        <v>13</v>
      </c>
      <c r="G4864">
        <v>3</v>
      </c>
      <c r="H4864">
        <v>3.5</v>
      </c>
      <c r="I4864" t="s">
        <v>14</v>
      </c>
      <c r="J4864" t="s">
        <v>3248</v>
      </c>
      <c r="K4864" s="12">
        <f>Store_Record[[#This Row],[Qty]]*Store_Record[[#This Row],[UnitPriceGBP]]</f>
        <v>10.5</v>
      </c>
      <c r="L4864" s="5" t="str">
        <f>TEXT(Store_Record[[#This Row],[Date]],"dddd")</f>
        <v>Sunday</v>
      </c>
      <c r="M4864" s="5" t="str">
        <f>TEXT(Store_Record[[#This Row],[Date]],"mmmm")</f>
        <v>December</v>
      </c>
      <c r="N4864" s="5">
        <f>YEAR(Store_Record[[#This Row],[Date]])</f>
        <v>2025</v>
      </c>
      <c r="O4864"/>
    </row>
    <row r="4865" spans="1:15" x14ac:dyDescent="0.35">
      <c r="A4865" t="s">
        <v>5859</v>
      </c>
      <c r="B4865" s="2">
        <v>46012</v>
      </c>
      <c r="C4865" t="s">
        <v>36</v>
      </c>
      <c r="D4865" t="s">
        <v>11</v>
      </c>
      <c r="E4865" t="s">
        <v>34</v>
      </c>
      <c r="F4865" t="s">
        <v>31</v>
      </c>
      <c r="G4865">
        <v>4</v>
      </c>
      <c r="H4865">
        <v>2.2000000000000002</v>
      </c>
      <c r="I4865" t="s">
        <v>21</v>
      </c>
      <c r="J4865" t="s">
        <v>1646</v>
      </c>
      <c r="K4865" s="12">
        <f>Store_Record[[#This Row],[Qty]]*Store_Record[[#This Row],[UnitPriceGBP]]</f>
        <v>8.8000000000000007</v>
      </c>
      <c r="L4865" s="5" t="str">
        <f>TEXT(Store_Record[[#This Row],[Date]],"dddd")</f>
        <v>Sunday</v>
      </c>
      <c r="M4865" s="5" t="str">
        <f>TEXT(Store_Record[[#This Row],[Date]],"mmmm")</f>
        <v>December</v>
      </c>
      <c r="N4865" s="5">
        <f>YEAR(Store_Record[[#This Row],[Date]])</f>
        <v>2025</v>
      </c>
      <c r="O4865"/>
    </row>
    <row r="4866" spans="1:15" x14ac:dyDescent="0.35">
      <c r="A4866" t="s">
        <v>5861</v>
      </c>
      <c r="B4866" s="2">
        <v>46012</v>
      </c>
      <c r="C4866" t="s">
        <v>36</v>
      </c>
      <c r="D4866" t="s">
        <v>152</v>
      </c>
      <c r="E4866" t="s">
        <v>34</v>
      </c>
      <c r="F4866" t="s">
        <v>31</v>
      </c>
      <c r="G4866">
        <v>4</v>
      </c>
      <c r="H4866">
        <v>2.2000000000000002</v>
      </c>
      <c r="I4866" t="s">
        <v>39</v>
      </c>
      <c r="J4866" t="s">
        <v>1007</v>
      </c>
      <c r="K4866" s="12">
        <f>Store_Record[[#This Row],[Qty]]*Store_Record[[#This Row],[UnitPriceGBP]]</f>
        <v>8.8000000000000007</v>
      </c>
      <c r="L4866" s="5" t="str">
        <f>TEXT(Store_Record[[#This Row],[Date]],"dddd")</f>
        <v>Sunday</v>
      </c>
      <c r="M4866" s="5" t="str">
        <f>TEXT(Store_Record[[#This Row],[Date]],"mmmm")</f>
        <v>December</v>
      </c>
      <c r="N4866" s="5">
        <f>YEAR(Store_Record[[#This Row],[Date]])</f>
        <v>2025</v>
      </c>
      <c r="O4866"/>
    </row>
    <row r="4867" spans="1:15" x14ac:dyDescent="0.35">
      <c r="A4867" t="s">
        <v>5850</v>
      </c>
      <c r="B4867" s="2">
        <v>46012</v>
      </c>
      <c r="C4867" t="s">
        <v>20</v>
      </c>
      <c r="D4867" t="s">
        <v>38</v>
      </c>
      <c r="E4867" t="s">
        <v>30</v>
      </c>
      <c r="F4867" t="s">
        <v>31</v>
      </c>
      <c r="G4867">
        <v>3</v>
      </c>
      <c r="H4867">
        <v>2.8</v>
      </c>
      <c r="I4867" t="s">
        <v>39</v>
      </c>
      <c r="J4867" t="s">
        <v>1110</v>
      </c>
      <c r="K4867" s="12">
        <f>Store_Record[[#This Row],[Qty]]*Store_Record[[#This Row],[UnitPriceGBP]]</f>
        <v>8.3999999999999986</v>
      </c>
      <c r="L4867" s="5" t="str">
        <f>TEXT(Store_Record[[#This Row],[Date]],"dddd")</f>
        <v>Sunday</v>
      </c>
      <c r="M4867" s="5" t="str">
        <f>TEXT(Store_Record[[#This Row],[Date]],"mmmm")</f>
        <v>December</v>
      </c>
      <c r="N4867" s="5">
        <f>YEAR(Store_Record[[#This Row],[Date]])</f>
        <v>2025</v>
      </c>
      <c r="O4867"/>
    </row>
    <row r="4868" spans="1:15" x14ac:dyDescent="0.35">
      <c r="A4868" t="s">
        <v>5856</v>
      </c>
      <c r="B4868" s="2">
        <v>46012</v>
      </c>
      <c r="C4868" t="s">
        <v>10</v>
      </c>
      <c r="D4868" t="s">
        <v>25</v>
      </c>
      <c r="E4868" t="s">
        <v>12</v>
      </c>
      <c r="F4868" t="s">
        <v>13</v>
      </c>
      <c r="G4868">
        <v>3</v>
      </c>
      <c r="H4868">
        <v>2.5</v>
      </c>
      <c r="I4868" t="s">
        <v>39</v>
      </c>
      <c r="J4868" t="s">
        <v>59</v>
      </c>
      <c r="K4868" s="12">
        <f>Store_Record[[#This Row],[Qty]]*Store_Record[[#This Row],[UnitPriceGBP]]</f>
        <v>7.5</v>
      </c>
      <c r="L4868" s="5" t="str">
        <f>TEXT(Store_Record[[#This Row],[Date]],"dddd")</f>
        <v>Sunday</v>
      </c>
      <c r="M4868" s="5" t="str">
        <f>TEXT(Store_Record[[#This Row],[Date]],"mmmm")</f>
        <v>December</v>
      </c>
      <c r="N4868" s="5">
        <f>YEAR(Store_Record[[#This Row],[Date]])</f>
        <v>2025</v>
      </c>
      <c r="O4868"/>
    </row>
    <row r="4869" spans="1:15" x14ac:dyDescent="0.35">
      <c r="A4869" t="s">
        <v>5860</v>
      </c>
      <c r="B4869" s="2">
        <v>46012</v>
      </c>
      <c r="C4869" t="s">
        <v>20</v>
      </c>
      <c r="D4869" t="s">
        <v>25</v>
      </c>
      <c r="E4869" t="s">
        <v>26</v>
      </c>
      <c r="F4869" t="s">
        <v>13</v>
      </c>
      <c r="G4869">
        <v>2</v>
      </c>
      <c r="H4869">
        <v>3.5</v>
      </c>
      <c r="I4869" t="s">
        <v>14</v>
      </c>
      <c r="J4869" t="s">
        <v>3950</v>
      </c>
      <c r="K4869" s="12">
        <f>Store_Record[[#This Row],[Qty]]*Store_Record[[#This Row],[UnitPriceGBP]]</f>
        <v>7</v>
      </c>
      <c r="L4869" s="5" t="str">
        <f>TEXT(Store_Record[[#This Row],[Date]],"dddd")</f>
        <v>Sunday</v>
      </c>
      <c r="M4869" s="5" t="str">
        <f>TEXT(Store_Record[[#This Row],[Date]],"mmmm")</f>
        <v>December</v>
      </c>
      <c r="N4869" s="5">
        <f>YEAR(Store_Record[[#This Row],[Date]])</f>
        <v>2025</v>
      </c>
      <c r="O4869"/>
    </row>
    <row r="4870" spans="1:15" x14ac:dyDescent="0.35">
      <c r="A4870" t="s">
        <v>5857</v>
      </c>
      <c r="B4870" s="2">
        <v>46012</v>
      </c>
      <c r="C4870" t="s">
        <v>10</v>
      </c>
      <c r="D4870" t="s">
        <v>11</v>
      </c>
      <c r="E4870" t="s">
        <v>12</v>
      </c>
      <c r="F4870" t="s">
        <v>13</v>
      </c>
      <c r="G4870">
        <v>2</v>
      </c>
      <c r="H4870">
        <v>2.5</v>
      </c>
      <c r="I4870" t="s">
        <v>14</v>
      </c>
      <c r="J4870" t="s">
        <v>3282</v>
      </c>
      <c r="K4870" s="12">
        <f>Store_Record[[#This Row],[Qty]]*Store_Record[[#This Row],[UnitPriceGBP]]</f>
        <v>5</v>
      </c>
      <c r="L4870" s="5" t="str">
        <f>TEXT(Store_Record[[#This Row],[Date]],"dddd")</f>
        <v>Sunday</v>
      </c>
      <c r="M4870" s="5" t="str">
        <f>TEXT(Store_Record[[#This Row],[Date]],"mmmm")</f>
        <v>December</v>
      </c>
      <c r="N4870" s="5">
        <f>YEAR(Store_Record[[#This Row],[Date]])</f>
        <v>2025</v>
      </c>
      <c r="O4870"/>
    </row>
    <row r="4871" spans="1:15" x14ac:dyDescent="0.35">
      <c r="A4871" t="s">
        <v>5854</v>
      </c>
      <c r="B4871" s="2">
        <v>46012</v>
      </c>
      <c r="C4871" t="s">
        <v>20</v>
      </c>
      <c r="D4871" t="s">
        <v>47</v>
      </c>
      <c r="E4871" t="s">
        <v>34</v>
      </c>
      <c r="F4871" t="s">
        <v>31</v>
      </c>
      <c r="G4871">
        <v>2</v>
      </c>
      <c r="H4871">
        <v>2.2000000000000002</v>
      </c>
      <c r="I4871" t="s">
        <v>39</v>
      </c>
      <c r="J4871" t="s">
        <v>2759</v>
      </c>
      <c r="K4871" s="12">
        <f>Store_Record[[#This Row],[Qty]]*Store_Record[[#This Row],[UnitPriceGBP]]</f>
        <v>4.4000000000000004</v>
      </c>
      <c r="L4871" s="5" t="str">
        <f>TEXT(Store_Record[[#This Row],[Date]],"dddd")</f>
        <v>Sunday</v>
      </c>
      <c r="M4871" s="5" t="str">
        <f>TEXT(Store_Record[[#This Row],[Date]],"mmmm")</f>
        <v>December</v>
      </c>
      <c r="N4871" s="5">
        <f>YEAR(Store_Record[[#This Row],[Date]])</f>
        <v>2025</v>
      </c>
      <c r="O4871"/>
    </row>
    <row r="4872" spans="1:15" x14ac:dyDescent="0.35">
      <c r="A4872" t="s">
        <v>5849</v>
      </c>
      <c r="B4872" s="2">
        <v>46012</v>
      </c>
      <c r="C4872" t="s">
        <v>36</v>
      </c>
      <c r="D4872" t="s">
        <v>25</v>
      </c>
      <c r="E4872" t="s">
        <v>42</v>
      </c>
      <c r="F4872" t="s">
        <v>13</v>
      </c>
      <c r="G4872">
        <v>1</v>
      </c>
      <c r="H4872">
        <v>3.8</v>
      </c>
      <c r="I4872" t="s">
        <v>39</v>
      </c>
      <c r="J4872" t="s">
        <v>656</v>
      </c>
      <c r="K4872" s="12">
        <f>Store_Record[[#This Row],[Qty]]*Store_Record[[#This Row],[UnitPriceGBP]]</f>
        <v>3.8</v>
      </c>
      <c r="L4872" s="5" t="str">
        <f>TEXT(Store_Record[[#This Row],[Date]],"dddd")</f>
        <v>Sunday</v>
      </c>
      <c r="M4872" s="5" t="str">
        <f>TEXT(Store_Record[[#This Row],[Date]],"mmmm")</f>
        <v>December</v>
      </c>
      <c r="N4872" s="5">
        <f>YEAR(Store_Record[[#This Row],[Date]])</f>
        <v>2025</v>
      </c>
      <c r="O4872"/>
    </row>
    <row r="4873" spans="1:15" x14ac:dyDescent="0.35">
      <c r="A4873" t="s">
        <v>5871</v>
      </c>
      <c r="B4873" s="2">
        <v>46013</v>
      </c>
      <c r="C4873" t="s">
        <v>36</v>
      </c>
      <c r="D4873" t="s">
        <v>25</v>
      </c>
      <c r="E4873" t="s">
        <v>42</v>
      </c>
      <c r="F4873" t="s">
        <v>13</v>
      </c>
      <c r="G4873">
        <v>5</v>
      </c>
      <c r="H4873">
        <v>3.8</v>
      </c>
      <c r="I4873" t="s">
        <v>39</v>
      </c>
      <c r="J4873" t="s">
        <v>1566</v>
      </c>
      <c r="K4873" s="12">
        <f>Store_Record[[#This Row],[Qty]]*Store_Record[[#This Row],[UnitPriceGBP]]</f>
        <v>19</v>
      </c>
      <c r="L4873" s="5" t="str">
        <f>TEXT(Store_Record[[#This Row],[Date]],"dddd")</f>
        <v>Monday</v>
      </c>
      <c r="M4873" s="5" t="str">
        <f>TEXT(Store_Record[[#This Row],[Date]],"mmmm")</f>
        <v>December</v>
      </c>
      <c r="N4873" s="5">
        <f>YEAR(Store_Record[[#This Row],[Date]])</f>
        <v>2025</v>
      </c>
      <c r="O4873"/>
    </row>
    <row r="4874" spans="1:15" x14ac:dyDescent="0.35">
      <c r="A4874" t="s">
        <v>5877</v>
      </c>
      <c r="B4874" s="2">
        <v>46013</v>
      </c>
      <c r="C4874" t="s">
        <v>10</v>
      </c>
      <c r="D4874" t="s">
        <v>29</v>
      </c>
      <c r="E4874" t="s">
        <v>42</v>
      </c>
      <c r="F4874" t="s">
        <v>13</v>
      </c>
      <c r="G4874">
        <v>5</v>
      </c>
      <c r="H4874">
        <v>3.8</v>
      </c>
      <c r="I4874" t="s">
        <v>21</v>
      </c>
      <c r="J4874" t="s">
        <v>277</v>
      </c>
      <c r="K4874" s="12">
        <f>Store_Record[[#This Row],[Qty]]*Store_Record[[#This Row],[UnitPriceGBP]]</f>
        <v>19</v>
      </c>
      <c r="L4874" s="5" t="str">
        <f>TEXT(Store_Record[[#This Row],[Date]],"dddd")</f>
        <v>Monday</v>
      </c>
      <c r="M4874" s="5" t="str">
        <f>TEXT(Store_Record[[#This Row],[Date]],"mmmm")</f>
        <v>December</v>
      </c>
      <c r="N4874" s="5">
        <f>YEAR(Store_Record[[#This Row],[Date]])</f>
        <v>2025</v>
      </c>
      <c r="O4874"/>
    </row>
    <row r="4875" spans="1:15" x14ac:dyDescent="0.35">
      <c r="A4875" t="s">
        <v>5862</v>
      </c>
      <c r="B4875" s="2">
        <v>46013</v>
      </c>
      <c r="C4875" t="s">
        <v>24</v>
      </c>
      <c r="D4875" t="s">
        <v>47</v>
      </c>
      <c r="E4875" t="s">
        <v>26</v>
      </c>
      <c r="F4875" t="s">
        <v>13</v>
      </c>
      <c r="G4875">
        <v>4</v>
      </c>
      <c r="H4875">
        <v>3.5</v>
      </c>
      <c r="I4875" t="s">
        <v>39</v>
      </c>
      <c r="J4875" t="s">
        <v>1288</v>
      </c>
      <c r="K4875" s="12">
        <f>Store_Record[[#This Row],[Qty]]*Store_Record[[#This Row],[UnitPriceGBP]]</f>
        <v>14</v>
      </c>
      <c r="L4875" s="5" t="str">
        <f>TEXT(Store_Record[[#This Row],[Date]],"dddd")</f>
        <v>Monday</v>
      </c>
      <c r="M4875" s="5" t="str">
        <f>TEXT(Store_Record[[#This Row],[Date]],"mmmm")</f>
        <v>December</v>
      </c>
      <c r="N4875" s="5">
        <f>YEAR(Store_Record[[#This Row],[Date]])</f>
        <v>2025</v>
      </c>
      <c r="O4875"/>
    </row>
    <row r="4876" spans="1:15" x14ac:dyDescent="0.35">
      <c r="A4876" t="s">
        <v>5870</v>
      </c>
      <c r="B4876" s="2">
        <v>46013</v>
      </c>
      <c r="C4876" t="s">
        <v>24</v>
      </c>
      <c r="D4876" t="s">
        <v>25</v>
      </c>
      <c r="E4876" t="s">
        <v>26</v>
      </c>
      <c r="F4876" t="s">
        <v>13</v>
      </c>
      <c r="G4876">
        <v>4</v>
      </c>
      <c r="H4876">
        <v>3.5</v>
      </c>
      <c r="I4876" t="s">
        <v>21</v>
      </c>
      <c r="J4876" t="s">
        <v>1667</v>
      </c>
      <c r="K4876" s="12">
        <f>Store_Record[[#This Row],[Qty]]*Store_Record[[#This Row],[UnitPriceGBP]]</f>
        <v>14</v>
      </c>
      <c r="L4876" s="5" t="str">
        <f>TEXT(Store_Record[[#This Row],[Date]],"dddd")</f>
        <v>Monday</v>
      </c>
      <c r="M4876" s="5" t="str">
        <f>TEXT(Store_Record[[#This Row],[Date]],"mmmm")</f>
        <v>December</v>
      </c>
      <c r="N4876" s="5">
        <f>YEAR(Store_Record[[#This Row],[Date]])</f>
        <v>2025</v>
      </c>
      <c r="O4876"/>
    </row>
    <row r="4877" spans="1:15" x14ac:dyDescent="0.35">
      <c r="A4877" t="s">
        <v>5876</v>
      </c>
      <c r="B4877" s="2">
        <v>46013</v>
      </c>
      <c r="C4877" t="s">
        <v>20</v>
      </c>
      <c r="D4877" t="s">
        <v>29</v>
      </c>
      <c r="E4877" t="s">
        <v>30</v>
      </c>
      <c r="F4877" t="s">
        <v>31</v>
      </c>
      <c r="G4877">
        <v>5</v>
      </c>
      <c r="H4877">
        <v>2.8</v>
      </c>
      <c r="I4877" t="s">
        <v>14</v>
      </c>
      <c r="J4877" t="s">
        <v>470</v>
      </c>
      <c r="K4877" s="12">
        <f>Store_Record[[#This Row],[Qty]]*Store_Record[[#This Row],[UnitPriceGBP]]</f>
        <v>14</v>
      </c>
      <c r="L4877" s="5" t="str">
        <f>TEXT(Store_Record[[#This Row],[Date]],"dddd")</f>
        <v>Monday</v>
      </c>
      <c r="M4877" s="5" t="str">
        <f>TEXT(Store_Record[[#This Row],[Date]],"mmmm")</f>
        <v>December</v>
      </c>
      <c r="N4877" s="5">
        <f>YEAR(Store_Record[[#This Row],[Date]])</f>
        <v>2025</v>
      </c>
      <c r="O4877"/>
    </row>
    <row r="4878" spans="1:15" x14ac:dyDescent="0.35">
      <c r="A4878" t="s">
        <v>6005</v>
      </c>
      <c r="B4878" s="2">
        <v>46013</v>
      </c>
      <c r="C4878" t="s">
        <v>24</v>
      </c>
      <c r="D4878" t="s">
        <v>47</v>
      </c>
      <c r="E4878" t="s">
        <v>26</v>
      </c>
      <c r="F4878" t="s">
        <v>13</v>
      </c>
      <c r="G4878">
        <v>4</v>
      </c>
      <c r="H4878">
        <v>3.5</v>
      </c>
      <c r="I4878" t="s">
        <v>39</v>
      </c>
      <c r="J4878" t="s">
        <v>1395</v>
      </c>
      <c r="K4878" s="12">
        <f>Store_Record[[#This Row],[Qty]]*Store_Record[[#This Row],[UnitPriceGBP]]</f>
        <v>14</v>
      </c>
      <c r="L4878" s="5" t="str">
        <f>TEXT(Store_Record[[#This Row],[Date]],"dddd")</f>
        <v>Monday</v>
      </c>
      <c r="M4878" s="5" t="str">
        <f>TEXT(Store_Record[[#This Row],[Date]],"mmmm")</f>
        <v>December</v>
      </c>
      <c r="N4878" s="5">
        <f>YEAR(Store_Record[[#This Row],[Date]])</f>
        <v>2025</v>
      </c>
      <c r="O4878"/>
    </row>
    <row r="4879" spans="1:15" x14ac:dyDescent="0.35">
      <c r="A4879" t="s">
        <v>5867</v>
      </c>
      <c r="B4879" s="2">
        <v>46013</v>
      </c>
      <c r="C4879" t="s">
        <v>20</v>
      </c>
      <c r="D4879" t="s">
        <v>47</v>
      </c>
      <c r="E4879" t="s">
        <v>42</v>
      </c>
      <c r="F4879" t="s">
        <v>13</v>
      </c>
      <c r="G4879">
        <v>3</v>
      </c>
      <c r="H4879">
        <v>3.8</v>
      </c>
      <c r="I4879" t="s">
        <v>21</v>
      </c>
      <c r="J4879" t="s">
        <v>54</v>
      </c>
      <c r="K4879" s="12">
        <f>Store_Record[[#This Row],[Qty]]*Store_Record[[#This Row],[UnitPriceGBP]]</f>
        <v>11.399999999999999</v>
      </c>
      <c r="L4879" s="5" t="str">
        <f>TEXT(Store_Record[[#This Row],[Date]],"dddd")</f>
        <v>Monday</v>
      </c>
      <c r="M4879" s="5" t="str">
        <f>TEXT(Store_Record[[#This Row],[Date]],"mmmm")</f>
        <v>December</v>
      </c>
      <c r="N4879" s="5">
        <f>YEAR(Store_Record[[#This Row],[Date]])</f>
        <v>2025</v>
      </c>
      <c r="O4879"/>
    </row>
    <row r="4880" spans="1:15" x14ac:dyDescent="0.35">
      <c r="A4880" t="s">
        <v>5869</v>
      </c>
      <c r="B4880" s="2">
        <v>46013</v>
      </c>
      <c r="C4880" t="s">
        <v>10</v>
      </c>
      <c r="D4880" t="s">
        <v>11</v>
      </c>
      <c r="E4880" t="s">
        <v>42</v>
      </c>
      <c r="F4880" t="s">
        <v>13</v>
      </c>
      <c r="G4880">
        <v>3</v>
      </c>
      <c r="H4880">
        <v>3.8</v>
      </c>
      <c r="I4880" t="s">
        <v>21</v>
      </c>
      <c r="J4880" t="s">
        <v>1879</v>
      </c>
      <c r="K4880" s="12">
        <f>Store_Record[[#This Row],[Qty]]*Store_Record[[#This Row],[UnitPriceGBP]]</f>
        <v>11.399999999999999</v>
      </c>
      <c r="L4880" s="5" t="str">
        <f>TEXT(Store_Record[[#This Row],[Date]],"dddd")</f>
        <v>Monday</v>
      </c>
      <c r="M4880" s="5" t="str">
        <f>TEXT(Store_Record[[#This Row],[Date]],"mmmm")</f>
        <v>December</v>
      </c>
      <c r="N4880" s="5">
        <f>YEAR(Store_Record[[#This Row],[Date]])</f>
        <v>2025</v>
      </c>
      <c r="O4880"/>
    </row>
    <row r="4881" spans="1:15" x14ac:dyDescent="0.35">
      <c r="A4881" t="s">
        <v>5863</v>
      </c>
      <c r="B4881" s="2">
        <v>46013</v>
      </c>
      <c r="C4881" t="s">
        <v>24</v>
      </c>
      <c r="D4881" t="s">
        <v>25</v>
      </c>
      <c r="E4881" t="s">
        <v>30</v>
      </c>
      <c r="F4881" t="s">
        <v>31</v>
      </c>
      <c r="G4881">
        <v>4</v>
      </c>
      <c r="H4881">
        <v>2.8</v>
      </c>
      <c r="I4881" t="s">
        <v>14</v>
      </c>
      <c r="J4881" t="s">
        <v>2087</v>
      </c>
      <c r="K4881" s="12">
        <f>Store_Record[[#This Row],[Qty]]*Store_Record[[#This Row],[UnitPriceGBP]]</f>
        <v>11.2</v>
      </c>
      <c r="L4881" s="5" t="str">
        <f>TEXT(Store_Record[[#This Row],[Date]],"dddd")</f>
        <v>Monday</v>
      </c>
      <c r="M4881" s="5" t="str">
        <f>TEXT(Store_Record[[#This Row],[Date]],"mmmm")</f>
        <v>December</v>
      </c>
      <c r="N4881" s="5">
        <f>YEAR(Store_Record[[#This Row],[Date]])</f>
        <v>2025</v>
      </c>
      <c r="O4881"/>
    </row>
    <row r="4882" spans="1:15" x14ac:dyDescent="0.35">
      <c r="A4882" t="s">
        <v>5873</v>
      </c>
      <c r="B4882" s="2">
        <v>46013</v>
      </c>
      <c r="C4882" t="s">
        <v>20</v>
      </c>
      <c r="D4882" t="s">
        <v>29</v>
      </c>
      <c r="E4882" t="s">
        <v>30</v>
      </c>
      <c r="F4882" t="s">
        <v>31</v>
      </c>
      <c r="G4882">
        <v>4</v>
      </c>
      <c r="H4882">
        <v>2.8</v>
      </c>
      <c r="I4882" t="s">
        <v>21</v>
      </c>
      <c r="J4882" t="s">
        <v>5874</v>
      </c>
      <c r="K4882" s="12">
        <f>Store_Record[[#This Row],[Qty]]*Store_Record[[#This Row],[UnitPriceGBP]]</f>
        <v>11.2</v>
      </c>
      <c r="L4882" s="5" t="str">
        <f>TEXT(Store_Record[[#This Row],[Date]],"dddd")</f>
        <v>Monday</v>
      </c>
      <c r="M4882" s="5" t="str">
        <f>TEXT(Store_Record[[#This Row],[Date]],"mmmm")</f>
        <v>December</v>
      </c>
      <c r="N4882" s="5">
        <f>YEAR(Store_Record[[#This Row],[Date]])</f>
        <v>2025</v>
      </c>
      <c r="O4882"/>
    </row>
    <row r="4883" spans="1:15" x14ac:dyDescent="0.35">
      <c r="A4883" t="s">
        <v>5878</v>
      </c>
      <c r="B4883" s="2">
        <v>46013</v>
      </c>
      <c r="C4883" t="s">
        <v>24</v>
      </c>
      <c r="D4883" t="s">
        <v>25</v>
      </c>
      <c r="E4883" t="s">
        <v>26</v>
      </c>
      <c r="F4883" t="s">
        <v>13</v>
      </c>
      <c r="G4883">
        <v>3</v>
      </c>
      <c r="H4883">
        <v>3.5</v>
      </c>
      <c r="I4883" t="s">
        <v>21</v>
      </c>
      <c r="J4883" t="s">
        <v>127</v>
      </c>
      <c r="K4883" s="12">
        <f>Store_Record[[#This Row],[Qty]]*Store_Record[[#This Row],[UnitPriceGBP]]</f>
        <v>10.5</v>
      </c>
      <c r="L4883" s="5" t="str">
        <f>TEXT(Store_Record[[#This Row],[Date]],"dddd")</f>
        <v>Monday</v>
      </c>
      <c r="M4883" s="5" t="str">
        <f>TEXT(Store_Record[[#This Row],[Date]],"mmmm")</f>
        <v>December</v>
      </c>
      <c r="N4883" s="5">
        <f>YEAR(Store_Record[[#This Row],[Date]])</f>
        <v>2025</v>
      </c>
      <c r="O4883"/>
    </row>
    <row r="4884" spans="1:15" x14ac:dyDescent="0.35">
      <c r="A4884" t="s">
        <v>5868</v>
      </c>
      <c r="B4884" s="2">
        <v>46013</v>
      </c>
      <c r="C4884" t="s">
        <v>10</v>
      </c>
      <c r="D4884" t="s">
        <v>29</v>
      </c>
      <c r="E4884" t="s">
        <v>12</v>
      </c>
      <c r="F4884" t="s">
        <v>13</v>
      </c>
      <c r="G4884">
        <v>4</v>
      </c>
      <c r="H4884">
        <v>2.5</v>
      </c>
      <c r="I4884" t="s">
        <v>14</v>
      </c>
      <c r="J4884" t="s">
        <v>328</v>
      </c>
      <c r="K4884" s="12">
        <f>Store_Record[[#This Row],[Qty]]*Store_Record[[#This Row],[UnitPriceGBP]]</f>
        <v>10</v>
      </c>
      <c r="L4884" s="5" t="str">
        <f>TEXT(Store_Record[[#This Row],[Date]],"dddd")</f>
        <v>Monday</v>
      </c>
      <c r="M4884" s="5" t="str">
        <f>TEXT(Store_Record[[#This Row],[Date]],"mmmm")</f>
        <v>December</v>
      </c>
      <c r="N4884" s="5">
        <f>YEAR(Store_Record[[#This Row],[Date]])</f>
        <v>2025</v>
      </c>
      <c r="O4884"/>
    </row>
    <row r="4885" spans="1:15" x14ac:dyDescent="0.35">
      <c r="A4885" t="s">
        <v>5872</v>
      </c>
      <c r="B4885" s="2">
        <v>46013</v>
      </c>
      <c r="C4885" t="s">
        <v>20</v>
      </c>
      <c r="D4885" t="s">
        <v>11</v>
      </c>
      <c r="E4885" t="s">
        <v>34</v>
      </c>
      <c r="F4885" t="s">
        <v>31</v>
      </c>
      <c r="G4885">
        <v>3</v>
      </c>
      <c r="H4885">
        <v>2.2000000000000002</v>
      </c>
      <c r="I4885" t="s">
        <v>39</v>
      </c>
      <c r="J4885" t="s">
        <v>1065</v>
      </c>
      <c r="K4885" s="12">
        <f>Store_Record[[#This Row],[Qty]]*Store_Record[[#This Row],[UnitPriceGBP]]</f>
        <v>6.6000000000000005</v>
      </c>
      <c r="L4885" s="5" t="str">
        <f>TEXT(Store_Record[[#This Row],[Date]],"dddd")</f>
        <v>Monday</v>
      </c>
      <c r="M4885" s="5" t="str">
        <f>TEXT(Store_Record[[#This Row],[Date]],"mmmm")</f>
        <v>December</v>
      </c>
      <c r="N4885" s="5">
        <f>YEAR(Store_Record[[#This Row],[Date]])</f>
        <v>2025</v>
      </c>
      <c r="O4885"/>
    </row>
    <row r="4886" spans="1:15" x14ac:dyDescent="0.35">
      <c r="A4886" t="s">
        <v>5864</v>
      </c>
      <c r="B4886" s="2">
        <v>46013</v>
      </c>
      <c r="C4886" t="s">
        <v>10</v>
      </c>
      <c r="D4886" t="s">
        <v>11</v>
      </c>
      <c r="E4886" t="s">
        <v>12</v>
      </c>
      <c r="F4886" t="s">
        <v>13</v>
      </c>
      <c r="G4886">
        <v>2</v>
      </c>
      <c r="H4886">
        <v>2.5</v>
      </c>
      <c r="I4886" t="s">
        <v>14</v>
      </c>
      <c r="J4886" t="s">
        <v>54</v>
      </c>
      <c r="K4886" s="12">
        <f>Store_Record[[#This Row],[Qty]]*Store_Record[[#This Row],[UnitPriceGBP]]</f>
        <v>5</v>
      </c>
      <c r="L4886" s="5" t="str">
        <f>TEXT(Store_Record[[#This Row],[Date]],"dddd")</f>
        <v>Monday</v>
      </c>
      <c r="M4886" s="5" t="str">
        <f>TEXT(Store_Record[[#This Row],[Date]],"mmmm")</f>
        <v>December</v>
      </c>
      <c r="N4886" s="5">
        <f>YEAR(Store_Record[[#This Row],[Date]])</f>
        <v>2025</v>
      </c>
      <c r="O4886"/>
    </row>
    <row r="4887" spans="1:15" x14ac:dyDescent="0.35">
      <c r="A4887" t="s">
        <v>5866</v>
      </c>
      <c r="B4887" s="2">
        <v>46013</v>
      </c>
      <c r="C4887" t="s">
        <v>24</v>
      </c>
      <c r="D4887" t="s">
        <v>38</v>
      </c>
      <c r="E4887" t="s">
        <v>34</v>
      </c>
      <c r="F4887" t="s">
        <v>31</v>
      </c>
      <c r="G4887">
        <v>2</v>
      </c>
      <c r="H4887">
        <v>2.2000000000000002</v>
      </c>
      <c r="I4887" t="s">
        <v>14</v>
      </c>
      <c r="J4887" t="s">
        <v>1564</v>
      </c>
      <c r="K4887" s="12">
        <f>Store_Record[[#This Row],[Qty]]*Store_Record[[#This Row],[UnitPriceGBP]]</f>
        <v>4.4000000000000004</v>
      </c>
      <c r="L4887" s="5" t="str">
        <f>TEXT(Store_Record[[#This Row],[Date]],"dddd")</f>
        <v>Monday</v>
      </c>
      <c r="M4887" s="5" t="str">
        <f>TEXT(Store_Record[[#This Row],[Date]],"mmmm")</f>
        <v>December</v>
      </c>
      <c r="N4887" s="5">
        <f>YEAR(Store_Record[[#This Row],[Date]])</f>
        <v>2025</v>
      </c>
      <c r="O4887"/>
    </row>
    <row r="4888" spans="1:15" x14ac:dyDescent="0.35">
      <c r="A4888" t="s">
        <v>5866</v>
      </c>
      <c r="B4888" s="2">
        <v>46013</v>
      </c>
      <c r="C4888" t="s">
        <v>24</v>
      </c>
      <c r="D4888" t="s">
        <v>38</v>
      </c>
      <c r="E4888" t="s">
        <v>34</v>
      </c>
      <c r="F4888" t="s">
        <v>31</v>
      </c>
      <c r="G4888">
        <v>2</v>
      </c>
      <c r="H4888">
        <v>2.2000000000000002</v>
      </c>
      <c r="I4888" t="s">
        <v>21</v>
      </c>
      <c r="J4888" t="s">
        <v>1564</v>
      </c>
      <c r="K4888" s="12">
        <f>Store_Record[[#This Row],[Qty]]*Store_Record[[#This Row],[UnitPriceGBP]]</f>
        <v>4.4000000000000004</v>
      </c>
      <c r="L4888" s="5" t="str">
        <f>TEXT(Store_Record[[#This Row],[Date]],"dddd")</f>
        <v>Monday</v>
      </c>
      <c r="M4888" s="5" t="str">
        <f>TEXT(Store_Record[[#This Row],[Date]],"mmmm")</f>
        <v>December</v>
      </c>
      <c r="N4888" s="5">
        <f>YEAR(Store_Record[[#This Row],[Date]])</f>
        <v>2025</v>
      </c>
      <c r="O4888"/>
    </row>
    <row r="4889" spans="1:15" x14ac:dyDescent="0.35">
      <c r="A4889" t="s">
        <v>5865</v>
      </c>
      <c r="B4889" s="2">
        <v>46013</v>
      </c>
      <c r="C4889" t="s">
        <v>24</v>
      </c>
      <c r="D4889" t="s">
        <v>11</v>
      </c>
      <c r="E4889" t="s">
        <v>42</v>
      </c>
      <c r="F4889" t="s">
        <v>13</v>
      </c>
      <c r="G4889">
        <v>1</v>
      </c>
      <c r="H4889">
        <v>3.8</v>
      </c>
      <c r="I4889" t="s">
        <v>21</v>
      </c>
      <c r="J4889" t="s">
        <v>48</v>
      </c>
      <c r="K4889" s="12">
        <f>Store_Record[[#This Row],[Qty]]*Store_Record[[#This Row],[UnitPriceGBP]]</f>
        <v>3.8</v>
      </c>
      <c r="L4889" s="5" t="str">
        <f>TEXT(Store_Record[[#This Row],[Date]],"dddd")</f>
        <v>Monday</v>
      </c>
      <c r="M4889" s="5" t="str">
        <f>TEXT(Store_Record[[#This Row],[Date]],"mmmm")</f>
        <v>December</v>
      </c>
      <c r="N4889" s="5">
        <f>YEAR(Store_Record[[#This Row],[Date]])</f>
        <v>2025</v>
      </c>
      <c r="O4889"/>
    </row>
    <row r="4890" spans="1:15" x14ac:dyDescent="0.35">
      <c r="A4890" t="s">
        <v>5875</v>
      </c>
      <c r="B4890" s="2">
        <v>46013</v>
      </c>
      <c r="C4890" t="s">
        <v>10</v>
      </c>
      <c r="D4890" t="s">
        <v>38</v>
      </c>
      <c r="E4890" t="s">
        <v>12</v>
      </c>
      <c r="F4890" t="s">
        <v>13</v>
      </c>
      <c r="G4890">
        <v>1</v>
      </c>
      <c r="H4890">
        <v>2.5</v>
      </c>
      <c r="I4890" t="s">
        <v>14</v>
      </c>
      <c r="J4890" t="s">
        <v>1762</v>
      </c>
      <c r="K4890" s="12">
        <f>Store_Record[[#This Row],[Qty]]*Store_Record[[#This Row],[UnitPriceGBP]]</f>
        <v>2.5</v>
      </c>
      <c r="L4890" s="5" t="str">
        <f>TEXT(Store_Record[[#This Row],[Date]],"dddd")</f>
        <v>Monday</v>
      </c>
      <c r="M4890" s="5" t="str">
        <f>TEXT(Store_Record[[#This Row],[Date]],"mmmm")</f>
        <v>December</v>
      </c>
      <c r="N4890" s="5">
        <f>YEAR(Store_Record[[#This Row],[Date]])</f>
        <v>2025</v>
      </c>
      <c r="O4890"/>
    </row>
    <row r="4891" spans="1:15" x14ac:dyDescent="0.35">
      <c r="A4891" t="s">
        <v>5882</v>
      </c>
      <c r="B4891" s="2">
        <v>46014</v>
      </c>
      <c r="C4891" t="s">
        <v>24</v>
      </c>
      <c r="D4891" t="s">
        <v>47</v>
      </c>
      <c r="E4891" t="s">
        <v>42</v>
      </c>
      <c r="F4891" t="s">
        <v>13</v>
      </c>
      <c r="G4891">
        <v>5</v>
      </c>
      <c r="H4891">
        <v>3.8</v>
      </c>
      <c r="I4891" t="s">
        <v>21</v>
      </c>
      <c r="J4891" t="s">
        <v>466</v>
      </c>
      <c r="K4891" s="12">
        <f>Store_Record[[#This Row],[Qty]]*Store_Record[[#This Row],[UnitPriceGBP]]</f>
        <v>19</v>
      </c>
      <c r="L4891" s="5" t="str">
        <f>TEXT(Store_Record[[#This Row],[Date]],"dddd")</f>
        <v>Tuesday</v>
      </c>
      <c r="M4891" s="5" t="str">
        <f>TEXT(Store_Record[[#This Row],[Date]],"mmmm")</f>
        <v>December</v>
      </c>
      <c r="N4891" s="5">
        <f>YEAR(Store_Record[[#This Row],[Date]])</f>
        <v>2025</v>
      </c>
      <c r="O4891"/>
    </row>
    <row r="4892" spans="1:15" x14ac:dyDescent="0.35">
      <c r="A4892" t="s">
        <v>5885</v>
      </c>
      <c r="B4892" s="2">
        <v>46014</v>
      </c>
      <c r="C4892" t="s">
        <v>10</v>
      </c>
      <c r="D4892" t="s">
        <v>29</v>
      </c>
      <c r="E4892" t="s">
        <v>26</v>
      </c>
      <c r="F4892" t="s">
        <v>13</v>
      </c>
      <c r="G4892">
        <v>5</v>
      </c>
      <c r="H4892">
        <v>3.5</v>
      </c>
      <c r="I4892" t="s">
        <v>14</v>
      </c>
      <c r="J4892" t="s">
        <v>2966</v>
      </c>
      <c r="K4892" s="12">
        <f>Store_Record[[#This Row],[Qty]]*Store_Record[[#This Row],[UnitPriceGBP]]</f>
        <v>17.5</v>
      </c>
      <c r="L4892" s="5" t="str">
        <f>TEXT(Store_Record[[#This Row],[Date]],"dddd")</f>
        <v>Tuesday</v>
      </c>
      <c r="M4892" s="5" t="str">
        <f>TEXT(Store_Record[[#This Row],[Date]],"mmmm")</f>
        <v>December</v>
      </c>
      <c r="N4892" s="5">
        <f>YEAR(Store_Record[[#This Row],[Date]])</f>
        <v>2025</v>
      </c>
      <c r="O4892"/>
    </row>
    <row r="4893" spans="1:15" x14ac:dyDescent="0.35">
      <c r="A4893" t="s">
        <v>5880</v>
      </c>
      <c r="B4893" s="2">
        <v>46014</v>
      </c>
      <c r="C4893" t="s">
        <v>10</v>
      </c>
      <c r="D4893" t="s">
        <v>29</v>
      </c>
      <c r="E4893" t="s">
        <v>26</v>
      </c>
      <c r="F4893" t="s">
        <v>13</v>
      </c>
      <c r="G4893">
        <v>4</v>
      </c>
      <c r="H4893">
        <v>3.5</v>
      </c>
      <c r="I4893" t="s">
        <v>39</v>
      </c>
      <c r="J4893" t="s">
        <v>622</v>
      </c>
      <c r="K4893" s="12">
        <f>Store_Record[[#This Row],[Qty]]*Store_Record[[#This Row],[UnitPriceGBP]]</f>
        <v>14</v>
      </c>
      <c r="L4893" s="5" t="str">
        <f>TEXT(Store_Record[[#This Row],[Date]],"dddd")</f>
        <v>Tuesday</v>
      </c>
      <c r="M4893" s="5" t="str">
        <f>TEXT(Store_Record[[#This Row],[Date]],"mmmm")</f>
        <v>December</v>
      </c>
      <c r="N4893" s="5">
        <f>YEAR(Store_Record[[#This Row],[Date]])</f>
        <v>2025</v>
      </c>
      <c r="O4893"/>
    </row>
    <row r="4894" spans="1:15" x14ac:dyDescent="0.35">
      <c r="A4894" t="s">
        <v>5883</v>
      </c>
      <c r="B4894" s="2">
        <v>46014</v>
      </c>
      <c r="C4894" t="s">
        <v>10</v>
      </c>
      <c r="D4894" t="s">
        <v>11</v>
      </c>
      <c r="E4894" t="s">
        <v>30</v>
      </c>
      <c r="F4894" t="s">
        <v>31</v>
      </c>
      <c r="G4894">
        <v>4</v>
      </c>
      <c r="H4894">
        <v>2.8</v>
      </c>
      <c r="I4894" t="s">
        <v>39</v>
      </c>
      <c r="J4894" t="s">
        <v>1428</v>
      </c>
      <c r="K4894" s="12">
        <f>Store_Record[[#This Row],[Qty]]*Store_Record[[#This Row],[UnitPriceGBP]]</f>
        <v>11.2</v>
      </c>
      <c r="L4894" s="5" t="str">
        <f>TEXT(Store_Record[[#This Row],[Date]],"dddd")</f>
        <v>Tuesday</v>
      </c>
      <c r="M4894" s="5" t="str">
        <f>TEXT(Store_Record[[#This Row],[Date]],"mmmm")</f>
        <v>December</v>
      </c>
      <c r="N4894" s="5">
        <f>YEAR(Store_Record[[#This Row],[Date]])</f>
        <v>2025</v>
      </c>
      <c r="O4894"/>
    </row>
    <row r="4895" spans="1:15" x14ac:dyDescent="0.35">
      <c r="A4895" t="s">
        <v>5879</v>
      </c>
      <c r="B4895" s="2">
        <v>46014</v>
      </c>
      <c r="C4895" t="s">
        <v>24</v>
      </c>
      <c r="D4895" t="s">
        <v>11</v>
      </c>
      <c r="E4895" t="s">
        <v>34</v>
      </c>
      <c r="F4895" t="s">
        <v>31</v>
      </c>
      <c r="G4895">
        <v>5</v>
      </c>
      <c r="H4895">
        <v>2.2000000000000002</v>
      </c>
      <c r="I4895" t="s">
        <v>21</v>
      </c>
      <c r="J4895" t="s">
        <v>827</v>
      </c>
      <c r="K4895" s="12">
        <f>Store_Record[[#This Row],[Qty]]*Store_Record[[#This Row],[UnitPriceGBP]]</f>
        <v>11</v>
      </c>
      <c r="L4895" s="5" t="str">
        <f>TEXT(Store_Record[[#This Row],[Date]],"dddd")</f>
        <v>Tuesday</v>
      </c>
      <c r="M4895" s="5" t="str">
        <f>TEXT(Store_Record[[#This Row],[Date]],"mmmm")</f>
        <v>December</v>
      </c>
      <c r="N4895" s="5">
        <f>YEAR(Store_Record[[#This Row],[Date]])</f>
        <v>2025</v>
      </c>
      <c r="O4895"/>
    </row>
    <row r="4896" spans="1:15" x14ac:dyDescent="0.35">
      <c r="A4896" t="s">
        <v>5884</v>
      </c>
      <c r="B4896" s="2">
        <v>46014</v>
      </c>
      <c r="C4896" t="s">
        <v>20</v>
      </c>
      <c r="D4896" t="s">
        <v>11</v>
      </c>
      <c r="E4896" t="s">
        <v>34</v>
      </c>
      <c r="F4896" t="s">
        <v>31</v>
      </c>
      <c r="G4896">
        <v>5</v>
      </c>
      <c r="H4896">
        <v>2.2000000000000002</v>
      </c>
      <c r="I4896" t="s">
        <v>14</v>
      </c>
      <c r="J4896" t="s">
        <v>2537</v>
      </c>
      <c r="K4896" s="12">
        <f>Store_Record[[#This Row],[Qty]]*Store_Record[[#This Row],[UnitPriceGBP]]</f>
        <v>11</v>
      </c>
      <c r="L4896" s="5" t="str">
        <f>TEXT(Store_Record[[#This Row],[Date]],"dddd")</f>
        <v>Tuesday</v>
      </c>
      <c r="M4896" s="5" t="str">
        <f>TEXT(Store_Record[[#This Row],[Date]],"mmmm")</f>
        <v>December</v>
      </c>
      <c r="N4896" s="5">
        <f>YEAR(Store_Record[[#This Row],[Date]])</f>
        <v>2025</v>
      </c>
      <c r="O4896"/>
    </row>
    <row r="4897" spans="1:15" x14ac:dyDescent="0.35">
      <c r="A4897" t="s">
        <v>5887</v>
      </c>
      <c r="B4897" s="2">
        <v>46014</v>
      </c>
      <c r="C4897" t="s">
        <v>36</v>
      </c>
      <c r="D4897" t="s">
        <v>29</v>
      </c>
      <c r="E4897" t="s">
        <v>34</v>
      </c>
      <c r="F4897" t="s">
        <v>31</v>
      </c>
      <c r="G4897">
        <v>5</v>
      </c>
      <c r="H4897">
        <v>2.2000000000000002</v>
      </c>
      <c r="I4897" t="s">
        <v>21</v>
      </c>
      <c r="J4897" t="s">
        <v>1434</v>
      </c>
      <c r="K4897" s="12">
        <f>Store_Record[[#This Row],[Qty]]*Store_Record[[#This Row],[UnitPriceGBP]]</f>
        <v>11</v>
      </c>
      <c r="L4897" s="5" t="str">
        <f>TEXT(Store_Record[[#This Row],[Date]],"dddd")</f>
        <v>Tuesday</v>
      </c>
      <c r="M4897" s="5" t="str">
        <f>TEXT(Store_Record[[#This Row],[Date]],"mmmm")</f>
        <v>December</v>
      </c>
      <c r="N4897" s="5">
        <f>YEAR(Store_Record[[#This Row],[Date]])</f>
        <v>2025</v>
      </c>
      <c r="O4897"/>
    </row>
    <row r="4898" spans="1:15" x14ac:dyDescent="0.35">
      <c r="A4898" t="s">
        <v>5886</v>
      </c>
      <c r="B4898" s="2">
        <v>46014</v>
      </c>
      <c r="C4898" t="s">
        <v>10</v>
      </c>
      <c r="D4898" t="s">
        <v>11</v>
      </c>
      <c r="E4898" t="s">
        <v>12</v>
      </c>
      <c r="F4898" t="s">
        <v>13</v>
      </c>
      <c r="G4898">
        <v>2</v>
      </c>
      <c r="H4898">
        <v>2.5</v>
      </c>
      <c r="I4898" t="s">
        <v>39</v>
      </c>
      <c r="J4898" t="s">
        <v>795</v>
      </c>
      <c r="K4898" s="12">
        <f>Store_Record[[#This Row],[Qty]]*Store_Record[[#This Row],[UnitPriceGBP]]</f>
        <v>5</v>
      </c>
      <c r="L4898" s="5" t="str">
        <f>TEXT(Store_Record[[#This Row],[Date]],"dddd")</f>
        <v>Tuesday</v>
      </c>
      <c r="M4898" s="5" t="str">
        <f>TEXT(Store_Record[[#This Row],[Date]],"mmmm")</f>
        <v>December</v>
      </c>
      <c r="N4898" s="5">
        <f>YEAR(Store_Record[[#This Row],[Date]])</f>
        <v>2025</v>
      </c>
      <c r="O4898"/>
    </row>
    <row r="4899" spans="1:15" x14ac:dyDescent="0.35">
      <c r="A4899" t="s">
        <v>5881</v>
      </c>
      <c r="B4899" s="2">
        <v>46014</v>
      </c>
      <c r="C4899" t="s">
        <v>10</v>
      </c>
      <c r="D4899" t="s">
        <v>29</v>
      </c>
      <c r="E4899" t="s">
        <v>26</v>
      </c>
      <c r="F4899" t="s">
        <v>13</v>
      </c>
      <c r="G4899">
        <v>1</v>
      </c>
      <c r="H4899">
        <v>3.5</v>
      </c>
      <c r="I4899" t="s">
        <v>21</v>
      </c>
      <c r="J4899" t="s">
        <v>3658</v>
      </c>
      <c r="K4899" s="12">
        <f>Store_Record[[#This Row],[Qty]]*Store_Record[[#This Row],[UnitPriceGBP]]</f>
        <v>3.5</v>
      </c>
      <c r="L4899" s="5" t="str">
        <f>TEXT(Store_Record[[#This Row],[Date]],"dddd")</f>
        <v>Tuesday</v>
      </c>
      <c r="M4899" s="5" t="str">
        <f>TEXT(Store_Record[[#This Row],[Date]],"mmmm")</f>
        <v>December</v>
      </c>
      <c r="N4899" s="5">
        <f>YEAR(Store_Record[[#This Row],[Date]])</f>
        <v>2025</v>
      </c>
      <c r="O4899"/>
    </row>
    <row r="4900" spans="1:15" x14ac:dyDescent="0.35">
      <c r="A4900" t="s">
        <v>5888</v>
      </c>
      <c r="B4900" s="2">
        <v>46014</v>
      </c>
      <c r="C4900" t="s">
        <v>24</v>
      </c>
      <c r="D4900" t="s">
        <v>29</v>
      </c>
      <c r="E4900" t="s">
        <v>26</v>
      </c>
      <c r="F4900" t="s">
        <v>13</v>
      </c>
      <c r="G4900">
        <v>1</v>
      </c>
      <c r="H4900">
        <v>3.5</v>
      </c>
      <c r="I4900" t="s">
        <v>39</v>
      </c>
      <c r="J4900" t="s">
        <v>646</v>
      </c>
      <c r="K4900" s="12">
        <f>Store_Record[[#This Row],[Qty]]*Store_Record[[#This Row],[UnitPriceGBP]]</f>
        <v>3.5</v>
      </c>
      <c r="L4900" s="5" t="str">
        <f>TEXT(Store_Record[[#This Row],[Date]],"dddd")</f>
        <v>Tuesday</v>
      </c>
      <c r="M4900" s="5" t="str">
        <f>TEXT(Store_Record[[#This Row],[Date]],"mmmm")</f>
        <v>December</v>
      </c>
      <c r="N4900" s="5">
        <f>YEAR(Store_Record[[#This Row],[Date]])</f>
        <v>2025</v>
      </c>
      <c r="O4900"/>
    </row>
    <row r="4901" spans="1:15" x14ac:dyDescent="0.35">
      <c r="A4901" t="s">
        <v>5904</v>
      </c>
      <c r="B4901" s="2">
        <v>46015</v>
      </c>
      <c r="C4901" t="s">
        <v>24</v>
      </c>
      <c r="D4901" t="s">
        <v>38</v>
      </c>
      <c r="E4901" t="s">
        <v>26</v>
      </c>
      <c r="F4901" t="s">
        <v>13</v>
      </c>
      <c r="G4901">
        <v>5</v>
      </c>
      <c r="H4901">
        <v>3.5</v>
      </c>
      <c r="I4901" t="s">
        <v>39</v>
      </c>
      <c r="J4901" t="s">
        <v>2651</v>
      </c>
      <c r="K4901" s="12">
        <f>Store_Record[[#This Row],[Qty]]*Store_Record[[#This Row],[UnitPriceGBP]]</f>
        <v>17.5</v>
      </c>
      <c r="L4901" s="5" t="str">
        <f>TEXT(Store_Record[[#This Row],[Date]],"dddd")</f>
        <v>Wednesday</v>
      </c>
      <c r="M4901" s="5" t="str">
        <f>TEXT(Store_Record[[#This Row],[Date]],"mmmm")</f>
        <v>December</v>
      </c>
      <c r="N4901" s="5">
        <f>YEAR(Store_Record[[#This Row],[Date]])</f>
        <v>2025</v>
      </c>
      <c r="O4901"/>
    </row>
    <row r="4902" spans="1:15" x14ac:dyDescent="0.35">
      <c r="A4902" t="s">
        <v>5894</v>
      </c>
      <c r="B4902" s="2">
        <v>46015</v>
      </c>
      <c r="C4902" t="s">
        <v>20</v>
      </c>
      <c r="D4902" t="s">
        <v>11</v>
      </c>
      <c r="E4902" t="s">
        <v>26</v>
      </c>
      <c r="F4902" t="s">
        <v>13</v>
      </c>
      <c r="G4902">
        <v>4</v>
      </c>
      <c r="H4902">
        <v>3.5</v>
      </c>
      <c r="I4902" t="s">
        <v>21</v>
      </c>
      <c r="J4902" t="s">
        <v>3248</v>
      </c>
      <c r="K4902" s="12">
        <f>Store_Record[[#This Row],[Qty]]*Store_Record[[#This Row],[UnitPriceGBP]]</f>
        <v>14</v>
      </c>
      <c r="L4902" s="5" t="str">
        <f>TEXT(Store_Record[[#This Row],[Date]],"dddd")</f>
        <v>Wednesday</v>
      </c>
      <c r="M4902" s="5" t="str">
        <f>TEXT(Store_Record[[#This Row],[Date]],"mmmm")</f>
        <v>December</v>
      </c>
      <c r="N4902" s="5">
        <f>YEAR(Store_Record[[#This Row],[Date]])</f>
        <v>2025</v>
      </c>
      <c r="O4902"/>
    </row>
    <row r="4903" spans="1:15" x14ac:dyDescent="0.35">
      <c r="A4903" t="s">
        <v>5903</v>
      </c>
      <c r="B4903" s="2">
        <v>46015</v>
      </c>
      <c r="C4903" t="s">
        <v>36</v>
      </c>
      <c r="D4903" t="s">
        <v>38</v>
      </c>
      <c r="E4903" t="s">
        <v>34</v>
      </c>
      <c r="F4903" t="s">
        <v>31</v>
      </c>
      <c r="G4903">
        <v>5</v>
      </c>
      <c r="H4903">
        <v>2.2000000000000002</v>
      </c>
      <c r="I4903" t="s">
        <v>14</v>
      </c>
      <c r="J4903" t="s">
        <v>743</v>
      </c>
      <c r="K4903" s="12">
        <f>Store_Record[[#This Row],[Qty]]*Store_Record[[#This Row],[UnitPriceGBP]]</f>
        <v>11</v>
      </c>
      <c r="L4903" s="5" t="str">
        <f>TEXT(Store_Record[[#This Row],[Date]],"dddd")</f>
        <v>Wednesday</v>
      </c>
      <c r="M4903" s="5" t="str">
        <f>TEXT(Store_Record[[#This Row],[Date]],"mmmm")</f>
        <v>December</v>
      </c>
      <c r="N4903" s="5">
        <f>YEAR(Store_Record[[#This Row],[Date]])</f>
        <v>2025</v>
      </c>
      <c r="O4903"/>
    </row>
    <row r="4904" spans="1:15" x14ac:dyDescent="0.35">
      <c r="A4904" t="s">
        <v>5891</v>
      </c>
      <c r="B4904" s="2">
        <v>46015</v>
      </c>
      <c r="C4904" t="s">
        <v>10</v>
      </c>
      <c r="D4904" t="s">
        <v>38</v>
      </c>
      <c r="E4904" t="s">
        <v>26</v>
      </c>
      <c r="F4904" t="s">
        <v>13</v>
      </c>
      <c r="G4904">
        <v>3</v>
      </c>
      <c r="H4904">
        <v>3.5</v>
      </c>
      <c r="I4904" t="s">
        <v>39</v>
      </c>
      <c r="J4904" t="s">
        <v>2233</v>
      </c>
      <c r="K4904" s="12">
        <f>Store_Record[[#This Row],[Qty]]*Store_Record[[#This Row],[UnitPriceGBP]]</f>
        <v>10.5</v>
      </c>
      <c r="L4904" s="5" t="str">
        <f>TEXT(Store_Record[[#This Row],[Date]],"dddd")</f>
        <v>Wednesday</v>
      </c>
      <c r="M4904" s="5" t="str">
        <f>TEXT(Store_Record[[#This Row],[Date]],"mmmm")</f>
        <v>December</v>
      </c>
      <c r="N4904" s="5">
        <f>YEAR(Store_Record[[#This Row],[Date]])</f>
        <v>2025</v>
      </c>
      <c r="O4904"/>
    </row>
    <row r="4905" spans="1:15" x14ac:dyDescent="0.35">
      <c r="A4905" t="s">
        <v>5899</v>
      </c>
      <c r="B4905" s="2">
        <v>46015</v>
      </c>
      <c r="C4905" t="s">
        <v>24</v>
      </c>
      <c r="D4905" t="s">
        <v>38</v>
      </c>
      <c r="E4905" t="s">
        <v>26</v>
      </c>
      <c r="F4905" t="s">
        <v>13</v>
      </c>
      <c r="G4905">
        <v>3</v>
      </c>
      <c r="H4905">
        <v>3.5</v>
      </c>
      <c r="I4905" t="s">
        <v>14</v>
      </c>
      <c r="J4905" t="s">
        <v>549</v>
      </c>
      <c r="K4905" s="12">
        <f>Store_Record[[#This Row],[Qty]]*Store_Record[[#This Row],[UnitPriceGBP]]</f>
        <v>10.5</v>
      </c>
      <c r="L4905" s="5" t="str">
        <f>TEXT(Store_Record[[#This Row],[Date]],"dddd")</f>
        <v>Wednesday</v>
      </c>
      <c r="M4905" s="5" t="str">
        <f>TEXT(Store_Record[[#This Row],[Date]],"mmmm")</f>
        <v>December</v>
      </c>
      <c r="N4905" s="5">
        <f>YEAR(Store_Record[[#This Row],[Date]])</f>
        <v>2025</v>
      </c>
      <c r="O4905"/>
    </row>
    <row r="4906" spans="1:15" x14ac:dyDescent="0.35">
      <c r="A4906" t="s">
        <v>5900</v>
      </c>
      <c r="B4906" s="2">
        <v>46015</v>
      </c>
      <c r="C4906" t="s">
        <v>10</v>
      </c>
      <c r="D4906" t="s">
        <v>25</v>
      </c>
      <c r="E4906" t="s">
        <v>30</v>
      </c>
      <c r="F4906" t="s">
        <v>31</v>
      </c>
      <c r="G4906">
        <v>3</v>
      </c>
      <c r="H4906">
        <v>2.8</v>
      </c>
      <c r="I4906" t="s">
        <v>14</v>
      </c>
      <c r="J4906" t="s">
        <v>634</v>
      </c>
      <c r="K4906" s="12">
        <f>Store_Record[[#This Row],[Qty]]*Store_Record[[#This Row],[UnitPriceGBP]]</f>
        <v>8.3999999999999986</v>
      </c>
      <c r="L4906" s="5" t="str">
        <f>TEXT(Store_Record[[#This Row],[Date]],"dddd")</f>
        <v>Wednesday</v>
      </c>
      <c r="M4906" s="5" t="str">
        <f>TEXT(Store_Record[[#This Row],[Date]],"mmmm")</f>
        <v>December</v>
      </c>
      <c r="N4906" s="5">
        <f>YEAR(Store_Record[[#This Row],[Date]])</f>
        <v>2025</v>
      </c>
      <c r="O4906"/>
    </row>
    <row r="4907" spans="1:15" x14ac:dyDescent="0.35">
      <c r="A4907" t="s">
        <v>5906</v>
      </c>
      <c r="B4907" s="2">
        <v>46015</v>
      </c>
      <c r="C4907" t="s">
        <v>36</v>
      </c>
      <c r="D4907" t="s">
        <v>47</v>
      </c>
      <c r="E4907" t="s">
        <v>42</v>
      </c>
      <c r="F4907" t="s">
        <v>13</v>
      </c>
      <c r="G4907">
        <v>2</v>
      </c>
      <c r="H4907">
        <v>3.8</v>
      </c>
      <c r="I4907" t="s">
        <v>39</v>
      </c>
      <c r="J4907" t="s">
        <v>413</v>
      </c>
      <c r="K4907" s="12">
        <f>Store_Record[[#This Row],[Qty]]*Store_Record[[#This Row],[UnitPriceGBP]]</f>
        <v>7.6</v>
      </c>
      <c r="L4907" s="5" t="str">
        <f>TEXT(Store_Record[[#This Row],[Date]],"dddd")</f>
        <v>Wednesday</v>
      </c>
      <c r="M4907" s="5" t="str">
        <f>TEXT(Store_Record[[#This Row],[Date]],"mmmm")</f>
        <v>December</v>
      </c>
      <c r="N4907" s="5">
        <f>YEAR(Store_Record[[#This Row],[Date]])</f>
        <v>2025</v>
      </c>
      <c r="O4907"/>
    </row>
    <row r="4908" spans="1:15" x14ac:dyDescent="0.35">
      <c r="A4908" t="s">
        <v>5896</v>
      </c>
      <c r="B4908" s="2">
        <v>46015</v>
      </c>
      <c r="C4908" t="s">
        <v>36</v>
      </c>
      <c r="D4908" t="s">
        <v>25</v>
      </c>
      <c r="E4908" t="s">
        <v>12</v>
      </c>
      <c r="F4908" t="s">
        <v>13</v>
      </c>
      <c r="G4908">
        <v>3</v>
      </c>
      <c r="H4908">
        <v>2.5</v>
      </c>
      <c r="I4908" t="s">
        <v>39</v>
      </c>
      <c r="J4908" t="s">
        <v>923</v>
      </c>
      <c r="K4908" s="12">
        <f>Store_Record[[#This Row],[Qty]]*Store_Record[[#This Row],[UnitPriceGBP]]</f>
        <v>7.5</v>
      </c>
      <c r="L4908" s="5" t="str">
        <f>TEXT(Store_Record[[#This Row],[Date]],"dddd")</f>
        <v>Wednesday</v>
      </c>
      <c r="M4908" s="5" t="str">
        <f>TEXT(Store_Record[[#This Row],[Date]],"mmmm")</f>
        <v>December</v>
      </c>
      <c r="N4908" s="5">
        <f>YEAR(Store_Record[[#This Row],[Date]])</f>
        <v>2025</v>
      </c>
      <c r="O4908"/>
    </row>
    <row r="4909" spans="1:15" x14ac:dyDescent="0.35">
      <c r="A4909" t="s">
        <v>5890</v>
      </c>
      <c r="B4909" s="2">
        <v>46015</v>
      </c>
      <c r="C4909" t="s">
        <v>24</v>
      </c>
      <c r="D4909" t="s">
        <v>29</v>
      </c>
      <c r="E4909" t="s">
        <v>34</v>
      </c>
      <c r="F4909" t="s">
        <v>31</v>
      </c>
      <c r="G4909">
        <v>3</v>
      </c>
      <c r="H4909">
        <v>2.2000000000000002</v>
      </c>
      <c r="I4909" t="s">
        <v>21</v>
      </c>
      <c r="J4909" t="s">
        <v>667</v>
      </c>
      <c r="K4909" s="12">
        <f>Store_Record[[#This Row],[Qty]]*Store_Record[[#This Row],[UnitPriceGBP]]</f>
        <v>6.6000000000000005</v>
      </c>
      <c r="L4909" s="5" t="str">
        <f>TEXT(Store_Record[[#This Row],[Date]],"dddd")</f>
        <v>Wednesday</v>
      </c>
      <c r="M4909" s="5" t="str">
        <f>TEXT(Store_Record[[#This Row],[Date]],"mmmm")</f>
        <v>December</v>
      </c>
      <c r="N4909" s="5">
        <f>YEAR(Store_Record[[#This Row],[Date]])</f>
        <v>2025</v>
      </c>
      <c r="O4909"/>
    </row>
    <row r="4910" spans="1:15" x14ac:dyDescent="0.35">
      <c r="A4910" t="s">
        <v>5902</v>
      </c>
      <c r="B4910" s="2">
        <v>46015</v>
      </c>
      <c r="C4910" t="s">
        <v>20</v>
      </c>
      <c r="D4910" t="s">
        <v>11</v>
      </c>
      <c r="E4910" t="s">
        <v>34</v>
      </c>
      <c r="F4910" t="s">
        <v>31</v>
      </c>
      <c r="G4910">
        <v>3</v>
      </c>
      <c r="H4910">
        <v>2.2000000000000002</v>
      </c>
      <c r="I4910" t="s">
        <v>21</v>
      </c>
      <c r="J4910" t="s">
        <v>2872</v>
      </c>
      <c r="K4910" s="12">
        <f>Store_Record[[#This Row],[Qty]]*Store_Record[[#This Row],[UnitPriceGBP]]</f>
        <v>6.6000000000000005</v>
      </c>
      <c r="L4910" s="5" t="str">
        <f>TEXT(Store_Record[[#This Row],[Date]],"dddd")</f>
        <v>Wednesday</v>
      </c>
      <c r="M4910" s="5" t="str">
        <f>TEXT(Store_Record[[#This Row],[Date]],"mmmm")</f>
        <v>December</v>
      </c>
      <c r="N4910" s="5">
        <f>YEAR(Store_Record[[#This Row],[Date]])</f>
        <v>2025</v>
      </c>
      <c r="O4910"/>
    </row>
    <row r="4911" spans="1:15" x14ac:dyDescent="0.35">
      <c r="A4911" t="s">
        <v>5897</v>
      </c>
      <c r="B4911" s="2">
        <v>46015</v>
      </c>
      <c r="C4911" t="s">
        <v>36</v>
      </c>
      <c r="D4911" t="s">
        <v>11</v>
      </c>
      <c r="E4911" t="s">
        <v>12</v>
      </c>
      <c r="F4911" t="s">
        <v>13</v>
      </c>
      <c r="G4911">
        <v>2</v>
      </c>
      <c r="H4911">
        <v>2.5</v>
      </c>
      <c r="I4911" t="s">
        <v>14</v>
      </c>
      <c r="J4911" t="s">
        <v>1987</v>
      </c>
      <c r="K4911" s="12">
        <f>Store_Record[[#This Row],[Qty]]*Store_Record[[#This Row],[UnitPriceGBP]]</f>
        <v>5</v>
      </c>
      <c r="L4911" s="5" t="str">
        <f>TEXT(Store_Record[[#This Row],[Date]],"dddd")</f>
        <v>Wednesday</v>
      </c>
      <c r="M4911" s="5" t="str">
        <f>TEXT(Store_Record[[#This Row],[Date]],"mmmm")</f>
        <v>December</v>
      </c>
      <c r="N4911" s="5">
        <f>YEAR(Store_Record[[#This Row],[Date]])</f>
        <v>2025</v>
      </c>
      <c r="O4911"/>
    </row>
    <row r="4912" spans="1:15" x14ac:dyDescent="0.35">
      <c r="A4912" t="s">
        <v>5895</v>
      </c>
      <c r="B4912" s="2">
        <v>46015</v>
      </c>
      <c r="C4912" t="s">
        <v>36</v>
      </c>
      <c r="D4912" t="s">
        <v>25</v>
      </c>
      <c r="E4912" t="s">
        <v>42</v>
      </c>
      <c r="F4912" t="s">
        <v>13</v>
      </c>
      <c r="G4912">
        <v>1</v>
      </c>
      <c r="H4912">
        <v>3.8</v>
      </c>
      <c r="I4912" t="s">
        <v>14</v>
      </c>
      <c r="J4912" t="s">
        <v>3478</v>
      </c>
      <c r="K4912" s="12">
        <f>Store_Record[[#This Row],[Qty]]*Store_Record[[#This Row],[UnitPriceGBP]]</f>
        <v>3.8</v>
      </c>
      <c r="L4912" s="5" t="str">
        <f>TEXT(Store_Record[[#This Row],[Date]],"dddd")</f>
        <v>Wednesday</v>
      </c>
      <c r="M4912" s="5" t="str">
        <f>TEXT(Store_Record[[#This Row],[Date]],"mmmm")</f>
        <v>December</v>
      </c>
      <c r="N4912" s="5">
        <f>YEAR(Store_Record[[#This Row],[Date]])</f>
        <v>2025</v>
      </c>
      <c r="O4912"/>
    </row>
    <row r="4913" spans="1:15" x14ac:dyDescent="0.35">
      <c r="A4913" t="s">
        <v>5901</v>
      </c>
      <c r="B4913" s="2">
        <v>46015</v>
      </c>
      <c r="C4913" t="s">
        <v>24</v>
      </c>
      <c r="D4913" t="s">
        <v>38</v>
      </c>
      <c r="E4913" t="s">
        <v>42</v>
      </c>
      <c r="F4913" t="s">
        <v>13</v>
      </c>
      <c r="G4913">
        <v>1</v>
      </c>
      <c r="H4913">
        <v>3.8</v>
      </c>
      <c r="I4913" t="s">
        <v>14</v>
      </c>
      <c r="J4913" t="s">
        <v>1605</v>
      </c>
      <c r="K4913" s="12">
        <f>Store_Record[[#This Row],[Qty]]*Store_Record[[#This Row],[UnitPriceGBP]]</f>
        <v>3.8</v>
      </c>
      <c r="L4913" s="5" t="str">
        <f>TEXT(Store_Record[[#This Row],[Date]],"dddd")</f>
        <v>Wednesday</v>
      </c>
      <c r="M4913" s="5" t="str">
        <f>TEXT(Store_Record[[#This Row],[Date]],"mmmm")</f>
        <v>December</v>
      </c>
      <c r="N4913" s="5">
        <f>YEAR(Store_Record[[#This Row],[Date]])</f>
        <v>2025</v>
      </c>
      <c r="O4913"/>
    </row>
    <row r="4914" spans="1:15" x14ac:dyDescent="0.35">
      <c r="A4914" t="s">
        <v>5889</v>
      </c>
      <c r="B4914" s="2">
        <v>46015</v>
      </c>
      <c r="C4914" t="s">
        <v>36</v>
      </c>
      <c r="D4914" t="s">
        <v>11</v>
      </c>
      <c r="E4914" t="s">
        <v>26</v>
      </c>
      <c r="F4914" t="s">
        <v>13</v>
      </c>
      <c r="G4914">
        <v>1</v>
      </c>
      <c r="H4914">
        <v>3.5</v>
      </c>
      <c r="I4914" t="s">
        <v>39</v>
      </c>
      <c r="J4914" t="s">
        <v>472</v>
      </c>
      <c r="K4914" s="12">
        <f>Store_Record[[#This Row],[Qty]]*Store_Record[[#This Row],[UnitPriceGBP]]</f>
        <v>3.5</v>
      </c>
      <c r="L4914" s="5" t="str">
        <f>TEXT(Store_Record[[#This Row],[Date]],"dddd")</f>
        <v>Wednesday</v>
      </c>
      <c r="M4914" s="5" t="str">
        <f>TEXT(Store_Record[[#This Row],[Date]],"mmmm")</f>
        <v>December</v>
      </c>
      <c r="N4914" s="5">
        <f>YEAR(Store_Record[[#This Row],[Date]])</f>
        <v>2025</v>
      </c>
      <c r="O4914"/>
    </row>
    <row r="4915" spans="1:15" x14ac:dyDescent="0.35">
      <c r="A4915" t="s">
        <v>5893</v>
      </c>
      <c r="B4915" s="2">
        <v>46015</v>
      </c>
      <c r="C4915" t="s">
        <v>20</v>
      </c>
      <c r="D4915" t="s">
        <v>29</v>
      </c>
      <c r="E4915" t="s">
        <v>26</v>
      </c>
      <c r="F4915" t="s">
        <v>13</v>
      </c>
      <c r="G4915">
        <v>1</v>
      </c>
      <c r="H4915">
        <v>3.5</v>
      </c>
      <c r="I4915" t="s">
        <v>39</v>
      </c>
      <c r="J4915" t="s">
        <v>2880</v>
      </c>
      <c r="K4915" s="12">
        <f>Store_Record[[#This Row],[Qty]]*Store_Record[[#This Row],[UnitPriceGBP]]</f>
        <v>3.5</v>
      </c>
      <c r="L4915" s="5" t="str">
        <f>TEXT(Store_Record[[#This Row],[Date]],"dddd")</f>
        <v>Wednesday</v>
      </c>
      <c r="M4915" s="5" t="str">
        <f>TEXT(Store_Record[[#This Row],[Date]],"mmmm")</f>
        <v>December</v>
      </c>
      <c r="N4915" s="5">
        <f>YEAR(Store_Record[[#This Row],[Date]])</f>
        <v>2025</v>
      </c>
      <c r="O4915"/>
    </row>
    <row r="4916" spans="1:15" x14ac:dyDescent="0.35">
      <c r="A4916" t="s">
        <v>5905</v>
      </c>
      <c r="B4916" s="2">
        <v>46015</v>
      </c>
      <c r="C4916" t="s">
        <v>24</v>
      </c>
      <c r="D4916" t="s">
        <v>47</v>
      </c>
      <c r="E4916" t="s">
        <v>30</v>
      </c>
      <c r="F4916" t="s">
        <v>31</v>
      </c>
      <c r="G4916">
        <v>1</v>
      </c>
      <c r="H4916">
        <v>2.8</v>
      </c>
      <c r="I4916" t="s">
        <v>39</v>
      </c>
      <c r="J4916" t="s">
        <v>515</v>
      </c>
      <c r="K4916" s="12">
        <f>Store_Record[[#This Row],[Qty]]*Store_Record[[#This Row],[UnitPriceGBP]]</f>
        <v>2.8</v>
      </c>
      <c r="L4916" s="5" t="str">
        <f>TEXT(Store_Record[[#This Row],[Date]],"dddd")</f>
        <v>Wednesday</v>
      </c>
      <c r="M4916" s="5" t="str">
        <f>TEXT(Store_Record[[#This Row],[Date]],"mmmm")</f>
        <v>December</v>
      </c>
      <c r="N4916" s="5">
        <f>YEAR(Store_Record[[#This Row],[Date]])</f>
        <v>2025</v>
      </c>
      <c r="O4916"/>
    </row>
    <row r="4917" spans="1:15" x14ac:dyDescent="0.35">
      <c r="A4917" t="s">
        <v>5892</v>
      </c>
      <c r="B4917" s="2">
        <v>46015</v>
      </c>
      <c r="C4917" t="s">
        <v>10</v>
      </c>
      <c r="D4917" t="s">
        <v>38</v>
      </c>
      <c r="E4917" t="s">
        <v>34</v>
      </c>
      <c r="F4917" t="s">
        <v>31</v>
      </c>
      <c r="G4917">
        <v>1</v>
      </c>
      <c r="H4917">
        <v>2.2000000000000002</v>
      </c>
      <c r="I4917" t="s">
        <v>39</v>
      </c>
      <c r="J4917" t="s">
        <v>3241</v>
      </c>
      <c r="K4917" s="12">
        <f>Store_Record[[#This Row],[Qty]]*Store_Record[[#This Row],[UnitPriceGBP]]</f>
        <v>2.2000000000000002</v>
      </c>
      <c r="L4917" s="5" t="str">
        <f>TEXT(Store_Record[[#This Row],[Date]],"dddd")</f>
        <v>Wednesday</v>
      </c>
      <c r="M4917" s="5" t="str">
        <f>TEXT(Store_Record[[#This Row],[Date]],"mmmm")</f>
        <v>December</v>
      </c>
      <c r="N4917" s="5">
        <f>YEAR(Store_Record[[#This Row],[Date]])</f>
        <v>2025</v>
      </c>
      <c r="O4917"/>
    </row>
    <row r="4918" spans="1:15" x14ac:dyDescent="0.35">
      <c r="A4918" t="s">
        <v>5898</v>
      </c>
      <c r="B4918" s="2">
        <v>46015</v>
      </c>
      <c r="C4918" t="s">
        <v>24</v>
      </c>
      <c r="D4918" t="s">
        <v>47</v>
      </c>
      <c r="E4918" t="s">
        <v>34</v>
      </c>
      <c r="F4918" t="s">
        <v>31</v>
      </c>
      <c r="G4918">
        <v>1</v>
      </c>
      <c r="H4918">
        <v>2.2000000000000002</v>
      </c>
      <c r="I4918" t="s">
        <v>39</v>
      </c>
      <c r="J4918" t="s">
        <v>3478</v>
      </c>
      <c r="K4918" s="12">
        <f>Store_Record[[#This Row],[Qty]]*Store_Record[[#This Row],[UnitPriceGBP]]</f>
        <v>2.2000000000000002</v>
      </c>
      <c r="L4918" s="5" t="str">
        <f>TEXT(Store_Record[[#This Row],[Date]],"dddd")</f>
        <v>Wednesday</v>
      </c>
      <c r="M4918" s="5" t="str">
        <f>TEXT(Store_Record[[#This Row],[Date]],"mmmm")</f>
        <v>December</v>
      </c>
      <c r="N4918" s="5">
        <f>YEAR(Store_Record[[#This Row],[Date]])</f>
        <v>2025</v>
      </c>
      <c r="O4918"/>
    </row>
    <row r="4919" spans="1:15" x14ac:dyDescent="0.35">
      <c r="A4919" t="s">
        <v>5914</v>
      </c>
      <c r="B4919" s="2">
        <v>46016</v>
      </c>
      <c r="C4919" t="s">
        <v>36</v>
      </c>
      <c r="D4919" t="s">
        <v>47</v>
      </c>
      <c r="E4919" t="s">
        <v>42</v>
      </c>
      <c r="F4919" t="s">
        <v>13</v>
      </c>
      <c r="G4919">
        <v>5</v>
      </c>
      <c r="H4919">
        <v>3.8</v>
      </c>
      <c r="I4919" t="s">
        <v>39</v>
      </c>
      <c r="J4919" t="s">
        <v>1936</v>
      </c>
      <c r="K4919" s="12">
        <f>Store_Record[[#This Row],[Qty]]*Store_Record[[#This Row],[UnitPriceGBP]]</f>
        <v>19</v>
      </c>
      <c r="L4919" s="5" t="str">
        <f>TEXT(Store_Record[[#This Row],[Date]],"dddd")</f>
        <v>Thursday</v>
      </c>
      <c r="M4919" s="5" t="str">
        <f>TEXT(Store_Record[[#This Row],[Date]],"mmmm")</f>
        <v>December</v>
      </c>
      <c r="N4919" s="5">
        <f>YEAR(Store_Record[[#This Row],[Date]])</f>
        <v>2025</v>
      </c>
      <c r="O4919"/>
    </row>
    <row r="4920" spans="1:15" x14ac:dyDescent="0.35">
      <c r="A4920" t="s">
        <v>5913</v>
      </c>
      <c r="B4920" s="2">
        <v>46016</v>
      </c>
      <c r="C4920" t="s">
        <v>20</v>
      </c>
      <c r="D4920" t="s">
        <v>11</v>
      </c>
      <c r="E4920" t="s">
        <v>26</v>
      </c>
      <c r="F4920" t="s">
        <v>13</v>
      </c>
      <c r="G4920">
        <v>5</v>
      </c>
      <c r="H4920">
        <v>3.5</v>
      </c>
      <c r="I4920" t="s">
        <v>39</v>
      </c>
      <c r="J4920" t="s">
        <v>1156</v>
      </c>
      <c r="K4920" s="12">
        <f>Store_Record[[#This Row],[Qty]]*Store_Record[[#This Row],[UnitPriceGBP]]</f>
        <v>17.5</v>
      </c>
      <c r="L4920" s="5" t="str">
        <f>TEXT(Store_Record[[#This Row],[Date]],"dddd")</f>
        <v>Thursday</v>
      </c>
      <c r="M4920" s="5" t="str">
        <f>TEXT(Store_Record[[#This Row],[Date]],"mmmm")</f>
        <v>December</v>
      </c>
      <c r="N4920" s="5">
        <f>YEAR(Store_Record[[#This Row],[Date]])</f>
        <v>2025</v>
      </c>
      <c r="O4920"/>
    </row>
    <row r="4921" spans="1:15" x14ac:dyDescent="0.35">
      <c r="A4921" t="s">
        <v>5916</v>
      </c>
      <c r="B4921" s="2">
        <v>46016</v>
      </c>
      <c r="C4921" t="s">
        <v>24</v>
      </c>
      <c r="D4921" t="s">
        <v>29</v>
      </c>
      <c r="E4921" t="s">
        <v>26</v>
      </c>
      <c r="F4921" t="s">
        <v>13</v>
      </c>
      <c r="G4921">
        <v>4</v>
      </c>
      <c r="H4921">
        <v>3.5</v>
      </c>
      <c r="I4921" t="s">
        <v>14</v>
      </c>
      <c r="J4921" t="s">
        <v>3731</v>
      </c>
      <c r="K4921" s="12">
        <f>Store_Record[[#This Row],[Qty]]*Store_Record[[#This Row],[UnitPriceGBP]]</f>
        <v>14</v>
      </c>
      <c r="L4921" s="5" t="str">
        <f>TEXT(Store_Record[[#This Row],[Date]],"dddd")</f>
        <v>Thursday</v>
      </c>
      <c r="M4921" s="5" t="str">
        <f>TEXT(Store_Record[[#This Row],[Date]],"mmmm")</f>
        <v>December</v>
      </c>
      <c r="N4921" s="5">
        <f>YEAR(Store_Record[[#This Row],[Date]])</f>
        <v>2025</v>
      </c>
      <c r="O4921"/>
    </row>
    <row r="4922" spans="1:15" x14ac:dyDescent="0.35">
      <c r="A4922" t="s">
        <v>5909</v>
      </c>
      <c r="B4922" s="2">
        <v>46016</v>
      </c>
      <c r="C4922" t="s">
        <v>10</v>
      </c>
      <c r="D4922" t="s">
        <v>11</v>
      </c>
      <c r="E4922" t="s">
        <v>42</v>
      </c>
      <c r="F4922" t="s">
        <v>13</v>
      </c>
      <c r="G4922">
        <v>3</v>
      </c>
      <c r="H4922">
        <v>3.8</v>
      </c>
      <c r="I4922" t="s">
        <v>21</v>
      </c>
      <c r="J4922" t="s">
        <v>1181</v>
      </c>
      <c r="K4922" s="12">
        <f>Store_Record[[#This Row],[Qty]]*Store_Record[[#This Row],[UnitPriceGBP]]</f>
        <v>11.399999999999999</v>
      </c>
      <c r="L4922" s="5" t="str">
        <f>TEXT(Store_Record[[#This Row],[Date]],"dddd")</f>
        <v>Thursday</v>
      </c>
      <c r="M4922" s="5" t="str">
        <f>TEXT(Store_Record[[#This Row],[Date]],"mmmm")</f>
        <v>December</v>
      </c>
      <c r="N4922" s="5">
        <f>YEAR(Store_Record[[#This Row],[Date]])</f>
        <v>2025</v>
      </c>
      <c r="O4922"/>
    </row>
    <row r="4923" spans="1:15" x14ac:dyDescent="0.35">
      <c r="A4923" t="s">
        <v>5917</v>
      </c>
      <c r="B4923" s="2">
        <v>46016</v>
      </c>
      <c r="C4923" t="s">
        <v>20</v>
      </c>
      <c r="D4923" t="s">
        <v>25</v>
      </c>
      <c r="E4923" t="s">
        <v>42</v>
      </c>
      <c r="F4923" t="s">
        <v>13</v>
      </c>
      <c r="G4923">
        <v>3</v>
      </c>
      <c r="H4923">
        <v>3.8</v>
      </c>
      <c r="I4923" t="s">
        <v>14</v>
      </c>
      <c r="J4923" t="s">
        <v>3438</v>
      </c>
      <c r="K4923" s="12">
        <f>Store_Record[[#This Row],[Qty]]*Store_Record[[#This Row],[UnitPriceGBP]]</f>
        <v>11.399999999999999</v>
      </c>
      <c r="L4923" s="5" t="str">
        <f>TEXT(Store_Record[[#This Row],[Date]],"dddd")</f>
        <v>Thursday</v>
      </c>
      <c r="M4923" s="5" t="str">
        <f>TEXT(Store_Record[[#This Row],[Date]],"mmmm")</f>
        <v>December</v>
      </c>
      <c r="N4923" s="5">
        <f>YEAR(Store_Record[[#This Row],[Date]])</f>
        <v>2025</v>
      </c>
      <c r="O4923"/>
    </row>
    <row r="4924" spans="1:15" x14ac:dyDescent="0.35">
      <c r="A4924" t="s">
        <v>5910</v>
      </c>
      <c r="B4924" s="2">
        <v>46016</v>
      </c>
      <c r="C4924" t="s">
        <v>10</v>
      </c>
      <c r="D4924" t="s">
        <v>11</v>
      </c>
      <c r="E4924" t="s">
        <v>34</v>
      </c>
      <c r="F4924" t="s">
        <v>31</v>
      </c>
      <c r="G4924">
        <v>5</v>
      </c>
      <c r="H4924">
        <v>2.2000000000000002</v>
      </c>
      <c r="I4924" t="s">
        <v>39</v>
      </c>
      <c r="J4924" t="s">
        <v>470</v>
      </c>
      <c r="K4924" s="12">
        <f>Store_Record[[#This Row],[Qty]]*Store_Record[[#This Row],[UnitPriceGBP]]</f>
        <v>11</v>
      </c>
      <c r="L4924" s="5" t="str">
        <f>TEXT(Store_Record[[#This Row],[Date]],"dddd")</f>
        <v>Thursday</v>
      </c>
      <c r="M4924" s="5" t="str">
        <f>TEXT(Store_Record[[#This Row],[Date]],"mmmm")</f>
        <v>December</v>
      </c>
      <c r="N4924" s="5">
        <f>YEAR(Store_Record[[#This Row],[Date]])</f>
        <v>2025</v>
      </c>
      <c r="O4924"/>
    </row>
    <row r="4925" spans="1:15" x14ac:dyDescent="0.35">
      <c r="A4925" t="s">
        <v>5915</v>
      </c>
      <c r="B4925" s="2">
        <v>46016</v>
      </c>
      <c r="C4925" t="s">
        <v>24</v>
      </c>
      <c r="D4925" t="s">
        <v>38</v>
      </c>
      <c r="E4925" t="s">
        <v>12</v>
      </c>
      <c r="F4925" t="s">
        <v>13</v>
      </c>
      <c r="G4925">
        <v>4</v>
      </c>
      <c r="H4925">
        <v>2.5</v>
      </c>
      <c r="I4925" t="s">
        <v>39</v>
      </c>
      <c r="J4925" t="s">
        <v>175</v>
      </c>
      <c r="K4925" s="12">
        <f>Store_Record[[#This Row],[Qty]]*Store_Record[[#This Row],[UnitPriceGBP]]</f>
        <v>10</v>
      </c>
      <c r="L4925" s="5" t="str">
        <f>TEXT(Store_Record[[#This Row],[Date]],"dddd")</f>
        <v>Thursday</v>
      </c>
      <c r="M4925" s="5" t="str">
        <f>TEXT(Store_Record[[#This Row],[Date]],"mmmm")</f>
        <v>December</v>
      </c>
      <c r="N4925" s="5">
        <f>YEAR(Store_Record[[#This Row],[Date]])</f>
        <v>2025</v>
      </c>
      <c r="O4925"/>
    </row>
    <row r="4926" spans="1:15" x14ac:dyDescent="0.35">
      <c r="A4926" t="s">
        <v>5908</v>
      </c>
      <c r="B4926" s="2">
        <v>46016</v>
      </c>
      <c r="C4926" t="s">
        <v>24</v>
      </c>
      <c r="D4926" t="s">
        <v>25</v>
      </c>
      <c r="E4926" t="s">
        <v>30</v>
      </c>
      <c r="F4926" t="s">
        <v>31</v>
      </c>
      <c r="G4926">
        <v>2</v>
      </c>
      <c r="H4926">
        <v>2.8</v>
      </c>
      <c r="I4926" t="s">
        <v>21</v>
      </c>
      <c r="J4926" t="s">
        <v>175</v>
      </c>
      <c r="K4926" s="12">
        <f>Store_Record[[#This Row],[Qty]]*Store_Record[[#This Row],[UnitPriceGBP]]</f>
        <v>5.6</v>
      </c>
      <c r="L4926" s="5" t="str">
        <f>TEXT(Store_Record[[#This Row],[Date]],"dddd")</f>
        <v>Thursday</v>
      </c>
      <c r="M4926" s="5" t="str">
        <f>TEXT(Store_Record[[#This Row],[Date]],"mmmm")</f>
        <v>December</v>
      </c>
      <c r="N4926" s="5">
        <f>YEAR(Store_Record[[#This Row],[Date]])</f>
        <v>2025</v>
      </c>
      <c r="O4926"/>
    </row>
    <row r="4927" spans="1:15" x14ac:dyDescent="0.35">
      <c r="A4927" t="s">
        <v>5907</v>
      </c>
      <c r="B4927" s="2">
        <v>46016</v>
      </c>
      <c r="C4927" t="s">
        <v>20</v>
      </c>
      <c r="D4927" t="s">
        <v>47</v>
      </c>
      <c r="E4927" t="s">
        <v>42</v>
      </c>
      <c r="F4927" t="s">
        <v>13</v>
      </c>
      <c r="G4927">
        <v>1</v>
      </c>
      <c r="H4927">
        <v>3.8</v>
      </c>
      <c r="I4927" t="s">
        <v>39</v>
      </c>
      <c r="J4927" t="s">
        <v>495</v>
      </c>
      <c r="K4927" s="12">
        <f>Store_Record[[#This Row],[Qty]]*Store_Record[[#This Row],[UnitPriceGBP]]</f>
        <v>3.8</v>
      </c>
      <c r="L4927" s="5" t="str">
        <f>TEXT(Store_Record[[#This Row],[Date]],"dddd")</f>
        <v>Thursday</v>
      </c>
      <c r="M4927" s="5" t="str">
        <f>TEXT(Store_Record[[#This Row],[Date]],"mmmm")</f>
        <v>December</v>
      </c>
      <c r="N4927" s="5">
        <f>YEAR(Store_Record[[#This Row],[Date]])</f>
        <v>2025</v>
      </c>
      <c r="O4927"/>
    </row>
    <row r="4928" spans="1:15" x14ac:dyDescent="0.35">
      <c r="A4928" t="s">
        <v>5911</v>
      </c>
      <c r="B4928" s="2">
        <v>46016</v>
      </c>
      <c r="C4928" t="s">
        <v>10</v>
      </c>
      <c r="D4928" t="s">
        <v>25</v>
      </c>
      <c r="E4928" t="s">
        <v>26</v>
      </c>
      <c r="F4928" t="s">
        <v>13</v>
      </c>
      <c r="G4928">
        <v>1</v>
      </c>
      <c r="H4928">
        <v>3.5</v>
      </c>
      <c r="I4928" t="s">
        <v>39</v>
      </c>
      <c r="J4928" t="s">
        <v>1346</v>
      </c>
      <c r="K4928" s="12">
        <f>Store_Record[[#This Row],[Qty]]*Store_Record[[#This Row],[UnitPriceGBP]]</f>
        <v>3.5</v>
      </c>
      <c r="L4928" s="5" t="str">
        <f>TEXT(Store_Record[[#This Row],[Date]],"dddd")</f>
        <v>Thursday</v>
      </c>
      <c r="M4928" s="5" t="str">
        <f>TEXT(Store_Record[[#This Row],[Date]],"mmmm")</f>
        <v>December</v>
      </c>
      <c r="N4928" s="5">
        <f>YEAR(Store_Record[[#This Row],[Date]])</f>
        <v>2025</v>
      </c>
      <c r="O4928"/>
    </row>
    <row r="4929" spans="1:15" x14ac:dyDescent="0.35">
      <c r="A4929" t="s">
        <v>5912</v>
      </c>
      <c r="B4929" s="2">
        <v>46016</v>
      </c>
      <c r="C4929" t="s">
        <v>10</v>
      </c>
      <c r="D4929" t="s">
        <v>11</v>
      </c>
      <c r="E4929" t="s">
        <v>34</v>
      </c>
      <c r="F4929" t="s">
        <v>31</v>
      </c>
      <c r="G4929">
        <v>1</v>
      </c>
      <c r="H4929">
        <v>2.2000000000000002</v>
      </c>
      <c r="I4929" t="s">
        <v>39</v>
      </c>
      <c r="J4929" t="s">
        <v>2596</v>
      </c>
      <c r="K4929" s="12">
        <f>Store_Record[[#This Row],[Qty]]*Store_Record[[#This Row],[UnitPriceGBP]]</f>
        <v>2.2000000000000002</v>
      </c>
      <c r="L4929" s="5" t="str">
        <f>TEXT(Store_Record[[#This Row],[Date]],"dddd")</f>
        <v>Thursday</v>
      </c>
      <c r="M4929" s="5" t="str">
        <f>TEXT(Store_Record[[#This Row],[Date]],"mmmm")</f>
        <v>December</v>
      </c>
      <c r="N4929" s="5">
        <f>YEAR(Store_Record[[#This Row],[Date]])</f>
        <v>2025</v>
      </c>
      <c r="O4929"/>
    </row>
    <row r="4930" spans="1:15" x14ac:dyDescent="0.35">
      <c r="A4930" t="s">
        <v>5925</v>
      </c>
      <c r="B4930" s="2">
        <v>46017</v>
      </c>
      <c r="C4930" t="s">
        <v>36</v>
      </c>
      <c r="D4930" t="s">
        <v>25</v>
      </c>
      <c r="E4930" t="s">
        <v>42</v>
      </c>
      <c r="F4930" t="s">
        <v>13</v>
      </c>
      <c r="G4930">
        <v>5</v>
      </c>
      <c r="H4930">
        <v>3.8</v>
      </c>
      <c r="I4930" t="s">
        <v>14</v>
      </c>
      <c r="J4930" t="s">
        <v>376</v>
      </c>
      <c r="K4930" s="12">
        <f>Store_Record[[#This Row],[Qty]]*Store_Record[[#This Row],[UnitPriceGBP]]</f>
        <v>19</v>
      </c>
      <c r="L4930" s="5" t="str">
        <f>TEXT(Store_Record[[#This Row],[Date]],"dddd")</f>
        <v>Friday</v>
      </c>
      <c r="M4930" s="5" t="str">
        <f>TEXT(Store_Record[[#This Row],[Date]],"mmmm")</f>
        <v>December</v>
      </c>
      <c r="N4930" s="5">
        <f>YEAR(Store_Record[[#This Row],[Date]])</f>
        <v>2025</v>
      </c>
      <c r="O4930"/>
    </row>
    <row r="4931" spans="1:15" x14ac:dyDescent="0.35">
      <c r="A4931" t="s">
        <v>5929</v>
      </c>
      <c r="B4931" s="2">
        <v>46017</v>
      </c>
      <c r="C4931" t="s">
        <v>24</v>
      </c>
      <c r="D4931" t="s">
        <v>29</v>
      </c>
      <c r="E4931" t="s">
        <v>42</v>
      </c>
      <c r="F4931" t="s">
        <v>13</v>
      </c>
      <c r="G4931">
        <v>4</v>
      </c>
      <c r="H4931">
        <v>3.8</v>
      </c>
      <c r="I4931" t="s">
        <v>21</v>
      </c>
      <c r="J4931" t="s">
        <v>3143</v>
      </c>
      <c r="K4931" s="12">
        <f>Store_Record[[#This Row],[Qty]]*Store_Record[[#This Row],[UnitPriceGBP]]</f>
        <v>15.2</v>
      </c>
      <c r="L4931" s="5" t="str">
        <f>TEXT(Store_Record[[#This Row],[Date]],"dddd")</f>
        <v>Friday</v>
      </c>
      <c r="M4931" s="5" t="str">
        <f>TEXT(Store_Record[[#This Row],[Date]],"mmmm")</f>
        <v>December</v>
      </c>
      <c r="N4931" s="5">
        <f>YEAR(Store_Record[[#This Row],[Date]])</f>
        <v>2025</v>
      </c>
      <c r="O4931"/>
    </row>
    <row r="4932" spans="1:15" x14ac:dyDescent="0.35">
      <c r="A4932" t="s">
        <v>5919</v>
      </c>
      <c r="B4932" s="2">
        <v>46017</v>
      </c>
      <c r="C4932" t="s">
        <v>24</v>
      </c>
      <c r="D4932" t="s">
        <v>29</v>
      </c>
      <c r="E4932" t="s">
        <v>26</v>
      </c>
      <c r="F4932" t="s">
        <v>13</v>
      </c>
      <c r="G4932">
        <v>4</v>
      </c>
      <c r="H4932">
        <v>3.5</v>
      </c>
      <c r="I4932" t="s">
        <v>21</v>
      </c>
      <c r="J4932" t="s">
        <v>1389</v>
      </c>
      <c r="K4932" s="12">
        <f>Store_Record[[#This Row],[Qty]]*Store_Record[[#This Row],[UnitPriceGBP]]</f>
        <v>14</v>
      </c>
      <c r="L4932" s="5" t="str">
        <f>TEXT(Store_Record[[#This Row],[Date]],"dddd")</f>
        <v>Friday</v>
      </c>
      <c r="M4932" s="5" t="str">
        <f>TEXT(Store_Record[[#This Row],[Date]],"mmmm")</f>
        <v>December</v>
      </c>
      <c r="N4932" s="5">
        <f>YEAR(Store_Record[[#This Row],[Date]])</f>
        <v>2025</v>
      </c>
      <c r="O4932"/>
    </row>
    <row r="4933" spans="1:15" x14ac:dyDescent="0.35">
      <c r="A4933" t="s">
        <v>5930</v>
      </c>
      <c r="B4933" s="2">
        <v>46017</v>
      </c>
      <c r="C4933" t="s">
        <v>24</v>
      </c>
      <c r="D4933" t="s">
        <v>25</v>
      </c>
      <c r="E4933" t="s">
        <v>30</v>
      </c>
      <c r="F4933" t="s">
        <v>31</v>
      </c>
      <c r="G4933">
        <v>4</v>
      </c>
      <c r="H4933">
        <v>2.8</v>
      </c>
      <c r="I4933" t="s">
        <v>14</v>
      </c>
      <c r="J4933" t="s">
        <v>2371</v>
      </c>
      <c r="K4933" s="12">
        <f>Store_Record[[#This Row],[Qty]]*Store_Record[[#This Row],[UnitPriceGBP]]</f>
        <v>11.2</v>
      </c>
      <c r="L4933" s="5" t="str">
        <f>TEXT(Store_Record[[#This Row],[Date]],"dddd")</f>
        <v>Friday</v>
      </c>
      <c r="M4933" s="5" t="str">
        <f>TEXT(Store_Record[[#This Row],[Date]],"mmmm")</f>
        <v>December</v>
      </c>
      <c r="N4933" s="5">
        <f>YEAR(Store_Record[[#This Row],[Date]])</f>
        <v>2025</v>
      </c>
      <c r="O4933"/>
    </row>
    <row r="4934" spans="1:15" x14ac:dyDescent="0.35">
      <c r="A4934" t="s">
        <v>5918</v>
      </c>
      <c r="B4934" s="2">
        <v>46017</v>
      </c>
      <c r="C4934" t="s">
        <v>10</v>
      </c>
      <c r="D4934" t="s">
        <v>11</v>
      </c>
      <c r="E4934" t="s">
        <v>12</v>
      </c>
      <c r="F4934" t="s">
        <v>13</v>
      </c>
      <c r="G4934">
        <v>4</v>
      </c>
      <c r="H4934">
        <v>2.5</v>
      </c>
      <c r="I4934" t="s">
        <v>21</v>
      </c>
      <c r="J4934" t="s">
        <v>730</v>
      </c>
      <c r="K4934" s="12">
        <f>Store_Record[[#This Row],[Qty]]*Store_Record[[#This Row],[UnitPriceGBP]]</f>
        <v>10</v>
      </c>
      <c r="L4934" s="5" t="str">
        <f>TEXT(Store_Record[[#This Row],[Date]],"dddd")</f>
        <v>Friday</v>
      </c>
      <c r="M4934" s="5" t="str">
        <f>TEXT(Store_Record[[#This Row],[Date]],"mmmm")</f>
        <v>December</v>
      </c>
      <c r="N4934" s="5">
        <f>YEAR(Store_Record[[#This Row],[Date]])</f>
        <v>2025</v>
      </c>
      <c r="O4934"/>
    </row>
    <row r="4935" spans="1:15" x14ac:dyDescent="0.35">
      <c r="A4935" t="s">
        <v>5926</v>
      </c>
      <c r="B4935" s="2">
        <v>46017</v>
      </c>
      <c r="C4935" t="s">
        <v>24</v>
      </c>
      <c r="D4935" t="s">
        <v>25</v>
      </c>
      <c r="E4935" t="s">
        <v>12</v>
      </c>
      <c r="F4935" t="s">
        <v>13</v>
      </c>
      <c r="G4935">
        <v>4</v>
      </c>
      <c r="H4935">
        <v>2.5</v>
      </c>
      <c r="I4935" t="s">
        <v>39</v>
      </c>
      <c r="J4935" t="s">
        <v>2992</v>
      </c>
      <c r="K4935" s="12">
        <f>Store_Record[[#This Row],[Qty]]*Store_Record[[#This Row],[UnitPriceGBP]]</f>
        <v>10</v>
      </c>
      <c r="L4935" s="5" t="str">
        <f>TEXT(Store_Record[[#This Row],[Date]],"dddd")</f>
        <v>Friday</v>
      </c>
      <c r="M4935" s="5" t="str">
        <f>TEXT(Store_Record[[#This Row],[Date]],"mmmm")</f>
        <v>December</v>
      </c>
      <c r="N4935" s="5">
        <f>YEAR(Store_Record[[#This Row],[Date]])</f>
        <v>2025</v>
      </c>
      <c r="O4935"/>
    </row>
    <row r="4936" spans="1:15" x14ac:dyDescent="0.35">
      <c r="A4936" t="s">
        <v>5920</v>
      </c>
      <c r="B4936" s="2">
        <v>46017</v>
      </c>
      <c r="C4936" t="s">
        <v>10</v>
      </c>
      <c r="D4936" t="s">
        <v>38</v>
      </c>
      <c r="E4936" t="s">
        <v>34</v>
      </c>
      <c r="F4936" t="s">
        <v>31</v>
      </c>
      <c r="G4936">
        <v>4</v>
      </c>
      <c r="H4936">
        <v>2.2000000000000002</v>
      </c>
      <c r="I4936" t="s">
        <v>21</v>
      </c>
      <c r="J4936" t="s">
        <v>1088</v>
      </c>
      <c r="K4936" s="12">
        <f>Store_Record[[#This Row],[Qty]]*Store_Record[[#This Row],[UnitPriceGBP]]</f>
        <v>8.8000000000000007</v>
      </c>
      <c r="L4936" s="5" t="str">
        <f>TEXT(Store_Record[[#This Row],[Date]],"dddd")</f>
        <v>Friday</v>
      </c>
      <c r="M4936" s="5" t="str">
        <f>TEXT(Store_Record[[#This Row],[Date]],"mmmm")</f>
        <v>December</v>
      </c>
      <c r="N4936" s="5">
        <f>YEAR(Store_Record[[#This Row],[Date]])</f>
        <v>2025</v>
      </c>
      <c r="O4936"/>
    </row>
    <row r="4937" spans="1:15" x14ac:dyDescent="0.35">
      <c r="A4937" t="s">
        <v>5922</v>
      </c>
      <c r="B4937" s="2">
        <v>46017</v>
      </c>
      <c r="C4937" t="s">
        <v>24</v>
      </c>
      <c r="D4937" t="s">
        <v>25</v>
      </c>
      <c r="E4937" t="s">
        <v>30</v>
      </c>
      <c r="F4937" t="s">
        <v>31</v>
      </c>
      <c r="G4937">
        <v>3</v>
      </c>
      <c r="H4937">
        <v>2.8</v>
      </c>
      <c r="I4937" t="s">
        <v>21</v>
      </c>
      <c r="J4937" t="s">
        <v>3042</v>
      </c>
      <c r="K4937" s="12">
        <f>Store_Record[[#This Row],[Qty]]*Store_Record[[#This Row],[UnitPriceGBP]]</f>
        <v>8.3999999999999986</v>
      </c>
      <c r="L4937" s="5" t="str">
        <f>TEXT(Store_Record[[#This Row],[Date]],"dddd")</f>
        <v>Friday</v>
      </c>
      <c r="M4937" s="5" t="str">
        <f>TEXT(Store_Record[[#This Row],[Date]],"mmmm")</f>
        <v>December</v>
      </c>
      <c r="N4937" s="5">
        <f>YEAR(Store_Record[[#This Row],[Date]])</f>
        <v>2025</v>
      </c>
      <c r="O4937"/>
    </row>
    <row r="4938" spans="1:15" x14ac:dyDescent="0.35">
      <c r="A4938" t="s">
        <v>5924</v>
      </c>
      <c r="B4938" s="2">
        <v>46017</v>
      </c>
      <c r="C4938" t="s">
        <v>24</v>
      </c>
      <c r="D4938" t="s">
        <v>11</v>
      </c>
      <c r="E4938" t="s">
        <v>26</v>
      </c>
      <c r="F4938" t="s">
        <v>13</v>
      </c>
      <c r="G4938">
        <v>2</v>
      </c>
      <c r="H4938">
        <v>3.5</v>
      </c>
      <c r="I4938" t="s">
        <v>21</v>
      </c>
      <c r="J4938" t="s">
        <v>545</v>
      </c>
      <c r="K4938" s="12">
        <f>Store_Record[[#This Row],[Qty]]*Store_Record[[#This Row],[UnitPriceGBP]]</f>
        <v>7</v>
      </c>
      <c r="L4938" s="5" t="str">
        <f>TEXT(Store_Record[[#This Row],[Date]],"dddd")</f>
        <v>Friday</v>
      </c>
      <c r="M4938" s="5" t="str">
        <f>TEXT(Store_Record[[#This Row],[Date]],"mmmm")</f>
        <v>December</v>
      </c>
      <c r="N4938" s="5">
        <f>YEAR(Store_Record[[#This Row],[Date]])</f>
        <v>2025</v>
      </c>
      <c r="O4938"/>
    </row>
    <row r="4939" spans="1:15" x14ac:dyDescent="0.35">
      <c r="A4939" t="s">
        <v>5935</v>
      </c>
      <c r="B4939" s="2">
        <v>46017</v>
      </c>
      <c r="C4939" t="s">
        <v>20</v>
      </c>
      <c r="D4939" t="s">
        <v>29</v>
      </c>
      <c r="E4939" t="s">
        <v>26</v>
      </c>
      <c r="F4939" t="s">
        <v>13</v>
      </c>
      <c r="G4939">
        <v>2</v>
      </c>
      <c r="H4939">
        <v>3.5</v>
      </c>
      <c r="I4939" t="s">
        <v>21</v>
      </c>
      <c r="J4939" t="s">
        <v>5013</v>
      </c>
      <c r="K4939" s="12">
        <f>Store_Record[[#This Row],[Qty]]*Store_Record[[#This Row],[UnitPriceGBP]]</f>
        <v>7</v>
      </c>
      <c r="L4939" s="5" t="str">
        <f>TEXT(Store_Record[[#This Row],[Date]],"dddd")</f>
        <v>Friday</v>
      </c>
      <c r="M4939" s="5" t="str">
        <f>TEXT(Store_Record[[#This Row],[Date]],"mmmm")</f>
        <v>December</v>
      </c>
      <c r="N4939" s="5">
        <f>YEAR(Store_Record[[#This Row],[Date]])</f>
        <v>2025</v>
      </c>
      <c r="O4939"/>
    </row>
    <row r="4940" spans="1:15" x14ac:dyDescent="0.35">
      <c r="A4940" t="s">
        <v>5932</v>
      </c>
      <c r="B4940" s="2">
        <v>46017</v>
      </c>
      <c r="C4940" t="s">
        <v>36</v>
      </c>
      <c r="D4940" t="s">
        <v>25</v>
      </c>
      <c r="E4940" t="s">
        <v>34</v>
      </c>
      <c r="F4940" t="s">
        <v>31</v>
      </c>
      <c r="G4940">
        <v>3</v>
      </c>
      <c r="H4940">
        <v>2.2000000000000002</v>
      </c>
      <c r="I4940" t="s">
        <v>39</v>
      </c>
      <c r="J4940" t="s">
        <v>1598</v>
      </c>
      <c r="K4940" s="12">
        <f>Store_Record[[#This Row],[Qty]]*Store_Record[[#This Row],[UnitPriceGBP]]</f>
        <v>6.6000000000000005</v>
      </c>
      <c r="L4940" s="5" t="str">
        <f>TEXT(Store_Record[[#This Row],[Date]],"dddd")</f>
        <v>Friday</v>
      </c>
      <c r="M4940" s="5" t="str">
        <f>TEXT(Store_Record[[#This Row],[Date]],"mmmm")</f>
        <v>December</v>
      </c>
      <c r="N4940" s="5">
        <f>YEAR(Store_Record[[#This Row],[Date]])</f>
        <v>2025</v>
      </c>
      <c r="O4940"/>
    </row>
    <row r="4941" spans="1:15" x14ac:dyDescent="0.35">
      <c r="A4941" t="s">
        <v>5928</v>
      </c>
      <c r="B4941" s="2">
        <v>46017</v>
      </c>
      <c r="C4941" t="s">
        <v>24</v>
      </c>
      <c r="D4941" t="s">
        <v>47</v>
      </c>
      <c r="E4941" t="s">
        <v>30</v>
      </c>
      <c r="F4941" t="s">
        <v>31</v>
      </c>
      <c r="G4941">
        <v>2</v>
      </c>
      <c r="H4941">
        <v>2.8</v>
      </c>
      <c r="I4941" t="s">
        <v>21</v>
      </c>
      <c r="J4941" t="s">
        <v>159</v>
      </c>
      <c r="K4941" s="12">
        <f>Store_Record[[#This Row],[Qty]]*Store_Record[[#This Row],[UnitPriceGBP]]</f>
        <v>5.6</v>
      </c>
      <c r="L4941" s="5" t="str">
        <f>TEXT(Store_Record[[#This Row],[Date]],"dddd")</f>
        <v>Friday</v>
      </c>
      <c r="M4941" s="5" t="str">
        <f>TEXT(Store_Record[[#This Row],[Date]],"mmmm")</f>
        <v>December</v>
      </c>
      <c r="N4941" s="5">
        <f>YEAR(Store_Record[[#This Row],[Date]])</f>
        <v>2025</v>
      </c>
      <c r="O4941"/>
    </row>
    <row r="4942" spans="1:15" x14ac:dyDescent="0.35">
      <c r="A4942" t="s">
        <v>5933</v>
      </c>
      <c r="B4942" s="2">
        <v>46017</v>
      </c>
      <c r="C4942" t="s">
        <v>36</v>
      </c>
      <c r="D4942" t="s">
        <v>11</v>
      </c>
      <c r="E4942" t="s">
        <v>30</v>
      </c>
      <c r="F4942" t="s">
        <v>31</v>
      </c>
      <c r="G4942">
        <v>2</v>
      </c>
      <c r="H4942">
        <v>2.8</v>
      </c>
      <c r="I4942" t="s">
        <v>14</v>
      </c>
      <c r="J4942" t="s">
        <v>908</v>
      </c>
      <c r="K4942" s="12">
        <f>Store_Record[[#This Row],[Qty]]*Store_Record[[#This Row],[UnitPriceGBP]]</f>
        <v>5.6</v>
      </c>
      <c r="L4942" s="5" t="str">
        <f>TEXT(Store_Record[[#This Row],[Date]],"dddd")</f>
        <v>Friday</v>
      </c>
      <c r="M4942" s="5" t="str">
        <f>TEXT(Store_Record[[#This Row],[Date]],"mmmm")</f>
        <v>December</v>
      </c>
      <c r="N4942" s="5">
        <f>YEAR(Store_Record[[#This Row],[Date]])</f>
        <v>2025</v>
      </c>
      <c r="O4942"/>
    </row>
    <row r="4943" spans="1:15" x14ac:dyDescent="0.35">
      <c r="A4943" t="s">
        <v>5934</v>
      </c>
      <c r="B4943" s="2">
        <v>46017</v>
      </c>
      <c r="C4943" t="s">
        <v>24</v>
      </c>
      <c r="D4943" t="s">
        <v>29</v>
      </c>
      <c r="E4943" t="s">
        <v>30</v>
      </c>
      <c r="F4943" t="s">
        <v>31</v>
      </c>
      <c r="G4943">
        <v>2</v>
      </c>
      <c r="H4943">
        <v>2.8</v>
      </c>
      <c r="I4943" t="s">
        <v>14</v>
      </c>
      <c r="J4943" t="s">
        <v>1806</v>
      </c>
      <c r="K4943" s="12">
        <f>Store_Record[[#This Row],[Qty]]*Store_Record[[#This Row],[UnitPriceGBP]]</f>
        <v>5.6</v>
      </c>
      <c r="L4943" s="5" t="str">
        <f>TEXT(Store_Record[[#This Row],[Date]],"dddd")</f>
        <v>Friday</v>
      </c>
      <c r="M4943" s="5" t="str">
        <f>TEXT(Store_Record[[#This Row],[Date]],"mmmm")</f>
        <v>December</v>
      </c>
      <c r="N4943" s="5">
        <f>YEAR(Store_Record[[#This Row],[Date]])</f>
        <v>2025</v>
      </c>
      <c r="O4943"/>
    </row>
    <row r="4944" spans="1:15" x14ac:dyDescent="0.35">
      <c r="A4944" t="s">
        <v>5927</v>
      </c>
      <c r="B4944" s="2">
        <v>46017</v>
      </c>
      <c r="C4944" t="s">
        <v>20</v>
      </c>
      <c r="D4944" t="s">
        <v>38</v>
      </c>
      <c r="E4944" t="s">
        <v>12</v>
      </c>
      <c r="F4944" t="s">
        <v>13</v>
      </c>
      <c r="G4944">
        <v>2</v>
      </c>
      <c r="H4944">
        <v>2.5</v>
      </c>
      <c r="I4944" t="s">
        <v>39</v>
      </c>
      <c r="J4944" t="s">
        <v>1292</v>
      </c>
      <c r="K4944" s="12">
        <f>Store_Record[[#This Row],[Qty]]*Store_Record[[#This Row],[UnitPriceGBP]]</f>
        <v>5</v>
      </c>
      <c r="L4944" s="5" t="str">
        <f>TEXT(Store_Record[[#This Row],[Date]],"dddd")</f>
        <v>Friday</v>
      </c>
      <c r="M4944" s="5" t="str">
        <f>TEXT(Store_Record[[#This Row],[Date]],"mmmm")</f>
        <v>December</v>
      </c>
      <c r="N4944" s="5">
        <f>YEAR(Store_Record[[#This Row],[Date]])</f>
        <v>2025</v>
      </c>
      <c r="O4944"/>
    </row>
    <row r="4945" spans="1:15" x14ac:dyDescent="0.35">
      <c r="A4945" t="s">
        <v>5931</v>
      </c>
      <c r="B4945" s="2">
        <v>46017</v>
      </c>
      <c r="C4945" t="s">
        <v>36</v>
      </c>
      <c r="D4945" t="s">
        <v>38</v>
      </c>
      <c r="E4945" t="s">
        <v>42</v>
      </c>
      <c r="F4945" t="s">
        <v>13</v>
      </c>
      <c r="G4945">
        <v>1</v>
      </c>
      <c r="H4945">
        <v>3.8</v>
      </c>
      <c r="I4945" t="s">
        <v>39</v>
      </c>
      <c r="J4945" t="s">
        <v>1011</v>
      </c>
      <c r="K4945" s="12">
        <f>Store_Record[[#This Row],[Qty]]*Store_Record[[#This Row],[UnitPriceGBP]]</f>
        <v>3.8</v>
      </c>
      <c r="L4945" s="5" t="str">
        <f>TEXT(Store_Record[[#This Row],[Date]],"dddd")</f>
        <v>Friday</v>
      </c>
      <c r="M4945" s="5" t="str">
        <f>TEXT(Store_Record[[#This Row],[Date]],"mmmm")</f>
        <v>December</v>
      </c>
      <c r="N4945" s="5">
        <f>YEAR(Store_Record[[#This Row],[Date]])</f>
        <v>2025</v>
      </c>
      <c r="O4945"/>
    </row>
    <row r="4946" spans="1:15" x14ac:dyDescent="0.35">
      <c r="A4946" t="s">
        <v>5923</v>
      </c>
      <c r="B4946" s="2">
        <v>46017</v>
      </c>
      <c r="C4946" t="s">
        <v>20</v>
      </c>
      <c r="D4946" t="s">
        <v>11</v>
      </c>
      <c r="E4946" t="s">
        <v>12</v>
      </c>
      <c r="F4946" t="s">
        <v>13</v>
      </c>
      <c r="G4946">
        <v>1</v>
      </c>
      <c r="H4946">
        <v>2.5</v>
      </c>
      <c r="I4946" t="s">
        <v>14</v>
      </c>
      <c r="J4946" t="s">
        <v>1712</v>
      </c>
      <c r="K4946" s="12">
        <f>Store_Record[[#This Row],[Qty]]*Store_Record[[#This Row],[UnitPriceGBP]]</f>
        <v>2.5</v>
      </c>
      <c r="L4946" s="5" t="str">
        <f>TEXT(Store_Record[[#This Row],[Date]],"dddd")</f>
        <v>Friday</v>
      </c>
      <c r="M4946" s="5" t="str">
        <f>TEXT(Store_Record[[#This Row],[Date]],"mmmm")</f>
        <v>December</v>
      </c>
      <c r="N4946" s="5">
        <f>YEAR(Store_Record[[#This Row],[Date]])</f>
        <v>2025</v>
      </c>
      <c r="O4946"/>
    </row>
    <row r="4947" spans="1:15" x14ac:dyDescent="0.35">
      <c r="A4947" t="s">
        <v>5921</v>
      </c>
      <c r="B4947" s="2">
        <v>46017</v>
      </c>
      <c r="C4947" t="s">
        <v>24</v>
      </c>
      <c r="D4947" t="s">
        <v>25</v>
      </c>
      <c r="E4947" t="s">
        <v>34</v>
      </c>
      <c r="F4947" t="s">
        <v>31</v>
      </c>
      <c r="G4947">
        <v>1</v>
      </c>
      <c r="H4947">
        <v>2.2000000000000002</v>
      </c>
      <c r="I4947" t="s">
        <v>21</v>
      </c>
      <c r="J4947" t="s">
        <v>1179</v>
      </c>
      <c r="K4947" s="12">
        <f>Store_Record[[#This Row],[Qty]]*Store_Record[[#This Row],[UnitPriceGBP]]</f>
        <v>2.2000000000000002</v>
      </c>
      <c r="L4947" s="5" t="str">
        <f>TEXT(Store_Record[[#This Row],[Date]],"dddd")</f>
        <v>Friday</v>
      </c>
      <c r="M4947" s="5" t="str">
        <f>TEXT(Store_Record[[#This Row],[Date]],"mmmm")</f>
        <v>December</v>
      </c>
      <c r="N4947" s="5">
        <f>YEAR(Store_Record[[#This Row],[Date]])</f>
        <v>2025</v>
      </c>
      <c r="O4947"/>
    </row>
    <row r="4948" spans="1:15" x14ac:dyDescent="0.35">
      <c r="A4948" t="s">
        <v>5945</v>
      </c>
      <c r="B4948" s="2">
        <v>46018</v>
      </c>
      <c r="C4948" t="s">
        <v>24</v>
      </c>
      <c r="D4948" t="s">
        <v>47</v>
      </c>
      <c r="E4948" t="s">
        <v>42</v>
      </c>
      <c r="F4948" t="s">
        <v>13</v>
      </c>
      <c r="G4948">
        <v>5</v>
      </c>
      <c r="H4948">
        <v>3.8</v>
      </c>
      <c r="I4948" t="s">
        <v>14</v>
      </c>
      <c r="J4948" t="s">
        <v>1364</v>
      </c>
      <c r="K4948" s="12">
        <f>Store_Record[[#This Row],[Qty]]*Store_Record[[#This Row],[UnitPriceGBP]]</f>
        <v>19</v>
      </c>
      <c r="L4948" s="5" t="str">
        <f>TEXT(Store_Record[[#This Row],[Date]],"dddd")</f>
        <v>Saturday</v>
      </c>
      <c r="M4948" s="5" t="str">
        <f>TEXT(Store_Record[[#This Row],[Date]],"mmmm")</f>
        <v>December</v>
      </c>
      <c r="N4948" s="5">
        <f>YEAR(Store_Record[[#This Row],[Date]])</f>
        <v>2025</v>
      </c>
      <c r="O4948"/>
    </row>
    <row r="4949" spans="1:15" x14ac:dyDescent="0.35">
      <c r="A4949" t="s">
        <v>5939</v>
      </c>
      <c r="B4949" s="2">
        <v>46018</v>
      </c>
      <c r="C4949" t="s">
        <v>10</v>
      </c>
      <c r="D4949" t="s">
        <v>38</v>
      </c>
      <c r="E4949" t="s">
        <v>26</v>
      </c>
      <c r="F4949" t="s">
        <v>13</v>
      </c>
      <c r="G4949">
        <v>5</v>
      </c>
      <c r="H4949">
        <v>3.5</v>
      </c>
      <c r="I4949" t="s">
        <v>14</v>
      </c>
      <c r="J4949" t="s">
        <v>2052</v>
      </c>
      <c r="K4949" s="12">
        <f>Store_Record[[#This Row],[Qty]]*Store_Record[[#This Row],[UnitPriceGBP]]</f>
        <v>17.5</v>
      </c>
      <c r="L4949" s="5" t="str">
        <f>TEXT(Store_Record[[#This Row],[Date]],"dddd")</f>
        <v>Saturday</v>
      </c>
      <c r="M4949" s="5" t="str">
        <f>TEXT(Store_Record[[#This Row],[Date]],"mmmm")</f>
        <v>December</v>
      </c>
      <c r="N4949" s="5">
        <f>YEAR(Store_Record[[#This Row],[Date]])</f>
        <v>2025</v>
      </c>
      <c r="O4949"/>
    </row>
    <row r="4950" spans="1:15" x14ac:dyDescent="0.35">
      <c r="A4950" t="s">
        <v>5941</v>
      </c>
      <c r="B4950" s="2">
        <v>46018</v>
      </c>
      <c r="C4950" t="s">
        <v>36</v>
      </c>
      <c r="D4950" t="s">
        <v>11</v>
      </c>
      <c r="E4950" t="s">
        <v>26</v>
      </c>
      <c r="F4950" t="s">
        <v>13</v>
      </c>
      <c r="G4950">
        <v>5</v>
      </c>
      <c r="H4950">
        <v>3.5</v>
      </c>
      <c r="I4950" t="s">
        <v>14</v>
      </c>
      <c r="J4950" t="s">
        <v>208</v>
      </c>
      <c r="K4950" s="12">
        <f>Store_Record[[#This Row],[Qty]]*Store_Record[[#This Row],[UnitPriceGBP]]</f>
        <v>17.5</v>
      </c>
      <c r="L4950" s="5" t="str">
        <f>TEXT(Store_Record[[#This Row],[Date]],"dddd")</f>
        <v>Saturday</v>
      </c>
      <c r="M4950" s="5" t="str">
        <f>TEXT(Store_Record[[#This Row],[Date]],"mmmm")</f>
        <v>December</v>
      </c>
      <c r="N4950" s="5">
        <f>YEAR(Store_Record[[#This Row],[Date]])</f>
        <v>2025</v>
      </c>
      <c r="O4950"/>
    </row>
    <row r="4951" spans="1:15" x14ac:dyDescent="0.35">
      <c r="A4951" t="s">
        <v>5940</v>
      </c>
      <c r="B4951" s="2">
        <v>46018</v>
      </c>
      <c r="C4951" t="s">
        <v>36</v>
      </c>
      <c r="D4951" t="s">
        <v>29</v>
      </c>
      <c r="E4951" t="s">
        <v>26</v>
      </c>
      <c r="F4951" t="s">
        <v>13</v>
      </c>
      <c r="G4951">
        <v>4</v>
      </c>
      <c r="H4951">
        <v>3.5</v>
      </c>
      <c r="I4951" t="s">
        <v>21</v>
      </c>
      <c r="J4951" t="s">
        <v>2546</v>
      </c>
      <c r="K4951" s="12">
        <f>Store_Record[[#This Row],[Qty]]*Store_Record[[#This Row],[UnitPriceGBP]]</f>
        <v>14</v>
      </c>
      <c r="L4951" s="5" t="str">
        <f>TEXT(Store_Record[[#This Row],[Date]],"dddd")</f>
        <v>Saturday</v>
      </c>
      <c r="M4951" s="5" t="str">
        <f>TEXT(Store_Record[[#This Row],[Date]],"mmmm")</f>
        <v>December</v>
      </c>
      <c r="N4951" s="5">
        <f>YEAR(Store_Record[[#This Row],[Date]])</f>
        <v>2025</v>
      </c>
      <c r="O4951"/>
    </row>
    <row r="4952" spans="1:15" x14ac:dyDescent="0.35">
      <c r="A4952" t="s">
        <v>5938</v>
      </c>
      <c r="B4952" s="2">
        <v>46018</v>
      </c>
      <c r="C4952" t="s">
        <v>10</v>
      </c>
      <c r="D4952" t="s">
        <v>25</v>
      </c>
      <c r="E4952" t="s">
        <v>34</v>
      </c>
      <c r="F4952" t="s">
        <v>31</v>
      </c>
      <c r="G4952">
        <v>5</v>
      </c>
      <c r="H4952">
        <v>2.2000000000000002</v>
      </c>
      <c r="I4952" t="s">
        <v>14</v>
      </c>
      <c r="J4952" t="s">
        <v>127</v>
      </c>
      <c r="K4952" s="12">
        <f>Store_Record[[#This Row],[Qty]]*Store_Record[[#This Row],[UnitPriceGBP]]</f>
        <v>11</v>
      </c>
      <c r="L4952" s="5" t="str">
        <f>TEXT(Store_Record[[#This Row],[Date]],"dddd")</f>
        <v>Saturday</v>
      </c>
      <c r="M4952" s="5" t="str">
        <f>TEXT(Store_Record[[#This Row],[Date]],"mmmm")</f>
        <v>December</v>
      </c>
      <c r="N4952" s="5">
        <f>YEAR(Store_Record[[#This Row],[Date]])</f>
        <v>2025</v>
      </c>
      <c r="O4952"/>
    </row>
    <row r="4953" spans="1:15" x14ac:dyDescent="0.35">
      <c r="A4953" t="s">
        <v>5936</v>
      </c>
      <c r="B4953" s="2">
        <v>46018</v>
      </c>
      <c r="C4953" t="s">
        <v>10</v>
      </c>
      <c r="D4953" t="s">
        <v>38</v>
      </c>
      <c r="E4953" t="s">
        <v>30</v>
      </c>
      <c r="F4953" t="s">
        <v>31</v>
      </c>
      <c r="G4953">
        <v>2</v>
      </c>
      <c r="H4953">
        <v>2.8</v>
      </c>
      <c r="I4953" t="s">
        <v>39</v>
      </c>
      <c r="J4953" t="s">
        <v>541</v>
      </c>
      <c r="K4953" s="12">
        <f>Store_Record[[#This Row],[Qty]]*Store_Record[[#This Row],[UnitPriceGBP]]</f>
        <v>5.6</v>
      </c>
      <c r="L4953" s="5" t="str">
        <f>TEXT(Store_Record[[#This Row],[Date]],"dddd")</f>
        <v>Saturday</v>
      </c>
      <c r="M4953" s="5" t="str">
        <f>TEXT(Store_Record[[#This Row],[Date]],"mmmm")</f>
        <v>December</v>
      </c>
      <c r="N4953" s="5">
        <f>YEAR(Store_Record[[#This Row],[Date]])</f>
        <v>2025</v>
      </c>
      <c r="O4953"/>
    </row>
    <row r="4954" spans="1:15" x14ac:dyDescent="0.35">
      <c r="A4954" t="s">
        <v>5944</v>
      </c>
      <c r="B4954" s="2">
        <v>46018</v>
      </c>
      <c r="C4954" t="s">
        <v>20</v>
      </c>
      <c r="D4954" t="s">
        <v>25</v>
      </c>
      <c r="E4954" t="s">
        <v>30</v>
      </c>
      <c r="F4954" t="s">
        <v>31</v>
      </c>
      <c r="G4954">
        <v>2</v>
      </c>
      <c r="H4954">
        <v>2.8</v>
      </c>
      <c r="I4954" t="s">
        <v>14</v>
      </c>
      <c r="J4954" t="s">
        <v>2992</v>
      </c>
      <c r="K4954" s="12">
        <f>Store_Record[[#This Row],[Qty]]*Store_Record[[#This Row],[UnitPriceGBP]]</f>
        <v>5.6</v>
      </c>
      <c r="L4954" s="5" t="str">
        <f>TEXT(Store_Record[[#This Row],[Date]],"dddd")</f>
        <v>Saturday</v>
      </c>
      <c r="M4954" s="5" t="str">
        <f>TEXT(Store_Record[[#This Row],[Date]],"mmmm")</f>
        <v>December</v>
      </c>
      <c r="N4954" s="5">
        <f>YEAR(Store_Record[[#This Row],[Date]])</f>
        <v>2025</v>
      </c>
      <c r="O4954"/>
    </row>
    <row r="4955" spans="1:15" x14ac:dyDescent="0.35">
      <c r="A4955" t="s">
        <v>5943</v>
      </c>
      <c r="B4955" s="2">
        <v>46018</v>
      </c>
      <c r="C4955" t="s">
        <v>10</v>
      </c>
      <c r="D4955" t="s">
        <v>29</v>
      </c>
      <c r="E4955" t="s">
        <v>34</v>
      </c>
      <c r="F4955" t="s">
        <v>31</v>
      </c>
      <c r="G4955">
        <v>2</v>
      </c>
      <c r="H4955">
        <v>2.2000000000000002</v>
      </c>
      <c r="I4955" t="s">
        <v>21</v>
      </c>
      <c r="J4955" t="s">
        <v>2216</v>
      </c>
      <c r="K4955" s="12">
        <f>Store_Record[[#This Row],[Qty]]*Store_Record[[#This Row],[UnitPriceGBP]]</f>
        <v>4.4000000000000004</v>
      </c>
      <c r="L4955" s="5" t="str">
        <f>TEXT(Store_Record[[#This Row],[Date]],"dddd")</f>
        <v>Saturday</v>
      </c>
      <c r="M4955" s="5" t="str">
        <f>TEXT(Store_Record[[#This Row],[Date]],"mmmm")</f>
        <v>December</v>
      </c>
      <c r="N4955" s="5">
        <f>YEAR(Store_Record[[#This Row],[Date]])</f>
        <v>2025</v>
      </c>
      <c r="O4955"/>
    </row>
    <row r="4956" spans="1:15" x14ac:dyDescent="0.35">
      <c r="A4956" t="s">
        <v>5946</v>
      </c>
      <c r="B4956" s="2">
        <v>46018</v>
      </c>
      <c r="C4956" t="s">
        <v>36</v>
      </c>
      <c r="D4956" t="s">
        <v>11</v>
      </c>
      <c r="E4956" t="s">
        <v>34</v>
      </c>
      <c r="F4956" t="s">
        <v>31</v>
      </c>
      <c r="G4956">
        <v>2</v>
      </c>
      <c r="H4956">
        <v>2.2000000000000002</v>
      </c>
      <c r="I4956" t="s">
        <v>39</v>
      </c>
      <c r="J4956" t="s">
        <v>1160</v>
      </c>
      <c r="K4956" s="12">
        <f>Store_Record[[#This Row],[Qty]]*Store_Record[[#This Row],[UnitPriceGBP]]</f>
        <v>4.4000000000000004</v>
      </c>
      <c r="L4956" s="5" t="str">
        <f>TEXT(Store_Record[[#This Row],[Date]],"dddd")</f>
        <v>Saturday</v>
      </c>
      <c r="M4956" s="5" t="str">
        <f>TEXT(Store_Record[[#This Row],[Date]],"mmmm")</f>
        <v>December</v>
      </c>
      <c r="N4956" s="5">
        <f>YEAR(Store_Record[[#This Row],[Date]])</f>
        <v>2025</v>
      </c>
      <c r="O4956"/>
    </row>
    <row r="4957" spans="1:15" x14ac:dyDescent="0.35">
      <c r="A4957" t="s">
        <v>5942</v>
      </c>
      <c r="B4957" s="2">
        <v>46018</v>
      </c>
      <c r="C4957" t="s">
        <v>24</v>
      </c>
      <c r="D4957" t="s">
        <v>29</v>
      </c>
      <c r="E4957" t="s">
        <v>26</v>
      </c>
      <c r="F4957" t="s">
        <v>13</v>
      </c>
      <c r="G4957">
        <v>1</v>
      </c>
      <c r="H4957">
        <v>3.5</v>
      </c>
      <c r="I4957" t="s">
        <v>21</v>
      </c>
      <c r="J4957" t="s">
        <v>2142</v>
      </c>
      <c r="K4957" s="12">
        <f>Store_Record[[#This Row],[Qty]]*Store_Record[[#This Row],[UnitPriceGBP]]</f>
        <v>3.5</v>
      </c>
      <c r="L4957" s="5" t="str">
        <f>TEXT(Store_Record[[#This Row],[Date]],"dddd")</f>
        <v>Saturday</v>
      </c>
      <c r="M4957" s="5" t="str">
        <f>TEXT(Store_Record[[#This Row],[Date]],"mmmm")</f>
        <v>December</v>
      </c>
      <c r="N4957" s="5">
        <f>YEAR(Store_Record[[#This Row],[Date]])</f>
        <v>2025</v>
      </c>
      <c r="O4957"/>
    </row>
    <row r="4958" spans="1:15" x14ac:dyDescent="0.35">
      <c r="A4958" t="s">
        <v>5937</v>
      </c>
      <c r="B4958" s="2">
        <v>46018</v>
      </c>
      <c r="C4958" t="s">
        <v>36</v>
      </c>
      <c r="D4958" t="s">
        <v>47</v>
      </c>
      <c r="E4958" t="s">
        <v>30</v>
      </c>
      <c r="F4958" t="s">
        <v>31</v>
      </c>
      <c r="G4958">
        <v>1</v>
      </c>
      <c r="H4958">
        <v>2.8</v>
      </c>
      <c r="I4958" t="s">
        <v>39</v>
      </c>
      <c r="J4958" t="s">
        <v>3033</v>
      </c>
      <c r="K4958" s="12">
        <f>Store_Record[[#This Row],[Qty]]*Store_Record[[#This Row],[UnitPriceGBP]]</f>
        <v>2.8</v>
      </c>
      <c r="L4958" s="5" t="str">
        <f>TEXT(Store_Record[[#This Row],[Date]],"dddd")</f>
        <v>Saturday</v>
      </c>
      <c r="M4958" s="5" t="str">
        <f>TEXT(Store_Record[[#This Row],[Date]],"mmmm")</f>
        <v>December</v>
      </c>
      <c r="N4958" s="5">
        <f>YEAR(Store_Record[[#This Row],[Date]])</f>
        <v>2025</v>
      </c>
      <c r="O4958"/>
    </row>
    <row r="4959" spans="1:15" x14ac:dyDescent="0.35">
      <c r="A4959" t="s">
        <v>5954</v>
      </c>
      <c r="B4959" s="2">
        <v>46019</v>
      </c>
      <c r="C4959" t="s">
        <v>36</v>
      </c>
      <c r="D4959" t="s">
        <v>47</v>
      </c>
      <c r="E4959" t="s">
        <v>26</v>
      </c>
      <c r="F4959" t="s">
        <v>13</v>
      </c>
      <c r="G4959">
        <v>5</v>
      </c>
      <c r="H4959">
        <v>3.5</v>
      </c>
      <c r="I4959" t="s">
        <v>14</v>
      </c>
      <c r="J4959" t="s">
        <v>712</v>
      </c>
      <c r="K4959" s="12">
        <f>Store_Record[[#This Row],[Qty]]*Store_Record[[#This Row],[UnitPriceGBP]]</f>
        <v>17.5</v>
      </c>
      <c r="L4959" s="5" t="str">
        <f>TEXT(Store_Record[[#This Row],[Date]],"dddd")</f>
        <v>Sunday</v>
      </c>
      <c r="M4959" s="5" t="str">
        <f>TEXT(Store_Record[[#This Row],[Date]],"mmmm")</f>
        <v>December</v>
      </c>
      <c r="N4959" s="5">
        <f>YEAR(Store_Record[[#This Row],[Date]])</f>
        <v>2025</v>
      </c>
      <c r="O4959"/>
    </row>
    <row r="4960" spans="1:15" x14ac:dyDescent="0.35">
      <c r="A4960" t="s">
        <v>5949</v>
      </c>
      <c r="B4960" s="2">
        <v>46019</v>
      </c>
      <c r="C4960" t="s">
        <v>20</v>
      </c>
      <c r="D4960" t="s">
        <v>47</v>
      </c>
      <c r="E4960" t="s">
        <v>42</v>
      </c>
      <c r="F4960" t="s">
        <v>13</v>
      </c>
      <c r="G4960">
        <v>4</v>
      </c>
      <c r="H4960">
        <v>3.8</v>
      </c>
      <c r="I4960" t="s">
        <v>21</v>
      </c>
      <c r="J4960" t="s">
        <v>423</v>
      </c>
      <c r="K4960" s="12">
        <f>Store_Record[[#This Row],[Qty]]*Store_Record[[#This Row],[UnitPriceGBP]]</f>
        <v>15.2</v>
      </c>
      <c r="L4960" s="5" t="str">
        <f>TEXT(Store_Record[[#This Row],[Date]],"dddd")</f>
        <v>Sunday</v>
      </c>
      <c r="M4960" s="5" t="str">
        <f>TEXT(Store_Record[[#This Row],[Date]],"mmmm")</f>
        <v>December</v>
      </c>
      <c r="N4960" s="5">
        <f>YEAR(Store_Record[[#This Row],[Date]])</f>
        <v>2025</v>
      </c>
      <c r="O4960"/>
    </row>
    <row r="4961" spans="1:15" x14ac:dyDescent="0.35">
      <c r="A4961" t="s">
        <v>5951</v>
      </c>
      <c r="B4961" s="2">
        <v>46019</v>
      </c>
      <c r="C4961" t="s">
        <v>24</v>
      </c>
      <c r="D4961" t="s">
        <v>29</v>
      </c>
      <c r="E4961" t="s">
        <v>26</v>
      </c>
      <c r="F4961" t="s">
        <v>13</v>
      </c>
      <c r="G4961">
        <v>3</v>
      </c>
      <c r="H4961">
        <v>3.5</v>
      </c>
      <c r="I4961" t="s">
        <v>21</v>
      </c>
      <c r="J4961" t="s">
        <v>1294</v>
      </c>
      <c r="K4961" s="12">
        <f>Store_Record[[#This Row],[Qty]]*Store_Record[[#This Row],[UnitPriceGBP]]</f>
        <v>10.5</v>
      </c>
      <c r="L4961" s="5" t="str">
        <f>TEXT(Store_Record[[#This Row],[Date]],"dddd")</f>
        <v>Sunday</v>
      </c>
      <c r="M4961" s="5" t="str">
        <f>TEXT(Store_Record[[#This Row],[Date]],"mmmm")</f>
        <v>December</v>
      </c>
      <c r="N4961" s="5">
        <f>YEAR(Store_Record[[#This Row],[Date]])</f>
        <v>2025</v>
      </c>
      <c r="O4961"/>
    </row>
    <row r="4962" spans="1:15" x14ac:dyDescent="0.35">
      <c r="A4962" t="s">
        <v>5953</v>
      </c>
      <c r="B4962" s="2">
        <v>46019</v>
      </c>
      <c r="C4962" t="s">
        <v>10</v>
      </c>
      <c r="D4962" t="s">
        <v>11</v>
      </c>
      <c r="E4962" t="s">
        <v>30</v>
      </c>
      <c r="F4962" t="s">
        <v>31</v>
      </c>
      <c r="G4962">
        <v>2</v>
      </c>
      <c r="H4962">
        <v>2.8</v>
      </c>
      <c r="I4962" t="s">
        <v>39</v>
      </c>
      <c r="J4962" t="s">
        <v>185</v>
      </c>
      <c r="K4962" s="12">
        <f>Store_Record[[#This Row],[Qty]]*Store_Record[[#This Row],[UnitPriceGBP]]</f>
        <v>5.6</v>
      </c>
      <c r="L4962" s="5" t="str">
        <f>TEXT(Store_Record[[#This Row],[Date]],"dddd")</f>
        <v>Sunday</v>
      </c>
      <c r="M4962" s="5" t="str">
        <f>TEXT(Store_Record[[#This Row],[Date]],"mmmm")</f>
        <v>December</v>
      </c>
      <c r="N4962" s="5">
        <f>YEAR(Store_Record[[#This Row],[Date]])</f>
        <v>2025</v>
      </c>
      <c r="O4962"/>
    </row>
    <row r="4963" spans="1:15" x14ac:dyDescent="0.35">
      <c r="A4963" t="s">
        <v>5955</v>
      </c>
      <c r="B4963" s="2">
        <v>46019</v>
      </c>
      <c r="C4963" t="s">
        <v>24</v>
      </c>
      <c r="D4963" t="s">
        <v>47</v>
      </c>
      <c r="E4963" t="s">
        <v>30</v>
      </c>
      <c r="F4963" t="s">
        <v>31</v>
      </c>
      <c r="G4963">
        <v>2</v>
      </c>
      <c r="H4963">
        <v>2.8</v>
      </c>
      <c r="I4963" t="s">
        <v>14</v>
      </c>
      <c r="J4963" t="s">
        <v>135</v>
      </c>
      <c r="K4963" s="12">
        <f>Store_Record[[#This Row],[Qty]]*Store_Record[[#This Row],[UnitPriceGBP]]</f>
        <v>5.6</v>
      </c>
      <c r="L4963" s="5" t="str">
        <f>TEXT(Store_Record[[#This Row],[Date]],"dddd")</f>
        <v>Sunday</v>
      </c>
      <c r="M4963" s="5" t="str">
        <f>TEXT(Store_Record[[#This Row],[Date]],"mmmm")</f>
        <v>December</v>
      </c>
      <c r="N4963" s="5">
        <f>YEAR(Store_Record[[#This Row],[Date]])</f>
        <v>2025</v>
      </c>
      <c r="O4963"/>
    </row>
    <row r="4964" spans="1:15" x14ac:dyDescent="0.35">
      <c r="A4964" t="s">
        <v>5947</v>
      </c>
      <c r="B4964" s="2">
        <v>46019</v>
      </c>
      <c r="C4964" t="s">
        <v>24</v>
      </c>
      <c r="D4964" t="s">
        <v>38</v>
      </c>
      <c r="E4964" t="s">
        <v>12</v>
      </c>
      <c r="F4964" t="s">
        <v>13</v>
      </c>
      <c r="G4964">
        <v>2</v>
      </c>
      <c r="H4964">
        <v>2.5</v>
      </c>
      <c r="I4964" t="s">
        <v>39</v>
      </c>
      <c r="J4964" t="s">
        <v>5948</v>
      </c>
      <c r="K4964" s="12">
        <f>Store_Record[[#This Row],[Qty]]*Store_Record[[#This Row],[UnitPriceGBP]]</f>
        <v>5</v>
      </c>
      <c r="L4964" s="5" t="str">
        <f>TEXT(Store_Record[[#This Row],[Date]],"dddd")</f>
        <v>Sunday</v>
      </c>
      <c r="M4964" s="5" t="str">
        <f>TEXT(Store_Record[[#This Row],[Date]],"mmmm")</f>
        <v>December</v>
      </c>
      <c r="N4964" s="5">
        <f>YEAR(Store_Record[[#This Row],[Date]])</f>
        <v>2025</v>
      </c>
      <c r="O4964"/>
    </row>
    <row r="4965" spans="1:15" x14ac:dyDescent="0.35">
      <c r="A4965" t="s">
        <v>5952</v>
      </c>
      <c r="B4965" s="2">
        <v>46019</v>
      </c>
      <c r="C4965" t="s">
        <v>24</v>
      </c>
      <c r="D4965" t="s">
        <v>38</v>
      </c>
      <c r="E4965" t="s">
        <v>30</v>
      </c>
      <c r="F4965" t="s">
        <v>31</v>
      </c>
      <c r="G4965">
        <v>1</v>
      </c>
      <c r="H4965">
        <v>2.8</v>
      </c>
      <c r="I4965" t="s">
        <v>21</v>
      </c>
      <c r="J4965" t="s">
        <v>5136</v>
      </c>
      <c r="K4965" s="12">
        <f>Store_Record[[#This Row],[Qty]]*Store_Record[[#This Row],[UnitPriceGBP]]</f>
        <v>2.8</v>
      </c>
      <c r="L4965" s="5" t="str">
        <f>TEXT(Store_Record[[#This Row],[Date]],"dddd")</f>
        <v>Sunday</v>
      </c>
      <c r="M4965" s="5" t="str">
        <f>TEXT(Store_Record[[#This Row],[Date]],"mmmm")</f>
        <v>December</v>
      </c>
      <c r="N4965" s="5">
        <f>YEAR(Store_Record[[#This Row],[Date]])</f>
        <v>2025</v>
      </c>
      <c r="O4965"/>
    </row>
    <row r="4966" spans="1:15" x14ac:dyDescent="0.35">
      <c r="A4966" t="s">
        <v>5950</v>
      </c>
      <c r="B4966" s="2">
        <v>46019</v>
      </c>
      <c r="C4966" t="s">
        <v>24</v>
      </c>
      <c r="D4966" t="s">
        <v>25</v>
      </c>
      <c r="E4966" t="s">
        <v>12</v>
      </c>
      <c r="F4966" t="s">
        <v>13</v>
      </c>
      <c r="G4966">
        <v>1</v>
      </c>
      <c r="H4966">
        <v>2.5</v>
      </c>
      <c r="I4966" t="s">
        <v>14</v>
      </c>
      <c r="J4966" t="s">
        <v>52</v>
      </c>
      <c r="K4966" s="12">
        <f>Store_Record[[#This Row],[Qty]]*Store_Record[[#This Row],[UnitPriceGBP]]</f>
        <v>2.5</v>
      </c>
      <c r="L4966" s="5" t="str">
        <f>TEXT(Store_Record[[#This Row],[Date]],"dddd")</f>
        <v>Sunday</v>
      </c>
      <c r="M4966" s="5" t="str">
        <f>TEXT(Store_Record[[#This Row],[Date]],"mmmm")</f>
        <v>December</v>
      </c>
      <c r="N4966" s="5">
        <f>YEAR(Store_Record[[#This Row],[Date]])</f>
        <v>2025</v>
      </c>
      <c r="O4966"/>
    </row>
    <row r="4967" spans="1:15" x14ac:dyDescent="0.35">
      <c r="A4967" t="s">
        <v>5967</v>
      </c>
      <c r="B4967" s="2">
        <v>46020</v>
      </c>
      <c r="C4967" t="s">
        <v>10</v>
      </c>
      <c r="D4967" t="s">
        <v>11</v>
      </c>
      <c r="E4967" t="s">
        <v>42</v>
      </c>
      <c r="F4967" t="s">
        <v>13</v>
      </c>
      <c r="G4967">
        <v>5</v>
      </c>
      <c r="H4967">
        <v>3.8</v>
      </c>
      <c r="I4967" t="s">
        <v>14</v>
      </c>
      <c r="J4967" t="s">
        <v>2927</v>
      </c>
      <c r="K4967" s="12">
        <f>Store_Record[[#This Row],[Qty]]*Store_Record[[#This Row],[UnitPriceGBP]]</f>
        <v>19</v>
      </c>
      <c r="L4967" s="5" t="str">
        <f>TEXT(Store_Record[[#This Row],[Date]],"dddd")</f>
        <v>Monday</v>
      </c>
      <c r="M4967" s="5" t="str">
        <f>TEXT(Store_Record[[#This Row],[Date]],"mmmm")</f>
        <v>December</v>
      </c>
      <c r="N4967" s="5">
        <f>YEAR(Store_Record[[#This Row],[Date]])</f>
        <v>2025</v>
      </c>
      <c r="O4967"/>
    </row>
    <row r="4968" spans="1:15" x14ac:dyDescent="0.35">
      <c r="A4968" t="s">
        <v>5963</v>
      </c>
      <c r="B4968" s="2">
        <v>46020</v>
      </c>
      <c r="C4968" t="s">
        <v>24</v>
      </c>
      <c r="D4968" t="s">
        <v>25</v>
      </c>
      <c r="E4968" t="s">
        <v>26</v>
      </c>
      <c r="F4968" t="s">
        <v>13</v>
      </c>
      <c r="G4968">
        <v>5</v>
      </c>
      <c r="H4968">
        <v>3.5</v>
      </c>
      <c r="I4968" t="s">
        <v>39</v>
      </c>
      <c r="J4968" t="s">
        <v>3773</v>
      </c>
      <c r="K4968" s="12">
        <f>Store_Record[[#This Row],[Qty]]*Store_Record[[#This Row],[UnitPriceGBP]]</f>
        <v>17.5</v>
      </c>
      <c r="L4968" s="5" t="str">
        <f>TEXT(Store_Record[[#This Row],[Date]],"dddd")</f>
        <v>Monday</v>
      </c>
      <c r="M4968" s="5" t="str">
        <f>TEXT(Store_Record[[#This Row],[Date]],"mmmm")</f>
        <v>December</v>
      </c>
      <c r="N4968" s="5">
        <f>YEAR(Store_Record[[#This Row],[Date]])</f>
        <v>2025</v>
      </c>
      <c r="O4968"/>
    </row>
    <row r="4969" spans="1:15" x14ac:dyDescent="0.35">
      <c r="A4969" t="s">
        <v>5968</v>
      </c>
      <c r="B4969" s="2">
        <v>46020</v>
      </c>
      <c r="C4969" t="s">
        <v>36</v>
      </c>
      <c r="D4969" t="s">
        <v>47</v>
      </c>
      <c r="E4969" t="s">
        <v>26</v>
      </c>
      <c r="F4969" t="s">
        <v>13</v>
      </c>
      <c r="G4969">
        <v>3</v>
      </c>
      <c r="H4969">
        <v>3.5</v>
      </c>
      <c r="I4969" t="s">
        <v>21</v>
      </c>
      <c r="J4969" t="s">
        <v>1479</v>
      </c>
      <c r="K4969" s="12">
        <f>Store_Record[[#This Row],[Qty]]*Store_Record[[#This Row],[UnitPriceGBP]]</f>
        <v>10.5</v>
      </c>
      <c r="L4969" s="5" t="str">
        <f>TEXT(Store_Record[[#This Row],[Date]],"dddd")</f>
        <v>Monday</v>
      </c>
      <c r="M4969" s="5" t="str">
        <f>TEXT(Store_Record[[#This Row],[Date]],"mmmm")</f>
        <v>December</v>
      </c>
      <c r="N4969" s="5">
        <f>YEAR(Store_Record[[#This Row],[Date]])</f>
        <v>2025</v>
      </c>
      <c r="O4969"/>
    </row>
    <row r="4970" spans="1:15" x14ac:dyDescent="0.35">
      <c r="A4970" t="s">
        <v>5961</v>
      </c>
      <c r="B4970" s="2">
        <v>46020</v>
      </c>
      <c r="C4970" t="s">
        <v>20</v>
      </c>
      <c r="D4970" t="s">
        <v>38</v>
      </c>
      <c r="E4970" t="s">
        <v>12</v>
      </c>
      <c r="F4970" t="s">
        <v>13</v>
      </c>
      <c r="G4970">
        <v>4</v>
      </c>
      <c r="H4970">
        <v>2.5</v>
      </c>
      <c r="I4970" t="s">
        <v>21</v>
      </c>
      <c r="J4970" t="s">
        <v>1092</v>
      </c>
      <c r="K4970" s="12">
        <f>Store_Record[[#This Row],[Qty]]*Store_Record[[#This Row],[UnitPriceGBP]]</f>
        <v>10</v>
      </c>
      <c r="L4970" s="5" t="str">
        <f>TEXT(Store_Record[[#This Row],[Date]],"dddd")</f>
        <v>Monday</v>
      </c>
      <c r="M4970" s="5" t="str">
        <f>TEXT(Store_Record[[#This Row],[Date]],"mmmm")</f>
        <v>December</v>
      </c>
      <c r="N4970" s="5">
        <f>YEAR(Store_Record[[#This Row],[Date]])</f>
        <v>2025</v>
      </c>
      <c r="O4970"/>
    </row>
    <row r="4971" spans="1:15" x14ac:dyDescent="0.35">
      <c r="A4971" t="s">
        <v>5965</v>
      </c>
      <c r="B4971" s="2">
        <v>46020</v>
      </c>
      <c r="C4971" t="s">
        <v>10</v>
      </c>
      <c r="D4971" t="s">
        <v>11</v>
      </c>
      <c r="E4971" t="s">
        <v>12</v>
      </c>
      <c r="F4971" t="s">
        <v>13</v>
      </c>
      <c r="G4971">
        <v>4</v>
      </c>
      <c r="H4971">
        <v>2.5</v>
      </c>
      <c r="I4971" t="s">
        <v>39</v>
      </c>
      <c r="J4971" t="s">
        <v>875</v>
      </c>
      <c r="K4971" s="12">
        <f>Store_Record[[#This Row],[Qty]]*Store_Record[[#This Row],[UnitPriceGBP]]</f>
        <v>10</v>
      </c>
      <c r="L4971" s="5" t="str">
        <f>TEXT(Store_Record[[#This Row],[Date]],"dddd")</f>
        <v>Monday</v>
      </c>
      <c r="M4971" s="5" t="str">
        <f>TEXT(Store_Record[[#This Row],[Date]],"mmmm")</f>
        <v>December</v>
      </c>
      <c r="N4971" s="5">
        <f>YEAR(Store_Record[[#This Row],[Date]])</f>
        <v>2025</v>
      </c>
      <c r="O4971"/>
    </row>
    <row r="4972" spans="1:15" x14ac:dyDescent="0.35">
      <c r="A4972" t="s">
        <v>5958</v>
      </c>
      <c r="B4972" s="2">
        <v>46020</v>
      </c>
      <c r="C4972" t="s">
        <v>20</v>
      </c>
      <c r="D4972" t="s">
        <v>47</v>
      </c>
      <c r="E4972" t="s">
        <v>34</v>
      </c>
      <c r="F4972" t="s">
        <v>31</v>
      </c>
      <c r="G4972">
        <v>4</v>
      </c>
      <c r="H4972">
        <v>2.2000000000000002</v>
      </c>
      <c r="I4972" t="s">
        <v>21</v>
      </c>
      <c r="J4972" t="s">
        <v>541</v>
      </c>
      <c r="K4972" s="12">
        <f>Store_Record[[#This Row],[Qty]]*Store_Record[[#This Row],[UnitPriceGBP]]</f>
        <v>8.8000000000000007</v>
      </c>
      <c r="L4972" s="5" t="str">
        <f>TEXT(Store_Record[[#This Row],[Date]],"dddd")</f>
        <v>Monday</v>
      </c>
      <c r="M4972" s="5" t="str">
        <f>TEXT(Store_Record[[#This Row],[Date]],"mmmm")</f>
        <v>December</v>
      </c>
      <c r="N4972" s="5">
        <f>YEAR(Store_Record[[#This Row],[Date]])</f>
        <v>2025</v>
      </c>
      <c r="O4972"/>
    </row>
    <row r="4973" spans="1:15" x14ac:dyDescent="0.35">
      <c r="A4973" t="s">
        <v>5959</v>
      </c>
      <c r="B4973" s="2">
        <v>46020</v>
      </c>
      <c r="C4973" t="s">
        <v>10</v>
      </c>
      <c r="D4973" t="s">
        <v>38</v>
      </c>
      <c r="E4973" t="s">
        <v>12</v>
      </c>
      <c r="F4973" t="s">
        <v>13</v>
      </c>
      <c r="G4973">
        <v>3</v>
      </c>
      <c r="H4973">
        <v>2.5</v>
      </c>
      <c r="I4973" t="s">
        <v>21</v>
      </c>
      <c r="J4973" t="s">
        <v>15</v>
      </c>
      <c r="K4973" s="12">
        <f>Store_Record[[#This Row],[Qty]]*Store_Record[[#This Row],[UnitPriceGBP]]</f>
        <v>7.5</v>
      </c>
      <c r="L4973" s="5" t="str">
        <f>TEXT(Store_Record[[#This Row],[Date]],"dddd")</f>
        <v>Monday</v>
      </c>
      <c r="M4973" s="5" t="str">
        <f>TEXT(Store_Record[[#This Row],[Date]],"mmmm")</f>
        <v>December</v>
      </c>
      <c r="N4973" s="5">
        <f>YEAR(Store_Record[[#This Row],[Date]])</f>
        <v>2025</v>
      </c>
      <c r="O4973"/>
    </row>
    <row r="4974" spans="1:15" x14ac:dyDescent="0.35">
      <c r="A4974" t="s">
        <v>5957</v>
      </c>
      <c r="B4974" s="2">
        <v>46020</v>
      </c>
      <c r="C4974" t="s">
        <v>10</v>
      </c>
      <c r="D4974" t="s">
        <v>38</v>
      </c>
      <c r="E4974" t="s">
        <v>12</v>
      </c>
      <c r="F4974" t="s">
        <v>13</v>
      </c>
      <c r="G4974">
        <v>2</v>
      </c>
      <c r="H4974">
        <v>2.5</v>
      </c>
      <c r="I4974" t="s">
        <v>21</v>
      </c>
      <c r="J4974" t="s">
        <v>1353</v>
      </c>
      <c r="K4974" s="12">
        <f>Store_Record[[#This Row],[Qty]]*Store_Record[[#This Row],[UnitPriceGBP]]</f>
        <v>5</v>
      </c>
      <c r="L4974" s="5" t="str">
        <f>TEXT(Store_Record[[#This Row],[Date]],"dddd")</f>
        <v>Monday</v>
      </c>
      <c r="M4974" s="5" t="str">
        <f>TEXT(Store_Record[[#This Row],[Date]],"mmmm")</f>
        <v>December</v>
      </c>
      <c r="N4974" s="5">
        <f>YEAR(Store_Record[[#This Row],[Date]])</f>
        <v>2025</v>
      </c>
      <c r="O4974"/>
    </row>
    <row r="4975" spans="1:15" x14ac:dyDescent="0.35">
      <c r="A4975" t="s">
        <v>5964</v>
      </c>
      <c r="B4975" s="2">
        <v>46020</v>
      </c>
      <c r="C4975" t="s">
        <v>10</v>
      </c>
      <c r="D4975" t="s">
        <v>25</v>
      </c>
      <c r="E4975" t="s">
        <v>12</v>
      </c>
      <c r="F4975" t="s">
        <v>13</v>
      </c>
      <c r="G4975">
        <v>2</v>
      </c>
      <c r="H4975">
        <v>2.5</v>
      </c>
      <c r="I4975" t="s">
        <v>39</v>
      </c>
      <c r="J4975" t="s">
        <v>2065</v>
      </c>
      <c r="K4975" s="12">
        <f>Store_Record[[#This Row],[Qty]]*Store_Record[[#This Row],[UnitPriceGBP]]</f>
        <v>5</v>
      </c>
      <c r="L4975" s="5" t="str">
        <f>TEXT(Store_Record[[#This Row],[Date]],"dddd")</f>
        <v>Monday</v>
      </c>
      <c r="M4975" s="5" t="str">
        <f>TEXT(Store_Record[[#This Row],[Date]],"mmmm")</f>
        <v>December</v>
      </c>
      <c r="N4975" s="5">
        <f>YEAR(Store_Record[[#This Row],[Date]])</f>
        <v>2025</v>
      </c>
      <c r="O4975"/>
    </row>
    <row r="4976" spans="1:15" x14ac:dyDescent="0.35">
      <c r="A4976" t="s">
        <v>5962</v>
      </c>
      <c r="B4976" s="2">
        <v>46020</v>
      </c>
      <c r="C4976" t="s">
        <v>36</v>
      </c>
      <c r="D4976" t="s">
        <v>38</v>
      </c>
      <c r="E4976" t="s">
        <v>42</v>
      </c>
      <c r="F4976" t="s">
        <v>13</v>
      </c>
      <c r="G4976">
        <v>1</v>
      </c>
      <c r="H4976">
        <v>3.8</v>
      </c>
      <c r="I4976" t="s">
        <v>14</v>
      </c>
      <c r="J4976" t="s">
        <v>202</v>
      </c>
      <c r="K4976" s="12">
        <f>Store_Record[[#This Row],[Qty]]*Store_Record[[#This Row],[UnitPriceGBP]]</f>
        <v>3.8</v>
      </c>
      <c r="L4976" s="5" t="str">
        <f>TEXT(Store_Record[[#This Row],[Date]],"dddd")</f>
        <v>Monday</v>
      </c>
      <c r="M4976" s="5" t="str">
        <f>TEXT(Store_Record[[#This Row],[Date]],"mmmm")</f>
        <v>December</v>
      </c>
      <c r="N4976" s="5">
        <f>YEAR(Store_Record[[#This Row],[Date]])</f>
        <v>2025</v>
      </c>
      <c r="O4976"/>
    </row>
    <row r="4977" spans="1:15" x14ac:dyDescent="0.35">
      <c r="A4977" t="s">
        <v>5966</v>
      </c>
      <c r="B4977" s="2">
        <v>46020</v>
      </c>
      <c r="C4977" t="s">
        <v>24</v>
      </c>
      <c r="D4977" t="s">
        <v>29</v>
      </c>
      <c r="E4977" t="s">
        <v>30</v>
      </c>
      <c r="F4977" t="s">
        <v>31</v>
      </c>
      <c r="G4977">
        <v>1</v>
      </c>
      <c r="H4977">
        <v>2.8</v>
      </c>
      <c r="I4977" t="s">
        <v>21</v>
      </c>
      <c r="J4977" t="s">
        <v>1501</v>
      </c>
      <c r="K4977" s="12">
        <f>Store_Record[[#This Row],[Qty]]*Store_Record[[#This Row],[UnitPriceGBP]]</f>
        <v>2.8</v>
      </c>
      <c r="L4977" s="5" t="str">
        <f>TEXT(Store_Record[[#This Row],[Date]],"dddd")</f>
        <v>Monday</v>
      </c>
      <c r="M4977" s="5" t="str">
        <f>TEXT(Store_Record[[#This Row],[Date]],"mmmm")</f>
        <v>December</v>
      </c>
      <c r="N4977" s="5">
        <f>YEAR(Store_Record[[#This Row],[Date]])</f>
        <v>2025</v>
      </c>
      <c r="O4977"/>
    </row>
    <row r="4978" spans="1:15" x14ac:dyDescent="0.35">
      <c r="A4978" t="s">
        <v>5956</v>
      </c>
      <c r="B4978" s="2">
        <v>46020</v>
      </c>
      <c r="C4978" t="s">
        <v>10</v>
      </c>
      <c r="D4978" t="s">
        <v>38</v>
      </c>
      <c r="E4978" t="s">
        <v>12</v>
      </c>
      <c r="F4978" t="s">
        <v>13</v>
      </c>
      <c r="G4978">
        <v>1</v>
      </c>
      <c r="H4978">
        <v>2.5</v>
      </c>
      <c r="I4978" t="s">
        <v>21</v>
      </c>
      <c r="J4978" t="s">
        <v>1114</v>
      </c>
      <c r="K4978" s="12">
        <f>Store_Record[[#This Row],[Qty]]*Store_Record[[#This Row],[UnitPriceGBP]]</f>
        <v>2.5</v>
      </c>
      <c r="L4978" s="5" t="str">
        <f>TEXT(Store_Record[[#This Row],[Date]],"dddd")</f>
        <v>Monday</v>
      </c>
      <c r="M4978" s="5" t="str">
        <f>TEXT(Store_Record[[#This Row],[Date]],"mmmm")</f>
        <v>December</v>
      </c>
      <c r="N4978" s="5">
        <f>YEAR(Store_Record[[#This Row],[Date]])</f>
        <v>2025</v>
      </c>
      <c r="O4978"/>
    </row>
    <row r="4979" spans="1:15" x14ac:dyDescent="0.35">
      <c r="A4979" t="s">
        <v>5960</v>
      </c>
      <c r="B4979" s="2">
        <v>46020</v>
      </c>
      <c r="C4979" t="s">
        <v>20</v>
      </c>
      <c r="D4979" t="s">
        <v>25</v>
      </c>
      <c r="E4979" t="s">
        <v>34</v>
      </c>
      <c r="F4979" t="s">
        <v>31</v>
      </c>
      <c r="G4979">
        <v>1</v>
      </c>
      <c r="H4979">
        <v>2.2000000000000002</v>
      </c>
      <c r="I4979" t="s">
        <v>14</v>
      </c>
      <c r="J4979" t="s">
        <v>3988</v>
      </c>
      <c r="K4979" s="12">
        <f>Store_Record[[#This Row],[Qty]]*Store_Record[[#This Row],[UnitPriceGBP]]</f>
        <v>2.2000000000000002</v>
      </c>
      <c r="L4979" s="5" t="str">
        <f>TEXT(Store_Record[[#This Row],[Date]],"dddd")</f>
        <v>Monday</v>
      </c>
      <c r="M4979" s="5" t="str">
        <f>TEXT(Store_Record[[#This Row],[Date]],"mmmm")</f>
        <v>December</v>
      </c>
      <c r="N4979" s="5">
        <f>YEAR(Store_Record[[#This Row],[Date]])</f>
        <v>2025</v>
      </c>
      <c r="O4979"/>
    </row>
    <row r="4980" spans="1:15" x14ac:dyDescent="0.35">
      <c r="A4980" t="s">
        <v>5970</v>
      </c>
      <c r="B4980" s="2">
        <v>46021</v>
      </c>
      <c r="C4980" t="s">
        <v>20</v>
      </c>
      <c r="D4980" t="s">
        <v>47</v>
      </c>
      <c r="E4980" t="s">
        <v>42</v>
      </c>
      <c r="F4980" t="s">
        <v>13</v>
      </c>
      <c r="G4980">
        <v>3</v>
      </c>
      <c r="H4980">
        <v>3.8</v>
      </c>
      <c r="I4980" t="s">
        <v>21</v>
      </c>
      <c r="J4980" t="s">
        <v>15</v>
      </c>
      <c r="K4980" s="12">
        <f>Store_Record[[#This Row],[Qty]]*Store_Record[[#This Row],[UnitPriceGBP]]</f>
        <v>11.399999999999999</v>
      </c>
      <c r="L4980" s="5" t="str">
        <f>TEXT(Store_Record[[#This Row],[Date]],"dddd")</f>
        <v>Tuesday</v>
      </c>
      <c r="M4980" s="5" t="str">
        <f>TEXT(Store_Record[[#This Row],[Date]],"mmmm")</f>
        <v>December</v>
      </c>
      <c r="N4980" s="5">
        <f>YEAR(Store_Record[[#This Row],[Date]])</f>
        <v>2025</v>
      </c>
      <c r="O4980"/>
    </row>
    <row r="4981" spans="1:15" x14ac:dyDescent="0.35">
      <c r="A4981" t="s">
        <v>5971</v>
      </c>
      <c r="B4981" s="2">
        <v>46021</v>
      </c>
      <c r="C4981" t="s">
        <v>36</v>
      </c>
      <c r="D4981" t="s">
        <v>47</v>
      </c>
      <c r="E4981" t="s">
        <v>34</v>
      </c>
      <c r="F4981" t="s">
        <v>31</v>
      </c>
      <c r="G4981">
        <v>4</v>
      </c>
      <c r="H4981">
        <v>2.2000000000000002</v>
      </c>
      <c r="I4981" t="s">
        <v>39</v>
      </c>
      <c r="J4981" t="s">
        <v>3831</v>
      </c>
      <c r="K4981" s="12">
        <f>Store_Record[[#This Row],[Qty]]*Store_Record[[#This Row],[UnitPriceGBP]]</f>
        <v>8.8000000000000007</v>
      </c>
      <c r="L4981" s="5" t="str">
        <f>TEXT(Store_Record[[#This Row],[Date]],"dddd")</f>
        <v>Tuesday</v>
      </c>
      <c r="M4981" s="5" t="str">
        <f>TEXT(Store_Record[[#This Row],[Date]],"mmmm")</f>
        <v>December</v>
      </c>
      <c r="N4981" s="5">
        <f>YEAR(Store_Record[[#This Row],[Date]])</f>
        <v>2025</v>
      </c>
      <c r="O4981"/>
    </row>
    <row r="4982" spans="1:15" x14ac:dyDescent="0.35">
      <c r="A4982" t="s">
        <v>5974</v>
      </c>
      <c r="B4982" s="2">
        <v>46021</v>
      </c>
      <c r="C4982" t="s">
        <v>24</v>
      </c>
      <c r="D4982" t="s">
        <v>38</v>
      </c>
      <c r="E4982" t="s">
        <v>12</v>
      </c>
      <c r="F4982" t="s">
        <v>13</v>
      </c>
      <c r="G4982">
        <v>3</v>
      </c>
      <c r="H4982">
        <v>2.5</v>
      </c>
      <c r="I4982" t="s">
        <v>14</v>
      </c>
      <c r="J4982" t="s">
        <v>2833</v>
      </c>
      <c r="K4982" s="12">
        <f>Store_Record[[#This Row],[Qty]]*Store_Record[[#This Row],[UnitPriceGBP]]</f>
        <v>7.5</v>
      </c>
      <c r="L4982" s="5" t="str">
        <f>TEXT(Store_Record[[#This Row],[Date]],"dddd")</f>
        <v>Tuesday</v>
      </c>
      <c r="M4982" s="5" t="str">
        <f>TEXT(Store_Record[[#This Row],[Date]],"mmmm")</f>
        <v>December</v>
      </c>
      <c r="N4982" s="5">
        <f>YEAR(Store_Record[[#This Row],[Date]])</f>
        <v>2025</v>
      </c>
      <c r="O4982"/>
    </row>
    <row r="4983" spans="1:15" x14ac:dyDescent="0.35">
      <c r="A4983" t="s">
        <v>5972</v>
      </c>
      <c r="B4983" s="2">
        <v>46021</v>
      </c>
      <c r="C4983" t="s">
        <v>10</v>
      </c>
      <c r="D4983" t="s">
        <v>47</v>
      </c>
      <c r="E4983" t="s">
        <v>12</v>
      </c>
      <c r="F4983" t="s">
        <v>13</v>
      </c>
      <c r="G4983">
        <v>2</v>
      </c>
      <c r="H4983">
        <v>2.5</v>
      </c>
      <c r="I4983" t="s">
        <v>14</v>
      </c>
      <c r="J4983" t="s">
        <v>4904</v>
      </c>
      <c r="K4983" s="12">
        <f>Store_Record[[#This Row],[Qty]]*Store_Record[[#This Row],[UnitPriceGBP]]</f>
        <v>5</v>
      </c>
      <c r="L4983" s="5" t="str">
        <f>TEXT(Store_Record[[#This Row],[Date]],"dddd")</f>
        <v>Tuesday</v>
      </c>
      <c r="M4983" s="5" t="str">
        <f>TEXT(Store_Record[[#This Row],[Date]],"mmmm")</f>
        <v>December</v>
      </c>
      <c r="N4983" s="5">
        <f>YEAR(Store_Record[[#This Row],[Date]])</f>
        <v>2025</v>
      </c>
      <c r="O4983"/>
    </row>
    <row r="4984" spans="1:15" x14ac:dyDescent="0.35">
      <c r="A4984" t="s">
        <v>5973</v>
      </c>
      <c r="B4984" s="2">
        <v>46021</v>
      </c>
      <c r="C4984" t="s">
        <v>36</v>
      </c>
      <c r="D4984" t="s">
        <v>11</v>
      </c>
      <c r="E4984" t="s">
        <v>34</v>
      </c>
      <c r="F4984" t="s">
        <v>31</v>
      </c>
      <c r="G4984">
        <v>2</v>
      </c>
      <c r="H4984">
        <v>2.2000000000000002</v>
      </c>
      <c r="I4984" t="s">
        <v>14</v>
      </c>
      <c r="J4984" t="s">
        <v>78</v>
      </c>
      <c r="K4984" s="12">
        <f>Store_Record[[#This Row],[Qty]]*Store_Record[[#This Row],[UnitPriceGBP]]</f>
        <v>4.4000000000000004</v>
      </c>
      <c r="L4984" s="5" t="str">
        <f>TEXT(Store_Record[[#This Row],[Date]],"dddd")</f>
        <v>Tuesday</v>
      </c>
      <c r="M4984" s="5" t="str">
        <f>TEXT(Store_Record[[#This Row],[Date]],"mmmm")</f>
        <v>December</v>
      </c>
      <c r="N4984" s="5">
        <f>YEAR(Store_Record[[#This Row],[Date]])</f>
        <v>2025</v>
      </c>
      <c r="O4984"/>
    </row>
    <row r="4985" spans="1:15" x14ac:dyDescent="0.35">
      <c r="A4985" t="s">
        <v>5977</v>
      </c>
      <c r="B4985" s="2">
        <v>46021</v>
      </c>
      <c r="C4985" t="s">
        <v>36</v>
      </c>
      <c r="D4985" t="s">
        <v>38</v>
      </c>
      <c r="E4985" t="s">
        <v>34</v>
      </c>
      <c r="F4985" t="s">
        <v>31</v>
      </c>
      <c r="G4985">
        <v>2</v>
      </c>
      <c r="H4985">
        <v>2.2000000000000002</v>
      </c>
      <c r="I4985" t="s">
        <v>14</v>
      </c>
      <c r="J4985" t="s">
        <v>3493</v>
      </c>
      <c r="K4985" s="12">
        <f>Store_Record[[#This Row],[Qty]]*Store_Record[[#This Row],[UnitPriceGBP]]</f>
        <v>4.4000000000000004</v>
      </c>
      <c r="L4985" s="5" t="str">
        <f>TEXT(Store_Record[[#This Row],[Date]],"dddd")</f>
        <v>Tuesday</v>
      </c>
      <c r="M4985" s="5" t="str">
        <f>TEXT(Store_Record[[#This Row],[Date]],"mmmm")</f>
        <v>December</v>
      </c>
      <c r="N4985" s="5">
        <f>YEAR(Store_Record[[#This Row],[Date]])</f>
        <v>2025</v>
      </c>
      <c r="O4985"/>
    </row>
    <row r="4986" spans="1:15" x14ac:dyDescent="0.35">
      <c r="A4986" t="s">
        <v>5975</v>
      </c>
      <c r="B4986" s="2">
        <v>46021</v>
      </c>
      <c r="C4986" t="s">
        <v>10</v>
      </c>
      <c r="D4986" t="s">
        <v>25</v>
      </c>
      <c r="E4986" t="s">
        <v>42</v>
      </c>
      <c r="F4986" t="s">
        <v>13</v>
      </c>
      <c r="G4986">
        <v>1</v>
      </c>
      <c r="H4986">
        <v>3.8</v>
      </c>
      <c r="I4986" t="s">
        <v>14</v>
      </c>
      <c r="J4986" t="s">
        <v>528</v>
      </c>
      <c r="K4986" s="12">
        <f>Store_Record[[#This Row],[Qty]]*Store_Record[[#This Row],[UnitPriceGBP]]</f>
        <v>3.8</v>
      </c>
      <c r="L4986" s="5" t="str">
        <f>TEXT(Store_Record[[#This Row],[Date]],"dddd")</f>
        <v>Tuesday</v>
      </c>
      <c r="M4986" s="5" t="str">
        <f>TEXT(Store_Record[[#This Row],[Date]],"mmmm")</f>
        <v>December</v>
      </c>
      <c r="N4986" s="5">
        <f>YEAR(Store_Record[[#This Row],[Date]])</f>
        <v>2025</v>
      </c>
      <c r="O4986"/>
    </row>
    <row r="4987" spans="1:15" x14ac:dyDescent="0.35">
      <c r="A4987" t="s">
        <v>5969</v>
      </c>
      <c r="B4987" s="2">
        <v>46021</v>
      </c>
      <c r="C4987" t="s">
        <v>10</v>
      </c>
      <c r="D4987" t="s">
        <v>38</v>
      </c>
      <c r="E4987" t="s">
        <v>34</v>
      </c>
      <c r="F4987" t="s">
        <v>31</v>
      </c>
      <c r="G4987">
        <v>1</v>
      </c>
      <c r="H4987">
        <v>2.2000000000000002</v>
      </c>
      <c r="I4987" t="s">
        <v>39</v>
      </c>
      <c r="J4987" t="s">
        <v>524</v>
      </c>
      <c r="K4987" s="12">
        <f>Store_Record[[#This Row],[Qty]]*Store_Record[[#This Row],[UnitPriceGBP]]</f>
        <v>2.2000000000000002</v>
      </c>
      <c r="L4987" s="5" t="str">
        <f>TEXT(Store_Record[[#This Row],[Date]],"dddd")</f>
        <v>Tuesday</v>
      </c>
      <c r="M4987" s="5" t="str">
        <f>TEXT(Store_Record[[#This Row],[Date]],"mmmm")</f>
        <v>December</v>
      </c>
      <c r="N4987" s="5">
        <f>YEAR(Store_Record[[#This Row],[Date]])</f>
        <v>2025</v>
      </c>
      <c r="O4987"/>
    </row>
    <row r="4988" spans="1:15" x14ac:dyDescent="0.35">
      <c r="A4988" t="s">
        <v>5976</v>
      </c>
      <c r="B4988" s="2">
        <v>46021</v>
      </c>
      <c r="C4988" t="s">
        <v>24</v>
      </c>
      <c r="D4988" t="s">
        <v>47</v>
      </c>
      <c r="E4988" t="s">
        <v>34</v>
      </c>
      <c r="F4988" t="s">
        <v>31</v>
      </c>
      <c r="G4988">
        <v>1</v>
      </c>
      <c r="H4988">
        <v>2.2000000000000002</v>
      </c>
      <c r="I4988" t="s">
        <v>21</v>
      </c>
      <c r="J4988" t="s">
        <v>78</v>
      </c>
      <c r="K4988" s="12">
        <f>Store_Record[[#This Row],[Qty]]*Store_Record[[#This Row],[UnitPriceGBP]]</f>
        <v>2.2000000000000002</v>
      </c>
      <c r="L4988" s="5" t="str">
        <f>TEXT(Store_Record[[#This Row],[Date]],"dddd")</f>
        <v>Tuesday</v>
      </c>
      <c r="M4988" s="5" t="str">
        <f>TEXT(Store_Record[[#This Row],[Date]],"mmmm")</f>
        <v>December</v>
      </c>
      <c r="N4988" s="5">
        <f>YEAR(Store_Record[[#This Row],[Date]])</f>
        <v>2025</v>
      </c>
      <c r="O4988"/>
    </row>
    <row r="4989" spans="1:15" x14ac:dyDescent="0.35">
      <c r="A4989" t="s">
        <v>5988</v>
      </c>
      <c r="B4989" s="2">
        <v>46022</v>
      </c>
      <c r="C4989" t="s">
        <v>10</v>
      </c>
      <c r="D4989" t="s">
        <v>25</v>
      </c>
      <c r="E4989" t="s">
        <v>30</v>
      </c>
      <c r="F4989" t="s">
        <v>31</v>
      </c>
      <c r="G4989">
        <v>5</v>
      </c>
      <c r="H4989">
        <v>2.8</v>
      </c>
      <c r="I4989" t="s">
        <v>14</v>
      </c>
      <c r="J4989" t="s">
        <v>1175</v>
      </c>
      <c r="K4989" s="12">
        <f>Store_Record[[#This Row],[Qty]]*Store_Record[[#This Row],[UnitPriceGBP]]</f>
        <v>14</v>
      </c>
      <c r="L4989" s="5" t="str">
        <f>TEXT(Store_Record[[#This Row],[Date]],"dddd")</f>
        <v>Wednesday</v>
      </c>
      <c r="M4989" s="5" t="str">
        <f>TEXT(Store_Record[[#This Row],[Date]],"mmmm")</f>
        <v>December</v>
      </c>
      <c r="N4989" s="5">
        <f>YEAR(Store_Record[[#This Row],[Date]])</f>
        <v>2025</v>
      </c>
      <c r="O4989"/>
    </row>
    <row r="4990" spans="1:15" x14ac:dyDescent="0.35">
      <c r="A4990" t="s">
        <v>5984</v>
      </c>
      <c r="B4990" s="2">
        <v>46022</v>
      </c>
      <c r="C4990" t="s">
        <v>24</v>
      </c>
      <c r="D4990" t="s">
        <v>25</v>
      </c>
      <c r="E4990" t="s">
        <v>42</v>
      </c>
      <c r="F4990" t="s">
        <v>13</v>
      </c>
      <c r="G4990">
        <v>3</v>
      </c>
      <c r="H4990">
        <v>3.8</v>
      </c>
      <c r="I4990" t="s">
        <v>14</v>
      </c>
      <c r="J4990" t="s">
        <v>662</v>
      </c>
      <c r="K4990" s="12">
        <f>Store_Record[[#This Row],[Qty]]*Store_Record[[#This Row],[UnitPriceGBP]]</f>
        <v>11.399999999999999</v>
      </c>
      <c r="L4990" s="5" t="str">
        <f>TEXT(Store_Record[[#This Row],[Date]],"dddd")</f>
        <v>Wednesday</v>
      </c>
      <c r="M4990" s="5" t="str">
        <f>TEXT(Store_Record[[#This Row],[Date]],"mmmm")</f>
        <v>December</v>
      </c>
      <c r="N4990" s="5">
        <f>YEAR(Store_Record[[#This Row],[Date]])</f>
        <v>2025</v>
      </c>
      <c r="O4990"/>
    </row>
    <row r="4991" spans="1:15" x14ac:dyDescent="0.35">
      <c r="A4991" t="s">
        <v>5985</v>
      </c>
      <c r="B4991" s="2">
        <v>46022</v>
      </c>
      <c r="C4991" t="s">
        <v>36</v>
      </c>
      <c r="D4991" t="s">
        <v>47</v>
      </c>
      <c r="E4991" t="s">
        <v>30</v>
      </c>
      <c r="F4991" t="s">
        <v>31</v>
      </c>
      <c r="G4991">
        <v>4</v>
      </c>
      <c r="H4991">
        <v>2.8</v>
      </c>
      <c r="I4991" t="s">
        <v>21</v>
      </c>
      <c r="J4991" t="s">
        <v>526</v>
      </c>
      <c r="K4991" s="12">
        <f>Store_Record[[#This Row],[Qty]]*Store_Record[[#This Row],[UnitPriceGBP]]</f>
        <v>11.2</v>
      </c>
      <c r="L4991" s="5" t="str">
        <f>TEXT(Store_Record[[#This Row],[Date]],"dddd")</f>
        <v>Wednesday</v>
      </c>
      <c r="M4991" s="5" t="str">
        <f>TEXT(Store_Record[[#This Row],[Date]],"mmmm")</f>
        <v>December</v>
      </c>
      <c r="N4991" s="5">
        <f>YEAR(Store_Record[[#This Row],[Date]])</f>
        <v>2025</v>
      </c>
      <c r="O4991"/>
    </row>
    <row r="4992" spans="1:15" x14ac:dyDescent="0.35">
      <c r="A4992" t="s">
        <v>5983</v>
      </c>
      <c r="B4992" s="2">
        <v>46022</v>
      </c>
      <c r="C4992" t="s">
        <v>36</v>
      </c>
      <c r="D4992" t="s">
        <v>29</v>
      </c>
      <c r="E4992" t="s">
        <v>12</v>
      </c>
      <c r="F4992" t="s">
        <v>13</v>
      </c>
      <c r="G4992">
        <v>4</v>
      </c>
      <c r="H4992">
        <v>2.5</v>
      </c>
      <c r="I4992" t="s">
        <v>14</v>
      </c>
      <c r="J4992" t="s">
        <v>624</v>
      </c>
      <c r="K4992" s="12">
        <f>Store_Record[[#This Row],[Qty]]*Store_Record[[#This Row],[UnitPriceGBP]]</f>
        <v>10</v>
      </c>
      <c r="L4992" s="5" t="str">
        <f>TEXT(Store_Record[[#This Row],[Date]],"dddd")</f>
        <v>Wednesday</v>
      </c>
      <c r="M4992" s="5" t="str">
        <f>TEXT(Store_Record[[#This Row],[Date]],"mmmm")</f>
        <v>December</v>
      </c>
      <c r="N4992" s="5">
        <f>YEAR(Store_Record[[#This Row],[Date]])</f>
        <v>2025</v>
      </c>
      <c r="O4992"/>
    </row>
    <row r="4993" spans="1:15" x14ac:dyDescent="0.35">
      <c r="A4993" t="s">
        <v>5980</v>
      </c>
      <c r="B4993" s="2">
        <v>46022</v>
      </c>
      <c r="C4993" t="s">
        <v>36</v>
      </c>
      <c r="D4993" t="s">
        <v>38</v>
      </c>
      <c r="E4993" t="s">
        <v>34</v>
      </c>
      <c r="F4993" t="s">
        <v>31</v>
      </c>
      <c r="G4993">
        <v>4</v>
      </c>
      <c r="H4993">
        <v>2.2000000000000002</v>
      </c>
      <c r="I4993" t="s">
        <v>39</v>
      </c>
      <c r="J4993" t="s">
        <v>929</v>
      </c>
      <c r="K4993" s="12">
        <f>Store_Record[[#This Row],[Qty]]*Store_Record[[#This Row],[UnitPriceGBP]]</f>
        <v>8.8000000000000007</v>
      </c>
      <c r="L4993" s="5" t="str">
        <f>TEXT(Store_Record[[#This Row],[Date]],"dddd")</f>
        <v>Wednesday</v>
      </c>
      <c r="M4993" s="5" t="str">
        <f>TEXT(Store_Record[[#This Row],[Date]],"mmmm")</f>
        <v>December</v>
      </c>
      <c r="N4993" s="5">
        <f>YEAR(Store_Record[[#This Row],[Date]])</f>
        <v>2025</v>
      </c>
      <c r="O4993"/>
    </row>
    <row r="4994" spans="1:15" x14ac:dyDescent="0.35">
      <c r="A4994" t="s">
        <v>5982</v>
      </c>
      <c r="B4994" s="2">
        <v>46022</v>
      </c>
      <c r="C4994" t="s">
        <v>20</v>
      </c>
      <c r="D4994" t="s">
        <v>25</v>
      </c>
      <c r="E4994" t="s">
        <v>34</v>
      </c>
      <c r="F4994" t="s">
        <v>31</v>
      </c>
      <c r="G4994">
        <v>4</v>
      </c>
      <c r="H4994">
        <v>2.2000000000000002</v>
      </c>
      <c r="I4994" t="s">
        <v>14</v>
      </c>
      <c r="J4994" t="s">
        <v>4863</v>
      </c>
      <c r="K4994" s="12">
        <f>Store_Record[[#This Row],[Qty]]*Store_Record[[#This Row],[UnitPriceGBP]]</f>
        <v>8.8000000000000007</v>
      </c>
      <c r="L4994" s="5" t="str">
        <f>TEXT(Store_Record[[#This Row],[Date]],"dddd")</f>
        <v>Wednesday</v>
      </c>
      <c r="M4994" s="5" t="str">
        <f>TEXT(Store_Record[[#This Row],[Date]],"mmmm")</f>
        <v>December</v>
      </c>
      <c r="N4994" s="5">
        <f>YEAR(Store_Record[[#This Row],[Date]])</f>
        <v>2025</v>
      </c>
      <c r="O4994"/>
    </row>
    <row r="4995" spans="1:15" x14ac:dyDescent="0.35">
      <c r="A4995" t="s">
        <v>5986</v>
      </c>
      <c r="B4995" s="2">
        <v>46022</v>
      </c>
      <c r="C4995" t="s">
        <v>10</v>
      </c>
      <c r="D4995" t="s">
        <v>29</v>
      </c>
      <c r="E4995" t="s">
        <v>26</v>
      </c>
      <c r="F4995" t="s">
        <v>13</v>
      </c>
      <c r="G4995">
        <v>2</v>
      </c>
      <c r="H4995">
        <v>3.5</v>
      </c>
      <c r="I4995" t="s">
        <v>39</v>
      </c>
      <c r="J4995" t="s">
        <v>1862</v>
      </c>
      <c r="K4995" s="12">
        <f>Store_Record[[#This Row],[Qty]]*Store_Record[[#This Row],[UnitPriceGBP]]</f>
        <v>7</v>
      </c>
      <c r="L4995" s="5" t="str">
        <f>TEXT(Store_Record[[#This Row],[Date]],"dddd")</f>
        <v>Wednesday</v>
      </c>
      <c r="M4995" s="5" t="str">
        <f>TEXT(Store_Record[[#This Row],[Date]],"mmmm")</f>
        <v>December</v>
      </c>
      <c r="N4995" s="5">
        <f>YEAR(Store_Record[[#This Row],[Date]])</f>
        <v>2025</v>
      </c>
      <c r="O4995"/>
    </row>
    <row r="4996" spans="1:15" x14ac:dyDescent="0.35">
      <c r="A4996" t="s">
        <v>5989</v>
      </c>
      <c r="B4996" s="2">
        <v>46022</v>
      </c>
      <c r="C4996" t="s">
        <v>24</v>
      </c>
      <c r="D4996" t="s">
        <v>29</v>
      </c>
      <c r="E4996" t="s">
        <v>34</v>
      </c>
      <c r="F4996" t="s">
        <v>31</v>
      </c>
      <c r="G4996">
        <v>3</v>
      </c>
      <c r="H4996">
        <v>2.2000000000000002</v>
      </c>
      <c r="I4996" t="s">
        <v>14</v>
      </c>
      <c r="J4996" t="s">
        <v>70</v>
      </c>
      <c r="K4996" s="12">
        <f>Store_Record[[#This Row],[Qty]]*Store_Record[[#This Row],[UnitPriceGBP]]</f>
        <v>6.6000000000000005</v>
      </c>
      <c r="L4996" s="5" t="str">
        <f>TEXT(Store_Record[[#This Row],[Date]],"dddd")</f>
        <v>Wednesday</v>
      </c>
      <c r="M4996" s="5" t="str">
        <f>TEXT(Store_Record[[#This Row],[Date]],"mmmm")</f>
        <v>December</v>
      </c>
      <c r="N4996" s="5">
        <f>YEAR(Store_Record[[#This Row],[Date]])</f>
        <v>2025</v>
      </c>
      <c r="O4996"/>
    </row>
    <row r="4997" spans="1:15" x14ac:dyDescent="0.35">
      <c r="A4997" t="s">
        <v>5979</v>
      </c>
      <c r="B4997" s="2">
        <v>46022</v>
      </c>
      <c r="C4997" t="s">
        <v>36</v>
      </c>
      <c r="D4997" t="s">
        <v>47</v>
      </c>
      <c r="E4997" t="s">
        <v>34</v>
      </c>
      <c r="F4997" t="s">
        <v>31</v>
      </c>
      <c r="G4997">
        <v>2</v>
      </c>
      <c r="H4997">
        <v>2.2000000000000002</v>
      </c>
      <c r="I4997" t="s">
        <v>21</v>
      </c>
      <c r="J4997" t="s">
        <v>1541</v>
      </c>
      <c r="K4997" s="12">
        <f>Store_Record[[#This Row],[Qty]]*Store_Record[[#This Row],[UnitPriceGBP]]</f>
        <v>4.4000000000000004</v>
      </c>
      <c r="L4997" s="5" t="str">
        <f>TEXT(Store_Record[[#This Row],[Date]],"dddd")</f>
        <v>Wednesday</v>
      </c>
      <c r="M4997" s="5" t="str">
        <f>TEXT(Store_Record[[#This Row],[Date]],"mmmm")</f>
        <v>December</v>
      </c>
      <c r="N4997" s="5">
        <f>YEAR(Store_Record[[#This Row],[Date]])</f>
        <v>2025</v>
      </c>
      <c r="O4997"/>
    </row>
    <row r="4998" spans="1:15" x14ac:dyDescent="0.35">
      <c r="A4998" t="s">
        <v>5987</v>
      </c>
      <c r="B4998" s="2">
        <v>46022</v>
      </c>
      <c r="C4998" t="s">
        <v>24</v>
      </c>
      <c r="D4998" t="s">
        <v>25</v>
      </c>
      <c r="E4998" t="s">
        <v>30</v>
      </c>
      <c r="F4998" t="s">
        <v>31</v>
      </c>
      <c r="G4998">
        <v>1</v>
      </c>
      <c r="H4998">
        <v>2.8</v>
      </c>
      <c r="I4998" t="s">
        <v>39</v>
      </c>
      <c r="J4998" t="s">
        <v>294</v>
      </c>
      <c r="K4998" s="12">
        <f>Store_Record[[#This Row],[Qty]]*Store_Record[[#This Row],[UnitPriceGBP]]</f>
        <v>2.8</v>
      </c>
      <c r="L4998" s="5" t="str">
        <f>TEXT(Store_Record[[#This Row],[Date]],"dddd")</f>
        <v>Wednesday</v>
      </c>
      <c r="M4998" s="5" t="str">
        <f>TEXT(Store_Record[[#This Row],[Date]],"mmmm")</f>
        <v>December</v>
      </c>
      <c r="N4998" s="5">
        <f>YEAR(Store_Record[[#This Row],[Date]])</f>
        <v>2025</v>
      </c>
      <c r="O4998"/>
    </row>
    <row r="4999" spans="1:15" x14ac:dyDescent="0.35">
      <c r="A4999" t="s">
        <v>5978</v>
      </c>
      <c r="B4999" s="2">
        <v>46022</v>
      </c>
      <c r="C4999" t="s">
        <v>20</v>
      </c>
      <c r="D4999" t="s">
        <v>47</v>
      </c>
      <c r="E4999" t="s">
        <v>12</v>
      </c>
      <c r="F4999" t="s">
        <v>13</v>
      </c>
      <c r="G4999">
        <v>1</v>
      </c>
      <c r="H4999">
        <v>2.5</v>
      </c>
      <c r="I4999" t="s">
        <v>39</v>
      </c>
      <c r="J4999" t="s">
        <v>3248</v>
      </c>
      <c r="K4999" s="12">
        <f>Store_Record[[#This Row],[Qty]]*Store_Record[[#This Row],[UnitPriceGBP]]</f>
        <v>2.5</v>
      </c>
      <c r="L4999" s="5" t="str">
        <f>TEXT(Store_Record[[#This Row],[Date]],"dddd")</f>
        <v>Wednesday</v>
      </c>
      <c r="M4999" s="5" t="str">
        <f>TEXT(Store_Record[[#This Row],[Date]],"mmmm")</f>
        <v>December</v>
      </c>
      <c r="N4999" s="5">
        <f>YEAR(Store_Record[[#This Row],[Date]])</f>
        <v>2025</v>
      </c>
      <c r="O4999"/>
    </row>
    <row r="5000" spans="1:15" x14ac:dyDescent="0.35">
      <c r="A5000" t="s">
        <v>5981</v>
      </c>
      <c r="B5000" s="2">
        <v>46022</v>
      </c>
      <c r="C5000" t="s">
        <v>20</v>
      </c>
      <c r="D5000" t="s">
        <v>25</v>
      </c>
      <c r="E5000" t="s">
        <v>34</v>
      </c>
      <c r="F5000" t="s">
        <v>31</v>
      </c>
      <c r="G5000">
        <v>1</v>
      </c>
      <c r="H5000">
        <v>2.2000000000000002</v>
      </c>
      <c r="I5000" t="s">
        <v>14</v>
      </c>
      <c r="J5000" t="s">
        <v>2968</v>
      </c>
      <c r="K5000" s="12">
        <f>Store_Record[[#This Row],[Qty]]*Store_Record[[#This Row],[UnitPriceGBP]]</f>
        <v>2.2000000000000002</v>
      </c>
      <c r="L5000" s="5" t="str">
        <f>TEXT(Store_Record[[#This Row],[Date]],"dddd")</f>
        <v>Wednesday</v>
      </c>
      <c r="M5000" s="5" t="str">
        <f>TEXT(Store_Record[[#This Row],[Date]],"mmmm")</f>
        <v>December</v>
      </c>
      <c r="N5000" s="5">
        <f>YEAR(Store_Record[[#This Row],[Date]])</f>
        <v>2025</v>
      </c>
      <c r="O5000"/>
    </row>
    <row r="5001" spans="1:15" x14ac:dyDescent="0.35">
      <c r="B5001" s="2"/>
      <c r="C5001" s="1"/>
      <c r="I5001" s="9"/>
      <c r="K5001" s="10"/>
      <c r="L5001" s="9"/>
      <c r="M5001" s="9"/>
      <c r="N5001" s="9"/>
      <c r="O5001"/>
    </row>
  </sheetData>
  <conditionalFormatting sqref="K2:K5000">
    <cfRule type="aboveAverage" dxfId="62" priority="2" aboveAverage="0"/>
    <cfRule type="aboveAverage" dxfId="61" priority="3" stopIfTrue="1"/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Q5003"/>
  <sheetViews>
    <sheetView topLeftCell="A15" zoomScaleNormal="100" workbookViewId="0">
      <selection activeCell="D19" sqref="D19"/>
    </sheetView>
  </sheetViews>
  <sheetFormatPr defaultRowHeight="14.5" x14ac:dyDescent="0.35"/>
  <cols>
    <col min="1" max="1" width="18.26953125" bestFit="1" customWidth="1"/>
    <col min="2" max="2" width="12.7265625" bestFit="1" customWidth="1"/>
    <col min="3" max="3" width="11.54296875" bestFit="1" customWidth="1"/>
    <col min="4" max="4" width="20.26953125" bestFit="1" customWidth="1"/>
    <col min="5" max="5" width="10.54296875" bestFit="1" customWidth="1"/>
    <col min="8" max="8" width="9.1796875" style="5"/>
    <col min="9" max="9" width="19.26953125" bestFit="1" customWidth="1"/>
    <col min="10" max="10" width="13.54296875" bestFit="1" customWidth="1"/>
    <col min="16" max="16" width="32.81640625" bestFit="1" customWidth="1"/>
    <col min="17" max="17" width="14.1796875" bestFit="1" customWidth="1"/>
    <col min="18" max="18" width="11" customWidth="1"/>
    <col min="19" max="19" width="11.81640625" customWidth="1"/>
  </cols>
  <sheetData>
    <row r="4" spans="1:17" x14ac:dyDescent="0.35">
      <c r="F4" s="38"/>
      <c r="G4" s="39"/>
      <c r="H4" s="40"/>
    </row>
    <row r="5" spans="1:17" x14ac:dyDescent="0.35">
      <c r="F5" s="38"/>
      <c r="G5" s="39"/>
      <c r="H5" s="40"/>
    </row>
    <row r="6" spans="1:17" x14ac:dyDescent="0.35">
      <c r="F6" s="38"/>
      <c r="G6" s="39"/>
      <c r="H6" s="40"/>
    </row>
    <row r="7" spans="1:17" x14ac:dyDescent="0.35">
      <c r="F7" s="38"/>
      <c r="G7" s="39"/>
      <c r="H7" s="40"/>
    </row>
    <row r="8" spans="1:17" x14ac:dyDescent="0.35">
      <c r="F8" s="38"/>
      <c r="G8" s="39"/>
      <c r="H8" s="40"/>
    </row>
    <row r="9" spans="1:17" x14ac:dyDescent="0.35">
      <c r="F9" s="38"/>
      <c r="G9" s="39"/>
      <c r="H9" s="40"/>
    </row>
    <row r="10" spans="1:17" x14ac:dyDescent="0.35">
      <c r="F10" s="38"/>
      <c r="G10" s="39"/>
      <c r="H10" s="40"/>
    </row>
    <row r="11" spans="1:17" x14ac:dyDescent="0.35">
      <c r="F11" s="38"/>
      <c r="G11" s="39"/>
      <c r="H11" s="40"/>
    </row>
    <row r="12" spans="1:17" x14ac:dyDescent="0.35">
      <c r="F12" s="38"/>
      <c r="G12" s="39"/>
      <c r="H12" s="40"/>
    </row>
    <row r="13" spans="1:17" x14ac:dyDescent="0.35">
      <c r="F13" s="38"/>
      <c r="G13" s="39"/>
      <c r="H13" s="40"/>
    </row>
    <row r="14" spans="1:17" x14ac:dyDescent="0.35">
      <c r="F14" s="38"/>
      <c r="G14" s="39"/>
      <c r="H14" s="40"/>
    </row>
    <row r="15" spans="1:17" x14ac:dyDescent="0.35">
      <c r="F15" s="38"/>
      <c r="G15" s="39"/>
      <c r="H15" s="40"/>
      <c r="I15" s="38"/>
      <c r="J15" s="39"/>
    </row>
    <row r="16" spans="1:17" x14ac:dyDescent="0.35">
      <c r="A16" s="65" t="s">
        <v>6133</v>
      </c>
      <c r="B16" s="66" t="s">
        <v>6056</v>
      </c>
      <c r="F16" s="38"/>
      <c r="G16" s="39"/>
      <c r="I16" s="63" t="s">
        <v>3</v>
      </c>
      <c r="J16" s="64" t="s">
        <v>6056</v>
      </c>
      <c r="P16" s="69" t="s">
        <v>6138</v>
      </c>
      <c r="Q16" s="70" t="s">
        <v>6056</v>
      </c>
    </row>
    <row r="17" spans="1:17" x14ac:dyDescent="0.35">
      <c r="A17" s="51" t="s">
        <v>42</v>
      </c>
      <c r="B17" s="52">
        <f>SUMIF(Store_Record[Product], "Cappuccino", Store_Record[Revenue])</f>
        <v>10947.799999999987</v>
      </c>
      <c r="F17" s="38"/>
      <c r="G17" s="39"/>
      <c r="I17" s="56" t="s">
        <v>38</v>
      </c>
      <c r="J17" s="57">
        <f>SUMIF(Store_Record[City], "Manchester", Store_Record[Revenue])</f>
        <v>8734.4999999999927</v>
      </c>
      <c r="P17" s="71" t="s">
        <v>6135</v>
      </c>
      <c r="Q17" s="72">
        <f>SUMIF(Store_Record[Store],"Central", Store_Record[Revenue])</f>
        <v>10905.300000000003</v>
      </c>
    </row>
    <row r="18" spans="1:17" x14ac:dyDescent="0.35">
      <c r="A18" s="51" t="s">
        <v>30</v>
      </c>
      <c r="B18" s="52">
        <f>SUMIF(Store_Record[Product], "Croissant", Store_Record[Revenue])</f>
        <v>8399.9999999999891</v>
      </c>
      <c r="F18" s="38"/>
      <c r="G18" s="39"/>
      <c r="I18" s="56" t="s">
        <v>6132</v>
      </c>
      <c r="J18" s="57">
        <f>SUMIF(Store_Record[City], "Leeds", Store_Record[Revenue])</f>
        <v>8801.0999999999931</v>
      </c>
      <c r="P18" s="71" t="s">
        <v>6134</v>
      </c>
      <c r="Q18" s="72">
        <f>SUMIF(Store_Record[Store],"Riverside", Store_Record[Revenue])</f>
        <v>10831.199999999999</v>
      </c>
    </row>
    <row r="19" spans="1:17" x14ac:dyDescent="0.35">
      <c r="A19" s="51" t="s">
        <v>12</v>
      </c>
      <c r="B19" s="52">
        <f>SUMIF(Store_Record[Product], "Espresso", Store_Record[Revenue])</f>
        <v>7295</v>
      </c>
      <c r="F19" s="38"/>
      <c r="G19" s="39"/>
      <c r="I19" s="56" t="s">
        <v>29</v>
      </c>
      <c r="J19" s="57">
        <f>SUMIF(Store_Record[City], "Bristol", Store_Record[Revenue])</f>
        <v>8796.6</v>
      </c>
      <c r="P19" s="71" t="s">
        <v>6136</v>
      </c>
      <c r="Q19" s="72">
        <f>SUMIF(Store_Record[Store],"Station", Store_Record[Revenue])</f>
        <v>11559.399999999992</v>
      </c>
    </row>
    <row r="20" spans="1:17" x14ac:dyDescent="0.35">
      <c r="A20" s="67" t="s">
        <v>26</v>
      </c>
      <c r="B20" s="68">
        <f>SUMIF(Store_Record[Product], "Latte", Store_Record[Revenue])</f>
        <v>10948.599999999997</v>
      </c>
      <c r="F20" s="38"/>
      <c r="G20" s="39"/>
      <c r="I20" s="56" t="s">
        <v>25</v>
      </c>
      <c r="J20" s="57">
        <f>SUMIF(Store_Record[City], "Birmingham", Store_Record[Revenue])</f>
        <v>8375.1000000000022</v>
      </c>
      <c r="P20" s="73" t="s">
        <v>6137</v>
      </c>
      <c r="Q20" s="74">
        <f>SUMIF(Store_Record[Store],"High Street", Store_Record[Revenue])</f>
        <v>11093.499999999985</v>
      </c>
    </row>
    <row r="21" spans="1:17" x14ac:dyDescent="0.35">
      <c r="A21" s="51" t="s">
        <v>34</v>
      </c>
      <c r="B21" s="52">
        <f>SUMIF(Store_Record[Product], "Muffin", Store_Record[Revenue])</f>
        <v>6798.0000000000055</v>
      </c>
      <c r="F21" s="38"/>
      <c r="G21" s="39"/>
      <c r="I21" s="56" t="s">
        <v>47</v>
      </c>
      <c r="J21" s="57">
        <f>SUMIF(Store_Record[City], "London", Store_Record[Revenue])</f>
        <v>9322</v>
      </c>
    </row>
    <row r="22" spans="1:17" x14ac:dyDescent="0.35">
      <c r="A22" s="89" t="s">
        <v>57</v>
      </c>
      <c r="B22" s="88">
        <f>SUM(B17:B21)</f>
        <v>44389.39999999998</v>
      </c>
      <c r="F22" s="38"/>
      <c r="G22" s="39"/>
      <c r="H22" s="40"/>
      <c r="I22" s="61" t="s">
        <v>152</v>
      </c>
      <c r="J22" s="62">
        <f>SUMIF(Store_Record[City], "N/A", Store_Record[Revenue])</f>
        <v>360.09999999999997</v>
      </c>
    </row>
    <row r="23" spans="1:17" x14ac:dyDescent="0.35">
      <c r="F23" s="38"/>
      <c r="G23" s="39"/>
      <c r="H23" s="40"/>
    </row>
    <row r="24" spans="1:17" x14ac:dyDescent="0.35">
      <c r="F24" s="38"/>
      <c r="G24" s="39"/>
      <c r="H24" s="40"/>
    </row>
    <row r="25" spans="1:17" x14ac:dyDescent="0.35">
      <c r="F25" s="38"/>
      <c r="G25" s="39"/>
      <c r="H25" s="40"/>
    </row>
    <row r="26" spans="1:17" x14ac:dyDescent="0.35">
      <c r="F26" s="38"/>
      <c r="G26" s="39"/>
      <c r="H26" s="40"/>
    </row>
    <row r="27" spans="1:17" x14ac:dyDescent="0.35">
      <c r="F27" s="38"/>
      <c r="G27" s="39"/>
      <c r="H27" s="40"/>
    </row>
    <row r="28" spans="1:17" x14ac:dyDescent="0.35">
      <c r="F28" s="38"/>
      <c r="G28" s="39"/>
      <c r="H28" s="40"/>
    </row>
    <row r="29" spans="1:17" x14ac:dyDescent="0.35">
      <c r="F29" s="38"/>
      <c r="G29" s="39"/>
      <c r="H29" s="40"/>
    </row>
    <row r="30" spans="1:17" x14ac:dyDescent="0.35">
      <c r="F30" s="38"/>
      <c r="G30" s="39"/>
      <c r="H30" s="40"/>
    </row>
    <row r="31" spans="1:17" x14ac:dyDescent="0.35">
      <c r="F31" s="38"/>
      <c r="G31" s="39"/>
      <c r="H31" s="40"/>
    </row>
    <row r="32" spans="1:17" x14ac:dyDescent="0.35">
      <c r="F32" s="38"/>
      <c r="G32" s="39"/>
      <c r="H32" s="40"/>
    </row>
    <row r="33" spans="1:17" x14ac:dyDescent="0.35">
      <c r="F33" s="38"/>
      <c r="G33" s="39"/>
      <c r="H33" s="40"/>
    </row>
    <row r="34" spans="1:17" x14ac:dyDescent="0.35">
      <c r="F34" s="38"/>
      <c r="G34" s="39"/>
      <c r="H34" s="40"/>
    </row>
    <row r="35" spans="1:17" x14ac:dyDescent="0.35">
      <c r="F35" s="38"/>
      <c r="G35" s="39"/>
      <c r="H35" s="40"/>
    </row>
    <row r="36" spans="1:17" x14ac:dyDescent="0.35">
      <c r="F36" s="38"/>
      <c r="G36" s="39"/>
      <c r="H36" s="40"/>
    </row>
    <row r="37" spans="1:17" x14ac:dyDescent="0.35">
      <c r="F37" s="38"/>
      <c r="G37" s="39"/>
      <c r="H37" s="40"/>
    </row>
    <row r="38" spans="1:17" x14ac:dyDescent="0.35">
      <c r="A38" s="33" t="s">
        <v>6139</v>
      </c>
      <c r="B38" s="34">
        <f>SUMIF(Store_Record[Month], "January", Store_Record[Revenue])</f>
        <v>3765.8000000000025</v>
      </c>
      <c r="F38" s="38"/>
      <c r="G38" s="39"/>
      <c r="H38" s="40"/>
    </row>
    <row r="39" spans="1:17" x14ac:dyDescent="0.35">
      <c r="A39" s="33" t="s">
        <v>6140</v>
      </c>
      <c r="B39" s="34">
        <f>SUMIF(Store_Record[Month], "February", Store_Record[Revenue])</f>
        <v>3526.5000000000005</v>
      </c>
      <c r="F39" s="38"/>
      <c r="G39" s="39"/>
      <c r="H39" s="40"/>
      <c r="I39" s="81" t="s">
        <v>6151</v>
      </c>
      <c r="J39" s="82" t="s">
        <v>6150</v>
      </c>
      <c r="P39" s="75" t="s">
        <v>6152</v>
      </c>
      <c r="Q39" s="84" t="s">
        <v>6153</v>
      </c>
    </row>
    <row r="40" spans="1:17" x14ac:dyDescent="0.35">
      <c r="A40" s="33" t="s">
        <v>6112</v>
      </c>
      <c r="B40" s="34">
        <f>SUMIF(Store_Record[Month], "March", Store_Record[Revenue])</f>
        <v>4026.1999999999989</v>
      </c>
      <c r="F40" s="38"/>
      <c r="G40" s="39"/>
      <c r="H40" s="40"/>
      <c r="I40" s="77" t="s">
        <v>14</v>
      </c>
      <c r="J40" s="78">
        <v>1648</v>
      </c>
      <c r="P40" s="58" t="s">
        <v>6154</v>
      </c>
      <c r="Q40" s="47">
        <f>COUNTIF(Store_Record[Category], "Food")</f>
        <v>2015</v>
      </c>
    </row>
    <row r="41" spans="1:17" x14ac:dyDescent="0.35">
      <c r="A41" s="33" t="s">
        <v>6141</v>
      </c>
      <c r="B41" s="34">
        <f>SUMIF(Store_Record[Month], "April", Store_Record[Revenue])</f>
        <v>3775.3000000000029</v>
      </c>
      <c r="F41" s="38"/>
      <c r="G41" s="39"/>
      <c r="H41" s="40"/>
      <c r="I41" s="77" t="s">
        <v>21</v>
      </c>
      <c r="J41" s="78">
        <v>1668</v>
      </c>
      <c r="P41" s="76" t="s">
        <v>6155</v>
      </c>
      <c r="Q41" s="83">
        <f>COUNTIF(Store_Record[Category], "Drink")</f>
        <v>2984</v>
      </c>
    </row>
    <row r="42" spans="1:17" x14ac:dyDescent="0.35">
      <c r="A42" s="33" t="s">
        <v>6142</v>
      </c>
      <c r="B42" s="34">
        <f>SUMIF(Store_Record[Month], "May", Store_Record[Revenue])</f>
        <v>3384.9999999999995</v>
      </c>
      <c r="F42" s="38"/>
      <c r="G42" s="39"/>
      <c r="H42" s="40"/>
      <c r="I42" s="79" t="s">
        <v>39</v>
      </c>
      <c r="J42" s="80">
        <f>COUNTIF(Store_Record[Payment Type], "Cash")</f>
        <v>1683</v>
      </c>
      <c r="P42" s="86" t="s">
        <v>6130</v>
      </c>
      <c r="Q42" s="87">
        <f>SUM(Q40:Q41)</f>
        <v>4999</v>
      </c>
    </row>
    <row r="43" spans="1:17" x14ac:dyDescent="0.35">
      <c r="A43" s="33" t="s">
        <v>6143</v>
      </c>
      <c r="B43" s="34">
        <f>SUMIF(Store_Record[Month], "June", Store_Record[Revenue])</f>
        <v>3541.300000000002</v>
      </c>
      <c r="F43" s="38"/>
      <c r="G43" s="39"/>
      <c r="H43" s="40"/>
    </row>
    <row r="44" spans="1:17" x14ac:dyDescent="0.35">
      <c r="A44" s="33" t="s">
        <v>6144</v>
      </c>
      <c r="B44" s="34">
        <f>SUMIF(Store_Record[Month], "July", Store_Record[Revenue])</f>
        <v>3717.4999999999977</v>
      </c>
      <c r="F44" s="38"/>
      <c r="G44" s="39"/>
      <c r="H44" s="40"/>
    </row>
    <row r="45" spans="1:17" x14ac:dyDescent="0.35">
      <c r="A45" s="33" t="s">
        <v>6145</v>
      </c>
      <c r="B45" s="34">
        <f>SUMIF(Store_Record[Month], "August", Store_Record[Revenue])</f>
        <v>3696.2000000000007</v>
      </c>
      <c r="F45" s="38"/>
      <c r="G45" s="39"/>
      <c r="H45" s="40"/>
    </row>
    <row r="46" spans="1:17" x14ac:dyDescent="0.35">
      <c r="A46" s="33" t="s">
        <v>6149</v>
      </c>
      <c r="B46" s="34">
        <f>SUMIF(Store_Record[Month], "September", Store_Record[Revenue])</f>
        <v>3539.7</v>
      </c>
      <c r="F46" s="38"/>
      <c r="G46" s="39"/>
      <c r="H46" s="40"/>
    </row>
    <row r="47" spans="1:17" x14ac:dyDescent="0.35">
      <c r="A47" s="33" t="s">
        <v>6146</v>
      </c>
      <c r="B47" s="34">
        <f>SUMIF(Store_Record[Month], "October", Store_Record[Revenue])</f>
        <v>3672.7000000000007</v>
      </c>
      <c r="F47" s="38"/>
      <c r="G47" s="39"/>
      <c r="H47" s="40"/>
    </row>
    <row r="48" spans="1:17" x14ac:dyDescent="0.35">
      <c r="A48" s="33" t="s">
        <v>6147</v>
      </c>
      <c r="B48" s="34">
        <f>SUMIF(Store_Record[Month], "November", Store_Record[Revenue])</f>
        <v>4063.8</v>
      </c>
      <c r="F48" s="38"/>
      <c r="G48" s="39"/>
      <c r="H48" s="40"/>
    </row>
    <row r="49" spans="1:8" x14ac:dyDescent="0.35">
      <c r="A49" s="33" t="s">
        <v>6148</v>
      </c>
      <c r="B49" s="34">
        <f>SUMIF(Store_Record[Month], "December", Store_Record[Revenue])</f>
        <v>3679.4000000000019</v>
      </c>
      <c r="F49" s="38"/>
      <c r="G49" s="39"/>
      <c r="H49" s="40"/>
    </row>
    <row r="50" spans="1:8" x14ac:dyDescent="0.35">
      <c r="A50" s="85" t="s">
        <v>6060</v>
      </c>
      <c r="B50" s="88">
        <f>SUM(B38:B49)</f>
        <v>44389.4</v>
      </c>
      <c r="F50" s="38"/>
      <c r="G50" s="39"/>
      <c r="H50" s="40"/>
    </row>
    <row r="51" spans="1:8" x14ac:dyDescent="0.35">
      <c r="F51" s="38"/>
      <c r="G51" s="39"/>
      <c r="H51" s="40"/>
    </row>
    <row r="52" spans="1:8" x14ac:dyDescent="0.35">
      <c r="F52" s="38"/>
      <c r="G52" s="39"/>
      <c r="H52" s="40"/>
    </row>
    <row r="53" spans="1:8" x14ac:dyDescent="0.35">
      <c r="F53" s="38"/>
      <c r="G53" s="39"/>
      <c r="H53" s="40"/>
    </row>
    <row r="54" spans="1:8" x14ac:dyDescent="0.35">
      <c r="F54" s="38"/>
      <c r="G54" s="39"/>
      <c r="H54" s="40"/>
    </row>
    <row r="55" spans="1:8" x14ac:dyDescent="0.35">
      <c r="F55" s="38"/>
      <c r="G55" s="39"/>
      <c r="H55" s="40"/>
    </row>
    <row r="56" spans="1:8" x14ac:dyDescent="0.35">
      <c r="F56" s="38"/>
      <c r="G56" s="39"/>
      <c r="H56" s="40"/>
    </row>
    <row r="57" spans="1:8" x14ac:dyDescent="0.35">
      <c r="F57" s="38"/>
      <c r="G57" s="39"/>
      <c r="H57" s="40"/>
    </row>
    <row r="58" spans="1:8" x14ac:dyDescent="0.35">
      <c r="F58" s="38"/>
      <c r="G58" s="39"/>
      <c r="H58" s="40"/>
    </row>
    <row r="59" spans="1:8" x14ac:dyDescent="0.35">
      <c r="F59" s="38"/>
      <c r="G59" s="39"/>
      <c r="H59" s="40"/>
    </row>
    <row r="60" spans="1:8" x14ac:dyDescent="0.35">
      <c r="F60" s="38"/>
      <c r="G60" s="39"/>
      <c r="H60" s="40"/>
    </row>
    <row r="61" spans="1:8" x14ac:dyDescent="0.35">
      <c r="F61" s="38"/>
      <c r="G61" s="39"/>
      <c r="H61" s="40"/>
    </row>
    <row r="62" spans="1:8" x14ac:dyDescent="0.35">
      <c r="F62" s="38"/>
      <c r="G62" s="39"/>
      <c r="H62" s="40"/>
    </row>
    <row r="63" spans="1:8" x14ac:dyDescent="0.35">
      <c r="F63" s="38"/>
      <c r="G63" s="39"/>
      <c r="H63" s="40"/>
    </row>
    <row r="64" spans="1:8" x14ac:dyDescent="0.35">
      <c r="F64" s="38"/>
      <c r="G64" s="39"/>
      <c r="H64" s="40"/>
    </row>
    <row r="65" spans="6:8" x14ac:dyDescent="0.35">
      <c r="F65" s="38"/>
      <c r="G65" s="39"/>
      <c r="H65" s="40"/>
    </row>
    <row r="66" spans="6:8" x14ac:dyDescent="0.35">
      <c r="F66" s="38"/>
      <c r="G66" s="39"/>
      <c r="H66" s="40"/>
    </row>
    <row r="67" spans="6:8" x14ac:dyDescent="0.35">
      <c r="F67" s="38"/>
      <c r="G67" s="39"/>
      <c r="H67" s="40"/>
    </row>
    <row r="68" spans="6:8" x14ac:dyDescent="0.35">
      <c r="F68" s="38"/>
      <c r="G68" s="39"/>
      <c r="H68" s="40"/>
    </row>
    <row r="69" spans="6:8" x14ac:dyDescent="0.35">
      <c r="F69" s="38"/>
      <c r="G69" s="39"/>
      <c r="H69" s="40"/>
    </row>
    <row r="70" spans="6:8" x14ac:dyDescent="0.35">
      <c r="F70" s="38"/>
      <c r="G70" s="39"/>
      <c r="H70" s="40"/>
    </row>
    <row r="71" spans="6:8" x14ac:dyDescent="0.35">
      <c r="F71" s="38"/>
      <c r="G71" s="39"/>
      <c r="H71" s="40"/>
    </row>
    <row r="72" spans="6:8" x14ac:dyDescent="0.35">
      <c r="F72" s="38"/>
      <c r="G72" s="39"/>
      <c r="H72" s="40"/>
    </row>
    <row r="73" spans="6:8" x14ac:dyDescent="0.35">
      <c r="F73" s="38"/>
      <c r="G73" s="39"/>
      <c r="H73" s="40"/>
    </row>
    <row r="74" spans="6:8" x14ac:dyDescent="0.35">
      <c r="F74" s="38"/>
      <c r="G74" s="39"/>
      <c r="H74" s="40"/>
    </row>
    <row r="75" spans="6:8" x14ac:dyDescent="0.35">
      <c r="F75" s="38"/>
      <c r="G75" s="39"/>
      <c r="H75" s="40"/>
    </row>
    <row r="76" spans="6:8" x14ac:dyDescent="0.35">
      <c r="F76" s="38"/>
      <c r="G76" s="39"/>
      <c r="H76" s="40"/>
    </row>
    <row r="77" spans="6:8" x14ac:dyDescent="0.35">
      <c r="F77" s="38"/>
      <c r="G77" s="39"/>
      <c r="H77" s="40"/>
    </row>
    <row r="78" spans="6:8" x14ac:dyDescent="0.35">
      <c r="F78" s="38"/>
      <c r="G78" s="39"/>
      <c r="H78" s="40"/>
    </row>
    <row r="79" spans="6:8" x14ac:dyDescent="0.35">
      <c r="F79" s="38"/>
      <c r="G79" s="39"/>
      <c r="H79" s="40"/>
    </row>
    <row r="80" spans="6:8" x14ac:dyDescent="0.35">
      <c r="F80" s="38"/>
      <c r="G80" s="39"/>
      <c r="H80" s="40"/>
    </row>
    <row r="81" spans="6:8" x14ac:dyDescent="0.35">
      <c r="F81" s="38"/>
      <c r="G81" s="39"/>
      <c r="H81" s="40"/>
    </row>
    <row r="82" spans="6:8" x14ac:dyDescent="0.35">
      <c r="F82" s="38"/>
      <c r="G82" s="39"/>
      <c r="H82" s="40"/>
    </row>
    <row r="83" spans="6:8" x14ac:dyDescent="0.35">
      <c r="F83" s="38"/>
      <c r="G83" s="39"/>
      <c r="H83" s="40"/>
    </row>
    <row r="84" spans="6:8" x14ac:dyDescent="0.35">
      <c r="F84" s="38"/>
      <c r="G84" s="39"/>
      <c r="H84" s="40"/>
    </row>
    <row r="85" spans="6:8" x14ac:dyDescent="0.35">
      <c r="F85" s="38"/>
      <c r="G85" s="39"/>
      <c r="H85" s="40"/>
    </row>
    <row r="86" spans="6:8" x14ac:dyDescent="0.35">
      <c r="F86" s="38"/>
      <c r="G86" s="39"/>
      <c r="H86" s="40"/>
    </row>
    <row r="87" spans="6:8" x14ac:dyDescent="0.35">
      <c r="F87" s="38"/>
      <c r="G87" s="39"/>
      <c r="H87" s="40"/>
    </row>
    <row r="88" spans="6:8" x14ac:dyDescent="0.35">
      <c r="F88" s="38"/>
      <c r="G88" s="39"/>
      <c r="H88" s="40"/>
    </row>
    <row r="89" spans="6:8" x14ac:dyDescent="0.35">
      <c r="F89" s="38"/>
      <c r="G89" s="39"/>
      <c r="H89" s="40"/>
    </row>
    <row r="90" spans="6:8" x14ac:dyDescent="0.35">
      <c r="F90" s="38"/>
      <c r="G90" s="39"/>
      <c r="H90" s="40"/>
    </row>
    <row r="91" spans="6:8" x14ac:dyDescent="0.35">
      <c r="F91" s="38"/>
      <c r="G91" s="39"/>
      <c r="H91" s="40"/>
    </row>
    <row r="92" spans="6:8" x14ac:dyDescent="0.35">
      <c r="F92" s="38"/>
      <c r="G92" s="39"/>
      <c r="H92" s="40"/>
    </row>
    <row r="93" spans="6:8" x14ac:dyDescent="0.35">
      <c r="F93" s="38"/>
      <c r="G93" s="39"/>
      <c r="H93" s="40"/>
    </row>
    <row r="94" spans="6:8" x14ac:dyDescent="0.35">
      <c r="F94" s="38"/>
      <c r="G94" s="39"/>
      <c r="H94" s="40"/>
    </row>
    <row r="95" spans="6:8" x14ac:dyDescent="0.35">
      <c r="F95" s="38"/>
      <c r="G95" s="39"/>
      <c r="H95" s="40"/>
    </row>
    <row r="96" spans="6:8" x14ac:dyDescent="0.35">
      <c r="F96" s="38"/>
      <c r="G96" s="39"/>
      <c r="H96" s="40"/>
    </row>
    <row r="97" spans="6:8" x14ac:dyDescent="0.35">
      <c r="F97" s="38"/>
      <c r="G97" s="39"/>
      <c r="H97" s="40"/>
    </row>
    <row r="98" spans="6:8" x14ac:dyDescent="0.35">
      <c r="F98" s="38"/>
      <c r="G98" s="39"/>
      <c r="H98" s="40"/>
    </row>
    <row r="99" spans="6:8" x14ac:dyDescent="0.35">
      <c r="F99" s="38"/>
      <c r="G99" s="39"/>
      <c r="H99" s="40"/>
    </row>
    <row r="100" spans="6:8" x14ac:dyDescent="0.35">
      <c r="F100" s="38"/>
      <c r="G100" s="39"/>
      <c r="H100" s="40"/>
    </row>
    <row r="101" spans="6:8" x14ac:dyDescent="0.35">
      <c r="F101" s="38"/>
      <c r="G101" s="39"/>
      <c r="H101" s="40"/>
    </row>
    <row r="102" spans="6:8" x14ac:dyDescent="0.35">
      <c r="F102" s="38"/>
      <c r="G102" s="39"/>
      <c r="H102" s="40"/>
    </row>
    <row r="103" spans="6:8" x14ac:dyDescent="0.35">
      <c r="F103" s="38"/>
      <c r="G103" s="39"/>
      <c r="H103" s="40"/>
    </row>
    <row r="104" spans="6:8" x14ac:dyDescent="0.35">
      <c r="F104" s="38"/>
      <c r="G104" s="39"/>
      <c r="H104" s="40"/>
    </row>
    <row r="105" spans="6:8" x14ac:dyDescent="0.35">
      <c r="F105" s="38"/>
      <c r="G105" s="39"/>
      <c r="H105" s="40"/>
    </row>
    <row r="106" spans="6:8" x14ac:dyDescent="0.35">
      <c r="F106" s="38"/>
      <c r="G106" s="39"/>
      <c r="H106" s="40"/>
    </row>
    <row r="107" spans="6:8" x14ac:dyDescent="0.35">
      <c r="F107" s="38"/>
      <c r="G107" s="39"/>
      <c r="H107" s="40"/>
    </row>
    <row r="108" spans="6:8" x14ac:dyDescent="0.35">
      <c r="F108" s="38"/>
      <c r="G108" s="39"/>
      <c r="H108" s="40"/>
    </row>
    <row r="109" spans="6:8" x14ac:dyDescent="0.35">
      <c r="F109" s="38"/>
      <c r="G109" s="39"/>
      <c r="H109" s="40"/>
    </row>
    <row r="110" spans="6:8" x14ac:dyDescent="0.35">
      <c r="F110" s="38"/>
      <c r="G110" s="39"/>
      <c r="H110" s="40"/>
    </row>
    <row r="111" spans="6:8" x14ac:dyDescent="0.35">
      <c r="F111" s="38"/>
      <c r="G111" s="39"/>
      <c r="H111" s="40"/>
    </row>
    <row r="112" spans="6:8" x14ac:dyDescent="0.35">
      <c r="F112" s="38"/>
      <c r="G112" s="39"/>
      <c r="H112" s="40"/>
    </row>
    <row r="113" spans="6:8" x14ac:dyDescent="0.35">
      <c r="F113" s="38"/>
      <c r="G113" s="39"/>
      <c r="H113" s="40"/>
    </row>
    <row r="114" spans="6:8" x14ac:dyDescent="0.35">
      <c r="F114" s="38"/>
      <c r="G114" s="39"/>
      <c r="H114" s="40"/>
    </row>
    <row r="115" spans="6:8" x14ac:dyDescent="0.35">
      <c r="F115" s="38"/>
      <c r="G115" s="39"/>
      <c r="H115" s="40"/>
    </row>
    <row r="116" spans="6:8" x14ac:dyDescent="0.35">
      <c r="F116" s="38"/>
      <c r="G116" s="39"/>
      <c r="H116" s="40"/>
    </row>
    <row r="117" spans="6:8" x14ac:dyDescent="0.35">
      <c r="F117" s="38"/>
      <c r="G117" s="39"/>
      <c r="H117" s="40"/>
    </row>
    <row r="118" spans="6:8" x14ac:dyDescent="0.35">
      <c r="F118" s="38"/>
      <c r="G118" s="39"/>
      <c r="H118" s="40"/>
    </row>
    <row r="119" spans="6:8" x14ac:dyDescent="0.35">
      <c r="F119" s="38"/>
      <c r="G119" s="39"/>
      <c r="H119" s="40"/>
    </row>
    <row r="120" spans="6:8" x14ac:dyDescent="0.35">
      <c r="F120" s="38"/>
      <c r="G120" s="39"/>
      <c r="H120" s="40"/>
    </row>
    <row r="121" spans="6:8" x14ac:dyDescent="0.35">
      <c r="F121" s="38"/>
      <c r="G121" s="39"/>
      <c r="H121" s="40"/>
    </row>
    <row r="122" spans="6:8" x14ac:dyDescent="0.35">
      <c r="F122" s="38"/>
      <c r="G122" s="39"/>
      <c r="H122" s="40"/>
    </row>
    <row r="123" spans="6:8" x14ac:dyDescent="0.35">
      <c r="F123" s="38"/>
      <c r="G123" s="39"/>
      <c r="H123" s="40"/>
    </row>
    <row r="124" spans="6:8" x14ac:dyDescent="0.35">
      <c r="F124" s="38"/>
      <c r="G124" s="39"/>
      <c r="H124" s="40"/>
    </row>
    <row r="125" spans="6:8" x14ac:dyDescent="0.35">
      <c r="F125" s="38"/>
      <c r="G125" s="39"/>
      <c r="H125" s="40"/>
    </row>
    <row r="126" spans="6:8" x14ac:dyDescent="0.35">
      <c r="F126" s="38"/>
      <c r="G126" s="39"/>
      <c r="H126" s="40"/>
    </row>
    <row r="127" spans="6:8" x14ac:dyDescent="0.35">
      <c r="F127" s="38"/>
      <c r="G127" s="39"/>
      <c r="H127" s="40"/>
    </row>
    <row r="128" spans="6:8" x14ac:dyDescent="0.35">
      <c r="F128" s="38"/>
      <c r="G128" s="39"/>
      <c r="H128" s="40"/>
    </row>
    <row r="129" spans="6:8" x14ac:dyDescent="0.35">
      <c r="F129" s="38"/>
      <c r="G129" s="39"/>
      <c r="H129" s="40"/>
    </row>
    <row r="130" spans="6:8" x14ac:dyDescent="0.35">
      <c r="F130" s="38"/>
      <c r="G130" s="39"/>
      <c r="H130" s="40"/>
    </row>
    <row r="131" spans="6:8" x14ac:dyDescent="0.35">
      <c r="F131" s="38"/>
      <c r="G131" s="39"/>
      <c r="H131" s="40"/>
    </row>
    <row r="132" spans="6:8" x14ac:dyDescent="0.35">
      <c r="F132" s="38"/>
      <c r="G132" s="39"/>
      <c r="H132" s="40"/>
    </row>
    <row r="133" spans="6:8" x14ac:dyDescent="0.35">
      <c r="F133" s="38"/>
      <c r="G133" s="39"/>
      <c r="H133" s="40"/>
    </row>
    <row r="134" spans="6:8" x14ac:dyDescent="0.35">
      <c r="F134" s="38"/>
      <c r="G134" s="39"/>
      <c r="H134" s="40"/>
    </row>
    <row r="135" spans="6:8" x14ac:dyDescent="0.35">
      <c r="F135" s="38"/>
      <c r="G135" s="39"/>
      <c r="H135" s="40"/>
    </row>
    <row r="136" spans="6:8" x14ac:dyDescent="0.35">
      <c r="F136" s="38"/>
      <c r="G136" s="39"/>
      <c r="H136" s="40"/>
    </row>
    <row r="137" spans="6:8" x14ac:dyDescent="0.35">
      <c r="F137" s="38"/>
      <c r="G137" s="39"/>
      <c r="H137" s="40"/>
    </row>
    <row r="138" spans="6:8" x14ac:dyDescent="0.35">
      <c r="F138" s="38"/>
      <c r="G138" s="39"/>
      <c r="H138" s="40"/>
    </row>
    <row r="139" spans="6:8" x14ac:dyDescent="0.35">
      <c r="F139" s="38"/>
      <c r="G139" s="39"/>
      <c r="H139" s="40"/>
    </row>
    <row r="140" spans="6:8" x14ac:dyDescent="0.35">
      <c r="F140" s="38"/>
      <c r="G140" s="39"/>
      <c r="H140" s="40"/>
    </row>
    <row r="141" spans="6:8" x14ac:dyDescent="0.35">
      <c r="F141" s="38"/>
      <c r="G141" s="39"/>
      <c r="H141" s="40"/>
    </row>
    <row r="142" spans="6:8" x14ac:dyDescent="0.35">
      <c r="F142" s="38"/>
      <c r="G142" s="39"/>
      <c r="H142" s="40"/>
    </row>
    <row r="143" spans="6:8" x14ac:dyDescent="0.35">
      <c r="F143" s="38"/>
      <c r="G143" s="39"/>
      <c r="H143" s="40"/>
    </row>
    <row r="144" spans="6:8" x14ac:dyDescent="0.35">
      <c r="F144" s="38"/>
      <c r="G144" s="39"/>
      <c r="H144" s="40"/>
    </row>
    <row r="145" spans="6:8" x14ac:dyDescent="0.35">
      <c r="F145" s="38"/>
      <c r="G145" s="39"/>
      <c r="H145" s="40"/>
    </row>
    <row r="146" spans="6:8" x14ac:dyDescent="0.35">
      <c r="F146" s="38"/>
      <c r="G146" s="39"/>
      <c r="H146" s="40"/>
    </row>
    <row r="147" spans="6:8" x14ac:dyDescent="0.35">
      <c r="F147" s="38"/>
      <c r="G147" s="39"/>
      <c r="H147" s="40"/>
    </row>
    <row r="148" spans="6:8" x14ac:dyDescent="0.35">
      <c r="F148" s="38"/>
      <c r="G148" s="39"/>
      <c r="H148" s="40"/>
    </row>
    <row r="149" spans="6:8" x14ac:dyDescent="0.35">
      <c r="F149" s="38"/>
      <c r="G149" s="39"/>
      <c r="H149" s="40"/>
    </row>
    <row r="150" spans="6:8" x14ac:dyDescent="0.35">
      <c r="F150" s="38"/>
      <c r="G150" s="39"/>
      <c r="H150" s="40"/>
    </row>
    <row r="151" spans="6:8" x14ac:dyDescent="0.35">
      <c r="F151" s="38"/>
      <c r="G151" s="39"/>
      <c r="H151" s="40"/>
    </row>
    <row r="152" spans="6:8" x14ac:dyDescent="0.35">
      <c r="F152" s="38"/>
      <c r="G152" s="39"/>
      <c r="H152" s="40"/>
    </row>
    <row r="153" spans="6:8" x14ac:dyDescent="0.35">
      <c r="F153" s="38"/>
      <c r="G153" s="39"/>
      <c r="H153" s="40"/>
    </row>
    <row r="154" spans="6:8" x14ac:dyDescent="0.35">
      <c r="F154" s="38"/>
      <c r="G154" s="39"/>
      <c r="H154" s="40"/>
    </row>
    <row r="155" spans="6:8" x14ac:dyDescent="0.35">
      <c r="F155" s="38"/>
      <c r="G155" s="39"/>
      <c r="H155" s="40"/>
    </row>
    <row r="156" spans="6:8" x14ac:dyDescent="0.35">
      <c r="F156" s="38"/>
      <c r="G156" s="39"/>
      <c r="H156" s="40"/>
    </row>
    <row r="157" spans="6:8" x14ac:dyDescent="0.35">
      <c r="F157" s="38"/>
      <c r="G157" s="39"/>
      <c r="H157" s="40"/>
    </row>
    <row r="158" spans="6:8" x14ac:dyDescent="0.35">
      <c r="F158" s="38"/>
      <c r="G158" s="39"/>
      <c r="H158" s="40"/>
    </row>
    <row r="159" spans="6:8" x14ac:dyDescent="0.35">
      <c r="F159" s="38"/>
      <c r="G159" s="39"/>
      <c r="H159" s="40"/>
    </row>
    <row r="160" spans="6:8" x14ac:dyDescent="0.35">
      <c r="F160" s="38"/>
      <c r="G160" s="39"/>
      <c r="H160" s="40"/>
    </row>
    <row r="161" spans="6:8" x14ac:dyDescent="0.35">
      <c r="F161" s="38"/>
      <c r="G161" s="39"/>
      <c r="H161" s="40"/>
    </row>
    <row r="162" spans="6:8" x14ac:dyDescent="0.35">
      <c r="F162" s="38"/>
      <c r="G162" s="39"/>
      <c r="H162" s="40"/>
    </row>
    <row r="163" spans="6:8" x14ac:dyDescent="0.35">
      <c r="F163" s="38"/>
      <c r="G163" s="39"/>
      <c r="H163" s="40"/>
    </row>
    <row r="164" spans="6:8" x14ac:dyDescent="0.35">
      <c r="F164" s="38"/>
      <c r="G164" s="39"/>
      <c r="H164" s="40"/>
    </row>
    <row r="165" spans="6:8" x14ac:dyDescent="0.35">
      <c r="F165" s="38"/>
      <c r="G165" s="39"/>
      <c r="H165" s="40"/>
    </row>
    <row r="166" spans="6:8" x14ac:dyDescent="0.35">
      <c r="F166" s="38"/>
      <c r="G166" s="39"/>
      <c r="H166" s="40"/>
    </row>
    <row r="167" spans="6:8" x14ac:dyDescent="0.35">
      <c r="F167" s="38"/>
      <c r="G167" s="39"/>
      <c r="H167" s="40"/>
    </row>
    <row r="168" spans="6:8" x14ac:dyDescent="0.35">
      <c r="F168" s="38"/>
      <c r="G168" s="39"/>
      <c r="H168" s="40"/>
    </row>
    <row r="169" spans="6:8" x14ac:dyDescent="0.35">
      <c r="F169" s="38"/>
      <c r="G169" s="39"/>
      <c r="H169" s="40"/>
    </row>
    <row r="170" spans="6:8" x14ac:dyDescent="0.35">
      <c r="F170" s="38"/>
      <c r="G170" s="39"/>
      <c r="H170" s="40"/>
    </row>
    <row r="171" spans="6:8" x14ac:dyDescent="0.35">
      <c r="F171" s="38"/>
      <c r="G171" s="39"/>
      <c r="H171" s="40"/>
    </row>
    <row r="172" spans="6:8" x14ac:dyDescent="0.35">
      <c r="F172" s="38"/>
      <c r="G172" s="39"/>
      <c r="H172" s="40"/>
    </row>
    <row r="173" spans="6:8" x14ac:dyDescent="0.35">
      <c r="F173" s="38"/>
      <c r="G173" s="39"/>
      <c r="H173" s="40"/>
    </row>
    <row r="174" spans="6:8" x14ac:dyDescent="0.35">
      <c r="F174" s="38"/>
      <c r="G174" s="39"/>
      <c r="H174" s="40"/>
    </row>
    <row r="175" spans="6:8" x14ac:dyDescent="0.35">
      <c r="F175" s="38"/>
      <c r="G175" s="39"/>
      <c r="H175" s="40"/>
    </row>
    <row r="176" spans="6:8" x14ac:dyDescent="0.35">
      <c r="F176" s="38"/>
      <c r="G176" s="39"/>
      <c r="H176" s="40"/>
    </row>
    <row r="177" spans="6:8" x14ac:dyDescent="0.35">
      <c r="F177" s="38"/>
      <c r="G177" s="39"/>
      <c r="H177" s="40"/>
    </row>
    <row r="178" spans="6:8" x14ac:dyDescent="0.35">
      <c r="F178" s="38"/>
      <c r="G178" s="39"/>
      <c r="H178" s="40"/>
    </row>
    <row r="179" spans="6:8" x14ac:dyDescent="0.35">
      <c r="F179" s="38"/>
      <c r="G179" s="39"/>
      <c r="H179" s="40"/>
    </row>
    <row r="180" spans="6:8" x14ac:dyDescent="0.35">
      <c r="F180" s="38"/>
      <c r="G180" s="39"/>
      <c r="H180" s="40"/>
    </row>
    <row r="181" spans="6:8" x14ac:dyDescent="0.35">
      <c r="F181" s="38"/>
      <c r="G181" s="39"/>
      <c r="H181" s="40"/>
    </row>
    <row r="182" spans="6:8" x14ac:dyDescent="0.35">
      <c r="F182" s="38"/>
      <c r="G182" s="39"/>
      <c r="H182" s="40"/>
    </row>
    <row r="183" spans="6:8" x14ac:dyDescent="0.35">
      <c r="F183" s="38"/>
      <c r="G183" s="39"/>
      <c r="H183" s="40"/>
    </row>
    <row r="184" spans="6:8" x14ac:dyDescent="0.35">
      <c r="F184" s="38"/>
      <c r="G184" s="39"/>
      <c r="H184" s="40"/>
    </row>
    <row r="185" spans="6:8" x14ac:dyDescent="0.35">
      <c r="F185" s="38"/>
      <c r="G185" s="39"/>
      <c r="H185" s="40"/>
    </row>
    <row r="186" spans="6:8" x14ac:dyDescent="0.35">
      <c r="F186" s="38"/>
      <c r="G186" s="39"/>
      <c r="H186" s="40"/>
    </row>
    <row r="187" spans="6:8" x14ac:dyDescent="0.35">
      <c r="F187" s="38"/>
      <c r="G187" s="39"/>
      <c r="H187" s="40"/>
    </row>
    <row r="188" spans="6:8" x14ac:dyDescent="0.35">
      <c r="F188" s="38"/>
      <c r="G188" s="39"/>
      <c r="H188" s="40"/>
    </row>
    <row r="189" spans="6:8" x14ac:dyDescent="0.35">
      <c r="F189" s="38"/>
      <c r="G189" s="39"/>
      <c r="H189" s="40"/>
    </row>
    <row r="190" spans="6:8" x14ac:dyDescent="0.35">
      <c r="F190" s="38"/>
      <c r="G190" s="39"/>
      <c r="H190" s="40"/>
    </row>
    <row r="191" spans="6:8" x14ac:dyDescent="0.35">
      <c r="F191" s="38"/>
      <c r="G191" s="39"/>
      <c r="H191" s="40"/>
    </row>
    <row r="192" spans="6:8" x14ac:dyDescent="0.35">
      <c r="F192" s="38"/>
      <c r="G192" s="39"/>
      <c r="H192" s="40"/>
    </row>
    <row r="193" spans="6:8" x14ac:dyDescent="0.35">
      <c r="F193" s="38"/>
      <c r="G193" s="39"/>
      <c r="H193" s="40"/>
    </row>
    <row r="194" spans="6:8" x14ac:dyDescent="0.35">
      <c r="F194" s="38"/>
      <c r="G194" s="39"/>
      <c r="H194" s="40"/>
    </row>
    <row r="195" spans="6:8" x14ac:dyDescent="0.35">
      <c r="F195" s="38"/>
      <c r="G195" s="39"/>
      <c r="H195" s="40"/>
    </row>
    <row r="196" spans="6:8" x14ac:dyDescent="0.35">
      <c r="F196" s="38"/>
      <c r="G196" s="39"/>
      <c r="H196" s="40"/>
    </row>
    <row r="197" spans="6:8" x14ac:dyDescent="0.35">
      <c r="F197" s="38"/>
      <c r="G197" s="39"/>
      <c r="H197" s="40"/>
    </row>
    <row r="198" spans="6:8" x14ac:dyDescent="0.35">
      <c r="F198" s="38"/>
      <c r="G198" s="39"/>
      <c r="H198" s="40"/>
    </row>
    <row r="199" spans="6:8" x14ac:dyDescent="0.35">
      <c r="F199" s="38"/>
      <c r="G199" s="39"/>
      <c r="H199" s="40"/>
    </row>
    <row r="200" spans="6:8" x14ac:dyDescent="0.35">
      <c r="F200" s="38"/>
      <c r="G200" s="39"/>
      <c r="H200" s="40"/>
    </row>
    <row r="201" spans="6:8" x14ac:dyDescent="0.35">
      <c r="F201" s="38"/>
      <c r="G201" s="39"/>
      <c r="H201" s="40"/>
    </row>
    <row r="202" spans="6:8" x14ac:dyDescent="0.35">
      <c r="F202" s="38"/>
      <c r="G202" s="39"/>
      <c r="H202" s="40"/>
    </row>
    <row r="203" spans="6:8" x14ac:dyDescent="0.35">
      <c r="F203" s="38"/>
      <c r="G203" s="39"/>
      <c r="H203" s="40"/>
    </row>
    <row r="204" spans="6:8" x14ac:dyDescent="0.35">
      <c r="F204" s="38"/>
      <c r="G204" s="39"/>
      <c r="H204" s="40"/>
    </row>
    <row r="205" spans="6:8" x14ac:dyDescent="0.35">
      <c r="F205" s="38"/>
      <c r="G205" s="39"/>
      <c r="H205" s="40"/>
    </row>
    <row r="206" spans="6:8" x14ac:dyDescent="0.35">
      <c r="F206" s="38"/>
      <c r="G206" s="39"/>
      <c r="H206" s="40"/>
    </row>
    <row r="207" spans="6:8" x14ac:dyDescent="0.35">
      <c r="F207" s="38"/>
      <c r="G207" s="39"/>
      <c r="H207" s="40"/>
    </row>
    <row r="208" spans="6:8" x14ac:dyDescent="0.35">
      <c r="F208" s="38"/>
      <c r="G208" s="39"/>
      <c r="H208" s="40"/>
    </row>
    <row r="209" spans="6:8" x14ac:dyDescent="0.35">
      <c r="F209" s="38"/>
      <c r="G209" s="39"/>
      <c r="H209" s="40"/>
    </row>
    <row r="210" spans="6:8" x14ac:dyDescent="0.35">
      <c r="F210" s="38"/>
      <c r="G210" s="39"/>
      <c r="H210" s="40"/>
    </row>
    <row r="211" spans="6:8" x14ac:dyDescent="0.35">
      <c r="F211" s="38"/>
      <c r="G211" s="39"/>
      <c r="H211" s="40"/>
    </row>
    <row r="212" spans="6:8" x14ac:dyDescent="0.35">
      <c r="F212" s="38"/>
      <c r="G212" s="39"/>
      <c r="H212" s="40"/>
    </row>
    <row r="213" spans="6:8" x14ac:dyDescent="0.35">
      <c r="F213" s="38"/>
      <c r="G213" s="39"/>
      <c r="H213" s="40"/>
    </row>
    <row r="214" spans="6:8" x14ac:dyDescent="0.35">
      <c r="F214" s="38"/>
      <c r="G214" s="39"/>
      <c r="H214" s="40"/>
    </row>
    <row r="215" spans="6:8" x14ac:dyDescent="0.35">
      <c r="F215" s="38"/>
      <c r="G215" s="39"/>
      <c r="H215" s="40"/>
    </row>
    <row r="216" spans="6:8" x14ac:dyDescent="0.35">
      <c r="F216" s="38"/>
      <c r="G216" s="39"/>
      <c r="H216" s="40"/>
    </row>
    <row r="217" spans="6:8" x14ac:dyDescent="0.35">
      <c r="F217" s="38"/>
      <c r="G217" s="39"/>
      <c r="H217" s="40"/>
    </row>
    <row r="218" spans="6:8" x14ac:dyDescent="0.35">
      <c r="F218" s="38"/>
      <c r="G218" s="39"/>
      <c r="H218" s="40"/>
    </row>
    <row r="219" spans="6:8" x14ac:dyDescent="0.35">
      <c r="F219" s="38"/>
      <c r="G219" s="39"/>
      <c r="H219" s="40"/>
    </row>
    <row r="220" spans="6:8" x14ac:dyDescent="0.35">
      <c r="F220" s="38"/>
      <c r="G220" s="39"/>
      <c r="H220" s="40"/>
    </row>
    <row r="221" spans="6:8" x14ac:dyDescent="0.35">
      <c r="F221" s="38"/>
      <c r="G221" s="39"/>
      <c r="H221" s="40"/>
    </row>
    <row r="222" spans="6:8" x14ac:dyDescent="0.35">
      <c r="F222" s="38"/>
      <c r="G222" s="39"/>
      <c r="H222" s="40"/>
    </row>
    <row r="223" spans="6:8" x14ac:dyDescent="0.35">
      <c r="F223" s="38"/>
      <c r="G223" s="39"/>
      <c r="H223" s="40"/>
    </row>
    <row r="224" spans="6:8" x14ac:dyDescent="0.35">
      <c r="F224" s="38"/>
      <c r="G224" s="39"/>
      <c r="H224" s="40"/>
    </row>
    <row r="225" spans="6:8" x14ac:dyDescent="0.35">
      <c r="F225" s="38"/>
      <c r="G225" s="39"/>
      <c r="H225" s="40"/>
    </row>
    <row r="226" spans="6:8" x14ac:dyDescent="0.35">
      <c r="F226" s="38"/>
      <c r="G226" s="39"/>
      <c r="H226" s="40"/>
    </row>
    <row r="227" spans="6:8" x14ac:dyDescent="0.35">
      <c r="F227" s="38"/>
      <c r="G227" s="39"/>
      <c r="H227" s="40"/>
    </row>
    <row r="228" spans="6:8" x14ac:dyDescent="0.35">
      <c r="F228" s="38"/>
      <c r="G228" s="39"/>
      <c r="H228" s="40"/>
    </row>
    <row r="229" spans="6:8" x14ac:dyDescent="0.35">
      <c r="F229" s="38"/>
      <c r="G229" s="39"/>
      <c r="H229" s="40"/>
    </row>
    <row r="230" spans="6:8" x14ac:dyDescent="0.35">
      <c r="F230" s="38"/>
      <c r="G230" s="39"/>
      <c r="H230" s="40"/>
    </row>
    <row r="231" spans="6:8" x14ac:dyDescent="0.35">
      <c r="F231" s="38"/>
      <c r="G231" s="39"/>
      <c r="H231" s="40"/>
    </row>
    <row r="232" spans="6:8" x14ac:dyDescent="0.35">
      <c r="F232" s="38"/>
      <c r="G232" s="39"/>
      <c r="H232" s="40"/>
    </row>
    <row r="233" spans="6:8" x14ac:dyDescent="0.35">
      <c r="F233" s="38"/>
      <c r="G233" s="39"/>
      <c r="H233" s="40"/>
    </row>
    <row r="234" spans="6:8" x14ac:dyDescent="0.35">
      <c r="F234" s="38"/>
      <c r="G234" s="39"/>
      <c r="H234" s="40"/>
    </row>
    <row r="235" spans="6:8" x14ac:dyDescent="0.35">
      <c r="F235" s="38"/>
      <c r="G235" s="39"/>
      <c r="H235" s="40"/>
    </row>
    <row r="236" spans="6:8" x14ac:dyDescent="0.35">
      <c r="F236" s="38"/>
      <c r="G236" s="39"/>
      <c r="H236" s="40"/>
    </row>
    <row r="237" spans="6:8" x14ac:dyDescent="0.35">
      <c r="F237" s="38"/>
      <c r="G237" s="39"/>
      <c r="H237" s="40"/>
    </row>
    <row r="238" spans="6:8" x14ac:dyDescent="0.35">
      <c r="F238" s="38"/>
      <c r="G238" s="39"/>
      <c r="H238" s="40"/>
    </row>
    <row r="239" spans="6:8" x14ac:dyDescent="0.35">
      <c r="F239" s="38"/>
      <c r="G239" s="39"/>
      <c r="H239" s="40"/>
    </row>
    <row r="240" spans="6:8" x14ac:dyDescent="0.35">
      <c r="F240" s="38"/>
      <c r="G240" s="39"/>
      <c r="H240" s="40"/>
    </row>
    <row r="241" spans="6:8" x14ac:dyDescent="0.35">
      <c r="F241" s="38"/>
      <c r="G241" s="39"/>
      <c r="H241" s="40"/>
    </row>
    <row r="242" spans="6:8" x14ac:dyDescent="0.35">
      <c r="F242" s="38"/>
      <c r="G242" s="39"/>
      <c r="H242" s="40"/>
    </row>
    <row r="243" spans="6:8" x14ac:dyDescent="0.35">
      <c r="F243" s="38"/>
      <c r="G243" s="39"/>
      <c r="H243" s="40"/>
    </row>
    <row r="244" spans="6:8" x14ac:dyDescent="0.35">
      <c r="F244" s="38"/>
      <c r="G244" s="39"/>
      <c r="H244" s="40"/>
    </row>
    <row r="245" spans="6:8" x14ac:dyDescent="0.35">
      <c r="F245" s="38"/>
      <c r="G245" s="39"/>
      <c r="H245" s="40"/>
    </row>
    <row r="246" spans="6:8" x14ac:dyDescent="0.35">
      <c r="F246" s="38"/>
      <c r="G246" s="39"/>
      <c r="H246" s="40"/>
    </row>
    <row r="247" spans="6:8" x14ac:dyDescent="0.35">
      <c r="F247" s="38"/>
      <c r="G247" s="39"/>
      <c r="H247" s="40"/>
    </row>
    <row r="248" spans="6:8" x14ac:dyDescent="0.35">
      <c r="F248" s="38"/>
      <c r="G248" s="39"/>
      <c r="H248" s="40"/>
    </row>
    <row r="249" spans="6:8" x14ac:dyDescent="0.35">
      <c r="F249" s="38"/>
      <c r="G249" s="39"/>
      <c r="H249" s="40"/>
    </row>
    <row r="250" spans="6:8" x14ac:dyDescent="0.35">
      <c r="F250" s="38"/>
      <c r="G250" s="39"/>
      <c r="H250" s="40"/>
    </row>
    <row r="251" spans="6:8" x14ac:dyDescent="0.35">
      <c r="F251" s="38"/>
      <c r="G251" s="39"/>
      <c r="H251" s="40"/>
    </row>
    <row r="252" spans="6:8" x14ac:dyDescent="0.35">
      <c r="F252" s="38"/>
      <c r="G252" s="39"/>
      <c r="H252" s="40"/>
    </row>
    <row r="253" spans="6:8" x14ac:dyDescent="0.35">
      <c r="F253" s="38"/>
      <c r="G253" s="39"/>
      <c r="H253" s="40"/>
    </row>
    <row r="254" spans="6:8" x14ac:dyDescent="0.35">
      <c r="F254" s="38"/>
      <c r="G254" s="39"/>
      <c r="H254" s="40"/>
    </row>
    <row r="255" spans="6:8" x14ac:dyDescent="0.35">
      <c r="F255" s="38"/>
      <c r="G255" s="39"/>
      <c r="H255" s="40"/>
    </row>
    <row r="256" spans="6:8" x14ac:dyDescent="0.35">
      <c r="F256" s="38"/>
      <c r="G256" s="39"/>
      <c r="H256" s="40"/>
    </row>
    <row r="257" spans="6:8" x14ac:dyDescent="0.35">
      <c r="F257" s="38"/>
      <c r="G257" s="39"/>
      <c r="H257" s="40"/>
    </row>
    <row r="258" spans="6:8" x14ac:dyDescent="0.35">
      <c r="F258" s="38"/>
      <c r="G258" s="39"/>
      <c r="H258" s="40"/>
    </row>
    <row r="259" spans="6:8" x14ac:dyDescent="0.35">
      <c r="F259" s="38"/>
      <c r="G259" s="39"/>
      <c r="H259" s="40"/>
    </row>
    <row r="260" spans="6:8" x14ac:dyDescent="0.35">
      <c r="F260" s="38"/>
      <c r="G260" s="39"/>
      <c r="H260" s="40"/>
    </row>
    <row r="261" spans="6:8" x14ac:dyDescent="0.35">
      <c r="F261" s="38"/>
      <c r="G261" s="39"/>
      <c r="H261" s="40"/>
    </row>
    <row r="262" spans="6:8" x14ac:dyDescent="0.35">
      <c r="F262" s="38"/>
      <c r="G262" s="39"/>
      <c r="H262" s="40"/>
    </row>
    <row r="263" spans="6:8" x14ac:dyDescent="0.35">
      <c r="F263" s="38"/>
      <c r="G263" s="39"/>
      <c r="H263" s="40"/>
    </row>
    <row r="264" spans="6:8" x14ac:dyDescent="0.35">
      <c r="F264" s="38"/>
      <c r="G264" s="39"/>
      <c r="H264" s="40"/>
    </row>
    <row r="265" spans="6:8" x14ac:dyDescent="0.35">
      <c r="F265" s="38"/>
      <c r="G265" s="39"/>
      <c r="H265" s="40"/>
    </row>
    <row r="266" spans="6:8" x14ac:dyDescent="0.35">
      <c r="F266" s="38"/>
      <c r="G266" s="39"/>
      <c r="H266" s="40"/>
    </row>
    <row r="267" spans="6:8" x14ac:dyDescent="0.35">
      <c r="F267" s="38"/>
      <c r="G267" s="39"/>
      <c r="H267" s="40"/>
    </row>
    <row r="268" spans="6:8" x14ac:dyDescent="0.35">
      <c r="F268" s="38"/>
      <c r="G268" s="39"/>
      <c r="H268" s="40"/>
    </row>
    <row r="269" spans="6:8" x14ac:dyDescent="0.35">
      <c r="F269" s="38"/>
      <c r="G269" s="39"/>
      <c r="H269" s="40"/>
    </row>
    <row r="270" spans="6:8" x14ac:dyDescent="0.35">
      <c r="F270" s="38"/>
      <c r="G270" s="39"/>
      <c r="H270" s="40"/>
    </row>
    <row r="271" spans="6:8" x14ac:dyDescent="0.35">
      <c r="F271" s="38"/>
      <c r="G271" s="39"/>
      <c r="H271" s="40"/>
    </row>
    <row r="272" spans="6:8" x14ac:dyDescent="0.35">
      <c r="F272" s="38"/>
      <c r="G272" s="39"/>
      <c r="H272" s="40"/>
    </row>
    <row r="273" spans="6:8" x14ac:dyDescent="0.35">
      <c r="F273" s="38"/>
      <c r="G273" s="39"/>
      <c r="H273" s="40"/>
    </row>
    <row r="274" spans="6:8" x14ac:dyDescent="0.35">
      <c r="F274" s="38"/>
      <c r="G274" s="39"/>
      <c r="H274" s="40"/>
    </row>
    <row r="275" spans="6:8" x14ac:dyDescent="0.35">
      <c r="F275" s="38"/>
      <c r="G275" s="39"/>
      <c r="H275" s="40"/>
    </row>
    <row r="276" spans="6:8" x14ac:dyDescent="0.35">
      <c r="F276" s="38"/>
      <c r="G276" s="39"/>
      <c r="H276" s="40"/>
    </row>
    <row r="277" spans="6:8" x14ac:dyDescent="0.35">
      <c r="F277" s="38"/>
      <c r="G277" s="39"/>
      <c r="H277" s="40"/>
    </row>
    <row r="278" spans="6:8" x14ac:dyDescent="0.35">
      <c r="F278" s="38"/>
      <c r="G278" s="39"/>
      <c r="H278" s="40"/>
    </row>
    <row r="279" spans="6:8" x14ac:dyDescent="0.35">
      <c r="F279" s="38"/>
      <c r="G279" s="39"/>
      <c r="H279" s="40"/>
    </row>
    <row r="280" spans="6:8" x14ac:dyDescent="0.35">
      <c r="F280" s="38"/>
      <c r="G280" s="39"/>
      <c r="H280" s="40"/>
    </row>
    <row r="281" spans="6:8" x14ac:dyDescent="0.35">
      <c r="F281" s="38"/>
      <c r="G281" s="39"/>
      <c r="H281" s="40"/>
    </row>
    <row r="282" spans="6:8" x14ac:dyDescent="0.35">
      <c r="F282" s="38"/>
      <c r="G282" s="39"/>
      <c r="H282" s="40"/>
    </row>
    <row r="283" spans="6:8" x14ac:dyDescent="0.35">
      <c r="F283" s="38"/>
      <c r="G283" s="39"/>
      <c r="H283" s="40"/>
    </row>
    <row r="284" spans="6:8" x14ac:dyDescent="0.35">
      <c r="F284" s="38"/>
      <c r="G284" s="39"/>
      <c r="H284" s="40"/>
    </row>
    <row r="285" spans="6:8" x14ac:dyDescent="0.35">
      <c r="F285" s="38"/>
      <c r="G285" s="39"/>
      <c r="H285" s="40"/>
    </row>
    <row r="286" spans="6:8" x14ac:dyDescent="0.35">
      <c r="F286" s="38"/>
      <c r="G286" s="39"/>
      <c r="H286" s="40"/>
    </row>
    <row r="287" spans="6:8" x14ac:dyDescent="0.35">
      <c r="F287" s="38"/>
      <c r="G287" s="39"/>
      <c r="H287" s="40"/>
    </row>
    <row r="288" spans="6:8" x14ac:dyDescent="0.35">
      <c r="F288" s="38"/>
      <c r="G288" s="39"/>
      <c r="H288" s="40"/>
    </row>
    <row r="289" spans="6:8" x14ac:dyDescent="0.35">
      <c r="F289" s="38"/>
      <c r="G289" s="39"/>
      <c r="H289" s="40"/>
    </row>
    <row r="290" spans="6:8" x14ac:dyDescent="0.35">
      <c r="F290" s="38"/>
      <c r="G290" s="39"/>
      <c r="H290" s="40"/>
    </row>
    <row r="291" spans="6:8" x14ac:dyDescent="0.35">
      <c r="F291" s="38"/>
      <c r="G291" s="39"/>
      <c r="H291" s="40"/>
    </row>
    <row r="292" spans="6:8" x14ac:dyDescent="0.35">
      <c r="F292" s="38"/>
      <c r="G292" s="39"/>
      <c r="H292" s="40"/>
    </row>
    <row r="293" spans="6:8" x14ac:dyDescent="0.35">
      <c r="F293" s="38"/>
      <c r="G293" s="39"/>
      <c r="H293" s="40"/>
    </row>
    <row r="294" spans="6:8" x14ac:dyDescent="0.35">
      <c r="F294" s="38"/>
      <c r="G294" s="39"/>
      <c r="H294" s="40"/>
    </row>
    <row r="295" spans="6:8" x14ac:dyDescent="0.35">
      <c r="F295" s="38"/>
      <c r="G295" s="39"/>
      <c r="H295" s="40"/>
    </row>
    <row r="296" spans="6:8" x14ac:dyDescent="0.35">
      <c r="F296" s="38"/>
      <c r="G296" s="39"/>
      <c r="H296" s="40"/>
    </row>
    <row r="297" spans="6:8" x14ac:dyDescent="0.35">
      <c r="F297" s="38"/>
      <c r="G297" s="39"/>
      <c r="H297" s="40"/>
    </row>
    <row r="298" spans="6:8" x14ac:dyDescent="0.35">
      <c r="F298" s="38"/>
      <c r="G298" s="39"/>
      <c r="H298" s="40"/>
    </row>
    <row r="299" spans="6:8" x14ac:dyDescent="0.35">
      <c r="F299" s="38"/>
      <c r="G299" s="39"/>
      <c r="H299" s="40"/>
    </row>
    <row r="300" spans="6:8" x14ac:dyDescent="0.35">
      <c r="F300" s="38"/>
      <c r="G300" s="39"/>
      <c r="H300" s="40"/>
    </row>
    <row r="301" spans="6:8" x14ac:dyDescent="0.35">
      <c r="F301" s="38"/>
      <c r="G301" s="39"/>
      <c r="H301" s="40"/>
    </row>
    <row r="302" spans="6:8" x14ac:dyDescent="0.35">
      <c r="F302" s="38"/>
      <c r="G302" s="39"/>
      <c r="H302" s="40"/>
    </row>
    <row r="303" spans="6:8" x14ac:dyDescent="0.35">
      <c r="F303" s="38"/>
      <c r="G303" s="39"/>
      <c r="H303" s="40"/>
    </row>
    <row r="304" spans="6:8" x14ac:dyDescent="0.35">
      <c r="F304" s="38"/>
      <c r="G304" s="39"/>
      <c r="H304" s="40"/>
    </row>
    <row r="305" spans="6:8" x14ac:dyDescent="0.35">
      <c r="F305" s="38"/>
      <c r="G305" s="39"/>
      <c r="H305" s="40"/>
    </row>
    <row r="306" spans="6:8" x14ac:dyDescent="0.35">
      <c r="F306" s="38"/>
      <c r="G306" s="39"/>
      <c r="H306" s="40"/>
    </row>
    <row r="307" spans="6:8" x14ac:dyDescent="0.35">
      <c r="F307" s="38"/>
      <c r="G307" s="39"/>
      <c r="H307" s="40"/>
    </row>
    <row r="308" spans="6:8" x14ac:dyDescent="0.35">
      <c r="F308" s="38"/>
      <c r="G308" s="39"/>
      <c r="H308" s="40"/>
    </row>
    <row r="309" spans="6:8" x14ac:dyDescent="0.35">
      <c r="F309" s="38"/>
      <c r="G309" s="39"/>
      <c r="H309" s="40"/>
    </row>
    <row r="310" spans="6:8" x14ac:dyDescent="0.35">
      <c r="F310" s="38"/>
      <c r="G310" s="39"/>
      <c r="H310" s="40"/>
    </row>
    <row r="311" spans="6:8" x14ac:dyDescent="0.35">
      <c r="F311" s="38"/>
      <c r="G311" s="39"/>
      <c r="H311" s="40"/>
    </row>
    <row r="312" spans="6:8" x14ac:dyDescent="0.35">
      <c r="F312" s="38"/>
      <c r="G312" s="39"/>
      <c r="H312" s="40"/>
    </row>
    <row r="313" spans="6:8" x14ac:dyDescent="0.35">
      <c r="F313" s="38"/>
      <c r="G313" s="39"/>
      <c r="H313" s="40"/>
    </row>
    <row r="314" spans="6:8" x14ac:dyDescent="0.35">
      <c r="F314" s="38"/>
      <c r="G314" s="39"/>
      <c r="H314" s="40"/>
    </row>
    <row r="315" spans="6:8" x14ac:dyDescent="0.35">
      <c r="F315" s="38"/>
      <c r="G315" s="39"/>
      <c r="H315" s="40"/>
    </row>
    <row r="316" spans="6:8" x14ac:dyDescent="0.35">
      <c r="F316" s="38"/>
      <c r="G316" s="39"/>
      <c r="H316" s="40"/>
    </row>
    <row r="317" spans="6:8" x14ac:dyDescent="0.35">
      <c r="F317" s="38"/>
      <c r="G317" s="39"/>
      <c r="H317" s="40"/>
    </row>
    <row r="318" spans="6:8" x14ac:dyDescent="0.35">
      <c r="F318" s="38"/>
      <c r="G318" s="39"/>
      <c r="H318" s="40"/>
    </row>
    <row r="319" spans="6:8" x14ac:dyDescent="0.35">
      <c r="F319" s="38"/>
      <c r="G319" s="39"/>
      <c r="H319" s="40"/>
    </row>
    <row r="320" spans="6:8" x14ac:dyDescent="0.35">
      <c r="F320" s="38"/>
      <c r="G320" s="39"/>
      <c r="H320" s="40"/>
    </row>
    <row r="321" spans="6:8" x14ac:dyDescent="0.35">
      <c r="F321" s="38"/>
      <c r="G321" s="39"/>
      <c r="H321" s="40"/>
    </row>
    <row r="322" spans="6:8" x14ac:dyDescent="0.35">
      <c r="F322" s="38"/>
      <c r="G322" s="39"/>
      <c r="H322" s="40"/>
    </row>
    <row r="323" spans="6:8" x14ac:dyDescent="0.35">
      <c r="F323" s="38"/>
      <c r="G323" s="39"/>
      <c r="H323" s="40"/>
    </row>
    <row r="324" spans="6:8" x14ac:dyDescent="0.35">
      <c r="F324" s="38"/>
      <c r="G324" s="39"/>
      <c r="H324" s="40"/>
    </row>
    <row r="325" spans="6:8" x14ac:dyDescent="0.35">
      <c r="F325" s="38"/>
      <c r="G325" s="39"/>
      <c r="H325" s="40"/>
    </row>
    <row r="326" spans="6:8" x14ac:dyDescent="0.35">
      <c r="F326" s="38"/>
      <c r="G326" s="39"/>
      <c r="H326" s="40"/>
    </row>
    <row r="327" spans="6:8" x14ac:dyDescent="0.35">
      <c r="F327" s="38"/>
      <c r="G327" s="39"/>
      <c r="H327" s="40"/>
    </row>
    <row r="328" spans="6:8" x14ac:dyDescent="0.35">
      <c r="F328" s="38"/>
      <c r="G328" s="39"/>
      <c r="H328" s="40"/>
    </row>
    <row r="329" spans="6:8" x14ac:dyDescent="0.35">
      <c r="F329" s="38"/>
      <c r="G329" s="39"/>
      <c r="H329" s="40"/>
    </row>
    <row r="330" spans="6:8" x14ac:dyDescent="0.35">
      <c r="F330" s="38"/>
      <c r="G330" s="39"/>
      <c r="H330" s="40"/>
    </row>
    <row r="331" spans="6:8" x14ac:dyDescent="0.35">
      <c r="F331" s="38"/>
      <c r="G331" s="39"/>
      <c r="H331" s="40"/>
    </row>
    <row r="332" spans="6:8" x14ac:dyDescent="0.35">
      <c r="F332" s="38"/>
      <c r="G332" s="39"/>
      <c r="H332" s="40"/>
    </row>
    <row r="333" spans="6:8" x14ac:dyDescent="0.35">
      <c r="F333" s="38"/>
      <c r="G333" s="39"/>
      <c r="H333" s="40"/>
    </row>
    <row r="334" spans="6:8" x14ac:dyDescent="0.35">
      <c r="F334" s="38"/>
      <c r="G334" s="39"/>
      <c r="H334" s="40"/>
    </row>
    <row r="335" spans="6:8" x14ac:dyDescent="0.35">
      <c r="F335" s="38"/>
      <c r="G335" s="39"/>
      <c r="H335" s="40"/>
    </row>
    <row r="336" spans="6:8" x14ac:dyDescent="0.35">
      <c r="F336" s="38"/>
      <c r="G336" s="39"/>
      <c r="H336" s="40"/>
    </row>
    <row r="337" spans="6:8" x14ac:dyDescent="0.35">
      <c r="F337" s="38"/>
      <c r="G337" s="39"/>
      <c r="H337" s="40"/>
    </row>
    <row r="338" spans="6:8" x14ac:dyDescent="0.35">
      <c r="F338" s="38"/>
      <c r="G338" s="39"/>
      <c r="H338" s="40"/>
    </row>
    <row r="339" spans="6:8" x14ac:dyDescent="0.35">
      <c r="F339" s="38"/>
      <c r="G339" s="39"/>
      <c r="H339" s="40"/>
    </row>
    <row r="340" spans="6:8" x14ac:dyDescent="0.35">
      <c r="F340" s="38"/>
      <c r="G340" s="39"/>
      <c r="H340" s="40"/>
    </row>
    <row r="341" spans="6:8" x14ac:dyDescent="0.35">
      <c r="F341" s="38"/>
      <c r="G341" s="39"/>
      <c r="H341" s="40"/>
    </row>
    <row r="342" spans="6:8" x14ac:dyDescent="0.35">
      <c r="F342" s="38"/>
      <c r="G342" s="39"/>
      <c r="H342" s="40"/>
    </row>
    <row r="343" spans="6:8" x14ac:dyDescent="0.35">
      <c r="F343" s="38"/>
      <c r="G343" s="39"/>
      <c r="H343" s="40"/>
    </row>
    <row r="344" spans="6:8" x14ac:dyDescent="0.35">
      <c r="F344" s="38"/>
      <c r="G344" s="39"/>
      <c r="H344" s="40"/>
    </row>
    <row r="345" spans="6:8" x14ac:dyDescent="0.35">
      <c r="F345" s="38"/>
      <c r="G345" s="39"/>
      <c r="H345" s="40"/>
    </row>
    <row r="346" spans="6:8" x14ac:dyDescent="0.35">
      <c r="F346" s="38"/>
      <c r="G346" s="39"/>
      <c r="H346" s="40"/>
    </row>
    <row r="347" spans="6:8" x14ac:dyDescent="0.35">
      <c r="F347" s="38"/>
      <c r="G347" s="39"/>
      <c r="H347" s="40"/>
    </row>
    <row r="348" spans="6:8" x14ac:dyDescent="0.35">
      <c r="F348" s="38"/>
      <c r="G348" s="39"/>
      <c r="H348" s="40"/>
    </row>
    <row r="349" spans="6:8" x14ac:dyDescent="0.35">
      <c r="F349" s="38"/>
      <c r="G349" s="39"/>
      <c r="H349" s="40"/>
    </row>
    <row r="350" spans="6:8" x14ac:dyDescent="0.35">
      <c r="F350" s="38"/>
      <c r="G350" s="39"/>
      <c r="H350" s="40"/>
    </row>
    <row r="351" spans="6:8" x14ac:dyDescent="0.35">
      <c r="F351" s="38"/>
      <c r="G351" s="39"/>
      <c r="H351" s="40"/>
    </row>
    <row r="352" spans="6:8" x14ac:dyDescent="0.35">
      <c r="F352" s="38"/>
      <c r="G352" s="39"/>
      <c r="H352" s="40"/>
    </row>
    <row r="353" spans="6:8" x14ac:dyDescent="0.35">
      <c r="F353" s="38"/>
      <c r="G353" s="39"/>
      <c r="H353" s="40"/>
    </row>
    <row r="354" spans="6:8" x14ac:dyDescent="0.35">
      <c r="F354" s="38"/>
      <c r="G354" s="39"/>
      <c r="H354" s="40"/>
    </row>
    <row r="355" spans="6:8" x14ac:dyDescent="0.35">
      <c r="F355" s="38"/>
      <c r="G355" s="39"/>
      <c r="H355" s="40"/>
    </row>
    <row r="356" spans="6:8" x14ac:dyDescent="0.35">
      <c r="F356" s="38"/>
      <c r="G356" s="39"/>
      <c r="H356" s="40"/>
    </row>
    <row r="357" spans="6:8" x14ac:dyDescent="0.35">
      <c r="F357" s="38"/>
      <c r="G357" s="39"/>
      <c r="H357" s="40"/>
    </row>
    <row r="358" spans="6:8" x14ac:dyDescent="0.35">
      <c r="F358" s="38"/>
      <c r="G358" s="39"/>
      <c r="H358" s="40"/>
    </row>
    <row r="359" spans="6:8" x14ac:dyDescent="0.35">
      <c r="F359" s="38"/>
      <c r="G359" s="39"/>
      <c r="H359" s="40"/>
    </row>
    <row r="360" spans="6:8" x14ac:dyDescent="0.35">
      <c r="F360" s="38"/>
      <c r="G360" s="39"/>
      <c r="H360" s="40"/>
    </row>
    <row r="361" spans="6:8" x14ac:dyDescent="0.35">
      <c r="F361" s="38"/>
      <c r="G361" s="39"/>
      <c r="H361" s="40"/>
    </row>
    <row r="362" spans="6:8" x14ac:dyDescent="0.35">
      <c r="F362" s="38"/>
      <c r="G362" s="39"/>
      <c r="H362" s="40"/>
    </row>
    <row r="363" spans="6:8" x14ac:dyDescent="0.35">
      <c r="F363" s="38"/>
      <c r="G363" s="39"/>
      <c r="H363" s="40"/>
    </row>
    <row r="364" spans="6:8" x14ac:dyDescent="0.35">
      <c r="F364" s="38"/>
      <c r="G364" s="39"/>
      <c r="H364" s="40"/>
    </row>
    <row r="365" spans="6:8" x14ac:dyDescent="0.35">
      <c r="F365" s="38"/>
      <c r="G365" s="39"/>
      <c r="H365" s="40"/>
    </row>
    <row r="366" spans="6:8" x14ac:dyDescent="0.35">
      <c r="F366" s="38"/>
      <c r="G366" s="39"/>
      <c r="H366" s="40"/>
    </row>
    <row r="367" spans="6:8" x14ac:dyDescent="0.35">
      <c r="F367" s="38"/>
      <c r="G367" s="39"/>
      <c r="H367" s="40"/>
    </row>
    <row r="368" spans="6:8" x14ac:dyDescent="0.35">
      <c r="F368" s="38"/>
      <c r="G368" s="39"/>
      <c r="H368" s="40"/>
    </row>
    <row r="369" spans="6:8" x14ac:dyDescent="0.35">
      <c r="F369" s="38"/>
      <c r="G369" s="39"/>
      <c r="H369" s="40"/>
    </row>
    <row r="370" spans="6:8" x14ac:dyDescent="0.35">
      <c r="F370" s="38"/>
      <c r="G370" s="39"/>
      <c r="H370" s="40"/>
    </row>
    <row r="371" spans="6:8" x14ac:dyDescent="0.35">
      <c r="F371" s="38"/>
      <c r="G371" s="39"/>
      <c r="H371" s="40"/>
    </row>
    <row r="372" spans="6:8" x14ac:dyDescent="0.35">
      <c r="F372" s="38"/>
      <c r="G372" s="39"/>
      <c r="H372" s="40"/>
    </row>
    <row r="373" spans="6:8" x14ac:dyDescent="0.35">
      <c r="F373" s="38"/>
      <c r="G373" s="39"/>
      <c r="H373" s="40"/>
    </row>
    <row r="374" spans="6:8" x14ac:dyDescent="0.35">
      <c r="F374" s="38"/>
      <c r="G374" s="39"/>
      <c r="H374" s="40"/>
    </row>
    <row r="375" spans="6:8" x14ac:dyDescent="0.35">
      <c r="F375" s="38"/>
      <c r="G375" s="39"/>
      <c r="H375" s="40"/>
    </row>
    <row r="376" spans="6:8" x14ac:dyDescent="0.35">
      <c r="F376" s="38"/>
      <c r="G376" s="39"/>
      <c r="H376" s="40"/>
    </row>
    <row r="377" spans="6:8" x14ac:dyDescent="0.35">
      <c r="F377" s="38"/>
      <c r="G377" s="39"/>
      <c r="H377" s="40"/>
    </row>
    <row r="378" spans="6:8" x14ac:dyDescent="0.35">
      <c r="F378" s="38"/>
      <c r="G378" s="39"/>
      <c r="H378" s="40"/>
    </row>
    <row r="379" spans="6:8" x14ac:dyDescent="0.35">
      <c r="F379" s="38"/>
      <c r="G379" s="39"/>
      <c r="H379" s="40"/>
    </row>
    <row r="380" spans="6:8" x14ac:dyDescent="0.35">
      <c r="F380" s="38"/>
      <c r="G380" s="39"/>
      <c r="H380" s="40"/>
    </row>
    <row r="381" spans="6:8" x14ac:dyDescent="0.35">
      <c r="F381" s="38"/>
      <c r="G381" s="39"/>
      <c r="H381" s="40"/>
    </row>
    <row r="382" spans="6:8" x14ac:dyDescent="0.35">
      <c r="F382" s="38"/>
      <c r="G382" s="39"/>
      <c r="H382" s="40"/>
    </row>
    <row r="383" spans="6:8" x14ac:dyDescent="0.35">
      <c r="F383" s="38"/>
      <c r="G383" s="39"/>
      <c r="H383" s="40"/>
    </row>
    <row r="384" spans="6:8" x14ac:dyDescent="0.35">
      <c r="F384" s="38"/>
      <c r="G384" s="39"/>
      <c r="H384" s="40"/>
    </row>
    <row r="385" spans="6:8" x14ac:dyDescent="0.35">
      <c r="F385" s="38"/>
      <c r="G385" s="39"/>
      <c r="H385" s="40"/>
    </row>
    <row r="386" spans="6:8" x14ac:dyDescent="0.35">
      <c r="F386" s="38"/>
      <c r="G386" s="39"/>
      <c r="H386" s="40"/>
    </row>
    <row r="387" spans="6:8" x14ac:dyDescent="0.35">
      <c r="F387" s="38"/>
      <c r="G387" s="39"/>
      <c r="H387" s="40"/>
    </row>
    <row r="388" spans="6:8" x14ac:dyDescent="0.35">
      <c r="F388" s="38"/>
      <c r="G388" s="39"/>
      <c r="H388" s="40"/>
    </row>
    <row r="389" spans="6:8" x14ac:dyDescent="0.35">
      <c r="F389" s="38"/>
      <c r="G389" s="39"/>
      <c r="H389" s="40"/>
    </row>
    <row r="390" spans="6:8" x14ac:dyDescent="0.35">
      <c r="F390" s="38"/>
      <c r="G390" s="39"/>
      <c r="H390" s="40"/>
    </row>
    <row r="391" spans="6:8" x14ac:dyDescent="0.35">
      <c r="F391" s="38"/>
      <c r="G391" s="39"/>
      <c r="H391" s="40"/>
    </row>
    <row r="392" spans="6:8" x14ac:dyDescent="0.35">
      <c r="F392" s="38"/>
      <c r="G392" s="39"/>
      <c r="H392" s="40"/>
    </row>
    <row r="393" spans="6:8" x14ac:dyDescent="0.35">
      <c r="F393" s="38"/>
      <c r="G393" s="39"/>
      <c r="H393" s="40"/>
    </row>
    <row r="394" spans="6:8" x14ac:dyDescent="0.35">
      <c r="F394" s="38"/>
      <c r="G394" s="39"/>
      <c r="H394" s="40"/>
    </row>
    <row r="395" spans="6:8" x14ac:dyDescent="0.35">
      <c r="F395" s="38"/>
      <c r="G395" s="39"/>
      <c r="H395" s="40"/>
    </row>
    <row r="396" spans="6:8" x14ac:dyDescent="0.35">
      <c r="F396" s="38"/>
      <c r="G396" s="39"/>
      <c r="H396" s="40"/>
    </row>
    <row r="397" spans="6:8" x14ac:dyDescent="0.35">
      <c r="F397" s="38"/>
      <c r="G397" s="39"/>
      <c r="H397" s="40"/>
    </row>
    <row r="398" spans="6:8" x14ac:dyDescent="0.35">
      <c r="F398" s="38"/>
      <c r="G398" s="39"/>
      <c r="H398" s="40"/>
    </row>
    <row r="399" spans="6:8" x14ac:dyDescent="0.35">
      <c r="F399" s="38"/>
      <c r="G399" s="39"/>
      <c r="H399" s="40"/>
    </row>
    <row r="400" spans="6:8" x14ac:dyDescent="0.35">
      <c r="F400" s="38"/>
      <c r="G400" s="39"/>
      <c r="H400" s="40"/>
    </row>
    <row r="401" spans="6:8" x14ac:dyDescent="0.35">
      <c r="F401" s="38"/>
      <c r="G401" s="39"/>
      <c r="H401" s="40"/>
    </row>
    <row r="402" spans="6:8" x14ac:dyDescent="0.35">
      <c r="F402" s="38"/>
      <c r="G402" s="39"/>
      <c r="H402" s="40"/>
    </row>
    <row r="403" spans="6:8" x14ac:dyDescent="0.35">
      <c r="F403" s="38"/>
      <c r="G403" s="39"/>
      <c r="H403" s="40"/>
    </row>
    <row r="404" spans="6:8" x14ac:dyDescent="0.35">
      <c r="F404" s="38"/>
      <c r="G404" s="39"/>
      <c r="H404" s="40"/>
    </row>
    <row r="405" spans="6:8" x14ac:dyDescent="0.35">
      <c r="F405" s="38"/>
      <c r="G405" s="39"/>
      <c r="H405" s="40"/>
    </row>
    <row r="406" spans="6:8" x14ac:dyDescent="0.35">
      <c r="F406" s="38"/>
      <c r="G406" s="39"/>
      <c r="H406" s="40"/>
    </row>
    <row r="407" spans="6:8" x14ac:dyDescent="0.35">
      <c r="F407" s="38"/>
      <c r="G407" s="39"/>
      <c r="H407" s="40"/>
    </row>
    <row r="408" spans="6:8" x14ac:dyDescent="0.35">
      <c r="F408" s="38"/>
      <c r="G408" s="39"/>
      <c r="H408" s="40"/>
    </row>
    <row r="409" spans="6:8" x14ac:dyDescent="0.35">
      <c r="F409" s="38"/>
      <c r="G409" s="39"/>
      <c r="H409" s="40"/>
    </row>
    <row r="410" spans="6:8" x14ac:dyDescent="0.35">
      <c r="F410" s="38"/>
      <c r="G410" s="39"/>
      <c r="H410" s="40"/>
    </row>
    <row r="411" spans="6:8" x14ac:dyDescent="0.35">
      <c r="F411" s="38"/>
      <c r="G411" s="39"/>
      <c r="H411" s="40"/>
    </row>
    <row r="412" spans="6:8" x14ac:dyDescent="0.35">
      <c r="F412" s="38"/>
      <c r="G412" s="39"/>
      <c r="H412" s="40"/>
    </row>
    <row r="413" spans="6:8" x14ac:dyDescent="0.35">
      <c r="F413" s="38"/>
      <c r="G413" s="39"/>
      <c r="H413" s="40"/>
    </row>
    <row r="414" spans="6:8" x14ac:dyDescent="0.35">
      <c r="F414" s="38"/>
      <c r="G414" s="39"/>
      <c r="H414" s="40"/>
    </row>
    <row r="415" spans="6:8" x14ac:dyDescent="0.35">
      <c r="F415" s="38"/>
      <c r="G415" s="39"/>
      <c r="H415" s="40"/>
    </row>
    <row r="416" spans="6:8" x14ac:dyDescent="0.35">
      <c r="F416" s="38"/>
      <c r="G416" s="39"/>
      <c r="H416" s="40"/>
    </row>
    <row r="417" spans="6:8" x14ac:dyDescent="0.35">
      <c r="F417" s="38"/>
      <c r="G417" s="39"/>
      <c r="H417" s="40"/>
    </row>
    <row r="418" spans="6:8" x14ac:dyDescent="0.35">
      <c r="F418" s="38"/>
      <c r="G418" s="39"/>
      <c r="H418" s="40"/>
    </row>
    <row r="419" spans="6:8" x14ac:dyDescent="0.35">
      <c r="F419" s="38"/>
      <c r="G419" s="39"/>
      <c r="H419" s="40"/>
    </row>
    <row r="420" spans="6:8" x14ac:dyDescent="0.35">
      <c r="F420" s="38"/>
      <c r="G420" s="39"/>
      <c r="H420" s="40"/>
    </row>
    <row r="421" spans="6:8" x14ac:dyDescent="0.35">
      <c r="F421" s="38"/>
      <c r="G421" s="39"/>
      <c r="H421" s="40"/>
    </row>
    <row r="422" spans="6:8" x14ac:dyDescent="0.35">
      <c r="F422" s="38"/>
      <c r="G422" s="39"/>
      <c r="H422" s="40"/>
    </row>
    <row r="423" spans="6:8" x14ac:dyDescent="0.35">
      <c r="F423" s="38"/>
      <c r="G423" s="39"/>
      <c r="H423" s="40"/>
    </row>
    <row r="424" spans="6:8" x14ac:dyDescent="0.35">
      <c r="F424" s="38"/>
      <c r="G424" s="39"/>
      <c r="H424" s="40"/>
    </row>
    <row r="425" spans="6:8" x14ac:dyDescent="0.35">
      <c r="F425" s="38"/>
      <c r="G425" s="39"/>
      <c r="H425" s="40"/>
    </row>
    <row r="426" spans="6:8" x14ac:dyDescent="0.35">
      <c r="F426" s="38"/>
      <c r="G426" s="39"/>
      <c r="H426" s="40"/>
    </row>
    <row r="427" spans="6:8" x14ac:dyDescent="0.35">
      <c r="F427" s="38"/>
      <c r="G427" s="39"/>
      <c r="H427" s="40"/>
    </row>
    <row r="428" spans="6:8" x14ac:dyDescent="0.35">
      <c r="F428" s="38"/>
      <c r="G428" s="39"/>
      <c r="H428" s="40"/>
    </row>
    <row r="429" spans="6:8" x14ac:dyDescent="0.35">
      <c r="F429" s="38"/>
      <c r="G429" s="39"/>
      <c r="H429" s="40"/>
    </row>
    <row r="430" spans="6:8" x14ac:dyDescent="0.35">
      <c r="F430" s="38"/>
      <c r="G430" s="39"/>
      <c r="H430" s="40"/>
    </row>
    <row r="431" spans="6:8" x14ac:dyDescent="0.35">
      <c r="F431" s="38"/>
      <c r="G431" s="39"/>
      <c r="H431" s="40"/>
    </row>
    <row r="432" spans="6:8" x14ac:dyDescent="0.35">
      <c r="F432" s="38"/>
      <c r="G432" s="39"/>
      <c r="H432" s="40"/>
    </row>
    <row r="433" spans="6:8" x14ac:dyDescent="0.35">
      <c r="F433" s="38"/>
      <c r="G433" s="39"/>
      <c r="H433" s="40"/>
    </row>
    <row r="434" spans="6:8" x14ac:dyDescent="0.35">
      <c r="F434" s="38"/>
      <c r="G434" s="39"/>
      <c r="H434" s="40"/>
    </row>
    <row r="435" spans="6:8" x14ac:dyDescent="0.35">
      <c r="F435" s="38"/>
      <c r="G435" s="39"/>
      <c r="H435" s="40"/>
    </row>
    <row r="436" spans="6:8" x14ac:dyDescent="0.35">
      <c r="F436" s="38"/>
      <c r="G436" s="39"/>
      <c r="H436" s="40"/>
    </row>
    <row r="437" spans="6:8" x14ac:dyDescent="0.35">
      <c r="F437" s="38"/>
      <c r="G437" s="39"/>
      <c r="H437" s="40"/>
    </row>
    <row r="438" spans="6:8" x14ac:dyDescent="0.35">
      <c r="F438" s="38"/>
      <c r="G438" s="39"/>
      <c r="H438" s="40"/>
    </row>
    <row r="439" spans="6:8" x14ac:dyDescent="0.35">
      <c r="F439" s="38"/>
      <c r="G439" s="39"/>
      <c r="H439" s="40"/>
    </row>
    <row r="440" spans="6:8" x14ac:dyDescent="0.35">
      <c r="F440" s="38"/>
      <c r="G440" s="39"/>
      <c r="H440" s="40"/>
    </row>
    <row r="441" spans="6:8" x14ac:dyDescent="0.35">
      <c r="F441" s="38"/>
      <c r="G441" s="39"/>
      <c r="H441" s="40"/>
    </row>
    <row r="442" spans="6:8" x14ac:dyDescent="0.35">
      <c r="F442" s="38"/>
      <c r="G442" s="39"/>
      <c r="H442" s="40"/>
    </row>
    <row r="443" spans="6:8" x14ac:dyDescent="0.35">
      <c r="F443" s="38"/>
      <c r="G443" s="39"/>
      <c r="H443" s="40"/>
    </row>
    <row r="444" spans="6:8" x14ac:dyDescent="0.35">
      <c r="F444" s="38"/>
      <c r="G444" s="39"/>
      <c r="H444" s="40"/>
    </row>
    <row r="445" spans="6:8" x14ac:dyDescent="0.35">
      <c r="F445" s="38"/>
      <c r="G445" s="39"/>
      <c r="H445" s="40"/>
    </row>
    <row r="446" spans="6:8" x14ac:dyDescent="0.35">
      <c r="F446" s="38"/>
      <c r="G446" s="39"/>
      <c r="H446" s="40"/>
    </row>
    <row r="447" spans="6:8" x14ac:dyDescent="0.35">
      <c r="F447" s="38"/>
      <c r="G447" s="39"/>
      <c r="H447" s="40"/>
    </row>
    <row r="448" spans="6:8" x14ac:dyDescent="0.35">
      <c r="F448" s="38"/>
      <c r="G448" s="39"/>
      <c r="H448" s="40"/>
    </row>
    <row r="449" spans="6:8" x14ac:dyDescent="0.35">
      <c r="F449" s="38"/>
      <c r="G449" s="39"/>
      <c r="H449" s="40"/>
    </row>
    <row r="450" spans="6:8" x14ac:dyDescent="0.35">
      <c r="F450" s="38"/>
      <c r="G450" s="39"/>
      <c r="H450" s="40"/>
    </row>
    <row r="451" spans="6:8" x14ac:dyDescent="0.35">
      <c r="F451" s="38"/>
      <c r="G451" s="39"/>
      <c r="H451" s="40"/>
    </row>
    <row r="452" spans="6:8" x14ac:dyDescent="0.35">
      <c r="F452" s="38"/>
      <c r="G452" s="39"/>
      <c r="H452" s="40"/>
    </row>
    <row r="453" spans="6:8" x14ac:dyDescent="0.35">
      <c r="F453" s="38"/>
      <c r="G453" s="39"/>
      <c r="H453" s="40"/>
    </row>
    <row r="454" spans="6:8" x14ac:dyDescent="0.35">
      <c r="F454" s="38"/>
      <c r="G454" s="39"/>
      <c r="H454" s="40"/>
    </row>
    <row r="455" spans="6:8" x14ac:dyDescent="0.35">
      <c r="F455" s="38"/>
      <c r="G455" s="39"/>
      <c r="H455" s="40"/>
    </row>
    <row r="456" spans="6:8" x14ac:dyDescent="0.35">
      <c r="F456" s="38"/>
      <c r="G456" s="39"/>
      <c r="H456" s="40"/>
    </row>
    <row r="457" spans="6:8" x14ac:dyDescent="0.35">
      <c r="F457" s="38"/>
      <c r="G457" s="39"/>
      <c r="H457" s="40"/>
    </row>
    <row r="458" spans="6:8" x14ac:dyDescent="0.35">
      <c r="F458" s="38"/>
      <c r="G458" s="39"/>
      <c r="H458" s="40"/>
    </row>
    <row r="459" spans="6:8" x14ac:dyDescent="0.35">
      <c r="F459" s="38"/>
      <c r="G459" s="39"/>
      <c r="H459" s="40"/>
    </row>
    <row r="460" spans="6:8" x14ac:dyDescent="0.35">
      <c r="F460" s="38"/>
      <c r="G460" s="39"/>
      <c r="H460" s="40"/>
    </row>
    <row r="461" spans="6:8" x14ac:dyDescent="0.35">
      <c r="F461" s="38"/>
      <c r="G461" s="39"/>
      <c r="H461" s="40"/>
    </row>
    <row r="462" spans="6:8" x14ac:dyDescent="0.35">
      <c r="F462" s="38"/>
      <c r="G462" s="39"/>
      <c r="H462" s="40"/>
    </row>
    <row r="463" spans="6:8" x14ac:dyDescent="0.35">
      <c r="F463" s="38"/>
      <c r="G463" s="39"/>
      <c r="H463" s="40"/>
    </row>
    <row r="464" spans="6:8" x14ac:dyDescent="0.35">
      <c r="F464" s="38"/>
      <c r="G464" s="39"/>
      <c r="H464" s="40"/>
    </row>
    <row r="465" spans="6:8" x14ac:dyDescent="0.35">
      <c r="F465" s="38"/>
      <c r="G465" s="39"/>
      <c r="H465" s="40"/>
    </row>
    <row r="466" spans="6:8" x14ac:dyDescent="0.35">
      <c r="F466" s="38"/>
      <c r="G466" s="39"/>
      <c r="H466" s="40"/>
    </row>
    <row r="467" spans="6:8" x14ac:dyDescent="0.35">
      <c r="F467" s="38"/>
      <c r="G467" s="39"/>
      <c r="H467" s="40"/>
    </row>
    <row r="468" spans="6:8" x14ac:dyDescent="0.35">
      <c r="F468" s="38"/>
      <c r="G468" s="39"/>
      <c r="H468" s="40"/>
    </row>
    <row r="469" spans="6:8" x14ac:dyDescent="0.35">
      <c r="F469" s="38"/>
      <c r="G469" s="39"/>
      <c r="H469" s="40"/>
    </row>
    <row r="470" spans="6:8" x14ac:dyDescent="0.35">
      <c r="F470" s="38"/>
      <c r="G470" s="39"/>
      <c r="H470" s="40"/>
    </row>
    <row r="471" spans="6:8" x14ac:dyDescent="0.35">
      <c r="F471" s="38"/>
      <c r="G471" s="39"/>
      <c r="H471" s="40"/>
    </row>
    <row r="472" spans="6:8" x14ac:dyDescent="0.35">
      <c r="F472" s="38"/>
      <c r="G472" s="39"/>
      <c r="H472" s="40"/>
    </row>
    <row r="473" spans="6:8" x14ac:dyDescent="0.35">
      <c r="F473" s="38"/>
      <c r="G473" s="39"/>
      <c r="H473" s="40"/>
    </row>
    <row r="474" spans="6:8" x14ac:dyDescent="0.35">
      <c r="F474" s="38"/>
      <c r="G474" s="39"/>
      <c r="H474" s="40"/>
    </row>
    <row r="475" spans="6:8" x14ac:dyDescent="0.35">
      <c r="F475" s="38"/>
      <c r="G475" s="39"/>
      <c r="H475" s="40"/>
    </row>
    <row r="476" spans="6:8" x14ac:dyDescent="0.35">
      <c r="F476" s="38"/>
      <c r="G476" s="39"/>
      <c r="H476" s="40"/>
    </row>
    <row r="477" spans="6:8" x14ac:dyDescent="0.35">
      <c r="F477" s="38"/>
      <c r="G477" s="39"/>
      <c r="H477" s="40"/>
    </row>
    <row r="478" spans="6:8" x14ac:dyDescent="0.35">
      <c r="F478" s="38"/>
      <c r="G478" s="39"/>
      <c r="H478" s="40"/>
    </row>
    <row r="479" spans="6:8" x14ac:dyDescent="0.35">
      <c r="F479" s="38"/>
      <c r="G479" s="39"/>
      <c r="H479" s="40"/>
    </row>
    <row r="480" spans="6:8" x14ac:dyDescent="0.35">
      <c r="F480" s="38"/>
      <c r="G480" s="39"/>
      <c r="H480" s="40"/>
    </row>
    <row r="481" spans="6:8" x14ac:dyDescent="0.35">
      <c r="F481" s="38"/>
      <c r="G481" s="39"/>
      <c r="H481" s="40"/>
    </row>
    <row r="482" spans="6:8" x14ac:dyDescent="0.35">
      <c r="F482" s="38"/>
      <c r="G482" s="39"/>
      <c r="H482" s="40"/>
    </row>
    <row r="483" spans="6:8" x14ac:dyDescent="0.35">
      <c r="F483" s="38"/>
      <c r="G483" s="39"/>
      <c r="H483" s="40"/>
    </row>
    <row r="484" spans="6:8" x14ac:dyDescent="0.35">
      <c r="F484" s="38"/>
      <c r="G484" s="39"/>
      <c r="H484" s="40"/>
    </row>
    <row r="485" spans="6:8" x14ac:dyDescent="0.35">
      <c r="F485" s="38"/>
      <c r="G485" s="39"/>
      <c r="H485" s="40"/>
    </row>
    <row r="486" spans="6:8" x14ac:dyDescent="0.35">
      <c r="F486" s="38"/>
      <c r="G486" s="39"/>
      <c r="H486" s="40"/>
    </row>
    <row r="487" spans="6:8" x14ac:dyDescent="0.35">
      <c r="F487" s="38"/>
      <c r="G487" s="39"/>
      <c r="H487" s="40"/>
    </row>
    <row r="488" spans="6:8" x14ac:dyDescent="0.35">
      <c r="F488" s="38"/>
      <c r="G488" s="39"/>
      <c r="H488" s="40"/>
    </row>
    <row r="489" spans="6:8" x14ac:dyDescent="0.35">
      <c r="F489" s="38"/>
      <c r="G489" s="39"/>
      <c r="H489" s="40"/>
    </row>
    <row r="490" spans="6:8" x14ac:dyDescent="0.35">
      <c r="F490" s="38"/>
      <c r="G490" s="39"/>
      <c r="H490" s="40"/>
    </row>
    <row r="491" spans="6:8" x14ac:dyDescent="0.35">
      <c r="F491" s="38"/>
      <c r="G491" s="39"/>
      <c r="H491" s="40"/>
    </row>
    <row r="492" spans="6:8" x14ac:dyDescent="0.35">
      <c r="F492" s="38"/>
      <c r="G492" s="39"/>
      <c r="H492" s="40"/>
    </row>
    <row r="493" spans="6:8" x14ac:dyDescent="0.35">
      <c r="F493" s="38"/>
      <c r="G493" s="39"/>
      <c r="H493" s="40"/>
    </row>
    <row r="494" spans="6:8" x14ac:dyDescent="0.35">
      <c r="F494" s="38"/>
      <c r="G494" s="39"/>
      <c r="H494" s="40"/>
    </row>
    <row r="495" spans="6:8" x14ac:dyDescent="0.35">
      <c r="F495" s="38"/>
      <c r="G495" s="39"/>
      <c r="H495" s="40"/>
    </row>
    <row r="496" spans="6:8" x14ac:dyDescent="0.35">
      <c r="F496" s="38"/>
      <c r="G496" s="39"/>
      <c r="H496" s="40"/>
    </row>
    <row r="497" spans="6:8" x14ac:dyDescent="0.35">
      <c r="F497" s="38"/>
      <c r="G497" s="39"/>
      <c r="H497" s="40"/>
    </row>
    <row r="498" spans="6:8" x14ac:dyDescent="0.35">
      <c r="F498" s="38"/>
      <c r="G498" s="39"/>
      <c r="H498" s="40"/>
    </row>
    <row r="499" spans="6:8" x14ac:dyDescent="0.35">
      <c r="F499" s="38"/>
      <c r="G499" s="39"/>
      <c r="H499" s="40"/>
    </row>
    <row r="500" spans="6:8" x14ac:dyDescent="0.35">
      <c r="F500" s="38"/>
      <c r="G500" s="39"/>
      <c r="H500" s="40"/>
    </row>
    <row r="501" spans="6:8" x14ac:dyDescent="0.35">
      <c r="F501" s="38"/>
      <c r="G501" s="39"/>
      <c r="H501" s="40"/>
    </row>
    <row r="502" spans="6:8" x14ac:dyDescent="0.35">
      <c r="F502" s="38"/>
      <c r="G502" s="39"/>
      <c r="H502" s="40"/>
    </row>
    <row r="503" spans="6:8" x14ac:dyDescent="0.35">
      <c r="F503" s="38"/>
      <c r="G503" s="39"/>
      <c r="H503" s="40"/>
    </row>
    <row r="504" spans="6:8" x14ac:dyDescent="0.35">
      <c r="F504" s="38"/>
      <c r="G504" s="39"/>
      <c r="H504" s="40"/>
    </row>
    <row r="505" spans="6:8" x14ac:dyDescent="0.35">
      <c r="F505" s="38"/>
      <c r="G505" s="39"/>
      <c r="H505" s="40"/>
    </row>
    <row r="506" spans="6:8" x14ac:dyDescent="0.35">
      <c r="F506" s="38"/>
      <c r="G506" s="39"/>
      <c r="H506" s="40"/>
    </row>
    <row r="507" spans="6:8" x14ac:dyDescent="0.35">
      <c r="F507" s="38"/>
      <c r="G507" s="39"/>
      <c r="H507" s="40"/>
    </row>
    <row r="508" spans="6:8" x14ac:dyDescent="0.35">
      <c r="F508" s="38"/>
      <c r="G508" s="39"/>
      <c r="H508" s="40"/>
    </row>
    <row r="509" spans="6:8" x14ac:dyDescent="0.35">
      <c r="F509" s="38"/>
      <c r="G509" s="39"/>
      <c r="H509" s="40"/>
    </row>
    <row r="510" spans="6:8" x14ac:dyDescent="0.35">
      <c r="F510" s="38"/>
      <c r="G510" s="39"/>
      <c r="H510" s="40"/>
    </row>
    <row r="511" spans="6:8" x14ac:dyDescent="0.35">
      <c r="F511" s="38"/>
      <c r="G511" s="39"/>
      <c r="H511" s="40"/>
    </row>
    <row r="512" spans="6:8" x14ac:dyDescent="0.35">
      <c r="F512" s="38"/>
      <c r="G512" s="39"/>
      <c r="H512" s="40"/>
    </row>
    <row r="513" spans="6:8" x14ac:dyDescent="0.35">
      <c r="F513" s="38"/>
      <c r="G513" s="39"/>
      <c r="H513" s="40"/>
    </row>
    <row r="514" spans="6:8" x14ac:dyDescent="0.35">
      <c r="F514" s="38"/>
      <c r="G514" s="39"/>
      <c r="H514" s="40"/>
    </row>
    <row r="515" spans="6:8" x14ac:dyDescent="0.35">
      <c r="F515" s="38"/>
      <c r="G515" s="39"/>
      <c r="H515" s="40"/>
    </row>
    <row r="516" spans="6:8" x14ac:dyDescent="0.35">
      <c r="F516" s="38"/>
      <c r="G516" s="39"/>
      <c r="H516" s="40"/>
    </row>
    <row r="517" spans="6:8" x14ac:dyDescent="0.35">
      <c r="F517" s="38"/>
      <c r="G517" s="39"/>
      <c r="H517" s="40"/>
    </row>
    <row r="518" spans="6:8" x14ac:dyDescent="0.35">
      <c r="F518" s="38"/>
      <c r="G518" s="39"/>
      <c r="H518" s="40"/>
    </row>
    <row r="519" spans="6:8" x14ac:dyDescent="0.35">
      <c r="F519" s="38"/>
      <c r="G519" s="39"/>
      <c r="H519" s="40"/>
    </row>
    <row r="520" spans="6:8" x14ac:dyDescent="0.35">
      <c r="F520" s="38"/>
      <c r="G520" s="39"/>
      <c r="H520" s="40"/>
    </row>
    <row r="521" spans="6:8" x14ac:dyDescent="0.35">
      <c r="F521" s="38"/>
      <c r="G521" s="39"/>
      <c r="H521" s="40"/>
    </row>
    <row r="522" spans="6:8" x14ac:dyDescent="0.35">
      <c r="F522" s="38"/>
      <c r="G522" s="39"/>
      <c r="H522" s="40"/>
    </row>
    <row r="523" spans="6:8" x14ac:dyDescent="0.35">
      <c r="F523" s="38"/>
      <c r="G523" s="39"/>
      <c r="H523" s="40"/>
    </row>
    <row r="524" spans="6:8" x14ac:dyDescent="0.35">
      <c r="F524" s="38"/>
      <c r="G524" s="39"/>
      <c r="H524" s="40"/>
    </row>
    <row r="525" spans="6:8" x14ac:dyDescent="0.35">
      <c r="F525" s="38"/>
      <c r="G525" s="39"/>
      <c r="H525" s="40"/>
    </row>
    <row r="526" spans="6:8" x14ac:dyDescent="0.35">
      <c r="F526" s="38"/>
      <c r="G526" s="39"/>
      <c r="H526" s="40"/>
    </row>
    <row r="527" spans="6:8" x14ac:dyDescent="0.35">
      <c r="F527" s="38"/>
      <c r="G527" s="39"/>
      <c r="H527" s="40"/>
    </row>
    <row r="528" spans="6:8" x14ac:dyDescent="0.35">
      <c r="F528" s="38"/>
      <c r="G528" s="39"/>
      <c r="H528" s="40"/>
    </row>
    <row r="529" spans="6:8" x14ac:dyDescent="0.35">
      <c r="F529" s="38"/>
      <c r="G529" s="39"/>
      <c r="H529" s="40"/>
    </row>
    <row r="530" spans="6:8" x14ac:dyDescent="0.35">
      <c r="F530" s="38"/>
      <c r="G530" s="39"/>
      <c r="H530" s="40"/>
    </row>
    <row r="531" spans="6:8" x14ac:dyDescent="0.35">
      <c r="F531" s="38"/>
      <c r="G531" s="39"/>
      <c r="H531" s="40"/>
    </row>
    <row r="532" spans="6:8" x14ac:dyDescent="0.35">
      <c r="F532" s="38"/>
      <c r="G532" s="39"/>
      <c r="H532" s="40"/>
    </row>
    <row r="533" spans="6:8" x14ac:dyDescent="0.35">
      <c r="F533" s="38"/>
      <c r="G533" s="39"/>
      <c r="H533" s="40"/>
    </row>
    <row r="534" spans="6:8" x14ac:dyDescent="0.35">
      <c r="F534" s="38"/>
      <c r="G534" s="39"/>
      <c r="H534" s="40"/>
    </row>
    <row r="535" spans="6:8" x14ac:dyDescent="0.35">
      <c r="F535" s="38"/>
      <c r="G535" s="39"/>
      <c r="H535" s="40"/>
    </row>
    <row r="536" spans="6:8" x14ac:dyDescent="0.35">
      <c r="F536" s="38"/>
      <c r="G536" s="39"/>
      <c r="H536" s="40"/>
    </row>
    <row r="537" spans="6:8" x14ac:dyDescent="0.35">
      <c r="F537" s="38"/>
      <c r="G537" s="39"/>
      <c r="H537" s="40"/>
    </row>
    <row r="538" spans="6:8" x14ac:dyDescent="0.35">
      <c r="F538" s="38"/>
      <c r="G538" s="39"/>
      <c r="H538" s="40"/>
    </row>
    <row r="539" spans="6:8" x14ac:dyDescent="0.35">
      <c r="F539" s="38"/>
      <c r="G539" s="39"/>
      <c r="H539" s="40"/>
    </row>
    <row r="540" spans="6:8" x14ac:dyDescent="0.35">
      <c r="F540" s="38"/>
      <c r="G540" s="39"/>
      <c r="H540" s="40"/>
    </row>
    <row r="541" spans="6:8" x14ac:dyDescent="0.35">
      <c r="F541" s="38"/>
      <c r="G541" s="39"/>
      <c r="H541" s="40"/>
    </row>
    <row r="542" spans="6:8" x14ac:dyDescent="0.35">
      <c r="F542" s="38"/>
      <c r="G542" s="39"/>
      <c r="H542" s="40"/>
    </row>
    <row r="543" spans="6:8" x14ac:dyDescent="0.35">
      <c r="F543" s="38"/>
      <c r="G543" s="39"/>
      <c r="H543" s="40"/>
    </row>
    <row r="544" spans="6:8" x14ac:dyDescent="0.35">
      <c r="F544" s="38"/>
      <c r="G544" s="39"/>
      <c r="H544" s="40"/>
    </row>
    <row r="545" spans="6:8" x14ac:dyDescent="0.35">
      <c r="F545" s="38"/>
      <c r="G545" s="39"/>
      <c r="H545" s="40"/>
    </row>
    <row r="546" spans="6:8" x14ac:dyDescent="0.35">
      <c r="F546" s="38"/>
      <c r="G546" s="39"/>
      <c r="H546" s="40"/>
    </row>
    <row r="547" spans="6:8" x14ac:dyDescent="0.35">
      <c r="F547" s="38"/>
      <c r="G547" s="39"/>
      <c r="H547" s="40"/>
    </row>
    <row r="548" spans="6:8" x14ac:dyDescent="0.35">
      <c r="F548" s="38"/>
      <c r="G548" s="39"/>
      <c r="H548" s="40"/>
    </row>
    <row r="549" spans="6:8" x14ac:dyDescent="0.35">
      <c r="F549" s="38"/>
      <c r="G549" s="39"/>
      <c r="H549" s="40"/>
    </row>
    <row r="550" spans="6:8" x14ac:dyDescent="0.35">
      <c r="F550" s="38"/>
      <c r="G550" s="39"/>
      <c r="H550" s="40"/>
    </row>
    <row r="551" spans="6:8" x14ac:dyDescent="0.35">
      <c r="F551" s="38"/>
      <c r="G551" s="39"/>
      <c r="H551" s="40"/>
    </row>
    <row r="552" spans="6:8" x14ac:dyDescent="0.35">
      <c r="F552" s="38"/>
      <c r="G552" s="39"/>
      <c r="H552" s="40"/>
    </row>
    <row r="553" spans="6:8" x14ac:dyDescent="0.35">
      <c r="F553" s="38"/>
      <c r="G553" s="39"/>
      <c r="H553" s="40"/>
    </row>
    <row r="554" spans="6:8" x14ac:dyDescent="0.35">
      <c r="F554" s="38"/>
      <c r="G554" s="39"/>
      <c r="H554" s="40"/>
    </row>
    <row r="555" spans="6:8" x14ac:dyDescent="0.35">
      <c r="F555" s="38"/>
      <c r="G555" s="39"/>
      <c r="H555" s="40"/>
    </row>
    <row r="556" spans="6:8" x14ac:dyDescent="0.35">
      <c r="F556" s="38"/>
      <c r="G556" s="39"/>
      <c r="H556" s="40"/>
    </row>
    <row r="557" spans="6:8" x14ac:dyDescent="0.35">
      <c r="F557" s="38"/>
      <c r="G557" s="39"/>
      <c r="H557" s="40"/>
    </row>
    <row r="558" spans="6:8" x14ac:dyDescent="0.35">
      <c r="F558" s="38"/>
      <c r="G558" s="39"/>
      <c r="H558" s="40"/>
    </row>
    <row r="559" spans="6:8" x14ac:dyDescent="0.35">
      <c r="F559" s="38"/>
      <c r="G559" s="39"/>
      <c r="H559" s="40"/>
    </row>
    <row r="560" spans="6:8" x14ac:dyDescent="0.35">
      <c r="F560" s="38"/>
      <c r="G560" s="39"/>
      <c r="H560" s="40"/>
    </row>
    <row r="561" spans="6:8" x14ac:dyDescent="0.35">
      <c r="F561" s="38"/>
      <c r="G561" s="39"/>
      <c r="H561" s="40"/>
    </row>
    <row r="562" spans="6:8" x14ac:dyDescent="0.35">
      <c r="F562" s="38"/>
      <c r="G562" s="39"/>
      <c r="H562" s="40"/>
    </row>
    <row r="563" spans="6:8" x14ac:dyDescent="0.35">
      <c r="F563" s="38"/>
      <c r="G563" s="39"/>
      <c r="H563" s="40"/>
    </row>
    <row r="564" spans="6:8" x14ac:dyDescent="0.35">
      <c r="F564" s="38"/>
      <c r="G564" s="39"/>
      <c r="H564" s="40"/>
    </row>
    <row r="565" spans="6:8" x14ac:dyDescent="0.35">
      <c r="F565" s="38"/>
      <c r="G565" s="39"/>
      <c r="H565" s="40"/>
    </row>
    <row r="566" spans="6:8" x14ac:dyDescent="0.35">
      <c r="F566" s="38"/>
      <c r="G566" s="39"/>
      <c r="H566" s="40"/>
    </row>
    <row r="567" spans="6:8" x14ac:dyDescent="0.35">
      <c r="F567" s="38"/>
      <c r="G567" s="39"/>
      <c r="H567" s="40"/>
    </row>
    <row r="568" spans="6:8" x14ac:dyDescent="0.35">
      <c r="F568" s="38"/>
      <c r="G568" s="39"/>
      <c r="H568" s="40"/>
    </row>
    <row r="569" spans="6:8" x14ac:dyDescent="0.35">
      <c r="F569" s="38"/>
      <c r="G569" s="39"/>
      <c r="H569" s="40"/>
    </row>
    <row r="570" spans="6:8" x14ac:dyDescent="0.35">
      <c r="F570" s="38"/>
      <c r="G570" s="39"/>
      <c r="H570" s="40"/>
    </row>
    <row r="571" spans="6:8" x14ac:dyDescent="0.35">
      <c r="F571" s="38"/>
      <c r="G571" s="39"/>
      <c r="H571" s="40"/>
    </row>
    <row r="572" spans="6:8" x14ac:dyDescent="0.35">
      <c r="F572" s="38"/>
      <c r="G572" s="39"/>
      <c r="H572" s="40"/>
    </row>
    <row r="573" spans="6:8" x14ac:dyDescent="0.35">
      <c r="F573" s="38"/>
      <c r="G573" s="39"/>
      <c r="H573" s="40"/>
    </row>
    <row r="574" spans="6:8" x14ac:dyDescent="0.35">
      <c r="F574" s="38"/>
      <c r="G574" s="39"/>
      <c r="H574" s="40"/>
    </row>
    <row r="575" spans="6:8" x14ac:dyDescent="0.35">
      <c r="F575" s="38"/>
      <c r="G575" s="39"/>
      <c r="H575" s="40"/>
    </row>
    <row r="576" spans="6:8" x14ac:dyDescent="0.35">
      <c r="F576" s="38"/>
      <c r="G576" s="39"/>
      <c r="H576" s="40"/>
    </row>
    <row r="577" spans="6:8" x14ac:dyDescent="0.35">
      <c r="F577" s="38"/>
      <c r="G577" s="39"/>
      <c r="H577" s="40"/>
    </row>
    <row r="578" spans="6:8" x14ac:dyDescent="0.35">
      <c r="F578" s="38"/>
      <c r="G578" s="39"/>
      <c r="H578" s="40"/>
    </row>
    <row r="579" spans="6:8" x14ac:dyDescent="0.35">
      <c r="F579" s="38"/>
      <c r="G579" s="39"/>
      <c r="H579" s="40"/>
    </row>
    <row r="580" spans="6:8" x14ac:dyDescent="0.35">
      <c r="F580" s="38"/>
      <c r="G580" s="39"/>
      <c r="H580" s="40"/>
    </row>
    <row r="581" spans="6:8" x14ac:dyDescent="0.35">
      <c r="F581" s="38"/>
      <c r="G581" s="39"/>
      <c r="H581" s="40"/>
    </row>
    <row r="582" spans="6:8" x14ac:dyDescent="0.35">
      <c r="F582" s="38"/>
      <c r="G582" s="39"/>
      <c r="H582" s="40"/>
    </row>
    <row r="583" spans="6:8" x14ac:dyDescent="0.35">
      <c r="F583" s="38"/>
      <c r="G583" s="39"/>
      <c r="H583" s="40"/>
    </row>
    <row r="584" spans="6:8" x14ac:dyDescent="0.35">
      <c r="F584" s="38"/>
      <c r="G584" s="39"/>
      <c r="H584" s="40"/>
    </row>
    <row r="585" spans="6:8" x14ac:dyDescent="0.35">
      <c r="F585" s="38"/>
      <c r="G585" s="39"/>
      <c r="H585" s="40"/>
    </row>
    <row r="586" spans="6:8" x14ac:dyDescent="0.35">
      <c r="F586" s="38"/>
      <c r="G586" s="39"/>
      <c r="H586" s="40"/>
    </row>
    <row r="587" spans="6:8" x14ac:dyDescent="0.35">
      <c r="F587" s="38"/>
      <c r="G587" s="39"/>
      <c r="H587" s="40"/>
    </row>
    <row r="588" spans="6:8" x14ac:dyDescent="0.35">
      <c r="F588" s="38"/>
      <c r="G588" s="39"/>
      <c r="H588" s="40"/>
    </row>
    <row r="589" spans="6:8" x14ac:dyDescent="0.35">
      <c r="F589" s="38"/>
      <c r="G589" s="39"/>
      <c r="H589" s="40"/>
    </row>
    <row r="590" spans="6:8" x14ac:dyDescent="0.35">
      <c r="F590" s="38"/>
      <c r="G590" s="39"/>
      <c r="H590" s="40"/>
    </row>
    <row r="591" spans="6:8" x14ac:dyDescent="0.35">
      <c r="F591" s="38"/>
      <c r="G591" s="39"/>
      <c r="H591" s="40"/>
    </row>
    <row r="592" spans="6:8" x14ac:dyDescent="0.35">
      <c r="F592" s="38"/>
      <c r="G592" s="39"/>
      <c r="H592" s="40"/>
    </row>
    <row r="593" spans="6:8" x14ac:dyDescent="0.35">
      <c r="F593" s="38"/>
      <c r="G593" s="39"/>
      <c r="H593" s="40"/>
    </row>
    <row r="594" spans="6:8" x14ac:dyDescent="0.35">
      <c r="F594" s="38"/>
      <c r="G594" s="39"/>
      <c r="H594" s="40"/>
    </row>
    <row r="595" spans="6:8" x14ac:dyDescent="0.35">
      <c r="F595" s="38"/>
      <c r="G595" s="39"/>
      <c r="H595" s="40"/>
    </row>
    <row r="596" spans="6:8" x14ac:dyDescent="0.35">
      <c r="F596" s="38"/>
      <c r="G596" s="39"/>
      <c r="H596" s="40"/>
    </row>
    <row r="597" spans="6:8" x14ac:dyDescent="0.35">
      <c r="F597" s="38"/>
      <c r="G597" s="39"/>
      <c r="H597" s="40"/>
    </row>
    <row r="598" spans="6:8" x14ac:dyDescent="0.35">
      <c r="F598" s="38"/>
      <c r="G598" s="39"/>
      <c r="H598" s="40"/>
    </row>
    <row r="599" spans="6:8" x14ac:dyDescent="0.35">
      <c r="F599" s="38"/>
      <c r="G599" s="39"/>
      <c r="H599" s="40"/>
    </row>
    <row r="600" spans="6:8" x14ac:dyDescent="0.35">
      <c r="F600" s="38"/>
      <c r="G600" s="39"/>
      <c r="H600" s="40"/>
    </row>
    <row r="601" spans="6:8" x14ac:dyDescent="0.35">
      <c r="F601" s="38"/>
      <c r="G601" s="39"/>
      <c r="H601" s="40"/>
    </row>
    <row r="602" spans="6:8" x14ac:dyDescent="0.35">
      <c r="F602" s="38"/>
      <c r="G602" s="39"/>
      <c r="H602" s="40"/>
    </row>
    <row r="603" spans="6:8" x14ac:dyDescent="0.35">
      <c r="F603" s="38"/>
      <c r="G603" s="39"/>
      <c r="H603" s="40"/>
    </row>
    <row r="604" spans="6:8" x14ac:dyDescent="0.35">
      <c r="F604" s="38"/>
      <c r="G604" s="39"/>
      <c r="H604" s="40"/>
    </row>
    <row r="605" spans="6:8" x14ac:dyDescent="0.35">
      <c r="F605" s="38"/>
      <c r="G605" s="39"/>
      <c r="H605" s="40"/>
    </row>
    <row r="606" spans="6:8" x14ac:dyDescent="0.35">
      <c r="F606" s="38"/>
      <c r="G606" s="39"/>
      <c r="H606" s="40"/>
    </row>
    <row r="607" spans="6:8" x14ac:dyDescent="0.35">
      <c r="F607" s="38"/>
      <c r="G607" s="39"/>
      <c r="H607" s="40"/>
    </row>
    <row r="608" spans="6:8" x14ac:dyDescent="0.35">
      <c r="F608" s="38"/>
      <c r="G608" s="39"/>
      <c r="H608" s="40"/>
    </row>
    <row r="609" spans="6:8" x14ac:dyDescent="0.35">
      <c r="F609" s="38"/>
      <c r="G609" s="39"/>
      <c r="H609" s="40"/>
    </row>
    <row r="610" spans="6:8" x14ac:dyDescent="0.35">
      <c r="F610" s="38"/>
      <c r="G610" s="39"/>
      <c r="H610" s="40"/>
    </row>
    <row r="611" spans="6:8" x14ac:dyDescent="0.35">
      <c r="F611" s="38"/>
      <c r="G611" s="39"/>
      <c r="H611" s="40"/>
    </row>
    <row r="612" spans="6:8" x14ac:dyDescent="0.35">
      <c r="F612" s="38"/>
      <c r="G612" s="39"/>
      <c r="H612" s="40"/>
    </row>
    <row r="613" spans="6:8" x14ac:dyDescent="0.35">
      <c r="F613" s="38"/>
      <c r="G613" s="39"/>
      <c r="H613" s="40"/>
    </row>
    <row r="614" spans="6:8" x14ac:dyDescent="0.35">
      <c r="F614" s="38"/>
      <c r="G614" s="39"/>
      <c r="H614" s="40"/>
    </row>
    <row r="615" spans="6:8" x14ac:dyDescent="0.35">
      <c r="F615" s="38"/>
      <c r="G615" s="39"/>
      <c r="H615" s="40"/>
    </row>
    <row r="616" spans="6:8" x14ac:dyDescent="0.35">
      <c r="F616" s="38"/>
      <c r="G616" s="39"/>
      <c r="H616" s="40"/>
    </row>
    <row r="617" spans="6:8" x14ac:dyDescent="0.35">
      <c r="F617" s="38"/>
      <c r="G617" s="39"/>
      <c r="H617" s="40"/>
    </row>
    <row r="618" spans="6:8" x14ac:dyDescent="0.35">
      <c r="F618" s="38"/>
      <c r="G618" s="39"/>
      <c r="H618" s="40"/>
    </row>
    <row r="619" spans="6:8" x14ac:dyDescent="0.35">
      <c r="F619" s="38"/>
      <c r="G619" s="39"/>
      <c r="H619" s="40"/>
    </row>
    <row r="620" spans="6:8" x14ac:dyDescent="0.35">
      <c r="F620" s="38"/>
      <c r="G620" s="39"/>
      <c r="H620" s="40"/>
    </row>
    <row r="621" spans="6:8" x14ac:dyDescent="0.35">
      <c r="F621" s="38"/>
      <c r="G621" s="39"/>
      <c r="H621" s="40"/>
    </row>
    <row r="622" spans="6:8" x14ac:dyDescent="0.35">
      <c r="F622" s="38"/>
      <c r="G622" s="39"/>
      <c r="H622" s="40"/>
    </row>
    <row r="623" spans="6:8" x14ac:dyDescent="0.35">
      <c r="F623" s="38"/>
      <c r="G623" s="39"/>
      <c r="H623" s="40"/>
    </row>
    <row r="624" spans="6:8" x14ac:dyDescent="0.35">
      <c r="F624" s="38"/>
      <c r="G624" s="39"/>
      <c r="H624" s="40"/>
    </row>
    <row r="625" spans="6:8" x14ac:dyDescent="0.35">
      <c r="F625" s="38"/>
      <c r="G625" s="39"/>
      <c r="H625" s="40"/>
    </row>
    <row r="626" spans="6:8" x14ac:dyDescent="0.35">
      <c r="F626" s="38"/>
      <c r="G626" s="39"/>
      <c r="H626" s="40"/>
    </row>
    <row r="627" spans="6:8" x14ac:dyDescent="0.35">
      <c r="F627" s="38"/>
      <c r="G627" s="39"/>
      <c r="H627" s="40"/>
    </row>
    <row r="628" spans="6:8" x14ac:dyDescent="0.35">
      <c r="F628" s="38"/>
      <c r="G628" s="39"/>
      <c r="H628" s="40"/>
    </row>
    <row r="629" spans="6:8" x14ac:dyDescent="0.35">
      <c r="F629" s="38"/>
      <c r="G629" s="39"/>
      <c r="H629" s="40"/>
    </row>
    <row r="630" spans="6:8" x14ac:dyDescent="0.35">
      <c r="F630" s="38"/>
      <c r="G630" s="39"/>
      <c r="H630" s="40"/>
    </row>
    <row r="631" spans="6:8" x14ac:dyDescent="0.35">
      <c r="F631" s="38"/>
      <c r="G631" s="39"/>
      <c r="H631" s="40"/>
    </row>
    <row r="632" spans="6:8" x14ac:dyDescent="0.35">
      <c r="F632" s="38"/>
      <c r="G632" s="39"/>
      <c r="H632" s="40"/>
    </row>
    <row r="633" spans="6:8" x14ac:dyDescent="0.35">
      <c r="F633" s="38"/>
      <c r="G633" s="39"/>
      <c r="H633" s="40"/>
    </row>
    <row r="634" spans="6:8" x14ac:dyDescent="0.35">
      <c r="F634" s="38"/>
      <c r="G634" s="39"/>
      <c r="H634" s="40"/>
    </row>
    <row r="635" spans="6:8" x14ac:dyDescent="0.35">
      <c r="F635" s="38"/>
      <c r="G635" s="39"/>
      <c r="H635" s="40"/>
    </row>
    <row r="636" spans="6:8" x14ac:dyDescent="0.35">
      <c r="F636" s="38"/>
      <c r="G636" s="39"/>
      <c r="H636" s="40"/>
    </row>
    <row r="637" spans="6:8" x14ac:dyDescent="0.35">
      <c r="F637" s="38"/>
      <c r="G637" s="39"/>
      <c r="H637" s="40"/>
    </row>
    <row r="638" spans="6:8" x14ac:dyDescent="0.35">
      <c r="F638" s="38"/>
      <c r="G638" s="39"/>
      <c r="H638" s="40"/>
    </row>
    <row r="639" spans="6:8" x14ac:dyDescent="0.35">
      <c r="F639" s="38"/>
      <c r="G639" s="39"/>
      <c r="H639" s="40"/>
    </row>
    <row r="640" spans="6:8" x14ac:dyDescent="0.35">
      <c r="F640" s="38"/>
      <c r="G640" s="39"/>
      <c r="H640" s="40"/>
    </row>
    <row r="641" spans="6:8" x14ac:dyDescent="0.35">
      <c r="F641" s="38"/>
      <c r="G641" s="39"/>
      <c r="H641" s="40"/>
    </row>
    <row r="642" spans="6:8" x14ac:dyDescent="0.35">
      <c r="F642" s="38"/>
      <c r="G642" s="39"/>
      <c r="H642" s="40"/>
    </row>
    <row r="643" spans="6:8" x14ac:dyDescent="0.35">
      <c r="F643" s="38"/>
      <c r="G643" s="39"/>
      <c r="H643" s="40"/>
    </row>
    <row r="644" spans="6:8" x14ac:dyDescent="0.35">
      <c r="F644" s="38"/>
      <c r="G644" s="39"/>
      <c r="H644" s="40"/>
    </row>
    <row r="645" spans="6:8" x14ac:dyDescent="0.35">
      <c r="F645" s="38"/>
      <c r="G645" s="39"/>
      <c r="H645" s="40"/>
    </row>
    <row r="646" spans="6:8" x14ac:dyDescent="0.35">
      <c r="F646" s="38"/>
      <c r="G646" s="39"/>
      <c r="H646" s="40"/>
    </row>
    <row r="647" spans="6:8" x14ac:dyDescent="0.35">
      <c r="F647" s="38"/>
      <c r="G647" s="39"/>
      <c r="H647" s="40"/>
    </row>
    <row r="648" spans="6:8" x14ac:dyDescent="0.35">
      <c r="F648" s="38"/>
      <c r="G648" s="39"/>
      <c r="H648" s="40"/>
    </row>
    <row r="649" spans="6:8" x14ac:dyDescent="0.35">
      <c r="F649" s="38"/>
      <c r="G649" s="39"/>
      <c r="H649" s="40"/>
    </row>
    <row r="650" spans="6:8" x14ac:dyDescent="0.35">
      <c r="F650" s="38"/>
      <c r="G650" s="39"/>
      <c r="H650" s="40"/>
    </row>
    <row r="651" spans="6:8" x14ac:dyDescent="0.35">
      <c r="F651" s="38"/>
      <c r="G651" s="39"/>
      <c r="H651" s="40"/>
    </row>
    <row r="652" spans="6:8" x14ac:dyDescent="0.35">
      <c r="F652" s="38"/>
      <c r="G652" s="39"/>
      <c r="H652" s="40"/>
    </row>
    <row r="653" spans="6:8" x14ac:dyDescent="0.35">
      <c r="F653" s="38"/>
      <c r="G653" s="39"/>
      <c r="H653" s="40"/>
    </row>
    <row r="654" spans="6:8" x14ac:dyDescent="0.35">
      <c r="F654" s="38"/>
      <c r="G654" s="39"/>
      <c r="H654" s="40"/>
    </row>
    <row r="655" spans="6:8" x14ac:dyDescent="0.35">
      <c r="F655" s="38"/>
      <c r="G655" s="39"/>
      <c r="H655" s="40"/>
    </row>
    <row r="656" spans="6:8" x14ac:dyDescent="0.35">
      <c r="F656" s="38"/>
      <c r="G656" s="39"/>
      <c r="H656" s="40"/>
    </row>
    <row r="657" spans="6:8" x14ac:dyDescent="0.35">
      <c r="F657" s="38"/>
      <c r="G657" s="39"/>
      <c r="H657" s="40"/>
    </row>
    <row r="658" spans="6:8" x14ac:dyDescent="0.35">
      <c r="F658" s="38"/>
      <c r="G658" s="39"/>
      <c r="H658" s="40"/>
    </row>
    <row r="659" spans="6:8" x14ac:dyDescent="0.35">
      <c r="F659" s="38"/>
      <c r="G659" s="39"/>
      <c r="H659" s="40"/>
    </row>
    <row r="660" spans="6:8" x14ac:dyDescent="0.35">
      <c r="F660" s="38"/>
      <c r="G660" s="39"/>
      <c r="H660" s="40"/>
    </row>
    <row r="661" spans="6:8" x14ac:dyDescent="0.35">
      <c r="F661" s="38"/>
      <c r="G661" s="39"/>
      <c r="H661" s="40"/>
    </row>
    <row r="662" spans="6:8" x14ac:dyDescent="0.35">
      <c r="F662" s="38"/>
      <c r="G662" s="39"/>
      <c r="H662" s="40"/>
    </row>
    <row r="663" spans="6:8" x14ac:dyDescent="0.35">
      <c r="F663" s="38"/>
      <c r="G663" s="39"/>
      <c r="H663" s="40"/>
    </row>
    <row r="664" spans="6:8" x14ac:dyDescent="0.35">
      <c r="F664" s="38"/>
      <c r="G664" s="39"/>
      <c r="H664" s="40"/>
    </row>
    <row r="665" spans="6:8" x14ac:dyDescent="0.35">
      <c r="F665" s="38"/>
      <c r="G665" s="39"/>
      <c r="H665" s="40"/>
    </row>
    <row r="666" spans="6:8" x14ac:dyDescent="0.35">
      <c r="F666" s="38"/>
      <c r="G666" s="39"/>
      <c r="H666" s="40"/>
    </row>
    <row r="667" spans="6:8" x14ac:dyDescent="0.35">
      <c r="F667" s="38"/>
      <c r="G667" s="39"/>
      <c r="H667" s="40"/>
    </row>
    <row r="668" spans="6:8" x14ac:dyDescent="0.35">
      <c r="F668" s="38"/>
      <c r="G668" s="39"/>
      <c r="H668" s="40"/>
    </row>
    <row r="669" spans="6:8" x14ac:dyDescent="0.35">
      <c r="F669" s="38"/>
      <c r="G669" s="39"/>
      <c r="H669" s="40"/>
    </row>
    <row r="670" spans="6:8" x14ac:dyDescent="0.35">
      <c r="F670" s="38"/>
      <c r="G670" s="39"/>
      <c r="H670" s="40"/>
    </row>
    <row r="671" spans="6:8" x14ac:dyDescent="0.35">
      <c r="F671" s="38"/>
      <c r="G671" s="39"/>
      <c r="H671" s="40"/>
    </row>
    <row r="672" spans="6:8" x14ac:dyDescent="0.35">
      <c r="F672" s="38"/>
      <c r="G672" s="39"/>
      <c r="H672" s="40"/>
    </row>
    <row r="673" spans="6:8" x14ac:dyDescent="0.35">
      <c r="F673" s="38"/>
      <c r="G673" s="39"/>
      <c r="H673" s="40"/>
    </row>
    <row r="674" spans="6:8" x14ac:dyDescent="0.35">
      <c r="F674" s="38"/>
      <c r="G674" s="39"/>
      <c r="H674" s="40"/>
    </row>
    <row r="675" spans="6:8" x14ac:dyDescent="0.35">
      <c r="F675" s="38"/>
      <c r="G675" s="39"/>
      <c r="H675" s="40"/>
    </row>
    <row r="676" spans="6:8" x14ac:dyDescent="0.35">
      <c r="F676" s="38"/>
      <c r="G676" s="39"/>
      <c r="H676" s="40"/>
    </row>
    <row r="677" spans="6:8" x14ac:dyDescent="0.35">
      <c r="F677" s="38"/>
      <c r="G677" s="39"/>
      <c r="H677" s="40"/>
    </row>
    <row r="678" spans="6:8" x14ac:dyDescent="0.35">
      <c r="F678" s="38"/>
      <c r="G678" s="39"/>
      <c r="H678" s="40"/>
    </row>
    <row r="679" spans="6:8" x14ac:dyDescent="0.35">
      <c r="F679" s="38"/>
      <c r="G679" s="39"/>
      <c r="H679" s="40"/>
    </row>
    <row r="680" spans="6:8" x14ac:dyDescent="0.35">
      <c r="F680" s="38"/>
      <c r="G680" s="39"/>
      <c r="H680" s="40"/>
    </row>
    <row r="681" spans="6:8" x14ac:dyDescent="0.35">
      <c r="F681" s="38"/>
      <c r="G681" s="39"/>
      <c r="H681" s="40"/>
    </row>
    <row r="682" spans="6:8" x14ac:dyDescent="0.35">
      <c r="F682" s="38"/>
      <c r="G682" s="39"/>
      <c r="H682" s="40"/>
    </row>
    <row r="683" spans="6:8" x14ac:dyDescent="0.35">
      <c r="F683" s="38"/>
      <c r="G683" s="39"/>
      <c r="H683" s="40"/>
    </row>
    <row r="684" spans="6:8" x14ac:dyDescent="0.35">
      <c r="F684" s="38"/>
      <c r="G684" s="39"/>
      <c r="H684" s="40"/>
    </row>
    <row r="685" spans="6:8" x14ac:dyDescent="0.35">
      <c r="F685" s="38"/>
      <c r="G685" s="39"/>
      <c r="H685" s="40"/>
    </row>
    <row r="686" spans="6:8" x14ac:dyDescent="0.35">
      <c r="F686" s="38"/>
      <c r="G686" s="39"/>
      <c r="H686" s="40"/>
    </row>
    <row r="687" spans="6:8" x14ac:dyDescent="0.35">
      <c r="F687" s="38"/>
      <c r="G687" s="39"/>
      <c r="H687" s="40"/>
    </row>
    <row r="688" spans="6:8" x14ac:dyDescent="0.35">
      <c r="F688" s="38"/>
      <c r="G688" s="39"/>
      <c r="H688" s="40"/>
    </row>
    <row r="689" spans="6:8" x14ac:dyDescent="0.35">
      <c r="F689" s="38"/>
      <c r="G689" s="39"/>
      <c r="H689" s="40"/>
    </row>
    <row r="690" spans="6:8" x14ac:dyDescent="0.35">
      <c r="F690" s="38"/>
      <c r="G690" s="39"/>
      <c r="H690" s="40"/>
    </row>
    <row r="691" spans="6:8" x14ac:dyDescent="0.35">
      <c r="F691" s="38"/>
      <c r="G691" s="39"/>
      <c r="H691" s="40"/>
    </row>
    <row r="692" spans="6:8" x14ac:dyDescent="0.35">
      <c r="F692" s="38"/>
      <c r="G692" s="39"/>
      <c r="H692" s="40"/>
    </row>
    <row r="693" spans="6:8" x14ac:dyDescent="0.35">
      <c r="F693" s="38"/>
      <c r="G693" s="39"/>
      <c r="H693" s="40"/>
    </row>
    <row r="694" spans="6:8" x14ac:dyDescent="0.35">
      <c r="F694" s="38"/>
      <c r="G694" s="39"/>
      <c r="H694" s="40"/>
    </row>
    <row r="695" spans="6:8" x14ac:dyDescent="0.35">
      <c r="F695" s="38"/>
      <c r="G695" s="39"/>
      <c r="H695" s="40"/>
    </row>
    <row r="696" spans="6:8" x14ac:dyDescent="0.35">
      <c r="F696" s="38"/>
      <c r="G696" s="39"/>
      <c r="H696" s="40"/>
    </row>
    <row r="697" spans="6:8" x14ac:dyDescent="0.35">
      <c r="F697" s="38"/>
      <c r="G697" s="39"/>
      <c r="H697" s="40"/>
    </row>
    <row r="698" spans="6:8" x14ac:dyDescent="0.35">
      <c r="F698" s="38"/>
      <c r="G698" s="39"/>
      <c r="H698" s="40"/>
    </row>
    <row r="699" spans="6:8" x14ac:dyDescent="0.35">
      <c r="F699" s="38"/>
      <c r="G699" s="39"/>
      <c r="H699" s="40"/>
    </row>
    <row r="700" spans="6:8" x14ac:dyDescent="0.35">
      <c r="F700" s="38"/>
      <c r="G700" s="39"/>
      <c r="H700" s="40"/>
    </row>
    <row r="701" spans="6:8" x14ac:dyDescent="0.35">
      <c r="F701" s="38"/>
      <c r="G701" s="39"/>
      <c r="H701" s="40"/>
    </row>
    <row r="702" spans="6:8" x14ac:dyDescent="0.35">
      <c r="F702" s="38"/>
      <c r="G702" s="39"/>
      <c r="H702" s="40"/>
    </row>
    <row r="703" spans="6:8" x14ac:dyDescent="0.35">
      <c r="F703" s="38"/>
      <c r="G703" s="39"/>
      <c r="H703" s="40"/>
    </row>
    <row r="704" spans="6:8" x14ac:dyDescent="0.35">
      <c r="F704" s="38"/>
      <c r="G704" s="39"/>
      <c r="H704" s="40"/>
    </row>
    <row r="705" spans="6:8" x14ac:dyDescent="0.35">
      <c r="F705" s="38"/>
      <c r="G705" s="39"/>
      <c r="H705" s="40"/>
    </row>
    <row r="706" spans="6:8" x14ac:dyDescent="0.35">
      <c r="F706" s="38"/>
      <c r="G706" s="39"/>
      <c r="H706" s="40"/>
    </row>
    <row r="707" spans="6:8" x14ac:dyDescent="0.35">
      <c r="F707" s="38"/>
      <c r="G707" s="39"/>
      <c r="H707" s="40"/>
    </row>
    <row r="708" spans="6:8" x14ac:dyDescent="0.35">
      <c r="F708" s="38"/>
      <c r="G708" s="39"/>
      <c r="H708" s="40"/>
    </row>
    <row r="709" spans="6:8" x14ac:dyDescent="0.35">
      <c r="F709" s="38"/>
      <c r="G709" s="39"/>
      <c r="H709" s="40"/>
    </row>
    <row r="710" spans="6:8" x14ac:dyDescent="0.35">
      <c r="F710" s="38"/>
      <c r="G710" s="39"/>
      <c r="H710" s="40"/>
    </row>
    <row r="711" spans="6:8" x14ac:dyDescent="0.35">
      <c r="F711" s="38"/>
      <c r="G711" s="39"/>
      <c r="H711" s="40"/>
    </row>
    <row r="712" spans="6:8" x14ac:dyDescent="0.35">
      <c r="F712" s="38"/>
      <c r="G712" s="39"/>
      <c r="H712" s="40"/>
    </row>
    <row r="713" spans="6:8" x14ac:dyDescent="0.35">
      <c r="F713" s="38"/>
      <c r="G713" s="39"/>
      <c r="H713" s="40"/>
    </row>
    <row r="714" spans="6:8" x14ac:dyDescent="0.35">
      <c r="F714" s="38"/>
      <c r="G714" s="39"/>
      <c r="H714" s="40"/>
    </row>
    <row r="715" spans="6:8" x14ac:dyDescent="0.35">
      <c r="F715" s="38"/>
      <c r="G715" s="39"/>
      <c r="H715" s="40"/>
    </row>
    <row r="716" spans="6:8" x14ac:dyDescent="0.35">
      <c r="F716" s="38"/>
      <c r="G716" s="39"/>
      <c r="H716" s="40"/>
    </row>
    <row r="717" spans="6:8" x14ac:dyDescent="0.35">
      <c r="F717" s="38"/>
      <c r="G717" s="39"/>
      <c r="H717" s="40"/>
    </row>
    <row r="718" spans="6:8" x14ac:dyDescent="0.35">
      <c r="F718" s="38"/>
      <c r="G718" s="39"/>
      <c r="H718" s="40"/>
    </row>
    <row r="719" spans="6:8" x14ac:dyDescent="0.35">
      <c r="F719" s="38"/>
      <c r="G719" s="39"/>
      <c r="H719" s="40"/>
    </row>
    <row r="720" spans="6:8" x14ac:dyDescent="0.35">
      <c r="F720" s="38"/>
      <c r="G720" s="39"/>
      <c r="H720" s="40"/>
    </row>
    <row r="721" spans="6:8" x14ac:dyDescent="0.35">
      <c r="F721" s="38"/>
      <c r="G721" s="39"/>
      <c r="H721" s="40"/>
    </row>
    <row r="722" spans="6:8" x14ac:dyDescent="0.35">
      <c r="F722" s="38"/>
      <c r="G722" s="39"/>
      <c r="H722" s="40"/>
    </row>
    <row r="723" spans="6:8" x14ac:dyDescent="0.35">
      <c r="F723" s="38"/>
      <c r="G723" s="39"/>
      <c r="H723" s="40"/>
    </row>
    <row r="724" spans="6:8" x14ac:dyDescent="0.35">
      <c r="F724" s="38"/>
      <c r="G724" s="39"/>
      <c r="H724" s="40"/>
    </row>
    <row r="725" spans="6:8" x14ac:dyDescent="0.35">
      <c r="F725" s="38"/>
      <c r="G725" s="39"/>
      <c r="H725" s="40"/>
    </row>
    <row r="726" spans="6:8" x14ac:dyDescent="0.35">
      <c r="F726" s="38"/>
      <c r="G726" s="39"/>
      <c r="H726" s="40"/>
    </row>
    <row r="727" spans="6:8" x14ac:dyDescent="0.35">
      <c r="F727" s="38"/>
      <c r="G727" s="39"/>
      <c r="H727" s="40"/>
    </row>
    <row r="728" spans="6:8" x14ac:dyDescent="0.35">
      <c r="F728" s="38"/>
      <c r="G728" s="39"/>
      <c r="H728" s="40"/>
    </row>
    <row r="729" spans="6:8" x14ac:dyDescent="0.35">
      <c r="F729" s="38"/>
      <c r="G729" s="39"/>
      <c r="H729" s="40"/>
    </row>
    <row r="730" spans="6:8" x14ac:dyDescent="0.35">
      <c r="F730" s="38"/>
      <c r="G730" s="39"/>
      <c r="H730" s="40"/>
    </row>
    <row r="731" spans="6:8" x14ac:dyDescent="0.35">
      <c r="F731" s="38"/>
      <c r="G731" s="39"/>
      <c r="H731" s="40"/>
    </row>
    <row r="732" spans="6:8" x14ac:dyDescent="0.35">
      <c r="F732" s="38"/>
      <c r="G732" s="39"/>
      <c r="H732" s="40"/>
    </row>
    <row r="733" spans="6:8" x14ac:dyDescent="0.35">
      <c r="F733" s="38"/>
      <c r="G733" s="39"/>
      <c r="H733" s="40"/>
    </row>
    <row r="734" spans="6:8" x14ac:dyDescent="0.35">
      <c r="F734" s="38"/>
      <c r="G734" s="39"/>
      <c r="H734" s="40"/>
    </row>
    <row r="735" spans="6:8" x14ac:dyDescent="0.35">
      <c r="F735" s="38"/>
      <c r="G735" s="39"/>
      <c r="H735" s="40"/>
    </row>
    <row r="736" spans="6:8" x14ac:dyDescent="0.35">
      <c r="F736" s="38"/>
      <c r="G736" s="39"/>
      <c r="H736" s="40"/>
    </row>
    <row r="737" spans="6:8" x14ac:dyDescent="0.35">
      <c r="F737" s="38"/>
      <c r="G737" s="39"/>
      <c r="H737" s="40"/>
    </row>
    <row r="738" spans="6:8" x14ac:dyDescent="0.35">
      <c r="F738" s="38"/>
      <c r="G738" s="39"/>
      <c r="H738" s="40"/>
    </row>
    <row r="739" spans="6:8" x14ac:dyDescent="0.35">
      <c r="F739" s="38"/>
      <c r="G739" s="39"/>
      <c r="H739" s="40"/>
    </row>
    <row r="740" spans="6:8" x14ac:dyDescent="0.35">
      <c r="F740" s="38"/>
      <c r="G740" s="39"/>
      <c r="H740" s="40"/>
    </row>
    <row r="741" spans="6:8" x14ac:dyDescent="0.35">
      <c r="F741" s="38"/>
      <c r="G741" s="39"/>
      <c r="H741" s="40"/>
    </row>
    <row r="742" spans="6:8" x14ac:dyDescent="0.35">
      <c r="F742" s="38"/>
      <c r="G742" s="39"/>
      <c r="H742" s="40"/>
    </row>
    <row r="743" spans="6:8" x14ac:dyDescent="0.35">
      <c r="F743" s="38"/>
      <c r="G743" s="39"/>
      <c r="H743" s="40"/>
    </row>
    <row r="744" spans="6:8" x14ac:dyDescent="0.35">
      <c r="F744" s="38"/>
      <c r="G744" s="39"/>
      <c r="H744" s="40"/>
    </row>
    <row r="745" spans="6:8" x14ac:dyDescent="0.35">
      <c r="F745" s="38"/>
      <c r="G745" s="39"/>
      <c r="H745" s="40"/>
    </row>
    <row r="746" spans="6:8" x14ac:dyDescent="0.35">
      <c r="F746" s="38"/>
      <c r="G746" s="39"/>
      <c r="H746" s="40"/>
    </row>
    <row r="747" spans="6:8" x14ac:dyDescent="0.35">
      <c r="F747" s="38"/>
      <c r="G747" s="39"/>
      <c r="H747" s="40"/>
    </row>
    <row r="748" spans="6:8" x14ac:dyDescent="0.35">
      <c r="F748" s="38"/>
      <c r="G748" s="39"/>
      <c r="H748" s="40"/>
    </row>
    <row r="749" spans="6:8" x14ac:dyDescent="0.35">
      <c r="F749" s="38"/>
      <c r="G749" s="39"/>
      <c r="H749" s="40"/>
    </row>
    <row r="750" spans="6:8" x14ac:dyDescent="0.35">
      <c r="F750" s="38"/>
      <c r="G750" s="39"/>
      <c r="H750" s="40"/>
    </row>
    <row r="751" spans="6:8" x14ac:dyDescent="0.35">
      <c r="F751" s="38"/>
      <c r="G751" s="39"/>
      <c r="H751" s="40"/>
    </row>
    <row r="752" spans="6:8" x14ac:dyDescent="0.35">
      <c r="F752" s="38"/>
      <c r="G752" s="39"/>
      <c r="H752" s="40"/>
    </row>
    <row r="753" spans="6:8" x14ac:dyDescent="0.35">
      <c r="F753" s="38"/>
      <c r="G753" s="39"/>
      <c r="H753" s="40"/>
    </row>
    <row r="754" spans="6:8" x14ac:dyDescent="0.35">
      <c r="F754" s="38"/>
      <c r="G754" s="39"/>
      <c r="H754" s="40"/>
    </row>
    <row r="755" spans="6:8" x14ac:dyDescent="0.35">
      <c r="F755" s="38"/>
      <c r="G755" s="39"/>
      <c r="H755" s="40"/>
    </row>
    <row r="756" spans="6:8" x14ac:dyDescent="0.35">
      <c r="F756" s="38"/>
      <c r="G756" s="39"/>
      <c r="H756" s="40"/>
    </row>
    <row r="757" spans="6:8" x14ac:dyDescent="0.35">
      <c r="F757" s="38"/>
      <c r="G757" s="39"/>
      <c r="H757" s="40"/>
    </row>
    <row r="758" spans="6:8" x14ac:dyDescent="0.35">
      <c r="F758" s="38"/>
      <c r="G758" s="39"/>
      <c r="H758" s="40"/>
    </row>
    <row r="759" spans="6:8" x14ac:dyDescent="0.35">
      <c r="F759" s="38"/>
      <c r="G759" s="39"/>
      <c r="H759" s="40"/>
    </row>
    <row r="760" spans="6:8" x14ac:dyDescent="0.35">
      <c r="F760" s="38"/>
      <c r="G760" s="39"/>
      <c r="H760" s="40"/>
    </row>
    <row r="761" spans="6:8" x14ac:dyDescent="0.35">
      <c r="F761" s="38"/>
      <c r="G761" s="39"/>
      <c r="H761" s="40"/>
    </row>
    <row r="762" spans="6:8" x14ac:dyDescent="0.35">
      <c r="F762" s="38"/>
      <c r="G762" s="39"/>
      <c r="H762" s="40"/>
    </row>
    <row r="763" spans="6:8" x14ac:dyDescent="0.35">
      <c r="F763" s="38"/>
      <c r="G763" s="39"/>
      <c r="H763" s="40"/>
    </row>
    <row r="764" spans="6:8" x14ac:dyDescent="0.35">
      <c r="F764" s="38"/>
      <c r="G764" s="39"/>
      <c r="H764" s="40"/>
    </row>
    <row r="765" spans="6:8" x14ac:dyDescent="0.35">
      <c r="F765" s="38"/>
      <c r="G765" s="39"/>
      <c r="H765" s="40"/>
    </row>
    <row r="766" spans="6:8" x14ac:dyDescent="0.35">
      <c r="F766" s="38"/>
      <c r="G766" s="39"/>
      <c r="H766" s="40"/>
    </row>
    <row r="767" spans="6:8" x14ac:dyDescent="0.35">
      <c r="F767" s="38"/>
      <c r="G767" s="39"/>
      <c r="H767" s="40"/>
    </row>
    <row r="768" spans="6:8" x14ac:dyDescent="0.35">
      <c r="F768" s="38"/>
      <c r="G768" s="39"/>
      <c r="H768" s="40"/>
    </row>
    <row r="769" spans="6:8" x14ac:dyDescent="0.35">
      <c r="F769" s="38"/>
      <c r="G769" s="39"/>
      <c r="H769" s="40"/>
    </row>
    <row r="770" spans="6:8" x14ac:dyDescent="0.35">
      <c r="F770" s="38"/>
      <c r="G770" s="39"/>
      <c r="H770" s="40"/>
    </row>
    <row r="771" spans="6:8" x14ac:dyDescent="0.35">
      <c r="F771" s="38"/>
      <c r="G771" s="39"/>
      <c r="H771" s="40"/>
    </row>
    <row r="772" spans="6:8" x14ac:dyDescent="0.35">
      <c r="F772" s="38"/>
      <c r="G772" s="39"/>
      <c r="H772" s="40"/>
    </row>
    <row r="773" spans="6:8" x14ac:dyDescent="0.35">
      <c r="F773" s="38"/>
      <c r="G773" s="39"/>
      <c r="H773" s="40"/>
    </row>
    <row r="774" spans="6:8" x14ac:dyDescent="0.35">
      <c r="F774" s="38"/>
      <c r="G774" s="39"/>
      <c r="H774" s="40"/>
    </row>
    <row r="775" spans="6:8" x14ac:dyDescent="0.35">
      <c r="F775" s="38"/>
      <c r="G775" s="39"/>
      <c r="H775" s="40"/>
    </row>
    <row r="776" spans="6:8" x14ac:dyDescent="0.35">
      <c r="F776" s="38"/>
      <c r="G776" s="39"/>
      <c r="H776" s="40"/>
    </row>
    <row r="777" spans="6:8" x14ac:dyDescent="0.35">
      <c r="F777" s="38"/>
      <c r="G777" s="39"/>
      <c r="H777" s="40"/>
    </row>
    <row r="778" spans="6:8" x14ac:dyDescent="0.35">
      <c r="F778" s="38"/>
      <c r="G778" s="39"/>
      <c r="H778" s="40"/>
    </row>
    <row r="779" spans="6:8" x14ac:dyDescent="0.35">
      <c r="F779" s="38"/>
      <c r="G779" s="39"/>
      <c r="H779" s="40"/>
    </row>
    <row r="780" spans="6:8" x14ac:dyDescent="0.35">
      <c r="F780" s="38"/>
      <c r="G780" s="39"/>
      <c r="H780" s="40"/>
    </row>
    <row r="781" spans="6:8" x14ac:dyDescent="0.35">
      <c r="F781" s="38"/>
      <c r="G781" s="39"/>
      <c r="H781" s="40"/>
    </row>
    <row r="782" spans="6:8" x14ac:dyDescent="0.35">
      <c r="F782" s="38"/>
      <c r="G782" s="39"/>
      <c r="H782" s="40"/>
    </row>
    <row r="783" spans="6:8" x14ac:dyDescent="0.35">
      <c r="F783" s="38"/>
      <c r="G783" s="39"/>
      <c r="H783" s="40"/>
    </row>
    <row r="784" spans="6:8" x14ac:dyDescent="0.35">
      <c r="F784" s="38"/>
      <c r="G784" s="39"/>
      <c r="H784" s="40"/>
    </row>
    <row r="785" spans="6:8" x14ac:dyDescent="0.35">
      <c r="F785" s="38"/>
      <c r="G785" s="39"/>
      <c r="H785" s="40"/>
    </row>
    <row r="786" spans="6:8" x14ac:dyDescent="0.35">
      <c r="F786" s="38"/>
      <c r="G786" s="39"/>
      <c r="H786" s="40"/>
    </row>
    <row r="787" spans="6:8" x14ac:dyDescent="0.35">
      <c r="F787" s="38"/>
      <c r="G787" s="39"/>
      <c r="H787" s="40"/>
    </row>
    <row r="788" spans="6:8" x14ac:dyDescent="0.35">
      <c r="F788" s="38"/>
      <c r="G788" s="39"/>
      <c r="H788" s="40"/>
    </row>
    <row r="789" spans="6:8" x14ac:dyDescent="0.35">
      <c r="F789" s="38"/>
      <c r="G789" s="39"/>
      <c r="H789" s="40"/>
    </row>
    <row r="790" spans="6:8" x14ac:dyDescent="0.35">
      <c r="F790" s="38"/>
      <c r="G790" s="39"/>
      <c r="H790" s="40"/>
    </row>
    <row r="791" spans="6:8" x14ac:dyDescent="0.35">
      <c r="F791" s="38"/>
      <c r="G791" s="39"/>
      <c r="H791" s="40"/>
    </row>
    <row r="792" spans="6:8" x14ac:dyDescent="0.35">
      <c r="F792" s="38"/>
      <c r="G792" s="39"/>
      <c r="H792" s="40"/>
    </row>
    <row r="793" spans="6:8" x14ac:dyDescent="0.35">
      <c r="F793" s="38"/>
      <c r="G793" s="39"/>
      <c r="H793" s="40"/>
    </row>
    <row r="794" spans="6:8" x14ac:dyDescent="0.35">
      <c r="F794" s="38"/>
      <c r="G794" s="39"/>
      <c r="H794" s="40"/>
    </row>
    <row r="795" spans="6:8" x14ac:dyDescent="0.35">
      <c r="F795" s="38"/>
      <c r="G795" s="39"/>
      <c r="H795" s="40"/>
    </row>
    <row r="796" spans="6:8" x14ac:dyDescent="0.35">
      <c r="F796" s="38"/>
      <c r="G796" s="39"/>
      <c r="H796" s="40"/>
    </row>
    <row r="797" spans="6:8" x14ac:dyDescent="0.35">
      <c r="F797" s="38"/>
      <c r="G797" s="39"/>
      <c r="H797" s="40"/>
    </row>
    <row r="798" spans="6:8" x14ac:dyDescent="0.35">
      <c r="F798" s="38"/>
      <c r="G798" s="39"/>
      <c r="H798" s="40"/>
    </row>
    <row r="799" spans="6:8" x14ac:dyDescent="0.35">
      <c r="F799" s="38"/>
      <c r="G799" s="39"/>
      <c r="H799" s="40"/>
    </row>
    <row r="800" spans="6:8" x14ac:dyDescent="0.35">
      <c r="F800" s="38"/>
      <c r="G800" s="39"/>
      <c r="H800" s="40"/>
    </row>
    <row r="801" spans="6:8" x14ac:dyDescent="0.35">
      <c r="F801" s="38"/>
      <c r="G801" s="39"/>
      <c r="H801" s="40"/>
    </row>
    <row r="802" spans="6:8" x14ac:dyDescent="0.35">
      <c r="F802" s="38"/>
      <c r="G802" s="39"/>
      <c r="H802" s="40"/>
    </row>
    <row r="803" spans="6:8" x14ac:dyDescent="0.35">
      <c r="F803" s="38"/>
      <c r="G803" s="39"/>
      <c r="H803" s="40"/>
    </row>
    <row r="804" spans="6:8" x14ac:dyDescent="0.35">
      <c r="F804" s="38"/>
      <c r="G804" s="39"/>
      <c r="H804" s="40"/>
    </row>
    <row r="805" spans="6:8" x14ac:dyDescent="0.35">
      <c r="F805" s="38"/>
      <c r="G805" s="39"/>
      <c r="H805" s="40"/>
    </row>
    <row r="806" spans="6:8" x14ac:dyDescent="0.35">
      <c r="F806" s="38"/>
      <c r="G806" s="39"/>
      <c r="H806" s="40"/>
    </row>
    <row r="807" spans="6:8" x14ac:dyDescent="0.35">
      <c r="F807" s="38"/>
      <c r="G807" s="39"/>
      <c r="H807" s="40"/>
    </row>
    <row r="808" spans="6:8" x14ac:dyDescent="0.35">
      <c r="F808" s="38"/>
      <c r="G808" s="39"/>
      <c r="H808" s="40"/>
    </row>
    <row r="809" spans="6:8" x14ac:dyDescent="0.35">
      <c r="F809" s="38"/>
      <c r="G809" s="39"/>
      <c r="H809" s="40"/>
    </row>
    <row r="810" spans="6:8" x14ac:dyDescent="0.35">
      <c r="F810" s="38"/>
      <c r="G810" s="39"/>
      <c r="H810" s="40"/>
    </row>
    <row r="811" spans="6:8" x14ac:dyDescent="0.35">
      <c r="F811" s="38"/>
      <c r="G811" s="39"/>
      <c r="H811" s="40"/>
    </row>
    <row r="812" spans="6:8" x14ac:dyDescent="0.35">
      <c r="F812" s="38"/>
      <c r="G812" s="39"/>
      <c r="H812" s="40"/>
    </row>
    <row r="813" spans="6:8" x14ac:dyDescent="0.35">
      <c r="F813" s="38"/>
      <c r="G813" s="39"/>
      <c r="H813" s="40"/>
    </row>
    <row r="814" spans="6:8" x14ac:dyDescent="0.35">
      <c r="F814" s="38"/>
      <c r="G814" s="39"/>
      <c r="H814" s="40"/>
    </row>
    <row r="815" spans="6:8" x14ac:dyDescent="0.35">
      <c r="F815" s="38"/>
      <c r="G815" s="39"/>
      <c r="H815" s="40"/>
    </row>
    <row r="816" spans="6:8" x14ac:dyDescent="0.35">
      <c r="F816" s="38"/>
      <c r="G816" s="39"/>
      <c r="H816" s="40"/>
    </row>
    <row r="817" spans="6:8" x14ac:dyDescent="0.35">
      <c r="F817" s="38"/>
      <c r="G817" s="39"/>
      <c r="H817" s="40"/>
    </row>
    <row r="818" spans="6:8" x14ac:dyDescent="0.35">
      <c r="F818" s="38"/>
      <c r="G818" s="39"/>
      <c r="H818" s="40"/>
    </row>
    <row r="819" spans="6:8" x14ac:dyDescent="0.35">
      <c r="F819" s="38"/>
      <c r="G819" s="39"/>
      <c r="H819" s="40"/>
    </row>
    <row r="820" spans="6:8" x14ac:dyDescent="0.35">
      <c r="F820" s="38"/>
      <c r="G820" s="39"/>
      <c r="H820" s="40"/>
    </row>
    <row r="821" spans="6:8" x14ac:dyDescent="0.35">
      <c r="F821" s="38"/>
      <c r="G821" s="39"/>
      <c r="H821" s="40"/>
    </row>
    <row r="822" spans="6:8" x14ac:dyDescent="0.35">
      <c r="F822" s="38"/>
      <c r="G822" s="39"/>
      <c r="H822" s="40"/>
    </row>
    <row r="823" spans="6:8" x14ac:dyDescent="0.35">
      <c r="F823" s="38"/>
      <c r="G823" s="39"/>
      <c r="H823" s="40"/>
    </row>
    <row r="824" spans="6:8" x14ac:dyDescent="0.35">
      <c r="F824" s="38"/>
      <c r="G824" s="39"/>
      <c r="H824" s="40"/>
    </row>
    <row r="825" spans="6:8" x14ac:dyDescent="0.35">
      <c r="F825" s="38"/>
      <c r="G825" s="39"/>
      <c r="H825" s="40"/>
    </row>
    <row r="826" spans="6:8" x14ac:dyDescent="0.35">
      <c r="F826" s="38"/>
      <c r="G826" s="39"/>
      <c r="H826" s="40"/>
    </row>
    <row r="827" spans="6:8" x14ac:dyDescent="0.35">
      <c r="F827" s="38"/>
      <c r="G827" s="39"/>
      <c r="H827" s="40"/>
    </row>
    <row r="828" spans="6:8" x14ac:dyDescent="0.35">
      <c r="F828" s="38"/>
      <c r="G828" s="39"/>
      <c r="H828" s="40"/>
    </row>
    <row r="829" spans="6:8" x14ac:dyDescent="0.35">
      <c r="F829" s="38"/>
      <c r="G829" s="39"/>
      <c r="H829" s="40"/>
    </row>
    <row r="830" spans="6:8" x14ac:dyDescent="0.35">
      <c r="F830" s="38"/>
      <c r="G830" s="39"/>
      <c r="H830" s="40"/>
    </row>
    <row r="831" spans="6:8" x14ac:dyDescent="0.35">
      <c r="F831" s="38"/>
      <c r="G831" s="39"/>
      <c r="H831" s="40"/>
    </row>
    <row r="832" spans="6:8" x14ac:dyDescent="0.35">
      <c r="F832" s="38"/>
      <c r="G832" s="39"/>
      <c r="H832" s="40"/>
    </row>
    <row r="833" spans="6:8" x14ac:dyDescent="0.35">
      <c r="F833" s="38"/>
      <c r="G833" s="39"/>
      <c r="H833" s="40"/>
    </row>
    <row r="834" spans="6:8" x14ac:dyDescent="0.35">
      <c r="F834" s="38"/>
      <c r="G834" s="39"/>
      <c r="H834" s="40"/>
    </row>
    <row r="835" spans="6:8" x14ac:dyDescent="0.35">
      <c r="F835" s="38"/>
      <c r="G835" s="39"/>
      <c r="H835" s="40"/>
    </row>
    <row r="836" spans="6:8" x14ac:dyDescent="0.35">
      <c r="F836" s="38"/>
      <c r="G836" s="39"/>
      <c r="H836" s="40"/>
    </row>
    <row r="837" spans="6:8" x14ac:dyDescent="0.35">
      <c r="F837" s="38"/>
      <c r="G837" s="39"/>
      <c r="H837" s="40"/>
    </row>
    <row r="838" spans="6:8" x14ac:dyDescent="0.35">
      <c r="F838" s="38"/>
      <c r="G838" s="39"/>
      <c r="H838" s="40"/>
    </row>
    <row r="839" spans="6:8" x14ac:dyDescent="0.35">
      <c r="F839" s="38"/>
      <c r="G839" s="39"/>
      <c r="H839" s="40"/>
    </row>
    <row r="840" spans="6:8" x14ac:dyDescent="0.35">
      <c r="F840" s="38"/>
      <c r="G840" s="39"/>
      <c r="H840" s="40"/>
    </row>
    <row r="841" spans="6:8" x14ac:dyDescent="0.35">
      <c r="F841" s="38"/>
      <c r="G841" s="39"/>
      <c r="H841" s="40"/>
    </row>
    <row r="842" spans="6:8" x14ac:dyDescent="0.35">
      <c r="F842" s="38"/>
      <c r="G842" s="39"/>
      <c r="H842" s="40"/>
    </row>
    <row r="843" spans="6:8" x14ac:dyDescent="0.35">
      <c r="F843" s="38"/>
      <c r="G843" s="39"/>
      <c r="H843" s="40"/>
    </row>
    <row r="844" spans="6:8" x14ac:dyDescent="0.35">
      <c r="F844" s="38"/>
      <c r="G844" s="39"/>
      <c r="H844" s="40"/>
    </row>
    <row r="845" spans="6:8" x14ac:dyDescent="0.35">
      <c r="F845" s="38"/>
      <c r="G845" s="39"/>
      <c r="H845" s="40"/>
    </row>
    <row r="846" spans="6:8" x14ac:dyDescent="0.35">
      <c r="F846" s="38"/>
      <c r="G846" s="39"/>
      <c r="H846" s="40"/>
    </row>
    <row r="847" spans="6:8" x14ac:dyDescent="0.35">
      <c r="F847" s="38"/>
      <c r="G847" s="39"/>
      <c r="H847" s="40"/>
    </row>
    <row r="848" spans="6:8" x14ac:dyDescent="0.35">
      <c r="F848" s="38"/>
      <c r="G848" s="39"/>
      <c r="H848" s="40"/>
    </row>
    <row r="849" spans="6:8" x14ac:dyDescent="0.35">
      <c r="F849" s="38"/>
      <c r="G849" s="39"/>
      <c r="H849" s="40"/>
    </row>
    <row r="850" spans="6:8" x14ac:dyDescent="0.35">
      <c r="F850" s="38"/>
      <c r="G850" s="39"/>
      <c r="H850" s="40"/>
    </row>
    <row r="851" spans="6:8" x14ac:dyDescent="0.35">
      <c r="F851" s="38"/>
      <c r="G851" s="39"/>
      <c r="H851" s="40"/>
    </row>
    <row r="852" spans="6:8" x14ac:dyDescent="0.35">
      <c r="F852" s="38"/>
      <c r="G852" s="39"/>
      <c r="H852" s="40"/>
    </row>
    <row r="853" spans="6:8" x14ac:dyDescent="0.35">
      <c r="F853" s="38"/>
      <c r="G853" s="39"/>
      <c r="H853" s="40"/>
    </row>
    <row r="854" spans="6:8" x14ac:dyDescent="0.35">
      <c r="F854" s="38"/>
      <c r="G854" s="39"/>
      <c r="H854" s="40"/>
    </row>
    <row r="855" spans="6:8" x14ac:dyDescent="0.35">
      <c r="F855" s="38"/>
      <c r="G855" s="39"/>
      <c r="H855" s="40"/>
    </row>
    <row r="856" spans="6:8" x14ac:dyDescent="0.35">
      <c r="F856" s="38"/>
      <c r="G856" s="39"/>
      <c r="H856" s="40"/>
    </row>
    <row r="857" spans="6:8" x14ac:dyDescent="0.35">
      <c r="F857" s="38"/>
      <c r="G857" s="39"/>
      <c r="H857" s="40"/>
    </row>
    <row r="858" spans="6:8" x14ac:dyDescent="0.35">
      <c r="F858" s="38"/>
      <c r="G858" s="39"/>
      <c r="H858" s="40"/>
    </row>
    <row r="859" spans="6:8" x14ac:dyDescent="0.35">
      <c r="F859" s="38"/>
      <c r="G859" s="39"/>
      <c r="H859" s="40"/>
    </row>
    <row r="860" spans="6:8" x14ac:dyDescent="0.35">
      <c r="F860" s="38"/>
      <c r="G860" s="39"/>
      <c r="H860" s="40"/>
    </row>
    <row r="861" spans="6:8" x14ac:dyDescent="0.35">
      <c r="F861" s="38"/>
      <c r="G861" s="39"/>
      <c r="H861" s="40"/>
    </row>
    <row r="862" spans="6:8" x14ac:dyDescent="0.35">
      <c r="F862" s="38"/>
      <c r="G862" s="39"/>
      <c r="H862" s="40"/>
    </row>
    <row r="863" spans="6:8" x14ac:dyDescent="0.35">
      <c r="F863" s="38"/>
      <c r="G863" s="39"/>
      <c r="H863" s="40"/>
    </row>
    <row r="864" spans="6:8" x14ac:dyDescent="0.35">
      <c r="F864" s="38"/>
      <c r="G864" s="39"/>
      <c r="H864" s="40"/>
    </row>
    <row r="865" spans="6:8" x14ac:dyDescent="0.35">
      <c r="F865" s="38"/>
      <c r="G865" s="39"/>
      <c r="H865" s="40"/>
    </row>
    <row r="866" spans="6:8" x14ac:dyDescent="0.35">
      <c r="F866" s="38"/>
      <c r="G866" s="39"/>
      <c r="H866" s="40"/>
    </row>
    <row r="867" spans="6:8" x14ac:dyDescent="0.35">
      <c r="F867" s="38"/>
      <c r="G867" s="39"/>
      <c r="H867" s="40"/>
    </row>
    <row r="868" spans="6:8" x14ac:dyDescent="0.35">
      <c r="F868" s="38"/>
      <c r="G868" s="39"/>
      <c r="H868" s="40"/>
    </row>
    <row r="869" spans="6:8" x14ac:dyDescent="0.35">
      <c r="F869" s="38"/>
      <c r="G869" s="39"/>
      <c r="H869" s="40"/>
    </row>
    <row r="870" spans="6:8" x14ac:dyDescent="0.35">
      <c r="F870" s="38"/>
      <c r="G870" s="39"/>
      <c r="H870" s="40"/>
    </row>
    <row r="871" spans="6:8" x14ac:dyDescent="0.35">
      <c r="F871" s="38"/>
      <c r="G871" s="39"/>
      <c r="H871" s="40"/>
    </row>
    <row r="872" spans="6:8" x14ac:dyDescent="0.35">
      <c r="F872" s="38"/>
      <c r="G872" s="39"/>
      <c r="H872" s="40"/>
    </row>
    <row r="873" spans="6:8" x14ac:dyDescent="0.35">
      <c r="F873" s="38"/>
      <c r="G873" s="39"/>
      <c r="H873" s="40"/>
    </row>
    <row r="874" spans="6:8" x14ac:dyDescent="0.35">
      <c r="F874" s="38"/>
      <c r="G874" s="39"/>
      <c r="H874" s="40"/>
    </row>
    <row r="875" spans="6:8" x14ac:dyDescent="0.35">
      <c r="F875" s="38"/>
      <c r="G875" s="39"/>
      <c r="H875" s="40"/>
    </row>
    <row r="876" spans="6:8" x14ac:dyDescent="0.35">
      <c r="F876" s="38"/>
      <c r="G876" s="39"/>
      <c r="H876" s="40"/>
    </row>
    <row r="877" spans="6:8" x14ac:dyDescent="0.35">
      <c r="F877" s="38"/>
      <c r="G877" s="39"/>
      <c r="H877" s="40"/>
    </row>
    <row r="878" spans="6:8" x14ac:dyDescent="0.35">
      <c r="F878" s="38"/>
      <c r="G878" s="39"/>
      <c r="H878" s="40"/>
    </row>
    <row r="879" spans="6:8" x14ac:dyDescent="0.35">
      <c r="F879" s="38"/>
      <c r="G879" s="39"/>
      <c r="H879" s="40"/>
    </row>
    <row r="880" spans="6:8" x14ac:dyDescent="0.35">
      <c r="F880" s="38"/>
      <c r="G880" s="39"/>
      <c r="H880" s="40"/>
    </row>
    <row r="881" spans="6:8" x14ac:dyDescent="0.35">
      <c r="F881" s="38"/>
      <c r="G881" s="39"/>
      <c r="H881" s="40"/>
    </row>
    <row r="882" spans="6:8" x14ac:dyDescent="0.35">
      <c r="F882" s="38"/>
      <c r="G882" s="39"/>
      <c r="H882" s="40"/>
    </row>
    <row r="883" spans="6:8" x14ac:dyDescent="0.35">
      <c r="F883" s="38"/>
      <c r="G883" s="39"/>
      <c r="H883" s="40"/>
    </row>
    <row r="884" spans="6:8" x14ac:dyDescent="0.35">
      <c r="F884" s="38"/>
      <c r="G884" s="39"/>
      <c r="H884" s="40"/>
    </row>
    <row r="885" spans="6:8" x14ac:dyDescent="0.35">
      <c r="F885" s="38"/>
      <c r="G885" s="39"/>
      <c r="H885" s="40"/>
    </row>
    <row r="886" spans="6:8" x14ac:dyDescent="0.35">
      <c r="F886" s="38"/>
      <c r="G886" s="39"/>
      <c r="H886" s="40"/>
    </row>
    <row r="887" spans="6:8" x14ac:dyDescent="0.35">
      <c r="F887" s="38"/>
      <c r="G887" s="39"/>
      <c r="H887" s="40"/>
    </row>
    <row r="888" spans="6:8" x14ac:dyDescent="0.35">
      <c r="F888" s="38"/>
      <c r="G888" s="39"/>
      <c r="H888" s="40"/>
    </row>
    <row r="889" spans="6:8" x14ac:dyDescent="0.35">
      <c r="F889" s="38"/>
      <c r="G889" s="39"/>
      <c r="H889" s="40"/>
    </row>
    <row r="890" spans="6:8" x14ac:dyDescent="0.35">
      <c r="F890" s="38"/>
      <c r="G890" s="39"/>
      <c r="H890" s="40"/>
    </row>
    <row r="891" spans="6:8" x14ac:dyDescent="0.35">
      <c r="F891" s="38"/>
      <c r="G891" s="39"/>
      <c r="H891" s="40"/>
    </row>
    <row r="892" spans="6:8" x14ac:dyDescent="0.35">
      <c r="F892" s="38"/>
      <c r="G892" s="39"/>
      <c r="H892" s="40"/>
    </row>
    <row r="893" spans="6:8" x14ac:dyDescent="0.35">
      <c r="F893" s="38"/>
      <c r="G893" s="39"/>
      <c r="H893" s="40"/>
    </row>
    <row r="894" spans="6:8" x14ac:dyDescent="0.35">
      <c r="F894" s="38"/>
      <c r="G894" s="39"/>
      <c r="H894" s="40"/>
    </row>
    <row r="895" spans="6:8" x14ac:dyDescent="0.35">
      <c r="F895" s="38"/>
      <c r="G895" s="39"/>
      <c r="H895" s="40"/>
    </row>
    <row r="896" spans="6:8" x14ac:dyDescent="0.35">
      <c r="F896" s="38"/>
      <c r="G896" s="39"/>
      <c r="H896" s="40"/>
    </row>
    <row r="897" spans="6:8" x14ac:dyDescent="0.35">
      <c r="F897" s="38"/>
      <c r="G897" s="39"/>
      <c r="H897" s="40"/>
    </row>
    <row r="898" spans="6:8" x14ac:dyDescent="0.35">
      <c r="F898" s="38"/>
      <c r="G898" s="39"/>
      <c r="H898" s="40"/>
    </row>
    <row r="899" spans="6:8" x14ac:dyDescent="0.35">
      <c r="F899" s="38"/>
      <c r="G899" s="39"/>
      <c r="H899" s="40"/>
    </row>
    <row r="900" spans="6:8" x14ac:dyDescent="0.35">
      <c r="F900" s="38"/>
      <c r="G900" s="39"/>
      <c r="H900" s="40"/>
    </row>
    <row r="901" spans="6:8" x14ac:dyDescent="0.35">
      <c r="F901" s="38"/>
      <c r="G901" s="39"/>
      <c r="H901" s="40"/>
    </row>
    <row r="902" spans="6:8" x14ac:dyDescent="0.35">
      <c r="F902" s="38"/>
      <c r="G902" s="39"/>
      <c r="H902" s="40"/>
    </row>
    <row r="903" spans="6:8" x14ac:dyDescent="0.35">
      <c r="F903" s="38"/>
      <c r="G903" s="39"/>
      <c r="H903" s="40"/>
    </row>
    <row r="904" spans="6:8" x14ac:dyDescent="0.35">
      <c r="F904" s="38"/>
      <c r="G904" s="39"/>
      <c r="H904" s="40"/>
    </row>
    <row r="905" spans="6:8" x14ac:dyDescent="0.35">
      <c r="F905" s="38"/>
      <c r="G905" s="39"/>
      <c r="H905" s="40"/>
    </row>
    <row r="906" spans="6:8" x14ac:dyDescent="0.35">
      <c r="F906" s="38"/>
      <c r="G906" s="39"/>
      <c r="H906" s="40"/>
    </row>
    <row r="907" spans="6:8" x14ac:dyDescent="0.35">
      <c r="F907" s="38"/>
      <c r="G907" s="39"/>
      <c r="H907" s="40"/>
    </row>
    <row r="908" spans="6:8" x14ac:dyDescent="0.35">
      <c r="F908" s="38"/>
      <c r="G908" s="39"/>
      <c r="H908" s="40"/>
    </row>
    <row r="909" spans="6:8" x14ac:dyDescent="0.35">
      <c r="F909" s="38"/>
      <c r="G909" s="39"/>
      <c r="H909" s="40"/>
    </row>
    <row r="910" spans="6:8" x14ac:dyDescent="0.35">
      <c r="F910" s="38"/>
      <c r="G910" s="39"/>
      <c r="H910" s="40"/>
    </row>
    <row r="911" spans="6:8" x14ac:dyDescent="0.35">
      <c r="F911" s="38"/>
      <c r="G911" s="39"/>
      <c r="H911" s="40"/>
    </row>
    <row r="912" spans="6:8" x14ac:dyDescent="0.35">
      <c r="F912" s="38"/>
      <c r="G912" s="39"/>
      <c r="H912" s="40"/>
    </row>
    <row r="913" spans="6:8" x14ac:dyDescent="0.35">
      <c r="F913" s="38"/>
      <c r="G913" s="39"/>
      <c r="H913" s="40"/>
    </row>
    <row r="914" spans="6:8" x14ac:dyDescent="0.35">
      <c r="F914" s="38"/>
      <c r="G914" s="39"/>
      <c r="H914" s="40"/>
    </row>
    <row r="915" spans="6:8" x14ac:dyDescent="0.35">
      <c r="F915" s="38"/>
      <c r="G915" s="39"/>
      <c r="H915" s="40"/>
    </row>
    <row r="916" spans="6:8" x14ac:dyDescent="0.35">
      <c r="F916" s="38"/>
      <c r="G916" s="39"/>
      <c r="H916" s="40"/>
    </row>
    <row r="917" spans="6:8" x14ac:dyDescent="0.35">
      <c r="F917" s="38"/>
      <c r="G917" s="39"/>
      <c r="H917" s="40"/>
    </row>
    <row r="918" spans="6:8" x14ac:dyDescent="0.35">
      <c r="F918" s="38"/>
      <c r="G918" s="39"/>
      <c r="H918" s="40"/>
    </row>
    <row r="919" spans="6:8" x14ac:dyDescent="0.35">
      <c r="F919" s="38"/>
      <c r="G919" s="39"/>
      <c r="H919" s="40"/>
    </row>
    <row r="920" spans="6:8" x14ac:dyDescent="0.35">
      <c r="F920" s="38"/>
      <c r="G920" s="39"/>
      <c r="H920" s="40"/>
    </row>
    <row r="921" spans="6:8" x14ac:dyDescent="0.35">
      <c r="F921" s="38"/>
      <c r="G921" s="39"/>
      <c r="H921" s="40"/>
    </row>
    <row r="922" spans="6:8" x14ac:dyDescent="0.35">
      <c r="F922" s="38"/>
      <c r="G922" s="39"/>
      <c r="H922" s="40"/>
    </row>
    <row r="923" spans="6:8" x14ac:dyDescent="0.35">
      <c r="F923" s="38"/>
      <c r="G923" s="39"/>
      <c r="H923" s="40"/>
    </row>
    <row r="924" spans="6:8" x14ac:dyDescent="0.35">
      <c r="F924" s="38"/>
      <c r="G924" s="39"/>
      <c r="H924" s="40"/>
    </row>
    <row r="925" spans="6:8" x14ac:dyDescent="0.35">
      <c r="F925" s="38"/>
      <c r="G925" s="39"/>
      <c r="H925" s="40"/>
    </row>
    <row r="926" spans="6:8" x14ac:dyDescent="0.35">
      <c r="F926" s="38"/>
      <c r="G926" s="39"/>
      <c r="H926" s="40"/>
    </row>
    <row r="927" spans="6:8" x14ac:dyDescent="0.35">
      <c r="F927" s="38"/>
      <c r="G927" s="39"/>
      <c r="H927" s="40"/>
    </row>
    <row r="928" spans="6:8" x14ac:dyDescent="0.35">
      <c r="F928" s="38"/>
      <c r="G928" s="39"/>
      <c r="H928" s="40"/>
    </row>
    <row r="929" spans="6:8" x14ac:dyDescent="0.35">
      <c r="F929" s="38"/>
      <c r="G929" s="39"/>
      <c r="H929" s="40"/>
    </row>
    <row r="930" spans="6:8" x14ac:dyDescent="0.35">
      <c r="F930" s="38"/>
      <c r="G930" s="39"/>
      <c r="H930" s="40"/>
    </row>
    <row r="931" spans="6:8" x14ac:dyDescent="0.35">
      <c r="F931" s="38"/>
      <c r="G931" s="39"/>
      <c r="H931" s="40"/>
    </row>
    <row r="932" spans="6:8" x14ac:dyDescent="0.35">
      <c r="F932" s="38"/>
      <c r="G932" s="39"/>
      <c r="H932" s="40"/>
    </row>
    <row r="933" spans="6:8" x14ac:dyDescent="0.35">
      <c r="F933" s="38"/>
      <c r="G933" s="39"/>
      <c r="H933" s="40"/>
    </row>
    <row r="934" spans="6:8" x14ac:dyDescent="0.35">
      <c r="F934" s="38"/>
      <c r="G934" s="39"/>
      <c r="H934" s="40"/>
    </row>
    <row r="935" spans="6:8" x14ac:dyDescent="0.35">
      <c r="F935" s="38"/>
      <c r="G935" s="39"/>
      <c r="H935" s="40"/>
    </row>
    <row r="936" spans="6:8" x14ac:dyDescent="0.35">
      <c r="F936" s="38"/>
      <c r="G936" s="39"/>
      <c r="H936" s="40"/>
    </row>
    <row r="937" spans="6:8" x14ac:dyDescent="0.35">
      <c r="F937" s="38"/>
      <c r="G937" s="39"/>
      <c r="H937" s="40"/>
    </row>
    <row r="938" spans="6:8" x14ac:dyDescent="0.35">
      <c r="F938" s="38"/>
      <c r="G938" s="39"/>
      <c r="H938" s="40"/>
    </row>
    <row r="939" spans="6:8" x14ac:dyDescent="0.35">
      <c r="F939" s="38"/>
      <c r="G939" s="39"/>
      <c r="H939" s="40"/>
    </row>
    <row r="940" spans="6:8" x14ac:dyDescent="0.35">
      <c r="F940" s="38"/>
      <c r="G940" s="39"/>
      <c r="H940" s="40"/>
    </row>
    <row r="941" spans="6:8" x14ac:dyDescent="0.35">
      <c r="F941" s="38"/>
      <c r="G941" s="39"/>
      <c r="H941" s="40"/>
    </row>
    <row r="942" spans="6:8" x14ac:dyDescent="0.35">
      <c r="F942" s="38"/>
      <c r="G942" s="39"/>
      <c r="H942" s="40"/>
    </row>
    <row r="943" spans="6:8" x14ac:dyDescent="0.35">
      <c r="F943" s="38"/>
      <c r="G943" s="39"/>
      <c r="H943" s="40"/>
    </row>
    <row r="944" spans="6:8" x14ac:dyDescent="0.35">
      <c r="F944" s="38"/>
      <c r="G944" s="39"/>
      <c r="H944" s="40"/>
    </row>
    <row r="945" spans="6:8" x14ac:dyDescent="0.35">
      <c r="F945" s="38"/>
      <c r="G945" s="39"/>
      <c r="H945" s="40"/>
    </row>
    <row r="946" spans="6:8" x14ac:dyDescent="0.35">
      <c r="F946" s="38"/>
      <c r="G946" s="39"/>
      <c r="H946" s="40"/>
    </row>
    <row r="947" spans="6:8" x14ac:dyDescent="0.35">
      <c r="F947" s="38"/>
      <c r="G947" s="39"/>
      <c r="H947" s="40"/>
    </row>
    <row r="948" spans="6:8" x14ac:dyDescent="0.35">
      <c r="F948" s="38"/>
      <c r="G948" s="39"/>
      <c r="H948" s="40"/>
    </row>
    <row r="949" spans="6:8" x14ac:dyDescent="0.35">
      <c r="F949" s="38"/>
      <c r="G949" s="39"/>
      <c r="H949" s="40"/>
    </row>
    <row r="950" spans="6:8" x14ac:dyDescent="0.35">
      <c r="F950" s="38"/>
      <c r="G950" s="39"/>
      <c r="H950" s="40"/>
    </row>
    <row r="951" spans="6:8" x14ac:dyDescent="0.35">
      <c r="F951" s="38"/>
      <c r="G951" s="39"/>
      <c r="H951" s="40"/>
    </row>
    <row r="952" spans="6:8" x14ac:dyDescent="0.35">
      <c r="F952" s="38"/>
      <c r="G952" s="39"/>
      <c r="H952" s="40"/>
    </row>
    <row r="953" spans="6:8" x14ac:dyDescent="0.35">
      <c r="F953" s="38"/>
      <c r="G953" s="39"/>
      <c r="H953" s="40"/>
    </row>
    <row r="954" spans="6:8" x14ac:dyDescent="0.35">
      <c r="F954" s="38"/>
      <c r="G954" s="39"/>
      <c r="H954" s="40"/>
    </row>
    <row r="955" spans="6:8" x14ac:dyDescent="0.35">
      <c r="F955" s="38"/>
      <c r="G955" s="39"/>
      <c r="H955" s="40"/>
    </row>
    <row r="956" spans="6:8" x14ac:dyDescent="0.35">
      <c r="F956" s="38"/>
      <c r="G956" s="39"/>
      <c r="H956" s="40"/>
    </row>
    <row r="957" spans="6:8" x14ac:dyDescent="0.35">
      <c r="F957" s="38"/>
      <c r="G957" s="39"/>
      <c r="H957" s="40"/>
    </row>
    <row r="958" spans="6:8" x14ac:dyDescent="0.35">
      <c r="F958" s="38"/>
      <c r="G958" s="39"/>
      <c r="H958" s="40"/>
    </row>
    <row r="959" spans="6:8" x14ac:dyDescent="0.35">
      <c r="F959" s="38"/>
      <c r="G959" s="39"/>
      <c r="H959" s="40"/>
    </row>
    <row r="960" spans="6:8" x14ac:dyDescent="0.35">
      <c r="F960" s="38"/>
      <c r="G960" s="39"/>
      <c r="H960" s="40"/>
    </row>
    <row r="961" spans="6:8" x14ac:dyDescent="0.35">
      <c r="F961" s="38"/>
      <c r="G961" s="39"/>
      <c r="H961" s="40"/>
    </row>
    <row r="962" spans="6:8" x14ac:dyDescent="0.35">
      <c r="F962" s="38"/>
      <c r="G962" s="39"/>
      <c r="H962" s="40"/>
    </row>
    <row r="963" spans="6:8" x14ac:dyDescent="0.35">
      <c r="F963" s="38"/>
      <c r="G963" s="39"/>
      <c r="H963" s="40"/>
    </row>
    <row r="964" spans="6:8" x14ac:dyDescent="0.35">
      <c r="F964" s="38"/>
      <c r="G964" s="39"/>
      <c r="H964" s="40"/>
    </row>
    <row r="965" spans="6:8" x14ac:dyDescent="0.35">
      <c r="F965" s="38"/>
      <c r="G965" s="39"/>
      <c r="H965" s="40"/>
    </row>
    <row r="966" spans="6:8" x14ac:dyDescent="0.35">
      <c r="F966" s="38"/>
      <c r="G966" s="39"/>
      <c r="H966" s="40"/>
    </row>
    <row r="967" spans="6:8" x14ac:dyDescent="0.35">
      <c r="F967" s="38"/>
      <c r="G967" s="39"/>
      <c r="H967" s="40"/>
    </row>
    <row r="968" spans="6:8" x14ac:dyDescent="0.35">
      <c r="F968" s="38"/>
      <c r="G968" s="39"/>
      <c r="H968" s="40"/>
    </row>
    <row r="969" spans="6:8" x14ac:dyDescent="0.35">
      <c r="F969" s="38"/>
      <c r="G969" s="39"/>
      <c r="H969" s="40"/>
    </row>
    <row r="970" spans="6:8" x14ac:dyDescent="0.35">
      <c r="F970" s="38"/>
      <c r="G970" s="39"/>
      <c r="H970" s="40"/>
    </row>
    <row r="971" spans="6:8" x14ac:dyDescent="0.35">
      <c r="F971" s="38"/>
      <c r="G971" s="39"/>
      <c r="H971" s="40"/>
    </row>
    <row r="972" spans="6:8" x14ac:dyDescent="0.35">
      <c r="F972" s="38"/>
      <c r="G972" s="39"/>
      <c r="H972" s="40"/>
    </row>
    <row r="973" spans="6:8" x14ac:dyDescent="0.35">
      <c r="F973" s="38"/>
      <c r="G973" s="39"/>
      <c r="H973" s="40"/>
    </row>
    <row r="974" spans="6:8" x14ac:dyDescent="0.35">
      <c r="F974" s="38"/>
      <c r="G974" s="39"/>
      <c r="H974" s="40"/>
    </row>
    <row r="975" spans="6:8" x14ac:dyDescent="0.35">
      <c r="F975" s="38"/>
      <c r="G975" s="39"/>
      <c r="H975" s="40"/>
    </row>
    <row r="976" spans="6:8" x14ac:dyDescent="0.35">
      <c r="F976" s="38"/>
      <c r="G976" s="39"/>
      <c r="H976" s="40"/>
    </row>
    <row r="977" spans="6:8" x14ac:dyDescent="0.35">
      <c r="F977" s="38"/>
      <c r="G977" s="39"/>
      <c r="H977" s="40"/>
    </row>
    <row r="978" spans="6:8" x14ac:dyDescent="0.35">
      <c r="F978" s="38"/>
      <c r="G978" s="39"/>
      <c r="H978" s="40"/>
    </row>
    <row r="979" spans="6:8" x14ac:dyDescent="0.35">
      <c r="F979" s="38"/>
      <c r="G979" s="39"/>
      <c r="H979" s="40"/>
    </row>
    <row r="980" spans="6:8" x14ac:dyDescent="0.35">
      <c r="F980" s="38"/>
      <c r="G980" s="39"/>
      <c r="H980" s="40"/>
    </row>
    <row r="981" spans="6:8" x14ac:dyDescent="0.35">
      <c r="F981" s="38"/>
      <c r="G981" s="39"/>
      <c r="H981" s="40"/>
    </row>
    <row r="982" spans="6:8" x14ac:dyDescent="0.35">
      <c r="F982" s="38"/>
      <c r="G982" s="39"/>
      <c r="H982" s="40"/>
    </row>
    <row r="983" spans="6:8" x14ac:dyDescent="0.35">
      <c r="F983" s="38"/>
      <c r="G983" s="39"/>
      <c r="H983" s="40"/>
    </row>
    <row r="984" spans="6:8" x14ac:dyDescent="0.35">
      <c r="F984" s="38"/>
      <c r="G984" s="39"/>
      <c r="H984" s="40"/>
    </row>
    <row r="985" spans="6:8" x14ac:dyDescent="0.35">
      <c r="F985" s="38"/>
      <c r="G985" s="39"/>
      <c r="H985" s="40"/>
    </row>
    <row r="986" spans="6:8" x14ac:dyDescent="0.35">
      <c r="F986" s="38"/>
      <c r="G986" s="39"/>
      <c r="H986" s="40"/>
    </row>
    <row r="987" spans="6:8" x14ac:dyDescent="0.35">
      <c r="F987" s="38"/>
      <c r="G987" s="39"/>
      <c r="H987" s="40"/>
    </row>
    <row r="988" spans="6:8" x14ac:dyDescent="0.35">
      <c r="F988" s="38"/>
      <c r="G988" s="39"/>
      <c r="H988" s="40"/>
    </row>
    <row r="989" spans="6:8" x14ac:dyDescent="0.35">
      <c r="F989" s="38"/>
      <c r="G989" s="39"/>
      <c r="H989" s="40"/>
    </row>
    <row r="990" spans="6:8" x14ac:dyDescent="0.35">
      <c r="F990" s="38"/>
      <c r="G990" s="39"/>
      <c r="H990" s="40"/>
    </row>
    <row r="991" spans="6:8" x14ac:dyDescent="0.35">
      <c r="F991" s="38"/>
      <c r="G991" s="39"/>
      <c r="H991" s="40"/>
    </row>
    <row r="992" spans="6:8" x14ac:dyDescent="0.35">
      <c r="F992" s="38"/>
      <c r="G992" s="39"/>
      <c r="H992" s="40"/>
    </row>
    <row r="993" spans="6:8" x14ac:dyDescent="0.35">
      <c r="F993" s="38"/>
      <c r="G993" s="39"/>
      <c r="H993" s="40"/>
    </row>
    <row r="994" spans="6:8" x14ac:dyDescent="0.35">
      <c r="F994" s="38"/>
      <c r="G994" s="39"/>
      <c r="H994" s="40"/>
    </row>
    <row r="995" spans="6:8" x14ac:dyDescent="0.35">
      <c r="F995" s="38"/>
      <c r="G995" s="39"/>
      <c r="H995" s="40"/>
    </row>
    <row r="996" spans="6:8" x14ac:dyDescent="0.35">
      <c r="F996" s="38"/>
      <c r="G996" s="39"/>
      <c r="H996" s="40"/>
    </row>
    <row r="997" spans="6:8" x14ac:dyDescent="0.35">
      <c r="F997" s="38"/>
      <c r="G997" s="39"/>
      <c r="H997" s="40"/>
    </row>
    <row r="998" spans="6:8" x14ac:dyDescent="0.35">
      <c r="F998" s="38"/>
      <c r="G998" s="39"/>
      <c r="H998" s="40"/>
    </row>
    <row r="999" spans="6:8" x14ac:dyDescent="0.35">
      <c r="F999" s="38"/>
      <c r="G999" s="39"/>
      <c r="H999" s="40"/>
    </row>
    <row r="1000" spans="6:8" x14ac:dyDescent="0.35">
      <c r="F1000" s="38"/>
      <c r="G1000" s="39"/>
      <c r="H1000" s="40"/>
    </row>
    <row r="1001" spans="6:8" x14ac:dyDescent="0.35">
      <c r="F1001" s="38"/>
      <c r="G1001" s="39"/>
      <c r="H1001" s="40"/>
    </row>
    <row r="1002" spans="6:8" x14ac:dyDescent="0.35">
      <c r="F1002" s="38"/>
      <c r="G1002" s="39"/>
      <c r="H1002" s="40"/>
    </row>
    <row r="1003" spans="6:8" x14ac:dyDescent="0.35">
      <c r="F1003" s="38"/>
      <c r="G1003" s="39"/>
      <c r="H1003" s="40"/>
    </row>
    <row r="1004" spans="6:8" x14ac:dyDescent="0.35">
      <c r="F1004" s="38"/>
      <c r="G1004" s="39"/>
      <c r="H1004" s="40"/>
    </row>
    <row r="1005" spans="6:8" x14ac:dyDescent="0.35">
      <c r="F1005" s="38"/>
      <c r="G1005" s="39"/>
      <c r="H1005" s="40"/>
    </row>
    <row r="1006" spans="6:8" x14ac:dyDescent="0.35">
      <c r="F1006" s="38"/>
      <c r="G1006" s="39"/>
      <c r="H1006" s="40"/>
    </row>
    <row r="1007" spans="6:8" x14ac:dyDescent="0.35">
      <c r="F1007" s="38"/>
      <c r="G1007" s="39"/>
      <c r="H1007" s="40"/>
    </row>
    <row r="1008" spans="6:8" x14ac:dyDescent="0.35">
      <c r="F1008" s="38"/>
      <c r="G1008" s="39"/>
      <c r="H1008" s="40"/>
    </row>
    <row r="1009" spans="6:8" x14ac:dyDescent="0.35">
      <c r="F1009" s="38"/>
      <c r="G1009" s="39"/>
      <c r="H1009" s="40"/>
    </row>
    <row r="1010" spans="6:8" x14ac:dyDescent="0.35">
      <c r="F1010" s="38"/>
      <c r="G1010" s="39"/>
      <c r="H1010" s="40"/>
    </row>
    <row r="1011" spans="6:8" x14ac:dyDescent="0.35">
      <c r="F1011" s="38"/>
      <c r="G1011" s="39"/>
      <c r="H1011" s="40"/>
    </row>
    <row r="1012" spans="6:8" x14ac:dyDescent="0.35">
      <c r="F1012" s="38"/>
      <c r="G1012" s="39"/>
      <c r="H1012" s="40"/>
    </row>
    <row r="1013" spans="6:8" x14ac:dyDescent="0.35">
      <c r="F1013" s="38"/>
      <c r="G1013" s="39"/>
      <c r="H1013" s="40"/>
    </row>
    <row r="1014" spans="6:8" x14ac:dyDescent="0.35">
      <c r="F1014" s="38"/>
      <c r="G1014" s="39"/>
      <c r="H1014" s="40"/>
    </row>
    <row r="1015" spans="6:8" x14ac:dyDescent="0.35">
      <c r="F1015" s="38"/>
      <c r="G1015" s="39"/>
      <c r="H1015" s="40"/>
    </row>
    <row r="1016" spans="6:8" x14ac:dyDescent="0.35">
      <c r="F1016" s="38"/>
      <c r="G1016" s="39"/>
      <c r="H1016" s="40"/>
    </row>
    <row r="1017" spans="6:8" x14ac:dyDescent="0.35">
      <c r="F1017" s="38"/>
      <c r="G1017" s="39"/>
      <c r="H1017" s="40"/>
    </row>
    <row r="1018" spans="6:8" x14ac:dyDescent="0.35">
      <c r="F1018" s="38"/>
      <c r="G1018" s="39"/>
      <c r="H1018" s="40"/>
    </row>
    <row r="1019" spans="6:8" x14ac:dyDescent="0.35">
      <c r="F1019" s="38"/>
      <c r="G1019" s="39"/>
      <c r="H1019" s="40"/>
    </row>
    <row r="1020" spans="6:8" x14ac:dyDescent="0.35">
      <c r="F1020" s="38"/>
      <c r="G1020" s="39"/>
      <c r="H1020" s="40"/>
    </row>
    <row r="1021" spans="6:8" x14ac:dyDescent="0.35">
      <c r="F1021" s="38"/>
      <c r="G1021" s="39"/>
      <c r="H1021" s="40"/>
    </row>
    <row r="1022" spans="6:8" x14ac:dyDescent="0.35">
      <c r="F1022" s="38"/>
      <c r="G1022" s="39"/>
      <c r="H1022" s="40"/>
    </row>
    <row r="1023" spans="6:8" x14ac:dyDescent="0.35">
      <c r="F1023" s="38"/>
      <c r="G1023" s="39"/>
      <c r="H1023" s="40"/>
    </row>
    <row r="1024" spans="6:8" x14ac:dyDescent="0.35">
      <c r="F1024" s="38"/>
      <c r="G1024" s="39"/>
      <c r="H1024" s="40"/>
    </row>
    <row r="1025" spans="6:8" x14ac:dyDescent="0.35">
      <c r="F1025" s="38"/>
      <c r="G1025" s="39"/>
      <c r="H1025" s="40"/>
    </row>
    <row r="1026" spans="6:8" x14ac:dyDescent="0.35">
      <c r="F1026" s="38"/>
      <c r="G1026" s="39"/>
      <c r="H1026" s="40"/>
    </row>
    <row r="1027" spans="6:8" x14ac:dyDescent="0.35">
      <c r="F1027" s="38"/>
      <c r="G1027" s="39"/>
      <c r="H1027" s="40"/>
    </row>
    <row r="1028" spans="6:8" x14ac:dyDescent="0.35">
      <c r="F1028" s="38"/>
      <c r="G1028" s="39"/>
      <c r="H1028" s="40"/>
    </row>
    <row r="1029" spans="6:8" x14ac:dyDescent="0.35">
      <c r="F1029" s="38"/>
      <c r="G1029" s="39"/>
      <c r="H1029" s="40"/>
    </row>
    <row r="1030" spans="6:8" x14ac:dyDescent="0.35">
      <c r="F1030" s="38"/>
      <c r="G1030" s="39"/>
      <c r="H1030" s="40"/>
    </row>
    <row r="1031" spans="6:8" x14ac:dyDescent="0.35">
      <c r="F1031" s="38"/>
      <c r="G1031" s="39"/>
      <c r="H1031" s="40"/>
    </row>
    <row r="1032" spans="6:8" x14ac:dyDescent="0.35">
      <c r="F1032" s="38"/>
      <c r="G1032" s="39"/>
      <c r="H1032" s="40"/>
    </row>
    <row r="1033" spans="6:8" x14ac:dyDescent="0.35">
      <c r="F1033" s="38"/>
      <c r="G1033" s="39"/>
      <c r="H1033" s="40"/>
    </row>
    <row r="1034" spans="6:8" x14ac:dyDescent="0.35">
      <c r="F1034" s="38"/>
      <c r="G1034" s="39"/>
      <c r="H1034" s="40"/>
    </row>
    <row r="1035" spans="6:8" x14ac:dyDescent="0.35">
      <c r="F1035" s="38"/>
      <c r="G1035" s="39"/>
      <c r="H1035" s="40"/>
    </row>
    <row r="1036" spans="6:8" x14ac:dyDescent="0.35">
      <c r="F1036" s="38"/>
      <c r="G1036" s="39"/>
      <c r="H1036" s="40"/>
    </row>
    <row r="1037" spans="6:8" x14ac:dyDescent="0.35">
      <c r="F1037" s="38"/>
      <c r="G1037" s="39"/>
      <c r="H1037" s="40"/>
    </row>
    <row r="1038" spans="6:8" x14ac:dyDescent="0.35">
      <c r="F1038" s="38"/>
      <c r="G1038" s="39"/>
      <c r="H1038" s="40"/>
    </row>
    <row r="1039" spans="6:8" x14ac:dyDescent="0.35">
      <c r="F1039" s="38"/>
      <c r="G1039" s="39"/>
      <c r="H1039" s="40"/>
    </row>
    <row r="1040" spans="6:8" x14ac:dyDescent="0.35">
      <c r="F1040" s="38"/>
      <c r="G1040" s="39"/>
      <c r="H1040" s="40"/>
    </row>
    <row r="1041" spans="6:8" x14ac:dyDescent="0.35">
      <c r="F1041" s="38"/>
      <c r="G1041" s="39"/>
      <c r="H1041" s="40"/>
    </row>
    <row r="1042" spans="6:8" x14ac:dyDescent="0.35">
      <c r="F1042" s="38"/>
      <c r="G1042" s="39"/>
      <c r="H1042" s="40"/>
    </row>
    <row r="1043" spans="6:8" x14ac:dyDescent="0.35">
      <c r="F1043" s="38"/>
      <c r="G1043" s="39"/>
      <c r="H1043" s="40"/>
    </row>
    <row r="1044" spans="6:8" x14ac:dyDescent="0.35">
      <c r="F1044" s="38"/>
      <c r="G1044" s="39"/>
      <c r="H1044" s="40"/>
    </row>
    <row r="1045" spans="6:8" x14ac:dyDescent="0.35">
      <c r="F1045" s="38"/>
      <c r="G1045" s="39"/>
      <c r="H1045" s="40"/>
    </row>
    <row r="1046" spans="6:8" x14ac:dyDescent="0.35">
      <c r="F1046" s="38"/>
      <c r="G1046" s="39"/>
      <c r="H1046" s="40"/>
    </row>
    <row r="1047" spans="6:8" x14ac:dyDescent="0.35">
      <c r="F1047" s="38"/>
      <c r="G1047" s="39"/>
      <c r="H1047" s="40"/>
    </row>
    <row r="1048" spans="6:8" x14ac:dyDescent="0.35">
      <c r="F1048" s="38"/>
      <c r="G1048" s="39"/>
      <c r="H1048" s="40"/>
    </row>
    <row r="1049" spans="6:8" x14ac:dyDescent="0.35">
      <c r="F1049" s="38"/>
      <c r="G1049" s="39"/>
      <c r="H1049" s="40"/>
    </row>
    <row r="1050" spans="6:8" x14ac:dyDescent="0.35">
      <c r="F1050" s="38"/>
      <c r="G1050" s="39"/>
      <c r="H1050" s="40"/>
    </row>
    <row r="1051" spans="6:8" x14ac:dyDescent="0.35">
      <c r="F1051" s="38"/>
      <c r="G1051" s="39"/>
      <c r="H1051" s="40"/>
    </row>
    <row r="1052" spans="6:8" x14ac:dyDescent="0.35">
      <c r="F1052" s="38"/>
      <c r="G1052" s="39"/>
      <c r="H1052" s="40"/>
    </row>
    <row r="1053" spans="6:8" x14ac:dyDescent="0.35">
      <c r="F1053" s="38"/>
      <c r="G1053" s="39"/>
      <c r="H1053" s="40"/>
    </row>
    <row r="1054" spans="6:8" x14ac:dyDescent="0.35">
      <c r="F1054" s="38"/>
      <c r="G1054" s="39"/>
      <c r="H1054" s="40"/>
    </row>
    <row r="1055" spans="6:8" x14ac:dyDescent="0.35">
      <c r="F1055" s="38"/>
      <c r="G1055" s="39"/>
      <c r="H1055" s="40"/>
    </row>
    <row r="1056" spans="6:8" x14ac:dyDescent="0.35">
      <c r="F1056" s="38"/>
      <c r="G1056" s="39"/>
      <c r="H1056" s="40"/>
    </row>
    <row r="1057" spans="6:8" x14ac:dyDescent="0.35">
      <c r="F1057" s="38"/>
      <c r="G1057" s="39"/>
      <c r="H1057" s="40"/>
    </row>
    <row r="1058" spans="6:8" x14ac:dyDescent="0.35">
      <c r="F1058" s="38"/>
      <c r="G1058" s="39"/>
      <c r="H1058" s="40"/>
    </row>
    <row r="1059" spans="6:8" x14ac:dyDescent="0.35">
      <c r="F1059" s="38"/>
      <c r="G1059" s="39"/>
      <c r="H1059" s="40"/>
    </row>
    <row r="1060" spans="6:8" x14ac:dyDescent="0.35">
      <c r="F1060" s="38"/>
      <c r="G1060" s="39"/>
      <c r="H1060" s="40"/>
    </row>
    <row r="1061" spans="6:8" x14ac:dyDescent="0.35">
      <c r="F1061" s="38"/>
      <c r="G1061" s="39"/>
      <c r="H1061" s="40"/>
    </row>
    <row r="1062" spans="6:8" x14ac:dyDescent="0.35">
      <c r="F1062" s="38"/>
      <c r="G1062" s="39"/>
      <c r="H1062" s="40"/>
    </row>
    <row r="1063" spans="6:8" x14ac:dyDescent="0.35">
      <c r="F1063" s="38"/>
      <c r="G1063" s="39"/>
      <c r="H1063" s="40"/>
    </row>
    <row r="1064" spans="6:8" x14ac:dyDescent="0.35">
      <c r="F1064" s="38"/>
      <c r="G1064" s="39"/>
      <c r="H1064" s="40"/>
    </row>
    <row r="1065" spans="6:8" x14ac:dyDescent="0.35">
      <c r="F1065" s="38"/>
      <c r="G1065" s="39"/>
      <c r="H1065" s="40"/>
    </row>
    <row r="1066" spans="6:8" x14ac:dyDescent="0.35">
      <c r="F1066" s="38"/>
      <c r="G1066" s="39"/>
      <c r="H1066" s="40"/>
    </row>
    <row r="1067" spans="6:8" x14ac:dyDescent="0.35">
      <c r="F1067" s="38"/>
      <c r="G1067" s="39"/>
      <c r="H1067" s="40"/>
    </row>
    <row r="1068" spans="6:8" x14ac:dyDescent="0.35">
      <c r="F1068" s="38"/>
      <c r="G1068" s="39"/>
      <c r="H1068" s="40"/>
    </row>
    <row r="1069" spans="6:8" x14ac:dyDescent="0.35">
      <c r="F1069" s="38"/>
      <c r="G1069" s="39"/>
      <c r="H1069" s="40"/>
    </row>
    <row r="1070" spans="6:8" x14ac:dyDescent="0.35">
      <c r="F1070" s="38"/>
      <c r="G1070" s="39"/>
      <c r="H1070" s="40"/>
    </row>
    <row r="1071" spans="6:8" x14ac:dyDescent="0.35">
      <c r="F1071" s="38"/>
      <c r="G1071" s="39"/>
      <c r="H1071" s="40"/>
    </row>
    <row r="1072" spans="6:8" x14ac:dyDescent="0.35">
      <c r="F1072" s="38"/>
      <c r="G1072" s="39"/>
      <c r="H1072" s="40"/>
    </row>
    <row r="1073" spans="6:8" x14ac:dyDescent="0.35">
      <c r="F1073" s="38"/>
      <c r="G1073" s="39"/>
      <c r="H1073" s="40"/>
    </row>
    <row r="1074" spans="6:8" x14ac:dyDescent="0.35">
      <c r="F1074" s="38"/>
      <c r="G1074" s="39"/>
      <c r="H1074" s="40"/>
    </row>
    <row r="1075" spans="6:8" x14ac:dyDescent="0.35">
      <c r="F1075" s="38"/>
      <c r="G1075" s="39"/>
      <c r="H1075" s="40"/>
    </row>
    <row r="1076" spans="6:8" x14ac:dyDescent="0.35">
      <c r="F1076" s="38"/>
      <c r="G1076" s="39"/>
      <c r="H1076" s="40"/>
    </row>
    <row r="1077" spans="6:8" x14ac:dyDescent="0.35">
      <c r="F1077" s="38"/>
      <c r="G1077" s="39"/>
      <c r="H1077" s="40"/>
    </row>
    <row r="1078" spans="6:8" x14ac:dyDescent="0.35">
      <c r="F1078" s="38"/>
      <c r="G1078" s="39"/>
      <c r="H1078" s="40"/>
    </row>
    <row r="1079" spans="6:8" x14ac:dyDescent="0.35">
      <c r="F1079" s="38"/>
      <c r="G1079" s="39"/>
      <c r="H1079" s="40"/>
    </row>
    <row r="1080" spans="6:8" x14ac:dyDescent="0.35">
      <c r="F1080" s="38"/>
      <c r="G1080" s="39"/>
      <c r="H1080" s="40"/>
    </row>
    <row r="1081" spans="6:8" x14ac:dyDescent="0.35">
      <c r="F1081" s="38"/>
      <c r="G1081" s="39"/>
      <c r="H1081" s="40"/>
    </row>
    <row r="1082" spans="6:8" x14ac:dyDescent="0.35">
      <c r="F1082" s="38"/>
      <c r="G1082" s="39"/>
      <c r="H1082" s="40"/>
    </row>
    <row r="1083" spans="6:8" x14ac:dyDescent="0.35">
      <c r="F1083" s="38"/>
      <c r="G1083" s="39"/>
      <c r="H1083" s="40"/>
    </row>
    <row r="1084" spans="6:8" x14ac:dyDescent="0.35">
      <c r="F1084" s="38"/>
      <c r="G1084" s="39"/>
      <c r="H1084" s="40"/>
    </row>
    <row r="1085" spans="6:8" x14ac:dyDescent="0.35">
      <c r="F1085" s="38"/>
      <c r="G1085" s="39"/>
      <c r="H1085" s="40"/>
    </row>
    <row r="1086" spans="6:8" x14ac:dyDescent="0.35">
      <c r="F1086" s="38"/>
      <c r="G1086" s="39"/>
      <c r="H1086" s="40"/>
    </row>
    <row r="1087" spans="6:8" x14ac:dyDescent="0.35">
      <c r="F1087" s="38"/>
      <c r="G1087" s="39"/>
      <c r="H1087" s="40"/>
    </row>
    <row r="1088" spans="6:8" x14ac:dyDescent="0.35">
      <c r="F1088" s="38"/>
      <c r="G1088" s="39"/>
      <c r="H1088" s="40"/>
    </row>
    <row r="1089" spans="6:8" x14ac:dyDescent="0.35">
      <c r="F1089" s="38"/>
      <c r="G1089" s="39"/>
      <c r="H1089" s="40"/>
    </row>
    <row r="1090" spans="6:8" x14ac:dyDescent="0.35">
      <c r="F1090" s="38"/>
      <c r="G1090" s="39"/>
      <c r="H1090" s="40"/>
    </row>
    <row r="1091" spans="6:8" x14ac:dyDescent="0.35">
      <c r="F1091" s="38"/>
      <c r="G1091" s="39"/>
      <c r="H1091" s="40"/>
    </row>
    <row r="1092" spans="6:8" x14ac:dyDescent="0.35">
      <c r="F1092" s="38"/>
      <c r="G1092" s="39"/>
      <c r="H1092" s="40"/>
    </row>
    <row r="1093" spans="6:8" x14ac:dyDescent="0.35">
      <c r="F1093" s="38"/>
      <c r="G1093" s="39"/>
      <c r="H1093" s="40"/>
    </row>
    <row r="1094" spans="6:8" x14ac:dyDescent="0.35">
      <c r="F1094" s="38"/>
      <c r="G1094" s="39"/>
      <c r="H1094" s="40"/>
    </row>
    <row r="1095" spans="6:8" x14ac:dyDescent="0.35">
      <c r="F1095" s="38"/>
      <c r="G1095" s="39"/>
      <c r="H1095" s="40"/>
    </row>
    <row r="1096" spans="6:8" x14ac:dyDescent="0.35">
      <c r="F1096" s="38"/>
      <c r="G1096" s="39"/>
      <c r="H1096" s="40"/>
    </row>
    <row r="1097" spans="6:8" x14ac:dyDescent="0.35">
      <c r="F1097" s="38"/>
      <c r="G1097" s="39"/>
      <c r="H1097" s="40"/>
    </row>
    <row r="1098" spans="6:8" x14ac:dyDescent="0.35">
      <c r="F1098" s="38"/>
      <c r="G1098" s="39"/>
      <c r="H1098" s="40"/>
    </row>
    <row r="1099" spans="6:8" x14ac:dyDescent="0.35">
      <c r="F1099" s="38"/>
      <c r="G1099" s="39"/>
      <c r="H1099" s="40"/>
    </row>
    <row r="1100" spans="6:8" x14ac:dyDescent="0.35">
      <c r="F1100" s="38"/>
      <c r="G1100" s="39"/>
      <c r="H1100" s="40"/>
    </row>
    <row r="1101" spans="6:8" x14ac:dyDescent="0.35">
      <c r="F1101" s="38"/>
      <c r="G1101" s="39"/>
      <c r="H1101" s="40"/>
    </row>
    <row r="1102" spans="6:8" x14ac:dyDescent="0.35">
      <c r="F1102" s="38"/>
      <c r="G1102" s="39"/>
      <c r="H1102" s="40"/>
    </row>
    <row r="1103" spans="6:8" x14ac:dyDescent="0.35">
      <c r="F1103" s="38"/>
      <c r="G1103" s="39"/>
      <c r="H1103" s="40"/>
    </row>
    <row r="1104" spans="6:8" x14ac:dyDescent="0.35">
      <c r="F1104" s="38"/>
      <c r="G1104" s="39"/>
      <c r="H1104" s="40"/>
    </row>
    <row r="1105" spans="6:8" x14ac:dyDescent="0.35">
      <c r="F1105" s="38"/>
      <c r="G1105" s="39"/>
      <c r="H1105" s="40"/>
    </row>
    <row r="1106" spans="6:8" x14ac:dyDescent="0.35">
      <c r="F1106" s="38"/>
      <c r="G1106" s="39"/>
      <c r="H1106" s="40"/>
    </row>
    <row r="1107" spans="6:8" x14ac:dyDescent="0.35">
      <c r="F1107" s="38"/>
      <c r="G1107" s="39"/>
      <c r="H1107" s="40"/>
    </row>
    <row r="1108" spans="6:8" x14ac:dyDescent="0.35">
      <c r="F1108" s="38"/>
      <c r="G1108" s="39"/>
      <c r="H1108" s="40"/>
    </row>
    <row r="1109" spans="6:8" x14ac:dyDescent="0.35">
      <c r="F1109" s="38"/>
      <c r="G1109" s="39"/>
      <c r="H1109" s="40"/>
    </row>
    <row r="1110" spans="6:8" x14ac:dyDescent="0.35">
      <c r="F1110" s="38"/>
      <c r="G1110" s="39"/>
      <c r="H1110" s="40"/>
    </row>
    <row r="1111" spans="6:8" x14ac:dyDescent="0.35">
      <c r="F1111" s="38"/>
      <c r="G1111" s="39"/>
      <c r="H1111" s="40"/>
    </row>
    <row r="1112" spans="6:8" x14ac:dyDescent="0.35">
      <c r="F1112" s="38"/>
      <c r="G1112" s="39"/>
      <c r="H1112" s="40"/>
    </row>
    <row r="1113" spans="6:8" x14ac:dyDescent="0.35">
      <c r="F1113" s="38"/>
      <c r="G1113" s="39"/>
      <c r="H1113" s="40"/>
    </row>
    <row r="1114" spans="6:8" x14ac:dyDescent="0.35">
      <c r="F1114" s="38"/>
      <c r="G1114" s="39"/>
      <c r="H1114" s="40"/>
    </row>
    <row r="1115" spans="6:8" x14ac:dyDescent="0.35">
      <c r="F1115" s="38"/>
      <c r="G1115" s="39"/>
      <c r="H1115" s="40"/>
    </row>
    <row r="1116" spans="6:8" x14ac:dyDescent="0.35">
      <c r="F1116" s="38"/>
      <c r="G1116" s="39"/>
      <c r="H1116" s="40"/>
    </row>
    <row r="1117" spans="6:8" x14ac:dyDescent="0.35">
      <c r="F1117" s="38"/>
      <c r="G1117" s="39"/>
      <c r="H1117" s="40"/>
    </row>
    <row r="1118" spans="6:8" x14ac:dyDescent="0.35">
      <c r="F1118" s="38"/>
      <c r="G1118" s="39"/>
      <c r="H1118" s="40"/>
    </row>
    <row r="1119" spans="6:8" x14ac:dyDescent="0.35">
      <c r="F1119" s="38"/>
      <c r="G1119" s="39"/>
      <c r="H1119" s="40"/>
    </row>
    <row r="1120" spans="6:8" x14ac:dyDescent="0.35">
      <c r="F1120" s="38"/>
      <c r="G1120" s="39"/>
      <c r="H1120" s="40"/>
    </row>
    <row r="1121" spans="6:8" x14ac:dyDescent="0.35">
      <c r="F1121" s="38"/>
      <c r="G1121" s="39"/>
      <c r="H1121" s="40"/>
    </row>
    <row r="1122" spans="6:8" x14ac:dyDescent="0.35">
      <c r="F1122" s="38"/>
      <c r="G1122" s="39"/>
      <c r="H1122" s="40"/>
    </row>
    <row r="1123" spans="6:8" x14ac:dyDescent="0.35">
      <c r="F1123" s="38"/>
      <c r="G1123" s="39"/>
      <c r="H1123" s="40"/>
    </row>
    <row r="1124" spans="6:8" x14ac:dyDescent="0.35">
      <c r="F1124" s="38"/>
      <c r="G1124" s="39"/>
      <c r="H1124" s="40"/>
    </row>
    <row r="1125" spans="6:8" x14ac:dyDescent="0.35">
      <c r="F1125" s="38"/>
      <c r="G1125" s="39"/>
      <c r="H1125" s="40"/>
    </row>
    <row r="1126" spans="6:8" x14ac:dyDescent="0.35">
      <c r="F1126" s="38"/>
      <c r="G1126" s="39"/>
      <c r="H1126" s="40"/>
    </row>
    <row r="1127" spans="6:8" x14ac:dyDescent="0.35">
      <c r="F1127" s="38"/>
      <c r="G1127" s="39"/>
      <c r="H1127" s="40"/>
    </row>
    <row r="1128" spans="6:8" x14ac:dyDescent="0.35">
      <c r="F1128" s="38"/>
      <c r="G1128" s="39"/>
      <c r="H1128" s="40"/>
    </row>
    <row r="1129" spans="6:8" x14ac:dyDescent="0.35">
      <c r="F1129" s="38"/>
      <c r="G1129" s="39"/>
      <c r="H1129" s="40"/>
    </row>
    <row r="1130" spans="6:8" x14ac:dyDescent="0.35">
      <c r="F1130" s="38"/>
      <c r="G1130" s="39"/>
      <c r="H1130" s="40"/>
    </row>
    <row r="1131" spans="6:8" x14ac:dyDescent="0.35">
      <c r="F1131" s="38"/>
      <c r="G1131" s="39"/>
      <c r="H1131" s="40"/>
    </row>
    <row r="1132" spans="6:8" x14ac:dyDescent="0.35">
      <c r="F1132" s="38"/>
      <c r="G1132" s="39"/>
      <c r="H1132" s="40"/>
    </row>
    <row r="1133" spans="6:8" x14ac:dyDescent="0.35">
      <c r="F1133" s="38"/>
      <c r="G1133" s="39"/>
      <c r="H1133" s="40"/>
    </row>
    <row r="1134" spans="6:8" x14ac:dyDescent="0.35">
      <c r="F1134" s="38"/>
      <c r="G1134" s="39"/>
      <c r="H1134" s="40"/>
    </row>
    <row r="1135" spans="6:8" x14ac:dyDescent="0.35">
      <c r="F1135" s="38"/>
      <c r="G1135" s="39"/>
      <c r="H1135" s="40"/>
    </row>
    <row r="1136" spans="6:8" x14ac:dyDescent="0.35">
      <c r="F1136" s="38"/>
      <c r="G1136" s="39"/>
      <c r="H1136" s="40"/>
    </row>
    <row r="1137" spans="6:8" x14ac:dyDescent="0.35">
      <c r="F1137" s="38"/>
      <c r="G1137" s="39"/>
      <c r="H1137" s="40"/>
    </row>
    <row r="1138" spans="6:8" x14ac:dyDescent="0.35">
      <c r="F1138" s="38"/>
      <c r="G1138" s="39"/>
      <c r="H1138" s="40"/>
    </row>
    <row r="1139" spans="6:8" x14ac:dyDescent="0.35">
      <c r="F1139" s="38"/>
      <c r="G1139" s="39"/>
      <c r="H1139" s="40"/>
    </row>
    <row r="1140" spans="6:8" x14ac:dyDescent="0.35">
      <c r="F1140" s="38"/>
      <c r="G1140" s="39"/>
      <c r="H1140" s="40"/>
    </row>
    <row r="1141" spans="6:8" x14ac:dyDescent="0.35">
      <c r="F1141" s="38"/>
      <c r="G1141" s="39"/>
      <c r="H1141" s="40"/>
    </row>
    <row r="1142" spans="6:8" x14ac:dyDescent="0.35">
      <c r="F1142" s="38"/>
      <c r="G1142" s="39"/>
      <c r="H1142" s="40"/>
    </row>
    <row r="1143" spans="6:8" x14ac:dyDescent="0.35">
      <c r="F1143" s="38"/>
      <c r="G1143" s="39"/>
      <c r="H1143" s="40"/>
    </row>
    <row r="1144" spans="6:8" x14ac:dyDescent="0.35">
      <c r="F1144" s="38"/>
      <c r="G1144" s="39"/>
      <c r="H1144" s="40"/>
    </row>
    <row r="1145" spans="6:8" x14ac:dyDescent="0.35">
      <c r="F1145" s="38"/>
      <c r="G1145" s="39"/>
      <c r="H1145" s="40"/>
    </row>
    <row r="1146" spans="6:8" x14ac:dyDescent="0.35">
      <c r="F1146" s="38"/>
      <c r="G1146" s="39"/>
      <c r="H1146" s="40"/>
    </row>
    <row r="1147" spans="6:8" x14ac:dyDescent="0.35">
      <c r="F1147" s="38"/>
      <c r="G1147" s="39"/>
      <c r="H1147" s="40"/>
    </row>
    <row r="1148" spans="6:8" x14ac:dyDescent="0.35">
      <c r="F1148" s="38"/>
      <c r="G1148" s="39"/>
      <c r="H1148" s="40"/>
    </row>
    <row r="1149" spans="6:8" x14ac:dyDescent="0.35">
      <c r="F1149" s="38"/>
      <c r="G1149" s="39"/>
      <c r="H1149" s="40"/>
    </row>
    <row r="1150" spans="6:8" x14ac:dyDescent="0.35">
      <c r="F1150" s="38"/>
      <c r="G1150" s="39"/>
      <c r="H1150" s="40"/>
    </row>
    <row r="1151" spans="6:8" x14ac:dyDescent="0.35">
      <c r="F1151" s="38"/>
      <c r="G1151" s="39"/>
      <c r="H1151" s="40"/>
    </row>
    <row r="1152" spans="6:8" x14ac:dyDescent="0.35">
      <c r="F1152" s="38"/>
      <c r="G1152" s="39"/>
      <c r="H1152" s="40"/>
    </row>
    <row r="1153" spans="6:8" x14ac:dyDescent="0.35">
      <c r="F1153" s="38"/>
      <c r="G1153" s="39"/>
      <c r="H1153" s="40"/>
    </row>
    <row r="1154" spans="6:8" x14ac:dyDescent="0.35">
      <c r="F1154" s="38"/>
      <c r="G1154" s="39"/>
      <c r="H1154" s="40"/>
    </row>
    <row r="1155" spans="6:8" x14ac:dyDescent="0.35">
      <c r="F1155" s="38"/>
      <c r="G1155" s="39"/>
      <c r="H1155" s="40"/>
    </row>
    <row r="1156" spans="6:8" x14ac:dyDescent="0.35">
      <c r="F1156" s="38"/>
      <c r="G1156" s="39"/>
      <c r="H1156" s="40"/>
    </row>
    <row r="1157" spans="6:8" x14ac:dyDescent="0.35">
      <c r="F1157" s="38"/>
      <c r="G1157" s="39"/>
      <c r="H1157" s="40"/>
    </row>
    <row r="1158" spans="6:8" x14ac:dyDescent="0.35">
      <c r="F1158" s="38"/>
      <c r="G1158" s="39"/>
      <c r="H1158" s="40"/>
    </row>
    <row r="1159" spans="6:8" x14ac:dyDescent="0.35">
      <c r="F1159" s="38"/>
      <c r="G1159" s="39"/>
      <c r="H1159" s="40"/>
    </row>
    <row r="1160" spans="6:8" x14ac:dyDescent="0.35">
      <c r="F1160" s="38"/>
      <c r="G1160" s="39"/>
      <c r="H1160" s="40"/>
    </row>
    <row r="1161" spans="6:8" x14ac:dyDescent="0.35">
      <c r="F1161" s="38"/>
      <c r="G1161" s="39"/>
      <c r="H1161" s="40"/>
    </row>
    <row r="1162" spans="6:8" x14ac:dyDescent="0.35">
      <c r="F1162" s="38"/>
      <c r="G1162" s="39"/>
      <c r="H1162" s="40"/>
    </row>
    <row r="1163" spans="6:8" x14ac:dyDescent="0.35">
      <c r="F1163" s="38"/>
      <c r="G1163" s="39"/>
      <c r="H1163" s="40"/>
    </row>
    <row r="1164" spans="6:8" x14ac:dyDescent="0.35">
      <c r="F1164" s="38"/>
      <c r="G1164" s="39"/>
      <c r="H1164" s="40"/>
    </row>
    <row r="1165" spans="6:8" x14ac:dyDescent="0.35">
      <c r="F1165" s="38"/>
      <c r="G1165" s="39"/>
      <c r="H1165" s="40"/>
    </row>
    <row r="1166" spans="6:8" x14ac:dyDescent="0.35">
      <c r="F1166" s="38"/>
      <c r="G1166" s="39"/>
      <c r="H1166" s="40"/>
    </row>
    <row r="1167" spans="6:8" x14ac:dyDescent="0.35">
      <c r="F1167" s="38"/>
      <c r="G1167" s="39"/>
      <c r="H1167" s="40"/>
    </row>
    <row r="1168" spans="6:8" x14ac:dyDescent="0.35">
      <c r="F1168" s="38"/>
      <c r="G1168" s="39"/>
      <c r="H1168" s="40"/>
    </row>
    <row r="1169" spans="6:8" x14ac:dyDescent="0.35">
      <c r="F1169" s="38"/>
      <c r="G1169" s="39"/>
      <c r="H1169" s="40"/>
    </row>
    <row r="1170" spans="6:8" x14ac:dyDescent="0.35">
      <c r="F1170" s="38"/>
      <c r="G1170" s="39"/>
      <c r="H1170" s="40"/>
    </row>
    <row r="1171" spans="6:8" x14ac:dyDescent="0.35">
      <c r="F1171" s="38"/>
      <c r="G1171" s="39"/>
      <c r="H1171" s="40"/>
    </row>
    <row r="1172" spans="6:8" x14ac:dyDescent="0.35">
      <c r="F1172" s="38"/>
      <c r="G1172" s="39"/>
      <c r="H1172" s="40"/>
    </row>
    <row r="1173" spans="6:8" x14ac:dyDescent="0.35">
      <c r="F1173" s="38"/>
      <c r="G1173" s="39"/>
      <c r="H1173" s="40"/>
    </row>
    <row r="1174" spans="6:8" x14ac:dyDescent="0.35">
      <c r="F1174" s="38"/>
      <c r="G1174" s="39"/>
      <c r="H1174" s="40"/>
    </row>
    <row r="1175" spans="6:8" x14ac:dyDescent="0.35">
      <c r="F1175" s="38"/>
      <c r="G1175" s="39"/>
      <c r="H1175" s="40"/>
    </row>
    <row r="1176" spans="6:8" x14ac:dyDescent="0.35">
      <c r="F1176" s="38"/>
      <c r="G1176" s="39"/>
      <c r="H1176" s="40"/>
    </row>
    <row r="1177" spans="6:8" x14ac:dyDescent="0.35">
      <c r="F1177" s="38"/>
      <c r="G1177" s="39"/>
      <c r="H1177" s="40"/>
    </row>
    <row r="1178" spans="6:8" x14ac:dyDescent="0.35">
      <c r="F1178" s="38"/>
      <c r="G1178" s="39"/>
      <c r="H1178" s="40"/>
    </row>
    <row r="1179" spans="6:8" x14ac:dyDescent="0.35">
      <c r="F1179" s="38"/>
      <c r="G1179" s="39"/>
      <c r="H1179" s="40"/>
    </row>
    <row r="1180" spans="6:8" x14ac:dyDescent="0.35">
      <c r="F1180" s="38"/>
      <c r="G1180" s="39"/>
      <c r="H1180" s="40"/>
    </row>
    <row r="1181" spans="6:8" x14ac:dyDescent="0.35">
      <c r="F1181" s="38"/>
      <c r="G1181" s="39"/>
      <c r="H1181" s="40"/>
    </row>
    <row r="1182" spans="6:8" x14ac:dyDescent="0.35">
      <c r="F1182" s="38"/>
      <c r="G1182" s="39"/>
      <c r="H1182" s="40"/>
    </row>
    <row r="1183" spans="6:8" x14ac:dyDescent="0.35">
      <c r="F1183" s="38"/>
      <c r="G1183" s="39"/>
      <c r="H1183" s="40"/>
    </row>
    <row r="1184" spans="6:8" x14ac:dyDescent="0.35">
      <c r="F1184" s="38"/>
      <c r="G1184" s="39"/>
      <c r="H1184" s="40"/>
    </row>
    <row r="1185" spans="6:8" x14ac:dyDescent="0.35">
      <c r="F1185" s="38"/>
      <c r="G1185" s="39"/>
      <c r="H1185" s="40"/>
    </row>
    <row r="1186" spans="6:8" x14ac:dyDescent="0.35">
      <c r="F1186" s="38"/>
      <c r="G1186" s="39"/>
      <c r="H1186" s="40"/>
    </row>
    <row r="1187" spans="6:8" x14ac:dyDescent="0.35">
      <c r="F1187" s="38"/>
      <c r="G1187" s="39"/>
      <c r="H1187" s="40"/>
    </row>
    <row r="1188" spans="6:8" x14ac:dyDescent="0.35">
      <c r="F1188" s="38"/>
      <c r="G1188" s="39"/>
      <c r="H1188" s="40"/>
    </row>
    <row r="1189" spans="6:8" x14ac:dyDescent="0.35">
      <c r="F1189" s="38"/>
      <c r="G1189" s="39"/>
      <c r="H1189" s="40"/>
    </row>
    <row r="1190" spans="6:8" x14ac:dyDescent="0.35">
      <c r="F1190" s="38"/>
      <c r="G1190" s="39"/>
      <c r="H1190" s="40"/>
    </row>
    <row r="1191" spans="6:8" x14ac:dyDescent="0.35">
      <c r="F1191" s="38"/>
      <c r="G1191" s="39"/>
      <c r="H1191" s="40"/>
    </row>
    <row r="1192" spans="6:8" x14ac:dyDescent="0.35">
      <c r="F1192" s="38"/>
      <c r="G1192" s="39"/>
      <c r="H1192" s="40"/>
    </row>
    <row r="1193" spans="6:8" x14ac:dyDescent="0.35">
      <c r="F1193" s="38"/>
      <c r="G1193" s="39"/>
      <c r="H1193" s="40"/>
    </row>
    <row r="1194" spans="6:8" x14ac:dyDescent="0.35">
      <c r="F1194" s="38"/>
      <c r="G1194" s="39"/>
      <c r="H1194" s="40"/>
    </row>
    <row r="1195" spans="6:8" x14ac:dyDescent="0.35">
      <c r="F1195" s="38"/>
      <c r="G1195" s="39"/>
      <c r="H1195" s="40"/>
    </row>
    <row r="1196" spans="6:8" x14ac:dyDescent="0.35">
      <c r="F1196" s="38"/>
      <c r="G1196" s="39"/>
      <c r="H1196" s="40"/>
    </row>
    <row r="1197" spans="6:8" x14ac:dyDescent="0.35">
      <c r="F1197" s="38"/>
      <c r="G1197" s="39"/>
      <c r="H1197" s="40"/>
    </row>
    <row r="1198" spans="6:8" x14ac:dyDescent="0.35">
      <c r="F1198" s="38"/>
      <c r="G1198" s="39"/>
      <c r="H1198" s="40"/>
    </row>
    <row r="1199" spans="6:8" x14ac:dyDescent="0.35">
      <c r="F1199" s="38"/>
      <c r="G1199" s="39"/>
      <c r="H1199" s="40"/>
    </row>
    <row r="1200" spans="6:8" x14ac:dyDescent="0.35">
      <c r="F1200" s="38"/>
      <c r="G1200" s="39"/>
      <c r="H1200" s="40"/>
    </row>
    <row r="1201" spans="6:8" x14ac:dyDescent="0.35">
      <c r="F1201" s="38"/>
      <c r="G1201" s="39"/>
      <c r="H1201" s="40"/>
    </row>
    <row r="1202" spans="6:8" x14ac:dyDescent="0.35">
      <c r="F1202" s="38"/>
      <c r="G1202" s="39"/>
      <c r="H1202" s="40"/>
    </row>
    <row r="1203" spans="6:8" x14ac:dyDescent="0.35">
      <c r="F1203" s="38"/>
      <c r="G1203" s="39"/>
      <c r="H1203" s="40"/>
    </row>
    <row r="1204" spans="6:8" x14ac:dyDescent="0.35">
      <c r="F1204" s="38"/>
      <c r="G1204" s="39"/>
      <c r="H1204" s="40"/>
    </row>
    <row r="1205" spans="6:8" x14ac:dyDescent="0.35">
      <c r="F1205" s="38"/>
      <c r="G1205" s="39"/>
      <c r="H1205" s="40"/>
    </row>
    <row r="1206" spans="6:8" x14ac:dyDescent="0.35">
      <c r="F1206" s="38"/>
      <c r="G1206" s="39"/>
      <c r="H1206" s="40"/>
    </row>
    <row r="1207" spans="6:8" x14ac:dyDescent="0.35">
      <c r="F1207" s="38"/>
      <c r="G1207" s="39"/>
      <c r="H1207" s="40"/>
    </row>
    <row r="1208" spans="6:8" x14ac:dyDescent="0.35">
      <c r="F1208" s="38"/>
      <c r="G1208" s="39"/>
      <c r="H1208" s="40"/>
    </row>
    <row r="1209" spans="6:8" x14ac:dyDescent="0.35">
      <c r="F1209" s="38"/>
      <c r="G1209" s="39"/>
      <c r="H1209" s="40"/>
    </row>
    <row r="1210" spans="6:8" x14ac:dyDescent="0.35">
      <c r="F1210" s="38"/>
      <c r="G1210" s="39"/>
      <c r="H1210" s="40"/>
    </row>
    <row r="1211" spans="6:8" x14ac:dyDescent="0.35">
      <c r="F1211" s="38"/>
      <c r="G1211" s="39"/>
      <c r="H1211" s="40"/>
    </row>
    <row r="1212" spans="6:8" x14ac:dyDescent="0.35">
      <c r="F1212" s="38"/>
      <c r="G1212" s="39"/>
      <c r="H1212" s="40"/>
    </row>
    <row r="1213" spans="6:8" x14ac:dyDescent="0.35">
      <c r="F1213" s="38"/>
      <c r="G1213" s="39"/>
      <c r="H1213" s="40"/>
    </row>
    <row r="1214" spans="6:8" x14ac:dyDescent="0.35">
      <c r="F1214" s="38"/>
      <c r="G1214" s="39"/>
      <c r="H1214" s="40"/>
    </row>
    <row r="1215" spans="6:8" x14ac:dyDescent="0.35">
      <c r="F1215" s="38"/>
      <c r="G1215" s="39"/>
      <c r="H1215" s="40"/>
    </row>
    <row r="1216" spans="6:8" x14ac:dyDescent="0.35">
      <c r="F1216" s="38"/>
      <c r="G1216" s="39"/>
      <c r="H1216" s="40"/>
    </row>
    <row r="1217" spans="6:8" x14ac:dyDescent="0.35">
      <c r="F1217" s="38"/>
      <c r="G1217" s="39"/>
      <c r="H1217" s="40"/>
    </row>
    <row r="1218" spans="6:8" x14ac:dyDescent="0.35">
      <c r="F1218" s="38"/>
      <c r="G1218" s="39"/>
      <c r="H1218" s="40"/>
    </row>
    <row r="1219" spans="6:8" x14ac:dyDescent="0.35">
      <c r="F1219" s="38"/>
      <c r="G1219" s="39"/>
      <c r="H1219" s="40"/>
    </row>
    <row r="1220" spans="6:8" x14ac:dyDescent="0.35">
      <c r="F1220" s="38"/>
      <c r="G1220" s="39"/>
      <c r="H1220" s="40"/>
    </row>
    <row r="1221" spans="6:8" x14ac:dyDescent="0.35">
      <c r="F1221" s="38"/>
      <c r="G1221" s="39"/>
      <c r="H1221" s="40"/>
    </row>
    <row r="1222" spans="6:8" x14ac:dyDescent="0.35">
      <c r="F1222" s="38"/>
      <c r="G1222" s="39"/>
      <c r="H1222" s="40"/>
    </row>
    <row r="1223" spans="6:8" x14ac:dyDescent="0.35">
      <c r="F1223" s="38"/>
      <c r="G1223" s="39"/>
      <c r="H1223" s="40"/>
    </row>
    <row r="1224" spans="6:8" x14ac:dyDescent="0.35">
      <c r="F1224" s="38"/>
      <c r="G1224" s="39"/>
      <c r="H1224" s="40"/>
    </row>
    <row r="1225" spans="6:8" x14ac:dyDescent="0.35">
      <c r="F1225" s="38"/>
      <c r="G1225" s="39"/>
      <c r="H1225" s="40"/>
    </row>
    <row r="1226" spans="6:8" x14ac:dyDescent="0.35">
      <c r="F1226" s="38"/>
      <c r="G1226" s="39"/>
      <c r="H1226" s="40"/>
    </row>
    <row r="1227" spans="6:8" x14ac:dyDescent="0.35">
      <c r="F1227" s="38"/>
      <c r="G1227" s="39"/>
      <c r="H1227" s="40"/>
    </row>
    <row r="1228" spans="6:8" x14ac:dyDescent="0.35">
      <c r="F1228" s="38"/>
      <c r="G1228" s="39"/>
      <c r="H1228" s="40"/>
    </row>
    <row r="1229" spans="6:8" x14ac:dyDescent="0.35">
      <c r="F1229" s="38"/>
      <c r="G1229" s="39"/>
      <c r="H1229" s="40"/>
    </row>
    <row r="1230" spans="6:8" x14ac:dyDescent="0.35">
      <c r="F1230" s="38"/>
      <c r="G1230" s="39"/>
      <c r="H1230" s="40"/>
    </row>
    <row r="1231" spans="6:8" x14ac:dyDescent="0.35">
      <c r="F1231" s="38"/>
      <c r="G1231" s="39"/>
      <c r="H1231" s="40"/>
    </row>
    <row r="1232" spans="6:8" x14ac:dyDescent="0.35">
      <c r="F1232" s="38"/>
      <c r="G1232" s="39"/>
      <c r="H1232" s="40"/>
    </row>
    <row r="1233" spans="6:8" x14ac:dyDescent="0.35">
      <c r="F1233" s="38"/>
      <c r="G1233" s="39"/>
      <c r="H1233" s="40"/>
    </row>
    <row r="1234" spans="6:8" x14ac:dyDescent="0.35">
      <c r="F1234" s="38"/>
      <c r="G1234" s="39"/>
      <c r="H1234" s="40"/>
    </row>
    <row r="1235" spans="6:8" x14ac:dyDescent="0.35">
      <c r="F1235" s="38"/>
      <c r="G1235" s="39"/>
      <c r="H1235" s="40"/>
    </row>
    <row r="1236" spans="6:8" x14ac:dyDescent="0.35">
      <c r="F1236" s="38"/>
      <c r="G1236" s="39"/>
      <c r="H1236" s="40"/>
    </row>
    <row r="1237" spans="6:8" x14ac:dyDescent="0.35">
      <c r="F1237" s="38"/>
      <c r="G1237" s="39"/>
      <c r="H1237" s="40"/>
    </row>
    <row r="1238" spans="6:8" x14ac:dyDescent="0.35">
      <c r="F1238" s="38"/>
      <c r="G1238" s="39"/>
      <c r="H1238" s="40"/>
    </row>
    <row r="1239" spans="6:8" x14ac:dyDescent="0.35">
      <c r="F1239" s="38"/>
      <c r="G1239" s="39"/>
      <c r="H1239" s="40"/>
    </row>
    <row r="1240" spans="6:8" x14ac:dyDescent="0.35">
      <c r="F1240" s="38"/>
      <c r="G1240" s="39"/>
      <c r="H1240" s="40"/>
    </row>
    <row r="1241" spans="6:8" x14ac:dyDescent="0.35">
      <c r="F1241" s="38"/>
      <c r="G1241" s="39"/>
      <c r="H1241" s="40"/>
    </row>
    <row r="1242" spans="6:8" x14ac:dyDescent="0.35">
      <c r="F1242" s="38"/>
      <c r="G1242" s="39"/>
      <c r="H1242" s="40"/>
    </row>
    <row r="1243" spans="6:8" x14ac:dyDescent="0.35">
      <c r="F1243" s="38"/>
      <c r="G1243" s="39"/>
      <c r="H1243" s="40"/>
    </row>
    <row r="1244" spans="6:8" x14ac:dyDescent="0.35">
      <c r="F1244" s="38"/>
      <c r="G1244" s="39"/>
      <c r="H1244" s="40"/>
    </row>
    <row r="1245" spans="6:8" x14ac:dyDescent="0.35">
      <c r="F1245" s="38"/>
      <c r="G1245" s="39"/>
      <c r="H1245" s="40"/>
    </row>
    <row r="1246" spans="6:8" x14ac:dyDescent="0.35">
      <c r="F1246" s="38"/>
      <c r="G1246" s="39"/>
      <c r="H1246" s="40"/>
    </row>
    <row r="1247" spans="6:8" x14ac:dyDescent="0.35">
      <c r="F1247" s="38"/>
      <c r="G1247" s="39"/>
      <c r="H1247" s="40"/>
    </row>
    <row r="1248" spans="6:8" x14ac:dyDescent="0.35">
      <c r="F1248" s="38"/>
      <c r="G1248" s="39"/>
      <c r="H1248" s="40"/>
    </row>
    <row r="1249" spans="6:8" x14ac:dyDescent="0.35">
      <c r="F1249" s="38"/>
      <c r="G1249" s="39"/>
      <c r="H1249" s="40"/>
    </row>
    <row r="1250" spans="6:8" x14ac:dyDescent="0.35">
      <c r="F1250" s="38"/>
      <c r="G1250" s="39"/>
      <c r="H1250" s="40"/>
    </row>
    <row r="1251" spans="6:8" x14ac:dyDescent="0.35">
      <c r="F1251" s="38"/>
      <c r="G1251" s="39"/>
      <c r="H1251" s="40"/>
    </row>
    <row r="1252" spans="6:8" x14ac:dyDescent="0.35">
      <c r="F1252" s="38"/>
      <c r="G1252" s="39"/>
      <c r="H1252" s="40"/>
    </row>
    <row r="1253" spans="6:8" x14ac:dyDescent="0.35">
      <c r="F1253" s="38"/>
      <c r="G1253" s="39"/>
      <c r="H1253" s="40"/>
    </row>
    <row r="1254" spans="6:8" x14ac:dyDescent="0.35">
      <c r="F1254" s="38"/>
      <c r="G1254" s="39"/>
      <c r="H1254" s="40"/>
    </row>
    <row r="1255" spans="6:8" x14ac:dyDescent="0.35">
      <c r="F1255" s="38"/>
      <c r="G1255" s="39"/>
      <c r="H1255" s="40"/>
    </row>
    <row r="1256" spans="6:8" x14ac:dyDescent="0.35">
      <c r="F1256" s="38"/>
      <c r="G1256" s="39"/>
      <c r="H1256" s="40"/>
    </row>
    <row r="1257" spans="6:8" x14ac:dyDescent="0.35">
      <c r="F1257" s="38"/>
      <c r="G1257" s="39"/>
      <c r="H1257" s="40"/>
    </row>
    <row r="1258" spans="6:8" x14ac:dyDescent="0.35">
      <c r="F1258" s="38"/>
      <c r="G1258" s="39"/>
      <c r="H1258" s="40"/>
    </row>
    <row r="1259" spans="6:8" x14ac:dyDescent="0.35">
      <c r="F1259" s="38"/>
      <c r="G1259" s="39"/>
      <c r="H1259" s="40"/>
    </row>
    <row r="1260" spans="6:8" x14ac:dyDescent="0.35">
      <c r="F1260" s="38"/>
      <c r="G1260" s="39"/>
      <c r="H1260" s="40"/>
    </row>
    <row r="1261" spans="6:8" x14ac:dyDescent="0.35">
      <c r="F1261" s="38"/>
      <c r="G1261" s="39"/>
      <c r="H1261" s="40"/>
    </row>
    <row r="1262" spans="6:8" x14ac:dyDescent="0.35">
      <c r="F1262" s="38"/>
      <c r="G1262" s="39"/>
      <c r="H1262" s="40"/>
    </row>
    <row r="1263" spans="6:8" x14ac:dyDescent="0.35">
      <c r="F1263" s="38"/>
      <c r="G1263" s="39"/>
      <c r="H1263" s="40"/>
    </row>
    <row r="1264" spans="6:8" x14ac:dyDescent="0.35">
      <c r="F1264" s="38"/>
      <c r="G1264" s="39"/>
      <c r="H1264" s="40"/>
    </row>
    <row r="1265" spans="6:8" x14ac:dyDescent="0.35">
      <c r="F1265" s="38"/>
      <c r="G1265" s="39"/>
      <c r="H1265" s="40"/>
    </row>
    <row r="1266" spans="6:8" x14ac:dyDescent="0.35">
      <c r="F1266" s="38"/>
      <c r="G1266" s="39"/>
      <c r="H1266" s="40"/>
    </row>
    <row r="1267" spans="6:8" x14ac:dyDescent="0.35">
      <c r="F1267" s="38"/>
      <c r="G1267" s="39"/>
      <c r="H1267" s="40"/>
    </row>
    <row r="1268" spans="6:8" x14ac:dyDescent="0.35">
      <c r="F1268" s="38"/>
      <c r="G1268" s="39"/>
      <c r="H1268" s="40"/>
    </row>
    <row r="1269" spans="6:8" x14ac:dyDescent="0.35">
      <c r="F1269" s="38"/>
      <c r="G1269" s="39"/>
      <c r="H1269" s="40"/>
    </row>
    <row r="1270" spans="6:8" x14ac:dyDescent="0.35">
      <c r="F1270" s="38"/>
      <c r="G1270" s="39"/>
      <c r="H1270" s="40"/>
    </row>
    <row r="1271" spans="6:8" x14ac:dyDescent="0.35">
      <c r="F1271" s="38"/>
      <c r="G1271" s="39"/>
      <c r="H1271" s="40"/>
    </row>
    <row r="1272" spans="6:8" x14ac:dyDescent="0.35">
      <c r="F1272" s="38"/>
      <c r="G1272" s="39"/>
      <c r="H1272" s="40"/>
    </row>
    <row r="1273" spans="6:8" x14ac:dyDescent="0.35">
      <c r="F1273" s="38"/>
      <c r="G1273" s="39"/>
      <c r="H1273" s="40"/>
    </row>
    <row r="1274" spans="6:8" x14ac:dyDescent="0.35">
      <c r="F1274" s="38"/>
      <c r="G1274" s="39"/>
      <c r="H1274" s="40"/>
    </row>
    <row r="1275" spans="6:8" x14ac:dyDescent="0.35">
      <c r="F1275" s="38"/>
      <c r="G1275" s="39"/>
      <c r="H1275" s="40"/>
    </row>
    <row r="1276" spans="6:8" x14ac:dyDescent="0.35">
      <c r="F1276" s="38"/>
      <c r="G1276" s="39"/>
      <c r="H1276" s="40"/>
    </row>
    <row r="1277" spans="6:8" x14ac:dyDescent="0.35">
      <c r="F1277" s="38"/>
      <c r="G1277" s="39"/>
      <c r="H1277" s="40"/>
    </row>
    <row r="1278" spans="6:8" x14ac:dyDescent="0.35">
      <c r="F1278" s="38"/>
      <c r="G1278" s="39"/>
      <c r="H1278" s="40"/>
    </row>
    <row r="1279" spans="6:8" x14ac:dyDescent="0.35">
      <c r="F1279" s="38"/>
      <c r="G1279" s="39"/>
      <c r="H1279" s="40"/>
    </row>
    <row r="1280" spans="6:8" x14ac:dyDescent="0.35">
      <c r="F1280" s="38"/>
      <c r="G1280" s="39"/>
      <c r="H1280" s="40"/>
    </row>
    <row r="1281" spans="6:8" x14ac:dyDescent="0.35">
      <c r="F1281" s="38"/>
      <c r="G1281" s="39"/>
      <c r="H1281" s="40"/>
    </row>
    <row r="1282" spans="6:8" x14ac:dyDescent="0.35">
      <c r="F1282" s="38"/>
      <c r="G1282" s="39"/>
      <c r="H1282" s="40"/>
    </row>
    <row r="1283" spans="6:8" x14ac:dyDescent="0.35">
      <c r="F1283" s="38"/>
      <c r="G1283" s="39"/>
      <c r="H1283" s="40"/>
    </row>
    <row r="1284" spans="6:8" x14ac:dyDescent="0.35">
      <c r="F1284" s="38"/>
      <c r="G1284" s="39"/>
      <c r="H1284" s="40"/>
    </row>
    <row r="1285" spans="6:8" x14ac:dyDescent="0.35">
      <c r="F1285" s="38"/>
      <c r="G1285" s="39"/>
      <c r="H1285" s="40"/>
    </row>
    <row r="1286" spans="6:8" x14ac:dyDescent="0.35">
      <c r="F1286" s="38"/>
      <c r="G1286" s="39"/>
      <c r="H1286" s="40"/>
    </row>
    <row r="1287" spans="6:8" x14ac:dyDescent="0.35">
      <c r="F1287" s="38"/>
      <c r="G1287" s="39"/>
      <c r="H1287" s="40"/>
    </row>
    <row r="1288" spans="6:8" x14ac:dyDescent="0.35">
      <c r="F1288" s="38"/>
      <c r="G1288" s="39"/>
      <c r="H1288" s="40"/>
    </row>
    <row r="1289" spans="6:8" x14ac:dyDescent="0.35">
      <c r="F1289" s="38"/>
      <c r="G1289" s="39"/>
      <c r="H1289" s="40"/>
    </row>
    <row r="1290" spans="6:8" x14ac:dyDescent="0.35">
      <c r="F1290" s="38"/>
      <c r="G1290" s="39"/>
      <c r="H1290" s="40"/>
    </row>
    <row r="1291" spans="6:8" x14ac:dyDescent="0.35">
      <c r="F1291" s="38"/>
      <c r="G1291" s="39"/>
      <c r="H1291" s="40"/>
    </row>
    <row r="1292" spans="6:8" x14ac:dyDescent="0.35">
      <c r="F1292" s="38"/>
      <c r="G1292" s="39"/>
      <c r="H1292" s="40"/>
    </row>
    <row r="1293" spans="6:8" x14ac:dyDescent="0.35">
      <c r="F1293" s="38"/>
      <c r="G1293" s="39"/>
      <c r="H1293" s="40"/>
    </row>
    <row r="1294" spans="6:8" x14ac:dyDescent="0.35">
      <c r="F1294" s="38"/>
      <c r="G1294" s="39"/>
      <c r="H1294" s="40"/>
    </row>
    <row r="1295" spans="6:8" x14ac:dyDescent="0.35">
      <c r="F1295" s="38"/>
      <c r="G1295" s="39"/>
      <c r="H1295" s="40"/>
    </row>
    <row r="1296" spans="6:8" x14ac:dyDescent="0.35">
      <c r="F1296" s="38"/>
      <c r="G1296" s="39"/>
      <c r="H1296" s="40"/>
    </row>
    <row r="1297" spans="6:8" x14ac:dyDescent="0.35">
      <c r="F1297" s="38"/>
      <c r="G1297" s="39"/>
      <c r="H1297" s="40"/>
    </row>
    <row r="1298" spans="6:8" x14ac:dyDescent="0.35">
      <c r="F1298" s="38"/>
      <c r="G1298" s="39"/>
      <c r="H1298" s="40"/>
    </row>
    <row r="1299" spans="6:8" x14ac:dyDescent="0.35">
      <c r="F1299" s="38"/>
      <c r="G1299" s="39"/>
      <c r="H1299" s="40"/>
    </row>
    <row r="1300" spans="6:8" x14ac:dyDescent="0.35">
      <c r="F1300" s="38"/>
      <c r="G1300" s="39"/>
      <c r="H1300" s="40"/>
    </row>
    <row r="1301" spans="6:8" x14ac:dyDescent="0.35">
      <c r="F1301" s="38"/>
      <c r="G1301" s="39"/>
      <c r="H1301" s="40"/>
    </row>
    <row r="1302" spans="6:8" x14ac:dyDescent="0.35">
      <c r="F1302" s="38"/>
      <c r="G1302" s="39"/>
      <c r="H1302" s="40"/>
    </row>
    <row r="1303" spans="6:8" x14ac:dyDescent="0.35">
      <c r="F1303" s="38"/>
      <c r="G1303" s="39"/>
      <c r="H1303" s="40"/>
    </row>
    <row r="1304" spans="6:8" x14ac:dyDescent="0.35">
      <c r="F1304" s="38"/>
      <c r="G1304" s="39"/>
      <c r="H1304" s="40"/>
    </row>
    <row r="1305" spans="6:8" x14ac:dyDescent="0.35">
      <c r="F1305" s="38"/>
      <c r="G1305" s="39"/>
      <c r="H1305" s="40"/>
    </row>
    <row r="1306" spans="6:8" x14ac:dyDescent="0.35">
      <c r="F1306" s="38"/>
      <c r="G1306" s="39"/>
      <c r="H1306" s="40"/>
    </row>
    <row r="1307" spans="6:8" x14ac:dyDescent="0.35">
      <c r="F1307" s="38"/>
      <c r="G1307" s="39"/>
      <c r="H1307" s="40"/>
    </row>
    <row r="1308" spans="6:8" x14ac:dyDescent="0.35">
      <c r="F1308" s="38"/>
      <c r="G1308" s="39"/>
      <c r="H1308" s="40"/>
    </row>
    <row r="1309" spans="6:8" x14ac:dyDescent="0.35">
      <c r="F1309" s="38"/>
      <c r="G1309" s="39"/>
      <c r="H1309" s="40"/>
    </row>
    <row r="1310" spans="6:8" x14ac:dyDescent="0.35">
      <c r="F1310" s="38"/>
      <c r="G1310" s="39"/>
      <c r="H1310" s="40"/>
    </row>
    <row r="1311" spans="6:8" x14ac:dyDescent="0.35">
      <c r="F1311" s="38"/>
      <c r="G1311" s="39"/>
      <c r="H1311" s="40"/>
    </row>
    <row r="1312" spans="6:8" x14ac:dyDescent="0.35">
      <c r="F1312" s="38"/>
      <c r="G1312" s="39"/>
      <c r="H1312" s="40"/>
    </row>
    <row r="1313" spans="6:8" x14ac:dyDescent="0.35">
      <c r="F1313" s="38"/>
      <c r="G1313" s="39"/>
      <c r="H1313" s="40"/>
    </row>
    <row r="1314" spans="6:8" x14ac:dyDescent="0.35">
      <c r="F1314" s="38"/>
      <c r="G1314" s="39"/>
      <c r="H1314" s="40"/>
    </row>
    <row r="1315" spans="6:8" x14ac:dyDescent="0.35">
      <c r="F1315" s="38"/>
      <c r="G1315" s="39"/>
      <c r="H1315" s="40"/>
    </row>
    <row r="1316" spans="6:8" x14ac:dyDescent="0.35">
      <c r="F1316" s="38"/>
      <c r="G1316" s="39"/>
      <c r="H1316" s="40"/>
    </row>
    <row r="1317" spans="6:8" x14ac:dyDescent="0.35">
      <c r="F1317" s="38"/>
      <c r="G1317" s="39"/>
      <c r="H1317" s="40"/>
    </row>
    <row r="1318" spans="6:8" x14ac:dyDescent="0.35">
      <c r="F1318" s="38"/>
      <c r="G1318" s="39"/>
      <c r="H1318" s="40"/>
    </row>
    <row r="1319" spans="6:8" x14ac:dyDescent="0.35">
      <c r="F1319" s="38"/>
      <c r="G1319" s="39"/>
      <c r="H1319" s="40"/>
    </row>
    <row r="1320" spans="6:8" x14ac:dyDescent="0.35">
      <c r="F1320" s="38"/>
      <c r="G1320" s="39"/>
      <c r="H1320" s="40"/>
    </row>
    <row r="1321" spans="6:8" x14ac:dyDescent="0.35">
      <c r="F1321" s="38"/>
      <c r="G1321" s="39"/>
      <c r="H1321" s="40"/>
    </row>
    <row r="1322" spans="6:8" x14ac:dyDescent="0.35">
      <c r="F1322" s="38"/>
      <c r="G1322" s="39"/>
      <c r="H1322" s="40"/>
    </row>
    <row r="1323" spans="6:8" x14ac:dyDescent="0.35">
      <c r="F1323" s="38"/>
      <c r="G1323" s="39"/>
      <c r="H1323" s="40"/>
    </row>
    <row r="1324" spans="6:8" x14ac:dyDescent="0.35">
      <c r="F1324" s="38"/>
      <c r="G1324" s="39"/>
      <c r="H1324" s="40"/>
    </row>
    <row r="1325" spans="6:8" x14ac:dyDescent="0.35">
      <c r="F1325" s="38"/>
      <c r="G1325" s="39"/>
      <c r="H1325" s="40"/>
    </row>
    <row r="1326" spans="6:8" x14ac:dyDescent="0.35">
      <c r="F1326" s="38"/>
      <c r="G1326" s="39"/>
      <c r="H1326" s="40"/>
    </row>
    <row r="1327" spans="6:8" x14ac:dyDescent="0.35">
      <c r="F1327" s="38"/>
      <c r="G1327" s="39"/>
      <c r="H1327" s="40"/>
    </row>
    <row r="1328" spans="6:8" x14ac:dyDescent="0.35">
      <c r="F1328" s="38"/>
      <c r="G1328" s="39"/>
      <c r="H1328" s="40"/>
    </row>
    <row r="1329" spans="6:8" x14ac:dyDescent="0.35">
      <c r="F1329" s="38"/>
      <c r="G1329" s="39"/>
      <c r="H1329" s="40"/>
    </row>
    <row r="1330" spans="6:8" x14ac:dyDescent="0.35">
      <c r="F1330" s="38"/>
      <c r="G1330" s="39"/>
      <c r="H1330" s="40"/>
    </row>
    <row r="1331" spans="6:8" x14ac:dyDescent="0.35">
      <c r="F1331" s="38"/>
      <c r="G1331" s="39"/>
      <c r="H1331" s="40"/>
    </row>
    <row r="1332" spans="6:8" x14ac:dyDescent="0.35">
      <c r="F1332" s="38"/>
      <c r="G1332" s="39"/>
      <c r="H1332" s="40"/>
    </row>
    <row r="1333" spans="6:8" x14ac:dyDescent="0.35">
      <c r="F1333" s="38"/>
      <c r="G1333" s="39"/>
      <c r="H1333" s="40"/>
    </row>
    <row r="1334" spans="6:8" x14ac:dyDescent="0.35">
      <c r="F1334" s="38"/>
      <c r="G1334" s="39"/>
      <c r="H1334" s="40"/>
    </row>
    <row r="1335" spans="6:8" x14ac:dyDescent="0.35">
      <c r="F1335" s="38"/>
      <c r="G1335" s="39"/>
      <c r="H1335" s="40"/>
    </row>
    <row r="1336" spans="6:8" x14ac:dyDescent="0.35">
      <c r="F1336" s="38"/>
      <c r="G1336" s="39"/>
      <c r="H1336" s="40"/>
    </row>
    <row r="1337" spans="6:8" x14ac:dyDescent="0.35">
      <c r="F1337" s="38"/>
      <c r="G1337" s="39"/>
      <c r="H1337" s="40"/>
    </row>
    <row r="1338" spans="6:8" x14ac:dyDescent="0.35">
      <c r="F1338" s="38"/>
      <c r="G1338" s="39"/>
      <c r="H1338" s="40"/>
    </row>
    <row r="1339" spans="6:8" x14ac:dyDescent="0.35">
      <c r="F1339" s="38"/>
      <c r="G1339" s="39"/>
      <c r="H1339" s="40"/>
    </row>
    <row r="1340" spans="6:8" x14ac:dyDescent="0.35">
      <c r="F1340" s="38"/>
      <c r="G1340" s="39"/>
      <c r="H1340" s="40"/>
    </row>
    <row r="1341" spans="6:8" x14ac:dyDescent="0.35">
      <c r="F1341" s="38"/>
      <c r="G1341" s="39"/>
      <c r="H1341" s="40"/>
    </row>
    <row r="1342" spans="6:8" x14ac:dyDescent="0.35">
      <c r="F1342" s="38"/>
      <c r="G1342" s="39"/>
      <c r="H1342" s="40"/>
    </row>
    <row r="1343" spans="6:8" x14ac:dyDescent="0.35">
      <c r="F1343" s="38"/>
      <c r="G1343" s="39"/>
      <c r="H1343" s="40"/>
    </row>
    <row r="1344" spans="6:8" x14ac:dyDescent="0.35">
      <c r="F1344" s="38"/>
      <c r="G1344" s="39"/>
      <c r="H1344" s="40"/>
    </row>
    <row r="1345" spans="6:8" x14ac:dyDescent="0.35">
      <c r="F1345" s="38"/>
      <c r="G1345" s="39"/>
      <c r="H1345" s="40"/>
    </row>
    <row r="1346" spans="6:8" x14ac:dyDescent="0.35">
      <c r="F1346" s="38"/>
      <c r="G1346" s="39"/>
      <c r="H1346" s="40"/>
    </row>
    <row r="1347" spans="6:8" x14ac:dyDescent="0.35">
      <c r="F1347" s="38"/>
      <c r="G1347" s="39"/>
      <c r="H1347" s="40"/>
    </row>
    <row r="1348" spans="6:8" x14ac:dyDescent="0.35">
      <c r="F1348" s="38"/>
      <c r="G1348" s="39"/>
      <c r="H1348" s="40"/>
    </row>
    <row r="1349" spans="6:8" x14ac:dyDescent="0.35">
      <c r="F1349" s="38"/>
      <c r="G1349" s="39"/>
      <c r="H1349" s="40"/>
    </row>
    <row r="1350" spans="6:8" x14ac:dyDescent="0.35">
      <c r="F1350" s="38"/>
      <c r="G1350" s="39"/>
      <c r="H1350" s="40"/>
    </row>
    <row r="1351" spans="6:8" x14ac:dyDescent="0.35">
      <c r="F1351" s="38"/>
      <c r="G1351" s="39"/>
      <c r="H1351" s="40"/>
    </row>
    <row r="1352" spans="6:8" x14ac:dyDescent="0.35">
      <c r="F1352" s="38"/>
      <c r="G1352" s="39"/>
      <c r="H1352" s="40"/>
    </row>
    <row r="1353" spans="6:8" x14ac:dyDescent="0.35">
      <c r="F1353" s="38"/>
      <c r="G1353" s="39"/>
      <c r="H1353" s="40"/>
    </row>
    <row r="1354" spans="6:8" x14ac:dyDescent="0.35">
      <c r="F1354" s="38"/>
      <c r="G1354" s="39"/>
      <c r="H1354" s="40"/>
    </row>
    <row r="1355" spans="6:8" x14ac:dyDescent="0.35">
      <c r="F1355" s="38"/>
      <c r="G1355" s="39"/>
      <c r="H1355" s="40"/>
    </row>
    <row r="1356" spans="6:8" x14ac:dyDescent="0.35">
      <c r="F1356" s="38"/>
      <c r="G1356" s="39"/>
      <c r="H1356" s="40"/>
    </row>
    <row r="1357" spans="6:8" x14ac:dyDescent="0.35">
      <c r="F1357" s="38"/>
      <c r="G1357" s="39"/>
      <c r="H1357" s="40"/>
    </row>
    <row r="1358" spans="6:8" x14ac:dyDescent="0.35">
      <c r="F1358" s="38"/>
      <c r="G1358" s="39"/>
      <c r="H1358" s="40"/>
    </row>
    <row r="1359" spans="6:8" x14ac:dyDescent="0.35">
      <c r="F1359" s="38"/>
      <c r="G1359" s="39"/>
      <c r="H1359" s="40"/>
    </row>
    <row r="1360" spans="6:8" x14ac:dyDescent="0.35">
      <c r="F1360" s="38"/>
      <c r="G1360" s="39"/>
      <c r="H1360" s="40"/>
    </row>
    <row r="1361" spans="6:8" x14ac:dyDescent="0.35">
      <c r="F1361" s="38"/>
      <c r="G1361" s="39"/>
      <c r="H1361" s="40"/>
    </row>
    <row r="1362" spans="6:8" x14ac:dyDescent="0.35">
      <c r="F1362" s="38"/>
      <c r="G1362" s="39"/>
      <c r="H1362" s="40"/>
    </row>
    <row r="1363" spans="6:8" x14ac:dyDescent="0.35">
      <c r="F1363" s="38"/>
      <c r="G1363" s="39"/>
      <c r="H1363" s="40"/>
    </row>
    <row r="1364" spans="6:8" x14ac:dyDescent="0.35">
      <c r="F1364" s="38"/>
      <c r="G1364" s="39"/>
      <c r="H1364" s="40"/>
    </row>
    <row r="1365" spans="6:8" x14ac:dyDescent="0.35">
      <c r="F1365" s="38"/>
      <c r="G1365" s="39"/>
      <c r="H1365" s="40"/>
    </row>
    <row r="1366" spans="6:8" x14ac:dyDescent="0.35">
      <c r="F1366" s="38"/>
      <c r="G1366" s="39"/>
      <c r="H1366" s="40"/>
    </row>
    <row r="1367" spans="6:8" x14ac:dyDescent="0.35">
      <c r="F1367" s="38"/>
      <c r="G1367" s="39"/>
      <c r="H1367" s="40"/>
    </row>
    <row r="1368" spans="6:8" x14ac:dyDescent="0.35">
      <c r="F1368" s="38"/>
      <c r="G1368" s="39"/>
      <c r="H1368" s="40"/>
    </row>
    <row r="1369" spans="6:8" x14ac:dyDescent="0.35">
      <c r="F1369" s="38"/>
      <c r="G1369" s="39"/>
      <c r="H1369" s="40"/>
    </row>
    <row r="1370" spans="6:8" x14ac:dyDescent="0.35">
      <c r="F1370" s="38"/>
      <c r="G1370" s="39"/>
      <c r="H1370" s="40"/>
    </row>
    <row r="1371" spans="6:8" x14ac:dyDescent="0.35">
      <c r="F1371" s="38"/>
      <c r="G1371" s="39"/>
      <c r="H1371" s="40"/>
    </row>
    <row r="1372" spans="6:8" x14ac:dyDescent="0.35">
      <c r="F1372" s="38"/>
      <c r="G1372" s="39"/>
      <c r="H1372" s="40"/>
    </row>
    <row r="1373" spans="6:8" x14ac:dyDescent="0.35">
      <c r="F1373" s="38"/>
      <c r="G1373" s="39"/>
      <c r="H1373" s="40"/>
    </row>
    <row r="1374" spans="6:8" x14ac:dyDescent="0.35">
      <c r="F1374" s="38"/>
      <c r="G1374" s="39"/>
      <c r="H1374" s="40"/>
    </row>
    <row r="1375" spans="6:8" x14ac:dyDescent="0.35">
      <c r="F1375" s="38"/>
      <c r="G1375" s="39"/>
      <c r="H1375" s="40"/>
    </row>
    <row r="1376" spans="6:8" x14ac:dyDescent="0.35">
      <c r="F1376" s="38"/>
      <c r="G1376" s="39"/>
      <c r="H1376" s="40"/>
    </row>
    <row r="1377" spans="6:8" x14ac:dyDescent="0.35">
      <c r="F1377" s="38"/>
      <c r="G1377" s="39"/>
      <c r="H1377" s="40"/>
    </row>
    <row r="1378" spans="6:8" x14ac:dyDescent="0.35">
      <c r="F1378" s="38"/>
      <c r="G1378" s="39"/>
      <c r="H1378" s="40"/>
    </row>
    <row r="1379" spans="6:8" x14ac:dyDescent="0.35">
      <c r="F1379" s="38"/>
      <c r="G1379" s="39"/>
      <c r="H1379" s="40"/>
    </row>
    <row r="1380" spans="6:8" x14ac:dyDescent="0.35">
      <c r="F1380" s="38"/>
      <c r="G1380" s="39"/>
      <c r="H1380" s="40"/>
    </row>
    <row r="1381" spans="6:8" x14ac:dyDescent="0.35">
      <c r="F1381" s="38"/>
      <c r="G1381" s="39"/>
      <c r="H1381" s="40"/>
    </row>
    <row r="1382" spans="6:8" x14ac:dyDescent="0.35">
      <c r="F1382" s="38"/>
      <c r="G1382" s="39"/>
      <c r="H1382" s="40"/>
    </row>
    <row r="1383" spans="6:8" x14ac:dyDescent="0.35">
      <c r="F1383" s="38"/>
      <c r="G1383" s="39"/>
      <c r="H1383" s="40"/>
    </row>
    <row r="1384" spans="6:8" x14ac:dyDescent="0.35">
      <c r="F1384" s="38"/>
      <c r="G1384" s="39"/>
      <c r="H1384" s="40"/>
    </row>
    <row r="1385" spans="6:8" x14ac:dyDescent="0.35">
      <c r="F1385" s="38"/>
      <c r="G1385" s="39"/>
      <c r="H1385" s="40"/>
    </row>
    <row r="1386" spans="6:8" x14ac:dyDescent="0.35">
      <c r="F1386" s="38"/>
      <c r="G1386" s="39"/>
      <c r="H1386" s="40"/>
    </row>
    <row r="1387" spans="6:8" x14ac:dyDescent="0.35">
      <c r="F1387" s="38"/>
      <c r="G1387" s="39"/>
      <c r="H1387" s="40"/>
    </row>
    <row r="1388" spans="6:8" x14ac:dyDescent="0.35">
      <c r="F1388" s="38"/>
      <c r="G1388" s="39"/>
      <c r="H1388" s="40"/>
    </row>
    <row r="1389" spans="6:8" x14ac:dyDescent="0.35">
      <c r="F1389" s="38"/>
      <c r="G1389" s="39"/>
      <c r="H1389" s="40"/>
    </row>
    <row r="1390" spans="6:8" x14ac:dyDescent="0.35">
      <c r="F1390" s="38"/>
      <c r="G1390" s="39"/>
      <c r="H1390" s="40"/>
    </row>
    <row r="1391" spans="6:8" x14ac:dyDescent="0.35">
      <c r="F1391" s="38"/>
      <c r="G1391" s="39"/>
      <c r="H1391" s="40"/>
    </row>
    <row r="1392" spans="6:8" x14ac:dyDescent="0.35">
      <c r="F1392" s="38"/>
      <c r="G1392" s="39"/>
      <c r="H1392" s="40"/>
    </row>
    <row r="1393" spans="6:8" x14ac:dyDescent="0.35">
      <c r="F1393" s="38"/>
      <c r="G1393" s="39"/>
      <c r="H1393" s="40"/>
    </row>
    <row r="1394" spans="6:8" x14ac:dyDescent="0.35">
      <c r="F1394" s="38"/>
      <c r="G1394" s="39"/>
      <c r="H1394" s="40"/>
    </row>
    <row r="1395" spans="6:8" x14ac:dyDescent="0.35">
      <c r="F1395" s="38"/>
      <c r="G1395" s="39"/>
      <c r="H1395" s="40"/>
    </row>
    <row r="1396" spans="6:8" x14ac:dyDescent="0.35">
      <c r="F1396" s="38"/>
      <c r="G1396" s="39"/>
      <c r="H1396" s="40"/>
    </row>
    <row r="1397" spans="6:8" x14ac:dyDescent="0.35">
      <c r="F1397" s="38"/>
      <c r="G1397" s="39"/>
      <c r="H1397" s="40"/>
    </row>
    <row r="1398" spans="6:8" x14ac:dyDescent="0.35">
      <c r="F1398" s="38"/>
      <c r="G1398" s="39"/>
      <c r="H1398" s="40"/>
    </row>
    <row r="1399" spans="6:8" x14ac:dyDescent="0.35">
      <c r="F1399" s="38"/>
      <c r="G1399" s="39"/>
      <c r="H1399" s="40"/>
    </row>
    <row r="1400" spans="6:8" x14ac:dyDescent="0.35">
      <c r="F1400" s="38"/>
      <c r="G1400" s="39"/>
      <c r="H1400" s="40"/>
    </row>
    <row r="1401" spans="6:8" x14ac:dyDescent="0.35">
      <c r="F1401" s="38"/>
      <c r="G1401" s="39"/>
      <c r="H1401" s="40"/>
    </row>
    <row r="1402" spans="6:8" x14ac:dyDescent="0.35">
      <c r="F1402" s="38"/>
      <c r="G1402" s="39"/>
      <c r="H1402" s="40"/>
    </row>
    <row r="1403" spans="6:8" x14ac:dyDescent="0.35">
      <c r="F1403" s="38"/>
      <c r="G1403" s="39"/>
      <c r="H1403" s="40"/>
    </row>
    <row r="1404" spans="6:8" x14ac:dyDescent="0.35">
      <c r="F1404" s="38"/>
      <c r="G1404" s="39"/>
      <c r="H1404" s="40"/>
    </row>
    <row r="1405" spans="6:8" x14ac:dyDescent="0.35">
      <c r="F1405" s="38"/>
      <c r="G1405" s="39"/>
      <c r="H1405" s="40"/>
    </row>
    <row r="1406" spans="6:8" x14ac:dyDescent="0.35">
      <c r="F1406" s="38"/>
      <c r="G1406" s="39"/>
      <c r="H1406" s="40"/>
    </row>
    <row r="1407" spans="6:8" x14ac:dyDescent="0.35">
      <c r="F1407" s="38"/>
      <c r="G1407" s="39"/>
      <c r="H1407" s="40"/>
    </row>
    <row r="1408" spans="6:8" x14ac:dyDescent="0.35">
      <c r="F1408" s="38"/>
      <c r="G1408" s="39"/>
      <c r="H1408" s="40"/>
    </row>
    <row r="1409" spans="6:8" x14ac:dyDescent="0.35">
      <c r="F1409" s="38"/>
      <c r="G1409" s="39"/>
      <c r="H1409" s="40"/>
    </row>
    <row r="1410" spans="6:8" x14ac:dyDescent="0.35">
      <c r="F1410" s="38"/>
      <c r="G1410" s="39"/>
      <c r="H1410" s="40"/>
    </row>
    <row r="1411" spans="6:8" x14ac:dyDescent="0.35">
      <c r="F1411" s="38"/>
      <c r="G1411" s="39"/>
      <c r="H1411" s="40"/>
    </row>
    <row r="1412" spans="6:8" x14ac:dyDescent="0.35">
      <c r="F1412" s="38"/>
      <c r="G1412" s="39"/>
      <c r="H1412" s="40"/>
    </row>
    <row r="1413" spans="6:8" x14ac:dyDescent="0.35">
      <c r="F1413" s="38"/>
      <c r="G1413" s="39"/>
      <c r="H1413" s="40"/>
    </row>
    <row r="1414" spans="6:8" x14ac:dyDescent="0.35">
      <c r="F1414" s="38"/>
      <c r="G1414" s="39"/>
      <c r="H1414" s="40"/>
    </row>
    <row r="1415" spans="6:8" x14ac:dyDescent="0.35">
      <c r="F1415" s="38"/>
      <c r="G1415" s="39"/>
      <c r="H1415" s="40"/>
    </row>
    <row r="1416" spans="6:8" x14ac:dyDescent="0.35">
      <c r="F1416" s="38"/>
      <c r="G1416" s="39"/>
      <c r="H1416" s="40"/>
    </row>
    <row r="1417" spans="6:8" x14ac:dyDescent="0.35">
      <c r="F1417" s="38"/>
      <c r="G1417" s="39"/>
      <c r="H1417" s="40"/>
    </row>
    <row r="1418" spans="6:8" x14ac:dyDescent="0.35">
      <c r="F1418" s="38"/>
      <c r="G1418" s="39"/>
      <c r="H1418" s="40"/>
    </row>
    <row r="1419" spans="6:8" x14ac:dyDescent="0.35">
      <c r="F1419" s="38"/>
      <c r="G1419" s="39"/>
      <c r="H1419" s="40"/>
    </row>
    <row r="1420" spans="6:8" x14ac:dyDescent="0.35">
      <c r="F1420" s="38"/>
      <c r="G1420" s="39"/>
      <c r="H1420" s="40"/>
    </row>
    <row r="1421" spans="6:8" x14ac:dyDescent="0.35">
      <c r="F1421" s="38"/>
      <c r="G1421" s="39"/>
      <c r="H1421" s="40"/>
    </row>
    <row r="1422" spans="6:8" x14ac:dyDescent="0.35">
      <c r="F1422" s="38"/>
      <c r="G1422" s="39"/>
      <c r="H1422" s="40"/>
    </row>
    <row r="1423" spans="6:8" x14ac:dyDescent="0.35">
      <c r="F1423" s="38"/>
      <c r="G1423" s="39"/>
      <c r="H1423" s="40"/>
    </row>
    <row r="1424" spans="6:8" x14ac:dyDescent="0.35">
      <c r="F1424" s="38"/>
      <c r="G1424" s="39"/>
      <c r="H1424" s="40"/>
    </row>
    <row r="1425" spans="6:8" x14ac:dyDescent="0.35">
      <c r="F1425" s="38"/>
      <c r="G1425" s="39"/>
      <c r="H1425" s="40"/>
    </row>
    <row r="1426" spans="6:8" x14ac:dyDescent="0.35">
      <c r="F1426" s="38"/>
      <c r="G1426" s="39"/>
      <c r="H1426" s="40"/>
    </row>
    <row r="1427" spans="6:8" x14ac:dyDescent="0.35">
      <c r="F1427" s="38"/>
      <c r="G1427" s="39"/>
      <c r="H1427" s="40"/>
    </row>
    <row r="1428" spans="6:8" x14ac:dyDescent="0.35">
      <c r="F1428" s="38"/>
      <c r="G1428" s="39"/>
      <c r="H1428" s="40"/>
    </row>
    <row r="1429" spans="6:8" x14ac:dyDescent="0.35">
      <c r="F1429" s="38"/>
      <c r="G1429" s="39"/>
      <c r="H1429" s="40"/>
    </row>
    <row r="1430" spans="6:8" x14ac:dyDescent="0.35">
      <c r="F1430" s="38"/>
      <c r="G1430" s="39"/>
      <c r="H1430" s="40"/>
    </row>
    <row r="1431" spans="6:8" x14ac:dyDescent="0.35">
      <c r="F1431" s="38"/>
      <c r="G1431" s="39"/>
      <c r="H1431" s="40"/>
    </row>
    <row r="1432" spans="6:8" x14ac:dyDescent="0.35">
      <c r="F1432" s="38"/>
      <c r="G1432" s="39"/>
      <c r="H1432" s="40"/>
    </row>
    <row r="1433" spans="6:8" x14ac:dyDescent="0.35">
      <c r="F1433" s="38"/>
      <c r="G1433" s="39"/>
      <c r="H1433" s="40"/>
    </row>
    <row r="1434" spans="6:8" x14ac:dyDescent="0.35">
      <c r="F1434" s="38"/>
      <c r="G1434" s="39"/>
      <c r="H1434" s="40"/>
    </row>
    <row r="1435" spans="6:8" x14ac:dyDescent="0.35">
      <c r="F1435" s="38"/>
      <c r="G1435" s="39"/>
      <c r="H1435" s="40"/>
    </row>
    <row r="1436" spans="6:8" x14ac:dyDescent="0.35">
      <c r="F1436" s="38"/>
      <c r="G1436" s="39"/>
      <c r="H1436" s="40"/>
    </row>
    <row r="1437" spans="6:8" x14ac:dyDescent="0.35">
      <c r="F1437" s="38"/>
      <c r="G1437" s="39"/>
      <c r="H1437" s="40"/>
    </row>
    <row r="1438" spans="6:8" x14ac:dyDescent="0.35">
      <c r="F1438" s="38"/>
      <c r="G1438" s="39"/>
      <c r="H1438" s="40"/>
    </row>
    <row r="1439" spans="6:8" x14ac:dyDescent="0.35">
      <c r="F1439" s="38"/>
      <c r="G1439" s="39"/>
      <c r="H1439" s="40"/>
    </row>
    <row r="1440" spans="6:8" x14ac:dyDescent="0.35">
      <c r="F1440" s="38"/>
      <c r="G1440" s="39"/>
      <c r="H1440" s="40"/>
    </row>
    <row r="1441" spans="6:8" x14ac:dyDescent="0.35">
      <c r="F1441" s="38"/>
      <c r="G1441" s="39"/>
      <c r="H1441" s="40"/>
    </row>
    <row r="1442" spans="6:8" x14ac:dyDescent="0.35">
      <c r="F1442" s="38"/>
      <c r="G1442" s="39"/>
      <c r="H1442" s="40"/>
    </row>
    <row r="1443" spans="6:8" x14ac:dyDescent="0.35">
      <c r="F1443" s="38"/>
      <c r="G1443" s="39"/>
      <c r="H1443" s="40"/>
    </row>
    <row r="1444" spans="6:8" x14ac:dyDescent="0.35">
      <c r="F1444" s="38"/>
      <c r="G1444" s="39"/>
      <c r="H1444" s="40"/>
    </row>
    <row r="1445" spans="6:8" x14ac:dyDescent="0.35">
      <c r="F1445" s="38"/>
      <c r="G1445" s="39"/>
      <c r="H1445" s="40"/>
    </row>
    <row r="1446" spans="6:8" x14ac:dyDescent="0.35">
      <c r="F1446" s="38"/>
      <c r="G1446" s="39"/>
      <c r="H1446" s="40"/>
    </row>
    <row r="1447" spans="6:8" x14ac:dyDescent="0.35">
      <c r="F1447" s="38"/>
      <c r="G1447" s="39"/>
      <c r="H1447" s="40"/>
    </row>
    <row r="1448" spans="6:8" x14ac:dyDescent="0.35">
      <c r="F1448" s="38"/>
      <c r="G1448" s="39"/>
      <c r="H1448" s="40"/>
    </row>
    <row r="1449" spans="6:8" x14ac:dyDescent="0.35">
      <c r="F1449" s="38"/>
      <c r="G1449" s="39"/>
      <c r="H1449" s="40"/>
    </row>
    <row r="1450" spans="6:8" x14ac:dyDescent="0.35">
      <c r="F1450" s="38"/>
      <c r="G1450" s="39"/>
      <c r="H1450" s="40"/>
    </row>
    <row r="1451" spans="6:8" x14ac:dyDescent="0.35">
      <c r="F1451" s="38"/>
      <c r="G1451" s="39"/>
      <c r="H1451" s="40"/>
    </row>
    <row r="1452" spans="6:8" x14ac:dyDescent="0.35">
      <c r="F1452" s="38"/>
      <c r="G1452" s="39"/>
      <c r="H1452" s="40"/>
    </row>
    <row r="1453" spans="6:8" x14ac:dyDescent="0.35">
      <c r="F1453" s="38"/>
      <c r="G1453" s="39"/>
      <c r="H1453" s="40"/>
    </row>
    <row r="1454" spans="6:8" x14ac:dyDescent="0.35">
      <c r="F1454" s="38"/>
      <c r="G1454" s="39"/>
      <c r="H1454" s="40"/>
    </row>
    <row r="1455" spans="6:8" x14ac:dyDescent="0.35">
      <c r="F1455" s="38"/>
      <c r="G1455" s="39"/>
      <c r="H1455" s="40"/>
    </row>
    <row r="1456" spans="6:8" x14ac:dyDescent="0.35">
      <c r="F1456" s="38"/>
      <c r="G1456" s="39"/>
      <c r="H1456" s="40"/>
    </row>
    <row r="1457" spans="6:8" x14ac:dyDescent="0.35">
      <c r="F1457" s="38"/>
      <c r="G1457" s="39"/>
      <c r="H1457" s="40"/>
    </row>
    <row r="1458" spans="6:8" x14ac:dyDescent="0.35">
      <c r="F1458" s="38"/>
      <c r="G1458" s="39"/>
      <c r="H1458" s="40"/>
    </row>
    <row r="1459" spans="6:8" x14ac:dyDescent="0.35">
      <c r="F1459" s="38"/>
      <c r="G1459" s="39"/>
      <c r="H1459" s="40"/>
    </row>
    <row r="1460" spans="6:8" x14ac:dyDescent="0.35">
      <c r="F1460" s="38"/>
      <c r="G1460" s="39"/>
      <c r="H1460" s="40"/>
    </row>
    <row r="1461" spans="6:8" x14ac:dyDescent="0.35">
      <c r="F1461" s="38"/>
      <c r="G1461" s="39"/>
      <c r="H1461" s="40"/>
    </row>
    <row r="1462" spans="6:8" x14ac:dyDescent="0.35">
      <c r="F1462" s="38"/>
      <c r="G1462" s="39"/>
      <c r="H1462" s="40"/>
    </row>
    <row r="1463" spans="6:8" x14ac:dyDescent="0.35">
      <c r="F1463" s="38"/>
      <c r="G1463" s="39"/>
      <c r="H1463" s="40"/>
    </row>
    <row r="1464" spans="6:8" x14ac:dyDescent="0.35">
      <c r="F1464" s="38"/>
      <c r="G1464" s="39"/>
      <c r="H1464" s="40"/>
    </row>
    <row r="1465" spans="6:8" x14ac:dyDescent="0.35">
      <c r="F1465" s="38"/>
      <c r="G1465" s="39"/>
      <c r="H1465" s="40"/>
    </row>
    <row r="1466" spans="6:8" x14ac:dyDescent="0.35">
      <c r="F1466" s="38"/>
      <c r="G1466" s="39"/>
      <c r="H1466" s="40"/>
    </row>
    <row r="1467" spans="6:8" x14ac:dyDescent="0.35">
      <c r="F1467" s="38"/>
      <c r="G1467" s="39"/>
      <c r="H1467" s="40"/>
    </row>
    <row r="1468" spans="6:8" x14ac:dyDescent="0.35">
      <c r="F1468" s="38"/>
      <c r="G1468" s="39"/>
      <c r="H1468" s="40"/>
    </row>
    <row r="1469" spans="6:8" x14ac:dyDescent="0.35">
      <c r="F1469" s="38"/>
      <c r="G1469" s="39"/>
      <c r="H1469" s="40"/>
    </row>
    <row r="1470" spans="6:8" x14ac:dyDescent="0.35">
      <c r="F1470" s="38"/>
      <c r="G1470" s="39"/>
      <c r="H1470" s="40"/>
    </row>
    <row r="1471" spans="6:8" x14ac:dyDescent="0.35">
      <c r="F1471" s="38"/>
      <c r="G1471" s="39"/>
      <c r="H1471" s="40"/>
    </row>
    <row r="1472" spans="6:8" x14ac:dyDescent="0.35">
      <c r="F1472" s="38"/>
      <c r="G1472" s="39"/>
      <c r="H1472" s="40"/>
    </row>
    <row r="1473" spans="6:8" x14ac:dyDescent="0.35">
      <c r="F1473" s="38"/>
      <c r="G1473" s="39"/>
      <c r="H1473" s="40"/>
    </row>
    <row r="1474" spans="6:8" x14ac:dyDescent="0.35">
      <c r="F1474" s="38"/>
      <c r="G1474" s="39"/>
      <c r="H1474" s="40"/>
    </row>
    <row r="1475" spans="6:8" x14ac:dyDescent="0.35">
      <c r="F1475" s="38"/>
      <c r="G1475" s="39"/>
      <c r="H1475" s="40"/>
    </row>
    <row r="1476" spans="6:8" x14ac:dyDescent="0.35">
      <c r="F1476" s="38"/>
      <c r="G1476" s="39"/>
      <c r="H1476" s="40"/>
    </row>
    <row r="1477" spans="6:8" x14ac:dyDescent="0.35">
      <c r="F1477" s="38"/>
      <c r="G1477" s="39"/>
      <c r="H1477" s="40"/>
    </row>
    <row r="1478" spans="6:8" x14ac:dyDescent="0.35">
      <c r="F1478" s="38"/>
      <c r="G1478" s="39"/>
      <c r="H1478" s="40"/>
    </row>
    <row r="1479" spans="6:8" x14ac:dyDescent="0.35">
      <c r="F1479" s="38"/>
      <c r="G1479" s="39"/>
      <c r="H1479" s="40"/>
    </row>
    <row r="1480" spans="6:8" x14ac:dyDescent="0.35">
      <c r="F1480" s="38"/>
      <c r="G1480" s="39"/>
      <c r="H1480" s="40"/>
    </row>
    <row r="1481" spans="6:8" x14ac:dyDescent="0.35">
      <c r="F1481" s="38"/>
      <c r="G1481" s="39"/>
      <c r="H1481" s="40"/>
    </row>
    <row r="1482" spans="6:8" x14ac:dyDescent="0.35">
      <c r="F1482" s="38"/>
      <c r="G1482" s="39"/>
      <c r="H1482" s="40"/>
    </row>
    <row r="1483" spans="6:8" x14ac:dyDescent="0.35">
      <c r="F1483" s="38"/>
      <c r="G1483" s="39"/>
      <c r="H1483" s="40"/>
    </row>
    <row r="1484" spans="6:8" x14ac:dyDescent="0.35">
      <c r="F1484" s="38"/>
      <c r="G1484" s="39"/>
      <c r="H1484" s="40"/>
    </row>
    <row r="1485" spans="6:8" x14ac:dyDescent="0.35">
      <c r="F1485" s="38"/>
      <c r="G1485" s="39"/>
      <c r="H1485" s="40"/>
    </row>
    <row r="1486" spans="6:8" x14ac:dyDescent="0.35">
      <c r="F1486" s="38"/>
      <c r="G1486" s="39"/>
      <c r="H1486" s="40"/>
    </row>
    <row r="1487" spans="6:8" x14ac:dyDescent="0.35">
      <c r="F1487" s="38"/>
      <c r="G1487" s="39"/>
      <c r="H1487" s="40"/>
    </row>
    <row r="1488" spans="6:8" x14ac:dyDescent="0.35">
      <c r="F1488" s="38"/>
      <c r="G1488" s="39"/>
      <c r="H1488" s="40"/>
    </row>
    <row r="1489" spans="6:8" x14ac:dyDescent="0.35">
      <c r="F1489" s="38"/>
      <c r="G1489" s="39"/>
      <c r="H1489" s="40"/>
    </row>
    <row r="1490" spans="6:8" x14ac:dyDescent="0.35">
      <c r="F1490" s="38"/>
      <c r="G1490" s="39"/>
      <c r="H1490" s="40"/>
    </row>
    <row r="1491" spans="6:8" x14ac:dyDescent="0.35">
      <c r="F1491" s="38"/>
      <c r="G1491" s="39"/>
      <c r="H1491" s="40"/>
    </row>
    <row r="1492" spans="6:8" x14ac:dyDescent="0.35">
      <c r="F1492" s="38"/>
      <c r="G1492" s="39"/>
      <c r="H1492" s="40"/>
    </row>
    <row r="1493" spans="6:8" x14ac:dyDescent="0.35">
      <c r="F1493" s="38"/>
      <c r="G1493" s="39"/>
      <c r="H1493" s="40"/>
    </row>
    <row r="1494" spans="6:8" x14ac:dyDescent="0.35">
      <c r="F1494" s="38"/>
      <c r="G1494" s="39"/>
      <c r="H1494" s="40"/>
    </row>
    <row r="1495" spans="6:8" x14ac:dyDescent="0.35">
      <c r="F1495" s="38"/>
      <c r="G1495" s="39"/>
      <c r="H1495" s="40"/>
    </row>
    <row r="1496" spans="6:8" x14ac:dyDescent="0.35">
      <c r="F1496" s="38"/>
      <c r="G1496" s="39"/>
      <c r="H1496" s="40"/>
    </row>
    <row r="1497" spans="6:8" x14ac:dyDescent="0.35">
      <c r="F1497" s="38"/>
      <c r="G1497" s="39"/>
      <c r="H1497" s="40"/>
    </row>
    <row r="1498" spans="6:8" x14ac:dyDescent="0.35">
      <c r="F1498" s="38"/>
      <c r="G1498" s="39"/>
      <c r="H1498" s="40"/>
    </row>
    <row r="1499" spans="6:8" x14ac:dyDescent="0.35">
      <c r="F1499" s="38"/>
      <c r="G1499" s="39"/>
      <c r="H1499" s="40"/>
    </row>
    <row r="1500" spans="6:8" x14ac:dyDescent="0.35">
      <c r="F1500" s="38"/>
      <c r="G1500" s="39"/>
      <c r="H1500" s="40"/>
    </row>
    <row r="1501" spans="6:8" x14ac:dyDescent="0.35">
      <c r="F1501" s="38"/>
      <c r="G1501" s="39"/>
      <c r="H1501" s="40"/>
    </row>
    <row r="1502" spans="6:8" x14ac:dyDescent="0.35">
      <c r="F1502" s="38"/>
      <c r="G1502" s="39"/>
      <c r="H1502" s="40"/>
    </row>
    <row r="1503" spans="6:8" x14ac:dyDescent="0.35">
      <c r="F1503" s="38"/>
      <c r="G1503" s="39"/>
      <c r="H1503" s="40"/>
    </row>
    <row r="1504" spans="6:8" x14ac:dyDescent="0.35">
      <c r="F1504" s="38"/>
      <c r="G1504" s="39"/>
      <c r="H1504" s="40"/>
    </row>
    <row r="1505" spans="6:8" x14ac:dyDescent="0.35">
      <c r="F1505" s="38"/>
      <c r="G1505" s="39"/>
      <c r="H1505" s="40"/>
    </row>
    <row r="1506" spans="6:8" x14ac:dyDescent="0.35">
      <c r="F1506" s="38"/>
      <c r="G1506" s="39"/>
      <c r="H1506" s="40"/>
    </row>
    <row r="1507" spans="6:8" x14ac:dyDescent="0.35">
      <c r="F1507" s="38"/>
      <c r="G1507" s="39"/>
      <c r="H1507" s="40"/>
    </row>
    <row r="1508" spans="6:8" x14ac:dyDescent="0.35">
      <c r="F1508" s="38"/>
      <c r="G1508" s="39"/>
      <c r="H1508" s="40"/>
    </row>
    <row r="1509" spans="6:8" x14ac:dyDescent="0.35">
      <c r="F1509" s="38"/>
      <c r="G1509" s="39"/>
      <c r="H1509" s="40"/>
    </row>
    <row r="1510" spans="6:8" x14ac:dyDescent="0.35">
      <c r="F1510" s="38"/>
      <c r="G1510" s="39"/>
      <c r="H1510" s="40"/>
    </row>
    <row r="1511" spans="6:8" x14ac:dyDescent="0.35">
      <c r="F1511" s="38"/>
      <c r="G1511" s="39"/>
      <c r="H1511" s="40"/>
    </row>
    <row r="1512" spans="6:8" x14ac:dyDescent="0.35">
      <c r="F1512" s="38"/>
      <c r="G1512" s="39"/>
      <c r="H1512" s="40"/>
    </row>
    <row r="1513" spans="6:8" x14ac:dyDescent="0.35">
      <c r="F1513" s="38"/>
      <c r="G1513" s="39"/>
      <c r="H1513" s="40"/>
    </row>
    <row r="1514" spans="6:8" x14ac:dyDescent="0.35">
      <c r="F1514" s="38"/>
      <c r="G1514" s="39"/>
      <c r="H1514" s="40"/>
    </row>
    <row r="1515" spans="6:8" x14ac:dyDescent="0.35">
      <c r="F1515" s="38"/>
      <c r="G1515" s="39"/>
      <c r="H1515" s="40"/>
    </row>
    <row r="1516" spans="6:8" x14ac:dyDescent="0.35">
      <c r="F1516" s="38"/>
      <c r="G1516" s="39"/>
      <c r="H1516" s="40"/>
    </row>
    <row r="1517" spans="6:8" x14ac:dyDescent="0.35">
      <c r="F1517" s="38"/>
      <c r="G1517" s="39"/>
      <c r="H1517" s="40"/>
    </row>
    <row r="1518" spans="6:8" x14ac:dyDescent="0.35">
      <c r="F1518" s="38"/>
      <c r="G1518" s="39"/>
      <c r="H1518" s="40"/>
    </row>
    <row r="1519" spans="6:8" x14ac:dyDescent="0.35">
      <c r="F1519" s="38"/>
      <c r="G1519" s="39"/>
      <c r="H1519" s="40"/>
    </row>
    <row r="1520" spans="6:8" x14ac:dyDescent="0.35">
      <c r="F1520" s="38"/>
      <c r="G1520" s="39"/>
      <c r="H1520" s="40"/>
    </row>
    <row r="1521" spans="6:8" x14ac:dyDescent="0.35">
      <c r="F1521" s="38"/>
      <c r="G1521" s="39"/>
      <c r="H1521" s="40"/>
    </row>
    <row r="1522" spans="6:8" x14ac:dyDescent="0.35">
      <c r="F1522" s="38"/>
      <c r="G1522" s="39"/>
      <c r="H1522" s="40"/>
    </row>
    <row r="1523" spans="6:8" x14ac:dyDescent="0.35">
      <c r="F1523" s="38"/>
      <c r="G1523" s="39"/>
      <c r="H1523" s="40"/>
    </row>
    <row r="1524" spans="6:8" x14ac:dyDescent="0.35">
      <c r="F1524" s="38"/>
      <c r="G1524" s="39"/>
      <c r="H1524" s="40"/>
    </row>
    <row r="1525" spans="6:8" x14ac:dyDescent="0.35">
      <c r="F1525" s="38"/>
      <c r="G1525" s="39"/>
      <c r="H1525" s="40"/>
    </row>
    <row r="1526" spans="6:8" x14ac:dyDescent="0.35">
      <c r="F1526" s="38"/>
      <c r="G1526" s="39"/>
      <c r="H1526" s="40"/>
    </row>
    <row r="1527" spans="6:8" x14ac:dyDescent="0.35">
      <c r="F1527" s="38"/>
      <c r="G1527" s="39"/>
      <c r="H1527" s="40"/>
    </row>
    <row r="1528" spans="6:8" x14ac:dyDescent="0.35">
      <c r="F1528" s="38"/>
      <c r="G1528" s="39"/>
      <c r="H1528" s="40"/>
    </row>
    <row r="1529" spans="6:8" x14ac:dyDescent="0.35">
      <c r="F1529" s="38"/>
      <c r="G1529" s="39"/>
      <c r="H1529" s="40"/>
    </row>
    <row r="1530" spans="6:8" x14ac:dyDescent="0.35">
      <c r="F1530" s="38"/>
      <c r="G1530" s="39"/>
      <c r="H1530" s="40"/>
    </row>
    <row r="1531" spans="6:8" x14ac:dyDescent="0.35">
      <c r="F1531" s="38"/>
      <c r="G1531" s="39"/>
      <c r="H1531" s="40"/>
    </row>
    <row r="1532" spans="6:8" x14ac:dyDescent="0.35">
      <c r="F1532" s="38"/>
      <c r="G1532" s="39"/>
      <c r="H1532" s="40"/>
    </row>
    <row r="1533" spans="6:8" x14ac:dyDescent="0.35">
      <c r="F1533" s="38"/>
      <c r="G1533" s="39"/>
      <c r="H1533" s="40"/>
    </row>
    <row r="1534" spans="6:8" x14ac:dyDescent="0.35">
      <c r="F1534" s="38"/>
      <c r="G1534" s="39"/>
      <c r="H1534" s="40"/>
    </row>
    <row r="1535" spans="6:8" x14ac:dyDescent="0.35">
      <c r="F1535" s="38"/>
      <c r="G1535" s="39"/>
      <c r="H1535" s="40"/>
    </row>
    <row r="1536" spans="6:8" x14ac:dyDescent="0.35">
      <c r="F1536" s="38"/>
      <c r="G1536" s="39"/>
      <c r="H1536" s="40"/>
    </row>
    <row r="1537" spans="6:8" x14ac:dyDescent="0.35">
      <c r="F1537" s="38"/>
      <c r="G1537" s="39"/>
      <c r="H1537" s="40"/>
    </row>
    <row r="1538" spans="6:8" x14ac:dyDescent="0.35">
      <c r="F1538" s="38"/>
      <c r="G1538" s="39"/>
      <c r="H1538" s="40"/>
    </row>
    <row r="1539" spans="6:8" x14ac:dyDescent="0.35">
      <c r="F1539" s="38"/>
      <c r="G1539" s="39"/>
      <c r="H1539" s="40"/>
    </row>
    <row r="1540" spans="6:8" x14ac:dyDescent="0.35">
      <c r="F1540" s="38"/>
      <c r="G1540" s="39"/>
      <c r="H1540" s="40"/>
    </row>
    <row r="1541" spans="6:8" x14ac:dyDescent="0.35">
      <c r="F1541" s="38"/>
      <c r="G1541" s="39"/>
      <c r="H1541" s="40"/>
    </row>
    <row r="1542" spans="6:8" x14ac:dyDescent="0.35">
      <c r="F1542" s="38"/>
      <c r="G1542" s="39"/>
      <c r="H1542" s="40"/>
    </row>
    <row r="1543" spans="6:8" x14ac:dyDescent="0.35">
      <c r="F1543" s="38"/>
      <c r="G1543" s="39"/>
      <c r="H1543" s="40"/>
    </row>
    <row r="1544" spans="6:8" x14ac:dyDescent="0.35">
      <c r="F1544" s="38"/>
      <c r="G1544" s="39"/>
      <c r="H1544" s="40"/>
    </row>
    <row r="1545" spans="6:8" x14ac:dyDescent="0.35">
      <c r="F1545" s="38"/>
      <c r="G1545" s="39"/>
      <c r="H1545" s="40"/>
    </row>
    <row r="1546" spans="6:8" x14ac:dyDescent="0.35">
      <c r="F1546" s="38"/>
      <c r="G1546" s="39"/>
      <c r="H1546" s="40"/>
    </row>
    <row r="1547" spans="6:8" x14ac:dyDescent="0.35">
      <c r="F1547" s="38"/>
      <c r="G1547" s="39"/>
      <c r="H1547" s="40"/>
    </row>
    <row r="1548" spans="6:8" x14ac:dyDescent="0.35">
      <c r="F1548" s="38"/>
      <c r="G1548" s="39"/>
      <c r="H1548" s="40"/>
    </row>
    <row r="1549" spans="6:8" x14ac:dyDescent="0.35">
      <c r="F1549" s="38"/>
      <c r="G1549" s="39"/>
      <c r="H1549" s="40"/>
    </row>
    <row r="1550" spans="6:8" x14ac:dyDescent="0.35">
      <c r="F1550" s="38"/>
      <c r="G1550" s="39"/>
      <c r="H1550" s="40"/>
    </row>
    <row r="1551" spans="6:8" x14ac:dyDescent="0.35">
      <c r="F1551" s="38"/>
      <c r="G1551" s="39"/>
      <c r="H1551" s="40"/>
    </row>
    <row r="1552" spans="6:8" x14ac:dyDescent="0.35">
      <c r="F1552" s="38"/>
      <c r="G1552" s="39"/>
      <c r="H1552" s="40"/>
    </row>
    <row r="1553" spans="6:8" x14ac:dyDescent="0.35">
      <c r="F1553" s="38"/>
      <c r="G1553" s="39"/>
      <c r="H1553" s="40"/>
    </row>
    <row r="1554" spans="6:8" x14ac:dyDescent="0.35">
      <c r="F1554" s="38"/>
      <c r="G1554" s="39"/>
      <c r="H1554" s="40"/>
    </row>
    <row r="1555" spans="6:8" x14ac:dyDescent="0.35">
      <c r="F1555" s="38"/>
      <c r="G1555" s="39"/>
      <c r="H1555" s="40"/>
    </row>
    <row r="1556" spans="6:8" x14ac:dyDescent="0.35">
      <c r="F1556" s="38"/>
      <c r="G1556" s="39"/>
      <c r="H1556" s="40"/>
    </row>
    <row r="1557" spans="6:8" x14ac:dyDescent="0.35">
      <c r="F1557" s="38"/>
      <c r="G1557" s="39"/>
      <c r="H1557" s="40"/>
    </row>
    <row r="1558" spans="6:8" x14ac:dyDescent="0.35">
      <c r="F1558" s="38"/>
      <c r="G1558" s="39"/>
      <c r="H1558" s="40"/>
    </row>
    <row r="1559" spans="6:8" x14ac:dyDescent="0.35">
      <c r="F1559" s="38"/>
      <c r="G1559" s="39"/>
      <c r="H1559" s="40"/>
    </row>
    <row r="1560" spans="6:8" x14ac:dyDescent="0.35">
      <c r="F1560" s="38"/>
      <c r="G1560" s="39"/>
      <c r="H1560" s="40"/>
    </row>
    <row r="1561" spans="6:8" x14ac:dyDescent="0.35">
      <c r="F1561" s="38"/>
      <c r="G1561" s="39"/>
      <c r="H1561" s="40"/>
    </row>
    <row r="1562" spans="6:8" x14ac:dyDescent="0.35">
      <c r="F1562" s="38"/>
      <c r="G1562" s="39"/>
      <c r="H1562" s="40"/>
    </row>
    <row r="1563" spans="6:8" x14ac:dyDescent="0.35">
      <c r="F1563" s="38"/>
      <c r="G1563" s="39"/>
      <c r="H1563" s="40"/>
    </row>
    <row r="1564" spans="6:8" x14ac:dyDescent="0.35">
      <c r="F1564" s="38"/>
      <c r="G1564" s="39"/>
      <c r="H1564" s="40"/>
    </row>
    <row r="1565" spans="6:8" x14ac:dyDescent="0.35">
      <c r="F1565" s="38"/>
      <c r="G1565" s="39"/>
      <c r="H1565" s="40"/>
    </row>
    <row r="1566" spans="6:8" x14ac:dyDescent="0.35">
      <c r="F1566" s="38"/>
      <c r="G1566" s="39"/>
      <c r="H1566" s="40"/>
    </row>
    <row r="1567" spans="6:8" x14ac:dyDescent="0.35">
      <c r="F1567" s="38"/>
      <c r="G1567" s="39"/>
      <c r="H1567" s="40"/>
    </row>
    <row r="1568" spans="6:8" x14ac:dyDescent="0.35">
      <c r="F1568" s="38"/>
      <c r="G1568" s="39"/>
      <c r="H1568" s="40"/>
    </row>
    <row r="1569" spans="6:8" x14ac:dyDescent="0.35">
      <c r="F1569" s="38"/>
      <c r="G1569" s="39"/>
      <c r="H1569" s="40"/>
    </row>
    <row r="1570" spans="6:8" x14ac:dyDescent="0.35">
      <c r="F1570" s="38"/>
      <c r="G1570" s="39"/>
      <c r="H1570" s="40"/>
    </row>
    <row r="1571" spans="6:8" x14ac:dyDescent="0.35">
      <c r="F1571" s="38"/>
      <c r="G1571" s="39"/>
      <c r="H1571" s="40"/>
    </row>
    <row r="1572" spans="6:8" x14ac:dyDescent="0.35">
      <c r="F1572" s="38"/>
      <c r="G1572" s="39"/>
      <c r="H1572" s="40"/>
    </row>
    <row r="1573" spans="6:8" x14ac:dyDescent="0.35">
      <c r="F1573" s="38"/>
      <c r="G1573" s="39"/>
      <c r="H1573" s="40"/>
    </row>
    <row r="1574" spans="6:8" x14ac:dyDescent="0.35">
      <c r="F1574" s="38"/>
      <c r="G1574" s="39"/>
      <c r="H1574" s="40"/>
    </row>
    <row r="1575" spans="6:8" x14ac:dyDescent="0.35">
      <c r="F1575" s="38"/>
      <c r="G1575" s="39"/>
      <c r="H1575" s="40"/>
    </row>
    <row r="1576" spans="6:8" x14ac:dyDescent="0.35">
      <c r="F1576" s="38"/>
      <c r="G1576" s="39"/>
      <c r="H1576" s="40"/>
    </row>
    <row r="1577" spans="6:8" x14ac:dyDescent="0.35">
      <c r="F1577" s="38"/>
      <c r="G1577" s="39"/>
      <c r="H1577" s="40"/>
    </row>
    <row r="1578" spans="6:8" x14ac:dyDescent="0.35">
      <c r="F1578" s="38"/>
      <c r="G1578" s="39"/>
      <c r="H1578" s="40"/>
    </row>
    <row r="1579" spans="6:8" x14ac:dyDescent="0.35">
      <c r="F1579" s="38"/>
      <c r="G1579" s="39"/>
      <c r="H1579" s="40"/>
    </row>
    <row r="1580" spans="6:8" x14ac:dyDescent="0.35">
      <c r="F1580" s="38"/>
      <c r="G1580" s="39"/>
      <c r="H1580" s="40"/>
    </row>
    <row r="1581" spans="6:8" x14ac:dyDescent="0.35">
      <c r="F1581" s="38"/>
      <c r="G1581" s="39"/>
      <c r="H1581" s="40"/>
    </row>
    <row r="1582" spans="6:8" x14ac:dyDescent="0.35">
      <c r="F1582" s="38"/>
      <c r="G1582" s="39"/>
      <c r="H1582" s="40"/>
    </row>
    <row r="1583" spans="6:8" x14ac:dyDescent="0.35">
      <c r="F1583" s="38"/>
      <c r="G1583" s="39"/>
      <c r="H1583" s="40"/>
    </row>
    <row r="1584" spans="6:8" x14ac:dyDescent="0.35">
      <c r="F1584" s="38"/>
      <c r="G1584" s="39"/>
      <c r="H1584" s="40"/>
    </row>
    <row r="1585" spans="6:8" x14ac:dyDescent="0.35">
      <c r="F1585" s="38"/>
      <c r="G1585" s="39"/>
      <c r="H1585" s="40"/>
    </row>
    <row r="1586" spans="6:8" x14ac:dyDescent="0.35">
      <c r="F1586" s="38"/>
      <c r="G1586" s="39"/>
      <c r="H1586" s="40"/>
    </row>
    <row r="1587" spans="6:8" x14ac:dyDescent="0.35">
      <c r="F1587" s="38"/>
      <c r="G1587" s="39"/>
      <c r="H1587" s="40"/>
    </row>
    <row r="1588" spans="6:8" x14ac:dyDescent="0.35">
      <c r="F1588" s="38"/>
      <c r="G1588" s="39"/>
      <c r="H1588" s="40"/>
    </row>
    <row r="1589" spans="6:8" x14ac:dyDescent="0.35">
      <c r="F1589" s="38"/>
      <c r="G1589" s="39"/>
      <c r="H1589" s="40"/>
    </row>
    <row r="1590" spans="6:8" x14ac:dyDescent="0.35">
      <c r="F1590" s="38"/>
      <c r="G1590" s="39"/>
      <c r="H1590" s="40"/>
    </row>
    <row r="1591" spans="6:8" x14ac:dyDescent="0.35">
      <c r="F1591" s="38"/>
      <c r="G1591" s="39"/>
      <c r="H1591" s="40"/>
    </row>
    <row r="1592" spans="6:8" x14ac:dyDescent="0.35">
      <c r="F1592" s="38"/>
      <c r="G1592" s="39"/>
      <c r="H1592" s="40"/>
    </row>
    <row r="1593" spans="6:8" x14ac:dyDescent="0.35">
      <c r="F1593" s="38"/>
      <c r="G1593" s="39"/>
      <c r="H1593" s="40"/>
    </row>
    <row r="1594" spans="6:8" x14ac:dyDescent="0.35">
      <c r="F1594" s="38"/>
      <c r="G1594" s="39"/>
      <c r="H1594" s="40"/>
    </row>
    <row r="1595" spans="6:8" x14ac:dyDescent="0.35">
      <c r="F1595" s="38"/>
      <c r="G1595" s="39"/>
      <c r="H1595" s="40"/>
    </row>
    <row r="1596" spans="6:8" x14ac:dyDescent="0.35">
      <c r="F1596" s="38"/>
      <c r="G1596" s="39"/>
      <c r="H1596" s="40"/>
    </row>
    <row r="1597" spans="6:8" x14ac:dyDescent="0.35">
      <c r="F1597" s="38"/>
      <c r="G1597" s="39"/>
      <c r="H1597" s="40"/>
    </row>
    <row r="1598" spans="6:8" x14ac:dyDescent="0.35">
      <c r="F1598" s="38"/>
      <c r="G1598" s="39"/>
      <c r="H1598" s="40"/>
    </row>
    <row r="1599" spans="6:8" x14ac:dyDescent="0.35">
      <c r="F1599" s="38"/>
      <c r="G1599" s="39"/>
      <c r="H1599" s="40"/>
    </row>
    <row r="1600" spans="6:8" x14ac:dyDescent="0.35">
      <c r="F1600" s="38"/>
      <c r="G1600" s="39"/>
      <c r="H1600" s="40"/>
    </row>
    <row r="1601" spans="6:8" x14ac:dyDescent="0.35">
      <c r="F1601" s="38"/>
      <c r="G1601" s="39"/>
      <c r="H1601" s="40"/>
    </row>
    <row r="1602" spans="6:8" x14ac:dyDescent="0.35">
      <c r="F1602" s="38"/>
      <c r="G1602" s="39"/>
      <c r="H1602" s="40"/>
    </row>
    <row r="1603" spans="6:8" x14ac:dyDescent="0.35">
      <c r="F1603" s="38"/>
      <c r="G1603" s="39"/>
      <c r="H1603" s="40"/>
    </row>
    <row r="1604" spans="6:8" x14ac:dyDescent="0.35">
      <c r="F1604" s="38"/>
      <c r="G1604" s="39"/>
      <c r="H1604" s="40"/>
    </row>
    <row r="1605" spans="6:8" x14ac:dyDescent="0.35">
      <c r="F1605" s="38"/>
      <c r="G1605" s="39"/>
      <c r="H1605" s="40"/>
    </row>
    <row r="1606" spans="6:8" x14ac:dyDescent="0.35">
      <c r="F1606" s="38"/>
      <c r="G1606" s="39"/>
      <c r="H1606" s="40"/>
    </row>
    <row r="1607" spans="6:8" x14ac:dyDescent="0.35">
      <c r="F1607" s="38"/>
      <c r="G1607" s="39"/>
      <c r="H1607" s="40"/>
    </row>
    <row r="1608" spans="6:8" x14ac:dyDescent="0.35">
      <c r="F1608" s="38"/>
      <c r="G1608" s="39"/>
      <c r="H1608" s="40"/>
    </row>
    <row r="1609" spans="6:8" x14ac:dyDescent="0.35">
      <c r="F1609" s="38"/>
      <c r="G1609" s="39"/>
      <c r="H1609" s="40"/>
    </row>
    <row r="1610" spans="6:8" x14ac:dyDescent="0.35">
      <c r="F1610" s="38"/>
      <c r="G1610" s="39"/>
      <c r="H1610" s="40"/>
    </row>
    <row r="1611" spans="6:8" x14ac:dyDescent="0.35">
      <c r="F1611" s="38"/>
      <c r="G1611" s="39"/>
      <c r="H1611" s="40"/>
    </row>
    <row r="1612" spans="6:8" x14ac:dyDescent="0.35">
      <c r="F1612" s="38"/>
      <c r="G1612" s="39"/>
      <c r="H1612" s="40"/>
    </row>
    <row r="1613" spans="6:8" x14ac:dyDescent="0.35">
      <c r="F1613" s="38"/>
      <c r="G1613" s="39"/>
      <c r="H1613" s="40"/>
    </row>
    <row r="1614" spans="6:8" x14ac:dyDescent="0.35">
      <c r="F1614" s="38"/>
      <c r="G1614" s="39"/>
      <c r="H1614" s="40"/>
    </row>
    <row r="1615" spans="6:8" x14ac:dyDescent="0.35">
      <c r="F1615" s="38"/>
      <c r="G1615" s="39"/>
      <c r="H1615" s="40"/>
    </row>
    <row r="1616" spans="6:8" x14ac:dyDescent="0.35">
      <c r="F1616" s="38"/>
      <c r="G1616" s="39"/>
      <c r="H1616" s="40"/>
    </row>
    <row r="1617" spans="6:8" x14ac:dyDescent="0.35">
      <c r="F1617" s="38"/>
      <c r="G1617" s="39"/>
      <c r="H1617" s="40"/>
    </row>
    <row r="1618" spans="6:8" x14ac:dyDescent="0.35">
      <c r="F1618" s="38"/>
      <c r="G1618" s="39"/>
      <c r="H1618" s="40"/>
    </row>
    <row r="1619" spans="6:8" x14ac:dyDescent="0.35">
      <c r="F1619" s="38"/>
      <c r="G1619" s="39"/>
      <c r="H1619" s="40"/>
    </row>
    <row r="1620" spans="6:8" x14ac:dyDescent="0.35">
      <c r="F1620" s="38"/>
      <c r="G1620" s="39"/>
      <c r="H1620" s="40"/>
    </row>
    <row r="1621" spans="6:8" x14ac:dyDescent="0.35">
      <c r="F1621" s="38"/>
      <c r="G1621" s="39"/>
      <c r="H1621" s="40"/>
    </row>
    <row r="1622" spans="6:8" x14ac:dyDescent="0.35">
      <c r="F1622" s="38"/>
      <c r="G1622" s="39"/>
      <c r="H1622" s="40"/>
    </row>
    <row r="1623" spans="6:8" x14ac:dyDescent="0.35">
      <c r="F1623" s="38"/>
      <c r="G1623" s="39"/>
      <c r="H1623" s="40"/>
    </row>
    <row r="1624" spans="6:8" x14ac:dyDescent="0.35">
      <c r="F1624" s="38"/>
      <c r="G1624" s="39"/>
      <c r="H1624" s="40"/>
    </row>
    <row r="1625" spans="6:8" x14ac:dyDescent="0.35">
      <c r="F1625" s="38"/>
      <c r="G1625" s="39"/>
      <c r="H1625" s="40"/>
    </row>
    <row r="1626" spans="6:8" x14ac:dyDescent="0.35">
      <c r="F1626" s="38"/>
      <c r="G1626" s="39"/>
      <c r="H1626" s="40"/>
    </row>
    <row r="1627" spans="6:8" x14ac:dyDescent="0.35">
      <c r="F1627" s="38"/>
      <c r="G1627" s="39"/>
      <c r="H1627" s="40"/>
    </row>
    <row r="1628" spans="6:8" x14ac:dyDescent="0.35">
      <c r="F1628" s="38"/>
      <c r="G1628" s="39"/>
      <c r="H1628" s="40"/>
    </row>
    <row r="1629" spans="6:8" x14ac:dyDescent="0.35">
      <c r="F1629" s="38"/>
      <c r="G1629" s="39"/>
      <c r="H1629" s="40"/>
    </row>
    <row r="1630" spans="6:8" x14ac:dyDescent="0.35">
      <c r="F1630" s="38"/>
      <c r="G1630" s="39"/>
      <c r="H1630" s="40"/>
    </row>
    <row r="1631" spans="6:8" x14ac:dyDescent="0.35">
      <c r="F1631" s="38"/>
      <c r="G1631" s="39"/>
      <c r="H1631" s="40"/>
    </row>
    <row r="1632" spans="6:8" x14ac:dyDescent="0.35">
      <c r="F1632" s="38"/>
      <c r="G1632" s="39"/>
      <c r="H1632" s="40"/>
    </row>
    <row r="1633" spans="6:8" x14ac:dyDescent="0.35">
      <c r="F1633" s="38"/>
      <c r="G1633" s="39"/>
      <c r="H1633" s="40"/>
    </row>
    <row r="1634" spans="6:8" x14ac:dyDescent="0.35">
      <c r="F1634" s="38"/>
      <c r="G1634" s="39"/>
      <c r="H1634" s="40"/>
    </row>
    <row r="1635" spans="6:8" x14ac:dyDescent="0.35">
      <c r="F1635" s="38"/>
      <c r="G1635" s="39"/>
      <c r="H1635" s="40"/>
    </row>
    <row r="1636" spans="6:8" x14ac:dyDescent="0.35">
      <c r="F1636" s="38"/>
      <c r="G1636" s="39"/>
      <c r="H1636" s="40"/>
    </row>
    <row r="1637" spans="6:8" x14ac:dyDescent="0.35">
      <c r="F1637" s="38"/>
      <c r="G1637" s="39"/>
      <c r="H1637" s="40"/>
    </row>
    <row r="1638" spans="6:8" x14ac:dyDescent="0.35">
      <c r="F1638" s="38"/>
      <c r="G1638" s="39"/>
      <c r="H1638" s="40"/>
    </row>
    <row r="1639" spans="6:8" x14ac:dyDescent="0.35">
      <c r="F1639" s="38"/>
      <c r="G1639" s="39"/>
      <c r="H1639" s="40"/>
    </row>
    <row r="1640" spans="6:8" x14ac:dyDescent="0.35">
      <c r="F1640" s="38"/>
      <c r="G1640" s="39"/>
      <c r="H1640" s="40"/>
    </row>
    <row r="1641" spans="6:8" x14ac:dyDescent="0.35">
      <c r="F1641" s="38"/>
      <c r="G1641" s="39"/>
      <c r="H1641" s="40"/>
    </row>
    <row r="1642" spans="6:8" x14ac:dyDescent="0.35">
      <c r="F1642" s="38"/>
      <c r="G1642" s="39"/>
      <c r="H1642" s="40"/>
    </row>
    <row r="1643" spans="6:8" x14ac:dyDescent="0.35">
      <c r="F1643" s="38"/>
      <c r="G1643" s="39"/>
      <c r="H1643" s="40"/>
    </row>
    <row r="1644" spans="6:8" x14ac:dyDescent="0.35">
      <c r="F1644" s="38"/>
      <c r="G1644" s="39"/>
      <c r="H1644" s="40"/>
    </row>
    <row r="1645" spans="6:8" x14ac:dyDescent="0.35">
      <c r="F1645" s="38"/>
      <c r="G1645" s="39"/>
      <c r="H1645" s="40"/>
    </row>
    <row r="1646" spans="6:8" x14ac:dyDescent="0.35">
      <c r="F1646" s="38"/>
      <c r="G1646" s="39"/>
      <c r="H1646" s="40"/>
    </row>
    <row r="1647" spans="6:8" x14ac:dyDescent="0.35">
      <c r="F1647" s="38"/>
      <c r="G1647" s="39"/>
      <c r="H1647" s="40"/>
    </row>
    <row r="1648" spans="6:8" x14ac:dyDescent="0.35">
      <c r="F1648" s="38"/>
      <c r="G1648" s="39"/>
      <c r="H1648" s="40"/>
    </row>
    <row r="1649" spans="6:8" x14ac:dyDescent="0.35">
      <c r="F1649" s="38"/>
      <c r="G1649" s="39"/>
      <c r="H1649" s="40"/>
    </row>
    <row r="1650" spans="6:8" x14ac:dyDescent="0.35">
      <c r="F1650" s="38"/>
      <c r="G1650" s="39"/>
      <c r="H1650" s="40"/>
    </row>
    <row r="1651" spans="6:8" x14ac:dyDescent="0.35">
      <c r="F1651" s="38"/>
      <c r="G1651" s="39"/>
      <c r="H1651" s="40"/>
    </row>
    <row r="1652" spans="6:8" x14ac:dyDescent="0.35">
      <c r="F1652" s="38"/>
      <c r="G1652" s="39"/>
      <c r="H1652" s="40"/>
    </row>
    <row r="1653" spans="6:8" x14ac:dyDescent="0.35">
      <c r="F1653" s="38"/>
      <c r="G1653" s="39"/>
      <c r="H1653" s="40"/>
    </row>
    <row r="1654" spans="6:8" x14ac:dyDescent="0.35">
      <c r="F1654" s="38"/>
      <c r="G1654" s="39"/>
      <c r="H1654" s="40"/>
    </row>
    <row r="1655" spans="6:8" x14ac:dyDescent="0.35">
      <c r="F1655" s="38"/>
      <c r="G1655" s="39"/>
      <c r="H1655" s="40"/>
    </row>
    <row r="1656" spans="6:8" x14ac:dyDescent="0.35">
      <c r="F1656" s="38"/>
      <c r="G1656" s="39"/>
      <c r="H1656" s="40"/>
    </row>
    <row r="1657" spans="6:8" x14ac:dyDescent="0.35">
      <c r="F1657" s="38"/>
      <c r="G1657" s="39"/>
      <c r="H1657" s="40"/>
    </row>
    <row r="1658" spans="6:8" x14ac:dyDescent="0.35">
      <c r="F1658" s="38"/>
      <c r="G1658" s="39"/>
      <c r="H1658" s="40"/>
    </row>
    <row r="1659" spans="6:8" x14ac:dyDescent="0.35">
      <c r="F1659" s="38"/>
      <c r="G1659" s="39"/>
      <c r="H1659" s="40"/>
    </row>
    <row r="1660" spans="6:8" x14ac:dyDescent="0.35">
      <c r="F1660" s="38"/>
      <c r="G1660" s="39"/>
      <c r="H1660" s="40"/>
    </row>
    <row r="1661" spans="6:8" x14ac:dyDescent="0.35">
      <c r="F1661" s="38"/>
      <c r="G1661" s="39"/>
      <c r="H1661" s="40"/>
    </row>
    <row r="1662" spans="6:8" x14ac:dyDescent="0.35">
      <c r="F1662" s="38"/>
      <c r="G1662" s="39"/>
      <c r="H1662" s="40"/>
    </row>
    <row r="1663" spans="6:8" x14ac:dyDescent="0.35">
      <c r="F1663" s="38"/>
      <c r="G1663" s="39"/>
      <c r="H1663" s="40"/>
    </row>
    <row r="1664" spans="6:8" x14ac:dyDescent="0.35">
      <c r="F1664" s="38"/>
      <c r="G1664" s="39"/>
      <c r="H1664" s="40"/>
    </row>
    <row r="1665" spans="6:8" x14ac:dyDescent="0.35">
      <c r="F1665" s="38"/>
      <c r="G1665" s="39"/>
      <c r="H1665" s="40"/>
    </row>
    <row r="1666" spans="6:8" x14ac:dyDescent="0.35">
      <c r="F1666" s="38"/>
      <c r="G1666" s="39"/>
      <c r="H1666" s="40"/>
    </row>
    <row r="1667" spans="6:8" x14ac:dyDescent="0.35">
      <c r="F1667" s="38"/>
      <c r="G1667" s="39"/>
      <c r="H1667" s="40"/>
    </row>
    <row r="1668" spans="6:8" x14ac:dyDescent="0.35">
      <c r="F1668" s="38"/>
      <c r="G1668" s="39"/>
      <c r="H1668" s="40"/>
    </row>
    <row r="1669" spans="6:8" x14ac:dyDescent="0.35">
      <c r="F1669" s="38"/>
      <c r="G1669" s="39"/>
      <c r="H1669" s="40"/>
    </row>
    <row r="1670" spans="6:8" x14ac:dyDescent="0.35">
      <c r="F1670" s="38"/>
      <c r="G1670" s="39"/>
      <c r="H1670" s="40"/>
    </row>
    <row r="1671" spans="6:8" x14ac:dyDescent="0.35">
      <c r="F1671" s="38"/>
      <c r="G1671" s="39"/>
      <c r="H1671" s="40"/>
    </row>
    <row r="1672" spans="6:8" x14ac:dyDescent="0.35">
      <c r="F1672" s="38"/>
      <c r="G1672" s="39"/>
      <c r="H1672" s="40"/>
    </row>
    <row r="1673" spans="6:8" x14ac:dyDescent="0.35">
      <c r="F1673" s="38"/>
      <c r="G1673" s="39"/>
      <c r="H1673" s="40"/>
    </row>
    <row r="1674" spans="6:8" x14ac:dyDescent="0.35">
      <c r="F1674" s="38"/>
      <c r="G1674" s="39"/>
      <c r="H1674" s="40"/>
    </row>
    <row r="1675" spans="6:8" x14ac:dyDescent="0.35">
      <c r="F1675" s="38"/>
      <c r="G1675" s="39"/>
      <c r="H1675" s="40"/>
    </row>
    <row r="1676" spans="6:8" x14ac:dyDescent="0.35">
      <c r="F1676" s="38"/>
      <c r="G1676" s="39"/>
      <c r="H1676" s="40"/>
    </row>
    <row r="1677" spans="6:8" x14ac:dyDescent="0.35">
      <c r="F1677" s="38"/>
      <c r="G1677" s="39"/>
      <c r="H1677" s="40"/>
    </row>
    <row r="1678" spans="6:8" x14ac:dyDescent="0.35">
      <c r="F1678" s="38"/>
      <c r="G1678" s="39"/>
      <c r="H1678" s="40"/>
    </row>
    <row r="1679" spans="6:8" x14ac:dyDescent="0.35">
      <c r="F1679" s="38"/>
      <c r="G1679" s="39"/>
      <c r="H1679" s="40"/>
    </row>
    <row r="1680" spans="6:8" x14ac:dyDescent="0.35">
      <c r="F1680" s="38"/>
      <c r="G1680" s="39"/>
      <c r="H1680" s="40"/>
    </row>
    <row r="1681" spans="6:8" x14ac:dyDescent="0.35">
      <c r="F1681" s="38"/>
      <c r="G1681" s="39"/>
      <c r="H1681" s="40"/>
    </row>
    <row r="1682" spans="6:8" x14ac:dyDescent="0.35">
      <c r="F1682" s="38"/>
      <c r="G1682" s="39"/>
      <c r="H1682" s="40"/>
    </row>
    <row r="1683" spans="6:8" x14ac:dyDescent="0.35">
      <c r="F1683" s="38"/>
      <c r="G1683" s="39"/>
      <c r="H1683" s="40"/>
    </row>
    <row r="1684" spans="6:8" x14ac:dyDescent="0.35">
      <c r="F1684" s="38"/>
      <c r="G1684" s="39"/>
      <c r="H1684" s="40"/>
    </row>
    <row r="1685" spans="6:8" x14ac:dyDescent="0.35">
      <c r="F1685" s="38"/>
      <c r="G1685" s="39"/>
      <c r="H1685" s="40"/>
    </row>
    <row r="1686" spans="6:8" x14ac:dyDescent="0.35">
      <c r="F1686" s="38"/>
      <c r="G1686" s="39"/>
      <c r="H1686" s="40"/>
    </row>
    <row r="1687" spans="6:8" x14ac:dyDescent="0.35">
      <c r="F1687" s="38"/>
      <c r="G1687" s="39"/>
      <c r="H1687" s="40"/>
    </row>
    <row r="1688" spans="6:8" x14ac:dyDescent="0.35">
      <c r="F1688" s="38"/>
      <c r="G1688" s="39"/>
      <c r="H1688" s="40"/>
    </row>
    <row r="1689" spans="6:8" x14ac:dyDescent="0.35">
      <c r="F1689" s="38"/>
      <c r="G1689" s="39"/>
      <c r="H1689" s="40"/>
    </row>
    <row r="1690" spans="6:8" x14ac:dyDescent="0.35">
      <c r="F1690" s="38"/>
      <c r="G1690" s="39"/>
      <c r="H1690" s="40"/>
    </row>
    <row r="1691" spans="6:8" x14ac:dyDescent="0.35">
      <c r="F1691" s="38"/>
      <c r="G1691" s="39"/>
      <c r="H1691" s="40"/>
    </row>
    <row r="1692" spans="6:8" x14ac:dyDescent="0.35">
      <c r="F1692" s="38"/>
      <c r="G1692" s="39"/>
      <c r="H1692" s="40"/>
    </row>
    <row r="1693" spans="6:8" x14ac:dyDescent="0.35">
      <c r="F1693" s="38"/>
      <c r="G1693" s="39"/>
      <c r="H1693" s="40"/>
    </row>
    <row r="1694" spans="6:8" x14ac:dyDescent="0.35">
      <c r="F1694" s="38"/>
      <c r="G1694" s="39"/>
      <c r="H1694" s="40"/>
    </row>
    <row r="1695" spans="6:8" x14ac:dyDescent="0.35">
      <c r="F1695" s="38"/>
      <c r="G1695" s="39"/>
      <c r="H1695" s="40"/>
    </row>
    <row r="1696" spans="6:8" x14ac:dyDescent="0.35">
      <c r="F1696" s="38"/>
      <c r="G1696" s="39"/>
      <c r="H1696" s="40"/>
    </row>
    <row r="1697" spans="6:8" x14ac:dyDescent="0.35">
      <c r="F1697" s="38"/>
      <c r="G1697" s="39"/>
      <c r="H1697" s="40"/>
    </row>
    <row r="1698" spans="6:8" x14ac:dyDescent="0.35">
      <c r="F1698" s="38"/>
      <c r="G1698" s="39"/>
      <c r="H1698" s="40"/>
    </row>
    <row r="1699" spans="6:8" x14ac:dyDescent="0.35">
      <c r="F1699" s="38"/>
      <c r="G1699" s="39"/>
      <c r="H1699" s="40"/>
    </row>
    <row r="1700" spans="6:8" x14ac:dyDescent="0.35">
      <c r="F1700" s="38"/>
      <c r="G1700" s="39"/>
      <c r="H1700" s="40"/>
    </row>
    <row r="1701" spans="6:8" x14ac:dyDescent="0.35">
      <c r="F1701" s="38"/>
      <c r="G1701" s="39"/>
      <c r="H1701" s="40"/>
    </row>
    <row r="1702" spans="6:8" x14ac:dyDescent="0.35">
      <c r="F1702" s="38"/>
      <c r="G1702" s="39"/>
      <c r="H1702" s="40"/>
    </row>
    <row r="1703" spans="6:8" x14ac:dyDescent="0.35">
      <c r="F1703" s="38"/>
      <c r="G1703" s="39"/>
      <c r="H1703" s="40"/>
    </row>
    <row r="1704" spans="6:8" x14ac:dyDescent="0.35">
      <c r="F1704" s="38"/>
      <c r="G1704" s="39"/>
      <c r="H1704" s="40"/>
    </row>
    <row r="1705" spans="6:8" x14ac:dyDescent="0.35">
      <c r="F1705" s="38"/>
      <c r="G1705" s="39"/>
      <c r="H1705" s="40"/>
    </row>
    <row r="1706" spans="6:8" x14ac:dyDescent="0.35">
      <c r="F1706" s="38"/>
      <c r="G1706" s="39"/>
      <c r="H1706" s="40"/>
    </row>
    <row r="1707" spans="6:8" x14ac:dyDescent="0.35">
      <c r="F1707" s="38"/>
      <c r="G1707" s="39"/>
      <c r="H1707" s="40"/>
    </row>
    <row r="1708" spans="6:8" x14ac:dyDescent="0.35">
      <c r="F1708" s="38"/>
      <c r="G1708" s="39"/>
      <c r="H1708" s="40"/>
    </row>
    <row r="1709" spans="6:8" x14ac:dyDescent="0.35">
      <c r="F1709" s="38"/>
      <c r="G1709" s="39"/>
      <c r="H1709" s="40"/>
    </row>
    <row r="1710" spans="6:8" x14ac:dyDescent="0.35">
      <c r="F1710" s="38"/>
      <c r="G1710" s="39"/>
      <c r="H1710" s="40"/>
    </row>
    <row r="1711" spans="6:8" x14ac:dyDescent="0.35">
      <c r="F1711" s="38"/>
      <c r="G1711" s="39"/>
      <c r="H1711" s="40"/>
    </row>
    <row r="1712" spans="6:8" x14ac:dyDescent="0.35">
      <c r="F1712" s="38"/>
      <c r="G1712" s="39"/>
      <c r="H1712" s="40"/>
    </row>
    <row r="1713" spans="6:8" x14ac:dyDescent="0.35">
      <c r="F1713" s="38"/>
      <c r="G1713" s="39"/>
      <c r="H1713" s="40"/>
    </row>
    <row r="1714" spans="6:8" x14ac:dyDescent="0.35">
      <c r="F1714" s="38"/>
      <c r="G1714" s="39"/>
      <c r="H1714" s="40"/>
    </row>
    <row r="1715" spans="6:8" x14ac:dyDescent="0.35">
      <c r="F1715" s="38"/>
      <c r="G1715" s="39"/>
      <c r="H1715" s="40"/>
    </row>
    <row r="1716" spans="6:8" x14ac:dyDescent="0.35">
      <c r="F1716" s="38"/>
      <c r="G1716" s="39"/>
      <c r="H1716" s="40"/>
    </row>
    <row r="1717" spans="6:8" x14ac:dyDescent="0.35">
      <c r="F1717" s="38"/>
      <c r="G1717" s="39"/>
      <c r="H1717" s="40"/>
    </row>
    <row r="1718" spans="6:8" x14ac:dyDescent="0.35">
      <c r="F1718" s="38"/>
      <c r="G1718" s="39"/>
      <c r="H1718" s="40"/>
    </row>
    <row r="1719" spans="6:8" x14ac:dyDescent="0.35">
      <c r="F1719" s="38"/>
      <c r="G1719" s="39"/>
      <c r="H1719" s="40"/>
    </row>
    <row r="1720" spans="6:8" x14ac:dyDescent="0.35">
      <c r="F1720" s="38"/>
      <c r="G1720" s="39"/>
      <c r="H1720" s="40"/>
    </row>
    <row r="1721" spans="6:8" x14ac:dyDescent="0.35">
      <c r="F1721" s="38"/>
      <c r="G1721" s="39"/>
      <c r="H1721" s="40"/>
    </row>
    <row r="1722" spans="6:8" x14ac:dyDescent="0.35">
      <c r="F1722" s="38"/>
      <c r="G1722" s="39"/>
      <c r="H1722" s="40"/>
    </row>
    <row r="1723" spans="6:8" x14ac:dyDescent="0.35">
      <c r="F1723" s="38"/>
      <c r="G1723" s="39"/>
      <c r="H1723" s="40"/>
    </row>
    <row r="1724" spans="6:8" x14ac:dyDescent="0.35">
      <c r="F1724" s="38"/>
      <c r="G1724" s="39"/>
      <c r="H1724" s="40"/>
    </row>
    <row r="1725" spans="6:8" x14ac:dyDescent="0.35">
      <c r="F1725" s="38"/>
      <c r="G1725" s="39"/>
      <c r="H1725" s="40"/>
    </row>
    <row r="1726" spans="6:8" x14ac:dyDescent="0.35">
      <c r="F1726" s="38"/>
      <c r="G1726" s="39"/>
      <c r="H1726" s="40"/>
    </row>
    <row r="1727" spans="6:8" x14ac:dyDescent="0.35">
      <c r="F1727" s="38"/>
      <c r="G1727" s="39"/>
      <c r="H1727" s="40"/>
    </row>
    <row r="1728" spans="6:8" x14ac:dyDescent="0.35">
      <c r="F1728" s="38"/>
      <c r="G1728" s="39"/>
      <c r="H1728" s="40"/>
    </row>
    <row r="1729" spans="6:8" x14ac:dyDescent="0.35">
      <c r="F1729" s="38"/>
      <c r="G1729" s="39"/>
      <c r="H1729" s="40"/>
    </row>
    <row r="1730" spans="6:8" x14ac:dyDescent="0.35">
      <c r="F1730" s="38"/>
      <c r="G1730" s="39"/>
      <c r="H1730" s="40"/>
    </row>
    <row r="1731" spans="6:8" x14ac:dyDescent="0.35">
      <c r="F1731" s="38"/>
      <c r="G1731" s="39"/>
      <c r="H1731" s="40"/>
    </row>
    <row r="1732" spans="6:8" x14ac:dyDescent="0.35">
      <c r="F1732" s="38"/>
      <c r="G1732" s="39"/>
      <c r="H1732" s="40"/>
    </row>
    <row r="1733" spans="6:8" x14ac:dyDescent="0.35">
      <c r="F1733" s="38"/>
      <c r="G1733" s="39"/>
      <c r="H1733" s="40"/>
    </row>
    <row r="1734" spans="6:8" x14ac:dyDescent="0.35">
      <c r="F1734" s="38"/>
      <c r="G1734" s="39"/>
      <c r="H1734" s="40"/>
    </row>
    <row r="1735" spans="6:8" x14ac:dyDescent="0.35">
      <c r="F1735" s="38"/>
      <c r="G1735" s="39"/>
      <c r="H1735" s="40"/>
    </row>
    <row r="1736" spans="6:8" x14ac:dyDescent="0.35">
      <c r="F1736" s="38"/>
      <c r="G1736" s="39"/>
      <c r="H1736" s="40"/>
    </row>
    <row r="1737" spans="6:8" x14ac:dyDescent="0.35">
      <c r="F1737" s="38"/>
      <c r="G1737" s="39"/>
      <c r="H1737" s="40"/>
    </row>
    <row r="1738" spans="6:8" x14ac:dyDescent="0.35">
      <c r="F1738" s="38"/>
      <c r="G1738" s="39"/>
      <c r="H1738" s="40"/>
    </row>
    <row r="1739" spans="6:8" x14ac:dyDescent="0.35">
      <c r="F1739" s="38"/>
      <c r="G1739" s="39"/>
      <c r="H1739" s="40"/>
    </row>
    <row r="1740" spans="6:8" x14ac:dyDescent="0.35">
      <c r="F1740" s="38"/>
      <c r="G1740" s="39"/>
      <c r="H1740" s="40"/>
    </row>
    <row r="1741" spans="6:8" x14ac:dyDescent="0.35">
      <c r="F1741" s="38"/>
      <c r="G1741" s="39"/>
      <c r="H1741" s="40"/>
    </row>
    <row r="1742" spans="6:8" x14ac:dyDescent="0.35">
      <c r="F1742" s="38"/>
      <c r="G1742" s="39"/>
      <c r="H1742" s="40"/>
    </row>
    <row r="1743" spans="6:8" x14ac:dyDescent="0.35">
      <c r="F1743" s="38"/>
      <c r="G1743" s="39"/>
      <c r="H1743" s="40"/>
    </row>
    <row r="1744" spans="6:8" x14ac:dyDescent="0.35">
      <c r="F1744" s="38"/>
      <c r="G1744" s="39"/>
      <c r="H1744" s="40"/>
    </row>
    <row r="1745" spans="6:8" x14ac:dyDescent="0.35">
      <c r="F1745" s="38"/>
      <c r="G1745" s="39"/>
      <c r="H1745" s="40"/>
    </row>
    <row r="1746" spans="6:8" x14ac:dyDescent="0.35">
      <c r="F1746" s="38"/>
      <c r="G1746" s="39"/>
      <c r="H1746" s="40"/>
    </row>
    <row r="1747" spans="6:8" x14ac:dyDescent="0.35">
      <c r="F1747" s="38"/>
      <c r="G1747" s="39"/>
      <c r="H1747" s="40"/>
    </row>
    <row r="1748" spans="6:8" x14ac:dyDescent="0.35">
      <c r="F1748" s="38"/>
      <c r="G1748" s="39"/>
      <c r="H1748" s="40"/>
    </row>
    <row r="1749" spans="6:8" x14ac:dyDescent="0.35">
      <c r="F1749" s="38"/>
      <c r="G1749" s="39"/>
      <c r="H1749" s="40"/>
    </row>
    <row r="1750" spans="6:8" x14ac:dyDescent="0.35">
      <c r="F1750" s="38"/>
      <c r="G1750" s="39"/>
      <c r="H1750" s="40"/>
    </row>
    <row r="1751" spans="6:8" x14ac:dyDescent="0.35">
      <c r="F1751" s="38"/>
      <c r="G1751" s="39"/>
      <c r="H1751" s="40"/>
    </row>
    <row r="1752" spans="6:8" x14ac:dyDescent="0.35">
      <c r="F1752" s="38"/>
      <c r="G1752" s="39"/>
      <c r="H1752" s="40"/>
    </row>
    <row r="1753" spans="6:8" x14ac:dyDescent="0.35">
      <c r="F1753" s="38"/>
      <c r="G1753" s="39"/>
      <c r="H1753" s="40"/>
    </row>
    <row r="1754" spans="6:8" x14ac:dyDescent="0.35">
      <c r="F1754" s="38"/>
      <c r="G1754" s="39"/>
      <c r="H1754" s="40"/>
    </row>
    <row r="1755" spans="6:8" x14ac:dyDescent="0.35">
      <c r="F1755" s="38"/>
      <c r="G1755" s="39"/>
      <c r="H1755" s="40"/>
    </row>
    <row r="1756" spans="6:8" x14ac:dyDescent="0.35">
      <c r="F1756" s="38"/>
      <c r="G1756" s="39"/>
      <c r="H1756" s="40"/>
    </row>
    <row r="1757" spans="6:8" x14ac:dyDescent="0.35">
      <c r="F1757" s="38"/>
      <c r="G1757" s="39"/>
      <c r="H1757" s="40"/>
    </row>
    <row r="1758" spans="6:8" x14ac:dyDescent="0.35">
      <c r="F1758" s="38"/>
      <c r="G1758" s="39"/>
      <c r="H1758" s="40"/>
    </row>
    <row r="1759" spans="6:8" x14ac:dyDescent="0.35">
      <c r="F1759" s="38"/>
      <c r="G1759" s="39"/>
      <c r="H1759" s="40"/>
    </row>
    <row r="1760" spans="6:8" x14ac:dyDescent="0.35">
      <c r="F1760" s="38"/>
      <c r="G1760" s="39"/>
      <c r="H1760" s="40"/>
    </row>
    <row r="1761" spans="6:8" x14ac:dyDescent="0.35">
      <c r="F1761" s="38"/>
      <c r="G1761" s="39"/>
      <c r="H1761" s="40"/>
    </row>
    <row r="1762" spans="6:8" x14ac:dyDescent="0.35">
      <c r="F1762" s="38"/>
      <c r="G1762" s="39"/>
      <c r="H1762" s="40"/>
    </row>
    <row r="1763" spans="6:8" x14ac:dyDescent="0.35">
      <c r="F1763" s="38"/>
      <c r="G1763" s="39"/>
      <c r="H1763" s="40"/>
    </row>
    <row r="1764" spans="6:8" x14ac:dyDescent="0.35">
      <c r="F1764" s="38"/>
      <c r="G1764" s="39"/>
      <c r="H1764" s="40"/>
    </row>
    <row r="1765" spans="6:8" x14ac:dyDescent="0.35">
      <c r="F1765" s="38"/>
      <c r="G1765" s="39"/>
      <c r="H1765" s="40"/>
    </row>
    <row r="1766" spans="6:8" x14ac:dyDescent="0.35">
      <c r="F1766" s="38"/>
      <c r="G1766" s="39"/>
      <c r="H1766" s="40"/>
    </row>
    <row r="1767" spans="6:8" x14ac:dyDescent="0.35">
      <c r="F1767" s="38"/>
      <c r="G1767" s="39"/>
      <c r="H1767" s="40"/>
    </row>
    <row r="1768" spans="6:8" x14ac:dyDescent="0.35">
      <c r="F1768" s="38"/>
      <c r="G1768" s="39"/>
      <c r="H1768" s="40"/>
    </row>
    <row r="1769" spans="6:8" x14ac:dyDescent="0.35">
      <c r="F1769" s="38"/>
      <c r="G1769" s="39"/>
      <c r="H1769" s="40"/>
    </row>
    <row r="1770" spans="6:8" x14ac:dyDescent="0.35">
      <c r="F1770" s="38"/>
      <c r="G1770" s="39"/>
      <c r="H1770" s="40"/>
    </row>
    <row r="1771" spans="6:8" x14ac:dyDescent="0.35">
      <c r="F1771" s="38"/>
      <c r="G1771" s="39"/>
      <c r="H1771" s="40"/>
    </row>
    <row r="1772" spans="6:8" x14ac:dyDescent="0.35">
      <c r="F1772" s="38"/>
      <c r="G1772" s="39"/>
      <c r="H1772" s="40"/>
    </row>
    <row r="1773" spans="6:8" x14ac:dyDescent="0.35">
      <c r="F1773" s="38"/>
      <c r="G1773" s="39"/>
      <c r="H1773" s="40"/>
    </row>
    <row r="1774" spans="6:8" x14ac:dyDescent="0.35">
      <c r="F1774" s="38"/>
      <c r="G1774" s="39"/>
      <c r="H1774" s="40"/>
    </row>
    <row r="1775" spans="6:8" x14ac:dyDescent="0.35">
      <c r="F1775" s="38"/>
      <c r="G1775" s="39"/>
      <c r="H1775" s="40"/>
    </row>
    <row r="1776" spans="6:8" x14ac:dyDescent="0.35">
      <c r="F1776" s="38"/>
      <c r="G1776" s="39"/>
      <c r="H1776" s="40"/>
    </row>
    <row r="1777" spans="6:8" x14ac:dyDescent="0.35">
      <c r="F1777" s="38"/>
      <c r="G1777" s="39"/>
      <c r="H1777" s="40"/>
    </row>
    <row r="1778" spans="6:8" x14ac:dyDescent="0.35">
      <c r="F1778" s="38"/>
      <c r="G1778" s="39"/>
      <c r="H1778" s="40"/>
    </row>
    <row r="1779" spans="6:8" x14ac:dyDescent="0.35">
      <c r="F1779" s="38"/>
      <c r="G1779" s="39"/>
      <c r="H1779" s="40"/>
    </row>
    <row r="1780" spans="6:8" x14ac:dyDescent="0.35">
      <c r="F1780" s="38"/>
      <c r="G1780" s="39"/>
      <c r="H1780" s="40"/>
    </row>
    <row r="1781" spans="6:8" x14ac:dyDescent="0.35">
      <c r="F1781" s="38"/>
      <c r="G1781" s="39"/>
      <c r="H1781" s="40"/>
    </row>
    <row r="1782" spans="6:8" x14ac:dyDescent="0.35">
      <c r="F1782" s="38"/>
      <c r="G1782" s="39"/>
      <c r="H1782" s="40"/>
    </row>
    <row r="1783" spans="6:8" x14ac:dyDescent="0.35">
      <c r="F1783" s="38"/>
      <c r="G1783" s="39"/>
      <c r="H1783" s="40"/>
    </row>
    <row r="1784" spans="6:8" x14ac:dyDescent="0.35">
      <c r="F1784" s="38"/>
      <c r="G1784" s="39"/>
      <c r="H1784" s="40"/>
    </row>
    <row r="1785" spans="6:8" x14ac:dyDescent="0.35">
      <c r="F1785" s="38"/>
      <c r="G1785" s="39"/>
      <c r="H1785" s="40"/>
    </row>
    <row r="1786" spans="6:8" x14ac:dyDescent="0.35">
      <c r="F1786" s="38"/>
      <c r="G1786" s="39"/>
      <c r="H1786" s="40"/>
    </row>
    <row r="1787" spans="6:8" x14ac:dyDescent="0.35">
      <c r="F1787" s="38"/>
      <c r="G1787" s="39"/>
      <c r="H1787" s="40"/>
    </row>
    <row r="1788" spans="6:8" x14ac:dyDescent="0.35">
      <c r="F1788" s="38"/>
      <c r="G1788" s="39"/>
      <c r="H1788" s="40"/>
    </row>
    <row r="1789" spans="6:8" x14ac:dyDescent="0.35">
      <c r="F1789" s="38"/>
      <c r="G1789" s="39"/>
      <c r="H1789" s="40"/>
    </row>
    <row r="1790" spans="6:8" x14ac:dyDescent="0.35">
      <c r="F1790" s="38"/>
      <c r="G1790" s="39"/>
      <c r="H1790" s="40"/>
    </row>
    <row r="1791" spans="6:8" x14ac:dyDescent="0.35">
      <c r="F1791" s="38"/>
      <c r="G1791" s="39"/>
      <c r="H1791" s="40"/>
    </row>
    <row r="1792" spans="6:8" x14ac:dyDescent="0.35">
      <c r="F1792" s="38"/>
      <c r="G1792" s="39"/>
      <c r="H1792" s="40"/>
    </row>
    <row r="1793" spans="6:8" x14ac:dyDescent="0.35">
      <c r="F1793" s="38"/>
      <c r="G1793" s="39"/>
      <c r="H1793" s="40"/>
    </row>
    <row r="1794" spans="6:8" x14ac:dyDescent="0.35">
      <c r="F1794" s="38"/>
      <c r="G1794" s="39"/>
      <c r="H1794" s="40"/>
    </row>
    <row r="1795" spans="6:8" x14ac:dyDescent="0.35">
      <c r="F1795" s="38"/>
      <c r="G1795" s="39"/>
      <c r="H1795" s="40"/>
    </row>
    <row r="1796" spans="6:8" x14ac:dyDescent="0.35">
      <c r="F1796" s="38"/>
      <c r="G1796" s="39"/>
      <c r="H1796" s="40"/>
    </row>
    <row r="1797" spans="6:8" x14ac:dyDescent="0.35">
      <c r="F1797" s="38"/>
      <c r="G1797" s="39"/>
      <c r="H1797" s="40"/>
    </row>
    <row r="1798" spans="6:8" x14ac:dyDescent="0.35">
      <c r="F1798" s="38"/>
      <c r="G1798" s="39"/>
      <c r="H1798" s="40"/>
    </row>
    <row r="1799" spans="6:8" x14ac:dyDescent="0.35">
      <c r="F1799" s="38"/>
      <c r="G1799" s="39"/>
      <c r="H1799" s="40"/>
    </row>
    <row r="1800" spans="6:8" x14ac:dyDescent="0.35">
      <c r="F1800" s="38"/>
      <c r="G1800" s="39"/>
      <c r="H1800" s="40"/>
    </row>
    <row r="1801" spans="6:8" x14ac:dyDescent="0.35">
      <c r="F1801" s="38"/>
      <c r="G1801" s="39"/>
      <c r="H1801" s="40"/>
    </row>
    <row r="1802" spans="6:8" x14ac:dyDescent="0.35">
      <c r="F1802" s="38"/>
      <c r="G1802" s="39"/>
      <c r="H1802" s="40"/>
    </row>
    <row r="1803" spans="6:8" x14ac:dyDescent="0.35">
      <c r="F1803" s="38"/>
      <c r="G1803" s="39"/>
      <c r="H1803" s="40"/>
    </row>
    <row r="1804" spans="6:8" x14ac:dyDescent="0.35">
      <c r="F1804" s="38"/>
      <c r="G1804" s="39"/>
      <c r="H1804" s="40"/>
    </row>
    <row r="1805" spans="6:8" x14ac:dyDescent="0.35">
      <c r="F1805" s="38"/>
      <c r="G1805" s="39"/>
      <c r="H1805" s="40"/>
    </row>
    <row r="1806" spans="6:8" x14ac:dyDescent="0.35">
      <c r="F1806" s="38"/>
      <c r="G1806" s="39"/>
      <c r="H1806" s="40"/>
    </row>
    <row r="1807" spans="6:8" x14ac:dyDescent="0.35">
      <c r="F1807" s="38"/>
      <c r="G1807" s="39"/>
      <c r="H1807" s="40"/>
    </row>
    <row r="1808" spans="6:8" x14ac:dyDescent="0.35">
      <c r="F1808" s="38"/>
      <c r="G1808" s="39"/>
      <c r="H1808" s="40"/>
    </row>
    <row r="1809" spans="6:8" x14ac:dyDescent="0.35">
      <c r="F1809" s="38"/>
      <c r="G1809" s="39"/>
      <c r="H1809" s="40"/>
    </row>
    <row r="1810" spans="6:8" x14ac:dyDescent="0.35">
      <c r="F1810" s="38"/>
      <c r="G1810" s="39"/>
      <c r="H1810" s="40"/>
    </row>
    <row r="1811" spans="6:8" x14ac:dyDescent="0.35">
      <c r="F1811" s="38"/>
      <c r="G1811" s="39"/>
      <c r="H1811" s="40"/>
    </row>
    <row r="1812" spans="6:8" x14ac:dyDescent="0.35">
      <c r="F1812" s="38"/>
      <c r="G1812" s="39"/>
      <c r="H1812" s="40"/>
    </row>
    <row r="1813" spans="6:8" x14ac:dyDescent="0.35">
      <c r="F1813" s="38"/>
      <c r="G1813" s="39"/>
      <c r="H1813" s="40"/>
    </row>
    <row r="1814" spans="6:8" x14ac:dyDescent="0.35">
      <c r="F1814" s="38"/>
      <c r="G1814" s="39"/>
      <c r="H1814" s="40"/>
    </row>
    <row r="1815" spans="6:8" x14ac:dyDescent="0.35">
      <c r="F1815" s="38"/>
      <c r="G1815" s="39"/>
      <c r="H1815" s="40"/>
    </row>
    <row r="1816" spans="6:8" x14ac:dyDescent="0.35">
      <c r="F1816" s="38"/>
      <c r="G1816" s="39"/>
      <c r="H1816" s="40"/>
    </row>
    <row r="1817" spans="6:8" x14ac:dyDescent="0.35">
      <c r="F1817" s="38"/>
      <c r="G1817" s="39"/>
      <c r="H1817" s="40"/>
    </row>
    <row r="1818" spans="6:8" x14ac:dyDescent="0.35">
      <c r="F1818" s="38"/>
      <c r="G1818" s="39"/>
      <c r="H1818" s="40"/>
    </row>
    <row r="1819" spans="6:8" x14ac:dyDescent="0.35">
      <c r="F1819" s="38"/>
      <c r="G1819" s="39"/>
      <c r="H1819" s="40"/>
    </row>
    <row r="1820" spans="6:8" x14ac:dyDescent="0.35">
      <c r="F1820" s="38"/>
      <c r="G1820" s="39"/>
      <c r="H1820" s="40"/>
    </row>
    <row r="1821" spans="6:8" x14ac:dyDescent="0.35">
      <c r="F1821" s="38"/>
      <c r="G1821" s="39"/>
      <c r="H1821" s="40"/>
    </row>
    <row r="1822" spans="6:8" x14ac:dyDescent="0.35">
      <c r="F1822" s="38"/>
      <c r="G1822" s="39"/>
      <c r="H1822" s="40"/>
    </row>
    <row r="1823" spans="6:8" x14ac:dyDescent="0.35">
      <c r="F1823" s="38"/>
      <c r="G1823" s="39"/>
      <c r="H1823" s="40"/>
    </row>
    <row r="1824" spans="6:8" x14ac:dyDescent="0.35">
      <c r="F1824" s="38"/>
      <c r="G1824" s="39"/>
      <c r="H1824" s="40"/>
    </row>
    <row r="1825" spans="6:8" x14ac:dyDescent="0.35">
      <c r="F1825" s="38"/>
      <c r="G1825" s="39"/>
      <c r="H1825" s="40"/>
    </row>
    <row r="1826" spans="6:8" x14ac:dyDescent="0.35">
      <c r="F1826" s="38"/>
      <c r="G1826" s="39"/>
      <c r="H1826" s="40"/>
    </row>
    <row r="1827" spans="6:8" x14ac:dyDescent="0.35">
      <c r="F1827" s="38"/>
      <c r="G1827" s="39"/>
      <c r="H1827" s="40"/>
    </row>
    <row r="1828" spans="6:8" x14ac:dyDescent="0.35">
      <c r="F1828" s="38"/>
      <c r="G1828" s="39"/>
      <c r="H1828" s="40"/>
    </row>
    <row r="1829" spans="6:8" x14ac:dyDescent="0.35">
      <c r="F1829" s="38"/>
      <c r="G1829" s="39"/>
      <c r="H1829" s="40"/>
    </row>
    <row r="1830" spans="6:8" x14ac:dyDescent="0.35">
      <c r="F1830" s="38"/>
      <c r="G1830" s="39"/>
      <c r="H1830" s="40"/>
    </row>
    <row r="1831" spans="6:8" x14ac:dyDescent="0.35">
      <c r="F1831" s="38"/>
      <c r="G1831" s="39"/>
      <c r="H1831" s="40"/>
    </row>
    <row r="1832" spans="6:8" x14ac:dyDescent="0.35">
      <c r="F1832" s="38"/>
      <c r="G1832" s="39"/>
      <c r="H1832" s="40"/>
    </row>
    <row r="1833" spans="6:8" x14ac:dyDescent="0.35">
      <c r="F1833" s="38"/>
      <c r="G1833" s="39"/>
      <c r="H1833" s="40"/>
    </row>
    <row r="1834" spans="6:8" x14ac:dyDescent="0.35">
      <c r="F1834" s="38"/>
      <c r="G1834" s="39"/>
      <c r="H1834" s="40"/>
    </row>
    <row r="1835" spans="6:8" x14ac:dyDescent="0.35">
      <c r="F1835" s="38"/>
      <c r="G1835" s="39"/>
      <c r="H1835" s="40"/>
    </row>
    <row r="1836" spans="6:8" x14ac:dyDescent="0.35">
      <c r="F1836" s="38"/>
      <c r="G1836" s="39"/>
      <c r="H1836" s="40"/>
    </row>
    <row r="1837" spans="6:8" x14ac:dyDescent="0.35">
      <c r="F1837" s="38"/>
      <c r="G1837" s="39"/>
      <c r="H1837" s="40"/>
    </row>
    <row r="1838" spans="6:8" x14ac:dyDescent="0.35">
      <c r="F1838" s="38"/>
      <c r="G1838" s="39"/>
      <c r="H1838" s="40"/>
    </row>
    <row r="1839" spans="6:8" x14ac:dyDescent="0.35">
      <c r="F1839" s="38"/>
      <c r="G1839" s="39"/>
      <c r="H1839" s="40"/>
    </row>
    <row r="1840" spans="6:8" x14ac:dyDescent="0.35">
      <c r="F1840" s="38"/>
      <c r="G1840" s="39"/>
      <c r="H1840" s="40"/>
    </row>
    <row r="1841" spans="6:8" x14ac:dyDescent="0.35">
      <c r="F1841" s="38"/>
      <c r="G1841" s="39"/>
      <c r="H1841" s="40"/>
    </row>
    <row r="1842" spans="6:8" x14ac:dyDescent="0.35">
      <c r="F1842" s="38"/>
      <c r="G1842" s="39"/>
      <c r="H1842" s="40"/>
    </row>
    <row r="1843" spans="6:8" x14ac:dyDescent="0.35">
      <c r="F1843" s="38"/>
      <c r="G1843" s="39"/>
      <c r="H1843" s="40"/>
    </row>
    <row r="1844" spans="6:8" x14ac:dyDescent="0.35">
      <c r="F1844" s="38"/>
      <c r="G1844" s="39"/>
      <c r="H1844" s="40"/>
    </row>
    <row r="1845" spans="6:8" x14ac:dyDescent="0.35">
      <c r="F1845" s="38"/>
      <c r="G1845" s="39"/>
      <c r="H1845" s="40"/>
    </row>
    <row r="1846" spans="6:8" x14ac:dyDescent="0.35">
      <c r="F1846" s="38"/>
      <c r="G1846" s="39"/>
      <c r="H1846" s="40"/>
    </row>
    <row r="1847" spans="6:8" x14ac:dyDescent="0.35">
      <c r="F1847" s="38"/>
      <c r="G1847" s="39"/>
      <c r="H1847" s="40"/>
    </row>
    <row r="1848" spans="6:8" x14ac:dyDescent="0.35">
      <c r="F1848" s="38"/>
      <c r="G1848" s="39"/>
      <c r="H1848" s="40"/>
    </row>
    <row r="1849" spans="6:8" x14ac:dyDescent="0.35">
      <c r="F1849" s="38"/>
      <c r="G1849" s="39"/>
      <c r="H1849" s="40"/>
    </row>
    <row r="1850" spans="6:8" x14ac:dyDescent="0.35">
      <c r="F1850" s="38"/>
      <c r="G1850" s="39"/>
      <c r="H1850" s="40"/>
    </row>
    <row r="1851" spans="6:8" x14ac:dyDescent="0.35">
      <c r="F1851" s="38"/>
      <c r="G1851" s="39"/>
      <c r="H1851" s="40"/>
    </row>
    <row r="1852" spans="6:8" x14ac:dyDescent="0.35">
      <c r="F1852" s="38"/>
      <c r="G1852" s="39"/>
      <c r="H1852" s="40"/>
    </row>
    <row r="1853" spans="6:8" x14ac:dyDescent="0.35">
      <c r="F1853" s="38"/>
      <c r="G1853" s="39"/>
      <c r="H1853" s="40"/>
    </row>
    <row r="1854" spans="6:8" x14ac:dyDescent="0.35">
      <c r="F1854" s="38"/>
      <c r="G1854" s="39"/>
      <c r="H1854" s="40"/>
    </row>
    <row r="1855" spans="6:8" x14ac:dyDescent="0.35">
      <c r="F1855" s="38"/>
      <c r="G1855" s="39"/>
      <c r="H1855" s="40"/>
    </row>
    <row r="1856" spans="6:8" x14ac:dyDescent="0.35">
      <c r="F1856" s="38"/>
      <c r="G1856" s="39"/>
      <c r="H1856" s="40"/>
    </row>
    <row r="1857" spans="6:8" x14ac:dyDescent="0.35">
      <c r="F1857" s="38"/>
      <c r="G1857" s="39"/>
      <c r="H1857" s="40"/>
    </row>
    <row r="1858" spans="6:8" x14ac:dyDescent="0.35">
      <c r="F1858" s="38"/>
      <c r="G1858" s="39"/>
      <c r="H1858" s="40"/>
    </row>
    <row r="1859" spans="6:8" x14ac:dyDescent="0.35">
      <c r="F1859" s="38"/>
      <c r="G1859" s="39"/>
      <c r="H1859" s="40"/>
    </row>
    <row r="1860" spans="6:8" x14ac:dyDescent="0.35">
      <c r="F1860" s="38"/>
      <c r="G1860" s="39"/>
      <c r="H1860" s="40"/>
    </row>
    <row r="1861" spans="6:8" x14ac:dyDescent="0.35">
      <c r="F1861" s="38"/>
      <c r="G1861" s="39"/>
      <c r="H1861" s="40"/>
    </row>
    <row r="1862" spans="6:8" x14ac:dyDescent="0.35">
      <c r="F1862" s="38"/>
      <c r="G1862" s="39"/>
      <c r="H1862" s="40"/>
    </row>
    <row r="1863" spans="6:8" x14ac:dyDescent="0.35">
      <c r="F1863" s="38"/>
      <c r="G1863" s="39"/>
      <c r="H1863" s="40"/>
    </row>
    <row r="1864" spans="6:8" x14ac:dyDescent="0.35">
      <c r="F1864" s="38"/>
      <c r="G1864" s="39"/>
      <c r="H1864" s="40"/>
    </row>
    <row r="1865" spans="6:8" x14ac:dyDescent="0.35">
      <c r="F1865" s="38"/>
      <c r="G1865" s="39"/>
      <c r="H1865" s="40"/>
    </row>
    <row r="1866" spans="6:8" x14ac:dyDescent="0.35">
      <c r="F1866" s="38"/>
      <c r="G1866" s="39"/>
      <c r="H1866" s="40"/>
    </row>
    <row r="1867" spans="6:8" x14ac:dyDescent="0.35">
      <c r="F1867" s="38"/>
      <c r="G1867" s="39"/>
      <c r="H1867" s="40"/>
    </row>
    <row r="1868" spans="6:8" x14ac:dyDescent="0.35">
      <c r="F1868" s="38"/>
      <c r="G1868" s="39"/>
      <c r="H1868" s="40"/>
    </row>
    <row r="1869" spans="6:8" x14ac:dyDescent="0.35">
      <c r="F1869" s="38"/>
      <c r="G1869" s="39"/>
      <c r="H1869" s="40"/>
    </row>
    <row r="1870" spans="6:8" x14ac:dyDescent="0.35">
      <c r="F1870" s="38"/>
      <c r="G1870" s="39"/>
      <c r="H1870" s="40"/>
    </row>
    <row r="1871" spans="6:8" x14ac:dyDescent="0.35">
      <c r="F1871" s="38"/>
      <c r="G1871" s="39"/>
      <c r="H1871" s="40"/>
    </row>
    <row r="1872" spans="6:8" x14ac:dyDescent="0.35">
      <c r="F1872" s="38"/>
      <c r="G1872" s="39"/>
      <c r="H1872" s="40"/>
    </row>
    <row r="1873" spans="6:8" x14ac:dyDescent="0.35">
      <c r="F1873" s="38"/>
      <c r="G1873" s="39"/>
      <c r="H1873" s="40"/>
    </row>
    <row r="1874" spans="6:8" x14ac:dyDescent="0.35">
      <c r="F1874" s="38"/>
      <c r="G1874" s="39"/>
      <c r="H1874" s="40"/>
    </row>
    <row r="1875" spans="6:8" x14ac:dyDescent="0.35">
      <c r="F1875" s="38"/>
      <c r="G1875" s="39"/>
      <c r="H1875" s="40"/>
    </row>
    <row r="1876" spans="6:8" x14ac:dyDescent="0.35">
      <c r="F1876" s="38"/>
      <c r="G1876" s="39"/>
      <c r="H1876" s="40"/>
    </row>
    <row r="1877" spans="6:8" x14ac:dyDescent="0.35">
      <c r="F1877" s="38"/>
      <c r="G1877" s="39"/>
      <c r="H1877" s="40"/>
    </row>
    <row r="1878" spans="6:8" x14ac:dyDescent="0.35">
      <c r="F1878" s="38"/>
      <c r="G1878" s="39"/>
      <c r="H1878" s="40"/>
    </row>
    <row r="1879" spans="6:8" x14ac:dyDescent="0.35">
      <c r="F1879" s="38"/>
      <c r="G1879" s="39"/>
      <c r="H1879" s="40"/>
    </row>
    <row r="1880" spans="6:8" x14ac:dyDescent="0.35">
      <c r="F1880" s="38"/>
      <c r="G1880" s="39"/>
      <c r="H1880" s="40"/>
    </row>
    <row r="1881" spans="6:8" x14ac:dyDescent="0.35">
      <c r="F1881" s="38"/>
      <c r="G1881" s="39"/>
      <c r="H1881" s="40"/>
    </row>
    <row r="1882" spans="6:8" x14ac:dyDescent="0.35">
      <c r="F1882" s="38"/>
      <c r="G1882" s="39"/>
      <c r="H1882" s="40"/>
    </row>
    <row r="1883" spans="6:8" x14ac:dyDescent="0.35">
      <c r="F1883" s="38"/>
      <c r="G1883" s="39"/>
      <c r="H1883" s="40"/>
    </row>
    <row r="1884" spans="6:8" x14ac:dyDescent="0.35">
      <c r="F1884" s="38"/>
      <c r="G1884" s="39"/>
      <c r="H1884" s="40"/>
    </row>
    <row r="1885" spans="6:8" x14ac:dyDescent="0.35">
      <c r="F1885" s="38"/>
      <c r="G1885" s="39"/>
      <c r="H1885" s="40"/>
    </row>
    <row r="1886" spans="6:8" x14ac:dyDescent="0.35">
      <c r="F1886" s="38"/>
      <c r="G1886" s="39"/>
      <c r="H1886" s="40"/>
    </row>
    <row r="1887" spans="6:8" x14ac:dyDescent="0.35">
      <c r="F1887" s="38"/>
      <c r="G1887" s="39"/>
      <c r="H1887" s="40"/>
    </row>
    <row r="1888" spans="6:8" x14ac:dyDescent="0.35">
      <c r="F1888" s="38"/>
      <c r="G1888" s="39"/>
      <c r="H1888" s="40"/>
    </row>
    <row r="1889" spans="6:8" x14ac:dyDescent="0.35">
      <c r="F1889" s="38"/>
      <c r="G1889" s="39"/>
      <c r="H1889" s="40"/>
    </row>
    <row r="1890" spans="6:8" x14ac:dyDescent="0.35">
      <c r="F1890" s="38"/>
      <c r="G1890" s="39"/>
      <c r="H1890" s="40"/>
    </row>
    <row r="1891" spans="6:8" x14ac:dyDescent="0.35">
      <c r="F1891" s="38"/>
      <c r="G1891" s="39"/>
      <c r="H1891" s="40"/>
    </row>
    <row r="1892" spans="6:8" x14ac:dyDescent="0.35">
      <c r="F1892" s="38"/>
      <c r="G1892" s="39"/>
      <c r="H1892" s="40"/>
    </row>
    <row r="1893" spans="6:8" x14ac:dyDescent="0.35">
      <c r="F1893" s="38"/>
      <c r="G1893" s="39"/>
      <c r="H1893" s="40"/>
    </row>
    <row r="1894" spans="6:8" x14ac:dyDescent="0.35">
      <c r="F1894" s="38"/>
      <c r="G1894" s="39"/>
      <c r="H1894" s="40"/>
    </row>
    <row r="1895" spans="6:8" x14ac:dyDescent="0.35">
      <c r="F1895" s="38"/>
      <c r="G1895" s="39"/>
      <c r="H1895" s="40"/>
    </row>
    <row r="1896" spans="6:8" x14ac:dyDescent="0.35">
      <c r="F1896" s="38"/>
      <c r="G1896" s="39"/>
      <c r="H1896" s="40"/>
    </row>
    <row r="1897" spans="6:8" x14ac:dyDescent="0.35">
      <c r="F1897" s="38"/>
      <c r="G1897" s="39"/>
      <c r="H1897" s="40"/>
    </row>
    <row r="1898" spans="6:8" x14ac:dyDescent="0.35">
      <c r="F1898" s="38"/>
      <c r="G1898" s="39"/>
      <c r="H1898" s="40"/>
    </row>
    <row r="1899" spans="6:8" x14ac:dyDescent="0.35">
      <c r="F1899" s="38"/>
      <c r="G1899" s="39"/>
      <c r="H1899" s="40"/>
    </row>
    <row r="1900" spans="6:8" x14ac:dyDescent="0.35">
      <c r="F1900" s="38"/>
      <c r="G1900" s="39"/>
      <c r="H1900" s="40"/>
    </row>
    <row r="1901" spans="6:8" x14ac:dyDescent="0.35">
      <c r="F1901" s="38"/>
      <c r="G1901" s="39"/>
      <c r="H1901" s="40"/>
    </row>
    <row r="1902" spans="6:8" x14ac:dyDescent="0.35">
      <c r="F1902" s="38"/>
      <c r="G1902" s="39"/>
      <c r="H1902" s="40"/>
    </row>
    <row r="1903" spans="6:8" x14ac:dyDescent="0.35">
      <c r="F1903" s="38"/>
      <c r="G1903" s="39"/>
      <c r="H1903" s="40"/>
    </row>
    <row r="1904" spans="6:8" x14ac:dyDescent="0.35">
      <c r="F1904" s="38"/>
      <c r="G1904" s="39"/>
      <c r="H1904" s="40"/>
    </row>
    <row r="1905" spans="6:8" x14ac:dyDescent="0.35">
      <c r="F1905" s="38"/>
      <c r="G1905" s="39"/>
      <c r="H1905" s="40"/>
    </row>
    <row r="1906" spans="6:8" x14ac:dyDescent="0.35">
      <c r="F1906" s="38"/>
      <c r="G1906" s="39"/>
      <c r="H1906" s="40"/>
    </row>
    <row r="1907" spans="6:8" x14ac:dyDescent="0.35">
      <c r="F1907" s="38"/>
      <c r="G1907" s="39"/>
      <c r="H1907" s="40"/>
    </row>
    <row r="1908" spans="6:8" x14ac:dyDescent="0.35">
      <c r="F1908" s="38"/>
      <c r="G1908" s="39"/>
      <c r="H1908" s="40"/>
    </row>
    <row r="1909" spans="6:8" x14ac:dyDescent="0.35">
      <c r="F1909" s="38"/>
      <c r="G1909" s="39"/>
      <c r="H1909" s="40"/>
    </row>
    <row r="1910" spans="6:8" x14ac:dyDescent="0.35">
      <c r="F1910" s="38"/>
      <c r="G1910" s="39"/>
      <c r="H1910" s="40"/>
    </row>
    <row r="1911" spans="6:8" x14ac:dyDescent="0.35">
      <c r="F1911" s="38"/>
      <c r="G1911" s="39"/>
      <c r="H1911" s="40"/>
    </row>
    <row r="1912" spans="6:8" x14ac:dyDescent="0.35">
      <c r="F1912" s="38"/>
      <c r="G1912" s="39"/>
      <c r="H1912" s="40"/>
    </row>
    <row r="1913" spans="6:8" x14ac:dyDescent="0.35">
      <c r="F1913" s="38"/>
      <c r="G1913" s="39"/>
      <c r="H1913" s="40"/>
    </row>
    <row r="1914" spans="6:8" x14ac:dyDescent="0.35">
      <c r="F1914" s="38"/>
      <c r="G1914" s="39"/>
      <c r="H1914" s="40"/>
    </row>
    <row r="1915" spans="6:8" x14ac:dyDescent="0.35">
      <c r="F1915" s="38"/>
      <c r="G1915" s="39"/>
      <c r="H1915" s="40"/>
    </row>
    <row r="1916" spans="6:8" x14ac:dyDescent="0.35">
      <c r="F1916" s="38"/>
      <c r="G1916" s="39"/>
      <c r="H1916" s="40"/>
    </row>
    <row r="1917" spans="6:8" x14ac:dyDescent="0.35">
      <c r="F1917" s="38"/>
      <c r="G1917" s="39"/>
      <c r="H1917" s="40"/>
    </row>
    <row r="1918" spans="6:8" x14ac:dyDescent="0.35">
      <c r="F1918" s="38"/>
      <c r="G1918" s="39"/>
      <c r="H1918" s="40"/>
    </row>
    <row r="1919" spans="6:8" x14ac:dyDescent="0.35">
      <c r="F1919" s="38"/>
      <c r="G1919" s="39"/>
      <c r="H1919" s="40"/>
    </row>
    <row r="1920" spans="6:8" x14ac:dyDescent="0.35">
      <c r="F1920" s="38"/>
      <c r="G1920" s="39"/>
      <c r="H1920" s="40"/>
    </row>
    <row r="1921" spans="6:8" x14ac:dyDescent="0.35">
      <c r="F1921" s="38"/>
      <c r="G1921" s="39"/>
      <c r="H1921" s="40"/>
    </row>
    <row r="1922" spans="6:8" x14ac:dyDescent="0.35">
      <c r="F1922" s="38"/>
      <c r="G1922" s="39"/>
      <c r="H1922" s="40"/>
    </row>
    <row r="1923" spans="6:8" x14ac:dyDescent="0.35">
      <c r="F1923" s="38"/>
      <c r="G1923" s="39"/>
      <c r="H1923" s="40"/>
    </row>
    <row r="1924" spans="6:8" x14ac:dyDescent="0.35">
      <c r="F1924" s="38"/>
      <c r="G1924" s="39"/>
      <c r="H1924" s="40"/>
    </row>
    <row r="1925" spans="6:8" x14ac:dyDescent="0.35">
      <c r="F1925" s="38"/>
      <c r="G1925" s="39"/>
      <c r="H1925" s="40"/>
    </row>
    <row r="1926" spans="6:8" x14ac:dyDescent="0.35">
      <c r="F1926" s="38"/>
      <c r="G1926" s="39"/>
      <c r="H1926" s="40"/>
    </row>
    <row r="1927" spans="6:8" x14ac:dyDescent="0.35">
      <c r="F1927" s="38"/>
      <c r="G1927" s="39"/>
      <c r="H1927" s="40"/>
    </row>
    <row r="1928" spans="6:8" x14ac:dyDescent="0.35">
      <c r="F1928" s="38"/>
      <c r="G1928" s="39"/>
      <c r="H1928" s="40"/>
    </row>
    <row r="1929" spans="6:8" x14ac:dyDescent="0.35">
      <c r="F1929" s="38"/>
      <c r="G1929" s="39"/>
      <c r="H1929" s="40"/>
    </row>
    <row r="1930" spans="6:8" x14ac:dyDescent="0.35">
      <c r="F1930" s="38"/>
      <c r="G1930" s="39"/>
      <c r="H1930" s="40"/>
    </row>
    <row r="1931" spans="6:8" x14ac:dyDescent="0.35">
      <c r="F1931" s="38"/>
      <c r="G1931" s="39"/>
      <c r="H1931" s="40"/>
    </row>
    <row r="1932" spans="6:8" x14ac:dyDescent="0.35">
      <c r="F1932" s="38"/>
      <c r="G1932" s="39"/>
      <c r="H1932" s="40"/>
    </row>
    <row r="1933" spans="6:8" x14ac:dyDescent="0.35">
      <c r="F1933" s="38"/>
      <c r="G1933" s="39"/>
      <c r="H1933" s="40"/>
    </row>
    <row r="1934" spans="6:8" x14ac:dyDescent="0.35">
      <c r="F1934" s="38"/>
      <c r="G1934" s="39"/>
      <c r="H1934" s="40"/>
    </row>
    <row r="1935" spans="6:8" x14ac:dyDescent="0.35">
      <c r="F1935" s="38"/>
      <c r="G1935" s="39"/>
      <c r="H1935" s="40"/>
    </row>
    <row r="1936" spans="6:8" x14ac:dyDescent="0.35">
      <c r="F1936" s="38"/>
      <c r="G1936" s="39"/>
      <c r="H1936" s="40"/>
    </row>
    <row r="1937" spans="6:8" x14ac:dyDescent="0.35">
      <c r="F1937" s="38"/>
      <c r="G1937" s="39"/>
      <c r="H1937" s="40"/>
    </row>
    <row r="1938" spans="6:8" x14ac:dyDescent="0.35">
      <c r="F1938" s="38"/>
      <c r="G1938" s="39"/>
      <c r="H1938" s="40"/>
    </row>
    <row r="1939" spans="6:8" x14ac:dyDescent="0.35">
      <c r="F1939" s="38"/>
      <c r="G1939" s="39"/>
      <c r="H1939" s="40"/>
    </row>
    <row r="1940" spans="6:8" x14ac:dyDescent="0.35">
      <c r="F1940" s="38"/>
      <c r="G1940" s="39"/>
      <c r="H1940" s="40"/>
    </row>
    <row r="1941" spans="6:8" x14ac:dyDescent="0.35">
      <c r="F1941" s="38"/>
      <c r="G1941" s="39"/>
      <c r="H1941" s="40"/>
    </row>
    <row r="1942" spans="6:8" x14ac:dyDescent="0.35">
      <c r="F1942" s="38"/>
      <c r="G1942" s="39"/>
      <c r="H1942" s="40"/>
    </row>
    <row r="1943" spans="6:8" x14ac:dyDescent="0.35">
      <c r="F1943" s="38"/>
      <c r="G1943" s="39"/>
      <c r="H1943" s="40"/>
    </row>
    <row r="1944" spans="6:8" x14ac:dyDescent="0.35">
      <c r="F1944" s="38"/>
      <c r="G1944" s="39"/>
      <c r="H1944" s="40"/>
    </row>
    <row r="1945" spans="6:8" x14ac:dyDescent="0.35">
      <c r="F1945" s="38"/>
      <c r="G1945" s="39"/>
      <c r="H1945" s="40"/>
    </row>
    <row r="1946" spans="6:8" x14ac:dyDescent="0.35">
      <c r="F1946" s="38"/>
      <c r="G1946" s="39"/>
      <c r="H1946" s="40"/>
    </row>
    <row r="1947" spans="6:8" x14ac:dyDescent="0.35">
      <c r="F1947" s="38"/>
      <c r="G1947" s="39"/>
      <c r="H1947" s="40"/>
    </row>
    <row r="1948" spans="6:8" x14ac:dyDescent="0.35">
      <c r="F1948" s="38"/>
      <c r="G1948" s="39"/>
      <c r="H1948" s="40"/>
    </row>
    <row r="1949" spans="6:8" x14ac:dyDescent="0.35">
      <c r="F1949" s="38"/>
      <c r="G1949" s="39"/>
      <c r="H1949" s="40"/>
    </row>
    <row r="1950" spans="6:8" x14ac:dyDescent="0.35">
      <c r="F1950" s="38"/>
      <c r="G1950" s="39"/>
      <c r="H1950" s="40"/>
    </row>
    <row r="1951" spans="6:8" x14ac:dyDescent="0.35">
      <c r="F1951" s="38"/>
      <c r="G1951" s="39"/>
      <c r="H1951" s="40"/>
    </row>
    <row r="1952" spans="6:8" x14ac:dyDescent="0.35">
      <c r="F1952" s="38"/>
      <c r="G1952" s="39"/>
      <c r="H1952" s="40"/>
    </row>
    <row r="1953" spans="6:8" x14ac:dyDescent="0.35">
      <c r="F1953" s="38"/>
      <c r="G1953" s="39"/>
      <c r="H1953" s="40"/>
    </row>
    <row r="1954" spans="6:8" x14ac:dyDescent="0.35">
      <c r="F1954" s="38"/>
      <c r="G1954" s="39"/>
      <c r="H1954" s="40"/>
    </row>
    <row r="1955" spans="6:8" x14ac:dyDescent="0.35">
      <c r="F1955" s="38"/>
      <c r="G1955" s="39"/>
      <c r="H1955" s="40"/>
    </row>
    <row r="1956" spans="6:8" x14ac:dyDescent="0.35">
      <c r="F1956" s="38"/>
      <c r="G1956" s="39"/>
      <c r="H1956" s="40"/>
    </row>
    <row r="1957" spans="6:8" x14ac:dyDescent="0.35">
      <c r="F1957" s="38"/>
      <c r="G1957" s="39"/>
      <c r="H1957" s="40"/>
    </row>
    <row r="1958" spans="6:8" x14ac:dyDescent="0.35">
      <c r="F1958" s="38"/>
      <c r="G1958" s="39"/>
      <c r="H1958" s="40"/>
    </row>
    <row r="1959" spans="6:8" x14ac:dyDescent="0.35">
      <c r="F1959" s="38"/>
      <c r="G1959" s="39"/>
      <c r="H1959" s="40"/>
    </row>
    <row r="1960" spans="6:8" x14ac:dyDescent="0.35">
      <c r="F1960" s="38"/>
      <c r="G1960" s="39"/>
      <c r="H1960" s="40"/>
    </row>
    <row r="1961" spans="6:8" x14ac:dyDescent="0.35">
      <c r="F1961" s="38"/>
      <c r="G1961" s="39"/>
      <c r="H1961" s="40"/>
    </row>
    <row r="1962" spans="6:8" x14ac:dyDescent="0.35">
      <c r="F1962" s="38"/>
      <c r="G1962" s="39"/>
      <c r="H1962" s="40"/>
    </row>
    <row r="1963" spans="6:8" x14ac:dyDescent="0.35">
      <c r="F1963" s="38"/>
      <c r="G1963" s="39"/>
      <c r="H1963" s="40"/>
    </row>
    <row r="1964" spans="6:8" x14ac:dyDescent="0.35">
      <c r="F1964" s="38"/>
      <c r="G1964" s="39"/>
      <c r="H1964" s="40"/>
    </row>
    <row r="1965" spans="6:8" x14ac:dyDescent="0.35">
      <c r="F1965" s="38"/>
      <c r="G1965" s="39"/>
      <c r="H1965" s="40"/>
    </row>
    <row r="1966" spans="6:8" x14ac:dyDescent="0.35">
      <c r="F1966" s="38"/>
      <c r="G1966" s="39"/>
      <c r="H1966" s="40"/>
    </row>
    <row r="1967" spans="6:8" x14ac:dyDescent="0.35">
      <c r="F1967" s="38"/>
      <c r="G1967" s="39"/>
      <c r="H1967" s="40"/>
    </row>
    <row r="1968" spans="6:8" x14ac:dyDescent="0.35">
      <c r="F1968" s="38"/>
      <c r="G1968" s="39"/>
      <c r="H1968" s="40"/>
    </row>
    <row r="1969" spans="6:8" x14ac:dyDescent="0.35">
      <c r="F1969" s="38"/>
      <c r="G1969" s="39"/>
      <c r="H1969" s="40"/>
    </row>
    <row r="1970" spans="6:8" x14ac:dyDescent="0.35">
      <c r="F1970" s="38"/>
      <c r="G1970" s="39"/>
      <c r="H1970" s="40"/>
    </row>
    <row r="1971" spans="6:8" x14ac:dyDescent="0.35">
      <c r="F1971" s="38"/>
      <c r="G1971" s="39"/>
      <c r="H1971" s="40"/>
    </row>
    <row r="1972" spans="6:8" x14ac:dyDescent="0.35">
      <c r="F1972" s="38"/>
      <c r="G1972" s="39"/>
      <c r="H1972" s="40"/>
    </row>
    <row r="1973" spans="6:8" x14ac:dyDescent="0.35">
      <c r="F1973" s="38"/>
      <c r="G1973" s="39"/>
      <c r="H1973" s="40"/>
    </row>
    <row r="1974" spans="6:8" x14ac:dyDescent="0.35">
      <c r="F1974" s="38"/>
      <c r="G1974" s="39"/>
      <c r="H1974" s="40"/>
    </row>
    <row r="1975" spans="6:8" x14ac:dyDescent="0.35">
      <c r="F1975" s="38"/>
      <c r="G1975" s="39"/>
      <c r="H1975" s="40"/>
    </row>
    <row r="1976" spans="6:8" x14ac:dyDescent="0.35">
      <c r="F1976" s="38"/>
      <c r="G1976" s="39"/>
      <c r="H1976" s="40"/>
    </row>
    <row r="1977" spans="6:8" x14ac:dyDescent="0.35">
      <c r="F1977" s="38"/>
      <c r="G1977" s="39"/>
      <c r="H1977" s="40"/>
    </row>
    <row r="1978" spans="6:8" x14ac:dyDescent="0.35">
      <c r="F1978" s="38"/>
      <c r="G1978" s="39"/>
      <c r="H1978" s="40"/>
    </row>
    <row r="1979" spans="6:8" x14ac:dyDescent="0.35">
      <c r="F1979" s="38"/>
      <c r="G1979" s="39"/>
      <c r="H1979" s="40"/>
    </row>
    <row r="1980" spans="6:8" x14ac:dyDescent="0.35">
      <c r="F1980" s="38"/>
      <c r="G1980" s="39"/>
      <c r="H1980" s="40"/>
    </row>
    <row r="1981" spans="6:8" x14ac:dyDescent="0.35">
      <c r="F1981" s="38"/>
      <c r="G1981" s="39"/>
      <c r="H1981" s="40"/>
    </row>
    <row r="1982" spans="6:8" x14ac:dyDescent="0.35">
      <c r="F1982" s="38"/>
      <c r="G1982" s="39"/>
      <c r="H1982" s="40"/>
    </row>
    <row r="1983" spans="6:8" x14ac:dyDescent="0.35">
      <c r="F1983" s="38"/>
      <c r="G1983" s="39"/>
      <c r="H1983" s="40"/>
    </row>
    <row r="1984" spans="6:8" x14ac:dyDescent="0.35">
      <c r="F1984" s="38"/>
      <c r="G1984" s="39"/>
      <c r="H1984" s="40"/>
    </row>
    <row r="1985" spans="6:8" x14ac:dyDescent="0.35">
      <c r="F1985" s="38"/>
      <c r="G1985" s="39"/>
      <c r="H1985" s="40"/>
    </row>
    <row r="1986" spans="6:8" x14ac:dyDescent="0.35">
      <c r="F1986" s="38"/>
      <c r="G1986" s="39"/>
      <c r="H1986" s="40"/>
    </row>
    <row r="1987" spans="6:8" x14ac:dyDescent="0.35">
      <c r="F1987" s="38"/>
      <c r="G1987" s="39"/>
      <c r="H1987" s="40"/>
    </row>
    <row r="1988" spans="6:8" x14ac:dyDescent="0.35">
      <c r="F1988" s="38"/>
      <c r="G1988" s="39"/>
      <c r="H1988" s="40"/>
    </row>
    <row r="1989" spans="6:8" x14ac:dyDescent="0.35">
      <c r="F1989" s="38"/>
      <c r="G1989" s="39"/>
      <c r="H1989" s="40"/>
    </row>
    <row r="1990" spans="6:8" x14ac:dyDescent="0.35">
      <c r="F1990" s="38"/>
      <c r="G1990" s="39"/>
      <c r="H1990" s="40"/>
    </row>
    <row r="1991" spans="6:8" x14ac:dyDescent="0.35">
      <c r="F1991" s="38"/>
      <c r="G1991" s="39"/>
      <c r="H1991" s="40"/>
    </row>
    <row r="1992" spans="6:8" x14ac:dyDescent="0.35">
      <c r="F1992" s="38"/>
      <c r="G1992" s="39"/>
      <c r="H1992" s="40"/>
    </row>
    <row r="1993" spans="6:8" x14ac:dyDescent="0.35">
      <c r="F1993" s="38"/>
      <c r="G1993" s="39"/>
      <c r="H1993" s="40"/>
    </row>
    <row r="1994" spans="6:8" x14ac:dyDescent="0.35">
      <c r="F1994" s="38"/>
      <c r="G1994" s="39"/>
      <c r="H1994" s="40"/>
    </row>
    <row r="1995" spans="6:8" x14ac:dyDescent="0.35">
      <c r="F1995" s="38"/>
      <c r="G1995" s="39"/>
      <c r="H1995" s="40"/>
    </row>
    <row r="1996" spans="6:8" x14ac:dyDescent="0.35">
      <c r="F1996" s="38"/>
      <c r="G1996" s="39"/>
      <c r="H1996" s="40"/>
    </row>
    <row r="1997" spans="6:8" x14ac:dyDescent="0.35">
      <c r="F1997" s="38"/>
      <c r="G1997" s="39"/>
      <c r="H1997" s="40"/>
    </row>
    <row r="1998" spans="6:8" x14ac:dyDescent="0.35">
      <c r="F1998" s="38"/>
      <c r="G1998" s="39"/>
      <c r="H1998" s="40"/>
    </row>
    <row r="1999" spans="6:8" x14ac:dyDescent="0.35">
      <c r="F1999" s="38"/>
      <c r="G1999" s="39"/>
      <c r="H1999" s="40"/>
    </row>
    <row r="2000" spans="6:8" x14ac:dyDescent="0.35">
      <c r="F2000" s="38"/>
      <c r="G2000" s="39"/>
      <c r="H2000" s="40"/>
    </row>
    <row r="2001" spans="6:8" x14ac:dyDescent="0.35">
      <c r="F2001" s="38"/>
      <c r="G2001" s="39"/>
      <c r="H2001" s="40"/>
    </row>
    <row r="2002" spans="6:8" x14ac:dyDescent="0.35">
      <c r="F2002" s="38"/>
      <c r="G2002" s="39"/>
      <c r="H2002" s="40"/>
    </row>
    <row r="2003" spans="6:8" x14ac:dyDescent="0.35">
      <c r="F2003" s="38"/>
      <c r="G2003" s="39"/>
      <c r="H2003" s="40"/>
    </row>
    <row r="2004" spans="6:8" x14ac:dyDescent="0.35">
      <c r="F2004" s="38"/>
      <c r="G2004" s="39"/>
      <c r="H2004" s="40"/>
    </row>
    <row r="2005" spans="6:8" x14ac:dyDescent="0.35">
      <c r="F2005" s="38"/>
      <c r="G2005" s="39"/>
      <c r="H2005" s="40"/>
    </row>
    <row r="2006" spans="6:8" x14ac:dyDescent="0.35">
      <c r="F2006" s="38"/>
      <c r="G2006" s="39"/>
      <c r="H2006" s="40"/>
    </row>
    <row r="2007" spans="6:8" x14ac:dyDescent="0.35">
      <c r="F2007" s="38"/>
      <c r="G2007" s="39"/>
      <c r="H2007" s="40"/>
    </row>
    <row r="2008" spans="6:8" x14ac:dyDescent="0.35">
      <c r="F2008" s="38"/>
      <c r="G2008" s="39"/>
      <c r="H2008" s="40"/>
    </row>
    <row r="2009" spans="6:8" x14ac:dyDescent="0.35">
      <c r="F2009" s="38"/>
      <c r="G2009" s="39"/>
      <c r="H2009" s="40"/>
    </row>
    <row r="2010" spans="6:8" x14ac:dyDescent="0.35">
      <c r="F2010" s="38"/>
      <c r="G2010" s="39"/>
      <c r="H2010" s="40"/>
    </row>
    <row r="2011" spans="6:8" x14ac:dyDescent="0.35">
      <c r="F2011" s="38"/>
      <c r="G2011" s="39"/>
      <c r="H2011" s="40"/>
    </row>
    <row r="2012" spans="6:8" x14ac:dyDescent="0.35">
      <c r="F2012" s="38"/>
      <c r="G2012" s="39"/>
      <c r="H2012" s="40"/>
    </row>
    <row r="2013" spans="6:8" x14ac:dyDescent="0.35">
      <c r="F2013" s="38"/>
      <c r="G2013" s="39"/>
      <c r="H2013" s="40"/>
    </row>
    <row r="2014" spans="6:8" x14ac:dyDescent="0.35">
      <c r="F2014" s="38"/>
      <c r="G2014" s="39"/>
      <c r="H2014" s="40"/>
    </row>
    <row r="2015" spans="6:8" x14ac:dyDescent="0.35">
      <c r="F2015" s="38"/>
      <c r="G2015" s="39"/>
      <c r="H2015" s="40"/>
    </row>
    <row r="2016" spans="6:8" x14ac:dyDescent="0.35">
      <c r="F2016" s="38"/>
      <c r="G2016" s="39"/>
      <c r="H2016" s="40"/>
    </row>
    <row r="2017" spans="6:8" x14ac:dyDescent="0.35">
      <c r="F2017" s="38"/>
      <c r="G2017" s="39"/>
      <c r="H2017" s="40"/>
    </row>
    <row r="2018" spans="6:8" x14ac:dyDescent="0.35">
      <c r="F2018" s="38"/>
      <c r="G2018" s="39"/>
      <c r="H2018" s="40"/>
    </row>
    <row r="2019" spans="6:8" x14ac:dyDescent="0.35">
      <c r="F2019" s="38"/>
      <c r="G2019" s="39"/>
      <c r="H2019" s="40"/>
    </row>
    <row r="2020" spans="6:8" x14ac:dyDescent="0.35">
      <c r="F2020" s="38"/>
      <c r="G2020" s="39"/>
      <c r="H2020" s="40"/>
    </row>
    <row r="2021" spans="6:8" x14ac:dyDescent="0.35">
      <c r="F2021" s="38"/>
      <c r="G2021" s="39"/>
      <c r="H2021" s="40"/>
    </row>
    <row r="2022" spans="6:8" x14ac:dyDescent="0.35">
      <c r="F2022" s="38"/>
      <c r="G2022" s="39"/>
      <c r="H2022" s="40"/>
    </row>
    <row r="2023" spans="6:8" x14ac:dyDescent="0.35">
      <c r="F2023" s="38"/>
      <c r="G2023" s="39"/>
      <c r="H2023" s="40"/>
    </row>
    <row r="2024" spans="6:8" x14ac:dyDescent="0.35">
      <c r="F2024" s="38"/>
      <c r="G2024" s="39"/>
      <c r="H2024" s="40"/>
    </row>
    <row r="2025" spans="6:8" x14ac:dyDescent="0.35">
      <c r="F2025" s="38"/>
      <c r="G2025" s="39"/>
      <c r="H2025" s="40"/>
    </row>
    <row r="2026" spans="6:8" x14ac:dyDescent="0.35">
      <c r="F2026" s="38"/>
      <c r="G2026" s="39"/>
      <c r="H2026" s="40"/>
    </row>
    <row r="2027" spans="6:8" x14ac:dyDescent="0.35">
      <c r="F2027" s="38"/>
      <c r="G2027" s="39"/>
      <c r="H2027" s="40"/>
    </row>
    <row r="2028" spans="6:8" x14ac:dyDescent="0.35">
      <c r="F2028" s="38"/>
      <c r="G2028" s="39"/>
      <c r="H2028" s="40"/>
    </row>
    <row r="2029" spans="6:8" x14ac:dyDescent="0.35">
      <c r="F2029" s="38"/>
      <c r="G2029" s="39"/>
      <c r="H2029" s="40"/>
    </row>
    <row r="2030" spans="6:8" x14ac:dyDescent="0.35">
      <c r="F2030" s="38"/>
      <c r="G2030" s="39"/>
      <c r="H2030" s="40"/>
    </row>
    <row r="2031" spans="6:8" x14ac:dyDescent="0.35">
      <c r="F2031" s="38"/>
      <c r="G2031" s="39"/>
      <c r="H2031" s="40"/>
    </row>
    <row r="2032" spans="6:8" x14ac:dyDescent="0.35">
      <c r="F2032" s="38"/>
      <c r="G2032" s="39"/>
      <c r="H2032" s="40"/>
    </row>
    <row r="2033" spans="6:8" x14ac:dyDescent="0.35">
      <c r="F2033" s="38"/>
      <c r="G2033" s="39"/>
      <c r="H2033" s="40"/>
    </row>
    <row r="2034" spans="6:8" x14ac:dyDescent="0.35">
      <c r="F2034" s="38"/>
      <c r="G2034" s="39"/>
      <c r="H2034" s="40"/>
    </row>
    <row r="2035" spans="6:8" x14ac:dyDescent="0.35">
      <c r="F2035" s="38"/>
      <c r="G2035" s="39"/>
      <c r="H2035" s="40"/>
    </row>
    <row r="2036" spans="6:8" x14ac:dyDescent="0.35">
      <c r="F2036" s="38"/>
      <c r="G2036" s="39"/>
      <c r="H2036" s="40"/>
    </row>
    <row r="2037" spans="6:8" x14ac:dyDescent="0.35">
      <c r="F2037" s="38"/>
      <c r="G2037" s="39"/>
      <c r="H2037" s="40"/>
    </row>
    <row r="2038" spans="6:8" x14ac:dyDescent="0.35">
      <c r="F2038" s="38"/>
      <c r="G2038" s="39"/>
      <c r="H2038" s="40"/>
    </row>
    <row r="2039" spans="6:8" x14ac:dyDescent="0.35">
      <c r="F2039" s="38"/>
      <c r="G2039" s="39"/>
      <c r="H2039" s="40"/>
    </row>
    <row r="2040" spans="6:8" x14ac:dyDescent="0.35">
      <c r="F2040" s="38"/>
      <c r="G2040" s="39"/>
      <c r="H2040" s="40"/>
    </row>
    <row r="2041" spans="6:8" x14ac:dyDescent="0.35">
      <c r="F2041" s="38"/>
      <c r="G2041" s="39"/>
      <c r="H2041" s="40"/>
    </row>
    <row r="2042" spans="6:8" x14ac:dyDescent="0.35">
      <c r="F2042" s="38"/>
      <c r="G2042" s="39"/>
      <c r="H2042" s="40"/>
    </row>
    <row r="2043" spans="6:8" x14ac:dyDescent="0.35">
      <c r="F2043" s="38"/>
      <c r="G2043" s="39"/>
      <c r="H2043" s="40"/>
    </row>
    <row r="2044" spans="6:8" x14ac:dyDescent="0.35">
      <c r="F2044" s="38"/>
      <c r="G2044" s="39"/>
      <c r="H2044" s="40"/>
    </row>
    <row r="2045" spans="6:8" x14ac:dyDescent="0.35">
      <c r="F2045" s="38"/>
      <c r="G2045" s="39"/>
      <c r="H2045" s="40"/>
    </row>
    <row r="2046" spans="6:8" x14ac:dyDescent="0.35">
      <c r="F2046" s="38"/>
      <c r="G2046" s="39"/>
      <c r="H2046" s="40"/>
    </row>
    <row r="2047" spans="6:8" x14ac:dyDescent="0.35">
      <c r="F2047" s="38"/>
      <c r="G2047" s="39"/>
      <c r="H2047" s="40"/>
    </row>
    <row r="2048" spans="6:8" x14ac:dyDescent="0.35">
      <c r="F2048" s="38"/>
      <c r="G2048" s="39"/>
      <c r="H2048" s="40"/>
    </row>
    <row r="2049" spans="6:8" x14ac:dyDescent="0.35">
      <c r="F2049" s="38"/>
      <c r="G2049" s="39"/>
      <c r="H2049" s="40"/>
    </row>
    <row r="2050" spans="6:8" x14ac:dyDescent="0.35">
      <c r="F2050" s="38"/>
      <c r="G2050" s="39"/>
      <c r="H2050" s="40"/>
    </row>
    <row r="2051" spans="6:8" x14ac:dyDescent="0.35">
      <c r="F2051" s="38"/>
      <c r="G2051" s="39"/>
      <c r="H2051" s="40"/>
    </row>
    <row r="2052" spans="6:8" x14ac:dyDescent="0.35">
      <c r="F2052" s="38"/>
      <c r="G2052" s="39"/>
      <c r="H2052" s="40"/>
    </row>
    <row r="2053" spans="6:8" x14ac:dyDescent="0.35">
      <c r="F2053" s="38"/>
      <c r="G2053" s="39"/>
      <c r="H2053" s="40"/>
    </row>
    <row r="2054" spans="6:8" x14ac:dyDescent="0.35">
      <c r="F2054" s="38"/>
      <c r="G2054" s="39"/>
      <c r="H2054" s="40"/>
    </row>
    <row r="2055" spans="6:8" x14ac:dyDescent="0.35">
      <c r="F2055" s="38"/>
      <c r="G2055" s="39"/>
      <c r="H2055" s="40"/>
    </row>
    <row r="2056" spans="6:8" x14ac:dyDescent="0.35">
      <c r="F2056" s="38"/>
      <c r="G2056" s="39"/>
      <c r="H2056" s="40"/>
    </row>
    <row r="2057" spans="6:8" x14ac:dyDescent="0.35">
      <c r="F2057" s="38"/>
      <c r="G2057" s="39"/>
      <c r="H2057" s="40"/>
    </row>
    <row r="2058" spans="6:8" x14ac:dyDescent="0.35">
      <c r="F2058" s="38"/>
      <c r="G2058" s="39"/>
      <c r="H2058" s="40"/>
    </row>
    <row r="2059" spans="6:8" x14ac:dyDescent="0.35">
      <c r="F2059" s="38"/>
      <c r="G2059" s="39"/>
      <c r="H2059" s="40"/>
    </row>
    <row r="2060" spans="6:8" x14ac:dyDescent="0.35">
      <c r="F2060" s="38"/>
      <c r="G2060" s="39"/>
      <c r="H2060" s="40"/>
    </row>
    <row r="2061" spans="6:8" x14ac:dyDescent="0.35">
      <c r="F2061" s="38"/>
      <c r="G2061" s="39"/>
      <c r="H2061" s="40"/>
    </row>
    <row r="2062" spans="6:8" x14ac:dyDescent="0.35">
      <c r="F2062" s="38"/>
      <c r="G2062" s="39"/>
      <c r="H2062" s="40"/>
    </row>
    <row r="2063" spans="6:8" x14ac:dyDescent="0.35">
      <c r="F2063" s="38"/>
      <c r="G2063" s="39"/>
      <c r="H2063" s="40"/>
    </row>
    <row r="2064" spans="6:8" x14ac:dyDescent="0.35">
      <c r="F2064" s="38"/>
      <c r="G2064" s="39"/>
      <c r="H2064" s="40"/>
    </row>
    <row r="2065" spans="6:8" x14ac:dyDescent="0.35">
      <c r="F2065" s="38"/>
      <c r="G2065" s="39"/>
      <c r="H2065" s="40"/>
    </row>
    <row r="2066" spans="6:8" x14ac:dyDescent="0.35">
      <c r="F2066" s="38"/>
      <c r="G2066" s="39"/>
      <c r="H2066" s="40"/>
    </row>
    <row r="2067" spans="6:8" x14ac:dyDescent="0.35">
      <c r="F2067" s="38"/>
      <c r="G2067" s="39"/>
      <c r="H2067" s="40"/>
    </row>
    <row r="2068" spans="6:8" x14ac:dyDescent="0.35">
      <c r="F2068" s="38"/>
      <c r="G2068" s="39"/>
      <c r="H2068" s="40"/>
    </row>
    <row r="2069" spans="6:8" x14ac:dyDescent="0.35">
      <c r="F2069" s="38"/>
      <c r="G2069" s="39"/>
      <c r="H2069" s="40"/>
    </row>
    <row r="2070" spans="6:8" x14ac:dyDescent="0.35">
      <c r="F2070" s="38"/>
      <c r="G2070" s="39"/>
      <c r="H2070" s="40"/>
    </row>
    <row r="2071" spans="6:8" x14ac:dyDescent="0.35">
      <c r="F2071" s="38"/>
      <c r="G2071" s="39"/>
      <c r="H2071" s="40"/>
    </row>
    <row r="2072" spans="6:8" x14ac:dyDescent="0.35">
      <c r="F2072" s="38"/>
      <c r="G2072" s="39"/>
      <c r="H2072" s="40"/>
    </row>
    <row r="2073" spans="6:8" x14ac:dyDescent="0.35">
      <c r="F2073" s="38"/>
      <c r="G2073" s="39"/>
      <c r="H2073" s="40"/>
    </row>
    <row r="2074" spans="6:8" x14ac:dyDescent="0.35">
      <c r="F2074" s="38"/>
      <c r="G2074" s="39"/>
      <c r="H2074" s="40"/>
    </row>
    <row r="2075" spans="6:8" x14ac:dyDescent="0.35">
      <c r="F2075" s="38"/>
      <c r="G2075" s="39"/>
      <c r="H2075" s="40"/>
    </row>
    <row r="2076" spans="6:8" x14ac:dyDescent="0.35">
      <c r="F2076" s="38"/>
      <c r="G2076" s="39"/>
      <c r="H2076" s="40"/>
    </row>
    <row r="2077" spans="6:8" x14ac:dyDescent="0.35">
      <c r="F2077" s="38"/>
      <c r="G2077" s="39"/>
      <c r="H2077" s="40"/>
    </row>
    <row r="2078" spans="6:8" x14ac:dyDescent="0.35">
      <c r="F2078" s="38"/>
      <c r="G2078" s="39"/>
      <c r="H2078" s="40"/>
    </row>
    <row r="2079" spans="6:8" x14ac:dyDescent="0.35">
      <c r="F2079" s="38"/>
      <c r="G2079" s="39"/>
      <c r="H2079" s="40"/>
    </row>
    <row r="2080" spans="6:8" x14ac:dyDescent="0.35">
      <c r="F2080" s="38"/>
      <c r="G2080" s="39"/>
      <c r="H2080" s="40"/>
    </row>
    <row r="2081" spans="6:8" x14ac:dyDescent="0.35">
      <c r="F2081" s="38"/>
      <c r="G2081" s="39"/>
      <c r="H2081" s="40"/>
    </row>
    <row r="2082" spans="6:8" x14ac:dyDescent="0.35">
      <c r="F2082" s="38"/>
      <c r="G2082" s="39"/>
      <c r="H2082" s="40"/>
    </row>
    <row r="2083" spans="6:8" x14ac:dyDescent="0.35">
      <c r="F2083" s="38"/>
      <c r="G2083" s="39"/>
      <c r="H2083" s="40"/>
    </row>
    <row r="2084" spans="6:8" x14ac:dyDescent="0.35">
      <c r="F2084" s="38"/>
      <c r="G2084" s="39"/>
      <c r="H2084" s="40"/>
    </row>
    <row r="2085" spans="6:8" x14ac:dyDescent="0.35">
      <c r="F2085" s="38"/>
      <c r="G2085" s="39"/>
      <c r="H2085" s="40"/>
    </row>
    <row r="2086" spans="6:8" x14ac:dyDescent="0.35">
      <c r="F2086" s="38"/>
      <c r="G2086" s="39"/>
      <c r="H2086" s="40"/>
    </row>
    <row r="2087" spans="6:8" x14ac:dyDescent="0.35">
      <c r="F2087" s="38"/>
      <c r="G2087" s="39"/>
      <c r="H2087" s="40"/>
    </row>
    <row r="2088" spans="6:8" x14ac:dyDescent="0.35">
      <c r="F2088" s="38"/>
      <c r="G2088" s="39"/>
      <c r="H2088" s="40"/>
    </row>
    <row r="2089" spans="6:8" x14ac:dyDescent="0.35">
      <c r="F2089" s="38"/>
      <c r="G2089" s="39"/>
      <c r="H2089" s="40"/>
    </row>
    <row r="2090" spans="6:8" x14ac:dyDescent="0.35">
      <c r="F2090" s="38"/>
      <c r="G2090" s="39"/>
      <c r="H2090" s="40"/>
    </row>
    <row r="2091" spans="6:8" x14ac:dyDescent="0.35">
      <c r="F2091" s="38"/>
      <c r="G2091" s="39"/>
      <c r="H2091" s="40"/>
    </row>
    <row r="2092" spans="6:8" x14ac:dyDescent="0.35">
      <c r="F2092" s="38"/>
      <c r="G2092" s="39"/>
      <c r="H2092" s="40"/>
    </row>
    <row r="2093" spans="6:8" x14ac:dyDescent="0.35">
      <c r="F2093" s="38"/>
      <c r="G2093" s="39"/>
      <c r="H2093" s="40"/>
    </row>
    <row r="2094" spans="6:8" x14ac:dyDescent="0.35">
      <c r="F2094" s="38"/>
      <c r="G2094" s="39"/>
      <c r="H2094" s="40"/>
    </row>
    <row r="2095" spans="6:8" x14ac:dyDescent="0.35">
      <c r="F2095" s="38"/>
      <c r="G2095" s="39"/>
      <c r="H2095" s="40"/>
    </row>
    <row r="2096" spans="6:8" x14ac:dyDescent="0.35">
      <c r="F2096" s="38"/>
      <c r="G2096" s="39"/>
      <c r="H2096" s="40"/>
    </row>
    <row r="2097" spans="6:8" x14ac:dyDescent="0.35">
      <c r="F2097" s="38"/>
      <c r="G2097" s="39"/>
      <c r="H2097" s="40"/>
    </row>
    <row r="2098" spans="6:8" x14ac:dyDescent="0.35">
      <c r="F2098" s="38"/>
      <c r="G2098" s="39"/>
      <c r="H2098" s="40"/>
    </row>
    <row r="2099" spans="6:8" x14ac:dyDescent="0.35">
      <c r="F2099" s="38"/>
      <c r="G2099" s="39"/>
      <c r="H2099" s="40"/>
    </row>
    <row r="2100" spans="6:8" x14ac:dyDescent="0.35">
      <c r="F2100" s="38"/>
      <c r="G2100" s="39"/>
      <c r="H2100" s="40"/>
    </row>
    <row r="2101" spans="6:8" x14ac:dyDescent="0.35">
      <c r="F2101" s="38"/>
      <c r="G2101" s="39"/>
      <c r="H2101" s="40"/>
    </row>
    <row r="2102" spans="6:8" x14ac:dyDescent="0.35">
      <c r="F2102" s="38"/>
      <c r="G2102" s="39"/>
      <c r="H2102" s="40"/>
    </row>
    <row r="2103" spans="6:8" x14ac:dyDescent="0.35">
      <c r="F2103" s="38"/>
      <c r="G2103" s="39"/>
      <c r="H2103" s="40"/>
    </row>
    <row r="2104" spans="6:8" x14ac:dyDescent="0.35">
      <c r="F2104" s="38"/>
      <c r="G2104" s="39"/>
      <c r="H2104" s="40"/>
    </row>
    <row r="2105" spans="6:8" x14ac:dyDescent="0.35">
      <c r="F2105" s="38"/>
      <c r="G2105" s="39"/>
      <c r="H2105" s="40"/>
    </row>
    <row r="2106" spans="6:8" x14ac:dyDescent="0.35">
      <c r="F2106" s="38"/>
      <c r="G2106" s="39"/>
      <c r="H2106" s="40"/>
    </row>
    <row r="2107" spans="6:8" x14ac:dyDescent="0.35">
      <c r="F2107" s="38"/>
      <c r="G2107" s="39"/>
      <c r="H2107" s="40"/>
    </row>
    <row r="2108" spans="6:8" x14ac:dyDescent="0.35">
      <c r="F2108" s="38"/>
      <c r="G2108" s="39"/>
      <c r="H2108" s="40"/>
    </row>
    <row r="2109" spans="6:8" x14ac:dyDescent="0.35">
      <c r="F2109" s="38"/>
      <c r="G2109" s="39"/>
      <c r="H2109" s="40"/>
    </row>
    <row r="2110" spans="6:8" x14ac:dyDescent="0.35">
      <c r="F2110" s="38"/>
      <c r="G2110" s="39"/>
      <c r="H2110" s="40"/>
    </row>
    <row r="2111" spans="6:8" x14ac:dyDescent="0.35">
      <c r="F2111" s="38"/>
      <c r="G2111" s="39"/>
      <c r="H2111" s="40"/>
    </row>
    <row r="2112" spans="6:8" x14ac:dyDescent="0.35">
      <c r="F2112" s="38"/>
      <c r="G2112" s="39"/>
      <c r="H2112" s="40"/>
    </row>
    <row r="2113" spans="6:8" x14ac:dyDescent="0.35">
      <c r="F2113" s="38"/>
      <c r="G2113" s="39"/>
      <c r="H2113" s="40"/>
    </row>
    <row r="2114" spans="6:8" x14ac:dyDescent="0.35">
      <c r="F2114" s="38"/>
      <c r="G2114" s="39"/>
      <c r="H2114" s="40"/>
    </row>
    <row r="2115" spans="6:8" x14ac:dyDescent="0.35">
      <c r="F2115" s="38"/>
      <c r="G2115" s="39"/>
      <c r="H2115" s="40"/>
    </row>
    <row r="2116" spans="6:8" x14ac:dyDescent="0.35">
      <c r="F2116" s="38"/>
      <c r="G2116" s="39"/>
      <c r="H2116" s="40"/>
    </row>
    <row r="2117" spans="6:8" x14ac:dyDescent="0.35">
      <c r="F2117" s="38"/>
      <c r="G2117" s="39"/>
      <c r="H2117" s="40"/>
    </row>
    <row r="2118" spans="6:8" x14ac:dyDescent="0.35">
      <c r="F2118" s="38"/>
      <c r="G2118" s="39"/>
      <c r="H2118" s="40"/>
    </row>
    <row r="2119" spans="6:8" x14ac:dyDescent="0.35">
      <c r="F2119" s="38"/>
      <c r="G2119" s="39"/>
      <c r="H2119" s="40"/>
    </row>
    <row r="2120" spans="6:8" x14ac:dyDescent="0.35">
      <c r="F2120" s="38"/>
      <c r="G2120" s="39"/>
      <c r="H2120" s="40"/>
    </row>
    <row r="2121" spans="6:8" x14ac:dyDescent="0.35">
      <c r="F2121" s="38"/>
      <c r="G2121" s="39"/>
      <c r="H2121" s="40"/>
    </row>
    <row r="2122" spans="6:8" x14ac:dyDescent="0.35">
      <c r="F2122" s="38"/>
      <c r="G2122" s="39"/>
      <c r="H2122" s="40"/>
    </row>
    <row r="2123" spans="6:8" x14ac:dyDescent="0.35">
      <c r="F2123" s="38"/>
      <c r="G2123" s="39"/>
      <c r="H2123" s="40"/>
    </row>
    <row r="2124" spans="6:8" x14ac:dyDescent="0.35">
      <c r="F2124" s="38"/>
      <c r="G2124" s="39"/>
      <c r="H2124" s="40"/>
    </row>
    <row r="2125" spans="6:8" x14ac:dyDescent="0.35">
      <c r="F2125" s="38"/>
      <c r="G2125" s="39"/>
      <c r="H2125" s="40"/>
    </row>
    <row r="2126" spans="6:8" x14ac:dyDescent="0.35">
      <c r="F2126" s="38"/>
      <c r="G2126" s="39"/>
      <c r="H2126" s="40"/>
    </row>
    <row r="2127" spans="6:8" x14ac:dyDescent="0.35">
      <c r="F2127" s="38"/>
      <c r="G2127" s="39"/>
      <c r="H2127" s="40"/>
    </row>
    <row r="2128" spans="6:8" x14ac:dyDescent="0.35">
      <c r="F2128" s="38"/>
      <c r="G2128" s="39"/>
      <c r="H2128" s="40"/>
    </row>
    <row r="2129" spans="6:8" x14ac:dyDescent="0.35">
      <c r="F2129" s="38"/>
      <c r="G2129" s="39"/>
      <c r="H2129" s="40"/>
    </row>
    <row r="2130" spans="6:8" x14ac:dyDescent="0.35">
      <c r="F2130" s="38"/>
      <c r="G2130" s="39"/>
      <c r="H2130" s="40"/>
    </row>
    <row r="2131" spans="6:8" x14ac:dyDescent="0.35">
      <c r="F2131" s="38"/>
      <c r="G2131" s="39"/>
      <c r="H2131" s="40"/>
    </row>
    <row r="2132" spans="6:8" x14ac:dyDescent="0.35">
      <c r="F2132" s="38"/>
      <c r="G2132" s="39"/>
      <c r="H2132" s="40"/>
    </row>
    <row r="2133" spans="6:8" x14ac:dyDescent="0.35">
      <c r="F2133" s="38"/>
      <c r="G2133" s="39"/>
      <c r="H2133" s="40"/>
    </row>
    <row r="2134" spans="6:8" x14ac:dyDescent="0.35">
      <c r="F2134" s="38"/>
      <c r="G2134" s="39"/>
      <c r="H2134" s="40"/>
    </row>
    <row r="2135" spans="6:8" x14ac:dyDescent="0.35">
      <c r="F2135" s="38"/>
      <c r="G2135" s="39"/>
      <c r="H2135" s="40"/>
    </row>
    <row r="2136" spans="6:8" x14ac:dyDescent="0.35">
      <c r="F2136" s="38"/>
      <c r="G2136" s="39"/>
      <c r="H2136" s="40"/>
    </row>
    <row r="2137" spans="6:8" x14ac:dyDescent="0.35">
      <c r="F2137" s="38"/>
      <c r="G2137" s="39"/>
      <c r="H2137" s="40"/>
    </row>
    <row r="2138" spans="6:8" x14ac:dyDescent="0.35">
      <c r="F2138" s="38"/>
      <c r="G2138" s="39"/>
      <c r="H2138" s="40"/>
    </row>
    <row r="2139" spans="6:8" x14ac:dyDescent="0.35">
      <c r="F2139" s="38"/>
      <c r="G2139" s="39"/>
      <c r="H2139" s="40"/>
    </row>
    <row r="2140" spans="6:8" x14ac:dyDescent="0.35">
      <c r="F2140" s="38"/>
      <c r="G2140" s="39"/>
      <c r="H2140" s="40"/>
    </row>
    <row r="2141" spans="6:8" x14ac:dyDescent="0.35">
      <c r="F2141" s="38"/>
      <c r="G2141" s="39"/>
      <c r="H2141" s="40"/>
    </row>
    <row r="2142" spans="6:8" x14ac:dyDescent="0.35">
      <c r="F2142" s="38"/>
      <c r="G2142" s="39"/>
      <c r="H2142" s="40"/>
    </row>
    <row r="2143" spans="6:8" x14ac:dyDescent="0.35">
      <c r="F2143" s="38"/>
      <c r="G2143" s="39"/>
      <c r="H2143" s="40"/>
    </row>
    <row r="2144" spans="6:8" x14ac:dyDescent="0.35">
      <c r="F2144" s="38"/>
      <c r="G2144" s="39"/>
      <c r="H2144" s="40"/>
    </row>
    <row r="2145" spans="6:8" x14ac:dyDescent="0.35">
      <c r="F2145" s="38"/>
      <c r="G2145" s="39"/>
      <c r="H2145" s="40"/>
    </row>
    <row r="2146" spans="6:8" x14ac:dyDescent="0.35">
      <c r="F2146" s="38"/>
      <c r="G2146" s="39"/>
      <c r="H2146" s="40"/>
    </row>
    <row r="2147" spans="6:8" x14ac:dyDescent="0.35">
      <c r="F2147" s="38"/>
      <c r="G2147" s="39"/>
      <c r="H2147" s="40"/>
    </row>
    <row r="2148" spans="6:8" x14ac:dyDescent="0.35">
      <c r="F2148" s="38"/>
      <c r="G2148" s="39"/>
      <c r="H2148" s="40"/>
    </row>
    <row r="2149" spans="6:8" x14ac:dyDescent="0.35">
      <c r="F2149" s="38"/>
      <c r="G2149" s="39"/>
      <c r="H2149" s="40"/>
    </row>
    <row r="2150" spans="6:8" x14ac:dyDescent="0.35">
      <c r="F2150" s="38"/>
      <c r="G2150" s="39"/>
      <c r="H2150" s="40"/>
    </row>
    <row r="2151" spans="6:8" x14ac:dyDescent="0.35">
      <c r="F2151" s="38"/>
      <c r="G2151" s="39"/>
      <c r="H2151" s="40"/>
    </row>
    <row r="2152" spans="6:8" x14ac:dyDescent="0.35">
      <c r="F2152" s="38"/>
      <c r="G2152" s="39"/>
      <c r="H2152" s="40"/>
    </row>
    <row r="2153" spans="6:8" x14ac:dyDescent="0.35">
      <c r="F2153" s="38"/>
      <c r="G2153" s="39"/>
      <c r="H2153" s="40"/>
    </row>
    <row r="2154" spans="6:8" x14ac:dyDescent="0.35">
      <c r="F2154" s="38"/>
      <c r="G2154" s="39"/>
      <c r="H2154" s="40"/>
    </row>
    <row r="2155" spans="6:8" x14ac:dyDescent="0.35">
      <c r="F2155" s="38"/>
      <c r="G2155" s="39"/>
      <c r="H2155" s="40"/>
    </row>
    <row r="2156" spans="6:8" x14ac:dyDescent="0.35">
      <c r="F2156" s="38"/>
      <c r="G2156" s="39"/>
      <c r="H2156" s="40"/>
    </row>
    <row r="2157" spans="6:8" x14ac:dyDescent="0.35">
      <c r="F2157" s="38"/>
      <c r="G2157" s="39"/>
      <c r="H2157" s="40"/>
    </row>
    <row r="2158" spans="6:8" x14ac:dyDescent="0.35">
      <c r="F2158" s="38"/>
      <c r="G2158" s="39"/>
      <c r="H2158" s="40"/>
    </row>
    <row r="2159" spans="6:8" x14ac:dyDescent="0.35">
      <c r="F2159" s="38"/>
      <c r="G2159" s="39"/>
      <c r="H2159" s="40"/>
    </row>
    <row r="2160" spans="6:8" x14ac:dyDescent="0.35">
      <c r="F2160" s="38"/>
      <c r="G2160" s="39"/>
      <c r="H2160" s="40"/>
    </row>
    <row r="2161" spans="6:8" x14ac:dyDescent="0.35">
      <c r="F2161" s="38"/>
      <c r="G2161" s="39"/>
      <c r="H2161" s="40"/>
    </row>
    <row r="2162" spans="6:8" x14ac:dyDescent="0.35">
      <c r="F2162" s="38"/>
      <c r="G2162" s="39"/>
      <c r="H2162" s="40"/>
    </row>
    <row r="2163" spans="6:8" x14ac:dyDescent="0.35">
      <c r="F2163" s="38"/>
      <c r="G2163" s="39"/>
      <c r="H2163" s="40"/>
    </row>
    <row r="2164" spans="6:8" x14ac:dyDescent="0.35">
      <c r="F2164" s="38"/>
      <c r="G2164" s="39"/>
      <c r="H2164" s="40"/>
    </row>
    <row r="2165" spans="6:8" x14ac:dyDescent="0.35">
      <c r="F2165" s="38"/>
      <c r="G2165" s="39"/>
      <c r="H2165" s="40"/>
    </row>
    <row r="2166" spans="6:8" x14ac:dyDescent="0.35">
      <c r="F2166" s="38"/>
      <c r="G2166" s="39"/>
      <c r="H2166" s="40"/>
    </row>
    <row r="2167" spans="6:8" x14ac:dyDescent="0.35">
      <c r="F2167" s="38"/>
      <c r="G2167" s="39"/>
      <c r="H2167" s="40"/>
    </row>
    <row r="2168" spans="6:8" x14ac:dyDescent="0.35">
      <c r="F2168" s="38"/>
      <c r="G2168" s="39"/>
      <c r="H2168" s="40"/>
    </row>
    <row r="2169" spans="6:8" x14ac:dyDescent="0.35">
      <c r="F2169" s="38"/>
      <c r="G2169" s="39"/>
      <c r="H2169" s="40"/>
    </row>
    <row r="2170" spans="6:8" x14ac:dyDescent="0.35">
      <c r="F2170" s="38"/>
      <c r="G2170" s="39"/>
      <c r="H2170" s="40"/>
    </row>
    <row r="2171" spans="6:8" x14ac:dyDescent="0.35">
      <c r="F2171" s="38"/>
      <c r="G2171" s="39"/>
      <c r="H2171" s="40"/>
    </row>
    <row r="2172" spans="6:8" x14ac:dyDescent="0.35">
      <c r="F2172" s="38"/>
      <c r="G2172" s="39"/>
      <c r="H2172" s="40"/>
    </row>
    <row r="2173" spans="6:8" x14ac:dyDescent="0.35">
      <c r="F2173" s="38"/>
      <c r="G2173" s="39"/>
      <c r="H2173" s="40"/>
    </row>
    <row r="2174" spans="6:8" x14ac:dyDescent="0.35">
      <c r="F2174" s="38"/>
      <c r="G2174" s="39"/>
      <c r="H2174" s="40"/>
    </row>
    <row r="2175" spans="6:8" x14ac:dyDescent="0.35">
      <c r="F2175" s="38"/>
      <c r="G2175" s="39"/>
      <c r="H2175" s="40"/>
    </row>
    <row r="2176" spans="6:8" x14ac:dyDescent="0.35">
      <c r="F2176" s="38"/>
      <c r="G2176" s="39"/>
      <c r="H2176" s="40"/>
    </row>
    <row r="2177" spans="6:8" x14ac:dyDescent="0.35">
      <c r="F2177" s="38"/>
      <c r="G2177" s="39"/>
      <c r="H2177" s="40"/>
    </row>
    <row r="2178" spans="6:8" x14ac:dyDescent="0.35">
      <c r="F2178" s="38"/>
      <c r="G2178" s="39"/>
      <c r="H2178" s="40"/>
    </row>
    <row r="2179" spans="6:8" x14ac:dyDescent="0.35">
      <c r="F2179" s="38"/>
      <c r="G2179" s="39"/>
      <c r="H2179" s="40"/>
    </row>
    <row r="2180" spans="6:8" x14ac:dyDescent="0.35">
      <c r="F2180" s="38"/>
      <c r="G2180" s="39"/>
      <c r="H2180" s="40"/>
    </row>
    <row r="2181" spans="6:8" x14ac:dyDescent="0.35">
      <c r="F2181" s="38"/>
      <c r="G2181" s="39"/>
      <c r="H2181" s="40"/>
    </row>
    <row r="2182" spans="6:8" x14ac:dyDescent="0.35">
      <c r="F2182" s="38"/>
      <c r="G2182" s="39"/>
      <c r="H2182" s="40"/>
    </row>
    <row r="2183" spans="6:8" x14ac:dyDescent="0.35">
      <c r="F2183" s="38"/>
      <c r="G2183" s="39"/>
      <c r="H2183" s="40"/>
    </row>
    <row r="2184" spans="6:8" x14ac:dyDescent="0.35">
      <c r="F2184" s="38"/>
      <c r="G2184" s="39"/>
      <c r="H2184" s="40"/>
    </row>
    <row r="2185" spans="6:8" x14ac:dyDescent="0.35">
      <c r="F2185" s="38"/>
      <c r="G2185" s="39"/>
      <c r="H2185" s="40"/>
    </row>
    <row r="2186" spans="6:8" x14ac:dyDescent="0.35">
      <c r="F2186" s="38"/>
      <c r="G2186" s="39"/>
      <c r="H2186" s="40"/>
    </row>
    <row r="2187" spans="6:8" x14ac:dyDescent="0.35">
      <c r="F2187" s="38"/>
      <c r="G2187" s="39"/>
      <c r="H2187" s="40"/>
    </row>
    <row r="2188" spans="6:8" x14ac:dyDescent="0.35">
      <c r="F2188" s="38"/>
      <c r="G2188" s="39"/>
      <c r="H2188" s="40"/>
    </row>
    <row r="2189" spans="6:8" x14ac:dyDescent="0.35">
      <c r="F2189" s="38"/>
      <c r="G2189" s="39"/>
      <c r="H2189" s="40"/>
    </row>
    <row r="2190" spans="6:8" x14ac:dyDescent="0.35">
      <c r="F2190" s="38"/>
      <c r="G2190" s="39"/>
      <c r="H2190" s="40"/>
    </row>
    <row r="2191" spans="6:8" x14ac:dyDescent="0.35">
      <c r="F2191" s="38"/>
      <c r="G2191" s="39"/>
      <c r="H2191" s="40"/>
    </row>
    <row r="2192" spans="6:8" x14ac:dyDescent="0.35">
      <c r="F2192" s="38"/>
      <c r="G2192" s="39"/>
      <c r="H2192" s="40"/>
    </row>
    <row r="2193" spans="6:8" x14ac:dyDescent="0.35">
      <c r="F2193" s="38"/>
      <c r="G2193" s="39"/>
      <c r="H2193" s="40"/>
    </row>
    <row r="2194" spans="6:8" x14ac:dyDescent="0.35">
      <c r="F2194" s="38"/>
      <c r="G2194" s="39"/>
      <c r="H2194" s="40"/>
    </row>
    <row r="2195" spans="6:8" x14ac:dyDescent="0.35">
      <c r="F2195" s="38"/>
      <c r="G2195" s="39"/>
      <c r="H2195" s="40"/>
    </row>
    <row r="2196" spans="6:8" x14ac:dyDescent="0.35">
      <c r="F2196" s="38"/>
      <c r="G2196" s="39"/>
      <c r="H2196" s="40"/>
    </row>
    <row r="2197" spans="6:8" x14ac:dyDescent="0.35">
      <c r="F2197" s="38"/>
      <c r="G2197" s="39"/>
      <c r="H2197" s="40"/>
    </row>
    <row r="2198" spans="6:8" x14ac:dyDescent="0.35">
      <c r="F2198" s="38"/>
      <c r="G2198" s="39"/>
      <c r="H2198" s="40"/>
    </row>
    <row r="2199" spans="6:8" x14ac:dyDescent="0.35">
      <c r="F2199" s="38"/>
      <c r="G2199" s="39"/>
      <c r="H2199" s="40"/>
    </row>
    <row r="2200" spans="6:8" x14ac:dyDescent="0.35">
      <c r="F2200" s="38"/>
      <c r="G2200" s="39"/>
      <c r="H2200" s="40"/>
    </row>
    <row r="2201" spans="6:8" x14ac:dyDescent="0.35">
      <c r="F2201" s="38"/>
      <c r="G2201" s="39"/>
      <c r="H2201" s="40"/>
    </row>
    <row r="2202" spans="6:8" x14ac:dyDescent="0.35">
      <c r="F2202" s="38"/>
      <c r="G2202" s="39"/>
      <c r="H2202" s="40"/>
    </row>
    <row r="2203" spans="6:8" x14ac:dyDescent="0.35">
      <c r="F2203" s="38"/>
      <c r="G2203" s="39"/>
      <c r="H2203" s="40"/>
    </row>
    <row r="2204" spans="6:8" x14ac:dyDescent="0.35">
      <c r="F2204" s="38"/>
      <c r="G2204" s="39"/>
      <c r="H2204" s="40"/>
    </row>
    <row r="2205" spans="6:8" x14ac:dyDescent="0.35">
      <c r="F2205" s="38"/>
      <c r="G2205" s="39"/>
      <c r="H2205" s="40"/>
    </row>
    <row r="2206" spans="6:8" x14ac:dyDescent="0.35">
      <c r="F2206" s="38"/>
      <c r="G2206" s="39"/>
      <c r="H2206" s="40"/>
    </row>
    <row r="2207" spans="6:8" x14ac:dyDescent="0.35">
      <c r="F2207" s="38"/>
      <c r="G2207" s="39"/>
      <c r="H2207" s="40"/>
    </row>
    <row r="2208" spans="6:8" x14ac:dyDescent="0.35">
      <c r="F2208" s="38"/>
      <c r="G2208" s="39"/>
      <c r="H2208" s="40"/>
    </row>
    <row r="2209" spans="6:8" x14ac:dyDescent="0.35">
      <c r="F2209" s="38"/>
      <c r="G2209" s="39"/>
      <c r="H2209" s="40"/>
    </row>
    <row r="2210" spans="6:8" x14ac:dyDescent="0.35">
      <c r="F2210" s="38"/>
      <c r="G2210" s="39"/>
      <c r="H2210" s="40"/>
    </row>
    <row r="2211" spans="6:8" x14ac:dyDescent="0.35">
      <c r="F2211" s="38"/>
      <c r="G2211" s="39"/>
      <c r="H2211" s="40"/>
    </row>
    <row r="2212" spans="6:8" x14ac:dyDescent="0.35">
      <c r="F2212" s="38"/>
      <c r="G2212" s="39"/>
      <c r="H2212" s="40"/>
    </row>
    <row r="2213" spans="6:8" x14ac:dyDescent="0.35">
      <c r="F2213" s="38"/>
      <c r="G2213" s="39"/>
      <c r="H2213" s="40"/>
    </row>
    <row r="2214" spans="6:8" x14ac:dyDescent="0.35">
      <c r="F2214" s="38"/>
      <c r="G2214" s="39"/>
      <c r="H2214" s="40"/>
    </row>
    <row r="2215" spans="6:8" x14ac:dyDescent="0.35">
      <c r="F2215" s="38"/>
      <c r="G2215" s="39"/>
      <c r="H2215" s="40"/>
    </row>
    <row r="2216" spans="6:8" x14ac:dyDescent="0.35">
      <c r="F2216" s="38"/>
      <c r="G2216" s="39"/>
      <c r="H2216" s="40"/>
    </row>
    <row r="2217" spans="6:8" x14ac:dyDescent="0.35">
      <c r="F2217" s="38"/>
      <c r="G2217" s="39"/>
      <c r="H2217" s="40"/>
    </row>
    <row r="2218" spans="6:8" x14ac:dyDescent="0.35">
      <c r="F2218" s="38"/>
      <c r="G2218" s="39"/>
      <c r="H2218" s="40"/>
    </row>
    <row r="2219" spans="6:8" x14ac:dyDescent="0.35">
      <c r="F2219" s="38"/>
      <c r="G2219" s="39"/>
      <c r="H2219" s="40"/>
    </row>
    <row r="2220" spans="6:8" x14ac:dyDescent="0.35">
      <c r="F2220" s="38"/>
      <c r="G2220" s="39"/>
      <c r="H2220" s="40"/>
    </row>
    <row r="2221" spans="6:8" x14ac:dyDescent="0.35">
      <c r="F2221" s="38"/>
      <c r="G2221" s="39"/>
      <c r="H2221" s="40"/>
    </row>
    <row r="2222" spans="6:8" x14ac:dyDescent="0.35">
      <c r="F2222" s="38"/>
      <c r="G2222" s="39"/>
      <c r="H2222" s="40"/>
    </row>
    <row r="2223" spans="6:8" x14ac:dyDescent="0.35">
      <c r="F2223" s="38"/>
      <c r="G2223" s="39"/>
      <c r="H2223" s="40"/>
    </row>
    <row r="2224" spans="6:8" x14ac:dyDescent="0.35">
      <c r="F2224" s="38"/>
      <c r="G2224" s="39"/>
      <c r="H2224" s="40"/>
    </row>
    <row r="2225" spans="6:8" x14ac:dyDescent="0.35">
      <c r="F2225" s="38"/>
      <c r="G2225" s="39"/>
      <c r="H2225" s="40"/>
    </row>
    <row r="2226" spans="6:8" x14ac:dyDescent="0.35">
      <c r="F2226" s="38"/>
      <c r="G2226" s="39"/>
      <c r="H2226" s="40"/>
    </row>
    <row r="2227" spans="6:8" x14ac:dyDescent="0.35">
      <c r="F2227" s="38"/>
      <c r="G2227" s="39"/>
      <c r="H2227" s="40"/>
    </row>
    <row r="2228" spans="6:8" x14ac:dyDescent="0.35">
      <c r="F2228" s="38"/>
      <c r="G2228" s="39"/>
      <c r="H2228" s="40"/>
    </row>
    <row r="2229" spans="6:8" x14ac:dyDescent="0.35">
      <c r="F2229" s="38"/>
      <c r="G2229" s="39"/>
      <c r="H2229" s="40"/>
    </row>
    <row r="2230" spans="6:8" x14ac:dyDescent="0.35">
      <c r="F2230" s="38"/>
      <c r="G2230" s="39"/>
      <c r="H2230" s="40"/>
    </row>
    <row r="2231" spans="6:8" x14ac:dyDescent="0.35">
      <c r="F2231" s="38"/>
      <c r="G2231" s="39"/>
      <c r="H2231" s="40"/>
    </row>
    <row r="2232" spans="6:8" x14ac:dyDescent="0.35">
      <c r="F2232" s="38"/>
      <c r="G2232" s="39"/>
      <c r="H2232" s="40"/>
    </row>
    <row r="2233" spans="6:8" x14ac:dyDescent="0.35">
      <c r="F2233" s="38"/>
      <c r="G2233" s="39"/>
      <c r="H2233" s="40"/>
    </row>
    <row r="2234" spans="6:8" x14ac:dyDescent="0.35">
      <c r="F2234" s="38"/>
      <c r="G2234" s="39"/>
      <c r="H2234" s="40"/>
    </row>
    <row r="2235" spans="6:8" x14ac:dyDescent="0.35">
      <c r="F2235" s="38"/>
      <c r="G2235" s="39"/>
      <c r="H2235" s="40"/>
    </row>
    <row r="2236" spans="6:8" x14ac:dyDescent="0.35">
      <c r="F2236" s="38"/>
      <c r="G2236" s="39"/>
      <c r="H2236" s="40"/>
    </row>
    <row r="2237" spans="6:8" x14ac:dyDescent="0.35">
      <c r="F2237" s="38"/>
      <c r="G2237" s="39"/>
      <c r="H2237" s="40"/>
    </row>
    <row r="2238" spans="6:8" x14ac:dyDescent="0.35">
      <c r="F2238" s="38"/>
      <c r="G2238" s="39"/>
      <c r="H2238" s="40"/>
    </row>
    <row r="2239" spans="6:8" x14ac:dyDescent="0.35">
      <c r="F2239" s="38"/>
      <c r="G2239" s="39"/>
      <c r="H2239" s="40"/>
    </row>
    <row r="2240" spans="6:8" x14ac:dyDescent="0.35">
      <c r="F2240" s="38"/>
      <c r="G2240" s="39"/>
      <c r="H2240" s="40"/>
    </row>
    <row r="2241" spans="6:8" x14ac:dyDescent="0.35">
      <c r="F2241" s="38"/>
      <c r="G2241" s="39"/>
      <c r="H2241" s="40"/>
    </row>
    <row r="2242" spans="6:8" x14ac:dyDescent="0.35">
      <c r="F2242" s="38"/>
      <c r="G2242" s="39"/>
      <c r="H2242" s="40"/>
    </row>
    <row r="2243" spans="6:8" x14ac:dyDescent="0.35">
      <c r="F2243" s="38"/>
      <c r="G2243" s="39"/>
      <c r="H2243" s="40"/>
    </row>
    <row r="2244" spans="6:8" x14ac:dyDescent="0.35">
      <c r="F2244" s="38"/>
      <c r="G2244" s="39"/>
      <c r="H2244" s="40"/>
    </row>
    <row r="2245" spans="6:8" x14ac:dyDescent="0.35">
      <c r="F2245" s="38"/>
      <c r="G2245" s="39"/>
      <c r="H2245" s="40"/>
    </row>
    <row r="2246" spans="6:8" x14ac:dyDescent="0.35">
      <c r="F2246" s="38"/>
      <c r="G2246" s="39"/>
      <c r="H2246" s="40"/>
    </row>
    <row r="2247" spans="6:8" x14ac:dyDescent="0.35">
      <c r="F2247" s="38"/>
      <c r="G2247" s="39"/>
      <c r="H2247" s="40"/>
    </row>
    <row r="2248" spans="6:8" x14ac:dyDescent="0.35">
      <c r="F2248" s="38"/>
      <c r="G2248" s="39"/>
      <c r="H2248" s="40"/>
    </row>
    <row r="2249" spans="6:8" x14ac:dyDescent="0.35">
      <c r="F2249" s="38"/>
      <c r="G2249" s="39"/>
      <c r="H2249" s="40"/>
    </row>
    <row r="2250" spans="6:8" x14ac:dyDescent="0.35">
      <c r="F2250" s="38"/>
      <c r="G2250" s="39"/>
      <c r="H2250" s="40"/>
    </row>
    <row r="2251" spans="6:8" x14ac:dyDescent="0.35">
      <c r="F2251" s="38"/>
      <c r="G2251" s="39"/>
      <c r="H2251" s="40"/>
    </row>
    <row r="2252" spans="6:8" x14ac:dyDescent="0.35">
      <c r="F2252" s="38"/>
      <c r="G2252" s="39"/>
      <c r="H2252" s="40"/>
    </row>
    <row r="2253" spans="6:8" x14ac:dyDescent="0.35">
      <c r="F2253" s="38"/>
      <c r="G2253" s="39"/>
      <c r="H2253" s="40"/>
    </row>
    <row r="2254" spans="6:8" x14ac:dyDescent="0.35">
      <c r="F2254" s="38"/>
      <c r="G2254" s="39"/>
      <c r="H2254" s="40"/>
    </row>
    <row r="2255" spans="6:8" x14ac:dyDescent="0.35">
      <c r="F2255" s="38"/>
      <c r="G2255" s="39"/>
      <c r="H2255" s="40"/>
    </row>
    <row r="2256" spans="6:8" x14ac:dyDescent="0.35">
      <c r="F2256" s="38"/>
      <c r="G2256" s="39"/>
      <c r="H2256" s="40"/>
    </row>
    <row r="2257" spans="6:8" x14ac:dyDescent="0.35">
      <c r="F2257" s="38"/>
      <c r="G2257" s="39"/>
      <c r="H2257" s="40"/>
    </row>
    <row r="2258" spans="6:8" x14ac:dyDescent="0.35">
      <c r="F2258" s="38"/>
      <c r="G2258" s="39"/>
      <c r="H2258" s="40"/>
    </row>
    <row r="2259" spans="6:8" x14ac:dyDescent="0.35">
      <c r="F2259" s="38"/>
      <c r="G2259" s="39"/>
      <c r="H2259" s="40"/>
    </row>
    <row r="2260" spans="6:8" x14ac:dyDescent="0.35">
      <c r="F2260" s="38"/>
      <c r="G2260" s="39"/>
      <c r="H2260" s="40"/>
    </row>
    <row r="2261" spans="6:8" x14ac:dyDescent="0.35">
      <c r="F2261" s="38"/>
      <c r="G2261" s="39"/>
      <c r="H2261" s="40"/>
    </row>
    <row r="2262" spans="6:8" x14ac:dyDescent="0.35">
      <c r="F2262" s="38"/>
      <c r="G2262" s="39"/>
      <c r="H2262" s="40"/>
    </row>
    <row r="2263" spans="6:8" x14ac:dyDescent="0.35">
      <c r="F2263" s="38"/>
      <c r="G2263" s="39"/>
      <c r="H2263" s="40"/>
    </row>
    <row r="2264" spans="6:8" x14ac:dyDescent="0.35">
      <c r="F2264" s="38"/>
      <c r="G2264" s="39"/>
      <c r="H2264" s="40"/>
    </row>
    <row r="2265" spans="6:8" x14ac:dyDescent="0.35">
      <c r="F2265" s="38"/>
      <c r="G2265" s="39"/>
      <c r="H2265" s="40"/>
    </row>
    <row r="2266" spans="6:8" x14ac:dyDescent="0.35">
      <c r="F2266" s="38"/>
      <c r="G2266" s="39"/>
      <c r="H2266" s="40"/>
    </row>
    <row r="2267" spans="6:8" x14ac:dyDescent="0.35">
      <c r="F2267" s="38"/>
      <c r="G2267" s="39"/>
      <c r="H2267" s="40"/>
    </row>
    <row r="2268" spans="6:8" x14ac:dyDescent="0.35">
      <c r="F2268" s="38"/>
      <c r="G2268" s="39"/>
      <c r="H2268" s="40"/>
    </row>
    <row r="2269" spans="6:8" x14ac:dyDescent="0.35">
      <c r="F2269" s="38"/>
      <c r="G2269" s="39"/>
      <c r="H2269" s="40"/>
    </row>
    <row r="2270" spans="6:8" x14ac:dyDescent="0.35">
      <c r="F2270" s="38"/>
      <c r="G2270" s="39"/>
      <c r="H2270" s="40"/>
    </row>
    <row r="2271" spans="6:8" x14ac:dyDescent="0.35">
      <c r="F2271" s="38"/>
      <c r="G2271" s="39"/>
      <c r="H2271" s="40"/>
    </row>
    <row r="2272" spans="6:8" x14ac:dyDescent="0.35">
      <c r="F2272" s="38"/>
      <c r="G2272" s="39"/>
      <c r="H2272" s="40"/>
    </row>
    <row r="2273" spans="6:8" x14ac:dyDescent="0.35">
      <c r="F2273" s="38"/>
      <c r="G2273" s="39"/>
      <c r="H2273" s="40"/>
    </row>
    <row r="2274" spans="6:8" x14ac:dyDescent="0.35">
      <c r="F2274" s="38"/>
      <c r="G2274" s="39"/>
      <c r="H2274" s="40"/>
    </row>
    <row r="2275" spans="6:8" x14ac:dyDescent="0.35">
      <c r="F2275" s="38"/>
      <c r="G2275" s="39"/>
      <c r="H2275" s="40"/>
    </row>
    <row r="2276" spans="6:8" x14ac:dyDescent="0.35">
      <c r="F2276" s="38"/>
      <c r="G2276" s="39"/>
      <c r="H2276" s="40"/>
    </row>
    <row r="2277" spans="6:8" x14ac:dyDescent="0.35">
      <c r="F2277" s="38"/>
      <c r="G2277" s="39"/>
      <c r="H2277" s="40"/>
    </row>
    <row r="2278" spans="6:8" x14ac:dyDescent="0.35">
      <c r="F2278" s="38"/>
      <c r="G2278" s="39"/>
      <c r="H2278" s="40"/>
    </row>
    <row r="2279" spans="6:8" x14ac:dyDescent="0.35">
      <c r="F2279" s="38"/>
      <c r="G2279" s="39"/>
      <c r="H2279" s="40"/>
    </row>
    <row r="2280" spans="6:8" x14ac:dyDescent="0.35">
      <c r="F2280" s="38"/>
      <c r="G2280" s="39"/>
      <c r="H2280" s="40"/>
    </row>
    <row r="2281" spans="6:8" x14ac:dyDescent="0.35">
      <c r="F2281" s="38"/>
      <c r="G2281" s="39"/>
      <c r="H2281" s="40"/>
    </row>
    <row r="2282" spans="6:8" x14ac:dyDescent="0.35">
      <c r="F2282" s="38"/>
      <c r="G2282" s="39"/>
      <c r="H2282" s="40"/>
    </row>
    <row r="2283" spans="6:8" x14ac:dyDescent="0.35">
      <c r="F2283" s="38"/>
      <c r="G2283" s="39"/>
      <c r="H2283" s="40"/>
    </row>
    <row r="2284" spans="6:8" x14ac:dyDescent="0.35">
      <c r="F2284" s="38"/>
      <c r="G2284" s="39"/>
      <c r="H2284" s="40"/>
    </row>
    <row r="2285" spans="6:8" x14ac:dyDescent="0.35">
      <c r="F2285" s="38"/>
      <c r="G2285" s="39"/>
      <c r="H2285" s="40"/>
    </row>
    <row r="2286" spans="6:8" x14ac:dyDescent="0.35">
      <c r="F2286" s="38"/>
      <c r="G2286" s="39"/>
      <c r="H2286" s="40"/>
    </row>
    <row r="2287" spans="6:8" x14ac:dyDescent="0.35">
      <c r="F2287" s="38"/>
      <c r="G2287" s="39"/>
      <c r="H2287" s="40"/>
    </row>
    <row r="2288" spans="6:8" x14ac:dyDescent="0.35">
      <c r="F2288" s="38"/>
      <c r="G2288" s="39"/>
      <c r="H2288" s="40"/>
    </row>
    <row r="2289" spans="6:8" x14ac:dyDescent="0.35">
      <c r="F2289" s="38"/>
      <c r="G2289" s="39"/>
      <c r="H2289" s="40"/>
    </row>
    <row r="2290" spans="6:8" x14ac:dyDescent="0.35">
      <c r="F2290" s="38"/>
      <c r="G2290" s="39"/>
      <c r="H2290" s="40"/>
    </row>
    <row r="2291" spans="6:8" x14ac:dyDescent="0.35">
      <c r="F2291" s="38"/>
      <c r="G2291" s="39"/>
      <c r="H2291" s="40"/>
    </row>
    <row r="2292" spans="6:8" x14ac:dyDescent="0.35">
      <c r="F2292" s="38"/>
      <c r="G2292" s="39"/>
      <c r="H2292" s="40"/>
    </row>
    <row r="2293" spans="6:8" x14ac:dyDescent="0.35">
      <c r="F2293" s="38"/>
      <c r="G2293" s="39"/>
      <c r="H2293" s="40"/>
    </row>
    <row r="2294" spans="6:8" x14ac:dyDescent="0.35">
      <c r="F2294" s="38"/>
      <c r="G2294" s="39"/>
      <c r="H2294" s="40"/>
    </row>
    <row r="2295" spans="6:8" x14ac:dyDescent="0.35">
      <c r="F2295" s="38"/>
      <c r="G2295" s="39"/>
      <c r="H2295" s="40"/>
    </row>
    <row r="2296" spans="6:8" x14ac:dyDescent="0.35">
      <c r="F2296" s="38"/>
      <c r="G2296" s="39"/>
      <c r="H2296" s="40"/>
    </row>
    <row r="2297" spans="6:8" x14ac:dyDescent="0.35">
      <c r="F2297" s="38"/>
      <c r="G2297" s="39"/>
      <c r="H2297" s="40"/>
    </row>
    <row r="2298" spans="6:8" x14ac:dyDescent="0.35">
      <c r="F2298" s="38"/>
      <c r="G2298" s="39"/>
      <c r="H2298" s="40"/>
    </row>
    <row r="2299" spans="6:8" x14ac:dyDescent="0.35">
      <c r="F2299" s="38"/>
      <c r="G2299" s="39"/>
      <c r="H2299" s="40"/>
    </row>
    <row r="2300" spans="6:8" x14ac:dyDescent="0.35">
      <c r="F2300" s="38"/>
      <c r="G2300" s="39"/>
      <c r="H2300" s="40"/>
    </row>
    <row r="2301" spans="6:8" x14ac:dyDescent="0.35">
      <c r="F2301" s="38"/>
      <c r="G2301" s="39"/>
      <c r="H2301" s="40"/>
    </row>
    <row r="2302" spans="6:8" x14ac:dyDescent="0.35">
      <c r="F2302" s="38"/>
      <c r="G2302" s="39"/>
      <c r="H2302" s="40"/>
    </row>
    <row r="2303" spans="6:8" x14ac:dyDescent="0.35">
      <c r="F2303" s="38"/>
      <c r="G2303" s="39"/>
      <c r="H2303" s="40"/>
    </row>
    <row r="2304" spans="6:8" x14ac:dyDescent="0.35">
      <c r="F2304" s="38"/>
      <c r="G2304" s="39"/>
      <c r="H2304" s="40"/>
    </row>
    <row r="2305" spans="6:8" x14ac:dyDescent="0.35">
      <c r="F2305" s="38"/>
      <c r="G2305" s="39"/>
      <c r="H2305" s="40"/>
    </row>
    <row r="2306" spans="6:8" x14ac:dyDescent="0.35">
      <c r="F2306" s="38"/>
      <c r="G2306" s="39"/>
      <c r="H2306" s="40"/>
    </row>
    <row r="2307" spans="6:8" x14ac:dyDescent="0.35">
      <c r="F2307" s="38"/>
      <c r="G2307" s="39"/>
      <c r="H2307" s="40"/>
    </row>
    <row r="2308" spans="6:8" x14ac:dyDescent="0.35">
      <c r="F2308" s="38"/>
      <c r="G2308" s="39"/>
      <c r="H2308" s="40"/>
    </row>
    <row r="2309" spans="6:8" x14ac:dyDescent="0.35">
      <c r="F2309" s="38"/>
      <c r="G2309" s="39"/>
      <c r="H2309" s="40"/>
    </row>
    <row r="2310" spans="6:8" x14ac:dyDescent="0.35">
      <c r="F2310" s="38"/>
      <c r="G2310" s="39"/>
      <c r="H2310" s="40"/>
    </row>
    <row r="2311" spans="6:8" x14ac:dyDescent="0.35">
      <c r="F2311" s="38"/>
      <c r="G2311" s="39"/>
      <c r="H2311" s="40"/>
    </row>
    <row r="2312" spans="6:8" x14ac:dyDescent="0.35">
      <c r="F2312" s="38"/>
      <c r="G2312" s="39"/>
      <c r="H2312" s="40"/>
    </row>
    <row r="2313" spans="6:8" x14ac:dyDescent="0.35">
      <c r="F2313" s="38"/>
      <c r="G2313" s="39"/>
      <c r="H2313" s="40"/>
    </row>
    <row r="2314" spans="6:8" x14ac:dyDescent="0.35">
      <c r="F2314" s="38"/>
      <c r="G2314" s="39"/>
      <c r="H2314" s="40"/>
    </row>
    <row r="2315" spans="6:8" x14ac:dyDescent="0.35">
      <c r="F2315" s="38"/>
      <c r="G2315" s="39"/>
      <c r="H2315" s="40"/>
    </row>
    <row r="2316" spans="6:8" x14ac:dyDescent="0.35">
      <c r="F2316" s="38"/>
      <c r="G2316" s="39"/>
      <c r="H2316" s="40"/>
    </row>
    <row r="2317" spans="6:8" x14ac:dyDescent="0.35">
      <c r="F2317" s="38"/>
      <c r="G2317" s="39"/>
      <c r="H2317" s="40"/>
    </row>
    <row r="2318" spans="6:8" x14ac:dyDescent="0.35">
      <c r="F2318" s="38"/>
      <c r="G2318" s="39"/>
      <c r="H2318" s="40"/>
    </row>
    <row r="2319" spans="6:8" x14ac:dyDescent="0.35">
      <c r="F2319" s="38"/>
      <c r="G2319" s="39"/>
      <c r="H2319" s="40"/>
    </row>
    <row r="2320" spans="6:8" x14ac:dyDescent="0.35">
      <c r="F2320" s="38"/>
      <c r="G2320" s="39"/>
      <c r="H2320" s="40"/>
    </row>
    <row r="2321" spans="6:8" x14ac:dyDescent="0.35">
      <c r="F2321" s="38"/>
      <c r="G2321" s="39"/>
      <c r="H2321" s="40"/>
    </row>
    <row r="2322" spans="6:8" x14ac:dyDescent="0.35">
      <c r="F2322" s="38"/>
      <c r="G2322" s="39"/>
      <c r="H2322" s="40"/>
    </row>
    <row r="2323" spans="6:8" x14ac:dyDescent="0.35">
      <c r="F2323" s="38"/>
      <c r="G2323" s="39"/>
      <c r="H2323" s="40"/>
    </row>
    <row r="2324" spans="6:8" x14ac:dyDescent="0.35">
      <c r="F2324" s="38"/>
      <c r="G2324" s="39"/>
      <c r="H2324" s="40"/>
    </row>
    <row r="2325" spans="6:8" x14ac:dyDescent="0.35">
      <c r="F2325" s="38"/>
      <c r="G2325" s="39"/>
      <c r="H2325" s="40"/>
    </row>
    <row r="2326" spans="6:8" x14ac:dyDescent="0.35">
      <c r="F2326" s="38"/>
      <c r="G2326" s="39"/>
      <c r="H2326" s="40"/>
    </row>
    <row r="2327" spans="6:8" x14ac:dyDescent="0.35">
      <c r="F2327" s="38"/>
      <c r="G2327" s="39"/>
      <c r="H2327" s="40"/>
    </row>
    <row r="2328" spans="6:8" x14ac:dyDescent="0.35">
      <c r="F2328" s="38"/>
      <c r="G2328" s="39"/>
      <c r="H2328" s="40"/>
    </row>
    <row r="2329" spans="6:8" x14ac:dyDescent="0.35">
      <c r="F2329" s="38"/>
      <c r="G2329" s="39"/>
      <c r="H2329" s="40"/>
    </row>
    <row r="2330" spans="6:8" x14ac:dyDescent="0.35">
      <c r="F2330" s="38"/>
      <c r="G2330" s="39"/>
      <c r="H2330" s="40"/>
    </row>
    <row r="2331" spans="6:8" x14ac:dyDescent="0.35">
      <c r="F2331" s="38"/>
      <c r="G2331" s="39"/>
      <c r="H2331" s="40"/>
    </row>
    <row r="2332" spans="6:8" x14ac:dyDescent="0.35">
      <c r="F2332" s="38"/>
      <c r="G2332" s="39"/>
      <c r="H2332" s="40"/>
    </row>
    <row r="2333" spans="6:8" x14ac:dyDescent="0.35">
      <c r="F2333" s="38"/>
      <c r="G2333" s="39"/>
      <c r="H2333" s="40"/>
    </row>
    <row r="2334" spans="6:8" x14ac:dyDescent="0.35">
      <c r="F2334" s="38"/>
      <c r="G2334" s="39"/>
      <c r="H2334" s="40"/>
    </row>
    <row r="2335" spans="6:8" x14ac:dyDescent="0.35">
      <c r="F2335" s="38"/>
      <c r="G2335" s="39"/>
      <c r="H2335" s="40"/>
    </row>
    <row r="2336" spans="6:8" x14ac:dyDescent="0.35">
      <c r="F2336" s="38"/>
      <c r="G2336" s="39"/>
      <c r="H2336" s="40"/>
    </row>
    <row r="2337" spans="6:8" x14ac:dyDescent="0.35">
      <c r="F2337" s="38"/>
      <c r="G2337" s="39"/>
      <c r="H2337" s="40"/>
    </row>
    <row r="2338" spans="6:8" x14ac:dyDescent="0.35">
      <c r="F2338" s="38"/>
      <c r="G2338" s="39"/>
      <c r="H2338" s="40"/>
    </row>
    <row r="2339" spans="6:8" x14ac:dyDescent="0.35">
      <c r="F2339" s="38"/>
      <c r="G2339" s="39"/>
      <c r="H2339" s="40"/>
    </row>
    <row r="2340" spans="6:8" x14ac:dyDescent="0.35">
      <c r="F2340" s="38"/>
      <c r="G2340" s="39"/>
      <c r="H2340" s="40"/>
    </row>
    <row r="2341" spans="6:8" x14ac:dyDescent="0.35">
      <c r="F2341" s="38"/>
      <c r="G2341" s="39"/>
      <c r="H2341" s="40"/>
    </row>
    <row r="2342" spans="6:8" x14ac:dyDescent="0.35">
      <c r="F2342" s="38"/>
      <c r="G2342" s="39"/>
      <c r="H2342" s="40"/>
    </row>
    <row r="2343" spans="6:8" x14ac:dyDescent="0.35">
      <c r="F2343" s="38"/>
      <c r="G2343" s="39"/>
      <c r="H2343" s="40"/>
    </row>
    <row r="2344" spans="6:8" x14ac:dyDescent="0.35">
      <c r="F2344" s="38"/>
      <c r="G2344" s="39"/>
      <c r="H2344" s="40"/>
    </row>
    <row r="2345" spans="6:8" x14ac:dyDescent="0.35">
      <c r="F2345" s="38"/>
      <c r="G2345" s="39"/>
      <c r="H2345" s="40"/>
    </row>
    <row r="2346" spans="6:8" x14ac:dyDescent="0.35">
      <c r="F2346" s="38"/>
      <c r="G2346" s="39"/>
      <c r="H2346" s="40"/>
    </row>
    <row r="2347" spans="6:8" x14ac:dyDescent="0.35">
      <c r="F2347" s="38"/>
      <c r="G2347" s="39"/>
      <c r="H2347" s="40"/>
    </row>
    <row r="2348" spans="6:8" x14ac:dyDescent="0.35">
      <c r="F2348" s="38"/>
      <c r="G2348" s="39"/>
      <c r="H2348" s="40"/>
    </row>
    <row r="2349" spans="6:8" x14ac:dyDescent="0.35">
      <c r="F2349" s="38"/>
      <c r="G2349" s="39"/>
      <c r="H2349" s="40"/>
    </row>
    <row r="2350" spans="6:8" x14ac:dyDescent="0.35">
      <c r="F2350" s="38"/>
      <c r="G2350" s="39"/>
      <c r="H2350" s="40"/>
    </row>
    <row r="2351" spans="6:8" x14ac:dyDescent="0.35">
      <c r="F2351" s="38"/>
      <c r="G2351" s="39"/>
      <c r="H2351" s="40"/>
    </row>
    <row r="2352" spans="6:8" x14ac:dyDescent="0.35">
      <c r="F2352" s="38"/>
      <c r="G2352" s="39"/>
      <c r="H2352" s="40"/>
    </row>
    <row r="2353" spans="6:8" x14ac:dyDescent="0.35">
      <c r="F2353" s="38"/>
      <c r="G2353" s="39"/>
      <c r="H2353" s="40"/>
    </row>
    <row r="2354" spans="6:8" x14ac:dyDescent="0.35">
      <c r="F2354" s="38"/>
      <c r="G2354" s="39"/>
      <c r="H2354" s="40"/>
    </row>
    <row r="2355" spans="6:8" x14ac:dyDescent="0.35">
      <c r="F2355" s="38"/>
      <c r="G2355" s="39"/>
      <c r="H2355" s="40"/>
    </row>
    <row r="2356" spans="6:8" x14ac:dyDescent="0.35">
      <c r="F2356" s="38"/>
      <c r="G2356" s="39"/>
      <c r="H2356" s="40"/>
    </row>
    <row r="2357" spans="6:8" x14ac:dyDescent="0.35">
      <c r="F2357" s="38"/>
      <c r="G2357" s="39"/>
      <c r="H2357" s="40"/>
    </row>
    <row r="2358" spans="6:8" x14ac:dyDescent="0.35">
      <c r="F2358" s="38"/>
      <c r="G2358" s="39"/>
      <c r="H2358" s="40"/>
    </row>
    <row r="2359" spans="6:8" x14ac:dyDescent="0.35">
      <c r="F2359" s="38"/>
      <c r="G2359" s="39"/>
      <c r="H2359" s="40"/>
    </row>
    <row r="2360" spans="6:8" x14ac:dyDescent="0.35">
      <c r="F2360" s="38"/>
      <c r="G2360" s="39"/>
      <c r="H2360" s="40"/>
    </row>
    <row r="2361" spans="6:8" x14ac:dyDescent="0.35">
      <c r="F2361" s="38"/>
      <c r="G2361" s="39"/>
      <c r="H2361" s="40"/>
    </row>
    <row r="2362" spans="6:8" x14ac:dyDescent="0.35">
      <c r="F2362" s="38"/>
      <c r="G2362" s="39"/>
      <c r="H2362" s="40"/>
    </row>
    <row r="2363" spans="6:8" x14ac:dyDescent="0.35">
      <c r="F2363" s="38"/>
      <c r="G2363" s="39"/>
      <c r="H2363" s="40"/>
    </row>
    <row r="2364" spans="6:8" x14ac:dyDescent="0.35">
      <c r="F2364" s="38"/>
      <c r="G2364" s="39"/>
      <c r="H2364" s="40"/>
    </row>
    <row r="2365" spans="6:8" x14ac:dyDescent="0.35">
      <c r="F2365" s="38"/>
      <c r="G2365" s="39"/>
      <c r="H2365" s="40"/>
    </row>
    <row r="2366" spans="6:8" x14ac:dyDescent="0.35">
      <c r="F2366" s="38"/>
      <c r="G2366" s="39"/>
      <c r="H2366" s="40"/>
    </row>
    <row r="2367" spans="6:8" x14ac:dyDescent="0.35">
      <c r="F2367" s="38"/>
      <c r="G2367" s="39"/>
      <c r="H2367" s="40"/>
    </row>
    <row r="2368" spans="6:8" x14ac:dyDescent="0.35">
      <c r="F2368" s="38"/>
      <c r="G2368" s="39"/>
      <c r="H2368" s="40"/>
    </row>
    <row r="2369" spans="6:8" x14ac:dyDescent="0.35">
      <c r="F2369" s="38"/>
      <c r="G2369" s="39"/>
      <c r="H2369" s="40"/>
    </row>
    <row r="2370" spans="6:8" x14ac:dyDescent="0.35">
      <c r="F2370" s="38"/>
      <c r="G2370" s="39"/>
      <c r="H2370" s="40"/>
    </row>
    <row r="2371" spans="6:8" x14ac:dyDescent="0.35">
      <c r="F2371" s="38"/>
      <c r="G2371" s="39"/>
      <c r="H2371" s="40"/>
    </row>
    <row r="2372" spans="6:8" x14ac:dyDescent="0.35">
      <c r="F2372" s="38"/>
      <c r="G2372" s="39"/>
      <c r="H2372" s="40"/>
    </row>
    <row r="2373" spans="6:8" x14ac:dyDescent="0.35">
      <c r="F2373" s="38"/>
      <c r="G2373" s="39"/>
      <c r="H2373" s="40"/>
    </row>
    <row r="2374" spans="6:8" x14ac:dyDescent="0.35">
      <c r="F2374" s="38"/>
      <c r="G2374" s="39"/>
      <c r="H2374" s="40"/>
    </row>
    <row r="2375" spans="6:8" x14ac:dyDescent="0.35">
      <c r="F2375" s="38"/>
      <c r="G2375" s="39"/>
      <c r="H2375" s="40"/>
    </row>
    <row r="2376" spans="6:8" x14ac:dyDescent="0.35">
      <c r="F2376" s="38"/>
      <c r="G2376" s="39"/>
      <c r="H2376" s="40"/>
    </row>
    <row r="2377" spans="6:8" x14ac:dyDescent="0.35">
      <c r="F2377" s="38"/>
      <c r="G2377" s="39"/>
      <c r="H2377" s="40"/>
    </row>
    <row r="2378" spans="6:8" x14ac:dyDescent="0.35">
      <c r="F2378" s="38"/>
      <c r="G2378" s="39"/>
      <c r="H2378" s="40"/>
    </row>
    <row r="2379" spans="6:8" x14ac:dyDescent="0.35">
      <c r="F2379" s="38"/>
      <c r="G2379" s="39"/>
      <c r="H2379" s="40"/>
    </row>
    <row r="2380" spans="6:8" x14ac:dyDescent="0.35">
      <c r="F2380" s="38"/>
      <c r="G2380" s="39"/>
      <c r="H2380" s="40"/>
    </row>
    <row r="2381" spans="6:8" x14ac:dyDescent="0.35">
      <c r="F2381" s="38"/>
      <c r="G2381" s="39"/>
      <c r="H2381" s="40"/>
    </row>
    <row r="2382" spans="6:8" x14ac:dyDescent="0.35">
      <c r="F2382" s="38"/>
      <c r="G2382" s="39"/>
      <c r="H2382" s="40"/>
    </row>
    <row r="2383" spans="6:8" x14ac:dyDescent="0.35">
      <c r="F2383" s="38"/>
      <c r="G2383" s="39"/>
      <c r="H2383" s="40"/>
    </row>
    <row r="2384" spans="6:8" x14ac:dyDescent="0.35">
      <c r="F2384" s="38"/>
      <c r="G2384" s="39"/>
      <c r="H2384" s="40"/>
    </row>
    <row r="2385" spans="6:8" x14ac:dyDescent="0.35">
      <c r="F2385" s="38"/>
      <c r="G2385" s="39"/>
      <c r="H2385" s="40"/>
    </row>
    <row r="2386" spans="6:8" x14ac:dyDescent="0.35">
      <c r="F2386" s="38"/>
      <c r="G2386" s="39"/>
      <c r="H2386" s="40"/>
    </row>
    <row r="2387" spans="6:8" x14ac:dyDescent="0.35">
      <c r="F2387" s="38"/>
      <c r="G2387" s="39"/>
      <c r="H2387" s="40"/>
    </row>
    <row r="2388" spans="6:8" x14ac:dyDescent="0.35">
      <c r="F2388" s="38"/>
      <c r="G2388" s="39"/>
      <c r="H2388" s="40"/>
    </row>
    <row r="2389" spans="6:8" x14ac:dyDescent="0.35">
      <c r="F2389" s="38"/>
      <c r="G2389" s="39"/>
      <c r="H2389" s="40"/>
    </row>
    <row r="2390" spans="6:8" x14ac:dyDescent="0.35">
      <c r="F2390" s="38"/>
      <c r="G2390" s="39"/>
      <c r="H2390" s="40"/>
    </row>
    <row r="2391" spans="6:8" x14ac:dyDescent="0.35">
      <c r="F2391" s="38"/>
      <c r="G2391" s="39"/>
      <c r="H2391" s="40"/>
    </row>
    <row r="2392" spans="6:8" x14ac:dyDescent="0.35">
      <c r="F2392" s="38"/>
      <c r="G2392" s="39"/>
      <c r="H2392" s="40"/>
    </row>
    <row r="2393" spans="6:8" x14ac:dyDescent="0.35">
      <c r="F2393" s="38"/>
      <c r="G2393" s="39"/>
      <c r="H2393" s="40"/>
    </row>
    <row r="2394" spans="6:8" x14ac:dyDescent="0.35">
      <c r="F2394" s="38"/>
      <c r="G2394" s="39"/>
      <c r="H2394" s="40"/>
    </row>
    <row r="2395" spans="6:8" x14ac:dyDescent="0.35">
      <c r="F2395" s="38"/>
      <c r="G2395" s="39"/>
      <c r="H2395" s="40"/>
    </row>
    <row r="2396" spans="6:8" x14ac:dyDescent="0.35">
      <c r="F2396" s="38"/>
      <c r="G2396" s="39"/>
      <c r="H2396" s="40"/>
    </row>
    <row r="2397" spans="6:8" x14ac:dyDescent="0.35">
      <c r="F2397" s="38"/>
      <c r="G2397" s="39"/>
      <c r="H2397" s="40"/>
    </row>
    <row r="2398" spans="6:8" x14ac:dyDescent="0.35">
      <c r="F2398" s="38"/>
      <c r="G2398" s="39"/>
      <c r="H2398" s="40"/>
    </row>
    <row r="2399" spans="6:8" x14ac:dyDescent="0.35">
      <c r="F2399" s="38"/>
      <c r="G2399" s="39"/>
      <c r="H2399" s="40"/>
    </row>
    <row r="2400" spans="6:8" x14ac:dyDescent="0.35">
      <c r="F2400" s="38"/>
      <c r="G2400" s="39"/>
      <c r="H2400" s="40"/>
    </row>
    <row r="2401" spans="6:8" x14ac:dyDescent="0.35">
      <c r="F2401" s="38"/>
      <c r="G2401" s="39"/>
      <c r="H2401" s="40"/>
    </row>
    <row r="2402" spans="6:8" x14ac:dyDescent="0.35">
      <c r="F2402" s="38"/>
      <c r="G2402" s="39"/>
      <c r="H2402" s="40"/>
    </row>
    <row r="2403" spans="6:8" x14ac:dyDescent="0.35">
      <c r="F2403" s="38"/>
      <c r="G2403" s="39"/>
      <c r="H2403" s="40"/>
    </row>
    <row r="2404" spans="6:8" x14ac:dyDescent="0.35">
      <c r="F2404" s="38"/>
      <c r="G2404" s="39"/>
      <c r="H2404" s="40"/>
    </row>
    <row r="2405" spans="6:8" x14ac:dyDescent="0.35">
      <c r="F2405" s="38"/>
      <c r="G2405" s="39"/>
      <c r="H2405" s="40"/>
    </row>
    <row r="2406" spans="6:8" x14ac:dyDescent="0.35">
      <c r="F2406" s="38"/>
      <c r="G2406" s="39"/>
      <c r="H2406" s="40"/>
    </row>
    <row r="2407" spans="6:8" x14ac:dyDescent="0.35">
      <c r="F2407" s="38"/>
      <c r="G2407" s="39"/>
      <c r="H2407" s="40"/>
    </row>
    <row r="2408" spans="6:8" x14ac:dyDescent="0.35">
      <c r="F2408" s="38"/>
      <c r="G2408" s="39"/>
      <c r="H2408" s="40"/>
    </row>
    <row r="2409" spans="6:8" x14ac:dyDescent="0.35">
      <c r="F2409" s="38"/>
      <c r="G2409" s="39"/>
      <c r="H2409" s="40"/>
    </row>
    <row r="2410" spans="6:8" x14ac:dyDescent="0.35">
      <c r="F2410" s="38"/>
      <c r="G2410" s="39"/>
      <c r="H2410" s="40"/>
    </row>
    <row r="2411" spans="6:8" x14ac:dyDescent="0.35">
      <c r="F2411" s="38"/>
      <c r="G2411" s="39"/>
      <c r="H2411" s="40"/>
    </row>
    <row r="2412" spans="6:8" x14ac:dyDescent="0.35">
      <c r="F2412" s="38"/>
      <c r="G2412" s="39"/>
      <c r="H2412" s="40"/>
    </row>
    <row r="2413" spans="6:8" x14ac:dyDescent="0.35">
      <c r="F2413" s="38"/>
      <c r="G2413" s="39"/>
      <c r="H2413" s="40"/>
    </row>
    <row r="2414" spans="6:8" x14ac:dyDescent="0.35">
      <c r="F2414" s="38"/>
      <c r="G2414" s="39"/>
      <c r="H2414" s="40"/>
    </row>
    <row r="2415" spans="6:8" x14ac:dyDescent="0.35">
      <c r="F2415" s="38"/>
      <c r="G2415" s="39"/>
      <c r="H2415" s="40"/>
    </row>
    <row r="2416" spans="6:8" x14ac:dyDescent="0.35">
      <c r="F2416" s="38"/>
      <c r="G2416" s="39"/>
      <c r="H2416" s="40"/>
    </row>
    <row r="2417" spans="6:8" x14ac:dyDescent="0.35">
      <c r="F2417" s="38"/>
      <c r="G2417" s="39"/>
      <c r="H2417" s="40"/>
    </row>
    <row r="2418" spans="6:8" x14ac:dyDescent="0.35">
      <c r="F2418" s="38"/>
      <c r="G2418" s="39"/>
      <c r="H2418" s="40"/>
    </row>
    <row r="2419" spans="6:8" x14ac:dyDescent="0.35">
      <c r="F2419" s="38"/>
      <c r="G2419" s="39"/>
      <c r="H2419" s="40"/>
    </row>
    <row r="2420" spans="6:8" x14ac:dyDescent="0.35">
      <c r="F2420" s="38"/>
      <c r="G2420" s="39"/>
      <c r="H2420" s="40"/>
    </row>
    <row r="2421" spans="6:8" x14ac:dyDescent="0.35">
      <c r="F2421" s="38"/>
      <c r="G2421" s="39"/>
      <c r="H2421" s="40"/>
    </row>
    <row r="2422" spans="6:8" x14ac:dyDescent="0.35">
      <c r="F2422" s="38"/>
      <c r="G2422" s="39"/>
      <c r="H2422" s="40"/>
    </row>
    <row r="2423" spans="6:8" x14ac:dyDescent="0.35">
      <c r="F2423" s="38"/>
      <c r="G2423" s="39"/>
      <c r="H2423" s="40"/>
    </row>
    <row r="2424" spans="6:8" x14ac:dyDescent="0.35">
      <c r="F2424" s="38"/>
      <c r="G2424" s="39"/>
      <c r="H2424" s="40"/>
    </row>
    <row r="2425" spans="6:8" x14ac:dyDescent="0.35">
      <c r="F2425" s="38"/>
      <c r="G2425" s="39"/>
      <c r="H2425" s="40"/>
    </row>
    <row r="2426" spans="6:8" x14ac:dyDescent="0.35">
      <c r="F2426" s="38"/>
      <c r="G2426" s="39"/>
      <c r="H2426" s="40"/>
    </row>
    <row r="2427" spans="6:8" x14ac:dyDescent="0.35">
      <c r="F2427" s="38"/>
      <c r="G2427" s="39"/>
      <c r="H2427" s="40"/>
    </row>
    <row r="2428" spans="6:8" x14ac:dyDescent="0.35">
      <c r="F2428" s="38"/>
      <c r="G2428" s="39"/>
      <c r="H2428" s="40"/>
    </row>
    <row r="2429" spans="6:8" x14ac:dyDescent="0.35">
      <c r="F2429" s="38"/>
      <c r="G2429" s="39"/>
      <c r="H2429" s="40"/>
    </row>
    <row r="2430" spans="6:8" x14ac:dyDescent="0.35">
      <c r="F2430" s="38"/>
      <c r="G2430" s="39"/>
      <c r="H2430" s="40"/>
    </row>
    <row r="2431" spans="6:8" x14ac:dyDescent="0.35">
      <c r="F2431" s="38"/>
      <c r="G2431" s="39"/>
      <c r="H2431" s="40"/>
    </row>
    <row r="2432" spans="6:8" x14ac:dyDescent="0.35">
      <c r="F2432" s="38"/>
      <c r="G2432" s="39"/>
      <c r="H2432" s="40"/>
    </row>
    <row r="2433" spans="6:8" x14ac:dyDescent="0.35">
      <c r="F2433" s="38"/>
      <c r="G2433" s="39"/>
      <c r="H2433" s="40"/>
    </row>
    <row r="2434" spans="6:8" x14ac:dyDescent="0.35">
      <c r="F2434" s="38"/>
      <c r="G2434" s="39"/>
      <c r="H2434" s="40"/>
    </row>
    <row r="2435" spans="6:8" x14ac:dyDescent="0.35">
      <c r="F2435" s="38"/>
      <c r="G2435" s="39"/>
      <c r="H2435" s="40"/>
    </row>
    <row r="2436" spans="6:8" x14ac:dyDescent="0.35">
      <c r="F2436" s="38"/>
      <c r="G2436" s="39"/>
      <c r="H2436" s="40"/>
    </row>
    <row r="2437" spans="6:8" x14ac:dyDescent="0.35">
      <c r="F2437" s="38"/>
      <c r="G2437" s="39"/>
      <c r="H2437" s="40"/>
    </row>
    <row r="2438" spans="6:8" x14ac:dyDescent="0.35">
      <c r="F2438" s="38"/>
      <c r="G2438" s="39"/>
      <c r="H2438" s="40"/>
    </row>
    <row r="2439" spans="6:8" x14ac:dyDescent="0.35">
      <c r="F2439" s="38"/>
      <c r="G2439" s="39"/>
      <c r="H2439" s="40"/>
    </row>
    <row r="2440" spans="6:8" x14ac:dyDescent="0.35">
      <c r="F2440" s="38"/>
      <c r="G2440" s="39"/>
      <c r="H2440" s="40"/>
    </row>
    <row r="2441" spans="6:8" x14ac:dyDescent="0.35">
      <c r="F2441" s="38"/>
      <c r="G2441" s="39"/>
      <c r="H2441" s="40"/>
    </row>
    <row r="2442" spans="6:8" x14ac:dyDescent="0.35">
      <c r="F2442" s="38"/>
      <c r="G2442" s="39"/>
      <c r="H2442" s="40"/>
    </row>
    <row r="2443" spans="6:8" x14ac:dyDescent="0.35">
      <c r="F2443" s="38"/>
      <c r="G2443" s="39"/>
      <c r="H2443" s="40"/>
    </row>
    <row r="2444" spans="6:8" x14ac:dyDescent="0.35">
      <c r="F2444" s="38"/>
      <c r="G2444" s="39"/>
      <c r="H2444" s="40"/>
    </row>
    <row r="2445" spans="6:8" x14ac:dyDescent="0.35">
      <c r="F2445" s="38"/>
      <c r="G2445" s="39"/>
      <c r="H2445" s="40"/>
    </row>
    <row r="2446" spans="6:8" x14ac:dyDescent="0.35">
      <c r="F2446" s="38"/>
      <c r="G2446" s="39"/>
      <c r="H2446" s="40"/>
    </row>
    <row r="2447" spans="6:8" x14ac:dyDescent="0.35">
      <c r="F2447" s="38"/>
      <c r="G2447" s="39"/>
      <c r="H2447" s="40"/>
    </row>
    <row r="2448" spans="6:8" x14ac:dyDescent="0.35">
      <c r="F2448" s="38"/>
      <c r="G2448" s="39"/>
      <c r="H2448" s="40"/>
    </row>
    <row r="2449" spans="6:8" x14ac:dyDescent="0.35">
      <c r="F2449" s="38"/>
      <c r="G2449" s="39"/>
      <c r="H2449" s="40"/>
    </row>
    <row r="2450" spans="6:8" x14ac:dyDescent="0.35">
      <c r="F2450" s="38"/>
      <c r="G2450" s="39"/>
      <c r="H2450" s="40"/>
    </row>
    <row r="2451" spans="6:8" x14ac:dyDescent="0.35">
      <c r="F2451" s="38"/>
      <c r="G2451" s="39"/>
      <c r="H2451" s="40"/>
    </row>
    <row r="2452" spans="6:8" x14ac:dyDescent="0.35">
      <c r="F2452" s="38"/>
      <c r="G2452" s="39"/>
      <c r="H2452" s="40"/>
    </row>
    <row r="2453" spans="6:8" x14ac:dyDescent="0.35">
      <c r="F2453" s="38"/>
      <c r="G2453" s="39"/>
      <c r="H2453" s="40"/>
    </row>
    <row r="2454" spans="6:8" x14ac:dyDescent="0.35">
      <c r="F2454" s="38"/>
      <c r="G2454" s="39"/>
      <c r="H2454" s="40"/>
    </row>
    <row r="2455" spans="6:8" x14ac:dyDescent="0.35">
      <c r="F2455" s="38"/>
      <c r="G2455" s="39"/>
      <c r="H2455" s="40"/>
    </row>
    <row r="2456" spans="6:8" x14ac:dyDescent="0.35">
      <c r="F2456" s="38"/>
      <c r="G2456" s="39"/>
      <c r="H2456" s="40"/>
    </row>
    <row r="2457" spans="6:8" x14ac:dyDescent="0.35">
      <c r="F2457" s="38"/>
      <c r="G2457" s="39"/>
      <c r="H2457" s="40"/>
    </row>
    <row r="2458" spans="6:8" x14ac:dyDescent="0.35">
      <c r="F2458" s="38"/>
      <c r="G2458" s="39"/>
      <c r="H2458" s="40"/>
    </row>
    <row r="2459" spans="6:8" x14ac:dyDescent="0.35">
      <c r="F2459" s="38"/>
      <c r="G2459" s="39"/>
      <c r="H2459" s="40"/>
    </row>
    <row r="2460" spans="6:8" x14ac:dyDescent="0.35">
      <c r="F2460" s="38"/>
      <c r="G2460" s="39"/>
      <c r="H2460" s="40"/>
    </row>
    <row r="2461" spans="6:8" x14ac:dyDescent="0.35">
      <c r="F2461" s="38"/>
      <c r="G2461" s="39"/>
      <c r="H2461" s="40"/>
    </row>
    <row r="2462" spans="6:8" x14ac:dyDescent="0.35">
      <c r="F2462" s="38"/>
      <c r="G2462" s="39"/>
      <c r="H2462" s="40"/>
    </row>
    <row r="2463" spans="6:8" x14ac:dyDescent="0.35">
      <c r="F2463" s="38"/>
      <c r="G2463" s="39"/>
      <c r="H2463" s="40"/>
    </row>
    <row r="2464" spans="6:8" x14ac:dyDescent="0.35">
      <c r="F2464" s="38"/>
      <c r="G2464" s="39"/>
      <c r="H2464" s="40"/>
    </row>
    <row r="2465" spans="6:8" x14ac:dyDescent="0.35">
      <c r="F2465" s="38"/>
      <c r="G2465" s="39"/>
      <c r="H2465" s="40"/>
    </row>
    <row r="2466" spans="6:8" x14ac:dyDescent="0.35">
      <c r="F2466" s="38"/>
      <c r="G2466" s="39"/>
      <c r="H2466" s="40"/>
    </row>
    <row r="2467" spans="6:8" x14ac:dyDescent="0.35">
      <c r="F2467" s="38"/>
      <c r="G2467" s="39"/>
      <c r="H2467" s="40"/>
    </row>
    <row r="2468" spans="6:8" x14ac:dyDescent="0.35">
      <c r="F2468" s="38"/>
      <c r="G2468" s="39"/>
      <c r="H2468" s="40"/>
    </row>
    <row r="2469" spans="6:8" x14ac:dyDescent="0.35">
      <c r="F2469" s="38"/>
      <c r="G2469" s="39"/>
      <c r="H2469" s="40"/>
    </row>
    <row r="2470" spans="6:8" x14ac:dyDescent="0.35">
      <c r="F2470" s="38"/>
      <c r="G2470" s="39"/>
      <c r="H2470" s="40"/>
    </row>
    <row r="2471" spans="6:8" x14ac:dyDescent="0.35">
      <c r="F2471" s="38"/>
      <c r="G2471" s="39"/>
      <c r="H2471" s="40"/>
    </row>
    <row r="2472" spans="6:8" x14ac:dyDescent="0.35">
      <c r="F2472" s="38"/>
      <c r="G2472" s="39"/>
      <c r="H2472" s="40"/>
    </row>
    <row r="2473" spans="6:8" x14ac:dyDescent="0.35">
      <c r="F2473" s="38"/>
      <c r="G2473" s="39"/>
      <c r="H2473" s="40"/>
    </row>
    <row r="2474" spans="6:8" x14ac:dyDescent="0.35">
      <c r="F2474" s="38"/>
      <c r="G2474" s="39"/>
      <c r="H2474" s="40"/>
    </row>
    <row r="2475" spans="6:8" x14ac:dyDescent="0.35">
      <c r="F2475" s="38"/>
      <c r="G2475" s="39"/>
      <c r="H2475" s="40"/>
    </row>
    <row r="2476" spans="6:8" x14ac:dyDescent="0.35">
      <c r="F2476" s="38"/>
      <c r="G2476" s="39"/>
      <c r="H2476" s="40"/>
    </row>
    <row r="2477" spans="6:8" x14ac:dyDescent="0.35">
      <c r="F2477" s="38"/>
      <c r="G2477" s="39"/>
      <c r="H2477" s="40"/>
    </row>
    <row r="2478" spans="6:8" x14ac:dyDescent="0.35">
      <c r="F2478" s="38"/>
      <c r="G2478" s="39"/>
      <c r="H2478" s="40"/>
    </row>
    <row r="2479" spans="6:8" x14ac:dyDescent="0.35">
      <c r="F2479" s="38"/>
      <c r="G2479" s="39"/>
      <c r="H2479" s="40"/>
    </row>
    <row r="2480" spans="6:8" x14ac:dyDescent="0.35">
      <c r="F2480" s="38"/>
      <c r="G2480" s="39"/>
      <c r="H2480" s="40"/>
    </row>
    <row r="2481" spans="6:8" x14ac:dyDescent="0.35">
      <c r="F2481" s="38"/>
      <c r="G2481" s="39"/>
      <c r="H2481" s="40"/>
    </row>
    <row r="2482" spans="6:8" x14ac:dyDescent="0.35">
      <c r="F2482" s="38"/>
      <c r="G2482" s="39"/>
      <c r="H2482" s="40"/>
    </row>
    <row r="2483" spans="6:8" x14ac:dyDescent="0.35">
      <c r="F2483" s="38"/>
      <c r="G2483" s="39"/>
      <c r="H2483" s="40"/>
    </row>
    <row r="2484" spans="6:8" x14ac:dyDescent="0.35">
      <c r="F2484" s="38"/>
      <c r="G2484" s="39"/>
      <c r="H2484" s="40"/>
    </row>
    <row r="2485" spans="6:8" x14ac:dyDescent="0.35">
      <c r="F2485" s="38"/>
      <c r="G2485" s="39"/>
      <c r="H2485" s="40"/>
    </row>
    <row r="2486" spans="6:8" x14ac:dyDescent="0.35">
      <c r="F2486" s="38"/>
      <c r="G2486" s="39"/>
      <c r="H2486" s="40"/>
    </row>
    <row r="2487" spans="6:8" x14ac:dyDescent="0.35">
      <c r="F2487" s="38"/>
      <c r="G2487" s="39"/>
      <c r="H2487" s="40"/>
    </row>
    <row r="2488" spans="6:8" x14ac:dyDescent="0.35">
      <c r="F2488" s="38"/>
      <c r="G2488" s="39"/>
      <c r="H2488" s="40"/>
    </row>
    <row r="2489" spans="6:8" x14ac:dyDescent="0.35">
      <c r="F2489" s="38"/>
      <c r="G2489" s="39"/>
      <c r="H2489" s="40"/>
    </row>
    <row r="2490" spans="6:8" x14ac:dyDescent="0.35">
      <c r="F2490" s="38"/>
      <c r="G2490" s="39"/>
      <c r="H2490" s="40"/>
    </row>
    <row r="2491" spans="6:8" x14ac:dyDescent="0.35">
      <c r="F2491" s="38"/>
      <c r="G2491" s="39"/>
      <c r="H2491" s="40"/>
    </row>
    <row r="2492" spans="6:8" x14ac:dyDescent="0.35">
      <c r="F2492" s="38"/>
      <c r="G2492" s="39"/>
      <c r="H2492" s="40"/>
    </row>
    <row r="2493" spans="6:8" x14ac:dyDescent="0.35">
      <c r="F2493" s="38"/>
      <c r="G2493" s="39"/>
      <c r="H2493" s="40"/>
    </row>
    <row r="2494" spans="6:8" x14ac:dyDescent="0.35">
      <c r="F2494" s="38"/>
      <c r="G2494" s="39"/>
      <c r="H2494" s="40"/>
    </row>
    <row r="2495" spans="6:8" x14ac:dyDescent="0.35">
      <c r="F2495" s="38"/>
      <c r="G2495" s="39"/>
      <c r="H2495" s="40"/>
    </row>
    <row r="2496" spans="6:8" x14ac:dyDescent="0.35">
      <c r="F2496" s="38"/>
      <c r="G2496" s="39"/>
      <c r="H2496" s="40"/>
    </row>
    <row r="2497" spans="6:8" x14ac:dyDescent="0.35">
      <c r="F2497" s="38"/>
      <c r="G2497" s="39"/>
      <c r="H2497" s="40"/>
    </row>
    <row r="2498" spans="6:8" x14ac:dyDescent="0.35">
      <c r="F2498" s="38"/>
      <c r="G2498" s="39"/>
      <c r="H2498" s="40"/>
    </row>
    <row r="2499" spans="6:8" x14ac:dyDescent="0.35">
      <c r="F2499" s="38"/>
      <c r="G2499" s="39"/>
      <c r="H2499" s="40"/>
    </row>
    <row r="2500" spans="6:8" x14ac:dyDescent="0.35">
      <c r="F2500" s="38"/>
      <c r="G2500" s="39"/>
      <c r="H2500" s="40"/>
    </row>
    <row r="2501" spans="6:8" x14ac:dyDescent="0.35">
      <c r="F2501" s="38"/>
      <c r="G2501" s="39"/>
      <c r="H2501" s="40"/>
    </row>
    <row r="2502" spans="6:8" x14ac:dyDescent="0.35">
      <c r="F2502" s="38"/>
      <c r="G2502" s="39"/>
      <c r="H2502" s="40"/>
    </row>
    <row r="2503" spans="6:8" x14ac:dyDescent="0.35">
      <c r="F2503" s="38"/>
      <c r="G2503" s="39"/>
      <c r="H2503" s="40"/>
    </row>
    <row r="2504" spans="6:8" x14ac:dyDescent="0.35">
      <c r="F2504" s="38"/>
      <c r="G2504" s="39"/>
      <c r="H2504" s="40"/>
    </row>
    <row r="2505" spans="6:8" x14ac:dyDescent="0.35">
      <c r="F2505" s="38"/>
      <c r="G2505" s="39"/>
      <c r="H2505" s="40"/>
    </row>
    <row r="2506" spans="6:8" x14ac:dyDescent="0.35">
      <c r="F2506" s="38"/>
      <c r="G2506" s="39"/>
      <c r="H2506" s="40"/>
    </row>
    <row r="2507" spans="6:8" x14ac:dyDescent="0.35">
      <c r="F2507" s="38"/>
      <c r="G2507" s="39"/>
      <c r="H2507" s="40"/>
    </row>
    <row r="2508" spans="6:8" x14ac:dyDescent="0.35">
      <c r="F2508" s="38"/>
      <c r="G2508" s="39"/>
      <c r="H2508" s="40"/>
    </row>
    <row r="2509" spans="6:8" x14ac:dyDescent="0.35">
      <c r="F2509" s="38"/>
      <c r="G2509" s="39"/>
      <c r="H2509" s="40"/>
    </row>
    <row r="2510" spans="6:8" x14ac:dyDescent="0.35">
      <c r="F2510" s="38"/>
      <c r="G2510" s="39"/>
      <c r="H2510" s="40"/>
    </row>
    <row r="2511" spans="6:8" x14ac:dyDescent="0.35">
      <c r="F2511" s="38"/>
      <c r="G2511" s="39"/>
      <c r="H2511" s="40"/>
    </row>
    <row r="2512" spans="6:8" x14ac:dyDescent="0.35">
      <c r="F2512" s="38"/>
      <c r="G2512" s="39"/>
      <c r="H2512" s="40"/>
    </row>
    <row r="2513" spans="6:8" x14ac:dyDescent="0.35">
      <c r="F2513" s="38"/>
      <c r="G2513" s="39"/>
      <c r="H2513" s="40"/>
    </row>
    <row r="2514" spans="6:8" x14ac:dyDescent="0.35">
      <c r="F2514" s="38"/>
      <c r="G2514" s="39"/>
      <c r="H2514" s="40"/>
    </row>
    <row r="2515" spans="6:8" x14ac:dyDescent="0.35">
      <c r="F2515" s="38"/>
      <c r="G2515" s="39"/>
      <c r="H2515" s="40"/>
    </row>
    <row r="2516" spans="6:8" x14ac:dyDescent="0.35">
      <c r="F2516" s="38"/>
      <c r="G2516" s="39"/>
      <c r="H2516" s="40"/>
    </row>
    <row r="2517" spans="6:8" x14ac:dyDescent="0.35">
      <c r="F2517" s="38"/>
      <c r="G2517" s="39"/>
      <c r="H2517" s="40"/>
    </row>
    <row r="2518" spans="6:8" x14ac:dyDescent="0.35">
      <c r="F2518" s="38"/>
      <c r="G2518" s="39"/>
      <c r="H2518" s="40"/>
    </row>
    <row r="2519" spans="6:8" x14ac:dyDescent="0.35">
      <c r="F2519" s="38"/>
      <c r="G2519" s="39"/>
      <c r="H2519" s="40"/>
    </row>
    <row r="2520" spans="6:8" x14ac:dyDescent="0.35">
      <c r="F2520" s="38"/>
      <c r="G2520" s="39"/>
      <c r="H2520" s="40"/>
    </row>
    <row r="2521" spans="6:8" x14ac:dyDescent="0.35">
      <c r="F2521" s="38"/>
      <c r="G2521" s="39"/>
      <c r="H2521" s="40"/>
    </row>
    <row r="2522" spans="6:8" x14ac:dyDescent="0.35">
      <c r="F2522" s="38"/>
      <c r="G2522" s="39"/>
      <c r="H2522" s="40"/>
    </row>
    <row r="2523" spans="6:8" x14ac:dyDescent="0.35">
      <c r="F2523" s="38"/>
      <c r="G2523" s="39"/>
      <c r="H2523" s="40"/>
    </row>
    <row r="2524" spans="6:8" x14ac:dyDescent="0.35">
      <c r="F2524" s="38"/>
      <c r="G2524" s="39"/>
      <c r="H2524" s="40"/>
    </row>
    <row r="2525" spans="6:8" x14ac:dyDescent="0.35">
      <c r="F2525" s="38"/>
      <c r="G2525" s="39"/>
      <c r="H2525" s="40"/>
    </row>
    <row r="2526" spans="6:8" x14ac:dyDescent="0.35">
      <c r="F2526" s="38"/>
      <c r="G2526" s="39"/>
      <c r="H2526" s="40"/>
    </row>
    <row r="2527" spans="6:8" x14ac:dyDescent="0.35">
      <c r="F2527" s="38"/>
      <c r="G2527" s="39"/>
      <c r="H2527" s="40"/>
    </row>
    <row r="2528" spans="6:8" x14ac:dyDescent="0.35">
      <c r="F2528" s="38"/>
      <c r="G2528" s="39"/>
      <c r="H2528" s="40"/>
    </row>
    <row r="2529" spans="6:8" x14ac:dyDescent="0.35">
      <c r="F2529" s="38"/>
      <c r="G2529" s="39"/>
      <c r="H2529" s="40"/>
    </row>
    <row r="2530" spans="6:8" x14ac:dyDescent="0.35">
      <c r="F2530" s="38"/>
      <c r="G2530" s="39"/>
      <c r="H2530" s="40"/>
    </row>
    <row r="2531" spans="6:8" x14ac:dyDescent="0.35">
      <c r="F2531" s="38"/>
      <c r="G2531" s="39"/>
      <c r="H2531" s="40"/>
    </row>
    <row r="2532" spans="6:8" x14ac:dyDescent="0.35">
      <c r="F2532" s="38"/>
      <c r="G2532" s="39"/>
      <c r="H2532" s="40"/>
    </row>
    <row r="2533" spans="6:8" x14ac:dyDescent="0.35">
      <c r="F2533" s="38"/>
      <c r="G2533" s="39"/>
      <c r="H2533" s="40"/>
    </row>
    <row r="2534" spans="6:8" x14ac:dyDescent="0.35">
      <c r="F2534" s="38"/>
      <c r="G2534" s="39"/>
      <c r="H2534" s="40"/>
    </row>
    <row r="2535" spans="6:8" x14ac:dyDescent="0.35">
      <c r="F2535" s="38"/>
      <c r="G2535" s="39"/>
      <c r="H2535" s="40"/>
    </row>
    <row r="2536" spans="6:8" x14ac:dyDescent="0.35">
      <c r="F2536" s="38"/>
      <c r="G2536" s="39"/>
      <c r="H2536" s="40"/>
    </row>
    <row r="2537" spans="6:8" x14ac:dyDescent="0.35">
      <c r="F2537" s="38"/>
      <c r="G2537" s="39"/>
      <c r="H2537" s="40"/>
    </row>
    <row r="2538" spans="6:8" x14ac:dyDescent="0.35">
      <c r="F2538" s="38"/>
      <c r="G2538" s="39"/>
      <c r="H2538" s="40"/>
    </row>
    <row r="2539" spans="6:8" x14ac:dyDescent="0.35">
      <c r="F2539" s="38"/>
      <c r="G2539" s="39"/>
      <c r="H2539" s="40"/>
    </row>
    <row r="2540" spans="6:8" x14ac:dyDescent="0.35">
      <c r="F2540" s="38"/>
      <c r="G2540" s="39"/>
      <c r="H2540" s="40"/>
    </row>
    <row r="2541" spans="6:8" x14ac:dyDescent="0.35">
      <c r="F2541" s="38"/>
      <c r="G2541" s="39"/>
      <c r="H2541" s="40"/>
    </row>
    <row r="2542" spans="6:8" x14ac:dyDescent="0.35">
      <c r="F2542" s="38"/>
      <c r="G2542" s="39"/>
      <c r="H2542" s="40"/>
    </row>
    <row r="2543" spans="6:8" x14ac:dyDescent="0.35">
      <c r="F2543" s="38"/>
      <c r="G2543" s="39"/>
      <c r="H2543" s="40"/>
    </row>
    <row r="2544" spans="6:8" x14ac:dyDescent="0.35">
      <c r="F2544" s="38"/>
      <c r="G2544" s="39"/>
      <c r="H2544" s="40"/>
    </row>
    <row r="2545" spans="6:8" x14ac:dyDescent="0.35">
      <c r="F2545" s="38"/>
      <c r="G2545" s="39"/>
      <c r="H2545" s="40"/>
    </row>
    <row r="2546" spans="6:8" x14ac:dyDescent="0.35">
      <c r="F2546" s="38"/>
      <c r="G2546" s="39"/>
      <c r="H2546" s="40"/>
    </row>
    <row r="2547" spans="6:8" x14ac:dyDescent="0.35">
      <c r="F2547" s="38"/>
      <c r="G2547" s="39"/>
      <c r="H2547" s="40"/>
    </row>
    <row r="2548" spans="6:8" x14ac:dyDescent="0.35">
      <c r="F2548" s="38"/>
      <c r="G2548" s="39"/>
      <c r="H2548" s="40"/>
    </row>
    <row r="2549" spans="6:8" x14ac:dyDescent="0.35">
      <c r="F2549" s="38"/>
      <c r="G2549" s="39"/>
      <c r="H2549" s="40"/>
    </row>
    <row r="2550" spans="6:8" x14ac:dyDescent="0.35">
      <c r="F2550" s="38"/>
      <c r="G2550" s="39"/>
      <c r="H2550" s="40"/>
    </row>
    <row r="2551" spans="6:8" x14ac:dyDescent="0.35">
      <c r="F2551" s="38"/>
      <c r="G2551" s="39"/>
      <c r="H2551" s="40"/>
    </row>
    <row r="2552" spans="6:8" x14ac:dyDescent="0.35">
      <c r="F2552" s="38"/>
      <c r="G2552" s="39"/>
      <c r="H2552" s="40"/>
    </row>
    <row r="2553" spans="6:8" x14ac:dyDescent="0.35">
      <c r="F2553" s="38"/>
      <c r="G2553" s="39"/>
      <c r="H2553" s="40"/>
    </row>
    <row r="2554" spans="6:8" x14ac:dyDescent="0.35">
      <c r="F2554" s="38"/>
      <c r="G2554" s="39"/>
      <c r="H2554" s="40"/>
    </row>
    <row r="2555" spans="6:8" x14ac:dyDescent="0.35">
      <c r="F2555" s="38"/>
      <c r="G2555" s="39"/>
      <c r="H2555" s="40"/>
    </row>
    <row r="2556" spans="6:8" x14ac:dyDescent="0.35">
      <c r="F2556" s="38"/>
      <c r="G2556" s="39"/>
      <c r="H2556" s="40"/>
    </row>
    <row r="2557" spans="6:8" x14ac:dyDescent="0.35">
      <c r="F2557" s="38"/>
      <c r="G2557" s="39"/>
      <c r="H2557" s="40"/>
    </row>
    <row r="2558" spans="6:8" x14ac:dyDescent="0.35">
      <c r="F2558" s="38"/>
      <c r="G2558" s="39"/>
      <c r="H2558" s="40"/>
    </row>
    <row r="2559" spans="6:8" x14ac:dyDescent="0.35">
      <c r="F2559" s="38"/>
      <c r="G2559" s="39"/>
      <c r="H2559" s="40"/>
    </row>
    <row r="2560" spans="6:8" x14ac:dyDescent="0.35">
      <c r="F2560" s="38"/>
      <c r="G2560" s="39"/>
      <c r="H2560" s="40"/>
    </row>
    <row r="2561" spans="6:8" x14ac:dyDescent="0.35">
      <c r="F2561" s="38"/>
      <c r="G2561" s="39"/>
      <c r="H2561" s="40"/>
    </row>
    <row r="2562" spans="6:8" x14ac:dyDescent="0.35">
      <c r="F2562" s="38"/>
      <c r="G2562" s="39"/>
      <c r="H2562" s="40"/>
    </row>
    <row r="2563" spans="6:8" x14ac:dyDescent="0.35">
      <c r="F2563" s="38"/>
      <c r="G2563" s="39"/>
      <c r="H2563" s="40"/>
    </row>
    <row r="2564" spans="6:8" x14ac:dyDescent="0.35">
      <c r="F2564" s="38"/>
      <c r="G2564" s="39"/>
      <c r="H2564" s="40"/>
    </row>
    <row r="2565" spans="6:8" x14ac:dyDescent="0.35">
      <c r="F2565" s="38"/>
      <c r="G2565" s="39"/>
      <c r="H2565" s="40"/>
    </row>
    <row r="2566" spans="6:8" x14ac:dyDescent="0.35">
      <c r="F2566" s="38"/>
      <c r="G2566" s="39"/>
      <c r="H2566" s="40"/>
    </row>
    <row r="2567" spans="6:8" x14ac:dyDescent="0.35">
      <c r="F2567" s="38"/>
      <c r="G2567" s="39"/>
      <c r="H2567" s="40"/>
    </row>
    <row r="2568" spans="6:8" x14ac:dyDescent="0.35">
      <c r="F2568" s="38"/>
      <c r="G2568" s="39"/>
      <c r="H2568" s="40"/>
    </row>
    <row r="2569" spans="6:8" x14ac:dyDescent="0.35">
      <c r="F2569" s="38"/>
      <c r="G2569" s="39"/>
      <c r="H2569" s="40"/>
    </row>
    <row r="2570" spans="6:8" x14ac:dyDescent="0.35">
      <c r="F2570" s="38"/>
      <c r="G2570" s="39"/>
      <c r="H2570" s="40"/>
    </row>
    <row r="2571" spans="6:8" x14ac:dyDescent="0.35">
      <c r="F2571" s="38"/>
      <c r="G2571" s="39"/>
      <c r="H2571" s="40"/>
    </row>
    <row r="2572" spans="6:8" x14ac:dyDescent="0.35">
      <c r="F2572" s="38"/>
      <c r="G2572" s="39"/>
      <c r="H2572" s="40"/>
    </row>
    <row r="2573" spans="6:8" x14ac:dyDescent="0.35">
      <c r="F2573" s="38"/>
      <c r="G2573" s="39"/>
      <c r="H2573" s="40"/>
    </row>
    <row r="2574" spans="6:8" x14ac:dyDescent="0.35">
      <c r="F2574" s="38"/>
      <c r="G2574" s="39"/>
      <c r="H2574" s="40"/>
    </row>
    <row r="2575" spans="6:8" x14ac:dyDescent="0.35">
      <c r="F2575" s="38"/>
      <c r="G2575" s="39"/>
      <c r="H2575" s="40"/>
    </row>
    <row r="2576" spans="6:8" x14ac:dyDescent="0.35">
      <c r="F2576" s="38"/>
      <c r="G2576" s="39"/>
      <c r="H2576" s="40"/>
    </row>
    <row r="2577" spans="6:8" x14ac:dyDescent="0.35">
      <c r="F2577" s="38"/>
      <c r="G2577" s="39"/>
      <c r="H2577" s="40"/>
    </row>
    <row r="2578" spans="6:8" x14ac:dyDescent="0.35">
      <c r="F2578" s="38"/>
      <c r="G2578" s="39"/>
      <c r="H2578" s="40"/>
    </row>
    <row r="2579" spans="6:8" x14ac:dyDescent="0.35">
      <c r="F2579" s="38"/>
      <c r="G2579" s="39"/>
      <c r="H2579" s="40"/>
    </row>
    <row r="2580" spans="6:8" x14ac:dyDescent="0.35">
      <c r="F2580" s="38"/>
      <c r="G2580" s="39"/>
      <c r="H2580" s="40"/>
    </row>
    <row r="2581" spans="6:8" x14ac:dyDescent="0.35">
      <c r="F2581" s="38"/>
      <c r="G2581" s="39"/>
      <c r="H2581" s="40"/>
    </row>
    <row r="2582" spans="6:8" x14ac:dyDescent="0.35">
      <c r="F2582" s="38"/>
      <c r="G2582" s="39"/>
      <c r="H2582" s="40"/>
    </row>
    <row r="2583" spans="6:8" x14ac:dyDescent="0.35">
      <c r="F2583" s="38"/>
      <c r="G2583" s="39"/>
      <c r="H2583" s="40"/>
    </row>
    <row r="2584" spans="6:8" x14ac:dyDescent="0.35">
      <c r="F2584" s="38"/>
      <c r="G2584" s="39"/>
      <c r="H2584" s="40"/>
    </row>
    <row r="2585" spans="6:8" x14ac:dyDescent="0.35">
      <c r="F2585" s="38"/>
      <c r="G2585" s="39"/>
      <c r="H2585" s="40"/>
    </row>
    <row r="2586" spans="6:8" x14ac:dyDescent="0.35">
      <c r="F2586" s="38"/>
      <c r="G2586" s="39"/>
      <c r="H2586" s="40"/>
    </row>
    <row r="2587" spans="6:8" x14ac:dyDescent="0.35">
      <c r="F2587" s="38"/>
      <c r="G2587" s="39"/>
      <c r="H2587" s="40"/>
    </row>
    <row r="2588" spans="6:8" x14ac:dyDescent="0.35">
      <c r="F2588" s="38"/>
      <c r="G2588" s="39"/>
      <c r="H2588" s="40"/>
    </row>
    <row r="2589" spans="6:8" x14ac:dyDescent="0.35">
      <c r="F2589" s="38"/>
      <c r="G2589" s="39"/>
      <c r="H2589" s="40"/>
    </row>
    <row r="2590" spans="6:8" x14ac:dyDescent="0.35">
      <c r="F2590" s="38"/>
      <c r="G2590" s="39"/>
      <c r="H2590" s="40"/>
    </row>
    <row r="2591" spans="6:8" x14ac:dyDescent="0.35">
      <c r="F2591" s="38"/>
      <c r="G2591" s="39"/>
      <c r="H2591" s="40"/>
    </row>
    <row r="2592" spans="6:8" x14ac:dyDescent="0.35">
      <c r="F2592" s="38"/>
      <c r="G2592" s="39"/>
      <c r="H2592" s="40"/>
    </row>
    <row r="2593" spans="6:8" x14ac:dyDescent="0.35">
      <c r="F2593" s="38"/>
      <c r="G2593" s="39"/>
      <c r="H2593" s="40"/>
    </row>
    <row r="2594" spans="6:8" x14ac:dyDescent="0.35">
      <c r="F2594" s="38"/>
      <c r="G2594" s="39"/>
      <c r="H2594" s="40"/>
    </row>
    <row r="2595" spans="6:8" x14ac:dyDescent="0.35">
      <c r="F2595" s="38"/>
      <c r="G2595" s="39"/>
      <c r="H2595" s="40"/>
    </row>
    <row r="2596" spans="6:8" x14ac:dyDescent="0.35">
      <c r="F2596" s="38"/>
      <c r="G2596" s="39"/>
      <c r="H2596" s="40"/>
    </row>
    <row r="2597" spans="6:8" x14ac:dyDescent="0.35">
      <c r="F2597" s="38"/>
      <c r="G2597" s="39"/>
      <c r="H2597" s="40"/>
    </row>
    <row r="2598" spans="6:8" x14ac:dyDescent="0.35">
      <c r="F2598" s="38"/>
      <c r="G2598" s="39"/>
      <c r="H2598" s="40"/>
    </row>
    <row r="2599" spans="6:8" x14ac:dyDescent="0.35">
      <c r="F2599" s="38"/>
      <c r="G2599" s="39"/>
      <c r="H2599" s="40"/>
    </row>
    <row r="2600" spans="6:8" x14ac:dyDescent="0.35">
      <c r="F2600" s="38"/>
      <c r="G2600" s="39"/>
      <c r="H2600" s="40"/>
    </row>
    <row r="2601" spans="6:8" x14ac:dyDescent="0.35">
      <c r="F2601" s="38"/>
      <c r="G2601" s="39"/>
      <c r="H2601" s="40"/>
    </row>
    <row r="2602" spans="6:8" x14ac:dyDescent="0.35">
      <c r="F2602" s="38"/>
      <c r="G2602" s="39"/>
      <c r="H2602" s="40"/>
    </row>
    <row r="2603" spans="6:8" x14ac:dyDescent="0.35">
      <c r="F2603" s="38"/>
      <c r="G2603" s="39"/>
      <c r="H2603" s="40"/>
    </row>
    <row r="2604" spans="6:8" x14ac:dyDescent="0.35">
      <c r="F2604" s="38"/>
      <c r="G2604" s="39"/>
      <c r="H2604" s="40"/>
    </row>
    <row r="2605" spans="6:8" x14ac:dyDescent="0.35">
      <c r="F2605" s="38"/>
      <c r="G2605" s="39"/>
      <c r="H2605" s="40"/>
    </row>
    <row r="2606" spans="6:8" x14ac:dyDescent="0.35">
      <c r="F2606" s="38"/>
      <c r="G2606" s="39"/>
      <c r="H2606" s="40"/>
    </row>
    <row r="2607" spans="6:8" x14ac:dyDescent="0.35">
      <c r="F2607" s="38"/>
      <c r="G2607" s="39"/>
      <c r="H2607" s="40"/>
    </row>
    <row r="2608" spans="6:8" x14ac:dyDescent="0.35">
      <c r="F2608" s="38"/>
      <c r="G2608" s="39"/>
      <c r="H2608" s="40"/>
    </row>
    <row r="2609" spans="6:8" x14ac:dyDescent="0.35">
      <c r="F2609" s="38"/>
      <c r="G2609" s="39"/>
      <c r="H2609" s="40"/>
    </row>
    <row r="2610" spans="6:8" x14ac:dyDescent="0.35">
      <c r="F2610" s="38"/>
      <c r="G2610" s="39"/>
      <c r="H2610" s="40"/>
    </row>
    <row r="2611" spans="6:8" x14ac:dyDescent="0.35">
      <c r="F2611" s="38"/>
      <c r="G2611" s="39"/>
      <c r="H2611" s="40"/>
    </row>
    <row r="2612" spans="6:8" x14ac:dyDescent="0.35">
      <c r="F2612" s="38"/>
      <c r="G2612" s="39"/>
      <c r="H2612" s="40"/>
    </row>
    <row r="2613" spans="6:8" x14ac:dyDescent="0.35">
      <c r="F2613" s="38"/>
      <c r="G2613" s="39"/>
      <c r="H2613" s="40"/>
    </row>
    <row r="2614" spans="6:8" x14ac:dyDescent="0.35">
      <c r="F2614" s="38"/>
      <c r="G2614" s="39"/>
      <c r="H2614" s="40"/>
    </row>
    <row r="2615" spans="6:8" x14ac:dyDescent="0.35">
      <c r="F2615" s="38"/>
      <c r="G2615" s="39"/>
      <c r="H2615" s="40"/>
    </row>
    <row r="2616" spans="6:8" x14ac:dyDescent="0.35">
      <c r="F2616" s="38"/>
      <c r="G2616" s="39"/>
      <c r="H2616" s="40"/>
    </row>
    <row r="2617" spans="6:8" x14ac:dyDescent="0.35">
      <c r="F2617" s="38"/>
      <c r="G2617" s="39"/>
      <c r="H2617" s="40"/>
    </row>
    <row r="2618" spans="6:8" x14ac:dyDescent="0.35">
      <c r="F2618" s="38"/>
      <c r="G2618" s="39"/>
      <c r="H2618" s="40"/>
    </row>
    <row r="2619" spans="6:8" x14ac:dyDescent="0.35">
      <c r="F2619" s="38"/>
      <c r="G2619" s="39"/>
      <c r="H2619" s="40"/>
    </row>
    <row r="2620" spans="6:8" x14ac:dyDescent="0.35">
      <c r="F2620" s="38"/>
      <c r="G2620" s="39"/>
      <c r="H2620" s="40"/>
    </row>
    <row r="2621" spans="6:8" x14ac:dyDescent="0.35">
      <c r="F2621" s="38"/>
      <c r="G2621" s="39"/>
      <c r="H2621" s="40"/>
    </row>
    <row r="2622" spans="6:8" x14ac:dyDescent="0.35">
      <c r="F2622" s="38"/>
      <c r="G2622" s="39"/>
      <c r="H2622" s="40"/>
    </row>
    <row r="2623" spans="6:8" x14ac:dyDescent="0.35">
      <c r="F2623" s="38"/>
      <c r="G2623" s="39"/>
      <c r="H2623" s="40"/>
    </row>
    <row r="2624" spans="6:8" x14ac:dyDescent="0.35">
      <c r="F2624" s="38"/>
      <c r="G2624" s="39"/>
      <c r="H2624" s="40"/>
    </row>
    <row r="2625" spans="6:8" x14ac:dyDescent="0.35">
      <c r="F2625" s="38"/>
      <c r="G2625" s="39"/>
      <c r="H2625" s="40"/>
    </row>
    <row r="2626" spans="6:8" x14ac:dyDescent="0.35">
      <c r="F2626" s="38"/>
      <c r="G2626" s="39"/>
      <c r="H2626" s="40"/>
    </row>
    <row r="2627" spans="6:8" x14ac:dyDescent="0.35">
      <c r="F2627" s="38"/>
      <c r="G2627" s="39"/>
      <c r="H2627" s="40"/>
    </row>
    <row r="2628" spans="6:8" x14ac:dyDescent="0.35">
      <c r="F2628" s="38"/>
      <c r="G2628" s="39"/>
      <c r="H2628" s="40"/>
    </row>
    <row r="2629" spans="6:8" x14ac:dyDescent="0.35">
      <c r="F2629" s="38"/>
      <c r="G2629" s="39"/>
      <c r="H2629" s="40"/>
    </row>
    <row r="2630" spans="6:8" x14ac:dyDescent="0.35">
      <c r="F2630" s="38"/>
      <c r="G2630" s="39"/>
      <c r="H2630" s="40"/>
    </row>
    <row r="2631" spans="6:8" x14ac:dyDescent="0.35">
      <c r="F2631" s="38"/>
      <c r="G2631" s="39"/>
      <c r="H2631" s="40"/>
    </row>
    <row r="2632" spans="6:8" x14ac:dyDescent="0.35">
      <c r="F2632" s="38"/>
      <c r="G2632" s="39"/>
      <c r="H2632" s="40"/>
    </row>
    <row r="2633" spans="6:8" x14ac:dyDescent="0.35">
      <c r="F2633" s="38"/>
      <c r="G2633" s="39"/>
      <c r="H2633" s="40"/>
    </row>
    <row r="2634" spans="6:8" x14ac:dyDescent="0.35">
      <c r="F2634" s="38"/>
      <c r="G2634" s="39"/>
      <c r="H2634" s="40"/>
    </row>
    <row r="2635" spans="6:8" x14ac:dyDescent="0.35">
      <c r="F2635" s="38"/>
      <c r="G2635" s="39"/>
      <c r="H2635" s="40"/>
    </row>
    <row r="2636" spans="6:8" x14ac:dyDescent="0.35">
      <c r="F2636" s="38"/>
      <c r="G2636" s="39"/>
      <c r="H2636" s="40"/>
    </row>
    <row r="2637" spans="6:8" x14ac:dyDescent="0.35">
      <c r="F2637" s="38"/>
      <c r="G2637" s="39"/>
      <c r="H2637" s="40"/>
    </row>
    <row r="2638" spans="6:8" x14ac:dyDescent="0.35">
      <c r="F2638" s="38"/>
      <c r="G2638" s="39"/>
      <c r="H2638" s="40"/>
    </row>
    <row r="2639" spans="6:8" x14ac:dyDescent="0.35">
      <c r="F2639" s="38"/>
      <c r="G2639" s="39"/>
      <c r="H2639" s="40"/>
    </row>
    <row r="2640" spans="6:8" x14ac:dyDescent="0.35">
      <c r="F2640" s="38"/>
      <c r="G2640" s="39"/>
      <c r="H2640" s="40"/>
    </row>
    <row r="2641" spans="6:8" x14ac:dyDescent="0.35">
      <c r="F2641" s="38"/>
      <c r="G2641" s="39"/>
      <c r="H2641" s="40"/>
    </row>
    <row r="2642" spans="6:8" x14ac:dyDescent="0.35">
      <c r="F2642" s="38"/>
      <c r="G2642" s="39"/>
      <c r="H2642" s="40"/>
    </row>
    <row r="2643" spans="6:8" x14ac:dyDescent="0.35">
      <c r="F2643" s="38"/>
      <c r="G2643" s="39"/>
      <c r="H2643" s="40"/>
    </row>
    <row r="2644" spans="6:8" x14ac:dyDescent="0.35">
      <c r="F2644" s="38"/>
      <c r="G2644" s="39"/>
      <c r="H2644" s="40"/>
    </row>
    <row r="2645" spans="6:8" x14ac:dyDescent="0.35">
      <c r="F2645" s="38"/>
      <c r="G2645" s="39"/>
      <c r="H2645" s="40"/>
    </row>
    <row r="2646" spans="6:8" x14ac:dyDescent="0.35">
      <c r="F2646" s="38"/>
      <c r="G2646" s="39"/>
      <c r="H2646" s="40"/>
    </row>
    <row r="2647" spans="6:8" x14ac:dyDescent="0.35">
      <c r="F2647" s="38"/>
      <c r="G2647" s="39"/>
      <c r="H2647" s="40"/>
    </row>
    <row r="2648" spans="6:8" x14ac:dyDescent="0.35">
      <c r="F2648" s="38"/>
      <c r="G2648" s="39"/>
      <c r="H2648" s="40"/>
    </row>
    <row r="2649" spans="6:8" x14ac:dyDescent="0.35">
      <c r="F2649" s="38"/>
      <c r="G2649" s="39"/>
      <c r="H2649" s="40"/>
    </row>
    <row r="2650" spans="6:8" x14ac:dyDescent="0.35">
      <c r="F2650" s="38"/>
      <c r="G2650" s="39"/>
      <c r="H2650" s="40"/>
    </row>
    <row r="2651" spans="6:8" x14ac:dyDescent="0.35">
      <c r="F2651" s="38"/>
      <c r="G2651" s="39"/>
      <c r="H2651" s="40"/>
    </row>
    <row r="2652" spans="6:8" x14ac:dyDescent="0.35">
      <c r="F2652" s="38"/>
      <c r="G2652" s="39"/>
      <c r="H2652" s="40"/>
    </row>
    <row r="2653" spans="6:8" x14ac:dyDescent="0.35">
      <c r="F2653" s="38"/>
      <c r="G2653" s="39"/>
      <c r="H2653" s="40"/>
    </row>
    <row r="2654" spans="6:8" x14ac:dyDescent="0.35">
      <c r="F2654" s="38"/>
      <c r="G2654" s="39"/>
      <c r="H2654" s="40"/>
    </row>
    <row r="2655" spans="6:8" x14ac:dyDescent="0.35">
      <c r="F2655" s="38"/>
      <c r="G2655" s="39"/>
      <c r="H2655" s="40"/>
    </row>
    <row r="2656" spans="6:8" x14ac:dyDescent="0.35">
      <c r="F2656" s="38"/>
      <c r="G2656" s="39"/>
      <c r="H2656" s="40"/>
    </row>
    <row r="2657" spans="6:8" x14ac:dyDescent="0.35">
      <c r="F2657" s="38"/>
      <c r="G2657" s="39"/>
      <c r="H2657" s="40"/>
    </row>
    <row r="2658" spans="6:8" x14ac:dyDescent="0.35">
      <c r="F2658" s="38"/>
      <c r="G2658" s="39"/>
      <c r="H2658" s="40"/>
    </row>
    <row r="2659" spans="6:8" x14ac:dyDescent="0.35">
      <c r="F2659" s="38"/>
      <c r="G2659" s="39"/>
      <c r="H2659" s="40"/>
    </row>
    <row r="2660" spans="6:8" x14ac:dyDescent="0.35">
      <c r="F2660" s="38"/>
      <c r="G2660" s="39"/>
      <c r="H2660" s="40"/>
    </row>
    <row r="2661" spans="6:8" x14ac:dyDescent="0.35">
      <c r="F2661" s="38"/>
      <c r="G2661" s="39"/>
      <c r="H2661" s="40"/>
    </row>
    <row r="2662" spans="6:8" x14ac:dyDescent="0.35">
      <c r="F2662" s="38"/>
      <c r="G2662" s="39"/>
      <c r="H2662" s="40"/>
    </row>
    <row r="2663" spans="6:8" x14ac:dyDescent="0.35">
      <c r="F2663" s="38"/>
      <c r="G2663" s="39"/>
      <c r="H2663" s="40"/>
    </row>
    <row r="2664" spans="6:8" x14ac:dyDescent="0.35">
      <c r="F2664" s="38"/>
      <c r="G2664" s="39"/>
      <c r="H2664" s="40"/>
    </row>
    <row r="2665" spans="6:8" x14ac:dyDescent="0.35">
      <c r="F2665" s="38"/>
      <c r="G2665" s="39"/>
      <c r="H2665" s="40"/>
    </row>
    <row r="2666" spans="6:8" x14ac:dyDescent="0.35">
      <c r="F2666" s="38"/>
      <c r="G2666" s="39"/>
      <c r="H2666" s="40"/>
    </row>
    <row r="2667" spans="6:8" x14ac:dyDescent="0.35">
      <c r="F2667" s="38"/>
      <c r="G2667" s="39"/>
      <c r="H2667" s="40"/>
    </row>
    <row r="2668" spans="6:8" x14ac:dyDescent="0.35">
      <c r="F2668" s="38"/>
      <c r="G2668" s="39"/>
      <c r="H2668" s="40"/>
    </row>
    <row r="2669" spans="6:8" x14ac:dyDescent="0.35">
      <c r="F2669" s="38"/>
      <c r="G2669" s="39"/>
      <c r="H2669" s="40"/>
    </row>
    <row r="2670" spans="6:8" x14ac:dyDescent="0.35">
      <c r="F2670" s="38"/>
      <c r="G2670" s="39"/>
      <c r="H2670" s="40"/>
    </row>
    <row r="2671" spans="6:8" x14ac:dyDescent="0.35">
      <c r="F2671" s="38"/>
      <c r="G2671" s="39"/>
      <c r="H2671" s="40"/>
    </row>
    <row r="2672" spans="6:8" x14ac:dyDescent="0.35">
      <c r="F2672" s="38"/>
      <c r="G2672" s="39"/>
      <c r="H2672" s="40"/>
    </row>
    <row r="2673" spans="6:8" x14ac:dyDescent="0.35">
      <c r="F2673" s="38"/>
      <c r="G2673" s="39"/>
      <c r="H2673" s="40"/>
    </row>
    <row r="2674" spans="6:8" x14ac:dyDescent="0.35">
      <c r="F2674" s="38"/>
      <c r="G2674" s="39"/>
      <c r="H2674" s="40"/>
    </row>
    <row r="2675" spans="6:8" x14ac:dyDescent="0.35">
      <c r="F2675" s="38"/>
      <c r="G2675" s="39"/>
      <c r="H2675" s="40"/>
    </row>
    <row r="2676" spans="6:8" x14ac:dyDescent="0.35">
      <c r="F2676" s="38"/>
      <c r="G2676" s="39"/>
      <c r="H2676" s="40"/>
    </row>
    <row r="2677" spans="6:8" x14ac:dyDescent="0.35">
      <c r="F2677" s="38"/>
      <c r="G2677" s="39"/>
      <c r="H2677" s="40"/>
    </row>
    <row r="2678" spans="6:8" x14ac:dyDescent="0.35">
      <c r="F2678" s="38"/>
      <c r="G2678" s="39"/>
      <c r="H2678" s="40"/>
    </row>
    <row r="2679" spans="6:8" x14ac:dyDescent="0.35">
      <c r="F2679" s="38"/>
      <c r="G2679" s="39"/>
      <c r="H2679" s="40"/>
    </row>
    <row r="2680" spans="6:8" x14ac:dyDescent="0.35">
      <c r="F2680" s="38"/>
      <c r="G2680" s="39"/>
      <c r="H2680" s="40"/>
    </row>
    <row r="2681" spans="6:8" x14ac:dyDescent="0.35">
      <c r="F2681" s="38"/>
      <c r="G2681" s="39"/>
      <c r="H2681" s="40"/>
    </row>
    <row r="2682" spans="6:8" x14ac:dyDescent="0.35">
      <c r="F2682" s="38"/>
      <c r="G2682" s="39"/>
      <c r="H2682" s="40"/>
    </row>
    <row r="2683" spans="6:8" x14ac:dyDescent="0.35">
      <c r="F2683" s="38"/>
      <c r="G2683" s="39"/>
      <c r="H2683" s="40"/>
    </row>
    <row r="2684" spans="6:8" x14ac:dyDescent="0.35">
      <c r="F2684" s="38"/>
      <c r="G2684" s="39"/>
      <c r="H2684" s="40"/>
    </row>
    <row r="2685" spans="6:8" x14ac:dyDescent="0.35">
      <c r="F2685" s="38"/>
      <c r="G2685" s="39"/>
      <c r="H2685" s="40"/>
    </row>
    <row r="2686" spans="6:8" x14ac:dyDescent="0.35">
      <c r="F2686" s="38"/>
      <c r="G2686" s="39"/>
      <c r="H2686" s="40"/>
    </row>
    <row r="2687" spans="6:8" x14ac:dyDescent="0.35">
      <c r="F2687" s="38"/>
      <c r="G2687" s="39"/>
      <c r="H2687" s="40"/>
    </row>
    <row r="2688" spans="6:8" x14ac:dyDescent="0.35">
      <c r="F2688" s="38"/>
      <c r="G2688" s="39"/>
      <c r="H2688" s="40"/>
    </row>
    <row r="2689" spans="6:8" x14ac:dyDescent="0.35">
      <c r="F2689" s="38"/>
      <c r="G2689" s="39"/>
      <c r="H2689" s="40"/>
    </row>
    <row r="2690" spans="6:8" x14ac:dyDescent="0.35">
      <c r="F2690" s="38"/>
      <c r="G2690" s="39"/>
      <c r="H2690" s="40"/>
    </row>
    <row r="2691" spans="6:8" x14ac:dyDescent="0.35">
      <c r="F2691" s="38"/>
      <c r="G2691" s="39"/>
      <c r="H2691" s="40"/>
    </row>
    <row r="2692" spans="6:8" x14ac:dyDescent="0.35">
      <c r="F2692" s="38"/>
      <c r="G2692" s="39"/>
      <c r="H2692" s="40"/>
    </row>
    <row r="2693" spans="6:8" x14ac:dyDescent="0.35">
      <c r="F2693" s="38"/>
      <c r="G2693" s="39"/>
      <c r="H2693" s="40"/>
    </row>
    <row r="2694" spans="6:8" x14ac:dyDescent="0.35">
      <c r="F2694" s="38"/>
      <c r="G2694" s="39"/>
      <c r="H2694" s="40"/>
    </row>
    <row r="2695" spans="6:8" x14ac:dyDescent="0.35">
      <c r="F2695" s="38"/>
      <c r="G2695" s="39"/>
      <c r="H2695" s="40"/>
    </row>
    <row r="2696" spans="6:8" x14ac:dyDescent="0.35">
      <c r="F2696" s="38"/>
      <c r="G2696" s="39"/>
      <c r="H2696" s="40"/>
    </row>
    <row r="2697" spans="6:8" x14ac:dyDescent="0.35">
      <c r="F2697" s="38"/>
      <c r="G2697" s="39"/>
      <c r="H2697" s="40"/>
    </row>
    <row r="2698" spans="6:8" x14ac:dyDescent="0.35">
      <c r="F2698" s="38"/>
      <c r="G2698" s="39"/>
      <c r="H2698" s="40"/>
    </row>
    <row r="2699" spans="6:8" x14ac:dyDescent="0.35">
      <c r="F2699" s="38"/>
      <c r="G2699" s="39"/>
      <c r="H2699" s="40"/>
    </row>
    <row r="2700" spans="6:8" x14ac:dyDescent="0.35">
      <c r="F2700" s="38"/>
      <c r="G2700" s="39"/>
      <c r="H2700" s="40"/>
    </row>
    <row r="2701" spans="6:8" x14ac:dyDescent="0.35">
      <c r="F2701" s="38"/>
      <c r="G2701" s="39"/>
      <c r="H2701" s="40"/>
    </row>
    <row r="2702" spans="6:8" x14ac:dyDescent="0.35">
      <c r="F2702" s="38"/>
      <c r="G2702" s="39"/>
      <c r="H2702" s="40"/>
    </row>
    <row r="2703" spans="6:8" x14ac:dyDescent="0.35">
      <c r="F2703" s="38"/>
      <c r="G2703" s="39"/>
      <c r="H2703" s="40"/>
    </row>
    <row r="2704" spans="6:8" x14ac:dyDescent="0.35">
      <c r="F2704" s="38"/>
      <c r="G2704" s="39"/>
      <c r="H2704" s="40"/>
    </row>
    <row r="2705" spans="6:8" x14ac:dyDescent="0.35">
      <c r="F2705" s="38"/>
      <c r="G2705" s="39"/>
      <c r="H2705" s="40"/>
    </row>
    <row r="2706" spans="6:8" x14ac:dyDescent="0.35">
      <c r="F2706" s="38"/>
      <c r="G2706" s="39"/>
      <c r="H2706" s="40"/>
    </row>
    <row r="2707" spans="6:8" x14ac:dyDescent="0.35">
      <c r="F2707" s="38"/>
      <c r="G2707" s="39"/>
      <c r="H2707" s="40"/>
    </row>
    <row r="2708" spans="6:8" x14ac:dyDescent="0.35">
      <c r="F2708" s="38"/>
      <c r="G2708" s="39"/>
      <c r="H2708" s="40"/>
    </row>
    <row r="2709" spans="6:8" x14ac:dyDescent="0.35">
      <c r="F2709" s="38"/>
      <c r="G2709" s="39"/>
      <c r="H2709" s="40"/>
    </row>
    <row r="2710" spans="6:8" x14ac:dyDescent="0.35">
      <c r="F2710" s="38"/>
      <c r="G2710" s="39"/>
      <c r="H2710" s="40"/>
    </row>
    <row r="2711" spans="6:8" x14ac:dyDescent="0.35">
      <c r="F2711" s="38"/>
      <c r="G2711" s="39"/>
      <c r="H2711" s="40"/>
    </row>
    <row r="2712" spans="6:8" x14ac:dyDescent="0.35">
      <c r="F2712" s="38"/>
      <c r="G2712" s="39"/>
      <c r="H2712" s="40"/>
    </row>
    <row r="2713" spans="6:8" x14ac:dyDescent="0.35">
      <c r="F2713" s="38"/>
      <c r="G2713" s="39"/>
      <c r="H2713" s="40"/>
    </row>
    <row r="2714" spans="6:8" x14ac:dyDescent="0.35">
      <c r="F2714" s="38"/>
      <c r="G2714" s="39"/>
      <c r="H2714" s="40"/>
    </row>
    <row r="2715" spans="6:8" x14ac:dyDescent="0.35">
      <c r="F2715" s="38"/>
      <c r="G2715" s="39"/>
      <c r="H2715" s="40"/>
    </row>
    <row r="2716" spans="6:8" x14ac:dyDescent="0.35">
      <c r="F2716" s="38"/>
      <c r="G2716" s="39"/>
      <c r="H2716" s="40"/>
    </row>
    <row r="2717" spans="6:8" x14ac:dyDescent="0.35">
      <c r="F2717" s="38"/>
      <c r="G2717" s="39"/>
      <c r="H2717" s="40"/>
    </row>
    <row r="2718" spans="6:8" x14ac:dyDescent="0.35">
      <c r="F2718" s="38"/>
      <c r="G2718" s="39"/>
      <c r="H2718" s="40"/>
    </row>
    <row r="2719" spans="6:8" x14ac:dyDescent="0.35">
      <c r="F2719" s="38"/>
      <c r="G2719" s="39"/>
      <c r="H2719" s="40"/>
    </row>
    <row r="2720" spans="6:8" x14ac:dyDescent="0.35">
      <c r="F2720" s="38"/>
      <c r="G2720" s="39"/>
      <c r="H2720" s="40"/>
    </row>
    <row r="2721" spans="6:8" x14ac:dyDescent="0.35">
      <c r="F2721" s="38"/>
      <c r="G2721" s="39"/>
      <c r="H2721" s="40"/>
    </row>
    <row r="2722" spans="6:8" x14ac:dyDescent="0.35">
      <c r="F2722" s="38"/>
      <c r="G2722" s="39"/>
      <c r="H2722" s="40"/>
    </row>
    <row r="2723" spans="6:8" x14ac:dyDescent="0.35">
      <c r="F2723" s="38"/>
      <c r="G2723" s="39"/>
      <c r="H2723" s="40"/>
    </row>
    <row r="2724" spans="6:8" x14ac:dyDescent="0.35">
      <c r="F2724" s="38"/>
      <c r="G2724" s="39"/>
      <c r="H2724" s="40"/>
    </row>
    <row r="2725" spans="6:8" x14ac:dyDescent="0.35">
      <c r="F2725" s="38"/>
      <c r="G2725" s="39"/>
      <c r="H2725" s="40"/>
    </row>
    <row r="2726" spans="6:8" x14ac:dyDescent="0.35">
      <c r="F2726" s="38"/>
      <c r="G2726" s="39"/>
      <c r="H2726" s="40"/>
    </row>
    <row r="2727" spans="6:8" x14ac:dyDescent="0.35">
      <c r="F2727" s="38"/>
      <c r="G2727" s="39"/>
      <c r="H2727" s="40"/>
    </row>
    <row r="2728" spans="6:8" x14ac:dyDescent="0.35">
      <c r="F2728" s="38"/>
      <c r="G2728" s="39"/>
      <c r="H2728" s="40"/>
    </row>
    <row r="2729" spans="6:8" x14ac:dyDescent="0.35">
      <c r="F2729" s="38"/>
      <c r="G2729" s="39"/>
      <c r="H2729" s="40"/>
    </row>
    <row r="2730" spans="6:8" x14ac:dyDescent="0.35">
      <c r="F2730" s="38"/>
      <c r="G2730" s="39"/>
      <c r="H2730" s="40"/>
    </row>
    <row r="2731" spans="6:8" x14ac:dyDescent="0.35">
      <c r="F2731" s="38"/>
      <c r="G2731" s="39"/>
      <c r="H2731" s="40"/>
    </row>
    <row r="2732" spans="6:8" x14ac:dyDescent="0.35">
      <c r="F2732" s="38"/>
      <c r="G2732" s="39"/>
      <c r="H2732" s="40"/>
    </row>
    <row r="2733" spans="6:8" x14ac:dyDescent="0.35">
      <c r="F2733" s="38"/>
      <c r="G2733" s="39"/>
      <c r="H2733" s="40"/>
    </row>
    <row r="2734" spans="6:8" x14ac:dyDescent="0.35">
      <c r="F2734" s="38"/>
      <c r="G2734" s="39"/>
      <c r="H2734" s="40"/>
    </row>
    <row r="2735" spans="6:8" x14ac:dyDescent="0.35">
      <c r="F2735" s="38"/>
      <c r="G2735" s="39"/>
      <c r="H2735" s="40"/>
    </row>
    <row r="2736" spans="6:8" x14ac:dyDescent="0.35">
      <c r="F2736" s="38"/>
      <c r="G2736" s="39"/>
      <c r="H2736" s="40"/>
    </row>
    <row r="2737" spans="6:8" x14ac:dyDescent="0.35">
      <c r="F2737" s="38"/>
      <c r="G2737" s="39"/>
      <c r="H2737" s="40"/>
    </row>
    <row r="2738" spans="6:8" x14ac:dyDescent="0.35">
      <c r="F2738" s="38"/>
      <c r="G2738" s="39"/>
      <c r="H2738" s="40"/>
    </row>
    <row r="2739" spans="6:8" x14ac:dyDescent="0.35">
      <c r="F2739" s="38"/>
      <c r="G2739" s="39"/>
      <c r="H2739" s="40"/>
    </row>
    <row r="2740" spans="6:8" x14ac:dyDescent="0.35">
      <c r="F2740" s="38"/>
      <c r="G2740" s="39"/>
      <c r="H2740" s="40"/>
    </row>
    <row r="2741" spans="6:8" x14ac:dyDescent="0.35">
      <c r="F2741" s="38"/>
      <c r="G2741" s="39"/>
      <c r="H2741" s="40"/>
    </row>
    <row r="2742" spans="6:8" x14ac:dyDescent="0.35">
      <c r="F2742" s="38"/>
      <c r="G2742" s="39"/>
      <c r="H2742" s="40"/>
    </row>
    <row r="2743" spans="6:8" x14ac:dyDescent="0.35">
      <c r="F2743" s="38"/>
      <c r="G2743" s="39"/>
      <c r="H2743" s="40"/>
    </row>
    <row r="2744" spans="6:8" x14ac:dyDescent="0.35">
      <c r="F2744" s="38"/>
      <c r="G2744" s="39"/>
      <c r="H2744" s="40"/>
    </row>
    <row r="2745" spans="6:8" x14ac:dyDescent="0.35">
      <c r="F2745" s="38"/>
      <c r="G2745" s="39"/>
      <c r="H2745" s="40"/>
    </row>
    <row r="2746" spans="6:8" x14ac:dyDescent="0.35">
      <c r="F2746" s="38"/>
      <c r="G2746" s="39"/>
      <c r="H2746" s="40"/>
    </row>
    <row r="2747" spans="6:8" x14ac:dyDescent="0.35">
      <c r="F2747" s="38"/>
      <c r="G2747" s="39"/>
      <c r="H2747" s="40"/>
    </row>
    <row r="2748" spans="6:8" x14ac:dyDescent="0.35">
      <c r="F2748" s="38"/>
      <c r="G2748" s="39"/>
      <c r="H2748" s="40"/>
    </row>
    <row r="2749" spans="6:8" x14ac:dyDescent="0.35">
      <c r="F2749" s="38"/>
      <c r="G2749" s="39"/>
      <c r="H2749" s="40"/>
    </row>
    <row r="2750" spans="6:8" x14ac:dyDescent="0.35">
      <c r="F2750" s="38"/>
      <c r="G2750" s="39"/>
      <c r="H2750" s="40"/>
    </row>
    <row r="2751" spans="6:8" x14ac:dyDescent="0.35">
      <c r="F2751" s="38"/>
      <c r="G2751" s="39"/>
      <c r="H2751" s="40"/>
    </row>
    <row r="2752" spans="6:8" x14ac:dyDescent="0.35">
      <c r="F2752" s="38"/>
      <c r="G2752" s="39"/>
      <c r="H2752" s="40"/>
    </row>
    <row r="2753" spans="6:8" x14ac:dyDescent="0.35">
      <c r="F2753" s="38"/>
      <c r="G2753" s="39"/>
      <c r="H2753" s="40"/>
    </row>
    <row r="2754" spans="6:8" x14ac:dyDescent="0.35">
      <c r="F2754" s="38"/>
      <c r="G2754" s="39"/>
      <c r="H2754" s="40"/>
    </row>
    <row r="2755" spans="6:8" x14ac:dyDescent="0.35">
      <c r="F2755" s="38"/>
      <c r="G2755" s="39"/>
      <c r="H2755" s="40"/>
    </row>
    <row r="2756" spans="6:8" x14ac:dyDescent="0.35">
      <c r="F2756" s="38"/>
      <c r="G2756" s="39"/>
      <c r="H2756" s="40"/>
    </row>
    <row r="2757" spans="6:8" x14ac:dyDescent="0.35">
      <c r="F2757" s="38"/>
      <c r="G2757" s="39"/>
      <c r="H2757" s="40"/>
    </row>
    <row r="2758" spans="6:8" x14ac:dyDescent="0.35">
      <c r="F2758" s="38"/>
      <c r="G2758" s="39"/>
      <c r="H2758" s="40"/>
    </row>
    <row r="2759" spans="6:8" x14ac:dyDescent="0.35">
      <c r="F2759" s="38"/>
      <c r="G2759" s="39"/>
      <c r="H2759" s="40"/>
    </row>
    <row r="2760" spans="6:8" x14ac:dyDescent="0.35">
      <c r="F2760" s="38"/>
      <c r="G2760" s="39"/>
      <c r="H2760" s="40"/>
    </row>
    <row r="2761" spans="6:8" x14ac:dyDescent="0.35">
      <c r="F2761" s="38"/>
      <c r="G2761" s="39"/>
      <c r="H2761" s="40"/>
    </row>
    <row r="2762" spans="6:8" x14ac:dyDescent="0.35">
      <c r="F2762" s="38"/>
      <c r="G2762" s="39"/>
      <c r="H2762" s="40"/>
    </row>
    <row r="2763" spans="6:8" x14ac:dyDescent="0.35">
      <c r="F2763" s="38"/>
      <c r="G2763" s="39"/>
      <c r="H2763" s="40"/>
    </row>
    <row r="2764" spans="6:8" x14ac:dyDescent="0.35">
      <c r="F2764" s="38"/>
      <c r="G2764" s="39"/>
      <c r="H2764" s="40"/>
    </row>
    <row r="2765" spans="6:8" x14ac:dyDescent="0.35">
      <c r="F2765" s="38"/>
      <c r="G2765" s="39"/>
      <c r="H2765" s="40"/>
    </row>
    <row r="2766" spans="6:8" x14ac:dyDescent="0.35">
      <c r="F2766" s="38"/>
      <c r="G2766" s="39"/>
      <c r="H2766" s="40"/>
    </row>
    <row r="2767" spans="6:8" x14ac:dyDescent="0.35">
      <c r="F2767" s="38"/>
      <c r="G2767" s="39"/>
      <c r="H2767" s="40"/>
    </row>
    <row r="2768" spans="6:8" x14ac:dyDescent="0.35">
      <c r="F2768" s="38"/>
      <c r="G2768" s="39"/>
      <c r="H2768" s="40"/>
    </row>
    <row r="2769" spans="6:8" x14ac:dyDescent="0.35">
      <c r="F2769" s="38"/>
      <c r="G2769" s="39"/>
      <c r="H2769" s="40"/>
    </row>
    <row r="2770" spans="6:8" x14ac:dyDescent="0.35">
      <c r="F2770" s="38"/>
      <c r="G2770" s="39"/>
      <c r="H2770" s="40"/>
    </row>
    <row r="2771" spans="6:8" x14ac:dyDescent="0.35">
      <c r="F2771" s="38"/>
      <c r="G2771" s="39"/>
      <c r="H2771" s="40"/>
    </row>
    <row r="2772" spans="6:8" x14ac:dyDescent="0.35">
      <c r="F2772" s="38"/>
      <c r="G2772" s="39"/>
      <c r="H2772" s="40"/>
    </row>
    <row r="2773" spans="6:8" x14ac:dyDescent="0.35">
      <c r="F2773" s="38"/>
      <c r="G2773" s="39"/>
      <c r="H2773" s="40"/>
    </row>
    <row r="2774" spans="6:8" x14ac:dyDescent="0.35">
      <c r="F2774" s="38"/>
      <c r="G2774" s="39"/>
      <c r="H2774" s="40"/>
    </row>
    <row r="2775" spans="6:8" x14ac:dyDescent="0.35">
      <c r="F2775" s="38"/>
      <c r="G2775" s="39"/>
      <c r="H2775" s="40"/>
    </row>
    <row r="2776" spans="6:8" x14ac:dyDescent="0.35">
      <c r="F2776" s="38"/>
      <c r="G2776" s="39"/>
      <c r="H2776" s="40"/>
    </row>
    <row r="2777" spans="6:8" x14ac:dyDescent="0.35">
      <c r="F2777" s="38"/>
      <c r="G2777" s="39"/>
      <c r="H2777" s="40"/>
    </row>
    <row r="2778" spans="6:8" x14ac:dyDescent="0.35">
      <c r="F2778" s="38"/>
      <c r="G2778" s="39"/>
      <c r="H2778" s="40"/>
    </row>
    <row r="2779" spans="6:8" x14ac:dyDescent="0.35">
      <c r="F2779" s="38"/>
      <c r="G2779" s="39"/>
      <c r="H2779" s="40"/>
    </row>
    <row r="2780" spans="6:8" x14ac:dyDescent="0.35">
      <c r="F2780" s="38"/>
      <c r="G2780" s="39"/>
      <c r="H2780" s="40"/>
    </row>
    <row r="2781" spans="6:8" x14ac:dyDescent="0.35">
      <c r="F2781" s="38"/>
      <c r="G2781" s="39"/>
      <c r="H2781" s="40"/>
    </row>
    <row r="2782" spans="6:8" x14ac:dyDescent="0.35">
      <c r="F2782" s="38"/>
      <c r="G2782" s="39"/>
      <c r="H2782" s="40"/>
    </row>
    <row r="2783" spans="6:8" x14ac:dyDescent="0.35">
      <c r="F2783" s="38"/>
      <c r="G2783" s="39"/>
      <c r="H2783" s="40"/>
    </row>
    <row r="2784" spans="6:8" x14ac:dyDescent="0.35">
      <c r="F2784" s="38"/>
      <c r="G2784" s="39"/>
      <c r="H2784" s="40"/>
    </row>
    <row r="2785" spans="6:8" x14ac:dyDescent="0.35">
      <c r="F2785" s="38"/>
      <c r="G2785" s="39"/>
      <c r="H2785" s="40"/>
    </row>
    <row r="2786" spans="6:8" x14ac:dyDescent="0.35">
      <c r="F2786" s="38"/>
      <c r="G2786" s="39"/>
      <c r="H2786" s="40"/>
    </row>
    <row r="2787" spans="6:8" x14ac:dyDescent="0.35">
      <c r="F2787" s="38"/>
      <c r="G2787" s="39"/>
      <c r="H2787" s="40"/>
    </row>
    <row r="2788" spans="6:8" x14ac:dyDescent="0.35">
      <c r="F2788" s="38"/>
      <c r="G2788" s="39"/>
      <c r="H2788" s="40"/>
    </row>
    <row r="2789" spans="6:8" x14ac:dyDescent="0.35">
      <c r="F2789" s="38"/>
      <c r="G2789" s="39"/>
      <c r="H2789" s="40"/>
    </row>
    <row r="2790" spans="6:8" x14ac:dyDescent="0.35">
      <c r="F2790" s="38"/>
      <c r="G2790" s="39"/>
      <c r="H2790" s="40"/>
    </row>
    <row r="2791" spans="6:8" x14ac:dyDescent="0.35">
      <c r="F2791" s="38"/>
      <c r="G2791" s="39"/>
      <c r="H2791" s="40"/>
    </row>
    <row r="2792" spans="6:8" x14ac:dyDescent="0.35">
      <c r="F2792" s="38"/>
      <c r="G2792" s="39"/>
      <c r="H2792" s="40"/>
    </row>
    <row r="2793" spans="6:8" x14ac:dyDescent="0.35">
      <c r="F2793" s="38"/>
      <c r="G2793" s="39"/>
      <c r="H2793" s="40"/>
    </row>
    <row r="2794" spans="6:8" x14ac:dyDescent="0.35">
      <c r="F2794" s="38"/>
      <c r="G2794" s="39"/>
      <c r="H2794" s="40"/>
    </row>
    <row r="2795" spans="6:8" x14ac:dyDescent="0.35">
      <c r="F2795" s="38"/>
      <c r="G2795" s="39"/>
      <c r="H2795" s="40"/>
    </row>
    <row r="2796" spans="6:8" x14ac:dyDescent="0.35">
      <c r="F2796" s="38"/>
      <c r="G2796" s="39"/>
      <c r="H2796" s="40"/>
    </row>
    <row r="2797" spans="6:8" x14ac:dyDescent="0.35">
      <c r="F2797" s="38"/>
      <c r="G2797" s="39"/>
      <c r="H2797" s="40"/>
    </row>
    <row r="2798" spans="6:8" x14ac:dyDescent="0.35">
      <c r="F2798" s="38"/>
      <c r="G2798" s="39"/>
      <c r="H2798" s="40"/>
    </row>
    <row r="2799" spans="6:8" x14ac:dyDescent="0.35">
      <c r="F2799" s="38"/>
      <c r="G2799" s="39"/>
      <c r="H2799" s="40"/>
    </row>
    <row r="2800" spans="6:8" x14ac:dyDescent="0.35">
      <c r="F2800" s="38"/>
      <c r="G2800" s="39"/>
      <c r="H2800" s="40"/>
    </row>
    <row r="2801" spans="6:8" x14ac:dyDescent="0.35">
      <c r="F2801" s="38"/>
      <c r="G2801" s="39"/>
      <c r="H2801" s="40"/>
    </row>
    <row r="2802" spans="6:8" x14ac:dyDescent="0.35">
      <c r="F2802" s="38"/>
      <c r="G2802" s="39"/>
      <c r="H2802" s="40"/>
    </row>
    <row r="2803" spans="6:8" x14ac:dyDescent="0.35">
      <c r="F2803" s="38"/>
      <c r="G2803" s="39"/>
      <c r="H2803" s="40"/>
    </row>
    <row r="2804" spans="6:8" x14ac:dyDescent="0.35">
      <c r="F2804" s="38"/>
      <c r="G2804" s="39"/>
      <c r="H2804" s="40"/>
    </row>
    <row r="2805" spans="6:8" x14ac:dyDescent="0.35">
      <c r="F2805" s="38"/>
      <c r="G2805" s="39"/>
      <c r="H2805" s="40"/>
    </row>
    <row r="2806" spans="6:8" x14ac:dyDescent="0.35">
      <c r="F2806" s="38"/>
      <c r="G2806" s="39"/>
      <c r="H2806" s="40"/>
    </row>
    <row r="2807" spans="6:8" x14ac:dyDescent="0.35">
      <c r="F2807" s="38"/>
      <c r="G2807" s="39"/>
      <c r="H2807" s="40"/>
    </row>
    <row r="2808" spans="6:8" x14ac:dyDescent="0.35">
      <c r="F2808" s="38"/>
      <c r="G2808" s="39"/>
      <c r="H2808" s="40"/>
    </row>
    <row r="2809" spans="6:8" x14ac:dyDescent="0.35">
      <c r="F2809" s="38"/>
      <c r="G2809" s="39"/>
      <c r="H2809" s="40"/>
    </row>
    <row r="2810" spans="6:8" x14ac:dyDescent="0.35">
      <c r="F2810" s="38"/>
      <c r="G2810" s="39"/>
      <c r="H2810" s="40"/>
    </row>
    <row r="2811" spans="6:8" x14ac:dyDescent="0.35">
      <c r="F2811" s="38"/>
      <c r="G2811" s="39"/>
      <c r="H2811" s="40"/>
    </row>
    <row r="2812" spans="6:8" x14ac:dyDescent="0.35">
      <c r="F2812" s="38"/>
      <c r="G2812" s="39"/>
      <c r="H2812" s="40"/>
    </row>
    <row r="2813" spans="6:8" x14ac:dyDescent="0.35">
      <c r="F2813" s="38"/>
      <c r="G2813" s="39"/>
      <c r="H2813" s="40"/>
    </row>
    <row r="2814" spans="6:8" x14ac:dyDescent="0.35">
      <c r="F2814" s="38"/>
      <c r="G2814" s="39"/>
      <c r="H2814" s="40"/>
    </row>
    <row r="2815" spans="6:8" x14ac:dyDescent="0.35">
      <c r="F2815" s="38"/>
      <c r="G2815" s="39"/>
      <c r="H2815" s="40"/>
    </row>
    <row r="2816" spans="6:8" x14ac:dyDescent="0.35">
      <c r="F2816" s="38"/>
      <c r="G2816" s="39"/>
      <c r="H2816" s="40"/>
    </row>
    <row r="2817" spans="6:8" x14ac:dyDescent="0.35">
      <c r="F2817" s="38"/>
      <c r="G2817" s="39"/>
      <c r="H2817" s="40"/>
    </row>
    <row r="2818" spans="6:8" x14ac:dyDescent="0.35">
      <c r="F2818" s="38"/>
      <c r="G2818" s="39"/>
      <c r="H2818" s="40"/>
    </row>
    <row r="2819" spans="6:8" x14ac:dyDescent="0.35">
      <c r="F2819" s="38"/>
      <c r="G2819" s="39"/>
      <c r="H2819" s="40"/>
    </row>
    <row r="2820" spans="6:8" x14ac:dyDescent="0.35">
      <c r="F2820" s="38"/>
      <c r="G2820" s="39"/>
      <c r="H2820" s="40"/>
    </row>
    <row r="2821" spans="6:8" x14ac:dyDescent="0.35">
      <c r="F2821" s="38"/>
      <c r="G2821" s="39"/>
      <c r="H2821" s="40"/>
    </row>
    <row r="2822" spans="6:8" x14ac:dyDescent="0.35">
      <c r="F2822" s="38"/>
      <c r="G2822" s="39"/>
      <c r="H2822" s="40"/>
    </row>
    <row r="2823" spans="6:8" x14ac:dyDescent="0.35">
      <c r="F2823" s="38"/>
      <c r="G2823" s="39"/>
      <c r="H2823" s="40"/>
    </row>
    <row r="2824" spans="6:8" x14ac:dyDescent="0.35">
      <c r="F2824" s="38"/>
      <c r="G2824" s="39"/>
      <c r="H2824" s="40"/>
    </row>
    <row r="2825" spans="6:8" x14ac:dyDescent="0.35">
      <c r="F2825" s="38"/>
      <c r="G2825" s="39"/>
      <c r="H2825" s="40"/>
    </row>
    <row r="2826" spans="6:8" x14ac:dyDescent="0.35">
      <c r="F2826" s="38"/>
      <c r="G2826" s="39"/>
      <c r="H2826" s="40"/>
    </row>
    <row r="2827" spans="6:8" x14ac:dyDescent="0.35">
      <c r="F2827" s="38"/>
      <c r="G2827" s="39"/>
      <c r="H2827" s="40"/>
    </row>
    <row r="2828" spans="6:8" x14ac:dyDescent="0.35">
      <c r="F2828" s="38"/>
      <c r="G2828" s="39"/>
      <c r="H2828" s="40"/>
    </row>
    <row r="2829" spans="6:8" x14ac:dyDescent="0.35">
      <c r="F2829" s="38"/>
      <c r="G2829" s="39"/>
      <c r="H2829" s="40"/>
    </row>
    <row r="2830" spans="6:8" x14ac:dyDescent="0.35">
      <c r="F2830" s="38"/>
      <c r="G2830" s="39"/>
      <c r="H2830" s="40"/>
    </row>
    <row r="2831" spans="6:8" x14ac:dyDescent="0.35">
      <c r="F2831" s="38"/>
      <c r="G2831" s="39"/>
      <c r="H2831" s="40"/>
    </row>
    <row r="2832" spans="6:8" x14ac:dyDescent="0.35">
      <c r="F2832" s="38"/>
      <c r="G2832" s="39"/>
      <c r="H2832" s="40"/>
    </row>
    <row r="2833" spans="6:8" x14ac:dyDescent="0.35">
      <c r="F2833" s="38"/>
      <c r="G2833" s="39"/>
      <c r="H2833" s="40"/>
    </row>
    <row r="2834" spans="6:8" x14ac:dyDescent="0.35">
      <c r="F2834" s="38"/>
      <c r="G2834" s="39"/>
      <c r="H2834" s="40"/>
    </row>
    <row r="2835" spans="6:8" x14ac:dyDescent="0.35">
      <c r="F2835" s="38"/>
      <c r="G2835" s="39"/>
      <c r="H2835" s="40"/>
    </row>
    <row r="2836" spans="6:8" x14ac:dyDescent="0.35">
      <c r="F2836" s="38"/>
      <c r="G2836" s="39"/>
      <c r="H2836" s="40"/>
    </row>
    <row r="2837" spans="6:8" x14ac:dyDescent="0.35">
      <c r="F2837" s="38"/>
      <c r="G2837" s="39"/>
      <c r="H2837" s="40"/>
    </row>
    <row r="2838" spans="6:8" x14ac:dyDescent="0.35">
      <c r="F2838" s="38"/>
      <c r="G2838" s="39"/>
      <c r="H2838" s="40"/>
    </row>
    <row r="2839" spans="6:8" x14ac:dyDescent="0.35">
      <c r="F2839" s="38"/>
      <c r="G2839" s="39"/>
      <c r="H2839" s="40"/>
    </row>
    <row r="2840" spans="6:8" x14ac:dyDescent="0.35">
      <c r="F2840" s="38"/>
      <c r="G2840" s="39"/>
      <c r="H2840" s="40"/>
    </row>
    <row r="2841" spans="6:8" x14ac:dyDescent="0.35">
      <c r="F2841" s="38"/>
      <c r="G2841" s="39"/>
      <c r="H2841" s="40"/>
    </row>
    <row r="2842" spans="6:8" x14ac:dyDescent="0.35">
      <c r="F2842" s="38"/>
      <c r="G2842" s="39"/>
      <c r="H2842" s="40"/>
    </row>
    <row r="2843" spans="6:8" x14ac:dyDescent="0.35">
      <c r="F2843" s="38"/>
      <c r="G2843" s="39"/>
      <c r="H2843" s="40"/>
    </row>
    <row r="2844" spans="6:8" x14ac:dyDescent="0.35">
      <c r="F2844" s="38"/>
      <c r="G2844" s="39"/>
      <c r="H2844" s="40"/>
    </row>
    <row r="2845" spans="6:8" x14ac:dyDescent="0.35">
      <c r="F2845" s="38"/>
      <c r="G2845" s="39"/>
      <c r="H2845" s="40"/>
    </row>
    <row r="2846" spans="6:8" x14ac:dyDescent="0.35">
      <c r="F2846" s="38"/>
      <c r="G2846" s="39"/>
      <c r="H2846" s="40"/>
    </row>
    <row r="2847" spans="6:8" x14ac:dyDescent="0.35">
      <c r="F2847" s="38"/>
      <c r="G2847" s="39"/>
      <c r="H2847" s="40"/>
    </row>
    <row r="2848" spans="6:8" x14ac:dyDescent="0.35">
      <c r="F2848" s="38"/>
      <c r="G2848" s="39"/>
      <c r="H2848" s="40"/>
    </row>
    <row r="2849" spans="6:8" x14ac:dyDescent="0.35">
      <c r="F2849" s="38"/>
      <c r="G2849" s="39"/>
      <c r="H2849" s="40"/>
    </row>
    <row r="2850" spans="6:8" x14ac:dyDescent="0.35">
      <c r="F2850" s="38"/>
      <c r="G2850" s="39"/>
      <c r="H2850" s="40"/>
    </row>
    <row r="2851" spans="6:8" x14ac:dyDescent="0.35">
      <c r="F2851" s="38"/>
      <c r="G2851" s="39"/>
      <c r="H2851" s="40"/>
    </row>
    <row r="2852" spans="6:8" x14ac:dyDescent="0.35">
      <c r="F2852" s="38"/>
      <c r="G2852" s="39"/>
      <c r="H2852" s="40"/>
    </row>
    <row r="2853" spans="6:8" x14ac:dyDescent="0.35">
      <c r="F2853" s="38"/>
      <c r="G2853" s="39"/>
      <c r="H2853" s="40"/>
    </row>
    <row r="2854" spans="6:8" x14ac:dyDescent="0.35">
      <c r="F2854" s="38"/>
      <c r="G2854" s="39"/>
      <c r="H2854" s="40"/>
    </row>
    <row r="2855" spans="6:8" x14ac:dyDescent="0.35">
      <c r="F2855" s="38"/>
      <c r="G2855" s="39"/>
      <c r="H2855" s="40"/>
    </row>
    <row r="2856" spans="6:8" x14ac:dyDescent="0.35">
      <c r="F2856" s="38"/>
      <c r="G2856" s="39"/>
      <c r="H2856" s="40"/>
    </row>
    <row r="2857" spans="6:8" x14ac:dyDescent="0.35">
      <c r="F2857" s="38"/>
      <c r="G2857" s="39"/>
      <c r="H2857" s="40"/>
    </row>
    <row r="2858" spans="6:8" x14ac:dyDescent="0.35">
      <c r="F2858" s="38"/>
      <c r="G2858" s="39"/>
      <c r="H2858" s="40"/>
    </row>
    <row r="2859" spans="6:8" x14ac:dyDescent="0.35">
      <c r="F2859" s="38"/>
      <c r="G2859" s="39"/>
      <c r="H2859" s="40"/>
    </row>
    <row r="2860" spans="6:8" x14ac:dyDescent="0.35">
      <c r="F2860" s="38"/>
      <c r="G2860" s="39"/>
      <c r="H2860" s="40"/>
    </row>
    <row r="2861" spans="6:8" x14ac:dyDescent="0.35">
      <c r="F2861" s="38"/>
      <c r="G2861" s="39"/>
      <c r="H2861" s="40"/>
    </row>
    <row r="2862" spans="6:8" x14ac:dyDescent="0.35">
      <c r="F2862" s="38"/>
      <c r="G2862" s="39"/>
      <c r="H2862" s="40"/>
    </row>
    <row r="2863" spans="6:8" x14ac:dyDescent="0.35">
      <c r="F2863" s="38"/>
      <c r="G2863" s="39"/>
      <c r="H2863" s="40"/>
    </row>
    <row r="2864" spans="6:8" x14ac:dyDescent="0.35">
      <c r="F2864" s="38"/>
      <c r="G2864" s="39"/>
      <c r="H2864" s="40"/>
    </row>
    <row r="2865" spans="6:8" x14ac:dyDescent="0.35">
      <c r="F2865" s="38"/>
      <c r="G2865" s="39"/>
      <c r="H2865" s="40"/>
    </row>
    <row r="2866" spans="6:8" x14ac:dyDescent="0.35">
      <c r="F2866" s="38"/>
      <c r="G2866" s="39"/>
      <c r="H2866" s="40"/>
    </row>
    <row r="2867" spans="6:8" x14ac:dyDescent="0.35">
      <c r="F2867" s="38"/>
      <c r="G2867" s="39"/>
      <c r="H2867" s="40"/>
    </row>
    <row r="2868" spans="6:8" x14ac:dyDescent="0.35">
      <c r="F2868" s="38"/>
      <c r="G2868" s="39"/>
      <c r="H2868" s="40"/>
    </row>
    <row r="2869" spans="6:8" x14ac:dyDescent="0.35">
      <c r="F2869" s="38"/>
      <c r="G2869" s="39"/>
      <c r="H2869" s="40"/>
    </row>
    <row r="2870" spans="6:8" x14ac:dyDescent="0.35">
      <c r="F2870" s="38"/>
      <c r="G2870" s="39"/>
      <c r="H2870" s="40"/>
    </row>
    <row r="2871" spans="6:8" x14ac:dyDescent="0.35">
      <c r="F2871" s="38"/>
      <c r="G2871" s="39"/>
      <c r="H2871" s="40"/>
    </row>
    <row r="2872" spans="6:8" x14ac:dyDescent="0.35">
      <c r="F2872" s="38"/>
      <c r="G2872" s="39"/>
      <c r="H2872" s="40"/>
    </row>
    <row r="2873" spans="6:8" x14ac:dyDescent="0.35">
      <c r="F2873" s="38"/>
      <c r="G2873" s="39"/>
      <c r="H2873" s="40"/>
    </row>
    <row r="2874" spans="6:8" x14ac:dyDescent="0.35">
      <c r="F2874" s="38"/>
      <c r="G2874" s="39"/>
      <c r="H2874" s="40"/>
    </row>
    <row r="2875" spans="6:8" x14ac:dyDescent="0.35">
      <c r="F2875" s="38"/>
      <c r="G2875" s="39"/>
      <c r="H2875" s="40"/>
    </row>
    <row r="2876" spans="6:8" x14ac:dyDescent="0.35">
      <c r="F2876" s="38"/>
      <c r="G2876" s="39"/>
      <c r="H2876" s="40"/>
    </row>
    <row r="2877" spans="6:8" x14ac:dyDescent="0.35">
      <c r="F2877" s="38"/>
      <c r="G2877" s="39"/>
      <c r="H2877" s="40"/>
    </row>
    <row r="2878" spans="6:8" x14ac:dyDescent="0.35">
      <c r="F2878" s="38"/>
      <c r="G2878" s="39"/>
      <c r="H2878" s="40"/>
    </row>
    <row r="2879" spans="6:8" x14ac:dyDescent="0.35">
      <c r="F2879" s="38"/>
      <c r="G2879" s="39"/>
      <c r="H2879" s="40"/>
    </row>
    <row r="2880" spans="6:8" x14ac:dyDescent="0.35">
      <c r="F2880" s="38"/>
      <c r="G2880" s="39"/>
      <c r="H2880" s="40"/>
    </row>
    <row r="2881" spans="6:8" x14ac:dyDescent="0.35">
      <c r="F2881" s="38"/>
      <c r="G2881" s="39"/>
      <c r="H2881" s="40"/>
    </row>
    <row r="2882" spans="6:8" x14ac:dyDescent="0.35">
      <c r="F2882" s="38"/>
      <c r="G2882" s="39"/>
      <c r="H2882" s="40"/>
    </row>
    <row r="2883" spans="6:8" x14ac:dyDescent="0.35">
      <c r="F2883" s="38"/>
      <c r="G2883" s="39"/>
      <c r="H2883" s="40"/>
    </row>
    <row r="2884" spans="6:8" x14ac:dyDescent="0.35">
      <c r="F2884" s="38"/>
      <c r="G2884" s="39"/>
      <c r="H2884" s="40"/>
    </row>
    <row r="2885" spans="6:8" x14ac:dyDescent="0.35">
      <c r="F2885" s="38"/>
      <c r="G2885" s="39"/>
      <c r="H2885" s="40"/>
    </row>
    <row r="2886" spans="6:8" x14ac:dyDescent="0.35">
      <c r="F2886" s="38"/>
      <c r="G2886" s="39"/>
      <c r="H2886" s="40"/>
    </row>
    <row r="2887" spans="6:8" x14ac:dyDescent="0.35">
      <c r="F2887" s="38"/>
      <c r="G2887" s="39"/>
      <c r="H2887" s="40"/>
    </row>
    <row r="2888" spans="6:8" x14ac:dyDescent="0.35">
      <c r="F2888" s="38"/>
      <c r="G2888" s="39"/>
      <c r="H2888" s="40"/>
    </row>
    <row r="2889" spans="6:8" x14ac:dyDescent="0.35">
      <c r="F2889" s="38"/>
      <c r="G2889" s="39"/>
      <c r="H2889" s="40"/>
    </row>
    <row r="2890" spans="6:8" x14ac:dyDescent="0.35">
      <c r="F2890" s="38"/>
      <c r="G2890" s="39"/>
      <c r="H2890" s="40"/>
    </row>
    <row r="2891" spans="6:8" x14ac:dyDescent="0.35">
      <c r="F2891" s="38"/>
      <c r="G2891" s="39"/>
      <c r="H2891" s="40"/>
    </row>
    <row r="2892" spans="6:8" x14ac:dyDescent="0.35">
      <c r="F2892" s="38"/>
      <c r="G2892" s="39"/>
      <c r="H2892" s="40"/>
    </row>
    <row r="2893" spans="6:8" x14ac:dyDescent="0.35">
      <c r="F2893" s="38"/>
      <c r="G2893" s="39"/>
      <c r="H2893" s="40"/>
    </row>
    <row r="2894" spans="6:8" x14ac:dyDescent="0.35">
      <c r="F2894" s="38"/>
      <c r="G2894" s="39"/>
      <c r="H2894" s="40"/>
    </row>
    <row r="2895" spans="6:8" x14ac:dyDescent="0.35">
      <c r="F2895" s="38"/>
      <c r="G2895" s="39"/>
      <c r="H2895" s="40"/>
    </row>
    <row r="2896" spans="6:8" x14ac:dyDescent="0.35">
      <c r="F2896" s="38"/>
      <c r="G2896" s="39"/>
      <c r="H2896" s="40"/>
    </row>
    <row r="2897" spans="6:8" x14ac:dyDescent="0.35">
      <c r="F2897" s="38"/>
      <c r="G2897" s="39"/>
      <c r="H2897" s="40"/>
    </row>
    <row r="2898" spans="6:8" x14ac:dyDescent="0.35">
      <c r="F2898" s="38"/>
      <c r="G2898" s="39"/>
      <c r="H2898" s="40"/>
    </row>
    <row r="2899" spans="6:8" x14ac:dyDescent="0.35">
      <c r="F2899" s="38"/>
      <c r="G2899" s="39"/>
      <c r="H2899" s="40"/>
    </row>
    <row r="2900" spans="6:8" x14ac:dyDescent="0.35">
      <c r="F2900" s="38"/>
      <c r="G2900" s="39"/>
      <c r="H2900" s="40"/>
    </row>
    <row r="2901" spans="6:8" x14ac:dyDescent="0.35">
      <c r="F2901" s="38"/>
      <c r="G2901" s="39"/>
      <c r="H2901" s="40"/>
    </row>
    <row r="2902" spans="6:8" x14ac:dyDescent="0.35">
      <c r="F2902" s="38"/>
      <c r="G2902" s="39"/>
      <c r="H2902" s="40"/>
    </row>
    <row r="2903" spans="6:8" x14ac:dyDescent="0.35">
      <c r="F2903" s="38"/>
      <c r="G2903" s="39"/>
      <c r="H2903" s="40"/>
    </row>
    <row r="2904" spans="6:8" x14ac:dyDescent="0.35">
      <c r="F2904" s="38"/>
      <c r="G2904" s="39"/>
      <c r="H2904" s="40"/>
    </row>
    <row r="2905" spans="6:8" x14ac:dyDescent="0.35">
      <c r="F2905" s="38"/>
      <c r="G2905" s="39"/>
      <c r="H2905" s="40"/>
    </row>
    <row r="2906" spans="6:8" x14ac:dyDescent="0.35">
      <c r="F2906" s="38"/>
      <c r="G2906" s="39"/>
      <c r="H2906" s="40"/>
    </row>
    <row r="2907" spans="6:8" x14ac:dyDescent="0.35">
      <c r="F2907" s="38"/>
      <c r="G2907" s="39"/>
      <c r="H2907" s="40"/>
    </row>
    <row r="2908" spans="6:8" x14ac:dyDescent="0.35">
      <c r="F2908" s="38"/>
      <c r="G2908" s="39"/>
      <c r="H2908" s="40"/>
    </row>
    <row r="2909" spans="6:8" x14ac:dyDescent="0.35">
      <c r="F2909" s="38"/>
      <c r="G2909" s="39"/>
      <c r="H2909" s="40"/>
    </row>
    <row r="2910" spans="6:8" x14ac:dyDescent="0.35">
      <c r="F2910" s="38"/>
      <c r="G2910" s="39"/>
      <c r="H2910" s="40"/>
    </row>
    <row r="2911" spans="6:8" x14ac:dyDescent="0.35">
      <c r="F2911" s="38"/>
      <c r="G2911" s="39"/>
      <c r="H2911" s="40"/>
    </row>
    <row r="2912" spans="6:8" x14ac:dyDescent="0.35">
      <c r="F2912" s="38"/>
      <c r="G2912" s="39"/>
      <c r="H2912" s="40"/>
    </row>
    <row r="2913" spans="6:8" x14ac:dyDescent="0.35">
      <c r="F2913" s="38"/>
      <c r="G2913" s="39"/>
      <c r="H2913" s="40"/>
    </row>
    <row r="2914" spans="6:8" x14ac:dyDescent="0.35">
      <c r="F2914" s="38"/>
      <c r="G2914" s="39"/>
      <c r="H2914" s="40"/>
    </row>
    <row r="2915" spans="6:8" x14ac:dyDescent="0.35">
      <c r="F2915" s="38"/>
      <c r="G2915" s="39"/>
      <c r="H2915" s="40"/>
    </row>
    <row r="2916" spans="6:8" x14ac:dyDescent="0.35">
      <c r="F2916" s="38"/>
      <c r="G2916" s="39"/>
      <c r="H2916" s="40"/>
    </row>
    <row r="2917" spans="6:8" x14ac:dyDescent="0.35">
      <c r="F2917" s="38"/>
      <c r="G2917" s="39"/>
      <c r="H2917" s="40"/>
    </row>
    <row r="2918" spans="6:8" x14ac:dyDescent="0.35">
      <c r="F2918" s="38"/>
      <c r="G2918" s="39"/>
      <c r="H2918" s="40"/>
    </row>
    <row r="2919" spans="6:8" x14ac:dyDescent="0.35">
      <c r="F2919" s="38"/>
      <c r="G2919" s="39"/>
      <c r="H2919" s="40"/>
    </row>
    <row r="2920" spans="6:8" x14ac:dyDescent="0.35">
      <c r="F2920" s="38"/>
      <c r="G2920" s="39"/>
      <c r="H2920" s="40"/>
    </row>
    <row r="2921" spans="6:8" x14ac:dyDescent="0.35">
      <c r="F2921" s="38"/>
      <c r="G2921" s="39"/>
      <c r="H2921" s="40"/>
    </row>
    <row r="2922" spans="6:8" x14ac:dyDescent="0.35">
      <c r="F2922" s="38"/>
      <c r="G2922" s="39"/>
      <c r="H2922" s="40"/>
    </row>
    <row r="2923" spans="6:8" x14ac:dyDescent="0.35">
      <c r="F2923" s="38"/>
      <c r="G2923" s="39"/>
      <c r="H2923" s="40"/>
    </row>
    <row r="2924" spans="6:8" x14ac:dyDescent="0.35">
      <c r="F2924" s="38"/>
      <c r="G2924" s="39"/>
      <c r="H2924" s="40"/>
    </row>
    <row r="2925" spans="6:8" x14ac:dyDescent="0.35">
      <c r="F2925" s="38"/>
      <c r="G2925" s="39"/>
      <c r="H2925" s="40"/>
    </row>
    <row r="2926" spans="6:8" x14ac:dyDescent="0.35">
      <c r="F2926" s="38"/>
      <c r="G2926" s="39"/>
      <c r="H2926" s="40"/>
    </row>
    <row r="2927" spans="6:8" x14ac:dyDescent="0.35">
      <c r="F2927" s="38"/>
      <c r="G2927" s="39"/>
      <c r="H2927" s="40"/>
    </row>
    <row r="2928" spans="6:8" x14ac:dyDescent="0.35">
      <c r="F2928" s="38"/>
      <c r="G2928" s="39"/>
      <c r="H2928" s="40"/>
    </row>
    <row r="2929" spans="6:8" x14ac:dyDescent="0.35">
      <c r="F2929" s="38"/>
      <c r="G2929" s="39"/>
      <c r="H2929" s="40"/>
    </row>
    <row r="2930" spans="6:8" x14ac:dyDescent="0.35">
      <c r="F2930" s="38"/>
      <c r="G2930" s="39"/>
      <c r="H2930" s="40"/>
    </row>
    <row r="2931" spans="6:8" x14ac:dyDescent="0.35">
      <c r="F2931" s="38"/>
      <c r="G2931" s="39"/>
      <c r="H2931" s="40"/>
    </row>
    <row r="2932" spans="6:8" x14ac:dyDescent="0.35">
      <c r="F2932" s="38"/>
      <c r="G2932" s="39"/>
      <c r="H2932" s="40"/>
    </row>
    <row r="2933" spans="6:8" x14ac:dyDescent="0.35">
      <c r="F2933" s="38"/>
      <c r="G2933" s="39"/>
      <c r="H2933" s="40"/>
    </row>
    <row r="2934" spans="6:8" x14ac:dyDescent="0.35">
      <c r="F2934" s="38"/>
      <c r="G2934" s="39"/>
      <c r="H2934" s="40"/>
    </row>
    <row r="2935" spans="6:8" x14ac:dyDescent="0.35">
      <c r="F2935" s="38"/>
      <c r="G2935" s="39"/>
      <c r="H2935" s="40"/>
    </row>
    <row r="2936" spans="6:8" x14ac:dyDescent="0.35">
      <c r="F2936" s="38"/>
      <c r="G2936" s="39"/>
      <c r="H2936" s="40"/>
    </row>
    <row r="2937" spans="6:8" x14ac:dyDescent="0.35">
      <c r="F2937" s="38"/>
      <c r="G2937" s="39"/>
      <c r="H2937" s="40"/>
    </row>
    <row r="2938" spans="6:8" x14ac:dyDescent="0.35">
      <c r="F2938" s="38"/>
      <c r="G2938" s="39"/>
      <c r="H2938" s="40"/>
    </row>
    <row r="2939" spans="6:8" x14ac:dyDescent="0.35">
      <c r="F2939" s="38"/>
      <c r="G2939" s="39"/>
      <c r="H2939" s="40"/>
    </row>
    <row r="2940" spans="6:8" x14ac:dyDescent="0.35">
      <c r="F2940" s="38"/>
      <c r="G2940" s="39"/>
      <c r="H2940" s="40"/>
    </row>
    <row r="2941" spans="6:8" x14ac:dyDescent="0.35">
      <c r="F2941" s="38"/>
      <c r="G2941" s="39"/>
      <c r="H2941" s="40"/>
    </row>
    <row r="2942" spans="6:8" x14ac:dyDescent="0.35">
      <c r="F2942" s="38"/>
      <c r="G2942" s="39"/>
      <c r="H2942" s="40"/>
    </row>
    <row r="2943" spans="6:8" x14ac:dyDescent="0.35">
      <c r="F2943" s="38"/>
      <c r="G2943" s="39"/>
      <c r="H2943" s="40"/>
    </row>
    <row r="2944" spans="6:8" x14ac:dyDescent="0.35">
      <c r="F2944" s="38"/>
      <c r="G2944" s="39"/>
      <c r="H2944" s="40"/>
    </row>
    <row r="2945" spans="6:8" x14ac:dyDescent="0.35">
      <c r="F2945" s="38"/>
      <c r="G2945" s="39"/>
      <c r="H2945" s="40"/>
    </row>
    <row r="2946" spans="6:8" x14ac:dyDescent="0.35">
      <c r="F2946" s="38"/>
      <c r="G2946" s="39"/>
      <c r="H2946" s="40"/>
    </row>
    <row r="2947" spans="6:8" x14ac:dyDescent="0.35">
      <c r="F2947" s="38"/>
      <c r="G2947" s="39"/>
      <c r="H2947" s="40"/>
    </row>
    <row r="2948" spans="6:8" x14ac:dyDescent="0.35">
      <c r="F2948" s="38"/>
      <c r="G2948" s="39"/>
      <c r="H2948" s="40"/>
    </row>
    <row r="2949" spans="6:8" x14ac:dyDescent="0.35">
      <c r="F2949" s="38"/>
      <c r="G2949" s="39"/>
      <c r="H2949" s="40"/>
    </row>
    <row r="2950" spans="6:8" x14ac:dyDescent="0.35">
      <c r="F2950" s="38"/>
      <c r="G2950" s="39"/>
      <c r="H2950" s="40"/>
    </row>
    <row r="2951" spans="6:8" x14ac:dyDescent="0.35">
      <c r="F2951" s="38"/>
      <c r="G2951" s="39"/>
      <c r="H2951" s="40"/>
    </row>
    <row r="2952" spans="6:8" x14ac:dyDescent="0.35">
      <c r="F2952" s="38"/>
      <c r="G2952" s="39"/>
      <c r="H2952" s="40"/>
    </row>
    <row r="2953" spans="6:8" x14ac:dyDescent="0.35">
      <c r="F2953" s="38"/>
      <c r="G2953" s="39"/>
      <c r="H2953" s="40"/>
    </row>
    <row r="2954" spans="6:8" x14ac:dyDescent="0.35">
      <c r="F2954" s="38"/>
      <c r="G2954" s="39"/>
      <c r="H2954" s="40"/>
    </row>
    <row r="2955" spans="6:8" x14ac:dyDescent="0.35">
      <c r="F2955" s="38"/>
      <c r="G2955" s="39"/>
      <c r="H2955" s="40"/>
    </row>
    <row r="2956" spans="6:8" x14ac:dyDescent="0.35">
      <c r="F2956" s="38"/>
      <c r="G2956" s="39"/>
      <c r="H2956" s="40"/>
    </row>
    <row r="2957" spans="6:8" x14ac:dyDescent="0.35">
      <c r="F2957" s="38"/>
      <c r="G2957" s="39"/>
      <c r="H2957" s="40"/>
    </row>
    <row r="2958" spans="6:8" x14ac:dyDescent="0.35">
      <c r="F2958" s="38"/>
      <c r="G2958" s="39"/>
      <c r="H2958" s="40"/>
    </row>
    <row r="2959" spans="6:8" x14ac:dyDescent="0.35">
      <c r="F2959" s="38"/>
      <c r="G2959" s="39"/>
      <c r="H2959" s="40"/>
    </row>
    <row r="2960" spans="6:8" x14ac:dyDescent="0.35">
      <c r="F2960" s="38"/>
      <c r="G2960" s="39"/>
      <c r="H2960" s="40"/>
    </row>
    <row r="2961" spans="6:8" x14ac:dyDescent="0.35">
      <c r="F2961" s="38"/>
      <c r="G2961" s="39"/>
      <c r="H2961" s="40"/>
    </row>
    <row r="2962" spans="6:8" x14ac:dyDescent="0.35">
      <c r="F2962" s="38"/>
      <c r="G2962" s="39"/>
      <c r="H2962" s="40"/>
    </row>
    <row r="2963" spans="6:8" x14ac:dyDescent="0.35">
      <c r="F2963" s="38"/>
      <c r="G2963" s="39"/>
      <c r="H2963" s="40"/>
    </row>
    <row r="2964" spans="6:8" x14ac:dyDescent="0.35">
      <c r="F2964" s="38"/>
      <c r="G2964" s="39"/>
      <c r="H2964" s="40"/>
    </row>
    <row r="2965" spans="6:8" x14ac:dyDescent="0.35">
      <c r="F2965" s="38"/>
      <c r="G2965" s="39"/>
      <c r="H2965" s="40"/>
    </row>
    <row r="2966" spans="6:8" x14ac:dyDescent="0.35">
      <c r="F2966" s="38"/>
      <c r="G2966" s="39"/>
      <c r="H2966" s="40"/>
    </row>
    <row r="2967" spans="6:8" x14ac:dyDescent="0.35">
      <c r="F2967" s="38"/>
      <c r="G2967" s="39"/>
      <c r="H2967" s="40"/>
    </row>
    <row r="2968" spans="6:8" x14ac:dyDescent="0.35">
      <c r="F2968" s="38"/>
      <c r="G2968" s="39"/>
      <c r="H2968" s="40"/>
    </row>
    <row r="2969" spans="6:8" x14ac:dyDescent="0.35">
      <c r="F2969" s="38"/>
      <c r="G2969" s="39"/>
      <c r="H2969" s="40"/>
    </row>
    <row r="2970" spans="6:8" x14ac:dyDescent="0.35">
      <c r="F2970" s="38"/>
      <c r="G2970" s="39"/>
      <c r="H2970" s="40"/>
    </row>
    <row r="2971" spans="6:8" x14ac:dyDescent="0.35">
      <c r="F2971" s="38"/>
      <c r="G2971" s="39"/>
      <c r="H2971" s="40"/>
    </row>
    <row r="2972" spans="6:8" x14ac:dyDescent="0.35">
      <c r="F2972" s="38"/>
      <c r="G2972" s="39"/>
      <c r="H2972" s="40"/>
    </row>
    <row r="2973" spans="6:8" x14ac:dyDescent="0.35">
      <c r="F2973" s="38"/>
      <c r="G2973" s="39"/>
      <c r="H2973" s="40"/>
    </row>
    <row r="2974" spans="6:8" x14ac:dyDescent="0.35">
      <c r="F2974" s="38"/>
      <c r="G2974" s="39"/>
      <c r="H2974" s="40"/>
    </row>
    <row r="2975" spans="6:8" x14ac:dyDescent="0.35">
      <c r="F2975" s="38"/>
      <c r="G2975" s="39"/>
      <c r="H2975" s="40"/>
    </row>
    <row r="2976" spans="6:8" x14ac:dyDescent="0.35">
      <c r="F2976" s="38"/>
      <c r="G2976" s="39"/>
      <c r="H2976" s="40"/>
    </row>
    <row r="2977" spans="6:8" x14ac:dyDescent="0.35">
      <c r="F2977" s="38"/>
      <c r="G2977" s="39"/>
      <c r="H2977" s="40"/>
    </row>
    <row r="2978" spans="6:8" x14ac:dyDescent="0.35">
      <c r="F2978" s="38"/>
      <c r="G2978" s="39"/>
      <c r="H2978" s="40"/>
    </row>
    <row r="2979" spans="6:8" x14ac:dyDescent="0.35">
      <c r="F2979" s="38"/>
      <c r="G2979" s="39"/>
      <c r="H2979" s="40"/>
    </row>
    <row r="2980" spans="6:8" x14ac:dyDescent="0.35">
      <c r="F2980" s="38"/>
      <c r="G2980" s="39"/>
      <c r="H2980" s="40"/>
    </row>
    <row r="2981" spans="6:8" x14ac:dyDescent="0.35">
      <c r="F2981" s="38"/>
      <c r="G2981" s="39"/>
      <c r="H2981" s="40"/>
    </row>
    <row r="2982" spans="6:8" x14ac:dyDescent="0.35">
      <c r="F2982" s="38"/>
      <c r="G2982" s="39"/>
      <c r="H2982" s="40"/>
    </row>
    <row r="2983" spans="6:8" x14ac:dyDescent="0.35">
      <c r="F2983" s="38"/>
      <c r="G2983" s="39"/>
      <c r="H2983" s="40"/>
    </row>
    <row r="2984" spans="6:8" x14ac:dyDescent="0.35">
      <c r="F2984" s="38"/>
      <c r="G2984" s="39"/>
      <c r="H2984" s="40"/>
    </row>
    <row r="2985" spans="6:8" x14ac:dyDescent="0.35">
      <c r="F2985" s="38"/>
      <c r="G2985" s="39"/>
      <c r="H2985" s="40"/>
    </row>
    <row r="2986" spans="6:8" x14ac:dyDescent="0.35">
      <c r="F2986" s="38"/>
      <c r="G2986" s="39"/>
      <c r="H2986" s="40"/>
    </row>
    <row r="2987" spans="6:8" x14ac:dyDescent="0.35">
      <c r="F2987" s="38"/>
      <c r="G2987" s="39"/>
      <c r="H2987" s="40"/>
    </row>
    <row r="2988" spans="6:8" x14ac:dyDescent="0.35">
      <c r="F2988" s="38"/>
      <c r="G2988" s="39"/>
      <c r="H2988" s="40"/>
    </row>
    <row r="2989" spans="6:8" x14ac:dyDescent="0.35">
      <c r="F2989" s="38"/>
      <c r="G2989" s="39"/>
      <c r="H2989" s="40"/>
    </row>
    <row r="2990" spans="6:8" x14ac:dyDescent="0.35">
      <c r="F2990" s="38"/>
      <c r="G2990" s="39"/>
      <c r="H2990" s="40"/>
    </row>
    <row r="2991" spans="6:8" x14ac:dyDescent="0.35">
      <c r="F2991" s="38"/>
      <c r="G2991" s="39"/>
      <c r="H2991" s="40"/>
    </row>
    <row r="2992" spans="6:8" x14ac:dyDescent="0.35">
      <c r="F2992" s="38"/>
      <c r="G2992" s="39"/>
      <c r="H2992" s="40"/>
    </row>
    <row r="2993" spans="6:8" x14ac:dyDescent="0.35">
      <c r="F2993" s="38"/>
      <c r="G2993" s="39"/>
      <c r="H2993" s="40"/>
    </row>
    <row r="2994" spans="6:8" x14ac:dyDescent="0.35">
      <c r="F2994" s="38"/>
      <c r="G2994" s="39"/>
      <c r="H2994" s="40"/>
    </row>
    <row r="2995" spans="6:8" x14ac:dyDescent="0.35">
      <c r="F2995" s="38"/>
      <c r="G2995" s="39"/>
      <c r="H2995" s="40"/>
    </row>
    <row r="2996" spans="6:8" x14ac:dyDescent="0.35">
      <c r="F2996" s="38"/>
      <c r="G2996" s="39"/>
      <c r="H2996" s="40"/>
    </row>
    <row r="2997" spans="6:8" x14ac:dyDescent="0.35">
      <c r="F2997" s="38"/>
      <c r="G2997" s="39"/>
      <c r="H2997" s="40"/>
    </row>
    <row r="2998" spans="6:8" x14ac:dyDescent="0.35">
      <c r="F2998" s="38"/>
      <c r="G2998" s="39"/>
      <c r="H2998" s="40"/>
    </row>
    <row r="2999" spans="6:8" x14ac:dyDescent="0.35">
      <c r="F2999" s="38"/>
      <c r="G2999" s="39"/>
      <c r="H2999" s="40"/>
    </row>
    <row r="3000" spans="6:8" x14ac:dyDescent="0.35">
      <c r="F3000" s="38"/>
      <c r="G3000" s="39"/>
      <c r="H3000" s="40"/>
    </row>
    <row r="3001" spans="6:8" x14ac:dyDescent="0.35">
      <c r="F3001" s="38"/>
      <c r="G3001" s="39"/>
      <c r="H3001" s="40"/>
    </row>
    <row r="3002" spans="6:8" x14ac:dyDescent="0.35">
      <c r="F3002" s="38"/>
      <c r="G3002" s="39"/>
      <c r="H3002" s="40"/>
    </row>
    <row r="3003" spans="6:8" x14ac:dyDescent="0.35">
      <c r="F3003" s="38"/>
      <c r="G3003" s="39"/>
      <c r="H3003" s="40"/>
    </row>
    <row r="3004" spans="6:8" x14ac:dyDescent="0.35">
      <c r="F3004" s="38"/>
      <c r="G3004" s="39"/>
      <c r="H3004" s="40"/>
    </row>
    <row r="3005" spans="6:8" x14ac:dyDescent="0.35">
      <c r="F3005" s="38"/>
      <c r="G3005" s="39"/>
      <c r="H3005" s="40"/>
    </row>
    <row r="3006" spans="6:8" x14ac:dyDescent="0.35">
      <c r="F3006" s="38"/>
      <c r="G3006" s="39"/>
      <c r="H3006" s="40"/>
    </row>
    <row r="3007" spans="6:8" x14ac:dyDescent="0.35">
      <c r="F3007" s="38"/>
      <c r="G3007" s="39"/>
      <c r="H3007" s="40"/>
    </row>
    <row r="3008" spans="6:8" x14ac:dyDescent="0.35">
      <c r="F3008" s="38"/>
      <c r="G3008" s="39"/>
      <c r="H3008" s="40"/>
    </row>
    <row r="3009" spans="6:8" x14ac:dyDescent="0.35">
      <c r="F3009" s="38"/>
      <c r="G3009" s="39"/>
      <c r="H3009" s="40"/>
    </row>
    <row r="3010" spans="6:8" x14ac:dyDescent="0.35">
      <c r="F3010" s="38"/>
      <c r="G3010" s="39"/>
      <c r="H3010" s="40"/>
    </row>
    <row r="3011" spans="6:8" x14ac:dyDescent="0.35">
      <c r="F3011" s="38"/>
      <c r="G3011" s="39"/>
      <c r="H3011" s="40"/>
    </row>
    <row r="3012" spans="6:8" x14ac:dyDescent="0.35">
      <c r="F3012" s="38"/>
      <c r="G3012" s="39"/>
      <c r="H3012" s="40"/>
    </row>
    <row r="3013" spans="6:8" x14ac:dyDescent="0.35">
      <c r="F3013" s="38"/>
      <c r="G3013" s="39"/>
      <c r="H3013" s="40"/>
    </row>
    <row r="3014" spans="6:8" x14ac:dyDescent="0.35">
      <c r="F3014" s="38"/>
      <c r="G3014" s="39"/>
      <c r="H3014" s="40"/>
    </row>
    <row r="3015" spans="6:8" x14ac:dyDescent="0.35">
      <c r="F3015" s="38"/>
      <c r="G3015" s="39"/>
      <c r="H3015" s="40"/>
    </row>
    <row r="3016" spans="6:8" x14ac:dyDescent="0.35">
      <c r="F3016" s="38"/>
      <c r="G3016" s="39"/>
      <c r="H3016" s="40"/>
    </row>
    <row r="3017" spans="6:8" x14ac:dyDescent="0.35">
      <c r="F3017" s="38"/>
      <c r="G3017" s="39"/>
      <c r="H3017" s="40"/>
    </row>
    <row r="3018" spans="6:8" x14ac:dyDescent="0.35">
      <c r="F3018" s="38"/>
      <c r="G3018" s="39"/>
      <c r="H3018" s="40"/>
    </row>
    <row r="3019" spans="6:8" x14ac:dyDescent="0.35">
      <c r="F3019" s="38"/>
      <c r="G3019" s="39"/>
      <c r="H3019" s="40"/>
    </row>
    <row r="3020" spans="6:8" x14ac:dyDescent="0.35">
      <c r="F3020" s="38"/>
      <c r="G3020" s="39"/>
      <c r="H3020" s="40"/>
    </row>
    <row r="3021" spans="6:8" x14ac:dyDescent="0.35">
      <c r="F3021" s="38"/>
      <c r="G3021" s="39"/>
      <c r="H3021" s="40"/>
    </row>
    <row r="3022" spans="6:8" x14ac:dyDescent="0.35">
      <c r="F3022" s="38"/>
      <c r="G3022" s="39"/>
      <c r="H3022" s="40"/>
    </row>
    <row r="3023" spans="6:8" x14ac:dyDescent="0.35">
      <c r="F3023" s="38"/>
      <c r="G3023" s="39"/>
      <c r="H3023" s="40"/>
    </row>
    <row r="3024" spans="6:8" x14ac:dyDescent="0.35">
      <c r="F3024" s="38"/>
      <c r="G3024" s="39"/>
      <c r="H3024" s="40"/>
    </row>
    <row r="3025" spans="6:8" x14ac:dyDescent="0.35">
      <c r="F3025" s="38"/>
      <c r="G3025" s="39"/>
      <c r="H3025" s="40"/>
    </row>
    <row r="3026" spans="6:8" x14ac:dyDescent="0.35">
      <c r="F3026" s="38"/>
      <c r="G3026" s="39"/>
      <c r="H3026" s="40"/>
    </row>
    <row r="3027" spans="6:8" x14ac:dyDescent="0.35">
      <c r="F3027" s="38"/>
      <c r="G3027" s="39"/>
      <c r="H3027" s="40"/>
    </row>
    <row r="3028" spans="6:8" x14ac:dyDescent="0.35">
      <c r="F3028" s="38"/>
      <c r="G3028" s="39"/>
      <c r="H3028" s="40"/>
    </row>
    <row r="3029" spans="6:8" x14ac:dyDescent="0.35">
      <c r="F3029" s="38"/>
      <c r="G3029" s="39"/>
      <c r="H3029" s="40"/>
    </row>
    <row r="3030" spans="6:8" x14ac:dyDescent="0.35">
      <c r="F3030" s="38"/>
      <c r="G3030" s="39"/>
      <c r="H3030" s="40"/>
    </row>
    <row r="3031" spans="6:8" x14ac:dyDescent="0.35">
      <c r="F3031" s="38"/>
      <c r="G3031" s="39"/>
      <c r="H3031" s="40"/>
    </row>
    <row r="3032" spans="6:8" x14ac:dyDescent="0.35">
      <c r="F3032" s="38"/>
      <c r="G3032" s="39"/>
      <c r="H3032" s="40"/>
    </row>
    <row r="3033" spans="6:8" x14ac:dyDescent="0.35">
      <c r="F3033" s="38"/>
      <c r="G3033" s="39"/>
      <c r="H3033" s="40"/>
    </row>
    <row r="3034" spans="6:8" x14ac:dyDescent="0.35">
      <c r="F3034" s="38"/>
      <c r="G3034" s="39"/>
      <c r="H3034" s="40"/>
    </row>
    <row r="3035" spans="6:8" x14ac:dyDescent="0.35">
      <c r="F3035" s="38"/>
      <c r="G3035" s="39"/>
      <c r="H3035" s="40"/>
    </row>
    <row r="3036" spans="6:8" x14ac:dyDescent="0.35">
      <c r="F3036" s="38"/>
      <c r="G3036" s="39"/>
      <c r="H3036" s="40"/>
    </row>
    <row r="3037" spans="6:8" x14ac:dyDescent="0.35">
      <c r="F3037" s="38"/>
      <c r="G3037" s="39"/>
      <c r="H3037" s="40"/>
    </row>
    <row r="3038" spans="6:8" x14ac:dyDescent="0.35">
      <c r="F3038" s="38"/>
      <c r="G3038" s="39"/>
      <c r="H3038" s="40"/>
    </row>
    <row r="3039" spans="6:8" x14ac:dyDescent="0.35">
      <c r="F3039" s="38"/>
      <c r="G3039" s="39"/>
      <c r="H3039" s="40"/>
    </row>
    <row r="3040" spans="6:8" x14ac:dyDescent="0.35">
      <c r="F3040" s="38"/>
      <c r="G3040" s="39"/>
      <c r="H3040" s="40"/>
    </row>
    <row r="3041" spans="6:8" x14ac:dyDescent="0.35">
      <c r="F3041" s="38"/>
      <c r="G3041" s="39"/>
      <c r="H3041" s="40"/>
    </row>
    <row r="3042" spans="6:8" x14ac:dyDescent="0.35">
      <c r="F3042" s="38"/>
      <c r="G3042" s="39"/>
      <c r="H3042" s="40"/>
    </row>
    <row r="3043" spans="6:8" x14ac:dyDescent="0.35">
      <c r="F3043" s="38"/>
      <c r="G3043" s="39"/>
      <c r="H3043" s="40"/>
    </row>
    <row r="3044" spans="6:8" x14ac:dyDescent="0.35">
      <c r="F3044" s="38"/>
      <c r="G3044" s="39"/>
      <c r="H3044" s="40"/>
    </row>
    <row r="3045" spans="6:8" x14ac:dyDescent="0.35">
      <c r="F3045" s="38"/>
      <c r="G3045" s="39"/>
      <c r="H3045" s="40"/>
    </row>
    <row r="3046" spans="6:8" x14ac:dyDescent="0.35">
      <c r="F3046" s="38"/>
      <c r="G3046" s="39"/>
      <c r="H3046" s="40"/>
    </row>
    <row r="3047" spans="6:8" x14ac:dyDescent="0.35">
      <c r="F3047" s="38"/>
      <c r="G3047" s="39"/>
      <c r="H3047" s="40"/>
    </row>
    <row r="3048" spans="6:8" x14ac:dyDescent="0.35">
      <c r="F3048" s="38"/>
      <c r="G3048" s="39"/>
      <c r="H3048" s="40"/>
    </row>
    <row r="3049" spans="6:8" x14ac:dyDescent="0.35">
      <c r="F3049" s="38"/>
      <c r="G3049" s="39"/>
      <c r="H3049" s="40"/>
    </row>
    <row r="3050" spans="6:8" x14ac:dyDescent="0.35">
      <c r="F3050" s="38"/>
      <c r="G3050" s="39"/>
      <c r="H3050" s="40"/>
    </row>
    <row r="3051" spans="6:8" x14ac:dyDescent="0.35">
      <c r="F3051" s="38"/>
      <c r="G3051" s="39"/>
      <c r="H3051" s="40"/>
    </row>
    <row r="3052" spans="6:8" x14ac:dyDescent="0.35">
      <c r="F3052" s="38"/>
      <c r="G3052" s="39"/>
      <c r="H3052" s="40"/>
    </row>
    <row r="3053" spans="6:8" x14ac:dyDescent="0.35">
      <c r="F3053" s="38"/>
      <c r="G3053" s="39"/>
      <c r="H3053" s="40"/>
    </row>
    <row r="3054" spans="6:8" x14ac:dyDescent="0.35">
      <c r="F3054" s="38"/>
      <c r="G3054" s="39"/>
      <c r="H3054" s="40"/>
    </row>
    <row r="3055" spans="6:8" x14ac:dyDescent="0.35">
      <c r="F3055" s="38"/>
      <c r="G3055" s="39"/>
      <c r="H3055" s="40"/>
    </row>
    <row r="3056" spans="6:8" x14ac:dyDescent="0.35">
      <c r="F3056" s="38"/>
      <c r="G3056" s="39"/>
      <c r="H3056" s="40"/>
    </row>
    <row r="3057" spans="6:8" x14ac:dyDescent="0.35">
      <c r="F3057" s="38"/>
      <c r="G3057" s="39"/>
      <c r="H3057" s="40"/>
    </row>
    <row r="3058" spans="6:8" x14ac:dyDescent="0.35">
      <c r="F3058" s="38"/>
      <c r="G3058" s="39"/>
      <c r="H3058" s="40"/>
    </row>
    <row r="3059" spans="6:8" x14ac:dyDescent="0.35">
      <c r="F3059" s="38"/>
      <c r="G3059" s="39"/>
      <c r="H3059" s="40"/>
    </row>
    <row r="3060" spans="6:8" x14ac:dyDescent="0.35">
      <c r="F3060" s="38"/>
      <c r="G3060" s="39"/>
      <c r="H3060" s="40"/>
    </row>
    <row r="3061" spans="6:8" x14ac:dyDescent="0.35">
      <c r="F3061" s="38"/>
      <c r="G3061" s="39"/>
      <c r="H3061" s="40"/>
    </row>
    <row r="3062" spans="6:8" x14ac:dyDescent="0.35">
      <c r="F3062" s="38"/>
      <c r="G3062" s="39"/>
      <c r="H3062" s="40"/>
    </row>
    <row r="3063" spans="6:8" x14ac:dyDescent="0.35">
      <c r="F3063" s="38"/>
      <c r="G3063" s="39"/>
      <c r="H3063" s="40"/>
    </row>
    <row r="3064" spans="6:8" x14ac:dyDescent="0.35">
      <c r="F3064" s="38"/>
      <c r="G3064" s="39"/>
      <c r="H3064" s="40"/>
    </row>
    <row r="3065" spans="6:8" x14ac:dyDescent="0.35">
      <c r="F3065" s="38"/>
      <c r="G3065" s="39"/>
      <c r="H3065" s="40"/>
    </row>
    <row r="3066" spans="6:8" x14ac:dyDescent="0.35">
      <c r="F3066" s="38"/>
      <c r="G3066" s="39"/>
      <c r="H3066" s="40"/>
    </row>
    <row r="3067" spans="6:8" x14ac:dyDescent="0.35">
      <c r="F3067" s="38"/>
      <c r="G3067" s="39"/>
      <c r="H3067" s="40"/>
    </row>
    <row r="3068" spans="6:8" x14ac:dyDescent="0.35">
      <c r="F3068" s="38"/>
      <c r="G3068" s="39"/>
      <c r="H3068" s="40"/>
    </row>
    <row r="3069" spans="6:8" x14ac:dyDescent="0.35">
      <c r="F3069" s="38"/>
      <c r="G3069" s="39"/>
      <c r="H3069" s="40"/>
    </row>
    <row r="3070" spans="6:8" x14ac:dyDescent="0.35">
      <c r="F3070" s="38"/>
      <c r="G3070" s="39"/>
      <c r="H3070" s="40"/>
    </row>
    <row r="3071" spans="6:8" x14ac:dyDescent="0.35">
      <c r="F3071" s="38"/>
      <c r="G3071" s="39"/>
      <c r="H3071" s="40"/>
    </row>
    <row r="3072" spans="6:8" x14ac:dyDescent="0.35">
      <c r="F3072" s="38"/>
      <c r="G3072" s="39"/>
      <c r="H3072" s="40"/>
    </row>
    <row r="3073" spans="6:8" x14ac:dyDescent="0.35">
      <c r="F3073" s="38"/>
      <c r="G3073" s="39"/>
      <c r="H3073" s="40"/>
    </row>
    <row r="3074" spans="6:8" x14ac:dyDescent="0.35">
      <c r="F3074" s="38"/>
      <c r="G3074" s="39"/>
      <c r="H3074" s="40"/>
    </row>
    <row r="3075" spans="6:8" x14ac:dyDescent="0.35">
      <c r="F3075" s="38"/>
      <c r="G3075" s="39"/>
      <c r="H3075" s="40"/>
    </row>
    <row r="3076" spans="6:8" x14ac:dyDescent="0.35">
      <c r="F3076" s="38"/>
      <c r="G3076" s="39"/>
      <c r="H3076" s="40"/>
    </row>
    <row r="3077" spans="6:8" x14ac:dyDescent="0.35">
      <c r="F3077" s="38"/>
      <c r="G3077" s="39"/>
      <c r="H3077" s="40"/>
    </row>
    <row r="3078" spans="6:8" x14ac:dyDescent="0.35">
      <c r="F3078" s="38"/>
      <c r="G3078" s="39"/>
      <c r="H3078" s="40"/>
    </row>
    <row r="3079" spans="6:8" x14ac:dyDescent="0.35">
      <c r="F3079" s="38"/>
      <c r="G3079" s="39"/>
      <c r="H3079" s="40"/>
    </row>
    <row r="3080" spans="6:8" x14ac:dyDescent="0.35">
      <c r="F3080" s="38"/>
      <c r="G3080" s="39"/>
      <c r="H3080" s="40"/>
    </row>
    <row r="3081" spans="6:8" x14ac:dyDescent="0.35">
      <c r="F3081" s="38"/>
      <c r="G3081" s="39"/>
      <c r="H3081" s="40"/>
    </row>
    <row r="3082" spans="6:8" x14ac:dyDescent="0.35">
      <c r="F3082" s="38"/>
      <c r="G3082" s="39"/>
      <c r="H3082" s="40"/>
    </row>
    <row r="3083" spans="6:8" x14ac:dyDescent="0.35">
      <c r="F3083" s="38"/>
      <c r="G3083" s="39"/>
      <c r="H3083" s="40"/>
    </row>
    <row r="3084" spans="6:8" x14ac:dyDescent="0.35">
      <c r="F3084" s="38"/>
      <c r="G3084" s="39"/>
      <c r="H3084" s="40"/>
    </row>
    <row r="3085" spans="6:8" x14ac:dyDescent="0.35">
      <c r="F3085" s="38"/>
      <c r="G3085" s="39"/>
      <c r="H3085" s="40"/>
    </row>
    <row r="3086" spans="6:8" x14ac:dyDescent="0.35">
      <c r="F3086" s="38"/>
      <c r="G3086" s="39"/>
      <c r="H3086" s="40"/>
    </row>
    <row r="3087" spans="6:8" x14ac:dyDescent="0.35">
      <c r="F3087" s="38"/>
      <c r="G3087" s="39"/>
      <c r="H3087" s="40"/>
    </row>
    <row r="3088" spans="6:8" x14ac:dyDescent="0.35">
      <c r="F3088" s="38"/>
      <c r="G3088" s="39"/>
      <c r="H3088" s="40"/>
    </row>
    <row r="3089" spans="6:8" x14ac:dyDescent="0.35">
      <c r="F3089" s="38"/>
      <c r="G3089" s="39"/>
      <c r="H3089" s="40"/>
    </row>
    <row r="3090" spans="6:8" x14ac:dyDescent="0.35">
      <c r="F3090" s="38"/>
      <c r="G3090" s="39"/>
      <c r="H3090" s="40"/>
    </row>
    <row r="3091" spans="6:8" x14ac:dyDescent="0.35">
      <c r="F3091" s="38"/>
      <c r="G3091" s="39"/>
      <c r="H3091" s="40"/>
    </row>
    <row r="3092" spans="6:8" x14ac:dyDescent="0.35">
      <c r="F3092" s="38"/>
      <c r="G3092" s="39"/>
      <c r="H3092" s="40"/>
    </row>
    <row r="3093" spans="6:8" x14ac:dyDescent="0.35">
      <c r="F3093" s="38"/>
      <c r="G3093" s="39"/>
      <c r="H3093" s="40"/>
    </row>
    <row r="3094" spans="6:8" x14ac:dyDescent="0.35">
      <c r="F3094" s="38"/>
      <c r="G3094" s="39"/>
      <c r="H3094" s="40"/>
    </row>
    <row r="3095" spans="6:8" x14ac:dyDescent="0.35">
      <c r="F3095" s="38"/>
      <c r="G3095" s="39"/>
      <c r="H3095" s="40"/>
    </row>
    <row r="3096" spans="6:8" x14ac:dyDescent="0.35">
      <c r="F3096" s="38"/>
      <c r="G3096" s="39"/>
      <c r="H3096" s="40"/>
    </row>
    <row r="3097" spans="6:8" x14ac:dyDescent="0.35">
      <c r="F3097" s="38"/>
      <c r="G3097" s="39"/>
      <c r="H3097" s="40"/>
    </row>
    <row r="3098" spans="6:8" x14ac:dyDescent="0.35">
      <c r="F3098" s="38"/>
      <c r="G3098" s="39"/>
      <c r="H3098" s="40"/>
    </row>
    <row r="3099" spans="6:8" x14ac:dyDescent="0.35">
      <c r="F3099" s="38"/>
      <c r="G3099" s="39"/>
      <c r="H3099" s="40"/>
    </row>
    <row r="3100" spans="6:8" x14ac:dyDescent="0.35">
      <c r="F3100" s="38"/>
      <c r="G3100" s="39"/>
      <c r="H3100" s="40"/>
    </row>
    <row r="3101" spans="6:8" x14ac:dyDescent="0.35">
      <c r="F3101" s="38"/>
      <c r="G3101" s="39"/>
      <c r="H3101" s="40"/>
    </row>
    <row r="3102" spans="6:8" x14ac:dyDescent="0.35">
      <c r="F3102" s="38"/>
      <c r="G3102" s="39"/>
      <c r="H3102" s="40"/>
    </row>
    <row r="3103" spans="6:8" x14ac:dyDescent="0.35">
      <c r="F3103" s="38"/>
      <c r="G3103" s="39"/>
      <c r="H3103" s="40"/>
    </row>
    <row r="3104" spans="6:8" x14ac:dyDescent="0.35">
      <c r="F3104" s="38"/>
      <c r="G3104" s="39"/>
      <c r="H3104" s="40"/>
    </row>
    <row r="3105" spans="6:8" x14ac:dyDescent="0.35">
      <c r="F3105" s="38"/>
      <c r="G3105" s="39"/>
      <c r="H3105" s="40"/>
    </row>
    <row r="3106" spans="6:8" x14ac:dyDescent="0.35">
      <c r="F3106" s="38"/>
      <c r="G3106" s="39"/>
      <c r="H3106" s="40"/>
    </row>
    <row r="3107" spans="6:8" x14ac:dyDescent="0.35">
      <c r="F3107" s="38"/>
      <c r="G3107" s="39"/>
      <c r="H3107" s="40"/>
    </row>
    <row r="3108" spans="6:8" x14ac:dyDescent="0.35">
      <c r="F3108" s="38"/>
      <c r="G3108" s="39"/>
      <c r="H3108" s="40"/>
    </row>
    <row r="3109" spans="6:8" x14ac:dyDescent="0.35">
      <c r="F3109" s="38"/>
      <c r="G3109" s="39"/>
      <c r="H3109" s="40"/>
    </row>
    <row r="3110" spans="6:8" x14ac:dyDescent="0.35">
      <c r="F3110" s="38"/>
      <c r="G3110" s="39"/>
      <c r="H3110" s="40"/>
    </row>
    <row r="3111" spans="6:8" x14ac:dyDescent="0.35">
      <c r="F3111" s="38"/>
      <c r="G3111" s="39"/>
      <c r="H3111" s="40"/>
    </row>
    <row r="3112" spans="6:8" x14ac:dyDescent="0.35">
      <c r="F3112" s="38"/>
      <c r="G3112" s="39"/>
      <c r="H3112" s="40"/>
    </row>
    <row r="3113" spans="6:8" x14ac:dyDescent="0.35">
      <c r="F3113" s="38"/>
      <c r="G3113" s="39"/>
      <c r="H3113" s="40"/>
    </row>
    <row r="3114" spans="6:8" x14ac:dyDescent="0.35">
      <c r="F3114" s="38"/>
      <c r="G3114" s="39"/>
      <c r="H3114" s="40"/>
    </row>
    <row r="3115" spans="6:8" x14ac:dyDescent="0.35">
      <c r="F3115" s="38"/>
      <c r="G3115" s="39"/>
      <c r="H3115" s="40"/>
    </row>
    <row r="3116" spans="6:8" x14ac:dyDescent="0.35">
      <c r="F3116" s="38"/>
      <c r="G3116" s="39"/>
      <c r="H3116" s="40"/>
    </row>
    <row r="3117" spans="6:8" x14ac:dyDescent="0.35">
      <c r="F3117" s="38"/>
      <c r="G3117" s="39"/>
      <c r="H3117" s="40"/>
    </row>
    <row r="3118" spans="6:8" x14ac:dyDescent="0.35">
      <c r="F3118" s="38"/>
      <c r="G3118" s="39"/>
      <c r="H3118" s="40"/>
    </row>
    <row r="3119" spans="6:8" x14ac:dyDescent="0.35">
      <c r="F3119" s="38"/>
      <c r="G3119" s="39"/>
      <c r="H3119" s="40"/>
    </row>
    <row r="3120" spans="6:8" x14ac:dyDescent="0.35">
      <c r="F3120" s="38"/>
      <c r="G3120" s="39"/>
      <c r="H3120" s="40"/>
    </row>
    <row r="3121" spans="6:8" x14ac:dyDescent="0.35">
      <c r="F3121" s="38"/>
      <c r="G3121" s="39"/>
      <c r="H3121" s="40"/>
    </row>
    <row r="3122" spans="6:8" x14ac:dyDescent="0.35">
      <c r="F3122" s="38"/>
      <c r="G3122" s="39"/>
      <c r="H3122" s="40"/>
    </row>
    <row r="3123" spans="6:8" x14ac:dyDescent="0.35">
      <c r="F3123" s="38"/>
      <c r="G3123" s="39"/>
      <c r="H3123" s="40"/>
    </row>
    <row r="3124" spans="6:8" x14ac:dyDescent="0.35">
      <c r="F3124" s="38"/>
      <c r="G3124" s="39"/>
      <c r="H3124" s="40"/>
    </row>
    <row r="3125" spans="6:8" x14ac:dyDescent="0.35">
      <c r="F3125" s="38"/>
      <c r="G3125" s="39"/>
      <c r="H3125" s="40"/>
    </row>
    <row r="3126" spans="6:8" x14ac:dyDescent="0.35">
      <c r="F3126" s="38"/>
      <c r="G3126" s="39"/>
      <c r="H3126" s="40"/>
    </row>
    <row r="3127" spans="6:8" x14ac:dyDescent="0.35">
      <c r="F3127" s="38"/>
      <c r="G3127" s="39"/>
      <c r="H3127" s="40"/>
    </row>
    <row r="3128" spans="6:8" x14ac:dyDescent="0.35">
      <c r="F3128" s="38"/>
      <c r="G3128" s="39"/>
      <c r="H3128" s="40"/>
    </row>
    <row r="3129" spans="6:8" x14ac:dyDescent="0.35">
      <c r="F3129" s="38"/>
      <c r="G3129" s="39"/>
      <c r="H3129" s="40"/>
    </row>
    <row r="3130" spans="6:8" x14ac:dyDescent="0.35">
      <c r="F3130" s="38"/>
      <c r="G3130" s="39"/>
      <c r="H3130" s="40"/>
    </row>
    <row r="3131" spans="6:8" x14ac:dyDescent="0.35">
      <c r="F3131" s="38"/>
      <c r="G3131" s="39"/>
      <c r="H3131" s="40"/>
    </row>
    <row r="3132" spans="6:8" x14ac:dyDescent="0.35">
      <c r="F3132" s="38"/>
      <c r="G3132" s="39"/>
      <c r="H3132" s="40"/>
    </row>
    <row r="3133" spans="6:8" x14ac:dyDescent="0.35">
      <c r="F3133" s="38"/>
      <c r="G3133" s="39"/>
      <c r="H3133" s="40"/>
    </row>
    <row r="3134" spans="6:8" x14ac:dyDescent="0.35">
      <c r="F3134" s="38"/>
      <c r="G3134" s="39"/>
      <c r="H3134" s="40"/>
    </row>
    <row r="3135" spans="6:8" x14ac:dyDescent="0.35">
      <c r="F3135" s="38"/>
      <c r="G3135" s="39"/>
      <c r="H3135" s="40"/>
    </row>
    <row r="3136" spans="6:8" x14ac:dyDescent="0.35">
      <c r="F3136" s="38"/>
      <c r="G3136" s="39"/>
      <c r="H3136" s="40"/>
    </row>
    <row r="3137" spans="6:8" x14ac:dyDescent="0.35">
      <c r="F3137" s="38"/>
      <c r="G3137" s="39"/>
      <c r="H3137" s="40"/>
    </row>
    <row r="3138" spans="6:8" x14ac:dyDescent="0.35">
      <c r="F3138" s="38"/>
      <c r="G3138" s="39"/>
      <c r="H3138" s="40"/>
    </row>
    <row r="3139" spans="6:8" x14ac:dyDescent="0.35">
      <c r="F3139" s="38"/>
      <c r="G3139" s="39"/>
      <c r="H3139" s="40"/>
    </row>
    <row r="3140" spans="6:8" x14ac:dyDescent="0.35">
      <c r="F3140" s="38"/>
      <c r="G3140" s="39"/>
      <c r="H3140" s="40"/>
    </row>
    <row r="3141" spans="6:8" x14ac:dyDescent="0.35">
      <c r="F3141" s="38"/>
      <c r="G3141" s="39"/>
      <c r="H3141" s="40"/>
    </row>
    <row r="3142" spans="6:8" x14ac:dyDescent="0.35">
      <c r="F3142" s="38"/>
      <c r="G3142" s="39"/>
      <c r="H3142" s="40"/>
    </row>
    <row r="3143" spans="6:8" x14ac:dyDescent="0.35">
      <c r="F3143" s="38"/>
      <c r="G3143" s="39"/>
      <c r="H3143" s="40"/>
    </row>
    <row r="3144" spans="6:8" x14ac:dyDescent="0.35">
      <c r="F3144" s="38"/>
      <c r="G3144" s="39"/>
      <c r="H3144" s="40"/>
    </row>
    <row r="3145" spans="6:8" x14ac:dyDescent="0.35">
      <c r="F3145" s="38"/>
      <c r="G3145" s="39"/>
      <c r="H3145" s="40"/>
    </row>
    <row r="3146" spans="6:8" x14ac:dyDescent="0.35">
      <c r="F3146" s="38"/>
      <c r="G3146" s="39"/>
      <c r="H3146" s="40"/>
    </row>
    <row r="3147" spans="6:8" x14ac:dyDescent="0.35">
      <c r="F3147" s="38"/>
      <c r="G3147" s="39"/>
      <c r="H3147" s="40"/>
    </row>
    <row r="3148" spans="6:8" x14ac:dyDescent="0.35">
      <c r="F3148" s="38"/>
      <c r="G3148" s="39"/>
      <c r="H3148" s="40"/>
    </row>
    <row r="3149" spans="6:8" x14ac:dyDescent="0.35">
      <c r="F3149" s="38"/>
      <c r="G3149" s="39"/>
      <c r="H3149" s="40"/>
    </row>
    <row r="3150" spans="6:8" x14ac:dyDescent="0.35">
      <c r="F3150" s="38"/>
      <c r="G3150" s="39"/>
      <c r="H3150" s="40"/>
    </row>
    <row r="3151" spans="6:8" x14ac:dyDescent="0.35">
      <c r="F3151" s="38"/>
      <c r="G3151" s="39"/>
      <c r="H3151" s="40"/>
    </row>
    <row r="3152" spans="6:8" x14ac:dyDescent="0.35">
      <c r="F3152" s="38"/>
      <c r="G3152" s="39"/>
      <c r="H3152" s="40"/>
    </row>
    <row r="3153" spans="6:8" x14ac:dyDescent="0.35">
      <c r="F3153" s="38"/>
      <c r="G3153" s="39"/>
      <c r="H3153" s="40"/>
    </row>
    <row r="3154" spans="6:8" x14ac:dyDescent="0.35">
      <c r="F3154" s="38"/>
      <c r="G3154" s="39"/>
      <c r="H3154" s="40"/>
    </row>
    <row r="3155" spans="6:8" x14ac:dyDescent="0.35">
      <c r="F3155" s="38"/>
      <c r="G3155" s="39"/>
      <c r="H3155" s="40"/>
    </row>
    <row r="3156" spans="6:8" x14ac:dyDescent="0.35">
      <c r="F3156" s="38"/>
      <c r="G3156" s="39"/>
      <c r="H3156" s="40"/>
    </row>
    <row r="3157" spans="6:8" x14ac:dyDescent="0.35">
      <c r="F3157" s="38"/>
      <c r="G3157" s="39"/>
      <c r="H3157" s="40"/>
    </row>
    <row r="3158" spans="6:8" x14ac:dyDescent="0.35">
      <c r="F3158" s="38"/>
      <c r="G3158" s="39"/>
      <c r="H3158" s="40"/>
    </row>
    <row r="3159" spans="6:8" x14ac:dyDescent="0.35">
      <c r="F3159" s="38"/>
      <c r="G3159" s="39"/>
      <c r="H3159" s="40"/>
    </row>
    <row r="3160" spans="6:8" x14ac:dyDescent="0.35">
      <c r="F3160" s="38"/>
      <c r="G3160" s="39"/>
      <c r="H3160" s="40"/>
    </row>
    <row r="3161" spans="6:8" x14ac:dyDescent="0.35">
      <c r="F3161" s="38"/>
      <c r="G3161" s="39"/>
      <c r="H3161" s="40"/>
    </row>
    <row r="3162" spans="6:8" x14ac:dyDescent="0.35">
      <c r="F3162" s="38"/>
      <c r="G3162" s="39"/>
      <c r="H3162" s="40"/>
    </row>
    <row r="3163" spans="6:8" x14ac:dyDescent="0.35">
      <c r="F3163" s="38"/>
      <c r="G3163" s="39"/>
      <c r="H3163" s="40"/>
    </row>
    <row r="3164" spans="6:8" x14ac:dyDescent="0.35">
      <c r="F3164" s="38"/>
      <c r="G3164" s="39"/>
      <c r="H3164" s="40"/>
    </row>
    <row r="3165" spans="6:8" x14ac:dyDescent="0.35">
      <c r="F3165" s="38"/>
      <c r="G3165" s="39"/>
      <c r="H3165" s="40"/>
    </row>
    <row r="3166" spans="6:8" x14ac:dyDescent="0.35">
      <c r="F3166" s="38"/>
      <c r="G3166" s="39"/>
      <c r="H3166" s="40"/>
    </row>
    <row r="3167" spans="6:8" x14ac:dyDescent="0.35">
      <c r="F3167" s="38"/>
      <c r="G3167" s="39"/>
      <c r="H3167" s="40"/>
    </row>
    <row r="3168" spans="6:8" x14ac:dyDescent="0.35">
      <c r="F3168" s="38"/>
      <c r="G3168" s="39"/>
      <c r="H3168" s="40"/>
    </row>
    <row r="3169" spans="6:8" x14ac:dyDescent="0.35">
      <c r="F3169" s="38"/>
      <c r="G3169" s="39"/>
      <c r="H3169" s="40"/>
    </row>
    <row r="3170" spans="6:8" x14ac:dyDescent="0.35">
      <c r="F3170" s="38"/>
      <c r="G3170" s="39"/>
      <c r="H3170" s="40"/>
    </row>
    <row r="3171" spans="6:8" x14ac:dyDescent="0.35">
      <c r="F3171" s="38"/>
      <c r="G3171" s="39"/>
      <c r="H3171" s="40"/>
    </row>
    <row r="3172" spans="6:8" x14ac:dyDescent="0.35">
      <c r="F3172" s="38"/>
      <c r="G3172" s="39"/>
      <c r="H3172" s="40"/>
    </row>
    <row r="3173" spans="6:8" x14ac:dyDescent="0.35">
      <c r="F3173" s="38"/>
      <c r="G3173" s="39"/>
      <c r="H3173" s="40"/>
    </row>
    <row r="3174" spans="6:8" x14ac:dyDescent="0.35">
      <c r="F3174" s="38"/>
      <c r="G3174" s="39"/>
      <c r="H3174" s="40"/>
    </row>
    <row r="3175" spans="6:8" x14ac:dyDescent="0.35">
      <c r="F3175" s="38"/>
      <c r="G3175" s="39"/>
      <c r="H3175" s="40"/>
    </row>
    <row r="3176" spans="6:8" x14ac:dyDescent="0.35">
      <c r="F3176" s="38"/>
      <c r="G3176" s="39"/>
      <c r="H3176" s="40"/>
    </row>
    <row r="3177" spans="6:8" x14ac:dyDescent="0.35">
      <c r="F3177" s="38"/>
      <c r="G3177" s="39"/>
      <c r="H3177" s="40"/>
    </row>
    <row r="3178" spans="6:8" x14ac:dyDescent="0.35">
      <c r="F3178" s="38"/>
      <c r="G3178" s="39"/>
      <c r="H3178" s="40"/>
    </row>
    <row r="3179" spans="6:8" x14ac:dyDescent="0.35">
      <c r="F3179" s="38"/>
      <c r="G3179" s="39"/>
      <c r="H3179" s="40"/>
    </row>
    <row r="3180" spans="6:8" x14ac:dyDescent="0.35">
      <c r="F3180" s="38"/>
      <c r="G3180" s="39"/>
      <c r="H3180" s="40"/>
    </row>
    <row r="3181" spans="6:8" x14ac:dyDescent="0.35">
      <c r="F3181" s="38"/>
      <c r="G3181" s="39"/>
      <c r="H3181" s="40"/>
    </row>
    <row r="3182" spans="6:8" x14ac:dyDescent="0.35">
      <c r="F3182" s="38"/>
      <c r="G3182" s="39"/>
      <c r="H3182" s="40"/>
    </row>
    <row r="3183" spans="6:8" x14ac:dyDescent="0.35">
      <c r="F3183" s="38"/>
      <c r="G3183" s="39"/>
      <c r="H3183" s="40"/>
    </row>
    <row r="3184" spans="6:8" x14ac:dyDescent="0.35">
      <c r="F3184" s="38"/>
      <c r="G3184" s="39"/>
      <c r="H3184" s="40"/>
    </row>
    <row r="3185" spans="6:8" x14ac:dyDescent="0.35">
      <c r="F3185" s="38"/>
      <c r="G3185" s="39"/>
      <c r="H3185" s="40"/>
    </row>
    <row r="3186" spans="6:8" x14ac:dyDescent="0.35">
      <c r="F3186" s="38"/>
      <c r="G3186" s="39"/>
      <c r="H3186" s="40"/>
    </row>
    <row r="3187" spans="6:8" x14ac:dyDescent="0.35">
      <c r="F3187" s="38"/>
      <c r="G3187" s="39"/>
      <c r="H3187" s="40"/>
    </row>
    <row r="3188" spans="6:8" x14ac:dyDescent="0.35">
      <c r="F3188" s="38"/>
      <c r="G3188" s="39"/>
      <c r="H3188" s="40"/>
    </row>
    <row r="3189" spans="6:8" x14ac:dyDescent="0.35">
      <c r="F3189" s="38"/>
      <c r="G3189" s="39"/>
      <c r="H3189" s="40"/>
    </row>
    <row r="3190" spans="6:8" x14ac:dyDescent="0.35">
      <c r="F3190" s="38"/>
      <c r="G3190" s="39"/>
      <c r="H3190" s="40"/>
    </row>
    <row r="3191" spans="6:8" x14ac:dyDescent="0.35">
      <c r="F3191" s="38"/>
      <c r="G3191" s="39"/>
      <c r="H3191" s="40"/>
    </row>
    <row r="3192" spans="6:8" x14ac:dyDescent="0.35">
      <c r="F3192" s="38"/>
      <c r="G3192" s="39"/>
      <c r="H3192" s="40"/>
    </row>
    <row r="3193" spans="6:8" x14ac:dyDescent="0.35">
      <c r="F3193" s="38"/>
      <c r="G3193" s="39"/>
      <c r="H3193" s="40"/>
    </row>
    <row r="3194" spans="6:8" x14ac:dyDescent="0.35">
      <c r="F3194" s="38"/>
      <c r="G3194" s="39"/>
      <c r="H3194" s="40"/>
    </row>
    <row r="3195" spans="6:8" x14ac:dyDescent="0.35">
      <c r="F3195" s="38"/>
      <c r="G3195" s="39"/>
      <c r="H3195" s="40"/>
    </row>
    <row r="3196" spans="6:8" x14ac:dyDescent="0.35">
      <c r="F3196" s="38"/>
      <c r="G3196" s="39"/>
      <c r="H3196" s="40"/>
    </row>
    <row r="3197" spans="6:8" x14ac:dyDescent="0.35">
      <c r="F3197" s="38"/>
      <c r="G3197" s="39"/>
      <c r="H3197" s="40"/>
    </row>
    <row r="3198" spans="6:8" x14ac:dyDescent="0.35">
      <c r="F3198" s="38"/>
      <c r="G3198" s="39"/>
      <c r="H3198" s="40"/>
    </row>
    <row r="3199" spans="6:8" x14ac:dyDescent="0.35">
      <c r="F3199" s="38"/>
      <c r="G3199" s="39"/>
      <c r="H3199" s="40"/>
    </row>
    <row r="3200" spans="6:8" x14ac:dyDescent="0.35">
      <c r="F3200" s="38"/>
      <c r="G3200" s="39"/>
      <c r="H3200" s="40"/>
    </row>
    <row r="3201" spans="6:8" x14ac:dyDescent="0.35">
      <c r="F3201" s="38"/>
      <c r="G3201" s="39"/>
      <c r="H3201" s="40"/>
    </row>
    <row r="3202" spans="6:8" x14ac:dyDescent="0.35">
      <c r="F3202" s="38"/>
      <c r="G3202" s="39"/>
      <c r="H3202" s="40"/>
    </row>
    <row r="3203" spans="6:8" x14ac:dyDescent="0.35">
      <c r="F3203" s="38"/>
      <c r="G3203" s="39"/>
      <c r="H3203" s="40"/>
    </row>
    <row r="3204" spans="6:8" x14ac:dyDescent="0.35">
      <c r="F3204" s="38"/>
      <c r="G3204" s="39"/>
      <c r="H3204" s="40"/>
    </row>
    <row r="3205" spans="6:8" x14ac:dyDescent="0.35">
      <c r="F3205" s="38"/>
      <c r="G3205" s="39"/>
      <c r="H3205" s="40"/>
    </row>
    <row r="3206" spans="6:8" x14ac:dyDescent="0.35">
      <c r="F3206" s="38"/>
      <c r="G3206" s="39"/>
      <c r="H3206" s="40"/>
    </row>
    <row r="3207" spans="6:8" x14ac:dyDescent="0.35">
      <c r="F3207" s="38"/>
      <c r="G3207" s="39"/>
      <c r="H3207" s="40"/>
    </row>
    <row r="3208" spans="6:8" x14ac:dyDescent="0.35">
      <c r="F3208" s="38"/>
      <c r="G3208" s="39"/>
      <c r="H3208" s="40"/>
    </row>
    <row r="3209" spans="6:8" x14ac:dyDescent="0.35">
      <c r="F3209" s="38"/>
      <c r="G3209" s="39"/>
      <c r="H3209" s="40"/>
    </row>
    <row r="3210" spans="6:8" x14ac:dyDescent="0.35">
      <c r="F3210" s="38"/>
      <c r="G3210" s="39"/>
      <c r="H3210" s="40"/>
    </row>
    <row r="3211" spans="6:8" x14ac:dyDescent="0.35">
      <c r="F3211" s="38"/>
      <c r="G3211" s="39"/>
      <c r="H3211" s="40"/>
    </row>
    <row r="3212" spans="6:8" x14ac:dyDescent="0.35">
      <c r="F3212" s="38"/>
      <c r="G3212" s="39"/>
      <c r="H3212" s="40"/>
    </row>
    <row r="3213" spans="6:8" x14ac:dyDescent="0.35">
      <c r="F3213" s="38"/>
      <c r="G3213" s="39"/>
      <c r="H3213" s="40"/>
    </row>
    <row r="3214" spans="6:8" x14ac:dyDescent="0.35">
      <c r="F3214" s="38"/>
      <c r="G3214" s="39"/>
      <c r="H3214" s="40"/>
    </row>
    <row r="3215" spans="6:8" x14ac:dyDescent="0.35">
      <c r="F3215" s="38"/>
      <c r="G3215" s="39"/>
      <c r="H3215" s="40"/>
    </row>
    <row r="3216" spans="6:8" x14ac:dyDescent="0.35">
      <c r="F3216" s="38"/>
      <c r="G3216" s="39"/>
      <c r="H3216" s="40"/>
    </row>
    <row r="3217" spans="6:8" x14ac:dyDescent="0.35">
      <c r="F3217" s="38"/>
      <c r="G3217" s="39"/>
      <c r="H3217" s="40"/>
    </row>
    <row r="3218" spans="6:8" x14ac:dyDescent="0.35">
      <c r="F3218" s="38"/>
      <c r="G3218" s="39"/>
      <c r="H3218" s="40"/>
    </row>
    <row r="3219" spans="6:8" x14ac:dyDescent="0.35">
      <c r="F3219" s="38"/>
      <c r="G3219" s="39"/>
      <c r="H3219" s="40"/>
    </row>
    <row r="3220" spans="6:8" x14ac:dyDescent="0.35">
      <c r="F3220" s="38"/>
      <c r="G3220" s="39"/>
      <c r="H3220" s="40"/>
    </row>
    <row r="3221" spans="6:8" x14ac:dyDescent="0.35">
      <c r="F3221" s="38"/>
      <c r="G3221" s="39"/>
      <c r="H3221" s="40"/>
    </row>
    <row r="3222" spans="6:8" x14ac:dyDescent="0.35">
      <c r="F3222" s="38"/>
      <c r="G3222" s="39"/>
      <c r="H3222" s="40"/>
    </row>
    <row r="3223" spans="6:8" x14ac:dyDescent="0.35">
      <c r="F3223" s="38"/>
      <c r="G3223" s="39"/>
      <c r="H3223" s="40"/>
    </row>
    <row r="3224" spans="6:8" x14ac:dyDescent="0.35">
      <c r="F3224" s="38"/>
      <c r="G3224" s="39"/>
      <c r="H3224" s="40"/>
    </row>
    <row r="3225" spans="6:8" x14ac:dyDescent="0.35">
      <c r="F3225" s="38"/>
      <c r="G3225" s="39"/>
      <c r="H3225" s="40"/>
    </row>
    <row r="3226" spans="6:8" x14ac:dyDescent="0.35">
      <c r="F3226" s="38"/>
      <c r="G3226" s="39"/>
      <c r="H3226" s="40"/>
    </row>
    <row r="3227" spans="6:8" x14ac:dyDescent="0.35">
      <c r="F3227" s="38"/>
      <c r="G3227" s="39"/>
      <c r="H3227" s="40"/>
    </row>
    <row r="3228" spans="6:8" x14ac:dyDescent="0.35">
      <c r="F3228" s="38"/>
      <c r="G3228" s="39"/>
      <c r="H3228" s="40"/>
    </row>
    <row r="3229" spans="6:8" x14ac:dyDescent="0.35">
      <c r="F3229" s="38"/>
      <c r="G3229" s="39"/>
      <c r="H3229" s="40"/>
    </row>
    <row r="3230" spans="6:8" x14ac:dyDescent="0.35">
      <c r="F3230" s="38"/>
      <c r="G3230" s="39"/>
      <c r="H3230" s="40"/>
    </row>
    <row r="3231" spans="6:8" x14ac:dyDescent="0.35">
      <c r="F3231" s="38"/>
      <c r="G3231" s="39"/>
      <c r="H3231" s="40"/>
    </row>
    <row r="3232" spans="6:8" x14ac:dyDescent="0.35">
      <c r="F3232" s="38"/>
      <c r="G3232" s="39"/>
      <c r="H3232" s="40"/>
    </row>
    <row r="3233" spans="6:8" x14ac:dyDescent="0.35">
      <c r="F3233" s="38"/>
      <c r="G3233" s="39"/>
      <c r="H3233" s="40"/>
    </row>
    <row r="3234" spans="6:8" x14ac:dyDescent="0.35">
      <c r="F3234" s="38"/>
      <c r="G3234" s="39"/>
      <c r="H3234" s="40"/>
    </row>
    <row r="3235" spans="6:8" x14ac:dyDescent="0.35">
      <c r="F3235" s="38"/>
      <c r="G3235" s="39"/>
      <c r="H3235" s="40"/>
    </row>
    <row r="3236" spans="6:8" x14ac:dyDescent="0.35">
      <c r="F3236" s="38"/>
      <c r="G3236" s="39"/>
      <c r="H3236" s="40"/>
    </row>
    <row r="3237" spans="6:8" x14ac:dyDescent="0.35">
      <c r="F3237" s="38"/>
      <c r="G3237" s="39"/>
      <c r="H3237" s="40"/>
    </row>
    <row r="3238" spans="6:8" x14ac:dyDescent="0.35">
      <c r="F3238" s="38"/>
      <c r="G3238" s="39"/>
      <c r="H3238" s="40"/>
    </row>
    <row r="3239" spans="6:8" x14ac:dyDescent="0.35">
      <c r="F3239" s="38"/>
      <c r="G3239" s="39"/>
      <c r="H3239" s="40"/>
    </row>
    <row r="3240" spans="6:8" x14ac:dyDescent="0.35">
      <c r="F3240" s="38"/>
      <c r="G3240" s="39"/>
      <c r="H3240" s="40"/>
    </row>
    <row r="3241" spans="6:8" x14ac:dyDescent="0.35">
      <c r="F3241" s="38"/>
      <c r="G3241" s="39"/>
      <c r="H3241" s="40"/>
    </row>
    <row r="3242" spans="6:8" x14ac:dyDescent="0.35">
      <c r="F3242" s="38"/>
      <c r="G3242" s="39"/>
      <c r="H3242" s="40"/>
    </row>
    <row r="3243" spans="6:8" x14ac:dyDescent="0.35">
      <c r="F3243" s="38"/>
      <c r="G3243" s="39"/>
      <c r="H3243" s="40"/>
    </row>
    <row r="3244" spans="6:8" x14ac:dyDescent="0.35">
      <c r="F3244" s="38"/>
      <c r="G3244" s="39"/>
      <c r="H3244" s="40"/>
    </row>
    <row r="3245" spans="6:8" x14ac:dyDescent="0.35">
      <c r="F3245" s="38"/>
      <c r="G3245" s="39"/>
      <c r="H3245" s="40"/>
    </row>
    <row r="3246" spans="6:8" x14ac:dyDescent="0.35">
      <c r="F3246" s="38"/>
      <c r="G3246" s="39"/>
      <c r="H3246" s="40"/>
    </row>
    <row r="3247" spans="6:8" x14ac:dyDescent="0.35">
      <c r="F3247" s="38"/>
      <c r="G3247" s="39"/>
      <c r="H3247" s="40"/>
    </row>
    <row r="3248" spans="6:8" x14ac:dyDescent="0.35">
      <c r="F3248" s="38"/>
      <c r="G3248" s="39"/>
      <c r="H3248" s="40"/>
    </row>
    <row r="3249" spans="6:8" x14ac:dyDescent="0.35">
      <c r="F3249" s="38"/>
      <c r="G3249" s="39"/>
      <c r="H3249" s="40"/>
    </row>
    <row r="3250" spans="6:8" x14ac:dyDescent="0.35">
      <c r="F3250" s="38"/>
      <c r="G3250" s="39"/>
      <c r="H3250" s="40"/>
    </row>
    <row r="3251" spans="6:8" x14ac:dyDescent="0.35">
      <c r="F3251" s="38"/>
      <c r="G3251" s="39"/>
      <c r="H3251" s="40"/>
    </row>
    <row r="3252" spans="6:8" x14ac:dyDescent="0.35">
      <c r="F3252" s="38"/>
      <c r="G3252" s="39"/>
      <c r="H3252" s="40"/>
    </row>
    <row r="3253" spans="6:8" x14ac:dyDescent="0.35">
      <c r="F3253" s="38"/>
      <c r="G3253" s="39"/>
      <c r="H3253" s="40"/>
    </row>
    <row r="3254" spans="6:8" x14ac:dyDescent="0.35">
      <c r="F3254" s="38"/>
      <c r="G3254" s="39"/>
      <c r="H3254" s="40"/>
    </row>
    <row r="3255" spans="6:8" x14ac:dyDescent="0.35">
      <c r="F3255" s="38"/>
      <c r="G3255" s="39"/>
      <c r="H3255" s="40"/>
    </row>
    <row r="3256" spans="6:8" x14ac:dyDescent="0.35">
      <c r="F3256" s="38"/>
      <c r="G3256" s="39"/>
      <c r="H3256" s="40"/>
    </row>
    <row r="3257" spans="6:8" x14ac:dyDescent="0.35">
      <c r="F3257" s="38"/>
      <c r="G3257" s="39"/>
      <c r="H3257" s="40"/>
    </row>
    <row r="3258" spans="6:8" x14ac:dyDescent="0.35">
      <c r="F3258" s="38"/>
      <c r="G3258" s="39"/>
      <c r="H3258" s="40"/>
    </row>
    <row r="3259" spans="6:8" x14ac:dyDescent="0.35">
      <c r="F3259" s="38"/>
      <c r="G3259" s="39"/>
      <c r="H3259" s="40"/>
    </row>
    <row r="3260" spans="6:8" x14ac:dyDescent="0.35">
      <c r="F3260" s="38"/>
      <c r="G3260" s="39"/>
      <c r="H3260" s="40"/>
    </row>
    <row r="3261" spans="6:8" x14ac:dyDescent="0.35">
      <c r="F3261" s="38"/>
      <c r="G3261" s="39"/>
      <c r="H3261" s="40"/>
    </row>
    <row r="3262" spans="6:8" x14ac:dyDescent="0.35">
      <c r="F3262" s="38"/>
      <c r="G3262" s="39"/>
      <c r="H3262" s="40"/>
    </row>
    <row r="3263" spans="6:8" x14ac:dyDescent="0.35">
      <c r="F3263" s="38"/>
      <c r="G3263" s="39"/>
      <c r="H3263" s="40"/>
    </row>
    <row r="3264" spans="6:8" x14ac:dyDescent="0.35">
      <c r="F3264" s="38"/>
      <c r="G3264" s="39"/>
      <c r="H3264" s="40"/>
    </row>
    <row r="3265" spans="6:8" x14ac:dyDescent="0.35">
      <c r="F3265" s="38"/>
      <c r="G3265" s="39"/>
      <c r="H3265" s="40"/>
    </row>
    <row r="3266" spans="6:8" x14ac:dyDescent="0.35">
      <c r="F3266" s="38"/>
      <c r="G3266" s="39"/>
      <c r="H3266" s="40"/>
    </row>
    <row r="3267" spans="6:8" x14ac:dyDescent="0.35">
      <c r="F3267" s="38"/>
      <c r="G3267" s="39"/>
      <c r="H3267" s="40"/>
    </row>
    <row r="3268" spans="6:8" x14ac:dyDescent="0.35">
      <c r="F3268" s="38"/>
      <c r="G3268" s="39"/>
      <c r="H3268" s="40"/>
    </row>
    <row r="3269" spans="6:8" x14ac:dyDescent="0.35">
      <c r="F3269" s="38"/>
      <c r="G3269" s="39"/>
      <c r="H3269" s="40"/>
    </row>
    <row r="3270" spans="6:8" x14ac:dyDescent="0.35">
      <c r="F3270" s="38"/>
      <c r="G3270" s="39"/>
      <c r="H3270" s="40"/>
    </row>
    <row r="3271" spans="6:8" x14ac:dyDescent="0.35">
      <c r="F3271" s="38"/>
      <c r="G3271" s="39"/>
      <c r="H3271" s="40"/>
    </row>
    <row r="3272" spans="6:8" x14ac:dyDescent="0.35">
      <c r="F3272" s="38"/>
      <c r="G3272" s="39"/>
      <c r="H3272" s="40"/>
    </row>
    <row r="3273" spans="6:8" x14ac:dyDescent="0.35">
      <c r="F3273" s="38"/>
      <c r="G3273" s="39"/>
      <c r="H3273" s="40"/>
    </row>
    <row r="3274" spans="6:8" x14ac:dyDescent="0.35">
      <c r="F3274" s="38"/>
      <c r="G3274" s="39"/>
      <c r="H3274" s="40"/>
    </row>
    <row r="3275" spans="6:8" x14ac:dyDescent="0.35">
      <c r="F3275" s="38"/>
      <c r="G3275" s="39"/>
      <c r="H3275" s="40"/>
    </row>
    <row r="3276" spans="6:8" x14ac:dyDescent="0.35">
      <c r="F3276" s="38"/>
      <c r="G3276" s="39"/>
      <c r="H3276" s="40"/>
    </row>
    <row r="3277" spans="6:8" x14ac:dyDescent="0.35">
      <c r="F3277" s="38"/>
      <c r="G3277" s="39"/>
      <c r="H3277" s="40"/>
    </row>
    <row r="3278" spans="6:8" x14ac:dyDescent="0.35">
      <c r="F3278" s="38"/>
      <c r="G3278" s="39"/>
      <c r="H3278" s="40"/>
    </row>
    <row r="3279" spans="6:8" x14ac:dyDescent="0.35">
      <c r="F3279" s="38"/>
      <c r="G3279" s="39"/>
      <c r="H3279" s="40"/>
    </row>
    <row r="3280" spans="6:8" x14ac:dyDescent="0.35">
      <c r="F3280" s="38"/>
      <c r="G3280" s="39"/>
      <c r="H3280" s="40"/>
    </row>
    <row r="3281" spans="6:8" x14ac:dyDescent="0.35">
      <c r="F3281" s="38"/>
      <c r="G3281" s="39"/>
      <c r="H3281" s="40"/>
    </row>
    <row r="3282" spans="6:8" x14ac:dyDescent="0.35">
      <c r="F3282" s="38"/>
      <c r="G3282" s="39"/>
      <c r="H3282" s="40"/>
    </row>
    <row r="3283" spans="6:8" x14ac:dyDescent="0.35">
      <c r="F3283" s="38"/>
      <c r="G3283" s="39"/>
      <c r="H3283" s="40"/>
    </row>
    <row r="3284" spans="6:8" x14ac:dyDescent="0.35">
      <c r="F3284" s="38"/>
      <c r="G3284" s="39"/>
      <c r="H3284" s="40"/>
    </row>
    <row r="3285" spans="6:8" x14ac:dyDescent="0.35">
      <c r="F3285" s="38"/>
      <c r="G3285" s="39"/>
      <c r="H3285" s="40"/>
    </row>
    <row r="3286" spans="6:8" x14ac:dyDescent="0.35">
      <c r="F3286" s="38"/>
      <c r="G3286" s="39"/>
      <c r="H3286" s="40"/>
    </row>
    <row r="3287" spans="6:8" x14ac:dyDescent="0.35">
      <c r="F3287" s="38"/>
      <c r="G3287" s="39"/>
      <c r="H3287" s="40"/>
    </row>
    <row r="3288" spans="6:8" x14ac:dyDescent="0.35">
      <c r="F3288" s="38"/>
      <c r="G3288" s="39"/>
      <c r="H3288" s="40"/>
    </row>
    <row r="3289" spans="6:8" x14ac:dyDescent="0.35">
      <c r="F3289" s="38"/>
      <c r="G3289" s="39"/>
      <c r="H3289" s="40"/>
    </row>
    <row r="3290" spans="6:8" x14ac:dyDescent="0.35">
      <c r="F3290" s="38"/>
      <c r="G3290" s="39"/>
      <c r="H3290" s="40"/>
    </row>
    <row r="3291" spans="6:8" x14ac:dyDescent="0.35">
      <c r="F3291" s="38"/>
      <c r="G3291" s="39"/>
      <c r="H3291" s="40"/>
    </row>
    <row r="3292" spans="6:8" x14ac:dyDescent="0.35">
      <c r="F3292" s="38"/>
      <c r="G3292" s="39"/>
      <c r="H3292" s="40"/>
    </row>
    <row r="3293" spans="6:8" x14ac:dyDescent="0.35">
      <c r="F3293" s="38"/>
      <c r="G3293" s="39"/>
      <c r="H3293" s="40"/>
    </row>
    <row r="3294" spans="6:8" x14ac:dyDescent="0.35">
      <c r="F3294" s="38"/>
      <c r="G3294" s="39"/>
      <c r="H3294" s="40"/>
    </row>
    <row r="3295" spans="6:8" x14ac:dyDescent="0.35">
      <c r="F3295" s="38"/>
      <c r="G3295" s="39"/>
      <c r="H3295" s="40"/>
    </row>
    <row r="3296" spans="6:8" x14ac:dyDescent="0.35">
      <c r="F3296" s="38"/>
      <c r="G3296" s="39"/>
      <c r="H3296" s="40"/>
    </row>
    <row r="3297" spans="6:8" x14ac:dyDescent="0.35">
      <c r="F3297" s="38"/>
      <c r="G3297" s="39"/>
      <c r="H3297" s="40"/>
    </row>
    <row r="3298" spans="6:8" x14ac:dyDescent="0.35">
      <c r="F3298" s="38"/>
      <c r="G3298" s="39"/>
      <c r="H3298" s="40"/>
    </row>
    <row r="3299" spans="6:8" x14ac:dyDescent="0.35">
      <c r="F3299" s="38"/>
      <c r="G3299" s="39"/>
      <c r="H3299" s="40"/>
    </row>
    <row r="3300" spans="6:8" x14ac:dyDescent="0.35">
      <c r="F3300" s="38"/>
      <c r="G3300" s="39"/>
      <c r="H3300" s="40"/>
    </row>
    <row r="3301" spans="6:8" x14ac:dyDescent="0.35">
      <c r="F3301" s="38"/>
      <c r="G3301" s="39"/>
      <c r="H3301" s="40"/>
    </row>
    <row r="3302" spans="6:8" x14ac:dyDescent="0.35">
      <c r="F3302" s="38"/>
      <c r="G3302" s="39"/>
      <c r="H3302" s="40"/>
    </row>
    <row r="3303" spans="6:8" x14ac:dyDescent="0.35">
      <c r="F3303" s="38"/>
      <c r="G3303" s="39"/>
      <c r="H3303" s="40"/>
    </row>
    <row r="3304" spans="6:8" x14ac:dyDescent="0.35">
      <c r="F3304" s="38"/>
      <c r="G3304" s="39"/>
      <c r="H3304" s="40"/>
    </row>
    <row r="3305" spans="6:8" x14ac:dyDescent="0.35">
      <c r="F3305" s="38"/>
      <c r="G3305" s="39"/>
      <c r="H3305" s="40"/>
    </row>
    <row r="3306" spans="6:8" x14ac:dyDescent="0.35">
      <c r="F3306" s="38"/>
      <c r="G3306" s="39"/>
      <c r="H3306" s="40"/>
    </row>
    <row r="3307" spans="6:8" x14ac:dyDescent="0.35">
      <c r="F3307" s="38"/>
      <c r="G3307" s="39"/>
      <c r="H3307" s="40"/>
    </row>
    <row r="3308" spans="6:8" x14ac:dyDescent="0.35">
      <c r="F3308" s="38"/>
      <c r="G3308" s="39"/>
      <c r="H3308" s="40"/>
    </row>
    <row r="3309" spans="6:8" x14ac:dyDescent="0.35">
      <c r="F3309" s="38"/>
      <c r="G3309" s="39"/>
      <c r="H3309" s="40"/>
    </row>
    <row r="3310" spans="6:8" x14ac:dyDescent="0.35">
      <c r="F3310" s="38"/>
      <c r="G3310" s="39"/>
      <c r="H3310" s="40"/>
    </row>
    <row r="3311" spans="6:8" x14ac:dyDescent="0.35">
      <c r="F3311" s="38"/>
      <c r="G3311" s="39"/>
      <c r="H3311" s="40"/>
    </row>
    <row r="3312" spans="6:8" x14ac:dyDescent="0.35">
      <c r="F3312" s="38"/>
      <c r="G3312" s="39"/>
      <c r="H3312" s="40"/>
    </row>
    <row r="3313" spans="6:8" x14ac:dyDescent="0.35">
      <c r="F3313" s="38"/>
      <c r="G3313" s="39"/>
      <c r="H3313" s="40"/>
    </row>
    <row r="3314" spans="6:8" x14ac:dyDescent="0.35">
      <c r="F3314" s="38"/>
      <c r="G3314" s="39"/>
      <c r="H3314" s="40"/>
    </row>
    <row r="3315" spans="6:8" x14ac:dyDescent="0.35">
      <c r="F3315" s="38"/>
      <c r="G3315" s="39"/>
      <c r="H3315" s="40"/>
    </row>
    <row r="3316" spans="6:8" x14ac:dyDescent="0.35">
      <c r="F3316" s="38"/>
      <c r="G3316" s="39"/>
      <c r="H3316" s="40"/>
    </row>
    <row r="3317" spans="6:8" x14ac:dyDescent="0.35">
      <c r="F3317" s="38"/>
      <c r="G3317" s="39"/>
      <c r="H3317" s="40"/>
    </row>
    <row r="3318" spans="6:8" x14ac:dyDescent="0.35">
      <c r="F3318" s="38"/>
      <c r="G3318" s="39"/>
      <c r="H3318" s="40"/>
    </row>
    <row r="3319" spans="6:8" x14ac:dyDescent="0.35">
      <c r="F3319" s="38"/>
      <c r="G3319" s="39"/>
      <c r="H3319" s="40"/>
    </row>
    <row r="3320" spans="6:8" x14ac:dyDescent="0.35">
      <c r="F3320" s="38"/>
      <c r="G3320" s="39"/>
      <c r="H3320" s="40"/>
    </row>
    <row r="3321" spans="6:8" x14ac:dyDescent="0.35">
      <c r="F3321" s="38"/>
      <c r="G3321" s="39"/>
      <c r="H3321" s="40"/>
    </row>
    <row r="3322" spans="6:8" x14ac:dyDescent="0.35">
      <c r="F3322" s="38"/>
      <c r="G3322" s="39"/>
      <c r="H3322" s="40"/>
    </row>
    <row r="3323" spans="6:8" x14ac:dyDescent="0.35">
      <c r="F3323" s="38"/>
      <c r="G3323" s="39"/>
      <c r="H3323" s="40"/>
    </row>
    <row r="3324" spans="6:8" x14ac:dyDescent="0.35">
      <c r="F3324" s="38"/>
      <c r="G3324" s="39"/>
      <c r="H3324" s="40"/>
    </row>
    <row r="3325" spans="6:8" x14ac:dyDescent="0.35">
      <c r="F3325" s="38"/>
      <c r="G3325" s="39"/>
      <c r="H3325" s="40"/>
    </row>
    <row r="3326" spans="6:8" x14ac:dyDescent="0.35">
      <c r="F3326" s="38"/>
      <c r="G3326" s="39"/>
      <c r="H3326" s="40"/>
    </row>
    <row r="3327" spans="6:8" x14ac:dyDescent="0.35">
      <c r="F3327" s="38"/>
      <c r="G3327" s="39"/>
      <c r="H3327" s="40"/>
    </row>
    <row r="3328" spans="6:8" x14ac:dyDescent="0.35">
      <c r="F3328" s="38"/>
      <c r="G3328" s="39"/>
      <c r="H3328" s="40"/>
    </row>
    <row r="3329" spans="6:8" x14ac:dyDescent="0.35">
      <c r="F3329" s="38"/>
      <c r="G3329" s="39"/>
      <c r="H3329" s="40"/>
    </row>
    <row r="3330" spans="6:8" x14ac:dyDescent="0.35">
      <c r="F3330" s="38"/>
      <c r="G3330" s="39"/>
      <c r="H3330" s="40"/>
    </row>
    <row r="3331" spans="6:8" x14ac:dyDescent="0.35">
      <c r="F3331" s="38"/>
      <c r="G3331" s="39"/>
      <c r="H3331" s="40"/>
    </row>
    <row r="3332" spans="6:8" x14ac:dyDescent="0.35">
      <c r="F3332" s="38"/>
      <c r="G3332" s="39"/>
      <c r="H3332" s="40"/>
    </row>
    <row r="3333" spans="6:8" x14ac:dyDescent="0.35">
      <c r="F3333" s="38"/>
      <c r="G3333" s="39"/>
      <c r="H3333" s="40"/>
    </row>
    <row r="3334" spans="6:8" x14ac:dyDescent="0.35">
      <c r="F3334" s="38"/>
      <c r="G3334" s="39"/>
      <c r="H3334" s="40"/>
    </row>
    <row r="3335" spans="6:8" x14ac:dyDescent="0.35">
      <c r="F3335" s="38"/>
      <c r="G3335" s="39"/>
      <c r="H3335" s="40"/>
    </row>
    <row r="3336" spans="6:8" x14ac:dyDescent="0.35">
      <c r="F3336" s="38"/>
      <c r="G3336" s="39"/>
      <c r="H3336" s="40"/>
    </row>
    <row r="3337" spans="6:8" x14ac:dyDescent="0.35">
      <c r="F3337" s="38"/>
      <c r="G3337" s="39"/>
      <c r="H3337" s="40"/>
    </row>
    <row r="3338" spans="6:8" x14ac:dyDescent="0.35">
      <c r="F3338" s="38"/>
      <c r="G3338" s="39"/>
      <c r="H3338" s="40"/>
    </row>
    <row r="3339" spans="6:8" x14ac:dyDescent="0.35">
      <c r="F3339" s="38"/>
      <c r="G3339" s="39"/>
      <c r="H3339" s="40"/>
    </row>
    <row r="3340" spans="6:8" x14ac:dyDescent="0.35">
      <c r="F3340" s="38"/>
      <c r="G3340" s="39"/>
      <c r="H3340" s="40"/>
    </row>
    <row r="3341" spans="6:8" x14ac:dyDescent="0.35">
      <c r="F3341" s="38"/>
      <c r="G3341" s="39"/>
      <c r="H3341" s="40"/>
    </row>
    <row r="3342" spans="6:8" x14ac:dyDescent="0.35">
      <c r="F3342" s="38"/>
      <c r="G3342" s="39"/>
      <c r="H3342" s="40"/>
    </row>
    <row r="3343" spans="6:8" x14ac:dyDescent="0.35">
      <c r="F3343" s="38"/>
      <c r="G3343" s="39"/>
      <c r="H3343" s="40"/>
    </row>
    <row r="3344" spans="6:8" x14ac:dyDescent="0.35">
      <c r="F3344" s="38"/>
      <c r="G3344" s="39"/>
      <c r="H3344" s="40"/>
    </row>
    <row r="3345" spans="6:8" x14ac:dyDescent="0.35">
      <c r="F3345" s="38"/>
      <c r="G3345" s="39"/>
      <c r="H3345" s="40"/>
    </row>
    <row r="3346" spans="6:8" x14ac:dyDescent="0.35">
      <c r="F3346" s="38"/>
      <c r="G3346" s="39"/>
      <c r="H3346" s="40"/>
    </row>
    <row r="3347" spans="6:8" x14ac:dyDescent="0.35">
      <c r="F3347" s="38"/>
      <c r="G3347" s="39"/>
      <c r="H3347" s="40"/>
    </row>
    <row r="3348" spans="6:8" x14ac:dyDescent="0.35">
      <c r="F3348" s="38"/>
      <c r="G3348" s="39"/>
      <c r="H3348" s="40"/>
    </row>
    <row r="3349" spans="6:8" x14ac:dyDescent="0.35">
      <c r="F3349" s="38"/>
      <c r="G3349" s="39"/>
      <c r="H3349" s="40"/>
    </row>
    <row r="3350" spans="6:8" x14ac:dyDescent="0.35">
      <c r="F3350" s="38"/>
      <c r="G3350" s="39"/>
      <c r="H3350" s="40"/>
    </row>
    <row r="3351" spans="6:8" x14ac:dyDescent="0.35">
      <c r="F3351" s="38"/>
      <c r="G3351" s="39"/>
      <c r="H3351" s="40"/>
    </row>
    <row r="3352" spans="6:8" x14ac:dyDescent="0.35">
      <c r="F3352" s="38"/>
      <c r="G3352" s="39"/>
      <c r="H3352" s="40"/>
    </row>
    <row r="3353" spans="6:8" x14ac:dyDescent="0.35">
      <c r="F3353" s="38"/>
      <c r="G3353" s="39"/>
      <c r="H3353" s="40"/>
    </row>
    <row r="3354" spans="6:8" x14ac:dyDescent="0.35">
      <c r="F3354" s="38"/>
      <c r="G3354" s="39"/>
      <c r="H3354" s="40"/>
    </row>
    <row r="3355" spans="6:8" x14ac:dyDescent="0.35">
      <c r="F3355" s="38"/>
      <c r="G3355" s="39"/>
      <c r="H3355" s="40"/>
    </row>
    <row r="3356" spans="6:8" x14ac:dyDescent="0.35">
      <c r="F3356" s="38"/>
      <c r="G3356" s="39"/>
      <c r="H3356" s="40"/>
    </row>
    <row r="3357" spans="6:8" x14ac:dyDescent="0.35">
      <c r="F3357" s="38"/>
      <c r="G3357" s="39"/>
      <c r="H3357" s="40"/>
    </row>
    <row r="3358" spans="6:8" x14ac:dyDescent="0.35">
      <c r="F3358" s="38"/>
      <c r="G3358" s="39"/>
      <c r="H3358" s="40"/>
    </row>
    <row r="3359" spans="6:8" x14ac:dyDescent="0.35">
      <c r="F3359" s="38"/>
      <c r="G3359" s="39"/>
      <c r="H3359" s="40"/>
    </row>
    <row r="3360" spans="6:8" x14ac:dyDescent="0.35">
      <c r="F3360" s="38"/>
      <c r="G3360" s="39"/>
      <c r="H3360" s="40"/>
    </row>
    <row r="3361" spans="6:8" x14ac:dyDescent="0.35">
      <c r="F3361" s="38"/>
      <c r="G3361" s="39"/>
      <c r="H3361" s="40"/>
    </row>
    <row r="3362" spans="6:8" x14ac:dyDescent="0.35">
      <c r="F3362" s="38"/>
      <c r="G3362" s="39"/>
      <c r="H3362" s="40"/>
    </row>
    <row r="3363" spans="6:8" x14ac:dyDescent="0.35">
      <c r="F3363" s="38"/>
      <c r="G3363" s="39"/>
      <c r="H3363" s="40"/>
    </row>
    <row r="3364" spans="6:8" x14ac:dyDescent="0.35">
      <c r="F3364" s="38"/>
      <c r="G3364" s="39"/>
      <c r="H3364" s="40"/>
    </row>
    <row r="3365" spans="6:8" x14ac:dyDescent="0.35">
      <c r="F3365" s="38"/>
      <c r="G3365" s="39"/>
      <c r="H3365" s="40"/>
    </row>
    <row r="3366" spans="6:8" x14ac:dyDescent="0.35">
      <c r="F3366" s="38"/>
      <c r="G3366" s="39"/>
      <c r="H3366" s="40"/>
    </row>
    <row r="3367" spans="6:8" x14ac:dyDescent="0.35">
      <c r="F3367" s="38"/>
      <c r="G3367" s="39"/>
      <c r="H3367" s="40"/>
    </row>
    <row r="3368" spans="6:8" x14ac:dyDescent="0.35">
      <c r="F3368" s="38"/>
      <c r="G3368" s="39"/>
      <c r="H3368" s="40"/>
    </row>
    <row r="3369" spans="6:8" x14ac:dyDescent="0.35">
      <c r="F3369" s="38"/>
      <c r="G3369" s="39"/>
      <c r="H3369" s="40"/>
    </row>
    <row r="3370" spans="6:8" x14ac:dyDescent="0.35">
      <c r="F3370" s="38"/>
      <c r="G3370" s="39"/>
      <c r="H3370" s="40"/>
    </row>
    <row r="3371" spans="6:8" x14ac:dyDescent="0.35">
      <c r="F3371" s="38"/>
      <c r="G3371" s="39"/>
      <c r="H3371" s="40"/>
    </row>
    <row r="3372" spans="6:8" x14ac:dyDescent="0.35">
      <c r="F3372" s="38"/>
      <c r="G3372" s="39"/>
      <c r="H3372" s="40"/>
    </row>
    <row r="3373" spans="6:8" x14ac:dyDescent="0.35">
      <c r="F3373" s="38"/>
      <c r="G3373" s="39"/>
      <c r="H3373" s="40"/>
    </row>
    <row r="3374" spans="6:8" x14ac:dyDescent="0.35">
      <c r="F3374" s="38"/>
      <c r="G3374" s="39"/>
      <c r="H3374" s="40"/>
    </row>
    <row r="3375" spans="6:8" x14ac:dyDescent="0.35">
      <c r="F3375" s="38"/>
      <c r="G3375" s="39"/>
      <c r="H3375" s="40"/>
    </row>
    <row r="3376" spans="6:8" x14ac:dyDescent="0.35">
      <c r="F3376" s="38"/>
      <c r="G3376" s="39"/>
      <c r="H3376" s="40"/>
    </row>
    <row r="3377" spans="6:8" x14ac:dyDescent="0.35">
      <c r="F3377" s="38"/>
      <c r="G3377" s="39"/>
      <c r="H3377" s="40"/>
    </row>
    <row r="3378" spans="6:8" x14ac:dyDescent="0.35">
      <c r="F3378" s="38"/>
      <c r="G3378" s="39"/>
      <c r="H3378" s="40"/>
    </row>
    <row r="3379" spans="6:8" x14ac:dyDescent="0.35">
      <c r="F3379" s="38"/>
      <c r="G3379" s="39"/>
      <c r="H3379" s="40"/>
    </row>
    <row r="3380" spans="6:8" x14ac:dyDescent="0.35">
      <c r="F3380" s="38"/>
      <c r="G3380" s="39"/>
      <c r="H3380" s="40"/>
    </row>
    <row r="3381" spans="6:8" x14ac:dyDescent="0.35">
      <c r="F3381" s="38"/>
      <c r="G3381" s="39"/>
      <c r="H3381" s="40"/>
    </row>
    <row r="3382" spans="6:8" x14ac:dyDescent="0.35">
      <c r="F3382" s="38"/>
      <c r="G3382" s="39"/>
      <c r="H3382" s="40"/>
    </row>
    <row r="3383" spans="6:8" x14ac:dyDescent="0.35">
      <c r="F3383" s="38"/>
      <c r="G3383" s="39"/>
      <c r="H3383" s="40"/>
    </row>
    <row r="3384" spans="6:8" x14ac:dyDescent="0.35">
      <c r="F3384" s="38"/>
      <c r="G3384" s="39"/>
      <c r="H3384" s="40"/>
    </row>
    <row r="3385" spans="6:8" x14ac:dyDescent="0.35">
      <c r="F3385" s="38"/>
      <c r="G3385" s="39"/>
      <c r="H3385" s="40"/>
    </row>
    <row r="3386" spans="6:8" x14ac:dyDescent="0.35">
      <c r="F3386" s="38"/>
      <c r="G3386" s="39"/>
      <c r="H3386" s="40"/>
    </row>
    <row r="3387" spans="6:8" x14ac:dyDescent="0.35">
      <c r="F3387" s="38"/>
      <c r="G3387" s="39"/>
      <c r="H3387" s="40"/>
    </row>
    <row r="3388" spans="6:8" x14ac:dyDescent="0.35">
      <c r="F3388" s="38"/>
      <c r="G3388" s="39"/>
      <c r="H3388" s="40"/>
    </row>
    <row r="3389" spans="6:8" x14ac:dyDescent="0.35">
      <c r="F3389" s="38"/>
      <c r="G3389" s="39"/>
      <c r="H3389" s="40"/>
    </row>
    <row r="3390" spans="6:8" x14ac:dyDescent="0.35">
      <c r="F3390" s="38"/>
      <c r="G3390" s="39"/>
      <c r="H3390" s="40"/>
    </row>
    <row r="3391" spans="6:8" x14ac:dyDescent="0.35">
      <c r="F3391" s="38"/>
      <c r="G3391" s="39"/>
      <c r="H3391" s="40"/>
    </row>
    <row r="3392" spans="6:8" x14ac:dyDescent="0.35">
      <c r="F3392" s="38"/>
      <c r="G3392" s="39"/>
      <c r="H3392" s="40"/>
    </row>
    <row r="3393" spans="6:8" x14ac:dyDescent="0.35">
      <c r="F3393" s="38"/>
      <c r="G3393" s="39"/>
      <c r="H3393" s="40"/>
    </row>
    <row r="3394" spans="6:8" x14ac:dyDescent="0.35">
      <c r="F3394" s="38"/>
      <c r="G3394" s="39"/>
      <c r="H3394" s="40"/>
    </row>
    <row r="3395" spans="6:8" x14ac:dyDescent="0.35">
      <c r="F3395" s="38"/>
      <c r="G3395" s="39"/>
      <c r="H3395" s="40"/>
    </row>
    <row r="3396" spans="6:8" x14ac:dyDescent="0.35">
      <c r="F3396" s="38"/>
      <c r="G3396" s="39"/>
      <c r="H3396" s="40"/>
    </row>
    <row r="3397" spans="6:8" x14ac:dyDescent="0.35">
      <c r="F3397" s="38"/>
      <c r="G3397" s="39"/>
      <c r="H3397" s="40"/>
    </row>
    <row r="3398" spans="6:8" x14ac:dyDescent="0.35">
      <c r="F3398" s="38"/>
      <c r="G3398" s="39"/>
      <c r="H3398" s="40"/>
    </row>
    <row r="3399" spans="6:8" x14ac:dyDescent="0.35">
      <c r="F3399" s="38"/>
      <c r="G3399" s="39"/>
      <c r="H3399" s="40"/>
    </row>
    <row r="3400" spans="6:8" x14ac:dyDescent="0.35">
      <c r="F3400" s="38"/>
      <c r="G3400" s="39"/>
      <c r="H3400" s="40"/>
    </row>
    <row r="3401" spans="6:8" x14ac:dyDescent="0.35">
      <c r="F3401" s="38"/>
      <c r="G3401" s="39"/>
      <c r="H3401" s="40"/>
    </row>
    <row r="3402" spans="6:8" x14ac:dyDescent="0.35">
      <c r="F3402" s="38"/>
      <c r="G3402" s="39"/>
      <c r="H3402" s="40"/>
    </row>
    <row r="3403" spans="6:8" x14ac:dyDescent="0.35">
      <c r="F3403" s="38"/>
      <c r="G3403" s="39"/>
      <c r="H3403" s="40"/>
    </row>
    <row r="3404" spans="6:8" x14ac:dyDescent="0.35">
      <c r="F3404" s="38"/>
      <c r="G3404" s="39"/>
      <c r="H3404" s="40"/>
    </row>
    <row r="3405" spans="6:8" x14ac:dyDescent="0.35">
      <c r="F3405" s="38"/>
      <c r="G3405" s="39"/>
      <c r="H3405" s="40"/>
    </row>
    <row r="3406" spans="6:8" x14ac:dyDescent="0.35">
      <c r="F3406" s="38"/>
      <c r="G3406" s="39"/>
      <c r="H3406" s="40"/>
    </row>
    <row r="3407" spans="6:8" x14ac:dyDescent="0.35">
      <c r="F3407" s="38"/>
      <c r="G3407" s="39"/>
      <c r="H3407" s="40"/>
    </row>
    <row r="3408" spans="6:8" x14ac:dyDescent="0.35">
      <c r="F3408" s="38"/>
      <c r="G3408" s="39"/>
      <c r="H3408" s="40"/>
    </row>
    <row r="3409" spans="6:8" x14ac:dyDescent="0.35">
      <c r="F3409" s="38"/>
      <c r="G3409" s="39"/>
      <c r="H3409" s="40"/>
    </row>
    <row r="3410" spans="6:8" x14ac:dyDescent="0.35">
      <c r="F3410" s="38"/>
      <c r="G3410" s="39"/>
      <c r="H3410" s="40"/>
    </row>
    <row r="3411" spans="6:8" x14ac:dyDescent="0.35">
      <c r="F3411" s="38"/>
      <c r="G3411" s="39"/>
      <c r="H3411" s="40"/>
    </row>
    <row r="3412" spans="6:8" x14ac:dyDescent="0.35">
      <c r="F3412" s="38"/>
      <c r="G3412" s="39"/>
      <c r="H3412" s="40"/>
    </row>
    <row r="3413" spans="6:8" x14ac:dyDescent="0.35">
      <c r="F3413" s="38"/>
      <c r="G3413" s="39"/>
      <c r="H3413" s="40"/>
    </row>
    <row r="3414" spans="6:8" x14ac:dyDescent="0.35">
      <c r="F3414" s="38"/>
      <c r="G3414" s="39"/>
      <c r="H3414" s="40"/>
    </row>
    <row r="3415" spans="6:8" x14ac:dyDescent="0.35">
      <c r="F3415" s="38"/>
      <c r="G3415" s="39"/>
      <c r="H3415" s="40"/>
    </row>
    <row r="3416" spans="6:8" x14ac:dyDescent="0.35">
      <c r="F3416" s="38"/>
      <c r="G3416" s="39"/>
      <c r="H3416" s="40"/>
    </row>
    <row r="3417" spans="6:8" x14ac:dyDescent="0.35">
      <c r="F3417" s="38"/>
      <c r="G3417" s="39"/>
      <c r="H3417" s="40"/>
    </row>
    <row r="3418" spans="6:8" x14ac:dyDescent="0.35">
      <c r="F3418" s="38"/>
      <c r="G3418" s="39"/>
      <c r="H3418" s="40"/>
    </row>
    <row r="3419" spans="6:8" x14ac:dyDescent="0.35">
      <c r="F3419" s="38"/>
      <c r="G3419" s="39"/>
      <c r="H3419" s="40"/>
    </row>
    <row r="3420" spans="6:8" x14ac:dyDescent="0.35">
      <c r="F3420" s="38"/>
      <c r="G3420" s="39"/>
      <c r="H3420" s="40"/>
    </row>
    <row r="3421" spans="6:8" x14ac:dyDescent="0.35">
      <c r="F3421" s="38"/>
      <c r="G3421" s="39"/>
      <c r="H3421" s="40"/>
    </row>
    <row r="3422" spans="6:8" x14ac:dyDescent="0.35">
      <c r="F3422" s="38"/>
      <c r="G3422" s="39"/>
      <c r="H3422" s="40"/>
    </row>
    <row r="3423" spans="6:8" x14ac:dyDescent="0.35">
      <c r="F3423" s="38"/>
      <c r="G3423" s="39"/>
      <c r="H3423" s="40"/>
    </row>
    <row r="3424" spans="6:8" x14ac:dyDescent="0.35">
      <c r="F3424" s="38"/>
      <c r="G3424" s="39"/>
      <c r="H3424" s="40"/>
    </row>
    <row r="3425" spans="6:8" x14ac:dyDescent="0.35">
      <c r="F3425" s="38"/>
      <c r="G3425" s="39"/>
      <c r="H3425" s="40"/>
    </row>
    <row r="3426" spans="6:8" x14ac:dyDescent="0.35">
      <c r="F3426" s="38"/>
      <c r="G3426" s="39"/>
      <c r="H3426" s="40"/>
    </row>
    <row r="3427" spans="6:8" x14ac:dyDescent="0.35">
      <c r="F3427" s="38"/>
      <c r="G3427" s="39"/>
      <c r="H3427" s="40"/>
    </row>
    <row r="3428" spans="6:8" x14ac:dyDescent="0.35">
      <c r="F3428" s="38"/>
      <c r="G3428" s="39"/>
      <c r="H3428" s="40"/>
    </row>
    <row r="3429" spans="6:8" x14ac:dyDescent="0.35">
      <c r="F3429" s="38"/>
      <c r="G3429" s="39"/>
      <c r="H3429" s="40"/>
    </row>
    <row r="3430" spans="6:8" x14ac:dyDescent="0.35">
      <c r="F3430" s="38"/>
      <c r="G3430" s="39"/>
      <c r="H3430" s="40"/>
    </row>
    <row r="3431" spans="6:8" x14ac:dyDescent="0.35">
      <c r="F3431" s="38"/>
      <c r="G3431" s="39"/>
      <c r="H3431" s="40"/>
    </row>
    <row r="3432" spans="6:8" x14ac:dyDescent="0.35">
      <c r="F3432" s="38"/>
      <c r="G3432" s="39"/>
      <c r="H3432" s="40"/>
    </row>
    <row r="3433" spans="6:8" x14ac:dyDescent="0.35">
      <c r="F3433" s="38"/>
      <c r="G3433" s="39"/>
      <c r="H3433" s="40"/>
    </row>
    <row r="3434" spans="6:8" x14ac:dyDescent="0.35">
      <c r="F3434" s="38"/>
      <c r="G3434" s="39"/>
      <c r="H3434" s="40"/>
    </row>
    <row r="3435" spans="6:8" x14ac:dyDescent="0.35">
      <c r="F3435" s="38"/>
      <c r="G3435" s="39"/>
      <c r="H3435" s="40"/>
    </row>
    <row r="3436" spans="6:8" x14ac:dyDescent="0.35">
      <c r="F3436" s="38"/>
      <c r="G3436" s="39"/>
      <c r="H3436" s="40"/>
    </row>
    <row r="3437" spans="6:8" x14ac:dyDescent="0.35">
      <c r="F3437" s="38"/>
      <c r="G3437" s="39"/>
      <c r="H3437" s="40"/>
    </row>
    <row r="3438" spans="6:8" x14ac:dyDescent="0.35">
      <c r="F3438" s="38"/>
      <c r="G3438" s="39"/>
      <c r="H3438" s="40"/>
    </row>
    <row r="3439" spans="6:8" x14ac:dyDescent="0.35">
      <c r="F3439" s="38"/>
      <c r="G3439" s="39"/>
      <c r="H3439" s="40"/>
    </row>
    <row r="3440" spans="6:8" x14ac:dyDescent="0.35">
      <c r="F3440" s="38"/>
      <c r="G3440" s="39"/>
      <c r="H3440" s="40"/>
    </row>
    <row r="3441" spans="6:8" x14ac:dyDescent="0.35">
      <c r="F3441" s="38"/>
      <c r="G3441" s="39"/>
      <c r="H3441" s="40"/>
    </row>
    <row r="3442" spans="6:8" x14ac:dyDescent="0.35">
      <c r="F3442" s="38"/>
      <c r="G3442" s="39"/>
      <c r="H3442" s="40"/>
    </row>
    <row r="3443" spans="6:8" x14ac:dyDescent="0.35">
      <c r="F3443" s="38"/>
      <c r="G3443" s="39"/>
      <c r="H3443" s="40"/>
    </row>
    <row r="3444" spans="6:8" x14ac:dyDescent="0.35">
      <c r="F3444" s="38"/>
      <c r="G3444" s="39"/>
      <c r="H3444" s="40"/>
    </row>
    <row r="3445" spans="6:8" x14ac:dyDescent="0.35">
      <c r="F3445" s="38"/>
      <c r="G3445" s="39"/>
      <c r="H3445" s="40"/>
    </row>
    <row r="3446" spans="6:8" x14ac:dyDescent="0.35">
      <c r="F3446" s="38"/>
      <c r="G3446" s="39"/>
      <c r="H3446" s="40"/>
    </row>
    <row r="3447" spans="6:8" x14ac:dyDescent="0.35">
      <c r="F3447" s="38"/>
      <c r="G3447" s="39"/>
      <c r="H3447" s="40"/>
    </row>
    <row r="3448" spans="6:8" x14ac:dyDescent="0.35">
      <c r="F3448" s="38"/>
      <c r="G3448" s="39"/>
      <c r="H3448" s="40"/>
    </row>
    <row r="3449" spans="6:8" x14ac:dyDescent="0.35">
      <c r="F3449" s="38"/>
      <c r="G3449" s="39"/>
      <c r="H3449" s="40"/>
    </row>
    <row r="3450" spans="6:8" x14ac:dyDescent="0.35">
      <c r="F3450" s="38"/>
      <c r="G3450" s="39"/>
      <c r="H3450" s="40"/>
    </row>
    <row r="3451" spans="6:8" x14ac:dyDescent="0.35">
      <c r="F3451" s="38"/>
      <c r="G3451" s="39"/>
      <c r="H3451" s="40"/>
    </row>
    <row r="3452" spans="6:8" x14ac:dyDescent="0.35">
      <c r="F3452" s="38"/>
      <c r="G3452" s="39"/>
      <c r="H3452" s="40"/>
    </row>
    <row r="3453" spans="6:8" x14ac:dyDescent="0.35">
      <c r="F3453" s="38"/>
      <c r="G3453" s="39"/>
      <c r="H3453" s="40"/>
    </row>
    <row r="3454" spans="6:8" x14ac:dyDescent="0.35">
      <c r="F3454" s="38"/>
      <c r="G3454" s="39"/>
      <c r="H3454" s="40"/>
    </row>
    <row r="3455" spans="6:8" x14ac:dyDescent="0.35">
      <c r="F3455" s="38"/>
      <c r="G3455" s="39"/>
      <c r="H3455" s="40"/>
    </row>
    <row r="3456" spans="6:8" x14ac:dyDescent="0.35">
      <c r="F3456" s="38"/>
      <c r="G3456" s="39"/>
      <c r="H3456" s="40"/>
    </row>
    <row r="3457" spans="6:8" x14ac:dyDescent="0.35">
      <c r="F3457" s="38"/>
      <c r="G3457" s="39"/>
      <c r="H3457" s="40"/>
    </row>
    <row r="3458" spans="6:8" x14ac:dyDescent="0.35">
      <c r="F3458" s="38"/>
      <c r="G3458" s="39"/>
      <c r="H3458" s="40"/>
    </row>
    <row r="3459" spans="6:8" x14ac:dyDescent="0.35">
      <c r="F3459" s="38"/>
      <c r="G3459" s="39"/>
      <c r="H3459" s="40"/>
    </row>
    <row r="3460" spans="6:8" x14ac:dyDescent="0.35">
      <c r="F3460" s="38"/>
      <c r="G3460" s="39"/>
      <c r="H3460" s="40"/>
    </row>
    <row r="3461" spans="6:8" x14ac:dyDescent="0.35">
      <c r="F3461" s="38"/>
      <c r="G3461" s="39"/>
      <c r="H3461" s="40"/>
    </row>
    <row r="3462" spans="6:8" x14ac:dyDescent="0.35">
      <c r="F3462" s="38"/>
      <c r="G3462" s="39"/>
      <c r="H3462" s="40"/>
    </row>
    <row r="3463" spans="6:8" x14ac:dyDescent="0.35">
      <c r="F3463" s="38"/>
      <c r="G3463" s="39"/>
      <c r="H3463" s="40"/>
    </row>
    <row r="3464" spans="6:8" x14ac:dyDescent="0.35">
      <c r="F3464" s="38"/>
      <c r="G3464" s="39"/>
      <c r="H3464" s="40"/>
    </row>
    <row r="3465" spans="6:8" x14ac:dyDescent="0.35">
      <c r="F3465" s="38"/>
      <c r="G3465" s="39"/>
      <c r="H3465" s="40"/>
    </row>
    <row r="3466" spans="6:8" x14ac:dyDescent="0.35">
      <c r="F3466" s="38"/>
      <c r="G3466" s="39"/>
      <c r="H3466" s="40"/>
    </row>
    <row r="3467" spans="6:8" x14ac:dyDescent="0.35">
      <c r="F3467" s="38"/>
      <c r="G3467" s="39"/>
      <c r="H3467" s="40"/>
    </row>
    <row r="3468" spans="6:8" x14ac:dyDescent="0.35">
      <c r="F3468" s="38"/>
      <c r="G3468" s="39"/>
      <c r="H3468" s="40"/>
    </row>
    <row r="3469" spans="6:8" x14ac:dyDescent="0.35">
      <c r="F3469" s="38"/>
      <c r="G3469" s="39"/>
      <c r="H3469" s="40"/>
    </row>
    <row r="3470" spans="6:8" x14ac:dyDescent="0.35">
      <c r="F3470" s="38"/>
      <c r="G3470" s="39"/>
      <c r="H3470" s="40"/>
    </row>
    <row r="3471" spans="6:8" x14ac:dyDescent="0.35">
      <c r="F3471" s="38"/>
      <c r="G3471" s="39"/>
      <c r="H3471" s="40"/>
    </row>
    <row r="3472" spans="6:8" x14ac:dyDescent="0.35">
      <c r="F3472" s="38"/>
      <c r="G3472" s="39"/>
      <c r="H3472" s="40"/>
    </row>
    <row r="3473" spans="6:8" x14ac:dyDescent="0.35">
      <c r="F3473" s="38"/>
      <c r="G3473" s="39"/>
      <c r="H3473" s="40"/>
    </row>
    <row r="3474" spans="6:8" x14ac:dyDescent="0.35">
      <c r="F3474" s="38"/>
      <c r="G3474" s="39"/>
      <c r="H3474" s="40"/>
    </row>
    <row r="3475" spans="6:8" x14ac:dyDescent="0.35">
      <c r="F3475" s="38"/>
      <c r="G3475" s="39"/>
      <c r="H3475" s="40"/>
    </row>
    <row r="3476" spans="6:8" x14ac:dyDescent="0.35">
      <c r="F3476" s="38"/>
      <c r="G3476" s="39"/>
      <c r="H3476" s="40"/>
    </row>
    <row r="3477" spans="6:8" x14ac:dyDescent="0.35">
      <c r="F3477" s="38"/>
      <c r="G3477" s="39"/>
      <c r="H3477" s="40"/>
    </row>
    <row r="3478" spans="6:8" x14ac:dyDescent="0.35">
      <c r="F3478" s="38"/>
      <c r="G3478" s="39"/>
      <c r="H3478" s="40"/>
    </row>
    <row r="3479" spans="6:8" x14ac:dyDescent="0.35">
      <c r="F3479" s="38"/>
      <c r="G3479" s="39"/>
      <c r="H3479" s="40"/>
    </row>
    <row r="3480" spans="6:8" x14ac:dyDescent="0.35">
      <c r="F3480" s="38"/>
      <c r="G3480" s="39"/>
      <c r="H3480" s="40"/>
    </row>
    <row r="3481" spans="6:8" x14ac:dyDescent="0.35">
      <c r="F3481" s="38"/>
      <c r="G3481" s="39"/>
      <c r="H3481" s="40"/>
    </row>
    <row r="3482" spans="6:8" x14ac:dyDescent="0.35">
      <c r="F3482" s="38"/>
      <c r="G3482" s="39"/>
      <c r="H3482" s="40"/>
    </row>
    <row r="3483" spans="6:8" x14ac:dyDescent="0.35">
      <c r="F3483" s="38"/>
      <c r="G3483" s="39"/>
      <c r="H3483" s="40"/>
    </row>
    <row r="3484" spans="6:8" x14ac:dyDescent="0.35">
      <c r="F3484" s="38"/>
      <c r="G3484" s="39"/>
      <c r="H3484" s="40"/>
    </row>
    <row r="3485" spans="6:8" x14ac:dyDescent="0.35">
      <c r="F3485" s="38"/>
      <c r="G3485" s="39"/>
      <c r="H3485" s="40"/>
    </row>
    <row r="3486" spans="6:8" x14ac:dyDescent="0.35">
      <c r="F3486" s="38"/>
      <c r="G3486" s="39"/>
      <c r="H3486" s="40"/>
    </row>
    <row r="3487" spans="6:8" x14ac:dyDescent="0.35">
      <c r="F3487" s="38"/>
      <c r="G3487" s="39"/>
      <c r="H3487" s="40"/>
    </row>
    <row r="3488" spans="6:8" x14ac:dyDescent="0.35">
      <c r="F3488" s="38"/>
      <c r="G3488" s="39"/>
      <c r="H3488" s="40"/>
    </row>
    <row r="3489" spans="6:8" x14ac:dyDescent="0.35">
      <c r="F3489" s="38"/>
      <c r="G3489" s="39"/>
      <c r="H3489" s="40"/>
    </row>
    <row r="3490" spans="6:8" x14ac:dyDescent="0.35">
      <c r="F3490" s="38"/>
      <c r="G3490" s="39"/>
      <c r="H3490" s="40"/>
    </row>
    <row r="3491" spans="6:8" x14ac:dyDescent="0.35">
      <c r="F3491" s="38"/>
      <c r="G3491" s="39"/>
      <c r="H3491" s="40"/>
    </row>
    <row r="3492" spans="6:8" x14ac:dyDescent="0.35">
      <c r="F3492" s="38"/>
      <c r="G3492" s="39"/>
      <c r="H3492" s="40"/>
    </row>
    <row r="3493" spans="6:8" x14ac:dyDescent="0.35">
      <c r="F3493" s="38"/>
      <c r="G3493" s="39"/>
      <c r="H3493" s="40"/>
    </row>
    <row r="3494" spans="6:8" x14ac:dyDescent="0.35">
      <c r="F3494" s="38"/>
      <c r="G3494" s="39"/>
      <c r="H3494" s="40"/>
    </row>
    <row r="3495" spans="6:8" x14ac:dyDescent="0.35">
      <c r="F3495" s="38"/>
      <c r="G3495" s="39"/>
      <c r="H3495" s="40"/>
    </row>
    <row r="3496" spans="6:8" x14ac:dyDescent="0.35">
      <c r="F3496" s="38"/>
      <c r="G3496" s="39"/>
      <c r="H3496" s="40"/>
    </row>
    <row r="3497" spans="6:8" x14ac:dyDescent="0.35">
      <c r="F3497" s="38"/>
      <c r="G3497" s="39"/>
      <c r="H3497" s="40"/>
    </row>
    <row r="3498" spans="6:8" x14ac:dyDescent="0.35">
      <c r="F3498" s="38"/>
      <c r="G3498" s="39"/>
      <c r="H3498" s="40"/>
    </row>
    <row r="3499" spans="6:8" x14ac:dyDescent="0.35">
      <c r="F3499" s="38"/>
      <c r="G3499" s="39"/>
      <c r="H3499" s="40"/>
    </row>
    <row r="3500" spans="6:8" x14ac:dyDescent="0.35">
      <c r="F3500" s="38"/>
      <c r="G3500" s="39"/>
      <c r="H3500" s="40"/>
    </row>
    <row r="3501" spans="6:8" x14ac:dyDescent="0.35">
      <c r="F3501" s="38"/>
      <c r="G3501" s="39"/>
      <c r="H3501" s="40"/>
    </row>
    <row r="3502" spans="6:8" x14ac:dyDescent="0.35">
      <c r="F3502" s="38"/>
      <c r="G3502" s="39"/>
      <c r="H3502" s="40"/>
    </row>
    <row r="3503" spans="6:8" x14ac:dyDescent="0.35">
      <c r="F3503" s="38"/>
      <c r="G3503" s="39"/>
      <c r="H3503" s="40"/>
    </row>
    <row r="3504" spans="6:8" x14ac:dyDescent="0.35">
      <c r="F3504" s="38"/>
      <c r="G3504" s="39"/>
      <c r="H3504" s="40"/>
    </row>
    <row r="3505" spans="6:8" x14ac:dyDescent="0.35">
      <c r="F3505" s="38"/>
      <c r="G3505" s="39"/>
      <c r="H3505" s="40"/>
    </row>
    <row r="3506" spans="6:8" x14ac:dyDescent="0.35">
      <c r="F3506" s="38"/>
      <c r="G3506" s="39"/>
      <c r="H3506" s="40"/>
    </row>
    <row r="3507" spans="6:8" x14ac:dyDescent="0.35">
      <c r="F3507" s="38"/>
      <c r="G3507" s="39"/>
      <c r="H3507" s="40"/>
    </row>
    <row r="3508" spans="6:8" x14ac:dyDescent="0.35">
      <c r="F3508" s="38"/>
      <c r="G3508" s="39"/>
      <c r="H3508" s="40"/>
    </row>
    <row r="3509" spans="6:8" x14ac:dyDescent="0.35">
      <c r="F3509" s="38"/>
      <c r="G3509" s="39"/>
      <c r="H3509" s="40"/>
    </row>
    <row r="3510" spans="6:8" x14ac:dyDescent="0.35">
      <c r="F3510" s="38"/>
      <c r="G3510" s="39"/>
      <c r="H3510" s="40"/>
    </row>
    <row r="3511" spans="6:8" x14ac:dyDescent="0.35">
      <c r="F3511" s="38"/>
      <c r="G3511" s="39"/>
      <c r="H3511" s="40"/>
    </row>
    <row r="3512" spans="6:8" x14ac:dyDescent="0.35">
      <c r="F3512" s="38"/>
      <c r="G3512" s="39"/>
      <c r="H3512" s="40"/>
    </row>
    <row r="3513" spans="6:8" x14ac:dyDescent="0.35">
      <c r="F3513" s="38"/>
      <c r="G3513" s="39"/>
      <c r="H3513" s="40"/>
    </row>
    <row r="3514" spans="6:8" x14ac:dyDescent="0.35">
      <c r="F3514" s="38"/>
      <c r="G3514" s="39"/>
      <c r="H3514" s="40"/>
    </row>
    <row r="3515" spans="6:8" x14ac:dyDescent="0.35">
      <c r="F3515" s="38"/>
      <c r="G3515" s="39"/>
      <c r="H3515" s="40"/>
    </row>
    <row r="3516" spans="6:8" x14ac:dyDescent="0.35">
      <c r="F3516" s="38"/>
      <c r="G3516" s="39"/>
      <c r="H3516" s="40"/>
    </row>
    <row r="3517" spans="6:8" x14ac:dyDescent="0.35">
      <c r="F3517" s="38"/>
      <c r="G3517" s="39"/>
      <c r="H3517" s="40"/>
    </row>
    <row r="3518" spans="6:8" x14ac:dyDescent="0.35">
      <c r="F3518" s="38"/>
      <c r="G3518" s="39"/>
      <c r="H3518" s="40"/>
    </row>
    <row r="3519" spans="6:8" x14ac:dyDescent="0.35">
      <c r="F3519" s="38"/>
      <c r="G3519" s="39"/>
      <c r="H3519" s="40"/>
    </row>
    <row r="3520" spans="6:8" x14ac:dyDescent="0.35">
      <c r="F3520" s="38"/>
      <c r="G3520" s="39"/>
      <c r="H3520" s="40"/>
    </row>
    <row r="3521" spans="6:8" x14ac:dyDescent="0.35">
      <c r="F3521" s="38"/>
      <c r="G3521" s="39"/>
      <c r="H3521" s="40"/>
    </row>
    <row r="3522" spans="6:8" x14ac:dyDescent="0.35">
      <c r="F3522" s="38"/>
      <c r="G3522" s="39"/>
      <c r="H3522" s="40"/>
    </row>
    <row r="3523" spans="6:8" x14ac:dyDescent="0.35">
      <c r="F3523" s="38"/>
      <c r="G3523" s="39"/>
      <c r="H3523" s="40"/>
    </row>
    <row r="3524" spans="6:8" x14ac:dyDescent="0.35">
      <c r="F3524" s="38"/>
      <c r="G3524" s="39"/>
      <c r="H3524" s="40"/>
    </row>
    <row r="3525" spans="6:8" x14ac:dyDescent="0.35">
      <c r="F3525" s="38"/>
      <c r="G3525" s="39"/>
      <c r="H3525" s="40"/>
    </row>
    <row r="3526" spans="6:8" x14ac:dyDescent="0.35">
      <c r="F3526" s="38"/>
      <c r="G3526" s="39"/>
      <c r="H3526" s="40"/>
    </row>
    <row r="3527" spans="6:8" x14ac:dyDescent="0.35">
      <c r="F3527" s="38"/>
      <c r="G3527" s="39"/>
      <c r="H3527" s="40"/>
    </row>
    <row r="3528" spans="6:8" x14ac:dyDescent="0.35">
      <c r="F3528" s="38"/>
      <c r="G3528" s="39"/>
      <c r="H3528" s="40"/>
    </row>
    <row r="3529" spans="6:8" x14ac:dyDescent="0.35">
      <c r="F3529" s="38"/>
      <c r="G3529" s="39"/>
      <c r="H3529" s="40"/>
    </row>
    <row r="3530" spans="6:8" x14ac:dyDescent="0.35">
      <c r="F3530" s="38"/>
      <c r="G3530" s="39"/>
      <c r="H3530" s="40"/>
    </row>
    <row r="3531" spans="6:8" x14ac:dyDescent="0.35">
      <c r="F3531" s="38"/>
      <c r="G3531" s="39"/>
      <c r="H3531" s="40"/>
    </row>
    <row r="3532" spans="6:8" x14ac:dyDescent="0.35">
      <c r="F3532" s="38"/>
      <c r="G3532" s="39"/>
      <c r="H3532" s="40"/>
    </row>
    <row r="3533" spans="6:8" x14ac:dyDescent="0.35">
      <c r="F3533" s="38"/>
      <c r="G3533" s="39"/>
      <c r="H3533" s="40"/>
    </row>
    <row r="3534" spans="6:8" x14ac:dyDescent="0.35">
      <c r="F3534" s="38"/>
      <c r="G3534" s="39"/>
      <c r="H3534" s="40"/>
    </row>
    <row r="3535" spans="6:8" x14ac:dyDescent="0.35">
      <c r="F3535" s="38"/>
      <c r="G3535" s="39"/>
      <c r="H3535" s="40"/>
    </row>
    <row r="3536" spans="6:8" x14ac:dyDescent="0.35">
      <c r="F3536" s="38"/>
      <c r="G3536" s="39"/>
      <c r="H3536" s="40"/>
    </row>
    <row r="3537" spans="6:8" x14ac:dyDescent="0.35">
      <c r="F3537" s="38"/>
      <c r="G3537" s="39"/>
      <c r="H3537" s="40"/>
    </row>
    <row r="3538" spans="6:8" x14ac:dyDescent="0.35">
      <c r="F3538" s="38"/>
      <c r="G3538" s="39"/>
      <c r="H3538" s="40"/>
    </row>
    <row r="3539" spans="6:8" x14ac:dyDescent="0.35">
      <c r="F3539" s="38"/>
      <c r="G3539" s="39"/>
      <c r="H3539" s="40"/>
    </row>
    <row r="3540" spans="6:8" x14ac:dyDescent="0.35">
      <c r="F3540" s="38"/>
      <c r="G3540" s="39"/>
      <c r="H3540" s="40"/>
    </row>
    <row r="3541" spans="6:8" x14ac:dyDescent="0.35">
      <c r="F3541" s="38"/>
      <c r="G3541" s="39"/>
      <c r="H3541" s="40"/>
    </row>
    <row r="3542" spans="6:8" x14ac:dyDescent="0.35">
      <c r="F3542" s="38"/>
      <c r="G3542" s="39"/>
      <c r="H3542" s="40"/>
    </row>
    <row r="3543" spans="6:8" x14ac:dyDescent="0.35">
      <c r="F3543" s="38"/>
      <c r="G3543" s="39"/>
      <c r="H3543" s="40"/>
    </row>
    <row r="3544" spans="6:8" x14ac:dyDescent="0.35">
      <c r="F3544" s="38"/>
      <c r="G3544" s="39"/>
      <c r="H3544" s="40"/>
    </row>
    <row r="3545" spans="6:8" x14ac:dyDescent="0.35">
      <c r="F3545" s="38"/>
      <c r="G3545" s="39"/>
      <c r="H3545" s="40"/>
    </row>
    <row r="3546" spans="6:8" x14ac:dyDescent="0.35">
      <c r="F3546" s="38"/>
      <c r="G3546" s="39"/>
      <c r="H3546" s="40"/>
    </row>
    <row r="3547" spans="6:8" x14ac:dyDescent="0.35">
      <c r="F3547" s="38"/>
      <c r="G3547" s="39"/>
      <c r="H3547" s="40"/>
    </row>
    <row r="3548" spans="6:8" x14ac:dyDescent="0.35">
      <c r="F3548" s="38"/>
      <c r="G3548" s="39"/>
      <c r="H3548" s="40"/>
    </row>
    <row r="3549" spans="6:8" x14ac:dyDescent="0.35">
      <c r="F3549" s="38"/>
      <c r="G3549" s="39"/>
      <c r="H3549" s="40"/>
    </row>
    <row r="3550" spans="6:8" x14ac:dyDescent="0.35">
      <c r="F3550" s="38"/>
      <c r="G3550" s="39"/>
      <c r="H3550" s="40"/>
    </row>
    <row r="3551" spans="6:8" x14ac:dyDescent="0.35">
      <c r="F3551" s="38"/>
      <c r="G3551" s="39"/>
      <c r="H3551" s="40"/>
    </row>
    <row r="3552" spans="6:8" x14ac:dyDescent="0.35">
      <c r="F3552" s="38"/>
      <c r="G3552" s="39"/>
      <c r="H3552" s="40"/>
    </row>
    <row r="3553" spans="6:8" x14ac:dyDescent="0.35">
      <c r="F3553" s="38"/>
      <c r="G3553" s="39"/>
      <c r="H3553" s="40"/>
    </row>
    <row r="3554" spans="6:8" x14ac:dyDescent="0.35">
      <c r="F3554" s="38"/>
      <c r="G3554" s="39"/>
      <c r="H3554" s="40"/>
    </row>
    <row r="3555" spans="6:8" x14ac:dyDescent="0.35">
      <c r="F3555" s="38"/>
      <c r="G3555" s="39"/>
      <c r="H3555" s="40"/>
    </row>
    <row r="3556" spans="6:8" x14ac:dyDescent="0.35">
      <c r="F3556" s="38"/>
      <c r="G3556" s="39"/>
      <c r="H3556" s="40"/>
    </row>
    <row r="3557" spans="6:8" x14ac:dyDescent="0.35">
      <c r="F3557" s="38"/>
      <c r="G3557" s="39"/>
      <c r="H3557" s="40"/>
    </row>
    <row r="3558" spans="6:8" x14ac:dyDescent="0.35">
      <c r="F3558" s="38"/>
      <c r="G3558" s="39"/>
      <c r="H3558" s="40"/>
    </row>
    <row r="3559" spans="6:8" x14ac:dyDescent="0.35">
      <c r="F3559" s="38"/>
      <c r="G3559" s="39"/>
      <c r="H3559" s="40"/>
    </row>
    <row r="3560" spans="6:8" x14ac:dyDescent="0.35">
      <c r="F3560" s="38"/>
      <c r="G3560" s="39"/>
      <c r="H3560" s="40"/>
    </row>
    <row r="3561" spans="6:8" x14ac:dyDescent="0.35">
      <c r="F3561" s="38"/>
      <c r="G3561" s="39"/>
      <c r="H3561" s="40"/>
    </row>
    <row r="3562" spans="6:8" x14ac:dyDescent="0.35">
      <c r="F3562" s="38"/>
      <c r="G3562" s="39"/>
      <c r="H3562" s="40"/>
    </row>
    <row r="3563" spans="6:8" x14ac:dyDescent="0.35">
      <c r="F3563" s="38"/>
      <c r="G3563" s="39"/>
      <c r="H3563" s="40"/>
    </row>
    <row r="3564" spans="6:8" x14ac:dyDescent="0.35">
      <c r="F3564" s="38"/>
      <c r="G3564" s="39"/>
      <c r="H3564" s="40"/>
    </row>
    <row r="3565" spans="6:8" x14ac:dyDescent="0.35">
      <c r="F3565" s="38"/>
      <c r="G3565" s="39"/>
      <c r="H3565" s="40"/>
    </row>
    <row r="3566" spans="6:8" x14ac:dyDescent="0.35">
      <c r="F3566" s="38"/>
      <c r="G3566" s="39"/>
      <c r="H3566" s="40"/>
    </row>
    <row r="3567" spans="6:8" x14ac:dyDescent="0.35">
      <c r="F3567" s="38"/>
      <c r="G3567" s="39"/>
      <c r="H3567" s="40"/>
    </row>
    <row r="3568" spans="6:8" x14ac:dyDescent="0.35">
      <c r="F3568" s="38"/>
      <c r="G3568" s="39"/>
      <c r="H3568" s="40"/>
    </row>
    <row r="3569" spans="6:8" x14ac:dyDescent="0.35">
      <c r="F3569" s="38"/>
      <c r="G3569" s="39"/>
      <c r="H3569" s="40"/>
    </row>
    <row r="3570" spans="6:8" x14ac:dyDescent="0.35">
      <c r="F3570" s="38"/>
      <c r="G3570" s="39"/>
      <c r="H3570" s="40"/>
    </row>
    <row r="3571" spans="6:8" x14ac:dyDescent="0.35">
      <c r="F3571" s="38"/>
      <c r="G3571" s="39"/>
      <c r="H3571" s="40"/>
    </row>
    <row r="3572" spans="6:8" x14ac:dyDescent="0.35">
      <c r="F3572" s="38"/>
      <c r="G3572" s="39"/>
      <c r="H3572" s="40"/>
    </row>
    <row r="3573" spans="6:8" x14ac:dyDescent="0.35">
      <c r="F3573" s="38"/>
      <c r="G3573" s="39"/>
      <c r="H3573" s="40"/>
    </row>
    <row r="3574" spans="6:8" x14ac:dyDescent="0.35">
      <c r="F3574" s="38"/>
      <c r="G3574" s="39"/>
      <c r="H3574" s="40"/>
    </row>
    <row r="3575" spans="6:8" x14ac:dyDescent="0.35">
      <c r="F3575" s="38"/>
      <c r="G3575" s="39"/>
      <c r="H3575" s="40"/>
    </row>
    <row r="3576" spans="6:8" x14ac:dyDescent="0.35">
      <c r="F3576" s="38"/>
      <c r="G3576" s="39"/>
      <c r="H3576" s="40"/>
    </row>
    <row r="3577" spans="6:8" x14ac:dyDescent="0.35">
      <c r="F3577" s="38"/>
      <c r="G3577" s="39"/>
      <c r="H3577" s="40"/>
    </row>
    <row r="3578" spans="6:8" x14ac:dyDescent="0.35">
      <c r="F3578" s="38"/>
      <c r="G3578" s="39"/>
      <c r="H3578" s="40"/>
    </row>
    <row r="3579" spans="6:8" x14ac:dyDescent="0.35">
      <c r="F3579" s="38"/>
      <c r="G3579" s="39"/>
      <c r="H3579" s="40"/>
    </row>
    <row r="3580" spans="6:8" x14ac:dyDescent="0.35">
      <c r="F3580" s="38"/>
      <c r="G3580" s="39"/>
      <c r="H3580" s="40"/>
    </row>
    <row r="3581" spans="6:8" x14ac:dyDescent="0.35">
      <c r="F3581" s="38"/>
      <c r="G3581" s="39"/>
      <c r="H3581" s="40"/>
    </row>
    <row r="3582" spans="6:8" x14ac:dyDescent="0.35">
      <c r="F3582" s="38"/>
      <c r="G3582" s="39"/>
      <c r="H3582" s="40"/>
    </row>
    <row r="3583" spans="6:8" x14ac:dyDescent="0.35">
      <c r="F3583" s="38"/>
      <c r="G3583" s="39"/>
      <c r="H3583" s="40"/>
    </row>
    <row r="3584" spans="6:8" x14ac:dyDescent="0.35">
      <c r="F3584" s="38"/>
      <c r="G3584" s="39"/>
      <c r="H3584" s="40"/>
    </row>
    <row r="3585" spans="6:8" x14ac:dyDescent="0.35">
      <c r="F3585" s="38"/>
      <c r="G3585" s="39"/>
      <c r="H3585" s="40"/>
    </row>
    <row r="3586" spans="6:8" x14ac:dyDescent="0.35">
      <c r="F3586" s="38"/>
      <c r="G3586" s="39"/>
      <c r="H3586" s="40"/>
    </row>
    <row r="3587" spans="6:8" x14ac:dyDescent="0.35">
      <c r="F3587" s="38"/>
      <c r="G3587" s="39"/>
      <c r="H3587" s="40"/>
    </row>
    <row r="3588" spans="6:8" x14ac:dyDescent="0.35">
      <c r="F3588" s="38"/>
      <c r="G3588" s="39"/>
      <c r="H3588" s="40"/>
    </row>
    <row r="3589" spans="6:8" x14ac:dyDescent="0.35">
      <c r="F3589" s="38"/>
      <c r="G3589" s="39"/>
      <c r="H3589" s="40"/>
    </row>
    <row r="3590" spans="6:8" x14ac:dyDescent="0.35">
      <c r="F3590" s="38"/>
      <c r="G3590" s="39"/>
      <c r="H3590" s="40"/>
    </row>
    <row r="3591" spans="6:8" x14ac:dyDescent="0.35">
      <c r="F3591" s="38"/>
      <c r="G3591" s="39"/>
      <c r="H3591" s="40"/>
    </row>
    <row r="3592" spans="6:8" x14ac:dyDescent="0.35">
      <c r="F3592" s="38"/>
      <c r="G3592" s="39"/>
      <c r="H3592" s="40"/>
    </row>
    <row r="3593" spans="6:8" x14ac:dyDescent="0.35">
      <c r="F3593" s="38"/>
      <c r="G3593" s="39"/>
      <c r="H3593" s="40"/>
    </row>
    <row r="3594" spans="6:8" x14ac:dyDescent="0.35">
      <c r="F3594" s="38"/>
      <c r="G3594" s="39"/>
      <c r="H3594" s="40"/>
    </row>
    <row r="3595" spans="6:8" x14ac:dyDescent="0.35">
      <c r="F3595" s="38"/>
      <c r="G3595" s="39"/>
      <c r="H3595" s="40"/>
    </row>
    <row r="3596" spans="6:8" x14ac:dyDescent="0.35">
      <c r="F3596" s="38"/>
      <c r="G3596" s="39"/>
      <c r="H3596" s="40"/>
    </row>
    <row r="3597" spans="6:8" x14ac:dyDescent="0.35">
      <c r="F3597" s="38"/>
      <c r="G3597" s="39"/>
      <c r="H3597" s="40"/>
    </row>
    <row r="3598" spans="6:8" x14ac:dyDescent="0.35">
      <c r="F3598" s="38"/>
      <c r="G3598" s="39"/>
      <c r="H3598" s="40"/>
    </row>
    <row r="3599" spans="6:8" x14ac:dyDescent="0.35">
      <c r="F3599" s="38"/>
      <c r="G3599" s="39"/>
      <c r="H3599" s="40"/>
    </row>
    <row r="3600" spans="6:8" x14ac:dyDescent="0.35">
      <c r="F3600" s="38"/>
      <c r="G3600" s="39"/>
      <c r="H3600" s="40"/>
    </row>
    <row r="3601" spans="6:8" x14ac:dyDescent="0.35">
      <c r="F3601" s="38"/>
      <c r="G3601" s="39"/>
      <c r="H3601" s="40"/>
    </row>
    <row r="3602" spans="6:8" x14ac:dyDescent="0.35">
      <c r="F3602" s="38"/>
      <c r="G3602" s="39"/>
      <c r="H3602" s="40"/>
    </row>
    <row r="3603" spans="6:8" x14ac:dyDescent="0.35">
      <c r="F3603" s="38"/>
      <c r="G3603" s="39"/>
      <c r="H3603" s="40"/>
    </row>
    <row r="3604" spans="6:8" x14ac:dyDescent="0.35">
      <c r="F3604" s="38"/>
      <c r="G3604" s="39"/>
      <c r="H3604" s="40"/>
    </row>
    <row r="3605" spans="6:8" x14ac:dyDescent="0.35">
      <c r="F3605" s="38"/>
      <c r="G3605" s="39"/>
      <c r="H3605" s="40"/>
    </row>
    <row r="3606" spans="6:8" x14ac:dyDescent="0.35">
      <c r="F3606" s="38"/>
      <c r="G3606" s="39"/>
      <c r="H3606" s="40"/>
    </row>
    <row r="3607" spans="6:8" x14ac:dyDescent="0.35">
      <c r="F3607" s="38"/>
      <c r="G3607" s="39"/>
      <c r="H3607" s="40"/>
    </row>
    <row r="3608" spans="6:8" x14ac:dyDescent="0.35">
      <c r="F3608" s="38"/>
      <c r="G3608" s="39"/>
      <c r="H3608" s="40"/>
    </row>
    <row r="3609" spans="6:8" x14ac:dyDescent="0.35">
      <c r="F3609" s="38"/>
      <c r="G3609" s="39"/>
      <c r="H3609" s="40"/>
    </row>
    <row r="3610" spans="6:8" x14ac:dyDescent="0.35">
      <c r="F3610" s="38"/>
      <c r="G3610" s="39"/>
      <c r="H3610" s="40"/>
    </row>
    <row r="3611" spans="6:8" x14ac:dyDescent="0.35">
      <c r="F3611" s="38"/>
      <c r="G3611" s="39"/>
      <c r="H3611" s="40"/>
    </row>
    <row r="3612" spans="6:8" x14ac:dyDescent="0.35">
      <c r="F3612" s="38"/>
      <c r="G3612" s="39"/>
      <c r="H3612" s="40"/>
    </row>
    <row r="3613" spans="6:8" x14ac:dyDescent="0.35">
      <c r="F3613" s="38"/>
      <c r="G3613" s="39"/>
      <c r="H3613" s="40"/>
    </row>
    <row r="3614" spans="6:8" x14ac:dyDescent="0.35">
      <c r="F3614" s="38"/>
      <c r="G3614" s="39"/>
      <c r="H3614" s="40"/>
    </row>
    <row r="3615" spans="6:8" x14ac:dyDescent="0.35">
      <c r="F3615" s="38"/>
      <c r="G3615" s="39"/>
      <c r="H3615" s="40"/>
    </row>
    <row r="3616" spans="6:8" x14ac:dyDescent="0.35">
      <c r="F3616" s="38"/>
      <c r="G3616" s="39"/>
      <c r="H3616" s="40"/>
    </row>
    <row r="3617" spans="6:8" x14ac:dyDescent="0.35">
      <c r="F3617" s="38"/>
      <c r="G3617" s="39"/>
      <c r="H3617" s="40"/>
    </row>
    <row r="3618" spans="6:8" x14ac:dyDescent="0.35">
      <c r="F3618" s="38"/>
      <c r="G3618" s="39"/>
      <c r="H3618" s="40"/>
    </row>
    <row r="3619" spans="6:8" x14ac:dyDescent="0.35">
      <c r="F3619" s="38"/>
      <c r="G3619" s="39"/>
      <c r="H3619" s="40"/>
    </row>
    <row r="3620" spans="6:8" x14ac:dyDescent="0.35">
      <c r="F3620" s="38"/>
      <c r="G3620" s="39"/>
      <c r="H3620" s="40"/>
    </row>
    <row r="3621" spans="6:8" x14ac:dyDescent="0.35">
      <c r="F3621" s="38"/>
      <c r="G3621" s="39"/>
      <c r="H3621" s="40"/>
    </row>
    <row r="3622" spans="6:8" x14ac:dyDescent="0.35">
      <c r="F3622" s="38"/>
      <c r="G3622" s="39"/>
      <c r="H3622" s="40"/>
    </row>
    <row r="3623" spans="6:8" x14ac:dyDescent="0.35">
      <c r="F3623" s="38"/>
      <c r="G3623" s="39"/>
      <c r="H3623" s="40"/>
    </row>
    <row r="3624" spans="6:8" x14ac:dyDescent="0.35">
      <c r="F3624" s="38"/>
      <c r="G3624" s="39"/>
      <c r="H3624" s="40"/>
    </row>
    <row r="3625" spans="6:8" x14ac:dyDescent="0.35">
      <c r="F3625" s="38"/>
      <c r="G3625" s="39"/>
      <c r="H3625" s="40"/>
    </row>
    <row r="3626" spans="6:8" x14ac:dyDescent="0.35">
      <c r="F3626" s="38"/>
      <c r="G3626" s="39"/>
      <c r="H3626" s="40"/>
    </row>
    <row r="3627" spans="6:8" x14ac:dyDescent="0.35">
      <c r="F3627" s="38"/>
      <c r="G3627" s="39"/>
      <c r="H3627" s="40"/>
    </row>
    <row r="3628" spans="6:8" x14ac:dyDescent="0.35">
      <c r="F3628" s="38"/>
      <c r="G3628" s="39"/>
      <c r="H3628" s="40"/>
    </row>
    <row r="3629" spans="6:8" x14ac:dyDescent="0.35">
      <c r="F3629" s="38"/>
      <c r="G3629" s="39"/>
      <c r="H3629" s="40"/>
    </row>
    <row r="3630" spans="6:8" x14ac:dyDescent="0.35">
      <c r="F3630" s="38"/>
      <c r="G3630" s="39"/>
      <c r="H3630" s="40"/>
    </row>
    <row r="3631" spans="6:8" x14ac:dyDescent="0.35">
      <c r="F3631" s="38"/>
      <c r="G3631" s="39"/>
      <c r="H3631" s="40"/>
    </row>
    <row r="3632" spans="6:8" x14ac:dyDescent="0.35">
      <c r="F3632" s="38"/>
      <c r="G3632" s="39"/>
      <c r="H3632" s="40"/>
    </row>
    <row r="3633" spans="6:8" x14ac:dyDescent="0.35">
      <c r="F3633" s="38"/>
      <c r="G3633" s="39"/>
      <c r="H3633" s="40"/>
    </row>
    <row r="3634" spans="6:8" x14ac:dyDescent="0.35">
      <c r="F3634" s="38"/>
      <c r="G3634" s="39"/>
      <c r="H3634" s="40"/>
    </row>
    <row r="3635" spans="6:8" x14ac:dyDescent="0.35">
      <c r="F3635" s="38"/>
      <c r="G3635" s="39"/>
      <c r="H3635" s="40"/>
    </row>
    <row r="3636" spans="6:8" x14ac:dyDescent="0.35">
      <c r="F3636" s="38"/>
      <c r="G3636" s="39"/>
      <c r="H3636" s="40"/>
    </row>
    <row r="3637" spans="6:8" x14ac:dyDescent="0.35">
      <c r="F3637" s="38"/>
      <c r="G3637" s="39"/>
      <c r="H3637" s="40"/>
    </row>
    <row r="3638" spans="6:8" x14ac:dyDescent="0.35">
      <c r="F3638" s="38"/>
      <c r="G3638" s="39"/>
      <c r="H3638" s="40"/>
    </row>
    <row r="3639" spans="6:8" x14ac:dyDescent="0.35">
      <c r="F3639" s="38"/>
      <c r="G3639" s="39"/>
      <c r="H3639" s="40"/>
    </row>
    <row r="3640" spans="6:8" x14ac:dyDescent="0.35">
      <c r="F3640" s="38"/>
      <c r="G3640" s="39"/>
      <c r="H3640" s="40"/>
    </row>
    <row r="3641" spans="6:8" x14ac:dyDescent="0.35">
      <c r="F3641" s="38"/>
      <c r="G3641" s="39"/>
      <c r="H3641" s="40"/>
    </row>
    <row r="3642" spans="6:8" x14ac:dyDescent="0.35">
      <c r="F3642" s="38"/>
      <c r="G3642" s="39"/>
      <c r="H3642" s="40"/>
    </row>
    <row r="3643" spans="6:8" x14ac:dyDescent="0.35">
      <c r="F3643" s="38"/>
      <c r="G3643" s="39"/>
      <c r="H3643" s="40"/>
    </row>
    <row r="3644" spans="6:8" x14ac:dyDescent="0.35">
      <c r="F3644" s="38"/>
      <c r="G3644" s="39"/>
      <c r="H3644" s="40"/>
    </row>
    <row r="3645" spans="6:8" x14ac:dyDescent="0.35">
      <c r="F3645" s="38"/>
      <c r="G3645" s="39"/>
      <c r="H3645" s="40"/>
    </row>
    <row r="3646" spans="6:8" x14ac:dyDescent="0.35">
      <c r="F3646" s="38"/>
      <c r="G3646" s="39"/>
      <c r="H3646" s="40"/>
    </row>
    <row r="3647" spans="6:8" x14ac:dyDescent="0.35">
      <c r="F3647" s="38"/>
      <c r="G3647" s="39"/>
      <c r="H3647" s="40"/>
    </row>
    <row r="3648" spans="6:8" x14ac:dyDescent="0.35">
      <c r="F3648" s="38"/>
      <c r="G3648" s="39"/>
      <c r="H3648" s="40"/>
    </row>
    <row r="3649" spans="6:8" x14ac:dyDescent="0.35">
      <c r="F3649" s="38"/>
      <c r="G3649" s="39"/>
      <c r="H3649" s="40"/>
    </row>
    <row r="3650" spans="6:8" x14ac:dyDescent="0.35">
      <c r="F3650" s="38"/>
      <c r="G3650" s="39"/>
      <c r="H3650" s="40"/>
    </row>
    <row r="3651" spans="6:8" x14ac:dyDescent="0.35">
      <c r="F3651" s="38"/>
      <c r="G3651" s="39"/>
      <c r="H3651" s="40"/>
    </row>
    <row r="3652" spans="6:8" x14ac:dyDescent="0.35">
      <c r="F3652" s="38"/>
      <c r="G3652" s="39"/>
      <c r="H3652" s="40"/>
    </row>
    <row r="3653" spans="6:8" x14ac:dyDescent="0.35">
      <c r="F3653" s="38"/>
      <c r="G3653" s="39"/>
      <c r="H3653" s="40"/>
    </row>
    <row r="3654" spans="6:8" x14ac:dyDescent="0.35">
      <c r="F3654" s="38"/>
      <c r="G3654" s="39"/>
      <c r="H3654" s="40"/>
    </row>
    <row r="3655" spans="6:8" x14ac:dyDescent="0.35">
      <c r="F3655" s="38"/>
      <c r="G3655" s="39"/>
      <c r="H3655" s="40"/>
    </row>
    <row r="3656" spans="6:8" x14ac:dyDescent="0.35">
      <c r="F3656" s="38"/>
      <c r="G3656" s="39"/>
      <c r="H3656" s="40"/>
    </row>
    <row r="3657" spans="6:8" x14ac:dyDescent="0.35">
      <c r="F3657" s="38"/>
      <c r="G3657" s="39"/>
      <c r="H3657" s="40"/>
    </row>
    <row r="3658" spans="6:8" x14ac:dyDescent="0.35">
      <c r="F3658" s="38"/>
      <c r="G3658" s="39"/>
      <c r="H3658" s="40"/>
    </row>
    <row r="3659" spans="6:8" x14ac:dyDescent="0.35">
      <c r="F3659" s="38"/>
      <c r="G3659" s="39"/>
      <c r="H3659" s="40"/>
    </row>
    <row r="3660" spans="6:8" x14ac:dyDescent="0.35">
      <c r="F3660" s="38"/>
      <c r="G3660" s="39"/>
      <c r="H3660" s="40"/>
    </row>
    <row r="3661" spans="6:8" x14ac:dyDescent="0.35">
      <c r="F3661" s="38"/>
      <c r="G3661" s="39"/>
      <c r="H3661" s="40"/>
    </row>
    <row r="3662" spans="6:8" x14ac:dyDescent="0.35">
      <c r="F3662" s="38"/>
      <c r="G3662" s="39"/>
      <c r="H3662" s="40"/>
    </row>
    <row r="3663" spans="6:8" x14ac:dyDescent="0.35">
      <c r="F3663" s="38"/>
      <c r="G3663" s="39"/>
      <c r="H3663" s="40"/>
    </row>
    <row r="3664" spans="6:8" x14ac:dyDescent="0.35">
      <c r="F3664" s="38"/>
      <c r="G3664" s="39"/>
      <c r="H3664" s="40"/>
    </row>
    <row r="3665" spans="6:8" x14ac:dyDescent="0.35">
      <c r="F3665" s="38"/>
      <c r="G3665" s="39"/>
      <c r="H3665" s="40"/>
    </row>
    <row r="3666" spans="6:8" x14ac:dyDescent="0.35">
      <c r="F3666" s="38"/>
      <c r="G3666" s="39"/>
      <c r="H3666" s="40"/>
    </row>
    <row r="3667" spans="6:8" x14ac:dyDescent="0.35">
      <c r="F3667" s="38"/>
      <c r="G3667" s="39"/>
      <c r="H3667" s="40"/>
    </row>
    <row r="3668" spans="6:8" x14ac:dyDescent="0.35">
      <c r="F3668" s="38"/>
      <c r="G3668" s="39"/>
      <c r="H3668" s="40"/>
    </row>
    <row r="3669" spans="6:8" x14ac:dyDescent="0.35">
      <c r="F3669" s="38"/>
      <c r="G3669" s="39"/>
      <c r="H3669" s="40"/>
    </row>
    <row r="3670" spans="6:8" x14ac:dyDescent="0.35">
      <c r="F3670" s="38"/>
      <c r="G3670" s="39"/>
      <c r="H3670" s="40"/>
    </row>
    <row r="3671" spans="6:8" x14ac:dyDescent="0.35">
      <c r="F3671" s="38"/>
      <c r="G3671" s="39"/>
      <c r="H3671" s="40"/>
    </row>
    <row r="3672" spans="6:8" x14ac:dyDescent="0.35">
      <c r="F3672" s="38"/>
      <c r="G3672" s="39"/>
      <c r="H3672" s="40"/>
    </row>
    <row r="3673" spans="6:8" x14ac:dyDescent="0.35">
      <c r="F3673" s="38"/>
      <c r="G3673" s="39"/>
      <c r="H3673" s="40"/>
    </row>
    <row r="3674" spans="6:8" x14ac:dyDescent="0.35">
      <c r="F3674" s="38"/>
      <c r="G3674" s="39"/>
      <c r="H3674" s="40"/>
    </row>
    <row r="3675" spans="6:8" x14ac:dyDescent="0.35">
      <c r="F3675" s="38"/>
      <c r="G3675" s="39"/>
      <c r="H3675" s="40"/>
    </row>
    <row r="3676" spans="6:8" x14ac:dyDescent="0.35">
      <c r="F3676" s="38"/>
      <c r="G3676" s="39"/>
      <c r="H3676" s="40"/>
    </row>
    <row r="3677" spans="6:8" x14ac:dyDescent="0.35">
      <c r="F3677" s="38"/>
      <c r="G3677" s="39"/>
      <c r="H3677" s="40"/>
    </row>
    <row r="3678" spans="6:8" x14ac:dyDescent="0.35">
      <c r="F3678" s="38"/>
      <c r="G3678" s="39"/>
      <c r="H3678" s="40"/>
    </row>
    <row r="3679" spans="6:8" x14ac:dyDescent="0.35">
      <c r="F3679" s="38"/>
      <c r="G3679" s="39"/>
      <c r="H3679" s="40"/>
    </row>
    <row r="3680" spans="6:8" x14ac:dyDescent="0.35">
      <c r="F3680" s="38"/>
      <c r="G3680" s="39"/>
      <c r="H3680" s="40"/>
    </row>
    <row r="3681" spans="6:8" x14ac:dyDescent="0.35">
      <c r="F3681" s="38"/>
      <c r="G3681" s="39"/>
      <c r="H3681" s="40"/>
    </row>
    <row r="3682" spans="6:8" x14ac:dyDescent="0.35">
      <c r="F3682" s="38"/>
      <c r="G3682" s="39"/>
      <c r="H3682" s="40"/>
    </row>
    <row r="3683" spans="6:8" x14ac:dyDescent="0.35">
      <c r="F3683" s="38"/>
      <c r="G3683" s="39"/>
      <c r="H3683" s="40"/>
    </row>
    <row r="3684" spans="6:8" x14ac:dyDescent="0.35">
      <c r="F3684" s="38"/>
      <c r="G3684" s="39"/>
      <c r="H3684" s="40"/>
    </row>
    <row r="3685" spans="6:8" x14ac:dyDescent="0.35">
      <c r="F3685" s="38"/>
      <c r="G3685" s="39"/>
      <c r="H3685" s="40"/>
    </row>
    <row r="3686" spans="6:8" x14ac:dyDescent="0.35">
      <c r="F3686" s="38"/>
      <c r="G3686" s="39"/>
      <c r="H3686" s="40"/>
    </row>
    <row r="3687" spans="6:8" x14ac:dyDescent="0.35">
      <c r="F3687" s="38"/>
      <c r="G3687" s="39"/>
      <c r="H3687" s="40"/>
    </row>
    <row r="3688" spans="6:8" x14ac:dyDescent="0.35">
      <c r="F3688" s="38"/>
      <c r="G3688" s="39"/>
      <c r="H3688" s="40"/>
    </row>
    <row r="3689" spans="6:8" x14ac:dyDescent="0.35">
      <c r="F3689" s="38"/>
      <c r="G3689" s="39"/>
      <c r="H3689" s="40"/>
    </row>
    <row r="3690" spans="6:8" x14ac:dyDescent="0.35">
      <c r="F3690" s="38"/>
      <c r="G3690" s="39"/>
      <c r="H3690" s="40"/>
    </row>
    <row r="3691" spans="6:8" x14ac:dyDescent="0.35">
      <c r="F3691" s="38"/>
      <c r="G3691" s="39"/>
      <c r="H3691" s="40"/>
    </row>
    <row r="3692" spans="6:8" x14ac:dyDescent="0.35">
      <c r="F3692" s="38"/>
      <c r="G3692" s="39"/>
      <c r="H3692" s="40"/>
    </row>
    <row r="3693" spans="6:8" x14ac:dyDescent="0.35">
      <c r="F3693" s="38"/>
      <c r="G3693" s="39"/>
      <c r="H3693" s="40"/>
    </row>
    <row r="3694" spans="6:8" x14ac:dyDescent="0.35">
      <c r="F3694" s="38"/>
      <c r="G3694" s="39"/>
      <c r="H3694" s="40"/>
    </row>
    <row r="3695" spans="6:8" x14ac:dyDescent="0.35">
      <c r="F3695" s="38"/>
      <c r="G3695" s="39"/>
      <c r="H3695" s="40"/>
    </row>
    <row r="3696" spans="6:8" x14ac:dyDescent="0.35">
      <c r="F3696" s="38"/>
      <c r="G3696" s="39"/>
      <c r="H3696" s="40"/>
    </row>
    <row r="3697" spans="6:8" x14ac:dyDescent="0.35">
      <c r="F3697" s="38"/>
      <c r="G3697" s="39"/>
      <c r="H3697" s="40"/>
    </row>
    <row r="3698" spans="6:8" x14ac:dyDescent="0.35">
      <c r="F3698" s="38"/>
      <c r="G3698" s="39"/>
      <c r="H3698" s="40"/>
    </row>
    <row r="3699" spans="6:8" x14ac:dyDescent="0.35">
      <c r="F3699" s="38"/>
      <c r="G3699" s="39"/>
      <c r="H3699" s="40"/>
    </row>
    <row r="3700" spans="6:8" x14ac:dyDescent="0.35">
      <c r="F3700" s="38"/>
      <c r="G3700" s="39"/>
      <c r="H3700" s="40"/>
    </row>
    <row r="3701" spans="6:8" x14ac:dyDescent="0.35">
      <c r="F3701" s="38"/>
      <c r="G3701" s="39"/>
      <c r="H3701" s="40"/>
    </row>
    <row r="3702" spans="6:8" x14ac:dyDescent="0.35">
      <c r="F3702" s="38"/>
      <c r="G3702" s="39"/>
      <c r="H3702" s="40"/>
    </row>
    <row r="3703" spans="6:8" x14ac:dyDescent="0.35">
      <c r="F3703" s="38"/>
      <c r="G3703" s="39"/>
      <c r="H3703" s="40"/>
    </row>
    <row r="3704" spans="6:8" x14ac:dyDescent="0.35">
      <c r="F3704" s="38"/>
      <c r="G3704" s="39"/>
      <c r="H3704" s="40"/>
    </row>
    <row r="3705" spans="6:8" x14ac:dyDescent="0.35">
      <c r="F3705" s="38"/>
      <c r="G3705" s="39"/>
      <c r="H3705" s="40"/>
    </row>
    <row r="3706" spans="6:8" x14ac:dyDescent="0.35">
      <c r="F3706" s="38"/>
      <c r="G3706" s="39"/>
      <c r="H3706" s="40"/>
    </row>
    <row r="3707" spans="6:8" x14ac:dyDescent="0.35">
      <c r="F3707" s="38"/>
      <c r="G3707" s="39"/>
      <c r="H3707" s="40"/>
    </row>
    <row r="3708" spans="6:8" x14ac:dyDescent="0.35">
      <c r="F3708" s="38"/>
      <c r="G3708" s="39"/>
      <c r="H3708" s="40"/>
    </row>
    <row r="3709" spans="6:8" x14ac:dyDescent="0.35">
      <c r="F3709" s="38"/>
      <c r="G3709" s="39"/>
      <c r="H3709" s="40"/>
    </row>
    <row r="3710" spans="6:8" x14ac:dyDescent="0.35">
      <c r="F3710" s="38"/>
      <c r="G3710" s="39"/>
      <c r="H3710" s="40"/>
    </row>
    <row r="3711" spans="6:8" x14ac:dyDescent="0.35">
      <c r="F3711" s="38"/>
      <c r="G3711" s="39"/>
      <c r="H3711" s="40"/>
    </row>
    <row r="3712" spans="6:8" x14ac:dyDescent="0.35">
      <c r="F3712" s="38"/>
      <c r="G3712" s="39"/>
      <c r="H3712" s="40"/>
    </row>
    <row r="3713" spans="6:8" x14ac:dyDescent="0.35">
      <c r="F3713" s="38"/>
      <c r="G3713" s="39"/>
      <c r="H3713" s="40"/>
    </row>
    <row r="3714" spans="6:8" x14ac:dyDescent="0.35">
      <c r="F3714" s="38"/>
      <c r="G3714" s="39"/>
      <c r="H3714" s="40"/>
    </row>
    <row r="3715" spans="6:8" x14ac:dyDescent="0.35">
      <c r="F3715" s="38"/>
      <c r="G3715" s="39"/>
      <c r="H3715" s="40"/>
    </row>
    <row r="3716" spans="6:8" x14ac:dyDescent="0.35">
      <c r="F3716" s="38"/>
      <c r="G3716" s="39"/>
      <c r="H3716" s="40"/>
    </row>
    <row r="3717" spans="6:8" x14ac:dyDescent="0.35">
      <c r="F3717" s="38"/>
      <c r="G3717" s="39"/>
      <c r="H3717" s="40"/>
    </row>
    <row r="3718" spans="6:8" x14ac:dyDescent="0.35">
      <c r="F3718" s="38"/>
      <c r="G3718" s="39"/>
      <c r="H3718" s="40"/>
    </row>
    <row r="3719" spans="6:8" x14ac:dyDescent="0.35">
      <c r="F3719" s="38"/>
      <c r="G3719" s="39"/>
      <c r="H3719" s="40"/>
    </row>
    <row r="3720" spans="6:8" x14ac:dyDescent="0.35">
      <c r="F3720" s="38"/>
      <c r="G3720" s="39"/>
      <c r="H3720" s="40"/>
    </row>
    <row r="3721" spans="6:8" x14ac:dyDescent="0.35">
      <c r="F3721" s="38"/>
      <c r="G3721" s="39"/>
      <c r="H3721" s="40"/>
    </row>
    <row r="3722" spans="6:8" x14ac:dyDescent="0.35">
      <c r="F3722" s="38"/>
      <c r="G3722" s="39"/>
      <c r="H3722" s="40"/>
    </row>
    <row r="3723" spans="6:8" x14ac:dyDescent="0.35">
      <c r="F3723" s="38"/>
      <c r="G3723" s="39"/>
      <c r="H3723" s="40"/>
    </row>
    <row r="3724" spans="6:8" x14ac:dyDescent="0.35">
      <c r="F3724" s="38"/>
      <c r="G3724" s="39"/>
      <c r="H3724" s="40"/>
    </row>
    <row r="3725" spans="6:8" x14ac:dyDescent="0.35">
      <c r="F3725" s="38"/>
      <c r="G3725" s="39"/>
      <c r="H3725" s="40"/>
    </row>
    <row r="3726" spans="6:8" x14ac:dyDescent="0.35">
      <c r="F3726" s="38"/>
      <c r="G3726" s="39"/>
      <c r="H3726" s="40"/>
    </row>
    <row r="3727" spans="6:8" x14ac:dyDescent="0.35">
      <c r="F3727" s="38"/>
      <c r="G3727" s="39"/>
      <c r="H3727" s="40"/>
    </row>
    <row r="3728" spans="6:8" x14ac:dyDescent="0.35">
      <c r="F3728" s="38"/>
      <c r="G3728" s="39"/>
      <c r="H3728" s="40"/>
    </row>
    <row r="3729" spans="6:8" x14ac:dyDescent="0.35">
      <c r="F3729" s="38"/>
      <c r="G3729" s="39"/>
      <c r="H3729" s="40"/>
    </row>
    <row r="3730" spans="6:8" x14ac:dyDescent="0.35">
      <c r="F3730" s="38"/>
      <c r="G3730" s="39"/>
      <c r="H3730" s="40"/>
    </row>
    <row r="3731" spans="6:8" x14ac:dyDescent="0.35">
      <c r="F3731" s="38"/>
      <c r="G3731" s="39"/>
      <c r="H3731" s="40"/>
    </row>
    <row r="3732" spans="6:8" x14ac:dyDescent="0.35">
      <c r="F3732" s="38"/>
      <c r="G3732" s="39"/>
      <c r="H3732" s="40"/>
    </row>
    <row r="3733" spans="6:8" x14ac:dyDescent="0.35">
      <c r="F3733" s="38"/>
      <c r="G3733" s="39"/>
      <c r="H3733" s="40"/>
    </row>
    <row r="3734" spans="6:8" x14ac:dyDescent="0.35">
      <c r="F3734" s="38"/>
      <c r="G3734" s="39"/>
      <c r="H3734" s="40"/>
    </row>
    <row r="3735" spans="6:8" x14ac:dyDescent="0.35">
      <c r="F3735" s="38"/>
      <c r="G3735" s="39"/>
      <c r="H3735" s="40"/>
    </row>
    <row r="3736" spans="6:8" x14ac:dyDescent="0.35">
      <c r="F3736" s="38"/>
      <c r="G3736" s="39"/>
      <c r="H3736" s="40"/>
    </row>
    <row r="3737" spans="6:8" x14ac:dyDescent="0.35">
      <c r="F3737" s="38"/>
      <c r="G3737" s="39"/>
      <c r="H3737" s="40"/>
    </row>
    <row r="3738" spans="6:8" x14ac:dyDescent="0.35">
      <c r="F3738" s="38"/>
      <c r="G3738" s="39"/>
      <c r="H3738" s="40"/>
    </row>
    <row r="3739" spans="6:8" x14ac:dyDescent="0.35">
      <c r="F3739" s="38"/>
      <c r="G3739" s="39"/>
      <c r="H3739" s="40"/>
    </row>
    <row r="3740" spans="6:8" x14ac:dyDescent="0.35">
      <c r="F3740" s="38"/>
      <c r="G3740" s="39"/>
      <c r="H3740" s="40"/>
    </row>
    <row r="3741" spans="6:8" x14ac:dyDescent="0.35">
      <c r="F3741" s="38"/>
      <c r="G3741" s="39"/>
      <c r="H3741" s="40"/>
    </row>
    <row r="3742" spans="6:8" x14ac:dyDescent="0.35">
      <c r="F3742" s="38"/>
      <c r="G3742" s="39"/>
      <c r="H3742" s="40"/>
    </row>
    <row r="3743" spans="6:8" x14ac:dyDescent="0.35">
      <c r="F3743" s="38"/>
      <c r="G3743" s="39"/>
      <c r="H3743" s="40"/>
    </row>
    <row r="3744" spans="6:8" x14ac:dyDescent="0.35">
      <c r="F3744" s="38"/>
      <c r="G3744" s="39"/>
      <c r="H3744" s="40"/>
    </row>
    <row r="3745" spans="6:8" x14ac:dyDescent="0.35">
      <c r="F3745" s="38"/>
      <c r="G3745" s="39"/>
      <c r="H3745" s="40"/>
    </row>
    <row r="3746" spans="6:8" x14ac:dyDescent="0.35">
      <c r="F3746" s="38"/>
      <c r="G3746" s="39"/>
      <c r="H3746" s="40"/>
    </row>
    <row r="3747" spans="6:8" x14ac:dyDescent="0.35">
      <c r="F3747" s="38"/>
      <c r="G3747" s="39"/>
      <c r="H3747" s="40"/>
    </row>
    <row r="3748" spans="6:8" x14ac:dyDescent="0.35">
      <c r="F3748" s="38"/>
      <c r="G3748" s="39"/>
      <c r="H3748" s="40"/>
    </row>
    <row r="3749" spans="6:8" x14ac:dyDescent="0.35">
      <c r="F3749" s="38"/>
      <c r="G3749" s="39"/>
      <c r="H3749" s="40"/>
    </row>
    <row r="3750" spans="6:8" x14ac:dyDescent="0.35">
      <c r="F3750" s="38"/>
      <c r="G3750" s="39"/>
      <c r="H3750" s="40"/>
    </row>
    <row r="3751" spans="6:8" x14ac:dyDescent="0.35">
      <c r="F3751" s="38"/>
      <c r="G3751" s="39"/>
      <c r="H3751" s="40"/>
    </row>
    <row r="3752" spans="6:8" x14ac:dyDescent="0.35">
      <c r="F3752" s="38"/>
      <c r="G3752" s="39"/>
      <c r="H3752" s="40"/>
    </row>
    <row r="3753" spans="6:8" x14ac:dyDescent="0.35">
      <c r="F3753" s="38"/>
      <c r="G3753" s="39"/>
      <c r="H3753" s="40"/>
    </row>
    <row r="3754" spans="6:8" x14ac:dyDescent="0.35">
      <c r="F3754" s="38"/>
      <c r="G3754" s="39"/>
      <c r="H3754" s="40"/>
    </row>
    <row r="3755" spans="6:8" x14ac:dyDescent="0.35">
      <c r="F3755" s="38"/>
      <c r="G3755" s="39"/>
      <c r="H3755" s="40"/>
    </row>
    <row r="3756" spans="6:8" x14ac:dyDescent="0.35">
      <c r="F3756" s="38"/>
      <c r="G3756" s="39"/>
      <c r="H3756" s="40"/>
    </row>
    <row r="3757" spans="6:8" x14ac:dyDescent="0.35">
      <c r="F3757" s="38"/>
      <c r="G3757" s="39"/>
      <c r="H3757" s="40"/>
    </row>
    <row r="3758" spans="6:8" x14ac:dyDescent="0.35">
      <c r="F3758" s="38"/>
      <c r="G3758" s="39"/>
      <c r="H3758" s="40"/>
    </row>
    <row r="3759" spans="6:8" x14ac:dyDescent="0.35">
      <c r="F3759" s="38"/>
      <c r="G3759" s="39"/>
      <c r="H3759" s="40"/>
    </row>
    <row r="3760" spans="6:8" x14ac:dyDescent="0.35">
      <c r="F3760" s="38"/>
      <c r="G3760" s="39"/>
      <c r="H3760" s="40"/>
    </row>
    <row r="3761" spans="6:8" x14ac:dyDescent="0.35">
      <c r="F3761" s="38"/>
      <c r="G3761" s="39"/>
      <c r="H3761" s="40"/>
    </row>
    <row r="3762" spans="6:8" x14ac:dyDescent="0.35">
      <c r="F3762" s="38"/>
      <c r="G3762" s="39"/>
      <c r="H3762" s="40"/>
    </row>
    <row r="3763" spans="6:8" x14ac:dyDescent="0.35">
      <c r="F3763" s="38"/>
      <c r="G3763" s="39"/>
      <c r="H3763" s="40"/>
    </row>
    <row r="3764" spans="6:8" x14ac:dyDescent="0.35">
      <c r="F3764" s="38"/>
      <c r="G3764" s="39"/>
      <c r="H3764" s="40"/>
    </row>
    <row r="3765" spans="6:8" x14ac:dyDescent="0.35">
      <c r="F3765" s="38"/>
      <c r="G3765" s="39"/>
      <c r="H3765" s="40"/>
    </row>
    <row r="3766" spans="6:8" x14ac:dyDescent="0.35">
      <c r="F3766" s="38"/>
      <c r="G3766" s="39"/>
      <c r="H3766" s="40"/>
    </row>
    <row r="3767" spans="6:8" x14ac:dyDescent="0.35">
      <c r="F3767" s="38"/>
      <c r="G3767" s="39"/>
      <c r="H3767" s="40"/>
    </row>
    <row r="3768" spans="6:8" x14ac:dyDescent="0.35">
      <c r="F3768" s="38"/>
      <c r="G3768" s="39"/>
      <c r="H3768" s="40"/>
    </row>
    <row r="3769" spans="6:8" x14ac:dyDescent="0.35">
      <c r="F3769" s="38"/>
      <c r="G3769" s="39"/>
      <c r="H3769" s="40"/>
    </row>
    <row r="3770" spans="6:8" x14ac:dyDescent="0.35">
      <c r="F3770" s="38"/>
      <c r="G3770" s="39"/>
      <c r="H3770" s="40"/>
    </row>
    <row r="3771" spans="6:8" x14ac:dyDescent="0.35">
      <c r="F3771" s="38"/>
      <c r="G3771" s="39"/>
      <c r="H3771" s="40"/>
    </row>
    <row r="3772" spans="6:8" x14ac:dyDescent="0.35">
      <c r="F3772" s="38"/>
      <c r="G3772" s="39"/>
      <c r="H3772" s="40"/>
    </row>
    <row r="3773" spans="6:8" x14ac:dyDescent="0.35">
      <c r="F3773" s="38"/>
      <c r="G3773" s="39"/>
      <c r="H3773" s="40"/>
    </row>
    <row r="3774" spans="6:8" x14ac:dyDescent="0.35">
      <c r="F3774" s="38"/>
      <c r="G3774" s="39"/>
      <c r="H3774" s="40"/>
    </row>
    <row r="3775" spans="6:8" x14ac:dyDescent="0.35">
      <c r="F3775" s="38"/>
      <c r="G3775" s="39"/>
      <c r="H3775" s="40"/>
    </row>
    <row r="3776" spans="6:8" x14ac:dyDescent="0.35">
      <c r="F3776" s="38"/>
      <c r="G3776" s="39"/>
      <c r="H3776" s="40"/>
    </row>
    <row r="3777" spans="6:8" x14ac:dyDescent="0.35">
      <c r="F3777" s="38"/>
      <c r="G3777" s="39"/>
      <c r="H3777" s="40"/>
    </row>
    <row r="3778" spans="6:8" x14ac:dyDescent="0.35">
      <c r="F3778" s="38"/>
      <c r="G3778" s="39"/>
      <c r="H3778" s="40"/>
    </row>
    <row r="3779" spans="6:8" x14ac:dyDescent="0.35">
      <c r="F3779" s="38"/>
      <c r="G3779" s="39"/>
      <c r="H3779" s="40"/>
    </row>
    <row r="3780" spans="6:8" x14ac:dyDescent="0.35">
      <c r="F3780" s="38"/>
      <c r="G3780" s="39"/>
      <c r="H3780" s="40"/>
    </row>
    <row r="3781" spans="6:8" x14ac:dyDescent="0.35">
      <c r="F3781" s="38"/>
      <c r="G3781" s="39"/>
      <c r="H3781" s="40"/>
    </row>
    <row r="3782" spans="6:8" x14ac:dyDescent="0.35">
      <c r="F3782" s="38"/>
      <c r="G3782" s="39"/>
      <c r="H3782" s="40"/>
    </row>
    <row r="3783" spans="6:8" x14ac:dyDescent="0.35">
      <c r="F3783" s="38"/>
      <c r="G3783" s="39"/>
      <c r="H3783" s="40"/>
    </row>
    <row r="3784" spans="6:8" x14ac:dyDescent="0.35">
      <c r="F3784" s="38"/>
      <c r="G3784" s="39"/>
      <c r="H3784" s="40"/>
    </row>
    <row r="3785" spans="6:8" x14ac:dyDescent="0.35">
      <c r="F3785" s="38"/>
      <c r="G3785" s="39"/>
      <c r="H3785" s="40"/>
    </row>
    <row r="3786" spans="6:8" x14ac:dyDescent="0.35">
      <c r="F3786" s="38"/>
      <c r="G3786" s="39"/>
      <c r="H3786" s="40"/>
    </row>
    <row r="3787" spans="6:8" x14ac:dyDescent="0.35">
      <c r="F3787" s="38"/>
      <c r="G3787" s="39"/>
      <c r="H3787" s="40"/>
    </row>
    <row r="3788" spans="6:8" x14ac:dyDescent="0.35">
      <c r="F3788" s="38"/>
      <c r="G3788" s="39"/>
      <c r="H3788" s="40"/>
    </row>
    <row r="3789" spans="6:8" x14ac:dyDescent="0.35">
      <c r="F3789" s="38"/>
      <c r="G3789" s="39"/>
      <c r="H3789" s="40"/>
    </row>
    <row r="3790" spans="6:8" x14ac:dyDescent="0.35">
      <c r="F3790" s="38"/>
      <c r="G3790" s="39"/>
      <c r="H3790" s="40"/>
    </row>
    <row r="3791" spans="6:8" x14ac:dyDescent="0.35">
      <c r="F3791" s="38"/>
      <c r="G3791" s="39"/>
      <c r="H3791" s="40"/>
    </row>
    <row r="3792" spans="6:8" x14ac:dyDescent="0.35">
      <c r="F3792" s="38"/>
      <c r="G3792" s="39"/>
      <c r="H3792" s="40"/>
    </row>
    <row r="3793" spans="6:8" x14ac:dyDescent="0.35">
      <c r="F3793" s="38"/>
      <c r="G3793" s="39"/>
      <c r="H3793" s="40"/>
    </row>
    <row r="3794" spans="6:8" x14ac:dyDescent="0.35">
      <c r="F3794" s="38"/>
      <c r="G3794" s="39"/>
      <c r="H3794" s="40"/>
    </row>
    <row r="3795" spans="6:8" x14ac:dyDescent="0.35">
      <c r="F3795" s="38"/>
      <c r="G3795" s="39"/>
      <c r="H3795" s="40"/>
    </row>
    <row r="3796" spans="6:8" x14ac:dyDescent="0.35">
      <c r="F3796" s="38"/>
      <c r="G3796" s="39"/>
      <c r="H3796" s="40"/>
    </row>
    <row r="3797" spans="6:8" x14ac:dyDescent="0.35">
      <c r="F3797" s="38"/>
      <c r="G3797" s="39"/>
      <c r="H3797" s="40"/>
    </row>
    <row r="3798" spans="6:8" x14ac:dyDescent="0.35">
      <c r="F3798" s="38"/>
      <c r="G3798" s="39"/>
      <c r="H3798" s="40"/>
    </row>
    <row r="3799" spans="6:8" x14ac:dyDescent="0.35">
      <c r="F3799" s="38"/>
      <c r="G3799" s="39"/>
      <c r="H3799" s="40"/>
    </row>
    <row r="3800" spans="6:8" x14ac:dyDescent="0.35">
      <c r="F3800" s="38"/>
      <c r="G3800" s="39"/>
      <c r="H3800" s="40"/>
    </row>
    <row r="3801" spans="6:8" x14ac:dyDescent="0.35">
      <c r="F3801" s="38"/>
      <c r="G3801" s="39"/>
      <c r="H3801" s="40"/>
    </row>
    <row r="3802" spans="6:8" x14ac:dyDescent="0.35">
      <c r="F3802" s="38"/>
      <c r="G3802" s="39"/>
      <c r="H3802" s="40"/>
    </row>
    <row r="3803" spans="6:8" x14ac:dyDescent="0.35">
      <c r="F3803" s="38"/>
      <c r="G3803" s="39"/>
      <c r="H3803" s="40"/>
    </row>
    <row r="3804" spans="6:8" x14ac:dyDescent="0.35">
      <c r="F3804" s="38"/>
      <c r="G3804" s="39"/>
      <c r="H3804" s="40"/>
    </row>
    <row r="3805" spans="6:8" x14ac:dyDescent="0.35">
      <c r="F3805" s="38"/>
      <c r="G3805" s="39"/>
      <c r="H3805" s="40"/>
    </row>
    <row r="3806" spans="6:8" x14ac:dyDescent="0.35">
      <c r="F3806" s="38"/>
      <c r="G3806" s="39"/>
      <c r="H3806" s="40"/>
    </row>
    <row r="3807" spans="6:8" x14ac:dyDescent="0.35">
      <c r="F3807" s="38"/>
      <c r="G3807" s="39"/>
      <c r="H3807" s="40"/>
    </row>
    <row r="3808" spans="6:8" x14ac:dyDescent="0.35">
      <c r="F3808" s="38"/>
      <c r="G3808" s="39"/>
      <c r="H3808" s="40"/>
    </row>
    <row r="3809" spans="6:8" x14ac:dyDescent="0.35">
      <c r="F3809" s="38"/>
      <c r="G3809" s="39"/>
      <c r="H3809" s="40"/>
    </row>
    <row r="3810" spans="6:8" x14ac:dyDescent="0.35">
      <c r="F3810" s="38"/>
      <c r="G3810" s="39"/>
      <c r="H3810" s="40"/>
    </row>
    <row r="3811" spans="6:8" x14ac:dyDescent="0.35">
      <c r="F3811" s="38"/>
      <c r="G3811" s="39"/>
      <c r="H3811" s="40"/>
    </row>
    <row r="3812" spans="6:8" x14ac:dyDescent="0.35">
      <c r="F3812" s="38"/>
      <c r="G3812" s="39"/>
      <c r="H3812" s="40"/>
    </row>
    <row r="3813" spans="6:8" x14ac:dyDescent="0.35">
      <c r="F3813" s="38"/>
      <c r="G3813" s="39"/>
      <c r="H3813" s="40"/>
    </row>
    <row r="3814" spans="6:8" x14ac:dyDescent="0.35">
      <c r="F3814" s="38"/>
      <c r="G3814" s="39"/>
      <c r="H3814" s="40"/>
    </row>
    <row r="3815" spans="6:8" x14ac:dyDescent="0.35">
      <c r="F3815" s="38"/>
      <c r="G3815" s="39"/>
      <c r="H3815" s="40"/>
    </row>
    <row r="3816" spans="6:8" x14ac:dyDescent="0.35">
      <c r="F3816" s="38"/>
      <c r="G3816" s="39"/>
      <c r="H3816" s="40"/>
    </row>
    <row r="3817" spans="6:8" x14ac:dyDescent="0.35">
      <c r="F3817" s="38"/>
      <c r="G3817" s="39"/>
      <c r="H3817" s="40"/>
    </row>
    <row r="3818" spans="6:8" x14ac:dyDescent="0.35">
      <c r="F3818" s="38"/>
      <c r="G3818" s="39"/>
      <c r="H3818" s="40"/>
    </row>
    <row r="3819" spans="6:8" x14ac:dyDescent="0.35">
      <c r="F3819" s="38"/>
      <c r="G3819" s="39"/>
      <c r="H3819" s="40"/>
    </row>
    <row r="3820" spans="6:8" x14ac:dyDescent="0.35">
      <c r="F3820" s="38"/>
      <c r="G3820" s="39"/>
      <c r="H3820" s="40"/>
    </row>
    <row r="3821" spans="6:8" x14ac:dyDescent="0.35">
      <c r="F3821" s="38"/>
      <c r="G3821" s="39"/>
      <c r="H3821" s="40"/>
    </row>
    <row r="3822" spans="6:8" x14ac:dyDescent="0.35">
      <c r="F3822" s="38"/>
      <c r="G3822" s="39"/>
      <c r="H3822" s="40"/>
    </row>
    <row r="3823" spans="6:8" x14ac:dyDescent="0.35">
      <c r="F3823" s="38"/>
      <c r="G3823" s="39"/>
      <c r="H3823" s="40"/>
    </row>
    <row r="3824" spans="6:8" x14ac:dyDescent="0.35">
      <c r="F3824" s="38"/>
      <c r="G3824" s="39"/>
      <c r="H3824" s="40"/>
    </row>
    <row r="3825" spans="6:8" x14ac:dyDescent="0.35">
      <c r="F3825" s="38"/>
      <c r="G3825" s="39"/>
      <c r="H3825" s="40"/>
    </row>
    <row r="3826" spans="6:8" x14ac:dyDescent="0.35">
      <c r="F3826" s="38"/>
      <c r="G3826" s="39"/>
      <c r="H3826" s="40"/>
    </row>
    <row r="3827" spans="6:8" x14ac:dyDescent="0.35">
      <c r="F3827" s="38"/>
      <c r="G3827" s="39"/>
      <c r="H3827" s="40"/>
    </row>
    <row r="3828" spans="6:8" x14ac:dyDescent="0.35">
      <c r="F3828" s="38"/>
      <c r="G3828" s="39"/>
      <c r="H3828" s="40"/>
    </row>
    <row r="3829" spans="6:8" x14ac:dyDescent="0.35">
      <c r="F3829" s="38"/>
      <c r="G3829" s="39"/>
      <c r="H3829" s="40"/>
    </row>
    <row r="3830" spans="6:8" x14ac:dyDescent="0.35">
      <c r="F3830" s="38"/>
      <c r="G3830" s="39"/>
      <c r="H3830" s="40"/>
    </row>
    <row r="3831" spans="6:8" x14ac:dyDescent="0.35">
      <c r="F3831" s="38"/>
      <c r="G3831" s="39"/>
      <c r="H3831" s="40"/>
    </row>
    <row r="3832" spans="6:8" x14ac:dyDescent="0.35">
      <c r="F3832" s="38"/>
      <c r="G3832" s="39"/>
      <c r="H3832" s="40"/>
    </row>
    <row r="3833" spans="6:8" x14ac:dyDescent="0.35">
      <c r="F3833" s="38"/>
      <c r="G3833" s="39"/>
      <c r="H3833" s="40"/>
    </row>
    <row r="3834" spans="6:8" x14ac:dyDescent="0.35">
      <c r="F3834" s="38"/>
      <c r="G3834" s="39"/>
      <c r="H3834" s="40"/>
    </row>
    <row r="3835" spans="6:8" x14ac:dyDescent="0.35">
      <c r="F3835" s="38"/>
      <c r="G3835" s="39"/>
      <c r="H3835" s="40"/>
    </row>
    <row r="3836" spans="6:8" x14ac:dyDescent="0.35">
      <c r="F3836" s="38"/>
      <c r="G3836" s="39"/>
      <c r="H3836" s="40"/>
    </row>
    <row r="3837" spans="6:8" x14ac:dyDescent="0.35">
      <c r="F3837" s="38"/>
      <c r="G3837" s="39"/>
      <c r="H3837" s="40"/>
    </row>
    <row r="3838" spans="6:8" x14ac:dyDescent="0.35">
      <c r="F3838" s="38"/>
      <c r="G3838" s="39"/>
      <c r="H3838" s="40"/>
    </row>
    <row r="3839" spans="6:8" x14ac:dyDescent="0.35">
      <c r="F3839" s="38"/>
      <c r="G3839" s="39"/>
      <c r="H3839" s="40"/>
    </row>
    <row r="3840" spans="6:8" x14ac:dyDescent="0.35">
      <c r="F3840" s="38"/>
      <c r="G3840" s="39"/>
      <c r="H3840" s="40"/>
    </row>
    <row r="3841" spans="6:8" x14ac:dyDescent="0.35">
      <c r="F3841" s="38"/>
      <c r="G3841" s="39"/>
      <c r="H3841" s="40"/>
    </row>
    <row r="3842" spans="6:8" x14ac:dyDescent="0.35">
      <c r="F3842" s="38"/>
      <c r="G3842" s="39"/>
      <c r="H3842" s="40"/>
    </row>
    <row r="3843" spans="6:8" x14ac:dyDescent="0.35">
      <c r="F3843" s="38"/>
      <c r="G3843" s="39"/>
      <c r="H3843" s="40"/>
    </row>
    <row r="3844" spans="6:8" x14ac:dyDescent="0.35">
      <c r="F3844" s="38"/>
      <c r="G3844" s="39"/>
      <c r="H3844" s="40"/>
    </row>
    <row r="3845" spans="6:8" x14ac:dyDescent="0.35">
      <c r="F3845" s="38"/>
      <c r="G3845" s="39"/>
      <c r="H3845" s="40"/>
    </row>
    <row r="3846" spans="6:8" x14ac:dyDescent="0.35">
      <c r="F3846" s="38"/>
      <c r="G3846" s="39"/>
      <c r="H3846" s="40"/>
    </row>
    <row r="3847" spans="6:8" x14ac:dyDescent="0.35">
      <c r="F3847" s="38"/>
      <c r="G3847" s="39"/>
      <c r="H3847" s="40"/>
    </row>
    <row r="3848" spans="6:8" x14ac:dyDescent="0.35">
      <c r="F3848" s="38"/>
      <c r="G3848" s="39"/>
      <c r="H3848" s="40"/>
    </row>
    <row r="3849" spans="6:8" x14ac:dyDescent="0.35">
      <c r="F3849" s="38"/>
      <c r="G3849" s="39"/>
      <c r="H3849" s="40"/>
    </row>
    <row r="3850" spans="6:8" x14ac:dyDescent="0.35">
      <c r="F3850" s="38"/>
      <c r="G3850" s="39"/>
      <c r="H3850" s="40"/>
    </row>
    <row r="3851" spans="6:8" x14ac:dyDescent="0.35">
      <c r="F3851" s="38"/>
      <c r="G3851" s="39"/>
      <c r="H3851" s="40"/>
    </row>
    <row r="3852" spans="6:8" x14ac:dyDescent="0.35">
      <c r="F3852" s="38"/>
      <c r="G3852" s="39"/>
      <c r="H3852" s="40"/>
    </row>
    <row r="3853" spans="6:8" x14ac:dyDescent="0.35">
      <c r="F3853" s="38"/>
      <c r="G3853" s="39"/>
      <c r="H3853" s="40"/>
    </row>
    <row r="3854" spans="6:8" x14ac:dyDescent="0.35">
      <c r="F3854" s="38"/>
      <c r="G3854" s="39"/>
      <c r="H3854" s="40"/>
    </row>
    <row r="3855" spans="6:8" x14ac:dyDescent="0.35">
      <c r="F3855" s="38"/>
      <c r="G3855" s="39"/>
      <c r="H3855" s="40"/>
    </row>
    <row r="3856" spans="6:8" x14ac:dyDescent="0.35">
      <c r="F3856" s="38"/>
      <c r="G3856" s="39"/>
      <c r="H3856" s="40"/>
    </row>
    <row r="3857" spans="6:8" x14ac:dyDescent="0.35">
      <c r="F3857" s="38"/>
      <c r="G3857" s="39"/>
      <c r="H3857" s="40"/>
    </row>
    <row r="3858" spans="6:8" x14ac:dyDescent="0.35">
      <c r="F3858" s="38"/>
      <c r="G3858" s="39"/>
      <c r="H3858" s="40"/>
    </row>
    <row r="3859" spans="6:8" x14ac:dyDescent="0.35">
      <c r="F3859" s="38"/>
      <c r="G3859" s="39"/>
      <c r="H3859" s="40"/>
    </row>
    <row r="3860" spans="6:8" x14ac:dyDescent="0.35">
      <c r="F3860" s="38"/>
      <c r="G3860" s="39"/>
      <c r="H3860" s="40"/>
    </row>
    <row r="3861" spans="6:8" x14ac:dyDescent="0.35">
      <c r="F3861" s="38"/>
      <c r="G3861" s="39"/>
      <c r="H3861" s="40"/>
    </row>
    <row r="3862" spans="6:8" x14ac:dyDescent="0.35">
      <c r="F3862" s="38"/>
      <c r="G3862" s="39"/>
      <c r="H3862" s="40"/>
    </row>
    <row r="3863" spans="6:8" x14ac:dyDescent="0.35">
      <c r="F3863" s="38"/>
      <c r="G3863" s="39"/>
      <c r="H3863" s="40"/>
    </row>
    <row r="3864" spans="6:8" x14ac:dyDescent="0.35">
      <c r="F3864" s="38"/>
      <c r="G3864" s="39"/>
      <c r="H3864" s="40"/>
    </row>
    <row r="3865" spans="6:8" x14ac:dyDescent="0.35">
      <c r="F3865" s="38"/>
      <c r="G3865" s="39"/>
      <c r="H3865" s="40"/>
    </row>
    <row r="3866" spans="6:8" x14ac:dyDescent="0.35">
      <c r="F3866" s="38"/>
      <c r="G3866" s="39"/>
      <c r="H3866" s="40"/>
    </row>
    <row r="3867" spans="6:8" x14ac:dyDescent="0.35">
      <c r="F3867" s="38"/>
      <c r="G3867" s="39"/>
      <c r="H3867" s="40"/>
    </row>
    <row r="3868" spans="6:8" x14ac:dyDescent="0.35">
      <c r="F3868" s="38"/>
      <c r="G3868" s="39"/>
      <c r="H3868" s="40"/>
    </row>
    <row r="3869" spans="6:8" x14ac:dyDescent="0.35">
      <c r="F3869" s="38"/>
      <c r="G3869" s="39"/>
      <c r="H3869" s="40"/>
    </row>
    <row r="3870" spans="6:8" x14ac:dyDescent="0.35">
      <c r="F3870" s="38"/>
      <c r="G3870" s="39"/>
      <c r="H3870" s="40"/>
    </row>
    <row r="3871" spans="6:8" x14ac:dyDescent="0.35">
      <c r="F3871" s="38"/>
      <c r="G3871" s="39"/>
      <c r="H3871" s="40"/>
    </row>
    <row r="3872" spans="6:8" x14ac:dyDescent="0.35">
      <c r="F3872" s="38"/>
      <c r="G3872" s="39"/>
      <c r="H3872" s="40"/>
    </row>
    <row r="3873" spans="6:8" x14ac:dyDescent="0.35">
      <c r="F3873" s="38"/>
      <c r="G3873" s="39"/>
      <c r="H3873" s="40"/>
    </row>
    <row r="3874" spans="6:8" x14ac:dyDescent="0.35">
      <c r="F3874" s="38"/>
      <c r="G3874" s="39"/>
      <c r="H3874" s="40"/>
    </row>
    <row r="3875" spans="6:8" x14ac:dyDescent="0.35">
      <c r="F3875" s="38"/>
      <c r="G3875" s="39"/>
      <c r="H3875" s="40"/>
    </row>
    <row r="3876" spans="6:8" x14ac:dyDescent="0.35">
      <c r="F3876" s="38"/>
      <c r="G3876" s="39"/>
      <c r="H3876" s="40"/>
    </row>
    <row r="3877" spans="6:8" x14ac:dyDescent="0.35">
      <c r="F3877" s="38"/>
      <c r="G3877" s="39"/>
      <c r="H3877" s="40"/>
    </row>
    <row r="3878" spans="6:8" x14ac:dyDescent="0.35">
      <c r="F3878" s="38"/>
      <c r="G3878" s="39"/>
      <c r="H3878" s="40"/>
    </row>
    <row r="3879" spans="6:8" x14ac:dyDescent="0.35">
      <c r="F3879" s="38"/>
      <c r="G3879" s="39"/>
      <c r="H3879" s="40"/>
    </row>
    <row r="3880" spans="6:8" x14ac:dyDescent="0.35">
      <c r="F3880" s="38"/>
      <c r="G3880" s="39"/>
      <c r="H3880" s="40"/>
    </row>
    <row r="3881" spans="6:8" x14ac:dyDescent="0.35">
      <c r="F3881" s="38"/>
      <c r="G3881" s="39"/>
      <c r="H3881" s="40"/>
    </row>
    <row r="3882" spans="6:8" x14ac:dyDescent="0.35">
      <c r="F3882" s="38"/>
      <c r="G3882" s="39"/>
      <c r="H3882" s="40"/>
    </row>
    <row r="3883" spans="6:8" x14ac:dyDescent="0.35">
      <c r="F3883" s="38"/>
      <c r="G3883" s="39"/>
      <c r="H3883" s="40"/>
    </row>
    <row r="3884" spans="6:8" x14ac:dyDescent="0.35">
      <c r="F3884" s="38"/>
      <c r="G3884" s="39"/>
      <c r="H3884" s="40"/>
    </row>
    <row r="3885" spans="6:8" x14ac:dyDescent="0.35">
      <c r="F3885" s="38"/>
      <c r="G3885" s="39"/>
      <c r="H3885" s="40"/>
    </row>
    <row r="3886" spans="6:8" x14ac:dyDescent="0.35">
      <c r="F3886" s="38"/>
      <c r="G3886" s="39"/>
      <c r="H3886" s="40"/>
    </row>
    <row r="3887" spans="6:8" x14ac:dyDescent="0.35">
      <c r="F3887" s="38"/>
      <c r="G3887" s="39"/>
      <c r="H3887" s="40"/>
    </row>
    <row r="3888" spans="6:8" x14ac:dyDescent="0.35">
      <c r="F3888" s="38"/>
      <c r="G3888" s="39"/>
      <c r="H3888" s="40"/>
    </row>
    <row r="3889" spans="6:8" x14ac:dyDescent="0.35">
      <c r="F3889" s="38"/>
      <c r="G3889" s="39"/>
      <c r="H3889" s="40"/>
    </row>
    <row r="3890" spans="6:8" x14ac:dyDescent="0.35">
      <c r="F3890" s="38"/>
      <c r="G3890" s="39"/>
      <c r="H3890" s="40"/>
    </row>
    <row r="3891" spans="6:8" x14ac:dyDescent="0.35">
      <c r="F3891" s="38"/>
      <c r="G3891" s="39"/>
      <c r="H3891" s="40"/>
    </row>
    <row r="3892" spans="6:8" x14ac:dyDescent="0.35">
      <c r="F3892" s="38"/>
      <c r="G3892" s="39"/>
      <c r="H3892" s="40"/>
    </row>
    <row r="3893" spans="6:8" x14ac:dyDescent="0.35">
      <c r="F3893" s="38"/>
      <c r="G3893" s="39"/>
      <c r="H3893" s="40"/>
    </row>
    <row r="3894" spans="6:8" x14ac:dyDescent="0.35">
      <c r="F3894" s="38"/>
      <c r="G3894" s="39"/>
      <c r="H3894" s="40"/>
    </row>
    <row r="3895" spans="6:8" x14ac:dyDescent="0.35">
      <c r="F3895" s="38"/>
      <c r="G3895" s="39"/>
      <c r="H3895" s="40"/>
    </row>
    <row r="3896" spans="6:8" x14ac:dyDescent="0.35">
      <c r="F3896" s="38"/>
      <c r="G3896" s="39"/>
      <c r="H3896" s="40"/>
    </row>
    <row r="3897" spans="6:8" x14ac:dyDescent="0.35">
      <c r="F3897" s="38"/>
      <c r="G3897" s="39"/>
      <c r="H3897" s="40"/>
    </row>
    <row r="3898" spans="6:8" x14ac:dyDescent="0.35">
      <c r="F3898" s="38"/>
      <c r="G3898" s="39"/>
      <c r="H3898" s="40"/>
    </row>
    <row r="3899" spans="6:8" x14ac:dyDescent="0.35">
      <c r="F3899" s="38"/>
      <c r="G3899" s="39"/>
      <c r="H3899" s="40"/>
    </row>
    <row r="3900" spans="6:8" x14ac:dyDescent="0.35">
      <c r="F3900" s="38"/>
      <c r="G3900" s="39"/>
      <c r="H3900" s="40"/>
    </row>
    <row r="3901" spans="6:8" x14ac:dyDescent="0.35">
      <c r="F3901" s="38"/>
      <c r="G3901" s="39"/>
      <c r="H3901" s="40"/>
    </row>
    <row r="3902" spans="6:8" x14ac:dyDescent="0.35">
      <c r="F3902" s="38"/>
      <c r="G3902" s="39"/>
      <c r="H3902" s="40"/>
    </row>
    <row r="3903" spans="6:8" x14ac:dyDescent="0.35">
      <c r="F3903" s="38"/>
      <c r="G3903" s="39"/>
      <c r="H3903" s="40"/>
    </row>
    <row r="3904" spans="6:8" x14ac:dyDescent="0.35">
      <c r="F3904" s="38"/>
      <c r="G3904" s="39"/>
      <c r="H3904" s="40"/>
    </row>
    <row r="3905" spans="6:8" x14ac:dyDescent="0.35">
      <c r="F3905" s="38"/>
      <c r="G3905" s="39"/>
      <c r="H3905" s="40"/>
    </row>
    <row r="3906" spans="6:8" x14ac:dyDescent="0.35">
      <c r="F3906" s="38"/>
      <c r="G3906" s="39"/>
      <c r="H3906" s="40"/>
    </row>
    <row r="3907" spans="6:8" x14ac:dyDescent="0.35">
      <c r="F3907" s="38"/>
      <c r="G3907" s="39"/>
      <c r="H3907" s="40"/>
    </row>
    <row r="3908" spans="6:8" x14ac:dyDescent="0.35">
      <c r="F3908" s="38"/>
      <c r="G3908" s="39"/>
      <c r="H3908" s="40"/>
    </row>
    <row r="3909" spans="6:8" x14ac:dyDescent="0.35">
      <c r="F3909" s="38"/>
      <c r="G3909" s="39"/>
      <c r="H3909" s="40"/>
    </row>
    <row r="3910" spans="6:8" x14ac:dyDescent="0.35">
      <c r="F3910" s="38"/>
      <c r="G3910" s="39"/>
      <c r="H3910" s="40"/>
    </row>
    <row r="3911" spans="6:8" x14ac:dyDescent="0.35">
      <c r="F3911" s="38"/>
      <c r="G3911" s="39"/>
      <c r="H3911" s="40"/>
    </row>
    <row r="3912" spans="6:8" x14ac:dyDescent="0.35">
      <c r="F3912" s="38"/>
      <c r="G3912" s="39"/>
      <c r="H3912" s="40"/>
    </row>
    <row r="3913" spans="6:8" x14ac:dyDescent="0.35">
      <c r="F3913" s="38"/>
      <c r="G3913" s="39"/>
      <c r="H3913" s="40"/>
    </row>
    <row r="3914" spans="6:8" x14ac:dyDescent="0.35">
      <c r="F3914" s="38"/>
      <c r="G3914" s="39"/>
      <c r="H3914" s="40"/>
    </row>
    <row r="3915" spans="6:8" x14ac:dyDescent="0.35">
      <c r="F3915" s="38"/>
      <c r="G3915" s="39"/>
      <c r="H3915" s="40"/>
    </row>
    <row r="3916" spans="6:8" x14ac:dyDescent="0.35">
      <c r="F3916" s="38"/>
      <c r="G3916" s="39"/>
      <c r="H3916" s="40"/>
    </row>
    <row r="3917" spans="6:8" x14ac:dyDescent="0.35">
      <c r="F3917" s="38"/>
      <c r="G3917" s="39"/>
      <c r="H3917" s="40"/>
    </row>
    <row r="3918" spans="6:8" x14ac:dyDescent="0.35">
      <c r="F3918" s="38"/>
      <c r="G3918" s="39"/>
      <c r="H3918" s="40"/>
    </row>
    <row r="3919" spans="6:8" x14ac:dyDescent="0.35">
      <c r="F3919" s="38"/>
      <c r="G3919" s="39"/>
      <c r="H3919" s="40"/>
    </row>
    <row r="3920" spans="6:8" x14ac:dyDescent="0.35">
      <c r="F3920" s="38"/>
      <c r="G3920" s="39"/>
      <c r="H3920" s="40"/>
    </row>
    <row r="3921" spans="6:8" x14ac:dyDescent="0.35">
      <c r="F3921" s="38"/>
      <c r="G3921" s="39"/>
      <c r="H3921" s="40"/>
    </row>
    <row r="3922" spans="6:8" x14ac:dyDescent="0.35">
      <c r="F3922" s="38"/>
      <c r="G3922" s="39"/>
      <c r="H3922" s="40"/>
    </row>
    <row r="3923" spans="6:8" x14ac:dyDescent="0.35">
      <c r="F3923" s="38"/>
      <c r="G3923" s="39"/>
      <c r="H3923" s="40"/>
    </row>
    <row r="3924" spans="6:8" x14ac:dyDescent="0.35">
      <c r="F3924" s="38"/>
      <c r="G3924" s="39"/>
      <c r="H3924" s="40"/>
    </row>
    <row r="3925" spans="6:8" x14ac:dyDescent="0.35">
      <c r="F3925" s="38"/>
      <c r="G3925" s="39"/>
      <c r="H3925" s="40"/>
    </row>
    <row r="3926" spans="6:8" x14ac:dyDescent="0.35">
      <c r="F3926" s="38"/>
      <c r="G3926" s="39"/>
      <c r="H3926" s="40"/>
    </row>
    <row r="3927" spans="6:8" x14ac:dyDescent="0.35">
      <c r="F3927" s="38"/>
      <c r="G3927" s="39"/>
      <c r="H3927" s="40"/>
    </row>
    <row r="3928" spans="6:8" x14ac:dyDescent="0.35">
      <c r="F3928" s="38"/>
      <c r="G3928" s="39"/>
      <c r="H3928" s="40"/>
    </row>
    <row r="3929" spans="6:8" x14ac:dyDescent="0.35">
      <c r="F3929" s="38"/>
      <c r="G3929" s="39"/>
      <c r="H3929" s="40"/>
    </row>
    <row r="3930" spans="6:8" x14ac:dyDescent="0.35">
      <c r="F3930" s="38"/>
      <c r="G3930" s="39"/>
      <c r="H3930" s="40"/>
    </row>
    <row r="3931" spans="6:8" x14ac:dyDescent="0.35">
      <c r="F3931" s="38"/>
      <c r="G3931" s="39"/>
      <c r="H3931" s="40"/>
    </row>
    <row r="3932" spans="6:8" x14ac:dyDescent="0.35">
      <c r="F3932" s="38"/>
      <c r="G3932" s="39"/>
      <c r="H3932" s="40"/>
    </row>
    <row r="3933" spans="6:8" x14ac:dyDescent="0.35">
      <c r="F3933" s="38"/>
      <c r="G3933" s="39"/>
      <c r="H3933" s="40"/>
    </row>
    <row r="3934" spans="6:8" x14ac:dyDescent="0.35">
      <c r="F3934" s="38"/>
      <c r="G3934" s="39"/>
      <c r="H3934" s="40"/>
    </row>
    <row r="3935" spans="6:8" x14ac:dyDescent="0.35">
      <c r="F3935" s="38"/>
      <c r="G3935" s="39"/>
      <c r="H3935" s="40"/>
    </row>
    <row r="3936" spans="6:8" x14ac:dyDescent="0.35">
      <c r="F3936" s="38"/>
      <c r="G3936" s="39"/>
      <c r="H3936" s="40"/>
    </row>
    <row r="3937" spans="6:8" x14ac:dyDescent="0.35">
      <c r="F3937" s="38"/>
      <c r="G3937" s="39"/>
      <c r="H3937" s="40"/>
    </row>
    <row r="3938" spans="6:8" x14ac:dyDescent="0.35">
      <c r="F3938" s="38"/>
      <c r="G3938" s="39"/>
      <c r="H3938" s="40"/>
    </row>
    <row r="3939" spans="6:8" x14ac:dyDescent="0.35">
      <c r="F3939" s="38"/>
      <c r="G3939" s="39"/>
      <c r="H3939" s="40"/>
    </row>
    <row r="3940" spans="6:8" x14ac:dyDescent="0.35">
      <c r="F3940" s="38"/>
      <c r="G3940" s="39"/>
      <c r="H3940" s="40"/>
    </row>
    <row r="3941" spans="6:8" x14ac:dyDescent="0.35">
      <c r="F3941" s="38"/>
      <c r="G3941" s="39"/>
      <c r="H3941" s="40"/>
    </row>
    <row r="3942" spans="6:8" x14ac:dyDescent="0.35">
      <c r="F3942" s="38"/>
      <c r="G3942" s="39"/>
      <c r="H3942" s="40"/>
    </row>
    <row r="3943" spans="6:8" x14ac:dyDescent="0.35">
      <c r="F3943" s="38"/>
      <c r="G3943" s="39"/>
      <c r="H3943" s="40"/>
    </row>
    <row r="3944" spans="6:8" x14ac:dyDescent="0.35">
      <c r="F3944" s="38"/>
      <c r="G3944" s="39"/>
      <c r="H3944" s="40"/>
    </row>
    <row r="3945" spans="6:8" x14ac:dyDescent="0.35">
      <c r="F3945" s="38"/>
      <c r="G3945" s="39"/>
      <c r="H3945" s="40"/>
    </row>
    <row r="3946" spans="6:8" x14ac:dyDescent="0.35">
      <c r="F3946" s="38"/>
      <c r="G3946" s="39"/>
      <c r="H3946" s="40"/>
    </row>
    <row r="3947" spans="6:8" x14ac:dyDescent="0.35">
      <c r="F3947" s="38"/>
      <c r="G3947" s="39"/>
      <c r="H3947" s="40"/>
    </row>
    <row r="3948" spans="6:8" x14ac:dyDescent="0.35">
      <c r="F3948" s="38"/>
      <c r="G3948" s="39"/>
      <c r="H3948" s="40"/>
    </row>
    <row r="3949" spans="6:8" x14ac:dyDescent="0.35">
      <c r="F3949" s="38"/>
      <c r="G3949" s="39"/>
      <c r="H3949" s="40"/>
    </row>
    <row r="3950" spans="6:8" x14ac:dyDescent="0.35">
      <c r="F3950" s="38"/>
      <c r="G3950" s="39"/>
      <c r="H3950" s="40"/>
    </row>
    <row r="3951" spans="6:8" x14ac:dyDescent="0.35">
      <c r="F3951" s="38"/>
      <c r="G3951" s="39"/>
      <c r="H3951" s="40"/>
    </row>
    <row r="3952" spans="6:8" x14ac:dyDescent="0.35">
      <c r="F3952" s="38"/>
      <c r="G3952" s="39"/>
      <c r="H3952" s="40"/>
    </row>
    <row r="3953" spans="6:8" x14ac:dyDescent="0.35">
      <c r="F3953" s="38"/>
      <c r="G3953" s="39"/>
      <c r="H3953" s="40"/>
    </row>
    <row r="3954" spans="6:8" x14ac:dyDescent="0.35">
      <c r="F3954" s="38"/>
      <c r="G3954" s="39"/>
      <c r="H3954" s="40"/>
    </row>
    <row r="3955" spans="6:8" x14ac:dyDescent="0.35">
      <c r="F3955" s="38"/>
      <c r="G3955" s="39"/>
      <c r="H3955" s="40"/>
    </row>
    <row r="3956" spans="6:8" x14ac:dyDescent="0.35">
      <c r="F3956" s="38"/>
      <c r="G3956" s="39"/>
      <c r="H3956" s="40"/>
    </row>
    <row r="3957" spans="6:8" x14ac:dyDescent="0.35">
      <c r="F3957" s="38"/>
      <c r="G3957" s="39"/>
      <c r="H3957" s="40"/>
    </row>
    <row r="3958" spans="6:8" x14ac:dyDescent="0.35">
      <c r="F3958" s="38"/>
      <c r="G3958" s="39"/>
      <c r="H3958" s="40"/>
    </row>
    <row r="3959" spans="6:8" x14ac:dyDescent="0.35">
      <c r="F3959" s="38"/>
      <c r="G3959" s="39"/>
      <c r="H3959" s="40"/>
    </row>
    <row r="3960" spans="6:8" x14ac:dyDescent="0.35">
      <c r="F3960" s="38"/>
      <c r="G3960" s="39"/>
      <c r="H3960" s="40"/>
    </row>
    <row r="3961" spans="6:8" x14ac:dyDescent="0.35">
      <c r="F3961" s="38"/>
      <c r="G3961" s="39"/>
      <c r="H3961" s="40"/>
    </row>
    <row r="3962" spans="6:8" x14ac:dyDescent="0.35">
      <c r="F3962" s="38"/>
      <c r="G3962" s="39"/>
      <c r="H3962" s="40"/>
    </row>
    <row r="3963" spans="6:8" x14ac:dyDescent="0.35">
      <c r="F3963" s="38"/>
      <c r="G3963" s="39"/>
      <c r="H3963" s="40"/>
    </row>
    <row r="3964" spans="6:8" x14ac:dyDescent="0.35">
      <c r="F3964" s="38"/>
      <c r="G3964" s="39"/>
      <c r="H3964" s="40"/>
    </row>
    <row r="3965" spans="6:8" x14ac:dyDescent="0.35">
      <c r="F3965" s="38"/>
      <c r="G3965" s="39"/>
      <c r="H3965" s="40"/>
    </row>
    <row r="3966" spans="6:8" x14ac:dyDescent="0.35">
      <c r="F3966" s="38"/>
      <c r="G3966" s="39"/>
      <c r="H3966" s="40"/>
    </row>
    <row r="3967" spans="6:8" x14ac:dyDescent="0.35">
      <c r="F3967" s="38"/>
      <c r="G3967" s="39"/>
      <c r="H3967" s="40"/>
    </row>
    <row r="3968" spans="6:8" x14ac:dyDescent="0.35">
      <c r="F3968" s="38"/>
      <c r="G3968" s="39"/>
      <c r="H3968" s="40"/>
    </row>
    <row r="3969" spans="6:8" x14ac:dyDescent="0.35">
      <c r="F3969" s="38"/>
      <c r="G3969" s="39"/>
      <c r="H3969" s="40"/>
    </row>
    <row r="3970" spans="6:8" x14ac:dyDescent="0.35">
      <c r="F3970" s="38"/>
      <c r="G3970" s="39"/>
      <c r="H3970" s="40"/>
    </row>
    <row r="3971" spans="6:8" x14ac:dyDescent="0.35">
      <c r="F3971" s="38"/>
      <c r="G3971" s="39"/>
      <c r="H3971" s="40"/>
    </row>
    <row r="3972" spans="6:8" x14ac:dyDescent="0.35">
      <c r="F3972" s="38"/>
      <c r="G3972" s="39"/>
      <c r="H3972" s="40"/>
    </row>
    <row r="3973" spans="6:8" x14ac:dyDescent="0.35">
      <c r="F3973" s="38"/>
      <c r="G3973" s="39"/>
      <c r="H3973" s="40"/>
    </row>
    <row r="3974" spans="6:8" x14ac:dyDescent="0.35">
      <c r="F3974" s="38"/>
      <c r="G3974" s="39"/>
      <c r="H3974" s="40"/>
    </row>
    <row r="3975" spans="6:8" x14ac:dyDescent="0.35">
      <c r="F3975" s="38"/>
      <c r="G3975" s="39"/>
      <c r="H3975" s="40"/>
    </row>
    <row r="3976" spans="6:8" x14ac:dyDescent="0.35">
      <c r="F3976" s="38"/>
      <c r="G3976" s="39"/>
      <c r="H3976" s="40"/>
    </row>
    <row r="3977" spans="6:8" x14ac:dyDescent="0.35">
      <c r="F3977" s="38"/>
      <c r="G3977" s="39"/>
      <c r="H3977" s="40"/>
    </row>
    <row r="3978" spans="6:8" x14ac:dyDescent="0.35">
      <c r="F3978" s="38"/>
      <c r="G3978" s="39"/>
      <c r="H3978" s="40"/>
    </row>
    <row r="3979" spans="6:8" x14ac:dyDescent="0.35">
      <c r="F3979" s="38"/>
      <c r="G3979" s="39"/>
      <c r="H3979" s="40"/>
    </row>
    <row r="3980" spans="6:8" x14ac:dyDescent="0.35">
      <c r="F3980" s="38"/>
      <c r="G3980" s="39"/>
      <c r="H3980" s="40"/>
    </row>
    <row r="3981" spans="6:8" x14ac:dyDescent="0.35">
      <c r="F3981" s="38"/>
      <c r="G3981" s="39"/>
      <c r="H3981" s="40"/>
    </row>
    <row r="3982" spans="6:8" x14ac:dyDescent="0.35">
      <c r="F3982" s="38"/>
      <c r="G3982" s="39"/>
      <c r="H3982" s="40"/>
    </row>
    <row r="3983" spans="6:8" x14ac:dyDescent="0.35">
      <c r="F3983" s="38"/>
      <c r="G3983" s="39"/>
      <c r="H3983" s="40"/>
    </row>
    <row r="3984" spans="6:8" x14ac:dyDescent="0.35">
      <c r="F3984" s="38"/>
      <c r="G3984" s="39"/>
      <c r="H3984" s="40"/>
    </row>
    <row r="3985" spans="6:8" x14ac:dyDescent="0.35">
      <c r="F3985" s="38"/>
      <c r="G3985" s="39"/>
      <c r="H3985" s="40"/>
    </row>
    <row r="3986" spans="6:8" x14ac:dyDescent="0.35">
      <c r="F3986" s="38"/>
      <c r="G3986" s="39"/>
      <c r="H3986" s="40"/>
    </row>
    <row r="3987" spans="6:8" x14ac:dyDescent="0.35">
      <c r="F3987" s="38"/>
      <c r="G3987" s="39"/>
      <c r="H3987" s="40"/>
    </row>
    <row r="3988" spans="6:8" x14ac:dyDescent="0.35">
      <c r="F3988" s="38"/>
      <c r="G3988" s="39"/>
      <c r="H3988" s="40"/>
    </row>
    <row r="3989" spans="6:8" x14ac:dyDescent="0.35">
      <c r="F3989" s="38"/>
      <c r="G3989" s="39"/>
      <c r="H3989" s="40"/>
    </row>
    <row r="3990" spans="6:8" x14ac:dyDescent="0.35">
      <c r="F3990" s="38"/>
      <c r="G3990" s="39"/>
      <c r="H3990" s="40"/>
    </row>
    <row r="3991" spans="6:8" x14ac:dyDescent="0.35">
      <c r="F3991" s="38"/>
      <c r="G3991" s="39"/>
      <c r="H3991" s="40"/>
    </row>
    <row r="3992" spans="6:8" x14ac:dyDescent="0.35">
      <c r="F3992" s="38"/>
      <c r="G3992" s="39"/>
      <c r="H3992" s="40"/>
    </row>
    <row r="3993" spans="6:8" x14ac:dyDescent="0.35">
      <c r="F3993" s="38"/>
      <c r="G3993" s="39"/>
      <c r="H3993" s="40"/>
    </row>
    <row r="3994" spans="6:8" x14ac:dyDescent="0.35">
      <c r="F3994" s="38"/>
      <c r="G3994" s="39"/>
      <c r="H3994" s="40"/>
    </row>
    <row r="3995" spans="6:8" x14ac:dyDescent="0.35">
      <c r="F3995" s="38"/>
      <c r="G3995" s="39"/>
      <c r="H3995" s="40"/>
    </row>
    <row r="3996" spans="6:8" x14ac:dyDescent="0.35">
      <c r="F3996" s="38"/>
      <c r="G3996" s="39"/>
      <c r="H3996" s="40"/>
    </row>
    <row r="3997" spans="6:8" x14ac:dyDescent="0.35">
      <c r="F3997" s="38"/>
      <c r="G3997" s="39"/>
      <c r="H3997" s="40"/>
    </row>
    <row r="3998" spans="6:8" x14ac:dyDescent="0.35">
      <c r="F3998" s="38"/>
      <c r="G3998" s="39"/>
      <c r="H3998" s="40"/>
    </row>
    <row r="3999" spans="6:8" x14ac:dyDescent="0.35">
      <c r="F3999" s="38"/>
      <c r="G3999" s="39"/>
      <c r="H3999" s="40"/>
    </row>
    <row r="4000" spans="6:8" x14ac:dyDescent="0.35">
      <c r="F4000" s="38"/>
      <c r="G4000" s="39"/>
      <c r="H4000" s="40"/>
    </row>
    <row r="4001" spans="6:8" x14ac:dyDescent="0.35">
      <c r="F4001" s="38"/>
      <c r="G4001" s="39"/>
      <c r="H4001" s="40"/>
    </row>
    <row r="4002" spans="6:8" x14ac:dyDescent="0.35">
      <c r="F4002" s="38"/>
      <c r="G4002" s="39"/>
      <c r="H4002" s="40"/>
    </row>
    <row r="4003" spans="6:8" x14ac:dyDescent="0.35">
      <c r="F4003" s="38"/>
      <c r="G4003" s="39"/>
      <c r="H4003" s="40"/>
    </row>
    <row r="4004" spans="6:8" x14ac:dyDescent="0.35">
      <c r="F4004" s="38"/>
      <c r="G4004" s="39"/>
      <c r="H4004" s="40"/>
    </row>
    <row r="4005" spans="6:8" x14ac:dyDescent="0.35">
      <c r="F4005" s="38"/>
      <c r="G4005" s="39"/>
      <c r="H4005" s="40"/>
    </row>
    <row r="4006" spans="6:8" x14ac:dyDescent="0.35">
      <c r="F4006" s="38"/>
      <c r="G4006" s="39"/>
      <c r="H4006" s="40"/>
    </row>
    <row r="4007" spans="6:8" x14ac:dyDescent="0.35">
      <c r="F4007" s="38"/>
      <c r="G4007" s="39"/>
      <c r="H4007" s="40"/>
    </row>
    <row r="4008" spans="6:8" x14ac:dyDescent="0.35">
      <c r="F4008" s="38"/>
      <c r="G4008" s="39"/>
      <c r="H4008" s="40"/>
    </row>
    <row r="4009" spans="6:8" x14ac:dyDescent="0.35">
      <c r="F4009" s="38"/>
      <c r="G4009" s="39"/>
      <c r="H4009" s="40"/>
    </row>
    <row r="4010" spans="6:8" x14ac:dyDescent="0.35">
      <c r="F4010" s="38"/>
      <c r="G4010" s="39"/>
      <c r="H4010" s="40"/>
    </row>
    <row r="4011" spans="6:8" x14ac:dyDescent="0.35">
      <c r="F4011" s="38"/>
      <c r="G4011" s="39"/>
      <c r="H4011" s="40"/>
    </row>
    <row r="4012" spans="6:8" x14ac:dyDescent="0.35">
      <c r="F4012" s="38"/>
      <c r="G4012" s="39"/>
      <c r="H4012" s="40"/>
    </row>
    <row r="4013" spans="6:8" x14ac:dyDescent="0.35">
      <c r="F4013" s="38"/>
      <c r="G4013" s="39"/>
      <c r="H4013" s="40"/>
    </row>
    <row r="4014" spans="6:8" x14ac:dyDescent="0.35">
      <c r="F4014" s="38"/>
      <c r="G4014" s="39"/>
      <c r="H4014" s="40"/>
    </row>
    <row r="4015" spans="6:8" x14ac:dyDescent="0.35">
      <c r="F4015" s="38"/>
      <c r="G4015" s="39"/>
      <c r="H4015" s="40"/>
    </row>
    <row r="4016" spans="6:8" x14ac:dyDescent="0.35">
      <c r="F4016" s="38"/>
      <c r="G4016" s="39"/>
      <c r="H4016" s="40"/>
    </row>
    <row r="4017" spans="6:8" x14ac:dyDescent="0.35">
      <c r="F4017" s="38"/>
      <c r="G4017" s="39"/>
      <c r="H4017" s="40"/>
    </row>
    <row r="4018" spans="6:8" x14ac:dyDescent="0.35">
      <c r="F4018" s="38"/>
      <c r="G4018" s="39"/>
      <c r="H4018" s="40"/>
    </row>
    <row r="4019" spans="6:8" x14ac:dyDescent="0.35">
      <c r="F4019" s="38"/>
      <c r="G4019" s="39"/>
      <c r="H4019" s="40"/>
    </row>
    <row r="4020" spans="6:8" x14ac:dyDescent="0.35">
      <c r="F4020" s="38"/>
      <c r="G4020" s="39"/>
      <c r="H4020" s="40"/>
    </row>
    <row r="4021" spans="6:8" x14ac:dyDescent="0.35">
      <c r="F4021" s="38"/>
      <c r="G4021" s="39"/>
      <c r="H4021" s="40"/>
    </row>
    <row r="4022" spans="6:8" x14ac:dyDescent="0.35">
      <c r="F4022" s="38"/>
      <c r="G4022" s="39"/>
      <c r="H4022" s="40"/>
    </row>
    <row r="4023" spans="6:8" x14ac:dyDescent="0.35">
      <c r="F4023" s="38"/>
      <c r="G4023" s="39"/>
      <c r="H4023" s="40"/>
    </row>
    <row r="4024" spans="6:8" x14ac:dyDescent="0.35">
      <c r="F4024" s="38"/>
      <c r="G4024" s="39"/>
      <c r="H4024" s="40"/>
    </row>
    <row r="4025" spans="6:8" x14ac:dyDescent="0.35">
      <c r="F4025" s="38"/>
      <c r="G4025" s="39"/>
      <c r="H4025" s="40"/>
    </row>
    <row r="4026" spans="6:8" x14ac:dyDescent="0.35">
      <c r="F4026" s="38"/>
      <c r="G4026" s="39"/>
      <c r="H4026" s="40"/>
    </row>
    <row r="4027" spans="6:8" x14ac:dyDescent="0.35">
      <c r="F4027" s="38"/>
      <c r="G4027" s="39"/>
      <c r="H4027" s="40"/>
    </row>
    <row r="4028" spans="6:8" x14ac:dyDescent="0.35">
      <c r="F4028" s="38"/>
      <c r="G4028" s="39"/>
      <c r="H4028" s="40"/>
    </row>
    <row r="4029" spans="6:8" x14ac:dyDescent="0.35">
      <c r="F4029" s="38"/>
      <c r="G4029" s="39"/>
      <c r="H4029" s="40"/>
    </row>
    <row r="4030" spans="6:8" x14ac:dyDescent="0.35">
      <c r="F4030" s="38"/>
      <c r="G4030" s="39"/>
      <c r="H4030" s="40"/>
    </row>
    <row r="4031" spans="6:8" x14ac:dyDescent="0.35">
      <c r="F4031" s="38"/>
      <c r="G4031" s="39"/>
      <c r="H4031" s="40"/>
    </row>
    <row r="4032" spans="6:8" x14ac:dyDescent="0.35">
      <c r="F4032" s="38"/>
      <c r="G4032" s="39"/>
      <c r="H4032" s="40"/>
    </row>
    <row r="4033" spans="6:8" x14ac:dyDescent="0.35">
      <c r="F4033" s="38"/>
      <c r="G4033" s="39"/>
      <c r="H4033" s="40"/>
    </row>
    <row r="4034" spans="6:8" x14ac:dyDescent="0.35">
      <c r="F4034" s="38"/>
      <c r="G4034" s="39"/>
      <c r="H4034" s="40"/>
    </row>
    <row r="4035" spans="6:8" x14ac:dyDescent="0.35">
      <c r="F4035" s="38"/>
      <c r="G4035" s="39"/>
      <c r="H4035" s="40"/>
    </row>
    <row r="4036" spans="6:8" x14ac:dyDescent="0.35">
      <c r="F4036" s="38"/>
      <c r="G4036" s="39"/>
      <c r="H4036" s="40"/>
    </row>
    <row r="4037" spans="6:8" x14ac:dyDescent="0.35">
      <c r="F4037" s="38"/>
      <c r="G4037" s="39"/>
      <c r="H4037" s="40"/>
    </row>
    <row r="4038" spans="6:8" x14ac:dyDescent="0.35">
      <c r="F4038" s="38"/>
      <c r="G4038" s="39"/>
      <c r="H4038" s="40"/>
    </row>
    <row r="4039" spans="6:8" x14ac:dyDescent="0.35">
      <c r="F4039" s="38"/>
      <c r="G4039" s="39"/>
      <c r="H4039" s="40"/>
    </row>
    <row r="4040" spans="6:8" x14ac:dyDescent="0.35">
      <c r="F4040" s="38"/>
      <c r="G4040" s="39"/>
      <c r="H4040" s="40"/>
    </row>
    <row r="4041" spans="6:8" x14ac:dyDescent="0.35">
      <c r="F4041" s="38"/>
      <c r="G4041" s="39"/>
      <c r="H4041" s="40"/>
    </row>
    <row r="4042" spans="6:8" x14ac:dyDescent="0.35">
      <c r="F4042" s="38"/>
      <c r="G4042" s="39"/>
      <c r="H4042" s="40"/>
    </row>
    <row r="4043" spans="6:8" x14ac:dyDescent="0.35">
      <c r="F4043" s="38"/>
      <c r="G4043" s="39"/>
      <c r="H4043" s="40"/>
    </row>
    <row r="4044" spans="6:8" x14ac:dyDescent="0.35">
      <c r="F4044" s="38"/>
      <c r="G4044" s="39"/>
      <c r="H4044" s="40"/>
    </row>
    <row r="4045" spans="6:8" x14ac:dyDescent="0.35">
      <c r="F4045" s="38"/>
      <c r="G4045" s="39"/>
      <c r="H4045" s="40"/>
    </row>
    <row r="4046" spans="6:8" x14ac:dyDescent="0.35">
      <c r="F4046" s="38"/>
      <c r="G4046" s="39"/>
      <c r="H4046" s="40"/>
    </row>
    <row r="4047" spans="6:8" x14ac:dyDescent="0.35">
      <c r="F4047" s="38"/>
      <c r="G4047" s="39"/>
      <c r="H4047" s="40"/>
    </row>
    <row r="4048" spans="6:8" x14ac:dyDescent="0.35">
      <c r="F4048" s="38"/>
      <c r="G4048" s="39"/>
      <c r="H4048" s="40"/>
    </row>
    <row r="4049" spans="6:8" x14ac:dyDescent="0.35">
      <c r="F4049" s="38"/>
      <c r="G4049" s="39"/>
      <c r="H4049" s="40"/>
    </row>
    <row r="4050" spans="6:8" x14ac:dyDescent="0.35">
      <c r="F4050" s="38"/>
      <c r="G4050" s="39"/>
      <c r="H4050" s="40"/>
    </row>
    <row r="4051" spans="6:8" x14ac:dyDescent="0.35">
      <c r="F4051" s="38"/>
      <c r="G4051" s="39"/>
      <c r="H4051" s="40"/>
    </row>
    <row r="4052" spans="6:8" x14ac:dyDescent="0.35">
      <c r="F4052" s="38"/>
      <c r="G4052" s="39"/>
      <c r="H4052" s="40"/>
    </row>
    <row r="4053" spans="6:8" x14ac:dyDescent="0.35">
      <c r="F4053" s="38"/>
      <c r="G4053" s="39"/>
      <c r="H4053" s="40"/>
    </row>
    <row r="4054" spans="6:8" x14ac:dyDescent="0.35">
      <c r="F4054" s="38"/>
      <c r="G4054" s="39"/>
      <c r="H4054" s="40"/>
    </row>
    <row r="4055" spans="6:8" x14ac:dyDescent="0.35">
      <c r="F4055" s="38"/>
      <c r="G4055" s="39"/>
      <c r="H4055" s="40"/>
    </row>
    <row r="4056" spans="6:8" x14ac:dyDescent="0.35">
      <c r="F4056" s="38"/>
      <c r="G4056" s="39"/>
      <c r="H4056" s="40"/>
    </row>
    <row r="4057" spans="6:8" x14ac:dyDescent="0.35">
      <c r="F4057" s="38"/>
      <c r="G4057" s="39"/>
      <c r="H4057" s="40"/>
    </row>
    <row r="4058" spans="6:8" x14ac:dyDescent="0.35">
      <c r="F4058" s="38"/>
      <c r="G4058" s="39"/>
      <c r="H4058" s="40"/>
    </row>
    <row r="4059" spans="6:8" x14ac:dyDescent="0.35">
      <c r="F4059" s="38"/>
      <c r="G4059" s="39"/>
      <c r="H4059" s="40"/>
    </row>
    <row r="4060" spans="6:8" x14ac:dyDescent="0.35">
      <c r="F4060" s="38"/>
      <c r="G4060" s="39"/>
      <c r="H4060" s="40"/>
    </row>
    <row r="4061" spans="6:8" x14ac:dyDescent="0.35">
      <c r="F4061" s="38"/>
      <c r="G4061" s="39"/>
      <c r="H4061" s="40"/>
    </row>
    <row r="4062" spans="6:8" x14ac:dyDescent="0.35">
      <c r="F4062" s="38"/>
      <c r="G4062" s="39"/>
      <c r="H4062" s="40"/>
    </row>
    <row r="4063" spans="6:8" x14ac:dyDescent="0.35">
      <c r="F4063" s="38"/>
      <c r="G4063" s="39"/>
      <c r="H4063" s="40"/>
    </row>
    <row r="4064" spans="6:8" x14ac:dyDescent="0.35">
      <c r="F4064" s="38"/>
      <c r="G4064" s="39"/>
      <c r="H4064" s="40"/>
    </row>
    <row r="4065" spans="6:8" x14ac:dyDescent="0.35">
      <c r="F4065" s="38"/>
      <c r="G4065" s="39"/>
      <c r="H4065" s="40"/>
    </row>
    <row r="4066" spans="6:8" x14ac:dyDescent="0.35">
      <c r="F4066" s="38"/>
      <c r="G4066" s="39"/>
      <c r="H4066" s="40"/>
    </row>
    <row r="4067" spans="6:8" x14ac:dyDescent="0.35">
      <c r="F4067" s="38"/>
      <c r="G4067" s="39"/>
      <c r="H4067" s="40"/>
    </row>
    <row r="4068" spans="6:8" x14ac:dyDescent="0.35">
      <c r="F4068" s="38"/>
      <c r="G4068" s="39"/>
      <c r="H4068" s="40"/>
    </row>
    <row r="4069" spans="6:8" x14ac:dyDescent="0.35">
      <c r="F4069" s="38"/>
      <c r="G4069" s="39"/>
      <c r="H4069" s="40"/>
    </row>
    <row r="4070" spans="6:8" x14ac:dyDescent="0.35">
      <c r="F4070" s="38"/>
      <c r="G4070" s="39"/>
      <c r="H4070" s="40"/>
    </row>
    <row r="4071" spans="6:8" x14ac:dyDescent="0.35">
      <c r="F4071" s="38"/>
      <c r="G4071" s="39"/>
      <c r="H4071" s="40"/>
    </row>
    <row r="4072" spans="6:8" x14ac:dyDescent="0.35">
      <c r="F4072" s="38"/>
      <c r="G4072" s="39"/>
      <c r="H4072" s="40"/>
    </row>
    <row r="4073" spans="6:8" x14ac:dyDescent="0.35">
      <c r="F4073" s="38"/>
      <c r="G4073" s="39"/>
      <c r="H4073" s="40"/>
    </row>
    <row r="4074" spans="6:8" x14ac:dyDescent="0.35">
      <c r="F4074" s="38"/>
      <c r="G4074" s="39"/>
      <c r="H4074" s="40"/>
    </row>
    <row r="4075" spans="6:8" x14ac:dyDescent="0.35">
      <c r="F4075" s="38"/>
      <c r="G4075" s="39"/>
      <c r="H4075" s="40"/>
    </row>
    <row r="4076" spans="6:8" x14ac:dyDescent="0.35">
      <c r="F4076" s="38"/>
      <c r="G4076" s="39"/>
      <c r="H4076" s="40"/>
    </row>
    <row r="4077" spans="6:8" x14ac:dyDescent="0.35">
      <c r="F4077" s="38"/>
      <c r="G4077" s="39"/>
      <c r="H4077" s="40"/>
    </row>
    <row r="4078" spans="6:8" x14ac:dyDescent="0.35">
      <c r="F4078" s="38"/>
      <c r="G4078" s="39"/>
      <c r="H4078" s="40"/>
    </row>
    <row r="4079" spans="6:8" x14ac:dyDescent="0.35">
      <c r="F4079" s="38"/>
      <c r="G4079" s="39"/>
      <c r="H4079" s="40"/>
    </row>
    <row r="4080" spans="6:8" x14ac:dyDescent="0.35">
      <c r="F4080" s="38"/>
      <c r="G4080" s="39"/>
      <c r="H4080" s="40"/>
    </row>
    <row r="4081" spans="6:8" x14ac:dyDescent="0.35">
      <c r="F4081" s="38"/>
      <c r="G4081" s="39"/>
      <c r="H4081" s="40"/>
    </row>
    <row r="4082" spans="6:8" x14ac:dyDescent="0.35">
      <c r="F4082" s="38"/>
      <c r="G4082" s="39"/>
      <c r="H4082" s="40"/>
    </row>
    <row r="4083" spans="6:8" x14ac:dyDescent="0.35">
      <c r="F4083" s="38"/>
      <c r="G4083" s="39"/>
      <c r="H4083" s="40"/>
    </row>
    <row r="4084" spans="6:8" x14ac:dyDescent="0.35">
      <c r="F4084" s="38"/>
      <c r="G4084" s="39"/>
      <c r="H4084" s="40"/>
    </row>
    <row r="4085" spans="6:8" x14ac:dyDescent="0.35">
      <c r="F4085" s="38"/>
      <c r="G4085" s="39"/>
      <c r="H4085" s="40"/>
    </row>
    <row r="4086" spans="6:8" x14ac:dyDescent="0.35">
      <c r="F4086" s="38"/>
      <c r="G4086" s="39"/>
      <c r="H4086" s="40"/>
    </row>
    <row r="4087" spans="6:8" x14ac:dyDescent="0.35">
      <c r="F4087" s="38"/>
      <c r="G4087" s="39"/>
      <c r="H4087" s="40"/>
    </row>
    <row r="4088" spans="6:8" x14ac:dyDescent="0.35">
      <c r="F4088" s="38"/>
      <c r="G4088" s="39"/>
      <c r="H4088" s="40"/>
    </row>
    <row r="4089" spans="6:8" x14ac:dyDescent="0.35">
      <c r="F4089" s="38"/>
      <c r="G4089" s="39"/>
      <c r="H4089" s="40"/>
    </row>
    <row r="4090" spans="6:8" x14ac:dyDescent="0.35">
      <c r="F4090" s="38"/>
      <c r="G4090" s="39"/>
      <c r="H4090" s="40"/>
    </row>
    <row r="4091" spans="6:8" x14ac:dyDescent="0.35">
      <c r="F4091" s="38"/>
      <c r="G4091" s="39"/>
      <c r="H4091" s="40"/>
    </row>
    <row r="4092" spans="6:8" x14ac:dyDescent="0.35">
      <c r="F4092" s="38"/>
      <c r="G4092" s="39"/>
      <c r="H4092" s="40"/>
    </row>
    <row r="4093" spans="6:8" x14ac:dyDescent="0.35">
      <c r="F4093" s="38"/>
      <c r="G4093" s="39"/>
      <c r="H4093" s="40"/>
    </row>
    <row r="4094" spans="6:8" x14ac:dyDescent="0.35">
      <c r="F4094" s="38"/>
      <c r="G4094" s="39"/>
      <c r="H4094" s="40"/>
    </row>
    <row r="4095" spans="6:8" x14ac:dyDescent="0.35">
      <c r="F4095" s="38"/>
      <c r="G4095" s="39"/>
      <c r="H4095" s="40"/>
    </row>
    <row r="4096" spans="6:8" x14ac:dyDescent="0.35">
      <c r="F4096" s="38"/>
      <c r="G4096" s="39"/>
      <c r="H4096" s="40"/>
    </row>
    <row r="4097" spans="6:8" x14ac:dyDescent="0.35">
      <c r="F4097" s="38"/>
      <c r="G4097" s="39"/>
      <c r="H4097" s="40"/>
    </row>
    <row r="4098" spans="6:8" x14ac:dyDescent="0.35">
      <c r="F4098" s="38"/>
      <c r="G4098" s="39"/>
      <c r="H4098" s="40"/>
    </row>
    <row r="4099" spans="6:8" x14ac:dyDescent="0.35">
      <c r="F4099" s="38"/>
      <c r="G4099" s="39"/>
      <c r="H4099" s="40"/>
    </row>
    <row r="4100" spans="6:8" x14ac:dyDescent="0.35">
      <c r="F4100" s="38"/>
      <c r="G4100" s="39"/>
      <c r="H4100" s="40"/>
    </row>
    <row r="4101" spans="6:8" x14ac:dyDescent="0.35">
      <c r="F4101" s="38"/>
      <c r="G4101" s="39"/>
      <c r="H4101" s="40"/>
    </row>
    <row r="4102" spans="6:8" x14ac:dyDescent="0.35">
      <c r="F4102" s="38"/>
      <c r="G4102" s="39"/>
      <c r="H4102" s="40"/>
    </row>
    <row r="4103" spans="6:8" x14ac:dyDescent="0.35">
      <c r="F4103" s="38"/>
      <c r="G4103" s="39"/>
      <c r="H4103" s="40"/>
    </row>
    <row r="4104" spans="6:8" x14ac:dyDescent="0.35">
      <c r="F4104" s="38"/>
      <c r="G4104" s="39"/>
      <c r="H4104" s="40"/>
    </row>
    <row r="4105" spans="6:8" x14ac:dyDescent="0.35">
      <c r="F4105" s="38"/>
      <c r="G4105" s="39"/>
      <c r="H4105" s="40"/>
    </row>
    <row r="4106" spans="6:8" x14ac:dyDescent="0.35">
      <c r="F4106" s="38"/>
      <c r="G4106" s="39"/>
      <c r="H4106" s="40"/>
    </row>
    <row r="4107" spans="6:8" x14ac:dyDescent="0.35">
      <c r="F4107" s="38"/>
      <c r="G4107" s="39"/>
      <c r="H4107" s="40"/>
    </row>
    <row r="4108" spans="6:8" x14ac:dyDescent="0.35">
      <c r="F4108" s="38"/>
      <c r="G4108" s="39"/>
      <c r="H4108" s="40"/>
    </row>
    <row r="4109" spans="6:8" x14ac:dyDescent="0.35">
      <c r="F4109" s="38"/>
      <c r="G4109" s="39"/>
      <c r="H4109" s="40"/>
    </row>
    <row r="4110" spans="6:8" x14ac:dyDescent="0.35">
      <c r="F4110" s="38"/>
      <c r="G4110" s="39"/>
      <c r="H4110" s="40"/>
    </row>
    <row r="4111" spans="6:8" x14ac:dyDescent="0.35">
      <c r="F4111" s="38"/>
      <c r="G4111" s="39"/>
      <c r="H4111" s="40"/>
    </row>
    <row r="4112" spans="6:8" x14ac:dyDescent="0.35">
      <c r="F4112" s="38"/>
      <c r="G4112" s="39"/>
      <c r="H4112" s="40"/>
    </row>
    <row r="4113" spans="6:8" x14ac:dyDescent="0.35">
      <c r="F4113" s="38"/>
      <c r="G4113" s="39"/>
      <c r="H4113" s="40"/>
    </row>
    <row r="4114" spans="6:8" x14ac:dyDescent="0.35">
      <c r="F4114" s="38"/>
      <c r="G4114" s="39"/>
      <c r="H4114" s="40"/>
    </row>
    <row r="4115" spans="6:8" x14ac:dyDescent="0.35">
      <c r="F4115" s="38"/>
      <c r="G4115" s="39"/>
      <c r="H4115" s="40"/>
    </row>
    <row r="4116" spans="6:8" x14ac:dyDescent="0.35">
      <c r="F4116" s="38"/>
      <c r="G4116" s="39"/>
      <c r="H4116" s="40"/>
    </row>
    <row r="4117" spans="6:8" x14ac:dyDescent="0.35">
      <c r="F4117" s="38"/>
      <c r="G4117" s="39"/>
      <c r="H4117" s="40"/>
    </row>
    <row r="4118" spans="6:8" x14ac:dyDescent="0.35">
      <c r="F4118" s="38"/>
      <c r="G4118" s="39"/>
      <c r="H4118" s="40"/>
    </row>
    <row r="4119" spans="6:8" x14ac:dyDescent="0.35">
      <c r="F4119" s="38"/>
      <c r="G4119" s="39"/>
      <c r="H4119" s="40"/>
    </row>
    <row r="4120" spans="6:8" x14ac:dyDescent="0.35">
      <c r="F4120" s="38"/>
      <c r="G4120" s="39"/>
      <c r="H4120" s="40"/>
    </row>
    <row r="4121" spans="6:8" x14ac:dyDescent="0.35">
      <c r="F4121" s="38"/>
      <c r="G4121" s="39"/>
      <c r="H4121" s="40"/>
    </row>
    <row r="4122" spans="6:8" x14ac:dyDescent="0.35">
      <c r="F4122" s="38"/>
      <c r="G4122" s="39"/>
      <c r="H4122" s="40"/>
    </row>
    <row r="4123" spans="6:8" x14ac:dyDescent="0.35">
      <c r="F4123" s="38"/>
      <c r="G4123" s="39"/>
      <c r="H4123" s="40"/>
    </row>
    <row r="4124" spans="6:8" x14ac:dyDescent="0.35">
      <c r="F4124" s="38"/>
      <c r="G4124" s="39"/>
      <c r="H4124" s="40"/>
    </row>
    <row r="4125" spans="6:8" x14ac:dyDescent="0.35">
      <c r="F4125" s="38"/>
      <c r="G4125" s="39"/>
      <c r="H4125" s="40"/>
    </row>
    <row r="4126" spans="6:8" x14ac:dyDescent="0.35">
      <c r="F4126" s="38"/>
      <c r="G4126" s="39"/>
      <c r="H4126" s="40"/>
    </row>
    <row r="4127" spans="6:8" x14ac:dyDescent="0.35">
      <c r="F4127" s="38"/>
      <c r="G4127" s="39"/>
      <c r="H4127" s="40"/>
    </row>
    <row r="4128" spans="6:8" x14ac:dyDescent="0.35">
      <c r="F4128" s="38"/>
      <c r="G4128" s="39"/>
      <c r="H4128" s="40"/>
    </row>
    <row r="4129" spans="6:8" x14ac:dyDescent="0.35">
      <c r="F4129" s="38"/>
      <c r="G4129" s="39"/>
      <c r="H4129" s="40"/>
    </row>
    <row r="4130" spans="6:8" x14ac:dyDescent="0.35">
      <c r="F4130" s="38"/>
      <c r="G4130" s="39"/>
      <c r="H4130" s="40"/>
    </row>
    <row r="4131" spans="6:8" x14ac:dyDescent="0.35">
      <c r="F4131" s="38"/>
      <c r="G4131" s="39"/>
      <c r="H4131" s="40"/>
    </row>
    <row r="4132" spans="6:8" x14ac:dyDescent="0.35">
      <c r="F4132" s="38"/>
      <c r="G4132" s="39"/>
      <c r="H4132" s="40"/>
    </row>
    <row r="4133" spans="6:8" x14ac:dyDescent="0.35">
      <c r="F4133" s="38"/>
      <c r="G4133" s="39"/>
      <c r="H4133" s="40"/>
    </row>
    <row r="4134" spans="6:8" x14ac:dyDescent="0.35">
      <c r="F4134" s="38"/>
      <c r="G4134" s="39"/>
      <c r="H4134" s="40"/>
    </row>
    <row r="4135" spans="6:8" x14ac:dyDescent="0.35">
      <c r="F4135" s="38"/>
      <c r="G4135" s="39"/>
      <c r="H4135" s="40"/>
    </row>
    <row r="4136" spans="6:8" x14ac:dyDescent="0.35">
      <c r="F4136" s="38"/>
      <c r="G4136" s="39"/>
      <c r="H4136" s="40"/>
    </row>
    <row r="4137" spans="6:8" x14ac:dyDescent="0.35">
      <c r="F4137" s="38"/>
      <c r="G4137" s="39"/>
      <c r="H4137" s="40"/>
    </row>
    <row r="4138" spans="6:8" x14ac:dyDescent="0.35">
      <c r="F4138" s="38"/>
      <c r="G4138" s="39"/>
      <c r="H4138" s="40"/>
    </row>
    <row r="4139" spans="6:8" x14ac:dyDescent="0.35">
      <c r="F4139" s="38"/>
      <c r="G4139" s="39"/>
      <c r="H4139" s="40"/>
    </row>
    <row r="4140" spans="6:8" x14ac:dyDescent="0.35">
      <c r="F4140" s="38"/>
      <c r="G4140" s="39"/>
      <c r="H4140" s="40"/>
    </row>
    <row r="4141" spans="6:8" x14ac:dyDescent="0.35">
      <c r="F4141" s="38"/>
      <c r="G4141" s="39"/>
      <c r="H4141" s="40"/>
    </row>
    <row r="4142" spans="6:8" x14ac:dyDescent="0.35">
      <c r="F4142" s="38"/>
      <c r="G4142" s="39"/>
      <c r="H4142" s="40"/>
    </row>
    <row r="4143" spans="6:8" x14ac:dyDescent="0.35">
      <c r="F4143" s="38"/>
      <c r="G4143" s="39"/>
      <c r="H4143" s="40"/>
    </row>
    <row r="4144" spans="6:8" x14ac:dyDescent="0.35">
      <c r="F4144" s="38"/>
      <c r="G4144" s="39"/>
      <c r="H4144" s="40"/>
    </row>
    <row r="4145" spans="6:8" x14ac:dyDescent="0.35">
      <c r="F4145" s="38"/>
      <c r="G4145" s="39"/>
      <c r="H4145" s="40"/>
    </row>
    <row r="4146" spans="6:8" x14ac:dyDescent="0.35">
      <c r="F4146" s="38"/>
      <c r="G4146" s="39"/>
      <c r="H4146" s="40"/>
    </row>
    <row r="4147" spans="6:8" x14ac:dyDescent="0.35">
      <c r="F4147" s="38"/>
      <c r="G4147" s="39"/>
      <c r="H4147" s="40"/>
    </row>
    <row r="4148" spans="6:8" x14ac:dyDescent="0.35">
      <c r="F4148" s="38"/>
      <c r="G4148" s="39"/>
      <c r="H4148" s="40"/>
    </row>
    <row r="4149" spans="6:8" x14ac:dyDescent="0.35">
      <c r="F4149" s="38"/>
      <c r="G4149" s="39"/>
      <c r="H4149" s="40"/>
    </row>
    <row r="4150" spans="6:8" x14ac:dyDescent="0.35">
      <c r="F4150" s="38"/>
      <c r="G4150" s="39"/>
      <c r="H4150" s="40"/>
    </row>
    <row r="4151" spans="6:8" x14ac:dyDescent="0.35">
      <c r="F4151" s="38"/>
      <c r="G4151" s="39"/>
      <c r="H4151" s="40"/>
    </row>
    <row r="4152" spans="6:8" x14ac:dyDescent="0.35">
      <c r="F4152" s="38"/>
      <c r="G4152" s="39"/>
      <c r="H4152" s="40"/>
    </row>
    <row r="4153" spans="6:8" x14ac:dyDescent="0.35">
      <c r="F4153" s="38"/>
      <c r="G4153" s="39"/>
      <c r="H4153" s="40"/>
    </row>
    <row r="4154" spans="6:8" x14ac:dyDescent="0.35">
      <c r="F4154" s="38"/>
      <c r="G4154" s="39"/>
      <c r="H4154" s="40"/>
    </row>
    <row r="4155" spans="6:8" x14ac:dyDescent="0.35">
      <c r="F4155" s="38"/>
      <c r="G4155" s="39"/>
      <c r="H4155" s="40"/>
    </row>
    <row r="4156" spans="6:8" x14ac:dyDescent="0.35">
      <c r="F4156" s="38"/>
      <c r="G4156" s="39"/>
      <c r="H4156" s="40"/>
    </row>
    <row r="4157" spans="6:8" x14ac:dyDescent="0.35">
      <c r="F4157" s="38"/>
      <c r="G4157" s="39"/>
      <c r="H4157" s="40"/>
    </row>
    <row r="4158" spans="6:8" x14ac:dyDescent="0.35">
      <c r="F4158" s="38"/>
      <c r="G4158" s="39"/>
      <c r="H4158" s="40"/>
    </row>
    <row r="4159" spans="6:8" x14ac:dyDescent="0.35">
      <c r="F4159" s="38"/>
      <c r="G4159" s="39"/>
      <c r="H4159" s="40"/>
    </row>
    <row r="4160" spans="6:8" x14ac:dyDescent="0.35">
      <c r="F4160" s="38"/>
      <c r="G4160" s="39"/>
      <c r="H4160" s="40"/>
    </row>
    <row r="4161" spans="6:8" x14ac:dyDescent="0.35">
      <c r="F4161" s="38"/>
      <c r="G4161" s="39"/>
      <c r="H4161" s="40"/>
    </row>
    <row r="4162" spans="6:8" x14ac:dyDescent="0.35">
      <c r="F4162" s="38"/>
      <c r="G4162" s="39"/>
      <c r="H4162" s="40"/>
    </row>
    <row r="4163" spans="6:8" x14ac:dyDescent="0.35">
      <c r="F4163" s="38"/>
      <c r="G4163" s="39"/>
      <c r="H4163" s="40"/>
    </row>
    <row r="4164" spans="6:8" x14ac:dyDescent="0.35">
      <c r="F4164" s="38"/>
      <c r="G4164" s="39"/>
      <c r="H4164" s="40"/>
    </row>
    <row r="4165" spans="6:8" x14ac:dyDescent="0.35">
      <c r="F4165" s="38"/>
      <c r="G4165" s="39"/>
      <c r="H4165" s="40"/>
    </row>
    <row r="4166" spans="6:8" x14ac:dyDescent="0.35">
      <c r="F4166" s="38"/>
      <c r="G4166" s="39"/>
      <c r="H4166" s="40"/>
    </row>
    <row r="4167" spans="6:8" x14ac:dyDescent="0.35">
      <c r="F4167" s="38"/>
      <c r="G4167" s="39"/>
      <c r="H4167" s="40"/>
    </row>
    <row r="4168" spans="6:8" x14ac:dyDescent="0.35">
      <c r="F4168" s="38"/>
      <c r="G4168" s="39"/>
      <c r="H4168" s="40"/>
    </row>
    <row r="4169" spans="6:8" x14ac:dyDescent="0.35">
      <c r="F4169" s="38"/>
      <c r="G4169" s="39"/>
      <c r="H4169" s="40"/>
    </row>
    <row r="4170" spans="6:8" x14ac:dyDescent="0.35">
      <c r="F4170" s="38"/>
      <c r="G4170" s="39"/>
      <c r="H4170" s="40"/>
    </row>
    <row r="4171" spans="6:8" x14ac:dyDescent="0.35">
      <c r="F4171" s="38"/>
      <c r="G4171" s="39"/>
      <c r="H4171" s="40"/>
    </row>
    <row r="4172" spans="6:8" x14ac:dyDescent="0.35">
      <c r="F4172" s="38"/>
      <c r="G4172" s="39"/>
      <c r="H4172" s="40"/>
    </row>
    <row r="4173" spans="6:8" x14ac:dyDescent="0.35">
      <c r="F4173" s="38"/>
      <c r="G4173" s="39"/>
      <c r="H4173" s="40"/>
    </row>
    <row r="4174" spans="6:8" x14ac:dyDescent="0.35">
      <c r="F4174" s="38"/>
      <c r="G4174" s="39"/>
      <c r="H4174" s="40"/>
    </row>
    <row r="4175" spans="6:8" x14ac:dyDescent="0.35">
      <c r="F4175" s="38"/>
      <c r="G4175" s="39"/>
      <c r="H4175" s="40"/>
    </row>
    <row r="4176" spans="6:8" x14ac:dyDescent="0.35">
      <c r="F4176" s="38"/>
      <c r="G4176" s="39"/>
      <c r="H4176" s="40"/>
    </row>
    <row r="4177" spans="6:8" x14ac:dyDescent="0.35">
      <c r="F4177" s="38"/>
      <c r="G4177" s="39"/>
      <c r="H4177" s="40"/>
    </row>
    <row r="4178" spans="6:8" x14ac:dyDescent="0.35">
      <c r="F4178" s="38"/>
      <c r="G4178" s="39"/>
      <c r="H4178" s="40"/>
    </row>
    <row r="4179" spans="6:8" x14ac:dyDescent="0.35">
      <c r="F4179" s="38"/>
      <c r="G4179" s="39"/>
      <c r="H4179" s="40"/>
    </row>
    <row r="4180" spans="6:8" x14ac:dyDescent="0.35">
      <c r="F4180" s="38"/>
      <c r="G4180" s="39"/>
      <c r="H4180" s="40"/>
    </row>
    <row r="4181" spans="6:8" x14ac:dyDescent="0.35">
      <c r="F4181" s="38"/>
      <c r="G4181" s="39"/>
      <c r="H4181" s="40"/>
    </row>
    <row r="4182" spans="6:8" x14ac:dyDescent="0.35">
      <c r="F4182" s="38"/>
      <c r="G4182" s="39"/>
      <c r="H4182" s="40"/>
    </row>
    <row r="4183" spans="6:8" x14ac:dyDescent="0.35">
      <c r="F4183" s="38"/>
      <c r="G4183" s="39"/>
      <c r="H4183" s="40"/>
    </row>
    <row r="4184" spans="6:8" x14ac:dyDescent="0.35">
      <c r="F4184" s="38"/>
      <c r="G4184" s="39"/>
      <c r="H4184" s="40"/>
    </row>
    <row r="4185" spans="6:8" x14ac:dyDescent="0.35">
      <c r="F4185" s="38"/>
      <c r="G4185" s="39"/>
      <c r="H4185" s="40"/>
    </row>
    <row r="4186" spans="6:8" x14ac:dyDescent="0.35">
      <c r="F4186" s="38"/>
      <c r="G4186" s="39"/>
      <c r="H4186" s="40"/>
    </row>
    <row r="4187" spans="6:8" x14ac:dyDescent="0.35">
      <c r="F4187" s="38"/>
      <c r="G4187" s="39"/>
      <c r="H4187" s="40"/>
    </row>
    <row r="4188" spans="6:8" x14ac:dyDescent="0.35">
      <c r="F4188" s="38"/>
      <c r="G4188" s="39"/>
      <c r="H4188" s="40"/>
    </row>
    <row r="4189" spans="6:8" x14ac:dyDescent="0.35">
      <c r="F4189" s="38"/>
      <c r="G4189" s="39"/>
      <c r="H4189" s="40"/>
    </row>
    <row r="4190" spans="6:8" x14ac:dyDescent="0.35">
      <c r="F4190" s="38"/>
      <c r="G4190" s="39"/>
      <c r="H4190" s="40"/>
    </row>
    <row r="4191" spans="6:8" x14ac:dyDescent="0.35">
      <c r="F4191" s="38"/>
      <c r="G4191" s="39"/>
      <c r="H4191" s="40"/>
    </row>
    <row r="4192" spans="6:8" x14ac:dyDescent="0.35">
      <c r="F4192" s="38"/>
      <c r="G4192" s="39"/>
      <c r="H4192" s="40"/>
    </row>
    <row r="4193" spans="6:8" x14ac:dyDescent="0.35">
      <c r="F4193" s="38"/>
      <c r="G4193" s="39"/>
      <c r="H4193" s="40"/>
    </row>
    <row r="4194" spans="6:8" x14ac:dyDescent="0.35">
      <c r="F4194" s="38"/>
      <c r="G4194" s="39"/>
      <c r="H4194" s="40"/>
    </row>
    <row r="4195" spans="6:8" x14ac:dyDescent="0.35">
      <c r="F4195" s="38"/>
      <c r="G4195" s="39"/>
      <c r="H4195" s="40"/>
    </row>
    <row r="4196" spans="6:8" x14ac:dyDescent="0.35">
      <c r="F4196" s="38"/>
      <c r="G4196" s="39"/>
      <c r="H4196" s="40"/>
    </row>
    <row r="4197" spans="6:8" x14ac:dyDescent="0.35">
      <c r="F4197" s="38"/>
      <c r="G4197" s="39"/>
      <c r="H4197" s="40"/>
    </row>
    <row r="4198" spans="6:8" x14ac:dyDescent="0.35">
      <c r="F4198" s="38"/>
      <c r="G4198" s="39"/>
      <c r="H4198" s="40"/>
    </row>
    <row r="4199" spans="6:8" x14ac:dyDescent="0.35">
      <c r="F4199" s="38"/>
      <c r="G4199" s="39"/>
      <c r="H4199" s="40"/>
    </row>
    <row r="4200" spans="6:8" x14ac:dyDescent="0.35">
      <c r="F4200" s="38"/>
      <c r="G4200" s="39"/>
      <c r="H4200" s="40"/>
    </row>
    <row r="4201" spans="6:8" x14ac:dyDescent="0.35">
      <c r="F4201" s="38"/>
      <c r="G4201" s="39"/>
      <c r="H4201" s="40"/>
    </row>
    <row r="4202" spans="6:8" x14ac:dyDescent="0.35">
      <c r="F4202" s="38"/>
      <c r="G4202" s="39"/>
      <c r="H4202" s="40"/>
    </row>
    <row r="4203" spans="6:8" x14ac:dyDescent="0.35">
      <c r="F4203" s="38"/>
      <c r="G4203" s="39"/>
      <c r="H4203" s="40"/>
    </row>
    <row r="4204" spans="6:8" x14ac:dyDescent="0.35">
      <c r="F4204" s="38"/>
      <c r="G4204" s="39"/>
      <c r="H4204" s="40"/>
    </row>
    <row r="4205" spans="6:8" x14ac:dyDescent="0.35">
      <c r="F4205" s="38"/>
      <c r="G4205" s="39"/>
      <c r="H4205" s="40"/>
    </row>
    <row r="4206" spans="6:8" x14ac:dyDescent="0.35">
      <c r="F4206" s="38"/>
      <c r="G4206" s="39"/>
      <c r="H4206" s="40"/>
    </row>
    <row r="4207" spans="6:8" x14ac:dyDescent="0.35">
      <c r="F4207" s="38"/>
      <c r="G4207" s="39"/>
      <c r="H4207" s="40"/>
    </row>
    <row r="4208" spans="6:8" x14ac:dyDescent="0.35">
      <c r="F4208" s="38"/>
      <c r="G4208" s="39"/>
      <c r="H4208" s="40"/>
    </row>
    <row r="4209" spans="6:8" x14ac:dyDescent="0.35">
      <c r="F4209" s="38"/>
      <c r="G4209" s="39"/>
      <c r="H4209" s="40"/>
    </row>
    <row r="4210" spans="6:8" x14ac:dyDescent="0.35">
      <c r="F4210" s="38"/>
      <c r="G4210" s="39"/>
      <c r="H4210" s="40"/>
    </row>
    <row r="4211" spans="6:8" x14ac:dyDescent="0.35">
      <c r="F4211" s="38"/>
      <c r="G4211" s="39"/>
      <c r="H4211" s="40"/>
    </row>
    <row r="4212" spans="6:8" x14ac:dyDescent="0.35">
      <c r="F4212" s="38"/>
      <c r="G4212" s="39"/>
      <c r="H4212" s="40"/>
    </row>
    <row r="4213" spans="6:8" x14ac:dyDescent="0.35">
      <c r="F4213" s="38"/>
      <c r="G4213" s="39"/>
      <c r="H4213" s="40"/>
    </row>
    <row r="4214" spans="6:8" x14ac:dyDescent="0.35">
      <c r="F4214" s="38"/>
      <c r="G4214" s="39"/>
      <c r="H4214" s="40"/>
    </row>
    <row r="4215" spans="6:8" x14ac:dyDescent="0.35">
      <c r="F4215" s="38"/>
      <c r="G4215" s="39"/>
      <c r="H4215" s="40"/>
    </row>
    <row r="4216" spans="6:8" x14ac:dyDescent="0.35">
      <c r="F4216" s="38"/>
      <c r="G4216" s="39"/>
      <c r="H4216" s="40"/>
    </row>
    <row r="4217" spans="6:8" x14ac:dyDescent="0.35">
      <c r="F4217" s="38"/>
      <c r="G4217" s="39"/>
      <c r="H4217" s="40"/>
    </row>
    <row r="4218" spans="6:8" x14ac:dyDescent="0.35">
      <c r="F4218" s="38"/>
      <c r="G4218" s="39"/>
      <c r="H4218" s="40"/>
    </row>
    <row r="4219" spans="6:8" x14ac:dyDescent="0.35">
      <c r="F4219" s="38"/>
      <c r="G4219" s="39"/>
      <c r="H4219" s="40"/>
    </row>
    <row r="4220" spans="6:8" x14ac:dyDescent="0.35">
      <c r="F4220" s="38"/>
      <c r="G4220" s="39"/>
      <c r="H4220" s="40"/>
    </row>
    <row r="4221" spans="6:8" x14ac:dyDescent="0.35">
      <c r="F4221" s="38"/>
      <c r="G4221" s="39"/>
      <c r="H4221" s="40"/>
    </row>
    <row r="4222" spans="6:8" x14ac:dyDescent="0.35">
      <c r="F4222" s="38"/>
      <c r="G4222" s="39"/>
      <c r="H4222" s="40"/>
    </row>
    <row r="4223" spans="6:8" x14ac:dyDescent="0.35">
      <c r="F4223" s="38"/>
      <c r="G4223" s="39"/>
      <c r="H4223" s="40"/>
    </row>
    <row r="4224" spans="6:8" x14ac:dyDescent="0.35">
      <c r="F4224" s="38"/>
      <c r="G4224" s="39"/>
      <c r="H4224" s="40"/>
    </row>
    <row r="4225" spans="6:8" x14ac:dyDescent="0.35">
      <c r="F4225" s="38"/>
      <c r="G4225" s="39"/>
      <c r="H4225" s="40"/>
    </row>
    <row r="4226" spans="6:8" x14ac:dyDescent="0.35">
      <c r="F4226" s="38"/>
      <c r="G4226" s="39"/>
      <c r="H4226" s="40"/>
    </row>
    <row r="4227" spans="6:8" x14ac:dyDescent="0.35">
      <c r="F4227" s="38"/>
      <c r="G4227" s="39"/>
      <c r="H4227" s="40"/>
    </row>
    <row r="4228" spans="6:8" x14ac:dyDescent="0.35">
      <c r="F4228" s="38"/>
      <c r="G4228" s="39"/>
      <c r="H4228" s="40"/>
    </row>
    <row r="4229" spans="6:8" x14ac:dyDescent="0.35">
      <c r="F4229" s="38"/>
      <c r="G4229" s="39"/>
      <c r="H4229" s="40"/>
    </row>
    <row r="4230" spans="6:8" x14ac:dyDescent="0.35">
      <c r="F4230" s="38"/>
      <c r="G4230" s="39"/>
      <c r="H4230" s="40"/>
    </row>
    <row r="4231" spans="6:8" x14ac:dyDescent="0.35">
      <c r="F4231" s="38"/>
      <c r="G4231" s="39"/>
      <c r="H4231" s="40"/>
    </row>
    <row r="4232" spans="6:8" x14ac:dyDescent="0.35">
      <c r="F4232" s="38"/>
      <c r="G4232" s="39"/>
      <c r="H4232" s="40"/>
    </row>
    <row r="4233" spans="6:8" x14ac:dyDescent="0.35">
      <c r="F4233" s="38"/>
      <c r="G4233" s="39"/>
      <c r="H4233" s="40"/>
    </row>
    <row r="4234" spans="6:8" x14ac:dyDescent="0.35">
      <c r="F4234" s="38"/>
      <c r="G4234" s="39"/>
      <c r="H4234" s="40"/>
    </row>
    <row r="4235" spans="6:8" x14ac:dyDescent="0.35">
      <c r="F4235" s="38"/>
      <c r="G4235" s="39"/>
      <c r="H4235" s="40"/>
    </row>
    <row r="4236" spans="6:8" x14ac:dyDescent="0.35">
      <c r="F4236" s="38"/>
      <c r="G4236" s="39"/>
      <c r="H4236" s="40"/>
    </row>
    <row r="4237" spans="6:8" x14ac:dyDescent="0.35">
      <c r="F4237" s="38"/>
      <c r="G4237" s="39"/>
      <c r="H4237" s="40"/>
    </row>
    <row r="4238" spans="6:8" x14ac:dyDescent="0.35">
      <c r="F4238" s="38"/>
      <c r="G4238" s="39"/>
      <c r="H4238" s="40"/>
    </row>
    <row r="4239" spans="6:8" x14ac:dyDescent="0.35">
      <c r="F4239" s="38"/>
      <c r="G4239" s="39"/>
      <c r="H4239" s="40"/>
    </row>
    <row r="4240" spans="6:8" x14ac:dyDescent="0.35">
      <c r="F4240" s="38"/>
      <c r="G4240" s="39"/>
      <c r="H4240" s="40"/>
    </row>
    <row r="4241" spans="6:8" x14ac:dyDescent="0.35">
      <c r="F4241" s="38"/>
      <c r="G4241" s="39"/>
      <c r="H4241" s="40"/>
    </row>
    <row r="4242" spans="6:8" x14ac:dyDescent="0.35">
      <c r="F4242" s="38"/>
      <c r="G4242" s="39"/>
      <c r="H4242" s="40"/>
    </row>
    <row r="4243" spans="6:8" x14ac:dyDescent="0.35">
      <c r="F4243" s="38"/>
      <c r="G4243" s="39"/>
      <c r="H4243" s="40"/>
    </row>
    <row r="4244" spans="6:8" x14ac:dyDescent="0.35">
      <c r="F4244" s="38"/>
      <c r="G4244" s="39"/>
      <c r="H4244" s="40"/>
    </row>
    <row r="4245" spans="6:8" x14ac:dyDescent="0.35">
      <c r="F4245" s="38"/>
      <c r="G4245" s="39"/>
      <c r="H4245" s="40"/>
    </row>
    <row r="4246" spans="6:8" x14ac:dyDescent="0.35">
      <c r="F4246" s="38"/>
      <c r="G4246" s="39"/>
      <c r="H4246" s="40"/>
    </row>
    <row r="4247" spans="6:8" x14ac:dyDescent="0.35">
      <c r="F4247" s="38"/>
      <c r="G4247" s="39"/>
      <c r="H4247" s="40"/>
    </row>
    <row r="4248" spans="6:8" x14ac:dyDescent="0.35">
      <c r="F4248" s="38"/>
      <c r="G4248" s="39"/>
      <c r="H4248" s="40"/>
    </row>
    <row r="4249" spans="6:8" x14ac:dyDescent="0.35">
      <c r="F4249" s="38"/>
      <c r="G4249" s="39"/>
      <c r="H4249" s="40"/>
    </row>
    <row r="4250" spans="6:8" x14ac:dyDescent="0.35">
      <c r="F4250" s="38"/>
      <c r="G4250" s="39"/>
      <c r="H4250" s="40"/>
    </row>
    <row r="4251" spans="6:8" x14ac:dyDescent="0.35">
      <c r="F4251" s="38"/>
      <c r="G4251" s="39"/>
      <c r="H4251" s="40"/>
    </row>
    <row r="4252" spans="6:8" x14ac:dyDescent="0.35">
      <c r="F4252" s="38"/>
      <c r="G4252" s="39"/>
      <c r="H4252" s="40"/>
    </row>
    <row r="4253" spans="6:8" x14ac:dyDescent="0.35">
      <c r="F4253" s="38"/>
      <c r="G4253" s="39"/>
      <c r="H4253" s="40"/>
    </row>
    <row r="4254" spans="6:8" x14ac:dyDescent="0.35">
      <c r="F4254" s="38"/>
      <c r="G4254" s="39"/>
      <c r="H4254" s="40"/>
    </row>
    <row r="4255" spans="6:8" x14ac:dyDescent="0.35">
      <c r="F4255" s="38"/>
      <c r="G4255" s="39"/>
      <c r="H4255" s="40"/>
    </row>
    <row r="4256" spans="6:8" x14ac:dyDescent="0.35">
      <c r="F4256" s="38"/>
      <c r="G4256" s="39"/>
      <c r="H4256" s="40"/>
    </row>
    <row r="4257" spans="6:8" x14ac:dyDescent="0.35">
      <c r="F4257" s="38"/>
      <c r="G4257" s="39"/>
      <c r="H4257" s="40"/>
    </row>
    <row r="4258" spans="6:8" x14ac:dyDescent="0.35">
      <c r="F4258" s="38"/>
      <c r="G4258" s="39"/>
      <c r="H4258" s="40"/>
    </row>
    <row r="4259" spans="6:8" x14ac:dyDescent="0.35">
      <c r="F4259" s="38"/>
      <c r="G4259" s="39"/>
      <c r="H4259" s="40"/>
    </row>
    <row r="4260" spans="6:8" x14ac:dyDescent="0.35">
      <c r="F4260" s="38"/>
      <c r="G4260" s="39"/>
      <c r="H4260" s="40"/>
    </row>
    <row r="4261" spans="6:8" x14ac:dyDescent="0.35">
      <c r="F4261" s="38"/>
      <c r="G4261" s="39"/>
      <c r="H4261" s="40"/>
    </row>
    <row r="4262" spans="6:8" x14ac:dyDescent="0.35">
      <c r="F4262" s="38"/>
      <c r="G4262" s="39"/>
      <c r="H4262" s="40"/>
    </row>
    <row r="4263" spans="6:8" x14ac:dyDescent="0.35">
      <c r="F4263" s="38"/>
      <c r="G4263" s="39"/>
      <c r="H4263" s="40"/>
    </row>
    <row r="4264" spans="6:8" x14ac:dyDescent="0.35">
      <c r="F4264" s="38"/>
      <c r="G4264" s="39"/>
      <c r="H4264" s="40"/>
    </row>
    <row r="4265" spans="6:8" x14ac:dyDescent="0.35">
      <c r="F4265" s="38"/>
      <c r="G4265" s="39"/>
      <c r="H4265" s="40"/>
    </row>
    <row r="4266" spans="6:8" x14ac:dyDescent="0.35">
      <c r="F4266" s="38"/>
      <c r="G4266" s="39"/>
      <c r="H4266" s="40"/>
    </row>
    <row r="4267" spans="6:8" x14ac:dyDescent="0.35">
      <c r="F4267" s="38"/>
      <c r="G4267" s="39"/>
      <c r="H4267" s="40"/>
    </row>
    <row r="4268" spans="6:8" x14ac:dyDescent="0.35">
      <c r="F4268" s="38"/>
      <c r="G4268" s="39"/>
      <c r="H4268" s="40"/>
    </row>
    <row r="4269" spans="6:8" x14ac:dyDescent="0.35">
      <c r="F4269" s="38"/>
      <c r="G4269" s="39"/>
      <c r="H4269" s="40"/>
    </row>
    <row r="4270" spans="6:8" x14ac:dyDescent="0.35">
      <c r="F4270" s="38"/>
      <c r="G4270" s="39"/>
      <c r="H4270" s="40"/>
    </row>
    <row r="4271" spans="6:8" x14ac:dyDescent="0.35">
      <c r="F4271" s="38"/>
      <c r="G4271" s="39"/>
      <c r="H4271" s="40"/>
    </row>
    <row r="4272" spans="6:8" x14ac:dyDescent="0.35">
      <c r="F4272" s="38"/>
      <c r="G4272" s="39"/>
      <c r="H4272" s="40"/>
    </row>
    <row r="4273" spans="6:8" x14ac:dyDescent="0.35">
      <c r="F4273" s="38"/>
      <c r="G4273" s="39"/>
      <c r="H4273" s="40"/>
    </row>
    <row r="4274" spans="6:8" x14ac:dyDescent="0.35">
      <c r="F4274" s="38"/>
      <c r="G4274" s="39"/>
      <c r="H4274" s="40"/>
    </row>
    <row r="4275" spans="6:8" x14ac:dyDescent="0.35">
      <c r="F4275" s="38"/>
      <c r="G4275" s="39"/>
      <c r="H4275" s="40"/>
    </row>
    <row r="4276" spans="6:8" x14ac:dyDescent="0.35">
      <c r="F4276" s="38"/>
      <c r="G4276" s="39"/>
      <c r="H4276" s="40"/>
    </row>
    <row r="4277" spans="6:8" x14ac:dyDescent="0.35">
      <c r="F4277" s="38"/>
      <c r="G4277" s="39"/>
      <c r="H4277" s="40"/>
    </row>
    <row r="4278" spans="6:8" x14ac:dyDescent="0.35">
      <c r="F4278" s="38"/>
      <c r="G4278" s="39"/>
      <c r="H4278" s="40"/>
    </row>
    <row r="4279" spans="6:8" x14ac:dyDescent="0.35">
      <c r="F4279" s="38"/>
      <c r="G4279" s="39"/>
      <c r="H4279" s="40"/>
    </row>
    <row r="4280" spans="6:8" x14ac:dyDescent="0.35">
      <c r="F4280" s="38"/>
      <c r="G4280" s="39"/>
      <c r="H4280" s="40"/>
    </row>
    <row r="4281" spans="6:8" x14ac:dyDescent="0.35">
      <c r="F4281" s="38"/>
      <c r="G4281" s="39"/>
      <c r="H4281" s="40"/>
    </row>
    <row r="4282" spans="6:8" x14ac:dyDescent="0.35">
      <c r="F4282" s="38"/>
      <c r="G4282" s="39"/>
      <c r="H4282" s="40"/>
    </row>
    <row r="4283" spans="6:8" x14ac:dyDescent="0.35">
      <c r="F4283" s="38"/>
      <c r="G4283" s="39"/>
      <c r="H4283" s="40"/>
    </row>
    <row r="4284" spans="6:8" x14ac:dyDescent="0.35">
      <c r="F4284" s="38"/>
      <c r="G4284" s="39"/>
      <c r="H4284" s="40"/>
    </row>
    <row r="4285" spans="6:8" x14ac:dyDescent="0.35">
      <c r="F4285" s="38"/>
      <c r="G4285" s="39"/>
      <c r="H4285" s="40"/>
    </row>
    <row r="4286" spans="6:8" x14ac:dyDescent="0.35">
      <c r="F4286" s="38"/>
      <c r="G4286" s="39"/>
      <c r="H4286" s="40"/>
    </row>
    <row r="4287" spans="6:8" x14ac:dyDescent="0.35">
      <c r="F4287" s="38"/>
      <c r="G4287" s="39"/>
      <c r="H4287" s="40"/>
    </row>
    <row r="4288" spans="6:8" x14ac:dyDescent="0.35">
      <c r="F4288" s="38"/>
      <c r="G4288" s="39"/>
      <c r="H4288" s="40"/>
    </row>
    <row r="4289" spans="6:8" x14ac:dyDescent="0.35">
      <c r="F4289" s="38"/>
      <c r="G4289" s="39"/>
      <c r="H4289" s="40"/>
    </row>
    <row r="4290" spans="6:8" x14ac:dyDescent="0.35">
      <c r="F4290" s="38"/>
      <c r="G4290" s="39"/>
      <c r="H4290" s="40"/>
    </row>
    <row r="4291" spans="6:8" x14ac:dyDescent="0.35">
      <c r="F4291" s="38"/>
      <c r="G4291" s="39"/>
      <c r="H4291" s="40"/>
    </row>
    <row r="4292" spans="6:8" x14ac:dyDescent="0.35">
      <c r="F4292" s="38"/>
      <c r="G4292" s="39"/>
      <c r="H4292" s="40"/>
    </row>
    <row r="4293" spans="6:8" x14ac:dyDescent="0.35">
      <c r="F4293" s="38"/>
      <c r="G4293" s="39"/>
      <c r="H4293" s="40"/>
    </row>
    <row r="4294" spans="6:8" x14ac:dyDescent="0.35">
      <c r="F4294" s="38"/>
      <c r="G4294" s="39"/>
      <c r="H4294" s="40"/>
    </row>
    <row r="4295" spans="6:8" x14ac:dyDescent="0.35">
      <c r="F4295" s="38"/>
      <c r="G4295" s="39"/>
      <c r="H4295" s="40"/>
    </row>
    <row r="4296" spans="6:8" x14ac:dyDescent="0.35">
      <c r="F4296" s="38"/>
      <c r="G4296" s="39"/>
      <c r="H4296" s="40"/>
    </row>
    <row r="4297" spans="6:8" x14ac:dyDescent="0.35">
      <c r="F4297" s="38"/>
      <c r="G4297" s="39"/>
      <c r="H4297" s="40"/>
    </row>
    <row r="4298" spans="6:8" x14ac:dyDescent="0.35">
      <c r="F4298" s="38"/>
      <c r="G4298" s="39"/>
      <c r="H4298" s="40"/>
    </row>
    <row r="4299" spans="6:8" x14ac:dyDescent="0.35">
      <c r="F4299" s="38"/>
      <c r="G4299" s="39"/>
      <c r="H4299" s="40"/>
    </row>
    <row r="4300" spans="6:8" x14ac:dyDescent="0.35">
      <c r="F4300" s="38"/>
      <c r="G4300" s="39"/>
      <c r="H4300" s="40"/>
    </row>
    <row r="4301" spans="6:8" x14ac:dyDescent="0.35">
      <c r="F4301" s="38"/>
      <c r="G4301" s="39"/>
      <c r="H4301" s="40"/>
    </row>
    <row r="4302" spans="6:8" x14ac:dyDescent="0.35">
      <c r="F4302" s="38"/>
      <c r="G4302" s="39"/>
      <c r="H4302" s="40"/>
    </row>
    <row r="4303" spans="6:8" x14ac:dyDescent="0.35">
      <c r="F4303" s="38"/>
      <c r="G4303" s="39"/>
      <c r="H4303" s="40"/>
    </row>
    <row r="4304" spans="6:8" x14ac:dyDescent="0.35">
      <c r="F4304" s="38"/>
      <c r="G4304" s="39"/>
      <c r="H4304" s="40"/>
    </row>
    <row r="4305" spans="6:8" x14ac:dyDescent="0.35">
      <c r="F4305" s="38"/>
      <c r="G4305" s="39"/>
      <c r="H4305" s="40"/>
    </row>
    <row r="4306" spans="6:8" x14ac:dyDescent="0.35">
      <c r="F4306" s="38"/>
      <c r="G4306" s="39"/>
      <c r="H4306" s="40"/>
    </row>
    <row r="4307" spans="6:8" x14ac:dyDescent="0.35">
      <c r="F4307" s="38"/>
      <c r="G4307" s="39"/>
      <c r="H4307" s="40"/>
    </row>
    <row r="4308" spans="6:8" x14ac:dyDescent="0.35">
      <c r="F4308" s="38"/>
      <c r="G4308" s="39"/>
      <c r="H4308" s="40"/>
    </row>
    <row r="4309" spans="6:8" x14ac:dyDescent="0.35">
      <c r="F4309" s="38"/>
      <c r="G4309" s="39"/>
      <c r="H4309" s="40"/>
    </row>
    <row r="4310" spans="6:8" x14ac:dyDescent="0.35">
      <c r="F4310" s="38"/>
      <c r="G4310" s="39"/>
      <c r="H4310" s="40"/>
    </row>
    <row r="4311" spans="6:8" x14ac:dyDescent="0.35">
      <c r="F4311" s="38"/>
      <c r="G4311" s="39"/>
      <c r="H4311" s="40"/>
    </row>
    <row r="4312" spans="6:8" x14ac:dyDescent="0.35">
      <c r="F4312" s="38"/>
      <c r="G4312" s="39"/>
      <c r="H4312" s="40"/>
    </row>
    <row r="4313" spans="6:8" x14ac:dyDescent="0.35">
      <c r="F4313" s="38"/>
      <c r="G4313" s="39"/>
      <c r="H4313" s="40"/>
    </row>
    <row r="4314" spans="6:8" x14ac:dyDescent="0.35">
      <c r="F4314" s="38"/>
      <c r="G4314" s="39"/>
      <c r="H4314" s="40"/>
    </row>
    <row r="4315" spans="6:8" x14ac:dyDescent="0.35">
      <c r="F4315" s="38"/>
      <c r="G4315" s="39"/>
      <c r="H4315" s="40"/>
    </row>
    <row r="4316" spans="6:8" x14ac:dyDescent="0.35">
      <c r="F4316" s="38"/>
      <c r="G4316" s="39"/>
      <c r="H4316" s="40"/>
    </row>
    <row r="4317" spans="6:8" x14ac:dyDescent="0.35">
      <c r="F4317" s="38"/>
      <c r="G4317" s="39"/>
      <c r="H4317" s="40"/>
    </row>
    <row r="4318" spans="6:8" x14ac:dyDescent="0.35">
      <c r="F4318" s="38"/>
      <c r="G4318" s="39"/>
      <c r="H4318" s="40"/>
    </row>
    <row r="4319" spans="6:8" x14ac:dyDescent="0.35">
      <c r="F4319" s="38"/>
      <c r="G4319" s="39"/>
      <c r="H4319" s="40"/>
    </row>
    <row r="4320" spans="6:8" x14ac:dyDescent="0.35">
      <c r="F4320" s="38"/>
      <c r="G4320" s="39"/>
      <c r="H4320" s="40"/>
    </row>
    <row r="4321" spans="6:8" x14ac:dyDescent="0.35">
      <c r="F4321" s="38"/>
      <c r="G4321" s="39"/>
      <c r="H4321" s="40"/>
    </row>
    <row r="4322" spans="6:8" x14ac:dyDescent="0.35">
      <c r="F4322" s="38"/>
      <c r="G4322" s="39"/>
      <c r="H4322" s="40"/>
    </row>
    <row r="4323" spans="6:8" x14ac:dyDescent="0.35">
      <c r="F4323" s="38"/>
      <c r="G4323" s="39"/>
      <c r="H4323" s="40"/>
    </row>
    <row r="4324" spans="6:8" x14ac:dyDescent="0.35">
      <c r="F4324" s="38"/>
      <c r="G4324" s="39"/>
      <c r="H4324" s="40"/>
    </row>
    <row r="4325" spans="6:8" x14ac:dyDescent="0.35">
      <c r="F4325" s="38"/>
      <c r="G4325" s="39"/>
      <c r="H4325" s="40"/>
    </row>
    <row r="4326" spans="6:8" x14ac:dyDescent="0.35">
      <c r="F4326" s="38"/>
      <c r="G4326" s="39"/>
      <c r="H4326" s="40"/>
    </row>
    <row r="4327" spans="6:8" x14ac:dyDescent="0.35">
      <c r="F4327" s="38"/>
      <c r="G4327" s="39"/>
      <c r="H4327" s="40"/>
    </row>
    <row r="4328" spans="6:8" x14ac:dyDescent="0.35">
      <c r="F4328" s="38"/>
      <c r="G4328" s="39"/>
      <c r="H4328" s="40"/>
    </row>
    <row r="4329" spans="6:8" x14ac:dyDescent="0.35">
      <c r="F4329" s="38"/>
      <c r="G4329" s="39"/>
      <c r="H4329" s="40"/>
    </row>
    <row r="4330" spans="6:8" x14ac:dyDescent="0.35">
      <c r="F4330" s="38"/>
      <c r="G4330" s="39"/>
      <c r="H4330" s="40"/>
    </row>
    <row r="4331" spans="6:8" x14ac:dyDescent="0.35">
      <c r="F4331" s="38"/>
      <c r="G4331" s="39"/>
      <c r="H4331" s="40"/>
    </row>
    <row r="4332" spans="6:8" x14ac:dyDescent="0.35">
      <c r="F4332" s="38"/>
      <c r="G4332" s="39"/>
      <c r="H4332" s="40"/>
    </row>
    <row r="4333" spans="6:8" x14ac:dyDescent="0.35">
      <c r="F4333" s="38"/>
      <c r="G4333" s="39"/>
      <c r="H4333" s="40"/>
    </row>
    <row r="4334" spans="6:8" x14ac:dyDescent="0.35">
      <c r="F4334" s="38"/>
      <c r="G4334" s="39"/>
      <c r="H4334" s="40"/>
    </row>
    <row r="4335" spans="6:8" x14ac:dyDescent="0.35">
      <c r="F4335" s="38"/>
      <c r="G4335" s="39"/>
      <c r="H4335" s="40"/>
    </row>
    <row r="4336" spans="6:8" x14ac:dyDescent="0.35">
      <c r="F4336" s="38"/>
      <c r="G4336" s="39"/>
      <c r="H4336" s="40"/>
    </row>
    <row r="4337" spans="6:8" x14ac:dyDescent="0.35">
      <c r="F4337" s="38"/>
      <c r="G4337" s="39"/>
      <c r="H4337" s="40"/>
    </row>
    <row r="4338" spans="6:8" x14ac:dyDescent="0.35">
      <c r="F4338" s="38"/>
      <c r="G4338" s="39"/>
      <c r="H4338" s="40"/>
    </row>
    <row r="4339" spans="6:8" x14ac:dyDescent="0.35">
      <c r="F4339" s="38"/>
      <c r="G4339" s="39"/>
      <c r="H4339" s="40"/>
    </row>
    <row r="4340" spans="6:8" x14ac:dyDescent="0.35">
      <c r="F4340" s="38"/>
      <c r="G4340" s="39"/>
      <c r="H4340" s="40"/>
    </row>
    <row r="4341" spans="6:8" x14ac:dyDescent="0.35">
      <c r="F4341" s="38"/>
      <c r="G4341" s="39"/>
      <c r="H4341" s="40"/>
    </row>
    <row r="4342" spans="6:8" x14ac:dyDescent="0.35">
      <c r="F4342" s="38"/>
      <c r="G4342" s="39"/>
      <c r="H4342" s="40"/>
    </row>
    <row r="4343" spans="6:8" x14ac:dyDescent="0.35">
      <c r="F4343" s="38"/>
      <c r="G4343" s="39"/>
      <c r="H4343" s="40"/>
    </row>
    <row r="4344" spans="6:8" x14ac:dyDescent="0.35">
      <c r="F4344" s="38"/>
      <c r="G4344" s="39"/>
      <c r="H4344" s="40"/>
    </row>
    <row r="4345" spans="6:8" x14ac:dyDescent="0.35">
      <c r="F4345" s="38"/>
      <c r="G4345" s="39"/>
      <c r="H4345" s="40"/>
    </row>
    <row r="4346" spans="6:8" x14ac:dyDescent="0.35">
      <c r="F4346" s="38"/>
      <c r="G4346" s="39"/>
      <c r="H4346" s="40"/>
    </row>
    <row r="4347" spans="6:8" x14ac:dyDescent="0.35">
      <c r="F4347" s="38"/>
      <c r="G4347" s="39"/>
      <c r="H4347" s="40"/>
    </row>
    <row r="4348" spans="6:8" x14ac:dyDescent="0.35">
      <c r="F4348" s="38"/>
      <c r="G4348" s="39"/>
      <c r="H4348" s="40"/>
    </row>
    <row r="4349" spans="6:8" x14ac:dyDescent="0.35">
      <c r="F4349" s="38"/>
      <c r="G4349" s="39"/>
      <c r="H4349" s="40"/>
    </row>
    <row r="4350" spans="6:8" x14ac:dyDescent="0.35">
      <c r="F4350" s="38"/>
      <c r="G4350" s="39"/>
      <c r="H4350" s="40"/>
    </row>
    <row r="4351" spans="6:8" x14ac:dyDescent="0.35">
      <c r="F4351" s="38"/>
      <c r="G4351" s="39"/>
      <c r="H4351" s="40"/>
    </row>
    <row r="4352" spans="6:8" x14ac:dyDescent="0.35">
      <c r="F4352" s="38"/>
      <c r="G4352" s="39"/>
      <c r="H4352" s="40"/>
    </row>
    <row r="4353" spans="6:8" x14ac:dyDescent="0.35">
      <c r="F4353" s="38"/>
      <c r="G4353" s="39"/>
      <c r="H4353" s="40"/>
    </row>
    <row r="4354" spans="6:8" x14ac:dyDescent="0.35">
      <c r="F4354" s="38"/>
      <c r="G4354" s="39"/>
      <c r="H4354" s="40"/>
    </row>
    <row r="4355" spans="6:8" x14ac:dyDescent="0.35">
      <c r="F4355" s="38"/>
      <c r="G4355" s="39"/>
      <c r="H4355" s="40"/>
    </row>
    <row r="4356" spans="6:8" x14ac:dyDescent="0.35">
      <c r="F4356" s="38"/>
      <c r="G4356" s="39"/>
      <c r="H4356" s="40"/>
    </row>
    <row r="4357" spans="6:8" x14ac:dyDescent="0.35">
      <c r="F4357" s="38"/>
      <c r="G4357" s="39"/>
      <c r="H4357" s="40"/>
    </row>
    <row r="4358" spans="6:8" x14ac:dyDescent="0.35">
      <c r="F4358" s="38"/>
      <c r="G4358" s="39"/>
      <c r="H4358" s="40"/>
    </row>
    <row r="4359" spans="6:8" x14ac:dyDescent="0.35">
      <c r="F4359" s="38"/>
      <c r="G4359" s="39"/>
      <c r="H4359" s="40"/>
    </row>
    <row r="4360" spans="6:8" x14ac:dyDescent="0.35">
      <c r="F4360" s="38"/>
      <c r="G4360" s="39"/>
      <c r="H4360" s="40"/>
    </row>
    <row r="4361" spans="6:8" x14ac:dyDescent="0.35">
      <c r="F4361" s="38"/>
      <c r="G4361" s="39"/>
      <c r="H4361" s="40"/>
    </row>
    <row r="4362" spans="6:8" x14ac:dyDescent="0.35">
      <c r="F4362" s="38"/>
      <c r="G4362" s="39"/>
      <c r="H4362" s="40"/>
    </row>
    <row r="4363" spans="6:8" x14ac:dyDescent="0.35">
      <c r="F4363" s="38"/>
      <c r="G4363" s="39"/>
      <c r="H4363" s="40"/>
    </row>
    <row r="4364" spans="6:8" x14ac:dyDescent="0.35">
      <c r="F4364" s="38"/>
      <c r="G4364" s="39"/>
      <c r="H4364" s="40"/>
    </row>
    <row r="4365" spans="6:8" x14ac:dyDescent="0.35">
      <c r="F4365" s="38"/>
      <c r="G4365" s="39"/>
      <c r="H4365" s="40"/>
    </row>
    <row r="4366" spans="6:8" x14ac:dyDescent="0.35">
      <c r="F4366" s="38"/>
      <c r="G4366" s="39"/>
      <c r="H4366" s="40"/>
    </row>
    <row r="4367" spans="6:8" x14ac:dyDescent="0.35">
      <c r="F4367" s="38"/>
      <c r="G4367" s="39"/>
      <c r="H4367" s="40"/>
    </row>
    <row r="4368" spans="6:8" x14ac:dyDescent="0.35">
      <c r="F4368" s="38"/>
      <c r="G4368" s="39"/>
      <c r="H4368" s="40"/>
    </row>
    <row r="4369" spans="6:8" x14ac:dyDescent="0.35">
      <c r="F4369" s="38"/>
      <c r="G4369" s="39"/>
      <c r="H4369" s="40"/>
    </row>
    <row r="4370" spans="6:8" x14ac:dyDescent="0.35">
      <c r="F4370" s="38"/>
      <c r="G4370" s="39"/>
      <c r="H4370" s="40"/>
    </row>
    <row r="4371" spans="6:8" x14ac:dyDescent="0.35">
      <c r="F4371" s="38"/>
      <c r="G4371" s="39"/>
      <c r="H4371" s="40"/>
    </row>
    <row r="4372" spans="6:8" x14ac:dyDescent="0.35">
      <c r="F4372" s="38"/>
      <c r="G4372" s="39"/>
      <c r="H4372" s="40"/>
    </row>
    <row r="4373" spans="6:8" x14ac:dyDescent="0.35">
      <c r="F4373" s="38"/>
      <c r="G4373" s="39"/>
      <c r="H4373" s="40"/>
    </row>
    <row r="4374" spans="6:8" x14ac:dyDescent="0.35">
      <c r="F4374" s="38"/>
      <c r="G4374" s="39"/>
      <c r="H4374" s="40"/>
    </row>
    <row r="4375" spans="6:8" x14ac:dyDescent="0.35">
      <c r="F4375" s="38"/>
      <c r="G4375" s="39"/>
      <c r="H4375" s="40"/>
    </row>
    <row r="4376" spans="6:8" x14ac:dyDescent="0.35">
      <c r="F4376" s="38"/>
      <c r="G4376" s="39"/>
      <c r="H4376" s="40"/>
    </row>
    <row r="4377" spans="6:8" x14ac:dyDescent="0.35">
      <c r="F4377" s="38"/>
      <c r="G4377" s="39"/>
      <c r="H4377" s="40"/>
    </row>
    <row r="4378" spans="6:8" x14ac:dyDescent="0.35">
      <c r="F4378" s="38"/>
      <c r="G4378" s="39"/>
      <c r="H4378" s="40"/>
    </row>
    <row r="4379" spans="6:8" x14ac:dyDescent="0.35">
      <c r="F4379" s="38"/>
      <c r="G4379" s="39"/>
      <c r="H4379" s="40"/>
    </row>
    <row r="4380" spans="6:8" x14ac:dyDescent="0.35">
      <c r="F4380" s="38"/>
      <c r="G4380" s="39"/>
      <c r="H4380" s="40"/>
    </row>
    <row r="4381" spans="6:8" x14ac:dyDescent="0.35">
      <c r="F4381" s="38"/>
      <c r="G4381" s="39"/>
      <c r="H4381" s="40"/>
    </row>
    <row r="4382" spans="6:8" x14ac:dyDescent="0.35">
      <c r="F4382" s="38"/>
      <c r="G4382" s="39"/>
      <c r="H4382" s="40"/>
    </row>
    <row r="4383" spans="6:8" x14ac:dyDescent="0.35">
      <c r="F4383" s="38"/>
      <c r="G4383" s="39"/>
      <c r="H4383" s="40"/>
    </row>
    <row r="4384" spans="6:8" x14ac:dyDescent="0.35">
      <c r="F4384" s="38"/>
      <c r="G4384" s="39"/>
      <c r="H4384" s="40"/>
    </row>
    <row r="4385" spans="6:8" x14ac:dyDescent="0.35">
      <c r="F4385" s="38"/>
      <c r="G4385" s="39"/>
      <c r="H4385" s="40"/>
    </row>
    <row r="4386" spans="6:8" x14ac:dyDescent="0.35">
      <c r="F4386" s="38"/>
      <c r="G4386" s="39"/>
      <c r="H4386" s="40"/>
    </row>
    <row r="4387" spans="6:8" x14ac:dyDescent="0.35">
      <c r="F4387" s="38"/>
      <c r="G4387" s="39"/>
      <c r="H4387" s="40"/>
    </row>
    <row r="4388" spans="6:8" x14ac:dyDescent="0.35">
      <c r="F4388" s="38"/>
      <c r="G4388" s="39"/>
      <c r="H4388" s="40"/>
    </row>
    <row r="4389" spans="6:8" x14ac:dyDescent="0.35">
      <c r="F4389" s="38"/>
      <c r="G4389" s="39"/>
      <c r="H4389" s="40"/>
    </row>
    <row r="4390" spans="6:8" x14ac:dyDescent="0.35">
      <c r="F4390" s="38"/>
      <c r="G4390" s="39"/>
      <c r="H4390" s="40"/>
    </row>
    <row r="4391" spans="6:8" x14ac:dyDescent="0.35">
      <c r="F4391" s="38"/>
      <c r="G4391" s="39"/>
      <c r="H4391" s="40"/>
    </row>
    <row r="4392" spans="6:8" x14ac:dyDescent="0.35">
      <c r="F4392" s="38"/>
      <c r="G4392" s="39"/>
      <c r="H4392" s="40"/>
    </row>
    <row r="4393" spans="6:8" x14ac:dyDescent="0.35">
      <c r="F4393" s="38"/>
      <c r="G4393" s="39"/>
      <c r="H4393" s="40"/>
    </row>
    <row r="4394" spans="6:8" x14ac:dyDescent="0.35">
      <c r="F4394" s="38"/>
      <c r="G4394" s="39"/>
      <c r="H4394" s="40"/>
    </row>
    <row r="4395" spans="6:8" x14ac:dyDescent="0.35">
      <c r="F4395" s="38"/>
      <c r="G4395" s="39"/>
      <c r="H4395" s="40"/>
    </row>
    <row r="4396" spans="6:8" x14ac:dyDescent="0.35">
      <c r="F4396" s="38"/>
      <c r="G4396" s="39"/>
      <c r="H4396" s="40"/>
    </row>
    <row r="4397" spans="6:8" x14ac:dyDescent="0.35">
      <c r="F4397" s="38"/>
      <c r="G4397" s="39"/>
      <c r="H4397" s="40"/>
    </row>
    <row r="4398" spans="6:8" x14ac:dyDescent="0.35">
      <c r="F4398" s="38"/>
      <c r="G4398" s="39"/>
      <c r="H4398" s="40"/>
    </row>
    <row r="4399" spans="6:8" x14ac:dyDescent="0.35">
      <c r="F4399" s="38"/>
      <c r="G4399" s="39"/>
      <c r="H4399" s="40"/>
    </row>
    <row r="4400" spans="6:8" x14ac:dyDescent="0.35">
      <c r="F4400" s="38"/>
      <c r="G4400" s="39"/>
      <c r="H4400" s="40"/>
    </row>
    <row r="4401" spans="6:8" x14ac:dyDescent="0.35">
      <c r="F4401" s="38"/>
      <c r="G4401" s="39"/>
      <c r="H4401" s="40"/>
    </row>
    <row r="4402" spans="6:8" x14ac:dyDescent="0.35">
      <c r="F4402" s="38"/>
      <c r="G4402" s="39"/>
      <c r="H4402" s="40"/>
    </row>
    <row r="4403" spans="6:8" x14ac:dyDescent="0.35">
      <c r="F4403" s="38"/>
      <c r="G4403" s="39"/>
      <c r="H4403" s="40"/>
    </row>
    <row r="4404" spans="6:8" x14ac:dyDescent="0.35">
      <c r="F4404" s="38"/>
      <c r="G4404" s="39"/>
      <c r="H4404" s="40"/>
    </row>
    <row r="4405" spans="6:8" x14ac:dyDescent="0.35">
      <c r="F4405" s="38"/>
      <c r="G4405" s="39"/>
      <c r="H4405" s="40"/>
    </row>
    <row r="4406" spans="6:8" x14ac:dyDescent="0.35">
      <c r="F4406" s="38"/>
      <c r="G4406" s="39"/>
      <c r="H4406" s="40"/>
    </row>
    <row r="4407" spans="6:8" x14ac:dyDescent="0.35">
      <c r="F4407" s="38"/>
      <c r="G4407" s="39"/>
      <c r="H4407" s="40"/>
    </row>
    <row r="4408" spans="6:8" x14ac:dyDescent="0.35">
      <c r="F4408" s="38"/>
      <c r="G4408" s="39"/>
      <c r="H4408" s="40"/>
    </row>
    <row r="4409" spans="6:8" x14ac:dyDescent="0.35">
      <c r="F4409" s="38"/>
      <c r="G4409" s="39"/>
      <c r="H4409" s="40"/>
    </row>
    <row r="4410" spans="6:8" x14ac:dyDescent="0.35">
      <c r="F4410" s="38"/>
      <c r="G4410" s="39"/>
      <c r="H4410" s="40"/>
    </row>
    <row r="4411" spans="6:8" x14ac:dyDescent="0.35">
      <c r="F4411" s="38"/>
      <c r="G4411" s="39"/>
      <c r="H4411" s="40"/>
    </row>
    <row r="4412" spans="6:8" x14ac:dyDescent="0.35">
      <c r="F4412" s="38"/>
      <c r="G4412" s="39"/>
      <c r="H4412" s="40"/>
    </row>
    <row r="4413" spans="6:8" x14ac:dyDescent="0.35">
      <c r="F4413" s="38"/>
      <c r="G4413" s="39"/>
      <c r="H4413" s="40"/>
    </row>
    <row r="4414" spans="6:8" x14ac:dyDescent="0.35">
      <c r="F4414" s="38"/>
      <c r="G4414" s="39"/>
      <c r="H4414" s="40"/>
    </row>
    <row r="4415" spans="6:8" x14ac:dyDescent="0.35">
      <c r="F4415" s="38"/>
      <c r="G4415" s="39"/>
      <c r="H4415" s="40"/>
    </row>
    <row r="4416" spans="6:8" x14ac:dyDescent="0.35">
      <c r="F4416" s="38"/>
      <c r="G4416" s="39"/>
      <c r="H4416" s="40"/>
    </row>
    <row r="4417" spans="6:8" x14ac:dyDescent="0.35">
      <c r="F4417" s="38"/>
      <c r="G4417" s="39"/>
      <c r="H4417" s="40"/>
    </row>
    <row r="4418" spans="6:8" x14ac:dyDescent="0.35">
      <c r="F4418" s="38"/>
      <c r="G4418" s="39"/>
      <c r="H4418" s="40"/>
    </row>
    <row r="4419" spans="6:8" x14ac:dyDescent="0.35">
      <c r="F4419" s="38"/>
      <c r="G4419" s="39"/>
      <c r="H4419" s="40"/>
    </row>
    <row r="4420" spans="6:8" x14ac:dyDescent="0.35">
      <c r="F4420" s="38"/>
      <c r="G4420" s="39"/>
      <c r="H4420" s="40"/>
    </row>
    <row r="4421" spans="6:8" x14ac:dyDescent="0.35">
      <c r="F4421" s="38"/>
      <c r="G4421" s="39"/>
      <c r="H4421" s="40"/>
    </row>
    <row r="4422" spans="6:8" x14ac:dyDescent="0.35">
      <c r="F4422" s="38"/>
      <c r="G4422" s="39"/>
      <c r="H4422" s="40"/>
    </row>
    <row r="4423" spans="6:8" x14ac:dyDescent="0.35">
      <c r="F4423" s="38"/>
      <c r="G4423" s="39"/>
      <c r="H4423" s="40"/>
    </row>
    <row r="4424" spans="6:8" x14ac:dyDescent="0.35">
      <c r="F4424" s="38"/>
      <c r="G4424" s="39"/>
      <c r="H4424" s="40"/>
    </row>
    <row r="4425" spans="6:8" x14ac:dyDescent="0.35">
      <c r="F4425" s="38"/>
      <c r="G4425" s="39"/>
      <c r="H4425" s="40"/>
    </row>
    <row r="4426" spans="6:8" x14ac:dyDescent="0.35">
      <c r="F4426" s="38"/>
      <c r="G4426" s="39"/>
      <c r="H4426" s="40"/>
    </row>
    <row r="4427" spans="6:8" x14ac:dyDescent="0.35">
      <c r="F4427" s="38"/>
      <c r="G4427" s="39"/>
      <c r="H4427" s="40"/>
    </row>
    <row r="4428" spans="6:8" x14ac:dyDescent="0.35">
      <c r="F4428" s="38"/>
      <c r="G4428" s="39"/>
      <c r="H4428" s="40"/>
    </row>
    <row r="4429" spans="6:8" x14ac:dyDescent="0.35">
      <c r="F4429" s="38"/>
      <c r="G4429" s="39"/>
      <c r="H4429" s="40"/>
    </row>
    <row r="4430" spans="6:8" x14ac:dyDescent="0.35">
      <c r="F4430" s="38"/>
      <c r="G4430" s="39"/>
      <c r="H4430" s="40"/>
    </row>
    <row r="4431" spans="6:8" x14ac:dyDescent="0.35">
      <c r="F4431" s="38"/>
      <c r="G4431" s="39"/>
      <c r="H4431" s="40"/>
    </row>
    <row r="4432" spans="6:8" x14ac:dyDescent="0.35">
      <c r="F4432" s="38"/>
      <c r="G4432" s="39"/>
      <c r="H4432" s="40"/>
    </row>
    <row r="4433" spans="6:8" x14ac:dyDescent="0.35">
      <c r="F4433" s="38"/>
      <c r="G4433" s="39"/>
      <c r="H4433" s="40"/>
    </row>
    <row r="4434" spans="6:8" x14ac:dyDescent="0.35">
      <c r="F4434" s="38"/>
      <c r="G4434" s="39"/>
      <c r="H4434" s="40"/>
    </row>
    <row r="4435" spans="6:8" x14ac:dyDescent="0.35">
      <c r="F4435" s="38"/>
      <c r="G4435" s="39"/>
      <c r="H4435" s="40"/>
    </row>
    <row r="4436" spans="6:8" x14ac:dyDescent="0.35">
      <c r="F4436" s="38"/>
      <c r="G4436" s="39"/>
      <c r="H4436" s="40"/>
    </row>
    <row r="4437" spans="6:8" x14ac:dyDescent="0.35">
      <c r="F4437" s="38"/>
      <c r="G4437" s="39"/>
      <c r="H4437" s="40"/>
    </row>
    <row r="4438" spans="6:8" x14ac:dyDescent="0.35">
      <c r="F4438" s="38"/>
      <c r="G4438" s="39"/>
      <c r="H4438" s="40"/>
    </row>
    <row r="4439" spans="6:8" x14ac:dyDescent="0.35">
      <c r="F4439" s="38"/>
      <c r="G4439" s="39"/>
      <c r="H4439" s="40"/>
    </row>
    <row r="4440" spans="6:8" x14ac:dyDescent="0.35">
      <c r="F4440" s="38"/>
      <c r="G4440" s="39"/>
      <c r="H4440" s="40"/>
    </row>
    <row r="4441" spans="6:8" x14ac:dyDescent="0.35">
      <c r="F4441" s="38"/>
      <c r="G4441" s="39"/>
      <c r="H4441" s="40"/>
    </row>
    <row r="4442" spans="6:8" x14ac:dyDescent="0.35">
      <c r="F4442" s="38"/>
      <c r="G4442" s="39"/>
      <c r="H4442" s="40"/>
    </row>
    <row r="4443" spans="6:8" x14ac:dyDescent="0.35">
      <c r="F4443" s="38"/>
      <c r="G4443" s="39"/>
      <c r="H4443" s="40"/>
    </row>
    <row r="4444" spans="6:8" x14ac:dyDescent="0.35">
      <c r="F4444" s="38"/>
      <c r="G4444" s="39"/>
      <c r="H4444" s="40"/>
    </row>
    <row r="4445" spans="6:8" x14ac:dyDescent="0.35">
      <c r="F4445" s="38"/>
      <c r="G4445" s="39"/>
      <c r="H4445" s="40"/>
    </row>
    <row r="4446" spans="6:8" x14ac:dyDescent="0.35">
      <c r="F4446" s="38"/>
      <c r="G4446" s="39"/>
      <c r="H4446" s="40"/>
    </row>
    <row r="4447" spans="6:8" x14ac:dyDescent="0.35">
      <c r="F4447" s="38"/>
      <c r="G4447" s="39"/>
      <c r="H4447" s="40"/>
    </row>
    <row r="4448" spans="6:8" x14ac:dyDescent="0.35">
      <c r="F4448" s="38"/>
      <c r="G4448" s="39"/>
      <c r="H4448" s="40"/>
    </row>
    <row r="4449" spans="6:8" x14ac:dyDescent="0.35">
      <c r="F4449" s="38"/>
      <c r="G4449" s="39"/>
      <c r="H4449" s="40"/>
    </row>
    <row r="4450" spans="6:8" x14ac:dyDescent="0.35">
      <c r="F4450" s="38"/>
      <c r="G4450" s="39"/>
      <c r="H4450" s="40"/>
    </row>
    <row r="4451" spans="6:8" x14ac:dyDescent="0.35">
      <c r="F4451" s="38"/>
      <c r="G4451" s="39"/>
      <c r="H4451" s="40"/>
    </row>
    <row r="4452" spans="6:8" x14ac:dyDescent="0.35">
      <c r="F4452" s="38"/>
      <c r="G4452" s="39"/>
      <c r="H4452" s="40"/>
    </row>
    <row r="4453" spans="6:8" x14ac:dyDescent="0.35">
      <c r="F4453" s="38"/>
      <c r="G4453" s="39"/>
      <c r="H4453" s="40"/>
    </row>
    <row r="4454" spans="6:8" x14ac:dyDescent="0.35">
      <c r="F4454" s="38"/>
      <c r="G4454" s="39"/>
      <c r="H4454" s="40"/>
    </row>
    <row r="4455" spans="6:8" x14ac:dyDescent="0.35">
      <c r="F4455" s="38"/>
      <c r="G4455" s="39"/>
      <c r="H4455" s="40"/>
    </row>
    <row r="4456" spans="6:8" x14ac:dyDescent="0.35">
      <c r="F4456" s="38"/>
      <c r="G4456" s="39"/>
      <c r="H4456" s="40"/>
    </row>
    <row r="4457" spans="6:8" x14ac:dyDescent="0.35">
      <c r="F4457" s="38"/>
      <c r="G4457" s="39"/>
      <c r="H4457" s="40"/>
    </row>
    <row r="4458" spans="6:8" x14ac:dyDescent="0.35">
      <c r="F4458" s="38"/>
      <c r="G4458" s="39"/>
      <c r="H4458" s="40"/>
    </row>
    <row r="4459" spans="6:8" x14ac:dyDescent="0.35">
      <c r="F4459" s="38"/>
      <c r="G4459" s="39"/>
      <c r="H4459" s="40"/>
    </row>
    <row r="4460" spans="6:8" x14ac:dyDescent="0.35">
      <c r="F4460" s="38"/>
      <c r="G4460" s="39"/>
      <c r="H4460" s="40"/>
    </row>
    <row r="4461" spans="6:8" x14ac:dyDescent="0.35">
      <c r="F4461" s="38"/>
      <c r="G4461" s="39"/>
      <c r="H4461" s="40"/>
    </row>
    <row r="4462" spans="6:8" x14ac:dyDescent="0.35">
      <c r="F4462" s="38"/>
      <c r="G4462" s="39"/>
      <c r="H4462" s="40"/>
    </row>
    <row r="4463" spans="6:8" x14ac:dyDescent="0.35">
      <c r="F4463" s="38"/>
      <c r="G4463" s="39"/>
      <c r="H4463" s="40"/>
    </row>
    <row r="4464" spans="6:8" x14ac:dyDescent="0.35">
      <c r="F4464" s="38"/>
      <c r="G4464" s="39"/>
      <c r="H4464" s="40"/>
    </row>
    <row r="4465" spans="6:8" x14ac:dyDescent="0.35">
      <c r="F4465" s="38"/>
      <c r="G4465" s="39"/>
      <c r="H4465" s="40"/>
    </row>
    <row r="4466" spans="6:8" x14ac:dyDescent="0.35">
      <c r="F4466" s="38"/>
      <c r="G4466" s="39"/>
      <c r="H4466" s="40"/>
    </row>
    <row r="4467" spans="6:8" x14ac:dyDescent="0.35">
      <c r="F4467" s="38"/>
      <c r="G4467" s="39"/>
      <c r="H4467" s="40"/>
    </row>
    <row r="4468" spans="6:8" x14ac:dyDescent="0.35">
      <c r="F4468" s="38"/>
      <c r="G4468" s="39"/>
      <c r="H4468" s="40"/>
    </row>
    <row r="4469" spans="6:8" x14ac:dyDescent="0.35">
      <c r="F4469" s="38"/>
      <c r="G4469" s="39"/>
      <c r="H4469" s="40"/>
    </row>
    <row r="4470" spans="6:8" x14ac:dyDescent="0.35">
      <c r="F4470" s="38"/>
      <c r="G4470" s="39"/>
      <c r="H4470" s="40"/>
    </row>
    <row r="4471" spans="6:8" x14ac:dyDescent="0.35">
      <c r="F4471" s="38"/>
      <c r="G4471" s="39"/>
      <c r="H4471" s="40"/>
    </row>
    <row r="4472" spans="6:8" x14ac:dyDescent="0.35">
      <c r="F4472" s="38"/>
      <c r="G4472" s="39"/>
      <c r="H4472" s="40"/>
    </row>
    <row r="4473" spans="6:8" x14ac:dyDescent="0.35">
      <c r="F4473" s="38"/>
      <c r="G4473" s="39"/>
      <c r="H4473" s="40"/>
    </row>
    <row r="4474" spans="6:8" x14ac:dyDescent="0.35">
      <c r="F4474" s="38"/>
      <c r="G4474" s="39"/>
      <c r="H4474" s="40"/>
    </row>
    <row r="4475" spans="6:8" x14ac:dyDescent="0.35">
      <c r="F4475" s="38"/>
      <c r="G4475" s="39"/>
      <c r="H4475" s="40"/>
    </row>
    <row r="4476" spans="6:8" x14ac:dyDescent="0.35">
      <c r="F4476" s="38"/>
      <c r="G4476" s="39"/>
      <c r="H4476" s="40"/>
    </row>
    <row r="4477" spans="6:8" x14ac:dyDescent="0.35">
      <c r="F4477" s="38"/>
      <c r="G4477" s="39"/>
      <c r="H4477" s="40"/>
    </row>
    <row r="4478" spans="6:8" x14ac:dyDescent="0.35">
      <c r="F4478" s="38"/>
      <c r="G4478" s="39"/>
      <c r="H4478" s="40"/>
    </row>
    <row r="4479" spans="6:8" x14ac:dyDescent="0.35">
      <c r="F4479" s="38"/>
      <c r="G4479" s="39"/>
      <c r="H4479" s="40"/>
    </row>
    <row r="4480" spans="6:8" x14ac:dyDescent="0.35">
      <c r="F4480" s="38"/>
      <c r="G4480" s="39"/>
      <c r="H4480" s="40"/>
    </row>
    <row r="4481" spans="6:8" x14ac:dyDescent="0.35">
      <c r="F4481" s="38"/>
      <c r="G4481" s="39"/>
      <c r="H4481" s="40"/>
    </row>
    <row r="4482" spans="6:8" x14ac:dyDescent="0.35">
      <c r="F4482" s="38"/>
      <c r="G4482" s="39"/>
      <c r="H4482" s="40"/>
    </row>
    <row r="4483" spans="6:8" x14ac:dyDescent="0.35">
      <c r="F4483" s="38"/>
      <c r="G4483" s="39"/>
      <c r="H4483" s="40"/>
    </row>
    <row r="4484" spans="6:8" x14ac:dyDescent="0.35">
      <c r="F4484" s="38"/>
      <c r="G4484" s="39"/>
      <c r="H4484" s="40"/>
    </row>
    <row r="4485" spans="6:8" x14ac:dyDescent="0.35">
      <c r="F4485" s="38"/>
      <c r="G4485" s="39"/>
      <c r="H4485" s="40"/>
    </row>
    <row r="4486" spans="6:8" x14ac:dyDescent="0.35">
      <c r="F4486" s="38"/>
      <c r="G4486" s="39"/>
      <c r="H4486" s="40"/>
    </row>
    <row r="4487" spans="6:8" x14ac:dyDescent="0.35">
      <c r="F4487" s="38"/>
      <c r="G4487" s="39"/>
      <c r="H4487" s="40"/>
    </row>
    <row r="4488" spans="6:8" x14ac:dyDescent="0.35">
      <c r="F4488" s="38"/>
      <c r="G4488" s="39"/>
      <c r="H4488" s="40"/>
    </row>
    <row r="4489" spans="6:8" x14ac:dyDescent="0.35">
      <c r="F4489" s="38"/>
      <c r="G4489" s="39"/>
      <c r="H4489" s="40"/>
    </row>
    <row r="4490" spans="6:8" x14ac:dyDescent="0.35">
      <c r="F4490" s="38"/>
      <c r="G4490" s="39"/>
      <c r="H4490" s="40"/>
    </row>
    <row r="4491" spans="6:8" x14ac:dyDescent="0.35">
      <c r="F4491" s="38"/>
      <c r="G4491" s="39"/>
      <c r="H4491" s="40"/>
    </row>
    <row r="4492" spans="6:8" x14ac:dyDescent="0.35">
      <c r="F4492" s="38"/>
      <c r="G4492" s="39"/>
      <c r="H4492" s="40"/>
    </row>
    <row r="4493" spans="6:8" x14ac:dyDescent="0.35">
      <c r="F4493" s="38"/>
      <c r="G4493" s="39"/>
      <c r="H4493" s="40"/>
    </row>
    <row r="4494" spans="6:8" x14ac:dyDescent="0.35">
      <c r="F4494" s="38"/>
      <c r="G4494" s="39"/>
      <c r="H4494" s="40"/>
    </row>
    <row r="4495" spans="6:8" x14ac:dyDescent="0.35">
      <c r="F4495" s="38"/>
      <c r="G4495" s="39"/>
      <c r="H4495" s="40"/>
    </row>
    <row r="4496" spans="6:8" x14ac:dyDescent="0.35">
      <c r="F4496" s="38"/>
      <c r="G4496" s="39"/>
      <c r="H4496" s="40"/>
    </row>
    <row r="4497" spans="6:8" x14ac:dyDescent="0.35">
      <c r="F4497" s="38"/>
      <c r="G4497" s="39"/>
      <c r="H4497" s="40"/>
    </row>
    <row r="4498" spans="6:8" x14ac:dyDescent="0.35">
      <c r="F4498" s="38"/>
      <c r="G4498" s="39"/>
      <c r="H4498" s="40"/>
    </row>
    <row r="4499" spans="6:8" x14ac:dyDescent="0.35">
      <c r="F4499" s="38"/>
      <c r="G4499" s="39"/>
      <c r="H4499" s="40"/>
    </row>
    <row r="4500" spans="6:8" x14ac:dyDescent="0.35">
      <c r="F4500" s="38"/>
      <c r="G4500" s="39"/>
      <c r="H4500" s="40"/>
    </row>
    <row r="4501" spans="6:8" x14ac:dyDescent="0.35">
      <c r="F4501" s="38"/>
      <c r="G4501" s="39"/>
      <c r="H4501" s="40"/>
    </row>
    <row r="4502" spans="6:8" x14ac:dyDescent="0.35">
      <c r="F4502" s="38"/>
      <c r="G4502" s="39"/>
      <c r="H4502" s="40"/>
    </row>
    <row r="4503" spans="6:8" x14ac:dyDescent="0.35">
      <c r="F4503" s="38"/>
      <c r="G4503" s="39"/>
      <c r="H4503" s="40"/>
    </row>
    <row r="4504" spans="6:8" x14ac:dyDescent="0.35">
      <c r="F4504" s="38"/>
      <c r="G4504" s="39"/>
      <c r="H4504" s="40"/>
    </row>
    <row r="4505" spans="6:8" x14ac:dyDescent="0.35">
      <c r="F4505" s="38"/>
      <c r="G4505" s="39"/>
      <c r="H4505" s="40"/>
    </row>
    <row r="4506" spans="6:8" x14ac:dyDescent="0.35">
      <c r="F4506" s="38"/>
      <c r="G4506" s="39"/>
      <c r="H4506" s="40"/>
    </row>
    <row r="4507" spans="6:8" x14ac:dyDescent="0.35">
      <c r="F4507" s="38"/>
      <c r="G4507" s="39"/>
      <c r="H4507" s="40"/>
    </row>
    <row r="4508" spans="6:8" x14ac:dyDescent="0.35">
      <c r="F4508" s="38"/>
      <c r="G4508" s="39"/>
      <c r="H4508" s="40"/>
    </row>
    <row r="4509" spans="6:8" x14ac:dyDescent="0.35">
      <c r="F4509" s="38"/>
      <c r="G4509" s="39"/>
      <c r="H4509" s="40"/>
    </row>
    <row r="4510" spans="6:8" x14ac:dyDescent="0.35">
      <c r="F4510" s="38"/>
      <c r="G4510" s="39"/>
      <c r="H4510" s="40"/>
    </row>
    <row r="4511" spans="6:8" x14ac:dyDescent="0.35">
      <c r="F4511" s="38"/>
      <c r="G4511" s="39"/>
      <c r="H4511" s="40"/>
    </row>
    <row r="4512" spans="6:8" x14ac:dyDescent="0.35">
      <c r="F4512" s="38"/>
      <c r="G4512" s="39"/>
      <c r="H4512" s="40"/>
    </row>
    <row r="4513" spans="6:8" x14ac:dyDescent="0.35">
      <c r="F4513" s="38"/>
      <c r="G4513" s="39"/>
      <c r="H4513" s="40"/>
    </row>
    <row r="4514" spans="6:8" x14ac:dyDescent="0.35">
      <c r="F4514" s="38"/>
      <c r="G4514" s="39"/>
      <c r="H4514" s="40"/>
    </row>
    <row r="4515" spans="6:8" x14ac:dyDescent="0.35">
      <c r="F4515" s="38"/>
      <c r="G4515" s="39"/>
      <c r="H4515" s="40"/>
    </row>
    <row r="4516" spans="6:8" x14ac:dyDescent="0.35">
      <c r="F4516" s="38"/>
      <c r="G4516" s="39"/>
      <c r="H4516" s="40"/>
    </row>
    <row r="4517" spans="6:8" x14ac:dyDescent="0.35">
      <c r="F4517" s="38"/>
      <c r="G4517" s="39"/>
      <c r="H4517" s="40"/>
    </row>
    <row r="4518" spans="6:8" x14ac:dyDescent="0.35">
      <c r="F4518" s="38"/>
      <c r="G4518" s="39"/>
      <c r="H4518" s="40"/>
    </row>
    <row r="4519" spans="6:8" x14ac:dyDescent="0.35">
      <c r="F4519" s="38"/>
      <c r="G4519" s="39"/>
      <c r="H4519" s="40"/>
    </row>
    <row r="4520" spans="6:8" x14ac:dyDescent="0.35">
      <c r="F4520" s="38"/>
      <c r="G4520" s="39"/>
      <c r="H4520" s="40"/>
    </row>
    <row r="4521" spans="6:8" x14ac:dyDescent="0.35">
      <c r="F4521" s="38"/>
      <c r="G4521" s="39"/>
      <c r="H4521" s="40"/>
    </row>
    <row r="4522" spans="6:8" x14ac:dyDescent="0.35">
      <c r="F4522" s="38"/>
      <c r="G4522" s="39"/>
      <c r="H4522" s="40"/>
    </row>
    <row r="4523" spans="6:8" x14ac:dyDescent="0.35">
      <c r="F4523" s="38"/>
      <c r="G4523" s="39"/>
      <c r="H4523" s="40"/>
    </row>
    <row r="4524" spans="6:8" x14ac:dyDescent="0.35">
      <c r="F4524" s="38"/>
      <c r="G4524" s="39"/>
      <c r="H4524" s="40"/>
    </row>
    <row r="4525" spans="6:8" x14ac:dyDescent="0.35">
      <c r="F4525" s="38"/>
      <c r="G4525" s="39"/>
      <c r="H4525" s="40"/>
    </row>
    <row r="4526" spans="6:8" x14ac:dyDescent="0.35">
      <c r="F4526" s="38"/>
      <c r="G4526" s="39"/>
      <c r="H4526" s="40"/>
    </row>
    <row r="4527" spans="6:8" x14ac:dyDescent="0.35">
      <c r="F4527" s="38"/>
      <c r="G4527" s="39"/>
      <c r="H4527" s="40"/>
    </row>
    <row r="4528" spans="6:8" x14ac:dyDescent="0.35">
      <c r="F4528" s="38"/>
      <c r="G4528" s="39"/>
      <c r="H4528" s="40"/>
    </row>
    <row r="4529" spans="6:8" x14ac:dyDescent="0.35">
      <c r="F4529" s="38"/>
      <c r="G4529" s="39"/>
      <c r="H4529" s="40"/>
    </row>
    <row r="4530" spans="6:8" x14ac:dyDescent="0.35">
      <c r="F4530" s="38"/>
      <c r="G4530" s="39"/>
      <c r="H4530" s="40"/>
    </row>
    <row r="4531" spans="6:8" x14ac:dyDescent="0.35">
      <c r="F4531" s="38"/>
      <c r="G4531" s="39"/>
      <c r="H4531" s="40"/>
    </row>
    <row r="4532" spans="6:8" x14ac:dyDescent="0.35">
      <c r="F4532" s="38"/>
      <c r="G4532" s="39"/>
      <c r="H4532" s="40"/>
    </row>
    <row r="4533" spans="6:8" x14ac:dyDescent="0.35">
      <c r="F4533" s="38"/>
      <c r="G4533" s="39"/>
      <c r="H4533" s="40"/>
    </row>
    <row r="4534" spans="6:8" x14ac:dyDescent="0.35">
      <c r="F4534" s="38"/>
      <c r="G4534" s="39"/>
      <c r="H4534" s="40"/>
    </row>
    <row r="4535" spans="6:8" x14ac:dyDescent="0.35">
      <c r="F4535" s="38"/>
      <c r="G4535" s="39"/>
      <c r="H4535" s="40"/>
    </row>
    <row r="4536" spans="6:8" x14ac:dyDescent="0.35">
      <c r="F4536" s="38"/>
      <c r="G4536" s="39"/>
      <c r="H4536" s="40"/>
    </row>
    <row r="4537" spans="6:8" x14ac:dyDescent="0.35">
      <c r="F4537" s="38"/>
      <c r="G4537" s="39"/>
      <c r="H4537" s="40"/>
    </row>
    <row r="4538" spans="6:8" x14ac:dyDescent="0.35">
      <c r="F4538" s="38"/>
      <c r="G4538" s="39"/>
      <c r="H4538" s="40"/>
    </row>
    <row r="4539" spans="6:8" x14ac:dyDescent="0.35">
      <c r="F4539" s="38"/>
      <c r="G4539" s="39"/>
      <c r="H4539" s="40"/>
    </row>
    <row r="4540" spans="6:8" x14ac:dyDescent="0.35">
      <c r="F4540" s="38"/>
      <c r="G4540" s="39"/>
      <c r="H4540" s="40"/>
    </row>
    <row r="4541" spans="6:8" x14ac:dyDescent="0.35">
      <c r="F4541" s="38"/>
      <c r="G4541" s="39"/>
      <c r="H4541" s="40"/>
    </row>
    <row r="4542" spans="6:8" x14ac:dyDescent="0.35">
      <c r="F4542" s="38"/>
      <c r="G4542" s="39"/>
      <c r="H4542" s="41"/>
    </row>
    <row r="4543" spans="6:8" x14ac:dyDescent="0.35">
      <c r="F4543" s="38"/>
      <c r="G4543" s="39"/>
      <c r="H4543" s="41"/>
    </row>
    <row r="4544" spans="6:8" x14ac:dyDescent="0.35">
      <c r="F4544" s="38"/>
      <c r="G4544" s="39"/>
      <c r="H4544" s="41"/>
    </row>
    <row r="4545" spans="6:8" x14ac:dyDescent="0.35">
      <c r="F4545" s="38"/>
      <c r="G4545" s="39"/>
      <c r="H4545" s="41"/>
    </row>
    <row r="4546" spans="6:8" x14ac:dyDescent="0.35">
      <c r="F4546" s="38"/>
      <c r="G4546" s="39"/>
      <c r="H4546" s="41"/>
    </row>
    <row r="4547" spans="6:8" x14ac:dyDescent="0.35">
      <c r="F4547" s="38"/>
      <c r="G4547" s="39"/>
      <c r="H4547" s="40"/>
    </row>
    <row r="4548" spans="6:8" x14ac:dyDescent="0.35">
      <c r="F4548" s="38"/>
      <c r="G4548" s="39"/>
      <c r="H4548" s="40"/>
    </row>
    <row r="4549" spans="6:8" x14ac:dyDescent="0.35">
      <c r="F4549" s="38"/>
      <c r="G4549" s="39"/>
      <c r="H4549" s="40"/>
    </row>
    <row r="4550" spans="6:8" x14ac:dyDescent="0.35">
      <c r="F4550" s="38"/>
      <c r="G4550" s="39"/>
      <c r="H4550" s="40"/>
    </row>
    <row r="4551" spans="6:8" x14ac:dyDescent="0.35">
      <c r="F4551" s="38"/>
      <c r="G4551" s="39"/>
      <c r="H4551" s="40"/>
    </row>
    <row r="4552" spans="6:8" x14ac:dyDescent="0.35">
      <c r="F4552" s="38"/>
      <c r="G4552" s="39"/>
      <c r="H4552" s="40"/>
    </row>
    <row r="4553" spans="6:8" x14ac:dyDescent="0.35">
      <c r="F4553" s="38"/>
      <c r="G4553" s="39"/>
      <c r="H4553" s="40"/>
    </row>
    <row r="4554" spans="6:8" x14ac:dyDescent="0.35">
      <c r="F4554" s="38"/>
      <c r="G4554" s="39"/>
      <c r="H4554" s="40"/>
    </row>
    <row r="4555" spans="6:8" x14ac:dyDescent="0.35">
      <c r="F4555" s="38"/>
      <c r="G4555" s="39"/>
      <c r="H4555" s="40"/>
    </row>
    <row r="4556" spans="6:8" x14ac:dyDescent="0.35">
      <c r="F4556" s="38"/>
      <c r="G4556" s="39"/>
      <c r="H4556" s="40"/>
    </row>
    <row r="4557" spans="6:8" x14ac:dyDescent="0.35">
      <c r="F4557" s="38"/>
      <c r="G4557" s="39"/>
      <c r="H4557" s="40"/>
    </row>
    <row r="4558" spans="6:8" x14ac:dyDescent="0.35">
      <c r="F4558" s="38"/>
      <c r="G4558" s="39"/>
      <c r="H4558" s="40"/>
    </row>
    <row r="4559" spans="6:8" x14ac:dyDescent="0.35">
      <c r="F4559" s="38"/>
      <c r="G4559" s="39"/>
      <c r="H4559" s="40"/>
    </row>
    <row r="4560" spans="6:8" x14ac:dyDescent="0.35">
      <c r="F4560" s="38"/>
      <c r="G4560" s="39"/>
      <c r="H4560" s="40"/>
    </row>
    <row r="4561" spans="6:8" x14ac:dyDescent="0.35">
      <c r="F4561" s="38"/>
      <c r="G4561" s="39"/>
      <c r="H4561" s="40"/>
    </row>
    <row r="4562" spans="6:8" x14ac:dyDescent="0.35">
      <c r="F4562" s="38"/>
      <c r="G4562" s="39"/>
      <c r="H4562" s="40"/>
    </row>
    <row r="4563" spans="6:8" x14ac:dyDescent="0.35">
      <c r="F4563" s="38"/>
      <c r="G4563" s="39"/>
      <c r="H4563" s="40"/>
    </row>
    <row r="4564" spans="6:8" x14ac:dyDescent="0.35">
      <c r="F4564" s="38"/>
      <c r="G4564" s="39"/>
      <c r="H4564" s="40"/>
    </row>
    <row r="4565" spans="6:8" x14ac:dyDescent="0.35">
      <c r="F4565" s="38"/>
      <c r="G4565" s="39"/>
      <c r="H4565" s="40"/>
    </row>
    <row r="4566" spans="6:8" x14ac:dyDescent="0.35">
      <c r="F4566" s="38"/>
      <c r="G4566" s="39"/>
      <c r="H4566" s="40"/>
    </row>
    <row r="4567" spans="6:8" x14ac:dyDescent="0.35">
      <c r="F4567" s="38"/>
      <c r="G4567" s="39"/>
      <c r="H4567" s="40"/>
    </row>
    <row r="4568" spans="6:8" x14ac:dyDescent="0.35">
      <c r="F4568" s="38"/>
      <c r="G4568" s="39"/>
      <c r="H4568" s="40"/>
    </row>
    <row r="4569" spans="6:8" x14ac:dyDescent="0.35">
      <c r="F4569" s="38"/>
      <c r="G4569" s="39"/>
      <c r="H4569" s="40"/>
    </row>
    <row r="4570" spans="6:8" x14ac:dyDescent="0.35">
      <c r="F4570" s="38"/>
      <c r="G4570" s="39"/>
      <c r="H4570" s="40"/>
    </row>
    <row r="4571" spans="6:8" x14ac:dyDescent="0.35">
      <c r="F4571" s="38"/>
      <c r="G4571" s="39"/>
      <c r="H4571" s="40"/>
    </row>
    <row r="4572" spans="6:8" x14ac:dyDescent="0.35">
      <c r="F4572" s="38"/>
      <c r="G4572" s="39"/>
      <c r="H4572" s="40"/>
    </row>
    <row r="4573" spans="6:8" x14ac:dyDescent="0.35">
      <c r="F4573" s="38"/>
      <c r="G4573" s="39"/>
      <c r="H4573" s="40"/>
    </row>
    <row r="4574" spans="6:8" x14ac:dyDescent="0.35">
      <c r="F4574" s="38"/>
      <c r="G4574" s="39"/>
      <c r="H4574" s="40"/>
    </row>
    <row r="4575" spans="6:8" x14ac:dyDescent="0.35">
      <c r="F4575" s="38"/>
      <c r="G4575" s="39"/>
      <c r="H4575" s="40"/>
    </row>
    <row r="4576" spans="6:8" x14ac:dyDescent="0.35">
      <c r="F4576" s="38"/>
      <c r="G4576" s="39"/>
      <c r="H4576" s="40"/>
    </row>
    <row r="4577" spans="6:8" x14ac:dyDescent="0.35">
      <c r="F4577" s="38"/>
      <c r="G4577" s="39"/>
      <c r="H4577" s="40"/>
    </row>
    <row r="4578" spans="6:8" x14ac:dyDescent="0.35">
      <c r="F4578" s="38"/>
      <c r="G4578" s="39"/>
      <c r="H4578" s="40"/>
    </row>
    <row r="4579" spans="6:8" x14ac:dyDescent="0.35">
      <c r="F4579" s="38"/>
      <c r="G4579" s="39"/>
      <c r="H4579" s="40"/>
    </row>
    <row r="4580" spans="6:8" x14ac:dyDescent="0.35">
      <c r="F4580" s="38"/>
      <c r="G4580" s="39"/>
      <c r="H4580" s="40"/>
    </row>
    <row r="4581" spans="6:8" x14ac:dyDescent="0.35">
      <c r="F4581" s="38"/>
      <c r="G4581" s="39"/>
      <c r="H4581" s="40"/>
    </row>
    <row r="4582" spans="6:8" x14ac:dyDescent="0.35">
      <c r="F4582" s="38"/>
      <c r="G4582" s="39"/>
      <c r="H4582" s="40"/>
    </row>
    <row r="4583" spans="6:8" x14ac:dyDescent="0.35">
      <c r="F4583" s="38"/>
      <c r="G4583" s="39"/>
      <c r="H4583" s="40"/>
    </row>
    <row r="4584" spans="6:8" x14ac:dyDescent="0.35">
      <c r="F4584" s="38"/>
      <c r="G4584" s="39"/>
      <c r="H4584" s="40"/>
    </row>
    <row r="4585" spans="6:8" x14ac:dyDescent="0.35">
      <c r="F4585" s="38"/>
      <c r="G4585" s="39"/>
      <c r="H4585" s="40"/>
    </row>
    <row r="4586" spans="6:8" x14ac:dyDescent="0.35">
      <c r="F4586" s="38"/>
      <c r="G4586" s="39"/>
      <c r="H4586" s="40"/>
    </row>
    <row r="4587" spans="6:8" x14ac:dyDescent="0.35">
      <c r="F4587" s="38"/>
      <c r="G4587" s="39"/>
      <c r="H4587" s="40"/>
    </row>
    <row r="4588" spans="6:8" x14ac:dyDescent="0.35">
      <c r="F4588" s="38"/>
      <c r="G4588" s="39"/>
      <c r="H4588" s="40"/>
    </row>
    <row r="4589" spans="6:8" x14ac:dyDescent="0.35">
      <c r="F4589" s="38"/>
      <c r="G4589" s="39"/>
      <c r="H4589" s="40"/>
    </row>
    <row r="4590" spans="6:8" x14ac:dyDescent="0.35">
      <c r="F4590" s="38"/>
      <c r="G4590" s="39"/>
      <c r="H4590" s="40"/>
    </row>
    <row r="4591" spans="6:8" x14ac:dyDescent="0.35">
      <c r="F4591" s="38"/>
      <c r="G4591" s="39"/>
      <c r="H4591" s="40"/>
    </row>
    <row r="4592" spans="6:8" x14ac:dyDescent="0.35">
      <c r="F4592" s="38"/>
      <c r="G4592" s="39"/>
      <c r="H4592" s="40"/>
    </row>
    <row r="4593" spans="6:8" x14ac:dyDescent="0.35">
      <c r="F4593" s="38"/>
      <c r="G4593" s="39"/>
      <c r="H4593" s="40"/>
    </row>
    <row r="4594" spans="6:8" x14ac:dyDescent="0.35">
      <c r="F4594" s="38"/>
      <c r="G4594" s="39"/>
      <c r="H4594" s="40"/>
    </row>
    <row r="4595" spans="6:8" x14ac:dyDescent="0.35">
      <c r="F4595" s="38"/>
      <c r="G4595" s="39"/>
      <c r="H4595" s="40"/>
    </row>
    <row r="4596" spans="6:8" x14ac:dyDescent="0.35">
      <c r="F4596" s="38"/>
      <c r="G4596" s="39"/>
      <c r="H4596" s="40"/>
    </row>
    <row r="4597" spans="6:8" x14ac:dyDescent="0.35">
      <c r="F4597" s="38"/>
      <c r="G4597" s="39"/>
      <c r="H4597" s="40"/>
    </row>
    <row r="4598" spans="6:8" x14ac:dyDescent="0.35">
      <c r="F4598" s="38"/>
      <c r="G4598" s="39"/>
      <c r="H4598" s="40"/>
    </row>
    <row r="4599" spans="6:8" x14ac:dyDescent="0.35">
      <c r="F4599" s="38"/>
      <c r="G4599" s="39"/>
      <c r="H4599" s="40"/>
    </row>
    <row r="4600" spans="6:8" x14ac:dyDescent="0.35">
      <c r="F4600" s="38"/>
      <c r="G4600" s="39"/>
      <c r="H4600" s="40"/>
    </row>
    <row r="4601" spans="6:8" x14ac:dyDescent="0.35">
      <c r="F4601" s="38"/>
      <c r="G4601" s="39"/>
      <c r="H4601" s="40"/>
    </row>
    <row r="4602" spans="6:8" x14ac:dyDescent="0.35">
      <c r="F4602" s="38"/>
      <c r="G4602" s="39"/>
      <c r="H4602" s="40"/>
    </row>
    <row r="4603" spans="6:8" x14ac:dyDescent="0.35">
      <c r="F4603" s="38"/>
      <c r="G4603" s="39"/>
      <c r="H4603" s="40"/>
    </row>
    <row r="4604" spans="6:8" x14ac:dyDescent="0.35">
      <c r="F4604" s="38"/>
      <c r="G4604" s="39"/>
      <c r="H4604" s="40"/>
    </row>
    <row r="4605" spans="6:8" x14ac:dyDescent="0.35">
      <c r="F4605" s="38"/>
      <c r="G4605" s="39"/>
      <c r="H4605" s="40"/>
    </row>
    <row r="4606" spans="6:8" x14ac:dyDescent="0.35">
      <c r="F4606" s="38"/>
      <c r="G4606" s="39"/>
      <c r="H4606" s="40"/>
    </row>
    <row r="4607" spans="6:8" x14ac:dyDescent="0.35">
      <c r="F4607" s="38"/>
      <c r="G4607" s="39"/>
      <c r="H4607" s="40"/>
    </row>
    <row r="4608" spans="6:8" x14ac:dyDescent="0.35">
      <c r="F4608" s="38"/>
      <c r="G4608" s="39"/>
      <c r="H4608" s="40"/>
    </row>
    <row r="4609" spans="6:8" x14ac:dyDescent="0.35">
      <c r="F4609" s="38"/>
      <c r="G4609" s="39"/>
      <c r="H4609" s="40"/>
    </row>
    <row r="4610" spans="6:8" x14ac:dyDescent="0.35">
      <c r="F4610" s="38"/>
      <c r="G4610" s="39"/>
      <c r="H4610" s="40"/>
    </row>
    <row r="4611" spans="6:8" x14ac:dyDescent="0.35">
      <c r="F4611" s="38"/>
      <c r="G4611" s="39"/>
      <c r="H4611" s="40"/>
    </row>
    <row r="4612" spans="6:8" x14ac:dyDescent="0.35">
      <c r="F4612" s="38"/>
      <c r="G4612" s="39"/>
      <c r="H4612" s="40"/>
    </row>
    <row r="4613" spans="6:8" x14ac:dyDescent="0.35">
      <c r="F4613" s="38"/>
      <c r="G4613" s="39"/>
      <c r="H4613" s="40"/>
    </row>
    <row r="4614" spans="6:8" x14ac:dyDescent="0.35">
      <c r="F4614" s="38"/>
      <c r="G4614" s="39"/>
      <c r="H4614" s="40"/>
    </row>
    <row r="4615" spans="6:8" x14ac:dyDescent="0.35">
      <c r="F4615" s="38"/>
      <c r="G4615" s="39"/>
      <c r="H4615" s="40"/>
    </row>
    <row r="4616" spans="6:8" x14ac:dyDescent="0.35">
      <c r="F4616" s="38"/>
      <c r="G4616" s="39"/>
      <c r="H4616" s="40"/>
    </row>
    <row r="4617" spans="6:8" x14ac:dyDescent="0.35">
      <c r="F4617" s="38"/>
      <c r="G4617" s="39"/>
      <c r="H4617" s="40"/>
    </row>
    <row r="4618" spans="6:8" x14ac:dyDescent="0.35">
      <c r="F4618" s="38"/>
      <c r="G4618" s="39"/>
      <c r="H4618" s="40"/>
    </row>
    <row r="4619" spans="6:8" x14ac:dyDescent="0.35">
      <c r="F4619" s="38"/>
      <c r="G4619" s="39"/>
      <c r="H4619" s="40"/>
    </row>
    <row r="4620" spans="6:8" x14ac:dyDescent="0.35">
      <c r="F4620" s="38"/>
      <c r="G4620" s="39"/>
      <c r="H4620" s="40"/>
    </row>
    <row r="4621" spans="6:8" x14ac:dyDescent="0.35">
      <c r="F4621" s="38"/>
      <c r="G4621" s="39"/>
      <c r="H4621" s="40"/>
    </row>
    <row r="4622" spans="6:8" x14ac:dyDescent="0.35">
      <c r="F4622" s="38"/>
      <c r="G4622" s="39"/>
      <c r="H4622" s="40"/>
    </row>
    <row r="4623" spans="6:8" x14ac:dyDescent="0.35">
      <c r="F4623" s="38"/>
      <c r="G4623" s="39"/>
      <c r="H4623" s="40"/>
    </row>
    <row r="4624" spans="6:8" x14ac:dyDescent="0.35">
      <c r="F4624" s="38"/>
      <c r="G4624" s="39"/>
      <c r="H4624" s="40"/>
    </row>
    <row r="4625" spans="6:8" x14ac:dyDescent="0.35">
      <c r="F4625" s="38"/>
      <c r="G4625" s="39"/>
      <c r="H4625" s="40"/>
    </row>
    <row r="4626" spans="6:8" x14ac:dyDescent="0.35">
      <c r="F4626" s="38"/>
      <c r="G4626" s="39"/>
      <c r="H4626" s="40"/>
    </row>
    <row r="4627" spans="6:8" x14ac:dyDescent="0.35">
      <c r="F4627" s="38"/>
      <c r="G4627" s="39"/>
      <c r="H4627" s="40"/>
    </row>
    <row r="4628" spans="6:8" x14ac:dyDescent="0.35">
      <c r="F4628" s="38"/>
      <c r="G4628" s="39"/>
      <c r="H4628" s="40"/>
    </row>
    <row r="4629" spans="6:8" x14ac:dyDescent="0.35">
      <c r="F4629" s="38"/>
      <c r="G4629" s="39"/>
      <c r="H4629" s="40"/>
    </row>
    <row r="4630" spans="6:8" x14ac:dyDescent="0.35">
      <c r="F4630" s="38"/>
      <c r="G4630" s="39"/>
      <c r="H4630" s="40"/>
    </row>
    <row r="4631" spans="6:8" x14ac:dyDescent="0.35">
      <c r="F4631" s="38"/>
      <c r="G4631" s="39"/>
      <c r="H4631" s="40"/>
    </row>
    <row r="4632" spans="6:8" x14ac:dyDescent="0.35">
      <c r="F4632" s="38"/>
      <c r="G4632" s="39"/>
      <c r="H4632" s="40"/>
    </row>
    <row r="4633" spans="6:8" x14ac:dyDescent="0.35">
      <c r="F4633" s="38"/>
      <c r="G4633" s="39"/>
      <c r="H4633" s="40"/>
    </row>
    <row r="4634" spans="6:8" x14ac:dyDescent="0.35">
      <c r="F4634" s="38"/>
      <c r="G4634" s="39"/>
      <c r="H4634" s="40"/>
    </row>
    <row r="4635" spans="6:8" x14ac:dyDescent="0.35">
      <c r="F4635" s="38"/>
      <c r="G4635" s="39"/>
      <c r="H4635" s="40"/>
    </row>
    <row r="4636" spans="6:8" x14ac:dyDescent="0.35">
      <c r="F4636" s="38"/>
      <c r="G4636" s="39"/>
      <c r="H4636" s="40"/>
    </row>
    <row r="4637" spans="6:8" x14ac:dyDescent="0.35">
      <c r="F4637" s="38"/>
      <c r="G4637" s="39"/>
      <c r="H4637" s="40"/>
    </row>
    <row r="4638" spans="6:8" x14ac:dyDescent="0.35">
      <c r="F4638" s="38"/>
      <c r="G4638" s="39"/>
      <c r="H4638" s="40"/>
    </row>
    <row r="4639" spans="6:8" x14ac:dyDescent="0.35">
      <c r="F4639" s="38"/>
      <c r="G4639" s="39"/>
      <c r="H4639" s="40"/>
    </row>
    <row r="4640" spans="6:8" x14ac:dyDescent="0.35">
      <c r="F4640" s="38"/>
      <c r="G4640" s="39"/>
      <c r="H4640" s="40"/>
    </row>
    <row r="4641" spans="6:8" x14ac:dyDescent="0.35">
      <c r="F4641" s="38"/>
      <c r="G4641" s="39"/>
      <c r="H4641" s="40"/>
    </row>
    <row r="4642" spans="6:8" x14ac:dyDescent="0.35">
      <c r="F4642" s="38"/>
      <c r="G4642" s="39"/>
      <c r="H4642" s="40"/>
    </row>
    <row r="4643" spans="6:8" x14ac:dyDescent="0.35">
      <c r="F4643" s="38"/>
      <c r="G4643" s="39"/>
      <c r="H4643" s="40"/>
    </row>
    <row r="4644" spans="6:8" x14ac:dyDescent="0.35">
      <c r="F4644" s="38"/>
      <c r="G4644" s="39"/>
      <c r="H4644" s="40"/>
    </row>
    <row r="4645" spans="6:8" x14ac:dyDescent="0.35">
      <c r="F4645" s="38"/>
      <c r="G4645" s="39"/>
      <c r="H4645" s="40"/>
    </row>
    <row r="4646" spans="6:8" x14ac:dyDescent="0.35">
      <c r="F4646" s="38"/>
      <c r="G4646" s="39"/>
      <c r="H4646" s="40"/>
    </row>
    <row r="4647" spans="6:8" x14ac:dyDescent="0.35">
      <c r="F4647" s="38"/>
      <c r="G4647" s="39"/>
      <c r="H4647" s="40"/>
    </row>
    <row r="4648" spans="6:8" x14ac:dyDescent="0.35">
      <c r="F4648" s="38"/>
      <c r="G4648" s="39"/>
      <c r="H4648" s="40"/>
    </row>
    <row r="4649" spans="6:8" x14ac:dyDescent="0.35">
      <c r="F4649" s="38"/>
      <c r="G4649" s="39"/>
      <c r="H4649" s="40"/>
    </row>
    <row r="4650" spans="6:8" x14ac:dyDescent="0.35">
      <c r="F4650" s="38"/>
      <c r="G4650" s="39"/>
      <c r="H4650" s="40"/>
    </row>
    <row r="4651" spans="6:8" x14ac:dyDescent="0.35">
      <c r="F4651" s="38"/>
      <c r="G4651" s="39"/>
      <c r="H4651" s="40"/>
    </row>
    <row r="4652" spans="6:8" x14ac:dyDescent="0.35">
      <c r="F4652" s="38"/>
      <c r="G4652" s="39"/>
      <c r="H4652" s="40"/>
    </row>
    <row r="4653" spans="6:8" x14ac:dyDescent="0.35">
      <c r="F4653" s="38"/>
      <c r="G4653" s="39"/>
      <c r="H4653" s="40"/>
    </row>
    <row r="4654" spans="6:8" x14ac:dyDescent="0.35">
      <c r="F4654" s="38"/>
      <c r="G4654" s="39"/>
      <c r="H4654" s="40"/>
    </row>
    <row r="4655" spans="6:8" x14ac:dyDescent="0.35">
      <c r="F4655" s="38"/>
      <c r="G4655" s="39"/>
      <c r="H4655" s="40"/>
    </row>
    <row r="4656" spans="6:8" x14ac:dyDescent="0.35">
      <c r="F4656" s="38"/>
      <c r="G4656" s="39"/>
      <c r="H4656" s="40"/>
    </row>
    <row r="4657" spans="6:8" x14ac:dyDescent="0.35">
      <c r="F4657" s="38"/>
      <c r="G4657" s="39"/>
      <c r="H4657" s="40"/>
    </row>
    <row r="4658" spans="6:8" x14ac:dyDescent="0.35">
      <c r="F4658" s="38"/>
      <c r="G4658" s="39"/>
      <c r="H4658" s="40"/>
    </row>
    <row r="4659" spans="6:8" x14ac:dyDescent="0.35">
      <c r="F4659" s="38"/>
      <c r="G4659" s="39"/>
      <c r="H4659" s="40"/>
    </row>
    <row r="4660" spans="6:8" x14ac:dyDescent="0.35">
      <c r="F4660" s="38"/>
      <c r="G4660" s="39"/>
      <c r="H4660" s="40"/>
    </row>
    <row r="4661" spans="6:8" x14ac:dyDescent="0.35">
      <c r="F4661" s="38"/>
      <c r="G4661" s="39"/>
      <c r="H4661" s="40"/>
    </row>
    <row r="4662" spans="6:8" x14ac:dyDescent="0.35">
      <c r="F4662" s="38"/>
      <c r="G4662" s="39"/>
      <c r="H4662" s="40"/>
    </row>
    <row r="4663" spans="6:8" x14ac:dyDescent="0.35">
      <c r="F4663" s="38"/>
      <c r="G4663" s="39"/>
      <c r="H4663" s="40"/>
    </row>
    <row r="4664" spans="6:8" x14ac:dyDescent="0.35">
      <c r="F4664" s="38"/>
      <c r="G4664" s="39"/>
      <c r="H4664" s="40"/>
    </row>
    <row r="4665" spans="6:8" x14ac:dyDescent="0.35">
      <c r="F4665" s="38"/>
      <c r="G4665" s="39"/>
      <c r="H4665" s="40"/>
    </row>
    <row r="4666" spans="6:8" x14ac:dyDescent="0.35">
      <c r="F4666" s="38"/>
      <c r="G4666" s="39"/>
      <c r="H4666" s="40"/>
    </row>
    <row r="4667" spans="6:8" x14ac:dyDescent="0.35">
      <c r="F4667" s="38"/>
      <c r="G4667" s="39"/>
      <c r="H4667" s="40"/>
    </row>
    <row r="4668" spans="6:8" x14ac:dyDescent="0.35">
      <c r="F4668" s="38"/>
      <c r="G4668" s="39"/>
      <c r="H4668" s="40"/>
    </row>
    <row r="4669" spans="6:8" x14ac:dyDescent="0.35">
      <c r="F4669" s="38"/>
      <c r="G4669" s="39"/>
      <c r="H4669" s="40"/>
    </row>
    <row r="4670" spans="6:8" x14ac:dyDescent="0.35">
      <c r="F4670" s="38"/>
      <c r="G4670" s="39"/>
      <c r="H4670" s="40"/>
    </row>
    <row r="4671" spans="6:8" x14ac:dyDescent="0.35">
      <c r="F4671" s="38"/>
      <c r="G4671" s="39"/>
      <c r="H4671" s="40"/>
    </row>
    <row r="4672" spans="6:8" x14ac:dyDescent="0.35">
      <c r="F4672" s="38"/>
      <c r="G4672" s="39"/>
      <c r="H4672" s="40"/>
    </row>
    <row r="4673" spans="6:8" x14ac:dyDescent="0.35">
      <c r="F4673" s="38"/>
      <c r="G4673" s="39"/>
      <c r="H4673" s="40"/>
    </row>
    <row r="4674" spans="6:8" x14ac:dyDescent="0.35">
      <c r="F4674" s="38"/>
      <c r="G4674" s="39"/>
      <c r="H4674" s="40"/>
    </row>
    <row r="4675" spans="6:8" x14ac:dyDescent="0.35">
      <c r="F4675" s="38"/>
      <c r="G4675" s="39"/>
      <c r="H4675" s="40"/>
    </row>
    <row r="4676" spans="6:8" x14ac:dyDescent="0.35">
      <c r="F4676" s="38"/>
      <c r="G4676" s="39"/>
      <c r="H4676" s="40"/>
    </row>
    <row r="4677" spans="6:8" x14ac:dyDescent="0.35">
      <c r="F4677" s="38"/>
      <c r="G4677" s="39"/>
      <c r="H4677" s="40"/>
    </row>
    <row r="4678" spans="6:8" x14ac:dyDescent="0.35">
      <c r="F4678" s="38"/>
      <c r="G4678" s="39"/>
      <c r="H4678" s="40"/>
    </row>
    <row r="4679" spans="6:8" x14ac:dyDescent="0.35">
      <c r="F4679" s="38"/>
      <c r="G4679" s="39"/>
      <c r="H4679" s="40"/>
    </row>
    <row r="4680" spans="6:8" x14ac:dyDescent="0.35">
      <c r="F4680" s="38"/>
      <c r="G4680" s="39"/>
      <c r="H4680" s="40"/>
    </row>
    <row r="4681" spans="6:8" x14ac:dyDescent="0.35">
      <c r="F4681" s="38"/>
      <c r="G4681" s="39"/>
      <c r="H4681" s="40"/>
    </row>
    <row r="4682" spans="6:8" x14ac:dyDescent="0.35">
      <c r="F4682" s="38"/>
      <c r="G4682" s="39"/>
      <c r="H4682" s="40"/>
    </row>
    <row r="4683" spans="6:8" x14ac:dyDescent="0.35">
      <c r="F4683" s="38"/>
      <c r="G4683" s="39"/>
      <c r="H4683" s="40"/>
    </row>
    <row r="4684" spans="6:8" x14ac:dyDescent="0.35">
      <c r="F4684" s="38"/>
      <c r="G4684" s="39"/>
      <c r="H4684" s="40"/>
    </row>
    <row r="4685" spans="6:8" x14ac:dyDescent="0.35">
      <c r="F4685" s="38"/>
      <c r="G4685" s="39"/>
      <c r="H4685" s="40"/>
    </row>
    <row r="4686" spans="6:8" x14ac:dyDescent="0.35">
      <c r="F4686" s="38"/>
      <c r="G4686" s="39"/>
      <c r="H4686" s="40"/>
    </row>
    <row r="4687" spans="6:8" x14ac:dyDescent="0.35">
      <c r="F4687" s="38"/>
      <c r="G4687" s="39"/>
      <c r="H4687" s="40"/>
    </row>
    <row r="4688" spans="6:8" x14ac:dyDescent="0.35">
      <c r="F4688" s="38"/>
      <c r="G4688" s="39"/>
      <c r="H4688" s="40"/>
    </row>
    <row r="4689" spans="6:8" x14ac:dyDescent="0.35">
      <c r="F4689" s="38"/>
      <c r="G4689" s="39"/>
      <c r="H4689" s="40"/>
    </row>
    <row r="4690" spans="6:8" x14ac:dyDescent="0.35">
      <c r="F4690" s="38"/>
      <c r="G4690" s="39"/>
      <c r="H4690" s="40"/>
    </row>
    <row r="4691" spans="6:8" x14ac:dyDescent="0.35">
      <c r="F4691" s="38"/>
      <c r="G4691" s="39"/>
      <c r="H4691" s="40"/>
    </row>
    <row r="4692" spans="6:8" x14ac:dyDescent="0.35">
      <c r="F4692" s="38"/>
      <c r="G4692" s="39"/>
      <c r="H4692" s="40"/>
    </row>
    <row r="4693" spans="6:8" x14ac:dyDescent="0.35">
      <c r="F4693" s="38"/>
      <c r="G4693" s="39"/>
      <c r="H4693" s="40"/>
    </row>
    <row r="4694" spans="6:8" x14ac:dyDescent="0.35">
      <c r="F4694" s="38"/>
      <c r="G4694" s="39"/>
      <c r="H4694" s="40"/>
    </row>
    <row r="4695" spans="6:8" x14ac:dyDescent="0.35">
      <c r="F4695" s="38"/>
      <c r="G4695" s="39"/>
      <c r="H4695" s="40"/>
    </row>
    <row r="4696" spans="6:8" x14ac:dyDescent="0.35">
      <c r="F4696" s="38"/>
      <c r="G4696" s="39"/>
      <c r="H4696" s="40"/>
    </row>
    <row r="4697" spans="6:8" x14ac:dyDescent="0.35">
      <c r="F4697" s="38"/>
      <c r="G4697" s="39"/>
      <c r="H4697" s="40"/>
    </row>
    <row r="4698" spans="6:8" x14ac:dyDescent="0.35">
      <c r="F4698" s="38"/>
      <c r="G4698" s="39"/>
      <c r="H4698" s="40"/>
    </row>
    <row r="4699" spans="6:8" x14ac:dyDescent="0.35">
      <c r="F4699" s="38"/>
      <c r="G4699" s="39"/>
      <c r="H4699" s="40"/>
    </row>
    <row r="4700" spans="6:8" x14ac:dyDescent="0.35">
      <c r="F4700" s="38"/>
      <c r="G4700" s="39"/>
      <c r="H4700" s="40"/>
    </row>
    <row r="4701" spans="6:8" x14ac:dyDescent="0.35">
      <c r="F4701" s="38"/>
      <c r="G4701" s="39"/>
      <c r="H4701" s="40"/>
    </row>
    <row r="4702" spans="6:8" x14ac:dyDescent="0.35">
      <c r="F4702" s="38"/>
      <c r="G4702" s="39"/>
      <c r="H4702" s="40"/>
    </row>
    <row r="4703" spans="6:8" x14ac:dyDescent="0.35">
      <c r="F4703" s="38"/>
      <c r="G4703" s="39"/>
      <c r="H4703" s="40"/>
    </row>
    <row r="4704" spans="6:8" x14ac:dyDescent="0.35">
      <c r="F4704" s="38"/>
      <c r="G4704" s="39"/>
      <c r="H4704" s="40"/>
    </row>
    <row r="4705" spans="6:8" x14ac:dyDescent="0.35">
      <c r="F4705" s="38"/>
      <c r="G4705" s="39"/>
      <c r="H4705" s="40"/>
    </row>
    <row r="4706" spans="6:8" x14ac:dyDescent="0.35">
      <c r="F4706" s="38"/>
      <c r="G4706" s="39"/>
      <c r="H4706" s="40"/>
    </row>
    <row r="4707" spans="6:8" x14ac:dyDescent="0.35">
      <c r="F4707" s="38"/>
      <c r="G4707" s="39"/>
      <c r="H4707" s="40"/>
    </row>
    <row r="4708" spans="6:8" x14ac:dyDescent="0.35">
      <c r="F4708" s="38"/>
      <c r="G4708" s="39"/>
      <c r="H4708" s="40"/>
    </row>
    <row r="4709" spans="6:8" x14ac:dyDescent="0.35">
      <c r="F4709" s="38"/>
      <c r="G4709" s="39"/>
      <c r="H4709" s="40"/>
    </row>
    <row r="4710" spans="6:8" x14ac:dyDescent="0.35">
      <c r="F4710" s="38"/>
      <c r="G4710" s="39"/>
      <c r="H4710" s="40"/>
    </row>
    <row r="4711" spans="6:8" x14ac:dyDescent="0.35">
      <c r="F4711" s="38"/>
      <c r="G4711" s="39"/>
      <c r="H4711" s="40"/>
    </row>
    <row r="4712" spans="6:8" x14ac:dyDescent="0.35">
      <c r="F4712" s="38"/>
      <c r="G4712" s="39"/>
      <c r="H4712" s="40"/>
    </row>
    <row r="4713" spans="6:8" x14ac:dyDescent="0.35">
      <c r="F4713" s="38"/>
      <c r="G4713" s="39"/>
      <c r="H4713" s="40"/>
    </row>
    <row r="4714" spans="6:8" x14ac:dyDescent="0.35">
      <c r="F4714" s="38"/>
      <c r="G4714" s="39"/>
      <c r="H4714" s="40"/>
    </row>
    <row r="4715" spans="6:8" x14ac:dyDescent="0.35">
      <c r="F4715" s="38"/>
      <c r="G4715" s="39"/>
      <c r="H4715" s="40"/>
    </row>
    <row r="4716" spans="6:8" x14ac:dyDescent="0.35">
      <c r="F4716" s="38"/>
      <c r="G4716" s="39"/>
      <c r="H4716" s="40"/>
    </row>
    <row r="4717" spans="6:8" x14ac:dyDescent="0.35">
      <c r="F4717" s="38"/>
      <c r="G4717" s="39"/>
      <c r="H4717" s="40"/>
    </row>
    <row r="4718" spans="6:8" x14ac:dyDescent="0.35">
      <c r="F4718" s="38"/>
      <c r="G4718" s="39"/>
      <c r="H4718" s="40"/>
    </row>
    <row r="4719" spans="6:8" x14ac:dyDescent="0.35">
      <c r="F4719" s="38"/>
      <c r="G4719" s="39"/>
      <c r="H4719" s="40"/>
    </row>
    <row r="4720" spans="6:8" x14ac:dyDescent="0.35">
      <c r="F4720" s="38"/>
      <c r="G4720" s="39"/>
      <c r="H4720" s="40"/>
    </row>
    <row r="4721" spans="6:8" x14ac:dyDescent="0.35">
      <c r="F4721" s="38"/>
      <c r="G4721" s="39"/>
      <c r="H4721" s="40"/>
    </row>
    <row r="4722" spans="6:8" x14ac:dyDescent="0.35">
      <c r="F4722" s="38"/>
      <c r="G4722" s="39"/>
      <c r="H4722" s="40"/>
    </row>
    <row r="4723" spans="6:8" x14ac:dyDescent="0.35">
      <c r="F4723" s="38"/>
      <c r="G4723" s="39"/>
      <c r="H4723" s="40"/>
    </row>
    <row r="4724" spans="6:8" x14ac:dyDescent="0.35">
      <c r="F4724" s="38"/>
      <c r="G4724" s="39"/>
      <c r="H4724" s="40"/>
    </row>
    <row r="4725" spans="6:8" x14ac:dyDescent="0.35">
      <c r="F4725" s="38"/>
      <c r="G4725" s="39"/>
      <c r="H4725" s="40"/>
    </row>
    <row r="4726" spans="6:8" x14ac:dyDescent="0.35">
      <c r="F4726" s="38"/>
      <c r="G4726" s="39"/>
      <c r="H4726" s="40"/>
    </row>
    <row r="4727" spans="6:8" x14ac:dyDescent="0.35">
      <c r="F4727" s="38"/>
      <c r="G4727" s="39"/>
      <c r="H4727" s="40"/>
    </row>
    <row r="4728" spans="6:8" x14ac:dyDescent="0.35">
      <c r="F4728" s="38"/>
      <c r="G4728" s="39"/>
      <c r="H4728" s="40"/>
    </row>
    <row r="4729" spans="6:8" x14ac:dyDescent="0.35">
      <c r="F4729" s="38"/>
      <c r="G4729" s="39"/>
      <c r="H4729" s="40"/>
    </row>
    <row r="4730" spans="6:8" x14ac:dyDescent="0.35">
      <c r="F4730" s="38"/>
      <c r="G4730" s="39"/>
      <c r="H4730" s="40"/>
    </row>
    <row r="4731" spans="6:8" x14ac:dyDescent="0.35">
      <c r="F4731" s="38"/>
      <c r="G4731" s="39"/>
      <c r="H4731" s="40"/>
    </row>
    <row r="4732" spans="6:8" x14ac:dyDescent="0.35">
      <c r="F4732" s="38"/>
      <c r="G4732" s="39"/>
      <c r="H4732" s="40"/>
    </row>
    <row r="4733" spans="6:8" x14ac:dyDescent="0.35">
      <c r="F4733" s="38"/>
      <c r="G4733" s="39"/>
      <c r="H4733" s="40"/>
    </row>
    <row r="4734" spans="6:8" x14ac:dyDescent="0.35">
      <c r="F4734" s="38"/>
      <c r="G4734" s="39"/>
      <c r="H4734" s="40"/>
    </row>
    <row r="4735" spans="6:8" x14ac:dyDescent="0.35">
      <c r="F4735" s="38"/>
      <c r="G4735" s="39"/>
      <c r="H4735" s="40"/>
    </row>
    <row r="4736" spans="6:8" x14ac:dyDescent="0.35">
      <c r="F4736" s="38"/>
      <c r="G4736" s="39"/>
      <c r="H4736" s="40"/>
    </row>
    <row r="4737" spans="6:8" x14ac:dyDescent="0.35">
      <c r="F4737" s="38"/>
      <c r="G4737" s="39"/>
      <c r="H4737" s="40"/>
    </row>
    <row r="4738" spans="6:8" x14ac:dyDescent="0.35">
      <c r="F4738" s="38"/>
      <c r="G4738" s="39"/>
      <c r="H4738" s="40"/>
    </row>
    <row r="4739" spans="6:8" x14ac:dyDescent="0.35">
      <c r="F4739" s="38"/>
      <c r="G4739" s="39"/>
      <c r="H4739" s="40"/>
    </row>
    <row r="4740" spans="6:8" x14ac:dyDescent="0.35">
      <c r="F4740" s="38"/>
      <c r="G4740" s="39"/>
      <c r="H4740" s="40"/>
    </row>
    <row r="4741" spans="6:8" x14ac:dyDescent="0.35">
      <c r="F4741" s="38"/>
      <c r="G4741" s="39"/>
      <c r="H4741" s="40"/>
    </row>
    <row r="4742" spans="6:8" x14ac:dyDescent="0.35">
      <c r="F4742" s="38"/>
      <c r="G4742" s="39"/>
      <c r="H4742" s="40"/>
    </row>
    <row r="4743" spans="6:8" x14ac:dyDescent="0.35">
      <c r="F4743" s="38"/>
      <c r="G4743" s="39"/>
      <c r="H4743" s="40"/>
    </row>
    <row r="4744" spans="6:8" x14ac:dyDescent="0.35">
      <c r="F4744" s="38"/>
      <c r="G4744" s="39"/>
      <c r="H4744" s="40"/>
    </row>
    <row r="4745" spans="6:8" x14ac:dyDescent="0.35">
      <c r="F4745" s="38"/>
      <c r="G4745" s="39"/>
      <c r="H4745" s="40"/>
    </row>
    <row r="4746" spans="6:8" x14ac:dyDescent="0.35">
      <c r="F4746" s="38"/>
      <c r="G4746" s="39"/>
      <c r="H4746" s="40"/>
    </row>
    <row r="4747" spans="6:8" x14ac:dyDescent="0.35">
      <c r="F4747" s="38"/>
      <c r="G4747" s="39"/>
      <c r="H4747" s="40"/>
    </row>
    <row r="4748" spans="6:8" x14ac:dyDescent="0.35">
      <c r="F4748" s="38"/>
      <c r="G4748" s="39"/>
      <c r="H4748" s="40"/>
    </row>
    <row r="4749" spans="6:8" x14ac:dyDescent="0.35">
      <c r="F4749" s="38"/>
      <c r="G4749" s="39"/>
      <c r="H4749" s="40"/>
    </row>
    <row r="4750" spans="6:8" x14ac:dyDescent="0.35">
      <c r="F4750" s="38"/>
      <c r="G4750" s="39"/>
      <c r="H4750" s="40"/>
    </row>
    <row r="4751" spans="6:8" x14ac:dyDescent="0.35">
      <c r="F4751" s="38"/>
      <c r="G4751" s="39"/>
      <c r="H4751" s="40"/>
    </row>
    <row r="4752" spans="6:8" x14ac:dyDescent="0.35">
      <c r="F4752" s="38"/>
      <c r="G4752" s="39"/>
      <c r="H4752" s="40"/>
    </row>
    <row r="4753" spans="6:8" x14ac:dyDescent="0.35">
      <c r="F4753" s="38"/>
      <c r="G4753" s="39"/>
      <c r="H4753" s="40"/>
    </row>
    <row r="4754" spans="6:8" x14ac:dyDescent="0.35">
      <c r="F4754" s="38"/>
      <c r="G4754" s="39"/>
      <c r="H4754" s="40"/>
    </row>
    <row r="4755" spans="6:8" x14ac:dyDescent="0.35">
      <c r="F4755" s="38"/>
      <c r="G4755" s="39"/>
      <c r="H4755" s="40"/>
    </row>
    <row r="4756" spans="6:8" x14ac:dyDescent="0.35">
      <c r="F4756" s="38"/>
      <c r="G4756" s="39"/>
      <c r="H4756" s="40"/>
    </row>
    <row r="4757" spans="6:8" x14ac:dyDescent="0.35">
      <c r="F4757" s="38"/>
      <c r="G4757" s="39"/>
      <c r="H4757" s="40"/>
    </row>
    <row r="4758" spans="6:8" x14ac:dyDescent="0.35">
      <c r="F4758" s="38"/>
      <c r="G4758" s="39"/>
      <c r="H4758" s="40"/>
    </row>
    <row r="4759" spans="6:8" x14ac:dyDescent="0.35">
      <c r="F4759" s="38"/>
      <c r="G4759" s="39"/>
      <c r="H4759" s="40"/>
    </row>
    <row r="4760" spans="6:8" x14ac:dyDescent="0.35">
      <c r="F4760" s="38"/>
      <c r="G4760" s="39"/>
      <c r="H4760" s="40"/>
    </row>
    <row r="4761" spans="6:8" x14ac:dyDescent="0.35">
      <c r="F4761" s="38"/>
      <c r="G4761" s="39"/>
      <c r="H4761" s="40"/>
    </row>
    <row r="4762" spans="6:8" x14ac:dyDescent="0.35">
      <c r="F4762" s="38"/>
      <c r="G4762" s="39"/>
      <c r="H4762" s="40"/>
    </row>
    <row r="4763" spans="6:8" x14ac:dyDescent="0.35">
      <c r="F4763" s="38"/>
      <c r="G4763" s="39"/>
      <c r="H4763" s="40"/>
    </row>
    <row r="4764" spans="6:8" x14ac:dyDescent="0.35">
      <c r="F4764" s="38"/>
      <c r="G4764" s="39"/>
      <c r="H4764" s="40"/>
    </row>
    <row r="4765" spans="6:8" x14ac:dyDescent="0.35">
      <c r="F4765" s="38"/>
      <c r="G4765" s="39"/>
      <c r="H4765" s="40"/>
    </row>
    <row r="4766" spans="6:8" x14ac:dyDescent="0.35">
      <c r="F4766" s="38"/>
      <c r="G4766" s="39"/>
      <c r="H4766" s="40"/>
    </row>
    <row r="4767" spans="6:8" x14ac:dyDescent="0.35">
      <c r="F4767" s="38"/>
      <c r="G4767" s="39"/>
      <c r="H4767" s="40"/>
    </row>
    <row r="4768" spans="6:8" x14ac:dyDescent="0.35">
      <c r="F4768" s="38"/>
      <c r="G4768" s="39"/>
      <c r="H4768" s="40"/>
    </row>
    <row r="4769" spans="6:8" x14ac:dyDescent="0.35">
      <c r="F4769" s="38"/>
      <c r="G4769" s="39"/>
      <c r="H4769" s="40"/>
    </row>
    <row r="4770" spans="6:8" x14ac:dyDescent="0.35">
      <c r="F4770" s="38"/>
      <c r="G4770" s="39"/>
      <c r="H4770" s="40"/>
    </row>
    <row r="4771" spans="6:8" x14ac:dyDescent="0.35">
      <c r="F4771" s="38"/>
      <c r="G4771" s="39"/>
      <c r="H4771" s="40"/>
    </row>
    <row r="4772" spans="6:8" x14ac:dyDescent="0.35">
      <c r="F4772" s="38"/>
      <c r="G4772" s="39"/>
      <c r="H4772" s="40"/>
    </row>
    <row r="4773" spans="6:8" x14ac:dyDescent="0.35">
      <c r="F4773" s="38"/>
      <c r="G4773" s="39"/>
      <c r="H4773" s="40"/>
    </row>
    <row r="4774" spans="6:8" x14ac:dyDescent="0.35">
      <c r="F4774" s="38"/>
      <c r="G4774" s="39"/>
      <c r="H4774" s="40"/>
    </row>
    <row r="4775" spans="6:8" x14ac:dyDescent="0.35">
      <c r="F4775" s="38"/>
      <c r="G4775" s="39"/>
      <c r="H4775" s="40"/>
    </row>
    <row r="4776" spans="6:8" x14ac:dyDescent="0.35">
      <c r="F4776" s="38"/>
      <c r="G4776" s="39"/>
      <c r="H4776" s="40"/>
    </row>
    <row r="4777" spans="6:8" x14ac:dyDescent="0.35">
      <c r="F4777" s="38"/>
      <c r="G4777" s="39"/>
      <c r="H4777" s="40"/>
    </row>
    <row r="4778" spans="6:8" x14ac:dyDescent="0.35">
      <c r="F4778" s="38"/>
      <c r="G4778" s="39"/>
      <c r="H4778" s="40"/>
    </row>
    <row r="4779" spans="6:8" x14ac:dyDescent="0.35">
      <c r="F4779" s="38"/>
      <c r="G4779" s="39"/>
      <c r="H4779" s="40"/>
    </row>
    <row r="4780" spans="6:8" x14ac:dyDescent="0.35">
      <c r="F4780" s="38"/>
      <c r="G4780" s="39"/>
      <c r="H4780" s="40"/>
    </row>
    <row r="4781" spans="6:8" x14ac:dyDescent="0.35">
      <c r="F4781" s="38"/>
      <c r="G4781" s="39"/>
      <c r="H4781" s="40"/>
    </row>
    <row r="4782" spans="6:8" x14ac:dyDescent="0.35">
      <c r="F4782" s="38"/>
      <c r="G4782" s="39"/>
      <c r="H4782" s="40"/>
    </row>
    <row r="4783" spans="6:8" x14ac:dyDescent="0.35">
      <c r="F4783" s="38"/>
      <c r="G4783" s="39"/>
      <c r="H4783" s="40"/>
    </row>
    <row r="4784" spans="6:8" x14ac:dyDescent="0.35">
      <c r="F4784" s="38"/>
      <c r="G4784" s="39"/>
      <c r="H4784" s="40"/>
    </row>
    <row r="4785" spans="6:8" x14ac:dyDescent="0.35">
      <c r="F4785" s="38"/>
      <c r="G4785" s="39"/>
      <c r="H4785" s="40"/>
    </row>
    <row r="4786" spans="6:8" x14ac:dyDescent="0.35">
      <c r="F4786" s="38"/>
      <c r="G4786" s="39"/>
      <c r="H4786" s="40"/>
    </row>
    <row r="4787" spans="6:8" x14ac:dyDescent="0.35">
      <c r="F4787" s="38"/>
      <c r="G4787" s="39"/>
      <c r="H4787" s="40"/>
    </row>
    <row r="4788" spans="6:8" x14ac:dyDescent="0.35">
      <c r="F4788" s="38"/>
      <c r="G4788" s="39"/>
      <c r="H4788" s="40"/>
    </row>
    <row r="4789" spans="6:8" x14ac:dyDescent="0.35">
      <c r="F4789" s="38"/>
      <c r="G4789" s="39"/>
      <c r="H4789" s="40"/>
    </row>
    <row r="4790" spans="6:8" x14ac:dyDescent="0.35">
      <c r="F4790" s="38"/>
      <c r="G4790" s="39"/>
      <c r="H4790" s="40"/>
    </row>
    <row r="4791" spans="6:8" x14ac:dyDescent="0.35">
      <c r="F4791" s="38"/>
      <c r="G4791" s="39"/>
      <c r="H4791" s="40"/>
    </row>
    <row r="4792" spans="6:8" x14ac:dyDescent="0.35">
      <c r="F4792" s="38"/>
      <c r="G4792" s="39"/>
      <c r="H4792" s="40"/>
    </row>
    <row r="4793" spans="6:8" x14ac:dyDescent="0.35">
      <c r="F4793" s="38"/>
      <c r="G4793" s="39"/>
      <c r="H4793" s="40"/>
    </row>
    <row r="4794" spans="6:8" x14ac:dyDescent="0.35">
      <c r="F4794" s="38"/>
      <c r="G4794" s="39"/>
      <c r="H4794" s="40"/>
    </row>
    <row r="4795" spans="6:8" x14ac:dyDescent="0.35">
      <c r="F4795" s="38"/>
      <c r="G4795" s="39"/>
      <c r="H4795" s="40"/>
    </row>
    <row r="4796" spans="6:8" x14ac:dyDescent="0.35">
      <c r="F4796" s="38"/>
      <c r="G4796" s="39"/>
      <c r="H4796" s="40"/>
    </row>
    <row r="4797" spans="6:8" x14ac:dyDescent="0.35">
      <c r="F4797" s="38"/>
      <c r="G4797" s="39"/>
      <c r="H4797" s="40"/>
    </row>
    <row r="4798" spans="6:8" x14ac:dyDescent="0.35">
      <c r="F4798" s="38"/>
      <c r="G4798" s="39"/>
      <c r="H4798" s="40"/>
    </row>
    <row r="4799" spans="6:8" x14ac:dyDescent="0.35">
      <c r="F4799" s="38"/>
      <c r="G4799" s="39"/>
      <c r="H4799" s="40"/>
    </row>
    <row r="4800" spans="6:8" x14ac:dyDescent="0.35">
      <c r="F4800" s="38"/>
      <c r="G4800" s="39"/>
      <c r="H4800" s="40"/>
    </row>
    <row r="4801" spans="6:8" x14ac:dyDescent="0.35">
      <c r="F4801" s="38"/>
      <c r="G4801" s="39"/>
      <c r="H4801" s="40"/>
    </row>
    <row r="4802" spans="6:8" x14ac:dyDescent="0.35">
      <c r="F4802" s="38"/>
      <c r="G4802" s="39"/>
      <c r="H4802" s="40"/>
    </row>
    <row r="4803" spans="6:8" x14ac:dyDescent="0.35">
      <c r="F4803" s="38"/>
      <c r="G4803" s="39"/>
      <c r="H4803" s="40"/>
    </row>
    <row r="4804" spans="6:8" x14ac:dyDescent="0.35">
      <c r="F4804" s="38"/>
      <c r="G4804" s="39"/>
      <c r="H4804" s="40"/>
    </row>
    <row r="4805" spans="6:8" x14ac:dyDescent="0.35">
      <c r="F4805" s="38"/>
      <c r="G4805" s="39"/>
      <c r="H4805" s="40"/>
    </row>
    <row r="4806" spans="6:8" x14ac:dyDescent="0.35">
      <c r="F4806" s="38"/>
      <c r="G4806" s="39"/>
      <c r="H4806" s="40"/>
    </row>
    <row r="4807" spans="6:8" x14ac:dyDescent="0.35">
      <c r="F4807" s="38"/>
      <c r="G4807" s="39"/>
      <c r="H4807" s="40"/>
    </row>
    <row r="4808" spans="6:8" x14ac:dyDescent="0.35">
      <c r="F4808" s="38"/>
      <c r="G4808" s="39"/>
      <c r="H4808" s="40"/>
    </row>
    <row r="4809" spans="6:8" x14ac:dyDescent="0.35">
      <c r="F4809" s="38"/>
      <c r="G4809" s="39"/>
      <c r="H4809" s="40"/>
    </row>
    <row r="4810" spans="6:8" x14ac:dyDescent="0.35">
      <c r="F4810" s="38"/>
      <c r="G4810" s="39"/>
      <c r="H4810" s="40"/>
    </row>
    <row r="4811" spans="6:8" x14ac:dyDescent="0.35">
      <c r="F4811" s="38"/>
      <c r="G4811" s="39"/>
      <c r="H4811" s="40"/>
    </row>
    <row r="4812" spans="6:8" x14ac:dyDescent="0.35">
      <c r="F4812" s="38"/>
      <c r="G4812" s="39"/>
      <c r="H4812" s="40"/>
    </row>
    <row r="4813" spans="6:8" x14ac:dyDescent="0.35">
      <c r="F4813" s="38"/>
      <c r="G4813" s="39"/>
      <c r="H4813" s="40"/>
    </row>
    <row r="4814" spans="6:8" x14ac:dyDescent="0.35">
      <c r="F4814" s="38"/>
      <c r="G4814" s="39"/>
      <c r="H4814" s="40"/>
    </row>
    <row r="4815" spans="6:8" x14ac:dyDescent="0.35">
      <c r="F4815" s="38"/>
      <c r="G4815" s="39"/>
      <c r="H4815" s="40"/>
    </row>
    <row r="4816" spans="6:8" x14ac:dyDescent="0.35">
      <c r="F4816" s="38"/>
      <c r="G4816" s="39"/>
      <c r="H4816" s="40"/>
    </row>
    <row r="4817" spans="6:8" x14ac:dyDescent="0.35">
      <c r="F4817" s="38"/>
      <c r="G4817" s="39"/>
      <c r="H4817" s="40"/>
    </row>
    <row r="4818" spans="6:8" x14ac:dyDescent="0.35">
      <c r="F4818" s="38"/>
      <c r="G4818" s="39"/>
      <c r="H4818" s="40"/>
    </row>
    <row r="4819" spans="6:8" x14ac:dyDescent="0.35">
      <c r="F4819" s="38"/>
      <c r="G4819" s="39"/>
      <c r="H4819" s="40"/>
    </row>
    <row r="4820" spans="6:8" x14ac:dyDescent="0.35">
      <c r="F4820" s="38"/>
      <c r="G4820" s="39"/>
      <c r="H4820" s="40"/>
    </row>
    <row r="4821" spans="6:8" x14ac:dyDescent="0.35">
      <c r="F4821" s="38"/>
      <c r="G4821" s="39"/>
      <c r="H4821" s="40"/>
    </row>
    <row r="4822" spans="6:8" x14ac:dyDescent="0.35">
      <c r="F4822" s="38"/>
      <c r="G4822" s="39"/>
      <c r="H4822" s="40"/>
    </row>
    <row r="4823" spans="6:8" x14ac:dyDescent="0.35">
      <c r="F4823" s="38"/>
      <c r="G4823" s="39"/>
      <c r="H4823" s="40"/>
    </row>
    <row r="4824" spans="6:8" x14ac:dyDescent="0.35">
      <c r="F4824" s="38"/>
      <c r="G4824" s="39"/>
      <c r="H4824" s="40"/>
    </row>
    <row r="4825" spans="6:8" x14ac:dyDescent="0.35">
      <c r="F4825" s="38"/>
      <c r="G4825" s="39"/>
      <c r="H4825" s="40"/>
    </row>
    <row r="4826" spans="6:8" x14ac:dyDescent="0.35">
      <c r="F4826" s="38"/>
      <c r="G4826" s="39"/>
      <c r="H4826" s="40"/>
    </row>
    <row r="4827" spans="6:8" x14ac:dyDescent="0.35">
      <c r="F4827" s="38"/>
      <c r="G4827" s="39"/>
      <c r="H4827" s="40"/>
    </row>
    <row r="4828" spans="6:8" x14ac:dyDescent="0.35">
      <c r="F4828" s="38"/>
      <c r="G4828" s="39"/>
      <c r="H4828" s="40"/>
    </row>
    <row r="4829" spans="6:8" x14ac:dyDescent="0.35">
      <c r="F4829" s="38"/>
      <c r="G4829" s="39"/>
      <c r="H4829" s="40"/>
    </row>
    <row r="4830" spans="6:8" x14ac:dyDescent="0.35">
      <c r="F4830" s="38"/>
      <c r="G4830" s="39"/>
      <c r="H4830" s="40"/>
    </row>
    <row r="4831" spans="6:8" x14ac:dyDescent="0.35">
      <c r="F4831" s="38"/>
      <c r="G4831" s="39"/>
      <c r="H4831" s="40"/>
    </row>
    <row r="4832" spans="6:8" x14ac:dyDescent="0.35">
      <c r="F4832" s="38"/>
      <c r="G4832" s="39"/>
      <c r="H4832" s="40"/>
    </row>
    <row r="4833" spans="6:8" x14ac:dyDescent="0.35">
      <c r="F4833" s="38"/>
      <c r="G4833" s="39"/>
      <c r="H4833" s="40"/>
    </row>
    <row r="4834" spans="6:8" x14ac:dyDescent="0.35">
      <c r="F4834" s="38"/>
      <c r="G4834" s="39"/>
      <c r="H4834" s="40"/>
    </row>
    <row r="4835" spans="6:8" x14ac:dyDescent="0.35">
      <c r="F4835" s="38"/>
      <c r="G4835" s="39"/>
      <c r="H4835" s="40"/>
    </row>
    <row r="4836" spans="6:8" x14ac:dyDescent="0.35">
      <c r="F4836" s="38"/>
      <c r="G4836" s="39"/>
      <c r="H4836" s="40"/>
    </row>
    <row r="4837" spans="6:8" x14ac:dyDescent="0.35">
      <c r="F4837" s="38"/>
      <c r="G4837" s="39"/>
      <c r="H4837" s="40"/>
    </row>
    <row r="4838" spans="6:8" x14ac:dyDescent="0.35">
      <c r="F4838" s="38"/>
      <c r="G4838" s="39"/>
      <c r="H4838" s="40"/>
    </row>
    <row r="4839" spans="6:8" x14ac:dyDescent="0.35">
      <c r="F4839" s="38"/>
      <c r="G4839" s="39"/>
      <c r="H4839" s="40"/>
    </row>
    <row r="4840" spans="6:8" x14ac:dyDescent="0.35">
      <c r="F4840" s="38"/>
      <c r="G4840" s="39"/>
      <c r="H4840" s="40"/>
    </row>
    <row r="4841" spans="6:8" x14ac:dyDescent="0.35">
      <c r="F4841" s="38"/>
      <c r="G4841" s="39"/>
      <c r="H4841" s="40"/>
    </row>
    <row r="4842" spans="6:8" x14ac:dyDescent="0.35">
      <c r="F4842" s="38"/>
      <c r="G4842" s="39"/>
      <c r="H4842" s="40"/>
    </row>
    <row r="4843" spans="6:8" x14ac:dyDescent="0.35">
      <c r="F4843" s="38"/>
      <c r="G4843" s="39"/>
      <c r="H4843" s="40"/>
    </row>
    <row r="4844" spans="6:8" x14ac:dyDescent="0.35">
      <c r="F4844" s="38"/>
      <c r="G4844" s="39"/>
      <c r="H4844" s="40"/>
    </row>
    <row r="4845" spans="6:8" x14ac:dyDescent="0.35">
      <c r="F4845" s="38"/>
      <c r="G4845" s="39"/>
      <c r="H4845" s="40"/>
    </row>
    <row r="4846" spans="6:8" x14ac:dyDescent="0.35">
      <c r="F4846" s="38"/>
      <c r="G4846" s="39"/>
      <c r="H4846" s="40"/>
    </row>
    <row r="4847" spans="6:8" x14ac:dyDescent="0.35">
      <c r="F4847" s="38"/>
      <c r="G4847" s="39"/>
      <c r="H4847" s="40"/>
    </row>
    <row r="4848" spans="6:8" x14ac:dyDescent="0.35">
      <c r="F4848" s="38"/>
      <c r="G4848" s="39"/>
      <c r="H4848" s="40"/>
    </row>
    <row r="4849" spans="6:8" x14ac:dyDescent="0.35">
      <c r="F4849" s="38"/>
      <c r="G4849" s="39"/>
      <c r="H4849" s="40"/>
    </row>
    <row r="4850" spans="6:8" x14ac:dyDescent="0.35">
      <c r="F4850" s="38"/>
      <c r="G4850" s="39"/>
      <c r="H4850" s="40"/>
    </row>
    <row r="4851" spans="6:8" x14ac:dyDescent="0.35">
      <c r="F4851" s="38"/>
      <c r="G4851" s="39"/>
      <c r="H4851" s="40"/>
    </row>
    <row r="4852" spans="6:8" x14ac:dyDescent="0.35">
      <c r="F4852" s="38"/>
      <c r="G4852" s="39"/>
      <c r="H4852" s="40"/>
    </row>
    <row r="4853" spans="6:8" x14ac:dyDescent="0.35">
      <c r="F4853" s="38"/>
      <c r="G4853" s="39"/>
      <c r="H4853" s="40"/>
    </row>
    <row r="4854" spans="6:8" x14ac:dyDescent="0.35">
      <c r="F4854" s="38"/>
      <c r="G4854" s="39"/>
      <c r="H4854" s="40"/>
    </row>
    <row r="4855" spans="6:8" x14ac:dyDescent="0.35">
      <c r="F4855" s="38"/>
      <c r="G4855" s="39"/>
      <c r="H4855" s="40"/>
    </row>
    <row r="4856" spans="6:8" x14ac:dyDescent="0.35">
      <c r="F4856" s="38"/>
      <c r="G4856" s="39"/>
      <c r="H4856" s="40"/>
    </row>
    <row r="4857" spans="6:8" x14ac:dyDescent="0.35">
      <c r="F4857" s="38"/>
      <c r="G4857" s="39"/>
      <c r="H4857" s="40"/>
    </row>
    <row r="4858" spans="6:8" x14ac:dyDescent="0.35">
      <c r="F4858" s="38"/>
      <c r="G4858" s="39"/>
      <c r="H4858" s="40"/>
    </row>
    <row r="4859" spans="6:8" x14ac:dyDescent="0.35">
      <c r="F4859" s="38"/>
      <c r="G4859" s="39"/>
      <c r="H4859" s="40"/>
    </row>
    <row r="4860" spans="6:8" x14ac:dyDescent="0.35">
      <c r="F4860" s="38"/>
      <c r="G4860" s="39"/>
      <c r="H4860" s="40"/>
    </row>
    <row r="4861" spans="6:8" x14ac:dyDescent="0.35">
      <c r="F4861" s="38"/>
      <c r="G4861" s="39"/>
      <c r="H4861" s="40"/>
    </row>
    <row r="4862" spans="6:8" x14ac:dyDescent="0.35">
      <c r="F4862" s="38"/>
      <c r="G4862" s="39"/>
      <c r="H4862" s="40"/>
    </row>
    <row r="4863" spans="6:8" x14ac:dyDescent="0.35">
      <c r="F4863" s="38"/>
      <c r="G4863" s="39"/>
      <c r="H4863" s="40"/>
    </row>
    <row r="4864" spans="6:8" x14ac:dyDescent="0.35">
      <c r="F4864" s="38"/>
      <c r="G4864" s="39"/>
      <c r="H4864" s="40"/>
    </row>
    <row r="4865" spans="6:8" x14ac:dyDescent="0.35">
      <c r="F4865" s="38"/>
      <c r="G4865" s="39"/>
      <c r="H4865" s="40"/>
    </row>
    <row r="4866" spans="6:8" x14ac:dyDescent="0.35">
      <c r="F4866" s="38"/>
      <c r="G4866" s="39"/>
      <c r="H4866" s="40"/>
    </row>
    <row r="4867" spans="6:8" x14ac:dyDescent="0.35">
      <c r="F4867" s="38"/>
      <c r="G4867" s="39"/>
      <c r="H4867" s="40"/>
    </row>
    <row r="4868" spans="6:8" x14ac:dyDescent="0.35">
      <c r="F4868" s="38"/>
      <c r="G4868" s="39"/>
      <c r="H4868" s="40"/>
    </row>
    <row r="4869" spans="6:8" x14ac:dyDescent="0.35">
      <c r="F4869" s="38"/>
      <c r="G4869" s="39"/>
      <c r="H4869" s="40"/>
    </row>
    <row r="4870" spans="6:8" x14ac:dyDescent="0.35">
      <c r="F4870" s="38"/>
      <c r="G4870" s="39"/>
      <c r="H4870" s="40"/>
    </row>
    <row r="4871" spans="6:8" x14ac:dyDescent="0.35">
      <c r="F4871" s="38"/>
      <c r="G4871" s="39"/>
      <c r="H4871" s="40"/>
    </row>
    <row r="4872" spans="6:8" x14ac:dyDescent="0.35">
      <c r="F4872" s="38"/>
      <c r="G4872" s="39"/>
      <c r="H4872" s="40"/>
    </row>
    <row r="4873" spans="6:8" x14ac:dyDescent="0.35">
      <c r="F4873" s="38"/>
      <c r="G4873" s="39"/>
      <c r="H4873" s="40"/>
    </row>
    <row r="4874" spans="6:8" x14ac:dyDescent="0.35">
      <c r="F4874" s="38"/>
      <c r="G4874" s="39"/>
      <c r="H4874" s="40"/>
    </row>
    <row r="4875" spans="6:8" x14ac:dyDescent="0.35">
      <c r="F4875" s="38"/>
      <c r="G4875" s="39"/>
      <c r="H4875" s="40"/>
    </row>
    <row r="4876" spans="6:8" x14ac:dyDescent="0.35">
      <c r="F4876" s="38"/>
      <c r="G4876" s="39"/>
      <c r="H4876" s="40"/>
    </row>
    <row r="4877" spans="6:8" x14ac:dyDescent="0.35">
      <c r="F4877" s="38"/>
      <c r="G4877" s="39"/>
      <c r="H4877" s="40"/>
    </row>
    <row r="4878" spans="6:8" x14ac:dyDescent="0.35">
      <c r="F4878" s="38"/>
      <c r="G4878" s="39"/>
      <c r="H4878" s="40"/>
    </row>
    <row r="4879" spans="6:8" x14ac:dyDescent="0.35">
      <c r="F4879" s="38"/>
      <c r="G4879" s="39"/>
      <c r="H4879" s="40"/>
    </row>
    <row r="4880" spans="6:8" x14ac:dyDescent="0.35">
      <c r="F4880" s="38"/>
      <c r="G4880" s="39"/>
      <c r="H4880" s="40"/>
    </row>
    <row r="4881" spans="6:8" x14ac:dyDescent="0.35">
      <c r="F4881" s="38"/>
      <c r="G4881" s="39"/>
      <c r="H4881" s="40"/>
    </row>
    <row r="4882" spans="6:8" x14ac:dyDescent="0.35">
      <c r="F4882" s="38"/>
      <c r="G4882" s="39"/>
      <c r="H4882" s="40"/>
    </row>
    <row r="4883" spans="6:8" x14ac:dyDescent="0.35">
      <c r="F4883" s="38"/>
      <c r="G4883" s="39"/>
      <c r="H4883" s="40"/>
    </row>
    <row r="4884" spans="6:8" x14ac:dyDescent="0.35">
      <c r="F4884" s="38"/>
      <c r="G4884" s="39"/>
      <c r="H4884" s="40"/>
    </row>
    <row r="4885" spans="6:8" x14ac:dyDescent="0.35">
      <c r="F4885" s="38"/>
      <c r="G4885" s="39"/>
      <c r="H4885" s="40"/>
    </row>
    <row r="4886" spans="6:8" x14ac:dyDescent="0.35">
      <c r="F4886" s="38"/>
      <c r="G4886" s="39"/>
      <c r="H4886" s="40"/>
    </row>
    <row r="4887" spans="6:8" x14ac:dyDescent="0.35">
      <c r="F4887" s="38"/>
      <c r="G4887" s="39"/>
      <c r="H4887" s="40"/>
    </row>
    <row r="4888" spans="6:8" x14ac:dyDescent="0.35">
      <c r="F4888" s="38"/>
      <c r="G4888" s="39"/>
      <c r="H4888" s="40"/>
    </row>
    <row r="4889" spans="6:8" x14ac:dyDescent="0.35">
      <c r="F4889" s="38"/>
      <c r="G4889" s="39"/>
      <c r="H4889" s="40"/>
    </row>
    <row r="4890" spans="6:8" x14ac:dyDescent="0.35">
      <c r="F4890" s="38"/>
      <c r="G4890" s="39"/>
      <c r="H4890" s="40"/>
    </row>
    <row r="4891" spans="6:8" x14ac:dyDescent="0.35">
      <c r="F4891" s="38"/>
      <c r="G4891" s="39"/>
      <c r="H4891" s="40"/>
    </row>
    <row r="4892" spans="6:8" x14ac:dyDescent="0.35">
      <c r="F4892" s="38"/>
      <c r="G4892" s="39"/>
      <c r="H4892" s="40"/>
    </row>
    <row r="4893" spans="6:8" x14ac:dyDescent="0.35">
      <c r="F4893" s="38"/>
      <c r="G4893" s="39"/>
      <c r="H4893" s="40"/>
    </row>
    <row r="4894" spans="6:8" x14ac:dyDescent="0.35">
      <c r="F4894" s="38"/>
      <c r="G4894" s="39"/>
      <c r="H4894" s="40"/>
    </row>
    <row r="4895" spans="6:8" x14ac:dyDescent="0.35">
      <c r="F4895" s="38"/>
      <c r="G4895" s="39"/>
      <c r="H4895" s="40"/>
    </row>
    <row r="4896" spans="6:8" x14ac:dyDescent="0.35">
      <c r="F4896" s="38"/>
      <c r="G4896" s="39"/>
      <c r="H4896" s="40"/>
    </row>
    <row r="4897" spans="6:8" x14ac:dyDescent="0.35">
      <c r="F4897" s="38"/>
      <c r="G4897" s="39"/>
      <c r="H4897" s="40"/>
    </row>
    <row r="4898" spans="6:8" x14ac:dyDescent="0.35">
      <c r="F4898" s="38"/>
      <c r="G4898" s="39"/>
      <c r="H4898" s="40"/>
    </row>
    <row r="4899" spans="6:8" x14ac:dyDescent="0.35">
      <c r="F4899" s="38"/>
      <c r="G4899" s="39"/>
      <c r="H4899" s="40"/>
    </row>
    <row r="4900" spans="6:8" x14ac:dyDescent="0.35">
      <c r="F4900" s="38"/>
      <c r="G4900" s="39"/>
      <c r="H4900" s="40"/>
    </row>
    <row r="4901" spans="6:8" x14ac:dyDescent="0.35">
      <c r="F4901" s="38"/>
      <c r="G4901" s="39"/>
      <c r="H4901" s="40"/>
    </row>
    <row r="4902" spans="6:8" x14ac:dyDescent="0.35">
      <c r="F4902" s="38"/>
      <c r="G4902" s="39"/>
      <c r="H4902" s="40"/>
    </row>
    <row r="4903" spans="6:8" x14ac:dyDescent="0.35">
      <c r="F4903" s="38"/>
      <c r="G4903" s="39"/>
      <c r="H4903" s="40"/>
    </row>
    <row r="4904" spans="6:8" x14ac:dyDescent="0.35">
      <c r="F4904" s="38"/>
      <c r="G4904" s="39"/>
      <c r="H4904" s="40"/>
    </row>
    <row r="4905" spans="6:8" x14ac:dyDescent="0.35">
      <c r="F4905" s="38"/>
      <c r="G4905" s="39"/>
      <c r="H4905" s="40"/>
    </row>
    <row r="4906" spans="6:8" x14ac:dyDescent="0.35">
      <c r="F4906" s="38"/>
      <c r="G4906" s="39"/>
      <c r="H4906" s="40"/>
    </row>
    <row r="4907" spans="6:8" x14ac:dyDescent="0.35">
      <c r="F4907" s="38"/>
      <c r="G4907" s="39"/>
      <c r="H4907" s="40"/>
    </row>
    <row r="4908" spans="6:8" x14ac:dyDescent="0.35">
      <c r="F4908" s="38"/>
      <c r="G4908" s="39"/>
      <c r="H4908" s="40"/>
    </row>
    <row r="4909" spans="6:8" x14ac:dyDescent="0.35">
      <c r="F4909" s="38"/>
      <c r="G4909" s="39"/>
      <c r="H4909" s="40"/>
    </row>
    <row r="4910" spans="6:8" x14ac:dyDescent="0.35">
      <c r="F4910" s="38"/>
      <c r="G4910" s="39"/>
      <c r="H4910" s="40"/>
    </row>
    <row r="4911" spans="6:8" x14ac:dyDescent="0.35">
      <c r="F4911" s="38"/>
      <c r="G4911" s="39"/>
      <c r="H4911" s="40"/>
    </row>
    <row r="4912" spans="6:8" x14ac:dyDescent="0.35">
      <c r="F4912" s="38"/>
      <c r="G4912" s="39"/>
      <c r="H4912" s="40"/>
    </row>
    <row r="4913" spans="6:8" x14ac:dyDescent="0.35">
      <c r="F4913" s="38"/>
      <c r="G4913" s="39"/>
      <c r="H4913" s="40"/>
    </row>
    <row r="4914" spans="6:8" x14ac:dyDescent="0.35">
      <c r="F4914" s="38"/>
      <c r="G4914" s="39"/>
      <c r="H4914" s="40"/>
    </row>
    <row r="4915" spans="6:8" x14ac:dyDescent="0.35">
      <c r="F4915" s="38"/>
      <c r="G4915" s="39"/>
      <c r="H4915" s="40"/>
    </row>
    <row r="4916" spans="6:8" x14ac:dyDescent="0.35">
      <c r="F4916" s="38"/>
      <c r="G4916" s="39"/>
      <c r="H4916" s="40"/>
    </row>
    <row r="4917" spans="6:8" x14ac:dyDescent="0.35">
      <c r="F4917" s="38"/>
      <c r="G4917" s="39"/>
      <c r="H4917" s="40"/>
    </row>
    <row r="4918" spans="6:8" x14ac:dyDescent="0.35">
      <c r="F4918" s="38"/>
      <c r="G4918" s="39"/>
      <c r="H4918" s="40"/>
    </row>
    <row r="4919" spans="6:8" x14ac:dyDescent="0.35">
      <c r="F4919" s="38"/>
      <c r="G4919" s="39"/>
      <c r="H4919" s="40"/>
    </row>
    <row r="4920" spans="6:8" x14ac:dyDescent="0.35">
      <c r="F4920" s="38"/>
      <c r="G4920" s="39"/>
      <c r="H4920" s="40"/>
    </row>
    <row r="4921" spans="6:8" x14ac:dyDescent="0.35">
      <c r="F4921" s="38"/>
      <c r="G4921" s="39"/>
      <c r="H4921" s="40"/>
    </row>
    <row r="4922" spans="6:8" x14ac:dyDescent="0.35">
      <c r="F4922" s="38"/>
      <c r="G4922" s="39"/>
      <c r="H4922" s="40"/>
    </row>
    <row r="4923" spans="6:8" x14ac:dyDescent="0.35">
      <c r="F4923" s="38"/>
      <c r="G4923" s="39"/>
      <c r="H4923" s="40"/>
    </row>
    <row r="4924" spans="6:8" x14ac:dyDescent="0.35">
      <c r="F4924" s="38"/>
      <c r="G4924" s="39"/>
      <c r="H4924" s="40"/>
    </row>
    <row r="4925" spans="6:8" x14ac:dyDescent="0.35">
      <c r="F4925" s="38"/>
      <c r="G4925" s="39"/>
      <c r="H4925" s="40"/>
    </row>
    <row r="4926" spans="6:8" x14ac:dyDescent="0.35">
      <c r="F4926" s="38"/>
      <c r="G4926" s="39"/>
      <c r="H4926" s="40"/>
    </row>
    <row r="4927" spans="6:8" x14ac:dyDescent="0.35">
      <c r="F4927" s="38"/>
      <c r="G4927" s="39"/>
      <c r="H4927" s="40"/>
    </row>
    <row r="4928" spans="6:8" x14ac:dyDescent="0.35">
      <c r="F4928" s="38"/>
      <c r="G4928" s="39"/>
      <c r="H4928" s="40"/>
    </row>
    <row r="4929" spans="6:8" x14ac:dyDescent="0.35">
      <c r="F4929" s="38"/>
      <c r="G4929" s="39"/>
      <c r="H4929" s="40"/>
    </row>
    <row r="4930" spans="6:8" x14ac:dyDescent="0.35">
      <c r="F4930" s="38"/>
      <c r="G4930" s="39"/>
      <c r="H4930" s="40"/>
    </row>
    <row r="4931" spans="6:8" x14ac:dyDescent="0.35">
      <c r="F4931" s="38"/>
      <c r="G4931" s="39"/>
      <c r="H4931" s="40"/>
    </row>
    <row r="4932" spans="6:8" x14ac:dyDescent="0.35">
      <c r="F4932" s="38"/>
      <c r="G4932" s="39"/>
      <c r="H4932" s="40"/>
    </row>
    <row r="4933" spans="6:8" x14ac:dyDescent="0.35">
      <c r="F4933" s="38"/>
      <c r="G4933" s="39"/>
      <c r="H4933" s="40"/>
    </row>
    <row r="4934" spans="6:8" x14ac:dyDescent="0.35">
      <c r="F4934" s="38"/>
      <c r="G4934" s="39"/>
      <c r="H4934" s="40"/>
    </row>
    <row r="4935" spans="6:8" x14ac:dyDescent="0.35">
      <c r="F4935" s="38"/>
      <c r="G4935" s="39"/>
      <c r="H4935" s="40"/>
    </row>
    <row r="4936" spans="6:8" x14ac:dyDescent="0.35">
      <c r="F4936" s="38"/>
      <c r="G4936" s="39"/>
      <c r="H4936" s="40"/>
    </row>
    <row r="4937" spans="6:8" x14ac:dyDescent="0.35">
      <c r="F4937" s="38"/>
      <c r="G4937" s="39"/>
      <c r="H4937" s="40"/>
    </row>
    <row r="4938" spans="6:8" x14ac:dyDescent="0.35">
      <c r="F4938" s="38"/>
      <c r="G4938" s="39"/>
      <c r="H4938" s="40"/>
    </row>
    <row r="4939" spans="6:8" x14ac:dyDescent="0.35">
      <c r="F4939" s="38"/>
      <c r="G4939" s="39"/>
      <c r="H4939" s="40"/>
    </row>
    <row r="4940" spans="6:8" x14ac:dyDescent="0.35">
      <c r="F4940" s="38"/>
      <c r="G4940" s="39"/>
      <c r="H4940" s="40"/>
    </row>
    <row r="4941" spans="6:8" x14ac:dyDescent="0.35">
      <c r="F4941" s="38"/>
      <c r="G4941" s="39"/>
      <c r="H4941" s="40"/>
    </row>
    <row r="4942" spans="6:8" x14ac:dyDescent="0.35">
      <c r="F4942" s="38"/>
      <c r="G4942" s="39"/>
      <c r="H4942" s="40"/>
    </row>
    <row r="4943" spans="6:8" x14ac:dyDescent="0.35">
      <c r="F4943" s="38"/>
      <c r="G4943" s="39"/>
      <c r="H4943" s="40"/>
    </row>
    <row r="4944" spans="6:8" x14ac:dyDescent="0.35">
      <c r="F4944" s="38"/>
      <c r="G4944" s="39"/>
      <c r="H4944" s="40"/>
    </row>
    <row r="4945" spans="6:8" x14ac:dyDescent="0.35">
      <c r="F4945" s="38"/>
      <c r="G4945" s="39"/>
      <c r="H4945" s="40"/>
    </row>
    <row r="4946" spans="6:8" x14ac:dyDescent="0.35">
      <c r="F4946" s="38"/>
      <c r="G4946" s="39"/>
      <c r="H4946" s="40"/>
    </row>
    <row r="4947" spans="6:8" x14ac:dyDescent="0.35">
      <c r="F4947" s="38"/>
      <c r="G4947" s="39"/>
      <c r="H4947" s="40"/>
    </row>
    <row r="4948" spans="6:8" x14ac:dyDescent="0.35">
      <c r="F4948" s="38"/>
      <c r="G4948" s="39"/>
      <c r="H4948" s="40"/>
    </row>
    <row r="4949" spans="6:8" x14ac:dyDescent="0.35">
      <c r="F4949" s="38"/>
      <c r="G4949" s="39"/>
      <c r="H4949" s="40"/>
    </row>
    <row r="4950" spans="6:8" x14ac:dyDescent="0.35">
      <c r="F4950" s="38"/>
      <c r="G4950" s="39"/>
      <c r="H4950" s="40"/>
    </row>
    <row r="4951" spans="6:8" x14ac:dyDescent="0.35">
      <c r="F4951" s="38"/>
      <c r="G4951" s="39"/>
      <c r="H4951" s="40"/>
    </row>
    <row r="4952" spans="6:8" x14ac:dyDescent="0.35">
      <c r="F4952" s="38"/>
      <c r="G4952" s="39"/>
      <c r="H4952" s="40"/>
    </row>
    <row r="4953" spans="6:8" x14ac:dyDescent="0.35">
      <c r="F4953" s="38"/>
      <c r="G4953" s="39"/>
      <c r="H4953" s="40"/>
    </row>
    <row r="4954" spans="6:8" x14ac:dyDescent="0.35">
      <c r="F4954" s="38"/>
      <c r="G4954" s="39"/>
      <c r="H4954" s="40"/>
    </row>
    <row r="4955" spans="6:8" x14ac:dyDescent="0.35">
      <c r="F4955" s="38"/>
      <c r="G4955" s="39"/>
      <c r="H4955" s="40"/>
    </row>
    <row r="4956" spans="6:8" x14ac:dyDescent="0.35">
      <c r="F4956" s="38"/>
      <c r="G4956" s="39"/>
      <c r="H4956" s="40"/>
    </row>
    <row r="4957" spans="6:8" x14ac:dyDescent="0.35">
      <c r="F4957" s="38"/>
      <c r="G4957" s="39"/>
      <c r="H4957" s="40"/>
    </row>
    <row r="4958" spans="6:8" x14ac:dyDescent="0.35">
      <c r="F4958" s="38"/>
      <c r="G4958" s="39"/>
      <c r="H4958" s="40"/>
    </row>
    <row r="4959" spans="6:8" x14ac:dyDescent="0.35">
      <c r="F4959" s="38"/>
      <c r="G4959" s="39"/>
      <c r="H4959" s="40"/>
    </row>
    <row r="4960" spans="6:8" x14ac:dyDescent="0.35">
      <c r="F4960" s="38"/>
      <c r="G4960" s="39"/>
      <c r="H4960" s="40"/>
    </row>
    <row r="4961" spans="6:8" x14ac:dyDescent="0.35">
      <c r="F4961" s="38"/>
      <c r="G4961" s="39"/>
      <c r="H4961" s="40"/>
    </row>
    <row r="4962" spans="6:8" x14ac:dyDescent="0.35">
      <c r="F4962" s="38"/>
      <c r="G4962" s="39"/>
      <c r="H4962" s="40"/>
    </row>
    <row r="4963" spans="6:8" x14ac:dyDescent="0.35">
      <c r="F4963" s="38"/>
      <c r="G4963" s="39"/>
      <c r="H4963" s="40"/>
    </row>
    <row r="4964" spans="6:8" x14ac:dyDescent="0.35">
      <c r="F4964" s="38"/>
      <c r="G4964" s="39"/>
      <c r="H4964" s="40"/>
    </row>
    <row r="4965" spans="6:8" x14ac:dyDescent="0.35">
      <c r="F4965" s="38"/>
      <c r="G4965" s="39"/>
      <c r="H4965" s="40"/>
    </row>
    <row r="4966" spans="6:8" x14ac:dyDescent="0.35">
      <c r="F4966" s="38"/>
      <c r="G4966" s="39"/>
      <c r="H4966" s="40"/>
    </row>
    <row r="4967" spans="6:8" x14ac:dyDescent="0.35">
      <c r="F4967" s="38"/>
      <c r="G4967" s="39"/>
      <c r="H4967" s="40"/>
    </row>
    <row r="4968" spans="6:8" x14ac:dyDescent="0.35">
      <c r="F4968" s="38"/>
      <c r="G4968" s="39"/>
      <c r="H4968" s="40"/>
    </row>
    <row r="4969" spans="6:8" x14ac:dyDescent="0.35">
      <c r="F4969" s="38"/>
      <c r="G4969" s="39"/>
      <c r="H4969" s="40"/>
    </row>
    <row r="4970" spans="6:8" x14ac:dyDescent="0.35">
      <c r="F4970" s="38"/>
      <c r="G4970" s="39"/>
      <c r="H4970" s="40"/>
    </row>
    <row r="4971" spans="6:8" x14ac:dyDescent="0.35">
      <c r="F4971" s="38"/>
      <c r="G4971" s="39"/>
      <c r="H4971" s="40"/>
    </row>
    <row r="4972" spans="6:8" x14ac:dyDescent="0.35">
      <c r="F4972" s="38"/>
      <c r="G4972" s="39"/>
      <c r="H4972" s="40"/>
    </row>
    <row r="4973" spans="6:8" x14ac:dyDescent="0.35">
      <c r="F4973" s="38"/>
      <c r="G4973" s="39"/>
      <c r="H4973" s="40"/>
    </row>
    <row r="4974" spans="6:8" x14ac:dyDescent="0.35">
      <c r="F4974" s="38"/>
      <c r="G4974" s="39"/>
      <c r="H4974" s="40"/>
    </row>
    <row r="4975" spans="6:8" x14ac:dyDescent="0.35">
      <c r="F4975" s="38"/>
      <c r="G4975" s="39"/>
      <c r="H4975" s="40"/>
    </row>
    <row r="4976" spans="6:8" x14ac:dyDescent="0.35">
      <c r="F4976" s="38"/>
      <c r="G4976" s="39"/>
      <c r="H4976" s="40"/>
    </row>
    <row r="4977" spans="6:8" x14ac:dyDescent="0.35">
      <c r="F4977" s="38"/>
      <c r="G4977" s="39"/>
      <c r="H4977" s="40"/>
    </row>
    <row r="4978" spans="6:8" x14ac:dyDescent="0.35">
      <c r="F4978" s="38"/>
      <c r="G4978" s="39"/>
      <c r="H4978" s="40"/>
    </row>
    <row r="4979" spans="6:8" x14ac:dyDescent="0.35">
      <c r="F4979" s="38"/>
      <c r="G4979" s="39"/>
      <c r="H4979" s="40"/>
    </row>
    <row r="4980" spans="6:8" x14ac:dyDescent="0.35">
      <c r="F4980" s="38"/>
      <c r="G4980" s="39"/>
      <c r="H4980" s="40"/>
    </row>
    <row r="4981" spans="6:8" x14ac:dyDescent="0.35">
      <c r="F4981" s="38"/>
      <c r="G4981" s="39"/>
      <c r="H4981" s="40"/>
    </row>
    <row r="4982" spans="6:8" x14ac:dyDescent="0.35">
      <c r="F4982" s="38"/>
      <c r="G4982" s="39"/>
      <c r="H4982" s="40"/>
    </row>
    <row r="4983" spans="6:8" x14ac:dyDescent="0.35">
      <c r="F4983" s="38"/>
      <c r="G4983" s="39"/>
      <c r="H4983" s="40"/>
    </row>
    <row r="4984" spans="6:8" x14ac:dyDescent="0.35">
      <c r="F4984" s="38"/>
      <c r="G4984" s="39"/>
      <c r="H4984" s="40"/>
    </row>
    <row r="4985" spans="6:8" x14ac:dyDescent="0.35">
      <c r="F4985" s="38"/>
      <c r="G4985" s="39"/>
      <c r="H4985" s="40"/>
    </row>
    <row r="4986" spans="6:8" x14ac:dyDescent="0.35">
      <c r="F4986" s="38"/>
      <c r="G4986" s="39"/>
      <c r="H4986" s="40"/>
    </row>
    <row r="4987" spans="6:8" x14ac:dyDescent="0.35">
      <c r="F4987" s="38"/>
      <c r="G4987" s="39"/>
      <c r="H4987" s="40"/>
    </row>
    <row r="4988" spans="6:8" x14ac:dyDescent="0.35">
      <c r="F4988" s="38"/>
      <c r="G4988" s="39"/>
      <c r="H4988" s="40"/>
    </row>
    <row r="4989" spans="6:8" x14ac:dyDescent="0.35">
      <c r="F4989" s="38"/>
      <c r="G4989" s="39"/>
      <c r="H4989" s="40"/>
    </row>
    <row r="4990" spans="6:8" x14ac:dyDescent="0.35">
      <c r="F4990" s="38"/>
      <c r="G4990" s="39"/>
      <c r="H4990" s="40"/>
    </row>
    <row r="4991" spans="6:8" x14ac:dyDescent="0.35">
      <c r="F4991" s="38"/>
      <c r="G4991" s="39"/>
      <c r="H4991" s="40"/>
    </row>
    <row r="4992" spans="6:8" x14ac:dyDescent="0.35">
      <c r="F4992" s="38"/>
      <c r="G4992" s="39"/>
      <c r="H4992" s="40"/>
    </row>
    <row r="4993" spans="3:8" x14ac:dyDescent="0.35">
      <c r="F4993" s="38"/>
      <c r="G4993" s="39"/>
      <c r="H4993" s="40"/>
    </row>
    <row r="4994" spans="3:8" x14ac:dyDescent="0.35">
      <c r="F4994" s="38"/>
      <c r="G4994" s="39"/>
      <c r="H4994" s="40"/>
    </row>
    <row r="4995" spans="3:8" x14ac:dyDescent="0.35">
      <c r="F4995" s="38"/>
      <c r="G4995" s="39"/>
      <c r="H4995" s="40"/>
    </row>
    <row r="4996" spans="3:8" x14ac:dyDescent="0.35">
      <c r="F4996" s="38"/>
      <c r="G4996" s="39"/>
      <c r="H4996" s="40"/>
    </row>
    <row r="4997" spans="3:8" x14ac:dyDescent="0.35">
      <c r="F4997" s="38"/>
      <c r="G4997" s="39"/>
      <c r="H4997" s="40"/>
    </row>
    <row r="4998" spans="3:8" x14ac:dyDescent="0.35">
      <c r="F4998" s="38"/>
      <c r="G4998" s="39"/>
      <c r="H4998" s="40"/>
    </row>
    <row r="4999" spans="3:8" x14ac:dyDescent="0.35">
      <c r="F4999" s="38"/>
      <c r="G4999" s="39"/>
      <c r="H4999" s="40"/>
    </row>
    <row r="5000" spans="3:8" x14ac:dyDescent="0.35">
      <c r="F5000" s="38"/>
      <c r="G5000" s="39"/>
      <c r="H5000" s="40"/>
    </row>
    <row r="5001" spans="3:8" x14ac:dyDescent="0.35">
      <c r="F5001" s="38"/>
      <c r="G5001" s="39"/>
      <c r="H5001" s="40"/>
    </row>
    <row r="5002" spans="3:8" ht="15" thickBot="1" x14ac:dyDescent="0.4">
      <c r="F5002" s="38"/>
      <c r="G5002" s="39"/>
      <c r="H5002" s="40"/>
    </row>
    <row r="5003" spans="3:8" ht="15" thickTop="1" x14ac:dyDescent="0.35">
      <c r="C5003" s="35"/>
      <c r="F5003" s="38"/>
      <c r="G5003" s="39"/>
      <c r="H5003" s="40"/>
    </row>
  </sheetData>
  <conditionalFormatting sqref="G5:H15 G22:H5003 G16:G21">
    <cfRule type="aboveAverage" dxfId="46" priority="1" aboveAverage="0"/>
    <cfRule type="aboveAverage" dxfId="45" priority="2" stopIfTrue="1"/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07"/>
  <sheetViews>
    <sheetView topLeftCell="A3" zoomScaleNormal="100" workbookViewId="0">
      <selection activeCell="B75" sqref="B75"/>
    </sheetView>
  </sheetViews>
  <sheetFormatPr defaultRowHeight="14.5" x14ac:dyDescent="0.35"/>
  <cols>
    <col min="1" max="1" width="70.453125" bestFit="1" customWidth="1"/>
    <col min="2" max="2" width="18.1796875" customWidth="1"/>
  </cols>
  <sheetData>
    <row r="1" spans="1:2" x14ac:dyDescent="0.35">
      <c r="A1" s="3" t="s">
        <v>6114</v>
      </c>
      <c r="B1" s="3" t="s">
        <v>6115</v>
      </c>
    </row>
    <row r="2" spans="1:2" x14ac:dyDescent="0.35">
      <c r="A2" s="59" t="s">
        <v>6063</v>
      </c>
      <c r="B2" s="60">
        <f>COUNT(Store_Record[OrderID],Store_Record[Year])</f>
        <v>4999</v>
      </c>
    </row>
    <row r="3" spans="1:2" x14ac:dyDescent="0.35">
      <c r="A3" s="46" t="s">
        <v>6064</v>
      </c>
      <c r="B3" s="46" t="s">
        <v>26</v>
      </c>
    </row>
    <row r="4" spans="1:2" x14ac:dyDescent="0.35">
      <c r="A4" s="46" t="s">
        <v>6066</v>
      </c>
      <c r="B4" s="46">
        <f>COUNTIF(Store_Record[Category], "Food")</f>
        <v>2015</v>
      </c>
    </row>
    <row r="5" spans="1:2" x14ac:dyDescent="0.35">
      <c r="A5" s="46" t="s">
        <v>6065</v>
      </c>
      <c r="B5" s="46">
        <f>COUNTIF(Store_Record[Category], "Drink")</f>
        <v>2984</v>
      </c>
    </row>
    <row r="6" spans="1:2" x14ac:dyDescent="0.35">
      <c r="A6" s="45" t="s">
        <v>6067</v>
      </c>
      <c r="B6" s="45" t="s">
        <v>42</v>
      </c>
    </row>
    <row r="7" spans="1:2" x14ac:dyDescent="0.35">
      <c r="A7" s="50" t="s">
        <v>6069</v>
      </c>
      <c r="B7" s="50" t="s">
        <v>6068</v>
      </c>
    </row>
    <row r="8" spans="1:2" x14ac:dyDescent="0.35">
      <c r="A8" s="53" t="s">
        <v>6071</v>
      </c>
      <c r="B8" s="53" t="s">
        <v>47</v>
      </c>
    </row>
    <row r="9" spans="1:2" x14ac:dyDescent="0.35">
      <c r="A9" s="53" t="s">
        <v>6072</v>
      </c>
      <c r="B9" s="54">
        <f>SUMIF(Store_Record[City], "Manchester", Store_Record[Revenue])</f>
        <v>8734.4999999999927</v>
      </c>
    </row>
    <row r="10" spans="1:2" x14ac:dyDescent="0.35">
      <c r="A10" s="53" t="s">
        <v>6073</v>
      </c>
      <c r="B10" s="54">
        <f>SUMIF(Store_Record[City], "Leeds", Store_Record[Revenue])</f>
        <v>8801.0999999999931</v>
      </c>
    </row>
    <row r="11" spans="1:2" x14ac:dyDescent="0.35">
      <c r="A11" s="55" t="s">
        <v>6074</v>
      </c>
      <c r="B11" s="54">
        <f>SUMIF(Store_Record[City], "Bristol", Store_Record[Revenue])</f>
        <v>8796.6</v>
      </c>
    </row>
    <row r="12" spans="1:2" x14ac:dyDescent="0.35">
      <c r="A12" s="55" t="s">
        <v>6075</v>
      </c>
      <c r="B12" s="54">
        <f>SUMIF(Store_Record[City], "Birmingham", Store_Record[Revenue])</f>
        <v>8375.1000000000022</v>
      </c>
    </row>
    <row r="13" spans="1:2" x14ac:dyDescent="0.35">
      <c r="A13" s="55" t="s">
        <v>6076</v>
      </c>
      <c r="B13" s="54">
        <f>SUMIF(Store_Record[City], "London", Store_Record[Revenue])</f>
        <v>9322</v>
      </c>
    </row>
    <row r="14" spans="1:2" x14ac:dyDescent="0.35">
      <c r="A14" s="55" t="s">
        <v>152</v>
      </c>
      <c r="B14" s="54">
        <f>SUMIF(Store_Record[City], "N/A", Store_Record[Revenue])</f>
        <v>360.09999999999997</v>
      </c>
    </row>
    <row r="15" spans="1:2" x14ac:dyDescent="0.35">
      <c r="A15" s="14" t="s">
        <v>6077</v>
      </c>
      <c r="B15" s="14" t="s">
        <v>24</v>
      </c>
    </row>
    <row r="16" spans="1:2" x14ac:dyDescent="0.35">
      <c r="A16" s="17" t="s">
        <v>6078</v>
      </c>
      <c r="B16" s="28">
        <f>SUMIF(Store_Record[Store],"Central", Store_Record[Revenue])</f>
        <v>10905.300000000003</v>
      </c>
    </row>
    <row r="17" spans="1:2" x14ac:dyDescent="0.35">
      <c r="A17" s="17" t="s">
        <v>6079</v>
      </c>
      <c r="B17" s="28">
        <f>SUMIF(Store_Record[Store],"Riverside", Store_Record[Revenue])</f>
        <v>10831.199999999999</v>
      </c>
    </row>
    <row r="18" spans="1:2" x14ac:dyDescent="0.35">
      <c r="A18" s="17" t="s">
        <v>6080</v>
      </c>
      <c r="B18" s="28">
        <f>SUMIF(Store_Record[Store],"Station", Store_Record[Revenue])</f>
        <v>11559.399999999992</v>
      </c>
    </row>
    <row r="19" spans="1:2" x14ac:dyDescent="0.35">
      <c r="A19" s="17" t="s">
        <v>6081</v>
      </c>
      <c r="B19" s="28">
        <f>SUMIF(Store_Record[Store],"High Street", Store_Record[Revenue])</f>
        <v>11093.499999999985</v>
      </c>
    </row>
    <row r="20" spans="1:2" x14ac:dyDescent="0.35">
      <c r="A20" s="19" t="s">
        <v>6082</v>
      </c>
      <c r="B20" s="19" t="s">
        <v>39</v>
      </c>
    </row>
    <row r="21" spans="1:2" x14ac:dyDescent="0.35">
      <c r="A21" s="20" t="s">
        <v>14</v>
      </c>
      <c r="B21" s="21">
        <v>1648</v>
      </c>
    </row>
    <row r="22" spans="1:2" x14ac:dyDescent="0.35">
      <c r="A22" s="20" t="s">
        <v>21</v>
      </c>
      <c r="B22" s="21">
        <v>1668</v>
      </c>
    </row>
    <row r="23" spans="1:2" x14ac:dyDescent="0.35">
      <c r="A23" s="20" t="s">
        <v>39</v>
      </c>
      <c r="B23" s="21">
        <f>COUNTIF(Store_Record[Payment Type], "Cash")</f>
        <v>1683</v>
      </c>
    </row>
    <row r="24" spans="1:2" x14ac:dyDescent="0.35">
      <c r="A24" s="15" t="s">
        <v>6083</v>
      </c>
      <c r="B24" s="22">
        <f>B25/B26</f>
        <v>8.8796559311862513</v>
      </c>
    </row>
    <row r="25" spans="1:2" x14ac:dyDescent="0.35">
      <c r="A25" s="23" t="s">
        <v>6060</v>
      </c>
      <c r="B25" s="22">
        <f>SUM(Store_Record[Revenue])</f>
        <v>44389.400000000074</v>
      </c>
    </row>
    <row r="26" spans="1:2" x14ac:dyDescent="0.35">
      <c r="A26" s="23" t="s">
        <v>6061</v>
      </c>
      <c r="B26" s="22">
        <v>4999</v>
      </c>
    </row>
    <row r="27" spans="1:2" x14ac:dyDescent="0.35">
      <c r="A27" s="23" t="s">
        <v>6062</v>
      </c>
      <c r="B27" s="22">
        <f>B25/B26</f>
        <v>8.8796559311862513</v>
      </c>
    </row>
    <row r="28" spans="1:2" x14ac:dyDescent="0.35">
      <c r="A28" s="16" t="s">
        <v>6084</v>
      </c>
      <c r="B28" s="24">
        <f>AVERAGE(Store_Record[Qty])</f>
        <v>3.0066013202640529</v>
      </c>
    </row>
    <row r="29" spans="1:2" x14ac:dyDescent="0.35">
      <c r="A29" s="18" t="s">
        <v>6085</v>
      </c>
      <c r="B29" s="25" t="s">
        <v>6094</v>
      </c>
    </row>
    <row r="30" spans="1:2" x14ac:dyDescent="0.35">
      <c r="A30" s="18" t="s">
        <v>6086</v>
      </c>
      <c r="B30" s="25">
        <f>SUMIF(Store_Record[Month], "January", Store_Record[Revenue])</f>
        <v>3765.8000000000025</v>
      </c>
    </row>
    <row r="31" spans="1:2" x14ac:dyDescent="0.35">
      <c r="A31" s="18" t="s">
        <v>6087</v>
      </c>
      <c r="B31" s="25">
        <f>SUMIF(Store_Record[Month], "February", Store_Record[Revenue])</f>
        <v>3526.5000000000005</v>
      </c>
    </row>
    <row r="32" spans="1:2" x14ac:dyDescent="0.35">
      <c r="A32" s="18" t="s">
        <v>6088</v>
      </c>
      <c r="B32" s="25">
        <f>SUMIF(Store_Record[Month], "March", Store_Record[Revenue])</f>
        <v>4026.1999999999989</v>
      </c>
    </row>
    <row r="33" spans="1:2" x14ac:dyDescent="0.35">
      <c r="A33" s="18" t="s">
        <v>6089</v>
      </c>
      <c r="B33" s="25">
        <f>SUMIF(Store_Record[Month], "April", Store_Record[Revenue])</f>
        <v>3775.3000000000029</v>
      </c>
    </row>
    <row r="34" spans="1:2" x14ac:dyDescent="0.35">
      <c r="A34" s="18" t="s">
        <v>6090</v>
      </c>
      <c r="B34" s="25">
        <f>SUMIF(Store_Record[Month], "May", Store_Record[Revenue])</f>
        <v>3384.9999999999995</v>
      </c>
    </row>
    <row r="35" spans="1:2" x14ac:dyDescent="0.35">
      <c r="A35" s="18" t="s">
        <v>6091</v>
      </c>
      <c r="B35" s="25">
        <f>SUMIF(Store_Record[Month], "June", Store_Record[Revenue])</f>
        <v>3541.300000000002</v>
      </c>
    </row>
    <row r="36" spans="1:2" x14ac:dyDescent="0.35">
      <c r="A36" s="18" t="s">
        <v>6092</v>
      </c>
      <c r="B36" s="25">
        <f>SUMIF(Store_Record[Month], "July", Store_Record[Revenue])</f>
        <v>3717.4999999999977</v>
      </c>
    </row>
    <row r="37" spans="1:2" x14ac:dyDescent="0.35">
      <c r="A37" s="18" t="s">
        <v>6093</v>
      </c>
      <c r="B37" s="25">
        <f>SUMIF(Store_Record[Month], "August", Store_Record[Revenue])</f>
        <v>3696.2000000000007</v>
      </c>
    </row>
    <row r="38" spans="1:2" x14ac:dyDescent="0.35">
      <c r="A38" s="26" t="s">
        <v>6095</v>
      </c>
      <c r="B38" s="25">
        <f>SUMIF(Store_Record[Month], "September", Store_Record[Revenue])</f>
        <v>3539.7</v>
      </c>
    </row>
    <row r="39" spans="1:2" x14ac:dyDescent="0.35">
      <c r="A39" s="26" t="s">
        <v>6096</v>
      </c>
      <c r="B39" s="25">
        <f>SUMIF(Store_Record[Month], "October", Store_Record[Revenue])</f>
        <v>3672.7000000000007</v>
      </c>
    </row>
    <row r="40" spans="1:2" x14ac:dyDescent="0.35">
      <c r="A40" s="26" t="s">
        <v>6097</v>
      </c>
      <c r="B40" s="25">
        <f>SUMIF(Store_Record[Month], "November", Store_Record[Revenue])</f>
        <v>4063.8</v>
      </c>
    </row>
    <row r="41" spans="1:2" x14ac:dyDescent="0.35">
      <c r="A41" s="26" t="s">
        <v>6098</v>
      </c>
      <c r="B41" s="25">
        <f>SUMIF(Store_Record[Month], "December", Store_Record[Revenue])</f>
        <v>3679.4000000000019</v>
      </c>
    </row>
    <row r="42" spans="1:2" x14ac:dyDescent="0.35">
      <c r="A42" s="42" t="s">
        <v>6099</v>
      </c>
      <c r="B42" s="43" t="s">
        <v>6112</v>
      </c>
    </row>
    <row r="43" spans="1:2" x14ac:dyDescent="0.35">
      <c r="A43" s="42" t="s">
        <v>6100</v>
      </c>
      <c r="B43" s="43">
        <f>COUNTIF(Store_Record[Month],"January")</f>
        <v>431</v>
      </c>
    </row>
    <row r="44" spans="1:2" x14ac:dyDescent="0.35">
      <c r="A44" s="42" t="s">
        <v>6101</v>
      </c>
      <c r="B44" s="43">
        <f>COUNTIF(CoffeeSales!M433:M831, "February")</f>
        <v>399</v>
      </c>
    </row>
    <row r="45" spans="1:2" x14ac:dyDescent="0.35">
      <c r="A45" s="42" t="s">
        <v>6102</v>
      </c>
      <c r="B45" s="43">
        <f>COUNTIF(CoffeeSales!M9:M5000, "March")</f>
        <v>467</v>
      </c>
    </row>
    <row r="46" spans="1:2" x14ac:dyDescent="0.35">
      <c r="A46" s="42" t="s">
        <v>6103</v>
      </c>
      <c r="B46" s="43">
        <f>COUNTIF(CoffeeSales!M19:M5000, "April")</f>
        <v>420</v>
      </c>
    </row>
    <row r="47" spans="1:2" x14ac:dyDescent="0.35">
      <c r="A47" s="44" t="s">
        <v>6104</v>
      </c>
      <c r="B47" s="43">
        <f>COUNTIF(Store_Record[Month], "May")</f>
        <v>388</v>
      </c>
    </row>
    <row r="48" spans="1:2" x14ac:dyDescent="0.35">
      <c r="A48" s="44" t="s">
        <v>6105</v>
      </c>
      <c r="B48" s="43">
        <f>COUNTIF(CoffeeSales!M44:M5000, "June")</f>
        <v>385</v>
      </c>
    </row>
    <row r="49" spans="1:2" x14ac:dyDescent="0.35">
      <c r="A49" s="44" t="s">
        <v>6106</v>
      </c>
      <c r="B49" s="43">
        <f>COUNTIF(CoffeeSales!M46:M5001, "July")</f>
        <v>428</v>
      </c>
    </row>
    <row r="50" spans="1:2" x14ac:dyDescent="0.35">
      <c r="A50" s="44" t="s">
        <v>6107</v>
      </c>
      <c r="B50" s="43">
        <f>COUNTIF(CoffeeSales!M50:M5000, "August")</f>
        <v>407</v>
      </c>
    </row>
    <row r="51" spans="1:2" x14ac:dyDescent="0.35">
      <c r="A51" s="44" t="s">
        <v>6108</v>
      </c>
      <c r="B51" s="43">
        <f>COUNTIF(CoffeeSales!M57:M5000, "September")</f>
        <v>398</v>
      </c>
    </row>
    <row r="52" spans="1:2" x14ac:dyDescent="0.35">
      <c r="A52" s="44" t="s">
        <v>6109</v>
      </c>
      <c r="B52" s="43">
        <f>COUNTIF(CoffeeSales!M43:M5000, "October")</f>
        <v>404</v>
      </c>
    </row>
    <row r="53" spans="1:2" x14ac:dyDescent="0.35">
      <c r="A53" s="44" t="s">
        <v>6110</v>
      </c>
      <c r="B53" s="43">
        <f>COUNTIF(CoffeeSales!M42:M5000, "November")</f>
        <v>457</v>
      </c>
    </row>
    <row r="54" spans="1:2" x14ac:dyDescent="0.35">
      <c r="A54" s="44" t="s">
        <v>6111</v>
      </c>
      <c r="B54" s="43">
        <f>COUNTIF(CoffeeSales!M41:M5000, "December")</f>
        <v>415</v>
      </c>
    </row>
    <row r="55" spans="1:2" x14ac:dyDescent="0.35">
      <c r="A55" s="48" t="s">
        <v>6116</v>
      </c>
      <c r="B55" s="49" t="s">
        <v>34</v>
      </c>
    </row>
    <row r="56" spans="1:2" x14ac:dyDescent="0.35">
      <c r="A56" s="48" t="s">
        <v>42</v>
      </c>
      <c r="B56" s="49">
        <f>SUMIF(Store_Record[Product], "Cappuccino", Store_Record[Revenue])</f>
        <v>10947.799999999987</v>
      </c>
    </row>
    <row r="57" spans="1:2" x14ac:dyDescent="0.35">
      <c r="A57" s="48" t="s">
        <v>30</v>
      </c>
      <c r="B57" s="49">
        <f>SUMIF(Store_Record[Product], "Croissant", Store_Record[Revenue])</f>
        <v>8399.9999999999891</v>
      </c>
    </row>
    <row r="58" spans="1:2" x14ac:dyDescent="0.35">
      <c r="A58" s="48" t="s">
        <v>12</v>
      </c>
      <c r="B58" s="49">
        <f>SUMIF(Store_Record[Product], "Espresso", Store_Record[Revenue])</f>
        <v>7295</v>
      </c>
    </row>
    <row r="59" spans="1:2" x14ac:dyDescent="0.35">
      <c r="A59" s="48" t="s">
        <v>26</v>
      </c>
      <c r="B59" s="49">
        <f>SUMIF(Store_Record[Product], "Latte", Store_Record[Revenue])</f>
        <v>10948.599999999997</v>
      </c>
    </row>
    <row r="60" spans="1:2" x14ac:dyDescent="0.35">
      <c r="A60" s="48" t="s">
        <v>34</v>
      </c>
      <c r="B60" s="49">
        <f>SUMIF(Store_Record[Product], "Muffin", Store_Record[Revenue])</f>
        <v>6798.0000000000055</v>
      </c>
    </row>
    <row r="61" spans="1:2" x14ac:dyDescent="0.35">
      <c r="A61" s="27" t="s">
        <v>6118</v>
      </c>
      <c r="B61" s="27">
        <f>MAX(B62:B67)</f>
        <v>3166</v>
      </c>
    </row>
    <row r="62" spans="1:2" x14ac:dyDescent="0.35">
      <c r="A62" s="27" t="s">
        <v>6119</v>
      </c>
      <c r="B62" s="27">
        <f>SUMIF(Store_Record[City], "Birmingham", Store_Record[Qty])</f>
        <v>2842</v>
      </c>
    </row>
    <row r="63" spans="1:2" x14ac:dyDescent="0.35">
      <c r="A63" s="27" t="s">
        <v>6120</v>
      </c>
      <c r="B63" s="27">
        <f>SUMIF(Store_Record[City], "Bristol", Store_Record[Qty])</f>
        <v>2959</v>
      </c>
    </row>
    <row r="64" spans="1:2" x14ac:dyDescent="0.35">
      <c r="A64" s="27" t="s">
        <v>6121</v>
      </c>
      <c r="B64" s="27">
        <f>SUMIF(Store_Record[City], "Leeds", Store_Record[Qty])</f>
        <v>2985</v>
      </c>
    </row>
    <row r="65" spans="1:2" x14ac:dyDescent="0.35">
      <c r="A65" s="27" t="s">
        <v>6122</v>
      </c>
      <c r="B65" s="27">
        <f>SUMIF(Store_Record[City], "London", Store_Record[Qty])</f>
        <v>3166</v>
      </c>
    </row>
    <row r="66" spans="1:2" x14ac:dyDescent="0.35">
      <c r="A66" s="27" t="s">
        <v>6123</v>
      </c>
      <c r="B66" s="27">
        <f>SUMIF(Store_Record[City], "Manchester", Store_Record[Qty])</f>
        <v>2962</v>
      </c>
    </row>
    <row r="67" spans="1:2" x14ac:dyDescent="0.35">
      <c r="A67" s="27" t="s">
        <v>6124</v>
      </c>
      <c r="B67" s="27">
        <f>SUMIF(Store_Record[City], "N/A", Store_Record[Qty])</f>
        <v>116</v>
      </c>
    </row>
    <row r="68" spans="1:2" x14ac:dyDescent="0.35">
      <c r="A68" s="13" t="s">
        <v>6125</v>
      </c>
      <c r="B68" s="13" t="s">
        <v>13</v>
      </c>
    </row>
    <row r="69" spans="1:2" x14ac:dyDescent="0.35">
      <c r="A69" s="13" t="s">
        <v>31</v>
      </c>
      <c r="B69" s="13">
        <f>COUNTIF(Store_Record[Category], "Food")</f>
        <v>2015</v>
      </c>
    </row>
    <row r="70" spans="1:2" x14ac:dyDescent="0.35">
      <c r="A70" s="13" t="s">
        <v>13</v>
      </c>
      <c r="B70" s="13">
        <f>COUNTIF(Store_Record[Category], "Drink")</f>
        <v>2984</v>
      </c>
    </row>
    <row r="71" spans="1:2" ht="87" x14ac:dyDescent="0.35">
      <c r="A71" s="29" t="s">
        <v>6126</v>
      </c>
      <c r="B71" s="30" t="s">
        <v>6129</v>
      </c>
    </row>
    <row r="72" spans="1:2" x14ac:dyDescent="0.35">
      <c r="A72" s="31" t="s">
        <v>6127</v>
      </c>
      <c r="B72" s="32">
        <f>SUMIF(Store_Record[Category], "Drink", Store_Record[Revenue])</f>
        <v>29116.999999999996</v>
      </c>
    </row>
    <row r="73" spans="1:2" x14ac:dyDescent="0.35">
      <c r="A73" s="31" t="s">
        <v>6128</v>
      </c>
      <c r="B73" s="32">
        <f>SUMIF(Store_Record[Category], "Food", Store_Record[Revenue])</f>
        <v>15272.400000000005</v>
      </c>
    </row>
    <row r="74" spans="1:2" x14ac:dyDescent="0.35">
      <c r="A74" s="5" t="s">
        <v>6156</v>
      </c>
      <c r="B74" s="5">
        <f>SUM(CoffeeSales!G2:G5000)</f>
        <v>15030</v>
      </c>
    </row>
    <row r="75" spans="1:2" x14ac:dyDescent="0.35">
      <c r="A75" s="5"/>
      <c r="B75" s="5"/>
    </row>
    <row r="76" spans="1:2" x14ac:dyDescent="0.35">
      <c r="A76" s="5"/>
      <c r="B76" s="5"/>
    </row>
    <row r="77" spans="1:2" x14ac:dyDescent="0.35">
      <c r="A77" s="5"/>
      <c r="B77" s="5"/>
    </row>
    <row r="78" spans="1:2" x14ac:dyDescent="0.35">
      <c r="A78" s="5"/>
      <c r="B78" s="5"/>
    </row>
    <row r="90" spans="1:3" x14ac:dyDescent="0.35">
      <c r="A90" s="6" t="s">
        <v>16</v>
      </c>
      <c r="B90" s="6" t="s">
        <v>17</v>
      </c>
      <c r="C90" s="6" t="s">
        <v>18</v>
      </c>
    </row>
    <row r="91" spans="1:3" x14ac:dyDescent="0.35">
      <c r="A91" s="6" t="s">
        <v>10</v>
      </c>
      <c r="B91" s="6">
        <f>SUMIF(Store_Record[Store], "Riverside",Store_Record[UnitPriceGBP])</f>
        <v>3557.7000000000053</v>
      </c>
      <c r="C91" s="6">
        <f>SUMIF(Store_Record[Store], "Riverside",Store_Record[Qty])</f>
        <v>3697</v>
      </c>
    </row>
    <row r="92" spans="1:3" x14ac:dyDescent="0.35">
      <c r="A92" s="6" t="s">
        <v>20</v>
      </c>
      <c r="B92" s="6">
        <f>SUMIF(Store_Record[Store], "Central",Store_Record[UnitPriceGBP])</f>
        <v>3592.7000000000098</v>
      </c>
      <c r="C92" s="6">
        <f>SUMIF(Store_Record[Store], "Central",Store_Record[Qty])</f>
        <v>3683</v>
      </c>
    </row>
    <row r="93" spans="1:3" x14ac:dyDescent="0.35">
      <c r="A93" s="6" t="s">
        <v>24</v>
      </c>
      <c r="B93" s="6">
        <f>SUMIF(Store_Record[Store], "Station",Store_Record[UnitPriceGBP])</f>
        <v>3864.000000000015</v>
      </c>
      <c r="C93" s="6">
        <f>SUMIF(Store_Record[Store], "Station",Store_Record[Qty])</f>
        <v>3874</v>
      </c>
    </row>
    <row r="94" spans="1:3" x14ac:dyDescent="0.35">
      <c r="A94" s="6" t="s">
        <v>36</v>
      </c>
      <c r="B94" s="6">
        <f>SUMIF(Store_Record[Store], "High Street",Store_Record[UnitPriceGBP])</f>
        <v>3739.9000000000178</v>
      </c>
      <c r="C94" s="6">
        <f>SUMIF(Store_Record[Store], "High Street",Store_Record[Qty])</f>
        <v>3776</v>
      </c>
    </row>
    <row r="95" spans="1:3" x14ac:dyDescent="0.35">
      <c r="A95" s="5"/>
      <c r="B95" s="5"/>
      <c r="C95" s="5"/>
    </row>
    <row r="96" spans="1:3" x14ac:dyDescent="0.35">
      <c r="A96" s="6" t="s">
        <v>44</v>
      </c>
      <c r="B96" s="6" t="s">
        <v>45</v>
      </c>
      <c r="C96" s="5"/>
    </row>
    <row r="97" spans="1:3" x14ac:dyDescent="0.35">
      <c r="A97" s="6" t="s">
        <v>10</v>
      </c>
      <c r="B97" s="6">
        <f>COUNTIF(Store_Record[Store], "Riverside")</f>
        <v>1218</v>
      </c>
      <c r="C97" s="5"/>
    </row>
    <row r="98" spans="1:3" x14ac:dyDescent="0.35">
      <c r="A98" s="6" t="s">
        <v>20</v>
      </c>
      <c r="B98" s="6">
        <f>COUNTIF(Store_Record[Store], "Central")</f>
        <v>1213</v>
      </c>
      <c r="C98" s="5"/>
    </row>
    <row r="99" spans="1:3" x14ac:dyDescent="0.35">
      <c r="A99" s="6" t="s">
        <v>24</v>
      </c>
      <c r="B99" s="6">
        <f>COUNTIF(Store_Record[Store],"Station")</f>
        <v>1299</v>
      </c>
      <c r="C99" s="5"/>
    </row>
    <row r="100" spans="1:3" x14ac:dyDescent="0.35">
      <c r="A100" s="6" t="s">
        <v>36</v>
      </c>
      <c r="B100" s="6">
        <f>COUNTIF(Store_Record[Store],"High Street")</f>
        <v>1269</v>
      </c>
      <c r="C100" s="5"/>
    </row>
    <row r="101" spans="1:3" x14ac:dyDescent="0.35">
      <c r="A101" s="6" t="s">
        <v>57</v>
      </c>
      <c r="B101" s="6">
        <f>SUM(B97:B100)</f>
        <v>4999</v>
      </c>
      <c r="C101" s="5"/>
    </row>
    <row r="102" spans="1:3" x14ac:dyDescent="0.35">
      <c r="A102" s="5"/>
      <c r="B102" s="5"/>
      <c r="C102" s="5"/>
    </row>
    <row r="103" spans="1:3" x14ac:dyDescent="0.35">
      <c r="A103" s="6" t="s">
        <v>62</v>
      </c>
      <c r="B103" s="6" t="s">
        <v>45</v>
      </c>
      <c r="C103" s="5"/>
    </row>
    <row r="104" spans="1:3" x14ac:dyDescent="0.35">
      <c r="A104" s="6"/>
      <c r="B104" s="6"/>
      <c r="C104" s="5"/>
    </row>
    <row r="105" spans="1:3" x14ac:dyDescent="0.35">
      <c r="A105" s="6"/>
      <c r="B105" s="6"/>
      <c r="C105" s="5"/>
    </row>
    <row r="106" spans="1:3" x14ac:dyDescent="0.35">
      <c r="A106" s="6"/>
      <c r="B106" s="6"/>
      <c r="C106" s="5"/>
    </row>
    <row r="107" spans="1:3" x14ac:dyDescent="0.35">
      <c r="A107" s="6"/>
      <c r="B107" s="6">
        <f>SUM('Q&amp;A'!B21:B23)</f>
        <v>4999</v>
      </c>
      <c r="C107" s="5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43"/>
  <sheetViews>
    <sheetView topLeftCell="A31" workbookViewId="0">
      <selection activeCell="F49" sqref="F49"/>
    </sheetView>
  </sheetViews>
  <sheetFormatPr defaultRowHeight="14.5" x14ac:dyDescent="0.35"/>
  <sheetData>
    <row r="1" spans="1:1" x14ac:dyDescent="0.35">
      <c r="A1" s="7" t="s">
        <v>6015</v>
      </c>
    </row>
    <row r="2" spans="1:1" x14ac:dyDescent="0.35">
      <c r="A2" s="7" t="s">
        <v>6016</v>
      </c>
    </row>
    <row r="3" spans="1:1" x14ac:dyDescent="0.35">
      <c r="A3" t="s">
        <v>6017</v>
      </c>
    </row>
    <row r="4" spans="1:1" x14ac:dyDescent="0.35">
      <c r="A4" s="7" t="s">
        <v>6018</v>
      </c>
    </row>
    <row r="5" spans="1:1" x14ac:dyDescent="0.35">
      <c r="A5" s="7" t="s">
        <v>6019</v>
      </c>
    </row>
    <row r="6" spans="1:1" x14ac:dyDescent="0.35">
      <c r="A6" t="s">
        <v>6020</v>
      </c>
    </row>
    <row r="7" spans="1:1" x14ac:dyDescent="0.35">
      <c r="A7" t="s">
        <v>6021</v>
      </c>
    </row>
    <row r="8" spans="1:1" x14ac:dyDescent="0.35">
      <c r="A8" t="s">
        <v>6022</v>
      </c>
    </row>
    <row r="9" spans="1:1" x14ac:dyDescent="0.35">
      <c r="A9" t="s">
        <v>6023</v>
      </c>
    </row>
    <row r="10" spans="1:1" x14ac:dyDescent="0.35">
      <c r="A10" t="s">
        <v>6024</v>
      </c>
    </row>
    <row r="11" spans="1:1" x14ac:dyDescent="0.35">
      <c r="A11" t="s">
        <v>6025</v>
      </c>
    </row>
    <row r="12" spans="1:1" x14ac:dyDescent="0.35">
      <c r="A12" t="s">
        <v>6026</v>
      </c>
    </row>
    <row r="13" spans="1:1" x14ac:dyDescent="0.35">
      <c r="A13" s="7" t="s">
        <v>6027</v>
      </c>
    </row>
    <row r="14" spans="1:1" x14ac:dyDescent="0.35">
      <c r="A14" t="s">
        <v>6028</v>
      </c>
    </row>
    <row r="15" spans="1:1" x14ac:dyDescent="0.35">
      <c r="A15" t="s">
        <v>6029</v>
      </c>
    </row>
    <row r="16" spans="1:1" x14ac:dyDescent="0.35">
      <c r="A16" t="s">
        <v>6030</v>
      </c>
    </row>
    <row r="17" spans="1:1" x14ac:dyDescent="0.35">
      <c r="A17" t="s">
        <v>6031</v>
      </c>
    </row>
    <row r="18" spans="1:1" x14ac:dyDescent="0.35">
      <c r="A18" t="s">
        <v>6032</v>
      </c>
    </row>
    <row r="19" spans="1:1" x14ac:dyDescent="0.35">
      <c r="A19" t="s">
        <v>6033</v>
      </c>
    </row>
    <row r="20" spans="1:1" x14ac:dyDescent="0.35">
      <c r="A20" t="s">
        <v>6034</v>
      </c>
    </row>
    <row r="21" spans="1:1" x14ac:dyDescent="0.35">
      <c r="A21" t="s">
        <v>6035</v>
      </c>
    </row>
    <row r="22" spans="1:1" x14ac:dyDescent="0.35">
      <c r="A22" s="7" t="s">
        <v>6036</v>
      </c>
    </row>
    <row r="23" spans="1:1" x14ac:dyDescent="0.35">
      <c r="A23" t="s">
        <v>6037</v>
      </c>
    </row>
    <row r="24" spans="1:1" x14ac:dyDescent="0.35">
      <c r="A24" t="s">
        <v>6038</v>
      </c>
    </row>
    <row r="25" spans="1:1" x14ac:dyDescent="0.35">
      <c r="A25" t="s">
        <v>6039</v>
      </c>
    </row>
    <row r="26" spans="1:1" x14ac:dyDescent="0.35">
      <c r="A26" t="s">
        <v>6040</v>
      </c>
    </row>
    <row r="27" spans="1:1" x14ac:dyDescent="0.35">
      <c r="A27" t="s">
        <v>6041</v>
      </c>
    </row>
    <row r="28" spans="1:1" x14ac:dyDescent="0.35">
      <c r="A28" t="s">
        <v>6042</v>
      </c>
    </row>
    <row r="29" spans="1:1" x14ac:dyDescent="0.35">
      <c r="A29" t="s">
        <v>6043</v>
      </c>
    </row>
    <row r="30" spans="1:1" x14ac:dyDescent="0.35">
      <c r="A30" t="s">
        <v>6044</v>
      </c>
    </row>
    <row r="31" spans="1:1" x14ac:dyDescent="0.35">
      <c r="A31" t="s">
        <v>6045</v>
      </c>
    </row>
    <row r="32" spans="1:1" x14ac:dyDescent="0.35">
      <c r="A32" t="s">
        <v>6046</v>
      </c>
    </row>
    <row r="33" spans="1:1" x14ac:dyDescent="0.35">
      <c r="A33" t="s">
        <v>6047</v>
      </c>
    </row>
    <row r="34" spans="1:1" x14ac:dyDescent="0.35">
      <c r="A34" t="s">
        <v>6113</v>
      </c>
    </row>
    <row r="35" spans="1:1" x14ac:dyDescent="0.35">
      <c r="A35" t="s">
        <v>6117</v>
      </c>
    </row>
    <row r="36" spans="1:1" x14ac:dyDescent="0.35">
      <c r="A36" t="s">
        <v>6048</v>
      </c>
    </row>
    <row r="37" spans="1:1" x14ac:dyDescent="0.35">
      <c r="A37" t="s">
        <v>6049</v>
      </c>
    </row>
    <row r="38" spans="1:1" x14ac:dyDescent="0.35">
      <c r="A38" t="s">
        <v>6050</v>
      </c>
    </row>
    <row r="39" spans="1:1" x14ac:dyDescent="0.35">
      <c r="A39" t="s">
        <v>6051</v>
      </c>
    </row>
    <row r="40" spans="1:1" x14ac:dyDescent="0.35">
      <c r="A40" s="7" t="s">
        <v>6052</v>
      </c>
    </row>
    <row r="41" spans="1:1" x14ac:dyDescent="0.35">
      <c r="A41" t="s">
        <v>6053</v>
      </c>
    </row>
    <row r="42" spans="1:1" x14ac:dyDescent="0.35">
      <c r="A42" t="s">
        <v>6054</v>
      </c>
    </row>
    <row r="43" spans="1:1" x14ac:dyDescent="0.35">
      <c r="A43" t="s">
        <v>6055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E688-1E2B-4C91-A726-9299A8628E1F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Sheet2</vt:lpstr>
      <vt:lpstr>CoffeeSales</vt:lpstr>
      <vt:lpstr>Dashboard</vt:lpstr>
      <vt:lpstr>Q&amp;A</vt:lpstr>
      <vt:lpstr>Project Brief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adedolapo ojo</cp:lastModifiedBy>
  <dcterms:created xsi:type="dcterms:W3CDTF">2026-07-09T14:17:24Z</dcterms:created>
  <dcterms:modified xsi:type="dcterms:W3CDTF">2026-09-01T11:42:35Z</dcterms:modified>
</cp:coreProperties>
</file>